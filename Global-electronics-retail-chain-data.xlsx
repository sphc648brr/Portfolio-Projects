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4.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tables/table5.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80d41073232aeadf/Documents/Coursera/Excel with CoPilot/Graded Projects/Advanced Data Analysis and Visualisation/"/>
    </mc:Choice>
  </mc:AlternateContent>
  <xr:revisionPtr revIDLastSave="1433" documentId="13_ncr:1_{0FC2C67C-D183-4C2E-BCC7-2017AC63BF9C}" xr6:coauthVersionLast="47" xr6:coauthVersionMax="47" xr10:uidLastSave="{6F3F00A9-F9DE-4F7E-B2E5-3F55BEDB8B3D}"/>
  <bookViews>
    <workbookView xWindow="-120" yWindow="-120" windowWidth="29040" windowHeight="15840" firstSheet="3" activeTab="10" xr2:uid="{74DFD09A-7EDC-4CA6-9BB2-429EC5B14AD5}"/>
  </bookViews>
  <sheets>
    <sheet name="Electronic dataset (Source)" sheetId="2" r:id="rId1"/>
    <sheet name="Electronic Products Process" sheetId="3" r:id="rId2"/>
    <sheet name="Summary" sheetId="14" r:id="rId3"/>
    <sheet name="Slicer and Pivot Chart" sheetId="13" r:id="rId4"/>
    <sheet name="Sheet1" sheetId="4" r:id="rId5"/>
    <sheet name="Sheet2" sheetId="5" r:id="rId6"/>
    <sheet name="Sheet3" sheetId="6" r:id="rId7"/>
    <sheet name="Sheet4" sheetId="7" r:id="rId8"/>
    <sheet name="Data (TID) Retrival" sheetId="8" r:id="rId9"/>
    <sheet name="Average Values Calculation" sheetId="9" r:id="rId10"/>
    <sheet name="Count of Rating" sheetId="10" r:id="rId11"/>
  </sheets>
  <definedNames>
    <definedName name="Slicer_Continent">#N/A</definedName>
    <definedName name="Slicer_Country">#N/A</definedName>
    <definedName name="Slicer_Product">#N/A</definedName>
    <definedName name="Slicer_Sales_Team">#N/A</definedName>
    <definedName name="Slicer_Sales_Year">#N/A</definedName>
  </definedNames>
  <calcPr calcId="191028"/>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14" l="1"/>
  <c r="K11" i="14"/>
  <c r="M3" i="3" a="1"/>
  <c r="M3" i="3" s="1"/>
  <c r="M4" i="3" a="1"/>
  <c r="M4" i="3" s="1"/>
  <c r="M5" i="3" a="1"/>
  <c r="M5" i="3" s="1"/>
  <c r="M6" i="3" a="1"/>
  <c r="M6" i="3" s="1"/>
  <c r="M7" i="3" a="1"/>
  <c r="M7" i="3" s="1"/>
  <c r="M8" i="3" a="1"/>
  <c r="M8" i="3" s="1"/>
  <c r="M9" i="3" a="1"/>
  <c r="M9" i="3" s="1"/>
  <c r="M10" i="3" a="1"/>
  <c r="M10" i="3" s="1"/>
  <c r="M11" i="3" a="1"/>
  <c r="M11" i="3" s="1"/>
  <c r="M12" i="3" a="1"/>
  <c r="M12" i="3" s="1"/>
  <c r="M13" i="3" a="1"/>
  <c r="M13" i="3" s="1"/>
  <c r="M14" i="3" a="1"/>
  <c r="M14" i="3" s="1"/>
  <c r="M15" i="3" a="1"/>
  <c r="M15" i="3" s="1"/>
  <c r="M16" i="3" a="1"/>
  <c r="M16" i="3" s="1"/>
  <c r="M17" i="3" a="1"/>
  <c r="M17" i="3" s="1"/>
  <c r="M18" i="3" a="1"/>
  <c r="M18" i="3" s="1"/>
  <c r="M19" i="3" a="1"/>
  <c r="M19" i="3" s="1"/>
  <c r="M20" i="3" a="1"/>
  <c r="M20" i="3" s="1"/>
  <c r="M21" i="3" a="1"/>
  <c r="M21" i="3" s="1"/>
  <c r="M22" i="3" a="1"/>
  <c r="M22" i="3" s="1"/>
  <c r="M23" i="3" a="1"/>
  <c r="M23" i="3" s="1"/>
  <c r="M24" i="3" a="1"/>
  <c r="M24" i="3" s="1"/>
  <c r="M25" i="3" a="1"/>
  <c r="M25" i="3" s="1"/>
  <c r="M26" i="3" a="1"/>
  <c r="M26" i="3" s="1"/>
  <c r="M27" i="3" a="1"/>
  <c r="M27" i="3" s="1"/>
  <c r="M28" i="3" a="1"/>
  <c r="M28" i="3" s="1"/>
  <c r="M29" i="3" a="1"/>
  <c r="M29" i="3"/>
  <c r="M30" i="3" a="1"/>
  <c r="M30" i="3" s="1"/>
  <c r="M31" i="3" a="1"/>
  <c r="M31" i="3" s="1"/>
  <c r="M32" i="3" a="1"/>
  <c r="M32" i="3" s="1"/>
  <c r="M33" i="3" a="1"/>
  <c r="M33" i="3" s="1"/>
  <c r="M34" i="3" a="1"/>
  <c r="M34" i="3" s="1"/>
  <c r="M35" i="3" a="1"/>
  <c r="M35" i="3" s="1"/>
  <c r="M36" i="3" a="1"/>
  <c r="M36" i="3" s="1"/>
  <c r="M37" i="3" a="1"/>
  <c r="M37" i="3" s="1"/>
  <c r="M38" i="3" a="1"/>
  <c r="M38" i="3" s="1"/>
  <c r="M39" i="3" a="1"/>
  <c r="M39" i="3" s="1"/>
  <c r="M40" i="3" a="1"/>
  <c r="M40" i="3" s="1"/>
  <c r="M41" i="3" a="1"/>
  <c r="M41" i="3" s="1"/>
  <c r="M42" i="3" a="1"/>
  <c r="M42" i="3" s="1"/>
  <c r="M43" i="3" a="1"/>
  <c r="M43" i="3" s="1"/>
  <c r="M44" i="3" a="1"/>
  <c r="M44" i="3" s="1"/>
  <c r="M45" i="3" a="1"/>
  <c r="M45" i="3" s="1"/>
  <c r="M46" i="3" a="1"/>
  <c r="M46" i="3" s="1"/>
  <c r="M47" i="3" a="1"/>
  <c r="M47" i="3" s="1"/>
  <c r="M48" i="3" a="1"/>
  <c r="M48" i="3" s="1"/>
  <c r="M49" i="3" a="1"/>
  <c r="M49" i="3" s="1"/>
  <c r="M50" i="3" a="1"/>
  <c r="M50" i="3" s="1"/>
  <c r="M51" i="3" a="1"/>
  <c r="M51" i="3" s="1"/>
  <c r="M52" i="3" a="1"/>
  <c r="M52" i="3" s="1"/>
  <c r="M53" i="3" a="1"/>
  <c r="M53" i="3" s="1"/>
  <c r="M54" i="3" a="1"/>
  <c r="M54" i="3" s="1"/>
  <c r="M55" i="3" a="1"/>
  <c r="M55" i="3" s="1"/>
  <c r="M56" i="3" a="1"/>
  <c r="M56" i="3" s="1"/>
  <c r="M57" i="3" a="1"/>
  <c r="M57" i="3" s="1"/>
  <c r="M58" i="3" a="1"/>
  <c r="M58" i="3" s="1"/>
  <c r="M59" i="3" a="1"/>
  <c r="M59" i="3" s="1"/>
  <c r="M60" i="3" a="1"/>
  <c r="M60" i="3" s="1"/>
  <c r="M61" i="3" a="1"/>
  <c r="M61" i="3" s="1"/>
  <c r="M62" i="3" a="1"/>
  <c r="M62" i="3" s="1"/>
  <c r="M63" i="3" a="1"/>
  <c r="M63" i="3" s="1"/>
  <c r="M64" i="3" a="1"/>
  <c r="M64" i="3" s="1"/>
  <c r="M65" i="3" a="1"/>
  <c r="M65" i="3" s="1"/>
  <c r="M66" i="3" a="1"/>
  <c r="M66" i="3" s="1"/>
  <c r="M67" i="3" a="1"/>
  <c r="M67" i="3" s="1"/>
  <c r="M68" i="3" a="1"/>
  <c r="M68" i="3" s="1"/>
  <c r="M69" i="3" a="1"/>
  <c r="M69" i="3" s="1"/>
  <c r="M70" i="3" a="1"/>
  <c r="M70" i="3" s="1"/>
  <c r="M71" i="3" a="1"/>
  <c r="M71" i="3" s="1"/>
  <c r="M72" i="3" a="1"/>
  <c r="M72" i="3" s="1"/>
  <c r="M73" i="3" a="1"/>
  <c r="M73" i="3" s="1"/>
  <c r="M74" i="3" a="1"/>
  <c r="M74" i="3" s="1"/>
  <c r="M75" i="3" a="1"/>
  <c r="M75" i="3" s="1"/>
  <c r="M76" i="3" a="1"/>
  <c r="M76" i="3" s="1"/>
  <c r="M77" i="3" a="1"/>
  <c r="M77" i="3" s="1"/>
  <c r="M78" i="3" a="1"/>
  <c r="M78" i="3" s="1"/>
  <c r="M79" i="3" a="1"/>
  <c r="M79" i="3" s="1"/>
  <c r="M80" i="3" a="1"/>
  <c r="M80" i="3" s="1"/>
  <c r="M81" i="3" a="1"/>
  <c r="M81" i="3" s="1"/>
  <c r="M82" i="3" a="1"/>
  <c r="M82" i="3" s="1"/>
  <c r="M83" i="3" a="1"/>
  <c r="M83" i="3" s="1"/>
  <c r="M84" i="3" a="1"/>
  <c r="M84" i="3" s="1"/>
  <c r="M85" i="3" a="1"/>
  <c r="M85" i="3" s="1"/>
  <c r="M86" i="3" a="1"/>
  <c r="M86" i="3" s="1"/>
  <c r="M87" i="3" a="1"/>
  <c r="M87" i="3" s="1"/>
  <c r="M88" i="3" a="1"/>
  <c r="M88" i="3" s="1"/>
  <c r="M89" i="3" a="1"/>
  <c r="M89" i="3" s="1"/>
  <c r="M90" i="3" a="1"/>
  <c r="M90" i="3" s="1"/>
  <c r="M91" i="3" a="1"/>
  <c r="M91" i="3" s="1"/>
  <c r="M92" i="3" a="1"/>
  <c r="M92" i="3" s="1"/>
  <c r="M93" i="3" a="1"/>
  <c r="M93" i="3" s="1"/>
  <c r="M94" i="3" a="1"/>
  <c r="M94" i="3" s="1"/>
  <c r="M95" i="3" a="1"/>
  <c r="M95" i="3" s="1"/>
  <c r="M96" i="3" a="1"/>
  <c r="M96" i="3" s="1"/>
  <c r="M97" i="3" a="1"/>
  <c r="M97" i="3" s="1"/>
  <c r="M98" i="3" a="1"/>
  <c r="M98" i="3" s="1"/>
  <c r="M99" i="3" a="1"/>
  <c r="M99" i="3" s="1"/>
  <c r="M100" i="3" a="1"/>
  <c r="M100" i="3" s="1"/>
  <c r="M101" i="3" a="1"/>
  <c r="M101" i="3" s="1"/>
  <c r="M102" i="3" a="1"/>
  <c r="M102" i="3" s="1"/>
  <c r="M103" i="3" a="1"/>
  <c r="M103" i="3" s="1"/>
  <c r="M104" i="3" a="1"/>
  <c r="M104" i="3" s="1"/>
  <c r="M105" i="3" a="1"/>
  <c r="M105" i="3" s="1"/>
  <c r="M106" i="3" a="1"/>
  <c r="M106" i="3" s="1"/>
  <c r="M107" i="3" a="1"/>
  <c r="M107" i="3" s="1"/>
  <c r="M108" i="3" a="1"/>
  <c r="M108" i="3" s="1"/>
  <c r="M109" i="3" a="1"/>
  <c r="M109" i="3" s="1"/>
  <c r="M110" i="3" a="1"/>
  <c r="M110" i="3" s="1"/>
  <c r="M111" i="3" a="1"/>
  <c r="M111" i="3" s="1"/>
  <c r="M112" i="3" a="1"/>
  <c r="M112" i="3" s="1"/>
  <c r="M113" i="3" a="1"/>
  <c r="M113" i="3" s="1"/>
  <c r="M114" i="3" a="1"/>
  <c r="M114" i="3" s="1"/>
  <c r="M115" i="3" a="1"/>
  <c r="M115" i="3" s="1"/>
  <c r="M116" i="3" a="1"/>
  <c r="M116" i="3" s="1"/>
  <c r="M117" i="3" a="1"/>
  <c r="M117" i="3" s="1"/>
  <c r="M118" i="3" a="1"/>
  <c r="M118" i="3" s="1"/>
  <c r="M119" i="3" a="1"/>
  <c r="M119" i="3" s="1"/>
  <c r="M120" i="3" a="1"/>
  <c r="M120" i="3" s="1"/>
  <c r="M121" i="3" a="1"/>
  <c r="M121" i="3" s="1"/>
  <c r="M122" i="3" a="1"/>
  <c r="M122" i="3" s="1"/>
  <c r="M123" i="3" a="1"/>
  <c r="M123" i="3"/>
  <c r="M124" i="3" a="1"/>
  <c r="M124" i="3" s="1"/>
  <c r="M125" i="3" a="1"/>
  <c r="M125" i="3" s="1"/>
  <c r="M126" i="3" a="1"/>
  <c r="M126" i="3" s="1"/>
  <c r="M127" i="3" a="1"/>
  <c r="M127" i="3" s="1"/>
  <c r="M128" i="3" a="1"/>
  <c r="M128" i="3" s="1"/>
  <c r="M129" i="3" a="1"/>
  <c r="M129" i="3" s="1"/>
  <c r="M130" i="3" a="1"/>
  <c r="M130" i="3" s="1"/>
  <c r="M131" i="3" a="1"/>
  <c r="M131" i="3" s="1"/>
  <c r="M132" i="3" a="1"/>
  <c r="M132" i="3" s="1"/>
  <c r="M133" i="3" a="1"/>
  <c r="M133" i="3" s="1"/>
  <c r="M134" i="3" a="1"/>
  <c r="M134" i="3" s="1"/>
  <c r="M135" i="3" a="1"/>
  <c r="M135" i="3" s="1"/>
  <c r="M136" i="3" a="1"/>
  <c r="M136" i="3" s="1"/>
  <c r="M137" i="3" a="1"/>
  <c r="M137" i="3" s="1"/>
  <c r="M138" i="3" a="1"/>
  <c r="M138" i="3" s="1"/>
  <c r="M139" i="3" a="1"/>
  <c r="M139" i="3" s="1"/>
  <c r="M140" i="3" a="1"/>
  <c r="M140" i="3" s="1"/>
  <c r="M141" i="3" a="1"/>
  <c r="M141" i="3" s="1"/>
  <c r="M142" i="3" a="1"/>
  <c r="M142" i="3" s="1"/>
  <c r="M143" i="3" a="1"/>
  <c r="M143" i="3" s="1"/>
  <c r="M144" i="3" a="1"/>
  <c r="M144" i="3" s="1"/>
  <c r="M145" i="3" a="1"/>
  <c r="M145" i="3" s="1"/>
  <c r="M146" i="3" a="1"/>
  <c r="M146" i="3" s="1"/>
  <c r="M147" i="3" a="1"/>
  <c r="M147" i="3" s="1"/>
  <c r="M148" i="3" a="1"/>
  <c r="M148" i="3" s="1"/>
  <c r="M149" i="3" a="1"/>
  <c r="M149" i="3" s="1"/>
  <c r="M150" i="3" a="1"/>
  <c r="M150" i="3" s="1"/>
  <c r="M151" i="3" a="1"/>
  <c r="M151" i="3" s="1"/>
  <c r="M152" i="3" a="1"/>
  <c r="M152" i="3" s="1"/>
  <c r="M153" i="3" a="1"/>
  <c r="M153" i="3" s="1"/>
  <c r="M154" i="3" a="1"/>
  <c r="M154" i="3" s="1"/>
  <c r="M155" i="3" a="1"/>
  <c r="M155" i="3" s="1"/>
  <c r="M156" i="3" a="1"/>
  <c r="M156" i="3" s="1"/>
  <c r="M157" i="3" a="1"/>
  <c r="M157" i="3" s="1"/>
  <c r="M158" i="3" a="1"/>
  <c r="M158" i="3" s="1"/>
  <c r="M159" i="3" a="1"/>
  <c r="M159" i="3" s="1"/>
  <c r="M160" i="3" a="1"/>
  <c r="M160" i="3" s="1"/>
  <c r="M161" i="3" a="1"/>
  <c r="M161" i="3" s="1"/>
  <c r="M162" i="3" a="1"/>
  <c r="M162" i="3" s="1"/>
  <c r="M163" i="3" a="1"/>
  <c r="M163" i="3" s="1"/>
  <c r="M164" i="3" a="1"/>
  <c r="M164" i="3" s="1"/>
  <c r="M165" i="3" a="1"/>
  <c r="M165" i="3" s="1"/>
  <c r="M166" i="3" a="1"/>
  <c r="M166" i="3" s="1"/>
  <c r="M167" i="3" a="1"/>
  <c r="M167" i="3" s="1"/>
  <c r="M168" i="3" a="1"/>
  <c r="M168" i="3" s="1"/>
  <c r="M169" i="3" a="1"/>
  <c r="M169" i="3"/>
  <c r="M170" i="3" a="1"/>
  <c r="M170" i="3" s="1"/>
  <c r="M171" i="3" a="1"/>
  <c r="M171" i="3" s="1"/>
  <c r="M172" i="3" a="1"/>
  <c r="M172" i="3" s="1"/>
  <c r="M173" i="3" a="1"/>
  <c r="M173" i="3" s="1"/>
  <c r="M174" i="3" a="1"/>
  <c r="M174" i="3"/>
  <c r="M175" i="3" a="1"/>
  <c r="M175" i="3" s="1"/>
  <c r="M176" i="3" a="1"/>
  <c r="M176" i="3" s="1"/>
  <c r="M177" i="3" a="1"/>
  <c r="M177" i="3" s="1"/>
  <c r="M178" i="3" a="1"/>
  <c r="M178" i="3" s="1"/>
  <c r="M179" i="3" a="1"/>
  <c r="M179" i="3" s="1"/>
  <c r="M180" i="3" a="1"/>
  <c r="M180" i="3" s="1"/>
  <c r="M181" i="3" a="1"/>
  <c r="M181" i="3" s="1"/>
  <c r="M182" i="3" a="1"/>
  <c r="M182" i="3" s="1"/>
  <c r="M183" i="3" a="1"/>
  <c r="M183" i="3" s="1"/>
  <c r="M184" i="3" a="1"/>
  <c r="M184" i="3" s="1"/>
  <c r="M185" i="3" a="1"/>
  <c r="M185" i="3" s="1"/>
  <c r="M186" i="3" a="1"/>
  <c r="M186" i="3" s="1"/>
  <c r="M187" i="3" a="1"/>
  <c r="M187" i="3" s="1"/>
  <c r="M188" i="3" a="1"/>
  <c r="M188" i="3" s="1"/>
  <c r="M189" i="3" a="1"/>
  <c r="M189" i="3" s="1"/>
  <c r="M190" i="3" a="1"/>
  <c r="M190" i="3" s="1"/>
  <c r="M191" i="3" a="1"/>
  <c r="M191" i="3" s="1"/>
  <c r="M192" i="3" a="1"/>
  <c r="M192" i="3"/>
  <c r="M193" i="3" a="1"/>
  <c r="M193" i="3" s="1"/>
  <c r="M194" i="3" a="1"/>
  <c r="M194" i="3" s="1"/>
  <c r="M195" i="3" a="1"/>
  <c r="M195" i="3" s="1"/>
  <c r="M196" i="3" a="1"/>
  <c r="M196" i="3" s="1"/>
  <c r="M197" i="3" a="1"/>
  <c r="M197" i="3" s="1"/>
  <c r="M198" i="3" a="1"/>
  <c r="M198" i="3" s="1"/>
  <c r="M199" i="3" a="1"/>
  <c r="M199" i="3" s="1"/>
  <c r="M200" i="3" a="1"/>
  <c r="M200" i="3" s="1"/>
  <c r="M201" i="3" a="1"/>
  <c r="M201" i="3" s="1"/>
  <c r="M202" i="3" a="1"/>
  <c r="M202" i="3" s="1"/>
  <c r="M203" i="3" a="1"/>
  <c r="M203" i="3" s="1"/>
  <c r="M204" i="3" a="1"/>
  <c r="M204" i="3" s="1"/>
  <c r="M205" i="3" a="1"/>
  <c r="M205" i="3" s="1"/>
  <c r="M206" i="3" a="1"/>
  <c r="M206" i="3" s="1"/>
  <c r="M207" i="3" a="1"/>
  <c r="M207" i="3" s="1"/>
  <c r="M208" i="3" a="1"/>
  <c r="M208" i="3" s="1"/>
  <c r="M209" i="3" a="1"/>
  <c r="M209" i="3" s="1"/>
  <c r="M210" i="3" a="1"/>
  <c r="M210" i="3" s="1"/>
  <c r="M211" i="3" a="1"/>
  <c r="M211" i="3" s="1"/>
  <c r="M212" i="3" a="1"/>
  <c r="M212" i="3" s="1"/>
  <c r="M213" i="3" a="1"/>
  <c r="M213" i="3" s="1"/>
  <c r="M214" i="3" a="1"/>
  <c r="M214" i="3" s="1"/>
  <c r="M215" i="3" a="1"/>
  <c r="M215" i="3" s="1"/>
  <c r="M216" i="3" a="1"/>
  <c r="M216" i="3" s="1"/>
  <c r="M217" i="3" a="1"/>
  <c r="M217" i="3" s="1"/>
  <c r="M218" i="3" a="1"/>
  <c r="M218" i="3"/>
  <c r="M219" i="3" a="1"/>
  <c r="M219" i="3" s="1"/>
  <c r="M220" i="3" a="1"/>
  <c r="M220" i="3" s="1"/>
  <c r="M221" i="3" a="1"/>
  <c r="M221" i="3" s="1"/>
  <c r="M222" i="3" a="1"/>
  <c r="M222" i="3" s="1"/>
  <c r="M223" i="3" a="1"/>
  <c r="M223" i="3" s="1"/>
  <c r="M224" i="3" a="1"/>
  <c r="M224" i="3" s="1"/>
  <c r="M225" i="3" a="1"/>
  <c r="M225" i="3" s="1"/>
  <c r="M226" i="3" a="1"/>
  <c r="M226" i="3" s="1"/>
  <c r="M227" i="3" a="1"/>
  <c r="M227" i="3" s="1"/>
  <c r="M228" i="3" a="1"/>
  <c r="M228" i="3" s="1"/>
  <c r="M229" i="3" a="1"/>
  <c r="M229" i="3" s="1"/>
  <c r="M230" i="3" a="1"/>
  <c r="M230" i="3" s="1"/>
  <c r="M231" i="3" a="1"/>
  <c r="M231" i="3" s="1"/>
  <c r="M232" i="3" a="1"/>
  <c r="M232" i="3" s="1"/>
  <c r="M233" i="3" a="1"/>
  <c r="M233" i="3" s="1"/>
  <c r="M234" i="3" a="1"/>
  <c r="M234" i="3" s="1"/>
  <c r="M235" i="3" a="1"/>
  <c r="M235" i="3" s="1"/>
  <c r="M236" i="3" a="1"/>
  <c r="M236" i="3" s="1"/>
  <c r="M237" i="3" a="1"/>
  <c r="M237" i="3" s="1"/>
  <c r="M238" i="3" a="1"/>
  <c r="M238" i="3" s="1"/>
  <c r="M239" i="3" a="1"/>
  <c r="M239" i="3" s="1"/>
  <c r="M240" i="3" a="1"/>
  <c r="M240" i="3"/>
  <c r="M241" i="3" a="1"/>
  <c r="M241" i="3" s="1"/>
  <c r="M242" i="3" a="1"/>
  <c r="M242" i="3" s="1"/>
  <c r="M243" i="3" a="1"/>
  <c r="M243" i="3" s="1"/>
  <c r="M244" i="3" a="1"/>
  <c r="M244" i="3" s="1"/>
  <c r="M245" i="3" a="1"/>
  <c r="M245" i="3" s="1"/>
  <c r="M246" i="3" a="1"/>
  <c r="M246" i="3" s="1"/>
  <c r="M247" i="3" a="1"/>
  <c r="M247" i="3" s="1"/>
  <c r="M248" i="3" a="1"/>
  <c r="M248" i="3" s="1"/>
  <c r="M249" i="3" a="1"/>
  <c r="M249" i="3" s="1"/>
  <c r="M250" i="3" a="1"/>
  <c r="M250" i="3" s="1"/>
  <c r="M251" i="3" a="1"/>
  <c r="M251" i="3" s="1"/>
  <c r="M252" i="3" a="1"/>
  <c r="M252" i="3" s="1"/>
  <c r="M253" i="3" a="1"/>
  <c r="M253" i="3" s="1"/>
  <c r="M254" i="3" a="1"/>
  <c r="M254" i="3" s="1"/>
  <c r="M255" i="3" a="1"/>
  <c r="M255" i="3" s="1"/>
  <c r="M256" i="3" a="1"/>
  <c r="M256" i="3" s="1"/>
  <c r="M257" i="3" a="1"/>
  <c r="M257" i="3" s="1"/>
  <c r="M258" i="3" a="1"/>
  <c r="M258" i="3"/>
  <c r="M259" i="3" a="1"/>
  <c r="M259" i="3" s="1"/>
  <c r="M260" i="3" a="1"/>
  <c r="M260" i="3" s="1"/>
  <c r="M261" i="3" a="1"/>
  <c r="M261" i="3" s="1"/>
  <c r="M262" i="3" a="1"/>
  <c r="M262" i="3" s="1"/>
  <c r="M263" i="3" a="1"/>
  <c r="M263" i="3" s="1"/>
  <c r="M264" i="3" a="1"/>
  <c r="M264" i="3" s="1"/>
  <c r="M265" i="3" a="1"/>
  <c r="M265" i="3" s="1"/>
  <c r="M266" i="3" a="1"/>
  <c r="M266" i="3" s="1"/>
  <c r="M267" i="3" a="1"/>
  <c r="M267" i="3" s="1"/>
  <c r="M268" i="3" a="1"/>
  <c r="M268" i="3" s="1"/>
  <c r="M269" i="3" a="1"/>
  <c r="M269" i="3" s="1"/>
  <c r="M270" i="3" a="1"/>
  <c r="M270" i="3" s="1"/>
  <c r="M271" i="3" a="1"/>
  <c r="M271" i="3" s="1"/>
  <c r="M272" i="3" a="1"/>
  <c r="M272" i="3" s="1"/>
  <c r="M273" i="3" a="1"/>
  <c r="M273" i="3" s="1"/>
  <c r="M274" i="3" a="1"/>
  <c r="M274" i="3" s="1"/>
  <c r="M275" i="3" a="1"/>
  <c r="M275" i="3" s="1"/>
  <c r="M276" i="3" a="1"/>
  <c r="M276" i="3" s="1"/>
  <c r="M277" i="3" a="1"/>
  <c r="M277" i="3" s="1"/>
  <c r="M278" i="3" a="1"/>
  <c r="M278" i="3" s="1"/>
  <c r="M279" i="3" a="1"/>
  <c r="M279" i="3" s="1"/>
  <c r="M280" i="3" a="1"/>
  <c r="M280" i="3" s="1"/>
  <c r="M281" i="3" a="1"/>
  <c r="M281" i="3" s="1"/>
  <c r="M282" i="3" a="1"/>
  <c r="M282" i="3" s="1"/>
  <c r="M283" i="3" a="1"/>
  <c r="M283" i="3" s="1"/>
  <c r="M284" i="3" a="1"/>
  <c r="M284" i="3" s="1"/>
  <c r="M285" i="3" a="1"/>
  <c r="M285" i="3" s="1"/>
  <c r="M286" i="3" a="1"/>
  <c r="M286" i="3" s="1"/>
  <c r="M287" i="3" a="1"/>
  <c r="M287" i="3" s="1"/>
  <c r="M288" i="3" a="1"/>
  <c r="M288" i="3" s="1"/>
  <c r="M289" i="3" a="1"/>
  <c r="M289" i="3" s="1"/>
  <c r="M290" i="3" a="1"/>
  <c r="M290" i="3"/>
  <c r="M291" i="3" a="1"/>
  <c r="M291" i="3" s="1"/>
  <c r="M292" i="3" a="1"/>
  <c r="M292" i="3" s="1"/>
  <c r="M293" i="3" a="1"/>
  <c r="M293" i="3" s="1"/>
  <c r="M294" i="3" a="1"/>
  <c r="M294" i="3" s="1"/>
  <c r="M295" i="3" a="1"/>
  <c r="M295" i="3" s="1"/>
  <c r="M296" i="3" a="1"/>
  <c r="M296" i="3" s="1"/>
  <c r="M297" i="3" a="1"/>
  <c r="M297" i="3" s="1"/>
  <c r="M298" i="3" a="1"/>
  <c r="M298" i="3" s="1"/>
  <c r="M299" i="3" a="1"/>
  <c r="M299" i="3" s="1"/>
  <c r="M300" i="3" a="1"/>
  <c r="M300" i="3" s="1"/>
  <c r="M301" i="3" a="1"/>
  <c r="M301" i="3" s="1"/>
  <c r="M302" i="3" a="1"/>
  <c r="M302" i="3" s="1"/>
  <c r="M303" i="3" a="1"/>
  <c r="M303" i="3" s="1"/>
  <c r="M304" i="3" a="1"/>
  <c r="M304" i="3"/>
  <c r="M305" i="3" a="1"/>
  <c r="M305" i="3" s="1"/>
  <c r="M306" i="3" a="1"/>
  <c r="M306" i="3" s="1"/>
  <c r="M307" i="3" a="1"/>
  <c r="M307" i="3" s="1"/>
  <c r="M308" i="3" a="1"/>
  <c r="M308" i="3" s="1"/>
  <c r="M309" i="3" a="1"/>
  <c r="M309" i="3" s="1"/>
  <c r="M310" i="3" a="1"/>
  <c r="M310" i="3" s="1"/>
  <c r="M311" i="3" a="1"/>
  <c r="M311" i="3" s="1"/>
  <c r="M312" i="3" a="1"/>
  <c r="M312" i="3" s="1"/>
  <c r="M313" i="3" a="1"/>
  <c r="M313" i="3" s="1"/>
  <c r="M314" i="3" a="1"/>
  <c r="M314" i="3"/>
  <c r="M315" i="3" a="1"/>
  <c r="M315" i="3" s="1"/>
  <c r="M316" i="3" a="1"/>
  <c r="M316" i="3" s="1"/>
  <c r="M317" i="3" a="1"/>
  <c r="M317" i="3" s="1"/>
  <c r="M318" i="3" a="1"/>
  <c r="M318" i="3" s="1"/>
  <c r="M319" i="3" a="1"/>
  <c r="M319" i="3" s="1"/>
  <c r="M320" i="3" a="1"/>
  <c r="M320" i="3" s="1"/>
  <c r="M321" i="3" a="1"/>
  <c r="M321" i="3" s="1"/>
  <c r="M322" i="3" a="1"/>
  <c r="M322" i="3" s="1"/>
  <c r="M323" i="3" a="1"/>
  <c r="M323" i="3" s="1"/>
  <c r="M324" i="3" a="1"/>
  <c r="M324" i="3" s="1"/>
  <c r="M325" i="3" a="1"/>
  <c r="M325" i="3" s="1"/>
  <c r="M326" i="3" a="1"/>
  <c r="M326" i="3" s="1"/>
  <c r="M327" i="3" a="1"/>
  <c r="M327" i="3" s="1"/>
  <c r="M328" i="3" a="1"/>
  <c r="M328" i="3" s="1"/>
  <c r="M329" i="3" a="1"/>
  <c r="M329" i="3" s="1"/>
  <c r="M330" i="3" a="1"/>
  <c r="M330" i="3" s="1"/>
  <c r="M331" i="3" a="1"/>
  <c r="M331" i="3" s="1"/>
  <c r="M332" i="3" a="1"/>
  <c r="M332" i="3" s="1"/>
  <c r="M333" i="3" a="1"/>
  <c r="M333" i="3" s="1"/>
  <c r="M334" i="3" a="1"/>
  <c r="M334" i="3" s="1"/>
  <c r="M335" i="3" a="1"/>
  <c r="M335" i="3" s="1"/>
  <c r="M336" i="3" a="1"/>
  <c r="M336" i="3" s="1"/>
  <c r="M337" i="3" a="1"/>
  <c r="M337" i="3" s="1"/>
  <c r="M338" i="3" a="1"/>
  <c r="M338" i="3"/>
  <c r="M339" i="3" a="1"/>
  <c r="M339" i="3" s="1"/>
  <c r="M340" i="3" a="1"/>
  <c r="M340" i="3" s="1"/>
  <c r="M341" i="3" a="1"/>
  <c r="M341" i="3" s="1"/>
  <c r="M342" i="3" a="1"/>
  <c r="M342" i="3" s="1"/>
  <c r="M343" i="3" a="1"/>
  <c r="M343" i="3" s="1"/>
  <c r="M344" i="3" a="1"/>
  <c r="M344" i="3" s="1"/>
  <c r="M345" i="3" a="1"/>
  <c r="M345" i="3" s="1"/>
  <c r="M346" i="3" a="1"/>
  <c r="M346" i="3" s="1"/>
  <c r="M347" i="3" a="1"/>
  <c r="M347" i="3" s="1"/>
  <c r="M348" i="3" a="1"/>
  <c r="M348" i="3" s="1"/>
  <c r="M349" i="3" a="1"/>
  <c r="M349" i="3" s="1"/>
  <c r="M350" i="3" a="1"/>
  <c r="M350" i="3" s="1"/>
  <c r="M351" i="3" a="1"/>
  <c r="M351" i="3" s="1"/>
  <c r="M352" i="3" a="1"/>
  <c r="M352" i="3" s="1"/>
  <c r="M353" i="3" a="1"/>
  <c r="M353" i="3" s="1"/>
  <c r="M354" i="3" a="1"/>
  <c r="M354" i="3" s="1"/>
  <c r="M355" i="3" a="1"/>
  <c r="M355" i="3" s="1"/>
  <c r="M356" i="3" a="1"/>
  <c r="M356" i="3" s="1"/>
  <c r="M357" i="3" a="1"/>
  <c r="M357" i="3" s="1"/>
  <c r="M358" i="3" a="1"/>
  <c r="M358" i="3" s="1"/>
  <c r="M359" i="3" a="1"/>
  <c r="M359" i="3" s="1"/>
  <c r="M360" i="3" a="1"/>
  <c r="M360" i="3" s="1"/>
  <c r="M361" i="3" a="1"/>
  <c r="M361" i="3" s="1"/>
  <c r="M362" i="3" a="1"/>
  <c r="M362" i="3" s="1"/>
  <c r="M363" i="3" a="1"/>
  <c r="M363" i="3" s="1"/>
  <c r="M364" i="3" a="1"/>
  <c r="M364" i="3" s="1"/>
  <c r="M365" i="3" a="1"/>
  <c r="M365" i="3" s="1"/>
  <c r="M366" i="3" a="1"/>
  <c r="M366" i="3" s="1"/>
  <c r="M367" i="3" a="1"/>
  <c r="M367" i="3" s="1"/>
  <c r="M368" i="3" a="1"/>
  <c r="M368" i="3" s="1"/>
  <c r="M369" i="3" a="1"/>
  <c r="M369" i="3" s="1"/>
  <c r="M370" i="3" a="1"/>
  <c r="M370" i="3" s="1"/>
  <c r="M371" i="3" a="1"/>
  <c r="M371" i="3" s="1"/>
  <c r="M372" i="3" a="1"/>
  <c r="M372" i="3" s="1"/>
  <c r="M373" i="3" a="1"/>
  <c r="M373" i="3" s="1"/>
  <c r="M374" i="3" a="1"/>
  <c r="M374" i="3" s="1"/>
  <c r="M375" i="3" a="1"/>
  <c r="M375" i="3" s="1"/>
  <c r="M376" i="3" a="1"/>
  <c r="M376" i="3" s="1"/>
  <c r="M377" i="3" a="1"/>
  <c r="M377" i="3" s="1"/>
  <c r="M378" i="3" a="1"/>
  <c r="M378" i="3" s="1"/>
  <c r="M379" i="3" a="1"/>
  <c r="M379" i="3" s="1"/>
  <c r="M380" i="3" a="1"/>
  <c r="M380" i="3" s="1"/>
  <c r="M381" i="3" a="1"/>
  <c r="M381" i="3" s="1"/>
  <c r="M382" i="3" a="1"/>
  <c r="M382" i="3" s="1"/>
  <c r="M383" i="3" a="1"/>
  <c r="M383" i="3" s="1"/>
  <c r="M384" i="3" a="1"/>
  <c r="M384" i="3"/>
  <c r="M385" i="3" a="1"/>
  <c r="M385" i="3" s="1"/>
  <c r="M386" i="3" a="1"/>
  <c r="M386" i="3" s="1"/>
  <c r="M387" i="3" a="1"/>
  <c r="M387" i="3" s="1"/>
  <c r="M388" i="3" a="1"/>
  <c r="M388" i="3" s="1"/>
  <c r="M389" i="3" a="1"/>
  <c r="M389" i="3" s="1"/>
  <c r="M390" i="3" a="1"/>
  <c r="M390" i="3" s="1"/>
  <c r="M391" i="3" a="1"/>
  <c r="M391" i="3" s="1"/>
  <c r="M392" i="3" a="1"/>
  <c r="M392" i="3" s="1"/>
  <c r="M393" i="3" a="1"/>
  <c r="M393" i="3" s="1"/>
  <c r="M394" i="3" a="1"/>
  <c r="M394" i="3" s="1"/>
  <c r="M395" i="3" a="1"/>
  <c r="M395" i="3" s="1"/>
  <c r="M396" i="3" a="1"/>
  <c r="M396" i="3" s="1"/>
  <c r="M397" i="3" a="1"/>
  <c r="M397" i="3" s="1"/>
  <c r="M398" i="3" a="1"/>
  <c r="M398" i="3" s="1"/>
  <c r="M399" i="3" a="1"/>
  <c r="M399" i="3" s="1"/>
  <c r="M400" i="3" a="1"/>
  <c r="M400" i="3" s="1"/>
  <c r="M401" i="3" a="1"/>
  <c r="M401" i="3" s="1"/>
  <c r="M402" i="3" a="1"/>
  <c r="M402" i="3" s="1"/>
  <c r="M403" i="3" a="1"/>
  <c r="M403" i="3" s="1"/>
  <c r="M404" i="3" a="1"/>
  <c r="M404" i="3" s="1"/>
  <c r="M405" i="3" a="1"/>
  <c r="M405" i="3" s="1"/>
  <c r="M406" i="3" a="1"/>
  <c r="M406" i="3" s="1"/>
  <c r="M407" i="3" a="1"/>
  <c r="M407" i="3" s="1"/>
  <c r="M408" i="3" a="1"/>
  <c r="M408" i="3" s="1"/>
  <c r="M409" i="3" a="1"/>
  <c r="M409" i="3" s="1"/>
  <c r="M410" i="3" a="1"/>
  <c r="M410" i="3" s="1"/>
  <c r="M411" i="3" a="1"/>
  <c r="M411" i="3" s="1"/>
  <c r="M412" i="3" a="1"/>
  <c r="M412" i="3" s="1"/>
  <c r="M413" i="3" a="1"/>
  <c r="M413" i="3" s="1"/>
  <c r="M414" i="3" a="1"/>
  <c r="M414" i="3" s="1"/>
  <c r="M415" i="3" a="1"/>
  <c r="M415" i="3" s="1"/>
  <c r="M416" i="3" a="1"/>
  <c r="M416" i="3" s="1"/>
  <c r="M417" i="3" a="1"/>
  <c r="M417" i="3" s="1"/>
  <c r="M418" i="3" a="1"/>
  <c r="M418" i="3" s="1"/>
  <c r="M419" i="3" a="1"/>
  <c r="M419" i="3" s="1"/>
  <c r="M420" i="3" a="1"/>
  <c r="M420" i="3" s="1"/>
  <c r="M421" i="3" a="1"/>
  <c r="M421" i="3" s="1"/>
  <c r="M422" i="3" a="1"/>
  <c r="M422" i="3" s="1"/>
  <c r="M423" i="3" a="1"/>
  <c r="M423" i="3" s="1"/>
  <c r="M424" i="3" a="1"/>
  <c r="M424" i="3" s="1"/>
  <c r="M425" i="3" a="1"/>
  <c r="M425" i="3" s="1"/>
  <c r="M426" i="3" a="1"/>
  <c r="M426" i="3" s="1"/>
  <c r="M427" i="3" a="1"/>
  <c r="M427" i="3" s="1"/>
  <c r="M428" i="3" a="1"/>
  <c r="M428" i="3" s="1"/>
  <c r="M429" i="3" a="1"/>
  <c r="M429" i="3" s="1"/>
  <c r="M430" i="3" a="1"/>
  <c r="M430" i="3" s="1"/>
  <c r="M431" i="3" a="1"/>
  <c r="M431" i="3" s="1"/>
  <c r="M432" i="3" a="1"/>
  <c r="M432" i="3" s="1"/>
  <c r="M433" i="3" a="1"/>
  <c r="M433" i="3" s="1"/>
  <c r="M434" i="3" a="1"/>
  <c r="M434" i="3" s="1"/>
  <c r="M435" i="3" a="1"/>
  <c r="M435" i="3" s="1"/>
  <c r="M436" i="3" a="1"/>
  <c r="M436" i="3" s="1"/>
  <c r="M437" i="3" a="1"/>
  <c r="M437" i="3" s="1"/>
  <c r="M438" i="3" a="1"/>
  <c r="M438" i="3" s="1"/>
  <c r="M439" i="3" a="1"/>
  <c r="M439" i="3" s="1"/>
  <c r="M440" i="3" a="1"/>
  <c r="M440" i="3" s="1"/>
  <c r="M441" i="3" a="1"/>
  <c r="M441" i="3" s="1"/>
  <c r="M442" i="3" a="1"/>
  <c r="M442" i="3" s="1"/>
  <c r="M443" i="3" a="1"/>
  <c r="M443" i="3" s="1"/>
  <c r="M444" i="3" a="1"/>
  <c r="M444" i="3" s="1"/>
  <c r="M445" i="3" a="1"/>
  <c r="M445" i="3" s="1"/>
  <c r="M446" i="3" a="1"/>
  <c r="M446" i="3" s="1"/>
  <c r="M447" i="3" a="1"/>
  <c r="M447" i="3" s="1"/>
  <c r="M448" i="3" a="1"/>
  <c r="M448" i="3" s="1"/>
  <c r="M449" i="3" a="1"/>
  <c r="M449" i="3" s="1"/>
  <c r="M450" i="3" a="1"/>
  <c r="M450" i="3"/>
  <c r="M451" i="3" a="1"/>
  <c r="M451" i="3" s="1"/>
  <c r="M452" i="3" a="1"/>
  <c r="M452" i="3" s="1"/>
  <c r="M453" i="3" a="1"/>
  <c r="M453" i="3" s="1"/>
  <c r="M454" i="3" a="1"/>
  <c r="M454" i="3" s="1"/>
  <c r="M455" i="3" a="1"/>
  <c r="M455" i="3" s="1"/>
  <c r="M456" i="3" a="1"/>
  <c r="M456" i="3" s="1"/>
  <c r="M457" i="3" a="1"/>
  <c r="M457" i="3" s="1"/>
  <c r="M458" i="3" a="1"/>
  <c r="M458" i="3" s="1"/>
  <c r="M459" i="3" a="1"/>
  <c r="M459" i="3" s="1"/>
  <c r="M460" i="3" a="1"/>
  <c r="M460" i="3" s="1"/>
  <c r="M461" i="3" a="1"/>
  <c r="M461" i="3" s="1"/>
  <c r="M462" i="3" a="1"/>
  <c r="M462" i="3" s="1"/>
  <c r="M463" i="3" a="1"/>
  <c r="M463" i="3" s="1"/>
  <c r="M464" i="3" a="1"/>
  <c r="M464" i="3" s="1"/>
  <c r="M465" i="3" a="1"/>
  <c r="M465" i="3" s="1"/>
  <c r="M466" i="3" a="1"/>
  <c r="M466" i="3" s="1"/>
  <c r="M467" i="3" a="1"/>
  <c r="M467" i="3" s="1"/>
  <c r="M468" i="3" a="1"/>
  <c r="M468" i="3" s="1"/>
  <c r="M469" i="3" a="1"/>
  <c r="M469" i="3" s="1"/>
  <c r="M470" i="3" a="1"/>
  <c r="M470" i="3" s="1"/>
  <c r="M471" i="3" a="1"/>
  <c r="M471" i="3" s="1"/>
  <c r="M472" i="3" a="1"/>
  <c r="M472" i="3" s="1"/>
  <c r="M473" i="3" a="1"/>
  <c r="M473" i="3" s="1"/>
  <c r="M474" i="3" a="1"/>
  <c r="M474" i="3" s="1"/>
  <c r="M475" i="3" a="1"/>
  <c r="M475" i="3" s="1"/>
  <c r="M476" i="3" a="1"/>
  <c r="M476" i="3" s="1"/>
  <c r="M477" i="3" a="1"/>
  <c r="M477" i="3" s="1"/>
  <c r="M478" i="3" a="1"/>
  <c r="M478" i="3" s="1"/>
  <c r="M479" i="3" a="1"/>
  <c r="M479" i="3" s="1"/>
  <c r="M480" i="3" a="1"/>
  <c r="M480" i="3" s="1"/>
  <c r="M481" i="3" a="1"/>
  <c r="M481" i="3" s="1"/>
  <c r="M482" i="3" a="1"/>
  <c r="M482" i="3" s="1"/>
  <c r="M483" i="3" a="1"/>
  <c r="M483" i="3" s="1"/>
  <c r="M484" i="3" a="1"/>
  <c r="M484" i="3" s="1"/>
  <c r="M485" i="3" a="1"/>
  <c r="M485" i="3" s="1"/>
  <c r="M486" i="3" a="1"/>
  <c r="M486" i="3" s="1"/>
  <c r="M487" i="3" a="1"/>
  <c r="M487" i="3" s="1"/>
  <c r="M488" i="3" a="1"/>
  <c r="M488" i="3" s="1"/>
  <c r="M489" i="3" a="1"/>
  <c r="M489" i="3" s="1"/>
  <c r="M490" i="3" a="1"/>
  <c r="M490" i="3" s="1"/>
  <c r="M491" i="3" a="1"/>
  <c r="M491" i="3" s="1"/>
  <c r="M492" i="3" a="1"/>
  <c r="M492" i="3" s="1"/>
  <c r="M493" i="3" a="1"/>
  <c r="M493" i="3" s="1"/>
  <c r="M494" i="3" a="1"/>
  <c r="M494" i="3" s="1"/>
  <c r="M495" i="3" a="1"/>
  <c r="M495" i="3" s="1"/>
  <c r="M496" i="3" a="1"/>
  <c r="M496" i="3" s="1"/>
  <c r="M497" i="3" a="1"/>
  <c r="M497" i="3" s="1"/>
  <c r="M498" i="3" a="1"/>
  <c r="M498" i="3" s="1"/>
  <c r="M499" i="3" a="1"/>
  <c r="M499" i="3" s="1"/>
  <c r="M500" i="3" a="1"/>
  <c r="M500" i="3" s="1"/>
  <c r="M501" i="3" a="1"/>
  <c r="M501" i="3" s="1"/>
  <c r="M502" i="3" a="1"/>
  <c r="M502" i="3" s="1"/>
  <c r="M503" i="3" a="1"/>
  <c r="M503" i="3" s="1"/>
  <c r="M504" i="3" a="1"/>
  <c r="M504" i="3" s="1"/>
  <c r="M505" i="3" a="1"/>
  <c r="M505" i="3" s="1"/>
  <c r="M506" i="3" a="1"/>
  <c r="M506" i="3" s="1"/>
  <c r="M507" i="3" a="1"/>
  <c r="M507" i="3" s="1"/>
  <c r="M508" i="3" a="1"/>
  <c r="M508" i="3" s="1"/>
  <c r="M509" i="3" a="1"/>
  <c r="M509" i="3" s="1"/>
  <c r="M510" i="3" a="1"/>
  <c r="M510" i="3" s="1"/>
  <c r="M511" i="3" a="1"/>
  <c r="M511" i="3" s="1"/>
  <c r="M512" i="3" a="1"/>
  <c r="M512" i="3" s="1"/>
  <c r="M513" i="3" a="1"/>
  <c r="M513" i="3" s="1"/>
  <c r="M514" i="3" a="1"/>
  <c r="M514" i="3" s="1"/>
  <c r="M515" i="3" a="1"/>
  <c r="M515" i="3"/>
  <c r="M516" i="3" a="1"/>
  <c r="M516" i="3" s="1"/>
  <c r="M517" i="3" a="1"/>
  <c r="M517" i="3"/>
  <c r="M518" i="3" a="1"/>
  <c r="M518" i="3" s="1"/>
  <c r="M519" i="3" a="1"/>
  <c r="M519" i="3" s="1"/>
  <c r="M520" i="3" a="1"/>
  <c r="M520" i="3" s="1"/>
  <c r="M521" i="3" a="1"/>
  <c r="M521" i="3" s="1"/>
  <c r="M522" i="3" a="1"/>
  <c r="M522" i="3" s="1"/>
  <c r="M523" i="3" a="1"/>
  <c r="M523" i="3" s="1"/>
  <c r="M524" i="3" a="1"/>
  <c r="M524" i="3" s="1"/>
  <c r="M525" i="3" a="1"/>
  <c r="M525" i="3"/>
  <c r="M526" i="3" a="1"/>
  <c r="M526" i="3" s="1"/>
  <c r="M527" i="3" a="1"/>
  <c r="M527" i="3" s="1"/>
  <c r="M528" i="3" a="1"/>
  <c r="M528" i="3" s="1"/>
  <c r="M529" i="3" a="1"/>
  <c r="M529" i="3" s="1"/>
  <c r="M530" i="3" a="1"/>
  <c r="M530" i="3" s="1"/>
  <c r="M531" i="3" a="1"/>
  <c r="M531" i="3"/>
  <c r="M532" i="3" a="1"/>
  <c r="M532" i="3" s="1"/>
  <c r="M533" i="3" a="1"/>
  <c r="M533" i="3"/>
  <c r="M534" i="3" a="1"/>
  <c r="M534" i="3" s="1"/>
  <c r="M535" i="3" a="1"/>
  <c r="M535" i="3" s="1"/>
  <c r="M536" i="3" a="1"/>
  <c r="M536" i="3" s="1"/>
  <c r="M537" i="3" a="1"/>
  <c r="M537" i="3" s="1"/>
  <c r="M538" i="3" a="1"/>
  <c r="M538" i="3" s="1"/>
  <c r="M539" i="3" a="1"/>
  <c r="M539" i="3" s="1"/>
  <c r="M540" i="3" a="1"/>
  <c r="M540" i="3" s="1"/>
  <c r="M541" i="3" a="1"/>
  <c r="M541" i="3"/>
  <c r="M542" i="3" a="1"/>
  <c r="M542" i="3" s="1"/>
  <c r="M543" i="3" a="1"/>
  <c r="M543" i="3" s="1"/>
  <c r="M544" i="3" a="1"/>
  <c r="M544" i="3" s="1"/>
  <c r="M545" i="3" a="1"/>
  <c r="M545" i="3" s="1"/>
  <c r="M546" i="3" a="1"/>
  <c r="M546" i="3" s="1"/>
  <c r="M547" i="3" a="1"/>
  <c r="M547" i="3" s="1"/>
  <c r="M548" i="3" a="1"/>
  <c r="M548" i="3" s="1"/>
  <c r="M549" i="3" a="1"/>
  <c r="M549" i="3" s="1"/>
  <c r="M550" i="3" a="1"/>
  <c r="M550" i="3" s="1"/>
  <c r="M551" i="3" a="1"/>
  <c r="M551" i="3" s="1"/>
  <c r="M552" i="3" a="1"/>
  <c r="M552" i="3" s="1"/>
  <c r="M553" i="3" a="1"/>
  <c r="M553" i="3" s="1"/>
  <c r="M554" i="3" a="1"/>
  <c r="M554" i="3" s="1"/>
  <c r="M555" i="3" a="1"/>
  <c r="M555" i="3"/>
  <c r="M556" i="3" a="1"/>
  <c r="M556" i="3" s="1"/>
  <c r="M557" i="3" a="1"/>
  <c r="M557" i="3" s="1"/>
  <c r="M558" i="3" a="1"/>
  <c r="M558" i="3" s="1"/>
  <c r="M559" i="3" a="1"/>
  <c r="M559" i="3" s="1"/>
  <c r="M560" i="3" a="1"/>
  <c r="M560" i="3" s="1"/>
  <c r="M561" i="3" a="1"/>
  <c r="M561" i="3" s="1"/>
  <c r="M562" i="3" a="1"/>
  <c r="M562" i="3" s="1"/>
  <c r="M563" i="3" a="1"/>
  <c r="M563" i="3" s="1"/>
  <c r="M564" i="3" a="1"/>
  <c r="M564" i="3" s="1"/>
  <c r="M565" i="3" a="1"/>
  <c r="M565" i="3" s="1"/>
  <c r="M566" i="3" a="1"/>
  <c r="M566" i="3" s="1"/>
  <c r="M567" i="3" a="1"/>
  <c r="M567" i="3" s="1"/>
  <c r="M568" i="3" a="1"/>
  <c r="M568" i="3" s="1"/>
  <c r="M569" i="3" a="1"/>
  <c r="M569" i="3" s="1"/>
  <c r="M570" i="3" a="1"/>
  <c r="M570" i="3" s="1"/>
  <c r="M571" i="3" a="1"/>
  <c r="M571" i="3" s="1"/>
  <c r="M572" i="3" a="1"/>
  <c r="M572" i="3" s="1"/>
  <c r="M573" i="3" a="1"/>
  <c r="M573" i="3" s="1"/>
  <c r="M574" i="3" a="1"/>
  <c r="M574" i="3" s="1"/>
  <c r="M575" i="3" a="1"/>
  <c r="M575" i="3" s="1"/>
  <c r="M576" i="3" a="1"/>
  <c r="M576" i="3" s="1"/>
  <c r="M577" i="3" a="1"/>
  <c r="M577" i="3" s="1"/>
  <c r="M578" i="3" a="1"/>
  <c r="M578" i="3" s="1"/>
  <c r="M579" i="3" a="1"/>
  <c r="M579" i="3" s="1"/>
  <c r="M580" i="3" a="1"/>
  <c r="M580" i="3" s="1"/>
  <c r="M581" i="3" a="1"/>
  <c r="M581" i="3" s="1"/>
  <c r="M582" i="3" a="1"/>
  <c r="M582" i="3" s="1"/>
  <c r="M583" i="3" a="1"/>
  <c r="M583" i="3" s="1"/>
  <c r="M584" i="3" a="1"/>
  <c r="M584" i="3" s="1"/>
  <c r="M585" i="3" a="1"/>
  <c r="M585" i="3" s="1"/>
  <c r="M586" i="3" a="1"/>
  <c r="M586" i="3" s="1"/>
  <c r="M587" i="3" a="1"/>
  <c r="M587" i="3" s="1"/>
  <c r="M588" i="3" a="1"/>
  <c r="M588" i="3" s="1"/>
  <c r="M589" i="3" a="1"/>
  <c r="M589" i="3"/>
  <c r="M590" i="3" a="1"/>
  <c r="M590" i="3" s="1"/>
  <c r="M591" i="3" a="1"/>
  <c r="M591" i="3" s="1"/>
  <c r="M592" i="3" a="1"/>
  <c r="M592" i="3" s="1"/>
  <c r="M593" i="3" a="1"/>
  <c r="M593" i="3" s="1"/>
  <c r="M594" i="3" a="1"/>
  <c r="M594" i="3" s="1"/>
  <c r="M595" i="3" a="1"/>
  <c r="M595" i="3" s="1"/>
  <c r="M596" i="3" a="1"/>
  <c r="M596" i="3" s="1"/>
  <c r="M597" i="3" a="1"/>
  <c r="M597" i="3" s="1"/>
  <c r="M598" i="3" a="1"/>
  <c r="M598" i="3" s="1"/>
  <c r="M599" i="3" a="1"/>
  <c r="M599" i="3" s="1"/>
  <c r="M600" i="3" a="1"/>
  <c r="M600" i="3" s="1"/>
  <c r="M601" i="3" a="1"/>
  <c r="M601" i="3" s="1"/>
  <c r="M602" i="3" a="1"/>
  <c r="M602" i="3" s="1"/>
  <c r="M603" i="3" a="1"/>
  <c r="M603" i="3" s="1"/>
  <c r="M604" i="3" a="1"/>
  <c r="M604" i="3" s="1"/>
  <c r="M605" i="3" a="1"/>
  <c r="M605" i="3" s="1"/>
  <c r="M606" i="3" a="1"/>
  <c r="M606" i="3" s="1"/>
  <c r="M607" i="3" a="1"/>
  <c r="M607" i="3" s="1"/>
  <c r="M608" i="3" a="1"/>
  <c r="M608" i="3" s="1"/>
  <c r="M609" i="3" a="1"/>
  <c r="M609" i="3" s="1"/>
  <c r="M610" i="3" a="1"/>
  <c r="M610" i="3" s="1"/>
  <c r="M611" i="3" a="1"/>
  <c r="M611" i="3" s="1"/>
  <c r="M612" i="3" a="1"/>
  <c r="M612" i="3" s="1"/>
  <c r="M613" i="3" a="1"/>
  <c r="M613" i="3" s="1"/>
  <c r="M614" i="3" a="1"/>
  <c r="M614" i="3" s="1"/>
  <c r="M615" i="3" a="1"/>
  <c r="M615" i="3" s="1"/>
  <c r="M616" i="3" a="1"/>
  <c r="M616" i="3" s="1"/>
  <c r="M617" i="3" a="1"/>
  <c r="M617" i="3" s="1"/>
  <c r="M618" i="3" a="1"/>
  <c r="M618" i="3" s="1"/>
  <c r="M619" i="3" a="1"/>
  <c r="M619" i="3" s="1"/>
  <c r="M620" i="3" a="1"/>
  <c r="M620" i="3" s="1"/>
  <c r="M621" i="3" a="1"/>
  <c r="M621" i="3"/>
  <c r="M622" i="3" a="1"/>
  <c r="M622" i="3" s="1"/>
  <c r="M623" i="3" a="1"/>
  <c r="M623" i="3" s="1"/>
  <c r="M624" i="3" a="1"/>
  <c r="M624" i="3" s="1"/>
  <c r="M625" i="3" a="1"/>
  <c r="M625" i="3" s="1"/>
  <c r="M626" i="3" a="1"/>
  <c r="M626" i="3" s="1"/>
  <c r="M627" i="3" a="1"/>
  <c r="M627" i="3" s="1"/>
  <c r="M628" i="3" a="1"/>
  <c r="M628" i="3" s="1"/>
  <c r="M629" i="3" a="1"/>
  <c r="M629" i="3" s="1"/>
  <c r="M630" i="3" a="1"/>
  <c r="M630" i="3" s="1"/>
  <c r="M631" i="3" a="1"/>
  <c r="M631" i="3" s="1"/>
  <c r="M632" i="3" a="1"/>
  <c r="M632" i="3" s="1"/>
  <c r="M633" i="3" a="1"/>
  <c r="M633" i="3" s="1"/>
  <c r="M634" i="3" a="1"/>
  <c r="M634" i="3" s="1"/>
  <c r="M635" i="3" a="1"/>
  <c r="M635" i="3" s="1"/>
  <c r="M636" i="3" a="1"/>
  <c r="M636" i="3" s="1"/>
  <c r="M637" i="3" a="1"/>
  <c r="M637" i="3" s="1"/>
  <c r="M638" i="3" a="1"/>
  <c r="M638" i="3" s="1"/>
  <c r="M639" i="3" a="1"/>
  <c r="M639" i="3" s="1"/>
  <c r="M640" i="3" a="1"/>
  <c r="M640" i="3" s="1"/>
  <c r="M641" i="3" a="1"/>
  <c r="M641" i="3" s="1"/>
  <c r="M642" i="3" a="1"/>
  <c r="M642" i="3" s="1"/>
  <c r="M643" i="3" a="1"/>
  <c r="M643" i="3" s="1"/>
  <c r="M644" i="3" a="1"/>
  <c r="M644" i="3" s="1"/>
  <c r="M645" i="3" a="1"/>
  <c r="M645" i="3" s="1"/>
  <c r="M646" i="3" a="1"/>
  <c r="M646" i="3" s="1"/>
  <c r="M647" i="3" a="1"/>
  <c r="M647" i="3" s="1"/>
  <c r="M648" i="3" a="1"/>
  <c r="M648" i="3" s="1"/>
  <c r="M649" i="3" a="1"/>
  <c r="M649" i="3" s="1"/>
  <c r="M650" i="3" a="1"/>
  <c r="M650" i="3" s="1"/>
  <c r="M651" i="3" a="1"/>
  <c r="M651" i="3"/>
  <c r="M652" i="3" a="1"/>
  <c r="M652" i="3" s="1"/>
  <c r="M653" i="3" a="1"/>
  <c r="M653" i="3"/>
  <c r="M654" i="3" a="1"/>
  <c r="M654" i="3" s="1"/>
  <c r="M655" i="3" a="1"/>
  <c r="M655" i="3" s="1"/>
  <c r="M656" i="3" a="1"/>
  <c r="M656" i="3" s="1"/>
  <c r="M657" i="3" a="1"/>
  <c r="M657" i="3" s="1"/>
  <c r="M658" i="3" a="1"/>
  <c r="M658" i="3" s="1"/>
  <c r="M659" i="3" a="1"/>
  <c r="M659" i="3" s="1"/>
  <c r="M660" i="3" a="1"/>
  <c r="M660" i="3" s="1"/>
  <c r="M661" i="3" a="1"/>
  <c r="M661" i="3" s="1"/>
  <c r="M662" i="3" a="1"/>
  <c r="M662" i="3" s="1"/>
  <c r="M663" i="3" a="1"/>
  <c r="M663" i="3" s="1"/>
  <c r="M664" i="3" a="1"/>
  <c r="M664" i="3" s="1"/>
  <c r="M665" i="3" a="1"/>
  <c r="M665" i="3" s="1"/>
  <c r="M666" i="3" a="1"/>
  <c r="M666" i="3" s="1"/>
  <c r="M667" i="3" a="1"/>
  <c r="M667" i="3" s="1"/>
  <c r="M668" i="3" a="1"/>
  <c r="M668" i="3" s="1"/>
  <c r="M669" i="3" a="1"/>
  <c r="M669" i="3"/>
  <c r="M670" i="3" a="1"/>
  <c r="M670" i="3" s="1"/>
  <c r="M671" i="3" a="1"/>
  <c r="M671" i="3" s="1"/>
  <c r="M672" i="3" a="1"/>
  <c r="M672" i="3" s="1"/>
  <c r="M673" i="3" a="1"/>
  <c r="M673" i="3" s="1"/>
  <c r="M674" i="3" a="1"/>
  <c r="M674" i="3" s="1"/>
  <c r="M675" i="3" a="1"/>
  <c r="M675" i="3" s="1"/>
  <c r="M676" i="3" a="1"/>
  <c r="M676" i="3" s="1"/>
  <c r="M677" i="3" a="1"/>
  <c r="M677" i="3" s="1"/>
  <c r="M678" i="3" a="1"/>
  <c r="M678" i="3" s="1"/>
  <c r="M679" i="3" a="1"/>
  <c r="M679" i="3" s="1"/>
  <c r="M680" i="3" a="1"/>
  <c r="M680" i="3" s="1"/>
  <c r="M681" i="3" a="1"/>
  <c r="M681" i="3" s="1"/>
  <c r="M682" i="3" a="1"/>
  <c r="M682" i="3" s="1"/>
  <c r="M683" i="3" a="1"/>
  <c r="M683" i="3" s="1"/>
  <c r="M684" i="3" a="1"/>
  <c r="M684" i="3" s="1"/>
  <c r="M685" i="3" a="1"/>
  <c r="M685" i="3" s="1"/>
  <c r="M686" i="3" a="1"/>
  <c r="M686" i="3" s="1"/>
  <c r="M687" i="3" a="1"/>
  <c r="M687" i="3" s="1"/>
  <c r="M688" i="3" a="1"/>
  <c r="M688" i="3" s="1"/>
  <c r="M689" i="3" a="1"/>
  <c r="M689" i="3" s="1"/>
  <c r="M690" i="3" a="1"/>
  <c r="M690" i="3" s="1"/>
  <c r="M691" i="3" a="1"/>
  <c r="M691" i="3" s="1"/>
  <c r="M692" i="3" a="1"/>
  <c r="M692" i="3" s="1"/>
  <c r="M693" i="3" a="1"/>
  <c r="M693" i="3" s="1"/>
  <c r="M694" i="3" a="1"/>
  <c r="M694" i="3" s="1"/>
  <c r="M695" i="3" a="1"/>
  <c r="M695" i="3" s="1"/>
  <c r="M696" i="3" a="1"/>
  <c r="M696" i="3" s="1"/>
  <c r="M697" i="3" a="1"/>
  <c r="M697" i="3" s="1"/>
  <c r="M698" i="3" a="1"/>
  <c r="M698" i="3" s="1"/>
  <c r="M699" i="3" a="1"/>
  <c r="M699" i="3" s="1"/>
  <c r="M700" i="3" a="1"/>
  <c r="M700" i="3" s="1"/>
  <c r="M701" i="3" a="1"/>
  <c r="M701" i="3" s="1"/>
  <c r="M702" i="3" a="1"/>
  <c r="M702" i="3" s="1"/>
  <c r="M703" i="3" a="1"/>
  <c r="M703" i="3" s="1"/>
  <c r="M704" i="3" a="1"/>
  <c r="M704" i="3" s="1"/>
  <c r="M705" i="3" a="1"/>
  <c r="M705" i="3" s="1"/>
  <c r="M706" i="3" a="1"/>
  <c r="M706" i="3" s="1"/>
  <c r="M707" i="3" a="1"/>
  <c r="M707" i="3" s="1"/>
  <c r="M708" i="3" a="1"/>
  <c r="M708" i="3" s="1"/>
  <c r="M709" i="3" a="1"/>
  <c r="M709" i="3" s="1"/>
  <c r="M710" i="3" a="1"/>
  <c r="M710" i="3" s="1"/>
  <c r="M711" i="3" a="1"/>
  <c r="M711" i="3" s="1"/>
  <c r="M712" i="3" a="1"/>
  <c r="M712" i="3" s="1"/>
  <c r="M713" i="3" a="1"/>
  <c r="M713" i="3" s="1"/>
  <c r="M714" i="3" a="1"/>
  <c r="M714" i="3" s="1"/>
  <c r="M715" i="3" a="1"/>
  <c r="M715" i="3" s="1"/>
  <c r="M716" i="3" a="1"/>
  <c r="M716" i="3" s="1"/>
  <c r="M717" i="3" a="1"/>
  <c r="M717" i="3" s="1"/>
  <c r="M718" i="3" a="1"/>
  <c r="M718" i="3" s="1"/>
  <c r="M719" i="3" a="1"/>
  <c r="M719" i="3" s="1"/>
  <c r="M720" i="3" a="1"/>
  <c r="M720" i="3" s="1"/>
  <c r="M721" i="3" a="1"/>
  <c r="M721" i="3" s="1"/>
  <c r="M722" i="3" a="1"/>
  <c r="M722" i="3" s="1"/>
  <c r="M723" i="3" a="1"/>
  <c r="M723" i="3" s="1"/>
  <c r="M724" i="3" a="1"/>
  <c r="M724" i="3" s="1"/>
  <c r="M725" i="3" a="1"/>
  <c r="M725" i="3" s="1"/>
  <c r="M726" i="3" a="1"/>
  <c r="M726" i="3" s="1"/>
  <c r="M727" i="3" a="1"/>
  <c r="M727" i="3" s="1"/>
  <c r="M728" i="3" a="1"/>
  <c r="M728" i="3" s="1"/>
  <c r="M729" i="3" a="1"/>
  <c r="M729" i="3" s="1"/>
  <c r="M730" i="3" a="1"/>
  <c r="M730" i="3" s="1"/>
  <c r="M731" i="3" a="1"/>
  <c r="M731" i="3" s="1"/>
  <c r="M732" i="3" a="1"/>
  <c r="M732" i="3" s="1"/>
  <c r="M733" i="3" a="1"/>
  <c r="M733" i="3" s="1"/>
  <c r="M734" i="3" a="1"/>
  <c r="M734" i="3" s="1"/>
  <c r="M735" i="3" a="1"/>
  <c r="M735" i="3" s="1"/>
  <c r="M736" i="3" a="1"/>
  <c r="M736" i="3" s="1"/>
  <c r="M737" i="3" a="1"/>
  <c r="M737" i="3" s="1"/>
  <c r="M738" i="3" a="1"/>
  <c r="M738" i="3" s="1"/>
  <c r="M739" i="3" a="1"/>
  <c r="M739" i="3" s="1"/>
  <c r="M740" i="3" a="1"/>
  <c r="M740" i="3" s="1"/>
  <c r="M741" i="3" a="1"/>
  <c r="M741" i="3" s="1"/>
  <c r="M742" i="3" a="1"/>
  <c r="M742" i="3" s="1"/>
  <c r="M743" i="3" a="1"/>
  <c r="M743" i="3" s="1"/>
  <c r="M744" i="3" a="1"/>
  <c r="M744" i="3" s="1"/>
  <c r="M745" i="3" a="1"/>
  <c r="M745" i="3" s="1"/>
  <c r="M746" i="3" a="1"/>
  <c r="M746" i="3" s="1"/>
  <c r="M747" i="3" a="1"/>
  <c r="M747" i="3"/>
  <c r="M748" i="3" a="1"/>
  <c r="M748" i="3" s="1"/>
  <c r="M749" i="3" a="1"/>
  <c r="M749" i="3"/>
  <c r="M750" i="3" a="1"/>
  <c r="M750" i="3" s="1"/>
  <c r="M751" i="3" a="1"/>
  <c r="M751" i="3" s="1"/>
  <c r="M752" i="3" a="1"/>
  <c r="M752" i="3" s="1"/>
  <c r="M753" i="3" a="1"/>
  <c r="M753" i="3" s="1"/>
  <c r="M754" i="3" a="1"/>
  <c r="M754" i="3" s="1"/>
  <c r="M755" i="3" a="1"/>
  <c r="M755" i="3" s="1"/>
  <c r="M756" i="3" a="1"/>
  <c r="M756" i="3" s="1"/>
  <c r="M757" i="3" a="1"/>
  <c r="M757" i="3" s="1"/>
  <c r="M758" i="3" a="1"/>
  <c r="M758" i="3" s="1"/>
  <c r="M759" i="3" a="1"/>
  <c r="M759" i="3" s="1"/>
  <c r="M760" i="3" a="1"/>
  <c r="M760" i="3" s="1"/>
  <c r="M761" i="3" a="1"/>
  <c r="M761" i="3" s="1"/>
  <c r="M762" i="3" a="1"/>
  <c r="M762" i="3" s="1"/>
  <c r="M763" i="3" a="1"/>
  <c r="M763" i="3" s="1"/>
  <c r="M764" i="3" a="1"/>
  <c r="M764" i="3" s="1"/>
  <c r="M765" i="3" a="1"/>
  <c r="M765" i="3"/>
  <c r="M766" i="3" a="1"/>
  <c r="M766" i="3" s="1"/>
  <c r="M767" i="3" a="1"/>
  <c r="M767" i="3" s="1"/>
  <c r="M768" i="3" a="1"/>
  <c r="M768" i="3" s="1"/>
  <c r="M769" i="3" a="1"/>
  <c r="M769" i="3" s="1"/>
  <c r="M770" i="3" a="1"/>
  <c r="M770" i="3" s="1"/>
  <c r="M771" i="3" a="1"/>
  <c r="M771" i="3" s="1"/>
  <c r="M772" i="3" a="1"/>
  <c r="M772" i="3" s="1"/>
  <c r="M773" i="3" a="1"/>
  <c r="M773" i="3" s="1"/>
  <c r="M774" i="3" a="1"/>
  <c r="M774" i="3" s="1"/>
  <c r="M775" i="3" a="1"/>
  <c r="M775" i="3" s="1"/>
  <c r="M776" i="3" a="1"/>
  <c r="M776" i="3" s="1"/>
  <c r="M777" i="3" a="1"/>
  <c r="M777" i="3" s="1"/>
  <c r="M778" i="3" a="1"/>
  <c r="M778" i="3" s="1"/>
  <c r="M779" i="3" a="1"/>
  <c r="M779" i="3"/>
  <c r="M780" i="3" a="1"/>
  <c r="M780" i="3" s="1"/>
  <c r="M781" i="3" a="1"/>
  <c r="M781" i="3" s="1"/>
  <c r="M782" i="3" a="1"/>
  <c r="M782" i="3" s="1"/>
  <c r="M783" i="3" a="1"/>
  <c r="M783" i="3" s="1"/>
  <c r="M784" i="3" a="1"/>
  <c r="M784" i="3" s="1"/>
  <c r="M785" i="3" a="1"/>
  <c r="M785" i="3" s="1"/>
  <c r="M786" i="3" a="1"/>
  <c r="M786" i="3" s="1"/>
  <c r="M787" i="3" a="1"/>
  <c r="M787" i="3" s="1"/>
  <c r="M788" i="3" a="1"/>
  <c r="M788" i="3" s="1"/>
  <c r="M789" i="3" a="1"/>
  <c r="M789" i="3" s="1"/>
  <c r="M790" i="3" a="1"/>
  <c r="M790" i="3" s="1"/>
  <c r="M791" i="3" a="1"/>
  <c r="M791" i="3" s="1"/>
  <c r="M792" i="3" a="1"/>
  <c r="M792" i="3" s="1"/>
  <c r="M793" i="3" a="1"/>
  <c r="M793" i="3" s="1"/>
  <c r="M794" i="3" a="1"/>
  <c r="M794" i="3" s="1"/>
  <c r="M795" i="3" a="1"/>
  <c r="M795" i="3" s="1"/>
  <c r="M796" i="3" a="1"/>
  <c r="M796" i="3" s="1"/>
  <c r="M797" i="3" a="1"/>
  <c r="M797" i="3"/>
  <c r="M798" i="3" a="1"/>
  <c r="M798" i="3" s="1"/>
  <c r="M799" i="3" a="1"/>
  <c r="M799" i="3" s="1"/>
  <c r="M800" i="3" a="1"/>
  <c r="M800" i="3" s="1"/>
  <c r="M801" i="3" a="1"/>
  <c r="M801" i="3" s="1"/>
  <c r="M802" i="3" a="1"/>
  <c r="M802" i="3" s="1"/>
  <c r="M803" i="3" a="1"/>
  <c r="M803" i="3" s="1"/>
  <c r="M804" i="3" a="1"/>
  <c r="M804" i="3" s="1"/>
  <c r="M805" i="3" a="1"/>
  <c r="M805" i="3" s="1"/>
  <c r="M806" i="3" a="1"/>
  <c r="M806" i="3" s="1"/>
  <c r="M807" i="3" a="1"/>
  <c r="M807" i="3" s="1"/>
  <c r="M808" i="3" a="1"/>
  <c r="M808" i="3" s="1"/>
  <c r="M809" i="3" a="1"/>
  <c r="M809" i="3" s="1"/>
  <c r="M810" i="3" a="1"/>
  <c r="M810" i="3" s="1"/>
  <c r="M811" i="3" a="1"/>
  <c r="M811" i="3" s="1"/>
  <c r="M812" i="3" a="1"/>
  <c r="M812" i="3" s="1"/>
  <c r="M813" i="3" a="1"/>
  <c r="M813" i="3" s="1"/>
  <c r="M814" i="3" a="1"/>
  <c r="M814" i="3" s="1"/>
  <c r="M815" i="3" a="1"/>
  <c r="M815" i="3" s="1"/>
  <c r="M816" i="3" a="1"/>
  <c r="M816" i="3" s="1"/>
  <c r="M817" i="3" a="1"/>
  <c r="M817" i="3" s="1"/>
  <c r="M818" i="3" a="1"/>
  <c r="M818" i="3" s="1"/>
  <c r="M819" i="3" a="1"/>
  <c r="M819" i="3" s="1"/>
  <c r="M820" i="3" a="1"/>
  <c r="M820" i="3" s="1"/>
  <c r="M821" i="3" a="1"/>
  <c r="M821" i="3" s="1"/>
  <c r="M822" i="3" a="1"/>
  <c r="M822" i="3" s="1"/>
  <c r="M823" i="3" a="1"/>
  <c r="M823" i="3" s="1"/>
  <c r="M824" i="3" a="1"/>
  <c r="M824" i="3" s="1"/>
  <c r="M825" i="3" a="1"/>
  <c r="M825" i="3" s="1"/>
  <c r="M826" i="3" a="1"/>
  <c r="M826" i="3" s="1"/>
  <c r="M827" i="3" a="1"/>
  <c r="M827" i="3" s="1"/>
  <c r="M828" i="3" a="1"/>
  <c r="M828" i="3" s="1"/>
  <c r="M829" i="3" a="1"/>
  <c r="M829" i="3" s="1"/>
  <c r="M830" i="3" a="1"/>
  <c r="M830" i="3" s="1"/>
  <c r="M831" i="3" a="1"/>
  <c r="M831" i="3" s="1"/>
  <c r="M832" i="3" a="1"/>
  <c r="M832" i="3" s="1"/>
  <c r="M833" i="3" a="1"/>
  <c r="M833" i="3" s="1"/>
  <c r="M834" i="3" a="1"/>
  <c r="M834" i="3" s="1"/>
  <c r="M835" i="3" a="1"/>
  <c r="M835" i="3" s="1"/>
  <c r="M836" i="3" a="1"/>
  <c r="M836" i="3" s="1"/>
  <c r="M837" i="3" a="1"/>
  <c r="M837" i="3" s="1"/>
  <c r="M838" i="3" a="1"/>
  <c r="M838" i="3" s="1"/>
  <c r="M839" i="3" a="1"/>
  <c r="M839" i="3" s="1"/>
  <c r="M840" i="3" a="1"/>
  <c r="M840" i="3" s="1"/>
  <c r="M841" i="3" a="1"/>
  <c r="M841" i="3" s="1"/>
  <c r="M842" i="3" a="1"/>
  <c r="M842" i="3" s="1"/>
  <c r="M843" i="3" a="1"/>
  <c r="M843" i="3" s="1"/>
  <c r="M844" i="3" a="1"/>
  <c r="M844" i="3" s="1"/>
  <c r="M845" i="3" a="1"/>
  <c r="M845" i="3" s="1"/>
  <c r="M846" i="3" a="1"/>
  <c r="M846" i="3" s="1"/>
  <c r="M847" i="3" a="1"/>
  <c r="M847" i="3" s="1"/>
  <c r="M848" i="3" a="1"/>
  <c r="M848" i="3" s="1"/>
  <c r="M849" i="3" a="1"/>
  <c r="M849" i="3" s="1"/>
  <c r="M850" i="3" a="1"/>
  <c r="M850" i="3" s="1"/>
  <c r="M851" i="3" a="1"/>
  <c r="M851" i="3" s="1"/>
  <c r="M852" i="3" a="1"/>
  <c r="M852" i="3" s="1"/>
  <c r="M853" i="3" a="1"/>
  <c r="M853" i="3" s="1"/>
  <c r="M854" i="3" a="1"/>
  <c r="M854" i="3" s="1"/>
  <c r="M855" i="3" a="1"/>
  <c r="M855" i="3" s="1"/>
  <c r="M856" i="3" a="1"/>
  <c r="M856" i="3" s="1"/>
  <c r="M857" i="3" a="1"/>
  <c r="M857" i="3" s="1"/>
  <c r="M858" i="3" a="1"/>
  <c r="M858" i="3" s="1"/>
  <c r="M859" i="3" a="1"/>
  <c r="M859" i="3" s="1"/>
  <c r="M860" i="3" a="1"/>
  <c r="M860" i="3" s="1"/>
  <c r="M861" i="3" a="1"/>
  <c r="M861" i="3" s="1"/>
  <c r="M862" i="3" a="1"/>
  <c r="M862" i="3" s="1"/>
  <c r="M863" i="3" a="1"/>
  <c r="M863" i="3" s="1"/>
  <c r="M864" i="3" a="1"/>
  <c r="M864" i="3" s="1"/>
  <c r="M865" i="3" a="1"/>
  <c r="M865" i="3" s="1"/>
  <c r="M866" i="3" a="1"/>
  <c r="M866" i="3" s="1"/>
  <c r="M867" i="3" a="1"/>
  <c r="M867" i="3" s="1"/>
  <c r="M868" i="3" a="1"/>
  <c r="M868" i="3" s="1"/>
  <c r="M869" i="3" a="1"/>
  <c r="M869" i="3" s="1"/>
  <c r="M870" i="3" a="1"/>
  <c r="M870" i="3" s="1"/>
  <c r="M871" i="3" a="1"/>
  <c r="M871" i="3" s="1"/>
  <c r="M872" i="3" a="1"/>
  <c r="M872" i="3" s="1"/>
  <c r="M873" i="3" a="1"/>
  <c r="M873" i="3" s="1"/>
  <c r="M874" i="3" a="1"/>
  <c r="M874" i="3" s="1"/>
  <c r="M875" i="3" a="1"/>
  <c r="M875" i="3" s="1"/>
  <c r="M876" i="3" a="1"/>
  <c r="M876" i="3" s="1"/>
  <c r="M877" i="3" a="1"/>
  <c r="M877" i="3"/>
  <c r="M878" i="3" a="1"/>
  <c r="M878" i="3" s="1"/>
  <c r="M879" i="3" a="1"/>
  <c r="M879" i="3" s="1"/>
  <c r="M880" i="3" a="1"/>
  <c r="M880" i="3" s="1"/>
  <c r="M881" i="3" a="1"/>
  <c r="M881" i="3" s="1"/>
  <c r="M882" i="3" a="1"/>
  <c r="M882" i="3" s="1"/>
  <c r="M883" i="3" a="1"/>
  <c r="M883" i="3" s="1"/>
  <c r="M884" i="3" a="1"/>
  <c r="M884" i="3" s="1"/>
  <c r="M885" i="3" a="1"/>
  <c r="M885" i="3" s="1"/>
  <c r="M886" i="3" a="1"/>
  <c r="M886" i="3" s="1"/>
  <c r="M887" i="3" a="1"/>
  <c r="M887" i="3" s="1"/>
  <c r="M888" i="3" a="1"/>
  <c r="M888" i="3" s="1"/>
  <c r="M889" i="3" a="1"/>
  <c r="M889" i="3" s="1"/>
  <c r="M890" i="3" a="1"/>
  <c r="M890" i="3" s="1"/>
  <c r="M891" i="3" a="1"/>
  <c r="M891" i="3" s="1"/>
  <c r="M892" i="3" a="1"/>
  <c r="M892" i="3" s="1"/>
  <c r="M893" i="3" a="1"/>
  <c r="M893" i="3" s="1"/>
  <c r="M894" i="3" a="1"/>
  <c r="M894" i="3" s="1"/>
  <c r="M895" i="3" a="1"/>
  <c r="M895" i="3" s="1"/>
  <c r="M896" i="3" a="1"/>
  <c r="M896" i="3" s="1"/>
  <c r="M897" i="3" a="1"/>
  <c r="M897" i="3" s="1"/>
  <c r="M898" i="3" a="1"/>
  <c r="M898" i="3" s="1"/>
  <c r="M899" i="3" a="1"/>
  <c r="M899" i="3" s="1"/>
  <c r="M900" i="3" a="1"/>
  <c r="M900" i="3" s="1"/>
  <c r="M901" i="3" a="1"/>
  <c r="M901" i="3" s="1"/>
  <c r="M902" i="3" a="1"/>
  <c r="M902" i="3" s="1"/>
  <c r="M903" i="3" a="1"/>
  <c r="M903" i="3" s="1"/>
  <c r="M904" i="3" a="1"/>
  <c r="M904" i="3" s="1"/>
  <c r="M905" i="3" a="1"/>
  <c r="M905" i="3" s="1"/>
  <c r="M906" i="3" a="1"/>
  <c r="M906" i="3" s="1"/>
  <c r="M907" i="3" a="1"/>
  <c r="M907" i="3"/>
  <c r="M908" i="3" a="1"/>
  <c r="M908" i="3" s="1"/>
  <c r="M909" i="3" a="1"/>
  <c r="M909" i="3" s="1"/>
  <c r="M910" i="3" a="1"/>
  <c r="M910" i="3" s="1"/>
  <c r="M911" i="3" a="1"/>
  <c r="M911" i="3" s="1"/>
  <c r="M912" i="3" a="1"/>
  <c r="M912" i="3" s="1"/>
  <c r="M913" i="3" a="1"/>
  <c r="M913" i="3" s="1"/>
  <c r="M914" i="3" a="1"/>
  <c r="M914" i="3" s="1"/>
  <c r="M915" i="3" a="1"/>
  <c r="M915" i="3" s="1"/>
  <c r="M916" i="3" a="1"/>
  <c r="M916" i="3" s="1"/>
  <c r="M917" i="3" a="1"/>
  <c r="M917" i="3" s="1"/>
  <c r="M918" i="3" a="1"/>
  <c r="M918" i="3" s="1"/>
  <c r="M919" i="3" a="1"/>
  <c r="M919" i="3" s="1"/>
  <c r="M920" i="3" a="1"/>
  <c r="M920" i="3" s="1"/>
  <c r="M921" i="3" a="1"/>
  <c r="M921" i="3" s="1"/>
  <c r="M922" i="3" a="1"/>
  <c r="M922" i="3" s="1"/>
  <c r="M923" i="3" a="1"/>
  <c r="M923" i="3" s="1"/>
  <c r="M924" i="3" a="1"/>
  <c r="M924" i="3" s="1"/>
  <c r="M925" i="3" a="1"/>
  <c r="M925" i="3"/>
  <c r="M926" i="3" a="1"/>
  <c r="M926" i="3" s="1"/>
  <c r="M927" i="3" a="1"/>
  <c r="M927" i="3" s="1"/>
  <c r="M928" i="3" a="1"/>
  <c r="M928" i="3" s="1"/>
  <c r="M929" i="3" a="1"/>
  <c r="M929" i="3" s="1"/>
  <c r="M930" i="3" a="1"/>
  <c r="M930" i="3" s="1"/>
  <c r="M931" i="3" a="1"/>
  <c r="M931" i="3" s="1"/>
  <c r="M932" i="3" a="1"/>
  <c r="M932" i="3" s="1"/>
  <c r="M933" i="3" a="1"/>
  <c r="M933" i="3" s="1"/>
  <c r="M934" i="3" a="1"/>
  <c r="M934" i="3" s="1"/>
  <c r="M935" i="3" a="1"/>
  <c r="M935" i="3" s="1"/>
  <c r="M936" i="3" a="1"/>
  <c r="M936" i="3" s="1"/>
  <c r="M937" i="3" a="1"/>
  <c r="M937" i="3" s="1"/>
  <c r="M938" i="3" a="1"/>
  <c r="M938" i="3" s="1"/>
  <c r="M939" i="3" a="1"/>
  <c r="M939" i="3" s="1"/>
  <c r="M940" i="3" a="1"/>
  <c r="M940" i="3" s="1"/>
  <c r="M941" i="3" a="1"/>
  <c r="M941" i="3" s="1"/>
  <c r="M942" i="3" a="1"/>
  <c r="M942" i="3" s="1"/>
  <c r="M943" i="3" a="1"/>
  <c r="M943" i="3" s="1"/>
  <c r="M944" i="3" a="1"/>
  <c r="M944" i="3" s="1"/>
  <c r="M945" i="3" a="1"/>
  <c r="M945" i="3" s="1"/>
  <c r="M946" i="3" a="1"/>
  <c r="M946" i="3" s="1"/>
  <c r="M947" i="3" a="1"/>
  <c r="M947" i="3" s="1"/>
  <c r="M948" i="3" a="1"/>
  <c r="M948" i="3" s="1"/>
  <c r="M949" i="3" a="1"/>
  <c r="M949" i="3" s="1"/>
  <c r="M950" i="3" a="1"/>
  <c r="M950" i="3" s="1"/>
  <c r="M951" i="3" a="1"/>
  <c r="M951" i="3" s="1"/>
  <c r="M952" i="3" a="1"/>
  <c r="M952" i="3" s="1"/>
  <c r="M953" i="3" a="1"/>
  <c r="M953" i="3" s="1"/>
  <c r="M954" i="3" a="1"/>
  <c r="M954" i="3" s="1"/>
  <c r="M955" i="3" a="1"/>
  <c r="M955" i="3" s="1"/>
  <c r="M956" i="3" a="1"/>
  <c r="M956" i="3" s="1"/>
  <c r="M957" i="3" a="1"/>
  <c r="M957" i="3" s="1"/>
  <c r="M958" i="3" a="1"/>
  <c r="M958" i="3" s="1"/>
  <c r="M959" i="3" a="1"/>
  <c r="M959" i="3" s="1"/>
  <c r="M960" i="3" a="1"/>
  <c r="M960" i="3" s="1"/>
  <c r="M961" i="3" a="1"/>
  <c r="M961" i="3" s="1"/>
  <c r="M962" i="3" a="1"/>
  <c r="M962" i="3" s="1"/>
  <c r="M963" i="3" a="1"/>
  <c r="M963" i="3" s="1"/>
  <c r="M964" i="3" a="1"/>
  <c r="M964" i="3" s="1"/>
  <c r="M965" i="3" a="1"/>
  <c r="M965" i="3" s="1"/>
  <c r="M966" i="3" a="1"/>
  <c r="M966" i="3" s="1"/>
  <c r="M967" i="3" a="1"/>
  <c r="M967" i="3" s="1"/>
  <c r="M968" i="3" a="1"/>
  <c r="M968" i="3" s="1"/>
  <c r="M969" i="3" a="1"/>
  <c r="M969" i="3" s="1"/>
  <c r="M970" i="3" a="1"/>
  <c r="M970" i="3" s="1"/>
  <c r="M971" i="3" a="1"/>
  <c r="M971" i="3" s="1"/>
  <c r="M972" i="3" a="1"/>
  <c r="M972" i="3" s="1"/>
  <c r="M973" i="3" a="1"/>
  <c r="M973" i="3"/>
  <c r="M974" i="3" a="1"/>
  <c r="M974" i="3" s="1"/>
  <c r="M975" i="3" a="1"/>
  <c r="M975" i="3" s="1"/>
  <c r="M976" i="3" a="1"/>
  <c r="M976" i="3" s="1"/>
  <c r="M977" i="3" a="1"/>
  <c r="M977" i="3" s="1"/>
  <c r="M978" i="3" a="1"/>
  <c r="M978" i="3" s="1"/>
  <c r="M979" i="3" a="1"/>
  <c r="M979" i="3" s="1"/>
  <c r="M980" i="3" a="1"/>
  <c r="M980" i="3" s="1"/>
  <c r="M981" i="3" a="1"/>
  <c r="M981" i="3" s="1"/>
  <c r="M982" i="3" a="1"/>
  <c r="M982" i="3" s="1"/>
  <c r="M983" i="3" a="1"/>
  <c r="M983" i="3" s="1"/>
  <c r="M984" i="3" a="1"/>
  <c r="M984" i="3" s="1"/>
  <c r="M985" i="3" a="1"/>
  <c r="M985" i="3" s="1"/>
  <c r="M986" i="3" a="1"/>
  <c r="M986" i="3" s="1"/>
  <c r="M987" i="3" a="1"/>
  <c r="M987" i="3" s="1"/>
  <c r="M988" i="3" a="1"/>
  <c r="M988" i="3" s="1"/>
  <c r="M989" i="3" a="1"/>
  <c r="M989" i="3" s="1"/>
  <c r="M990" i="3" a="1"/>
  <c r="M990" i="3" s="1"/>
  <c r="M991" i="3" a="1"/>
  <c r="M991" i="3" s="1"/>
  <c r="M992" i="3" a="1"/>
  <c r="M992" i="3" s="1"/>
  <c r="M993" i="3" a="1"/>
  <c r="M993" i="3" s="1"/>
  <c r="M994" i="3" a="1"/>
  <c r="M994" i="3" s="1"/>
  <c r="M995" i="3" a="1"/>
  <c r="M995" i="3" s="1"/>
  <c r="M996" i="3" a="1"/>
  <c r="M996" i="3" s="1"/>
  <c r="M997" i="3" a="1"/>
  <c r="M997" i="3" s="1"/>
  <c r="M998" i="3" a="1"/>
  <c r="M998" i="3" s="1"/>
  <c r="M999" i="3" a="1"/>
  <c r="M999" i="3" s="1"/>
  <c r="M1000" i="3" a="1"/>
  <c r="M1000" i="3" s="1"/>
  <c r="M1001" i="3" a="1"/>
  <c r="M1001" i="3" s="1"/>
  <c r="M1002" i="3" a="1"/>
  <c r="M1002" i="3" s="1"/>
  <c r="M1003" i="3" a="1"/>
  <c r="M1003" i="3"/>
  <c r="M1004" i="3" a="1"/>
  <c r="M1004" i="3" s="1"/>
  <c r="M1005" i="3" a="1"/>
  <c r="M1005" i="3"/>
  <c r="M1006" i="3" a="1"/>
  <c r="M1006" i="3" s="1"/>
  <c r="M1007" i="3" a="1"/>
  <c r="M1007" i="3" s="1"/>
  <c r="M1008" i="3" a="1"/>
  <c r="M1008" i="3" s="1"/>
  <c r="M1009" i="3" a="1"/>
  <c r="M1009" i="3" s="1"/>
  <c r="M1010" i="3" a="1"/>
  <c r="M1010" i="3" s="1"/>
  <c r="M1011" i="3" a="1"/>
  <c r="M1011" i="3" s="1"/>
  <c r="M1012" i="3" a="1"/>
  <c r="M1012" i="3" s="1"/>
  <c r="M1013" i="3" a="1"/>
  <c r="M1013" i="3" s="1"/>
  <c r="M1014" i="3" a="1"/>
  <c r="M1014" i="3" s="1"/>
  <c r="M1015" i="3" a="1"/>
  <c r="M1015" i="3" s="1"/>
  <c r="M1016" i="3" a="1"/>
  <c r="M1016" i="3" s="1"/>
  <c r="M1017" i="3" a="1"/>
  <c r="M1017" i="3" s="1"/>
  <c r="M1018" i="3" a="1"/>
  <c r="M1018" i="3" s="1"/>
  <c r="M1019" i="3" a="1"/>
  <c r="M1019" i="3" s="1"/>
  <c r="M1020" i="3" a="1"/>
  <c r="M1020" i="3" s="1"/>
  <c r="M1021" i="3" a="1"/>
  <c r="M1021" i="3"/>
  <c r="M1022" i="3" a="1"/>
  <c r="M1022" i="3" s="1"/>
  <c r="M1023" i="3" a="1"/>
  <c r="M1023" i="3" s="1"/>
  <c r="M1024" i="3" a="1"/>
  <c r="M1024" i="3" s="1"/>
  <c r="M1025" i="3" a="1"/>
  <c r="M1025" i="3" s="1"/>
  <c r="M1026" i="3" a="1"/>
  <c r="M1026" i="3" s="1"/>
  <c r="M1027" i="3" a="1"/>
  <c r="M1027" i="3" s="1"/>
  <c r="M1028" i="3" a="1"/>
  <c r="M1028" i="3" s="1"/>
  <c r="M1029" i="3" a="1"/>
  <c r="M1029" i="3" s="1"/>
  <c r="M1030" i="3" a="1"/>
  <c r="M1030" i="3" s="1"/>
  <c r="M1031" i="3" a="1"/>
  <c r="M1031" i="3" s="1"/>
  <c r="M1032" i="3" a="1"/>
  <c r="M1032" i="3" s="1"/>
  <c r="M1033" i="3" a="1"/>
  <c r="M1033" i="3" s="1"/>
  <c r="M1034" i="3" a="1"/>
  <c r="M1034" i="3" s="1"/>
  <c r="M1035" i="3" a="1"/>
  <c r="M1035" i="3"/>
  <c r="M1036" i="3" a="1"/>
  <c r="M1036" i="3" s="1"/>
  <c r="M1037" i="3" a="1"/>
  <c r="M1037" i="3" s="1"/>
  <c r="M1038" i="3" a="1"/>
  <c r="M1038" i="3" s="1"/>
  <c r="M1039" i="3" a="1"/>
  <c r="M1039" i="3" s="1"/>
  <c r="M1040" i="3" a="1"/>
  <c r="M1040" i="3" s="1"/>
  <c r="M1041" i="3" a="1"/>
  <c r="M1041" i="3" s="1"/>
  <c r="M1042" i="3" a="1"/>
  <c r="M1042" i="3" s="1"/>
  <c r="M1043" i="3" a="1"/>
  <c r="M1043" i="3" s="1"/>
  <c r="M1044" i="3" a="1"/>
  <c r="M1044" i="3" s="1"/>
  <c r="M1045" i="3" a="1"/>
  <c r="M1045" i="3" s="1"/>
  <c r="M1046" i="3" a="1"/>
  <c r="M1046" i="3" s="1"/>
  <c r="M1047" i="3" a="1"/>
  <c r="M1047" i="3" s="1"/>
  <c r="M1048" i="3" a="1"/>
  <c r="M1048" i="3" s="1"/>
  <c r="M1049" i="3" a="1"/>
  <c r="M1049" i="3" s="1"/>
  <c r="M1050" i="3" a="1"/>
  <c r="M1050" i="3" s="1"/>
  <c r="M1051" i="3" a="1"/>
  <c r="M1051" i="3" s="1"/>
  <c r="M1052" i="3" a="1"/>
  <c r="M1052" i="3" s="1"/>
  <c r="M1053" i="3" a="1"/>
  <c r="M1053" i="3"/>
  <c r="M1054" i="3" a="1"/>
  <c r="M1054" i="3" s="1"/>
  <c r="M1055" i="3" a="1"/>
  <c r="M1055" i="3" s="1"/>
  <c r="M1056" i="3" a="1"/>
  <c r="M1056" i="3" s="1"/>
  <c r="M1057" i="3" a="1"/>
  <c r="M1057" i="3" s="1"/>
  <c r="M1058" i="3" a="1"/>
  <c r="M1058" i="3" s="1"/>
  <c r="M1059" i="3" a="1"/>
  <c r="M1059" i="3" s="1"/>
  <c r="M1060" i="3" a="1"/>
  <c r="M1060" i="3" s="1"/>
  <c r="M1061" i="3" a="1"/>
  <c r="M1061" i="3" s="1"/>
  <c r="M1062" i="3" a="1"/>
  <c r="M1062" i="3" s="1"/>
  <c r="M1063" i="3" a="1"/>
  <c r="M1063" i="3" s="1"/>
  <c r="M1064" i="3" a="1"/>
  <c r="M1064" i="3" s="1"/>
  <c r="M1065" i="3" a="1"/>
  <c r="M1065" i="3" s="1"/>
  <c r="M1066" i="3" a="1"/>
  <c r="M1066" i="3" s="1"/>
  <c r="M1067" i="3" a="1"/>
  <c r="M1067" i="3" s="1"/>
  <c r="M1068" i="3" a="1"/>
  <c r="M1068" i="3" s="1"/>
  <c r="M1069" i="3" a="1"/>
  <c r="M1069" i="3" s="1"/>
  <c r="M1070" i="3" a="1"/>
  <c r="M1070" i="3" s="1"/>
  <c r="M1071" i="3" a="1"/>
  <c r="M1071" i="3" s="1"/>
  <c r="M1072" i="3" a="1"/>
  <c r="M1072" i="3" s="1"/>
  <c r="M1073" i="3" a="1"/>
  <c r="M1073" i="3" s="1"/>
  <c r="M1074" i="3" a="1"/>
  <c r="M1074" i="3" s="1"/>
  <c r="M1075" i="3" a="1"/>
  <c r="M1075" i="3" s="1"/>
  <c r="M1076" i="3" a="1"/>
  <c r="M1076" i="3" s="1"/>
  <c r="M1077" i="3" a="1"/>
  <c r="M1077" i="3" s="1"/>
  <c r="M1078" i="3" a="1"/>
  <c r="M1078" i="3" s="1"/>
  <c r="M1079" i="3" a="1"/>
  <c r="M1079" i="3" s="1"/>
  <c r="M1080" i="3" a="1"/>
  <c r="M1080" i="3" s="1"/>
  <c r="M1081" i="3" a="1"/>
  <c r="M1081" i="3" s="1"/>
  <c r="M1082" i="3" a="1"/>
  <c r="M1082" i="3" s="1"/>
  <c r="M1083" i="3" a="1"/>
  <c r="M1083" i="3" s="1"/>
  <c r="M1084" i="3" a="1"/>
  <c r="M1084" i="3" s="1"/>
  <c r="M1085" i="3" a="1"/>
  <c r="M1085" i="3" s="1"/>
  <c r="M1086" i="3" a="1"/>
  <c r="M1086" i="3" s="1"/>
  <c r="M1087" i="3" a="1"/>
  <c r="M1087" i="3" s="1"/>
  <c r="M1088" i="3" a="1"/>
  <c r="M1088" i="3" s="1"/>
  <c r="M1089" i="3" a="1"/>
  <c r="M1089" i="3" s="1"/>
  <c r="M1090" i="3" a="1"/>
  <c r="M1090" i="3" s="1"/>
  <c r="M1091" i="3" a="1"/>
  <c r="M1091" i="3" s="1"/>
  <c r="M1092" i="3" a="1"/>
  <c r="M1092" i="3" s="1"/>
  <c r="M1093" i="3" a="1"/>
  <c r="M1093" i="3" s="1"/>
  <c r="M1094" i="3" a="1"/>
  <c r="M1094" i="3" s="1"/>
  <c r="M1095" i="3" a="1"/>
  <c r="M1095" i="3" s="1"/>
  <c r="M1096" i="3" a="1"/>
  <c r="M1096" i="3" s="1"/>
  <c r="M1097" i="3" a="1"/>
  <c r="M1097" i="3" s="1"/>
  <c r="M1098" i="3" a="1"/>
  <c r="M1098" i="3" s="1"/>
  <c r="M1099" i="3" a="1"/>
  <c r="M1099" i="3" s="1"/>
  <c r="M1100" i="3" a="1"/>
  <c r="M1100" i="3" s="1"/>
  <c r="M1101" i="3" a="1"/>
  <c r="M1101" i="3" s="1"/>
  <c r="M1102" i="3" a="1"/>
  <c r="M1102" i="3" s="1"/>
  <c r="M1103" i="3" a="1"/>
  <c r="M1103" i="3" s="1"/>
  <c r="M1104" i="3" a="1"/>
  <c r="M1104" i="3" s="1"/>
  <c r="M1105" i="3" a="1"/>
  <c r="M1105" i="3" s="1"/>
  <c r="M1106" i="3" a="1"/>
  <c r="M1106" i="3" s="1"/>
  <c r="M1107" i="3" a="1"/>
  <c r="M1107" i="3" s="1"/>
  <c r="M1108" i="3" a="1"/>
  <c r="M1108" i="3"/>
  <c r="M1109" i="3" a="1"/>
  <c r="M1109" i="3" s="1"/>
  <c r="M1110" i="3" a="1"/>
  <c r="M1110" i="3" s="1"/>
  <c r="M1111" i="3" a="1"/>
  <c r="M1111" i="3" s="1"/>
  <c r="M1112" i="3" a="1"/>
  <c r="M1112" i="3" s="1"/>
  <c r="M1113" i="3" a="1"/>
  <c r="M1113" i="3" s="1"/>
  <c r="M1114" i="3" a="1"/>
  <c r="M1114" i="3" s="1"/>
  <c r="M1115" i="3" a="1"/>
  <c r="M1115" i="3" s="1"/>
  <c r="M1116" i="3" a="1"/>
  <c r="M1116" i="3"/>
  <c r="M1117" i="3" a="1"/>
  <c r="M1117" i="3" s="1"/>
  <c r="M1118" i="3" a="1"/>
  <c r="M1118" i="3" s="1"/>
  <c r="M1119" i="3" a="1"/>
  <c r="M1119" i="3" s="1"/>
  <c r="M1120" i="3" a="1"/>
  <c r="M1120" i="3" s="1"/>
  <c r="M1121" i="3" a="1"/>
  <c r="M1121" i="3" s="1"/>
  <c r="M1122" i="3" a="1"/>
  <c r="M1122" i="3" s="1"/>
  <c r="M1123" i="3" a="1"/>
  <c r="M1123" i="3" s="1"/>
  <c r="M1124" i="3" a="1"/>
  <c r="M1124" i="3" s="1"/>
  <c r="M1125" i="3" a="1"/>
  <c r="M1125" i="3" s="1"/>
  <c r="M1126" i="3" a="1"/>
  <c r="M1126" i="3" s="1"/>
  <c r="M1127" i="3" a="1"/>
  <c r="M1127" i="3" s="1"/>
  <c r="M1128" i="3" a="1"/>
  <c r="M1128" i="3" s="1"/>
  <c r="M1129" i="3" a="1"/>
  <c r="M1129" i="3" s="1"/>
  <c r="M1130" i="3" a="1"/>
  <c r="M1130" i="3" s="1"/>
  <c r="M1131" i="3" a="1"/>
  <c r="M1131" i="3" s="1"/>
  <c r="M1132" i="3" a="1"/>
  <c r="M1132" i="3" s="1"/>
  <c r="M1133" i="3" a="1"/>
  <c r="M1133" i="3" s="1"/>
  <c r="M1134" i="3" a="1"/>
  <c r="M1134" i="3" s="1"/>
  <c r="M1135" i="3" a="1"/>
  <c r="M1135" i="3" s="1"/>
  <c r="M1136" i="3" a="1"/>
  <c r="M1136" i="3" s="1"/>
  <c r="M1137" i="3" a="1"/>
  <c r="M1137" i="3" s="1"/>
  <c r="M1138" i="3" a="1"/>
  <c r="M1138" i="3" s="1"/>
  <c r="M1139" i="3" a="1"/>
  <c r="M1139" i="3" s="1"/>
  <c r="M1140" i="3" a="1"/>
  <c r="M1140" i="3" s="1"/>
  <c r="M1141" i="3" a="1"/>
  <c r="M1141" i="3" s="1"/>
  <c r="M1142" i="3" a="1"/>
  <c r="M1142" i="3" s="1"/>
  <c r="M1143" i="3" a="1"/>
  <c r="M1143" i="3" s="1"/>
  <c r="M1144" i="3" a="1"/>
  <c r="M1144" i="3" s="1"/>
  <c r="M1145" i="3" a="1"/>
  <c r="M1145" i="3" s="1"/>
  <c r="M1146" i="3" a="1"/>
  <c r="M1146" i="3" s="1"/>
  <c r="M1147" i="3" a="1"/>
  <c r="M1147" i="3" s="1"/>
  <c r="M1148" i="3" a="1"/>
  <c r="M1148" i="3" s="1"/>
  <c r="M1149" i="3" a="1"/>
  <c r="M1149" i="3" s="1"/>
  <c r="M1150" i="3" a="1"/>
  <c r="M1150" i="3" s="1"/>
  <c r="M1151" i="3" a="1"/>
  <c r="M1151" i="3" s="1"/>
  <c r="M1152" i="3" a="1"/>
  <c r="M1152" i="3" s="1"/>
  <c r="M1153" i="3" a="1"/>
  <c r="M1153" i="3" s="1"/>
  <c r="M1154" i="3" a="1"/>
  <c r="M1154" i="3"/>
  <c r="M1155" i="3" a="1"/>
  <c r="M1155" i="3" s="1"/>
  <c r="M1156" i="3" a="1"/>
  <c r="M1156" i="3"/>
  <c r="M1157" i="3" a="1"/>
  <c r="M1157" i="3" s="1"/>
  <c r="M1158" i="3" a="1"/>
  <c r="M1158" i="3" s="1"/>
  <c r="M1159" i="3" a="1"/>
  <c r="M1159" i="3" s="1"/>
  <c r="M1160" i="3" a="1"/>
  <c r="M1160" i="3" s="1"/>
  <c r="M1161" i="3" a="1"/>
  <c r="M1161" i="3" s="1"/>
  <c r="M1162" i="3" a="1"/>
  <c r="M1162" i="3" s="1"/>
  <c r="M1163" i="3" a="1"/>
  <c r="M1163" i="3" s="1"/>
  <c r="M1164" i="3" a="1"/>
  <c r="M1164" i="3"/>
  <c r="M1165" i="3" a="1"/>
  <c r="M1165" i="3" s="1"/>
  <c r="M1166" i="3" a="1"/>
  <c r="M1166" i="3" s="1"/>
  <c r="M1167" i="3" a="1"/>
  <c r="M1167" i="3" s="1"/>
  <c r="M1168" i="3" a="1"/>
  <c r="M1168" i="3" s="1"/>
  <c r="M1169" i="3" a="1"/>
  <c r="M1169" i="3" s="1"/>
  <c r="M1170" i="3" a="1"/>
  <c r="M1170" i="3" s="1"/>
  <c r="M1171" i="3" a="1"/>
  <c r="M1171" i="3" s="1"/>
  <c r="M1172" i="3" a="1"/>
  <c r="M1172" i="3" s="1"/>
  <c r="M1173" i="3" a="1"/>
  <c r="M1173" i="3" s="1"/>
  <c r="M1174" i="3" a="1"/>
  <c r="M1174" i="3" s="1"/>
  <c r="M1175" i="3" a="1"/>
  <c r="M1175" i="3" s="1"/>
  <c r="M1176" i="3" a="1"/>
  <c r="M1176" i="3" s="1"/>
  <c r="M1177" i="3" a="1"/>
  <c r="M1177" i="3" s="1"/>
  <c r="M1178" i="3" a="1"/>
  <c r="M1178" i="3" s="1"/>
  <c r="M1179" i="3" a="1"/>
  <c r="M1179" i="3" s="1"/>
  <c r="M1180" i="3" a="1"/>
  <c r="M1180" i="3" s="1"/>
  <c r="M1181" i="3" a="1"/>
  <c r="M1181" i="3" s="1"/>
  <c r="M1182" i="3" a="1"/>
  <c r="M1182" i="3" s="1"/>
  <c r="M1183" i="3" a="1"/>
  <c r="M1183" i="3" s="1"/>
  <c r="M1184" i="3" a="1"/>
  <c r="M1184" i="3" s="1"/>
  <c r="M1185" i="3" a="1"/>
  <c r="M1185" i="3" s="1"/>
  <c r="M1186" i="3" a="1"/>
  <c r="M1186" i="3" s="1"/>
  <c r="M1187" i="3" a="1"/>
  <c r="M1187" i="3" s="1"/>
  <c r="M1188" i="3" a="1"/>
  <c r="M1188" i="3"/>
  <c r="M1189" i="3" a="1"/>
  <c r="M1189" i="3" s="1"/>
  <c r="M1190" i="3" a="1"/>
  <c r="M1190" i="3" s="1"/>
  <c r="M1191" i="3" a="1"/>
  <c r="M1191" i="3" s="1"/>
  <c r="M1192" i="3" a="1"/>
  <c r="M1192" i="3" s="1"/>
  <c r="M1193" i="3" a="1"/>
  <c r="M1193" i="3" s="1"/>
  <c r="M1194" i="3" a="1"/>
  <c r="M1194" i="3" s="1"/>
  <c r="M1195" i="3" a="1"/>
  <c r="M1195" i="3" s="1"/>
  <c r="M1196" i="3" a="1"/>
  <c r="M1196" i="3"/>
  <c r="M1197" i="3" a="1"/>
  <c r="M1197" i="3" s="1"/>
  <c r="M1198" i="3" a="1"/>
  <c r="M1198" i="3" s="1"/>
  <c r="M1199" i="3" a="1"/>
  <c r="M1199" i="3" s="1"/>
  <c r="M1200" i="3" a="1"/>
  <c r="M1200" i="3" s="1"/>
  <c r="M1201" i="3" a="1"/>
  <c r="M1201" i="3" s="1"/>
  <c r="M1202" i="3" a="1"/>
  <c r="M1202" i="3"/>
  <c r="M1203" i="3" a="1"/>
  <c r="M1203" i="3" s="1"/>
  <c r="M1204" i="3" a="1"/>
  <c r="M1204" i="3" s="1"/>
  <c r="M1205" i="3" a="1"/>
  <c r="M1205" i="3" s="1"/>
  <c r="M1206" i="3" a="1"/>
  <c r="M1206" i="3" s="1"/>
  <c r="M1207" i="3" a="1"/>
  <c r="M1207" i="3" s="1"/>
  <c r="M1208" i="3" a="1"/>
  <c r="M1208" i="3" s="1"/>
  <c r="M1209" i="3" a="1"/>
  <c r="M1209" i="3" s="1"/>
  <c r="M1210" i="3" a="1"/>
  <c r="M1210" i="3" s="1"/>
  <c r="M1211" i="3" a="1"/>
  <c r="M1211" i="3" s="1"/>
  <c r="M1212" i="3" a="1"/>
  <c r="M1212" i="3" s="1"/>
  <c r="M1213" i="3" a="1"/>
  <c r="M1213" i="3" s="1"/>
  <c r="M1214" i="3" a="1"/>
  <c r="M1214" i="3" s="1"/>
  <c r="M1215" i="3" a="1"/>
  <c r="M1215" i="3" s="1"/>
  <c r="M1216" i="3" a="1"/>
  <c r="M1216" i="3" s="1"/>
  <c r="M1217" i="3" a="1"/>
  <c r="M1217" i="3" s="1"/>
  <c r="M1218" i="3" a="1"/>
  <c r="M1218" i="3" s="1"/>
  <c r="M1219" i="3" a="1"/>
  <c r="M1219" i="3" s="1"/>
  <c r="M1220" i="3" a="1"/>
  <c r="M1220" i="3" s="1"/>
  <c r="M1221" i="3" a="1"/>
  <c r="M1221" i="3" s="1"/>
  <c r="M1222" i="3" a="1"/>
  <c r="M1222" i="3" s="1"/>
  <c r="M1223" i="3" a="1"/>
  <c r="M1223" i="3" s="1"/>
  <c r="M1224" i="3" a="1"/>
  <c r="M1224" i="3" s="1"/>
  <c r="M1225" i="3" a="1"/>
  <c r="M1225" i="3" s="1"/>
  <c r="M1226" i="3" a="1"/>
  <c r="M1226" i="3"/>
  <c r="M1227" i="3" a="1"/>
  <c r="M1227" i="3" s="1"/>
  <c r="M1228" i="3" a="1"/>
  <c r="M1228" i="3" s="1"/>
  <c r="M1229" i="3" a="1"/>
  <c r="M1229" i="3" s="1"/>
  <c r="M1230" i="3" a="1"/>
  <c r="M1230" i="3" s="1"/>
  <c r="M1231" i="3" a="1"/>
  <c r="M1231" i="3" s="1"/>
  <c r="M1232" i="3" a="1"/>
  <c r="M1232" i="3"/>
  <c r="M1233" i="3" a="1"/>
  <c r="M1233" i="3" s="1"/>
  <c r="M1234" i="3" a="1"/>
  <c r="M1234" i="3" s="1"/>
  <c r="M1235" i="3" a="1"/>
  <c r="M1235" i="3" s="1"/>
  <c r="M1236" i="3" a="1"/>
  <c r="M1236" i="3" s="1"/>
  <c r="M1237" i="3" a="1"/>
  <c r="M1237" i="3" s="1"/>
  <c r="M1238" i="3" a="1"/>
  <c r="M1238" i="3" s="1"/>
  <c r="M1239" i="3" a="1"/>
  <c r="M1239" i="3" s="1"/>
  <c r="M1240" i="3" a="1"/>
  <c r="M1240" i="3" s="1"/>
  <c r="M1241" i="3" a="1"/>
  <c r="M1241" i="3" s="1"/>
  <c r="M1242" i="3" a="1"/>
  <c r="M1242" i="3" s="1"/>
  <c r="M1243" i="3" a="1"/>
  <c r="M1243" i="3" s="1"/>
  <c r="M1244" i="3" a="1"/>
  <c r="M1244" i="3"/>
  <c r="M1245" i="3" a="1"/>
  <c r="M1245" i="3" s="1"/>
  <c r="M1246" i="3" a="1"/>
  <c r="M1246" i="3" s="1"/>
  <c r="M1247" i="3" a="1"/>
  <c r="M1247" i="3" s="1"/>
  <c r="M1248" i="3" a="1"/>
  <c r="M1248" i="3" s="1"/>
  <c r="M1249" i="3" a="1"/>
  <c r="M1249" i="3" s="1"/>
  <c r="M1250" i="3" a="1"/>
  <c r="M1250" i="3" s="1"/>
  <c r="M1251" i="3" a="1"/>
  <c r="M1251" i="3" s="1"/>
  <c r="M1252" i="3" a="1"/>
  <c r="M1252" i="3" s="1"/>
  <c r="M1253" i="3" a="1"/>
  <c r="M1253" i="3" s="1"/>
  <c r="M1254" i="3" a="1"/>
  <c r="M1254" i="3" s="1"/>
  <c r="M1255" i="3" a="1"/>
  <c r="M1255" i="3" s="1"/>
  <c r="M1256" i="3" a="1"/>
  <c r="M1256" i="3" s="1"/>
  <c r="M1257" i="3" a="1"/>
  <c r="M1257" i="3" s="1"/>
  <c r="M1258" i="3" a="1"/>
  <c r="M1258" i="3"/>
  <c r="M1259" i="3" a="1"/>
  <c r="M1259" i="3" s="1"/>
  <c r="M1260" i="3" a="1"/>
  <c r="M1260" i="3" s="1"/>
  <c r="M1261" i="3" a="1"/>
  <c r="M1261" i="3" s="1"/>
  <c r="M1262" i="3" a="1"/>
  <c r="M1262" i="3" s="1"/>
  <c r="M1263" i="3" a="1"/>
  <c r="M1263" i="3" s="1"/>
  <c r="M1264" i="3" a="1"/>
  <c r="M1264" i="3"/>
  <c r="M1265" i="3" a="1"/>
  <c r="M1265" i="3" s="1"/>
  <c r="M1266" i="3" a="1"/>
  <c r="M1266" i="3" s="1"/>
  <c r="M1267" i="3" a="1"/>
  <c r="M1267" i="3" s="1"/>
  <c r="M1268" i="3" a="1"/>
  <c r="M1268" i="3" s="1"/>
  <c r="M1269" i="3" a="1"/>
  <c r="M1269" i="3" s="1"/>
  <c r="M1270" i="3" a="1"/>
  <c r="M1270" i="3" s="1"/>
  <c r="M1271" i="3" a="1"/>
  <c r="M1271" i="3" s="1"/>
  <c r="M1272" i="3" a="1"/>
  <c r="M1272" i="3" s="1"/>
  <c r="M1273" i="3" a="1"/>
  <c r="M1273" i="3" s="1"/>
  <c r="M1274" i="3" a="1"/>
  <c r="M1274" i="3" s="1"/>
  <c r="M1275" i="3" a="1"/>
  <c r="M1275" i="3" s="1"/>
  <c r="M1276" i="3" a="1"/>
  <c r="M1276" i="3" s="1"/>
  <c r="M1277" i="3" a="1"/>
  <c r="M1277" i="3" s="1"/>
  <c r="M1278" i="3" a="1"/>
  <c r="M1278" i="3" s="1"/>
  <c r="M1279" i="3" a="1"/>
  <c r="M1279" i="3" s="1"/>
  <c r="M1280" i="3" a="1"/>
  <c r="M1280" i="3"/>
  <c r="M1281" i="3" a="1"/>
  <c r="M1281" i="3" s="1"/>
  <c r="M1282" i="3" a="1"/>
  <c r="M1282" i="3" s="1"/>
  <c r="M1283" i="3" a="1"/>
  <c r="M1283" i="3" s="1"/>
  <c r="M1284" i="3" a="1"/>
  <c r="M1284" i="3" s="1"/>
  <c r="M1285" i="3" a="1"/>
  <c r="M1285" i="3" s="1"/>
  <c r="M1286" i="3" a="1"/>
  <c r="M1286" i="3" s="1"/>
  <c r="M1287" i="3" a="1"/>
  <c r="M1287" i="3" s="1"/>
  <c r="M1288" i="3" a="1"/>
  <c r="M1288" i="3" s="1"/>
  <c r="M1289" i="3" a="1"/>
  <c r="M1289" i="3" s="1"/>
  <c r="M1290" i="3" a="1"/>
  <c r="M1290" i="3" s="1"/>
  <c r="M1291" i="3" a="1"/>
  <c r="M1291" i="3" s="1"/>
  <c r="M1292" i="3" a="1"/>
  <c r="M1292" i="3" s="1"/>
  <c r="M1293" i="3" a="1"/>
  <c r="M1293" i="3" s="1"/>
  <c r="M1294" i="3" a="1"/>
  <c r="M1294" i="3" s="1"/>
  <c r="M1295" i="3" a="1"/>
  <c r="M1295" i="3" s="1"/>
  <c r="M1296" i="3" a="1"/>
  <c r="M1296" i="3" s="1"/>
  <c r="M1297" i="3" a="1"/>
  <c r="M1297" i="3" s="1"/>
  <c r="M1298" i="3" a="1"/>
  <c r="M1298" i="3" s="1"/>
  <c r="M1299" i="3" a="1"/>
  <c r="M1299" i="3" s="1"/>
  <c r="M1300" i="3" a="1"/>
  <c r="M1300" i="3" s="1"/>
  <c r="M1301" i="3" a="1"/>
  <c r="M1301" i="3" s="1"/>
  <c r="M1302" i="3" a="1"/>
  <c r="M1302" i="3" s="1"/>
  <c r="M1303" i="3" a="1"/>
  <c r="M1303" i="3" s="1"/>
  <c r="M1304" i="3" a="1"/>
  <c r="M1304" i="3" s="1"/>
  <c r="M1305" i="3" a="1"/>
  <c r="M1305" i="3" s="1"/>
  <c r="M1306" i="3" a="1"/>
  <c r="M1306" i="3" s="1"/>
  <c r="M1307" i="3" a="1"/>
  <c r="M1307" i="3" s="1"/>
  <c r="M1308" i="3" a="1"/>
  <c r="M1308" i="3" s="1"/>
  <c r="M1309" i="3" a="1"/>
  <c r="M1309" i="3" s="1"/>
  <c r="M1310" i="3" a="1"/>
  <c r="M1310" i="3" s="1"/>
  <c r="M1311" i="3" a="1"/>
  <c r="M1311" i="3" s="1"/>
  <c r="M1312" i="3" a="1"/>
  <c r="M1312" i="3" s="1"/>
  <c r="M1313" i="3" a="1"/>
  <c r="M1313" i="3" s="1"/>
  <c r="M1314" i="3" a="1"/>
  <c r="M1314" i="3" s="1"/>
  <c r="M1315" i="3" a="1"/>
  <c r="M1315" i="3" s="1"/>
  <c r="M1316" i="3" a="1"/>
  <c r="M1316" i="3" s="1"/>
  <c r="M1317" i="3" a="1"/>
  <c r="M1317" i="3" s="1"/>
  <c r="M1318" i="3" a="1"/>
  <c r="M1318" i="3"/>
  <c r="M1319" i="3" a="1"/>
  <c r="M1319" i="3" s="1"/>
  <c r="M1320" i="3" a="1"/>
  <c r="M1320" i="3" s="1"/>
  <c r="M1321" i="3" a="1"/>
  <c r="M1321" i="3" s="1"/>
  <c r="M1322" i="3" a="1"/>
  <c r="M1322" i="3" s="1"/>
  <c r="M1323" i="3" a="1"/>
  <c r="M1323" i="3" s="1"/>
  <c r="M1324" i="3" a="1"/>
  <c r="M1324" i="3" s="1"/>
  <c r="M1325" i="3" a="1"/>
  <c r="M1325" i="3" s="1"/>
  <c r="M1326" i="3" a="1"/>
  <c r="M1326" i="3" s="1"/>
  <c r="M1327" i="3" a="1"/>
  <c r="M1327" i="3" s="1"/>
  <c r="M1328" i="3" a="1"/>
  <c r="M1328" i="3"/>
  <c r="M1329" i="3" a="1"/>
  <c r="M1329" i="3" s="1"/>
  <c r="M1330" i="3" a="1"/>
  <c r="M1330" i="3" s="1"/>
  <c r="M1331" i="3" a="1"/>
  <c r="M1331" i="3" s="1"/>
  <c r="M1332" i="3" a="1"/>
  <c r="M1332" i="3" s="1"/>
  <c r="M1333" i="3" a="1"/>
  <c r="M1333" i="3" s="1"/>
  <c r="M1334" i="3" a="1"/>
  <c r="M1334" i="3" s="1"/>
  <c r="M1335" i="3" a="1"/>
  <c r="M1335" i="3" s="1"/>
  <c r="M1336" i="3" a="1"/>
  <c r="M1336" i="3" s="1"/>
  <c r="M1337" i="3" a="1"/>
  <c r="M1337" i="3" s="1"/>
  <c r="M1338" i="3" a="1"/>
  <c r="M1338" i="3" s="1"/>
  <c r="M1339" i="3" a="1"/>
  <c r="M1339" i="3" s="1"/>
  <c r="M1340" i="3" a="1"/>
  <c r="M1340" i="3" s="1"/>
  <c r="M1341" i="3" a="1"/>
  <c r="M1341" i="3" s="1"/>
  <c r="M1342" i="3" a="1"/>
  <c r="M1342" i="3" s="1"/>
  <c r="M1343" i="3" a="1"/>
  <c r="M1343" i="3" s="1"/>
  <c r="M1344" i="3" a="1"/>
  <c r="M1344" i="3"/>
  <c r="M1345" i="3" a="1"/>
  <c r="M1345" i="3" s="1"/>
  <c r="M1346" i="3" a="1"/>
  <c r="M1346" i="3" s="1"/>
  <c r="M1347" i="3" a="1"/>
  <c r="M1347" i="3" s="1"/>
  <c r="M1348" i="3" a="1"/>
  <c r="M1348" i="3" s="1"/>
  <c r="M1349" i="3" a="1"/>
  <c r="M1349" i="3" s="1"/>
  <c r="M1350" i="3" a="1"/>
  <c r="M1350" i="3" s="1"/>
  <c r="M1351" i="3" a="1"/>
  <c r="M1351" i="3" s="1"/>
  <c r="M1352" i="3" a="1"/>
  <c r="M1352" i="3" s="1"/>
  <c r="M1353" i="3" a="1"/>
  <c r="M1353" i="3" s="1"/>
  <c r="M1354" i="3" a="1"/>
  <c r="M1354" i="3" s="1"/>
  <c r="M1355" i="3" a="1"/>
  <c r="M1355" i="3" s="1"/>
  <c r="M1356" i="3" a="1"/>
  <c r="M1356" i="3" s="1"/>
  <c r="M1357" i="3" a="1"/>
  <c r="M1357" i="3" s="1"/>
  <c r="M1358" i="3" a="1"/>
  <c r="M1358" i="3" s="1"/>
  <c r="M1359" i="3" a="1"/>
  <c r="M1359" i="3" s="1"/>
  <c r="M1360" i="3" a="1"/>
  <c r="M1360" i="3" s="1"/>
  <c r="M1361" i="3" a="1"/>
  <c r="M1361" i="3" s="1"/>
  <c r="M1362" i="3" a="1"/>
  <c r="M1362" i="3" s="1"/>
  <c r="M1363" i="3" a="1"/>
  <c r="M1363" i="3" s="1"/>
  <c r="M1364" i="3" a="1"/>
  <c r="M1364" i="3" s="1"/>
  <c r="M1365" i="3" a="1"/>
  <c r="M1365" i="3" s="1"/>
  <c r="M1366" i="3" a="1"/>
  <c r="M1366" i="3" s="1"/>
  <c r="M1367" i="3" a="1"/>
  <c r="M1367" i="3" s="1"/>
  <c r="M1368" i="3" a="1"/>
  <c r="M1368" i="3" s="1"/>
  <c r="M1369" i="3" a="1"/>
  <c r="M1369" i="3" s="1"/>
  <c r="M1370" i="3" a="1"/>
  <c r="M1370" i="3" s="1"/>
  <c r="M1371" i="3" a="1"/>
  <c r="M1371" i="3" s="1"/>
  <c r="M1372" i="3" a="1"/>
  <c r="M1372" i="3" s="1"/>
  <c r="M1373" i="3" a="1"/>
  <c r="M1373" i="3" s="1"/>
  <c r="M1374" i="3" a="1"/>
  <c r="M1374" i="3" s="1"/>
  <c r="M1375" i="3" a="1"/>
  <c r="M1375" i="3" s="1"/>
  <c r="M1376" i="3" a="1"/>
  <c r="M1376" i="3" s="1"/>
  <c r="M1377" i="3" a="1"/>
  <c r="M1377" i="3" s="1"/>
  <c r="M1378" i="3" a="1"/>
  <c r="M1378" i="3" s="1"/>
  <c r="M1379" i="3" a="1"/>
  <c r="M1379" i="3" s="1"/>
  <c r="M1380" i="3" a="1"/>
  <c r="M1380" i="3" s="1"/>
  <c r="M1381" i="3" a="1"/>
  <c r="M1381" i="3" s="1"/>
  <c r="M1382" i="3" a="1"/>
  <c r="M1382" i="3"/>
  <c r="M1383" i="3" a="1"/>
  <c r="M1383" i="3" s="1"/>
  <c r="M1384" i="3" a="1"/>
  <c r="M1384" i="3"/>
  <c r="M1385" i="3" a="1"/>
  <c r="M1385" i="3" s="1"/>
  <c r="M1386" i="3" a="1"/>
  <c r="M1386" i="3" s="1"/>
  <c r="M1387" i="3" a="1"/>
  <c r="M1387" i="3" s="1"/>
  <c r="M1388" i="3" a="1"/>
  <c r="M1388" i="3" s="1"/>
  <c r="M1389" i="3" a="1"/>
  <c r="M1389" i="3" s="1"/>
  <c r="M1390" i="3" a="1"/>
  <c r="M1390" i="3" s="1"/>
  <c r="M1391" i="3" a="1"/>
  <c r="M1391" i="3" s="1"/>
  <c r="M1392" i="3" a="1"/>
  <c r="M1392" i="3"/>
  <c r="M1393" i="3" a="1"/>
  <c r="M1393" i="3" s="1"/>
  <c r="M1394" i="3" a="1"/>
  <c r="M1394" i="3" s="1"/>
  <c r="M1395" i="3" a="1"/>
  <c r="M1395" i="3" s="1"/>
  <c r="M1396" i="3" a="1"/>
  <c r="M1396" i="3" s="1"/>
  <c r="M1397" i="3" a="1"/>
  <c r="M1397" i="3" s="1"/>
  <c r="M1398" i="3" a="1"/>
  <c r="M1398" i="3"/>
  <c r="M1399" i="3" a="1"/>
  <c r="M1399" i="3" s="1"/>
  <c r="M1400" i="3" a="1"/>
  <c r="M1400" i="3" s="1"/>
  <c r="M1401" i="3" a="1"/>
  <c r="M1401" i="3" s="1"/>
  <c r="M1402" i="3" a="1"/>
  <c r="M1402" i="3" s="1"/>
  <c r="M1403" i="3" a="1"/>
  <c r="M1403" i="3" s="1"/>
  <c r="M1404" i="3" a="1"/>
  <c r="M1404" i="3" s="1"/>
  <c r="M1405" i="3" a="1"/>
  <c r="M1405" i="3" s="1"/>
  <c r="M1406" i="3" a="1"/>
  <c r="M1406" i="3" s="1"/>
  <c r="M1407" i="3" a="1"/>
  <c r="M1407" i="3" s="1"/>
  <c r="M1408" i="3" a="1"/>
  <c r="M1408" i="3"/>
  <c r="M1409" i="3" a="1"/>
  <c r="M1409" i="3" s="1"/>
  <c r="M1410" i="3" a="1"/>
  <c r="M1410" i="3" s="1"/>
  <c r="M1411" i="3" a="1"/>
  <c r="M1411" i="3" s="1"/>
  <c r="M1412" i="3" a="1"/>
  <c r="M1412" i="3" s="1"/>
  <c r="M1413" i="3" a="1"/>
  <c r="M1413" i="3" s="1"/>
  <c r="M1414" i="3" a="1"/>
  <c r="M1414" i="3" s="1"/>
  <c r="M1415" i="3" a="1"/>
  <c r="M1415" i="3" s="1"/>
  <c r="M1416" i="3" a="1"/>
  <c r="M1416" i="3" s="1"/>
  <c r="M1417" i="3" a="1"/>
  <c r="M1417" i="3" s="1"/>
  <c r="M1418" i="3" a="1"/>
  <c r="M1418" i="3" s="1"/>
  <c r="M1419" i="3" a="1"/>
  <c r="M1419" i="3" s="1"/>
  <c r="M1420" i="3" a="1"/>
  <c r="M1420" i="3" s="1"/>
  <c r="M1421" i="3" a="1"/>
  <c r="M1421" i="3" s="1"/>
  <c r="M1422" i="3" a="1"/>
  <c r="M1422" i="3" s="1"/>
  <c r="M1423" i="3" a="1"/>
  <c r="M1423" i="3" s="1"/>
  <c r="M1424" i="3" a="1"/>
  <c r="M1424" i="3" s="1"/>
  <c r="M1425" i="3" a="1"/>
  <c r="M1425" i="3" s="1"/>
  <c r="M1426" i="3" a="1"/>
  <c r="M1426" i="3" s="1"/>
  <c r="M1427" i="3" a="1"/>
  <c r="M1427" i="3" s="1"/>
  <c r="M1428" i="3" a="1"/>
  <c r="M1428" i="3" s="1"/>
  <c r="M1429" i="3" a="1"/>
  <c r="M1429" i="3" s="1"/>
  <c r="M1430" i="3" a="1"/>
  <c r="M1430" i="3" s="1"/>
  <c r="M1431" i="3" a="1"/>
  <c r="M1431" i="3" s="1"/>
  <c r="M1432" i="3" a="1"/>
  <c r="M1432" i="3" s="1"/>
  <c r="M1433" i="3" a="1"/>
  <c r="M1433" i="3" s="1"/>
  <c r="M1434" i="3" a="1"/>
  <c r="M1434" i="3" s="1"/>
  <c r="M1435" i="3" a="1"/>
  <c r="M1435" i="3" s="1"/>
  <c r="M1436" i="3" a="1"/>
  <c r="M1436" i="3" s="1"/>
  <c r="M1437" i="3" a="1"/>
  <c r="M1437" i="3" s="1"/>
  <c r="M1438" i="3" a="1"/>
  <c r="M1438" i="3" s="1"/>
  <c r="M1439" i="3" a="1"/>
  <c r="M1439" i="3" s="1"/>
  <c r="M1440" i="3" a="1"/>
  <c r="M1440" i="3" s="1"/>
  <c r="M1441" i="3" a="1"/>
  <c r="M1441" i="3" s="1"/>
  <c r="M1442" i="3" a="1"/>
  <c r="M1442" i="3" s="1"/>
  <c r="M1443" i="3" a="1"/>
  <c r="M1443" i="3" s="1"/>
  <c r="M1444" i="3" a="1"/>
  <c r="M1444" i="3" s="1"/>
  <c r="M1445" i="3" a="1"/>
  <c r="M1445" i="3" s="1"/>
  <c r="M1446" i="3" a="1"/>
  <c r="M1446" i="3" s="1"/>
  <c r="M1447" i="3" a="1"/>
  <c r="M1447" i="3" s="1"/>
  <c r="M1448" i="3" a="1"/>
  <c r="M1448" i="3"/>
  <c r="M1449" i="3" a="1"/>
  <c r="M1449" i="3" s="1"/>
  <c r="M1450" i="3" a="1"/>
  <c r="M1450" i="3" s="1"/>
  <c r="M1451" i="3" a="1"/>
  <c r="M1451" i="3" s="1"/>
  <c r="M1452" i="3" a="1"/>
  <c r="M1452" i="3" s="1"/>
  <c r="M1453" i="3" a="1"/>
  <c r="M1453" i="3" s="1"/>
  <c r="M1454" i="3" a="1"/>
  <c r="M1454" i="3" s="1"/>
  <c r="M1455" i="3" a="1"/>
  <c r="M1455" i="3" s="1"/>
  <c r="M1456" i="3" a="1"/>
  <c r="M1456" i="3" s="1"/>
  <c r="M1457" i="3" a="1"/>
  <c r="M1457" i="3" s="1"/>
  <c r="M1458" i="3" a="1"/>
  <c r="M1458" i="3" s="1"/>
  <c r="M1459" i="3" a="1"/>
  <c r="M1459" i="3" s="1"/>
  <c r="M1460" i="3" a="1"/>
  <c r="M1460" i="3" s="1"/>
  <c r="M1461" i="3" a="1"/>
  <c r="M1461" i="3" s="1"/>
  <c r="M1462" i="3" a="1"/>
  <c r="M1462" i="3"/>
  <c r="M1463" i="3" a="1"/>
  <c r="M1463" i="3" s="1"/>
  <c r="M1464" i="3" a="1"/>
  <c r="M1464" i="3" s="1"/>
  <c r="M1465" i="3" a="1"/>
  <c r="M1465" i="3" s="1"/>
  <c r="M1466" i="3" a="1"/>
  <c r="M1466" i="3" s="1"/>
  <c r="M1467" i="3" a="1"/>
  <c r="M1467" i="3" s="1"/>
  <c r="M1468" i="3" a="1"/>
  <c r="M1468" i="3" s="1"/>
  <c r="M1469" i="3" a="1"/>
  <c r="M1469" i="3" s="1"/>
  <c r="M1470" i="3" a="1"/>
  <c r="M1470" i="3" s="1"/>
  <c r="M1471" i="3" a="1"/>
  <c r="M1471" i="3" s="1"/>
  <c r="M1472" i="3" a="1"/>
  <c r="M1472" i="3"/>
  <c r="M1473" i="3" a="1"/>
  <c r="M1473" i="3" s="1"/>
  <c r="M1474" i="3" a="1"/>
  <c r="M1474" i="3" s="1"/>
  <c r="M1475" i="3" a="1"/>
  <c r="M1475" i="3" s="1"/>
  <c r="M1476" i="3" a="1"/>
  <c r="M1476" i="3" s="1"/>
  <c r="M1477" i="3" a="1"/>
  <c r="M1477" i="3" s="1"/>
  <c r="M1478" i="3" a="1"/>
  <c r="M1478" i="3" s="1"/>
  <c r="M1479" i="3" a="1"/>
  <c r="M1479" i="3" s="1"/>
  <c r="M1480" i="3" a="1"/>
  <c r="M1480" i="3" s="1"/>
  <c r="M1481" i="3" a="1"/>
  <c r="M1481" i="3" s="1"/>
  <c r="M1482" i="3" a="1"/>
  <c r="M1482" i="3" s="1"/>
  <c r="M1483" i="3" a="1"/>
  <c r="M1483" i="3" s="1"/>
  <c r="M1484" i="3" a="1"/>
  <c r="M1484" i="3" s="1"/>
  <c r="M1485" i="3" a="1"/>
  <c r="M1485" i="3" s="1"/>
  <c r="M1486" i="3" a="1"/>
  <c r="M1486" i="3" s="1"/>
  <c r="M1487" i="3" a="1"/>
  <c r="M1487" i="3" s="1"/>
  <c r="M1488" i="3" a="1"/>
  <c r="M1488" i="3" s="1"/>
  <c r="M1489" i="3" a="1"/>
  <c r="M1489" i="3" s="1"/>
  <c r="M1490" i="3" a="1"/>
  <c r="M1490" i="3" s="1"/>
  <c r="M1491" i="3" a="1"/>
  <c r="M1491" i="3" s="1"/>
  <c r="M1492" i="3" a="1"/>
  <c r="M1492" i="3" s="1"/>
  <c r="M1493" i="3" a="1"/>
  <c r="M1493" i="3" s="1"/>
  <c r="M1494" i="3" a="1"/>
  <c r="M1494" i="3" s="1"/>
  <c r="M1495" i="3" a="1"/>
  <c r="M1495" i="3" s="1"/>
  <c r="M1496" i="3" a="1"/>
  <c r="M1496" i="3"/>
  <c r="M1497" i="3" a="1"/>
  <c r="M1497" i="3" s="1"/>
  <c r="M1498" i="3" a="1"/>
  <c r="M1498" i="3" s="1"/>
  <c r="M1499" i="3" a="1"/>
  <c r="M1499" i="3" s="1"/>
  <c r="M1500" i="3" a="1"/>
  <c r="M1500" i="3" s="1"/>
  <c r="M1501" i="3" a="1"/>
  <c r="M1501" i="3" s="1"/>
  <c r="M1502" i="3" a="1"/>
  <c r="M1502" i="3" s="1"/>
  <c r="M1503" i="3" a="1"/>
  <c r="M1503" i="3" s="1"/>
  <c r="M1504" i="3" a="1"/>
  <c r="M1504" i="3" s="1"/>
  <c r="M1505" i="3" a="1"/>
  <c r="M1505" i="3" s="1"/>
  <c r="M1506" i="3" a="1"/>
  <c r="M1506" i="3" s="1"/>
  <c r="M1507" i="3" a="1"/>
  <c r="M1507" i="3" s="1"/>
  <c r="M1508" i="3" a="1"/>
  <c r="M1508" i="3" s="1"/>
  <c r="M1509" i="3" a="1"/>
  <c r="M1509" i="3" s="1"/>
  <c r="M1510" i="3" a="1"/>
  <c r="M1510" i="3"/>
  <c r="M1511" i="3" a="1"/>
  <c r="M1511" i="3" s="1"/>
  <c r="M1512" i="3" a="1"/>
  <c r="M1512" i="3"/>
  <c r="M1513" i="3" a="1"/>
  <c r="M1513" i="3" s="1"/>
  <c r="M1514" i="3" a="1"/>
  <c r="M1514" i="3" s="1"/>
  <c r="M1515" i="3" a="1"/>
  <c r="M1515" i="3" s="1"/>
  <c r="M1516" i="3" a="1"/>
  <c r="M1516" i="3" s="1"/>
  <c r="M1517" i="3" a="1"/>
  <c r="M1517" i="3" s="1"/>
  <c r="M1518" i="3" a="1"/>
  <c r="M1518" i="3" s="1"/>
  <c r="M1519" i="3" a="1"/>
  <c r="M1519" i="3" s="1"/>
  <c r="M1520" i="3" a="1"/>
  <c r="M1520" i="3"/>
  <c r="M1521" i="3" a="1"/>
  <c r="M1521" i="3" s="1"/>
  <c r="M1522" i="3" a="1"/>
  <c r="M1522" i="3" s="1"/>
  <c r="M1523" i="3" a="1"/>
  <c r="M1523" i="3" s="1"/>
  <c r="M1524" i="3" a="1"/>
  <c r="M1524" i="3" s="1"/>
  <c r="M1525" i="3" a="1"/>
  <c r="M1525" i="3" s="1"/>
  <c r="M1526" i="3" a="1"/>
  <c r="M1526" i="3"/>
  <c r="M1527" i="3" a="1"/>
  <c r="M1527" i="3" s="1"/>
  <c r="M1528" i="3" a="1"/>
  <c r="M1528" i="3" s="1"/>
  <c r="M1529" i="3" a="1"/>
  <c r="M1529" i="3" s="1"/>
  <c r="M1530" i="3" a="1"/>
  <c r="M1530" i="3" s="1"/>
  <c r="M1531" i="3" a="1"/>
  <c r="M1531" i="3" s="1"/>
  <c r="M1532" i="3" a="1"/>
  <c r="M1532" i="3" s="1"/>
  <c r="M1533" i="3" a="1"/>
  <c r="M1533" i="3" s="1"/>
  <c r="M1534" i="3" a="1"/>
  <c r="M1534" i="3" s="1"/>
  <c r="M1535" i="3" a="1"/>
  <c r="M1535" i="3" s="1"/>
  <c r="M1536" i="3" a="1"/>
  <c r="M1536" i="3" s="1"/>
  <c r="M1537" i="3" a="1"/>
  <c r="M1537" i="3" s="1"/>
  <c r="M1538" i="3" a="1"/>
  <c r="M1538" i="3" s="1"/>
  <c r="M1539" i="3" a="1"/>
  <c r="M1539" i="3" s="1"/>
  <c r="M1540" i="3" a="1"/>
  <c r="M1540" i="3" s="1"/>
  <c r="M1541" i="3" a="1"/>
  <c r="M1541" i="3" s="1"/>
  <c r="M1542" i="3" a="1"/>
  <c r="M1542" i="3" s="1"/>
  <c r="M1543" i="3" a="1"/>
  <c r="M1543" i="3" s="1"/>
  <c r="M1544" i="3" a="1"/>
  <c r="M1544" i="3" s="1"/>
  <c r="M1545" i="3" a="1"/>
  <c r="M1545" i="3" s="1"/>
  <c r="M1546" i="3" a="1"/>
  <c r="M1546" i="3" s="1"/>
  <c r="M1547" i="3" a="1"/>
  <c r="M1547" i="3" s="1"/>
  <c r="M1548" i="3" a="1"/>
  <c r="M1548" i="3" s="1"/>
  <c r="M1549" i="3" a="1"/>
  <c r="M1549" i="3" s="1"/>
  <c r="M1550" i="3" a="1"/>
  <c r="M1550" i="3" s="1"/>
  <c r="M1551" i="3" a="1"/>
  <c r="M1551" i="3" s="1"/>
  <c r="M1552" i="3" a="1"/>
  <c r="M1552" i="3" s="1"/>
  <c r="M1553" i="3" a="1"/>
  <c r="M1553" i="3" s="1"/>
  <c r="M1554" i="3" a="1"/>
  <c r="M1554" i="3" s="1"/>
  <c r="M1555" i="3" a="1"/>
  <c r="M1555" i="3" s="1"/>
  <c r="M1556" i="3" a="1"/>
  <c r="M1556" i="3" s="1"/>
  <c r="M1557" i="3" a="1"/>
  <c r="M1557" i="3" s="1"/>
  <c r="M1558" i="3" a="1"/>
  <c r="M1558" i="3" s="1"/>
  <c r="M1559" i="3" a="1"/>
  <c r="M1559" i="3" s="1"/>
  <c r="M1560" i="3" a="1"/>
  <c r="M1560" i="3" s="1"/>
  <c r="M1561" i="3" a="1"/>
  <c r="M1561" i="3" s="1"/>
  <c r="M1562" i="3" a="1"/>
  <c r="M1562" i="3" s="1"/>
  <c r="M1563" i="3" a="1"/>
  <c r="M1563" i="3" s="1"/>
  <c r="M1564" i="3" a="1"/>
  <c r="M1564" i="3" s="1"/>
  <c r="M1565" i="3" a="1"/>
  <c r="M1565" i="3" s="1"/>
  <c r="M1566" i="3" a="1"/>
  <c r="M1566" i="3" s="1"/>
  <c r="M1567" i="3" a="1"/>
  <c r="M1567" i="3" s="1"/>
  <c r="M1568" i="3" a="1"/>
  <c r="M1568" i="3" s="1"/>
  <c r="M1569" i="3" a="1"/>
  <c r="M1569" i="3" s="1"/>
  <c r="M1570" i="3" a="1"/>
  <c r="M1570" i="3" s="1"/>
  <c r="M1571" i="3" a="1"/>
  <c r="M1571" i="3" s="1"/>
  <c r="M1572" i="3" a="1"/>
  <c r="M1572" i="3" s="1"/>
  <c r="M1573" i="3" a="1"/>
  <c r="M1573" i="3" s="1"/>
  <c r="M1574" i="3" a="1"/>
  <c r="M1574" i="3"/>
  <c r="M1575" i="3" a="1"/>
  <c r="M1575" i="3" s="1"/>
  <c r="M1576" i="3" a="1"/>
  <c r="M1576" i="3"/>
  <c r="M1577" i="3" a="1"/>
  <c r="M1577" i="3" s="1"/>
  <c r="M1578" i="3" a="1"/>
  <c r="M1578" i="3" s="1"/>
  <c r="M1579" i="3" a="1"/>
  <c r="M1579" i="3" s="1"/>
  <c r="M1580" i="3" a="1"/>
  <c r="M1580" i="3" s="1"/>
  <c r="M1581" i="3" a="1"/>
  <c r="M1581" i="3" s="1"/>
  <c r="M1582" i="3" a="1"/>
  <c r="M1582" i="3" s="1"/>
  <c r="M1583" i="3" a="1"/>
  <c r="M1583" i="3" s="1"/>
  <c r="M1584" i="3" a="1"/>
  <c r="M1584" i="3"/>
  <c r="M1585" i="3" a="1"/>
  <c r="M1585" i="3" s="1"/>
  <c r="M1586" i="3" a="1"/>
  <c r="M1586" i="3" s="1"/>
  <c r="M1587" i="3" a="1"/>
  <c r="M1587" i="3" s="1"/>
  <c r="M1588" i="3" a="1"/>
  <c r="M1588" i="3" s="1"/>
  <c r="M1589" i="3" a="1"/>
  <c r="M1589" i="3" s="1"/>
  <c r="M1590" i="3" a="1"/>
  <c r="M1590" i="3"/>
  <c r="M1591" i="3" a="1"/>
  <c r="M1591" i="3" s="1"/>
  <c r="M1592" i="3" a="1"/>
  <c r="M1592" i="3"/>
  <c r="M1593" i="3" a="1"/>
  <c r="M1593" i="3" s="1"/>
  <c r="M1594" i="3" a="1"/>
  <c r="M1594" i="3" s="1"/>
  <c r="M1595" i="3" a="1"/>
  <c r="M1595" i="3" s="1"/>
  <c r="M1596" i="3" a="1"/>
  <c r="M1596" i="3" s="1"/>
  <c r="M1597" i="3" a="1"/>
  <c r="M1597" i="3" s="1"/>
  <c r="M1598" i="3" a="1"/>
  <c r="M1598" i="3" s="1"/>
  <c r="M1599" i="3" a="1"/>
  <c r="M1599" i="3" s="1"/>
  <c r="M1600" i="3" a="1"/>
  <c r="M1600" i="3"/>
  <c r="M1601" i="3" a="1"/>
  <c r="M1601" i="3" s="1"/>
  <c r="M1602" i="3" a="1"/>
  <c r="M1602" i="3" s="1"/>
  <c r="M1603" i="3" a="1"/>
  <c r="M1603" i="3" s="1"/>
  <c r="M1604" i="3" a="1"/>
  <c r="M1604" i="3" s="1"/>
  <c r="M1605" i="3" a="1"/>
  <c r="M1605" i="3" s="1"/>
  <c r="M1606" i="3" a="1"/>
  <c r="M1606" i="3" s="1"/>
  <c r="M1607" i="3" a="1"/>
  <c r="M1607" i="3" s="1"/>
  <c r="M1608" i="3" a="1"/>
  <c r="M1608" i="3" s="1"/>
  <c r="M1609" i="3" a="1"/>
  <c r="M1609" i="3" s="1"/>
  <c r="M1610" i="3" a="1"/>
  <c r="M1610" i="3" s="1"/>
  <c r="M1611" i="3" a="1"/>
  <c r="M1611" i="3" s="1"/>
  <c r="M1612" i="3" a="1"/>
  <c r="M1612" i="3" s="1"/>
  <c r="M1613" i="3" a="1"/>
  <c r="M1613" i="3" s="1"/>
  <c r="M1614" i="3" a="1"/>
  <c r="M1614" i="3" s="1"/>
  <c r="M1615" i="3" a="1"/>
  <c r="M1615" i="3" s="1"/>
  <c r="M1616" i="3" a="1"/>
  <c r="M1616" i="3" s="1"/>
  <c r="M1617" i="3" a="1"/>
  <c r="M1617" i="3" s="1"/>
  <c r="M1618" i="3" a="1"/>
  <c r="M1618" i="3" s="1"/>
  <c r="M1619" i="3" a="1"/>
  <c r="M1619" i="3" s="1"/>
  <c r="M1620" i="3" a="1"/>
  <c r="M1620" i="3" s="1"/>
  <c r="M1621" i="3" a="1"/>
  <c r="M1621" i="3" s="1"/>
  <c r="M1622" i="3" a="1"/>
  <c r="M1622" i="3" s="1"/>
  <c r="M1623" i="3" a="1"/>
  <c r="M1623" i="3" s="1"/>
  <c r="M1624" i="3" a="1"/>
  <c r="M1624" i="3"/>
  <c r="M1625" i="3" a="1"/>
  <c r="M1625" i="3" s="1"/>
  <c r="M1626" i="3" a="1"/>
  <c r="M1626" i="3" s="1"/>
  <c r="M1627" i="3" a="1"/>
  <c r="M1627" i="3" s="1"/>
  <c r="M1628" i="3" a="1"/>
  <c r="M1628" i="3" s="1"/>
  <c r="M1629" i="3" a="1"/>
  <c r="M1629" i="3" s="1"/>
  <c r="M1630" i="3" a="1"/>
  <c r="M1630" i="3" s="1"/>
  <c r="M1631" i="3" a="1"/>
  <c r="M1631" i="3" s="1"/>
  <c r="M1632" i="3" a="1"/>
  <c r="M1632" i="3" s="1"/>
  <c r="M1633" i="3" a="1"/>
  <c r="M1633" i="3" s="1"/>
  <c r="M1634" i="3" a="1"/>
  <c r="M1634" i="3" s="1"/>
  <c r="M1635" i="3" a="1"/>
  <c r="M1635" i="3" s="1"/>
  <c r="M1636" i="3" a="1"/>
  <c r="M1636" i="3" s="1"/>
  <c r="M1637" i="3" a="1"/>
  <c r="M1637" i="3" s="1"/>
  <c r="M1638" i="3" a="1"/>
  <c r="M1638" i="3"/>
  <c r="M1639" i="3" a="1"/>
  <c r="M1639" i="3" s="1"/>
  <c r="M1640" i="3" a="1"/>
  <c r="M1640" i="3"/>
  <c r="M1641" i="3" a="1"/>
  <c r="M1641" i="3" s="1"/>
  <c r="M1642" i="3" a="1"/>
  <c r="M1642" i="3" s="1"/>
  <c r="M1643" i="3" a="1"/>
  <c r="M1643" i="3" s="1"/>
  <c r="M1644" i="3" a="1"/>
  <c r="M1644" i="3" s="1"/>
  <c r="M1645" i="3" a="1"/>
  <c r="M1645" i="3" s="1"/>
  <c r="M1646" i="3" a="1"/>
  <c r="M1646" i="3" s="1"/>
  <c r="M1647" i="3" a="1"/>
  <c r="M1647" i="3" s="1"/>
  <c r="M1648" i="3" a="1"/>
  <c r="M1648" i="3"/>
  <c r="M1649" i="3" a="1"/>
  <c r="M1649" i="3" s="1"/>
  <c r="M1650" i="3" a="1"/>
  <c r="M1650" i="3" s="1"/>
  <c r="M1651" i="3" a="1"/>
  <c r="M1651" i="3" s="1"/>
  <c r="M1652" i="3" a="1"/>
  <c r="M1652" i="3" s="1"/>
  <c r="M1653" i="3" a="1"/>
  <c r="M1653" i="3" s="1"/>
  <c r="M1654" i="3" a="1"/>
  <c r="M1654" i="3"/>
  <c r="M1655" i="3" a="1"/>
  <c r="M1655" i="3" s="1"/>
  <c r="M1656" i="3" a="1"/>
  <c r="M1656" i="3" s="1"/>
  <c r="M1657" i="3" a="1"/>
  <c r="M1657" i="3" s="1"/>
  <c r="M1658" i="3" a="1"/>
  <c r="M1658" i="3" s="1"/>
  <c r="M1659" i="3" a="1"/>
  <c r="M1659" i="3" s="1"/>
  <c r="M1660" i="3" a="1"/>
  <c r="M1660" i="3" s="1"/>
  <c r="M1661" i="3" a="1"/>
  <c r="M1661" i="3" s="1"/>
  <c r="M1662" i="3" a="1"/>
  <c r="M1662" i="3" s="1"/>
  <c r="M1663" i="3" a="1"/>
  <c r="M1663" i="3" s="1"/>
  <c r="M1664" i="3" a="1"/>
  <c r="M1664" i="3" s="1"/>
  <c r="M1665" i="3" a="1"/>
  <c r="M1665" i="3" s="1"/>
  <c r="M1666" i="3" a="1"/>
  <c r="M1666" i="3" s="1"/>
  <c r="M1667" i="3" a="1"/>
  <c r="M1667" i="3" s="1"/>
  <c r="M1668" i="3" a="1"/>
  <c r="M1668" i="3" s="1"/>
  <c r="M1669" i="3" a="1"/>
  <c r="M1669" i="3" s="1"/>
  <c r="M1670" i="3" a="1"/>
  <c r="M1670" i="3" s="1"/>
  <c r="M1671" i="3" a="1"/>
  <c r="M1671" i="3" s="1"/>
  <c r="M1672" i="3" a="1"/>
  <c r="M1672" i="3" s="1"/>
  <c r="M1673" i="3" a="1"/>
  <c r="M1673" i="3" s="1"/>
  <c r="M1674" i="3" a="1"/>
  <c r="M1674" i="3" s="1"/>
  <c r="M1675" i="3" a="1"/>
  <c r="M1675" i="3" s="1"/>
  <c r="M1676" i="3" a="1"/>
  <c r="M1676" i="3" s="1"/>
  <c r="M1677" i="3" a="1"/>
  <c r="M1677" i="3" s="1"/>
  <c r="M1678" i="3" a="1"/>
  <c r="M1678" i="3" s="1"/>
  <c r="M1679" i="3" a="1"/>
  <c r="M1679" i="3" s="1"/>
  <c r="M1680" i="3" a="1"/>
  <c r="M1680" i="3"/>
  <c r="M1681" i="3" a="1"/>
  <c r="M1681" i="3" s="1"/>
  <c r="M1682" i="3" a="1"/>
  <c r="M1682" i="3" s="1"/>
  <c r="M1683" i="3" a="1"/>
  <c r="M1683" i="3" s="1"/>
  <c r="M1684" i="3" a="1"/>
  <c r="M1684" i="3" s="1"/>
  <c r="M1685" i="3" a="1"/>
  <c r="M1685" i="3" s="1"/>
  <c r="M1686" i="3" a="1"/>
  <c r="M1686" i="3" s="1"/>
  <c r="M1687" i="3" a="1"/>
  <c r="M1687" i="3" s="1"/>
  <c r="M1688" i="3" a="1"/>
  <c r="M1688" i="3"/>
  <c r="M1689" i="3" a="1"/>
  <c r="M1689" i="3" s="1"/>
  <c r="M1690" i="3" a="1"/>
  <c r="M1690" i="3" s="1"/>
  <c r="M1691" i="3" a="1"/>
  <c r="M1691" i="3" s="1"/>
  <c r="M1692" i="3" a="1"/>
  <c r="M1692" i="3" s="1"/>
  <c r="M1693" i="3" a="1"/>
  <c r="M1693" i="3" s="1"/>
  <c r="M1694" i="3" a="1"/>
  <c r="M1694" i="3" s="1"/>
  <c r="M1695" i="3" a="1"/>
  <c r="M1695" i="3" s="1"/>
  <c r="M1696" i="3" a="1"/>
  <c r="M1696" i="3"/>
  <c r="M1697" i="3" a="1"/>
  <c r="M1697" i="3" s="1"/>
  <c r="M1698" i="3" a="1"/>
  <c r="M1698" i="3" s="1"/>
  <c r="M1699" i="3" a="1"/>
  <c r="M1699" i="3" s="1"/>
  <c r="M1700" i="3" a="1"/>
  <c r="M1700" i="3" s="1"/>
  <c r="M1701" i="3" a="1"/>
  <c r="M1701" i="3" s="1"/>
  <c r="M1702" i="3" a="1"/>
  <c r="M1702" i="3" s="1"/>
  <c r="M1703" i="3" a="1"/>
  <c r="M1703" i="3" s="1"/>
  <c r="M1704" i="3" a="1"/>
  <c r="M1704" i="3" s="1"/>
  <c r="M1705" i="3" a="1"/>
  <c r="M1705" i="3" s="1"/>
  <c r="M1706" i="3" a="1"/>
  <c r="M1706" i="3" s="1"/>
  <c r="M1707" i="3" a="1"/>
  <c r="M1707" i="3" s="1"/>
  <c r="M1708" i="3" a="1"/>
  <c r="M1708" i="3" s="1"/>
  <c r="M1709" i="3" a="1"/>
  <c r="M1709" i="3" s="1"/>
  <c r="M1710" i="3" a="1"/>
  <c r="M1710" i="3" s="1"/>
  <c r="M1711" i="3" a="1"/>
  <c r="M1711" i="3" s="1"/>
  <c r="M1712" i="3" a="1"/>
  <c r="M1712" i="3" s="1"/>
  <c r="M1713" i="3" a="1"/>
  <c r="M1713" i="3" s="1"/>
  <c r="M1714" i="3" a="1"/>
  <c r="M1714" i="3" s="1"/>
  <c r="M1715" i="3" a="1"/>
  <c r="M1715" i="3" s="1"/>
  <c r="M1716" i="3" a="1"/>
  <c r="M1716" i="3" s="1"/>
  <c r="M1717" i="3" a="1"/>
  <c r="M1717" i="3" s="1"/>
  <c r="M1718" i="3" a="1"/>
  <c r="M1718" i="3" s="1"/>
  <c r="M1719" i="3" a="1"/>
  <c r="M1719" i="3" s="1"/>
  <c r="M1720" i="3" a="1"/>
  <c r="M1720" i="3" s="1"/>
  <c r="M1721" i="3" a="1"/>
  <c r="M1721" i="3" s="1"/>
  <c r="M1722" i="3" a="1"/>
  <c r="M1722" i="3" s="1"/>
  <c r="M1723" i="3" a="1"/>
  <c r="M1723" i="3" s="1"/>
  <c r="M1724" i="3" a="1"/>
  <c r="M1724" i="3" s="1"/>
  <c r="M1725" i="3" a="1"/>
  <c r="M1725" i="3" s="1"/>
  <c r="M1726" i="3" a="1"/>
  <c r="M1726" i="3" s="1"/>
  <c r="M1727" i="3" a="1"/>
  <c r="M1727" i="3" s="1"/>
  <c r="M1728" i="3" a="1"/>
  <c r="M1728" i="3"/>
  <c r="M1729" i="3" a="1"/>
  <c r="M1729" i="3" s="1"/>
  <c r="M1730" i="3" a="1"/>
  <c r="M1730" i="3" s="1"/>
  <c r="M1731" i="3" a="1"/>
  <c r="M1731" i="3" s="1"/>
  <c r="M1732" i="3" a="1"/>
  <c r="M1732" i="3" s="1"/>
  <c r="M1733" i="3" a="1"/>
  <c r="M1733" i="3" s="1"/>
  <c r="M1734" i="3" a="1"/>
  <c r="M1734" i="3" s="1"/>
  <c r="M1735" i="3" a="1"/>
  <c r="M1735" i="3" s="1"/>
  <c r="M1736" i="3" a="1"/>
  <c r="M1736" i="3" s="1"/>
  <c r="M1737" i="3" a="1"/>
  <c r="M1737" i="3" s="1"/>
  <c r="M1738" i="3" a="1"/>
  <c r="M1738" i="3" s="1"/>
  <c r="M1739" i="3" a="1"/>
  <c r="M1739" i="3" s="1"/>
  <c r="M1740" i="3" a="1"/>
  <c r="M1740" i="3" s="1"/>
  <c r="M1741" i="3" a="1"/>
  <c r="M1741" i="3" s="1"/>
  <c r="M1742" i="3" a="1"/>
  <c r="M1742" i="3" s="1"/>
  <c r="M1743" i="3" a="1"/>
  <c r="M1743" i="3" s="1"/>
  <c r="M1744" i="3" a="1"/>
  <c r="M1744" i="3"/>
  <c r="M1745" i="3" a="1"/>
  <c r="M1745" i="3" s="1"/>
  <c r="M1746" i="3" a="1"/>
  <c r="M1746" i="3" s="1"/>
  <c r="M1747" i="3" a="1"/>
  <c r="M1747" i="3" s="1"/>
  <c r="M1748" i="3" a="1"/>
  <c r="M1748" i="3" s="1"/>
  <c r="M1749" i="3" a="1"/>
  <c r="M1749" i="3" s="1"/>
  <c r="M1750" i="3" a="1"/>
  <c r="M1750" i="3" s="1"/>
  <c r="M1751" i="3" a="1"/>
  <c r="M1751" i="3" s="1"/>
  <c r="M1752" i="3" a="1"/>
  <c r="M1752" i="3" s="1"/>
  <c r="M1753" i="3" a="1"/>
  <c r="M1753" i="3" s="1"/>
  <c r="M1754" i="3" a="1"/>
  <c r="M1754" i="3" s="1"/>
  <c r="M1755" i="3" a="1"/>
  <c r="M1755" i="3" s="1"/>
  <c r="M1756" i="3" a="1"/>
  <c r="M1756" i="3" s="1"/>
  <c r="M1757" i="3" a="1"/>
  <c r="M1757" i="3" s="1"/>
  <c r="M1758" i="3" a="1"/>
  <c r="M1758" i="3" s="1"/>
  <c r="M1759" i="3" a="1"/>
  <c r="M1759" i="3" s="1"/>
  <c r="M1760" i="3" a="1"/>
  <c r="M1760" i="3"/>
  <c r="M1761" i="3" a="1"/>
  <c r="M1761" i="3" s="1"/>
  <c r="M1762" i="3" a="1"/>
  <c r="M1762" i="3" s="1"/>
  <c r="M1763" i="3" a="1"/>
  <c r="M1763" i="3" s="1"/>
  <c r="M1764" i="3" a="1"/>
  <c r="M1764" i="3" s="1"/>
  <c r="M1765" i="3" a="1"/>
  <c r="M1765" i="3" s="1"/>
  <c r="M1766" i="3" a="1"/>
  <c r="M1766" i="3" s="1"/>
  <c r="M1767" i="3" a="1"/>
  <c r="M1767" i="3" s="1"/>
  <c r="M1768" i="3" a="1"/>
  <c r="M1768" i="3" s="1"/>
  <c r="M1769" i="3" a="1"/>
  <c r="M1769" i="3" s="1"/>
  <c r="M1770" i="3" a="1"/>
  <c r="M1770" i="3" s="1"/>
  <c r="M1771" i="3" a="1"/>
  <c r="M1771" i="3" s="1"/>
  <c r="M1772" i="3" a="1"/>
  <c r="M1772" i="3" s="1"/>
  <c r="M1773" i="3" a="1"/>
  <c r="M1773" i="3" s="1"/>
  <c r="M1774" i="3" a="1"/>
  <c r="M1774" i="3" s="1"/>
  <c r="M1775" i="3" a="1"/>
  <c r="M1775" i="3" s="1"/>
  <c r="M1776" i="3" a="1"/>
  <c r="M1776" i="3" s="1"/>
  <c r="M1777" i="3" a="1"/>
  <c r="M1777" i="3" s="1"/>
  <c r="M1778" i="3" a="1"/>
  <c r="M1778" i="3" s="1"/>
  <c r="M1779" i="3" a="1"/>
  <c r="M1779" i="3" s="1"/>
  <c r="M1780" i="3" a="1"/>
  <c r="M1780" i="3" s="1"/>
  <c r="M1781" i="3" a="1"/>
  <c r="M1781" i="3" s="1"/>
  <c r="M1782" i="3" a="1"/>
  <c r="M1782" i="3" s="1"/>
  <c r="M1783" i="3" a="1"/>
  <c r="M1783" i="3" s="1"/>
  <c r="M1784" i="3" a="1"/>
  <c r="M1784" i="3" s="1"/>
  <c r="M1785" i="3" a="1"/>
  <c r="M1785" i="3" s="1"/>
  <c r="M1786" i="3" a="1"/>
  <c r="M1786" i="3" s="1"/>
  <c r="M1787" i="3" a="1"/>
  <c r="M1787" i="3" s="1"/>
  <c r="M1788" i="3" a="1"/>
  <c r="M1788" i="3" s="1"/>
  <c r="M1789" i="3" a="1"/>
  <c r="M1789" i="3" s="1"/>
  <c r="M1790" i="3" a="1"/>
  <c r="M1790" i="3" s="1"/>
  <c r="M1791" i="3" a="1"/>
  <c r="M1791" i="3" s="1"/>
  <c r="M1792" i="3" a="1"/>
  <c r="M1792" i="3"/>
  <c r="M1793" i="3" a="1"/>
  <c r="M1793" i="3" s="1"/>
  <c r="M1794" i="3" a="1"/>
  <c r="M1794" i="3" s="1"/>
  <c r="M1795" i="3" a="1"/>
  <c r="M1795" i="3" s="1"/>
  <c r="M1796" i="3" a="1"/>
  <c r="M1796" i="3" s="1"/>
  <c r="M1797" i="3" a="1"/>
  <c r="M1797" i="3" s="1"/>
  <c r="M1798" i="3" a="1"/>
  <c r="M1798" i="3" s="1"/>
  <c r="M1799" i="3" a="1"/>
  <c r="M1799" i="3" s="1"/>
  <c r="M1800" i="3" a="1"/>
  <c r="M1800" i="3" s="1"/>
  <c r="M1801" i="3" a="1"/>
  <c r="M1801" i="3" s="1"/>
  <c r="M1802" i="3" a="1"/>
  <c r="M1802" i="3" s="1"/>
  <c r="M1803" i="3" a="1"/>
  <c r="M1803" i="3" s="1"/>
  <c r="M1804" i="3" a="1"/>
  <c r="M1804" i="3" s="1"/>
  <c r="M1805" i="3" a="1"/>
  <c r="M1805" i="3" s="1"/>
  <c r="M1806" i="3" a="1"/>
  <c r="M1806" i="3" s="1"/>
  <c r="M1807" i="3" a="1"/>
  <c r="M1807" i="3" s="1"/>
  <c r="M1808" i="3" a="1"/>
  <c r="M1808" i="3"/>
  <c r="M1809" i="3" a="1"/>
  <c r="M1809" i="3" s="1"/>
  <c r="M1810" i="3" a="1"/>
  <c r="M1810" i="3" s="1"/>
  <c r="M1811" i="3" a="1"/>
  <c r="M1811" i="3" s="1"/>
  <c r="M1812" i="3" a="1"/>
  <c r="M1812" i="3" s="1"/>
  <c r="M1813" i="3" a="1"/>
  <c r="M1813" i="3" s="1"/>
  <c r="M1814" i="3" a="1"/>
  <c r="M1814" i="3" s="1"/>
  <c r="M1815" i="3" a="1"/>
  <c r="M1815" i="3" s="1"/>
  <c r="M1816" i="3" a="1"/>
  <c r="M1816" i="3"/>
  <c r="M1817" i="3" a="1"/>
  <c r="M1817" i="3" s="1"/>
  <c r="M1818" i="3" a="1"/>
  <c r="M1818" i="3" s="1"/>
  <c r="M1819" i="3" a="1"/>
  <c r="M1819" i="3" s="1"/>
  <c r="M1820" i="3" a="1"/>
  <c r="M1820" i="3" s="1"/>
  <c r="M1821" i="3" a="1"/>
  <c r="M1821" i="3" s="1"/>
  <c r="M1822" i="3" a="1"/>
  <c r="M1822" i="3" s="1"/>
  <c r="M1823" i="3" a="1"/>
  <c r="M1823" i="3" s="1"/>
  <c r="M1824" i="3" a="1"/>
  <c r="M1824" i="3" s="1"/>
  <c r="M1825" i="3" a="1"/>
  <c r="M1825" i="3" s="1"/>
  <c r="M1826" i="3" a="1"/>
  <c r="M1826" i="3" s="1"/>
  <c r="M1827" i="3" a="1"/>
  <c r="M1827" i="3" s="1"/>
  <c r="M1828" i="3" a="1"/>
  <c r="M1828" i="3" s="1"/>
  <c r="M1829" i="3" a="1"/>
  <c r="M1829" i="3" s="1"/>
  <c r="M1830" i="3" a="1"/>
  <c r="M1830" i="3" s="1"/>
  <c r="M1831" i="3" a="1"/>
  <c r="M1831" i="3" s="1"/>
  <c r="M1832" i="3" a="1"/>
  <c r="M1832" i="3" s="1"/>
  <c r="M1833" i="3" a="1"/>
  <c r="M1833" i="3" s="1"/>
  <c r="M1834" i="3" a="1"/>
  <c r="M1834" i="3" s="1"/>
  <c r="M1835" i="3" a="1"/>
  <c r="M1835" i="3" s="1"/>
  <c r="M1836" i="3" a="1"/>
  <c r="M1836" i="3" s="1"/>
  <c r="M1837" i="3" a="1"/>
  <c r="M1837" i="3" s="1"/>
  <c r="M1838" i="3" a="1"/>
  <c r="M1838" i="3" s="1"/>
  <c r="M1839" i="3" a="1"/>
  <c r="M1839" i="3" s="1"/>
  <c r="M1840" i="3" a="1"/>
  <c r="M1840" i="3"/>
  <c r="M1841" i="3" a="1"/>
  <c r="M1841" i="3" s="1"/>
  <c r="M1842" i="3" a="1"/>
  <c r="M1842" i="3" s="1"/>
  <c r="M1843" i="3" a="1"/>
  <c r="M1843" i="3" s="1"/>
  <c r="M1844" i="3" a="1"/>
  <c r="M1844" i="3" s="1"/>
  <c r="M1845" i="3" a="1"/>
  <c r="M1845" i="3" s="1"/>
  <c r="M1846" i="3" a="1"/>
  <c r="M1846" i="3" s="1"/>
  <c r="M1847" i="3" a="1"/>
  <c r="M1847" i="3" s="1"/>
  <c r="M1848" i="3" a="1"/>
  <c r="M1848" i="3"/>
  <c r="M1849" i="3" a="1"/>
  <c r="M1849" i="3" s="1"/>
  <c r="M1850" i="3" a="1"/>
  <c r="M1850" i="3" s="1"/>
  <c r="M1851" i="3" a="1"/>
  <c r="M1851" i="3" s="1"/>
  <c r="M1852" i="3" a="1"/>
  <c r="M1852" i="3" s="1"/>
  <c r="M1853" i="3" a="1"/>
  <c r="M1853" i="3" s="1"/>
  <c r="M1854" i="3" a="1"/>
  <c r="M1854" i="3" s="1"/>
  <c r="M1855" i="3" a="1"/>
  <c r="M1855" i="3" s="1"/>
  <c r="M1856" i="3" a="1"/>
  <c r="M1856" i="3"/>
  <c r="M1857" i="3" a="1"/>
  <c r="M1857" i="3" s="1"/>
  <c r="M1858" i="3" a="1"/>
  <c r="M1858" i="3" s="1"/>
  <c r="M1859" i="3" a="1"/>
  <c r="M1859" i="3" s="1"/>
  <c r="M1860" i="3" a="1"/>
  <c r="M1860" i="3" s="1"/>
  <c r="M1861" i="3" a="1"/>
  <c r="M1861" i="3" s="1"/>
  <c r="M1862" i="3" a="1"/>
  <c r="M1862" i="3"/>
  <c r="M1863" i="3" a="1"/>
  <c r="M1863" i="3" s="1"/>
  <c r="M1864" i="3" a="1"/>
  <c r="M1864" i="3" s="1"/>
  <c r="M1865" i="3" a="1"/>
  <c r="M1865" i="3" s="1"/>
  <c r="M1866" i="3" a="1"/>
  <c r="M1866" i="3" s="1"/>
  <c r="M1867" i="3" a="1"/>
  <c r="M1867" i="3" s="1"/>
  <c r="M1868" i="3" a="1"/>
  <c r="M1868" i="3"/>
  <c r="M1869" i="3" a="1"/>
  <c r="M1869" i="3" s="1"/>
  <c r="M1870" i="3" a="1"/>
  <c r="M1870" i="3" s="1"/>
  <c r="M1871" i="3" a="1"/>
  <c r="M1871" i="3" s="1"/>
  <c r="M1872" i="3" a="1"/>
  <c r="M1872" i="3"/>
  <c r="M1873" i="3" a="1"/>
  <c r="M1873" i="3" s="1"/>
  <c r="M1874" i="3" a="1"/>
  <c r="M1874" i="3" s="1"/>
  <c r="M1875" i="3" a="1"/>
  <c r="M1875" i="3" s="1"/>
  <c r="M1876" i="3" a="1"/>
  <c r="M1876" i="3" s="1"/>
  <c r="M1877" i="3" a="1"/>
  <c r="M1877" i="3" s="1"/>
  <c r="M1878" i="3" a="1"/>
  <c r="M1878" i="3" s="1"/>
  <c r="M1879" i="3" a="1"/>
  <c r="M1879" i="3" s="1"/>
  <c r="M1880" i="3" a="1"/>
  <c r="M1880" i="3"/>
  <c r="M1881" i="3" a="1"/>
  <c r="M1881" i="3" s="1"/>
  <c r="M1882" i="3" a="1"/>
  <c r="M1882" i="3" s="1"/>
  <c r="M1883" i="3" a="1"/>
  <c r="M1883" i="3" s="1"/>
  <c r="M1884" i="3" a="1"/>
  <c r="M1884" i="3" s="1"/>
  <c r="M1885" i="3" a="1"/>
  <c r="M1885" i="3" s="1"/>
  <c r="M1886" i="3" a="1"/>
  <c r="M1886" i="3" s="1"/>
  <c r="M1887" i="3" a="1"/>
  <c r="M1887" i="3" s="1"/>
  <c r="M1888" i="3" a="1"/>
  <c r="M1888" i="3" s="1"/>
  <c r="M1889" i="3" a="1"/>
  <c r="M1889" i="3" s="1"/>
  <c r="M1890" i="3" a="1"/>
  <c r="M1890" i="3" s="1"/>
  <c r="M1891" i="3" a="1"/>
  <c r="M1891" i="3" s="1"/>
  <c r="M1892" i="3" a="1"/>
  <c r="M1892" i="3" s="1"/>
  <c r="M1893" i="3" a="1"/>
  <c r="M1893" i="3" s="1"/>
  <c r="M1894" i="3" a="1"/>
  <c r="M1894" i="3"/>
  <c r="M1895" i="3" a="1"/>
  <c r="M1895" i="3" s="1"/>
  <c r="M1896" i="3" a="1"/>
  <c r="M1896" i="3" s="1"/>
  <c r="M1897" i="3" a="1"/>
  <c r="M1897" i="3" s="1"/>
  <c r="M1898" i="3" a="1"/>
  <c r="M1898" i="3" s="1"/>
  <c r="M1899" i="3" a="1"/>
  <c r="M1899" i="3" s="1"/>
  <c r="M1900" i="3" a="1"/>
  <c r="M1900" i="3"/>
  <c r="M1901" i="3" a="1"/>
  <c r="M1901" i="3" s="1"/>
  <c r="M1902" i="3" a="1"/>
  <c r="M1902" i="3" s="1"/>
  <c r="M1903" i="3" a="1"/>
  <c r="M1903" i="3" s="1"/>
  <c r="M1904" i="3" a="1"/>
  <c r="M1904" i="3" s="1"/>
  <c r="M1905" i="3" a="1"/>
  <c r="M1905" i="3" s="1"/>
  <c r="M1906" i="3" a="1"/>
  <c r="M1906" i="3" s="1"/>
  <c r="M1907" i="3" a="1"/>
  <c r="M1907" i="3" s="1"/>
  <c r="M1908" i="3" a="1"/>
  <c r="M1908" i="3" s="1"/>
  <c r="M1909" i="3" a="1"/>
  <c r="M1909" i="3" s="1"/>
  <c r="M1910" i="3" a="1"/>
  <c r="M1910" i="3" s="1"/>
  <c r="M1911" i="3" a="1"/>
  <c r="M1911" i="3" s="1"/>
  <c r="M1912" i="3" a="1"/>
  <c r="M1912" i="3"/>
  <c r="M1913" i="3" a="1"/>
  <c r="M1913" i="3" s="1"/>
  <c r="M1914" i="3" a="1"/>
  <c r="M1914" i="3" s="1"/>
  <c r="M1915" i="3" a="1"/>
  <c r="M1915" i="3" s="1"/>
  <c r="M1916" i="3" a="1"/>
  <c r="M1916" i="3" s="1"/>
  <c r="M1917" i="3" a="1"/>
  <c r="M1917" i="3" s="1"/>
  <c r="M1918" i="3" a="1"/>
  <c r="M1918" i="3" s="1"/>
  <c r="M1919" i="3" a="1"/>
  <c r="M1919" i="3" s="1"/>
  <c r="M1920" i="3" a="1"/>
  <c r="M1920" i="3" s="1"/>
  <c r="M1921" i="3" a="1"/>
  <c r="M1921" i="3" s="1"/>
  <c r="M1922" i="3" a="1"/>
  <c r="M1922" i="3" s="1"/>
  <c r="M1923" i="3" a="1"/>
  <c r="M1923" i="3" s="1"/>
  <c r="M1924" i="3" a="1"/>
  <c r="M1924" i="3" s="1"/>
  <c r="M1925" i="3" a="1"/>
  <c r="M1925" i="3" s="1"/>
  <c r="M1926" i="3" a="1"/>
  <c r="M1926" i="3"/>
  <c r="M1927" i="3" a="1"/>
  <c r="M1927" i="3" s="1"/>
  <c r="M1928" i="3" a="1"/>
  <c r="M1928" i="3" s="1"/>
  <c r="M1929" i="3" a="1"/>
  <c r="M1929" i="3" s="1"/>
  <c r="M1930" i="3" a="1"/>
  <c r="M1930" i="3" s="1"/>
  <c r="M1931" i="3" a="1"/>
  <c r="M1931" i="3" s="1"/>
  <c r="M1932" i="3" a="1"/>
  <c r="M1932" i="3"/>
  <c r="M1933" i="3" a="1"/>
  <c r="M1933" i="3" s="1"/>
  <c r="M1934" i="3" a="1"/>
  <c r="M1934" i="3" s="1"/>
  <c r="M1935" i="3" a="1"/>
  <c r="M1935" i="3" s="1"/>
  <c r="M1936" i="3" a="1"/>
  <c r="M1936" i="3"/>
  <c r="M1937" i="3" a="1"/>
  <c r="M1937" i="3" s="1"/>
  <c r="M1938" i="3" a="1"/>
  <c r="M1938" i="3" s="1"/>
  <c r="M1939" i="3" a="1"/>
  <c r="M1939" i="3" s="1"/>
  <c r="M1940" i="3" a="1"/>
  <c r="M1940" i="3" s="1"/>
  <c r="M1941" i="3" a="1"/>
  <c r="M1941" i="3" s="1"/>
  <c r="M1942" i="3" a="1"/>
  <c r="M1942" i="3" s="1"/>
  <c r="M1943" i="3" a="1"/>
  <c r="M1943" i="3" s="1"/>
  <c r="M1944" i="3" a="1"/>
  <c r="M1944" i="3" s="1"/>
  <c r="M1945" i="3" a="1"/>
  <c r="M1945" i="3" s="1"/>
  <c r="M1946" i="3" a="1"/>
  <c r="M1946" i="3" s="1"/>
  <c r="M1947" i="3" a="1"/>
  <c r="M1947" i="3" s="1"/>
  <c r="M1948" i="3" a="1"/>
  <c r="M1948" i="3" s="1"/>
  <c r="M1949" i="3" a="1"/>
  <c r="M1949" i="3" s="1"/>
  <c r="M1950" i="3" a="1"/>
  <c r="M1950" i="3" s="1"/>
  <c r="M1951" i="3" a="1"/>
  <c r="M1951" i="3" s="1"/>
  <c r="M1952" i="3" a="1"/>
  <c r="M1952" i="3"/>
  <c r="M1953" i="3" a="1"/>
  <c r="M1953" i="3" s="1"/>
  <c r="M1954" i="3" a="1"/>
  <c r="M1954" i="3" s="1"/>
  <c r="M1955" i="3" a="1"/>
  <c r="M1955" i="3" s="1"/>
  <c r="M1956" i="3" a="1"/>
  <c r="M1956" i="3" s="1"/>
  <c r="M1957" i="3" a="1"/>
  <c r="M1957" i="3" s="1"/>
  <c r="M1958" i="3" a="1"/>
  <c r="M1958" i="3" s="1"/>
  <c r="M1959" i="3" a="1"/>
  <c r="M1959" i="3" s="1"/>
  <c r="M1960" i="3" a="1"/>
  <c r="M1960" i="3" s="1"/>
  <c r="M1961" i="3" a="1"/>
  <c r="M1961" i="3" s="1"/>
  <c r="M1962" i="3" a="1"/>
  <c r="M1962" i="3" s="1"/>
  <c r="M1963" i="3" a="1"/>
  <c r="M1963" i="3" s="1"/>
  <c r="M1964" i="3" a="1"/>
  <c r="M1964" i="3" s="1"/>
  <c r="M1965" i="3" a="1"/>
  <c r="M1965" i="3" s="1"/>
  <c r="M1966" i="3" a="1"/>
  <c r="M1966" i="3" s="1"/>
  <c r="M1967" i="3" a="1"/>
  <c r="M1967" i="3" s="1"/>
  <c r="M1968" i="3" a="1"/>
  <c r="M1968" i="3" s="1"/>
  <c r="M1969" i="3" a="1"/>
  <c r="M1969" i="3" s="1"/>
  <c r="M1970" i="3" a="1"/>
  <c r="M1970" i="3" s="1"/>
  <c r="M1971" i="3" a="1"/>
  <c r="M1971" i="3" s="1"/>
  <c r="M1972" i="3" a="1"/>
  <c r="M1972" i="3" s="1"/>
  <c r="M1973" i="3" a="1"/>
  <c r="M1973" i="3" s="1"/>
  <c r="M1974" i="3" a="1"/>
  <c r="M1974" i="3" s="1"/>
  <c r="M1975" i="3" a="1"/>
  <c r="M1975" i="3" s="1"/>
  <c r="M1976" i="3" a="1"/>
  <c r="M1976" i="3"/>
  <c r="M1977" i="3" a="1"/>
  <c r="M1977" i="3" s="1"/>
  <c r="M1978" i="3" a="1"/>
  <c r="M1978" i="3" s="1"/>
  <c r="M1979" i="3" a="1"/>
  <c r="M1979" i="3" s="1"/>
  <c r="M1980" i="3" a="1"/>
  <c r="M1980" i="3" s="1"/>
  <c r="M1981" i="3" a="1"/>
  <c r="M1981" i="3" s="1"/>
  <c r="M1982" i="3" a="1"/>
  <c r="M1982" i="3" s="1"/>
  <c r="M1983" i="3" a="1"/>
  <c r="M1983" i="3" s="1"/>
  <c r="M1984" i="3" a="1"/>
  <c r="M1984" i="3"/>
  <c r="M1985" i="3" a="1"/>
  <c r="M1985" i="3" s="1"/>
  <c r="M1986" i="3" a="1"/>
  <c r="M1986" i="3" s="1"/>
  <c r="M1987" i="3" a="1"/>
  <c r="M1987" i="3" s="1"/>
  <c r="M1988" i="3" a="1"/>
  <c r="M1988" i="3" s="1"/>
  <c r="M1989" i="3" a="1"/>
  <c r="M1989" i="3" s="1"/>
  <c r="M1990" i="3" a="1"/>
  <c r="M1990" i="3"/>
  <c r="M1991" i="3" a="1"/>
  <c r="M1991" i="3" s="1"/>
  <c r="M1992" i="3" a="1"/>
  <c r="M1992" i="3" s="1"/>
  <c r="M1993" i="3" a="1"/>
  <c r="M1993" i="3" s="1"/>
  <c r="M1994" i="3" a="1"/>
  <c r="M1994" i="3" s="1"/>
  <c r="M1995" i="3" a="1"/>
  <c r="M1995" i="3" s="1"/>
  <c r="M1996" i="3" a="1"/>
  <c r="M1996" i="3"/>
  <c r="M1997" i="3" a="1"/>
  <c r="M1997" i="3" s="1"/>
  <c r="M1998" i="3" a="1"/>
  <c r="M1998" i="3" s="1"/>
  <c r="M1999" i="3" a="1"/>
  <c r="M1999" i="3" s="1"/>
  <c r="M2000" i="3" a="1"/>
  <c r="M2000" i="3"/>
  <c r="M2001" i="3" a="1"/>
  <c r="M2001" i="3" s="1"/>
  <c r="M2" i="3" a="1"/>
  <c r="M2" i="3" s="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 i="3"/>
  <c r="G2014" i="3"/>
  <c r="N2002" i="3"/>
  <c r="G2010" i="3" s="1"/>
  <c r="C3" i="3" a="1"/>
  <c r="C3" i="3" s="1"/>
  <c r="I3" i="3" s="1"/>
  <c r="C4" i="3" a="1"/>
  <c r="C4" i="3" s="1"/>
  <c r="I4" i="3" s="1"/>
  <c r="C5" i="3" a="1"/>
  <c r="C5" i="3" s="1"/>
  <c r="I5" i="3" s="1"/>
  <c r="C6" i="3" a="1"/>
  <c r="C6" i="3" s="1"/>
  <c r="I6" i="3" s="1"/>
  <c r="C7" i="3" a="1"/>
  <c r="C7" i="3" s="1"/>
  <c r="I7" i="3" s="1"/>
  <c r="C8" i="3" a="1"/>
  <c r="C8" i="3" s="1"/>
  <c r="I8" i="3" s="1"/>
  <c r="C9" i="3" a="1"/>
  <c r="C9" i="3" s="1"/>
  <c r="I9" i="3" s="1"/>
  <c r="C10" i="3" a="1"/>
  <c r="C10" i="3" s="1"/>
  <c r="I10" i="3" s="1"/>
  <c r="C11" i="3" a="1"/>
  <c r="C11" i="3" s="1"/>
  <c r="I11" i="3" s="1"/>
  <c r="C12" i="3" a="1"/>
  <c r="C12" i="3" s="1"/>
  <c r="I12" i="3" s="1"/>
  <c r="C13" i="3" a="1"/>
  <c r="C13" i="3" s="1"/>
  <c r="I13" i="3" s="1"/>
  <c r="C14" i="3" a="1"/>
  <c r="C14" i="3" s="1"/>
  <c r="I14" i="3" s="1"/>
  <c r="C15" i="3" a="1"/>
  <c r="C15" i="3" s="1"/>
  <c r="I15" i="3" s="1"/>
  <c r="C16" i="3" a="1"/>
  <c r="C16" i="3" s="1"/>
  <c r="I16" i="3" s="1"/>
  <c r="C17" i="3" a="1"/>
  <c r="C17" i="3" s="1"/>
  <c r="I17" i="3" s="1"/>
  <c r="C18" i="3" a="1"/>
  <c r="C18" i="3" s="1"/>
  <c r="I18" i="3" s="1"/>
  <c r="C19" i="3" a="1"/>
  <c r="C19" i="3" s="1"/>
  <c r="I19" i="3" s="1"/>
  <c r="C20" i="3" a="1"/>
  <c r="C20" i="3" s="1"/>
  <c r="I20" i="3" s="1"/>
  <c r="C21" i="3" a="1"/>
  <c r="C21" i="3" s="1"/>
  <c r="I21" i="3" s="1"/>
  <c r="C22" i="3" a="1"/>
  <c r="C22" i="3" s="1"/>
  <c r="I22" i="3" s="1"/>
  <c r="C23" i="3" a="1"/>
  <c r="C23" i="3" s="1"/>
  <c r="I23" i="3" s="1"/>
  <c r="C24" i="3" a="1"/>
  <c r="C24" i="3" s="1"/>
  <c r="I24" i="3" s="1"/>
  <c r="C25" i="3" a="1"/>
  <c r="C25" i="3" s="1"/>
  <c r="I25" i="3" s="1"/>
  <c r="C26" i="3" a="1"/>
  <c r="C26" i="3" s="1"/>
  <c r="I26" i="3" s="1"/>
  <c r="C27" i="3" a="1"/>
  <c r="C27" i="3" s="1"/>
  <c r="I27" i="3" s="1"/>
  <c r="C28" i="3" a="1"/>
  <c r="C28" i="3" s="1"/>
  <c r="I28" i="3" s="1"/>
  <c r="C29" i="3" a="1"/>
  <c r="C29" i="3" s="1"/>
  <c r="I29" i="3" s="1"/>
  <c r="C30" i="3" a="1"/>
  <c r="C30" i="3" s="1"/>
  <c r="I30" i="3" s="1"/>
  <c r="C31" i="3" a="1"/>
  <c r="C31" i="3" s="1"/>
  <c r="I31" i="3" s="1"/>
  <c r="C32" i="3" a="1"/>
  <c r="C32" i="3" s="1"/>
  <c r="I32" i="3" s="1"/>
  <c r="C33" i="3" a="1"/>
  <c r="C33" i="3" s="1"/>
  <c r="I33" i="3" s="1"/>
  <c r="C34" i="3" a="1"/>
  <c r="C34" i="3" s="1"/>
  <c r="I34" i="3" s="1"/>
  <c r="C35" i="3" a="1"/>
  <c r="C35" i="3" s="1"/>
  <c r="I35" i="3" s="1"/>
  <c r="C36" i="3" a="1"/>
  <c r="C36" i="3" s="1"/>
  <c r="I36" i="3" s="1"/>
  <c r="C37" i="3" a="1"/>
  <c r="C37" i="3" s="1"/>
  <c r="I37" i="3" s="1"/>
  <c r="C38" i="3" a="1"/>
  <c r="C38" i="3" s="1"/>
  <c r="I38" i="3" s="1"/>
  <c r="C39" i="3" a="1"/>
  <c r="C39" i="3" s="1"/>
  <c r="I39" i="3" s="1"/>
  <c r="C40" i="3" a="1"/>
  <c r="C40" i="3" s="1"/>
  <c r="I40" i="3" s="1"/>
  <c r="C41" i="3" a="1"/>
  <c r="C41" i="3" s="1"/>
  <c r="I41" i="3" s="1"/>
  <c r="C42" i="3" a="1"/>
  <c r="C42" i="3" s="1"/>
  <c r="I42" i="3" s="1"/>
  <c r="C43" i="3" a="1"/>
  <c r="C43" i="3" s="1"/>
  <c r="I43" i="3" s="1"/>
  <c r="C44" i="3" a="1"/>
  <c r="C44" i="3" s="1"/>
  <c r="I44" i="3" s="1"/>
  <c r="C45" i="3" a="1"/>
  <c r="C45" i="3" s="1"/>
  <c r="I45" i="3" s="1"/>
  <c r="C46" i="3" a="1"/>
  <c r="C46" i="3" s="1"/>
  <c r="I46" i="3" s="1"/>
  <c r="C47" i="3" a="1"/>
  <c r="C47" i="3" s="1"/>
  <c r="I47" i="3" s="1"/>
  <c r="C48" i="3" a="1"/>
  <c r="C48" i="3" s="1"/>
  <c r="I48" i="3" s="1"/>
  <c r="C49" i="3" a="1"/>
  <c r="C49" i="3" s="1"/>
  <c r="I49" i="3" s="1"/>
  <c r="C50" i="3" a="1"/>
  <c r="C50" i="3" s="1"/>
  <c r="I50" i="3" s="1"/>
  <c r="C51" i="3" a="1"/>
  <c r="C51" i="3" s="1"/>
  <c r="I51" i="3" s="1"/>
  <c r="C52" i="3" a="1"/>
  <c r="C52" i="3" s="1"/>
  <c r="I52" i="3" s="1"/>
  <c r="C53" i="3" a="1"/>
  <c r="C53" i="3" s="1"/>
  <c r="I53" i="3" s="1"/>
  <c r="C54" i="3" a="1"/>
  <c r="C54" i="3" s="1"/>
  <c r="I54" i="3" s="1"/>
  <c r="C55" i="3" a="1"/>
  <c r="C55" i="3" s="1"/>
  <c r="I55" i="3" s="1"/>
  <c r="C56" i="3" a="1"/>
  <c r="C56" i="3" s="1"/>
  <c r="I56" i="3" s="1"/>
  <c r="C57" i="3" a="1"/>
  <c r="C57" i="3" s="1"/>
  <c r="I57" i="3" s="1"/>
  <c r="C58" i="3" a="1"/>
  <c r="C58" i="3" s="1"/>
  <c r="I58" i="3" s="1"/>
  <c r="C59" i="3" a="1"/>
  <c r="C59" i="3" s="1"/>
  <c r="I59" i="3" s="1"/>
  <c r="C60" i="3" a="1"/>
  <c r="C60" i="3" s="1"/>
  <c r="I60" i="3" s="1"/>
  <c r="C61" i="3" a="1"/>
  <c r="C61" i="3" s="1"/>
  <c r="I61" i="3" s="1"/>
  <c r="C62" i="3" a="1"/>
  <c r="C62" i="3" s="1"/>
  <c r="I62" i="3" s="1"/>
  <c r="C63" i="3" a="1"/>
  <c r="C63" i="3" s="1"/>
  <c r="I63" i="3" s="1"/>
  <c r="C64" i="3" a="1"/>
  <c r="C64" i="3" s="1"/>
  <c r="I64" i="3" s="1"/>
  <c r="C65" i="3" a="1"/>
  <c r="C65" i="3" s="1"/>
  <c r="I65" i="3" s="1"/>
  <c r="C66" i="3" a="1"/>
  <c r="C66" i="3" s="1"/>
  <c r="I66" i="3" s="1"/>
  <c r="C67" i="3" a="1"/>
  <c r="C67" i="3" s="1"/>
  <c r="I67" i="3" s="1"/>
  <c r="C68" i="3" a="1"/>
  <c r="C68" i="3" s="1"/>
  <c r="I68" i="3" s="1"/>
  <c r="C69" i="3" a="1"/>
  <c r="C69" i="3" s="1"/>
  <c r="I69" i="3" s="1"/>
  <c r="C70" i="3" a="1"/>
  <c r="C70" i="3" s="1"/>
  <c r="I70" i="3" s="1"/>
  <c r="C71" i="3" a="1"/>
  <c r="C71" i="3" s="1"/>
  <c r="I71" i="3" s="1"/>
  <c r="C72" i="3" a="1"/>
  <c r="C72" i="3" s="1"/>
  <c r="I72" i="3" s="1"/>
  <c r="C73" i="3" a="1"/>
  <c r="C73" i="3" s="1"/>
  <c r="I73" i="3" s="1"/>
  <c r="C74" i="3" a="1"/>
  <c r="C74" i="3" s="1"/>
  <c r="I74" i="3" s="1"/>
  <c r="C75" i="3" a="1"/>
  <c r="C75" i="3" s="1"/>
  <c r="I75" i="3" s="1"/>
  <c r="C76" i="3" a="1"/>
  <c r="C76" i="3" s="1"/>
  <c r="I76" i="3" s="1"/>
  <c r="C77" i="3" a="1"/>
  <c r="C77" i="3" s="1"/>
  <c r="I77" i="3" s="1"/>
  <c r="C78" i="3" a="1"/>
  <c r="C78" i="3" s="1"/>
  <c r="I78" i="3" s="1"/>
  <c r="C79" i="3" a="1"/>
  <c r="C79" i="3" s="1"/>
  <c r="I79" i="3" s="1"/>
  <c r="C80" i="3" a="1"/>
  <c r="C80" i="3" s="1"/>
  <c r="I80" i="3" s="1"/>
  <c r="C81" i="3" a="1"/>
  <c r="C81" i="3" s="1"/>
  <c r="I81" i="3" s="1"/>
  <c r="C82" i="3" a="1"/>
  <c r="C82" i="3" s="1"/>
  <c r="I82" i="3" s="1"/>
  <c r="C83" i="3" a="1"/>
  <c r="C83" i="3" s="1"/>
  <c r="I83" i="3" s="1"/>
  <c r="C84" i="3" a="1"/>
  <c r="C84" i="3" s="1"/>
  <c r="I84" i="3" s="1"/>
  <c r="C85" i="3" a="1"/>
  <c r="C85" i="3" s="1"/>
  <c r="I85" i="3" s="1"/>
  <c r="C86" i="3" a="1"/>
  <c r="C86" i="3" s="1"/>
  <c r="I86" i="3" s="1"/>
  <c r="C87" i="3" a="1"/>
  <c r="C87" i="3" s="1"/>
  <c r="I87" i="3" s="1"/>
  <c r="C88" i="3" a="1"/>
  <c r="C88" i="3" s="1"/>
  <c r="I88" i="3" s="1"/>
  <c r="C89" i="3" a="1"/>
  <c r="C89" i="3" s="1"/>
  <c r="I89" i="3" s="1"/>
  <c r="C90" i="3" a="1"/>
  <c r="C90" i="3" s="1"/>
  <c r="I90" i="3" s="1"/>
  <c r="C91" i="3" a="1"/>
  <c r="C91" i="3" s="1"/>
  <c r="I91" i="3" s="1"/>
  <c r="C92" i="3" a="1"/>
  <c r="C92" i="3" s="1"/>
  <c r="I92" i="3" s="1"/>
  <c r="C93" i="3" a="1"/>
  <c r="C93" i="3" s="1"/>
  <c r="I93" i="3" s="1"/>
  <c r="C94" i="3" a="1"/>
  <c r="C94" i="3" s="1"/>
  <c r="I94" i="3" s="1"/>
  <c r="C95" i="3" a="1"/>
  <c r="C95" i="3" s="1"/>
  <c r="I95" i="3" s="1"/>
  <c r="C96" i="3" a="1"/>
  <c r="C96" i="3" s="1"/>
  <c r="I96" i="3" s="1"/>
  <c r="C97" i="3" a="1"/>
  <c r="C97" i="3" s="1"/>
  <c r="I97" i="3" s="1"/>
  <c r="C98" i="3" a="1"/>
  <c r="C98" i="3" s="1"/>
  <c r="I98" i="3" s="1"/>
  <c r="C99" i="3" a="1"/>
  <c r="C99" i="3" s="1"/>
  <c r="I99" i="3" s="1"/>
  <c r="C100" i="3" a="1"/>
  <c r="C100" i="3" s="1"/>
  <c r="I100" i="3" s="1"/>
  <c r="C101" i="3" a="1"/>
  <c r="C101" i="3" s="1"/>
  <c r="I101" i="3" s="1"/>
  <c r="C102" i="3" a="1"/>
  <c r="C102" i="3" s="1"/>
  <c r="I102" i="3" s="1"/>
  <c r="C103" i="3" a="1"/>
  <c r="C103" i="3" s="1"/>
  <c r="I103" i="3" s="1"/>
  <c r="C104" i="3" a="1"/>
  <c r="C104" i="3" s="1"/>
  <c r="I104" i="3" s="1"/>
  <c r="C105" i="3" a="1"/>
  <c r="C105" i="3"/>
  <c r="I105" i="3" s="1"/>
  <c r="C106" i="3" a="1"/>
  <c r="C106" i="3" s="1"/>
  <c r="I106" i="3" s="1"/>
  <c r="C107" i="3" a="1"/>
  <c r="C107" i="3" s="1"/>
  <c r="I107" i="3" s="1"/>
  <c r="C108" i="3" a="1"/>
  <c r="C108" i="3" s="1"/>
  <c r="I108" i="3" s="1"/>
  <c r="C109" i="3" a="1"/>
  <c r="C109" i="3" s="1"/>
  <c r="I109" i="3" s="1"/>
  <c r="C110" i="3" a="1"/>
  <c r="C110" i="3" s="1"/>
  <c r="I110" i="3" s="1"/>
  <c r="C111" i="3" a="1"/>
  <c r="C111" i="3" s="1"/>
  <c r="I111" i="3" s="1"/>
  <c r="C112" i="3" a="1"/>
  <c r="C112" i="3" s="1"/>
  <c r="I112" i="3" s="1"/>
  <c r="C113" i="3" a="1"/>
  <c r="C113" i="3" s="1"/>
  <c r="I113" i="3" s="1"/>
  <c r="C114" i="3" a="1"/>
  <c r="C114" i="3" s="1"/>
  <c r="I114" i="3" s="1"/>
  <c r="C115" i="3" a="1"/>
  <c r="C115" i="3" s="1"/>
  <c r="I115" i="3" s="1"/>
  <c r="C116" i="3" a="1"/>
  <c r="C116" i="3" s="1"/>
  <c r="I116" i="3" s="1"/>
  <c r="C117" i="3" a="1"/>
  <c r="C117" i="3" s="1"/>
  <c r="I117" i="3" s="1"/>
  <c r="C118" i="3" a="1"/>
  <c r="C118" i="3" s="1"/>
  <c r="I118" i="3" s="1"/>
  <c r="C119" i="3" a="1"/>
  <c r="C119" i="3" s="1"/>
  <c r="I119" i="3" s="1"/>
  <c r="C120" i="3" a="1"/>
  <c r="C120" i="3" s="1"/>
  <c r="I120" i="3" s="1"/>
  <c r="C121" i="3" a="1"/>
  <c r="C121" i="3" s="1"/>
  <c r="I121" i="3" s="1"/>
  <c r="C122" i="3" a="1"/>
  <c r="C122" i="3" s="1"/>
  <c r="I122" i="3" s="1"/>
  <c r="C123" i="3" a="1"/>
  <c r="C123" i="3" s="1"/>
  <c r="I123" i="3" s="1"/>
  <c r="C124" i="3" a="1"/>
  <c r="C124" i="3" s="1"/>
  <c r="I124" i="3" s="1"/>
  <c r="C125" i="3" a="1"/>
  <c r="C125" i="3" s="1"/>
  <c r="I125" i="3" s="1"/>
  <c r="C126" i="3" a="1"/>
  <c r="C126" i="3" s="1"/>
  <c r="I126" i="3" s="1"/>
  <c r="C127" i="3" a="1"/>
  <c r="C127" i="3" s="1"/>
  <c r="I127" i="3" s="1"/>
  <c r="C128" i="3" a="1"/>
  <c r="C128" i="3" s="1"/>
  <c r="I128" i="3" s="1"/>
  <c r="C129" i="3" a="1"/>
  <c r="C129" i="3" s="1"/>
  <c r="I129" i="3" s="1"/>
  <c r="C130" i="3" a="1"/>
  <c r="C130" i="3" s="1"/>
  <c r="I130" i="3" s="1"/>
  <c r="C131" i="3" a="1"/>
  <c r="C131" i="3" s="1"/>
  <c r="I131" i="3" s="1"/>
  <c r="C132" i="3" a="1"/>
  <c r="C132" i="3" s="1"/>
  <c r="I132" i="3" s="1"/>
  <c r="C133" i="3" a="1"/>
  <c r="C133" i="3" s="1"/>
  <c r="I133" i="3" s="1"/>
  <c r="C134" i="3" a="1"/>
  <c r="C134" i="3" s="1"/>
  <c r="I134" i="3" s="1"/>
  <c r="C135" i="3" a="1"/>
  <c r="C135" i="3" s="1"/>
  <c r="I135" i="3" s="1"/>
  <c r="C136" i="3" a="1"/>
  <c r="C136" i="3" s="1"/>
  <c r="I136" i="3" s="1"/>
  <c r="C137" i="3" a="1"/>
  <c r="C137" i="3" s="1"/>
  <c r="I137" i="3" s="1"/>
  <c r="C138" i="3" a="1"/>
  <c r="C138" i="3" s="1"/>
  <c r="I138" i="3" s="1"/>
  <c r="C139" i="3" a="1"/>
  <c r="C139" i="3" s="1"/>
  <c r="I139" i="3" s="1"/>
  <c r="C140" i="3" a="1"/>
  <c r="C140" i="3" s="1"/>
  <c r="I140" i="3" s="1"/>
  <c r="C141" i="3" a="1"/>
  <c r="C141" i="3" s="1"/>
  <c r="I141" i="3" s="1"/>
  <c r="C142" i="3" a="1"/>
  <c r="C142" i="3" s="1"/>
  <c r="I142" i="3" s="1"/>
  <c r="C143" i="3" a="1"/>
  <c r="C143" i="3" s="1"/>
  <c r="I143" i="3" s="1"/>
  <c r="C144" i="3" a="1"/>
  <c r="C144" i="3" s="1"/>
  <c r="I144" i="3" s="1"/>
  <c r="C145" i="3" a="1"/>
  <c r="C145" i="3" s="1"/>
  <c r="I145" i="3" s="1"/>
  <c r="C146" i="3" a="1"/>
  <c r="C146" i="3" s="1"/>
  <c r="I146" i="3" s="1"/>
  <c r="C147" i="3" a="1"/>
  <c r="C147" i="3" s="1"/>
  <c r="I147" i="3" s="1"/>
  <c r="C148" i="3" a="1"/>
  <c r="C148" i="3" s="1"/>
  <c r="I148" i="3" s="1"/>
  <c r="C149" i="3" a="1"/>
  <c r="C149" i="3" s="1"/>
  <c r="I149" i="3" s="1"/>
  <c r="C150" i="3" a="1"/>
  <c r="C150" i="3" s="1"/>
  <c r="I150" i="3" s="1"/>
  <c r="C151" i="3" a="1"/>
  <c r="C151" i="3" s="1"/>
  <c r="I151" i="3" s="1"/>
  <c r="C152" i="3" a="1"/>
  <c r="C152" i="3" s="1"/>
  <c r="I152" i="3" s="1"/>
  <c r="C153" i="3" a="1"/>
  <c r="C153" i="3" s="1"/>
  <c r="I153" i="3" s="1"/>
  <c r="C154" i="3" a="1"/>
  <c r="C154" i="3" s="1"/>
  <c r="I154" i="3" s="1"/>
  <c r="C155" i="3" a="1"/>
  <c r="C155" i="3" s="1"/>
  <c r="I155" i="3" s="1"/>
  <c r="C156" i="3" a="1"/>
  <c r="C156" i="3" s="1"/>
  <c r="I156" i="3" s="1"/>
  <c r="C157" i="3" a="1"/>
  <c r="C157" i="3" s="1"/>
  <c r="I157" i="3" s="1"/>
  <c r="C158" i="3" a="1"/>
  <c r="C158" i="3" s="1"/>
  <c r="I158" i="3" s="1"/>
  <c r="C159" i="3" a="1"/>
  <c r="C159" i="3" s="1"/>
  <c r="I159" i="3" s="1"/>
  <c r="C160" i="3" a="1"/>
  <c r="C160" i="3" s="1"/>
  <c r="I160" i="3" s="1"/>
  <c r="C161" i="3" a="1"/>
  <c r="C161" i="3" s="1"/>
  <c r="I161" i="3" s="1"/>
  <c r="C162" i="3" a="1"/>
  <c r="C162" i="3" s="1"/>
  <c r="I162" i="3" s="1"/>
  <c r="C163" i="3" a="1"/>
  <c r="C163" i="3" s="1"/>
  <c r="I163" i="3" s="1"/>
  <c r="C164" i="3" a="1"/>
  <c r="C164" i="3" s="1"/>
  <c r="I164" i="3" s="1"/>
  <c r="C165" i="3" a="1"/>
  <c r="C165" i="3" s="1"/>
  <c r="I165" i="3" s="1"/>
  <c r="C166" i="3" a="1"/>
  <c r="C166" i="3" s="1"/>
  <c r="I166" i="3" s="1"/>
  <c r="C167" i="3" a="1"/>
  <c r="C167" i="3" s="1"/>
  <c r="I167" i="3" s="1"/>
  <c r="C168" i="3" a="1"/>
  <c r="C168" i="3" s="1"/>
  <c r="I168" i="3" s="1"/>
  <c r="C169" i="3" a="1"/>
  <c r="C169" i="3" s="1"/>
  <c r="I169" i="3" s="1"/>
  <c r="C170" i="3" a="1"/>
  <c r="C170" i="3" s="1"/>
  <c r="I170" i="3" s="1"/>
  <c r="C171" i="3" a="1"/>
  <c r="C171" i="3" s="1"/>
  <c r="I171" i="3" s="1"/>
  <c r="C172" i="3" a="1"/>
  <c r="C172" i="3" s="1"/>
  <c r="I172" i="3" s="1"/>
  <c r="C173" i="3" a="1"/>
  <c r="C173" i="3" s="1"/>
  <c r="I173" i="3" s="1"/>
  <c r="C174" i="3" a="1"/>
  <c r="C174" i="3" s="1"/>
  <c r="I174" i="3" s="1"/>
  <c r="C175" i="3" a="1"/>
  <c r="C175" i="3" s="1"/>
  <c r="I175" i="3" s="1"/>
  <c r="C176" i="3" a="1"/>
  <c r="C176" i="3" s="1"/>
  <c r="I176" i="3" s="1"/>
  <c r="C177" i="3" a="1"/>
  <c r="C177" i="3" s="1"/>
  <c r="I177" i="3" s="1"/>
  <c r="C178" i="3" a="1"/>
  <c r="C178" i="3" s="1"/>
  <c r="I178" i="3" s="1"/>
  <c r="C179" i="3" a="1"/>
  <c r="C179" i="3" s="1"/>
  <c r="I179" i="3" s="1"/>
  <c r="C180" i="3" a="1"/>
  <c r="C180" i="3" s="1"/>
  <c r="I180" i="3" s="1"/>
  <c r="C181" i="3" a="1"/>
  <c r="C181" i="3" s="1"/>
  <c r="I181" i="3" s="1"/>
  <c r="C182" i="3" a="1"/>
  <c r="C182" i="3" s="1"/>
  <c r="I182" i="3" s="1"/>
  <c r="C183" i="3" a="1"/>
  <c r="C183" i="3" s="1"/>
  <c r="I183" i="3" s="1"/>
  <c r="C184" i="3" a="1"/>
  <c r="C184" i="3" s="1"/>
  <c r="I184" i="3" s="1"/>
  <c r="C185" i="3" a="1"/>
  <c r="C185" i="3" s="1"/>
  <c r="I185" i="3" s="1"/>
  <c r="C186" i="3" a="1"/>
  <c r="C186" i="3" s="1"/>
  <c r="I186" i="3" s="1"/>
  <c r="C187" i="3" a="1"/>
  <c r="C187" i="3" s="1"/>
  <c r="I187" i="3" s="1"/>
  <c r="C188" i="3" a="1"/>
  <c r="C188" i="3" s="1"/>
  <c r="I188" i="3" s="1"/>
  <c r="C189" i="3" a="1"/>
  <c r="C189" i="3" s="1"/>
  <c r="I189" i="3" s="1"/>
  <c r="C190" i="3" a="1"/>
  <c r="C190" i="3" s="1"/>
  <c r="I190" i="3" s="1"/>
  <c r="C191" i="3" a="1"/>
  <c r="C191" i="3" s="1"/>
  <c r="I191" i="3" s="1"/>
  <c r="C192" i="3" a="1"/>
  <c r="C192" i="3" s="1"/>
  <c r="I192" i="3" s="1"/>
  <c r="C193" i="3" a="1"/>
  <c r="C193" i="3" s="1"/>
  <c r="I193" i="3" s="1"/>
  <c r="C194" i="3" a="1"/>
  <c r="C194" i="3" s="1"/>
  <c r="I194" i="3" s="1"/>
  <c r="C195" i="3" a="1"/>
  <c r="C195" i="3" s="1"/>
  <c r="I195" i="3" s="1"/>
  <c r="C196" i="3" a="1"/>
  <c r="C196" i="3" s="1"/>
  <c r="I196" i="3" s="1"/>
  <c r="C197" i="3" a="1"/>
  <c r="C197" i="3" s="1"/>
  <c r="I197" i="3" s="1"/>
  <c r="C198" i="3" a="1"/>
  <c r="C198" i="3" s="1"/>
  <c r="I198" i="3" s="1"/>
  <c r="C199" i="3" a="1"/>
  <c r="C199" i="3" s="1"/>
  <c r="I199" i="3" s="1"/>
  <c r="C200" i="3" a="1"/>
  <c r="C200" i="3" s="1"/>
  <c r="I200" i="3" s="1"/>
  <c r="C201" i="3" a="1"/>
  <c r="C201" i="3" s="1"/>
  <c r="I201" i="3" s="1"/>
  <c r="C202" i="3" a="1"/>
  <c r="C202" i="3" s="1"/>
  <c r="I202" i="3" s="1"/>
  <c r="C203" i="3" a="1"/>
  <c r="C203" i="3" s="1"/>
  <c r="I203" i="3" s="1"/>
  <c r="C204" i="3" a="1"/>
  <c r="C204" i="3" s="1"/>
  <c r="I204" i="3" s="1"/>
  <c r="C205" i="3" a="1"/>
  <c r="C205" i="3" s="1"/>
  <c r="I205" i="3" s="1"/>
  <c r="C206" i="3" a="1"/>
  <c r="C206" i="3" s="1"/>
  <c r="I206" i="3" s="1"/>
  <c r="C207" i="3" a="1"/>
  <c r="C207" i="3" s="1"/>
  <c r="I207" i="3" s="1"/>
  <c r="C208" i="3" a="1"/>
  <c r="C208" i="3" s="1"/>
  <c r="I208" i="3" s="1"/>
  <c r="C209" i="3" a="1"/>
  <c r="C209" i="3" s="1"/>
  <c r="I209" i="3" s="1"/>
  <c r="C210" i="3" a="1"/>
  <c r="C210" i="3" s="1"/>
  <c r="I210" i="3" s="1"/>
  <c r="C211" i="3" a="1"/>
  <c r="C211" i="3" s="1"/>
  <c r="I211" i="3" s="1"/>
  <c r="C212" i="3" a="1"/>
  <c r="C212" i="3" s="1"/>
  <c r="I212" i="3" s="1"/>
  <c r="C213" i="3" a="1"/>
  <c r="C213" i="3" s="1"/>
  <c r="I213" i="3" s="1"/>
  <c r="C214" i="3" a="1"/>
  <c r="C214" i="3" s="1"/>
  <c r="I214" i="3" s="1"/>
  <c r="C215" i="3" a="1"/>
  <c r="C215" i="3" s="1"/>
  <c r="I215" i="3" s="1"/>
  <c r="C216" i="3" a="1"/>
  <c r="C216" i="3" s="1"/>
  <c r="I216" i="3" s="1"/>
  <c r="C217" i="3" a="1"/>
  <c r="C217" i="3" s="1"/>
  <c r="I217" i="3" s="1"/>
  <c r="C218" i="3" a="1"/>
  <c r="C218" i="3" s="1"/>
  <c r="I218" i="3" s="1"/>
  <c r="C219" i="3" a="1"/>
  <c r="C219" i="3" s="1"/>
  <c r="I219" i="3" s="1"/>
  <c r="C220" i="3" a="1"/>
  <c r="C220" i="3" s="1"/>
  <c r="I220" i="3" s="1"/>
  <c r="C221" i="3" a="1"/>
  <c r="C221" i="3" s="1"/>
  <c r="I221" i="3" s="1"/>
  <c r="C222" i="3" a="1"/>
  <c r="C222" i="3" s="1"/>
  <c r="I222" i="3" s="1"/>
  <c r="C223" i="3" a="1"/>
  <c r="C223" i="3" s="1"/>
  <c r="I223" i="3" s="1"/>
  <c r="C224" i="3" a="1"/>
  <c r="C224" i="3" s="1"/>
  <c r="I224" i="3" s="1"/>
  <c r="C225" i="3" a="1"/>
  <c r="C225" i="3" s="1"/>
  <c r="I225" i="3" s="1"/>
  <c r="C226" i="3" a="1"/>
  <c r="C226" i="3" s="1"/>
  <c r="I226" i="3" s="1"/>
  <c r="C227" i="3" a="1"/>
  <c r="C227" i="3" s="1"/>
  <c r="I227" i="3" s="1"/>
  <c r="C228" i="3" a="1"/>
  <c r="C228" i="3" s="1"/>
  <c r="I228" i="3" s="1"/>
  <c r="C229" i="3" a="1"/>
  <c r="C229" i="3" s="1"/>
  <c r="I229" i="3" s="1"/>
  <c r="C230" i="3" a="1"/>
  <c r="C230" i="3" s="1"/>
  <c r="I230" i="3" s="1"/>
  <c r="C231" i="3" a="1"/>
  <c r="C231" i="3" s="1"/>
  <c r="I231" i="3" s="1"/>
  <c r="C232" i="3" a="1"/>
  <c r="C232" i="3" s="1"/>
  <c r="I232" i="3" s="1"/>
  <c r="C233" i="3" a="1"/>
  <c r="C233" i="3" s="1"/>
  <c r="I233" i="3" s="1"/>
  <c r="C234" i="3" a="1"/>
  <c r="C234" i="3" s="1"/>
  <c r="I234" i="3" s="1"/>
  <c r="C235" i="3" a="1"/>
  <c r="C235" i="3" s="1"/>
  <c r="I235" i="3" s="1"/>
  <c r="C236" i="3" a="1"/>
  <c r="C236" i="3" s="1"/>
  <c r="I236" i="3" s="1"/>
  <c r="C237" i="3" a="1"/>
  <c r="C237" i="3" s="1"/>
  <c r="I237" i="3" s="1"/>
  <c r="C238" i="3" a="1"/>
  <c r="C238" i="3" s="1"/>
  <c r="I238" i="3" s="1"/>
  <c r="C239" i="3" a="1"/>
  <c r="C239" i="3" s="1"/>
  <c r="I239" i="3" s="1"/>
  <c r="C240" i="3" a="1"/>
  <c r="C240" i="3" s="1"/>
  <c r="I240" i="3" s="1"/>
  <c r="C241" i="3" a="1"/>
  <c r="C241" i="3" s="1"/>
  <c r="I241" i="3" s="1"/>
  <c r="C242" i="3" a="1"/>
  <c r="C242" i="3" s="1"/>
  <c r="I242" i="3" s="1"/>
  <c r="C243" i="3" a="1"/>
  <c r="C243" i="3" s="1"/>
  <c r="I243" i="3" s="1"/>
  <c r="C244" i="3" a="1"/>
  <c r="C244" i="3" s="1"/>
  <c r="I244" i="3" s="1"/>
  <c r="C245" i="3" a="1"/>
  <c r="C245" i="3" s="1"/>
  <c r="I245" i="3" s="1"/>
  <c r="C246" i="3" a="1"/>
  <c r="C246" i="3" s="1"/>
  <c r="I246" i="3" s="1"/>
  <c r="C247" i="3" a="1"/>
  <c r="C247" i="3" s="1"/>
  <c r="I247" i="3" s="1"/>
  <c r="C248" i="3" a="1"/>
  <c r="C248" i="3" s="1"/>
  <c r="I248" i="3" s="1"/>
  <c r="C249" i="3" a="1"/>
  <c r="C249" i="3" s="1"/>
  <c r="I249" i="3" s="1"/>
  <c r="C250" i="3" a="1"/>
  <c r="C250" i="3" s="1"/>
  <c r="I250" i="3" s="1"/>
  <c r="C251" i="3" a="1"/>
  <c r="C251" i="3" s="1"/>
  <c r="I251" i="3" s="1"/>
  <c r="C252" i="3" a="1"/>
  <c r="C252" i="3" s="1"/>
  <c r="I252" i="3" s="1"/>
  <c r="C253" i="3" a="1"/>
  <c r="C253" i="3" s="1"/>
  <c r="I253" i="3" s="1"/>
  <c r="C254" i="3" a="1"/>
  <c r="C254" i="3" s="1"/>
  <c r="I254" i="3" s="1"/>
  <c r="C255" i="3" a="1"/>
  <c r="C255" i="3" s="1"/>
  <c r="I255" i="3" s="1"/>
  <c r="C256" i="3" a="1"/>
  <c r="C256" i="3" s="1"/>
  <c r="I256" i="3" s="1"/>
  <c r="C257" i="3" a="1"/>
  <c r="C257" i="3" s="1"/>
  <c r="I257" i="3" s="1"/>
  <c r="C258" i="3" a="1"/>
  <c r="C258" i="3" s="1"/>
  <c r="I258" i="3" s="1"/>
  <c r="C259" i="3" a="1"/>
  <c r="C259" i="3" s="1"/>
  <c r="I259" i="3" s="1"/>
  <c r="C260" i="3" a="1"/>
  <c r="C260" i="3" s="1"/>
  <c r="I260" i="3" s="1"/>
  <c r="C261" i="3" a="1"/>
  <c r="C261" i="3" s="1"/>
  <c r="I261" i="3" s="1"/>
  <c r="C262" i="3" a="1"/>
  <c r="C262" i="3" s="1"/>
  <c r="I262" i="3" s="1"/>
  <c r="C263" i="3" a="1"/>
  <c r="C263" i="3" s="1"/>
  <c r="I263" i="3" s="1"/>
  <c r="C264" i="3" a="1"/>
  <c r="C264" i="3" s="1"/>
  <c r="I264" i="3" s="1"/>
  <c r="C265" i="3" a="1"/>
  <c r="C265" i="3" s="1"/>
  <c r="I265" i="3" s="1"/>
  <c r="C266" i="3" a="1"/>
  <c r="C266" i="3" s="1"/>
  <c r="I266" i="3" s="1"/>
  <c r="C267" i="3" a="1"/>
  <c r="C267" i="3" s="1"/>
  <c r="I267" i="3" s="1"/>
  <c r="C268" i="3" a="1"/>
  <c r="C268" i="3" s="1"/>
  <c r="I268" i="3" s="1"/>
  <c r="C269" i="3" a="1"/>
  <c r="C269" i="3" s="1"/>
  <c r="I269" i="3" s="1"/>
  <c r="C270" i="3" a="1"/>
  <c r="C270" i="3" s="1"/>
  <c r="I270" i="3" s="1"/>
  <c r="C271" i="3" a="1"/>
  <c r="C271" i="3" s="1"/>
  <c r="I271" i="3" s="1"/>
  <c r="C272" i="3" a="1"/>
  <c r="C272" i="3" s="1"/>
  <c r="I272" i="3" s="1"/>
  <c r="C273" i="3" a="1"/>
  <c r="C273" i="3" s="1"/>
  <c r="I273" i="3" s="1"/>
  <c r="C274" i="3" a="1"/>
  <c r="C274" i="3" s="1"/>
  <c r="I274" i="3" s="1"/>
  <c r="C275" i="3" a="1"/>
  <c r="C275" i="3" s="1"/>
  <c r="I275" i="3" s="1"/>
  <c r="C276" i="3" a="1"/>
  <c r="C276" i="3" s="1"/>
  <c r="I276" i="3" s="1"/>
  <c r="C277" i="3" a="1"/>
  <c r="C277" i="3" s="1"/>
  <c r="I277" i="3" s="1"/>
  <c r="C278" i="3" a="1"/>
  <c r="C278" i="3" s="1"/>
  <c r="I278" i="3" s="1"/>
  <c r="C279" i="3" a="1"/>
  <c r="C279" i="3" s="1"/>
  <c r="I279" i="3" s="1"/>
  <c r="C280" i="3" a="1"/>
  <c r="C280" i="3" s="1"/>
  <c r="I280" i="3" s="1"/>
  <c r="C281" i="3" a="1"/>
  <c r="C281" i="3" s="1"/>
  <c r="I281" i="3" s="1"/>
  <c r="C282" i="3" a="1"/>
  <c r="C282" i="3" s="1"/>
  <c r="I282" i="3" s="1"/>
  <c r="C283" i="3" a="1"/>
  <c r="C283" i="3" s="1"/>
  <c r="I283" i="3" s="1"/>
  <c r="C284" i="3" a="1"/>
  <c r="C284" i="3" s="1"/>
  <c r="I284" i="3" s="1"/>
  <c r="C285" i="3" a="1"/>
  <c r="C285" i="3" s="1"/>
  <c r="I285" i="3" s="1"/>
  <c r="C286" i="3" a="1"/>
  <c r="C286" i="3" s="1"/>
  <c r="I286" i="3" s="1"/>
  <c r="C287" i="3" a="1"/>
  <c r="C287" i="3" s="1"/>
  <c r="I287" i="3" s="1"/>
  <c r="C288" i="3" a="1"/>
  <c r="C288" i="3" s="1"/>
  <c r="I288" i="3" s="1"/>
  <c r="C289" i="3" a="1"/>
  <c r="C289" i="3" s="1"/>
  <c r="I289" i="3" s="1"/>
  <c r="C290" i="3" a="1"/>
  <c r="C290" i="3" s="1"/>
  <c r="I290" i="3" s="1"/>
  <c r="C291" i="3" a="1"/>
  <c r="C291" i="3" s="1"/>
  <c r="I291" i="3" s="1"/>
  <c r="C292" i="3" a="1"/>
  <c r="C292" i="3" s="1"/>
  <c r="I292" i="3" s="1"/>
  <c r="C293" i="3" a="1"/>
  <c r="C293" i="3" s="1"/>
  <c r="I293" i="3" s="1"/>
  <c r="C294" i="3" a="1"/>
  <c r="C294" i="3" s="1"/>
  <c r="I294" i="3" s="1"/>
  <c r="C295" i="3" a="1"/>
  <c r="C295" i="3" s="1"/>
  <c r="I295" i="3" s="1"/>
  <c r="C296" i="3" a="1"/>
  <c r="C296" i="3" s="1"/>
  <c r="I296" i="3" s="1"/>
  <c r="C297" i="3" a="1"/>
  <c r="C297" i="3" s="1"/>
  <c r="I297" i="3" s="1"/>
  <c r="C298" i="3" a="1"/>
  <c r="C298" i="3" s="1"/>
  <c r="I298" i="3" s="1"/>
  <c r="C299" i="3" a="1"/>
  <c r="C299" i="3" s="1"/>
  <c r="I299" i="3" s="1"/>
  <c r="C300" i="3" a="1"/>
  <c r="C300" i="3" s="1"/>
  <c r="I300" i="3" s="1"/>
  <c r="C301" i="3" a="1"/>
  <c r="C301" i="3" s="1"/>
  <c r="I301" i="3" s="1"/>
  <c r="C302" i="3" a="1"/>
  <c r="C302" i="3" s="1"/>
  <c r="I302" i="3" s="1"/>
  <c r="C303" i="3" a="1"/>
  <c r="C303" i="3" s="1"/>
  <c r="I303" i="3" s="1"/>
  <c r="C304" i="3" a="1"/>
  <c r="C304" i="3" s="1"/>
  <c r="I304" i="3" s="1"/>
  <c r="C305" i="3" a="1"/>
  <c r="C305" i="3" s="1"/>
  <c r="I305" i="3" s="1"/>
  <c r="C306" i="3" a="1"/>
  <c r="C306" i="3" s="1"/>
  <c r="I306" i="3" s="1"/>
  <c r="C307" i="3" a="1"/>
  <c r="C307" i="3" s="1"/>
  <c r="I307" i="3" s="1"/>
  <c r="C308" i="3" a="1"/>
  <c r="C308" i="3" s="1"/>
  <c r="I308" i="3" s="1"/>
  <c r="C309" i="3" a="1"/>
  <c r="C309" i="3" s="1"/>
  <c r="I309" i="3" s="1"/>
  <c r="C310" i="3" a="1"/>
  <c r="C310" i="3" s="1"/>
  <c r="I310" i="3" s="1"/>
  <c r="C311" i="3" a="1"/>
  <c r="C311" i="3" s="1"/>
  <c r="I311" i="3" s="1"/>
  <c r="C312" i="3" a="1"/>
  <c r="C312" i="3" s="1"/>
  <c r="I312" i="3" s="1"/>
  <c r="C313" i="3" a="1"/>
  <c r="C313" i="3" s="1"/>
  <c r="I313" i="3" s="1"/>
  <c r="C314" i="3" a="1"/>
  <c r="C314" i="3" s="1"/>
  <c r="I314" i="3" s="1"/>
  <c r="C315" i="3" a="1"/>
  <c r="C315" i="3" s="1"/>
  <c r="I315" i="3" s="1"/>
  <c r="C316" i="3" a="1"/>
  <c r="C316" i="3" s="1"/>
  <c r="I316" i="3" s="1"/>
  <c r="C317" i="3" a="1"/>
  <c r="C317" i="3" s="1"/>
  <c r="I317" i="3" s="1"/>
  <c r="C318" i="3" a="1"/>
  <c r="C318" i="3" s="1"/>
  <c r="I318" i="3" s="1"/>
  <c r="C319" i="3" a="1"/>
  <c r="C319" i="3" s="1"/>
  <c r="I319" i="3" s="1"/>
  <c r="C320" i="3" a="1"/>
  <c r="C320" i="3" s="1"/>
  <c r="I320" i="3" s="1"/>
  <c r="C321" i="3" a="1"/>
  <c r="C321" i="3" s="1"/>
  <c r="I321" i="3" s="1"/>
  <c r="C322" i="3" a="1"/>
  <c r="C322" i="3" s="1"/>
  <c r="I322" i="3" s="1"/>
  <c r="C323" i="3" a="1"/>
  <c r="C323" i="3" s="1"/>
  <c r="I323" i="3" s="1"/>
  <c r="C324" i="3" a="1"/>
  <c r="C324" i="3" s="1"/>
  <c r="I324" i="3" s="1"/>
  <c r="C325" i="3" a="1"/>
  <c r="C325" i="3" s="1"/>
  <c r="I325" i="3" s="1"/>
  <c r="C326" i="3" a="1"/>
  <c r="C326" i="3" s="1"/>
  <c r="I326" i="3" s="1"/>
  <c r="C327" i="3" a="1"/>
  <c r="C327" i="3" s="1"/>
  <c r="I327" i="3" s="1"/>
  <c r="C328" i="3" a="1"/>
  <c r="C328" i="3" s="1"/>
  <c r="I328" i="3" s="1"/>
  <c r="C329" i="3" a="1"/>
  <c r="C329" i="3" s="1"/>
  <c r="I329" i="3" s="1"/>
  <c r="C330" i="3" a="1"/>
  <c r="C330" i="3" s="1"/>
  <c r="I330" i="3" s="1"/>
  <c r="C331" i="3" a="1"/>
  <c r="C331" i="3" s="1"/>
  <c r="I331" i="3" s="1"/>
  <c r="C332" i="3" a="1"/>
  <c r="C332" i="3" s="1"/>
  <c r="I332" i="3" s="1"/>
  <c r="C333" i="3" a="1"/>
  <c r="C333" i="3" s="1"/>
  <c r="I333" i="3" s="1"/>
  <c r="C334" i="3" a="1"/>
  <c r="C334" i="3" s="1"/>
  <c r="I334" i="3" s="1"/>
  <c r="C335" i="3" a="1"/>
  <c r="C335" i="3" s="1"/>
  <c r="I335" i="3" s="1"/>
  <c r="C336" i="3" a="1"/>
  <c r="C336" i="3" s="1"/>
  <c r="I336" i="3" s="1"/>
  <c r="C337" i="3" a="1"/>
  <c r="C337" i="3" s="1"/>
  <c r="I337" i="3" s="1"/>
  <c r="C338" i="3" a="1"/>
  <c r="C338" i="3" s="1"/>
  <c r="I338" i="3" s="1"/>
  <c r="C339" i="3" a="1"/>
  <c r="C339" i="3" s="1"/>
  <c r="I339" i="3" s="1"/>
  <c r="C340" i="3" a="1"/>
  <c r="C340" i="3" s="1"/>
  <c r="I340" i="3" s="1"/>
  <c r="C341" i="3" a="1"/>
  <c r="C341" i="3" s="1"/>
  <c r="I341" i="3" s="1"/>
  <c r="C342" i="3" a="1"/>
  <c r="C342" i="3" s="1"/>
  <c r="I342" i="3" s="1"/>
  <c r="C343" i="3" a="1"/>
  <c r="C343" i="3" s="1"/>
  <c r="I343" i="3" s="1"/>
  <c r="C344" i="3" a="1"/>
  <c r="C344" i="3" s="1"/>
  <c r="I344" i="3" s="1"/>
  <c r="C345" i="3" a="1"/>
  <c r="C345" i="3" s="1"/>
  <c r="I345" i="3" s="1"/>
  <c r="C346" i="3" a="1"/>
  <c r="C346" i="3" s="1"/>
  <c r="I346" i="3" s="1"/>
  <c r="C347" i="3" a="1"/>
  <c r="C347" i="3" s="1"/>
  <c r="I347" i="3" s="1"/>
  <c r="C348" i="3" a="1"/>
  <c r="C348" i="3" s="1"/>
  <c r="I348" i="3" s="1"/>
  <c r="C349" i="3" a="1"/>
  <c r="C349" i="3" s="1"/>
  <c r="I349" i="3" s="1"/>
  <c r="C350" i="3" a="1"/>
  <c r="C350" i="3" s="1"/>
  <c r="I350" i="3" s="1"/>
  <c r="C351" i="3" a="1"/>
  <c r="C351" i="3" s="1"/>
  <c r="I351" i="3" s="1"/>
  <c r="C352" i="3" a="1"/>
  <c r="C352" i="3" s="1"/>
  <c r="I352" i="3" s="1"/>
  <c r="C353" i="3" a="1"/>
  <c r="C353" i="3" s="1"/>
  <c r="I353" i="3" s="1"/>
  <c r="C354" i="3" a="1"/>
  <c r="C354" i="3" s="1"/>
  <c r="I354" i="3" s="1"/>
  <c r="C355" i="3" a="1"/>
  <c r="C355" i="3" s="1"/>
  <c r="I355" i="3" s="1"/>
  <c r="C356" i="3" a="1"/>
  <c r="C356" i="3" s="1"/>
  <c r="I356" i="3" s="1"/>
  <c r="C357" i="3" a="1"/>
  <c r="C357" i="3" s="1"/>
  <c r="I357" i="3" s="1"/>
  <c r="C358" i="3" a="1"/>
  <c r="C358" i="3" s="1"/>
  <c r="I358" i="3" s="1"/>
  <c r="C359" i="3" a="1"/>
  <c r="C359" i="3" s="1"/>
  <c r="I359" i="3" s="1"/>
  <c r="C360" i="3" a="1"/>
  <c r="C360" i="3" s="1"/>
  <c r="I360" i="3" s="1"/>
  <c r="C361" i="3" a="1"/>
  <c r="C361" i="3" s="1"/>
  <c r="I361" i="3" s="1"/>
  <c r="C362" i="3" a="1"/>
  <c r="C362" i="3" s="1"/>
  <c r="I362" i="3" s="1"/>
  <c r="C363" i="3" a="1"/>
  <c r="C363" i="3" s="1"/>
  <c r="I363" i="3" s="1"/>
  <c r="C364" i="3" a="1"/>
  <c r="C364" i="3" s="1"/>
  <c r="I364" i="3" s="1"/>
  <c r="C365" i="3" a="1"/>
  <c r="C365" i="3" s="1"/>
  <c r="I365" i="3" s="1"/>
  <c r="C366" i="3" a="1"/>
  <c r="C366" i="3" s="1"/>
  <c r="I366" i="3" s="1"/>
  <c r="C367" i="3" a="1"/>
  <c r="C367" i="3" s="1"/>
  <c r="I367" i="3" s="1"/>
  <c r="C368" i="3" a="1"/>
  <c r="C368" i="3" s="1"/>
  <c r="I368" i="3" s="1"/>
  <c r="C369" i="3" a="1"/>
  <c r="C369" i="3" s="1"/>
  <c r="I369" i="3" s="1"/>
  <c r="C370" i="3" a="1"/>
  <c r="C370" i="3" s="1"/>
  <c r="I370" i="3" s="1"/>
  <c r="C371" i="3" a="1"/>
  <c r="C371" i="3" s="1"/>
  <c r="I371" i="3" s="1"/>
  <c r="C372" i="3" a="1"/>
  <c r="C372" i="3" s="1"/>
  <c r="I372" i="3" s="1"/>
  <c r="C373" i="3" a="1"/>
  <c r="C373" i="3" s="1"/>
  <c r="I373" i="3" s="1"/>
  <c r="C374" i="3" a="1"/>
  <c r="C374" i="3" s="1"/>
  <c r="I374" i="3" s="1"/>
  <c r="C375" i="3" a="1"/>
  <c r="C375" i="3" s="1"/>
  <c r="I375" i="3" s="1"/>
  <c r="C376" i="3" a="1"/>
  <c r="C376" i="3" s="1"/>
  <c r="I376" i="3" s="1"/>
  <c r="C377" i="3" a="1"/>
  <c r="C377" i="3" s="1"/>
  <c r="I377" i="3" s="1"/>
  <c r="C378" i="3" a="1"/>
  <c r="C378" i="3" s="1"/>
  <c r="I378" i="3" s="1"/>
  <c r="C379" i="3" a="1"/>
  <c r="C379" i="3" s="1"/>
  <c r="I379" i="3" s="1"/>
  <c r="C380" i="3" a="1"/>
  <c r="C380" i="3" s="1"/>
  <c r="I380" i="3" s="1"/>
  <c r="C381" i="3" a="1"/>
  <c r="C381" i="3" s="1"/>
  <c r="I381" i="3" s="1"/>
  <c r="C382" i="3" a="1"/>
  <c r="C382" i="3" s="1"/>
  <c r="I382" i="3" s="1"/>
  <c r="C383" i="3" a="1"/>
  <c r="C383" i="3" s="1"/>
  <c r="I383" i="3" s="1"/>
  <c r="C384" i="3" a="1"/>
  <c r="C384" i="3" s="1"/>
  <c r="I384" i="3" s="1"/>
  <c r="C385" i="3" a="1"/>
  <c r="C385" i="3" s="1"/>
  <c r="I385" i="3" s="1"/>
  <c r="C386" i="3" a="1"/>
  <c r="C386" i="3" s="1"/>
  <c r="I386" i="3" s="1"/>
  <c r="C387" i="3" a="1"/>
  <c r="C387" i="3" s="1"/>
  <c r="I387" i="3" s="1"/>
  <c r="C388" i="3" a="1"/>
  <c r="C388" i="3" s="1"/>
  <c r="I388" i="3" s="1"/>
  <c r="C389" i="3" a="1"/>
  <c r="C389" i="3" s="1"/>
  <c r="I389" i="3" s="1"/>
  <c r="C390" i="3" a="1"/>
  <c r="C390" i="3" s="1"/>
  <c r="I390" i="3" s="1"/>
  <c r="C391" i="3" a="1"/>
  <c r="C391" i="3" s="1"/>
  <c r="I391" i="3" s="1"/>
  <c r="C392" i="3" a="1"/>
  <c r="C392" i="3" s="1"/>
  <c r="I392" i="3" s="1"/>
  <c r="C393" i="3" a="1"/>
  <c r="C393" i="3" s="1"/>
  <c r="I393" i="3" s="1"/>
  <c r="C394" i="3" a="1"/>
  <c r="C394" i="3" s="1"/>
  <c r="I394" i="3" s="1"/>
  <c r="C395" i="3" a="1"/>
  <c r="C395" i="3" s="1"/>
  <c r="I395" i="3" s="1"/>
  <c r="C396" i="3" a="1"/>
  <c r="C396" i="3" s="1"/>
  <c r="I396" i="3" s="1"/>
  <c r="C397" i="3" a="1"/>
  <c r="C397" i="3" s="1"/>
  <c r="I397" i="3" s="1"/>
  <c r="C398" i="3" a="1"/>
  <c r="C398" i="3" s="1"/>
  <c r="I398" i="3" s="1"/>
  <c r="C399" i="3" a="1"/>
  <c r="C399" i="3" s="1"/>
  <c r="I399" i="3" s="1"/>
  <c r="C400" i="3" a="1"/>
  <c r="C400" i="3" s="1"/>
  <c r="I400" i="3" s="1"/>
  <c r="C401" i="3" a="1"/>
  <c r="C401" i="3" s="1"/>
  <c r="I401" i="3" s="1"/>
  <c r="C402" i="3" a="1"/>
  <c r="C402" i="3" s="1"/>
  <c r="I402" i="3" s="1"/>
  <c r="C403" i="3" a="1"/>
  <c r="C403" i="3" s="1"/>
  <c r="I403" i="3" s="1"/>
  <c r="C404" i="3" a="1"/>
  <c r="C404" i="3" s="1"/>
  <c r="I404" i="3" s="1"/>
  <c r="C405" i="3" a="1"/>
  <c r="C405" i="3" s="1"/>
  <c r="I405" i="3" s="1"/>
  <c r="C406" i="3" a="1"/>
  <c r="C406" i="3" s="1"/>
  <c r="I406" i="3" s="1"/>
  <c r="C407" i="3" a="1"/>
  <c r="C407" i="3" s="1"/>
  <c r="I407" i="3" s="1"/>
  <c r="C408" i="3" a="1"/>
  <c r="C408" i="3" s="1"/>
  <c r="I408" i="3" s="1"/>
  <c r="C409" i="3" a="1"/>
  <c r="C409" i="3" s="1"/>
  <c r="I409" i="3" s="1"/>
  <c r="C410" i="3" a="1"/>
  <c r="C410" i="3" s="1"/>
  <c r="I410" i="3" s="1"/>
  <c r="C411" i="3" a="1"/>
  <c r="C411" i="3" s="1"/>
  <c r="I411" i="3" s="1"/>
  <c r="C412" i="3" a="1"/>
  <c r="C412" i="3" s="1"/>
  <c r="I412" i="3" s="1"/>
  <c r="C413" i="3" a="1"/>
  <c r="C413" i="3" s="1"/>
  <c r="I413" i="3" s="1"/>
  <c r="C414" i="3" a="1"/>
  <c r="C414" i="3" s="1"/>
  <c r="I414" i="3" s="1"/>
  <c r="C415" i="3" a="1"/>
  <c r="C415" i="3" s="1"/>
  <c r="I415" i="3" s="1"/>
  <c r="C416" i="3" a="1"/>
  <c r="C416" i="3" s="1"/>
  <c r="I416" i="3" s="1"/>
  <c r="C417" i="3" a="1"/>
  <c r="C417" i="3" s="1"/>
  <c r="I417" i="3" s="1"/>
  <c r="C418" i="3" a="1"/>
  <c r="C418" i="3" s="1"/>
  <c r="I418" i="3" s="1"/>
  <c r="C419" i="3" a="1"/>
  <c r="C419" i="3" s="1"/>
  <c r="I419" i="3" s="1"/>
  <c r="C420" i="3" a="1"/>
  <c r="C420" i="3" s="1"/>
  <c r="I420" i="3" s="1"/>
  <c r="C421" i="3" a="1"/>
  <c r="C421" i="3" s="1"/>
  <c r="I421" i="3" s="1"/>
  <c r="C422" i="3" a="1"/>
  <c r="C422" i="3" s="1"/>
  <c r="I422" i="3" s="1"/>
  <c r="C423" i="3" a="1"/>
  <c r="C423" i="3" s="1"/>
  <c r="I423" i="3" s="1"/>
  <c r="C424" i="3" a="1"/>
  <c r="C424" i="3" s="1"/>
  <c r="I424" i="3" s="1"/>
  <c r="C425" i="3" a="1"/>
  <c r="C425" i="3" s="1"/>
  <c r="I425" i="3" s="1"/>
  <c r="C426" i="3" a="1"/>
  <c r="C426" i="3" s="1"/>
  <c r="I426" i="3" s="1"/>
  <c r="C427" i="3" a="1"/>
  <c r="C427" i="3" s="1"/>
  <c r="I427" i="3" s="1"/>
  <c r="C428" i="3" a="1"/>
  <c r="C428" i="3" s="1"/>
  <c r="I428" i="3" s="1"/>
  <c r="C429" i="3" a="1"/>
  <c r="C429" i="3" s="1"/>
  <c r="I429" i="3" s="1"/>
  <c r="C430" i="3" a="1"/>
  <c r="C430" i="3" s="1"/>
  <c r="I430" i="3" s="1"/>
  <c r="C431" i="3" a="1"/>
  <c r="C431" i="3" s="1"/>
  <c r="I431" i="3" s="1"/>
  <c r="C432" i="3" a="1"/>
  <c r="C432" i="3" s="1"/>
  <c r="I432" i="3" s="1"/>
  <c r="C433" i="3" a="1"/>
  <c r="C433" i="3" s="1"/>
  <c r="I433" i="3" s="1"/>
  <c r="C434" i="3" a="1"/>
  <c r="C434" i="3" s="1"/>
  <c r="I434" i="3" s="1"/>
  <c r="C435" i="3" a="1"/>
  <c r="C435" i="3" s="1"/>
  <c r="I435" i="3" s="1"/>
  <c r="C436" i="3" a="1"/>
  <c r="C436" i="3" s="1"/>
  <c r="I436" i="3" s="1"/>
  <c r="C437" i="3" a="1"/>
  <c r="C437" i="3" s="1"/>
  <c r="I437" i="3" s="1"/>
  <c r="C438" i="3" a="1"/>
  <c r="C438" i="3" s="1"/>
  <c r="I438" i="3" s="1"/>
  <c r="C439" i="3" a="1"/>
  <c r="C439" i="3" s="1"/>
  <c r="I439" i="3" s="1"/>
  <c r="C440" i="3" a="1"/>
  <c r="C440" i="3" s="1"/>
  <c r="I440" i="3" s="1"/>
  <c r="C441" i="3" a="1"/>
  <c r="C441" i="3" s="1"/>
  <c r="I441" i="3" s="1"/>
  <c r="C442" i="3" a="1"/>
  <c r="C442" i="3" s="1"/>
  <c r="I442" i="3" s="1"/>
  <c r="C443" i="3" a="1"/>
  <c r="C443" i="3" s="1"/>
  <c r="I443" i="3" s="1"/>
  <c r="C444" i="3" a="1"/>
  <c r="C444" i="3" s="1"/>
  <c r="I444" i="3" s="1"/>
  <c r="C445" i="3" a="1"/>
  <c r="C445" i="3" s="1"/>
  <c r="I445" i="3" s="1"/>
  <c r="C446" i="3" a="1"/>
  <c r="C446" i="3" s="1"/>
  <c r="I446" i="3" s="1"/>
  <c r="C447" i="3" a="1"/>
  <c r="C447" i="3" s="1"/>
  <c r="I447" i="3" s="1"/>
  <c r="C448" i="3" a="1"/>
  <c r="C448" i="3" s="1"/>
  <c r="I448" i="3" s="1"/>
  <c r="C449" i="3" a="1"/>
  <c r="C449" i="3" s="1"/>
  <c r="I449" i="3" s="1"/>
  <c r="C450" i="3" a="1"/>
  <c r="C450" i="3" s="1"/>
  <c r="I450" i="3" s="1"/>
  <c r="C451" i="3" a="1"/>
  <c r="C451" i="3" s="1"/>
  <c r="I451" i="3" s="1"/>
  <c r="C452" i="3" a="1"/>
  <c r="C452" i="3" s="1"/>
  <c r="I452" i="3" s="1"/>
  <c r="C453" i="3" a="1"/>
  <c r="C453" i="3" s="1"/>
  <c r="I453" i="3" s="1"/>
  <c r="C454" i="3" a="1"/>
  <c r="C454" i="3" s="1"/>
  <c r="I454" i="3" s="1"/>
  <c r="C455" i="3" a="1"/>
  <c r="C455" i="3" s="1"/>
  <c r="I455" i="3" s="1"/>
  <c r="C456" i="3" a="1"/>
  <c r="C456" i="3" s="1"/>
  <c r="I456" i="3" s="1"/>
  <c r="C457" i="3" a="1"/>
  <c r="C457" i="3" s="1"/>
  <c r="I457" i="3" s="1"/>
  <c r="C458" i="3" a="1"/>
  <c r="C458" i="3" s="1"/>
  <c r="I458" i="3" s="1"/>
  <c r="C459" i="3" a="1"/>
  <c r="C459" i="3" s="1"/>
  <c r="I459" i="3" s="1"/>
  <c r="C460" i="3" a="1"/>
  <c r="C460" i="3" s="1"/>
  <c r="I460" i="3" s="1"/>
  <c r="C461" i="3" a="1"/>
  <c r="C461" i="3" s="1"/>
  <c r="I461" i="3" s="1"/>
  <c r="C462" i="3" a="1"/>
  <c r="C462" i="3" s="1"/>
  <c r="I462" i="3" s="1"/>
  <c r="C463" i="3" a="1"/>
  <c r="C463" i="3" s="1"/>
  <c r="I463" i="3" s="1"/>
  <c r="C464" i="3" a="1"/>
  <c r="C464" i="3" s="1"/>
  <c r="I464" i="3" s="1"/>
  <c r="C465" i="3" a="1"/>
  <c r="C465" i="3" s="1"/>
  <c r="I465" i="3" s="1"/>
  <c r="C466" i="3" a="1"/>
  <c r="C466" i="3" s="1"/>
  <c r="I466" i="3" s="1"/>
  <c r="C467" i="3" a="1"/>
  <c r="C467" i="3" s="1"/>
  <c r="I467" i="3" s="1"/>
  <c r="C468" i="3" a="1"/>
  <c r="C468" i="3" s="1"/>
  <c r="I468" i="3" s="1"/>
  <c r="C469" i="3" a="1"/>
  <c r="C469" i="3" s="1"/>
  <c r="I469" i="3" s="1"/>
  <c r="C470" i="3" a="1"/>
  <c r="C470" i="3" s="1"/>
  <c r="I470" i="3" s="1"/>
  <c r="C471" i="3" a="1"/>
  <c r="C471" i="3" s="1"/>
  <c r="I471" i="3" s="1"/>
  <c r="C472" i="3" a="1"/>
  <c r="C472" i="3" s="1"/>
  <c r="I472" i="3" s="1"/>
  <c r="C473" i="3" a="1"/>
  <c r="C473" i="3" s="1"/>
  <c r="I473" i="3" s="1"/>
  <c r="C474" i="3" a="1"/>
  <c r="C474" i="3" s="1"/>
  <c r="I474" i="3" s="1"/>
  <c r="C475" i="3" a="1"/>
  <c r="C475" i="3" s="1"/>
  <c r="I475" i="3" s="1"/>
  <c r="C476" i="3" a="1"/>
  <c r="C476" i="3" s="1"/>
  <c r="I476" i="3" s="1"/>
  <c r="C477" i="3" a="1"/>
  <c r="C477" i="3" s="1"/>
  <c r="I477" i="3" s="1"/>
  <c r="C478" i="3" a="1"/>
  <c r="C478" i="3" s="1"/>
  <c r="I478" i="3" s="1"/>
  <c r="C479" i="3" a="1"/>
  <c r="C479" i="3" s="1"/>
  <c r="I479" i="3" s="1"/>
  <c r="C480" i="3" a="1"/>
  <c r="C480" i="3" s="1"/>
  <c r="I480" i="3" s="1"/>
  <c r="C481" i="3" a="1"/>
  <c r="C481" i="3" s="1"/>
  <c r="I481" i="3" s="1"/>
  <c r="C482" i="3" a="1"/>
  <c r="C482" i="3" s="1"/>
  <c r="I482" i="3" s="1"/>
  <c r="C483" i="3" a="1"/>
  <c r="C483" i="3" s="1"/>
  <c r="I483" i="3" s="1"/>
  <c r="C484" i="3" a="1"/>
  <c r="C484" i="3" s="1"/>
  <c r="I484" i="3" s="1"/>
  <c r="C485" i="3" a="1"/>
  <c r="C485" i="3" s="1"/>
  <c r="I485" i="3" s="1"/>
  <c r="C486" i="3" a="1"/>
  <c r="C486" i="3" s="1"/>
  <c r="I486" i="3" s="1"/>
  <c r="C487" i="3" a="1"/>
  <c r="C487" i="3" s="1"/>
  <c r="I487" i="3" s="1"/>
  <c r="C488" i="3" a="1"/>
  <c r="C488" i="3" s="1"/>
  <c r="I488" i="3" s="1"/>
  <c r="C489" i="3" a="1"/>
  <c r="C489" i="3" s="1"/>
  <c r="I489" i="3" s="1"/>
  <c r="C490" i="3" a="1"/>
  <c r="C490" i="3" s="1"/>
  <c r="I490" i="3" s="1"/>
  <c r="C491" i="3" a="1"/>
  <c r="C491" i="3" s="1"/>
  <c r="I491" i="3" s="1"/>
  <c r="C492" i="3" a="1"/>
  <c r="C492" i="3" s="1"/>
  <c r="I492" i="3" s="1"/>
  <c r="C493" i="3" a="1"/>
  <c r="C493" i="3" s="1"/>
  <c r="I493" i="3" s="1"/>
  <c r="C494" i="3" a="1"/>
  <c r="C494" i="3" s="1"/>
  <c r="I494" i="3" s="1"/>
  <c r="C495" i="3" a="1"/>
  <c r="C495" i="3" s="1"/>
  <c r="I495" i="3" s="1"/>
  <c r="C496" i="3" a="1"/>
  <c r="C496" i="3" s="1"/>
  <c r="I496" i="3" s="1"/>
  <c r="C497" i="3" a="1"/>
  <c r="C497" i="3" s="1"/>
  <c r="I497" i="3" s="1"/>
  <c r="C498" i="3" a="1"/>
  <c r="C498" i="3" s="1"/>
  <c r="I498" i="3" s="1"/>
  <c r="C499" i="3" a="1"/>
  <c r="C499" i="3" s="1"/>
  <c r="I499" i="3" s="1"/>
  <c r="C500" i="3" a="1"/>
  <c r="C500" i="3" s="1"/>
  <c r="I500" i="3" s="1"/>
  <c r="C501" i="3" a="1"/>
  <c r="C501" i="3" s="1"/>
  <c r="I501" i="3" s="1"/>
  <c r="C502" i="3" a="1"/>
  <c r="C502" i="3" s="1"/>
  <c r="I502" i="3" s="1"/>
  <c r="C503" i="3" a="1"/>
  <c r="C503" i="3" s="1"/>
  <c r="I503" i="3" s="1"/>
  <c r="C504" i="3" a="1"/>
  <c r="C504" i="3" s="1"/>
  <c r="I504" i="3" s="1"/>
  <c r="C505" i="3" a="1"/>
  <c r="C505" i="3" s="1"/>
  <c r="I505" i="3" s="1"/>
  <c r="C506" i="3" a="1"/>
  <c r="C506" i="3" s="1"/>
  <c r="I506" i="3" s="1"/>
  <c r="C507" i="3" a="1"/>
  <c r="C507" i="3" s="1"/>
  <c r="I507" i="3" s="1"/>
  <c r="C508" i="3" a="1"/>
  <c r="C508" i="3" s="1"/>
  <c r="I508" i="3" s="1"/>
  <c r="C509" i="3" a="1"/>
  <c r="C509" i="3" s="1"/>
  <c r="I509" i="3" s="1"/>
  <c r="C510" i="3" a="1"/>
  <c r="C510" i="3" s="1"/>
  <c r="I510" i="3" s="1"/>
  <c r="C511" i="3" a="1"/>
  <c r="C511" i="3" s="1"/>
  <c r="I511" i="3" s="1"/>
  <c r="C512" i="3" a="1"/>
  <c r="C512" i="3" s="1"/>
  <c r="I512" i="3" s="1"/>
  <c r="C513" i="3" a="1"/>
  <c r="C513" i="3" s="1"/>
  <c r="I513" i="3" s="1"/>
  <c r="C514" i="3" a="1"/>
  <c r="C514" i="3" s="1"/>
  <c r="I514" i="3" s="1"/>
  <c r="C515" i="3" a="1"/>
  <c r="C515" i="3" s="1"/>
  <c r="I515" i="3" s="1"/>
  <c r="C516" i="3" a="1"/>
  <c r="C516" i="3" s="1"/>
  <c r="I516" i="3" s="1"/>
  <c r="C517" i="3" a="1"/>
  <c r="C517" i="3" s="1"/>
  <c r="I517" i="3" s="1"/>
  <c r="C518" i="3" a="1"/>
  <c r="C518" i="3" s="1"/>
  <c r="I518" i="3" s="1"/>
  <c r="C519" i="3" a="1"/>
  <c r="C519" i="3" s="1"/>
  <c r="I519" i="3" s="1"/>
  <c r="C520" i="3" a="1"/>
  <c r="C520" i="3" s="1"/>
  <c r="I520" i="3" s="1"/>
  <c r="C521" i="3" a="1"/>
  <c r="C521" i="3" s="1"/>
  <c r="I521" i="3" s="1"/>
  <c r="C522" i="3" a="1"/>
  <c r="C522" i="3" s="1"/>
  <c r="I522" i="3" s="1"/>
  <c r="C523" i="3" a="1"/>
  <c r="C523" i="3" s="1"/>
  <c r="I523" i="3" s="1"/>
  <c r="C524" i="3" a="1"/>
  <c r="C524" i="3" s="1"/>
  <c r="I524" i="3" s="1"/>
  <c r="C525" i="3" a="1"/>
  <c r="C525" i="3" s="1"/>
  <c r="I525" i="3" s="1"/>
  <c r="C526" i="3" a="1"/>
  <c r="C526" i="3" s="1"/>
  <c r="I526" i="3" s="1"/>
  <c r="C527" i="3" a="1"/>
  <c r="C527" i="3" s="1"/>
  <c r="I527" i="3" s="1"/>
  <c r="C528" i="3" a="1"/>
  <c r="C528" i="3" s="1"/>
  <c r="I528" i="3" s="1"/>
  <c r="C529" i="3" a="1"/>
  <c r="C529" i="3" s="1"/>
  <c r="I529" i="3" s="1"/>
  <c r="C530" i="3" a="1"/>
  <c r="C530" i="3" s="1"/>
  <c r="I530" i="3" s="1"/>
  <c r="C531" i="3" a="1"/>
  <c r="C531" i="3" s="1"/>
  <c r="I531" i="3" s="1"/>
  <c r="C532" i="3" a="1"/>
  <c r="C532" i="3" s="1"/>
  <c r="I532" i="3" s="1"/>
  <c r="C533" i="3" a="1"/>
  <c r="C533" i="3" s="1"/>
  <c r="I533" i="3" s="1"/>
  <c r="C534" i="3" a="1"/>
  <c r="C534" i="3" s="1"/>
  <c r="I534" i="3" s="1"/>
  <c r="C535" i="3" a="1"/>
  <c r="C535" i="3" s="1"/>
  <c r="I535" i="3" s="1"/>
  <c r="C536" i="3" a="1"/>
  <c r="C536" i="3" s="1"/>
  <c r="I536" i="3" s="1"/>
  <c r="C537" i="3" a="1"/>
  <c r="C537" i="3" s="1"/>
  <c r="I537" i="3" s="1"/>
  <c r="C538" i="3" a="1"/>
  <c r="C538" i="3" s="1"/>
  <c r="I538" i="3" s="1"/>
  <c r="C539" i="3" a="1"/>
  <c r="C539" i="3" s="1"/>
  <c r="I539" i="3" s="1"/>
  <c r="C540" i="3" a="1"/>
  <c r="C540" i="3" s="1"/>
  <c r="I540" i="3" s="1"/>
  <c r="C541" i="3" a="1"/>
  <c r="C541" i="3" s="1"/>
  <c r="I541" i="3" s="1"/>
  <c r="C542" i="3" a="1"/>
  <c r="C542" i="3" s="1"/>
  <c r="I542" i="3" s="1"/>
  <c r="C543" i="3" a="1"/>
  <c r="C543" i="3" s="1"/>
  <c r="I543" i="3" s="1"/>
  <c r="C544" i="3" a="1"/>
  <c r="C544" i="3" s="1"/>
  <c r="I544" i="3" s="1"/>
  <c r="C545" i="3" a="1"/>
  <c r="C545" i="3" s="1"/>
  <c r="I545" i="3" s="1"/>
  <c r="C546" i="3" a="1"/>
  <c r="C546" i="3" s="1"/>
  <c r="I546" i="3" s="1"/>
  <c r="C547" i="3" a="1"/>
  <c r="C547" i="3" s="1"/>
  <c r="I547" i="3" s="1"/>
  <c r="C548" i="3" a="1"/>
  <c r="C548" i="3" s="1"/>
  <c r="I548" i="3" s="1"/>
  <c r="C549" i="3" a="1"/>
  <c r="C549" i="3" s="1"/>
  <c r="I549" i="3" s="1"/>
  <c r="C550" i="3" a="1"/>
  <c r="C550" i="3" s="1"/>
  <c r="I550" i="3" s="1"/>
  <c r="C551" i="3" a="1"/>
  <c r="C551" i="3" s="1"/>
  <c r="I551" i="3" s="1"/>
  <c r="C552" i="3" a="1"/>
  <c r="C552" i="3" s="1"/>
  <c r="I552" i="3" s="1"/>
  <c r="C553" i="3" a="1"/>
  <c r="C553" i="3" s="1"/>
  <c r="I553" i="3" s="1"/>
  <c r="C554" i="3" a="1"/>
  <c r="C554" i="3" s="1"/>
  <c r="I554" i="3" s="1"/>
  <c r="C555" i="3" a="1"/>
  <c r="C555" i="3" s="1"/>
  <c r="I555" i="3" s="1"/>
  <c r="C556" i="3" a="1"/>
  <c r="C556" i="3" s="1"/>
  <c r="I556" i="3" s="1"/>
  <c r="C557" i="3" a="1"/>
  <c r="C557" i="3" s="1"/>
  <c r="I557" i="3" s="1"/>
  <c r="C558" i="3" a="1"/>
  <c r="C558" i="3" s="1"/>
  <c r="I558" i="3" s="1"/>
  <c r="C559" i="3" a="1"/>
  <c r="C559" i="3" s="1"/>
  <c r="I559" i="3" s="1"/>
  <c r="C560" i="3" a="1"/>
  <c r="C560" i="3" s="1"/>
  <c r="I560" i="3" s="1"/>
  <c r="C561" i="3" a="1"/>
  <c r="C561" i="3" s="1"/>
  <c r="I561" i="3" s="1"/>
  <c r="C562" i="3" a="1"/>
  <c r="C562" i="3" s="1"/>
  <c r="I562" i="3" s="1"/>
  <c r="C563" i="3" a="1"/>
  <c r="C563" i="3" s="1"/>
  <c r="I563" i="3" s="1"/>
  <c r="C564" i="3" a="1"/>
  <c r="C564" i="3" s="1"/>
  <c r="I564" i="3" s="1"/>
  <c r="C565" i="3" a="1"/>
  <c r="C565" i="3" s="1"/>
  <c r="I565" i="3" s="1"/>
  <c r="C566" i="3" a="1"/>
  <c r="C566" i="3" s="1"/>
  <c r="I566" i="3" s="1"/>
  <c r="C567" i="3" a="1"/>
  <c r="C567" i="3" s="1"/>
  <c r="I567" i="3" s="1"/>
  <c r="C568" i="3" a="1"/>
  <c r="C568" i="3" s="1"/>
  <c r="I568" i="3" s="1"/>
  <c r="C569" i="3" a="1"/>
  <c r="C569" i="3" s="1"/>
  <c r="I569" i="3" s="1"/>
  <c r="C570" i="3" a="1"/>
  <c r="C570" i="3" s="1"/>
  <c r="I570" i="3" s="1"/>
  <c r="C571" i="3" a="1"/>
  <c r="C571" i="3" s="1"/>
  <c r="I571" i="3" s="1"/>
  <c r="C572" i="3" a="1"/>
  <c r="C572" i="3" s="1"/>
  <c r="I572" i="3" s="1"/>
  <c r="C573" i="3" a="1"/>
  <c r="C573" i="3" s="1"/>
  <c r="I573" i="3" s="1"/>
  <c r="C574" i="3" a="1"/>
  <c r="C574" i="3" s="1"/>
  <c r="I574" i="3" s="1"/>
  <c r="C575" i="3" a="1"/>
  <c r="C575" i="3" s="1"/>
  <c r="I575" i="3" s="1"/>
  <c r="C576" i="3" a="1"/>
  <c r="C576" i="3" s="1"/>
  <c r="I576" i="3" s="1"/>
  <c r="C577" i="3" a="1"/>
  <c r="C577" i="3" s="1"/>
  <c r="I577" i="3" s="1"/>
  <c r="C578" i="3" a="1"/>
  <c r="C578" i="3" s="1"/>
  <c r="I578" i="3" s="1"/>
  <c r="C579" i="3" a="1"/>
  <c r="C579" i="3" s="1"/>
  <c r="I579" i="3" s="1"/>
  <c r="C580" i="3" a="1"/>
  <c r="C580" i="3" s="1"/>
  <c r="I580" i="3" s="1"/>
  <c r="C581" i="3" a="1"/>
  <c r="C581" i="3" s="1"/>
  <c r="I581" i="3" s="1"/>
  <c r="C582" i="3" a="1"/>
  <c r="C582" i="3" s="1"/>
  <c r="I582" i="3" s="1"/>
  <c r="C583" i="3" a="1"/>
  <c r="C583" i="3" s="1"/>
  <c r="I583" i="3" s="1"/>
  <c r="C584" i="3" a="1"/>
  <c r="C584" i="3" s="1"/>
  <c r="I584" i="3" s="1"/>
  <c r="C585" i="3" a="1"/>
  <c r="C585" i="3" s="1"/>
  <c r="I585" i="3" s="1"/>
  <c r="C586" i="3" a="1"/>
  <c r="C586" i="3" s="1"/>
  <c r="I586" i="3" s="1"/>
  <c r="C587" i="3" a="1"/>
  <c r="C587" i="3" s="1"/>
  <c r="I587" i="3" s="1"/>
  <c r="C588" i="3" a="1"/>
  <c r="C588" i="3" s="1"/>
  <c r="I588" i="3" s="1"/>
  <c r="C589" i="3" a="1"/>
  <c r="C589" i="3" s="1"/>
  <c r="I589" i="3" s="1"/>
  <c r="C590" i="3" a="1"/>
  <c r="C590" i="3" s="1"/>
  <c r="I590" i="3" s="1"/>
  <c r="C591" i="3" a="1"/>
  <c r="C591" i="3" s="1"/>
  <c r="I591" i="3" s="1"/>
  <c r="C592" i="3" a="1"/>
  <c r="C592" i="3" s="1"/>
  <c r="I592" i="3" s="1"/>
  <c r="C593" i="3" a="1"/>
  <c r="C593" i="3" s="1"/>
  <c r="I593" i="3" s="1"/>
  <c r="C594" i="3" a="1"/>
  <c r="C594" i="3" s="1"/>
  <c r="I594" i="3" s="1"/>
  <c r="C595" i="3" a="1"/>
  <c r="C595" i="3" s="1"/>
  <c r="I595" i="3" s="1"/>
  <c r="C596" i="3" a="1"/>
  <c r="C596" i="3" s="1"/>
  <c r="I596" i="3" s="1"/>
  <c r="C597" i="3" a="1"/>
  <c r="C597" i="3" s="1"/>
  <c r="I597" i="3" s="1"/>
  <c r="C598" i="3" a="1"/>
  <c r="C598" i="3" s="1"/>
  <c r="I598" i="3" s="1"/>
  <c r="C599" i="3" a="1"/>
  <c r="C599" i="3" s="1"/>
  <c r="I599" i="3" s="1"/>
  <c r="C600" i="3" a="1"/>
  <c r="C600" i="3" s="1"/>
  <c r="I600" i="3" s="1"/>
  <c r="C601" i="3" a="1"/>
  <c r="C601" i="3" s="1"/>
  <c r="I601" i="3" s="1"/>
  <c r="C602" i="3" a="1"/>
  <c r="C602" i="3" s="1"/>
  <c r="I602" i="3" s="1"/>
  <c r="C603" i="3" a="1"/>
  <c r="C603" i="3" s="1"/>
  <c r="I603" i="3" s="1"/>
  <c r="C604" i="3" a="1"/>
  <c r="C604" i="3" s="1"/>
  <c r="I604" i="3" s="1"/>
  <c r="C605" i="3" a="1"/>
  <c r="C605" i="3" s="1"/>
  <c r="I605" i="3" s="1"/>
  <c r="C606" i="3" a="1"/>
  <c r="C606" i="3" s="1"/>
  <c r="I606" i="3" s="1"/>
  <c r="C607" i="3" a="1"/>
  <c r="C607" i="3" s="1"/>
  <c r="I607" i="3" s="1"/>
  <c r="C608" i="3" a="1"/>
  <c r="C608" i="3" s="1"/>
  <c r="I608" i="3" s="1"/>
  <c r="C609" i="3" a="1"/>
  <c r="C609" i="3" s="1"/>
  <c r="I609" i="3" s="1"/>
  <c r="C610" i="3" a="1"/>
  <c r="C610" i="3" s="1"/>
  <c r="I610" i="3" s="1"/>
  <c r="C611" i="3" a="1"/>
  <c r="C611" i="3" s="1"/>
  <c r="I611" i="3" s="1"/>
  <c r="C612" i="3" a="1"/>
  <c r="C612" i="3" s="1"/>
  <c r="I612" i="3" s="1"/>
  <c r="C613" i="3" a="1"/>
  <c r="C613" i="3" s="1"/>
  <c r="I613" i="3" s="1"/>
  <c r="C614" i="3" a="1"/>
  <c r="C614" i="3" s="1"/>
  <c r="I614" i="3" s="1"/>
  <c r="C615" i="3" a="1"/>
  <c r="C615" i="3" s="1"/>
  <c r="I615" i="3" s="1"/>
  <c r="C616" i="3" a="1"/>
  <c r="C616" i="3" s="1"/>
  <c r="I616" i="3" s="1"/>
  <c r="C617" i="3" a="1"/>
  <c r="C617" i="3" s="1"/>
  <c r="I617" i="3" s="1"/>
  <c r="C618" i="3" a="1"/>
  <c r="C618" i="3" s="1"/>
  <c r="I618" i="3" s="1"/>
  <c r="C619" i="3" a="1"/>
  <c r="C619" i="3" s="1"/>
  <c r="I619" i="3" s="1"/>
  <c r="C620" i="3" a="1"/>
  <c r="C620" i="3" s="1"/>
  <c r="I620" i="3" s="1"/>
  <c r="C621" i="3" a="1"/>
  <c r="C621" i="3" s="1"/>
  <c r="I621" i="3" s="1"/>
  <c r="C622" i="3" a="1"/>
  <c r="C622" i="3" s="1"/>
  <c r="I622" i="3" s="1"/>
  <c r="C623" i="3" a="1"/>
  <c r="C623" i="3" s="1"/>
  <c r="I623" i="3" s="1"/>
  <c r="C624" i="3" a="1"/>
  <c r="C624" i="3" s="1"/>
  <c r="I624" i="3" s="1"/>
  <c r="C625" i="3" a="1"/>
  <c r="C625" i="3" s="1"/>
  <c r="I625" i="3" s="1"/>
  <c r="C626" i="3" a="1"/>
  <c r="C626" i="3" s="1"/>
  <c r="I626" i="3" s="1"/>
  <c r="C627" i="3" a="1"/>
  <c r="C627" i="3" s="1"/>
  <c r="I627" i="3" s="1"/>
  <c r="C628" i="3" a="1"/>
  <c r="C628" i="3" s="1"/>
  <c r="I628" i="3" s="1"/>
  <c r="C629" i="3" a="1"/>
  <c r="C629" i="3" s="1"/>
  <c r="I629" i="3" s="1"/>
  <c r="C630" i="3" a="1"/>
  <c r="C630" i="3" s="1"/>
  <c r="I630" i="3" s="1"/>
  <c r="C631" i="3" a="1"/>
  <c r="C631" i="3" s="1"/>
  <c r="I631" i="3" s="1"/>
  <c r="C632" i="3" a="1"/>
  <c r="C632" i="3" s="1"/>
  <c r="I632" i="3" s="1"/>
  <c r="C633" i="3" a="1"/>
  <c r="C633" i="3" s="1"/>
  <c r="I633" i="3" s="1"/>
  <c r="C634" i="3" a="1"/>
  <c r="C634" i="3" s="1"/>
  <c r="I634" i="3" s="1"/>
  <c r="C635" i="3" a="1"/>
  <c r="C635" i="3" s="1"/>
  <c r="I635" i="3" s="1"/>
  <c r="C636" i="3" a="1"/>
  <c r="C636" i="3" s="1"/>
  <c r="I636" i="3" s="1"/>
  <c r="C637" i="3" a="1"/>
  <c r="C637" i="3" s="1"/>
  <c r="I637" i="3" s="1"/>
  <c r="C638" i="3" a="1"/>
  <c r="C638" i="3" s="1"/>
  <c r="I638" i="3" s="1"/>
  <c r="C639" i="3" a="1"/>
  <c r="C639" i="3" s="1"/>
  <c r="I639" i="3" s="1"/>
  <c r="C640" i="3" a="1"/>
  <c r="C640" i="3" s="1"/>
  <c r="I640" i="3" s="1"/>
  <c r="C641" i="3" a="1"/>
  <c r="C641" i="3" s="1"/>
  <c r="I641" i="3" s="1"/>
  <c r="C642" i="3" a="1"/>
  <c r="C642" i="3" s="1"/>
  <c r="I642" i="3" s="1"/>
  <c r="C643" i="3" a="1"/>
  <c r="C643" i="3" s="1"/>
  <c r="I643" i="3" s="1"/>
  <c r="C644" i="3" a="1"/>
  <c r="C644" i="3" s="1"/>
  <c r="I644" i="3" s="1"/>
  <c r="C645" i="3" a="1"/>
  <c r="C645" i="3" s="1"/>
  <c r="I645" i="3" s="1"/>
  <c r="C646" i="3" a="1"/>
  <c r="C646" i="3" s="1"/>
  <c r="I646" i="3" s="1"/>
  <c r="C647" i="3" a="1"/>
  <c r="C647" i="3" s="1"/>
  <c r="I647" i="3" s="1"/>
  <c r="C648" i="3" a="1"/>
  <c r="C648" i="3" s="1"/>
  <c r="I648" i="3" s="1"/>
  <c r="C649" i="3" a="1"/>
  <c r="C649" i="3" s="1"/>
  <c r="I649" i="3" s="1"/>
  <c r="C650" i="3" a="1"/>
  <c r="C650" i="3" s="1"/>
  <c r="I650" i="3" s="1"/>
  <c r="C651" i="3" a="1"/>
  <c r="C651" i="3" s="1"/>
  <c r="I651" i="3" s="1"/>
  <c r="C652" i="3" a="1"/>
  <c r="C652" i="3" s="1"/>
  <c r="I652" i="3" s="1"/>
  <c r="C653" i="3" a="1"/>
  <c r="C653" i="3" s="1"/>
  <c r="I653" i="3" s="1"/>
  <c r="C654" i="3" a="1"/>
  <c r="C654" i="3" s="1"/>
  <c r="I654" i="3" s="1"/>
  <c r="C655" i="3" a="1"/>
  <c r="C655" i="3" s="1"/>
  <c r="I655" i="3" s="1"/>
  <c r="C656" i="3" a="1"/>
  <c r="C656" i="3" s="1"/>
  <c r="I656" i="3" s="1"/>
  <c r="C657" i="3" a="1"/>
  <c r="C657" i="3" s="1"/>
  <c r="I657" i="3" s="1"/>
  <c r="C658" i="3" a="1"/>
  <c r="C658" i="3" s="1"/>
  <c r="I658" i="3" s="1"/>
  <c r="C659" i="3" a="1"/>
  <c r="C659" i="3" s="1"/>
  <c r="I659" i="3" s="1"/>
  <c r="C660" i="3" a="1"/>
  <c r="C660" i="3" s="1"/>
  <c r="I660" i="3" s="1"/>
  <c r="C661" i="3" a="1"/>
  <c r="C661" i="3" s="1"/>
  <c r="I661" i="3" s="1"/>
  <c r="C662" i="3" a="1"/>
  <c r="C662" i="3" s="1"/>
  <c r="I662" i="3" s="1"/>
  <c r="C663" i="3" a="1"/>
  <c r="C663" i="3" s="1"/>
  <c r="I663" i="3" s="1"/>
  <c r="C664" i="3" a="1"/>
  <c r="C664" i="3" s="1"/>
  <c r="I664" i="3" s="1"/>
  <c r="C665" i="3" a="1"/>
  <c r="C665" i="3" s="1"/>
  <c r="I665" i="3" s="1"/>
  <c r="C666" i="3" a="1"/>
  <c r="C666" i="3" s="1"/>
  <c r="I666" i="3" s="1"/>
  <c r="C667" i="3" a="1"/>
  <c r="C667" i="3" s="1"/>
  <c r="I667" i="3" s="1"/>
  <c r="C668" i="3" a="1"/>
  <c r="C668" i="3" s="1"/>
  <c r="I668" i="3" s="1"/>
  <c r="C669" i="3" a="1"/>
  <c r="C669" i="3" s="1"/>
  <c r="I669" i="3" s="1"/>
  <c r="C670" i="3" a="1"/>
  <c r="C670" i="3" s="1"/>
  <c r="I670" i="3" s="1"/>
  <c r="C671" i="3" a="1"/>
  <c r="C671" i="3" s="1"/>
  <c r="I671" i="3" s="1"/>
  <c r="C672" i="3" a="1"/>
  <c r="C672" i="3" s="1"/>
  <c r="I672" i="3" s="1"/>
  <c r="C673" i="3" a="1"/>
  <c r="C673" i="3" s="1"/>
  <c r="I673" i="3" s="1"/>
  <c r="C674" i="3" a="1"/>
  <c r="C674" i="3" s="1"/>
  <c r="I674" i="3" s="1"/>
  <c r="C675" i="3" a="1"/>
  <c r="C675" i="3" s="1"/>
  <c r="I675" i="3" s="1"/>
  <c r="C676" i="3" a="1"/>
  <c r="C676" i="3" s="1"/>
  <c r="I676" i="3" s="1"/>
  <c r="C677" i="3" a="1"/>
  <c r="C677" i="3" s="1"/>
  <c r="I677" i="3" s="1"/>
  <c r="C678" i="3" a="1"/>
  <c r="C678" i="3" s="1"/>
  <c r="I678" i="3" s="1"/>
  <c r="C679" i="3" a="1"/>
  <c r="C679" i="3" s="1"/>
  <c r="I679" i="3" s="1"/>
  <c r="C680" i="3" a="1"/>
  <c r="C680" i="3" s="1"/>
  <c r="I680" i="3" s="1"/>
  <c r="C681" i="3" a="1"/>
  <c r="C681" i="3" s="1"/>
  <c r="I681" i="3" s="1"/>
  <c r="C682" i="3" a="1"/>
  <c r="C682" i="3" s="1"/>
  <c r="I682" i="3" s="1"/>
  <c r="C683" i="3" a="1"/>
  <c r="C683" i="3" s="1"/>
  <c r="I683" i="3" s="1"/>
  <c r="C684" i="3" a="1"/>
  <c r="C684" i="3" s="1"/>
  <c r="I684" i="3" s="1"/>
  <c r="C685" i="3" a="1"/>
  <c r="C685" i="3" s="1"/>
  <c r="I685" i="3" s="1"/>
  <c r="C686" i="3" a="1"/>
  <c r="C686" i="3" s="1"/>
  <c r="I686" i="3" s="1"/>
  <c r="C687" i="3" a="1"/>
  <c r="C687" i="3" s="1"/>
  <c r="I687" i="3" s="1"/>
  <c r="C688" i="3" a="1"/>
  <c r="C688" i="3" s="1"/>
  <c r="I688" i="3" s="1"/>
  <c r="C689" i="3" a="1"/>
  <c r="C689" i="3" s="1"/>
  <c r="I689" i="3" s="1"/>
  <c r="C690" i="3" a="1"/>
  <c r="C690" i="3" s="1"/>
  <c r="I690" i="3" s="1"/>
  <c r="C691" i="3" a="1"/>
  <c r="C691" i="3" s="1"/>
  <c r="I691" i="3" s="1"/>
  <c r="C692" i="3" a="1"/>
  <c r="C692" i="3" s="1"/>
  <c r="I692" i="3" s="1"/>
  <c r="C693" i="3" a="1"/>
  <c r="C693" i="3" s="1"/>
  <c r="I693" i="3" s="1"/>
  <c r="C694" i="3" a="1"/>
  <c r="C694" i="3" s="1"/>
  <c r="I694" i="3" s="1"/>
  <c r="C695" i="3" a="1"/>
  <c r="C695" i="3" s="1"/>
  <c r="I695" i="3" s="1"/>
  <c r="C696" i="3" a="1"/>
  <c r="C696" i="3" s="1"/>
  <c r="I696" i="3" s="1"/>
  <c r="C697" i="3" a="1"/>
  <c r="C697" i="3" s="1"/>
  <c r="I697" i="3" s="1"/>
  <c r="C698" i="3" a="1"/>
  <c r="C698" i="3" s="1"/>
  <c r="I698" i="3" s="1"/>
  <c r="C699" i="3" a="1"/>
  <c r="C699" i="3" s="1"/>
  <c r="I699" i="3" s="1"/>
  <c r="C700" i="3" a="1"/>
  <c r="C700" i="3" s="1"/>
  <c r="I700" i="3" s="1"/>
  <c r="C701" i="3" a="1"/>
  <c r="C701" i="3" s="1"/>
  <c r="I701" i="3" s="1"/>
  <c r="C702" i="3" a="1"/>
  <c r="C702" i="3" s="1"/>
  <c r="I702" i="3" s="1"/>
  <c r="C703" i="3" a="1"/>
  <c r="C703" i="3" s="1"/>
  <c r="I703" i="3" s="1"/>
  <c r="C704" i="3" a="1"/>
  <c r="C704" i="3" s="1"/>
  <c r="I704" i="3" s="1"/>
  <c r="C705" i="3" a="1"/>
  <c r="C705" i="3" s="1"/>
  <c r="I705" i="3" s="1"/>
  <c r="C706" i="3" a="1"/>
  <c r="C706" i="3" s="1"/>
  <c r="I706" i="3" s="1"/>
  <c r="C707" i="3" a="1"/>
  <c r="C707" i="3" s="1"/>
  <c r="I707" i="3" s="1"/>
  <c r="C708" i="3" a="1"/>
  <c r="C708" i="3" s="1"/>
  <c r="I708" i="3" s="1"/>
  <c r="C709" i="3" a="1"/>
  <c r="C709" i="3" s="1"/>
  <c r="I709" i="3" s="1"/>
  <c r="C710" i="3" a="1"/>
  <c r="C710" i="3" s="1"/>
  <c r="I710" i="3" s="1"/>
  <c r="C711" i="3" a="1"/>
  <c r="C711" i="3" s="1"/>
  <c r="I711" i="3" s="1"/>
  <c r="C712" i="3" a="1"/>
  <c r="C712" i="3" s="1"/>
  <c r="I712" i="3" s="1"/>
  <c r="C713" i="3" a="1"/>
  <c r="C713" i="3" s="1"/>
  <c r="I713" i="3" s="1"/>
  <c r="C714" i="3" a="1"/>
  <c r="C714" i="3" s="1"/>
  <c r="I714" i="3" s="1"/>
  <c r="C715" i="3" a="1"/>
  <c r="C715" i="3" s="1"/>
  <c r="I715" i="3" s="1"/>
  <c r="C716" i="3" a="1"/>
  <c r="C716" i="3" s="1"/>
  <c r="I716" i="3" s="1"/>
  <c r="C717" i="3" a="1"/>
  <c r="C717" i="3" s="1"/>
  <c r="I717" i="3" s="1"/>
  <c r="C718" i="3" a="1"/>
  <c r="C718" i="3" s="1"/>
  <c r="I718" i="3" s="1"/>
  <c r="C719" i="3" a="1"/>
  <c r="C719" i="3" s="1"/>
  <c r="I719" i="3" s="1"/>
  <c r="C720" i="3" a="1"/>
  <c r="C720" i="3" s="1"/>
  <c r="I720" i="3" s="1"/>
  <c r="C721" i="3" a="1"/>
  <c r="C721" i="3" s="1"/>
  <c r="I721" i="3" s="1"/>
  <c r="C722" i="3" a="1"/>
  <c r="C722" i="3" s="1"/>
  <c r="I722" i="3" s="1"/>
  <c r="C723" i="3" a="1"/>
  <c r="C723" i="3" s="1"/>
  <c r="I723" i="3" s="1"/>
  <c r="C724" i="3" a="1"/>
  <c r="C724" i="3" s="1"/>
  <c r="I724" i="3" s="1"/>
  <c r="C725" i="3" a="1"/>
  <c r="C725" i="3" s="1"/>
  <c r="I725" i="3" s="1"/>
  <c r="C726" i="3" a="1"/>
  <c r="C726" i="3" s="1"/>
  <c r="I726" i="3" s="1"/>
  <c r="C727" i="3" a="1"/>
  <c r="C727" i="3" s="1"/>
  <c r="I727" i="3" s="1"/>
  <c r="C728" i="3" a="1"/>
  <c r="C728" i="3" s="1"/>
  <c r="I728" i="3" s="1"/>
  <c r="C729" i="3" a="1"/>
  <c r="C729" i="3" s="1"/>
  <c r="I729" i="3" s="1"/>
  <c r="C730" i="3" a="1"/>
  <c r="C730" i="3" s="1"/>
  <c r="I730" i="3" s="1"/>
  <c r="C731" i="3" a="1"/>
  <c r="C731" i="3" s="1"/>
  <c r="I731" i="3" s="1"/>
  <c r="C732" i="3" a="1"/>
  <c r="C732" i="3" s="1"/>
  <c r="I732" i="3" s="1"/>
  <c r="C733" i="3" a="1"/>
  <c r="C733" i="3" s="1"/>
  <c r="I733" i="3" s="1"/>
  <c r="C734" i="3" a="1"/>
  <c r="C734" i="3" s="1"/>
  <c r="I734" i="3" s="1"/>
  <c r="C735" i="3" a="1"/>
  <c r="C735" i="3" s="1"/>
  <c r="I735" i="3" s="1"/>
  <c r="C736" i="3" a="1"/>
  <c r="C736" i="3" s="1"/>
  <c r="I736" i="3" s="1"/>
  <c r="C737" i="3" a="1"/>
  <c r="C737" i="3" s="1"/>
  <c r="I737" i="3" s="1"/>
  <c r="C738" i="3" a="1"/>
  <c r="C738" i="3" s="1"/>
  <c r="I738" i="3" s="1"/>
  <c r="C739" i="3" a="1"/>
  <c r="C739" i="3" s="1"/>
  <c r="I739" i="3" s="1"/>
  <c r="C740" i="3" a="1"/>
  <c r="C740" i="3" s="1"/>
  <c r="I740" i="3" s="1"/>
  <c r="C741" i="3" a="1"/>
  <c r="C741" i="3" s="1"/>
  <c r="I741" i="3" s="1"/>
  <c r="C742" i="3" a="1"/>
  <c r="C742" i="3" s="1"/>
  <c r="I742" i="3" s="1"/>
  <c r="C743" i="3" a="1"/>
  <c r="C743" i="3" s="1"/>
  <c r="I743" i="3" s="1"/>
  <c r="C744" i="3" a="1"/>
  <c r="C744" i="3" s="1"/>
  <c r="I744" i="3" s="1"/>
  <c r="C745" i="3" a="1"/>
  <c r="C745" i="3" s="1"/>
  <c r="I745" i="3" s="1"/>
  <c r="C746" i="3" a="1"/>
  <c r="C746" i="3" s="1"/>
  <c r="I746" i="3" s="1"/>
  <c r="C747" i="3" a="1"/>
  <c r="C747" i="3" s="1"/>
  <c r="I747" i="3" s="1"/>
  <c r="C748" i="3" a="1"/>
  <c r="C748" i="3" s="1"/>
  <c r="I748" i="3" s="1"/>
  <c r="C749" i="3" a="1"/>
  <c r="C749" i="3" s="1"/>
  <c r="I749" i="3" s="1"/>
  <c r="C750" i="3" a="1"/>
  <c r="C750" i="3" s="1"/>
  <c r="I750" i="3" s="1"/>
  <c r="C751" i="3" a="1"/>
  <c r="C751" i="3" s="1"/>
  <c r="I751" i="3" s="1"/>
  <c r="C752" i="3" a="1"/>
  <c r="C752" i="3" s="1"/>
  <c r="I752" i="3" s="1"/>
  <c r="C753" i="3" a="1"/>
  <c r="C753" i="3" s="1"/>
  <c r="I753" i="3" s="1"/>
  <c r="C754" i="3" a="1"/>
  <c r="C754" i="3" s="1"/>
  <c r="I754" i="3" s="1"/>
  <c r="C755" i="3" a="1"/>
  <c r="C755" i="3" s="1"/>
  <c r="I755" i="3" s="1"/>
  <c r="C756" i="3" a="1"/>
  <c r="C756" i="3" s="1"/>
  <c r="I756" i="3" s="1"/>
  <c r="C757" i="3" a="1"/>
  <c r="C757" i="3" s="1"/>
  <c r="I757" i="3" s="1"/>
  <c r="C758" i="3" a="1"/>
  <c r="C758" i="3" s="1"/>
  <c r="I758" i="3" s="1"/>
  <c r="C759" i="3" a="1"/>
  <c r="C759" i="3" s="1"/>
  <c r="I759" i="3" s="1"/>
  <c r="C760" i="3" a="1"/>
  <c r="C760" i="3" s="1"/>
  <c r="I760" i="3" s="1"/>
  <c r="C761" i="3" a="1"/>
  <c r="C761" i="3" s="1"/>
  <c r="I761" i="3" s="1"/>
  <c r="C762" i="3" a="1"/>
  <c r="C762" i="3" s="1"/>
  <c r="I762" i="3" s="1"/>
  <c r="C763" i="3" a="1"/>
  <c r="C763" i="3" s="1"/>
  <c r="I763" i="3" s="1"/>
  <c r="C764" i="3" a="1"/>
  <c r="C764" i="3" s="1"/>
  <c r="I764" i="3" s="1"/>
  <c r="C765" i="3" a="1"/>
  <c r="C765" i="3" s="1"/>
  <c r="I765" i="3" s="1"/>
  <c r="C766" i="3" a="1"/>
  <c r="C766" i="3" s="1"/>
  <c r="I766" i="3" s="1"/>
  <c r="C767" i="3" a="1"/>
  <c r="C767" i="3" s="1"/>
  <c r="I767" i="3" s="1"/>
  <c r="C768" i="3" a="1"/>
  <c r="C768" i="3" s="1"/>
  <c r="I768" i="3" s="1"/>
  <c r="C769" i="3" a="1"/>
  <c r="C769" i="3" s="1"/>
  <c r="I769" i="3" s="1"/>
  <c r="C770" i="3" a="1"/>
  <c r="C770" i="3" s="1"/>
  <c r="I770" i="3" s="1"/>
  <c r="C771" i="3" a="1"/>
  <c r="C771" i="3" s="1"/>
  <c r="I771" i="3" s="1"/>
  <c r="C772" i="3" a="1"/>
  <c r="C772" i="3" s="1"/>
  <c r="I772" i="3" s="1"/>
  <c r="C773" i="3" a="1"/>
  <c r="C773" i="3" s="1"/>
  <c r="I773" i="3" s="1"/>
  <c r="C774" i="3" a="1"/>
  <c r="C774" i="3" s="1"/>
  <c r="I774" i="3" s="1"/>
  <c r="C775" i="3" a="1"/>
  <c r="C775" i="3" s="1"/>
  <c r="I775" i="3" s="1"/>
  <c r="C776" i="3" a="1"/>
  <c r="C776" i="3" s="1"/>
  <c r="I776" i="3" s="1"/>
  <c r="C777" i="3" a="1"/>
  <c r="C777" i="3" s="1"/>
  <c r="I777" i="3" s="1"/>
  <c r="C778" i="3" a="1"/>
  <c r="C778" i="3" s="1"/>
  <c r="I778" i="3" s="1"/>
  <c r="C779" i="3" a="1"/>
  <c r="C779" i="3" s="1"/>
  <c r="I779" i="3" s="1"/>
  <c r="C780" i="3" a="1"/>
  <c r="C780" i="3" s="1"/>
  <c r="I780" i="3" s="1"/>
  <c r="C781" i="3" a="1"/>
  <c r="C781" i="3" s="1"/>
  <c r="I781" i="3" s="1"/>
  <c r="C782" i="3" a="1"/>
  <c r="C782" i="3" s="1"/>
  <c r="I782" i="3" s="1"/>
  <c r="C783" i="3" a="1"/>
  <c r="C783" i="3" s="1"/>
  <c r="I783" i="3" s="1"/>
  <c r="C784" i="3" a="1"/>
  <c r="C784" i="3" s="1"/>
  <c r="I784" i="3" s="1"/>
  <c r="C785" i="3" a="1"/>
  <c r="C785" i="3" s="1"/>
  <c r="I785" i="3" s="1"/>
  <c r="C786" i="3" a="1"/>
  <c r="C786" i="3" s="1"/>
  <c r="I786" i="3" s="1"/>
  <c r="C787" i="3" a="1"/>
  <c r="C787" i="3" s="1"/>
  <c r="I787" i="3" s="1"/>
  <c r="C788" i="3" a="1"/>
  <c r="C788" i="3" s="1"/>
  <c r="I788" i="3" s="1"/>
  <c r="C789" i="3" a="1"/>
  <c r="C789" i="3" s="1"/>
  <c r="I789" i="3" s="1"/>
  <c r="C790" i="3" a="1"/>
  <c r="C790" i="3" s="1"/>
  <c r="I790" i="3" s="1"/>
  <c r="C791" i="3" a="1"/>
  <c r="C791" i="3" s="1"/>
  <c r="I791" i="3" s="1"/>
  <c r="C792" i="3" a="1"/>
  <c r="C792" i="3" s="1"/>
  <c r="I792" i="3" s="1"/>
  <c r="C793" i="3" a="1"/>
  <c r="C793" i="3" s="1"/>
  <c r="I793" i="3" s="1"/>
  <c r="C794" i="3" a="1"/>
  <c r="C794" i="3" s="1"/>
  <c r="I794" i="3" s="1"/>
  <c r="C795" i="3" a="1"/>
  <c r="C795" i="3" s="1"/>
  <c r="I795" i="3" s="1"/>
  <c r="C796" i="3" a="1"/>
  <c r="C796" i="3" s="1"/>
  <c r="I796" i="3" s="1"/>
  <c r="C797" i="3" a="1"/>
  <c r="C797" i="3" s="1"/>
  <c r="I797" i="3" s="1"/>
  <c r="C798" i="3" a="1"/>
  <c r="C798" i="3" s="1"/>
  <c r="I798" i="3" s="1"/>
  <c r="C799" i="3" a="1"/>
  <c r="C799" i="3" s="1"/>
  <c r="I799" i="3" s="1"/>
  <c r="C800" i="3" a="1"/>
  <c r="C800" i="3" s="1"/>
  <c r="I800" i="3" s="1"/>
  <c r="C801" i="3" a="1"/>
  <c r="C801" i="3" s="1"/>
  <c r="I801" i="3" s="1"/>
  <c r="C802" i="3" a="1"/>
  <c r="C802" i="3" s="1"/>
  <c r="I802" i="3" s="1"/>
  <c r="C803" i="3" a="1"/>
  <c r="C803" i="3" s="1"/>
  <c r="I803" i="3" s="1"/>
  <c r="C804" i="3" a="1"/>
  <c r="C804" i="3" s="1"/>
  <c r="I804" i="3" s="1"/>
  <c r="C805" i="3" a="1"/>
  <c r="C805" i="3" s="1"/>
  <c r="I805" i="3" s="1"/>
  <c r="C806" i="3" a="1"/>
  <c r="C806" i="3" s="1"/>
  <c r="I806" i="3" s="1"/>
  <c r="C807" i="3" a="1"/>
  <c r="C807" i="3" s="1"/>
  <c r="I807" i="3" s="1"/>
  <c r="C808" i="3" a="1"/>
  <c r="C808" i="3" s="1"/>
  <c r="I808" i="3" s="1"/>
  <c r="C809" i="3" a="1"/>
  <c r="C809" i="3" s="1"/>
  <c r="I809" i="3" s="1"/>
  <c r="C810" i="3" a="1"/>
  <c r="C810" i="3" s="1"/>
  <c r="I810" i="3" s="1"/>
  <c r="C811" i="3" a="1"/>
  <c r="C811" i="3" s="1"/>
  <c r="I811" i="3" s="1"/>
  <c r="C812" i="3" a="1"/>
  <c r="C812" i="3" s="1"/>
  <c r="I812" i="3" s="1"/>
  <c r="C813" i="3" a="1"/>
  <c r="C813" i="3" s="1"/>
  <c r="I813" i="3" s="1"/>
  <c r="C814" i="3" a="1"/>
  <c r="C814" i="3" s="1"/>
  <c r="I814" i="3" s="1"/>
  <c r="C815" i="3" a="1"/>
  <c r="C815" i="3" s="1"/>
  <c r="I815" i="3" s="1"/>
  <c r="C816" i="3" a="1"/>
  <c r="C816" i="3" s="1"/>
  <c r="I816" i="3" s="1"/>
  <c r="C817" i="3" a="1"/>
  <c r="C817" i="3" s="1"/>
  <c r="I817" i="3" s="1"/>
  <c r="C818" i="3" a="1"/>
  <c r="C818" i="3" s="1"/>
  <c r="I818" i="3" s="1"/>
  <c r="C819" i="3" a="1"/>
  <c r="C819" i="3" s="1"/>
  <c r="I819" i="3" s="1"/>
  <c r="C820" i="3" a="1"/>
  <c r="C820" i="3" s="1"/>
  <c r="I820" i="3" s="1"/>
  <c r="C821" i="3" a="1"/>
  <c r="C821" i="3" s="1"/>
  <c r="I821" i="3" s="1"/>
  <c r="C822" i="3" a="1"/>
  <c r="C822" i="3" s="1"/>
  <c r="I822" i="3" s="1"/>
  <c r="C823" i="3" a="1"/>
  <c r="C823" i="3" s="1"/>
  <c r="I823" i="3" s="1"/>
  <c r="C824" i="3" a="1"/>
  <c r="C824" i="3" s="1"/>
  <c r="I824" i="3" s="1"/>
  <c r="C825" i="3" a="1"/>
  <c r="C825" i="3" s="1"/>
  <c r="I825" i="3" s="1"/>
  <c r="C826" i="3" a="1"/>
  <c r="C826" i="3" s="1"/>
  <c r="I826" i="3" s="1"/>
  <c r="C827" i="3" a="1"/>
  <c r="C827" i="3" s="1"/>
  <c r="I827" i="3" s="1"/>
  <c r="C828" i="3" a="1"/>
  <c r="C828" i="3" s="1"/>
  <c r="I828" i="3" s="1"/>
  <c r="C829" i="3" a="1"/>
  <c r="C829" i="3" s="1"/>
  <c r="I829" i="3" s="1"/>
  <c r="C830" i="3" a="1"/>
  <c r="C830" i="3" s="1"/>
  <c r="I830" i="3" s="1"/>
  <c r="C831" i="3" a="1"/>
  <c r="C831" i="3" s="1"/>
  <c r="I831" i="3" s="1"/>
  <c r="C832" i="3" a="1"/>
  <c r="C832" i="3" s="1"/>
  <c r="I832" i="3" s="1"/>
  <c r="C833" i="3" a="1"/>
  <c r="C833" i="3" s="1"/>
  <c r="I833" i="3" s="1"/>
  <c r="C834" i="3" a="1"/>
  <c r="C834" i="3" s="1"/>
  <c r="I834" i="3" s="1"/>
  <c r="C835" i="3" a="1"/>
  <c r="C835" i="3" s="1"/>
  <c r="I835" i="3" s="1"/>
  <c r="C836" i="3" a="1"/>
  <c r="C836" i="3" s="1"/>
  <c r="I836" i="3" s="1"/>
  <c r="C837" i="3" a="1"/>
  <c r="C837" i="3" s="1"/>
  <c r="I837" i="3" s="1"/>
  <c r="C838" i="3" a="1"/>
  <c r="C838" i="3" s="1"/>
  <c r="I838" i="3" s="1"/>
  <c r="C839" i="3" a="1"/>
  <c r="C839" i="3" s="1"/>
  <c r="I839" i="3" s="1"/>
  <c r="C840" i="3" a="1"/>
  <c r="C840" i="3" s="1"/>
  <c r="I840" i="3" s="1"/>
  <c r="C841" i="3" a="1"/>
  <c r="C841" i="3" s="1"/>
  <c r="I841" i="3" s="1"/>
  <c r="C842" i="3" a="1"/>
  <c r="C842" i="3" s="1"/>
  <c r="I842" i="3" s="1"/>
  <c r="C843" i="3" a="1"/>
  <c r="C843" i="3" s="1"/>
  <c r="I843" i="3" s="1"/>
  <c r="C844" i="3" a="1"/>
  <c r="C844" i="3" s="1"/>
  <c r="I844" i="3" s="1"/>
  <c r="C845" i="3" a="1"/>
  <c r="C845" i="3" s="1"/>
  <c r="I845" i="3" s="1"/>
  <c r="C846" i="3" a="1"/>
  <c r="C846" i="3" s="1"/>
  <c r="I846" i="3" s="1"/>
  <c r="C847" i="3" a="1"/>
  <c r="C847" i="3" s="1"/>
  <c r="I847" i="3" s="1"/>
  <c r="C848" i="3" a="1"/>
  <c r="C848" i="3" s="1"/>
  <c r="I848" i="3" s="1"/>
  <c r="C849" i="3" a="1"/>
  <c r="C849" i="3" s="1"/>
  <c r="I849" i="3" s="1"/>
  <c r="C850" i="3" a="1"/>
  <c r="C850" i="3" s="1"/>
  <c r="I850" i="3" s="1"/>
  <c r="C851" i="3" a="1"/>
  <c r="C851" i="3" s="1"/>
  <c r="I851" i="3" s="1"/>
  <c r="C852" i="3" a="1"/>
  <c r="C852" i="3" s="1"/>
  <c r="I852" i="3" s="1"/>
  <c r="C853" i="3" a="1"/>
  <c r="C853" i="3" s="1"/>
  <c r="I853" i="3" s="1"/>
  <c r="C854" i="3" a="1"/>
  <c r="C854" i="3" s="1"/>
  <c r="I854" i="3" s="1"/>
  <c r="C855" i="3" a="1"/>
  <c r="C855" i="3" s="1"/>
  <c r="I855" i="3" s="1"/>
  <c r="C856" i="3" a="1"/>
  <c r="C856" i="3" s="1"/>
  <c r="I856" i="3" s="1"/>
  <c r="C857" i="3" a="1"/>
  <c r="C857" i="3" s="1"/>
  <c r="I857" i="3" s="1"/>
  <c r="C858" i="3" a="1"/>
  <c r="C858" i="3" s="1"/>
  <c r="I858" i="3" s="1"/>
  <c r="C859" i="3" a="1"/>
  <c r="C859" i="3" s="1"/>
  <c r="I859" i="3" s="1"/>
  <c r="C860" i="3" a="1"/>
  <c r="C860" i="3" s="1"/>
  <c r="I860" i="3" s="1"/>
  <c r="C861" i="3" a="1"/>
  <c r="C861" i="3" s="1"/>
  <c r="I861" i="3" s="1"/>
  <c r="C862" i="3" a="1"/>
  <c r="C862" i="3" s="1"/>
  <c r="I862" i="3" s="1"/>
  <c r="C863" i="3" a="1"/>
  <c r="C863" i="3" s="1"/>
  <c r="I863" i="3" s="1"/>
  <c r="C864" i="3" a="1"/>
  <c r="C864" i="3" s="1"/>
  <c r="I864" i="3" s="1"/>
  <c r="C865" i="3" a="1"/>
  <c r="C865" i="3" s="1"/>
  <c r="I865" i="3" s="1"/>
  <c r="C866" i="3" a="1"/>
  <c r="C866" i="3" s="1"/>
  <c r="I866" i="3" s="1"/>
  <c r="C867" i="3" a="1"/>
  <c r="C867" i="3" s="1"/>
  <c r="I867" i="3" s="1"/>
  <c r="C868" i="3" a="1"/>
  <c r="C868" i="3" s="1"/>
  <c r="I868" i="3" s="1"/>
  <c r="C869" i="3" a="1"/>
  <c r="C869" i="3" s="1"/>
  <c r="I869" i="3" s="1"/>
  <c r="C870" i="3" a="1"/>
  <c r="C870" i="3" s="1"/>
  <c r="I870" i="3" s="1"/>
  <c r="C871" i="3" a="1"/>
  <c r="C871" i="3" s="1"/>
  <c r="I871" i="3" s="1"/>
  <c r="C872" i="3" a="1"/>
  <c r="C872" i="3" s="1"/>
  <c r="I872" i="3" s="1"/>
  <c r="C873" i="3" a="1"/>
  <c r="C873" i="3" s="1"/>
  <c r="I873" i="3" s="1"/>
  <c r="C874" i="3" a="1"/>
  <c r="C874" i="3" s="1"/>
  <c r="I874" i="3" s="1"/>
  <c r="C875" i="3" a="1"/>
  <c r="C875" i="3" s="1"/>
  <c r="I875" i="3" s="1"/>
  <c r="C876" i="3" a="1"/>
  <c r="C876" i="3" s="1"/>
  <c r="I876" i="3" s="1"/>
  <c r="C877" i="3" a="1"/>
  <c r="C877" i="3" s="1"/>
  <c r="I877" i="3" s="1"/>
  <c r="C878" i="3" a="1"/>
  <c r="C878" i="3" s="1"/>
  <c r="I878" i="3" s="1"/>
  <c r="C879" i="3" a="1"/>
  <c r="C879" i="3" s="1"/>
  <c r="I879" i="3" s="1"/>
  <c r="C880" i="3" a="1"/>
  <c r="C880" i="3" s="1"/>
  <c r="I880" i="3" s="1"/>
  <c r="C881" i="3" a="1"/>
  <c r="C881" i="3" s="1"/>
  <c r="I881" i="3" s="1"/>
  <c r="C882" i="3" a="1"/>
  <c r="C882" i="3" s="1"/>
  <c r="I882" i="3" s="1"/>
  <c r="C883" i="3" a="1"/>
  <c r="C883" i="3" s="1"/>
  <c r="I883" i="3" s="1"/>
  <c r="C884" i="3" a="1"/>
  <c r="C884" i="3" s="1"/>
  <c r="I884" i="3" s="1"/>
  <c r="C885" i="3" a="1"/>
  <c r="C885" i="3" s="1"/>
  <c r="I885" i="3" s="1"/>
  <c r="C886" i="3" a="1"/>
  <c r="C886" i="3" s="1"/>
  <c r="I886" i="3" s="1"/>
  <c r="C887" i="3" a="1"/>
  <c r="C887" i="3" s="1"/>
  <c r="I887" i="3" s="1"/>
  <c r="C888" i="3" a="1"/>
  <c r="C888" i="3" s="1"/>
  <c r="I888" i="3" s="1"/>
  <c r="C889" i="3" a="1"/>
  <c r="C889" i="3" s="1"/>
  <c r="I889" i="3" s="1"/>
  <c r="C890" i="3" a="1"/>
  <c r="C890" i="3" s="1"/>
  <c r="I890" i="3" s="1"/>
  <c r="C891" i="3" a="1"/>
  <c r="C891" i="3" s="1"/>
  <c r="I891" i="3" s="1"/>
  <c r="C892" i="3" a="1"/>
  <c r="C892" i="3" s="1"/>
  <c r="I892" i="3" s="1"/>
  <c r="C893" i="3" a="1"/>
  <c r="C893" i="3" s="1"/>
  <c r="I893" i="3" s="1"/>
  <c r="C894" i="3" a="1"/>
  <c r="C894" i="3" s="1"/>
  <c r="I894" i="3" s="1"/>
  <c r="C895" i="3" a="1"/>
  <c r="C895" i="3" s="1"/>
  <c r="I895" i="3" s="1"/>
  <c r="C896" i="3" a="1"/>
  <c r="C896" i="3" s="1"/>
  <c r="I896" i="3" s="1"/>
  <c r="C897" i="3" a="1"/>
  <c r="C897" i="3" s="1"/>
  <c r="I897" i="3" s="1"/>
  <c r="C898" i="3" a="1"/>
  <c r="C898" i="3" s="1"/>
  <c r="I898" i="3" s="1"/>
  <c r="C899" i="3" a="1"/>
  <c r="C899" i="3" s="1"/>
  <c r="I899" i="3" s="1"/>
  <c r="C900" i="3" a="1"/>
  <c r="C900" i="3" s="1"/>
  <c r="I900" i="3" s="1"/>
  <c r="C901" i="3" a="1"/>
  <c r="C901" i="3" s="1"/>
  <c r="I901" i="3" s="1"/>
  <c r="C902" i="3" a="1"/>
  <c r="C902" i="3" s="1"/>
  <c r="I902" i="3" s="1"/>
  <c r="C903" i="3" a="1"/>
  <c r="C903" i="3" s="1"/>
  <c r="I903" i="3" s="1"/>
  <c r="C904" i="3" a="1"/>
  <c r="C904" i="3" s="1"/>
  <c r="I904" i="3" s="1"/>
  <c r="C905" i="3" a="1"/>
  <c r="C905" i="3" s="1"/>
  <c r="I905" i="3" s="1"/>
  <c r="C906" i="3" a="1"/>
  <c r="C906" i="3" s="1"/>
  <c r="I906" i="3" s="1"/>
  <c r="C907" i="3" a="1"/>
  <c r="C907" i="3" s="1"/>
  <c r="I907" i="3" s="1"/>
  <c r="C908" i="3" a="1"/>
  <c r="C908" i="3" s="1"/>
  <c r="I908" i="3" s="1"/>
  <c r="C909" i="3" a="1"/>
  <c r="C909" i="3" s="1"/>
  <c r="I909" i="3" s="1"/>
  <c r="C910" i="3" a="1"/>
  <c r="C910" i="3" s="1"/>
  <c r="I910" i="3" s="1"/>
  <c r="C911" i="3" a="1"/>
  <c r="C911" i="3" s="1"/>
  <c r="I911" i="3" s="1"/>
  <c r="C912" i="3" a="1"/>
  <c r="C912" i="3" s="1"/>
  <c r="I912" i="3" s="1"/>
  <c r="C913" i="3" a="1"/>
  <c r="C913" i="3" s="1"/>
  <c r="I913" i="3" s="1"/>
  <c r="C914" i="3" a="1"/>
  <c r="C914" i="3" s="1"/>
  <c r="I914" i="3" s="1"/>
  <c r="C915" i="3" a="1"/>
  <c r="C915" i="3" s="1"/>
  <c r="I915" i="3" s="1"/>
  <c r="C916" i="3" a="1"/>
  <c r="C916" i="3" s="1"/>
  <c r="I916" i="3" s="1"/>
  <c r="C917" i="3" a="1"/>
  <c r="C917" i="3" s="1"/>
  <c r="I917" i="3" s="1"/>
  <c r="C918" i="3" a="1"/>
  <c r="C918" i="3" s="1"/>
  <c r="I918" i="3" s="1"/>
  <c r="C919" i="3" a="1"/>
  <c r="C919" i="3" s="1"/>
  <c r="I919" i="3" s="1"/>
  <c r="C920" i="3" a="1"/>
  <c r="C920" i="3" s="1"/>
  <c r="I920" i="3" s="1"/>
  <c r="C921" i="3" a="1"/>
  <c r="C921" i="3" s="1"/>
  <c r="I921" i="3" s="1"/>
  <c r="C922" i="3" a="1"/>
  <c r="C922" i="3" s="1"/>
  <c r="I922" i="3" s="1"/>
  <c r="C923" i="3" a="1"/>
  <c r="C923" i="3" s="1"/>
  <c r="I923" i="3" s="1"/>
  <c r="C924" i="3" a="1"/>
  <c r="C924" i="3" s="1"/>
  <c r="I924" i="3" s="1"/>
  <c r="C925" i="3" a="1"/>
  <c r="C925" i="3" s="1"/>
  <c r="I925" i="3" s="1"/>
  <c r="C926" i="3" a="1"/>
  <c r="C926" i="3" s="1"/>
  <c r="I926" i="3" s="1"/>
  <c r="C927" i="3" a="1"/>
  <c r="C927" i="3" s="1"/>
  <c r="I927" i="3" s="1"/>
  <c r="C928" i="3" a="1"/>
  <c r="C928" i="3" s="1"/>
  <c r="I928" i="3" s="1"/>
  <c r="C929" i="3" a="1"/>
  <c r="C929" i="3" s="1"/>
  <c r="I929" i="3" s="1"/>
  <c r="C930" i="3" a="1"/>
  <c r="C930" i="3" s="1"/>
  <c r="I930" i="3" s="1"/>
  <c r="C931" i="3" a="1"/>
  <c r="C931" i="3" s="1"/>
  <c r="I931" i="3" s="1"/>
  <c r="C932" i="3" a="1"/>
  <c r="C932" i="3" s="1"/>
  <c r="I932" i="3" s="1"/>
  <c r="C933" i="3" a="1"/>
  <c r="C933" i="3" s="1"/>
  <c r="I933" i="3" s="1"/>
  <c r="C934" i="3" a="1"/>
  <c r="C934" i="3" s="1"/>
  <c r="I934" i="3" s="1"/>
  <c r="C935" i="3" a="1"/>
  <c r="C935" i="3" s="1"/>
  <c r="I935" i="3" s="1"/>
  <c r="C936" i="3" a="1"/>
  <c r="C936" i="3" s="1"/>
  <c r="I936" i="3" s="1"/>
  <c r="C937" i="3" a="1"/>
  <c r="C937" i="3" s="1"/>
  <c r="I937" i="3" s="1"/>
  <c r="C938" i="3" a="1"/>
  <c r="C938" i="3" s="1"/>
  <c r="I938" i="3" s="1"/>
  <c r="C939" i="3" a="1"/>
  <c r="C939" i="3" s="1"/>
  <c r="I939" i="3" s="1"/>
  <c r="C940" i="3" a="1"/>
  <c r="C940" i="3" s="1"/>
  <c r="I940" i="3" s="1"/>
  <c r="C941" i="3" a="1"/>
  <c r="C941" i="3" s="1"/>
  <c r="I941" i="3" s="1"/>
  <c r="C942" i="3" a="1"/>
  <c r="C942" i="3" s="1"/>
  <c r="I942" i="3" s="1"/>
  <c r="C943" i="3" a="1"/>
  <c r="C943" i="3" s="1"/>
  <c r="I943" i="3" s="1"/>
  <c r="C944" i="3" a="1"/>
  <c r="C944" i="3" s="1"/>
  <c r="I944" i="3" s="1"/>
  <c r="C945" i="3" a="1"/>
  <c r="C945" i="3" s="1"/>
  <c r="I945" i="3" s="1"/>
  <c r="C946" i="3" a="1"/>
  <c r="C946" i="3" s="1"/>
  <c r="I946" i="3" s="1"/>
  <c r="C947" i="3" a="1"/>
  <c r="C947" i="3" s="1"/>
  <c r="I947" i="3" s="1"/>
  <c r="C948" i="3" a="1"/>
  <c r="C948" i="3" s="1"/>
  <c r="I948" i="3" s="1"/>
  <c r="C949" i="3" a="1"/>
  <c r="C949" i="3" s="1"/>
  <c r="I949" i="3" s="1"/>
  <c r="C950" i="3" a="1"/>
  <c r="C950" i="3" s="1"/>
  <c r="I950" i="3" s="1"/>
  <c r="C951" i="3" a="1"/>
  <c r="C951" i="3" s="1"/>
  <c r="I951" i="3" s="1"/>
  <c r="C952" i="3" a="1"/>
  <c r="C952" i="3" s="1"/>
  <c r="I952" i="3" s="1"/>
  <c r="C953" i="3" a="1"/>
  <c r="C953" i="3" s="1"/>
  <c r="I953" i="3" s="1"/>
  <c r="C954" i="3" a="1"/>
  <c r="C954" i="3" s="1"/>
  <c r="I954" i="3" s="1"/>
  <c r="C955" i="3" a="1"/>
  <c r="C955" i="3" s="1"/>
  <c r="I955" i="3" s="1"/>
  <c r="C956" i="3" a="1"/>
  <c r="C956" i="3" s="1"/>
  <c r="I956" i="3" s="1"/>
  <c r="C957" i="3" a="1"/>
  <c r="C957" i="3" s="1"/>
  <c r="I957" i="3" s="1"/>
  <c r="C958" i="3" a="1"/>
  <c r="C958" i="3" s="1"/>
  <c r="I958" i="3" s="1"/>
  <c r="C959" i="3" a="1"/>
  <c r="C959" i="3" s="1"/>
  <c r="I959" i="3" s="1"/>
  <c r="C960" i="3" a="1"/>
  <c r="C960" i="3" s="1"/>
  <c r="I960" i="3" s="1"/>
  <c r="C961" i="3" a="1"/>
  <c r="C961" i="3" s="1"/>
  <c r="I961" i="3" s="1"/>
  <c r="C962" i="3" a="1"/>
  <c r="C962" i="3" s="1"/>
  <c r="I962" i="3" s="1"/>
  <c r="C963" i="3" a="1"/>
  <c r="C963" i="3" s="1"/>
  <c r="I963" i="3" s="1"/>
  <c r="C964" i="3" a="1"/>
  <c r="C964" i="3" s="1"/>
  <c r="I964" i="3" s="1"/>
  <c r="C965" i="3" a="1"/>
  <c r="C965" i="3" s="1"/>
  <c r="I965" i="3" s="1"/>
  <c r="C966" i="3" a="1"/>
  <c r="C966" i="3" s="1"/>
  <c r="I966" i="3" s="1"/>
  <c r="C967" i="3" a="1"/>
  <c r="C967" i="3" s="1"/>
  <c r="I967" i="3" s="1"/>
  <c r="C968" i="3" a="1"/>
  <c r="C968" i="3" s="1"/>
  <c r="I968" i="3" s="1"/>
  <c r="C969" i="3" a="1"/>
  <c r="C969" i="3" s="1"/>
  <c r="I969" i="3" s="1"/>
  <c r="C970" i="3" a="1"/>
  <c r="C970" i="3" s="1"/>
  <c r="I970" i="3" s="1"/>
  <c r="C971" i="3" a="1"/>
  <c r="C971" i="3" s="1"/>
  <c r="I971" i="3" s="1"/>
  <c r="C972" i="3" a="1"/>
  <c r="C972" i="3" s="1"/>
  <c r="I972" i="3" s="1"/>
  <c r="C973" i="3" a="1"/>
  <c r="C973" i="3" s="1"/>
  <c r="I973" i="3" s="1"/>
  <c r="C974" i="3" a="1"/>
  <c r="C974" i="3" s="1"/>
  <c r="I974" i="3" s="1"/>
  <c r="C975" i="3" a="1"/>
  <c r="C975" i="3" s="1"/>
  <c r="I975" i="3" s="1"/>
  <c r="C976" i="3" a="1"/>
  <c r="C976" i="3" s="1"/>
  <c r="I976" i="3" s="1"/>
  <c r="C977" i="3" a="1"/>
  <c r="C977" i="3" s="1"/>
  <c r="I977" i="3" s="1"/>
  <c r="C978" i="3" a="1"/>
  <c r="C978" i="3" s="1"/>
  <c r="I978" i="3" s="1"/>
  <c r="C979" i="3" a="1"/>
  <c r="C979" i="3" s="1"/>
  <c r="I979" i="3" s="1"/>
  <c r="C980" i="3" a="1"/>
  <c r="C980" i="3" s="1"/>
  <c r="I980" i="3" s="1"/>
  <c r="C981" i="3" a="1"/>
  <c r="C981" i="3" s="1"/>
  <c r="I981" i="3" s="1"/>
  <c r="C982" i="3" a="1"/>
  <c r="C982" i="3" s="1"/>
  <c r="I982" i="3" s="1"/>
  <c r="C983" i="3" a="1"/>
  <c r="C983" i="3" s="1"/>
  <c r="I983" i="3" s="1"/>
  <c r="C984" i="3" a="1"/>
  <c r="C984" i="3" s="1"/>
  <c r="I984" i="3" s="1"/>
  <c r="C985" i="3" a="1"/>
  <c r="C985" i="3" s="1"/>
  <c r="I985" i="3" s="1"/>
  <c r="C986" i="3" a="1"/>
  <c r="C986" i="3" s="1"/>
  <c r="I986" i="3" s="1"/>
  <c r="C987" i="3" a="1"/>
  <c r="C987" i="3" s="1"/>
  <c r="I987" i="3" s="1"/>
  <c r="C988" i="3" a="1"/>
  <c r="C988" i="3" s="1"/>
  <c r="I988" i="3" s="1"/>
  <c r="C989" i="3" a="1"/>
  <c r="C989" i="3" s="1"/>
  <c r="I989" i="3" s="1"/>
  <c r="C990" i="3" a="1"/>
  <c r="C990" i="3" s="1"/>
  <c r="I990" i="3" s="1"/>
  <c r="C991" i="3" a="1"/>
  <c r="C991" i="3" s="1"/>
  <c r="I991" i="3" s="1"/>
  <c r="C992" i="3" a="1"/>
  <c r="C992" i="3" s="1"/>
  <c r="I992" i="3" s="1"/>
  <c r="C993" i="3" a="1"/>
  <c r="C993" i="3" s="1"/>
  <c r="I993" i="3" s="1"/>
  <c r="C994" i="3" a="1"/>
  <c r="C994" i="3" s="1"/>
  <c r="I994" i="3" s="1"/>
  <c r="C995" i="3" a="1"/>
  <c r="C995" i="3" s="1"/>
  <c r="I995" i="3" s="1"/>
  <c r="C996" i="3" a="1"/>
  <c r="C996" i="3" s="1"/>
  <c r="I996" i="3" s="1"/>
  <c r="C997" i="3" a="1"/>
  <c r="C997" i="3" s="1"/>
  <c r="I997" i="3" s="1"/>
  <c r="C998" i="3" a="1"/>
  <c r="C998" i="3" s="1"/>
  <c r="I998" i="3" s="1"/>
  <c r="C999" i="3" a="1"/>
  <c r="C999" i="3" s="1"/>
  <c r="I999" i="3" s="1"/>
  <c r="C1000" i="3" a="1"/>
  <c r="C1000" i="3" s="1"/>
  <c r="I1000" i="3" s="1"/>
  <c r="C1001" i="3" a="1"/>
  <c r="C1001" i="3" s="1"/>
  <c r="I1001" i="3" s="1"/>
  <c r="C1002" i="3" a="1"/>
  <c r="C1002" i="3" s="1"/>
  <c r="I1002" i="3" s="1"/>
  <c r="C1003" i="3" a="1"/>
  <c r="C1003" i="3" s="1"/>
  <c r="I1003" i="3" s="1"/>
  <c r="C1004" i="3" a="1"/>
  <c r="C1004" i="3" s="1"/>
  <c r="I1004" i="3" s="1"/>
  <c r="C1005" i="3" a="1"/>
  <c r="C1005" i="3" s="1"/>
  <c r="I1005" i="3" s="1"/>
  <c r="C1006" i="3" a="1"/>
  <c r="C1006" i="3" s="1"/>
  <c r="I1006" i="3" s="1"/>
  <c r="C1007" i="3" a="1"/>
  <c r="C1007" i="3" s="1"/>
  <c r="I1007" i="3" s="1"/>
  <c r="C1008" i="3" a="1"/>
  <c r="C1008" i="3" s="1"/>
  <c r="I1008" i="3" s="1"/>
  <c r="C1009" i="3" a="1"/>
  <c r="C1009" i="3" s="1"/>
  <c r="I1009" i="3" s="1"/>
  <c r="C1010" i="3" a="1"/>
  <c r="C1010" i="3" s="1"/>
  <c r="I1010" i="3" s="1"/>
  <c r="C1011" i="3" a="1"/>
  <c r="C1011" i="3" s="1"/>
  <c r="I1011" i="3" s="1"/>
  <c r="C1012" i="3" a="1"/>
  <c r="C1012" i="3" s="1"/>
  <c r="I1012" i="3" s="1"/>
  <c r="C1013" i="3" a="1"/>
  <c r="C1013" i="3" s="1"/>
  <c r="I1013" i="3" s="1"/>
  <c r="C1014" i="3" a="1"/>
  <c r="C1014" i="3" s="1"/>
  <c r="I1014" i="3" s="1"/>
  <c r="C1015" i="3" a="1"/>
  <c r="C1015" i="3" s="1"/>
  <c r="I1015" i="3" s="1"/>
  <c r="C1016" i="3" a="1"/>
  <c r="C1016" i="3" s="1"/>
  <c r="I1016" i="3" s="1"/>
  <c r="C1017" i="3" a="1"/>
  <c r="C1017" i="3" s="1"/>
  <c r="I1017" i="3" s="1"/>
  <c r="C1018" i="3" a="1"/>
  <c r="C1018" i="3" s="1"/>
  <c r="I1018" i="3" s="1"/>
  <c r="C1019" i="3" a="1"/>
  <c r="C1019" i="3" s="1"/>
  <c r="I1019" i="3" s="1"/>
  <c r="C1020" i="3" a="1"/>
  <c r="C1020" i="3" s="1"/>
  <c r="I1020" i="3" s="1"/>
  <c r="C1021" i="3" a="1"/>
  <c r="C1021" i="3" s="1"/>
  <c r="I1021" i="3" s="1"/>
  <c r="C1022" i="3" a="1"/>
  <c r="C1022" i="3" s="1"/>
  <c r="I1022" i="3" s="1"/>
  <c r="C1023" i="3" a="1"/>
  <c r="C1023" i="3" s="1"/>
  <c r="I1023" i="3" s="1"/>
  <c r="C1024" i="3" a="1"/>
  <c r="C1024" i="3" s="1"/>
  <c r="I1024" i="3" s="1"/>
  <c r="C1025" i="3" a="1"/>
  <c r="C1025" i="3" s="1"/>
  <c r="I1025" i="3" s="1"/>
  <c r="C1026" i="3" a="1"/>
  <c r="C1026" i="3" s="1"/>
  <c r="I1026" i="3" s="1"/>
  <c r="C1027" i="3" a="1"/>
  <c r="C1027" i="3" s="1"/>
  <c r="I1027" i="3" s="1"/>
  <c r="C1028" i="3" a="1"/>
  <c r="C1028" i="3" s="1"/>
  <c r="I1028" i="3" s="1"/>
  <c r="C1029" i="3" a="1"/>
  <c r="C1029" i="3" s="1"/>
  <c r="I1029" i="3" s="1"/>
  <c r="C1030" i="3" a="1"/>
  <c r="C1030" i="3" s="1"/>
  <c r="I1030" i="3" s="1"/>
  <c r="C1031" i="3" a="1"/>
  <c r="C1031" i="3" s="1"/>
  <c r="I1031" i="3" s="1"/>
  <c r="C1032" i="3" a="1"/>
  <c r="C1032" i="3" s="1"/>
  <c r="I1032" i="3" s="1"/>
  <c r="C1033" i="3" a="1"/>
  <c r="C1033" i="3" s="1"/>
  <c r="I1033" i="3" s="1"/>
  <c r="C1034" i="3" a="1"/>
  <c r="C1034" i="3" s="1"/>
  <c r="I1034" i="3" s="1"/>
  <c r="C1035" i="3" a="1"/>
  <c r="C1035" i="3" s="1"/>
  <c r="I1035" i="3" s="1"/>
  <c r="C1036" i="3" a="1"/>
  <c r="C1036" i="3" s="1"/>
  <c r="I1036" i="3" s="1"/>
  <c r="C1037" i="3" a="1"/>
  <c r="C1037" i="3" s="1"/>
  <c r="I1037" i="3" s="1"/>
  <c r="C1038" i="3" a="1"/>
  <c r="C1038" i="3" s="1"/>
  <c r="I1038" i="3" s="1"/>
  <c r="C1039" i="3" a="1"/>
  <c r="C1039" i="3" s="1"/>
  <c r="I1039" i="3" s="1"/>
  <c r="C1040" i="3" a="1"/>
  <c r="C1040" i="3" s="1"/>
  <c r="I1040" i="3" s="1"/>
  <c r="C1041" i="3" a="1"/>
  <c r="C1041" i="3" s="1"/>
  <c r="I1041" i="3" s="1"/>
  <c r="C1042" i="3" a="1"/>
  <c r="C1042" i="3" s="1"/>
  <c r="I1042" i="3" s="1"/>
  <c r="C1043" i="3" a="1"/>
  <c r="C1043" i="3" s="1"/>
  <c r="I1043" i="3" s="1"/>
  <c r="C1044" i="3" a="1"/>
  <c r="C1044" i="3" s="1"/>
  <c r="I1044" i="3" s="1"/>
  <c r="C1045" i="3" a="1"/>
  <c r="C1045" i="3" s="1"/>
  <c r="I1045" i="3" s="1"/>
  <c r="C1046" i="3" a="1"/>
  <c r="C1046" i="3" s="1"/>
  <c r="I1046" i="3" s="1"/>
  <c r="C1047" i="3" a="1"/>
  <c r="C1047" i="3" s="1"/>
  <c r="I1047" i="3" s="1"/>
  <c r="C1048" i="3" a="1"/>
  <c r="C1048" i="3" s="1"/>
  <c r="I1048" i="3" s="1"/>
  <c r="C1049" i="3" a="1"/>
  <c r="C1049" i="3" s="1"/>
  <c r="I1049" i="3" s="1"/>
  <c r="C1050" i="3" a="1"/>
  <c r="C1050" i="3" s="1"/>
  <c r="I1050" i="3" s="1"/>
  <c r="C1051" i="3" a="1"/>
  <c r="C1051" i="3" s="1"/>
  <c r="I1051" i="3" s="1"/>
  <c r="C1052" i="3" a="1"/>
  <c r="C1052" i="3" s="1"/>
  <c r="I1052" i="3" s="1"/>
  <c r="C1053" i="3" a="1"/>
  <c r="C1053" i="3" s="1"/>
  <c r="I1053" i="3" s="1"/>
  <c r="C1054" i="3" a="1"/>
  <c r="C1054" i="3" s="1"/>
  <c r="I1054" i="3" s="1"/>
  <c r="C1055" i="3" a="1"/>
  <c r="C1055" i="3" s="1"/>
  <c r="I1055" i="3" s="1"/>
  <c r="C1056" i="3" a="1"/>
  <c r="C1056" i="3" s="1"/>
  <c r="I1056" i="3" s="1"/>
  <c r="C1057" i="3" a="1"/>
  <c r="C1057" i="3" s="1"/>
  <c r="I1057" i="3" s="1"/>
  <c r="C1058" i="3" a="1"/>
  <c r="C1058" i="3" s="1"/>
  <c r="I1058" i="3" s="1"/>
  <c r="C1059" i="3" a="1"/>
  <c r="C1059" i="3" s="1"/>
  <c r="I1059" i="3" s="1"/>
  <c r="C1060" i="3" a="1"/>
  <c r="C1060" i="3" s="1"/>
  <c r="I1060" i="3" s="1"/>
  <c r="C1061" i="3" a="1"/>
  <c r="C1061" i="3" s="1"/>
  <c r="I1061" i="3" s="1"/>
  <c r="C1062" i="3" a="1"/>
  <c r="C1062" i="3" s="1"/>
  <c r="I1062" i="3" s="1"/>
  <c r="C1063" i="3" a="1"/>
  <c r="C1063" i="3" s="1"/>
  <c r="I1063" i="3" s="1"/>
  <c r="C1064" i="3" a="1"/>
  <c r="C1064" i="3" s="1"/>
  <c r="I1064" i="3" s="1"/>
  <c r="C1065" i="3" a="1"/>
  <c r="C1065" i="3" s="1"/>
  <c r="I1065" i="3" s="1"/>
  <c r="C1066" i="3" a="1"/>
  <c r="C1066" i="3" s="1"/>
  <c r="I1066" i="3" s="1"/>
  <c r="C1067" i="3" a="1"/>
  <c r="C1067" i="3" s="1"/>
  <c r="I1067" i="3" s="1"/>
  <c r="C1068" i="3" a="1"/>
  <c r="C1068" i="3" s="1"/>
  <c r="I1068" i="3" s="1"/>
  <c r="C1069" i="3" a="1"/>
  <c r="C1069" i="3" s="1"/>
  <c r="I1069" i="3" s="1"/>
  <c r="C1070" i="3" a="1"/>
  <c r="C1070" i="3" s="1"/>
  <c r="I1070" i="3" s="1"/>
  <c r="C1071" i="3" a="1"/>
  <c r="C1071" i="3" s="1"/>
  <c r="I1071" i="3" s="1"/>
  <c r="C1072" i="3" a="1"/>
  <c r="C1072" i="3" s="1"/>
  <c r="I1072" i="3" s="1"/>
  <c r="C1073" i="3" a="1"/>
  <c r="C1073" i="3" s="1"/>
  <c r="I1073" i="3" s="1"/>
  <c r="C1074" i="3" a="1"/>
  <c r="C1074" i="3" s="1"/>
  <c r="I1074" i="3" s="1"/>
  <c r="C1075" i="3" a="1"/>
  <c r="C1075" i="3" s="1"/>
  <c r="I1075" i="3" s="1"/>
  <c r="C1076" i="3" a="1"/>
  <c r="C1076" i="3" s="1"/>
  <c r="I1076" i="3" s="1"/>
  <c r="C1077" i="3" a="1"/>
  <c r="C1077" i="3" s="1"/>
  <c r="I1077" i="3" s="1"/>
  <c r="C1078" i="3" a="1"/>
  <c r="C1078" i="3" s="1"/>
  <c r="I1078" i="3" s="1"/>
  <c r="C1079" i="3" a="1"/>
  <c r="C1079" i="3" s="1"/>
  <c r="I1079" i="3" s="1"/>
  <c r="C1080" i="3" a="1"/>
  <c r="C1080" i="3" s="1"/>
  <c r="I1080" i="3" s="1"/>
  <c r="C1081" i="3" a="1"/>
  <c r="C1081" i="3" s="1"/>
  <c r="I1081" i="3" s="1"/>
  <c r="C1082" i="3" a="1"/>
  <c r="C1082" i="3" s="1"/>
  <c r="I1082" i="3" s="1"/>
  <c r="C1083" i="3" a="1"/>
  <c r="C1083" i="3" s="1"/>
  <c r="I1083" i="3" s="1"/>
  <c r="C1084" i="3" a="1"/>
  <c r="C1084" i="3" s="1"/>
  <c r="I1084" i="3" s="1"/>
  <c r="C1085" i="3" a="1"/>
  <c r="C1085" i="3" s="1"/>
  <c r="I1085" i="3" s="1"/>
  <c r="C1086" i="3" a="1"/>
  <c r="C1086" i="3" s="1"/>
  <c r="I1086" i="3" s="1"/>
  <c r="C1087" i="3" a="1"/>
  <c r="C1087" i="3" s="1"/>
  <c r="I1087" i="3" s="1"/>
  <c r="C1088" i="3" a="1"/>
  <c r="C1088" i="3" s="1"/>
  <c r="I1088" i="3" s="1"/>
  <c r="C1089" i="3" a="1"/>
  <c r="C1089" i="3" s="1"/>
  <c r="I1089" i="3" s="1"/>
  <c r="C1090" i="3" a="1"/>
  <c r="C1090" i="3" s="1"/>
  <c r="I1090" i="3" s="1"/>
  <c r="C1091" i="3" a="1"/>
  <c r="C1091" i="3" s="1"/>
  <c r="I1091" i="3" s="1"/>
  <c r="C1092" i="3" a="1"/>
  <c r="C1092" i="3" s="1"/>
  <c r="I1092" i="3" s="1"/>
  <c r="C1093" i="3" a="1"/>
  <c r="C1093" i="3" s="1"/>
  <c r="I1093" i="3" s="1"/>
  <c r="C1094" i="3" a="1"/>
  <c r="C1094" i="3" s="1"/>
  <c r="I1094" i="3" s="1"/>
  <c r="C1095" i="3" a="1"/>
  <c r="C1095" i="3" s="1"/>
  <c r="I1095" i="3" s="1"/>
  <c r="C1096" i="3" a="1"/>
  <c r="C1096" i="3" s="1"/>
  <c r="I1096" i="3" s="1"/>
  <c r="C1097" i="3" a="1"/>
  <c r="C1097" i="3" s="1"/>
  <c r="I1097" i="3" s="1"/>
  <c r="C1098" i="3" a="1"/>
  <c r="C1098" i="3" s="1"/>
  <c r="I1098" i="3" s="1"/>
  <c r="C1099" i="3" a="1"/>
  <c r="C1099" i="3" s="1"/>
  <c r="I1099" i="3" s="1"/>
  <c r="C1100" i="3" a="1"/>
  <c r="C1100" i="3" s="1"/>
  <c r="I1100" i="3" s="1"/>
  <c r="C1101" i="3" a="1"/>
  <c r="C1101" i="3" s="1"/>
  <c r="I1101" i="3" s="1"/>
  <c r="C1102" i="3" a="1"/>
  <c r="C1102" i="3" s="1"/>
  <c r="I1102" i="3" s="1"/>
  <c r="C1103" i="3" a="1"/>
  <c r="C1103" i="3" s="1"/>
  <c r="I1103" i="3" s="1"/>
  <c r="C1104" i="3" a="1"/>
  <c r="C1104" i="3" s="1"/>
  <c r="I1104" i="3" s="1"/>
  <c r="C1105" i="3" a="1"/>
  <c r="C1105" i="3" s="1"/>
  <c r="I1105" i="3" s="1"/>
  <c r="C1106" i="3" a="1"/>
  <c r="C1106" i="3" s="1"/>
  <c r="I1106" i="3" s="1"/>
  <c r="C1107" i="3" a="1"/>
  <c r="C1107" i="3" s="1"/>
  <c r="I1107" i="3" s="1"/>
  <c r="C1108" i="3" a="1"/>
  <c r="C1108" i="3" s="1"/>
  <c r="I1108" i="3" s="1"/>
  <c r="C1109" i="3" a="1"/>
  <c r="C1109" i="3" s="1"/>
  <c r="I1109" i="3" s="1"/>
  <c r="C1110" i="3" a="1"/>
  <c r="C1110" i="3" s="1"/>
  <c r="I1110" i="3" s="1"/>
  <c r="C1111" i="3" a="1"/>
  <c r="C1111" i="3" s="1"/>
  <c r="I1111" i="3" s="1"/>
  <c r="C1112" i="3" a="1"/>
  <c r="C1112" i="3" s="1"/>
  <c r="I1112" i="3" s="1"/>
  <c r="C1113" i="3" a="1"/>
  <c r="C1113" i="3" s="1"/>
  <c r="I1113" i="3" s="1"/>
  <c r="C1114" i="3" a="1"/>
  <c r="C1114" i="3" s="1"/>
  <c r="I1114" i="3" s="1"/>
  <c r="C1115" i="3" a="1"/>
  <c r="C1115" i="3" s="1"/>
  <c r="I1115" i="3" s="1"/>
  <c r="C1116" i="3" a="1"/>
  <c r="C1116" i="3" s="1"/>
  <c r="I1116" i="3" s="1"/>
  <c r="C1117" i="3" a="1"/>
  <c r="C1117" i="3" s="1"/>
  <c r="I1117" i="3" s="1"/>
  <c r="C1118" i="3" a="1"/>
  <c r="C1118" i="3" s="1"/>
  <c r="I1118" i="3" s="1"/>
  <c r="C1119" i="3" a="1"/>
  <c r="C1119" i="3" s="1"/>
  <c r="I1119" i="3" s="1"/>
  <c r="C1120" i="3" a="1"/>
  <c r="C1120" i="3" s="1"/>
  <c r="I1120" i="3" s="1"/>
  <c r="C1121" i="3" a="1"/>
  <c r="C1121" i="3" s="1"/>
  <c r="I1121" i="3" s="1"/>
  <c r="C1122" i="3" a="1"/>
  <c r="C1122" i="3" s="1"/>
  <c r="I1122" i="3" s="1"/>
  <c r="C1123" i="3" a="1"/>
  <c r="C1123" i="3" s="1"/>
  <c r="I1123" i="3" s="1"/>
  <c r="C1124" i="3" a="1"/>
  <c r="C1124" i="3" s="1"/>
  <c r="I1124" i="3" s="1"/>
  <c r="C1125" i="3" a="1"/>
  <c r="C1125" i="3" s="1"/>
  <c r="I1125" i="3" s="1"/>
  <c r="C1126" i="3" a="1"/>
  <c r="C1126" i="3" s="1"/>
  <c r="I1126" i="3" s="1"/>
  <c r="C1127" i="3" a="1"/>
  <c r="C1127" i="3" s="1"/>
  <c r="I1127" i="3" s="1"/>
  <c r="C1128" i="3" a="1"/>
  <c r="C1128" i="3" s="1"/>
  <c r="I1128" i="3" s="1"/>
  <c r="C1129" i="3" a="1"/>
  <c r="C1129" i="3" s="1"/>
  <c r="I1129" i="3" s="1"/>
  <c r="C1130" i="3" a="1"/>
  <c r="C1130" i="3" s="1"/>
  <c r="I1130" i="3" s="1"/>
  <c r="C1131" i="3" a="1"/>
  <c r="C1131" i="3" s="1"/>
  <c r="I1131" i="3" s="1"/>
  <c r="C1132" i="3" a="1"/>
  <c r="C1132" i="3" s="1"/>
  <c r="I1132" i="3" s="1"/>
  <c r="C1133" i="3" a="1"/>
  <c r="C1133" i="3" s="1"/>
  <c r="I1133" i="3" s="1"/>
  <c r="C1134" i="3" a="1"/>
  <c r="C1134" i="3" s="1"/>
  <c r="I1134" i="3" s="1"/>
  <c r="C1135" i="3" a="1"/>
  <c r="C1135" i="3" s="1"/>
  <c r="I1135" i="3" s="1"/>
  <c r="C1136" i="3" a="1"/>
  <c r="C1136" i="3" s="1"/>
  <c r="I1136" i="3" s="1"/>
  <c r="C1137" i="3" a="1"/>
  <c r="C1137" i="3" s="1"/>
  <c r="I1137" i="3" s="1"/>
  <c r="C1138" i="3" a="1"/>
  <c r="C1138" i="3" s="1"/>
  <c r="I1138" i="3" s="1"/>
  <c r="C1139" i="3" a="1"/>
  <c r="C1139" i="3" s="1"/>
  <c r="I1139" i="3" s="1"/>
  <c r="C1140" i="3" a="1"/>
  <c r="C1140" i="3" s="1"/>
  <c r="I1140" i="3" s="1"/>
  <c r="C1141" i="3" a="1"/>
  <c r="C1141" i="3" s="1"/>
  <c r="I1141" i="3" s="1"/>
  <c r="C1142" i="3" a="1"/>
  <c r="C1142" i="3" s="1"/>
  <c r="I1142" i="3" s="1"/>
  <c r="C1143" i="3" a="1"/>
  <c r="C1143" i="3" s="1"/>
  <c r="I1143" i="3" s="1"/>
  <c r="C1144" i="3" a="1"/>
  <c r="C1144" i="3" s="1"/>
  <c r="I1144" i="3" s="1"/>
  <c r="C1145" i="3" a="1"/>
  <c r="C1145" i="3" s="1"/>
  <c r="I1145" i="3" s="1"/>
  <c r="C1146" i="3" a="1"/>
  <c r="C1146" i="3" s="1"/>
  <c r="I1146" i="3" s="1"/>
  <c r="C1147" i="3" a="1"/>
  <c r="C1147" i="3" s="1"/>
  <c r="I1147" i="3" s="1"/>
  <c r="C1148" i="3" a="1"/>
  <c r="C1148" i="3" s="1"/>
  <c r="I1148" i="3" s="1"/>
  <c r="C1149" i="3" a="1"/>
  <c r="C1149" i="3" s="1"/>
  <c r="I1149" i="3" s="1"/>
  <c r="C1150" i="3" a="1"/>
  <c r="C1150" i="3" s="1"/>
  <c r="I1150" i="3" s="1"/>
  <c r="C1151" i="3" a="1"/>
  <c r="C1151" i="3" s="1"/>
  <c r="I1151" i="3" s="1"/>
  <c r="C1152" i="3" a="1"/>
  <c r="C1152" i="3" s="1"/>
  <c r="I1152" i="3" s="1"/>
  <c r="C1153" i="3" a="1"/>
  <c r="C1153" i="3" s="1"/>
  <c r="I1153" i="3" s="1"/>
  <c r="C1154" i="3" a="1"/>
  <c r="C1154" i="3" s="1"/>
  <c r="I1154" i="3" s="1"/>
  <c r="C1155" i="3" a="1"/>
  <c r="C1155" i="3" s="1"/>
  <c r="I1155" i="3" s="1"/>
  <c r="C1156" i="3" a="1"/>
  <c r="C1156" i="3" s="1"/>
  <c r="I1156" i="3" s="1"/>
  <c r="C1157" i="3" a="1"/>
  <c r="C1157" i="3" s="1"/>
  <c r="I1157" i="3" s="1"/>
  <c r="C1158" i="3" a="1"/>
  <c r="C1158" i="3" s="1"/>
  <c r="I1158" i="3" s="1"/>
  <c r="C1159" i="3" a="1"/>
  <c r="C1159" i="3" s="1"/>
  <c r="I1159" i="3" s="1"/>
  <c r="C1160" i="3" a="1"/>
  <c r="C1160" i="3" s="1"/>
  <c r="I1160" i="3" s="1"/>
  <c r="C1161" i="3" a="1"/>
  <c r="C1161" i="3" s="1"/>
  <c r="I1161" i="3" s="1"/>
  <c r="C1162" i="3" a="1"/>
  <c r="C1162" i="3" s="1"/>
  <c r="I1162" i="3" s="1"/>
  <c r="C1163" i="3" a="1"/>
  <c r="C1163" i="3" s="1"/>
  <c r="I1163" i="3" s="1"/>
  <c r="C1164" i="3" a="1"/>
  <c r="C1164" i="3" s="1"/>
  <c r="I1164" i="3" s="1"/>
  <c r="C1165" i="3" a="1"/>
  <c r="C1165" i="3" s="1"/>
  <c r="I1165" i="3" s="1"/>
  <c r="C1166" i="3" a="1"/>
  <c r="C1166" i="3" s="1"/>
  <c r="I1166" i="3" s="1"/>
  <c r="C1167" i="3" a="1"/>
  <c r="C1167" i="3" s="1"/>
  <c r="I1167" i="3" s="1"/>
  <c r="C1168" i="3" a="1"/>
  <c r="C1168" i="3" s="1"/>
  <c r="I1168" i="3" s="1"/>
  <c r="C1169" i="3" a="1"/>
  <c r="C1169" i="3" s="1"/>
  <c r="I1169" i="3" s="1"/>
  <c r="C1170" i="3" a="1"/>
  <c r="C1170" i="3" s="1"/>
  <c r="I1170" i="3" s="1"/>
  <c r="C1171" i="3" a="1"/>
  <c r="C1171" i="3" s="1"/>
  <c r="I1171" i="3" s="1"/>
  <c r="C1172" i="3" a="1"/>
  <c r="C1172" i="3" s="1"/>
  <c r="I1172" i="3" s="1"/>
  <c r="C1173" i="3" a="1"/>
  <c r="C1173" i="3" s="1"/>
  <c r="I1173" i="3" s="1"/>
  <c r="C1174" i="3" a="1"/>
  <c r="C1174" i="3" s="1"/>
  <c r="I1174" i="3" s="1"/>
  <c r="C1175" i="3" a="1"/>
  <c r="C1175" i="3" s="1"/>
  <c r="I1175" i="3" s="1"/>
  <c r="C1176" i="3" a="1"/>
  <c r="C1176" i="3" s="1"/>
  <c r="I1176" i="3" s="1"/>
  <c r="C1177" i="3" a="1"/>
  <c r="C1177" i="3" s="1"/>
  <c r="I1177" i="3" s="1"/>
  <c r="C1178" i="3" a="1"/>
  <c r="C1178" i="3" s="1"/>
  <c r="I1178" i="3" s="1"/>
  <c r="C1179" i="3" a="1"/>
  <c r="C1179" i="3" s="1"/>
  <c r="I1179" i="3" s="1"/>
  <c r="C1180" i="3" a="1"/>
  <c r="C1180" i="3" s="1"/>
  <c r="I1180" i="3" s="1"/>
  <c r="C1181" i="3" a="1"/>
  <c r="C1181" i="3" s="1"/>
  <c r="I1181" i="3" s="1"/>
  <c r="C1182" i="3" a="1"/>
  <c r="C1182" i="3" s="1"/>
  <c r="I1182" i="3" s="1"/>
  <c r="C1183" i="3" a="1"/>
  <c r="C1183" i="3" s="1"/>
  <c r="I1183" i="3" s="1"/>
  <c r="C1184" i="3" a="1"/>
  <c r="C1184" i="3" s="1"/>
  <c r="I1184" i="3" s="1"/>
  <c r="C1185" i="3" a="1"/>
  <c r="C1185" i="3" s="1"/>
  <c r="I1185" i="3" s="1"/>
  <c r="C1186" i="3" a="1"/>
  <c r="C1186" i="3" s="1"/>
  <c r="I1186" i="3" s="1"/>
  <c r="C1187" i="3" a="1"/>
  <c r="C1187" i="3" s="1"/>
  <c r="I1187" i="3" s="1"/>
  <c r="C1188" i="3" a="1"/>
  <c r="C1188" i="3" s="1"/>
  <c r="I1188" i="3" s="1"/>
  <c r="C1189" i="3" a="1"/>
  <c r="C1189" i="3" s="1"/>
  <c r="I1189" i="3" s="1"/>
  <c r="C1190" i="3" a="1"/>
  <c r="C1190" i="3" s="1"/>
  <c r="I1190" i="3" s="1"/>
  <c r="C1191" i="3" a="1"/>
  <c r="C1191" i="3" s="1"/>
  <c r="I1191" i="3" s="1"/>
  <c r="C1192" i="3" a="1"/>
  <c r="C1192" i="3" s="1"/>
  <c r="I1192" i="3" s="1"/>
  <c r="C1193" i="3" a="1"/>
  <c r="C1193" i="3" s="1"/>
  <c r="I1193" i="3" s="1"/>
  <c r="C1194" i="3" a="1"/>
  <c r="C1194" i="3" s="1"/>
  <c r="I1194" i="3" s="1"/>
  <c r="C1195" i="3" a="1"/>
  <c r="C1195" i="3" s="1"/>
  <c r="I1195" i="3" s="1"/>
  <c r="C1196" i="3" a="1"/>
  <c r="C1196" i="3" s="1"/>
  <c r="I1196" i="3" s="1"/>
  <c r="C1197" i="3" a="1"/>
  <c r="C1197" i="3" s="1"/>
  <c r="I1197" i="3" s="1"/>
  <c r="C1198" i="3" a="1"/>
  <c r="C1198" i="3" s="1"/>
  <c r="I1198" i="3" s="1"/>
  <c r="C1199" i="3" a="1"/>
  <c r="C1199" i="3" s="1"/>
  <c r="I1199" i="3" s="1"/>
  <c r="C1200" i="3" a="1"/>
  <c r="C1200" i="3" s="1"/>
  <c r="I1200" i="3" s="1"/>
  <c r="C1201" i="3" a="1"/>
  <c r="C1201" i="3" s="1"/>
  <c r="I1201" i="3" s="1"/>
  <c r="C1202" i="3" a="1"/>
  <c r="C1202" i="3" s="1"/>
  <c r="I1202" i="3" s="1"/>
  <c r="C1203" i="3" a="1"/>
  <c r="C1203" i="3" s="1"/>
  <c r="I1203" i="3" s="1"/>
  <c r="C1204" i="3" a="1"/>
  <c r="C1204" i="3" s="1"/>
  <c r="I1204" i="3" s="1"/>
  <c r="C1205" i="3" a="1"/>
  <c r="C1205" i="3" s="1"/>
  <c r="I1205" i="3" s="1"/>
  <c r="C1206" i="3" a="1"/>
  <c r="C1206" i="3" s="1"/>
  <c r="I1206" i="3" s="1"/>
  <c r="C1207" i="3" a="1"/>
  <c r="C1207" i="3" s="1"/>
  <c r="I1207" i="3" s="1"/>
  <c r="C1208" i="3" a="1"/>
  <c r="C1208" i="3" s="1"/>
  <c r="I1208" i="3" s="1"/>
  <c r="C1209" i="3" a="1"/>
  <c r="C1209" i="3" s="1"/>
  <c r="I1209" i="3" s="1"/>
  <c r="C1210" i="3" a="1"/>
  <c r="C1210" i="3" s="1"/>
  <c r="I1210" i="3" s="1"/>
  <c r="C1211" i="3" a="1"/>
  <c r="C1211" i="3" s="1"/>
  <c r="I1211" i="3" s="1"/>
  <c r="C1212" i="3" a="1"/>
  <c r="C1212" i="3" s="1"/>
  <c r="I1212" i="3" s="1"/>
  <c r="C1213" i="3" a="1"/>
  <c r="C1213" i="3" s="1"/>
  <c r="I1213" i="3" s="1"/>
  <c r="C1214" i="3" a="1"/>
  <c r="C1214" i="3" s="1"/>
  <c r="I1214" i="3" s="1"/>
  <c r="C1215" i="3" a="1"/>
  <c r="C1215" i="3" s="1"/>
  <c r="I1215" i="3" s="1"/>
  <c r="C1216" i="3" a="1"/>
  <c r="C1216" i="3" s="1"/>
  <c r="I1216" i="3" s="1"/>
  <c r="C1217" i="3" a="1"/>
  <c r="C1217" i="3" s="1"/>
  <c r="I1217" i="3" s="1"/>
  <c r="C1218" i="3" a="1"/>
  <c r="C1218" i="3" s="1"/>
  <c r="I1218" i="3" s="1"/>
  <c r="C1219" i="3" a="1"/>
  <c r="C1219" i="3" s="1"/>
  <c r="I1219" i="3" s="1"/>
  <c r="C1220" i="3" a="1"/>
  <c r="C1220" i="3" s="1"/>
  <c r="I1220" i="3" s="1"/>
  <c r="C1221" i="3" a="1"/>
  <c r="C1221" i="3" s="1"/>
  <c r="I1221" i="3" s="1"/>
  <c r="C1222" i="3" a="1"/>
  <c r="C1222" i="3" s="1"/>
  <c r="I1222" i="3" s="1"/>
  <c r="C1223" i="3" a="1"/>
  <c r="C1223" i="3" s="1"/>
  <c r="I1223" i="3" s="1"/>
  <c r="C1224" i="3" a="1"/>
  <c r="C1224" i="3" s="1"/>
  <c r="I1224" i="3" s="1"/>
  <c r="C1225" i="3" a="1"/>
  <c r="C1225" i="3" s="1"/>
  <c r="I1225" i="3" s="1"/>
  <c r="C1226" i="3" a="1"/>
  <c r="C1226" i="3" s="1"/>
  <c r="I1226" i="3" s="1"/>
  <c r="C1227" i="3" a="1"/>
  <c r="C1227" i="3" s="1"/>
  <c r="I1227" i="3" s="1"/>
  <c r="C1228" i="3" a="1"/>
  <c r="C1228" i="3" s="1"/>
  <c r="I1228" i="3" s="1"/>
  <c r="C1229" i="3" a="1"/>
  <c r="C1229" i="3" s="1"/>
  <c r="I1229" i="3" s="1"/>
  <c r="C1230" i="3" a="1"/>
  <c r="C1230" i="3" s="1"/>
  <c r="I1230" i="3" s="1"/>
  <c r="C1231" i="3" a="1"/>
  <c r="C1231" i="3" s="1"/>
  <c r="I1231" i="3" s="1"/>
  <c r="C1232" i="3" a="1"/>
  <c r="C1232" i="3" s="1"/>
  <c r="I1232" i="3" s="1"/>
  <c r="C1233" i="3" a="1"/>
  <c r="C1233" i="3" s="1"/>
  <c r="I1233" i="3" s="1"/>
  <c r="C1234" i="3" a="1"/>
  <c r="C1234" i="3" s="1"/>
  <c r="I1234" i="3" s="1"/>
  <c r="C1235" i="3" a="1"/>
  <c r="C1235" i="3" s="1"/>
  <c r="I1235" i="3" s="1"/>
  <c r="C1236" i="3" a="1"/>
  <c r="C1236" i="3" s="1"/>
  <c r="I1236" i="3" s="1"/>
  <c r="C1237" i="3" a="1"/>
  <c r="C1237" i="3" s="1"/>
  <c r="I1237" i="3" s="1"/>
  <c r="C1238" i="3" a="1"/>
  <c r="C1238" i="3" s="1"/>
  <c r="I1238" i="3" s="1"/>
  <c r="C1239" i="3" a="1"/>
  <c r="C1239" i="3" s="1"/>
  <c r="I1239" i="3" s="1"/>
  <c r="C1240" i="3" a="1"/>
  <c r="C1240" i="3" s="1"/>
  <c r="I1240" i="3" s="1"/>
  <c r="C1241" i="3" a="1"/>
  <c r="C1241" i="3" s="1"/>
  <c r="I1241" i="3" s="1"/>
  <c r="C1242" i="3" a="1"/>
  <c r="C1242" i="3" s="1"/>
  <c r="I1242" i="3" s="1"/>
  <c r="C1243" i="3" a="1"/>
  <c r="C1243" i="3" s="1"/>
  <c r="I1243" i="3" s="1"/>
  <c r="C1244" i="3" a="1"/>
  <c r="C1244" i="3" s="1"/>
  <c r="I1244" i="3" s="1"/>
  <c r="C1245" i="3" a="1"/>
  <c r="C1245" i="3" s="1"/>
  <c r="I1245" i="3" s="1"/>
  <c r="C1246" i="3" a="1"/>
  <c r="C1246" i="3" s="1"/>
  <c r="I1246" i="3" s="1"/>
  <c r="C1247" i="3" a="1"/>
  <c r="C1247" i="3" s="1"/>
  <c r="I1247" i="3" s="1"/>
  <c r="C1248" i="3" a="1"/>
  <c r="C1248" i="3" s="1"/>
  <c r="I1248" i="3" s="1"/>
  <c r="C1249" i="3" a="1"/>
  <c r="C1249" i="3" s="1"/>
  <c r="I1249" i="3" s="1"/>
  <c r="C1250" i="3" a="1"/>
  <c r="C1250" i="3" s="1"/>
  <c r="I1250" i="3" s="1"/>
  <c r="C1251" i="3" a="1"/>
  <c r="C1251" i="3" s="1"/>
  <c r="I1251" i="3" s="1"/>
  <c r="C1252" i="3" a="1"/>
  <c r="C1252" i="3" s="1"/>
  <c r="I1252" i="3" s="1"/>
  <c r="C1253" i="3" a="1"/>
  <c r="C1253" i="3" s="1"/>
  <c r="I1253" i="3" s="1"/>
  <c r="C1254" i="3" a="1"/>
  <c r="C1254" i="3" s="1"/>
  <c r="I1254" i="3" s="1"/>
  <c r="C1255" i="3" a="1"/>
  <c r="C1255" i="3" s="1"/>
  <c r="I1255" i="3" s="1"/>
  <c r="C1256" i="3" a="1"/>
  <c r="C1256" i="3" s="1"/>
  <c r="I1256" i="3" s="1"/>
  <c r="C1257" i="3" a="1"/>
  <c r="C1257" i="3" s="1"/>
  <c r="I1257" i="3" s="1"/>
  <c r="C1258" i="3" a="1"/>
  <c r="C1258" i="3" s="1"/>
  <c r="I1258" i="3" s="1"/>
  <c r="C1259" i="3" a="1"/>
  <c r="C1259" i="3" s="1"/>
  <c r="I1259" i="3" s="1"/>
  <c r="C1260" i="3" a="1"/>
  <c r="C1260" i="3" s="1"/>
  <c r="I1260" i="3" s="1"/>
  <c r="C1261" i="3" a="1"/>
  <c r="C1261" i="3" s="1"/>
  <c r="I1261" i="3" s="1"/>
  <c r="C1262" i="3" a="1"/>
  <c r="C1262" i="3" s="1"/>
  <c r="I1262" i="3" s="1"/>
  <c r="C1263" i="3" a="1"/>
  <c r="C1263" i="3" s="1"/>
  <c r="I1263" i="3" s="1"/>
  <c r="C1264" i="3" a="1"/>
  <c r="C1264" i="3" s="1"/>
  <c r="I1264" i="3" s="1"/>
  <c r="C1265" i="3" a="1"/>
  <c r="C1265" i="3" s="1"/>
  <c r="I1265" i="3" s="1"/>
  <c r="C1266" i="3" a="1"/>
  <c r="C1266" i="3" s="1"/>
  <c r="I1266" i="3" s="1"/>
  <c r="C1267" i="3" a="1"/>
  <c r="C1267" i="3" s="1"/>
  <c r="I1267" i="3" s="1"/>
  <c r="C1268" i="3" a="1"/>
  <c r="C1268" i="3" s="1"/>
  <c r="I1268" i="3" s="1"/>
  <c r="C1269" i="3" a="1"/>
  <c r="C1269" i="3" s="1"/>
  <c r="I1269" i="3" s="1"/>
  <c r="C1270" i="3" a="1"/>
  <c r="C1270" i="3" s="1"/>
  <c r="I1270" i="3" s="1"/>
  <c r="C1271" i="3" a="1"/>
  <c r="C1271" i="3" s="1"/>
  <c r="I1271" i="3" s="1"/>
  <c r="C1272" i="3" a="1"/>
  <c r="C1272" i="3" s="1"/>
  <c r="I1272" i="3" s="1"/>
  <c r="C1273" i="3" a="1"/>
  <c r="C1273" i="3" s="1"/>
  <c r="I1273" i="3" s="1"/>
  <c r="C1274" i="3" a="1"/>
  <c r="C1274" i="3" s="1"/>
  <c r="I1274" i="3" s="1"/>
  <c r="C1275" i="3" a="1"/>
  <c r="C1275" i="3" s="1"/>
  <c r="I1275" i="3" s="1"/>
  <c r="C1276" i="3" a="1"/>
  <c r="C1276" i="3" s="1"/>
  <c r="I1276" i="3" s="1"/>
  <c r="C1277" i="3" a="1"/>
  <c r="C1277" i="3" s="1"/>
  <c r="I1277" i="3" s="1"/>
  <c r="C1278" i="3" a="1"/>
  <c r="C1278" i="3" s="1"/>
  <c r="I1278" i="3" s="1"/>
  <c r="C1279" i="3" a="1"/>
  <c r="C1279" i="3" s="1"/>
  <c r="I1279" i="3" s="1"/>
  <c r="C1280" i="3" a="1"/>
  <c r="C1280" i="3" s="1"/>
  <c r="I1280" i="3" s="1"/>
  <c r="C1281" i="3" a="1"/>
  <c r="C1281" i="3" s="1"/>
  <c r="I1281" i="3" s="1"/>
  <c r="C1282" i="3" a="1"/>
  <c r="C1282" i="3" s="1"/>
  <c r="I1282" i="3" s="1"/>
  <c r="C1283" i="3" a="1"/>
  <c r="C1283" i="3" s="1"/>
  <c r="I1283" i="3" s="1"/>
  <c r="C1284" i="3" a="1"/>
  <c r="C1284" i="3" s="1"/>
  <c r="I1284" i="3" s="1"/>
  <c r="C1285" i="3" a="1"/>
  <c r="C1285" i="3" s="1"/>
  <c r="I1285" i="3" s="1"/>
  <c r="C1286" i="3" a="1"/>
  <c r="C1286" i="3" s="1"/>
  <c r="I1286" i="3" s="1"/>
  <c r="C1287" i="3" a="1"/>
  <c r="C1287" i="3" s="1"/>
  <c r="I1287" i="3" s="1"/>
  <c r="C1288" i="3" a="1"/>
  <c r="C1288" i="3" s="1"/>
  <c r="I1288" i="3" s="1"/>
  <c r="C1289" i="3" a="1"/>
  <c r="C1289" i="3" s="1"/>
  <c r="I1289" i="3" s="1"/>
  <c r="C1290" i="3" a="1"/>
  <c r="C1290" i="3" s="1"/>
  <c r="I1290" i="3" s="1"/>
  <c r="C1291" i="3" a="1"/>
  <c r="C1291" i="3" s="1"/>
  <c r="I1291" i="3" s="1"/>
  <c r="C1292" i="3" a="1"/>
  <c r="C1292" i="3" s="1"/>
  <c r="I1292" i="3" s="1"/>
  <c r="C1293" i="3" a="1"/>
  <c r="C1293" i="3" s="1"/>
  <c r="I1293" i="3" s="1"/>
  <c r="C1294" i="3" a="1"/>
  <c r="C1294" i="3" s="1"/>
  <c r="I1294" i="3" s="1"/>
  <c r="C1295" i="3" a="1"/>
  <c r="C1295" i="3" s="1"/>
  <c r="I1295" i="3" s="1"/>
  <c r="C1296" i="3" a="1"/>
  <c r="C1296" i="3" s="1"/>
  <c r="I1296" i="3" s="1"/>
  <c r="C1297" i="3" a="1"/>
  <c r="C1297" i="3" s="1"/>
  <c r="I1297" i="3" s="1"/>
  <c r="C1298" i="3" a="1"/>
  <c r="C1298" i="3" s="1"/>
  <c r="I1298" i="3" s="1"/>
  <c r="C1299" i="3" a="1"/>
  <c r="C1299" i="3" s="1"/>
  <c r="I1299" i="3" s="1"/>
  <c r="C1300" i="3" a="1"/>
  <c r="C1300" i="3" s="1"/>
  <c r="I1300" i="3" s="1"/>
  <c r="C1301" i="3" a="1"/>
  <c r="C1301" i="3" s="1"/>
  <c r="I1301" i="3" s="1"/>
  <c r="C1302" i="3" a="1"/>
  <c r="C1302" i="3" s="1"/>
  <c r="I1302" i="3" s="1"/>
  <c r="C1303" i="3" a="1"/>
  <c r="C1303" i="3" s="1"/>
  <c r="I1303" i="3" s="1"/>
  <c r="C1304" i="3" a="1"/>
  <c r="C1304" i="3" s="1"/>
  <c r="I1304" i="3" s="1"/>
  <c r="C1305" i="3" a="1"/>
  <c r="C1305" i="3" s="1"/>
  <c r="I1305" i="3" s="1"/>
  <c r="C1306" i="3" a="1"/>
  <c r="C1306" i="3" s="1"/>
  <c r="I1306" i="3" s="1"/>
  <c r="C1307" i="3" a="1"/>
  <c r="C1307" i="3" s="1"/>
  <c r="I1307" i="3" s="1"/>
  <c r="C1308" i="3" a="1"/>
  <c r="C1308" i="3" s="1"/>
  <c r="I1308" i="3" s="1"/>
  <c r="C1309" i="3" a="1"/>
  <c r="C1309" i="3" s="1"/>
  <c r="I1309" i="3" s="1"/>
  <c r="C1310" i="3" a="1"/>
  <c r="C1310" i="3" s="1"/>
  <c r="I1310" i="3" s="1"/>
  <c r="C1311" i="3" a="1"/>
  <c r="C1311" i="3" s="1"/>
  <c r="I1311" i="3" s="1"/>
  <c r="C1312" i="3" a="1"/>
  <c r="C1312" i="3" s="1"/>
  <c r="I1312" i="3" s="1"/>
  <c r="C1313" i="3" a="1"/>
  <c r="C1313" i="3" s="1"/>
  <c r="I1313" i="3" s="1"/>
  <c r="C1314" i="3" a="1"/>
  <c r="C1314" i="3" s="1"/>
  <c r="I1314" i="3" s="1"/>
  <c r="C1315" i="3" a="1"/>
  <c r="C1315" i="3" s="1"/>
  <c r="I1315" i="3" s="1"/>
  <c r="C1316" i="3" a="1"/>
  <c r="C1316" i="3" s="1"/>
  <c r="I1316" i="3" s="1"/>
  <c r="C1317" i="3" a="1"/>
  <c r="C1317" i="3" s="1"/>
  <c r="I1317" i="3" s="1"/>
  <c r="C1318" i="3" a="1"/>
  <c r="C1318" i="3" s="1"/>
  <c r="I1318" i="3" s="1"/>
  <c r="C1319" i="3" a="1"/>
  <c r="C1319" i="3" s="1"/>
  <c r="I1319" i="3" s="1"/>
  <c r="C1320" i="3" a="1"/>
  <c r="C1320" i="3" s="1"/>
  <c r="I1320" i="3" s="1"/>
  <c r="C1321" i="3" a="1"/>
  <c r="C1321" i="3" s="1"/>
  <c r="I1321" i="3" s="1"/>
  <c r="C1322" i="3" a="1"/>
  <c r="C1322" i="3" s="1"/>
  <c r="I1322" i="3" s="1"/>
  <c r="C1323" i="3" a="1"/>
  <c r="C1323" i="3" s="1"/>
  <c r="I1323" i="3" s="1"/>
  <c r="C1324" i="3" a="1"/>
  <c r="C1324" i="3" s="1"/>
  <c r="I1324" i="3" s="1"/>
  <c r="C1325" i="3" a="1"/>
  <c r="C1325" i="3" s="1"/>
  <c r="I1325" i="3" s="1"/>
  <c r="C1326" i="3" a="1"/>
  <c r="C1326" i="3" s="1"/>
  <c r="I1326" i="3" s="1"/>
  <c r="C1327" i="3" a="1"/>
  <c r="C1327" i="3" s="1"/>
  <c r="I1327" i="3" s="1"/>
  <c r="C1328" i="3" a="1"/>
  <c r="C1328" i="3" s="1"/>
  <c r="I1328" i="3" s="1"/>
  <c r="C1329" i="3" a="1"/>
  <c r="C1329" i="3" s="1"/>
  <c r="I1329" i="3" s="1"/>
  <c r="C1330" i="3" a="1"/>
  <c r="C1330" i="3" s="1"/>
  <c r="I1330" i="3" s="1"/>
  <c r="C1331" i="3" a="1"/>
  <c r="C1331" i="3" s="1"/>
  <c r="I1331" i="3" s="1"/>
  <c r="C1332" i="3" a="1"/>
  <c r="C1332" i="3" s="1"/>
  <c r="I1332" i="3" s="1"/>
  <c r="C1333" i="3" a="1"/>
  <c r="C1333" i="3" s="1"/>
  <c r="I1333" i="3" s="1"/>
  <c r="C1334" i="3" a="1"/>
  <c r="C1334" i="3" s="1"/>
  <c r="I1334" i="3" s="1"/>
  <c r="C1335" i="3" a="1"/>
  <c r="C1335" i="3" s="1"/>
  <c r="I1335" i="3" s="1"/>
  <c r="C1336" i="3" a="1"/>
  <c r="C1336" i="3" s="1"/>
  <c r="I1336" i="3" s="1"/>
  <c r="C1337" i="3" a="1"/>
  <c r="C1337" i="3" s="1"/>
  <c r="I1337" i="3" s="1"/>
  <c r="C1338" i="3" a="1"/>
  <c r="C1338" i="3" s="1"/>
  <c r="I1338" i="3" s="1"/>
  <c r="C1339" i="3" a="1"/>
  <c r="C1339" i="3" s="1"/>
  <c r="I1339" i="3" s="1"/>
  <c r="C1340" i="3" a="1"/>
  <c r="C1340" i="3" s="1"/>
  <c r="I1340" i="3" s="1"/>
  <c r="C1341" i="3" a="1"/>
  <c r="C1341" i="3" s="1"/>
  <c r="I1341" i="3" s="1"/>
  <c r="C1342" i="3" a="1"/>
  <c r="C1342" i="3" s="1"/>
  <c r="I1342" i="3" s="1"/>
  <c r="C1343" i="3" a="1"/>
  <c r="C1343" i="3" s="1"/>
  <c r="I1343" i="3" s="1"/>
  <c r="C1344" i="3" a="1"/>
  <c r="C1344" i="3" s="1"/>
  <c r="I1344" i="3" s="1"/>
  <c r="C1345" i="3" a="1"/>
  <c r="C1345" i="3" s="1"/>
  <c r="I1345" i="3" s="1"/>
  <c r="C1346" i="3" a="1"/>
  <c r="C1346" i="3" s="1"/>
  <c r="I1346" i="3" s="1"/>
  <c r="C1347" i="3" a="1"/>
  <c r="C1347" i="3" s="1"/>
  <c r="I1347" i="3" s="1"/>
  <c r="C1348" i="3" a="1"/>
  <c r="C1348" i="3" s="1"/>
  <c r="I1348" i="3" s="1"/>
  <c r="C1349" i="3" a="1"/>
  <c r="C1349" i="3" s="1"/>
  <c r="I1349" i="3" s="1"/>
  <c r="C1350" i="3" a="1"/>
  <c r="C1350" i="3" s="1"/>
  <c r="I1350" i="3" s="1"/>
  <c r="C1351" i="3" a="1"/>
  <c r="C1351" i="3" s="1"/>
  <c r="I1351" i="3" s="1"/>
  <c r="C1352" i="3" a="1"/>
  <c r="C1352" i="3" s="1"/>
  <c r="I1352" i="3" s="1"/>
  <c r="C1353" i="3" a="1"/>
  <c r="C1353" i="3" s="1"/>
  <c r="I1353" i="3" s="1"/>
  <c r="C1354" i="3" a="1"/>
  <c r="C1354" i="3" s="1"/>
  <c r="I1354" i="3" s="1"/>
  <c r="C1355" i="3" a="1"/>
  <c r="C1355" i="3" s="1"/>
  <c r="I1355" i="3" s="1"/>
  <c r="C1356" i="3" a="1"/>
  <c r="C1356" i="3" s="1"/>
  <c r="I1356" i="3" s="1"/>
  <c r="C1357" i="3" a="1"/>
  <c r="C1357" i="3" s="1"/>
  <c r="I1357" i="3" s="1"/>
  <c r="C1358" i="3" a="1"/>
  <c r="C1358" i="3" s="1"/>
  <c r="I1358" i="3" s="1"/>
  <c r="C1359" i="3" a="1"/>
  <c r="C1359" i="3" s="1"/>
  <c r="I1359" i="3" s="1"/>
  <c r="C1360" i="3" a="1"/>
  <c r="C1360" i="3" s="1"/>
  <c r="I1360" i="3" s="1"/>
  <c r="C1361" i="3" a="1"/>
  <c r="C1361" i="3" s="1"/>
  <c r="I1361" i="3" s="1"/>
  <c r="C1362" i="3" a="1"/>
  <c r="C1362" i="3" s="1"/>
  <c r="I1362" i="3" s="1"/>
  <c r="C1363" i="3" a="1"/>
  <c r="C1363" i="3" s="1"/>
  <c r="I1363" i="3" s="1"/>
  <c r="C1364" i="3" a="1"/>
  <c r="C1364" i="3" s="1"/>
  <c r="I1364" i="3" s="1"/>
  <c r="C1365" i="3" a="1"/>
  <c r="C1365" i="3" s="1"/>
  <c r="I1365" i="3" s="1"/>
  <c r="C1366" i="3" a="1"/>
  <c r="C1366" i="3" s="1"/>
  <c r="I1366" i="3" s="1"/>
  <c r="C1367" i="3" a="1"/>
  <c r="C1367" i="3" s="1"/>
  <c r="I1367" i="3" s="1"/>
  <c r="C1368" i="3" a="1"/>
  <c r="C1368" i="3" s="1"/>
  <c r="I1368" i="3" s="1"/>
  <c r="C1369" i="3" a="1"/>
  <c r="C1369" i="3" s="1"/>
  <c r="I1369" i="3" s="1"/>
  <c r="C1370" i="3" a="1"/>
  <c r="C1370" i="3" s="1"/>
  <c r="I1370" i="3" s="1"/>
  <c r="C1371" i="3" a="1"/>
  <c r="C1371" i="3" s="1"/>
  <c r="I1371" i="3" s="1"/>
  <c r="C1372" i="3" a="1"/>
  <c r="C1372" i="3" s="1"/>
  <c r="I1372" i="3" s="1"/>
  <c r="C1373" i="3" a="1"/>
  <c r="C1373" i="3" s="1"/>
  <c r="I1373" i="3" s="1"/>
  <c r="C1374" i="3" a="1"/>
  <c r="C1374" i="3" s="1"/>
  <c r="I1374" i="3" s="1"/>
  <c r="C1375" i="3" a="1"/>
  <c r="C1375" i="3" s="1"/>
  <c r="I1375" i="3" s="1"/>
  <c r="C1376" i="3" a="1"/>
  <c r="C1376" i="3" s="1"/>
  <c r="I1376" i="3" s="1"/>
  <c r="C1377" i="3" a="1"/>
  <c r="C1377" i="3" s="1"/>
  <c r="I1377" i="3" s="1"/>
  <c r="C1378" i="3" a="1"/>
  <c r="C1378" i="3" s="1"/>
  <c r="I1378" i="3" s="1"/>
  <c r="C1379" i="3" a="1"/>
  <c r="C1379" i="3" s="1"/>
  <c r="I1379" i="3" s="1"/>
  <c r="C1380" i="3" a="1"/>
  <c r="C1380" i="3" s="1"/>
  <c r="I1380" i="3" s="1"/>
  <c r="C1381" i="3" a="1"/>
  <c r="C1381" i="3" s="1"/>
  <c r="I1381" i="3" s="1"/>
  <c r="C1382" i="3" a="1"/>
  <c r="C1382" i="3" s="1"/>
  <c r="I1382" i="3" s="1"/>
  <c r="C1383" i="3" a="1"/>
  <c r="C1383" i="3" s="1"/>
  <c r="I1383" i="3" s="1"/>
  <c r="C1384" i="3" a="1"/>
  <c r="C1384" i="3" s="1"/>
  <c r="I1384" i="3" s="1"/>
  <c r="C1385" i="3" a="1"/>
  <c r="C1385" i="3" s="1"/>
  <c r="I1385" i="3" s="1"/>
  <c r="C1386" i="3" a="1"/>
  <c r="C1386" i="3" s="1"/>
  <c r="I1386" i="3" s="1"/>
  <c r="C1387" i="3" a="1"/>
  <c r="C1387" i="3" s="1"/>
  <c r="I1387" i="3" s="1"/>
  <c r="C1388" i="3" a="1"/>
  <c r="C1388" i="3" s="1"/>
  <c r="I1388" i="3" s="1"/>
  <c r="C1389" i="3" a="1"/>
  <c r="C1389" i="3" s="1"/>
  <c r="I1389" i="3" s="1"/>
  <c r="C1390" i="3" a="1"/>
  <c r="C1390" i="3" s="1"/>
  <c r="I1390" i="3" s="1"/>
  <c r="C1391" i="3" a="1"/>
  <c r="C1391" i="3" s="1"/>
  <c r="I1391" i="3" s="1"/>
  <c r="C1392" i="3" a="1"/>
  <c r="C1392" i="3" s="1"/>
  <c r="I1392" i="3" s="1"/>
  <c r="C1393" i="3" a="1"/>
  <c r="C1393" i="3" s="1"/>
  <c r="I1393" i="3" s="1"/>
  <c r="C1394" i="3" a="1"/>
  <c r="C1394" i="3" s="1"/>
  <c r="I1394" i="3" s="1"/>
  <c r="C1395" i="3" a="1"/>
  <c r="C1395" i="3" s="1"/>
  <c r="I1395" i="3" s="1"/>
  <c r="C1396" i="3" a="1"/>
  <c r="C1396" i="3" s="1"/>
  <c r="I1396" i="3" s="1"/>
  <c r="C1397" i="3" a="1"/>
  <c r="C1397" i="3" s="1"/>
  <c r="I1397" i="3" s="1"/>
  <c r="C1398" i="3" a="1"/>
  <c r="C1398" i="3" s="1"/>
  <c r="I1398" i="3" s="1"/>
  <c r="C1399" i="3" a="1"/>
  <c r="C1399" i="3" s="1"/>
  <c r="I1399" i="3" s="1"/>
  <c r="C1400" i="3" a="1"/>
  <c r="C1400" i="3" s="1"/>
  <c r="I1400" i="3" s="1"/>
  <c r="C1401" i="3" a="1"/>
  <c r="C1401" i="3" s="1"/>
  <c r="I1401" i="3" s="1"/>
  <c r="C1402" i="3" a="1"/>
  <c r="C1402" i="3" s="1"/>
  <c r="I1402" i="3" s="1"/>
  <c r="C1403" i="3" a="1"/>
  <c r="C1403" i="3" s="1"/>
  <c r="I1403" i="3" s="1"/>
  <c r="C1404" i="3" a="1"/>
  <c r="C1404" i="3" s="1"/>
  <c r="I1404" i="3" s="1"/>
  <c r="C1405" i="3" a="1"/>
  <c r="C1405" i="3" s="1"/>
  <c r="I1405" i="3" s="1"/>
  <c r="C1406" i="3" a="1"/>
  <c r="C1406" i="3" s="1"/>
  <c r="I1406" i="3" s="1"/>
  <c r="C1407" i="3" a="1"/>
  <c r="C1407" i="3" s="1"/>
  <c r="I1407" i="3" s="1"/>
  <c r="C1408" i="3" a="1"/>
  <c r="C1408" i="3" s="1"/>
  <c r="I1408" i="3" s="1"/>
  <c r="C1409" i="3" a="1"/>
  <c r="C1409" i="3" s="1"/>
  <c r="I1409" i="3" s="1"/>
  <c r="C1410" i="3" a="1"/>
  <c r="C1410" i="3" s="1"/>
  <c r="I1410" i="3" s="1"/>
  <c r="C1411" i="3" a="1"/>
  <c r="C1411" i="3" s="1"/>
  <c r="I1411" i="3" s="1"/>
  <c r="C1412" i="3" a="1"/>
  <c r="C1412" i="3" s="1"/>
  <c r="I1412" i="3" s="1"/>
  <c r="C1413" i="3" a="1"/>
  <c r="C1413" i="3" s="1"/>
  <c r="I1413" i="3" s="1"/>
  <c r="C1414" i="3" a="1"/>
  <c r="C1414" i="3" s="1"/>
  <c r="I1414" i="3" s="1"/>
  <c r="C1415" i="3" a="1"/>
  <c r="C1415" i="3" s="1"/>
  <c r="I1415" i="3" s="1"/>
  <c r="C1416" i="3" a="1"/>
  <c r="C1416" i="3" s="1"/>
  <c r="I1416" i="3" s="1"/>
  <c r="C1417" i="3" a="1"/>
  <c r="C1417" i="3" s="1"/>
  <c r="I1417" i="3" s="1"/>
  <c r="C1418" i="3" a="1"/>
  <c r="C1418" i="3" s="1"/>
  <c r="I1418" i="3" s="1"/>
  <c r="C1419" i="3" a="1"/>
  <c r="C1419" i="3" s="1"/>
  <c r="I1419" i="3" s="1"/>
  <c r="C1420" i="3" a="1"/>
  <c r="C1420" i="3" s="1"/>
  <c r="I1420" i="3" s="1"/>
  <c r="C1421" i="3" a="1"/>
  <c r="C1421" i="3" s="1"/>
  <c r="I1421" i="3" s="1"/>
  <c r="C1422" i="3" a="1"/>
  <c r="C1422" i="3" s="1"/>
  <c r="I1422" i="3" s="1"/>
  <c r="C1423" i="3" a="1"/>
  <c r="C1423" i="3" s="1"/>
  <c r="I1423" i="3" s="1"/>
  <c r="C1424" i="3" a="1"/>
  <c r="C1424" i="3" s="1"/>
  <c r="I1424" i="3" s="1"/>
  <c r="C1425" i="3" a="1"/>
  <c r="C1425" i="3" s="1"/>
  <c r="I1425" i="3" s="1"/>
  <c r="C1426" i="3" a="1"/>
  <c r="C1426" i="3" s="1"/>
  <c r="I1426" i="3" s="1"/>
  <c r="C1427" i="3" a="1"/>
  <c r="C1427" i="3" s="1"/>
  <c r="I1427" i="3" s="1"/>
  <c r="C1428" i="3" a="1"/>
  <c r="C1428" i="3" s="1"/>
  <c r="I1428" i="3" s="1"/>
  <c r="C1429" i="3" a="1"/>
  <c r="C1429" i="3" s="1"/>
  <c r="I1429" i="3" s="1"/>
  <c r="C1430" i="3" a="1"/>
  <c r="C1430" i="3" s="1"/>
  <c r="I1430" i="3" s="1"/>
  <c r="C1431" i="3" a="1"/>
  <c r="C1431" i="3" s="1"/>
  <c r="I1431" i="3" s="1"/>
  <c r="C1432" i="3" a="1"/>
  <c r="C1432" i="3" s="1"/>
  <c r="I1432" i="3" s="1"/>
  <c r="C1433" i="3" a="1"/>
  <c r="C1433" i="3" s="1"/>
  <c r="I1433" i="3" s="1"/>
  <c r="C1434" i="3" a="1"/>
  <c r="C1434" i="3" s="1"/>
  <c r="I1434" i="3" s="1"/>
  <c r="C1435" i="3" a="1"/>
  <c r="C1435" i="3" s="1"/>
  <c r="I1435" i="3" s="1"/>
  <c r="C1436" i="3" a="1"/>
  <c r="C1436" i="3" s="1"/>
  <c r="I1436" i="3" s="1"/>
  <c r="C1437" i="3" a="1"/>
  <c r="C1437" i="3" s="1"/>
  <c r="I1437" i="3" s="1"/>
  <c r="C1438" i="3" a="1"/>
  <c r="C1438" i="3" s="1"/>
  <c r="I1438" i="3" s="1"/>
  <c r="C1439" i="3" a="1"/>
  <c r="C1439" i="3" s="1"/>
  <c r="I1439" i="3" s="1"/>
  <c r="C1440" i="3" a="1"/>
  <c r="C1440" i="3" s="1"/>
  <c r="I1440" i="3" s="1"/>
  <c r="C1441" i="3" a="1"/>
  <c r="C1441" i="3" s="1"/>
  <c r="I1441" i="3" s="1"/>
  <c r="C1442" i="3" a="1"/>
  <c r="C1442" i="3" s="1"/>
  <c r="I1442" i="3" s="1"/>
  <c r="C1443" i="3" a="1"/>
  <c r="C1443" i="3" s="1"/>
  <c r="I1443" i="3" s="1"/>
  <c r="C1444" i="3" a="1"/>
  <c r="C1444" i="3" s="1"/>
  <c r="I1444" i="3" s="1"/>
  <c r="C1445" i="3" a="1"/>
  <c r="C1445" i="3" s="1"/>
  <c r="I1445" i="3" s="1"/>
  <c r="C1446" i="3" a="1"/>
  <c r="C1446" i="3" s="1"/>
  <c r="I1446" i="3" s="1"/>
  <c r="C1447" i="3" a="1"/>
  <c r="C1447" i="3" s="1"/>
  <c r="I1447" i="3" s="1"/>
  <c r="C1448" i="3" a="1"/>
  <c r="C1448" i="3" s="1"/>
  <c r="I1448" i="3" s="1"/>
  <c r="C1449" i="3" a="1"/>
  <c r="C1449" i="3" s="1"/>
  <c r="I1449" i="3" s="1"/>
  <c r="C1450" i="3" a="1"/>
  <c r="C1450" i="3" s="1"/>
  <c r="I1450" i="3" s="1"/>
  <c r="C1451" i="3" a="1"/>
  <c r="C1451" i="3" s="1"/>
  <c r="I1451" i="3" s="1"/>
  <c r="C1452" i="3" a="1"/>
  <c r="C1452" i="3" s="1"/>
  <c r="I1452" i="3" s="1"/>
  <c r="C1453" i="3" a="1"/>
  <c r="C1453" i="3" s="1"/>
  <c r="I1453" i="3" s="1"/>
  <c r="C1454" i="3" a="1"/>
  <c r="C1454" i="3" s="1"/>
  <c r="I1454" i="3" s="1"/>
  <c r="C1455" i="3" a="1"/>
  <c r="C1455" i="3" s="1"/>
  <c r="I1455" i="3" s="1"/>
  <c r="C1456" i="3" a="1"/>
  <c r="C1456" i="3" s="1"/>
  <c r="I1456" i="3" s="1"/>
  <c r="C1457" i="3" a="1"/>
  <c r="C1457" i="3" s="1"/>
  <c r="I1457" i="3" s="1"/>
  <c r="C1458" i="3" a="1"/>
  <c r="C1458" i="3" s="1"/>
  <c r="I1458" i="3" s="1"/>
  <c r="C1459" i="3" a="1"/>
  <c r="C1459" i="3" s="1"/>
  <c r="I1459" i="3" s="1"/>
  <c r="C1460" i="3" a="1"/>
  <c r="C1460" i="3" s="1"/>
  <c r="I1460" i="3" s="1"/>
  <c r="C1461" i="3" a="1"/>
  <c r="C1461" i="3" s="1"/>
  <c r="I1461" i="3" s="1"/>
  <c r="C1462" i="3" a="1"/>
  <c r="C1462" i="3" s="1"/>
  <c r="I1462" i="3" s="1"/>
  <c r="C1463" i="3" a="1"/>
  <c r="C1463" i="3" s="1"/>
  <c r="I1463" i="3" s="1"/>
  <c r="C1464" i="3" a="1"/>
  <c r="C1464" i="3" s="1"/>
  <c r="I1464" i="3" s="1"/>
  <c r="C1465" i="3" a="1"/>
  <c r="C1465" i="3" s="1"/>
  <c r="I1465" i="3" s="1"/>
  <c r="C1466" i="3" a="1"/>
  <c r="C1466" i="3" s="1"/>
  <c r="I1466" i="3" s="1"/>
  <c r="C1467" i="3" a="1"/>
  <c r="C1467" i="3" s="1"/>
  <c r="I1467" i="3" s="1"/>
  <c r="C1468" i="3" a="1"/>
  <c r="C1468" i="3" s="1"/>
  <c r="I1468" i="3" s="1"/>
  <c r="C1469" i="3" a="1"/>
  <c r="C1469" i="3" s="1"/>
  <c r="I1469" i="3" s="1"/>
  <c r="C1470" i="3" a="1"/>
  <c r="C1470" i="3" s="1"/>
  <c r="I1470" i="3" s="1"/>
  <c r="C1471" i="3" a="1"/>
  <c r="C1471" i="3" s="1"/>
  <c r="I1471" i="3" s="1"/>
  <c r="C1472" i="3" a="1"/>
  <c r="C1472" i="3" s="1"/>
  <c r="I1472" i="3" s="1"/>
  <c r="C1473" i="3" a="1"/>
  <c r="C1473" i="3" s="1"/>
  <c r="I1473" i="3" s="1"/>
  <c r="C1474" i="3" a="1"/>
  <c r="C1474" i="3" s="1"/>
  <c r="I1474" i="3" s="1"/>
  <c r="C1475" i="3" a="1"/>
  <c r="C1475" i="3" s="1"/>
  <c r="I1475" i="3" s="1"/>
  <c r="C1476" i="3" a="1"/>
  <c r="C1476" i="3" s="1"/>
  <c r="I1476" i="3" s="1"/>
  <c r="C1477" i="3" a="1"/>
  <c r="C1477" i="3" s="1"/>
  <c r="I1477" i="3" s="1"/>
  <c r="C1478" i="3" a="1"/>
  <c r="C1478" i="3" s="1"/>
  <c r="I1478" i="3" s="1"/>
  <c r="C1479" i="3" a="1"/>
  <c r="C1479" i="3" s="1"/>
  <c r="I1479" i="3" s="1"/>
  <c r="C1480" i="3" a="1"/>
  <c r="C1480" i="3" s="1"/>
  <c r="I1480" i="3" s="1"/>
  <c r="C1481" i="3" a="1"/>
  <c r="C1481" i="3" s="1"/>
  <c r="I1481" i="3" s="1"/>
  <c r="C1482" i="3" a="1"/>
  <c r="C1482" i="3" s="1"/>
  <c r="I1482" i="3" s="1"/>
  <c r="C1483" i="3" a="1"/>
  <c r="C1483" i="3" s="1"/>
  <c r="I1483" i="3" s="1"/>
  <c r="C1484" i="3" a="1"/>
  <c r="C1484" i="3" s="1"/>
  <c r="I1484" i="3" s="1"/>
  <c r="C1485" i="3" a="1"/>
  <c r="C1485" i="3" s="1"/>
  <c r="I1485" i="3" s="1"/>
  <c r="C1486" i="3" a="1"/>
  <c r="C1486" i="3" s="1"/>
  <c r="I1486" i="3" s="1"/>
  <c r="C1487" i="3" a="1"/>
  <c r="C1487" i="3" s="1"/>
  <c r="I1487" i="3" s="1"/>
  <c r="C1488" i="3" a="1"/>
  <c r="C1488" i="3" s="1"/>
  <c r="I1488" i="3" s="1"/>
  <c r="C1489" i="3" a="1"/>
  <c r="C1489" i="3" s="1"/>
  <c r="I1489" i="3" s="1"/>
  <c r="C1490" i="3" a="1"/>
  <c r="C1490" i="3" s="1"/>
  <c r="I1490" i="3" s="1"/>
  <c r="C1491" i="3" a="1"/>
  <c r="C1491" i="3" s="1"/>
  <c r="I1491" i="3" s="1"/>
  <c r="C1492" i="3" a="1"/>
  <c r="C1492" i="3" s="1"/>
  <c r="I1492" i="3" s="1"/>
  <c r="C1493" i="3" a="1"/>
  <c r="C1493" i="3" s="1"/>
  <c r="I1493" i="3" s="1"/>
  <c r="C1494" i="3" a="1"/>
  <c r="C1494" i="3" s="1"/>
  <c r="I1494" i="3" s="1"/>
  <c r="C1495" i="3" a="1"/>
  <c r="C1495" i="3" s="1"/>
  <c r="I1495" i="3" s="1"/>
  <c r="C1496" i="3" a="1"/>
  <c r="C1496" i="3" s="1"/>
  <c r="I1496" i="3" s="1"/>
  <c r="C1497" i="3" a="1"/>
  <c r="C1497" i="3" s="1"/>
  <c r="I1497" i="3" s="1"/>
  <c r="C1498" i="3" a="1"/>
  <c r="C1498" i="3" s="1"/>
  <c r="I1498" i="3" s="1"/>
  <c r="C1499" i="3" a="1"/>
  <c r="C1499" i="3" s="1"/>
  <c r="I1499" i="3" s="1"/>
  <c r="C1500" i="3" a="1"/>
  <c r="C1500" i="3" s="1"/>
  <c r="I1500" i="3" s="1"/>
  <c r="C1501" i="3" a="1"/>
  <c r="C1501" i="3" s="1"/>
  <c r="I1501" i="3" s="1"/>
  <c r="C1502" i="3" a="1"/>
  <c r="C1502" i="3" s="1"/>
  <c r="I1502" i="3" s="1"/>
  <c r="C1503" i="3" a="1"/>
  <c r="C1503" i="3" s="1"/>
  <c r="I1503" i="3" s="1"/>
  <c r="C1504" i="3" a="1"/>
  <c r="C1504" i="3" s="1"/>
  <c r="I1504" i="3" s="1"/>
  <c r="C1505" i="3" a="1"/>
  <c r="C1505" i="3" s="1"/>
  <c r="I1505" i="3" s="1"/>
  <c r="C1506" i="3" a="1"/>
  <c r="C1506" i="3" s="1"/>
  <c r="I1506" i="3" s="1"/>
  <c r="C1507" i="3" a="1"/>
  <c r="C1507" i="3" s="1"/>
  <c r="I1507" i="3" s="1"/>
  <c r="C1508" i="3" a="1"/>
  <c r="C1508" i="3" s="1"/>
  <c r="I1508" i="3" s="1"/>
  <c r="C1509" i="3" a="1"/>
  <c r="C1509" i="3" s="1"/>
  <c r="I1509" i="3" s="1"/>
  <c r="C1510" i="3" a="1"/>
  <c r="C1510" i="3" s="1"/>
  <c r="I1510" i="3" s="1"/>
  <c r="C1511" i="3" a="1"/>
  <c r="C1511" i="3" s="1"/>
  <c r="I1511" i="3" s="1"/>
  <c r="C1512" i="3" a="1"/>
  <c r="C1512" i="3" s="1"/>
  <c r="I1512" i="3" s="1"/>
  <c r="C1513" i="3" a="1"/>
  <c r="C1513" i="3" s="1"/>
  <c r="I1513" i="3" s="1"/>
  <c r="C1514" i="3" a="1"/>
  <c r="C1514" i="3" s="1"/>
  <c r="I1514" i="3" s="1"/>
  <c r="C1515" i="3" a="1"/>
  <c r="C1515" i="3" s="1"/>
  <c r="I1515" i="3" s="1"/>
  <c r="C1516" i="3" a="1"/>
  <c r="C1516" i="3" s="1"/>
  <c r="I1516" i="3" s="1"/>
  <c r="C1517" i="3" a="1"/>
  <c r="C1517" i="3" s="1"/>
  <c r="I1517" i="3" s="1"/>
  <c r="C1518" i="3" a="1"/>
  <c r="C1518" i="3" s="1"/>
  <c r="I1518" i="3" s="1"/>
  <c r="C1519" i="3" a="1"/>
  <c r="C1519" i="3" s="1"/>
  <c r="I1519" i="3" s="1"/>
  <c r="C1520" i="3" a="1"/>
  <c r="C1520" i="3" s="1"/>
  <c r="I1520" i="3" s="1"/>
  <c r="C1521" i="3" a="1"/>
  <c r="C1521" i="3" s="1"/>
  <c r="I1521" i="3" s="1"/>
  <c r="C1522" i="3" a="1"/>
  <c r="C1522" i="3" s="1"/>
  <c r="I1522" i="3" s="1"/>
  <c r="C1523" i="3" a="1"/>
  <c r="C1523" i="3" s="1"/>
  <c r="I1523" i="3" s="1"/>
  <c r="C1524" i="3" a="1"/>
  <c r="C1524" i="3" s="1"/>
  <c r="I1524" i="3" s="1"/>
  <c r="C1525" i="3" a="1"/>
  <c r="C1525" i="3" s="1"/>
  <c r="I1525" i="3" s="1"/>
  <c r="C1526" i="3" a="1"/>
  <c r="C1526" i="3" s="1"/>
  <c r="I1526" i="3" s="1"/>
  <c r="C1527" i="3" a="1"/>
  <c r="C1527" i="3" s="1"/>
  <c r="I1527" i="3" s="1"/>
  <c r="C1528" i="3" a="1"/>
  <c r="C1528" i="3" s="1"/>
  <c r="I1528" i="3" s="1"/>
  <c r="C1529" i="3" a="1"/>
  <c r="C1529" i="3" s="1"/>
  <c r="I1529" i="3" s="1"/>
  <c r="C1530" i="3" a="1"/>
  <c r="C1530" i="3" s="1"/>
  <c r="I1530" i="3" s="1"/>
  <c r="C1531" i="3" a="1"/>
  <c r="C1531" i="3" s="1"/>
  <c r="I1531" i="3" s="1"/>
  <c r="C1532" i="3" a="1"/>
  <c r="C1532" i="3" s="1"/>
  <c r="I1532" i="3" s="1"/>
  <c r="C1533" i="3" a="1"/>
  <c r="C1533" i="3" s="1"/>
  <c r="I1533" i="3" s="1"/>
  <c r="C1534" i="3" a="1"/>
  <c r="C1534" i="3" s="1"/>
  <c r="I1534" i="3" s="1"/>
  <c r="C1535" i="3" a="1"/>
  <c r="C1535" i="3" s="1"/>
  <c r="I1535" i="3" s="1"/>
  <c r="C1536" i="3" a="1"/>
  <c r="C1536" i="3" s="1"/>
  <c r="I1536" i="3" s="1"/>
  <c r="C1537" i="3" a="1"/>
  <c r="C1537" i="3" s="1"/>
  <c r="I1537" i="3" s="1"/>
  <c r="C1538" i="3" a="1"/>
  <c r="C1538" i="3" s="1"/>
  <c r="I1538" i="3" s="1"/>
  <c r="C1539" i="3" a="1"/>
  <c r="C1539" i="3" s="1"/>
  <c r="I1539" i="3" s="1"/>
  <c r="C1540" i="3" a="1"/>
  <c r="C1540" i="3" s="1"/>
  <c r="I1540" i="3" s="1"/>
  <c r="C1541" i="3" a="1"/>
  <c r="C1541" i="3" s="1"/>
  <c r="I1541" i="3" s="1"/>
  <c r="C1542" i="3" a="1"/>
  <c r="C1542" i="3" s="1"/>
  <c r="I1542" i="3" s="1"/>
  <c r="C1543" i="3" a="1"/>
  <c r="C1543" i="3" s="1"/>
  <c r="I1543" i="3" s="1"/>
  <c r="C1544" i="3" a="1"/>
  <c r="C1544" i="3" s="1"/>
  <c r="I1544" i="3" s="1"/>
  <c r="C1545" i="3" a="1"/>
  <c r="C1545" i="3" s="1"/>
  <c r="I1545" i="3" s="1"/>
  <c r="C1546" i="3" a="1"/>
  <c r="C1546" i="3" s="1"/>
  <c r="I1546" i="3" s="1"/>
  <c r="C1547" i="3" a="1"/>
  <c r="C1547" i="3" s="1"/>
  <c r="I1547" i="3" s="1"/>
  <c r="C1548" i="3" a="1"/>
  <c r="C1548" i="3" s="1"/>
  <c r="I1548" i="3" s="1"/>
  <c r="C1549" i="3" a="1"/>
  <c r="C1549" i="3" s="1"/>
  <c r="I1549" i="3" s="1"/>
  <c r="C1550" i="3" a="1"/>
  <c r="C1550" i="3" s="1"/>
  <c r="I1550" i="3" s="1"/>
  <c r="C1551" i="3" a="1"/>
  <c r="C1551" i="3" s="1"/>
  <c r="I1551" i="3" s="1"/>
  <c r="C1552" i="3" a="1"/>
  <c r="C1552" i="3" s="1"/>
  <c r="I1552" i="3" s="1"/>
  <c r="C1553" i="3" a="1"/>
  <c r="C1553" i="3" s="1"/>
  <c r="I1553" i="3" s="1"/>
  <c r="C1554" i="3" a="1"/>
  <c r="C1554" i="3" s="1"/>
  <c r="I1554" i="3" s="1"/>
  <c r="C1555" i="3" a="1"/>
  <c r="C1555" i="3" s="1"/>
  <c r="I1555" i="3" s="1"/>
  <c r="C1556" i="3" a="1"/>
  <c r="C1556" i="3" s="1"/>
  <c r="I1556" i="3" s="1"/>
  <c r="C1557" i="3" a="1"/>
  <c r="C1557" i="3" s="1"/>
  <c r="I1557" i="3" s="1"/>
  <c r="C1558" i="3" a="1"/>
  <c r="C1558" i="3" s="1"/>
  <c r="I1558" i="3" s="1"/>
  <c r="C1559" i="3" a="1"/>
  <c r="C1559" i="3" s="1"/>
  <c r="I1559" i="3" s="1"/>
  <c r="C1560" i="3" a="1"/>
  <c r="C1560" i="3" s="1"/>
  <c r="I1560" i="3" s="1"/>
  <c r="C1561" i="3" a="1"/>
  <c r="C1561" i="3" s="1"/>
  <c r="I1561" i="3" s="1"/>
  <c r="C1562" i="3" a="1"/>
  <c r="C1562" i="3" s="1"/>
  <c r="I1562" i="3" s="1"/>
  <c r="C1563" i="3" a="1"/>
  <c r="C1563" i="3" s="1"/>
  <c r="I1563" i="3" s="1"/>
  <c r="C1564" i="3" a="1"/>
  <c r="C1564" i="3" s="1"/>
  <c r="I1564" i="3" s="1"/>
  <c r="C1565" i="3" a="1"/>
  <c r="C1565" i="3" s="1"/>
  <c r="I1565" i="3" s="1"/>
  <c r="C1566" i="3" a="1"/>
  <c r="C1566" i="3" s="1"/>
  <c r="I1566" i="3" s="1"/>
  <c r="C1567" i="3" a="1"/>
  <c r="C1567" i="3" s="1"/>
  <c r="I1567" i="3" s="1"/>
  <c r="C1568" i="3" a="1"/>
  <c r="C1568" i="3" s="1"/>
  <c r="I1568" i="3" s="1"/>
  <c r="C1569" i="3" a="1"/>
  <c r="C1569" i="3" s="1"/>
  <c r="I1569" i="3" s="1"/>
  <c r="C1570" i="3" a="1"/>
  <c r="C1570" i="3" s="1"/>
  <c r="I1570" i="3" s="1"/>
  <c r="C1571" i="3" a="1"/>
  <c r="C1571" i="3" s="1"/>
  <c r="I1571" i="3" s="1"/>
  <c r="C1572" i="3" a="1"/>
  <c r="C1572" i="3" s="1"/>
  <c r="I1572" i="3" s="1"/>
  <c r="C1573" i="3" a="1"/>
  <c r="C1573" i="3" s="1"/>
  <c r="I1573" i="3" s="1"/>
  <c r="C1574" i="3" a="1"/>
  <c r="C1574" i="3" s="1"/>
  <c r="I1574" i="3" s="1"/>
  <c r="C1575" i="3" a="1"/>
  <c r="C1575" i="3" s="1"/>
  <c r="I1575" i="3" s="1"/>
  <c r="C1576" i="3" a="1"/>
  <c r="C1576" i="3" s="1"/>
  <c r="I1576" i="3" s="1"/>
  <c r="C1577" i="3" a="1"/>
  <c r="C1577" i="3" s="1"/>
  <c r="I1577" i="3" s="1"/>
  <c r="C1578" i="3" a="1"/>
  <c r="C1578" i="3" s="1"/>
  <c r="I1578" i="3" s="1"/>
  <c r="C1579" i="3" a="1"/>
  <c r="C1579" i="3" s="1"/>
  <c r="I1579" i="3" s="1"/>
  <c r="C1580" i="3" a="1"/>
  <c r="C1580" i="3" s="1"/>
  <c r="I1580" i="3" s="1"/>
  <c r="C1581" i="3" a="1"/>
  <c r="C1581" i="3" s="1"/>
  <c r="I1581" i="3" s="1"/>
  <c r="C1582" i="3" a="1"/>
  <c r="C1582" i="3" s="1"/>
  <c r="I1582" i="3" s="1"/>
  <c r="C1583" i="3" a="1"/>
  <c r="C1583" i="3" s="1"/>
  <c r="I1583" i="3" s="1"/>
  <c r="C1584" i="3" a="1"/>
  <c r="C1584" i="3" s="1"/>
  <c r="I1584" i="3" s="1"/>
  <c r="C1585" i="3" a="1"/>
  <c r="C1585" i="3" s="1"/>
  <c r="I1585" i="3" s="1"/>
  <c r="C1586" i="3" a="1"/>
  <c r="C1586" i="3" s="1"/>
  <c r="I1586" i="3" s="1"/>
  <c r="C1587" i="3" a="1"/>
  <c r="C1587" i="3" s="1"/>
  <c r="I1587" i="3" s="1"/>
  <c r="C1588" i="3" a="1"/>
  <c r="C1588" i="3" s="1"/>
  <c r="I1588" i="3" s="1"/>
  <c r="C1589" i="3" a="1"/>
  <c r="C1589" i="3" s="1"/>
  <c r="I1589" i="3" s="1"/>
  <c r="C1590" i="3" a="1"/>
  <c r="C1590" i="3" s="1"/>
  <c r="I1590" i="3" s="1"/>
  <c r="C1591" i="3" a="1"/>
  <c r="C1591" i="3" s="1"/>
  <c r="I1591" i="3" s="1"/>
  <c r="C1592" i="3" a="1"/>
  <c r="C1592" i="3" s="1"/>
  <c r="I1592" i="3" s="1"/>
  <c r="C1593" i="3" a="1"/>
  <c r="C1593" i="3" s="1"/>
  <c r="I1593" i="3" s="1"/>
  <c r="C1594" i="3" a="1"/>
  <c r="C1594" i="3" s="1"/>
  <c r="I1594" i="3" s="1"/>
  <c r="C1595" i="3" a="1"/>
  <c r="C1595" i="3" s="1"/>
  <c r="I1595" i="3" s="1"/>
  <c r="C1596" i="3" a="1"/>
  <c r="C1596" i="3" s="1"/>
  <c r="I1596" i="3" s="1"/>
  <c r="C1597" i="3" a="1"/>
  <c r="C1597" i="3" s="1"/>
  <c r="I1597" i="3" s="1"/>
  <c r="C1598" i="3" a="1"/>
  <c r="C1598" i="3" s="1"/>
  <c r="I1598" i="3" s="1"/>
  <c r="C1599" i="3" a="1"/>
  <c r="C1599" i="3" s="1"/>
  <c r="I1599" i="3" s="1"/>
  <c r="C1600" i="3" a="1"/>
  <c r="C1600" i="3" s="1"/>
  <c r="I1600" i="3" s="1"/>
  <c r="C1601" i="3" a="1"/>
  <c r="C1601" i="3" s="1"/>
  <c r="I1601" i="3" s="1"/>
  <c r="C1602" i="3" a="1"/>
  <c r="C1602" i="3" s="1"/>
  <c r="I1602" i="3" s="1"/>
  <c r="C1603" i="3" a="1"/>
  <c r="C1603" i="3" s="1"/>
  <c r="I1603" i="3" s="1"/>
  <c r="C1604" i="3" a="1"/>
  <c r="C1604" i="3" s="1"/>
  <c r="I1604" i="3" s="1"/>
  <c r="C1605" i="3" a="1"/>
  <c r="C1605" i="3" s="1"/>
  <c r="I1605" i="3" s="1"/>
  <c r="C1606" i="3" a="1"/>
  <c r="C1606" i="3" s="1"/>
  <c r="I1606" i="3" s="1"/>
  <c r="C1607" i="3" a="1"/>
  <c r="C1607" i="3" s="1"/>
  <c r="I1607" i="3" s="1"/>
  <c r="C1608" i="3" a="1"/>
  <c r="C1608" i="3" s="1"/>
  <c r="I1608" i="3" s="1"/>
  <c r="C1609" i="3" a="1"/>
  <c r="C1609" i="3" s="1"/>
  <c r="I1609" i="3" s="1"/>
  <c r="C1610" i="3" a="1"/>
  <c r="C1610" i="3" s="1"/>
  <c r="I1610" i="3" s="1"/>
  <c r="C1611" i="3" a="1"/>
  <c r="C1611" i="3" s="1"/>
  <c r="I1611" i="3" s="1"/>
  <c r="C1612" i="3" a="1"/>
  <c r="C1612" i="3" s="1"/>
  <c r="I1612" i="3" s="1"/>
  <c r="C1613" i="3" a="1"/>
  <c r="C1613" i="3" s="1"/>
  <c r="I1613" i="3" s="1"/>
  <c r="C1614" i="3" a="1"/>
  <c r="C1614" i="3" s="1"/>
  <c r="I1614" i="3" s="1"/>
  <c r="C1615" i="3" a="1"/>
  <c r="C1615" i="3" s="1"/>
  <c r="I1615" i="3" s="1"/>
  <c r="C1616" i="3" a="1"/>
  <c r="C1616" i="3" s="1"/>
  <c r="I1616" i="3" s="1"/>
  <c r="C1617" i="3" a="1"/>
  <c r="C1617" i="3" s="1"/>
  <c r="I1617" i="3" s="1"/>
  <c r="C1618" i="3" a="1"/>
  <c r="C1618" i="3" s="1"/>
  <c r="I1618" i="3" s="1"/>
  <c r="C1619" i="3" a="1"/>
  <c r="C1619" i="3" s="1"/>
  <c r="I1619" i="3" s="1"/>
  <c r="C1620" i="3" a="1"/>
  <c r="C1620" i="3" s="1"/>
  <c r="I1620" i="3" s="1"/>
  <c r="C1621" i="3" a="1"/>
  <c r="C1621" i="3" s="1"/>
  <c r="I1621" i="3" s="1"/>
  <c r="C1622" i="3" a="1"/>
  <c r="C1622" i="3" s="1"/>
  <c r="I1622" i="3" s="1"/>
  <c r="C1623" i="3" a="1"/>
  <c r="C1623" i="3" s="1"/>
  <c r="I1623" i="3" s="1"/>
  <c r="C1624" i="3" a="1"/>
  <c r="C1624" i="3" s="1"/>
  <c r="I1624" i="3" s="1"/>
  <c r="C1625" i="3" a="1"/>
  <c r="C1625" i="3" s="1"/>
  <c r="I1625" i="3" s="1"/>
  <c r="C1626" i="3" a="1"/>
  <c r="C1626" i="3" s="1"/>
  <c r="I1626" i="3" s="1"/>
  <c r="C1627" i="3" a="1"/>
  <c r="C1627" i="3" s="1"/>
  <c r="I1627" i="3" s="1"/>
  <c r="C1628" i="3" a="1"/>
  <c r="C1628" i="3" s="1"/>
  <c r="I1628" i="3" s="1"/>
  <c r="C1629" i="3" a="1"/>
  <c r="C1629" i="3" s="1"/>
  <c r="I1629" i="3" s="1"/>
  <c r="C1630" i="3" a="1"/>
  <c r="C1630" i="3" s="1"/>
  <c r="I1630" i="3" s="1"/>
  <c r="C1631" i="3" a="1"/>
  <c r="C1631" i="3" s="1"/>
  <c r="I1631" i="3" s="1"/>
  <c r="C1632" i="3" a="1"/>
  <c r="C1632" i="3" s="1"/>
  <c r="I1632" i="3" s="1"/>
  <c r="C1633" i="3" a="1"/>
  <c r="C1633" i="3" s="1"/>
  <c r="I1633" i="3" s="1"/>
  <c r="C1634" i="3" a="1"/>
  <c r="C1634" i="3" s="1"/>
  <c r="I1634" i="3" s="1"/>
  <c r="C1635" i="3" a="1"/>
  <c r="C1635" i="3" s="1"/>
  <c r="I1635" i="3" s="1"/>
  <c r="C1636" i="3" a="1"/>
  <c r="C1636" i="3" s="1"/>
  <c r="I1636" i="3" s="1"/>
  <c r="C1637" i="3" a="1"/>
  <c r="C1637" i="3" s="1"/>
  <c r="I1637" i="3" s="1"/>
  <c r="C1638" i="3" a="1"/>
  <c r="C1638" i="3" s="1"/>
  <c r="I1638" i="3" s="1"/>
  <c r="C1639" i="3" a="1"/>
  <c r="C1639" i="3" s="1"/>
  <c r="I1639" i="3" s="1"/>
  <c r="C1640" i="3" a="1"/>
  <c r="C1640" i="3" s="1"/>
  <c r="I1640" i="3" s="1"/>
  <c r="C1641" i="3" a="1"/>
  <c r="C1641" i="3" s="1"/>
  <c r="I1641" i="3" s="1"/>
  <c r="C1642" i="3" a="1"/>
  <c r="C1642" i="3" s="1"/>
  <c r="I1642" i="3" s="1"/>
  <c r="C1643" i="3" a="1"/>
  <c r="C1643" i="3" s="1"/>
  <c r="I1643" i="3" s="1"/>
  <c r="C1644" i="3" a="1"/>
  <c r="C1644" i="3" s="1"/>
  <c r="I1644" i="3" s="1"/>
  <c r="C1645" i="3" a="1"/>
  <c r="C1645" i="3" s="1"/>
  <c r="I1645" i="3" s="1"/>
  <c r="C1646" i="3" a="1"/>
  <c r="C1646" i="3" s="1"/>
  <c r="I1646" i="3" s="1"/>
  <c r="C1647" i="3" a="1"/>
  <c r="C1647" i="3" s="1"/>
  <c r="I1647" i="3" s="1"/>
  <c r="C1648" i="3" a="1"/>
  <c r="C1648" i="3" s="1"/>
  <c r="I1648" i="3" s="1"/>
  <c r="C1649" i="3" a="1"/>
  <c r="C1649" i="3" s="1"/>
  <c r="I1649" i="3" s="1"/>
  <c r="C1650" i="3" a="1"/>
  <c r="C1650" i="3" s="1"/>
  <c r="I1650" i="3" s="1"/>
  <c r="C1651" i="3" a="1"/>
  <c r="C1651" i="3" s="1"/>
  <c r="I1651" i="3" s="1"/>
  <c r="C1652" i="3" a="1"/>
  <c r="C1652" i="3" s="1"/>
  <c r="I1652" i="3" s="1"/>
  <c r="C1653" i="3" a="1"/>
  <c r="C1653" i="3" s="1"/>
  <c r="I1653" i="3" s="1"/>
  <c r="C1654" i="3" a="1"/>
  <c r="C1654" i="3" s="1"/>
  <c r="I1654" i="3" s="1"/>
  <c r="C1655" i="3" a="1"/>
  <c r="C1655" i="3" s="1"/>
  <c r="I1655" i="3" s="1"/>
  <c r="C1656" i="3" a="1"/>
  <c r="C1656" i="3" s="1"/>
  <c r="I1656" i="3" s="1"/>
  <c r="C1657" i="3" a="1"/>
  <c r="C1657" i="3" s="1"/>
  <c r="I1657" i="3" s="1"/>
  <c r="C1658" i="3" a="1"/>
  <c r="C1658" i="3" s="1"/>
  <c r="I1658" i="3" s="1"/>
  <c r="C1659" i="3" a="1"/>
  <c r="C1659" i="3" s="1"/>
  <c r="I1659" i="3" s="1"/>
  <c r="C1660" i="3" a="1"/>
  <c r="C1660" i="3" s="1"/>
  <c r="I1660" i="3" s="1"/>
  <c r="C1661" i="3" a="1"/>
  <c r="C1661" i="3" s="1"/>
  <c r="I1661" i="3" s="1"/>
  <c r="C1662" i="3" a="1"/>
  <c r="C1662" i="3" s="1"/>
  <c r="I1662" i="3" s="1"/>
  <c r="C1663" i="3" a="1"/>
  <c r="C1663" i="3" s="1"/>
  <c r="I1663" i="3" s="1"/>
  <c r="C1664" i="3" a="1"/>
  <c r="C1664" i="3" s="1"/>
  <c r="I1664" i="3" s="1"/>
  <c r="C1665" i="3" a="1"/>
  <c r="C1665" i="3" s="1"/>
  <c r="I1665" i="3" s="1"/>
  <c r="C1666" i="3" a="1"/>
  <c r="C1666" i="3" s="1"/>
  <c r="I1666" i="3" s="1"/>
  <c r="C1667" i="3" a="1"/>
  <c r="C1667" i="3" s="1"/>
  <c r="I1667" i="3" s="1"/>
  <c r="C1668" i="3" a="1"/>
  <c r="C1668" i="3" s="1"/>
  <c r="I1668" i="3" s="1"/>
  <c r="C1669" i="3" a="1"/>
  <c r="C1669" i="3" s="1"/>
  <c r="I1669" i="3" s="1"/>
  <c r="C1670" i="3" a="1"/>
  <c r="C1670" i="3" s="1"/>
  <c r="I1670" i="3" s="1"/>
  <c r="C1671" i="3" a="1"/>
  <c r="C1671" i="3" s="1"/>
  <c r="I1671" i="3" s="1"/>
  <c r="C1672" i="3" a="1"/>
  <c r="C1672" i="3" s="1"/>
  <c r="I1672" i="3" s="1"/>
  <c r="C1673" i="3" a="1"/>
  <c r="C1673" i="3" s="1"/>
  <c r="I1673" i="3" s="1"/>
  <c r="C1674" i="3" a="1"/>
  <c r="C1674" i="3" s="1"/>
  <c r="I1674" i="3" s="1"/>
  <c r="C1675" i="3" a="1"/>
  <c r="C1675" i="3" s="1"/>
  <c r="I1675" i="3" s="1"/>
  <c r="C1676" i="3" a="1"/>
  <c r="C1676" i="3" s="1"/>
  <c r="I1676" i="3" s="1"/>
  <c r="C1677" i="3" a="1"/>
  <c r="C1677" i="3" s="1"/>
  <c r="I1677" i="3" s="1"/>
  <c r="C1678" i="3" a="1"/>
  <c r="C1678" i="3" s="1"/>
  <c r="I1678" i="3" s="1"/>
  <c r="C1679" i="3" a="1"/>
  <c r="C1679" i="3" s="1"/>
  <c r="I1679" i="3" s="1"/>
  <c r="C1680" i="3" a="1"/>
  <c r="C1680" i="3" s="1"/>
  <c r="I1680" i="3" s="1"/>
  <c r="C1681" i="3" a="1"/>
  <c r="C1681" i="3" s="1"/>
  <c r="I1681" i="3" s="1"/>
  <c r="C1682" i="3" a="1"/>
  <c r="C1682" i="3" s="1"/>
  <c r="I1682" i="3" s="1"/>
  <c r="C1683" i="3" a="1"/>
  <c r="C1683" i="3" s="1"/>
  <c r="I1683" i="3" s="1"/>
  <c r="C1684" i="3" a="1"/>
  <c r="C1684" i="3" s="1"/>
  <c r="I1684" i="3" s="1"/>
  <c r="C1685" i="3" a="1"/>
  <c r="C1685" i="3" s="1"/>
  <c r="I1685" i="3" s="1"/>
  <c r="C1686" i="3" a="1"/>
  <c r="C1686" i="3" s="1"/>
  <c r="I1686" i="3" s="1"/>
  <c r="C1687" i="3" a="1"/>
  <c r="C1687" i="3" s="1"/>
  <c r="I1687" i="3" s="1"/>
  <c r="C1688" i="3" a="1"/>
  <c r="C1688" i="3" s="1"/>
  <c r="I1688" i="3" s="1"/>
  <c r="C1689" i="3" a="1"/>
  <c r="C1689" i="3" s="1"/>
  <c r="I1689" i="3" s="1"/>
  <c r="C1690" i="3" a="1"/>
  <c r="C1690" i="3" s="1"/>
  <c r="I1690" i="3" s="1"/>
  <c r="C1691" i="3" a="1"/>
  <c r="C1691" i="3" s="1"/>
  <c r="I1691" i="3" s="1"/>
  <c r="C1692" i="3" a="1"/>
  <c r="C1692" i="3" s="1"/>
  <c r="I1692" i="3" s="1"/>
  <c r="C1693" i="3" a="1"/>
  <c r="C1693" i="3" s="1"/>
  <c r="I1693" i="3" s="1"/>
  <c r="C1694" i="3" a="1"/>
  <c r="C1694" i="3" s="1"/>
  <c r="I1694" i="3" s="1"/>
  <c r="C1695" i="3" a="1"/>
  <c r="C1695" i="3" s="1"/>
  <c r="I1695" i="3" s="1"/>
  <c r="C1696" i="3" a="1"/>
  <c r="C1696" i="3" s="1"/>
  <c r="I1696" i="3" s="1"/>
  <c r="C1697" i="3" a="1"/>
  <c r="C1697" i="3" s="1"/>
  <c r="I1697" i="3" s="1"/>
  <c r="C1698" i="3" a="1"/>
  <c r="C1698" i="3" s="1"/>
  <c r="I1698" i="3" s="1"/>
  <c r="C1699" i="3" a="1"/>
  <c r="C1699" i="3" s="1"/>
  <c r="I1699" i="3" s="1"/>
  <c r="C1700" i="3" a="1"/>
  <c r="C1700" i="3" s="1"/>
  <c r="I1700" i="3" s="1"/>
  <c r="C1701" i="3" a="1"/>
  <c r="C1701" i="3" s="1"/>
  <c r="I1701" i="3" s="1"/>
  <c r="C1702" i="3" a="1"/>
  <c r="C1702" i="3" s="1"/>
  <c r="I1702" i="3" s="1"/>
  <c r="C1703" i="3" a="1"/>
  <c r="C1703" i="3" s="1"/>
  <c r="I1703" i="3" s="1"/>
  <c r="C1704" i="3" a="1"/>
  <c r="C1704" i="3" s="1"/>
  <c r="I1704" i="3" s="1"/>
  <c r="C1705" i="3" a="1"/>
  <c r="C1705" i="3" s="1"/>
  <c r="I1705" i="3" s="1"/>
  <c r="C1706" i="3" a="1"/>
  <c r="C1706" i="3" s="1"/>
  <c r="I1706" i="3" s="1"/>
  <c r="C1707" i="3" a="1"/>
  <c r="C1707" i="3" s="1"/>
  <c r="I1707" i="3" s="1"/>
  <c r="C1708" i="3" a="1"/>
  <c r="C1708" i="3" s="1"/>
  <c r="I1708" i="3" s="1"/>
  <c r="C1709" i="3" a="1"/>
  <c r="C1709" i="3" s="1"/>
  <c r="I1709" i="3" s="1"/>
  <c r="C1710" i="3" a="1"/>
  <c r="C1710" i="3" s="1"/>
  <c r="I1710" i="3" s="1"/>
  <c r="C1711" i="3" a="1"/>
  <c r="C1711" i="3" s="1"/>
  <c r="I1711" i="3" s="1"/>
  <c r="C1712" i="3" a="1"/>
  <c r="C1712" i="3" s="1"/>
  <c r="I1712" i="3" s="1"/>
  <c r="C1713" i="3" a="1"/>
  <c r="C1713" i="3" s="1"/>
  <c r="I1713" i="3" s="1"/>
  <c r="C1714" i="3" a="1"/>
  <c r="C1714" i="3" s="1"/>
  <c r="I1714" i="3" s="1"/>
  <c r="C1715" i="3" a="1"/>
  <c r="C1715" i="3" s="1"/>
  <c r="I1715" i="3" s="1"/>
  <c r="C1716" i="3" a="1"/>
  <c r="C1716" i="3" s="1"/>
  <c r="I1716" i="3" s="1"/>
  <c r="C1717" i="3" a="1"/>
  <c r="C1717" i="3" s="1"/>
  <c r="I1717" i="3" s="1"/>
  <c r="C1718" i="3" a="1"/>
  <c r="C1718" i="3" s="1"/>
  <c r="I1718" i="3" s="1"/>
  <c r="C1719" i="3" a="1"/>
  <c r="C1719" i="3" s="1"/>
  <c r="I1719" i="3" s="1"/>
  <c r="C1720" i="3" a="1"/>
  <c r="C1720" i="3" s="1"/>
  <c r="I1720" i="3" s="1"/>
  <c r="C1721" i="3" a="1"/>
  <c r="C1721" i="3" s="1"/>
  <c r="I1721" i="3" s="1"/>
  <c r="C1722" i="3" a="1"/>
  <c r="C1722" i="3" s="1"/>
  <c r="I1722" i="3" s="1"/>
  <c r="C1723" i="3" a="1"/>
  <c r="C1723" i="3" s="1"/>
  <c r="I1723" i="3" s="1"/>
  <c r="C1724" i="3" a="1"/>
  <c r="C1724" i="3" s="1"/>
  <c r="I1724" i="3" s="1"/>
  <c r="C1725" i="3" a="1"/>
  <c r="C1725" i="3" s="1"/>
  <c r="I1725" i="3" s="1"/>
  <c r="C1726" i="3" a="1"/>
  <c r="C1726" i="3" s="1"/>
  <c r="I1726" i="3" s="1"/>
  <c r="C1727" i="3" a="1"/>
  <c r="C1727" i="3" s="1"/>
  <c r="I1727" i="3" s="1"/>
  <c r="C1728" i="3" a="1"/>
  <c r="C1728" i="3" s="1"/>
  <c r="I1728" i="3" s="1"/>
  <c r="C1729" i="3" a="1"/>
  <c r="C1729" i="3" s="1"/>
  <c r="I1729" i="3" s="1"/>
  <c r="C1730" i="3" a="1"/>
  <c r="C1730" i="3" s="1"/>
  <c r="I1730" i="3" s="1"/>
  <c r="C1731" i="3" a="1"/>
  <c r="C1731" i="3" s="1"/>
  <c r="I1731" i="3" s="1"/>
  <c r="C1732" i="3" a="1"/>
  <c r="C1732" i="3" s="1"/>
  <c r="I1732" i="3" s="1"/>
  <c r="C1733" i="3" a="1"/>
  <c r="C1733" i="3" s="1"/>
  <c r="I1733" i="3" s="1"/>
  <c r="C1734" i="3" a="1"/>
  <c r="C1734" i="3" s="1"/>
  <c r="I1734" i="3" s="1"/>
  <c r="C1735" i="3" a="1"/>
  <c r="C1735" i="3" s="1"/>
  <c r="I1735" i="3" s="1"/>
  <c r="C1736" i="3" a="1"/>
  <c r="C1736" i="3" s="1"/>
  <c r="I1736" i="3" s="1"/>
  <c r="C1737" i="3" a="1"/>
  <c r="C1737" i="3" s="1"/>
  <c r="I1737" i="3" s="1"/>
  <c r="C1738" i="3" a="1"/>
  <c r="C1738" i="3" s="1"/>
  <c r="I1738" i="3" s="1"/>
  <c r="C1739" i="3" a="1"/>
  <c r="C1739" i="3" s="1"/>
  <c r="I1739" i="3" s="1"/>
  <c r="C1740" i="3" a="1"/>
  <c r="C1740" i="3" s="1"/>
  <c r="I1740" i="3" s="1"/>
  <c r="C1741" i="3" a="1"/>
  <c r="C1741" i="3" s="1"/>
  <c r="I1741" i="3" s="1"/>
  <c r="C1742" i="3" a="1"/>
  <c r="C1742" i="3" s="1"/>
  <c r="I1742" i="3" s="1"/>
  <c r="C1743" i="3" a="1"/>
  <c r="C1743" i="3" s="1"/>
  <c r="I1743" i="3" s="1"/>
  <c r="C1744" i="3" a="1"/>
  <c r="C1744" i="3" s="1"/>
  <c r="I1744" i="3" s="1"/>
  <c r="C1745" i="3" a="1"/>
  <c r="C1745" i="3" s="1"/>
  <c r="I1745" i="3" s="1"/>
  <c r="C1746" i="3" a="1"/>
  <c r="C1746" i="3" s="1"/>
  <c r="I1746" i="3" s="1"/>
  <c r="C1747" i="3" a="1"/>
  <c r="C1747" i="3" s="1"/>
  <c r="I1747" i="3" s="1"/>
  <c r="C1748" i="3" a="1"/>
  <c r="C1748" i="3" s="1"/>
  <c r="I1748" i="3" s="1"/>
  <c r="C1749" i="3" a="1"/>
  <c r="C1749" i="3" s="1"/>
  <c r="I1749" i="3" s="1"/>
  <c r="C1750" i="3" a="1"/>
  <c r="C1750" i="3" s="1"/>
  <c r="I1750" i="3" s="1"/>
  <c r="C1751" i="3" a="1"/>
  <c r="C1751" i="3" s="1"/>
  <c r="I1751" i="3" s="1"/>
  <c r="C1752" i="3" a="1"/>
  <c r="C1752" i="3" s="1"/>
  <c r="I1752" i="3" s="1"/>
  <c r="C1753" i="3" a="1"/>
  <c r="C1753" i="3" s="1"/>
  <c r="I1753" i="3" s="1"/>
  <c r="C1754" i="3" a="1"/>
  <c r="C1754" i="3" s="1"/>
  <c r="I1754" i="3" s="1"/>
  <c r="C1755" i="3" a="1"/>
  <c r="C1755" i="3" s="1"/>
  <c r="I1755" i="3" s="1"/>
  <c r="C1756" i="3" a="1"/>
  <c r="C1756" i="3" s="1"/>
  <c r="I1756" i="3" s="1"/>
  <c r="C1757" i="3" a="1"/>
  <c r="C1757" i="3" s="1"/>
  <c r="I1757" i="3" s="1"/>
  <c r="C1758" i="3" a="1"/>
  <c r="C1758" i="3" s="1"/>
  <c r="I1758" i="3" s="1"/>
  <c r="C1759" i="3" a="1"/>
  <c r="C1759" i="3" s="1"/>
  <c r="I1759" i="3" s="1"/>
  <c r="C1760" i="3" a="1"/>
  <c r="C1760" i="3" s="1"/>
  <c r="I1760" i="3" s="1"/>
  <c r="C1761" i="3" a="1"/>
  <c r="C1761" i="3" s="1"/>
  <c r="I1761" i="3" s="1"/>
  <c r="C1762" i="3" a="1"/>
  <c r="C1762" i="3" s="1"/>
  <c r="I1762" i="3" s="1"/>
  <c r="C1763" i="3" a="1"/>
  <c r="C1763" i="3" s="1"/>
  <c r="I1763" i="3" s="1"/>
  <c r="C1764" i="3" a="1"/>
  <c r="C1764" i="3" s="1"/>
  <c r="I1764" i="3" s="1"/>
  <c r="C1765" i="3" a="1"/>
  <c r="C1765" i="3" s="1"/>
  <c r="I1765" i="3" s="1"/>
  <c r="C1766" i="3" a="1"/>
  <c r="C1766" i="3" s="1"/>
  <c r="I1766" i="3" s="1"/>
  <c r="C1767" i="3" a="1"/>
  <c r="C1767" i="3" s="1"/>
  <c r="I1767" i="3" s="1"/>
  <c r="C1768" i="3" a="1"/>
  <c r="C1768" i="3" s="1"/>
  <c r="I1768" i="3" s="1"/>
  <c r="C1769" i="3" a="1"/>
  <c r="C1769" i="3" s="1"/>
  <c r="I1769" i="3" s="1"/>
  <c r="C1770" i="3" a="1"/>
  <c r="C1770" i="3" s="1"/>
  <c r="I1770" i="3" s="1"/>
  <c r="C1771" i="3" a="1"/>
  <c r="C1771" i="3" s="1"/>
  <c r="I1771" i="3" s="1"/>
  <c r="C1772" i="3" a="1"/>
  <c r="C1772" i="3" s="1"/>
  <c r="I1772" i="3" s="1"/>
  <c r="C1773" i="3" a="1"/>
  <c r="C1773" i="3" s="1"/>
  <c r="I1773" i="3" s="1"/>
  <c r="C1774" i="3" a="1"/>
  <c r="C1774" i="3" s="1"/>
  <c r="I1774" i="3" s="1"/>
  <c r="C1775" i="3" a="1"/>
  <c r="C1775" i="3" s="1"/>
  <c r="I1775" i="3" s="1"/>
  <c r="C1776" i="3" a="1"/>
  <c r="C1776" i="3" s="1"/>
  <c r="I1776" i="3" s="1"/>
  <c r="C1777" i="3" a="1"/>
  <c r="C1777" i="3" s="1"/>
  <c r="I1777" i="3" s="1"/>
  <c r="C1778" i="3" a="1"/>
  <c r="C1778" i="3" s="1"/>
  <c r="I1778" i="3" s="1"/>
  <c r="C1779" i="3" a="1"/>
  <c r="C1779" i="3" s="1"/>
  <c r="I1779" i="3" s="1"/>
  <c r="C1780" i="3" a="1"/>
  <c r="C1780" i="3" s="1"/>
  <c r="I1780" i="3" s="1"/>
  <c r="C1781" i="3" a="1"/>
  <c r="C1781" i="3" s="1"/>
  <c r="I1781" i="3" s="1"/>
  <c r="C1782" i="3" a="1"/>
  <c r="C1782" i="3" s="1"/>
  <c r="I1782" i="3" s="1"/>
  <c r="C1783" i="3" a="1"/>
  <c r="C1783" i="3" s="1"/>
  <c r="I1783" i="3" s="1"/>
  <c r="C1784" i="3" a="1"/>
  <c r="C1784" i="3" s="1"/>
  <c r="I1784" i="3" s="1"/>
  <c r="C1785" i="3" a="1"/>
  <c r="C1785" i="3" s="1"/>
  <c r="I1785" i="3" s="1"/>
  <c r="C1786" i="3" a="1"/>
  <c r="C1786" i="3" s="1"/>
  <c r="I1786" i="3" s="1"/>
  <c r="C1787" i="3" a="1"/>
  <c r="C1787" i="3" s="1"/>
  <c r="I1787" i="3" s="1"/>
  <c r="C1788" i="3" a="1"/>
  <c r="C1788" i="3" s="1"/>
  <c r="I1788" i="3" s="1"/>
  <c r="C1789" i="3" a="1"/>
  <c r="C1789" i="3" s="1"/>
  <c r="I1789" i="3" s="1"/>
  <c r="C1790" i="3" a="1"/>
  <c r="C1790" i="3" s="1"/>
  <c r="I1790" i="3" s="1"/>
  <c r="C1791" i="3" a="1"/>
  <c r="C1791" i="3" s="1"/>
  <c r="I1791" i="3" s="1"/>
  <c r="C1792" i="3" a="1"/>
  <c r="C1792" i="3" s="1"/>
  <c r="I1792" i="3" s="1"/>
  <c r="C1793" i="3" a="1"/>
  <c r="C1793" i="3" s="1"/>
  <c r="I1793" i="3" s="1"/>
  <c r="C1794" i="3" a="1"/>
  <c r="C1794" i="3" s="1"/>
  <c r="I1794" i="3" s="1"/>
  <c r="C1795" i="3" a="1"/>
  <c r="C1795" i="3" s="1"/>
  <c r="I1795" i="3" s="1"/>
  <c r="C1796" i="3" a="1"/>
  <c r="C1796" i="3" s="1"/>
  <c r="I1796" i="3" s="1"/>
  <c r="C1797" i="3" a="1"/>
  <c r="C1797" i="3" s="1"/>
  <c r="I1797" i="3" s="1"/>
  <c r="C1798" i="3" a="1"/>
  <c r="C1798" i="3" s="1"/>
  <c r="I1798" i="3" s="1"/>
  <c r="C1799" i="3" a="1"/>
  <c r="C1799" i="3" s="1"/>
  <c r="I1799" i="3" s="1"/>
  <c r="C1800" i="3" a="1"/>
  <c r="C1800" i="3" s="1"/>
  <c r="I1800" i="3" s="1"/>
  <c r="C1801" i="3" a="1"/>
  <c r="C1801" i="3" s="1"/>
  <c r="I1801" i="3" s="1"/>
  <c r="C1802" i="3" a="1"/>
  <c r="C1802" i="3" s="1"/>
  <c r="I1802" i="3" s="1"/>
  <c r="C1803" i="3" a="1"/>
  <c r="C1803" i="3" s="1"/>
  <c r="I1803" i="3" s="1"/>
  <c r="C1804" i="3" a="1"/>
  <c r="C1804" i="3" s="1"/>
  <c r="I1804" i="3" s="1"/>
  <c r="C1805" i="3" a="1"/>
  <c r="C1805" i="3" s="1"/>
  <c r="I1805" i="3" s="1"/>
  <c r="C1806" i="3" a="1"/>
  <c r="C1806" i="3" s="1"/>
  <c r="I1806" i="3" s="1"/>
  <c r="C1807" i="3" a="1"/>
  <c r="C1807" i="3" s="1"/>
  <c r="I1807" i="3" s="1"/>
  <c r="C1808" i="3" a="1"/>
  <c r="C1808" i="3" s="1"/>
  <c r="I1808" i="3" s="1"/>
  <c r="C1809" i="3" a="1"/>
  <c r="C1809" i="3" s="1"/>
  <c r="I1809" i="3" s="1"/>
  <c r="C1810" i="3" a="1"/>
  <c r="C1810" i="3" s="1"/>
  <c r="I1810" i="3" s="1"/>
  <c r="C1811" i="3" a="1"/>
  <c r="C1811" i="3" s="1"/>
  <c r="I1811" i="3" s="1"/>
  <c r="C1812" i="3" a="1"/>
  <c r="C1812" i="3" s="1"/>
  <c r="I1812" i="3" s="1"/>
  <c r="C1813" i="3" a="1"/>
  <c r="C1813" i="3" s="1"/>
  <c r="I1813" i="3" s="1"/>
  <c r="C1814" i="3" a="1"/>
  <c r="C1814" i="3" s="1"/>
  <c r="I1814" i="3" s="1"/>
  <c r="C1815" i="3" a="1"/>
  <c r="C1815" i="3" s="1"/>
  <c r="I1815" i="3" s="1"/>
  <c r="C1816" i="3" a="1"/>
  <c r="C1816" i="3" s="1"/>
  <c r="I1816" i="3" s="1"/>
  <c r="C1817" i="3" a="1"/>
  <c r="C1817" i="3" s="1"/>
  <c r="I1817" i="3" s="1"/>
  <c r="C1818" i="3" a="1"/>
  <c r="C1818" i="3" s="1"/>
  <c r="I1818" i="3" s="1"/>
  <c r="C1819" i="3" a="1"/>
  <c r="C1819" i="3" s="1"/>
  <c r="I1819" i="3" s="1"/>
  <c r="C1820" i="3" a="1"/>
  <c r="C1820" i="3" s="1"/>
  <c r="I1820" i="3" s="1"/>
  <c r="C1821" i="3" a="1"/>
  <c r="C1821" i="3" s="1"/>
  <c r="I1821" i="3" s="1"/>
  <c r="C1822" i="3" a="1"/>
  <c r="C1822" i="3" s="1"/>
  <c r="I1822" i="3" s="1"/>
  <c r="C1823" i="3" a="1"/>
  <c r="C1823" i="3" s="1"/>
  <c r="I1823" i="3" s="1"/>
  <c r="C1824" i="3" a="1"/>
  <c r="C1824" i="3" s="1"/>
  <c r="I1824" i="3" s="1"/>
  <c r="C1825" i="3" a="1"/>
  <c r="C1825" i="3" s="1"/>
  <c r="I1825" i="3" s="1"/>
  <c r="C1826" i="3" a="1"/>
  <c r="C1826" i="3" s="1"/>
  <c r="I1826" i="3" s="1"/>
  <c r="C1827" i="3" a="1"/>
  <c r="C1827" i="3" s="1"/>
  <c r="I1827" i="3" s="1"/>
  <c r="C1828" i="3" a="1"/>
  <c r="C1828" i="3" s="1"/>
  <c r="I1828" i="3" s="1"/>
  <c r="C1829" i="3" a="1"/>
  <c r="C1829" i="3" s="1"/>
  <c r="I1829" i="3" s="1"/>
  <c r="C1830" i="3" a="1"/>
  <c r="C1830" i="3" s="1"/>
  <c r="I1830" i="3" s="1"/>
  <c r="C1831" i="3" a="1"/>
  <c r="C1831" i="3" s="1"/>
  <c r="I1831" i="3" s="1"/>
  <c r="C1832" i="3" a="1"/>
  <c r="C1832" i="3" s="1"/>
  <c r="I1832" i="3" s="1"/>
  <c r="C1833" i="3" a="1"/>
  <c r="C1833" i="3" s="1"/>
  <c r="I1833" i="3" s="1"/>
  <c r="C1834" i="3" a="1"/>
  <c r="C1834" i="3" s="1"/>
  <c r="I1834" i="3" s="1"/>
  <c r="C1835" i="3" a="1"/>
  <c r="C1835" i="3" s="1"/>
  <c r="I1835" i="3" s="1"/>
  <c r="C1836" i="3" a="1"/>
  <c r="C1836" i="3" s="1"/>
  <c r="I1836" i="3" s="1"/>
  <c r="C1837" i="3" a="1"/>
  <c r="C1837" i="3" s="1"/>
  <c r="I1837" i="3" s="1"/>
  <c r="C1838" i="3" a="1"/>
  <c r="C1838" i="3" s="1"/>
  <c r="I1838" i="3" s="1"/>
  <c r="C1839" i="3" a="1"/>
  <c r="C1839" i="3" s="1"/>
  <c r="I1839" i="3" s="1"/>
  <c r="C1840" i="3" a="1"/>
  <c r="C1840" i="3" s="1"/>
  <c r="I1840" i="3" s="1"/>
  <c r="C1841" i="3" a="1"/>
  <c r="C1841" i="3" s="1"/>
  <c r="I1841" i="3" s="1"/>
  <c r="C1842" i="3" a="1"/>
  <c r="C1842" i="3" s="1"/>
  <c r="I1842" i="3" s="1"/>
  <c r="C1843" i="3" a="1"/>
  <c r="C1843" i="3"/>
  <c r="I1843" i="3" s="1"/>
  <c r="C1844" i="3" a="1"/>
  <c r="C1844" i="3" s="1"/>
  <c r="I1844" i="3" s="1"/>
  <c r="C1845" i="3" a="1"/>
  <c r="C1845" i="3" s="1"/>
  <c r="I1845" i="3" s="1"/>
  <c r="C1846" i="3" a="1"/>
  <c r="C1846" i="3" s="1"/>
  <c r="I1846" i="3" s="1"/>
  <c r="C1847" i="3" a="1"/>
  <c r="C1847" i="3" s="1"/>
  <c r="I1847" i="3" s="1"/>
  <c r="C1848" i="3" a="1"/>
  <c r="C1848" i="3" s="1"/>
  <c r="I1848" i="3" s="1"/>
  <c r="C1849" i="3" a="1"/>
  <c r="C1849" i="3" s="1"/>
  <c r="I1849" i="3" s="1"/>
  <c r="C1850" i="3" a="1"/>
  <c r="C1850" i="3" s="1"/>
  <c r="I1850" i="3" s="1"/>
  <c r="C1851" i="3" a="1"/>
  <c r="C1851" i="3" s="1"/>
  <c r="I1851" i="3" s="1"/>
  <c r="C1852" i="3" a="1"/>
  <c r="C1852" i="3" s="1"/>
  <c r="I1852" i="3" s="1"/>
  <c r="C1853" i="3" a="1"/>
  <c r="C1853" i="3" s="1"/>
  <c r="I1853" i="3" s="1"/>
  <c r="C1854" i="3" a="1"/>
  <c r="C1854" i="3" s="1"/>
  <c r="I1854" i="3" s="1"/>
  <c r="C1855" i="3" a="1"/>
  <c r="C1855" i="3" s="1"/>
  <c r="I1855" i="3" s="1"/>
  <c r="C1856" i="3" a="1"/>
  <c r="C1856" i="3" s="1"/>
  <c r="I1856" i="3" s="1"/>
  <c r="C1857" i="3" a="1"/>
  <c r="C1857" i="3" s="1"/>
  <c r="I1857" i="3" s="1"/>
  <c r="C1858" i="3" a="1"/>
  <c r="C1858" i="3" s="1"/>
  <c r="I1858" i="3" s="1"/>
  <c r="C1859" i="3" a="1"/>
  <c r="C1859" i="3" s="1"/>
  <c r="I1859" i="3" s="1"/>
  <c r="C1860" i="3" a="1"/>
  <c r="C1860" i="3" s="1"/>
  <c r="I1860" i="3" s="1"/>
  <c r="C1861" i="3" a="1"/>
  <c r="C1861" i="3" s="1"/>
  <c r="I1861" i="3" s="1"/>
  <c r="C1862" i="3" a="1"/>
  <c r="C1862" i="3" s="1"/>
  <c r="I1862" i="3" s="1"/>
  <c r="C1863" i="3" a="1"/>
  <c r="C1863" i="3" s="1"/>
  <c r="I1863" i="3" s="1"/>
  <c r="C1864" i="3" a="1"/>
  <c r="C1864" i="3" s="1"/>
  <c r="I1864" i="3" s="1"/>
  <c r="C1865" i="3" a="1"/>
  <c r="C1865" i="3" s="1"/>
  <c r="I1865" i="3" s="1"/>
  <c r="C1866" i="3" a="1"/>
  <c r="C1866" i="3" s="1"/>
  <c r="I1866" i="3" s="1"/>
  <c r="C1867" i="3" a="1"/>
  <c r="C1867" i="3" s="1"/>
  <c r="I1867" i="3" s="1"/>
  <c r="C1868" i="3" a="1"/>
  <c r="C1868" i="3" s="1"/>
  <c r="I1868" i="3" s="1"/>
  <c r="C1869" i="3" a="1"/>
  <c r="C1869" i="3" s="1"/>
  <c r="I1869" i="3" s="1"/>
  <c r="C1870" i="3" a="1"/>
  <c r="C1870" i="3" s="1"/>
  <c r="I1870" i="3" s="1"/>
  <c r="C1871" i="3" a="1"/>
  <c r="C1871" i="3" s="1"/>
  <c r="I1871" i="3" s="1"/>
  <c r="C1872" i="3" a="1"/>
  <c r="C1872" i="3" s="1"/>
  <c r="I1872" i="3" s="1"/>
  <c r="C1873" i="3" a="1"/>
  <c r="C1873" i="3" s="1"/>
  <c r="I1873" i="3" s="1"/>
  <c r="C1874" i="3" a="1"/>
  <c r="C1874" i="3" s="1"/>
  <c r="I1874" i="3" s="1"/>
  <c r="C1875" i="3" a="1"/>
  <c r="C1875" i="3" s="1"/>
  <c r="I1875" i="3" s="1"/>
  <c r="C1876" i="3" a="1"/>
  <c r="C1876" i="3" s="1"/>
  <c r="I1876" i="3" s="1"/>
  <c r="C1877" i="3" a="1"/>
  <c r="C1877" i="3" s="1"/>
  <c r="I1877" i="3" s="1"/>
  <c r="C1878" i="3" a="1"/>
  <c r="C1878" i="3" s="1"/>
  <c r="I1878" i="3" s="1"/>
  <c r="C1879" i="3" a="1"/>
  <c r="C1879" i="3" s="1"/>
  <c r="I1879" i="3" s="1"/>
  <c r="C1880" i="3" a="1"/>
  <c r="C1880" i="3" s="1"/>
  <c r="I1880" i="3" s="1"/>
  <c r="C1881" i="3" a="1"/>
  <c r="C1881" i="3" s="1"/>
  <c r="I1881" i="3" s="1"/>
  <c r="C1882" i="3" a="1"/>
  <c r="C1882" i="3" s="1"/>
  <c r="I1882" i="3" s="1"/>
  <c r="C1883" i="3" a="1"/>
  <c r="C1883" i="3" s="1"/>
  <c r="I1883" i="3" s="1"/>
  <c r="C1884" i="3" a="1"/>
  <c r="C1884" i="3" s="1"/>
  <c r="I1884" i="3" s="1"/>
  <c r="C1885" i="3" a="1"/>
  <c r="C1885" i="3" s="1"/>
  <c r="I1885" i="3" s="1"/>
  <c r="C1886" i="3" a="1"/>
  <c r="C1886" i="3" s="1"/>
  <c r="I1886" i="3" s="1"/>
  <c r="C1887" i="3" a="1"/>
  <c r="C1887" i="3" s="1"/>
  <c r="I1887" i="3" s="1"/>
  <c r="C1888" i="3" a="1"/>
  <c r="C1888" i="3" s="1"/>
  <c r="I1888" i="3" s="1"/>
  <c r="C1889" i="3" a="1"/>
  <c r="C1889" i="3" s="1"/>
  <c r="I1889" i="3" s="1"/>
  <c r="C1890" i="3" a="1"/>
  <c r="C1890" i="3" s="1"/>
  <c r="I1890" i="3" s="1"/>
  <c r="C1891" i="3" a="1"/>
  <c r="C1891" i="3" s="1"/>
  <c r="I1891" i="3" s="1"/>
  <c r="C1892" i="3" a="1"/>
  <c r="C1892" i="3" s="1"/>
  <c r="I1892" i="3" s="1"/>
  <c r="C1893" i="3" a="1"/>
  <c r="C1893" i="3" s="1"/>
  <c r="I1893" i="3" s="1"/>
  <c r="C1894" i="3" a="1"/>
  <c r="C1894" i="3" s="1"/>
  <c r="I1894" i="3" s="1"/>
  <c r="C1895" i="3" a="1"/>
  <c r="C1895" i="3" s="1"/>
  <c r="I1895" i="3" s="1"/>
  <c r="C1896" i="3" a="1"/>
  <c r="C1896" i="3" s="1"/>
  <c r="I1896" i="3" s="1"/>
  <c r="C1897" i="3" a="1"/>
  <c r="C1897" i="3" s="1"/>
  <c r="I1897" i="3" s="1"/>
  <c r="C1898" i="3" a="1"/>
  <c r="C1898" i="3" s="1"/>
  <c r="I1898" i="3" s="1"/>
  <c r="C1899" i="3" a="1"/>
  <c r="C1899" i="3" s="1"/>
  <c r="I1899" i="3" s="1"/>
  <c r="C1900" i="3" a="1"/>
  <c r="C1900" i="3" s="1"/>
  <c r="I1900" i="3" s="1"/>
  <c r="C1901" i="3" a="1"/>
  <c r="C1901" i="3" s="1"/>
  <c r="I1901" i="3" s="1"/>
  <c r="C1902" i="3" a="1"/>
  <c r="C1902" i="3" s="1"/>
  <c r="I1902" i="3" s="1"/>
  <c r="C1903" i="3" a="1"/>
  <c r="C1903" i="3" s="1"/>
  <c r="I1903" i="3" s="1"/>
  <c r="C1904" i="3" a="1"/>
  <c r="C1904" i="3" s="1"/>
  <c r="I1904" i="3" s="1"/>
  <c r="C1905" i="3" a="1"/>
  <c r="C1905" i="3" s="1"/>
  <c r="I1905" i="3" s="1"/>
  <c r="C1906" i="3" a="1"/>
  <c r="C1906" i="3" s="1"/>
  <c r="I1906" i="3" s="1"/>
  <c r="C1907" i="3" a="1"/>
  <c r="C1907" i="3" s="1"/>
  <c r="I1907" i="3" s="1"/>
  <c r="C1908" i="3" a="1"/>
  <c r="C1908" i="3" s="1"/>
  <c r="I1908" i="3" s="1"/>
  <c r="C1909" i="3" a="1"/>
  <c r="C1909" i="3" s="1"/>
  <c r="I1909" i="3" s="1"/>
  <c r="C1910" i="3" a="1"/>
  <c r="C1910" i="3" s="1"/>
  <c r="I1910" i="3" s="1"/>
  <c r="C1911" i="3" a="1"/>
  <c r="C1911" i="3" s="1"/>
  <c r="I1911" i="3" s="1"/>
  <c r="C1912" i="3" a="1"/>
  <c r="C1912" i="3" s="1"/>
  <c r="I1912" i="3" s="1"/>
  <c r="C1913" i="3" a="1"/>
  <c r="C1913" i="3" s="1"/>
  <c r="I1913" i="3" s="1"/>
  <c r="C1914" i="3" a="1"/>
  <c r="C1914" i="3" s="1"/>
  <c r="I1914" i="3" s="1"/>
  <c r="C1915" i="3" a="1"/>
  <c r="C1915" i="3" s="1"/>
  <c r="I1915" i="3" s="1"/>
  <c r="C1916" i="3" a="1"/>
  <c r="C1916" i="3" s="1"/>
  <c r="I1916" i="3" s="1"/>
  <c r="C1917" i="3" a="1"/>
  <c r="C1917" i="3" s="1"/>
  <c r="I1917" i="3" s="1"/>
  <c r="C1918" i="3" a="1"/>
  <c r="C1918" i="3" s="1"/>
  <c r="I1918" i="3" s="1"/>
  <c r="C1919" i="3" a="1"/>
  <c r="C1919" i="3" s="1"/>
  <c r="I1919" i="3" s="1"/>
  <c r="C1920" i="3" a="1"/>
  <c r="C1920" i="3" s="1"/>
  <c r="I1920" i="3" s="1"/>
  <c r="C1921" i="3" a="1"/>
  <c r="C1921" i="3" s="1"/>
  <c r="I1921" i="3" s="1"/>
  <c r="C1922" i="3" a="1"/>
  <c r="C1922" i="3" s="1"/>
  <c r="I1922" i="3" s="1"/>
  <c r="C1923" i="3" a="1"/>
  <c r="C1923" i="3" s="1"/>
  <c r="I1923" i="3" s="1"/>
  <c r="C1924" i="3" a="1"/>
  <c r="C1924" i="3" s="1"/>
  <c r="I1924" i="3" s="1"/>
  <c r="C1925" i="3" a="1"/>
  <c r="C1925" i="3" s="1"/>
  <c r="I1925" i="3" s="1"/>
  <c r="C1926" i="3" a="1"/>
  <c r="C1926" i="3" s="1"/>
  <c r="I1926" i="3" s="1"/>
  <c r="C1927" i="3" a="1"/>
  <c r="C1927" i="3" s="1"/>
  <c r="I1927" i="3" s="1"/>
  <c r="C1928" i="3" a="1"/>
  <c r="C1928" i="3" s="1"/>
  <c r="I1928" i="3" s="1"/>
  <c r="C1929" i="3" a="1"/>
  <c r="C1929" i="3" s="1"/>
  <c r="I1929" i="3" s="1"/>
  <c r="C1930" i="3" a="1"/>
  <c r="C1930" i="3" s="1"/>
  <c r="I1930" i="3" s="1"/>
  <c r="C1931" i="3" a="1"/>
  <c r="C1931" i="3" s="1"/>
  <c r="I1931" i="3" s="1"/>
  <c r="C1932" i="3" a="1"/>
  <c r="C1932" i="3" s="1"/>
  <c r="I1932" i="3" s="1"/>
  <c r="C1933" i="3" a="1"/>
  <c r="C1933" i="3" s="1"/>
  <c r="I1933" i="3" s="1"/>
  <c r="C1934" i="3" a="1"/>
  <c r="C1934" i="3" s="1"/>
  <c r="I1934" i="3" s="1"/>
  <c r="C1935" i="3" a="1"/>
  <c r="C1935" i="3" s="1"/>
  <c r="I1935" i="3" s="1"/>
  <c r="C1936" i="3" a="1"/>
  <c r="C1936" i="3" s="1"/>
  <c r="I1936" i="3" s="1"/>
  <c r="C1937" i="3" a="1"/>
  <c r="C1937" i="3" s="1"/>
  <c r="I1937" i="3" s="1"/>
  <c r="C1938" i="3" a="1"/>
  <c r="C1938" i="3" s="1"/>
  <c r="I1938" i="3" s="1"/>
  <c r="C1939" i="3" a="1"/>
  <c r="C1939" i="3" s="1"/>
  <c r="I1939" i="3" s="1"/>
  <c r="C1940" i="3" a="1"/>
  <c r="C1940" i="3" s="1"/>
  <c r="I1940" i="3" s="1"/>
  <c r="C1941" i="3" a="1"/>
  <c r="C1941" i="3" s="1"/>
  <c r="I1941" i="3" s="1"/>
  <c r="C1942" i="3" a="1"/>
  <c r="C1942" i="3" s="1"/>
  <c r="I1942" i="3" s="1"/>
  <c r="C1943" i="3" a="1"/>
  <c r="C1943" i="3" s="1"/>
  <c r="I1943" i="3" s="1"/>
  <c r="C1944" i="3" a="1"/>
  <c r="C1944" i="3" s="1"/>
  <c r="I1944" i="3" s="1"/>
  <c r="C1945" i="3" a="1"/>
  <c r="C1945" i="3" s="1"/>
  <c r="I1945" i="3" s="1"/>
  <c r="C1946" i="3" a="1"/>
  <c r="C1946" i="3" s="1"/>
  <c r="I1946" i="3" s="1"/>
  <c r="C1947" i="3" a="1"/>
  <c r="C1947" i="3" s="1"/>
  <c r="I1947" i="3" s="1"/>
  <c r="C1948" i="3" a="1"/>
  <c r="C1948" i="3" s="1"/>
  <c r="I1948" i="3" s="1"/>
  <c r="C1949" i="3" a="1"/>
  <c r="C1949" i="3" s="1"/>
  <c r="I1949" i="3" s="1"/>
  <c r="C1950" i="3" a="1"/>
  <c r="C1950" i="3" s="1"/>
  <c r="I1950" i="3" s="1"/>
  <c r="C1951" i="3" a="1"/>
  <c r="C1951" i="3" s="1"/>
  <c r="I1951" i="3" s="1"/>
  <c r="C1952" i="3" a="1"/>
  <c r="C1952" i="3" s="1"/>
  <c r="I1952" i="3" s="1"/>
  <c r="C1953" i="3" a="1"/>
  <c r="C1953" i="3" s="1"/>
  <c r="I1953" i="3" s="1"/>
  <c r="C1954" i="3" a="1"/>
  <c r="C1954" i="3" s="1"/>
  <c r="I1954" i="3" s="1"/>
  <c r="C1955" i="3" a="1"/>
  <c r="C1955" i="3" s="1"/>
  <c r="I1955" i="3" s="1"/>
  <c r="C1956" i="3" a="1"/>
  <c r="C1956" i="3" s="1"/>
  <c r="I1956" i="3" s="1"/>
  <c r="C1957" i="3" a="1"/>
  <c r="C1957" i="3" s="1"/>
  <c r="I1957" i="3" s="1"/>
  <c r="C1958" i="3" a="1"/>
  <c r="C1958" i="3" s="1"/>
  <c r="I1958" i="3" s="1"/>
  <c r="C1959" i="3" a="1"/>
  <c r="C1959" i="3" s="1"/>
  <c r="I1959" i="3" s="1"/>
  <c r="C1960" i="3" a="1"/>
  <c r="C1960" i="3" s="1"/>
  <c r="I1960" i="3" s="1"/>
  <c r="C1961" i="3" a="1"/>
  <c r="C1961" i="3" s="1"/>
  <c r="I1961" i="3" s="1"/>
  <c r="C1962" i="3" a="1"/>
  <c r="C1962" i="3" s="1"/>
  <c r="I1962" i="3" s="1"/>
  <c r="C1963" i="3" a="1"/>
  <c r="C1963" i="3" s="1"/>
  <c r="I1963" i="3" s="1"/>
  <c r="C1964" i="3" a="1"/>
  <c r="C1964" i="3" s="1"/>
  <c r="I1964" i="3" s="1"/>
  <c r="C1965" i="3" a="1"/>
  <c r="C1965" i="3" s="1"/>
  <c r="I1965" i="3" s="1"/>
  <c r="C1966" i="3" a="1"/>
  <c r="C1966" i="3" s="1"/>
  <c r="I1966" i="3" s="1"/>
  <c r="C1967" i="3" a="1"/>
  <c r="C1967" i="3" s="1"/>
  <c r="I1967" i="3" s="1"/>
  <c r="C1968" i="3" a="1"/>
  <c r="C1968" i="3" s="1"/>
  <c r="I1968" i="3" s="1"/>
  <c r="C1969" i="3" a="1"/>
  <c r="C1969" i="3" s="1"/>
  <c r="I1969" i="3" s="1"/>
  <c r="C1970" i="3" a="1"/>
  <c r="C1970" i="3" s="1"/>
  <c r="I1970" i="3" s="1"/>
  <c r="C1971" i="3" a="1"/>
  <c r="C1971" i="3" s="1"/>
  <c r="I1971" i="3" s="1"/>
  <c r="C1972" i="3" a="1"/>
  <c r="C1972" i="3" s="1"/>
  <c r="I1972" i="3" s="1"/>
  <c r="C1973" i="3" a="1"/>
  <c r="C1973" i="3" s="1"/>
  <c r="I1973" i="3" s="1"/>
  <c r="C1974" i="3" a="1"/>
  <c r="C1974" i="3" s="1"/>
  <c r="I1974" i="3" s="1"/>
  <c r="C1975" i="3" a="1"/>
  <c r="C1975" i="3" s="1"/>
  <c r="I1975" i="3" s="1"/>
  <c r="C1976" i="3" a="1"/>
  <c r="C1976" i="3" s="1"/>
  <c r="I1976" i="3" s="1"/>
  <c r="C1977" i="3" a="1"/>
  <c r="C1977" i="3" s="1"/>
  <c r="I1977" i="3" s="1"/>
  <c r="C1978" i="3" a="1"/>
  <c r="C1978" i="3" s="1"/>
  <c r="I1978" i="3" s="1"/>
  <c r="C1979" i="3" a="1"/>
  <c r="C1979" i="3" s="1"/>
  <c r="I1979" i="3" s="1"/>
  <c r="C1980" i="3" a="1"/>
  <c r="C1980" i="3" s="1"/>
  <c r="I1980" i="3" s="1"/>
  <c r="C1981" i="3" a="1"/>
  <c r="C1981" i="3" s="1"/>
  <c r="I1981" i="3" s="1"/>
  <c r="C1982" i="3" a="1"/>
  <c r="C1982" i="3" s="1"/>
  <c r="I1982" i="3" s="1"/>
  <c r="C1983" i="3" a="1"/>
  <c r="C1983" i="3" s="1"/>
  <c r="I1983" i="3" s="1"/>
  <c r="C1984" i="3" a="1"/>
  <c r="C1984" i="3" s="1"/>
  <c r="I1984" i="3" s="1"/>
  <c r="C1985" i="3" a="1"/>
  <c r="C1985" i="3" s="1"/>
  <c r="I1985" i="3" s="1"/>
  <c r="C1986" i="3" a="1"/>
  <c r="C1986" i="3" s="1"/>
  <c r="I1986" i="3" s="1"/>
  <c r="C1987" i="3" a="1"/>
  <c r="C1987" i="3" s="1"/>
  <c r="I1987" i="3" s="1"/>
  <c r="C1988" i="3" a="1"/>
  <c r="C1988" i="3" s="1"/>
  <c r="I1988" i="3" s="1"/>
  <c r="C1989" i="3" a="1"/>
  <c r="C1989" i="3" s="1"/>
  <c r="I1989" i="3" s="1"/>
  <c r="C1990" i="3" a="1"/>
  <c r="C1990" i="3" s="1"/>
  <c r="I1990" i="3" s="1"/>
  <c r="C1991" i="3" a="1"/>
  <c r="C1991" i="3" s="1"/>
  <c r="I1991" i="3" s="1"/>
  <c r="C1992" i="3" a="1"/>
  <c r="C1992" i="3" s="1"/>
  <c r="I1992" i="3" s="1"/>
  <c r="C1993" i="3" a="1"/>
  <c r="C1993" i="3" s="1"/>
  <c r="I1993" i="3" s="1"/>
  <c r="C1994" i="3" a="1"/>
  <c r="C1994" i="3"/>
  <c r="I1994" i="3" s="1"/>
  <c r="C1995" i="3" a="1"/>
  <c r="C1995" i="3" s="1"/>
  <c r="I1995" i="3" s="1"/>
  <c r="C1996" i="3" a="1"/>
  <c r="C1996" i="3" s="1"/>
  <c r="I1996" i="3" s="1"/>
  <c r="C1997" i="3" a="1"/>
  <c r="C1997" i="3" s="1"/>
  <c r="I1997" i="3" s="1"/>
  <c r="C1998" i="3" a="1"/>
  <c r="C1998" i="3" s="1"/>
  <c r="I1998" i="3" s="1"/>
  <c r="C1999" i="3" a="1"/>
  <c r="C1999" i="3" s="1"/>
  <c r="I1999" i="3" s="1"/>
  <c r="C2000" i="3" a="1"/>
  <c r="C2000" i="3" s="1"/>
  <c r="I2000" i="3" s="1"/>
  <c r="C2001" i="3" a="1"/>
  <c r="C2001" i="3" s="1"/>
  <c r="I2001" i="3" s="1"/>
  <c r="C2" i="3" a="1"/>
  <c r="C2" i="3" s="1"/>
  <c r="I2" i="3" s="1"/>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W643" i="3"/>
  <c r="W644" i="3"/>
  <c r="W645" i="3"/>
  <c r="W646" i="3"/>
  <c r="W647" i="3"/>
  <c r="W648" i="3"/>
  <c r="W649" i="3"/>
  <c r="W650" i="3"/>
  <c r="W651" i="3"/>
  <c r="W652" i="3"/>
  <c r="W653" i="3"/>
  <c r="W654" i="3"/>
  <c r="W655" i="3"/>
  <c r="W656" i="3"/>
  <c r="W657" i="3"/>
  <c r="W658" i="3"/>
  <c r="W659" i="3"/>
  <c r="W660" i="3"/>
  <c r="W661" i="3"/>
  <c r="W662" i="3"/>
  <c r="W663" i="3"/>
  <c r="W664" i="3"/>
  <c r="W665" i="3"/>
  <c r="W666" i="3"/>
  <c r="W667" i="3"/>
  <c r="W668" i="3"/>
  <c r="W669" i="3"/>
  <c r="W670" i="3"/>
  <c r="W671" i="3"/>
  <c r="W672" i="3"/>
  <c r="W673" i="3"/>
  <c r="W674" i="3"/>
  <c r="W675" i="3"/>
  <c r="W676" i="3"/>
  <c r="W677" i="3"/>
  <c r="W678" i="3"/>
  <c r="W679" i="3"/>
  <c r="W680" i="3"/>
  <c r="W681" i="3"/>
  <c r="W682" i="3"/>
  <c r="W683" i="3"/>
  <c r="W684" i="3"/>
  <c r="W685" i="3"/>
  <c r="W686" i="3"/>
  <c r="W687" i="3"/>
  <c r="W688" i="3"/>
  <c r="W689" i="3"/>
  <c r="W690" i="3"/>
  <c r="W691" i="3"/>
  <c r="W692" i="3"/>
  <c r="W693" i="3"/>
  <c r="W694" i="3"/>
  <c r="W695" i="3"/>
  <c r="W696" i="3"/>
  <c r="W697" i="3"/>
  <c r="W698" i="3"/>
  <c r="W699" i="3"/>
  <c r="W700" i="3"/>
  <c r="W701" i="3"/>
  <c r="W702" i="3"/>
  <c r="W703" i="3"/>
  <c r="W704" i="3"/>
  <c r="W705" i="3"/>
  <c r="W706" i="3"/>
  <c r="W707" i="3"/>
  <c r="W708" i="3"/>
  <c r="W709" i="3"/>
  <c r="W710" i="3"/>
  <c r="W711" i="3"/>
  <c r="W712" i="3"/>
  <c r="W713" i="3"/>
  <c r="W714" i="3"/>
  <c r="W715" i="3"/>
  <c r="W716" i="3"/>
  <c r="W717" i="3"/>
  <c r="W718" i="3"/>
  <c r="W719" i="3"/>
  <c r="W720" i="3"/>
  <c r="W721" i="3"/>
  <c r="W722" i="3"/>
  <c r="W723" i="3"/>
  <c r="W724" i="3"/>
  <c r="W725" i="3"/>
  <c r="W726" i="3"/>
  <c r="W727" i="3"/>
  <c r="W728" i="3"/>
  <c r="W729" i="3"/>
  <c r="W730" i="3"/>
  <c r="W731" i="3"/>
  <c r="W732" i="3"/>
  <c r="W733" i="3"/>
  <c r="W734" i="3"/>
  <c r="W735" i="3"/>
  <c r="W736" i="3"/>
  <c r="W737" i="3"/>
  <c r="W738" i="3"/>
  <c r="W739" i="3"/>
  <c r="W740" i="3"/>
  <c r="W741" i="3"/>
  <c r="W742" i="3"/>
  <c r="W743" i="3"/>
  <c r="W744" i="3"/>
  <c r="W745" i="3"/>
  <c r="W746" i="3"/>
  <c r="W747" i="3"/>
  <c r="W748" i="3"/>
  <c r="W749" i="3"/>
  <c r="W750" i="3"/>
  <c r="W751" i="3"/>
  <c r="W752" i="3"/>
  <c r="W753" i="3"/>
  <c r="W754" i="3"/>
  <c r="W755" i="3"/>
  <c r="W756" i="3"/>
  <c r="W757" i="3"/>
  <c r="W758" i="3"/>
  <c r="W759" i="3"/>
  <c r="W760" i="3"/>
  <c r="W761" i="3"/>
  <c r="W762" i="3"/>
  <c r="W763" i="3"/>
  <c r="W764" i="3"/>
  <c r="W765" i="3"/>
  <c r="W766" i="3"/>
  <c r="W767" i="3"/>
  <c r="W768" i="3"/>
  <c r="W769" i="3"/>
  <c r="W770" i="3"/>
  <c r="W771" i="3"/>
  <c r="W772" i="3"/>
  <c r="W773" i="3"/>
  <c r="W774" i="3"/>
  <c r="W775" i="3"/>
  <c r="W776" i="3"/>
  <c r="W777" i="3"/>
  <c r="W778" i="3"/>
  <c r="W779" i="3"/>
  <c r="W780" i="3"/>
  <c r="W781" i="3"/>
  <c r="W782" i="3"/>
  <c r="W783" i="3"/>
  <c r="W784" i="3"/>
  <c r="W785" i="3"/>
  <c r="W786" i="3"/>
  <c r="W787" i="3"/>
  <c r="W788" i="3"/>
  <c r="W789" i="3"/>
  <c r="W790" i="3"/>
  <c r="W791" i="3"/>
  <c r="W792" i="3"/>
  <c r="W793" i="3"/>
  <c r="W794" i="3"/>
  <c r="W795" i="3"/>
  <c r="W796" i="3"/>
  <c r="W797" i="3"/>
  <c r="W798" i="3"/>
  <c r="W799" i="3"/>
  <c r="W800" i="3"/>
  <c r="W801" i="3"/>
  <c r="W802" i="3"/>
  <c r="W803" i="3"/>
  <c r="W804" i="3"/>
  <c r="W805" i="3"/>
  <c r="W806" i="3"/>
  <c r="W807" i="3"/>
  <c r="W808" i="3"/>
  <c r="W809" i="3"/>
  <c r="W810" i="3"/>
  <c r="W811" i="3"/>
  <c r="W812" i="3"/>
  <c r="W813" i="3"/>
  <c r="W814" i="3"/>
  <c r="W815" i="3"/>
  <c r="W816" i="3"/>
  <c r="W817" i="3"/>
  <c r="W818" i="3"/>
  <c r="W819" i="3"/>
  <c r="W820" i="3"/>
  <c r="W821" i="3"/>
  <c r="W822" i="3"/>
  <c r="W823" i="3"/>
  <c r="W824" i="3"/>
  <c r="W825" i="3"/>
  <c r="W826" i="3"/>
  <c r="W827" i="3"/>
  <c r="W828" i="3"/>
  <c r="W829" i="3"/>
  <c r="W830" i="3"/>
  <c r="W831" i="3"/>
  <c r="W832" i="3"/>
  <c r="W833" i="3"/>
  <c r="W834" i="3"/>
  <c r="W835" i="3"/>
  <c r="W836" i="3"/>
  <c r="W837" i="3"/>
  <c r="W838" i="3"/>
  <c r="W839" i="3"/>
  <c r="W840" i="3"/>
  <c r="W841" i="3"/>
  <c r="W842" i="3"/>
  <c r="W843" i="3"/>
  <c r="W844" i="3"/>
  <c r="W845" i="3"/>
  <c r="W846" i="3"/>
  <c r="W847" i="3"/>
  <c r="W848" i="3"/>
  <c r="W849" i="3"/>
  <c r="W850" i="3"/>
  <c r="W851" i="3"/>
  <c r="W852" i="3"/>
  <c r="W853" i="3"/>
  <c r="W854" i="3"/>
  <c r="W855" i="3"/>
  <c r="W856" i="3"/>
  <c r="W857" i="3"/>
  <c r="W858" i="3"/>
  <c r="W859" i="3"/>
  <c r="W860" i="3"/>
  <c r="W861" i="3"/>
  <c r="W862" i="3"/>
  <c r="W863" i="3"/>
  <c r="W864" i="3"/>
  <c r="W865" i="3"/>
  <c r="W866" i="3"/>
  <c r="W867" i="3"/>
  <c r="W868" i="3"/>
  <c r="W869" i="3"/>
  <c r="W870" i="3"/>
  <c r="W871" i="3"/>
  <c r="W872" i="3"/>
  <c r="W873" i="3"/>
  <c r="W874" i="3"/>
  <c r="W875" i="3"/>
  <c r="W876" i="3"/>
  <c r="W877" i="3"/>
  <c r="W878" i="3"/>
  <c r="W879" i="3"/>
  <c r="W880" i="3"/>
  <c r="W881" i="3"/>
  <c r="W882" i="3"/>
  <c r="W883" i="3"/>
  <c r="W884" i="3"/>
  <c r="W885" i="3"/>
  <c r="W886" i="3"/>
  <c r="W887" i="3"/>
  <c r="W888" i="3"/>
  <c r="W889" i="3"/>
  <c r="W890" i="3"/>
  <c r="W891" i="3"/>
  <c r="W892" i="3"/>
  <c r="W893" i="3"/>
  <c r="W894" i="3"/>
  <c r="W895" i="3"/>
  <c r="W896" i="3"/>
  <c r="W897" i="3"/>
  <c r="W898" i="3"/>
  <c r="W899" i="3"/>
  <c r="W900" i="3"/>
  <c r="W901" i="3"/>
  <c r="W902" i="3"/>
  <c r="W903" i="3"/>
  <c r="W904" i="3"/>
  <c r="W905" i="3"/>
  <c r="W906" i="3"/>
  <c r="W907" i="3"/>
  <c r="W908" i="3"/>
  <c r="W909" i="3"/>
  <c r="W910" i="3"/>
  <c r="W911" i="3"/>
  <c r="W912" i="3"/>
  <c r="W913" i="3"/>
  <c r="W914" i="3"/>
  <c r="W915" i="3"/>
  <c r="W916" i="3"/>
  <c r="W917" i="3"/>
  <c r="W918" i="3"/>
  <c r="W919" i="3"/>
  <c r="W920" i="3"/>
  <c r="W921" i="3"/>
  <c r="W922" i="3"/>
  <c r="W923" i="3"/>
  <c r="W924" i="3"/>
  <c r="W925" i="3"/>
  <c r="W926" i="3"/>
  <c r="W927" i="3"/>
  <c r="W928" i="3"/>
  <c r="W929" i="3"/>
  <c r="W930" i="3"/>
  <c r="W931" i="3"/>
  <c r="W932" i="3"/>
  <c r="W933" i="3"/>
  <c r="W934" i="3"/>
  <c r="W935" i="3"/>
  <c r="W936" i="3"/>
  <c r="W937" i="3"/>
  <c r="W938" i="3"/>
  <c r="W939" i="3"/>
  <c r="W940" i="3"/>
  <c r="W941" i="3"/>
  <c r="W942" i="3"/>
  <c r="W943" i="3"/>
  <c r="W944" i="3"/>
  <c r="W945" i="3"/>
  <c r="W946" i="3"/>
  <c r="W947" i="3"/>
  <c r="W948" i="3"/>
  <c r="W949" i="3"/>
  <c r="W950" i="3"/>
  <c r="W951" i="3"/>
  <c r="W952" i="3"/>
  <c r="W953" i="3"/>
  <c r="W954" i="3"/>
  <c r="W955" i="3"/>
  <c r="W956" i="3"/>
  <c r="W957" i="3"/>
  <c r="W958" i="3"/>
  <c r="W959" i="3"/>
  <c r="W960" i="3"/>
  <c r="W961" i="3"/>
  <c r="W962" i="3"/>
  <c r="W963" i="3"/>
  <c r="W964" i="3"/>
  <c r="W965" i="3"/>
  <c r="W966" i="3"/>
  <c r="W967" i="3"/>
  <c r="W968" i="3"/>
  <c r="W969" i="3"/>
  <c r="W970" i="3"/>
  <c r="W971" i="3"/>
  <c r="W972" i="3"/>
  <c r="W973" i="3"/>
  <c r="W974" i="3"/>
  <c r="W975" i="3"/>
  <c r="W976" i="3"/>
  <c r="W977" i="3"/>
  <c r="W978" i="3"/>
  <c r="W979" i="3"/>
  <c r="W980" i="3"/>
  <c r="W981" i="3"/>
  <c r="W982" i="3"/>
  <c r="W983" i="3"/>
  <c r="W984" i="3"/>
  <c r="W985" i="3"/>
  <c r="W986" i="3"/>
  <c r="W987" i="3"/>
  <c r="W988" i="3"/>
  <c r="W989" i="3"/>
  <c r="W990" i="3"/>
  <c r="W991" i="3"/>
  <c r="W992" i="3"/>
  <c r="W993" i="3"/>
  <c r="W994" i="3"/>
  <c r="W995" i="3"/>
  <c r="W996" i="3"/>
  <c r="W997" i="3"/>
  <c r="W998" i="3"/>
  <c r="W999" i="3"/>
  <c r="W1000" i="3"/>
  <c r="W1001" i="3"/>
  <c r="W1002" i="3"/>
  <c r="W1003" i="3"/>
  <c r="W1004" i="3"/>
  <c r="W1005" i="3"/>
  <c r="W1006" i="3"/>
  <c r="W1007" i="3"/>
  <c r="W1008" i="3"/>
  <c r="W1009" i="3"/>
  <c r="W1010" i="3"/>
  <c r="W1011" i="3"/>
  <c r="W1012" i="3"/>
  <c r="W1013" i="3"/>
  <c r="W1014" i="3"/>
  <c r="W1015" i="3"/>
  <c r="W1016" i="3"/>
  <c r="W1017" i="3"/>
  <c r="W1018" i="3"/>
  <c r="W1019" i="3"/>
  <c r="W1020" i="3"/>
  <c r="W1021" i="3"/>
  <c r="W1022" i="3"/>
  <c r="W1023" i="3"/>
  <c r="W1024" i="3"/>
  <c r="W1025" i="3"/>
  <c r="W1026" i="3"/>
  <c r="W1027" i="3"/>
  <c r="W1028" i="3"/>
  <c r="W1029" i="3"/>
  <c r="W1030" i="3"/>
  <c r="W1031" i="3"/>
  <c r="W1032" i="3"/>
  <c r="W1033" i="3"/>
  <c r="W1034" i="3"/>
  <c r="W1035" i="3"/>
  <c r="W1036" i="3"/>
  <c r="W1037" i="3"/>
  <c r="W1038" i="3"/>
  <c r="W1039" i="3"/>
  <c r="W1040" i="3"/>
  <c r="W1041" i="3"/>
  <c r="W1042" i="3"/>
  <c r="W1043" i="3"/>
  <c r="W1044" i="3"/>
  <c r="W1045" i="3"/>
  <c r="W1046" i="3"/>
  <c r="W1047" i="3"/>
  <c r="W1048" i="3"/>
  <c r="W1049" i="3"/>
  <c r="W1050" i="3"/>
  <c r="W1051" i="3"/>
  <c r="W1052" i="3"/>
  <c r="W1053" i="3"/>
  <c r="W1054" i="3"/>
  <c r="W1055" i="3"/>
  <c r="W1056" i="3"/>
  <c r="W1057" i="3"/>
  <c r="W1058" i="3"/>
  <c r="W1059" i="3"/>
  <c r="W1060" i="3"/>
  <c r="W1061" i="3"/>
  <c r="W1062" i="3"/>
  <c r="W1063" i="3"/>
  <c r="W1064" i="3"/>
  <c r="W1065" i="3"/>
  <c r="W1066" i="3"/>
  <c r="W1067" i="3"/>
  <c r="W1068" i="3"/>
  <c r="W1069" i="3"/>
  <c r="W1070" i="3"/>
  <c r="W1071" i="3"/>
  <c r="W1072" i="3"/>
  <c r="W1073" i="3"/>
  <c r="W1074" i="3"/>
  <c r="W1075" i="3"/>
  <c r="W1076" i="3"/>
  <c r="W1077" i="3"/>
  <c r="W1078" i="3"/>
  <c r="W1079" i="3"/>
  <c r="W1080" i="3"/>
  <c r="W1081" i="3"/>
  <c r="W1082" i="3"/>
  <c r="W1083" i="3"/>
  <c r="W1084" i="3"/>
  <c r="W1085" i="3"/>
  <c r="W1086" i="3"/>
  <c r="W1087" i="3"/>
  <c r="W1088" i="3"/>
  <c r="W1089" i="3"/>
  <c r="W1090" i="3"/>
  <c r="W1091" i="3"/>
  <c r="W1092" i="3"/>
  <c r="W1093" i="3"/>
  <c r="W1094" i="3"/>
  <c r="W1095" i="3"/>
  <c r="W1096" i="3"/>
  <c r="W1097" i="3"/>
  <c r="W1098" i="3"/>
  <c r="W1099" i="3"/>
  <c r="W1100" i="3"/>
  <c r="W1101" i="3"/>
  <c r="W1102" i="3"/>
  <c r="W1103" i="3"/>
  <c r="W1104" i="3"/>
  <c r="W1105" i="3"/>
  <c r="W1106" i="3"/>
  <c r="W1107" i="3"/>
  <c r="W1108" i="3"/>
  <c r="W1109" i="3"/>
  <c r="W1110" i="3"/>
  <c r="W1111" i="3"/>
  <c r="W1112" i="3"/>
  <c r="W1113" i="3"/>
  <c r="W1114" i="3"/>
  <c r="W1115" i="3"/>
  <c r="W1116" i="3"/>
  <c r="W1117" i="3"/>
  <c r="W1118" i="3"/>
  <c r="W1119" i="3"/>
  <c r="W1120" i="3"/>
  <c r="W1121" i="3"/>
  <c r="W1122" i="3"/>
  <c r="W1123" i="3"/>
  <c r="W1124" i="3"/>
  <c r="W1125" i="3"/>
  <c r="W1126" i="3"/>
  <c r="W1127" i="3"/>
  <c r="W1128" i="3"/>
  <c r="W1129" i="3"/>
  <c r="W1130" i="3"/>
  <c r="W1131" i="3"/>
  <c r="W1132" i="3"/>
  <c r="W1133" i="3"/>
  <c r="W1134" i="3"/>
  <c r="W1135" i="3"/>
  <c r="W1136" i="3"/>
  <c r="W1137" i="3"/>
  <c r="W1138" i="3"/>
  <c r="W1139" i="3"/>
  <c r="W1140" i="3"/>
  <c r="W1141" i="3"/>
  <c r="W1142" i="3"/>
  <c r="W1143" i="3"/>
  <c r="W1144" i="3"/>
  <c r="W1145" i="3"/>
  <c r="W1146" i="3"/>
  <c r="W1147" i="3"/>
  <c r="W1148" i="3"/>
  <c r="W1149" i="3"/>
  <c r="W1150" i="3"/>
  <c r="W1151" i="3"/>
  <c r="W1152" i="3"/>
  <c r="W1153" i="3"/>
  <c r="W1154" i="3"/>
  <c r="W1155" i="3"/>
  <c r="W1156" i="3"/>
  <c r="W1157" i="3"/>
  <c r="W1158" i="3"/>
  <c r="W1159" i="3"/>
  <c r="W1160" i="3"/>
  <c r="W1161" i="3"/>
  <c r="W1162" i="3"/>
  <c r="W1163" i="3"/>
  <c r="W1164" i="3"/>
  <c r="W1165" i="3"/>
  <c r="W1166" i="3"/>
  <c r="W1167" i="3"/>
  <c r="W1168" i="3"/>
  <c r="W1169" i="3"/>
  <c r="W1170" i="3"/>
  <c r="W1171" i="3"/>
  <c r="W1172" i="3"/>
  <c r="W1173" i="3"/>
  <c r="W1174" i="3"/>
  <c r="W1175" i="3"/>
  <c r="W1176" i="3"/>
  <c r="W1177" i="3"/>
  <c r="W1178" i="3"/>
  <c r="W1179" i="3"/>
  <c r="W1180" i="3"/>
  <c r="W1181" i="3"/>
  <c r="W1182" i="3"/>
  <c r="W1183" i="3"/>
  <c r="W1184" i="3"/>
  <c r="W1185" i="3"/>
  <c r="W1186" i="3"/>
  <c r="W1187" i="3"/>
  <c r="W1188" i="3"/>
  <c r="W1189" i="3"/>
  <c r="W1190" i="3"/>
  <c r="W1191" i="3"/>
  <c r="W1192" i="3"/>
  <c r="W1193" i="3"/>
  <c r="W1194" i="3"/>
  <c r="W1195" i="3"/>
  <c r="W1196" i="3"/>
  <c r="W1197" i="3"/>
  <c r="W1198" i="3"/>
  <c r="W1199" i="3"/>
  <c r="W1200" i="3"/>
  <c r="W1201" i="3"/>
  <c r="W1202" i="3"/>
  <c r="W1203" i="3"/>
  <c r="W1204" i="3"/>
  <c r="W1205" i="3"/>
  <c r="W1206" i="3"/>
  <c r="W1207" i="3"/>
  <c r="W1208" i="3"/>
  <c r="W1209" i="3"/>
  <c r="W1210" i="3"/>
  <c r="W1211" i="3"/>
  <c r="W1212" i="3"/>
  <c r="W1213" i="3"/>
  <c r="W1214" i="3"/>
  <c r="W1215" i="3"/>
  <c r="W1216" i="3"/>
  <c r="W1217" i="3"/>
  <c r="W1218" i="3"/>
  <c r="W1219" i="3"/>
  <c r="W1220" i="3"/>
  <c r="W1221" i="3"/>
  <c r="W1222" i="3"/>
  <c r="W1223" i="3"/>
  <c r="W1224" i="3"/>
  <c r="W1225" i="3"/>
  <c r="W1226" i="3"/>
  <c r="W1227" i="3"/>
  <c r="W1228" i="3"/>
  <c r="W1229" i="3"/>
  <c r="W1230" i="3"/>
  <c r="W1231" i="3"/>
  <c r="W1232" i="3"/>
  <c r="W1233" i="3"/>
  <c r="W1234" i="3"/>
  <c r="W1235" i="3"/>
  <c r="W1236" i="3"/>
  <c r="W1237" i="3"/>
  <c r="W1238" i="3"/>
  <c r="W1239" i="3"/>
  <c r="W1240" i="3"/>
  <c r="W1241" i="3"/>
  <c r="W1242" i="3"/>
  <c r="W1243" i="3"/>
  <c r="W1244" i="3"/>
  <c r="W1245" i="3"/>
  <c r="W1246" i="3"/>
  <c r="W1247" i="3"/>
  <c r="W1248" i="3"/>
  <c r="W1249" i="3"/>
  <c r="W1250" i="3"/>
  <c r="W1251" i="3"/>
  <c r="W1252" i="3"/>
  <c r="W1253" i="3"/>
  <c r="W1254" i="3"/>
  <c r="W1255" i="3"/>
  <c r="W1256" i="3"/>
  <c r="W1257" i="3"/>
  <c r="W1258" i="3"/>
  <c r="W1259" i="3"/>
  <c r="W1260" i="3"/>
  <c r="W1261" i="3"/>
  <c r="W1262" i="3"/>
  <c r="W1263" i="3"/>
  <c r="W1264" i="3"/>
  <c r="W1265" i="3"/>
  <c r="W1266" i="3"/>
  <c r="W1267" i="3"/>
  <c r="W1268" i="3"/>
  <c r="W1269" i="3"/>
  <c r="W1270" i="3"/>
  <c r="W1271" i="3"/>
  <c r="W1272" i="3"/>
  <c r="W1273" i="3"/>
  <c r="W1274" i="3"/>
  <c r="W1275" i="3"/>
  <c r="W1276" i="3"/>
  <c r="W1277" i="3"/>
  <c r="W1278" i="3"/>
  <c r="W1279" i="3"/>
  <c r="W1280" i="3"/>
  <c r="W1281" i="3"/>
  <c r="W1282" i="3"/>
  <c r="W1283" i="3"/>
  <c r="W1284" i="3"/>
  <c r="W1285" i="3"/>
  <c r="W1286" i="3"/>
  <c r="W1287" i="3"/>
  <c r="W1288" i="3"/>
  <c r="W1289" i="3"/>
  <c r="W1290" i="3"/>
  <c r="W1291" i="3"/>
  <c r="W1292" i="3"/>
  <c r="W1293" i="3"/>
  <c r="W1294" i="3"/>
  <c r="W1295" i="3"/>
  <c r="W1296" i="3"/>
  <c r="W1297" i="3"/>
  <c r="W1298" i="3"/>
  <c r="W1299" i="3"/>
  <c r="W1300" i="3"/>
  <c r="W1301" i="3"/>
  <c r="W1302" i="3"/>
  <c r="W1303" i="3"/>
  <c r="W1304" i="3"/>
  <c r="W1305" i="3"/>
  <c r="W1306" i="3"/>
  <c r="W1307" i="3"/>
  <c r="W1308" i="3"/>
  <c r="W1309" i="3"/>
  <c r="W1310" i="3"/>
  <c r="W1311" i="3"/>
  <c r="W1312" i="3"/>
  <c r="W1313" i="3"/>
  <c r="W1314" i="3"/>
  <c r="W1315" i="3"/>
  <c r="W1316" i="3"/>
  <c r="W1317" i="3"/>
  <c r="W1318" i="3"/>
  <c r="W1319" i="3"/>
  <c r="W1320" i="3"/>
  <c r="W1321" i="3"/>
  <c r="W1322" i="3"/>
  <c r="W1323" i="3"/>
  <c r="W1324" i="3"/>
  <c r="W1325" i="3"/>
  <c r="W1326" i="3"/>
  <c r="W1327" i="3"/>
  <c r="W1328" i="3"/>
  <c r="W1329" i="3"/>
  <c r="W1330" i="3"/>
  <c r="W1331" i="3"/>
  <c r="W1332" i="3"/>
  <c r="W1333" i="3"/>
  <c r="W1334" i="3"/>
  <c r="W1335" i="3"/>
  <c r="W1336" i="3"/>
  <c r="W1337" i="3"/>
  <c r="W1338" i="3"/>
  <c r="W1339" i="3"/>
  <c r="W1340" i="3"/>
  <c r="W1341" i="3"/>
  <c r="W1342" i="3"/>
  <c r="W1343" i="3"/>
  <c r="W1344" i="3"/>
  <c r="W1345" i="3"/>
  <c r="W1346" i="3"/>
  <c r="W1347" i="3"/>
  <c r="W1348" i="3"/>
  <c r="W1349" i="3"/>
  <c r="W1350" i="3"/>
  <c r="W1351" i="3"/>
  <c r="W1352" i="3"/>
  <c r="W1353" i="3"/>
  <c r="W1354" i="3"/>
  <c r="W1355" i="3"/>
  <c r="W1356" i="3"/>
  <c r="W1357" i="3"/>
  <c r="W1358" i="3"/>
  <c r="W1359" i="3"/>
  <c r="W1360" i="3"/>
  <c r="W1361" i="3"/>
  <c r="W1362" i="3"/>
  <c r="W1363" i="3"/>
  <c r="W1364" i="3"/>
  <c r="W1365" i="3"/>
  <c r="W1366" i="3"/>
  <c r="W1367" i="3"/>
  <c r="W1368" i="3"/>
  <c r="W1369" i="3"/>
  <c r="W1370" i="3"/>
  <c r="W1371" i="3"/>
  <c r="W1372" i="3"/>
  <c r="W1373" i="3"/>
  <c r="W1374" i="3"/>
  <c r="W1375" i="3"/>
  <c r="W1376" i="3"/>
  <c r="W1377" i="3"/>
  <c r="W1378" i="3"/>
  <c r="W1379" i="3"/>
  <c r="W1380" i="3"/>
  <c r="W1381" i="3"/>
  <c r="W1382" i="3"/>
  <c r="W1383" i="3"/>
  <c r="W1384" i="3"/>
  <c r="W1385" i="3"/>
  <c r="W1386" i="3"/>
  <c r="W1387" i="3"/>
  <c r="W1388" i="3"/>
  <c r="W1389" i="3"/>
  <c r="W1390" i="3"/>
  <c r="W1391" i="3"/>
  <c r="W1392" i="3"/>
  <c r="W1393" i="3"/>
  <c r="W1394" i="3"/>
  <c r="W1395" i="3"/>
  <c r="W1396" i="3"/>
  <c r="W1397" i="3"/>
  <c r="W1398" i="3"/>
  <c r="W1399" i="3"/>
  <c r="W1400" i="3"/>
  <c r="W1401" i="3"/>
  <c r="W1402" i="3"/>
  <c r="W1403" i="3"/>
  <c r="W1404" i="3"/>
  <c r="W1405" i="3"/>
  <c r="W1406" i="3"/>
  <c r="W1407" i="3"/>
  <c r="W1408" i="3"/>
  <c r="W1409" i="3"/>
  <c r="W1410" i="3"/>
  <c r="W1411" i="3"/>
  <c r="W1412" i="3"/>
  <c r="W1413" i="3"/>
  <c r="W1414" i="3"/>
  <c r="W1415" i="3"/>
  <c r="W1416" i="3"/>
  <c r="W1417" i="3"/>
  <c r="W1418" i="3"/>
  <c r="W1419" i="3"/>
  <c r="W1420" i="3"/>
  <c r="W1421" i="3"/>
  <c r="W1422" i="3"/>
  <c r="W1423" i="3"/>
  <c r="W1424" i="3"/>
  <c r="W1425" i="3"/>
  <c r="W1426" i="3"/>
  <c r="W1427" i="3"/>
  <c r="W1428" i="3"/>
  <c r="W1429" i="3"/>
  <c r="W1430" i="3"/>
  <c r="W1431" i="3"/>
  <c r="W1432" i="3"/>
  <c r="W1433" i="3"/>
  <c r="W1434" i="3"/>
  <c r="W1435" i="3"/>
  <c r="W1436" i="3"/>
  <c r="W1437" i="3"/>
  <c r="W1438" i="3"/>
  <c r="W1439" i="3"/>
  <c r="W1440" i="3"/>
  <c r="W1441" i="3"/>
  <c r="W1442" i="3"/>
  <c r="W1443" i="3"/>
  <c r="W1444" i="3"/>
  <c r="W1445" i="3"/>
  <c r="W1446" i="3"/>
  <c r="W1447" i="3"/>
  <c r="W1448" i="3"/>
  <c r="W1449" i="3"/>
  <c r="W1450" i="3"/>
  <c r="W1451" i="3"/>
  <c r="W1452" i="3"/>
  <c r="W1453" i="3"/>
  <c r="W1454" i="3"/>
  <c r="W1455" i="3"/>
  <c r="W1456" i="3"/>
  <c r="W1457" i="3"/>
  <c r="W1458" i="3"/>
  <c r="W1459" i="3"/>
  <c r="W1460" i="3"/>
  <c r="W1461" i="3"/>
  <c r="W1462" i="3"/>
  <c r="W1463" i="3"/>
  <c r="W1464" i="3"/>
  <c r="W1465" i="3"/>
  <c r="W1466" i="3"/>
  <c r="W1467" i="3"/>
  <c r="W1468" i="3"/>
  <c r="W1469" i="3"/>
  <c r="W1470" i="3"/>
  <c r="W1471" i="3"/>
  <c r="W1472" i="3"/>
  <c r="W1473" i="3"/>
  <c r="W1474" i="3"/>
  <c r="W1475" i="3"/>
  <c r="W1476" i="3"/>
  <c r="W1477" i="3"/>
  <c r="W1478" i="3"/>
  <c r="W1479" i="3"/>
  <c r="W1480" i="3"/>
  <c r="W1481" i="3"/>
  <c r="W1482" i="3"/>
  <c r="W1483" i="3"/>
  <c r="W1484" i="3"/>
  <c r="W1485" i="3"/>
  <c r="W1486" i="3"/>
  <c r="W1487" i="3"/>
  <c r="W1488" i="3"/>
  <c r="W1489" i="3"/>
  <c r="W1490" i="3"/>
  <c r="W1491" i="3"/>
  <c r="W1492" i="3"/>
  <c r="W1493" i="3"/>
  <c r="W1494" i="3"/>
  <c r="W1495" i="3"/>
  <c r="W1496" i="3"/>
  <c r="W1497" i="3"/>
  <c r="W1498" i="3"/>
  <c r="W1499" i="3"/>
  <c r="W1500" i="3"/>
  <c r="W1501" i="3"/>
  <c r="W1502" i="3"/>
  <c r="W1503" i="3"/>
  <c r="W1504" i="3"/>
  <c r="W1505" i="3"/>
  <c r="W1506" i="3"/>
  <c r="W1507" i="3"/>
  <c r="W1508" i="3"/>
  <c r="W1509" i="3"/>
  <c r="W1510" i="3"/>
  <c r="W1511" i="3"/>
  <c r="W1512" i="3"/>
  <c r="W1513" i="3"/>
  <c r="W1514" i="3"/>
  <c r="W1515" i="3"/>
  <c r="W1516" i="3"/>
  <c r="W1517" i="3"/>
  <c r="W1518" i="3"/>
  <c r="W1519" i="3"/>
  <c r="W1520" i="3"/>
  <c r="W1521" i="3"/>
  <c r="W1522" i="3"/>
  <c r="W1523" i="3"/>
  <c r="W1524" i="3"/>
  <c r="W1525" i="3"/>
  <c r="W1526" i="3"/>
  <c r="W1527" i="3"/>
  <c r="W1528" i="3"/>
  <c r="W1529" i="3"/>
  <c r="W1530" i="3"/>
  <c r="W1531" i="3"/>
  <c r="W1532" i="3"/>
  <c r="W1533" i="3"/>
  <c r="W1534" i="3"/>
  <c r="W1535" i="3"/>
  <c r="W1536" i="3"/>
  <c r="W1537" i="3"/>
  <c r="W1538" i="3"/>
  <c r="W1539" i="3"/>
  <c r="W1540" i="3"/>
  <c r="W1541" i="3"/>
  <c r="W1542" i="3"/>
  <c r="W1543" i="3"/>
  <c r="W1544" i="3"/>
  <c r="W1545" i="3"/>
  <c r="W1546" i="3"/>
  <c r="W1547" i="3"/>
  <c r="W1548" i="3"/>
  <c r="W1549" i="3"/>
  <c r="W1550" i="3"/>
  <c r="W1551" i="3"/>
  <c r="W1552" i="3"/>
  <c r="W1553" i="3"/>
  <c r="W1554" i="3"/>
  <c r="W1555" i="3"/>
  <c r="W1556" i="3"/>
  <c r="W1557" i="3"/>
  <c r="W1558" i="3"/>
  <c r="W1559" i="3"/>
  <c r="W1560" i="3"/>
  <c r="W1561" i="3"/>
  <c r="W1562" i="3"/>
  <c r="W1563" i="3"/>
  <c r="W1564" i="3"/>
  <c r="W1565" i="3"/>
  <c r="W1566" i="3"/>
  <c r="W1567" i="3"/>
  <c r="W1568" i="3"/>
  <c r="W1569" i="3"/>
  <c r="W1570" i="3"/>
  <c r="W1571" i="3"/>
  <c r="W1572" i="3"/>
  <c r="W1573" i="3"/>
  <c r="W1574" i="3"/>
  <c r="W1575" i="3"/>
  <c r="W1576" i="3"/>
  <c r="W1577" i="3"/>
  <c r="W1578" i="3"/>
  <c r="W1579" i="3"/>
  <c r="W1580" i="3"/>
  <c r="W1581" i="3"/>
  <c r="W1582" i="3"/>
  <c r="W1583" i="3"/>
  <c r="W1584" i="3"/>
  <c r="W1585" i="3"/>
  <c r="W1586" i="3"/>
  <c r="W1587" i="3"/>
  <c r="W1588" i="3"/>
  <c r="W1589" i="3"/>
  <c r="W1590" i="3"/>
  <c r="W1591" i="3"/>
  <c r="W1592" i="3"/>
  <c r="W1593" i="3"/>
  <c r="W1594" i="3"/>
  <c r="W1595" i="3"/>
  <c r="W1596" i="3"/>
  <c r="W1597" i="3"/>
  <c r="W1598" i="3"/>
  <c r="W1599" i="3"/>
  <c r="W1600" i="3"/>
  <c r="W1601" i="3"/>
  <c r="W1602" i="3"/>
  <c r="W1603" i="3"/>
  <c r="W1604" i="3"/>
  <c r="W1605" i="3"/>
  <c r="W1606" i="3"/>
  <c r="W1607" i="3"/>
  <c r="W1608" i="3"/>
  <c r="W1609" i="3"/>
  <c r="W1610" i="3"/>
  <c r="W1611" i="3"/>
  <c r="W1612" i="3"/>
  <c r="W1613" i="3"/>
  <c r="W1614" i="3"/>
  <c r="W1615" i="3"/>
  <c r="W1616" i="3"/>
  <c r="W1617" i="3"/>
  <c r="W1618" i="3"/>
  <c r="W1619" i="3"/>
  <c r="W1620" i="3"/>
  <c r="W1621" i="3"/>
  <c r="W1622" i="3"/>
  <c r="W1623" i="3"/>
  <c r="W1624" i="3"/>
  <c r="W1625" i="3"/>
  <c r="W1626" i="3"/>
  <c r="W1627" i="3"/>
  <c r="W1628" i="3"/>
  <c r="W1629" i="3"/>
  <c r="W1630" i="3"/>
  <c r="W1631" i="3"/>
  <c r="W1632" i="3"/>
  <c r="W1633" i="3"/>
  <c r="W1634" i="3"/>
  <c r="W1635" i="3"/>
  <c r="W1636" i="3"/>
  <c r="W1637" i="3"/>
  <c r="W1638" i="3"/>
  <c r="W1639" i="3"/>
  <c r="W1640" i="3"/>
  <c r="W1641" i="3"/>
  <c r="W1642" i="3"/>
  <c r="W1643" i="3"/>
  <c r="W1644" i="3"/>
  <c r="W1645" i="3"/>
  <c r="W1646" i="3"/>
  <c r="W1647" i="3"/>
  <c r="W1648" i="3"/>
  <c r="W1649" i="3"/>
  <c r="W1650" i="3"/>
  <c r="W1651" i="3"/>
  <c r="W1652" i="3"/>
  <c r="W1653" i="3"/>
  <c r="W1654" i="3"/>
  <c r="W1655" i="3"/>
  <c r="W1656" i="3"/>
  <c r="W1657" i="3"/>
  <c r="W1658" i="3"/>
  <c r="W1659" i="3"/>
  <c r="W1660" i="3"/>
  <c r="W1661" i="3"/>
  <c r="W1662" i="3"/>
  <c r="W1663" i="3"/>
  <c r="W1664" i="3"/>
  <c r="W1665" i="3"/>
  <c r="W1666" i="3"/>
  <c r="W1667" i="3"/>
  <c r="W1668" i="3"/>
  <c r="W1669" i="3"/>
  <c r="W1670" i="3"/>
  <c r="W1671" i="3"/>
  <c r="W1672" i="3"/>
  <c r="W1673" i="3"/>
  <c r="W1674" i="3"/>
  <c r="W1675" i="3"/>
  <c r="W1676" i="3"/>
  <c r="W1677" i="3"/>
  <c r="W1678" i="3"/>
  <c r="W1679" i="3"/>
  <c r="W1680" i="3"/>
  <c r="W1681" i="3"/>
  <c r="W1682" i="3"/>
  <c r="W1683" i="3"/>
  <c r="W1684" i="3"/>
  <c r="W1685" i="3"/>
  <c r="W1686" i="3"/>
  <c r="W1687" i="3"/>
  <c r="W1688" i="3"/>
  <c r="W1689" i="3"/>
  <c r="W1690" i="3"/>
  <c r="W1691" i="3"/>
  <c r="W1692" i="3"/>
  <c r="W1693" i="3"/>
  <c r="W1694" i="3"/>
  <c r="W1695" i="3"/>
  <c r="W1696" i="3"/>
  <c r="W1697" i="3"/>
  <c r="W1698" i="3"/>
  <c r="W1699" i="3"/>
  <c r="W1700" i="3"/>
  <c r="W1701" i="3"/>
  <c r="W1702" i="3"/>
  <c r="W1703" i="3"/>
  <c r="W1704" i="3"/>
  <c r="W1705" i="3"/>
  <c r="W1706" i="3"/>
  <c r="W1707" i="3"/>
  <c r="W1708" i="3"/>
  <c r="W1709" i="3"/>
  <c r="W1710" i="3"/>
  <c r="W1711" i="3"/>
  <c r="W1712" i="3"/>
  <c r="W1713" i="3"/>
  <c r="W1714" i="3"/>
  <c r="W1715" i="3"/>
  <c r="W1716" i="3"/>
  <c r="W1717" i="3"/>
  <c r="W1718" i="3"/>
  <c r="W1719" i="3"/>
  <c r="W1720" i="3"/>
  <c r="W1721" i="3"/>
  <c r="W1722" i="3"/>
  <c r="W1723" i="3"/>
  <c r="W1724" i="3"/>
  <c r="W1725" i="3"/>
  <c r="W1726" i="3"/>
  <c r="W1727" i="3"/>
  <c r="W1728" i="3"/>
  <c r="W1729" i="3"/>
  <c r="W1730" i="3"/>
  <c r="W1731" i="3"/>
  <c r="W1732" i="3"/>
  <c r="W1733" i="3"/>
  <c r="W1734" i="3"/>
  <c r="W1735" i="3"/>
  <c r="W1736" i="3"/>
  <c r="W1737" i="3"/>
  <c r="W1738" i="3"/>
  <c r="W1739" i="3"/>
  <c r="W1740" i="3"/>
  <c r="W1741" i="3"/>
  <c r="W1742" i="3"/>
  <c r="W1743" i="3"/>
  <c r="W1744" i="3"/>
  <c r="W1745" i="3"/>
  <c r="W1746" i="3"/>
  <c r="W1747" i="3"/>
  <c r="W1748" i="3"/>
  <c r="W1749" i="3"/>
  <c r="W1750" i="3"/>
  <c r="W1751" i="3"/>
  <c r="W1752" i="3"/>
  <c r="W1753" i="3"/>
  <c r="W1754" i="3"/>
  <c r="W1755" i="3"/>
  <c r="W1756" i="3"/>
  <c r="W1757" i="3"/>
  <c r="W1758" i="3"/>
  <c r="W1759" i="3"/>
  <c r="W1760" i="3"/>
  <c r="W1761" i="3"/>
  <c r="W1762" i="3"/>
  <c r="W1763" i="3"/>
  <c r="W1764" i="3"/>
  <c r="W1765" i="3"/>
  <c r="W1766" i="3"/>
  <c r="W1767" i="3"/>
  <c r="W1768" i="3"/>
  <c r="W1769" i="3"/>
  <c r="W1770" i="3"/>
  <c r="W1771" i="3"/>
  <c r="W1772" i="3"/>
  <c r="W1773" i="3"/>
  <c r="W1774" i="3"/>
  <c r="W1775" i="3"/>
  <c r="W1776" i="3"/>
  <c r="W1777" i="3"/>
  <c r="W1778" i="3"/>
  <c r="W1779" i="3"/>
  <c r="W1780" i="3"/>
  <c r="W1781" i="3"/>
  <c r="W1782" i="3"/>
  <c r="W1783" i="3"/>
  <c r="W1784" i="3"/>
  <c r="W1785" i="3"/>
  <c r="W1786" i="3"/>
  <c r="W1787" i="3"/>
  <c r="W1788" i="3"/>
  <c r="W1789" i="3"/>
  <c r="W1790" i="3"/>
  <c r="W1791" i="3"/>
  <c r="W1792" i="3"/>
  <c r="W1793" i="3"/>
  <c r="W1794" i="3"/>
  <c r="W1795" i="3"/>
  <c r="W1796" i="3"/>
  <c r="W1797" i="3"/>
  <c r="W1798" i="3"/>
  <c r="W1799" i="3"/>
  <c r="W1800" i="3"/>
  <c r="W1801" i="3"/>
  <c r="W1802" i="3"/>
  <c r="W1803" i="3"/>
  <c r="W1804" i="3"/>
  <c r="W1805" i="3"/>
  <c r="W1806" i="3"/>
  <c r="W1807" i="3"/>
  <c r="W1808" i="3"/>
  <c r="W1809" i="3"/>
  <c r="W1810" i="3"/>
  <c r="W1811" i="3"/>
  <c r="W1812" i="3"/>
  <c r="W1813" i="3"/>
  <c r="W1814" i="3"/>
  <c r="W1815" i="3"/>
  <c r="W1816" i="3"/>
  <c r="W1817" i="3"/>
  <c r="W1818" i="3"/>
  <c r="W1819" i="3"/>
  <c r="W1820" i="3"/>
  <c r="W1821" i="3"/>
  <c r="W1822" i="3"/>
  <c r="W1823" i="3"/>
  <c r="W1824" i="3"/>
  <c r="W1825" i="3"/>
  <c r="W1826" i="3"/>
  <c r="W1827" i="3"/>
  <c r="W1828" i="3"/>
  <c r="W1829" i="3"/>
  <c r="W1830" i="3"/>
  <c r="W1831" i="3"/>
  <c r="W1832" i="3"/>
  <c r="W1833" i="3"/>
  <c r="W1834" i="3"/>
  <c r="W1835" i="3"/>
  <c r="W1836" i="3"/>
  <c r="W1837" i="3"/>
  <c r="W1838" i="3"/>
  <c r="W1839" i="3"/>
  <c r="W1840" i="3"/>
  <c r="W1841" i="3"/>
  <c r="W1842" i="3"/>
  <c r="W1843" i="3"/>
  <c r="W1844" i="3"/>
  <c r="W1845" i="3"/>
  <c r="W1846" i="3"/>
  <c r="W1847" i="3"/>
  <c r="W1848" i="3"/>
  <c r="W1849" i="3"/>
  <c r="W1850" i="3"/>
  <c r="W1851" i="3"/>
  <c r="W1852" i="3"/>
  <c r="W1853" i="3"/>
  <c r="W1854" i="3"/>
  <c r="W1855" i="3"/>
  <c r="W1856" i="3"/>
  <c r="W1857" i="3"/>
  <c r="W1858" i="3"/>
  <c r="W1859" i="3"/>
  <c r="W1860" i="3"/>
  <c r="W1861" i="3"/>
  <c r="W1862" i="3"/>
  <c r="W1863" i="3"/>
  <c r="W1864" i="3"/>
  <c r="W1865" i="3"/>
  <c r="W1866" i="3"/>
  <c r="W1867" i="3"/>
  <c r="W1868" i="3"/>
  <c r="W1869" i="3"/>
  <c r="W1870" i="3"/>
  <c r="W1871" i="3"/>
  <c r="W1872" i="3"/>
  <c r="W1873" i="3"/>
  <c r="W1874" i="3"/>
  <c r="W1875" i="3"/>
  <c r="W1876" i="3"/>
  <c r="W1877" i="3"/>
  <c r="W1878" i="3"/>
  <c r="W1879" i="3"/>
  <c r="W1880" i="3"/>
  <c r="W1881" i="3"/>
  <c r="W1882" i="3"/>
  <c r="W1883" i="3"/>
  <c r="W1884" i="3"/>
  <c r="W1885" i="3"/>
  <c r="W1886" i="3"/>
  <c r="W1887" i="3"/>
  <c r="W1888" i="3"/>
  <c r="W1889" i="3"/>
  <c r="W1890" i="3"/>
  <c r="W1891" i="3"/>
  <c r="W1892" i="3"/>
  <c r="W1893" i="3"/>
  <c r="W1894" i="3"/>
  <c r="W1895" i="3"/>
  <c r="W1896" i="3"/>
  <c r="W1897" i="3"/>
  <c r="W1898" i="3"/>
  <c r="W1899" i="3"/>
  <c r="W1900" i="3"/>
  <c r="W1901" i="3"/>
  <c r="W1902" i="3"/>
  <c r="W1903" i="3"/>
  <c r="W1904" i="3"/>
  <c r="W1905" i="3"/>
  <c r="W1906" i="3"/>
  <c r="W1907" i="3"/>
  <c r="W1908" i="3"/>
  <c r="W1909" i="3"/>
  <c r="W1910" i="3"/>
  <c r="W1911" i="3"/>
  <c r="W1912" i="3"/>
  <c r="W1913" i="3"/>
  <c r="W1914" i="3"/>
  <c r="W1915" i="3"/>
  <c r="W1916" i="3"/>
  <c r="W1917" i="3"/>
  <c r="W1918" i="3"/>
  <c r="W1919" i="3"/>
  <c r="W1920" i="3"/>
  <c r="W1921" i="3"/>
  <c r="W1922" i="3"/>
  <c r="W1923" i="3"/>
  <c r="W1924" i="3"/>
  <c r="W1925" i="3"/>
  <c r="W1926" i="3"/>
  <c r="W1927" i="3"/>
  <c r="W1928" i="3"/>
  <c r="W1929" i="3"/>
  <c r="W1930" i="3"/>
  <c r="W1931" i="3"/>
  <c r="W1932" i="3"/>
  <c r="W1933" i="3"/>
  <c r="W1934" i="3"/>
  <c r="W1935" i="3"/>
  <c r="W1936" i="3"/>
  <c r="W1937" i="3"/>
  <c r="W1938" i="3"/>
  <c r="W1939" i="3"/>
  <c r="W1940" i="3"/>
  <c r="W1941" i="3"/>
  <c r="W1942" i="3"/>
  <c r="W1943" i="3"/>
  <c r="W1944" i="3"/>
  <c r="W1945" i="3"/>
  <c r="W1946" i="3"/>
  <c r="W1947" i="3"/>
  <c r="W1948" i="3"/>
  <c r="W1949" i="3"/>
  <c r="W1950" i="3"/>
  <c r="W1951" i="3"/>
  <c r="W1952" i="3"/>
  <c r="W1953" i="3"/>
  <c r="W1954" i="3"/>
  <c r="W1955" i="3"/>
  <c r="W1956" i="3"/>
  <c r="W1957" i="3"/>
  <c r="W1958" i="3"/>
  <c r="W1959" i="3"/>
  <c r="W1960" i="3"/>
  <c r="W1961" i="3"/>
  <c r="W1962" i="3"/>
  <c r="W1963" i="3"/>
  <c r="W1964" i="3"/>
  <c r="W1965" i="3"/>
  <c r="W1966" i="3"/>
  <c r="W1967" i="3"/>
  <c r="W1968" i="3"/>
  <c r="W1969" i="3"/>
  <c r="W1970" i="3"/>
  <c r="W1971" i="3"/>
  <c r="W1972" i="3"/>
  <c r="W1973" i="3"/>
  <c r="W1974" i="3"/>
  <c r="W1975" i="3"/>
  <c r="W1976" i="3"/>
  <c r="W1977" i="3"/>
  <c r="W1978" i="3"/>
  <c r="W1979" i="3"/>
  <c r="W1980" i="3"/>
  <c r="W1981" i="3"/>
  <c r="W1982" i="3"/>
  <c r="W1983" i="3"/>
  <c r="W1984" i="3"/>
  <c r="W1985" i="3"/>
  <c r="W1986" i="3"/>
  <c r="W1987" i="3"/>
  <c r="W1988" i="3"/>
  <c r="W1989" i="3"/>
  <c r="W1990" i="3"/>
  <c r="W1991" i="3"/>
  <c r="W1992" i="3"/>
  <c r="W1993" i="3"/>
  <c r="W1994" i="3"/>
  <c r="W1995" i="3"/>
  <c r="W1996" i="3"/>
  <c r="W1997" i="3"/>
  <c r="W1998" i="3"/>
  <c r="W1999" i="3"/>
  <c r="W2000" i="3"/>
  <c r="W2001" i="3"/>
  <c r="W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V1018" i="3"/>
  <c r="V1019" i="3"/>
  <c r="V1020" i="3"/>
  <c r="V1021" i="3"/>
  <c r="V1022" i="3"/>
  <c r="V1023" i="3"/>
  <c r="V1024" i="3"/>
  <c r="V1025" i="3"/>
  <c r="V1026" i="3"/>
  <c r="V1027" i="3"/>
  <c r="V1028" i="3"/>
  <c r="V1029" i="3"/>
  <c r="V1030" i="3"/>
  <c r="V1031" i="3"/>
  <c r="V1032" i="3"/>
  <c r="V1033" i="3"/>
  <c r="V1034" i="3"/>
  <c r="V1035" i="3"/>
  <c r="V1036" i="3"/>
  <c r="V1037" i="3"/>
  <c r="V1038" i="3"/>
  <c r="V1039" i="3"/>
  <c r="V1040" i="3"/>
  <c r="V1041" i="3"/>
  <c r="V1042" i="3"/>
  <c r="V1043" i="3"/>
  <c r="V1044" i="3"/>
  <c r="V1045" i="3"/>
  <c r="V1046" i="3"/>
  <c r="V1047" i="3"/>
  <c r="V1048" i="3"/>
  <c r="V1049" i="3"/>
  <c r="V1050" i="3"/>
  <c r="V1051" i="3"/>
  <c r="V1052" i="3"/>
  <c r="V1053" i="3"/>
  <c r="V1054" i="3"/>
  <c r="V1055" i="3"/>
  <c r="V1056" i="3"/>
  <c r="V1057" i="3"/>
  <c r="V1058" i="3"/>
  <c r="V1059" i="3"/>
  <c r="V1060" i="3"/>
  <c r="V1061" i="3"/>
  <c r="V1062" i="3"/>
  <c r="V1063" i="3"/>
  <c r="V1064" i="3"/>
  <c r="V1065" i="3"/>
  <c r="V1066" i="3"/>
  <c r="V1067" i="3"/>
  <c r="V1068" i="3"/>
  <c r="V1069" i="3"/>
  <c r="V1070" i="3"/>
  <c r="V1071" i="3"/>
  <c r="V1072" i="3"/>
  <c r="V1073" i="3"/>
  <c r="V1074" i="3"/>
  <c r="V1075" i="3"/>
  <c r="V1076" i="3"/>
  <c r="V1077" i="3"/>
  <c r="V1078" i="3"/>
  <c r="V1079" i="3"/>
  <c r="V1080" i="3"/>
  <c r="V1081" i="3"/>
  <c r="V1082" i="3"/>
  <c r="V1083" i="3"/>
  <c r="V1084" i="3"/>
  <c r="V1085" i="3"/>
  <c r="V1086" i="3"/>
  <c r="V1087" i="3"/>
  <c r="V1088" i="3"/>
  <c r="V1089" i="3"/>
  <c r="V1090" i="3"/>
  <c r="V1091" i="3"/>
  <c r="V1092" i="3"/>
  <c r="V1093" i="3"/>
  <c r="V1094" i="3"/>
  <c r="V1095" i="3"/>
  <c r="V1096" i="3"/>
  <c r="V1097" i="3"/>
  <c r="V1098" i="3"/>
  <c r="V1099" i="3"/>
  <c r="V1100" i="3"/>
  <c r="V1101" i="3"/>
  <c r="V1102" i="3"/>
  <c r="V1103" i="3"/>
  <c r="V1104" i="3"/>
  <c r="V1105" i="3"/>
  <c r="V1106" i="3"/>
  <c r="V1107" i="3"/>
  <c r="V1108" i="3"/>
  <c r="V1109" i="3"/>
  <c r="V1110" i="3"/>
  <c r="V1111" i="3"/>
  <c r="V1112" i="3"/>
  <c r="V1113" i="3"/>
  <c r="V1114" i="3"/>
  <c r="V1115" i="3"/>
  <c r="V1116" i="3"/>
  <c r="V1117" i="3"/>
  <c r="V1118" i="3"/>
  <c r="V1119" i="3"/>
  <c r="V1120" i="3"/>
  <c r="V1121" i="3"/>
  <c r="V1122" i="3"/>
  <c r="V1123" i="3"/>
  <c r="V1124" i="3"/>
  <c r="V1125" i="3"/>
  <c r="V1126" i="3"/>
  <c r="V1127" i="3"/>
  <c r="V1128" i="3"/>
  <c r="V1129" i="3"/>
  <c r="V1130" i="3"/>
  <c r="V1131" i="3"/>
  <c r="V1132" i="3"/>
  <c r="V1133" i="3"/>
  <c r="V1134" i="3"/>
  <c r="V1135" i="3"/>
  <c r="V1136" i="3"/>
  <c r="V1137" i="3"/>
  <c r="V1138" i="3"/>
  <c r="V1139" i="3"/>
  <c r="V1140" i="3"/>
  <c r="V1141" i="3"/>
  <c r="V1142" i="3"/>
  <c r="V1143" i="3"/>
  <c r="V1144" i="3"/>
  <c r="V1145" i="3"/>
  <c r="V1146" i="3"/>
  <c r="V1147" i="3"/>
  <c r="V1148" i="3"/>
  <c r="V1149" i="3"/>
  <c r="V1150" i="3"/>
  <c r="V1151" i="3"/>
  <c r="V1152" i="3"/>
  <c r="V1153" i="3"/>
  <c r="V1154" i="3"/>
  <c r="V1155" i="3"/>
  <c r="V1156" i="3"/>
  <c r="V1157" i="3"/>
  <c r="V1158" i="3"/>
  <c r="V1159" i="3"/>
  <c r="V1160" i="3"/>
  <c r="V1161" i="3"/>
  <c r="V1162" i="3"/>
  <c r="V1163" i="3"/>
  <c r="V1164" i="3"/>
  <c r="V1165" i="3"/>
  <c r="V1166" i="3"/>
  <c r="V1167" i="3"/>
  <c r="V1168" i="3"/>
  <c r="V1169" i="3"/>
  <c r="V1170" i="3"/>
  <c r="V1171" i="3"/>
  <c r="V1172" i="3"/>
  <c r="V1173" i="3"/>
  <c r="V1174" i="3"/>
  <c r="V1175" i="3"/>
  <c r="V1176" i="3"/>
  <c r="V1177" i="3"/>
  <c r="V1178" i="3"/>
  <c r="V1179" i="3"/>
  <c r="V1180" i="3"/>
  <c r="V1181" i="3"/>
  <c r="V1182" i="3"/>
  <c r="V1183" i="3"/>
  <c r="V1184" i="3"/>
  <c r="V1185" i="3"/>
  <c r="V1186" i="3"/>
  <c r="V1187" i="3"/>
  <c r="V1188" i="3"/>
  <c r="V1189" i="3"/>
  <c r="V1190" i="3"/>
  <c r="V1191" i="3"/>
  <c r="V1192" i="3"/>
  <c r="V1193" i="3"/>
  <c r="V1194" i="3"/>
  <c r="V1195" i="3"/>
  <c r="V1196" i="3"/>
  <c r="V1197" i="3"/>
  <c r="V1198" i="3"/>
  <c r="V1199" i="3"/>
  <c r="V1200" i="3"/>
  <c r="V1201" i="3"/>
  <c r="V1202" i="3"/>
  <c r="V1203" i="3"/>
  <c r="V1204" i="3"/>
  <c r="V1205" i="3"/>
  <c r="V1206" i="3"/>
  <c r="V1207" i="3"/>
  <c r="V1208" i="3"/>
  <c r="V1209" i="3"/>
  <c r="V1210" i="3"/>
  <c r="V1211" i="3"/>
  <c r="V1212" i="3"/>
  <c r="V1213" i="3"/>
  <c r="V1214" i="3"/>
  <c r="V1215" i="3"/>
  <c r="V1216" i="3"/>
  <c r="V1217" i="3"/>
  <c r="V1218" i="3"/>
  <c r="V1219" i="3"/>
  <c r="V1220" i="3"/>
  <c r="V1221" i="3"/>
  <c r="V1222" i="3"/>
  <c r="V1223" i="3"/>
  <c r="V1224" i="3"/>
  <c r="V1225" i="3"/>
  <c r="V1226" i="3"/>
  <c r="V1227" i="3"/>
  <c r="V1228" i="3"/>
  <c r="V1229" i="3"/>
  <c r="V1230" i="3"/>
  <c r="V1231" i="3"/>
  <c r="V1232" i="3"/>
  <c r="V1233" i="3"/>
  <c r="V1234" i="3"/>
  <c r="V1235" i="3"/>
  <c r="V1236" i="3"/>
  <c r="V1237" i="3"/>
  <c r="V1238" i="3"/>
  <c r="V1239" i="3"/>
  <c r="V1240" i="3"/>
  <c r="V1241" i="3"/>
  <c r="V1242" i="3"/>
  <c r="V1243" i="3"/>
  <c r="V1244" i="3"/>
  <c r="V1245" i="3"/>
  <c r="V1246" i="3"/>
  <c r="V1247" i="3"/>
  <c r="V1248" i="3"/>
  <c r="V1249" i="3"/>
  <c r="V1250" i="3"/>
  <c r="V1251" i="3"/>
  <c r="V1252" i="3"/>
  <c r="V1253" i="3"/>
  <c r="V1254" i="3"/>
  <c r="V1255" i="3"/>
  <c r="V1256" i="3"/>
  <c r="V1257" i="3"/>
  <c r="V1258" i="3"/>
  <c r="V1259" i="3"/>
  <c r="V1260" i="3"/>
  <c r="V1261" i="3"/>
  <c r="V1262" i="3"/>
  <c r="V1263" i="3"/>
  <c r="V1264" i="3"/>
  <c r="V1265" i="3"/>
  <c r="V1266" i="3"/>
  <c r="V1267" i="3"/>
  <c r="V1268" i="3"/>
  <c r="V1269" i="3"/>
  <c r="V1270" i="3"/>
  <c r="V1271" i="3"/>
  <c r="V1272" i="3"/>
  <c r="V1273" i="3"/>
  <c r="V1274" i="3"/>
  <c r="V1275" i="3"/>
  <c r="V1276" i="3"/>
  <c r="V1277" i="3"/>
  <c r="V1278" i="3"/>
  <c r="V1279" i="3"/>
  <c r="V1280" i="3"/>
  <c r="V1281" i="3"/>
  <c r="V1282" i="3"/>
  <c r="V1283" i="3"/>
  <c r="V1284" i="3"/>
  <c r="V1285" i="3"/>
  <c r="V1286" i="3"/>
  <c r="V1287" i="3"/>
  <c r="V1288" i="3"/>
  <c r="V1289" i="3"/>
  <c r="V1290" i="3"/>
  <c r="V1291" i="3"/>
  <c r="V1292" i="3"/>
  <c r="V1293" i="3"/>
  <c r="V1294" i="3"/>
  <c r="V1295" i="3"/>
  <c r="V1296" i="3"/>
  <c r="V1297" i="3"/>
  <c r="V1298" i="3"/>
  <c r="V1299" i="3"/>
  <c r="V1300" i="3"/>
  <c r="V1301" i="3"/>
  <c r="V1302" i="3"/>
  <c r="V1303" i="3"/>
  <c r="V1304" i="3"/>
  <c r="V1305" i="3"/>
  <c r="V1306" i="3"/>
  <c r="V1307" i="3"/>
  <c r="V1308" i="3"/>
  <c r="V1309" i="3"/>
  <c r="V1310" i="3"/>
  <c r="V1311" i="3"/>
  <c r="V1312" i="3"/>
  <c r="V1313" i="3"/>
  <c r="V1314" i="3"/>
  <c r="V1315" i="3"/>
  <c r="V1316" i="3"/>
  <c r="V1317" i="3"/>
  <c r="V1318" i="3"/>
  <c r="V1319" i="3"/>
  <c r="V1320" i="3"/>
  <c r="V1321" i="3"/>
  <c r="V1322" i="3"/>
  <c r="V1323" i="3"/>
  <c r="V1324" i="3"/>
  <c r="V1325" i="3"/>
  <c r="V1326" i="3"/>
  <c r="V1327" i="3"/>
  <c r="V1328" i="3"/>
  <c r="V1329" i="3"/>
  <c r="V1330" i="3"/>
  <c r="V1331" i="3"/>
  <c r="V1332" i="3"/>
  <c r="V1333" i="3"/>
  <c r="V1334" i="3"/>
  <c r="V1335" i="3"/>
  <c r="V1336" i="3"/>
  <c r="V1337" i="3"/>
  <c r="V1338" i="3"/>
  <c r="V1339" i="3"/>
  <c r="V1340" i="3"/>
  <c r="V1341" i="3"/>
  <c r="V1342" i="3"/>
  <c r="V1343" i="3"/>
  <c r="V1344" i="3"/>
  <c r="V1345" i="3"/>
  <c r="V1346" i="3"/>
  <c r="V1347" i="3"/>
  <c r="V1348" i="3"/>
  <c r="V1349" i="3"/>
  <c r="V1350" i="3"/>
  <c r="V1351" i="3"/>
  <c r="V1352" i="3"/>
  <c r="V1353" i="3"/>
  <c r="V1354" i="3"/>
  <c r="V1355" i="3"/>
  <c r="V1356" i="3"/>
  <c r="V1357" i="3"/>
  <c r="V1358" i="3"/>
  <c r="V1359" i="3"/>
  <c r="V1360" i="3"/>
  <c r="V1361" i="3"/>
  <c r="V1362" i="3"/>
  <c r="V1363" i="3"/>
  <c r="V1364" i="3"/>
  <c r="V1365" i="3"/>
  <c r="V1366" i="3"/>
  <c r="V1367" i="3"/>
  <c r="V1368" i="3"/>
  <c r="V1369" i="3"/>
  <c r="V1370" i="3"/>
  <c r="V1371" i="3"/>
  <c r="V1372" i="3"/>
  <c r="V1373" i="3"/>
  <c r="V1374" i="3"/>
  <c r="V1375" i="3"/>
  <c r="V1376" i="3"/>
  <c r="V1377" i="3"/>
  <c r="V1378" i="3"/>
  <c r="V1379" i="3"/>
  <c r="V1380" i="3"/>
  <c r="V1381" i="3"/>
  <c r="V1382" i="3"/>
  <c r="V1383" i="3"/>
  <c r="V1384" i="3"/>
  <c r="V1385" i="3"/>
  <c r="V1386" i="3"/>
  <c r="V1387" i="3"/>
  <c r="V1388" i="3"/>
  <c r="V1389" i="3"/>
  <c r="V1390" i="3"/>
  <c r="V1391" i="3"/>
  <c r="V1392" i="3"/>
  <c r="V1393" i="3"/>
  <c r="V1394" i="3"/>
  <c r="V1395" i="3"/>
  <c r="V1396" i="3"/>
  <c r="V1397" i="3"/>
  <c r="V1398" i="3"/>
  <c r="V1399" i="3"/>
  <c r="V1400" i="3"/>
  <c r="V1401" i="3"/>
  <c r="V1402" i="3"/>
  <c r="V1403" i="3"/>
  <c r="V1404" i="3"/>
  <c r="V1405" i="3"/>
  <c r="V1406" i="3"/>
  <c r="V1407" i="3"/>
  <c r="V1408" i="3"/>
  <c r="V1409" i="3"/>
  <c r="V1410" i="3"/>
  <c r="V1411" i="3"/>
  <c r="V1412" i="3"/>
  <c r="V1413" i="3"/>
  <c r="V1414" i="3"/>
  <c r="V1415" i="3"/>
  <c r="V1416" i="3"/>
  <c r="V1417" i="3"/>
  <c r="V1418" i="3"/>
  <c r="V1419" i="3"/>
  <c r="V1420" i="3"/>
  <c r="V1421" i="3"/>
  <c r="V1422" i="3"/>
  <c r="V1423" i="3"/>
  <c r="V1424" i="3"/>
  <c r="V1425" i="3"/>
  <c r="V1426" i="3"/>
  <c r="V1427" i="3"/>
  <c r="V1428" i="3"/>
  <c r="V1429" i="3"/>
  <c r="V1430" i="3"/>
  <c r="V1431" i="3"/>
  <c r="V1432" i="3"/>
  <c r="V1433" i="3"/>
  <c r="V1434" i="3"/>
  <c r="V1435" i="3"/>
  <c r="V1436" i="3"/>
  <c r="V1437" i="3"/>
  <c r="V1438" i="3"/>
  <c r="V1439" i="3"/>
  <c r="V1440" i="3"/>
  <c r="V1441" i="3"/>
  <c r="V1442" i="3"/>
  <c r="V1443" i="3"/>
  <c r="V1444" i="3"/>
  <c r="V1445" i="3"/>
  <c r="V1446" i="3"/>
  <c r="V1447" i="3"/>
  <c r="V1448" i="3"/>
  <c r="V1449" i="3"/>
  <c r="V1450" i="3"/>
  <c r="V1451" i="3"/>
  <c r="V1452" i="3"/>
  <c r="V1453" i="3"/>
  <c r="V1454" i="3"/>
  <c r="V1455" i="3"/>
  <c r="V1456" i="3"/>
  <c r="V1457" i="3"/>
  <c r="V1458" i="3"/>
  <c r="V1459" i="3"/>
  <c r="V1460" i="3"/>
  <c r="V1461" i="3"/>
  <c r="V1462" i="3"/>
  <c r="V1463" i="3"/>
  <c r="V1464" i="3"/>
  <c r="V1465" i="3"/>
  <c r="V1466" i="3"/>
  <c r="V1467" i="3"/>
  <c r="V1468" i="3"/>
  <c r="V1469" i="3"/>
  <c r="V1470" i="3"/>
  <c r="V1471" i="3"/>
  <c r="V1472" i="3"/>
  <c r="V1473" i="3"/>
  <c r="V1474" i="3"/>
  <c r="V1475" i="3"/>
  <c r="V1476" i="3"/>
  <c r="V1477" i="3"/>
  <c r="V1478" i="3"/>
  <c r="V1479" i="3"/>
  <c r="V1480" i="3"/>
  <c r="V1481" i="3"/>
  <c r="V1482" i="3"/>
  <c r="V1483" i="3"/>
  <c r="V1484" i="3"/>
  <c r="V1485" i="3"/>
  <c r="V1486" i="3"/>
  <c r="V1487" i="3"/>
  <c r="V1488" i="3"/>
  <c r="V1489" i="3"/>
  <c r="V1490" i="3"/>
  <c r="V1491" i="3"/>
  <c r="V1492" i="3"/>
  <c r="V1493" i="3"/>
  <c r="V1494" i="3"/>
  <c r="V1495" i="3"/>
  <c r="V1496" i="3"/>
  <c r="V1497" i="3"/>
  <c r="V1498" i="3"/>
  <c r="V1499" i="3"/>
  <c r="V1500" i="3"/>
  <c r="V1501" i="3"/>
  <c r="V1502" i="3"/>
  <c r="V1503" i="3"/>
  <c r="V1504" i="3"/>
  <c r="V1505" i="3"/>
  <c r="V1506" i="3"/>
  <c r="V1507" i="3"/>
  <c r="V1508" i="3"/>
  <c r="V1509" i="3"/>
  <c r="V1510" i="3"/>
  <c r="V1511" i="3"/>
  <c r="V1512" i="3"/>
  <c r="V1513" i="3"/>
  <c r="V1514" i="3"/>
  <c r="V1515" i="3"/>
  <c r="V1516" i="3"/>
  <c r="V1517" i="3"/>
  <c r="V1518" i="3"/>
  <c r="V1519" i="3"/>
  <c r="V1520" i="3"/>
  <c r="V1521" i="3"/>
  <c r="V1522" i="3"/>
  <c r="V1523" i="3"/>
  <c r="V1524" i="3"/>
  <c r="V1525" i="3"/>
  <c r="V1526" i="3"/>
  <c r="V1527" i="3"/>
  <c r="V1528" i="3"/>
  <c r="V1529" i="3"/>
  <c r="V1530" i="3"/>
  <c r="V1531" i="3"/>
  <c r="V1532" i="3"/>
  <c r="V1533" i="3"/>
  <c r="V1534" i="3"/>
  <c r="V1535" i="3"/>
  <c r="V1536" i="3"/>
  <c r="V1537" i="3"/>
  <c r="V1538" i="3"/>
  <c r="V1539" i="3"/>
  <c r="V1540" i="3"/>
  <c r="V1541" i="3"/>
  <c r="V1542" i="3"/>
  <c r="V1543" i="3"/>
  <c r="V1544" i="3"/>
  <c r="V1545" i="3"/>
  <c r="V1546" i="3"/>
  <c r="V1547" i="3"/>
  <c r="V1548" i="3"/>
  <c r="V1549" i="3"/>
  <c r="V1550" i="3"/>
  <c r="V1551" i="3"/>
  <c r="V1552" i="3"/>
  <c r="V1553" i="3"/>
  <c r="V1554" i="3"/>
  <c r="V1555" i="3"/>
  <c r="V1556" i="3"/>
  <c r="V1557" i="3"/>
  <c r="V1558" i="3"/>
  <c r="V1559" i="3"/>
  <c r="V1560" i="3"/>
  <c r="V1561" i="3"/>
  <c r="V1562" i="3"/>
  <c r="V1563" i="3"/>
  <c r="V1564" i="3"/>
  <c r="V1565" i="3"/>
  <c r="V1566" i="3"/>
  <c r="V1567" i="3"/>
  <c r="V1568" i="3"/>
  <c r="V1569" i="3"/>
  <c r="V1570" i="3"/>
  <c r="V1571" i="3"/>
  <c r="V1572" i="3"/>
  <c r="V1573" i="3"/>
  <c r="V1574" i="3"/>
  <c r="V1575" i="3"/>
  <c r="V1576" i="3"/>
  <c r="V1577" i="3"/>
  <c r="V1578" i="3"/>
  <c r="V1579" i="3"/>
  <c r="V1580" i="3"/>
  <c r="V1581" i="3"/>
  <c r="V1582" i="3"/>
  <c r="V1583" i="3"/>
  <c r="V1584" i="3"/>
  <c r="V1585" i="3"/>
  <c r="V1586" i="3"/>
  <c r="V1587" i="3"/>
  <c r="V1588" i="3"/>
  <c r="V1589" i="3"/>
  <c r="V1590" i="3"/>
  <c r="V1591" i="3"/>
  <c r="V1592" i="3"/>
  <c r="V1593" i="3"/>
  <c r="V1594" i="3"/>
  <c r="V1595" i="3"/>
  <c r="V1596" i="3"/>
  <c r="V1597" i="3"/>
  <c r="V1598" i="3"/>
  <c r="V1599" i="3"/>
  <c r="V1600" i="3"/>
  <c r="V1601" i="3"/>
  <c r="V1602" i="3"/>
  <c r="V1603" i="3"/>
  <c r="V1604" i="3"/>
  <c r="V1605" i="3"/>
  <c r="V1606" i="3"/>
  <c r="V1607" i="3"/>
  <c r="V1608" i="3"/>
  <c r="V1609" i="3"/>
  <c r="V1610" i="3"/>
  <c r="V1611" i="3"/>
  <c r="V1612" i="3"/>
  <c r="V1613" i="3"/>
  <c r="V1614" i="3"/>
  <c r="V1615" i="3"/>
  <c r="V1616" i="3"/>
  <c r="V1617" i="3"/>
  <c r="V1618" i="3"/>
  <c r="V1619" i="3"/>
  <c r="V1620" i="3"/>
  <c r="V1621" i="3"/>
  <c r="V1622" i="3"/>
  <c r="V1623" i="3"/>
  <c r="V1624" i="3"/>
  <c r="V1625" i="3"/>
  <c r="V1626" i="3"/>
  <c r="V1627" i="3"/>
  <c r="V1628" i="3"/>
  <c r="V1629" i="3"/>
  <c r="V1630" i="3"/>
  <c r="V1631" i="3"/>
  <c r="V1632" i="3"/>
  <c r="V1633" i="3"/>
  <c r="V1634" i="3"/>
  <c r="V1635" i="3"/>
  <c r="V1636" i="3"/>
  <c r="V1637" i="3"/>
  <c r="V1638" i="3"/>
  <c r="V1639" i="3"/>
  <c r="V1640" i="3"/>
  <c r="V1641" i="3"/>
  <c r="V1642" i="3"/>
  <c r="V1643" i="3"/>
  <c r="V1644" i="3"/>
  <c r="V1645" i="3"/>
  <c r="V1646" i="3"/>
  <c r="V1647" i="3"/>
  <c r="V1648" i="3"/>
  <c r="V1649" i="3"/>
  <c r="V1650" i="3"/>
  <c r="V1651" i="3"/>
  <c r="V1652" i="3"/>
  <c r="V1653" i="3"/>
  <c r="V1654" i="3"/>
  <c r="V1655" i="3"/>
  <c r="V1656" i="3"/>
  <c r="V1657" i="3"/>
  <c r="V1658" i="3"/>
  <c r="V1659" i="3"/>
  <c r="V1660" i="3"/>
  <c r="V1661" i="3"/>
  <c r="V1662" i="3"/>
  <c r="V1663" i="3"/>
  <c r="V1664" i="3"/>
  <c r="V1665" i="3"/>
  <c r="V1666" i="3"/>
  <c r="V1667" i="3"/>
  <c r="V1668" i="3"/>
  <c r="V1669" i="3"/>
  <c r="V1670" i="3"/>
  <c r="V1671" i="3"/>
  <c r="V1672" i="3"/>
  <c r="V1673" i="3"/>
  <c r="V1674" i="3"/>
  <c r="V1675" i="3"/>
  <c r="V1676" i="3"/>
  <c r="V1677" i="3"/>
  <c r="V1678" i="3"/>
  <c r="V1679" i="3"/>
  <c r="V1680" i="3"/>
  <c r="V1681" i="3"/>
  <c r="V1682" i="3"/>
  <c r="V1683" i="3"/>
  <c r="V1684" i="3"/>
  <c r="V1685" i="3"/>
  <c r="V1686" i="3"/>
  <c r="V1687" i="3"/>
  <c r="V1688" i="3"/>
  <c r="V1689" i="3"/>
  <c r="V1690" i="3"/>
  <c r="V1691" i="3"/>
  <c r="V1692" i="3"/>
  <c r="V1693" i="3"/>
  <c r="V1694" i="3"/>
  <c r="V1695" i="3"/>
  <c r="V1696" i="3"/>
  <c r="V1697" i="3"/>
  <c r="V1698" i="3"/>
  <c r="V1699" i="3"/>
  <c r="V1700" i="3"/>
  <c r="V1701" i="3"/>
  <c r="V1702" i="3"/>
  <c r="V1703" i="3"/>
  <c r="V1704" i="3"/>
  <c r="V1705" i="3"/>
  <c r="V1706" i="3"/>
  <c r="V1707" i="3"/>
  <c r="V1708" i="3"/>
  <c r="V1709" i="3"/>
  <c r="V1710" i="3"/>
  <c r="V1711" i="3"/>
  <c r="V1712" i="3"/>
  <c r="V1713" i="3"/>
  <c r="V1714" i="3"/>
  <c r="V1715" i="3"/>
  <c r="V1716" i="3"/>
  <c r="V1717" i="3"/>
  <c r="V1718" i="3"/>
  <c r="V1719" i="3"/>
  <c r="V1720" i="3"/>
  <c r="V1721" i="3"/>
  <c r="V1722" i="3"/>
  <c r="V1723" i="3"/>
  <c r="V1724" i="3"/>
  <c r="V1725" i="3"/>
  <c r="V1726" i="3"/>
  <c r="V1727" i="3"/>
  <c r="V1728" i="3"/>
  <c r="V1729" i="3"/>
  <c r="V1730" i="3"/>
  <c r="V1731" i="3"/>
  <c r="V1732" i="3"/>
  <c r="V1733" i="3"/>
  <c r="V1734" i="3"/>
  <c r="V1735" i="3"/>
  <c r="V1736" i="3"/>
  <c r="V1737" i="3"/>
  <c r="V1738" i="3"/>
  <c r="V1739" i="3"/>
  <c r="V1740" i="3"/>
  <c r="V1741" i="3"/>
  <c r="V1742" i="3"/>
  <c r="V1743" i="3"/>
  <c r="V1744" i="3"/>
  <c r="V1745" i="3"/>
  <c r="V1746" i="3"/>
  <c r="V1747" i="3"/>
  <c r="V1748" i="3"/>
  <c r="V1749" i="3"/>
  <c r="V1750" i="3"/>
  <c r="V1751" i="3"/>
  <c r="V1752" i="3"/>
  <c r="V1753" i="3"/>
  <c r="V1754" i="3"/>
  <c r="V1755" i="3"/>
  <c r="V1756" i="3"/>
  <c r="V1757" i="3"/>
  <c r="V1758" i="3"/>
  <c r="V1759" i="3"/>
  <c r="V1760" i="3"/>
  <c r="V1761" i="3"/>
  <c r="V1762" i="3"/>
  <c r="V1763" i="3"/>
  <c r="V1764" i="3"/>
  <c r="V1765" i="3"/>
  <c r="V1766" i="3"/>
  <c r="V1767" i="3"/>
  <c r="V1768" i="3"/>
  <c r="V1769" i="3"/>
  <c r="V1770" i="3"/>
  <c r="V1771" i="3"/>
  <c r="V1772" i="3"/>
  <c r="V1773" i="3"/>
  <c r="V1774" i="3"/>
  <c r="V1775" i="3"/>
  <c r="V1776" i="3"/>
  <c r="V1777" i="3"/>
  <c r="V1778" i="3"/>
  <c r="V1779" i="3"/>
  <c r="V1780" i="3"/>
  <c r="V1781" i="3"/>
  <c r="V1782" i="3"/>
  <c r="V1783" i="3"/>
  <c r="V1784" i="3"/>
  <c r="V1785" i="3"/>
  <c r="V1786" i="3"/>
  <c r="V1787" i="3"/>
  <c r="V1788" i="3"/>
  <c r="V1789" i="3"/>
  <c r="V1790" i="3"/>
  <c r="V1791" i="3"/>
  <c r="V1792" i="3"/>
  <c r="V1793" i="3"/>
  <c r="V1794" i="3"/>
  <c r="V1795" i="3"/>
  <c r="V1796" i="3"/>
  <c r="V1797" i="3"/>
  <c r="V1798" i="3"/>
  <c r="V1799" i="3"/>
  <c r="V1800" i="3"/>
  <c r="V1801" i="3"/>
  <c r="V1802" i="3"/>
  <c r="V1803" i="3"/>
  <c r="V1804" i="3"/>
  <c r="V1805" i="3"/>
  <c r="V1806" i="3"/>
  <c r="V1807" i="3"/>
  <c r="V1808" i="3"/>
  <c r="V1809" i="3"/>
  <c r="V1810" i="3"/>
  <c r="V1811" i="3"/>
  <c r="V1812" i="3"/>
  <c r="V1813" i="3"/>
  <c r="V1814" i="3"/>
  <c r="V1815" i="3"/>
  <c r="V1816" i="3"/>
  <c r="V1817" i="3"/>
  <c r="V1818" i="3"/>
  <c r="V1819" i="3"/>
  <c r="V1820" i="3"/>
  <c r="V1821" i="3"/>
  <c r="V1822" i="3"/>
  <c r="V1823" i="3"/>
  <c r="V1824" i="3"/>
  <c r="V1825" i="3"/>
  <c r="V1826" i="3"/>
  <c r="V1827" i="3"/>
  <c r="V1828" i="3"/>
  <c r="V1829" i="3"/>
  <c r="V1830" i="3"/>
  <c r="V1831" i="3"/>
  <c r="V1832" i="3"/>
  <c r="V1833" i="3"/>
  <c r="V1834" i="3"/>
  <c r="V1835" i="3"/>
  <c r="V1836" i="3"/>
  <c r="V1837" i="3"/>
  <c r="V1838" i="3"/>
  <c r="V1839" i="3"/>
  <c r="V1840" i="3"/>
  <c r="V1841" i="3"/>
  <c r="V1842" i="3"/>
  <c r="V1843" i="3"/>
  <c r="V1844" i="3"/>
  <c r="V1845" i="3"/>
  <c r="V1846" i="3"/>
  <c r="V1847" i="3"/>
  <c r="V1848" i="3"/>
  <c r="V1849" i="3"/>
  <c r="V1850" i="3"/>
  <c r="V1851" i="3"/>
  <c r="V1852" i="3"/>
  <c r="V1853" i="3"/>
  <c r="V1854" i="3"/>
  <c r="V1855" i="3"/>
  <c r="V1856" i="3"/>
  <c r="V1857" i="3"/>
  <c r="V1858" i="3"/>
  <c r="V1859" i="3"/>
  <c r="V1860" i="3"/>
  <c r="V1861" i="3"/>
  <c r="V1862" i="3"/>
  <c r="V1863" i="3"/>
  <c r="V1864" i="3"/>
  <c r="V1865" i="3"/>
  <c r="V1866" i="3"/>
  <c r="V1867" i="3"/>
  <c r="V1868" i="3"/>
  <c r="V1869" i="3"/>
  <c r="V1870" i="3"/>
  <c r="V1871" i="3"/>
  <c r="V1872" i="3"/>
  <c r="V1873" i="3"/>
  <c r="V1874" i="3"/>
  <c r="V1875" i="3"/>
  <c r="V1876" i="3"/>
  <c r="V1877" i="3"/>
  <c r="V1878" i="3"/>
  <c r="V1879" i="3"/>
  <c r="V1880" i="3"/>
  <c r="V1881" i="3"/>
  <c r="V1882" i="3"/>
  <c r="V1883" i="3"/>
  <c r="V1884" i="3"/>
  <c r="V1885" i="3"/>
  <c r="V1886" i="3"/>
  <c r="V1887" i="3"/>
  <c r="V1888" i="3"/>
  <c r="V1889" i="3"/>
  <c r="V1890" i="3"/>
  <c r="V1891" i="3"/>
  <c r="V1892" i="3"/>
  <c r="V1893" i="3"/>
  <c r="V1894" i="3"/>
  <c r="V1895" i="3"/>
  <c r="V1896" i="3"/>
  <c r="V1897" i="3"/>
  <c r="V1898" i="3"/>
  <c r="V1899" i="3"/>
  <c r="V1900" i="3"/>
  <c r="V1901" i="3"/>
  <c r="V1902" i="3"/>
  <c r="V1903" i="3"/>
  <c r="V1904" i="3"/>
  <c r="V1905" i="3"/>
  <c r="V1906" i="3"/>
  <c r="V1907" i="3"/>
  <c r="V1908" i="3"/>
  <c r="V1909" i="3"/>
  <c r="V1910" i="3"/>
  <c r="V1911" i="3"/>
  <c r="V1912" i="3"/>
  <c r="V1913" i="3"/>
  <c r="V1914" i="3"/>
  <c r="V1915" i="3"/>
  <c r="V1916" i="3"/>
  <c r="V1917" i="3"/>
  <c r="V1918" i="3"/>
  <c r="V1919" i="3"/>
  <c r="V1920" i="3"/>
  <c r="V1921" i="3"/>
  <c r="V1922" i="3"/>
  <c r="V1923" i="3"/>
  <c r="V1924" i="3"/>
  <c r="V1925" i="3"/>
  <c r="V1926" i="3"/>
  <c r="V1927" i="3"/>
  <c r="V1928" i="3"/>
  <c r="V1929" i="3"/>
  <c r="V1930" i="3"/>
  <c r="V1931" i="3"/>
  <c r="V1932" i="3"/>
  <c r="V1933" i="3"/>
  <c r="V1934" i="3"/>
  <c r="V1935" i="3"/>
  <c r="V1936" i="3"/>
  <c r="V1937" i="3"/>
  <c r="V1938" i="3"/>
  <c r="V1939" i="3"/>
  <c r="V1940" i="3"/>
  <c r="V1941" i="3"/>
  <c r="V1942" i="3"/>
  <c r="V1943" i="3"/>
  <c r="V1944" i="3"/>
  <c r="V1945" i="3"/>
  <c r="V1946" i="3"/>
  <c r="V1947" i="3"/>
  <c r="V1948" i="3"/>
  <c r="V1949" i="3"/>
  <c r="V1950" i="3"/>
  <c r="V1951" i="3"/>
  <c r="V1952" i="3"/>
  <c r="V1953" i="3"/>
  <c r="V1954" i="3"/>
  <c r="V1955" i="3"/>
  <c r="V1956" i="3"/>
  <c r="V1957" i="3"/>
  <c r="V1958" i="3"/>
  <c r="V1959" i="3"/>
  <c r="V1960" i="3"/>
  <c r="V1961" i="3"/>
  <c r="V1962" i="3"/>
  <c r="V1963" i="3"/>
  <c r="V1964" i="3"/>
  <c r="V1965" i="3"/>
  <c r="V1966" i="3"/>
  <c r="V1967" i="3"/>
  <c r="V1968" i="3"/>
  <c r="V1969" i="3"/>
  <c r="V1970" i="3"/>
  <c r="V1971" i="3"/>
  <c r="V1972" i="3"/>
  <c r="V1973" i="3"/>
  <c r="V1974" i="3"/>
  <c r="V1975" i="3"/>
  <c r="V1976" i="3"/>
  <c r="V1977" i="3"/>
  <c r="V1978" i="3"/>
  <c r="V1979" i="3"/>
  <c r="V1980" i="3"/>
  <c r="V1981" i="3"/>
  <c r="V1982" i="3"/>
  <c r="V1983" i="3"/>
  <c r="V1984" i="3"/>
  <c r="V1985" i="3"/>
  <c r="V1986" i="3"/>
  <c r="V1987" i="3"/>
  <c r="V1988" i="3"/>
  <c r="V1989" i="3"/>
  <c r="V1990" i="3"/>
  <c r="V1991" i="3"/>
  <c r="V1992" i="3"/>
  <c r="V1993" i="3"/>
  <c r="V1994" i="3"/>
  <c r="V1995" i="3"/>
  <c r="V1996" i="3"/>
  <c r="V1997" i="3"/>
  <c r="V1998" i="3"/>
  <c r="V1999" i="3"/>
  <c r="V2000" i="3"/>
  <c r="V2001" i="3"/>
  <c r="V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H2011" i="3"/>
  <c r="O2002" i="3"/>
  <c r="G2009" i="3" s="1"/>
  <c r="L2002" i="3"/>
  <c r="G2008" i="3" s="1"/>
  <c r="P2" i="3"/>
  <c r="Q2" i="3" l="1"/>
  <c r="Q2001" i="3"/>
  <c r="Q2000" i="3"/>
  <c r="Q1999" i="3"/>
  <c r="Q1998" i="3"/>
  <c r="Q1997" i="3"/>
  <c r="Q1996" i="3"/>
  <c r="Q1995" i="3"/>
  <c r="Q1994" i="3"/>
  <c r="Q1993" i="3"/>
  <c r="Q1992" i="3"/>
  <c r="Q1991" i="3"/>
  <c r="Q1990" i="3"/>
  <c r="Q1989" i="3"/>
  <c r="Q1988" i="3"/>
  <c r="Q1987" i="3"/>
  <c r="Q1986" i="3"/>
  <c r="Q1985" i="3"/>
  <c r="Q1984" i="3"/>
  <c r="Q1983" i="3"/>
  <c r="Q1982" i="3"/>
  <c r="Q1981" i="3"/>
  <c r="Q1980" i="3"/>
  <c r="Q1979" i="3"/>
  <c r="Q1978" i="3"/>
  <c r="Q1977" i="3"/>
  <c r="Q1976" i="3"/>
  <c r="Q1975" i="3"/>
  <c r="Q1974" i="3"/>
  <c r="Q1973" i="3"/>
  <c r="Q1972" i="3"/>
  <c r="Q1971" i="3"/>
  <c r="Q1970" i="3"/>
  <c r="Q1969" i="3"/>
  <c r="Q1968" i="3"/>
  <c r="Q1967" i="3"/>
  <c r="Q1966" i="3"/>
  <c r="Q1965" i="3"/>
  <c r="Q1964" i="3"/>
  <c r="Q1963" i="3"/>
  <c r="Q1962" i="3"/>
  <c r="Q1961" i="3"/>
  <c r="Q1960" i="3"/>
  <c r="Q1959" i="3"/>
  <c r="Q1958" i="3"/>
  <c r="Q1957" i="3"/>
  <c r="Q1956" i="3"/>
  <c r="Q1955" i="3"/>
  <c r="Q1954" i="3"/>
  <c r="Q1953" i="3"/>
  <c r="Q1952" i="3"/>
  <c r="Q1951" i="3"/>
  <c r="Q1950" i="3"/>
  <c r="Q1949" i="3"/>
  <c r="Q1948" i="3"/>
  <c r="Q1947" i="3"/>
  <c r="Q1946" i="3"/>
  <c r="Q1945" i="3"/>
  <c r="Q1944" i="3"/>
  <c r="Q1943" i="3"/>
  <c r="Q1942" i="3"/>
  <c r="Q1941" i="3"/>
  <c r="Q1940" i="3"/>
  <c r="Q1939" i="3"/>
  <c r="Q1938" i="3"/>
  <c r="Q1937" i="3"/>
  <c r="Q1936" i="3"/>
  <c r="Q1935" i="3"/>
  <c r="Q1934" i="3"/>
  <c r="Q1933" i="3"/>
  <c r="Q1932" i="3"/>
  <c r="Q1931" i="3"/>
  <c r="Q1930" i="3"/>
  <c r="Q1929" i="3"/>
  <c r="Q1928" i="3"/>
  <c r="Q1927" i="3"/>
  <c r="Q1926" i="3"/>
  <c r="Q1925" i="3"/>
  <c r="Q1924" i="3"/>
  <c r="Q1923" i="3"/>
  <c r="Q1922" i="3"/>
  <c r="Q1921" i="3"/>
  <c r="Q1920" i="3"/>
  <c r="Q1919" i="3"/>
  <c r="Q1918" i="3"/>
  <c r="Q1917" i="3"/>
  <c r="Q1916" i="3"/>
  <c r="Q1915" i="3"/>
  <c r="Q1914" i="3"/>
  <c r="Q1913" i="3"/>
  <c r="Q1912" i="3"/>
  <c r="Q1911" i="3"/>
  <c r="Q1910" i="3"/>
  <c r="Q1909" i="3"/>
  <c r="Q1908" i="3"/>
  <c r="Q1907" i="3"/>
  <c r="Q1906" i="3"/>
  <c r="Q1905" i="3"/>
  <c r="Q1904" i="3"/>
  <c r="Q1903" i="3"/>
  <c r="Q1902" i="3"/>
  <c r="Q1901" i="3"/>
  <c r="Q1900" i="3"/>
  <c r="Q1899" i="3"/>
  <c r="Q1898" i="3"/>
  <c r="Q1897" i="3"/>
  <c r="Q1896" i="3"/>
  <c r="Q1895" i="3"/>
  <c r="Q1894" i="3"/>
  <c r="Q1893" i="3"/>
  <c r="Q1892" i="3"/>
  <c r="Q1891" i="3"/>
  <c r="Q1890" i="3"/>
  <c r="Q1889" i="3"/>
  <c r="Q1888" i="3"/>
  <c r="Q1887" i="3"/>
  <c r="Q1886" i="3"/>
  <c r="Q1885" i="3"/>
  <c r="Q1884" i="3"/>
  <c r="Q1883" i="3"/>
  <c r="Q1882" i="3"/>
  <c r="Q1881" i="3"/>
  <c r="Q1880" i="3"/>
  <c r="Q1879" i="3"/>
  <c r="Q1878" i="3"/>
  <c r="Q1877" i="3"/>
  <c r="Q1876" i="3"/>
  <c r="Q1875" i="3"/>
  <c r="Q1874" i="3"/>
  <c r="Q1873" i="3"/>
  <c r="Q1872" i="3"/>
  <c r="Q1871" i="3"/>
  <c r="Q1870" i="3"/>
  <c r="Q1869" i="3"/>
  <c r="Q1868" i="3"/>
  <c r="Q1867" i="3"/>
  <c r="Q1866" i="3"/>
  <c r="Q1865" i="3"/>
  <c r="Q1864" i="3"/>
  <c r="Q1863" i="3"/>
  <c r="Q1862" i="3"/>
  <c r="Q1861" i="3"/>
  <c r="Q1860" i="3"/>
  <c r="Q1859" i="3"/>
  <c r="Q1858" i="3"/>
  <c r="Q1857" i="3"/>
  <c r="Q1856" i="3"/>
  <c r="Q1855" i="3"/>
  <c r="Q1854" i="3"/>
  <c r="Q1853" i="3"/>
  <c r="Q1852" i="3"/>
  <c r="Q1851" i="3"/>
  <c r="Q1850" i="3"/>
  <c r="Q1849" i="3"/>
  <c r="Q1848" i="3"/>
  <c r="Q1847" i="3"/>
  <c r="Q1846" i="3"/>
  <c r="Q1845" i="3"/>
  <c r="Q1844" i="3"/>
  <c r="Q1843" i="3"/>
  <c r="Q1842" i="3"/>
  <c r="Q1841" i="3"/>
  <c r="Q1840" i="3"/>
  <c r="Q1839" i="3"/>
  <c r="Q1838" i="3"/>
  <c r="Q1837" i="3"/>
  <c r="Q1836" i="3"/>
  <c r="Q1835" i="3"/>
  <c r="Q1834" i="3"/>
  <c r="Q1833" i="3"/>
  <c r="Q1832" i="3"/>
  <c r="Q1831" i="3"/>
  <c r="Q1830" i="3"/>
  <c r="Q1829" i="3"/>
  <c r="Q1828" i="3"/>
  <c r="Q1827" i="3"/>
  <c r="Q1826" i="3"/>
  <c r="Q1825" i="3"/>
  <c r="Q1824" i="3"/>
  <c r="Q1823" i="3"/>
  <c r="Q1822" i="3"/>
  <c r="Q1821" i="3"/>
  <c r="Q1820" i="3"/>
  <c r="Q1819" i="3"/>
  <c r="Q1818" i="3"/>
  <c r="Q1817" i="3"/>
  <c r="Q1816" i="3"/>
  <c r="Q1815" i="3"/>
  <c r="Q1814" i="3"/>
  <c r="Q1813" i="3"/>
  <c r="Q1812" i="3"/>
  <c r="Q1811" i="3"/>
  <c r="Q1810" i="3"/>
  <c r="Q1809" i="3"/>
  <c r="Q1808" i="3"/>
  <c r="Q1807" i="3"/>
  <c r="Q1806" i="3"/>
  <c r="Q1805" i="3"/>
  <c r="Q1804" i="3"/>
  <c r="Q1803" i="3"/>
  <c r="Q1802" i="3"/>
  <c r="Q1801" i="3"/>
  <c r="Q1800" i="3"/>
  <c r="Q1799" i="3"/>
  <c r="Q1798" i="3"/>
  <c r="Q1797" i="3"/>
  <c r="Q1796" i="3"/>
  <c r="Q1795" i="3"/>
  <c r="Q1794" i="3"/>
  <c r="Q1793" i="3"/>
  <c r="Q1792" i="3"/>
  <c r="Q1791" i="3"/>
  <c r="Q1790" i="3"/>
  <c r="Q1789" i="3"/>
  <c r="Q1788" i="3"/>
  <c r="Q1787" i="3"/>
  <c r="Q1786" i="3"/>
  <c r="Q1785" i="3"/>
  <c r="Q1784" i="3"/>
  <c r="Q1783" i="3"/>
  <c r="Q1782" i="3"/>
  <c r="Q1781" i="3"/>
  <c r="Q1780" i="3"/>
  <c r="Q1779" i="3"/>
  <c r="Q1778" i="3"/>
  <c r="Q1777" i="3"/>
  <c r="Q1776" i="3"/>
  <c r="Q1775" i="3"/>
  <c r="Q1774" i="3"/>
  <c r="Q1773" i="3"/>
  <c r="Q1772" i="3"/>
  <c r="Q1771" i="3"/>
  <c r="Q1770" i="3"/>
  <c r="Q1769" i="3"/>
  <c r="Q1768" i="3"/>
  <c r="Q1767" i="3"/>
  <c r="Q1766" i="3"/>
  <c r="Q1765" i="3"/>
  <c r="Q1764" i="3"/>
  <c r="Q1763" i="3"/>
  <c r="Q1762" i="3"/>
  <c r="Q1761" i="3"/>
  <c r="Q1760" i="3"/>
  <c r="Q1759" i="3"/>
  <c r="Q1758" i="3"/>
  <c r="Q1757" i="3"/>
  <c r="Q1756" i="3"/>
  <c r="Q1755" i="3"/>
  <c r="Q1754" i="3"/>
  <c r="Q1753" i="3"/>
  <c r="Q1752" i="3"/>
  <c r="Q1751" i="3"/>
  <c r="Q1750" i="3"/>
  <c r="Q1749" i="3"/>
  <c r="Q1748" i="3"/>
  <c r="Q1747" i="3"/>
  <c r="Q1746" i="3"/>
  <c r="Q1745" i="3"/>
  <c r="Q1744" i="3"/>
  <c r="Q1743" i="3"/>
  <c r="Q1742" i="3"/>
  <c r="Q1741" i="3"/>
  <c r="Q1740" i="3"/>
  <c r="Q1739" i="3"/>
  <c r="Q1738" i="3"/>
  <c r="Q1737" i="3"/>
  <c r="Q1736" i="3"/>
  <c r="Q1735" i="3"/>
  <c r="Q1734" i="3"/>
  <c r="Q1733" i="3"/>
  <c r="Q1732" i="3"/>
  <c r="Q1731" i="3"/>
  <c r="Q1730" i="3"/>
  <c r="Q1729" i="3"/>
  <c r="Q1728" i="3"/>
  <c r="Q1727" i="3"/>
  <c r="Q1726" i="3"/>
  <c r="Q1725" i="3"/>
  <c r="Q1724" i="3"/>
  <c r="Q1723" i="3"/>
  <c r="Q1722" i="3"/>
  <c r="Q1721" i="3"/>
  <c r="Q1720" i="3"/>
  <c r="Q1719" i="3"/>
  <c r="Q1718" i="3"/>
  <c r="Q1717" i="3"/>
  <c r="Q1716" i="3"/>
  <c r="Q1715" i="3"/>
  <c r="Q1714" i="3"/>
  <c r="Q1713" i="3"/>
  <c r="Q1712" i="3"/>
  <c r="Q1711" i="3"/>
  <c r="Q1710" i="3"/>
  <c r="Q1709" i="3"/>
  <c r="Q1708" i="3"/>
  <c r="Q1707" i="3"/>
  <c r="Q1706" i="3"/>
  <c r="Q1705" i="3"/>
  <c r="Q1704" i="3"/>
  <c r="Q1703" i="3"/>
  <c r="Q1702" i="3"/>
  <c r="Q1701" i="3"/>
  <c r="Q1700" i="3"/>
  <c r="Q1699" i="3"/>
  <c r="Q1698" i="3"/>
  <c r="Q1697" i="3"/>
  <c r="Q1696" i="3"/>
  <c r="Q1695" i="3"/>
  <c r="Q1694" i="3"/>
  <c r="Q1693" i="3"/>
  <c r="Q1692" i="3"/>
  <c r="Q1691" i="3"/>
  <c r="Q1690" i="3"/>
  <c r="Q1689" i="3"/>
  <c r="Q1688" i="3"/>
  <c r="Q1687" i="3"/>
  <c r="Q1686" i="3"/>
  <c r="Q1685" i="3"/>
  <c r="Q1684" i="3"/>
  <c r="Q1683" i="3"/>
  <c r="Q1682" i="3"/>
  <c r="Q1681" i="3"/>
  <c r="Q1680" i="3"/>
  <c r="Q1679" i="3"/>
  <c r="Q1678" i="3"/>
  <c r="Q1677" i="3"/>
  <c r="Q1676" i="3"/>
  <c r="Q1675" i="3"/>
  <c r="Q1674" i="3"/>
  <c r="Q1673" i="3"/>
  <c r="Q1672" i="3"/>
  <c r="Q1671" i="3"/>
  <c r="Q1670" i="3"/>
  <c r="Q1669" i="3"/>
  <c r="Q1668" i="3"/>
  <c r="Q1667" i="3"/>
  <c r="Q1666" i="3"/>
  <c r="Q1665" i="3"/>
  <c r="Q1664" i="3"/>
  <c r="Q1663" i="3"/>
  <c r="Q1662" i="3"/>
  <c r="Q1661" i="3"/>
  <c r="Q1660" i="3"/>
  <c r="Q1659" i="3"/>
  <c r="Q1658" i="3"/>
  <c r="Q1657" i="3"/>
  <c r="Q1656" i="3"/>
  <c r="Q1655" i="3"/>
  <c r="Q1654" i="3"/>
  <c r="Q1653" i="3"/>
  <c r="Q1652" i="3"/>
  <c r="Q1651" i="3"/>
  <c r="Q1650" i="3"/>
  <c r="Q1649" i="3"/>
  <c r="Q1648" i="3"/>
  <c r="Q1647" i="3"/>
  <c r="Q1646" i="3"/>
  <c r="Q1645" i="3"/>
  <c r="Q1644" i="3"/>
  <c r="Q1643" i="3"/>
  <c r="Q1642" i="3"/>
  <c r="Q1641" i="3"/>
  <c r="Q1640" i="3"/>
  <c r="Q1639" i="3"/>
  <c r="Q1638" i="3"/>
  <c r="Q1637" i="3"/>
  <c r="Q1636" i="3"/>
  <c r="Q1635" i="3"/>
  <c r="Q1634" i="3"/>
  <c r="Q1633" i="3"/>
  <c r="Q1632" i="3"/>
  <c r="Q1631" i="3"/>
  <c r="Q1630" i="3"/>
  <c r="Q1629" i="3"/>
  <c r="Q1628" i="3"/>
  <c r="Q1627" i="3"/>
  <c r="Q1626" i="3"/>
  <c r="Q1625" i="3"/>
  <c r="Q1624" i="3"/>
  <c r="Q1623" i="3"/>
  <c r="Q1622" i="3"/>
  <c r="Q1621" i="3"/>
  <c r="Q1620" i="3"/>
  <c r="Q1619" i="3"/>
  <c r="Q1618" i="3"/>
  <c r="Q1617" i="3"/>
  <c r="Q1616" i="3"/>
  <c r="Q1615" i="3"/>
  <c r="Q1614" i="3"/>
  <c r="Q1613" i="3"/>
  <c r="Q1612" i="3"/>
  <c r="Q1611" i="3"/>
  <c r="Q1610" i="3"/>
  <c r="Q1609" i="3"/>
  <c r="Q1608" i="3"/>
  <c r="Q1607" i="3"/>
  <c r="Q1606" i="3"/>
  <c r="Q1605" i="3"/>
  <c r="Q1604" i="3"/>
  <c r="Q1603" i="3"/>
  <c r="Q1602" i="3"/>
  <c r="Q1601" i="3"/>
  <c r="Q1600" i="3"/>
  <c r="Q1599" i="3"/>
  <c r="Q1598" i="3"/>
  <c r="Q1597" i="3"/>
  <c r="Q1596" i="3"/>
  <c r="Q1595" i="3"/>
  <c r="Q1594" i="3"/>
  <c r="Q1593" i="3"/>
  <c r="Q1592" i="3"/>
  <c r="Q1591" i="3"/>
  <c r="Q1590" i="3"/>
  <c r="Q1589" i="3"/>
  <c r="Q1588" i="3"/>
  <c r="Q1587" i="3"/>
  <c r="Q1586" i="3"/>
  <c r="Q1585" i="3"/>
  <c r="Q1584" i="3"/>
  <c r="Q1583" i="3"/>
  <c r="Q1582" i="3"/>
  <c r="Q1581" i="3"/>
  <c r="Q1580" i="3"/>
  <c r="Q1579" i="3"/>
  <c r="Q1578" i="3"/>
  <c r="Q1577" i="3"/>
  <c r="Q1576" i="3"/>
  <c r="Q1575" i="3"/>
  <c r="Q1574" i="3"/>
  <c r="Q1573" i="3"/>
  <c r="Q1572" i="3"/>
  <c r="Q1571" i="3"/>
  <c r="Q1570" i="3"/>
  <c r="Q1569" i="3"/>
  <c r="Q1568" i="3"/>
  <c r="Q1567" i="3"/>
  <c r="Q1566" i="3"/>
  <c r="Q1565" i="3"/>
  <c r="Q1564" i="3"/>
  <c r="Q1563" i="3"/>
  <c r="Q1562" i="3"/>
  <c r="Q1561" i="3"/>
  <c r="Q1560" i="3"/>
  <c r="Q1559" i="3"/>
  <c r="Q1558" i="3"/>
  <c r="Q1557" i="3"/>
  <c r="Q1556" i="3"/>
  <c r="Q1555" i="3"/>
  <c r="Q1554" i="3"/>
  <c r="Q1553" i="3"/>
  <c r="Q1552" i="3"/>
  <c r="Q1551" i="3"/>
  <c r="Q1550" i="3"/>
  <c r="Q1549" i="3"/>
  <c r="Q1548" i="3"/>
  <c r="Q1547" i="3"/>
  <c r="Q1546" i="3"/>
  <c r="Q1545" i="3"/>
  <c r="Q1544" i="3"/>
  <c r="Q1543" i="3"/>
  <c r="Q1542" i="3"/>
  <c r="Q1541" i="3"/>
  <c r="Q1540" i="3"/>
  <c r="Q1539" i="3"/>
  <c r="Q1538" i="3"/>
  <c r="Q1537" i="3"/>
  <c r="Q1536" i="3"/>
  <c r="Q1535" i="3"/>
  <c r="Q1534" i="3"/>
  <c r="Q1533" i="3"/>
  <c r="Q1532" i="3"/>
  <c r="Q1531" i="3"/>
  <c r="Q1530" i="3"/>
  <c r="Q1529" i="3"/>
  <c r="Q1528" i="3"/>
  <c r="Q1527" i="3"/>
  <c r="Q1526" i="3"/>
  <c r="Q1525" i="3"/>
  <c r="Q1524" i="3"/>
  <c r="Q1523" i="3"/>
  <c r="Q1522" i="3"/>
  <c r="Q1521" i="3"/>
  <c r="Q1520" i="3"/>
  <c r="Q1519" i="3"/>
  <c r="Q1518" i="3"/>
  <c r="Q1517" i="3"/>
  <c r="Q1516" i="3"/>
  <c r="Q1515" i="3"/>
  <c r="Q1514" i="3"/>
  <c r="Q1513" i="3"/>
  <c r="Q1512" i="3"/>
  <c r="Q1511" i="3"/>
  <c r="Q1510" i="3"/>
  <c r="Q1509" i="3"/>
  <c r="Q1508" i="3"/>
  <c r="Q1507" i="3"/>
  <c r="Q1506" i="3"/>
  <c r="Q1505" i="3"/>
  <c r="Q1504" i="3"/>
  <c r="Q1503" i="3"/>
  <c r="Q1502" i="3"/>
  <c r="Q1501" i="3"/>
  <c r="Q1500" i="3"/>
  <c r="Q1499" i="3"/>
  <c r="Q1498" i="3"/>
  <c r="Q1497" i="3"/>
  <c r="Q1496" i="3"/>
  <c r="Q1495" i="3"/>
  <c r="Q1494" i="3"/>
  <c r="Q1493" i="3"/>
  <c r="Q1492" i="3"/>
  <c r="Q1491" i="3"/>
  <c r="Q1490" i="3"/>
  <c r="Q1489" i="3"/>
  <c r="Q1488" i="3"/>
  <c r="Q1487" i="3"/>
  <c r="Q1486" i="3"/>
  <c r="Q1485" i="3"/>
  <c r="Q1484" i="3"/>
  <c r="Q1483" i="3"/>
  <c r="Q1482" i="3"/>
  <c r="Q1481" i="3"/>
  <c r="Q1480" i="3"/>
  <c r="Q1479" i="3"/>
  <c r="Q1478" i="3"/>
  <c r="Q1477" i="3"/>
  <c r="Q1476" i="3"/>
  <c r="Q1475" i="3"/>
  <c r="Q1474" i="3"/>
  <c r="Q1473" i="3"/>
  <c r="Q1472" i="3"/>
  <c r="Q1471" i="3"/>
  <c r="Q1470" i="3"/>
  <c r="Q1469" i="3"/>
  <c r="Q1468" i="3"/>
  <c r="Q1467" i="3"/>
  <c r="Q1466" i="3"/>
  <c r="Q1465" i="3"/>
  <c r="Q1464" i="3"/>
  <c r="Q1463" i="3"/>
  <c r="Q1462" i="3"/>
  <c r="Q1461" i="3"/>
  <c r="Q1460" i="3"/>
  <c r="Q1459" i="3"/>
  <c r="Q1458" i="3"/>
  <c r="Q1457" i="3"/>
  <c r="Q1456" i="3"/>
  <c r="Q1455" i="3"/>
  <c r="Q1454" i="3"/>
  <c r="Q1453" i="3"/>
  <c r="Q1452" i="3"/>
  <c r="Q1451" i="3"/>
  <c r="Q1450" i="3"/>
  <c r="Q1449" i="3"/>
  <c r="Q1448" i="3"/>
  <c r="Q1447" i="3"/>
  <c r="Q1446" i="3"/>
  <c r="Q1445" i="3"/>
  <c r="Q1444" i="3"/>
  <c r="Q1443" i="3"/>
  <c r="Q1442" i="3"/>
  <c r="Q1441" i="3"/>
  <c r="Q1440" i="3"/>
  <c r="Q1439" i="3"/>
  <c r="Q1438" i="3"/>
  <c r="Q1437" i="3"/>
  <c r="Q1436" i="3"/>
  <c r="Q1435" i="3"/>
  <c r="Q1434" i="3"/>
  <c r="Q1433" i="3"/>
  <c r="Q1432" i="3"/>
  <c r="Q1431" i="3"/>
  <c r="Q1430" i="3"/>
  <c r="Q1429" i="3"/>
  <c r="Q1428" i="3"/>
  <c r="Q1427" i="3"/>
  <c r="Q1426" i="3"/>
  <c r="Q1425" i="3"/>
  <c r="Q1424" i="3"/>
  <c r="Q1423" i="3"/>
  <c r="Q1422" i="3"/>
  <c r="Q1421" i="3"/>
  <c r="Q1420" i="3"/>
  <c r="Q1419" i="3"/>
  <c r="Q1418" i="3"/>
  <c r="Q1417" i="3"/>
  <c r="Q1416" i="3"/>
  <c r="Q1415" i="3"/>
  <c r="Q1414" i="3"/>
  <c r="Q1413" i="3"/>
  <c r="Q1412" i="3"/>
  <c r="Q1411" i="3"/>
  <c r="Q1410" i="3"/>
  <c r="Q1409" i="3"/>
  <c r="Q1408" i="3"/>
  <c r="Q1407" i="3"/>
  <c r="Q1406" i="3"/>
  <c r="Q1405" i="3"/>
  <c r="Q1404" i="3"/>
  <c r="Q1403" i="3"/>
  <c r="Q1402" i="3"/>
  <c r="Q1401" i="3"/>
  <c r="Q1400" i="3"/>
  <c r="Q1399" i="3"/>
  <c r="Q1398" i="3"/>
  <c r="Q1397" i="3"/>
  <c r="Q1396" i="3"/>
  <c r="Q1395" i="3"/>
  <c r="Q1394" i="3"/>
  <c r="Q1393" i="3"/>
  <c r="Q1392" i="3"/>
  <c r="Q1391" i="3"/>
  <c r="Q1390" i="3"/>
  <c r="Q1389" i="3"/>
  <c r="Q1388" i="3"/>
  <c r="Q1387" i="3"/>
  <c r="Q1386" i="3"/>
  <c r="Q1385" i="3"/>
  <c r="Q1384" i="3"/>
  <c r="Q1383" i="3"/>
  <c r="Q1382" i="3"/>
  <c r="Q1381" i="3"/>
  <c r="Q1380" i="3"/>
  <c r="Q1379" i="3"/>
  <c r="Q1378" i="3"/>
  <c r="Q1377" i="3"/>
  <c r="Q1376" i="3"/>
  <c r="Q1375" i="3"/>
  <c r="Q1374" i="3"/>
  <c r="Q1373" i="3"/>
  <c r="Q1372" i="3"/>
  <c r="Q1371" i="3"/>
  <c r="Q1370" i="3"/>
  <c r="Q1369" i="3"/>
  <c r="Q1368" i="3"/>
  <c r="Q1367" i="3"/>
  <c r="Q1366" i="3"/>
  <c r="Q1365" i="3"/>
  <c r="Q1364" i="3"/>
  <c r="Q1363" i="3"/>
  <c r="Q1362" i="3"/>
  <c r="Q1361" i="3"/>
  <c r="Q1360" i="3"/>
  <c r="Q1359" i="3"/>
  <c r="Q1358" i="3"/>
  <c r="Q1357" i="3"/>
  <c r="Q1356" i="3"/>
  <c r="Q1355" i="3"/>
  <c r="Q1354" i="3"/>
  <c r="Q1353" i="3"/>
  <c r="Q1352" i="3"/>
  <c r="Q1351" i="3"/>
  <c r="Q1350" i="3"/>
  <c r="Q1349" i="3"/>
  <c r="Q1348" i="3"/>
  <c r="Q1347" i="3"/>
  <c r="Q1346" i="3"/>
  <c r="Q1345" i="3"/>
  <c r="Q1344" i="3"/>
  <c r="Q1343" i="3"/>
  <c r="Q1342" i="3"/>
  <c r="Q1341" i="3"/>
  <c r="Q1340" i="3"/>
  <c r="Q1339" i="3"/>
  <c r="Q1338" i="3"/>
  <c r="Q1337" i="3"/>
  <c r="Q1336" i="3"/>
  <c r="Q1335" i="3"/>
  <c r="Q1334" i="3"/>
  <c r="Q1333" i="3"/>
  <c r="Q1332" i="3"/>
  <c r="Q1331" i="3"/>
  <c r="Q1330" i="3"/>
  <c r="Q1329" i="3"/>
  <c r="Q1328" i="3"/>
  <c r="Q1327" i="3"/>
  <c r="Q1326" i="3"/>
  <c r="Q1325" i="3"/>
  <c r="Q1324" i="3"/>
  <c r="Q1323" i="3"/>
  <c r="Q1322" i="3"/>
  <c r="Q1321" i="3"/>
  <c r="Q1320" i="3"/>
  <c r="Q1319" i="3"/>
  <c r="Q1318" i="3"/>
  <c r="Q1317" i="3"/>
  <c r="Q1316" i="3"/>
  <c r="Q1315" i="3"/>
  <c r="Q1314" i="3"/>
  <c r="Q1313" i="3"/>
  <c r="Q1312" i="3"/>
  <c r="Q1311" i="3"/>
  <c r="Q1310" i="3"/>
  <c r="Q1309" i="3"/>
  <c r="Q1308" i="3"/>
  <c r="Q1307" i="3"/>
  <c r="Q1306" i="3"/>
  <c r="Q1305" i="3"/>
  <c r="Q1304" i="3"/>
  <c r="Q1303" i="3"/>
  <c r="Q1302" i="3"/>
  <c r="Q1301" i="3"/>
  <c r="Q1300" i="3"/>
  <c r="Q1299" i="3"/>
  <c r="Q1298" i="3"/>
  <c r="Q1297" i="3"/>
  <c r="Q1296" i="3"/>
  <c r="Q1295" i="3"/>
  <c r="Q1294" i="3"/>
  <c r="Q1293" i="3"/>
  <c r="Q1292" i="3"/>
  <c r="Q1291" i="3"/>
  <c r="Q1290" i="3"/>
  <c r="Q1289" i="3"/>
  <c r="Q1288" i="3"/>
  <c r="Q1287" i="3"/>
  <c r="Q1286" i="3"/>
  <c r="Q1285" i="3"/>
  <c r="Q1284" i="3"/>
  <c r="Q1283" i="3"/>
  <c r="Q1282" i="3"/>
  <c r="Q1281" i="3"/>
  <c r="Q1280" i="3"/>
  <c r="Q1279" i="3"/>
  <c r="Q1278" i="3"/>
  <c r="Q1277" i="3"/>
  <c r="Q1276" i="3"/>
  <c r="Q1275" i="3"/>
  <c r="Q1274" i="3"/>
  <c r="Q1273" i="3"/>
  <c r="Q1272" i="3"/>
  <c r="Q1271" i="3"/>
  <c r="Q1270" i="3"/>
  <c r="Q1269" i="3"/>
  <c r="Q1268" i="3"/>
  <c r="Q1267" i="3"/>
  <c r="Q1266" i="3"/>
  <c r="Q1265" i="3"/>
  <c r="Q1264" i="3"/>
  <c r="Q1263" i="3"/>
  <c r="Q1262" i="3"/>
  <c r="Q1261" i="3"/>
  <c r="Q1260" i="3"/>
  <c r="Q1259" i="3"/>
  <c r="Q1258" i="3"/>
  <c r="Q1257" i="3"/>
  <c r="Q1256" i="3"/>
  <c r="Q1255" i="3"/>
  <c r="Q1254" i="3"/>
  <c r="Q1253" i="3"/>
  <c r="Q1252" i="3"/>
  <c r="Q1251" i="3"/>
  <c r="Q1250" i="3"/>
  <c r="Q1249" i="3"/>
  <c r="Q1248" i="3"/>
  <c r="Q1247" i="3"/>
  <c r="Q1246" i="3"/>
  <c r="Q1245" i="3"/>
  <c r="Q1244" i="3"/>
  <c r="Q1243" i="3"/>
  <c r="Q1242" i="3"/>
  <c r="Q1241" i="3"/>
  <c r="Q1240" i="3"/>
  <c r="Q1239" i="3"/>
  <c r="Q1238" i="3"/>
  <c r="Q1237" i="3"/>
  <c r="Q1236" i="3"/>
  <c r="Q1235" i="3"/>
  <c r="Q1234" i="3"/>
  <c r="Q1233" i="3"/>
  <c r="Q1232" i="3"/>
  <c r="Q1231" i="3"/>
  <c r="Q1230" i="3"/>
  <c r="Q1229" i="3"/>
  <c r="Q1228" i="3"/>
  <c r="Q1227" i="3"/>
  <c r="Q1226" i="3"/>
  <c r="Q1225" i="3"/>
  <c r="Q1224" i="3"/>
  <c r="Q1223" i="3"/>
  <c r="Q1222" i="3"/>
  <c r="Q1221" i="3"/>
  <c r="Q1220" i="3"/>
  <c r="Q1219" i="3"/>
  <c r="Q1218" i="3"/>
  <c r="Q1217" i="3"/>
  <c r="Q1216" i="3"/>
  <c r="Q1215" i="3"/>
  <c r="Q1214" i="3"/>
  <c r="Q1213" i="3"/>
  <c r="Q1212" i="3"/>
  <c r="Q1211" i="3"/>
  <c r="Q1210" i="3"/>
  <c r="Q1209" i="3"/>
  <c r="Q1208" i="3"/>
  <c r="Q1207" i="3"/>
  <c r="Q1206" i="3"/>
  <c r="Q1205" i="3"/>
  <c r="Q1204" i="3"/>
  <c r="Q1203" i="3"/>
  <c r="Q1202" i="3"/>
  <c r="Q1201" i="3"/>
  <c r="Q1200" i="3"/>
  <c r="Q1199" i="3"/>
  <c r="Q1198" i="3"/>
  <c r="Q1197" i="3"/>
  <c r="Q1196" i="3"/>
  <c r="Q1195" i="3"/>
  <c r="Q1194" i="3"/>
  <c r="Q1193" i="3"/>
  <c r="Q1192" i="3"/>
  <c r="Q1191" i="3"/>
  <c r="Q1190" i="3"/>
  <c r="Q1189" i="3"/>
  <c r="Q1188" i="3"/>
  <c r="Q1187" i="3"/>
  <c r="Q1186" i="3"/>
  <c r="Q1185" i="3"/>
  <c r="Q1184" i="3"/>
  <c r="Q1183" i="3"/>
  <c r="Q1182" i="3"/>
  <c r="Q1181" i="3"/>
  <c r="Q1180" i="3"/>
  <c r="Q1179" i="3"/>
  <c r="Q1178" i="3"/>
  <c r="Q1177" i="3"/>
  <c r="Q1176" i="3"/>
  <c r="Q1175" i="3"/>
  <c r="Q1174" i="3"/>
  <c r="Q1173" i="3"/>
  <c r="Q1172" i="3"/>
  <c r="Q1171" i="3"/>
  <c r="Q1170" i="3"/>
  <c r="Q1169" i="3"/>
  <c r="Q1168" i="3"/>
  <c r="Q1167" i="3"/>
  <c r="Q1166" i="3"/>
  <c r="Q1165" i="3"/>
  <c r="Q1164" i="3"/>
  <c r="Q1163" i="3"/>
  <c r="Q1162" i="3"/>
  <c r="Q1161" i="3"/>
  <c r="Q1160" i="3"/>
  <c r="Q1159" i="3"/>
  <c r="Q1158" i="3"/>
  <c r="Q1157" i="3"/>
  <c r="Q1156" i="3"/>
  <c r="Q1155" i="3"/>
  <c r="Q1154" i="3"/>
  <c r="Q1153" i="3"/>
  <c r="Q1152" i="3"/>
  <c r="Q1151" i="3"/>
  <c r="Q1150" i="3"/>
  <c r="Q1149" i="3"/>
  <c r="Q1148" i="3"/>
  <c r="Q1147" i="3"/>
  <c r="Q1146" i="3"/>
  <c r="Q1145" i="3"/>
  <c r="Q1144" i="3"/>
  <c r="Q1143" i="3"/>
  <c r="Q1142" i="3"/>
  <c r="Q1141" i="3"/>
  <c r="Q1140" i="3"/>
  <c r="Q1139" i="3"/>
  <c r="Q1138" i="3"/>
  <c r="Q1137" i="3"/>
  <c r="Q1136" i="3"/>
  <c r="Q1135" i="3"/>
  <c r="Q1134" i="3"/>
  <c r="Q1133" i="3"/>
  <c r="Q1132" i="3"/>
  <c r="Q1131" i="3"/>
  <c r="Q1130" i="3"/>
  <c r="Q1129" i="3"/>
  <c r="Q1128" i="3"/>
  <c r="Q1127" i="3"/>
  <c r="Q1126" i="3"/>
  <c r="Q1125" i="3"/>
  <c r="Q1124" i="3"/>
  <c r="Q1123" i="3"/>
  <c r="Q1122" i="3"/>
  <c r="Q1121" i="3"/>
  <c r="Q1120" i="3"/>
  <c r="Q1119" i="3"/>
  <c r="Q1118" i="3"/>
  <c r="Q1117" i="3"/>
  <c r="Q1116" i="3"/>
  <c r="Q1115" i="3"/>
  <c r="Q1114" i="3"/>
  <c r="Q1113" i="3"/>
  <c r="Q1112" i="3"/>
  <c r="Q1111" i="3"/>
  <c r="Q1110" i="3"/>
  <c r="Q1109" i="3"/>
  <c r="Q1108" i="3"/>
  <c r="Q1107" i="3"/>
  <c r="Q1106" i="3"/>
  <c r="Q1105" i="3"/>
  <c r="Q1104" i="3"/>
  <c r="Q1103" i="3"/>
  <c r="Q1102" i="3"/>
  <c r="Q1101" i="3"/>
  <c r="Q1100" i="3"/>
  <c r="Q1099" i="3"/>
  <c r="Q1098" i="3"/>
  <c r="Q1097" i="3"/>
  <c r="Q1096" i="3"/>
  <c r="Q1095" i="3"/>
  <c r="Q1094" i="3"/>
  <c r="Q1093" i="3"/>
  <c r="Q1092" i="3"/>
  <c r="Q1091" i="3"/>
  <c r="Q1090" i="3"/>
  <c r="Q1089" i="3"/>
  <c r="Q1088" i="3"/>
  <c r="Q1087" i="3"/>
  <c r="Q1086" i="3"/>
  <c r="Q1085" i="3"/>
  <c r="Q1084" i="3"/>
  <c r="Q1083" i="3"/>
  <c r="Q1082" i="3"/>
  <c r="Q1081" i="3"/>
  <c r="Q1080" i="3"/>
  <c r="Q1079" i="3"/>
  <c r="Q1078" i="3"/>
  <c r="Q1077" i="3"/>
  <c r="Q1076" i="3"/>
  <c r="Q1075" i="3"/>
  <c r="Q1074" i="3"/>
  <c r="Q1073" i="3"/>
  <c r="Q1072" i="3"/>
  <c r="Q1071" i="3"/>
  <c r="Q1070" i="3"/>
  <c r="Q1069" i="3"/>
  <c r="Q1068" i="3"/>
  <c r="Q1067" i="3"/>
  <c r="Q1066" i="3"/>
  <c r="Q1065" i="3"/>
  <c r="Q1064" i="3"/>
  <c r="Q1063" i="3"/>
  <c r="Q1062" i="3"/>
  <c r="Q1061" i="3"/>
  <c r="Q1060" i="3"/>
  <c r="Q1059" i="3"/>
  <c r="Q1058" i="3"/>
  <c r="Q1057" i="3"/>
  <c r="Q1056" i="3"/>
  <c r="Q1055" i="3"/>
  <c r="Q1054" i="3"/>
  <c r="Q1053" i="3"/>
  <c r="Q1052" i="3"/>
  <c r="Q1051" i="3"/>
  <c r="Q1050" i="3"/>
  <c r="Q1049" i="3"/>
  <c r="Q1048" i="3"/>
  <c r="Q1047" i="3"/>
  <c r="Q1046" i="3"/>
  <c r="Q1045" i="3"/>
  <c r="Q1044" i="3"/>
  <c r="Q1043" i="3"/>
  <c r="Q1042" i="3"/>
  <c r="Q1041" i="3"/>
  <c r="Q1040" i="3"/>
  <c r="Q1039" i="3"/>
  <c r="Q1038" i="3"/>
  <c r="Q1037" i="3"/>
  <c r="Q1036" i="3"/>
  <c r="Q1035" i="3"/>
  <c r="Q1034" i="3"/>
  <c r="Q1033" i="3"/>
  <c r="Q1032" i="3"/>
  <c r="Q1031" i="3"/>
  <c r="Q1030" i="3"/>
  <c r="Q1029" i="3"/>
  <c r="Q1028" i="3"/>
  <c r="Q1027" i="3"/>
  <c r="Q1026" i="3"/>
  <c r="Q1025" i="3"/>
  <c r="Q1024" i="3"/>
  <c r="Q1023" i="3"/>
  <c r="Q1022" i="3"/>
  <c r="Q1021" i="3"/>
  <c r="Q1020" i="3"/>
  <c r="Q1019" i="3"/>
  <c r="Q1018" i="3"/>
  <c r="Q1017" i="3"/>
  <c r="Q1016" i="3"/>
  <c r="Q1015" i="3"/>
  <c r="Q1014" i="3"/>
  <c r="Q1013" i="3"/>
  <c r="Q1012" i="3"/>
  <c r="Q1011" i="3"/>
  <c r="Q1010" i="3"/>
  <c r="Q1009" i="3"/>
  <c r="Q1008" i="3"/>
  <c r="Q1007" i="3"/>
  <c r="Q1006" i="3"/>
  <c r="Q1005" i="3"/>
  <c r="Q1004" i="3"/>
  <c r="Q1003" i="3"/>
  <c r="Q1002" i="3"/>
  <c r="Q1001" i="3"/>
  <c r="Q1000" i="3"/>
  <c r="Q999" i="3"/>
  <c r="Q998" i="3"/>
  <c r="Q997" i="3"/>
  <c r="Q996" i="3"/>
  <c r="Q995" i="3"/>
  <c r="Q994" i="3"/>
  <c r="Q993" i="3"/>
  <c r="Q992" i="3"/>
  <c r="Q991" i="3"/>
  <c r="Q990" i="3"/>
  <c r="Q989" i="3"/>
  <c r="Q988" i="3"/>
  <c r="Q987" i="3"/>
  <c r="Q986" i="3"/>
  <c r="Q985" i="3"/>
  <c r="Q984" i="3"/>
  <c r="Q983" i="3"/>
  <c r="Q982" i="3"/>
  <c r="Q981" i="3"/>
  <c r="Q980" i="3"/>
  <c r="Q979" i="3"/>
  <c r="Q978" i="3"/>
  <c r="Q977" i="3"/>
  <c r="Q976" i="3"/>
  <c r="Q975" i="3"/>
  <c r="Q974" i="3"/>
  <c r="Q973" i="3"/>
  <c r="Q972" i="3"/>
  <c r="Q971" i="3"/>
  <c r="Q970" i="3"/>
  <c r="Q969" i="3"/>
  <c r="Q968" i="3"/>
  <c r="Q967" i="3"/>
  <c r="Q966" i="3"/>
  <c r="Q965" i="3"/>
  <c r="Q964" i="3"/>
  <c r="Q963" i="3"/>
  <c r="Q962" i="3"/>
  <c r="Q961" i="3"/>
  <c r="Q960" i="3"/>
  <c r="Q959" i="3"/>
  <c r="Q958" i="3"/>
  <c r="Q957" i="3"/>
  <c r="Q956" i="3"/>
  <c r="Q955" i="3"/>
  <c r="Q954" i="3"/>
  <c r="Q953" i="3"/>
  <c r="Q952" i="3"/>
  <c r="Q951" i="3"/>
  <c r="Q950" i="3"/>
  <c r="Q949" i="3"/>
  <c r="Q948" i="3"/>
  <c r="Q947" i="3"/>
  <c r="Q946" i="3"/>
  <c r="Q945" i="3"/>
  <c r="Q944" i="3"/>
  <c r="Q943" i="3"/>
  <c r="Q942" i="3"/>
  <c r="Q941" i="3"/>
  <c r="Q940" i="3"/>
  <c r="Q939" i="3"/>
  <c r="Q938" i="3"/>
  <c r="Q937" i="3"/>
  <c r="Q936" i="3"/>
  <c r="Q935" i="3"/>
  <c r="Q934" i="3"/>
  <c r="Q933" i="3"/>
  <c r="Q932" i="3"/>
  <c r="Q931" i="3"/>
  <c r="Q930" i="3"/>
  <c r="Q929" i="3"/>
  <c r="Q928" i="3"/>
  <c r="Q927" i="3"/>
  <c r="Q926" i="3"/>
  <c r="Q925" i="3"/>
  <c r="Q924" i="3"/>
  <c r="Q923" i="3"/>
  <c r="Q922" i="3"/>
  <c r="Q921" i="3"/>
  <c r="Q920" i="3"/>
  <c r="Q919" i="3"/>
  <c r="Q918" i="3"/>
  <c r="Q917" i="3"/>
  <c r="Q916" i="3"/>
  <c r="Q915" i="3"/>
  <c r="Q914" i="3"/>
  <c r="Q913" i="3"/>
  <c r="Q912" i="3"/>
  <c r="Q911" i="3"/>
  <c r="Q910" i="3"/>
  <c r="Q909" i="3"/>
  <c r="Q908" i="3"/>
  <c r="Q907" i="3"/>
  <c r="Q906" i="3"/>
  <c r="Q905" i="3"/>
  <c r="Q904" i="3"/>
  <c r="Q903" i="3"/>
  <c r="Q902" i="3"/>
  <c r="Q901" i="3"/>
  <c r="Q900" i="3"/>
  <c r="Q899" i="3"/>
  <c r="Q898" i="3"/>
  <c r="Q897" i="3"/>
  <c r="Q896" i="3"/>
  <c r="Q895" i="3"/>
  <c r="Q894" i="3"/>
  <c r="Q893" i="3"/>
  <c r="Q892" i="3"/>
  <c r="Q891" i="3"/>
  <c r="Q890" i="3"/>
  <c r="Q889" i="3"/>
  <c r="Q888" i="3"/>
  <c r="Q887" i="3"/>
  <c r="Q886" i="3"/>
  <c r="Q885" i="3"/>
  <c r="Q884" i="3"/>
  <c r="Q883" i="3"/>
  <c r="Q882" i="3"/>
  <c r="Q881" i="3"/>
  <c r="Q880" i="3"/>
  <c r="Q879" i="3"/>
  <c r="Q878" i="3"/>
  <c r="Q877" i="3"/>
  <c r="Q876" i="3"/>
  <c r="Q875" i="3"/>
  <c r="Q874" i="3"/>
  <c r="Q873" i="3"/>
  <c r="Q872" i="3"/>
  <c r="Q871" i="3"/>
  <c r="Q870" i="3"/>
  <c r="Q869" i="3"/>
  <c r="Q868" i="3"/>
  <c r="Q867" i="3"/>
  <c r="Q866" i="3"/>
  <c r="Q865" i="3"/>
  <c r="Q864" i="3"/>
  <c r="Q863" i="3"/>
  <c r="Q862" i="3"/>
  <c r="Q861" i="3"/>
  <c r="Q860" i="3"/>
  <c r="Q859" i="3"/>
  <c r="Q858" i="3"/>
  <c r="Q857" i="3"/>
  <c r="Q856" i="3"/>
  <c r="Q855" i="3"/>
  <c r="Q854" i="3"/>
  <c r="Q853" i="3"/>
  <c r="Q852" i="3"/>
  <c r="Q851" i="3"/>
  <c r="Q850" i="3"/>
  <c r="Q849" i="3"/>
  <c r="Q848" i="3"/>
  <c r="Q847" i="3"/>
  <c r="Q846" i="3"/>
  <c r="Q845" i="3"/>
  <c r="Q844" i="3"/>
  <c r="Q843" i="3"/>
  <c r="Q842" i="3"/>
  <c r="Q841" i="3"/>
  <c r="Q840" i="3"/>
  <c r="Q839" i="3"/>
  <c r="Q838" i="3"/>
  <c r="Q837" i="3"/>
  <c r="Q836" i="3"/>
  <c r="Q835" i="3"/>
  <c r="Q834" i="3"/>
  <c r="Q833" i="3"/>
  <c r="Q832" i="3"/>
  <c r="Q831" i="3"/>
  <c r="Q830" i="3"/>
  <c r="Q829" i="3"/>
  <c r="Q828" i="3"/>
  <c r="Q827" i="3"/>
  <c r="Q826" i="3"/>
  <c r="Q825" i="3"/>
  <c r="Q824" i="3"/>
  <c r="Q823" i="3"/>
  <c r="Q822" i="3"/>
  <c r="Q821" i="3"/>
  <c r="Q820" i="3"/>
  <c r="Q819" i="3"/>
  <c r="Q818" i="3"/>
  <c r="Q817" i="3"/>
  <c r="Q816" i="3"/>
  <c r="Q815" i="3"/>
  <c r="Q814" i="3"/>
  <c r="Q813" i="3"/>
  <c r="Q812" i="3"/>
  <c r="Q811" i="3"/>
  <c r="Q810" i="3"/>
  <c r="Q809" i="3"/>
  <c r="Q808" i="3"/>
  <c r="Q807" i="3"/>
  <c r="Q806" i="3"/>
  <c r="Q805" i="3"/>
  <c r="Q804" i="3"/>
  <c r="Q803" i="3"/>
  <c r="Q802" i="3"/>
  <c r="Q801" i="3"/>
  <c r="Q800" i="3"/>
  <c r="Q799" i="3"/>
  <c r="Q798" i="3"/>
  <c r="Q797" i="3"/>
  <c r="Q796" i="3"/>
  <c r="Q795" i="3"/>
  <c r="Q794" i="3"/>
  <c r="Q793" i="3"/>
  <c r="Q792" i="3"/>
  <c r="Q791" i="3"/>
  <c r="Q790" i="3"/>
  <c r="Q789" i="3"/>
  <c r="Q788" i="3"/>
  <c r="Q787" i="3"/>
  <c r="Q786" i="3"/>
  <c r="Q785" i="3"/>
  <c r="Q784" i="3"/>
  <c r="Q783" i="3"/>
  <c r="Q782" i="3"/>
  <c r="Q781" i="3"/>
  <c r="Q780" i="3"/>
  <c r="Q779" i="3"/>
  <c r="Q778" i="3"/>
  <c r="Q777" i="3"/>
  <c r="Q776" i="3"/>
  <c r="Q775" i="3"/>
  <c r="Q774" i="3"/>
  <c r="Q773" i="3"/>
  <c r="Q772" i="3"/>
  <c r="Q771" i="3"/>
  <c r="Q770" i="3"/>
  <c r="Q769" i="3"/>
  <c r="Q768" i="3"/>
  <c r="Q767" i="3"/>
  <c r="Q766" i="3"/>
  <c r="Q765" i="3"/>
  <c r="Q764" i="3"/>
  <c r="Q763" i="3"/>
  <c r="Q762" i="3"/>
  <c r="Q761" i="3"/>
  <c r="Q760" i="3"/>
  <c r="Q759" i="3"/>
  <c r="Q758" i="3"/>
  <c r="Q757" i="3"/>
  <c r="Q756" i="3"/>
  <c r="Q755" i="3"/>
  <c r="Q754" i="3"/>
  <c r="Q753" i="3"/>
  <c r="Q752" i="3"/>
  <c r="Q751" i="3"/>
  <c r="Q750" i="3"/>
  <c r="Q749" i="3"/>
  <c r="Q748" i="3"/>
  <c r="Q747" i="3"/>
  <c r="Q746" i="3"/>
  <c r="Q745" i="3"/>
  <c r="Q744" i="3"/>
  <c r="Q743" i="3"/>
  <c r="Q742" i="3"/>
  <c r="Q741" i="3"/>
  <c r="Q740" i="3"/>
  <c r="Q739" i="3"/>
  <c r="Q738" i="3"/>
  <c r="Q737" i="3"/>
  <c r="Q736" i="3"/>
  <c r="Q735" i="3"/>
  <c r="Q734" i="3"/>
  <c r="Q733" i="3"/>
  <c r="Q732" i="3"/>
  <c r="Q731" i="3"/>
  <c r="Q730" i="3"/>
  <c r="Q729" i="3"/>
  <c r="Q728" i="3"/>
  <c r="Q727" i="3"/>
  <c r="Q726" i="3"/>
  <c r="Q725" i="3"/>
  <c r="Q724" i="3"/>
  <c r="Q723" i="3"/>
  <c r="Q722" i="3"/>
  <c r="Q721" i="3"/>
  <c r="Q720" i="3"/>
  <c r="Q719" i="3"/>
  <c r="Q718" i="3"/>
  <c r="Q717" i="3"/>
  <c r="Q716" i="3"/>
  <c r="Q715" i="3"/>
  <c r="Q714" i="3"/>
  <c r="Q713" i="3"/>
  <c r="Q712" i="3"/>
  <c r="Q711" i="3"/>
  <c r="Q710" i="3"/>
  <c r="Q709" i="3"/>
  <c r="Q708" i="3"/>
  <c r="Q707" i="3"/>
  <c r="Q706" i="3"/>
  <c r="Q705" i="3"/>
  <c r="Q704" i="3"/>
  <c r="Q703" i="3"/>
  <c r="Q702" i="3"/>
  <c r="Q701" i="3"/>
  <c r="Q700" i="3"/>
  <c r="Q699" i="3"/>
  <c r="Q698" i="3"/>
  <c r="Q697" i="3"/>
  <c r="Q696" i="3"/>
  <c r="Q695" i="3"/>
  <c r="Q694" i="3"/>
  <c r="Q693" i="3"/>
  <c r="Q692" i="3"/>
  <c r="Q691" i="3"/>
  <c r="Q690" i="3"/>
  <c r="Q689" i="3"/>
  <c r="Q688" i="3"/>
  <c r="Q687" i="3"/>
  <c r="Q686" i="3"/>
  <c r="Q685" i="3"/>
  <c r="Q684" i="3"/>
  <c r="Q683" i="3"/>
  <c r="Q682" i="3"/>
  <c r="Q681" i="3"/>
  <c r="Q680" i="3"/>
  <c r="Q679" i="3"/>
  <c r="Q678" i="3"/>
  <c r="Q677" i="3"/>
  <c r="Q676" i="3"/>
  <c r="Q675" i="3"/>
  <c r="Q674" i="3"/>
  <c r="Q673" i="3"/>
  <c r="Q672" i="3"/>
  <c r="Q671" i="3"/>
  <c r="Q670" i="3"/>
  <c r="Q669" i="3"/>
  <c r="Q668" i="3"/>
  <c r="Q667" i="3"/>
  <c r="Q666" i="3"/>
  <c r="Q665" i="3"/>
  <c r="Q664" i="3"/>
  <c r="Q663" i="3"/>
  <c r="Q662" i="3"/>
  <c r="Q661" i="3"/>
  <c r="Q660" i="3"/>
  <c r="Q659" i="3"/>
  <c r="Q658" i="3"/>
  <c r="Q657" i="3"/>
  <c r="Q656" i="3"/>
  <c r="Q655" i="3"/>
  <c r="Q654" i="3"/>
  <c r="Q653" i="3"/>
  <c r="Q652" i="3"/>
  <c r="Q651" i="3"/>
  <c r="Q650" i="3"/>
  <c r="Q649" i="3"/>
  <c r="Q648" i="3"/>
  <c r="Q647" i="3"/>
  <c r="Q646" i="3"/>
  <c r="Q645" i="3"/>
  <c r="Q644" i="3"/>
  <c r="Q643" i="3"/>
  <c r="Q642" i="3"/>
  <c r="Q641" i="3"/>
  <c r="Q640" i="3"/>
  <c r="Q639" i="3"/>
  <c r="Q638" i="3"/>
  <c r="Q637" i="3"/>
  <c r="Q636" i="3"/>
  <c r="Q635" i="3"/>
  <c r="Q634" i="3"/>
  <c r="Q633" i="3"/>
  <c r="Q632" i="3"/>
  <c r="Q631" i="3"/>
  <c r="Q630" i="3"/>
  <c r="Q629" i="3"/>
  <c r="Q628" i="3"/>
  <c r="Q627" i="3"/>
  <c r="Q626" i="3"/>
  <c r="Q625" i="3"/>
  <c r="Q624" i="3"/>
  <c r="Q623" i="3"/>
  <c r="Q622" i="3"/>
  <c r="Q621" i="3"/>
  <c r="Q620" i="3"/>
  <c r="Q619" i="3"/>
  <c r="Q618" i="3"/>
  <c r="Q617" i="3"/>
  <c r="Q616" i="3"/>
  <c r="Q615" i="3"/>
  <c r="Q614" i="3"/>
  <c r="Q613" i="3"/>
  <c r="Q612" i="3"/>
  <c r="Q611" i="3"/>
  <c r="Q610" i="3"/>
  <c r="Q609" i="3"/>
  <c r="Q608" i="3"/>
  <c r="Q607" i="3"/>
  <c r="Q606" i="3"/>
  <c r="Q605" i="3"/>
  <c r="Q604" i="3"/>
  <c r="Q603" i="3"/>
  <c r="Q602" i="3"/>
  <c r="Q601" i="3"/>
  <c r="Q600" i="3"/>
  <c r="Q599" i="3"/>
  <c r="Q598" i="3"/>
  <c r="Q597" i="3"/>
  <c r="Q596" i="3"/>
  <c r="Q595" i="3"/>
  <c r="Q594" i="3"/>
  <c r="Q593" i="3"/>
  <c r="Q592" i="3"/>
  <c r="Q591" i="3"/>
  <c r="Q590" i="3"/>
  <c r="Q589" i="3"/>
  <c r="Q588" i="3"/>
  <c r="Q587" i="3"/>
  <c r="Q586" i="3"/>
  <c r="Q585" i="3"/>
  <c r="Q584" i="3"/>
  <c r="Q583" i="3"/>
  <c r="Q582" i="3"/>
  <c r="Q581" i="3"/>
  <c r="Q580" i="3"/>
  <c r="Q579" i="3"/>
  <c r="Q578" i="3"/>
  <c r="Q577" i="3"/>
  <c r="Q576" i="3"/>
  <c r="Q575" i="3"/>
  <c r="Q574" i="3"/>
  <c r="Q573" i="3"/>
  <c r="Q572" i="3"/>
  <c r="Q571" i="3"/>
  <c r="Q570" i="3"/>
  <c r="Q569" i="3"/>
  <c r="Q568" i="3"/>
  <c r="Q567" i="3"/>
  <c r="Q566" i="3"/>
  <c r="Q565" i="3"/>
  <c r="Q564" i="3"/>
  <c r="Q563" i="3"/>
  <c r="Q562" i="3"/>
  <c r="Q561" i="3"/>
  <c r="Q560" i="3"/>
  <c r="Q559" i="3"/>
  <c r="Q558" i="3"/>
  <c r="Q557" i="3"/>
  <c r="Q556" i="3"/>
  <c r="Q555" i="3"/>
  <c r="Q554" i="3"/>
  <c r="Q553" i="3"/>
  <c r="Q552" i="3"/>
  <c r="Q551" i="3"/>
  <c r="Q550" i="3"/>
  <c r="Q549" i="3"/>
  <c r="Q548" i="3"/>
  <c r="Q547" i="3"/>
  <c r="Q546" i="3"/>
  <c r="Q545" i="3"/>
  <c r="Q544" i="3"/>
  <c r="Q543" i="3"/>
  <c r="Q542" i="3"/>
  <c r="Q541" i="3"/>
  <c r="Q540" i="3"/>
  <c r="Q539" i="3"/>
  <c r="Q538" i="3"/>
  <c r="Q537" i="3"/>
  <c r="Q536" i="3"/>
  <c r="Q535" i="3"/>
  <c r="Q534" i="3"/>
  <c r="Q533" i="3"/>
  <c r="Q532" i="3"/>
  <c r="Q531" i="3"/>
  <c r="Q530" i="3"/>
  <c r="Q529" i="3"/>
  <c r="Q528" i="3"/>
  <c r="Q527" i="3"/>
  <c r="Q526" i="3"/>
  <c r="Q525" i="3"/>
  <c r="Q524" i="3"/>
  <c r="Q523" i="3"/>
  <c r="Q522" i="3"/>
  <c r="Q521" i="3"/>
  <c r="Q520" i="3"/>
  <c r="Q519" i="3"/>
  <c r="Q518" i="3"/>
  <c r="Q517" i="3"/>
  <c r="Q516" i="3"/>
  <c r="Q515" i="3"/>
  <c r="Q514" i="3"/>
  <c r="Q513" i="3"/>
  <c r="Q512" i="3"/>
  <c r="Q511" i="3"/>
  <c r="Q510" i="3"/>
  <c r="Q509" i="3"/>
  <c r="Q508" i="3"/>
  <c r="Q507" i="3"/>
  <c r="Q506" i="3"/>
  <c r="Q505" i="3"/>
  <c r="Q504" i="3"/>
  <c r="Q503" i="3"/>
  <c r="Q502" i="3"/>
  <c r="Q501" i="3"/>
  <c r="Q500" i="3"/>
  <c r="Q499" i="3"/>
  <c r="Q498" i="3"/>
  <c r="Q497" i="3"/>
  <c r="Q496" i="3"/>
  <c r="Q495" i="3"/>
  <c r="Q494" i="3"/>
  <c r="Q493" i="3"/>
  <c r="Q492" i="3"/>
  <c r="Q491" i="3"/>
  <c r="Q490" i="3"/>
  <c r="Q489" i="3"/>
  <c r="Q488" i="3"/>
  <c r="Q487" i="3"/>
  <c r="Q486" i="3"/>
  <c r="Q485" i="3"/>
  <c r="Q484" i="3"/>
  <c r="Q483" i="3"/>
  <c r="Q482" i="3"/>
  <c r="Q481" i="3"/>
  <c r="Q480" i="3"/>
  <c r="Q479" i="3"/>
  <c r="Q478" i="3"/>
  <c r="Q477" i="3"/>
  <c r="Q476" i="3"/>
  <c r="Q475" i="3"/>
  <c r="Q474" i="3"/>
  <c r="Q473" i="3"/>
  <c r="Q472" i="3"/>
  <c r="Q471" i="3"/>
  <c r="Q470" i="3"/>
  <c r="Q469" i="3"/>
  <c r="Q468" i="3"/>
  <c r="Q467" i="3"/>
  <c r="Q466" i="3"/>
  <c r="Q465" i="3"/>
  <c r="Q464" i="3"/>
  <c r="Q463" i="3"/>
  <c r="Q462" i="3"/>
  <c r="Q461" i="3"/>
  <c r="Q460" i="3"/>
  <c r="Q459" i="3"/>
  <c r="Q458" i="3"/>
  <c r="Q457" i="3"/>
  <c r="Q456" i="3"/>
  <c r="Q455" i="3"/>
  <c r="Q454" i="3"/>
  <c r="Q453" i="3"/>
  <c r="Q452" i="3"/>
  <c r="Q451" i="3"/>
  <c r="Q450" i="3"/>
  <c r="Q449" i="3"/>
  <c r="Q448" i="3"/>
  <c r="Q447" i="3"/>
  <c r="Q446" i="3"/>
  <c r="Q445" i="3"/>
  <c r="Q444" i="3"/>
  <c r="Q443" i="3"/>
  <c r="Q442" i="3"/>
  <c r="Q441" i="3"/>
  <c r="Q440" i="3"/>
  <c r="Q439" i="3"/>
  <c r="Q438" i="3"/>
  <c r="Q437" i="3"/>
  <c r="Q436" i="3"/>
  <c r="Q435" i="3"/>
  <c r="Q434" i="3"/>
  <c r="Q433" i="3"/>
  <c r="Q432" i="3"/>
  <c r="Q431" i="3"/>
  <c r="Q430" i="3"/>
  <c r="Q429" i="3"/>
  <c r="Q428" i="3"/>
  <c r="Q427" i="3"/>
  <c r="Q426" i="3"/>
  <c r="Q425" i="3"/>
  <c r="Q424" i="3"/>
  <c r="Q423" i="3"/>
  <c r="Q422" i="3"/>
  <c r="Q421" i="3"/>
  <c r="Q420" i="3"/>
  <c r="Q419" i="3"/>
  <c r="Q418" i="3"/>
  <c r="Q417" i="3"/>
  <c r="Q416" i="3"/>
  <c r="Q415" i="3"/>
  <c r="Q414" i="3"/>
  <c r="Q413" i="3"/>
  <c r="Q412" i="3"/>
  <c r="Q411" i="3"/>
  <c r="Q410" i="3"/>
  <c r="Q409" i="3"/>
  <c r="Q408" i="3"/>
  <c r="Q407" i="3"/>
  <c r="Q406" i="3"/>
  <c r="Q405" i="3"/>
  <c r="Q404" i="3"/>
  <c r="Q403" i="3"/>
  <c r="Q402" i="3"/>
  <c r="Q401" i="3"/>
  <c r="Q400" i="3"/>
  <c r="Q399" i="3"/>
  <c r="Q398" i="3"/>
  <c r="Q397" i="3"/>
  <c r="Q396" i="3"/>
  <c r="Q395" i="3"/>
  <c r="Q394" i="3"/>
  <c r="Q393" i="3"/>
  <c r="Q392" i="3"/>
  <c r="Q391" i="3"/>
  <c r="Q390" i="3"/>
  <c r="Q389" i="3"/>
  <c r="Q388" i="3"/>
  <c r="Q387" i="3"/>
  <c r="Q386" i="3"/>
  <c r="Q385" i="3"/>
  <c r="Q384" i="3"/>
  <c r="Q383" i="3"/>
  <c r="Q382" i="3"/>
  <c r="Q381" i="3"/>
  <c r="Q380" i="3"/>
  <c r="Q379" i="3"/>
  <c r="Q378" i="3"/>
  <c r="Q377" i="3"/>
  <c r="Q376" i="3"/>
  <c r="Q375" i="3"/>
  <c r="Q374" i="3"/>
  <c r="Q373" i="3"/>
  <c r="Q372" i="3"/>
  <c r="Q371" i="3"/>
  <c r="Q370" i="3"/>
  <c r="Q369" i="3"/>
  <c r="Q368" i="3"/>
  <c r="Q367" i="3"/>
  <c r="Q366" i="3"/>
  <c r="Q365" i="3"/>
  <c r="Q364" i="3"/>
  <c r="Q363" i="3"/>
  <c r="Q362" i="3"/>
  <c r="Q361" i="3"/>
  <c r="Q360" i="3"/>
  <c r="Q359" i="3"/>
  <c r="Q358" i="3"/>
  <c r="Q357" i="3"/>
  <c r="Q356" i="3"/>
  <c r="Q355" i="3"/>
  <c r="Q354" i="3"/>
  <c r="Q353" i="3"/>
  <c r="Q352" i="3"/>
  <c r="Q351" i="3"/>
  <c r="Q350" i="3"/>
  <c r="Q349" i="3"/>
  <c r="Q348" i="3"/>
  <c r="Q347" i="3"/>
  <c r="Q346" i="3"/>
  <c r="Q345" i="3"/>
  <c r="Q344" i="3"/>
  <c r="Q343" i="3"/>
  <c r="Q342" i="3"/>
  <c r="Q341" i="3"/>
  <c r="Q340" i="3"/>
  <c r="Q339" i="3"/>
  <c r="Q338" i="3"/>
  <c r="Q337" i="3"/>
  <c r="Q336" i="3"/>
  <c r="Q335" i="3"/>
  <c r="Q334" i="3"/>
  <c r="Q333" i="3"/>
  <c r="Q332" i="3"/>
  <c r="Q331" i="3"/>
  <c r="Q330" i="3"/>
  <c r="Q329" i="3"/>
  <c r="Q328" i="3"/>
  <c r="Q327" i="3"/>
  <c r="Q326" i="3"/>
  <c r="Q325" i="3"/>
  <c r="Q324" i="3"/>
  <c r="Q323" i="3"/>
  <c r="Q322" i="3"/>
  <c r="Q321" i="3"/>
  <c r="Q320" i="3"/>
  <c r="Q319" i="3"/>
  <c r="Q318" i="3"/>
  <c r="Q317" i="3"/>
  <c r="Q316" i="3"/>
  <c r="Q315" i="3"/>
  <c r="Q314" i="3"/>
  <c r="Q313" i="3"/>
  <c r="Q312" i="3"/>
  <c r="Q311" i="3"/>
  <c r="Q310" i="3"/>
  <c r="Q309" i="3"/>
  <c r="Q308" i="3"/>
  <c r="Q307" i="3"/>
  <c r="Q306" i="3"/>
  <c r="Q305" i="3"/>
  <c r="Q304" i="3"/>
  <c r="Q303" i="3"/>
  <c r="Q302" i="3"/>
  <c r="Q301" i="3"/>
  <c r="Q300" i="3"/>
  <c r="Q299" i="3"/>
  <c r="Q298" i="3"/>
  <c r="Q297" i="3"/>
  <c r="Q296" i="3"/>
  <c r="Q295" i="3"/>
  <c r="Q294" i="3"/>
  <c r="Q293" i="3"/>
  <c r="Q292" i="3"/>
  <c r="Q291" i="3"/>
  <c r="Q290" i="3"/>
  <c r="Q289" i="3"/>
  <c r="Q288" i="3"/>
  <c r="Q287" i="3"/>
  <c r="Q286" i="3"/>
  <c r="Q285" i="3"/>
  <c r="Q284" i="3"/>
  <c r="Q283" i="3"/>
  <c r="Q282" i="3"/>
  <c r="Q281" i="3"/>
  <c r="Q280" i="3"/>
  <c r="Q279" i="3"/>
  <c r="Q278" i="3"/>
  <c r="Q277" i="3"/>
  <c r="Q276" i="3"/>
  <c r="Q275" i="3"/>
  <c r="Q274" i="3"/>
  <c r="Q273" i="3"/>
  <c r="Q272" i="3"/>
  <c r="Q271" i="3"/>
  <c r="Q270" i="3"/>
  <c r="Q269" i="3"/>
  <c r="Q268" i="3"/>
  <c r="Q267" i="3"/>
  <c r="Q266" i="3"/>
  <c r="Q265" i="3"/>
  <c r="Q264" i="3"/>
  <c r="Q263" i="3"/>
  <c r="Q262" i="3"/>
  <c r="Q261" i="3"/>
  <c r="Q260" i="3"/>
  <c r="Q259" i="3"/>
  <c r="Q258" i="3"/>
  <c r="Q257" i="3"/>
  <c r="Q256" i="3"/>
  <c r="Q255" i="3"/>
  <c r="Q254" i="3"/>
  <c r="Q253" i="3"/>
  <c r="Q252" i="3"/>
  <c r="Q251" i="3"/>
  <c r="Q250" i="3"/>
  <c r="Q249" i="3"/>
  <c r="Q248" i="3"/>
  <c r="Q247" i="3"/>
  <c r="Q246" i="3"/>
  <c r="Q245" i="3"/>
  <c r="Q244" i="3"/>
  <c r="Q243" i="3"/>
  <c r="Q242" i="3"/>
  <c r="Q241" i="3"/>
  <c r="Q240" i="3"/>
  <c r="Q239" i="3"/>
  <c r="Q238" i="3"/>
  <c r="Q237" i="3"/>
  <c r="Q236" i="3"/>
  <c r="Q235" i="3"/>
  <c r="Q234" i="3"/>
  <c r="Q233" i="3"/>
  <c r="Q232" i="3"/>
  <c r="Q231" i="3"/>
  <c r="Q230" i="3"/>
  <c r="Q229" i="3"/>
  <c r="Q228" i="3"/>
  <c r="Q227" i="3"/>
  <c r="Q226" i="3"/>
  <c r="Q225" i="3"/>
  <c r="Q224" i="3"/>
  <c r="Q223" i="3"/>
  <c r="Q222" i="3"/>
  <c r="Q221" i="3"/>
  <c r="Q220" i="3"/>
  <c r="Q219" i="3"/>
  <c r="Q218" i="3"/>
  <c r="Q217" i="3"/>
  <c r="Q216" i="3"/>
  <c r="Q215" i="3"/>
  <c r="Q214" i="3"/>
  <c r="Q213" i="3"/>
  <c r="Q212" i="3"/>
  <c r="Q211" i="3"/>
  <c r="Q210" i="3"/>
  <c r="Q209" i="3"/>
  <c r="Q208" i="3"/>
  <c r="Q207" i="3"/>
  <c r="Q206" i="3"/>
  <c r="Q205" i="3"/>
  <c r="Q204" i="3"/>
  <c r="Q203" i="3"/>
  <c r="Q202" i="3"/>
  <c r="Q201" i="3"/>
  <c r="Q200" i="3"/>
  <c r="Q199" i="3"/>
  <c r="Q198" i="3"/>
  <c r="Q197" i="3"/>
  <c r="Q196" i="3"/>
  <c r="Q195" i="3"/>
  <c r="Q194" i="3"/>
  <c r="Q193" i="3"/>
  <c r="Q192" i="3"/>
  <c r="Q191" i="3"/>
  <c r="Q190" i="3"/>
  <c r="Q189" i="3"/>
  <c r="Q188" i="3"/>
  <c r="Q187" i="3"/>
  <c r="Q186" i="3"/>
  <c r="Q185" i="3"/>
  <c r="Q184" i="3"/>
  <c r="Q183" i="3"/>
  <c r="Q182" i="3"/>
  <c r="Q181" i="3"/>
  <c r="Q180" i="3"/>
  <c r="Q179" i="3"/>
  <c r="Q178" i="3"/>
  <c r="Q177" i="3"/>
  <c r="Q176" i="3"/>
  <c r="Q175" i="3"/>
  <c r="Q174" i="3"/>
  <c r="Q173" i="3"/>
  <c r="Q172" i="3"/>
  <c r="Q171" i="3"/>
  <c r="Q170" i="3"/>
  <c r="Q169" i="3"/>
  <c r="Q168" i="3"/>
  <c r="Q167" i="3"/>
  <c r="Q166" i="3"/>
  <c r="Q165" i="3"/>
  <c r="Q164" i="3"/>
  <c r="Q163" i="3"/>
  <c r="Q162" i="3"/>
  <c r="Q161" i="3"/>
  <c r="Q160" i="3"/>
  <c r="Q159" i="3"/>
  <c r="Q158" i="3"/>
  <c r="Q157" i="3"/>
  <c r="Q156" i="3"/>
  <c r="Q155" i="3"/>
  <c r="Q154" i="3"/>
  <c r="Q153" i="3"/>
  <c r="Q152" i="3"/>
  <c r="Q151" i="3"/>
  <c r="Q150" i="3"/>
  <c r="Q149" i="3"/>
  <c r="Q148" i="3"/>
  <c r="Q147" i="3"/>
  <c r="Q146" i="3"/>
  <c r="Q145" i="3"/>
  <c r="Q144" i="3"/>
  <c r="Q143" i="3"/>
  <c r="Q142" i="3"/>
  <c r="Q141" i="3"/>
  <c r="Q140" i="3"/>
  <c r="Q139" i="3"/>
  <c r="Q138" i="3"/>
  <c r="Q137" i="3"/>
  <c r="Q136" i="3"/>
  <c r="Q135" i="3"/>
  <c r="Q134" i="3"/>
  <c r="Q133" i="3"/>
  <c r="Q132" i="3"/>
  <c r="Q131" i="3"/>
  <c r="Q130" i="3"/>
  <c r="Q129" i="3"/>
  <c r="Q128" i="3"/>
  <c r="Q127" i="3"/>
  <c r="Q126" i="3"/>
  <c r="Q125" i="3"/>
  <c r="Q124" i="3"/>
  <c r="Q123" i="3"/>
  <c r="Q122" i="3"/>
  <c r="Q121" i="3"/>
  <c r="Q120" i="3"/>
  <c r="Q119" i="3"/>
  <c r="Q118" i="3"/>
  <c r="Q117" i="3"/>
  <c r="Q116" i="3"/>
  <c r="Q115" i="3"/>
  <c r="Q114" i="3"/>
  <c r="Q113" i="3"/>
  <c r="Q112" i="3"/>
  <c r="Q111" i="3"/>
  <c r="Q110" i="3"/>
  <c r="Q109" i="3"/>
  <c r="Q108" i="3"/>
  <c r="Q107" i="3"/>
  <c r="Q106" i="3"/>
  <c r="Q105" i="3"/>
  <c r="Q104" i="3"/>
  <c r="Q103" i="3"/>
  <c r="Q102" i="3"/>
  <c r="Q101" i="3"/>
  <c r="Q100" i="3"/>
  <c r="Q99" i="3"/>
  <c r="Q98" i="3"/>
  <c r="Q97" i="3"/>
  <c r="Q96" i="3"/>
  <c r="Q95" i="3"/>
  <c r="Q94" i="3"/>
  <c r="Q93" i="3"/>
  <c r="Q92" i="3"/>
  <c r="Q91" i="3"/>
  <c r="Q90" i="3"/>
  <c r="Q89" i="3"/>
  <c r="Q88" i="3"/>
  <c r="Q87" i="3"/>
  <c r="Q86" i="3"/>
  <c r="Q85" i="3"/>
  <c r="Q84" i="3"/>
  <c r="Q83" i="3"/>
  <c r="Q82" i="3"/>
  <c r="Q81" i="3"/>
  <c r="Q80" i="3"/>
  <c r="Q79" i="3"/>
  <c r="Q78" i="3"/>
  <c r="Q77" i="3"/>
  <c r="Q76" i="3"/>
  <c r="Q75" i="3"/>
  <c r="Q74" i="3"/>
  <c r="Q73" i="3"/>
  <c r="Q72" i="3"/>
  <c r="Q71" i="3"/>
  <c r="Q70" i="3"/>
  <c r="Q69" i="3"/>
  <c r="Q68" i="3"/>
  <c r="Q67" i="3"/>
  <c r="Q66" i="3"/>
  <c r="Q65" i="3"/>
  <c r="Q64" i="3"/>
  <c r="Q63" i="3"/>
  <c r="Q62" i="3"/>
  <c r="Q61" i="3"/>
  <c r="Q60" i="3"/>
  <c r="Q59" i="3"/>
  <c r="Q58" i="3"/>
  <c r="Q57" i="3"/>
  <c r="Q56" i="3"/>
  <c r="Q55" i="3"/>
  <c r="Q54" i="3"/>
  <c r="Q53" i="3"/>
  <c r="Q52" i="3"/>
  <c r="Q51" i="3"/>
  <c r="Q50" i="3"/>
  <c r="Q49" i="3"/>
  <c r="Q48" i="3"/>
  <c r="Q47" i="3"/>
  <c r="Q46" i="3"/>
  <c r="Q45" i="3"/>
  <c r="Q44" i="3"/>
  <c r="Q43" i="3"/>
  <c r="Q42" i="3"/>
  <c r="Q41" i="3"/>
  <c r="Q40" i="3"/>
  <c r="Q39" i="3"/>
  <c r="Q38" i="3"/>
  <c r="Q37" i="3"/>
  <c r="Q36" i="3"/>
  <c r="Q35" i="3"/>
  <c r="Q34" i="3"/>
  <c r="Q33" i="3"/>
  <c r="Q32" i="3"/>
  <c r="Q31" i="3"/>
  <c r="Q30" i="3"/>
  <c r="Q29" i="3"/>
  <c r="Q28" i="3"/>
  <c r="Q27" i="3"/>
  <c r="Q26" i="3"/>
  <c r="Q25" i="3"/>
  <c r="Q24" i="3"/>
  <c r="Q23" i="3"/>
  <c r="Q22" i="3"/>
  <c r="Q21" i="3"/>
  <c r="Q20" i="3"/>
  <c r="Q19" i="3"/>
  <c r="Q18" i="3"/>
  <c r="Q17" i="3"/>
  <c r="Q16" i="3"/>
  <c r="Q15" i="3"/>
  <c r="Q14" i="3"/>
  <c r="Q13" i="3"/>
  <c r="Q12" i="3"/>
  <c r="Q11" i="3"/>
  <c r="Q10" i="3"/>
  <c r="Q9" i="3"/>
  <c r="Q8" i="3"/>
  <c r="Q7" i="3"/>
  <c r="Q6" i="3"/>
  <c r="Q5" i="3"/>
  <c r="Q4" i="3"/>
  <c r="Q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<sst xmlns="http://schemas.openxmlformats.org/spreadsheetml/2006/main" count="37601" uniqueCount="2146">
  <si>
    <t>Transaction ID</t>
  </si>
  <si>
    <t>Country</t>
  </si>
  <si>
    <t>Product</t>
  </si>
  <si>
    <t>Brand</t>
  </si>
  <si>
    <t>Region</t>
  </si>
  <si>
    <t>Sales Team</t>
  </si>
  <si>
    <t>Units Sold</t>
  </si>
  <si>
    <t>Unit Price</t>
  </si>
  <si>
    <t>Total Sales</t>
  </si>
  <si>
    <t>Sales Date</t>
  </si>
  <si>
    <t>Customer Age</t>
  </si>
  <si>
    <t>Customer Gender</t>
  </si>
  <si>
    <t>Discount Applied</t>
  </si>
  <si>
    <t>Discount Percentage (%)</t>
  </si>
  <si>
    <t>Payment Method</t>
  </si>
  <si>
    <t>Sales Target Achieved</t>
  </si>
  <si>
    <t>Return Status</t>
  </si>
  <si>
    <t>TID_1</t>
  </si>
  <si>
    <t>India</t>
  </si>
  <si>
    <t>Laptop</t>
  </si>
  <si>
    <t>BrandA</t>
  </si>
  <si>
    <t>South America</t>
  </si>
  <si>
    <t>Team Delta</t>
  </si>
  <si>
    <t>Other</t>
  </si>
  <si>
    <t>Debit Card</t>
  </si>
  <si>
    <t>Not Returned</t>
  </si>
  <si>
    <t>TID_2</t>
  </si>
  <si>
    <t>Germany</t>
  </si>
  <si>
    <t>Asia-Pacific</t>
  </si>
  <si>
    <t>Team Alpha</t>
  </si>
  <si>
    <t>Cash</t>
  </si>
  <si>
    <t>TID_3</t>
  </si>
  <si>
    <t>China</t>
  </si>
  <si>
    <t>Smartphone</t>
  </si>
  <si>
    <t>BrandD</t>
  </si>
  <si>
    <t>Europe</t>
  </si>
  <si>
    <t>Returned</t>
  </si>
  <si>
    <t>TID_4</t>
  </si>
  <si>
    <t>France</t>
  </si>
  <si>
    <t>Headphones</t>
  </si>
  <si>
    <t>Team Gamma</t>
  </si>
  <si>
    <t>Female</t>
  </si>
  <si>
    <t>Credit Card</t>
  </si>
  <si>
    <t>TID_5</t>
  </si>
  <si>
    <t>North America</t>
  </si>
  <si>
    <t>TID_6</t>
  </si>
  <si>
    <t>Brazil</t>
  </si>
  <si>
    <t>BrandC</t>
  </si>
  <si>
    <t>Team Beta</t>
  </si>
  <si>
    <t>Male</t>
  </si>
  <si>
    <t>TID_7</t>
  </si>
  <si>
    <t>UK</t>
  </si>
  <si>
    <t>BrandE</t>
  </si>
  <si>
    <t>TID_8</t>
  </si>
  <si>
    <t>TID_9</t>
  </si>
  <si>
    <t>TID_10</t>
  </si>
  <si>
    <t>Online Payment</t>
  </si>
  <si>
    <t>TID_11</t>
  </si>
  <si>
    <t>TID_12</t>
  </si>
  <si>
    <t>TID_13</t>
  </si>
  <si>
    <t>TID_14</t>
  </si>
  <si>
    <t>TID_15</t>
  </si>
  <si>
    <t>Australia</t>
  </si>
  <si>
    <t>TID_16</t>
  </si>
  <si>
    <t>BrandB</t>
  </si>
  <si>
    <t>TID_17</t>
  </si>
  <si>
    <t>Canada</t>
  </si>
  <si>
    <t>TID_18</t>
  </si>
  <si>
    <t>TID_19</t>
  </si>
  <si>
    <t>TID_20</t>
  </si>
  <si>
    <t>TID_21</t>
  </si>
  <si>
    <t>TID_22</t>
  </si>
  <si>
    <t>USA</t>
  </si>
  <si>
    <t>TID_23</t>
  </si>
  <si>
    <t>TID_24</t>
  </si>
  <si>
    <t>TID_25</t>
  </si>
  <si>
    <t>Japan</t>
  </si>
  <si>
    <t>TID_26</t>
  </si>
  <si>
    <t>TID_27</t>
  </si>
  <si>
    <t>TID_28</t>
  </si>
  <si>
    <t>TID_29</t>
  </si>
  <si>
    <t>TID_30</t>
  </si>
  <si>
    <t>TID_31</t>
  </si>
  <si>
    <t>TID_32</t>
  </si>
  <si>
    <t>TID_33</t>
  </si>
  <si>
    <t>TID_34</t>
  </si>
  <si>
    <t>TID_35</t>
  </si>
  <si>
    <t>TID_36</t>
  </si>
  <si>
    <t>TID_37</t>
  </si>
  <si>
    <t>TID_38</t>
  </si>
  <si>
    <t>TID_39</t>
  </si>
  <si>
    <t>TID_40</t>
  </si>
  <si>
    <t>TID_41</t>
  </si>
  <si>
    <t>TID_42</t>
  </si>
  <si>
    <t>TID_43</t>
  </si>
  <si>
    <t>TID_44</t>
  </si>
  <si>
    <t>TID_45</t>
  </si>
  <si>
    <t>TID_46</t>
  </si>
  <si>
    <t>TID_47</t>
  </si>
  <si>
    <t>TID_48</t>
  </si>
  <si>
    <t>TID_49</t>
  </si>
  <si>
    <t>TID_50</t>
  </si>
  <si>
    <t>TID_51</t>
  </si>
  <si>
    <t>TID_52</t>
  </si>
  <si>
    <t>TID_53</t>
  </si>
  <si>
    <t>TID_54</t>
  </si>
  <si>
    <t>TID_55</t>
  </si>
  <si>
    <t>TID_56</t>
  </si>
  <si>
    <t>TID_57</t>
  </si>
  <si>
    <t>TID_58</t>
  </si>
  <si>
    <t>TID_59</t>
  </si>
  <si>
    <t>TID_60</t>
  </si>
  <si>
    <t>TID_61</t>
  </si>
  <si>
    <t>TID_62</t>
  </si>
  <si>
    <t>TID_63</t>
  </si>
  <si>
    <t>TID_64</t>
  </si>
  <si>
    <t>TID_65</t>
  </si>
  <si>
    <t>TID_66</t>
  </si>
  <si>
    <t>TID_67</t>
  </si>
  <si>
    <t>TID_68</t>
  </si>
  <si>
    <t>TID_69</t>
  </si>
  <si>
    <t>TID_70</t>
  </si>
  <si>
    <t>TID_71</t>
  </si>
  <si>
    <t>TID_72</t>
  </si>
  <si>
    <t>TID_73</t>
  </si>
  <si>
    <t>TID_74</t>
  </si>
  <si>
    <t>TID_75</t>
  </si>
  <si>
    <t>TID_76</t>
  </si>
  <si>
    <t>TID_77</t>
  </si>
  <si>
    <t>TID_78</t>
  </si>
  <si>
    <t>TID_79</t>
  </si>
  <si>
    <t>TID_80</t>
  </si>
  <si>
    <t>TID_81</t>
  </si>
  <si>
    <t>TID_82</t>
  </si>
  <si>
    <t>TID_83</t>
  </si>
  <si>
    <t>TID_84</t>
  </si>
  <si>
    <t>TID_85</t>
  </si>
  <si>
    <t>TID_86</t>
  </si>
  <si>
    <t>TID_87</t>
  </si>
  <si>
    <t>TID_88</t>
  </si>
  <si>
    <t>TID_89</t>
  </si>
  <si>
    <t>TID_90</t>
  </si>
  <si>
    <t>TID_91</t>
  </si>
  <si>
    <t>TID_92</t>
  </si>
  <si>
    <t>TID_93</t>
  </si>
  <si>
    <t>TID_94</t>
  </si>
  <si>
    <t>TID_95</t>
  </si>
  <si>
    <t>TID_96</t>
  </si>
  <si>
    <t>TID_97</t>
  </si>
  <si>
    <t>TID_98</t>
  </si>
  <si>
    <t>TID_99</t>
  </si>
  <si>
    <t>TID_100</t>
  </si>
  <si>
    <t>TID_101</t>
  </si>
  <si>
    <t>TID_102</t>
  </si>
  <si>
    <t>TID_103</t>
  </si>
  <si>
    <t>TID_104</t>
  </si>
  <si>
    <t>TID_105</t>
  </si>
  <si>
    <t>TID_106</t>
  </si>
  <si>
    <t>TID_107</t>
  </si>
  <si>
    <t>TID_108</t>
  </si>
  <si>
    <t>TID_109</t>
  </si>
  <si>
    <t>TID_110</t>
  </si>
  <si>
    <t>TID_111</t>
  </si>
  <si>
    <t>TID_112</t>
  </si>
  <si>
    <t>TID_113</t>
  </si>
  <si>
    <t>TID_114</t>
  </si>
  <si>
    <t>TID_115</t>
  </si>
  <si>
    <t>TID_116</t>
  </si>
  <si>
    <t>TID_117</t>
  </si>
  <si>
    <t>TID_118</t>
  </si>
  <si>
    <t>TID_119</t>
  </si>
  <si>
    <t>TID_120</t>
  </si>
  <si>
    <t>TID_121</t>
  </si>
  <si>
    <t>TID_122</t>
  </si>
  <si>
    <t>TID_123</t>
  </si>
  <si>
    <t>TID_124</t>
  </si>
  <si>
    <t>TID_125</t>
  </si>
  <si>
    <t>TID_126</t>
  </si>
  <si>
    <t>TID_127</t>
  </si>
  <si>
    <t>TID_128</t>
  </si>
  <si>
    <t>TID_129</t>
  </si>
  <si>
    <t>TID_130</t>
  </si>
  <si>
    <t>TID_131</t>
  </si>
  <si>
    <t>TID_132</t>
  </si>
  <si>
    <t>TID_133</t>
  </si>
  <si>
    <t>TID_134</t>
  </si>
  <si>
    <t>TID_135</t>
  </si>
  <si>
    <t>TID_136</t>
  </si>
  <si>
    <t>TID_137</t>
  </si>
  <si>
    <t>TID_138</t>
  </si>
  <si>
    <t>TID_139</t>
  </si>
  <si>
    <t>TID_140</t>
  </si>
  <si>
    <t>TID_141</t>
  </si>
  <si>
    <t>TID_142</t>
  </si>
  <si>
    <t>TID_143</t>
  </si>
  <si>
    <t>TID_144</t>
  </si>
  <si>
    <t>TID_145</t>
  </si>
  <si>
    <t>TID_146</t>
  </si>
  <si>
    <t>TID_147</t>
  </si>
  <si>
    <t>TID_148</t>
  </si>
  <si>
    <t>TID_149</t>
  </si>
  <si>
    <t>TID_150</t>
  </si>
  <si>
    <t>TID_151</t>
  </si>
  <si>
    <t>TID_152</t>
  </si>
  <si>
    <t>TID_153</t>
  </si>
  <si>
    <t>TID_154</t>
  </si>
  <si>
    <t>TID_155</t>
  </si>
  <si>
    <t>TID_156</t>
  </si>
  <si>
    <t>TID_157</t>
  </si>
  <si>
    <t>TID_158</t>
  </si>
  <si>
    <t>TID_159</t>
  </si>
  <si>
    <t>TID_160</t>
  </si>
  <si>
    <t>TID_161</t>
  </si>
  <si>
    <t>TID_162</t>
  </si>
  <si>
    <t>TID_163</t>
  </si>
  <si>
    <t>TID_164</t>
  </si>
  <si>
    <t>TID_165</t>
  </si>
  <si>
    <t>TID_166</t>
  </si>
  <si>
    <t>TID_167</t>
  </si>
  <si>
    <t>TID_168</t>
  </si>
  <si>
    <t>TID_169</t>
  </si>
  <si>
    <t>TID_170</t>
  </si>
  <si>
    <t>TID_171</t>
  </si>
  <si>
    <t>TID_172</t>
  </si>
  <si>
    <t>TID_173</t>
  </si>
  <si>
    <t>TID_174</t>
  </si>
  <si>
    <t>TID_175</t>
  </si>
  <si>
    <t>TID_176</t>
  </si>
  <si>
    <t>TID_177</t>
  </si>
  <si>
    <t>TID_178</t>
  </si>
  <si>
    <t>TID_179</t>
  </si>
  <si>
    <t>TID_180</t>
  </si>
  <si>
    <t>TID_181</t>
  </si>
  <si>
    <t>TID_182</t>
  </si>
  <si>
    <t>TID_183</t>
  </si>
  <si>
    <t>TID_184</t>
  </si>
  <si>
    <t>TID_185</t>
  </si>
  <si>
    <t>TID_186</t>
  </si>
  <si>
    <t>TID_187</t>
  </si>
  <si>
    <t>TID_188</t>
  </si>
  <si>
    <t>TID_189</t>
  </si>
  <si>
    <t>TID_190</t>
  </si>
  <si>
    <t>TID_191</t>
  </si>
  <si>
    <t>TID_192</t>
  </si>
  <si>
    <t>TID_193</t>
  </si>
  <si>
    <t>TID_194</t>
  </si>
  <si>
    <t>TID_195</t>
  </si>
  <si>
    <t>TID_196</t>
  </si>
  <si>
    <t>TID_197</t>
  </si>
  <si>
    <t>TID_198</t>
  </si>
  <si>
    <t>TID_199</t>
  </si>
  <si>
    <t>TID_200</t>
  </si>
  <si>
    <t>TID_201</t>
  </si>
  <si>
    <t>TID_202</t>
  </si>
  <si>
    <t>TID_203</t>
  </si>
  <si>
    <t>TID_204</t>
  </si>
  <si>
    <t>TID_205</t>
  </si>
  <si>
    <t>TID_206</t>
  </si>
  <si>
    <t>TID_207</t>
  </si>
  <si>
    <t>TID_208</t>
  </si>
  <si>
    <t>TID_209</t>
  </si>
  <si>
    <t>TID_210</t>
  </si>
  <si>
    <t>TID_211</t>
  </si>
  <si>
    <t>TID_212</t>
  </si>
  <si>
    <t>TID_213</t>
  </si>
  <si>
    <t>TID_214</t>
  </si>
  <si>
    <t>TID_215</t>
  </si>
  <si>
    <t>TID_216</t>
  </si>
  <si>
    <t>TID_217</t>
  </si>
  <si>
    <t>TID_218</t>
  </si>
  <si>
    <t>TID_219</t>
  </si>
  <si>
    <t>TID_220</t>
  </si>
  <si>
    <t>TID_221</t>
  </si>
  <si>
    <t>TID_222</t>
  </si>
  <si>
    <t>TID_223</t>
  </si>
  <si>
    <t>TID_224</t>
  </si>
  <si>
    <t>TID_225</t>
  </si>
  <si>
    <t>TID_226</t>
  </si>
  <si>
    <t>TID_227</t>
  </si>
  <si>
    <t>TID_228</t>
  </si>
  <si>
    <t>TID_229</t>
  </si>
  <si>
    <t>TID_230</t>
  </si>
  <si>
    <t>TID_231</t>
  </si>
  <si>
    <t>TID_232</t>
  </si>
  <si>
    <t>TID_233</t>
  </si>
  <si>
    <t>TID_234</t>
  </si>
  <si>
    <t>TID_235</t>
  </si>
  <si>
    <t>TID_236</t>
  </si>
  <si>
    <t>TID_237</t>
  </si>
  <si>
    <t>TID_238</t>
  </si>
  <si>
    <t>TID_239</t>
  </si>
  <si>
    <t>TID_240</t>
  </si>
  <si>
    <t>TID_241</t>
  </si>
  <si>
    <t>TID_242</t>
  </si>
  <si>
    <t>TID_243</t>
  </si>
  <si>
    <t>TID_244</t>
  </si>
  <si>
    <t>TID_245</t>
  </si>
  <si>
    <t>TID_246</t>
  </si>
  <si>
    <t>TID_247</t>
  </si>
  <si>
    <t>TID_248</t>
  </si>
  <si>
    <t>TID_249</t>
  </si>
  <si>
    <t>TID_250</t>
  </si>
  <si>
    <t>TID_251</t>
  </si>
  <si>
    <t>TID_252</t>
  </si>
  <si>
    <t>TID_253</t>
  </si>
  <si>
    <t>TID_254</t>
  </si>
  <si>
    <t>TID_255</t>
  </si>
  <si>
    <t>TID_256</t>
  </si>
  <si>
    <t>TID_257</t>
  </si>
  <si>
    <t>TID_258</t>
  </si>
  <si>
    <t>TID_259</t>
  </si>
  <si>
    <t>TID_260</t>
  </si>
  <si>
    <t>TID_261</t>
  </si>
  <si>
    <t>TID_262</t>
  </si>
  <si>
    <t>TID_263</t>
  </si>
  <si>
    <t>TID_264</t>
  </si>
  <si>
    <t>TID_265</t>
  </si>
  <si>
    <t>TID_266</t>
  </si>
  <si>
    <t>TID_267</t>
  </si>
  <si>
    <t>TID_268</t>
  </si>
  <si>
    <t>TID_269</t>
  </si>
  <si>
    <t>TID_270</t>
  </si>
  <si>
    <t>TID_271</t>
  </si>
  <si>
    <t>TID_272</t>
  </si>
  <si>
    <t>TID_273</t>
  </si>
  <si>
    <t>TID_274</t>
  </si>
  <si>
    <t>TID_275</t>
  </si>
  <si>
    <t>TID_276</t>
  </si>
  <si>
    <t>TID_277</t>
  </si>
  <si>
    <t>TID_278</t>
  </si>
  <si>
    <t>TID_279</t>
  </si>
  <si>
    <t>TID_280</t>
  </si>
  <si>
    <t>TID_281</t>
  </si>
  <si>
    <t>TID_282</t>
  </si>
  <si>
    <t>TID_283</t>
  </si>
  <si>
    <t>TID_284</t>
  </si>
  <si>
    <t>TID_285</t>
  </si>
  <si>
    <t>TID_286</t>
  </si>
  <si>
    <t>TID_287</t>
  </si>
  <si>
    <t>TID_288</t>
  </si>
  <si>
    <t>TID_289</t>
  </si>
  <si>
    <t>TID_290</t>
  </si>
  <si>
    <t>TID_291</t>
  </si>
  <si>
    <t>TID_292</t>
  </si>
  <si>
    <t>TID_293</t>
  </si>
  <si>
    <t>TID_294</t>
  </si>
  <si>
    <t>TID_295</t>
  </si>
  <si>
    <t>TID_296</t>
  </si>
  <si>
    <t>TID_297</t>
  </si>
  <si>
    <t>TID_298</t>
  </si>
  <si>
    <t>TID_299</t>
  </si>
  <si>
    <t>TID_300</t>
  </si>
  <si>
    <t>TID_301</t>
  </si>
  <si>
    <t>TID_302</t>
  </si>
  <si>
    <t>TID_303</t>
  </si>
  <si>
    <t>TID_304</t>
  </si>
  <si>
    <t>TID_305</t>
  </si>
  <si>
    <t>TID_306</t>
  </si>
  <si>
    <t>TID_307</t>
  </si>
  <si>
    <t>TID_308</t>
  </si>
  <si>
    <t>TID_309</t>
  </si>
  <si>
    <t>TID_310</t>
  </si>
  <si>
    <t>TID_311</t>
  </si>
  <si>
    <t>TID_312</t>
  </si>
  <si>
    <t>TID_313</t>
  </si>
  <si>
    <t>TID_314</t>
  </si>
  <si>
    <t>TID_315</t>
  </si>
  <si>
    <t>TID_316</t>
  </si>
  <si>
    <t>TID_317</t>
  </si>
  <si>
    <t>TID_318</t>
  </si>
  <si>
    <t>TID_319</t>
  </si>
  <si>
    <t>TID_320</t>
  </si>
  <si>
    <t>TID_321</t>
  </si>
  <si>
    <t>TID_322</t>
  </si>
  <si>
    <t>TID_323</t>
  </si>
  <si>
    <t>TID_324</t>
  </si>
  <si>
    <t>TID_325</t>
  </si>
  <si>
    <t>TID_326</t>
  </si>
  <si>
    <t>TID_327</t>
  </si>
  <si>
    <t>TID_328</t>
  </si>
  <si>
    <t>TID_329</t>
  </si>
  <si>
    <t>TID_330</t>
  </si>
  <si>
    <t>TID_331</t>
  </si>
  <si>
    <t>TID_332</t>
  </si>
  <si>
    <t>TID_333</t>
  </si>
  <si>
    <t>TID_334</t>
  </si>
  <si>
    <t>TID_335</t>
  </si>
  <si>
    <t>TID_336</t>
  </si>
  <si>
    <t>TID_337</t>
  </si>
  <si>
    <t>TID_338</t>
  </si>
  <si>
    <t>TID_339</t>
  </si>
  <si>
    <t>TID_340</t>
  </si>
  <si>
    <t>TID_341</t>
  </si>
  <si>
    <t>TID_342</t>
  </si>
  <si>
    <t>TID_343</t>
  </si>
  <si>
    <t>TID_344</t>
  </si>
  <si>
    <t>TID_345</t>
  </si>
  <si>
    <t>TID_346</t>
  </si>
  <si>
    <t>TID_347</t>
  </si>
  <si>
    <t>TID_348</t>
  </si>
  <si>
    <t>TID_349</t>
  </si>
  <si>
    <t>TID_350</t>
  </si>
  <si>
    <t>TID_351</t>
  </si>
  <si>
    <t>TID_352</t>
  </si>
  <si>
    <t>TID_353</t>
  </si>
  <si>
    <t>TID_354</t>
  </si>
  <si>
    <t>TID_355</t>
  </si>
  <si>
    <t>TID_356</t>
  </si>
  <si>
    <t>TID_357</t>
  </si>
  <si>
    <t>TID_358</t>
  </si>
  <si>
    <t>TID_359</t>
  </si>
  <si>
    <t>TID_360</t>
  </si>
  <si>
    <t>TID_361</t>
  </si>
  <si>
    <t>TID_362</t>
  </si>
  <si>
    <t>TID_363</t>
  </si>
  <si>
    <t>TID_364</t>
  </si>
  <si>
    <t>TID_365</t>
  </si>
  <si>
    <t>TID_366</t>
  </si>
  <si>
    <t>TID_367</t>
  </si>
  <si>
    <t>TID_368</t>
  </si>
  <si>
    <t>TID_369</t>
  </si>
  <si>
    <t>TID_370</t>
  </si>
  <si>
    <t>TID_371</t>
  </si>
  <si>
    <t>TID_372</t>
  </si>
  <si>
    <t>TID_373</t>
  </si>
  <si>
    <t>TID_374</t>
  </si>
  <si>
    <t>TID_375</t>
  </si>
  <si>
    <t>TID_376</t>
  </si>
  <si>
    <t>TID_377</t>
  </si>
  <si>
    <t>TID_378</t>
  </si>
  <si>
    <t>TID_379</t>
  </si>
  <si>
    <t>TID_380</t>
  </si>
  <si>
    <t>TID_381</t>
  </si>
  <si>
    <t>TID_382</t>
  </si>
  <si>
    <t>TID_383</t>
  </si>
  <si>
    <t>TID_384</t>
  </si>
  <si>
    <t>TID_385</t>
  </si>
  <si>
    <t>TID_386</t>
  </si>
  <si>
    <t>TID_387</t>
  </si>
  <si>
    <t>TID_388</t>
  </si>
  <si>
    <t>TID_389</t>
  </si>
  <si>
    <t>TID_390</t>
  </si>
  <si>
    <t>TID_391</t>
  </si>
  <si>
    <t>TID_392</t>
  </si>
  <si>
    <t>TID_393</t>
  </si>
  <si>
    <t>TID_394</t>
  </si>
  <si>
    <t>TID_395</t>
  </si>
  <si>
    <t>TID_396</t>
  </si>
  <si>
    <t>TID_397</t>
  </si>
  <si>
    <t>TID_398</t>
  </si>
  <si>
    <t>TID_399</t>
  </si>
  <si>
    <t>TID_400</t>
  </si>
  <si>
    <t>TID_401</t>
  </si>
  <si>
    <t>TID_402</t>
  </si>
  <si>
    <t>TID_403</t>
  </si>
  <si>
    <t>TID_404</t>
  </si>
  <si>
    <t>TID_405</t>
  </si>
  <si>
    <t>TID_406</t>
  </si>
  <si>
    <t>TID_407</t>
  </si>
  <si>
    <t>TID_408</t>
  </si>
  <si>
    <t>TID_409</t>
  </si>
  <si>
    <t>TID_410</t>
  </si>
  <si>
    <t>TID_411</t>
  </si>
  <si>
    <t>TID_412</t>
  </si>
  <si>
    <t>TID_413</t>
  </si>
  <si>
    <t>TID_414</t>
  </si>
  <si>
    <t>TID_415</t>
  </si>
  <si>
    <t>TID_416</t>
  </si>
  <si>
    <t>TID_417</t>
  </si>
  <si>
    <t>TID_418</t>
  </si>
  <si>
    <t>TID_419</t>
  </si>
  <si>
    <t>TID_420</t>
  </si>
  <si>
    <t>TID_421</t>
  </si>
  <si>
    <t>TID_422</t>
  </si>
  <si>
    <t>TID_423</t>
  </si>
  <si>
    <t>TID_424</t>
  </si>
  <si>
    <t>TID_425</t>
  </si>
  <si>
    <t>TID_426</t>
  </si>
  <si>
    <t>TID_427</t>
  </si>
  <si>
    <t>TID_428</t>
  </si>
  <si>
    <t>TID_429</t>
  </si>
  <si>
    <t>TID_430</t>
  </si>
  <si>
    <t>TID_431</t>
  </si>
  <si>
    <t>TID_432</t>
  </si>
  <si>
    <t>TID_433</t>
  </si>
  <si>
    <t>TID_434</t>
  </si>
  <si>
    <t>TID_435</t>
  </si>
  <si>
    <t>TID_436</t>
  </si>
  <si>
    <t>TID_437</t>
  </si>
  <si>
    <t>TID_438</t>
  </si>
  <si>
    <t>TID_439</t>
  </si>
  <si>
    <t>TID_440</t>
  </si>
  <si>
    <t>TID_441</t>
  </si>
  <si>
    <t>TID_442</t>
  </si>
  <si>
    <t>TID_443</t>
  </si>
  <si>
    <t>TID_444</t>
  </si>
  <si>
    <t>TID_445</t>
  </si>
  <si>
    <t>TID_446</t>
  </si>
  <si>
    <t>TID_447</t>
  </si>
  <si>
    <t>TID_448</t>
  </si>
  <si>
    <t>TID_449</t>
  </si>
  <si>
    <t>TID_450</t>
  </si>
  <si>
    <t>TID_451</t>
  </si>
  <si>
    <t>TID_452</t>
  </si>
  <si>
    <t>TID_453</t>
  </si>
  <si>
    <t>TID_454</t>
  </si>
  <si>
    <t>TID_455</t>
  </si>
  <si>
    <t>TID_456</t>
  </si>
  <si>
    <t>TID_457</t>
  </si>
  <si>
    <t>TID_458</t>
  </si>
  <si>
    <t>TID_459</t>
  </si>
  <si>
    <t>TID_460</t>
  </si>
  <si>
    <t>TID_461</t>
  </si>
  <si>
    <t>TID_462</t>
  </si>
  <si>
    <t>TID_463</t>
  </si>
  <si>
    <t>TID_464</t>
  </si>
  <si>
    <t>TID_465</t>
  </si>
  <si>
    <t>TID_466</t>
  </si>
  <si>
    <t>TID_467</t>
  </si>
  <si>
    <t>TID_468</t>
  </si>
  <si>
    <t>TID_469</t>
  </si>
  <si>
    <t>TID_470</t>
  </si>
  <si>
    <t>TID_471</t>
  </si>
  <si>
    <t>TID_472</t>
  </si>
  <si>
    <t>TID_473</t>
  </si>
  <si>
    <t>TID_474</t>
  </si>
  <si>
    <t>TID_475</t>
  </si>
  <si>
    <t>TID_476</t>
  </si>
  <si>
    <t>TID_477</t>
  </si>
  <si>
    <t>TID_478</t>
  </si>
  <si>
    <t>TID_479</t>
  </si>
  <si>
    <t>TID_480</t>
  </si>
  <si>
    <t>TID_481</t>
  </si>
  <si>
    <t>TID_482</t>
  </si>
  <si>
    <t>TID_483</t>
  </si>
  <si>
    <t>TID_484</t>
  </si>
  <si>
    <t>TID_485</t>
  </si>
  <si>
    <t>TID_486</t>
  </si>
  <si>
    <t>TID_487</t>
  </si>
  <si>
    <t>TID_488</t>
  </si>
  <si>
    <t>TID_489</t>
  </si>
  <si>
    <t>TID_490</t>
  </si>
  <si>
    <t>TID_491</t>
  </si>
  <si>
    <t>TID_492</t>
  </si>
  <si>
    <t>TID_493</t>
  </si>
  <si>
    <t>TID_494</t>
  </si>
  <si>
    <t>TID_495</t>
  </si>
  <si>
    <t>TID_496</t>
  </si>
  <si>
    <t>TID_497</t>
  </si>
  <si>
    <t>TID_498</t>
  </si>
  <si>
    <t>TID_499</t>
  </si>
  <si>
    <t>TID_500</t>
  </si>
  <si>
    <t>TID_501</t>
  </si>
  <si>
    <t>TID_502</t>
  </si>
  <si>
    <t>TID_503</t>
  </si>
  <si>
    <t>TID_504</t>
  </si>
  <si>
    <t>TID_505</t>
  </si>
  <si>
    <t>TID_506</t>
  </si>
  <si>
    <t>TID_507</t>
  </si>
  <si>
    <t>TID_508</t>
  </si>
  <si>
    <t>TID_509</t>
  </si>
  <si>
    <t>TID_510</t>
  </si>
  <si>
    <t>TID_511</t>
  </si>
  <si>
    <t>TID_512</t>
  </si>
  <si>
    <t>TID_513</t>
  </si>
  <si>
    <t>TID_514</t>
  </si>
  <si>
    <t>TID_515</t>
  </si>
  <si>
    <t>TID_516</t>
  </si>
  <si>
    <t>TID_517</t>
  </si>
  <si>
    <t>TID_518</t>
  </si>
  <si>
    <t>TID_519</t>
  </si>
  <si>
    <t>TID_520</t>
  </si>
  <si>
    <t>TID_521</t>
  </si>
  <si>
    <t>TID_522</t>
  </si>
  <si>
    <t>TID_523</t>
  </si>
  <si>
    <t>TID_524</t>
  </si>
  <si>
    <t>TID_525</t>
  </si>
  <si>
    <t>TID_526</t>
  </si>
  <si>
    <t>TID_527</t>
  </si>
  <si>
    <t>TID_528</t>
  </si>
  <si>
    <t>TID_529</t>
  </si>
  <si>
    <t>TID_530</t>
  </si>
  <si>
    <t>TID_531</t>
  </si>
  <si>
    <t>TID_532</t>
  </si>
  <si>
    <t>TID_533</t>
  </si>
  <si>
    <t>TID_534</t>
  </si>
  <si>
    <t>TID_535</t>
  </si>
  <si>
    <t>TID_536</t>
  </si>
  <si>
    <t>TID_537</t>
  </si>
  <si>
    <t>TID_538</t>
  </si>
  <si>
    <t>TID_539</t>
  </si>
  <si>
    <t>TID_540</t>
  </si>
  <si>
    <t>TID_541</t>
  </si>
  <si>
    <t>TID_542</t>
  </si>
  <si>
    <t>TID_543</t>
  </si>
  <si>
    <t>TID_544</t>
  </si>
  <si>
    <t>TID_545</t>
  </si>
  <si>
    <t>TID_546</t>
  </si>
  <si>
    <t>TID_547</t>
  </si>
  <si>
    <t>TID_548</t>
  </si>
  <si>
    <t>TID_549</t>
  </si>
  <si>
    <t>TID_550</t>
  </si>
  <si>
    <t>TID_551</t>
  </si>
  <si>
    <t>TID_552</t>
  </si>
  <si>
    <t>TID_553</t>
  </si>
  <si>
    <t>TID_554</t>
  </si>
  <si>
    <t>TID_555</t>
  </si>
  <si>
    <t>TID_556</t>
  </si>
  <si>
    <t>TID_557</t>
  </si>
  <si>
    <t>TID_558</t>
  </si>
  <si>
    <t>TID_559</t>
  </si>
  <si>
    <t>TID_560</t>
  </si>
  <si>
    <t>TID_561</t>
  </si>
  <si>
    <t>TID_562</t>
  </si>
  <si>
    <t>TID_563</t>
  </si>
  <si>
    <t>TID_564</t>
  </si>
  <si>
    <t>TID_565</t>
  </si>
  <si>
    <t>TID_566</t>
  </si>
  <si>
    <t>TID_567</t>
  </si>
  <si>
    <t>TID_568</t>
  </si>
  <si>
    <t>TID_569</t>
  </si>
  <si>
    <t>TID_570</t>
  </si>
  <si>
    <t>TID_571</t>
  </si>
  <si>
    <t>TID_572</t>
  </si>
  <si>
    <t>TID_573</t>
  </si>
  <si>
    <t>TID_574</t>
  </si>
  <si>
    <t>TID_575</t>
  </si>
  <si>
    <t>TID_576</t>
  </si>
  <si>
    <t>TID_577</t>
  </si>
  <si>
    <t>TID_578</t>
  </si>
  <si>
    <t>TID_579</t>
  </si>
  <si>
    <t>TID_580</t>
  </si>
  <si>
    <t>TID_581</t>
  </si>
  <si>
    <t>TID_582</t>
  </si>
  <si>
    <t>TID_583</t>
  </si>
  <si>
    <t>TID_584</t>
  </si>
  <si>
    <t>TID_585</t>
  </si>
  <si>
    <t>TID_586</t>
  </si>
  <si>
    <t>TID_587</t>
  </si>
  <si>
    <t>TID_588</t>
  </si>
  <si>
    <t>TID_589</t>
  </si>
  <si>
    <t>TID_590</t>
  </si>
  <si>
    <t>TID_591</t>
  </si>
  <si>
    <t>TID_592</t>
  </si>
  <si>
    <t>TID_593</t>
  </si>
  <si>
    <t>TID_594</t>
  </si>
  <si>
    <t>TID_595</t>
  </si>
  <si>
    <t>TID_596</t>
  </si>
  <si>
    <t>TID_597</t>
  </si>
  <si>
    <t>TID_598</t>
  </si>
  <si>
    <t>TID_599</t>
  </si>
  <si>
    <t>TID_600</t>
  </si>
  <si>
    <t>TID_601</t>
  </si>
  <si>
    <t>TID_602</t>
  </si>
  <si>
    <t>TID_603</t>
  </si>
  <si>
    <t>TID_604</t>
  </si>
  <si>
    <t>TID_605</t>
  </si>
  <si>
    <t>TID_606</t>
  </si>
  <si>
    <t>TID_607</t>
  </si>
  <si>
    <t>TID_608</t>
  </si>
  <si>
    <t>TID_609</t>
  </si>
  <si>
    <t>TID_610</t>
  </si>
  <si>
    <t>TID_611</t>
  </si>
  <si>
    <t>TID_612</t>
  </si>
  <si>
    <t>TID_613</t>
  </si>
  <si>
    <t>TID_614</t>
  </si>
  <si>
    <t>TID_615</t>
  </si>
  <si>
    <t>TID_616</t>
  </si>
  <si>
    <t>TID_617</t>
  </si>
  <si>
    <t>TID_618</t>
  </si>
  <si>
    <t>TID_619</t>
  </si>
  <si>
    <t>TID_620</t>
  </si>
  <si>
    <t>TID_621</t>
  </si>
  <si>
    <t>TID_622</t>
  </si>
  <si>
    <t>TID_623</t>
  </si>
  <si>
    <t>TID_624</t>
  </si>
  <si>
    <t>TID_625</t>
  </si>
  <si>
    <t>TID_626</t>
  </si>
  <si>
    <t>TID_627</t>
  </si>
  <si>
    <t>TID_628</t>
  </si>
  <si>
    <t>TID_629</t>
  </si>
  <si>
    <t>TID_630</t>
  </si>
  <si>
    <t>TID_631</t>
  </si>
  <si>
    <t>TID_632</t>
  </si>
  <si>
    <t>TID_633</t>
  </si>
  <si>
    <t>TID_634</t>
  </si>
  <si>
    <t>TID_635</t>
  </si>
  <si>
    <t>TID_636</t>
  </si>
  <si>
    <t>TID_637</t>
  </si>
  <si>
    <t>TID_638</t>
  </si>
  <si>
    <t>TID_639</t>
  </si>
  <si>
    <t>TID_640</t>
  </si>
  <si>
    <t>TID_641</t>
  </si>
  <si>
    <t>TID_642</t>
  </si>
  <si>
    <t>TID_643</t>
  </si>
  <si>
    <t>TID_644</t>
  </si>
  <si>
    <t>TID_645</t>
  </si>
  <si>
    <t>TID_646</t>
  </si>
  <si>
    <t>TID_647</t>
  </si>
  <si>
    <t>TID_648</t>
  </si>
  <si>
    <t>TID_649</t>
  </si>
  <si>
    <t>TID_650</t>
  </si>
  <si>
    <t>TID_651</t>
  </si>
  <si>
    <t>TID_652</t>
  </si>
  <si>
    <t>TID_653</t>
  </si>
  <si>
    <t>TID_654</t>
  </si>
  <si>
    <t>TID_655</t>
  </si>
  <si>
    <t>TID_656</t>
  </si>
  <si>
    <t>TID_657</t>
  </si>
  <si>
    <t>TID_658</t>
  </si>
  <si>
    <t>TID_659</t>
  </si>
  <si>
    <t>TID_660</t>
  </si>
  <si>
    <t>TID_661</t>
  </si>
  <si>
    <t>TID_662</t>
  </si>
  <si>
    <t>TID_663</t>
  </si>
  <si>
    <t>TID_664</t>
  </si>
  <si>
    <t>TID_665</t>
  </si>
  <si>
    <t>TID_666</t>
  </si>
  <si>
    <t>TID_667</t>
  </si>
  <si>
    <t>TID_668</t>
  </si>
  <si>
    <t>TID_669</t>
  </si>
  <si>
    <t>TID_670</t>
  </si>
  <si>
    <t>TID_671</t>
  </si>
  <si>
    <t>TID_672</t>
  </si>
  <si>
    <t>TID_673</t>
  </si>
  <si>
    <t>TID_674</t>
  </si>
  <si>
    <t>TID_675</t>
  </si>
  <si>
    <t>TID_676</t>
  </si>
  <si>
    <t>TID_677</t>
  </si>
  <si>
    <t>TID_678</t>
  </si>
  <si>
    <t>TID_679</t>
  </si>
  <si>
    <t>TID_680</t>
  </si>
  <si>
    <t>TID_681</t>
  </si>
  <si>
    <t>TID_682</t>
  </si>
  <si>
    <t>TID_683</t>
  </si>
  <si>
    <t>TID_684</t>
  </si>
  <si>
    <t>TID_685</t>
  </si>
  <si>
    <t>TID_686</t>
  </si>
  <si>
    <t>TID_687</t>
  </si>
  <si>
    <t>TID_688</t>
  </si>
  <si>
    <t>TID_689</t>
  </si>
  <si>
    <t>TID_690</t>
  </si>
  <si>
    <t>TID_691</t>
  </si>
  <si>
    <t>TID_692</t>
  </si>
  <si>
    <t>TID_693</t>
  </si>
  <si>
    <t>TID_694</t>
  </si>
  <si>
    <t>TID_695</t>
  </si>
  <si>
    <t>TID_696</t>
  </si>
  <si>
    <t>TID_697</t>
  </si>
  <si>
    <t>TID_698</t>
  </si>
  <si>
    <t>TID_699</t>
  </si>
  <si>
    <t>TID_700</t>
  </si>
  <si>
    <t>TID_701</t>
  </si>
  <si>
    <t>TID_702</t>
  </si>
  <si>
    <t>TID_703</t>
  </si>
  <si>
    <t>TID_704</t>
  </si>
  <si>
    <t>TID_705</t>
  </si>
  <si>
    <t>TID_706</t>
  </si>
  <si>
    <t>TID_707</t>
  </si>
  <si>
    <t>TID_708</t>
  </si>
  <si>
    <t>TID_709</t>
  </si>
  <si>
    <t>TID_710</t>
  </si>
  <si>
    <t>TID_711</t>
  </si>
  <si>
    <t>TID_712</t>
  </si>
  <si>
    <t>TID_713</t>
  </si>
  <si>
    <t>TID_714</t>
  </si>
  <si>
    <t>TID_715</t>
  </si>
  <si>
    <t>TID_716</t>
  </si>
  <si>
    <t>TID_717</t>
  </si>
  <si>
    <t>TID_718</t>
  </si>
  <si>
    <t>TID_719</t>
  </si>
  <si>
    <t>TID_720</t>
  </si>
  <si>
    <t>TID_721</t>
  </si>
  <si>
    <t>TID_722</t>
  </si>
  <si>
    <t>TID_723</t>
  </si>
  <si>
    <t>TID_724</t>
  </si>
  <si>
    <t>TID_725</t>
  </si>
  <si>
    <t>TID_726</t>
  </si>
  <si>
    <t>TID_727</t>
  </si>
  <si>
    <t>TID_728</t>
  </si>
  <si>
    <t>TID_729</t>
  </si>
  <si>
    <t>TID_730</t>
  </si>
  <si>
    <t>TID_731</t>
  </si>
  <si>
    <t>TID_732</t>
  </si>
  <si>
    <t>TID_733</t>
  </si>
  <si>
    <t>TID_734</t>
  </si>
  <si>
    <t>TID_735</t>
  </si>
  <si>
    <t>TID_736</t>
  </si>
  <si>
    <t>TID_737</t>
  </si>
  <si>
    <t>TID_738</t>
  </si>
  <si>
    <t>TID_739</t>
  </si>
  <si>
    <t>TID_740</t>
  </si>
  <si>
    <t>TID_741</t>
  </si>
  <si>
    <t>TID_742</t>
  </si>
  <si>
    <t>TID_743</t>
  </si>
  <si>
    <t>TID_744</t>
  </si>
  <si>
    <t>TID_745</t>
  </si>
  <si>
    <t>TID_746</t>
  </si>
  <si>
    <t>TID_747</t>
  </si>
  <si>
    <t>TID_748</t>
  </si>
  <si>
    <t>TID_749</t>
  </si>
  <si>
    <t>TID_750</t>
  </si>
  <si>
    <t>TID_751</t>
  </si>
  <si>
    <t>TID_752</t>
  </si>
  <si>
    <t>TID_753</t>
  </si>
  <si>
    <t>TID_754</t>
  </si>
  <si>
    <t>TID_755</t>
  </si>
  <si>
    <t>TID_756</t>
  </si>
  <si>
    <t>TID_757</t>
  </si>
  <si>
    <t>TID_758</t>
  </si>
  <si>
    <t>TID_759</t>
  </si>
  <si>
    <t>TID_760</t>
  </si>
  <si>
    <t>TID_761</t>
  </si>
  <si>
    <t>TID_762</t>
  </si>
  <si>
    <t>TID_763</t>
  </si>
  <si>
    <t>TID_764</t>
  </si>
  <si>
    <t>TID_765</t>
  </si>
  <si>
    <t>TID_766</t>
  </si>
  <si>
    <t>TID_767</t>
  </si>
  <si>
    <t>TID_768</t>
  </si>
  <si>
    <t>TID_769</t>
  </si>
  <si>
    <t>TID_770</t>
  </si>
  <si>
    <t>TID_771</t>
  </si>
  <si>
    <t>TID_772</t>
  </si>
  <si>
    <t>TID_773</t>
  </si>
  <si>
    <t>TID_774</t>
  </si>
  <si>
    <t>TID_775</t>
  </si>
  <si>
    <t>TID_776</t>
  </si>
  <si>
    <t>TID_777</t>
  </si>
  <si>
    <t>TID_778</t>
  </si>
  <si>
    <t>TID_779</t>
  </si>
  <si>
    <t>TID_780</t>
  </si>
  <si>
    <t>TID_781</t>
  </si>
  <si>
    <t>TID_782</t>
  </si>
  <si>
    <t>TID_783</t>
  </si>
  <si>
    <t>TID_784</t>
  </si>
  <si>
    <t>TID_785</t>
  </si>
  <si>
    <t>TID_786</t>
  </si>
  <si>
    <t>TID_787</t>
  </si>
  <si>
    <t>TID_788</t>
  </si>
  <si>
    <t>TID_789</t>
  </si>
  <si>
    <t>TID_790</t>
  </si>
  <si>
    <t>TID_791</t>
  </si>
  <si>
    <t>TID_792</t>
  </si>
  <si>
    <t>TID_793</t>
  </si>
  <si>
    <t>TID_794</t>
  </si>
  <si>
    <t>TID_795</t>
  </si>
  <si>
    <t>TID_796</t>
  </si>
  <si>
    <t>TID_797</t>
  </si>
  <si>
    <t>TID_798</t>
  </si>
  <si>
    <t>TID_799</t>
  </si>
  <si>
    <t>TID_800</t>
  </si>
  <si>
    <t>TID_801</t>
  </si>
  <si>
    <t>TID_802</t>
  </si>
  <si>
    <t>TID_803</t>
  </si>
  <si>
    <t>TID_804</t>
  </si>
  <si>
    <t>TID_805</t>
  </si>
  <si>
    <t>TID_806</t>
  </si>
  <si>
    <t>TID_807</t>
  </si>
  <si>
    <t>TID_808</t>
  </si>
  <si>
    <t>TID_809</t>
  </si>
  <si>
    <t>TID_810</t>
  </si>
  <si>
    <t>TID_811</t>
  </si>
  <si>
    <t>TID_812</t>
  </si>
  <si>
    <t>TID_813</t>
  </si>
  <si>
    <t>TID_814</t>
  </si>
  <si>
    <t>TID_815</t>
  </si>
  <si>
    <t>TID_816</t>
  </si>
  <si>
    <t>TID_817</t>
  </si>
  <si>
    <t>TID_818</t>
  </si>
  <si>
    <t>TID_819</t>
  </si>
  <si>
    <t>TID_820</t>
  </si>
  <si>
    <t>TID_821</t>
  </si>
  <si>
    <t>TID_822</t>
  </si>
  <si>
    <t>TID_823</t>
  </si>
  <si>
    <t>TID_824</t>
  </si>
  <si>
    <t>TID_825</t>
  </si>
  <si>
    <t>TID_826</t>
  </si>
  <si>
    <t>TID_827</t>
  </si>
  <si>
    <t>TID_828</t>
  </si>
  <si>
    <t>TID_829</t>
  </si>
  <si>
    <t>TID_830</t>
  </si>
  <si>
    <t>TID_831</t>
  </si>
  <si>
    <t>TID_832</t>
  </si>
  <si>
    <t>TID_833</t>
  </si>
  <si>
    <t>TID_834</t>
  </si>
  <si>
    <t>TID_835</t>
  </si>
  <si>
    <t>TID_836</t>
  </si>
  <si>
    <t>TID_837</t>
  </si>
  <si>
    <t>TID_838</t>
  </si>
  <si>
    <t>TID_839</t>
  </si>
  <si>
    <t>TID_840</t>
  </si>
  <si>
    <t>TID_841</t>
  </si>
  <si>
    <t>TID_842</t>
  </si>
  <si>
    <t>TID_843</t>
  </si>
  <si>
    <t>TID_844</t>
  </si>
  <si>
    <t>TID_845</t>
  </si>
  <si>
    <t>TID_846</t>
  </si>
  <si>
    <t>TID_847</t>
  </si>
  <si>
    <t>TID_848</t>
  </si>
  <si>
    <t>TID_849</t>
  </si>
  <si>
    <t>TID_850</t>
  </si>
  <si>
    <t>TID_851</t>
  </si>
  <si>
    <t>TID_852</t>
  </si>
  <si>
    <t>TID_853</t>
  </si>
  <si>
    <t>TID_854</t>
  </si>
  <si>
    <t>TID_855</t>
  </si>
  <si>
    <t>TID_856</t>
  </si>
  <si>
    <t>TID_857</t>
  </si>
  <si>
    <t>TID_858</t>
  </si>
  <si>
    <t>TID_859</t>
  </si>
  <si>
    <t>TID_860</t>
  </si>
  <si>
    <t>TID_861</t>
  </si>
  <si>
    <t>TID_862</t>
  </si>
  <si>
    <t>TID_863</t>
  </si>
  <si>
    <t>TID_864</t>
  </si>
  <si>
    <t>TID_865</t>
  </si>
  <si>
    <t>TID_866</t>
  </si>
  <si>
    <t>TID_867</t>
  </si>
  <si>
    <t>TID_868</t>
  </si>
  <si>
    <t>TID_869</t>
  </si>
  <si>
    <t>TID_870</t>
  </si>
  <si>
    <t>TID_871</t>
  </si>
  <si>
    <t>TID_872</t>
  </si>
  <si>
    <t>TID_873</t>
  </si>
  <si>
    <t>TID_874</t>
  </si>
  <si>
    <t>TID_875</t>
  </si>
  <si>
    <t>TID_876</t>
  </si>
  <si>
    <t>TID_877</t>
  </si>
  <si>
    <t>TID_878</t>
  </si>
  <si>
    <t>TID_879</t>
  </si>
  <si>
    <t>TID_880</t>
  </si>
  <si>
    <t>TID_881</t>
  </si>
  <si>
    <t>TID_882</t>
  </si>
  <si>
    <t>TID_883</t>
  </si>
  <si>
    <t>TID_884</t>
  </si>
  <si>
    <t>TID_885</t>
  </si>
  <si>
    <t>TID_886</t>
  </si>
  <si>
    <t>TID_887</t>
  </si>
  <si>
    <t>TID_888</t>
  </si>
  <si>
    <t>TID_889</t>
  </si>
  <si>
    <t>TID_890</t>
  </si>
  <si>
    <t>TID_891</t>
  </si>
  <si>
    <t>TID_892</t>
  </si>
  <si>
    <t>TID_893</t>
  </si>
  <si>
    <t>TID_894</t>
  </si>
  <si>
    <t>TID_895</t>
  </si>
  <si>
    <t>TID_896</t>
  </si>
  <si>
    <t>TID_897</t>
  </si>
  <si>
    <t>TID_898</t>
  </si>
  <si>
    <t>TID_899</t>
  </si>
  <si>
    <t>TID_900</t>
  </si>
  <si>
    <t>TID_901</t>
  </si>
  <si>
    <t>TID_902</t>
  </si>
  <si>
    <t>TID_903</t>
  </si>
  <si>
    <t>TID_904</t>
  </si>
  <si>
    <t>TID_905</t>
  </si>
  <si>
    <t>TID_906</t>
  </si>
  <si>
    <t>TID_907</t>
  </si>
  <si>
    <t>TID_908</t>
  </si>
  <si>
    <t>TID_909</t>
  </si>
  <si>
    <t>TID_910</t>
  </si>
  <si>
    <t>TID_911</t>
  </si>
  <si>
    <t>TID_912</t>
  </si>
  <si>
    <t>TID_913</t>
  </si>
  <si>
    <t>TID_914</t>
  </si>
  <si>
    <t>TID_915</t>
  </si>
  <si>
    <t>TID_916</t>
  </si>
  <si>
    <t>TID_917</t>
  </si>
  <si>
    <t>TID_918</t>
  </si>
  <si>
    <t>TID_919</t>
  </si>
  <si>
    <t>TID_920</t>
  </si>
  <si>
    <t>TID_921</t>
  </si>
  <si>
    <t>TID_922</t>
  </si>
  <si>
    <t>TID_923</t>
  </si>
  <si>
    <t>TID_924</t>
  </si>
  <si>
    <t>TID_925</t>
  </si>
  <si>
    <t>TID_926</t>
  </si>
  <si>
    <t>TID_927</t>
  </si>
  <si>
    <t>TID_928</t>
  </si>
  <si>
    <t>TID_929</t>
  </si>
  <si>
    <t>TID_930</t>
  </si>
  <si>
    <t>TID_931</t>
  </si>
  <si>
    <t>TID_932</t>
  </si>
  <si>
    <t>TID_933</t>
  </si>
  <si>
    <t>TID_934</t>
  </si>
  <si>
    <t>TID_935</t>
  </si>
  <si>
    <t>TID_936</t>
  </si>
  <si>
    <t>TID_937</t>
  </si>
  <si>
    <t>TID_938</t>
  </si>
  <si>
    <t>TID_939</t>
  </si>
  <si>
    <t>TID_940</t>
  </si>
  <si>
    <t>TID_941</t>
  </si>
  <si>
    <t>TID_942</t>
  </si>
  <si>
    <t>TID_943</t>
  </si>
  <si>
    <t>TID_944</t>
  </si>
  <si>
    <t>TID_945</t>
  </si>
  <si>
    <t>TID_946</t>
  </si>
  <si>
    <t>TID_947</t>
  </si>
  <si>
    <t>TID_948</t>
  </si>
  <si>
    <t>TID_949</t>
  </si>
  <si>
    <t>TID_950</t>
  </si>
  <si>
    <t>TID_951</t>
  </si>
  <si>
    <t>TID_952</t>
  </si>
  <si>
    <t>TID_953</t>
  </si>
  <si>
    <t>TID_954</t>
  </si>
  <si>
    <t>TID_955</t>
  </si>
  <si>
    <t>TID_956</t>
  </si>
  <si>
    <t>TID_957</t>
  </si>
  <si>
    <t>TID_958</t>
  </si>
  <si>
    <t>TID_959</t>
  </si>
  <si>
    <t>TID_960</t>
  </si>
  <si>
    <t>TID_961</t>
  </si>
  <si>
    <t>TID_962</t>
  </si>
  <si>
    <t>TID_963</t>
  </si>
  <si>
    <t>TID_964</t>
  </si>
  <si>
    <t>TID_965</t>
  </si>
  <si>
    <t>TID_966</t>
  </si>
  <si>
    <t>TID_967</t>
  </si>
  <si>
    <t>TID_968</t>
  </si>
  <si>
    <t>TID_969</t>
  </si>
  <si>
    <t>TID_970</t>
  </si>
  <si>
    <t>TID_971</t>
  </si>
  <si>
    <t>TID_972</t>
  </si>
  <si>
    <t>TID_973</t>
  </si>
  <si>
    <t>TID_974</t>
  </si>
  <si>
    <t>TID_975</t>
  </si>
  <si>
    <t>TID_976</t>
  </si>
  <si>
    <t>TID_977</t>
  </si>
  <si>
    <t>TID_978</t>
  </si>
  <si>
    <t>TID_979</t>
  </si>
  <si>
    <t>TID_980</t>
  </si>
  <si>
    <t>TID_981</t>
  </si>
  <si>
    <t>TID_982</t>
  </si>
  <si>
    <t>TID_983</t>
  </si>
  <si>
    <t>TID_984</t>
  </si>
  <si>
    <t>TID_985</t>
  </si>
  <si>
    <t>TID_986</t>
  </si>
  <si>
    <t>TID_987</t>
  </si>
  <si>
    <t>TID_988</t>
  </si>
  <si>
    <t>TID_989</t>
  </si>
  <si>
    <t>TID_990</t>
  </si>
  <si>
    <t>TID_991</t>
  </si>
  <si>
    <t>TID_992</t>
  </si>
  <si>
    <t>TID_993</t>
  </si>
  <si>
    <t>TID_994</t>
  </si>
  <si>
    <t>TID_995</t>
  </si>
  <si>
    <t>TID_996</t>
  </si>
  <si>
    <t>TID_997</t>
  </si>
  <si>
    <t>TID_998</t>
  </si>
  <si>
    <t>TID_999</t>
  </si>
  <si>
    <t>TID_1000</t>
  </si>
  <si>
    <t>TID_1001</t>
  </si>
  <si>
    <t>TID_1002</t>
  </si>
  <si>
    <t>TID_1003</t>
  </si>
  <si>
    <t>TID_1004</t>
  </si>
  <si>
    <t>TID_1005</t>
  </si>
  <si>
    <t>TID_1006</t>
  </si>
  <si>
    <t>TID_1007</t>
  </si>
  <si>
    <t>TID_1008</t>
  </si>
  <si>
    <t>TID_1009</t>
  </si>
  <si>
    <t>TID_1010</t>
  </si>
  <si>
    <t>TID_1011</t>
  </si>
  <si>
    <t>TID_1012</t>
  </si>
  <si>
    <t>TID_1013</t>
  </si>
  <si>
    <t>TID_1014</t>
  </si>
  <si>
    <t>TID_1015</t>
  </si>
  <si>
    <t>TID_1016</t>
  </si>
  <si>
    <t>TID_1017</t>
  </si>
  <si>
    <t>TID_1018</t>
  </si>
  <si>
    <t>TID_1019</t>
  </si>
  <si>
    <t>TID_1020</t>
  </si>
  <si>
    <t>TID_1021</t>
  </si>
  <si>
    <t>TID_1022</t>
  </si>
  <si>
    <t>TID_1023</t>
  </si>
  <si>
    <t>TID_1024</t>
  </si>
  <si>
    <t>TID_1025</t>
  </si>
  <si>
    <t>TID_1026</t>
  </si>
  <si>
    <t>TID_1027</t>
  </si>
  <si>
    <t>TID_1028</t>
  </si>
  <si>
    <t>TID_1029</t>
  </si>
  <si>
    <t>TID_1030</t>
  </si>
  <si>
    <t>TID_1031</t>
  </si>
  <si>
    <t>TID_1032</t>
  </si>
  <si>
    <t>TID_1033</t>
  </si>
  <si>
    <t>TID_1034</t>
  </si>
  <si>
    <t>TID_1035</t>
  </si>
  <si>
    <t>TID_1036</t>
  </si>
  <si>
    <t>TID_1037</t>
  </si>
  <si>
    <t>TID_1038</t>
  </si>
  <si>
    <t>TID_1039</t>
  </si>
  <si>
    <t>TID_1040</t>
  </si>
  <si>
    <t>TID_1041</t>
  </si>
  <si>
    <t>TID_1042</t>
  </si>
  <si>
    <t>TID_1043</t>
  </si>
  <si>
    <t>TID_1044</t>
  </si>
  <si>
    <t>TID_1045</t>
  </si>
  <si>
    <t>TID_1046</t>
  </si>
  <si>
    <t>TID_1047</t>
  </si>
  <si>
    <t>TID_1048</t>
  </si>
  <si>
    <t>TID_1049</t>
  </si>
  <si>
    <t>TID_1050</t>
  </si>
  <si>
    <t>TID_1051</t>
  </si>
  <si>
    <t>TID_1052</t>
  </si>
  <si>
    <t>TID_1053</t>
  </si>
  <si>
    <t>TID_1054</t>
  </si>
  <si>
    <t>TID_1055</t>
  </si>
  <si>
    <t>TID_1056</t>
  </si>
  <si>
    <t>TID_1057</t>
  </si>
  <si>
    <t>TID_1058</t>
  </si>
  <si>
    <t>TID_1059</t>
  </si>
  <si>
    <t>TID_1060</t>
  </si>
  <si>
    <t>TID_1061</t>
  </si>
  <si>
    <t>TID_1062</t>
  </si>
  <si>
    <t>TID_1063</t>
  </si>
  <si>
    <t>TID_1064</t>
  </si>
  <si>
    <t>TID_1065</t>
  </si>
  <si>
    <t>TID_1066</t>
  </si>
  <si>
    <t>TID_1067</t>
  </si>
  <si>
    <t>TID_1068</t>
  </si>
  <si>
    <t>TID_1069</t>
  </si>
  <si>
    <t>TID_1070</t>
  </si>
  <si>
    <t>TID_1071</t>
  </si>
  <si>
    <t>TID_1072</t>
  </si>
  <si>
    <t>TID_1073</t>
  </si>
  <si>
    <t>TID_1074</t>
  </si>
  <si>
    <t>TID_1075</t>
  </si>
  <si>
    <t>TID_1076</t>
  </si>
  <si>
    <t>TID_1077</t>
  </si>
  <si>
    <t>TID_1078</t>
  </si>
  <si>
    <t>TID_1079</t>
  </si>
  <si>
    <t>TID_1080</t>
  </si>
  <si>
    <t>TID_1081</t>
  </si>
  <si>
    <t>TID_1082</t>
  </si>
  <si>
    <t>TID_1083</t>
  </si>
  <si>
    <t>TID_1084</t>
  </si>
  <si>
    <t>TID_1085</t>
  </si>
  <si>
    <t>TID_1086</t>
  </si>
  <si>
    <t>TID_1087</t>
  </si>
  <si>
    <t>TID_1088</t>
  </si>
  <si>
    <t>TID_1089</t>
  </si>
  <si>
    <t>TID_1090</t>
  </si>
  <si>
    <t>TID_1091</t>
  </si>
  <si>
    <t>TID_1092</t>
  </si>
  <si>
    <t>TID_1093</t>
  </si>
  <si>
    <t>TID_1094</t>
  </si>
  <si>
    <t>TID_1095</t>
  </si>
  <si>
    <t>TID_1096</t>
  </si>
  <si>
    <t>TID_1097</t>
  </si>
  <si>
    <t>TID_1098</t>
  </si>
  <si>
    <t>TID_1099</t>
  </si>
  <si>
    <t>TID_1100</t>
  </si>
  <si>
    <t>TID_1101</t>
  </si>
  <si>
    <t>TID_1102</t>
  </si>
  <si>
    <t>TID_1103</t>
  </si>
  <si>
    <t>TID_1104</t>
  </si>
  <si>
    <t>TID_1105</t>
  </si>
  <si>
    <t>TID_1106</t>
  </si>
  <si>
    <t>TID_1107</t>
  </si>
  <si>
    <t>TID_1108</t>
  </si>
  <si>
    <t>TID_1109</t>
  </si>
  <si>
    <t>TID_1110</t>
  </si>
  <si>
    <t>TID_1111</t>
  </si>
  <si>
    <t>TID_1112</t>
  </si>
  <si>
    <t>TID_1113</t>
  </si>
  <si>
    <t>TID_1114</t>
  </si>
  <si>
    <t>TID_1115</t>
  </si>
  <si>
    <t>TID_1116</t>
  </si>
  <si>
    <t>TID_1117</t>
  </si>
  <si>
    <t>TID_1118</t>
  </si>
  <si>
    <t>TID_1119</t>
  </si>
  <si>
    <t>TID_1120</t>
  </si>
  <si>
    <t>TID_1121</t>
  </si>
  <si>
    <t>TID_1122</t>
  </si>
  <si>
    <t>TID_1123</t>
  </si>
  <si>
    <t>TID_1124</t>
  </si>
  <si>
    <t>TID_1125</t>
  </si>
  <si>
    <t>TID_1126</t>
  </si>
  <si>
    <t>TID_1127</t>
  </si>
  <si>
    <t>TID_1128</t>
  </si>
  <si>
    <t>TID_1129</t>
  </si>
  <si>
    <t>TID_1130</t>
  </si>
  <si>
    <t>TID_1131</t>
  </si>
  <si>
    <t>TID_1132</t>
  </si>
  <si>
    <t>TID_1133</t>
  </si>
  <si>
    <t>TID_1134</t>
  </si>
  <si>
    <t>TID_1135</t>
  </si>
  <si>
    <t>TID_1136</t>
  </si>
  <si>
    <t>TID_1137</t>
  </si>
  <si>
    <t>TID_1138</t>
  </si>
  <si>
    <t>TID_1139</t>
  </si>
  <si>
    <t>TID_1140</t>
  </si>
  <si>
    <t>TID_1141</t>
  </si>
  <si>
    <t>TID_1142</t>
  </si>
  <si>
    <t>TID_1143</t>
  </si>
  <si>
    <t>TID_1144</t>
  </si>
  <si>
    <t>TID_1145</t>
  </si>
  <si>
    <t>TID_1146</t>
  </si>
  <si>
    <t>TID_1147</t>
  </si>
  <si>
    <t>TID_1148</t>
  </si>
  <si>
    <t>TID_1149</t>
  </si>
  <si>
    <t>TID_1150</t>
  </si>
  <si>
    <t>TID_1151</t>
  </si>
  <si>
    <t>TID_1152</t>
  </si>
  <si>
    <t>TID_1153</t>
  </si>
  <si>
    <t>TID_1154</t>
  </si>
  <si>
    <t>TID_1155</t>
  </si>
  <si>
    <t>TID_1156</t>
  </si>
  <si>
    <t>TID_1157</t>
  </si>
  <si>
    <t>TID_1158</t>
  </si>
  <si>
    <t>TID_1159</t>
  </si>
  <si>
    <t>TID_1160</t>
  </si>
  <si>
    <t>TID_1161</t>
  </si>
  <si>
    <t>TID_1162</t>
  </si>
  <si>
    <t>TID_1163</t>
  </si>
  <si>
    <t>TID_1164</t>
  </si>
  <si>
    <t>TID_1165</t>
  </si>
  <si>
    <t>TID_1166</t>
  </si>
  <si>
    <t>TID_1167</t>
  </si>
  <si>
    <t>TID_1168</t>
  </si>
  <si>
    <t>TID_1169</t>
  </si>
  <si>
    <t>TID_1170</t>
  </si>
  <si>
    <t>TID_1171</t>
  </si>
  <si>
    <t>TID_1172</t>
  </si>
  <si>
    <t>TID_1173</t>
  </si>
  <si>
    <t>TID_1174</t>
  </si>
  <si>
    <t>TID_1175</t>
  </si>
  <si>
    <t>TID_1176</t>
  </si>
  <si>
    <t>TID_1177</t>
  </si>
  <si>
    <t>TID_1178</t>
  </si>
  <si>
    <t>TID_1179</t>
  </si>
  <si>
    <t>TID_1180</t>
  </si>
  <si>
    <t>TID_1181</t>
  </si>
  <si>
    <t>TID_1182</t>
  </si>
  <si>
    <t>TID_1183</t>
  </si>
  <si>
    <t>TID_1184</t>
  </si>
  <si>
    <t>TID_1185</t>
  </si>
  <si>
    <t>TID_1186</t>
  </si>
  <si>
    <t>TID_1187</t>
  </si>
  <si>
    <t>TID_1188</t>
  </si>
  <si>
    <t>TID_1189</t>
  </si>
  <si>
    <t>TID_1190</t>
  </si>
  <si>
    <t>TID_1191</t>
  </si>
  <si>
    <t>TID_1192</t>
  </si>
  <si>
    <t>TID_1193</t>
  </si>
  <si>
    <t>TID_1194</t>
  </si>
  <si>
    <t>TID_1195</t>
  </si>
  <si>
    <t>TID_1196</t>
  </si>
  <si>
    <t>TID_1197</t>
  </si>
  <si>
    <t>TID_1198</t>
  </si>
  <si>
    <t>TID_1199</t>
  </si>
  <si>
    <t>TID_1200</t>
  </si>
  <si>
    <t>TID_1201</t>
  </si>
  <si>
    <t>TID_1202</t>
  </si>
  <si>
    <t>TID_1203</t>
  </si>
  <si>
    <t>TID_1204</t>
  </si>
  <si>
    <t>TID_1205</t>
  </si>
  <si>
    <t>TID_1206</t>
  </si>
  <si>
    <t>TID_1207</t>
  </si>
  <si>
    <t>TID_1208</t>
  </si>
  <si>
    <t>TID_1209</t>
  </si>
  <si>
    <t>TID_1210</t>
  </si>
  <si>
    <t>TID_1211</t>
  </si>
  <si>
    <t>TID_1212</t>
  </si>
  <si>
    <t>TID_1213</t>
  </si>
  <si>
    <t>TID_1214</t>
  </si>
  <si>
    <t>TID_1215</t>
  </si>
  <si>
    <t>TID_1216</t>
  </si>
  <si>
    <t>TID_1217</t>
  </si>
  <si>
    <t>TID_1218</t>
  </si>
  <si>
    <t>TID_1219</t>
  </si>
  <si>
    <t>TID_1220</t>
  </si>
  <si>
    <t>TID_1221</t>
  </si>
  <si>
    <t>TID_1222</t>
  </si>
  <si>
    <t>TID_1223</t>
  </si>
  <si>
    <t>TID_1224</t>
  </si>
  <si>
    <t>TID_1225</t>
  </si>
  <si>
    <t>TID_1226</t>
  </si>
  <si>
    <t>TID_1227</t>
  </si>
  <si>
    <t>TID_1228</t>
  </si>
  <si>
    <t>TID_1229</t>
  </si>
  <si>
    <t>TID_1230</t>
  </si>
  <si>
    <t>TID_1231</t>
  </si>
  <si>
    <t>TID_1232</t>
  </si>
  <si>
    <t>TID_1233</t>
  </si>
  <si>
    <t>TID_1234</t>
  </si>
  <si>
    <t>TID_1235</t>
  </si>
  <si>
    <t>TID_1236</t>
  </si>
  <si>
    <t>TID_1237</t>
  </si>
  <si>
    <t>TID_1238</t>
  </si>
  <si>
    <t>TID_1239</t>
  </si>
  <si>
    <t>TID_1240</t>
  </si>
  <si>
    <t>TID_1241</t>
  </si>
  <si>
    <t>TID_1242</t>
  </si>
  <si>
    <t>TID_1243</t>
  </si>
  <si>
    <t>TID_1244</t>
  </si>
  <si>
    <t>TID_1245</t>
  </si>
  <si>
    <t>TID_1246</t>
  </si>
  <si>
    <t>TID_1247</t>
  </si>
  <si>
    <t>TID_1248</t>
  </si>
  <si>
    <t>TID_1249</t>
  </si>
  <si>
    <t>TID_1250</t>
  </si>
  <si>
    <t>TID_1251</t>
  </si>
  <si>
    <t>TID_1252</t>
  </si>
  <si>
    <t>TID_1253</t>
  </si>
  <si>
    <t>TID_1254</t>
  </si>
  <si>
    <t>TID_1255</t>
  </si>
  <si>
    <t>TID_1256</t>
  </si>
  <si>
    <t>TID_1257</t>
  </si>
  <si>
    <t>TID_1258</t>
  </si>
  <si>
    <t>TID_1259</t>
  </si>
  <si>
    <t>TID_1260</t>
  </si>
  <si>
    <t>TID_1261</t>
  </si>
  <si>
    <t>TID_1262</t>
  </si>
  <si>
    <t>TID_1263</t>
  </si>
  <si>
    <t>TID_1264</t>
  </si>
  <si>
    <t>TID_1265</t>
  </si>
  <si>
    <t>TID_1266</t>
  </si>
  <si>
    <t>TID_1267</t>
  </si>
  <si>
    <t>TID_1268</t>
  </si>
  <si>
    <t>TID_1269</t>
  </si>
  <si>
    <t>TID_1270</t>
  </si>
  <si>
    <t>TID_1271</t>
  </si>
  <si>
    <t>TID_1272</t>
  </si>
  <si>
    <t>TID_1273</t>
  </si>
  <si>
    <t>TID_1274</t>
  </si>
  <si>
    <t>TID_1275</t>
  </si>
  <si>
    <t>TID_1276</t>
  </si>
  <si>
    <t>TID_1277</t>
  </si>
  <si>
    <t>TID_1278</t>
  </si>
  <si>
    <t>TID_1279</t>
  </si>
  <si>
    <t>TID_1280</t>
  </si>
  <si>
    <t>TID_1281</t>
  </si>
  <si>
    <t>TID_1282</t>
  </si>
  <si>
    <t>TID_1283</t>
  </si>
  <si>
    <t>TID_1284</t>
  </si>
  <si>
    <t>TID_1285</t>
  </si>
  <si>
    <t>TID_1286</t>
  </si>
  <si>
    <t>TID_1287</t>
  </si>
  <si>
    <t>TID_1288</t>
  </si>
  <si>
    <t>TID_1289</t>
  </si>
  <si>
    <t>TID_1290</t>
  </si>
  <si>
    <t>TID_1291</t>
  </si>
  <si>
    <t>TID_1292</t>
  </si>
  <si>
    <t>TID_1293</t>
  </si>
  <si>
    <t>TID_1294</t>
  </si>
  <si>
    <t>TID_1295</t>
  </si>
  <si>
    <t>TID_1296</t>
  </si>
  <si>
    <t>TID_1297</t>
  </si>
  <si>
    <t>TID_1298</t>
  </si>
  <si>
    <t>TID_1299</t>
  </si>
  <si>
    <t>TID_1300</t>
  </si>
  <si>
    <t>TID_1301</t>
  </si>
  <si>
    <t>TID_1302</t>
  </si>
  <si>
    <t>TID_1303</t>
  </si>
  <si>
    <t>TID_1304</t>
  </si>
  <si>
    <t>TID_1305</t>
  </si>
  <si>
    <t>TID_1306</t>
  </si>
  <si>
    <t>TID_1307</t>
  </si>
  <si>
    <t>TID_1308</t>
  </si>
  <si>
    <t>TID_1309</t>
  </si>
  <si>
    <t>TID_1310</t>
  </si>
  <si>
    <t>TID_1311</t>
  </si>
  <si>
    <t>TID_1312</t>
  </si>
  <si>
    <t>TID_1313</t>
  </si>
  <si>
    <t>TID_1314</t>
  </si>
  <si>
    <t>TID_1315</t>
  </si>
  <si>
    <t>TID_1316</t>
  </si>
  <si>
    <t>TID_1317</t>
  </si>
  <si>
    <t>TID_1318</t>
  </si>
  <si>
    <t>TID_1319</t>
  </si>
  <si>
    <t>TID_1320</t>
  </si>
  <si>
    <t>TID_1321</t>
  </si>
  <si>
    <t>TID_1322</t>
  </si>
  <si>
    <t>TID_1323</t>
  </si>
  <si>
    <t>TID_1324</t>
  </si>
  <si>
    <t>TID_1325</t>
  </si>
  <si>
    <t>TID_1326</t>
  </si>
  <si>
    <t>TID_1327</t>
  </si>
  <si>
    <t>TID_1328</t>
  </si>
  <si>
    <t>TID_1329</t>
  </si>
  <si>
    <t>TID_1330</t>
  </si>
  <si>
    <t>TID_1331</t>
  </si>
  <si>
    <t>TID_1332</t>
  </si>
  <si>
    <t>TID_1333</t>
  </si>
  <si>
    <t>TID_1334</t>
  </si>
  <si>
    <t>TID_1335</t>
  </si>
  <si>
    <t>TID_1336</t>
  </si>
  <si>
    <t>TID_1337</t>
  </si>
  <si>
    <t>TID_1338</t>
  </si>
  <si>
    <t>TID_1339</t>
  </si>
  <si>
    <t>TID_1340</t>
  </si>
  <si>
    <t>TID_1341</t>
  </si>
  <si>
    <t>TID_1342</t>
  </si>
  <si>
    <t>TID_1343</t>
  </si>
  <si>
    <t>TID_1344</t>
  </si>
  <si>
    <t>TID_1345</t>
  </si>
  <si>
    <t>TID_1346</t>
  </si>
  <si>
    <t>TID_1347</t>
  </si>
  <si>
    <t>TID_1348</t>
  </si>
  <si>
    <t>TID_1349</t>
  </si>
  <si>
    <t>TID_1350</t>
  </si>
  <si>
    <t>TID_1351</t>
  </si>
  <si>
    <t>TID_1352</t>
  </si>
  <si>
    <t>TID_1353</t>
  </si>
  <si>
    <t>TID_1354</t>
  </si>
  <si>
    <t>TID_1355</t>
  </si>
  <si>
    <t>TID_1356</t>
  </si>
  <si>
    <t>TID_1357</t>
  </si>
  <si>
    <t>TID_1358</t>
  </si>
  <si>
    <t>TID_1359</t>
  </si>
  <si>
    <t>TID_1360</t>
  </si>
  <si>
    <t>TID_1361</t>
  </si>
  <si>
    <t>TID_1362</t>
  </si>
  <si>
    <t>TID_1363</t>
  </si>
  <si>
    <t>TID_1364</t>
  </si>
  <si>
    <t>TID_1365</t>
  </si>
  <si>
    <t>TID_1366</t>
  </si>
  <si>
    <t>TID_1367</t>
  </si>
  <si>
    <t>TID_1368</t>
  </si>
  <si>
    <t>TID_1369</t>
  </si>
  <si>
    <t>TID_1370</t>
  </si>
  <si>
    <t>TID_1371</t>
  </si>
  <si>
    <t>TID_1372</t>
  </si>
  <si>
    <t>TID_1373</t>
  </si>
  <si>
    <t>TID_1374</t>
  </si>
  <si>
    <t>TID_1375</t>
  </si>
  <si>
    <t>TID_1376</t>
  </si>
  <si>
    <t>TID_1377</t>
  </si>
  <si>
    <t>TID_1378</t>
  </si>
  <si>
    <t>TID_1379</t>
  </si>
  <si>
    <t>TID_1380</t>
  </si>
  <si>
    <t>TID_1381</t>
  </si>
  <si>
    <t>TID_1382</t>
  </si>
  <si>
    <t>TID_1383</t>
  </si>
  <si>
    <t>TID_1384</t>
  </si>
  <si>
    <t>TID_1385</t>
  </si>
  <si>
    <t>TID_1386</t>
  </si>
  <si>
    <t>TID_1387</t>
  </si>
  <si>
    <t>TID_1388</t>
  </si>
  <si>
    <t>TID_1389</t>
  </si>
  <si>
    <t>TID_1390</t>
  </si>
  <si>
    <t>TID_1391</t>
  </si>
  <si>
    <t>TID_1392</t>
  </si>
  <si>
    <t>TID_1393</t>
  </si>
  <si>
    <t>TID_1394</t>
  </si>
  <si>
    <t>TID_1395</t>
  </si>
  <si>
    <t>TID_1396</t>
  </si>
  <si>
    <t>TID_1397</t>
  </si>
  <si>
    <t>TID_1398</t>
  </si>
  <si>
    <t>TID_1399</t>
  </si>
  <si>
    <t>TID_1400</t>
  </si>
  <si>
    <t>TID_1401</t>
  </si>
  <si>
    <t>TID_1402</t>
  </si>
  <si>
    <t>TID_1403</t>
  </si>
  <si>
    <t>TID_1404</t>
  </si>
  <si>
    <t>TID_1405</t>
  </si>
  <si>
    <t>TID_1406</t>
  </si>
  <si>
    <t>TID_1407</t>
  </si>
  <si>
    <t>TID_1408</t>
  </si>
  <si>
    <t>TID_1409</t>
  </si>
  <si>
    <t>TID_1410</t>
  </si>
  <si>
    <t>TID_1411</t>
  </si>
  <si>
    <t>TID_1412</t>
  </si>
  <si>
    <t>TID_1413</t>
  </si>
  <si>
    <t>TID_1414</t>
  </si>
  <si>
    <t>TID_1415</t>
  </si>
  <si>
    <t>TID_1416</t>
  </si>
  <si>
    <t>TID_1417</t>
  </si>
  <si>
    <t>TID_1418</t>
  </si>
  <si>
    <t>TID_1419</t>
  </si>
  <si>
    <t>TID_1420</t>
  </si>
  <si>
    <t>TID_1421</t>
  </si>
  <si>
    <t>TID_1422</t>
  </si>
  <si>
    <t>TID_1423</t>
  </si>
  <si>
    <t>TID_1424</t>
  </si>
  <si>
    <t>TID_1425</t>
  </si>
  <si>
    <t>TID_1426</t>
  </si>
  <si>
    <t>TID_1427</t>
  </si>
  <si>
    <t>TID_1428</t>
  </si>
  <si>
    <t>TID_1429</t>
  </si>
  <si>
    <t>TID_1430</t>
  </si>
  <si>
    <t>TID_1431</t>
  </si>
  <si>
    <t>TID_1432</t>
  </si>
  <si>
    <t>TID_1433</t>
  </si>
  <si>
    <t>TID_1434</t>
  </si>
  <si>
    <t>TID_1435</t>
  </si>
  <si>
    <t>TID_1436</t>
  </si>
  <si>
    <t>TID_1437</t>
  </si>
  <si>
    <t>TID_1438</t>
  </si>
  <si>
    <t>TID_1439</t>
  </si>
  <si>
    <t>TID_1440</t>
  </si>
  <si>
    <t>TID_1441</t>
  </si>
  <si>
    <t>TID_1442</t>
  </si>
  <si>
    <t>TID_1443</t>
  </si>
  <si>
    <t>TID_1444</t>
  </si>
  <si>
    <t>TID_1445</t>
  </si>
  <si>
    <t>TID_1446</t>
  </si>
  <si>
    <t>TID_1447</t>
  </si>
  <si>
    <t>TID_1448</t>
  </si>
  <si>
    <t>TID_1449</t>
  </si>
  <si>
    <t>TID_1450</t>
  </si>
  <si>
    <t>TID_1451</t>
  </si>
  <si>
    <t>TID_1452</t>
  </si>
  <si>
    <t>TID_1453</t>
  </si>
  <si>
    <t>TID_1454</t>
  </si>
  <si>
    <t>TID_1455</t>
  </si>
  <si>
    <t>TID_1456</t>
  </si>
  <si>
    <t>TID_1457</t>
  </si>
  <si>
    <t>TID_1458</t>
  </si>
  <si>
    <t>TID_1459</t>
  </si>
  <si>
    <t>TID_1460</t>
  </si>
  <si>
    <t>TID_1461</t>
  </si>
  <si>
    <t>TID_1462</t>
  </si>
  <si>
    <t>TID_1463</t>
  </si>
  <si>
    <t>TID_1464</t>
  </si>
  <si>
    <t>TID_1465</t>
  </si>
  <si>
    <t>TID_1466</t>
  </si>
  <si>
    <t>TID_1467</t>
  </si>
  <si>
    <t>TID_1468</t>
  </si>
  <si>
    <t>TID_1469</t>
  </si>
  <si>
    <t>TID_1470</t>
  </si>
  <si>
    <t>TID_1471</t>
  </si>
  <si>
    <t>TID_1472</t>
  </si>
  <si>
    <t>TID_1473</t>
  </si>
  <si>
    <t>TID_1474</t>
  </si>
  <si>
    <t>TID_1475</t>
  </si>
  <si>
    <t>TID_1476</t>
  </si>
  <si>
    <t>TID_1477</t>
  </si>
  <si>
    <t>TID_1478</t>
  </si>
  <si>
    <t>TID_1479</t>
  </si>
  <si>
    <t>TID_1480</t>
  </si>
  <si>
    <t>TID_1481</t>
  </si>
  <si>
    <t>TID_1482</t>
  </si>
  <si>
    <t>TID_1483</t>
  </si>
  <si>
    <t>TID_1484</t>
  </si>
  <si>
    <t>TID_1485</t>
  </si>
  <si>
    <t>TID_1486</t>
  </si>
  <si>
    <t>TID_1487</t>
  </si>
  <si>
    <t>TID_1488</t>
  </si>
  <si>
    <t>TID_1489</t>
  </si>
  <si>
    <t>TID_1490</t>
  </si>
  <si>
    <t>TID_1491</t>
  </si>
  <si>
    <t>TID_1492</t>
  </si>
  <si>
    <t>TID_1493</t>
  </si>
  <si>
    <t>TID_1494</t>
  </si>
  <si>
    <t>TID_1495</t>
  </si>
  <si>
    <t>TID_1496</t>
  </si>
  <si>
    <t>TID_1497</t>
  </si>
  <si>
    <t>TID_1498</t>
  </si>
  <si>
    <t>TID_1499</t>
  </si>
  <si>
    <t>TID_1500</t>
  </si>
  <si>
    <t>TID_1501</t>
  </si>
  <si>
    <t>TID_1502</t>
  </si>
  <si>
    <t>TID_1503</t>
  </si>
  <si>
    <t>TID_1504</t>
  </si>
  <si>
    <t>TID_1505</t>
  </si>
  <si>
    <t>TID_1506</t>
  </si>
  <si>
    <t>TID_1507</t>
  </si>
  <si>
    <t>TID_1508</t>
  </si>
  <si>
    <t>TID_1509</t>
  </si>
  <si>
    <t>TID_1510</t>
  </si>
  <si>
    <t>TID_1511</t>
  </si>
  <si>
    <t>TID_1512</t>
  </si>
  <si>
    <t>TID_1513</t>
  </si>
  <si>
    <t>TID_1514</t>
  </si>
  <si>
    <t>TID_1515</t>
  </si>
  <si>
    <t>TID_1516</t>
  </si>
  <si>
    <t>TID_1517</t>
  </si>
  <si>
    <t>TID_1518</t>
  </si>
  <si>
    <t>TID_1519</t>
  </si>
  <si>
    <t>TID_1520</t>
  </si>
  <si>
    <t>TID_1521</t>
  </si>
  <si>
    <t>TID_1522</t>
  </si>
  <si>
    <t>TID_1523</t>
  </si>
  <si>
    <t>TID_1524</t>
  </si>
  <si>
    <t>TID_1525</t>
  </si>
  <si>
    <t>TID_1526</t>
  </si>
  <si>
    <t>TID_1527</t>
  </si>
  <si>
    <t>TID_1528</t>
  </si>
  <si>
    <t>TID_1529</t>
  </si>
  <si>
    <t>TID_1530</t>
  </si>
  <si>
    <t>TID_1531</t>
  </si>
  <si>
    <t>TID_1532</t>
  </si>
  <si>
    <t>TID_1533</t>
  </si>
  <si>
    <t>TID_1534</t>
  </si>
  <si>
    <t>TID_1535</t>
  </si>
  <si>
    <t>TID_1536</t>
  </si>
  <si>
    <t>TID_1537</t>
  </si>
  <si>
    <t>TID_1538</t>
  </si>
  <si>
    <t>TID_1539</t>
  </si>
  <si>
    <t>TID_1540</t>
  </si>
  <si>
    <t>TID_1541</t>
  </si>
  <si>
    <t>TID_1542</t>
  </si>
  <si>
    <t>TID_1543</t>
  </si>
  <si>
    <t>TID_1544</t>
  </si>
  <si>
    <t>TID_1545</t>
  </si>
  <si>
    <t>TID_1546</t>
  </si>
  <si>
    <t>TID_1547</t>
  </si>
  <si>
    <t>TID_1548</t>
  </si>
  <si>
    <t>TID_1549</t>
  </si>
  <si>
    <t>TID_1550</t>
  </si>
  <si>
    <t>TID_1551</t>
  </si>
  <si>
    <t>TID_1552</t>
  </si>
  <si>
    <t>TID_1553</t>
  </si>
  <si>
    <t>TID_1554</t>
  </si>
  <si>
    <t>TID_1555</t>
  </si>
  <si>
    <t>TID_1556</t>
  </si>
  <si>
    <t>TID_1557</t>
  </si>
  <si>
    <t>TID_1558</t>
  </si>
  <si>
    <t>TID_1559</t>
  </si>
  <si>
    <t>TID_1560</t>
  </si>
  <si>
    <t>TID_1561</t>
  </si>
  <si>
    <t>TID_1562</t>
  </si>
  <si>
    <t>TID_1563</t>
  </si>
  <si>
    <t>TID_1564</t>
  </si>
  <si>
    <t>TID_1565</t>
  </si>
  <si>
    <t>TID_1566</t>
  </si>
  <si>
    <t>TID_1567</t>
  </si>
  <si>
    <t>TID_1568</t>
  </si>
  <si>
    <t>TID_1569</t>
  </si>
  <si>
    <t>TID_1570</t>
  </si>
  <si>
    <t>TID_1571</t>
  </si>
  <si>
    <t>TID_1572</t>
  </si>
  <si>
    <t>TID_1573</t>
  </si>
  <si>
    <t>TID_1574</t>
  </si>
  <si>
    <t>TID_1575</t>
  </si>
  <si>
    <t>TID_1576</t>
  </si>
  <si>
    <t>TID_1577</t>
  </si>
  <si>
    <t>TID_1578</t>
  </si>
  <si>
    <t>TID_1579</t>
  </si>
  <si>
    <t>TID_1580</t>
  </si>
  <si>
    <t>TID_1581</t>
  </si>
  <si>
    <t>TID_1582</t>
  </si>
  <si>
    <t>TID_1583</t>
  </si>
  <si>
    <t>TID_1584</t>
  </si>
  <si>
    <t>TID_1585</t>
  </si>
  <si>
    <t>TID_1586</t>
  </si>
  <si>
    <t>TID_1587</t>
  </si>
  <si>
    <t>TID_1588</t>
  </si>
  <si>
    <t>TID_1589</t>
  </si>
  <si>
    <t>TID_1590</t>
  </si>
  <si>
    <t>TID_1591</t>
  </si>
  <si>
    <t>TID_1592</t>
  </si>
  <si>
    <t>TID_1593</t>
  </si>
  <si>
    <t>TID_1594</t>
  </si>
  <si>
    <t>TID_1595</t>
  </si>
  <si>
    <t>TID_1596</t>
  </si>
  <si>
    <t>TID_1597</t>
  </si>
  <si>
    <t>TID_1598</t>
  </si>
  <si>
    <t>TID_1599</t>
  </si>
  <si>
    <t>TID_1600</t>
  </si>
  <si>
    <t>TID_1601</t>
  </si>
  <si>
    <t>TID_1602</t>
  </si>
  <si>
    <t>TID_1603</t>
  </si>
  <si>
    <t>TID_1604</t>
  </si>
  <si>
    <t>TID_1605</t>
  </si>
  <si>
    <t>TID_1606</t>
  </si>
  <si>
    <t>TID_1607</t>
  </si>
  <si>
    <t>TID_1608</t>
  </si>
  <si>
    <t>TID_1609</t>
  </si>
  <si>
    <t>TID_1610</t>
  </si>
  <si>
    <t>TID_1611</t>
  </si>
  <si>
    <t>TID_1612</t>
  </si>
  <si>
    <t>TID_1613</t>
  </si>
  <si>
    <t>TID_1614</t>
  </si>
  <si>
    <t>TID_1615</t>
  </si>
  <si>
    <t>TID_1616</t>
  </si>
  <si>
    <t>TID_1617</t>
  </si>
  <si>
    <t>TID_1618</t>
  </si>
  <si>
    <t>TID_1619</t>
  </si>
  <si>
    <t>TID_1620</t>
  </si>
  <si>
    <t>TID_1621</t>
  </si>
  <si>
    <t>TID_1622</t>
  </si>
  <si>
    <t>TID_1623</t>
  </si>
  <si>
    <t>TID_1624</t>
  </si>
  <si>
    <t>TID_1625</t>
  </si>
  <si>
    <t>TID_1626</t>
  </si>
  <si>
    <t>TID_1627</t>
  </si>
  <si>
    <t>TID_1628</t>
  </si>
  <si>
    <t>TID_1629</t>
  </si>
  <si>
    <t>TID_1630</t>
  </si>
  <si>
    <t>TID_1631</t>
  </si>
  <si>
    <t>TID_1632</t>
  </si>
  <si>
    <t>TID_1633</t>
  </si>
  <si>
    <t>TID_1634</t>
  </si>
  <si>
    <t>TID_1635</t>
  </si>
  <si>
    <t>TID_1636</t>
  </si>
  <si>
    <t>TID_1637</t>
  </si>
  <si>
    <t>TID_1638</t>
  </si>
  <si>
    <t>TID_1639</t>
  </si>
  <si>
    <t>TID_1640</t>
  </si>
  <si>
    <t>TID_1641</t>
  </si>
  <si>
    <t>TID_1642</t>
  </si>
  <si>
    <t>TID_1643</t>
  </si>
  <si>
    <t>TID_1644</t>
  </si>
  <si>
    <t>TID_1645</t>
  </si>
  <si>
    <t>TID_1646</t>
  </si>
  <si>
    <t>TID_1647</t>
  </si>
  <si>
    <t>TID_1648</t>
  </si>
  <si>
    <t>TID_1649</t>
  </si>
  <si>
    <t>TID_1650</t>
  </si>
  <si>
    <t>TID_1651</t>
  </si>
  <si>
    <t>TID_1652</t>
  </si>
  <si>
    <t>TID_1653</t>
  </si>
  <si>
    <t>TID_1654</t>
  </si>
  <si>
    <t>TID_1655</t>
  </si>
  <si>
    <t>TID_1656</t>
  </si>
  <si>
    <t>TID_1657</t>
  </si>
  <si>
    <t>TID_1658</t>
  </si>
  <si>
    <t>TID_1659</t>
  </si>
  <si>
    <t>TID_1660</t>
  </si>
  <si>
    <t>TID_1661</t>
  </si>
  <si>
    <t>TID_1662</t>
  </si>
  <si>
    <t>TID_1663</t>
  </si>
  <si>
    <t>TID_1664</t>
  </si>
  <si>
    <t>TID_1665</t>
  </si>
  <si>
    <t>TID_1666</t>
  </si>
  <si>
    <t>TID_1667</t>
  </si>
  <si>
    <t>TID_1668</t>
  </si>
  <si>
    <t>TID_1669</t>
  </si>
  <si>
    <t>TID_1670</t>
  </si>
  <si>
    <t>TID_1671</t>
  </si>
  <si>
    <t>TID_1672</t>
  </si>
  <si>
    <t>TID_1673</t>
  </si>
  <si>
    <t>TID_1674</t>
  </si>
  <si>
    <t>TID_1675</t>
  </si>
  <si>
    <t>TID_1676</t>
  </si>
  <si>
    <t>TID_1677</t>
  </si>
  <si>
    <t>TID_1678</t>
  </si>
  <si>
    <t>TID_1679</t>
  </si>
  <si>
    <t>TID_1680</t>
  </si>
  <si>
    <t>TID_1681</t>
  </si>
  <si>
    <t>TID_1682</t>
  </si>
  <si>
    <t>TID_1683</t>
  </si>
  <si>
    <t>TID_1684</t>
  </si>
  <si>
    <t>TID_1685</t>
  </si>
  <si>
    <t>TID_1686</t>
  </si>
  <si>
    <t>TID_1687</t>
  </si>
  <si>
    <t>TID_1688</t>
  </si>
  <si>
    <t>TID_1689</t>
  </si>
  <si>
    <t>TID_1690</t>
  </si>
  <si>
    <t>TID_1691</t>
  </si>
  <si>
    <t>TID_1692</t>
  </si>
  <si>
    <t>TID_1693</t>
  </si>
  <si>
    <t>TID_1694</t>
  </si>
  <si>
    <t>TID_1695</t>
  </si>
  <si>
    <t>TID_1696</t>
  </si>
  <si>
    <t>TID_1697</t>
  </si>
  <si>
    <t>TID_1698</t>
  </si>
  <si>
    <t>TID_1699</t>
  </si>
  <si>
    <t>TID_1700</t>
  </si>
  <si>
    <t>TID_1701</t>
  </si>
  <si>
    <t>TID_1702</t>
  </si>
  <si>
    <t>TID_1703</t>
  </si>
  <si>
    <t>TID_1704</t>
  </si>
  <si>
    <t>TID_1705</t>
  </si>
  <si>
    <t>TID_1706</t>
  </si>
  <si>
    <t>TID_1707</t>
  </si>
  <si>
    <t>TID_1708</t>
  </si>
  <si>
    <t>TID_1709</t>
  </si>
  <si>
    <t>TID_1710</t>
  </si>
  <si>
    <t>TID_1711</t>
  </si>
  <si>
    <t>TID_1712</t>
  </si>
  <si>
    <t>TID_1713</t>
  </si>
  <si>
    <t>TID_1714</t>
  </si>
  <si>
    <t>TID_1715</t>
  </si>
  <si>
    <t>TID_1716</t>
  </si>
  <si>
    <t>TID_1717</t>
  </si>
  <si>
    <t>TID_1718</t>
  </si>
  <si>
    <t>TID_1719</t>
  </si>
  <si>
    <t>TID_1720</t>
  </si>
  <si>
    <t>TID_1721</t>
  </si>
  <si>
    <t>TID_1722</t>
  </si>
  <si>
    <t>TID_1723</t>
  </si>
  <si>
    <t>TID_1724</t>
  </si>
  <si>
    <t>TID_1725</t>
  </si>
  <si>
    <t>TID_1726</t>
  </si>
  <si>
    <t>TID_1727</t>
  </si>
  <si>
    <t>TID_1728</t>
  </si>
  <si>
    <t>TID_1729</t>
  </si>
  <si>
    <t>TID_1730</t>
  </si>
  <si>
    <t>TID_1731</t>
  </si>
  <si>
    <t>TID_1732</t>
  </si>
  <si>
    <t>TID_1733</t>
  </si>
  <si>
    <t>TID_1734</t>
  </si>
  <si>
    <t>TID_1735</t>
  </si>
  <si>
    <t>TID_1736</t>
  </si>
  <si>
    <t>TID_1737</t>
  </si>
  <si>
    <t>TID_1738</t>
  </si>
  <si>
    <t>TID_1739</t>
  </si>
  <si>
    <t>TID_1740</t>
  </si>
  <si>
    <t>TID_1741</t>
  </si>
  <si>
    <t>TID_1742</t>
  </si>
  <si>
    <t>TID_1743</t>
  </si>
  <si>
    <t>TID_1744</t>
  </si>
  <si>
    <t>TID_1745</t>
  </si>
  <si>
    <t>TID_1746</t>
  </si>
  <si>
    <t>TID_1747</t>
  </si>
  <si>
    <t>TID_1748</t>
  </si>
  <si>
    <t>TID_1749</t>
  </si>
  <si>
    <t>TID_1750</t>
  </si>
  <si>
    <t>TID_1751</t>
  </si>
  <si>
    <t>TID_1752</t>
  </si>
  <si>
    <t>TID_1753</t>
  </si>
  <si>
    <t>TID_1754</t>
  </si>
  <si>
    <t>TID_1755</t>
  </si>
  <si>
    <t>TID_1756</t>
  </si>
  <si>
    <t>TID_1757</t>
  </si>
  <si>
    <t>TID_1758</t>
  </si>
  <si>
    <t>TID_1759</t>
  </si>
  <si>
    <t>TID_1760</t>
  </si>
  <si>
    <t>TID_1761</t>
  </si>
  <si>
    <t>TID_1762</t>
  </si>
  <si>
    <t>TID_1763</t>
  </si>
  <si>
    <t>TID_1764</t>
  </si>
  <si>
    <t>TID_1765</t>
  </si>
  <si>
    <t>TID_1766</t>
  </si>
  <si>
    <t>TID_1767</t>
  </si>
  <si>
    <t>TID_1768</t>
  </si>
  <si>
    <t>TID_1769</t>
  </si>
  <si>
    <t>TID_1770</t>
  </si>
  <si>
    <t>TID_1771</t>
  </si>
  <si>
    <t>TID_1772</t>
  </si>
  <si>
    <t>TID_1773</t>
  </si>
  <si>
    <t>TID_1774</t>
  </si>
  <si>
    <t>TID_1775</t>
  </si>
  <si>
    <t>TID_1776</t>
  </si>
  <si>
    <t>TID_1777</t>
  </si>
  <si>
    <t>TID_1778</t>
  </si>
  <si>
    <t>TID_1779</t>
  </si>
  <si>
    <t>TID_1780</t>
  </si>
  <si>
    <t>TID_1781</t>
  </si>
  <si>
    <t>TID_1782</t>
  </si>
  <si>
    <t>TID_1783</t>
  </si>
  <si>
    <t>TID_1784</t>
  </si>
  <si>
    <t>TID_1785</t>
  </si>
  <si>
    <t>TID_1786</t>
  </si>
  <si>
    <t>TID_1787</t>
  </si>
  <si>
    <t>TID_1788</t>
  </si>
  <si>
    <t>TID_1789</t>
  </si>
  <si>
    <t>TID_1790</t>
  </si>
  <si>
    <t>TID_1791</t>
  </si>
  <si>
    <t>TID_1792</t>
  </si>
  <si>
    <t>TID_1793</t>
  </si>
  <si>
    <t>TID_1794</t>
  </si>
  <si>
    <t>TID_1795</t>
  </si>
  <si>
    <t>TID_1796</t>
  </si>
  <si>
    <t>TID_1797</t>
  </si>
  <si>
    <t>TID_1798</t>
  </si>
  <si>
    <t>TID_1799</t>
  </si>
  <si>
    <t>TID_1800</t>
  </si>
  <si>
    <t>TID_1801</t>
  </si>
  <si>
    <t>TID_1802</t>
  </si>
  <si>
    <t>TID_1803</t>
  </si>
  <si>
    <t>TID_1804</t>
  </si>
  <si>
    <t>TID_1805</t>
  </si>
  <si>
    <t>TID_1806</t>
  </si>
  <si>
    <t>TID_1807</t>
  </si>
  <si>
    <t>TID_1808</t>
  </si>
  <si>
    <t>TID_1809</t>
  </si>
  <si>
    <t>TID_1810</t>
  </si>
  <si>
    <t>TID_1811</t>
  </si>
  <si>
    <t>TID_1812</t>
  </si>
  <si>
    <t>TID_1813</t>
  </si>
  <si>
    <t>TID_1814</t>
  </si>
  <si>
    <t>TID_1815</t>
  </si>
  <si>
    <t>TID_1816</t>
  </si>
  <si>
    <t>TID_1817</t>
  </si>
  <si>
    <t>TID_1818</t>
  </si>
  <si>
    <t>TID_1819</t>
  </si>
  <si>
    <t>TID_1820</t>
  </si>
  <si>
    <t>TID_1821</t>
  </si>
  <si>
    <t>TID_1822</t>
  </si>
  <si>
    <t>TID_1823</t>
  </si>
  <si>
    <t>TID_1824</t>
  </si>
  <si>
    <t>TID_1825</t>
  </si>
  <si>
    <t>TID_1826</t>
  </si>
  <si>
    <t>TID_1827</t>
  </si>
  <si>
    <t>TID_1828</t>
  </si>
  <si>
    <t>TID_1829</t>
  </si>
  <si>
    <t>TID_1830</t>
  </si>
  <si>
    <t>TID_1831</t>
  </si>
  <si>
    <t>TID_1832</t>
  </si>
  <si>
    <t>TID_1833</t>
  </si>
  <si>
    <t>TID_1834</t>
  </si>
  <si>
    <t>TID_1835</t>
  </si>
  <si>
    <t>TID_1836</t>
  </si>
  <si>
    <t>TID_1837</t>
  </si>
  <si>
    <t>TID_1838</t>
  </si>
  <si>
    <t>TID_1839</t>
  </si>
  <si>
    <t>TID_1840</t>
  </si>
  <si>
    <t>TID_1841</t>
  </si>
  <si>
    <t>TID_1842</t>
  </si>
  <si>
    <t>TID_1843</t>
  </si>
  <si>
    <t>TID_1844</t>
  </si>
  <si>
    <t>TID_1845</t>
  </si>
  <si>
    <t>TID_1846</t>
  </si>
  <si>
    <t>TID_1847</t>
  </si>
  <si>
    <t>TID_1848</t>
  </si>
  <si>
    <t>TID_1849</t>
  </si>
  <si>
    <t>TID_1850</t>
  </si>
  <si>
    <t>TID_1851</t>
  </si>
  <si>
    <t>TID_1852</t>
  </si>
  <si>
    <t>TID_1853</t>
  </si>
  <si>
    <t>TID_1854</t>
  </si>
  <si>
    <t>TID_1855</t>
  </si>
  <si>
    <t>TID_1856</t>
  </si>
  <si>
    <t>TID_1857</t>
  </si>
  <si>
    <t>TID_1858</t>
  </si>
  <si>
    <t>TID_1859</t>
  </si>
  <si>
    <t>TID_1860</t>
  </si>
  <si>
    <t>TID_1861</t>
  </si>
  <si>
    <t>TID_1862</t>
  </si>
  <si>
    <t>TID_1863</t>
  </si>
  <si>
    <t>TID_1864</t>
  </si>
  <si>
    <t>TID_1865</t>
  </si>
  <si>
    <t>TID_1866</t>
  </si>
  <si>
    <t>TID_1867</t>
  </si>
  <si>
    <t>TID_1868</t>
  </si>
  <si>
    <t>TID_1869</t>
  </si>
  <si>
    <t>TID_1870</t>
  </si>
  <si>
    <t>TID_1871</t>
  </si>
  <si>
    <t>TID_1872</t>
  </si>
  <si>
    <t>TID_1873</t>
  </si>
  <si>
    <t>TID_1874</t>
  </si>
  <si>
    <t>TID_1875</t>
  </si>
  <si>
    <t>TID_1876</t>
  </si>
  <si>
    <t>TID_1877</t>
  </si>
  <si>
    <t>TID_1878</t>
  </si>
  <si>
    <t>TID_1879</t>
  </si>
  <si>
    <t>TID_1880</t>
  </si>
  <si>
    <t>TID_1881</t>
  </si>
  <si>
    <t>TID_1882</t>
  </si>
  <si>
    <t>TID_1883</t>
  </si>
  <si>
    <t>TID_1884</t>
  </si>
  <si>
    <t>TID_1885</t>
  </si>
  <si>
    <t>TID_1886</t>
  </si>
  <si>
    <t>TID_1887</t>
  </si>
  <si>
    <t>TID_1888</t>
  </si>
  <si>
    <t>TID_1889</t>
  </si>
  <si>
    <t>TID_1890</t>
  </si>
  <si>
    <t>TID_1891</t>
  </si>
  <si>
    <t>TID_1892</t>
  </si>
  <si>
    <t>TID_1893</t>
  </si>
  <si>
    <t>TID_1894</t>
  </si>
  <si>
    <t>TID_1895</t>
  </si>
  <si>
    <t>TID_1896</t>
  </si>
  <si>
    <t>TID_1897</t>
  </si>
  <si>
    <t>TID_1898</t>
  </si>
  <si>
    <t>TID_1899</t>
  </si>
  <si>
    <t>TID_1900</t>
  </si>
  <si>
    <t>TID_1901</t>
  </si>
  <si>
    <t>TID_1902</t>
  </si>
  <si>
    <t>TID_1903</t>
  </si>
  <si>
    <t>TID_1904</t>
  </si>
  <si>
    <t>TID_1905</t>
  </si>
  <si>
    <t>TID_1906</t>
  </si>
  <si>
    <t>TID_1907</t>
  </si>
  <si>
    <t>TID_1908</t>
  </si>
  <si>
    <t>TID_1909</t>
  </si>
  <si>
    <t>TID_1910</t>
  </si>
  <si>
    <t>TID_1911</t>
  </si>
  <si>
    <t>TID_1912</t>
  </si>
  <si>
    <t>TID_1913</t>
  </si>
  <si>
    <t>TID_1914</t>
  </si>
  <si>
    <t>TID_1915</t>
  </si>
  <si>
    <t>TID_1916</t>
  </si>
  <si>
    <t>TID_1917</t>
  </si>
  <si>
    <t>TID_1918</t>
  </si>
  <si>
    <t>TID_1919</t>
  </si>
  <si>
    <t>TID_1920</t>
  </si>
  <si>
    <t>TID_1921</t>
  </si>
  <si>
    <t>TID_1922</t>
  </si>
  <si>
    <t>TID_1923</t>
  </si>
  <si>
    <t>TID_1924</t>
  </si>
  <si>
    <t>TID_1925</t>
  </si>
  <si>
    <t>TID_1926</t>
  </si>
  <si>
    <t>TID_1927</t>
  </si>
  <si>
    <t>TID_1928</t>
  </si>
  <si>
    <t>TID_1929</t>
  </si>
  <si>
    <t>TID_1930</t>
  </si>
  <si>
    <t>TID_1931</t>
  </si>
  <si>
    <t>TID_1932</t>
  </si>
  <si>
    <t>TID_1933</t>
  </si>
  <si>
    <t>TID_1934</t>
  </si>
  <si>
    <t>TID_1935</t>
  </si>
  <si>
    <t>TID_1936</t>
  </si>
  <si>
    <t>TID_1937</t>
  </si>
  <si>
    <t>TID_1938</t>
  </si>
  <si>
    <t>TID_1939</t>
  </si>
  <si>
    <t>TID_1940</t>
  </si>
  <si>
    <t>TID_1941</t>
  </si>
  <si>
    <t>TID_1942</t>
  </si>
  <si>
    <t>TID_1943</t>
  </si>
  <si>
    <t>TID_1944</t>
  </si>
  <si>
    <t>TID_1945</t>
  </si>
  <si>
    <t>TID_1946</t>
  </si>
  <si>
    <t>TID_1947</t>
  </si>
  <si>
    <t>TID_1948</t>
  </si>
  <si>
    <t>TID_1949</t>
  </si>
  <si>
    <t>TID_1950</t>
  </si>
  <si>
    <t>TID_1951</t>
  </si>
  <si>
    <t>TID_1952</t>
  </si>
  <si>
    <t>TID_1953</t>
  </si>
  <si>
    <t>TID_1954</t>
  </si>
  <si>
    <t>TID_1955</t>
  </si>
  <si>
    <t>TID_1956</t>
  </si>
  <si>
    <t>TID_1957</t>
  </si>
  <si>
    <t>TID_1958</t>
  </si>
  <si>
    <t>TID_1959</t>
  </si>
  <si>
    <t>TID_1960</t>
  </si>
  <si>
    <t>TID_1961</t>
  </si>
  <si>
    <t>TID_1962</t>
  </si>
  <si>
    <t>TID_1963</t>
  </si>
  <si>
    <t>TID_1964</t>
  </si>
  <si>
    <t>TID_1965</t>
  </si>
  <si>
    <t>TID_1966</t>
  </si>
  <si>
    <t>TID_1967</t>
  </si>
  <si>
    <t>TID_1968</t>
  </si>
  <si>
    <t>TID_1969</t>
  </si>
  <si>
    <t>TID_1970</t>
  </si>
  <si>
    <t>TID_1971</t>
  </si>
  <si>
    <t>TID_1972</t>
  </si>
  <si>
    <t>TID_1973</t>
  </si>
  <si>
    <t>TID_1974</t>
  </si>
  <si>
    <t>TID_1975</t>
  </si>
  <si>
    <t>TID_1976</t>
  </si>
  <si>
    <t>TID_1977</t>
  </si>
  <si>
    <t>TID_1978</t>
  </si>
  <si>
    <t>TID_1979</t>
  </si>
  <si>
    <t>TID_1980</t>
  </si>
  <si>
    <t>TID_1981</t>
  </si>
  <si>
    <t>TID_1982</t>
  </si>
  <si>
    <t>TID_1983</t>
  </si>
  <si>
    <t>TID_1984</t>
  </si>
  <si>
    <t>TID_1985</t>
  </si>
  <si>
    <t>TID_1986</t>
  </si>
  <si>
    <t>TID_1987</t>
  </si>
  <si>
    <t>TID_1988</t>
  </si>
  <si>
    <t>TID_1989</t>
  </si>
  <si>
    <t>TID_1990</t>
  </si>
  <si>
    <t>TID_1991</t>
  </si>
  <si>
    <t>TID_1992</t>
  </si>
  <si>
    <t>TID_1993</t>
  </si>
  <si>
    <t>TID_1994</t>
  </si>
  <si>
    <t>TID_1995</t>
  </si>
  <si>
    <t>TID_1996</t>
  </si>
  <si>
    <t>TID_1997</t>
  </si>
  <si>
    <t>TID_1998</t>
  </si>
  <si>
    <t>TID_1999</t>
  </si>
  <si>
    <t>TID_2000</t>
  </si>
  <si>
    <t>Continent</t>
  </si>
  <si>
    <t>Country Length</t>
  </si>
  <si>
    <t>Continent Length</t>
  </si>
  <si>
    <t>Product Length</t>
  </si>
  <si>
    <t>Sales Team Length</t>
  </si>
  <si>
    <t>Rating</t>
  </si>
  <si>
    <t>Unit Price (in USD)</t>
  </si>
  <si>
    <t>Total Sales (in USD)</t>
  </si>
  <si>
    <t>Net Sales (after discount) (in USD)</t>
  </si>
  <si>
    <t>Net Sales Std Dev from Mean Total Sales (in USD)</t>
  </si>
  <si>
    <t>Sales Quarter</t>
  </si>
  <si>
    <t>Sales Year</t>
  </si>
  <si>
    <t>Mean</t>
  </si>
  <si>
    <t>Median</t>
  </si>
  <si>
    <t>Customer's Age</t>
  </si>
  <si>
    <t>Covariance between Total Sales and Unit Price</t>
  </si>
  <si>
    <t>Product-wise Summary</t>
  </si>
  <si>
    <t>Grand Total</t>
  </si>
  <si>
    <t>Count of Units Sold</t>
  </si>
  <si>
    <t>Sum of Total Sales (in USD)</t>
  </si>
  <si>
    <t>Average</t>
  </si>
  <si>
    <t>Critical</t>
  </si>
  <si>
    <t>Excellent</t>
  </si>
  <si>
    <t>High</t>
  </si>
  <si>
    <t>Low</t>
  </si>
  <si>
    <t>Outstanding</t>
  </si>
  <si>
    <t>Poor</t>
  </si>
  <si>
    <t>Region-wise Summary</t>
  </si>
  <si>
    <t>Total</t>
  </si>
  <si>
    <t>Asia</t>
  </si>
  <si>
    <t>Oceania</t>
  </si>
  <si>
    <t>Column Labels</t>
  </si>
  <si>
    <t>Row Labels</t>
  </si>
  <si>
    <t>Note: hold Ctrl to select multiple slicer buttons for multiple Data Visualisations and to see comparison between countries or products, need to tweek the pivot table to display in relavant format</t>
  </si>
  <si>
    <t>Australia Total</t>
  </si>
  <si>
    <t>Brazil Total</t>
  </si>
  <si>
    <t>Canada Total</t>
  </si>
  <si>
    <t>China Total</t>
  </si>
  <si>
    <t>France Total</t>
  </si>
  <si>
    <t>Germany Total</t>
  </si>
  <si>
    <t>India Total</t>
  </si>
  <si>
    <t>Japan Total</t>
  </si>
  <si>
    <t>UK Total</t>
  </si>
  <si>
    <t>USA Total</t>
  </si>
  <si>
    <t>FALSE</t>
  </si>
  <si>
    <t>TRUE</t>
  </si>
  <si>
    <t>Sum of Units Sold</t>
  </si>
  <si>
    <t>Q1</t>
  </si>
  <si>
    <t>Q1 Total</t>
  </si>
  <si>
    <t>Q2</t>
  </si>
  <si>
    <t>Q2 Total</t>
  </si>
  <si>
    <t>Q3</t>
  </si>
  <si>
    <t>Q3 Total</t>
  </si>
  <si>
    <t>Q4</t>
  </si>
  <si>
    <t>Q4 Total</t>
  </si>
  <si>
    <t>Asia Total</t>
  </si>
  <si>
    <t>Europe Total</t>
  </si>
  <si>
    <t>North America Total</t>
  </si>
  <si>
    <t>Oceania Total</t>
  </si>
  <si>
    <t>South America Total</t>
  </si>
  <si>
    <t>Data Retrival for TID_700 (with Copilot)</t>
  </si>
  <si>
    <t>Country: Japan</t>
  </si>
  <si>
    <t>Product: Laptop</t>
  </si>
  <si>
    <t>Brand: BrandC</t>
  </si>
  <si>
    <t>Region: Asia-Pacific</t>
  </si>
  <si>
    <t>Sales Team: Team Alpha</t>
  </si>
  <si>
    <t>Units Sold: 97</t>
  </si>
  <si>
    <t>Unit Price: 1,499</t>
  </si>
  <si>
    <t>Target Sales: 145,429</t>
  </si>
  <si>
    <t>Total Sales: 145,429</t>
  </si>
  <si>
    <t>Net Sales (after discount): 115,151</t>
  </si>
  <si>
    <t>Net Sales Std Dev from Mean Total Sales: 78,639</t>
  </si>
  <si>
    <t>Sales Target Achieved: TRUE</t>
  </si>
  <si>
    <t>Discount Percentage (%): 21</t>
  </si>
  <si>
    <t>Discount Applied: TRUE</t>
  </si>
  <si>
    <t>Sales Date: 10/31/2024</t>
  </si>
  <si>
    <t>Sales Quarter: Q4</t>
  </si>
  <si>
    <t>Sales Year: 2024</t>
  </si>
  <si>
    <t>Customer Age: 26</t>
  </si>
  <si>
    <t>Customer Gender: Female</t>
  </si>
  <si>
    <t>Payment Method: Credit Card</t>
  </si>
  <si>
    <t>Return Status: Not Returned</t>
  </si>
  <si>
    <r>
      <rPr>
        <sz val="11"/>
        <color rgb="FF242424"/>
        <rFont val="Segoe UI"/>
        <family val="2"/>
      </rPr>
      <t>Transaction ID </t>
    </r>
    <r>
      <rPr>
        <b/>
        <sz val="11"/>
        <color rgb="FF242424"/>
        <rFont val="Segoe UI"/>
        <family val="2"/>
      </rPr>
      <t>TID_2500</t>
    </r>
    <r>
      <rPr>
        <sz val="11"/>
        <color rgb="FF242424"/>
        <rFont val="Segoe UI"/>
        <family val="2"/>
      </rPr>
      <t> does not exist in the "Electronic Products Process" table (Table22). The table only goes up to TID_2001. Please check the Transaction ID and try again.</t>
    </r>
  </si>
  <si>
    <t>Units Sold and Sales Value for Each Rating</t>
  </si>
  <si>
    <t>Team Alpha Total</t>
  </si>
  <si>
    <t>Team Beta Total</t>
  </si>
  <si>
    <t>Team Delta Total</t>
  </si>
  <si>
    <t>Team Gamma Total</t>
  </si>
  <si>
    <t>count</t>
  </si>
  <si>
    <t>To identify the top three areas for improvement, it is important to analyze the available summary tables for patterns of underperformance. The 'Rating' summary provides insight into customer satisfaction, while the product-wise and region-wise summaries reveal sales distribution. Areas with the lowest ratings, lowest sales, or highest counts of negative feedback are likely candidates for improvement. The next step will be to examine the 'Rating' table for the lowest performing categories and cross-reference with product and region summaries to pinpoint specific areas.</t>
  </si>
  <si>
    <t>The top three areas for improvement are: 1) addressing the high number of units sold with low customer ratings (Critical, Low, and Poor), 2) increasing sales for Headphones, which have the lowest total sales among products, and 3) boosting sales in Oceania, the region with the lowest total sales. Focusing on these areas could help improve overall performance.</t>
  </si>
  <si>
    <t>Products</t>
  </si>
  <si>
    <t>Sum of Unit Price (in USD)</t>
  </si>
  <si>
    <t>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</si>
</sst>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yyyy/mm/dd"/>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0"/>
      <name val="Arial"/>
      <family val="2"/>
    </font>
    <font>
      <sz val="11"/>
      <color theme="1"/>
      <name val="Arial"/>
      <family val="2"/>
    </font>
    <font>
      <sz val="8"/>
      <name val="Aptos Narrow"/>
      <family val="2"/>
      <scheme val="minor"/>
    </font>
    <font>
      <b/>
      <sz val="11"/>
      <color theme="1"/>
      <name val="Arial"/>
      <family val="2"/>
    </font>
    <font>
      <sz val="11"/>
      <color rgb="FF242424"/>
      <name val="Segoe UI"/>
      <family val="2"/>
    </font>
    <font>
      <b/>
      <sz val="11"/>
      <color rgb="FF242424"/>
      <name val="Segoe UI"/>
      <family val="2"/>
    </font>
    <font>
      <sz val="11"/>
      <color theme="1"/>
      <name val="Segoe UI"/>
      <family val="2"/>
    </font>
    <font>
      <sz val="9"/>
      <color theme="1"/>
      <name val="Segoe UI"/>
      <family val="2"/>
    </font>
    <font>
      <sz val="12"/>
      <color theme="1"/>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6" tint="0.59999389629810485"/>
        <bgColor indexed="64"/>
      </patternFill>
    </fill>
    <fill>
      <patternFill patternType="solid">
        <fgColor theme="7" tint="0.7999816888943144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1">
    <xf numFmtId="0" fontId="0" fillId="0" borderId="0" xfId="0"/>
    <xf numFmtId="0" fontId="18" fillId="33" borderId="13" xfId="0" applyFont="1" applyFill="1" applyBorder="1" applyAlignment="1">
      <alignment horizontal="center" vertical="center"/>
    </xf>
    <xf numFmtId="0" fontId="18" fillId="33" borderId="14" xfId="0" applyFont="1" applyFill="1" applyBorder="1" applyAlignment="1">
      <alignment horizontal="center" vertical="center"/>
    </xf>
    <xf numFmtId="164" fontId="18" fillId="33" borderId="14" xfId="0" applyNumberFormat="1" applyFont="1" applyFill="1" applyBorder="1" applyAlignment="1">
      <alignment horizontal="center" vertical="center"/>
    </xf>
    <xf numFmtId="0" fontId="18" fillId="33" borderId="15" xfId="0" applyFont="1" applyFill="1" applyBorder="1" applyAlignment="1">
      <alignment horizontal="center" vertical="center"/>
    </xf>
    <xf numFmtId="0" fontId="19" fillId="0" borderId="16" xfId="0" applyFont="1" applyBorder="1" applyAlignment="1">
      <alignment horizontal="left"/>
    </xf>
    <xf numFmtId="0" fontId="19" fillId="0" borderId="10" xfId="0" applyFont="1" applyBorder="1" applyAlignment="1">
      <alignment horizontal="left"/>
    </xf>
    <xf numFmtId="164" fontId="19" fillId="0" borderId="10" xfId="0" applyNumberFormat="1" applyFont="1" applyBorder="1" applyAlignment="1">
      <alignment horizontal="left"/>
    </xf>
    <xf numFmtId="14" fontId="19" fillId="0" borderId="10" xfId="0" applyNumberFormat="1" applyFont="1" applyBorder="1" applyAlignment="1">
      <alignment horizontal="left"/>
    </xf>
    <xf numFmtId="0" fontId="19" fillId="0" borderId="17" xfId="0" applyFont="1" applyBorder="1" applyAlignment="1">
      <alignment horizontal="left"/>
    </xf>
    <xf numFmtId="0" fontId="19" fillId="0" borderId="12" xfId="0" applyFont="1" applyBorder="1" applyAlignment="1">
      <alignment horizontal="left"/>
    </xf>
    <xf numFmtId="0" fontId="19" fillId="0" borderId="18" xfId="0" applyFont="1" applyBorder="1" applyAlignment="1">
      <alignment horizontal="left"/>
    </xf>
    <xf numFmtId="164" fontId="19" fillId="0" borderId="18" xfId="0" applyNumberFormat="1" applyFont="1" applyBorder="1" applyAlignment="1">
      <alignment horizontal="left"/>
    </xf>
    <xf numFmtId="14" fontId="19" fillId="0" borderId="18" xfId="0" applyNumberFormat="1" applyFont="1" applyBorder="1" applyAlignment="1">
      <alignment horizontal="left"/>
    </xf>
    <xf numFmtId="0" fontId="19" fillId="0" borderId="11" xfId="0" applyFont="1" applyBorder="1" applyAlignment="1">
      <alignment horizontal="left"/>
    </xf>
    <xf numFmtId="0" fontId="19" fillId="0" borderId="0" xfId="0" applyFont="1"/>
    <xf numFmtId="164" fontId="19" fillId="0" borderId="0" xfId="0" applyNumberFormat="1" applyFont="1"/>
    <xf numFmtId="0" fontId="19" fillId="0" borderId="16" xfId="0" applyFont="1" applyBorder="1" applyAlignment="1">
      <alignment horizontal="left" vertical="center"/>
    </xf>
    <xf numFmtId="0" fontId="19" fillId="0" borderId="10" xfId="0" applyFont="1" applyBorder="1" applyAlignment="1">
      <alignment horizontal="left" vertical="center"/>
    </xf>
    <xf numFmtId="0" fontId="19" fillId="0" borderId="17" xfId="0" applyFont="1" applyBorder="1" applyAlignment="1">
      <alignment horizontal="left" vertical="center"/>
    </xf>
    <xf numFmtId="0" fontId="19" fillId="0" borderId="12" xfId="0" applyFont="1" applyBorder="1" applyAlignment="1">
      <alignment horizontal="left" vertical="center"/>
    </xf>
    <xf numFmtId="0" fontId="19" fillId="0" borderId="18" xfId="0" applyFont="1" applyBorder="1" applyAlignment="1">
      <alignment horizontal="left" vertical="center"/>
    </xf>
    <xf numFmtId="0" fontId="19" fillId="0" borderId="11" xfId="0" applyFont="1" applyBorder="1" applyAlignment="1">
      <alignment horizontal="left" vertical="center"/>
    </xf>
    <xf numFmtId="0" fontId="19" fillId="0" borderId="10" xfId="0" applyFont="1" applyBorder="1" applyAlignment="1">
      <alignment horizontal="right" vertical="center"/>
    </xf>
    <xf numFmtId="0" fontId="19" fillId="0" borderId="18" xfId="0" applyFont="1" applyBorder="1" applyAlignment="1">
      <alignment horizontal="right" vertical="center"/>
    </xf>
    <xf numFmtId="14" fontId="19" fillId="0" borderId="10" xfId="0" applyNumberFormat="1" applyFont="1" applyBorder="1" applyAlignment="1">
      <alignment horizontal="right" vertical="center"/>
    </xf>
    <xf numFmtId="14" fontId="19" fillId="0" borderId="18" xfId="0" applyNumberFormat="1" applyFont="1" applyBorder="1" applyAlignment="1">
      <alignment horizontal="right" vertical="center"/>
    </xf>
    <xf numFmtId="0" fontId="0" fillId="0" borderId="0" xfId="0" pivotButton="1"/>
    <xf numFmtId="3" fontId="0" fillId="0" borderId="0" xfId="0" applyNumberFormat="1"/>
    <xf numFmtId="3" fontId="19" fillId="0" borderId="10" xfId="0" applyNumberFormat="1" applyFont="1" applyBorder="1" applyAlignment="1">
      <alignment horizontal="right" vertical="center"/>
    </xf>
    <xf numFmtId="3" fontId="19" fillId="0" borderId="18" xfId="0" applyNumberFormat="1" applyFont="1" applyBorder="1" applyAlignment="1">
      <alignment horizontal="right" vertical="center"/>
    </xf>
    <xf numFmtId="0" fontId="21" fillId="0" borderId="12" xfId="0" applyFont="1" applyBorder="1" applyAlignment="1">
      <alignment horizontal="left" vertical="center"/>
    </xf>
    <xf numFmtId="0" fontId="21" fillId="0" borderId="18" xfId="0" applyFont="1" applyBorder="1" applyAlignment="1">
      <alignment horizontal="left" vertical="center"/>
    </xf>
    <xf numFmtId="3" fontId="21" fillId="0" borderId="18" xfId="0" applyNumberFormat="1" applyFont="1" applyBorder="1" applyAlignment="1">
      <alignment horizontal="right" vertical="center"/>
    </xf>
    <xf numFmtId="165" fontId="21" fillId="0" borderId="18" xfId="0" applyNumberFormat="1" applyFont="1" applyBorder="1" applyAlignment="1">
      <alignment horizontal="right" vertical="center"/>
    </xf>
    <xf numFmtId="0" fontId="21" fillId="0" borderId="18" xfId="0" applyFont="1" applyBorder="1" applyAlignment="1">
      <alignment horizontal="right" vertical="center"/>
    </xf>
    <xf numFmtId="0" fontId="21" fillId="0" borderId="11" xfId="0" applyFont="1" applyBorder="1" applyAlignment="1">
      <alignment horizontal="left" vertical="center"/>
    </xf>
    <xf numFmtId="1" fontId="21" fillId="0" borderId="18" xfId="0" applyNumberFormat="1" applyFont="1" applyBorder="1" applyAlignment="1">
      <alignment horizontal="right" vertical="center"/>
    </xf>
    <xf numFmtId="0" fontId="19" fillId="0" borderId="19" xfId="0" applyFont="1" applyBorder="1"/>
    <xf numFmtId="0" fontId="19" fillId="0" borderId="21" xfId="0" applyFont="1" applyBorder="1"/>
    <xf numFmtId="1" fontId="19" fillId="0" borderId="10" xfId="0" applyNumberFormat="1" applyFont="1" applyBorder="1" applyAlignment="1">
      <alignment horizontal="right" vertical="center"/>
    </xf>
    <xf numFmtId="1" fontId="19" fillId="0" borderId="18" xfId="0" applyNumberFormat="1" applyFont="1" applyBorder="1" applyAlignment="1">
      <alignment horizontal="right" vertical="center"/>
    </xf>
    <xf numFmtId="0" fontId="21" fillId="0" borderId="24" xfId="0" applyFont="1" applyBorder="1" applyAlignment="1">
      <alignment horizontal="left" vertical="center"/>
    </xf>
    <xf numFmtId="3" fontId="19" fillId="0" borderId="14" xfId="0" applyNumberFormat="1" applyFont="1" applyBorder="1" applyAlignment="1">
      <alignment horizontal="right" vertical="center"/>
    </xf>
    <xf numFmtId="0" fontId="16" fillId="0" borderId="0" xfId="0" applyFont="1"/>
    <xf numFmtId="0" fontId="22" fillId="0" borderId="0" xfId="0" applyFont="1" applyAlignment="1">
      <alignment wrapText="1"/>
    </xf>
    <xf numFmtId="164" fontId="18" fillId="33" borderId="14" xfId="0" applyNumberFormat="1" applyFont="1" applyFill="1" applyBorder="1" applyAlignment="1">
      <alignment horizontal="center" vertical="center" wrapText="1"/>
    </xf>
    <xf numFmtId="0" fontId="18" fillId="33" borderId="23" xfId="0" applyFont="1" applyFill="1" applyBorder="1" applyAlignment="1">
      <alignment horizontal="center" vertical="center" wrapText="1"/>
    </xf>
    <xf numFmtId="0" fontId="18" fillId="33" borderId="14" xfId="0" applyFont="1" applyFill="1" applyBorder="1" applyAlignment="1">
      <alignment horizontal="center" vertical="center" wrapText="1"/>
    </xf>
    <xf numFmtId="1" fontId="19" fillId="0" borderId="19" xfId="0" applyNumberFormat="1" applyFont="1" applyBorder="1"/>
    <xf numFmtId="3" fontId="19" fillId="0" borderId="19" xfId="0" applyNumberFormat="1" applyFont="1" applyBorder="1"/>
    <xf numFmtId="0" fontId="19" fillId="0" borderId="19" xfId="0" applyFont="1" applyBorder="1" applyAlignment="1">
      <alignment wrapText="1"/>
    </xf>
    <xf numFmtId="0" fontId="19" fillId="0" borderId="22" xfId="0" applyFont="1" applyBorder="1" applyAlignment="1">
      <alignment horizontal="center" vertical="center"/>
    </xf>
    <xf numFmtId="0" fontId="19" fillId="0" borderId="21" xfId="0" applyFont="1" applyBorder="1" applyAlignment="1">
      <alignment horizontal="center" vertical="center"/>
    </xf>
    <xf numFmtId="3" fontId="19" fillId="0" borderId="19" xfId="0" applyNumberFormat="1" applyFont="1" applyBorder="1" applyAlignment="1">
      <alignment vertical="center"/>
    </xf>
    <xf numFmtId="1" fontId="0" fillId="0" borderId="0" xfId="0" applyNumberFormat="1"/>
    <xf numFmtId="0" fontId="18" fillId="33" borderId="25" xfId="0" applyFont="1" applyFill="1" applyBorder="1" applyAlignment="1">
      <alignment horizontal="center" vertical="center" wrapText="1"/>
    </xf>
    <xf numFmtId="0" fontId="0" fillId="0" borderId="0" xfId="0" applyAlignment="1">
      <alignment horizontal="left"/>
    </xf>
    <xf numFmtId="3" fontId="0" fillId="0" borderId="10" xfId="0" applyNumberFormat="1" applyBorder="1" applyAlignment="1">
      <alignment horizontal="right" vertical="center"/>
    </xf>
    <xf numFmtId="0" fontId="16" fillId="0" borderId="10" xfId="0" applyFont="1" applyBorder="1" applyAlignment="1">
      <alignment horizontal="left" vertical="center"/>
    </xf>
    <xf numFmtId="3" fontId="16" fillId="0" borderId="10" xfId="0" applyNumberFormat="1" applyFont="1" applyBorder="1" applyAlignment="1">
      <alignment horizontal="right" vertical="center"/>
    </xf>
    <xf numFmtId="0" fontId="16" fillId="0" borderId="10" xfId="0" applyFont="1" applyBorder="1" applyAlignment="1">
      <alignment horizontal="center" vertical="center"/>
    </xf>
    <xf numFmtId="0" fontId="18" fillId="33" borderId="25" xfId="0" applyFont="1" applyFill="1" applyBorder="1" applyAlignment="1">
      <alignment horizontal="center" vertical="center"/>
    </xf>
    <xf numFmtId="0" fontId="19" fillId="0" borderId="19" xfId="0" applyFont="1" applyBorder="1" applyAlignment="1">
      <alignment horizontal="left" vertical="center"/>
    </xf>
    <xf numFmtId="1" fontId="19" fillId="0" borderId="19" xfId="0" applyNumberFormat="1" applyFont="1" applyBorder="1" applyAlignment="1">
      <alignment horizontal="right" vertical="center"/>
    </xf>
    <xf numFmtId="0" fontId="19" fillId="0" borderId="19" xfId="0" applyFont="1" applyBorder="1" applyAlignment="1">
      <alignment horizontal="right" vertical="center"/>
    </xf>
    <xf numFmtId="3" fontId="19" fillId="0" borderId="20" xfId="0" applyNumberFormat="1" applyFont="1" applyBorder="1" applyAlignment="1">
      <alignment horizontal="right" vertical="center"/>
    </xf>
    <xf numFmtId="0" fontId="0" fillId="0" borderId="10" xfId="0" applyBorder="1" applyAlignment="1">
      <alignment horizontal="left" vertical="center"/>
    </xf>
    <xf numFmtId="0" fontId="24" fillId="0" borderId="0" xfId="0" applyFont="1" applyAlignment="1">
      <alignment horizontal="left" vertical="center"/>
    </xf>
    <xf numFmtId="0" fontId="25" fillId="0" borderId="0" xfId="0" applyFont="1" applyAlignment="1">
      <alignment horizontal="left" vertical="center"/>
    </xf>
    <xf numFmtId="0" fontId="16" fillId="0" borderId="10" xfId="0" applyFont="1" applyBorder="1" applyAlignment="1">
      <alignment horizontal="center" vertical="center" wrapText="1"/>
    </xf>
    <xf numFmtId="0" fontId="0" fillId="0" borderId="10" xfId="0" applyBorder="1"/>
    <xf numFmtId="0" fontId="16" fillId="0" borderId="10" xfId="0" applyFont="1" applyBorder="1"/>
    <xf numFmtId="3" fontId="0" fillId="0" borderId="10" xfId="0" applyNumberFormat="1" applyBorder="1"/>
    <xf numFmtId="3" fontId="16" fillId="0" borderId="10" xfId="0" applyNumberFormat="1" applyFont="1" applyBorder="1"/>
    <xf numFmtId="0" fontId="16" fillId="0" borderId="10" xfId="0" applyFont="1" applyBorder="1" applyAlignment="1">
      <alignment horizontal="center" vertical="center"/>
    </xf>
    <xf numFmtId="0" fontId="26" fillId="35" borderId="10" xfId="0" applyFont="1" applyFill="1" applyBorder="1" applyAlignment="1">
      <alignment horizontal="left" vertical="center" wrapText="1"/>
    </xf>
    <xf numFmtId="0" fontId="0" fillId="35" borderId="10" xfId="0" applyFill="1" applyBorder="1" applyAlignment="1">
      <alignment horizontal="left" vertical="center" wrapText="1"/>
    </xf>
    <xf numFmtId="0" fontId="16" fillId="34" borderId="0" xfId="0" applyFont="1" applyFill="1" applyAlignment="1">
      <alignment vertical="center" wrapText="1"/>
    </xf>
    <xf numFmtId="0" fontId="0" fillId="0" borderId="0" xfId="0"/>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2">
    <dxf>
      <font>
        <color rgb="FF006100"/>
      </font>
      <fill>
        <patternFill>
          <bgColor rgb="FFC6EFCE"/>
        </patternFill>
      </fill>
    </dxf>
    <dxf>
      <font>
        <color auto="1"/>
      </font>
      <fill>
        <patternFill patternType="solid">
          <fgColor indexed="64"/>
          <bgColor theme="3" tint="0.749961851863155"/>
        </patternFill>
      </fill>
    </dxf>
    <dxf>
      <font>
        <color rgb="FF000000"/>
      </font>
      <fill>
        <patternFill patternType="solid">
          <fgColor indexed="64"/>
          <bgColor rgb="FFFCBF7B"/>
        </patternFill>
      </fill>
    </dxf>
    <dxf>
      <font>
        <color rgb="FF000000"/>
      </font>
      <fill>
        <patternFill patternType="solid">
          <fgColor indexed="64"/>
          <bgColor rgb="FFFFEF9C"/>
        </patternFill>
      </fill>
    </dxf>
    <dxf>
      <numFmt numFmtId="3" formatCode="#,##0"/>
    </dxf>
    <dxf>
      <numFmt numFmtId="0" formatCode="General"/>
    </dxf>
    <dxf>
      <numFmt numFmtId="0" formatCode="General"/>
    </dxf>
    <dxf>
      <numFmt numFmtId="3" formatCode="#,##0"/>
    </dxf>
    <dxf>
      <numFmt numFmtId="3" formatCode="#,##0"/>
    </dxf>
    <dxf>
      <numFmt numFmtId="3" formatCode="#,##0"/>
    </dxf>
    <dxf>
      <font>
        <b/>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top style="thin">
          <color indexed="64"/>
        </top>
        <bottom/>
      </border>
    </dxf>
    <dxf>
      <font>
        <name val="Arial"/>
      </font>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name val="Arial"/>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name val="Arial"/>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none"/>
      </font>
      <alignment horizontal="right" vertical="center" textRotation="0" wrapText="0" indent="0" justifyLastLine="0" shrinkToFit="0" readingOrder="0"/>
      <border diagonalUp="0" diagonalDown="0" outline="0">
        <left style="thin">
          <color indexed="64"/>
        </left>
        <right style="thin">
          <color indexed="64"/>
        </right>
        <top style="thin">
          <color indexed="64"/>
        </top>
        <bottom/>
      </border>
    </dxf>
    <dxf>
      <font>
        <name val="Arial"/>
      </font>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dxf>
    <dxf>
      <font>
        <name val="Arial"/>
        <scheme val="none"/>
      </font>
      <numFmt numFmtId="1" formatCode="0"/>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Aptos Narrow"/>
        <family val="2"/>
        <scheme val="minor"/>
      </font>
    </dxf>
    <dxf>
      <font>
        <name val="Arial"/>
        <scheme val="none"/>
      </font>
      <numFmt numFmtId="0" formatCode="Genera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Arial"/>
        <family val="2"/>
        <scheme val="none"/>
      </font>
      <numFmt numFmtId="165" formatCode="yyyy/mm/dd"/>
      <alignment horizontal="right" vertical="center" textRotation="0" wrapText="0" indent="0" justifyLastLine="0" shrinkToFit="0" readingOrder="0"/>
      <border diagonalUp="0" diagonalDown="0" outline="0">
        <left style="thin">
          <color indexed="64"/>
        </left>
        <right style="thin">
          <color indexed="64"/>
        </right>
        <top style="thin">
          <color indexed="64"/>
        </top>
        <bottom/>
      </border>
    </dxf>
    <dxf>
      <font>
        <name val="Arial"/>
      </font>
      <numFmt numFmtId="165" formatCode="yyyy/mm/dd"/>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name val="Arial"/>
        <family val="2"/>
        <scheme val="none"/>
      </font>
      <numFmt numFmtId="3" formatCode="#,##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rial"/>
        <family val="2"/>
        <scheme val="none"/>
      </font>
      <alignment horizontal="right" vertical="center" textRotation="0" wrapText="0" indent="0" justifyLastLine="0" shrinkToFit="0" readingOrder="0"/>
      <border diagonalUp="0" diagonalDown="0" outline="0">
        <left style="thin">
          <color indexed="64"/>
        </left>
        <right style="thin">
          <color indexed="64"/>
        </right>
        <top style="thin">
          <color indexed="64"/>
        </top>
        <bottom/>
      </border>
    </dxf>
    <dxf>
      <font>
        <name val="Arial"/>
        <family val="2"/>
        <scheme val="none"/>
      </font>
      <numFmt numFmtId="1"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name val="Arial"/>
        <family val="2"/>
        <scheme val="none"/>
      </font>
      <numFmt numFmtId="4" formatCode="#,##0.0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dxf>
    <dxf>
      <font>
        <name val="Arial"/>
        <scheme val="none"/>
      </font>
      <numFmt numFmtId="3" formatCode="#,##0"/>
      <alignment horizontal="righ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rgb="FF000000"/>
        </top>
        <bottom/>
      </border>
    </dxf>
    <dxf>
      <font>
        <name val="Arial"/>
        <scheme val="none"/>
      </font>
      <numFmt numFmtId="3" formatCode="#,##0"/>
      <alignment horizontal="right"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11"/>
        <color theme="1"/>
        <name val="Arial"/>
        <family val="2"/>
        <scheme val="none"/>
      </font>
      <numFmt numFmtId="3" formatCode="#,##0"/>
      <alignment horizontal="right" vertical="center" textRotation="0" wrapText="0" indent="0" justifyLastLine="0" shrinkToFit="0" readingOrder="0"/>
      <border diagonalUp="0" diagonalDown="0" outline="0">
        <left style="thin">
          <color indexed="64"/>
        </left>
        <right style="thin">
          <color indexed="64"/>
        </right>
        <top style="thin">
          <color indexed="64"/>
        </top>
        <bottom/>
      </border>
    </dxf>
    <dxf>
      <font>
        <name val="Arial"/>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none"/>
      </font>
      <numFmt numFmtId="3" formatCode="#,##0"/>
      <alignment horizontal="right" vertical="center" textRotation="0" wrapText="0" indent="0" justifyLastLine="0" shrinkToFit="0" readingOrder="0"/>
      <border diagonalUp="0" diagonalDown="0" outline="0">
        <left style="thin">
          <color indexed="64"/>
        </left>
        <right style="thin">
          <color indexed="64"/>
        </right>
        <top style="thin">
          <color indexed="64"/>
        </top>
        <bottom/>
      </border>
    </dxf>
    <dxf>
      <font>
        <name val="Arial"/>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dxf>
    <dxf>
      <font>
        <name val="Arial"/>
        <scheme val="none"/>
      </font>
      <numFmt numFmtId="0" formatCode="General"/>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Arial"/>
        <family val="2"/>
        <scheme val="none"/>
      </font>
      <numFmt numFmtId="1" formatCode="0"/>
      <alignment horizontal="right" vertical="center" textRotation="0" wrapText="0" indent="0" justifyLastLine="0" shrinkToFit="0" readingOrder="0"/>
      <border diagonalUp="0" diagonalDown="0" outline="0">
        <left style="thin">
          <color indexed="64"/>
        </left>
        <right style="thin">
          <color indexed="64"/>
        </right>
        <top style="thin">
          <color indexed="64"/>
        </top>
        <bottom/>
      </border>
    </dxf>
    <dxf>
      <font>
        <name val="Arial"/>
      </font>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dxf>
    <dxf>
      <font>
        <name val="Arial"/>
        <scheme val="none"/>
      </font>
      <numFmt numFmtId="1" formatCode="0"/>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Aptos Narrow"/>
        <family val="2"/>
        <scheme val="minor"/>
      </font>
    </dxf>
    <dxf>
      <font>
        <name val="Arial"/>
        <scheme val="none"/>
      </font>
      <numFmt numFmtId="1" formatCode="0"/>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Aptos Narrow"/>
        <family val="2"/>
        <scheme val="minor"/>
      </font>
    </dxf>
    <dxf>
      <font>
        <name val="Arial"/>
        <scheme val="none"/>
      </font>
      <numFmt numFmtId="1" formatCode="0"/>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Aptos Narrow"/>
        <family val="2"/>
        <scheme val="minor"/>
      </font>
    </dxf>
    <dxf>
      <font>
        <name val="Arial"/>
        <scheme val="none"/>
      </font>
      <numFmt numFmtId="1" formatCode="0"/>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name val="Arial"/>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name val="Arial"/>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name val="Arial"/>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name val="Arial"/>
        <family val="2"/>
        <scheme val="none"/>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dxf>
    <dxf>
      <font>
        <name val="Arial"/>
        <scheme val="none"/>
      </font>
      <numFmt numFmtId="0" formatCode="Genera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name val="Arial"/>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right style="thin">
          <color indexed="64"/>
        </right>
        <top style="thin">
          <color indexed="64"/>
        </top>
        <bottom/>
      </border>
    </dxf>
    <dxf>
      <font>
        <name val="Arial"/>
      </font>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font>
        <b/>
      </font>
    </dxf>
    <dxf>
      <border diagonalUp="0" diagonalDown="0">
        <left style="thin">
          <color rgb="FF000000"/>
        </left>
        <right style="thin">
          <color rgb="FF000000"/>
        </right>
        <top style="thin">
          <color rgb="FF000000"/>
        </top>
        <bottom style="thin">
          <color rgb="FF000000"/>
        </bottom>
      </border>
    </dxf>
    <dxf>
      <font>
        <name val="Arial"/>
      </font>
      <alignment horizontal="left"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0"/>
        <name val="Arial"/>
        <scheme val="none"/>
      </font>
      <fill>
        <patternFill patternType="solid">
          <fgColor indexed="64"/>
          <bgColor rgb="FF0070C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name val="Arial"/>
      </font>
      <alignment horizontal="left"/>
      <border diagonalUp="0" diagonalDown="0">
        <left style="thin">
          <color indexed="64"/>
        </left>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numFmt numFmtId="165" formatCode="yyyy/mm/dd"/>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numFmt numFmtId="164" formatCode="&quot;$&quot;#,##0.00"/>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numFmt numFmtId="164" formatCode="&quot;$&quot;#,##0.00"/>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rial"/>
      </font>
      <alignment horizontal="lef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name val="Arial"/>
      </font>
      <alignment horizontal="left"/>
    </dxf>
    <dxf>
      <border>
        <bottom style="thin">
          <color indexed="64"/>
        </bottom>
      </border>
    </dxf>
    <dxf>
      <font>
        <b/>
        <i val="0"/>
        <strike val="0"/>
        <condense val="0"/>
        <extend val="0"/>
        <outline val="0"/>
        <shadow val="0"/>
        <u val="none"/>
        <vertAlign val="baseline"/>
        <sz val="11"/>
        <color theme="0"/>
        <name val="Arial"/>
        <scheme val="none"/>
      </font>
      <fill>
        <patternFill patternType="solid">
          <fgColor indexed="64"/>
          <bgColor rgb="FF0070C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[Global-electronics-retail-chain-data.xlsx]Slicer and Pivot Chart!PivotTable3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 and Pivot Chart'!$E$9:$E$10</c:f>
              <c:strCache>
                <c:ptCount val="1"/>
                <c:pt idx="0">
                  <c:v>2023</c:v>
                </c:pt>
              </c:strCache>
            </c:strRef>
          </c:tx>
          <c:spPr>
            <a:solidFill>
              <a:schemeClr val="accent1"/>
            </a:solidFill>
            <a:ln>
              <a:noFill/>
            </a:ln>
            <a:effectLst/>
          </c:spPr>
          <c:invertIfNegative val="0"/>
          <c:cat>
            <c:strRef>
              <c:f>'Slicer and Pivot Chart'!$D$11:$D$12</c:f>
              <c:strCache>
                <c:ptCount val="1"/>
                <c:pt idx="0">
                  <c:v>Laptop</c:v>
                </c:pt>
              </c:strCache>
            </c:strRef>
          </c:cat>
          <c:val>
            <c:numRef>
              <c:f>'Slicer and Pivot Chart'!$E$11:$E$12</c:f>
              <c:numCache>
                <c:formatCode>#,##0</c:formatCode>
                <c:ptCount val="1"/>
                <c:pt idx="0">
                  <c:v>291468.57999999996</c:v>
                </c:pt>
              </c:numCache>
            </c:numRef>
          </c:val>
          <c:extLst>
            <c:ext xmlns:c16="http://schemas.microsoft.com/office/drawing/2014/chart" uri="{C3380CC4-5D6E-409C-BE32-E72D297353CC}">
              <c16:uniqueId val="{00000000-B3B3-4CDE-8FD6-5AADA7849981}"/>
            </c:ext>
          </c:extLst>
        </c:ser>
        <c:dLbls>
          <c:showLegendKey val="0"/>
          <c:showVal val="0"/>
          <c:showCatName val="0"/>
          <c:showSerName val="0"/>
          <c:showPercent val="0"/>
          <c:showBubbleSize val="0"/>
        </c:dLbls>
        <c:gapWidth val="219"/>
        <c:axId val="878568792"/>
        <c:axId val="878569512"/>
      </c:barChart>
      <c:catAx>
        <c:axId val="878568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569512"/>
        <c:crosses val="autoZero"/>
        <c:auto val="1"/>
        <c:lblAlgn val="ctr"/>
        <c:lblOffset val="100"/>
        <c:noMultiLvlLbl val="0"/>
      </c:catAx>
      <c:valAx>
        <c:axId val="8785695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568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[Global-electronics-retail-chain-data.xlsx]Sheet1!PivotTable1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Sheet1!$B$2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49-4F7B-9503-41BE40A251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49-4F7B-9503-41BE40A251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49-4F7B-9503-41BE40A2511B}"/>
              </c:ext>
            </c:extLst>
          </c:dPt>
          <c:cat>
            <c:strRef>
              <c:f>Sheet1!$A$3:$A$6</c:f>
              <c:strCache>
                <c:ptCount val="3"/>
                <c:pt idx="0">
                  <c:v>Headphones</c:v>
                </c:pt>
                <c:pt idx="1">
                  <c:v>Laptop</c:v>
                </c:pt>
                <c:pt idx="2">
                  <c:v>Smartphone</c:v>
                </c:pt>
              </c:strCache>
            </c:strRef>
          </c:cat>
          <c:val>
            <c:numRef>
              <c:f>Sheet1!$B$3:$B$6</c:f>
              <c:numCache>
                <c:formatCode>#,##0</c:formatCode>
                <c:ptCount val="3"/>
                <c:pt idx="0">
                  <c:v>25219613.549999975</c:v>
                </c:pt>
                <c:pt idx="1">
                  <c:v>26135106.440000001</c:v>
                </c:pt>
                <c:pt idx="2">
                  <c:v>27724658.419999991</c:v>
                </c:pt>
              </c:numCache>
            </c:numRef>
          </c:val>
          <c:extLst>
            <c:ext xmlns:c16="http://schemas.microsoft.com/office/drawing/2014/chart" uri="{C3380CC4-5D6E-409C-BE32-E72D297353CC}">
              <c16:uniqueId val="{00000000-D696-49A5-87EE-059E07A40AD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[Global-electronics-retail-chain-data.xlsx]Sheet3!PivotTable3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'Sales Target Achieved'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c:f>
              <c:strCache>
                <c:ptCount val="1"/>
                <c:pt idx="0">
                  <c:v>Total</c:v>
                </c:pt>
              </c:strCache>
            </c:strRef>
          </c:tx>
          <c:spPr>
            <a:solidFill>
              <a:schemeClr val="accent1"/>
            </a:solidFill>
            <a:ln>
              <a:noFill/>
            </a:ln>
            <a:effectLst/>
          </c:spPr>
          <c:invertIfNegative val="0"/>
          <c:cat>
            <c:strRef>
              <c:f>Sheet3!$A$3:$A$5</c:f>
              <c:strCache>
                <c:ptCount val="2"/>
                <c:pt idx="0">
                  <c:v>FALSE</c:v>
                </c:pt>
                <c:pt idx="1">
                  <c:v>TRUE</c:v>
                </c:pt>
              </c:strCache>
            </c:strRef>
          </c:cat>
          <c:val>
            <c:numRef>
              <c:f>Sheet3!$B$3:$B$5</c:f>
              <c:numCache>
                <c:formatCode>#,##0</c:formatCode>
                <c:ptCount val="2"/>
                <c:pt idx="0">
                  <c:v>37381451.980000034</c:v>
                </c:pt>
                <c:pt idx="1">
                  <c:v>41697926.429999985</c:v>
                </c:pt>
              </c:numCache>
            </c:numRef>
          </c:val>
          <c:extLst>
            <c:ext xmlns:c16="http://schemas.microsoft.com/office/drawing/2014/chart" uri="{C3380CC4-5D6E-409C-BE32-E72D297353CC}">
              <c16:uniqueId val="{00000000-ACD0-499F-A8D4-6A012E9E2426}"/>
            </c:ext>
          </c:extLst>
        </c:ser>
        <c:dLbls>
          <c:showLegendKey val="0"/>
          <c:showVal val="0"/>
          <c:showCatName val="0"/>
          <c:showSerName val="0"/>
          <c:showPercent val="0"/>
          <c:showBubbleSize val="0"/>
        </c:dLbls>
        <c:gapWidth val="33"/>
        <c:overlap val="-30"/>
        <c:axId val="594072896"/>
        <c:axId val="594074336"/>
      </c:barChart>
      <c:catAx>
        <c:axId val="594072896"/>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Target Achieved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074336"/>
        <c:crosses val="autoZero"/>
        <c:auto val="1"/>
        <c:lblAlgn val="ctr"/>
        <c:lblOffset val="100"/>
        <c:noMultiLvlLbl val="0"/>
      </c:catAx>
      <c:valAx>
        <c:axId val="594074336"/>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072896"/>
        <c:crosses val="max"/>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'Count of Rating'!$B$1</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D9-4700-B7FF-C81101A801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D9-4700-B7FF-C81101A801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D9-4700-B7FF-C81101A801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D9-4700-B7FF-C81101A8010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3D9-4700-B7FF-C81101A8010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3D9-4700-B7FF-C81101A8010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3D9-4700-B7FF-C81101A8010C}"/>
              </c:ext>
            </c:extLst>
          </c:dPt>
          <c:cat>
            <c:strRef>
              <c:f>'Count of Rating'!$A$2:$A$8</c:f>
              <c:strCache>
                <c:ptCount val="7"/>
                <c:pt idx="0">
                  <c:v>Critical</c:v>
                </c:pt>
                <c:pt idx="1">
                  <c:v>Average</c:v>
                </c:pt>
                <c:pt idx="2">
                  <c:v>High</c:v>
                </c:pt>
                <c:pt idx="3">
                  <c:v>Poor</c:v>
                </c:pt>
                <c:pt idx="4">
                  <c:v>Low</c:v>
                </c:pt>
                <c:pt idx="5">
                  <c:v>Excellent</c:v>
                </c:pt>
                <c:pt idx="6">
                  <c:v>Outstanding</c:v>
                </c:pt>
              </c:strCache>
            </c:strRef>
          </c:cat>
          <c:val>
            <c:numRef>
              <c:f>'Count of Rating'!$B$2:$B$8</c:f>
              <c:numCache>
                <c:formatCode>General</c:formatCode>
                <c:ptCount val="7"/>
                <c:pt idx="0">
                  <c:v>756</c:v>
                </c:pt>
                <c:pt idx="1">
                  <c:v>442</c:v>
                </c:pt>
                <c:pt idx="2">
                  <c:v>223</c:v>
                </c:pt>
                <c:pt idx="3">
                  <c:v>210</c:v>
                </c:pt>
                <c:pt idx="4">
                  <c:v>204</c:v>
                </c:pt>
                <c:pt idx="5">
                  <c:v>90</c:v>
                </c:pt>
                <c:pt idx="6">
                  <c:v>75</c:v>
                </c:pt>
              </c:numCache>
            </c:numRef>
          </c:val>
          <c:extLst>
            <c:ext xmlns:c16="http://schemas.microsoft.com/office/drawing/2014/chart" uri="{C3380CC4-5D6E-409C-BE32-E72D297353CC}">
              <c16:uniqueId val="{00000000-280E-4636-AE40-9B88918DFC5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11</xdr:col>
      <xdr:colOff>247652</xdr:colOff>
      <xdr:row>4</xdr:row>
      <xdr:rowOff>0</xdr:rowOff>
    </xdr:to>
    <mc:AlternateContent xmlns:mc="http://schemas.openxmlformats.org/markup-compatibility/2006" xmlns:a14="http://schemas.microsoft.com/office/drawing/2010/main">
      <mc:Choice Requires="a14">
        <xdr:graphicFrame macro="">
          <xdr:nvGraphicFramePr>
            <xdr:cNvPr id="2" name="Continent">
              <a:extLst>
                <a:ext uri="{FF2B5EF4-FFF2-40B4-BE49-F238E27FC236}">
                  <a16:creationId xmlns:a16="http://schemas.microsoft.com/office/drawing/2014/main" id="{A1C2DEB5-B4A5-9529-3FF7-C427C30B5953}"/>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1828800" y="0"/>
              <a:ext cx="6781802"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4</xdr:row>
      <xdr:rowOff>171449</xdr:rowOff>
    </xdr:from>
    <xdr:to>
      <xdr:col>3</xdr:col>
      <xdr:colOff>9525</xdr:colOff>
      <xdr:row>22</xdr:row>
      <xdr:rowOff>0</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1FBC1054-7D65-7F67-09F1-82718238328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525" y="933449"/>
              <a:ext cx="1828800" cy="3257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3</xdr:row>
      <xdr:rowOff>180975</xdr:rowOff>
    </xdr:from>
    <xdr:to>
      <xdr:col>11</xdr:col>
      <xdr:colOff>209551</xdr:colOff>
      <xdr:row>7</xdr:row>
      <xdr:rowOff>180975</xdr:rowOff>
    </xdr:to>
    <mc:AlternateContent xmlns:mc="http://schemas.openxmlformats.org/markup-compatibility/2006" xmlns:a14="http://schemas.microsoft.com/office/drawing/2010/main">
      <mc:Choice Requires="a14">
        <xdr:graphicFrame macro="">
          <xdr:nvGraphicFramePr>
            <xdr:cNvPr id="4" name="Sales Team">
              <a:extLst>
                <a:ext uri="{FF2B5EF4-FFF2-40B4-BE49-F238E27FC236}">
                  <a16:creationId xmlns:a16="http://schemas.microsoft.com/office/drawing/2014/main" id="{2C2E2069-79F6-3140-B636-A1CD577529BB}"/>
                </a:ext>
              </a:extLst>
            </xdr:cNvPr>
            <xdr:cNvGraphicFramePr/>
          </xdr:nvGraphicFramePr>
          <xdr:xfrm>
            <a:off x="0" y="0"/>
            <a:ext cx="0" cy="0"/>
          </xdr:xfrm>
          <a:graphic>
            <a:graphicData uri="http://schemas.microsoft.com/office/drawing/2010/slicer">
              <sle:slicer xmlns:sle="http://schemas.microsoft.com/office/drawing/2010/slicer" name="Sales Team"/>
            </a:graphicData>
          </a:graphic>
        </xdr:graphicFrame>
      </mc:Choice>
      <mc:Fallback xmlns="">
        <xdr:sp macro="" textlink="">
          <xdr:nvSpPr>
            <xdr:cNvPr id="0" name=""/>
            <xdr:cNvSpPr>
              <a:spLocks noTextEdit="1"/>
            </xdr:cNvSpPr>
          </xdr:nvSpPr>
          <xdr:spPr>
            <a:xfrm>
              <a:off x="1828800" y="752475"/>
              <a:ext cx="6743701"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0</xdr:row>
      <xdr:rowOff>9525</xdr:rowOff>
    </xdr:from>
    <xdr:to>
      <xdr:col>3</xdr:col>
      <xdr:colOff>9525</xdr:colOff>
      <xdr:row>4</xdr:row>
      <xdr:rowOff>161925</xdr:rowOff>
    </xdr:to>
    <mc:AlternateContent xmlns:mc="http://schemas.openxmlformats.org/markup-compatibility/2006" xmlns:a14="http://schemas.microsoft.com/office/drawing/2010/main">
      <mc:Choice Requires="a14">
        <xdr:graphicFrame macro="">
          <xdr:nvGraphicFramePr>
            <xdr:cNvPr id="6" name="Sales Year">
              <a:extLst>
                <a:ext uri="{FF2B5EF4-FFF2-40B4-BE49-F238E27FC236}">
                  <a16:creationId xmlns:a16="http://schemas.microsoft.com/office/drawing/2014/main" id="{806E2482-63FA-E65A-F99E-50B1BF152635}"/>
                </a:ext>
              </a:extLst>
            </xdr:cNvPr>
            <xdr:cNvGraphicFramePr/>
          </xdr:nvGraphicFramePr>
          <xdr:xfrm>
            <a:off x="0" y="0"/>
            <a:ext cx="0" cy="0"/>
          </xdr:xfrm>
          <a:graphic>
            <a:graphicData uri="http://schemas.microsoft.com/office/drawing/2010/slicer">
              <sle:slicer xmlns:sle="http://schemas.microsoft.com/office/drawing/2010/slicer" name="Sales Year"/>
            </a:graphicData>
          </a:graphic>
        </xdr:graphicFrame>
      </mc:Choice>
      <mc:Fallback xmlns="">
        <xdr:sp macro="" textlink="">
          <xdr:nvSpPr>
            <xdr:cNvPr id="0" name=""/>
            <xdr:cNvSpPr>
              <a:spLocks noTextEdit="1"/>
            </xdr:cNvSpPr>
          </xdr:nvSpPr>
          <xdr:spPr>
            <a:xfrm>
              <a:off x="9525" y="9525"/>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9524</xdr:rowOff>
    </xdr:from>
    <xdr:to>
      <xdr:col>3</xdr:col>
      <xdr:colOff>0</xdr:colOff>
      <xdr:row>28</xdr:row>
      <xdr:rowOff>152399</xdr:rowOff>
    </xdr:to>
    <mc:AlternateContent xmlns:mc="http://schemas.openxmlformats.org/markup-compatibility/2006" xmlns:a14="http://schemas.microsoft.com/office/drawing/2010/main">
      <mc:Choice Requires="a14">
        <xdr:graphicFrame macro="">
          <xdr:nvGraphicFramePr>
            <xdr:cNvPr id="7" name="Product 1">
              <a:extLst>
                <a:ext uri="{FF2B5EF4-FFF2-40B4-BE49-F238E27FC236}">
                  <a16:creationId xmlns:a16="http://schemas.microsoft.com/office/drawing/2014/main" id="{DCF645EF-C92D-E498-3BEF-5D7706EAB57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4200524"/>
              <a:ext cx="1828800" cy="128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419100</xdr:colOff>
      <xdr:row>5</xdr:row>
      <xdr:rowOff>80960</xdr:rowOff>
    </xdr:from>
    <xdr:to>
      <xdr:col>21</xdr:col>
      <xdr:colOff>180976</xdr:colOff>
      <xdr:row>24</xdr:row>
      <xdr:rowOff>28575</xdr:rowOff>
    </xdr:to>
    <xdr:graphicFrame macro="">
      <xdr:nvGraphicFramePr>
        <xdr:cNvPr id="8" name="Chart 7">
          <a:extLst>
            <a:ext uri="{FF2B5EF4-FFF2-40B4-BE49-F238E27FC236}">
              <a16:creationId xmlns:a16="http://schemas.microsoft.com/office/drawing/2014/main" id="{A02EF5A8-754C-B9E0-737A-2DEE143DB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304800</xdr:colOff>
      <xdr:row>17</xdr:row>
      <xdr:rowOff>76200</xdr:rowOff>
    </xdr:to>
    <xdr:graphicFrame macro="">
      <xdr:nvGraphicFramePr>
        <xdr:cNvPr id="2" name="Chart 1" descr="Chart type: Pie. &#10;&#10;Description automatically generated">
          <a:extLst>
            <a:ext uri="{FF2B5EF4-FFF2-40B4-BE49-F238E27FC236}">
              <a16:creationId xmlns:a16="http://schemas.microsoft.com/office/drawing/2014/main" id="{60101589-F1AE-BE19-29DA-E8CECA1B27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0</xdr:rowOff>
    </xdr:from>
    <xdr:to>
      <xdr:col>10</xdr:col>
      <xdr:colOff>304800</xdr:colOff>
      <xdr:row>15</xdr:row>
      <xdr:rowOff>76200</xdr:rowOff>
    </xdr:to>
    <xdr:graphicFrame macro="">
      <xdr:nvGraphicFramePr>
        <xdr:cNvPr id="2" name="Chart 1" descr="Chart type: Clustered Bar. 'Total Sales' by 'Sales Target Achieved'&#10;&#10;Description automatically generated">
          <a:extLst>
            <a:ext uri="{FF2B5EF4-FFF2-40B4-BE49-F238E27FC236}">
              <a16:creationId xmlns:a16="http://schemas.microsoft.com/office/drawing/2014/main" id="{8C61748D-030C-B9CB-86AE-21829E358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400050</xdr:colOff>
      <xdr:row>10</xdr:row>
      <xdr:rowOff>90487</xdr:rowOff>
    </xdr:from>
    <xdr:to>
      <xdr:col>18</xdr:col>
      <xdr:colOff>95250</xdr:colOff>
      <xdr:row>24</xdr:row>
      <xdr:rowOff>166687</xdr:rowOff>
    </xdr:to>
    <xdr:graphicFrame macro="">
      <xdr:nvGraphicFramePr>
        <xdr:cNvPr id="2" name="Chart 1">
          <a:extLst>
            <a:ext uri="{FF2B5EF4-FFF2-40B4-BE49-F238E27FC236}">
              <a16:creationId xmlns:a16="http://schemas.microsoft.com/office/drawing/2014/main" id="{44FD30D5-FF52-74F2-ACCF-752AEC810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77.585118981478" createdVersion="8" refreshedVersion="8" minRefreshableVersion="3" recordCount="2000" xr:uid="{E26CF9B4-AE72-4DF9-9F7F-6255DDE70D47}">
  <cacheSource type="worksheet">
    <worksheetSource name="Table22"/>
  </cacheSource>
  <cacheFields count="27">
    <cacheField name="Transaction ID" numFmtId="0">
      <sharedItems/>
    </cacheField>
    <cacheField name="Country" numFmtId="0">
      <sharedItems count="10">
        <s v="Japan"/>
        <s v="China"/>
        <s v="USA"/>
        <s v="India"/>
        <s v="France"/>
        <s v="Germany"/>
        <s v="Canada"/>
        <s v="UK"/>
        <s v="Australia"/>
        <s v="Brazil"/>
      </sharedItems>
    </cacheField>
    <cacheField name="Continent" numFmtId="0">
      <sharedItems count="5">
        <s v="Asia"/>
        <s v="North America"/>
        <s v="Europe"/>
        <s v="Oceania"/>
        <s v="South America"/>
      </sharedItems>
    </cacheField>
    <cacheField name="Region" numFmtId="0">
      <sharedItems count="4">
        <s v="Asia-Pacific"/>
        <s v="South America"/>
        <s v="Europe"/>
        <s v="North America"/>
      </sharedItems>
    </cacheField>
    <cacheField name="Product" numFmtId="0">
      <sharedItems count="3">
        <s v="Laptop"/>
        <s v="Headphones"/>
        <s v="Smartphone"/>
      </sharedItems>
    </cacheField>
    <cacheField name="Brand" numFmtId="0">
      <sharedItems count="5">
        <s v="BrandC"/>
        <s v="BrandD"/>
        <s v="BrandA"/>
        <s v="BrandB"/>
        <s v="BrandE"/>
      </sharedItems>
    </cacheField>
    <cacheField name="Sales Team" numFmtId="0">
      <sharedItems count="4">
        <s v="Team Alpha"/>
        <s v="Team Delta"/>
        <s v="Team Gamma"/>
        <s v="Team Beta"/>
      </sharedItems>
    </cacheField>
    <cacheField name="Country Length" numFmtId="1">
      <sharedItems containsSemiMixedTypes="0" containsString="0" containsNumber="1" containsInteger="1" minValue="2" maxValue="9"/>
    </cacheField>
    <cacheField name="Continent Length" numFmtId="1">
      <sharedItems containsSemiMixedTypes="0" containsString="0" containsNumber="1" containsInteger="1" minValue="4" maxValue="13"/>
    </cacheField>
    <cacheField name="Product Length" numFmtId="1">
      <sharedItems containsSemiMixedTypes="0" containsString="0" containsNumber="1" containsInteger="1" minValue="6" maxValue="10"/>
    </cacheField>
    <cacheField name="Sales Team Length" numFmtId="1">
      <sharedItems containsSemiMixedTypes="0" containsString="0" containsNumber="1" containsInteger="1" minValue="9" maxValue="10"/>
    </cacheField>
    <cacheField name="Units Sold" numFmtId="0">
      <sharedItems containsSemiMixedTypes="0" containsString="0" containsNumber="1" containsInteger="1" minValue="1" maxValue="99"/>
    </cacheField>
    <cacheField name="Rating" numFmtId="0">
      <sharedItems count="7">
        <s v="Outstanding"/>
        <s v="Excellent"/>
        <s v="High"/>
        <s v="Average"/>
        <s v="Low"/>
        <s v="Poor"/>
        <s v="Critical"/>
      </sharedItems>
    </cacheField>
    <cacheField name="Unit Price (in USD)" numFmtId="3">
      <sharedItems containsSemiMixedTypes="0" containsString="0" containsNumber="1" minValue="51.64" maxValue="1499.62"/>
    </cacheField>
    <cacheField name="Total Sales (in USD)" numFmtId="3">
      <sharedItems containsSemiMixedTypes="0" containsString="0" containsNumber="1" minValue="58.6" maxValue="145429.19"/>
    </cacheField>
    <cacheField name="Net Sales (after discount) (in USD)" numFmtId="3">
      <sharedItems containsSemiMixedTypes="0" containsString="0" containsNumber="1" minValue="58.6" maxValue="145405.26"/>
    </cacheField>
    <cacheField name="Net Sales Std Dev from Mean Total Sales (in USD)" numFmtId="3">
      <sharedItems containsSemiMixedTypes="0" containsString="0" containsNumber="1" minValue="28.200563764534309" maxValue="108893.89943623547"/>
    </cacheField>
    <cacheField name="Sales Target Achieved" numFmtId="0">
      <sharedItems count="2">
        <b v="1"/>
        <b v="0"/>
      </sharedItems>
    </cacheField>
    <cacheField name="Discount Percentage (%)" numFmtId="1">
      <sharedItems containsSemiMixedTypes="0" containsString="0" containsNumber="1" minValue="0.01" maxValue="29.95"/>
    </cacheField>
    <cacheField name="Discount Applied" numFmtId="0">
      <sharedItems/>
    </cacheField>
    <cacheField name="Sales Date" numFmtId="14">
      <sharedItems containsSemiMixedTypes="0" containsNonDate="0" containsDate="1" containsString="0" minDate="2023-01-01T00:00:00" maxDate="2024-11-02T00:00:00"/>
    </cacheField>
    <cacheField name="Sales Quarter" numFmtId="0">
      <sharedItems count="4">
        <s v="Q4"/>
        <s v="Q2"/>
        <s v="Q1"/>
        <s v="Q3"/>
      </sharedItems>
    </cacheField>
    <cacheField name="Sales Year" numFmtId="1">
      <sharedItems containsSemiMixedTypes="0" containsString="0" containsNumber="1" containsInteger="1" minValue="2023" maxValue="2024" count="2">
        <n v="2024"/>
        <n v="2023"/>
      </sharedItems>
    </cacheField>
    <cacheField name="Customer Age" numFmtId="0">
      <sharedItems containsSemiMixedTypes="0" containsString="0" containsNumber="1" containsInteger="1" minValue="18" maxValue="69"/>
    </cacheField>
    <cacheField name="Customer Gender" numFmtId="0">
      <sharedItems count="3">
        <s v="Female"/>
        <s v="Other"/>
        <s v="Male"/>
      </sharedItems>
    </cacheField>
    <cacheField name="Payment Method" numFmtId="0">
      <sharedItems/>
    </cacheField>
    <cacheField name="Return Status" numFmtId="0">
      <sharedItems/>
    </cacheField>
  </cacheFields>
  <extLst>
    <ext xmlns:x14="http://schemas.microsoft.com/office/spreadsheetml/2009/9/main" uri="{725AE2AE-9491-48be-B2B4-4EB974FC3084}">
      <x14:pivotCacheDefinition pivotCacheId="361393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TID_1617"/>
    <x v="0"/>
    <x v="0"/>
    <x v="0"/>
    <x v="0"/>
    <x v="0"/>
    <x v="0"/>
    <n v="5"/>
    <n v="4"/>
    <n v="6"/>
    <n v="10"/>
    <n v="97"/>
    <x v="0"/>
    <n v="1499.27"/>
    <n v="145429.19"/>
    <n v="115150.83264200001"/>
    <n v="78639.472078235471"/>
    <x v="0"/>
    <n v="20.82"/>
    <b v="1"/>
    <d v="2024-10-31T00:00:00"/>
    <x v="0"/>
    <x v="0"/>
    <n v="26"/>
    <x v="0"/>
    <s v="Credit Card"/>
    <s v="Not Returned"/>
  </r>
  <r>
    <s v="TID_817"/>
    <x v="1"/>
    <x v="0"/>
    <x v="1"/>
    <x v="0"/>
    <x v="0"/>
    <x v="1"/>
    <n v="5"/>
    <n v="4"/>
    <n v="6"/>
    <n v="10"/>
    <n v="99"/>
    <x v="0"/>
    <n v="1468.74"/>
    <n v="145405.26"/>
    <n v="145405.26"/>
    <n v="108893.89943623547"/>
    <x v="1"/>
    <n v="19.96"/>
    <b v="0"/>
    <d v="2024-05-08T00:00:00"/>
    <x v="1"/>
    <x v="0"/>
    <n v="42"/>
    <x v="1"/>
    <s v="Credit Card"/>
    <s v="Returned"/>
  </r>
  <r>
    <s v="TID_146"/>
    <x v="2"/>
    <x v="1"/>
    <x v="1"/>
    <x v="1"/>
    <x v="1"/>
    <x v="2"/>
    <n v="3"/>
    <n v="13"/>
    <n v="10"/>
    <n v="10"/>
    <n v="98"/>
    <x v="0"/>
    <n v="1473.76"/>
    <n v="144428.48000000001"/>
    <n v="106848.18950400001"/>
    <n v="70336.828940235471"/>
    <x v="1"/>
    <n v="26.02"/>
    <b v="1"/>
    <d v="2024-02-24T00:00:00"/>
    <x v="2"/>
    <x v="0"/>
    <n v="26"/>
    <x v="0"/>
    <s v="Online Payment"/>
    <s v="Not Returned"/>
  </r>
  <r>
    <s v="TID_1688"/>
    <x v="1"/>
    <x v="0"/>
    <x v="1"/>
    <x v="0"/>
    <x v="0"/>
    <x v="1"/>
    <n v="5"/>
    <n v="4"/>
    <n v="6"/>
    <n v="10"/>
    <n v="99"/>
    <x v="0"/>
    <n v="1427.6"/>
    <n v="141332.4"/>
    <n v="141332.4"/>
    <n v="104821.03943623546"/>
    <x v="0"/>
    <n v="10.49"/>
    <b v="0"/>
    <d v="2024-02-09T00:00:00"/>
    <x v="2"/>
    <x v="0"/>
    <n v="59"/>
    <x v="0"/>
    <s v="Online Payment"/>
    <s v="Returned"/>
  </r>
  <r>
    <s v="TID_385"/>
    <x v="3"/>
    <x v="0"/>
    <x v="0"/>
    <x v="2"/>
    <x v="2"/>
    <x v="1"/>
    <n v="5"/>
    <n v="4"/>
    <n v="10"/>
    <n v="10"/>
    <n v="99"/>
    <x v="0"/>
    <n v="1399.8"/>
    <n v="138580.20000000001"/>
    <n v="110767.15386000001"/>
    <n v="74255.793296235468"/>
    <x v="0"/>
    <n v="20.07"/>
    <b v="1"/>
    <d v="2024-05-28T00:00:00"/>
    <x v="1"/>
    <x v="0"/>
    <n v="54"/>
    <x v="1"/>
    <s v="Online Payment"/>
    <s v="Not Returned"/>
  </r>
  <r>
    <s v="TID_1467"/>
    <x v="0"/>
    <x v="0"/>
    <x v="0"/>
    <x v="2"/>
    <x v="3"/>
    <x v="1"/>
    <n v="5"/>
    <n v="4"/>
    <n v="10"/>
    <n v="10"/>
    <n v="98"/>
    <x v="0"/>
    <n v="1405.46"/>
    <n v="137735.07999999999"/>
    <n v="137735.07999999999"/>
    <n v="101223.71943623545"/>
    <x v="1"/>
    <n v="10.14"/>
    <b v="0"/>
    <d v="2024-01-24T00:00:00"/>
    <x v="2"/>
    <x v="0"/>
    <n v="43"/>
    <x v="1"/>
    <s v="Online Payment"/>
    <s v="Not Returned"/>
  </r>
  <r>
    <s v="TID_1868"/>
    <x v="0"/>
    <x v="0"/>
    <x v="2"/>
    <x v="0"/>
    <x v="1"/>
    <x v="2"/>
    <n v="5"/>
    <n v="4"/>
    <n v="6"/>
    <n v="10"/>
    <n v="95"/>
    <x v="1"/>
    <n v="1445.41"/>
    <n v="137313.95000000001"/>
    <n v="137313.95000000001"/>
    <n v="100802.58943623547"/>
    <x v="1"/>
    <n v="14.67"/>
    <b v="0"/>
    <d v="2023-08-27T00:00:00"/>
    <x v="3"/>
    <x v="1"/>
    <n v="62"/>
    <x v="1"/>
    <s v="Credit Card"/>
    <s v="Returned"/>
  </r>
  <r>
    <s v="TID_1812"/>
    <x v="4"/>
    <x v="2"/>
    <x v="3"/>
    <x v="0"/>
    <x v="2"/>
    <x v="0"/>
    <n v="6"/>
    <n v="6"/>
    <n v="6"/>
    <n v="10"/>
    <n v="91"/>
    <x v="1"/>
    <n v="1492.06"/>
    <n v="135777.46"/>
    <n v="135777.46"/>
    <n v="99266.099436235454"/>
    <x v="0"/>
    <n v="26.24"/>
    <b v="0"/>
    <d v="2024-09-05T00:00:00"/>
    <x v="3"/>
    <x v="0"/>
    <n v="53"/>
    <x v="2"/>
    <s v="Debit Card"/>
    <s v="Returned"/>
  </r>
  <r>
    <s v="TID_830"/>
    <x v="4"/>
    <x v="2"/>
    <x v="1"/>
    <x v="0"/>
    <x v="3"/>
    <x v="3"/>
    <n v="6"/>
    <n v="6"/>
    <n v="6"/>
    <n v="9"/>
    <n v="97"/>
    <x v="0"/>
    <n v="1394.45"/>
    <n v="135261.65"/>
    <n v="117068.958075"/>
    <n v="80557.597511235464"/>
    <x v="1"/>
    <n v="13.45"/>
    <b v="1"/>
    <d v="2023-04-21T00:00:00"/>
    <x v="1"/>
    <x v="1"/>
    <n v="30"/>
    <x v="2"/>
    <s v="Online Payment"/>
    <s v="Not Returned"/>
  </r>
  <r>
    <s v="TID_1223"/>
    <x v="2"/>
    <x v="1"/>
    <x v="1"/>
    <x v="0"/>
    <x v="0"/>
    <x v="3"/>
    <n v="3"/>
    <n v="13"/>
    <n v="6"/>
    <n v="9"/>
    <n v="91"/>
    <x v="1"/>
    <n v="1477.73"/>
    <n v="134473.43"/>
    <n v="103087.33143799999"/>
    <n v="66575.970874235456"/>
    <x v="1"/>
    <n v="23.34"/>
    <b v="1"/>
    <d v="2024-04-03T00:00:00"/>
    <x v="1"/>
    <x v="0"/>
    <n v="44"/>
    <x v="1"/>
    <s v="Credit Card"/>
    <s v="Not Returned"/>
  </r>
  <r>
    <s v="TID_1985"/>
    <x v="4"/>
    <x v="2"/>
    <x v="2"/>
    <x v="0"/>
    <x v="2"/>
    <x v="3"/>
    <n v="6"/>
    <n v="6"/>
    <n v="6"/>
    <n v="9"/>
    <n v="92"/>
    <x v="1"/>
    <n v="1458.65"/>
    <n v="134195.79999999999"/>
    <n v="134195.79999999999"/>
    <n v="97684.439436235451"/>
    <x v="0"/>
    <n v="23.84"/>
    <b v="0"/>
    <d v="2024-10-05T00:00:00"/>
    <x v="0"/>
    <x v="0"/>
    <n v="68"/>
    <x v="1"/>
    <s v="Credit Card"/>
    <s v="Returned"/>
  </r>
  <r>
    <s v="TID_1806"/>
    <x v="5"/>
    <x v="2"/>
    <x v="3"/>
    <x v="0"/>
    <x v="0"/>
    <x v="0"/>
    <n v="7"/>
    <n v="6"/>
    <n v="6"/>
    <n v="10"/>
    <n v="97"/>
    <x v="0"/>
    <n v="1380.88"/>
    <n v="133945.35999999999"/>
    <n v="133945.35999999999"/>
    <n v="97433.999436235448"/>
    <x v="0"/>
    <n v="5.92"/>
    <b v="0"/>
    <d v="2023-12-09T00:00:00"/>
    <x v="0"/>
    <x v="1"/>
    <n v="67"/>
    <x v="0"/>
    <s v="Credit Card"/>
    <s v="Not Returned"/>
  </r>
  <r>
    <s v="TID_550"/>
    <x v="4"/>
    <x v="2"/>
    <x v="3"/>
    <x v="2"/>
    <x v="4"/>
    <x v="1"/>
    <n v="6"/>
    <n v="6"/>
    <n v="10"/>
    <n v="10"/>
    <n v="92"/>
    <x v="1"/>
    <n v="1453.4"/>
    <n v="133712.79999999999"/>
    <n v="126438.82367999999"/>
    <n v="89927.463116235449"/>
    <x v="1"/>
    <n v="5.44"/>
    <b v="1"/>
    <d v="2023-09-02T00:00:00"/>
    <x v="3"/>
    <x v="1"/>
    <n v="30"/>
    <x v="2"/>
    <s v="Cash"/>
    <s v="Not Returned"/>
  </r>
  <r>
    <s v="TID_490"/>
    <x v="6"/>
    <x v="1"/>
    <x v="3"/>
    <x v="0"/>
    <x v="2"/>
    <x v="2"/>
    <n v="6"/>
    <n v="13"/>
    <n v="6"/>
    <n v="10"/>
    <n v="89"/>
    <x v="2"/>
    <n v="1490.07"/>
    <n v="132616.23000000001"/>
    <n v="126104.773107"/>
    <n v="89593.412543235463"/>
    <x v="1"/>
    <n v="4.91"/>
    <b v="1"/>
    <d v="2024-08-06T00:00:00"/>
    <x v="3"/>
    <x v="0"/>
    <n v="51"/>
    <x v="2"/>
    <s v="Debit Card"/>
    <s v="Not Returned"/>
  </r>
  <r>
    <s v="TID_598"/>
    <x v="0"/>
    <x v="0"/>
    <x v="0"/>
    <x v="2"/>
    <x v="0"/>
    <x v="3"/>
    <n v="5"/>
    <n v="4"/>
    <n v="10"/>
    <n v="9"/>
    <n v="92"/>
    <x v="1"/>
    <n v="1435.1"/>
    <n v="132029.20000000001"/>
    <n v="123896.20128000001"/>
    <n v="87384.840716235471"/>
    <x v="1"/>
    <n v="6.16"/>
    <b v="1"/>
    <d v="2023-11-06T00:00:00"/>
    <x v="0"/>
    <x v="1"/>
    <n v="39"/>
    <x v="0"/>
    <s v="Cash"/>
    <s v="Returned"/>
  </r>
  <r>
    <s v="TID_799"/>
    <x v="3"/>
    <x v="0"/>
    <x v="0"/>
    <x v="2"/>
    <x v="4"/>
    <x v="3"/>
    <n v="5"/>
    <n v="4"/>
    <n v="10"/>
    <n v="9"/>
    <n v="89"/>
    <x v="2"/>
    <n v="1472.64"/>
    <n v="131064.96000000001"/>
    <n v="131064.96000000001"/>
    <n v="94553.599436235469"/>
    <x v="0"/>
    <n v="18.010000000000002"/>
    <b v="0"/>
    <d v="2023-02-28T00:00:00"/>
    <x v="2"/>
    <x v="1"/>
    <n v="49"/>
    <x v="1"/>
    <s v="Debit Card"/>
    <s v="Not Returned"/>
  </r>
  <r>
    <s v="TID_1031"/>
    <x v="1"/>
    <x v="0"/>
    <x v="1"/>
    <x v="2"/>
    <x v="3"/>
    <x v="1"/>
    <n v="5"/>
    <n v="4"/>
    <n v="10"/>
    <n v="10"/>
    <n v="88"/>
    <x v="2"/>
    <n v="1488.75"/>
    <n v="131010"/>
    <n v="120607.806"/>
    <n v="84096.445436235459"/>
    <x v="1"/>
    <n v="7.94"/>
    <b v="1"/>
    <d v="2023-03-19T00:00:00"/>
    <x v="2"/>
    <x v="1"/>
    <n v="20"/>
    <x v="0"/>
    <s v="Online Payment"/>
    <s v="Not Returned"/>
  </r>
  <r>
    <s v="TID_820"/>
    <x v="7"/>
    <x v="2"/>
    <x v="3"/>
    <x v="0"/>
    <x v="0"/>
    <x v="2"/>
    <n v="2"/>
    <n v="6"/>
    <n v="6"/>
    <n v="10"/>
    <n v="92"/>
    <x v="1"/>
    <n v="1423.21"/>
    <n v="130935.32"/>
    <n v="130935.32"/>
    <n v="94423.959436235469"/>
    <x v="1"/>
    <n v="29.57"/>
    <b v="0"/>
    <d v="2024-09-05T00:00:00"/>
    <x v="3"/>
    <x v="0"/>
    <n v="18"/>
    <x v="1"/>
    <s v="Online Payment"/>
    <s v="Not Returned"/>
  </r>
  <r>
    <s v="TID_1820"/>
    <x v="2"/>
    <x v="1"/>
    <x v="3"/>
    <x v="0"/>
    <x v="3"/>
    <x v="3"/>
    <n v="3"/>
    <n v="13"/>
    <n v="6"/>
    <n v="9"/>
    <n v="94"/>
    <x v="1"/>
    <n v="1381.47"/>
    <n v="129858.18"/>
    <n v="120404.50449599999"/>
    <n v="83893.143932235456"/>
    <x v="0"/>
    <n v="7.28"/>
    <b v="1"/>
    <d v="2023-11-03T00:00:00"/>
    <x v="0"/>
    <x v="1"/>
    <n v="22"/>
    <x v="2"/>
    <s v="Online Payment"/>
    <s v="Not Returned"/>
  </r>
  <r>
    <s v="TID_1565"/>
    <x v="6"/>
    <x v="1"/>
    <x v="1"/>
    <x v="2"/>
    <x v="3"/>
    <x v="1"/>
    <n v="6"/>
    <n v="13"/>
    <n v="10"/>
    <n v="10"/>
    <n v="87"/>
    <x v="2"/>
    <n v="1480.35"/>
    <n v="128790.45"/>
    <n v="128790.45"/>
    <n v="92279.089436235459"/>
    <x v="0"/>
    <n v="14.13"/>
    <b v="0"/>
    <d v="2024-05-26T00:00:00"/>
    <x v="1"/>
    <x v="0"/>
    <n v="50"/>
    <x v="0"/>
    <s v="Online Payment"/>
    <s v="Not Returned"/>
  </r>
  <r>
    <s v="TID_1530"/>
    <x v="5"/>
    <x v="2"/>
    <x v="3"/>
    <x v="2"/>
    <x v="4"/>
    <x v="2"/>
    <n v="7"/>
    <n v="6"/>
    <n v="10"/>
    <n v="10"/>
    <n v="97"/>
    <x v="0"/>
    <n v="1325.79"/>
    <n v="128601.63"/>
    <n v="128601.63"/>
    <n v="92090.269436235467"/>
    <x v="1"/>
    <n v="26.24"/>
    <b v="0"/>
    <d v="2024-10-22T00:00:00"/>
    <x v="0"/>
    <x v="0"/>
    <n v="25"/>
    <x v="0"/>
    <s v="Credit Card"/>
    <s v="Returned"/>
  </r>
  <r>
    <s v="TID_683"/>
    <x v="3"/>
    <x v="0"/>
    <x v="3"/>
    <x v="2"/>
    <x v="2"/>
    <x v="3"/>
    <n v="5"/>
    <n v="4"/>
    <n v="10"/>
    <n v="9"/>
    <n v="98"/>
    <x v="0"/>
    <n v="1310.23"/>
    <n v="128402.54"/>
    <n v="111902.81360999998"/>
    <n v="75391.453046235445"/>
    <x v="0"/>
    <n v="12.85"/>
    <b v="1"/>
    <d v="2023-03-19T00:00:00"/>
    <x v="2"/>
    <x v="1"/>
    <n v="49"/>
    <x v="2"/>
    <s v="Cash"/>
    <s v="Returned"/>
  </r>
  <r>
    <s v="TID_363"/>
    <x v="8"/>
    <x v="3"/>
    <x v="1"/>
    <x v="2"/>
    <x v="3"/>
    <x v="0"/>
    <n v="9"/>
    <n v="7"/>
    <n v="10"/>
    <n v="10"/>
    <n v="98"/>
    <x v="0"/>
    <n v="1309.03"/>
    <n v="128284.94"/>
    <n v="114853.506782"/>
    <n v="78342.146218235459"/>
    <x v="0"/>
    <n v="10.47"/>
    <b v="1"/>
    <d v="2023-05-28T00:00:00"/>
    <x v="1"/>
    <x v="1"/>
    <n v="64"/>
    <x v="1"/>
    <s v="Debit Card"/>
    <s v="Returned"/>
  </r>
  <r>
    <s v="TID_359"/>
    <x v="8"/>
    <x v="3"/>
    <x v="1"/>
    <x v="0"/>
    <x v="4"/>
    <x v="0"/>
    <n v="9"/>
    <n v="7"/>
    <n v="6"/>
    <n v="10"/>
    <n v="87"/>
    <x v="2"/>
    <n v="1474.47"/>
    <n v="128278.89"/>
    <n v="118978.67047499999"/>
    <n v="82467.309911235454"/>
    <x v="0"/>
    <n v="7.25"/>
    <b v="1"/>
    <d v="2023-04-08T00:00:00"/>
    <x v="1"/>
    <x v="1"/>
    <n v="47"/>
    <x v="1"/>
    <s v="Credit Card"/>
    <s v="Not Returned"/>
  </r>
  <r>
    <s v="TID_1451"/>
    <x v="6"/>
    <x v="1"/>
    <x v="1"/>
    <x v="1"/>
    <x v="0"/>
    <x v="0"/>
    <n v="6"/>
    <n v="13"/>
    <n v="10"/>
    <n v="10"/>
    <n v="88"/>
    <x v="2"/>
    <n v="1438.1"/>
    <n v="126552.8"/>
    <n v="117238.51392"/>
    <n v="80727.15335623546"/>
    <x v="1"/>
    <n v="7.36"/>
    <b v="1"/>
    <d v="2023-11-27T00:00:00"/>
    <x v="0"/>
    <x v="1"/>
    <n v="27"/>
    <x v="1"/>
    <s v="Debit Card"/>
    <s v="Returned"/>
  </r>
  <r>
    <s v="TID_1345"/>
    <x v="3"/>
    <x v="0"/>
    <x v="2"/>
    <x v="1"/>
    <x v="1"/>
    <x v="1"/>
    <n v="5"/>
    <n v="4"/>
    <n v="10"/>
    <n v="10"/>
    <n v="90"/>
    <x v="2"/>
    <n v="1403.3"/>
    <n v="126297"/>
    <n v="91906.3269"/>
    <n v="55394.966336235462"/>
    <x v="0"/>
    <n v="27.23"/>
    <b v="1"/>
    <d v="2023-03-24T00:00:00"/>
    <x v="2"/>
    <x v="1"/>
    <n v="21"/>
    <x v="2"/>
    <s v="Cash"/>
    <s v="Returned"/>
  </r>
  <r>
    <s v="TID_1240"/>
    <x v="8"/>
    <x v="3"/>
    <x v="2"/>
    <x v="2"/>
    <x v="4"/>
    <x v="3"/>
    <n v="9"/>
    <n v="7"/>
    <n v="10"/>
    <n v="9"/>
    <n v="89"/>
    <x v="2"/>
    <n v="1415.37"/>
    <n v="125967.93"/>
    <n v="125967.93"/>
    <n v="89456.569436235455"/>
    <x v="1"/>
    <n v="21.27"/>
    <b v="0"/>
    <d v="2023-11-14T00:00:00"/>
    <x v="0"/>
    <x v="1"/>
    <n v="36"/>
    <x v="0"/>
    <s v="Debit Card"/>
    <s v="Returned"/>
  </r>
  <r>
    <s v="TID_844"/>
    <x v="7"/>
    <x v="2"/>
    <x v="2"/>
    <x v="0"/>
    <x v="2"/>
    <x v="0"/>
    <n v="2"/>
    <n v="6"/>
    <n v="6"/>
    <n v="10"/>
    <n v="86"/>
    <x v="2"/>
    <n v="1461.98"/>
    <n v="125730.28"/>
    <n v="106405.53596400001"/>
    <n v="69894.175400235472"/>
    <x v="1"/>
    <n v="15.37"/>
    <b v="1"/>
    <d v="2024-01-09T00:00:00"/>
    <x v="2"/>
    <x v="0"/>
    <n v="38"/>
    <x v="2"/>
    <s v="Online Payment"/>
    <s v="Not Returned"/>
  </r>
  <r>
    <s v="TID_954"/>
    <x v="9"/>
    <x v="4"/>
    <x v="1"/>
    <x v="1"/>
    <x v="2"/>
    <x v="1"/>
    <n v="6"/>
    <n v="13"/>
    <n v="10"/>
    <n v="10"/>
    <n v="98"/>
    <x v="0"/>
    <n v="1277.33"/>
    <n v="125178.34"/>
    <n v="112297.488814"/>
    <n v="75786.128250235459"/>
    <x v="1"/>
    <n v="10.29"/>
    <b v="1"/>
    <d v="2023-05-28T00:00:00"/>
    <x v="1"/>
    <x v="1"/>
    <n v="49"/>
    <x v="2"/>
    <s v="Cash"/>
    <s v="Returned"/>
  </r>
  <r>
    <s v="TID_1813"/>
    <x v="2"/>
    <x v="1"/>
    <x v="0"/>
    <x v="0"/>
    <x v="1"/>
    <x v="1"/>
    <n v="3"/>
    <n v="13"/>
    <n v="6"/>
    <n v="10"/>
    <n v="87"/>
    <x v="2"/>
    <n v="1437.03"/>
    <n v="125021.61"/>
    <n v="92128.424408999999"/>
    <n v="55617.063845235461"/>
    <x v="0"/>
    <n v="26.31"/>
    <b v="1"/>
    <d v="2024-10-24T00:00:00"/>
    <x v="0"/>
    <x v="0"/>
    <n v="37"/>
    <x v="1"/>
    <s v="Debit Card"/>
    <s v="Returned"/>
  </r>
  <r>
    <s v="TID_1462"/>
    <x v="1"/>
    <x v="0"/>
    <x v="3"/>
    <x v="2"/>
    <x v="4"/>
    <x v="3"/>
    <n v="5"/>
    <n v="4"/>
    <n v="10"/>
    <n v="9"/>
    <n v="83"/>
    <x v="2"/>
    <n v="1495.18"/>
    <n v="124099.94"/>
    <n v="124099.94"/>
    <n v="87588.579436235465"/>
    <x v="0"/>
    <n v="27.26"/>
    <b v="0"/>
    <d v="2024-07-07T00:00:00"/>
    <x v="3"/>
    <x v="0"/>
    <n v="19"/>
    <x v="1"/>
    <s v="Credit Card"/>
    <s v="Not Returned"/>
  </r>
  <r>
    <s v="TID_1391"/>
    <x v="4"/>
    <x v="2"/>
    <x v="1"/>
    <x v="0"/>
    <x v="3"/>
    <x v="2"/>
    <n v="6"/>
    <n v="6"/>
    <n v="6"/>
    <n v="10"/>
    <n v="89"/>
    <x v="2"/>
    <n v="1393.87"/>
    <n v="124054.43"/>
    <n v="107431.13638"/>
    <n v="70919.775816235458"/>
    <x v="1"/>
    <n v="13.4"/>
    <b v="1"/>
    <d v="2024-10-15T00:00:00"/>
    <x v="0"/>
    <x v="0"/>
    <n v="34"/>
    <x v="0"/>
    <s v="Credit Card"/>
    <s v="Returned"/>
  </r>
  <r>
    <s v="TID_672"/>
    <x v="2"/>
    <x v="1"/>
    <x v="1"/>
    <x v="1"/>
    <x v="0"/>
    <x v="3"/>
    <n v="3"/>
    <n v="13"/>
    <n v="10"/>
    <n v="9"/>
    <n v="88"/>
    <x v="2"/>
    <n v="1404.67"/>
    <n v="123610.96"/>
    <n v="99914.738968000005"/>
    <n v="63403.378404235467"/>
    <x v="0"/>
    <n v="19.170000000000002"/>
    <b v="1"/>
    <d v="2023-10-13T00:00:00"/>
    <x v="0"/>
    <x v="1"/>
    <n v="26"/>
    <x v="0"/>
    <s v="Cash"/>
    <s v="Returned"/>
  </r>
  <r>
    <s v="TID_786"/>
    <x v="7"/>
    <x v="2"/>
    <x v="0"/>
    <x v="1"/>
    <x v="1"/>
    <x v="3"/>
    <n v="2"/>
    <n v="6"/>
    <n v="10"/>
    <n v="9"/>
    <n v="99"/>
    <x v="0"/>
    <n v="1243.74"/>
    <n v="123130.26"/>
    <n v="114535.767852"/>
    <n v="78024.407288235467"/>
    <x v="0"/>
    <n v="6.98"/>
    <b v="1"/>
    <d v="2023-03-09T00:00:00"/>
    <x v="2"/>
    <x v="1"/>
    <n v="41"/>
    <x v="2"/>
    <s v="Debit Card"/>
    <s v="Returned"/>
  </r>
  <r>
    <s v="TID_1468"/>
    <x v="4"/>
    <x v="2"/>
    <x v="1"/>
    <x v="2"/>
    <x v="4"/>
    <x v="3"/>
    <n v="6"/>
    <n v="6"/>
    <n v="10"/>
    <n v="9"/>
    <n v="97"/>
    <x v="0"/>
    <n v="1269.3399999999999"/>
    <n v="123125.98"/>
    <n v="123125.98"/>
    <n v="86614.619436235458"/>
    <x v="0"/>
    <n v="9.08"/>
    <b v="0"/>
    <d v="2023-10-03T00:00:00"/>
    <x v="0"/>
    <x v="1"/>
    <n v="43"/>
    <x v="0"/>
    <s v="Credit Card"/>
    <s v="Returned"/>
  </r>
  <r>
    <s v="TID_1512"/>
    <x v="2"/>
    <x v="1"/>
    <x v="3"/>
    <x v="1"/>
    <x v="4"/>
    <x v="0"/>
    <n v="3"/>
    <n v="13"/>
    <n v="10"/>
    <n v="10"/>
    <n v="90"/>
    <x v="2"/>
    <n v="1361.68"/>
    <n v="122551.2"/>
    <n v="116521.68096"/>
    <n v="80010.32039623546"/>
    <x v="1"/>
    <n v="4.92"/>
    <b v="1"/>
    <d v="2024-02-07T00:00:00"/>
    <x v="2"/>
    <x v="0"/>
    <n v="29"/>
    <x v="0"/>
    <s v="Credit Card"/>
    <s v="Not Returned"/>
  </r>
  <r>
    <s v="TID_797"/>
    <x v="4"/>
    <x v="2"/>
    <x v="2"/>
    <x v="0"/>
    <x v="4"/>
    <x v="3"/>
    <n v="6"/>
    <n v="6"/>
    <n v="6"/>
    <n v="9"/>
    <n v="90"/>
    <x v="2"/>
    <n v="1359.17"/>
    <n v="122325.3"/>
    <n v="108257.89050000001"/>
    <n v="71746.529936235471"/>
    <x v="0"/>
    <n v="11.5"/>
    <b v="1"/>
    <d v="2024-09-25T00:00:00"/>
    <x v="3"/>
    <x v="0"/>
    <n v="30"/>
    <x v="1"/>
    <s v="Cash"/>
    <s v="Returned"/>
  </r>
  <r>
    <s v="TID_1585"/>
    <x v="4"/>
    <x v="2"/>
    <x v="1"/>
    <x v="2"/>
    <x v="2"/>
    <x v="1"/>
    <n v="6"/>
    <n v="6"/>
    <n v="10"/>
    <n v="10"/>
    <n v="96"/>
    <x v="0"/>
    <n v="1270.2"/>
    <n v="121939.2"/>
    <n v="120573.48096"/>
    <n v="84062.120396235463"/>
    <x v="1"/>
    <n v="1.1200000000000001"/>
    <b v="1"/>
    <d v="2024-05-10T00:00:00"/>
    <x v="1"/>
    <x v="0"/>
    <n v="18"/>
    <x v="0"/>
    <s v="Cash"/>
    <s v="Not Returned"/>
  </r>
  <r>
    <s v="TID_937"/>
    <x v="0"/>
    <x v="0"/>
    <x v="0"/>
    <x v="0"/>
    <x v="3"/>
    <x v="2"/>
    <n v="5"/>
    <n v="4"/>
    <n v="6"/>
    <n v="10"/>
    <n v="97"/>
    <x v="0"/>
    <n v="1256.54"/>
    <n v="121884.38"/>
    <n v="115912.04538"/>
    <n v="79400.684816235458"/>
    <x v="1"/>
    <n v="4.9000000000000004"/>
    <b v="1"/>
    <d v="2023-11-10T00:00:00"/>
    <x v="0"/>
    <x v="1"/>
    <n v="61"/>
    <x v="2"/>
    <s v="Debit Card"/>
    <s v="Returned"/>
  </r>
  <r>
    <s v="TID_1642"/>
    <x v="1"/>
    <x v="0"/>
    <x v="1"/>
    <x v="1"/>
    <x v="1"/>
    <x v="2"/>
    <n v="5"/>
    <n v="4"/>
    <n v="10"/>
    <n v="10"/>
    <n v="82"/>
    <x v="2"/>
    <n v="1485.75"/>
    <n v="121831.5"/>
    <n v="121831.5"/>
    <n v="85320.139436235462"/>
    <x v="0"/>
    <n v="4.95"/>
    <b v="0"/>
    <d v="2023-04-29T00:00:00"/>
    <x v="1"/>
    <x v="1"/>
    <n v="38"/>
    <x v="1"/>
    <s v="Debit Card"/>
    <s v="Not Returned"/>
  </r>
  <r>
    <s v="TID_713"/>
    <x v="2"/>
    <x v="1"/>
    <x v="0"/>
    <x v="0"/>
    <x v="1"/>
    <x v="0"/>
    <n v="3"/>
    <n v="13"/>
    <n v="6"/>
    <n v="10"/>
    <n v="83"/>
    <x v="2"/>
    <n v="1454.53"/>
    <n v="120725.99"/>
    <n v="110886.821815"/>
    <n v="74375.461251235465"/>
    <x v="1"/>
    <n v="8.15"/>
    <b v="1"/>
    <d v="2024-02-04T00:00:00"/>
    <x v="2"/>
    <x v="0"/>
    <n v="65"/>
    <x v="1"/>
    <s v="Debit Card"/>
    <s v="Returned"/>
  </r>
  <r>
    <s v="TID_93"/>
    <x v="4"/>
    <x v="2"/>
    <x v="0"/>
    <x v="0"/>
    <x v="0"/>
    <x v="2"/>
    <n v="6"/>
    <n v="6"/>
    <n v="6"/>
    <n v="10"/>
    <n v="99"/>
    <x v="0"/>
    <n v="1218.23"/>
    <n v="120604.77"/>
    <n v="120604.77"/>
    <n v="84093.409436235466"/>
    <x v="0"/>
    <n v="6.94"/>
    <b v="0"/>
    <d v="2023-03-02T00:00:00"/>
    <x v="2"/>
    <x v="1"/>
    <n v="40"/>
    <x v="0"/>
    <s v="Debit Card"/>
    <s v="Not Returned"/>
  </r>
  <r>
    <s v="TID_262"/>
    <x v="6"/>
    <x v="1"/>
    <x v="2"/>
    <x v="0"/>
    <x v="4"/>
    <x v="0"/>
    <n v="6"/>
    <n v="13"/>
    <n v="6"/>
    <n v="10"/>
    <n v="86"/>
    <x v="2"/>
    <n v="1399.99"/>
    <n v="120399.14"/>
    <n v="107684.99081599999"/>
    <n v="71173.630252235453"/>
    <x v="1"/>
    <n v="10.56"/>
    <b v="1"/>
    <d v="2023-01-08T00:00:00"/>
    <x v="2"/>
    <x v="1"/>
    <n v="67"/>
    <x v="2"/>
    <s v="Credit Card"/>
    <s v="Not Returned"/>
  </r>
  <r>
    <s v="TID_1131"/>
    <x v="5"/>
    <x v="2"/>
    <x v="3"/>
    <x v="0"/>
    <x v="0"/>
    <x v="1"/>
    <n v="7"/>
    <n v="6"/>
    <n v="6"/>
    <n v="10"/>
    <n v="81"/>
    <x v="2"/>
    <n v="1481.27"/>
    <n v="119982.87"/>
    <n v="86327.674964999998"/>
    <n v="49816.314401235461"/>
    <x v="0"/>
    <n v="28.05"/>
    <b v="1"/>
    <d v="2023-03-10T00:00:00"/>
    <x v="2"/>
    <x v="1"/>
    <n v="19"/>
    <x v="2"/>
    <s v="Debit Card"/>
    <s v="Returned"/>
  </r>
  <r>
    <s v="TID_890"/>
    <x v="1"/>
    <x v="0"/>
    <x v="3"/>
    <x v="1"/>
    <x v="1"/>
    <x v="3"/>
    <n v="5"/>
    <n v="4"/>
    <n v="10"/>
    <n v="9"/>
    <n v="92"/>
    <x v="1"/>
    <n v="1302.1400000000001"/>
    <n v="119796.88"/>
    <n v="90590.400655999998"/>
    <n v="54079.04009223546"/>
    <x v="0"/>
    <n v="24.38"/>
    <b v="1"/>
    <d v="2024-06-21T00:00:00"/>
    <x v="1"/>
    <x v="0"/>
    <n v="29"/>
    <x v="1"/>
    <s v="Debit Card"/>
    <s v="Not Returned"/>
  </r>
  <r>
    <s v="TID_1466"/>
    <x v="0"/>
    <x v="0"/>
    <x v="2"/>
    <x v="1"/>
    <x v="1"/>
    <x v="2"/>
    <n v="5"/>
    <n v="4"/>
    <n v="10"/>
    <n v="10"/>
    <n v="97"/>
    <x v="0"/>
    <n v="1232.94"/>
    <n v="119595.18"/>
    <n v="119236.39446"/>
    <n v="82725.033896235458"/>
    <x v="0"/>
    <n v="0.3"/>
    <b v="1"/>
    <d v="2023-08-31T00:00:00"/>
    <x v="3"/>
    <x v="1"/>
    <n v="39"/>
    <x v="2"/>
    <s v="Online Payment"/>
    <s v="Not Returned"/>
  </r>
  <r>
    <s v="TID_945"/>
    <x v="7"/>
    <x v="2"/>
    <x v="2"/>
    <x v="2"/>
    <x v="0"/>
    <x v="3"/>
    <n v="2"/>
    <n v="6"/>
    <n v="10"/>
    <n v="9"/>
    <n v="98"/>
    <x v="0"/>
    <n v="1218.72"/>
    <n v="119434.56"/>
    <n v="119434.56"/>
    <n v="82923.19943623546"/>
    <x v="0"/>
    <n v="23.92"/>
    <b v="0"/>
    <d v="2024-08-21T00:00:00"/>
    <x v="3"/>
    <x v="0"/>
    <n v="63"/>
    <x v="0"/>
    <s v="Online Payment"/>
    <s v="Not Returned"/>
  </r>
  <r>
    <s v="TID_1233"/>
    <x v="3"/>
    <x v="0"/>
    <x v="2"/>
    <x v="2"/>
    <x v="3"/>
    <x v="3"/>
    <n v="5"/>
    <n v="4"/>
    <n v="10"/>
    <n v="9"/>
    <n v="85"/>
    <x v="2"/>
    <n v="1394.96"/>
    <n v="118571.6"/>
    <n v="90066.987360000014"/>
    <n v="53555.626796235476"/>
    <x v="1"/>
    <n v="24.04"/>
    <b v="1"/>
    <d v="2023-11-25T00:00:00"/>
    <x v="0"/>
    <x v="1"/>
    <n v="56"/>
    <x v="1"/>
    <s v="Debit Card"/>
    <s v="Not Returned"/>
  </r>
  <r>
    <s v="TID_32"/>
    <x v="7"/>
    <x v="2"/>
    <x v="1"/>
    <x v="0"/>
    <x v="0"/>
    <x v="2"/>
    <n v="2"/>
    <n v="6"/>
    <n v="6"/>
    <n v="10"/>
    <n v="86"/>
    <x v="2"/>
    <n v="1373.54"/>
    <n v="118124.44"/>
    <n v="118124.44"/>
    <n v="81613.079436235465"/>
    <x v="1"/>
    <n v="20.14"/>
    <b v="0"/>
    <d v="2023-03-20T00:00:00"/>
    <x v="2"/>
    <x v="1"/>
    <n v="40"/>
    <x v="2"/>
    <s v="Credit Card"/>
    <s v="Returned"/>
  </r>
  <r>
    <s v="TID_1694"/>
    <x v="6"/>
    <x v="1"/>
    <x v="2"/>
    <x v="1"/>
    <x v="2"/>
    <x v="1"/>
    <n v="6"/>
    <n v="13"/>
    <n v="10"/>
    <n v="10"/>
    <n v="82"/>
    <x v="2"/>
    <n v="1439.89"/>
    <n v="118070.98"/>
    <n v="118070.98"/>
    <n v="81559.619436235458"/>
    <x v="0"/>
    <n v="13.51"/>
    <b v="0"/>
    <d v="2023-05-31T00:00:00"/>
    <x v="1"/>
    <x v="1"/>
    <n v="69"/>
    <x v="0"/>
    <s v="Debit Card"/>
    <s v="Not Returned"/>
  </r>
  <r>
    <s v="TID_1463"/>
    <x v="7"/>
    <x v="2"/>
    <x v="3"/>
    <x v="2"/>
    <x v="1"/>
    <x v="1"/>
    <n v="2"/>
    <n v="6"/>
    <n v="10"/>
    <n v="10"/>
    <n v="87"/>
    <x v="2"/>
    <n v="1345.24"/>
    <n v="117035.88"/>
    <n v="117035.88"/>
    <n v="80524.519436235467"/>
    <x v="1"/>
    <n v="12.32"/>
    <b v="0"/>
    <d v="2023-08-16T00:00:00"/>
    <x v="3"/>
    <x v="1"/>
    <n v="66"/>
    <x v="1"/>
    <s v="Cash"/>
    <s v="Not Returned"/>
  </r>
  <r>
    <s v="TID_907"/>
    <x v="0"/>
    <x v="0"/>
    <x v="3"/>
    <x v="1"/>
    <x v="4"/>
    <x v="1"/>
    <n v="5"/>
    <n v="4"/>
    <n v="10"/>
    <n v="10"/>
    <n v="82"/>
    <x v="2"/>
    <n v="1416.77"/>
    <n v="116175.14"/>
    <n v="116175.14"/>
    <n v="79663.779436235462"/>
    <x v="1"/>
    <n v="18.13"/>
    <b v="0"/>
    <d v="2023-03-26T00:00:00"/>
    <x v="2"/>
    <x v="1"/>
    <n v="52"/>
    <x v="1"/>
    <s v="Online Payment"/>
    <s v="Not Returned"/>
  </r>
  <r>
    <s v="TID_1598"/>
    <x v="0"/>
    <x v="0"/>
    <x v="1"/>
    <x v="0"/>
    <x v="1"/>
    <x v="1"/>
    <n v="5"/>
    <n v="4"/>
    <n v="6"/>
    <n v="10"/>
    <n v="86"/>
    <x v="2"/>
    <n v="1350.03"/>
    <n v="116102.58"/>
    <n v="116102.58"/>
    <n v="79591.219436235464"/>
    <x v="1"/>
    <n v="25.07"/>
    <b v="0"/>
    <d v="2024-06-10T00:00:00"/>
    <x v="1"/>
    <x v="0"/>
    <n v="36"/>
    <x v="1"/>
    <s v="Cash"/>
    <s v="Returned"/>
  </r>
  <r>
    <s v="TID_1822"/>
    <x v="3"/>
    <x v="0"/>
    <x v="2"/>
    <x v="1"/>
    <x v="4"/>
    <x v="0"/>
    <n v="5"/>
    <n v="4"/>
    <n v="10"/>
    <n v="10"/>
    <n v="95"/>
    <x v="1"/>
    <n v="1214.43"/>
    <n v="115370.85"/>
    <n v="110144.550495"/>
    <n v="73633.189931235465"/>
    <x v="1"/>
    <n v="4.53"/>
    <b v="1"/>
    <d v="2023-08-02T00:00:00"/>
    <x v="3"/>
    <x v="1"/>
    <n v="68"/>
    <x v="0"/>
    <s v="Online Payment"/>
    <s v="Not Returned"/>
  </r>
  <r>
    <s v="TID_1045"/>
    <x v="9"/>
    <x v="4"/>
    <x v="2"/>
    <x v="2"/>
    <x v="0"/>
    <x v="1"/>
    <n v="6"/>
    <n v="13"/>
    <n v="10"/>
    <n v="10"/>
    <n v="91"/>
    <x v="1"/>
    <n v="1261.57"/>
    <n v="114802.87"/>
    <n v="114802.87"/>
    <n v="78291.509436235458"/>
    <x v="1"/>
    <n v="10.59"/>
    <b v="0"/>
    <d v="2024-03-06T00:00:00"/>
    <x v="2"/>
    <x v="0"/>
    <n v="32"/>
    <x v="2"/>
    <s v="Debit Card"/>
    <s v="Returned"/>
  </r>
  <r>
    <s v="TID_8"/>
    <x v="3"/>
    <x v="0"/>
    <x v="0"/>
    <x v="1"/>
    <x v="4"/>
    <x v="2"/>
    <n v="5"/>
    <n v="4"/>
    <n v="10"/>
    <n v="10"/>
    <n v="89"/>
    <x v="2"/>
    <n v="1289.3699999999999"/>
    <n v="114753.93"/>
    <n v="89806.425617999994"/>
    <n v="53295.065054235456"/>
    <x v="1"/>
    <n v="21.74"/>
    <b v="1"/>
    <d v="2024-02-07T00:00:00"/>
    <x v="2"/>
    <x v="0"/>
    <n v="69"/>
    <x v="2"/>
    <s v="Cash"/>
    <s v="Not Returned"/>
  </r>
  <r>
    <s v="TID_953"/>
    <x v="1"/>
    <x v="0"/>
    <x v="2"/>
    <x v="1"/>
    <x v="3"/>
    <x v="2"/>
    <n v="5"/>
    <n v="4"/>
    <n v="10"/>
    <n v="10"/>
    <n v="84"/>
    <x v="2"/>
    <n v="1366.04"/>
    <n v="114747.36"/>
    <n v="109124.73935999999"/>
    <n v="72613.378796235455"/>
    <x v="0"/>
    <n v="4.9000000000000004"/>
    <b v="1"/>
    <d v="2023-08-11T00:00:00"/>
    <x v="3"/>
    <x v="1"/>
    <n v="46"/>
    <x v="2"/>
    <s v="Cash"/>
    <s v="Not Returned"/>
  </r>
  <r>
    <s v="TID_186"/>
    <x v="6"/>
    <x v="1"/>
    <x v="0"/>
    <x v="0"/>
    <x v="1"/>
    <x v="3"/>
    <n v="6"/>
    <n v="13"/>
    <n v="6"/>
    <n v="9"/>
    <n v="77"/>
    <x v="3"/>
    <n v="1487.03"/>
    <n v="114501.31"/>
    <n v="110665.51611500001"/>
    <n v="74154.155551235468"/>
    <x v="0"/>
    <n v="3.35"/>
    <b v="1"/>
    <d v="2024-05-07T00:00:00"/>
    <x v="1"/>
    <x v="0"/>
    <n v="62"/>
    <x v="1"/>
    <s v="Debit Card"/>
    <s v="Not Returned"/>
  </r>
  <r>
    <s v="TID_158"/>
    <x v="7"/>
    <x v="2"/>
    <x v="2"/>
    <x v="2"/>
    <x v="1"/>
    <x v="0"/>
    <n v="2"/>
    <n v="6"/>
    <n v="10"/>
    <n v="10"/>
    <n v="83"/>
    <x v="2"/>
    <n v="1376.54"/>
    <n v="114252.82"/>
    <n v="97514.781870000006"/>
    <n v="61003.421306235468"/>
    <x v="0"/>
    <n v="14.65"/>
    <b v="1"/>
    <d v="2023-03-21T00:00:00"/>
    <x v="2"/>
    <x v="1"/>
    <n v="20"/>
    <x v="1"/>
    <s v="Debit Card"/>
    <s v="Not Returned"/>
  </r>
  <r>
    <s v="TID_1000"/>
    <x v="0"/>
    <x v="0"/>
    <x v="3"/>
    <x v="1"/>
    <x v="4"/>
    <x v="3"/>
    <n v="5"/>
    <n v="4"/>
    <n v="10"/>
    <n v="9"/>
    <n v="99"/>
    <x v="0"/>
    <n v="1151.17"/>
    <n v="113965.83"/>
    <n v="113965.83"/>
    <n v="77454.469436235464"/>
    <x v="0"/>
    <n v="29.21"/>
    <b v="0"/>
    <d v="2023-10-13T00:00:00"/>
    <x v="0"/>
    <x v="1"/>
    <n v="45"/>
    <x v="0"/>
    <s v="Online Payment"/>
    <s v="Returned"/>
  </r>
  <r>
    <s v="TID_864"/>
    <x v="7"/>
    <x v="2"/>
    <x v="3"/>
    <x v="2"/>
    <x v="3"/>
    <x v="1"/>
    <n v="2"/>
    <n v="6"/>
    <n v="10"/>
    <n v="10"/>
    <n v="76"/>
    <x v="3"/>
    <n v="1498.4"/>
    <n v="113878.39999999999"/>
    <n v="113878.39999999999"/>
    <n v="77367.039436235456"/>
    <x v="1"/>
    <n v="19.47"/>
    <b v="0"/>
    <d v="2024-01-04T00:00:00"/>
    <x v="2"/>
    <x v="0"/>
    <n v="54"/>
    <x v="0"/>
    <s v="Debit Card"/>
    <s v="Returned"/>
  </r>
  <r>
    <s v="TID_1823"/>
    <x v="9"/>
    <x v="4"/>
    <x v="3"/>
    <x v="2"/>
    <x v="4"/>
    <x v="3"/>
    <n v="6"/>
    <n v="13"/>
    <n v="10"/>
    <n v="9"/>
    <n v="95"/>
    <x v="1"/>
    <n v="1197.96"/>
    <n v="113806.2"/>
    <n v="89019.209640000001"/>
    <n v="52507.849076235463"/>
    <x v="0"/>
    <n v="21.78"/>
    <b v="1"/>
    <d v="2024-08-16T00:00:00"/>
    <x v="3"/>
    <x v="0"/>
    <n v="37"/>
    <x v="0"/>
    <s v="Credit Card"/>
    <s v="Not Returned"/>
  </r>
  <r>
    <s v="TID_1737"/>
    <x v="8"/>
    <x v="3"/>
    <x v="0"/>
    <x v="0"/>
    <x v="1"/>
    <x v="2"/>
    <n v="9"/>
    <n v="7"/>
    <n v="6"/>
    <n v="10"/>
    <n v="81"/>
    <x v="2"/>
    <n v="1402.19"/>
    <n v="113577.39"/>
    <n v="113577.39"/>
    <n v="77066.029436235462"/>
    <x v="0"/>
    <n v="23.56"/>
    <b v="0"/>
    <d v="2023-01-10T00:00:00"/>
    <x v="2"/>
    <x v="1"/>
    <n v="61"/>
    <x v="2"/>
    <s v="Credit Card"/>
    <s v="Returned"/>
  </r>
  <r>
    <s v="TID_634"/>
    <x v="6"/>
    <x v="1"/>
    <x v="1"/>
    <x v="0"/>
    <x v="0"/>
    <x v="3"/>
    <n v="6"/>
    <n v="13"/>
    <n v="6"/>
    <n v="9"/>
    <n v="84"/>
    <x v="2"/>
    <n v="1349.89"/>
    <n v="113390.76"/>
    <n v="113390.76"/>
    <n v="76879.399436235457"/>
    <x v="0"/>
    <n v="22.03"/>
    <b v="0"/>
    <d v="2024-07-14T00:00:00"/>
    <x v="3"/>
    <x v="0"/>
    <n v="34"/>
    <x v="1"/>
    <s v="Cash"/>
    <s v="Not Returned"/>
  </r>
  <r>
    <s v="TID_394"/>
    <x v="9"/>
    <x v="4"/>
    <x v="0"/>
    <x v="0"/>
    <x v="0"/>
    <x v="0"/>
    <n v="6"/>
    <n v="13"/>
    <n v="6"/>
    <n v="10"/>
    <n v="77"/>
    <x v="3"/>
    <n v="1472.43"/>
    <n v="113377.11"/>
    <n v="113377.11"/>
    <n v="76865.749436235463"/>
    <x v="0"/>
    <n v="10.07"/>
    <b v="0"/>
    <d v="2023-02-25T00:00:00"/>
    <x v="2"/>
    <x v="1"/>
    <n v="49"/>
    <x v="2"/>
    <s v="Credit Card"/>
    <s v="Returned"/>
  </r>
  <r>
    <s v="TID_1208"/>
    <x v="4"/>
    <x v="2"/>
    <x v="3"/>
    <x v="2"/>
    <x v="1"/>
    <x v="0"/>
    <n v="6"/>
    <n v="6"/>
    <n v="10"/>
    <n v="10"/>
    <n v="86"/>
    <x v="2"/>
    <n v="1315.23"/>
    <n v="113109.78"/>
    <n v="112702.58479199999"/>
    <n v="76191.224228235456"/>
    <x v="1"/>
    <n v="0.36"/>
    <b v="1"/>
    <d v="2023-07-23T00:00:00"/>
    <x v="3"/>
    <x v="1"/>
    <n v="38"/>
    <x v="1"/>
    <s v="Online Payment"/>
    <s v="Not Returned"/>
  </r>
  <r>
    <s v="TID_1312"/>
    <x v="6"/>
    <x v="1"/>
    <x v="1"/>
    <x v="1"/>
    <x v="1"/>
    <x v="3"/>
    <n v="6"/>
    <n v="13"/>
    <n v="10"/>
    <n v="9"/>
    <n v="80"/>
    <x v="3"/>
    <n v="1411.71"/>
    <n v="112936.8"/>
    <n v="112936.8"/>
    <n v="76425.439436235465"/>
    <x v="1"/>
    <n v="25.59"/>
    <b v="0"/>
    <d v="2024-07-15T00:00:00"/>
    <x v="3"/>
    <x v="0"/>
    <n v="56"/>
    <x v="2"/>
    <s v="Credit Card"/>
    <s v="Not Returned"/>
  </r>
  <r>
    <s v="TID_652"/>
    <x v="6"/>
    <x v="1"/>
    <x v="1"/>
    <x v="2"/>
    <x v="4"/>
    <x v="3"/>
    <n v="6"/>
    <n v="13"/>
    <n v="10"/>
    <n v="9"/>
    <n v="78"/>
    <x v="3"/>
    <n v="1447.88"/>
    <n v="112934.64"/>
    <n v="110371.023672"/>
    <n v="73859.663108235458"/>
    <x v="0"/>
    <n v="2.27"/>
    <b v="1"/>
    <d v="2023-12-12T00:00:00"/>
    <x v="0"/>
    <x v="1"/>
    <n v="69"/>
    <x v="1"/>
    <s v="Online Payment"/>
    <s v="Returned"/>
  </r>
  <r>
    <s v="TID_1772"/>
    <x v="8"/>
    <x v="3"/>
    <x v="2"/>
    <x v="2"/>
    <x v="0"/>
    <x v="2"/>
    <n v="9"/>
    <n v="7"/>
    <n v="10"/>
    <n v="10"/>
    <n v="97"/>
    <x v="0"/>
    <n v="1162.3900000000001"/>
    <n v="112751.83"/>
    <n v="112751.83"/>
    <n v="76240.469436235464"/>
    <x v="1"/>
    <n v="17.559999999999999"/>
    <b v="0"/>
    <d v="2023-07-22T00:00:00"/>
    <x v="3"/>
    <x v="1"/>
    <n v="67"/>
    <x v="0"/>
    <s v="Online Payment"/>
    <s v="Not Returned"/>
  </r>
  <r>
    <s v="TID_758"/>
    <x v="4"/>
    <x v="2"/>
    <x v="3"/>
    <x v="1"/>
    <x v="2"/>
    <x v="0"/>
    <n v="6"/>
    <n v="6"/>
    <n v="10"/>
    <n v="10"/>
    <n v="75"/>
    <x v="3"/>
    <n v="1499.01"/>
    <n v="112425.75"/>
    <n v="102610.98202499999"/>
    <n v="66099.621461235452"/>
    <x v="1"/>
    <n v="8.73"/>
    <b v="1"/>
    <d v="2023-02-12T00:00:00"/>
    <x v="2"/>
    <x v="1"/>
    <n v="30"/>
    <x v="0"/>
    <s v="Debit Card"/>
    <s v="Not Returned"/>
  </r>
  <r>
    <s v="TID_1974"/>
    <x v="5"/>
    <x v="2"/>
    <x v="0"/>
    <x v="1"/>
    <x v="1"/>
    <x v="2"/>
    <n v="7"/>
    <n v="6"/>
    <n v="10"/>
    <n v="10"/>
    <n v="97"/>
    <x v="0"/>
    <n v="1156.3499999999999"/>
    <n v="112165.95"/>
    <n v="112165.95"/>
    <n v="75654.589436235459"/>
    <x v="1"/>
    <n v="17.13"/>
    <b v="0"/>
    <d v="2024-03-31T00:00:00"/>
    <x v="2"/>
    <x v="0"/>
    <n v="59"/>
    <x v="1"/>
    <s v="Credit Card"/>
    <s v="Returned"/>
  </r>
  <r>
    <s v="TID_1614"/>
    <x v="6"/>
    <x v="1"/>
    <x v="0"/>
    <x v="2"/>
    <x v="2"/>
    <x v="3"/>
    <n v="6"/>
    <n v="13"/>
    <n v="10"/>
    <n v="9"/>
    <n v="80"/>
    <x v="3"/>
    <n v="1390.76"/>
    <n v="111260.8"/>
    <n v="111260.8"/>
    <n v="74749.439436235465"/>
    <x v="1"/>
    <n v="15.71"/>
    <b v="0"/>
    <d v="2023-10-17T00:00:00"/>
    <x v="0"/>
    <x v="1"/>
    <n v="58"/>
    <x v="0"/>
    <s v="Debit Card"/>
    <s v="Returned"/>
  </r>
  <r>
    <s v="TID_582"/>
    <x v="1"/>
    <x v="0"/>
    <x v="0"/>
    <x v="0"/>
    <x v="1"/>
    <x v="2"/>
    <n v="5"/>
    <n v="4"/>
    <n v="6"/>
    <n v="10"/>
    <n v="91"/>
    <x v="1"/>
    <n v="1220.46"/>
    <n v="111061.86"/>
    <n v="111061.86"/>
    <n v="74550.499436235463"/>
    <x v="0"/>
    <n v="24.44"/>
    <b v="0"/>
    <d v="2024-09-19T00:00:00"/>
    <x v="3"/>
    <x v="0"/>
    <n v="35"/>
    <x v="0"/>
    <s v="Cash"/>
    <s v="Not Returned"/>
  </r>
  <r>
    <s v="TID_775"/>
    <x v="2"/>
    <x v="1"/>
    <x v="2"/>
    <x v="2"/>
    <x v="2"/>
    <x v="3"/>
    <n v="3"/>
    <n v="13"/>
    <n v="10"/>
    <n v="9"/>
    <n v="99"/>
    <x v="0"/>
    <n v="1118.3699999999999"/>
    <n v="110718.63"/>
    <n v="102990.46962600001"/>
    <n v="66479.109062235468"/>
    <x v="0"/>
    <n v="6.98"/>
    <b v="1"/>
    <d v="2024-01-25T00:00:00"/>
    <x v="2"/>
    <x v="0"/>
    <n v="47"/>
    <x v="1"/>
    <s v="Debit Card"/>
    <s v="Returned"/>
  </r>
  <r>
    <s v="TID_637"/>
    <x v="6"/>
    <x v="1"/>
    <x v="2"/>
    <x v="2"/>
    <x v="4"/>
    <x v="3"/>
    <n v="6"/>
    <n v="13"/>
    <n v="10"/>
    <n v="9"/>
    <n v="80"/>
    <x v="3"/>
    <n v="1381.12"/>
    <n v="110489.60000000001"/>
    <n v="95783.434240000002"/>
    <n v="59272.073676235465"/>
    <x v="0"/>
    <n v="13.31"/>
    <b v="1"/>
    <d v="2023-04-18T00:00:00"/>
    <x v="1"/>
    <x v="1"/>
    <n v="32"/>
    <x v="0"/>
    <s v="Online Payment"/>
    <s v="Not Returned"/>
  </r>
  <r>
    <s v="TID_1744"/>
    <x v="4"/>
    <x v="2"/>
    <x v="3"/>
    <x v="0"/>
    <x v="4"/>
    <x v="3"/>
    <n v="6"/>
    <n v="6"/>
    <n v="6"/>
    <n v="9"/>
    <n v="87"/>
    <x v="2"/>
    <n v="1266.1099999999999"/>
    <n v="110151.57"/>
    <n v="82734.844227000009"/>
    <n v="46223.483663235471"/>
    <x v="1"/>
    <n v="24.89"/>
    <b v="1"/>
    <d v="2023-09-24T00:00:00"/>
    <x v="3"/>
    <x v="1"/>
    <n v="29"/>
    <x v="2"/>
    <s v="Credit Card"/>
    <s v="Returned"/>
  </r>
  <r>
    <s v="TID_1831"/>
    <x v="2"/>
    <x v="1"/>
    <x v="2"/>
    <x v="2"/>
    <x v="3"/>
    <x v="3"/>
    <n v="3"/>
    <n v="13"/>
    <n v="10"/>
    <n v="9"/>
    <n v="74"/>
    <x v="3"/>
    <n v="1481.39"/>
    <n v="109622.86"/>
    <n v="109622.86"/>
    <n v="73111.499436235463"/>
    <x v="0"/>
    <n v="23.63"/>
    <b v="0"/>
    <d v="2024-06-23T00:00:00"/>
    <x v="1"/>
    <x v="0"/>
    <n v="31"/>
    <x v="2"/>
    <s v="Debit Card"/>
    <s v="Returned"/>
  </r>
  <r>
    <s v="TID_1557"/>
    <x v="0"/>
    <x v="0"/>
    <x v="0"/>
    <x v="2"/>
    <x v="3"/>
    <x v="0"/>
    <n v="5"/>
    <n v="4"/>
    <n v="10"/>
    <n v="10"/>
    <n v="93"/>
    <x v="1"/>
    <n v="1178.08"/>
    <n v="109561.44"/>
    <n v="109561.44"/>
    <n v="73050.079436235465"/>
    <x v="0"/>
    <n v="9.32"/>
    <b v="0"/>
    <d v="2024-07-30T00:00:00"/>
    <x v="3"/>
    <x v="0"/>
    <n v="25"/>
    <x v="1"/>
    <s v="Online Payment"/>
    <s v="Not Returned"/>
  </r>
  <r>
    <s v="TID_934"/>
    <x v="2"/>
    <x v="1"/>
    <x v="0"/>
    <x v="2"/>
    <x v="2"/>
    <x v="3"/>
    <n v="3"/>
    <n v="13"/>
    <n v="10"/>
    <n v="9"/>
    <n v="96"/>
    <x v="0"/>
    <n v="1134.49"/>
    <n v="108911.03999999999"/>
    <n v="108911.03999999999"/>
    <n v="72399.679436235456"/>
    <x v="1"/>
    <n v="27.22"/>
    <b v="0"/>
    <d v="2024-09-16T00:00:00"/>
    <x v="3"/>
    <x v="0"/>
    <n v="57"/>
    <x v="0"/>
    <s v="Online Payment"/>
    <s v="Not Returned"/>
  </r>
  <r>
    <s v="TID_941"/>
    <x v="6"/>
    <x v="1"/>
    <x v="1"/>
    <x v="2"/>
    <x v="2"/>
    <x v="1"/>
    <n v="6"/>
    <n v="13"/>
    <n v="10"/>
    <n v="10"/>
    <n v="97"/>
    <x v="0"/>
    <n v="1122.43"/>
    <n v="108875.71"/>
    <n v="108875.71"/>
    <n v="72364.349436235469"/>
    <x v="0"/>
    <n v="20.47"/>
    <b v="0"/>
    <d v="2024-05-07T00:00:00"/>
    <x v="1"/>
    <x v="0"/>
    <n v="65"/>
    <x v="1"/>
    <s v="Debit Card"/>
    <s v="Not Returned"/>
  </r>
  <r>
    <s v="TID_1395"/>
    <x v="0"/>
    <x v="0"/>
    <x v="0"/>
    <x v="0"/>
    <x v="3"/>
    <x v="3"/>
    <n v="5"/>
    <n v="4"/>
    <n v="6"/>
    <n v="9"/>
    <n v="90"/>
    <x v="2"/>
    <n v="1204.47"/>
    <n v="108402.3"/>
    <n v="98830.376909999992"/>
    <n v="62319.016346235454"/>
    <x v="1"/>
    <n v="8.83"/>
    <b v="1"/>
    <d v="2024-04-10T00:00:00"/>
    <x v="1"/>
    <x v="0"/>
    <n v="57"/>
    <x v="1"/>
    <s v="Credit Card"/>
    <s v="Not Returned"/>
  </r>
  <r>
    <s v="TID_178"/>
    <x v="6"/>
    <x v="1"/>
    <x v="3"/>
    <x v="1"/>
    <x v="3"/>
    <x v="3"/>
    <n v="6"/>
    <n v="13"/>
    <n v="10"/>
    <n v="9"/>
    <n v="75"/>
    <x v="3"/>
    <n v="1443.62"/>
    <n v="108271.5"/>
    <n v="99772.187250000003"/>
    <n v="63260.826686235465"/>
    <x v="0"/>
    <n v="7.85"/>
    <b v="1"/>
    <d v="2023-02-16T00:00:00"/>
    <x v="2"/>
    <x v="1"/>
    <n v="48"/>
    <x v="1"/>
    <s v="Online Payment"/>
    <s v="Not Returned"/>
  </r>
  <r>
    <s v="TID_896"/>
    <x v="2"/>
    <x v="1"/>
    <x v="3"/>
    <x v="2"/>
    <x v="1"/>
    <x v="3"/>
    <n v="3"/>
    <n v="13"/>
    <n v="10"/>
    <n v="9"/>
    <n v="86"/>
    <x v="2"/>
    <n v="1257.75"/>
    <n v="108166.5"/>
    <n v="108166.5"/>
    <n v="71655.139436235462"/>
    <x v="0"/>
    <n v="14.94"/>
    <b v="0"/>
    <d v="2023-08-13T00:00:00"/>
    <x v="3"/>
    <x v="1"/>
    <n v="21"/>
    <x v="2"/>
    <s v="Cash"/>
    <s v="Returned"/>
  </r>
  <r>
    <s v="TID_1984"/>
    <x v="3"/>
    <x v="0"/>
    <x v="1"/>
    <x v="2"/>
    <x v="0"/>
    <x v="0"/>
    <n v="5"/>
    <n v="4"/>
    <n v="10"/>
    <n v="10"/>
    <n v="92"/>
    <x v="1"/>
    <n v="1175.45"/>
    <n v="108141.4"/>
    <n v="108141.4"/>
    <n v="71630.039436235456"/>
    <x v="0"/>
    <n v="18.61"/>
    <b v="0"/>
    <d v="2024-08-16T00:00:00"/>
    <x v="3"/>
    <x v="0"/>
    <n v="50"/>
    <x v="2"/>
    <s v="Cash"/>
    <s v="Returned"/>
  </r>
  <r>
    <s v="TID_494"/>
    <x v="3"/>
    <x v="0"/>
    <x v="1"/>
    <x v="1"/>
    <x v="4"/>
    <x v="2"/>
    <n v="5"/>
    <n v="4"/>
    <n v="10"/>
    <n v="10"/>
    <n v="73"/>
    <x v="3"/>
    <n v="1479.59"/>
    <n v="108010.07"/>
    <n v="108010.07"/>
    <n v="71498.709436235469"/>
    <x v="0"/>
    <n v="13.82"/>
    <b v="0"/>
    <d v="2023-09-10T00:00:00"/>
    <x v="3"/>
    <x v="1"/>
    <n v="47"/>
    <x v="1"/>
    <s v="Debit Card"/>
    <s v="Not Returned"/>
  </r>
  <r>
    <s v="TID_657"/>
    <x v="3"/>
    <x v="0"/>
    <x v="2"/>
    <x v="2"/>
    <x v="2"/>
    <x v="2"/>
    <n v="5"/>
    <n v="4"/>
    <n v="10"/>
    <n v="10"/>
    <n v="79"/>
    <x v="3"/>
    <n v="1366.33"/>
    <n v="107940.07"/>
    <n v="107821.33592300001"/>
    <n v="71309.975359235468"/>
    <x v="0"/>
    <n v="0.11"/>
    <b v="1"/>
    <d v="2024-10-22T00:00:00"/>
    <x v="0"/>
    <x v="0"/>
    <n v="40"/>
    <x v="1"/>
    <s v="Credit Card"/>
    <s v="Returned"/>
  </r>
  <r>
    <s v="TID_585"/>
    <x v="4"/>
    <x v="2"/>
    <x v="0"/>
    <x v="1"/>
    <x v="0"/>
    <x v="2"/>
    <n v="6"/>
    <n v="6"/>
    <n v="10"/>
    <n v="10"/>
    <n v="84"/>
    <x v="2"/>
    <n v="1282.48"/>
    <n v="107728.32000000001"/>
    <n v="107728.32000000001"/>
    <n v="71216.959436235469"/>
    <x v="1"/>
    <n v="24.49"/>
    <b v="0"/>
    <d v="2024-05-27T00:00:00"/>
    <x v="1"/>
    <x v="0"/>
    <n v="42"/>
    <x v="2"/>
    <s v="Debit Card"/>
    <s v="Not Returned"/>
  </r>
  <r>
    <s v="TID_1903"/>
    <x v="4"/>
    <x v="2"/>
    <x v="0"/>
    <x v="1"/>
    <x v="4"/>
    <x v="2"/>
    <n v="6"/>
    <n v="6"/>
    <n v="10"/>
    <n v="10"/>
    <n v="89"/>
    <x v="2"/>
    <n v="1199.8599999999999"/>
    <n v="106787.54"/>
    <n v="106787.54"/>
    <n v="70276.179436235456"/>
    <x v="1"/>
    <n v="9.3000000000000007"/>
    <b v="0"/>
    <d v="2024-10-08T00:00:00"/>
    <x v="0"/>
    <x v="0"/>
    <n v="22"/>
    <x v="2"/>
    <s v="Cash"/>
    <s v="Not Returned"/>
  </r>
  <r>
    <s v="TID_818"/>
    <x v="1"/>
    <x v="0"/>
    <x v="2"/>
    <x v="0"/>
    <x v="3"/>
    <x v="3"/>
    <n v="5"/>
    <n v="4"/>
    <n v="6"/>
    <n v="9"/>
    <n v="87"/>
    <x v="2"/>
    <n v="1224.53"/>
    <n v="106534.11"/>
    <n v="106534.11"/>
    <n v="70022.749436235463"/>
    <x v="0"/>
    <n v="28.88"/>
    <b v="0"/>
    <d v="2023-11-29T00:00:00"/>
    <x v="0"/>
    <x v="1"/>
    <n v="40"/>
    <x v="2"/>
    <s v="Debit Card"/>
    <s v="Returned"/>
  </r>
  <r>
    <s v="TID_21"/>
    <x v="4"/>
    <x v="2"/>
    <x v="1"/>
    <x v="2"/>
    <x v="2"/>
    <x v="3"/>
    <n v="6"/>
    <n v="6"/>
    <n v="10"/>
    <n v="9"/>
    <n v="84"/>
    <x v="2"/>
    <n v="1265.9000000000001"/>
    <n v="106335.6"/>
    <n v="102103.44312"/>
    <n v="65592.082556235458"/>
    <x v="0"/>
    <n v="3.98"/>
    <b v="1"/>
    <d v="2024-09-09T00:00:00"/>
    <x v="3"/>
    <x v="0"/>
    <n v="42"/>
    <x v="1"/>
    <s v="Cash"/>
    <s v="Returned"/>
  </r>
  <r>
    <s v="TID_943"/>
    <x v="1"/>
    <x v="0"/>
    <x v="3"/>
    <x v="0"/>
    <x v="1"/>
    <x v="2"/>
    <n v="5"/>
    <n v="4"/>
    <n v="6"/>
    <n v="10"/>
    <n v="95"/>
    <x v="1"/>
    <n v="1118.1500000000001"/>
    <n v="106224.25"/>
    <n v="86190.356450000007"/>
    <n v="49678.995886235469"/>
    <x v="0"/>
    <n v="18.86"/>
    <b v="1"/>
    <d v="2024-01-01T00:00:00"/>
    <x v="2"/>
    <x v="0"/>
    <n v="60"/>
    <x v="2"/>
    <s v="Credit Card"/>
    <s v="Returned"/>
  </r>
  <r>
    <s v="TID_988"/>
    <x v="4"/>
    <x v="2"/>
    <x v="2"/>
    <x v="2"/>
    <x v="1"/>
    <x v="3"/>
    <n v="6"/>
    <n v="6"/>
    <n v="10"/>
    <n v="9"/>
    <n v="93"/>
    <x v="1"/>
    <n v="1141.58"/>
    <n v="106166.94"/>
    <n v="106166.94"/>
    <n v="69655.579436235465"/>
    <x v="1"/>
    <n v="16.510000000000002"/>
    <b v="0"/>
    <d v="2024-04-09T00:00:00"/>
    <x v="1"/>
    <x v="0"/>
    <n v="22"/>
    <x v="1"/>
    <s v="Cash"/>
    <s v="Not Returned"/>
  </r>
  <r>
    <s v="TID_1575"/>
    <x v="3"/>
    <x v="0"/>
    <x v="3"/>
    <x v="2"/>
    <x v="1"/>
    <x v="2"/>
    <n v="5"/>
    <n v="4"/>
    <n v="10"/>
    <n v="10"/>
    <n v="97"/>
    <x v="0"/>
    <n v="1093.56"/>
    <n v="106075.32"/>
    <n v="87756.112236000015"/>
    <n v="51244.751672235478"/>
    <x v="0"/>
    <n v="17.27"/>
    <b v="1"/>
    <d v="2023-02-10T00:00:00"/>
    <x v="2"/>
    <x v="1"/>
    <n v="56"/>
    <x v="1"/>
    <s v="Credit Card"/>
    <s v="Not Returned"/>
  </r>
  <r>
    <s v="TID_689"/>
    <x v="7"/>
    <x v="2"/>
    <x v="1"/>
    <x v="0"/>
    <x v="0"/>
    <x v="0"/>
    <n v="2"/>
    <n v="6"/>
    <n v="6"/>
    <n v="10"/>
    <n v="89"/>
    <x v="2"/>
    <n v="1191.0999999999999"/>
    <n v="106007.9"/>
    <n v="106007.9"/>
    <n v="69496.539436235456"/>
    <x v="1"/>
    <n v="14.26"/>
    <b v="0"/>
    <d v="2023-03-09T00:00:00"/>
    <x v="2"/>
    <x v="1"/>
    <n v="21"/>
    <x v="1"/>
    <s v="Debit Card"/>
    <s v="Not Returned"/>
  </r>
  <r>
    <s v="TID_163"/>
    <x v="0"/>
    <x v="0"/>
    <x v="3"/>
    <x v="2"/>
    <x v="0"/>
    <x v="2"/>
    <n v="5"/>
    <n v="4"/>
    <n v="10"/>
    <n v="10"/>
    <n v="87"/>
    <x v="2"/>
    <n v="1216.8499999999999"/>
    <n v="105865.95"/>
    <n v="79060.691460000002"/>
    <n v="42549.330896235464"/>
    <x v="1"/>
    <n v="25.32"/>
    <b v="1"/>
    <d v="2023-12-03T00:00:00"/>
    <x v="0"/>
    <x v="1"/>
    <n v="59"/>
    <x v="2"/>
    <s v="Online Payment"/>
    <s v="Returned"/>
  </r>
  <r>
    <s v="TID_279"/>
    <x v="8"/>
    <x v="3"/>
    <x v="2"/>
    <x v="2"/>
    <x v="1"/>
    <x v="2"/>
    <n v="9"/>
    <n v="7"/>
    <n v="10"/>
    <n v="10"/>
    <n v="77"/>
    <x v="3"/>
    <n v="1374.49"/>
    <n v="105835.73"/>
    <n v="105835.73"/>
    <n v="69324.369436235458"/>
    <x v="1"/>
    <n v="24.18"/>
    <b v="0"/>
    <d v="2023-07-08T00:00:00"/>
    <x v="3"/>
    <x v="1"/>
    <n v="22"/>
    <x v="0"/>
    <s v="Online Payment"/>
    <s v="Returned"/>
  </r>
  <r>
    <s v="TID_304"/>
    <x v="4"/>
    <x v="2"/>
    <x v="0"/>
    <x v="2"/>
    <x v="4"/>
    <x v="0"/>
    <n v="6"/>
    <n v="6"/>
    <n v="10"/>
    <n v="10"/>
    <n v="71"/>
    <x v="3"/>
    <n v="1484.54"/>
    <n v="105402.34"/>
    <n v="77186.133581999995"/>
    <n v="40674.773018235457"/>
    <x v="0"/>
    <n v="26.77"/>
    <b v="1"/>
    <d v="2024-09-29T00:00:00"/>
    <x v="3"/>
    <x v="0"/>
    <n v="48"/>
    <x v="0"/>
    <s v="Online Payment"/>
    <s v="Not Returned"/>
  </r>
  <r>
    <s v="TID_271"/>
    <x v="5"/>
    <x v="2"/>
    <x v="2"/>
    <x v="0"/>
    <x v="3"/>
    <x v="3"/>
    <n v="7"/>
    <n v="6"/>
    <n v="6"/>
    <n v="9"/>
    <n v="82"/>
    <x v="2"/>
    <n v="1283.05"/>
    <n v="105210.1"/>
    <n v="73804.885150000002"/>
    <n v="37293.524586235464"/>
    <x v="1"/>
    <n v="29.85"/>
    <b v="1"/>
    <d v="2024-09-12T00:00:00"/>
    <x v="3"/>
    <x v="0"/>
    <n v="27"/>
    <x v="1"/>
    <s v="Cash"/>
    <s v="Not Returned"/>
  </r>
  <r>
    <s v="TID_1754"/>
    <x v="9"/>
    <x v="4"/>
    <x v="3"/>
    <x v="0"/>
    <x v="0"/>
    <x v="3"/>
    <n v="6"/>
    <n v="13"/>
    <n v="6"/>
    <n v="9"/>
    <n v="80"/>
    <x v="3"/>
    <n v="1314.11"/>
    <n v="105128.8"/>
    <n v="105128.8"/>
    <n v="68617.439436235465"/>
    <x v="1"/>
    <n v="19.600000000000001"/>
    <b v="0"/>
    <d v="2023-01-08T00:00:00"/>
    <x v="2"/>
    <x v="1"/>
    <n v="18"/>
    <x v="2"/>
    <s v="Credit Card"/>
    <s v="Returned"/>
  </r>
  <r>
    <s v="TID_915"/>
    <x v="0"/>
    <x v="0"/>
    <x v="1"/>
    <x v="2"/>
    <x v="0"/>
    <x v="1"/>
    <n v="5"/>
    <n v="4"/>
    <n v="10"/>
    <n v="10"/>
    <n v="86"/>
    <x v="2"/>
    <n v="1219.28"/>
    <n v="104858.08"/>
    <n v="104858.08"/>
    <n v="68346.719436235464"/>
    <x v="1"/>
    <n v="14.82"/>
    <b v="0"/>
    <d v="2023-02-07T00:00:00"/>
    <x v="2"/>
    <x v="1"/>
    <n v="65"/>
    <x v="1"/>
    <s v="Cash"/>
    <s v="Not Returned"/>
  </r>
  <r>
    <s v="TID_287"/>
    <x v="6"/>
    <x v="1"/>
    <x v="3"/>
    <x v="2"/>
    <x v="3"/>
    <x v="3"/>
    <n v="6"/>
    <n v="13"/>
    <n v="10"/>
    <n v="9"/>
    <n v="73"/>
    <x v="3"/>
    <n v="1433.88"/>
    <n v="104673.24"/>
    <n v="104673.24"/>
    <n v="68161.879436235467"/>
    <x v="0"/>
    <n v="29.15"/>
    <b v="0"/>
    <d v="2023-10-29T00:00:00"/>
    <x v="0"/>
    <x v="1"/>
    <n v="26"/>
    <x v="2"/>
    <s v="Credit Card"/>
    <s v="Not Returned"/>
  </r>
  <r>
    <s v="TID_1840"/>
    <x v="0"/>
    <x v="0"/>
    <x v="1"/>
    <x v="1"/>
    <x v="3"/>
    <x v="1"/>
    <n v="5"/>
    <n v="4"/>
    <n v="10"/>
    <n v="10"/>
    <n v="77"/>
    <x v="3"/>
    <n v="1358.08"/>
    <n v="104572.16"/>
    <n v="100483.388544"/>
    <n v="63972.027980235463"/>
    <x v="0"/>
    <n v="3.91"/>
    <b v="1"/>
    <d v="2024-03-29T00:00:00"/>
    <x v="2"/>
    <x v="0"/>
    <n v="19"/>
    <x v="0"/>
    <s v="Debit Card"/>
    <s v="Returned"/>
  </r>
  <r>
    <s v="TID_303"/>
    <x v="2"/>
    <x v="1"/>
    <x v="3"/>
    <x v="2"/>
    <x v="4"/>
    <x v="1"/>
    <n v="3"/>
    <n v="13"/>
    <n v="10"/>
    <n v="10"/>
    <n v="87"/>
    <x v="2"/>
    <n v="1201.1500000000001"/>
    <n v="104500.05"/>
    <n v="73505.335170000006"/>
    <n v="36993.974606235468"/>
    <x v="0"/>
    <n v="29.66"/>
    <b v="1"/>
    <d v="2024-09-12T00:00:00"/>
    <x v="3"/>
    <x v="0"/>
    <n v="46"/>
    <x v="2"/>
    <s v="Credit Card"/>
    <s v="Not Returned"/>
  </r>
  <r>
    <s v="TID_544"/>
    <x v="9"/>
    <x v="4"/>
    <x v="2"/>
    <x v="1"/>
    <x v="4"/>
    <x v="1"/>
    <n v="6"/>
    <n v="13"/>
    <n v="10"/>
    <n v="10"/>
    <n v="82"/>
    <x v="2"/>
    <n v="1272.79"/>
    <n v="104368.78"/>
    <n v="89068.316851999989"/>
    <n v="52556.956288235451"/>
    <x v="1"/>
    <n v="14.66"/>
    <b v="1"/>
    <d v="2023-07-21T00:00:00"/>
    <x v="3"/>
    <x v="1"/>
    <n v="34"/>
    <x v="1"/>
    <s v="Online Payment"/>
    <s v="Returned"/>
  </r>
  <r>
    <s v="TID_1441"/>
    <x v="1"/>
    <x v="0"/>
    <x v="3"/>
    <x v="2"/>
    <x v="4"/>
    <x v="2"/>
    <n v="5"/>
    <n v="4"/>
    <n v="10"/>
    <n v="10"/>
    <n v="70"/>
    <x v="3"/>
    <n v="1484.8"/>
    <n v="103936"/>
    <n v="80124.262400000007"/>
    <n v="43612.901836235469"/>
    <x v="1"/>
    <n v="22.91"/>
    <b v="1"/>
    <d v="2024-04-03T00:00:00"/>
    <x v="1"/>
    <x v="0"/>
    <n v="39"/>
    <x v="2"/>
    <s v="Debit Card"/>
    <s v="Returned"/>
  </r>
  <r>
    <s v="TID_390"/>
    <x v="3"/>
    <x v="0"/>
    <x v="2"/>
    <x v="2"/>
    <x v="2"/>
    <x v="3"/>
    <n v="5"/>
    <n v="4"/>
    <n v="10"/>
    <n v="9"/>
    <n v="73"/>
    <x v="3"/>
    <n v="1422.92"/>
    <n v="103873.16"/>
    <n v="103249.92104"/>
    <n v="66738.560476235463"/>
    <x v="0"/>
    <n v="0.6"/>
    <b v="1"/>
    <d v="2024-01-17T00:00:00"/>
    <x v="2"/>
    <x v="0"/>
    <n v="41"/>
    <x v="2"/>
    <s v="Online Payment"/>
    <s v="Not Returned"/>
  </r>
  <r>
    <s v="TID_170"/>
    <x v="6"/>
    <x v="1"/>
    <x v="0"/>
    <x v="2"/>
    <x v="1"/>
    <x v="0"/>
    <n v="6"/>
    <n v="13"/>
    <n v="10"/>
    <n v="10"/>
    <n v="82"/>
    <x v="2"/>
    <n v="1266.51"/>
    <n v="103853.82"/>
    <n v="87455.301822000009"/>
    <n v="50943.941258235471"/>
    <x v="1"/>
    <n v="15.79"/>
    <b v="1"/>
    <d v="2023-03-09T00:00:00"/>
    <x v="2"/>
    <x v="1"/>
    <n v="30"/>
    <x v="1"/>
    <s v="Credit Card"/>
    <s v="Returned"/>
  </r>
  <r>
    <s v="TID_866"/>
    <x v="8"/>
    <x v="3"/>
    <x v="1"/>
    <x v="2"/>
    <x v="3"/>
    <x v="0"/>
    <n v="9"/>
    <n v="7"/>
    <n v="10"/>
    <n v="10"/>
    <n v="78"/>
    <x v="3"/>
    <n v="1328.43"/>
    <n v="103617.54"/>
    <n v="78096.539898000003"/>
    <n v="41585.179334235465"/>
    <x v="0"/>
    <n v="24.63"/>
    <b v="1"/>
    <d v="2023-12-23T00:00:00"/>
    <x v="0"/>
    <x v="1"/>
    <n v="61"/>
    <x v="2"/>
    <s v="Debit Card"/>
    <s v="Returned"/>
  </r>
  <r>
    <s v="TID_105"/>
    <x v="1"/>
    <x v="0"/>
    <x v="1"/>
    <x v="0"/>
    <x v="0"/>
    <x v="3"/>
    <n v="5"/>
    <n v="4"/>
    <n v="6"/>
    <n v="9"/>
    <n v="71"/>
    <x v="3"/>
    <n v="1459.33"/>
    <n v="103612.43"/>
    <n v="94204.421355999992"/>
    <n v="57693.060792235454"/>
    <x v="0"/>
    <n v="9.08"/>
    <b v="1"/>
    <d v="2023-06-13T00:00:00"/>
    <x v="1"/>
    <x v="1"/>
    <n v="39"/>
    <x v="1"/>
    <s v="Cash"/>
    <s v="Returned"/>
  </r>
  <r>
    <s v="TID_730"/>
    <x v="8"/>
    <x v="3"/>
    <x v="0"/>
    <x v="1"/>
    <x v="4"/>
    <x v="1"/>
    <n v="9"/>
    <n v="7"/>
    <n v="10"/>
    <n v="10"/>
    <n v="85"/>
    <x v="2"/>
    <n v="1213.72"/>
    <n v="103166.2"/>
    <n v="103166.2"/>
    <n v="66654.839436235459"/>
    <x v="1"/>
    <n v="15.51"/>
    <b v="0"/>
    <d v="2023-08-02T00:00:00"/>
    <x v="3"/>
    <x v="1"/>
    <n v="40"/>
    <x v="2"/>
    <s v="Credit Card"/>
    <s v="Not Returned"/>
  </r>
  <r>
    <s v="TID_1954"/>
    <x v="9"/>
    <x v="4"/>
    <x v="1"/>
    <x v="2"/>
    <x v="3"/>
    <x v="1"/>
    <n v="6"/>
    <n v="13"/>
    <n v="10"/>
    <n v="10"/>
    <n v="83"/>
    <x v="2"/>
    <n v="1242.82"/>
    <n v="103154.06"/>
    <n v="92591.084255999987"/>
    <n v="56079.72369223545"/>
    <x v="1"/>
    <n v="10.24"/>
    <b v="1"/>
    <d v="2023-12-17T00:00:00"/>
    <x v="0"/>
    <x v="1"/>
    <n v="68"/>
    <x v="2"/>
    <s v="Cash"/>
    <s v="Returned"/>
  </r>
  <r>
    <s v="TID_321"/>
    <x v="8"/>
    <x v="3"/>
    <x v="3"/>
    <x v="1"/>
    <x v="1"/>
    <x v="1"/>
    <n v="9"/>
    <n v="7"/>
    <n v="10"/>
    <n v="10"/>
    <n v="98"/>
    <x v="0"/>
    <n v="1051.8800000000001"/>
    <n v="103084.24"/>
    <n v="91868.674687999999"/>
    <n v="55357.314124235461"/>
    <x v="0"/>
    <n v="10.88"/>
    <b v="1"/>
    <d v="2024-03-04T00:00:00"/>
    <x v="2"/>
    <x v="0"/>
    <n v="56"/>
    <x v="1"/>
    <s v="Credit Card"/>
    <s v="Not Returned"/>
  </r>
  <r>
    <s v="TID_247"/>
    <x v="2"/>
    <x v="1"/>
    <x v="1"/>
    <x v="0"/>
    <x v="3"/>
    <x v="1"/>
    <n v="3"/>
    <n v="13"/>
    <n v="6"/>
    <n v="10"/>
    <n v="73"/>
    <x v="3"/>
    <n v="1410.18"/>
    <n v="102943.14"/>
    <n v="86842.832903999995"/>
    <n v="50331.472340235458"/>
    <x v="0"/>
    <n v="15.64"/>
    <b v="1"/>
    <d v="2024-03-31T00:00:00"/>
    <x v="2"/>
    <x v="0"/>
    <n v="65"/>
    <x v="2"/>
    <s v="Credit Card"/>
    <s v="Not Returned"/>
  </r>
  <r>
    <s v="TID_228"/>
    <x v="3"/>
    <x v="0"/>
    <x v="0"/>
    <x v="0"/>
    <x v="3"/>
    <x v="0"/>
    <n v="5"/>
    <n v="4"/>
    <n v="6"/>
    <n v="10"/>
    <n v="91"/>
    <x v="1"/>
    <n v="1128.98"/>
    <n v="102737.18"/>
    <n v="102737.18"/>
    <n v="66225.819436235455"/>
    <x v="0"/>
    <n v="3.77"/>
    <b v="0"/>
    <d v="2023-07-02T00:00:00"/>
    <x v="3"/>
    <x v="1"/>
    <n v="56"/>
    <x v="2"/>
    <s v="Credit Card"/>
    <s v="Returned"/>
  </r>
  <r>
    <s v="TID_1064"/>
    <x v="9"/>
    <x v="4"/>
    <x v="0"/>
    <x v="1"/>
    <x v="4"/>
    <x v="0"/>
    <n v="6"/>
    <n v="13"/>
    <n v="10"/>
    <n v="10"/>
    <n v="73"/>
    <x v="3"/>
    <n v="1403.18"/>
    <n v="102432.14"/>
    <n v="72767.792255999986"/>
    <n v="36256.431692235448"/>
    <x v="0"/>
    <n v="28.96"/>
    <b v="1"/>
    <d v="2023-05-24T00:00:00"/>
    <x v="1"/>
    <x v="1"/>
    <n v="28"/>
    <x v="2"/>
    <s v="Cash"/>
    <s v="Not Returned"/>
  </r>
  <r>
    <s v="TID_42"/>
    <x v="6"/>
    <x v="1"/>
    <x v="0"/>
    <x v="1"/>
    <x v="1"/>
    <x v="0"/>
    <n v="6"/>
    <n v="13"/>
    <n v="10"/>
    <n v="10"/>
    <n v="77"/>
    <x v="3"/>
    <n v="1328.76"/>
    <n v="102314.52"/>
    <n v="91233.857483999993"/>
    <n v="54722.496920235455"/>
    <x v="1"/>
    <n v="10.83"/>
    <b v="1"/>
    <d v="2023-03-12T00:00:00"/>
    <x v="2"/>
    <x v="1"/>
    <n v="56"/>
    <x v="2"/>
    <s v="Cash"/>
    <s v="Not Returned"/>
  </r>
  <r>
    <s v="TID_1203"/>
    <x v="9"/>
    <x v="4"/>
    <x v="3"/>
    <x v="2"/>
    <x v="0"/>
    <x v="1"/>
    <n v="6"/>
    <n v="13"/>
    <n v="10"/>
    <n v="10"/>
    <n v="98"/>
    <x v="0"/>
    <n v="1041.6500000000001"/>
    <n v="102081.7"/>
    <n v="102081.7"/>
    <n v="65570.339436235459"/>
    <x v="0"/>
    <n v="12.68"/>
    <b v="0"/>
    <d v="2023-06-03T00:00:00"/>
    <x v="1"/>
    <x v="1"/>
    <n v="32"/>
    <x v="0"/>
    <s v="Cash"/>
    <s v="Returned"/>
  </r>
  <r>
    <s v="TID_143"/>
    <x v="0"/>
    <x v="0"/>
    <x v="2"/>
    <x v="2"/>
    <x v="2"/>
    <x v="3"/>
    <n v="5"/>
    <n v="4"/>
    <n v="10"/>
    <n v="9"/>
    <n v="88"/>
    <x v="2"/>
    <n v="1156.8"/>
    <n v="101798.39999999999"/>
    <n v="96637.221120000002"/>
    <n v="60125.860556235464"/>
    <x v="0"/>
    <n v="5.07"/>
    <b v="1"/>
    <d v="2023-01-01T00:00:00"/>
    <x v="2"/>
    <x v="1"/>
    <n v="45"/>
    <x v="1"/>
    <s v="Debit Card"/>
    <s v="Returned"/>
  </r>
  <r>
    <s v="TID_472"/>
    <x v="5"/>
    <x v="2"/>
    <x v="0"/>
    <x v="0"/>
    <x v="1"/>
    <x v="3"/>
    <n v="7"/>
    <n v="6"/>
    <n v="6"/>
    <n v="9"/>
    <n v="75"/>
    <x v="3"/>
    <n v="1351.42"/>
    <n v="101356.5"/>
    <n v="95954.198550000001"/>
    <n v="59442.837986235463"/>
    <x v="1"/>
    <n v="5.33"/>
    <b v="1"/>
    <d v="2023-08-16T00:00:00"/>
    <x v="3"/>
    <x v="1"/>
    <n v="20"/>
    <x v="1"/>
    <s v="Cash"/>
    <s v="Not Returned"/>
  </r>
  <r>
    <s v="TID_420"/>
    <x v="3"/>
    <x v="0"/>
    <x v="1"/>
    <x v="2"/>
    <x v="4"/>
    <x v="3"/>
    <n v="5"/>
    <n v="4"/>
    <n v="10"/>
    <n v="9"/>
    <n v="74"/>
    <x v="3"/>
    <n v="1368.39"/>
    <n v="101260.86"/>
    <n v="85099.626744000008"/>
    <n v="48588.266180235471"/>
    <x v="1"/>
    <n v="15.96"/>
    <b v="1"/>
    <d v="2023-10-04T00:00:00"/>
    <x v="0"/>
    <x v="1"/>
    <n v="23"/>
    <x v="1"/>
    <s v="Credit Card"/>
    <s v="Not Returned"/>
  </r>
  <r>
    <s v="TID_1054"/>
    <x v="1"/>
    <x v="0"/>
    <x v="0"/>
    <x v="1"/>
    <x v="1"/>
    <x v="3"/>
    <n v="5"/>
    <n v="4"/>
    <n v="10"/>
    <n v="9"/>
    <n v="93"/>
    <x v="1"/>
    <n v="1088.71"/>
    <n v="101250.03"/>
    <n v="85434.775313999999"/>
    <n v="48923.414750235461"/>
    <x v="1"/>
    <n v="15.62"/>
    <b v="1"/>
    <d v="2024-10-28T00:00:00"/>
    <x v="0"/>
    <x v="0"/>
    <n v="60"/>
    <x v="0"/>
    <s v="Online Payment"/>
    <s v="Returned"/>
  </r>
  <r>
    <s v="TID_1415"/>
    <x v="6"/>
    <x v="1"/>
    <x v="2"/>
    <x v="0"/>
    <x v="3"/>
    <x v="3"/>
    <n v="6"/>
    <n v="13"/>
    <n v="6"/>
    <n v="9"/>
    <n v="88"/>
    <x v="2"/>
    <n v="1148.32"/>
    <n v="101052.16"/>
    <n v="101052.16"/>
    <n v="64540.799436235466"/>
    <x v="1"/>
    <n v="19.97"/>
    <b v="0"/>
    <d v="2023-04-16T00:00:00"/>
    <x v="1"/>
    <x v="1"/>
    <n v="27"/>
    <x v="2"/>
    <s v="Credit Card"/>
    <s v="Returned"/>
  </r>
  <r>
    <s v="TID_1258"/>
    <x v="0"/>
    <x v="0"/>
    <x v="3"/>
    <x v="2"/>
    <x v="4"/>
    <x v="3"/>
    <n v="5"/>
    <n v="4"/>
    <n v="10"/>
    <n v="9"/>
    <n v="80"/>
    <x v="3"/>
    <n v="1262.31"/>
    <n v="100984.8"/>
    <n v="100984.8"/>
    <n v="64473.439436235465"/>
    <x v="0"/>
    <n v="20.3"/>
    <b v="0"/>
    <d v="2024-02-26T00:00:00"/>
    <x v="2"/>
    <x v="0"/>
    <n v="22"/>
    <x v="0"/>
    <s v="Online Payment"/>
    <s v="Not Returned"/>
  </r>
  <r>
    <s v="TID_1979"/>
    <x v="4"/>
    <x v="2"/>
    <x v="0"/>
    <x v="1"/>
    <x v="4"/>
    <x v="1"/>
    <n v="6"/>
    <n v="6"/>
    <n v="10"/>
    <n v="10"/>
    <n v="77"/>
    <x v="3"/>
    <n v="1309.98"/>
    <n v="100868.46"/>
    <n v="99385.693637999997"/>
    <n v="62874.333074235459"/>
    <x v="0"/>
    <n v="1.47"/>
    <b v="1"/>
    <d v="2024-09-14T00:00:00"/>
    <x v="3"/>
    <x v="0"/>
    <n v="24"/>
    <x v="1"/>
    <s v="Credit Card"/>
    <s v="Returned"/>
  </r>
  <r>
    <s v="TID_1308"/>
    <x v="3"/>
    <x v="0"/>
    <x v="2"/>
    <x v="1"/>
    <x v="0"/>
    <x v="1"/>
    <n v="5"/>
    <n v="4"/>
    <n v="10"/>
    <n v="10"/>
    <n v="75"/>
    <x v="3"/>
    <n v="1344.85"/>
    <n v="100863.75"/>
    <n v="100863.75"/>
    <n v="64352.389436235462"/>
    <x v="1"/>
    <n v="23.54"/>
    <b v="0"/>
    <d v="2023-05-15T00:00:00"/>
    <x v="1"/>
    <x v="1"/>
    <n v="55"/>
    <x v="2"/>
    <s v="Credit Card"/>
    <s v="Not Returned"/>
  </r>
  <r>
    <s v="TID_165"/>
    <x v="2"/>
    <x v="1"/>
    <x v="0"/>
    <x v="2"/>
    <x v="3"/>
    <x v="1"/>
    <n v="3"/>
    <n v="13"/>
    <n v="10"/>
    <n v="10"/>
    <n v="88"/>
    <x v="2"/>
    <n v="1142.98"/>
    <n v="100582.24"/>
    <n v="100582.24"/>
    <n v="64070.879436235467"/>
    <x v="0"/>
    <n v="29.8"/>
    <b v="0"/>
    <d v="2023-04-26T00:00:00"/>
    <x v="1"/>
    <x v="1"/>
    <n v="62"/>
    <x v="2"/>
    <s v="Cash"/>
    <s v="Not Returned"/>
  </r>
  <r>
    <s v="TID_375"/>
    <x v="3"/>
    <x v="0"/>
    <x v="3"/>
    <x v="2"/>
    <x v="2"/>
    <x v="2"/>
    <n v="5"/>
    <n v="4"/>
    <n v="10"/>
    <n v="10"/>
    <n v="95"/>
    <x v="1"/>
    <n v="1058.03"/>
    <n v="100512.85"/>
    <n v="100512.85"/>
    <n v="64001.489436235468"/>
    <x v="0"/>
    <n v="16.28"/>
    <b v="0"/>
    <d v="2023-03-19T00:00:00"/>
    <x v="2"/>
    <x v="1"/>
    <n v="39"/>
    <x v="1"/>
    <s v="Online Payment"/>
    <s v="Not Returned"/>
  </r>
  <r>
    <s v="TID_1102"/>
    <x v="7"/>
    <x v="2"/>
    <x v="3"/>
    <x v="1"/>
    <x v="1"/>
    <x v="3"/>
    <n v="2"/>
    <n v="6"/>
    <n v="10"/>
    <n v="9"/>
    <n v="90"/>
    <x v="2"/>
    <n v="1115.73"/>
    <n v="100415.7"/>
    <n v="88747.395659999995"/>
    <n v="52236.035096235457"/>
    <x v="0"/>
    <n v="11.62"/>
    <b v="1"/>
    <d v="2023-10-23T00:00:00"/>
    <x v="0"/>
    <x v="1"/>
    <n v="63"/>
    <x v="2"/>
    <s v="Debit Card"/>
    <s v="Returned"/>
  </r>
  <r>
    <s v="TID_674"/>
    <x v="0"/>
    <x v="0"/>
    <x v="3"/>
    <x v="2"/>
    <x v="1"/>
    <x v="1"/>
    <n v="5"/>
    <n v="4"/>
    <n v="10"/>
    <n v="10"/>
    <n v="83"/>
    <x v="2"/>
    <n v="1208.9000000000001"/>
    <n v="100338.7"/>
    <n v="70618.377059999999"/>
    <n v="34107.016496235461"/>
    <x v="1"/>
    <n v="29.62"/>
    <b v="1"/>
    <d v="2024-08-28T00:00:00"/>
    <x v="3"/>
    <x v="0"/>
    <n v="66"/>
    <x v="1"/>
    <s v="Debit Card"/>
    <s v="Returned"/>
  </r>
  <r>
    <s v="TID_1705"/>
    <x v="5"/>
    <x v="2"/>
    <x v="1"/>
    <x v="2"/>
    <x v="4"/>
    <x v="3"/>
    <n v="7"/>
    <n v="6"/>
    <n v="10"/>
    <n v="9"/>
    <n v="69"/>
    <x v="3"/>
    <n v="1450.84"/>
    <n v="100107.96"/>
    <n v="72978.702839999998"/>
    <n v="36467.34227623546"/>
    <x v="1"/>
    <n v="27.1"/>
    <b v="1"/>
    <d v="2023-06-21T00:00:00"/>
    <x v="1"/>
    <x v="1"/>
    <n v="60"/>
    <x v="0"/>
    <s v="Credit Card"/>
    <s v="Returned"/>
  </r>
  <r>
    <s v="TID_936"/>
    <x v="2"/>
    <x v="1"/>
    <x v="0"/>
    <x v="0"/>
    <x v="1"/>
    <x v="1"/>
    <n v="3"/>
    <n v="13"/>
    <n v="6"/>
    <n v="10"/>
    <n v="85"/>
    <x v="2"/>
    <n v="1177.08"/>
    <n v="100051.8"/>
    <n v="100051.8"/>
    <n v="63540.439436235465"/>
    <x v="0"/>
    <n v="13.75"/>
    <b v="0"/>
    <d v="2024-01-20T00:00:00"/>
    <x v="2"/>
    <x v="0"/>
    <n v="31"/>
    <x v="1"/>
    <s v="Online Payment"/>
    <s v="Returned"/>
  </r>
  <r>
    <s v="TID_496"/>
    <x v="2"/>
    <x v="1"/>
    <x v="0"/>
    <x v="2"/>
    <x v="1"/>
    <x v="2"/>
    <n v="3"/>
    <n v="13"/>
    <n v="10"/>
    <n v="10"/>
    <n v="77"/>
    <x v="3"/>
    <n v="1297.3699999999999"/>
    <n v="99897.49"/>
    <n v="99897.49"/>
    <n v="63386.129436235467"/>
    <x v="0"/>
    <n v="26.41"/>
    <b v="0"/>
    <d v="2024-07-14T00:00:00"/>
    <x v="3"/>
    <x v="0"/>
    <n v="38"/>
    <x v="1"/>
    <s v="Debit Card"/>
    <s v="Returned"/>
  </r>
  <r>
    <s v="TID_281"/>
    <x v="8"/>
    <x v="3"/>
    <x v="1"/>
    <x v="0"/>
    <x v="1"/>
    <x v="2"/>
    <n v="9"/>
    <n v="7"/>
    <n v="6"/>
    <n v="10"/>
    <n v="88"/>
    <x v="2"/>
    <n v="1134.94"/>
    <n v="99874.72"/>
    <n v="91105.719584000006"/>
    <n v="54594.359020235468"/>
    <x v="0"/>
    <n v="8.7799999999999994"/>
    <b v="1"/>
    <d v="2023-04-18T00:00:00"/>
    <x v="1"/>
    <x v="1"/>
    <n v="21"/>
    <x v="1"/>
    <s v="Online Payment"/>
    <s v="Not Returned"/>
  </r>
  <r>
    <s v="TID_340"/>
    <x v="9"/>
    <x v="4"/>
    <x v="0"/>
    <x v="2"/>
    <x v="4"/>
    <x v="3"/>
    <n v="6"/>
    <n v="13"/>
    <n v="10"/>
    <n v="9"/>
    <n v="76"/>
    <x v="3"/>
    <n v="1311.4"/>
    <n v="99666.4"/>
    <n v="81048.716480000003"/>
    <n v="44537.355916235465"/>
    <x v="1"/>
    <n v="18.68"/>
    <b v="1"/>
    <d v="2023-10-01T00:00:00"/>
    <x v="0"/>
    <x v="1"/>
    <n v="69"/>
    <x v="2"/>
    <s v="Cash"/>
    <s v="Not Returned"/>
  </r>
  <r>
    <s v="TID_400"/>
    <x v="1"/>
    <x v="0"/>
    <x v="2"/>
    <x v="0"/>
    <x v="2"/>
    <x v="2"/>
    <n v="5"/>
    <n v="4"/>
    <n v="6"/>
    <n v="10"/>
    <n v="95"/>
    <x v="1"/>
    <n v="1048.54"/>
    <n v="99611.3"/>
    <n v="99611.3"/>
    <n v="63099.939436235465"/>
    <x v="1"/>
    <n v="22.97"/>
    <b v="0"/>
    <d v="2024-02-29T00:00:00"/>
    <x v="2"/>
    <x v="0"/>
    <n v="53"/>
    <x v="1"/>
    <s v="Debit Card"/>
    <s v="Returned"/>
  </r>
  <r>
    <s v="TID_1579"/>
    <x v="0"/>
    <x v="0"/>
    <x v="3"/>
    <x v="0"/>
    <x v="0"/>
    <x v="1"/>
    <n v="5"/>
    <n v="4"/>
    <n v="6"/>
    <n v="10"/>
    <n v="86"/>
    <x v="2"/>
    <n v="1158.1500000000001"/>
    <n v="99600.9"/>
    <n v="99600.9"/>
    <n v="63089.539436235456"/>
    <x v="1"/>
    <n v="18.690000000000001"/>
    <b v="0"/>
    <d v="2023-09-21T00:00:00"/>
    <x v="3"/>
    <x v="1"/>
    <n v="48"/>
    <x v="2"/>
    <s v="Credit Card"/>
    <s v="Not Returned"/>
  </r>
  <r>
    <s v="TID_71"/>
    <x v="1"/>
    <x v="0"/>
    <x v="0"/>
    <x v="2"/>
    <x v="3"/>
    <x v="0"/>
    <n v="5"/>
    <n v="4"/>
    <n v="10"/>
    <n v="10"/>
    <n v="70"/>
    <x v="3"/>
    <n v="1420.2"/>
    <n v="99414"/>
    <n v="99414"/>
    <n v="62902.639436235462"/>
    <x v="0"/>
    <n v="7.7"/>
    <b v="0"/>
    <d v="2023-10-15T00:00:00"/>
    <x v="0"/>
    <x v="1"/>
    <n v="60"/>
    <x v="1"/>
    <s v="Debit Card"/>
    <s v="Not Returned"/>
  </r>
  <r>
    <s v="TID_958"/>
    <x v="3"/>
    <x v="0"/>
    <x v="2"/>
    <x v="1"/>
    <x v="1"/>
    <x v="2"/>
    <n v="5"/>
    <n v="4"/>
    <n v="10"/>
    <n v="10"/>
    <n v="92"/>
    <x v="1"/>
    <n v="1071.95"/>
    <n v="98619.4"/>
    <n v="76765.340959999987"/>
    <n v="40253.980396235449"/>
    <x v="0"/>
    <n v="22.16"/>
    <b v="1"/>
    <d v="2024-02-19T00:00:00"/>
    <x v="2"/>
    <x v="0"/>
    <n v="44"/>
    <x v="2"/>
    <s v="Debit Card"/>
    <s v="Not Returned"/>
  </r>
  <r>
    <s v="TID_1111"/>
    <x v="3"/>
    <x v="0"/>
    <x v="0"/>
    <x v="0"/>
    <x v="2"/>
    <x v="1"/>
    <n v="5"/>
    <n v="4"/>
    <n v="6"/>
    <n v="10"/>
    <n v="77"/>
    <x v="3"/>
    <n v="1278.74"/>
    <n v="98462.98"/>
    <n v="98462.98"/>
    <n v="61951.619436235458"/>
    <x v="1"/>
    <n v="20.86"/>
    <b v="0"/>
    <d v="2023-03-03T00:00:00"/>
    <x v="2"/>
    <x v="1"/>
    <n v="57"/>
    <x v="0"/>
    <s v="Online Payment"/>
    <s v="Not Returned"/>
  </r>
  <r>
    <s v="TID_509"/>
    <x v="5"/>
    <x v="2"/>
    <x v="3"/>
    <x v="2"/>
    <x v="2"/>
    <x v="1"/>
    <n v="7"/>
    <n v="6"/>
    <n v="10"/>
    <n v="10"/>
    <n v="96"/>
    <x v="0"/>
    <n v="1025.1600000000001"/>
    <n v="98415.360000000001"/>
    <n v="97401.681792000003"/>
    <n v="60890.321228235465"/>
    <x v="1"/>
    <n v="1.03"/>
    <b v="1"/>
    <d v="2024-09-17T00:00:00"/>
    <x v="3"/>
    <x v="0"/>
    <n v="29"/>
    <x v="1"/>
    <s v="Online Payment"/>
    <s v="Returned"/>
  </r>
  <r>
    <s v="TID_200"/>
    <x v="8"/>
    <x v="3"/>
    <x v="1"/>
    <x v="0"/>
    <x v="3"/>
    <x v="3"/>
    <n v="9"/>
    <n v="7"/>
    <n v="6"/>
    <n v="9"/>
    <n v="81"/>
    <x v="2"/>
    <n v="1214.73"/>
    <n v="98393.13"/>
    <n v="98393.13"/>
    <n v="61881.769436235467"/>
    <x v="1"/>
    <n v="19.87"/>
    <b v="0"/>
    <d v="2023-08-19T00:00:00"/>
    <x v="3"/>
    <x v="1"/>
    <n v="50"/>
    <x v="2"/>
    <s v="Debit Card"/>
    <s v="Not Returned"/>
  </r>
  <r>
    <s v="TID_1047"/>
    <x v="6"/>
    <x v="1"/>
    <x v="1"/>
    <x v="2"/>
    <x v="1"/>
    <x v="1"/>
    <n v="6"/>
    <n v="13"/>
    <n v="10"/>
    <n v="10"/>
    <n v="79"/>
    <x v="3"/>
    <n v="1245.06"/>
    <n v="98359.74"/>
    <n v="70130.494620000012"/>
    <n v="33619.134056235474"/>
    <x v="1"/>
    <n v="28.7"/>
    <b v="1"/>
    <d v="2023-04-11T00:00:00"/>
    <x v="1"/>
    <x v="1"/>
    <n v="35"/>
    <x v="2"/>
    <s v="Debit Card"/>
    <s v="Not Returned"/>
  </r>
  <r>
    <s v="TID_1454"/>
    <x v="9"/>
    <x v="4"/>
    <x v="3"/>
    <x v="1"/>
    <x v="0"/>
    <x v="0"/>
    <n v="6"/>
    <n v="13"/>
    <n v="10"/>
    <n v="10"/>
    <n v="95"/>
    <x v="1"/>
    <n v="1032.33"/>
    <n v="98071.35"/>
    <n v="80722.528185000003"/>
    <n v="44211.167621235465"/>
    <x v="1"/>
    <n v="17.690000000000001"/>
    <b v="1"/>
    <d v="2024-02-16T00:00:00"/>
    <x v="2"/>
    <x v="0"/>
    <n v="69"/>
    <x v="0"/>
    <s v="Credit Card"/>
    <s v="Returned"/>
  </r>
  <r>
    <s v="TID_1936"/>
    <x v="1"/>
    <x v="0"/>
    <x v="0"/>
    <x v="2"/>
    <x v="0"/>
    <x v="0"/>
    <n v="5"/>
    <n v="4"/>
    <n v="10"/>
    <n v="10"/>
    <n v="83"/>
    <x v="2"/>
    <n v="1180.3900000000001"/>
    <n v="97972.37"/>
    <n v="97972.37"/>
    <n v="61461.009436235458"/>
    <x v="0"/>
    <n v="17"/>
    <b v="0"/>
    <d v="2023-08-30T00:00:00"/>
    <x v="3"/>
    <x v="1"/>
    <n v="32"/>
    <x v="0"/>
    <s v="Debit Card"/>
    <s v="Returned"/>
  </r>
  <r>
    <s v="TID_1994"/>
    <x v="0"/>
    <x v="0"/>
    <x v="2"/>
    <x v="0"/>
    <x v="1"/>
    <x v="3"/>
    <n v="5"/>
    <n v="4"/>
    <n v="6"/>
    <n v="9"/>
    <n v="97"/>
    <x v="0"/>
    <n v="1009"/>
    <n v="97873"/>
    <n v="97873"/>
    <n v="61361.639436235462"/>
    <x v="1"/>
    <n v="10.26"/>
    <b v="0"/>
    <d v="2023-08-29T00:00:00"/>
    <x v="3"/>
    <x v="1"/>
    <n v="68"/>
    <x v="0"/>
    <s v="Cash"/>
    <s v="Not Returned"/>
  </r>
  <r>
    <s v="TID_1032"/>
    <x v="4"/>
    <x v="2"/>
    <x v="3"/>
    <x v="0"/>
    <x v="4"/>
    <x v="3"/>
    <n v="6"/>
    <n v="6"/>
    <n v="6"/>
    <n v="9"/>
    <n v="98"/>
    <x v="0"/>
    <n v="996.29"/>
    <n v="97636.42"/>
    <n v="97636.42"/>
    <n v="61125.05943623546"/>
    <x v="0"/>
    <n v="9.32"/>
    <b v="0"/>
    <d v="2023-06-16T00:00:00"/>
    <x v="1"/>
    <x v="1"/>
    <n v="57"/>
    <x v="0"/>
    <s v="Credit Card"/>
    <s v="Returned"/>
  </r>
  <r>
    <s v="TID_139"/>
    <x v="8"/>
    <x v="3"/>
    <x v="0"/>
    <x v="0"/>
    <x v="0"/>
    <x v="1"/>
    <n v="9"/>
    <n v="7"/>
    <n v="6"/>
    <n v="10"/>
    <n v="71"/>
    <x v="3"/>
    <n v="1374.96"/>
    <n v="97622.16"/>
    <n v="91042.426416000002"/>
    <n v="54531.065852235464"/>
    <x v="1"/>
    <n v="6.74"/>
    <b v="1"/>
    <d v="2024-06-11T00:00:00"/>
    <x v="1"/>
    <x v="0"/>
    <n v="48"/>
    <x v="0"/>
    <s v="Online Payment"/>
    <s v="Not Returned"/>
  </r>
  <r>
    <s v="TID_25"/>
    <x v="0"/>
    <x v="0"/>
    <x v="2"/>
    <x v="1"/>
    <x v="2"/>
    <x v="2"/>
    <n v="5"/>
    <n v="4"/>
    <n v="10"/>
    <n v="10"/>
    <n v="88"/>
    <x v="2"/>
    <n v="1108.49"/>
    <n v="97547.12"/>
    <n v="97547.12"/>
    <n v="61035.759436235458"/>
    <x v="0"/>
    <n v="16.09"/>
    <b v="0"/>
    <d v="2024-02-04T00:00:00"/>
    <x v="2"/>
    <x v="0"/>
    <n v="19"/>
    <x v="2"/>
    <s v="Credit Card"/>
    <s v="Not Returned"/>
  </r>
  <r>
    <s v="TID_1052"/>
    <x v="7"/>
    <x v="2"/>
    <x v="3"/>
    <x v="1"/>
    <x v="4"/>
    <x v="0"/>
    <n v="2"/>
    <n v="6"/>
    <n v="10"/>
    <n v="10"/>
    <n v="92"/>
    <x v="1"/>
    <n v="1053.18"/>
    <n v="96892.56"/>
    <n v="76089.727367999993"/>
    <n v="39578.366804235455"/>
    <x v="1"/>
    <n v="21.47"/>
    <b v="1"/>
    <d v="2023-09-06T00:00:00"/>
    <x v="3"/>
    <x v="1"/>
    <n v="26"/>
    <x v="2"/>
    <s v="Online Payment"/>
    <s v="Returned"/>
  </r>
  <r>
    <s v="TID_588"/>
    <x v="4"/>
    <x v="2"/>
    <x v="3"/>
    <x v="1"/>
    <x v="0"/>
    <x v="2"/>
    <n v="6"/>
    <n v="6"/>
    <n v="10"/>
    <n v="10"/>
    <n v="77"/>
    <x v="3"/>
    <n v="1257.1199999999999"/>
    <n v="96798.24"/>
    <n v="70536.877487999998"/>
    <n v="34025.51692423546"/>
    <x v="1"/>
    <n v="27.13"/>
    <b v="1"/>
    <d v="2023-08-28T00:00:00"/>
    <x v="3"/>
    <x v="1"/>
    <n v="36"/>
    <x v="1"/>
    <s v="Online Payment"/>
    <s v="Not Returned"/>
  </r>
  <r>
    <s v="TID_368"/>
    <x v="4"/>
    <x v="2"/>
    <x v="1"/>
    <x v="1"/>
    <x v="0"/>
    <x v="3"/>
    <n v="6"/>
    <n v="6"/>
    <n v="10"/>
    <n v="9"/>
    <n v="65"/>
    <x v="3"/>
    <n v="1486.93"/>
    <n v="96650.45"/>
    <n v="71231.381649999996"/>
    <n v="34720.021086235458"/>
    <x v="1"/>
    <n v="26.3"/>
    <b v="1"/>
    <d v="2024-08-01T00:00:00"/>
    <x v="3"/>
    <x v="0"/>
    <n v="44"/>
    <x v="2"/>
    <s v="Online Payment"/>
    <s v="Returned"/>
  </r>
  <r>
    <s v="TID_352"/>
    <x v="8"/>
    <x v="3"/>
    <x v="0"/>
    <x v="2"/>
    <x v="2"/>
    <x v="3"/>
    <n v="9"/>
    <n v="7"/>
    <n v="10"/>
    <n v="9"/>
    <n v="65"/>
    <x v="3"/>
    <n v="1480.71"/>
    <n v="96246.15"/>
    <n v="96246.15"/>
    <n v="59734.789436235456"/>
    <x v="0"/>
    <n v="14.41"/>
    <b v="0"/>
    <d v="2023-03-15T00:00:00"/>
    <x v="2"/>
    <x v="1"/>
    <n v="22"/>
    <x v="0"/>
    <s v="Cash"/>
    <s v="Not Returned"/>
  </r>
  <r>
    <s v="TID_1599"/>
    <x v="1"/>
    <x v="0"/>
    <x v="0"/>
    <x v="1"/>
    <x v="0"/>
    <x v="0"/>
    <n v="5"/>
    <n v="4"/>
    <n v="10"/>
    <n v="10"/>
    <n v="98"/>
    <x v="0"/>
    <n v="980.02"/>
    <n v="96041.96"/>
    <n v="79388.284136000002"/>
    <n v="42876.923572235464"/>
    <x v="1"/>
    <n v="17.34"/>
    <b v="1"/>
    <d v="2024-05-12T00:00:00"/>
    <x v="1"/>
    <x v="0"/>
    <n v="59"/>
    <x v="0"/>
    <s v="Online Payment"/>
    <s v="Returned"/>
  </r>
  <r>
    <s v="TID_1060"/>
    <x v="1"/>
    <x v="0"/>
    <x v="0"/>
    <x v="0"/>
    <x v="1"/>
    <x v="2"/>
    <n v="5"/>
    <n v="4"/>
    <n v="6"/>
    <n v="10"/>
    <n v="80"/>
    <x v="3"/>
    <n v="1200.48"/>
    <n v="96038.399999999994"/>
    <n v="77858.330879999994"/>
    <n v="41346.970316235456"/>
    <x v="1"/>
    <n v="18.93"/>
    <b v="1"/>
    <d v="2023-11-17T00:00:00"/>
    <x v="0"/>
    <x v="1"/>
    <n v="35"/>
    <x v="0"/>
    <s v="Cash"/>
    <s v="Returned"/>
  </r>
  <r>
    <s v="TID_612"/>
    <x v="1"/>
    <x v="0"/>
    <x v="2"/>
    <x v="2"/>
    <x v="4"/>
    <x v="2"/>
    <n v="5"/>
    <n v="4"/>
    <n v="10"/>
    <n v="10"/>
    <n v="73"/>
    <x v="3"/>
    <n v="1313.69"/>
    <n v="95899.37"/>
    <n v="95899.37"/>
    <n v="59388.009436235458"/>
    <x v="0"/>
    <n v="22.63"/>
    <b v="0"/>
    <d v="2023-08-08T00:00:00"/>
    <x v="3"/>
    <x v="1"/>
    <n v="50"/>
    <x v="2"/>
    <s v="Credit Card"/>
    <s v="Not Returned"/>
  </r>
  <r>
    <s v="TID_1793"/>
    <x v="6"/>
    <x v="1"/>
    <x v="0"/>
    <x v="2"/>
    <x v="3"/>
    <x v="3"/>
    <n v="6"/>
    <n v="13"/>
    <n v="10"/>
    <n v="9"/>
    <n v="74"/>
    <x v="3"/>
    <n v="1295.82"/>
    <n v="95890.68"/>
    <n v="81344.063844000004"/>
    <n v="44832.703280235466"/>
    <x v="0"/>
    <n v="15.17"/>
    <b v="1"/>
    <d v="2024-10-24T00:00:00"/>
    <x v="0"/>
    <x v="0"/>
    <n v="47"/>
    <x v="2"/>
    <s v="Credit Card"/>
    <s v="Returned"/>
  </r>
  <r>
    <s v="TID_80"/>
    <x v="0"/>
    <x v="0"/>
    <x v="3"/>
    <x v="2"/>
    <x v="0"/>
    <x v="2"/>
    <n v="5"/>
    <n v="4"/>
    <n v="10"/>
    <n v="10"/>
    <n v="65"/>
    <x v="3"/>
    <n v="1474.89"/>
    <n v="95867.85"/>
    <n v="95867.85"/>
    <n v="59356.489436235468"/>
    <x v="1"/>
    <n v="21.32"/>
    <b v="0"/>
    <d v="2023-04-14T00:00:00"/>
    <x v="1"/>
    <x v="1"/>
    <n v="63"/>
    <x v="2"/>
    <s v="Credit Card"/>
    <s v="Not Returned"/>
  </r>
  <r>
    <s v="TID_1837"/>
    <x v="7"/>
    <x v="2"/>
    <x v="0"/>
    <x v="2"/>
    <x v="0"/>
    <x v="3"/>
    <n v="2"/>
    <n v="6"/>
    <n v="10"/>
    <n v="9"/>
    <n v="90"/>
    <x v="2"/>
    <n v="1063.7"/>
    <n v="95733"/>
    <n v="93109.915800000002"/>
    <n v="56598.555236235465"/>
    <x v="1"/>
    <n v="2.74"/>
    <b v="1"/>
    <d v="2024-09-20T00:00:00"/>
    <x v="3"/>
    <x v="0"/>
    <n v="29"/>
    <x v="1"/>
    <s v="Online Payment"/>
    <s v="Not Returned"/>
  </r>
  <r>
    <s v="TID_1889"/>
    <x v="9"/>
    <x v="4"/>
    <x v="3"/>
    <x v="2"/>
    <x v="4"/>
    <x v="0"/>
    <n v="6"/>
    <n v="13"/>
    <n v="10"/>
    <n v="10"/>
    <n v="66"/>
    <x v="3"/>
    <n v="1450.47"/>
    <n v="95731.02"/>
    <n v="83420.010827999999"/>
    <n v="46908.650264235461"/>
    <x v="0"/>
    <n v="12.86"/>
    <b v="1"/>
    <d v="2023-06-03T00:00:00"/>
    <x v="1"/>
    <x v="1"/>
    <n v="57"/>
    <x v="2"/>
    <s v="Debit Card"/>
    <s v="Returned"/>
  </r>
  <r>
    <s v="TID_1538"/>
    <x v="5"/>
    <x v="2"/>
    <x v="1"/>
    <x v="1"/>
    <x v="4"/>
    <x v="3"/>
    <n v="7"/>
    <n v="6"/>
    <n v="10"/>
    <n v="9"/>
    <n v="89"/>
    <x v="2"/>
    <n v="1072.78"/>
    <n v="95477.42"/>
    <n v="90646.262547999999"/>
    <n v="54134.901984235461"/>
    <x v="0"/>
    <n v="5.0599999999999996"/>
    <b v="1"/>
    <d v="2024-07-12T00:00:00"/>
    <x v="3"/>
    <x v="0"/>
    <n v="33"/>
    <x v="0"/>
    <s v="Online Payment"/>
    <s v="Not Returned"/>
  </r>
  <r>
    <s v="TID_471"/>
    <x v="3"/>
    <x v="0"/>
    <x v="2"/>
    <x v="1"/>
    <x v="0"/>
    <x v="0"/>
    <n v="5"/>
    <n v="4"/>
    <n v="10"/>
    <n v="10"/>
    <n v="93"/>
    <x v="1"/>
    <n v="1024.8"/>
    <n v="95306.4"/>
    <n v="70850.777759999997"/>
    <n v="34339.417196235459"/>
    <x v="0"/>
    <n v="25.66"/>
    <b v="1"/>
    <d v="2023-03-06T00:00:00"/>
    <x v="2"/>
    <x v="1"/>
    <n v="68"/>
    <x v="1"/>
    <s v="Cash"/>
    <s v="Returned"/>
  </r>
  <r>
    <s v="TID_863"/>
    <x v="9"/>
    <x v="4"/>
    <x v="2"/>
    <x v="1"/>
    <x v="4"/>
    <x v="3"/>
    <n v="6"/>
    <n v="13"/>
    <n v="10"/>
    <n v="9"/>
    <n v="70"/>
    <x v="3"/>
    <n v="1361.38"/>
    <n v="95296.6"/>
    <n v="88301.829559999998"/>
    <n v="51790.468996235461"/>
    <x v="0"/>
    <n v="7.34"/>
    <b v="1"/>
    <d v="2024-05-14T00:00:00"/>
    <x v="1"/>
    <x v="0"/>
    <n v="27"/>
    <x v="0"/>
    <s v="Online Payment"/>
    <s v="Not Returned"/>
  </r>
  <r>
    <s v="TID_1522"/>
    <x v="2"/>
    <x v="1"/>
    <x v="3"/>
    <x v="1"/>
    <x v="1"/>
    <x v="2"/>
    <n v="3"/>
    <n v="13"/>
    <n v="10"/>
    <n v="10"/>
    <n v="90"/>
    <x v="2"/>
    <n v="1058.1500000000001"/>
    <n v="95233.5"/>
    <n v="87491.016449999996"/>
    <n v="50979.655886235458"/>
    <x v="1"/>
    <n v="8.1300000000000008"/>
    <b v="1"/>
    <d v="2024-01-22T00:00:00"/>
    <x v="2"/>
    <x v="0"/>
    <n v="61"/>
    <x v="2"/>
    <s v="Cash"/>
    <s v="Returned"/>
  </r>
  <r>
    <s v="TID_64"/>
    <x v="9"/>
    <x v="4"/>
    <x v="0"/>
    <x v="2"/>
    <x v="0"/>
    <x v="2"/>
    <n v="6"/>
    <n v="13"/>
    <n v="10"/>
    <n v="10"/>
    <n v="84"/>
    <x v="2"/>
    <n v="1132.67"/>
    <n v="95144.28"/>
    <n v="90758.128691999998"/>
    <n v="54246.768128235461"/>
    <x v="0"/>
    <n v="4.6100000000000003"/>
    <b v="1"/>
    <d v="2024-06-03T00:00:00"/>
    <x v="1"/>
    <x v="0"/>
    <n v="18"/>
    <x v="1"/>
    <s v="Online Payment"/>
    <s v="Returned"/>
  </r>
  <r>
    <s v="TID_1115"/>
    <x v="3"/>
    <x v="0"/>
    <x v="3"/>
    <x v="0"/>
    <x v="1"/>
    <x v="2"/>
    <n v="5"/>
    <n v="4"/>
    <n v="6"/>
    <n v="10"/>
    <n v="86"/>
    <x v="2"/>
    <n v="1104.3"/>
    <n v="94969.8"/>
    <n v="72262.520820000005"/>
    <n v="35751.160256235467"/>
    <x v="1"/>
    <n v="23.91"/>
    <b v="1"/>
    <d v="2023-09-13T00:00:00"/>
    <x v="3"/>
    <x v="1"/>
    <n v="27"/>
    <x v="1"/>
    <s v="Online Payment"/>
    <s v="Not Returned"/>
  </r>
  <r>
    <s v="TID_226"/>
    <x v="9"/>
    <x v="4"/>
    <x v="2"/>
    <x v="0"/>
    <x v="2"/>
    <x v="0"/>
    <n v="6"/>
    <n v="13"/>
    <n v="6"/>
    <n v="10"/>
    <n v="71"/>
    <x v="3"/>
    <n v="1337.4"/>
    <n v="94955.4"/>
    <n v="94955.4"/>
    <n v="58444.039436235456"/>
    <x v="1"/>
    <n v="22.02"/>
    <b v="0"/>
    <d v="2023-07-08T00:00:00"/>
    <x v="3"/>
    <x v="1"/>
    <n v="63"/>
    <x v="1"/>
    <s v="Online Payment"/>
    <s v="Not Returned"/>
  </r>
  <r>
    <s v="TID_1281"/>
    <x v="2"/>
    <x v="1"/>
    <x v="1"/>
    <x v="1"/>
    <x v="1"/>
    <x v="3"/>
    <n v="3"/>
    <n v="13"/>
    <n v="10"/>
    <n v="9"/>
    <n v="77"/>
    <x v="3"/>
    <n v="1230.74"/>
    <n v="94766.98"/>
    <n v="91260.601739999998"/>
    <n v="54749.24117623546"/>
    <x v="0"/>
    <n v="3.7"/>
    <b v="1"/>
    <d v="2023-06-18T00:00:00"/>
    <x v="1"/>
    <x v="1"/>
    <n v="56"/>
    <x v="1"/>
    <s v="Debit Card"/>
    <s v="Not Returned"/>
  </r>
  <r>
    <s v="TID_425"/>
    <x v="9"/>
    <x v="4"/>
    <x v="1"/>
    <x v="0"/>
    <x v="3"/>
    <x v="0"/>
    <n v="6"/>
    <n v="13"/>
    <n v="6"/>
    <n v="10"/>
    <n v="94"/>
    <x v="1"/>
    <n v="1007.56"/>
    <n v="94710.64"/>
    <n v="94710.64"/>
    <n v="58199.279436235462"/>
    <x v="1"/>
    <n v="14.34"/>
    <b v="0"/>
    <d v="2023-02-21T00:00:00"/>
    <x v="2"/>
    <x v="1"/>
    <n v="62"/>
    <x v="1"/>
    <s v="Debit Card"/>
    <s v="Not Returned"/>
  </r>
  <r>
    <s v="TID_481"/>
    <x v="5"/>
    <x v="2"/>
    <x v="3"/>
    <x v="0"/>
    <x v="3"/>
    <x v="2"/>
    <n v="7"/>
    <n v="6"/>
    <n v="6"/>
    <n v="10"/>
    <n v="89"/>
    <x v="2"/>
    <n v="1062.5"/>
    <n v="94562.5"/>
    <n v="93323.731249999997"/>
    <n v="56812.370686235459"/>
    <x v="0"/>
    <n v="1.31"/>
    <b v="1"/>
    <d v="2024-03-10T00:00:00"/>
    <x v="2"/>
    <x v="0"/>
    <n v="67"/>
    <x v="0"/>
    <s v="Cash"/>
    <s v="Not Returned"/>
  </r>
  <r>
    <s v="TID_1607"/>
    <x v="8"/>
    <x v="3"/>
    <x v="1"/>
    <x v="1"/>
    <x v="0"/>
    <x v="2"/>
    <n v="9"/>
    <n v="7"/>
    <n v="10"/>
    <n v="10"/>
    <n v="64"/>
    <x v="3"/>
    <n v="1477.08"/>
    <n v="94533.119999999995"/>
    <n v="94533.119999999995"/>
    <n v="58021.759436235458"/>
    <x v="1"/>
    <n v="9.82"/>
    <b v="0"/>
    <d v="2023-10-04T00:00:00"/>
    <x v="0"/>
    <x v="1"/>
    <n v="49"/>
    <x v="0"/>
    <s v="Online Payment"/>
    <s v="Returned"/>
  </r>
  <r>
    <s v="TID_1561"/>
    <x v="0"/>
    <x v="0"/>
    <x v="0"/>
    <x v="1"/>
    <x v="0"/>
    <x v="2"/>
    <n v="5"/>
    <n v="4"/>
    <n v="10"/>
    <n v="10"/>
    <n v="68"/>
    <x v="3"/>
    <n v="1387.8"/>
    <n v="94370.4"/>
    <n v="75317.016239999997"/>
    <n v="38805.655676235459"/>
    <x v="0"/>
    <n v="20.190000000000001"/>
    <b v="1"/>
    <d v="2023-11-29T00:00:00"/>
    <x v="0"/>
    <x v="1"/>
    <n v="40"/>
    <x v="0"/>
    <s v="Credit Card"/>
    <s v="Returned"/>
  </r>
  <r>
    <s v="TID_212"/>
    <x v="5"/>
    <x v="2"/>
    <x v="1"/>
    <x v="0"/>
    <x v="0"/>
    <x v="3"/>
    <n v="7"/>
    <n v="6"/>
    <n v="6"/>
    <n v="9"/>
    <n v="76"/>
    <x v="3"/>
    <n v="1241.3900000000001"/>
    <n v="94345.64"/>
    <n v="92656.853044000003"/>
    <n v="56145.492480235465"/>
    <x v="1"/>
    <n v="1.79"/>
    <b v="1"/>
    <d v="2024-02-20T00:00:00"/>
    <x v="2"/>
    <x v="0"/>
    <n v="39"/>
    <x v="1"/>
    <s v="Cash"/>
    <s v="Returned"/>
  </r>
  <r>
    <s v="TID_1119"/>
    <x v="1"/>
    <x v="0"/>
    <x v="3"/>
    <x v="0"/>
    <x v="4"/>
    <x v="2"/>
    <n v="5"/>
    <n v="4"/>
    <n v="6"/>
    <n v="10"/>
    <n v="78"/>
    <x v="3"/>
    <n v="1205.57"/>
    <n v="94034.46"/>
    <n v="73581.964950000009"/>
    <n v="37070.604386235471"/>
    <x v="0"/>
    <n v="21.75"/>
    <b v="1"/>
    <d v="2024-09-06T00:00:00"/>
    <x v="3"/>
    <x v="0"/>
    <n v="63"/>
    <x v="2"/>
    <s v="Cash"/>
    <s v="Returned"/>
  </r>
  <r>
    <s v="TID_602"/>
    <x v="8"/>
    <x v="3"/>
    <x v="3"/>
    <x v="0"/>
    <x v="1"/>
    <x v="1"/>
    <n v="9"/>
    <n v="7"/>
    <n v="6"/>
    <n v="10"/>
    <n v="83"/>
    <x v="2"/>
    <n v="1131.54"/>
    <n v="93917.82"/>
    <n v="93917.82"/>
    <n v="57406.459436235469"/>
    <x v="0"/>
    <n v="27.6"/>
    <b v="0"/>
    <d v="2024-10-07T00:00:00"/>
    <x v="0"/>
    <x v="0"/>
    <n v="65"/>
    <x v="1"/>
    <s v="Cash"/>
    <s v="Not Returned"/>
  </r>
  <r>
    <s v="TID_1319"/>
    <x v="9"/>
    <x v="4"/>
    <x v="0"/>
    <x v="0"/>
    <x v="0"/>
    <x v="1"/>
    <n v="6"/>
    <n v="13"/>
    <n v="6"/>
    <n v="10"/>
    <n v="78"/>
    <x v="3"/>
    <n v="1204.07"/>
    <n v="93917.46"/>
    <n v="93917.46"/>
    <n v="57406.099436235469"/>
    <x v="1"/>
    <n v="20.79"/>
    <b v="0"/>
    <d v="2023-04-23T00:00:00"/>
    <x v="1"/>
    <x v="1"/>
    <n v="43"/>
    <x v="0"/>
    <s v="Online Payment"/>
    <s v="Not Returned"/>
  </r>
  <r>
    <s v="TID_130"/>
    <x v="3"/>
    <x v="0"/>
    <x v="2"/>
    <x v="2"/>
    <x v="4"/>
    <x v="0"/>
    <n v="5"/>
    <n v="4"/>
    <n v="10"/>
    <n v="10"/>
    <n v="63"/>
    <x v="3"/>
    <n v="1488.24"/>
    <n v="93759.12"/>
    <n v="72569.558879999997"/>
    <n v="36058.198316235459"/>
    <x v="0"/>
    <n v="22.6"/>
    <b v="1"/>
    <d v="2023-01-15T00:00:00"/>
    <x v="2"/>
    <x v="1"/>
    <n v="57"/>
    <x v="1"/>
    <s v="Debit Card"/>
    <s v="Not Returned"/>
  </r>
  <r>
    <s v="TID_589"/>
    <x v="8"/>
    <x v="3"/>
    <x v="3"/>
    <x v="2"/>
    <x v="4"/>
    <x v="2"/>
    <n v="9"/>
    <n v="7"/>
    <n v="10"/>
    <n v="10"/>
    <n v="73"/>
    <x v="3"/>
    <n v="1283.6300000000001"/>
    <n v="93704.99"/>
    <n v="71496.907370000001"/>
    <n v="34985.546806235463"/>
    <x v="1"/>
    <n v="23.7"/>
    <b v="1"/>
    <d v="2024-07-23T00:00:00"/>
    <x v="3"/>
    <x v="0"/>
    <n v="66"/>
    <x v="0"/>
    <s v="Online Payment"/>
    <s v="Returned"/>
  </r>
  <r>
    <s v="TID_1777"/>
    <x v="4"/>
    <x v="2"/>
    <x v="3"/>
    <x v="2"/>
    <x v="2"/>
    <x v="2"/>
    <n v="6"/>
    <n v="6"/>
    <n v="10"/>
    <n v="10"/>
    <n v="87"/>
    <x v="2"/>
    <n v="1076.4000000000001"/>
    <n v="93646.8"/>
    <n v="93646.8"/>
    <n v="57135.439436235465"/>
    <x v="0"/>
    <n v="19.46"/>
    <b v="0"/>
    <d v="2023-09-18T00:00:00"/>
    <x v="3"/>
    <x v="1"/>
    <n v="44"/>
    <x v="2"/>
    <s v="Credit Card"/>
    <s v="Not Returned"/>
  </r>
  <r>
    <s v="TID_1943"/>
    <x v="2"/>
    <x v="1"/>
    <x v="3"/>
    <x v="2"/>
    <x v="0"/>
    <x v="2"/>
    <n v="3"/>
    <n v="13"/>
    <n v="10"/>
    <n v="10"/>
    <n v="66"/>
    <x v="3"/>
    <n v="1411.93"/>
    <n v="93187.38"/>
    <n v="93187.38"/>
    <n v="56676.019436235467"/>
    <x v="0"/>
    <n v="20.05"/>
    <b v="0"/>
    <d v="2023-02-28T00:00:00"/>
    <x v="2"/>
    <x v="1"/>
    <n v="36"/>
    <x v="1"/>
    <s v="Debit Card"/>
    <s v="Not Returned"/>
  </r>
  <r>
    <s v="TID_1290"/>
    <x v="8"/>
    <x v="3"/>
    <x v="3"/>
    <x v="2"/>
    <x v="1"/>
    <x v="3"/>
    <n v="9"/>
    <n v="7"/>
    <n v="10"/>
    <n v="9"/>
    <n v="77"/>
    <x v="3"/>
    <n v="1209.53"/>
    <n v="93133.81"/>
    <n v="93133.81"/>
    <n v="56622.44943623546"/>
    <x v="1"/>
    <n v="28.59"/>
    <b v="0"/>
    <d v="2024-05-29T00:00:00"/>
    <x v="1"/>
    <x v="0"/>
    <n v="35"/>
    <x v="1"/>
    <s v="Cash"/>
    <s v="Returned"/>
  </r>
  <r>
    <s v="TID_51"/>
    <x v="7"/>
    <x v="2"/>
    <x v="2"/>
    <x v="0"/>
    <x v="3"/>
    <x v="0"/>
    <n v="2"/>
    <n v="6"/>
    <n v="6"/>
    <n v="10"/>
    <n v="63"/>
    <x v="3"/>
    <n v="1477.44"/>
    <n v="93078.720000000001"/>
    <n v="93078.720000000001"/>
    <n v="56567.359436235463"/>
    <x v="1"/>
    <n v="9.48"/>
    <b v="0"/>
    <d v="2023-05-10T00:00:00"/>
    <x v="1"/>
    <x v="1"/>
    <n v="22"/>
    <x v="1"/>
    <s v="Cash"/>
    <s v="Not Returned"/>
  </r>
  <r>
    <s v="TID_1609"/>
    <x v="2"/>
    <x v="1"/>
    <x v="3"/>
    <x v="2"/>
    <x v="2"/>
    <x v="2"/>
    <n v="3"/>
    <n v="13"/>
    <n v="10"/>
    <n v="10"/>
    <n v="62"/>
    <x v="3"/>
    <n v="1497.97"/>
    <n v="92874.14"/>
    <n v="82611.547529999996"/>
    <n v="46100.186966235458"/>
    <x v="1"/>
    <n v="11.05"/>
    <b v="1"/>
    <d v="2024-03-03T00:00:00"/>
    <x v="2"/>
    <x v="0"/>
    <n v="58"/>
    <x v="1"/>
    <s v="Credit Card"/>
    <s v="Returned"/>
  </r>
  <r>
    <s v="TID_1130"/>
    <x v="1"/>
    <x v="0"/>
    <x v="0"/>
    <x v="1"/>
    <x v="1"/>
    <x v="2"/>
    <n v="5"/>
    <n v="4"/>
    <n v="10"/>
    <n v="10"/>
    <n v="74"/>
    <x v="3"/>
    <n v="1246.8"/>
    <n v="92263.2"/>
    <n v="92263.2"/>
    <n v="55751.839436235459"/>
    <x v="0"/>
    <n v="18.86"/>
    <b v="0"/>
    <d v="2023-03-03T00:00:00"/>
    <x v="2"/>
    <x v="1"/>
    <n v="52"/>
    <x v="1"/>
    <s v="Debit Card"/>
    <s v="Not Returned"/>
  </r>
  <r>
    <s v="TID_27"/>
    <x v="9"/>
    <x v="4"/>
    <x v="1"/>
    <x v="2"/>
    <x v="2"/>
    <x v="2"/>
    <n v="6"/>
    <n v="13"/>
    <n v="10"/>
    <n v="10"/>
    <n v="89"/>
    <x v="2"/>
    <n v="1036.3399999999999"/>
    <n v="92234.26"/>
    <n v="92234.26"/>
    <n v="55722.899436235457"/>
    <x v="1"/>
    <n v="28.17"/>
    <b v="0"/>
    <d v="2023-03-27T00:00:00"/>
    <x v="2"/>
    <x v="1"/>
    <n v="29"/>
    <x v="2"/>
    <s v="Cash"/>
    <s v="Not Returned"/>
  </r>
  <r>
    <s v="TID_1779"/>
    <x v="9"/>
    <x v="4"/>
    <x v="2"/>
    <x v="2"/>
    <x v="2"/>
    <x v="0"/>
    <n v="6"/>
    <n v="13"/>
    <n v="10"/>
    <n v="10"/>
    <n v="67"/>
    <x v="3"/>
    <n v="1376.39"/>
    <n v="92218.13"/>
    <n v="92218.13"/>
    <n v="55706.769436235467"/>
    <x v="1"/>
    <n v="27.8"/>
    <b v="0"/>
    <d v="2024-05-27T00:00:00"/>
    <x v="1"/>
    <x v="0"/>
    <n v="48"/>
    <x v="2"/>
    <s v="Cash"/>
    <s v="Not Returned"/>
  </r>
  <r>
    <s v="TID_881"/>
    <x v="2"/>
    <x v="1"/>
    <x v="2"/>
    <x v="1"/>
    <x v="2"/>
    <x v="1"/>
    <n v="3"/>
    <n v="13"/>
    <n v="10"/>
    <n v="10"/>
    <n v="67"/>
    <x v="3"/>
    <n v="1374.59"/>
    <n v="92097.53"/>
    <n v="81543.153061999998"/>
    <n v="45031.79249823546"/>
    <x v="0"/>
    <n v="11.46"/>
    <b v="1"/>
    <d v="2024-02-11T00:00:00"/>
    <x v="2"/>
    <x v="0"/>
    <n v="38"/>
    <x v="1"/>
    <s v="Debit Card"/>
    <s v="Returned"/>
  </r>
  <r>
    <s v="TID_336"/>
    <x v="7"/>
    <x v="2"/>
    <x v="0"/>
    <x v="0"/>
    <x v="3"/>
    <x v="3"/>
    <n v="2"/>
    <n v="6"/>
    <n v="6"/>
    <n v="9"/>
    <n v="68"/>
    <x v="3"/>
    <n v="1348.7"/>
    <n v="91711.6"/>
    <n v="65454.568920000005"/>
    <n v="28943.208356235467"/>
    <x v="1"/>
    <n v="28.63"/>
    <b v="1"/>
    <d v="2023-09-28T00:00:00"/>
    <x v="3"/>
    <x v="1"/>
    <n v="22"/>
    <x v="0"/>
    <s v="Online Payment"/>
    <s v="Returned"/>
  </r>
  <r>
    <s v="TID_1783"/>
    <x v="8"/>
    <x v="3"/>
    <x v="2"/>
    <x v="1"/>
    <x v="2"/>
    <x v="3"/>
    <n v="9"/>
    <n v="7"/>
    <n v="10"/>
    <n v="9"/>
    <n v="67"/>
    <x v="3"/>
    <n v="1368.72"/>
    <n v="91704.24"/>
    <n v="91704.24"/>
    <n v="55192.879436235467"/>
    <x v="0"/>
    <n v="20.76"/>
    <b v="0"/>
    <d v="2023-01-31T00:00:00"/>
    <x v="2"/>
    <x v="1"/>
    <n v="23"/>
    <x v="2"/>
    <s v="Cash"/>
    <s v="Not Returned"/>
  </r>
  <r>
    <s v="TID_1838"/>
    <x v="4"/>
    <x v="2"/>
    <x v="1"/>
    <x v="0"/>
    <x v="0"/>
    <x v="0"/>
    <n v="6"/>
    <n v="6"/>
    <n v="6"/>
    <n v="10"/>
    <n v="66"/>
    <x v="3"/>
    <n v="1386.59"/>
    <n v="91514.94"/>
    <n v="91514.94"/>
    <n v="55003.579436235465"/>
    <x v="0"/>
    <n v="29.12"/>
    <b v="0"/>
    <d v="2024-02-09T00:00:00"/>
    <x v="2"/>
    <x v="0"/>
    <n v="65"/>
    <x v="0"/>
    <s v="Online Payment"/>
    <s v="Returned"/>
  </r>
  <r>
    <s v="TID_1018"/>
    <x v="3"/>
    <x v="0"/>
    <x v="2"/>
    <x v="2"/>
    <x v="3"/>
    <x v="1"/>
    <n v="5"/>
    <n v="4"/>
    <n v="10"/>
    <n v="10"/>
    <n v="90"/>
    <x v="2"/>
    <n v="1016.62"/>
    <n v="91495.8"/>
    <n v="85896.257039999997"/>
    <n v="49384.896476235459"/>
    <x v="0"/>
    <n v="6.12"/>
    <b v="1"/>
    <d v="2023-12-13T00:00:00"/>
    <x v="0"/>
    <x v="1"/>
    <n v="56"/>
    <x v="2"/>
    <s v="Debit Card"/>
    <s v="Not Returned"/>
  </r>
  <r>
    <s v="TID_452"/>
    <x v="7"/>
    <x v="2"/>
    <x v="0"/>
    <x v="0"/>
    <x v="2"/>
    <x v="0"/>
    <n v="2"/>
    <n v="6"/>
    <n v="6"/>
    <n v="10"/>
    <n v="74"/>
    <x v="3"/>
    <n v="1232.72"/>
    <n v="91221.28"/>
    <n v="91221.28"/>
    <n v="54709.919436235461"/>
    <x v="1"/>
    <n v="0.98"/>
    <b v="0"/>
    <d v="2024-06-10T00:00:00"/>
    <x v="1"/>
    <x v="0"/>
    <n v="46"/>
    <x v="0"/>
    <s v="Cash"/>
    <s v="Returned"/>
  </r>
  <r>
    <s v="TID_128"/>
    <x v="4"/>
    <x v="2"/>
    <x v="0"/>
    <x v="2"/>
    <x v="1"/>
    <x v="3"/>
    <n v="6"/>
    <n v="6"/>
    <n v="10"/>
    <n v="9"/>
    <n v="67"/>
    <x v="3"/>
    <n v="1361.35"/>
    <n v="91210.45"/>
    <n v="91210.45"/>
    <n v="54699.089436235459"/>
    <x v="1"/>
    <n v="5.79"/>
    <b v="0"/>
    <d v="2023-04-18T00:00:00"/>
    <x v="1"/>
    <x v="1"/>
    <n v="54"/>
    <x v="0"/>
    <s v="Cash"/>
    <s v="Not Returned"/>
  </r>
  <r>
    <s v="TID_1633"/>
    <x v="1"/>
    <x v="0"/>
    <x v="3"/>
    <x v="0"/>
    <x v="1"/>
    <x v="2"/>
    <n v="5"/>
    <n v="4"/>
    <n v="6"/>
    <n v="10"/>
    <n v="76"/>
    <x v="3"/>
    <n v="1199.3800000000001"/>
    <n v="91152.88"/>
    <n v="91152.88"/>
    <n v="54641.519436235467"/>
    <x v="1"/>
    <n v="11.87"/>
    <b v="0"/>
    <d v="2023-11-03T00:00:00"/>
    <x v="0"/>
    <x v="1"/>
    <n v="66"/>
    <x v="0"/>
    <s v="Debit Card"/>
    <s v="Not Returned"/>
  </r>
  <r>
    <s v="TID_1180"/>
    <x v="0"/>
    <x v="0"/>
    <x v="0"/>
    <x v="2"/>
    <x v="1"/>
    <x v="2"/>
    <n v="5"/>
    <n v="4"/>
    <n v="10"/>
    <n v="10"/>
    <n v="76"/>
    <x v="3"/>
    <n v="1196.6199999999999"/>
    <n v="90943.12"/>
    <n v="80602.887255999987"/>
    <n v="44091.526692235449"/>
    <x v="0"/>
    <n v="11.37"/>
    <b v="1"/>
    <d v="2024-01-03T00:00:00"/>
    <x v="2"/>
    <x v="0"/>
    <n v="23"/>
    <x v="0"/>
    <s v="Credit Card"/>
    <s v="Returned"/>
  </r>
  <r>
    <s v="TID_86"/>
    <x v="1"/>
    <x v="0"/>
    <x v="0"/>
    <x v="2"/>
    <x v="1"/>
    <x v="2"/>
    <n v="5"/>
    <n v="4"/>
    <n v="10"/>
    <n v="10"/>
    <n v="79"/>
    <x v="3"/>
    <n v="1150.54"/>
    <n v="90892.66"/>
    <n v="85948.099296"/>
    <n v="49436.738732235463"/>
    <x v="1"/>
    <n v="5.44"/>
    <b v="1"/>
    <d v="2023-05-21T00:00:00"/>
    <x v="1"/>
    <x v="1"/>
    <n v="50"/>
    <x v="1"/>
    <s v="Debit Card"/>
    <s v="Not Returned"/>
  </r>
  <r>
    <s v="TID_822"/>
    <x v="0"/>
    <x v="0"/>
    <x v="2"/>
    <x v="2"/>
    <x v="2"/>
    <x v="0"/>
    <n v="5"/>
    <n v="4"/>
    <n v="10"/>
    <n v="10"/>
    <n v="68"/>
    <x v="3"/>
    <n v="1336.3"/>
    <n v="90868.4"/>
    <n v="90868.4"/>
    <n v="54357.039436235456"/>
    <x v="0"/>
    <n v="13.63"/>
    <b v="0"/>
    <d v="2023-07-10T00:00:00"/>
    <x v="3"/>
    <x v="1"/>
    <n v="32"/>
    <x v="0"/>
    <s v="Credit Card"/>
    <s v="Not Returned"/>
  </r>
  <r>
    <s v="TID_41"/>
    <x v="0"/>
    <x v="0"/>
    <x v="0"/>
    <x v="0"/>
    <x v="1"/>
    <x v="1"/>
    <n v="5"/>
    <n v="4"/>
    <n v="6"/>
    <n v="10"/>
    <n v="90"/>
    <x v="2"/>
    <n v="1009.1"/>
    <n v="90819"/>
    <n v="67605.6636"/>
    <n v="31094.303036235462"/>
    <x v="1"/>
    <n v="25.56"/>
    <b v="1"/>
    <d v="2024-10-01T00:00:00"/>
    <x v="0"/>
    <x v="0"/>
    <n v="57"/>
    <x v="2"/>
    <s v="Cash"/>
    <s v="Returned"/>
  </r>
  <r>
    <s v="TID_1529"/>
    <x v="6"/>
    <x v="1"/>
    <x v="0"/>
    <x v="1"/>
    <x v="0"/>
    <x v="2"/>
    <n v="6"/>
    <n v="13"/>
    <n v="10"/>
    <n v="10"/>
    <n v="98"/>
    <x v="0"/>
    <n v="926.1"/>
    <n v="90757.8"/>
    <n v="90757.8"/>
    <n v="54246.439436235465"/>
    <x v="1"/>
    <n v="25.67"/>
    <b v="0"/>
    <d v="2024-05-01T00:00:00"/>
    <x v="1"/>
    <x v="0"/>
    <n v="22"/>
    <x v="1"/>
    <s v="Debit Card"/>
    <s v="Not Returned"/>
  </r>
  <r>
    <s v="TID_1719"/>
    <x v="9"/>
    <x v="4"/>
    <x v="1"/>
    <x v="1"/>
    <x v="0"/>
    <x v="2"/>
    <n v="6"/>
    <n v="13"/>
    <n v="10"/>
    <n v="10"/>
    <n v="98"/>
    <x v="0"/>
    <n v="925.97"/>
    <n v="90745.06"/>
    <n v="73966.298406000002"/>
    <n v="37454.937842235464"/>
    <x v="1"/>
    <n v="18.489999999999998"/>
    <b v="1"/>
    <d v="2024-01-30T00:00:00"/>
    <x v="2"/>
    <x v="0"/>
    <n v="27"/>
    <x v="1"/>
    <s v="Cash"/>
    <s v="Returned"/>
  </r>
  <r>
    <s v="TID_807"/>
    <x v="5"/>
    <x v="2"/>
    <x v="1"/>
    <x v="1"/>
    <x v="0"/>
    <x v="2"/>
    <n v="7"/>
    <n v="6"/>
    <n v="10"/>
    <n v="10"/>
    <n v="93"/>
    <x v="1"/>
    <n v="972.82"/>
    <n v="90472.26"/>
    <n v="71337.377009999997"/>
    <n v="34826.016446235459"/>
    <x v="0"/>
    <n v="21.15"/>
    <b v="1"/>
    <d v="2024-03-05T00:00:00"/>
    <x v="2"/>
    <x v="0"/>
    <n v="38"/>
    <x v="0"/>
    <s v="Debit Card"/>
    <s v="Not Returned"/>
  </r>
  <r>
    <s v="TID_1498"/>
    <x v="0"/>
    <x v="0"/>
    <x v="1"/>
    <x v="1"/>
    <x v="0"/>
    <x v="3"/>
    <n v="5"/>
    <n v="4"/>
    <n v="10"/>
    <n v="9"/>
    <n v="98"/>
    <x v="0"/>
    <n v="923.14"/>
    <n v="90467.72"/>
    <n v="74427.793244"/>
    <n v="37916.432680235463"/>
    <x v="0"/>
    <n v="17.73"/>
    <b v="1"/>
    <d v="2023-03-10T00:00:00"/>
    <x v="2"/>
    <x v="1"/>
    <n v="66"/>
    <x v="0"/>
    <s v="Online Payment"/>
    <s v="Not Returned"/>
  </r>
  <r>
    <s v="TID_1654"/>
    <x v="0"/>
    <x v="0"/>
    <x v="0"/>
    <x v="2"/>
    <x v="3"/>
    <x v="3"/>
    <n v="5"/>
    <n v="4"/>
    <n v="10"/>
    <n v="9"/>
    <n v="82"/>
    <x v="2"/>
    <n v="1101.3900000000001"/>
    <n v="90313.98"/>
    <n v="90313.98"/>
    <n v="53802.619436235458"/>
    <x v="1"/>
    <n v="19.190000000000001"/>
    <b v="0"/>
    <d v="2023-10-16T00:00:00"/>
    <x v="0"/>
    <x v="1"/>
    <n v="18"/>
    <x v="0"/>
    <s v="Debit Card"/>
    <s v="Returned"/>
  </r>
  <r>
    <s v="TID_555"/>
    <x v="8"/>
    <x v="3"/>
    <x v="0"/>
    <x v="1"/>
    <x v="1"/>
    <x v="3"/>
    <n v="9"/>
    <n v="7"/>
    <n v="10"/>
    <n v="9"/>
    <n v="86"/>
    <x v="2"/>
    <n v="1049.4000000000001"/>
    <n v="90248.4"/>
    <n v="71142.813719999991"/>
    <n v="34631.453156235453"/>
    <x v="1"/>
    <n v="21.17"/>
    <b v="1"/>
    <d v="2024-01-21T00:00:00"/>
    <x v="2"/>
    <x v="0"/>
    <n v="54"/>
    <x v="0"/>
    <s v="Cash"/>
    <s v="Not Returned"/>
  </r>
  <r>
    <s v="TID_235"/>
    <x v="4"/>
    <x v="2"/>
    <x v="1"/>
    <x v="0"/>
    <x v="2"/>
    <x v="3"/>
    <n v="6"/>
    <n v="6"/>
    <n v="6"/>
    <n v="9"/>
    <n v="84"/>
    <x v="2"/>
    <n v="1073.53"/>
    <n v="90176.52"/>
    <n v="63168.652260000003"/>
    <n v="26657.291696235465"/>
    <x v="1"/>
    <n v="29.95"/>
    <b v="1"/>
    <d v="2024-05-08T00:00:00"/>
    <x v="1"/>
    <x v="0"/>
    <n v="40"/>
    <x v="1"/>
    <s v="Online Payment"/>
    <s v="Not Returned"/>
  </r>
  <r>
    <s v="TID_596"/>
    <x v="0"/>
    <x v="0"/>
    <x v="0"/>
    <x v="1"/>
    <x v="1"/>
    <x v="2"/>
    <n v="5"/>
    <n v="4"/>
    <n v="10"/>
    <n v="10"/>
    <n v="77"/>
    <x v="3"/>
    <n v="1170"/>
    <n v="90090"/>
    <n v="68774.705999999991"/>
    <n v="32263.345436235453"/>
    <x v="1"/>
    <n v="23.66"/>
    <b v="1"/>
    <d v="2023-01-23T00:00:00"/>
    <x v="2"/>
    <x v="1"/>
    <n v="34"/>
    <x v="0"/>
    <s v="Cash"/>
    <s v="Not Returned"/>
  </r>
  <r>
    <s v="TID_1096"/>
    <x v="7"/>
    <x v="2"/>
    <x v="2"/>
    <x v="2"/>
    <x v="4"/>
    <x v="2"/>
    <n v="2"/>
    <n v="6"/>
    <n v="10"/>
    <n v="10"/>
    <n v="74"/>
    <x v="3"/>
    <n v="1217.27"/>
    <n v="90077.98"/>
    <n v="88249.397005999999"/>
    <n v="51738.036442235461"/>
    <x v="0"/>
    <n v="2.0299999999999998"/>
    <b v="1"/>
    <d v="2024-08-18T00:00:00"/>
    <x v="3"/>
    <x v="0"/>
    <n v="56"/>
    <x v="0"/>
    <s v="Credit Card"/>
    <s v="Returned"/>
  </r>
  <r>
    <s v="TID_121"/>
    <x v="9"/>
    <x v="4"/>
    <x v="1"/>
    <x v="0"/>
    <x v="3"/>
    <x v="1"/>
    <n v="6"/>
    <n v="13"/>
    <n v="6"/>
    <n v="10"/>
    <n v="60"/>
    <x v="4"/>
    <n v="1497.42"/>
    <n v="89845.2"/>
    <n v="89845.2"/>
    <n v="53333.839436235459"/>
    <x v="0"/>
    <n v="13.54"/>
    <b v="0"/>
    <d v="2023-09-30T00:00:00"/>
    <x v="3"/>
    <x v="1"/>
    <n v="67"/>
    <x v="2"/>
    <s v="Debit Card"/>
    <s v="Returned"/>
  </r>
  <r>
    <s v="TID_1710"/>
    <x v="7"/>
    <x v="2"/>
    <x v="0"/>
    <x v="1"/>
    <x v="3"/>
    <x v="2"/>
    <n v="2"/>
    <n v="6"/>
    <n v="10"/>
    <n v="10"/>
    <n v="61"/>
    <x v="3"/>
    <n v="1469.45"/>
    <n v="89636.45"/>
    <n v="66483.354965000006"/>
    <n v="29971.994401235468"/>
    <x v="0"/>
    <n v="25.83"/>
    <b v="1"/>
    <d v="2024-09-08T00:00:00"/>
    <x v="3"/>
    <x v="0"/>
    <n v="35"/>
    <x v="1"/>
    <s v="Cash"/>
    <s v="Not Returned"/>
  </r>
  <r>
    <s v="TID_131"/>
    <x v="5"/>
    <x v="2"/>
    <x v="1"/>
    <x v="1"/>
    <x v="3"/>
    <x v="1"/>
    <n v="7"/>
    <n v="6"/>
    <n v="10"/>
    <n v="10"/>
    <n v="75"/>
    <x v="3"/>
    <n v="1195.1500000000001"/>
    <n v="89636.25"/>
    <n v="70920.201000000001"/>
    <n v="34408.840436235463"/>
    <x v="0"/>
    <n v="20.88"/>
    <b v="1"/>
    <d v="2024-01-05T00:00:00"/>
    <x v="2"/>
    <x v="0"/>
    <n v="31"/>
    <x v="2"/>
    <s v="Debit Card"/>
    <s v="Not Returned"/>
  </r>
  <r>
    <s v="TID_1448"/>
    <x v="4"/>
    <x v="2"/>
    <x v="1"/>
    <x v="0"/>
    <x v="1"/>
    <x v="0"/>
    <n v="6"/>
    <n v="6"/>
    <n v="6"/>
    <n v="10"/>
    <n v="77"/>
    <x v="3"/>
    <n v="1159.73"/>
    <n v="89299.21"/>
    <n v="89299.21"/>
    <n v="52787.849436235469"/>
    <x v="1"/>
    <n v="15.7"/>
    <b v="0"/>
    <d v="2024-02-23T00:00:00"/>
    <x v="2"/>
    <x v="0"/>
    <n v="29"/>
    <x v="1"/>
    <s v="Cash"/>
    <s v="Not Returned"/>
  </r>
  <r>
    <s v="TID_675"/>
    <x v="2"/>
    <x v="1"/>
    <x v="2"/>
    <x v="2"/>
    <x v="1"/>
    <x v="2"/>
    <n v="3"/>
    <n v="13"/>
    <n v="10"/>
    <n v="10"/>
    <n v="66"/>
    <x v="3"/>
    <n v="1352.99"/>
    <n v="89297.34"/>
    <n v="70080.552431999997"/>
    <n v="33569.191868235459"/>
    <x v="0"/>
    <n v="21.52"/>
    <b v="1"/>
    <d v="2023-10-24T00:00:00"/>
    <x v="0"/>
    <x v="1"/>
    <n v="34"/>
    <x v="1"/>
    <s v="Debit Card"/>
    <s v="Not Returned"/>
  </r>
  <r>
    <s v="TID_908"/>
    <x v="6"/>
    <x v="1"/>
    <x v="1"/>
    <x v="0"/>
    <x v="4"/>
    <x v="1"/>
    <n v="6"/>
    <n v="13"/>
    <n v="6"/>
    <n v="10"/>
    <n v="71"/>
    <x v="3"/>
    <n v="1256.68"/>
    <n v="89224.28"/>
    <n v="80150.170723999996"/>
    <n v="43638.810160235458"/>
    <x v="1"/>
    <n v="10.17"/>
    <b v="1"/>
    <d v="2023-01-30T00:00:00"/>
    <x v="2"/>
    <x v="1"/>
    <n v="42"/>
    <x v="0"/>
    <s v="Credit Card"/>
    <s v="Not Returned"/>
  </r>
  <r>
    <s v="TID_1560"/>
    <x v="1"/>
    <x v="0"/>
    <x v="2"/>
    <x v="2"/>
    <x v="3"/>
    <x v="3"/>
    <n v="5"/>
    <n v="4"/>
    <n v="10"/>
    <n v="9"/>
    <n v="89"/>
    <x v="2"/>
    <n v="998.2"/>
    <n v="88839.8"/>
    <n v="88839.8"/>
    <n v="52328.439436235465"/>
    <x v="0"/>
    <n v="19.510000000000002"/>
    <b v="0"/>
    <d v="2023-01-12T00:00:00"/>
    <x v="2"/>
    <x v="1"/>
    <n v="36"/>
    <x v="0"/>
    <s v="Cash"/>
    <s v="Returned"/>
  </r>
  <r>
    <s v="TID_267"/>
    <x v="2"/>
    <x v="1"/>
    <x v="0"/>
    <x v="2"/>
    <x v="1"/>
    <x v="2"/>
    <n v="3"/>
    <n v="13"/>
    <n v="10"/>
    <n v="10"/>
    <n v="66"/>
    <x v="3"/>
    <n v="1344.8"/>
    <n v="88756.800000000003"/>
    <n v="88756.800000000003"/>
    <n v="52245.439436235465"/>
    <x v="0"/>
    <n v="12.23"/>
    <b v="0"/>
    <d v="2023-12-27T00:00:00"/>
    <x v="0"/>
    <x v="1"/>
    <n v="43"/>
    <x v="1"/>
    <s v="Credit Card"/>
    <s v="Returned"/>
  </r>
  <r>
    <s v="TID_1006"/>
    <x v="1"/>
    <x v="0"/>
    <x v="3"/>
    <x v="0"/>
    <x v="3"/>
    <x v="1"/>
    <n v="5"/>
    <n v="4"/>
    <n v="6"/>
    <n v="10"/>
    <n v="61"/>
    <x v="3"/>
    <n v="1453.63"/>
    <n v="88671.43"/>
    <n v="79706.748426999999"/>
    <n v="43195.387863235461"/>
    <x v="0"/>
    <n v="10.11"/>
    <b v="1"/>
    <d v="2023-11-29T00:00:00"/>
    <x v="0"/>
    <x v="1"/>
    <n v="24"/>
    <x v="1"/>
    <s v="Online Payment"/>
    <s v="Returned"/>
  </r>
  <r>
    <s v="TID_293"/>
    <x v="5"/>
    <x v="2"/>
    <x v="2"/>
    <x v="2"/>
    <x v="1"/>
    <x v="0"/>
    <n v="7"/>
    <n v="6"/>
    <n v="10"/>
    <n v="10"/>
    <n v="85"/>
    <x v="2"/>
    <n v="1042.92"/>
    <n v="88648.2"/>
    <n v="74145.354479999995"/>
    <n v="37633.993916235457"/>
    <x v="0"/>
    <n v="16.36"/>
    <b v="1"/>
    <d v="2024-09-24T00:00:00"/>
    <x v="3"/>
    <x v="0"/>
    <n v="32"/>
    <x v="2"/>
    <s v="Debit Card"/>
    <s v="Not Returned"/>
  </r>
  <r>
    <s v="TID_263"/>
    <x v="8"/>
    <x v="3"/>
    <x v="2"/>
    <x v="0"/>
    <x v="0"/>
    <x v="2"/>
    <n v="9"/>
    <n v="7"/>
    <n v="6"/>
    <n v="10"/>
    <n v="62"/>
    <x v="3"/>
    <n v="1429.59"/>
    <n v="88634.58"/>
    <n v="72520.813355999999"/>
    <n v="36009.452792235461"/>
    <x v="0"/>
    <n v="18.18"/>
    <b v="1"/>
    <d v="2024-03-19T00:00:00"/>
    <x v="2"/>
    <x v="0"/>
    <n v="56"/>
    <x v="2"/>
    <s v="Online Payment"/>
    <s v="Not Returned"/>
  </r>
  <r>
    <s v="TID_802"/>
    <x v="3"/>
    <x v="0"/>
    <x v="3"/>
    <x v="2"/>
    <x v="3"/>
    <x v="1"/>
    <n v="5"/>
    <n v="4"/>
    <n v="10"/>
    <n v="10"/>
    <n v="90"/>
    <x v="2"/>
    <n v="983.84"/>
    <n v="88545.600000000006"/>
    <n v="68605.130880000012"/>
    <n v="32093.770316235474"/>
    <x v="0"/>
    <n v="22.52"/>
    <b v="1"/>
    <d v="2023-12-20T00:00:00"/>
    <x v="0"/>
    <x v="1"/>
    <n v="21"/>
    <x v="1"/>
    <s v="Credit Card"/>
    <s v="Not Returned"/>
  </r>
  <r>
    <s v="TID_99"/>
    <x v="0"/>
    <x v="0"/>
    <x v="0"/>
    <x v="1"/>
    <x v="1"/>
    <x v="3"/>
    <n v="5"/>
    <n v="4"/>
    <n v="10"/>
    <n v="9"/>
    <n v="76"/>
    <x v="3"/>
    <n v="1165.02"/>
    <n v="88541.52"/>
    <n v="64546.768080000002"/>
    <n v="28035.407516235464"/>
    <x v="0"/>
    <n v="27.1"/>
    <b v="1"/>
    <d v="2023-03-21T00:00:00"/>
    <x v="2"/>
    <x v="1"/>
    <n v="32"/>
    <x v="2"/>
    <s v="Debit Card"/>
    <s v="Returned"/>
  </r>
  <r>
    <s v="TID_1455"/>
    <x v="7"/>
    <x v="2"/>
    <x v="0"/>
    <x v="2"/>
    <x v="4"/>
    <x v="1"/>
    <n v="2"/>
    <n v="6"/>
    <n v="10"/>
    <n v="10"/>
    <n v="77"/>
    <x v="3"/>
    <n v="1149.69"/>
    <n v="88526.13"/>
    <n v="84896.558669999999"/>
    <n v="48385.198106235461"/>
    <x v="0"/>
    <n v="4.0999999999999996"/>
    <b v="1"/>
    <d v="2023-08-12T00:00:00"/>
    <x v="3"/>
    <x v="1"/>
    <n v="46"/>
    <x v="1"/>
    <s v="Debit Card"/>
    <s v="Not Returned"/>
  </r>
  <r>
    <s v="TID_776"/>
    <x v="7"/>
    <x v="2"/>
    <x v="3"/>
    <x v="1"/>
    <x v="1"/>
    <x v="0"/>
    <n v="2"/>
    <n v="6"/>
    <n v="10"/>
    <n v="10"/>
    <n v="96"/>
    <x v="0"/>
    <n v="922.01"/>
    <n v="88512.960000000006"/>
    <n v="87592.425216000003"/>
    <n v="51081.064652235465"/>
    <x v="0"/>
    <n v="1.04"/>
    <b v="1"/>
    <d v="2023-12-25T00:00:00"/>
    <x v="0"/>
    <x v="1"/>
    <n v="25"/>
    <x v="2"/>
    <s v="Online Payment"/>
    <s v="Not Returned"/>
  </r>
  <r>
    <s v="TID_771"/>
    <x v="9"/>
    <x v="4"/>
    <x v="1"/>
    <x v="2"/>
    <x v="2"/>
    <x v="3"/>
    <n v="6"/>
    <n v="13"/>
    <n v="10"/>
    <n v="9"/>
    <n v="73"/>
    <x v="3"/>
    <n v="1206.44"/>
    <n v="88070.12"/>
    <n v="62970.135800000004"/>
    <n v="26458.775236235466"/>
    <x v="1"/>
    <n v="28.5"/>
    <b v="1"/>
    <d v="2024-06-23T00:00:00"/>
    <x v="1"/>
    <x v="0"/>
    <n v="37"/>
    <x v="1"/>
    <s v="Cash"/>
    <s v="Not Returned"/>
  </r>
  <r>
    <s v="TID_717"/>
    <x v="7"/>
    <x v="2"/>
    <x v="1"/>
    <x v="0"/>
    <x v="4"/>
    <x v="2"/>
    <n v="2"/>
    <n v="6"/>
    <n v="6"/>
    <n v="10"/>
    <n v="99"/>
    <x v="0"/>
    <n v="886.6"/>
    <n v="87773.4"/>
    <n v="87773.4"/>
    <n v="51262.039436235456"/>
    <x v="1"/>
    <n v="25.11"/>
    <b v="0"/>
    <d v="2023-01-06T00:00:00"/>
    <x v="2"/>
    <x v="1"/>
    <n v="30"/>
    <x v="0"/>
    <s v="Online Payment"/>
    <s v="Returned"/>
  </r>
  <r>
    <s v="TID_1160"/>
    <x v="8"/>
    <x v="3"/>
    <x v="2"/>
    <x v="2"/>
    <x v="4"/>
    <x v="1"/>
    <n v="9"/>
    <n v="7"/>
    <n v="10"/>
    <n v="10"/>
    <n v="89"/>
    <x v="2"/>
    <n v="985.83"/>
    <n v="87738.87"/>
    <n v="76183.660820999998"/>
    <n v="39672.30025723546"/>
    <x v="1"/>
    <n v="13.17"/>
    <b v="1"/>
    <d v="2023-10-16T00:00:00"/>
    <x v="0"/>
    <x v="1"/>
    <n v="26"/>
    <x v="2"/>
    <s v="Credit Card"/>
    <s v="Not Returned"/>
  </r>
  <r>
    <s v="TID_1748"/>
    <x v="5"/>
    <x v="2"/>
    <x v="2"/>
    <x v="0"/>
    <x v="3"/>
    <x v="2"/>
    <n v="7"/>
    <n v="6"/>
    <n v="6"/>
    <n v="10"/>
    <n v="81"/>
    <x v="2"/>
    <n v="1079.3599999999999"/>
    <n v="87428.160000000003"/>
    <n v="87428.160000000003"/>
    <n v="50916.799436235466"/>
    <x v="1"/>
    <n v="2.5299999999999998"/>
    <b v="0"/>
    <d v="2023-08-27T00:00:00"/>
    <x v="3"/>
    <x v="1"/>
    <n v="34"/>
    <x v="2"/>
    <s v="Online Payment"/>
    <s v="Returned"/>
  </r>
  <r>
    <s v="TID_976"/>
    <x v="1"/>
    <x v="0"/>
    <x v="3"/>
    <x v="0"/>
    <x v="3"/>
    <x v="2"/>
    <n v="5"/>
    <n v="4"/>
    <n v="6"/>
    <n v="10"/>
    <n v="91"/>
    <x v="1"/>
    <n v="959.96"/>
    <n v="87356.36"/>
    <n v="86587.624031999992"/>
    <n v="50076.263468235455"/>
    <x v="0"/>
    <n v="0.88"/>
    <b v="1"/>
    <d v="2023-08-24T00:00:00"/>
    <x v="3"/>
    <x v="1"/>
    <n v="67"/>
    <x v="1"/>
    <s v="Credit Card"/>
    <s v="Not Returned"/>
  </r>
  <r>
    <s v="TID_1259"/>
    <x v="1"/>
    <x v="0"/>
    <x v="1"/>
    <x v="1"/>
    <x v="0"/>
    <x v="3"/>
    <n v="5"/>
    <n v="4"/>
    <n v="10"/>
    <n v="9"/>
    <n v="80"/>
    <x v="3"/>
    <n v="1091.75"/>
    <n v="87340"/>
    <n v="87340"/>
    <n v="50828.639436235462"/>
    <x v="0"/>
    <n v="27.03"/>
    <b v="0"/>
    <d v="2023-07-13T00:00:00"/>
    <x v="3"/>
    <x v="1"/>
    <n v="59"/>
    <x v="0"/>
    <s v="Online Payment"/>
    <s v="Returned"/>
  </r>
  <r>
    <s v="TID_334"/>
    <x v="3"/>
    <x v="0"/>
    <x v="3"/>
    <x v="2"/>
    <x v="2"/>
    <x v="1"/>
    <n v="5"/>
    <n v="4"/>
    <n v="10"/>
    <n v="10"/>
    <n v="85"/>
    <x v="2"/>
    <n v="1024.69"/>
    <n v="87098.65"/>
    <n v="87098.65"/>
    <n v="50587.289436235456"/>
    <x v="0"/>
    <n v="12.28"/>
    <b v="0"/>
    <d v="2024-02-13T00:00:00"/>
    <x v="2"/>
    <x v="0"/>
    <n v="56"/>
    <x v="0"/>
    <s v="Cash"/>
    <s v="Not Returned"/>
  </r>
  <r>
    <s v="TID_151"/>
    <x v="7"/>
    <x v="2"/>
    <x v="2"/>
    <x v="0"/>
    <x v="4"/>
    <x v="1"/>
    <n v="2"/>
    <n v="6"/>
    <n v="6"/>
    <n v="10"/>
    <n v="94"/>
    <x v="1"/>
    <n v="925.99"/>
    <n v="87043.06"/>
    <n v="87043.06"/>
    <n v="50531.69943623546"/>
    <x v="1"/>
    <n v="3.78"/>
    <b v="0"/>
    <d v="2023-05-31T00:00:00"/>
    <x v="1"/>
    <x v="1"/>
    <n v="30"/>
    <x v="1"/>
    <s v="Credit Card"/>
    <s v="Returned"/>
  </r>
  <r>
    <s v="TID_543"/>
    <x v="1"/>
    <x v="0"/>
    <x v="3"/>
    <x v="0"/>
    <x v="0"/>
    <x v="2"/>
    <n v="5"/>
    <n v="4"/>
    <n v="6"/>
    <n v="10"/>
    <n v="58"/>
    <x v="4"/>
    <n v="1499.58"/>
    <n v="86975.64"/>
    <n v="69432.653412"/>
    <n v="32921.292848235462"/>
    <x v="0"/>
    <n v="20.170000000000002"/>
    <b v="1"/>
    <d v="2024-04-12T00:00:00"/>
    <x v="1"/>
    <x v="0"/>
    <n v="52"/>
    <x v="2"/>
    <s v="Credit Card"/>
    <s v="Returned"/>
  </r>
  <r>
    <s v="TID_1127"/>
    <x v="6"/>
    <x v="1"/>
    <x v="2"/>
    <x v="0"/>
    <x v="4"/>
    <x v="1"/>
    <n v="6"/>
    <n v="13"/>
    <n v="6"/>
    <n v="10"/>
    <n v="71"/>
    <x v="3"/>
    <n v="1224.68"/>
    <n v="86952.28"/>
    <n v="86952.28"/>
    <n v="50440.919436235461"/>
    <x v="1"/>
    <n v="28.96"/>
    <b v="0"/>
    <d v="2024-01-22T00:00:00"/>
    <x v="2"/>
    <x v="0"/>
    <n v="43"/>
    <x v="2"/>
    <s v="Credit Card"/>
    <s v="Returned"/>
  </r>
  <r>
    <s v="TID_1263"/>
    <x v="1"/>
    <x v="0"/>
    <x v="2"/>
    <x v="0"/>
    <x v="1"/>
    <x v="2"/>
    <n v="5"/>
    <n v="4"/>
    <n v="6"/>
    <n v="10"/>
    <n v="81"/>
    <x v="2"/>
    <n v="1072.96"/>
    <n v="86909.759999999995"/>
    <n v="77818.999103999988"/>
    <n v="41307.63854023545"/>
    <x v="0"/>
    <n v="10.46"/>
    <b v="1"/>
    <d v="2023-10-08T00:00:00"/>
    <x v="0"/>
    <x v="1"/>
    <n v="38"/>
    <x v="1"/>
    <s v="Cash"/>
    <s v="Returned"/>
  </r>
  <r>
    <s v="TID_1726"/>
    <x v="4"/>
    <x v="2"/>
    <x v="1"/>
    <x v="0"/>
    <x v="2"/>
    <x v="0"/>
    <n v="6"/>
    <n v="6"/>
    <n v="6"/>
    <n v="10"/>
    <n v="73"/>
    <x v="3"/>
    <n v="1190.49"/>
    <n v="86905.77"/>
    <n v="65127.184038000007"/>
    <n v="28615.823474235469"/>
    <x v="1"/>
    <n v="25.06"/>
    <b v="1"/>
    <d v="2023-03-27T00:00:00"/>
    <x v="2"/>
    <x v="1"/>
    <n v="24"/>
    <x v="1"/>
    <s v="Online Payment"/>
    <s v="Not Returned"/>
  </r>
  <r>
    <s v="TID_586"/>
    <x v="8"/>
    <x v="3"/>
    <x v="3"/>
    <x v="1"/>
    <x v="4"/>
    <x v="1"/>
    <n v="9"/>
    <n v="7"/>
    <n v="10"/>
    <n v="10"/>
    <n v="68"/>
    <x v="3"/>
    <n v="1277.1199999999999"/>
    <n v="86844.160000000003"/>
    <n v="86844.160000000003"/>
    <n v="50332.799436235466"/>
    <x v="0"/>
    <n v="21.24"/>
    <b v="0"/>
    <d v="2024-05-16T00:00:00"/>
    <x v="1"/>
    <x v="0"/>
    <n v="30"/>
    <x v="2"/>
    <s v="Credit Card"/>
    <s v="Returned"/>
  </r>
  <r>
    <s v="TID_636"/>
    <x v="1"/>
    <x v="0"/>
    <x v="1"/>
    <x v="0"/>
    <x v="0"/>
    <x v="0"/>
    <n v="5"/>
    <n v="4"/>
    <n v="6"/>
    <n v="10"/>
    <n v="78"/>
    <x v="3"/>
    <n v="1109.49"/>
    <n v="86540.22"/>
    <n v="63295.516908000005"/>
    <n v="26784.156344235467"/>
    <x v="0"/>
    <n v="26.86"/>
    <b v="1"/>
    <d v="2024-07-05T00:00:00"/>
    <x v="3"/>
    <x v="0"/>
    <n v="44"/>
    <x v="1"/>
    <s v="Debit Card"/>
    <s v="Not Returned"/>
  </r>
  <r>
    <s v="TID_565"/>
    <x v="3"/>
    <x v="0"/>
    <x v="1"/>
    <x v="1"/>
    <x v="4"/>
    <x v="2"/>
    <n v="5"/>
    <n v="4"/>
    <n v="10"/>
    <n v="10"/>
    <n v="96"/>
    <x v="0"/>
    <n v="901.34"/>
    <n v="86528.639999999999"/>
    <n v="80428.370880000002"/>
    <n v="43917.010316235464"/>
    <x v="0"/>
    <n v="7.05"/>
    <b v="1"/>
    <d v="2024-10-12T00:00:00"/>
    <x v="0"/>
    <x v="0"/>
    <n v="44"/>
    <x v="1"/>
    <s v="Cash"/>
    <s v="Returned"/>
  </r>
  <r>
    <s v="TID_833"/>
    <x v="4"/>
    <x v="2"/>
    <x v="2"/>
    <x v="1"/>
    <x v="4"/>
    <x v="0"/>
    <n v="6"/>
    <n v="6"/>
    <n v="10"/>
    <n v="10"/>
    <n v="87"/>
    <x v="2"/>
    <n v="994.21"/>
    <n v="86496.27"/>
    <n v="86496.27"/>
    <n v="49984.909436235466"/>
    <x v="0"/>
    <n v="13.62"/>
    <b v="0"/>
    <d v="2024-07-15T00:00:00"/>
    <x v="3"/>
    <x v="0"/>
    <n v="63"/>
    <x v="1"/>
    <s v="Online Payment"/>
    <s v="Returned"/>
  </r>
  <r>
    <s v="TID_30"/>
    <x v="5"/>
    <x v="2"/>
    <x v="0"/>
    <x v="1"/>
    <x v="1"/>
    <x v="0"/>
    <n v="7"/>
    <n v="6"/>
    <n v="10"/>
    <n v="10"/>
    <n v="66"/>
    <x v="3"/>
    <n v="1306.32"/>
    <n v="86217.12"/>
    <n v="73232.821727999995"/>
    <n v="36721.461164235458"/>
    <x v="0"/>
    <n v="15.06"/>
    <b v="1"/>
    <d v="2023-12-02T00:00:00"/>
    <x v="0"/>
    <x v="1"/>
    <n v="62"/>
    <x v="0"/>
    <s v="Cash"/>
    <s v="Not Returned"/>
  </r>
  <r>
    <s v="TID_183"/>
    <x v="2"/>
    <x v="1"/>
    <x v="1"/>
    <x v="0"/>
    <x v="0"/>
    <x v="2"/>
    <n v="3"/>
    <n v="13"/>
    <n v="6"/>
    <n v="10"/>
    <n v="77"/>
    <x v="3"/>
    <n v="1116.3800000000001"/>
    <n v="85961.26"/>
    <n v="85961.26"/>
    <n v="49449.899436235457"/>
    <x v="1"/>
    <n v="9.57"/>
    <b v="0"/>
    <d v="2024-03-20T00:00:00"/>
    <x v="2"/>
    <x v="0"/>
    <n v="44"/>
    <x v="2"/>
    <s v="Credit Card"/>
    <s v="Returned"/>
  </r>
  <r>
    <s v="TID_338"/>
    <x v="0"/>
    <x v="0"/>
    <x v="3"/>
    <x v="0"/>
    <x v="2"/>
    <x v="1"/>
    <n v="5"/>
    <n v="4"/>
    <n v="6"/>
    <n v="10"/>
    <n v="80"/>
    <x v="3"/>
    <n v="1074.5"/>
    <n v="85960"/>
    <n v="85960"/>
    <n v="49448.639436235462"/>
    <x v="1"/>
    <n v="7"/>
    <b v="0"/>
    <d v="2023-05-22T00:00:00"/>
    <x v="1"/>
    <x v="1"/>
    <n v="67"/>
    <x v="0"/>
    <s v="Online Payment"/>
    <s v="Not Returned"/>
  </r>
  <r>
    <s v="TID_909"/>
    <x v="7"/>
    <x v="2"/>
    <x v="3"/>
    <x v="1"/>
    <x v="3"/>
    <x v="3"/>
    <n v="2"/>
    <n v="6"/>
    <n v="10"/>
    <n v="9"/>
    <n v="90"/>
    <x v="2"/>
    <n v="953.92"/>
    <n v="85852.800000000003"/>
    <n v="85852.800000000003"/>
    <n v="49341.439436235465"/>
    <x v="0"/>
    <n v="8.9499999999999993"/>
    <b v="0"/>
    <d v="2024-04-10T00:00:00"/>
    <x v="1"/>
    <x v="0"/>
    <n v="34"/>
    <x v="0"/>
    <s v="Cash"/>
    <s v="Returned"/>
  </r>
  <r>
    <s v="TID_1"/>
    <x v="3"/>
    <x v="0"/>
    <x v="1"/>
    <x v="0"/>
    <x v="2"/>
    <x v="1"/>
    <n v="5"/>
    <n v="4"/>
    <n v="6"/>
    <n v="10"/>
    <n v="86"/>
    <x v="2"/>
    <n v="997.27"/>
    <n v="85765.22"/>
    <n v="85765.22"/>
    <n v="49253.859436235463"/>
    <x v="1"/>
    <n v="25"/>
    <b v="0"/>
    <d v="2023-03-31T00:00:00"/>
    <x v="2"/>
    <x v="1"/>
    <n v="37"/>
    <x v="1"/>
    <s v="Debit Card"/>
    <s v="Not Returned"/>
  </r>
  <r>
    <s v="TID_470"/>
    <x v="0"/>
    <x v="0"/>
    <x v="1"/>
    <x v="1"/>
    <x v="0"/>
    <x v="0"/>
    <n v="5"/>
    <n v="4"/>
    <n v="10"/>
    <n v="10"/>
    <n v="63"/>
    <x v="3"/>
    <n v="1359.79"/>
    <n v="85666.77"/>
    <n v="85666.77"/>
    <n v="49155.409436235466"/>
    <x v="0"/>
    <n v="13.1"/>
    <b v="0"/>
    <d v="2024-01-03T00:00:00"/>
    <x v="2"/>
    <x v="0"/>
    <n v="34"/>
    <x v="1"/>
    <s v="Credit Card"/>
    <s v="Not Returned"/>
  </r>
  <r>
    <s v="TID_1089"/>
    <x v="7"/>
    <x v="2"/>
    <x v="2"/>
    <x v="0"/>
    <x v="1"/>
    <x v="1"/>
    <n v="2"/>
    <n v="6"/>
    <n v="6"/>
    <n v="10"/>
    <n v="65"/>
    <x v="3"/>
    <n v="1314.21"/>
    <n v="85423.65"/>
    <n v="68689.156965000002"/>
    <n v="32177.796401235464"/>
    <x v="0"/>
    <n v="19.59"/>
    <b v="1"/>
    <d v="2023-01-09T00:00:00"/>
    <x v="2"/>
    <x v="1"/>
    <n v="47"/>
    <x v="1"/>
    <s v="Cash"/>
    <s v="Returned"/>
  </r>
  <r>
    <s v="TID_1473"/>
    <x v="4"/>
    <x v="2"/>
    <x v="0"/>
    <x v="1"/>
    <x v="0"/>
    <x v="3"/>
    <n v="6"/>
    <n v="6"/>
    <n v="10"/>
    <n v="9"/>
    <n v="71"/>
    <x v="3"/>
    <n v="1203.06"/>
    <n v="85417.26"/>
    <n v="70281.321528"/>
    <n v="33769.960964235463"/>
    <x v="0"/>
    <n v="17.72"/>
    <b v="1"/>
    <d v="2024-04-22T00:00:00"/>
    <x v="1"/>
    <x v="0"/>
    <n v="60"/>
    <x v="0"/>
    <s v="Credit Card"/>
    <s v="Returned"/>
  </r>
  <r>
    <s v="TID_1504"/>
    <x v="5"/>
    <x v="2"/>
    <x v="1"/>
    <x v="2"/>
    <x v="2"/>
    <x v="0"/>
    <n v="7"/>
    <n v="6"/>
    <n v="10"/>
    <n v="10"/>
    <n v="90"/>
    <x v="2"/>
    <n v="943.52"/>
    <n v="84916.800000000003"/>
    <n v="77011.045920000004"/>
    <n v="40499.685356235466"/>
    <x v="0"/>
    <n v="9.31"/>
    <b v="1"/>
    <d v="2024-01-06T00:00:00"/>
    <x v="2"/>
    <x v="0"/>
    <n v="20"/>
    <x v="1"/>
    <s v="Credit Card"/>
    <s v="Returned"/>
  </r>
  <r>
    <s v="TID_1891"/>
    <x v="6"/>
    <x v="1"/>
    <x v="2"/>
    <x v="0"/>
    <x v="3"/>
    <x v="2"/>
    <n v="6"/>
    <n v="13"/>
    <n v="6"/>
    <n v="10"/>
    <n v="65"/>
    <x v="3"/>
    <n v="1304.3399999999999"/>
    <n v="84782.1"/>
    <n v="81687.553350000002"/>
    <n v="45176.192786235464"/>
    <x v="0"/>
    <n v="3.65"/>
    <b v="1"/>
    <d v="2024-02-27T00:00:00"/>
    <x v="2"/>
    <x v="0"/>
    <n v="32"/>
    <x v="1"/>
    <s v="Debit Card"/>
    <s v="Not Returned"/>
  </r>
  <r>
    <s v="TID_693"/>
    <x v="4"/>
    <x v="2"/>
    <x v="3"/>
    <x v="1"/>
    <x v="2"/>
    <x v="2"/>
    <n v="6"/>
    <n v="6"/>
    <n v="10"/>
    <n v="10"/>
    <n v="61"/>
    <x v="3"/>
    <n v="1388.25"/>
    <n v="84683.25"/>
    <n v="72023.104124999998"/>
    <n v="35511.74356123546"/>
    <x v="1"/>
    <n v="14.95"/>
    <b v="1"/>
    <d v="2023-06-17T00:00:00"/>
    <x v="1"/>
    <x v="1"/>
    <n v="47"/>
    <x v="2"/>
    <s v="Debit Card"/>
    <s v="Returned"/>
  </r>
  <r>
    <s v="TID_1855"/>
    <x v="5"/>
    <x v="2"/>
    <x v="3"/>
    <x v="1"/>
    <x v="0"/>
    <x v="1"/>
    <n v="7"/>
    <n v="6"/>
    <n v="10"/>
    <n v="10"/>
    <n v="81"/>
    <x v="2"/>
    <n v="1044.28"/>
    <n v="84586.68"/>
    <n v="84586.68"/>
    <n v="48075.319436235455"/>
    <x v="0"/>
    <n v="20.5"/>
    <b v="0"/>
    <d v="2023-10-02T00:00:00"/>
    <x v="0"/>
    <x v="1"/>
    <n v="31"/>
    <x v="1"/>
    <s v="Online Payment"/>
    <s v="Returned"/>
  </r>
  <r>
    <s v="TID_1515"/>
    <x v="1"/>
    <x v="0"/>
    <x v="2"/>
    <x v="0"/>
    <x v="0"/>
    <x v="1"/>
    <n v="5"/>
    <n v="4"/>
    <n v="6"/>
    <n v="10"/>
    <n v="62"/>
    <x v="3"/>
    <n v="1364.27"/>
    <n v="84584.74"/>
    <n v="74840.577952000007"/>
    <n v="38329.217388235469"/>
    <x v="1"/>
    <n v="11.52"/>
    <b v="1"/>
    <d v="2024-11-01T00:00:00"/>
    <x v="0"/>
    <x v="0"/>
    <n v="41"/>
    <x v="1"/>
    <s v="Debit Card"/>
    <s v="Returned"/>
  </r>
  <r>
    <s v="TID_1403"/>
    <x v="4"/>
    <x v="2"/>
    <x v="1"/>
    <x v="2"/>
    <x v="2"/>
    <x v="2"/>
    <n v="6"/>
    <n v="6"/>
    <n v="10"/>
    <n v="10"/>
    <n v="87"/>
    <x v="2"/>
    <n v="970.08"/>
    <n v="84396.96"/>
    <n v="84396.96"/>
    <n v="47885.599436235469"/>
    <x v="0"/>
    <n v="11.09"/>
    <b v="0"/>
    <d v="2024-06-11T00:00:00"/>
    <x v="1"/>
    <x v="0"/>
    <n v="53"/>
    <x v="1"/>
    <s v="Debit Card"/>
    <s v="Not Returned"/>
  </r>
  <r>
    <s v="TID_1373"/>
    <x v="0"/>
    <x v="0"/>
    <x v="1"/>
    <x v="2"/>
    <x v="0"/>
    <x v="1"/>
    <n v="5"/>
    <n v="4"/>
    <n v="10"/>
    <n v="10"/>
    <n v="67"/>
    <x v="3"/>
    <n v="1256.05"/>
    <n v="84155.35"/>
    <n v="73030.012730000002"/>
    <n v="36518.652166235464"/>
    <x v="0"/>
    <n v="13.22"/>
    <b v="1"/>
    <d v="2024-05-26T00:00:00"/>
    <x v="1"/>
    <x v="0"/>
    <n v="20"/>
    <x v="1"/>
    <s v="Credit Card"/>
    <s v="Not Returned"/>
  </r>
  <r>
    <s v="TID_1552"/>
    <x v="9"/>
    <x v="4"/>
    <x v="3"/>
    <x v="2"/>
    <x v="0"/>
    <x v="0"/>
    <n v="6"/>
    <n v="13"/>
    <n v="10"/>
    <n v="10"/>
    <n v="89"/>
    <x v="2"/>
    <n v="942.08"/>
    <n v="83845.119999999995"/>
    <n v="71150.968831999999"/>
    <n v="34639.608268235461"/>
    <x v="0"/>
    <n v="15.14"/>
    <b v="1"/>
    <d v="2023-04-07T00:00:00"/>
    <x v="1"/>
    <x v="1"/>
    <n v="19"/>
    <x v="1"/>
    <s v="Credit Card"/>
    <s v="Not Returned"/>
  </r>
  <r>
    <s v="TID_1644"/>
    <x v="6"/>
    <x v="1"/>
    <x v="0"/>
    <x v="0"/>
    <x v="3"/>
    <x v="2"/>
    <n v="6"/>
    <n v="13"/>
    <n v="6"/>
    <n v="10"/>
    <n v="83"/>
    <x v="2"/>
    <n v="1009.6"/>
    <n v="83796.800000000003"/>
    <n v="77026.018560000011"/>
    <n v="40514.657996235474"/>
    <x v="0"/>
    <n v="8.08"/>
    <b v="1"/>
    <d v="2024-06-01T00:00:00"/>
    <x v="1"/>
    <x v="0"/>
    <n v="64"/>
    <x v="1"/>
    <s v="Credit Card"/>
    <s v="Returned"/>
  </r>
  <r>
    <s v="TID_315"/>
    <x v="8"/>
    <x v="3"/>
    <x v="1"/>
    <x v="1"/>
    <x v="0"/>
    <x v="0"/>
    <n v="9"/>
    <n v="7"/>
    <n v="10"/>
    <n v="10"/>
    <n v="97"/>
    <x v="0"/>
    <n v="863.67"/>
    <n v="83775.990000000005"/>
    <n v="83775.990000000005"/>
    <n v="47264.629436235467"/>
    <x v="1"/>
    <n v="9.8000000000000007"/>
    <b v="0"/>
    <d v="2024-04-12T00:00:00"/>
    <x v="1"/>
    <x v="0"/>
    <n v="38"/>
    <x v="2"/>
    <s v="Debit Card"/>
    <s v="Not Returned"/>
  </r>
  <r>
    <s v="TID_1270"/>
    <x v="4"/>
    <x v="2"/>
    <x v="3"/>
    <x v="0"/>
    <x v="1"/>
    <x v="1"/>
    <n v="6"/>
    <n v="6"/>
    <n v="6"/>
    <n v="10"/>
    <n v="65"/>
    <x v="3"/>
    <n v="1288.32"/>
    <n v="83740.800000000003"/>
    <n v="83740.800000000003"/>
    <n v="47229.439436235465"/>
    <x v="0"/>
    <n v="18.309999999999999"/>
    <b v="0"/>
    <d v="2024-09-09T00:00:00"/>
    <x v="3"/>
    <x v="0"/>
    <n v="25"/>
    <x v="0"/>
    <s v="Online Payment"/>
    <s v="Returned"/>
  </r>
  <r>
    <s v="TID_1489"/>
    <x v="2"/>
    <x v="1"/>
    <x v="2"/>
    <x v="1"/>
    <x v="4"/>
    <x v="1"/>
    <n v="3"/>
    <n v="13"/>
    <n v="10"/>
    <n v="10"/>
    <n v="72"/>
    <x v="3"/>
    <n v="1160.1300000000001"/>
    <n v="83529.36"/>
    <n v="61168.550327999998"/>
    <n v="24657.18976423546"/>
    <x v="0"/>
    <n v="26.77"/>
    <b v="1"/>
    <d v="2024-07-26T00:00:00"/>
    <x v="3"/>
    <x v="0"/>
    <n v="45"/>
    <x v="0"/>
    <s v="Credit Card"/>
    <s v="Not Returned"/>
  </r>
  <r>
    <s v="TID_579"/>
    <x v="0"/>
    <x v="0"/>
    <x v="2"/>
    <x v="2"/>
    <x v="4"/>
    <x v="1"/>
    <n v="5"/>
    <n v="4"/>
    <n v="10"/>
    <n v="10"/>
    <n v="94"/>
    <x v="1"/>
    <n v="887.61"/>
    <n v="83435.34"/>
    <n v="66147.537551999994"/>
    <n v="29636.176988235457"/>
    <x v="0"/>
    <n v="20.72"/>
    <b v="1"/>
    <d v="2024-10-28T00:00:00"/>
    <x v="0"/>
    <x v="0"/>
    <n v="36"/>
    <x v="0"/>
    <s v="Debit Card"/>
    <s v="Not Returned"/>
  </r>
  <r>
    <s v="TID_530"/>
    <x v="9"/>
    <x v="4"/>
    <x v="2"/>
    <x v="1"/>
    <x v="1"/>
    <x v="2"/>
    <n v="6"/>
    <n v="13"/>
    <n v="10"/>
    <n v="10"/>
    <n v="75"/>
    <x v="3"/>
    <n v="1110.27"/>
    <n v="83270.25"/>
    <n v="59013.626174999998"/>
    <n v="22502.26561123546"/>
    <x v="1"/>
    <n v="29.13"/>
    <b v="1"/>
    <d v="2024-10-19T00:00:00"/>
    <x v="0"/>
    <x v="0"/>
    <n v="27"/>
    <x v="2"/>
    <s v="Online Payment"/>
    <s v="Returned"/>
  </r>
  <r>
    <s v="TID_1398"/>
    <x v="2"/>
    <x v="1"/>
    <x v="2"/>
    <x v="2"/>
    <x v="2"/>
    <x v="3"/>
    <n v="3"/>
    <n v="13"/>
    <n v="10"/>
    <n v="9"/>
    <n v="91"/>
    <x v="1"/>
    <n v="914.95"/>
    <n v="83260.45"/>
    <n v="83260.45"/>
    <n v="46749.089436235459"/>
    <x v="0"/>
    <n v="3.06"/>
    <b v="0"/>
    <d v="2023-12-04T00:00:00"/>
    <x v="0"/>
    <x v="1"/>
    <n v="58"/>
    <x v="1"/>
    <s v="Debit Card"/>
    <s v="Returned"/>
  </r>
  <r>
    <s v="TID_1065"/>
    <x v="6"/>
    <x v="1"/>
    <x v="1"/>
    <x v="0"/>
    <x v="2"/>
    <x v="3"/>
    <n v="6"/>
    <n v="13"/>
    <n v="6"/>
    <n v="9"/>
    <n v="59"/>
    <x v="4"/>
    <n v="1410.62"/>
    <n v="83226.58"/>
    <n v="83226.58"/>
    <n v="46715.219436235464"/>
    <x v="1"/>
    <n v="28.8"/>
    <b v="0"/>
    <d v="2023-01-28T00:00:00"/>
    <x v="2"/>
    <x v="1"/>
    <n v="23"/>
    <x v="2"/>
    <s v="Debit Card"/>
    <s v="Returned"/>
  </r>
  <r>
    <s v="TID_1015"/>
    <x v="1"/>
    <x v="0"/>
    <x v="3"/>
    <x v="0"/>
    <x v="1"/>
    <x v="0"/>
    <n v="5"/>
    <n v="4"/>
    <n v="6"/>
    <n v="10"/>
    <n v="83"/>
    <x v="2"/>
    <n v="1000.35"/>
    <n v="83029.05"/>
    <n v="83029.05"/>
    <n v="46517.689436235465"/>
    <x v="1"/>
    <n v="5.19"/>
    <b v="0"/>
    <d v="2024-02-17T00:00:00"/>
    <x v="2"/>
    <x v="0"/>
    <n v="24"/>
    <x v="2"/>
    <s v="Cash"/>
    <s v="Not Returned"/>
  </r>
  <r>
    <s v="TID_402"/>
    <x v="2"/>
    <x v="1"/>
    <x v="2"/>
    <x v="2"/>
    <x v="4"/>
    <x v="0"/>
    <n v="3"/>
    <n v="13"/>
    <n v="10"/>
    <n v="10"/>
    <n v="75"/>
    <x v="3"/>
    <n v="1103.58"/>
    <n v="82768.5"/>
    <n v="82768.5"/>
    <n v="46257.139436235462"/>
    <x v="1"/>
    <n v="12.96"/>
    <b v="0"/>
    <d v="2023-02-10T00:00:00"/>
    <x v="2"/>
    <x v="1"/>
    <n v="48"/>
    <x v="0"/>
    <s v="Credit Card"/>
    <s v="Not Returned"/>
  </r>
  <r>
    <s v="TID_1902"/>
    <x v="6"/>
    <x v="1"/>
    <x v="0"/>
    <x v="0"/>
    <x v="2"/>
    <x v="2"/>
    <n v="6"/>
    <n v="13"/>
    <n v="6"/>
    <n v="10"/>
    <n v="86"/>
    <x v="2"/>
    <n v="962.21"/>
    <n v="82750.06"/>
    <n v="82750.06"/>
    <n v="46238.69943623546"/>
    <x v="1"/>
    <n v="6.07"/>
    <b v="0"/>
    <d v="2023-05-17T00:00:00"/>
    <x v="1"/>
    <x v="1"/>
    <n v="46"/>
    <x v="1"/>
    <s v="Online Payment"/>
    <s v="Returned"/>
  </r>
  <r>
    <s v="TID_237"/>
    <x v="3"/>
    <x v="0"/>
    <x v="0"/>
    <x v="2"/>
    <x v="4"/>
    <x v="1"/>
    <n v="5"/>
    <n v="4"/>
    <n v="10"/>
    <n v="10"/>
    <n v="83"/>
    <x v="2"/>
    <n v="996.1"/>
    <n v="82676.3"/>
    <n v="82676.3"/>
    <n v="46164.939436235465"/>
    <x v="1"/>
    <n v="24.16"/>
    <b v="0"/>
    <d v="2024-09-05T00:00:00"/>
    <x v="3"/>
    <x v="0"/>
    <n v="33"/>
    <x v="1"/>
    <s v="Credit Card"/>
    <s v="Returned"/>
  </r>
  <r>
    <s v="TID_1906"/>
    <x v="4"/>
    <x v="2"/>
    <x v="2"/>
    <x v="0"/>
    <x v="4"/>
    <x v="3"/>
    <n v="6"/>
    <n v="6"/>
    <n v="6"/>
    <n v="9"/>
    <n v="70"/>
    <x v="3"/>
    <n v="1179.6500000000001"/>
    <n v="82575.5"/>
    <n v="60205.797050000008"/>
    <n v="23694.436486235471"/>
    <x v="1"/>
    <n v="27.09"/>
    <b v="1"/>
    <d v="2024-05-28T00:00:00"/>
    <x v="1"/>
    <x v="0"/>
    <n v="41"/>
    <x v="0"/>
    <s v="Debit Card"/>
    <s v="Returned"/>
  </r>
  <r>
    <s v="TID_1325"/>
    <x v="7"/>
    <x v="2"/>
    <x v="0"/>
    <x v="1"/>
    <x v="3"/>
    <x v="3"/>
    <n v="2"/>
    <n v="6"/>
    <n v="10"/>
    <n v="9"/>
    <n v="90"/>
    <x v="2"/>
    <n v="914.12"/>
    <n v="82270.8"/>
    <n v="82270.8"/>
    <n v="45759.439436235465"/>
    <x v="1"/>
    <n v="19"/>
    <b v="0"/>
    <d v="2024-06-12T00:00:00"/>
    <x v="1"/>
    <x v="0"/>
    <n v="68"/>
    <x v="1"/>
    <s v="Online Payment"/>
    <s v="Returned"/>
  </r>
  <r>
    <s v="TID_69"/>
    <x v="3"/>
    <x v="0"/>
    <x v="0"/>
    <x v="1"/>
    <x v="0"/>
    <x v="0"/>
    <n v="5"/>
    <n v="4"/>
    <n v="10"/>
    <n v="10"/>
    <n v="74"/>
    <x v="3"/>
    <n v="1111.22"/>
    <n v="82230.28"/>
    <n v="63909.373615999997"/>
    <n v="27398.013052235459"/>
    <x v="0"/>
    <n v="22.28"/>
    <b v="1"/>
    <d v="2024-06-13T00:00:00"/>
    <x v="1"/>
    <x v="0"/>
    <n v="24"/>
    <x v="1"/>
    <s v="Cash"/>
    <s v="Not Returned"/>
  </r>
  <r>
    <s v="TID_395"/>
    <x v="9"/>
    <x v="4"/>
    <x v="1"/>
    <x v="0"/>
    <x v="4"/>
    <x v="0"/>
    <n v="6"/>
    <n v="13"/>
    <n v="6"/>
    <n v="10"/>
    <n v="59"/>
    <x v="4"/>
    <n v="1393.49"/>
    <n v="82215.91"/>
    <n v="82215.91"/>
    <n v="45704.549436235466"/>
    <x v="0"/>
    <n v="19.170000000000002"/>
    <b v="0"/>
    <d v="2023-08-18T00:00:00"/>
    <x v="3"/>
    <x v="1"/>
    <n v="48"/>
    <x v="2"/>
    <s v="Online Payment"/>
    <s v="Not Returned"/>
  </r>
  <r>
    <s v="TID_1639"/>
    <x v="3"/>
    <x v="0"/>
    <x v="0"/>
    <x v="0"/>
    <x v="3"/>
    <x v="0"/>
    <n v="5"/>
    <n v="4"/>
    <n v="6"/>
    <n v="10"/>
    <n v="80"/>
    <x v="3"/>
    <n v="1026.1500000000001"/>
    <n v="82092"/>
    <n v="82092"/>
    <n v="45580.639436235462"/>
    <x v="1"/>
    <n v="4.6399999999999997"/>
    <b v="0"/>
    <d v="2023-03-09T00:00:00"/>
    <x v="2"/>
    <x v="1"/>
    <n v="52"/>
    <x v="0"/>
    <s v="Cash"/>
    <s v="Returned"/>
  </r>
  <r>
    <s v="TID_190"/>
    <x v="3"/>
    <x v="0"/>
    <x v="3"/>
    <x v="2"/>
    <x v="1"/>
    <x v="2"/>
    <n v="5"/>
    <n v="4"/>
    <n v="10"/>
    <n v="10"/>
    <n v="66"/>
    <x v="3"/>
    <n v="1240.56"/>
    <n v="81876.960000000006"/>
    <n v="66099.269808000012"/>
    <n v="29587.909244235474"/>
    <x v="1"/>
    <n v="19.27"/>
    <b v="1"/>
    <d v="2024-02-26T00:00:00"/>
    <x v="2"/>
    <x v="0"/>
    <n v="40"/>
    <x v="1"/>
    <s v="Online Payment"/>
    <s v="Returned"/>
  </r>
  <r>
    <s v="TID_1311"/>
    <x v="1"/>
    <x v="0"/>
    <x v="2"/>
    <x v="0"/>
    <x v="2"/>
    <x v="2"/>
    <n v="5"/>
    <n v="4"/>
    <n v="6"/>
    <n v="10"/>
    <n v="78"/>
    <x v="3"/>
    <n v="1049.43"/>
    <n v="81855.539999999994"/>
    <n v="81855.539999999994"/>
    <n v="45344.179436235456"/>
    <x v="0"/>
    <n v="5.0999999999999996"/>
    <b v="0"/>
    <d v="2023-10-14T00:00:00"/>
    <x v="0"/>
    <x v="1"/>
    <n v="55"/>
    <x v="2"/>
    <s v="Online Payment"/>
    <s v="Returned"/>
  </r>
  <r>
    <s v="TID_323"/>
    <x v="6"/>
    <x v="1"/>
    <x v="3"/>
    <x v="1"/>
    <x v="3"/>
    <x v="3"/>
    <n v="6"/>
    <n v="13"/>
    <n v="10"/>
    <n v="9"/>
    <n v="62"/>
    <x v="3"/>
    <n v="1319.29"/>
    <n v="81795.98"/>
    <n v="81795.98"/>
    <n v="45284.619436235458"/>
    <x v="1"/>
    <n v="16.97"/>
    <b v="0"/>
    <d v="2023-11-06T00:00:00"/>
    <x v="0"/>
    <x v="1"/>
    <n v="47"/>
    <x v="0"/>
    <s v="Cash"/>
    <s v="Returned"/>
  </r>
  <r>
    <s v="TID_610"/>
    <x v="1"/>
    <x v="0"/>
    <x v="2"/>
    <x v="0"/>
    <x v="0"/>
    <x v="1"/>
    <n v="5"/>
    <n v="4"/>
    <n v="6"/>
    <n v="10"/>
    <n v="77"/>
    <x v="3"/>
    <n v="1062.06"/>
    <n v="81778.62"/>
    <n v="58610.736954"/>
    <n v="22099.376390235462"/>
    <x v="0"/>
    <n v="28.33"/>
    <b v="1"/>
    <d v="2024-02-05T00:00:00"/>
    <x v="2"/>
    <x v="0"/>
    <n v="21"/>
    <x v="2"/>
    <s v="Credit Card"/>
    <s v="Not Returned"/>
  </r>
  <r>
    <s v="TID_1679"/>
    <x v="9"/>
    <x v="4"/>
    <x v="0"/>
    <x v="1"/>
    <x v="3"/>
    <x v="0"/>
    <n v="6"/>
    <n v="13"/>
    <n v="10"/>
    <n v="10"/>
    <n v="91"/>
    <x v="1"/>
    <n v="896.64"/>
    <n v="81594.240000000005"/>
    <n v="72945.25056"/>
    <n v="36433.889996235463"/>
    <x v="0"/>
    <n v="10.6"/>
    <b v="1"/>
    <d v="2023-10-17T00:00:00"/>
    <x v="0"/>
    <x v="1"/>
    <n v="34"/>
    <x v="2"/>
    <s v="Online Payment"/>
    <s v="Not Returned"/>
  </r>
  <r>
    <s v="TID_129"/>
    <x v="3"/>
    <x v="0"/>
    <x v="3"/>
    <x v="1"/>
    <x v="2"/>
    <x v="0"/>
    <n v="5"/>
    <n v="4"/>
    <n v="10"/>
    <n v="10"/>
    <n v="56"/>
    <x v="4"/>
    <n v="1454.78"/>
    <n v="81467.679999999993"/>
    <n v="81467.679999999993"/>
    <n v="44956.319436235455"/>
    <x v="1"/>
    <n v="24.06"/>
    <b v="0"/>
    <d v="2023-09-30T00:00:00"/>
    <x v="3"/>
    <x v="1"/>
    <n v="69"/>
    <x v="1"/>
    <s v="Cash"/>
    <s v="Returned"/>
  </r>
  <r>
    <s v="TID_831"/>
    <x v="0"/>
    <x v="0"/>
    <x v="1"/>
    <x v="1"/>
    <x v="1"/>
    <x v="1"/>
    <n v="5"/>
    <n v="4"/>
    <n v="10"/>
    <n v="10"/>
    <n v="90"/>
    <x v="2"/>
    <n v="903.45"/>
    <n v="81310.5"/>
    <n v="65284.200449999997"/>
    <n v="28772.839886235459"/>
    <x v="0"/>
    <n v="19.71"/>
    <b v="1"/>
    <d v="2024-06-14T00:00:00"/>
    <x v="1"/>
    <x v="0"/>
    <n v="21"/>
    <x v="0"/>
    <s v="Debit Card"/>
    <s v="Returned"/>
  </r>
  <r>
    <s v="TID_685"/>
    <x v="9"/>
    <x v="4"/>
    <x v="3"/>
    <x v="0"/>
    <x v="1"/>
    <x v="0"/>
    <n v="6"/>
    <n v="13"/>
    <n v="6"/>
    <n v="10"/>
    <n v="87"/>
    <x v="2"/>
    <n v="932.65"/>
    <n v="81140.55"/>
    <n v="81140.55"/>
    <n v="44629.189436235465"/>
    <x v="1"/>
    <n v="8.2100000000000009"/>
    <b v="0"/>
    <d v="2023-03-13T00:00:00"/>
    <x v="2"/>
    <x v="1"/>
    <n v="28"/>
    <x v="0"/>
    <s v="Credit Card"/>
    <s v="Not Returned"/>
  </r>
  <r>
    <s v="TID_638"/>
    <x v="4"/>
    <x v="2"/>
    <x v="0"/>
    <x v="2"/>
    <x v="1"/>
    <x v="3"/>
    <n v="6"/>
    <n v="6"/>
    <n v="10"/>
    <n v="9"/>
    <n v="59"/>
    <x v="4"/>
    <n v="1372.22"/>
    <n v="80960.98"/>
    <n v="80960.98"/>
    <n v="44449.619436235458"/>
    <x v="1"/>
    <n v="19.79"/>
    <b v="0"/>
    <d v="2023-09-02T00:00:00"/>
    <x v="3"/>
    <x v="1"/>
    <n v="34"/>
    <x v="2"/>
    <s v="Cash"/>
    <s v="Returned"/>
  </r>
  <r>
    <s v="TID_34"/>
    <x v="7"/>
    <x v="2"/>
    <x v="3"/>
    <x v="1"/>
    <x v="2"/>
    <x v="1"/>
    <n v="2"/>
    <n v="6"/>
    <n v="10"/>
    <n v="10"/>
    <n v="82"/>
    <x v="2"/>
    <n v="986.35"/>
    <n v="80880.7"/>
    <n v="74806.559430000008"/>
    <n v="38295.198866235471"/>
    <x v="1"/>
    <n v="7.51"/>
    <b v="1"/>
    <d v="2024-09-09T00:00:00"/>
    <x v="3"/>
    <x v="0"/>
    <n v="40"/>
    <x v="2"/>
    <s v="Online Payment"/>
    <s v="Returned"/>
  </r>
  <r>
    <s v="TID_1592"/>
    <x v="6"/>
    <x v="1"/>
    <x v="2"/>
    <x v="1"/>
    <x v="3"/>
    <x v="0"/>
    <n v="6"/>
    <n v="13"/>
    <n v="10"/>
    <n v="10"/>
    <n v="88"/>
    <x v="2"/>
    <n v="915.11"/>
    <n v="80529.679999999993"/>
    <n v="57780.045399999995"/>
    <n v="21268.684836235458"/>
    <x v="1"/>
    <n v="28.25"/>
    <b v="1"/>
    <d v="2024-08-05T00:00:00"/>
    <x v="3"/>
    <x v="0"/>
    <n v="58"/>
    <x v="2"/>
    <s v="Cash"/>
    <s v="Not Returned"/>
  </r>
  <r>
    <s v="TID_1196"/>
    <x v="0"/>
    <x v="0"/>
    <x v="3"/>
    <x v="1"/>
    <x v="2"/>
    <x v="1"/>
    <n v="5"/>
    <n v="4"/>
    <n v="10"/>
    <n v="10"/>
    <n v="80"/>
    <x v="3"/>
    <n v="1006.2"/>
    <n v="80496"/>
    <n v="73476.748800000001"/>
    <n v="36965.388236235463"/>
    <x v="1"/>
    <n v="8.7200000000000006"/>
    <b v="1"/>
    <d v="2023-04-14T00:00:00"/>
    <x v="1"/>
    <x v="1"/>
    <n v="35"/>
    <x v="1"/>
    <s v="Online Payment"/>
    <s v="Not Returned"/>
  </r>
  <r>
    <s v="TID_301"/>
    <x v="4"/>
    <x v="2"/>
    <x v="2"/>
    <x v="1"/>
    <x v="2"/>
    <x v="1"/>
    <n v="6"/>
    <n v="6"/>
    <n v="10"/>
    <n v="10"/>
    <n v="64"/>
    <x v="3"/>
    <n v="1248.8699999999999"/>
    <n v="79927.679999999993"/>
    <n v="56452.92038399999"/>
    <n v="19941.559820235452"/>
    <x v="0"/>
    <n v="29.37"/>
    <b v="1"/>
    <d v="2023-10-17T00:00:00"/>
    <x v="0"/>
    <x v="1"/>
    <n v="58"/>
    <x v="1"/>
    <s v="Online Payment"/>
    <s v="Not Returned"/>
  </r>
  <r>
    <s v="TID_311"/>
    <x v="7"/>
    <x v="2"/>
    <x v="3"/>
    <x v="2"/>
    <x v="0"/>
    <x v="3"/>
    <n v="2"/>
    <n v="6"/>
    <n v="10"/>
    <n v="9"/>
    <n v="63"/>
    <x v="3"/>
    <n v="1266.3900000000001"/>
    <n v="79782.570000000007"/>
    <n v="60403.383747000007"/>
    <n v="23892.023183235469"/>
    <x v="1"/>
    <n v="24.29"/>
    <b v="1"/>
    <d v="2023-08-07T00:00:00"/>
    <x v="3"/>
    <x v="1"/>
    <n v="18"/>
    <x v="0"/>
    <s v="Cash"/>
    <s v="Returned"/>
  </r>
  <r>
    <s v="TID_1394"/>
    <x v="6"/>
    <x v="1"/>
    <x v="1"/>
    <x v="1"/>
    <x v="2"/>
    <x v="1"/>
    <n v="6"/>
    <n v="13"/>
    <n v="10"/>
    <n v="10"/>
    <n v="93"/>
    <x v="1"/>
    <n v="854.56"/>
    <n v="79474.080000000002"/>
    <n v="78925.708847999995"/>
    <n v="42414.348284235457"/>
    <x v="1"/>
    <n v="0.69"/>
    <b v="1"/>
    <d v="2024-05-25T00:00:00"/>
    <x v="1"/>
    <x v="0"/>
    <n v="66"/>
    <x v="2"/>
    <s v="Credit Card"/>
    <s v="Returned"/>
  </r>
  <r>
    <s v="TID_1945"/>
    <x v="9"/>
    <x v="4"/>
    <x v="2"/>
    <x v="2"/>
    <x v="2"/>
    <x v="2"/>
    <n v="6"/>
    <n v="13"/>
    <n v="10"/>
    <n v="10"/>
    <n v="72"/>
    <x v="3"/>
    <n v="1102.3699999999999"/>
    <n v="79370.64"/>
    <n v="55853.119368"/>
    <n v="19341.758804235462"/>
    <x v="1"/>
    <n v="29.63"/>
    <b v="1"/>
    <d v="2023-03-19T00:00:00"/>
    <x v="2"/>
    <x v="1"/>
    <n v="48"/>
    <x v="2"/>
    <s v="Credit Card"/>
    <s v="Not Returned"/>
  </r>
  <r>
    <s v="TID_492"/>
    <x v="3"/>
    <x v="0"/>
    <x v="3"/>
    <x v="2"/>
    <x v="3"/>
    <x v="1"/>
    <n v="5"/>
    <n v="4"/>
    <n v="10"/>
    <n v="10"/>
    <n v="66"/>
    <x v="3"/>
    <n v="1200.77"/>
    <n v="79250.820000000007"/>
    <n v="79250.820000000007"/>
    <n v="42739.459436235469"/>
    <x v="1"/>
    <n v="19.920000000000002"/>
    <b v="0"/>
    <d v="2023-08-19T00:00:00"/>
    <x v="3"/>
    <x v="1"/>
    <n v="48"/>
    <x v="0"/>
    <s v="Online Payment"/>
    <s v="Not Returned"/>
  </r>
  <r>
    <s v="TID_410"/>
    <x v="4"/>
    <x v="2"/>
    <x v="3"/>
    <x v="1"/>
    <x v="0"/>
    <x v="3"/>
    <n v="6"/>
    <n v="6"/>
    <n v="10"/>
    <n v="9"/>
    <n v="54"/>
    <x v="4"/>
    <n v="1464.4"/>
    <n v="79077.600000000006"/>
    <n v="79077.600000000006"/>
    <n v="42566.239436235468"/>
    <x v="1"/>
    <n v="0.66"/>
    <b v="0"/>
    <d v="2024-06-02T00:00:00"/>
    <x v="1"/>
    <x v="0"/>
    <n v="50"/>
    <x v="1"/>
    <s v="Cash"/>
    <s v="Not Returned"/>
  </r>
  <r>
    <s v="TID_641"/>
    <x v="2"/>
    <x v="1"/>
    <x v="2"/>
    <x v="0"/>
    <x v="2"/>
    <x v="2"/>
    <n v="3"/>
    <n v="13"/>
    <n v="6"/>
    <n v="10"/>
    <n v="62"/>
    <x v="3"/>
    <n v="1272.8900000000001"/>
    <n v="78919.179999999993"/>
    <n v="78919.179999999993"/>
    <n v="42407.819436235455"/>
    <x v="1"/>
    <n v="14.47"/>
    <b v="0"/>
    <d v="2023-01-23T00:00:00"/>
    <x v="2"/>
    <x v="1"/>
    <n v="33"/>
    <x v="1"/>
    <s v="Credit Card"/>
    <s v="Returned"/>
  </r>
  <r>
    <s v="TID_1369"/>
    <x v="2"/>
    <x v="1"/>
    <x v="0"/>
    <x v="1"/>
    <x v="3"/>
    <x v="3"/>
    <n v="3"/>
    <n v="13"/>
    <n v="10"/>
    <n v="9"/>
    <n v="53"/>
    <x v="4"/>
    <n v="1488.08"/>
    <n v="78868.240000000005"/>
    <n v="57983.930048000009"/>
    <n v="21472.569484235471"/>
    <x v="1"/>
    <n v="26.48"/>
    <b v="1"/>
    <d v="2023-09-03T00:00:00"/>
    <x v="3"/>
    <x v="1"/>
    <n v="66"/>
    <x v="2"/>
    <s v="Credit Card"/>
    <s v="Returned"/>
  </r>
  <r>
    <s v="TID_1745"/>
    <x v="2"/>
    <x v="1"/>
    <x v="2"/>
    <x v="2"/>
    <x v="3"/>
    <x v="2"/>
    <n v="3"/>
    <n v="13"/>
    <n v="10"/>
    <n v="10"/>
    <n v="88"/>
    <x v="2"/>
    <n v="894.16"/>
    <n v="78686.080000000002"/>
    <n v="78686.080000000002"/>
    <n v="42174.719436235464"/>
    <x v="0"/>
    <n v="16.55"/>
    <b v="0"/>
    <d v="2024-09-21T00:00:00"/>
    <x v="3"/>
    <x v="0"/>
    <n v="21"/>
    <x v="0"/>
    <s v="Debit Card"/>
    <s v="Returned"/>
  </r>
  <r>
    <s v="TID_1570"/>
    <x v="1"/>
    <x v="0"/>
    <x v="2"/>
    <x v="1"/>
    <x v="1"/>
    <x v="1"/>
    <n v="5"/>
    <n v="4"/>
    <n v="10"/>
    <n v="10"/>
    <n v="64"/>
    <x v="3"/>
    <n v="1228.5"/>
    <n v="78624"/>
    <n v="78624"/>
    <n v="42112.639436235462"/>
    <x v="1"/>
    <n v="16.34"/>
    <b v="0"/>
    <d v="2024-07-17T00:00:00"/>
    <x v="3"/>
    <x v="0"/>
    <n v="50"/>
    <x v="2"/>
    <s v="Credit Card"/>
    <s v="Returned"/>
  </r>
  <r>
    <s v="TID_865"/>
    <x v="4"/>
    <x v="2"/>
    <x v="1"/>
    <x v="2"/>
    <x v="4"/>
    <x v="3"/>
    <n v="6"/>
    <n v="6"/>
    <n v="10"/>
    <n v="9"/>
    <n v="53"/>
    <x v="4"/>
    <n v="1481.46"/>
    <n v="78517.38"/>
    <n v="63936.702534000004"/>
    <n v="27425.341970235466"/>
    <x v="1"/>
    <n v="18.57"/>
    <b v="1"/>
    <d v="2024-10-17T00:00:00"/>
    <x v="0"/>
    <x v="0"/>
    <n v="30"/>
    <x v="0"/>
    <s v="Credit Card"/>
    <s v="Not Returned"/>
  </r>
  <r>
    <s v="TID_1611"/>
    <x v="1"/>
    <x v="0"/>
    <x v="1"/>
    <x v="0"/>
    <x v="1"/>
    <x v="2"/>
    <n v="5"/>
    <n v="4"/>
    <n v="6"/>
    <n v="10"/>
    <n v="91"/>
    <x v="1"/>
    <n v="860.13"/>
    <n v="78271.83"/>
    <n v="78271.83"/>
    <n v="41760.469436235464"/>
    <x v="1"/>
    <n v="25.45"/>
    <b v="0"/>
    <d v="2023-08-06T00:00:00"/>
    <x v="3"/>
    <x v="1"/>
    <n v="43"/>
    <x v="0"/>
    <s v="Debit Card"/>
    <s v="Not Returned"/>
  </r>
  <r>
    <s v="TID_1204"/>
    <x v="3"/>
    <x v="0"/>
    <x v="3"/>
    <x v="1"/>
    <x v="4"/>
    <x v="1"/>
    <n v="5"/>
    <n v="4"/>
    <n v="10"/>
    <n v="10"/>
    <n v="65"/>
    <x v="3"/>
    <n v="1202.46"/>
    <n v="78159.899999999994"/>
    <n v="55548.240929999993"/>
    <n v="19036.880366235455"/>
    <x v="1"/>
    <n v="28.93"/>
    <b v="1"/>
    <d v="2024-10-03T00:00:00"/>
    <x v="0"/>
    <x v="0"/>
    <n v="51"/>
    <x v="1"/>
    <s v="Credit Card"/>
    <s v="Returned"/>
  </r>
  <r>
    <s v="TID_1998"/>
    <x v="4"/>
    <x v="2"/>
    <x v="2"/>
    <x v="2"/>
    <x v="4"/>
    <x v="0"/>
    <n v="6"/>
    <n v="6"/>
    <n v="10"/>
    <n v="10"/>
    <n v="59"/>
    <x v="4"/>
    <n v="1322.82"/>
    <n v="78046.38"/>
    <n v="78046.38"/>
    <n v="41535.019436235467"/>
    <x v="0"/>
    <n v="14.33"/>
    <b v="0"/>
    <d v="2023-10-25T00:00:00"/>
    <x v="0"/>
    <x v="1"/>
    <n v="37"/>
    <x v="0"/>
    <s v="Credit Card"/>
    <s v="Returned"/>
  </r>
  <r>
    <s v="TID_1384"/>
    <x v="0"/>
    <x v="0"/>
    <x v="2"/>
    <x v="1"/>
    <x v="1"/>
    <x v="1"/>
    <n v="5"/>
    <n v="4"/>
    <n v="10"/>
    <n v="10"/>
    <n v="59"/>
    <x v="4"/>
    <n v="1321.42"/>
    <n v="77963.78"/>
    <n v="77963.78"/>
    <n v="41452.419436235461"/>
    <x v="1"/>
    <n v="28.52"/>
    <b v="0"/>
    <d v="2024-09-11T00:00:00"/>
    <x v="3"/>
    <x v="0"/>
    <n v="55"/>
    <x v="2"/>
    <s v="Online Payment"/>
    <s v="Not Returned"/>
  </r>
  <r>
    <s v="TID_658"/>
    <x v="8"/>
    <x v="3"/>
    <x v="3"/>
    <x v="1"/>
    <x v="2"/>
    <x v="0"/>
    <n v="9"/>
    <n v="7"/>
    <n v="10"/>
    <n v="10"/>
    <n v="71"/>
    <x v="3"/>
    <n v="1095.82"/>
    <n v="77803.22"/>
    <n v="63440.745588000005"/>
    <n v="26929.385024235467"/>
    <x v="0"/>
    <n v="18.46"/>
    <b v="1"/>
    <d v="2023-05-26T00:00:00"/>
    <x v="1"/>
    <x v="1"/>
    <n v="30"/>
    <x v="2"/>
    <s v="Cash"/>
    <s v="Not Returned"/>
  </r>
  <r>
    <s v="TID_1098"/>
    <x v="2"/>
    <x v="1"/>
    <x v="3"/>
    <x v="1"/>
    <x v="1"/>
    <x v="2"/>
    <n v="3"/>
    <n v="13"/>
    <n v="10"/>
    <n v="10"/>
    <n v="62"/>
    <x v="3"/>
    <n v="1254.5"/>
    <n v="77779"/>
    <n v="57447.569399999993"/>
    <n v="20936.208836235455"/>
    <x v="1"/>
    <n v="26.14"/>
    <b v="1"/>
    <d v="2024-07-08T00:00:00"/>
    <x v="3"/>
    <x v="0"/>
    <n v="60"/>
    <x v="2"/>
    <s v="Cash"/>
    <s v="Not Returned"/>
  </r>
  <r>
    <s v="TID_599"/>
    <x v="2"/>
    <x v="1"/>
    <x v="0"/>
    <x v="0"/>
    <x v="4"/>
    <x v="3"/>
    <n v="3"/>
    <n v="13"/>
    <n v="6"/>
    <n v="9"/>
    <n v="58"/>
    <x v="4"/>
    <n v="1337.2"/>
    <n v="77557.600000000006"/>
    <n v="77557.600000000006"/>
    <n v="41046.239436235468"/>
    <x v="0"/>
    <n v="6.24"/>
    <b v="0"/>
    <d v="2024-08-21T00:00:00"/>
    <x v="3"/>
    <x v="0"/>
    <n v="32"/>
    <x v="0"/>
    <s v="Credit Card"/>
    <s v="Returned"/>
  </r>
  <r>
    <s v="TID_299"/>
    <x v="7"/>
    <x v="2"/>
    <x v="2"/>
    <x v="2"/>
    <x v="0"/>
    <x v="3"/>
    <n v="2"/>
    <n v="6"/>
    <n v="10"/>
    <n v="9"/>
    <n v="69"/>
    <x v="3"/>
    <n v="1123.44"/>
    <n v="77517.36"/>
    <n v="77517.36"/>
    <n v="41005.999436235463"/>
    <x v="1"/>
    <n v="29.3"/>
    <b v="0"/>
    <d v="2023-06-01T00:00:00"/>
    <x v="1"/>
    <x v="1"/>
    <n v="64"/>
    <x v="0"/>
    <s v="Online Payment"/>
    <s v="Not Returned"/>
  </r>
  <r>
    <s v="TID_738"/>
    <x v="1"/>
    <x v="0"/>
    <x v="2"/>
    <x v="1"/>
    <x v="1"/>
    <x v="0"/>
    <n v="5"/>
    <n v="4"/>
    <n v="10"/>
    <n v="10"/>
    <n v="52"/>
    <x v="4"/>
    <n v="1489.6"/>
    <n v="77459.199999999997"/>
    <n v="65212.900479999997"/>
    <n v="28701.539916235459"/>
    <x v="0"/>
    <n v="15.81"/>
    <b v="1"/>
    <d v="2023-08-19T00:00:00"/>
    <x v="3"/>
    <x v="1"/>
    <n v="63"/>
    <x v="0"/>
    <s v="Debit Card"/>
    <s v="Not Returned"/>
  </r>
  <r>
    <s v="TID_868"/>
    <x v="8"/>
    <x v="3"/>
    <x v="2"/>
    <x v="0"/>
    <x v="0"/>
    <x v="0"/>
    <n v="9"/>
    <n v="7"/>
    <n v="6"/>
    <n v="10"/>
    <n v="74"/>
    <x v="3"/>
    <n v="1045.53"/>
    <n v="77369.22"/>
    <n v="77369.22"/>
    <n v="40857.859436235463"/>
    <x v="1"/>
    <n v="20.99"/>
    <b v="0"/>
    <d v="2023-09-11T00:00:00"/>
    <x v="3"/>
    <x v="1"/>
    <n v="56"/>
    <x v="0"/>
    <s v="Online Payment"/>
    <s v="Not Returned"/>
  </r>
  <r>
    <s v="TID_1567"/>
    <x v="3"/>
    <x v="0"/>
    <x v="3"/>
    <x v="0"/>
    <x v="2"/>
    <x v="3"/>
    <n v="5"/>
    <n v="4"/>
    <n v="6"/>
    <n v="9"/>
    <n v="82"/>
    <x v="2"/>
    <n v="941.23"/>
    <n v="77180.86"/>
    <n v="66514.465148000003"/>
    <n v="30003.104584235465"/>
    <x v="0"/>
    <n v="13.82"/>
    <b v="1"/>
    <d v="2024-04-12T00:00:00"/>
    <x v="1"/>
    <x v="0"/>
    <n v="64"/>
    <x v="0"/>
    <s v="Debit Card"/>
    <s v="Not Returned"/>
  </r>
  <r>
    <s v="TID_888"/>
    <x v="9"/>
    <x v="4"/>
    <x v="0"/>
    <x v="2"/>
    <x v="3"/>
    <x v="3"/>
    <n v="6"/>
    <n v="13"/>
    <n v="10"/>
    <n v="9"/>
    <n v="68"/>
    <x v="3"/>
    <n v="1134.9000000000001"/>
    <n v="77173.2"/>
    <n v="74117.141279999996"/>
    <n v="37605.780716235458"/>
    <x v="1"/>
    <n v="3.96"/>
    <b v="1"/>
    <d v="2023-07-03T00:00:00"/>
    <x v="3"/>
    <x v="1"/>
    <n v="54"/>
    <x v="2"/>
    <s v="Online Payment"/>
    <s v="Not Returned"/>
  </r>
  <r>
    <s v="TID_194"/>
    <x v="2"/>
    <x v="1"/>
    <x v="3"/>
    <x v="1"/>
    <x v="1"/>
    <x v="3"/>
    <n v="3"/>
    <n v="13"/>
    <n v="10"/>
    <n v="9"/>
    <n v="75"/>
    <x v="3"/>
    <n v="1025.6400000000001"/>
    <n v="76923"/>
    <n v="76923"/>
    <n v="40411.639436235462"/>
    <x v="0"/>
    <n v="22.27"/>
    <b v="0"/>
    <d v="2023-11-13T00:00:00"/>
    <x v="0"/>
    <x v="1"/>
    <n v="60"/>
    <x v="1"/>
    <s v="Cash"/>
    <s v="Not Returned"/>
  </r>
  <r>
    <s v="TID_1108"/>
    <x v="3"/>
    <x v="0"/>
    <x v="2"/>
    <x v="2"/>
    <x v="0"/>
    <x v="2"/>
    <n v="5"/>
    <n v="4"/>
    <n v="10"/>
    <n v="10"/>
    <n v="70"/>
    <x v="3"/>
    <n v="1096.1600000000001"/>
    <n v="76731.199999999997"/>
    <n v="76731.199999999997"/>
    <n v="40219.839436235459"/>
    <x v="0"/>
    <n v="22.09"/>
    <b v="0"/>
    <d v="2024-04-09T00:00:00"/>
    <x v="1"/>
    <x v="0"/>
    <n v="20"/>
    <x v="0"/>
    <s v="Online Payment"/>
    <s v="Returned"/>
  </r>
  <r>
    <s v="TID_1821"/>
    <x v="3"/>
    <x v="0"/>
    <x v="3"/>
    <x v="1"/>
    <x v="4"/>
    <x v="2"/>
    <n v="5"/>
    <n v="4"/>
    <n v="10"/>
    <n v="10"/>
    <n v="83"/>
    <x v="2"/>
    <n v="924.36"/>
    <n v="76721.88"/>
    <n v="76721.88"/>
    <n v="40210.519436235467"/>
    <x v="0"/>
    <n v="29.18"/>
    <b v="0"/>
    <d v="2023-09-24T00:00:00"/>
    <x v="3"/>
    <x v="1"/>
    <n v="19"/>
    <x v="1"/>
    <s v="Online Payment"/>
    <s v="Returned"/>
  </r>
  <r>
    <s v="TID_397"/>
    <x v="6"/>
    <x v="1"/>
    <x v="2"/>
    <x v="1"/>
    <x v="3"/>
    <x v="3"/>
    <n v="6"/>
    <n v="13"/>
    <n v="10"/>
    <n v="9"/>
    <n v="69"/>
    <x v="3"/>
    <n v="1110.83"/>
    <n v="76647.27"/>
    <n v="55653.582747"/>
    <n v="19142.222183235463"/>
    <x v="1"/>
    <n v="27.39"/>
    <b v="1"/>
    <d v="2023-01-28T00:00:00"/>
    <x v="2"/>
    <x v="1"/>
    <n v="57"/>
    <x v="2"/>
    <s v="Credit Card"/>
    <s v="Returned"/>
  </r>
  <r>
    <s v="TID_1464"/>
    <x v="1"/>
    <x v="0"/>
    <x v="2"/>
    <x v="1"/>
    <x v="2"/>
    <x v="3"/>
    <n v="5"/>
    <n v="4"/>
    <n v="10"/>
    <n v="9"/>
    <n v="96"/>
    <x v="0"/>
    <n v="794.4"/>
    <n v="76262.399999999994"/>
    <n v="76262.399999999994"/>
    <n v="39751.039436235456"/>
    <x v="0"/>
    <n v="11.58"/>
    <b v="0"/>
    <d v="2023-07-13T00:00:00"/>
    <x v="3"/>
    <x v="1"/>
    <n v="25"/>
    <x v="0"/>
    <s v="Credit Card"/>
    <s v="Not Returned"/>
  </r>
  <r>
    <s v="TID_1137"/>
    <x v="6"/>
    <x v="1"/>
    <x v="2"/>
    <x v="1"/>
    <x v="4"/>
    <x v="2"/>
    <n v="6"/>
    <n v="13"/>
    <n v="10"/>
    <n v="10"/>
    <n v="65"/>
    <x v="3"/>
    <n v="1171.54"/>
    <n v="76150.100000000006"/>
    <n v="61970.951380000006"/>
    <n v="25459.590816235468"/>
    <x v="0"/>
    <n v="18.62"/>
    <b v="1"/>
    <d v="2024-05-03T00:00:00"/>
    <x v="1"/>
    <x v="0"/>
    <n v="35"/>
    <x v="0"/>
    <s v="Cash"/>
    <s v="Not Returned"/>
  </r>
  <r>
    <s v="TID_1879"/>
    <x v="7"/>
    <x v="2"/>
    <x v="0"/>
    <x v="2"/>
    <x v="0"/>
    <x v="3"/>
    <n v="2"/>
    <n v="6"/>
    <n v="10"/>
    <n v="9"/>
    <n v="56"/>
    <x v="4"/>
    <n v="1355.34"/>
    <n v="75899.039999999994"/>
    <n v="61151.856527999989"/>
    <n v="24640.495964235452"/>
    <x v="0"/>
    <n v="19.43"/>
    <b v="1"/>
    <d v="2024-06-02T00:00:00"/>
    <x v="1"/>
    <x v="0"/>
    <n v="58"/>
    <x v="2"/>
    <s v="Debit Card"/>
    <s v="Not Returned"/>
  </r>
  <r>
    <s v="TID_491"/>
    <x v="2"/>
    <x v="1"/>
    <x v="0"/>
    <x v="2"/>
    <x v="3"/>
    <x v="3"/>
    <n v="3"/>
    <n v="13"/>
    <n v="10"/>
    <n v="9"/>
    <n v="66"/>
    <x v="3"/>
    <n v="1149.54"/>
    <n v="75869.64"/>
    <n v="75869.64"/>
    <n v="39358.279436235462"/>
    <x v="0"/>
    <n v="2.2999999999999998"/>
    <b v="0"/>
    <d v="2023-05-19T00:00:00"/>
    <x v="1"/>
    <x v="1"/>
    <n v="43"/>
    <x v="2"/>
    <s v="Debit Card"/>
    <s v="Returned"/>
  </r>
  <r>
    <s v="TID_1476"/>
    <x v="7"/>
    <x v="2"/>
    <x v="2"/>
    <x v="0"/>
    <x v="0"/>
    <x v="1"/>
    <n v="2"/>
    <n v="6"/>
    <n v="6"/>
    <n v="10"/>
    <n v="86"/>
    <x v="2"/>
    <n v="881.8"/>
    <n v="75834.8"/>
    <n v="75834.8"/>
    <n v="39323.439436235465"/>
    <x v="0"/>
    <n v="8.81"/>
    <b v="0"/>
    <d v="2024-06-23T00:00:00"/>
    <x v="1"/>
    <x v="0"/>
    <n v="50"/>
    <x v="2"/>
    <s v="Online Payment"/>
    <s v="Not Returned"/>
  </r>
  <r>
    <s v="TID_661"/>
    <x v="4"/>
    <x v="2"/>
    <x v="0"/>
    <x v="1"/>
    <x v="2"/>
    <x v="3"/>
    <n v="6"/>
    <n v="6"/>
    <n v="10"/>
    <n v="9"/>
    <n v="64"/>
    <x v="3"/>
    <n v="1183.83"/>
    <n v="75765.119999999995"/>
    <n v="69029.600831999996"/>
    <n v="32518.240268235459"/>
    <x v="1"/>
    <n v="8.89"/>
    <b v="1"/>
    <d v="2024-02-12T00:00:00"/>
    <x v="2"/>
    <x v="0"/>
    <n v="37"/>
    <x v="0"/>
    <s v="Cash"/>
    <s v="Not Returned"/>
  </r>
  <r>
    <s v="TID_1650"/>
    <x v="9"/>
    <x v="4"/>
    <x v="1"/>
    <x v="1"/>
    <x v="0"/>
    <x v="2"/>
    <n v="6"/>
    <n v="13"/>
    <n v="10"/>
    <n v="10"/>
    <n v="69"/>
    <x v="3"/>
    <n v="1096.29"/>
    <n v="75644.009999999995"/>
    <n v="65061.413000999994"/>
    <n v="28550.052437235456"/>
    <x v="1"/>
    <n v="13.99"/>
    <b v="1"/>
    <d v="2024-02-16T00:00:00"/>
    <x v="2"/>
    <x v="0"/>
    <n v="19"/>
    <x v="1"/>
    <s v="Credit Card"/>
    <s v="Returned"/>
  </r>
  <r>
    <s v="TID_556"/>
    <x v="5"/>
    <x v="2"/>
    <x v="0"/>
    <x v="2"/>
    <x v="1"/>
    <x v="3"/>
    <n v="7"/>
    <n v="6"/>
    <n v="10"/>
    <n v="9"/>
    <n v="81"/>
    <x v="2"/>
    <n v="931.18"/>
    <n v="75425.58"/>
    <n v="75425.58"/>
    <n v="38914.219436235464"/>
    <x v="0"/>
    <n v="10.73"/>
    <b v="0"/>
    <d v="2023-11-08T00:00:00"/>
    <x v="0"/>
    <x v="1"/>
    <n v="21"/>
    <x v="2"/>
    <s v="Cash"/>
    <s v="Returned"/>
  </r>
  <r>
    <s v="TID_855"/>
    <x v="8"/>
    <x v="3"/>
    <x v="1"/>
    <x v="1"/>
    <x v="4"/>
    <x v="0"/>
    <n v="9"/>
    <n v="7"/>
    <n v="10"/>
    <n v="10"/>
    <n v="95"/>
    <x v="1"/>
    <n v="793.04"/>
    <n v="75338.8"/>
    <n v="75338.8"/>
    <n v="38827.439436235465"/>
    <x v="0"/>
    <n v="16.45"/>
    <b v="0"/>
    <d v="2023-07-05T00:00:00"/>
    <x v="3"/>
    <x v="1"/>
    <n v="21"/>
    <x v="0"/>
    <s v="Credit Card"/>
    <s v="Not Returned"/>
  </r>
  <r>
    <s v="TID_1229"/>
    <x v="4"/>
    <x v="2"/>
    <x v="1"/>
    <x v="0"/>
    <x v="3"/>
    <x v="1"/>
    <n v="6"/>
    <n v="6"/>
    <n v="6"/>
    <n v="10"/>
    <n v="99"/>
    <x v="0"/>
    <n v="760.25"/>
    <n v="75264.75"/>
    <n v="75264.75"/>
    <n v="38753.389436235462"/>
    <x v="0"/>
    <n v="24.64"/>
    <b v="0"/>
    <d v="2023-02-28T00:00:00"/>
    <x v="2"/>
    <x v="1"/>
    <n v="23"/>
    <x v="1"/>
    <s v="Online Payment"/>
    <s v="Returned"/>
  </r>
  <r>
    <s v="TID_887"/>
    <x v="3"/>
    <x v="0"/>
    <x v="1"/>
    <x v="0"/>
    <x v="0"/>
    <x v="1"/>
    <n v="5"/>
    <n v="4"/>
    <n v="6"/>
    <n v="10"/>
    <n v="76"/>
    <x v="3"/>
    <n v="989.81"/>
    <n v="75225.56"/>
    <n v="75225.56"/>
    <n v="38714.19943623546"/>
    <x v="0"/>
    <n v="25.85"/>
    <b v="0"/>
    <d v="2023-03-04T00:00:00"/>
    <x v="2"/>
    <x v="1"/>
    <n v="44"/>
    <x v="0"/>
    <s v="Online Payment"/>
    <s v="Not Returned"/>
  </r>
  <r>
    <s v="TID_770"/>
    <x v="2"/>
    <x v="1"/>
    <x v="1"/>
    <x v="1"/>
    <x v="1"/>
    <x v="3"/>
    <n v="3"/>
    <n v="13"/>
    <n v="10"/>
    <n v="9"/>
    <n v="64"/>
    <x v="3"/>
    <n v="1175.17"/>
    <n v="75210.880000000005"/>
    <n v="75210.880000000005"/>
    <n v="38699.519436235467"/>
    <x v="0"/>
    <n v="3.22"/>
    <b v="0"/>
    <d v="2024-07-10T00:00:00"/>
    <x v="3"/>
    <x v="0"/>
    <n v="68"/>
    <x v="1"/>
    <s v="Cash"/>
    <s v="Not Returned"/>
  </r>
  <r>
    <s v="TID_68"/>
    <x v="1"/>
    <x v="0"/>
    <x v="3"/>
    <x v="1"/>
    <x v="1"/>
    <x v="3"/>
    <n v="5"/>
    <n v="4"/>
    <n v="10"/>
    <n v="9"/>
    <n v="98"/>
    <x v="0"/>
    <n v="766.53"/>
    <n v="75119.94"/>
    <n v="75119.94"/>
    <n v="38608.579436235465"/>
    <x v="0"/>
    <n v="13.25"/>
    <b v="0"/>
    <d v="2023-04-17T00:00:00"/>
    <x v="1"/>
    <x v="1"/>
    <n v="44"/>
    <x v="0"/>
    <s v="Credit Card"/>
    <s v="Returned"/>
  </r>
  <r>
    <s v="TID_449"/>
    <x v="2"/>
    <x v="1"/>
    <x v="1"/>
    <x v="1"/>
    <x v="0"/>
    <x v="3"/>
    <n v="3"/>
    <n v="13"/>
    <n v="10"/>
    <n v="9"/>
    <n v="82"/>
    <x v="2"/>
    <n v="915.15"/>
    <n v="75042.3"/>
    <n v="75042.3"/>
    <n v="38530.939436235465"/>
    <x v="0"/>
    <n v="27.08"/>
    <b v="0"/>
    <d v="2023-07-17T00:00:00"/>
    <x v="3"/>
    <x v="1"/>
    <n v="46"/>
    <x v="1"/>
    <s v="Credit Card"/>
    <s v="Returned"/>
  </r>
  <r>
    <s v="TID_1789"/>
    <x v="7"/>
    <x v="2"/>
    <x v="1"/>
    <x v="0"/>
    <x v="1"/>
    <x v="2"/>
    <n v="2"/>
    <n v="6"/>
    <n v="6"/>
    <n v="10"/>
    <n v="60"/>
    <x v="4"/>
    <n v="1250.3499999999999"/>
    <n v="75021"/>
    <n v="75021"/>
    <n v="38509.639436235462"/>
    <x v="1"/>
    <n v="5.5"/>
    <b v="0"/>
    <d v="2023-11-06T00:00:00"/>
    <x v="0"/>
    <x v="1"/>
    <n v="29"/>
    <x v="2"/>
    <s v="Cash"/>
    <s v="Returned"/>
  </r>
  <r>
    <s v="TID_1243"/>
    <x v="1"/>
    <x v="0"/>
    <x v="3"/>
    <x v="2"/>
    <x v="2"/>
    <x v="1"/>
    <n v="5"/>
    <n v="4"/>
    <n v="10"/>
    <n v="10"/>
    <n v="84"/>
    <x v="2"/>
    <n v="892.52"/>
    <n v="74971.679999999993"/>
    <n v="69363.798335999993"/>
    <n v="32852.437772235455"/>
    <x v="0"/>
    <n v="7.48"/>
    <b v="1"/>
    <d v="2023-11-12T00:00:00"/>
    <x v="0"/>
    <x v="1"/>
    <n v="39"/>
    <x v="0"/>
    <s v="Online Payment"/>
    <s v="Returned"/>
  </r>
  <r>
    <s v="TID_1580"/>
    <x v="8"/>
    <x v="3"/>
    <x v="2"/>
    <x v="2"/>
    <x v="4"/>
    <x v="2"/>
    <n v="9"/>
    <n v="7"/>
    <n v="10"/>
    <n v="10"/>
    <n v="90"/>
    <x v="2"/>
    <n v="832.44"/>
    <n v="74919.600000000006"/>
    <n v="74919.600000000006"/>
    <n v="38408.239436235468"/>
    <x v="0"/>
    <n v="7.79"/>
    <b v="0"/>
    <d v="2024-06-13T00:00:00"/>
    <x v="1"/>
    <x v="0"/>
    <n v="30"/>
    <x v="0"/>
    <s v="Online Payment"/>
    <s v="Returned"/>
  </r>
  <r>
    <s v="TID_1784"/>
    <x v="4"/>
    <x v="2"/>
    <x v="3"/>
    <x v="1"/>
    <x v="3"/>
    <x v="1"/>
    <n v="6"/>
    <n v="6"/>
    <n v="10"/>
    <n v="10"/>
    <n v="93"/>
    <x v="1"/>
    <n v="804"/>
    <n v="74772"/>
    <n v="74772"/>
    <n v="38260.639436235462"/>
    <x v="0"/>
    <n v="25.38"/>
    <b v="0"/>
    <d v="2024-08-25T00:00:00"/>
    <x v="3"/>
    <x v="0"/>
    <n v="43"/>
    <x v="1"/>
    <s v="Debit Card"/>
    <s v="Not Returned"/>
  </r>
  <r>
    <s v="TID_860"/>
    <x v="0"/>
    <x v="0"/>
    <x v="1"/>
    <x v="1"/>
    <x v="3"/>
    <x v="1"/>
    <n v="5"/>
    <n v="4"/>
    <n v="10"/>
    <n v="10"/>
    <n v="82"/>
    <x v="2"/>
    <n v="911.21"/>
    <n v="74719.22"/>
    <n v="74719.22"/>
    <n v="38207.859436235463"/>
    <x v="1"/>
    <n v="18.440000000000001"/>
    <b v="0"/>
    <d v="2023-10-01T00:00:00"/>
    <x v="0"/>
    <x v="1"/>
    <n v="28"/>
    <x v="2"/>
    <s v="Debit Card"/>
    <s v="Returned"/>
  </r>
  <r>
    <s v="TID_1741"/>
    <x v="6"/>
    <x v="1"/>
    <x v="2"/>
    <x v="2"/>
    <x v="3"/>
    <x v="1"/>
    <n v="6"/>
    <n v="13"/>
    <n v="10"/>
    <n v="10"/>
    <n v="95"/>
    <x v="1"/>
    <n v="785.36"/>
    <n v="74609.2"/>
    <n v="53196.359600000003"/>
    <n v="16684.999036235466"/>
    <x v="0"/>
    <n v="28.7"/>
    <b v="1"/>
    <d v="2023-09-01T00:00:00"/>
    <x v="3"/>
    <x v="1"/>
    <n v="23"/>
    <x v="2"/>
    <s v="Debit Card"/>
    <s v="Returned"/>
  </r>
  <r>
    <s v="TID_834"/>
    <x v="8"/>
    <x v="3"/>
    <x v="2"/>
    <x v="0"/>
    <x v="4"/>
    <x v="2"/>
    <n v="9"/>
    <n v="7"/>
    <n v="6"/>
    <n v="10"/>
    <n v="64"/>
    <x v="3"/>
    <n v="1163.55"/>
    <n v="74467.199999999997"/>
    <n v="72605.51999999999"/>
    <n v="36094.159436235452"/>
    <x v="0"/>
    <n v="2.5"/>
    <b v="1"/>
    <d v="2024-05-24T00:00:00"/>
    <x v="1"/>
    <x v="0"/>
    <n v="26"/>
    <x v="0"/>
    <s v="Online Payment"/>
    <s v="Returned"/>
  </r>
  <r>
    <s v="TID_297"/>
    <x v="4"/>
    <x v="2"/>
    <x v="3"/>
    <x v="2"/>
    <x v="1"/>
    <x v="1"/>
    <n v="6"/>
    <n v="6"/>
    <n v="10"/>
    <n v="10"/>
    <n v="99"/>
    <x v="0"/>
    <n v="749.96"/>
    <n v="74246.039999999994"/>
    <n v="74246.039999999994"/>
    <n v="37734.679436235456"/>
    <x v="0"/>
    <n v="11.67"/>
    <b v="0"/>
    <d v="2024-10-06T00:00:00"/>
    <x v="0"/>
    <x v="0"/>
    <n v="25"/>
    <x v="0"/>
    <s v="Online Payment"/>
    <s v="Returned"/>
  </r>
  <r>
    <s v="TID_647"/>
    <x v="9"/>
    <x v="4"/>
    <x v="0"/>
    <x v="2"/>
    <x v="4"/>
    <x v="3"/>
    <n v="6"/>
    <n v="13"/>
    <n v="10"/>
    <n v="9"/>
    <n v="76"/>
    <x v="3"/>
    <n v="976.15"/>
    <n v="74187.399999999994"/>
    <n v="60076.956519999992"/>
    <n v="23565.595956235455"/>
    <x v="1"/>
    <n v="19.02"/>
    <b v="1"/>
    <d v="2023-12-24T00:00:00"/>
    <x v="0"/>
    <x v="1"/>
    <n v="36"/>
    <x v="1"/>
    <s v="Cash"/>
    <s v="Returned"/>
  </r>
  <r>
    <s v="TID_1569"/>
    <x v="4"/>
    <x v="2"/>
    <x v="0"/>
    <x v="2"/>
    <x v="0"/>
    <x v="2"/>
    <n v="6"/>
    <n v="6"/>
    <n v="10"/>
    <n v="10"/>
    <n v="56"/>
    <x v="4"/>
    <n v="1324.71"/>
    <n v="74183.759999999995"/>
    <n v="54028.032407999992"/>
    <n v="17516.671844235454"/>
    <x v="1"/>
    <n v="27.17"/>
    <b v="1"/>
    <d v="2023-06-19T00:00:00"/>
    <x v="1"/>
    <x v="1"/>
    <n v="61"/>
    <x v="2"/>
    <s v="Online Payment"/>
    <s v="Not Returned"/>
  </r>
  <r>
    <s v="TID_261"/>
    <x v="6"/>
    <x v="1"/>
    <x v="2"/>
    <x v="2"/>
    <x v="2"/>
    <x v="2"/>
    <n v="6"/>
    <n v="13"/>
    <n v="10"/>
    <n v="10"/>
    <n v="90"/>
    <x v="2"/>
    <n v="822.67"/>
    <n v="74040.3"/>
    <n v="61534.893329999999"/>
    <n v="25023.532766235461"/>
    <x v="0"/>
    <n v="16.89"/>
    <b v="1"/>
    <d v="2024-10-09T00:00:00"/>
    <x v="0"/>
    <x v="0"/>
    <n v="61"/>
    <x v="1"/>
    <s v="Credit Card"/>
    <s v="Returned"/>
  </r>
  <r>
    <s v="TID_617"/>
    <x v="9"/>
    <x v="4"/>
    <x v="3"/>
    <x v="0"/>
    <x v="2"/>
    <x v="0"/>
    <n v="6"/>
    <n v="13"/>
    <n v="6"/>
    <n v="10"/>
    <n v="96"/>
    <x v="0"/>
    <n v="770.94"/>
    <n v="74010.240000000005"/>
    <n v="74010.240000000005"/>
    <n v="37498.879436235467"/>
    <x v="1"/>
    <n v="28.16"/>
    <b v="0"/>
    <d v="2024-05-25T00:00:00"/>
    <x v="1"/>
    <x v="0"/>
    <n v="35"/>
    <x v="0"/>
    <s v="Cash"/>
    <s v="Not Returned"/>
  </r>
  <r>
    <s v="TID_1409"/>
    <x v="7"/>
    <x v="2"/>
    <x v="2"/>
    <x v="1"/>
    <x v="2"/>
    <x v="2"/>
    <n v="2"/>
    <n v="6"/>
    <n v="10"/>
    <n v="10"/>
    <n v="95"/>
    <x v="1"/>
    <n v="777.1"/>
    <n v="73824.5"/>
    <n v="51994.595349999996"/>
    <n v="15483.234786235458"/>
    <x v="1"/>
    <n v="29.57"/>
    <b v="1"/>
    <d v="2023-11-29T00:00:00"/>
    <x v="0"/>
    <x v="1"/>
    <n v="63"/>
    <x v="0"/>
    <s v="Credit Card"/>
    <s v="Not Returned"/>
  </r>
  <r>
    <s v="TID_1629"/>
    <x v="6"/>
    <x v="1"/>
    <x v="0"/>
    <x v="1"/>
    <x v="2"/>
    <x v="2"/>
    <n v="6"/>
    <n v="13"/>
    <n v="10"/>
    <n v="10"/>
    <n v="80"/>
    <x v="3"/>
    <n v="921.91"/>
    <n v="73752.800000000003"/>
    <n v="70315.91952000001"/>
    <n v="33804.558956235473"/>
    <x v="1"/>
    <n v="4.66"/>
    <b v="1"/>
    <d v="2023-09-10T00:00:00"/>
    <x v="3"/>
    <x v="1"/>
    <n v="22"/>
    <x v="2"/>
    <s v="Online Payment"/>
    <s v="Returned"/>
  </r>
  <r>
    <s v="TID_723"/>
    <x v="2"/>
    <x v="1"/>
    <x v="3"/>
    <x v="0"/>
    <x v="3"/>
    <x v="2"/>
    <n v="3"/>
    <n v="13"/>
    <n v="6"/>
    <n v="10"/>
    <n v="73"/>
    <x v="3"/>
    <n v="1009.46"/>
    <n v="73690.58"/>
    <n v="65717.259244000001"/>
    <n v="29205.898680235463"/>
    <x v="0"/>
    <n v="10.82"/>
    <b v="1"/>
    <d v="2023-07-13T00:00:00"/>
    <x v="3"/>
    <x v="1"/>
    <n v="53"/>
    <x v="2"/>
    <s v="Debit Card"/>
    <s v="Returned"/>
  </r>
  <r>
    <s v="TID_1201"/>
    <x v="0"/>
    <x v="0"/>
    <x v="1"/>
    <x v="0"/>
    <x v="2"/>
    <x v="0"/>
    <n v="5"/>
    <n v="4"/>
    <n v="6"/>
    <n v="10"/>
    <n v="80"/>
    <x v="3"/>
    <n v="918.02"/>
    <n v="73441.600000000006"/>
    <n v="66699.661120000004"/>
    <n v="30188.300556235467"/>
    <x v="0"/>
    <n v="9.18"/>
    <b v="1"/>
    <d v="2024-07-02T00:00:00"/>
    <x v="3"/>
    <x v="0"/>
    <n v="19"/>
    <x v="0"/>
    <s v="Cash"/>
    <s v="Returned"/>
  </r>
  <r>
    <s v="TID_426"/>
    <x v="9"/>
    <x v="4"/>
    <x v="0"/>
    <x v="1"/>
    <x v="1"/>
    <x v="1"/>
    <n v="6"/>
    <n v="13"/>
    <n v="10"/>
    <n v="10"/>
    <n v="66"/>
    <x v="3"/>
    <n v="1109.0999999999999"/>
    <n v="73200.600000000006"/>
    <n v="58406.758740000012"/>
    <n v="21895.398176235474"/>
    <x v="0"/>
    <n v="20.21"/>
    <b v="1"/>
    <d v="2023-03-13T00:00:00"/>
    <x v="2"/>
    <x v="1"/>
    <n v="34"/>
    <x v="0"/>
    <s v="Debit Card"/>
    <s v="Returned"/>
  </r>
  <r>
    <s v="TID_910"/>
    <x v="7"/>
    <x v="2"/>
    <x v="3"/>
    <x v="2"/>
    <x v="4"/>
    <x v="1"/>
    <n v="2"/>
    <n v="6"/>
    <n v="10"/>
    <n v="10"/>
    <n v="72"/>
    <x v="3"/>
    <n v="1015.29"/>
    <n v="73100.88"/>
    <n v="73100.88"/>
    <n v="36589.519436235467"/>
    <x v="0"/>
    <n v="1.24"/>
    <b v="0"/>
    <d v="2023-04-09T00:00:00"/>
    <x v="1"/>
    <x v="1"/>
    <n v="49"/>
    <x v="1"/>
    <s v="Debit Card"/>
    <s v="Returned"/>
  </r>
  <r>
    <s v="TID_628"/>
    <x v="7"/>
    <x v="2"/>
    <x v="1"/>
    <x v="1"/>
    <x v="1"/>
    <x v="1"/>
    <n v="2"/>
    <n v="6"/>
    <n v="10"/>
    <n v="10"/>
    <n v="81"/>
    <x v="2"/>
    <n v="902.15"/>
    <n v="73074.149999999994"/>
    <n v="73074.149999999994"/>
    <n v="36562.789436235456"/>
    <x v="0"/>
    <n v="27.87"/>
    <b v="0"/>
    <d v="2024-06-08T00:00:00"/>
    <x v="1"/>
    <x v="0"/>
    <n v="68"/>
    <x v="1"/>
    <s v="Cash"/>
    <s v="Returned"/>
  </r>
  <r>
    <s v="TID_1302"/>
    <x v="9"/>
    <x v="4"/>
    <x v="2"/>
    <x v="1"/>
    <x v="4"/>
    <x v="1"/>
    <n v="6"/>
    <n v="13"/>
    <n v="10"/>
    <n v="10"/>
    <n v="86"/>
    <x v="2"/>
    <n v="848.39"/>
    <n v="72961.539999999994"/>
    <n v="72961.539999999994"/>
    <n v="36450.179436235456"/>
    <x v="0"/>
    <n v="19.170000000000002"/>
    <b v="0"/>
    <d v="2024-09-25T00:00:00"/>
    <x v="3"/>
    <x v="0"/>
    <n v="30"/>
    <x v="2"/>
    <s v="Online Payment"/>
    <s v="Not Returned"/>
  </r>
  <r>
    <s v="TID_1336"/>
    <x v="0"/>
    <x v="0"/>
    <x v="0"/>
    <x v="2"/>
    <x v="4"/>
    <x v="3"/>
    <n v="5"/>
    <n v="4"/>
    <n v="10"/>
    <n v="9"/>
    <n v="59"/>
    <x v="4"/>
    <n v="1236.56"/>
    <n v="72957.039999999994"/>
    <n v="60554.343199999988"/>
    <n v="24042.982636235451"/>
    <x v="0"/>
    <n v="17"/>
    <b v="1"/>
    <d v="2023-03-21T00:00:00"/>
    <x v="2"/>
    <x v="1"/>
    <n v="40"/>
    <x v="0"/>
    <s v="Debit Card"/>
    <s v="Not Returned"/>
  </r>
  <r>
    <s v="TID_561"/>
    <x v="5"/>
    <x v="2"/>
    <x v="0"/>
    <x v="0"/>
    <x v="2"/>
    <x v="3"/>
    <n v="7"/>
    <n v="6"/>
    <n v="6"/>
    <n v="9"/>
    <n v="94"/>
    <x v="1"/>
    <n v="775.34"/>
    <n v="72881.960000000006"/>
    <n v="66242.413444000005"/>
    <n v="29731.052880235467"/>
    <x v="1"/>
    <n v="9.11"/>
    <b v="1"/>
    <d v="2024-06-08T00:00:00"/>
    <x v="1"/>
    <x v="0"/>
    <n v="37"/>
    <x v="0"/>
    <s v="Cash"/>
    <s v="Not Returned"/>
  </r>
  <r>
    <s v="TID_1880"/>
    <x v="8"/>
    <x v="3"/>
    <x v="3"/>
    <x v="2"/>
    <x v="0"/>
    <x v="1"/>
    <n v="9"/>
    <n v="7"/>
    <n v="10"/>
    <n v="10"/>
    <n v="90"/>
    <x v="2"/>
    <n v="808.32"/>
    <n v="72748.800000000003"/>
    <n v="72748.800000000003"/>
    <n v="36237.439436235465"/>
    <x v="0"/>
    <n v="12.2"/>
    <b v="0"/>
    <d v="2023-08-30T00:00:00"/>
    <x v="3"/>
    <x v="1"/>
    <n v="62"/>
    <x v="2"/>
    <s v="Debit Card"/>
    <s v="Not Returned"/>
  </r>
  <r>
    <s v="TID_236"/>
    <x v="4"/>
    <x v="2"/>
    <x v="0"/>
    <x v="1"/>
    <x v="2"/>
    <x v="1"/>
    <n v="6"/>
    <n v="6"/>
    <n v="10"/>
    <n v="10"/>
    <n v="53"/>
    <x v="4"/>
    <n v="1371.88"/>
    <n v="72709.64"/>
    <n v="62188.555091999995"/>
    <n v="25677.194528235457"/>
    <x v="0"/>
    <n v="14.47"/>
    <b v="1"/>
    <d v="2023-11-25T00:00:00"/>
    <x v="0"/>
    <x v="1"/>
    <n v="62"/>
    <x v="0"/>
    <s v="Online Payment"/>
    <s v="Not Returned"/>
  </r>
  <r>
    <s v="TID_1875"/>
    <x v="0"/>
    <x v="0"/>
    <x v="2"/>
    <x v="2"/>
    <x v="4"/>
    <x v="3"/>
    <n v="5"/>
    <n v="4"/>
    <n v="10"/>
    <n v="9"/>
    <n v="72"/>
    <x v="3"/>
    <n v="1006.74"/>
    <n v="72485.279999999999"/>
    <n v="61221.067488000001"/>
    <n v="24709.706924235463"/>
    <x v="0"/>
    <n v="15.54"/>
    <b v="1"/>
    <d v="2023-02-14T00:00:00"/>
    <x v="2"/>
    <x v="1"/>
    <n v="47"/>
    <x v="2"/>
    <s v="Online Payment"/>
    <s v="Returned"/>
  </r>
  <r>
    <s v="TID_1206"/>
    <x v="9"/>
    <x v="4"/>
    <x v="0"/>
    <x v="2"/>
    <x v="1"/>
    <x v="1"/>
    <n v="6"/>
    <n v="13"/>
    <n v="10"/>
    <n v="10"/>
    <n v="88"/>
    <x v="2"/>
    <n v="823.61"/>
    <n v="72477.679999999993"/>
    <n v="64925.505743999995"/>
    <n v="28414.145180235457"/>
    <x v="1"/>
    <n v="10.42"/>
    <b v="1"/>
    <d v="2023-08-28T00:00:00"/>
    <x v="3"/>
    <x v="1"/>
    <n v="18"/>
    <x v="1"/>
    <s v="Credit Card"/>
    <s v="Returned"/>
  </r>
  <r>
    <s v="TID_1915"/>
    <x v="5"/>
    <x v="2"/>
    <x v="3"/>
    <x v="1"/>
    <x v="3"/>
    <x v="2"/>
    <n v="7"/>
    <n v="6"/>
    <n v="10"/>
    <n v="10"/>
    <n v="57"/>
    <x v="4"/>
    <n v="1270.94"/>
    <n v="72443.58"/>
    <n v="72443.58"/>
    <n v="35932.219436235464"/>
    <x v="0"/>
    <n v="8.7100000000000009"/>
    <b v="0"/>
    <d v="2024-08-23T00:00:00"/>
    <x v="3"/>
    <x v="0"/>
    <n v="43"/>
    <x v="0"/>
    <s v="Debit Card"/>
    <s v="Not Returned"/>
  </r>
  <r>
    <s v="TID_964"/>
    <x v="3"/>
    <x v="0"/>
    <x v="3"/>
    <x v="2"/>
    <x v="3"/>
    <x v="0"/>
    <n v="5"/>
    <n v="4"/>
    <n v="10"/>
    <n v="10"/>
    <n v="59"/>
    <x v="4"/>
    <n v="1227.3699999999999"/>
    <n v="72414.83"/>
    <n v="72414.83"/>
    <n v="35903.469436235464"/>
    <x v="1"/>
    <n v="4.1399999999999997"/>
    <b v="0"/>
    <d v="2024-03-25T00:00:00"/>
    <x v="2"/>
    <x v="0"/>
    <n v="21"/>
    <x v="2"/>
    <s v="Credit Card"/>
    <s v="Not Returned"/>
  </r>
  <r>
    <s v="TID_1418"/>
    <x v="1"/>
    <x v="0"/>
    <x v="1"/>
    <x v="1"/>
    <x v="3"/>
    <x v="2"/>
    <n v="5"/>
    <n v="4"/>
    <n v="10"/>
    <n v="10"/>
    <n v="60"/>
    <x v="4"/>
    <n v="1206.4000000000001"/>
    <n v="72384"/>
    <n v="72384"/>
    <n v="35872.639436235462"/>
    <x v="1"/>
    <n v="13.02"/>
    <b v="0"/>
    <d v="2023-08-15T00:00:00"/>
    <x v="3"/>
    <x v="1"/>
    <n v="33"/>
    <x v="0"/>
    <s v="Online Payment"/>
    <s v="Returned"/>
  </r>
  <r>
    <s v="TID_1307"/>
    <x v="4"/>
    <x v="2"/>
    <x v="3"/>
    <x v="2"/>
    <x v="2"/>
    <x v="3"/>
    <n v="6"/>
    <n v="6"/>
    <n v="10"/>
    <n v="9"/>
    <n v="50"/>
    <x v="5"/>
    <n v="1443.31"/>
    <n v="72165.5"/>
    <n v="57775.6993"/>
    <n v="21264.338736235462"/>
    <x v="0"/>
    <n v="19.940000000000001"/>
    <b v="1"/>
    <d v="2024-08-14T00:00:00"/>
    <x v="3"/>
    <x v="0"/>
    <n v="42"/>
    <x v="1"/>
    <s v="Online Payment"/>
    <s v="Returned"/>
  </r>
  <r>
    <s v="TID_37"/>
    <x v="0"/>
    <x v="0"/>
    <x v="2"/>
    <x v="0"/>
    <x v="2"/>
    <x v="2"/>
    <n v="5"/>
    <n v="4"/>
    <n v="6"/>
    <n v="10"/>
    <n v="91"/>
    <x v="1"/>
    <n v="792.84"/>
    <n v="72148.44"/>
    <n v="72148.44"/>
    <n v="35637.079436235465"/>
    <x v="0"/>
    <n v="21.87"/>
    <b v="0"/>
    <d v="2023-03-17T00:00:00"/>
    <x v="2"/>
    <x v="1"/>
    <n v="20"/>
    <x v="1"/>
    <s v="Cash"/>
    <s v="Not Returned"/>
  </r>
  <r>
    <s v="TID_1121"/>
    <x v="0"/>
    <x v="0"/>
    <x v="1"/>
    <x v="2"/>
    <x v="2"/>
    <x v="2"/>
    <n v="5"/>
    <n v="4"/>
    <n v="10"/>
    <n v="10"/>
    <n v="69"/>
    <x v="3"/>
    <n v="1045.55"/>
    <n v="72142.95"/>
    <n v="68362.659419999996"/>
    <n v="31851.298856235459"/>
    <x v="1"/>
    <n v="5.24"/>
    <b v="1"/>
    <d v="2024-02-16T00:00:00"/>
    <x v="2"/>
    <x v="0"/>
    <n v="50"/>
    <x v="0"/>
    <s v="Credit Card"/>
    <s v="Returned"/>
  </r>
  <r>
    <s v="TID_859"/>
    <x v="7"/>
    <x v="2"/>
    <x v="2"/>
    <x v="0"/>
    <x v="4"/>
    <x v="0"/>
    <n v="2"/>
    <n v="6"/>
    <n v="6"/>
    <n v="10"/>
    <n v="93"/>
    <x v="1"/>
    <n v="774.57"/>
    <n v="72035.009999999995"/>
    <n v="67266.292337999999"/>
    <n v="30754.931774235461"/>
    <x v="0"/>
    <n v="6.62"/>
    <b v="1"/>
    <d v="2024-10-27T00:00:00"/>
    <x v="0"/>
    <x v="0"/>
    <n v="43"/>
    <x v="1"/>
    <s v="Credit Card"/>
    <s v="Returned"/>
  </r>
  <r>
    <s v="TID_1667"/>
    <x v="4"/>
    <x v="2"/>
    <x v="2"/>
    <x v="2"/>
    <x v="1"/>
    <x v="3"/>
    <n v="6"/>
    <n v="6"/>
    <n v="10"/>
    <n v="9"/>
    <n v="63"/>
    <x v="3"/>
    <n v="1141.82"/>
    <n v="71934.66"/>
    <n v="71934.66"/>
    <n v="35423.299436235466"/>
    <x v="0"/>
    <n v="6.99"/>
    <b v="0"/>
    <d v="2023-03-01T00:00:00"/>
    <x v="2"/>
    <x v="1"/>
    <n v="27"/>
    <x v="2"/>
    <s v="Credit Card"/>
    <s v="Returned"/>
  </r>
  <r>
    <s v="TID_265"/>
    <x v="0"/>
    <x v="0"/>
    <x v="3"/>
    <x v="0"/>
    <x v="2"/>
    <x v="2"/>
    <n v="5"/>
    <n v="4"/>
    <n v="6"/>
    <n v="10"/>
    <n v="61"/>
    <x v="3"/>
    <n v="1177.6400000000001"/>
    <n v="71836.039999999994"/>
    <n v="71627.715483999986"/>
    <n v="35116.354920235448"/>
    <x v="1"/>
    <n v="0.28999999999999998"/>
    <b v="1"/>
    <d v="2023-10-17T00:00:00"/>
    <x v="0"/>
    <x v="1"/>
    <n v="41"/>
    <x v="1"/>
    <s v="Debit Card"/>
    <s v="Not Returned"/>
  </r>
  <r>
    <s v="TID_317"/>
    <x v="7"/>
    <x v="2"/>
    <x v="3"/>
    <x v="1"/>
    <x v="4"/>
    <x v="3"/>
    <n v="2"/>
    <n v="6"/>
    <n v="10"/>
    <n v="9"/>
    <n v="60"/>
    <x v="4"/>
    <n v="1196.3699999999999"/>
    <n v="71782.2"/>
    <n v="71782.2"/>
    <n v="35270.839436235459"/>
    <x v="0"/>
    <n v="9.51"/>
    <b v="0"/>
    <d v="2023-01-20T00:00:00"/>
    <x v="2"/>
    <x v="1"/>
    <n v="48"/>
    <x v="1"/>
    <s v="Credit Card"/>
    <s v="Returned"/>
  </r>
  <r>
    <s v="TID_1294"/>
    <x v="0"/>
    <x v="0"/>
    <x v="0"/>
    <x v="1"/>
    <x v="3"/>
    <x v="1"/>
    <n v="5"/>
    <n v="4"/>
    <n v="10"/>
    <n v="10"/>
    <n v="67"/>
    <x v="3"/>
    <n v="1071.31"/>
    <n v="71777.77"/>
    <n v="71777.77"/>
    <n v="35266.409436235466"/>
    <x v="0"/>
    <n v="23.68"/>
    <b v="0"/>
    <d v="2023-09-22T00:00:00"/>
    <x v="3"/>
    <x v="1"/>
    <n v="67"/>
    <x v="1"/>
    <s v="Credit Card"/>
    <s v="Returned"/>
  </r>
  <r>
    <s v="TID_931"/>
    <x v="1"/>
    <x v="0"/>
    <x v="2"/>
    <x v="1"/>
    <x v="1"/>
    <x v="3"/>
    <n v="5"/>
    <n v="4"/>
    <n v="10"/>
    <n v="9"/>
    <n v="96"/>
    <x v="0"/>
    <n v="747.05"/>
    <n v="71716.800000000003"/>
    <n v="71716.800000000003"/>
    <n v="35205.439436235465"/>
    <x v="0"/>
    <n v="15.18"/>
    <b v="0"/>
    <d v="2024-10-13T00:00:00"/>
    <x v="0"/>
    <x v="0"/>
    <n v="37"/>
    <x v="0"/>
    <s v="Debit Card"/>
    <s v="Not Returned"/>
  </r>
  <r>
    <s v="TID_1545"/>
    <x v="5"/>
    <x v="2"/>
    <x v="0"/>
    <x v="0"/>
    <x v="0"/>
    <x v="2"/>
    <n v="7"/>
    <n v="6"/>
    <n v="6"/>
    <n v="10"/>
    <n v="85"/>
    <x v="2"/>
    <n v="842.69"/>
    <n v="71628.649999999994"/>
    <n v="71628.649999999994"/>
    <n v="35117.289436235456"/>
    <x v="0"/>
    <n v="10.62"/>
    <b v="0"/>
    <d v="2023-09-09T00:00:00"/>
    <x v="3"/>
    <x v="1"/>
    <n v="40"/>
    <x v="2"/>
    <s v="Credit Card"/>
    <s v="Not Returned"/>
  </r>
  <r>
    <s v="TID_1582"/>
    <x v="8"/>
    <x v="3"/>
    <x v="0"/>
    <x v="1"/>
    <x v="4"/>
    <x v="2"/>
    <n v="9"/>
    <n v="7"/>
    <n v="10"/>
    <n v="10"/>
    <n v="88"/>
    <x v="2"/>
    <n v="813.45"/>
    <n v="71583.600000000006"/>
    <n v="71583.600000000006"/>
    <n v="35072.239436235468"/>
    <x v="0"/>
    <n v="7.23"/>
    <b v="0"/>
    <d v="2023-12-18T00:00:00"/>
    <x v="0"/>
    <x v="1"/>
    <n v="22"/>
    <x v="0"/>
    <s v="Online Payment"/>
    <s v="Not Returned"/>
  </r>
  <r>
    <s v="TID_805"/>
    <x v="0"/>
    <x v="0"/>
    <x v="0"/>
    <x v="0"/>
    <x v="2"/>
    <x v="0"/>
    <n v="5"/>
    <n v="4"/>
    <n v="6"/>
    <n v="10"/>
    <n v="80"/>
    <x v="3"/>
    <n v="894.42"/>
    <n v="71553.600000000006"/>
    <n v="71553.600000000006"/>
    <n v="35042.239436235468"/>
    <x v="1"/>
    <n v="5.39"/>
    <b v="0"/>
    <d v="2024-04-17T00:00:00"/>
    <x v="1"/>
    <x v="0"/>
    <n v="46"/>
    <x v="0"/>
    <s v="Credit Card"/>
    <s v="Not Returned"/>
  </r>
  <r>
    <s v="TID_549"/>
    <x v="4"/>
    <x v="2"/>
    <x v="3"/>
    <x v="0"/>
    <x v="3"/>
    <x v="0"/>
    <n v="6"/>
    <n v="6"/>
    <n v="6"/>
    <n v="10"/>
    <n v="72"/>
    <x v="3"/>
    <n v="993.66"/>
    <n v="71543.520000000004"/>
    <n v="71543.520000000004"/>
    <n v="35032.159436235466"/>
    <x v="0"/>
    <n v="0.22"/>
    <b v="0"/>
    <d v="2024-08-19T00:00:00"/>
    <x v="3"/>
    <x v="0"/>
    <n v="28"/>
    <x v="0"/>
    <s v="Debit Card"/>
    <s v="Not Returned"/>
  </r>
  <r>
    <s v="TID_295"/>
    <x v="2"/>
    <x v="1"/>
    <x v="3"/>
    <x v="2"/>
    <x v="0"/>
    <x v="2"/>
    <n v="3"/>
    <n v="13"/>
    <n v="10"/>
    <n v="10"/>
    <n v="60"/>
    <x v="4"/>
    <n v="1190.4000000000001"/>
    <n v="71424"/>
    <n v="71424"/>
    <n v="34912.639436235462"/>
    <x v="1"/>
    <n v="15.75"/>
    <b v="0"/>
    <d v="2024-04-12T00:00:00"/>
    <x v="1"/>
    <x v="0"/>
    <n v="67"/>
    <x v="2"/>
    <s v="Online Payment"/>
    <s v="Not Returned"/>
  </r>
  <r>
    <s v="TID_927"/>
    <x v="6"/>
    <x v="1"/>
    <x v="2"/>
    <x v="2"/>
    <x v="1"/>
    <x v="2"/>
    <n v="6"/>
    <n v="13"/>
    <n v="10"/>
    <n v="10"/>
    <n v="64"/>
    <x v="3"/>
    <n v="1114.4100000000001"/>
    <n v="71322.240000000005"/>
    <n v="54269.092416000007"/>
    <n v="17757.731852235469"/>
    <x v="1"/>
    <n v="23.91"/>
    <b v="1"/>
    <d v="2024-03-16T00:00:00"/>
    <x v="2"/>
    <x v="0"/>
    <n v="49"/>
    <x v="0"/>
    <s v="Online Payment"/>
    <s v="Not Returned"/>
  </r>
  <r>
    <s v="TID_1519"/>
    <x v="7"/>
    <x v="2"/>
    <x v="1"/>
    <x v="1"/>
    <x v="0"/>
    <x v="0"/>
    <n v="2"/>
    <n v="6"/>
    <n v="10"/>
    <n v="10"/>
    <n v="65"/>
    <x v="3"/>
    <n v="1097.04"/>
    <n v="71307.600000000006"/>
    <n v="71307.600000000006"/>
    <n v="34796.239436235468"/>
    <x v="0"/>
    <n v="4.68"/>
    <b v="0"/>
    <d v="2023-03-28T00:00:00"/>
    <x v="2"/>
    <x v="1"/>
    <n v="32"/>
    <x v="0"/>
    <s v="Online Payment"/>
    <s v="Returned"/>
  </r>
  <r>
    <s v="TID_1283"/>
    <x v="7"/>
    <x v="2"/>
    <x v="3"/>
    <x v="1"/>
    <x v="4"/>
    <x v="2"/>
    <n v="2"/>
    <n v="6"/>
    <n v="10"/>
    <n v="10"/>
    <n v="61"/>
    <x v="3"/>
    <n v="1168.78"/>
    <n v="71295.58"/>
    <n v="50940.691909999994"/>
    <n v="14429.331346235456"/>
    <x v="0"/>
    <n v="28.55"/>
    <b v="1"/>
    <d v="2023-10-28T00:00:00"/>
    <x v="0"/>
    <x v="1"/>
    <n v="25"/>
    <x v="1"/>
    <s v="Debit Card"/>
    <s v="Not Returned"/>
  </r>
  <r>
    <s v="TID_1815"/>
    <x v="1"/>
    <x v="0"/>
    <x v="3"/>
    <x v="0"/>
    <x v="2"/>
    <x v="2"/>
    <n v="5"/>
    <n v="4"/>
    <n v="6"/>
    <n v="10"/>
    <n v="68"/>
    <x v="3"/>
    <n v="1048.1400000000001"/>
    <n v="71273.52"/>
    <n v="65963.642760000002"/>
    <n v="29452.282196235465"/>
    <x v="0"/>
    <n v="7.45"/>
    <b v="1"/>
    <d v="2024-08-25T00:00:00"/>
    <x v="3"/>
    <x v="0"/>
    <n v="20"/>
    <x v="0"/>
    <s v="Cash"/>
    <s v="Not Returned"/>
  </r>
  <r>
    <s v="TID_1376"/>
    <x v="9"/>
    <x v="4"/>
    <x v="2"/>
    <x v="1"/>
    <x v="1"/>
    <x v="2"/>
    <n v="6"/>
    <n v="13"/>
    <n v="10"/>
    <n v="10"/>
    <n v="56"/>
    <x v="4"/>
    <n v="1272.6099999999999"/>
    <n v="71266.16"/>
    <n v="53178.808592000001"/>
    <n v="16667.448028235463"/>
    <x v="0"/>
    <n v="25.38"/>
    <b v="1"/>
    <d v="2023-03-20T00:00:00"/>
    <x v="2"/>
    <x v="1"/>
    <n v="26"/>
    <x v="1"/>
    <s v="Cash"/>
    <s v="Returned"/>
  </r>
  <r>
    <s v="TID_260"/>
    <x v="6"/>
    <x v="1"/>
    <x v="3"/>
    <x v="1"/>
    <x v="2"/>
    <x v="3"/>
    <n v="6"/>
    <n v="13"/>
    <n v="10"/>
    <n v="9"/>
    <n v="64"/>
    <x v="3"/>
    <n v="1109.0999999999999"/>
    <n v="70982.399999999994"/>
    <n v="70982.399999999994"/>
    <n v="34471.039436235456"/>
    <x v="1"/>
    <n v="26.75"/>
    <b v="0"/>
    <d v="2024-02-14T00:00:00"/>
    <x v="2"/>
    <x v="0"/>
    <n v="21"/>
    <x v="2"/>
    <s v="Cash"/>
    <s v="Returned"/>
  </r>
  <r>
    <s v="TID_415"/>
    <x v="5"/>
    <x v="2"/>
    <x v="0"/>
    <x v="1"/>
    <x v="2"/>
    <x v="0"/>
    <n v="7"/>
    <n v="6"/>
    <n v="10"/>
    <n v="10"/>
    <n v="87"/>
    <x v="2"/>
    <n v="813.8"/>
    <n v="70800.600000000006"/>
    <n v="69129.70584000001"/>
    <n v="32618.345276235472"/>
    <x v="0"/>
    <n v="2.36"/>
    <b v="1"/>
    <d v="2024-08-12T00:00:00"/>
    <x v="3"/>
    <x v="0"/>
    <n v="35"/>
    <x v="0"/>
    <s v="Online Payment"/>
    <s v="Not Returned"/>
  </r>
  <r>
    <s v="TID_948"/>
    <x v="8"/>
    <x v="3"/>
    <x v="3"/>
    <x v="1"/>
    <x v="0"/>
    <x v="3"/>
    <n v="9"/>
    <n v="7"/>
    <n v="10"/>
    <n v="9"/>
    <n v="78"/>
    <x v="3"/>
    <n v="906.05"/>
    <n v="70671.899999999994"/>
    <n v="70671.899999999994"/>
    <n v="34160.539436235456"/>
    <x v="1"/>
    <n v="8.57"/>
    <b v="0"/>
    <d v="2024-02-27T00:00:00"/>
    <x v="2"/>
    <x v="0"/>
    <n v="20"/>
    <x v="2"/>
    <s v="Online Payment"/>
    <s v="Not Returned"/>
  </r>
  <r>
    <s v="TID_1328"/>
    <x v="9"/>
    <x v="4"/>
    <x v="2"/>
    <x v="0"/>
    <x v="2"/>
    <x v="3"/>
    <n v="6"/>
    <n v="13"/>
    <n v="6"/>
    <n v="9"/>
    <n v="73"/>
    <x v="3"/>
    <n v="967.75"/>
    <n v="70645.75"/>
    <n v="57858.869249999996"/>
    <n v="21347.508686235458"/>
    <x v="0"/>
    <n v="18.100000000000001"/>
    <b v="1"/>
    <d v="2024-04-20T00:00:00"/>
    <x v="1"/>
    <x v="0"/>
    <n v="20"/>
    <x v="1"/>
    <s v="Cash"/>
    <s v="Returned"/>
  </r>
  <r>
    <s v="TID_1602"/>
    <x v="1"/>
    <x v="0"/>
    <x v="3"/>
    <x v="0"/>
    <x v="2"/>
    <x v="2"/>
    <n v="5"/>
    <n v="4"/>
    <n v="6"/>
    <n v="10"/>
    <n v="56"/>
    <x v="4"/>
    <n v="1259.48"/>
    <n v="70530.880000000005"/>
    <n v="60536.654304000011"/>
    <n v="24025.293740235473"/>
    <x v="1"/>
    <n v="14.17"/>
    <b v="1"/>
    <d v="2023-05-29T00:00:00"/>
    <x v="1"/>
    <x v="1"/>
    <n v="48"/>
    <x v="0"/>
    <s v="Online Payment"/>
    <s v="Not Returned"/>
  </r>
  <r>
    <s v="TID_1841"/>
    <x v="9"/>
    <x v="4"/>
    <x v="1"/>
    <x v="0"/>
    <x v="4"/>
    <x v="2"/>
    <n v="6"/>
    <n v="13"/>
    <n v="6"/>
    <n v="10"/>
    <n v="51"/>
    <x v="4"/>
    <n v="1380.31"/>
    <n v="70395.81"/>
    <n v="68199.460727999991"/>
    <n v="31688.100164235453"/>
    <x v="0"/>
    <n v="3.12"/>
    <b v="1"/>
    <d v="2023-11-01T00:00:00"/>
    <x v="0"/>
    <x v="1"/>
    <n v="33"/>
    <x v="1"/>
    <s v="Debit Card"/>
    <s v="Returned"/>
  </r>
  <r>
    <s v="TID_1969"/>
    <x v="3"/>
    <x v="0"/>
    <x v="0"/>
    <x v="0"/>
    <x v="3"/>
    <x v="2"/>
    <n v="5"/>
    <n v="4"/>
    <n v="6"/>
    <n v="10"/>
    <n v="70"/>
    <x v="3"/>
    <n v="1005.36"/>
    <n v="70375.199999999997"/>
    <n v="70375.199999999997"/>
    <n v="33863.839436235459"/>
    <x v="1"/>
    <n v="7.89"/>
    <b v="0"/>
    <d v="2024-03-20T00:00:00"/>
    <x v="2"/>
    <x v="0"/>
    <n v="30"/>
    <x v="2"/>
    <s v="Cash"/>
    <s v="Not Returned"/>
  </r>
  <r>
    <s v="TID_624"/>
    <x v="0"/>
    <x v="0"/>
    <x v="0"/>
    <x v="1"/>
    <x v="3"/>
    <x v="0"/>
    <n v="5"/>
    <n v="4"/>
    <n v="10"/>
    <n v="10"/>
    <n v="62"/>
    <x v="3"/>
    <n v="1133.6099999999999"/>
    <n v="70283.820000000007"/>
    <n v="66003.53536200001"/>
    <n v="29492.174798235472"/>
    <x v="0"/>
    <n v="6.09"/>
    <b v="1"/>
    <d v="2023-11-03T00:00:00"/>
    <x v="0"/>
    <x v="1"/>
    <n v="40"/>
    <x v="1"/>
    <s v="Cash"/>
    <s v="Returned"/>
  </r>
  <r>
    <s v="TID_479"/>
    <x v="4"/>
    <x v="2"/>
    <x v="0"/>
    <x v="0"/>
    <x v="0"/>
    <x v="1"/>
    <n v="6"/>
    <n v="6"/>
    <n v="6"/>
    <n v="10"/>
    <n v="56"/>
    <x v="4"/>
    <n v="1253.78"/>
    <n v="70211.679999999993"/>
    <n v="70211.679999999993"/>
    <n v="33700.319436235455"/>
    <x v="1"/>
    <n v="3.1"/>
    <b v="0"/>
    <d v="2024-06-18T00:00:00"/>
    <x v="1"/>
    <x v="0"/>
    <n v="34"/>
    <x v="0"/>
    <s v="Debit Card"/>
    <s v="Returned"/>
  </r>
  <r>
    <s v="TID_739"/>
    <x v="5"/>
    <x v="2"/>
    <x v="1"/>
    <x v="0"/>
    <x v="3"/>
    <x v="0"/>
    <n v="7"/>
    <n v="6"/>
    <n v="6"/>
    <n v="10"/>
    <n v="81"/>
    <x v="2"/>
    <n v="866.37"/>
    <n v="70175.97"/>
    <n v="70175.97"/>
    <n v="33664.609436235463"/>
    <x v="1"/>
    <n v="11.23"/>
    <b v="0"/>
    <d v="2023-07-20T00:00:00"/>
    <x v="3"/>
    <x v="1"/>
    <n v="56"/>
    <x v="0"/>
    <s v="Cash"/>
    <s v="Returned"/>
  </r>
  <r>
    <s v="TID_1268"/>
    <x v="7"/>
    <x v="2"/>
    <x v="0"/>
    <x v="2"/>
    <x v="1"/>
    <x v="3"/>
    <n v="2"/>
    <n v="6"/>
    <n v="10"/>
    <n v="9"/>
    <n v="63"/>
    <x v="3"/>
    <n v="1113.75"/>
    <n v="70166.25"/>
    <n v="70166.25"/>
    <n v="33654.889436235462"/>
    <x v="0"/>
    <n v="16.760000000000002"/>
    <b v="0"/>
    <d v="2023-04-27T00:00:00"/>
    <x v="1"/>
    <x v="1"/>
    <n v="42"/>
    <x v="2"/>
    <s v="Cash"/>
    <s v="Returned"/>
  </r>
  <r>
    <s v="TID_1143"/>
    <x v="4"/>
    <x v="2"/>
    <x v="1"/>
    <x v="2"/>
    <x v="3"/>
    <x v="3"/>
    <n v="6"/>
    <n v="6"/>
    <n v="10"/>
    <n v="9"/>
    <n v="59"/>
    <x v="4"/>
    <n v="1188.19"/>
    <n v="70103.210000000006"/>
    <n v="70103.210000000006"/>
    <n v="33591.849436235469"/>
    <x v="1"/>
    <n v="27.1"/>
    <b v="0"/>
    <d v="2024-08-12T00:00:00"/>
    <x v="3"/>
    <x v="0"/>
    <n v="24"/>
    <x v="0"/>
    <s v="Online Payment"/>
    <s v="Returned"/>
  </r>
  <r>
    <s v="TID_1179"/>
    <x v="6"/>
    <x v="1"/>
    <x v="0"/>
    <x v="0"/>
    <x v="1"/>
    <x v="0"/>
    <n v="6"/>
    <n v="13"/>
    <n v="6"/>
    <n v="10"/>
    <n v="49"/>
    <x v="5"/>
    <n v="1430.06"/>
    <n v="70072.94"/>
    <n v="70072.94"/>
    <n v="33561.579436235465"/>
    <x v="0"/>
    <n v="14.09"/>
    <b v="0"/>
    <d v="2023-12-25T00:00:00"/>
    <x v="0"/>
    <x v="1"/>
    <n v="55"/>
    <x v="2"/>
    <s v="Cash"/>
    <s v="Not Returned"/>
  </r>
  <r>
    <s v="TID_1842"/>
    <x v="6"/>
    <x v="1"/>
    <x v="3"/>
    <x v="1"/>
    <x v="1"/>
    <x v="2"/>
    <n v="6"/>
    <n v="13"/>
    <n v="10"/>
    <n v="10"/>
    <n v="50"/>
    <x v="5"/>
    <n v="1399.46"/>
    <n v="69973"/>
    <n v="69973"/>
    <n v="33461.639436235462"/>
    <x v="0"/>
    <n v="12.38"/>
    <b v="0"/>
    <d v="2023-08-21T00:00:00"/>
    <x v="3"/>
    <x v="1"/>
    <n v="47"/>
    <x v="2"/>
    <s v="Debit Card"/>
    <s v="Not Returned"/>
  </r>
  <r>
    <s v="TID_1404"/>
    <x v="4"/>
    <x v="2"/>
    <x v="1"/>
    <x v="2"/>
    <x v="3"/>
    <x v="1"/>
    <n v="6"/>
    <n v="6"/>
    <n v="10"/>
    <n v="10"/>
    <n v="85"/>
    <x v="2"/>
    <n v="822.43"/>
    <n v="69906.55"/>
    <n v="66404.231845000002"/>
    <n v="29892.871281235464"/>
    <x v="1"/>
    <n v="5.01"/>
    <b v="1"/>
    <d v="2024-05-28T00:00:00"/>
    <x v="1"/>
    <x v="0"/>
    <n v="42"/>
    <x v="1"/>
    <s v="Online Payment"/>
    <s v="Returned"/>
  </r>
  <r>
    <s v="TID_692"/>
    <x v="8"/>
    <x v="3"/>
    <x v="3"/>
    <x v="2"/>
    <x v="3"/>
    <x v="0"/>
    <n v="9"/>
    <n v="7"/>
    <n v="10"/>
    <n v="10"/>
    <n v="48"/>
    <x v="5"/>
    <n v="1453.9"/>
    <n v="69787.199999999997"/>
    <n v="56709.078719999998"/>
    <n v="20197.71815623546"/>
    <x v="0"/>
    <n v="18.739999999999998"/>
    <b v="1"/>
    <d v="2024-01-14T00:00:00"/>
    <x v="2"/>
    <x v="0"/>
    <n v="45"/>
    <x v="1"/>
    <s v="Online Payment"/>
    <s v="Returned"/>
  </r>
  <r>
    <s v="TID_1747"/>
    <x v="1"/>
    <x v="0"/>
    <x v="2"/>
    <x v="0"/>
    <x v="0"/>
    <x v="0"/>
    <n v="5"/>
    <n v="4"/>
    <n v="6"/>
    <n v="10"/>
    <n v="69"/>
    <x v="3"/>
    <n v="1008.79"/>
    <n v="69606.509999999995"/>
    <n v="69606.509999999995"/>
    <n v="33095.149436235457"/>
    <x v="1"/>
    <n v="21.56"/>
    <b v="0"/>
    <d v="2023-07-20T00:00:00"/>
    <x v="3"/>
    <x v="1"/>
    <n v="30"/>
    <x v="1"/>
    <s v="Debit Card"/>
    <s v="Returned"/>
  </r>
  <r>
    <s v="TID_259"/>
    <x v="0"/>
    <x v="0"/>
    <x v="3"/>
    <x v="2"/>
    <x v="3"/>
    <x v="0"/>
    <n v="5"/>
    <n v="4"/>
    <n v="10"/>
    <n v="10"/>
    <n v="81"/>
    <x v="2"/>
    <n v="854.98"/>
    <n v="69253.38"/>
    <n v="69253.38"/>
    <n v="32742.019436235467"/>
    <x v="1"/>
    <n v="23.55"/>
    <b v="0"/>
    <d v="2024-01-29T00:00:00"/>
    <x v="2"/>
    <x v="0"/>
    <n v="59"/>
    <x v="1"/>
    <s v="Online Payment"/>
    <s v="Not Returned"/>
  </r>
  <r>
    <s v="TID_1218"/>
    <x v="9"/>
    <x v="4"/>
    <x v="0"/>
    <x v="1"/>
    <x v="0"/>
    <x v="0"/>
    <n v="6"/>
    <n v="13"/>
    <n v="10"/>
    <n v="10"/>
    <n v="86"/>
    <x v="2"/>
    <n v="804.83"/>
    <n v="69215.38"/>
    <n v="69215.38"/>
    <n v="32704.019436235467"/>
    <x v="0"/>
    <n v="21.17"/>
    <b v="0"/>
    <d v="2023-04-05T00:00:00"/>
    <x v="1"/>
    <x v="1"/>
    <n v="39"/>
    <x v="2"/>
    <s v="Debit Card"/>
    <s v="Returned"/>
  </r>
  <r>
    <s v="TID_1970"/>
    <x v="9"/>
    <x v="4"/>
    <x v="2"/>
    <x v="0"/>
    <x v="2"/>
    <x v="3"/>
    <n v="6"/>
    <n v="13"/>
    <n v="6"/>
    <n v="9"/>
    <n v="70"/>
    <x v="3"/>
    <n v="988.31"/>
    <n v="69181.7"/>
    <n v="59433.998469999999"/>
    <n v="22922.637906235461"/>
    <x v="1"/>
    <n v="14.09"/>
    <b v="1"/>
    <d v="2023-11-06T00:00:00"/>
    <x v="0"/>
    <x v="1"/>
    <n v="60"/>
    <x v="0"/>
    <s v="Credit Card"/>
    <s v="Returned"/>
  </r>
  <r>
    <s v="TID_1491"/>
    <x v="6"/>
    <x v="1"/>
    <x v="2"/>
    <x v="1"/>
    <x v="1"/>
    <x v="1"/>
    <n v="6"/>
    <n v="13"/>
    <n v="10"/>
    <n v="10"/>
    <n v="52"/>
    <x v="4"/>
    <n v="1326.97"/>
    <n v="69002.44"/>
    <n v="69002.44"/>
    <n v="32491.079436235465"/>
    <x v="0"/>
    <n v="1.92"/>
    <b v="0"/>
    <d v="2023-04-05T00:00:00"/>
    <x v="1"/>
    <x v="1"/>
    <n v="61"/>
    <x v="1"/>
    <s v="Credit Card"/>
    <s v="Returned"/>
  </r>
  <r>
    <s v="TID_15"/>
    <x v="8"/>
    <x v="3"/>
    <x v="1"/>
    <x v="2"/>
    <x v="2"/>
    <x v="3"/>
    <n v="9"/>
    <n v="7"/>
    <n v="10"/>
    <n v="9"/>
    <n v="56"/>
    <x v="4"/>
    <n v="1229.74"/>
    <n v="68865.440000000002"/>
    <n v="68865.440000000002"/>
    <n v="32354.079436235465"/>
    <x v="1"/>
    <n v="1.1499999999999999"/>
    <b v="0"/>
    <d v="2023-01-16T00:00:00"/>
    <x v="2"/>
    <x v="1"/>
    <n v="35"/>
    <x v="0"/>
    <s v="Debit Card"/>
    <s v="Not Returned"/>
  </r>
  <r>
    <s v="TID_1260"/>
    <x v="2"/>
    <x v="1"/>
    <x v="3"/>
    <x v="1"/>
    <x v="2"/>
    <x v="1"/>
    <n v="3"/>
    <n v="13"/>
    <n v="10"/>
    <n v="10"/>
    <n v="85"/>
    <x v="2"/>
    <n v="808.72"/>
    <n v="68741.2"/>
    <n v="68741.2"/>
    <n v="32229.839436235459"/>
    <x v="0"/>
    <n v="23.25"/>
    <b v="0"/>
    <d v="2023-11-04T00:00:00"/>
    <x v="0"/>
    <x v="1"/>
    <n v="27"/>
    <x v="0"/>
    <s v="Cash"/>
    <s v="Not Returned"/>
  </r>
  <r>
    <s v="TID_1232"/>
    <x v="2"/>
    <x v="1"/>
    <x v="3"/>
    <x v="2"/>
    <x v="3"/>
    <x v="3"/>
    <n v="3"/>
    <n v="13"/>
    <n v="10"/>
    <n v="9"/>
    <n v="46"/>
    <x v="5"/>
    <n v="1487.96"/>
    <n v="68446.16"/>
    <n v="59856.166920000003"/>
    <n v="23344.806356235466"/>
    <x v="0"/>
    <n v="12.55"/>
    <b v="1"/>
    <d v="2023-06-06T00:00:00"/>
    <x v="1"/>
    <x v="1"/>
    <n v="36"/>
    <x v="0"/>
    <s v="Debit Card"/>
    <s v="Returned"/>
  </r>
  <r>
    <s v="TID_1410"/>
    <x v="5"/>
    <x v="2"/>
    <x v="3"/>
    <x v="0"/>
    <x v="1"/>
    <x v="2"/>
    <n v="7"/>
    <n v="6"/>
    <n v="6"/>
    <n v="10"/>
    <n v="85"/>
    <x v="2"/>
    <n v="805.2"/>
    <n v="68442"/>
    <n v="68442"/>
    <n v="31930.639436235462"/>
    <x v="0"/>
    <n v="13.98"/>
    <b v="0"/>
    <d v="2024-10-21T00:00:00"/>
    <x v="0"/>
    <x v="0"/>
    <n v="55"/>
    <x v="2"/>
    <s v="Cash"/>
    <s v="Returned"/>
  </r>
  <r>
    <s v="TID_906"/>
    <x v="1"/>
    <x v="0"/>
    <x v="2"/>
    <x v="1"/>
    <x v="4"/>
    <x v="0"/>
    <n v="5"/>
    <n v="4"/>
    <n v="10"/>
    <n v="10"/>
    <n v="62"/>
    <x v="3"/>
    <n v="1103.67"/>
    <n v="68427.539999999994"/>
    <n v="68427.539999999994"/>
    <n v="31916.179436235456"/>
    <x v="0"/>
    <n v="13.88"/>
    <b v="0"/>
    <d v="2023-07-22T00:00:00"/>
    <x v="3"/>
    <x v="1"/>
    <n v="35"/>
    <x v="1"/>
    <s v="Cash"/>
    <s v="Returned"/>
  </r>
  <r>
    <s v="TID_1860"/>
    <x v="6"/>
    <x v="1"/>
    <x v="1"/>
    <x v="2"/>
    <x v="2"/>
    <x v="2"/>
    <n v="6"/>
    <n v="13"/>
    <n v="10"/>
    <n v="10"/>
    <n v="86"/>
    <x v="2"/>
    <n v="794.2"/>
    <n v="68301.2"/>
    <n v="68301.2"/>
    <n v="31789.839436235459"/>
    <x v="0"/>
    <n v="8.43"/>
    <b v="0"/>
    <d v="2023-06-04T00:00:00"/>
    <x v="1"/>
    <x v="1"/>
    <n v="21"/>
    <x v="1"/>
    <s v="Online Payment"/>
    <s v="Not Returned"/>
  </r>
  <r>
    <s v="TID_993"/>
    <x v="8"/>
    <x v="3"/>
    <x v="2"/>
    <x v="0"/>
    <x v="0"/>
    <x v="2"/>
    <n v="9"/>
    <n v="7"/>
    <n v="6"/>
    <n v="10"/>
    <n v="67"/>
    <x v="3"/>
    <n v="1016.59"/>
    <n v="68111.53"/>
    <n v="47902.839049000002"/>
    <n v="11391.478485235464"/>
    <x v="1"/>
    <n v="29.67"/>
    <b v="1"/>
    <d v="2024-08-02T00:00:00"/>
    <x v="3"/>
    <x v="0"/>
    <n v="45"/>
    <x v="0"/>
    <s v="Debit Card"/>
    <s v="Returned"/>
  </r>
  <r>
    <s v="TID_1161"/>
    <x v="0"/>
    <x v="0"/>
    <x v="1"/>
    <x v="2"/>
    <x v="3"/>
    <x v="0"/>
    <n v="5"/>
    <n v="4"/>
    <n v="10"/>
    <n v="10"/>
    <n v="65"/>
    <x v="3"/>
    <n v="1046.69"/>
    <n v="68034.850000000006"/>
    <n v="62163.442445000001"/>
    <n v="25652.081881235463"/>
    <x v="0"/>
    <n v="8.6300000000000008"/>
    <b v="1"/>
    <d v="2024-08-05T00:00:00"/>
    <x v="3"/>
    <x v="0"/>
    <n v="30"/>
    <x v="1"/>
    <s v="Cash"/>
    <s v="Returned"/>
  </r>
  <r>
    <s v="TID_1938"/>
    <x v="5"/>
    <x v="2"/>
    <x v="0"/>
    <x v="1"/>
    <x v="1"/>
    <x v="2"/>
    <n v="7"/>
    <n v="6"/>
    <n v="10"/>
    <n v="10"/>
    <n v="46"/>
    <x v="5"/>
    <n v="1478.64"/>
    <n v="68017.440000000002"/>
    <n v="68017.440000000002"/>
    <n v="31506.079436235465"/>
    <x v="0"/>
    <n v="16.829999999999998"/>
    <b v="0"/>
    <d v="2023-12-27T00:00:00"/>
    <x v="0"/>
    <x v="1"/>
    <n v="31"/>
    <x v="1"/>
    <s v="Cash"/>
    <s v="Not Returned"/>
  </r>
  <r>
    <s v="TID_1709"/>
    <x v="7"/>
    <x v="2"/>
    <x v="3"/>
    <x v="1"/>
    <x v="1"/>
    <x v="0"/>
    <n v="2"/>
    <n v="6"/>
    <n v="10"/>
    <n v="10"/>
    <n v="94"/>
    <x v="1"/>
    <n v="723.54"/>
    <n v="68012.759999999995"/>
    <n v="55845.277235999994"/>
    <n v="19333.916672235457"/>
    <x v="1"/>
    <n v="17.89"/>
    <b v="1"/>
    <d v="2024-01-26T00:00:00"/>
    <x v="2"/>
    <x v="0"/>
    <n v="66"/>
    <x v="2"/>
    <s v="Debit Card"/>
    <s v="Returned"/>
  </r>
  <r>
    <s v="TID_1320"/>
    <x v="3"/>
    <x v="0"/>
    <x v="1"/>
    <x v="2"/>
    <x v="4"/>
    <x v="2"/>
    <n v="5"/>
    <n v="4"/>
    <n v="10"/>
    <n v="10"/>
    <n v="92"/>
    <x v="1"/>
    <n v="738.86"/>
    <n v="67975.12"/>
    <n v="67975.12"/>
    <n v="31463.759436235458"/>
    <x v="0"/>
    <n v="0.43"/>
    <b v="0"/>
    <d v="2023-02-05T00:00:00"/>
    <x v="2"/>
    <x v="1"/>
    <n v="18"/>
    <x v="1"/>
    <s v="Debit Card"/>
    <s v="Returned"/>
  </r>
  <r>
    <s v="TID_1900"/>
    <x v="3"/>
    <x v="0"/>
    <x v="2"/>
    <x v="2"/>
    <x v="4"/>
    <x v="3"/>
    <n v="5"/>
    <n v="4"/>
    <n v="10"/>
    <n v="9"/>
    <n v="61"/>
    <x v="3"/>
    <n v="1114.1500000000001"/>
    <n v="67963.149999999994"/>
    <n v="67963.149999999994"/>
    <n v="31451.789436235456"/>
    <x v="1"/>
    <n v="17.87"/>
    <b v="0"/>
    <d v="2024-10-24T00:00:00"/>
    <x v="0"/>
    <x v="0"/>
    <n v="54"/>
    <x v="2"/>
    <s v="Debit Card"/>
    <s v="Returned"/>
  </r>
  <r>
    <s v="TID_1830"/>
    <x v="1"/>
    <x v="0"/>
    <x v="0"/>
    <x v="1"/>
    <x v="4"/>
    <x v="1"/>
    <n v="5"/>
    <n v="4"/>
    <n v="10"/>
    <n v="10"/>
    <n v="54"/>
    <x v="4"/>
    <n v="1257.82"/>
    <n v="67922.28"/>
    <n v="61340.611067999998"/>
    <n v="24829.250504235461"/>
    <x v="0"/>
    <n v="9.69"/>
    <b v="1"/>
    <d v="2024-10-10T00:00:00"/>
    <x v="0"/>
    <x v="0"/>
    <n v="42"/>
    <x v="2"/>
    <s v="Online Payment"/>
    <s v="Returned"/>
  </r>
  <r>
    <s v="TID_1469"/>
    <x v="9"/>
    <x v="4"/>
    <x v="3"/>
    <x v="0"/>
    <x v="4"/>
    <x v="2"/>
    <n v="6"/>
    <n v="13"/>
    <n v="6"/>
    <n v="10"/>
    <n v="69"/>
    <x v="3"/>
    <n v="983.33"/>
    <n v="67849.77"/>
    <n v="67849.77"/>
    <n v="31338.409436235466"/>
    <x v="0"/>
    <n v="26.04"/>
    <b v="0"/>
    <d v="2024-03-25T00:00:00"/>
    <x v="2"/>
    <x v="0"/>
    <n v="26"/>
    <x v="0"/>
    <s v="Debit Card"/>
    <s v="Not Returned"/>
  </r>
  <r>
    <s v="TID_1927"/>
    <x v="0"/>
    <x v="0"/>
    <x v="2"/>
    <x v="2"/>
    <x v="4"/>
    <x v="1"/>
    <n v="5"/>
    <n v="4"/>
    <n v="10"/>
    <n v="10"/>
    <n v="54"/>
    <x v="4"/>
    <n v="1256.1400000000001"/>
    <n v="67831.56"/>
    <n v="67831.56"/>
    <n v="31320.19943623546"/>
    <x v="1"/>
    <n v="29.42"/>
    <b v="0"/>
    <d v="2023-12-27T00:00:00"/>
    <x v="0"/>
    <x v="1"/>
    <n v="18"/>
    <x v="0"/>
    <s v="Cash"/>
    <s v="Returned"/>
  </r>
  <r>
    <s v="TID_957"/>
    <x v="5"/>
    <x v="2"/>
    <x v="2"/>
    <x v="2"/>
    <x v="1"/>
    <x v="1"/>
    <n v="7"/>
    <n v="6"/>
    <n v="10"/>
    <n v="10"/>
    <n v="82"/>
    <x v="2"/>
    <n v="826.12"/>
    <n v="67741.84"/>
    <n v="57858.305543999995"/>
    <n v="21346.944980235457"/>
    <x v="0"/>
    <n v="14.59"/>
    <b v="1"/>
    <d v="2023-07-05T00:00:00"/>
    <x v="3"/>
    <x v="1"/>
    <n v="29"/>
    <x v="2"/>
    <s v="Online Payment"/>
    <s v="Not Returned"/>
  </r>
  <r>
    <s v="TID_137"/>
    <x v="0"/>
    <x v="0"/>
    <x v="2"/>
    <x v="0"/>
    <x v="2"/>
    <x v="0"/>
    <n v="5"/>
    <n v="4"/>
    <n v="6"/>
    <n v="10"/>
    <n v="57"/>
    <x v="4"/>
    <n v="1187.8499999999999"/>
    <n v="67707.45"/>
    <n v="53847.734984999996"/>
    <n v="17336.374421235458"/>
    <x v="0"/>
    <n v="20.47"/>
    <b v="1"/>
    <d v="2023-07-05T00:00:00"/>
    <x v="3"/>
    <x v="1"/>
    <n v="51"/>
    <x v="0"/>
    <s v="Online Payment"/>
    <s v="Not Returned"/>
  </r>
  <r>
    <s v="TID_1752"/>
    <x v="8"/>
    <x v="3"/>
    <x v="2"/>
    <x v="0"/>
    <x v="0"/>
    <x v="0"/>
    <n v="9"/>
    <n v="7"/>
    <n v="6"/>
    <n v="10"/>
    <n v="89"/>
    <x v="2"/>
    <n v="759.9"/>
    <n v="67631.100000000006"/>
    <n v="52833.415320000007"/>
    <n v="16322.05475623547"/>
    <x v="0"/>
    <n v="21.88"/>
    <b v="1"/>
    <d v="2024-03-12T00:00:00"/>
    <x v="2"/>
    <x v="0"/>
    <n v="43"/>
    <x v="2"/>
    <s v="Online Payment"/>
    <s v="Not Returned"/>
  </r>
  <r>
    <s v="TID_396"/>
    <x v="2"/>
    <x v="1"/>
    <x v="2"/>
    <x v="1"/>
    <x v="2"/>
    <x v="3"/>
    <n v="3"/>
    <n v="13"/>
    <n v="10"/>
    <n v="9"/>
    <n v="50"/>
    <x v="5"/>
    <n v="1352.28"/>
    <n v="67614"/>
    <n v="67614"/>
    <n v="31102.639436235462"/>
    <x v="0"/>
    <n v="5.72"/>
    <b v="0"/>
    <d v="2024-05-03T00:00:00"/>
    <x v="1"/>
    <x v="0"/>
    <n v="40"/>
    <x v="1"/>
    <s v="Cash"/>
    <s v="Returned"/>
  </r>
  <r>
    <s v="TID_1886"/>
    <x v="0"/>
    <x v="0"/>
    <x v="0"/>
    <x v="2"/>
    <x v="4"/>
    <x v="1"/>
    <n v="5"/>
    <n v="4"/>
    <n v="10"/>
    <n v="10"/>
    <n v="66"/>
    <x v="3"/>
    <n v="1024.24"/>
    <n v="67599.839999999997"/>
    <n v="67599.839999999997"/>
    <n v="31088.479436235459"/>
    <x v="1"/>
    <n v="23.66"/>
    <b v="0"/>
    <d v="2023-10-21T00:00:00"/>
    <x v="0"/>
    <x v="1"/>
    <n v="53"/>
    <x v="1"/>
    <s v="Credit Card"/>
    <s v="Returned"/>
  </r>
  <r>
    <s v="TID_712"/>
    <x v="8"/>
    <x v="3"/>
    <x v="3"/>
    <x v="0"/>
    <x v="4"/>
    <x v="1"/>
    <n v="9"/>
    <n v="7"/>
    <n v="6"/>
    <n v="10"/>
    <n v="71"/>
    <x v="3"/>
    <n v="951.78"/>
    <n v="67576.38"/>
    <n v="54601.71504000001"/>
    <n v="18090.354476235472"/>
    <x v="1"/>
    <n v="19.2"/>
    <b v="1"/>
    <d v="2023-10-21T00:00:00"/>
    <x v="0"/>
    <x v="1"/>
    <n v="61"/>
    <x v="0"/>
    <s v="Debit Card"/>
    <s v="Not Returned"/>
  </r>
  <r>
    <s v="TID_1932"/>
    <x v="1"/>
    <x v="0"/>
    <x v="0"/>
    <x v="2"/>
    <x v="2"/>
    <x v="1"/>
    <n v="5"/>
    <n v="4"/>
    <n v="10"/>
    <n v="10"/>
    <n v="48"/>
    <x v="5"/>
    <n v="1399.98"/>
    <n v="67199.039999999994"/>
    <n v="67199.039999999994"/>
    <n v="30687.679436235456"/>
    <x v="0"/>
    <n v="1.36"/>
    <b v="0"/>
    <d v="2023-02-22T00:00:00"/>
    <x v="2"/>
    <x v="1"/>
    <n v="69"/>
    <x v="2"/>
    <s v="Debit Card"/>
    <s v="Not Returned"/>
  </r>
  <r>
    <s v="TID_1553"/>
    <x v="8"/>
    <x v="3"/>
    <x v="3"/>
    <x v="2"/>
    <x v="0"/>
    <x v="3"/>
    <n v="9"/>
    <n v="7"/>
    <n v="10"/>
    <n v="9"/>
    <n v="97"/>
    <x v="0"/>
    <n v="692.61"/>
    <n v="67183.17"/>
    <n v="67183.17"/>
    <n v="30671.80943623546"/>
    <x v="0"/>
    <n v="6.37"/>
    <b v="0"/>
    <d v="2023-07-17T00:00:00"/>
    <x v="3"/>
    <x v="1"/>
    <n v="39"/>
    <x v="2"/>
    <s v="Cash"/>
    <s v="Not Returned"/>
  </r>
  <r>
    <s v="TID_285"/>
    <x v="8"/>
    <x v="3"/>
    <x v="3"/>
    <x v="0"/>
    <x v="4"/>
    <x v="2"/>
    <n v="9"/>
    <n v="7"/>
    <n v="6"/>
    <n v="10"/>
    <n v="58"/>
    <x v="4"/>
    <n v="1156.3399999999999"/>
    <n v="67067.72"/>
    <n v="67067.72"/>
    <n v="30556.359436235463"/>
    <x v="0"/>
    <n v="19.170000000000002"/>
    <b v="0"/>
    <d v="2023-11-24T00:00:00"/>
    <x v="0"/>
    <x v="1"/>
    <n v="56"/>
    <x v="0"/>
    <s v="Credit Card"/>
    <s v="Not Returned"/>
  </r>
  <r>
    <s v="TID_1794"/>
    <x v="1"/>
    <x v="0"/>
    <x v="0"/>
    <x v="0"/>
    <x v="2"/>
    <x v="0"/>
    <n v="5"/>
    <n v="4"/>
    <n v="6"/>
    <n v="10"/>
    <n v="92"/>
    <x v="1"/>
    <n v="727.94"/>
    <n v="66970.48"/>
    <n v="59389.421664000001"/>
    <n v="22878.061100235464"/>
    <x v="0"/>
    <n v="11.32"/>
    <b v="1"/>
    <d v="2023-12-31T00:00:00"/>
    <x v="0"/>
    <x v="1"/>
    <n v="46"/>
    <x v="0"/>
    <s v="Debit Card"/>
    <s v="Not Returned"/>
  </r>
  <r>
    <s v="TID_87"/>
    <x v="7"/>
    <x v="2"/>
    <x v="0"/>
    <x v="1"/>
    <x v="2"/>
    <x v="1"/>
    <n v="2"/>
    <n v="6"/>
    <n v="10"/>
    <n v="10"/>
    <n v="90"/>
    <x v="2"/>
    <n v="744.04"/>
    <n v="66963.600000000006"/>
    <n v="48387.897360000003"/>
    <n v="11876.536796235465"/>
    <x v="1"/>
    <n v="27.74"/>
    <b v="1"/>
    <d v="2024-04-18T00:00:00"/>
    <x v="1"/>
    <x v="0"/>
    <n v="21"/>
    <x v="2"/>
    <s v="Online Payment"/>
    <s v="Not Returned"/>
  </r>
  <r>
    <s v="TID_1148"/>
    <x v="6"/>
    <x v="1"/>
    <x v="1"/>
    <x v="1"/>
    <x v="2"/>
    <x v="3"/>
    <n v="6"/>
    <n v="13"/>
    <n v="10"/>
    <n v="9"/>
    <n v="57"/>
    <x v="4"/>
    <n v="1173.98"/>
    <n v="66916.86"/>
    <n v="47082.702696"/>
    <n v="10571.342132235462"/>
    <x v="0"/>
    <n v="29.64"/>
    <b v="1"/>
    <d v="2024-09-09T00:00:00"/>
    <x v="3"/>
    <x v="0"/>
    <n v="39"/>
    <x v="2"/>
    <s v="Debit Card"/>
    <s v="Not Returned"/>
  </r>
  <r>
    <s v="TID_1335"/>
    <x v="8"/>
    <x v="3"/>
    <x v="2"/>
    <x v="1"/>
    <x v="4"/>
    <x v="2"/>
    <n v="9"/>
    <n v="7"/>
    <n v="10"/>
    <n v="10"/>
    <n v="69"/>
    <x v="3"/>
    <n v="969.78"/>
    <n v="66914.820000000007"/>
    <n v="59962.370202000006"/>
    <n v="23451.009638235468"/>
    <x v="0"/>
    <n v="10.39"/>
    <b v="1"/>
    <d v="2024-07-21T00:00:00"/>
    <x v="3"/>
    <x v="0"/>
    <n v="58"/>
    <x v="1"/>
    <s v="Debit Card"/>
    <s v="Not Returned"/>
  </r>
  <r>
    <s v="TID_1324"/>
    <x v="6"/>
    <x v="1"/>
    <x v="0"/>
    <x v="0"/>
    <x v="1"/>
    <x v="2"/>
    <n v="6"/>
    <n v="13"/>
    <n v="6"/>
    <n v="10"/>
    <n v="81"/>
    <x v="2"/>
    <n v="824.2"/>
    <n v="66760.2"/>
    <n v="60458.037119999994"/>
    <n v="23946.676556235456"/>
    <x v="0"/>
    <n v="9.44"/>
    <b v="1"/>
    <d v="2023-11-08T00:00:00"/>
    <x v="0"/>
    <x v="1"/>
    <n v="39"/>
    <x v="0"/>
    <s v="Debit Card"/>
    <s v="Not Returned"/>
  </r>
  <r>
    <s v="TID_73"/>
    <x v="6"/>
    <x v="1"/>
    <x v="0"/>
    <x v="2"/>
    <x v="1"/>
    <x v="3"/>
    <n v="6"/>
    <n v="13"/>
    <n v="10"/>
    <n v="9"/>
    <n v="76"/>
    <x v="3"/>
    <n v="878.26"/>
    <n v="66747.759999999995"/>
    <n v="47564.453775999995"/>
    <n v="11053.093212235457"/>
    <x v="0"/>
    <n v="28.74"/>
    <b v="1"/>
    <d v="2023-08-03T00:00:00"/>
    <x v="3"/>
    <x v="1"/>
    <n v="29"/>
    <x v="0"/>
    <s v="Debit Card"/>
    <s v="Returned"/>
  </r>
  <r>
    <s v="TID_95"/>
    <x v="3"/>
    <x v="0"/>
    <x v="0"/>
    <x v="2"/>
    <x v="2"/>
    <x v="0"/>
    <n v="5"/>
    <n v="4"/>
    <n v="10"/>
    <n v="10"/>
    <n v="60"/>
    <x v="4"/>
    <n v="1112.04"/>
    <n v="66722.399999999994"/>
    <n v="58595.611679999995"/>
    <n v="22084.251116235457"/>
    <x v="1"/>
    <n v="12.18"/>
    <b v="1"/>
    <d v="2023-11-30T00:00:00"/>
    <x v="0"/>
    <x v="1"/>
    <n v="35"/>
    <x v="1"/>
    <s v="Online Payment"/>
    <s v="Returned"/>
  </r>
  <r>
    <s v="TID_1808"/>
    <x v="9"/>
    <x v="4"/>
    <x v="3"/>
    <x v="1"/>
    <x v="2"/>
    <x v="2"/>
    <n v="6"/>
    <n v="13"/>
    <n v="10"/>
    <n v="10"/>
    <n v="77"/>
    <x v="3"/>
    <n v="865.83"/>
    <n v="66668.91"/>
    <n v="66668.91"/>
    <n v="30157.549436235466"/>
    <x v="1"/>
    <n v="2.2599999999999998"/>
    <b v="0"/>
    <d v="2023-02-24T00:00:00"/>
    <x v="2"/>
    <x v="1"/>
    <n v="39"/>
    <x v="0"/>
    <s v="Debit Card"/>
    <s v="Returned"/>
  </r>
  <r>
    <s v="TID_339"/>
    <x v="1"/>
    <x v="0"/>
    <x v="2"/>
    <x v="1"/>
    <x v="4"/>
    <x v="0"/>
    <n v="5"/>
    <n v="4"/>
    <n v="10"/>
    <n v="10"/>
    <n v="86"/>
    <x v="2"/>
    <n v="774.35"/>
    <n v="66594.100000000006"/>
    <n v="50997.761780000008"/>
    <n v="14486.40121623547"/>
    <x v="0"/>
    <n v="23.42"/>
    <b v="1"/>
    <d v="2023-03-22T00:00:00"/>
    <x v="2"/>
    <x v="1"/>
    <n v="64"/>
    <x v="1"/>
    <s v="Debit Card"/>
    <s v="Not Returned"/>
  </r>
  <r>
    <s v="TID_552"/>
    <x v="7"/>
    <x v="2"/>
    <x v="0"/>
    <x v="2"/>
    <x v="1"/>
    <x v="2"/>
    <n v="2"/>
    <n v="6"/>
    <n v="10"/>
    <n v="10"/>
    <n v="95"/>
    <x v="1"/>
    <n v="700.81"/>
    <n v="66576.95"/>
    <n v="66576.95"/>
    <n v="30065.589436235459"/>
    <x v="1"/>
    <n v="16.149999999999999"/>
    <b v="0"/>
    <d v="2023-12-28T00:00:00"/>
    <x v="0"/>
    <x v="1"/>
    <n v="19"/>
    <x v="2"/>
    <s v="Online Payment"/>
    <s v="Returned"/>
  </r>
  <r>
    <s v="TID_1189"/>
    <x v="3"/>
    <x v="0"/>
    <x v="3"/>
    <x v="0"/>
    <x v="4"/>
    <x v="2"/>
    <n v="5"/>
    <n v="4"/>
    <n v="6"/>
    <n v="10"/>
    <n v="81"/>
    <x v="2"/>
    <n v="821.59"/>
    <n v="66548.789999999994"/>
    <n v="52453.756277999993"/>
    <n v="15942.395714235456"/>
    <x v="1"/>
    <n v="21.18"/>
    <b v="1"/>
    <d v="2024-03-12T00:00:00"/>
    <x v="2"/>
    <x v="0"/>
    <n v="27"/>
    <x v="2"/>
    <s v="Credit Card"/>
    <s v="Not Returned"/>
  </r>
  <r>
    <s v="TID_809"/>
    <x v="5"/>
    <x v="2"/>
    <x v="3"/>
    <x v="1"/>
    <x v="4"/>
    <x v="1"/>
    <n v="7"/>
    <n v="6"/>
    <n v="10"/>
    <n v="10"/>
    <n v="55"/>
    <x v="4"/>
    <n v="1209.6600000000001"/>
    <n v="66531.3"/>
    <n v="66531.3"/>
    <n v="30019.939436235465"/>
    <x v="1"/>
    <n v="18.36"/>
    <b v="0"/>
    <d v="2023-05-26T00:00:00"/>
    <x v="1"/>
    <x v="1"/>
    <n v="43"/>
    <x v="1"/>
    <s v="Credit Card"/>
    <s v="Returned"/>
  </r>
  <r>
    <s v="TID_886"/>
    <x v="4"/>
    <x v="2"/>
    <x v="3"/>
    <x v="0"/>
    <x v="0"/>
    <x v="2"/>
    <n v="6"/>
    <n v="6"/>
    <n v="6"/>
    <n v="10"/>
    <n v="56"/>
    <x v="4"/>
    <n v="1187.3900000000001"/>
    <n v="66493.84"/>
    <n v="53527.541199999992"/>
    <n v="17016.180636235455"/>
    <x v="0"/>
    <n v="19.5"/>
    <b v="1"/>
    <d v="2024-07-20T00:00:00"/>
    <x v="3"/>
    <x v="0"/>
    <n v="61"/>
    <x v="2"/>
    <s v="Online Payment"/>
    <s v="Not Returned"/>
  </r>
  <r>
    <s v="TID_997"/>
    <x v="9"/>
    <x v="4"/>
    <x v="1"/>
    <x v="0"/>
    <x v="1"/>
    <x v="0"/>
    <n v="6"/>
    <n v="13"/>
    <n v="6"/>
    <n v="10"/>
    <n v="70"/>
    <x v="3"/>
    <n v="949.42"/>
    <n v="66459.399999999994"/>
    <n v="63601.645799999991"/>
    <n v="27090.285236235453"/>
    <x v="0"/>
    <n v="4.3"/>
    <b v="1"/>
    <d v="2023-07-20T00:00:00"/>
    <x v="3"/>
    <x v="1"/>
    <n v="44"/>
    <x v="1"/>
    <s v="Online Payment"/>
    <s v="Not Returned"/>
  </r>
  <r>
    <s v="TID_1930"/>
    <x v="3"/>
    <x v="0"/>
    <x v="3"/>
    <x v="0"/>
    <x v="0"/>
    <x v="2"/>
    <n v="5"/>
    <n v="4"/>
    <n v="6"/>
    <n v="10"/>
    <n v="65"/>
    <x v="3"/>
    <n v="1021.96"/>
    <n v="66427.399999999994"/>
    <n v="56270.650539999995"/>
    <n v="19759.289976235457"/>
    <x v="0"/>
    <n v="15.29"/>
    <b v="1"/>
    <d v="2023-04-23T00:00:00"/>
    <x v="1"/>
    <x v="1"/>
    <n v="45"/>
    <x v="0"/>
    <s v="Online Payment"/>
    <s v="Returned"/>
  </r>
  <r>
    <s v="TID_94"/>
    <x v="9"/>
    <x v="4"/>
    <x v="2"/>
    <x v="1"/>
    <x v="1"/>
    <x v="2"/>
    <n v="6"/>
    <n v="13"/>
    <n v="10"/>
    <n v="10"/>
    <n v="65"/>
    <x v="3"/>
    <n v="1020.32"/>
    <n v="66320.800000000003"/>
    <n v="66320.800000000003"/>
    <n v="29809.439436235465"/>
    <x v="0"/>
    <n v="27.49"/>
    <b v="0"/>
    <d v="2024-01-31T00:00:00"/>
    <x v="2"/>
    <x v="0"/>
    <n v="62"/>
    <x v="0"/>
    <s v="Credit Card"/>
    <s v="Returned"/>
  </r>
  <r>
    <s v="TID_1245"/>
    <x v="9"/>
    <x v="4"/>
    <x v="2"/>
    <x v="1"/>
    <x v="0"/>
    <x v="0"/>
    <n v="6"/>
    <n v="13"/>
    <n v="10"/>
    <n v="10"/>
    <n v="54"/>
    <x v="4"/>
    <n v="1227.1300000000001"/>
    <n v="66265.02"/>
    <n v="66265.02"/>
    <n v="29753.659436235466"/>
    <x v="0"/>
    <n v="13.86"/>
    <b v="0"/>
    <d v="2024-02-10T00:00:00"/>
    <x v="2"/>
    <x v="0"/>
    <n v="27"/>
    <x v="0"/>
    <s v="Debit Card"/>
    <s v="Not Returned"/>
  </r>
  <r>
    <s v="TID_7"/>
    <x v="7"/>
    <x v="2"/>
    <x v="3"/>
    <x v="1"/>
    <x v="4"/>
    <x v="3"/>
    <n v="2"/>
    <n v="6"/>
    <n v="10"/>
    <n v="9"/>
    <n v="77"/>
    <x v="3"/>
    <n v="857.26"/>
    <n v="66009.02"/>
    <n v="47024.825848"/>
    <n v="10513.465284235463"/>
    <x v="0"/>
    <n v="28.76"/>
    <b v="1"/>
    <d v="2023-09-29T00:00:00"/>
    <x v="3"/>
    <x v="1"/>
    <n v="29"/>
    <x v="0"/>
    <s v="Credit Card"/>
    <s v="Returned"/>
  </r>
  <r>
    <s v="TID_1980"/>
    <x v="2"/>
    <x v="1"/>
    <x v="1"/>
    <x v="1"/>
    <x v="2"/>
    <x v="0"/>
    <n v="3"/>
    <n v="13"/>
    <n v="10"/>
    <n v="10"/>
    <n v="47"/>
    <x v="5"/>
    <n v="1404.35"/>
    <n v="66004.45"/>
    <n v="66004.45"/>
    <n v="29493.089436235459"/>
    <x v="1"/>
    <n v="2.14"/>
    <b v="0"/>
    <d v="2024-03-31T00:00:00"/>
    <x v="2"/>
    <x v="0"/>
    <n v="65"/>
    <x v="0"/>
    <s v="Cash"/>
    <s v="Not Returned"/>
  </r>
  <r>
    <s v="TID_72"/>
    <x v="4"/>
    <x v="2"/>
    <x v="1"/>
    <x v="2"/>
    <x v="2"/>
    <x v="3"/>
    <n v="6"/>
    <n v="6"/>
    <n v="10"/>
    <n v="9"/>
    <n v="88"/>
    <x v="2"/>
    <n v="748.61"/>
    <n v="65877.679999999993"/>
    <n v="65877.679999999993"/>
    <n v="29366.319436235455"/>
    <x v="1"/>
    <n v="20.13"/>
    <b v="0"/>
    <d v="2024-04-05T00:00:00"/>
    <x v="1"/>
    <x v="0"/>
    <n v="52"/>
    <x v="1"/>
    <s v="Online Payment"/>
    <s v="Returned"/>
  </r>
  <r>
    <s v="TID_1627"/>
    <x v="9"/>
    <x v="4"/>
    <x v="2"/>
    <x v="1"/>
    <x v="3"/>
    <x v="0"/>
    <n v="6"/>
    <n v="13"/>
    <n v="10"/>
    <n v="10"/>
    <n v="45"/>
    <x v="5"/>
    <n v="1459.64"/>
    <n v="65683.8"/>
    <n v="65683.8"/>
    <n v="29172.439436235465"/>
    <x v="1"/>
    <n v="0.04"/>
    <b v="0"/>
    <d v="2023-04-14T00:00:00"/>
    <x v="1"/>
    <x v="1"/>
    <n v="44"/>
    <x v="2"/>
    <s v="Online Payment"/>
    <s v="Returned"/>
  </r>
  <r>
    <s v="TID_706"/>
    <x v="6"/>
    <x v="1"/>
    <x v="3"/>
    <x v="1"/>
    <x v="3"/>
    <x v="3"/>
    <n v="6"/>
    <n v="13"/>
    <n v="10"/>
    <n v="9"/>
    <n v="65"/>
    <x v="3"/>
    <n v="1008.97"/>
    <n v="65583.05"/>
    <n v="65583.05"/>
    <n v="29071.689436235465"/>
    <x v="1"/>
    <n v="19.899999999999999"/>
    <b v="0"/>
    <d v="2023-02-07T00:00:00"/>
    <x v="2"/>
    <x v="1"/>
    <n v="52"/>
    <x v="1"/>
    <s v="Debit Card"/>
    <s v="Not Returned"/>
  </r>
  <r>
    <s v="TID_462"/>
    <x v="2"/>
    <x v="1"/>
    <x v="2"/>
    <x v="0"/>
    <x v="4"/>
    <x v="1"/>
    <n v="3"/>
    <n v="13"/>
    <n v="6"/>
    <n v="10"/>
    <n v="70"/>
    <x v="3"/>
    <n v="932.76"/>
    <n v="65293.2"/>
    <n v="65293.2"/>
    <n v="28781.839436235459"/>
    <x v="1"/>
    <n v="23.56"/>
    <b v="0"/>
    <d v="2023-08-20T00:00:00"/>
    <x v="3"/>
    <x v="1"/>
    <n v="58"/>
    <x v="2"/>
    <s v="Online Payment"/>
    <s v="Returned"/>
  </r>
  <r>
    <s v="TID_898"/>
    <x v="1"/>
    <x v="0"/>
    <x v="3"/>
    <x v="0"/>
    <x v="0"/>
    <x v="1"/>
    <n v="5"/>
    <n v="4"/>
    <n v="6"/>
    <n v="10"/>
    <n v="51"/>
    <x v="4"/>
    <n v="1277.51"/>
    <n v="65153.01"/>
    <n v="51692.398134000003"/>
    <n v="15181.037570235465"/>
    <x v="1"/>
    <n v="20.66"/>
    <b v="1"/>
    <d v="2024-08-03T00:00:00"/>
    <x v="3"/>
    <x v="0"/>
    <n v="47"/>
    <x v="2"/>
    <s v="Credit Card"/>
    <s v="Not Returned"/>
  </r>
  <r>
    <s v="TID_195"/>
    <x v="8"/>
    <x v="3"/>
    <x v="3"/>
    <x v="1"/>
    <x v="2"/>
    <x v="1"/>
    <n v="9"/>
    <n v="7"/>
    <n v="10"/>
    <n v="10"/>
    <n v="51"/>
    <x v="4"/>
    <n v="1272.4000000000001"/>
    <n v="64892.4"/>
    <n v="55197.475440000002"/>
    <n v="18686.114876235464"/>
    <x v="0"/>
    <n v="14.94"/>
    <b v="1"/>
    <d v="2024-09-17T00:00:00"/>
    <x v="3"/>
    <x v="0"/>
    <n v="27"/>
    <x v="0"/>
    <s v="Credit Card"/>
    <s v="Returned"/>
  </r>
  <r>
    <s v="TID_1610"/>
    <x v="9"/>
    <x v="4"/>
    <x v="2"/>
    <x v="2"/>
    <x v="0"/>
    <x v="1"/>
    <n v="6"/>
    <n v="13"/>
    <n v="10"/>
    <n v="10"/>
    <n v="68"/>
    <x v="3"/>
    <n v="954.26"/>
    <n v="64889.68"/>
    <n v="54637.110560000001"/>
    <n v="18125.749996235463"/>
    <x v="0"/>
    <n v="15.8"/>
    <b v="1"/>
    <d v="2023-03-24T00:00:00"/>
    <x v="2"/>
    <x v="1"/>
    <n v="25"/>
    <x v="0"/>
    <s v="Online Payment"/>
    <s v="Returned"/>
  </r>
  <r>
    <s v="TID_1526"/>
    <x v="3"/>
    <x v="0"/>
    <x v="0"/>
    <x v="0"/>
    <x v="1"/>
    <x v="0"/>
    <n v="5"/>
    <n v="4"/>
    <n v="6"/>
    <n v="10"/>
    <n v="88"/>
    <x v="2"/>
    <n v="734.57"/>
    <n v="64642.16"/>
    <n v="64642.16"/>
    <n v="28130.799436235466"/>
    <x v="1"/>
    <n v="17.64"/>
    <b v="0"/>
    <d v="2024-10-21T00:00:00"/>
    <x v="0"/>
    <x v="0"/>
    <n v="58"/>
    <x v="1"/>
    <s v="Cash"/>
    <s v="Not Returned"/>
  </r>
  <r>
    <s v="TID_1284"/>
    <x v="1"/>
    <x v="0"/>
    <x v="0"/>
    <x v="1"/>
    <x v="3"/>
    <x v="1"/>
    <n v="5"/>
    <n v="4"/>
    <n v="10"/>
    <n v="10"/>
    <n v="80"/>
    <x v="3"/>
    <n v="807.91"/>
    <n v="64632.800000000003"/>
    <n v="51085.765120000004"/>
    <n v="14574.404556235466"/>
    <x v="0"/>
    <n v="20.96"/>
    <b v="1"/>
    <d v="2024-07-06T00:00:00"/>
    <x v="3"/>
    <x v="0"/>
    <n v="26"/>
    <x v="0"/>
    <s v="Online Payment"/>
    <s v="Not Returned"/>
  </r>
  <r>
    <s v="TID_1817"/>
    <x v="4"/>
    <x v="2"/>
    <x v="1"/>
    <x v="2"/>
    <x v="2"/>
    <x v="3"/>
    <n v="6"/>
    <n v="6"/>
    <n v="10"/>
    <n v="9"/>
    <n v="47"/>
    <x v="5"/>
    <n v="1374.45"/>
    <n v="64599.15"/>
    <n v="50161.239974999997"/>
    <n v="13649.879411235459"/>
    <x v="0"/>
    <n v="22.35"/>
    <b v="1"/>
    <d v="2024-03-24T00:00:00"/>
    <x v="2"/>
    <x v="0"/>
    <n v="19"/>
    <x v="0"/>
    <s v="Online Payment"/>
    <s v="Returned"/>
  </r>
  <r>
    <s v="TID_1187"/>
    <x v="9"/>
    <x v="4"/>
    <x v="1"/>
    <x v="2"/>
    <x v="1"/>
    <x v="0"/>
    <n v="6"/>
    <n v="13"/>
    <n v="10"/>
    <n v="10"/>
    <n v="50"/>
    <x v="5"/>
    <n v="1285.6099999999999"/>
    <n v="64280.5"/>
    <n v="46809.060099999995"/>
    <n v="10297.699536235457"/>
    <x v="0"/>
    <n v="27.18"/>
    <b v="1"/>
    <d v="2024-04-08T00:00:00"/>
    <x v="1"/>
    <x v="0"/>
    <n v="42"/>
    <x v="2"/>
    <s v="Credit Card"/>
    <s v="Returned"/>
  </r>
  <r>
    <s v="TID_1041"/>
    <x v="0"/>
    <x v="0"/>
    <x v="1"/>
    <x v="0"/>
    <x v="3"/>
    <x v="0"/>
    <n v="5"/>
    <n v="4"/>
    <n v="6"/>
    <n v="10"/>
    <n v="69"/>
    <x v="3"/>
    <n v="931.54"/>
    <n v="64276.26"/>
    <n v="58054.318032000003"/>
    <n v="21542.957468235465"/>
    <x v="1"/>
    <n v="9.68"/>
    <b v="1"/>
    <d v="2024-07-29T00:00:00"/>
    <x v="3"/>
    <x v="0"/>
    <n v="30"/>
    <x v="2"/>
    <s v="Credit Card"/>
    <s v="Returned"/>
  </r>
  <r>
    <s v="TID_688"/>
    <x v="8"/>
    <x v="3"/>
    <x v="2"/>
    <x v="0"/>
    <x v="1"/>
    <x v="3"/>
    <n v="9"/>
    <n v="7"/>
    <n v="6"/>
    <n v="9"/>
    <n v="61"/>
    <x v="3"/>
    <n v="1051.74"/>
    <n v="64156.14"/>
    <n v="64156.14"/>
    <n v="27644.779436235462"/>
    <x v="1"/>
    <n v="25.26"/>
    <b v="0"/>
    <d v="2023-03-07T00:00:00"/>
    <x v="2"/>
    <x v="1"/>
    <n v="43"/>
    <x v="1"/>
    <s v="Credit Card"/>
    <s v="Returned"/>
  </r>
  <r>
    <s v="TID_114"/>
    <x v="7"/>
    <x v="2"/>
    <x v="0"/>
    <x v="2"/>
    <x v="4"/>
    <x v="3"/>
    <n v="2"/>
    <n v="6"/>
    <n v="10"/>
    <n v="9"/>
    <n v="58"/>
    <x v="4"/>
    <n v="1105.8699999999999"/>
    <n v="64140.46"/>
    <n v="64140.46"/>
    <n v="27629.099436235461"/>
    <x v="1"/>
    <n v="13.61"/>
    <b v="0"/>
    <d v="2023-02-01T00:00:00"/>
    <x v="2"/>
    <x v="1"/>
    <n v="20"/>
    <x v="1"/>
    <s v="Credit Card"/>
    <s v="Not Returned"/>
  </r>
  <r>
    <s v="TID_743"/>
    <x v="0"/>
    <x v="0"/>
    <x v="3"/>
    <x v="1"/>
    <x v="4"/>
    <x v="2"/>
    <n v="5"/>
    <n v="4"/>
    <n v="10"/>
    <n v="10"/>
    <n v="63"/>
    <x v="3"/>
    <n v="1013.02"/>
    <n v="63820.26"/>
    <n v="63820.26"/>
    <n v="27308.899436235464"/>
    <x v="0"/>
    <n v="25.93"/>
    <b v="0"/>
    <d v="2024-05-06T00:00:00"/>
    <x v="1"/>
    <x v="0"/>
    <n v="47"/>
    <x v="2"/>
    <s v="Debit Card"/>
    <s v="Returned"/>
  </r>
  <r>
    <s v="TID_1002"/>
    <x v="1"/>
    <x v="0"/>
    <x v="2"/>
    <x v="2"/>
    <x v="2"/>
    <x v="2"/>
    <n v="5"/>
    <n v="4"/>
    <n v="10"/>
    <n v="10"/>
    <n v="89"/>
    <x v="2"/>
    <n v="716.42"/>
    <n v="63761.38"/>
    <n v="52934.697676000003"/>
    <n v="16423.337112235466"/>
    <x v="0"/>
    <n v="16.98"/>
    <b v="1"/>
    <d v="2024-07-23T00:00:00"/>
    <x v="3"/>
    <x v="0"/>
    <n v="23"/>
    <x v="0"/>
    <s v="Cash"/>
    <s v="Returned"/>
  </r>
  <r>
    <s v="TID_1330"/>
    <x v="3"/>
    <x v="0"/>
    <x v="2"/>
    <x v="2"/>
    <x v="1"/>
    <x v="3"/>
    <n v="5"/>
    <n v="4"/>
    <n v="10"/>
    <n v="9"/>
    <n v="81"/>
    <x v="2"/>
    <n v="786.84"/>
    <n v="63734.04"/>
    <n v="63734.04"/>
    <n v="27222.679436235463"/>
    <x v="0"/>
    <n v="11.2"/>
    <b v="0"/>
    <d v="2023-07-29T00:00:00"/>
    <x v="3"/>
    <x v="1"/>
    <n v="18"/>
    <x v="0"/>
    <s v="Credit Card"/>
    <s v="Returned"/>
  </r>
  <r>
    <s v="TID_1458"/>
    <x v="6"/>
    <x v="1"/>
    <x v="2"/>
    <x v="2"/>
    <x v="0"/>
    <x v="3"/>
    <n v="6"/>
    <n v="13"/>
    <n v="10"/>
    <n v="9"/>
    <n v="52"/>
    <x v="4"/>
    <n v="1225.25"/>
    <n v="63713"/>
    <n v="63713"/>
    <n v="27201.639436235462"/>
    <x v="1"/>
    <n v="4.87"/>
    <b v="0"/>
    <d v="2023-04-02T00:00:00"/>
    <x v="1"/>
    <x v="1"/>
    <n v="18"/>
    <x v="1"/>
    <s v="Online Payment"/>
    <s v="Returned"/>
  </r>
  <r>
    <s v="TID_1911"/>
    <x v="4"/>
    <x v="2"/>
    <x v="3"/>
    <x v="1"/>
    <x v="1"/>
    <x v="2"/>
    <n v="6"/>
    <n v="6"/>
    <n v="10"/>
    <n v="10"/>
    <n v="72"/>
    <x v="3"/>
    <n v="884.16"/>
    <n v="63659.519999999997"/>
    <n v="63659.519999999997"/>
    <n v="27148.159436235459"/>
    <x v="1"/>
    <n v="4.24"/>
    <b v="0"/>
    <d v="2023-08-31T00:00:00"/>
    <x v="3"/>
    <x v="1"/>
    <n v="38"/>
    <x v="2"/>
    <s v="Online Payment"/>
    <s v="Returned"/>
  </r>
  <r>
    <s v="TID_1110"/>
    <x v="6"/>
    <x v="1"/>
    <x v="2"/>
    <x v="0"/>
    <x v="0"/>
    <x v="1"/>
    <n v="6"/>
    <n v="13"/>
    <n v="6"/>
    <n v="10"/>
    <n v="70"/>
    <x v="3"/>
    <n v="909.04"/>
    <n v="63632.800000000003"/>
    <n v="63632.800000000003"/>
    <n v="27121.439436235465"/>
    <x v="1"/>
    <n v="7.78"/>
    <b v="0"/>
    <d v="2024-09-01T00:00:00"/>
    <x v="3"/>
    <x v="0"/>
    <n v="64"/>
    <x v="2"/>
    <s v="Online Payment"/>
    <s v="Returned"/>
  </r>
  <r>
    <s v="TID_1321"/>
    <x v="2"/>
    <x v="1"/>
    <x v="2"/>
    <x v="1"/>
    <x v="3"/>
    <x v="3"/>
    <n v="3"/>
    <n v="13"/>
    <n v="10"/>
    <n v="9"/>
    <n v="53"/>
    <x v="4"/>
    <n v="1200.28"/>
    <n v="63614.84"/>
    <n v="57418.754583999995"/>
    <n v="20907.394020235457"/>
    <x v="0"/>
    <n v="9.74"/>
    <b v="1"/>
    <d v="2023-03-20T00:00:00"/>
    <x v="2"/>
    <x v="1"/>
    <n v="25"/>
    <x v="1"/>
    <s v="Online Payment"/>
    <s v="Returned"/>
  </r>
  <r>
    <s v="TID_630"/>
    <x v="6"/>
    <x v="1"/>
    <x v="1"/>
    <x v="1"/>
    <x v="0"/>
    <x v="2"/>
    <n v="6"/>
    <n v="13"/>
    <n v="10"/>
    <n v="10"/>
    <n v="43"/>
    <x v="5"/>
    <n v="1478.19"/>
    <n v="63562.17"/>
    <n v="61248.507012000002"/>
    <n v="24737.146448235464"/>
    <x v="1"/>
    <n v="3.64"/>
    <b v="1"/>
    <d v="2024-08-16T00:00:00"/>
    <x v="3"/>
    <x v="0"/>
    <n v="56"/>
    <x v="1"/>
    <s v="Debit Card"/>
    <s v="Returned"/>
  </r>
  <r>
    <s v="TID_1432"/>
    <x v="7"/>
    <x v="2"/>
    <x v="2"/>
    <x v="0"/>
    <x v="4"/>
    <x v="3"/>
    <n v="2"/>
    <n v="6"/>
    <n v="6"/>
    <n v="9"/>
    <n v="77"/>
    <x v="3"/>
    <n v="824.86"/>
    <n v="63514.22"/>
    <n v="63514.22"/>
    <n v="27002.859436235463"/>
    <x v="0"/>
    <n v="11.81"/>
    <b v="0"/>
    <d v="2023-09-15T00:00:00"/>
    <x v="3"/>
    <x v="1"/>
    <n v="18"/>
    <x v="0"/>
    <s v="Online Payment"/>
    <s v="Returned"/>
  </r>
  <r>
    <s v="TID_1484"/>
    <x v="6"/>
    <x v="1"/>
    <x v="0"/>
    <x v="0"/>
    <x v="4"/>
    <x v="1"/>
    <n v="6"/>
    <n v="13"/>
    <n v="6"/>
    <n v="10"/>
    <n v="53"/>
    <x v="4"/>
    <n v="1197.24"/>
    <n v="63453.72"/>
    <n v="63453.72"/>
    <n v="26942.359436235463"/>
    <x v="1"/>
    <n v="22.45"/>
    <b v="0"/>
    <d v="2023-11-04T00:00:00"/>
    <x v="0"/>
    <x v="1"/>
    <n v="19"/>
    <x v="0"/>
    <s v="Debit Card"/>
    <s v="Not Returned"/>
  </r>
  <r>
    <s v="TID_1057"/>
    <x v="5"/>
    <x v="2"/>
    <x v="1"/>
    <x v="1"/>
    <x v="3"/>
    <x v="3"/>
    <n v="7"/>
    <n v="6"/>
    <n v="10"/>
    <n v="9"/>
    <n v="46"/>
    <x v="5"/>
    <n v="1379.37"/>
    <n v="63451.02"/>
    <n v="63451.02"/>
    <n v="26939.659436235459"/>
    <x v="1"/>
    <n v="24.68"/>
    <b v="0"/>
    <d v="2024-02-24T00:00:00"/>
    <x v="2"/>
    <x v="0"/>
    <n v="31"/>
    <x v="0"/>
    <s v="Cash"/>
    <s v="Not Returned"/>
  </r>
  <r>
    <s v="TID_622"/>
    <x v="8"/>
    <x v="3"/>
    <x v="0"/>
    <x v="0"/>
    <x v="0"/>
    <x v="0"/>
    <n v="9"/>
    <n v="7"/>
    <n v="6"/>
    <n v="10"/>
    <n v="62"/>
    <x v="3"/>
    <n v="1020.42"/>
    <n v="63266.04"/>
    <n v="49233.632328"/>
    <n v="12722.271764235462"/>
    <x v="0"/>
    <n v="22.18"/>
    <b v="1"/>
    <d v="2023-10-24T00:00:00"/>
    <x v="0"/>
    <x v="1"/>
    <n v="21"/>
    <x v="0"/>
    <s v="Credit Card"/>
    <s v="Not Returned"/>
  </r>
  <r>
    <s v="TID_1170"/>
    <x v="9"/>
    <x v="4"/>
    <x v="1"/>
    <x v="1"/>
    <x v="4"/>
    <x v="3"/>
    <n v="6"/>
    <n v="13"/>
    <n v="10"/>
    <n v="9"/>
    <n v="50"/>
    <x v="5"/>
    <n v="1261.8"/>
    <n v="63090"/>
    <n v="54964.008000000002"/>
    <n v="18452.647436235464"/>
    <x v="0"/>
    <n v="12.88"/>
    <b v="1"/>
    <d v="2024-06-12T00:00:00"/>
    <x v="1"/>
    <x v="0"/>
    <n v="52"/>
    <x v="0"/>
    <s v="Debit Card"/>
    <s v="Not Returned"/>
  </r>
  <r>
    <s v="TID_1937"/>
    <x v="5"/>
    <x v="2"/>
    <x v="2"/>
    <x v="2"/>
    <x v="2"/>
    <x v="3"/>
    <n v="7"/>
    <n v="6"/>
    <n v="10"/>
    <n v="9"/>
    <n v="71"/>
    <x v="3"/>
    <n v="884.05"/>
    <n v="62767.55"/>
    <n v="62767.55"/>
    <n v="26256.189436235465"/>
    <x v="1"/>
    <n v="24.21"/>
    <b v="0"/>
    <d v="2023-01-31T00:00:00"/>
    <x v="2"/>
    <x v="1"/>
    <n v="55"/>
    <x v="2"/>
    <s v="Credit Card"/>
    <s v="Not Returned"/>
  </r>
  <r>
    <s v="TID_967"/>
    <x v="8"/>
    <x v="3"/>
    <x v="3"/>
    <x v="2"/>
    <x v="3"/>
    <x v="3"/>
    <n v="9"/>
    <n v="7"/>
    <n v="10"/>
    <n v="9"/>
    <n v="92"/>
    <x v="1"/>
    <n v="681.98"/>
    <n v="62742.16"/>
    <n v="50965.456568000001"/>
    <n v="14454.096004235464"/>
    <x v="0"/>
    <n v="18.77"/>
    <b v="1"/>
    <d v="2023-09-08T00:00:00"/>
    <x v="3"/>
    <x v="1"/>
    <n v="61"/>
    <x v="1"/>
    <s v="Online Payment"/>
    <s v="Returned"/>
  </r>
  <r>
    <s v="TID_1470"/>
    <x v="5"/>
    <x v="2"/>
    <x v="1"/>
    <x v="1"/>
    <x v="0"/>
    <x v="3"/>
    <n v="7"/>
    <n v="6"/>
    <n v="10"/>
    <n v="9"/>
    <n v="67"/>
    <x v="3"/>
    <n v="933.49"/>
    <n v="62543.83"/>
    <n v="62543.83"/>
    <n v="26032.469436235464"/>
    <x v="1"/>
    <n v="15.87"/>
    <b v="0"/>
    <d v="2024-09-30T00:00:00"/>
    <x v="3"/>
    <x v="0"/>
    <n v="38"/>
    <x v="0"/>
    <s v="Credit Card"/>
    <s v="Not Returned"/>
  </r>
  <r>
    <s v="TID_801"/>
    <x v="2"/>
    <x v="1"/>
    <x v="2"/>
    <x v="2"/>
    <x v="1"/>
    <x v="1"/>
    <n v="3"/>
    <n v="13"/>
    <n v="10"/>
    <n v="10"/>
    <n v="79"/>
    <x v="3"/>
    <n v="791.65"/>
    <n v="62540.35"/>
    <n v="62540.35"/>
    <n v="26028.989436235461"/>
    <x v="0"/>
    <n v="1.17"/>
    <b v="0"/>
    <d v="2023-09-19T00:00:00"/>
    <x v="3"/>
    <x v="1"/>
    <n v="44"/>
    <x v="2"/>
    <s v="Credit Card"/>
    <s v="Returned"/>
  </r>
  <r>
    <s v="TID_345"/>
    <x v="2"/>
    <x v="1"/>
    <x v="1"/>
    <x v="2"/>
    <x v="2"/>
    <x v="1"/>
    <n v="3"/>
    <n v="13"/>
    <n v="10"/>
    <n v="10"/>
    <n v="82"/>
    <x v="2"/>
    <n v="762.54"/>
    <n v="62528.28"/>
    <n v="50985.559512"/>
    <n v="14474.198948235462"/>
    <x v="0"/>
    <n v="18.46"/>
    <b v="1"/>
    <d v="2023-02-08T00:00:00"/>
    <x v="2"/>
    <x v="1"/>
    <n v="57"/>
    <x v="1"/>
    <s v="Debit Card"/>
    <s v="Returned"/>
  </r>
  <r>
    <s v="TID_77"/>
    <x v="0"/>
    <x v="0"/>
    <x v="1"/>
    <x v="0"/>
    <x v="0"/>
    <x v="1"/>
    <n v="5"/>
    <n v="4"/>
    <n v="6"/>
    <n v="10"/>
    <n v="58"/>
    <x v="4"/>
    <n v="1076.29"/>
    <n v="62424.82"/>
    <n v="57455.804327999998"/>
    <n v="20944.443764235461"/>
    <x v="1"/>
    <n v="7.96"/>
    <b v="1"/>
    <d v="2023-07-13T00:00:00"/>
    <x v="3"/>
    <x v="1"/>
    <n v="38"/>
    <x v="2"/>
    <s v="Online Payment"/>
    <s v="Not Returned"/>
  </r>
  <r>
    <s v="TID_138"/>
    <x v="4"/>
    <x v="2"/>
    <x v="1"/>
    <x v="0"/>
    <x v="1"/>
    <x v="3"/>
    <n v="6"/>
    <n v="6"/>
    <n v="6"/>
    <n v="9"/>
    <n v="50"/>
    <x v="5"/>
    <n v="1248.3599999999999"/>
    <n v="62418"/>
    <n v="62418"/>
    <n v="25906.639436235462"/>
    <x v="1"/>
    <n v="10.55"/>
    <b v="0"/>
    <d v="2023-08-15T00:00:00"/>
    <x v="3"/>
    <x v="1"/>
    <n v="30"/>
    <x v="1"/>
    <s v="Online Payment"/>
    <s v="Not Returned"/>
  </r>
  <r>
    <s v="TID_369"/>
    <x v="4"/>
    <x v="2"/>
    <x v="1"/>
    <x v="0"/>
    <x v="3"/>
    <x v="2"/>
    <n v="6"/>
    <n v="6"/>
    <n v="6"/>
    <n v="10"/>
    <n v="77"/>
    <x v="3"/>
    <n v="809.14"/>
    <n v="62303.78"/>
    <n v="59306.968181999997"/>
    <n v="22795.607618235459"/>
    <x v="1"/>
    <n v="4.8099999999999996"/>
    <b v="1"/>
    <d v="2024-07-11T00:00:00"/>
    <x v="3"/>
    <x v="0"/>
    <n v="30"/>
    <x v="1"/>
    <s v="Online Payment"/>
    <s v="Not Returned"/>
  </r>
  <r>
    <s v="TID_593"/>
    <x v="7"/>
    <x v="2"/>
    <x v="0"/>
    <x v="0"/>
    <x v="4"/>
    <x v="3"/>
    <n v="2"/>
    <n v="6"/>
    <n v="6"/>
    <n v="9"/>
    <n v="77"/>
    <x v="3"/>
    <n v="808.77"/>
    <n v="62275.29"/>
    <n v="43885.396863000002"/>
    <n v="7374.036299235464"/>
    <x v="1"/>
    <n v="29.53"/>
    <b v="1"/>
    <d v="2023-03-18T00:00:00"/>
    <x v="2"/>
    <x v="1"/>
    <n v="69"/>
    <x v="1"/>
    <s v="Credit Card"/>
    <s v="Not Returned"/>
  </r>
  <r>
    <s v="TID_1420"/>
    <x v="7"/>
    <x v="2"/>
    <x v="1"/>
    <x v="1"/>
    <x v="0"/>
    <x v="0"/>
    <n v="2"/>
    <n v="6"/>
    <n v="10"/>
    <n v="10"/>
    <n v="65"/>
    <x v="3"/>
    <n v="956.46"/>
    <n v="62169.9"/>
    <n v="45085.611480000007"/>
    <n v="8574.250916235469"/>
    <x v="0"/>
    <n v="27.48"/>
    <b v="1"/>
    <d v="2023-04-10T00:00:00"/>
    <x v="1"/>
    <x v="1"/>
    <n v="33"/>
    <x v="2"/>
    <s v="Cash"/>
    <s v="Not Returned"/>
  </r>
  <r>
    <s v="TID_1175"/>
    <x v="7"/>
    <x v="2"/>
    <x v="2"/>
    <x v="2"/>
    <x v="3"/>
    <x v="2"/>
    <n v="2"/>
    <n v="6"/>
    <n v="10"/>
    <n v="10"/>
    <n v="60"/>
    <x v="4"/>
    <n v="1035.73"/>
    <n v="62143.8"/>
    <n v="51697.427219999998"/>
    <n v="15186.06665623546"/>
    <x v="0"/>
    <n v="16.809999999999999"/>
    <b v="1"/>
    <d v="2023-12-05T00:00:00"/>
    <x v="0"/>
    <x v="1"/>
    <n v="27"/>
    <x v="1"/>
    <s v="Cash"/>
    <s v="Returned"/>
  </r>
  <r>
    <s v="TID_518"/>
    <x v="4"/>
    <x v="2"/>
    <x v="2"/>
    <x v="2"/>
    <x v="1"/>
    <x v="3"/>
    <n v="6"/>
    <n v="6"/>
    <n v="10"/>
    <n v="9"/>
    <n v="99"/>
    <x v="0"/>
    <n v="627.67999999999995"/>
    <n v="62140.32"/>
    <n v="59039.518031999993"/>
    <n v="22528.157468235455"/>
    <x v="1"/>
    <n v="4.99"/>
    <b v="1"/>
    <d v="2023-09-08T00:00:00"/>
    <x v="3"/>
    <x v="1"/>
    <n v="36"/>
    <x v="0"/>
    <s v="Credit Card"/>
    <s v="Returned"/>
  </r>
  <r>
    <s v="TID_1925"/>
    <x v="5"/>
    <x v="2"/>
    <x v="0"/>
    <x v="2"/>
    <x v="3"/>
    <x v="0"/>
    <n v="7"/>
    <n v="6"/>
    <n v="10"/>
    <n v="10"/>
    <n v="87"/>
    <x v="2"/>
    <n v="713.32"/>
    <n v="62058.84"/>
    <n v="62058.84"/>
    <n v="25547.479436235459"/>
    <x v="1"/>
    <n v="11.6"/>
    <b v="0"/>
    <d v="2023-10-10T00:00:00"/>
    <x v="0"/>
    <x v="1"/>
    <n v="55"/>
    <x v="0"/>
    <s v="Cash"/>
    <s v="Returned"/>
  </r>
  <r>
    <s v="TID_1426"/>
    <x v="4"/>
    <x v="2"/>
    <x v="3"/>
    <x v="0"/>
    <x v="3"/>
    <x v="1"/>
    <n v="6"/>
    <n v="6"/>
    <n v="6"/>
    <n v="10"/>
    <n v="78"/>
    <x v="3"/>
    <n v="794.57"/>
    <n v="61976.46"/>
    <n v="61356.695399999997"/>
    <n v="24845.334836235459"/>
    <x v="0"/>
    <n v="1"/>
    <b v="1"/>
    <d v="2024-02-28T00:00:00"/>
    <x v="2"/>
    <x v="0"/>
    <n v="18"/>
    <x v="0"/>
    <s v="Cash"/>
    <s v="Returned"/>
  </r>
  <r>
    <s v="TID_1221"/>
    <x v="6"/>
    <x v="1"/>
    <x v="3"/>
    <x v="1"/>
    <x v="3"/>
    <x v="2"/>
    <n v="6"/>
    <n v="13"/>
    <n v="10"/>
    <n v="10"/>
    <n v="58"/>
    <x v="4"/>
    <n v="1068.51"/>
    <n v="61973.58"/>
    <n v="61973.58"/>
    <n v="25462.219436235464"/>
    <x v="1"/>
    <n v="1.69"/>
    <b v="0"/>
    <d v="2024-10-04T00:00:00"/>
    <x v="0"/>
    <x v="0"/>
    <n v="27"/>
    <x v="2"/>
    <s v="Credit Card"/>
    <s v="Returned"/>
  </r>
  <r>
    <s v="TID_1292"/>
    <x v="0"/>
    <x v="0"/>
    <x v="3"/>
    <x v="1"/>
    <x v="1"/>
    <x v="1"/>
    <n v="5"/>
    <n v="4"/>
    <n v="10"/>
    <n v="10"/>
    <n v="81"/>
    <x v="2"/>
    <n v="764.96"/>
    <n v="61961.760000000002"/>
    <n v="53194.170960000003"/>
    <n v="16682.810396235465"/>
    <x v="0"/>
    <n v="14.15"/>
    <b v="1"/>
    <d v="2024-06-11T00:00:00"/>
    <x v="1"/>
    <x v="0"/>
    <n v="67"/>
    <x v="2"/>
    <s v="Credit Card"/>
    <s v="Not Returned"/>
  </r>
  <r>
    <s v="TID_962"/>
    <x v="2"/>
    <x v="1"/>
    <x v="0"/>
    <x v="1"/>
    <x v="4"/>
    <x v="3"/>
    <n v="3"/>
    <n v="13"/>
    <n v="10"/>
    <n v="9"/>
    <n v="53"/>
    <x v="4"/>
    <n v="1168.8"/>
    <n v="61946.400000000001"/>
    <n v="61946.400000000001"/>
    <n v="25435.039436235464"/>
    <x v="1"/>
    <n v="15.91"/>
    <b v="0"/>
    <d v="2023-03-20T00:00:00"/>
    <x v="2"/>
    <x v="1"/>
    <n v="40"/>
    <x v="0"/>
    <s v="Cash"/>
    <s v="Returned"/>
  </r>
  <r>
    <s v="TID_816"/>
    <x v="6"/>
    <x v="1"/>
    <x v="3"/>
    <x v="1"/>
    <x v="2"/>
    <x v="3"/>
    <n v="6"/>
    <n v="13"/>
    <n v="10"/>
    <n v="9"/>
    <n v="74"/>
    <x v="3"/>
    <n v="836.69"/>
    <n v="61915.06"/>
    <n v="50436.007875999996"/>
    <n v="13924.647312235458"/>
    <x v="0"/>
    <n v="18.54"/>
    <b v="1"/>
    <d v="2024-08-08T00:00:00"/>
    <x v="3"/>
    <x v="0"/>
    <n v="61"/>
    <x v="1"/>
    <s v="Online Payment"/>
    <s v="Returned"/>
  </r>
  <r>
    <s v="TID_1449"/>
    <x v="4"/>
    <x v="2"/>
    <x v="0"/>
    <x v="0"/>
    <x v="1"/>
    <x v="3"/>
    <n v="6"/>
    <n v="6"/>
    <n v="6"/>
    <n v="9"/>
    <n v="52"/>
    <x v="4"/>
    <n v="1190.17"/>
    <n v="61888.84"/>
    <n v="48248.539664000004"/>
    <n v="11737.179100235466"/>
    <x v="0"/>
    <n v="22.04"/>
    <b v="1"/>
    <d v="2023-05-02T00:00:00"/>
    <x v="1"/>
    <x v="1"/>
    <n v="34"/>
    <x v="2"/>
    <s v="Cash"/>
    <s v="Returned"/>
  </r>
  <r>
    <s v="TID_1358"/>
    <x v="5"/>
    <x v="2"/>
    <x v="0"/>
    <x v="2"/>
    <x v="0"/>
    <x v="3"/>
    <n v="7"/>
    <n v="6"/>
    <n v="10"/>
    <n v="9"/>
    <n v="67"/>
    <x v="3"/>
    <n v="921.97"/>
    <n v="61771.99"/>
    <n v="57491.191092999994"/>
    <n v="20979.830529235456"/>
    <x v="0"/>
    <n v="6.93"/>
    <b v="1"/>
    <d v="2024-07-16T00:00:00"/>
    <x v="3"/>
    <x v="0"/>
    <n v="22"/>
    <x v="0"/>
    <s v="Cash"/>
    <s v="Returned"/>
  </r>
  <r>
    <s v="TID_1583"/>
    <x v="8"/>
    <x v="3"/>
    <x v="3"/>
    <x v="0"/>
    <x v="2"/>
    <x v="3"/>
    <n v="9"/>
    <n v="7"/>
    <n v="6"/>
    <n v="9"/>
    <n v="99"/>
    <x v="0"/>
    <n v="623.82000000000005"/>
    <n v="61758.18"/>
    <n v="53488.759698000002"/>
    <n v="16977.399134235464"/>
    <x v="0"/>
    <n v="13.39"/>
    <b v="1"/>
    <d v="2024-06-28T00:00:00"/>
    <x v="1"/>
    <x v="0"/>
    <n v="40"/>
    <x v="0"/>
    <s v="Credit Card"/>
    <s v="Not Returned"/>
  </r>
  <r>
    <s v="TID_1383"/>
    <x v="6"/>
    <x v="1"/>
    <x v="3"/>
    <x v="2"/>
    <x v="3"/>
    <x v="2"/>
    <n v="6"/>
    <n v="13"/>
    <n v="10"/>
    <n v="10"/>
    <n v="95"/>
    <x v="1"/>
    <n v="649.14"/>
    <n v="61668.3"/>
    <n v="61433.960460000002"/>
    <n v="24922.599896235464"/>
    <x v="0"/>
    <n v="0.38"/>
    <b v="1"/>
    <d v="2023-10-24T00:00:00"/>
    <x v="0"/>
    <x v="1"/>
    <n v="47"/>
    <x v="0"/>
    <s v="Cash"/>
    <s v="Not Returned"/>
  </r>
  <r>
    <s v="TID_538"/>
    <x v="9"/>
    <x v="4"/>
    <x v="3"/>
    <x v="2"/>
    <x v="3"/>
    <x v="0"/>
    <n v="6"/>
    <n v="13"/>
    <n v="10"/>
    <n v="10"/>
    <n v="49"/>
    <x v="5"/>
    <n v="1258.4000000000001"/>
    <n v="61661.599999999999"/>
    <n v="61661.599999999999"/>
    <n v="25150.239436235461"/>
    <x v="0"/>
    <n v="15.8"/>
    <b v="0"/>
    <d v="2024-07-01T00:00:00"/>
    <x v="3"/>
    <x v="0"/>
    <n v="40"/>
    <x v="1"/>
    <s v="Cash"/>
    <s v="Not Returned"/>
  </r>
  <r>
    <s v="TID_819"/>
    <x v="2"/>
    <x v="1"/>
    <x v="1"/>
    <x v="2"/>
    <x v="0"/>
    <x v="3"/>
    <n v="3"/>
    <n v="13"/>
    <n v="10"/>
    <n v="9"/>
    <n v="72"/>
    <x v="3"/>
    <n v="855.77"/>
    <n v="61615.44"/>
    <n v="61615.44"/>
    <n v="25104.079436235465"/>
    <x v="0"/>
    <n v="4.59"/>
    <b v="0"/>
    <d v="2024-02-17T00:00:00"/>
    <x v="2"/>
    <x v="0"/>
    <n v="61"/>
    <x v="2"/>
    <s v="Credit Card"/>
    <s v="Not Returned"/>
  </r>
  <r>
    <s v="TID_468"/>
    <x v="6"/>
    <x v="1"/>
    <x v="0"/>
    <x v="1"/>
    <x v="0"/>
    <x v="0"/>
    <n v="6"/>
    <n v="13"/>
    <n v="10"/>
    <n v="10"/>
    <n v="51"/>
    <x v="4"/>
    <n v="1205.43"/>
    <n v="61476.93"/>
    <n v="49439.747106000003"/>
    <n v="12928.386542235465"/>
    <x v="1"/>
    <n v="19.579999999999998"/>
    <b v="1"/>
    <d v="2024-06-08T00:00:00"/>
    <x v="1"/>
    <x v="0"/>
    <n v="53"/>
    <x v="1"/>
    <s v="Cash"/>
    <s v="Not Returned"/>
  </r>
  <r>
    <s v="TID_710"/>
    <x v="5"/>
    <x v="2"/>
    <x v="2"/>
    <x v="2"/>
    <x v="1"/>
    <x v="2"/>
    <n v="7"/>
    <n v="6"/>
    <n v="10"/>
    <n v="10"/>
    <n v="75"/>
    <x v="3"/>
    <n v="818.35"/>
    <n v="61376.25"/>
    <n v="61376.25"/>
    <n v="24864.889436235462"/>
    <x v="0"/>
    <n v="17.32"/>
    <b v="0"/>
    <d v="2024-04-06T00:00:00"/>
    <x v="1"/>
    <x v="0"/>
    <n v="56"/>
    <x v="1"/>
    <s v="Debit Card"/>
    <s v="Not Returned"/>
  </r>
  <r>
    <s v="TID_1827"/>
    <x v="2"/>
    <x v="1"/>
    <x v="1"/>
    <x v="1"/>
    <x v="3"/>
    <x v="0"/>
    <n v="3"/>
    <n v="13"/>
    <n v="10"/>
    <n v="10"/>
    <n v="78"/>
    <x v="3"/>
    <n v="786.38"/>
    <n v="61337.64"/>
    <n v="61337.64"/>
    <n v="24826.279436235462"/>
    <x v="0"/>
    <n v="13.18"/>
    <b v="0"/>
    <d v="2023-03-08T00:00:00"/>
    <x v="2"/>
    <x v="1"/>
    <n v="67"/>
    <x v="0"/>
    <s v="Online Payment"/>
    <s v="Returned"/>
  </r>
  <r>
    <s v="TID_1861"/>
    <x v="0"/>
    <x v="0"/>
    <x v="3"/>
    <x v="2"/>
    <x v="4"/>
    <x v="0"/>
    <n v="5"/>
    <n v="4"/>
    <n v="10"/>
    <n v="10"/>
    <n v="68"/>
    <x v="3"/>
    <n v="901.41"/>
    <n v="61295.88"/>
    <n v="56012.175143999993"/>
    <n v="19500.814580235456"/>
    <x v="1"/>
    <n v="8.6199999999999992"/>
    <b v="1"/>
    <d v="2023-03-18T00:00:00"/>
    <x v="2"/>
    <x v="1"/>
    <n v="50"/>
    <x v="1"/>
    <s v="Credit Card"/>
    <s v="Returned"/>
  </r>
  <r>
    <s v="TID_836"/>
    <x v="8"/>
    <x v="3"/>
    <x v="0"/>
    <x v="2"/>
    <x v="3"/>
    <x v="3"/>
    <n v="9"/>
    <n v="7"/>
    <n v="10"/>
    <n v="9"/>
    <n v="79"/>
    <x v="3"/>
    <n v="774.35"/>
    <n v="61173.65"/>
    <n v="61173.65"/>
    <n v="24662.289436235464"/>
    <x v="1"/>
    <n v="1.43"/>
    <b v="0"/>
    <d v="2023-10-29T00:00:00"/>
    <x v="0"/>
    <x v="1"/>
    <n v="50"/>
    <x v="2"/>
    <s v="Credit Card"/>
    <s v="Returned"/>
  </r>
  <r>
    <s v="TID_825"/>
    <x v="5"/>
    <x v="2"/>
    <x v="2"/>
    <x v="0"/>
    <x v="4"/>
    <x v="2"/>
    <n v="7"/>
    <n v="6"/>
    <n v="6"/>
    <n v="10"/>
    <n v="93"/>
    <x v="1"/>
    <n v="656.29"/>
    <n v="61034.97"/>
    <n v="54650.712138000003"/>
    <n v="18139.351574235465"/>
    <x v="1"/>
    <n v="10.46"/>
    <b v="1"/>
    <d v="2023-06-16T00:00:00"/>
    <x v="1"/>
    <x v="1"/>
    <n v="34"/>
    <x v="1"/>
    <s v="Debit Card"/>
    <s v="Not Returned"/>
  </r>
  <r>
    <s v="TID_1896"/>
    <x v="4"/>
    <x v="2"/>
    <x v="0"/>
    <x v="1"/>
    <x v="1"/>
    <x v="1"/>
    <n v="6"/>
    <n v="6"/>
    <n v="10"/>
    <n v="10"/>
    <n v="92"/>
    <x v="1"/>
    <n v="661.54"/>
    <n v="60861.68"/>
    <n v="60861.68"/>
    <n v="24350.319436235462"/>
    <x v="1"/>
    <n v="26.97"/>
    <b v="0"/>
    <d v="2024-07-18T00:00:00"/>
    <x v="3"/>
    <x v="0"/>
    <n v="49"/>
    <x v="0"/>
    <s v="Cash"/>
    <s v="Not Returned"/>
  </r>
  <r>
    <s v="TID_1246"/>
    <x v="5"/>
    <x v="2"/>
    <x v="3"/>
    <x v="0"/>
    <x v="3"/>
    <x v="1"/>
    <n v="7"/>
    <n v="6"/>
    <n v="6"/>
    <n v="10"/>
    <n v="54"/>
    <x v="4"/>
    <n v="1125.6600000000001"/>
    <n v="60785.64"/>
    <n v="60147.390780000002"/>
    <n v="23636.030216235464"/>
    <x v="1"/>
    <n v="1.05"/>
    <b v="1"/>
    <d v="2023-03-11T00:00:00"/>
    <x v="2"/>
    <x v="1"/>
    <n v="19"/>
    <x v="0"/>
    <s v="Cash"/>
    <s v="Returned"/>
  </r>
  <r>
    <s v="TID_905"/>
    <x v="4"/>
    <x v="2"/>
    <x v="3"/>
    <x v="0"/>
    <x v="3"/>
    <x v="3"/>
    <n v="6"/>
    <n v="6"/>
    <n v="6"/>
    <n v="9"/>
    <n v="57"/>
    <x v="4"/>
    <n v="1066.0999999999999"/>
    <n v="60767.7"/>
    <n v="56811.722730000001"/>
    <n v="20300.362166235464"/>
    <x v="0"/>
    <n v="6.51"/>
    <b v="1"/>
    <d v="2023-07-15T00:00:00"/>
    <x v="3"/>
    <x v="1"/>
    <n v="41"/>
    <x v="1"/>
    <s v="Credit Card"/>
    <s v="Returned"/>
  </r>
  <r>
    <s v="TID_324"/>
    <x v="9"/>
    <x v="4"/>
    <x v="2"/>
    <x v="0"/>
    <x v="2"/>
    <x v="1"/>
    <n v="6"/>
    <n v="13"/>
    <n v="6"/>
    <n v="10"/>
    <n v="93"/>
    <x v="1"/>
    <n v="652.47"/>
    <n v="60679.71"/>
    <n v="58343.541165000002"/>
    <n v="21832.180601235465"/>
    <x v="0"/>
    <n v="3.85"/>
    <b v="1"/>
    <d v="2024-06-01T00:00:00"/>
    <x v="1"/>
    <x v="0"/>
    <n v="52"/>
    <x v="1"/>
    <s v="Debit Card"/>
    <s v="Returned"/>
  </r>
  <r>
    <s v="TID_1051"/>
    <x v="2"/>
    <x v="1"/>
    <x v="2"/>
    <x v="2"/>
    <x v="0"/>
    <x v="1"/>
    <n v="3"/>
    <n v="13"/>
    <n v="10"/>
    <n v="10"/>
    <n v="86"/>
    <x v="2"/>
    <n v="705.46"/>
    <n v="60669.56"/>
    <n v="56653.235127999993"/>
    <n v="20141.874564235455"/>
    <x v="1"/>
    <n v="6.62"/>
    <b v="1"/>
    <d v="2023-12-14T00:00:00"/>
    <x v="0"/>
    <x v="1"/>
    <n v="60"/>
    <x v="2"/>
    <s v="Credit Card"/>
    <s v="Not Returned"/>
  </r>
  <r>
    <s v="TID_952"/>
    <x v="7"/>
    <x v="2"/>
    <x v="0"/>
    <x v="0"/>
    <x v="3"/>
    <x v="3"/>
    <n v="2"/>
    <n v="6"/>
    <n v="6"/>
    <n v="9"/>
    <n v="73"/>
    <x v="3"/>
    <n v="830.2"/>
    <n v="60604.6"/>
    <n v="60604.6"/>
    <n v="24093.239436235461"/>
    <x v="1"/>
    <n v="3.99"/>
    <b v="0"/>
    <d v="2023-01-27T00:00:00"/>
    <x v="2"/>
    <x v="1"/>
    <n v="69"/>
    <x v="2"/>
    <s v="Debit Card"/>
    <s v="Returned"/>
  </r>
  <r>
    <s v="TID_1445"/>
    <x v="9"/>
    <x v="4"/>
    <x v="2"/>
    <x v="1"/>
    <x v="2"/>
    <x v="1"/>
    <n v="6"/>
    <n v="13"/>
    <n v="10"/>
    <n v="10"/>
    <n v="89"/>
    <x v="2"/>
    <n v="680.25"/>
    <n v="60542.25"/>
    <n v="58326.40365"/>
    <n v="21815.043086235462"/>
    <x v="0"/>
    <n v="3.66"/>
    <b v="1"/>
    <d v="2024-10-03T00:00:00"/>
    <x v="0"/>
    <x v="0"/>
    <n v="40"/>
    <x v="0"/>
    <s v="Debit Card"/>
    <s v="Not Returned"/>
  </r>
  <r>
    <s v="TID_1731"/>
    <x v="1"/>
    <x v="0"/>
    <x v="2"/>
    <x v="2"/>
    <x v="3"/>
    <x v="1"/>
    <n v="5"/>
    <n v="4"/>
    <n v="10"/>
    <n v="10"/>
    <n v="86"/>
    <x v="2"/>
    <n v="703.82"/>
    <n v="60528.52"/>
    <n v="53361.943231999991"/>
    <n v="16850.582668235453"/>
    <x v="0"/>
    <n v="11.84"/>
    <b v="1"/>
    <d v="2024-03-17T00:00:00"/>
    <x v="2"/>
    <x v="0"/>
    <n v="42"/>
    <x v="0"/>
    <s v="Debit Card"/>
    <s v="Returned"/>
  </r>
  <r>
    <s v="TID_1155"/>
    <x v="3"/>
    <x v="0"/>
    <x v="1"/>
    <x v="1"/>
    <x v="4"/>
    <x v="2"/>
    <n v="5"/>
    <n v="4"/>
    <n v="10"/>
    <n v="10"/>
    <n v="65"/>
    <x v="3"/>
    <n v="931.18"/>
    <n v="60526.7"/>
    <n v="60526.7"/>
    <n v="24015.339436235459"/>
    <x v="1"/>
    <n v="24.53"/>
    <b v="0"/>
    <d v="2023-10-17T00:00:00"/>
    <x v="0"/>
    <x v="1"/>
    <n v="29"/>
    <x v="0"/>
    <s v="Online Payment"/>
    <s v="Not Returned"/>
  </r>
  <r>
    <s v="TID_1490"/>
    <x v="1"/>
    <x v="0"/>
    <x v="0"/>
    <x v="0"/>
    <x v="4"/>
    <x v="3"/>
    <n v="5"/>
    <n v="4"/>
    <n v="6"/>
    <n v="9"/>
    <n v="79"/>
    <x v="3"/>
    <n v="765.62"/>
    <n v="60483.98"/>
    <n v="60483.98"/>
    <n v="23972.619436235465"/>
    <x v="1"/>
    <n v="7.39"/>
    <b v="0"/>
    <d v="2023-09-07T00:00:00"/>
    <x v="3"/>
    <x v="1"/>
    <n v="56"/>
    <x v="0"/>
    <s v="Cash"/>
    <s v="Returned"/>
  </r>
  <r>
    <s v="TID_1200"/>
    <x v="4"/>
    <x v="2"/>
    <x v="3"/>
    <x v="2"/>
    <x v="2"/>
    <x v="2"/>
    <n v="6"/>
    <n v="6"/>
    <n v="10"/>
    <n v="10"/>
    <n v="64"/>
    <x v="3"/>
    <n v="944.38"/>
    <n v="60440.32"/>
    <n v="60440.32"/>
    <n v="23928.959436235462"/>
    <x v="1"/>
    <n v="20.57"/>
    <b v="0"/>
    <d v="2023-03-22T00:00:00"/>
    <x v="2"/>
    <x v="1"/>
    <n v="25"/>
    <x v="2"/>
    <s v="Cash"/>
    <s v="Returned"/>
  </r>
  <r>
    <s v="TID_1795"/>
    <x v="6"/>
    <x v="1"/>
    <x v="0"/>
    <x v="2"/>
    <x v="1"/>
    <x v="1"/>
    <n v="6"/>
    <n v="13"/>
    <n v="10"/>
    <n v="10"/>
    <n v="95"/>
    <x v="1"/>
    <n v="636.12"/>
    <n v="60431.4"/>
    <n v="60431.4"/>
    <n v="23920.039436235464"/>
    <x v="0"/>
    <n v="20.9"/>
    <b v="0"/>
    <d v="2023-04-23T00:00:00"/>
    <x v="1"/>
    <x v="1"/>
    <n v="48"/>
    <x v="0"/>
    <s v="Debit Card"/>
    <s v="Returned"/>
  </r>
  <r>
    <s v="TID_547"/>
    <x v="9"/>
    <x v="4"/>
    <x v="2"/>
    <x v="1"/>
    <x v="1"/>
    <x v="3"/>
    <n v="6"/>
    <n v="13"/>
    <n v="10"/>
    <n v="9"/>
    <n v="63"/>
    <x v="3"/>
    <n v="957.95"/>
    <n v="60350.85"/>
    <n v="60350.85"/>
    <n v="23839.489436235461"/>
    <x v="1"/>
    <n v="2.83"/>
    <b v="0"/>
    <d v="2023-10-24T00:00:00"/>
    <x v="0"/>
    <x v="1"/>
    <n v="51"/>
    <x v="2"/>
    <s v="Credit Card"/>
    <s v="Returned"/>
  </r>
  <r>
    <s v="TID_1686"/>
    <x v="4"/>
    <x v="2"/>
    <x v="0"/>
    <x v="1"/>
    <x v="4"/>
    <x v="1"/>
    <n v="6"/>
    <n v="6"/>
    <n v="10"/>
    <n v="10"/>
    <n v="41"/>
    <x v="5"/>
    <n v="1471.6"/>
    <n v="60335.6"/>
    <n v="60335.6"/>
    <n v="23824.239436235461"/>
    <x v="0"/>
    <n v="7.68"/>
    <b v="0"/>
    <d v="2023-07-10T00:00:00"/>
    <x v="3"/>
    <x v="1"/>
    <n v="36"/>
    <x v="0"/>
    <s v="Credit Card"/>
    <s v="Not Returned"/>
  </r>
  <r>
    <s v="TID_1282"/>
    <x v="1"/>
    <x v="0"/>
    <x v="1"/>
    <x v="0"/>
    <x v="0"/>
    <x v="3"/>
    <n v="5"/>
    <n v="4"/>
    <n v="6"/>
    <n v="9"/>
    <n v="75"/>
    <x v="3"/>
    <n v="803.52"/>
    <n v="60264"/>
    <n v="60264"/>
    <n v="23752.639436235462"/>
    <x v="0"/>
    <n v="15.15"/>
    <b v="0"/>
    <d v="2023-02-28T00:00:00"/>
    <x v="2"/>
    <x v="1"/>
    <n v="44"/>
    <x v="2"/>
    <s v="Debit Card"/>
    <s v="Not Returned"/>
  </r>
  <r>
    <s v="TID_670"/>
    <x v="9"/>
    <x v="4"/>
    <x v="3"/>
    <x v="1"/>
    <x v="3"/>
    <x v="3"/>
    <n v="6"/>
    <n v="13"/>
    <n v="10"/>
    <n v="9"/>
    <n v="52"/>
    <x v="4"/>
    <n v="1157.8499999999999"/>
    <n v="60208.2"/>
    <n v="60208.2"/>
    <n v="23696.839436235459"/>
    <x v="0"/>
    <n v="21.19"/>
    <b v="0"/>
    <d v="2023-12-09T00:00:00"/>
    <x v="0"/>
    <x v="1"/>
    <n v="47"/>
    <x v="1"/>
    <s v="Cash"/>
    <s v="Not Returned"/>
  </r>
  <r>
    <s v="TID_1186"/>
    <x v="9"/>
    <x v="4"/>
    <x v="0"/>
    <x v="1"/>
    <x v="2"/>
    <x v="0"/>
    <n v="6"/>
    <n v="13"/>
    <n v="10"/>
    <n v="10"/>
    <n v="57"/>
    <x v="4"/>
    <n v="1050.07"/>
    <n v="59853.99"/>
    <n v="59602.603241999997"/>
    <n v="23091.24267823546"/>
    <x v="1"/>
    <n v="0.42"/>
    <b v="1"/>
    <d v="2024-10-30T00:00:00"/>
    <x v="0"/>
    <x v="0"/>
    <n v="22"/>
    <x v="2"/>
    <s v="Debit Card"/>
    <s v="Not Returned"/>
  </r>
  <r>
    <s v="TID_433"/>
    <x v="9"/>
    <x v="4"/>
    <x v="1"/>
    <x v="2"/>
    <x v="2"/>
    <x v="1"/>
    <n v="6"/>
    <n v="13"/>
    <n v="10"/>
    <n v="10"/>
    <n v="50"/>
    <x v="5"/>
    <n v="1196.73"/>
    <n v="59836.5"/>
    <n v="59836.5"/>
    <n v="23325.139436235462"/>
    <x v="1"/>
    <n v="23.47"/>
    <b v="0"/>
    <d v="2024-04-10T00:00:00"/>
    <x v="1"/>
    <x v="0"/>
    <n v="41"/>
    <x v="1"/>
    <s v="Cash"/>
    <s v="Returned"/>
  </r>
  <r>
    <s v="TID_1713"/>
    <x v="7"/>
    <x v="2"/>
    <x v="3"/>
    <x v="1"/>
    <x v="3"/>
    <x v="1"/>
    <n v="2"/>
    <n v="6"/>
    <n v="10"/>
    <n v="10"/>
    <n v="54"/>
    <x v="4"/>
    <n v="1107.67"/>
    <n v="59814.18"/>
    <n v="59814.18"/>
    <n v="23302.819436235462"/>
    <x v="1"/>
    <n v="7.6"/>
    <b v="0"/>
    <d v="2023-10-26T00:00:00"/>
    <x v="0"/>
    <x v="1"/>
    <n v="22"/>
    <x v="2"/>
    <s v="Online Payment"/>
    <s v="Not Returned"/>
  </r>
  <r>
    <s v="TID_1854"/>
    <x v="8"/>
    <x v="3"/>
    <x v="2"/>
    <x v="1"/>
    <x v="2"/>
    <x v="0"/>
    <n v="9"/>
    <n v="7"/>
    <n v="10"/>
    <n v="10"/>
    <n v="75"/>
    <x v="3"/>
    <n v="796.87"/>
    <n v="59765.25"/>
    <n v="50543.471924999998"/>
    <n v="14032.11136123546"/>
    <x v="1"/>
    <n v="15.43"/>
    <b v="1"/>
    <d v="2024-06-03T00:00:00"/>
    <x v="1"/>
    <x v="0"/>
    <n v="28"/>
    <x v="2"/>
    <s v="Credit Card"/>
    <s v="Returned"/>
  </r>
  <r>
    <s v="TID_1209"/>
    <x v="0"/>
    <x v="0"/>
    <x v="0"/>
    <x v="0"/>
    <x v="3"/>
    <x v="2"/>
    <n v="5"/>
    <n v="4"/>
    <n v="6"/>
    <n v="10"/>
    <n v="76"/>
    <x v="3"/>
    <n v="786.07"/>
    <n v="59741.32"/>
    <n v="57357.641331999999"/>
    <n v="20846.280768235461"/>
    <x v="0"/>
    <n v="3.99"/>
    <b v="1"/>
    <d v="2024-09-02T00:00:00"/>
    <x v="3"/>
    <x v="0"/>
    <n v="59"/>
    <x v="2"/>
    <s v="Online Payment"/>
    <s v="Not Returned"/>
  </r>
  <r>
    <s v="TID_1803"/>
    <x v="8"/>
    <x v="3"/>
    <x v="0"/>
    <x v="0"/>
    <x v="0"/>
    <x v="1"/>
    <n v="9"/>
    <n v="7"/>
    <n v="6"/>
    <n v="10"/>
    <n v="90"/>
    <x v="2"/>
    <n v="663.46"/>
    <n v="59711.4"/>
    <n v="45500.086800000005"/>
    <n v="8988.7262362354668"/>
    <x v="1"/>
    <n v="23.8"/>
    <b v="1"/>
    <d v="2023-11-02T00:00:00"/>
    <x v="0"/>
    <x v="1"/>
    <n v="25"/>
    <x v="0"/>
    <s v="Credit Card"/>
    <s v="Returned"/>
  </r>
  <r>
    <s v="TID_1729"/>
    <x v="0"/>
    <x v="0"/>
    <x v="1"/>
    <x v="2"/>
    <x v="3"/>
    <x v="1"/>
    <n v="5"/>
    <n v="4"/>
    <n v="10"/>
    <n v="10"/>
    <n v="96"/>
    <x v="0"/>
    <n v="621.28"/>
    <n v="59642.879999999997"/>
    <n v="50290.876415999992"/>
    <n v="13779.515852235454"/>
    <x v="0"/>
    <n v="15.68"/>
    <b v="1"/>
    <d v="2023-04-22T00:00:00"/>
    <x v="1"/>
    <x v="1"/>
    <n v="37"/>
    <x v="1"/>
    <s v="Cash"/>
    <s v="Not Returned"/>
  </r>
  <r>
    <s v="TID_1149"/>
    <x v="2"/>
    <x v="1"/>
    <x v="2"/>
    <x v="2"/>
    <x v="0"/>
    <x v="3"/>
    <n v="3"/>
    <n v="13"/>
    <n v="10"/>
    <n v="9"/>
    <n v="49"/>
    <x v="5"/>
    <n v="1215.27"/>
    <n v="59548.23"/>
    <n v="54385.398459000004"/>
    <n v="17874.037895235466"/>
    <x v="0"/>
    <n v="8.67"/>
    <b v="1"/>
    <d v="2023-07-08T00:00:00"/>
    <x v="3"/>
    <x v="1"/>
    <n v="68"/>
    <x v="1"/>
    <s v="Online Payment"/>
    <s v="Not Returned"/>
  </r>
  <r>
    <s v="TID_66"/>
    <x v="9"/>
    <x v="4"/>
    <x v="1"/>
    <x v="0"/>
    <x v="0"/>
    <x v="0"/>
    <n v="6"/>
    <n v="13"/>
    <n v="6"/>
    <n v="10"/>
    <n v="75"/>
    <x v="3"/>
    <n v="793.25"/>
    <n v="59493.75"/>
    <n v="55959.821250000001"/>
    <n v="19448.460686235463"/>
    <x v="0"/>
    <n v="5.94"/>
    <b v="1"/>
    <d v="2024-02-01T00:00:00"/>
    <x v="2"/>
    <x v="0"/>
    <n v="62"/>
    <x v="2"/>
    <s v="Cash"/>
    <s v="Not Returned"/>
  </r>
  <r>
    <s v="TID_177"/>
    <x v="2"/>
    <x v="1"/>
    <x v="0"/>
    <x v="1"/>
    <x v="0"/>
    <x v="0"/>
    <n v="3"/>
    <n v="13"/>
    <n v="10"/>
    <n v="10"/>
    <n v="69"/>
    <x v="3"/>
    <n v="861.79"/>
    <n v="59463.51"/>
    <n v="59463.51"/>
    <n v="22952.149436235464"/>
    <x v="0"/>
    <n v="14.07"/>
    <b v="0"/>
    <d v="2023-06-28T00:00:00"/>
    <x v="1"/>
    <x v="1"/>
    <n v="28"/>
    <x v="0"/>
    <s v="Credit Card"/>
    <s v="Not Returned"/>
  </r>
  <r>
    <s v="TID_893"/>
    <x v="2"/>
    <x v="1"/>
    <x v="1"/>
    <x v="1"/>
    <x v="2"/>
    <x v="0"/>
    <n v="3"/>
    <n v="13"/>
    <n v="10"/>
    <n v="10"/>
    <n v="61"/>
    <x v="3"/>
    <n v="974.67"/>
    <n v="59454.87"/>
    <n v="56208.634098000002"/>
    <n v="19697.273534235464"/>
    <x v="0"/>
    <n v="5.46"/>
    <b v="1"/>
    <d v="2024-03-04T00:00:00"/>
    <x v="2"/>
    <x v="0"/>
    <n v="55"/>
    <x v="1"/>
    <s v="Credit Card"/>
    <s v="Not Returned"/>
  </r>
  <r>
    <s v="TID_23"/>
    <x v="9"/>
    <x v="4"/>
    <x v="1"/>
    <x v="0"/>
    <x v="3"/>
    <x v="0"/>
    <n v="6"/>
    <n v="13"/>
    <n v="6"/>
    <n v="10"/>
    <n v="92"/>
    <x v="1"/>
    <n v="646.16999999999996"/>
    <n v="59447.64"/>
    <n v="59447.64"/>
    <n v="22936.279436235462"/>
    <x v="0"/>
    <n v="20.22"/>
    <b v="0"/>
    <d v="2024-09-03T00:00:00"/>
    <x v="3"/>
    <x v="0"/>
    <n v="48"/>
    <x v="0"/>
    <s v="Debit Card"/>
    <s v="Returned"/>
  </r>
  <r>
    <s v="TID_1890"/>
    <x v="1"/>
    <x v="0"/>
    <x v="2"/>
    <x v="1"/>
    <x v="1"/>
    <x v="0"/>
    <n v="5"/>
    <n v="4"/>
    <n v="10"/>
    <n v="10"/>
    <n v="42"/>
    <x v="5"/>
    <n v="1415.37"/>
    <n v="59445.54"/>
    <n v="58048.569810000001"/>
    <n v="21537.209246235463"/>
    <x v="0"/>
    <n v="2.35"/>
    <b v="1"/>
    <d v="2024-07-23T00:00:00"/>
    <x v="3"/>
    <x v="0"/>
    <n v="62"/>
    <x v="0"/>
    <s v="Online Payment"/>
    <s v="Returned"/>
  </r>
  <r>
    <s v="TID_202"/>
    <x v="2"/>
    <x v="1"/>
    <x v="1"/>
    <x v="1"/>
    <x v="2"/>
    <x v="3"/>
    <n v="3"/>
    <n v="13"/>
    <n v="10"/>
    <n v="9"/>
    <n v="54"/>
    <x v="4"/>
    <n v="1098.27"/>
    <n v="59306.58"/>
    <n v="53672.454900000004"/>
    <n v="17161.094336235466"/>
    <x v="1"/>
    <n v="9.5"/>
    <b v="1"/>
    <d v="2023-07-18T00:00:00"/>
    <x v="3"/>
    <x v="1"/>
    <n v="31"/>
    <x v="0"/>
    <s v="Online Payment"/>
    <s v="Not Returned"/>
  </r>
  <r>
    <s v="TID_46"/>
    <x v="4"/>
    <x v="2"/>
    <x v="1"/>
    <x v="1"/>
    <x v="0"/>
    <x v="0"/>
    <n v="6"/>
    <n v="6"/>
    <n v="10"/>
    <n v="10"/>
    <n v="67"/>
    <x v="3"/>
    <n v="883.52"/>
    <n v="59195.839999999997"/>
    <n v="59195.839999999997"/>
    <n v="22684.479436235459"/>
    <x v="0"/>
    <n v="16"/>
    <b v="0"/>
    <d v="2023-02-15T00:00:00"/>
    <x v="2"/>
    <x v="1"/>
    <n v="23"/>
    <x v="0"/>
    <s v="Cash"/>
    <s v="Returned"/>
  </r>
  <r>
    <s v="TID_1021"/>
    <x v="4"/>
    <x v="2"/>
    <x v="2"/>
    <x v="1"/>
    <x v="0"/>
    <x v="0"/>
    <n v="6"/>
    <n v="6"/>
    <n v="10"/>
    <n v="10"/>
    <n v="49"/>
    <x v="5"/>
    <n v="1207.5"/>
    <n v="59167.5"/>
    <n v="59167.5"/>
    <n v="22656.139436235462"/>
    <x v="0"/>
    <n v="6.35"/>
    <b v="0"/>
    <d v="2024-09-10T00:00:00"/>
    <x v="3"/>
    <x v="0"/>
    <n v="39"/>
    <x v="0"/>
    <s v="Online Payment"/>
    <s v="Not Returned"/>
  </r>
  <r>
    <s v="TID_152"/>
    <x v="3"/>
    <x v="0"/>
    <x v="0"/>
    <x v="2"/>
    <x v="1"/>
    <x v="3"/>
    <n v="5"/>
    <n v="4"/>
    <n v="10"/>
    <n v="9"/>
    <n v="42"/>
    <x v="5"/>
    <n v="1406.93"/>
    <n v="59091.06"/>
    <n v="51161.039747999996"/>
    <n v="14649.679184235458"/>
    <x v="0"/>
    <n v="13.42"/>
    <b v="1"/>
    <d v="2024-03-19T00:00:00"/>
    <x v="2"/>
    <x v="0"/>
    <n v="27"/>
    <x v="1"/>
    <s v="Credit Card"/>
    <s v="Not Returned"/>
  </r>
  <r>
    <s v="TID_182"/>
    <x v="4"/>
    <x v="2"/>
    <x v="0"/>
    <x v="1"/>
    <x v="0"/>
    <x v="0"/>
    <n v="6"/>
    <n v="6"/>
    <n v="10"/>
    <n v="10"/>
    <n v="55"/>
    <x v="4"/>
    <n v="1072.69"/>
    <n v="58997.95"/>
    <n v="57056.917444999992"/>
    <n v="20545.556881235454"/>
    <x v="1"/>
    <n v="3.29"/>
    <b v="1"/>
    <d v="2023-07-21T00:00:00"/>
    <x v="3"/>
    <x v="1"/>
    <n v="69"/>
    <x v="0"/>
    <s v="Online Payment"/>
    <s v="Not Returned"/>
  </r>
  <r>
    <s v="TID_1496"/>
    <x v="3"/>
    <x v="0"/>
    <x v="0"/>
    <x v="0"/>
    <x v="1"/>
    <x v="0"/>
    <n v="5"/>
    <n v="4"/>
    <n v="6"/>
    <n v="10"/>
    <n v="69"/>
    <x v="3"/>
    <n v="854.76"/>
    <n v="58978.44"/>
    <n v="58978.44"/>
    <n v="22467.079436235465"/>
    <x v="0"/>
    <n v="25.09"/>
    <b v="0"/>
    <d v="2023-07-05T00:00:00"/>
    <x v="3"/>
    <x v="1"/>
    <n v="63"/>
    <x v="1"/>
    <s v="Debit Card"/>
    <s v="Not Returned"/>
  </r>
  <r>
    <s v="TID_705"/>
    <x v="6"/>
    <x v="1"/>
    <x v="3"/>
    <x v="0"/>
    <x v="4"/>
    <x v="2"/>
    <n v="6"/>
    <n v="13"/>
    <n v="6"/>
    <n v="10"/>
    <n v="49"/>
    <x v="5"/>
    <n v="1201.07"/>
    <n v="58852.43"/>
    <n v="55921.578986"/>
    <n v="19410.218422235463"/>
    <x v="0"/>
    <n v="4.9800000000000004"/>
    <b v="1"/>
    <d v="2023-03-19T00:00:00"/>
    <x v="2"/>
    <x v="1"/>
    <n v="53"/>
    <x v="0"/>
    <s v="Online Payment"/>
    <s v="Not Returned"/>
  </r>
  <r>
    <s v="TID_91"/>
    <x v="7"/>
    <x v="2"/>
    <x v="2"/>
    <x v="2"/>
    <x v="0"/>
    <x v="1"/>
    <n v="2"/>
    <n v="6"/>
    <n v="10"/>
    <n v="10"/>
    <n v="48"/>
    <x v="5"/>
    <n v="1226.08"/>
    <n v="58851.839999999997"/>
    <n v="54061.300223999999"/>
    <n v="17549.939660235461"/>
    <x v="0"/>
    <n v="8.14"/>
    <b v="1"/>
    <d v="2023-03-28T00:00:00"/>
    <x v="2"/>
    <x v="1"/>
    <n v="37"/>
    <x v="2"/>
    <s v="Online Payment"/>
    <s v="Not Returned"/>
  </r>
  <r>
    <s v="TID_1289"/>
    <x v="8"/>
    <x v="3"/>
    <x v="0"/>
    <x v="0"/>
    <x v="4"/>
    <x v="3"/>
    <n v="9"/>
    <n v="7"/>
    <n v="6"/>
    <n v="9"/>
    <n v="42"/>
    <x v="5"/>
    <n v="1399.27"/>
    <n v="58769.34"/>
    <n v="58769.34"/>
    <n v="22257.979436235459"/>
    <x v="0"/>
    <n v="10.28"/>
    <b v="0"/>
    <d v="2024-02-03T00:00:00"/>
    <x v="2"/>
    <x v="0"/>
    <n v="64"/>
    <x v="2"/>
    <s v="Debit Card"/>
    <s v="Not Returned"/>
  </r>
  <r>
    <s v="TID_1078"/>
    <x v="3"/>
    <x v="0"/>
    <x v="3"/>
    <x v="2"/>
    <x v="2"/>
    <x v="2"/>
    <n v="5"/>
    <n v="4"/>
    <n v="10"/>
    <n v="10"/>
    <n v="64"/>
    <x v="3"/>
    <n v="917.92"/>
    <n v="58746.879999999997"/>
    <n v="58746.879999999997"/>
    <n v="22235.51943623546"/>
    <x v="0"/>
    <n v="13.72"/>
    <b v="0"/>
    <d v="2023-12-12T00:00:00"/>
    <x v="0"/>
    <x v="1"/>
    <n v="18"/>
    <x v="1"/>
    <s v="Online Payment"/>
    <s v="Returned"/>
  </r>
  <r>
    <s v="TID_1188"/>
    <x v="6"/>
    <x v="1"/>
    <x v="1"/>
    <x v="0"/>
    <x v="0"/>
    <x v="3"/>
    <n v="6"/>
    <n v="13"/>
    <n v="6"/>
    <n v="9"/>
    <n v="68"/>
    <x v="3"/>
    <n v="860.82"/>
    <n v="58535.76"/>
    <n v="58535.76"/>
    <n v="22024.399436235464"/>
    <x v="0"/>
    <n v="6.8"/>
    <b v="0"/>
    <d v="2024-03-24T00:00:00"/>
    <x v="2"/>
    <x v="0"/>
    <n v="28"/>
    <x v="1"/>
    <s v="Online Payment"/>
    <s v="Returned"/>
  </r>
  <r>
    <s v="TID_404"/>
    <x v="4"/>
    <x v="2"/>
    <x v="1"/>
    <x v="2"/>
    <x v="3"/>
    <x v="3"/>
    <n v="6"/>
    <n v="6"/>
    <n v="10"/>
    <n v="9"/>
    <n v="48"/>
    <x v="5"/>
    <n v="1216.24"/>
    <n v="58379.519999999997"/>
    <n v="58379.519999999997"/>
    <n v="21868.159436235459"/>
    <x v="1"/>
    <n v="10.15"/>
    <b v="0"/>
    <d v="2023-09-17T00:00:00"/>
    <x v="3"/>
    <x v="1"/>
    <n v="63"/>
    <x v="2"/>
    <s v="Credit Card"/>
    <s v="Returned"/>
  </r>
  <r>
    <s v="TID_1107"/>
    <x v="2"/>
    <x v="1"/>
    <x v="3"/>
    <x v="1"/>
    <x v="0"/>
    <x v="1"/>
    <n v="3"/>
    <n v="13"/>
    <n v="10"/>
    <n v="10"/>
    <n v="75"/>
    <x v="3"/>
    <n v="778.3"/>
    <n v="58372.5"/>
    <n v="55611.480750000002"/>
    <n v="19100.120186235465"/>
    <x v="1"/>
    <n v="4.7300000000000004"/>
    <b v="1"/>
    <d v="2023-12-08T00:00:00"/>
    <x v="0"/>
    <x v="1"/>
    <n v="65"/>
    <x v="2"/>
    <s v="Debit Card"/>
    <s v="Not Returned"/>
  </r>
  <r>
    <s v="TID_1305"/>
    <x v="9"/>
    <x v="4"/>
    <x v="3"/>
    <x v="1"/>
    <x v="1"/>
    <x v="0"/>
    <n v="6"/>
    <n v="13"/>
    <n v="10"/>
    <n v="10"/>
    <n v="87"/>
    <x v="2"/>
    <n v="670.76"/>
    <n v="58356.12"/>
    <n v="58356.12"/>
    <n v="21844.759436235465"/>
    <x v="0"/>
    <n v="25.72"/>
    <b v="0"/>
    <d v="2023-08-10T00:00:00"/>
    <x v="3"/>
    <x v="1"/>
    <n v="22"/>
    <x v="1"/>
    <s v="Credit Card"/>
    <s v="Returned"/>
  </r>
  <r>
    <s v="TID_1177"/>
    <x v="0"/>
    <x v="0"/>
    <x v="2"/>
    <x v="2"/>
    <x v="0"/>
    <x v="1"/>
    <n v="5"/>
    <n v="4"/>
    <n v="10"/>
    <n v="10"/>
    <n v="61"/>
    <x v="3"/>
    <n v="956.17"/>
    <n v="58326.37"/>
    <n v="46859.405658000003"/>
    <n v="10348.045094235466"/>
    <x v="1"/>
    <n v="19.66"/>
    <b v="1"/>
    <d v="2023-10-27T00:00:00"/>
    <x v="0"/>
    <x v="1"/>
    <n v="62"/>
    <x v="0"/>
    <s v="Online Payment"/>
    <s v="Not Returned"/>
  </r>
  <r>
    <s v="TID_1949"/>
    <x v="4"/>
    <x v="2"/>
    <x v="1"/>
    <x v="2"/>
    <x v="0"/>
    <x v="0"/>
    <n v="6"/>
    <n v="6"/>
    <n v="10"/>
    <n v="10"/>
    <n v="47"/>
    <x v="5"/>
    <n v="1239.72"/>
    <n v="58266.84"/>
    <n v="58266.84"/>
    <n v="21755.479436235459"/>
    <x v="1"/>
    <n v="8.1999999999999993"/>
    <b v="0"/>
    <d v="2023-11-13T00:00:00"/>
    <x v="0"/>
    <x v="1"/>
    <n v="62"/>
    <x v="2"/>
    <s v="Debit Card"/>
    <s v="Not Returned"/>
  </r>
  <r>
    <s v="TID_147"/>
    <x v="0"/>
    <x v="0"/>
    <x v="3"/>
    <x v="0"/>
    <x v="3"/>
    <x v="2"/>
    <n v="5"/>
    <n v="4"/>
    <n v="6"/>
    <n v="10"/>
    <n v="43"/>
    <x v="5"/>
    <n v="1351.95"/>
    <n v="58133.85"/>
    <n v="58133.85"/>
    <n v="21622.489436235461"/>
    <x v="1"/>
    <n v="14.22"/>
    <b v="0"/>
    <d v="2024-09-11T00:00:00"/>
    <x v="3"/>
    <x v="0"/>
    <n v="45"/>
    <x v="1"/>
    <s v="Cash"/>
    <s v="Returned"/>
  </r>
  <r>
    <s v="TID_36"/>
    <x v="4"/>
    <x v="2"/>
    <x v="3"/>
    <x v="2"/>
    <x v="4"/>
    <x v="2"/>
    <n v="6"/>
    <n v="6"/>
    <n v="10"/>
    <n v="10"/>
    <n v="46"/>
    <x v="5"/>
    <n v="1263"/>
    <n v="58098"/>
    <n v="44927.183400000002"/>
    <n v="8415.8228362354639"/>
    <x v="0"/>
    <n v="22.67"/>
    <b v="1"/>
    <d v="2024-07-28T00:00:00"/>
    <x v="3"/>
    <x v="0"/>
    <n v="43"/>
    <x v="0"/>
    <s v="Cash"/>
    <s v="Not Returned"/>
  </r>
  <r>
    <s v="TID_1339"/>
    <x v="9"/>
    <x v="4"/>
    <x v="3"/>
    <x v="2"/>
    <x v="3"/>
    <x v="2"/>
    <n v="6"/>
    <n v="13"/>
    <n v="10"/>
    <n v="10"/>
    <n v="58"/>
    <x v="4"/>
    <n v="1001.36"/>
    <n v="58078.879999999997"/>
    <n v="58078.879999999997"/>
    <n v="21567.51943623546"/>
    <x v="1"/>
    <n v="22.27"/>
    <b v="0"/>
    <d v="2024-06-13T00:00:00"/>
    <x v="1"/>
    <x v="0"/>
    <n v="23"/>
    <x v="1"/>
    <s v="Credit Card"/>
    <s v="Returned"/>
  </r>
  <r>
    <s v="TID_827"/>
    <x v="6"/>
    <x v="1"/>
    <x v="2"/>
    <x v="1"/>
    <x v="2"/>
    <x v="2"/>
    <n v="6"/>
    <n v="13"/>
    <n v="10"/>
    <n v="10"/>
    <n v="68"/>
    <x v="3"/>
    <n v="852.56"/>
    <n v="57974.080000000002"/>
    <n v="57974.080000000002"/>
    <n v="21462.719436235464"/>
    <x v="0"/>
    <n v="20"/>
    <b v="0"/>
    <d v="2024-07-19T00:00:00"/>
    <x v="3"/>
    <x v="0"/>
    <n v="58"/>
    <x v="0"/>
    <s v="Debit Card"/>
    <s v="Returned"/>
  </r>
  <r>
    <s v="TID_305"/>
    <x v="7"/>
    <x v="2"/>
    <x v="2"/>
    <x v="1"/>
    <x v="4"/>
    <x v="0"/>
    <n v="2"/>
    <n v="6"/>
    <n v="10"/>
    <n v="10"/>
    <n v="56"/>
    <x v="4"/>
    <n v="1034.78"/>
    <n v="57947.68"/>
    <n v="57947.68"/>
    <n v="21436.319436235462"/>
    <x v="0"/>
    <n v="12.48"/>
    <b v="0"/>
    <d v="2023-11-06T00:00:00"/>
    <x v="0"/>
    <x v="1"/>
    <n v="23"/>
    <x v="1"/>
    <s v="Credit Card"/>
    <s v="Not Returned"/>
  </r>
  <r>
    <s v="TID_1172"/>
    <x v="3"/>
    <x v="0"/>
    <x v="3"/>
    <x v="1"/>
    <x v="1"/>
    <x v="0"/>
    <n v="5"/>
    <n v="4"/>
    <n v="10"/>
    <n v="10"/>
    <n v="73"/>
    <x v="3"/>
    <n v="793.24"/>
    <n v="57906.52"/>
    <n v="44385.347579999994"/>
    <n v="7873.9870162354564"/>
    <x v="1"/>
    <n v="23.35"/>
    <b v="1"/>
    <d v="2023-12-06T00:00:00"/>
    <x v="0"/>
    <x v="1"/>
    <n v="36"/>
    <x v="0"/>
    <s v="Debit Card"/>
    <s v="Not Returned"/>
  </r>
  <r>
    <s v="TID_1154"/>
    <x v="7"/>
    <x v="2"/>
    <x v="2"/>
    <x v="0"/>
    <x v="4"/>
    <x v="2"/>
    <n v="2"/>
    <n v="6"/>
    <n v="6"/>
    <n v="10"/>
    <n v="56"/>
    <x v="4"/>
    <n v="1033.71"/>
    <n v="57887.76"/>
    <n v="57887.76"/>
    <n v="21376.399436235464"/>
    <x v="0"/>
    <n v="28.53"/>
    <b v="0"/>
    <d v="2023-08-04T00:00:00"/>
    <x v="3"/>
    <x v="1"/>
    <n v="40"/>
    <x v="2"/>
    <s v="Credit Card"/>
    <s v="Returned"/>
  </r>
  <r>
    <s v="TID_510"/>
    <x v="0"/>
    <x v="0"/>
    <x v="0"/>
    <x v="1"/>
    <x v="0"/>
    <x v="2"/>
    <n v="5"/>
    <n v="4"/>
    <n v="10"/>
    <n v="10"/>
    <n v="54"/>
    <x v="4"/>
    <n v="1071.18"/>
    <n v="57843.72"/>
    <n v="52192.388555999998"/>
    <n v="15681.02799223546"/>
    <x v="0"/>
    <n v="9.77"/>
    <b v="1"/>
    <d v="2024-08-13T00:00:00"/>
    <x v="3"/>
    <x v="0"/>
    <n v="41"/>
    <x v="2"/>
    <s v="Credit Card"/>
    <s v="Returned"/>
  </r>
  <r>
    <s v="TID_224"/>
    <x v="6"/>
    <x v="1"/>
    <x v="2"/>
    <x v="2"/>
    <x v="2"/>
    <x v="0"/>
    <n v="6"/>
    <n v="13"/>
    <n v="10"/>
    <n v="10"/>
    <n v="81"/>
    <x v="2"/>
    <n v="712.56"/>
    <n v="57717.36"/>
    <n v="45919.931616000002"/>
    <n v="9408.5710522354639"/>
    <x v="1"/>
    <n v="20.440000000000001"/>
    <b v="1"/>
    <d v="2023-01-14T00:00:00"/>
    <x v="2"/>
    <x v="1"/>
    <n v="46"/>
    <x v="2"/>
    <s v="Credit Card"/>
    <s v="Not Returned"/>
  </r>
  <r>
    <s v="TID_1472"/>
    <x v="3"/>
    <x v="0"/>
    <x v="0"/>
    <x v="1"/>
    <x v="0"/>
    <x v="3"/>
    <n v="5"/>
    <n v="4"/>
    <n v="10"/>
    <n v="9"/>
    <n v="60"/>
    <x v="4"/>
    <n v="958.4"/>
    <n v="57504"/>
    <n v="57504"/>
    <n v="20992.639436235462"/>
    <x v="1"/>
    <n v="7.98"/>
    <b v="0"/>
    <d v="2024-07-27T00:00:00"/>
    <x v="3"/>
    <x v="0"/>
    <n v="69"/>
    <x v="0"/>
    <s v="Cash"/>
    <s v="Not Returned"/>
  </r>
  <r>
    <s v="TID_643"/>
    <x v="2"/>
    <x v="1"/>
    <x v="1"/>
    <x v="1"/>
    <x v="1"/>
    <x v="3"/>
    <n v="3"/>
    <n v="13"/>
    <n v="10"/>
    <n v="9"/>
    <n v="51"/>
    <x v="4"/>
    <n v="1127.2"/>
    <n v="57487.199999999997"/>
    <n v="57487.199999999997"/>
    <n v="20975.839436235459"/>
    <x v="1"/>
    <n v="14.99"/>
    <b v="0"/>
    <d v="2023-02-18T00:00:00"/>
    <x v="2"/>
    <x v="1"/>
    <n v="59"/>
    <x v="2"/>
    <s v="Debit Card"/>
    <s v="Returned"/>
  </r>
  <r>
    <s v="TID_847"/>
    <x v="4"/>
    <x v="2"/>
    <x v="0"/>
    <x v="1"/>
    <x v="3"/>
    <x v="0"/>
    <n v="6"/>
    <n v="6"/>
    <n v="10"/>
    <n v="10"/>
    <n v="41"/>
    <x v="5"/>
    <n v="1400.12"/>
    <n v="57404.92"/>
    <n v="44781.578091999996"/>
    <n v="8270.2175282354583"/>
    <x v="0"/>
    <n v="21.99"/>
    <b v="1"/>
    <d v="2024-05-14T00:00:00"/>
    <x v="1"/>
    <x v="0"/>
    <n v="52"/>
    <x v="1"/>
    <s v="Credit Card"/>
    <s v="Not Returned"/>
  </r>
  <r>
    <s v="TID_498"/>
    <x v="3"/>
    <x v="0"/>
    <x v="2"/>
    <x v="1"/>
    <x v="0"/>
    <x v="2"/>
    <n v="5"/>
    <n v="4"/>
    <n v="10"/>
    <n v="10"/>
    <n v="41"/>
    <x v="5"/>
    <n v="1398.29"/>
    <n v="57329.89"/>
    <n v="42406.919632999998"/>
    <n v="5895.5590692354599"/>
    <x v="1"/>
    <n v="26.03"/>
    <b v="1"/>
    <d v="2023-10-30T00:00:00"/>
    <x v="0"/>
    <x v="1"/>
    <n v="42"/>
    <x v="1"/>
    <s v="Cash"/>
    <s v="Not Returned"/>
  </r>
  <r>
    <s v="TID_715"/>
    <x v="3"/>
    <x v="0"/>
    <x v="2"/>
    <x v="2"/>
    <x v="2"/>
    <x v="2"/>
    <n v="5"/>
    <n v="4"/>
    <n v="10"/>
    <n v="10"/>
    <n v="93"/>
    <x v="1"/>
    <n v="615.52"/>
    <n v="57243.360000000001"/>
    <n v="56602.234368000005"/>
    <n v="20090.873804235467"/>
    <x v="1"/>
    <n v="1.1200000000000001"/>
    <b v="1"/>
    <d v="2023-04-02T00:00:00"/>
    <x v="1"/>
    <x v="1"/>
    <n v="25"/>
    <x v="2"/>
    <s v="Online Payment"/>
    <s v="Returned"/>
  </r>
  <r>
    <s v="TID_477"/>
    <x v="5"/>
    <x v="2"/>
    <x v="1"/>
    <x v="2"/>
    <x v="3"/>
    <x v="3"/>
    <n v="7"/>
    <n v="6"/>
    <n v="10"/>
    <n v="9"/>
    <n v="71"/>
    <x v="3"/>
    <n v="805.27"/>
    <n v="57174.17"/>
    <n v="57174.17"/>
    <n v="20662.80943623546"/>
    <x v="1"/>
    <n v="16.68"/>
    <b v="0"/>
    <d v="2024-08-19T00:00:00"/>
    <x v="3"/>
    <x v="0"/>
    <n v="44"/>
    <x v="1"/>
    <s v="Online Payment"/>
    <s v="Returned"/>
  </r>
  <r>
    <s v="TID_1787"/>
    <x v="2"/>
    <x v="1"/>
    <x v="0"/>
    <x v="0"/>
    <x v="2"/>
    <x v="0"/>
    <n v="3"/>
    <n v="13"/>
    <n v="6"/>
    <n v="10"/>
    <n v="75"/>
    <x v="3"/>
    <n v="760.82"/>
    <n v="57061.5"/>
    <n v="46339.64415"/>
    <n v="9828.2835862354623"/>
    <x v="0"/>
    <n v="18.79"/>
    <b v="1"/>
    <d v="2024-02-16T00:00:00"/>
    <x v="2"/>
    <x v="0"/>
    <n v="24"/>
    <x v="1"/>
    <s v="Online Payment"/>
    <s v="Returned"/>
  </r>
  <r>
    <s v="TID_1802"/>
    <x v="3"/>
    <x v="0"/>
    <x v="0"/>
    <x v="2"/>
    <x v="4"/>
    <x v="2"/>
    <n v="5"/>
    <n v="4"/>
    <n v="10"/>
    <n v="10"/>
    <n v="41"/>
    <x v="5"/>
    <n v="1386.08"/>
    <n v="56829.279999999999"/>
    <n v="56829.279999999999"/>
    <n v="20317.919436235461"/>
    <x v="1"/>
    <n v="6.02"/>
    <b v="0"/>
    <d v="2023-07-08T00:00:00"/>
    <x v="3"/>
    <x v="1"/>
    <n v="32"/>
    <x v="2"/>
    <s v="Debit Card"/>
    <s v="Returned"/>
  </r>
  <r>
    <s v="TID_63"/>
    <x v="6"/>
    <x v="1"/>
    <x v="2"/>
    <x v="1"/>
    <x v="4"/>
    <x v="0"/>
    <n v="6"/>
    <n v="13"/>
    <n v="10"/>
    <n v="10"/>
    <n v="87"/>
    <x v="2"/>
    <n v="653.17999999999995"/>
    <n v="56826.66"/>
    <n v="56826.66"/>
    <n v="20315.299436235466"/>
    <x v="1"/>
    <n v="11.89"/>
    <b v="0"/>
    <d v="2024-07-02T00:00:00"/>
    <x v="3"/>
    <x v="0"/>
    <n v="58"/>
    <x v="1"/>
    <s v="Online Payment"/>
    <s v="Not Returned"/>
  </r>
  <r>
    <s v="TID_604"/>
    <x v="7"/>
    <x v="2"/>
    <x v="1"/>
    <x v="1"/>
    <x v="0"/>
    <x v="0"/>
    <n v="2"/>
    <n v="6"/>
    <n v="10"/>
    <n v="10"/>
    <n v="77"/>
    <x v="3"/>
    <n v="736.1"/>
    <n v="56679.7"/>
    <n v="56679.7"/>
    <n v="20168.339436235459"/>
    <x v="0"/>
    <n v="8.6199999999999992"/>
    <b v="0"/>
    <d v="2023-11-29T00:00:00"/>
    <x v="0"/>
    <x v="1"/>
    <n v="49"/>
    <x v="0"/>
    <s v="Cash"/>
    <s v="Not Returned"/>
  </r>
  <r>
    <s v="TID_883"/>
    <x v="6"/>
    <x v="1"/>
    <x v="0"/>
    <x v="1"/>
    <x v="2"/>
    <x v="0"/>
    <n v="6"/>
    <n v="13"/>
    <n v="10"/>
    <n v="10"/>
    <n v="79"/>
    <x v="3"/>
    <n v="716.27"/>
    <n v="56585.33"/>
    <n v="51877.430544000003"/>
    <n v="15366.069980235465"/>
    <x v="0"/>
    <n v="8.32"/>
    <b v="1"/>
    <d v="2023-03-01T00:00:00"/>
    <x v="2"/>
    <x v="1"/>
    <n v="54"/>
    <x v="2"/>
    <s v="Credit Card"/>
    <s v="Returned"/>
  </r>
  <r>
    <s v="TID_1721"/>
    <x v="5"/>
    <x v="2"/>
    <x v="2"/>
    <x v="0"/>
    <x v="0"/>
    <x v="3"/>
    <n v="7"/>
    <n v="6"/>
    <n v="6"/>
    <n v="9"/>
    <n v="61"/>
    <x v="3"/>
    <n v="923.66"/>
    <n v="56343.26"/>
    <n v="44742.182766000005"/>
    <n v="8230.8222022354676"/>
    <x v="1"/>
    <n v="20.59"/>
    <b v="1"/>
    <d v="2023-06-25T00:00:00"/>
    <x v="1"/>
    <x v="1"/>
    <n v="50"/>
    <x v="0"/>
    <s v="Credit Card"/>
    <s v="Returned"/>
  </r>
  <r>
    <s v="TID_1678"/>
    <x v="7"/>
    <x v="2"/>
    <x v="0"/>
    <x v="1"/>
    <x v="3"/>
    <x v="3"/>
    <n v="2"/>
    <n v="6"/>
    <n v="10"/>
    <n v="9"/>
    <n v="64"/>
    <x v="3"/>
    <n v="879.18"/>
    <n v="56267.519999999997"/>
    <n v="56267.519999999997"/>
    <n v="19756.159436235459"/>
    <x v="0"/>
    <n v="7.72"/>
    <b v="0"/>
    <d v="2023-12-08T00:00:00"/>
    <x v="0"/>
    <x v="1"/>
    <n v="65"/>
    <x v="2"/>
    <s v="Cash"/>
    <s v="Not Returned"/>
  </r>
  <r>
    <s v="TID_215"/>
    <x v="0"/>
    <x v="0"/>
    <x v="0"/>
    <x v="1"/>
    <x v="1"/>
    <x v="2"/>
    <n v="5"/>
    <n v="4"/>
    <n v="10"/>
    <n v="10"/>
    <n v="94"/>
    <x v="1"/>
    <n v="598.4"/>
    <n v="56249.599999999999"/>
    <n v="46180.921599999994"/>
    <n v="9669.5610362354564"/>
    <x v="0"/>
    <n v="17.899999999999999"/>
    <b v="1"/>
    <d v="2023-09-13T00:00:00"/>
    <x v="3"/>
    <x v="1"/>
    <n v="50"/>
    <x v="1"/>
    <s v="Debit Card"/>
    <s v="Not Returned"/>
  </r>
  <r>
    <s v="TID_1720"/>
    <x v="1"/>
    <x v="0"/>
    <x v="0"/>
    <x v="0"/>
    <x v="3"/>
    <x v="3"/>
    <n v="5"/>
    <n v="4"/>
    <n v="6"/>
    <n v="9"/>
    <n v="55"/>
    <x v="4"/>
    <n v="1022.52"/>
    <n v="56238.6"/>
    <n v="53364.807539999994"/>
    <n v="16853.446976235457"/>
    <x v="0"/>
    <n v="5.1100000000000003"/>
    <b v="1"/>
    <d v="2023-10-28T00:00:00"/>
    <x v="0"/>
    <x v="1"/>
    <n v="54"/>
    <x v="0"/>
    <s v="Online Payment"/>
    <s v="Returned"/>
  </r>
  <r>
    <s v="TID_1659"/>
    <x v="0"/>
    <x v="0"/>
    <x v="1"/>
    <x v="2"/>
    <x v="2"/>
    <x v="2"/>
    <n v="5"/>
    <n v="4"/>
    <n v="10"/>
    <n v="10"/>
    <n v="57"/>
    <x v="4"/>
    <n v="985.99"/>
    <n v="56201.43"/>
    <n v="45950.289168000003"/>
    <n v="9438.9286042354652"/>
    <x v="0"/>
    <n v="18.239999999999998"/>
    <b v="1"/>
    <d v="2024-03-03T00:00:00"/>
    <x v="2"/>
    <x v="0"/>
    <n v="65"/>
    <x v="2"/>
    <s v="Online Payment"/>
    <s v="Returned"/>
  </r>
  <r>
    <s v="TID_804"/>
    <x v="9"/>
    <x v="4"/>
    <x v="1"/>
    <x v="0"/>
    <x v="1"/>
    <x v="1"/>
    <n v="6"/>
    <n v="13"/>
    <n v="6"/>
    <n v="10"/>
    <n v="44"/>
    <x v="5"/>
    <n v="1274.56"/>
    <n v="56080.639999999999"/>
    <n v="56080.639999999999"/>
    <n v="19569.279436235462"/>
    <x v="0"/>
    <n v="10.46"/>
    <b v="0"/>
    <d v="2023-05-16T00:00:00"/>
    <x v="1"/>
    <x v="1"/>
    <n v="40"/>
    <x v="2"/>
    <s v="Debit Card"/>
    <s v="Returned"/>
  </r>
  <r>
    <s v="TID_605"/>
    <x v="3"/>
    <x v="0"/>
    <x v="1"/>
    <x v="1"/>
    <x v="3"/>
    <x v="2"/>
    <n v="5"/>
    <n v="4"/>
    <n v="10"/>
    <n v="10"/>
    <n v="58"/>
    <x v="4"/>
    <n v="964.08"/>
    <n v="55916.639999999999"/>
    <n v="55916.639999999999"/>
    <n v="19405.279436235462"/>
    <x v="1"/>
    <n v="20.92"/>
    <b v="0"/>
    <d v="2024-03-25T00:00:00"/>
    <x v="2"/>
    <x v="0"/>
    <n v="66"/>
    <x v="2"/>
    <s v="Debit Card"/>
    <s v="Not Returned"/>
  </r>
  <r>
    <s v="TID_473"/>
    <x v="9"/>
    <x v="4"/>
    <x v="1"/>
    <x v="1"/>
    <x v="0"/>
    <x v="1"/>
    <n v="6"/>
    <n v="13"/>
    <n v="10"/>
    <n v="10"/>
    <n v="80"/>
    <x v="3"/>
    <n v="698.38"/>
    <n v="55870.400000000001"/>
    <n v="55870.400000000001"/>
    <n v="19359.039436235464"/>
    <x v="1"/>
    <n v="15.96"/>
    <b v="0"/>
    <d v="2024-06-03T00:00:00"/>
    <x v="1"/>
    <x v="0"/>
    <n v="31"/>
    <x v="0"/>
    <s v="Cash"/>
    <s v="Returned"/>
  </r>
  <r>
    <s v="TID_687"/>
    <x v="8"/>
    <x v="3"/>
    <x v="1"/>
    <x v="2"/>
    <x v="0"/>
    <x v="0"/>
    <n v="9"/>
    <n v="7"/>
    <n v="10"/>
    <n v="10"/>
    <n v="55"/>
    <x v="4"/>
    <n v="1014.42"/>
    <n v="55793.1"/>
    <n v="47585.934990000002"/>
    <n v="11074.574426235464"/>
    <x v="1"/>
    <n v="14.71"/>
    <b v="1"/>
    <d v="2023-10-14T00:00:00"/>
    <x v="0"/>
    <x v="1"/>
    <n v="19"/>
    <x v="0"/>
    <s v="Credit Card"/>
    <s v="Not Returned"/>
  </r>
  <r>
    <s v="TID_1046"/>
    <x v="8"/>
    <x v="3"/>
    <x v="3"/>
    <x v="2"/>
    <x v="1"/>
    <x v="2"/>
    <n v="9"/>
    <n v="7"/>
    <n v="10"/>
    <n v="10"/>
    <n v="47"/>
    <x v="5"/>
    <n v="1186.68"/>
    <n v="55773.96"/>
    <n v="51752.657483999996"/>
    <n v="15241.296920235458"/>
    <x v="1"/>
    <n v="7.21"/>
    <b v="1"/>
    <d v="2024-04-07T00:00:00"/>
    <x v="1"/>
    <x v="0"/>
    <n v="43"/>
    <x v="0"/>
    <s v="Debit Card"/>
    <s v="Returned"/>
  </r>
  <r>
    <s v="TID_48"/>
    <x v="5"/>
    <x v="2"/>
    <x v="0"/>
    <x v="1"/>
    <x v="0"/>
    <x v="3"/>
    <n v="7"/>
    <n v="6"/>
    <n v="10"/>
    <n v="9"/>
    <n v="94"/>
    <x v="1"/>
    <n v="593.24"/>
    <n v="55764.56"/>
    <n v="46630.325072"/>
    <n v="10118.964508235462"/>
    <x v="0"/>
    <n v="16.38"/>
    <b v="1"/>
    <d v="2024-08-13T00:00:00"/>
    <x v="3"/>
    <x v="0"/>
    <n v="53"/>
    <x v="0"/>
    <s v="Debit Card"/>
    <s v="Returned"/>
  </r>
  <r>
    <s v="TID_1435"/>
    <x v="9"/>
    <x v="4"/>
    <x v="2"/>
    <x v="0"/>
    <x v="4"/>
    <x v="1"/>
    <n v="6"/>
    <n v="13"/>
    <n v="6"/>
    <n v="10"/>
    <n v="51"/>
    <x v="4"/>
    <n v="1089.6099999999999"/>
    <n v="55570.11"/>
    <n v="55570.11"/>
    <n v="19058.749436235463"/>
    <x v="0"/>
    <n v="9.91"/>
    <b v="0"/>
    <d v="2024-07-01T00:00:00"/>
    <x v="3"/>
    <x v="0"/>
    <n v="38"/>
    <x v="1"/>
    <s v="Credit Card"/>
    <s v="Returned"/>
  </r>
  <r>
    <s v="TID_1862"/>
    <x v="3"/>
    <x v="0"/>
    <x v="0"/>
    <x v="2"/>
    <x v="3"/>
    <x v="0"/>
    <n v="5"/>
    <n v="4"/>
    <n v="10"/>
    <n v="10"/>
    <n v="75"/>
    <x v="3"/>
    <n v="740.91"/>
    <n v="55568.25"/>
    <n v="54290.180249999998"/>
    <n v="17778.81968623546"/>
    <x v="1"/>
    <n v="2.2999999999999998"/>
    <b v="1"/>
    <d v="2024-08-12T00:00:00"/>
    <x v="3"/>
    <x v="0"/>
    <n v="64"/>
    <x v="1"/>
    <s v="Credit Card"/>
    <s v="Returned"/>
  </r>
  <r>
    <s v="TID_1017"/>
    <x v="8"/>
    <x v="3"/>
    <x v="2"/>
    <x v="2"/>
    <x v="0"/>
    <x v="2"/>
    <n v="9"/>
    <n v="7"/>
    <n v="10"/>
    <n v="10"/>
    <n v="47"/>
    <x v="5"/>
    <n v="1180.94"/>
    <n v="55504.18"/>
    <n v="55504.18"/>
    <n v="18992.819436235462"/>
    <x v="1"/>
    <n v="8.44"/>
    <b v="0"/>
    <d v="2023-01-19T00:00:00"/>
    <x v="2"/>
    <x v="1"/>
    <n v="23"/>
    <x v="1"/>
    <s v="Online Payment"/>
    <s v="Not Returned"/>
  </r>
  <r>
    <s v="TID_1566"/>
    <x v="5"/>
    <x v="2"/>
    <x v="3"/>
    <x v="2"/>
    <x v="1"/>
    <x v="2"/>
    <n v="7"/>
    <n v="6"/>
    <n v="10"/>
    <n v="10"/>
    <n v="51"/>
    <x v="4"/>
    <n v="1086.8599999999999"/>
    <n v="55429.86"/>
    <n v="42115.607628000005"/>
    <n v="5604.2470642354674"/>
    <x v="0"/>
    <n v="24.02"/>
    <b v="1"/>
    <d v="2023-06-21T00:00:00"/>
    <x v="1"/>
    <x v="1"/>
    <n v="69"/>
    <x v="2"/>
    <s v="Debit Card"/>
    <s v="Returned"/>
  </r>
  <r>
    <s v="TID_1079"/>
    <x v="2"/>
    <x v="1"/>
    <x v="2"/>
    <x v="2"/>
    <x v="2"/>
    <x v="1"/>
    <n v="3"/>
    <n v="13"/>
    <n v="10"/>
    <n v="10"/>
    <n v="71"/>
    <x v="3"/>
    <n v="779.12"/>
    <n v="55317.52"/>
    <n v="48474.742775999992"/>
    <n v="11963.382212235454"/>
    <x v="0"/>
    <n v="12.37"/>
    <b v="1"/>
    <d v="2024-01-13T00:00:00"/>
    <x v="2"/>
    <x v="0"/>
    <n v="61"/>
    <x v="2"/>
    <s v="Online Payment"/>
    <s v="Returned"/>
  </r>
  <r>
    <s v="TID_389"/>
    <x v="4"/>
    <x v="2"/>
    <x v="2"/>
    <x v="2"/>
    <x v="3"/>
    <x v="2"/>
    <n v="6"/>
    <n v="6"/>
    <n v="10"/>
    <n v="10"/>
    <n v="81"/>
    <x v="2"/>
    <n v="681.08"/>
    <n v="55167.48"/>
    <n v="55167.48"/>
    <n v="18656.119436235465"/>
    <x v="0"/>
    <n v="29.43"/>
    <b v="0"/>
    <d v="2024-06-08T00:00:00"/>
    <x v="1"/>
    <x v="0"/>
    <n v="39"/>
    <x v="2"/>
    <s v="Credit Card"/>
    <s v="Returned"/>
  </r>
  <r>
    <s v="TID_1870"/>
    <x v="2"/>
    <x v="1"/>
    <x v="3"/>
    <x v="2"/>
    <x v="1"/>
    <x v="2"/>
    <n v="3"/>
    <n v="13"/>
    <n v="10"/>
    <n v="10"/>
    <n v="85"/>
    <x v="2"/>
    <n v="648.37"/>
    <n v="55111.45"/>
    <n v="41344.609789999995"/>
    <n v="4833.2492262354572"/>
    <x v="1"/>
    <n v="24.98"/>
    <b v="1"/>
    <d v="2023-05-02T00:00:00"/>
    <x v="1"/>
    <x v="1"/>
    <n v="61"/>
    <x v="2"/>
    <s v="Credit Card"/>
    <s v="Returned"/>
  </r>
  <r>
    <s v="TID_347"/>
    <x v="7"/>
    <x v="2"/>
    <x v="1"/>
    <x v="1"/>
    <x v="3"/>
    <x v="2"/>
    <n v="2"/>
    <n v="6"/>
    <n v="10"/>
    <n v="10"/>
    <n v="39"/>
    <x v="6"/>
    <n v="1409.73"/>
    <n v="54979.47"/>
    <n v="48480.896646000001"/>
    <n v="11969.536082235463"/>
    <x v="0"/>
    <n v="11.82"/>
    <b v="1"/>
    <d v="2023-05-04T00:00:00"/>
    <x v="1"/>
    <x v="1"/>
    <n v="62"/>
    <x v="0"/>
    <s v="Debit Card"/>
    <s v="Not Returned"/>
  </r>
  <r>
    <s v="TID_639"/>
    <x v="3"/>
    <x v="0"/>
    <x v="2"/>
    <x v="0"/>
    <x v="3"/>
    <x v="1"/>
    <n v="5"/>
    <n v="4"/>
    <n v="6"/>
    <n v="10"/>
    <n v="49"/>
    <x v="5"/>
    <n v="1121.47"/>
    <n v="54952.03"/>
    <n v="54952.03"/>
    <n v="18440.669436235461"/>
    <x v="1"/>
    <n v="28.79"/>
    <b v="0"/>
    <d v="2023-09-12T00:00:00"/>
    <x v="3"/>
    <x v="1"/>
    <n v="60"/>
    <x v="2"/>
    <s v="Credit Card"/>
    <s v="Returned"/>
  </r>
  <r>
    <s v="TID_160"/>
    <x v="1"/>
    <x v="0"/>
    <x v="0"/>
    <x v="0"/>
    <x v="3"/>
    <x v="0"/>
    <n v="5"/>
    <n v="4"/>
    <n v="6"/>
    <n v="10"/>
    <n v="85"/>
    <x v="2"/>
    <n v="645.66999999999996"/>
    <n v="54881.95"/>
    <n v="54881.95"/>
    <n v="18370.589436235459"/>
    <x v="1"/>
    <n v="28.08"/>
    <b v="0"/>
    <d v="2023-08-28T00:00:00"/>
    <x v="3"/>
    <x v="1"/>
    <n v="58"/>
    <x v="2"/>
    <s v="Online Payment"/>
    <s v="Not Returned"/>
  </r>
  <r>
    <s v="TID_841"/>
    <x v="3"/>
    <x v="0"/>
    <x v="2"/>
    <x v="1"/>
    <x v="2"/>
    <x v="2"/>
    <n v="5"/>
    <n v="4"/>
    <n v="10"/>
    <n v="10"/>
    <n v="88"/>
    <x v="2"/>
    <n v="622.46"/>
    <n v="54776.480000000003"/>
    <n v="54776.480000000003"/>
    <n v="18265.119436235465"/>
    <x v="0"/>
    <n v="6.99"/>
    <b v="0"/>
    <d v="2024-05-21T00:00:00"/>
    <x v="1"/>
    <x v="0"/>
    <n v="59"/>
    <x v="1"/>
    <s v="Credit Card"/>
    <s v="Returned"/>
  </r>
  <r>
    <s v="TID_826"/>
    <x v="9"/>
    <x v="4"/>
    <x v="1"/>
    <x v="2"/>
    <x v="1"/>
    <x v="0"/>
    <n v="6"/>
    <n v="13"/>
    <n v="10"/>
    <n v="10"/>
    <n v="65"/>
    <x v="3"/>
    <n v="842.61"/>
    <n v="54769.65"/>
    <n v="54769.65"/>
    <n v="18258.289436235464"/>
    <x v="0"/>
    <n v="26.52"/>
    <b v="0"/>
    <d v="2023-06-17T00:00:00"/>
    <x v="1"/>
    <x v="1"/>
    <n v="69"/>
    <x v="0"/>
    <s v="Cash"/>
    <s v="Not Returned"/>
  </r>
  <r>
    <s v="TID_378"/>
    <x v="6"/>
    <x v="1"/>
    <x v="0"/>
    <x v="2"/>
    <x v="0"/>
    <x v="3"/>
    <n v="6"/>
    <n v="13"/>
    <n v="10"/>
    <n v="9"/>
    <n v="98"/>
    <x v="0"/>
    <n v="558.57000000000005"/>
    <n v="54739.86"/>
    <n v="54739.86"/>
    <n v="18228.499436235463"/>
    <x v="1"/>
    <n v="8.3699999999999992"/>
    <b v="0"/>
    <d v="2023-01-18T00:00:00"/>
    <x v="2"/>
    <x v="1"/>
    <n v="47"/>
    <x v="0"/>
    <s v="Debit Card"/>
    <s v="Returned"/>
  </r>
  <r>
    <s v="TID_1856"/>
    <x v="8"/>
    <x v="3"/>
    <x v="3"/>
    <x v="0"/>
    <x v="1"/>
    <x v="0"/>
    <n v="9"/>
    <n v="7"/>
    <n v="6"/>
    <n v="10"/>
    <n v="55"/>
    <x v="4"/>
    <n v="991.82"/>
    <n v="54550.1"/>
    <n v="54550.1"/>
    <n v="18038.739436235461"/>
    <x v="1"/>
    <n v="2.2599999999999998"/>
    <b v="0"/>
    <d v="2024-05-06T00:00:00"/>
    <x v="1"/>
    <x v="0"/>
    <n v="40"/>
    <x v="1"/>
    <s v="Cash"/>
    <s v="Returned"/>
  </r>
  <r>
    <s v="TID_1367"/>
    <x v="4"/>
    <x v="2"/>
    <x v="0"/>
    <x v="0"/>
    <x v="1"/>
    <x v="1"/>
    <n v="6"/>
    <n v="6"/>
    <n v="6"/>
    <n v="10"/>
    <n v="53"/>
    <x v="4"/>
    <n v="1024.32"/>
    <n v="54288.959999999999"/>
    <n v="54283.531104000002"/>
    <n v="17772.170540235464"/>
    <x v="1"/>
    <n v="0.01"/>
    <b v="1"/>
    <d v="2024-09-01T00:00:00"/>
    <x v="3"/>
    <x v="0"/>
    <n v="68"/>
    <x v="1"/>
    <s v="Debit Card"/>
    <s v="Not Returned"/>
  </r>
  <r>
    <s v="TID_569"/>
    <x v="3"/>
    <x v="0"/>
    <x v="3"/>
    <x v="1"/>
    <x v="1"/>
    <x v="2"/>
    <n v="5"/>
    <n v="4"/>
    <n v="10"/>
    <n v="10"/>
    <n v="53"/>
    <x v="4"/>
    <n v="1022.7"/>
    <n v="54203.1"/>
    <n v="48273.280859999999"/>
    <n v="11761.920296235461"/>
    <x v="0"/>
    <n v="10.94"/>
    <b v="1"/>
    <d v="2023-08-24T00:00:00"/>
    <x v="3"/>
    <x v="1"/>
    <n v="18"/>
    <x v="2"/>
    <s v="Online Payment"/>
    <s v="Returned"/>
  </r>
  <r>
    <s v="TID_98"/>
    <x v="3"/>
    <x v="0"/>
    <x v="1"/>
    <x v="1"/>
    <x v="2"/>
    <x v="2"/>
    <n v="5"/>
    <n v="4"/>
    <n v="10"/>
    <n v="10"/>
    <n v="58"/>
    <x v="4"/>
    <n v="933.09"/>
    <n v="54119.22"/>
    <n v="43030.191822000001"/>
    <n v="6518.8312582354629"/>
    <x v="1"/>
    <n v="20.49"/>
    <b v="1"/>
    <d v="2024-04-10T00:00:00"/>
    <x v="1"/>
    <x v="0"/>
    <n v="18"/>
    <x v="2"/>
    <s v="Online Payment"/>
    <s v="Returned"/>
  </r>
  <r>
    <s v="TID_1374"/>
    <x v="1"/>
    <x v="0"/>
    <x v="2"/>
    <x v="0"/>
    <x v="4"/>
    <x v="0"/>
    <n v="5"/>
    <n v="4"/>
    <n v="6"/>
    <n v="10"/>
    <n v="74"/>
    <x v="3"/>
    <n v="731.21"/>
    <n v="54109.54"/>
    <n v="54109.54"/>
    <n v="17598.179436235463"/>
    <x v="0"/>
    <n v="23.9"/>
    <b v="0"/>
    <d v="2023-03-12T00:00:00"/>
    <x v="2"/>
    <x v="1"/>
    <n v="68"/>
    <x v="1"/>
    <s v="Credit Card"/>
    <s v="Returned"/>
  </r>
  <r>
    <s v="TID_1220"/>
    <x v="9"/>
    <x v="4"/>
    <x v="2"/>
    <x v="0"/>
    <x v="3"/>
    <x v="0"/>
    <n v="6"/>
    <n v="13"/>
    <n v="6"/>
    <n v="10"/>
    <n v="61"/>
    <x v="3"/>
    <n v="886.83"/>
    <n v="54096.63"/>
    <n v="47713.227659999997"/>
    <n v="11201.867096235459"/>
    <x v="0"/>
    <n v="11.8"/>
    <b v="1"/>
    <d v="2024-02-17T00:00:00"/>
    <x v="2"/>
    <x v="0"/>
    <n v="62"/>
    <x v="2"/>
    <s v="Credit Card"/>
    <s v="Returned"/>
  </r>
  <r>
    <s v="TID_1825"/>
    <x v="6"/>
    <x v="1"/>
    <x v="1"/>
    <x v="0"/>
    <x v="1"/>
    <x v="3"/>
    <n v="6"/>
    <n v="13"/>
    <n v="6"/>
    <n v="9"/>
    <n v="53"/>
    <x v="4"/>
    <n v="1018.49"/>
    <n v="53979.97"/>
    <n v="41856.068738000002"/>
    <n v="5344.708174235464"/>
    <x v="1"/>
    <n v="22.46"/>
    <b v="1"/>
    <d v="2024-04-27T00:00:00"/>
    <x v="1"/>
    <x v="0"/>
    <n v="51"/>
    <x v="1"/>
    <s v="Credit Card"/>
    <s v="Returned"/>
  </r>
  <r>
    <s v="TID_218"/>
    <x v="3"/>
    <x v="0"/>
    <x v="1"/>
    <x v="1"/>
    <x v="0"/>
    <x v="1"/>
    <n v="5"/>
    <n v="4"/>
    <n v="10"/>
    <n v="10"/>
    <n v="42"/>
    <x v="5"/>
    <n v="1283.96"/>
    <n v="53926.32"/>
    <n v="41906.143272000001"/>
    <n v="5394.7827082354634"/>
    <x v="1"/>
    <n v="22.29"/>
    <b v="1"/>
    <d v="2024-02-23T00:00:00"/>
    <x v="2"/>
    <x v="0"/>
    <n v="40"/>
    <x v="2"/>
    <s v="Cash"/>
    <s v="Returned"/>
  </r>
  <r>
    <s v="TID_531"/>
    <x v="3"/>
    <x v="0"/>
    <x v="3"/>
    <x v="1"/>
    <x v="0"/>
    <x v="3"/>
    <n v="5"/>
    <n v="4"/>
    <n v="10"/>
    <n v="9"/>
    <n v="41"/>
    <x v="5"/>
    <n v="1314.38"/>
    <n v="53889.58"/>
    <n v="53889.58"/>
    <n v="17378.219436235464"/>
    <x v="0"/>
    <n v="10.99"/>
    <b v="0"/>
    <d v="2024-09-23T00:00:00"/>
    <x v="3"/>
    <x v="0"/>
    <n v="40"/>
    <x v="1"/>
    <s v="Debit Card"/>
    <s v="Returned"/>
  </r>
  <r>
    <s v="TID_1524"/>
    <x v="7"/>
    <x v="2"/>
    <x v="2"/>
    <x v="2"/>
    <x v="1"/>
    <x v="1"/>
    <n v="2"/>
    <n v="6"/>
    <n v="10"/>
    <n v="10"/>
    <n v="51"/>
    <x v="4"/>
    <n v="1056.1300000000001"/>
    <n v="53862.63"/>
    <n v="53862.63"/>
    <n v="17351.26943623546"/>
    <x v="1"/>
    <n v="4.49"/>
    <b v="0"/>
    <d v="2023-06-02T00:00:00"/>
    <x v="1"/>
    <x v="1"/>
    <n v="44"/>
    <x v="2"/>
    <s v="Credit Card"/>
    <s v="Returned"/>
  </r>
  <r>
    <s v="TID_1732"/>
    <x v="3"/>
    <x v="0"/>
    <x v="3"/>
    <x v="2"/>
    <x v="2"/>
    <x v="3"/>
    <n v="5"/>
    <n v="4"/>
    <n v="10"/>
    <n v="9"/>
    <n v="43"/>
    <x v="5"/>
    <n v="1249.01"/>
    <n v="53707.43"/>
    <n v="40946.544631999997"/>
    <n v="4435.1840682354596"/>
    <x v="1"/>
    <n v="23.76"/>
    <b v="1"/>
    <d v="2023-09-28T00:00:00"/>
    <x v="3"/>
    <x v="1"/>
    <n v="64"/>
    <x v="2"/>
    <s v="Debit Card"/>
    <s v="Not Returned"/>
  </r>
  <r>
    <s v="TID_74"/>
    <x v="4"/>
    <x v="2"/>
    <x v="2"/>
    <x v="0"/>
    <x v="1"/>
    <x v="2"/>
    <n v="6"/>
    <n v="6"/>
    <n v="6"/>
    <n v="10"/>
    <n v="43"/>
    <x v="5"/>
    <n v="1247.02"/>
    <n v="53621.86"/>
    <n v="53621.86"/>
    <n v="17110.499436235463"/>
    <x v="0"/>
    <n v="23.09"/>
    <b v="0"/>
    <d v="2023-10-08T00:00:00"/>
    <x v="0"/>
    <x v="1"/>
    <n v="38"/>
    <x v="1"/>
    <s v="Online Payment"/>
    <s v="Returned"/>
  </r>
  <r>
    <s v="TID_1558"/>
    <x v="1"/>
    <x v="0"/>
    <x v="1"/>
    <x v="0"/>
    <x v="0"/>
    <x v="1"/>
    <n v="5"/>
    <n v="4"/>
    <n v="6"/>
    <n v="10"/>
    <n v="70"/>
    <x v="3"/>
    <n v="764.89"/>
    <n v="53542.3"/>
    <n v="53542.3"/>
    <n v="17030.939436235465"/>
    <x v="0"/>
    <n v="17.420000000000002"/>
    <b v="0"/>
    <d v="2023-10-22T00:00:00"/>
    <x v="0"/>
    <x v="1"/>
    <n v="21"/>
    <x v="1"/>
    <s v="Online Payment"/>
    <s v="Returned"/>
  </r>
  <r>
    <s v="TID_1271"/>
    <x v="7"/>
    <x v="2"/>
    <x v="0"/>
    <x v="1"/>
    <x v="4"/>
    <x v="0"/>
    <n v="2"/>
    <n v="6"/>
    <n v="10"/>
    <n v="10"/>
    <n v="44"/>
    <x v="5"/>
    <n v="1213.57"/>
    <n v="53397.08"/>
    <n v="53397.08"/>
    <n v="16885.719436235464"/>
    <x v="1"/>
    <n v="7.91"/>
    <b v="0"/>
    <d v="2024-05-30T00:00:00"/>
    <x v="1"/>
    <x v="0"/>
    <n v="34"/>
    <x v="1"/>
    <s v="Credit Card"/>
    <s v="Not Returned"/>
  </r>
  <r>
    <s v="TID_784"/>
    <x v="9"/>
    <x v="4"/>
    <x v="1"/>
    <x v="0"/>
    <x v="1"/>
    <x v="0"/>
    <n v="6"/>
    <n v="13"/>
    <n v="6"/>
    <n v="10"/>
    <n v="69"/>
    <x v="3"/>
    <n v="770.78"/>
    <n v="53183.82"/>
    <n v="53183.82"/>
    <n v="16672.459436235462"/>
    <x v="1"/>
    <n v="20.57"/>
    <b v="0"/>
    <d v="2024-09-17T00:00:00"/>
    <x v="3"/>
    <x v="0"/>
    <n v="35"/>
    <x v="1"/>
    <s v="Online Payment"/>
    <s v="Returned"/>
  </r>
  <r>
    <s v="TID_721"/>
    <x v="9"/>
    <x v="4"/>
    <x v="0"/>
    <x v="0"/>
    <x v="3"/>
    <x v="0"/>
    <n v="6"/>
    <n v="13"/>
    <n v="6"/>
    <n v="10"/>
    <n v="37"/>
    <x v="6"/>
    <n v="1436.01"/>
    <n v="53132.37"/>
    <n v="37665.537093000006"/>
    <n v="1154.1765292354685"/>
    <x v="0"/>
    <n v="29.11"/>
    <b v="1"/>
    <d v="2023-04-09T00:00:00"/>
    <x v="1"/>
    <x v="1"/>
    <n v="69"/>
    <x v="0"/>
    <s v="Cash"/>
    <s v="Returned"/>
  </r>
  <r>
    <s v="TID_1301"/>
    <x v="3"/>
    <x v="0"/>
    <x v="3"/>
    <x v="1"/>
    <x v="0"/>
    <x v="2"/>
    <n v="5"/>
    <n v="4"/>
    <n v="10"/>
    <n v="10"/>
    <n v="54"/>
    <x v="4"/>
    <n v="983.65"/>
    <n v="53117.1"/>
    <n v="53117.1"/>
    <n v="16605.739436235461"/>
    <x v="1"/>
    <n v="21.19"/>
    <b v="0"/>
    <d v="2023-05-09T00:00:00"/>
    <x v="1"/>
    <x v="1"/>
    <n v="53"/>
    <x v="0"/>
    <s v="Cash"/>
    <s v="Not Returned"/>
  </r>
  <r>
    <s v="TID_1387"/>
    <x v="5"/>
    <x v="2"/>
    <x v="3"/>
    <x v="0"/>
    <x v="2"/>
    <x v="2"/>
    <n v="7"/>
    <n v="6"/>
    <n v="6"/>
    <n v="10"/>
    <n v="67"/>
    <x v="3"/>
    <n v="792.71"/>
    <n v="53111.57"/>
    <n v="48528.041508999995"/>
    <n v="12016.680945235457"/>
    <x v="1"/>
    <n v="8.6300000000000008"/>
    <b v="1"/>
    <d v="2023-12-23T00:00:00"/>
    <x v="0"/>
    <x v="1"/>
    <n v="23"/>
    <x v="1"/>
    <s v="Online Payment"/>
    <s v="Not Returned"/>
  </r>
  <r>
    <s v="TID_919"/>
    <x v="4"/>
    <x v="2"/>
    <x v="2"/>
    <x v="1"/>
    <x v="4"/>
    <x v="2"/>
    <n v="6"/>
    <n v="6"/>
    <n v="10"/>
    <n v="10"/>
    <n v="71"/>
    <x v="3"/>
    <n v="746.97"/>
    <n v="53034.87"/>
    <n v="53034.87"/>
    <n v="16523.509436235465"/>
    <x v="1"/>
    <n v="4.16"/>
    <b v="0"/>
    <d v="2024-10-16T00:00:00"/>
    <x v="0"/>
    <x v="0"/>
    <n v="59"/>
    <x v="0"/>
    <s v="Credit Card"/>
    <s v="Not Returned"/>
  </r>
  <r>
    <s v="TID_232"/>
    <x v="2"/>
    <x v="1"/>
    <x v="2"/>
    <x v="1"/>
    <x v="2"/>
    <x v="2"/>
    <n v="3"/>
    <n v="13"/>
    <n v="10"/>
    <n v="10"/>
    <n v="49"/>
    <x v="5"/>
    <n v="1080.93"/>
    <n v="52965.57"/>
    <n v="39152.149344000005"/>
    <n v="2640.7887802354671"/>
    <x v="1"/>
    <n v="26.08"/>
    <b v="1"/>
    <d v="2024-09-26T00:00:00"/>
    <x v="3"/>
    <x v="0"/>
    <n v="54"/>
    <x v="2"/>
    <s v="Debit Card"/>
    <s v="Returned"/>
  </r>
  <r>
    <s v="TID_450"/>
    <x v="7"/>
    <x v="2"/>
    <x v="2"/>
    <x v="1"/>
    <x v="3"/>
    <x v="1"/>
    <n v="2"/>
    <n v="6"/>
    <n v="10"/>
    <n v="10"/>
    <n v="57"/>
    <x v="4"/>
    <n v="926.96"/>
    <n v="52836.72"/>
    <n v="52836.72"/>
    <n v="16325.359436235463"/>
    <x v="0"/>
    <n v="24.87"/>
    <b v="0"/>
    <d v="2023-04-04T00:00:00"/>
    <x v="1"/>
    <x v="1"/>
    <n v="21"/>
    <x v="0"/>
    <s v="Online Payment"/>
    <s v="Not Returned"/>
  </r>
  <r>
    <s v="TID_1683"/>
    <x v="2"/>
    <x v="1"/>
    <x v="1"/>
    <x v="0"/>
    <x v="3"/>
    <x v="0"/>
    <n v="3"/>
    <n v="13"/>
    <n v="6"/>
    <n v="10"/>
    <n v="56"/>
    <x v="4"/>
    <n v="942.64"/>
    <n v="52787.839999999997"/>
    <n v="42119.417536000001"/>
    <n v="5608.056972235463"/>
    <x v="0"/>
    <n v="20.21"/>
    <b v="1"/>
    <d v="2024-03-01T00:00:00"/>
    <x v="2"/>
    <x v="0"/>
    <n v="67"/>
    <x v="1"/>
    <s v="Cash"/>
    <s v="Returned"/>
  </r>
  <r>
    <s v="TID_1486"/>
    <x v="6"/>
    <x v="1"/>
    <x v="1"/>
    <x v="1"/>
    <x v="4"/>
    <x v="0"/>
    <n v="6"/>
    <n v="13"/>
    <n v="10"/>
    <n v="10"/>
    <n v="97"/>
    <x v="0"/>
    <n v="543.95000000000005"/>
    <n v="52763.15"/>
    <n v="44859.230129999996"/>
    <n v="8347.8695662354585"/>
    <x v="0"/>
    <n v="14.98"/>
    <b v="1"/>
    <d v="2024-02-24T00:00:00"/>
    <x v="2"/>
    <x v="0"/>
    <n v="52"/>
    <x v="1"/>
    <s v="Credit Card"/>
    <s v="Returned"/>
  </r>
  <r>
    <s v="TID_342"/>
    <x v="0"/>
    <x v="0"/>
    <x v="0"/>
    <x v="0"/>
    <x v="0"/>
    <x v="3"/>
    <n v="5"/>
    <n v="4"/>
    <n v="6"/>
    <n v="9"/>
    <n v="51"/>
    <x v="4"/>
    <n v="1032.95"/>
    <n v="52680.45"/>
    <n v="47043.64185"/>
    <n v="10532.281286235462"/>
    <x v="1"/>
    <n v="10.7"/>
    <b v="1"/>
    <d v="2024-04-09T00:00:00"/>
    <x v="1"/>
    <x v="0"/>
    <n v="53"/>
    <x v="0"/>
    <s v="Cash"/>
    <s v="Not Returned"/>
  </r>
  <r>
    <s v="TID_1100"/>
    <x v="3"/>
    <x v="0"/>
    <x v="3"/>
    <x v="2"/>
    <x v="3"/>
    <x v="1"/>
    <n v="5"/>
    <n v="4"/>
    <n v="10"/>
    <n v="10"/>
    <n v="36"/>
    <x v="6"/>
    <n v="1463.28"/>
    <n v="52678.080000000002"/>
    <n v="39682.397663999996"/>
    <n v="3171.0371002354586"/>
    <x v="1"/>
    <n v="24.67"/>
    <b v="1"/>
    <d v="2023-03-25T00:00:00"/>
    <x v="2"/>
    <x v="1"/>
    <n v="31"/>
    <x v="2"/>
    <s v="Online Payment"/>
    <s v="Not Returned"/>
  </r>
  <r>
    <s v="TID_1037"/>
    <x v="5"/>
    <x v="2"/>
    <x v="3"/>
    <x v="2"/>
    <x v="4"/>
    <x v="3"/>
    <n v="7"/>
    <n v="6"/>
    <n v="10"/>
    <n v="9"/>
    <n v="38"/>
    <x v="6"/>
    <n v="1384.39"/>
    <n v="52606.82"/>
    <n v="52606.82"/>
    <n v="16095.459436235462"/>
    <x v="0"/>
    <n v="1.03"/>
    <b v="0"/>
    <d v="2023-09-28T00:00:00"/>
    <x v="3"/>
    <x v="1"/>
    <n v="69"/>
    <x v="0"/>
    <s v="Online Payment"/>
    <s v="Returned"/>
  </r>
  <r>
    <s v="TID_1300"/>
    <x v="2"/>
    <x v="1"/>
    <x v="2"/>
    <x v="1"/>
    <x v="4"/>
    <x v="1"/>
    <n v="3"/>
    <n v="13"/>
    <n v="10"/>
    <n v="10"/>
    <n v="83"/>
    <x v="2"/>
    <n v="633.09"/>
    <n v="52546.47"/>
    <n v="52546.47"/>
    <n v="16035.109436235463"/>
    <x v="1"/>
    <n v="4.9400000000000004"/>
    <b v="0"/>
    <d v="2023-12-26T00:00:00"/>
    <x v="0"/>
    <x v="1"/>
    <n v="63"/>
    <x v="0"/>
    <s v="Online Payment"/>
    <s v="Not Returned"/>
  </r>
  <r>
    <s v="TID_1616"/>
    <x v="2"/>
    <x v="1"/>
    <x v="3"/>
    <x v="2"/>
    <x v="3"/>
    <x v="0"/>
    <n v="3"/>
    <n v="13"/>
    <n v="10"/>
    <n v="10"/>
    <n v="52"/>
    <x v="4"/>
    <n v="1009.4"/>
    <n v="52488.800000000003"/>
    <n v="52488.800000000003"/>
    <n v="15977.439436235465"/>
    <x v="0"/>
    <n v="3.9"/>
    <b v="0"/>
    <d v="2023-12-05T00:00:00"/>
    <x v="0"/>
    <x v="1"/>
    <n v="37"/>
    <x v="1"/>
    <s v="Credit Card"/>
    <s v="Not Returned"/>
  </r>
  <r>
    <s v="TID_1845"/>
    <x v="0"/>
    <x v="0"/>
    <x v="0"/>
    <x v="2"/>
    <x v="0"/>
    <x v="1"/>
    <n v="5"/>
    <n v="4"/>
    <n v="10"/>
    <n v="10"/>
    <n v="40"/>
    <x v="5"/>
    <n v="1312.07"/>
    <n v="52482.8"/>
    <n v="52482.8"/>
    <n v="15971.439436235465"/>
    <x v="0"/>
    <n v="10.91"/>
    <b v="0"/>
    <d v="2024-01-18T00:00:00"/>
    <x v="2"/>
    <x v="0"/>
    <n v="55"/>
    <x v="2"/>
    <s v="Debit Card"/>
    <s v="Not Returned"/>
  </r>
  <r>
    <s v="TID_1921"/>
    <x v="5"/>
    <x v="2"/>
    <x v="2"/>
    <x v="1"/>
    <x v="2"/>
    <x v="1"/>
    <n v="7"/>
    <n v="6"/>
    <n v="10"/>
    <n v="10"/>
    <n v="55"/>
    <x v="4"/>
    <n v="951.85"/>
    <n v="52351.75"/>
    <n v="52351.75"/>
    <n v="15840.389436235462"/>
    <x v="1"/>
    <n v="3.54"/>
    <b v="0"/>
    <d v="2024-02-20T00:00:00"/>
    <x v="2"/>
    <x v="0"/>
    <n v="44"/>
    <x v="2"/>
    <s v="Credit Card"/>
    <s v="Not Returned"/>
  </r>
  <r>
    <s v="TID_1977"/>
    <x v="3"/>
    <x v="0"/>
    <x v="2"/>
    <x v="2"/>
    <x v="1"/>
    <x v="0"/>
    <n v="5"/>
    <n v="4"/>
    <n v="10"/>
    <n v="10"/>
    <n v="69"/>
    <x v="3"/>
    <n v="757.74"/>
    <n v="52284.06"/>
    <n v="52284.06"/>
    <n v="15772.69943623546"/>
    <x v="0"/>
    <n v="1.18"/>
    <b v="0"/>
    <d v="2024-04-19T00:00:00"/>
    <x v="1"/>
    <x v="0"/>
    <n v="35"/>
    <x v="0"/>
    <s v="Credit Card"/>
    <s v="Returned"/>
  </r>
  <r>
    <s v="TID_1682"/>
    <x v="8"/>
    <x v="3"/>
    <x v="2"/>
    <x v="2"/>
    <x v="2"/>
    <x v="1"/>
    <n v="9"/>
    <n v="7"/>
    <n v="10"/>
    <n v="10"/>
    <n v="72"/>
    <x v="3"/>
    <n v="723.85"/>
    <n v="52117.2"/>
    <n v="41214.281759999998"/>
    <n v="4702.9211962354602"/>
    <x v="1"/>
    <n v="20.92"/>
    <b v="1"/>
    <d v="2023-09-16T00:00:00"/>
    <x v="3"/>
    <x v="1"/>
    <n v="67"/>
    <x v="0"/>
    <s v="Credit Card"/>
    <s v="Returned"/>
  </r>
  <r>
    <s v="TID_1836"/>
    <x v="2"/>
    <x v="1"/>
    <x v="0"/>
    <x v="0"/>
    <x v="0"/>
    <x v="2"/>
    <n v="3"/>
    <n v="13"/>
    <n v="6"/>
    <n v="10"/>
    <n v="70"/>
    <x v="3"/>
    <n v="743.95"/>
    <n v="52076.5"/>
    <n v="52076.5"/>
    <n v="15565.139436235462"/>
    <x v="0"/>
    <n v="21.31"/>
    <b v="0"/>
    <d v="2023-02-12T00:00:00"/>
    <x v="2"/>
    <x v="1"/>
    <n v="56"/>
    <x v="0"/>
    <s v="Online Payment"/>
    <s v="Returned"/>
  </r>
  <r>
    <s v="TID_12"/>
    <x v="1"/>
    <x v="0"/>
    <x v="2"/>
    <x v="0"/>
    <x v="0"/>
    <x v="2"/>
    <n v="5"/>
    <n v="4"/>
    <n v="6"/>
    <n v="10"/>
    <n v="84"/>
    <x v="2"/>
    <n v="618.95000000000005"/>
    <n v="51991.8"/>
    <n v="42180.947340000006"/>
    <n v="5669.5867762354683"/>
    <x v="0"/>
    <n v="18.87"/>
    <b v="1"/>
    <d v="2024-06-13T00:00:00"/>
    <x v="1"/>
    <x v="0"/>
    <n v="19"/>
    <x v="2"/>
    <s v="Debit Card"/>
    <s v="Not Returned"/>
  </r>
  <r>
    <s v="TID_1211"/>
    <x v="1"/>
    <x v="0"/>
    <x v="1"/>
    <x v="1"/>
    <x v="2"/>
    <x v="0"/>
    <n v="5"/>
    <n v="4"/>
    <n v="10"/>
    <n v="10"/>
    <n v="89"/>
    <x v="2"/>
    <n v="583.72"/>
    <n v="51951.08"/>
    <n v="36708.633128000001"/>
    <n v="197.27256423546351"/>
    <x v="0"/>
    <n v="29.34"/>
    <b v="1"/>
    <d v="2023-05-23T00:00:00"/>
    <x v="1"/>
    <x v="1"/>
    <n v="49"/>
    <x v="0"/>
    <s v="Online Payment"/>
    <s v="Not Returned"/>
  </r>
  <r>
    <s v="TID_1623"/>
    <x v="6"/>
    <x v="1"/>
    <x v="1"/>
    <x v="0"/>
    <x v="2"/>
    <x v="2"/>
    <n v="6"/>
    <n v="13"/>
    <n v="6"/>
    <n v="10"/>
    <n v="73"/>
    <x v="3"/>
    <n v="711.65"/>
    <n v="51950.45"/>
    <n v="43981.250970000001"/>
    <n v="7469.8904062354632"/>
    <x v="1"/>
    <n v="15.34"/>
    <b v="1"/>
    <d v="2024-05-02T00:00:00"/>
    <x v="1"/>
    <x v="0"/>
    <n v="58"/>
    <x v="2"/>
    <s v="Credit Card"/>
    <s v="Not Returned"/>
  </r>
  <r>
    <s v="TID_832"/>
    <x v="2"/>
    <x v="1"/>
    <x v="1"/>
    <x v="2"/>
    <x v="1"/>
    <x v="2"/>
    <n v="3"/>
    <n v="13"/>
    <n v="10"/>
    <n v="10"/>
    <n v="81"/>
    <x v="2"/>
    <n v="641.22"/>
    <n v="51938.82"/>
    <n v="51938.82"/>
    <n v="15427.459436235462"/>
    <x v="0"/>
    <n v="22.34"/>
    <b v="0"/>
    <d v="2023-10-17T00:00:00"/>
    <x v="0"/>
    <x v="1"/>
    <n v="24"/>
    <x v="1"/>
    <s v="Credit Card"/>
    <s v="Returned"/>
  </r>
  <r>
    <s v="TID_851"/>
    <x v="6"/>
    <x v="1"/>
    <x v="1"/>
    <x v="2"/>
    <x v="0"/>
    <x v="2"/>
    <n v="6"/>
    <n v="13"/>
    <n v="10"/>
    <n v="10"/>
    <n v="52"/>
    <x v="4"/>
    <n v="997.96"/>
    <n v="51893.919999999998"/>
    <n v="39610.629135999996"/>
    <n v="3099.2685722354581"/>
    <x v="0"/>
    <n v="23.67"/>
    <b v="1"/>
    <d v="2024-06-02T00:00:00"/>
    <x v="1"/>
    <x v="0"/>
    <n v="38"/>
    <x v="2"/>
    <s v="Credit Card"/>
    <s v="Returned"/>
  </r>
  <r>
    <s v="TID_987"/>
    <x v="9"/>
    <x v="4"/>
    <x v="2"/>
    <x v="0"/>
    <x v="1"/>
    <x v="0"/>
    <n v="6"/>
    <n v="13"/>
    <n v="6"/>
    <n v="10"/>
    <n v="61"/>
    <x v="3"/>
    <n v="850.63"/>
    <n v="51888.43"/>
    <n v="51888.43"/>
    <n v="15377.069436235462"/>
    <x v="0"/>
    <n v="12.41"/>
    <b v="0"/>
    <d v="2023-10-20T00:00:00"/>
    <x v="0"/>
    <x v="1"/>
    <n v="26"/>
    <x v="0"/>
    <s v="Cash"/>
    <s v="Returned"/>
  </r>
  <r>
    <s v="TID_1507"/>
    <x v="2"/>
    <x v="1"/>
    <x v="2"/>
    <x v="0"/>
    <x v="2"/>
    <x v="0"/>
    <n v="3"/>
    <n v="13"/>
    <n v="6"/>
    <n v="10"/>
    <n v="72"/>
    <x v="3"/>
    <n v="720.42"/>
    <n v="51870.239999999998"/>
    <n v="38269.863072"/>
    <n v="1758.5025082354623"/>
    <x v="1"/>
    <n v="26.22"/>
    <b v="1"/>
    <d v="2023-07-30T00:00:00"/>
    <x v="3"/>
    <x v="1"/>
    <n v="34"/>
    <x v="2"/>
    <s v="Credit Card"/>
    <s v="Not Returned"/>
  </r>
  <r>
    <s v="TID_1101"/>
    <x v="3"/>
    <x v="0"/>
    <x v="1"/>
    <x v="0"/>
    <x v="3"/>
    <x v="3"/>
    <n v="5"/>
    <n v="4"/>
    <n v="6"/>
    <n v="9"/>
    <n v="56"/>
    <x v="4"/>
    <n v="925.62"/>
    <n v="51834.720000000001"/>
    <n v="36714.532176000001"/>
    <n v="203.17161223546282"/>
    <x v="0"/>
    <n v="29.17"/>
    <b v="1"/>
    <d v="2023-10-27T00:00:00"/>
    <x v="0"/>
    <x v="1"/>
    <n v="20"/>
    <x v="0"/>
    <s v="Online Payment"/>
    <s v="Returned"/>
  </r>
  <r>
    <s v="TID_1004"/>
    <x v="5"/>
    <x v="2"/>
    <x v="2"/>
    <x v="0"/>
    <x v="4"/>
    <x v="3"/>
    <n v="7"/>
    <n v="6"/>
    <n v="6"/>
    <n v="9"/>
    <n v="54"/>
    <x v="4"/>
    <n v="959.61"/>
    <n v="51818.94"/>
    <n v="51818.94"/>
    <n v="15307.579436235465"/>
    <x v="1"/>
    <n v="22.27"/>
    <b v="0"/>
    <d v="2024-05-04T00:00:00"/>
    <x v="1"/>
    <x v="0"/>
    <n v="22"/>
    <x v="2"/>
    <s v="Debit Card"/>
    <s v="Not Returned"/>
  </r>
  <r>
    <s v="TID_1497"/>
    <x v="9"/>
    <x v="4"/>
    <x v="3"/>
    <x v="1"/>
    <x v="0"/>
    <x v="2"/>
    <n v="6"/>
    <n v="13"/>
    <n v="10"/>
    <n v="10"/>
    <n v="38"/>
    <x v="6"/>
    <n v="1361.08"/>
    <n v="51721.04"/>
    <n v="51721.04"/>
    <n v="15209.679436235463"/>
    <x v="0"/>
    <n v="13.63"/>
    <b v="0"/>
    <d v="2024-02-13T00:00:00"/>
    <x v="2"/>
    <x v="0"/>
    <n v="52"/>
    <x v="2"/>
    <s v="Cash"/>
    <s v="Not Returned"/>
  </r>
  <r>
    <s v="TID_4"/>
    <x v="4"/>
    <x v="2"/>
    <x v="1"/>
    <x v="1"/>
    <x v="1"/>
    <x v="2"/>
    <n v="6"/>
    <n v="6"/>
    <n v="10"/>
    <n v="10"/>
    <n v="36"/>
    <x v="6"/>
    <n v="1432.19"/>
    <n v="51558.84"/>
    <n v="51558.84"/>
    <n v="15047.479436235459"/>
    <x v="1"/>
    <n v="7.23"/>
    <b v="0"/>
    <d v="2024-08-30T00:00:00"/>
    <x v="3"/>
    <x v="0"/>
    <n v="63"/>
    <x v="0"/>
    <s v="Credit Card"/>
    <s v="Not Returned"/>
  </r>
  <r>
    <s v="TID_1436"/>
    <x v="0"/>
    <x v="0"/>
    <x v="1"/>
    <x v="0"/>
    <x v="3"/>
    <x v="0"/>
    <n v="5"/>
    <n v="4"/>
    <n v="6"/>
    <n v="10"/>
    <n v="39"/>
    <x v="6"/>
    <n v="1321.19"/>
    <n v="51526.41"/>
    <n v="51526.41"/>
    <n v="15015.049436235466"/>
    <x v="0"/>
    <n v="11.35"/>
    <b v="0"/>
    <d v="2024-02-20T00:00:00"/>
    <x v="2"/>
    <x v="0"/>
    <n v="62"/>
    <x v="2"/>
    <s v="Credit Card"/>
    <s v="Not Returned"/>
  </r>
  <r>
    <s v="TID_1807"/>
    <x v="6"/>
    <x v="1"/>
    <x v="1"/>
    <x v="2"/>
    <x v="1"/>
    <x v="1"/>
    <n v="6"/>
    <n v="13"/>
    <n v="10"/>
    <n v="10"/>
    <n v="84"/>
    <x v="2"/>
    <n v="611.25"/>
    <n v="51345"/>
    <n v="49912.474499999997"/>
    <n v="13401.113936235459"/>
    <x v="1"/>
    <n v="2.79"/>
    <b v="1"/>
    <d v="2023-06-05T00:00:00"/>
    <x v="1"/>
    <x v="1"/>
    <n v="56"/>
    <x v="2"/>
    <s v="Online Payment"/>
    <s v="Returned"/>
  </r>
  <r>
    <s v="TID_1244"/>
    <x v="2"/>
    <x v="1"/>
    <x v="0"/>
    <x v="1"/>
    <x v="1"/>
    <x v="3"/>
    <n v="3"/>
    <n v="13"/>
    <n v="10"/>
    <n v="9"/>
    <n v="36"/>
    <x v="6"/>
    <n v="1419.13"/>
    <n v="51088.68"/>
    <n v="51088.68"/>
    <n v="14577.319436235462"/>
    <x v="0"/>
    <n v="5.43"/>
    <b v="0"/>
    <d v="2024-09-16T00:00:00"/>
    <x v="3"/>
    <x v="0"/>
    <n v="21"/>
    <x v="2"/>
    <s v="Online Payment"/>
    <s v="Returned"/>
  </r>
  <r>
    <s v="TID_1704"/>
    <x v="6"/>
    <x v="1"/>
    <x v="0"/>
    <x v="0"/>
    <x v="0"/>
    <x v="2"/>
    <n v="6"/>
    <n v="13"/>
    <n v="6"/>
    <n v="10"/>
    <n v="67"/>
    <x v="3"/>
    <n v="761.44"/>
    <n v="51016.480000000003"/>
    <n v="51016.480000000003"/>
    <n v="14505.119436235465"/>
    <x v="0"/>
    <n v="21.46"/>
    <b v="0"/>
    <d v="2023-04-15T00:00:00"/>
    <x v="1"/>
    <x v="1"/>
    <n v="65"/>
    <x v="0"/>
    <s v="Online Payment"/>
    <s v="Not Returned"/>
  </r>
  <r>
    <s v="TID_1549"/>
    <x v="4"/>
    <x v="2"/>
    <x v="3"/>
    <x v="2"/>
    <x v="1"/>
    <x v="1"/>
    <n v="6"/>
    <n v="6"/>
    <n v="10"/>
    <n v="10"/>
    <n v="42"/>
    <x v="5"/>
    <n v="1213.8800000000001"/>
    <n v="50982.96"/>
    <n v="45176.000855999999"/>
    <n v="8664.6402922354609"/>
    <x v="0"/>
    <n v="11.39"/>
    <b v="1"/>
    <d v="2023-07-12T00:00:00"/>
    <x v="3"/>
    <x v="1"/>
    <n v="25"/>
    <x v="0"/>
    <s v="Cash"/>
    <s v="Not Returned"/>
  </r>
  <r>
    <s v="TID_1264"/>
    <x v="9"/>
    <x v="4"/>
    <x v="0"/>
    <x v="0"/>
    <x v="4"/>
    <x v="3"/>
    <n v="6"/>
    <n v="13"/>
    <n v="6"/>
    <n v="9"/>
    <n v="45"/>
    <x v="5"/>
    <n v="1131.5"/>
    <n v="50917.5"/>
    <n v="50917.5"/>
    <n v="14406.139436235462"/>
    <x v="1"/>
    <n v="17.510000000000002"/>
    <b v="0"/>
    <d v="2024-03-14T00:00:00"/>
    <x v="2"/>
    <x v="0"/>
    <n v="38"/>
    <x v="0"/>
    <s v="Cash"/>
    <s v="Not Returned"/>
  </r>
  <r>
    <s v="TID_133"/>
    <x v="7"/>
    <x v="2"/>
    <x v="2"/>
    <x v="1"/>
    <x v="1"/>
    <x v="2"/>
    <n v="2"/>
    <n v="6"/>
    <n v="10"/>
    <n v="10"/>
    <n v="92"/>
    <x v="1"/>
    <n v="551.30999999999995"/>
    <n v="50720.52"/>
    <n v="50720.52"/>
    <n v="14209.159436235459"/>
    <x v="0"/>
    <n v="10.96"/>
    <b v="0"/>
    <d v="2023-07-24T00:00:00"/>
    <x v="3"/>
    <x v="1"/>
    <n v="37"/>
    <x v="0"/>
    <s v="Credit Card"/>
    <s v="Returned"/>
  </r>
  <r>
    <s v="TID_1673"/>
    <x v="7"/>
    <x v="2"/>
    <x v="0"/>
    <x v="2"/>
    <x v="0"/>
    <x v="3"/>
    <n v="2"/>
    <n v="6"/>
    <n v="10"/>
    <n v="9"/>
    <n v="52"/>
    <x v="4"/>
    <n v="974.61"/>
    <n v="50679.72"/>
    <n v="43513.607592"/>
    <n v="7002.2470282354625"/>
    <x v="1"/>
    <n v="14.14"/>
    <b v="1"/>
    <d v="2024-03-24T00:00:00"/>
    <x v="2"/>
    <x v="0"/>
    <n v="57"/>
    <x v="0"/>
    <s v="Debit Card"/>
    <s v="Not Returned"/>
  </r>
  <r>
    <s v="TID_286"/>
    <x v="1"/>
    <x v="0"/>
    <x v="3"/>
    <x v="0"/>
    <x v="1"/>
    <x v="0"/>
    <n v="5"/>
    <n v="4"/>
    <n v="6"/>
    <n v="10"/>
    <n v="83"/>
    <x v="2"/>
    <n v="609.92999999999995"/>
    <n v="50624.19"/>
    <n v="50624.19"/>
    <n v="14112.829436235465"/>
    <x v="0"/>
    <n v="12.18"/>
    <b v="0"/>
    <d v="2024-07-08T00:00:00"/>
    <x v="3"/>
    <x v="0"/>
    <n v="56"/>
    <x v="2"/>
    <s v="Online Payment"/>
    <s v="Returned"/>
  </r>
  <r>
    <s v="TID_724"/>
    <x v="9"/>
    <x v="4"/>
    <x v="3"/>
    <x v="1"/>
    <x v="3"/>
    <x v="0"/>
    <n v="6"/>
    <n v="13"/>
    <n v="10"/>
    <n v="10"/>
    <n v="41"/>
    <x v="5"/>
    <n v="1234.5899999999999"/>
    <n v="50618.19"/>
    <n v="43298.799725999997"/>
    <n v="6787.4391622354597"/>
    <x v="0"/>
    <n v="14.46"/>
    <b v="1"/>
    <d v="2023-06-06T00:00:00"/>
    <x v="1"/>
    <x v="1"/>
    <n v="65"/>
    <x v="1"/>
    <s v="Credit Card"/>
    <s v="Not Returned"/>
  </r>
  <r>
    <s v="TID_289"/>
    <x v="2"/>
    <x v="1"/>
    <x v="0"/>
    <x v="1"/>
    <x v="0"/>
    <x v="0"/>
    <n v="3"/>
    <n v="13"/>
    <n v="10"/>
    <n v="10"/>
    <n v="35"/>
    <x v="6"/>
    <n v="1445.34"/>
    <n v="50586.9"/>
    <n v="35871.170790000004"/>
    <n v="640.18977376453404"/>
    <x v="0"/>
    <n v="29.09"/>
    <b v="1"/>
    <d v="2024-02-23T00:00:00"/>
    <x v="2"/>
    <x v="0"/>
    <n v="69"/>
    <x v="1"/>
    <s v="Debit Card"/>
    <s v="Not Returned"/>
  </r>
  <r>
    <s v="TID_1692"/>
    <x v="5"/>
    <x v="2"/>
    <x v="2"/>
    <x v="2"/>
    <x v="2"/>
    <x v="0"/>
    <n v="7"/>
    <n v="6"/>
    <n v="10"/>
    <n v="10"/>
    <n v="56"/>
    <x v="4"/>
    <n v="901.89"/>
    <n v="50505.84"/>
    <n v="37429.878023999998"/>
    <n v="918.51746023546002"/>
    <x v="0"/>
    <n v="25.89"/>
    <b v="1"/>
    <d v="2023-01-10T00:00:00"/>
    <x v="2"/>
    <x v="1"/>
    <n v="56"/>
    <x v="0"/>
    <s v="Debit Card"/>
    <s v="Returned"/>
  </r>
  <r>
    <s v="TID_940"/>
    <x v="3"/>
    <x v="0"/>
    <x v="0"/>
    <x v="0"/>
    <x v="3"/>
    <x v="2"/>
    <n v="5"/>
    <n v="4"/>
    <n v="6"/>
    <n v="10"/>
    <n v="83"/>
    <x v="2"/>
    <n v="608.32000000000005"/>
    <n v="50490.559999999998"/>
    <n v="50490.559999999998"/>
    <n v="13979.19943623546"/>
    <x v="0"/>
    <n v="12.57"/>
    <b v="0"/>
    <d v="2023-12-05T00:00:00"/>
    <x v="0"/>
    <x v="1"/>
    <n v="35"/>
    <x v="0"/>
    <s v="Credit Card"/>
    <s v="Returned"/>
  </r>
  <r>
    <s v="TID_1652"/>
    <x v="9"/>
    <x v="4"/>
    <x v="1"/>
    <x v="2"/>
    <x v="0"/>
    <x v="2"/>
    <n v="6"/>
    <n v="13"/>
    <n v="10"/>
    <n v="10"/>
    <n v="40"/>
    <x v="5"/>
    <n v="1261.19"/>
    <n v="50447.6"/>
    <n v="50447.6"/>
    <n v="13936.239436235461"/>
    <x v="0"/>
    <n v="25.58"/>
    <b v="0"/>
    <d v="2023-12-19T00:00:00"/>
    <x v="0"/>
    <x v="1"/>
    <n v="66"/>
    <x v="1"/>
    <s v="Online Payment"/>
    <s v="Returned"/>
  </r>
  <r>
    <s v="TID_1869"/>
    <x v="4"/>
    <x v="2"/>
    <x v="0"/>
    <x v="0"/>
    <x v="0"/>
    <x v="0"/>
    <n v="6"/>
    <n v="6"/>
    <n v="6"/>
    <n v="10"/>
    <n v="70"/>
    <x v="3"/>
    <n v="720.42"/>
    <n v="50429.4"/>
    <n v="42305.223660000003"/>
    <n v="5793.8630962354655"/>
    <x v="0"/>
    <n v="16.11"/>
    <b v="1"/>
    <d v="2023-01-13T00:00:00"/>
    <x v="2"/>
    <x v="1"/>
    <n v="35"/>
    <x v="1"/>
    <s v="Cash"/>
    <s v="Returned"/>
  </r>
  <r>
    <s v="TID_570"/>
    <x v="7"/>
    <x v="2"/>
    <x v="2"/>
    <x v="0"/>
    <x v="3"/>
    <x v="0"/>
    <n v="2"/>
    <n v="6"/>
    <n v="6"/>
    <n v="10"/>
    <n v="47"/>
    <x v="5"/>
    <n v="1069.49"/>
    <n v="50266.03"/>
    <n v="50266.03"/>
    <n v="13754.669436235461"/>
    <x v="1"/>
    <n v="19.43"/>
    <b v="0"/>
    <d v="2024-09-04T00:00:00"/>
    <x v="3"/>
    <x v="0"/>
    <n v="23"/>
    <x v="1"/>
    <s v="Credit Card"/>
    <s v="Not Returned"/>
  </r>
  <r>
    <s v="TID_1356"/>
    <x v="0"/>
    <x v="0"/>
    <x v="1"/>
    <x v="2"/>
    <x v="2"/>
    <x v="2"/>
    <n v="5"/>
    <n v="4"/>
    <n v="10"/>
    <n v="10"/>
    <n v="43"/>
    <x v="5"/>
    <n v="1167.43"/>
    <n v="50199.49"/>
    <n v="50199.49"/>
    <n v="13688.12943623546"/>
    <x v="1"/>
    <n v="22.08"/>
    <b v="0"/>
    <d v="2024-04-16T00:00:00"/>
    <x v="1"/>
    <x v="0"/>
    <n v="62"/>
    <x v="0"/>
    <s v="Credit Card"/>
    <s v="Not Returned"/>
  </r>
  <r>
    <s v="TID_1750"/>
    <x v="9"/>
    <x v="4"/>
    <x v="0"/>
    <x v="0"/>
    <x v="3"/>
    <x v="3"/>
    <n v="6"/>
    <n v="13"/>
    <n v="6"/>
    <n v="9"/>
    <n v="73"/>
    <x v="3"/>
    <n v="686.86"/>
    <n v="50140.78"/>
    <n v="50140.78"/>
    <n v="13629.419436235461"/>
    <x v="0"/>
    <n v="15.52"/>
    <b v="0"/>
    <d v="2024-02-19T00:00:00"/>
    <x v="2"/>
    <x v="0"/>
    <n v="33"/>
    <x v="2"/>
    <s v="Online Payment"/>
    <s v="Not Returned"/>
  </r>
  <r>
    <s v="TID_1277"/>
    <x v="2"/>
    <x v="1"/>
    <x v="1"/>
    <x v="1"/>
    <x v="4"/>
    <x v="2"/>
    <n v="3"/>
    <n v="13"/>
    <n v="10"/>
    <n v="10"/>
    <n v="38"/>
    <x v="6"/>
    <n v="1317.04"/>
    <n v="50047.519999999997"/>
    <n v="50047.519999999997"/>
    <n v="13536.159436235459"/>
    <x v="1"/>
    <n v="26.73"/>
    <b v="0"/>
    <d v="2024-08-14T00:00:00"/>
    <x v="3"/>
    <x v="0"/>
    <n v="38"/>
    <x v="0"/>
    <s v="Debit Card"/>
    <s v="Not Returned"/>
  </r>
  <r>
    <s v="TID_55"/>
    <x v="1"/>
    <x v="0"/>
    <x v="0"/>
    <x v="1"/>
    <x v="4"/>
    <x v="1"/>
    <n v="5"/>
    <n v="4"/>
    <n v="10"/>
    <n v="10"/>
    <n v="44"/>
    <x v="5"/>
    <n v="1136.28"/>
    <n v="49996.32"/>
    <n v="49996.32"/>
    <n v="13484.959436235462"/>
    <x v="1"/>
    <n v="14.34"/>
    <b v="0"/>
    <d v="2024-05-19T00:00:00"/>
    <x v="1"/>
    <x v="0"/>
    <n v="58"/>
    <x v="2"/>
    <s v="Debit Card"/>
    <s v="Not Returned"/>
  </r>
  <r>
    <s v="TID_885"/>
    <x v="9"/>
    <x v="4"/>
    <x v="0"/>
    <x v="0"/>
    <x v="1"/>
    <x v="2"/>
    <n v="6"/>
    <n v="13"/>
    <n v="6"/>
    <n v="10"/>
    <n v="52"/>
    <x v="4"/>
    <n v="959.88"/>
    <n v="49913.760000000002"/>
    <n v="44458.186032000005"/>
    <n v="7946.8254682354673"/>
    <x v="0"/>
    <n v="10.93"/>
    <b v="1"/>
    <d v="2024-04-13T00:00:00"/>
    <x v="1"/>
    <x v="0"/>
    <n v="35"/>
    <x v="1"/>
    <s v="Debit Card"/>
    <s v="Returned"/>
  </r>
  <r>
    <s v="TID_1459"/>
    <x v="1"/>
    <x v="0"/>
    <x v="3"/>
    <x v="2"/>
    <x v="1"/>
    <x v="2"/>
    <n v="5"/>
    <n v="4"/>
    <n v="10"/>
    <n v="10"/>
    <n v="34"/>
    <x v="6"/>
    <n v="1465.93"/>
    <n v="49841.62"/>
    <n v="49841.62"/>
    <n v="13330.259436235465"/>
    <x v="0"/>
    <n v="3.68"/>
    <b v="0"/>
    <d v="2023-11-27T00:00:00"/>
    <x v="0"/>
    <x v="1"/>
    <n v="27"/>
    <x v="1"/>
    <s v="Credit Card"/>
    <s v="Not Returned"/>
  </r>
  <r>
    <s v="TID_576"/>
    <x v="3"/>
    <x v="0"/>
    <x v="2"/>
    <x v="2"/>
    <x v="3"/>
    <x v="2"/>
    <n v="5"/>
    <n v="4"/>
    <n v="10"/>
    <n v="10"/>
    <n v="44"/>
    <x v="5"/>
    <n v="1132.07"/>
    <n v="49811.08"/>
    <n v="44486.275548000005"/>
    <n v="7974.9149842354673"/>
    <x v="1"/>
    <n v="10.69"/>
    <b v="1"/>
    <d v="2023-08-08T00:00:00"/>
    <x v="3"/>
    <x v="1"/>
    <n v="38"/>
    <x v="1"/>
    <s v="Debit Card"/>
    <s v="Not Returned"/>
  </r>
  <r>
    <s v="TID_497"/>
    <x v="3"/>
    <x v="0"/>
    <x v="3"/>
    <x v="0"/>
    <x v="2"/>
    <x v="1"/>
    <n v="5"/>
    <n v="4"/>
    <n v="6"/>
    <n v="10"/>
    <n v="35"/>
    <x v="6"/>
    <n v="1421.39"/>
    <n v="49748.65"/>
    <n v="48748.702135"/>
    <n v="12237.341571235462"/>
    <x v="0"/>
    <n v="2.0099999999999998"/>
    <b v="1"/>
    <d v="2024-02-26T00:00:00"/>
    <x v="2"/>
    <x v="0"/>
    <n v="46"/>
    <x v="0"/>
    <s v="Online Payment"/>
    <s v="Not Returned"/>
  </r>
  <r>
    <s v="TID_515"/>
    <x v="7"/>
    <x v="2"/>
    <x v="0"/>
    <x v="0"/>
    <x v="4"/>
    <x v="3"/>
    <n v="2"/>
    <n v="6"/>
    <n v="6"/>
    <n v="9"/>
    <n v="74"/>
    <x v="3"/>
    <n v="671.56"/>
    <n v="49695.44"/>
    <n v="49695.44"/>
    <n v="13184.079436235465"/>
    <x v="0"/>
    <n v="29.81"/>
    <b v="0"/>
    <d v="2023-01-02T00:00:00"/>
    <x v="2"/>
    <x v="1"/>
    <n v="56"/>
    <x v="2"/>
    <s v="Credit Card"/>
    <s v="Returned"/>
  </r>
  <r>
    <s v="TID_1926"/>
    <x v="9"/>
    <x v="4"/>
    <x v="2"/>
    <x v="0"/>
    <x v="0"/>
    <x v="0"/>
    <n v="6"/>
    <n v="13"/>
    <n v="6"/>
    <n v="10"/>
    <n v="62"/>
    <x v="3"/>
    <n v="800.63"/>
    <n v="49639.06"/>
    <n v="49639.06"/>
    <n v="13127.69943623546"/>
    <x v="0"/>
    <n v="26.41"/>
    <b v="0"/>
    <d v="2023-04-14T00:00:00"/>
    <x v="1"/>
    <x v="1"/>
    <n v="40"/>
    <x v="2"/>
    <s v="Debit Card"/>
    <s v="Not Returned"/>
  </r>
  <r>
    <s v="TID_554"/>
    <x v="2"/>
    <x v="1"/>
    <x v="3"/>
    <x v="0"/>
    <x v="4"/>
    <x v="3"/>
    <n v="3"/>
    <n v="13"/>
    <n v="6"/>
    <n v="9"/>
    <n v="67"/>
    <x v="3"/>
    <n v="740.29"/>
    <n v="49599.43"/>
    <n v="49599.43"/>
    <n v="13088.069436235462"/>
    <x v="1"/>
    <n v="16.21"/>
    <b v="0"/>
    <d v="2024-06-04T00:00:00"/>
    <x v="1"/>
    <x v="0"/>
    <n v="46"/>
    <x v="0"/>
    <s v="Cash"/>
    <s v="Not Returned"/>
  </r>
  <r>
    <s v="TID_136"/>
    <x v="9"/>
    <x v="4"/>
    <x v="2"/>
    <x v="0"/>
    <x v="0"/>
    <x v="3"/>
    <n v="6"/>
    <n v="13"/>
    <n v="6"/>
    <n v="9"/>
    <n v="47"/>
    <x v="5"/>
    <n v="1055.28"/>
    <n v="49598.16"/>
    <n v="49598.16"/>
    <n v="13086.799436235466"/>
    <x v="0"/>
    <n v="2.3199999999999998"/>
    <b v="0"/>
    <d v="2024-03-16T00:00:00"/>
    <x v="2"/>
    <x v="0"/>
    <n v="61"/>
    <x v="0"/>
    <s v="Cash"/>
    <s v="Returned"/>
  </r>
  <r>
    <s v="TID_1357"/>
    <x v="3"/>
    <x v="0"/>
    <x v="0"/>
    <x v="2"/>
    <x v="2"/>
    <x v="3"/>
    <n v="5"/>
    <n v="4"/>
    <n v="10"/>
    <n v="9"/>
    <n v="52"/>
    <x v="4"/>
    <n v="951.65"/>
    <n v="49485.8"/>
    <n v="49485.8"/>
    <n v="12974.439436235465"/>
    <x v="1"/>
    <n v="23.11"/>
    <b v="0"/>
    <d v="2023-06-21T00:00:00"/>
    <x v="1"/>
    <x v="1"/>
    <n v="46"/>
    <x v="2"/>
    <s v="Cash"/>
    <s v="Not Returned"/>
  </r>
  <r>
    <s v="TID_583"/>
    <x v="2"/>
    <x v="1"/>
    <x v="0"/>
    <x v="0"/>
    <x v="0"/>
    <x v="0"/>
    <n v="3"/>
    <n v="13"/>
    <n v="6"/>
    <n v="10"/>
    <n v="85"/>
    <x v="2"/>
    <n v="582.14"/>
    <n v="49481.9"/>
    <n v="45176.974700000006"/>
    <n v="8665.6141362354683"/>
    <x v="0"/>
    <n v="8.6999999999999993"/>
    <b v="1"/>
    <d v="2023-11-01T00:00:00"/>
    <x v="0"/>
    <x v="1"/>
    <n v="69"/>
    <x v="0"/>
    <s v="Cash"/>
    <s v="Not Returned"/>
  </r>
  <r>
    <s v="TID_67"/>
    <x v="5"/>
    <x v="2"/>
    <x v="1"/>
    <x v="2"/>
    <x v="0"/>
    <x v="3"/>
    <n v="7"/>
    <n v="6"/>
    <n v="10"/>
    <n v="9"/>
    <n v="57"/>
    <x v="4"/>
    <n v="868.08"/>
    <n v="49480.56"/>
    <n v="49480.56"/>
    <n v="12969.19943623546"/>
    <x v="1"/>
    <n v="27.62"/>
    <b v="0"/>
    <d v="2023-10-23T00:00:00"/>
    <x v="0"/>
    <x v="1"/>
    <n v="41"/>
    <x v="1"/>
    <s v="Cash"/>
    <s v="Returned"/>
  </r>
  <r>
    <s v="TID_506"/>
    <x v="8"/>
    <x v="3"/>
    <x v="1"/>
    <x v="1"/>
    <x v="1"/>
    <x v="1"/>
    <n v="9"/>
    <n v="7"/>
    <n v="10"/>
    <n v="10"/>
    <n v="59"/>
    <x v="4"/>
    <n v="838.13"/>
    <n v="49449.67"/>
    <n v="40840.482452999997"/>
    <n v="4329.1218892354591"/>
    <x v="0"/>
    <n v="17.41"/>
    <b v="1"/>
    <d v="2023-05-05T00:00:00"/>
    <x v="1"/>
    <x v="1"/>
    <n v="54"/>
    <x v="2"/>
    <s v="Cash"/>
    <s v="Not Returned"/>
  </r>
  <r>
    <s v="TID_1040"/>
    <x v="9"/>
    <x v="4"/>
    <x v="1"/>
    <x v="0"/>
    <x v="0"/>
    <x v="1"/>
    <n v="6"/>
    <n v="13"/>
    <n v="6"/>
    <n v="10"/>
    <n v="75"/>
    <x v="3"/>
    <n v="659.1"/>
    <n v="49432.5"/>
    <n v="49432.5"/>
    <n v="12921.139436235462"/>
    <x v="0"/>
    <n v="8.7899999999999991"/>
    <b v="0"/>
    <d v="2024-05-26T00:00:00"/>
    <x v="1"/>
    <x v="0"/>
    <n v="68"/>
    <x v="2"/>
    <s v="Credit Card"/>
    <s v="Returned"/>
  </r>
  <r>
    <s v="TID_308"/>
    <x v="4"/>
    <x v="2"/>
    <x v="3"/>
    <x v="2"/>
    <x v="1"/>
    <x v="2"/>
    <n v="6"/>
    <n v="6"/>
    <n v="10"/>
    <n v="10"/>
    <n v="91"/>
    <x v="1"/>
    <n v="540.29999999999995"/>
    <n v="49167.3"/>
    <n v="49167.3"/>
    <n v="12655.939436235465"/>
    <x v="1"/>
    <n v="21.38"/>
    <b v="0"/>
    <d v="2023-07-02T00:00:00"/>
    <x v="3"/>
    <x v="1"/>
    <n v="46"/>
    <x v="0"/>
    <s v="Cash"/>
    <s v="Returned"/>
  </r>
  <r>
    <s v="TID_929"/>
    <x v="1"/>
    <x v="0"/>
    <x v="3"/>
    <x v="2"/>
    <x v="4"/>
    <x v="0"/>
    <n v="5"/>
    <n v="4"/>
    <n v="10"/>
    <n v="10"/>
    <n v="52"/>
    <x v="4"/>
    <n v="945.32"/>
    <n v="49156.639999999999"/>
    <n v="46467.771792"/>
    <n v="9956.4112282354617"/>
    <x v="1"/>
    <n v="5.47"/>
    <b v="1"/>
    <d v="2023-11-12T00:00:00"/>
    <x v="0"/>
    <x v="1"/>
    <n v="50"/>
    <x v="2"/>
    <s v="Debit Card"/>
    <s v="Returned"/>
  </r>
  <r>
    <s v="TID_932"/>
    <x v="7"/>
    <x v="2"/>
    <x v="3"/>
    <x v="2"/>
    <x v="1"/>
    <x v="2"/>
    <n v="2"/>
    <n v="6"/>
    <n v="10"/>
    <n v="10"/>
    <n v="35"/>
    <x v="6"/>
    <n v="1400.77"/>
    <n v="49026.95"/>
    <n v="48374.891564999998"/>
    <n v="11863.53100123546"/>
    <x v="1"/>
    <n v="1.33"/>
    <b v="1"/>
    <d v="2023-07-22T00:00:00"/>
    <x v="3"/>
    <x v="1"/>
    <n v="56"/>
    <x v="0"/>
    <s v="Cash"/>
    <s v="Returned"/>
  </r>
  <r>
    <s v="TID_777"/>
    <x v="5"/>
    <x v="2"/>
    <x v="3"/>
    <x v="2"/>
    <x v="3"/>
    <x v="2"/>
    <n v="7"/>
    <n v="6"/>
    <n v="10"/>
    <n v="10"/>
    <n v="49"/>
    <x v="5"/>
    <n v="1000.41"/>
    <n v="49020.09"/>
    <n v="49020.09"/>
    <n v="12508.729436235459"/>
    <x v="1"/>
    <n v="23.79"/>
    <b v="0"/>
    <d v="2024-07-03T00:00:00"/>
    <x v="3"/>
    <x v="0"/>
    <n v="48"/>
    <x v="1"/>
    <s v="Debit Card"/>
    <s v="Returned"/>
  </r>
  <r>
    <s v="TID_1083"/>
    <x v="7"/>
    <x v="2"/>
    <x v="1"/>
    <x v="0"/>
    <x v="4"/>
    <x v="3"/>
    <n v="2"/>
    <n v="6"/>
    <n v="6"/>
    <n v="9"/>
    <n v="94"/>
    <x v="1"/>
    <n v="521.33000000000004"/>
    <n v="49005.02"/>
    <n v="48456.163775999994"/>
    <n v="11944.803212235456"/>
    <x v="0"/>
    <n v="1.1200000000000001"/>
    <b v="1"/>
    <d v="2024-09-15T00:00:00"/>
    <x v="3"/>
    <x v="0"/>
    <n v="55"/>
    <x v="0"/>
    <s v="Debit Card"/>
    <s v="Returned"/>
  </r>
  <r>
    <s v="TID_56"/>
    <x v="5"/>
    <x v="2"/>
    <x v="1"/>
    <x v="1"/>
    <x v="0"/>
    <x v="1"/>
    <n v="7"/>
    <n v="6"/>
    <n v="10"/>
    <n v="10"/>
    <n v="93"/>
    <x v="1"/>
    <n v="526.72"/>
    <n v="48984.959999999999"/>
    <n v="48984.959999999999"/>
    <n v="12473.599436235461"/>
    <x v="1"/>
    <n v="16.47"/>
    <b v="0"/>
    <d v="2023-09-01T00:00:00"/>
    <x v="3"/>
    <x v="1"/>
    <n v="37"/>
    <x v="0"/>
    <s v="Cash"/>
    <s v="Not Returned"/>
  </r>
  <r>
    <s v="TID_1506"/>
    <x v="5"/>
    <x v="2"/>
    <x v="2"/>
    <x v="2"/>
    <x v="4"/>
    <x v="0"/>
    <n v="7"/>
    <n v="6"/>
    <n v="10"/>
    <n v="10"/>
    <n v="33"/>
    <x v="6"/>
    <n v="1484.32"/>
    <n v="48982.559999999998"/>
    <n v="48982.559999999998"/>
    <n v="12471.19943623546"/>
    <x v="0"/>
    <n v="15"/>
    <b v="0"/>
    <d v="2024-10-07T00:00:00"/>
    <x v="0"/>
    <x v="0"/>
    <n v="32"/>
    <x v="1"/>
    <s v="Online Payment"/>
    <s v="Returned"/>
  </r>
  <r>
    <s v="TID_1514"/>
    <x v="9"/>
    <x v="4"/>
    <x v="0"/>
    <x v="2"/>
    <x v="2"/>
    <x v="3"/>
    <n v="6"/>
    <n v="13"/>
    <n v="10"/>
    <n v="9"/>
    <n v="82"/>
    <x v="2"/>
    <n v="596.80999999999995"/>
    <n v="48938.42"/>
    <n v="36899.568679999997"/>
    <n v="388.20811623545887"/>
    <x v="0"/>
    <n v="24.6"/>
    <b v="1"/>
    <d v="2023-07-10T00:00:00"/>
    <x v="3"/>
    <x v="1"/>
    <n v="22"/>
    <x v="2"/>
    <s v="Cash"/>
    <s v="Returned"/>
  </r>
  <r>
    <s v="TID_1947"/>
    <x v="8"/>
    <x v="3"/>
    <x v="0"/>
    <x v="0"/>
    <x v="4"/>
    <x v="3"/>
    <n v="9"/>
    <n v="7"/>
    <n v="6"/>
    <n v="9"/>
    <n v="44"/>
    <x v="5"/>
    <n v="1111.8399999999999"/>
    <n v="48920.959999999999"/>
    <n v="48920.959999999999"/>
    <n v="12409.599436235461"/>
    <x v="0"/>
    <n v="17.21"/>
    <b v="0"/>
    <d v="2023-04-22T00:00:00"/>
    <x v="1"/>
    <x v="1"/>
    <n v="58"/>
    <x v="0"/>
    <s v="Credit Card"/>
    <s v="Not Returned"/>
  </r>
  <r>
    <s v="TID_1853"/>
    <x v="6"/>
    <x v="1"/>
    <x v="1"/>
    <x v="2"/>
    <x v="0"/>
    <x v="0"/>
    <n v="6"/>
    <n v="13"/>
    <n v="10"/>
    <n v="10"/>
    <n v="55"/>
    <x v="4"/>
    <n v="887.72"/>
    <n v="48824.6"/>
    <n v="36262.030419999996"/>
    <n v="249.3301437645423"/>
    <x v="1"/>
    <n v="25.73"/>
    <b v="1"/>
    <d v="2024-09-18T00:00:00"/>
    <x v="3"/>
    <x v="0"/>
    <n v="56"/>
    <x v="1"/>
    <s v="Cash"/>
    <s v="Not Returned"/>
  </r>
  <r>
    <s v="TID_1112"/>
    <x v="1"/>
    <x v="0"/>
    <x v="0"/>
    <x v="1"/>
    <x v="0"/>
    <x v="3"/>
    <n v="5"/>
    <n v="4"/>
    <n v="10"/>
    <n v="9"/>
    <n v="86"/>
    <x v="2"/>
    <n v="567.5"/>
    <n v="48805"/>
    <n v="48805"/>
    <n v="12293.639436235462"/>
    <x v="0"/>
    <n v="7.67"/>
    <b v="0"/>
    <d v="2024-09-16T00:00:00"/>
    <x v="3"/>
    <x v="0"/>
    <n v="35"/>
    <x v="2"/>
    <s v="Cash"/>
    <s v="Not Returned"/>
  </r>
  <r>
    <s v="TID_1742"/>
    <x v="7"/>
    <x v="2"/>
    <x v="2"/>
    <x v="0"/>
    <x v="4"/>
    <x v="0"/>
    <n v="2"/>
    <n v="6"/>
    <n v="6"/>
    <n v="10"/>
    <n v="41"/>
    <x v="5"/>
    <n v="1190.1199999999999"/>
    <n v="48794.92"/>
    <n v="37777.027064000002"/>
    <n v="1265.6665002354639"/>
    <x v="1"/>
    <n v="22.58"/>
    <b v="1"/>
    <d v="2024-05-23T00:00:00"/>
    <x v="1"/>
    <x v="0"/>
    <n v="54"/>
    <x v="0"/>
    <s v="Debit Card"/>
    <s v="Not Returned"/>
  </r>
  <r>
    <s v="TID_684"/>
    <x v="9"/>
    <x v="4"/>
    <x v="3"/>
    <x v="2"/>
    <x v="3"/>
    <x v="0"/>
    <n v="6"/>
    <n v="13"/>
    <n v="10"/>
    <n v="10"/>
    <n v="57"/>
    <x v="4"/>
    <n v="853.49"/>
    <n v="48648.93"/>
    <n v="48648.93"/>
    <n v="12137.569436235462"/>
    <x v="1"/>
    <n v="15.94"/>
    <b v="0"/>
    <d v="2023-12-12T00:00:00"/>
    <x v="0"/>
    <x v="1"/>
    <n v="64"/>
    <x v="2"/>
    <s v="Credit Card"/>
    <s v="Not Returned"/>
  </r>
  <r>
    <s v="TID_1022"/>
    <x v="9"/>
    <x v="4"/>
    <x v="1"/>
    <x v="0"/>
    <x v="0"/>
    <x v="3"/>
    <n v="6"/>
    <n v="13"/>
    <n v="6"/>
    <n v="9"/>
    <n v="41"/>
    <x v="5"/>
    <n v="1185.8399999999999"/>
    <n v="48619.44"/>
    <n v="48619.44"/>
    <n v="12108.079436235465"/>
    <x v="0"/>
    <n v="2.42"/>
    <b v="0"/>
    <d v="2023-04-02T00:00:00"/>
    <x v="1"/>
    <x v="1"/>
    <n v="42"/>
    <x v="2"/>
    <s v="Online Payment"/>
    <s v="Not Returned"/>
  </r>
  <r>
    <s v="TID_1832"/>
    <x v="1"/>
    <x v="0"/>
    <x v="2"/>
    <x v="2"/>
    <x v="1"/>
    <x v="1"/>
    <n v="5"/>
    <n v="4"/>
    <n v="10"/>
    <n v="10"/>
    <n v="95"/>
    <x v="1"/>
    <n v="511.04"/>
    <n v="48548.800000000003"/>
    <n v="48548.800000000003"/>
    <n v="12037.439436235465"/>
    <x v="0"/>
    <n v="20.399999999999999"/>
    <b v="0"/>
    <d v="2024-05-26T00:00:00"/>
    <x v="1"/>
    <x v="0"/>
    <n v="64"/>
    <x v="2"/>
    <s v="Debit Card"/>
    <s v="Returned"/>
  </r>
  <r>
    <s v="TID_812"/>
    <x v="0"/>
    <x v="0"/>
    <x v="2"/>
    <x v="2"/>
    <x v="0"/>
    <x v="2"/>
    <n v="5"/>
    <n v="4"/>
    <n v="10"/>
    <n v="10"/>
    <n v="72"/>
    <x v="3"/>
    <n v="674.22"/>
    <n v="48543.839999999997"/>
    <n v="48543.839999999997"/>
    <n v="12032.479436235459"/>
    <x v="0"/>
    <n v="12.77"/>
    <b v="0"/>
    <d v="2023-04-19T00:00:00"/>
    <x v="1"/>
    <x v="1"/>
    <n v="20"/>
    <x v="0"/>
    <s v="Credit Card"/>
    <s v="Not Returned"/>
  </r>
  <r>
    <s v="TID_646"/>
    <x v="4"/>
    <x v="2"/>
    <x v="3"/>
    <x v="2"/>
    <x v="0"/>
    <x v="0"/>
    <n v="6"/>
    <n v="6"/>
    <n v="10"/>
    <n v="10"/>
    <n v="59"/>
    <x v="4"/>
    <n v="822.39"/>
    <n v="48521.01"/>
    <n v="42722.749305000005"/>
    <n v="6211.388741235467"/>
    <x v="0"/>
    <n v="11.95"/>
    <b v="1"/>
    <d v="2023-12-02T00:00:00"/>
    <x v="0"/>
    <x v="1"/>
    <n v="65"/>
    <x v="2"/>
    <s v="Debit Card"/>
    <s v="Not Returned"/>
  </r>
  <r>
    <s v="TID_828"/>
    <x v="1"/>
    <x v="0"/>
    <x v="3"/>
    <x v="1"/>
    <x v="2"/>
    <x v="2"/>
    <n v="5"/>
    <n v="4"/>
    <n v="10"/>
    <n v="10"/>
    <n v="63"/>
    <x v="3"/>
    <n v="769.78"/>
    <n v="48496.14"/>
    <n v="38326.499442"/>
    <n v="1815.1388782354625"/>
    <x v="0"/>
    <n v="20.97"/>
    <b v="1"/>
    <d v="2023-09-16T00:00:00"/>
    <x v="3"/>
    <x v="1"/>
    <n v="61"/>
    <x v="0"/>
    <s v="Debit Card"/>
    <s v="Returned"/>
  </r>
  <r>
    <s v="TID_1697"/>
    <x v="0"/>
    <x v="0"/>
    <x v="0"/>
    <x v="2"/>
    <x v="1"/>
    <x v="1"/>
    <n v="5"/>
    <n v="4"/>
    <n v="10"/>
    <n v="10"/>
    <n v="39"/>
    <x v="6"/>
    <n v="1242.6500000000001"/>
    <n v="48463.35"/>
    <n v="48463.35"/>
    <n v="11951.989436235461"/>
    <x v="1"/>
    <n v="0.66"/>
    <b v="0"/>
    <d v="2023-05-08T00:00:00"/>
    <x v="1"/>
    <x v="1"/>
    <n v="64"/>
    <x v="0"/>
    <s v="Online Payment"/>
    <s v="Not Returned"/>
  </r>
  <r>
    <s v="TID_1193"/>
    <x v="4"/>
    <x v="2"/>
    <x v="0"/>
    <x v="1"/>
    <x v="2"/>
    <x v="3"/>
    <n v="6"/>
    <n v="6"/>
    <n v="10"/>
    <n v="9"/>
    <n v="42"/>
    <x v="5"/>
    <n v="1152.99"/>
    <n v="48425.58"/>
    <n v="48425.58"/>
    <n v="11914.219436235464"/>
    <x v="0"/>
    <n v="6.22"/>
    <b v="0"/>
    <d v="2023-09-30T00:00:00"/>
    <x v="3"/>
    <x v="1"/>
    <n v="48"/>
    <x v="1"/>
    <s v="Credit Card"/>
    <s v="Not Returned"/>
  </r>
  <r>
    <s v="TID_667"/>
    <x v="4"/>
    <x v="2"/>
    <x v="1"/>
    <x v="2"/>
    <x v="4"/>
    <x v="3"/>
    <n v="6"/>
    <n v="6"/>
    <n v="10"/>
    <n v="9"/>
    <n v="95"/>
    <x v="1"/>
    <n v="508.93"/>
    <n v="48348.35"/>
    <n v="48348.35"/>
    <n v="11836.989436235461"/>
    <x v="1"/>
    <n v="2.54"/>
    <b v="0"/>
    <d v="2023-05-14T00:00:00"/>
    <x v="1"/>
    <x v="1"/>
    <n v="50"/>
    <x v="2"/>
    <s v="Online Payment"/>
    <s v="Returned"/>
  </r>
  <r>
    <s v="TID_313"/>
    <x v="0"/>
    <x v="0"/>
    <x v="1"/>
    <x v="2"/>
    <x v="1"/>
    <x v="0"/>
    <n v="5"/>
    <n v="4"/>
    <n v="10"/>
    <n v="10"/>
    <n v="60"/>
    <x v="4"/>
    <n v="804.27"/>
    <n v="48256.2"/>
    <n v="43010.751059999995"/>
    <n v="6499.3904962354572"/>
    <x v="1"/>
    <n v="10.87"/>
    <b v="1"/>
    <d v="2024-10-14T00:00:00"/>
    <x v="0"/>
    <x v="0"/>
    <n v="32"/>
    <x v="1"/>
    <s v="Cash"/>
    <s v="Returned"/>
  </r>
  <r>
    <s v="TID_1460"/>
    <x v="2"/>
    <x v="1"/>
    <x v="3"/>
    <x v="0"/>
    <x v="2"/>
    <x v="2"/>
    <n v="3"/>
    <n v="13"/>
    <n v="6"/>
    <n v="10"/>
    <n v="49"/>
    <x v="5"/>
    <n v="984.77"/>
    <n v="48253.73"/>
    <n v="34274.624419"/>
    <n v="2236.736144764538"/>
    <x v="1"/>
    <n v="28.97"/>
    <b v="1"/>
    <d v="2024-04-11T00:00:00"/>
    <x v="1"/>
    <x v="0"/>
    <n v="35"/>
    <x v="1"/>
    <s v="Online Payment"/>
    <s v="Not Returned"/>
  </r>
  <r>
    <s v="TID_895"/>
    <x v="0"/>
    <x v="0"/>
    <x v="2"/>
    <x v="1"/>
    <x v="0"/>
    <x v="2"/>
    <n v="5"/>
    <n v="4"/>
    <n v="10"/>
    <n v="10"/>
    <n v="44"/>
    <x v="5"/>
    <n v="1089.97"/>
    <n v="47958.68"/>
    <n v="47958.68"/>
    <n v="11447.319436235462"/>
    <x v="1"/>
    <n v="25.88"/>
    <b v="0"/>
    <d v="2023-06-16T00:00:00"/>
    <x v="1"/>
    <x v="1"/>
    <n v="42"/>
    <x v="2"/>
    <s v="Debit Card"/>
    <s v="Not Returned"/>
  </r>
  <r>
    <s v="TID_747"/>
    <x v="9"/>
    <x v="4"/>
    <x v="2"/>
    <x v="0"/>
    <x v="3"/>
    <x v="2"/>
    <n v="6"/>
    <n v="13"/>
    <n v="6"/>
    <n v="10"/>
    <n v="40"/>
    <x v="5"/>
    <n v="1198.46"/>
    <n v="47938.400000000001"/>
    <n v="45603.799920000005"/>
    <n v="9092.4393562354671"/>
    <x v="1"/>
    <n v="4.87"/>
    <b v="1"/>
    <d v="2023-06-01T00:00:00"/>
    <x v="1"/>
    <x v="1"/>
    <n v="63"/>
    <x v="1"/>
    <s v="Debit Card"/>
    <s v="Not Returned"/>
  </r>
  <r>
    <s v="TID_1606"/>
    <x v="8"/>
    <x v="3"/>
    <x v="0"/>
    <x v="1"/>
    <x v="1"/>
    <x v="1"/>
    <n v="9"/>
    <n v="7"/>
    <n v="10"/>
    <n v="10"/>
    <n v="80"/>
    <x v="3"/>
    <n v="594.11"/>
    <n v="47528.800000000003"/>
    <n v="47528.800000000003"/>
    <n v="11017.439436235465"/>
    <x v="0"/>
    <n v="7.27"/>
    <b v="0"/>
    <d v="2024-09-16T00:00:00"/>
    <x v="3"/>
    <x v="0"/>
    <n v="55"/>
    <x v="2"/>
    <s v="Online Payment"/>
    <s v="Returned"/>
  </r>
  <r>
    <s v="TID_350"/>
    <x v="6"/>
    <x v="1"/>
    <x v="0"/>
    <x v="0"/>
    <x v="0"/>
    <x v="0"/>
    <n v="6"/>
    <n v="13"/>
    <n v="6"/>
    <n v="10"/>
    <n v="39"/>
    <x v="6"/>
    <n v="1218.27"/>
    <n v="47512.53"/>
    <n v="47512.53"/>
    <n v="11001.169436235461"/>
    <x v="0"/>
    <n v="22.16"/>
    <b v="0"/>
    <d v="2023-04-07T00:00:00"/>
    <x v="1"/>
    <x v="1"/>
    <n v="32"/>
    <x v="1"/>
    <s v="Cash"/>
    <s v="Returned"/>
  </r>
  <r>
    <s v="TID_166"/>
    <x v="2"/>
    <x v="1"/>
    <x v="1"/>
    <x v="2"/>
    <x v="2"/>
    <x v="0"/>
    <n v="3"/>
    <n v="13"/>
    <n v="10"/>
    <n v="10"/>
    <n v="68"/>
    <x v="3"/>
    <n v="698.46"/>
    <n v="47495.28"/>
    <n v="47495.28"/>
    <n v="10983.919436235461"/>
    <x v="1"/>
    <n v="12.01"/>
    <b v="0"/>
    <d v="2023-09-26T00:00:00"/>
    <x v="3"/>
    <x v="1"/>
    <n v="34"/>
    <x v="2"/>
    <s v="Online Payment"/>
    <s v="Not Returned"/>
  </r>
  <r>
    <s v="TID_1888"/>
    <x v="4"/>
    <x v="2"/>
    <x v="1"/>
    <x v="1"/>
    <x v="0"/>
    <x v="1"/>
    <n v="6"/>
    <n v="6"/>
    <n v="10"/>
    <n v="10"/>
    <n v="61"/>
    <x v="3"/>
    <n v="778.13"/>
    <n v="47465.93"/>
    <n v="47465.93"/>
    <n v="10954.569436235462"/>
    <x v="1"/>
    <n v="28.5"/>
    <b v="0"/>
    <d v="2023-10-15T00:00:00"/>
    <x v="0"/>
    <x v="1"/>
    <n v="62"/>
    <x v="1"/>
    <s v="Online Payment"/>
    <s v="Returned"/>
  </r>
  <r>
    <s v="TID_829"/>
    <x v="8"/>
    <x v="3"/>
    <x v="1"/>
    <x v="0"/>
    <x v="4"/>
    <x v="0"/>
    <n v="9"/>
    <n v="7"/>
    <n v="6"/>
    <n v="10"/>
    <n v="96"/>
    <x v="0"/>
    <n v="493.7"/>
    <n v="47395.199999999997"/>
    <n v="47395.199999999997"/>
    <n v="10883.839436235459"/>
    <x v="1"/>
    <n v="26.89"/>
    <b v="0"/>
    <d v="2024-03-14T00:00:00"/>
    <x v="2"/>
    <x v="0"/>
    <n v="21"/>
    <x v="1"/>
    <s v="Cash"/>
    <s v="Returned"/>
  </r>
  <r>
    <s v="TID_884"/>
    <x v="1"/>
    <x v="0"/>
    <x v="3"/>
    <x v="0"/>
    <x v="2"/>
    <x v="0"/>
    <n v="5"/>
    <n v="4"/>
    <n v="6"/>
    <n v="10"/>
    <n v="85"/>
    <x v="2"/>
    <n v="557.28"/>
    <n v="47368.800000000003"/>
    <n v="47368.800000000003"/>
    <n v="10857.439436235465"/>
    <x v="0"/>
    <n v="6.16"/>
    <b v="0"/>
    <d v="2023-11-25T00:00:00"/>
    <x v="0"/>
    <x v="1"/>
    <n v="65"/>
    <x v="0"/>
    <s v="Debit Card"/>
    <s v="Returned"/>
  </r>
  <r>
    <s v="TID_1513"/>
    <x v="8"/>
    <x v="3"/>
    <x v="2"/>
    <x v="0"/>
    <x v="0"/>
    <x v="3"/>
    <n v="9"/>
    <n v="7"/>
    <n v="6"/>
    <n v="9"/>
    <n v="87"/>
    <x v="2"/>
    <n v="543.97"/>
    <n v="47325.39"/>
    <n v="47325.39"/>
    <n v="10814.029436235462"/>
    <x v="0"/>
    <n v="10.38"/>
    <b v="0"/>
    <d v="2024-09-30T00:00:00"/>
    <x v="3"/>
    <x v="0"/>
    <n v="41"/>
    <x v="1"/>
    <s v="Debit Card"/>
    <s v="Returned"/>
  </r>
  <r>
    <s v="TID_753"/>
    <x v="9"/>
    <x v="4"/>
    <x v="3"/>
    <x v="1"/>
    <x v="4"/>
    <x v="3"/>
    <n v="6"/>
    <n v="13"/>
    <n v="10"/>
    <n v="9"/>
    <n v="33"/>
    <x v="6"/>
    <n v="1431.33"/>
    <n v="47233.89"/>
    <n v="47233.89"/>
    <n v="10722.529436235462"/>
    <x v="1"/>
    <n v="18.440000000000001"/>
    <b v="0"/>
    <d v="2023-08-29T00:00:00"/>
    <x v="3"/>
    <x v="1"/>
    <n v="24"/>
    <x v="2"/>
    <s v="Online Payment"/>
    <s v="Returned"/>
  </r>
  <r>
    <s v="TID_1527"/>
    <x v="9"/>
    <x v="4"/>
    <x v="3"/>
    <x v="0"/>
    <x v="0"/>
    <x v="0"/>
    <n v="6"/>
    <n v="13"/>
    <n v="6"/>
    <n v="10"/>
    <n v="78"/>
    <x v="3"/>
    <n v="605.22"/>
    <n v="47207.16"/>
    <n v="47207.16"/>
    <n v="10695.799436235466"/>
    <x v="0"/>
    <n v="11.42"/>
    <b v="0"/>
    <d v="2023-12-15T00:00:00"/>
    <x v="0"/>
    <x v="1"/>
    <n v="49"/>
    <x v="2"/>
    <s v="Online Payment"/>
    <s v="Not Returned"/>
  </r>
  <r>
    <s v="TID_977"/>
    <x v="5"/>
    <x v="2"/>
    <x v="1"/>
    <x v="0"/>
    <x v="0"/>
    <x v="0"/>
    <n v="7"/>
    <n v="6"/>
    <n v="6"/>
    <n v="10"/>
    <n v="83"/>
    <x v="2"/>
    <n v="566.76"/>
    <n v="47041.08"/>
    <n v="42242.889840000003"/>
    <n v="5731.5292762354657"/>
    <x v="1"/>
    <n v="10.199999999999999"/>
    <b v="1"/>
    <d v="2023-02-17T00:00:00"/>
    <x v="2"/>
    <x v="1"/>
    <n v="19"/>
    <x v="1"/>
    <s v="Debit Card"/>
    <s v="Not Returned"/>
  </r>
  <r>
    <s v="TID_238"/>
    <x v="0"/>
    <x v="0"/>
    <x v="2"/>
    <x v="0"/>
    <x v="0"/>
    <x v="0"/>
    <n v="5"/>
    <n v="4"/>
    <n v="6"/>
    <n v="10"/>
    <n v="40"/>
    <x v="5"/>
    <n v="1172.01"/>
    <n v="46880.4"/>
    <n v="35558.7834"/>
    <n v="952.57716376453754"/>
    <x v="1"/>
    <n v="24.15"/>
    <b v="1"/>
    <d v="2023-03-24T00:00:00"/>
    <x v="2"/>
    <x v="1"/>
    <n v="65"/>
    <x v="1"/>
    <s v="Debit Card"/>
    <s v="Not Returned"/>
  </r>
  <r>
    <s v="TID_1023"/>
    <x v="5"/>
    <x v="2"/>
    <x v="1"/>
    <x v="1"/>
    <x v="3"/>
    <x v="2"/>
    <n v="7"/>
    <n v="6"/>
    <n v="10"/>
    <n v="10"/>
    <n v="83"/>
    <x v="2"/>
    <n v="560.84"/>
    <n v="46549.72"/>
    <n v="46549.72"/>
    <n v="10038.359436235463"/>
    <x v="0"/>
    <n v="29.41"/>
    <b v="0"/>
    <d v="2023-07-04T00:00:00"/>
    <x v="3"/>
    <x v="1"/>
    <n v="45"/>
    <x v="0"/>
    <s v="Cash"/>
    <s v="Returned"/>
  </r>
  <r>
    <s v="TID_702"/>
    <x v="8"/>
    <x v="3"/>
    <x v="2"/>
    <x v="2"/>
    <x v="0"/>
    <x v="2"/>
    <n v="9"/>
    <n v="7"/>
    <n v="10"/>
    <n v="10"/>
    <n v="82"/>
    <x v="2"/>
    <n v="566.89"/>
    <n v="46484.98"/>
    <n v="44174.676494000007"/>
    <n v="7663.3159302354688"/>
    <x v="0"/>
    <n v="4.97"/>
    <b v="1"/>
    <d v="2023-10-18T00:00:00"/>
    <x v="0"/>
    <x v="1"/>
    <n v="36"/>
    <x v="1"/>
    <s v="Cash"/>
    <s v="Returned"/>
  </r>
  <r>
    <s v="TID_18"/>
    <x v="1"/>
    <x v="0"/>
    <x v="3"/>
    <x v="2"/>
    <x v="2"/>
    <x v="1"/>
    <n v="5"/>
    <n v="4"/>
    <n v="10"/>
    <n v="10"/>
    <n v="46"/>
    <x v="5"/>
    <n v="1009.72"/>
    <n v="46447.12"/>
    <n v="46447.12"/>
    <n v="9935.7594362354648"/>
    <x v="0"/>
    <n v="12.66"/>
    <b v="0"/>
    <d v="2023-04-13T00:00:00"/>
    <x v="1"/>
    <x v="1"/>
    <n v="18"/>
    <x v="1"/>
    <s v="Cash"/>
    <s v="Returned"/>
  </r>
  <r>
    <s v="TID_499"/>
    <x v="0"/>
    <x v="0"/>
    <x v="1"/>
    <x v="2"/>
    <x v="4"/>
    <x v="2"/>
    <n v="5"/>
    <n v="4"/>
    <n v="10"/>
    <n v="10"/>
    <n v="77"/>
    <x v="3"/>
    <n v="603.04999999999995"/>
    <n v="46434.85"/>
    <n v="46434.85"/>
    <n v="9923.4894362354607"/>
    <x v="0"/>
    <n v="11.75"/>
    <b v="0"/>
    <d v="2023-03-13T00:00:00"/>
    <x v="2"/>
    <x v="1"/>
    <n v="55"/>
    <x v="2"/>
    <s v="Cash"/>
    <s v="Returned"/>
  </r>
  <r>
    <s v="TID_528"/>
    <x v="4"/>
    <x v="2"/>
    <x v="2"/>
    <x v="1"/>
    <x v="1"/>
    <x v="3"/>
    <n v="6"/>
    <n v="6"/>
    <n v="10"/>
    <n v="9"/>
    <n v="35"/>
    <x v="6"/>
    <n v="1325.73"/>
    <n v="46400.55"/>
    <n v="35412.89976"/>
    <n v="1098.4608037645376"/>
    <x v="1"/>
    <n v="23.68"/>
    <b v="1"/>
    <d v="2024-03-03T00:00:00"/>
    <x v="2"/>
    <x v="0"/>
    <n v="24"/>
    <x v="1"/>
    <s v="Debit Card"/>
    <s v="Returned"/>
  </r>
  <r>
    <s v="TID_1124"/>
    <x v="7"/>
    <x v="2"/>
    <x v="1"/>
    <x v="0"/>
    <x v="2"/>
    <x v="0"/>
    <n v="2"/>
    <n v="6"/>
    <n v="6"/>
    <n v="10"/>
    <n v="32"/>
    <x v="6"/>
    <n v="1448.36"/>
    <n v="46347.519999999997"/>
    <n v="46347.519999999997"/>
    <n v="9836.159436235459"/>
    <x v="1"/>
    <n v="24.61"/>
    <b v="0"/>
    <d v="2024-04-18T00:00:00"/>
    <x v="1"/>
    <x v="0"/>
    <n v="44"/>
    <x v="2"/>
    <s v="Cash"/>
    <s v="Returned"/>
  </r>
  <r>
    <s v="TID_1799"/>
    <x v="3"/>
    <x v="0"/>
    <x v="1"/>
    <x v="0"/>
    <x v="0"/>
    <x v="0"/>
    <n v="5"/>
    <n v="4"/>
    <n v="6"/>
    <n v="10"/>
    <n v="43"/>
    <x v="5"/>
    <n v="1074.23"/>
    <n v="46191.89"/>
    <n v="46191.89"/>
    <n v="9680.5294362354616"/>
    <x v="1"/>
    <n v="6.88"/>
    <b v="0"/>
    <d v="2024-01-17T00:00:00"/>
    <x v="2"/>
    <x v="0"/>
    <n v="21"/>
    <x v="0"/>
    <s v="Online Payment"/>
    <s v="Not Returned"/>
  </r>
  <r>
    <s v="TID_1798"/>
    <x v="0"/>
    <x v="0"/>
    <x v="3"/>
    <x v="2"/>
    <x v="4"/>
    <x v="3"/>
    <n v="5"/>
    <n v="4"/>
    <n v="10"/>
    <n v="9"/>
    <n v="36"/>
    <x v="6"/>
    <n v="1282.8900000000001"/>
    <n v="46184.04"/>
    <n v="46184.04"/>
    <n v="9672.6794362354631"/>
    <x v="0"/>
    <n v="13.82"/>
    <b v="0"/>
    <d v="2023-06-27T00:00:00"/>
    <x v="1"/>
    <x v="1"/>
    <n v="36"/>
    <x v="0"/>
    <s v="Debit Card"/>
    <s v="Returned"/>
  </r>
  <r>
    <s v="TID_835"/>
    <x v="4"/>
    <x v="2"/>
    <x v="3"/>
    <x v="2"/>
    <x v="3"/>
    <x v="3"/>
    <n v="6"/>
    <n v="6"/>
    <n v="10"/>
    <n v="9"/>
    <n v="32"/>
    <x v="6"/>
    <n v="1443.06"/>
    <n v="46177.919999999998"/>
    <n v="35492.349311999998"/>
    <n v="1019.0112517645393"/>
    <x v="1"/>
    <n v="23.14"/>
    <b v="1"/>
    <d v="2023-06-24T00:00:00"/>
    <x v="1"/>
    <x v="1"/>
    <n v="40"/>
    <x v="2"/>
    <s v="Cash"/>
    <s v="Returned"/>
  </r>
  <r>
    <s v="TID_222"/>
    <x v="0"/>
    <x v="0"/>
    <x v="2"/>
    <x v="0"/>
    <x v="0"/>
    <x v="2"/>
    <n v="5"/>
    <n v="4"/>
    <n v="6"/>
    <n v="10"/>
    <n v="56"/>
    <x v="4"/>
    <n v="823.54"/>
    <n v="46118.239999999998"/>
    <n v="46118.239999999998"/>
    <n v="9606.8794362354602"/>
    <x v="0"/>
    <n v="12.93"/>
    <b v="0"/>
    <d v="2024-01-02T00:00:00"/>
    <x v="2"/>
    <x v="0"/>
    <n v="55"/>
    <x v="2"/>
    <s v="Debit Card"/>
    <s v="Returned"/>
  </r>
  <r>
    <s v="TID_603"/>
    <x v="8"/>
    <x v="3"/>
    <x v="2"/>
    <x v="1"/>
    <x v="4"/>
    <x v="0"/>
    <n v="9"/>
    <n v="7"/>
    <n v="10"/>
    <n v="10"/>
    <n v="77"/>
    <x v="3"/>
    <n v="598.5"/>
    <n v="46084.5"/>
    <n v="32374.361250000002"/>
    <n v="4136.9993137645361"/>
    <x v="1"/>
    <n v="29.75"/>
    <b v="1"/>
    <d v="2023-09-24T00:00:00"/>
    <x v="3"/>
    <x v="1"/>
    <n v="56"/>
    <x v="2"/>
    <s v="Online Payment"/>
    <s v="Returned"/>
  </r>
  <r>
    <s v="TID_695"/>
    <x v="2"/>
    <x v="1"/>
    <x v="0"/>
    <x v="1"/>
    <x v="1"/>
    <x v="3"/>
    <n v="3"/>
    <n v="13"/>
    <n v="10"/>
    <n v="9"/>
    <n v="65"/>
    <x v="3"/>
    <n v="705.53"/>
    <n v="45859.45"/>
    <n v="45859.45"/>
    <n v="9348.0894362354593"/>
    <x v="1"/>
    <n v="26.45"/>
    <b v="0"/>
    <d v="2024-05-22T00:00:00"/>
    <x v="1"/>
    <x v="0"/>
    <n v="40"/>
    <x v="2"/>
    <s v="Online Payment"/>
    <s v="Not Returned"/>
  </r>
  <r>
    <s v="TID_1475"/>
    <x v="0"/>
    <x v="0"/>
    <x v="1"/>
    <x v="0"/>
    <x v="4"/>
    <x v="2"/>
    <n v="5"/>
    <n v="4"/>
    <n v="6"/>
    <n v="10"/>
    <n v="63"/>
    <x v="3"/>
    <n v="727.57"/>
    <n v="45836.91"/>
    <n v="42449.562351000008"/>
    <n v="5938.20178723547"/>
    <x v="1"/>
    <n v="7.39"/>
    <b v="1"/>
    <d v="2023-10-15T00:00:00"/>
    <x v="0"/>
    <x v="1"/>
    <n v="31"/>
    <x v="0"/>
    <s v="Online Payment"/>
    <s v="Returned"/>
  </r>
  <r>
    <s v="TID_1763"/>
    <x v="5"/>
    <x v="2"/>
    <x v="0"/>
    <x v="1"/>
    <x v="0"/>
    <x v="2"/>
    <n v="7"/>
    <n v="6"/>
    <n v="10"/>
    <n v="10"/>
    <n v="32"/>
    <x v="6"/>
    <n v="1431.72"/>
    <n v="45815.040000000001"/>
    <n v="45815.040000000001"/>
    <n v="9303.6794362354631"/>
    <x v="0"/>
    <n v="8.67"/>
    <b v="0"/>
    <d v="2024-09-25T00:00:00"/>
    <x v="3"/>
    <x v="0"/>
    <n v="55"/>
    <x v="2"/>
    <s v="Debit Card"/>
    <s v="Not Returned"/>
  </r>
  <r>
    <s v="TID_84"/>
    <x v="2"/>
    <x v="1"/>
    <x v="1"/>
    <x v="2"/>
    <x v="3"/>
    <x v="1"/>
    <n v="3"/>
    <n v="13"/>
    <n v="10"/>
    <n v="10"/>
    <n v="88"/>
    <x v="2"/>
    <n v="520.6"/>
    <n v="45812.800000000003"/>
    <n v="36219.599679999999"/>
    <n v="291.76088376453845"/>
    <x v="0"/>
    <n v="20.94"/>
    <b v="1"/>
    <d v="2023-11-21T00:00:00"/>
    <x v="0"/>
    <x v="1"/>
    <n v="46"/>
    <x v="0"/>
    <s v="Cash"/>
    <s v="Not Returned"/>
  </r>
  <r>
    <s v="TID_650"/>
    <x v="2"/>
    <x v="1"/>
    <x v="1"/>
    <x v="2"/>
    <x v="3"/>
    <x v="3"/>
    <n v="3"/>
    <n v="13"/>
    <n v="10"/>
    <n v="9"/>
    <n v="92"/>
    <x v="1"/>
    <n v="497.83"/>
    <n v="45800.36"/>
    <n v="38879.925603999996"/>
    <n v="2368.5650402354586"/>
    <x v="0"/>
    <n v="15.11"/>
    <b v="1"/>
    <d v="2023-12-25T00:00:00"/>
    <x v="0"/>
    <x v="1"/>
    <n v="27"/>
    <x v="1"/>
    <s v="Online Payment"/>
    <s v="Returned"/>
  </r>
  <r>
    <s v="TID_278"/>
    <x v="7"/>
    <x v="2"/>
    <x v="3"/>
    <x v="2"/>
    <x v="0"/>
    <x v="3"/>
    <n v="2"/>
    <n v="6"/>
    <n v="10"/>
    <n v="9"/>
    <n v="89"/>
    <x v="2"/>
    <n v="514.27"/>
    <n v="45770.03"/>
    <n v="41884.154453000003"/>
    <n v="5372.793889235465"/>
    <x v="1"/>
    <n v="8.49"/>
    <b v="1"/>
    <d v="2023-01-08T00:00:00"/>
    <x v="2"/>
    <x v="1"/>
    <n v="33"/>
    <x v="2"/>
    <s v="Online Payment"/>
    <s v="Not Returned"/>
  </r>
  <r>
    <s v="TID_1322"/>
    <x v="1"/>
    <x v="0"/>
    <x v="3"/>
    <x v="1"/>
    <x v="1"/>
    <x v="2"/>
    <n v="5"/>
    <n v="4"/>
    <n v="10"/>
    <n v="10"/>
    <n v="80"/>
    <x v="3"/>
    <n v="571.83000000000004"/>
    <n v="45746.400000000001"/>
    <n v="41368.469519999999"/>
    <n v="4857.1089562354609"/>
    <x v="1"/>
    <n v="9.57"/>
    <b v="1"/>
    <d v="2023-10-02T00:00:00"/>
    <x v="0"/>
    <x v="1"/>
    <n v="21"/>
    <x v="0"/>
    <s v="Online Payment"/>
    <s v="Not Returned"/>
  </r>
  <r>
    <s v="TID_1219"/>
    <x v="4"/>
    <x v="2"/>
    <x v="3"/>
    <x v="1"/>
    <x v="1"/>
    <x v="1"/>
    <n v="6"/>
    <n v="6"/>
    <n v="10"/>
    <n v="10"/>
    <n v="74"/>
    <x v="3"/>
    <n v="618.07000000000005"/>
    <n v="45737.18"/>
    <n v="43651.564592000002"/>
    <n v="7140.2040282354646"/>
    <x v="0"/>
    <n v="4.5599999999999996"/>
    <b v="1"/>
    <d v="2023-03-05T00:00:00"/>
    <x v="2"/>
    <x v="1"/>
    <n v="67"/>
    <x v="0"/>
    <s v="Online Payment"/>
    <s v="Not Returned"/>
  </r>
  <r>
    <s v="TID_367"/>
    <x v="1"/>
    <x v="0"/>
    <x v="2"/>
    <x v="2"/>
    <x v="3"/>
    <x v="3"/>
    <n v="5"/>
    <n v="4"/>
    <n v="10"/>
    <n v="9"/>
    <n v="84"/>
    <x v="2"/>
    <n v="543.64"/>
    <n v="45665.760000000002"/>
    <n v="32189.794224000001"/>
    <n v="4321.5663397645367"/>
    <x v="1"/>
    <n v="29.51"/>
    <b v="1"/>
    <d v="2023-04-15T00:00:00"/>
    <x v="1"/>
    <x v="1"/>
    <n v="51"/>
    <x v="0"/>
    <s v="Cash"/>
    <s v="Not Returned"/>
  </r>
  <r>
    <s v="TID_1087"/>
    <x v="6"/>
    <x v="1"/>
    <x v="1"/>
    <x v="2"/>
    <x v="4"/>
    <x v="1"/>
    <n v="6"/>
    <n v="13"/>
    <n v="10"/>
    <n v="10"/>
    <n v="79"/>
    <x v="3"/>
    <n v="577.16"/>
    <n v="45595.64"/>
    <n v="37780.547304"/>
    <n v="1269.1867402354619"/>
    <x v="1"/>
    <n v="17.14"/>
    <b v="1"/>
    <d v="2023-09-05T00:00:00"/>
    <x v="3"/>
    <x v="1"/>
    <n v="29"/>
    <x v="1"/>
    <s v="Debit Card"/>
    <s v="Returned"/>
  </r>
  <r>
    <s v="TID_1532"/>
    <x v="7"/>
    <x v="2"/>
    <x v="3"/>
    <x v="2"/>
    <x v="4"/>
    <x v="3"/>
    <n v="2"/>
    <n v="6"/>
    <n v="10"/>
    <n v="9"/>
    <n v="73"/>
    <x v="3"/>
    <n v="624.54"/>
    <n v="45591.42"/>
    <n v="45591.42"/>
    <n v="9080.0594362354605"/>
    <x v="1"/>
    <n v="15.74"/>
    <b v="0"/>
    <d v="2023-09-11T00:00:00"/>
    <x v="3"/>
    <x v="1"/>
    <n v="59"/>
    <x v="0"/>
    <s v="Debit Card"/>
    <s v="Not Returned"/>
  </r>
  <r>
    <s v="TID_838"/>
    <x v="3"/>
    <x v="0"/>
    <x v="3"/>
    <x v="0"/>
    <x v="1"/>
    <x v="2"/>
    <n v="5"/>
    <n v="4"/>
    <n v="6"/>
    <n v="10"/>
    <n v="66"/>
    <x v="3"/>
    <n v="689.11"/>
    <n v="45481.26"/>
    <n v="33051.231641999999"/>
    <n v="3460.128921764539"/>
    <x v="1"/>
    <n v="27.33"/>
    <b v="1"/>
    <d v="2023-12-05T00:00:00"/>
    <x v="0"/>
    <x v="1"/>
    <n v="37"/>
    <x v="1"/>
    <s v="Online Payment"/>
    <s v="Not Returned"/>
  </r>
  <r>
    <s v="TID_1061"/>
    <x v="2"/>
    <x v="1"/>
    <x v="3"/>
    <x v="1"/>
    <x v="2"/>
    <x v="0"/>
    <n v="3"/>
    <n v="13"/>
    <n v="10"/>
    <n v="10"/>
    <n v="33"/>
    <x v="6"/>
    <n v="1376.65"/>
    <n v="45429.45"/>
    <n v="37683.728774999996"/>
    <n v="1172.3682112354581"/>
    <x v="0"/>
    <n v="17.05"/>
    <b v="1"/>
    <d v="2023-08-09T00:00:00"/>
    <x v="3"/>
    <x v="1"/>
    <n v="33"/>
    <x v="2"/>
    <s v="Credit Card"/>
    <s v="Returned"/>
  </r>
  <r>
    <s v="TID_1382"/>
    <x v="1"/>
    <x v="0"/>
    <x v="2"/>
    <x v="0"/>
    <x v="2"/>
    <x v="3"/>
    <n v="5"/>
    <n v="4"/>
    <n v="6"/>
    <n v="9"/>
    <n v="58"/>
    <x v="4"/>
    <n v="783.1"/>
    <n v="45419.8"/>
    <n v="38665.875740000003"/>
    <n v="2154.5151762354653"/>
    <x v="1"/>
    <n v="14.87"/>
    <b v="1"/>
    <d v="2023-01-05T00:00:00"/>
    <x v="2"/>
    <x v="1"/>
    <n v="18"/>
    <x v="0"/>
    <s v="Debit Card"/>
    <s v="Not Returned"/>
  </r>
  <r>
    <s v="TID_181"/>
    <x v="3"/>
    <x v="0"/>
    <x v="2"/>
    <x v="2"/>
    <x v="4"/>
    <x v="1"/>
    <n v="5"/>
    <n v="4"/>
    <n v="10"/>
    <n v="10"/>
    <n v="95"/>
    <x v="1"/>
    <n v="473.97"/>
    <n v="45027.15"/>
    <n v="45027.15"/>
    <n v="8515.7894362354637"/>
    <x v="0"/>
    <n v="25.92"/>
    <b v="0"/>
    <d v="2024-08-09T00:00:00"/>
    <x v="3"/>
    <x v="0"/>
    <n v="51"/>
    <x v="1"/>
    <s v="Credit Card"/>
    <s v="Not Returned"/>
  </r>
  <r>
    <s v="TID_916"/>
    <x v="4"/>
    <x v="2"/>
    <x v="3"/>
    <x v="1"/>
    <x v="0"/>
    <x v="0"/>
    <n v="6"/>
    <n v="6"/>
    <n v="10"/>
    <n v="10"/>
    <n v="57"/>
    <x v="4"/>
    <n v="789.86"/>
    <n v="45022.02"/>
    <n v="39484.311539999995"/>
    <n v="2972.9509762354573"/>
    <x v="1"/>
    <n v="12.3"/>
    <b v="1"/>
    <d v="2024-07-25T00:00:00"/>
    <x v="3"/>
    <x v="0"/>
    <n v="22"/>
    <x v="2"/>
    <s v="Credit Card"/>
    <s v="Not Returned"/>
  </r>
  <r>
    <s v="TID_597"/>
    <x v="6"/>
    <x v="1"/>
    <x v="2"/>
    <x v="2"/>
    <x v="0"/>
    <x v="1"/>
    <n v="6"/>
    <n v="13"/>
    <n v="10"/>
    <n v="10"/>
    <n v="39"/>
    <x v="6"/>
    <n v="1153.8499999999999"/>
    <n v="45000.15"/>
    <n v="38839.629464999998"/>
    <n v="2328.2689012354604"/>
    <x v="0"/>
    <n v="13.69"/>
    <b v="1"/>
    <d v="2024-10-31T00:00:00"/>
    <x v="0"/>
    <x v="0"/>
    <n v="38"/>
    <x v="0"/>
    <s v="Online Payment"/>
    <s v="Returned"/>
  </r>
  <r>
    <s v="TID_70"/>
    <x v="0"/>
    <x v="0"/>
    <x v="2"/>
    <x v="0"/>
    <x v="0"/>
    <x v="0"/>
    <n v="5"/>
    <n v="4"/>
    <n v="6"/>
    <n v="10"/>
    <n v="74"/>
    <x v="3"/>
    <n v="606.5"/>
    <n v="44881"/>
    <n v="37516.027900000001"/>
    <n v="1004.6673362354632"/>
    <x v="0"/>
    <n v="16.41"/>
    <b v="1"/>
    <d v="2023-03-24T00:00:00"/>
    <x v="2"/>
    <x v="1"/>
    <n v="26"/>
    <x v="0"/>
    <s v="Online Payment"/>
    <s v="Returned"/>
  </r>
  <r>
    <s v="TID_762"/>
    <x v="2"/>
    <x v="1"/>
    <x v="1"/>
    <x v="1"/>
    <x v="3"/>
    <x v="0"/>
    <n v="3"/>
    <n v="13"/>
    <n v="10"/>
    <n v="10"/>
    <n v="94"/>
    <x v="1"/>
    <n v="476.24"/>
    <n v="44766.559999999998"/>
    <n v="44766.559999999998"/>
    <n v="8255.1994362354599"/>
    <x v="0"/>
    <n v="16.46"/>
    <b v="0"/>
    <d v="2023-06-24T00:00:00"/>
    <x v="1"/>
    <x v="1"/>
    <n v="27"/>
    <x v="0"/>
    <s v="Online Payment"/>
    <s v="Not Returned"/>
  </r>
  <r>
    <s v="TID_902"/>
    <x v="2"/>
    <x v="1"/>
    <x v="0"/>
    <x v="0"/>
    <x v="0"/>
    <x v="0"/>
    <n v="3"/>
    <n v="13"/>
    <n v="6"/>
    <n v="10"/>
    <n v="33"/>
    <x v="6"/>
    <n v="1355.97"/>
    <n v="44747.01"/>
    <n v="38258.693550000004"/>
    <n v="1747.3329862354658"/>
    <x v="0"/>
    <n v="14.5"/>
    <b v="1"/>
    <d v="2024-10-07T00:00:00"/>
    <x v="0"/>
    <x v="0"/>
    <n v="31"/>
    <x v="2"/>
    <s v="Debit Card"/>
    <s v="Returned"/>
  </r>
  <r>
    <s v="TID_1250"/>
    <x v="5"/>
    <x v="2"/>
    <x v="0"/>
    <x v="2"/>
    <x v="1"/>
    <x v="1"/>
    <n v="7"/>
    <n v="6"/>
    <n v="10"/>
    <n v="10"/>
    <n v="99"/>
    <x v="0"/>
    <n v="450.37"/>
    <n v="44586.63"/>
    <n v="44586.63"/>
    <n v="8075.2694362354596"/>
    <x v="1"/>
    <n v="8.0399999999999991"/>
    <b v="0"/>
    <d v="2023-05-18T00:00:00"/>
    <x v="1"/>
    <x v="1"/>
    <n v="60"/>
    <x v="2"/>
    <s v="Credit Card"/>
    <s v="Not Returned"/>
  </r>
  <r>
    <s v="TID_1202"/>
    <x v="8"/>
    <x v="3"/>
    <x v="3"/>
    <x v="0"/>
    <x v="3"/>
    <x v="0"/>
    <n v="9"/>
    <n v="7"/>
    <n v="6"/>
    <n v="10"/>
    <n v="94"/>
    <x v="1"/>
    <n v="474.18"/>
    <n v="44572.92"/>
    <n v="42584.967768000002"/>
    <n v="6073.6072042354645"/>
    <x v="1"/>
    <n v="4.46"/>
    <b v="1"/>
    <d v="2024-01-12T00:00:00"/>
    <x v="2"/>
    <x v="0"/>
    <n v="68"/>
    <x v="2"/>
    <s v="Credit Card"/>
    <s v="Not Returned"/>
  </r>
  <r>
    <s v="TID_925"/>
    <x v="9"/>
    <x v="4"/>
    <x v="1"/>
    <x v="2"/>
    <x v="2"/>
    <x v="1"/>
    <n v="6"/>
    <n v="13"/>
    <n v="10"/>
    <n v="10"/>
    <n v="97"/>
    <x v="0"/>
    <n v="459.13"/>
    <n v="44535.61"/>
    <n v="39293.768703000002"/>
    <n v="2782.4081392354638"/>
    <x v="1"/>
    <n v="11.77"/>
    <b v="1"/>
    <d v="2024-05-13T00:00:00"/>
    <x v="1"/>
    <x v="0"/>
    <n v="39"/>
    <x v="1"/>
    <s v="Online Payment"/>
    <s v="Not Returned"/>
  </r>
  <r>
    <s v="TID_843"/>
    <x v="3"/>
    <x v="0"/>
    <x v="1"/>
    <x v="2"/>
    <x v="2"/>
    <x v="2"/>
    <n v="5"/>
    <n v="4"/>
    <n v="10"/>
    <n v="10"/>
    <n v="59"/>
    <x v="4"/>
    <n v="753.44"/>
    <n v="44452.959999999999"/>
    <n v="44452.959999999999"/>
    <n v="7941.5994362354613"/>
    <x v="0"/>
    <n v="28.28"/>
    <b v="0"/>
    <d v="2023-03-22T00:00:00"/>
    <x v="2"/>
    <x v="1"/>
    <n v="44"/>
    <x v="0"/>
    <s v="Online Payment"/>
    <s v="Returned"/>
  </r>
  <r>
    <s v="TID_1471"/>
    <x v="8"/>
    <x v="3"/>
    <x v="2"/>
    <x v="2"/>
    <x v="1"/>
    <x v="1"/>
    <n v="9"/>
    <n v="7"/>
    <n v="10"/>
    <n v="10"/>
    <n v="61"/>
    <x v="3"/>
    <n v="727.67"/>
    <n v="44387.87"/>
    <n v="44387.87"/>
    <n v="7876.5094362354648"/>
    <x v="1"/>
    <n v="10.94"/>
    <b v="0"/>
    <d v="2024-08-09T00:00:00"/>
    <x v="3"/>
    <x v="0"/>
    <n v="48"/>
    <x v="0"/>
    <s v="Credit Card"/>
    <s v="Not Returned"/>
  </r>
  <r>
    <s v="TID_1978"/>
    <x v="6"/>
    <x v="1"/>
    <x v="3"/>
    <x v="0"/>
    <x v="2"/>
    <x v="0"/>
    <n v="6"/>
    <n v="13"/>
    <n v="6"/>
    <n v="10"/>
    <n v="41"/>
    <x v="5"/>
    <n v="1082.44"/>
    <n v="44380.04"/>
    <n v="37518.885815999995"/>
    <n v="1007.5252522354567"/>
    <x v="0"/>
    <n v="15.46"/>
    <b v="1"/>
    <d v="2023-04-13T00:00:00"/>
    <x v="1"/>
    <x v="1"/>
    <n v="35"/>
    <x v="2"/>
    <s v="Cash"/>
    <s v="Not Returned"/>
  </r>
  <r>
    <s v="TID_507"/>
    <x v="7"/>
    <x v="2"/>
    <x v="0"/>
    <x v="1"/>
    <x v="4"/>
    <x v="1"/>
    <n v="2"/>
    <n v="6"/>
    <n v="10"/>
    <n v="10"/>
    <n v="41"/>
    <x v="5"/>
    <n v="1081.94"/>
    <n v="44359.54"/>
    <n v="44359.54"/>
    <n v="7848.1794362354631"/>
    <x v="0"/>
    <n v="20.8"/>
    <b v="0"/>
    <d v="2023-06-10T00:00:00"/>
    <x v="1"/>
    <x v="1"/>
    <n v="33"/>
    <x v="2"/>
    <s v="Online Payment"/>
    <s v="Returned"/>
  </r>
  <r>
    <s v="TID_257"/>
    <x v="0"/>
    <x v="0"/>
    <x v="1"/>
    <x v="1"/>
    <x v="0"/>
    <x v="1"/>
    <n v="5"/>
    <n v="4"/>
    <n v="10"/>
    <n v="10"/>
    <n v="83"/>
    <x v="2"/>
    <n v="530.25"/>
    <n v="44010.75"/>
    <n v="39750.509400000003"/>
    <n v="3239.1488362354648"/>
    <x v="1"/>
    <n v="9.68"/>
    <b v="1"/>
    <d v="2023-04-20T00:00:00"/>
    <x v="1"/>
    <x v="1"/>
    <n v="49"/>
    <x v="0"/>
    <s v="Credit Card"/>
    <s v="Not Returned"/>
  </r>
  <r>
    <s v="TID_1216"/>
    <x v="9"/>
    <x v="4"/>
    <x v="1"/>
    <x v="0"/>
    <x v="2"/>
    <x v="1"/>
    <n v="6"/>
    <n v="13"/>
    <n v="6"/>
    <n v="10"/>
    <n v="51"/>
    <x v="4"/>
    <n v="862.51"/>
    <n v="43988.01"/>
    <n v="43988.01"/>
    <n v="7476.6494362354642"/>
    <x v="1"/>
    <n v="5.59"/>
    <b v="0"/>
    <d v="2024-03-01T00:00:00"/>
    <x v="2"/>
    <x v="0"/>
    <n v="47"/>
    <x v="2"/>
    <s v="Credit Card"/>
    <s v="Not Returned"/>
  </r>
  <r>
    <s v="TID_1572"/>
    <x v="7"/>
    <x v="2"/>
    <x v="2"/>
    <x v="0"/>
    <x v="4"/>
    <x v="3"/>
    <n v="2"/>
    <n v="6"/>
    <n v="6"/>
    <n v="9"/>
    <n v="81"/>
    <x v="2"/>
    <n v="541.74"/>
    <n v="43880.94"/>
    <n v="43880.94"/>
    <n v="7369.5794362354645"/>
    <x v="0"/>
    <n v="17.170000000000002"/>
    <b v="0"/>
    <d v="2023-07-08T00:00:00"/>
    <x v="3"/>
    <x v="1"/>
    <n v="68"/>
    <x v="2"/>
    <s v="Debit Card"/>
    <s v="Not Returned"/>
  </r>
  <r>
    <s v="TID_383"/>
    <x v="7"/>
    <x v="2"/>
    <x v="0"/>
    <x v="1"/>
    <x v="2"/>
    <x v="0"/>
    <n v="2"/>
    <n v="6"/>
    <n v="10"/>
    <n v="10"/>
    <n v="42"/>
    <x v="5"/>
    <n v="1041.21"/>
    <n v="43730.82"/>
    <n v="38382.540714000002"/>
    <n v="1871.1801502354647"/>
    <x v="0"/>
    <n v="12.23"/>
    <b v="1"/>
    <d v="2024-04-20T00:00:00"/>
    <x v="1"/>
    <x v="0"/>
    <n v="49"/>
    <x v="1"/>
    <s v="Cash"/>
    <s v="Returned"/>
  </r>
  <r>
    <s v="TID_1577"/>
    <x v="5"/>
    <x v="2"/>
    <x v="0"/>
    <x v="2"/>
    <x v="1"/>
    <x v="1"/>
    <n v="7"/>
    <n v="6"/>
    <n v="10"/>
    <n v="10"/>
    <n v="45"/>
    <x v="5"/>
    <n v="968.96"/>
    <n v="43603.199999999997"/>
    <n v="43603.199999999997"/>
    <n v="7091.8394362354593"/>
    <x v="1"/>
    <n v="14.13"/>
    <b v="0"/>
    <d v="2023-12-01T00:00:00"/>
    <x v="0"/>
    <x v="1"/>
    <n v="56"/>
    <x v="1"/>
    <s v="Credit Card"/>
    <s v="Returned"/>
  </r>
  <r>
    <s v="TID_961"/>
    <x v="0"/>
    <x v="0"/>
    <x v="0"/>
    <x v="2"/>
    <x v="1"/>
    <x v="1"/>
    <n v="5"/>
    <n v="4"/>
    <n v="10"/>
    <n v="10"/>
    <n v="96"/>
    <x v="0"/>
    <n v="453.92"/>
    <n v="43576.32"/>
    <n v="41950.923263999997"/>
    <n v="5439.5627002354595"/>
    <x v="0"/>
    <n v="3.73"/>
    <b v="1"/>
    <d v="2024-01-28T00:00:00"/>
    <x v="2"/>
    <x v="0"/>
    <n v="44"/>
    <x v="0"/>
    <s v="Credit Card"/>
    <s v="Not Returned"/>
  </r>
  <r>
    <s v="TID_1138"/>
    <x v="3"/>
    <x v="0"/>
    <x v="0"/>
    <x v="2"/>
    <x v="3"/>
    <x v="0"/>
    <n v="5"/>
    <n v="4"/>
    <n v="10"/>
    <n v="10"/>
    <n v="33"/>
    <x v="6"/>
    <n v="1318.93"/>
    <n v="43524.69"/>
    <n v="43524.69"/>
    <n v="7013.3294362354645"/>
    <x v="0"/>
    <n v="26.46"/>
    <b v="0"/>
    <d v="2023-08-18T00:00:00"/>
    <x v="3"/>
    <x v="1"/>
    <n v="60"/>
    <x v="1"/>
    <s v="Debit Card"/>
    <s v="Returned"/>
  </r>
  <r>
    <s v="TID_429"/>
    <x v="5"/>
    <x v="2"/>
    <x v="3"/>
    <x v="0"/>
    <x v="2"/>
    <x v="0"/>
    <n v="7"/>
    <n v="6"/>
    <n v="6"/>
    <n v="10"/>
    <n v="76"/>
    <x v="3"/>
    <n v="571.88"/>
    <n v="43462.879999999997"/>
    <n v="32692.778335999996"/>
    <n v="3818.582227764542"/>
    <x v="1"/>
    <n v="24.78"/>
    <b v="1"/>
    <d v="2024-06-30T00:00:00"/>
    <x v="1"/>
    <x v="0"/>
    <n v="25"/>
    <x v="0"/>
    <s v="Cash"/>
    <s v="Not Returned"/>
  </r>
  <r>
    <s v="TID_607"/>
    <x v="9"/>
    <x v="4"/>
    <x v="0"/>
    <x v="0"/>
    <x v="1"/>
    <x v="2"/>
    <n v="6"/>
    <n v="13"/>
    <n v="6"/>
    <n v="10"/>
    <n v="66"/>
    <x v="3"/>
    <n v="657.68"/>
    <n v="43406.879999999997"/>
    <n v="37039.090703999995"/>
    <n v="527.73014023545693"/>
    <x v="0"/>
    <n v="14.67"/>
    <b v="1"/>
    <d v="2024-09-02T00:00:00"/>
    <x v="3"/>
    <x v="0"/>
    <n v="61"/>
    <x v="2"/>
    <s v="Debit Card"/>
    <s v="Not Returned"/>
  </r>
  <r>
    <s v="TID_414"/>
    <x v="2"/>
    <x v="1"/>
    <x v="3"/>
    <x v="1"/>
    <x v="2"/>
    <x v="0"/>
    <n v="3"/>
    <n v="13"/>
    <n v="10"/>
    <n v="10"/>
    <n v="86"/>
    <x v="2"/>
    <n v="504.25"/>
    <n v="43365.5"/>
    <n v="37502.484400000001"/>
    <n v="991.12383623546339"/>
    <x v="0"/>
    <n v="13.52"/>
    <b v="1"/>
    <d v="2023-06-21T00:00:00"/>
    <x v="1"/>
    <x v="1"/>
    <n v="33"/>
    <x v="1"/>
    <s v="Debit Card"/>
    <s v="Not Returned"/>
  </r>
  <r>
    <s v="TID_1238"/>
    <x v="3"/>
    <x v="0"/>
    <x v="0"/>
    <x v="0"/>
    <x v="3"/>
    <x v="1"/>
    <n v="5"/>
    <n v="4"/>
    <n v="6"/>
    <n v="10"/>
    <n v="91"/>
    <x v="1"/>
    <n v="474.28"/>
    <n v="43159.48"/>
    <n v="43159.48"/>
    <n v="6648.1194362354654"/>
    <x v="0"/>
    <n v="24.71"/>
    <b v="0"/>
    <d v="2023-04-16T00:00:00"/>
    <x v="1"/>
    <x v="1"/>
    <n v="60"/>
    <x v="0"/>
    <s v="Online Payment"/>
    <s v="Returned"/>
  </r>
  <r>
    <s v="TID_708"/>
    <x v="7"/>
    <x v="2"/>
    <x v="3"/>
    <x v="0"/>
    <x v="2"/>
    <x v="2"/>
    <n v="2"/>
    <n v="6"/>
    <n v="6"/>
    <n v="10"/>
    <n v="57"/>
    <x v="4"/>
    <n v="756.99"/>
    <n v="43148.43"/>
    <n v="37767.820779000001"/>
    <n v="1256.4602152354637"/>
    <x v="0"/>
    <n v="12.47"/>
    <b v="1"/>
    <d v="2024-03-16T00:00:00"/>
    <x v="2"/>
    <x v="0"/>
    <n v="23"/>
    <x v="1"/>
    <s v="Debit Card"/>
    <s v="Returned"/>
  </r>
  <r>
    <s v="TID_1147"/>
    <x v="6"/>
    <x v="1"/>
    <x v="2"/>
    <x v="1"/>
    <x v="4"/>
    <x v="1"/>
    <n v="6"/>
    <n v="13"/>
    <n v="10"/>
    <n v="10"/>
    <n v="30"/>
    <x v="6"/>
    <n v="1433.44"/>
    <n v="43003.199999999997"/>
    <n v="31508.444639999998"/>
    <n v="5002.9159237645399"/>
    <x v="1"/>
    <n v="26.73"/>
    <b v="1"/>
    <d v="2023-07-12T00:00:00"/>
    <x v="3"/>
    <x v="1"/>
    <n v="62"/>
    <x v="0"/>
    <s v="Debit Card"/>
    <s v="Not Returned"/>
  </r>
  <r>
    <s v="TID_1663"/>
    <x v="3"/>
    <x v="0"/>
    <x v="2"/>
    <x v="2"/>
    <x v="4"/>
    <x v="3"/>
    <n v="5"/>
    <n v="4"/>
    <n v="10"/>
    <n v="9"/>
    <n v="41"/>
    <x v="5"/>
    <n v="1048.71"/>
    <n v="42997.11"/>
    <n v="39243.462296999998"/>
    <n v="2732.1017332354604"/>
    <x v="0"/>
    <n v="8.73"/>
    <b v="1"/>
    <d v="2023-12-22T00:00:00"/>
    <x v="0"/>
    <x v="1"/>
    <n v="68"/>
    <x v="0"/>
    <s v="Cash"/>
    <s v="Not Returned"/>
  </r>
  <r>
    <s v="TID_1279"/>
    <x v="0"/>
    <x v="0"/>
    <x v="2"/>
    <x v="1"/>
    <x v="0"/>
    <x v="3"/>
    <n v="5"/>
    <n v="4"/>
    <n v="10"/>
    <n v="9"/>
    <n v="61"/>
    <x v="3"/>
    <n v="704.08"/>
    <n v="42948.88"/>
    <n v="42442.083215999999"/>
    <n v="5930.7226522354613"/>
    <x v="0"/>
    <n v="1.18"/>
    <b v="1"/>
    <d v="2024-06-20T00:00:00"/>
    <x v="1"/>
    <x v="0"/>
    <n v="24"/>
    <x v="1"/>
    <s v="Debit Card"/>
    <s v="Returned"/>
  </r>
  <r>
    <s v="TID_314"/>
    <x v="9"/>
    <x v="4"/>
    <x v="1"/>
    <x v="0"/>
    <x v="0"/>
    <x v="2"/>
    <n v="6"/>
    <n v="13"/>
    <n v="6"/>
    <n v="10"/>
    <n v="49"/>
    <x v="5"/>
    <n v="872.34"/>
    <n v="42744.66"/>
    <n v="42744.66"/>
    <n v="6233.2994362354657"/>
    <x v="0"/>
    <n v="4.5599999999999996"/>
    <b v="0"/>
    <d v="2023-09-29T00:00:00"/>
    <x v="3"/>
    <x v="1"/>
    <n v="64"/>
    <x v="2"/>
    <s v="Credit Card"/>
    <s v="Not Returned"/>
  </r>
  <r>
    <s v="TID_1066"/>
    <x v="4"/>
    <x v="2"/>
    <x v="3"/>
    <x v="2"/>
    <x v="2"/>
    <x v="2"/>
    <n v="6"/>
    <n v="6"/>
    <n v="10"/>
    <n v="10"/>
    <n v="31"/>
    <x v="6"/>
    <n v="1375.53"/>
    <n v="42641.43"/>
    <n v="42641.43"/>
    <n v="6130.0694362354625"/>
    <x v="0"/>
    <n v="6.77"/>
    <b v="0"/>
    <d v="2024-07-06T00:00:00"/>
    <x v="3"/>
    <x v="0"/>
    <n v="20"/>
    <x v="0"/>
    <s v="Cash"/>
    <s v="Returned"/>
  </r>
  <r>
    <s v="TID_1431"/>
    <x v="0"/>
    <x v="0"/>
    <x v="2"/>
    <x v="0"/>
    <x v="1"/>
    <x v="2"/>
    <n v="5"/>
    <n v="4"/>
    <n v="6"/>
    <n v="10"/>
    <n v="97"/>
    <x v="0"/>
    <n v="439.47"/>
    <n v="42628.59"/>
    <n v="31476.950855999996"/>
    <n v="5034.409707764542"/>
    <x v="0"/>
    <n v="26.16"/>
    <b v="1"/>
    <d v="2024-06-02T00:00:00"/>
    <x v="1"/>
    <x v="0"/>
    <n v="20"/>
    <x v="1"/>
    <s v="Credit Card"/>
    <s v="Returned"/>
  </r>
  <r>
    <s v="TID_1646"/>
    <x v="3"/>
    <x v="0"/>
    <x v="2"/>
    <x v="0"/>
    <x v="2"/>
    <x v="1"/>
    <n v="5"/>
    <n v="4"/>
    <n v="6"/>
    <n v="10"/>
    <n v="61"/>
    <x v="3"/>
    <n v="697.57"/>
    <n v="42551.77"/>
    <n v="42466.666459999993"/>
    <n v="5955.3058962354553"/>
    <x v="1"/>
    <n v="0.2"/>
    <b v="1"/>
    <d v="2023-07-26T00:00:00"/>
    <x v="3"/>
    <x v="1"/>
    <n v="51"/>
    <x v="1"/>
    <s v="Online Payment"/>
    <s v="Returned"/>
  </r>
  <r>
    <s v="TID_125"/>
    <x v="2"/>
    <x v="1"/>
    <x v="3"/>
    <x v="1"/>
    <x v="3"/>
    <x v="3"/>
    <n v="3"/>
    <n v="13"/>
    <n v="10"/>
    <n v="9"/>
    <n v="43"/>
    <x v="5"/>
    <n v="989.34"/>
    <n v="42541.62"/>
    <n v="42541.62"/>
    <n v="6030.2594362354648"/>
    <x v="1"/>
    <n v="3.3"/>
    <b v="0"/>
    <d v="2023-09-06T00:00:00"/>
    <x v="3"/>
    <x v="1"/>
    <n v="40"/>
    <x v="1"/>
    <s v="Debit Card"/>
    <s v="Not Returned"/>
  </r>
  <r>
    <s v="TID_225"/>
    <x v="3"/>
    <x v="0"/>
    <x v="2"/>
    <x v="2"/>
    <x v="0"/>
    <x v="1"/>
    <n v="5"/>
    <n v="4"/>
    <n v="10"/>
    <n v="10"/>
    <n v="30"/>
    <x v="6"/>
    <n v="1416.13"/>
    <n v="42483.9"/>
    <n v="38464.923060000001"/>
    <n v="1953.5624962354632"/>
    <x v="1"/>
    <n v="9.4600000000000009"/>
    <b v="1"/>
    <d v="2024-04-29T00:00:00"/>
    <x v="1"/>
    <x v="0"/>
    <n v="69"/>
    <x v="2"/>
    <s v="Online Payment"/>
    <s v="Returned"/>
  </r>
  <r>
    <s v="TID_541"/>
    <x v="8"/>
    <x v="3"/>
    <x v="2"/>
    <x v="1"/>
    <x v="2"/>
    <x v="0"/>
    <n v="9"/>
    <n v="7"/>
    <n v="10"/>
    <n v="10"/>
    <n v="58"/>
    <x v="4"/>
    <n v="732.19"/>
    <n v="42467.02"/>
    <n v="38092.916939999996"/>
    <n v="1581.5563762354577"/>
    <x v="0"/>
    <n v="10.3"/>
    <b v="1"/>
    <d v="2023-06-08T00:00:00"/>
    <x v="1"/>
    <x v="1"/>
    <n v="51"/>
    <x v="1"/>
    <s v="Credit Card"/>
    <s v="Not Returned"/>
  </r>
  <r>
    <s v="TID_1230"/>
    <x v="1"/>
    <x v="0"/>
    <x v="3"/>
    <x v="2"/>
    <x v="1"/>
    <x v="1"/>
    <n v="5"/>
    <n v="4"/>
    <n v="10"/>
    <n v="10"/>
    <n v="53"/>
    <x v="4"/>
    <n v="800.28"/>
    <n v="42414.84"/>
    <n v="34313.605559999996"/>
    <n v="2197.7550037645415"/>
    <x v="0"/>
    <n v="19.100000000000001"/>
    <b v="1"/>
    <d v="2023-01-21T00:00:00"/>
    <x v="2"/>
    <x v="1"/>
    <n v="38"/>
    <x v="2"/>
    <s v="Debit Card"/>
    <s v="Not Returned"/>
  </r>
  <r>
    <s v="TID_1477"/>
    <x v="3"/>
    <x v="0"/>
    <x v="3"/>
    <x v="0"/>
    <x v="2"/>
    <x v="1"/>
    <n v="5"/>
    <n v="4"/>
    <n v="6"/>
    <n v="10"/>
    <n v="61"/>
    <x v="3"/>
    <n v="694.97"/>
    <n v="42393.17"/>
    <n v="42393.17"/>
    <n v="5881.8094362354605"/>
    <x v="0"/>
    <n v="18.239999999999998"/>
    <b v="0"/>
    <d v="2023-11-26T00:00:00"/>
    <x v="0"/>
    <x v="1"/>
    <n v="24"/>
    <x v="2"/>
    <s v="Online Payment"/>
    <s v="Not Returned"/>
  </r>
  <r>
    <s v="TID_1318"/>
    <x v="6"/>
    <x v="1"/>
    <x v="3"/>
    <x v="0"/>
    <x v="1"/>
    <x v="1"/>
    <n v="6"/>
    <n v="13"/>
    <n v="6"/>
    <n v="10"/>
    <n v="47"/>
    <x v="5"/>
    <n v="900.76"/>
    <n v="42335.72"/>
    <n v="42335.72"/>
    <n v="5824.3594362354634"/>
    <x v="1"/>
    <n v="10.84"/>
    <b v="0"/>
    <d v="2023-09-18T00:00:00"/>
    <x v="3"/>
    <x v="1"/>
    <n v="68"/>
    <x v="1"/>
    <s v="Online Payment"/>
    <s v="Returned"/>
  </r>
  <r>
    <s v="TID_372"/>
    <x v="8"/>
    <x v="3"/>
    <x v="1"/>
    <x v="0"/>
    <x v="0"/>
    <x v="3"/>
    <n v="9"/>
    <n v="7"/>
    <n v="6"/>
    <n v="9"/>
    <n v="80"/>
    <x v="3"/>
    <n v="528.95000000000005"/>
    <n v="42316"/>
    <n v="36802.225200000001"/>
    <n v="290.86463623546297"/>
    <x v="0"/>
    <n v="13.03"/>
    <b v="1"/>
    <d v="2023-08-10T00:00:00"/>
    <x v="3"/>
    <x v="1"/>
    <n v="26"/>
    <x v="2"/>
    <s v="Debit Card"/>
    <s v="Not Returned"/>
  </r>
  <r>
    <s v="TID_488"/>
    <x v="7"/>
    <x v="2"/>
    <x v="3"/>
    <x v="0"/>
    <x v="2"/>
    <x v="3"/>
    <n v="2"/>
    <n v="6"/>
    <n v="6"/>
    <n v="9"/>
    <n v="47"/>
    <x v="5"/>
    <n v="900"/>
    <n v="42300"/>
    <n v="42300"/>
    <n v="5788.6394362354622"/>
    <x v="1"/>
    <n v="2.75"/>
    <b v="0"/>
    <d v="2024-03-28T00:00:00"/>
    <x v="2"/>
    <x v="0"/>
    <n v="42"/>
    <x v="1"/>
    <s v="Debit Card"/>
    <s v="Returned"/>
  </r>
  <r>
    <s v="TID_1653"/>
    <x v="7"/>
    <x v="2"/>
    <x v="2"/>
    <x v="0"/>
    <x v="1"/>
    <x v="3"/>
    <n v="2"/>
    <n v="6"/>
    <n v="6"/>
    <n v="9"/>
    <n v="83"/>
    <x v="2"/>
    <n v="509.43"/>
    <n v="42282.69"/>
    <n v="34350.457355999999"/>
    <n v="2160.9032077645388"/>
    <x v="1"/>
    <n v="18.760000000000002"/>
    <b v="1"/>
    <d v="2023-12-02T00:00:00"/>
    <x v="0"/>
    <x v="1"/>
    <n v="45"/>
    <x v="1"/>
    <s v="Online Payment"/>
    <s v="Returned"/>
  </r>
  <r>
    <s v="TID_217"/>
    <x v="1"/>
    <x v="0"/>
    <x v="3"/>
    <x v="2"/>
    <x v="4"/>
    <x v="1"/>
    <n v="5"/>
    <n v="4"/>
    <n v="10"/>
    <n v="10"/>
    <n v="32"/>
    <x v="6"/>
    <n v="1317.9"/>
    <n v="42172.800000000003"/>
    <n v="37449.446400000001"/>
    <n v="938.08583623546292"/>
    <x v="1"/>
    <n v="11.2"/>
    <b v="1"/>
    <d v="2023-05-01T00:00:00"/>
    <x v="1"/>
    <x v="1"/>
    <n v="56"/>
    <x v="2"/>
    <s v="Online Payment"/>
    <s v="Not Returned"/>
  </r>
  <r>
    <s v="TID_1546"/>
    <x v="8"/>
    <x v="3"/>
    <x v="2"/>
    <x v="1"/>
    <x v="3"/>
    <x v="1"/>
    <n v="9"/>
    <n v="7"/>
    <n v="10"/>
    <n v="10"/>
    <n v="39"/>
    <x v="6"/>
    <n v="1078.48"/>
    <n v="42060.72"/>
    <n v="32916.719471999997"/>
    <n v="3594.6410917645408"/>
    <x v="1"/>
    <n v="21.74"/>
    <b v="1"/>
    <d v="2023-12-07T00:00:00"/>
    <x v="0"/>
    <x v="1"/>
    <n v="32"/>
    <x v="1"/>
    <s v="Debit Card"/>
    <s v="Not Returned"/>
  </r>
  <r>
    <s v="TID_1011"/>
    <x v="9"/>
    <x v="4"/>
    <x v="0"/>
    <x v="0"/>
    <x v="3"/>
    <x v="1"/>
    <n v="6"/>
    <n v="13"/>
    <n v="6"/>
    <n v="10"/>
    <n v="51"/>
    <x v="4"/>
    <n v="824.66"/>
    <n v="42057.66"/>
    <n v="42057.66"/>
    <n v="5546.2994362354657"/>
    <x v="0"/>
    <n v="0.73"/>
    <b v="0"/>
    <d v="2023-12-17T00:00:00"/>
    <x v="0"/>
    <x v="1"/>
    <n v="32"/>
    <x v="0"/>
    <s v="Online Payment"/>
    <s v="Not Returned"/>
  </r>
  <r>
    <s v="TID_1142"/>
    <x v="3"/>
    <x v="0"/>
    <x v="1"/>
    <x v="0"/>
    <x v="4"/>
    <x v="1"/>
    <n v="5"/>
    <n v="4"/>
    <n v="6"/>
    <n v="10"/>
    <n v="77"/>
    <x v="3"/>
    <n v="544.28"/>
    <n v="41909.56"/>
    <n v="36696.010735999997"/>
    <n v="184.65017223545874"/>
    <x v="1"/>
    <n v="12.44"/>
    <b v="1"/>
    <d v="2024-07-21T00:00:00"/>
    <x v="3"/>
    <x v="0"/>
    <n v="55"/>
    <x v="0"/>
    <s v="Online Payment"/>
    <s v="Not Returned"/>
  </r>
  <r>
    <s v="TID_1990"/>
    <x v="3"/>
    <x v="0"/>
    <x v="1"/>
    <x v="1"/>
    <x v="3"/>
    <x v="3"/>
    <n v="5"/>
    <n v="4"/>
    <n v="10"/>
    <n v="9"/>
    <n v="99"/>
    <x v="0"/>
    <n v="421.91"/>
    <n v="41769.089999999997"/>
    <n v="33143.772914999994"/>
    <n v="3367.5876487645437"/>
    <x v="1"/>
    <n v="20.65"/>
    <b v="1"/>
    <d v="2023-06-10T00:00:00"/>
    <x v="1"/>
    <x v="1"/>
    <n v="21"/>
    <x v="0"/>
    <s v="Debit Card"/>
    <s v="Returned"/>
  </r>
  <r>
    <s v="TID_90"/>
    <x v="7"/>
    <x v="2"/>
    <x v="0"/>
    <x v="0"/>
    <x v="4"/>
    <x v="0"/>
    <n v="2"/>
    <n v="6"/>
    <n v="6"/>
    <n v="10"/>
    <n v="88"/>
    <x v="2"/>
    <n v="473.84"/>
    <n v="41697.919999999998"/>
    <n v="41697.919999999998"/>
    <n v="5186.5594362354605"/>
    <x v="1"/>
    <n v="9.42"/>
    <b v="0"/>
    <d v="2024-07-13T00:00:00"/>
    <x v="3"/>
    <x v="0"/>
    <n v="54"/>
    <x v="0"/>
    <s v="Online Payment"/>
    <s v="Not Returned"/>
  </r>
  <r>
    <s v="TID_540"/>
    <x v="2"/>
    <x v="1"/>
    <x v="3"/>
    <x v="1"/>
    <x v="2"/>
    <x v="1"/>
    <n v="3"/>
    <n v="13"/>
    <n v="10"/>
    <n v="10"/>
    <n v="31"/>
    <x v="6"/>
    <n v="1343.62"/>
    <n v="41652.22"/>
    <n v="41652.22"/>
    <n v="5140.8594362354634"/>
    <x v="0"/>
    <n v="26.47"/>
    <b v="0"/>
    <d v="2023-09-19T00:00:00"/>
    <x v="3"/>
    <x v="1"/>
    <n v="51"/>
    <x v="1"/>
    <s v="Debit Card"/>
    <s v="Returned"/>
  </r>
  <r>
    <s v="TID_458"/>
    <x v="7"/>
    <x v="2"/>
    <x v="2"/>
    <x v="0"/>
    <x v="4"/>
    <x v="0"/>
    <n v="2"/>
    <n v="6"/>
    <n v="6"/>
    <n v="10"/>
    <n v="42"/>
    <x v="5"/>
    <n v="991.38"/>
    <n v="41637.96"/>
    <n v="34730.222436000004"/>
    <n v="1781.1381277645341"/>
    <x v="0"/>
    <n v="16.59"/>
    <b v="1"/>
    <d v="2024-04-02T00:00:00"/>
    <x v="1"/>
    <x v="0"/>
    <n v="32"/>
    <x v="2"/>
    <s v="Debit Card"/>
    <s v="Returned"/>
  </r>
  <r>
    <s v="TID_772"/>
    <x v="5"/>
    <x v="2"/>
    <x v="1"/>
    <x v="1"/>
    <x v="3"/>
    <x v="2"/>
    <n v="7"/>
    <n v="6"/>
    <n v="10"/>
    <n v="10"/>
    <n v="50"/>
    <x v="5"/>
    <n v="829.98"/>
    <n v="41499"/>
    <n v="41499"/>
    <n v="4987.6394362354622"/>
    <x v="1"/>
    <n v="3.28"/>
    <b v="0"/>
    <d v="2023-06-03T00:00:00"/>
    <x v="1"/>
    <x v="1"/>
    <n v="32"/>
    <x v="0"/>
    <s v="Cash"/>
    <s v="Not Returned"/>
  </r>
  <r>
    <s v="TID_457"/>
    <x v="6"/>
    <x v="1"/>
    <x v="0"/>
    <x v="0"/>
    <x v="2"/>
    <x v="3"/>
    <n v="6"/>
    <n v="13"/>
    <n v="6"/>
    <n v="9"/>
    <n v="31"/>
    <x v="6"/>
    <n v="1334.27"/>
    <n v="41362.370000000003"/>
    <n v="41362.370000000003"/>
    <n v="4851.0094362354648"/>
    <x v="1"/>
    <n v="4.33"/>
    <b v="0"/>
    <d v="2023-02-08T00:00:00"/>
    <x v="2"/>
    <x v="1"/>
    <n v="58"/>
    <x v="0"/>
    <s v="Online Payment"/>
    <s v="Not Returned"/>
  </r>
  <r>
    <s v="TID_563"/>
    <x v="7"/>
    <x v="2"/>
    <x v="3"/>
    <x v="0"/>
    <x v="2"/>
    <x v="3"/>
    <n v="2"/>
    <n v="6"/>
    <n v="6"/>
    <n v="9"/>
    <n v="76"/>
    <x v="3"/>
    <n v="543.99"/>
    <n v="41343.24"/>
    <n v="41343.24"/>
    <n v="4831.8794362354602"/>
    <x v="0"/>
    <n v="12.78"/>
    <b v="0"/>
    <d v="2023-02-14T00:00:00"/>
    <x v="2"/>
    <x v="1"/>
    <n v="69"/>
    <x v="0"/>
    <s v="Debit Card"/>
    <s v="Not Returned"/>
  </r>
  <r>
    <s v="TID_264"/>
    <x v="7"/>
    <x v="2"/>
    <x v="0"/>
    <x v="0"/>
    <x v="2"/>
    <x v="3"/>
    <n v="2"/>
    <n v="6"/>
    <n v="6"/>
    <n v="9"/>
    <n v="72"/>
    <x v="3"/>
    <n v="574.12"/>
    <n v="41336.639999999999"/>
    <n v="41336.639999999999"/>
    <n v="4825.2794362354616"/>
    <x v="0"/>
    <n v="2.67"/>
    <b v="0"/>
    <d v="2023-11-24T00:00:00"/>
    <x v="0"/>
    <x v="1"/>
    <n v="37"/>
    <x v="2"/>
    <s v="Debit Card"/>
    <s v="Not Returned"/>
  </r>
  <r>
    <s v="TID_1231"/>
    <x v="5"/>
    <x v="2"/>
    <x v="1"/>
    <x v="0"/>
    <x v="2"/>
    <x v="0"/>
    <n v="7"/>
    <n v="6"/>
    <n v="6"/>
    <n v="10"/>
    <n v="61"/>
    <x v="3"/>
    <n v="676.92"/>
    <n v="41292.120000000003"/>
    <n v="41292.120000000003"/>
    <n v="4780.7594362354648"/>
    <x v="1"/>
    <n v="6.88"/>
    <b v="0"/>
    <d v="2024-04-02T00:00:00"/>
    <x v="1"/>
    <x v="0"/>
    <n v="50"/>
    <x v="2"/>
    <s v="Cash"/>
    <s v="Returned"/>
  </r>
  <r>
    <s v="TID_1123"/>
    <x v="7"/>
    <x v="2"/>
    <x v="3"/>
    <x v="1"/>
    <x v="3"/>
    <x v="2"/>
    <n v="2"/>
    <n v="6"/>
    <n v="10"/>
    <n v="10"/>
    <n v="36"/>
    <x v="6"/>
    <n v="1145.9000000000001"/>
    <n v="41252.400000000001"/>
    <n v="41252.400000000001"/>
    <n v="4741.0394362354637"/>
    <x v="1"/>
    <n v="10.83"/>
    <b v="0"/>
    <d v="2024-05-30T00:00:00"/>
    <x v="1"/>
    <x v="0"/>
    <n v="43"/>
    <x v="0"/>
    <s v="Cash"/>
    <s v="Not Returned"/>
  </r>
  <r>
    <s v="TID_1030"/>
    <x v="7"/>
    <x v="2"/>
    <x v="0"/>
    <x v="0"/>
    <x v="4"/>
    <x v="1"/>
    <n v="2"/>
    <n v="6"/>
    <n v="6"/>
    <n v="10"/>
    <n v="52"/>
    <x v="4"/>
    <n v="792.43"/>
    <n v="41206.36"/>
    <n v="31708.294019999998"/>
    <n v="4803.0665437645403"/>
    <x v="1"/>
    <n v="23.05"/>
    <b v="1"/>
    <d v="2023-07-15T00:00:00"/>
    <x v="3"/>
    <x v="1"/>
    <n v="43"/>
    <x v="0"/>
    <s v="Credit Card"/>
    <s v="Returned"/>
  </r>
  <r>
    <s v="TID_629"/>
    <x v="8"/>
    <x v="3"/>
    <x v="3"/>
    <x v="0"/>
    <x v="0"/>
    <x v="0"/>
    <n v="9"/>
    <n v="7"/>
    <n v="6"/>
    <n v="10"/>
    <n v="96"/>
    <x v="0"/>
    <n v="428.93"/>
    <n v="41177.279999999999"/>
    <n v="33872.430527999997"/>
    <n v="2638.9300357645407"/>
    <x v="1"/>
    <n v="17.739999999999998"/>
    <b v="1"/>
    <d v="2024-05-06T00:00:00"/>
    <x v="1"/>
    <x v="0"/>
    <n v="25"/>
    <x v="0"/>
    <s v="Debit Card"/>
    <s v="Not Returned"/>
  </r>
  <r>
    <s v="TID_1910"/>
    <x v="5"/>
    <x v="2"/>
    <x v="1"/>
    <x v="1"/>
    <x v="4"/>
    <x v="2"/>
    <n v="7"/>
    <n v="6"/>
    <n v="10"/>
    <n v="10"/>
    <n v="48"/>
    <x v="5"/>
    <n v="854.31"/>
    <n v="41006.879999999997"/>
    <n v="31546.592783999997"/>
    <n v="4964.767779764541"/>
    <x v="0"/>
    <n v="23.07"/>
    <b v="1"/>
    <d v="2024-05-12T00:00:00"/>
    <x v="1"/>
    <x v="0"/>
    <n v="26"/>
    <x v="2"/>
    <s v="Cash"/>
    <s v="Not Returned"/>
  </r>
  <r>
    <s v="TID_1146"/>
    <x v="5"/>
    <x v="2"/>
    <x v="3"/>
    <x v="2"/>
    <x v="3"/>
    <x v="1"/>
    <n v="7"/>
    <n v="6"/>
    <n v="10"/>
    <n v="10"/>
    <n v="41"/>
    <x v="5"/>
    <n v="999.12"/>
    <n v="40963.919999999998"/>
    <n v="39194.278655999995"/>
    <n v="2682.9180922354572"/>
    <x v="0"/>
    <n v="4.32"/>
    <b v="1"/>
    <d v="2023-03-23T00:00:00"/>
    <x v="2"/>
    <x v="1"/>
    <n v="35"/>
    <x v="0"/>
    <s v="Credit Card"/>
    <s v="Returned"/>
  </r>
  <r>
    <s v="TID_968"/>
    <x v="6"/>
    <x v="1"/>
    <x v="2"/>
    <x v="2"/>
    <x v="2"/>
    <x v="2"/>
    <n v="6"/>
    <n v="13"/>
    <n v="10"/>
    <n v="10"/>
    <n v="58"/>
    <x v="4"/>
    <n v="705.8"/>
    <n v="40936.400000000001"/>
    <n v="34918.749199999998"/>
    <n v="1592.6113637645394"/>
    <x v="0"/>
    <n v="14.7"/>
    <b v="1"/>
    <d v="2023-10-21T00:00:00"/>
    <x v="0"/>
    <x v="1"/>
    <n v="48"/>
    <x v="1"/>
    <s v="Online Payment"/>
    <s v="Not Returned"/>
  </r>
  <r>
    <s v="TID_387"/>
    <x v="4"/>
    <x v="2"/>
    <x v="0"/>
    <x v="1"/>
    <x v="0"/>
    <x v="1"/>
    <n v="6"/>
    <n v="6"/>
    <n v="10"/>
    <n v="10"/>
    <n v="64"/>
    <x v="3"/>
    <n v="639.05999999999995"/>
    <n v="40899.839999999997"/>
    <n v="40899.839999999997"/>
    <n v="4388.4794362354587"/>
    <x v="1"/>
    <n v="6.39"/>
    <b v="0"/>
    <d v="2023-12-29T00:00:00"/>
    <x v="0"/>
    <x v="1"/>
    <n v="49"/>
    <x v="0"/>
    <s v="Online Payment"/>
    <s v="Returned"/>
  </r>
  <r>
    <s v="TID_398"/>
    <x v="8"/>
    <x v="3"/>
    <x v="0"/>
    <x v="1"/>
    <x v="4"/>
    <x v="1"/>
    <n v="9"/>
    <n v="7"/>
    <n v="10"/>
    <n v="10"/>
    <n v="70"/>
    <x v="3"/>
    <n v="582.15"/>
    <n v="40750.5"/>
    <n v="40750.5"/>
    <n v="4239.1394362354622"/>
    <x v="0"/>
    <n v="13.98"/>
    <b v="0"/>
    <d v="2024-08-05T00:00:00"/>
    <x v="3"/>
    <x v="0"/>
    <n v="50"/>
    <x v="1"/>
    <s v="Credit Card"/>
    <s v="Returned"/>
  </r>
  <r>
    <s v="TID_734"/>
    <x v="0"/>
    <x v="0"/>
    <x v="2"/>
    <x v="1"/>
    <x v="2"/>
    <x v="1"/>
    <n v="5"/>
    <n v="4"/>
    <n v="10"/>
    <n v="10"/>
    <n v="28"/>
    <x v="6"/>
    <n v="1441.46"/>
    <n v="40360.879999999997"/>
    <n v="40360.879999999997"/>
    <n v="3849.5194362354596"/>
    <x v="1"/>
    <n v="28.07"/>
    <b v="0"/>
    <d v="2024-01-03T00:00:00"/>
    <x v="2"/>
    <x v="0"/>
    <n v="64"/>
    <x v="2"/>
    <s v="Online Payment"/>
    <s v="Returned"/>
  </r>
  <r>
    <s v="TID_1935"/>
    <x v="9"/>
    <x v="4"/>
    <x v="2"/>
    <x v="1"/>
    <x v="4"/>
    <x v="3"/>
    <n v="6"/>
    <n v="13"/>
    <n v="10"/>
    <n v="9"/>
    <n v="74"/>
    <x v="3"/>
    <n v="545.19000000000005"/>
    <n v="40344.06"/>
    <n v="37092.328763999998"/>
    <n v="580.96820023546024"/>
    <x v="0"/>
    <n v="8.06"/>
    <b v="1"/>
    <d v="2024-01-04T00:00:00"/>
    <x v="2"/>
    <x v="0"/>
    <n v="66"/>
    <x v="2"/>
    <s v="Debit Card"/>
    <s v="Not Returned"/>
  </r>
  <r>
    <s v="TID_1039"/>
    <x v="4"/>
    <x v="2"/>
    <x v="1"/>
    <x v="2"/>
    <x v="2"/>
    <x v="1"/>
    <n v="6"/>
    <n v="6"/>
    <n v="10"/>
    <n v="10"/>
    <n v="27"/>
    <x v="6"/>
    <n v="1492.11"/>
    <n v="40286.97"/>
    <n v="40286.97"/>
    <n v="3775.6094362354634"/>
    <x v="0"/>
    <n v="27.59"/>
    <b v="0"/>
    <d v="2024-05-20T00:00:00"/>
    <x v="1"/>
    <x v="0"/>
    <n v="48"/>
    <x v="2"/>
    <s v="Credit Card"/>
    <s v="Returned"/>
  </r>
  <r>
    <s v="TID_284"/>
    <x v="7"/>
    <x v="2"/>
    <x v="1"/>
    <x v="0"/>
    <x v="0"/>
    <x v="1"/>
    <n v="2"/>
    <n v="6"/>
    <n v="6"/>
    <n v="10"/>
    <n v="33"/>
    <x v="6"/>
    <n v="1220.6500000000001"/>
    <n v="40281.449999999997"/>
    <n v="30190.946775"/>
    <n v="6320.4137887645375"/>
    <x v="0"/>
    <n v="25.05"/>
    <b v="1"/>
    <d v="2023-12-12T00:00:00"/>
    <x v="0"/>
    <x v="1"/>
    <n v="66"/>
    <x v="1"/>
    <s v="Online Payment"/>
    <s v="Returned"/>
  </r>
  <r>
    <s v="TID_1438"/>
    <x v="0"/>
    <x v="0"/>
    <x v="3"/>
    <x v="0"/>
    <x v="3"/>
    <x v="1"/>
    <n v="5"/>
    <n v="4"/>
    <n v="6"/>
    <n v="10"/>
    <n v="33"/>
    <x v="6"/>
    <n v="1220.43"/>
    <n v="40274.19"/>
    <n v="37785.245058"/>
    <n v="1273.8844942354626"/>
    <x v="1"/>
    <n v="6.18"/>
    <b v="1"/>
    <d v="2023-11-05T00:00:00"/>
    <x v="0"/>
    <x v="1"/>
    <n v="49"/>
    <x v="1"/>
    <s v="Debit Card"/>
    <s v="Not Returned"/>
  </r>
  <r>
    <s v="TID_292"/>
    <x v="7"/>
    <x v="2"/>
    <x v="2"/>
    <x v="0"/>
    <x v="4"/>
    <x v="3"/>
    <n v="2"/>
    <n v="6"/>
    <n v="6"/>
    <n v="9"/>
    <n v="42"/>
    <x v="5"/>
    <n v="958.66"/>
    <n v="40263.72"/>
    <n v="40098.638748000005"/>
    <n v="3587.2781842354671"/>
    <x v="0"/>
    <n v="0.41"/>
    <b v="1"/>
    <d v="2023-01-04T00:00:00"/>
    <x v="2"/>
    <x v="1"/>
    <n v="26"/>
    <x v="0"/>
    <s v="Credit Card"/>
    <s v="Not Returned"/>
  </r>
  <r>
    <s v="TID_57"/>
    <x v="6"/>
    <x v="1"/>
    <x v="2"/>
    <x v="2"/>
    <x v="2"/>
    <x v="3"/>
    <n v="6"/>
    <n v="13"/>
    <n v="10"/>
    <n v="9"/>
    <n v="43"/>
    <x v="5"/>
    <n v="935.75"/>
    <n v="40237.25"/>
    <n v="40237.25"/>
    <n v="3725.8894362354622"/>
    <x v="1"/>
    <n v="5.94"/>
    <b v="0"/>
    <d v="2024-04-18T00:00:00"/>
    <x v="1"/>
    <x v="0"/>
    <n v="27"/>
    <x v="2"/>
    <s v="Debit Card"/>
    <s v="Returned"/>
  </r>
  <r>
    <s v="TID_521"/>
    <x v="5"/>
    <x v="2"/>
    <x v="1"/>
    <x v="2"/>
    <x v="4"/>
    <x v="1"/>
    <n v="7"/>
    <n v="6"/>
    <n v="10"/>
    <n v="10"/>
    <n v="75"/>
    <x v="3"/>
    <n v="536.24"/>
    <n v="40218"/>
    <n v="40218"/>
    <n v="3706.6394362354622"/>
    <x v="0"/>
    <n v="5.69"/>
    <b v="0"/>
    <d v="2023-06-29T00:00:00"/>
    <x v="1"/>
    <x v="1"/>
    <n v="60"/>
    <x v="2"/>
    <s v="Debit Card"/>
    <s v="Returned"/>
  </r>
  <r>
    <s v="TID_1375"/>
    <x v="5"/>
    <x v="2"/>
    <x v="1"/>
    <x v="1"/>
    <x v="0"/>
    <x v="2"/>
    <n v="7"/>
    <n v="6"/>
    <n v="10"/>
    <n v="10"/>
    <n v="47"/>
    <x v="5"/>
    <n v="854.17"/>
    <n v="40145.99"/>
    <n v="29772.266184"/>
    <n v="6739.0943797645377"/>
    <x v="0"/>
    <n v="25.84"/>
    <b v="1"/>
    <d v="2023-11-09T00:00:00"/>
    <x v="0"/>
    <x v="1"/>
    <n v="68"/>
    <x v="0"/>
    <s v="Debit Card"/>
    <s v="Returned"/>
  </r>
  <r>
    <s v="TID_1759"/>
    <x v="1"/>
    <x v="0"/>
    <x v="2"/>
    <x v="0"/>
    <x v="1"/>
    <x v="2"/>
    <n v="5"/>
    <n v="4"/>
    <n v="6"/>
    <n v="10"/>
    <n v="37"/>
    <x v="6"/>
    <n v="1083.8699999999999"/>
    <n v="40103.19"/>
    <n v="40103.19"/>
    <n v="3591.8294362354645"/>
    <x v="1"/>
    <n v="5.86"/>
    <b v="0"/>
    <d v="2024-10-31T00:00:00"/>
    <x v="0"/>
    <x v="0"/>
    <n v="37"/>
    <x v="1"/>
    <s v="Credit Card"/>
    <s v="Returned"/>
  </r>
  <r>
    <s v="TID_1809"/>
    <x v="3"/>
    <x v="0"/>
    <x v="1"/>
    <x v="1"/>
    <x v="1"/>
    <x v="2"/>
    <n v="5"/>
    <n v="4"/>
    <n v="10"/>
    <n v="10"/>
    <n v="33"/>
    <x v="6"/>
    <n v="1214.3"/>
    <n v="40071.9"/>
    <n v="30029.881860000005"/>
    <n v="6481.4787037645328"/>
    <x v="0"/>
    <n v="25.06"/>
    <b v="1"/>
    <d v="2024-03-17T00:00:00"/>
    <x v="2"/>
    <x v="0"/>
    <n v="35"/>
    <x v="1"/>
    <s v="Credit Card"/>
    <s v="Returned"/>
  </r>
  <r>
    <s v="TID_1173"/>
    <x v="2"/>
    <x v="1"/>
    <x v="3"/>
    <x v="0"/>
    <x v="0"/>
    <x v="2"/>
    <n v="3"/>
    <n v="13"/>
    <n v="6"/>
    <n v="10"/>
    <n v="56"/>
    <x v="4"/>
    <n v="715.05"/>
    <n v="40042.800000000003"/>
    <n v="40042.800000000003"/>
    <n v="3531.4394362354651"/>
    <x v="0"/>
    <n v="21.73"/>
    <b v="0"/>
    <d v="2023-11-08T00:00:00"/>
    <x v="0"/>
    <x v="1"/>
    <n v="50"/>
    <x v="1"/>
    <s v="Online Payment"/>
    <s v="Returned"/>
  </r>
  <r>
    <s v="TID_1267"/>
    <x v="7"/>
    <x v="2"/>
    <x v="2"/>
    <x v="0"/>
    <x v="1"/>
    <x v="0"/>
    <n v="2"/>
    <n v="6"/>
    <n v="6"/>
    <n v="10"/>
    <n v="58"/>
    <x v="4"/>
    <n v="689.62"/>
    <n v="39997.96"/>
    <n v="38542.034255999999"/>
    <n v="2030.6736922354612"/>
    <x v="0"/>
    <n v="3.64"/>
    <b v="1"/>
    <d v="2023-08-11T00:00:00"/>
    <x v="3"/>
    <x v="1"/>
    <n v="22"/>
    <x v="1"/>
    <s v="Online Payment"/>
    <s v="Returned"/>
  </r>
  <r>
    <s v="TID_1858"/>
    <x v="8"/>
    <x v="3"/>
    <x v="2"/>
    <x v="2"/>
    <x v="1"/>
    <x v="2"/>
    <n v="9"/>
    <n v="7"/>
    <n v="10"/>
    <n v="10"/>
    <n v="60"/>
    <x v="4"/>
    <n v="666.24"/>
    <n v="39974.400000000001"/>
    <n v="39974.400000000001"/>
    <n v="3463.0394362354637"/>
    <x v="1"/>
    <n v="2.85"/>
    <b v="0"/>
    <d v="2023-11-07T00:00:00"/>
    <x v="0"/>
    <x v="1"/>
    <n v="67"/>
    <x v="2"/>
    <s v="Online Payment"/>
    <s v="Not Returned"/>
  </r>
  <r>
    <s v="TID_901"/>
    <x v="7"/>
    <x v="2"/>
    <x v="0"/>
    <x v="1"/>
    <x v="0"/>
    <x v="2"/>
    <n v="2"/>
    <n v="6"/>
    <n v="10"/>
    <n v="10"/>
    <n v="94"/>
    <x v="1"/>
    <n v="424.83"/>
    <n v="39934.019999999997"/>
    <n v="35772.895116"/>
    <n v="738.46544776453811"/>
    <x v="1"/>
    <n v="10.42"/>
    <b v="1"/>
    <d v="2023-01-28T00:00:00"/>
    <x v="2"/>
    <x v="1"/>
    <n v="66"/>
    <x v="1"/>
    <s v="Online Payment"/>
    <s v="Not Returned"/>
  </r>
  <r>
    <s v="TID_47"/>
    <x v="6"/>
    <x v="1"/>
    <x v="1"/>
    <x v="0"/>
    <x v="1"/>
    <x v="3"/>
    <n v="6"/>
    <n v="13"/>
    <n v="6"/>
    <n v="9"/>
    <n v="63"/>
    <x v="3"/>
    <n v="633.29999999999995"/>
    <n v="39897.9"/>
    <n v="39897.9"/>
    <n v="3386.5394362354637"/>
    <x v="1"/>
    <n v="15.32"/>
    <b v="0"/>
    <d v="2023-02-16T00:00:00"/>
    <x v="2"/>
    <x v="1"/>
    <n v="44"/>
    <x v="2"/>
    <s v="Credit Card"/>
    <s v="Returned"/>
  </r>
  <r>
    <s v="TID_1981"/>
    <x v="7"/>
    <x v="2"/>
    <x v="2"/>
    <x v="0"/>
    <x v="3"/>
    <x v="1"/>
    <n v="2"/>
    <n v="6"/>
    <n v="6"/>
    <n v="10"/>
    <n v="76"/>
    <x v="3"/>
    <n v="524.79"/>
    <n v="39884.04"/>
    <n v="39884.04"/>
    <n v="3372.6794362354631"/>
    <x v="0"/>
    <n v="26.62"/>
    <b v="0"/>
    <d v="2023-11-10T00:00:00"/>
    <x v="0"/>
    <x v="1"/>
    <n v="55"/>
    <x v="2"/>
    <s v="Debit Card"/>
    <s v="Not Returned"/>
  </r>
  <r>
    <s v="TID_150"/>
    <x v="0"/>
    <x v="0"/>
    <x v="0"/>
    <x v="0"/>
    <x v="0"/>
    <x v="0"/>
    <n v="5"/>
    <n v="4"/>
    <n v="6"/>
    <n v="10"/>
    <n v="38"/>
    <x v="6"/>
    <n v="1048.08"/>
    <n v="39827.040000000001"/>
    <n v="33199.820544000002"/>
    <n v="3311.5400197645358"/>
    <x v="1"/>
    <n v="16.64"/>
    <b v="1"/>
    <d v="2023-05-08T00:00:00"/>
    <x v="1"/>
    <x v="1"/>
    <n v="40"/>
    <x v="0"/>
    <s v="Cash"/>
    <s v="Not Returned"/>
  </r>
  <r>
    <s v="TID_1153"/>
    <x v="6"/>
    <x v="1"/>
    <x v="2"/>
    <x v="2"/>
    <x v="4"/>
    <x v="3"/>
    <n v="6"/>
    <n v="13"/>
    <n v="10"/>
    <n v="9"/>
    <n v="47"/>
    <x v="5"/>
    <n v="846.76"/>
    <n v="39797.72"/>
    <n v="39797.72"/>
    <n v="3286.3594362354634"/>
    <x v="1"/>
    <n v="18.37"/>
    <b v="0"/>
    <d v="2024-09-26T00:00:00"/>
    <x v="3"/>
    <x v="0"/>
    <n v="52"/>
    <x v="1"/>
    <s v="Credit Card"/>
    <s v="Not Returned"/>
  </r>
  <r>
    <s v="TID_1816"/>
    <x v="8"/>
    <x v="3"/>
    <x v="1"/>
    <x v="2"/>
    <x v="1"/>
    <x v="1"/>
    <n v="9"/>
    <n v="7"/>
    <n v="10"/>
    <n v="10"/>
    <n v="83"/>
    <x v="2"/>
    <n v="477.56"/>
    <n v="39637.480000000003"/>
    <n v="39637.480000000003"/>
    <n v="3126.1194362354654"/>
    <x v="0"/>
    <n v="11.18"/>
    <b v="0"/>
    <d v="2023-06-26T00:00:00"/>
    <x v="1"/>
    <x v="1"/>
    <n v="47"/>
    <x v="1"/>
    <s v="Credit Card"/>
    <s v="Not Returned"/>
  </r>
  <r>
    <s v="TID_1371"/>
    <x v="0"/>
    <x v="0"/>
    <x v="1"/>
    <x v="0"/>
    <x v="3"/>
    <x v="1"/>
    <n v="5"/>
    <n v="4"/>
    <n v="6"/>
    <n v="10"/>
    <n v="79"/>
    <x v="3"/>
    <n v="500.7"/>
    <n v="39555.300000000003"/>
    <n v="38214.375330000003"/>
    <n v="1703.0147662354648"/>
    <x v="1"/>
    <n v="3.39"/>
    <b v="1"/>
    <d v="2023-12-27T00:00:00"/>
    <x v="0"/>
    <x v="1"/>
    <n v="24"/>
    <x v="0"/>
    <s v="Debit Card"/>
    <s v="Not Returned"/>
  </r>
  <r>
    <s v="TID_416"/>
    <x v="4"/>
    <x v="2"/>
    <x v="0"/>
    <x v="1"/>
    <x v="2"/>
    <x v="3"/>
    <n v="6"/>
    <n v="6"/>
    <n v="10"/>
    <n v="9"/>
    <n v="76"/>
    <x v="3"/>
    <n v="520.16"/>
    <n v="39532.160000000003"/>
    <n v="31590.149056000006"/>
    <n v="4921.2115077645321"/>
    <x v="0"/>
    <n v="20.09"/>
    <b v="1"/>
    <d v="2024-06-22T00:00:00"/>
    <x v="1"/>
    <x v="0"/>
    <n v="25"/>
    <x v="0"/>
    <s v="Online Payment"/>
    <s v="Not Returned"/>
  </r>
  <r>
    <s v="TID_1150"/>
    <x v="4"/>
    <x v="2"/>
    <x v="0"/>
    <x v="1"/>
    <x v="3"/>
    <x v="3"/>
    <n v="6"/>
    <n v="6"/>
    <n v="10"/>
    <n v="9"/>
    <n v="48"/>
    <x v="5"/>
    <n v="820.82"/>
    <n v="39399.360000000001"/>
    <n v="37701.247583999997"/>
    <n v="1189.8870202354592"/>
    <x v="0"/>
    <n v="4.3099999999999996"/>
    <b v="1"/>
    <d v="2023-10-03T00:00:00"/>
    <x v="0"/>
    <x v="1"/>
    <n v="56"/>
    <x v="2"/>
    <s v="Online Payment"/>
    <s v="Returned"/>
  </r>
  <r>
    <s v="TID_871"/>
    <x v="5"/>
    <x v="2"/>
    <x v="0"/>
    <x v="2"/>
    <x v="2"/>
    <x v="3"/>
    <n v="7"/>
    <n v="6"/>
    <n v="10"/>
    <n v="9"/>
    <n v="79"/>
    <x v="3"/>
    <n v="498.68"/>
    <n v="39395.72"/>
    <n v="28045.813067999999"/>
    <n v="8465.5474957645383"/>
    <x v="1"/>
    <n v="28.81"/>
    <b v="1"/>
    <d v="2023-09-13T00:00:00"/>
    <x v="3"/>
    <x v="1"/>
    <n v="36"/>
    <x v="2"/>
    <s v="Cash"/>
    <s v="Returned"/>
  </r>
  <r>
    <s v="TID_575"/>
    <x v="0"/>
    <x v="0"/>
    <x v="0"/>
    <x v="2"/>
    <x v="3"/>
    <x v="0"/>
    <n v="5"/>
    <n v="4"/>
    <n v="10"/>
    <n v="10"/>
    <n v="27"/>
    <x v="6"/>
    <n v="1455.86"/>
    <n v="39308.22"/>
    <n v="39308.22"/>
    <n v="2796.8594362354634"/>
    <x v="0"/>
    <n v="3.15"/>
    <b v="0"/>
    <d v="2024-08-28T00:00:00"/>
    <x v="3"/>
    <x v="0"/>
    <n v="38"/>
    <x v="2"/>
    <s v="Online Payment"/>
    <s v="Returned"/>
  </r>
  <r>
    <s v="TID_214"/>
    <x v="5"/>
    <x v="2"/>
    <x v="3"/>
    <x v="2"/>
    <x v="2"/>
    <x v="1"/>
    <n v="7"/>
    <n v="6"/>
    <n v="10"/>
    <n v="10"/>
    <n v="42"/>
    <x v="5"/>
    <n v="935.82"/>
    <n v="39304.44"/>
    <n v="38388.646548000004"/>
    <n v="1877.2859842354665"/>
    <x v="1"/>
    <n v="2.33"/>
    <b v="1"/>
    <d v="2024-07-12T00:00:00"/>
    <x v="3"/>
    <x v="0"/>
    <n v="63"/>
    <x v="1"/>
    <s v="Credit Card"/>
    <s v="Not Returned"/>
  </r>
  <r>
    <s v="TID_537"/>
    <x v="0"/>
    <x v="0"/>
    <x v="1"/>
    <x v="2"/>
    <x v="0"/>
    <x v="3"/>
    <n v="5"/>
    <n v="4"/>
    <n v="10"/>
    <n v="9"/>
    <n v="34"/>
    <x v="6"/>
    <n v="1155.73"/>
    <n v="39294.82"/>
    <n v="39294.82"/>
    <n v="2783.4594362354619"/>
    <x v="0"/>
    <n v="19.579999999999998"/>
    <b v="0"/>
    <d v="2023-04-17T00:00:00"/>
    <x v="1"/>
    <x v="1"/>
    <n v="35"/>
    <x v="1"/>
    <s v="Debit Card"/>
    <s v="Not Returned"/>
  </r>
  <r>
    <s v="TID_505"/>
    <x v="0"/>
    <x v="0"/>
    <x v="2"/>
    <x v="0"/>
    <x v="2"/>
    <x v="0"/>
    <n v="5"/>
    <n v="4"/>
    <n v="6"/>
    <n v="10"/>
    <n v="72"/>
    <x v="3"/>
    <n v="544.59"/>
    <n v="39210.480000000003"/>
    <n v="39210.480000000003"/>
    <n v="2699.1194362354654"/>
    <x v="1"/>
    <n v="20.87"/>
    <b v="0"/>
    <d v="2023-06-06T00:00:00"/>
    <x v="1"/>
    <x v="1"/>
    <n v="43"/>
    <x v="1"/>
    <s v="Cash"/>
    <s v="Returned"/>
  </r>
  <r>
    <s v="TID_184"/>
    <x v="2"/>
    <x v="1"/>
    <x v="0"/>
    <x v="0"/>
    <x v="4"/>
    <x v="3"/>
    <n v="3"/>
    <n v="13"/>
    <n v="6"/>
    <n v="9"/>
    <n v="80"/>
    <x v="3"/>
    <n v="490.07"/>
    <n v="39205.599999999999"/>
    <n v="37131.623760000002"/>
    <n v="620.26319623546442"/>
    <x v="1"/>
    <n v="5.29"/>
    <b v="1"/>
    <d v="2023-10-24T00:00:00"/>
    <x v="0"/>
    <x v="1"/>
    <n v="27"/>
    <x v="1"/>
    <s v="Credit Card"/>
    <s v="Returned"/>
  </r>
  <r>
    <s v="TID_930"/>
    <x v="3"/>
    <x v="0"/>
    <x v="2"/>
    <x v="0"/>
    <x v="0"/>
    <x v="1"/>
    <n v="5"/>
    <n v="4"/>
    <n v="6"/>
    <n v="10"/>
    <n v="34"/>
    <x v="6"/>
    <n v="1152.96"/>
    <n v="39200.639999999999"/>
    <n v="27746.212992000001"/>
    <n v="8765.1475717645371"/>
    <x v="0"/>
    <n v="29.22"/>
    <b v="1"/>
    <d v="2023-06-15T00:00:00"/>
    <x v="1"/>
    <x v="1"/>
    <n v="69"/>
    <x v="2"/>
    <s v="Cash"/>
    <s v="Not Returned"/>
  </r>
  <r>
    <s v="TID_270"/>
    <x v="4"/>
    <x v="2"/>
    <x v="3"/>
    <x v="0"/>
    <x v="2"/>
    <x v="0"/>
    <n v="6"/>
    <n v="6"/>
    <n v="6"/>
    <n v="10"/>
    <n v="60"/>
    <x v="4"/>
    <n v="652.87"/>
    <n v="39172.199999999997"/>
    <n v="39172.199999999997"/>
    <n v="2660.8394362354593"/>
    <x v="0"/>
    <n v="18.46"/>
    <b v="0"/>
    <d v="2024-02-10T00:00:00"/>
    <x v="2"/>
    <x v="0"/>
    <n v="24"/>
    <x v="1"/>
    <s v="Online Payment"/>
    <s v="Not Returned"/>
  </r>
  <r>
    <s v="TID_1440"/>
    <x v="6"/>
    <x v="1"/>
    <x v="0"/>
    <x v="0"/>
    <x v="1"/>
    <x v="0"/>
    <n v="6"/>
    <n v="13"/>
    <n v="6"/>
    <n v="10"/>
    <n v="69"/>
    <x v="3"/>
    <n v="567.55999999999995"/>
    <n v="39161.64"/>
    <n v="39161.64"/>
    <n v="2650.2794362354616"/>
    <x v="1"/>
    <n v="0.75"/>
    <b v="0"/>
    <d v="2024-06-04T00:00:00"/>
    <x v="1"/>
    <x v="0"/>
    <n v="65"/>
    <x v="2"/>
    <s v="Debit Card"/>
    <s v="Not Returned"/>
  </r>
  <r>
    <s v="TID_192"/>
    <x v="3"/>
    <x v="0"/>
    <x v="0"/>
    <x v="1"/>
    <x v="2"/>
    <x v="2"/>
    <n v="5"/>
    <n v="4"/>
    <n v="10"/>
    <n v="10"/>
    <n v="38"/>
    <x v="6"/>
    <n v="1027.31"/>
    <n v="39037.78"/>
    <n v="39037.78"/>
    <n v="2526.419436235461"/>
    <x v="0"/>
    <n v="6.21"/>
    <b v="0"/>
    <d v="2024-09-20T00:00:00"/>
    <x v="3"/>
    <x v="0"/>
    <n v="38"/>
    <x v="1"/>
    <s v="Credit Card"/>
    <s v="Returned"/>
  </r>
  <r>
    <s v="TID_1034"/>
    <x v="4"/>
    <x v="2"/>
    <x v="2"/>
    <x v="2"/>
    <x v="4"/>
    <x v="2"/>
    <n v="6"/>
    <n v="6"/>
    <n v="10"/>
    <n v="10"/>
    <n v="48"/>
    <x v="5"/>
    <n v="812.09"/>
    <n v="38980.32"/>
    <n v="36201.023183999998"/>
    <n v="310.33737976453995"/>
    <x v="1"/>
    <n v="7.13"/>
    <b v="1"/>
    <d v="2023-09-21T00:00:00"/>
    <x v="3"/>
    <x v="1"/>
    <n v="64"/>
    <x v="1"/>
    <s v="Online Payment"/>
    <s v="Not Returned"/>
  </r>
  <r>
    <s v="TID_848"/>
    <x v="5"/>
    <x v="2"/>
    <x v="2"/>
    <x v="1"/>
    <x v="3"/>
    <x v="2"/>
    <n v="7"/>
    <n v="6"/>
    <n v="10"/>
    <n v="10"/>
    <n v="27"/>
    <x v="6"/>
    <n v="1443.48"/>
    <n v="38973.96"/>
    <n v="34375.032720000003"/>
    <n v="2136.3278437645349"/>
    <x v="0"/>
    <n v="11.8"/>
    <b v="1"/>
    <d v="2023-05-27T00:00:00"/>
    <x v="1"/>
    <x v="1"/>
    <n v="42"/>
    <x v="1"/>
    <s v="Debit Card"/>
    <s v="Returned"/>
  </r>
  <r>
    <s v="TID_595"/>
    <x v="5"/>
    <x v="2"/>
    <x v="1"/>
    <x v="2"/>
    <x v="0"/>
    <x v="3"/>
    <n v="7"/>
    <n v="6"/>
    <n v="10"/>
    <n v="9"/>
    <n v="26"/>
    <x v="6"/>
    <n v="1495.84"/>
    <n v="38891.839999999997"/>
    <n v="38891.839999999997"/>
    <n v="2380.4794362354587"/>
    <x v="0"/>
    <n v="27.91"/>
    <b v="0"/>
    <d v="2023-11-24T00:00:00"/>
    <x v="0"/>
    <x v="1"/>
    <n v="57"/>
    <x v="1"/>
    <s v="Credit Card"/>
    <s v="Returned"/>
  </r>
  <r>
    <s v="TID_1765"/>
    <x v="4"/>
    <x v="2"/>
    <x v="1"/>
    <x v="2"/>
    <x v="1"/>
    <x v="3"/>
    <n v="6"/>
    <n v="6"/>
    <n v="10"/>
    <n v="9"/>
    <n v="72"/>
    <x v="3"/>
    <n v="538.97"/>
    <n v="38805.839999999997"/>
    <n v="38805.839999999997"/>
    <n v="2294.4794362354587"/>
    <x v="0"/>
    <n v="6.19"/>
    <b v="0"/>
    <d v="2024-09-11T00:00:00"/>
    <x v="3"/>
    <x v="0"/>
    <n v="61"/>
    <x v="2"/>
    <s v="Credit Card"/>
    <s v="Not Returned"/>
  </r>
  <r>
    <s v="TID_328"/>
    <x v="1"/>
    <x v="0"/>
    <x v="2"/>
    <x v="0"/>
    <x v="1"/>
    <x v="0"/>
    <n v="5"/>
    <n v="4"/>
    <n v="6"/>
    <n v="10"/>
    <n v="36"/>
    <x v="6"/>
    <n v="1077.5899999999999"/>
    <n v="38793.24"/>
    <n v="38793.24"/>
    <n v="2281.8794362354602"/>
    <x v="0"/>
    <n v="28.09"/>
    <b v="0"/>
    <d v="2023-09-20T00:00:00"/>
    <x v="3"/>
    <x v="1"/>
    <n v="31"/>
    <x v="2"/>
    <s v="Credit Card"/>
    <s v="Not Returned"/>
  </r>
  <r>
    <s v="TID_922"/>
    <x v="9"/>
    <x v="4"/>
    <x v="2"/>
    <x v="0"/>
    <x v="0"/>
    <x v="1"/>
    <n v="6"/>
    <n v="13"/>
    <n v="6"/>
    <n v="10"/>
    <n v="58"/>
    <x v="4"/>
    <n v="667.87"/>
    <n v="38736.46"/>
    <n v="27169.753044000001"/>
    <n v="9341.6075197645368"/>
    <x v="1"/>
    <n v="29.86"/>
    <b v="1"/>
    <d v="2024-03-19T00:00:00"/>
    <x v="2"/>
    <x v="0"/>
    <n v="27"/>
    <x v="0"/>
    <s v="Cash"/>
    <s v="Returned"/>
  </r>
  <r>
    <s v="TID_1835"/>
    <x v="2"/>
    <x v="1"/>
    <x v="0"/>
    <x v="2"/>
    <x v="2"/>
    <x v="2"/>
    <n v="3"/>
    <n v="13"/>
    <n v="10"/>
    <n v="10"/>
    <n v="27"/>
    <x v="6"/>
    <n v="1433.88"/>
    <n v="38714.76"/>
    <n v="38714.76"/>
    <n v="2203.3994362354642"/>
    <x v="1"/>
    <n v="6.15"/>
    <b v="0"/>
    <d v="2023-02-07T00:00:00"/>
    <x v="2"/>
    <x v="1"/>
    <n v="60"/>
    <x v="1"/>
    <s v="Credit Card"/>
    <s v="Returned"/>
  </r>
  <r>
    <s v="TID_1291"/>
    <x v="1"/>
    <x v="0"/>
    <x v="3"/>
    <x v="0"/>
    <x v="2"/>
    <x v="3"/>
    <n v="5"/>
    <n v="4"/>
    <n v="6"/>
    <n v="9"/>
    <n v="57"/>
    <x v="4"/>
    <n v="677.56"/>
    <n v="38620.92"/>
    <n v="38620.92"/>
    <n v="2109.5594362354605"/>
    <x v="0"/>
    <n v="7.27"/>
    <b v="0"/>
    <d v="2024-05-12T00:00:00"/>
    <x v="1"/>
    <x v="0"/>
    <n v="39"/>
    <x v="1"/>
    <s v="Debit Card"/>
    <s v="Returned"/>
  </r>
  <r>
    <s v="TID_216"/>
    <x v="2"/>
    <x v="1"/>
    <x v="0"/>
    <x v="0"/>
    <x v="1"/>
    <x v="1"/>
    <n v="3"/>
    <n v="13"/>
    <n v="6"/>
    <n v="10"/>
    <n v="32"/>
    <x v="6"/>
    <n v="1201.1500000000001"/>
    <n v="38436.800000000003"/>
    <n v="38436.800000000003"/>
    <n v="1925.4394362354651"/>
    <x v="1"/>
    <n v="19.420000000000002"/>
    <b v="0"/>
    <d v="2023-04-13T00:00:00"/>
    <x v="1"/>
    <x v="1"/>
    <n v="58"/>
    <x v="2"/>
    <s v="Online Payment"/>
    <s v="Returned"/>
  </r>
  <r>
    <s v="TID_679"/>
    <x v="2"/>
    <x v="1"/>
    <x v="2"/>
    <x v="0"/>
    <x v="4"/>
    <x v="2"/>
    <n v="3"/>
    <n v="13"/>
    <n v="6"/>
    <n v="10"/>
    <n v="72"/>
    <x v="3"/>
    <n v="532.98"/>
    <n v="38374.559999999998"/>
    <n v="38374.559999999998"/>
    <n v="1863.1994362354599"/>
    <x v="0"/>
    <n v="29.41"/>
    <b v="0"/>
    <d v="2024-05-11T00:00:00"/>
    <x v="1"/>
    <x v="0"/>
    <n v="24"/>
    <x v="2"/>
    <s v="Online Payment"/>
    <s v="Not Returned"/>
  </r>
  <r>
    <s v="TID_288"/>
    <x v="4"/>
    <x v="2"/>
    <x v="2"/>
    <x v="1"/>
    <x v="3"/>
    <x v="0"/>
    <n v="6"/>
    <n v="6"/>
    <n v="10"/>
    <n v="10"/>
    <n v="28"/>
    <x v="6"/>
    <n v="1370.43"/>
    <n v="38372.04"/>
    <n v="38372.04"/>
    <n v="1860.6794362354631"/>
    <x v="1"/>
    <n v="13.95"/>
    <b v="0"/>
    <d v="2023-07-19T00:00:00"/>
    <x v="3"/>
    <x v="1"/>
    <n v="62"/>
    <x v="1"/>
    <s v="Online Payment"/>
    <s v="Returned"/>
  </r>
  <r>
    <s v="TID_1293"/>
    <x v="6"/>
    <x v="1"/>
    <x v="2"/>
    <x v="2"/>
    <x v="3"/>
    <x v="1"/>
    <n v="6"/>
    <n v="13"/>
    <n v="10"/>
    <n v="10"/>
    <n v="88"/>
    <x v="2"/>
    <n v="435.13"/>
    <n v="38291.440000000002"/>
    <n v="27516.228784000003"/>
    <n v="8995.1317797645352"/>
    <x v="1"/>
    <n v="28.14"/>
    <b v="1"/>
    <d v="2024-02-02T00:00:00"/>
    <x v="2"/>
    <x v="0"/>
    <n v="27"/>
    <x v="0"/>
    <s v="Online Payment"/>
    <s v="Not Returned"/>
  </r>
  <r>
    <s v="TID_606"/>
    <x v="0"/>
    <x v="0"/>
    <x v="2"/>
    <x v="0"/>
    <x v="2"/>
    <x v="0"/>
    <n v="5"/>
    <n v="4"/>
    <n v="6"/>
    <n v="10"/>
    <n v="28"/>
    <x v="6"/>
    <n v="1366.42"/>
    <n v="38259.760000000002"/>
    <n v="31407.436984"/>
    <n v="5103.9235797645379"/>
    <x v="1"/>
    <n v="17.91"/>
    <b v="1"/>
    <d v="2024-07-18T00:00:00"/>
    <x v="3"/>
    <x v="0"/>
    <n v="21"/>
    <x v="1"/>
    <s v="Debit Card"/>
    <s v="Returned"/>
  </r>
  <r>
    <s v="TID_1081"/>
    <x v="7"/>
    <x v="2"/>
    <x v="2"/>
    <x v="0"/>
    <x v="0"/>
    <x v="2"/>
    <n v="2"/>
    <n v="6"/>
    <n v="6"/>
    <n v="10"/>
    <n v="27"/>
    <x v="6"/>
    <n v="1416.24"/>
    <n v="38238.480000000003"/>
    <n v="38238.480000000003"/>
    <n v="1727.1194362354654"/>
    <x v="0"/>
    <n v="24.98"/>
    <b v="0"/>
    <d v="2023-01-17T00:00:00"/>
    <x v="2"/>
    <x v="1"/>
    <n v="54"/>
    <x v="2"/>
    <s v="Debit Card"/>
    <s v="Not Returned"/>
  </r>
  <r>
    <s v="TID_1304"/>
    <x v="8"/>
    <x v="3"/>
    <x v="3"/>
    <x v="0"/>
    <x v="1"/>
    <x v="0"/>
    <n v="9"/>
    <n v="7"/>
    <n v="6"/>
    <n v="10"/>
    <n v="61"/>
    <x v="3"/>
    <n v="626.71"/>
    <n v="38229.31"/>
    <n v="27196.331134"/>
    <n v="9315.0294297645378"/>
    <x v="1"/>
    <n v="28.86"/>
    <b v="1"/>
    <d v="2024-09-18T00:00:00"/>
    <x v="3"/>
    <x v="0"/>
    <n v="33"/>
    <x v="0"/>
    <s v="Cash"/>
    <s v="Returned"/>
  </r>
  <r>
    <s v="TID_1494"/>
    <x v="8"/>
    <x v="3"/>
    <x v="0"/>
    <x v="0"/>
    <x v="2"/>
    <x v="2"/>
    <n v="9"/>
    <n v="7"/>
    <n v="6"/>
    <n v="10"/>
    <n v="69"/>
    <x v="3"/>
    <n v="554.02"/>
    <n v="38227.379999999997"/>
    <n v="38227.379999999997"/>
    <n v="1716.0194362354596"/>
    <x v="0"/>
    <n v="12.2"/>
    <b v="0"/>
    <d v="2023-09-17T00:00:00"/>
    <x v="3"/>
    <x v="1"/>
    <n v="23"/>
    <x v="1"/>
    <s v="Online Payment"/>
    <s v="Returned"/>
  </r>
  <r>
    <s v="TID_512"/>
    <x v="0"/>
    <x v="0"/>
    <x v="0"/>
    <x v="1"/>
    <x v="3"/>
    <x v="1"/>
    <n v="5"/>
    <n v="4"/>
    <n v="10"/>
    <n v="10"/>
    <n v="28"/>
    <x v="6"/>
    <n v="1360.25"/>
    <n v="38087"/>
    <n v="38087"/>
    <n v="1575.6394362354622"/>
    <x v="0"/>
    <n v="28.48"/>
    <b v="0"/>
    <d v="2023-04-16T00:00:00"/>
    <x v="1"/>
    <x v="1"/>
    <n v="37"/>
    <x v="2"/>
    <s v="Cash"/>
    <s v="Not Returned"/>
  </r>
  <r>
    <s v="TID_572"/>
    <x v="9"/>
    <x v="4"/>
    <x v="2"/>
    <x v="0"/>
    <x v="0"/>
    <x v="3"/>
    <n v="6"/>
    <n v="13"/>
    <n v="6"/>
    <n v="9"/>
    <n v="52"/>
    <x v="4"/>
    <n v="732.04"/>
    <n v="38066.080000000002"/>
    <n v="31690.011600000002"/>
    <n v="4821.3489637645362"/>
    <x v="0"/>
    <n v="16.75"/>
    <b v="1"/>
    <d v="2024-04-18T00:00:00"/>
    <x v="1"/>
    <x v="0"/>
    <n v="51"/>
    <x v="1"/>
    <s v="Cash"/>
    <s v="Not Returned"/>
  </r>
  <r>
    <s v="TID_1215"/>
    <x v="3"/>
    <x v="0"/>
    <x v="1"/>
    <x v="1"/>
    <x v="3"/>
    <x v="0"/>
    <n v="5"/>
    <n v="4"/>
    <n v="10"/>
    <n v="10"/>
    <n v="94"/>
    <x v="1"/>
    <n v="404.14"/>
    <n v="37989.160000000003"/>
    <n v="36203.669480000004"/>
    <n v="307.69108376453369"/>
    <x v="0"/>
    <n v="4.7"/>
    <b v="1"/>
    <d v="2023-10-27T00:00:00"/>
    <x v="0"/>
    <x v="1"/>
    <n v="56"/>
    <x v="2"/>
    <s v="Online Payment"/>
    <s v="Returned"/>
  </r>
  <r>
    <s v="TID_1871"/>
    <x v="9"/>
    <x v="4"/>
    <x v="1"/>
    <x v="1"/>
    <x v="4"/>
    <x v="2"/>
    <n v="6"/>
    <n v="13"/>
    <n v="10"/>
    <n v="10"/>
    <n v="90"/>
    <x v="2"/>
    <n v="421.84"/>
    <n v="37965.599999999999"/>
    <n v="37965.599999999999"/>
    <n v="1454.2394362354607"/>
    <x v="0"/>
    <n v="10.27"/>
    <b v="0"/>
    <d v="2023-05-24T00:00:00"/>
    <x v="1"/>
    <x v="1"/>
    <n v="48"/>
    <x v="1"/>
    <s v="Debit Card"/>
    <s v="Returned"/>
  </r>
  <r>
    <s v="TID_791"/>
    <x v="9"/>
    <x v="4"/>
    <x v="1"/>
    <x v="2"/>
    <x v="0"/>
    <x v="2"/>
    <n v="6"/>
    <n v="13"/>
    <n v="10"/>
    <n v="10"/>
    <n v="50"/>
    <x v="5"/>
    <n v="757.66"/>
    <n v="37883"/>
    <n v="37883"/>
    <n v="1371.6394362354622"/>
    <x v="0"/>
    <n v="22.66"/>
    <b v="0"/>
    <d v="2023-06-11T00:00:00"/>
    <x v="1"/>
    <x v="1"/>
    <n v="23"/>
    <x v="0"/>
    <s v="Cash"/>
    <s v="Not Returned"/>
  </r>
  <r>
    <s v="TID_1452"/>
    <x v="1"/>
    <x v="0"/>
    <x v="3"/>
    <x v="0"/>
    <x v="4"/>
    <x v="3"/>
    <n v="5"/>
    <n v="4"/>
    <n v="6"/>
    <n v="9"/>
    <n v="74"/>
    <x v="3"/>
    <n v="511.34"/>
    <n v="37839.160000000003"/>
    <n v="37839.160000000003"/>
    <n v="1327.7994362354657"/>
    <x v="1"/>
    <n v="10.61"/>
    <b v="0"/>
    <d v="2024-06-26T00:00:00"/>
    <x v="1"/>
    <x v="0"/>
    <n v="52"/>
    <x v="0"/>
    <s v="Cash"/>
    <s v="Returned"/>
  </r>
  <r>
    <s v="TID_1645"/>
    <x v="5"/>
    <x v="2"/>
    <x v="1"/>
    <x v="1"/>
    <x v="1"/>
    <x v="3"/>
    <n v="7"/>
    <n v="6"/>
    <n v="10"/>
    <n v="9"/>
    <n v="54"/>
    <x v="4"/>
    <n v="699.93"/>
    <n v="37796.22"/>
    <n v="28392.520464000001"/>
    <n v="8118.8400997645367"/>
    <x v="0"/>
    <n v="24.88"/>
    <b v="1"/>
    <d v="2024-04-27T00:00:00"/>
    <x v="1"/>
    <x v="0"/>
    <n v="56"/>
    <x v="1"/>
    <s v="Cash"/>
    <s v="Not Returned"/>
  </r>
  <r>
    <s v="TID_609"/>
    <x v="8"/>
    <x v="3"/>
    <x v="0"/>
    <x v="1"/>
    <x v="3"/>
    <x v="2"/>
    <n v="9"/>
    <n v="7"/>
    <n v="10"/>
    <n v="10"/>
    <n v="86"/>
    <x v="2"/>
    <n v="439.09"/>
    <n v="37761.74"/>
    <n v="37761.74"/>
    <n v="1250.3794362354602"/>
    <x v="0"/>
    <n v="11.14"/>
    <b v="0"/>
    <d v="2023-02-05T00:00:00"/>
    <x v="2"/>
    <x v="1"/>
    <n v="49"/>
    <x v="0"/>
    <s v="Debit Card"/>
    <s v="Returned"/>
  </r>
  <r>
    <s v="TID_824"/>
    <x v="8"/>
    <x v="3"/>
    <x v="2"/>
    <x v="1"/>
    <x v="4"/>
    <x v="0"/>
    <n v="9"/>
    <n v="7"/>
    <n v="10"/>
    <n v="10"/>
    <n v="63"/>
    <x v="3"/>
    <n v="599.03"/>
    <n v="37738.89"/>
    <n v="29877.879213000004"/>
    <n v="6633.481350764534"/>
    <x v="1"/>
    <n v="20.83"/>
    <b v="1"/>
    <d v="2023-03-14T00:00:00"/>
    <x v="2"/>
    <x v="1"/>
    <n v="51"/>
    <x v="0"/>
    <s v="Credit Card"/>
    <s v="Not Returned"/>
  </r>
  <r>
    <s v="TID_316"/>
    <x v="9"/>
    <x v="4"/>
    <x v="0"/>
    <x v="0"/>
    <x v="1"/>
    <x v="1"/>
    <n v="6"/>
    <n v="13"/>
    <n v="6"/>
    <n v="10"/>
    <n v="51"/>
    <x v="4"/>
    <n v="739.18"/>
    <n v="37698.18"/>
    <n v="37698.18"/>
    <n v="1186.8194362354625"/>
    <x v="0"/>
    <n v="17.48"/>
    <b v="0"/>
    <d v="2023-09-26T00:00:00"/>
    <x v="3"/>
    <x v="1"/>
    <n v="63"/>
    <x v="2"/>
    <s v="Debit Card"/>
    <s v="Returned"/>
  </r>
  <r>
    <s v="TID_1636"/>
    <x v="0"/>
    <x v="0"/>
    <x v="3"/>
    <x v="2"/>
    <x v="1"/>
    <x v="0"/>
    <n v="5"/>
    <n v="4"/>
    <n v="10"/>
    <n v="10"/>
    <n v="55"/>
    <x v="4"/>
    <n v="685.05"/>
    <n v="37677.75"/>
    <n v="26901.913499999999"/>
    <n v="9609.4470637645391"/>
    <x v="0"/>
    <n v="28.6"/>
    <b v="1"/>
    <d v="2023-01-08T00:00:00"/>
    <x v="2"/>
    <x v="1"/>
    <n v="48"/>
    <x v="1"/>
    <s v="Cash"/>
    <s v="Not Returned"/>
  </r>
  <r>
    <s v="TID_1134"/>
    <x v="8"/>
    <x v="3"/>
    <x v="1"/>
    <x v="2"/>
    <x v="4"/>
    <x v="2"/>
    <n v="9"/>
    <n v="7"/>
    <n v="10"/>
    <n v="10"/>
    <n v="60"/>
    <x v="4"/>
    <n v="627.91999999999996"/>
    <n v="37675.199999999997"/>
    <n v="34005.635519999996"/>
    <n v="2505.7250437645416"/>
    <x v="0"/>
    <n v="9.74"/>
    <b v="1"/>
    <d v="2023-06-11T00:00:00"/>
    <x v="1"/>
    <x v="1"/>
    <n v="68"/>
    <x v="1"/>
    <s v="Debit Card"/>
    <s v="Returned"/>
  </r>
  <r>
    <s v="TID_219"/>
    <x v="6"/>
    <x v="1"/>
    <x v="1"/>
    <x v="1"/>
    <x v="2"/>
    <x v="0"/>
    <n v="6"/>
    <n v="13"/>
    <n v="10"/>
    <n v="10"/>
    <n v="32"/>
    <x v="6"/>
    <n v="1176.95"/>
    <n v="37662.400000000001"/>
    <n v="37662.400000000001"/>
    <n v="1151.0394362354637"/>
    <x v="0"/>
    <n v="14.7"/>
    <b v="0"/>
    <d v="2023-12-16T00:00:00"/>
    <x v="0"/>
    <x v="1"/>
    <n v="60"/>
    <x v="2"/>
    <s v="Credit Card"/>
    <s v="Returned"/>
  </r>
  <r>
    <s v="TID_1077"/>
    <x v="2"/>
    <x v="1"/>
    <x v="2"/>
    <x v="0"/>
    <x v="4"/>
    <x v="3"/>
    <n v="3"/>
    <n v="13"/>
    <n v="6"/>
    <n v="9"/>
    <n v="78"/>
    <x v="3"/>
    <n v="482.38"/>
    <n v="37625.64"/>
    <n v="34333.396499999995"/>
    <n v="2177.9640637645425"/>
    <x v="0"/>
    <n v="8.75"/>
    <b v="1"/>
    <d v="2024-01-16T00:00:00"/>
    <x v="2"/>
    <x v="0"/>
    <n v="41"/>
    <x v="2"/>
    <s v="Cash"/>
    <s v="Returned"/>
  </r>
  <r>
    <s v="TID_1863"/>
    <x v="7"/>
    <x v="2"/>
    <x v="0"/>
    <x v="1"/>
    <x v="0"/>
    <x v="1"/>
    <n v="2"/>
    <n v="6"/>
    <n v="10"/>
    <n v="10"/>
    <n v="72"/>
    <x v="3"/>
    <n v="522.28"/>
    <n v="37604.160000000003"/>
    <n v="37604.160000000003"/>
    <n v="1092.7994362354657"/>
    <x v="0"/>
    <n v="9.31"/>
    <b v="0"/>
    <d v="2024-09-04T00:00:00"/>
    <x v="3"/>
    <x v="0"/>
    <n v="31"/>
    <x v="2"/>
    <s v="Credit Card"/>
    <s v="Returned"/>
  </r>
  <r>
    <s v="TID_52"/>
    <x v="2"/>
    <x v="1"/>
    <x v="3"/>
    <x v="2"/>
    <x v="4"/>
    <x v="2"/>
    <n v="3"/>
    <n v="13"/>
    <n v="10"/>
    <n v="10"/>
    <n v="78"/>
    <x v="3"/>
    <n v="481.74"/>
    <n v="37575.72"/>
    <n v="27558.033048000001"/>
    <n v="8953.3275157645367"/>
    <x v="1"/>
    <n v="26.66"/>
    <b v="1"/>
    <d v="2024-03-31T00:00:00"/>
    <x v="2"/>
    <x v="0"/>
    <n v="56"/>
    <x v="2"/>
    <s v="Cash"/>
    <s v="Returned"/>
  </r>
  <r>
    <s v="TID_302"/>
    <x v="1"/>
    <x v="0"/>
    <x v="1"/>
    <x v="2"/>
    <x v="2"/>
    <x v="1"/>
    <n v="5"/>
    <n v="4"/>
    <n v="10"/>
    <n v="10"/>
    <n v="41"/>
    <x v="5"/>
    <n v="912.68"/>
    <n v="37419.879999999997"/>
    <n v="37419.879999999997"/>
    <n v="908.51943623545958"/>
    <x v="1"/>
    <n v="23.79"/>
    <b v="0"/>
    <d v="2024-01-13T00:00:00"/>
    <x v="2"/>
    <x v="0"/>
    <n v="36"/>
    <x v="1"/>
    <s v="Debit Card"/>
    <s v="Not Returned"/>
  </r>
  <r>
    <s v="TID_782"/>
    <x v="1"/>
    <x v="0"/>
    <x v="1"/>
    <x v="2"/>
    <x v="2"/>
    <x v="1"/>
    <n v="5"/>
    <n v="4"/>
    <n v="10"/>
    <n v="10"/>
    <n v="59"/>
    <x v="4"/>
    <n v="633.92999999999995"/>
    <n v="37401.870000000003"/>
    <n v="37401.870000000003"/>
    <n v="890.50943623546482"/>
    <x v="1"/>
    <n v="5.15"/>
    <b v="0"/>
    <d v="2024-05-14T00:00:00"/>
    <x v="1"/>
    <x v="0"/>
    <n v="69"/>
    <x v="1"/>
    <s v="Online Payment"/>
    <s v="Returned"/>
  </r>
  <r>
    <s v="TID_1249"/>
    <x v="7"/>
    <x v="2"/>
    <x v="2"/>
    <x v="0"/>
    <x v="4"/>
    <x v="2"/>
    <n v="2"/>
    <n v="6"/>
    <n v="6"/>
    <n v="10"/>
    <n v="30"/>
    <x v="6"/>
    <n v="1245.79"/>
    <n v="37373.699999999997"/>
    <n v="37373.699999999997"/>
    <n v="862.33943623545929"/>
    <x v="1"/>
    <n v="20.58"/>
    <b v="0"/>
    <d v="2024-06-06T00:00:00"/>
    <x v="1"/>
    <x v="0"/>
    <n v="55"/>
    <x v="2"/>
    <s v="Online Payment"/>
    <s v="Returned"/>
  </r>
  <r>
    <s v="TID_1539"/>
    <x v="8"/>
    <x v="3"/>
    <x v="3"/>
    <x v="0"/>
    <x v="4"/>
    <x v="3"/>
    <n v="9"/>
    <n v="7"/>
    <n v="6"/>
    <n v="9"/>
    <n v="47"/>
    <x v="5"/>
    <n v="794.16"/>
    <n v="37325.519999999997"/>
    <n v="37142.624951999998"/>
    <n v="631.2643882354605"/>
    <x v="0"/>
    <n v="0.49"/>
    <b v="1"/>
    <d v="2023-05-31T00:00:00"/>
    <x v="1"/>
    <x v="1"/>
    <n v="32"/>
    <x v="2"/>
    <s v="Cash"/>
    <s v="Returned"/>
  </r>
  <r>
    <s v="TID_451"/>
    <x v="4"/>
    <x v="2"/>
    <x v="3"/>
    <x v="1"/>
    <x v="1"/>
    <x v="0"/>
    <n v="6"/>
    <n v="6"/>
    <n v="10"/>
    <n v="10"/>
    <n v="50"/>
    <x v="5"/>
    <n v="746.18"/>
    <n v="37309"/>
    <n v="29287.565000000002"/>
    <n v="7223.7955637645355"/>
    <x v="0"/>
    <n v="21.5"/>
    <b v="1"/>
    <d v="2024-03-12T00:00:00"/>
    <x v="2"/>
    <x v="0"/>
    <n v="67"/>
    <x v="1"/>
    <s v="Debit Card"/>
    <s v="Returned"/>
  </r>
  <r>
    <s v="TID_97"/>
    <x v="0"/>
    <x v="0"/>
    <x v="3"/>
    <x v="2"/>
    <x v="4"/>
    <x v="3"/>
    <n v="5"/>
    <n v="4"/>
    <n v="10"/>
    <n v="9"/>
    <n v="36"/>
    <x v="6"/>
    <n v="1035.5999999999999"/>
    <n v="37281.599999999999"/>
    <n v="29143.026720000002"/>
    <n v="7368.3338437645361"/>
    <x v="0"/>
    <n v="21.83"/>
    <b v="1"/>
    <d v="2023-10-11T00:00:00"/>
    <x v="0"/>
    <x v="1"/>
    <n v="42"/>
    <x v="0"/>
    <s v="Credit Card"/>
    <s v="Not Returned"/>
  </r>
  <r>
    <s v="TID_660"/>
    <x v="4"/>
    <x v="2"/>
    <x v="1"/>
    <x v="2"/>
    <x v="0"/>
    <x v="1"/>
    <n v="6"/>
    <n v="6"/>
    <n v="10"/>
    <n v="10"/>
    <n v="46"/>
    <x v="5"/>
    <n v="807.73"/>
    <n v="37155.58"/>
    <n v="35739.952402000003"/>
    <n v="771.40816176453518"/>
    <x v="1"/>
    <n v="3.81"/>
    <b v="1"/>
    <d v="2024-10-14T00:00:00"/>
    <x v="0"/>
    <x v="0"/>
    <n v="66"/>
    <x v="2"/>
    <s v="Cash"/>
    <s v="Not Returned"/>
  </r>
  <r>
    <s v="TID_1359"/>
    <x v="4"/>
    <x v="2"/>
    <x v="2"/>
    <x v="1"/>
    <x v="1"/>
    <x v="3"/>
    <n v="6"/>
    <n v="6"/>
    <n v="10"/>
    <n v="9"/>
    <n v="44"/>
    <x v="5"/>
    <n v="841.77"/>
    <n v="37037.879999999997"/>
    <n v="27000.614519999999"/>
    <n v="9510.7460437645386"/>
    <x v="0"/>
    <n v="27.1"/>
    <b v="1"/>
    <d v="2024-06-14T00:00:00"/>
    <x v="1"/>
    <x v="0"/>
    <n v="45"/>
    <x v="0"/>
    <s v="Credit Card"/>
    <s v="Returned"/>
  </r>
  <r>
    <s v="TID_856"/>
    <x v="2"/>
    <x v="1"/>
    <x v="2"/>
    <x v="0"/>
    <x v="2"/>
    <x v="1"/>
    <n v="3"/>
    <n v="13"/>
    <n v="6"/>
    <n v="10"/>
    <n v="44"/>
    <x v="5"/>
    <n v="841.56"/>
    <n v="37028.639999999999"/>
    <n v="37028.639999999999"/>
    <n v="517.27943623546162"/>
    <x v="1"/>
    <n v="8.5500000000000007"/>
    <b v="0"/>
    <d v="2023-07-23T00:00:00"/>
    <x v="3"/>
    <x v="1"/>
    <n v="60"/>
    <x v="2"/>
    <s v="Cash"/>
    <s v="Not Returned"/>
  </r>
  <r>
    <s v="TID_266"/>
    <x v="5"/>
    <x v="2"/>
    <x v="0"/>
    <x v="1"/>
    <x v="1"/>
    <x v="1"/>
    <n v="7"/>
    <n v="6"/>
    <n v="10"/>
    <n v="10"/>
    <n v="33"/>
    <x v="6"/>
    <n v="1121.26"/>
    <n v="37001.58"/>
    <n v="37001.58"/>
    <n v="490.21943623546395"/>
    <x v="0"/>
    <n v="0.51"/>
    <b v="0"/>
    <d v="2024-05-25T00:00:00"/>
    <x v="1"/>
    <x v="0"/>
    <n v="41"/>
    <x v="2"/>
    <s v="Online Payment"/>
    <s v="Returned"/>
  </r>
  <r>
    <s v="TID_29"/>
    <x v="3"/>
    <x v="0"/>
    <x v="0"/>
    <x v="2"/>
    <x v="1"/>
    <x v="2"/>
    <n v="5"/>
    <n v="4"/>
    <n v="10"/>
    <n v="10"/>
    <n v="97"/>
    <x v="0"/>
    <n v="381.28"/>
    <n v="36984.160000000003"/>
    <n v="35227.412400000001"/>
    <n v="1283.9481637645367"/>
    <x v="0"/>
    <n v="4.75"/>
    <b v="1"/>
    <d v="2023-02-01T00:00:00"/>
    <x v="2"/>
    <x v="1"/>
    <n v="48"/>
    <x v="1"/>
    <s v="Debit Card"/>
    <s v="Not Returned"/>
  </r>
  <r>
    <s v="TID_1020"/>
    <x v="4"/>
    <x v="2"/>
    <x v="0"/>
    <x v="2"/>
    <x v="1"/>
    <x v="0"/>
    <n v="6"/>
    <n v="6"/>
    <n v="10"/>
    <n v="10"/>
    <n v="78"/>
    <x v="3"/>
    <n v="474.04"/>
    <n v="36975.120000000003"/>
    <n v="36975.120000000003"/>
    <n v="463.75943623546482"/>
    <x v="0"/>
    <n v="2.5299999999999998"/>
    <b v="0"/>
    <d v="2023-02-06T00:00:00"/>
    <x v="2"/>
    <x v="1"/>
    <n v="47"/>
    <x v="2"/>
    <s v="Online Payment"/>
    <s v="Returned"/>
  </r>
  <r>
    <s v="TID_343"/>
    <x v="5"/>
    <x v="2"/>
    <x v="3"/>
    <x v="2"/>
    <x v="4"/>
    <x v="0"/>
    <n v="7"/>
    <n v="6"/>
    <n v="10"/>
    <n v="10"/>
    <n v="42"/>
    <x v="5"/>
    <n v="879.48"/>
    <n v="36938.160000000003"/>
    <n v="36938.160000000003"/>
    <n v="426.79943623546569"/>
    <x v="0"/>
    <n v="5.32"/>
    <b v="0"/>
    <d v="2023-07-27T00:00:00"/>
    <x v="3"/>
    <x v="1"/>
    <n v="44"/>
    <x v="2"/>
    <s v="Online Payment"/>
    <s v="Not Returned"/>
  </r>
  <r>
    <s v="TID_1276"/>
    <x v="2"/>
    <x v="1"/>
    <x v="2"/>
    <x v="2"/>
    <x v="4"/>
    <x v="2"/>
    <n v="3"/>
    <n v="13"/>
    <n v="10"/>
    <n v="10"/>
    <n v="40"/>
    <x v="5"/>
    <n v="922.05"/>
    <n v="36882"/>
    <n v="36882"/>
    <n v="370.6394362354622"/>
    <x v="1"/>
    <n v="7.34"/>
    <b v="0"/>
    <d v="2024-10-10T00:00:00"/>
    <x v="0"/>
    <x v="0"/>
    <n v="57"/>
    <x v="0"/>
    <s v="Cash"/>
    <s v="Not Returned"/>
  </r>
  <r>
    <s v="TID_1164"/>
    <x v="7"/>
    <x v="2"/>
    <x v="0"/>
    <x v="0"/>
    <x v="1"/>
    <x v="3"/>
    <n v="2"/>
    <n v="6"/>
    <n v="6"/>
    <n v="9"/>
    <n v="32"/>
    <x v="6"/>
    <n v="1151.5999999999999"/>
    <n v="36851.199999999997"/>
    <n v="30280.631039999997"/>
    <n v="6230.7295237645412"/>
    <x v="1"/>
    <n v="17.829999999999998"/>
    <b v="1"/>
    <d v="2024-01-24T00:00:00"/>
    <x v="2"/>
    <x v="0"/>
    <n v="34"/>
    <x v="2"/>
    <s v="Credit Card"/>
    <s v="Returned"/>
  </r>
  <r>
    <s v="TID_985"/>
    <x v="5"/>
    <x v="2"/>
    <x v="2"/>
    <x v="2"/>
    <x v="3"/>
    <x v="2"/>
    <n v="7"/>
    <n v="6"/>
    <n v="10"/>
    <n v="10"/>
    <n v="68"/>
    <x v="3"/>
    <n v="541.54"/>
    <n v="36824.720000000001"/>
    <n v="36824.720000000001"/>
    <n v="313.35943623546336"/>
    <x v="0"/>
    <n v="1.1299999999999999"/>
    <b v="0"/>
    <d v="2023-02-21T00:00:00"/>
    <x v="2"/>
    <x v="1"/>
    <n v="19"/>
    <x v="1"/>
    <s v="Credit Card"/>
    <s v="Not Returned"/>
  </r>
  <r>
    <s v="TID_1542"/>
    <x v="1"/>
    <x v="0"/>
    <x v="1"/>
    <x v="1"/>
    <x v="1"/>
    <x v="0"/>
    <n v="5"/>
    <n v="4"/>
    <n v="10"/>
    <n v="10"/>
    <n v="33"/>
    <x v="6"/>
    <n v="1115.78"/>
    <n v="36820.74"/>
    <n v="26971.192049999994"/>
    <n v="9540.1685137645436"/>
    <x v="0"/>
    <n v="26.75"/>
    <b v="1"/>
    <d v="2024-10-05T00:00:00"/>
    <x v="0"/>
    <x v="0"/>
    <n v="40"/>
    <x v="2"/>
    <s v="Debit Card"/>
    <s v="Returned"/>
  </r>
  <r>
    <s v="TID_325"/>
    <x v="6"/>
    <x v="1"/>
    <x v="3"/>
    <x v="2"/>
    <x v="4"/>
    <x v="2"/>
    <n v="6"/>
    <n v="13"/>
    <n v="10"/>
    <n v="10"/>
    <n v="58"/>
    <x v="4"/>
    <n v="634.03"/>
    <n v="36773.74"/>
    <n v="31268.711122000001"/>
    <n v="5242.6494417645372"/>
    <x v="0"/>
    <n v="14.97"/>
    <b v="1"/>
    <d v="2023-01-14T00:00:00"/>
    <x v="2"/>
    <x v="1"/>
    <n v="46"/>
    <x v="0"/>
    <s v="Credit Card"/>
    <s v="Not Returned"/>
  </r>
  <r>
    <s v="TID_1234"/>
    <x v="1"/>
    <x v="0"/>
    <x v="1"/>
    <x v="0"/>
    <x v="0"/>
    <x v="2"/>
    <n v="5"/>
    <n v="4"/>
    <n v="6"/>
    <n v="10"/>
    <n v="74"/>
    <x v="3"/>
    <n v="496.2"/>
    <n v="36718.800000000003"/>
    <n v="30785.041920000003"/>
    <n v="5726.3186437645345"/>
    <x v="1"/>
    <n v="16.16"/>
    <b v="1"/>
    <d v="2024-07-26T00:00:00"/>
    <x v="3"/>
    <x v="0"/>
    <n v="41"/>
    <x v="1"/>
    <s v="Cash"/>
    <s v="Returned"/>
  </r>
  <r>
    <s v="TID_44"/>
    <x v="0"/>
    <x v="0"/>
    <x v="0"/>
    <x v="0"/>
    <x v="2"/>
    <x v="3"/>
    <n v="5"/>
    <n v="4"/>
    <n v="6"/>
    <n v="9"/>
    <n v="78"/>
    <x v="3"/>
    <n v="470.33"/>
    <n v="36685.74"/>
    <n v="33028.171721999999"/>
    <n v="3483.1888417645387"/>
    <x v="1"/>
    <n v="9.9700000000000006"/>
    <b v="1"/>
    <d v="2024-10-13T00:00:00"/>
    <x v="0"/>
    <x v="0"/>
    <n v="35"/>
    <x v="0"/>
    <s v="Debit Card"/>
    <s v="Not Returned"/>
  </r>
  <r>
    <s v="TID_1255"/>
    <x v="6"/>
    <x v="1"/>
    <x v="3"/>
    <x v="0"/>
    <x v="0"/>
    <x v="0"/>
    <n v="6"/>
    <n v="13"/>
    <n v="6"/>
    <n v="10"/>
    <n v="46"/>
    <x v="5"/>
    <n v="796.06"/>
    <n v="36618.76"/>
    <n v="36618.76"/>
    <n v="107.39943623546424"/>
    <x v="1"/>
    <n v="1.03"/>
    <b v="0"/>
    <d v="2023-08-31T00:00:00"/>
    <x v="3"/>
    <x v="1"/>
    <n v="51"/>
    <x v="2"/>
    <s v="Cash"/>
    <s v="Not Returned"/>
  </r>
  <r>
    <s v="TID_1368"/>
    <x v="0"/>
    <x v="0"/>
    <x v="3"/>
    <x v="2"/>
    <x v="0"/>
    <x v="0"/>
    <n v="5"/>
    <n v="4"/>
    <n v="10"/>
    <n v="10"/>
    <n v="51"/>
    <x v="4"/>
    <n v="716.25"/>
    <n v="36528.75"/>
    <n v="34746.147000000004"/>
    <n v="1765.2135637645333"/>
    <x v="0"/>
    <n v="4.88"/>
    <b v="1"/>
    <d v="2024-10-31T00:00:00"/>
    <x v="0"/>
    <x v="0"/>
    <n v="69"/>
    <x v="2"/>
    <s v="Online Payment"/>
    <s v="Not Returned"/>
  </r>
  <r>
    <s v="TID_1072"/>
    <x v="2"/>
    <x v="1"/>
    <x v="3"/>
    <x v="2"/>
    <x v="0"/>
    <x v="3"/>
    <n v="3"/>
    <n v="13"/>
    <n v="10"/>
    <n v="9"/>
    <n v="58"/>
    <x v="4"/>
    <n v="629.02"/>
    <n v="36483.160000000003"/>
    <n v="36483.160000000003"/>
    <n v="28.200563764534309"/>
    <x v="1"/>
    <n v="23.87"/>
    <b v="0"/>
    <d v="2023-12-23T00:00:00"/>
    <x v="0"/>
    <x v="1"/>
    <n v="39"/>
    <x v="2"/>
    <s v="Debit Card"/>
    <s v="Returned"/>
  </r>
  <r>
    <s v="TID_1295"/>
    <x v="9"/>
    <x v="4"/>
    <x v="0"/>
    <x v="2"/>
    <x v="4"/>
    <x v="3"/>
    <n v="6"/>
    <n v="13"/>
    <n v="10"/>
    <n v="9"/>
    <n v="30"/>
    <x v="6"/>
    <n v="1214.01"/>
    <n v="36420.300000000003"/>
    <n v="25880.265180000002"/>
    <n v="10631.095383764536"/>
    <x v="1"/>
    <n v="28.94"/>
    <b v="1"/>
    <d v="2023-09-20T00:00:00"/>
    <x v="3"/>
    <x v="1"/>
    <n v="50"/>
    <x v="1"/>
    <s v="Cash"/>
    <s v="Not Returned"/>
  </r>
  <r>
    <s v="TID_815"/>
    <x v="8"/>
    <x v="3"/>
    <x v="2"/>
    <x v="0"/>
    <x v="4"/>
    <x v="1"/>
    <n v="9"/>
    <n v="7"/>
    <n v="6"/>
    <n v="10"/>
    <n v="27"/>
    <x v="6"/>
    <n v="1347.17"/>
    <n v="36373.589999999997"/>
    <n v="36373.589999999997"/>
    <n v="137.77056376454129"/>
    <x v="0"/>
    <n v="12.5"/>
    <b v="0"/>
    <d v="2023-09-23T00:00:00"/>
    <x v="3"/>
    <x v="1"/>
    <n v="57"/>
    <x v="2"/>
    <s v="Debit Card"/>
    <s v="Returned"/>
  </r>
  <r>
    <s v="TID_9"/>
    <x v="1"/>
    <x v="0"/>
    <x v="0"/>
    <x v="0"/>
    <x v="2"/>
    <x v="2"/>
    <n v="5"/>
    <n v="4"/>
    <n v="6"/>
    <n v="10"/>
    <n v="26"/>
    <x v="6"/>
    <n v="1397.9"/>
    <n v="36345.4"/>
    <n v="26710.23446"/>
    <n v="9801.1261037645381"/>
    <x v="0"/>
    <n v="26.51"/>
    <b v="1"/>
    <d v="2024-10-30T00:00:00"/>
    <x v="0"/>
    <x v="0"/>
    <n v="35"/>
    <x v="2"/>
    <s v="Debit Card"/>
    <s v="Not Returned"/>
  </r>
  <r>
    <s v="TID_1804"/>
    <x v="5"/>
    <x v="2"/>
    <x v="1"/>
    <x v="0"/>
    <x v="1"/>
    <x v="1"/>
    <n v="7"/>
    <n v="6"/>
    <n v="6"/>
    <n v="10"/>
    <n v="80"/>
    <x v="3"/>
    <n v="454.2"/>
    <n v="36336"/>
    <n v="31655.923199999997"/>
    <n v="4855.4373637645404"/>
    <x v="0"/>
    <n v="12.88"/>
    <b v="1"/>
    <d v="2024-01-13T00:00:00"/>
    <x v="2"/>
    <x v="0"/>
    <n v="32"/>
    <x v="1"/>
    <s v="Cash"/>
    <s v="Returned"/>
  </r>
  <r>
    <s v="TID_1346"/>
    <x v="6"/>
    <x v="1"/>
    <x v="3"/>
    <x v="1"/>
    <x v="2"/>
    <x v="2"/>
    <n v="6"/>
    <n v="13"/>
    <n v="10"/>
    <n v="10"/>
    <n v="68"/>
    <x v="3"/>
    <n v="533.59"/>
    <n v="36284.120000000003"/>
    <n v="36284.120000000003"/>
    <n v="227.24056376453518"/>
    <x v="1"/>
    <n v="21.46"/>
    <b v="0"/>
    <d v="2024-09-12T00:00:00"/>
    <x v="3"/>
    <x v="0"/>
    <n v="25"/>
    <x v="0"/>
    <s v="Credit Card"/>
    <s v="Returned"/>
  </r>
  <r>
    <s v="TID_1444"/>
    <x v="4"/>
    <x v="2"/>
    <x v="2"/>
    <x v="0"/>
    <x v="1"/>
    <x v="3"/>
    <n v="6"/>
    <n v="6"/>
    <n v="6"/>
    <n v="9"/>
    <n v="31"/>
    <x v="6"/>
    <n v="1169.78"/>
    <n v="36263.18"/>
    <n v="36263.18"/>
    <n v="248.18056376453751"/>
    <x v="0"/>
    <n v="12.87"/>
    <b v="0"/>
    <d v="2023-11-27T00:00:00"/>
    <x v="0"/>
    <x v="1"/>
    <n v="21"/>
    <x v="2"/>
    <s v="Online Payment"/>
    <s v="Returned"/>
  </r>
  <r>
    <s v="TID_388"/>
    <x v="9"/>
    <x v="4"/>
    <x v="2"/>
    <x v="0"/>
    <x v="3"/>
    <x v="0"/>
    <n v="6"/>
    <n v="13"/>
    <n v="6"/>
    <n v="10"/>
    <n v="31"/>
    <x v="6"/>
    <n v="1168.01"/>
    <n v="36208.31"/>
    <n v="26595.003694999996"/>
    <n v="9916.356868764542"/>
    <x v="1"/>
    <n v="26.55"/>
    <b v="1"/>
    <d v="2024-01-18T00:00:00"/>
    <x v="2"/>
    <x v="0"/>
    <n v="52"/>
    <x v="2"/>
    <s v="Cash"/>
    <s v="Not Returned"/>
  </r>
  <r>
    <s v="TID_798"/>
    <x v="9"/>
    <x v="4"/>
    <x v="2"/>
    <x v="0"/>
    <x v="0"/>
    <x v="2"/>
    <n v="6"/>
    <n v="13"/>
    <n v="6"/>
    <n v="10"/>
    <n v="58"/>
    <x v="4"/>
    <n v="622"/>
    <n v="36076"/>
    <n v="36076"/>
    <n v="435.3605637645378"/>
    <x v="0"/>
    <n v="14.25"/>
    <b v="0"/>
    <d v="2023-08-18T00:00:00"/>
    <x v="3"/>
    <x v="1"/>
    <n v="50"/>
    <x v="2"/>
    <s v="Debit Card"/>
    <s v="Returned"/>
  </r>
  <r>
    <s v="TID_1839"/>
    <x v="4"/>
    <x v="2"/>
    <x v="2"/>
    <x v="1"/>
    <x v="4"/>
    <x v="2"/>
    <n v="6"/>
    <n v="6"/>
    <n v="10"/>
    <n v="10"/>
    <n v="61"/>
    <x v="3"/>
    <n v="591.4"/>
    <n v="36075.4"/>
    <n v="25483.662560000001"/>
    <n v="11027.698003764537"/>
    <x v="1"/>
    <n v="29.36"/>
    <b v="1"/>
    <d v="2023-02-15T00:00:00"/>
    <x v="2"/>
    <x v="1"/>
    <n v="22"/>
    <x v="1"/>
    <s v="Online Payment"/>
    <s v="Returned"/>
  </r>
  <r>
    <s v="TID_145"/>
    <x v="2"/>
    <x v="1"/>
    <x v="2"/>
    <x v="2"/>
    <x v="3"/>
    <x v="3"/>
    <n v="3"/>
    <n v="13"/>
    <n v="10"/>
    <n v="9"/>
    <n v="84"/>
    <x v="2"/>
    <n v="428.81"/>
    <n v="36020.04"/>
    <n v="36020.04"/>
    <n v="491.32056376453693"/>
    <x v="0"/>
    <n v="17.170000000000002"/>
    <b v="0"/>
    <d v="2024-07-13T00:00:00"/>
    <x v="3"/>
    <x v="0"/>
    <n v="49"/>
    <x v="0"/>
    <s v="Debit Card"/>
    <s v="Returned"/>
  </r>
  <r>
    <s v="TID_965"/>
    <x v="2"/>
    <x v="1"/>
    <x v="0"/>
    <x v="2"/>
    <x v="0"/>
    <x v="2"/>
    <n v="3"/>
    <n v="13"/>
    <n v="10"/>
    <n v="10"/>
    <n v="70"/>
    <x v="3"/>
    <n v="513.30999999999995"/>
    <n v="35931.699999999997"/>
    <n v="25349.814349999997"/>
    <n v="11161.546213764541"/>
    <x v="1"/>
    <n v="29.45"/>
    <b v="1"/>
    <d v="2024-04-18T00:00:00"/>
    <x v="1"/>
    <x v="0"/>
    <n v="38"/>
    <x v="0"/>
    <s v="Online Payment"/>
    <s v="Returned"/>
  </r>
  <r>
    <s v="TID_1242"/>
    <x v="4"/>
    <x v="2"/>
    <x v="2"/>
    <x v="2"/>
    <x v="3"/>
    <x v="3"/>
    <n v="6"/>
    <n v="6"/>
    <n v="10"/>
    <n v="9"/>
    <n v="75"/>
    <x v="3"/>
    <n v="478.68"/>
    <n v="35901"/>
    <n v="35901"/>
    <n v="610.3605637645378"/>
    <x v="1"/>
    <n v="29.61"/>
    <b v="0"/>
    <d v="2024-09-06T00:00:00"/>
    <x v="3"/>
    <x v="0"/>
    <n v="51"/>
    <x v="1"/>
    <s v="Debit Card"/>
    <s v="Not Returned"/>
  </r>
  <r>
    <s v="TID_1916"/>
    <x v="4"/>
    <x v="2"/>
    <x v="1"/>
    <x v="0"/>
    <x v="2"/>
    <x v="1"/>
    <n v="6"/>
    <n v="6"/>
    <n v="6"/>
    <n v="10"/>
    <n v="71"/>
    <x v="3"/>
    <n v="504.68"/>
    <n v="35832.28"/>
    <n v="30948.340236"/>
    <n v="5563.0203277645378"/>
    <x v="0"/>
    <n v="13.63"/>
    <b v="1"/>
    <d v="2024-07-14T00:00:00"/>
    <x v="3"/>
    <x v="0"/>
    <n v="59"/>
    <x v="1"/>
    <s v="Credit Card"/>
    <s v="Returned"/>
  </r>
  <r>
    <s v="TID_1702"/>
    <x v="5"/>
    <x v="2"/>
    <x v="0"/>
    <x v="0"/>
    <x v="4"/>
    <x v="2"/>
    <n v="7"/>
    <n v="6"/>
    <n v="6"/>
    <n v="10"/>
    <n v="98"/>
    <x v="0"/>
    <n v="365.3"/>
    <n v="35799.4"/>
    <n v="35799.4"/>
    <n v="711.96056376453635"/>
    <x v="0"/>
    <n v="24.37"/>
    <b v="0"/>
    <d v="2023-11-01T00:00:00"/>
    <x v="0"/>
    <x v="1"/>
    <n v="66"/>
    <x v="1"/>
    <s v="Cash"/>
    <s v="Not Returned"/>
  </r>
  <r>
    <s v="TID_1785"/>
    <x v="4"/>
    <x v="2"/>
    <x v="0"/>
    <x v="0"/>
    <x v="0"/>
    <x v="2"/>
    <n v="6"/>
    <n v="6"/>
    <n v="6"/>
    <n v="10"/>
    <n v="30"/>
    <x v="6"/>
    <n v="1192.51"/>
    <n v="35775.300000000003"/>
    <n v="31947.342900000003"/>
    <n v="4564.0176637645345"/>
    <x v="1"/>
    <n v="10.7"/>
    <b v="1"/>
    <d v="2024-03-15T00:00:00"/>
    <x v="2"/>
    <x v="0"/>
    <n v="18"/>
    <x v="2"/>
    <s v="Online Payment"/>
    <s v="Not Returned"/>
  </r>
  <r>
    <s v="TID_1495"/>
    <x v="7"/>
    <x v="2"/>
    <x v="2"/>
    <x v="0"/>
    <x v="1"/>
    <x v="0"/>
    <n v="2"/>
    <n v="6"/>
    <n v="6"/>
    <n v="10"/>
    <n v="33"/>
    <x v="6"/>
    <n v="1083.52"/>
    <n v="35756.160000000003"/>
    <n v="35756.160000000003"/>
    <n v="755.20056376453431"/>
    <x v="1"/>
    <n v="23.49"/>
    <b v="0"/>
    <d v="2024-10-28T00:00:00"/>
    <x v="0"/>
    <x v="0"/>
    <n v="47"/>
    <x v="0"/>
    <s v="Cash"/>
    <s v="Not Returned"/>
  </r>
  <r>
    <s v="TID_1354"/>
    <x v="0"/>
    <x v="0"/>
    <x v="0"/>
    <x v="2"/>
    <x v="3"/>
    <x v="2"/>
    <n v="5"/>
    <n v="4"/>
    <n v="10"/>
    <n v="10"/>
    <n v="52"/>
    <x v="4"/>
    <n v="685.74"/>
    <n v="35658.480000000003"/>
    <n v="35658.480000000003"/>
    <n v="852.8805637645346"/>
    <x v="1"/>
    <n v="4.07"/>
    <b v="0"/>
    <d v="2023-10-21T00:00:00"/>
    <x v="0"/>
    <x v="1"/>
    <n v="57"/>
    <x v="1"/>
    <s v="Credit Card"/>
    <s v="Returned"/>
  </r>
  <r>
    <s v="TID_1895"/>
    <x v="0"/>
    <x v="0"/>
    <x v="0"/>
    <x v="1"/>
    <x v="3"/>
    <x v="2"/>
    <n v="5"/>
    <n v="4"/>
    <n v="10"/>
    <n v="10"/>
    <n v="36"/>
    <x v="6"/>
    <n v="989.12"/>
    <n v="35608.32"/>
    <n v="32599.416959999999"/>
    <n v="3911.9436037645391"/>
    <x v="0"/>
    <n v="8.4499999999999993"/>
    <b v="1"/>
    <d v="2024-10-23T00:00:00"/>
    <x v="0"/>
    <x v="0"/>
    <n v="22"/>
    <x v="2"/>
    <s v="Online Payment"/>
    <s v="Not Returned"/>
  </r>
  <r>
    <s v="TID_1181"/>
    <x v="3"/>
    <x v="0"/>
    <x v="1"/>
    <x v="1"/>
    <x v="2"/>
    <x v="3"/>
    <n v="5"/>
    <n v="4"/>
    <n v="10"/>
    <n v="9"/>
    <n v="60"/>
    <x v="4"/>
    <n v="592.20000000000005"/>
    <n v="35532"/>
    <n v="25629.231600000003"/>
    <n v="10882.128963764535"/>
    <x v="0"/>
    <n v="27.87"/>
    <b v="1"/>
    <d v="2023-06-18T00:00:00"/>
    <x v="1"/>
    <x v="1"/>
    <n v="68"/>
    <x v="0"/>
    <s v="Cash"/>
    <s v="Returned"/>
  </r>
  <r>
    <s v="TID_1922"/>
    <x v="6"/>
    <x v="1"/>
    <x v="2"/>
    <x v="1"/>
    <x v="4"/>
    <x v="2"/>
    <n v="6"/>
    <n v="13"/>
    <n v="10"/>
    <n v="10"/>
    <n v="57"/>
    <x v="4"/>
    <n v="623.27"/>
    <n v="35526.39"/>
    <n v="35526.39"/>
    <n v="984.97056376453838"/>
    <x v="0"/>
    <n v="21.26"/>
    <b v="0"/>
    <d v="2024-06-03T00:00:00"/>
    <x v="1"/>
    <x v="0"/>
    <n v="47"/>
    <x v="0"/>
    <s v="Debit Card"/>
    <s v="Returned"/>
  </r>
  <r>
    <s v="TID_1168"/>
    <x v="1"/>
    <x v="0"/>
    <x v="0"/>
    <x v="1"/>
    <x v="3"/>
    <x v="3"/>
    <n v="5"/>
    <n v="4"/>
    <n v="10"/>
    <n v="9"/>
    <n v="60"/>
    <x v="4"/>
    <n v="591.6"/>
    <n v="35496"/>
    <n v="35496"/>
    <n v="1015.3605637645378"/>
    <x v="0"/>
    <n v="5.05"/>
    <b v="0"/>
    <d v="2024-10-12T00:00:00"/>
    <x v="0"/>
    <x v="0"/>
    <n v="41"/>
    <x v="0"/>
    <s v="Online Payment"/>
    <s v="Returned"/>
  </r>
  <r>
    <s v="TID_571"/>
    <x v="6"/>
    <x v="1"/>
    <x v="0"/>
    <x v="1"/>
    <x v="2"/>
    <x v="1"/>
    <n v="6"/>
    <n v="13"/>
    <n v="10"/>
    <n v="10"/>
    <n v="75"/>
    <x v="3"/>
    <n v="472.65"/>
    <n v="35448.75"/>
    <n v="32988.606749999999"/>
    <n v="3522.7538137645388"/>
    <x v="1"/>
    <n v="6.94"/>
    <b v="1"/>
    <d v="2023-04-15T00:00:00"/>
    <x v="1"/>
    <x v="1"/>
    <n v="28"/>
    <x v="0"/>
    <s v="Debit Card"/>
    <s v="Returned"/>
  </r>
  <r>
    <s v="TID_701"/>
    <x v="3"/>
    <x v="0"/>
    <x v="2"/>
    <x v="1"/>
    <x v="2"/>
    <x v="3"/>
    <n v="5"/>
    <n v="4"/>
    <n v="10"/>
    <n v="9"/>
    <n v="82"/>
    <x v="2"/>
    <n v="432.09"/>
    <n v="35431.379999999997"/>
    <n v="28699.417799999999"/>
    <n v="7811.9427637645385"/>
    <x v="0"/>
    <n v="19"/>
    <b v="1"/>
    <d v="2023-04-30T00:00:00"/>
    <x v="1"/>
    <x v="1"/>
    <n v="46"/>
    <x v="1"/>
    <s v="Online Payment"/>
    <s v="Not Returned"/>
  </r>
  <r>
    <s v="TID_811"/>
    <x v="7"/>
    <x v="2"/>
    <x v="0"/>
    <x v="1"/>
    <x v="1"/>
    <x v="1"/>
    <n v="2"/>
    <n v="6"/>
    <n v="10"/>
    <n v="10"/>
    <n v="83"/>
    <x v="2"/>
    <n v="426.44"/>
    <n v="35394.519999999997"/>
    <n v="26510.495479999998"/>
    <n v="10000.86508376454"/>
    <x v="1"/>
    <n v="25.1"/>
    <b v="1"/>
    <d v="2023-03-28T00:00:00"/>
    <x v="2"/>
    <x v="1"/>
    <n v="33"/>
    <x v="0"/>
    <s v="Debit Card"/>
    <s v="Not Returned"/>
  </r>
  <r>
    <s v="TID_869"/>
    <x v="5"/>
    <x v="2"/>
    <x v="1"/>
    <x v="2"/>
    <x v="4"/>
    <x v="1"/>
    <n v="7"/>
    <n v="6"/>
    <n v="10"/>
    <n v="10"/>
    <n v="54"/>
    <x v="4"/>
    <n v="654.05999999999995"/>
    <n v="35319.24"/>
    <n v="35029.622232000002"/>
    <n v="1481.7383317645363"/>
    <x v="0"/>
    <n v="0.82"/>
    <b v="1"/>
    <d v="2024-04-19T00:00:00"/>
    <x v="1"/>
    <x v="0"/>
    <n v="36"/>
    <x v="2"/>
    <s v="Debit Card"/>
    <s v="Returned"/>
  </r>
  <r>
    <s v="TID_1919"/>
    <x v="1"/>
    <x v="0"/>
    <x v="1"/>
    <x v="2"/>
    <x v="2"/>
    <x v="3"/>
    <n v="5"/>
    <n v="4"/>
    <n v="10"/>
    <n v="9"/>
    <n v="32"/>
    <x v="6"/>
    <n v="1103.55"/>
    <n v="35313.599999999999"/>
    <n v="35313.599999999999"/>
    <n v="1197.7605637645393"/>
    <x v="0"/>
    <n v="12.64"/>
    <b v="0"/>
    <d v="2023-05-29T00:00:00"/>
    <x v="1"/>
    <x v="1"/>
    <n v="58"/>
    <x v="1"/>
    <s v="Cash"/>
    <s v="Returned"/>
  </r>
  <r>
    <s v="TID_1337"/>
    <x v="6"/>
    <x v="1"/>
    <x v="2"/>
    <x v="1"/>
    <x v="0"/>
    <x v="1"/>
    <n v="6"/>
    <n v="13"/>
    <n v="10"/>
    <n v="10"/>
    <n v="36"/>
    <x v="6"/>
    <n v="979.24"/>
    <n v="35252.639999999999"/>
    <n v="25392.476591999999"/>
    <n v="11118.883971764539"/>
    <x v="1"/>
    <n v="27.97"/>
    <b v="1"/>
    <d v="2023-11-02T00:00:00"/>
    <x v="0"/>
    <x v="1"/>
    <n v="22"/>
    <x v="2"/>
    <s v="Credit Card"/>
    <s v="Returned"/>
  </r>
  <r>
    <s v="TID_116"/>
    <x v="4"/>
    <x v="2"/>
    <x v="2"/>
    <x v="0"/>
    <x v="4"/>
    <x v="1"/>
    <n v="6"/>
    <n v="6"/>
    <n v="6"/>
    <n v="10"/>
    <n v="24"/>
    <x v="6"/>
    <n v="1467.26"/>
    <n v="35214.239999999998"/>
    <n v="29513.054543999995"/>
    <n v="6998.3060197645427"/>
    <x v="1"/>
    <n v="16.190000000000001"/>
    <b v="1"/>
    <d v="2023-11-06T00:00:00"/>
    <x v="0"/>
    <x v="1"/>
    <n v="24"/>
    <x v="1"/>
    <s v="Online Payment"/>
    <s v="Returned"/>
  </r>
  <r>
    <s v="TID_1966"/>
    <x v="1"/>
    <x v="0"/>
    <x v="2"/>
    <x v="2"/>
    <x v="2"/>
    <x v="0"/>
    <n v="5"/>
    <n v="4"/>
    <n v="10"/>
    <n v="10"/>
    <n v="52"/>
    <x v="4"/>
    <n v="675.89"/>
    <n v="35146.28"/>
    <n v="28967.563976000001"/>
    <n v="7543.7965877645365"/>
    <x v="0"/>
    <n v="17.579999999999998"/>
    <b v="1"/>
    <d v="2023-01-30T00:00:00"/>
    <x v="2"/>
    <x v="1"/>
    <n v="31"/>
    <x v="2"/>
    <s v="Cash"/>
    <s v="Not Returned"/>
  </r>
  <r>
    <s v="TID_1907"/>
    <x v="0"/>
    <x v="0"/>
    <x v="2"/>
    <x v="2"/>
    <x v="2"/>
    <x v="0"/>
    <n v="5"/>
    <n v="4"/>
    <n v="10"/>
    <n v="10"/>
    <n v="82"/>
    <x v="2"/>
    <n v="427.92"/>
    <n v="35089.440000000002"/>
    <n v="35089.440000000002"/>
    <n v="1421.9205637645355"/>
    <x v="1"/>
    <n v="2.12"/>
    <b v="0"/>
    <d v="2023-05-12T00:00:00"/>
    <x v="1"/>
    <x v="1"/>
    <n v="48"/>
    <x v="1"/>
    <s v="Credit Card"/>
    <s v="Returned"/>
  </r>
  <r>
    <s v="TID_62"/>
    <x v="8"/>
    <x v="3"/>
    <x v="0"/>
    <x v="2"/>
    <x v="2"/>
    <x v="1"/>
    <n v="9"/>
    <n v="7"/>
    <n v="10"/>
    <n v="10"/>
    <n v="57"/>
    <x v="4"/>
    <n v="613.52"/>
    <n v="34970.639999999999"/>
    <n v="26616.154104000001"/>
    <n v="9895.2064597645367"/>
    <x v="1"/>
    <n v="23.89"/>
    <b v="1"/>
    <d v="2024-10-15T00:00:00"/>
    <x v="0"/>
    <x v="0"/>
    <n v="31"/>
    <x v="0"/>
    <s v="Debit Card"/>
    <s v="Returned"/>
  </r>
  <r>
    <s v="TID_1253"/>
    <x v="0"/>
    <x v="0"/>
    <x v="1"/>
    <x v="2"/>
    <x v="0"/>
    <x v="3"/>
    <n v="5"/>
    <n v="4"/>
    <n v="10"/>
    <n v="9"/>
    <n v="27"/>
    <x v="6"/>
    <n v="1293.6099999999999"/>
    <n v="34927.47"/>
    <n v="34927.47"/>
    <n v="1583.8905637645366"/>
    <x v="1"/>
    <n v="25"/>
    <b v="0"/>
    <d v="2024-06-26T00:00:00"/>
    <x v="1"/>
    <x v="0"/>
    <n v="62"/>
    <x v="0"/>
    <s v="Debit Card"/>
    <s v="Not Returned"/>
  </r>
  <r>
    <s v="TID_1474"/>
    <x v="9"/>
    <x v="4"/>
    <x v="0"/>
    <x v="0"/>
    <x v="2"/>
    <x v="3"/>
    <n v="6"/>
    <n v="13"/>
    <n v="6"/>
    <n v="9"/>
    <n v="24"/>
    <x v="6"/>
    <n v="1455.1"/>
    <n v="34922.400000000001"/>
    <n v="33333.430800000002"/>
    <n v="3177.9297637645359"/>
    <x v="0"/>
    <n v="4.55"/>
    <b v="1"/>
    <d v="2024-04-24T00:00:00"/>
    <x v="1"/>
    <x v="0"/>
    <n v="23"/>
    <x v="2"/>
    <s v="Credit Card"/>
    <s v="Not Returned"/>
  </r>
  <r>
    <s v="TID_980"/>
    <x v="4"/>
    <x v="2"/>
    <x v="1"/>
    <x v="2"/>
    <x v="1"/>
    <x v="0"/>
    <n v="6"/>
    <n v="6"/>
    <n v="10"/>
    <n v="10"/>
    <n v="45"/>
    <x v="5"/>
    <n v="775.48"/>
    <n v="34896.6"/>
    <n v="34896.6"/>
    <n v="1614.7605637645393"/>
    <x v="0"/>
    <n v="0.81"/>
    <b v="0"/>
    <d v="2024-06-26T00:00:00"/>
    <x v="1"/>
    <x v="0"/>
    <n v="21"/>
    <x v="0"/>
    <s v="Debit Card"/>
    <s v="Returned"/>
  </r>
  <r>
    <s v="TID_1166"/>
    <x v="9"/>
    <x v="4"/>
    <x v="3"/>
    <x v="1"/>
    <x v="3"/>
    <x v="3"/>
    <n v="6"/>
    <n v="13"/>
    <n v="10"/>
    <n v="9"/>
    <n v="49"/>
    <x v="5"/>
    <n v="710.64"/>
    <n v="34821.360000000001"/>
    <n v="34821.360000000001"/>
    <n v="1690.0005637645372"/>
    <x v="0"/>
    <n v="3.5"/>
    <b v="0"/>
    <d v="2024-01-05T00:00:00"/>
    <x v="2"/>
    <x v="0"/>
    <n v="34"/>
    <x v="2"/>
    <s v="Debit Card"/>
    <s v="Returned"/>
  </r>
  <r>
    <s v="TID_1434"/>
    <x v="6"/>
    <x v="1"/>
    <x v="0"/>
    <x v="1"/>
    <x v="3"/>
    <x v="2"/>
    <n v="6"/>
    <n v="13"/>
    <n v="10"/>
    <n v="10"/>
    <n v="55"/>
    <x v="4"/>
    <n v="632.66999999999996"/>
    <n v="34796.85"/>
    <n v="34762.05315"/>
    <n v="1749.3074137645381"/>
    <x v="0"/>
    <n v="0.1"/>
    <b v="1"/>
    <d v="2023-04-16T00:00:00"/>
    <x v="1"/>
    <x v="1"/>
    <n v="56"/>
    <x v="1"/>
    <s v="Debit Card"/>
    <s v="Returned"/>
  </r>
  <r>
    <s v="TID_197"/>
    <x v="4"/>
    <x v="2"/>
    <x v="0"/>
    <x v="1"/>
    <x v="1"/>
    <x v="3"/>
    <n v="6"/>
    <n v="6"/>
    <n v="10"/>
    <n v="9"/>
    <n v="43"/>
    <x v="5"/>
    <n v="807.08"/>
    <n v="34704.44"/>
    <n v="24643.622844000001"/>
    <n v="11867.737719764536"/>
    <x v="1"/>
    <n v="28.99"/>
    <b v="1"/>
    <d v="2023-02-28T00:00:00"/>
    <x v="2"/>
    <x v="1"/>
    <n v="29"/>
    <x v="2"/>
    <s v="Credit Card"/>
    <s v="Returned"/>
  </r>
  <r>
    <s v="TID_1348"/>
    <x v="3"/>
    <x v="0"/>
    <x v="1"/>
    <x v="1"/>
    <x v="0"/>
    <x v="1"/>
    <n v="5"/>
    <n v="4"/>
    <n v="10"/>
    <n v="10"/>
    <n v="45"/>
    <x v="5"/>
    <n v="770"/>
    <n v="34650"/>
    <n v="34650"/>
    <n v="1861.3605637645378"/>
    <x v="0"/>
    <n v="17.59"/>
    <b v="0"/>
    <d v="2024-04-27T00:00:00"/>
    <x v="1"/>
    <x v="0"/>
    <n v="48"/>
    <x v="2"/>
    <s v="Cash"/>
    <s v="Not Returned"/>
  </r>
  <r>
    <s v="TID_663"/>
    <x v="7"/>
    <x v="2"/>
    <x v="2"/>
    <x v="1"/>
    <x v="2"/>
    <x v="2"/>
    <n v="2"/>
    <n v="6"/>
    <n v="10"/>
    <n v="10"/>
    <n v="56"/>
    <x v="4"/>
    <n v="618.30999999999995"/>
    <n v="34625.360000000001"/>
    <n v="27804.164080000002"/>
    <n v="8707.1964837645355"/>
    <x v="1"/>
    <n v="19.7"/>
    <b v="1"/>
    <d v="2023-04-21T00:00:00"/>
    <x v="1"/>
    <x v="1"/>
    <n v="61"/>
    <x v="0"/>
    <s v="Debit Card"/>
    <s v="Returned"/>
  </r>
  <r>
    <s v="TID_1934"/>
    <x v="9"/>
    <x v="4"/>
    <x v="1"/>
    <x v="2"/>
    <x v="4"/>
    <x v="0"/>
    <n v="6"/>
    <n v="13"/>
    <n v="10"/>
    <n v="10"/>
    <n v="35"/>
    <x v="6"/>
    <n v="988.8"/>
    <n v="34608"/>
    <n v="33881.231999999996"/>
    <n v="2630.1285637645415"/>
    <x v="0"/>
    <n v="2.1"/>
    <b v="1"/>
    <d v="2024-09-07T00:00:00"/>
    <x v="3"/>
    <x v="0"/>
    <n v="22"/>
    <x v="1"/>
    <s v="Cash"/>
    <s v="Returned"/>
  </r>
  <r>
    <s v="TID_1740"/>
    <x v="0"/>
    <x v="0"/>
    <x v="2"/>
    <x v="1"/>
    <x v="2"/>
    <x v="0"/>
    <n v="5"/>
    <n v="4"/>
    <n v="10"/>
    <n v="10"/>
    <n v="77"/>
    <x v="3"/>
    <n v="448.94"/>
    <n v="34568.379999999997"/>
    <n v="34568.379999999997"/>
    <n v="1942.9805637645404"/>
    <x v="0"/>
    <n v="14.92"/>
    <b v="0"/>
    <d v="2023-10-25T00:00:00"/>
    <x v="0"/>
    <x v="1"/>
    <n v="67"/>
    <x v="2"/>
    <s v="Online Payment"/>
    <s v="Not Returned"/>
  </r>
  <r>
    <s v="TID_645"/>
    <x v="2"/>
    <x v="1"/>
    <x v="0"/>
    <x v="0"/>
    <x v="0"/>
    <x v="0"/>
    <n v="3"/>
    <n v="13"/>
    <n v="6"/>
    <n v="10"/>
    <n v="30"/>
    <x v="6"/>
    <n v="1150.3900000000001"/>
    <n v="34511.699999999997"/>
    <n v="34511.699999999997"/>
    <n v="1999.6605637645407"/>
    <x v="0"/>
    <n v="27.33"/>
    <b v="0"/>
    <d v="2024-08-12T00:00:00"/>
    <x v="3"/>
    <x v="0"/>
    <n v="51"/>
    <x v="1"/>
    <s v="Cash"/>
    <s v="Returned"/>
  </r>
  <r>
    <s v="TID_644"/>
    <x v="6"/>
    <x v="1"/>
    <x v="2"/>
    <x v="1"/>
    <x v="2"/>
    <x v="1"/>
    <n v="6"/>
    <n v="13"/>
    <n v="10"/>
    <n v="10"/>
    <n v="33"/>
    <x v="6"/>
    <n v="1044.1199999999999"/>
    <n v="34455.96"/>
    <n v="34455.96"/>
    <n v="2055.4005637645387"/>
    <x v="0"/>
    <n v="7.57"/>
    <b v="0"/>
    <d v="2024-04-06T00:00:00"/>
    <x v="1"/>
    <x v="0"/>
    <n v="63"/>
    <x v="1"/>
    <s v="Online Payment"/>
    <s v="Returned"/>
  </r>
  <r>
    <s v="TID_511"/>
    <x v="7"/>
    <x v="2"/>
    <x v="0"/>
    <x v="0"/>
    <x v="4"/>
    <x v="3"/>
    <n v="2"/>
    <n v="6"/>
    <n v="6"/>
    <n v="9"/>
    <n v="40"/>
    <x v="5"/>
    <n v="860"/>
    <n v="34400"/>
    <n v="34400"/>
    <n v="2111.3605637645378"/>
    <x v="1"/>
    <n v="28.78"/>
    <b v="0"/>
    <d v="2024-06-18T00:00:00"/>
    <x v="1"/>
    <x v="0"/>
    <n v="43"/>
    <x v="1"/>
    <s v="Credit Card"/>
    <s v="Not Returned"/>
  </r>
  <r>
    <s v="TID_188"/>
    <x v="9"/>
    <x v="4"/>
    <x v="2"/>
    <x v="1"/>
    <x v="2"/>
    <x v="0"/>
    <n v="6"/>
    <n v="13"/>
    <n v="10"/>
    <n v="10"/>
    <n v="54"/>
    <x v="4"/>
    <n v="636.74"/>
    <n v="34383.96"/>
    <n v="30732.383448"/>
    <n v="5778.9771157645373"/>
    <x v="1"/>
    <n v="10.62"/>
    <b v="1"/>
    <d v="2024-10-07T00:00:00"/>
    <x v="0"/>
    <x v="0"/>
    <n v="46"/>
    <x v="1"/>
    <s v="Debit Card"/>
    <s v="Not Returned"/>
  </r>
  <r>
    <s v="TID_1349"/>
    <x v="5"/>
    <x v="2"/>
    <x v="0"/>
    <x v="1"/>
    <x v="2"/>
    <x v="2"/>
    <n v="7"/>
    <n v="6"/>
    <n v="10"/>
    <n v="10"/>
    <n v="76"/>
    <x v="3"/>
    <n v="451.65"/>
    <n v="34325.4"/>
    <n v="34325.4"/>
    <n v="2185.9605637645363"/>
    <x v="0"/>
    <n v="18.989999999999998"/>
    <b v="0"/>
    <d v="2024-10-05T00:00:00"/>
    <x v="0"/>
    <x v="0"/>
    <n v="54"/>
    <x v="1"/>
    <s v="Credit Card"/>
    <s v="Returned"/>
  </r>
  <r>
    <s v="TID_1887"/>
    <x v="7"/>
    <x v="2"/>
    <x v="1"/>
    <x v="1"/>
    <x v="2"/>
    <x v="1"/>
    <n v="2"/>
    <n v="6"/>
    <n v="10"/>
    <n v="10"/>
    <n v="25"/>
    <x v="6"/>
    <n v="1371.85"/>
    <n v="34296.25"/>
    <n v="27248.370625"/>
    <n v="9262.9899387645382"/>
    <x v="0"/>
    <n v="20.55"/>
    <b v="1"/>
    <d v="2023-12-26T00:00:00"/>
    <x v="0"/>
    <x v="1"/>
    <n v="38"/>
    <x v="2"/>
    <s v="Online Payment"/>
    <s v="Not Returned"/>
  </r>
  <r>
    <s v="TID_542"/>
    <x v="3"/>
    <x v="0"/>
    <x v="0"/>
    <x v="1"/>
    <x v="0"/>
    <x v="3"/>
    <n v="5"/>
    <n v="4"/>
    <n v="10"/>
    <n v="9"/>
    <n v="42"/>
    <x v="5"/>
    <n v="815.32"/>
    <n v="34243.440000000002"/>
    <n v="34243.440000000002"/>
    <n v="2267.9205637645355"/>
    <x v="1"/>
    <n v="11.62"/>
    <b v="0"/>
    <d v="2023-09-22T00:00:00"/>
    <x v="3"/>
    <x v="1"/>
    <n v="53"/>
    <x v="0"/>
    <s v="Credit Card"/>
    <s v="Returned"/>
  </r>
  <r>
    <s v="TID_1594"/>
    <x v="8"/>
    <x v="3"/>
    <x v="1"/>
    <x v="2"/>
    <x v="1"/>
    <x v="2"/>
    <n v="9"/>
    <n v="7"/>
    <n v="10"/>
    <n v="10"/>
    <n v="32"/>
    <x v="6"/>
    <n v="1067.48"/>
    <n v="34159.360000000001"/>
    <n v="34159.360000000001"/>
    <n v="2352.0005637645372"/>
    <x v="1"/>
    <n v="26.52"/>
    <b v="0"/>
    <d v="2023-12-14T00:00:00"/>
    <x v="0"/>
    <x v="1"/>
    <n v="26"/>
    <x v="0"/>
    <s v="Cash"/>
    <s v="Not Returned"/>
  </r>
  <r>
    <s v="TID_306"/>
    <x v="2"/>
    <x v="1"/>
    <x v="2"/>
    <x v="1"/>
    <x v="2"/>
    <x v="1"/>
    <n v="3"/>
    <n v="13"/>
    <n v="10"/>
    <n v="10"/>
    <n v="23"/>
    <x v="6"/>
    <n v="1478.18"/>
    <n v="33998.14"/>
    <n v="25994.977843999997"/>
    <n v="10516.382719764541"/>
    <x v="1"/>
    <n v="23.54"/>
    <b v="1"/>
    <d v="2024-01-24T00:00:00"/>
    <x v="2"/>
    <x v="0"/>
    <n v="21"/>
    <x v="0"/>
    <s v="Credit Card"/>
    <s v="Returned"/>
  </r>
  <r>
    <s v="TID_1068"/>
    <x v="3"/>
    <x v="0"/>
    <x v="2"/>
    <x v="1"/>
    <x v="3"/>
    <x v="0"/>
    <n v="5"/>
    <n v="4"/>
    <n v="10"/>
    <n v="10"/>
    <n v="60"/>
    <x v="4"/>
    <n v="566.51"/>
    <n v="33990.6"/>
    <n v="28579.296479999997"/>
    <n v="7932.0640837645406"/>
    <x v="1"/>
    <n v="15.92"/>
    <b v="1"/>
    <d v="2023-06-16T00:00:00"/>
    <x v="1"/>
    <x v="1"/>
    <n v="19"/>
    <x v="1"/>
    <s v="Credit Card"/>
    <s v="Returned"/>
  </r>
  <r>
    <s v="TID_1857"/>
    <x v="7"/>
    <x v="2"/>
    <x v="1"/>
    <x v="0"/>
    <x v="0"/>
    <x v="3"/>
    <n v="2"/>
    <n v="6"/>
    <n v="6"/>
    <n v="9"/>
    <n v="51"/>
    <x v="4"/>
    <n v="665.16"/>
    <n v="33923.160000000003"/>
    <n v="29353.710348000001"/>
    <n v="7157.6502157645373"/>
    <x v="1"/>
    <n v="13.47"/>
    <b v="1"/>
    <d v="2023-02-05T00:00:00"/>
    <x v="2"/>
    <x v="1"/>
    <n v="33"/>
    <x v="1"/>
    <s v="Cash"/>
    <s v="Returned"/>
  </r>
  <r>
    <s v="TID_1948"/>
    <x v="8"/>
    <x v="3"/>
    <x v="2"/>
    <x v="2"/>
    <x v="0"/>
    <x v="2"/>
    <n v="9"/>
    <n v="7"/>
    <n v="10"/>
    <n v="10"/>
    <n v="60"/>
    <x v="4"/>
    <n v="565.34"/>
    <n v="33920.400000000001"/>
    <n v="33920.400000000001"/>
    <n v="2590.9605637645363"/>
    <x v="1"/>
    <n v="22.7"/>
    <b v="0"/>
    <d v="2024-02-17T00:00:00"/>
    <x v="2"/>
    <x v="0"/>
    <n v="28"/>
    <x v="2"/>
    <s v="Credit Card"/>
    <s v="Returned"/>
  </r>
  <r>
    <s v="TID_1303"/>
    <x v="4"/>
    <x v="2"/>
    <x v="1"/>
    <x v="2"/>
    <x v="1"/>
    <x v="0"/>
    <n v="6"/>
    <n v="6"/>
    <n v="10"/>
    <n v="10"/>
    <n v="82"/>
    <x v="2"/>
    <n v="413.34"/>
    <n v="33893.879999999997"/>
    <n v="24956.063843999997"/>
    <n v="11555.296719764541"/>
    <x v="1"/>
    <n v="26.37"/>
    <b v="1"/>
    <d v="2023-08-29T00:00:00"/>
    <x v="3"/>
    <x v="1"/>
    <n v="33"/>
    <x v="0"/>
    <s v="Cash"/>
    <s v="Not Returned"/>
  </r>
  <r>
    <s v="TID_1309"/>
    <x v="0"/>
    <x v="0"/>
    <x v="0"/>
    <x v="0"/>
    <x v="0"/>
    <x v="2"/>
    <n v="5"/>
    <n v="4"/>
    <n v="6"/>
    <n v="10"/>
    <n v="31"/>
    <x v="6"/>
    <n v="1092.81"/>
    <n v="33877.11"/>
    <n v="23896.913394000003"/>
    <n v="12614.447169764535"/>
    <x v="0"/>
    <n v="29.46"/>
    <b v="1"/>
    <d v="2024-01-21T00:00:00"/>
    <x v="2"/>
    <x v="0"/>
    <n v="55"/>
    <x v="1"/>
    <s v="Credit Card"/>
    <s v="Not Returned"/>
  </r>
  <r>
    <s v="TID_1851"/>
    <x v="0"/>
    <x v="0"/>
    <x v="1"/>
    <x v="1"/>
    <x v="1"/>
    <x v="2"/>
    <n v="5"/>
    <n v="4"/>
    <n v="10"/>
    <n v="10"/>
    <n v="38"/>
    <x v="6"/>
    <n v="889.43"/>
    <n v="33798.339999999997"/>
    <n v="32148.981007999999"/>
    <n v="4362.379555764539"/>
    <x v="1"/>
    <n v="4.88"/>
    <b v="1"/>
    <d v="2024-08-03T00:00:00"/>
    <x v="3"/>
    <x v="0"/>
    <n v="47"/>
    <x v="1"/>
    <s v="Debit Card"/>
    <s v="Not Returned"/>
  </r>
  <r>
    <s v="TID_1122"/>
    <x v="4"/>
    <x v="2"/>
    <x v="2"/>
    <x v="1"/>
    <x v="0"/>
    <x v="2"/>
    <n v="6"/>
    <n v="6"/>
    <n v="10"/>
    <n v="10"/>
    <n v="58"/>
    <x v="4"/>
    <n v="581.36"/>
    <n v="33718.879999999997"/>
    <n v="33718.879999999997"/>
    <n v="2792.4805637645404"/>
    <x v="1"/>
    <n v="29.63"/>
    <b v="0"/>
    <d v="2023-08-05T00:00:00"/>
    <x v="3"/>
    <x v="1"/>
    <n v="53"/>
    <x v="0"/>
    <s v="Debit Card"/>
    <s v="Not Returned"/>
  </r>
  <r>
    <s v="TID_726"/>
    <x v="5"/>
    <x v="2"/>
    <x v="0"/>
    <x v="0"/>
    <x v="1"/>
    <x v="1"/>
    <n v="7"/>
    <n v="6"/>
    <n v="6"/>
    <n v="10"/>
    <n v="26"/>
    <x v="6"/>
    <n v="1296.03"/>
    <n v="33696.78"/>
    <n v="33696.78"/>
    <n v="2814.580563764539"/>
    <x v="0"/>
    <n v="17.920000000000002"/>
    <b v="0"/>
    <d v="2023-04-25T00:00:00"/>
    <x v="1"/>
    <x v="1"/>
    <n v="55"/>
    <x v="0"/>
    <s v="Credit Card"/>
    <s v="Returned"/>
  </r>
  <r>
    <s v="TID_523"/>
    <x v="5"/>
    <x v="2"/>
    <x v="2"/>
    <x v="1"/>
    <x v="0"/>
    <x v="2"/>
    <n v="7"/>
    <n v="6"/>
    <n v="10"/>
    <n v="10"/>
    <n v="38"/>
    <x v="6"/>
    <n v="884.89"/>
    <n v="33625.82"/>
    <n v="24348.456262"/>
    <n v="12162.904301764538"/>
    <x v="0"/>
    <n v="27.59"/>
    <b v="1"/>
    <d v="2024-08-06T00:00:00"/>
    <x v="3"/>
    <x v="0"/>
    <n v="47"/>
    <x v="1"/>
    <s v="Online Payment"/>
    <s v="Returned"/>
  </r>
  <r>
    <s v="TID_983"/>
    <x v="7"/>
    <x v="2"/>
    <x v="1"/>
    <x v="2"/>
    <x v="1"/>
    <x v="2"/>
    <n v="2"/>
    <n v="6"/>
    <n v="10"/>
    <n v="10"/>
    <n v="29"/>
    <x v="6"/>
    <n v="1158.27"/>
    <n v="33589.83"/>
    <n v="33589.83"/>
    <n v="2921.5305637645361"/>
    <x v="1"/>
    <n v="18.57"/>
    <b v="0"/>
    <d v="2023-03-12T00:00:00"/>
    <x v="2"/>
    <x v="1"/>
    <n v="34"/>
    <x v="0"/>
    <s v="Credit Card"/>
    <s v="Returned"/>
  </r>
  <r>
    <s v="TID_1918"/>
    <x v="7"/>
    <x v="2"/>
    <x v="3"/>
    <x v="1"/>
    <x v="3"/>
    <x v="0"/>
    <n v="2"/>
    <n v="6"/>
    <n v="10"/>
    <n v="10"/>
    <n v="50"/>
    <x v="5"/>
    <n v="671.42"/>
    <n v="33571"/>
    <n v="33571"/>
    <n v="2940.3605637645378"/>
    <x v="1"/>
    <n v="24.96"/>
    <b v="0"/>
    <d v="2023-07-10T00:00:00"/>
    <x v="3"/>
    <x v="1"/>
    <n v="54"/>
    <x v="0"/>
    <s v="Debit Card"/>
    <s v="Returned"/>
  </r>
  <r>
    <s v="TID_176"/>
    <x v="2"/>
    <x v="1"/>
    <x v="0"/>
    <x v="0"/>
    <x v="2"/>
    <x v="0"/>
    <n v="3"/>
    <n v="13"/>
    <n v="6"/>
    <n v="10"/>
    <n v="36"/>
    <x v="6"/>
    <n v="932.45"/>
    <n v="33568.199999999997"/>
    <n v="33568.199999999997"/>
    <n v="2943.1605637645407"/>
    <x v="0"/>
    <n v="14.55"/>
    <b v="0"/>
    <d v="2024-02-14T00:00:00"/>
    <x v="2"/>
    <x v="0"/>
    <n v="63"/>
    <x v="0"/>
    <s v="Debit Card"/>
    <s v="Not Returned"/>
  </r>
  <r>
    <s v="TID_744"/>
    <x v="7"/>
    <x v="2"/>
    <x v="0"/>
    <x v="2"/>
    <x v="4"/>
    <x v="3"/>
    <n v="2"/>
    <n v="6"/>
    <n v="10"/>
    <n v="9"/>
    <n v="51"/>
    <x v="4"/>
    <n v="658.11"/>
    <n v="33563.61"/>
    <n v="33563.61"/>
    <n v="2947.7505637645372"/>
    <x v="1"/>
    <n v="0.1"/>
    <b v="0"/>
    <d v="2023-08-14T00:00:00"/>
    <x v="3"/>
    <x v="1"/>
    <n v="35"/>
    <x v="2"/>
    <s v="Cash"/>
    <s v="Returned"/>
  </r>
  <r>
    <s v="TID_1443"/>
    <x v="1"/>
    <x v="0"/>
    <x v="2"/>
    <x v="1"/>
    <x v="4"/>
    <x v="0"/>
    <n v="5"/>
    <n v="4"/>
    <n v="10"/>
    <n v="10"/>
    <n v="80"/>
    <x v="3"/>
    <n v="419.46"/>
    <n v="33556.800000000003"/>
    <n v="31164.20016"/>
    <n v="5347.1604037645375"/>
    <x v="0"/>
    <n v="7.13"/>
    <b v="1"/>
    <d v="2024-01-05T00:00:00"/>
    <x v="2"/>
    <x v="0"/>
    <n v="63"/>
    <x v="0"/>
    <s v="Online Payment"/>
    <s v="Not Returned"/>
  </r>
  <r>
    <s v="TID_1093"/>
    <x v="2"/>
    <x v="1"/>
    <x v="0"/>
    <x v="2"/>
    <x v="2"/>
    <x v="0"/>
    <n v="3"/>
    <n v="13"/>
    <n v="10"/>
    <n v="10"/>
    <n v="50"/>
    <x v="5"/>
    <n v="670.78"/>
    <n v="33539"/>
    <n v="30966.558700000001"/>
    <n v="5544.8018637645364"/>
    <x v="1"/>
    <n v="7.67"/>
    <b v="1"/>
    <d v="2024-08-07T00:00:00"/>
    <x v="3"/>
    <x v="0"/>
    <n v="24"/>
    <x v="2"/>
    <s v="Debit Card"/>
    <s v="Not Returned"/>
  </r>
  <r>
    <s v="TID_1241"/>
    <x v="8"/>
    <x v="3"/>
    <x v="2"/>
    <x v="2"/>
    <x v="0"/>
    <x v="1"/>
    <n v="9"/>
    <n v="7"/>
    <n v="10"/>
    <n v="10"/>
    <n v="31"/>
    <x v="6"/>
    <n v="1081.1400000000001"/>
    <n v="33515.339999999997"/>
    <n v="33515.339999999997"/>
    <n v="2996.0205637645413"/>
    <x v="1"/>
    <n v="25.8"/>
    <b v="0"/>
    <d v="2023-07-01T00:00:00"/>
    <x v="3"/>
    <x v="1"/>
    <n v="41"/>
    <x v="0"/>
    <s v="Credit Card"/>
    <s v="Not Returned"/>
  </r>
  <r>
    <s v="TID_664"/>
    <x v="4"/>
    <x v="2"/>
    <x v="3"/>
    <x v="2"/>
    <x v="1"/>
    <x v="3"/>
    <n v="6"/>
    <n v="6"/>
    <n v="10"/>
    <n v="9"/>
    <n v="44"/>
    <x v="5"/>
    <n v="760.51"/>
    <n v="33462.44"/>
    <n v="28821.199572000001"/>
    <n v="7690.1609917645364"/>
    <x v="0"/>
    <n v="13.87"/>
    <b v="1"/>
    <d v="2024-09-11T00:00:00"/>
    <x v="3"/>
    <x v="0"/>
    <n v="54"/>
    <x v="0"/>
    <s v="Online Payment"/>
    <s v="Not Returned"/>
  </r>
  <r>
    <s v="TID_1698"/>
    <x v="5"/>
    <x v="2"/>
    <x v="1"/>
    <x v="2"/>
    <x v="0"/>
    <x v="1"/>
    <n v="7"/>
    <n v="6"/>
    <n v="10"/>
    <n v="10"/>
    <n v="91"/>
    <x v="1"/>
    <n v="367.17"/>
    <n v="33412.47"/>
    <n v="23853.162333"/>
    <n v="12658.198230764538"/>
    <x v="1"/>
    <n v="28.61"/>
    <b v="1"/>
    <d v="2023-03-19T00:00:00"/>
    <x v="2"/>
    <x v="1"/>
    <n v="29"/>
    <x v="0"/>
    <s v="Debit Card"/>
    <s v="Not Returned"/>
  </r>
  <r>
    <s v="TID_60"/>
    <x v="9"/>
    <x v="4"/>
    <x v="0"/>
    <x v="0"/>
    <x v="0"/>
    <x v="2"/>
    <n v="6"/>
    <n v="13"/>
    <n v="6"/>
    <n v="10"/>
    <n v="49"/>
    <x v="5"/>
    <n v="681.81"/>
    <n v="33408.69"/>
    <n v="33408.69"/>
    <n v="3102.6705637645355"/>
    <x v="0"/>
    <n v="16.98"/>
    <b v="0"/>
    <d v="2024-05-03T00:00:00"/>
    <x v="1"/>
    <x v="0"/>
    <n v="55"/>
    <x v="2"/>
    <s v="Online Payment"/>
    <s v="Returned"/>
  </r>
  <r>
    <s v="TID_485"/>
    <x v="1"/>
    <x v="0"/>
    <x v="3"/>
    <x v="0"/>
    <x v="1"/>
    <x v="3"/>
    <n v="5"/>
    <n v="4"/>
    <n v="6"/>
    <n v="9"/>
    <n v="42"/>
    <x v="5"/>
    <n v="794.87"/>
    <n v="33384.54"/>
    <n v="25462.388658"/>
    <n v="11048.971905764538"/>
    <x v="0"/>
    <n v="23.73"/>
    <b v="1"/>
    <d v="2024-07-16T00:00:00"/>
    <x v="3"/>
    <x v="0"/>
    <n v="20"/>
    <x v="1"/>
    <s v="Credit Card"/>
    <s v="Not Returned"/>
  </r>
  <r>
    <s v="TID_1439"/>
    <x v="4"/>
    <x v="2"/>
    <x v="3"/>
    <x v="0"/>
    <x v="1"/>
    <x v="2"/>
    <n v="6"/>
    <n v="6"/>
    <n v="6"/>
    <n v="10"/>
    <n v="29"/>
    <x v="6"/>
    <n v="1148.23"/>
    <n v="33298.67"/>
    <n v="33298.67"/>
    <n v="3212.6905637645395"/>
    <x v="0"/>
    <n v="11.47"/>
    <b v="0"/>
    <d v="2024-01-01T00:00:00"/>
    <x v="2"/>
    <x v="0"/>
    <n v="50"/>
    <x v="0"/>
    <s v="Credit Card"/>
    <s v="Returned"/>
  </r>
  <r>
    <s v="TID_1615"/>
    <x v="2"/>
    <x v="1"/>
    <x v="3"/>
    <x v="1"/>
    <x v="0"/>
    <x v="1"/>
    <n v="3"/>
    <n v="13"/>
    <n v="10"/>
    <n v="10"/>
    <n v="59"/>
    <x v="4"/>
    <n v="563.66"/>
    <n v="33255.94"/>
    <n v="33255.94"/>
    <n v="3255.4205637645355"/>
    <x v="1"/>
    <n v="3.42"/>
    <b v="0"/>
    <d v="2024-02-24T00:00:00"/>
    <x v="2"/>
    <x v="0"/>
    <n v="37"/>
    <x v="1"/>
    <s v="Cash"/>
    <s v="Returned"/>
  </r>
  <r>
    <s v="TID_621"/>
    <x v="5"/>
    <x v="2"/>
    <x v="0"/>
    <x v="2"/>
    <x v="0"/>
    <x v="0"/>
    <n v="7"/>
    <n v="6"/>
    <n v="10"/>
    <n v="10"/>
    <n v="30"/>
    <x v="6"/>
    <n v="1105.17"/>
    <n v="33155.1"/>
    <n v="30217.558139999997"/>
    <n v="6293.8024237645404"/>
    <x v="1"/>
    <n v="8.86"/>
    <b v="1"/>
    <d v="2024-08-12T00:00:00"/>
    <x v="3"/>
    <x v="0"/>
    <n v="26"/>
    <x v="1"/>
    <s v="Cash"/>
    <s v="Returned"/>
  </r>
  <r>
    <s v="TID_142"/>
    <x v="3"/>
    <x v="0"/>
    <x v="3"/>
    <x v="2"/>
    <x v="3"/>
    <x v="0"/>
    <n v="5"/>
    <n v="4"/>
    <n v="10"/>
    <n v="10"/>
    <n v="82"/>
    <x v="2"/>
    <n v="403.89"/>
    <n v="33118.980000000003"/>
    <n v="24160.295910000004"/>
    <n v="12351.064653764533"/>
    <x v="1"/>
    <n v="27.05"/>
    <b v="1"/>
    <d v="2024-09-14T00:00:00"/>
    <x v="3"/>
    <x v="0"/>
    <n v="56"/>
    <x v="1"/>
    <s v="Credit Card"/>
    <s v="Returned"/>
  </r>
  <r>
    <s v="TID_1421"/>
    <x v="8"/>
    <x v="3"/>
    <x v="1"/>
    <x v="1"/>
    <x v="1"/>
    <x v="0"/>
    <n v="9"/>
    <n v="7"/>
    <n v="10"/>
    <n v="10"/>
    <n v="61"/>
    <x v="3"/>
    <n v="541.03"/>
    <n v="33002.83"/>
    <n v="28976.48474"/>
    <n v="7534.8758237645379"/>
    <x v="1"/>
    <n v="12.2"/>
    <b v="1"/>
    <d v="2024-03-20T00:00:00"/>
    <x v="2"/>
    <x v="0"/>
    <n v="42"/>
    <x v="1"/>
    <s v="Online Payment"/>
    <s v="Not Returned"/>
  </r>
  <r>
    <s v="TID_1574"/>
    <x v="0"/>
    <x v="0"/>
    <x v="0"/>
    <x v="1"/>
    <x v="2"/>
    <x v="1"/>
    <n v="5"/>
    <n v="4"/>
    <n v="10"/>
    <n v="10"/>
    <n v="37"/>
    <x v="6"/>
    <n v="891.06"/>
    <n v="32969.22"/>
    <n v="32969.22"/>
    <n v="3542.1405637645366"/>
    <x v="1"/>
    <n v="16.59"/>
    <b v="0"/>
    <d v="2023-04-15T00:00:00"/>
    <x v="1"/>
    <x v="1"/>
    <n v="18"/>
    <x v="1"/>
    <s v="Cash"/>
    <s v="Returned"/>
  </r>
  <r>
    <s v="TID_1329"/>
    <x v="3"/>
    <x v="0"/>
    <x v="2"/>
    <x v="1"/>
    <x v="3"/>
    <x v="1"/>
    <n v="5"/>
    <n v="4"/>
    <n v="10"/>
    <n v="10"/>
    <n v="50"/>
    <x v="5"/>
    <n v="658.81"/>
    <n v="32940.5"/>
    <n v="28852.58395"/>
    <n v="7658.7766137645376"/>
    <x v="1"/>
    <n v="12.41"/>
    <b v="1"/>
    <d v="2024-05-25T00:00:00"/>
    <x v="1"/>
    <x v="0"/>
    <n v="36"/>
    <x v="1"/>
    <s v="Cash"/>
    <s v="Returned"/>
  </r>
  <r>
    <s v="TID_54"/>
    <x v="6"/>
    <x v="1"/>
    <x v="2"/>
    <x v="2"/>
    <x v="0"/>
    <x v="3"/>
    <n v="6"/>
    <n v="13"/>
    <n v="10"/>
    <n v="9"/>
    <n v="28"/>
    <x v="6"/>
    <n v="1175.9100000000001"/>
    <n v="32925.480000000003"/>
    <n v="32925.480000000003"/>
    <n v="3585.8805637645346"/>
    <x v="0"/>
    <n v="17.5"/>
    <b v="0"/>
    <d v="2024-09-22T00:00:00"/>
    <x v="3"/>
    <x v="0"/>
    <n v="24"/>
    <x v="0"/>
    <s v="Credit Card"/>
    <s v="Not Returned"/>
  </r>
  <r>
    <s v="TID_478"/>
    <x v="0"/>
    <x v="0"/>
    <x v="2"/>
    <x v="0"/>
    <x v="0"/>
    <x v="3"/>
    <n v="5"/>
    <n v="4"/>
    <n v="6"/>
    <n v="9"/>
    <n v="26"/>
    <x v="6"/>
    <n v="1262.76"/>
    <n v="32831.760000000002"/>
    <n v="32628.203088000002"/>
    <n v="3883.1574757645358"/>
    <x v="1"/>
    <n v="0.62"/>
    <b v="1"/>
    <d v="2023-06-04T00:00:00"/>
    <x v="1"/>
    <x v="1"/>
    <n v="18"/>
    <x v="2"/>
    <s v="Credit Card"/>
    <s v="Not Returned"/>
  </r>
  <r>
    <s v="TID_1730"/>
    <x v="8"/>
    <x v="3"/>
    <x v="0"/>
    <x v="0"/>
    <x v="1"/>
    <x v="0"/>
    <n v="9"/>
    <n v="7"/>
    <n v="6"/>
    <n v="10"/>
    <n v="50"/>
    <x v="5"/>
    <n v="653.77"/>
    <n v="32688.5"/>
    <n v="32688.5"/>
    <n v="3822.8605637645378"/>
    <x v="1"/>
    <n v="18.55"/>
    <b v="0"/>
    <d v="2024-04-07T00:00:00"/>
    <x v="1"/>
    <x v="0"/>
    <n v="27"/>
    <x v="0"/>
    <s v="Debit Card"/>
    <s v="Returned"/>
  </r>
  <r>
    <s v="TID_1152"/>
    <x v="9"/>
    <x v="4"/>
    <x v="0"/>
    <x v="0"/>
    <x v="3"/>
    <x v="2"/>
    <n v="6"/>
    <n v="13"/>
    <n v="6"/>
    <n v="10"/>
    <n v="49"/>
    <x v="5"/>
    <n v="667.07"/>
    <n v="32686.43"/>
    <n v="25727.489053000001"/>
    <n v="10783.871510764537"/>
    <x v="1"/>
    <n v="21.29"/>
    <b v="1"/>
    <d v="2023-01-10T00:00:00"/>
    <x v="2"/>
    <x v="1"/>
    <n v="26"/>
    <x v="0"/>
    <s v="Online Payment"/>
    <s v="Not Returned"/>
  </r>
  <r>
    <s v="TID_760"/>
    <x v="9"/>
    <x v="4"/>
    <x v="2"/>
    <x v="2"/>
    <x v="3"/>
    <x v="1"/>
    <n v="6"/>
    <n v="13"/>
    <n v="10"/>
    <n v="10"/>
    <n v="62"/>
    <x v="3"/>
    <n v="526.76"/>
    <n v="32659.119999999999"/>
    <n v="32659.119999999999"/>
    <n v="3852.2405637645388"/>
    <x v="1"/>
    <n v="18.149999999999999"/>
    <b v="0"/>
    <d v="2023-02-09T00:00:00"/>
    <x v="2"/>
    <x v="1"/>
    <n v="57"/>
    <x v="0"/>
    <s v="Credit Card"/>
    <s v="Not Returned"/>
  </r>
  <r>
    <s v="TID_82"/>
    <x v="0"/>
    <x v="0"/>
    <x v="0"/>
    <x v="0"/>
    <x v="0"/>
    <x v="1"/>
    <n v="5"/>
    <n v="4"/>
    <n v="6"/>
    <n v="10"/>
    <n v="50"/>
    <x v="5"/>
    <n v="652.39"/>
    <n v="32619.5"/>
    <n v="26405.485250000002"/>
    <n v="10105.875313764536"/>
    <x v="0"/>
    <n v="19.05"/>
    <b v="1"/>
    <d v="2023-04-12T00:00:00"/>
    <x v="1"/>
    <x v="1"/>
    <n v="23"/>
    <x v="2"/>
    <s v="Cash"/>
    <s v="Returned"/>
  </r>
  <r>
    <s v="TID_750"/>
    <x v="4"/>
    <x v="2"/>
    <x v="1"/>
    <x v="0"/>
    <x v="3"/>
    <x v="0"/>
    <n v="6"/>
    <n v="6"/>
    <n v="6"/>
    <n v="10"/>
    <n v="43"/>
    <x v="5"/>
    <n v="757.34"/>
    <n v="32565.62"/>
    <n v="26729.860895999998"/>
    <n v="9781.4996677645395"/>
    <x v="0"/>
    <n v="17.920000000000002"/>
    <b v="1"/>
    <d v="2024-07-03T00:00:00"/>
    <x v="3"/>
    <x v="0"/>
    <n v="47"/>
    <x v="1"/>
    <s v="Cash"/>
    <s v="Returned"/>
  </r>
  <r>
    <s v="TID_1736"/>
    <x v="3"/>
    <x v="0"/>
    <x v="0"/>
    <x v="0"/>
    <x v="1"/>
    <x v="2"/>
    <n v="5"/>
    <n v="4"/>
    <n v="6"/>
    <n v="10"/>
    <n v="65"/>
    <x v="3"/>
    <n v="499.47"/>
    <n v="32465.55"/>
    <n v="32465.55"/>
    <n v="4045.8105637645385"/>
    <x v="1"/>
    <n v="21.07"/>
    <b v="0"/>
    <d v="2024-05-17T00:00:00"/>
    <x v="1"/>
    <x v="0"/>
    <n v="32"/>
    <x v="1"/>
    <s v="Debit Card"/>
    <s v="Returned"/>
  </r>
  <r>
    <s v="TID_947"/>
    <x v="7"/>
    <x v="2"/>
    <x v="2"/>
    <x v="1"/>
    <x v="1"/>
    <x v="0"/>
    <n v="2"/>
    <n v="6"/>
    <n v="10"/>
    <n v="10"/>
    <n v="79"/>
    <x v="3"/>
    <n v="410.95"/>
    <n v="32465.05"/>
    <n v="29660.069679999997"/>
    <n v="6851.2908837645409"/>
    <x v="0"/>
    <n v="8.64"/>
    <b v="1"/>
    <d v="2024-04-19T00:00:00"/>
    <x v="1"/>
    <x v="0"/>
    <n v="51"/>
    <x v="0"/>
    <s v="Online Payment"/>
    <s v="Not Returned"/>
  </r>
  <r>
    <s v="TID_840"/>
    <x v="1"/>
    <x v="0"/>
    <x v="3"/>
    <x v="1"/>
    <x v="4"/>
    <x v="1"/>
    <n v="5"/>
    <n v="4"/>
    <n v="10"/>
    <n v="10"/>
    <n v="24"/>
    <x v="6"/>
    <n v="1350.64"/>
    <n v="32415.360000000001"/>
    <n v="31423.449984000003"/>
    <n v="5087.9105797645352"/>
    <x v="0"/>
    <n v="3.06"/>
    <b v="1"/>
    <d v="2023-11-06T00:00:00"/>
    <x v="0"/>
    <x v="1"/>
    <n v="18"/>
    <x v="0"/>
    <s v="Debit Card"/>
    <s v="Not Returned"/>
  </r>
  <r>
    <s v="TID_1228"/>
    <x v="9"/>
    <x v="4"/>
    <x v="3"/>
    <x v="0"/>
    <x v="2"/>
    <x v="1"/>
    <n v="6"/>
    <n v="13"/>
    <n v="6"/>
    <n v="10"/>
    <n v="32"/>
    <x v="6"/>
    <n v="1012.51"/>
    <n v="32400.32"/>
    <n v="32400.32"/>
    <n v="4111.0405637645381"/>
    <x v="0"/>
    <n v="0.39"/>
    <b v="0"/>
    <d v="2023-03-25T00:00:00"/>
    <x v="2"/>
    <x v="1"/>
    <n v="28"/>
    <x v="2"/>
    <s v="Cash"/>
    <s v="Not Returned"/>
  </r>
  <r>
    <s v="TID_1126"/>
    <x v="1"/>
    <x v="0"/>
    <x v="2"/>
    <x v="2"/>
    <x v="1"/>
    <x v="2"/>
    <n v="5"/>
    <n v="4"/>
    <n v="10"/>
    <n v="10"/>
    <n v="64"/>
    <x v="3"/>
    <n v="505.86"/>
    <n v="32375.040000000001"/>
    <n v="32375.040000000001"/>
    <n v="4136.3205637645369"/>
    <x v="1"/>
    <n v="25.2"/>
    <b v="0"/>
    <d v="2023-06-27T00:00:00"/>
    <x v="1"/>
    <x v="1"/>
    <n v="39"/>
    <x v="1"/>
    <s v="Debit Card"/>
    <s v="Returned"/>
  </r>
  <r>
    <s v="TID_50"/>
    <x v="1"/>
    <x v="0"/>
    <x v="3"/>
    <x v="0"/>
    <x v="2"/>
    <x v="3"/>
    <n v="5"/>
    <n v="4"/>
    <n v="6"/>
    <n v="9"/>
    <n v="48"/>
    <x v="5"/>
    <n v="673.58"/>
    <n v="32331.84"/>
    <n v="30682.916159999997"/>
    <n v="5828.4444037645408"/>
    <x v="0"/>
    <n v="5.0999999999999996"/>
    <b v="1"/>
    <d v="2023-05-29T00:00:00"/>
    <x v="1"/>
    <x v="1"/>
    <n v="54"/>
    <x v="2"/>
    <s v="Cash"/>
    <s v="Returned"/>
  </r>
  <r>
    <s v="TID_1145"/>
    <x v="7"/>
    <x v="2"/>
    <x v="3"/>
    <x v="0"/>
    <x v="0"/>
    <x v="2"/>
    <n v="2"/>
    <n v="6"/>
    <n v="6"/>
    <n v="10"/>
    <n v="33"/>
    <x v="6"/>
    <n v="975.6"/>
    <n v="32194.799999999999"/>
    <n v="30987.494999999999"/>
    <n v="5523.8655637645388"/>
    <x v="0"/>
    <n v="3.75"/>
    <b v="1"/>
    <d v="2023-07-25T00:00:00"/>
    <x v="3"/>
    <x v="1"/>
    <n v="23"/>
    <x v="2"/>
    <s v="Online Payment"/>
    <s v="Not Returned"/>
  </r>
  <r>
    <s v="TID_1882"/>
    <x v="7"/>
    <x v="2"/>
    <x v="3"/>
    <x v="0"/>
    <x v="4"/>
    <x v="0"/>
    <n v="2"/>
    <n v="6"/>
    <n v="6"/>
    <n v="10"/>
    <n v="51"/>
    <x v="4"/>
    <n v="631.23"/>
    <n v="32192.73"/>
    <n v="27292.996493999999"/>
    <n v="9218.3640697645387"/>
    <x v="1"/>
    <n v="15.22"/>
    <b v="1"/>
    <d v="2023-04-24T00:00:00"/>
    <x v="1"/>
    <x v="1"/>
    <n v="44"/>
    <x v="0"/>
    <s v="Credit Card"/>
    <s v="Returned"/>
  </r>
  <r>
    <s v="TID_1885"/>
    <x v="6"/>
    <x v="1"/>
    <x v="3"/>
    <x v="2"/>
    <x v="2"/>
    <x v="2"/>
    <n v="6"/>
    <n v="13"/>
    <n v="10"/>
    <n v="10"/>
    <n v="41"/>
    <x v="5"/>
    <n v="784.24"/>
    <n v="32153.84"/>
    <n v="32153.84"/>
    <n v="4357.5205637645377"/>
    <x v="1"/>
    <n v="2.99"/>
    <b v="0"/>
    <d v="2023-04-06T00:00:00"/>
    <x v="1"/>
    <x v="1"/>
    <n v="30"/>
    <x v="1"/>
    <s v="Cash"/>
    <s v="Returned"/>
  </r>
  <r>
    <s v="TID_1406"/>
    <x v="3"/>
    <x v="0"/>
    <x v="3"/>
    <x v="2"/>
    <x v="2"/>
    <x v="1"/>
    <n v="5"/>
    <n v="4"/>
    <n v="10"/>
    <n v="10"/>
    <n v="68"/>
    <x v="3"/>
    <n v="472.51"/>
    <n v="32130.68"/>
    <n v="32130.68"/>
    <n v="4380.6805637645375"/>
    <x v="1"/>
    <n v="18.63"/>
    <b v="0"/>
    <d v="2023-01-30T00:00:00"/>
    <x v="2"/>
    <x v="1"/>
    <n v="28"/>
    <x v="0"/>
    <s v="Debit Card"/>
    <s v="Not Returned"/>
  </r>
  <r>
    <s v="TID_1316"/>
    <x v="3"/>
    <x v="0"/>
    <x v="2"/>
    <x v="2"/>
    <x v="3"/>
    <x v="2"/>
    <n v="5"/>
    <n v="4"/>
    <n v="10"/>
    <n v="10"/>
    <n v="31"/>
    <x v="6"/>
    <n v="1034.9100000000001"/>
    <n v="32082.21"/>
    <n v="28209.887252999997"/>
    <n v="8301.4733107645407"/>
    <x v="0"/>
    <n v="12.07"/>
    <b v="1"/>
    <d v="2024-01-24T00:00:00"/>
    <x v="2"/>
    <x v="0"/>
    <n v="30"/>
    <x v="0"/>
    <s v="Cash"/>
    <s v="Returned"/>
  </r>
  <r>
    <s v="TID_454"/>
    <x v="2"/>
    <x v="1"/>
    <x v="2"/>
    <x v="2"/>
    <x v="1"/>
    <x v="0"/>
    <n v="3"/>
    <n v="13"/>
    <n v="10"/>
    <n v="10"/>
    <n v="26"/>
    <x v="6"/>
    <n v="1232.46"/>
    <n v="32043.96"/>
    <n v="25968.425184"/>
    <n v="10542.935379764538"/>
    <x v="0"/>
    <n v="18.96"/>
    <b v="1"/>
    <d v="2024-08-09T00:00:00"/>
    <x v="3"/>
    <x v="0"/>
    <n v="34"/>
    <x v="1"/>
    <s v="Debit Card"/>
    <s v="Not Returned"/>
  </r>
  <r>
    <s v="TID_1761"/>
    <x v="0"/>
    <x v="0"/>
    <x v="2"/>
    <x v="2"/>
    <x v="4"/>
    <x v="2"/>
    <n v="5"/>
    <n v="4"/>
    <n v="10"/>
    <n v="10"/>
    <n v="77"/>
    <x v="3"/>
    <n v="415.79"/>
    <n v="32015.83"/>
    <n v="32015.83"/>
    <n v="4495.5305637645361"/>
    <x v="1"/>
    <n v="1.75"/>
    <b v="0"/>
    <d v="2023-03-27T00:00:00"/>
    <x v="2"/>
    <x v="1"/>
    <n v="53"/>
    <x v="0"/>
    <s v="Credit Card"/>
    <s v="Returned"/>
  </r>
  <r>
    <s v="TID_61"/>
    <x v="5"/>
    <x v="2"/>
    <x v="2"/>
    <x v="0"/>
    <x v="4"/>
    <x v="3"/>
    <n v="7"/>
    <n v="6"/>
    <n v="6"/>
    <n v="9"/>
    <n v="85"/>
    <x v="2"/>
    <n v="375.2"/>
    <n v="31892"/>
    <n v="31467.8364"/>
    <n v="5043.5241637645377"/>
    <x v="0"/>
    <n v="1.33"/>
    <b v="1"/>
    <d v="2023-02-06T00:00:00"/>
    <x v="2"/>
    <x v="1"/>
    <n v="41"/>
    <x v="1"/>
    <s v="Online Payment"/>
    <s v="Not Returned"/>
  </r>
  <r>
    <s v="TID_1735"/>
    <x v="6"/>
    <x v="1"/>
    <x v="1"/>
    <x v="2"/>
    <x v="0"/>
    <x v="3"/>
    <n v="6"/>
    <n v="13"/>
    <n v="10"/>
    <n v="9"/>
    <n v="59"/>
    <x v="4"/>
    <n v="540.02"/>
    <n v="31861.18"/>
    <n v="31861.18"/>
    <n v="4650.1805637645375"/>
    <x v="1"/>
    <n v="18.64"/>
    <b v="0"/>
    <d v="2023-07-02T00:00:00"/>
    <x v="3"/>
    <x v="1"/>
    <n v="64"/>
    <x v="1"/>
    <s v="Debit Card"/>
    <s v="Not Returned"/>
  </r>
  <r>
    <s v="TID_445"/>
    <x v="1"/>
    <x v="0"/>
    <x v="2"/>
    <x v="2"/>
    <x v="0"/>
    <x v="3"/>
    <n v="5"/>
    <n v="4"/>
    <n v="10"/>
    <n v="9"/>
    <n v="43"/>
    <x v="5"/>
    <n v="740.23"/>
    <n v="31829.89"/>
    <n v="25075.587342000003"/>
    <n v="11435.773221764535"/>
    <x v="0"/>
    <n v="21.22"/>
    <b v="1"/>
    <d v="2023-01-25T00:00:00"/>
    <x v="2"/>
    <x v="1"/>
    <n v="62"/>
    <x v="0"/>
    <s v="Debit Card"/>
    <s v="Returned"/>
  </r>
  <r>
    <s v="TID_1190"/>
    <x v="4"/>
    <x v="2"/>
    <x v="2"/>
    <x v="1"/>
    <x v="0"/>
    <x v="2"/>
    <n v="6"/>
    <n v="6"/>
    <n v="10"/>
    <n v="10"/>
    <n v="50"/>
    <x v="5"/>
    <n v="633.35"/>
    <n v="31667.5"/>
    <n v="26413.861750000004"/>
    <n v="10097.498813764534"/>
    <x v="1"/>
    <n v="16.59"/>
    <b v="1"/>
    <d v="2024-06-14T00:00:00"/>
    <x v="1"/>
    <x v="0"/>
    <n v="34"/>
    <x v="0"/>
    <s v="Cash"/>
    <s v="Not Returned"/>
  </r>
  <r>
    <s v="TID_480"/>
    <x v="0"/>
    <x v="0"/>
    <x v="2"/>
    <x v="1"/>
    <x v="0"/>
    <x v="0"/>
    <n v="5"/>
    <n v="4"/>
    <n v="10"/>
    <n v="10"/>
    <n v="22"/>
    <x v="6"/>
    <n v="1436.39"/>
    <n v="31600.58"/>
    <n v="28304.639506"/>
    <n v="8206.7210577645383"/>
    <x v="1"/>
    <n v="10.43"/>
    <b v="1"/>
    <d v="2024-09-18T00:00:00"/>
    <x v="3"/>
    <x v="0"/>
    <n v="65"/>
    <x v="2"/>
    <s v="Cash"/>
    <s v="Returned"/>
  </r>
  <r>
    <s v="TID_1680"/>
    <x v="7"/>
    <x v="2"/>
    <x v="2"/>
    <x v="2"/>
    <x v="4"/>
    <x v="3"/>
    <n v="2"/>
    <n v="6"/>
    <n v="10"/>
    <n v="9"/>
    <n v="89"/>
    <x v="2"/>
    <n v="354.17"/>
    <n v="31521.13"/>
    <n v="31521.13"/>
    <n v="4990.2305637645368"/>
    <x v="1"/>
    <n v="6.42"/>
    <b v="0"/>
    <d v="2024-07-21T00:00:00"/>
    <x v="3"/>
    <x v="0"/>
    <n v="52"/>
    <x v="0"/>
    <s v="Cash"/>
    <s v="Returned"/>
  </r>
  <r>
    <s v="TID_894"/>
    <x v="4"/>
    <x v="2"/>
    <x v="0"/>
    <x v="0"/>
    <x v="2"/>
    <x v="0"/>
    <n v="6"/>
    <n v="6"/>
    <n v="6"/>
    <n v="10"/>
    <n v="40"/>
    <x v="5"/>
    <n v="783.82"/>
    <n v="31352.799999999999"/>
    <n v="29756.942480000002"/>
    <n v="6754.4180837645363"/>
    <x v="1"/>
    <n v="5.09"/>
    <b v="1"/>
    <d v="2023-03-14T00:00:00"/>
    <x v="2"/>
    <x v="1"/>
    <n v="40"/>
    <x v="1"/>
    <s v="Debit Card"/>
    <s v="Not Returned"/>
  </r>
  <r>
    <s v="TID_1924"/>
    <x v="2"/>
    <x v="1"/>
    <x v="3"/>
    <x v="1"/>
    <x v="0"/>
    <x v="0"/>
    <n v="3"/>
    <n v="13"/>
    <n v="10"/>
    <n v="10"/>
    <n v="47"/>
    <x v="5"/>
    <n v="666.52"/>
    <n v="31326.44"/>
    <n v="30374.116223999998"/>
    <n v="6137.2443397645402"/>
    <x v="0"/>
    <n v="3.04"/>
    <b v="1"/>
    <d v="2023-04-16T00:00:00"/>
    <x v="1"/>
    <x v="1"/>
    <n v="51"/>
    <x v="2"/>
    <s v="Online Payment"/>
    <s v="Returned"/>
  </r>
  <r>
    <s v="TID_963"/>
    <x v="4"/>
    <x v="2"/>
    <x v="0"/>
    <x v="2"/>
    <x v="2"/>
    <x v="3"/>
    <n v="6"/>
    <n v="6"/>
    <n v="10"/>
    <n v="9"/>
    <n v="56"/>
    <x v="4"/>
    <n v="559.29999999999995"/>
    <n v="31320.799999999999"/>
    <n v="27737.700479999996"/>
    <n v="8773.6600837645419"/>
    <x v="1"/>
    <n v="11.44"/>
    <b v="1"/>
    <d v="2024-06-27T00:00:00"/>
    <x v="1"/>
    <x v="0"/>
    <n v="50"/>
    <x v="0"/>
    <s v="Online Payment"/>
    <s v="Returned"/>
  </r>
  <r>
    <s v="TID_1265"/>
    <x v="0"/>
    <x v="0"/>
    <x v="3"/>
    <x v="2"/>
    <x v="4"/>
    <x v="3"/>
    <n v="5"/>
    <n v="4"/>
    <n v="10"/>
    <n v="9"/>
    <n v="26"/>
    <x v="6"/>
    <n v="1202.29"/>
    <n v="31259.54"/>
    <n v="23094.548151999999"/>
    <n v="13416.812411764538"/>
    <x v="1"/>
    <n v="26.12"/>
    <b v="1"/>
    <d v="2024-08-30T00:00:00"/>
    <x v="3"/>
    <x v="0"/>
    <n v="18"/>
    <x v="0"/>
    <s v="Credit Card"/>
    <s v="Not Returned"/>
  </r>
  <r>
    <s v="TID_1340"/>
    <x v="6"/>
    <x v="1"/>
    <x v="0"/>
    <x v="1"/>
    <x v="0"/>
    <x v="1"/>
    <n v="6"/>
    <n v="13"/>
    <n v="10"/>
    <n v="10"/>
    <n v="88"/>
    <x v="2"/>
    <n v="355.17"/>
    <n v="31254.959999999999"/>
    <n v="31254.959999999999"/>
    <n v="5256.4005637645387"/>
    <x v="0"/>
    <n v="2.48"/>
    <b v="0"/>
    <d v="2023-07-27T00:00:00"/>
    <x v="3"/>
    <x v="1"/>
    <n v="66"/>
    <x v="2"/>
    <s v="Credit Card"/>
    <s v="Returned"/>
  </r>
  <r>
    <s v="TID_49"/>
    <x v="3"/>
    <x v="0"/>
    <x v="3"/>
    <x v="0"/>
    <x v="3"/>
    <x v="1"/>
    <n v="5"/>
    <n v="4"/>
    <n v="6"/>
    <n v="10"/>
    <n v="99"/>
    <x v="0"/>
    <n v="315.26"/>
    <n v="31210.74"/>
    <n v="23330.028150000002"/>
    <n v="13181.332413764536"/>
    <x v="0"/>
    <n v="25.25"/>
    <b v="1"/>
    <d v="2024-02-26T00:00:00"/>
    <x v="2"/>
    <x v="0"/>
    <n v="32"/>
    <x v="2"/>
    <s v="Online Payment"/>
    <s v="Not Returned"/>
  </r>
  <r>
    <s v="TID_989"/>
    <x v="5"/>
    <x v="2"/>
    <x v="3"/>
    <x v="2"/>
    <x v="1"/>
    <x v="2"/>
    <n v="7"/>
    <n v="6"/>
    <n v="10"/>
    <n v="10"/>
    <n v="68"/>
    <x v="3"/>
    <n v="458.9"/>
    <n v="31205.200000000001"/>
    <n v="31205.200000000001"/>
    <n v="5306.1605637645371"/>
    <x v="1"/>
    <n v="8.8800000000000008"/>
    <b v="0"/>
    <d v="2024-07-03T00:00:00"/>
    <x v="3"/>
    <x v="0"/>
    <n v="37"/>
    <x v="1"/>
    <s v="Cash"/>
    <s v="Returned"/>
  </r>
  <r>
    <s v="TID_1786"/>
    <x v="4"/>
    <x v="2"/>
    <x v="3"/>
    <x v="0"/>
    <x v="2"/>
    <x v="3"/>
    <n v="6"/>
    <n v="6"/>
    <n v="6"/>
    <n v="9"/>
    <n v="82"/>
    <x v="2"/>
    <n v="380.37"/>
    <n v="31190.34"/>
    <n v="29013.254268000001"/>
    <n v="7498.1062957645372"/>
    <x v="0"/>
    <n v="6.98"/>
    <b v="1"/>
    <d v="2023-12-15T00:00:00"/>
    <x v="0"/>
    <x v="1"/>
    <n v="36"/>
    <x v="0"/>
    <s v="Credit Card"/>
    <s v="Returned"/>
  </r>
  <r>
    <s v="TID_504"/>
    <x v="5"/>
    <x v="2"/>
    <x v="1"/>
    <x v="0"/>
    <x v="1"/>
    <x v="3"/>
    <n v="7"/>
    <n v="6"/>
    <n v="6"/>
    <n v="9"/>
    <n v="98"/>
    <x v="0"/>
    <n v="317.74"/>
    <n v="31138.52"/>
    <n v="26744.874828"/>
    <n v="9766.4857357645378"/>
    <x v="1"/>
    <n v="14.11"/>
    <b v="1"/>
    <d v="2024-04-15T00:00:00"/>
    <x v="1"/>
    <x v="0"/>
    <n v="61"/>
    <x v="2"/>
    <s v="Credit Card"/>
    <s v="Not Returned"/>
  </r>
  <r>
    <s v="TID_96"/>
    <x v="9"/>
    <x v="4"/>
    <x v="3"/>
    <x v="2"/>
    <x v="2"/>
    <x v="3"/>
    <n v="6"/>
    <n v="13"/>
    <n v="10"/>
    <n v="9"/>
    <n v="46"/>
    <x v="5"/>
    <n v="676.71"/>
    <n v="31128.66"/>
    <n v="31128.66"/>
    <n v="5382.7005637645379"/>
    <x v="0"/>
    <n v="20.32"/>
    <b v="0"/>
    <d v="2024-02-15T00:00:00"/>
    <x v="2"/>
    <x v="0"/>
    <n v="66"/>
    <x v="0"/>
    <s v="Debit Card"/>
    <s v="Not Returned"/>
  </r>
  <r>
    <s v="TID_676"/>
    <x v="7"/>
    <x v="2"/>
    <x v="1"/>
    <x v="0"/>
    <x v="0"/>
    <x v="3"/>
    <n v="2"/>
    <n v="6"/>
    <n v="6"/>
    <n v="9"/>
    <n v="22"/>
    <x v="6"/>
    <n v="1414.65"/>
    <n v="31122.3"/>
    <n v="24984.98244"/>
    <n v="11526.378123764538"/>
    <x v="0"/>
    <n v="19.72"/>
    <b v="1"/>
    <d v="2024-08-28T00:00:00"/>
    <x v="3"/>
    <x v="0"/>
    <n v="53"/>
    <x v="1"/>
    <s v="Cash"/>
    <s v="Not Returned"/>
  </r>
  <r>
    <s v="TID_1707"/>
    <x v="3"/>
    <x v="0"/>
    <x v="3"/>
    <x v="1"/>
    <x v="1"/>
    <x v="1"/>
    <n v="5"/>
    <n v="4"/>
    <n v="10"/>
    <n v="10"/>
    <n v="67"/>
    <x v="3"/>
    <n v="462.68"/>
    <n v="30999.56"/>
    <n v="26569.722876"/>
    <n v="9941.637687764538"/>
    <x v="1"/>
    <n v="14.29"/>
    <b v="1"/>
    <d v="2023-01-22T00:00:00"/>
    <x v="2"/>
    <x v="1"/>
    <n v="65"/>
    <x v="0"/>
    <s v="Online Payment"/>
    <s v="Returned"/>
  </r>
  <r>
    <s v="TID_1169"/>
    <x v="2"/>
    <x v="1"/>
    <x v="2"/>
    <x v="2"/>
    <x v="2"/>
    <x v="3"/>
    <n v="3"/>
    <n v="13"/>
    <n v="10"/>
    <n v="9"/>
    <n v="29"/>
    <x v="6"/>
    <n v="1067.82"/>
    <n v="30966.78"/>
    <n v="30966.78"/>
    <n v="5544.580563764539"/>
    <x v="0"/>
    <n v="19.91"/>
    <b v="0"/>
    <d v="2024-07-17T00:00:00"/>
    <x v="3"/>
    <x v="0"/>
    <n v="19"/>
    <x v="0"/>
    <s v="Debit Card"/>
    <s v="Returned"/>
  </r>
  <r>
    <s v="TID_1176"/>
    <x v="2"/>
    <x v="1"/>
    <x v="0"/>
    <x v="0"/>
    <x v="0"/>
    <x v="1"/>
    <n v="3"/>
    <n v="13"/>
    <n v="6"/>
    <n v="10"/>
    <n v="36"/>
    <x v="6"/>
    <n v="860.16"/>
    <n v="30965.759999999998"/>
    <n v="30399.086592"/>
    <n v="6112.2739717645381"/>
    <x v="0"/>
    <n v="1.83"/>
    <b v="1"/>
    <d v="2023-07-17T00:00:00"/>
    <x v="3"/>
    <x v="1"/>
    <n v="63"/>
    <x v="2"/>
    <s v="Cash"/>
    <s v="Returned"/>
  </r>
  <r>
    <s v="TID_1225"/>
    <x v="4"/>
    <x v="2"/>
    <x v="3"/>
    <x v="2"/>
    <x v="4"/>
    <x v="3"/>
    <n v="6"/>
    <n v="6"/>
    <n v="10"/>
    <n v="9"/>
    <n v="46"/>
    <x v="5"/>
    <n v="673.12"/>
    <n v="30963.52"/>
    <n v="30963.52"/>
    <n v="5547.8405637645374"/>
    <x v="0"/>
    <n v="19.420000000000002"/>
    <b v="0"/>
    <d v="2024-04-14T00:00:00"/>
    <x v="1"/>
    <x v="0"/>
    <n v="31"/>
    <x v="0"/>
    <s v="Cash"/>
    <s v="Returned"/>
  </r>
  <r>
    <s v="TID_773"/>
    <x v="2"/>
    <x v="1"/>
    <x v="3"/>
    <x v="0"/>
    <x v="4"/>
    <x v="2"/>
    <n v="3"/>
    <n v="13"/>
    <n v="6"/>
    <n v="10"/>
    <n v="62"/>
    <x v="3"/>
    <n v="499.04"/>
    <n v="30940.48"/>
    <n v="26658.317568000002"/>
    <n v="9853.0429957645356"/>
    <x v="0"/>
    <n v="13.84"/>
    <b v="1"/>
    <d v="2023-01-23T00:00:00"/>
    <x v="2"/>
    <x v="1"/>
    <n v="52"/>
    <x v="1"/>
    <s v="Credit Card"/>
    <s v="Returned"/>
  </r>
  <r>
    <s v="TID_1390"/>
    <x v="8"/>
    <x v="3"/>
    <x v="3"/>
    <x v="1"/>
    <x v="1"/>
    <x v="2"/>
    <n v="9"/>
    <n v="7"/>
    <n v="10"/>
    <n v="10"/>
    <n v="29"/>
    <x v="6"/>
    <n v="1066.19"/>
    <n v="30919.51"/>
    <n v="30919.51"/>
    <n v="5591.8505637645394"/>
    <x v="0"/>
    <n v="23.51"/>
    <b v="0"/>
    <d v="2024-06-08T00:00:00"/>
    <x v="1"/>
    <x v="0"/>
    <n v="20"/>
    <x v="1"/>
    <s v="Debit Card"/>
    <s v="Returned"/>
  </r>
  <r>
    <s v="TID_1724"/>
    <x v="6"/>
    <x v="1"/>
    <x v="0"/>
    <x v="1"/>
    <x v="3"/>
    <x v="0"/>
    <n v="6"/>
    <n v="13"/>
    <n v="10"/>
    <n v="10"/>
    <n v="87"/>
    <x v="2"/>
    <n v="355.06"/>
    <n v="30890.22"/>
    <n v="30609.118998000002"/>
    <n v="5902.2415657645361"/>
    <x v="1"/>
    <n v="0.91"/>
    <b v="1"/>
    <d v="2023-06-17T00:00:00"/>
    <x v="1"/>
    <x v="1"/>
    <n v="41"/>
    <x v="0"/>
    <s v="Debit Card"/>
    <s v="Returned"/>
  </r>
  <r>
    <s v="TID_1035"/>
    <x v="0"/>
    <x v="0"/>
    <x v="1"/>
    <x v="0"/>
    <x v="0"/>
    <x v="0"/>
    <n v="5"/>
    <n v="4"/>
    <n v="6"/>
    <n v="10"/>
    <n v="40"/>
    <x v="5"/>
    <n v="770.14"/>
    <n v="30805.599999999999"/>
    <n v="25405.37832"/>
    <n v="11105.982243764538"/>
    <x v="1"/>
    <n v="17.53"/>
    <b v="1"/>
    <d v="2024-04-16T00:00:00"/>
    <x v="1"/>
    <x v="0"/>
    <n v="59"/>
    <x v="1"/>
    <s v="Debit Card"/>
    <s v="Not Returned"/>
  </r>
  <r>
    <s v="TID_1429"/>
    <x v="1"/>
    <x v="0"/>
    <x v="1"/>
    <x v="1"/>
    <x v="4"/>
    <x v="1"/>
    <n v="5"/>
    <n v="4"/>
    <n v="10"/>
    <n v="10"/>
    <n v="44"/>
    <x v="5"/>
    <n v="699.56"/>
    <n v="30780.639999999999"/>
    <n v="30780.639999999999"/>
    <n v="5730.7205637645384"/>
    <x v="1"/>
    <n v="28.39"/>
    <b v="0"/>
    <d v="2023-02-01T00:00:00"/>
    <x v="2"/>
    <x v="1"/>
    <n v="68"/>
    <x v="0"/>
    <s v="Cash"/>
    <s v="Not Returned"/>
  </r>
  <r>
    <s v="TID_1251"/>
    <x v="2"/>
    <x v="1"/>
    <x v="2"/>
    <x v="2"/>
    <x v="3"/>
    <x v="3"/>
    <n v="3"/>
    <n v="13"/>
    <n v="10"/>
    <n v="9"/>
    <n v="22"/>
    <x v="6"/>
    <n v="1399.03"/>
    <n v="30778.66"/>
    <n v="29642.927445999998"/>
    <n v="6868.4331177645399"/>
    <x v="0"/>
    <n v="3.69"/>
    <b v="1"/>
    <d v="2024-05-09T00:00:00"/>
    <x v="1"/>
    <x v="0"/>
    <n v="45"/>
    <x v="2"/>
    <s v="Debit Card"/>
    <s v="Returned"/>
  </r>
  <r>
    <s v="TID_331"/>
    <x v="8"/>
    <x v="3"/>
    <x v="2"/>
    <x v="1"/>
    <x v="4"/>
    <x v="1"/>
    <n v="9"/>
    <n v="7"/>
    <n v="10"/>
    <n v="10"/>
    <n v="26"/>
    <x v="6"/>
    <n v="1182.82"/>
    <n v="30753.32"/>
    <n v="30753.32"/>
    <n v="5758.0405637645381"/>
    <x v="1"/>
    <n v="2.21"/>
    <b v="0"/>
    <d v="2023-09-15T00:00:00"/>
    <x v="3"/>
    <x v="1"/>
    <n v="47"/>
    <x v="1"/>
    <s v="Credit Card"/>
    <s v="Not Returned"/>
  </r>
  <r>
    <s v="TID_1076"/>
    <x v="1"/>
    <x v="0"/>
    <x v="0"/>
    <x v="1"/>
    <x v="3"/>
    <x v="2"/>
    <n v="5"/>
    <n v="4"/>
    <n v="10"/>
    <n v="10"/>
    <n v="24"/>
    <x v="6"/>
    <n v="1280.75"/>
    <n v="30738"/>
    <n v="30738"/>
    <n v="5773.3605637645378"/>
    <x v="1"/>
    <n v="20.21"/>
    <b v="0"/>
    <d v="2023-01-26T00:00:00"/>
    <x v="2"/>
    <x v="1"/>
    <n v="50"/>
    <x v="0"/>
    <s v="Credit Card"/>
    <s v="Returned"/>
  </r>
  <r>
    <s v="TID_1050"/>
    <x v="6"/>
    <x v="1"/>
    <x v="2"/>
    <x v="2"/>
    <x v="4"/>
    <x v="0"/>
    <n v="6"/>
    <n v="13"/>
    <n v="10"/>
    <n v="10"/>
    <n v="90"/>
    <x v="2"/>
    <n v="341.2"/>
    <n v="30708"/>
    <n v="30708"/>
    <n v="5803.3605637645378"/>
    <x v="1"/>
    <n v="9.17"/>
    <b v="0"/>
    <d v="2023-09-01T00:00:00"/>
    <x v="3"/>
    <x v="1"/>
    <n v="18"/>
    <x v="0"/>
    <s v="Credit Card"/>
    <s v="Not Returned"/>
  </r>
  <r>
    <s v="TID_1913"/>
    <x v="7"/>
    <x v="2"/>
    <x v="1"/>
    <x v="0"/>
    <x v="1"/>
    <x v="2"/>
    <n v="2"/>
    <n v="6"/>
    <n v="6"/>
    <n v="10"/>
    <n v="43"/>
    <x v="5"/>
    <n v="713.47"/>
    <n v="30679.21"/>
    <n v="30679.21"/>
    <n v="5832.1505637645387"/>
    <x v="1"/>
    <n v="15.91"/>
    <b v="0"/>
    <d v="2023-05-22T00:00:00"/>
    <x v="1"/>
    <x v="1"/>
    <n v="37"/>
    <x v="0"/>
    <s v="Cash"/>
    <s v="Not Returned"/>
  </r>
  <r>
    <s v="TID_327"/>
    <x v="2"/>
    <x v="1"/>
    <x v="1"/>
    <x v="0"/>
    <x v="3"/>
    <x v="1"/>
    <n v="3"/>
    <n v="13"/>
    <n v="6"/>
    <n v="10"/>
    <n v="36"/>
    <x v="6"/>
    <n v="849.15"/>
    <n v="30569.4"/>
    <n v="30569.4"/>
    <n v="5941.9605637645363"/>
    <x v="0"/>
    <n v="25.15"/>
    <b v="0"/>
    <d v="2024-03-14T00:00:00"/>
    <x v="2"/>
    <x v="0"/>
    <n v="69"/>
    <x v="1"/>
    <s v="Online Payment"/>
    <s v="Not Returned"/>
  </r>
  <r>
    <s v="TID_207"/>
    <x v="5"/>
    <x v="2"/>
    <x v="2"/>
    <x v="2"/>
    <x v="3"/>
    <x v="3"/>
    <n v="7"/>
    <n v="6"/>
    <n v="10"/>
    <n v="9"/>
    <n v="43"/>
    <x v="5"/>
    <n v="708.91"/>
    <n v="30483.13"/>
    <n v="22045.399616000002"/>
    <n v="14465.960947764535"/>
    <x v="1"/>
    <n v="27.68"/>
    <b v="1"/>
    <d v="2024-06-14T00:00:00"/>
    <x v="1"/>
    <x v="0"/>
    <n v="60"/>
    <x v="0"/>
    <s v="Credit Card"/>
    <s v="Not Returned"/>
  </r>
  <r>
    <s v="TID_768"/>
    <x v="8"/>
    <x v="3"/>
    <x v="2"/>
    <x v="0"/>
    <x v="3"/>
    <x v="1"/>
    <n v="9"/>
    <n v="7"/>
    <n v="6"/>
    <n v="10"/>
    <n v="25"/>
    <x v="6"/>
    <n v="1216.73"/>
    <n v="30418.25"/>
    <n v="26232.698800000002"/>
    <n v="10278.661763764536"/>
    <x v="1"/>
    <n v="13.76"/>
    <b v="1"/>
    <d v="2023-10-07T00:00:00"/>
    <x v="0"/>
    <x v="1"/>
    <n v="65"/>
    <x v="1"/>
    <s v="Debit Card"/>
    <s v="Not Returned"/>
  </r>
  <r>
    <s v="TID_741"/>
    <x v="5"/>
    <x v="2"/>
    <x v="2"/>
    <x v="2"/>
    <x v="2"/>
    <x v="1"/>
    <n v="7"/>
    <n v="6"/>
    <n v="10"/>
    <n v="10"/>
    <n v="65"/>
    <x v="3"/>
    <n v="467.89"/>
    <n v="30412.85"/>
    <n v="27654.404504999999"/>
    <n v="8856.9560587645392"/>
    <x v="1"/>
    <n v="9.07"/>
    <b v="1"/>
    <d v="2023-05-29T00:00:00"/>
    <x v="1"/>
    <x v="1"/>
    <n v="56"/>
    <x v="2"/>
    <s v="Debit Card"/>
    <s v="Not Returned"/>
  </r>
  <r>
    <s v="TID_1833"/>
    <x v="0"/>
    <x v="0"/>
    <x v="0"/>
    <x v="1"/>
    <x v="4"/>
    <x v="0"/>
    <n v="5"/>
    <n v="4"/>
    <n v="10"/>
    <n v="10"/>
    <n v="37"/>
    <x v="6"/>
    <n v="821.34"/>
    <n v="30389.58"/>
    <n v="25123.065786000003"/>
    <n v="11388.294777764535"/>
    <x v="1"/>
    <n v="17.329999999999998"/>
    <b v="1"/>
    <d v="2023-07-30T00:00:00"/>
    <x v="3"/>
    <x v="1"/>
    <n v="61"/>
    <x v="1"/>
    <s v="Cash"/>
    <s v="Returned"/>
  </r>
  <r>
    <s v="TID_1811"/>
    <x v="6"/>
    <x v="1"/>
    <x v="2"/>
    <x v="1"/>
    <x v="0"/>
    <x v="2"/>
    <n v="6"/>
    <n v="13"/>
    <n v="10"/>
    <n v="10"/>
    <n v="78"/>
    <x v="3"/>
    <n v="388.64"/>
    <n v="30313.919999999998"/>
    <n v="30313.919999999998"/>
    <n v="6197.4405637645395"/>
    <x v="1"/>
    <n v="0.09"/>
    <b v="0"/>
    <d v="2024-02-07T00:00:00"/>
    <x v="2"/>
    <x v="0"/>
    <n v="19"/>
    <x v="2"/>
    <s v="Debit Card"/>
    <s v="Returned"/>
  </r>
  <r>
    <s v="TID_1408"/>
    <x v="0"/>
    <x v="0"/>
    <x v="3"/>
    <x v="2"/>
    <x v="1"/>
    <x v="3"/>
    <n v="5"/>
    <n v="4"/>
    <n v="10"/>
    <n v="9"/>
    <n v="43"/>
    <x v="5"/>
    <n v="704.54"/>
    <n v="30295.22"/>
    <n v="30295.22"/>
    <n v="6216.1405637645366"/>
    <x v="1"/>
    <n v="9.44"/>
    <b v="0"/>
    <d v="2023-01-31T00:00:00"/>
    <x v="2"/>
    <x v="1"/>
    <n v="31"/>
    <x v="0"/>
    <s v="Debit Card"/>
    <s v="Not Returned"/>
  </r>
  <r>
    <s v="TID_568"/>
    <x v="7"/>
    <x v="2"/>
    <x v="3"/>
    <x v="2"/>
    <x v="4"/>
    <x v="2"/>
    <n v="2"/>
    <n v="6"/>
    <n v="10"/>
    <n v="10"/>
    <n v="35"/>
    <x v="6"/>
    <n v="865.45"/>
    <n v="30290.75"/>
    <n v="22239.468649999999"/>
    <n v="14271.891913764539"/>
    <x v="0"/>
    <n v="26.58"/>
    <b v="1"/>
    <d v="2023-12-21T00:00:00"/>
    <x v="0"/>
    <x v="1"/>
    <n v="59"/>
    <x v="0"/>
    <s v="Online Payment"/>
    <s v="Returned"/>
  </r>
  <r>
    <s v="TID_808"/>
    <x v="0"/>
    <x v="0"/>
    <x v="1"/>
    <x v="2"/>
    <x v="1"/>
    <x v="2"/>
    <n v="5"/>
    <n v="4"/>
    <n v="10"/>
    <n v="10"/>
    <n v="24"/>
    <x v="6"/>
    <n v="1259.46"/>
    <n v="30227.040000000001"/>
    <n v="30227.040000000001"/>
    <n v="6284.3205637645369"/>
    <x v="0"/>
    <n v="20.37"/>
    <b v="0"/>
    <d v="2024-06-20T00:00:00"/>
    <x v="1"/>
    <x v="0"/>
    <n v="47"/>
    <x v="1"/>
    <s v="Credit Card"/>
    <s v="Returned"/>
  </r>
  <r>
    <s v="TID_1144"/>
    <x v="7"/>
    <x v="2"/>
    <x v="2"/>
    <x v="2"/>
    <x v="1"/>
    <x v="1"/>
    <n v="2"/>
    <n v="6"/>
    <n v="10"/>
    <n v="10"/>
    <n v="92"/>
    <x v="1"/>
    <n v="328.45"/>
    <n v="30217.4"/>
    <n v="26929.746880000002"/>
    <n v="9581.6136837645354"/>
    <x v="0"/>
    <n v="10.88"/>
    <b v="1"/>
    <d v="2023-09-27T00:00:00"/>
    <x v="3"/>
    <x v="1"/>
    <n v="50"/>
    <x v="2"/>
    <s v="Online Payment"/>
    <s v="Returned"/>
  </r>
  <r>
    <s v="TID_298"/>
    <x v="8"/>
    <x v="3"/>
    <x v="1"/>
    <x v="1"/>
    <x v="2"/>
    <x v="1"/>
    <n v="9"/>
    <n v="7"/>
    <n v="10"/>
    <n v="10"/>
    <n v="57"/>
    <x v="4"/>
    <n v="529.97"/>
    <n v="30208.29"/>
    <n v="30208.29"/>
    <n v="6303.0705637645369"/>
    <x v="0"/>
    <n v="29.95"/>
    <b v="0"/>
    <d v="2023-10-03T00:00:00"/>
    <x v="0"/>
    <x v="1"/>
    <n v="49"/>
    <x v="2"/>
    <s v="Credit Card"/>
    <s v="Returned"/>
  </r>
  <r>
    <s v="TID_172"/>
    <x v="2"/>
    <x v="1"/>
    <x v="0"/>
    <x v="0"/>
    <x v="1"/>
    <x v="1"/>
    <n v="3"/>
    <n v="13"/>
    <n v="6"/>
    <n v="10"/>
    <n v="30"/>
    <x v="6"/>
    <n v="1006.66"/>
    <n v="30199.8"/>
    <n v="25899.348480000001"/>
    <n v="10612.012083764537"/>
    <x v="0"/>
    <n v="14.24"/>
    <b v="1"/>
    <d v="2024-01-21T00:00:00"/>
    <x v="2"/>
    <x v="0"/>
    <n v="32"/>
    <x v="1"/>
    <s v="Debit Card"/>
    <s v="Returned"/>
  </r>
  <r>
    <s v="TID_1082"/>
    <x v="1"/>
    <x v="0"/>
    <x v="2"/>
    <x v="1"/>
    <x v="4"/>
    <x v="0"/>
    <n v="5"/>
    <n v="4"/>
    <n v="10"/>
    <n v="10"/>
    <n v="37"/>
    <x v="6"/>
    <n v="814.48"/>
    <n v="30135.759999999998"/>
    <n v="24512.427184"/>
    <n v="11998.933379764538"/>
    <x v="1"/>
    <n v="18.66"/>
    <b v="1"/>
    <d v="2023-09-02T00:00:00"/>
    <x v="3"/>
    <x v="1"/>
    <n v="44"/>
    <x v="0"/>
    <s v="Credit Card"/>
    <s v="Returned"/>
  </r>
  <r>
    <s v="TID_912"/>
    <x v="1"/>
    <x v="0"/>
    <x v="2"/>
    <x v="1"/>
    <x v="0"/>
    <x v="1"/>
    <n v="5"/>
    <n v="4"/>
    <n v="10"/>
    <n v="10"/>
    <n v="30"/>
    <x v="6"/>
    <n v="1003.11"/>
    <n v="30093.3"/>
    <n v="27577.500120000001"/>
    <n v="8933.8604437645372"/>
    <x v="1"/>
    <n v="8.36"/>
    <b v="1"/>
    <d v="2023-01-12T00:00:00"/>
    <x v="2"/>
    <x v="1"/>
    <n v="24"/>
    <x v="0"/>
    <s v="Credit Card"/>
    <s v="Returned"/>
  </r>
  <r>
    <s v="TID_1829"/>
    <x v="1"/>
    <x v="0"/>
    <x v="0"/>
    <x v="2"/>
    <x v="3"/>
    <x v="1"/>
    <n v="5"/>
    <n v="4"/>
    <n v="10"/>
    <n v="10"/>
    <n v="46"/>
    <x v="5"/>
    <n v="653.71"/>
    <n v="30070.66"/>
    <n v="23265.669642000001"/>
    <n v="13245.690921764537"/>
    <x v="1"/>
    <n v="22.63"/>
    <b v="1"/>
    <d v="2023-05-13T00:00:00"/>
    <x v="1"/>
    <x v="1"/>
    <n v="37"/>
    <x v="0"/>
    <s v="Cash"/>
    <s v="Not Returned"/>
  </r>
  <r>
    <s v="TID_1222"/>
    <x v="8"/>
    <x v="3"/>
    <x v="1"/>
    <x v="0"/>
    <x v="0"/>
    <x v="2"/>
    <n v="9"/>
    <n v="7"/>
    <n v="6"/>
    <n v="10"/>
    <n v="31"/>
    <x v="6"/>
    <n v="969.43"/>
    <n v="30052.33"/>
    <n v="30052.33"/>
    <n v="6459.0305637645361"/>
    <x v="1"/>
    <n v="12.98"/>
    <b v="0"/>
    <d v="2023-01-09T00:00:00"/>
    <x v="2"/>
    <x v="1"/>
    <n v="25"/>
    <x v="1"/>
    <s v="Credit Card"/>
    <s v="Not Returned"/>
  </r>
  <r>
    <s v="TID_109"/>
    <x v="8"/>
    <x v="3"/>
    <x v="2"/>
    <x v="1"/>
    <x v="1"/>
    <x v="1"/>
    <n v="9"/>
    <n v="7"/>
    <n v="10"/>
    <n v="10"/>
    <n v="31"/>
    <x v="6"/>
    <n v="968.52"/>
    <n v="30024.12"/>
    <n v="23815.131984"/>
    <n v="12696.228579764538"/>
    <x v="0"/>
    <n v="20.68"/>
    <b v="1"/>
    <d v="2023-11-03T00:00:00"/>
    <x v="0"/>
    <x v="1"/>
    <n v="56"/>
    <x v="1"/>
    <s v="Credit Card"/>
    <s v="Not Returned"/>
  </r>
  <r>
    <s v="TID_1157"/>
    <x v="5"/>
    <x v="2"/>
    <x v="1"/>
    <x v="1"/>
    <x v="3"/>
    <x v="1"/>
    <n v="7"/>
    <n v="6"/>
    <n v="10"/>
    <n v="10"/>
    <n v="69"/>
    <x v="3"/>
    <n v="434.7"/>
    <n v="29994.3"/>
    <n v="29994.3"/>
    <n v="6517.0605637645385"/>
    <x v="1"/>
    <n v="16.25"/>
    <b v="0"/>
    <d v="2024-07-05T00:00:00"/>
    <x v="3"/>
    <x v="0"/>
    <n v="41"/>
    <x v="0"/>
    <s v="Credit Card"/>
    <s v="Returned"/>
  </r>
  <r>
    <s v="TID_1447"/>
    <x v="8"/>
    <x v="3"/>
    <x v="1"/>
    <x v="1"/>
    <x v="4"/>
    <x v="0"/>
    <n v="9"/>
    <n v="7"/>
    <n v="10"/>
    <n v="10"/>
    <n v="97"/>
    <x v="0"/>
    <n v="309.06"/>
    <n v="29978.82"/>
    <n v="29978.82"/>
    <n v="6532.5405637645381"/>
    <x v="0"/>
    <n v="4"/>
    <b v="0"/>
    <d v="2024-05-21T00:00:00"/>
    <x v="1"/>
    <x v="0"/>
    <n v="42"/>
    <x v="1"/>
    <s v="Debit Card"/>
    <s v="Not Returned"/>
  </r>
  <r>
    <s v="TID_1764"/>
    <x v="0"/>
    <x v="0"/>
    <x v="3"/>
    <x v="2"/>
    <x v="3"/>
    <x v="0"/>
    <n v="5"/>
    <n v="4"/>
    <n v="10"/>
    <n v="10"/>
    <n v="47"/>
    <x v="5"/>
    <n v="637.84"/>
    <n v="29978.48"/>
    <n v="27367.354392000001"/>
    <n v="9144.0061717645367"/>
    <x v="1"/>
    <n v="8.7100000000000009"/>
    <b v="1"/>
    <d v="2024-03-21T00:00:00"/>
    <x v="2"/>
    <x v="0"/>
    <n v="39"/>
    <x v="1"/>
    <s v="Online Payment"/>
    <s v="Not Returned"/>
  </r>
  <r>
    <s v="TID_539"/>
    <x v="9"/>
    <x v="4"/>
    <x v="1"/>
    <x v="0"/>
    <x v="3"/>
    <x v="3"/>
    <n v="6"/>
    <n v="13"/>
    <n v="6"/>
    <n v="9"/>
    <n v="54"/>
    <x v="4"/>
    <n v="554.64"/>
    <n v="29950.560000000001"/>
    <n v="29950.560000000001"/>
    <n v="6560.8005637645365"/>
    <x v="0"/>
    <n v="5.53"/>
    <b v="0"/>
    <d v="2024-10-20T00:00:00"/>
    <x v="0"/>
    <x v="0"/>
    <n v="50"/>
    <x v="0"/>
    <s v="Credit Card"/>
    <s v="Returned"/>
  </r>
  <r>
    <s v="TID_1423"/>
    <x v="0"/>
    <x v="0"/>
    <x v="3"/>
    <x v="0"/>
    <x v="0"/>
    <x v="3"/>
    <n v="5"/>
    <n v="4"/>
    <n v="6"/>
    <n v="9"/>
    <n v="46"/>
    <x v="5"/>
    <n v="651"/>
    <n v="29946"/>
    <n v="29068.582200000001"/>
    <n v="7442.7783637645371"/>
    <x v="1"/>
    <n v="2.93"/>
    <b v="1"/>
    <d v="2023-02-24T00:00:00"/>
    <x v="2"/>
    <x v="1"/>
    <n v="21"/>
    <x v="1"/>
    <s v="Cash"/>
    <s v="Not Returned"/>
  </r>
  <r>
    <s v="TID_1852"/>
    <x v="5"/>
    <x v="2"/>
    <x v="3"/>
    <x v="1"/>
    <x v="1"/>
    <x v="1"/>
    <n v="7"/>
    <n v="6"/>
    <n v="10"/>
    <n v="10"/>
    <n v="48"/>
    <x v="5"/>
    <n v="619.41"/>
    <n v="29731.68"/>
    <n v="29731.68"/>
    <n v="6779.6805637645375"/>
    <x v="1"/>
    <n v="16.46"/>
    <b v="0"/>
    <d v="2023-01-30T00:00:00"/>
    <x v="2"/>
    <x v="1"/>
    <n v="54"/>
    <x v="2"/>
    <s v="Cash"/>
    <s v="Returned"/>
  </r>
  <r>
    <s v="TID_475"/>
    <x v="6"/>
    <x v="1"/>
    <x v="0"/>
    <x v="0"/>
    <x v="1"/>
    <x v="3"/>
    <n v="6"/>
    <n v="13"/>
    <n v="6"/>
    <n v="9"/>
    <n v="25"/>
    <x v="6"/>
    <n v="1187.58"/>
    <n v="29689.5"/>
    <n v="28582.08165"/>
    <n v="7929.2789137645377"/>
    <x v="1"/>
    <n v="3.73"/>
    <b v="1"/>
    <d v="2023-06-30T00:00:00"/>
    <x v="1"/>
    <x v="1"/>
    <n v="30"/>
    <x v="1"/>
    <s v="Debit Card"/>
    <s v="Not Returned"/>
  </r>
  <r>
    <s v="TID_1310"/>
    <x v="7"/>
    <x v="2"/>
    <x v="1"/>
    <x v="2"/>
    <x v="1"/>
    <x v="2"/>
    <n v="2"/>
    <n v="6"/>
    <n v="10"/>
    <n v="10"/>
    <n v="33"/>
    <x v="6"/>
    <n v="898.24"/>
    <n v="29641.919999999998"/>
    <n v="26310.168191999997"/>
    <n v="10201.19237176454"/>
    <x v="1"/>
    <n v="11.24"/>
    <b v="1"/>
    <d v="2023-10-30T00:00:00"/>
    <x v="0"/>
    <x v="1"/>
    <n v="67"/>
    <x v="0"/>
    <s v="Credit Card"/>
    <s v="Not Returned"/>
  </r>
  <r>
    <s v="TID_432"/>
    <x v="9"/>
    <x v="4"/>
    <x v="3"/>
    <x v="2"/>
    <x v="2"/>
    <x v="2"/>
    <n v="6"/>
    <n v="13"/>
    <n v="10"/>
    <n v="10"/>
    <n v="48"/>
    <x v="5"/>
    <n v="616.59"/>
    <n v="29596.32"/>
    <n v="29596.32"/>
    <n v="6915.0405637645381"/>
    <x v="0"/>
    <n v="6.43"/>
    <b v="0"/>
    <d v="2024-09-02T00:00:00"/>
    <x v="3"/>
    <x v="0"/>
    <n v="63"/>
    <x v="2"/>
    <s v="Cash"/>
    <s v="Returned"/>
  </r>
  <r>
    <s v="TID_85"/>
    <x v="1"/>
    <x v="0"/>
    <x v="0"/>
    <x v="0"/>
    <x v="1"/>
    <x v="0"/>
    <n v="5"/>
    <n v="4"/>
    <n v="6"/>
    <n v="10"/>
    <n v="25"/>
    <x v="6"/>
    <n v="1183.45"/>
    <n v="29586.25"/>
    <n v="29586.25"/>
    <n v="6925.1105637645378"/>
    <x v="1"/>
    <n v="11.13"/>
    <b v="0"/>
    <d v="2024-08-14T00:00:00"/>
    <x v="3"/>
    <x v="0"/>
    <n v="57"/>
    <x v="2"/>
    <s v="Cash"/>
    <s v="Not Returned"/>
  </r>
  <r>
    <s v="TID_1988"/>
    <x v="4"/>
    <x v="2"/>
    <x v="0"/>
    <x v="1"/>
    <x v="4"/>
    <x v="0"/>
    <n v="6"/>
    <n v="6"/>
    <n v="10"/>
    <n v="10"/>
    <n v="44"/>
    <x v="5"/>
    <n v="672.33"/>
    <n v="29582.52"/>
    <n v="29582.52"/>
    <n v="6928.8405637645374"/>
    <x v="0"/>
    <n v="26.92"/>
    <b v="0"/>
    <d v="2024-09-02T00:00:00"/>
    <x v="3"/>
    <x v="0"/>
    <n v="21"/>
    <x v="0"/>
    <s v="Debit Card"/>
    <s v="Returned"/>
  </r>
  <r>
    <s v="TID_1239"/>
    <x v="1"/>
    <x v="0"/>
    <x v="3"/>
    <x v="0"/>
    <x v="0"/>
    <x v="2"/>
    <n v="5"/>
    <n v="4"/>
    <n v="6"/>
    <n v="10"/>
    <n v="52"/>
    <x v="4"/>
    <n v="568.79"/>
    <n v="29577.08"/>
    <n v="29577.08"/>
    <n v="6934.2805637645361"/>
    <x v="0"/>
    <n v="17.46"/>
    <b v="0"/>
    <d v="2023-05-02T00:00:00"/>
    <x v="1"/>
    <x v="1"/>
    <n v="54"/>
    <x v="2"/>
    <s v="Cash"/>
    <s v="Not Returned"/>
  </r>
  <r>
    <s v="TID_1597"/>
    <x v="8"/>
    <x v="3"/>
    <x v="3"/>
    <x v="1"/>
    <x v="3"/>
    <x v="1"/>
    <n v="9"/>
    <n v="7"/>
    <n v="10"/>
    <n v="10"/>
    <n v="60"/>
    <x v="4"/>
    <n v="492.72"/>
    <n v="29563.200000000001"/>
    <n v="22397.080320000001"/>
    <n v="14114.280243764537"/>
    <x v="1"/>
    <n v="24.24"/>
    <b v="1"/>
    <d v="2023-12-23T00:00:00"/>
    <x v="0"/>
    <x v="1"/>
    <n v="50"/>
    <x v="2"/>
    <s v="Credit Card"/>
    <s v="Not Returned"/>
  </r>
  <r>
    <s v="TID_1716"/>
    <x v="4"/>
    <x v="2"/>
    <x v="2"/>
    <x v="1"/>
    <x v="3"/>
    <x v="1"/>
    <n v="6"/>
    <n v="6"/>
    <n v="10"/>
    <n v="10"/>
    <n v="77"/>
    <x v="3"/>
    <n v="379.7"/>
    <n v="29236.9"/>
    <n v="24240.31379"/>
    <n v="12271.046773764538"/>
    <x v="1"/>
    <n v="17.09"/>
    <b v="1"/>
    <d v="2024-09-17T00:00:00"/>
    <x v="3"/>
    <x v="0"/>
    <n v="46"/>
    <x v="0"/>
    <s v="Debit Card"/>
    <s v="Returned"/>
  </r>
  <r>
    <s v="TID_320"/>
    <x v="6"/>
    <x v="1"/>
    <x v="3"/>
    <x v="1"/>
    <x v="1"/>
    <x v="0"/>
    <n v="6"/>
    <n v="13"/>
    <n v="10"/>
    <n v="10"/>
    <n v="31"/>
    <x v="6"/>
    <n v="942.8"/>
    <n v="29226.799999999999"/>
    <n v="29226.799999999999"/>
    <n v="7284.5605637645385"/>
    <x v="0"/>
    <n v="20.12"/>
    <b v="0"/>
    <d v="2023-05-27T00:00:00"/>
    <x v="1"/>
    <x v="1"/>
    <n v="36"/>
    <x v="0"/>
    <s v="Debit Card"/>
    <s v="Not Returned"/>
  </r>
  <r>
    <s v="TID_1773"/>
    <x v="5"/>
    <x v="2"/>
    <x v="1"/>
    <x v="1"/>
    <x v="2"/>
    <x v="3"/>
    <n v="7"/>
    <n v="6"/>
    <n v="10"/>
    <n v="9"/>
    <n v="29"/>
    <x v="6"/>
    <n v="1006.71"/>
    <n v="29194.59"/>
    <n v="24794.965286999999"/>
    <n v="11716.395276764539"/>
    <x v="1"/>
    <n v="15.07"/>
    <b v="1"/>
    <d v="2023-09-18T00:00:00"/>
    <x v="3"/>
    <x v="1"/>
    <n v="63"/>
    <x v="0"/>
    <s v="Online Payment"/>
    <s v="Returned"/>
  </r>
  <r>
    <s v="TID_1928"/>
    <x v="3"/>
    <x v="0"/>
    <x v="2"/>
    <x v="0"/>
    <x v="0"/>
    <x v="1"/>
    <n v="5"/>
    <n v="4"/>
    <n v="6"/>
    <n v="10"/>
    <n v="29"/>
    <x v="6"/>
    <n v="1006.1"/>
    <n v="29176.9"/>
    <n v="29176.9"/>
    <n v="7334.4605637645363"/>
    <x v="1"/>
    <n v="11.78"/>
    <b v="0"/>
    <d v="2024-10-19T00:00:00"/>
    <x v="0"/>
    <x v="0"/>
    <n v="20"/>
    <x v="0"/>
    <s v="Debit Card"/>
    <s v="Not Returned"/>
  </r>
  <r>
    <s v="TID_245"/>
    <x v="8"/>
    <x v="3"/>
    <x v="1"/>
    <x v="2"/>
    <x v="2"/>
    <x v="2"/>
    <n v="9"/>
    <n v="7"/>
    <n v="10"/>
    <n v="10"/>
    <n v="43"/>
    <x v="5"/>
    <n v="678.52"/>
    <n v="29176.36"/>
    <n v="29176.36"/>
    <n v="7335.0005637645372"/>
    <x v="0"/>
    <n v="4.99"/>
    <b v="0"/>
    <d v="2023-05-12T00:00:00"/>
    <x v="1"/>
    <x v="1"/>
    <n v="60"/>
    <x v="0"/>
    <s v="Cash"/>
    <s v="Returned"/>
  </r>
  <r>
    <s v="TID_115"/>
    <x v="2"/>
    <x v="1"/>
    <x v="0"/>
    <x v="0"/>
    <x v="1"/>
    <x v="0"/>
    <n v="3"/>
    <n v="13"/>
    <n v="6"/>
    <n v="10"/>
    <n v="56"/>
    <x v="4"/>
    <n v="520"/>
    <n v="29120"/>
    <n v="23613.407999999999"/>
    <n v="12897.952563764538"/>
    <x v="1"/>
    <n v="18.91"/>
    <b v="1"/>
    <d v="2024-07-22T00:00:00"/>
    <x v="3"/>
    <x v="0"/>
    <n v="62"/>
    <x v="0"/>
    <s v="Credit Card"/>
    <s v="Not Returned"/>
  </r>
  <r>
    <s v="TID_364"/>
    <x v="8"/>
    <x v="3"/>
    <x v="2"/>
    <x v="0"/>
    <x v="2"/>
    <x v="3"/>
    <n v="9"/>
    <n v="7"/>
    <n v="6"/>
    <n v="9"/>
    <n v="61"/>
    <x v="3"/>
    <n v="477.34"/>
    <n v="29117.74"/>
    <n v="21849.952096000001"/>
    <n v="14661.408467764537"/>
    <x v="1"/>
    <n v="24.96"/>
    <b v="1"/>
    <d v="2023-12-08T00:00:00"/>
    <x v="0"/>
    <x v="1"/>
    <n v="57"/>
    <x v="2"/>
    <s v="Cash"/>
    <s v="Not Returned"/>
  </r>
  <r>
    <s v="TID_1380"/>
    <x v="3"/>
    <x v="0"/>
    <x v="3"/>
    <x v="0"/>
    <x v="2"/>
    <x v="2"/>
    <n v="5"/>
    <n v="4"/>
    <n v="6"/>
    <n v="10"/>
    <n v="35"/>
    <x v="6"/>
    <n v="829.77"/>
    <n v="29041.95"/>
    <n v="29041.95"/>
    <n v="7469.4105637645371"/>
    <x v="0"/>
    <n v="9.66"/>
    <b v="0"/>
    <d v="2023-09-17T00:00:00"/>
    <x v="3"/>
    <x v="1"/>
    <n v="64"/>
    <x v="1"/>
    <s v="Online Payment"/>
    <s v="Not Returned"/>
  </r>
  <r>
    <s v="TID_1360"/>
    <x v="2"/>
    <x v="1"/>
    <x v="0"/>
    <x v="1"/>
    <x v="2"/>
    <x v="2"/>
    <n v="3"/>
    <n v="13"/>
    <n v="10"/>
    <n v="10"/>
    <n v="32"/>
    <x v="6"/>
    <n v="905.95"/>
    <n v="28990.400000000001"/>
    <n v="28143.88032"/>
    <n v="8367.4802437645376"/>
    <x v="1"/>
    <n v="2.92"/>
    <b v="1"/>
    <d v="2023-04-30T00:00:00"/>
    <x v="1"/>
    <x v="1"/>
    <n v="57"/>
    <x v="0"/>
    <s v="Debit Card"/>
    <s v="Not Returned"/>
  </r>
  <r>
    <s v="TID_39"/>
    <x v="6"/>
    <x v="1"/>
    <x v="0"/>
    <x v="0"/>
    <x v="0"/>
    <x v="3"/>
    <n v="6"/>
    <n v="13"/>
    <n v="6"/>
    <n v="9"/>
    <n v="33"/>
    <x v="6"/>
    <n v="877.94"/>
    <n v="28972.02"/>
    <n v="28972.02"/>
    <n v="7539.3405637645374"/>
    <x v="0"/>
    <n v="26.63"/>
    <b v="0"/>
    <d v="2024-01-08T00:00:00"/>
    <x v="2"/>
    <x v="0"/>
    <n v="37"/>
    <x v="2"/>
    <s v="Debit Card"/>
    <s v="Returned"/>
  </r>
  <r>
    <s v="TID_1775"/>
    <x v="6"/>
    <x v="1"/>
    <x v="0"/>
    <x v="0"/>
    <x v="4"/>
    <x v="3"/>
    <n v="6"/>
    <n v="13"/>
    <n v="6"/>
    <n v="9"/>
    <n v="77"/>
    <x v="3"/>
    <n v="375.76"/>
    <n v="28933.52"/>
    <n v="22597.079120000002"/>
    <n v="13914.281443764536"/>
    <x v="1"/>
    <n v="21.9"/>
    <b v="1"/>
    <d v="2023-12-06T00:00:00"/>
    <x v="0"/>
    <x v="1"/>
    <n v="46"/>
    <x v="1"/>
    <s v="Cash"/>
    <s v="Returned"/>
  </r>
  <r>
    <s v="TID_955"/>
    <x v="5"/>
    <x v="2"/>
    <x v="3"/>
    <x v="0"/>
    <x v="1"/>
    <x v="3"/>
    <n v="7"/>
    <n v="6"/>
    <n v="6"/>
    <n v="9"/>
    <n v="38"/>
    <x v="6"/>
    <n v="761.15"/>
    <n v="28923.7"/>
    <n v="24047.16418"/>
    <n v="12464.196383764538"/>
    <x v="1"/>
    <n v="16.86"/>
    <b v="1"/>
    <d v="2024-02-28T00:00:00"/>
    <x v="2"/>
    <x v="0"/>
    <n v="48"/>
    <x v="0"/>
    <s v="Cash"/>
    <s v="Returned"/>
  </r>
  <r>
    <s v="TID_1479"/>
    <x v="9"/>
    <x v="4"/>
    <x v="2"/>
    <x v="0"/>
    <x v="0"/>
    <x v="2"/>
    <n v="6"/>
    <n v="13"/>
    <n v="6"/>
    <n v="10"/>
    <n v="30"/>
    <x v="6"/>
    <n v="963.38"/>
    <n v="28901.4"/>
    <n v="24517.057620000003"/>
    <n v="11994.302943764535"/>
    <x v="0"/>
    <n v="15.17"/>
    <b v="1"/>
    <d v="2024-06-17T00:00:00"/>
    <x v="1"/>
    <x v="0"/>
    <n v="26"/>
    <x v="1"/>
    <s v="Credit Card"/>
    <s v="Returned"/>
  </r>
  <r>
    <s v="TID_411"/>
    <x v="8"/>
    <x v="3"/>
    <x v="3"/>
    <x v="1"/>
    <x v="3"/>
    <x v="0"/>
    <n v="9"/>
    <n v="7"/>
    <n v="10"/>
    <n v="10"/>
    <n v="25"/>
    <x v="6"/>
    <n v="1154.1199999999999"/>
    <n v="28853"/>
    <n v="28853"/>
    <n v="7658.3605637645378"/>
    <x v="1"/>
    <n v="5.01"/>
    <b v="0"/>
    <d v="2024-03-13T00:00:00"/>
    <x v="2"/>
    <x v="0"/>
    <n v="53"/>
    <x v="2"/>
    <s v="Debit Card"/>
    <s v="Returned"/>
  </r>
  <r>
    <s v="TID_872"/>
    <x v="2"/>
    <x v="1"/>
    <x v="2"/>
    <x v="1"/>
    <x v="0"/>
    <x v="0"/>
    <n v="3"/>
    <n v="13"/>
    <n v="10"/>
    <n v="10"/>
    <n v="31"/>
    <x v="6"/>
    <n v="928.99"/>
    <n v="28798.69"/>
    <n v="28798.69"/>
    <n v="7712.6705637645391"/>
    <x v="1"/>
    <n v="5.23"/>
    <b v="0"/>
    <d v="2024-09-01T00:00:00"/>
    <x v="3"/>
    <x v="0"/>
    <n v="29"/>
    <x v="2"/>
    <s v="Debit Card"/>
    <s v="Not Returned"/>
  </r>
  <r>
    <s v="TID_1094"/>
    <x v="6"/>
    <x v="1"/>
    <x v="2"/>
    <x v="1"/>
    <x v="3"/>
    <x v="2"/>
    <n v="6"/>
    <n v="13"/>
    <n v="10"/>
    <n v="10"/>
    <n v="86"/>
    <x v="2"/>
    <n v="333.78"/>
    <n v="28705.08"/>
    <n v="28705.08"/>
    <n v="7806.2805637645361"/>
    <x v="0"/>
    <n v="7.42"/>
    <b v="0"/>
    <d v="2023-01-27T00:00:00"/>
    <x v="2"/>
    <x v="1"/>
    <n v="51"/>
    <x v="1"/>
    <s v="Debit Card"/>
    <s v="Not Returned"/>
  </r>
  <r>
    <s v="TID_709"/>
    <x v="6"/>
    <x v="1"/>
    <x v="3"/>
    <x v="1"/>
    <x v="4"/>
    <x v="3"/>
    <n v="6"/>
    <n v="13"/>
    <n v="10"/>
    <n v="9"/>
    <n v="27"/>
    <x v="6"/>
    <n v="1061.5899999999999"/>
    <n v="28662.93"/>
    <n v="24013.802754"/>
    <n v="12497.557809764538"/>
    <x v="0"/>
    <n v="16.22"/>
    <b v="1"/>
    <d v="2024-06-23T00:00:00"/>
    <x v="1"/>
    <x v="0"/>
    <n v="40"/>
    <x v="0"/>
    <s v="Debit Card"/>
    <s v="Returned"/>
  </r>
  <r>
    <s v="TID_1488"/>
    <x v="0"/>
    <x v="0"/>
    <x v="1"/>
    <x v="1"/>
    <x v="3"/>
    <x v="1"/>
    <n v="5"/>
    <n v="4"/>
    <n v="10"/>
    <n v="10"/>
    <n v="92"/>
    <x v="1"/>
    <n v="310.27999999999997"/>
    <n v="28545.759999999998"/>
    <n v="28545.759999999998"/>
    <n v="7965.6005637645394"/>
    <x v="0"/>
    <n v="2.34"/>
    <b v="0"/>
    <d v="2024-10-10T00:00:00"/>
    <x v="0"/>
    <x v="0"/>
    <n v="69"/>
    <x v="2"/>
    <s v="Debit Card"/>
    <s v="Not Returned"/>
  </r>
  <r>
    <s v="TID_1931"/>
    <x v="3"/>
    <x v="0"/>
    <x v="2"/>
    <x v="2"/>
    <x v="3"/>
    <x v="3"/>
    <n v="5"/>
    <n v="4"/>
    <n v="10"/>
    <n v="9"/>
    <n v="29"/>
    <x v="6"/>
    <n v="981.52"/>
    <n v="28464.080000000002"/>
    <n v="28464.080000000002"/>
    <n v="8047.2805637645361"/>
    <x v="1"/>
    <n v="21.51"/>
    <b v="0"/>
    <d v="2023-11-04T00:00:00"/>
    <x v="0"/>
    <x v="1"/>
    <n v="31"/>
    <x v="2"/>
    <s v="Credit Card"/>
    <s v="Returned"/>
  </r>
  <r>
    <s v="TID_696"/>
    <x v="3"/>
    <x v="0"/>
    <x v="3"/>
    <x v="0"/>
    <x v="0"/>
    <x v="0"/>
    <n v="5"/>
    <n v="4"/>
    <n v="6"/>
    <n v="10"/>
    <n v="22"/>
    <x v="6"/>
    <n v="1292.93"/>
    <n v="28444.46"/>
    <n v="28444.46"/>
    <n v="8066.9005637645387"/>
    <x v="1"/>
    <n v="3.38"/>
    <b v="0"/>
    <d v="2024-06-20T00:00:00"/>
    <x v="1"/>
    <x v="0"/>
    <n v="63"/>
    <x v="2"/>
    <s v="Debit Card"/>
    <s v="Not Returned"/>
  </r>
  <r>
    <s v="TID_729"/>
    <x v="6"/>
    <x v="1"/>
    <x v="3"/>
    <x v="1"/>
    <x v="1"/>
    <x v="2"/>
    <n v="6"/>
    <n v="13"/>
    <n v="10"/>
    <n v="10"/>
    <n v="23"/>
    <x v="6"/>
    <n v="1232.99"/>
    <n v="28358.77"/>
    <n v="20925.936383"/>
    <n v="15585.424180764538"/>
    <x v="1"/>
    <n v="26.21"/>
    <b v="1"/>
    <d v="2024-06-05T00:00:00"/>
    <x v="1"/>
    <x v="0"/>
    <n v="65"/>
    <x v="1"/>
    <s v="Credit Card"/>
    <s v="Not Returned"/>
  </r>
  <r>
    <s v="TID_272"/>
    <x v="1"/>
    <x v="0"/>
    <x v="2"/>
    <x v="2"/>
    <x v="0"/>
    <x v="2"/>
    <n v="5"/>
    <n v="4"/>
    <n v="10"/>
    <n v="10"/>
    <n v="74"/>
    <x v="3"/>
    <n v="383.07"/>
    <n v="28347.18"/>
    <n v="28347.18"/>
    <n v="8164.1805637645375"/>
    <x v="1"/>
    <n v="5.33"/>
    <b v="0"/>
    <d v="2023-08-08T00:00:00"/>
    <x v="3"/>
    <x v="1"/>
    <n v="64"/>
    <x v="0"/>
    <s v="Credit Card"/>
    <s v="Returned"/>
  </r>
  <r>
    <s v="TID_1746"/>
    <x v="1"/>
    <x v="0"/>
    <x v="0"/>
    <x v="0"/>
    <x v="4"/>
    <x v="1"/>
    <n v="5"/>
    <n v="4"/>
    <n v="6"/>
    <n v="10"/>
    <n v="69"/>
    <x v="3"/>
    <n v="410.78"/>
    <n v="28343.82"/>
    <n v="28343.82"/>
    <n v="8167.5405637645381"/>
    <x v="0"/>
    <n v="29.53"/>
    <b v="0"/>
    <d v="2024-10-17T00:00:00"/>
    <x v="0"/>
    <x v="0"/>
    <n v="40"/>
    <x v="0"/>
    <s v="Debit Card"/>
    <s v="Not Returned"/>
  </r>
  <r>
    <s v="TID_1073"/>
    <x v="5"/>
    <x v="2"/>
    <x v="2"/>
    <x v="2"/>
    <x v="4"/>
    <x v="3"/>
    <n v="7"/>
    <n v="6"/>
    <n v="10"/>
    <n v="9"/>
    <n v="89"/>
    <x v="2"/>
    <n v="317.83999999999997"/>
    <n v="28287.759999999998"/>
    <n v="28287.759999999998"/>
    <n v="8223.6005637645394"/>
    <x v="0"/>
    <n v="9.74"/>
    <b v="0"/>
    <d v="2023-04-21T00:00:00"/>
    <x v="1"/>
    <x v="1"/>
    <n v="20"/>
    <x v="2"/>
    <s v="Online Payment"/>
    <s v="Not Returned"/>
  </r>
  <r>
    <s v="TID_252"/>
    <x v="5"/>
    <x v="2"/>
    <x v="3"/>
    <x v="2"/>
    <x v="0"/>
    <x v="2"/>
    <n v="7"/>
    <n v="6"/>
    <n v="10"/>
    <n v="10"/>
    <n v="80"/>
    <x v="3"/>
    <n v="353.52"/>
    <n v="28281.599999999999"/>
    <n v="21757.034879999999"/>
    <n v="14754.325683764539"/>
    <x v="0"/>
    <n v="23.07"/>
    <b v="1"/>
    <d v="2023-09-03T00:00:00"/>
    <x v="3"/>
    <x v="1"/>
    <n v="37"/>
    <x v="2"/>
    <s v="Credit Card"/>
    <s v="Returned"/>
  </r>
  <r>
    <s v="TID_1038"/>
    <x v="0"/>
    <x v="0"/>
    <x v="1"/>
    <x v="2"/>
    <x v="4"/>
    <x v="2"/>
    <n v="5"/>
    <n v="4"/>
    <n v="10"/>
    <n v="10"/>
    <n v="41"/>
    <x v="5"/>
    <n v="689.11"/>
    <n v="28253.51"/>
    <n v="24840.485991999998"/>
    <n v="11670.87457176454"/>
    <x v="1"/>
    <n v="12.08"/>
    <b v="1"/>
    <d v="2023-09-20T00:00:00"/>
    <x v="3"/>
    <x v="1"/>
    <n v="22"/>
    <x v="0"/>
    <s v="Debit Card"/>
    <s v="Not Returned"/>
  </r>
  <r>
    <s v="TID_627"/>
    <x v="5"/>
    <x v="2"/>
    <x v="1"/>
    <x v="1"/>
    <x v="2"/>
    <x v="0"/>
    <n v="7"/>
    <n v="6"/>
    <n v="10"/>
    <n v="10"/>
    <n v="66"/>
    <x v="3"/>
    <n v="427.09"/>
    <n v="28187.94"/>
    <n v="28187.94"/>
    <n v="8323.4205637645391"/>
    <x v="0"/>
    <n v="5.6"/>
    <b v="0"/>
    <d v="2024-05-25T00:00:00"/>
    <x v="1"/>
    <x v="0"/>
    <n v="60"/>
    <x v="0"/>
    <s v="Cash"/>
    <s v="Returned"/>
  </r>
  <r>
    <s v="TID_1044"/>
    <x v="0"/>
    <x v="0"/>
    <x v="2"/>
    <x v="0"/>
    <x v="0"/>
    <x v="3"/>
    <n v="5"/>
    <n v="4"/>
    <n v="6"/>
    <n v="9"/>
    <n v="71"/>
    <x v="3"/>
    <n v="396.21"/>
    <n v="28130.91"/>
    <n v="28130.91"/>
    <n v="8380.4505637645379"/>
    <x v="0"/>
    <n v="25.48"/>
    <b v="0"/>
    <d v="2023-06-23T00:00:00"/>
    <x v="1"/>
    <x v="1"/>
    <n v="39"/>
    <x v="0"/>
    <s v="Credit Card"/>
    <s v="Not Returned"/>
  </r>
  <r>
    <s v="TID_1341"/>
    <x v="3"/>
    <x v="0"/>
    <x v="3"/>
    <x v="2"/>
    <x v="1"/>
    <x v="2"/>
    <n v="5"/>
    <n v="4"/>
    <n v="10"/>
    <n v="10"/>
    <n v="55"/>
    <x v="4"/>
    <n v="511.47"/>
    <n v="28130.85"/>
    <n v="23714.306549999998"/>
    <n v="12797.05401376454"/>
    <x v="0"/>
    <n v="15.7"/>
    <b v="1"/>
    <d v="2024-05-25T00:00:00"/>
    <x v="1"/>
    <x v="0"/>
    <n v="39"/>
    <x v="2"/>
    <s v="Credit Card"/>
    <s v="Returned"/>
  </r>
  <r>
    <s v="TID_1801"/>
    <x v="6"/>
    <x v="1"/>
    <x v="2"/>
    <x v="1"/>
    <x v="3"/>
    <x v="3"/>
    <n v="6"/>
    <n v="13"/>
    <n v="10"/>
    <n v="9"/>
    <n v="97"/>
    <x v="0"/>
    <n v="289.5"/>
    <n v="28081.5"/>
    <n v="21527.277899999997"/>
    <n v="14984.08266376454"/>
    <x v="0"/>
    <n v="23.34"/>
    <b v="1"/>
    <d v="2023-09-16T00:00:00"/>
    <x v="3"/>
    <x v="1"/>
    <n v="58"/>
    <x v="2"/>
    <s v="Credit Card"/>
    <s v="Returned"/>
  </r>
  <r>
    <s v="TID_882"/>
    <x v="8"/>
    <x v="3"/>
    <x v="1"/>
    <x v="1"/>
    <x v="1"/>
    <x v="1"/>
    <n v="9"/>
    <n v="7"/>
    <n v="10"/>
    <n v="10"/>
    <n v="43"/>
    <x v="5"/>
    <n v="652.73"/>
    <n v="28067.39"/>
    <n v="20393.765574000001"/>
    <n v="16117.594989764537"/>
    <x v="1"/>
    <n v="27.34"/>
    <b v="1"/>
    <d v="2024-01-02T00:00:00"/>
    <x v="2"/>
    <x v="0"/>
    <n v="28"/>
    <x v="1"/>
    <s v="Online Payment"/>
    <s v="Returned"/>
  </r>
  <r>
    <s v="TID_560"/>
    <x v="5"/>
    <x v="2"/>
    <x v="3"/>
    <x v="0"/>
    <x v="1"/>
    <x v="1"/>
    <n v="7"/>
    <n v="6"/>
    <n v="6"/>
    <n v="10"/>
    <n v="62"/>
    <x v="3"/>
    <n v="452.15"/>
    <n v="28033.3"/>
    <n v="28033.3"/>
    <n v="8478.0605637645385"/>
    <x v="0"/>
    <n v="5.81"/>
    <b v="0"/>
    <d v="2023-12-22T00:00:00"/>
    <x v="0"/>
    <x v="1"/>
    <n v="20"/>
    <x v="2"/>
    <s v="Debit Card"/>
    <s v="Returned"/>
  </r>
  <r>
    <s v="TID_1199"/>
    <x v="2"/>
    <x v="1"/>
    <x v="3"/>
    <x v="0"/>
    <x v="0"/>
    <x v="3"/>
    <n v="3"/>
    <n v="13"/>
    <n v="6"/>
    <n v="9"/>
    <n v="24"/>
    <x v="6"/>
    <n v="1167.2"/>
    <n v="28012.799999999999"/>
    <n v="27074.371200000001"/>
    <n v="9436.9893637645364"/>
    <x v="1"/>
    <n v="3.35"/>
    <b v="1"/>
    <d v="2024-01-15T00:00:00"/>
    <x v="2"/>
    <x v="0"/>
    <n v="31"/>
    <x v="1"/>
    <s v="Online Payment"/>
    <s v="Not Returned"/>
  </r>
  <r>
    <s v="TID_1656"/>
    <x v="6"/>
    <x v="1"/>
    <x v="3"/>
    <x v="1"/>
    <x v="0"/>
    <x v="1"/>
    <n v="6"/>
    <n v="13"/>
    <n v="10"/>
    <n v="10"/>
    <n v="95"/>
    <x v="1"/>
    <n v="294.62"/>
    <n v="27988.9"/>
    <n v="19740.571170000003"/>
    <n v="16770.789393764535"/>
    <x v="0"/>
    <n v="29.47"/>
    <b v="1"/>
    <d v="2023-10-27T00:00:00"/>
    <x v="0"/>
    <x v="1"/>
    <n v="45"/>
    <x v="1"/>
    <s v="Online Payment"/>
    <s v="Not Returned"/>
  </r>
  <r>
    <s v="TID_403"/>
    <x v="3"/>
    <x v="0"/>
    <x v="3"/>
    <x v="0"/>
    <x v="4"/>
    <x v="0"/>
    <n v="5"/>
    <n v="4"/>
    <n v="6"/>
    <n v="10"/>
    <n v="20"/>
    <x v="6"/>
    <n v="1396.66"/>
    <n v="27933.200000000001"/>
    <n v="27933.200000000001"/>
    <n v="8578.1605637645371"/>
    <x v="1"/>
    <n v="10.66"/>
    <b v="0"/>
    <d v="2024-04-28T00:00:00"/>
    <x v="1"/>
    <x v="0"/>
    <n v="56"/>
    <x v="1"/>
    <s v="Debit Card"/>
    <s v="Not Returned"/>
  </r>
  <r>
    <s v="TID_1425"/>
    <x v="5"/>
    <x v="2"/>
    <x v="0"/>
    <x v="2"/>
    <x v="2"/>
    <x v="2"/>
    <n v="7"/>
    <n v="6"/>
    <n v="10"/>
    <n v="10"/>
    <n v="22"/>
    <x v="6"/>
    <n v="1269.52"/>
    <n v="27929.439999999999"/>
    <n v="27929.439999999999"/>
    <n v="8581.9205637645391"/>
    <x v="0"/>
    <n v="24.75"/>
    <b v="0"/>
    <d v="2024-06-03T00:00:00"/>
    <x v="1"/>
    <x v="0"/>
    <n v="23"/>
    <x v="1"/>
    <s v="Debit Card"/>
    <s v="Not Returned"/>
  </r>
  <r>
    <s v="TID_1892"/>
    <x v="8"/>
    <x v="3"/>
    <x v="1"/>
    <x v="1"/>
    <x v="0"/>
    <x v="2"/>
    <n v="9"/>
    <n v="7"/>
    <n v="10"/>
    <n v="10"/>
    <n v="36"/>
    <x v="6"/>
    <n v="774.97"/>
    <n v="27898.92"/>
    <n v="27898.92"/>
    <n v="8612.4405637645395"/>
    <x v="1"/>
    <n v="23.2"/>
    <b v="0"/>
    <d v="2023-02-19T00:00:00"/>
    <x v="2"/>
    <x v="1"/>
    <n v="37"/>
    <x v="1"/>
    <s v="Cash"/>
    <s v="Not Returned"/>
  </r>
  <r>
    <s v="TID_1877"/>
    <x v="2"/>
    <x v="1"/>
    <x v="1"/>
    <x v="2"/>
    <x v="2"/>
    <x v="0"/>
    <n v="3"/>
    <n v="13"/>
    <n v="10"/>
    <n v="10"/>
    <n v="24"/>
    <x v="6"/>
    <n v="1162.4100000000001"/>
    <n v="27897.84"/>
    <n v="27897.84"/>
    <n v="8613.5205637645377"/>
    <x v="0"/>
    <n v="22.71"/>
    <b v="0"/>
    <d v="2023-10-18T00:00:00"/>
    <x v="0"/>
    <x v="1"/>
    <n v="21"/>
    <x v="1"/>
    <s v="Cash"/>
    <s v="Returned"/>
  </r>
  <r>
    <s v="TID_973"/>
    <x v="8"/>
    <x v="3"/>
    <x v="3"/>
    <x v="2"/>
    <x v="0"/>
    <x v="0"/>
    <n v="9"/>
    <n v="7"/>
    <n v="10"/>
    <n v="10"/>
    <n v="51"/>
    <x v="4"/>
    <n v="545.21"/>
    <n v="27805.71"/>
    <n v="27805.71"/>
    <n v="8705.6505637645387"/>
    <x v="1"/>
    <n v="7.31"/>
    <b v="0"/>
    <d v="2024-07-08T00:00:00"/>
    <x v="3"/>
    <x v="0"/>
    <n v="27"/>
    <x v="1"/>
    <s v="Online Payment"/>
    <s v="Not Returned"/>
  </r>
  <r>
    <s v="TID_78"/>
    <x v="0"/>
    <x v="0"/>
    <x v="1"/>
    <x v="0"/>
    <x v="2"/>
    <x v="0"/>
    <n v="5"/>
    <n v="4"/>
    <n v="6"/>
    <n v="10"/>
    <n v="37"/>
    <x v="6"/>
    <n v="750.37"/>
    <n v="27763.69"/>
    <n v="27763.69"/>
    <n v="8747.6705637645391"/>
    <x v="0"/>
    <n v="1.87"/>
    <b v="0"/>
    <d v="2023-06-07T00:00:00"/>
    <x v="1"/>
    <x v="1"/>
    <n v="27"/>
    <x v="0"/>
    <s v="Cash"/>
    <s v="Returned"/>
  </r>
  <r>
    <s v="TID_155"/>
    <x v="0"/>
    <x v="0"/>
    <x v="1"/>
    <x v="2"/>
    <x v="1"/>
    <x v="3"/>
    <n v="5"/>
    <n v="4"/>
    <n v="10"/>
    <n v="9"/>
    <n v="65"/>
    <x v="3"/>
    <n v="425.86"/>
    <n v="27680.9"/>
    <n v="24644.305270000001"/>
    <n v="11867.055293764537"/>
    <x v="1"/>
    <n v="10.97"/>
    <b v="1"/>
    <d v="2023-01-30T00:00:00"/>
    <x v="2"/>
    <x v="1"/>
    <n v="65"/>
    <x v="0"/>
    <s v="Cash"/>
    <s v="Not Returned"/>
  </r>
  <r>
    <s v="TID_959"/>
    <x v="5"/>
    <x v="2"/>
    <x v="1"/>
    <x v="2"/>
    <x v="0"/>
    <x v="1"/>
    <n v="7"/>
    <n v="6"/>
    <n v="10"/>
    <n v="10"/>
    <n v="51"/>
    <x v="4"/>
    <n v="541.79"/>
    <n v="27631.29"/>
    <n v="27631.29"/>
    <n v="8880.0705637645369"/>
    <x v="0"/>
    <n v="22.12"/>
    <b v="0"/>
    <d v="2024-03-04T00:00:00"/>
    <x v="2"/>
    <x v="0"/>
    <n v="22"/>
    <x v="2"/>
    <s v="Cash"/>
    <s v="Not Returned"/>
  </r>
  <r>
    <s v="TID_253"/>
    <x v="8"/>
    <x v="3"/>
    <x v="3"/>
    <x v="2"/>
    <x v="4"/>
    <x v="0"/>
    <n v="9"/>
    <n v="7"/>
    <n v="10"/>
    <n v="10"/>
    <n v="69"/>
    <x v="3"/>
    <n v="399.27"/>
    <n v="27549.63"/>
    <n v="21609.929772"/>
    <n v="14901.430791764538"/>
    <x v="1"/>
    <n v="21.56"/>
    <b v="1"/>
    <d v="2024-07-21T00:00:00"/>
    <x v="3"/>
    <x v="0"/>
    <n v="23"/>
    <x v="0"/>
    <s v="Online Payment"/>
    <s v="Returned"/>
  </r>
  <r>
    <s v="TID_974"/>
    <x v="8"/>
    <x v="3"/>
    <x v="1"/>
    <x v="1"/>
    <x v="4"/>
    <x v="2"/>
    <n v="9"/>
    <n v="7"/>
    <n v="10"/>
    <n v="10"/>
    <n v="19"/>
    <x v="6"/>
    <n v="1448.7"/>
    <n v="27525.3"/>
    <n v="27525.3"/>
    <n v="8986.0605637645385"/>
    <x v="1"/>
    <n v="28.71"/>
    <b v="0"/>
    <d v="2024-09-23T00:00:00"/>
    <x v="3"/>
    <x v="0"/>
    <n v="66"/>
    <x v="1"/>
    <s v="Cash"/>
    <s v="Returned"/>
  </r>
  <r>
    <s v="TID_1062"/>
    <x v="2"/>
    <x v="1"/>
    <x v="0"/>
    <x v="1"/>
    <x v="1"/>
    <x v="0"/>
    <n v="3"/>
    <n v="13"/>
    <n v="10"/>
    <n v="10"/>
    <n v="93"/>
    <x v="1"/>
    <n v="295.87"/>
    <n v="27515.91"/>
    <n v="20166.410438999999"/>
    <n v="16344.950124764538"/>
    <x v="1"/>
    <n v="26.71"/>
    <b v="1"/>
    <d v="2024-05-27T00:00:00"/>
    <x v="1"/>
    <x v="0"/>
    <n v="46"/>
    <x v="2"/>
    <s v="Debit Card"/>
    <s v="Returned"/>
  </r>
  <r>
    <s v="TID_1956"/>
    <x v="9"/>
    <x v="4"/>
    <x v="3"/>
    <x v="1"/>
    <x v="2"/>
    <x v="3"/>
    <n v="6"/>
    <n v="13"/>
    <n v="10"/>
    <n v="9"/>
    <n v="86"/>
    <x v="2"/>
    <n v="318.55"/>
    <n v="27395.3"/>
    <n v="27395.3"/>
    <n v="9116.0605637645385"/>
    <x v="0"/>
    <n v="25.55"/>
    <b v="0"/>
    <d v="2024-05-20T00:00:00"/>
    <x v="1"/>
    <x v="0"/>
    <n v="65"/>
    <x v="0"/>
    <s v="Debit Card"/>
    <s v="Not Returned"/>
  </r>
  <r>
    <s v="TID_1055"/>
    <x v="0"/>
    <x v="0"/>
    <x v="2"/>
    <x v="1"/>
    <x v="3"/>
    <x v="2"/>
    <n v="5"/>
    <n v="4"/>
    <n v="10"/>
    <n v="10"/>
    <n v="73"/>
    <x v="3"/>
    <n v="375.17"/>
    <n v="27387.41"/>
    <n v="27387.41"/>
    <n v="9123.9505637645379"/>
    <x v="0"/>
    <n v="2.21"/>
    <b v="0"/>
    <d v="2023-10-14T00:00:00"/>
    <x v="0"/>
    <x v="1"/>
    <n v="62"/>
    <x v="0"/>
    <s v="Online Payment"/>
    <s v="Not Returned"/>
  </r>
  <r>
    <s v="TID_495"/>
    <x v="4"/>
    <x v="2"/>
    <x v="1"/>
    <x v="1"/>
    <x v="3"/>
    <x v="0"/>
    <n v="6"/>
    <n v="6"/>
    <n v="10"/>
    <n v="10"/>
    <n v="28"/>
    <x v="6"/>
    <n v="977.94"/>
    <n v="27382.32"/>
    <n v="27382.32"/>
    <n v="9129.0405637645381"/>
    <x v="0"/>
    <n v="1.23"/>
    <b v="0"/>
    <d v="2024-03-11T00:00:00"/>
    <x v="2"/>
    <x v="0"/>
    <n v="37"/>
    <x v="0"/>
    <s v="Cash"/>
    <s v="Not Returned"/>
  </r>
  <r>
    <s v="TID_867"/>
    <x v="9"/>
    <x v="4"/>
    <x v="2"/>
    <x v="0"/>
    <x v="4"/>
    <x v="3"/>
    <n v="6"/>
    <n v="13"/>
    <n v="6"/>
    <n v="9"/>
    <n v="44"/>
    <x v="5"/>
    <n v="622.26"/>
    <n v="27379.439999999999"/>
    <n v="27379.439999999999"/>
    <n v="9131.9205637645391"/>
    <x v="0"/>
    <n v="5.34"/>
    <b v="0"/>
    <d v="2023-01-03T00:00:00"/>
    <x v="2"/>
    <x v="1"/>
    <n v="59"/>
    <x v="2"/>
    <s v="Credit Card"/>
    <s v="Returned"/>
  </r>
  <r>
    <s v="TID_1333"/>
    <x v="2"/>
    <x v="1"/>
    <x v="3"/>
    <x v="1"/>
    <x v="0"/>
    <x v="1"/>
    <n v="3"/>
    <n v="13"/>
    <n v="10"/>
    <n v="10"/>
    <n v="23"/>
    <x v="6"/>
    <n v="1187.53"/>
    <n v="27313.19"/>
    <n v="20138.014987000002"/>
    <n v="16373.345576764536"/>
    <x v="1"/>
    <n v="26.27"/>
    <b v="1"/>
    <d v="2024-03-04T00:00:00"/>
    <x v="2"/>
    <x v="0"/>
    <n v="50"/>
    <x v="1"/>
    <s v="Credit Card"/>
    <s v="Not Returned"/>
  </r>
  <r>
    <s v="TID_1314"/>
    <x v="6"/>
    <x v="1"/>
    <x v="1"/>
    <x v="2"/>
    <x v="1"/>
    <x v="0"/>
    <n v="6"/>
    <n v="13"/>
    <n v="10"/>
    <n v="10"/>
    <n v="33"/>
    <x v="6"/>
    <n v="825.92"/>
    <n v="27255.360000000001"/>
    <n v="27255.360000000001"/>
    <n v="9256.0005637645372"/>
    <x v="0"/>
    <n v="17.95"/>
    <b v="0"/>
    <d v="2023-10-24T00:00:00"/>
    <x v="0"/>
    <x v="1"/>
    <n v="58"/>
    <x v="2"/>
    <s v="Credit Card"/>
    <s v="Not Returned"/>
  </r>
  <r>
    <s v="TID_1649"/>
    <x v="8"/>
    <x v="3"/>
    <x v="2"/>
    <x v="1"/>
    <x v="4"/>
    <x v="0"/>
    <n v="9"/>
    <n v="7"/>
    <n v="10"/>
    <n v="10"/>
    <n v="25"/>
    <x v="6"/>
    <n v="1087.57"/>
    <n v="27189.25"/>
    <n v="26400.761749999998"/>
    <n v="10110.59881376454"/>
    <x v="0"/>
    <n v="2.9"/>
    <b v="1"/>
    <d v="2024-01-22T00:00:00"/>
    <x v="2"/>
    <x v="0"/>
    <n v="23"/>
    <x v="1"/>
    <s v="Credit Card"/>
    <s v="Not Returned"/>
  </r>
  <r>
    <s v="TID_990"/>
    <x v="9"/>
    <x v="4"/>
    <x v="2"/>
    <x v="1"/>
    <x v="2"/>
    <x v="3"/>
    <n v="6"/>
    <n v="13"/>
    <n v="10"/>
    <n v="9"/>
    <n v="74"/>
    <x v="3"/>
    <n v="367.25"/>
    <n v="27176.5"/>
    <n v="27176.5"/>
    <n v="9334.8605637645378"/>
    <x v="1"/>
    <n v="8.6300000000000008"/>
    <b v="0"/>
    <d v="2024-01-15T00:00:00"/>
    <x v="2"/>
    <x v="0"/>
    <n v="46"/>
    <x v="0"/>
    <s v="Debit Card"/>
    <s v="Returned"/>
  </r>
  <r>
    <s v="TID_446"/>
    <x v="6"/>
    <x v="1"/>
    <x v="3"/>
    <x v="0"/>
    <x v="4"/>
    <x v="3"/>
    <n v="6"/>
    <n v="13"/>
    <n v="6"/>
    <n v="9"/>
    <n v="20"/>
    <x v="6"/>
    <n v="1357.18"/>
    <n v="27143.599999999999"/>
    <n v="19632.96588"/>
    <n v="16878.394683764538"/>
    <x v="1"/>
    <n v="27.67"/>
    <b v="1"/>
    <d v="2024-03-25T00:00:00"/>
    <x v="2"/>
    <x v="0"/>
    <n v="32"/>
    <x v="2"/>
    <s v="Cash"/>
    <s v="Not Returned"/>
  </r>
  <r>
    <s v="TID_1535"/>
    <x v="3"/>
    <x v="0"/>
    <x v="0"/>
    <x v="2"/>
    <x v="2"/>
    <x v="0"/>
    <n v="5"/>
    <n v="4"/>
    <n v="10"/>
    <n v="10"/>
    <n v="71"/>
    <x v="3"/>
    <n v="381.19"/>
    <n v="27064.49"/>
    <n v="27064.49"/>
    <n v="9446.8705637645362"/>
    <x v="0"/>
    <n v="12.01"/>
    <b v="0"/>
    <d v="2023-12-18T00:00:00"/>
    <x v="0"/>
    <x v="1"/>
    <n v="63"/>
    <x v="0"/>
    <s v="Credit Card"/>
    <s v="Not Returned"/>
  </r>
  <r>
    <s v="TID_897"/>
    <x v="0"/>
    <x v="0"/>
    <x v="0"/>
    <x v="2"/>
    <x v="2"/>
    <x v="2"/>
    <n v="5"/>
    <n v="4"/>
    <n v="10"/>
    <n v="10"/>
    <n v="24"/>
    <x v="6"/>
    <n v="1126.95"/>
    <n v="27046.799999999999"/>
    <n v="27046.799999999999"/>
    <n v="9464.5605637645385"/>
    <x v="1"/>
    <n v="7.38"/>
    <b v="0"/>
    <d v="2024-07-30T00:00:00"/>
    <x v="3"/>
    <x v="0"/>
    <n v="47"/>
    <x v="1"/>
    <s v="Credit Card"/>
    <s v="Not Returned"/>
  </r>
  <r>
    <s v="TID_700"/>
    <x v="7"/>
    <x v="2"/>
    <x v="3"/>
    <x v="1"/>
    <x v="4"/>
    <x v="3"/>
    <n v="2"/>
    <n v="6"/>
    <n v="10"/>
    <n v="9"/>
    <n v="36"/>
    <x v="6"/>
    <n v="750.92"/>
    <n v="27033.119999999999"/>
    <n v="27033.119999999999"/>
    <n v="9478.2405637645388"/>
    <x v="0"/>
    <n v="7.6"/>
    <b v="0"/>
    <d v="2024-04-22T00:00:00"/>
    <x v="1"/>
    <x v="0"/>
    <n v="55"/>
    <x v="2"/>
    <s v="Cash"/>
    <s v="Not Returned"/>
  </r>
  <r>
    <s v="TID_141"/>
    <x v="9"/>
    <x v="4"/>
    <x v="2"/>
    <x v="0"/>
    <x v="3"/>
    <x v="1"/>
    <n v="6"/>
    <n v="13"/>
    <n v="6"/>
    <n v="10"/>
    <n v="18"/>
    <x v="6"/>
    <n v="1499.62"/>
    <n v="26993.16"/>
    <n v="25532.830043999998"/>
    <n v="10978.530519764539"/>
    <x v="0"/>
    <n v="5.41"/>
    <b v="1"/>
    <d v="2023-12-20T00:00:00"/>
    <x v="0"/>
    <x v="1"/>
    <n v="69"/>
    <x v="0"/>
    <s v="Debit Card"/>
    <s v="Not Returned"/>
  </r>
  <r>
    <s v="TID_162"/>
    <x v="1"/>
    <x v="0"/>
    <x v="3"/>
    <x v="0"/>
    <x v="3"/>
    <x v="0"/>
    <n v="5"/>
    <n v="4"/>
    <n v="6"/>
    <n v="10"/>
    <n v="61"/>
    <x v="3"/>
    <n v="442.26"/>
    <n v="26977.86"/>
    <n v="20044.54998"/>
    <n v="16466.810583764538"/>
    <x v="0"/>
    <n v="25.7"/>
    <b v="1"/>
    <d v="2024-08-12T00:00:00"/>
    <x v="3"/>
    <x v="0"/>
    <n v="30"/>
    <x v="0"/>
    <s v="Online Payment"/>
    <s v="Not Returned"/>
  </r>
  <r>
    <s v="TID_1009"/>
    <x v="9"/>
    <x v="4"/>
    <x v="1"/>
    <x v="2"/>
    <x v="4"/>
    <x v="1"/>
    <n v="6"/>
    <n v="13"/>
    <n v="10"/>
    <n v="10"/>
    <n v="41"/>
    <x v="5"/>
    <n v="654.21"/>
    <n v="26822.61"/>
    <n v="25130.103309000002"/>
    <n v="11381.257254764536"/>
    <x v="1"/>
    <n v="6.31"/>
    <b v="1"/>
    <d v="2024-09-01T00:00:00"/>
    <x v="3"/>
    <x v="0"/>
    <n v="22"/>
    <x v="1"/>
    <s v="Credit Card"/>
    <s v="Not Returned"/>
  </r>
  <r>
    <s v="TID_1323"/>
    <x v="7"/>
    <x v="2"/>
    <x v="1"/>
    <x v="0"/>
    <x v="4"/>
    <x v="1"/>
    <n v="2"/>
    <n v="6"/>
    <n v="6"/>
    <n v="10"/>
    <n v="19"/>
    <x v="6"/>
    <n v="1411.2"/>
    <n v="26812.799999999999"/>
    <n v="20787.96384"/>
    <n v="15723.396723764537"/>
    <x v="1"/>
    <n v="22.47"/>
    <b v="1"/>
    <d v="2023-10-05T00:00:00"/>
    <x v="0"/>
    <x v="1"/>
    <n v="38"/>
    <x v="0"/>
    <s v="Credit Card"/>
    <s v="Returned"/>
  </r>
  <r>
    <s v="TID_1269"/>
    <x v="6"/>
    <x v="1"/>
    <x v="3"/>
    <x v="2"/>
    <x v="4"/>
    <x v="1"/>
    <n v="6"/>
    <n v="13"/>
    <n v="10"/>
    <n v="10"/>
    <n v="28"/>
    <x v="6"/>
    <n v="956.29"/>
    <n v="26776.12"/>
    <n v="26776.12"/>
    <n v="9735.2405637645388"/>
    <x v="1"/>
    <n v="5.3"/>
    <b v="0"/>
    <d v="2023-07-11T00:00:00"/>
    <x v="3"/>
    <x v="1"/>
    <n v="66"/>
    <x v="0"/>
    <s v="Online Payment"/>
    <s v="Not Returned"/>
  </r>
  <r>
    <s v="TID_1510"/>
    <x v="9"/>
    <x v="4"/>
    <x v="3"/>
    <x v="0"/>
    <x v="4"/>
    <x v="3"/>
    <n v="6"/>
    <n v="13"/>
    <n v="6"/>
    <n v="9"/>
    <n v="21"/>
    <x v="6"/>
    <n v="1273.2"/>
    <n v="26737.200000000001"/>
    <n v="26189.0874"/>
    <n v="10322.273163764537"/>
    <x v="0"/>
    <n v="2.0499999999999998"/>
    <b v="1"/>
    <d v="2023-12-03T00:00:00"/>
    <x v="0"/>
    <x v="1"/>
    <n v="68"/>
    <x v="1"/>
    <s v="Credit Card"/>
    <s v="Not Returned"/>
  </r>
  <r>
    <s v="TID_946"/>
    <x v="3"/>
    <x v="0"/>
    <x v="3"/>
    <x v="1"/>
    <x v="3"/>
    <x v="1"/>
    <n v="5"/>
    <n v="4"/>
    <n v="10"/>
    <n v="10"/>
    <n v="64"/>
    <x v="3"/>
    <n v="417.15"/>
    <n v="26697.599999999999"/>
    <n v="26697.599999999999"/>
    <n v="9813.7605637645393"/>
    <x v="1"/>
    <n v="11.45"/>
    <b v="0"/>
    <d v="2023-08-07T00:00:00"/>
    <x v="3"/>
    <x v="1"/>
    <n v="52"/>
    <x v="0"/>
    <s v="Debit Card"/>
    <s v="Not Returned"/>
  </r>
  <r>
    <s v="TID_1262"/>
    <x v="0"/>
    <x v="0"/>
    <x v="0"/>
    <x v="1"/>
    <x v="2"/>
    <x v="2"/>
    <n v="5"/>
    <n v="4"/>
    <n v="10"/>
    <n v="10"/>
    <n v="19"/>
    <x v="6"/>
    <n v="1403.49"/>
    <n v="26666.31"/>
    <n v="25476.992574000004"/>
    <n v="11034.367989764534"/>
    <x v="1"/>
    <n v="4.46"/>
    <b v="1"/>
    <d v="2024-05-20T00:00:00"/>
    <x v="1"/>
    <x v="0"/>
    <n v="35"/>
    <x v="2"/>
    <s v="Credit Card"/>
    <s v="Returned"/>
  </r>
  <r>
    <s v="TID_11"/>
    <x v="5"/>
    <x v="2"/>
    <x v="3"/>
    <x v="0"/>
    <x v="2"/>
    <x v="0"/>
    <n v="7"/>
    <n v="6"/>
    <n v="6"/>
    <n v="10"/>
    <n v="39"/>
    <x v="6"/>
    <n v="683.45"/>
    <n v="26654.55"/>
    <n v="26654.55"/>
    <n v="9856.8105637645385"/>
    <x v="1"/>
    <n v="15.35"/>
    <b v="0"/>
    <d v="2024-03-10T00:00:00"/>
    <x v="2"/>
    <x v="0"/>
    <n v="19"/>
    <x v="2"/>
    <s v="Debit Card"/>
    <s v="Not Returned"/>
  </r>
  <r>
    <s v="TID_104"/>
    <x v="3"/>
    <x v="0"/>
    <x v="2"/>
    <x v="1"/>
    <x v="2"/>
    <x v="3"/>
    <n v="5"/>
    <n v="4"/>
    <n v="10"/>
    <n v="9"/>
    <n v="39"/>
    <x v="6"/>
    <n v="682.55"/>
    <n v="26619.45"/>
    <n v="26619.45"/>
    <n v="9891.9105637645371"/>
    <x v="1"/>
    <n v="29.2"/>
    <b v="0"/>
    <d v="2024-05-23T00:00:00"/>
    <x v="1"/>
    <x v="0"/>
    <n v="44"/>
    <x v="1"/>
    <s v="Debit Card"/>
    <s v="Returned"/>
  </r>
  <r>
    <s v="TID_100"/>
    <x v="1"/>
    <x v="0"/>
    <x v="2"/>
    <x v="0"/>
    <x v="4"/>
    <x v="3"/>
    <n v="5"/>
    <n v="4"/>
    <n v="6"/>
    <n v="9"/>
    <n v="38"/>
    <x v="6"/>
    <n v="697.82"/>
    <n v="26517.16"/>
    <n v="24679.520811999999"/>
    <n v="11831.839751764539"/>
    <x v="0"/>
    <n v="6.93"/>
    <b v="1"/>
    <d v="2023-03-18T00:00:00"/>
    <x v="2"/>
    <x v="1"/>
    <n v="51"/>
    <x v="0"/>
    <s v="Debit Card"/>
    <s v="Returned"/>
  </r>
  <r>
    <s v="TID_584"/>
    <x v="8"/>
    <x v="3"/>
    <x v="0"/>
    <x v="0"/>
    <x v="4"/>
    <x v="2"/>
    <n v="9"/>
    <n v="7"/>
    <n v="6"/>
    <n v="10"/>
    <n v="52"/>
    <x v="4"/>
    <n v="509.65"/>
    <n v="26501.8"/>
    <n v="18620.164679999998"/>
    <n v="17891.19588376454"/>
    <x v="0"/>
    <n v="29.74"/>
    <b v="1"/>
    <d v="2024-02-09T00:00:00"/>
    <x v="2"/>
    <x v="0"/>
    <n v="46"/>
    <x v="1"/>
    <s v="Cash"/>
    <s v="Not Returned"/>
  </r>
  <r>
    <s v="TID_1805"/>
    <x v="3"/>
    <x v="0"/>
    <x v="1"/>
    <x v="1"/>
    <x v="3"/>
    <x v="3"/>
    <n v="5"/>
    <n v="4"/>
    <n v="10"/>
    <n v="9"/>
    <n v="36"/>
    <x v="6"/>
    <n v="732.84"/>
    <n v="26382.240000000002"/>
    <n v="26382.240000000002"/>
    <n v="10129.120563764536"/>
    <x v="1"/>
    <n v="29.85"/>
    <b v="0"/>
    <d v="2024-08-24T00:00:00"/>
    <x v="3"/>
    <x v="0"/>
    <n v="32"/>
    <x v="1"/>
    <s v="Online Payment"/>
    <s v="Returned"/>
  </r>
  <r>
    <s v="TID_594"/>
    <x v="7"/>
    <x v="2"/>
    <x v="2"/>
    <x v="0"/>
    <x v="2"/>
    <x v="2"/>
    <n v="2"/>
    <n v="6"/>
    <n v="6"/>
    <n v="10"/>
    <n v="48"/>
    <x v="5"/>
    <n v="548.91"/>
    <n v="26347.68"/>
    <n v="26347.68"/>
    <n v="10163.680563764538"/>
    <x v="0"/>
    <n v="25.63"/>
    <b v="0"/>
    <d v="2023-08-05T00:00:00"/>
    <x v="3"/>
    <x v="1"/>
    <n v="18"/>
    <x v="0"/>
    <s v="Cash"/>
    <s v="Not Returned"/>
  </r>
  <r>
    <s v="TID_1914"/>
    <x v="6"/>
    <x v="1"/>
    <x v="3"/>
    <x v="2"/>
    <x v="2"/>
    <x v="3"/>
    <n v="6"/>
    <n v="13"/>
    <n v="10"/>
    <n v="9"/>
    <n v="60"/>
    <x v="4"/>
    <n v="439.01"/>
    <n v="26340.6"/>
    <n v="18846.6993"/>
    <n v="17664.661263764538"/>
    <x v="0"/>
    <n v="28.45"/>
    <b v="1"/>
    <d v="2024-10-21T00:00:00"/>
    <x v="0"/>
    <x v="0"/>
    <n v="32"/>
    <x v="1"/>
    <s v="Cash"/>
    <s v="Returned"/>
  </r>
  <r>
    <s v="TID_108"/>
    <x v="1"/>
    <x v="0"/>
    <x v="0"/>
    <x v="1"/>
    <x v="3"/>
    <x v="1"/>
    <n v="5"/>
    <n v="4"/>
    <n v="10"/>
    <n v="10"/>
    <n v="52"/>
    <x v="4"/>
    <n v="505.46"/>
    <n v="26283.919999999998"/>
    <n v="24796.250128"/>
    <n v="11715.110435764538"/>
    <x v="0"/>
    <n v="5.66"/>
    <b v="1"/>
    <d v="2024-04-06T00:00:00"/>
    <x v="1"/>
    <x v="0"/>
    <n v="51"/>
    <x v="0"/>
    <s v="Cash"/>
    <s v="Returned"/>
  </r>
  <r>
    <s v="TID_1791"/>
    <x v="5"/>
    <x v="2"/>
    <x v="1"/>
    <x v="2"/>
    <x v="2"/>
    <x v="3"/>
    <n v="7"/>
    <n v="6"/>
    <n v="10"/>
    <n v="9"/>
    <n v="65"/>
    <x v="3"/>
    <n v="403.57"/>
    <n v="26232.05"/>
    <n v="22480.866849999999"/>
    <n v="14030.493713764539"/>
    <x v="1"/>
    <n v="14.3"/>
    <b v="1"/>
    <d v="2023-12-04T00:00:00"/>
    <x v="0"/>
    <x v="1"/>
    <n v="40"/>
    <x v="1"/>
    <s v="Online Payment"/>
    <s v="Not Returned"/>
  </r>
  <r>
    <s v="TID_206"/>
    <x v="5"/>
    <x v="2"/>
    <x v="0"/>
    <x v="2"/>
    <x v="3"/>
    <x v="3"/>
    <n v="7"/>
    <n v="6"/>
    <n v="10"/>
    <n v="9"/>
    <n v="29"/>
    <x v="6"/>
    <n v="904.28"/>
    <n v="26224.12"/>
    <n v="25280.051679999997"/>
    <n v="11231.308883764541"/>
    <x v="1"/>
    <n v="3.6"/>
    <b v="1"/>
    <d v="2024-04-15T00:00:00"/>
    <x v="1"/>
    <x v="0"/>
    <n v="66"/>
    <x v="1"/>
    <s v="Debit Card"/>
    <s v="Returned"/>
  </r>
  <r>
    <s v="TID_677"/>
    <x v="5"/>
    <x v="2"/>
    <x v="3"/>
    <x v="0"/>
    <x v="1"/>
    <x v="3"/>
    <n v="7"/>
    <n v="6"/>
    <n v="6"/>
    <n v="9"/>
    <n v="20"/>
    <x v="6"/>
    <n v="1307.8399999999999"/>
    <n v="26156.799999999999"/>
    <n v="26156.799999999999"/>
    <n v="10354.560563764539"/>
    <x v="0"/>
    <n v="17.11"/>
    <b v="0"/>
    <d v="2024-07-22T00:00:00"/>
    <x v="3"/>
    <x v="0"/>
    <n v="31"/>
    <x v="1"/>
    <s v="Cash"/>
    <s v="Not Returned"/>
  </r>
  <r>
    <s v="TID_992"/>
    <x v="8"/>
    <x v="3"/>
    <x v="1"/>
    <x v="1"/>
    <x v="3"/>
    <x v="0"/>
    <n v="9"/>
    <n v="7"/>
    <n v="10"/>
    <n v="10"/>
    <n v="95"/>
    <x v="1"/>
    <n v="275.25"/>
    <n v="26148.75"/>
    <n v="26148.75"/>
    <n v="10362.610563764538"/>
    <x v="0"/>
    <n v="1.26"/>
    <b v="0"/>
    <d v="2023-09-19T00:00:00"/>
    <x v="3"/>
    <x v="1"/>
    <n v="26"/>
    <x v="1"/>
    <s v="Cash"/>
    <s v="Returned"/>
  </r>
  <r>
    <s v="TID_1407"/>
    <x v="2"/>
    <x v="1"/>
    <x v="0"/>
    <x v="1"/>
    <x v="3"/>
    <x v="3"/>
    <n v="3"/>
    <n v="13"/>
    <n v="10"/>
    <n v="9"/>
    <n v="21"/>
    <x v="6"/>
    <n v="1242.97"/>
    <n v="26102.37"/>
    <n v="22923.101333999999"/>
    <n v="13588.259229764539"/>
    <x v="1"/>
    <n v="12.18"/>
    <b v="1"/>
    <d v="2023-03-23T00:00:00"/>
    <x v="2"/>
    <x v="1"/>
    <n v="21"/>
    <x v="1"/>
    <s v="Cash"/>
    <s v="Not Returned"/>
  </r>
  <r>
    <s v="TID_748"/>
    <x v="7"/>
    <x v="2"/>
    <x v="0"/>
    <x v="0"/>
    <x v="1"/>
    <x v="3"/>
    <n v="2"/>
    <n v="6"/>
    <n v="6"/>
    <n v="9"/>
    <n v="55"/>
    <x v="4"/>
    <n v="474.48"/>
    <n v="26096.400000000001"/>
    <n v="26096.400000000001"/>
    <n v="10414.960563764536"/>
    <x v="0"/>
    <n v="29.57"/>
    <b v="0"/>
    <d v="2023-08-12T00:00:00"/>
    <x v="3"/>
    <x v="1"/>
    <n v="27"/>
    <x v="0"/>
    <s v="Online Payment"/>
    <s v="Returned"/>
  </r>
  <r>
    <s v="TID_1536"/>
    <x v="5"/>
    <x v="2"/>
    <x v="1"/>
    <x v="2"/>
    <x v="1"/>
    <x v="0"/>
    <n v="7"/>
    <n v="6"/>
    <n v="10"/>
    <n v="10"/>
    <n v="21"/>
    <x v="6"/>
    <n v="1242.21"/>
    <n v="26086.41"/>
    <n v="25439.467032"/>
    <n v="11071.893531764537"/>
    <x v="1"/>
    <n v="2.48"/>
    <b v="1"/>
    <d v="2024-05-26T00:00:00"/>
    <x v="1"/>
    <x v="0"/>
    <n v="47"/>
    <x v="0"/>
    <s v="Cash"/>
    <s v="Returned"/>
  </r>
  <r>
    <s v="TID_322"/>
    <x v="3"/>
    <x v="0"/>
    <x v="2"/>
    <x v="1"/>
    <x v="0"/>
    <x v="2"/>
    <n v="5"/>
    <n v="4"/>
    <n v="10"/>
    <n v="10"/>
    <n v="41"/>
    <x v="5"/>
    <n v="636.02"/>
    <n v="26076.82"/>
    <n v="26076.82"/>
    <n v="10434.540563764538"/>
    <x v="0"/>
    <n v="28.07"/>
    <b v="0"/>
    <d v="2023-06-14T00:00:00"/>
    <x v="1"/>
    <x v="1"/>
    <n v="20"/>
    <x v="2"/>
    <s v="Credit Card"/>
    <s v="Not Returned"/>
  </r>
  <r>
    <s v="TID_534"/>
    <x v="7"/>
    <x v="2"/>
    <x v="1"/>
    <x v="2"/>
    <x v="3"/>
    <x v="2"/>
    <n v="2"/>
    <n v="6"/>
    <n v="10"/>
    <n v="10"/>
    <n v="18"/>
    <x v="6"/>
    <n v="1445.34"/>
    <n v="26016.12"/>
    <n v="19842.494723999996"/>
    <n v="16668.865839764541"/>
    <x v="0"/>
    <n v="23.73"/>
    <b v="1"/>
    <d v="2024-01-26T00:00:00"/>
    <x v="2"/>
    <x v="0"/>
    <n v="51"/>
    <x v="0"/>
    <s v="Online Payment"/>
    <s v="Returned"/>
  </r>
  <r>
    <s v="TID_1850"/>
    <x v="4"/>
    <x v="2"/>
    <x v="3"/>
    <x v="0"/>
    <x v="1"/>
    <x v="2"/>
    <n v="6"/>
    <n v="6"/>
    <n v="6"/>
    <n v="10"/>
    <n v="40"/>
    <x v="5"/>
    <n v="647.39"/>
    <n v="25895.599999999999"/>
    <n v="25895.599999999999"/>
    <n v="10615.760563764539"/>
    <x v="1"/>
    <n v="18.05"/>
    <b v="0"/>
    <d v="2024-05-21T00:00:00"/>
    <x v="1"/>
    <x v="0"/>
    <n v="68"/>
    <x v="1"/>
    <s v="Online Payment"/>
    <s v="Not Returned"/>
  </r>
  <r>
    <s v="TID_1158"/>
    <x v="4"/>
    <x v="2"/>
    <x v="0"/>
    <x v="2"/>
    <x v="0"/>
    <x v="3"/>
    <n v="6"/>
    <n v="6"/>
    <n v="10"/>
    <n v="9"/>
    <n v="88"/>
    <x v="2"/>
    <n v="293.93"/>
    <n v="25865.84"/>
    <n v="25865.84"/>
    <n v="10645.520563764538"/>
    <x v="0"/>
    <n v="9.82"/>
    <b v="0"/>
    <d v="2023-07-12T00:00:00"/>
    <x v="3"/>
    <x v="1"/>
    <n v="67"/>
    <x v="1"/>
    <s v="Debit Card"/>
    <s v="Not Returned"/>
  </r>
  <r>
    <s v="TID_201"/>
    <x v="8"/>
    <x v="3"/>
    <x v="3"/>
    <x v="0"/>
    <x v="1"/>
    <x v="0"/>
    <n v="9"/>
    <n v="7"/>
    <n v="6"/>
    <n v="10"/>
    <n v="58"/>
    <x v="4"/>
    <n v="444.4"/>
    <n v="25775.200000000001"/>
    <n v="22653.823280000001"/>
    <n v="13857.537283764537"/>
    <x v="0"/>
    <n v="12.11"/>
    <b v="1"/>
    <d v="2024-09-08T00:00:00"/>
    <x v="3"/>
    <x v="0"/>
    <n v="35"/>
    <x v="2"/>
    <s v="Cash"/>
    <s v="Returned"/>
  </r>
  <r>
    <s v="TID_393"/>
    <x v="2"/>
    <x v="1"/>
    <x v="0"/>
    <x v="0"/>
    <x v="3"/>
    <x v="2"/>
    <n v="3"/>
    <n v="13"/>
    <n v="6"/>
    <n v="10"/>
    <n v="21"/>
    <x v="6"/>
    <n v="1225.7"/>
    <n v="25739.7"/>
    <n v="23600.730930000002"/>
    <n v="12910.629633764536"/>
    <x v="1"/>
    <n v="8.31"/>
    <b v="1"/>
    <d v="2024-04-06T00:00:00"/>
    <x v="1"/>
    <x v="0"/>
    <n v="67"/>
    <x v="1"/>
    <s v="Cash"/>
    <s v="Not Returned"/>
  </r>
  <r>
    <s v="TID_1132"/>
    <x v="5"/>
    <x v="2"/>
    <x v="0"/>
    <x v="0"/>
    <x v="1"/>
    <x v="2"/>
    <n v="7"/>
    <n v="6"/>
    <n v="6"/>
    <n v="10"/>
    <n v="30"/>
    <x v="6"/>
    <n v="857.48"/>
    <n v="25724.400000000001"/>
    <n v="23743.621200000001"/>
    <n v="12767.739363764536"/>
    <x v="1"/>
    <n v="7.7"/>
    <b v="1"/>
    <d v="2024-10-20T00:00:00"/>
    <x v="0"/>
    <x v="0"/>
    <n v="52"/>
    <x v="0"/>
    <s v="Debit Card"/>
    <s v="Not Returned"/>
  </r>
  <r>
    <s v="TID_464"/>
    <x v="1"/>
    <x v="0"/>
    <x v="2"/>
    <x v="2"/>
    <x v="4"/>
    <x v="3"/>
    <n v="5"/>
    <n v="4"/>
    <n v="10"/>
    <n v="9"/>
    <n v="68"/>
    <x v="3"/>
    <n v="377.36"/>
    <n v="25660.48"/>
    <n v="25660.48"/>
    <n v="10850.880563764538"/>
    <x v="1"/>
    <n v="6.49"/>
    <b v="0"/>
    <d v="2023-02-16T00:00:00"/>
    <x v="2"/>
    <x v="1"/>
    <n v="62"/>
    <x v="0"/>
    <s v="Cash"/>
    <s v="Returned"/>
  </r>
  <r>
    <s v="TID_239"/>
    <x v="0"/>
    <x v="0"/>
    <x v="0"/>
    <x v="1"/>
    <x v="3"/>
    <x v="3"/>
    <n v="5"/>
    <n v="4"/>
    <n v="10"/>
    <n v="9"/>
    <n v="45"/>
    <x v="5"/>
    <n v="569.63"/>
    <n v="25633.35"/>
    <n v="25633.35"/>
    <n v="10878.010563764539"/>
    <x v="0"/>
    <n v="27.79"/>
    <b v="0"/>
    <d v="2024-07-09T00:00:00"/>
    <x v="3"/>
    <x v="0"/>
    <n v="48"/>
    <x v="2"/>
    <s v="Credit Card"/>
    <s v="Returned"/>
  </r>
  <r>
    <s v="TID_180"/>
    <x v="8"/>
    <x v="3"/>
    <x v="1"/>
    <x v="1"/>
    <x v="3"/>
    <x v="3"/>
    <n v="9"/>
    <n v="7"/>
    <n v="10"/>
    <n v="9"/>
    <n v="60"/>
    <x v="4"/>
    <n v="426.35"/>
    <n v="25581"/>
    <n v="22375.700700000001"/>
    <n v="14135.659863764537"/>
    <x v="0"/>
    <n v="12.53"/>
    <b v="1"/>
    <d v="2024-01-11T00:00:00"/>
    <x v="2"/>
    <x v="0"/>
    <n v="52"/>
    <x v="1"/>
    <s v="Credit Card"/>
    <s v="Returned"/>
  </r>
  <r>
    <s v="TID_601"/>
    <x v="4"/>
    <x v="2"/>
    <x v="3"/>
    <x v="0"/>
    <x v="0"/>
    <x v="2"/>
    <n v="6"/>
    <n v="6"/>
    <n v="6"/>
    <n v="10"/>
    <n v="88"/>
    <x v="2"/>
    <n v="290.68"/>
    <n v="25579.84"/>
    <n v="25579.84"/>
    <n v="10931.520563764538"/>
    <x v="1"/>
    <n v="16.399999999999999"/>
    <b v="0"/>
    <d v="2024-02-19T00:00:00"/>
    <x v="2"/>
    <x v="0"/>
    <n v="56"/>
    <x v="1"/>
    <s v="Debit Card"/>
    <s v="Not Returned"/>
  </r>
  <r>
    <s v="TID_1505"/>
    <x v="6"/>
    <x v="1"/>
    <x v="1"/>
    <x v="0"/>
    <x v="3"/>
    <x v="1"/>
    <n v="6"/>
    <n v="13"/>
    <n v="6"/>
    <n v="10"/>
    <n v="33"/>
    <x v="6"/>
    <n v="773.37"/>
    <n v="25521.21"/>
    <n v="25521.21"/>
    <n v="10990.150563764539"/>
    <x v="0"/>
    <n v="2.13"/>
    <b v="0"/>
    <d v="2023-03-24T00:00:00"/>
    <x v="2"/>
    <x v="1"/>
    <n v="43"/>
    <x v="2"/>
    <s v="Online Payment"/>
    <s v="Not Returned"/>
  </r>
  <r>
    <s v="TID_89"/>
    <x v="1"/>
    <x v="0"/>
    <x v="3"/>
    <x v="2"/>
    <x v="1"/>
    <x v="2"/>
    <n v="5"/>
    <n v="4"/>
    <n v="10"/>
    <n v="10"/>
    <n v="51"/>
    <x v="4"/>
    <n v="498.86"/>
    <n v="25441.86"/>
    <n v="21297.381006"/>
    <n v="15213.979557764538"/>
    <x v="1"/>
    <n v="16.29"/>
    <b v="1"/>
    <d v="2023-03-04T00:00:00"/>
    <x v="2"/>
    <x v="1"/>
    <n v="46"/>
    <x v="1"/>
    <s v="Online Payment"/>
    <s v="Returned"/>
  </r>
  <r>
    <s v="TID_501"/>
    <x v="0"/>
    <x v="0"/>
    <x v="1"/>
    <x v="1"/>
    <x v="1"/>
    <x v="0"/>
    <n v="5"/>
    <n v="4"/>
    <n v="10"/>
    <n v="10"/>
    <n v="85"/>
    <x v="2"/>
    <n v="299.22000000000003"/>
    <n v="25433.7"/>
    <n v="25433.7"/>
    <n v="11077.660563764537"/>
    <x v="0"/>
    <n v="16.28"/>
    <b v="0"/>
    <d v="2023-08-10T00:00:00"/>
    <x v="3"/>
    <x v="1"/>
    <n v="42"/>
    <x v="0"/>
    <s v="Credit Card"/>
    <s v="Returned"/>
  </r>
  <r>
    <s v="TID_1084"/>
    <x v="2"/>
    <x v="1"/>
    <x v="1"/>
    <x v="2"/>
    <x v="0"/>
    <x v="1"/>
    <n v="3"/>
    <n v="13"/>
    <n v="10"/>
    <n v="10"/>
    <n v="91"/>
    <x v="1"/>
    <n v="279.27999999999997"/>
    <n v="25414.48"/>
    <n v="19162.517919999998"/>
    <n v="17348.842643764539"/>
    <x v="1"/>
    <n v="24.6"/>
    <b v="1"/>
    <d v="2024-06-22T00:00:00"/>
    <x v="1"/>
    <x v="0"/>
    <n v="65"/>
    <x v="1"/>
    <s v="Online Payment"/>
    <s v="Not Returned"/>
  </r>
  <r>
    <s v="TID_1516"/>
    <x v="6"/>
    <x v="1"/>
    <x v="3"/>
    <x v="2"/>
    <x v="1"/>
    <x v="2"/>
    <n v="6"/>
    <n v="13"/>
    <n v="10"/>
    <n v="10"/>
    <n v="31"/>
    <x v="6"/>
    <n v="818.67"/>
    <n v="25378.77"/>
    <n v="20734.455089999999"/>
    <n v="15776.905473764538"/>
    <x v="1"/>
    <n v="18.3"/>
    <b v="1"/>
    <d v="2023-12-01T00:00:00"/>
    <x v="0"/>
    <x v="1"/>
    <n v="44"/>
    <x v="2"/>
    <s v="Online Payment"/>
    <s v="Not Returned"/>
  </r>
  <r>
    <s v="TID_1651"/>
    <x v="8"/>
    <x v="3"/>
    <x v="0"/>
    <x v="0"/>
    <x v="4"/>
    <x v="0"/>
    <n v="9"/>
    <n v="7"/>
    <n v="6"/>
    <n v="10"/>
    <n v="55"/>
    <x v="4"/>
    <n v="459.48"/>
    <n v="25271.4"/>
    <n v="25271.4"/>
    <n v="11239.960563764536"/>
    <x v="0"/>
    <n v="13.09"/>
    <b v="0"/>
    <d v="2024-01-05T00:00:00"/>
    <x v="2"/>
    <x v="0"/>
    <n v="41"/>
    <x v="0"/>
    <s v="Cash"/>
    <s v="Returned"/>
  </r>
  <r>
    <s v="TID_1701"/>
    <x v="6"/>
    <x v="1"/>
    <x v="2"/>
    <x v="1"/>
    <x v="1"/>
    <x v="0"/>
    <n v="6"/>
    <n v="13"/>
    <n v="10"/>
    <n v="10"/>
    <n v="56"/>
    <x v="4"/>
    <n v="450.32"/>
    <n v="25217.919999999998"/>
    <n v="24138.593023999998"/>
    <n v="12372.76753976454"/>
    <x v="1"/>
    <n v="4.28"/>
    <b v="1"/>
    <d v="2024-04-24T00:00:00"/>
    <x v="1"/>
    <x v="0"/>
    <n v="35"/>
    <x v="1"/>
    <s v="Online Payment"/>
    <s v="Not Returned"/>
  </r>
  <r>
    <s v="TID_911"/>
    <x v="2"/>
    <x v="1"/>
    <x v="0"/>
    <x v="2"/>
    <x v="4"/>
    <x v="1"/>
    <n v="3"/>
    <n v="13"/>
    <n v="10"/>
    <n v="10"/>
    <n v="70"/>
    <x v="3"/>
    <n v="359.92"/>
    <n v="25194.400000000001"/>
    <n v="25194.400000000001"/>
    <n v="11316.960563764536"/>
    <x v="0"/>
    <n v="0.98"/>
    <b v="0"/>
    <d v="2023-07-09T00:00:00"/>
    <x v="3"/>
    <x v="1"/>
    <n v="41"/>
    <x v="1"/>
    <s v="Debit Card"/>
    <s v="Not Returned"/>
  </r>
  <r>
    <s v="TID_535"/>
    <x v="3"/>
    <x v="0"/>
    <x v="2"/>
    <x v="0"/>
    <x v="3"/>
    <x v="0"/>
    <n v="5"/>
    <n v="4"/>
    <n v="6"/>
    <n v="10"/>
    <n v="20"/>
    <x v="6"/>
    <n v="1259.5"/>
    <n v="25190"/>
    <n v="20932.89"/>
    <n v="15578.470563764538"/>
    <x v="0"/>
    <n v="16.899999999999999"/>
    <b v="1"/>
    <d v="2024-03-03T00:00:00"/>
    <x v="2"/>
    <x v="0"/>
    <n v="30"/>
    <x v="0"/>
    <s v="Online Payment"/>
    <s v="Not Returned"/>
  </r>
  <r>
    <s v="TID_787"/>
    <x v="3"/>
    <x v="0"/>
    <x v="1"/>
    <x v="1"/>
    <x v="2"/>
    <x v="3"/>
    <n v="5"/>
    <n v="4"/>
    <n v="10"/>
    <n v="9"/>
    <n v="19"/>
    <x v="6"/>
    <n v="1325.13"/>
    <n v="25177.47"/>
    <n v="25177.47"/>
    <n v="11333.890563764537"/>
    <x v="0"/>
    <n v="26.42"/>
    <b v="0"/>
    <d v="2023-05-03T00:00:00"/>
    <x v="1"/>
    <x v="1"/>
    <n v="57"/>
    <x v="0"/>
    <s v="Online Payment"/>
    <s v="Returned"/>
  </r>
  <r>
    <s v="TID_1372"/>
    <x v="2"/>
    <x v="1"/>
    <x v="1"/>
    <x v="0"/>
    <x v="0"/>
    <x v="3"/>
    <n v="3"/>
    <n v="13"/>
    <n v="6"/>
    <n v="9"/>
    <n v="17"/>
    <x v="6"/>
    <n v="1477.15"/>
    <n v="25111.55"/>
    <n v="19971.215714999998"/>
    <n v="16540.144848764539"/>
    <x v="1"/>
    <n v="20.47"/>
    <b v="1"/>
    <d v="2023-11-26T00:00:00"/>
    <x v="0"/>
    <x v="1"/>
    <n v="47"/>
    <x v="2"/>
    <s v="Debit Card"/>
    <s v="Not Returned"/>
  </r>
  <r>
    <s v="TID_174"/>
    <x v="2"/>
    <x v="1"/>
    <x v="3"/>
    <x v="1"/>
    <x v="4"/>
    <x v="1"/>
    <n v="3"/>
    <n v="13"/>
    <n v="10"/>
    <n v="10"/>
    <n v="24"/>
    <x v="6"/>
    <n v="1045.96"/>
    <n v="25103.040000000001"/>
    <n v="21744.253248000001"/>
    <n v="14767.107315764537"/>
    <x v="0"/>
    <n v="13.38"/>
    <b v="1"/>
    <d v="2023-04-21T00:00:00"/>
    <x v="1"/>
    <x v="1"/>
    <n v="45"/>
    <x v="0"/>
    <s v="Online Payment"/>
    <s v="Not Returned"/>
  </r>
  <r>
    <s v="TID_1946"/>
    <x v="3"/>
    <x v="0"/>
    <x v="2"/>
    <x v="0"/>
    <x v="3"/>
    <x v="2"/>
    <n v="5"/>
    <n v="4"/>
    <n v="6"/>
    <n v="10"/>
    <n v="25"/>
    <x v="6"/>
    <n v="1002.74"/>
    <n v="25068.5"/>
    <n v="25068.5"/>
    <n v="11442.860563764538"/>
    <x v="0"/>
    <n v="22.9"/>
    <b v="0"/>
    <d v="2023-10-29T00:00:00"/>
    <x v="0"/>
    <x v="1"/>
    <n v="46"/>
    <x v="1"/>
    <s v="Debit Card"/>
    <s v="Not Returned"/>
  </r>
  <r>
    <s v="TID_567"/>
    <x v="9"/>
    <x v="4"/>
    <x v="3"/>
    <x v="1"/>
    <x v="0"/>
    <x v="3"/>
    <n v="6"/>
    <n v="13"/>
    <n v="10"/>
    <n v="9"/>
    <n v="20"/>
    <x v="6"/>
    <n v="1253.02"/>
    <n v="25060.400000000001"/>
    <n v="25060.400000000001"/>
    <n v="11450.960563764536"/>
    <x v="0"/>
    <n v="17.68"/>
    <b v="0"/>
    <d v="2023-05-28T00:00:00"/>
    <x v="1"/>
    <x v="1"/>
    <n v="44"/>
    <x v="1"/>
    <s v="Cash"/>
    <s v="Returned"/>
  </r>
  <r>
    <s v="TID_580"/>
    <x v="2"/>
    <x v="1"/>
    <x v="3"/>
    <x v="0"/>
    <x v="0"/>
    <x v="1"/>
    <n v="3"/>
    <n v="13"/>
    <n v="6"/>
    <n v="10"/>
    <n v="44"/>
    <x v="5"/>
    <n v="568.83000000000004"/>
    <n v="25028.52"/>
    <n v="21064.002432000001"/>
    <n v="15447.358131764537"/>
    <x v="1"/>
    <n v="15.84"/>
    <b v="1"/>
    <d v="2023-01-28T00:00:00"/>
    <x v="2"/>
    <x v="1"/>
    <n v="21"/>
    <x v="1"/>
    <s v="Cash"/>
    <s v="Returned"/>
  </r>
  <r>
    <s v="TID_401"/>
    <x v="4"/>
    <x v="2"/>
    <x v="2"/>
    <x v="1"/>
    <x v="4"/>
    <x v="0"/>
    <n v="6"/>
    <n v="6"/>
    <n v="10"/>
    <n v="10"/>
    <n v="17"/>
    <x v="6"/>
    <n v="1469.05"/>
    <n v="24973.85"/>
    <n v="24973.85"/>
    <n v="11537.510563764539"/>
    <x v="1"/>
    <n v="0.49"/>
    <b v="0"/>
    <d v="2024-01-10T00:00:00"/>
    <x v="2"/>
    <x v="0"/>
    <n v="41"/>
    <x v="1"/>
    <s v="Debit Card"/>
    <s v="Returned"/>
  </r>
  <r>
    <s v="TID_1266"/>
    <x v="3"/>
    <x v="0"/>
    <x v="0"/>
    <x v="1"/>
    <x v="3"/>
    <x v="1"/>
    <n v="5"/>
    <n v="4"/>
    <n v="10"/>
    <n v="10"/>
    <n v="22"/>
    <x v="6"/>
    <n v="1134.23"/>
    <n v="24953.06"/>
    <n v="24953.06"/>
    <n v="11558.300563764536"/>
    <x v="0"/>
    <n v="8.06"/>
    <b v="0"/>
    <d v="2024-04-27T00:00:00"/>
    <x v="1"/>
    <x v="0"/>
    <n v="20"/>
    <x v="2"/>
    <s v="Debit Card"/>
    <s v="Not Returned"/>
  </r>
  <r>
    <s v="TID_231"/>
    <x v="5"/>
    <x v="2"/>
    <x v="0"/>
    <x v="0"/>
    <x v="4"/>
    <x v="3"/>
    <n v="7"/>
    <n v="6"/>
    <n v="6"/>
    <n v="9"/>
    <n v="34"/>
    <x v="6"/>
    <n v="733.83"/>
    <n v="24950.22"/>
    <n v="24950.22"/>
    <n v="11561.140563764537"/>
    <x v="1"/>
    <n v="11.33"/>
    <b v="0"/>
    <d v="2023-01-14T00:00:00"/>
    <x v="2"/>
    <x v="1"/>
    <n v="46"/>
    <x v="1"/>
    <s v="Debit Card"/>
    <s v="Returned"/>
  </r>
  <r>
    <s v="TID_1252"/>
    <x v="6"/>
    <x v="1"/>
    <x v="2"/>
    <x v="2"/>
    <x v="3"/>
    <x v="2"/>
    <n v="6"/>
    <n v="13"/>
    <n v="10"/>
    <n v="10"/>
    <n v="43"/>
    <x v="5"/>
    <n v="578.73"/>
    <n v="24885.39"/>
    <n v="22033.524305999999"/>
    <n v="14477.836257764538"/>
    <x v="0"/>
    <n v="11.46"/>
    <b v="1"/>
    <d v="2023-09-04T00:00:00"/>
    <x v="3"/>
    <x v="1"/>
    <n v="27"/>
    <x v="0"/>
    <s v="Credit Card"/>
    <s v="Not Returned"/>
  </r>
  <r>
    <s v="TID_813"/>
    <x v="6"/>
    <x v="1"/>
    <x v="2"/>
    <x v="2"/>
    <x v="4"/>
    <x v="1"/>
    <n v="6"/>
    <n v="13"/>
    <n v="10"/>
    <n v="10"/>
    <n v="34"/>
    <x v="6"/>
    <n v="727.5"/>
    <n v="24735"/>
    <n v="23092.596000000001"/>
    <n v="13418.764563764536"/>
    <x v="0"/>
    <n v="6.64"/>
    <b v="1"/>
    <d v="2024-02-27T00:00:00"/>
    <x v="2"/>
    <x v="0"/>
    <n v="66"/>
    <x v="2"/>
    <s v="Cash"/>
    <s v="Not Returned"/>
  </r>
  <r>
    <s v="TID_1555"/>
    <x v="7"/>
    <x v="2"/>
    <x v="2"/>
    <x v="2"/>
    <x v="0"/>
    <x v="1"/>
    <n v="2"/>
    <n v="6"/>
    <n v="10"/>
    <n v="10"/>
    <n v="19"/>
    <x v="6"/>
    <n v="1301.17"/>
    <n v="24722.23"/>
    <n v="24722.23"/>
    <n v="11789.130563764538"/>
    <x v="0"/>
    <n v="18.52"/>
    <b v="0"/>
    <d v="2023-05-27T00:00:00"/>
    <x v="1"/>
    <x v="1"/>
    <n v="40"/>
    <x v="1"/>
    <s v="Debit Card"/>
    <s v="Returned"/>
  </r>
  <r>
    <s v="TID_1898"/>
    <x v="4"/>
    <x v="2"/>
    <x v="3"/>
    <x v="1"/>
    <x v="0"/>
    <x v="0"/>
    <n v="6"/>
    <n v="6"/>
    <n v="10"/>
    <n v="10"/>
    <n v="33"/>
    <x v="6"/>
    <n v="744.54"/>
    <n v="24569.82"/>
    <n v="18147.269052"/>
    <n v="18364.091511764538"/>
    <x v="1"/>
    <n v="26.14"/>
    <b v="1"/>
    <d v="2023-03-07T00:00:00"/>
    <x v="2"/>
    <x v="1"/>
    <n v="47"/>
    <x v="1"/>
    <s v="Online Payment"/>
    <s v="Returned"/>
  </r>
  <r>
    <s v="TID_1715"/>
    <x v="1"/>
    <x v="0"/>
    <x v="2"/>
    <x v="1"/>
    <x v="4"/>
    <x v="3"/>
    <n v="5"/>
    <n v="4"/>
    <n v="10"/>
    <n v="9"/>
    <n v="89"/>
    <x v="2"/>
    <n v="275.73"/>
    <n v="24539.97"/>
    <n v="24539.97"/>
    <n v="11971.390563764537"/>
    <x v="1"/>
    <n v="28.23"/>
    <b v="0"/>
    <d v="2023-02-16T00:00:00"/>
    <x v="2"/>
    <x v="1"/>
    <n v="41"/>
    <x v="1"/>
    <s v="Online Payment"/>
    <s v="Not Returned"/>
  </r>
  <r>
    <s v="TID_1788"/>
    <x v="2"/>
    <x v="1"/>
    <x v="3"/>
    <x v="0"/>
    <x v="3"/>
    <x v="0"/>
    <n v="3"/>
    <n v="13"/>
    <n v="6"/>
    <n v="10"/>
    <n v="43"/>
    <x v="5"/>
    <n v="569.52"/>
    <n v="24489.360000000001"/>
    <n v="17720.500896000001"/>
    <n v="18790.859667764536"/>
    <x v="1"/>
    <n v="27.64"/>
    <b v="1"/>
    <d v="2024-06-11T00:00:00"/>
    <x v="1"/>
    <x v="0"/>
    <n v="53"/>
    <x v="2"/>
    <s v="Online Payment"/>
    <s v="Not Returned"/>
  </r>
  <r>
    <s v="TID_382"/>
    <x v="1"/>
    <x v="0"/>
    <x v="3"/>
    <x v="0"/>
    <x v="4"/>
    <x v="2"/>
    <n v="5"/>
    <n v="4"/>
    <n v="6"/>
    <n v="10"/>
    <n v="28"/>
    <x v="6"/>
    <n v="872.17"/>
    <n v="24420.76"/>
    <n v="21629.467131999998"/>
    <n v="14881.89343176454"/>
    <x v="1"/>
    <n v="11.43"/>
    <b v="1"/>
    <d v="2024-02-28T00:00:00"/>
    <x v="2"/>
    <x v="0"/>
    <n v="45"/>
    <x v="0"/>
    <s v="Cash"/>
    <s v="Not Returned"/>
  </r>
  <r>
    <s v="TID_1393"/>
    <x v="9"/>
    <x v="4"/>
    <x v="0"/>
    <x v="2"/>
    <x v="4"/>
    <x v="0"/>
    <n v="6"/>
    <n v="13"/>
    <n v="10"/>
    <n v="10"/>
    <n v="61"/>
    <x v="3"/>
    <n v="400.3"/>
    <n v="24418.3"/>
    <n v="24418.3"/>
    <n v="12093.060563764539"/>
    <x v="1"/>
    <n v="21.11"/>
    <b v="0"/>
    <d v="2023-10-08T00:00:00"/>
    <x v="0"/>
    <x v="1"/>
    <n v="25"/>
    <x v="2"/>
    <s v="Credit Card"/>
    <s v="Returned"/>
  </r>
  <r>
    <s v="TID_246"/>
    <x v="1"/>
    <x v="0"/>
    <x v="3"/>
    <x v="0"/>
    <x v="0"/>
    <x v="1"/>
    <n v="5"/>
    <n v="4"/>
    <n v="6"/>
    <n v="10"/>
    <n v="39"/>
    <x v="6"/>
    <n v="625.26"/>
    <n v="24385.14"/>
    <n v="24385.14"/>
    <n v="12126.220563764538"/>
    <x v="1"/>
    <n v="8.43"/>
    <b v="0"/>
    <d v="2024-04-09T00:00:00"/>
    <x v="1"/>
    <x v="0"/>
    <n v="32"/>
    <x v="1"/>
    <s v="Debit Card"/>
    <s v="Returned"/>
  </r>
  <r>
    <s v="TID_1446"/>
    <x v="6"/>
    <x v="1"/>
    <x v="0"/>
    <x v="1"/>
    <x v="2"/>
    <x v="1"/>
    <n v="6"/>
    <n v="13"/>
    <n v="10"/>
    <n v="10"/>
    <n v="46"/>
    <x v="5"/>
    <n v="529.65"/>
    <n v="24363.9"/>
    <n v="24363.9"/>
    <n v="12147.460563764536"/>
    <x v="1"/>
    <n v="13.71"/>
    <b v="0"/>
    <d v="2023-01-11T00:00:00"/>
    <x v="2"/>
    <x v="1"/>
    <n v="61"/>
    <x v="1"/>
    <s v="Debit Card"/>
    <s v="Not Returned"/>
  </r>
  <r>
    <s v="TID_356"/>
    <x v="8"/>
    <x v="3"/>
    <x v="2"/>
    <x v="2"/>
    <x v="1"/>
    <x v="1"/>
    <n v="9"/>
    <n v="7"/>
    <n v="10"/>
    <n v="10"/>
    <n v="61"/>
    <x v="3"/>
    <n v="398.45"/>
    <n v="24305.45"/>
    <n v="21442.26799"/>
    <n v="15069.092573764538"/>
    <x v="1"/>
    <n v="11.78"/>
    <b v="1"/>
    <d v="2024-04-28T00:00:00"/>
    <x v="1"/>
    <x v="0"/>
    <n v="35"/>
    <x v="1"/>
    <s v="Credit Card"/>
    <s v="Not Returned"/>
  </r>
  <r>
    <s v="TID_1818"/>
    <x v="8"/>
    <x v="3"/>
    <x v="3"/>
    <x v="0"/>
    <x v="3"/>
    <x v="2"/>
    <n v="9"/>
    <n v="7"/>
    <n v="6"/>
    <n v="10"/>
    <n v="54"/>
    <x v="4"/>
    <n v="449.56"/>
    <n v="24276.240000000002"/>
    <n v="24276.240000000002"/>
    <n v="12235.120563764536"/>
    <x v="1"/>
    <n v="14.68"/>
    <b v="0"/>
    <d v="2024-06-24T00:00:00"/>
    <x v="1"/>
    <x v="0"/>
    <n v="52"/>
    <x v="1"/>
    <s v="Online Payment"/>
    <s v="Returned"/>
  </r>
  <r>
    <s v="TID_463"/>
    <x v="9"/>
    <x v="4"/>
    <x v="3"/>
    <x v="0"/>
    <x v="1"/>
    <x v="1"/>
    <n v="6"/>
    <n v="13"/>
    <n v="6"/>
    <n v="10"/>
    <n v="78"/>
    <x v="3"/>
    <n v="309.98"/>
    <n v="24178.44"/>
    <n v="20638.716383999999"/>
    <n v="15872.644179764538"/>
    <x v="0"/>
    <n v="14.64"/>
    <b v="1"/>
    <d v="2023-02-08T00:00:00"/>
    <x v="2"/>
    <x v="1"/>
    <n v="63"/>
    <x v="0"/>
    <s v="Cash"/>
    <s v="Not Returned"/>
  </r>
  <r>
    <s v="TID_28"/>
    <x v="7"/>
    <x v="2"/>
    <x v="1"/>
    <x v="0"/>
    <x v="4"/>
    <x v="1"/>
    <n v="2"/>
    <n v="6"/>
    <n v="6"/>
    <n v="10"/>
    <n v="19"/>
    <x v="6"/>
    <n v="1271.56"/>
    <n v="24159.64"/>
    <n v="19757.753591999997"/>
    <n v="16753.606971764541"/>
    <x v="1"/>
    <n v="18.22"/>
    <b v="1"/>
    <d v="2023-11-16T00:00:00"/>
    <x v="0"/>
    <x v="1"/>
    <n v="27"/>
    <x v="0"/>
    <s v="Cash"/>
    <s v="Not Returned"/>
  </r>
  <r>
    <s v="TID_173"/>
    <x v="4"/>
    <x v="2"/>
    <x v="2"/>
    <x v="2"/>
    <x v="3"/>
    <x v="1"/>
    <n v="6"/>
    <n v="6"/>
    <n v="10"/>
    <n v="10"/>
    <n v="97"/>
    <x v="0"/>
    <n v="248.62"/>
    <n v="24116.14"/>
    <n v="20079.098163999999"/>
    <n v="16432.262399764539"/>
    <x v="1"/>
    <n v="16.739999999999998"/>
    <b v="1"/>
    <d v="2023-09-06T00:00:00"/>
    <x v="3"/>
    <x v="1"/>
    <n v="53"/>
    <x v="0"/>
    <s v="Online Payment"/>
    <s v="Not Returned"/>
  </r>
  <r>
    <s v="TID_1641"/>
    <x v="6"/>
    <x v="1"/>
    <x v="0"/>
    <x v="1"/>
    <x v="2"/>
    <x v="2"/>
    <n v="6"/>
    <n v="13"/>
    <n v="10"/>
    <n v="10"/>
    <n v="49"/>
    <x v="5"/>
    <n v="492.08"/>
    <n v="24111.919999999998"/>
    <n v="18872.399783999997"/>
    <n v="17638.96077976454"/>
    <x v="0"/>
    <n v="21.73"/>
    <b v="1"/>
    <d v="2024-06-01T00:00:00"/>
    <x v="1"/>
    <x v="0"/>
    <n v="50"/>
    <x v="2"/>
    <s v="Cash"/>
    <s v="Not Returned"/>
  </r>
  <r>
    <s v="TID_1288"/>
    <x v="4"/>
    <x v="2"/>
    <x v="3"/>
    <x v="0"/>
    <x v="1"/>
    <x v="2"/>
    <n v="6"/>
    <n v="6"/>
    <n v="6"/>
    <n v="10"/>
    <n v="43"/>
    <x v="5"/>
    <n v="558.84"/>
    <n v="24030.12"/>
    <n v="20911.010424"/>
    <n v="15600.350139764538"/>
    <x v="0"/>
    <n v="12.98"/>
    <b v="1"/>
    <d v="2024-02-09T00:00:00"/>
    <x v="2"/>
    <x v="0"/>
    <n v="24"/>
    <x v="1"/>
    <s v="Online Payment"/>
    <s v="Not Returned"/>
  </r>
  <r>
    <s v="TID_1118"/>
    <x v="3"/>
    <x v="0"/>
    <x v="2"/>
    <x v="1"/>
    <x v="1"/>
    <x v="1"/>
    <n v="5"/>
    <n v="4"/>
    <n v="10"/>
    <n v="10"/>
    <n v="91"/>
    <x v="1"/>
    <n v="263.95"/>
    <n v="24019.45"/>
    <n v="23649.550470000002"/>
    <n v="12861.810093764536"/>
    <x v="0"/>
    <n v="1.54"/>
    <b v="1"/>
    <d v="2023-10-31T00:00:00"/>
    <x v="0"/>
    <x v="1"/>
    <n v="63"/>
    <x v="0"/>
    <s v="Debit Card"/>
    <s v="Not Returned"/>
  </r>
  <r>
    <s v="TID_862"/>
    <x v="1"/>
    <x v="0"/>
    <x v="2"/>
    <x v="2"/>
    <x v="2"/>
    <x v="0"/>
    <n v="5"/>
    <n v="4"/>
    <n v="10"/>
    <n v="10"/>
    <n v="38"/>
    <x v="6"/>
    <n v="628.32000000000005"/>
    <n v="23876.16"/>
    <n v="18890.817792000002"/>
    <n v="17620.542771764536"/>
    <x v="0"/>
    <n v="20.88"/>
    <b v="1"/>
    <d v="2023-02-20T00:00:00"/>
    <x v="2"/>
    <x v="1"/>
    <n v="60"/>
    <x v="0"/>
    <s v="Credit Card"/>
    <s v="Returned"/>
  </r>
  <r>
    <s v="TID_1768"/>
    <x v="2"/>
    <x v="1"/>
    <x v="3"/>
    <x v="0"/>
    <x v="4"/>
    <x v="3"/>
    <n v="3"/>
    <n v="13"/>
    <n v="6"/>
    <n v="9"/>
    <n v="36"/>
    <x v="6"/>
    <n v="660.65"/>
    <n v="23783.4"/>
    <n v="23783.4"/>
    <n v="12727.960563764536"/>
    <x v="1"/>
    <n v="6.25"/>
    <b v="0"/>
    <d v="2024-02-25T00:00:00"/>
    <x v="2"/>
    <x v="0"/>
    <n v="37"/>
    <x v="1"/>
    <s v="Credit Card"/>
    <s v="Not Returned"/>
  </r>
  <r>
    <s v="TID_1991"/>
    <x v="9"/>
    <x v="4"/>
    <x v="3"/>
    <x v="0"/>
    <x v="3"/>
    <x v="0"/>
    <n v="6"/>
    <n v="13"/>
    <n v="6"/>
    <n v="10"/>
    <n v="26"/>
    <x v="6"/>
    <n v="910.94"/>
    <n v="23684.44"/>
    <n v="23684.44"/>
    <n v="12826.920563764539"/>
    <x v="0"/>
    <n v="29.37"/>
    <b v="0"/>
    <d v="2024-04-06T00:00:00"/>
    <x v="1"/>
    <x v="0"/>
    <n v="59"/>
    <x v="1"/>
    <s v="Credit Card"/>
    <s v="Returned"/>
  </r>
  <r>
    <s v="TID_1389"/>
    <x v="5"/>
    <x v="2"/>
    <x v="0"/>
    <x v="1"/>
    <x v="3"/>
    <x v="0"/>
    <n v="7"/>
    <n v="6"/>
    <n v="10"/>
    <n v="10"/>
    <n v="83"/>
    <x v="2"/>
    <n v="284.85000000000002"/>
    <n v="23642.55"/>
    <n v="23642.55"/>
    <n v="12868.810563764539"/>
    <x v="0"/>
    <n v="11.21"/>
    <b v="0"/>
    <d v="2023-11-27T00:00:00"/>
    <x v="0"/>
    <x v="1"/>
    <n v="18"/>
    <x v="1"/>
    <s v="Credit Card"/>
    <s v="Not Returned"/>
  </r>
  <r>
    <s v="TID_891"/>
    <x v="6"/>
    <x v="1"/>
    <x v="0"/>
    <x v="1"/>
    <x v="2"/>
    <x v="3"/>
    <n v="6"/>
    <n v="13"/>
    <n v="10"/>
    <n v="9"/>
    <n v="23"/>
    <x v="6"/>
    <n v="1027.3800000000001"/>
    <n v="23629.74"/>
    <n v="23629.74"/>
    <n v="12881.620563764536"/>
    <x v="1"/>
    <n v="17.61"/>
    <b v="0"/>
    <d v="2023-06-26T00:00:00"/>
    <x v="1"/>
    <x v="1"/>
    <n v="40"/>
    <x v="0"/>
    <s v="Online Payment"/>
    <s v="Returned"/>
  </r>
  <r>
    <s v="TID_1067"/>
    <x v="2"/>
    <x v="1"/>
    <x v="3"/>
    <x v="2"/>
    <x v="2"/>
    <x v="2"/>
    <n v="3"/>
    <n v="13"/>
    <n v="10"/>
    <n v="10"/>
    <n v="28"/>
    <x v="6"/>
    <n v="842.31"/>
    <n v="23584.68"/>
    <n v="23584.68"/>
    <n v="12926.680563764538"/>
    <x v="0"/>
    <n v="21.76"/>
    <b v="0"/>
    <d v="2024-10-20T00:00:00"/>
    <x v="0"/>
    <x v="0"/>
    <n v="31"/>
    <x v="0"/>
    <s v="Debit Card"/>
    <s v="Returned"/>
  </r>
  <r>
    <s v="TID_1195"/>
    <x v="5"/>
    <x v="2"/>
    <x v="2"/>
    <x v="0"/>
    <x v="1"/>
    <x v="1"/>
    <n v="7"/>
    <n v="6"/>
    <n v="6"/>
    <n v="10"/>
    <n v="33"/>
    <x v="6"/>
    <n v="714.51"/>
    <n v="23578.83"/>
    <n v="23578.83"/>
    <n v="12932.530563764536"/>
    <x v="0"/>
    <n v="19.559999999999999"/>
    <b v="0"/>
    <d v="2023-08-01T00:00:00"/>
    <x v="3"/>
    <x v="1"/>
    <n v="38"/>
    <x v="0"/>
    <s v="Debit Card"/>
    <s v="Returned"/>
  </r>
  <r>
    <s v="TID_1388"/>
    <x v="1"/>
    <x v="0"/>
    <x v="1"/>
    <x v="1"/>
    <x v="4"/>
    <x v="1"/>
    <n v="5"/>
    <n v="4"/>
    <n v="10"/>
    <n v="10"/>
    <n v="37"/>
    <x v="6"/>
    <n v="636.33000000000004"/>
    <n v="23544.21"/>
    <n v="23544.21"/>
    <n v="12967.150563764539"/>
    <x v="0"/>
    <n v="29.49"/>
    <b v="0"/>
    <d v="2024-03-14T00:00:00"/>
    <x v="2"/>
    <x v="0"/>
    <n v="35"/>
    <x v="0"/>
    <s v="Cash"/>
    <s v="Returned"/>
  </r>
  <r>
    <s v="TID_418"/>
    <x v="9"/>
    <x v="4"/>
    <x v="2"/>
    <x v="0"/>
    <x v="2"/>
    <x v="0"/>
    <n v="6"/>
    <n v="13"/>
    <n v="6"/>
    <n v="10"/>
    <n v="34"/>
    <x v="6"/>
    <n v="692.01"/>
    <n v="23528.34"/>
    <n v="23528.34"/>
    <n v="12983.020563764538"/>
    <x v="0"/>
    <n v="20.14"/>
    <b v="0"/>
    <d v="2023-10-08T00:00:00"/>
    <x v="0"/>
    <x v="1"/>
    <n v="33"/>
    <x v="0"/>
    <s v="Online Payment"/>
    <s v="Returned"/>
  </r>
  <r>
    <s v="TID_764"/>
    <x v="0"/>
    <x v="0"/>
    <x v="1"/>
    <x v="1"/>
    <x v="3"/>
    <x v="1"/>
    <n v="5"/>
    <n v="4"/>
    <n v="10"/>
    <n v="10"/>
    <n v="84"/>
    <x v="2"/>
    <n v="280.02"/>
    <n v="23521.68"/>
    <n v="23521.68"/>
    <n v="12989.680563764538"/>
    <x v="1"/>
    <n v="15.04"/>
    <b v="0"/>
    <d v="2024-04-05T00:00:00"/>
    <x v="1"/>
    <x v="0"/>
    <n v="34"/>
    <x v="2"/>
    <s v="Cash"/>
    <s v="Returned"/>
  </r>
  <r>
    <s v="TID_508"/>
    <x v="2"/>
    <x v="1"/>
    <x v="3"/>
    <x v="1"/>
    <x v="3"/>
    <x v="2"/>
    <n v="3"/>
    <n v="13"/>
    <n v="10"/>
    <n v="10"/>
    <n v="66"/>
    <x v="3"/>
    <n v="355.84"/>
    <n v="23485.439999999999"/>
    <n v="17642.262527999999"/>
    <n v="18869.098035764539"/>
    <x v="0"/>
    <n v="24.88"/>
    <b v="1"/>
    <d v="2024-06-24T00:00:00"/>
    <x v="1"/>
    <x v="0"/>
    <n v="54"/>
    <x v="0"/>
    <s v="Online Payment"/>
    <s v="Returned"/>
  </r>
  <r>
    <s v="TID_1509"/>
    <x v="2"/>
    <x v="1"/>
    <x v="1"/>
    <x v="0"/>
    <x v="3"/>
    <x v="0"/>
    <n v="3"/>
    <n v="13"/>
    <n v="6"/>
    <n v="10"/>
    <n v="16"/>
    <x v="6"/>
    <n v="1467.19"/>
    <n v="23475.040000000001"/>
    <n v="23475.040000000001"/>
    <n v="13036.320563764537"/>
    <x v="0"/>
    <n v="3.85"/>
    <b v="0"/>
    <d v="2024-08-26T00:00:00"/>
    <x v="3"/>
    <x v="0"/>
    <n v="35"/>
    <x v="2"/>
    <s v="Online Payment"/>
    <s v="Returned"/>
  </r>
  <r>
    <s v="TID_1755"/>
    <x v="0"/>
    <x v="0"/>
    <x v="2"/>
    <x v="2"/>
    <x v="3"/>
    <x v="3"/>
    <n v="5"/>
    <n v="4"/>
    <n v="10"/>
    <n v="9"/>
    <n v="85"/>
    <x v="2"/>
    <n v="276.02999999999997"/>
    <n v="23462.55"/>
    <n v="23462.55"/>
    <n v="13048.810563764539"/>
    <x v="1"/>
    <n v="17.309999999999999"/>
    <b v="0"/>
    <d v="2023-06-01T00:00:00"/>
    <x v="1"/>
    <x v="1"/>
    <n v="64"/>
    <x v="0"/>
    <s v="Cash"/>
    <s v="Returned"/>
  </r>
  <r>
    <s v="TID_1478"/>
    <x v="9"/>
    <x v="4"/>
    <x v="3"/>
    <x v="0"/>
    <x v="1"/>
    <x v="2"/>
    <n v="6"/>
    <n v="13"/>
    <n v="6"/>
    <n v="10"/>
    <n v="23"/>
    <x v="6"/>
    <n v="1019.31"/>
    <n v="23444.13"/>
    <n v="23444.13"/>
    <n v="13067.230563764537"/>
    <x v="1"/>
    <n v="11.2"/>
    <b v="0"/>
    <d v="2024-04-14T00:00:00"/>
    <x v="1"/>
    <x v="0"/>
    <n v="41"/>
    <x v="1"/>
    <s v="Online Payment"/>
    <s v="Returned"/>
  </r>
  <r>
    <s v="TID_1053"/>
    <x v="8"/>
    <x v="3"/>
    <x v="0"/>
    <x v="1"/>
    <x v="4"/>
    <x v="0"/>
    <n v="9"/>
    <n v="7"/>
    <n v="10"/>
    <n v="10"/>
    <n v="24"/>
    <x v="6"/>
    <n v="974.22"/>
    <n v="23381.279999999999"/>
    <n v="23381.279999999999"/>
    <n v="13130.080563764539"/>
    <x v="0"/>
    <n v="15.65"/>
    <b v="0"/>
    <d v="2023-04-15T00:00:00"/>
    <x v="1"/>
    <x v="1"/>
    <n v="40"/>
    <x v="1"/>
    <s v="Credit Card"/>
    <s v="Returned"/>
  </r>
  <r>
    <s v="TID_243"/>
    <x v="5"/>
    <x v="2"/>
    <x v="1"/>
    <x v="2"/>
    <x v="0"/>
    <x v="2"/>
    <n v="7"/>
    <n v="6"/>
    <n v="10"/>
    <n v="10"/>
    <n v="18"/>
    <x v="6"/>
    <n v="1297.1099999999999"/>
    <n v="23347.98"/>
    <n v="19406.840976"/>
    <n v="17104.519587764538"/>
    <x v="1"/>
    <n v="16.88"/>
    <b v="1"/>
    <d v="2024-08-09T00:00:00"/>
    <x v="3"/>
    <x v="0"/>
    <n v="35"/>
    <x v="0"/>
    <s v="Debit Card"/>
    <s v="Returned"/>
  </r>
  <r>
    <s v="TID_752"/>
    <x v="6"/>
    <x v="1"/>
    <x v="1"/>
    <x v="1"/>
    <x v="1"/>
    <x v="1"/>
    <n v="6"/>
    <n v="13"/>
    <n v="10"/>
    <n v="10"/>
    <n v="68"/>
    <x v="3"/>
    <n v="343.02"/>
    <n v="23325.360000000001"/>
    <n v="23325.360000000001"/>
    <n v="13186.000563764537"/>
    <x v="0"/>
    <n v="8.68"/>
    <b v="0"/>
    <d v="2024-05-18T00:00:00"/>
    <x v="1"/>
    <x v="0"/>
    <n v="24"/>
    <x v="2"/>
    <s v="Online Payment"/>
    <s v="Returned"/>
  </r>
  <r>
    <s v="TID_1620"/>
    <x v="9"/>
    <x v="4"/>
    <x v="3"/>
    <x v="2"/>
    <x v="3"/>
    <x v="1"/>
    <n v="6"/>
    <n v="13"/>
    <n v="10"/>
    <n v="10"/>
    <n v="22"/>
    <x v="6"/>
    <n v="1059.83"/>
    <n v="23316.26"/>
    <n v="22793.975775999999"/>
    <n v="13717.384787764538"/>
    <x v="0"/>
    <n v="2.2400000000000002"/>
    <b v="1"/>
    <d v="2023-09-22T00:00:00"/>
    <x v="3"/>
    <x v="1"/>
    <n v="51"/>
    <x v="0"/>
    <s v="Cash"/>
    <s v="Returned"/>
  </r>
  <r>
    <s v="TID_1541"/>
    <x v="2"/>
    <x v="1"/>
    <x v="3"/>
    <x v="2"/>
    <x v="0"/>
    <x v="2"/>
    <n v="3"/>
    <n v="13"/>
    <n v="10"/>
    <n v="10"/>
    <n v="75"/>
    <x v="3"/>
    <n v="310.43"/>
    <n v="23282.25"/>
    <n v="23282.25"/>
    <n v="13229.110563764538"/>
    <x v="1"/>
    <n v="17.350000000000001"/>
    <b v="0"/>
    <d v="2023-08-03T00:00:00"/>
    <x v="3"/>
    <x v="1"/>
    <n v="20"/>
    <x v="0"/>
    <s v="Cash"/>
    <s v="Not Returned"/>
  </r>
  <r>
    <s v="TID_467"/>
    <x v="9"/>
    <x v="4"/>
    <x v="3"/>
    <x v="2"/>
    <x v="4"/>
    <x v="3"/>
    <n v="6"/>
    <n v="13"/>
    <n v="10"/>
    <n v="9"/>
    <n v="19"/>
    <x v="6"/>
    <n v="1225.03"/>
    <n v="23275.57"/>
    <n v="23275.57"/>
    <n v="13235.790563764538"/>
    <x v="1"/>
    <n v="23.83"/>
    <b v="0"/>
    <d v="2023-12-27T00:00:00"/>
    <x v="0"/>
    <x v="1"/>
    <n v="68"/>
    <x v="0"/>
    <s v="Cash"/>
    <s v="Returned"/>
  </r>
  <r>
    <s v="TID_1287"/>
    <x v="3"/>
    <x v="0"/>
    <x v="1"/>
    <x v="1"/>
    <x v="0"/>
    <x v="1"/>
    <n v="5"/>
    <n v="4"/>
    <n v="10"/>
    <n v="10"/>
    <n v="72"/>
    <x v="3"/>
    <n v="323.13"/>
    <n v="23265.360000000001"/>
    <n v="23265.360000000001"/>
    <n v="13246.000563764537"/>
    <x v="1"/>
    <n v="5.39"/>
    <b v="0"/>
    <d v="2023-05-07T00:00:00"/>
    <x v="1"/>
    <x v="1"/>
    <n v="19"/>
    <x v="1"/>
    <s v="Cash"/>
    <s v="Not Returned"/>
  </r>
  <r>
    <s v="TID_774"/>
    <x v="1"/>
    <x v="0"/>
    <x v="2"/>
    <x v="1"/>
    <x v="2"/>
    <x v="1"/>
    <n v="5"/>
    <n v="4"/>
    <n v="10"/>
    <n v="10"/>
    <n v="89"/>
    <x v="2"/>
    <n v="260.3"/>
    <n v="23166.7"/>
    <n v="23166.7"/>
    <n v="13344.660563764537"/>
    <x v="0"/>
    <n v="28.14"/>
    <b v="0"/>
    <d v="2023-04-01T00:00:00"/>
    <x v="1"/>
    <x v="1"/>
    <n v="23"/>
    <x v="0"/>
    <s v="Cash"/>
    <s v="Returned"/>
  </r>
  <r>
    <s v="TID_1248"/>
    <x v="7"/>
    <x v="2"/>
    <x v="2"/>
    <x v="2"/>
    <x v="1"/>
    <x v="3"/>
    <n v="2"/>
    <n v="6"/>
    <n v="10"/>
    <n v="9"/>
    <n v="75"/>
    <x v="3"/>
    <n v="308.13"/>
    <n v="23109.75"/>
    <n v="16983.355275000002"/>
    <n v="19528.005288764536"/>
    <x v="0"/>
    <n v="26.51"/>
    <b v="1"/>
    <d v="2023-08-28T00:00:00"/>
    <x v="3"/>
    <x v="1"/>
    <n v="50"/>
    <x v="1"/>
    <s v="Credit Card"/>
    <s v="Returned"/>
  </r>
  <r>
    <s v="TID_1151"/>
    <x v="5"/>
    <x v="2"/>
    <x v="3"/>
    <x v="2"/>
    <x v="3"/>
    <x v="2"/>
    <n v="7"/>
    <n v="6"/>
    <n v="10"/>
    <n v="10"/>
    <n v="72"/>
    <x v="3"/>
    <n v="320.83"/>
    <n v="23099.759999999998"/>
    <n v="23099.759999999998"/>
    <n v="13411.600563764539"/>
    <x v="0"/>
    <n v="14.47"/>
    <b v="0"/>
    <d v="2023-03-15T00:00:00"/>
    <x v="2"/>
    <x v="1"/>
    <n v="68"/>
    <x v="0"/>
    <s v="Credit Card"/>
    <s v="Returned"/>
  </r>
  <r>
    <s v="TID_1725"/>
    <x v="3"/>
    <x v="0"/>
    <x v="2"/>
    <x v="2"/>
    <x v="1"/>
    <x v="3"/>
    <n v="5"/>
    <n v="4"/>
    <n v="10"/>
    <n v="9"/>
    <n v="49"/>
    <x v="5"/>
    <n v="470.93"/>
    <n v="23075.57"/>
    <n v="23075.57"/>
    <n v="13435.790563764538"/>
    <x v="1"/>
    <n v="22.94"/>
    <b v="0"/>
    <d v="2024-09-05T00:00:00"/>
    <x v="3"/>
    <x v="0"/>
    <n v="41"/>
    <x v="2"/>
    <s v="Cash"/>
    <s v="Returned"/>
  </r>
  <r>
    <s v="TID_1756"/>
    <x v="2"/>
    <x v="1"/>
    <x v="1"/>
    <x v="1"/>
    <x v="1"/>
    <x v="3"/>
    <n v="3"/>
    <n v="13"/>
    <n v="10"/>
    <n v="9"/>
    <n v="66"/>
    <x v="3"/>
    <n v="349.35"/>
    <n v="23057.1"/>
    <n v="23057.1"/>
    <n v="13454.260563764539"/>
    <x v="0"/>
    <n v="3.78"/>
    <b v="0"/>
    <d v="2024-01-27T00:00:00"/>
    <x v="2"/>
    <x v="0"/>
    <n v="29"/>
    <x v="0"/>
    <s v="Credit Card"/>
    <s v="Not Returned"/>
  </r>
  <r>
    <s v="TID_179"/>
    <x v="6"/>
    <x v="1"/>
    <x v="0"/>
    <x v="1"/>
    <x v="2"/>
    <x v="2"/>
    <n v="6"/>
    <n v="13"/>
    <n v="10"/>
    <n v="10"/>
    <n v="24"/>
    <x v="6"/>
    <n v="959.73"/>
    <n v="23033.52"/>
    <n v="23033.52"/>
    <n v="13477.840563764537"/>
    <x v="1"/>
    <n v="27.65"/>
    <b v="0"/>
    <d v="2024-08-26T00:00:00"/>
    <x v="3"/>
    <x v="0"/>
    <n v="21"/>
    <x v="1"/>
    <s v="Debit Card"/>
    <s v="Returned"/>
  </r>
  <r>
    <s v="TID_455"/>
    <x v="1"/>
    <x v="0"/>
    <x v="2"/>
    <x v="2"/>
    <x v="1"/>
    <x v="1"/>
    <n v="5"/>
    <n v="4"/>
    <n v="10"/>
    <n v="10"/>
    <n v="30"/>
    <x v="6"/>
    <n v="767.39"/>
    <n v="23021.7"/>
    <n v="23021.7"/>
    <n v="13489.660563764537"/>
    <x v="1"/>
    <n v="15.67"/>
    <b v="0"/>
    <d v="2023-04-14T00:00:00"/>
    <x v="1"/>
    <x v="1"/>
    <n v="27"/>
    <x v="2"/>
    <s v="Debit Card"/>
    <s v="Returned"/>
  </r>
  <r>
    <s v="TID_1908"/>
    <x v="5"/>
    <x v="2"/>
    <x v="1"/>
    <x v="2"/>
    <x v="1"/>
    <x v="2"/>
    <n v="7"/>
    <n v="6"/>
    <n v="10"/>
    <n v="10"/>
    <n v="80"/>
    <x v="3"/>
    <n v="286.23"/>
    <n v="22898.400000000001"/>
    <n v="20313.17064"/>
    <n v="16198.189923764538"/>
    <x v="1"/>
    <n v="11.29"/>
    <b v="1"/>
    <d v="2023-11-30T00:00:00"/>
    <x v="0"/>
    <x v="1"/>
    <n v="37"/>
    <x v="1"/>
    <s v="Online Payment"/>
    <s v="Returned"/>
  </r>
  <r>
    <s v="TID_904"/>
    <x v="6"/>
    <x v="1"/>
    <x v="2"/>
    <x v="1"/>
    <x v="2"/>
    <x v="1"/>
    <n v="6"/>
    <n v="13"/>
    <n v="10"/>
    <n v="10"/>
    <n v="22"/>
    <x v="6"/>
    <n v="1039.95"/>
    <n v="22878.9"/>
    <n v="22414.458330000001"/>
    <n v="14096.902233764537"/>
    <x v="0"/>
    <n v="2.0299999999999998"/>
    <b v="1"/>
    <d v="2024-07-03T00:00:00"/>
    <x v="3"/>
    <x v="0"/>
    <n v="25"/>
    <x v="0"/>
    <s v="Online Payment"/>
    <s v="Not Returned"/>
  </r>
  <r>
    <s v="TID_982"/>
    <x v="6"/>
    <x v="1"/>
    <x v="2"/>
    <x v="0"/>
    <x v="4"/>
    <x v="3"/>
    <n v="6"/>
    <n v="13"/>
    <n v="6"/>
    <n v="9"/>
    <n v="82"/>
    <x v="2"/>
    <n v="278.85000000000002"/>
    <n v="22865.7"/>
    <n v="22138.570739999999"/>
    <n v="14372.789823764539"/>
    <x v="1"/>
    <n v="3.18"/>
    <b v="1"/>
    <d v="2024-03-03T00:00:00"/>
    <x v="2"/>
    <x v="0"/>
    <n v="28"/>
    <x v="1"/>
    <s v="Credit Card"/>
    <s v="Not Returned"/>
  </r>
  <r>
    <s v="TID_763"/>
    <x v="9"/>
    <x v="4"/>
    <x v="1"/>
    <x v="2"/>
    <x v="4"/>
    <x v="1"/>
    <n v="6"/>
    <n v="13"/>
    <n v="10"/>
    <n v="10"/>
    <n v="63"/>
    <x v="3"/>
    <n v="362.92"/>
    <n v="22863.96"/>
    <n v="22863.96"/>
    <n v="13647.400563764539"/>
    <x v="0"/>
    <n v="0.36"/>
    <b v="0"/>
    <d v="2024-06-15T00:00:00"/>
    <x v="1"/>
    <x v="0"/>
    <n v="49"/>
    <x v="2"/>
    <s v="Cash"/>
    <s v="Not Returned"/>
  </r>
  <r>
    <s v="TID_6"/>
    <x v="9"/>
    <x v="4"/>
    <x v="2"/>
    <x v="2"/>
    <x v="0"/>
    <x v="3"/>
    <n v="6"/>
    <n v="13"/>
    <n v="10"/>
    <n v="9"/>
    <n v="21"/>
    <x v="6"/>
    <n v="1087.1400000000001"/>
    <n v="22829.94"/>
    <n v="22829.94"/>
    <n v="13681.420563764539"/>
    <x v="0"/>
    <n v="28.57"/>
    <b v="0"/>
    <d v="2023-09-03T00:00:00"/>
    <x v="3"/>
    <x v="1"/>
    <n v="46"/>
    <x v="2"/>
    <s v="Cash"/>
    <s v="Not Returned"/>
  </r>
  <r>
    <s v="TID_1581"/>
    <x v="0"/>
    <x v="0"/>
    <x v="0"/>
    <x v="2"/>
    <x v="4"/>
    <x v="2"/>
    <n v="5"/>
    <n v="4"/>
    <n v="10"/>
    <n v="10"/>
    <n v="96"/>
    <x v="0"/>
    <n v="237.1"/>
    <n v="22761.599999999999"/>
    <n v="18789.700799999999"/>
    <n v="17721.659763764539"/>
    <x v="0"/>
    <n v="17.45"/>
    <b v="1"/>
    <d v="2024-04-21T00:00:00"/>
    <x v="1"/>
    <x v="0"/>
    <n v="41"/>
    <x v="2"/>
    <s v="Debit Card"/>
    <s v="Returned"/>
  </r>
  <r>
    <s v="TID_892"/>
    <x v="5"/>
    <x v="2"/>
    <x v="0"/>
    <x v="0"/>
    <x v="4"/>
    <x v="2"/>
    <n v="7"/>
    <n v="6"/>
    <n v="6"/>
    <n v="10"/>
    <n v="63"/>
    <x v="3"/>
    <n v="361.23"/>
    <n v="22757.49"/>
    <n v="17564.230782000002"/>
    <n v="18947.129781764535"/>
    <x v="1"/>
    <n v="22.82"/>
    <b v="1"/>
    <d v="2024-07-28T00:00:00"/>
    <x v="3"/>
    <x v="0"/>
    <n v="51"/>
    <x v="2"/>
    <s v="Debit Card"/>
    <s v="Returned"/>
  </r>
  <r>
    <s v="TID_1342"/>
    <x v="7"/>
    <x v="2"/>
    <x v="1"/>
    <x v="0"/>
    <x v="3"/>
    <x v="2"/>
    <n v="2"/>
    <n v="6"/>
    <n v="6"/>
    <n v="10"/>
    <n v="57"/>
    <x v="4"/>
    <n v="398.1"/>
    <n v="22691.7"/>
    <n v="22691.7"/>
    <n v="13819.660563764537"/>
    <x v="0"/>
    <n v="26.52"/>
    <b v="0"/>
    <d v="2023-05-15T00:00:00"/>
    <x v="1"/>
    <x v="1"/>
    <n v="66"/>
    <x v="1"/>
    <s v="Cash"/>
    <s v="Returned"/>
  </r>
  <r>
    <s v="TID_427"/>
    <x v="8"/>
    <x v="3"/>
    <x v="2"/>
    <x v="1"/>
    <x v="2"/>
    <x v="3"/>
    <n v="9"/>
    <n v="7"/>
    <n v="10"/>
    <n v="9"/>
    <n v="32"/>
    <x v="6"/>
    <n v="707.23"/>
    <n v="22631.360000000001"/>
    <n v="22631.360000000001"/>
    <n v="13880.000563764537"/>
    <x v="1"/>
    <n v="17.16"/>
    <b v="0"/>
    <d v="2023-01-28T00:00:00"/>
    <x v="2"/>
    <x v="1"/>
    <n v="18"/>
    <x v="2"/>
    <s v="Debit Card"/>
    <s v="Returned"/>
  </r>
  <r>
    <s v="TID_1364"/>
    <x v="6"/>
    <x v="1"/>
    <x v="2"/>
    <x v="2"/>
    <x v="3"/>
    <x v="2"/>
    <n v="6"/>
    <n v="13"/>
    <n v="10"/>
    <n v="10"/>
    <n v="69"/>
    <x v="3"/>
    <n v="327.67"/>
    <n v="22609.23"/>
    <n v="22609.23"/>
    <n v="13902.130563764538"/>
    <x v="1"/>
    <n v="9.4"/>
    <b v="0"/>
    <d v="2024-05-20T00:00:00"/>
    <x v="1"/>
    <x v="0"/>
    <n v="26"/>
    <x v="0"/>
    <s v="Debit Card"/>
    <s v="Not Returned"/>
  </r>
  <r>
    <s v="TID_1010"/>
    <x v="2"/>
    <x v="1"/>
    <x v="2"/>
    <x v="2"/>
    <x v="2"/>
    <x v="0"/>
    <n v="3"/>
    <n v="13"/>
    <n v="10"/>
    <n v="10"/>
    <n v="37"/>
    <x v="6"/>
    <n v="608.86"/>
    <n v="22527.82"/>
    <n v="21606.432161999997"/>
    <n v="14904.92840176454"/>
    <x v="0"/>
    <n v="4.09"/>
    <b v="1"/>
    <d v="2023-02-12T00:00:00"/>
    <x v="2"/>
    <x v="1"/>
    <n v="28"/>
    <x v="1"/>
    <s v="Online Payment"/>
    <s v="Returned"/>
  </r>
  <r>
    <s v="TID_1662"/>
    <x v="7"/>
    <x v="2"/>
    <x v="0"/>
    <x v="1"/>
    <x v="1"/>
    <x v="0"/>
    <n v="2"/>
    <n v="6"/>
    <n v="10"/>
    <n v="10"/>
    <n v="38"/>
    <x v="6"/>
    <n v="591.77"/>
    <n v="22487.26"/>
    <n v="22487.26"/>
    <n v="14024.100563764539"/>
    <x v="0"/>
    <n v="21.15"/>
    <b v="0"/>
    <d v="2024-04-29T00:00:00"/>
    <x v="1"/>
    <x v="0"/>
    <n v="43"/>
    <x v="1"/>
    <s v="Debit Card"/>
    <s v="Not Returned"/>
  </r>
  <r>
    <s v="TID_1676"/>
    <x v="1"/>
    <x v="0"/>
    <x v="1"/>
    <x v="2"/>
    <x v="1"/>
    <x v="1"/>
    <n v="5"/>
    <n v="4"/>
    <n v="10"/>
    <n v="10"/>
    <n v="76"/>
    <x v="3"/>
    <n v="295.52999999999997"/>
    <n v="22460.28"/>
    <n v="22460.28"/>
    <n v="14051.080563764539"/>
    <x v="1"/>
    <n v="12.42"/>
    <b v="0"/>
    <d v="2024-01-25T00:00:00"/>
    <x v="2"/>
    <x v="0"/>
    <n v="31"/>
    <x v="0"/>
    <s v="Credit Card"/>
    <s v="Not Returned"/>
  </r>
  <r>
    <s v="TID_1640"/>
    <x v="0"/>
    <x v="0"/>
    <x v="0"/>
    <x v="2"/>
    <x v="1"/>
    <x v="2"/>
    <n v="5"/>
    <n v="4"/>
    <n v="10"/>
    <n v="10"/>
    <n v="18"/>
    <x v="6"/>
    <n v="1246.53"/>
    <n v="22437.54"/>
    <n v="22437.54"/>
    <n v="14073.820563764537"/>
    <x v="1"/>
    <n v="9.07"/>
    <b v="0"/>
    <d v="2024-02-12T00:00:00"/>
    <x v="2"/>
    <x v="0"/>
    <n v="23"/>
    <x v="2"/>
    <s v="Credit Card"/>
    <s v="Not Returned"/>
  </r>
  <r>
    <s v="TID_966"/>
    <x v="5"/>
    <x v="2"/>
    <x v="1"/>
    <x v="2"/>
    <x v="3"/>
    <x v="0"/>
    <n v="7"/>
    <n v="6"/>
    <n v="10"/>
    <n v="10"/>
    <n v="78"/>
    <x v="3"/>
    <n v="287.14999999999998"/>
    <n v="22397.7"/>
    <n v="22397.7"/>
    <n v="14113.660563764537"/>
    <x v="1"/>
    <n v="11.09"/>
    <b v="0"/>
    <d v="2023-05-22T00:00:00"/>
    <x v="1"/>
    <x v="1"/>
    <n v="41"/>
    <x v="2"/>
    <s v="Debit Card"/>
    <s v="Returned"/>
  </r>
  <r>
    <s v="TID_1767"/>
    <x v="4"/>
    <x v="2"/>
    <x v="1"/>
    <x v="2"/>
    <x v="0"/>
    <x v="2"/>
    <n v="6"/>
    <n v="6"/>
    <n v="10"/>
    <n v="10"/>
    <n v="82"/>
    <x v="2"/>
    <n v="272.45999999999998"/>
    <n v="22341.72"/>
    <n v="22341.72"/>
    <n v="14169.640563764537"/>
    <x v="1"/>
    <n v="15.43"/>
    <b v="0"/>
    <d v="2023-05-12T00:00:00"/>
    <x v="1"/>
    <x v="1"/>
    <n v="49"/>
    <x v="1"/>
    <s v="Credit Card"/>
    <s v="Returned"/>
  </r>
  <r>
    <s v="TID_58"/>
    <x v="8"/>
    <x v="3"/>
    <x v="0"/>
    <x v="1"/>
    <x v="2"/>
    <x v="0"/>
    <n v="9"/>
    <n v="7"/>
    <n v="10"/>
    <n v="10"/>
    <n v="17"/>
    <x v="6"/>
    <n v="1313.33"/>
    <n v="22326.61"/>
    <n v="18662.813299000001"/>
    <n v="17848.547264764537"/>
    <x v="1"/>
    <n v="16.41"/>
    <b v="1"/>
    <d v="2024-01-17T00:00:00"/>
    <x v="2"/>
    <x v="0"/>
    <n v="43"/>
    <x v="1"/>
    <s v="Online Payment"/>
    <s v="Returned"/>
  </r>
  <r>
    <s v="TID_751"/>
    <x v="4"/>
    <x v="2"/>
    <x v="3"/>
    <x v="0"/>
    <x v="0"/>
    <x v="2"/>
    <n v="6"/>
    <n v="6"/>
    <n v="6"/>
    <n v="10"/>
    <n v="44"/>
    <x v="5"/>
    <n v="506.14"/>
    <n v="22270.16"/>
    <n v="21198.965303999998"/>
    <n v="15312.39525976454"/>
    <x v="0"/>
    <n v="4.8099999999999996"/>
    <b v="1"/>
    <d v="2023-02-13T00:00:00"/>
    <x v="2"/>
    <x v="1"/>
    <n v="43"/>
    <x v="1"/>
    <s v="Debit Card"/>
    <s v="Returned"/>
  </r>
  <r>
    <s v="TID_1503"/>
    <x v="5"/>
    <x v="2"/>
    <x v="0"/>
    <x v="1"/>
    <x v="0"/>
    <x v="0"/>
    <n v="7"/>
    <n v="6"/>
    <n v="10"/>
    <n v="10"/>
    <n v="54"/>
    <x v="4"/>
    <n v="412.32"/>
    <n v="22265.279999999999"/>
    <n v="22265.279999999999"/>
    <n v="14246.080563764539"/>
    <x v="0"/>
    <n v="6.6"/>
    <b v="0"/>
    <d v="2024-09-08T00:00:00"/>
    <x v="3"/>
    <x v="0"/>
    <n v="59"/>
    <x v="1"/>
    <s v="Credit Card"/>
    <s v="Returned"/>
  </r>
  <r>
    <s v="TID_1413"/>
    <x v="9"/>
    <x v="4"/>
    <x v="2"/>
    <x v="2"/>
    <x v="3"/>
    <x v="0"/>
    <n v="6"/>
    <n v="13"/>
    <n v="10"/>
    <n v="10"/>
    <n v="99"/>
    <x v="0"/>
    <n v="224.49"/>
    <n v="22224.51"/>
    <n v="22135.611959999998"/>
    <n v="14375.748603764539"/>
    <x v="0"/>
    <n v="0.4"/>
    <b v="1"/>
    <d v="2024-06-30T00:00:00"/>
    <x v="1"/>
    <x v="0"/>
    <n v="25"/>
    <x v="0"/>
    <s v="Debit Card"/>
    <s v="Not Returned"/>
  </r>
  <r>
    <s v="TID_1273"/>
    <x v="6"/>
    <x v="1"/>
    <x v="0"/>
    <x v="1"/>
    <x v="4"/>
    <x v="1"/>
    <n v="6"/>
    <n v="13"/>
    <n v="10"/>
    <n v="10"/>
    <n v="37"/>
    <x v="6"/>
    <n v="599.39"/>
    <n v="22177.43"/>
    <n v="19520.573885999998"/>
    <n v="16990.786677764539"/>
    <x v="1"/>
    <n v="11.98"/>
    <b v="1"/>
    <d v="2023-11-03T00:00:00"/>
    <x v="0"/>
    <x v="1"/>
    <n v="49"/>
    <x v="0"/>
    <s v="Credit Card"/>
    <s v="Not Returned"/>
  </r>
  <r>
    <s v="TID_1600"/>
    <x v="8"/>
    <x v="3"/>
    <x v="1"/>
    <x v="0"/>
    <x v="2"/>
    <x v="3"/>
    <n v="9"/>
    <n v="7"/>
    <n v="6"/>
    <n v="9"/>
    <n v="19"/>
    <x v="6"/>
    <n v="1166.69"/>
    <n v="22167.11"/>
    <n v="22167.11"/>
    <n v="14344.250563764537"/>
    <x v="0"/>
    <n v="0.52"/>
    <b v="0"/>
    <d v="2023-06-02T00:00:00"/>
    <x v="1"/>
    <x v="1"/>
    <n v="51"/>
    <x v="2"/>
    <s v="Debit Card"/>
    <s v="Returned"/>
  </r>
  <r>
    <s v="TID_669"/>
    <x v="9"/>
    <x v="4"/>
    <x v="1"/>
    <x v="0"/>
    <x v="1"/>
    <x v="3"/>
    <n v="6"/>
    <n v="13"/>
    <n v="6"/>
    <n v="9"/>
    <n v="89"/>
    <x v="2"/>
    <n v="248.27"/>
    <n v="22096.03"/>
    <n v="22096.03"/>
    <n v="14415.330563764539"/>
    <x v="0"/>
    <n v="16.07"/>
    <b v="0"/>
    <d v="2024-08-18T00:00:00"/>
    <x v="3"/>
    <x v="0"/>
    <n v="65"/>
    <x v="1"/>
    <s v="Online Payment"/>
    <s v="Returned"/>
  </r>
  <r>
    <s v="TID_1520"/>
    <x v="5"/>
    <x v="2"/>
    <x v="3"/>
    <x v="2"/>
    <x v="1"/>
    <x v="1"/>
    <n v="7"/>
    <n v="6"/>
    <n v="10"/>
    <n v="10"/>
    <n v="73"/>
    <x v="3"/>
    <n v="302.57"/>
    <n v="22087.61"/>
    <n v="15989.220879"/>
    <n v="20522.139684764537"/>
    <x v="0"/>
    <n v="27.61"/>
    <b v="1"/>
    <d v="2024-08-01T00:00:00"/>
    <x v="3"/>
    <x v="0"/>
    <n v="64"/>
    <x v="2"/>
    <s v="Cash"/>
    <s v="Not Returned"/>
  </r>
  <r>
    <s v="TID_1502"/>
    <x v="5"/>
    <x v="2"/>
    <x v="2"/>
    <x v="2"/>
    <x v="1"/>
    <x v="0"/>
    <n v="7"/>
    <n v="6"/>
    <n v="10"/>
    <n v="10"/>
    <n v="39"/>
    <x v="6"/>
    <n v="565.98"/>
    <n v="22073.22"/>
    <n v="22073.22"/>
    <n v="14438.140563764537"/>
    <x v="0"/>
    <n v="27.76"/>
    <b v="0"/>
    <d v="2024-04-28T00:00:00"/>
    <x v="1"/>
    <x v="0"/>
    <n v="59"/>
    <x v="2"/>
    <s v="Cash"/>
    <s v="Returned"/>
  </r>
  <r>
    <s v="TID_1665"/>
    <x v="1"/>
    <x v="0"/>
    <x v="0"/>
    <x v="1"/>
    <x v="0"/>
    <x v="1"/>
    <n v="5"/>
    <n v="4"/>
    <n v="10"/>
    <n v="10"/>
    <n v="78"/>
    <x v="3"/>
    <n v="282.27999999999997"/>
    <n v="22017.84"/>
    <n v="22017.84"/>
    <n v="14493.520563764538"/>
    <x v="0"/>
    <n v="1.34"/>
    <b v="0"/>
    <d v="2023-11-03T00:00:00"/>
    <x v="0"/>
    <x v="1"/>
    <n v="66"/>
    <x v="0"/>
    <s v="Debit Card"/>
    <s v="Not Returned"/>
  </r>
  <r>
    <s v="TID_1760"/>
    <x v="2"/>
    <x v="1"/>
    <x v="2"/>
    <x v="0"/>
    <x v="4"/>
    <x v="1"/>
    <n v="3"/>
    <n v="13"/>
    <n v="6"/>
    <n v="10"/>
    <n v="79"/>
    <x v="3"/>
    <n v="278.67"/>
    <n v="22014.93"/>
    <n v="22014.93"/>
    <n v="14496.430563764538"/>
    <x v="0"/>
    <n v="4.5"/>
    <b v="0"/>
    <d v="2024-07-23T00:00:00"/>
    <x v="3"/>
    <x v="0"/>
    <n v="19"/>
    <x v="1"/>
    <s v="Credit Card"/>
    <s v="Returned"/>
  </r>
  <r>
    <s v="TID_1771"/>
    <x v="1"/>
    <x v="0"/>
    <x v="1"/>
    <x v="0"/>
    <x v="4"/>
    <x v="2"/>
    <n v="5"/>
    <n v="4"/>
    <n v="6"/>
    <n v="10"/>
    <n v="31"/>
    <x v="6"/>
    <n v="709.77"/>
    <n v="22002.87"/>
    <n v="22002.87"/>
    <n v="14508.490563764539"/>
    <x v="0"/>
    <n v="11.22"/>
    <b v="0"/>
    <d v="2023-02-16T00:00:00"/>
    <x v="2"/>
    <x v="1"/>
    <n v="32"/>
    <x v="0"/>
    <s v="Online Payment"/>
    <s v="Not Returned"/>
  </r>
  <r>
    <s v="TID_196"/>
    <x v="1"/>
    <x v="0"/>
    <x v="0"/>
    <x v="2"/>
    <x v="2"/>
    <x v="0"/>
    <n v="5"/>
    <n v="4"/>
    <n v="10"/>
    <n v="10"/>
    <n v="35"/>
    <x v="6"/>
    <n v="628.29"/>
    <n v="21990.15"/>
    <n v="21990.15"/>
    <n v="14521.210563764536"/>
    <x v="1"/>
    <n v="26.93"/>
    <b v="0"/>
    <d v="2023-03-16T00:00:00"/>
    <x v="2"/>
    <x v="1"/>
    <n v="58"/>
    <x v="0"/>
    <s v="Cash"/>
    <s v="Not Returned"/>
  </r>
  <r>
    <s v="TID_291"/>
    <x v="4"/>
    <x v="2"/>
    <x v="1"/>
    <x v="1"/>
    <x v="2"/>
    <x v="2"/>
    <n v="6"/>
    <n v="6"/>
    <n v="10"/>
    <n v="10"/>
    <n v="65"/>
    <x v="3"/>
    <n v="336.34"/>
    <n v="21862.1"/>
    <n v="21862.1"/>
    <n v="14649.260563764539"/>
    <x v="0"/>
    <n v="27.14"/>
    <b v="0"/>
    <d v="2023-11-03T00:00:00"/>
    <x v="0"/>
    <x v="1"/>
    <n v="65"/>
    <x v="1"/>
    <s v="Debit Card"/>
    <s v="Returned"/>
  </r>
  <r>
    <s v="TID_850"/>
    <x v="8"/>
    <x v="3"/>
    <x v="0"/>
    <x v="2"/>
    <x v="4"/>
    <x v="3"/>
    <n v="9"/>
    <n v="7"/>
    <n v="10"/>
    <n v="9"/>
    <n v="73"/>
    <x v="3"/>
    <n v="298.97000000000003"/>
    <n v="21824.81"/>
    <n v="19699.073506000001"/>
    <n v="16812.287057764537"/>
    <x v="0"/>
    <n v="9.74"/>
    <b v="1"/>
    <d v="2024-03-10T00:00:00"/>
    <x v="2"/>
    <x v="0"/>
    <n v="34"/>
    <x v="1"/>
    <s v="Credit Card"/>
    <s v="Returned"/>
  </r>
  <r>
    <s v="TID_20"/>
    <x v="6"/>
    <x v="1"/>
    <x v="1"/>
    <x v="2"/>
    <x v="4"/>
    <x v="2"/>
    <n v="6"/>
    <n v="13"/>
    <n v="10"/>
    <n v="10"/>
    <n v="16"/>
    <x v="6"/>
    <n v="1363.48"/>
    <n v="21815.68"/>
    <n v="21815.68"/>
    <n v="14695.680563764538"/>
    <x v="0"/>
    <n v="9.98"/>
    <b v="0"/>
    <d v="2024-05-31T00:00:00"/>
    <x v="1"/>
    <x v="0"/>
    <n v="53"/>
    <x v="0"/>
    <s v="Online Payment"/>
    <s v="Not Returned"/>
  </r>
  <r>
    <s v="TID_1986"/>
    <x v="2"/>
    <x v="1"/>
    <x v="1"/>
    <x v="2"/>
    <x v="1"/>
    <x v="2"/>
    <n v="3"/>
    <n v="13"/>
    <n v="10"/>
    <n v="10"/>
    <n v="30"/>
    <x v="6"/>
    <n v="726.27"/>
    <n v="21788.1"/>
    <n v="21788.1"/>
    <n v="14723.260563764539"/>
    <x v="0"/>
    <n v="26.69"/>
    <b v="0"/>
    <d v="2023-08-23T00:00:00"/>
    <x v="3"/>
    <x v="1"/>
    <n v="20"/>
    <x v="2"/>
    <s v="Credit Card"/>
    <s v="Not Returned"/>
  </r>
  <r>
    <s v="TID_618"/>
    <x v="6"/>
    <x v="1"/>
    <x v="3"/>
    <x v="0"/>
    <x v="1"/>
    <x v="3"/>
    <n v="6"/>
    <n v="13"/>
    <n v="6"/>
    <n v="9"/>
    <n v="33"/>
    <x v="6"/>
    <n v="658.91"/>
    <n v="21744.03"/>
    <n v="18956.445353999999"/>
    <n v="17554.915209764538"/>
    <x v="0"/>
    <n v="12.82"/>
    <b v="1"/>
    <d v="2023-10-13T00:00:00"/>
    <x v="0"/>
    <x v="1"/>
    <n v="64"/>
    <x v="1"/>
    <s v="Debit Card"/>
    <s v="Not Returned"/>
  </r>
  <r>
    <s v="TID_344"/>
    <x v="5"/>
    <x v="2"/>
    <x v="3"/>
    <x v="2"/>
    <x v="0"/>
    <x v="1"/>
    <n v="7"/>
    <n v="6"/>
    <n v="10"/>
    <n v="10"/>
    <n v="29"/>
    <x v="6"/>
    <n v="746.13"/>
    <n v="21637.77"/>
    <n v="19722.827355000001"/>
    <n v="16788.533208764537"/>
    <x v="0"/>
    <n v="8.85"/>
    <b v="1"/>
    <d v="2023-10-23T00:00:00"/>
    <x v="0"/>
    <x v="1"/>
    <n v="41"/>
    <x v="1"/>
    <s v="Online Payment"/>
    <s v="Not Returned"/>
  </r>
  <r>
    <s v="TID_1140"/>
    <x v="3"/>
    <x v="0"/>
    <x v="2"/>
    <x v="2"/>
    <x v="0"/>
    <x v="2"/>
    <n v="5"/>
    <n v="4"/>
    <n v="10"/>
    <n v="10"/>
    <n v="25"/>
    <x v="6"/>
    <n v="864.87"/>
    <n v="21621.75"/>
    <n v="21621.75"/>
    <n v="14889.610563764538"/>
    <x v="0"/>
    <n v="16.579999999999998"/>
    <b v="0"/>
    <d v="2023-06-27T00:00:00"/>
    <x v="1"/>
    <x v="1"/>
    <n v="20"/>
    <x v="2"/>
    <s v="Online Payment"/>
    <s v="Not Returned"/>
  </r>
  <r>
    <s v="TID_581"/>
    <x v="0"/>
    <x v="0"/>
    <x v="2"/>
    <x v="2"/>
    <x v="1"/>
    <x v="0"/>
    <n v="5"/>
    <n v="4"/>
    <n v="10"/>
    <n v="10"/>
    <n v="48"/>
    <x v="5"/>
    <n v="449.41"/>
    <n v="21571.68"/>
    <n v="21571.68"/>
    <n v="14939.680563764538"/>
    <x v="0"/>
    <n v="8.66"/>
    <b v="0"/>
    <d v="2024-04-19T00:00:00"/>
    <x v="1"/>
    <x v="0"/>
    <n v="30"/>
    <x v="0"/>
    <s v="Debit Card"/>
    <s v="Returned"/>
  </r>
  <r>
    <s v="TID_118"/>
    <x v="3"/>
    <x v="0"/>
    <x v="1"/>
    <x v="2"/>
    <x v="3"/>
    <x v="3"/>
    <n v="5"/>
    <n v="4"/>
    <n v="10"/>
    <n v="9"/>
    <n v="31"/>
    <x v="6"/>
    <n v="695.4"/>
    <n v="21557.4"/>
    <n v="21557.4"/>
    <n v="14953.960563764536"/>
    <x v="0"/>
    <n v="22.28"/>
    <b v="0"/>
    <d v="2024-10-17T00:00:00"/>
    <x v="0"/>
    <x v="0"/>
    <n v="20"/>
    <x v="0"/>
    <s v="Online Payment"/>
    <s v="Returned"/>
  </r>
  <r>
    <s v="TID_740"/>
    <x v="1"/>
    <x v="0"/>
    <x v="3"/>
    <x v="2"/>
    <x v="1"/>
    <x v="1"/>
    <n v="5"/>
    <n v="4"/>
    <n v="10"/>
    <n v="10"/>
    <n v="38"/>
    <x v="6"/>
    <n v="567.1"/>
    <n v="21549.8"/>
    <n v="21549.8"/>
    <n v="14961.560563764539"/>
    <x v="1"/>
    <n v="29.69"/>
    <b v="0"/>
    <d v="2024-02-06T00:00:00"/>
    <x v="2"/>
    <x v="0"/>
    <n v="39"/>
    <x v="0"/>
    <s v="Cash"/>
    <s v="Returned"/>
  </r>
  <r>
    <s v="TID_651"/>
    <x v="2"/>
    <x v="1"/>
    <x v="2"/>
    <x v="2"/>
    <x v="0"/>
    <x v="3"/>
    <n v="3"/>
    <n v="13"/>
    <n v="10"/>
    <n v="9"/>
    <n v="23"/>
    <x v="6"/>
    <n v="936.47"/>
    <n v="21538.81"/>
    <n v="21538.81"/>
    <n v="14972.550563764536"/>
    <x v="1"/>
    <n v="13.67"/>
    <b v="0"/>
    <d v="2024-08-24T00:00:00"/>
    <x v="3"/>
    <x v="0"/>
    <n v="22"/>
    <x v="2"/>
    <s v="Online Payment"/>
    <s v="Returned"/>
  </r>
  <r>
    <s v="TID_1917"/>
    <x v="5"/>
    <x v="2"/>
    <x v="3"/>
    <x v="1"/>
    <x v="3"/>
    <x v="2"/>
    <n v="7"/>
    <n v="6"/>
    <n v="10"/>
    <n v="10"/>
    <n v="17"/>
    <x v="6"/>
    <n v="1266.1199999999999"/>
    <n v="21524.04"/>
    <n v="21524.04"/>
    <n v="14987.320563764537"/>
    <x v="1"/>
    <n v="20.83"/>
    <b v="0"/>
    <d v="2024-10-09T00:00:00"/>
    <x v="0"/>
    <x v="0"/>
    <n v="28"/>
    <x v="1"/>
    <s v="Cash"/>
    <s v="Not Returned"/>
  </r>
  <r>
    <s v="TID_648"/>
    <x v="0"/>
    <x v="0"/>
    <x v="3"/>
    <x v="1"/>
    <x v="3"/>
    <x v="3"/>
    <n v="5"/>
    <n v="4"/>
    <n v="10"/>
    <n v="9"/>
    <n v="15"/>
    <x v="6"/>
    <n v="1432.31"/>
    <n v="21484.65"/>
    <n v="15939.461835000002"/>
    <n v="20571.898728764536"/>
    <x v="0"/>
    <n v="25.81"/>
    <b v="1"/>
    <d v="2023-05-02T00:00:00"/>
    <x v="1"/>
    <x v="1"/>
    <n v="25"/>
    <x v="2"/>
    <s v="Credit Card"/>
    <s v="Not Returned"/>
  </r>
  <r>
    <s v="TID_240"/>
    <x v="7"/>
    <x v="2"/>
    <x v="3"/>
    <x v="0"/>
    <x v="0"/>
    <x v="0"/>
    <n v="2"/>
    <n v="6"/>
    <n v="6"/>
    <n v="10"/>
    <n v="68"/>
    <x v="3"/>
    <n v="315.64"/>
    <n v="21463.52"/>
    <n v="20916.200240000002"/>
    <n v="15595.160323764536"/>
    <x v="1"/>
    <n v="2.5499999999999998"/>
    <b v="1"/>
    <d v="2024-08-02T00:00:00"/>
    <x v="3"/>
    <x v="0"/>
    <n v="51"/>
    <x v="1"/>
    <s v="Credit Card"/>
    <s v="Returned"/>
  </r>
  <r>
    <s v="TID_1601"/>
    <x v="7"/>
    <x v="2"/>
    <x v="2"/>
    <x v="2"/>
    <x v="3"/>
    <x v="0"/>
    <n v="2"/>
    <n v="6"/>
    <n v="10"/>
    <n v="10"/>
    <n v="84"/>
    <x v="2"/>
    <n v="255.25"/>
    <n v="21441"/>
    <n v="21441"/>
    <n v="15070.360563764538"/>
    <x v="1"/>
    <n v="29.21"/>
    <b v="0"/>
    <d v="2023-02-22T00:00:00"/>
    <x v="2"/>
    <x v="1"/>
    <n v="24"/>
    <x v="0"/>
    <s v="Online Payment"/>
    <s v="Returned"/>
  </r>
  <r>
    <s v="TID_1677"/>
    <x v="0"/>
    <x v="0"/>
    <x v="0"/>
    <x v="0"/>
    <x v="1"/>
    <x v="2"/>
    <n v="5"/>
    <n v="4"/>
    <n v="6"/>
    <n v="10"/>
    <n v="17"/>
    <x v="6"/>
    <n v="1256.3900000000001"/>
    <n v="21358.63"/>
    <n v="17655.043558000001"/>
    <n v="18856.317005764537"/>
    <x v="0"/>
    <n v="17.34"/>
    <b v="1"/>
    <d v="2024-07-30T00:00:00"/>
    <x v="3"/>
    <x v="0"/>
    <n v="51"/>
    <x v="2"/>
    <s v="Credit Card"/>
    <s v="Returned"/>
  </r>
  <r>
    <s v="TID_1762"/>
    <x v="8"/>
    <x v="3"/>
    <x v="0"/>
    <x v="2"/>
    <x v="0"/>
    <x v="3"/>
    <n v="9"/>
    <n v="7"/>
    <n v="10"/>
    <n v="9"/>
    <n v="77"/>
    <x v="3"/>
    <n v="277.14"/>
    <n v="21339.78"/>
    <n v="21339.78"/>
    <n v="15171.580563764539"/>
    <x v="1"/>
    <n v="26.19"/>
    <b v="0"/>
    <d v="2023-02-24T00:00:00"/>
    <x v="2"/>
    <x v="1"/>
    <n v="32"/>
    <x v="2"/>
    <s v="Online Payment"/>
    <s v="Not Returned"/>
  </r>
  <r>
    <s v="TID_1088"/>
    <x v="2"/>
    <x v="1"/>
    <x v="3"/>
    <x v="1"/>
    <x v="0"/>
    <x v="1"/>
    <n v="3"/>
    <n v="13"/>
    <n v="10"/>
    <n v="10"/>
    <n v="26"/>
    <x v="6"/>
    <n v="820.65"/>
    <n v="21336.9"/>
    <n v="21336.9"/>
    <n v="15174.460563764536"/>
    <x v="0"/>
    <n v="0.23"/>
    <b v="0"/>
    <d v="2023-04-28T00:00:00"/>
    <x v="1"/>
    <x v="1"/>
    <n v="20"/>
    <x v="2"/>
    <s v="Cash"/>
    <s v="Returned"/>
  </r>
  <r>
    <s v="TID_1525"/>
    <x v="9"/>
    <x v="4"/>
    <x v="3"/>
    <x v="1"/>
    <x v="2"/>
    <x v="3"/>
    <n v="6"/>
    <n v="13"/>
    <n v="10"/>
    <n v="9"/>
    <n v="16"/>
    <x v="6"/>
    <n v="1332.1"/>
    <n v="21313.599999999999"/>
    <n v="21313.599999999999"/>
    <n v="15197.760563764539"/>
    <x v="0"/>
    <n v="23.48"/>
    <b v="0"/>
    <d v="2024-09-10T00:00:00"/>
    <x v="3"/>
    <x v="0"/>
    <n v="37"/>
    <x v="0"/>
    <s v="Online Payment"/>
    <s v="Returned"/>
  </r>
  <r>
    <s v="TID_1212"/>
    <x v="6"/>
    <x v="1"/>
    <x v="2"/>
    <x v="1"/>
    <x v="3"/>
    <x v="0"/>
    <n v="6"/>
    <n v="13"/>
    <n v="10"/>
    <n v="10"/>
    <n v="92"/>
    <x v="1"/>
    <n v="231.36"/>
    <n v="21285.119999999999"/>
    <n v="21285.119999999999"/>
    <n v="15226.240563764539"/>
    <x v="1"/>
    <n v="4.74"/>
    <b v="0"/>
    <d v="2023-07-08T00:00:00"/>
    <x v="3"/>
    <x v="1"/>
    <n v="37"/>
    <x v="0"/>
    <s v="Online Payment"/>
    <s v="Returned"/>
  </r>
  <r>
    <s v="TID_1962"/>
    <x v="9"/>
    <x v="4"/>
    <x v="1"/>
    <x v="1"/>
    <x v="4"/>
    <x v="3"/>
    <n v="6"/>
    <n v="13"/>
    <n v="10"/>
    <n v="9"/>
    <n v="33"/>
    <x v="6"/>
    <n v="644.89"/>
    <n v="21281.37"/>
    <n v="21281.37"/>
    <n v="15229.990563764539"/>
    <x v="0"/>
    <n v="18.579999999999998"/>
    <b v="0"/>
    <d v="2023-07-31T00:00:00"/>
    <x v="3"/>
    <x v="1"/>
    <n v="68"/>
    <x v="2"/>
    <s v="Online Payment"/>
    <s v="Returned"/>
  </r>
  <r>
    <s v="TID_22"/>
    <x v="2"/>
    <x v="1"/>
    <x v="3"/>
    <x v="1"/>
    <x v="2"/>
    <x v="2"/>
    <n v="3"/>
    <n v="13"/>
    <n v="10"/>
    <n v="10"/>
    <n v="29"/>
    <x v="6"/>
    <n v="733.07"/>
    <n v="21259.03"/>
    <n v="21259.03"/>
    <n v="15252.330563764539"/>
    <x v="0"/>
    <n v="24.35"/>
    <b v="0"/>
    <d v="2023-10-05T00:00:00"/>
    <x v="0"/>
    <x v="1"/>
    <n v="53"/>
    <x v="2"/>
    <s v="Online Payment"/>
    <s v="Not Returned"/>
  </r>
  <r>
    <s v="TID_640"/>
    <x v="1"/>
    <x v="0"/>
    <x v="2"/>
    <x v="2"/>
    <x v="1"/>
    <x v="0"/>
    <n v="5"/>
    <n v="4"/>
    <n v="10"/>
    <n v="10"/>
    <n v="63"/>
    <x v="3"/>
    <n v="336.85"/>
    <n v="21221.55"/>
    <n v="21221.55"/>
    <n v="15289.810563764539"/>
    <x v="0"/>
    <n v="3"/>
    <b v="0"/>
    <d v="2023-02-02T00:00:00"/>
    <x v="2"/>
    <x v="1"/>
    <n v="22"/>
    <x v="0"/>
    <s v="Cash"/>
    <s v="Returned"/>
  </r>
  <r>
    <s v="TID_1125"/>
    <x v="2"/>
    <x v="1"/>
    <x v="3"/>
    <x v="1"/>
    <x v="0"/>
    <x v="1"/>
    <n v="3"/>
    <n v="13"/>
    <n v="10"/>
    <n v="10"/>
    <n v="98"/>
    <x v="0"/>
    <n v="216.09"/>
    <n v="21176.82"/>
    <n v="21176.82"/>
    <n v="15334.540563764538"/>
    <x v="1"/>
    <n v="11.28"/>
    <b v="0"/>
    <d v="2023-02-05T00:00:00"/>
    <x v="2"/>
    <x v="1"/>
    <n v="55"/>
    <x v="1"/>
    <s v="Cash"/>
    <s v="Not Returned"/>
  </r>
  <r>
    <s v="TID_1085"/>
    <x v="1"/>
    <x v="0"/>
    <x v="3"/>
    <x v="1"/>
    <x v="4"/>
    <x v="0"/>
    <n v="5"/>
    <n v="4"/>
    <n v="10"/>
    <n v="10"/>
    <n v="39"/>
    <x v="6"/>
    <n v="540.86"/>
    <n v="21093.54"/>
    <n v="21093.54"/>
    <n v="15417.820563764537"/>
    <x v="1"/>
    <n v="3.18"/>
    <b v="0"/>
    <d v="2024-08-05T00:00:00"/>
    <x v="3"/>
    <x v="0"/>
    <n v="44"/>
    <x v="0"/>
    <s v="Credit Card"/>
    <s v="Not Returned"/>
  </r>
  <r>
    <s v="TID_13"/>
    <x v="1"/>
    <x v="0"/>
    <x v="3"/>
    <x v="0"/>
    <x v="1"/>
    <x v="2"/>
    <n v="5"/>
    <n v="4"/>
    <n v="6"/>
    <n v="10"/>
    <n v="33"/>
    <x v="6"/>
    <n v="637.55999999999995"/>
    <n v="21039.48"/>
    <n v="18396.921311999999"/>
    <n v="18114.439251764539"/>
    <x v="0"/>
    <n v="12.56"/>
    <b v="1"/>
    <d v="2024-03-17T00:00:00"/>
    <x v="2"/>
    <x v="0"/>
    <n v="34"/>
    <x v="1"/>
    <s v="Cash"/>
    <s v="Returned"/>
  </r>
  <r>
    <s v="TID_981"/>
    <x v="5"/>
    <x v="2"/>
    <x v="3"/>
    <x v="1"/>
    <x v="2"/>
    <x v="1"/>
    <n v="7"/>
    <n v="6"/>
    <n v="10"/>
    <n v="10"/>
    <n v="28"/>
    <x v="6"/>
    <n v="751.23"/>
    <n v="21034.44"/>
    <n v="18230.549147999998"/>
    <n v="18280.81141576454"/>
    <x v="0"/>
    <n v="13.33"/>
    <b v="1"/>
    <d v="2023-06-10T00:00:00"/>
    <x v="1"/>
    <x v="1"/>
    <n v="68"/>
    <x v="1"/>
    <s v="Debit Card"/>
    <s v="Returned"/>
  </r>
  <r>
    <s v="TID_268"/>
    <x v="5"/>
    <x v="2"/>
    <x v="1"/>
    <x v="2"/>
    <x v="2"/>
    <x v="0"/>
    <n v="7"/>
    <n v="6"/>
    <n v="10"/>
    <n v="10"/>
    <n v="30"/>
    <x v="6"/>
    <n v="699.52"/>
    <n v="20985.599999999999"/>
    <n v="20985.599999999999"/>
    <n v="15525.760563764539"/>
    <x v="0"/>
    <n v="6.84"/>
    <b v="0"/>
    <d v="2024-08-21T00:00:00"/>
    <x v="3"/>
    <x v="0"/>
    <n v="42"/>
    <x v="1"/>
    <s v="Debit Card"/>
    <s v="Returned"/>
  </r>
  <r>
    <s v="TID_1099"/>
    <x v="1"/>
    <x v="0"/>
    <x v="0"/>
    <x v="2"/>
    <x v="0"/>
    <x v="1"/>
    <n v="5"/>
    <n v="4"/>
    <n v="10"/>
    <n v="10"/>
    <n v="81"/>
    <x v="2"/>
    <n v="258.95"/>
    <n v="20974.95"/>
    <n v="16133.93154"/>
    <n v="20377.42902376454"/>
    <x v="0"/>
    <n v="23.08"/>
    <b v="1"/>
    <d v="2023-04-02T00:00:00"/>
    <x v="1"/>
    <x v="1"/>
    <n v="60"/>
    <x v="2"/>
    <s v="Debit Card"/>
    <s v="Returned"/>
  </r>
  <r>
    <s v="TID_1227"/>
    <x v="7"/>
    <x v="2"/>
    <x v="1"/>
    <x v="2"/>
    <x v="4"/>
    <x v="2"/>
    <n v="2"/>
    <n v="6"/>
    <n v="10"/>
    <n v="10"/>
    <n v="32"/>
    <x v="6"/>
    <n v="654.73"/>
    <n v="20951.36"/>
    <n v="19937.314176"/>
    <n v="16574.046387764538"/>
    <x v="1"/>
    <n v="4.84"/>
    <b v="1"/>
    <d v="2023-03-14T00:00:00"/>
    <x v="2"/>
    <x v="1"/>
    <n v="69"/>
    <x v="1"/>
    <s v="Credit Card"/>
    <s v="Returned"/>
  </r>
  <r>
    <s v="TID_1194"/>
    <x v="9"/>
    <x v="4"/>
    <x v="1"/>
    <x v="1"/>
    <x v="1"/>
    <x v="0"/>
    <n v="6"/>
    <n v="13"/>
    <n v="10"/>
    <n v="10"/>
    <n v="15"/>
    <x v="6"/>
    <n v="1394.88"/>
    <n v="20923.2"/>
    <n v="19925.163360000002"/>
    <n v="16586.197203764536"/>
    <x v="0"/>
    <n v="4.7699999999999996"/>
    <b v="1"/>
    <d v="2024-03-05T00:00:00"/>
    <x v="2"/>
    <x v="0"/>
    <n v="49"/>
    <x v="2"/>
    <s v="Credit Card"/>
    <s v="Returned"/>
  </r>
  <r>
    <s v="TID_405"/>
    <x v="8"/>
    <x v="3"/>
    <x v="2"/>
    <x v="2"/>
    <x v="2"/>
    <x v="0"/>
    <n v="9"/>
    <n v="7"/>
    <n v="10"/>
    <n v="10"/>
    <n v="73"/>
    <x v="3"/>
    <n v="286.52"/>
    <n v="20915.96"/>
    <n v="20915.96"/>
    <n v="15595.400563764539"/>
    <x v="1"/>
    <n v="10.11"/>
    <b v="0"/>
    <d v="2024-03-16T00:00:00"/>
    <x v="2"/>
    <x v="0"/>
    <n v="30"/>
    <x v="2"/>
    <s v="Credit Card"/>
    <s v="Returned"/>
  </r>
  <r>
    <s v="TID_332"/>
    <x v="3"/>
    <x v="0"/>
    <x v="2"/>
    <x v="2"/>
    <x v="1"/>
    <x v="1"/>
    <n v="5"/>
    <n v="4"/>
    <n v="10"/>
    <n v="10"/>
    <n v="36"/>
    <x v="6"/>
    <n v="580.58000000000004"/>
    <n v="20900.88"/>
    <n v="20900.88"/>
    <n v="15610.480563764537"/>
    <x v="0"/>
    <n v="22.15"/>
    <b v="0"/>
    <d v="2023-08-22T00:00:00"/>
    <x v="3"/>
    <x v="1"/>
    <n v="43"/>
    <x v="0"/>
    <s v="Cash"/>
    <s v="Not Returned"/>
  </r>
  <r>
    <s v="TID_1210"/>
    <x v="8"/>
    <x v="3"/>
    <x v="0"/>
    <x v="1"/>
    <x v="4"/>
    <x v="2"/>
    <n v="9"/>
    <n v="7"/>
    <n v="10"/>
    <n v="10"/>
    <n v="17"/>
    <x v="6"/>
    <n v="1221.55"/>
    <n v="20766.349999999999"/>
    <n v="20766.349999999999"/>
    <n v="15745.010563764539"/>
    <x v="1"/>
    <n v="25.49"/>
    <b v="0"/>
    <d v="2023-12-16T00:00:00"/>
    <x v="0"/>
    <x v="1"/>
    <n v="18"/>
    <x v="2"/>
    <s v="Credit Card"/>
    <s v="Not Returned"/>
  </r>
  <r>
    <s v="TID_806"/>
    <x v="2"/>
    <x v="1"/>
    <x v="0"/>
    <x v="0"/>
    <x v="4"/>
    <x v="0"/>
    <n v="3"/>
    <n v="13"/>
    <n v="6"/>
    <n v="10"/>
    <n v="14"/>
    <x v="6"/>
    <n v="1479.8"/>
    <n v="20717.2"/>
    <n v="20717.2"/>
    <n v="15794.160563764537"/>
    <x v="1"/>
    <n v="16.2"/>
    <b v="0"/>
    <d v="2024-09-23T00:00:00"/>
    <x v="3"/>
    <x v="0"/>
    <n v="51"/>
    <x v="1"/>
    <s v="Cash"/>
    <s v="Returned"/>
  </r>
  <r>
    <s v="TID_1226"/>
    <x v="5"/>
    <x v="2"/>
    <x v="1"/>
    <x v="1"/>
    <x v="4"/>
    <x v="3"/>
    <n v="7"/>
    <n v="6"/>
    <n v="10"/>
    <n v="9"/>
    <n v="31"/>
    <x v="6"/>
    <n v="666"/>
    <n v="20646"/>
    <n v="20646"/>
    <n v="15865.360563764538"/>
    <x v="0"/>
    <n v="9.8000000000000007"/>
    <b v="0"/>
    <d v="2024-05-20T00:00:00"/>
    <x v="1"/>
    <x v="0"/>
    <n v="63"/>
    <x v="2"/>
    <s v="Credit Card"/>
    <s v="Not Returned"/>
  </r>
  <r>
    <s v="TID_1848"/>
    <x v="0"/>
    <x v="0"/>
    <x v="3"/>
    <x v="1"/>
    <x v="3"/>
    <x v="1"/>
    <n v="5"/>
    <n v="4"/>
    <n v="10"/>
    <n v="10"/>
    <n v="93"/>
    <x v="1"/>
    <n v="221.18"/>
    <n v="20569.740000000002"/>
    <n v="18327.638340000001"/>
    <n v="18183.722223764536"/>
    <x v="1"/>
    <n v="10.9"/>
    <b v="1"/>
    <d v="2023-01-01T00:00:00"/>
    <x v="2"/>
    <x v="1"/>
    <n v="59"/>
    <x v="2"/>
    <s v="Cash"/>
    <s v="Not Returned"/>
  </r>
  <r>
    <s v="TID_718"/>
    <x v="2"/>
    <x v="1"/>
    <x v="1"/>
    <x v="0"/>
    <x v="0"/>
    <x v="0"/>
    <n v="3"/>
    <n v="13"/>
    <n v="6"/>
    <n v="10"/>
    <n v="76"/>
    <x v="3"/>
    <n v="270.64999999999998"/>
    <n v="20569.400000000001"/>
    <n v="19339.349880000002"/>
    <n v="17172.010683764536"/>
    <x v="1"/>
    <n v="5.98"/>
    <b v="1"/>
    <d v="2023-09-28T00:00:00"/>
    <x v="3"/>
    <x v="1"/>
    <n v="57"/>
    <x v="1"/>
    <s v="Cash"/>
    <s v="Returned"/>
  </r>
  <r>
    <s v="TID_1881"/>
    <x v="9"/>
    <x v="4"/>
    <x v="0"/>
    <x v="0"/>
    <x v="0"/>
    <x v="2"/>
    <n v="6"/>
    <n v="13"/>
    <n v="6"/>
    <n v="10"/>
    <n v="95"/>
    <x v="1"/>
    <n v="216.03"/>
    <n v="20522.849999999999"/>
    <n v="20522.849999999999"/>
    <n v="15988.510563764539"/>
    <x v="1"/>
    <n v="15.92"/>
    <b v="0"/>
    <d v="2024-09-13T00:00:00"/>
    <x v="3"/>
    <x v="0"/>
    <n v="27"/>
    <x v="1"/>
    <s v="Credit Card"/>
    <s v="Not Returned"/>
  </r>
  <r>
    <s v="TID_474"/>
    <x v="4"/>
    <x v="2"/>
    <x v="0"/>
    <x v="2"/>
    <x v="1"/>
    <x v="0"/>
    <n v="6"/>
    <n v="6"/>
    <n v="10"/>
    <n v="10"/>
    <n v="30"/>
    <x v="6"/>
    <n v="683.58"/>
    <n v="20507.400000000001"/>
    <n v="18315.158940000001"/>
    <n v="18196.201623764537"/>
    <x v="1"/>
    <n v="10.69"/>
    <b v="1"/>
    <d v="2024-07-08T00:00:00"/>
    <x v="3"/>
    <x v="0"/>
    <n v="66"/>
    <x v="0"/>
    <s v="Debit Card"/>
    <s v="Not Returned"/>
  </r>
  <r>
    <s v="TID_1114"/>
    <x v="0"/>
    <x v="0"/>
    <x v="1"/>
    <x v="2"/>
    <x v="1"/>
    <x v="3"/>
    <n v="5"/>
    <n v="4"/>
    <n v="10"/>
    <n v="9"/>
    <n v="31"/>
    <x v="6"/>
    <n v="660.27"/>
    <n v="20468.37"/>
    <n v="14352.421044000001"/>
    <n v="22158.939519764535"/>
    <x v="0"/>
    <n v="29.88"/>
    <b v="1"/>
    <d v="2024-10-19T00:00:00"/>
    <x v="0"/>
    <x v="0"/>
    <n v="56"/>
    <x v="0"/>
    <s v="Debit Card"/>
    <s v="Not Returned"/>
  </r>
  <r>
    <s v="TID_731"/>
    <x v="4"/>
    <x v="2"/>
    <x v="0"/>
    <x v="2"/>
    <x v="1"/>
    <x v="2"/>
    <n v="6"/>
    <n v="6"/>
    <n v="10"/>
    <n v="10"/>
    <n v="16"/>
    <x v="6"/>
    <n v="1276.28"/>
    <n v="20420.48"/>
    <n v="19536.273215999998"/>
    <n v="16975.08734776454"/>
    <x v="1"/>
    <n v="4.33"/>
    <b v="1"/>
    <d v="2024-06-16T00:00:00"/>
    <x v="1"/>
    <x v="0"/>
    <n v="38"/>
    <x v="2"/>
    <s v="Online Payment"/>
    <s v="Returned"/>
  </r>
  <r>
    <s v="TID_1955"/>
    <x v="1"/>
    <x v="0"/>
    <x v="0"/>
    <x v="2"/>
    <x v="0"/>
    <x v="3"/>
    <n v="5"/>
    <n v="4"/>
    <n v="10"/>
    <n v="9"/>
    <n v="46"/>
    <x v="5"/>
    <n v="443.47"/>
    <n v="20399.62"/>
    <n v="15524.11082"/>
    <n v="20987.249743764536"/>
    <x v="1"/>
    <n v="23.9"/>
    <b v="1"/>
    <d v="2023-06-04T00:00:00"/>
    <x v="1"/>
    <x v="1"/>
    <n v="54"/>
    <x v="1"/>
    <s v="Credit Card"/>
    <s v="Returned"/>
  </r>
  <r>
    <s v="TID_548"/>
    <x v="6"/>
    <x v="1"/>
    <x v="2"/>
    <x v="2"/>
    <x v="4"/>
    <x v="1"/>
    <n v="6"/>
    <n v="13"/>
    <n v="10"/>
    <n v="10"/>
    <n v="19"/>
    <x v="6"/>
    <n v="1070.67"/>
    <n v="20342.73"/>
    <n v="19179.125843999998"/>
    <n v="17332.234719764539"/>
    <x v="0"/>
    <n v="5.72"/>
    <b v="1"/>
    <d v="2024-05-12T00:00:00"/>
    <x v="1"/>
    <x v="0"/>
    <n v="65"/>
    <x v="2"/>
    <s v="Credit Card"/>
    <s v="Not Returned"/>
  </r>
  <r>
    <s v="TID_355"/>
    <x v="9"/>
    <x v="4"/>
    <x v="1"/>
    <x v="0"/>
    <x v="4"/>
    <x v="1"/>
    <n v="6"/>
    <n v="13"/>
    <n v="6"/>
    <n v="10"/>
    <n v="60"/>
    <x v="4"/>
    <n v="338.39"/>
    <n v="20303.400000000001"/>
    <n v="20303.400000000001"/>
    <n v="16207.960563764536"/>
    <x v="1"/>
    <n v="19.45"/>
    <b v="0"/>
    <d v="2024-07-14T00:00:00"/>
    <x v="3"/>
    <x v="0"/>
    <n v="28"/>
    <x v="1"/>
    <s v="Cash"/>
    <s v="Returned"/>
  </r>
  <r>
    <s v="TID_1847"/>
    <x v="0"/>
    <x v="0"/>
    <x v="3"/>
    <x v="2"/>
    <x v="0"/>
    <x v="3"/>
    <n v="5"/>
    <n v="4"/>
    <n v="10"/>
    <n v="9"/>
    <n v="22"/>
    <x v="6"/>
    <n v="920.37"/>
    <n v="20248.14"/>
    <n v="19162.839695999999"/>
    <n v="17348.520867764539"/>
    <x v="0"/>
    <n v="5.36"/>
    <b v="1"/>
    <d v="2024-02-09T00:00:00"/>
    <x v="2"/>
    <x v="0"/>
    <n v="68"/>
    <x v="2"/>
    <s v="Debit Card"/>
    <s v="Not Returned"/>
  </r>
  <r>
    <s v="TID_366"/>
    <x v="2"/>
    <x v="1"/>
    <x v="2"/>
    <x v="2"/>
    <x v="0"/>
    <x v="1"/>
    <n v="3"/>
    <n v="13"/>
    <n v="10"/>
    <n v="10"/>
    <n v="54"/>
    <x v="4"/>
    <n v="374.54"/>
    <n v="20225.16"/>
    <n v="20225.16"/>
    <n v="16286.200563764538"/>
    <x v="0"/>
    <n v="18.98"/>
    <b v="0"/>
    <d v="2023-01-23T00:00:00"/>
    <x v="2"/>
    <x v="1"/>
    <n v="60"/>
    <x v="0"/>
    <s v="Cash"/>
    <s v="Not Returned"/>
  </r>
  <r>
    <s v="TID_1347"/>
    <x v="7"/>
    <x v="2"/>
    <x v="1"/>
    <x v="1"/>
    <x v="4"/>
    <x v="1"/>
    <n v="2"/>
    <n v="6"/>
    <n v="10"/>
    <n v="10"/>
    <n v="55"/>
    <x v="4"/>
    <n v="367.51"/>
    <n v="20213.05"/>
    <n v="20213.05"/>
    <n v="16298.310563764539"/>
    <x v="0"/>
    <n v="20.88"/>
    <b v="0"/>
    <d v="2023-02-13T00:00:00"/>
    <x v="2"/>
    <x v="1"/>
    <n v="54"/>
    <x v="0"/>
    <s v="Cash"/>
    <s v="Returned"/>
  </r>
  <r>
    <s v="TID_407"/>
    <x v="7"/>
    <x v="2"/>
    <x v="1"/>
    <x v="0"/>
    <x v="4"/>
    <x v="0"/>
    <n v="2"/>
    <n v="6"/>
    <n v="6"/>
    <n v="10"/>
    <n v="37"/>
    <x v="6"/>
    <n v="545.71"/>
    <n v="20191.27"/>
    <n v="19270.548088"/>
    <n v="17240.812475764538"/>
    <x v="0"/>
    <n v="4.5599999999999996"/>
    <b v="1"/>
    <d v="2023-02-15T00:00:00"/>
    <x v="2"/>
    <x v="1"/>
    <n v="40"/>
    <x v="2"/>
    <s v="Debit Card"/>
    <s v="Not Returned"/>
  </r>
  <r>
    <s v="TID_991"/>
    <x v="1"/>
    <x v="0"/>
    <x v="3"/>
    <x v="1"/>
    <x v="2"/>
    <x v="3"/>
    <n v="5"/>
    <n v="4"/>
    <n v="10"/>
    <n v="9"/>
    <n v="25"/>
    <x v="6"/>
    <n v="806.81"/>
    <n v="20170.25"/>
    <n v="14222.043275000002"/>
    <n v="22289.317288764534"/>
    <x v="0"/>
    <n v="29.49"/>
    <b v="1"/>
    <d v="2024-04-22T00:00:00"/>
    <x v="1"/>
    <x v="0"/>
    <n v="38"/>
    <x v="2"/>
    <s v="Credit Card"/>
    <s v="Returned"/>
  </r>
  <r>
    <s v="TID_357"/>
    <x v="9"/>
    <x v="4"/>
    <x v="3"/>
    <x v="2"/>
    <x v="4"/>
    <x v="2"/>
    <n v="6"/>
    <n v="13"/>
    <n v="10"/>
    <n v="10"/>
    <n v="20"/>
    <x v="6"/>
    <n v="1006.06"/>
    <n v="20121.2"/>
    <n v="20121.2"/>
    <n v="16390.160563764537"/>
    <x v="1"/>
    <n v="26.83"/>
    <b v="0"/>
    <d v="2023-04-26T00:00:00"/>
    <x v="1"/>
    <x v="1"/>
    <n v="59"/>
    <x v="2"/>
    <s v="Cash"/>
    <s v="Returned"/>
  </r>
  <r>
    <s v="TID_1952"/>
    <x v="9"/>
    <x v="4"/>
    <x v="3"/>
    <x v="1"/>
    <x v="2"/>
    <x v="3"/>
    <n v="6"/>
    <n v="13"/>
    <n v="10"/>
    <n v="9"/>
    <n v="46"/>
    <x v="5"/>
    <n v="437.25"/>
    <n v="20113.5"/>
    <n v="14851.808399999998"/>
    <n v="21659.55216376454"/>
    <x v="1"/>
    <n v="26.16"/>
    <b v="1"/>
    <d v="2024-10-09T00:00:00"/>
    <x v="0"/>
    <x v="0"/>
    <n v="36"/>
    <x v="1"/>
    <s v="Credit Card"/>
    <s v="Returned"/>
  </r>
  <r>
    <s v="TID_1352"/>
    <x v="0"/>
    <x v="0"/>
    <x v="0"/>
    <x v="1"/>
    <x v="1"/>
    <x v="2"/>
    <n v="5"/>
    <n v="4"/>
    <n v="10"/>
    <n v="10"/>
    <n v="83"/>
    <x v="2"/>
    <n v="241.5"/>
    <n v="20044.5"/>
    <n v="20044.5"/>
    <n v="16466.860563764538"/>
    <x v="0"/>
    <n v="23.86"/>
    <b v="0"/>
    <d v="2023-01-18T00:00:00"/>
    <x v="2"/>
    <x v="1"/>
    <n v="60"/>
    <x v="1"/>
    <s v="Credit Card"/>
    <s v="Not Returned"/>
  </r>
  <r>
    <s v="TID_694"/>
    <x v="0"/>
    <x v="0"/>
    <x v="2"/>
    <x v="0"/>
    <x v="1"/>
    <x v="1"/>
    <n v="5"/>
    <n v="4"/>
    <n v="6"/>
    <n v="10"/>
    <n v="15"/>
    <x v="6"/>
    <n v="1331.91"/>
    <n v="19978.650000000001"/>
    <n v="17779.000635"/>
    <n v="18732.359928764537"/>
    <x v="0"/>
    <n v="11.01"/>
    <b v="1"/>
    <d v="2024-02-13T00:00:00"/>
    <x v="2"/>
    <x v="0"/>
    <n v="57"/>
    <x v="2"/>
    <s v="Cash"/>
    <s v="Not Returned"/>
  </r>
  <r>
    <s v="TID_1317"/>
    <x v="7"/>
    <x v="2"/>
    <x v="2"/>
    <x v="0"/>
    <x v="4"/>
    <x v="2"/>
    <n v="2"/>
    <n v="6"/>
    <n v="6"/>
    <n v="10"/>
    <n v="48"/>
    <x v="5"/>
    <n v="415.8"/>
    <n v="19958.400000000001"/>
    <n v="15573.53952"/>
    <n v="20937.821043764539"/>
    <x v="0"/>
    <n v="21.97"/>
    <b v="1"/>
    <d v="2024-04-03T00:00:00"/>
    <x v="1"/>
    <x v="0"/>
    <n v="61"/>
    <x v="0"/>
    <s v="Credit Card"/>
    <s v="Returned"/>
  </r>
  <r>
    <s v="TID_514"/>
    <x v="5"/>
    <x v="2"/>
    <x v="3"/>
    <x v="2"/>
    <x v="3"/>
    <x v="0"/>
    <n v="7"/>
    <n v="6"/>
    <n v="10"/>
    <n v="10"/>
    <n v="65"/>
    <x v="3"/>
    <n v="306.83"/>
    <n v="19943.95"/>
    <n v="18739.335419999999"/>
    <n v="17772.025143764538"/>
    <x v="1"/>
    <n v="6.04"/>
    <b v="1"/>
    <d v="2023-12-23T00:00:00"/>
    <x v="0"/>
    <x v="1"/>
    <n v="40"/>
    <x v="2"/>
    <s v="Cash"/>
    <s v="Returned"/>
  </r>
  <r>
    <s v="TID_903"/>
    <x v="4"/>
    <x v="2"/>
    <x v="3"/>
    <x v="2"/>
    <x v="2"/>
    <x v="1"/>
    <n v="6"/>
    <n v="6"/>
    <n v="10"/>
    <n v="10"/>
    <n v="16"/>
    <x v="6"/>
    <n v="1244.31"/>
    <n v="19908.96"/>
    <n v="19908.96"/>
    <n v="16602.400563764539"/>
    <x v="0"/>
    <n v="22.57"/>
    <b v="0"/>
    <d v="2023-01-27T00:00:00"/>
    <x v="2"/>
    <x v="1"/>
    <n v="64"/>
    <x v="1"/>
    <s v="Cash"/>
    <s v="Not Returned"/>
  </r>
  <r>
    <s v="TID_1365"/>
    <x v="5"/>
    <x v="2"/>
    <x v="1"/>
    <x v="2"/>
    <x v="3"/>
    <x v="3"/>
    <n v="7"/>
    <n v="6"/>
    <n v="10"/>
    <n v="9"/>
    <n v="68"/>
    <x v="3"/>
    <n v="292.58999999999997"/>
    <n v="19896.12"/>
    <n v="19896.12"/>
    <n v="16615.240563764539"/>
    <x v="1"/>
    <n v="21.05"/>
    <b v="0"/>
    <d v="2023-07-08T00:00:00"/>
    <x v="3"/>
    <x v="1"/>
    <n v="19"/>
    <x v="0"/>
    <s v="Online Payment"/>
    <s v="Not Returned"/>
  </r>
  <r>
    <s v="TID_140"/>
    <x v="5"/>
    <x v="2"/>
    <x v="0"/>
    <x v="2"/>
    <x v="0"/>
    <x v="1"/>
    <n v="7"/>
    <n v="6"/>
    <n v="10"/>
    <n v="10"/>
    <n v="15"/>
    <x v="6"/>
    <n v="1325.9"/>
    <n v="19888.5"/>
    <n v="19888.5"/>
    <n v="16622.860563764538"/>
    <x v="0"/>
    <n v="8.35"/>
    <b v="0"/>
    <d v="2024-10-29T00:00:00"/>
    <x v="0"/>
    <x v="0"/>
    <n v="50"/>
    <x v="1"/>
    <s v="Cash"/>
    <s v="Not Returned"/>
  </r>
  <r>
    <s v="TID_1499"/>
    <x v="6"/>
    <x v="1"/>
    <x v="0"/>
    <x v="2"/>
    <x v="4"/>
    <x v="1"/>
    <n v="6"/>
    <n v="13"/>
    <n v="10"/>
    <n v="10"/>
    <n v="26"/>
    <x v="6"/>
    <n v="764.88"/>
    <n v="19886.88"/>
    <n v="16701.001823999999"/>
    <n v="19810.358739764539"/>
    <x v="0"/>
    <n v="16.02"/>
    <b v="1"/>
    <d v="2024-09-18T00:00:00"/>
    <x v="3"/>
    <x v="0"/>
    <n v="60"/>
    <x v="2"/>
    <s v="Online Payment"/>
    <s v="Not Returned"/>
  </r>
  <r>
    <s v="TID_870"/>
    <x v="7"/>
    <x v="2"/>
    <x v="1"/>
    <x v="1"/>
    <x v="4"/>
    <x v="3"/>
    <n v="2"/>
    <n v="6"/>
    <n v="10"/>
    <n v="9"/>
    <n v="20"/>
    <x v="6"/>
    <n v="990.36"/>
    <n v="19807.2"/>
    <n v="19807.2"/>
    <n v="16704.160563764537"/>
    <x v="1"/>
    <n v="20.89"/>
    <b v="0"/>
    <d v="2024-05-20T00:00:00"/>
    <x v="1"/>
    <x v="0"/>
    <n v="68"/>
    <x v="2"/>
    <s v="Credit Card"/>
    <s v="Not Returned"/>
  </r>
  <r>
    <s v="TID_533"/>
    <x v="4"/>
    <x v="2"/>
    <x v="3"/>
    <x v="1"/>
    <x v="3"/>
    <x v="2"/>
    <n v="6"/>
    <n v="6"/>
    <n v="10"/>
    <n v="10"/>
    <n v="29"/>
    <x v="6"/>
    <n v="682.64"/>
    <n v="19796.560000000001"/>
    <n v="19796.560000000001"/>
    <n v="16714.800563764536"/>
    <x v="1"/>
    <n v="27.3"/>
    <b v="0"/>
    <d v="2023-10-08T00:00:00"/>
    <x v="0"/>
    <x v="1"/>
    <n v="47"/>
    <x v="2"/>
    <s v="Credit Card"/>
    <s v="Not Returned"/>
  </r>
  <r>
    <s v="TID_164"/>
    <x v="5"/>
    <x v="2"/>
    <x v="3"/>
    <x v="1"/>
    <x v="0"/>
    <x v="2"/>
    <n v="7"/>
    <n v="6"/>
    <n v="10"/>
    <n v="10"/>
    <n v="21"/>
    <x v="6"/>
    <n v="942.46"/>
    <n v="19791.66"/>
    <n v="19791.66"/>
    <n v="16719.700563764538"/>
    <x v="1"/>
    <n v="2.96"/>
    <b v="0"/>
    <d v="2023-10-07T00:00:00"/>
    <x v="0"/>
    <x v="1"/>
    <n v="69"/>
    <x v="2"/>
    <s v="Online Payment"/>
    <s v="Returned"/>
  </r>
  <r>
    <s v="TID_1540"/>
    <x v="7"/>
    <x v="2"/>
    <x v="2"/>
    <x v="2"/>
    <x v="0"/>
    <x v="1"/>
    <n v="2"/>
    <n v="6"/>
    <n v="10"/>
    <n v="10"/>
    <n v="22"/>
    <x v="6"/>
    <n v="899.55"/>
    <n v="19790.099999999999"/>
    <n v="19790.099999999999"/>
    <n v="16721.260563764539"/>
    <x v="0"/>
    <n v="25.3"/>
    <b v="0"/>
    <d v="2023-02-19T00:00:00"/>
    <x v="2"/>
    <x v="1"/>
    <n v="22"/>
    <x v="1"/>
    <s v="Online Payment"/>
    <s v="Not Returned"/>
  </r>
  <r>
    <s v="TID_283"/>
    <x v="8"/>
    <x v="3"/>
    <x v="3"/>
    <x v="2"/>
    <x v="1"/>
    <x v="2"/>
    <n v="9"/>
    <n v="7"/>
    <n v="10"/>
    <n v="10"/>
    <n v="48"/>
    <x v="5"/>
    <n v="408.97"/>
    <n v="19630.560000000001"/>
    <n v="19630.560000000001"/>
    <n v="16880.800563764536"/>
    <x v="1"/>
    <n v="7.93"/>
    <b v="0"/>
    <d v="2024-08-01T00:00:00"/>
    <x v="3"/>
    <x v="0"/>
    <n v="43"/>
    <x v="2"/>
    <s v="Cash"/>
    <s v="Returned"/>
  </r>
  <r>
    <s v="TID_1392"/>
    <x v="7"/>
    <x v="2"/>
    <x v="1"/>
    <x v="0"/>
    <x v="2"/>
    <x v="3"/>
    <n v="2"/>
    <n v="6"/>
    <n v="6"/>
    <n v="9"/>
    <n v="33"/>
    <x v="6"/>
    <n v="594.29999999999995"/>
    <n v="19611.900000000001"/>
    <n v="14528.495519999999"/>
    <n v="21982.865043764541"/>
    <x v="0"/>
    <n v="25.92"/>
    <b v="1"/>
    <d v="2023-07-07T00:00:00"/>
    <x v="3"/>
    <x v="1"/>
    <n v="65"/>
    <x v="2"/>
    <s v="Online Payment"/>
    <s v="Returned"/>
  </r>
  <r>
    <s v="TID_1401"/>
    <x v="1"/>
    <x v="0"/>
    <x v="0"/>
    <x v="2"/>
    <x v="0"/>
    <x v="0"/>
    <n v="5"/>
    <n v="4"/>
    <n v="10"/>
    <n v="10"/>
    <n v="48"/>
    <x v="5"/>
    <n v="408.1"/>
    <n v="19588.8"/>
    <n v="14362.508160000001"/>
    <n v="22148.852403764537"/>
    <x v="1"/>
    <n v="26.68"/>
    <b v="1"/>
    <d v="2023-02-19T00:00:00"/>
    <x v="2"/>
    <x v="1"/>
    <n v="42"/>
    <x v="2"/>
    <s v="Debit Card"/>
    <s v="Not Returned"/>
  </r>
  <r>
    <s v="TID_459"/>
    <x v="6"/>
    <x v="1"/>
    <x v="1"/>
    <x v="0"/>
    <x v="3"/>
    <x v="1"/>
    <n v="6"/>
    <n v="13"/>
    <n v="6"/>
    <n v="10"/>
    <n v="68"/>
    <x v="3"/>
    <n v="287.14"/>
    <n v="19525.52"/>
    <n v="17850.230384000002"/>
    <n v="18661.130179764536"/>
    <x v="0"/>
    <n v="8.58"/>
    <b v="1"/>
    <d v="2023-12-30T00:00:00"/>
    <x v="0"/>
    <x v="1"/>
    <n v="61"/>
    <x v="0"/>
    <s v="Cash"/>
    <s v="Returned"/>
  </r>
  <r>
    <s v="TID_484"/>
    <x v="0"/>
    <x v="0"/>
    <x v="3"/>
    <x v="2"/>
    <x v="1"/>
    <x v="0"/>
    <n v="5"/>
    <n v="4"/>
    <n v="10"/>
    <n v="10"/>
    <n v="26"/>
    <x v="6"/>
    <n v="745.15"/>
    <n v="19373.900000000001"/>
    <n v="19373.900000000001"/>
    <n v="17137.460563764536"/>
    <x v="1"/>
    <n v="10.5"/>
    <b v="0"/>
    <d v="2024-01-07T00:00:00"/>
    <x v="2"/>
    <x v="0"/>
    <n v="34"/>
    <x v="0"/>
    <s v="Debit Card"/>
    <s v="Not Returned"/>
  </r>
  <r>
    <s v="TID_793"/>
    <x v="7"/>
    <x v="2"/>
    <x v="3"/>
    <x v="2"/>
    <x v="4"/>
    <x v="0"/>
    <n v="2"/>
    <n v="6"/>
    <n v="10"/>
    <n v="10"/>
    <n v="33"/>
    <x v="6"/>
    <n v="585.98"/>
    <n v="19337.34"/>
    <n v="19056.94857"/>
    <n v="17454.411993764537"/>
    <x v="1"/>
    <n v="1.45"/>
    <b v="1"/>
    <d v="2024-01-11T00:00:00"/>
    <x v="2"/>
    <x v="0"/>
    <n v="18"/>
    <x v="1"/>
    <s v="Credit Card"/>
    <s v="Not Returned"/>
  </r>
  <r>
    <s v="TID_1028"/>
    <x v="8"/>
    <x v="3"/>
    <x v="3"/>
    <x v="0"/>
    <x v="0"/>
    <x v="2"/>
    <n v="9"/>
    <n v="7"/>
    <n v="6"/>
    <n v="10"/>
    <n v="83"/>
    <x v="2"/>
    <n v="232.95"/>
    <n v="19334.849999999999"/>
    <n v="19334.849999999999"/>
    <n v="17176.510563764539"/>
    <x v="1"/>
    <n v="6.64"/>
    <b v="0"/>
    <d v="2023-12-11T00:00:00"/>
    <x v="0"/>
    <x v="1"/>
    <n v="18"/>
    <x v="1"/>
    <s v="Credit Card"/>
    <s v="Returned"/>
  </r>
  <r>
    <s v="TID_1893"/>
    <x v="4"/>
    <x v="2"/>
    <x v="3"/>
    <x v="1"/>
    <x v="0"/>
    <x v="3"/>
    <n v="6"/>
    <n v="6"/>
    <n v="10"/>
    <n v="9"/>
    <n v="76"/>
    <x v="3"/>
    <n v="254.31"/>
    <n v="19327.560000000001"/>
    <n v="19327.560000000001"/>
    <n v="17183.800563764536"/>
    <x v="0"/>
    <n v="2.0299999999999998"/>
    <b v="0"/>
    <d v="2023-07-26T00:00:00"/>
    <x v="3"/>
    <x v="1"/>
    <n v="37"/>
    <x v="2"/>
    <s v="Cash"/>
    <s v="Returned"/>
  </r>
  <r>
    <s v="TID_1703"/>
    <x v="6"/>
    <x v="1"/>
    <x v="1"/>
    <x v="2"/>
    <x v="2"/>
    <x v="0"/>
    <n v="6"/>
    <n v="13"/>
    <n v="10"/>
    <n v="10"/>
    <n v="46"/>
    <x v="5"/>
    <n v="418.56"/>
    <n v="19253.759999999998"/>
    <n v="14286.289919999999"/>
    <n v="22225.070643764539"/>
    <x v="1"/>
    <n v="25.8"/>
    <b v="1"/>
    <d v="2024-06-29T00:00:00"/>
    <x v="1"/>
    <x v="0"/>
    <n v="68"/>
    <x v="1"/>
    <s v="Cash"/>
    <s v="Not Returned"/>
  </r>
  <r>
    <s v="TID_175"/>
    <x v="1"/>
    <x v="0"/>
    <x v="1"/>
    <x v="0"/>
    <x v="1"/>
    <x v="2"/>
    <n v="5"/>
    <n v="4"/>
    <n v="6"/>
    <n v="10"/>
    <n v="14"/>
    <x v="6"/>
    <n v="1374.28"/>
    <n v="19239.919999999998"/>
    <n v="19239.919999999998"/>
    <n v="17271.44056376454"/>
    <x v="0"/>
    <n v="2.08"/>
    <b v="0"/>
    <d v="2023-04-04T00:00:00"/>
    <x v="1"/>
    <x v="1"/>
    <n v="32"/>
    <x v="2"/>
    <s v="Debit Card"/>
    <s v="Not Returned"/>
  </r>
  <r>
    <s v="TID_564"/>
    <x v="8"/>
    <x v="3"/>
    <x v="0"/>
    <x v="2"/>
    <x v="4"/>
    <x v="0"/>
    <n v="9"/>
    <n v="7"/>
    <n v="10"/>
    <n v="10"/>
    <n v="37"/>
    <x v="6"/>
    <n v="519.77"/>
    <n v="19231.490000000002"/>
    <n v="14100.528468000002"/>
    <n v="22410.832095764534"/>
    <x v="1"/>
    <n v="26.68"/>
    <b v="1"/>
    <d v="2023-11-17T00:00:00"/>
    <x v="0"/>
    <x v="1"/>
    <n v="35"/>
    <x v="1"/>
    <s v="Debit Card"/>
    <s v="Not Returned"/>
  </r>
  <r>
    <s v="TID_333"/>
    <x v="9"/>
    <x v="4"/>
    <x v="0"/>
    <x v="1"/>
    <x v="3"/>
    <x v="1"/>
    <n v="6"/>
    <n v="13"/>
    <n v="10"/>
    <n v="10"/>
    <n v="48"/>
    <x v="5"/>
    <n v="400.32"/>
    <n v="19215.36"/>
    <n v="19215.36"/>
    <n v="17296.000563764537"/>
    <x v="1"/>
    <n v="23.85"/>
    <b v="0"/>
    <d v="2023-12-02T00:00:00"/>
    <x v="0"/>
    <x v="1"/>
    <n v="24"/>
    <x v="0"/>
    <s v="Online Payment"/>
    <s v="Returned"/>
  </r>
  <r>
    <s v="TID_1613"/>
    <x v="2"/>
    <x v="1"/>
    <x v="0"/>
    <x v="0"/>
    <x v="4"/>
    <x v="1"/>
    <n v="3"/>
    <n v="13"/>
    <n v="6"/>
    <n v="10"/>
    <n v="43"/>
    <x v="5"/>
    <n v="446.33"/>
    <n v="19192.189999999999"/>
    <n v="19192.189999999999"/>
    <n v="17319.170563764539"/>
    <x v="0"/>
    <n v="9.73"/>
    <b v="0"/>
    <d v="2024-02-08T00:00:00"/>
    <x v="2"/>
    <x v="0"/>
    <n v="28"/>
    <x v="2"/>
    <s v="Debit Card"/>
    <s v="Not Returned"/>
  </r>
  <r>
    <s v="TID_703"/>
    <x v="6"/>
    <x v="1"/>
    <x v="1"/>
    <x v="1"/>
    <x v="0"/>
    <x v="3"/>
    <n v="6"/>
    <n v="13"/>
    <n v="10"/>
    <n v="9"/>
    <n v="67"/>
    <x v="3"/>
    <n v="286.02999999999997"/>
    <n v="19164.009999999998"/>
    <n v="16835.582784999999"/>
    <n v="19675.777778764539"/>
    <x v="0"/>
    <n v="12.15"/>
    <b v="1"/>
    <d v="2024-05-02T00:00:00"/>
    <x v="1"/>
    <x v="0"/>
    <n v="44"/>
    <x v="0"/>
    <s v="Cash"/>
    <s v="Returned"/>
  </r>
  <r>
    <s v="TID_666"/>
    <x v="4"/>
    <x v="2"/>
    <x v="1"/>
    <x v="2"/>
    <x v="2"/>
    <x v="3"/>
    <n v="6"/>
    <n v="6"/>
    <n v="10"/>
    <n v="9"/>
    <n v="29"/>
    <x v="6"/>
    <n v="658.29"/>
    <n v="19090.41"/>
    <n v="19090.41"/>
    <n v="17420.950563764538"/>
    <x v="1"/>
    <n v="3.37"/>
    <b v="0"/>
    <d v="2023-01-14T00:00:00"/>
    <x v="2"/>
    <x v="1"/>
    <n v="61"/>
    <x v="0"/>
    <s v="Online Payment"/>
    <s v="Not Returned"/>
  </r>
  <r>
    <s v="TID_1012"/>
    <x v="0"/>
    <x v="0"/>
    <x v="2"/>
    <x v="0"/>
    <x v="4"/>
    <x v="3"/>
    <n v="5"/>
    <n v="4"/>
    <n v="6"/>
    <n v="9"/>
    <n v="15"/>
    <x v="6"/>
    <n v="1270.8"/>
    <n v="19062"/>
    <n v="13711.296600000001"/>
    <n v="22800.063963764536"/>
    <x v="1"/>
    <n v="28.07"/>
    <b v="1"/>
    <d v="2023-11-30T00:00:00"/>
    <x v="0"/>
    <x v="1"/>
    <n v="51"/>
    <x v="0"/>
    <s v="Debit Card"/>
    <s v="Not Returned"/>
  </r>
  <r>
    <s v="TID_1278"/>
    <x v="9"/>
    <x v="4"/>
    <x v="0"/>
    <x v="2"/>
    <x v="4"/>
    <x v="0"/>
    <n v="6"/>
    <n v="13"/>
    <n v="10"/>
    <n v="10"/>
    <n v="85"/>
    <x v="2"/>
    <n v="223.75"/>
    <n v="19018.75"/>
    <n v="19018.75"/>
    <n v="17492.610563764538"/>
    <x v="0"/>
    <n v="3.3"/>
    <b v="0"/>
    <d v="2023-06-03T00:00:00"/>
    <x v="1"/>
    <x v="1"/>
    <n v="24"/>
    <x v="2"/>
    <s v="Online Payment"/>
    <s v="Not Returned"/>
  </r>
  <r>
    <s v="TID_1247"/>
    <x v="5"/>
    <x v="2"/>
    <x v="1"/>
    <x v="2"/>
    <x v="1"/>
    <x v="3"/>
    <n v="7"/>
    <n v="6"/>
    <n v="10"/>
    <n v="9"/>
    <n v="17"/>
    <x v="6"/>
    <n v="1118.6400000000001"/>
    <n v="19016.88"/>
    <n v="19016.88"/>
    <n v="17494.480563764537"/>
    <x v="1"/>
    <n v="23.75"/>
    <b v="0"/>
    <d v="2023-06-09T00:00:00"/>
    <x v="1"/>
    <x v="1"/>
    <n v="25"/>
    <x v="2"/>
    <s v="Online Payment"/>
    <s v="Not Returned"/>
  </r>
  <r>
    <s v="TID_250"/>
    <x v="2"/>
    <x v="1"/>
    <x v="1"/>
    <x v="2"/>
    <x v="0"/>
    <x v="1"/>
    <n v="3"/>
    <n v="13"/>
    <n v="10"/>
    <n v="10"/>
    <n v="48"/>
    <x v="5"/>
    <n v="395.22"/>
    <n v="18970.560000000001"/>
    <n v="18970.560000000001"/>
    <n v="17540.800563764536"/>
    <x v="0"/>
    <n v="2.63"/>
    <b v="0"/>
    <d v="2024-01-30T00:00:00"/>
    <x v="2"/>
    <x v="0"/>
    <n v="61"/>
    <x v="0"/>
    <s v="Credit Card"/>
    <s v="Returned"/>
  </r>
  <r>
    <s v="TID_733"/>
    <x v="7"/>
    <x v="2"/>
    <x v="1"/>
    <x v="0"/>
    <x v="4"/>
    <x v="3"/>
    <n v="2"/>
    <n v="6"/>
    <n v="6"/>
    <n v="9"/>
    <n v="13"/>
    <x v="6"/>
    <n v="1455.57"/>
    <n v="18922.41"/>
    <n v="18922.41"/>
    <n v="17588.950563764538"/>
    <x v="0"/>
    <n v="13.87"/>
    <b v="0"/>
    <d v="2024-02-23T00:00:00"/>
    <x v="2"/>
    <x v="0"/>
    <n v="54"/>
    <x v="2"/>
    <s v="Debit Card"/>
    <s v="Not Returned"/>
  </r>
  <r>
    <s v="TID_1635"/>
    <x v="8"/>
    <x v="3"/>
    <x v="3"/>
    <x v="1"/>
    <x v="2"/>
    <x v="0"/>
    <n v="9"/>
    <n v="7"/>
    <n v="10"/>
    <n v="10"/>
    <n v="41"/>
    <x v="5"/>
    <n v="460.37"/>
    <n v="18875.169999999998"/>
    <n v="14726.407633999999"/>
    <n v="21784.952929764539"/>
    <x v="1"/>
    <n v="21.98"/>
    <b v="1"/>
    <d v="2024-09-13T00:00:00"/>
    <x v="3"/>
    <x v="0"/>
    <n v="33"/>
    <x v="0"/>
    <s v="Cash"/>
    <s v="Returned"/>
  </r>
  <r>
    <s v="TID_277"/>
    <x v="2"/>
    <x v="1"/>
    <x v="3"/>
    <x v="2"/>
    <x v="0"/>
    <x v="3"/>
    <n v="3"/>
    <n v="13"/>
    <n v="10"/>
    <n v="9"/>
    <n v="77"/>
    <x v="3"/>
    <n v="245.01"/>
    <n v="18865.77"/>
    <n v="13894.639604999998"/>
    <n v="22616.720958764541"/>
    <x v="1"/>
    <n v="26.35"/>
    <b v="1"/>
    <d v="2023-10-13T00:00:00"/>
    <x v="0"/>
    <x v="1"/>
    <n v="42"/>
    <x v="0"/>
    <s v="Credit Card"/>
    <s v="Returned"/>
  </r>
  <r>
    <s v="TID_1205"/>
    <x v="4"/>
    <x v="2"/>
    <x v="0"/>
    <x v="2"/>
    <x v="4"/>
    <x v="3"/>
    <n v="6"/>
    <n v="6"/>
    <n v="10"/>
    <n v="9"/>
    <n v="88"/>
    <x v="2"/>
    <n v="213.64"/>
    <n v="18800.32"/>
    <n v="18800.32"/>
    <n v="17711.040563764538"/>
    <x v="1"/>
    <n v="12.34"/>
    <b v="0"/>
    <d v="2024-07-24T00:00:00"/>
    <x v="3"/>
    <x v="0"/>
    <n v="53"/>
    <x v="2"/>
    <s v="Cash"/>
    <s v="Returned"/>
  </r>
  <r>
    <s v="TID_707"/>
    <x v="6"/>
    <x v="1"/>
    <x v="2"/>
    <x v="0"/>
    <x v="2"/>
    <x v="1"/>
    <n v="6"/>
    <n v="13"/>
    <n v="6"/>
    <n v="10"/>
    <n v="91"/>
    <x v="1"/>
    <n v="206.3"/>
    <n v="18773.3"/>
    <n v="17620.61938"/>
    <n v="18890.741183764538"/>
    <x v="1"/>
    <n v="6.14"/>
    <b v="1"/>
    <d v="2024-01-29T00:00:00"/>
    <x v="2"/>
    <x v="0"/>
    <n v="69"/>
    <x v="0"/>
    <s v="Online Payment"/>
    <s v="Returned"/>
  </r>
  <r>
    <s v="TID_858"/>
    <x v="8"/>
    <x v="3"/>
    <x v="0"/>
    <x v="1"/>
    <x v="2"/>
    <x v="0"/>
    <n v="9"/>
    <n v="7"/>
    <n v="10"/>
    <n v="10"/>
    <n v="63"/>
    <x v="3"/>
    <n v="297.02999999999997"/>
    <n v="18712.89"/>
    <n v="14833.707902999999"/>
    <n v="21677.652660764539"/>
    <x v="0"/>
    <n v="20.73"/>
    <b v="1"/>
    <d v="2023-01-13T00:00:00"/>
    <x v="2"/>
    <x v="1"/>
    <n v="24"/>
    <x v="1"/>
    <s v="Online Payment"/>
    <s v="Not Returned"/>
  </r>
  <r>
    <s v="TID_737"/>
    <x v="8"/>
    <x v="3"/>
    <x v="2"/>
    <x v="1"/>
    <x v="4"/>
    <x v="3"/>
    <n v="9"/>
    <n v="7"/>
    <n v="10"/>
    <n v="9"/>
    <n v="64"/>
    <x v="3"/>
    <n v="292.23"/>
    <n v="18702.72"/>
    <n v="15051.949055999999"/>
    <n v="21459.41150776454"/>
    <x v="0"/>
    <n v="19.52"/>
    <b v="1"/>
    <d v="2023-01-05T00:00:00"/>
    <x v="2"/>
    <x v="1"/>
    <n v="24"/>
    <x v="2"/>
    <s v="Credit Card"/>
    <s v="Not Returned"/>
  </r>
  <r>
    <s v="TID_939"/>
    <x v="2"/>
    <x v="1"/>
    <x v="1"/>
    <x v="1"/>
    <x v="1"/>
    <x v="3"/>
    <n v="3"/>
    <n v="13"/>
    <n v="10"/>
    <n v="9"/>
    <n v="52"/>
    <x v="4"/>
    <n v="359.38"/>
    <n v="18687.759999999998"/>
    <n v="16867.572175999998"/>
    <n v="19643.78838776454"/>
    <x v="1"/>
    <n v="9.74"/>
    <b v="1"/>
    <d v="2023-01-23T00:00:00"/>
    <x v="2"/>
    <x v="1"/>
    <n v="39"/>
    <x v="0"/>
    <s v="Credit Card"/>
    <s v="Returned"/>
  </r>
  <r>
    <s v="TID_466"/>
    <x v="9"/>
    <x v="4"/>
    <x v="0"/>
    <x v="2"/>
    <x v="3"/>
    <x v="0"/>
    <n v="6"/>
    <n v="13"/>
    <n v="10"/>
    <n v="10"/>
    <n v="17"/>
    <x v="6"/>
    <n v="1098.25"/>
    <n v="18670.25"/>
    <n v="15875.313575000002"/>
    <n v="20636.046988764538"/>
    <x v="1"/>
    <n v="14.97"/>
    <b v="1"/>
    <d v="2023-04-05T00:00:00"/>
    <x v="1"/>
    <x v="1"/>
    <n v="55"/>
    <x v="0"/>
    <s v="Cash"/>
    <s v="Not Returned"/>
  </r>
  <r>
    <s v="TID_341"/>
    <x v="3"/>
    <x v="0"/>
    <x v="3"/>
    <x v="0"/>
    <x v="2"/>
    <x v="3"/>
    <n v="5"/>
    <n v="4"/>
    <n v="6"/>
    <n v="9"/>
    <n v="80"/>
    <x v="3"/>
    <n v="232.98"/>
    <n v="18638.400000000001"/>
    <n v="18638.400000000001"/>
    <n v="17872.960563764536"/>
    <x v="1"/>
    <n v="4.63"/>
    <b v="0"/>
    <d v="2023-10-03T00:00:00"/>
    <x v="0"/>
    <x v="1"/>
    <n v="31"/>
    <x v="1"/>
    <s v="Online Payment"/>
    <s v="Returned"/>
  </r>
  <r>
    <s v="TID_1619"/>
    <x v="5"/>
    <x v="2"/>
    <x v="1"/>
    <x v="2"/>
    <x v="1"/>
    <x v="1"/>
    <n v="7"/>
    <n v="6"/>
    <n v="10"/>
    <n v="10"/>
    <n v="21"/>
    <x v="6"/>
    <n v="885.32"/>
    <n v="18591.72"/>
    <n v="14544.302556000001"/>
    <n v="21967.058007764535"/>
    <x v="0"/>
    <n v="21.77"/>
    <b v="1"/>
    <d v="2023-07-26T00:00:00"/>
    <x v="3"/>
    <x v="1"/>
    <n v="32"/>
    <x v="2"/>
    <s v="Debit Card"/>
    <s v="Not Returned"/>
  </r>
  <r>
    <s v="TID_421"/>
    <x v="5"/>
    <x v="2"/>
    <x v="0"/>
    <x v="2"/>
    <x v="0"/>
    <x v="1"/>
    <n v="7"/>
    <n v="6"/>
    <n v="10"/>
    <n v="10"/>
    <n v="94"/>
    <x v="1"/>
    <n v="197.54"/>
    <n v="18568.759999999998"/>
    <n v="17376.645607999999"/>
    <n v="19134.714955764539"/>
    <x v="1"/>
    <n v="6.42"/>
    <b v="1"/>
    <d v="2024-06-13T00:00:00"/>
    <x v="1"/>
    <x v="0"/>
    <n v="18"/>
    <x v="2"/>
    <s v="Cash"/>
    <s v="Returned"/>
  </r>
  <r>
    <s v="TID_877"/>
    <x v="8"/>
    <x v="3"/>
    <x v="0"/>
    <x v="2"/>
    <x v="1"/>
    <x v="2"/>
    <n v="9"/>
    <n v="7"/>
    <n v="10"/>
    <n v="10"/>
    <n v="39"/>
    <x v="6"/>
    <n v="475.08"/>
    <n v="18528.12"/>
    <n v="18528.12"/>
    <n v="17983.240563764539"/>
    <x v="0"/>
    <n v="19.93"/>
    <b v="0"/>
    <d v="2024-03-21T00:00:00"/>
    <x v="2"/>
    <x v="0"/>
    <n v="47"/>
    <x v="0"/>
    <s v="Debit Card"/>
    <s v="Not Returned"/>
  </r>
  <r>
    <s v="TID_319"/>
    <x v="1"/>
    <x v="0"/>
    <x v="1"/>
    <x v="1"/>
    <x v="1"/>
    <x v="0"/>
    <n v="5"/>
    <n v="4"/>
    <n v="10"/>
    <n v="10"/>
    <n v="37"/>
    <x v="6"/>
    <n v="500.34"/>
    <n v="18512.580000000002"/>
    <n v="13142.080542000002"/>
    <n v="23369.280021764534"/>
    <x v="0"/>
    <n v="29.01"/>
    <b v="1"/>
    <d v="2024-05-17T00:00:00"/>
    <x v="1"/>
    <x v="0"/>
    <n v="34"/>
    <x v="2"/>
    <s v="Online Payment"/>
    <s v="Not Returned"/>
  </r>
  <r>
    <s v="TID_1625"/>
    <x v="3"/>
    <x v="0"/>
    <x v="3"/>
    <x v="0"/>
    <x v="2"/>
    <x v="0"/>
    <n v="5"/>
    <n v="4"/>
    <n v="6"/>
    <n v="10"/>
    <n v="17"/>
    <x v="6"/>
    <n v="1085.6099999999999"/>
    <n v="18455.37"/>
    <n v="18455.37"/>
    <n v="18055.990563764539"/>
    <x v="0"/>
    <n v="26.04"/>
    <b v="0"/>
    <d v="2024-06-14T00:00:00"/>
    <x v="1"/>
    <x v="0"/>
    <n v="62"/>
    <x v="0"/>
    <s v="Online Payment"/>
    <s v="Returned"/>
  </r>
  <r>
    <s v="TID_800"/>
    <x v="0"/>
    <x v="0"/>
    <x v="3"/>
    <x v="1"/>
    <x v="2"/>
    <x v="2"/>
    <n v="5"/>
    <n v="4"/>
    <n v="10"/>
    <n v="10"/>
    <n v="16"/>
    <x v="6"/>
    <n v="1150.5899999999999"/>
    <n v="18409.439999999999"/>
    <n v="15255.902928"/>
    <n v="21255.457635764538"/>
    <x v="1"/>
    <n v="17.13"/>
    <b v="1"/>
    <d v="2023-04-06T00:00:00"/>
    <x v="1"/>
    <x v="1"/>
    <n v="41"/>
    <x v="1"/>
    <s v="Cash"/>
    <s v="Returned"/>
  </r>
  <r>
    <s v="TID_938"/>
    <x v="2"/>
    <x v="1"/>
    <x v="3"/>
    <x v="2"/>
    <x v="4"/>
    <x v="1"/>
    <n v="3"/>
    <n v="13"/>
    <n v="10"/>
    <n v="10"/>
    <n v="32"/>
    <x v="6"/>
    <n v="573.84"/>
    <n v="18362.88"/>
    <n v="13788.686592000002"/>
    <n v="22722.673971764536"/>
    <x v="1"/>
    <n v="24.91"/>
    <b v="1"/>
    <d v="2023-09-12T00:00:00"/>
    <x v="3"/>
    <x v="1"/>
    <n v="57"/>
    <x v="1"/>
    <s v="Cash"/>
    <s v="Not Returned"/>
  </r>
  <r>
    <s v="TID_942"/>
    <x v="4"/>
    <x v="2"/>
    <x v="2"/>
    <x v="2"/>
    <x v="2"/>
    <x v="0"/>
    <n v="6"/>
    <n v="6"/>
    <n v="10"/>
    <n v="10"/>
    <n v="28"/>
    <x v="6"/>
    <n v="655.58"/>
    <n v="18356.240000000002"/>
    <n v="16410.478560000003"/>
    <n v="20100.882003764535"/>
    <x v="1"/>
    <n v="10.6"/>
    <b v="1"/>
    <d v="2024-05-25T00:00:00"/>
    <x v="1"/>
    <x v="0"/>
    <n v="46"/>
    <x v="0"/>
    <s v="Cash"/>
    <s v="Returned"/>
  </r>
  <r>
    <s v="TID_436"/>
    <x v="2"/>
    <x v="1"/>
    <x v="0"/>
    <x v="0"/>
    <x v="0"/>
    <x v="2"/>
    <n v="3"/>
    <n v="13"/>
    <n v="6"/>
    <n v="10"/>
    <n v="53"/>
    <x v="4"/>
    <n v="346.15"/>
    <n v="18345.95"/>
    <n v="18345.95"/>
    <n v="18165.410563764537"/>
    <x v="0"/>
    <n v="23.72"/>
    <b v="0"/>
    <d v="2024-07-13T00:00:00"/>
    <x v="3"/>
    <x v="0"/>
    <n v="56"/>
    <x v="0"/>
    <s v="Cash"/>
    <s v="Returned"/>
  </r>
  <r>
    <s v="TID_198"/>
    <x v="5"/>
    <x v="2"/>
    <x v="3"/>
    <x v="2"/>
    <x v="0"/>
    <x v="0"/>
    <n v="7"/>
    <n v="6"/>
    <n v="10"/>
    <n v="10"/>
    <n v="29"/>
    <x v="6"/>
    <n v="632.24"/>
    <n v="18334.96"/>
    <n v="18334.96"/>
    <n v="18176.400563764539"/>
    <x v="1"/>
    <n v="10.87"/>
    <b v="0"/>
    <d v="2024-01-21T00:00:00"/>
    <x v="2"/>
    <x v="0"/>
    <n v="47"/>
    <x v="2"/>
    <s v="Debit Card"/>
    <s v="Returned"/>
  </r>
  <r>
    <s v="TID_1419"/>
    <x v="7"/>
    <x v="2"/>
    <x v="1"/>
    <x v="0"/>
    <x v="2"/>
    <x v="3"/>
    <n v="2"/>
    <n v="6"/>
    <n v="6"/>
    <n v="9"/>
    <n v="67"/>
    <x v="3"/>
    <n v="273.39"/>
    <n v="18317.13"/>
    <n v="16608.141771000002"/>
    <n v="19903.218792764535"/>
    <x v="1"/>
    <n v="9.33"/>
    <b v="1"/>
    <d v="2024-01-06T00:00:00"/>
    <x v="2"/>
    <x v="0"/>
    <n v="31"/>
    <x v="1"/>
    <s v="Credit Card"/>
    <s v="Returned"/>
  </r>
  <r>
    <s v="TID_1128"/>
    <x v="7"/>
    <x v="2"/>
    <x v="2"/>
    <x v="2"/>
    <x v="3"/>
    <x v="3"/>
    <n v="2"/>
    <n v="6"/>
    <n v="10"/>
    <n v="9"/>
    <n v="42"/>
    <x v="5"/>
    <n v="435.93"/>
    <n v="18309.060000000001"/>
    <n v="15916.065858"/>
    <n v="20595.294705764536"/>
    <x v="0"/>
    <n v="13.07"/>
    <b v="1"/>
    <d v="2023-01-17T00:00:00"/>
    <x v="2"/>
    <x v="1"/>
    <n v="39"/>
    <x v="2"/>
    <s v="Online Payment"/>
    <s v="Not Returned"/>
  </r>
  <r>
    <s v="TID_107"/>
    <x v="7"/>
    <x v="2"/>
    <x v="1"/>
    <x v="0"/>
    <x v="0"/>
    <x v="2"/>
    <n v="2"/>
    <n v="6"/>
    <n v="6"/>
    <n v="10"/>
    <n v="36"/>
    <x v="6"/>
    <n v="508.21"/>
    <n v="18295.560000000001"/>
    <n v="18246.161988"/>
    <n v="18265.198575764538"/>
    <x v="0"/>
    <n v="0.27"/>
    <b v="1"/>
    <d v="2023-06-24T00:00:00"/>
    <x v="1"/>
    <x v="1"/>
    <n v="22"/>
    <x v="2"/>
    <s v="Credit Card"/>
    <s v="Returned"/>
  </r>
  <r>
    <s v="TID_1846"/>
    <x v="2"/>
    <x v="1"/>
    <x v="3"/>
    <x v="1"/>
    <x v="0"/>
    <x v="1"/>
    <n v="3"/>
    <n v="13"/>
    <n v="10"/>
    <n v="10"/>
    <n v="32"/>
    <x v="6"/>
    <n v="570.78"/>
    <n v="18264.96"/>
    <n v="14409.226944"/>
    <n v="22102.133619764536"/>
    <x v="1"/>
    <n v="21.11"/>
    <b v="1"/>
    <d v="2023-06-07T00:00:00"/>
    <x v="1"/>
    <x v="1"/>
    <n v="62"/>
    <x v="0"/>
    <s v="Online Payment"/>
    <s v="Not Returned"/>
  </r>
  <r>
    <s v="TID_944"/>
    <x v="1"/>
    <x v="0"/>
    <x v="2"/>
    <x v="0"/>
    <x v="1"/>
    <x v="0"/>
    <n v="5"/>
    <n v="4"/>
    <n v="6"/>
    <n v="10"/>
    <n v="85"/>
    <x v="2"/>
    <n v="214.67"/>
    <n v="18246.95"/>
    <n v="18246.95"/>
    <n v="18264.410563764537"/>
    <x v="1"/>
    <n v="26.56"/>
    <b v="0"/>
    <d v="2024-01-07T00:00:00"/>
    <x v="2"/>
    <x v="0"/>
    <n v="33"/>
    <x v="0"/>
    <s v="Online Payment"/>
    <s v="Not Returned"/>
  </r>
  <r>
    <s v="TID_127"/>
    <x v="5"/>
    <x v="2"/>
    <x v="3"/>
    <x v="0"/>
    <x v="4"/>
    <x v="2"/>
    <n v="7"/>
    <n v="6"/>
    <n v="6"/>
    <n v="10"/>
    <n v="70"/>
    <x v="3"/>
    <n v="260.39999999999998"/>
    <n v="18228"/>
    <n v="18228"/>
    <n v="18283.360563764538"/>
    <x v="1"/>
    <n v="17.41"/>
    <b v="0"/>
    <d v="2024-06-17T00:00:00"/>
    <x v="1"/>
    <x v="0"/>
    <n v="26"/>
    <x v="2"/>
    <s v="Online Payment"/>
    <s v="Not Returned"/>
  </r>
  <r>
    <s v="TID_1411"/>
    <x v="9"/>
    <x v="4"/>
    <x v="3"/>
    <x v="1"/>
    <x v="3"/>
    <x v="1"/>
    <n v="6"/>
    <n v="13"/>
    <n v="10"/>
    <n v="10"/>
    <n v="26"/>
    <x v="6"/>
    <n v="700.13"/>
    <n v="18203.38"/>
    <n v="14107.619500000001"/>
    <n v="22403.741063764537"/>
    <x v="1"/>
    <n v="22.5"/>
    <b v="1"/>
    <d v="2023-06-26T00:00:00"/>
    <x v="1"/>
    <x v="1"/>
    <n v="34"/>
    <x v="0"/>
    <s v="Cash"/>
    <s v="Not Returned"/>
  </r>
  <r>
    <s v="TID_1834"/>
    <x v="5"/>
    <x v="2"/>
    <x v="0"/>
    <x v="2"/>
    <x v="3"/>
    <x v="1"/>
    <n v="7"/>
    <n v="6"/>
    <n v="10"/>
    <n v="10"/>
    <n v="23"/>
    <x v="6"/>
    <n v="791.38"/>
    <n v="18201.740000000002"/>
    <n v="16188.627556000001"/>
    <n v="20322.733007764538"/>
    <x v="0"/>
    <n v="11.06"/>
    <b v="1"/>
    <d v="2023-09-10T00:00:00"/>
    <x v="3"/>
    <x v="1"/>
    <n v="60"/>
    <x v="0"/>
    <s v="Debit Card"/>
    <s v="Returned"/>
  </r>
  <r>
    <s v="TID_1668"/>
    <x v="3"/>
    <x v="0"/>
    <x v="1"/>
    <x v="1"/>
    <x v="4"/>
    <x v="2"/>
    <n v="5"/>
    <n v="4"/>
    <n v="10"/>
    <n v="10"/>
    <n v="89"/>
    <x v="2"/>
    <n v="204.23"/>
    <n v="18176.47"/>
    <n v="15913.499485"/>
    <n v="20597.861078764538"/>
    <x v="0"/>
    <n v="12.45"/>
    <b v="1"/>
    <d v="2024-03-10T00:00:00"/>
    <x v="2"/>
    <x v="0"/>
    <n v="29"/>
    <x v="2"/>
    <s v="Credit Card"/>
    <s v="Not Returned"/>
  </r>
  <r>
    <s v="TID_761"/>
    <x v="6"/>
    <x v="1"/>
    <x v="0"/>
    <x v="2"/>
    <x v="2"/>
    <x v="3"/>
    <n v="6"/>
    <n v="13"/>
    <n v="10"/>
    <n v="9"/>
    <n v="18"/>
    <x v="6"/>
    <n v="1006.03"/>
    <n v="18108.54"/>
    <n v="17445.767436000002"/>
    <n v="19065.593127764536"/>
    <x v="1"/>
    <n v="3.66"/>
    <b v="1"/>
    <d v="2023-10-30T00:00:00"/>
    <x v="0"/>
    <x v="1"/>
    <n v="25"/>
    <x v="2"/>
    <s v="Debit Card"/>
    <s v="Not Returned"/>
  </r>
  <r>
    <s v="TID_1699"/>
    <x v="9"/>
    <x v="4"/>
    <x v="1"/>
    <x v="1"/>
    <x v="2"/>
    <x v="1"/>
    <n v="6"/>
    <n v="13"/>
    <n v="10"/>
    <n v="10"/>
    <n v="45"/>
    <x v="5"/>
    <n v="402.3"/>
    <n v="18103.5"/>
    <n v="18103.5"/>
    <n v="18407.860563764538"/>
    <x v="0"/>
    <n v="12.48"/>
    <b v="0"/>
    <d v="2024-02-25T00:00:00"/>
    <x v="2"/>
    <x v="0"/>
    <n v="53"/>
    <x v="2"/>
    <s v="Online Payment"/>
    <s v="Not Returned"/>
  </r>
  <r>
    <s v="TID_821"/>
    <x v="9"/>
    <x v="4"/>
    <x v="3"/>
    <x v="0"/>
    <x v="1"/>
    <x v="3"/>
    <n v="6"/>
    <n v="13"/>
    <n v="6"/>
    <n v="9"/>
    <n v="23"/>
    <x v="6"/>
    <n v="782.07"/>
    <n v="17987.61"/>
    <n v="17987.61"/>
    <n v="18523.750563764537"/>
    <x v="0"/>
    <n v="19.64"/>
    <b v="0"/>
    <d v="2024-10-10T00:00:00"/>
    <x v="0"/>
    <x v="0"/>
    <n v="50"/>
    <x v="0"/>
    <s v="Online Payment"/>
    <s v="Not Returned"/>
  </r>
  <r>
    <s v="TID_437"/>
    <x v="1"/>
    <x v="0"/>
    <x v="0"/>
    <x v="2"/>
    <x v="2"/>
    <x v="2"/>
    <n v="5"/>
    <n v="4"/>
    <n v="10"/>
    <n v="10"/>
    <n v="44"/>
    <x v="5"/>
    <n v="408.45"/>
    <n v="17971.8"/>
    <n v="17971.8"/>
    <n v="18539.560563764539"/>
    <x v="0"/>
    <n v="8.4"/>
    <b v="0"/>
    <d v="2024-01-14T00:00:00"/>
    <x v="2"/>
    <x v="0"/>
    <n v="56"/>
    <x v="1"/>
    <s v="Cash"/>
    <s v="Not Returned"/>
  </r>
  <r>
    <s v="TID_199"/>
    <x v="6"/>
    <x v="1"/>
    <x v="0"/>
    <x v="2"/>
    <x v="2"/>
    <x v="2"/>
    <n v="6"/>
    <n v="13"/>
    <n v="10"/>
    <n v="10"/>
    <n v="37"/>
    <x v="6"/>
    <n v="485.71"/>
    <n v="17971.27"/>
    <n v="14461.480969"/>
    <n v="22049.879594764538"/>
    <x v="1"/>
    <n v="19.53"/>
    <b v="1"/>
    <d v="2023-01-15T00:00:00"/>
    <x v="2"/>
    <x v="1"/>
    <n v="68"/>
    <x v="0"/>
    <s v="Debit Card"/>
    <s v="Not Returned"/>
  </r>
  <r>
    <s v="TID_419"/>
    <x v="4"/>
    <x v="2"/>
    <x v="0"/>
    <x v="1"/>
    <x v="0"/>
    <x v="2"/>
    <n v="6"/>
    <n v="6"/>
    <n v="10"/>
    <n v="10"/>
    <n v="43"/>
    <x v="5"/>
    <n v="417.22"/>
    <n v="17940.46"/>
    <n v="17940.46"/>
    <n v="18570.900563764539"/>
    <x v="0"/>
    <n v="29.38"/>
    <b v="0"/>
    <d v="2023-11-04T00:00:00"/>
    <x v="0"/>
    <x v="1"/>
    <n v="28"/>
    <x v="2"/>
    <s v="Cash"/>
    <s v="Not Returned"/>
  </r>
  <r>
    <s v="TID_879"/>
    <x v="5"/>
    <x v="2"/>
    <x v="1"/>
    <x v="1"/>
    <x v="1"/>
    <x v="0"/>
    <n v="7"/>
    <n v="6"/>
    <n v="10"/>
    <n v="10"/>
    <n v="30"/>
    <x v="6"/>
    <n v="595.49"/>
    <n v="17864.7"/>
    <n v="13970.195400000001"/>
    <n v="22541.165163764537"/>
    <x v="1"/>
    <n v="21.8"/>
    <b v="1"/>
    <d v="2024-07-22T00:00:00"/>
    <x v="3"/>
    <x v="0"/>
    <n v="29"/>
    <x v="1"/>
    <s v="Credit Card"/>
    <s v="Not Returned"/>
  </r>
  <r>
    <s v="TID_1814"/>
    <x v="3"/>
    <x v="0"/>
    <x v="2"/>
    <x v="2"/>
    <x v="1"/>
    <x v="2"/>
    <n v="5"/>
    <n v="4"/>
    <n v="10"/>
    <n v="10"/>
    <n v="14"/>
    <x v="6"/>
    <n v="1273.04"/>
    <n v="17822.560000000001"/>
    <n v="17822.560000000001"/>
    <n v="18688.800563764536"/>
    <x v="0"/>
    <n v="24.19"/>
    <b v="0"/>
    <d v="2024-09-14T00:00:00"/>
    <x v="3"/>
    <x v="0"/>
    <n v="33"/>
    <x v="0"/>
    <s v="Debit Card"/>
    <s v="Not Returned"/>
  </r>
  <r>
    <s v="TID_456"/>
    <x v="9"/>
    <x v="4"/>
    <x v="3"/>
    <x v="0"/>
    <x v="2"/>
    <x v="2"/>
    <n v="6"/>
    <n v="13"/>
    <n v="6"/>
    <n v="10"/>
    <n v="73"/>
    <x v="3"/>
    <n v="243.95"/>
    <n v="17808.349999999999"/>
    <n v="16102.31007"/>
    <n v="20409.050493764538"/>
    <x v="1"/>
    <n v="9.58"/>
    <b v="1"/>
    <d v="2024-09-18T00:00:00"/>
    <x v="3"/>
    <x v="0"/>
    <n v="44"/>
    <x v="2"/>
    <s v="Credit Card"/>
    <s v="Returned"/>
  </r>
  <r>
    <s v="TID_1167"/>
    <x v="8"/>
    <x v="3"/>
    <x v="3"/>
    <x v="1"/>
    <x v="3"/>
    <x v="3"/>
    <n v="9"/>
    <n v="7"/>
    <n v="10"/>
    <n v="9"/>
    <n v="19"/>
    <x v="6"/>
    <n v="937.26"/>
    <n v="17807.939999999999"/>
    <n v="14762.782259999998"/>
    <n v="21748.578303764538"/>
    <x v="1"/>
    <n v="17.100000000000001"/>
    <b v="1"/>
    <d v="2024-03-16T00:00:00"/>
    <x v="2"/>
    <x v="0"/>
    <n v="67"/>
    <x v="2"/>
    <s v="Debit Card"/>
    <s v="Not Returned"/>
  </r>
  <r>
    <s v="TID_1185"/>
    <x v="5"/>
    <x v="2"/>
    <x v="0"/>
    <x v="1"/>
    <x v="0"/>
    <x v="2"/>
    <n v="7"/>
    <n v="6"/>
    <n v="10"/>
    <n v="10"/>
    <n v="43"/>
    <x v="5"/>
    <n v="413.66"/>
    <n v="17787.38"/>
    <n v="13465.04666"/>
    <n v="23046.313903764538"/>
    <x v="0"/>
    <n v="24.3"/>
    <b v="1"/>
    <d v="2023-09-01T00:00:00"/>
    <x v="3"/>
    <x v="1"/>
    <n v="36"/>
    <x v="0"/>
    <s v="Cash"/>
    <s v="Returned"/>
  </r>
  <r>
    <s v="TID_653"/>
    <x v="0"/>
    <x v="0"/>
    <x v="0"/>
    <x v="2"/>
    <x v="1"/>
    <x v="3"/>
    <n v="5"/>
    <n v="4"/>
    <n v="10"/>
    <n v="9"/>
    <n v="94"/>
    <x v="1"/>
    <n v="188.58"/>
    <n v="17726.52"/>
    <n v="17726.52"/>
    <n v="18784.840563764537"/>
    <x v="0"/>
    <n v="0.38"/>
    <b v="0"/>
    <d v="2023-07-12T00:00:00"/>
    <x v="3"/>
    <x v="1"/>
    <n v="65"/>
    <x v="1"/>
    <s v="Debit Card"/>
    <s v="Not Returned"/>
  </r>
  <r>
    <s v="TID_1706"/>
    <x v="8"/>
    <x v="3"/>
    <x v="3"/>
    <x v="0"/>
    <x v="3"/>
    <x v="1"/>
    <n v="9"/>
    <n v="7"/>
    <n v="6"/>
    <n v="10"/>
    <n v="14"/>
    <x v="6"/>
    <n v="1256.75"/>
    <n v="17594.5"/>
    <n v="16711.256099999999"/>
    <n v="19800.104463764539"/>
    <x v="1"/>
    <n v="5.0199999999999996"/>
    <b v="1"/>
    <d v="2024-05-13T00:00:00"/>
    <x v="1"/>
    <x v="0"/>
    <n v="51"/>
    <x v="1"/>
    <s v="Credit Card"/>
    <s v="Returned"/>
  </r>
  <r>
    <s v="TID_10"/>
    <x v="4"/>
    <x v="2"/>
    <x v="3"/>
    <x v="1"/>
    <x v="2"/>
    <x v="0"/>
    <n v="6"/>
    <n v="6"/>
    <n v="10"/>
    <n v="10"/>
    <n v="55"/>
    <x v="4"/>
    <n v="317.12"/>
    <n v="17441.599999999999"/>
    <n v="12632.950879999999"/>
    <n v="23878.409683764541"/>
    <x v="0"/>
    <n v="27.57"/>
    <b v="1"/>
    <d v="2023-04-26T00:00:00"/>
    <x v="1"/>
    <x v="1"/>
    <n v="61"/>
    <x v="0"/>
    <s v="Online Payment"/>
    <s v="Returned"/>
  </r>
  <r>
    <s v="TID_788"/>
    <x v="7"/>
    <x v="2"/>
    <x v="2"/>
    <x v="1"/>
    <x v="0"/>
    <x v="3"/>
    <n v="2"/>
    <n v="6"/>
    <n v="10"/>
    <n v="9"/>
    <n v="23"/>
    <x v="6"/>
    <n v="757.19"/>
    <n v="17415.37"/>
    <n v="14606.270818999999"/>
    <n v="21905.08974476454"/>
    <x v="0"/>
    <n v="16.13"/>
    <b v="1"/>
    <d v="2023-12-02T00:00:00"/>
    <x v="0"/>
    <x v="1"/>
    <n v="31"/>
    <x v="0"/>
    <s v="Debit Card"/>
    <s v="Not Returned"/>
  </r>
  <r>
    <s v="TID_1381"/>
    <x v="1"/>
    <x v="0"/>
    <x v="2"/>
    <x v="2"/>
    <x v="3"/>
    <x v="1"/>
    <n v="5"/>
    <n v="4"/>
    <n v="10"/>
    <n v="10"/>
    <n v="64"/>
    <x v="3"/>
    <n v="271.91000000000003"/>
    <n v="17402.240000000002"/>
    <n v="17188.192448000002"/>
    <n v="19323.168115764536"/>
    <x v="1"/>
    <n v="1.23"/>
    <b v="1"/>
    <d v="2024-04-30T00:00:00"/>
    <x v="1"/>
    <x v="0"/>
    <n v="43"/>
    <x v="0"/>
    <s v="Online Payment"/>
    <s v="Returned"/>
  </r>
  <r>
    <s v="TID_43"/>
    <x v="9"/>
    <x v="4"/>
    <x v="3"/>
    <x v="0"/>
    <x v="3"/>
    <x v="1"/>
    <n v="6"/>
    <n v="13"/>
    <n v="6"/>
    <n v="10"/>
    <n v="27"/>
    <x v="6"/>
    <n v="643.61"/>
    <n v="17377.47"/>
    <n v="16618.074561000001"/>
    <n v="19893.286002764537"/>
    <x v="0"/>
    <n v="4.37"/>
    <b v="1"/>
    <d v="2024-10-27T00:00:00"/>
    <x v="0"/>
    <x v="0"/>
    <n v="25"/>
    <x v="2"/>
    <s v="Debit Card"/>
    <s v="Not Returned"/>
  </r>
  <r>
    <s v="TID_1129"/>
    <x v="1"/>
    <x v="0"/>
    <x v="3"/>
    <x v="0"/>
    <x v="4"/>
    <x v="2"/>
    <n v="5"/>
    <n v="4"/>
    <n v="6"/>
    <n v="10"/>
    <n v="48"/>
    <x v="5"/>
    <n v="361.92"/>
    <n v="17372.16"/>
    <n v="17372.16"/>
    <n v="19139.200563764538"/>
    <x v="0"/>
    <n v="16.78"/>
    <b v="0"/>
    <d v="2023-02-17T00:00:00"/>
    <x v="2"/>
    <x v="1"/>
    <n v="22"/>
    <x v="1"/>
    <s v="Credit Card"/>
    <s v="Returned"/>
  </r>
  <r>
    <s v="TID_1920"/>
    <x v="9"/>
    <x v="4"/>
    <x v="3"/>
    <x v="2"/>
    <x v="0"/>
    <x v="0"/>
    <n v="6"/>
    <n v="13"/>
    <n v="10"/>
    <n v="10"/>
    <n v="22"/>
    <x v="6"/>
    <n v="789.59"/>
    <n v="17370.98"/>
    <n v="17370.98"/>
    <n v="19140.380563764538"/>
    <x v="1"/>
    <n v="26.77"/>
    <b v="0"/>
    <d v="2024-08-21T00:00:00"/>
    <x v="3"/>
    <x v="0"/>
    <n v="28"/>
    <x v="1"/>
    <s v="Debit Card"/>
    <s v="Not Returned"/>
  </r>
  <r>
    <s v="TID_1182"/>
    <x v="0"/>
    <x v="0"/>
    <x v="1"/>
    <x v="2"/>
    <x v="2"/>
    <x v="1"/>
    <n v="5"/>
    <n v="4"/>
    <n v="10"/>
    <n v="10"/>
    <n v="20"/>
    <x v="6"/>
    <n v="866.08"/>
    <n v="17321.599999999999"/>
    <n v="16025.944319999999"/>
    <n v="20485.416243764539"/>
    <x v="1"/>
    <n v="7.48"/>
    <b v="1"/>
    <d v="2023-05-29T00:00:00"/>
    <x v="1"/>
    <x v="1"/>
    <n v="59"/>
    <x v="1"/>
    <s v="Debit Card"/>
    <s v="Returned"/>
  </r>
  <r>
    <s v="TID_204"/>
    <x v="8"/>
    <x v="3"/>
    <x v="0"/>
    <x v="2"/>
    <x v="3"/>
    <x v="0"/>
    <n v="9"/>
    <n v="7"/>
    <n v="10"/>
    <n v="10"/>
    <n v="42"/>
    <x v="5"/>
    <n v="412.29"/>
    <n v="17316.18"/>
    <n v="17316.18"/>
    <n v="19195.180563764538"/>
    <x v="0"/>
    <n v="23.7"/>
    <b v="0"/>
    <d v="2023-02-04T00:00:00"/>
    <x v="2"/>
    <x v="1"/>
    <n v="38"/>
    <x v="0"/>
    <s v="Cash"/>
    <s v="Not Returned"/>
  </r>
  <r>
    <s v="TID_244"/>
    <x v="1"/>
    <x v="0"/>
    <x v="1"/>
    <x v="2"/>
    <x v="3"/>
    <x v="3"/>
    <n v="5"/>
    <n v="4"/>
    <n v="10"/>
    <n v="9"/>
    <n v="76"/>
    <x v="3"/>
    <n v="227.81"/>
    <n v="17313.560000000001"/>
    <n v="14406.613276000002"/>
    <n v="22104.747287764534"/>
    <x v="0"/>
    <n v="16.79"/>
    <b v="1"/>
    <d v="2023-01-22T00:00:00"/>
    <x v="2"/>
    <x v="1"/>
    <n v="57"/>
    <x v="0"/>
    <s v="Online Payment"/>
    <s v="Not Returned"/>
  </r>
  <r>
    <s v="TID_1958"/>
    <x v="9"/>
    <x v="4"/>
    <x v="1"/>
    <x v="0"/>
    <x v="1"/>
    <x v="0"/>
    <n v="6"/>
    <n v="13"/>
    <n v="6"/>
    <n v="10"/>
    <n v="21"/>
    <x v="6"/>
    <n v="823.42"/>
    <n v="17291.82"/>
    <n v="15488.283173999998"/>
    <n v="21023.077389764541"/>
    <x v="1"/>
    <n v="10.43"/>
    <b v="1"/>
    <d v="2023-11-28T00:00:00"/>
    <x v="0"/>
    <x v="1"/>
    <n v="45"/>
    <x v="2"/>
    <s v="Online Payment"/>
    <s v="Returned"/>
  </r>
  <r>
    <s v="TID_1675"/>
    <x v="4"/>
    <x v="2"/>
    <x v="2"/>
    <x v="2"/>
    <x v="1"/>
    <x v="0"/>
    <n v="6"/>
    <n v="6"/>
    <n v="10"/>
    <n v="10"/>
    <n v="16"/>
    <x v="6"/>
    <n v="1080.1199999999999"/>
    <n v="17281.919999999998"/>
    <n v="17281.919999999998"/>
    <n v="19229.44056376454"/>
    <x v="0"/>
    <n v="14.05"/>
    <b v="0"/>
    <d v="2024-08-12T00:00:00"/>
    <x v="3"/>
    <x v="0"/>
    <n v="22"/>
    <x v="0"/>
    <s v="Online Payment"/>
    <s v="Returned"/>
  </r>
  <r>
    <s v="TID_1412"/>
    <x v="2"/>
    <x v="1"/>
    <x v="0"/>
    <x v="1"/>
    <x v="2"/>
    <x v="1"/>
    <n v="3"/>
    <n v="13"/>
    <n v="10"/>
    <n v="10"/>
    <n v="41"/>
    <x v="5"/>
    <n v="421.33"/>
    <n v="17274.53"/>
    <n v="17274.53"/>
    <n v="19236.830563764539"/>
    <x v="1"/>
    <n v="5.32"/>
    <b v="0"/>
    <d v="2024-01-05T00:00:00"/>
    <x v="2"/>
    <x v="0"/>
    <n v="19"/>
    <x v="0"/>
    <s v="Online Payment"/>
    <s v="Returned"/>
  </r>
  <r>
    <s v="TID_545"/>
    <x v="0"/>
    <x v="0"/>
    <x v="2"/>
    <x v="0"/>
    <x v="2"/>
    <x v="3"/>
    <n v="5"/>
    <n v="4"/>
    <n v="6"/>
    <n v="9"/>
    <n v="30"/>
    <x v="6"/>
    <n v="574.57000000000005"/>
    <n v="17237.099999999999"/>
    <n v="16775.145719999997"/>
    <n v="19736.214843764541"/>
    <x v="0"/>
    <n v="2.68"/>
    <b v="1"/>
    <d v="2023-06-04T00:00:00"/>
    <x v="1"/>
    <x v="1"/>
    <n v="45"/>
    <x v="1"/>
    <s v="Online Payment"/>
    <s v="Not Returned"/>
  </r>
  <r>
    <s v="TID_1334"/>
    <x v="5"/>
    <x v="2"/>
    <x v="2"/>
    <x v="1"/>
    <x v="2"/>
    <x v="0"/>
    <n v="7"/>
    <n v="6"/>
    <n v="10"/>
    <n v="10"/>
    <n v="54"/>
    <x v="4"/>
    <n v="318.76"/>
    <n v="17213.04"/>
    <n v="12951.091296000001"/>
    <n v="23560.269267764539"/>
    <x v="1"/>
    <n v="24.76"/>
    <b v="1"/>
    <d v="2023-03-19T00:00:00"/>
    <x v="2"/>
    <x v="1"/>
    <n v="69"/>
    <x v="2"/>
    <s v="Debit Card"/>
    <s v="Not Returned"/>
  </r>
  <r>
    <s v="TID_1377"/>
    <x v="4"/>
    <x v="2"/>
    <x v="1"/>
    <x v="0"/>
    <x v="0"/>
    <x v="2"/>
    <n v="6"/>
    <n v="6"/>
    <n v="6"/>
    <n v="10"/>
    <n v="23"/>
    <x v="6"/>
    <n v="747.42"/>
    <n v="17190.66"/>
    <n v="17190.66"/>
    <n v="19320.700563764538"/>
    <x v="1"/>
    <n v="9.39"/>
    <b v="0"/>
    <d v="2023-06-18T00:00:00"/>
    <x v="1"/>
    <x v="1"/>
    <n v="27"/>
    <x v="2"/>
    <s v="Cash"/>
    <s v="Not Returned"/>
  </r>
  <r>
    <s v="TID_1685"/>
    <x v="2"/>
    <x v="1"/>
    <x v="1"/>
    <x v="2"/>
    <x v="3"/>
    <x v="2"/>
    <n v="3"/>
    <n v="13"/>
    <n v="10"/>
    <n v="10"/>
    <n v="12"/>
    <x v="6"/>
    <n v="1428.27"/>
    <n v="17139.240000000002"/>
    <n v="17139.240000000002"/>
    <n v="19372.120563764536"/>
    <x v="1"/>
    <n v="23.39"/>
    <b v="0"/>
    <d v="2023-01-06T00:00:00"/>
    <x v="2"/>
    <x v="1"/>
    <n v="32"/>
    <x v="0"/>
    <s v="Credit Card"/>
    <s v="Returned"/>
  </r>
  <r>
    <s v="TID_17"/>
    <x v="6"/>
    <x v="1"/>
    <x v="1"/>
    <x v="2"/>
    <x v="0"/>
    <x v="2"/>
    <n v="6"/>
    <n v="13"/>
    <n v="10"/>
    <n v="10"/>
    <n v="21"/>
    <x v="6"/>
    <n v="815.93"/>
    <n v="17134.53"/>
    <n v="17134.53"/>
    <n v="19376.830563764539"/>
    <x v="0"/>
    <n v="20.2"/>
    <b v="0"/>
    <d v="2024-08-13T00:00:00"/>
    <x v="3"/>
    <x v="0"/>
    <n v="36"/>
    <x v="2"/>
    <s v="Credit Card"/>
    <s v="Not Returned"/>
  </r>
  <r>
    <s v="TID_1482"/>
    <x v="6"/>
    <x v="1"/>
    <x v="2"/>
    <x v="2"/>
    <x v="1"/>
    <x v="3"/>
    <n v="6"/>
    <n v="13"/>
    <n v="10"/>
    <n v="9"/>
    <n v="96"/>
    <x v="0"/>
    <n v="178.31"/>
    <n v="17117.759999999998"/>
    <n v="17117.759999999998"/>
    <n v="19393.600563764539"/>
    <x v="1"/>
    <n v="22.95"/>
    <b v="0"/>
    <d v="2024-08-30T00:00:00"/>
    <x v="3"/>
    <x v="0"/>
    <n v="65"/>
    <x v="1"/>
    <s v="Cash"/>
    <s v="Not Returned"/>
  </r>
  <r>
    <s v="TID_1828"/>
    <x v="9"/>
    <x v="4"/>
    <x v="1"/>
    <x v="0"/>
    <x v="3"/>
    <x v="0"/>
    <n v="6"/>
    <n v="13"/>
    <n v="6"/>
    <n v="10"/>
    <n v="60"/>
    <x v="4"/>
    <n v="285.24"/>
    <n v="17114.400000000001"/>
    <n v="15296.850720000002"/>
    <n v="21214.509843764536"/>
    <x v="1"/>
    <n v="10.62"/>
    <b v="1"/>
    <d v="2024-07-27T00:00:00"/>
    <x v="3"/>
    <x v="0"/>
    <n v="42"/>
    <x v="1"/>
    <s v="Credit Card"/>
    <s v="Not Returned"/>
  </r>
  <r>
    <s v="TID_329"/>
    <x v="2"/>
    <x v="1"/>
    <x v="1"/>
    <x v="0"/>
    <x v="2"/>
    <x v="0"/>
    <n v="3"/>
    <n v="13"/>
    <n v="6"/>
    <n v="10"/>
    <n v="79"/>
    <x v="3"/>
    <n v="215.94"/>
    <n v="17059.259999999998"/>
    <n v="15435.218448"/>
    <n v="21076.142115764538"/>
    <x v="1"/>
    <n v="9.52"/>
    <b v="1"/>
    <d v="2024-10-04T00:00:00"/>
    <x v="0"/>
    <x v="0"/>
    <n v="52"/>
    <x v="0"/>
    <s v="Credit Card"/>
    <s v="Not Returned"/>
  </r>
  <r>
    <s v="TID_318"/>
    <x v="1"/>
    <x v="0"/>
    <x v="3"/>
    <x v="1"/>
    <x v="2"/>
    <x v="2"/>
    <n v="5"/>
    <n v="4"/>
    <n v="10"/>
    <n v="10"/>
    <n v="70"/>
    <x v="3"/>
    <n v="243.64"/>
    <n v="17054.8"/>
    <n v="13930.360639999999"/>
    <n v="22580.999923764539"/>
    <x v="1"/>
    <n v="18.32"/>
    <b v="1"/>
    <d v="2024-07-31T00:00:00"/>
    <x v="3"/>
    <x v="0"/>
    <n v="24"/>
    <x v="1"/>
    <s v="Cash"/>
    <s v="Not Returned"/>
  </r>
  <r>
    <s v="TID_1953"/>
    <x v="0"/>
    <x v="0"/>
    <x v="3"/>
    <x v="0"/>
    <x v="2"/>
    <x v="2"/>
    <n v="5"/>
    <n v="4"/>
    <n v="6"/>
    <n v="10"/>
    <n v="23"/>
    <x v="6"/>
    <n v="741.41"/>
    <n v="17052.43"/>
    <n v="17052.43"/>
    <n v="19458.930563764538"/>
    <x v="0"/>
    <n v="29.09"/>
    <b v="0"/>
    <d v="2023-01-18T00:00:00"/>
    <x v="2"/>
    <x v="1"/>
    <n v="43"/>
    <x v="0"/>
    <s v="Online Payment"/>
    <s v="Returned"/>
  </r>
  <r>
    <s v="TID_1982"/>
    <x v="6"/>
    <x v="1"/>
    <x v="3"/>
    <x v="1"/>
    <x v="1"/>
    <x v="2"/>
    <n v="6"/>
    <n v="13"/>
    <n v="10"/>
    <n v="10"/>
    <n v="69"/>
    <x v="3"/>
    <n v="246.96"/>
    <n v="17040.240000000002"/>
    <n v="17040.240000000002"/>
    <n v="19471.120563764536"/>
    <x v="0"/>
    <n v="22.97"/>
    <b v="0"/>
    <d v="2023-09-04T00:00:00"/>
    <x v="3"/>
    <x v="1"/>
    <n v="65"/>
    <x v="0"/>
    <s v="Cash"/>
    <s v="Returned"/>
  </r>
  <r>
    <s v="TID_258"/>
    <x v="7"/>
    <x v="2"/>
    <x v="2"/>
    <x v="1"/>
    <x v="0"/>
    <x v="2"/>
    <n v="2"/>
    <n v="6"/>
    <n v="10"/>
    <n v="10"/>
    <n v="37"/>
    <x v="6"/>
    <n v="459.62"/>
    <n v="17005.939999999999"/>
    <n v="12805.472819999999"/>
    <n v="23705.887743764539"/>
    <x v="0"/>
    <n v="24.7"/>
    <b v="1"/>
    <d v="2024-08-28T00:00:00"/>
    <x v="3"/>
    <x v="0"/>
    <n v="68"/>
    <x v="0"/>
    <s v="Cash"/>
    <s v="Not Returned"/>
  </r>
  <r>
    <s v="TID_1884"/>
    <x v="9"/>
    <x v="4"/>
    <x v="2"/>
    <x v="2"/>
    <x v="3"/>
    <x v="2"/>
    <n v="6"/>
    <n v="13"/>
    <n v="10"/>
    <n v="10"/>
    <n v="50"/>
    <x v="5"/>
    <n v="339.54"/>
    <n v="16977"/>
    <n v="16977"/>
    <n v="19534.360563764538"/>
    <x v="1"/>
    <n v="12.3"/>
    <b v="0"/>
    <d v="2023-10-03T00:00:00"/>
    <x v="0"/>
    <x v="1"/>
    <n v="47"/>
    <x v="1"/>
    <s v="Credit Card"/>
    <s v="Not Returned"/>
  </r>
  <r>
    <s v="TID_1235"/>
    <x v="7"/>
    <x v="2"/>
    <x v="2"/>
    <x v="2"/>
    <x v="0"/>
    <x v="2"/>
    <n v="2"/>
    <n v="6"/>
    <n v="10"/>
    <n v="10"/>
    <n v="80"/>
    <x v="3"/>
    <n v="211.81"/>
    <n v="16944.8"/>
    <n v="16944.8"/>
    <n v="19566.560563764539"/>
    <x v="1"/>
    <n v="9"/>
    <b v="0"/>
    <d v="2024-07-29T00:00:00"/>
    <x v="3"/>
    <x v="0"/>
    <n v="35"/>
    <x v="1"/>
    <s v="Credit Card"/>
    <s v="Not Returned"/>
  </r>
  <r>
    <s v="TID_642"/>
    <x v="8"/>
    <x v="3"/>
    <x v="0"/>
    <x v="2"/>
    <x v="3"/>
    <x v="0"/>
    <n v="9"/>
    <n v="7"/>
    <n v="10"/>
    <n v="10"/>
    <n v="49"/>
    <x v="5"/>
    <n v="345.48"/>
    <n v="16928.52"/>
    <n v="16928.52"/>
    <n v="19582.840563764537"/>
    <x v="1"/>
    <n v="1.49"/>
    <b v="0"/>
    <d v="2024-07-19T00:00:00"/>
    <x v="3"/>
    <x v="0"/>
    <n v="32"/>
    <x v="2"/>
    <s v="Online Payment"/>
    <s v="Returned"/>
  </r>
  <r>
    <s v="TID_1104"/>
    <x v="9"/>
    <x v="4"/>
    <x v="2"/>
    <x v="2"/>
    <x v="2"/>
    <x v="0"/>
    <n v="6"/>
    <n v="13"/>
    <n v="10"/>
    <n v="10"/>
    <n v="13"/>
    <x v="6"/>
    <n v="1300.05"/>
    <n v="16900.650000000001"/>
    <n v="16900.650000000001"/>
    <n v="19610.710563764536"/>
    <x v="1"/>
    <n v="0.92"/>
    <b v="0"/>
    <d v="2024-03-29T00:00:00"/>
    <x v="2"/>
    <x v="0"/>
    <n v="60"/>
    <x v="2"/>
    <s v="Credit Card"/>
    <s v="Not Returned"/>
  </r>
  <r>
    <s v="TID_1008"/>
    <x v="1"/>
    <x v="0"/>
    <x v="2"/>
    <x v="0"/>
    <x v="2"/>
    <x v="3"/>
    <n v="5"/>
    <n v="4"/>
    <n v="6"/>
    <n v="9"/>
    <n v="68"/>
    <x v="3"/>
    <n v="248.25"/>
    <n v="16881"/>
    <n v="16881"/>
    <n v="19630.360563764538"/>
    <x v="1"/>
    <n v="8.4499999999999993"/>
    <b v="0"/>
    <d v="2023-02-01T00:00:00"/>
    <x v="2"/>
    <x v="1"/>
    <n v="56"/>
    <x v="1"/>
    <s v="Online Payment"/>
    <s v="Not Returned"/>
  </r>
  <r>
    <s v="TID_1399"/>
    <x v="9"/>
    <x v="4"/>
    <x v="3"/>
    <x v="2"/>
    <x v="1"/>
    <x v="2"/>
    <n v="6"/>
    <n v="13"/>
    <n v="10"/>
    <n v="10"/>
    <n v="33"/>
    <x v="6"/>
    <n v="511.32"/>
    <n v="16873.560000000001"/>
    <n v="13831.257132000001"/>
    <n v="22680.103431764539"/>
    <x v="1"/>
    <n v="18.03"/>
    <b v="1"/>
    <d v="2024-06-05T00:00:00"/>
    <x v="1"/>
    <x v="0"/>
    <n v="29"/>
    <x v="0"/>
    <s v="Cash"/>
    <s v="Returned"/>
  </r>
  <r>
    <s v="TID_1657"/>
    <x v="8"/>
    <x v="3"/>
    <x v="3"/>
    <x v="2"/>
    <x v="0"/>
    <x v="0"/>
    <n v="9"/>
    <n v="7"/>
    <n v="10"/>
    <n v="10"/>
    <n v="33"/>
    <x v="6"/>
    <n v="507.9"/>
    <n v="16760.7"/>
    <n v="13475.602800000001"/>
    <n v="23035.757763764537"/>
    <x v="1"/>
    <n v="19.600000000000001"/>
    <b v="1"/>
    <d v="2023-01-13T00:00:00"/>
    <x v="2"/>
    <x v="1"/>
    <n v="53"/>
    <x v="1"/>
    <s v="Online Payment"/>
    <s v="Returned"/>
  </r>
  <r>
    <s v="TID_680"/>
    <x v="1"/>
    <x v="0"/>
    <x v="1"/>
    <x v="0"/>
    <x v="4"/>
    <x v="1"/>
    <n v="5"/>
    <n v="4"/>
    <n v="6"/>
    <n v="10"/>
    <n v="25"/>
    <x v="6"/>
    <n v="668.49"/>
    <n v="16712.25"/>
    <n v="14014.89285"/>
    <n v="22496.467713764538"/>
    <x v="0"/>
    <n v="16.14"/>
    <b v="1"/>
    <d v="2024-09-01T00:00:00"/>
    <x v="3"/>
    <x v="0"/>
    <n v="20"/>
    <x v="0"/>
    <s v="Cash"/>
    <s v="Returned"/>
  </r>
  <r>
    <s v="TID_1174"/>
    <x v="6"/>
    <x v="1"/>
    <x v="2"/>
    <x v="1"/>
    <x v="0"/>
    <x v="2"/>
    <n v="6"/>
    <n v="13"/>
    <n v="10"/>
    <n v="10"/>
    <n v="17"/>
    <x v="6"/>
    <n v="981.36"/>
    <n v="16683.12"/>
    <n v="16683.12"/>
    <n v="19828.240563764539"/>
    <x v="1"/>
    <n v="21.02"/>
    <b v="0"/>
    <d v="2023-04-14T00:00:00"/>
    <x v="1"/>
    <x v="1"/>
    <n v="38"/>
    <x v="2"/>
    <s v="Debit Card"/>
    <s v="Not Returned"/>
  </r>
  <r>
    <s v="TID_1700"/>
    <x v="4"/>
    <x v="2"/>
    <x v="3"/>
    <x v="0"/>
    <x v="4"/>
    <x v="2"/>
    <n v="6"/>
    <n v="6"/>
    <n v="6"/>
    <n v="10"/>
    <n v="17"/>
    <x v="6"/>
    <n v="981.35"/>
    <n v="16682.95"/>
    <n v="16682.95"/>
    <n v="19828.410563764537"/>
    <x v="1"/>
    <n v="23.67"/>
    <b v="0"/>
    <d v="2023-02-24T00:00:00"/>
    <x v="2"/>
    <x v="1"/>
    <n v="29"/>
    <x v="0"/>
    <s v="Online Payment"/>
    <s v="Returned"/>
  </r>
  <r>
    <s v="TID_428"/>
    <x v="4"/>
    <x v="2"/>
    <x v="1"/>
    <x v="2"/>
    <x v="1"/>
    <x v="3"/>
    <n v="6"/>
    <n v="6"/>
    <n v="10"/>
    <n v="9"/>
    <n v="16"/>
    <x v="6"/>
    <n v="1042.28"/>
    <n v="16676.48"/>
    <n v="11738.574272"/>
    <n v="24772.78629176454"/>
    <x v="1"/>
    <n v="29.61"/>
    <b v="1"/>
    <d v="2024-04-13T00:00:00"/>
    <x v="1"/>
    <x v="0"/>
    <n v="49"/>
    <x v="1"/>
    <s v="Debit Card"/>
    <s v="Not Returned"/>
  </r>
  <r>
    <s v="TID_754"/>
    <x v="8"/>
    <x v="3"/>
    <x v="1"/>
    <x v="2"/>
    <x v="3"/>
    <x v="2"/>
    <n v="9"/>
    <n v="7"/>
    <n v="10"/>
    <n v="10"/>
    <n v="24"/>
    <x v="6"/>
    <n v="693.78"/>
    <n v="16650.72"/>
    <n v="16650.72"/>
    <n v="19860.640563764537"/>
    <x v="1"/>
    <n v="16.489999999999998"/>
    <b v="0"/>
    <d v="2023-12-17T00:00:00"/>
    <x v="0"/>
    <x v="1"/>
    <n v="22"/>
    <x v="2"/>
    <s v="Cash"/>
    <s v="Returned"/>
  </r>
  <r>
    <s v="TID_1587"/>
    <x v="1"/>
    <x v="0"/>
    <x v="3"/>
    <x v="1"/>
    <x v="2"/>
    <x v="1"/>
    <n v="5"/>
    <n v="4"/>
    <n v="10"/>
    <n v="10"/>
    <n v="33"/>
    <x v="6"/>
    <n v="502.59"/>
    <n v="16585.47"/>
    <n v="16585.47"/>
    <n v="19925.890563764537"/>
    <x v="0"/>
    <n v="8.24"/>
    <b v="0"/>
    <d v="2024-04-25T00:00:00"/>
    <x v="1"/>
    <x v="0"/>
    <n v="67"/>
    <x v="0"/>
    <s v="Online Payment"/>
    <s v="Returned"/>
  </r>
  <r>
    <s v="TID_975"/>
    <x v="5"/>
    <x v="2"/>
    <x v="2"/>
    <x v="1"/>
    <x v="0"/>
    <x v="0"/>
    <n v="7"/>
    <n v="6"/>
    <n v="10"/>
    <n v="10"/>
    <n v="21"/>
    <x v="6"/>
    <n v="788.37"/>
    <n v="16555.77"/>
    <n v="16555.77"/>
    <n v="19955.590563764537"/>
    <x v="1"/>
    <n v="13.85"/>
    <b v="0"/>
    <d v="2023-02-15T00:00:00"/>
    <x v="2"/>
    <x v="1"/>
    <n v="66"/>
    <x v="1"/>
    <s v="Online Payment"/>
    <s v="Not Returned"/>
  </r>
  <r>
    <s v="TID_168"/>
    <x v="5"/>
    <x v="2"/>
    <x v="2"/>
    <x v="0"/>
    <x v="2"/>
    <x v="0"/>
    <n v="7"/>
    <n v="6"/>
    <n v="6"/>
    <n v="10"/>
    <n v="22"/>
    <x v="6"/>
    <n v="750.07"/>
    <n v="16501.54"/>
    <n v="16501.54"/>
    <n v="20009.820563764537"/>
    <x v="0"/>
    <n v="24.36"/>
    <b v="0"/>
    <d v="2023-11-08T00:00:00"/>
    <x v="0"/>
    <x v="1"/>
    <n v="45"/>
    <x v="2"/>
    <s v="Debit Card"/>
    <s v="Not Returned"/>
  </r>
  <r>
    <s v="TID_211"/>
    <x v="7"/>
    <x v="2"/>
    <x v="0"/>
    <x v="1"/>
    <x v="1"/>
    <x v="1"/>
    <n v="2"/>
    <n v="6"/>
    <n v="10"/>
    <n v="10"/>
    <n v="14"/>
    <x v="6"/>
    <n v="1176.01"/>
    <n v="16464.14"/>
    <n v="16464.14"/>
    <n v="20047.220563764538"/>
    <x v="1"/>
    <n v="1.06"/>
    <b v="0"/>
    <d v="2024-01-09T00:00:00"/>
    <x v="2"/>
    <x v="0"/>
    <n v="64"/>
    <x v="2"/>
    <s v="Debit Card"/>
    <s v="Returned"/>
  </r>
  <r>
    <s v="TID_441"/>
    <x v="3"/>
    <x v="0"/>
    <x v="0"/>
    <x v="1"/>
    <x v="3"/>
    <x v="1"/>
    <n v="5"/>
    <n v="4"/>
    <n v="10"/>
    <n v="10"/>
    <n v="69"/>
    <x v="3"/>
    <n v="238.54"/>
    <n v="16459.259999999998"/>
    <n v="14368.933979999998"/>
    <n v="22142.42658376454"/>
    <x v="0"/>
    <n v="12.7"/>
    <b v="1"/>
    <d v="2024-01-20T00:00:00"/>
    <x v="2"/>
    <x v="0"/>
    <n v="67"/>
    <x v="0"/>
    <s v="Cash"/>
    <s v="Returned"/>
  </r>
  <r>
    <s v="TID_1624"/>
    <x v="8"/>
    <x v="3"/>
    <x v="1"/>
    <x v="2"/>
    <x v="3"/>
    <x v="0"/>
    <n v="9"/>
    <n v="7"/>
    <n v="10"/>
    <n v="10"/>
    <n v="27"/>
    <x v="6"/>
    <n v="609.42999999999995"/>
    <n v="16454.61"/>
    <n v="15500.242619999999"/>
    <n v="21011.117943764541"/>
    <x v="1"/>
    <n v="5.8"/>
    <b v="1"/>
    <d v="2023-09-16T00:00:00"/>
    <x v="3"/>
    <x v="1"/>
    <n v="58"/>
    <x v="1"/>
    <s v="Online Payment"/>
    <s v="Returned"/>
  </r>
  <r>
    <s v="TID_469"/>
    <x v="7"/>
    <x v="2"/>
    <x v="2"/>
    <x v="1"/>
    <x v="0"/>
    <x v="2"/>
    <n v="2"/>
    <n v="6"/>
    <n v="10"/>
    <n v="10"/>
    <n v="70"/>
    <x v="3"/>
    <n v="234.97"/>
    <n v="16447.900000000001"/>
    <n v="16447.900000000001"/>
    <n v="20063.460563764536"/>
    <x v="0"/>
    <n v="6.96"/>
    <b v="0"/>
    <d v="2023-05-26T00:00:00"/>
    <x v="1"/>
    <x v="1"/>
    <n v="69"/>
    <x v="1"/>
    <s v="Debit Card"/>
    <s v="Not Returned"/>
  </r>
  <r>
    <s v="TID_33"/>
    <x v="4"/>
    <x v="2"/>
    <x v="0"/>
    <x v="0"/>
    <x v="2"/>
    <x v="3"/>
    <n v="6"/>
    <n v="6"/>
    <n v="6"/>
    <n v="9"/>
    <n v="74"/>
    <x v="3"/>
    <n v="221.63"/>
    <n v="16400.62"/>
    <n v="12256.183326"/>
    <n v="24255.177237764539"/>
    <x v="1"/>
    <n v="25.27"/>
    <b v="1"/>
    <d v="2023-06-23T00:00:00"/>
    <x v="1"/>
    <x v="1"/>
    <n v="69"/>
    <x v="1"/>
    <s v="Debit Card"/>
    <s v="Returned"/>
  </r>
  <r>
    <s v="TID_1658"/>
    <x v="3"/>
    <x v="0"/>
    <x v="2"/>
    <x v="2"/>
    <x v="0"/>
    <x v="1"/>
    <n v="5"/>
    <n v="4"/>
    <n v="10"/>
    <n v="10"/>
    <n v="18"/>
    <x v="6"/>
    <n v="911.12"/>
    <n v="16400.16"/>
    <n v="13831.894944"/>
    <n v="22679.465619764538"/>
    <x v="0"/>
    <n v="15.66"/>
    <b v="1"/>
    <d v="2024-10-25T00:00:00"/>
    <x v="0"/>
    <x v="0"/>
    <n v="37"/>
    <x v="0"/>
    <s v="Cash"/>
    <s v="Not Returned"/>
  </r>
  <r>
    <s v="TID_1117"/>
    <x v="1"/>
    <x v="0"/>
    <x v="1"/>
    <x v="0"/>
    <x v="3"/>
    <x v="0"/>
    <n v="5"/>
    <n v="4"/>
    <n v="6"/>
    <n v="10"/>
    <n v="47"/>
    <x v="5"/>
    <n v="348.77"/>
    <n v="16392.189999999999"/>
    <n v="11963.020262"/>
    <n v="24548.34030176454"/>
    <x v="1"/>
    <n v="27.02"/>
    <b v="1"/>
    <d v="2024-06-09T00:00:00"/>
    <x v="1"/>
    <x v="0"/>
    <n v="26"/>
    <x v="1"/>
    <s v="Cash"/>
    <s v="Not Returned"/>
  </r>
  <r>
    <s v="TID_269"/>
    <x v="2"/>
    <x v="1"/>
    <x v="3"/>
    <x v="2"/>
    <x v="4"/>
    <x v="2"/>
    <n v="3"/>
    <n v="13"/>
    <n v="10"/>
    <n v="10"/>
    <n v="20"/>
    <x v="6"/>
    <n v="819.19"/>
    <n v="16383.8"/>
    <n v="15610.484639999999"/>
    <n v="20900.875923764539"/>
    <x v="1"/>
    <n v="4.72"/>
    <b v="1"/>
    <d v="2023-08-07T00:00:00"/>
    <x v="3"/>
    <x v="1"/>
    <n v="53"/>
    <x v="0"/>
    <s v="Cash"/>
    <s v="Not Returned"/>
  </r>
  <r>
    <s v="TID_486"/>
    <x v="7"/>
    <x v="2"/>
    <x v="2"/>
    <x v="1"/>
    <x v="3"/>
    <x v="0"/>
    <n v="2"/>
    <n v="6"/>
    <n v="10"/>
    <n v="10"/>
    <n v="41"/>
    <x v="5"/>
    <n v="398.38"/>
    <n v="16333.58"/>
    <n v="13264.500318"/>
    <n v="23246.860245764539"/>
    <x v="1"/>
    <n v="18.79"/>
    <b v="1"/>
    <d v="2023-12-28T00:00:00"/>
    <x v="0"/>
    <x v="1"/>
    <n v="51"/>
    <x v="0"/>
    <s v="Online Payment"/>
    <s v="Not Returned"/>
  </r>
  <r>
    <s v="TID_435"/>
    <x v="9"/>
    <x v="4"/>
    <x v="0"/>
    <x v="0"/>
    <x v="1"/>
    <x v="3"/>
    <n v="6"/>
    <n v="13"/>
    <n v="6"/>
    <n v="9"/>
    <n v="15"/>
    <x v="6"/>
    <n v="1088.42"/>
    <n v="16326.3"/>
    <n v="14006.332769999999"/>
    <n v="22505.027793764537"/>
    <x v="1"/>
    <n v="14.21"/>
    <b v="1"/>
    <d v="2024-08-17T00:00:00"/>
    <x v="3"/>
    <x v="0"/>
    <n v="64"/>
    <x v="0"/>
    <s v="Online Payment"/>
    <s v="Returned"/>
  </r>
  <r>
    <s v="TID_972"/>
    <x v="2"/>
    <x v="1"/>
    <x v="1"/>
    <x v="2"/>
    <x v="0"/>
    <x v="0"/>
    <n v="3"/>
    <n v="13"/>
    <n v="10"/>
    <n v="10"/>
    <n v="76"/>
    <x v="3"/>
    <n v="214.7"/>
    <n v="16317.2"/>
    <n v="15108.09548"/>
    <n v="21403.265083764538"/>
    <x v="1"/>
    <n v="7.41"/>
    <b v="1"/>
    <d v="2023-11-08T00:00:00"/>
    <x v="0"/>
    <x v="1"/>
    <n v="66"/>
    <x v="0"/>
    <s v="Debit Card"/>
    <s v="Returned"/>
  </r>
  <r>
    <s v="TID_1465"/>
    <x v="2"/>
    <x v="1"/>
    <x v="3"/>
    <x v="2"/>
    <x v="2"/>
    <x v="0"/>
    <n v="3"/>
    <n v="13"/>
    <n v="10"/>
    <n v="10"/>
    <n v="13"/>
    <x v="6"/>
    <n v="1246.72"/>
    <n v="16207.36"/>
    <n v="12798.952192000001"/>
    <n v="23712.408371764537"/>
    <x v="1"/>
    <n v="21.03"/>
    <b v="1"/>
    <d v="2024-06-13T00:00:00"/>
    <x v="1"/>
    <x v="0"/>
    <n v="39"/>
    <x v="0"/>
    <s v="Credit Card"/>
    <s v="Not Returned"/>
  </r>
  <r>
    <s v="TID_933"/>
    <x v="8"/>
    <x v="3"/>
    <x v="3"/>
    <x v="1"/>
    <x v="3"/>
    <x v="1"/>
    <n v="9"/>
    <n v="7"/>
    <n v="10"/>
    <n v="10"/>
    <n v="15"/>
    <x v="6"/>
    <n v="1076.43"/>
    <n v="16146.45"/>
    <n v="16146.45"/>
    <n v="20364.910563764537"/>
    <x v="0"/>
    <n v="1.42"/>
    <b v="0"/>
    <d v="2024-05-10T00:00:00"/>
    <x v="1"/>
    <x v="0"/>
    <n v="58"/>
    <x v="0"/>
    <s v="Debit Card"/>
    <s v="Returned"/>
  </r>
  <r>
    <s v="TID_1254"/>
    <x v="9"/>
    <x v="4"/>
    <x v="3"/>
    <x v="2"/>
    <x v="0"/>
    <x v="1"/>
    <n v="6"/>
    <n v="13"/>
    <n v="10"/>
    <n v="10"/>
    <n v="37"/>
    <x v="6"/>
    <n v="436.04"/>
    <n v="16133.48"/>
    <n v="14450.758035999999"/>
    <n v="22060.602527764539"/>
    <x v="0"/>
    <n v="10.43"/>
    <b v="1"/>
    <d v="2024-06-07T00:00:00"/>
    <x v="1"/>
    <x v="0"/>
    <n v="18"/>
    <x v="2"/>
    <s v="Online Payment"/>
    <s v="Returned"/>
  </r>
  <r>
    <s v="TID_649"/>
    <x v="8"/>
    <x v="3"/>
    <x v="0"/>
    <x v="1"/>
    <x v="0"/>
    <x v="0"/>
    <n v="9"/>
    <n v="7"/>
    <n v="10"/>
    <n v="10"/>
    <n v="82"/>
    <x v="2"/>
    <n v="196.58"/>
    <n v="16119.56"/>
    <n v="16119.56"/>
    <n v="20391.80056376454"/>
    <x v="0"/>
    <n v="29.51"/>
    <b v="0"/>
    <d v="2024-03-19T00:00:00"/>
    <x v="2"/>
    <x v="0"/>
    <n v="64"/>
    <x v="0"/>
    <s v="Cash"/>
    <s v="Returned"/>
  </r>
  <r>
    <s v="TID_434"/>
    <x v="7"/>
    <x v="2"/>
    <x v="1"/>
    <x v="1"/>
    <x v="0"/>
    <x v="2"/>
    <n v="2"/>
    <n v="6"/>
    <n v="10"/>
    <n v="10"/>
    <n v="13"/>
    <x v="6"/>
    <n v="1214.3599999999999"/>
    <n v="15786.68"/>
    <n v="15087.330076"/>
    <n v="21424.030487764539"/>
    <x v="1"/>
    <n v="4.43"/>
    <b v="1"/>
    <d v="2024-10-13T00:00:00"/>
    <x v="0"/>
    <x v="0"/>
    <n v="27"/>
    <x v="2"/>
    <s v="Debit Card"/>
    <s v="Returned"/>
  </r>
  <r>
    <s v="TID_665"/>
    <x v="3"/>
    <x v="0"/>
    <x v="3"/>
    <x v="2"/>
    <x v="3"/>
    <x v="0"/>
    <n v="5"/>
    <n v="4"/>
    <n v="10"/>
    <n v="10"/>
    <n v="75"/>
    <x v="3"/>
    <n v="210.09"/>
    <n v="15756.75"/>
    <n v="11956.2219"/>
    <n v="24555.138663764537"/>
    <x v="1"/>
    <n v="24.12"/>
    <b v="1"/>
    <d v="2023-02-19T00:00:00"/>
    <x v="2"/>
    <x v="1"/>
    <n v="41"/>
    <x v="2"/>
    <s v="Cash"/>
    <s v="Returned"/>
  </r>
  <r>
    <s v="TID_842"/>
    <x v="0"/>
    <x v="0"/>
    <x v="1"/>
    <x v="2"/>
    <x v="1"/>
    <x v="2"/>
    <n v="5"/>
    <n v="4"/>
    <n v="10"/>
    <n v="10"/>
    <n v="11"/>
    <x v="6"/>
    <n v="1432.32"/>
    <n v="15755.52"/>
    <n v="15755.52"/>
    <n v="20755.840563764537"/>
    <x v="0"/>
    <n v="16.87"/>
    <b v="0"/>
    <d v="2023-12-12T00:00:00"/>
    <x v="0"/>
    <x v="1"/>
    <n v="51"/>
    <x v="0"/>
    <s v="Online Payment"/>
    <s v="Not Returned"/>
  </r>
  <r>
    <s v="TID_995"/>
    <x v="3"/>
    <x v="0"/>
    <x v="0"/>
    <x v="1"/>
    <x v="4"/>
    <x v="3"/>
    <n v="5"/>
    <n v="4"/>
    <n v="10"/>
    <n v="9"/>
    <n v="89"/>
    <x v="2"/>
    <n v="176.27"/>
    <n v="15688.03"/>
    <n v="15688.03"/>
    <n v="20823.330563764539"/>
    <x v="0"/>
    <n v="8.65"/>
    <b v="0"/>
    <d v="2023-12-23T00:00:00"/>
    <x v="0"/>
    <x v="1"/>
    <n v="48"/>
    <x v="1"/>
    <s v="Cash"/>
    <s v="Returned"/>
  </r>
  <r>
    <s v="TID_417"/>
    <x v="9"/>
    <x v="4"/>
    <x v="1"/>
    <x v="2"/>
    <x v="0"/>
    <x v="3"/>
    <n v="6"/>
    <n v="13"/>
    <n v="10"/>
    <n v="9"/>
    <n v="74"/>
    <x v="3"/>
    <n v="211"/>
    <n v="15614"/>
    <n v="15614"/>
    <n v="20897.360563764538"/>
    <x v="0"/>
    <n v="4.13"/>
    <b v="0"/>
    <d v="2023-04-30T00:00:00"/>
    <x v="1"/>
    <x v="1"/>
    <n v="59"/>
    <x v="0"/>
    <s v="Online Payment"/>
    <s v="Returned"/>
  </r>
  <r>
    <s v="TID_234"/>
    <x v="2"/>
    <x v="1"/>
    <x v="0"/>
    <x v="0"/>
    <x v="1"/>
    <x v="1"/>
    <n v="3"/>
    <n v="13"/>
    <n v="6"/>
    <n v="10"/>
    <n v="73"/>
    <x v="3"/>
    <n v="213.56"/>
    <n v="15589.88"/>
    <n v="13952.9426"/>
    <n v="22558.417963764536"/>
    <x v="0"/>
    <n v="10.5"/>
    <b v="1"/>
    <d v="2023-06-08T00:00:00"/>
    <x v="1"/>
    <x v="1"/>
    <n v="53"/>
    <x v="2"/>
    <s v="Credit Card"/>
    <s v="Not Returned"/>
  </r>
  <r>
    <s v="TID_1630"/>
    <x v="9"/>
    <x v="4"/>
    <x v="3"/>
    <x v="1"/>
    <x v="4"/>
    <x v="0"/>
    <n v="6"/>
    <n v="13"/>
    <n v="10"/>
    <n v="10"/>
    <n v="18"/>
    <x v="6"/>
    <n v="865.82"/>
    <n v="15584.76"/>
    <n v="15584.76"/>
    <n v="20926.600563764536"/>
    <x v="0"/>
    <n v="22.14"/>
    <b v="0"/>
    <d v="2023-05-22T00:00:00"/>
    <x v="1"/>
    <x v="1"/>
    <n v="52"/>
    <x v="0"/>
    <s v="Online Payment"/>
    <s v="Returned"/>
  </r>
  <r>
    <s v="TID_635"/>
    <x v="9"/>
    <x v="4"/>
    <x v="3"/>
    <x v="0"/>
    <x v="4"/>
    <x v="3"/>
    <n v="6"/>
    <n v="13"/>
    <n v="6"/>
    <n v="9"/>
    <n v="16"/>
    <x v="6"/>
    <n v="972.52"/>
    <n v="15560.32"/>
    <n v="15560.32"/>
    <n v="20951.040563764538"/>
    <x v="1"/>
    <n v="2.17"/>
    <b v="0"/>
    <d v="2024-03-15T00:00:00"/>
    <x v="2"/>
    <x v="0"/>
    <n v="35"/>
    <x v="2"/>
    <s v="Debit Card"/>
    <s v="Returned"/>
  </r>
  <r>
    <s v="TID_790"/>
    <x v="6"/>
    <x v="1"/>
    <x v="1"/>
    <x v="2"/>
    <x v="1"/>
    <x v="3"/>
    <n v="6"/>
    <n v="13"/>
    <n v="10"/>
    <n v="9"/>
    <n v="94"/>
    <x v="1"/>
    <n v="165.3"/>
    <n v="15538.2"/>
    <n v="14274.94434"/>
    <n v="22236.416223764536"/>
    <x v="1"/>
    <n v="8.1300000000000008"/>
    <b v="1"/>
    <d v="2024-10-30T00:00:00"/>
    <x v="0"/>
    <x v="0"/>
    <n v="28"/>
    <x v="0"/>
    <s v="Online Payment"/>
    <s v="Returned"/>
  </r>
  <r>
    <s v="TID_461"/>
    <x v="3"/>
    <x v="0"/>
    <x v="0"/>
    <x v="2"/>
    <x v="4"/>
    <x v="0"/>
    <n v="5"/>
    <n v="4"/>
    <n v="10"/>
    <n v="10"/>
    <n v="61"/>
    <x v="3"/>
    <n v="254.61"/>
    <n v="15531.21"/>
    <n v="13672.124162999999"/>
    <n v="22839.236400764537"/>
    <x v="0"/>
    <n v="11.97"/>
    <b v="1"/>
    <d v="2024-01-09T00:00:00"/>
    <x v="2"/>
    <x v="0"/>
    <n v="38"/>
    <x v="2"/>
    <s v="Debit Card"/>
    <s v="Not Returned"/>
  </r>
  <r>
    <s v="TID_1058"/>
    <x v="8"/>
    <x v="3"/>
    <x v="1"/>
    <x v="2"/>
    <x v="4"/>
    <x v="2"/>
    <n v="9"/>
    <n v="7"/>
    <n v="10"/>
    <n v="10"/>
    <n v="18"/>
    <x v="6"/>
    <n v="862.25"/>
    <n v="15520.5"/>
    <n v="11112.678"/>
    <n v="25398.682563764538"/>
    <x v="0"/>
    <n v="28.4"/>
    <b v="1"/>
    <d v="2023-02-16T00:00:00"/>
    <x v="2"/>
    <x v="1"/>
    <n v="55"/>
    <x v="2"/>
    <s v="Online Payment"/>
    <s v="Returned"/>
  </r>
  <r>
    <s v="TID_1400"/>
    <x v="7"/>
    <x v="2"/>
    <x v="1"/>
    <x v="2"/>
    <x v="3"/>
    <x v="0"/>
    <n v="2"/>
    <n v="6"/>
    <n v="10"/>
    <n v="10"/>
    <n v="22"/>
    <x v="6"/>
    <n v="704.56"/>
    <n v="15500.32"/>
    <n v="14094.440976"/>
    <n v="22416.91958776454"/>
    <x v="0"/>
    <n v="9.07"/>
    <b v="1"/>
    <d v="2023-07-18T00:00:00"/>
    <x v="3"/>
    <x v="1"/>
    <n v="46"/>
    <x v="2"/>
    <s v="Online Payment"/>
    <s v="Returned"/>
  </r>
  <r>
    <s v="TID_659"/>
    <x v="2"/>
    <x v="1"/>
    <x v="3"/>
    <x v="0"/>
    <x v="3"/>
    <x v="1"/>
    <n v="3"/>
    <n v="13"/>
    <n v="6"/>
    <n v="10"/>
    <n v="15"/>
    <x v="6"/>
    <n v="1031.8"/>
    <n v="15477"/>
    <n v="13502.134800000002"/>
    <n v="23009.225763764538"/>
    <x v="1"/>
    <n v="12.76"/>
    <b v="1"/>
    <d v="2024-04-22T00:00:00"/>
    <x v="1"/>
    <x v="0"/>
    <n v="26"/>
    <x v="1"/>
    <s v="Cash"/>
    <s v="Returned"/>
  </r>
  <r>
    <s v="TID_678"/>
    <x v="2"/>
    <x v="1"/>
    <x v="1"/>
    <x v="0"/>
    <x v="3"/>
    <x v="2"/>
    <n v="3"/>
    <n v="13"/>
    <n v="6"/>
    <n v="10"/>
    <n v="33"/>
    <x v="6"/>
    <n v="466.95"/>
    <n v="15409.35"/>
    <n v="10798.87248"/>
    <n v="25712.48808376454"/>
    <x v="1"/>
    <n v="29.92"/>
    <b v="1"/>
    <d v="2023-06-13T00:00:00"/>
    <x v="1"/>
    <x v="1"/>
    <n v="36"/>
    <x v="2"/>
    <s v="Debit Card"/>
    <s v="Not Returned"/>
  </r>
  <r>
    <s v="TID_960"/>
    <x v="8"/>
    <x v="3"/>
    <x v="3"/>
    <x v="2"/>
    <x v="2"/>
    <x v="2"/>
    <n v="9"/>
    <n v="7"/>
    <n v="10"/>
    <n v="10"/>
    <n v="73"/>
    <x v="3"/>
    <n v="211.04"/>
    <n v="15405.92"/>
    <n v="13429.340464000001"/>
    <n v="23082.020099764537"/>
    <x v="1"/>
    <n v="12.83"/>
    <b v="1"/>
    <d v="2023-02-10T00:00:00"/>
    <x v="2"/>
    <x v="1"/>
    <n v="54"/>
    <x v="1"/>
    <s v="Online Payment"/>
    <s v="Returned"/>
  </r>
  <r>
    <s v="TID_1878"/>
    <x v="2"/>
    <x v="1"/>
    <x v="0"/>
    <x v="0"/>
    <x v="2"/>
    <x v="2"/>
    <n v="3"/>
    <n v="13"/>
    <n v="6"/>
    <n v="10"/>
    <n v="44"/>
    <x v="5"/>
    <n v="350.03"/>
    <n v="15401.32"/>
    <n v="13006.41474"/>
    <n v="23504.945823764538"/>
    <x v="0"/>
    <n v="15.55"/>
    <b v="1"/>
    <d v="2023-07-26T00:00:00"/>
    <x v="3"/>
    <x v="1"/>
    <n v="22"/>
    <x v="2"/>
    <s v="Cash"/>
    <s v="Not Returned"/>
  </r>
  <r>
    <s v="TID_1712"/>
    <x v="8"/>
    <x v="3"/>
    <x v="2"/>
    <x v="2"/>
    <x v="0"/>
    <x v="2"/>
    <n v="9"/>
    <n v="7"/>
    <n v="10"/>
    <n v="10"/>
    <n v="27"/>
    <x v="6"/>
    <n v="568.35"/>
    <n v="15345.45"/>
    <n v="14536.744785000001"/>
    <n v="21974.615778764535"/>
    <x v="0"/>
    <n v="5.27"/>
    <b v="1"/>
    <d v="2023-09-29T00:00:00"/>
    <x v="3"/>
    <x v="1"/>
    <n v="62"/>
    <x v="2"/>
    <s v="Credit Card"/>
    <s v="Returned"/>
  </r>
  <r>
    <s v="TID_735"/>
    <x v="3"/>
    <x v="0"/>
    <x v="3"/>
    <x v="1"/>
    <x v="1"/>
    <x v="0"/>
    <n v="5"/>
    <n v="4"/>
    <n v="10"/>
    <n v="10"/>
    <n v="27"/>
    <x v="6"/>
    <n v="568.33000000000004"/>
    <n v="15344.91"/>
    <n v="15344.91"/>
    <n v="21166.450563764538"/>
    <x v="1"/>
    <n v="11.76"/>
    <b v="0"/>
    <d v="2024-09-29T00:00:00"/>
    <x v="3"/>
    <x v="0"/>
    <n v="43"/>
    <x v="2"/>
    <s v="Online Payment"/>
    <s v="Returned"/>
  </r>
  <r>
    <s v="TID_913"/>
    <x v="8"/>
    <x v="3"/>
    <x v="1"/>
    <x v="0"/>
    <x v="2"/>
    <x v="3"/>
    <n v="9"/>
    <n v="7"/>
    <n v="6"/>
    <n v="9"/>
    <n v="23"/>
    <x v="6"/>
    <n v="665.78"/>
    <n v="15312.94"/>
    <n v="15312.94"/>
    <n v="21198.420563764535"/>
    <x v="1"/>
    <n v="15.92"/>
    <b v="0"/>
    <d v="2024-08-25T00:00:00"/>
    <x v="3"/>
    <x v="0"/>
    <n v="30"/>
    <x v="2"/>
    <s v="Online Payment"/>
    <s v="Returned"/>
  </r>
  <r>
    <s v="TID_132"/>
    <x v="3"/>
    <x v="0"/>
    <x v="0"/>
    <x v="0"/>
    <x v="3"/>
    <x v="0"/>
    <n v="5"/>
    <n v="4"/>
    <n v="6"/>
    <n v="10"/>
    <n v="15"/>
    <x v="6"/>
    <n v="1012.08"/>
    <n v="15181.2"/>
    <n v="12961.708560000001"/>
    <n v="23549.652003764539"/>
    <x v="0"/>
    <n v="14.62"/>
    <b v="1"/>
    <d v="2023-10-31T00:00:00"/>
    <x v="0"/>
    <x v="1"/>
    <n v="21"/>
    <x v="1"/>
    <s v="Online Payment"/>
    <s v="Returned"/>
  </r>
  <r>
    <s v="TID_614"/>
    <x v="5"/>
    <x v="2"/>
    <x v="3"/>
    <x v="2"/>
    <x v="4"/>
    <x v="1"/>
    <n v="7"/>
    <n v="6"/>
    <n v="10"/>
    <n v="10"/>
    <n v="14"/>
    <x v="6"/>
    <n v="1083.49"/>
    <n v="15168.86"/>
    <n v="15168.86"/>
    <n v="21342.500563764537"/>
    <x v="1"/>
    <n v="5.0599999999999996"/>
    <b v="0"/>
    <d v="2024-09-05T00:00:00"/>
    <x v="3"/>
    <x v="0"/>
    <n v="26"/>
    <x v="0"/>
    <s v="Debit Card"/>
    <s v="Returned"/>
  </r>
  <r>
    <s v="TID_1197"/>
    <x v="8"/>
    <x v="3"/>
    <x v="3"/>
    <x v="2"/>
    <x v="3"/>
    <x v="1"/>
    <n v="9"/>
    <n v="7"/>
    <n v="10"/>
    <n v="10"/>
    <n v="11"/>
    <x v="6"/>
    <n v="1375.96"/>
    <n v="15135.56"/>
    <n v="10712.949368"/>
    <n v="25798.411195764536"/>
    <x v="1"/>
    <n v="29.22"/>
    <b v="1"/>
    <d v="2023-07-11T00:00:00"/>
    <x v="3"/>
    <x v="1"/>
    <n v="35"/>
    <x v="1"/>
    <s v="Online Payment"/>
    <s v="Not Returned"/>
  </r>
  <r>
    <s v="TID_1923"/>
    <x v="6"/>
    <x v="1"/>
    <x v="0"/>
    <x v="1"/>
    <x v="4"/>
    <x v="0"/>
    <n v="6"/>
    <n v="13"/>
    <n v="10"/>
    <n v="10"/>
    <n v="13"/>
    <x v="6"/>
    <n v="1163.9000000000001"/>
    <n v="15130.7"/>
    <n v="13549.54185"/>
    <n v="22961.818713764536"/>
    <x v="1"/>
    <n v="10.45"/>
    <b v="1"/>
    <d v="2023-01-16T00:00:00"/>
    <x v="2"/>
    <x v="1"/>
    <n v="36"/>
    <x v="0"/>
    <s v="Debit Card"/>
    <s v="Not Returned"/>
  </r>
  <r>
    <s v="TID_1332"/>
    <x v="1"/>
    <x v="0"/>
    <x v="2"/>
    <x v="1"/>
    <x v="3"/>
    <x v="1"/>
    <n v="5"/>
    <n v="4"/>
    <n v="10"/>
    <n v="10"/>
    <n v="12"/>
    <x v="6"/>
    <n v="1259.5"/>
    <n v="15114"/>
    <n v="15114"/>
    <n v="21397.360563764538"/>
    <x v="1"/>
    <n v="1.91"/>
    <b v="0"/>
    <d v="2024-02-06T00:00:00"/>
    <x v="2"/>
    <x v="0"/>
    <n v="40"/>
    <x v="0"/>
    <s v="Credit Card"/>
    <s v="Returned"/>
  </r>
  <r>
    <s v="TID_1453"/>
    <x v="7"/>
    <x v="2"/>
    <x v="1"/>
    <x v="2"/>
    <x v="0"/>
    <x v="3"/>
    <n v="2"/>
    <n v="6"/>
    <n v="10"/>
    <n v="9"/>
    <n v="41"/>
    <x v="5"/>
    <n v="368.45"/>
    <n v="15106.45"/>
    <n v="15106.45"/>
    <n v="21404.910563764537"/>
    <x v="1"/>
    <n v="19.16"/>
    <b v="0"/>
    <d v="2023-12-14T00:00:00"/>
    <x v="0"/>
    <x v="1"/>
    <n v="69"/>
    <x v="1"/>
    <s v="Credit Card"/>
    <s v="Not Returned"/>
  </r>
  <r>
    <s v="TID_493"/>
    <x v="1"/>
    <x v="0"/>
    <x v="3"/>
    <x v="2"/>
    <x v="4"/>
    <x v="0"/>
    <n v="5"/>
    <n v="4"/>
    <n v="10"/>
    <n v="10"/>
    <n v="16"/>
    <x v="6"/>
    <n v="943.87"/>
    <n v="15101.92"/>
    <n v="10970.034688"/>
    <n v="25541.325875764538"/>
    <x v="0"/>
    <n v="27.36"/>
    <b v="1"/>
    <d v="2023-08-27T00:00:00"/>
    <x v="3"/>
    <x v="1"/>
    <n v="26"/>
    <x v="1"/>
    <s v="Cash"/>
    <s v="Not Returned"/>
  </r>
  <r>
    <s v="TID_1433"/>
    <x v="0"/>
    <x v="0"/>
    <x v="3"/>
    <x v="2"/>
    <x v="4"/>
    <x v="1"/>
    <n v="5"/>
    <n v="4"/>
    <n v="10"/>
    <n v="10"/>
    <n v="12"/>
    <x v="6"/>
    <n v="1257.28"/>
    <n v="15087.36"/>
    <n v="15087.36"/>
    <n v="21424.000563764537"/>
    <x v="0"/>
    <n v="5.38"/>
    <b v="0"/>
    <d v="2023-08-08T00:00:00"/>
    <x v="3"/>
    <x v="1"/>
    <n v="18"/>
    <x v="2"/>
    <s v="Debit Card"/>
    <s v="Not Returned"/>
  </r>
  <r>
    <s v="TID_205"/>
    <x v="7"/>
    <x v="2"/>
    <x v="1"/>
    <x v="1"/>
    <x v="2"/>
    <x v="3"/>
    <n v="2"/>
    <n v="6"/>
    <n v="10"/>
    <n v="9"/>
    <n v="28"/>
    <x v="6"/>
    <n v="537.87"/>
    <n v="15060.36"/>
    <n v="15060.36"/>
    <n v="21451.000563764537"/>
    <x v="1"/>
    <n v="3.43"/>
    <b v="0"/>
    <d v="2023-06-11T00:00:00"/>
    <x v="1"/>
    <x v="1"/>
    <n v="18"/>
    <x v="0"/>
    <s v="Credit Card"/>
    <s v="Returned"/>
  </r>
  <r>
    <s v="TID_489"/>
    <x v="5"/>
    <x v="2"/>
    <x v="0"/>
    <x v="0"/>
    <x v="1"/>
    <x v="3"/>
    <n v="7"/>
    <n v="6"/>
    <n v="6"/>
    <n v="9"/>
    <n v="13"/>
    <x v="6"/>
    <n v="1158.17"/>
    <n v="15056.21"/>
    <n v="15056.21"/>
    <n v="21455.150563764539"/>
    <x v="1"/>
    <n v="18.57"/>
    <b v="0"/>
    <d v="2023-06-18T00:00:00"/>
    <x v="1"/>
    <x v="1"/>
    <n v="19"/>
    <x v="1"/>
    <s v="Cash"/>
    <s v="Returned"/>
  </r>
  <r>
    <s v="TID_1481"/>
    <x v="3"/>
    <x v="0"/>
    <x v="3"/>
    <x v="0"/>
    <x v="0"/>
    <x v="0"/>
    <n v="5"/>
    <n v="4"/>
    <n v="6"/>
    <n v="10"/>
    <n v="18"/>
    <x v="6"/>
    <n v="834.68"/>
    <n v="15024.24"/>
    <n v="10713.785544"/>
    <n v="25797.575019764539"/>
    <x v="0"/>
    <n v="28.69"/>
    <b v="1"/>
    <d v="2024-02-24T00:00:00"/>
    <x v="2"/>
    <x v="0"/>
    <n v="40"/>
    <x v="0"/>
    <s v="Cash"/>
    <s v="Not Returned"/>
  </r>
  <r>
    <s v="TID_348"/>
    <x v="3"/>
    <x v="0"/>
    <x v="3"/>
    <x v="0"/>
    <x v="2"/>
    <x v="2"/>
    <n v="5"/>
    <n v="4"/>
    <n v="6"/>
    <n v="10"/>
    <n v="82"/>
    <x v="2"/>
    <n v="182.31"/>
    <n v="14949.42"/>
    <n v="14949.42"/>
    <n v="21561.94056376454"/>
    <x v="0"/>
    <n v="16.190000000000001"/>
    <b v="0"/>
    <d v="2023-10-10T00:00:00"/>
    <x v="0"/>
    <x v="1"/>
    <n v="39"/>
    <x v="0"/>
    <s v="Online Payment"/>
    <s v="Returned"/>
  </r>
  <r>
    <s v="TID_1493"/>
    <x v="7"/>
    <x v="2"/>
    <x v="3"/>
    <x v="0"/>
    <x v="2"/>
    <x v="1"/>
    <n v="2"/>
    <n v="6"/>
    <n v="6"/>
    <n v="10"/>
    <n v="34"/>
    <x v="6"/>
    <n v="439.62"/>
    <n v="14947.08"/>
    <n v="11153.511096"/>
    <n v="25357.849467764536"/>
    <x v="0"/>
    <n v="25.38"/>
    <b v="1"/>
    <d v="2023-07-03T00:00:00"/>
    <x v="3"/>
    <x v="1"/>
    <n v="27"/>
    <x v="2"/>
    <s v="Debit Card"/>
    <s v="Not Returned"/>
  </r>
  <r>
    <s v="TID_379"/>
    <x v="9"/>
    <x v="4"/>
    <x v="0"/>
    <x v="2"/>
    <x v="0"/>
    <x v="2"/>
    <n v="6"/>
    <n v="13"/>
    <n v="10"/>
    <n v="10"/>
    <n v="13"/>
    <x v="6"/>
    <n v="1148.72"/>
    <n v="14933.36"/>
    <n v="13638.637688000001"/>
    <n v="22872.722875764535"/>
    <x v="1"/>
    <n v="8.67"/>
    <b v="1"/>
    <d v="2024-03-29T00:00:00"/>
    <x v="2"/>
    <x v="0"/>
    <n v="38"/>
    <x v="1"/>
    <s v="Cash"/>
    <s v="Returned"/>
  </r>
  <r>
    <s v="TID_1671"/>
    <x v="8"/>
    <x v="3"/>
    <x v="0"/>
    <x v="2"/>
    <x v="2"/>
    <x v="2"/>
    <n v="9"/>
    <n v="7"/>
    <n v="10"/>
    <n v="10"/>
    <n v="22"/>
    <x v="6"/>
    <n v="677.27"/>
    <n v="14899.94"/>
    <n v="13955.283804000001"/>
    <n v="22556.076759764539"/>
    <x v="1"/>
    <n v="6.34"/>
    <b v="1"/>
    <d v="2023-09-02T00:00:00"/>
    <x v="3"/>
    <x v="1"/>
    <n v="29"/>
    <x v="1"/>
    <s v="Credit Card"/>
    <s v="Not Returned"/>
  </r>
  <r>
    <s v="TID_439"/>
    <x v="5"/>
    <x v="2"/>
    <x v="0"/>
    <x v="1"/>
    <x v="0"/>
    <x v="3"/>
    <n v="7"/>
    <n v="6"/>
    <n v="10"/>
    <n v="9"/>
    <n v="74"/>
    <x v="3"/>
    <n v="199.9"/>
    <n v="14792.6"/>
    <n v="11934.669679999999"/>
    <n v="24576.690883764539"/>
    <x v="0"/>
    <n v="19.32"/>
    <b v="1"/>
    <d v="2023-02-21T00:00:00"/>
    <x v="2"/>
    <x v="1"/>
    <n v="53"/>
    <x v="1"/>
    <s v="Credit Card"/>
    <s v="Returned"/>
  </r>
  <r>
    <s v="TID_1733"/>
    <x v="0"/>
    <x v="0"/>
    <x v="0"/>
    <x v="1"/>
    <x v="2"/>
    <x v="3"/>
    <n v="5"/>
    <n v="4"/>
    <n v="10"/>
    <n v="9"/>
    <n v="77"/>
    <x v="3"/>
    <n v="192.11"/>
    <n v="14792.47"/>
    <n v="12714.127964999998"/>
    <n v="23797.232598764538"/>
    <x v="1"/>
    <n v="14.05"/>
    <b v="1"/>
    <d v="2024-07-30T00:00:00"/>
    <x v="3"/>
    <x v="0"/>
    <n v="53"/>
    <x v="1"/>
    <s v="Cash"/>
    <s v="Returned"/>
  </r>
  <r>
    <s v="TID_1904"/>
    <x v="3"/>
    <x v="0"/>
    <x v="2"/>
    <x v="0"/>
    <x v="3"/>
    <x v="0"/>
    <n v="5"/>
    <n v="4"/>
    <n v="6"/>
    <n v="10"/>
    <n v="61"/>
    <x v="3"/>
    <n v="242.33"/>
    <n v="14782.13"/>
    <n v="11497.540714000001"/>
    <n v="25013.819849764535"/>
    <x v="0"/>
    <n v="22.22"/>
    <b v="1"/>
    <d v="2024-07-19T00:00:00"/>
    <x v="3"/>
    <x v="0"/>
    <n v="42"/>
    <x v="2"/>
    <s v="Debit Card"/>
    <s v="Returned"/>
  </r>
  <r>
    <s v="TID_1559"/>
    <x v="6"/>
    <x v="1"/>
    <x v="0"/>
    <x v="2"/>
    <x v="0"/>
    <x v="2"/>
    <n v="6"/>
    <n v="13"/>
    <n v="10"/>
    <n v="10"/>
    <n v="17"/>
    <x v="6"/>
    <n v="867.98"/>
    <n v="14755.66"/>
    <n v="10534.065673999999"/>
    <n v="25977.29488976454"/>
    <x v="1"/>
    <n v="28.61"/>
    <b v="1"/>
    <d v="2024-09-12T00:00:00"/>
    <x v="3"/>
    <x v="0"/>
    <n v="47"/>
    <x v="0"/>
    <s v="Online Payment"/>
    <s v="Not Returned"/>
  </r>
  <r>
    <s v="TID_1162"/>
    <x v="6"/>
    <x v="1"/>
    <x v="3"/>
    <x v="0"/>
    <x v="4"/>
    <x v="2"/>
    <n v="6"/>
    <n v="13"/>
    <n v="6"/>
    <n v="10"/>
    <n v="25"/>
    <x v="6"/>
    <n v="590.16"/>
    <n v="14754"/>
    <n v="14079.742200000001"/>
    <n v="22431.618363764537"/>
    <x v="1"/>
    <n v="4.57"/>
    <b v="1"/>
    <d v="2024-10-10T00:00:00"/>
    <x v="0"/>
    <x v="0"/>
    <n v="57"/>
    <x v="0"/>
    <s v="Credit Card"/>
    <s v="Returned"/>
  </r>
  <r>
    <s v="TID_1997"/>
    <x v="3"/>
    <x v="0"/>
    <x v="1"/>
    <x v="2"/>
    <x v="3"/>
    <x v="3"/>
    <n v="5"/>
    <n v="4"/>
    <n v="10"/>
    <n v="9"/>
    <n v="31"/>
    <x v="6"/>
    <n v="475.42"/>
    <n v="14738.02"/>
    <n v="11452.915342"/>
    <n v="25058.445221764538"/>
    <x v="0"/>
    <n v="22.29"/>
    <b v="1"/>
    <d v="2024-07-15T00:00:00"/>
    <x v="3"/>
    <x v="0"/>
    <n v="50"/>
    <x v="1"/>
    <s v="Cash"/>
    <s v="Not Returned"/>
  </r>
  <r>
    <s v="TID_191"/>
    <x v="5"/>
    <x v="2"/>
    <x v="2"/>
    <x v="1"/>
    <x v="2"/>
    <x v="0"/>
    <n v="7"/>
    <n v="6"/>
    <n v="10"/>
    <n v="10"/>
    <n v="80"/>
    <x v="3"/>
    <n v="183.9"/>
    <n v="14712"/>
    <n v="10514.6664"/>
    <n v="25996.694163764536"/>
    <x v="1"/>
    <n v="28.53"/>
    <b v="1"/>
    <d v="2024-06-23T00:00:00"/>
    <x v="1"/>
    <x v="0"/>
    <n v="67"/>
    <x v="2"/>
    <s v="Debit Card"/>
    <s v="Not Returned"/>
  </r>
  <r>
    <s v="TID_310"/>
    <x v="2"/>
    <x v="1"/>
    <x v="3"/>
    <x v="1"/>
    <x v="3"/>
    <x v="3"/>
    <n v="3"/>
    <n v="13"/>
    <n v="10"/>
    <n v="9"/>
    <n v="34"/>
    <x v="6"/>
    <n v="430.34"/>
    <n v="14631.56"/>
    <n v="14631.56"/>
    <n v="21879.80056376454"/>
    <x v="1"/>
    <n v="1.97"/>
    <b v="0"/>
    <d v="2023-03-13T00:00:00"/>
    <x v="2"/>
    <x v="1"/>
    <n v="20"/>
    <x v="2"/>
    <s v="Online Payment"/>
    <s v="Returned"/>
  </r>
  <r>
    <s v="TID_1727"/>
    <x v="4"/>
    <x v="2"/>
    <x v="2"/>
    <x v="0"/>
    <x v="3"/>
    <x v="3"/>
    <n v="6"/>
    <n v="6"/>
    <n v="6"/>
    <n v="9"/>
    <n v="52"/>
    <x v="4"/>
    <n v="281.12"/>
    <n v="14618.24"/>
    <n v="11902.171008000001"/>
    <n v="24609.189555764537"/>
    <x v="1"/>
    <n v="18.579999999999998"/>
    <b v="1"/>
    <d v="2024-10-15T00:00:00"/>
    <x v="0"/>
    <x v="0"/>
    <n v="67"/>
    <x v="0"/>
    <s v="Debit Card"/>
    <s v="Returned"/>
  </r>
  <r>
    <s v="TID_1343"/>
    <x v="9"/>
    <x v="4"/>
    <x v="0"/>
    <x v="1"/>
    <x v="3"/>
    <x v="3"/>
    <n v="6"/>
    <n v="13"/>
    <n v="10"/>
    <n v="9"/>
    <n v="17"/>
    <x v="6"/>
    <n v="857.54"/>
    <n v="14578.18"/>
    <n v="14578.18"/>
    <n v="21933.180563764538"/>
    <x v="0"/>
    <n v="16.55"/>
    <b v="0"/>
    <d v="2024-06-05T00:00:00"/>
    <x v="1"/>
    <x v="0"/>
    <n v="30"/>
    <x v="2"/>
    <s v="Cash"/>
    <s v="Not Returned"/>
  </r>
  <r>
    <s v="TID_1327"/>
    <x v="1"/>
    <x v="0"/>
    <x v="0"/>
    <x v="0"/>
    <x v="3"/>
    <x v="3"/>
    <n v="5"/>
    <n v="4"/>
    <n v="6"/>
    <n v="9"/>
    <n v="49"/>
    <x v="5"/>
    <n v="296.89"/>
    <n v="14547.61"/>
    <n v="14547.61"/>
    <n v="21963.750563764537"/>
    <x v="0"/>
    <n v="19.75"/>
    <b v="0"/>
    <d v="2023-01-17T00:00:00"/>
    <x v="2"/>
    <x v="1"/>
    <n v="66"/>
    <x v="0"/>
    <s v="Debit Card"/>
    <s v="Returned"/>
  </r>
  <r>
    <s v="TID_781"/>
    <x v="3"/>
    <x v="0"/>
    <x v="1"/>
    <x v="0"/>
    <x v="4"/>
    <x v="0"/>
    <n v="5"/>
    <n v="4"/>
    <n v="6"/>
    <n v="10"/>
    <n v="25"/>
    <x v="6"/>
    <n v="581.87"/>
    <n v="14546.75"/>
    <n v="11695.587000000001"/>
    <n v="24815.773563764538"/>
    <x v="1"/>
    <n v="19.600000000000001"/>
    <b v="1"/>
    <d v="2023-02-07T00:00:00"/>
    <x v="2"/>
    <x v="1"/>
    <n v="62"/>
    <x v="0"/>
    <s v="Credit Card"/>
    <s v="Returned"/>
  </r>
  <r>
    <s v="TID_1024"/>
    <x v="8"/>
    <x v="3"/>
    <x v="3"/>
    <x v="2"/>
    <x v="3"/>
    <x v="0"/>
    <n v="9"/>
    <n v="7"/>
    <n v="10"/>
    <n v="10"/>
    <n v="30"/>
    <x v="6"/>
    <n v="483.47"/>
    <n v="14504.1"/>
    <n v="10508.220449999999"/>
    <n v="26003.140113764537"/>
    <x v="0"/>
    <n v="27.55"/>
    <b v="1"/>
    <d v="2023-01-28T00:00:00"/>
    <x v="2"/>
    <x v="1"/>
    <n v="37"/>
    <x v="2"/>
    <s v="Debit Card"/>
    <s v="Returned"/>
  </r>
  <r>
    <s v="TID_1714"/>
    <x v="6"/>
    <x v="1"/>
    <x v="1"/>
    <x v="1"/>
    <x v="1"/>
    <x v="3"/>
    <n v="6"/>
    <n v="13"/>
    <n v="10"/>
    <n v="9"/>
    <n v="10"/>
    <x v="6"/>
    <n v="1447.72"/>
    <n v="14477.2"/>
    <n v="10604.548999999999"/>
    <n v="25906.811563764539"/>
    <x v="0"/>
    <n v="26.75"/>
    <b v="1"/>
    <d v="2023-06-21T00:00:00"/>
    <x v="1"/>
    <x v="1"/>
    <n v="42"/>
    <x v="1"/>
    <s v="Debit Card"/>
    <s v="Not Returned"/>
  </r>
  <r>
    <s v="TID_1573"/>
    <x v="5"/>
    <x v="2"/>
    <x v="1"/>
    <x v="0"/>
    <x v="1"/>
    <x v="0"/>
    <n v="7"/>
    <n v="6"/>
    <n v="6"/>
    <n v="10"/>
    <n v="95"/>
    <x v="1"/>
    <n v="152.22999999999999"/>
    <n v="14461.85"/>
    <n v="14461.85"/>
    <n v="22049.510563764539"/>
    <x v="0"/>
    <n v="2.09"/>
    <b v="0"/>
    <d v="2023-04-30T00:00:00"/>
    <x v="1"/>
    <x v="1"/>
    <n v="45"/>
    <x v="0"/>
    <s v="Debit Card"/>
    <s v="Not Returned"/>
  </r>
  <r>
    <s v="TID_1905"/>
    <x v="3"/>
    <x v="0"/>
    <x v="2"/>
    <x v="1"/>
    <x v="4"/>
    <x v="1"/>
    <n v="5"/>
    <n v="4"/>
    <n v="10"/>
    <n v="10"/>
    <n v="18"/>
    <x v="6"/>
    <n v="802.03"/>
    <n v="14436.54"/>
    <n v="14436.54"/>
    <n v="22074.820563764537"/>
    <x v="1"/>
    <n v="0.74"/>
    <b v="0"/>
    <d v="2023-03-06T00:00:00"/>
    <x v="2"/>
    <x v="1"/>
    <n v="30"/>
    <x v="0"/>
    <s v="Cash"/>
    <s v="Not Returned"/>
  </r>
  <r>
    <s v="TID_1207"/>
    <x v="8"/>
    <x v="3"/>
    <x v="1"/>
    <x v="0"/>
    <x v="2"/>
    <x v="0"/>
    <n v="9"/>
    <n v="7"/>
    <n v="6"/>
    <n v="10"/>
    <n v="73"/>
    <x v="3"/>
    <n v="196.83"/>
    <n v="14368.59"/>
    <n v="12451.820094000001"/>
    <n v="24059.540469764535"/>
    <x v="1"/>
    <n v="13.34"/>
    <b v="1"/>
    <d v="2024-01-09T00:00:00"/>
    <x v="2"/>
    <x v="0"/>
    <n v="68"/>
    <x v="0"/>
    <s v="Credit Card"/>
    <s v="Not Returned"/>
  </r>
  <r>
    <s v="TID_1975"/>
    <x v="9"/>
    <x v="4"/>
    <x v="3"/>
    <x v="1"/>
    <x v="4"/>
    <x v="0"/>
    <n v="6"/>
    <n v="13"/>
    <n v="10"/>
    <n v="10"/>
    <n v="16"/>
    <x v="6"/>
    <n v="897.64"/>
    <n v="14362.24"/>
    <n v="14225.798720000001"/>
    <n v="22285.561843764539"/>
    <x v="1"/>
    <n v="0.95"/>
    <b v="1"/>
    <d v="2024-03-19T00:00:00"/>
    <x v="2"/>
    <x v="0"/>
    <n v="48"/>
    <x v="0"/>
    <s v="Cash"/>
    <s v="Not Returned"/>
  </r>
  <r>
    <s v="TID_1427"/>
    <x v="6"/>
    <x v="1"/>
    <x v="1"/>
    <x v="2"/>
    <x v="4"/>
    <x v="0"/>
    <n v="6"/>
    <n v="13"/>
    <n v="10"/>
    <n v="10"/>
    <n v="57"/>
    <x v="4"/>
    <n v="251.78"/>
    <n v="14351.46"/>
    <n v="12807.242903999999"/>
    <n v="23704.117659764539"/>
    <x v="0"/>
    <n v="10.76"/>
    <b v="1"/>
    <d v="2023-11-11T00:00:00"/>
    <x v="0"/>
    <x v="1"/>
    <n v="56"/>
    <x v="2"/>
    <s v="Cash"/>
    <s v="Returned"/>
  </r>
  <r>
    <s v="TID_440"/>
    <x v="1"/>
    <x v="0"/>
    <x v="3"/>
    <x v="2"/>
    <x v="0"/>
    <x v="3"/>
    <n v="5"/>
    <n v="4"/>
    <n v="10"/>
    <n v="9"/>
    <n v="46"/>
    <x v="5"/>
    <n v="311.95999999999998"/>
    <n v="14350.16"/>
    <n v="12638.185912000001"/>
    <n v="23873.174651764537"/>
    <x v="1"/>
    <n v="11.93"/>
    <b v="1"/>
    <d v="2023-03-20T00:00:00"/>
    <x v="2"/>
    <x v="1"/>
    <n v="42"/>
    <x v="0"/>
    <s v="Debit Card"/>
    <s v="Not Returned"/>
  </r>
  <r>
    <s v="TID_698"/>
    <x v="4"/>
    <x v="2"/>
    <x v="2"/>
    <x v="0"/>
    <x v="0"/>
    <x v="3"/>
    <n v="6"/>
    <n v="6"/>
    <n v="6"/>
    <n v="9"/>
    <n v="54"/>
    <x v="4"/>
    <n v="265.35000000000002"/>
    <n v="14328.9"/>
    <n v="14328.9"/>
    <n v="22182.460563764536"/>
    <x v="0"/>
    <n v="5.83"/>
    <b v="0"/>
    <d v="2023-04-12T00:00:00"/>
    <x v="1"/>
    <x v="1"/>
    <n v="46"/>
    <x v="0"/>
    <s v="Debit Card"/>
    <s v="Returned"/>
  </r>
  <r>
    <s v="TID_1939"/>
    <x v="5"/>
    <x v="2"/>
    <x v="1"/>
    <x v="0"/>
    <x v="2"/>
    <x v="1"/>
    <n v="7"/>
    <n v="6"/>
    <n v="6"/>
    <n v="10"/>
    <n v="35"/>
    <x v="6"/>
    <n v="408.88"/>
    <n v="14310.8"/>
    <n v="14310.8"/>
    <n v="22200.560563764539"/>
    <x v="0"/>
    <n v="28.09"/>
    <b v="0"/>
    <d v="2023-08-21T00:00:00"/>
    <x v="3"/>
    <x v="1"/>
    <n v="31"/>
    <x v="1"/>
    <s v="Credit Card"/>
    <s v="Not Returned"/>
  </r>
  <r>
    <s v="TID_1973"/>
    <x v="7"/>
    <x v="2"/>
    <x v="2"/>
    <x v="2"/>
    <x v="1"/>
    <x v="1"/>
    <n v="2"/>
    <n v="6"/>
    <n v="10"/>
    <n v="10"/>
    <n v="87"/>
    <x v="2"/>
    <n v="164.29"/>
    <n v="14293.23"/>
    <n v="10774.236774000001"/>
    <n v="25737.123789764537"/>
    <x v="0"/>
    <n v="24.62"/>
    <b v="1"/>
    <d v="2023-04-01T00:00:00"/>
    <x v="1"/>
    <x v="1"/>
    <n v="68"/>
    <x v="2"/>
    <s v="Credit Card"/>
    <s v="Returned"/>
  </r>
  <r>
    <s v="TID_1048"/>
    <x v="3"/>
    <x v="0"/>
    <x v="2"/>
    <x v="2"/>
    <x v="1"/>
    <x v="0"/>
    <n v="5"/>
    <n v="4"/>
    <n v="10"/>
    <n v="10"/>
    <n v="13"/>
    <x v="6"/>
    <n v="1099.23"/>
    <n v="14289.99"/>
    <n v="14289.99"/>
    <n v="22221.37056376454"/>
    <x v="1"/>
    <n v="22.35"/>
    <b v="0"/>
    <d v="2023-01-16T00:00:00"/>
    <x v="2"/>
    <x v="1"/>
    <n v="65"/>
    <x v="2"/>
    <s v="Online Payment"/>
    <s v="Not Returned"/>
  </r>
  <r>
    <s v="TID_1826"/>
    <x v="6"/>
    <x v="1"/>
    <x v="2"/>
    <x v="1"/>
    <x v="3"/>
    <x v="1"/>
    <n v="6"/>
    <n v="13"/>
    <n v="10"/>
    <n v="10"/>
    <n v="77"/>
    <x v="3"/>
    <n v="185.53"/>
    <n v="14285.81"/>
    <n v="11452.933877000001"/>
    <n v="25058.426686764535"/>
    <x v="1"/>
    <n v="19.829999999999998"/>
    <b v="1"/>
    <d v="2023-09-19T00:00:00"/>
    <x v="3"/>
    <x v="1"/>
    <n v="37"/>
    <x v="2"/>
    <s v="Online Payment"/>
    <s v="Not Returned"/>
  </r>
  <r>
    <s v="TID_1696"/>
    <x v="7"/>
    <x v="2"/>
    <x v="0"/>
    <x v="0"/>
    <x v="4"/>
    <x v="2"/>
    <n v="2"/>
    <n v="6"/>
    <n v="6"/>
    <n v="10"/>
    <n v="29"/>
    <x v="6"/>
    <n v="491.85"/>
    <n v="14263.65"/>
    <n v="12717.470339999998"/>
    <n v="23793.890223764538"/>
    <x v="1"/>
    <n v="10.84"/>
    <b v="1"/>
    <d v="2023-01-30T00:00:00"/>
    <x v="2"/>
    <x v="1"/>
    <n v="36"/>
    <x v="2"/>
    <s v="Credit Card"/>
    <s v="Returned"/>
  </r>
  <r>
    <s v="TID_1865"/>
    <x v="1"/>
    <x v="0"/>
    <x v="3"/>
    <x v="2"/>
    <x v="0"/>
    <x v="0"/>
    <n v="5"/>
    <n v="4"/>
    <n v="10"/>
    <n v="10"/>
    <n v="90"/>
    <x v="2"/>
    <n v="158.26"/>
    <n v="14243.4"/>
    <n v="11745.10764"/>
    <n v="24766.252923764536"/>
    <x v="1"/>
    <n v="17.54"/>
    <b v="1"/>
    <d v="2024-03-07T00:00:00"/>
    <x v="2"/>
    <x v="0"/>
    <n v="22"/>
    <x v="2"/>
    <s v="Debit Card"/>
    <s v="Returned"/>
  </r>
  <r>
    <s v="TID_1405"/>
    <x v="8"/>
    <x v="3"/>
    <x v="3"/>
    <x v="2"/>
    <x v="3"/>
    <x v="3"/>
    <n v="9"/>
    <n v="7"/>
    <n v="10"/>
    <n v="9"/>
    <n v="23"/>
    <x v="6"/>
    <n v="619.16"/>
    <n v="14240.68"/>
    <n v="14240.68"/>
    <n v="22270.680563764538"/>
    <x v="0"/>
    <n v="0.34"/>
    <b v="0"/>
    <d v="2024-10-31T00:00:00"/>
    <x v="0"/>
    <x v="0"/>
    <n v="46"/>
    <x v="2"/>
    <s v="Debit Card"/>
    <s v="Returned"/>
  </r>
  <r>
    <s v="TID_353"/>
    <x v="7"/>
    <x v="2"/>
    <x v="1"/>
    <x v="1"/>
    <x v="4"/>
    <x v="0"/>
    <n v="2"/>
    <n v="6"/>
    <n v="10"/>
    <n v="10"/>
    <n v="15"/>
    <x v="6"/>
    <n v="948.05"/>
    <n v="14220.75"/>
    <n v="14220.75"/>
    <n v="22290.610563764538"/>
    <x v="1"/>
    <n v="29.23"/>
    <b v="0"/>
    <d v="2024-03-22T00:00:00"/>
    <x v="2"/>
    <x v="0"/>
    <n v="69"/>
    <x v="0"/>
    <s v="Debit Card"/>
    <s v="Returned"/>
  </r>
  <r>
    <s v="TID_918"/>
    <x v="4"/>
    <x v="2"/>
    <x v="0"/>
    <x v="2"/>
    <x v="2"/>
    <x v="3"/>
    <n v="6"/>
    <n v="6"/>
    <n v="10"/>
    <n v="9"/>
    <n v="31"/>
    <x v="6"/>
    <n v="458.44"/>
    <n v="14211.64"/>
    <n v="12503.400872"/>
    <n v="24007.959691764539"/>
    <x v="0"/>
    <n v="12.02"/>
    <b v="1"/>
    <d v="2023-12-26T00:00:00"/>
    <x v="0"/>
    <x v="1"/>
    <n v="43"/>
    <x v="2"/>
    <s v="Debit Card"/>
    <s v="Not Returned"/>
  </r>
  <r>
    <s v="TID_275"/>
    <x v="7"/>
    <x v="2"/>
    <x v="2"/>
    <x v="2"/>
    <x v="4"/>
    <x v="2"/>
    <n v="2"/>
    <n v="6"/>
    <n v="10"/>
    <n v="10"/>
    <n v="37"/>
    <x v="6"/>
    <n v="384"/>
    <n v="14208"/>
    <n v="14208"/>
    <n v="22303.360563764538"/>
    <x v="0"/>
    <n v="28.03"/>
    <b v="0"/>
    <d v="2024-08-03T00:00:00"/>
    <x v="3"/>
    <x v="0"/>
    <n v="69"/>
    <x v="2"/>
    <s v="Cash"/>
    <s v="Not Returned"/>
  </r>
  <r>
    <s v="TID_282"/>
    <x v="8"/>
    <x v="3"/>
    <x v="2"/>
    <x v="2"/>
    <x v="3"/>
    <x v="2"/>
    <n v="9"/>
    <n v="7"/>
    <n v="10"/>
    <n v="10"/>
    <n v="66"/>
    <x v="3"/>
    <n v="214.52"/>
    <n v="14158.32"/>
    <n v="13341.384936"/>
    <n v="23169.975627764536"/>
    <x v="0"/>
    <n v="5.77"/>
    <b v="1"/>
    <d v="2023-11-17T00:00:00"/>
    <x v="0"/>
    <x v="1"/>
    <n v="23"/>
    <x v="2"/>
    <s v="Credit Card"/>
    <s v="Not Returned"/>
  </r>
  <r>
    <s v="TID_839"/>
    <x v="5"/>
    <x v="2"/>
    <x v="0"/>
    <x v="1"/>
    <x v="1"/>
    <x v="1"/>
    <n v="7"/>
    <n v="6"/>
    <n v="10"/>
    <n v="10"/>
    <n v="19"/>
    <x v="6"/>
    <n v="744.51"/>
    <n v="14145.69"/>
    <n v="12673.123671000001"/>
    <n v="23838.236892764537"/>
    <x v="1"/>
    <n v="10.41"/>
    <b v="1"/>
    <d v="2024-05-24T00:00:00"/>
    <x v="1"/>
    <x v="0"/>
    <n v="21"/>
    <x v="0"/>
    <s v="Debit Card"/>
    <s v="Returned"/>
  </r>
  <r>
    <s v="TID_557"/>
    <x v="2"/>
    <x v="1"/>
    <x v="1"/>
    <x v="1"/>
    <x v="3"/>
    <x v="0"/>
    <n v="3"/>
    <n v="13"/>
    <n v="10"/>
    <n v="10"/>
    <n v="17"/>
    <x v="6"/>
    <n v="830.3"/>
    <n v="14115.1"/>
    <n v="10932.14495"/>
    <n v="25579.215613764536"/>
    <x v="0"/>
    <n v="22.55"/>
    <b v="1"/>
    <d v="2024-02-18T00:00:00"/>
    <x v="2"/>
    <x v="0"/>
    <n v="29"/>
    <x v="2"/>
    <s v="Cash"/>
    <s v="Returned"/>
  </r>
  <r>
    <s v="TID_83"/>
    <x v="1"/>
    <x v="0"/>
    <x v="3"/>
    <x v="0"/>
    <x v="0"/>
    <x v="0"/>
    <n v="5"/>
    <n v="4"/>
    <n v="6"/>
    <n v="10"/>
    <n v="22"/>
    <x v="6"/>
    <n v="641.54999999999995"/>
    <n v="14114.1"/>
    <n v="10282.121850000001"/>
    <n v="26229.238713764535"/>
    <x v="0"/>
    <n v="27.15"/>
    <b v="1"/>
    <d v="2024-09-30T00:00:00"/>
    <x v="3"/>
    <x v="0"/>
    <n v="19"/>
    <x v="2"/>
    <s v="Debit Card"/>
    <s v="Not Returned"/>
  </r>
  <r>
    <s v="TID_1361"/>
    <x v="2"/>
    <x v="1"/>
    <x v="1"/>
    <x v="0"/>
    <x v="1"/>
    <x v="3"/>
    <n v="3"/>
    <n v="13"/>
    <n v="6"/>
    <n v="9"/>
    <n v="10"/>
    <x v="6"/>
    <n v="1405.25"/>
    <n v="14052.5"/>
    <n v="14052.5"/>
    <n v="22458.860563764538"/>
    <x v="1"/>
    <n v="7.61"/>
    <b v="0"/>
    <d v="2023-03-07T00:00:00"/>
    <x v="2"/>
    <x v="1"/>
    <n v="34"/>
    <x v="1"/>
    <s v="Debit Card"/>
    <s v="Not Returned"/>
  </r>
  <r>
    <s v="TID_520"/>
    <x v="0"/>
    <x v="0"/>
    <x v="3"/>
    <x v="1"/>
    <x v="4"/>
    <x v="3"/>
    <n v="5"/>
    <n v="4"/>
    <n v="10"/>
    <n v="9"/>
    <n v="47"/>
    <x v="5"/>
    <n v="296.49"/>
    <n v="13935.03"/>
    <n v="12967.938918"/>
    <n v="23543.421645764538"/>
    <x v="0"/>
    <n v="6.94"/>
    <b v="1"/>
    <d v="2023-10-03T00:00:00"/>
    <x v="0"/>
    <x v="1"/>
    <n v="40"/>
    <x v="2"/>
    <s v="Debit Card"/>
    <s v="Returned"/>
  </r>
  <r>
    <s v="TID_1674"/>
    <x v="8"/>
    <x v="3"/>
    <x v="3"/>
    <x v="1"/>
    <x v="3"/>
    <x v="0"/>
    <n v="9"/>
    <n v="7"/>
    <n v="10"/>
    <n v="10"/>
    <n v="29"/>
    <x v="6"/>
    <n v="479.29"/>
    <n v="13899.41"/>
    <n v="10193.827294000001"/>
    <n v="26317.533269764535"/>
    <x v="1"/>
    <n v="26.66"/>
    <b v="1"/>
    <d v="2023-03-17T00:00:00"/>
    <x v="2"/>
    <x v="1"/>
    <n v="34"/>
    <x v="1"/>
    <s v="Cash"/>
    <s v="Returned"/>
  </r>
  <r>
    <s v="TID_476"/>
    <x v="1"/>
    <x v="0"/>
    <x v="3"/>
    <x v="1"/>
    <x v="0"/>
    <x v="2"/>
    <n v="5"/>
    <n v="4"/>
    <n v="10"/>
    <n v="10"/>
    <n v="75"/>
    <x v="3"/>
    <n v="185.28"/>
    <n v="13896"/>
    <n v="13896"/>
    <n v="22615.360563764538"/>
    <x v="1"/>
    <n v="1.5"/>
    <b v="0"/>
    <d v="2024-05-15T00:00:00"/>
    <x v="1"/>
    <x v="0"/>
    <n v="58"/>
    <x v="2"/>
    <s v="Credit Card"/>
    <s v="Returned"/>
  </r>
  <r>
    <s v="TID_1511"/>
    <x v="8"/>
    <x v="3"/>
    <x v="1"/>
    <x v="2"/>
    <x v="1"/>
    <x v="0"/>
    <n v="9"/>
    <n v="7"/>
    <n v="10"/>
    <n v="10"/>
    <n v="45"/>
    <x v="5"/>
    <n v="308.45999999999998"/>
    <n v="13880.7"/>
    <n v="13880.7"/>
    <n v="22630.660563764537"/>
    <x v="0"/>
    <n v="13.43"/>
    <b v="0"/>
    <d v="2024-05-04T00:00:00"/>
    <x v="1"/>
    <x v="0"/>
    <n v="36"/>
    <x v="0"/>
    <s v="Debit Card"/>
    <s v="Returned"/>
  </r>
  <r>
    <s v="TID_1049"/>
    <x v="6"/>
    <x v="1"/>
    <x v="1"/>
    <x v="2"/>
    <x v="3"/>
    <x v="3"/>
    <n v="6"/>
    <n v="13"/>
    <n v="10"/>
    <n v="9"/>
    <n v="11"/>
    <x v="6"/>
    <n v="1257.3900000000001"/>
    <n v="13831.29"/>
    <n v="13831.29"/>
    <n v="22680.070563764537"/>
    <x v="1"/>
    <n v="17.010000000000002"/>
    <b v="0"/>
    <d v="2023-09-15T00:00:00"/>
    <x v="3"/>
    <x v="1"/>
    <n v="26"/>
    <x v="0"/>
    <s v="Cash"/>
    <s v="Not Returned"/>
  </r>
  <r>
    <s v="TID_453"/>
    <x v="2"/>
    <x v="1"/>
    <x v="3"/>
    <x v="2"/>
    <x v="1"/>
    <x v="3"/>
    <n v="3"/>
    <n v="13"/>
    <n v="10"/>
    <n v="9"/>
    <n v="98"/>
    <x v="0"/>
    <n v="140.94999999999999"/>
    <n v="13813.1"/>
    <n v="12264.65149"/>
    <n v="24246.709073764538"/>
    <x v="0"/>
    <n v="11.21"/>
    <b v="1"/>
    <d v="2024-01-13T00:00:00"/>
    <x v="2"/>
    <x v="0"/>
    <n v="48"/>
    <x v="2"/>
    <s v="Debit Card"/>
    <s v="Returned"/>
  </r>
  <r>
    <s v="TID_1544"/>
    <x v="4"/>
    <x v="2"/>
    <x v="1"/>
    <x v="1"/>
    <x v="3"/>
    <x v="3"/>
    <n v="6"/>
    <n v="6"/>
    <n v="10"/>
    <n v="9"/>
    <n v="64"/>
    <x v="3"/>
    <n v="214.54"/>
    <n v="13730.56"/>
    <n v="13730.56"/>
    <n v="22780.80056376454"/>
    <x v="0"/>
    <n v="27.79"/>
    <b v="0"/>
    <d v="2023-04-23T00:00:00"/>
    <x v="1"/>
    <x v="1"/>
    <n v="22"/>
    <x v="1"/>
    <s v="Credit Card"/>
    <s v="Not Returned"/>
  </r>
  <r>
    <s v="TID_358"/>
    <x v="9"/>
    <x v="4"/>
    <x v="0"/>
    <x v="1"/>
    <x v="2"/>
    <x v="2"/>
    <n v="6"/>
    <n v="13"/>
    <n v="10"/>
    <n v="10"/>
    <n v="10"/>
    <x v="6"/>
    <n v="1369.1"/>
    <n v="13691"/>
    <n v="10213.486000000001"/>
    <n v="26297.874563764537"/>
    <x v="1"/>
    <n v="25.4"/>
    <b v="1"/>
    <d v="2024-06-18T00:00:00"/>
    <x v="1"/>
    <x v="0"/>
    <n v="66"/>
    <x v="1"/>
    <s v="Online Payment"/>
    <s v="Not Returned"/>
  </r>
  <r>
    <s v="TID_971"/>
    <x v="9"/>
    <x v="4"/>
    <x v="0"/>
    <x v="0"/>
    <x v="3"/>
    <x v="0"/>
    <n v="6"/>
    <n v="13"/>
    <n v="6"/>
    <n v="10"/>
    <n v="43"/>
    <x v="5"/>
    <n v="318.14"/>
    <n v="13680.02"/>
    <n v="11112.280246"/>
    <n v="25399.080317764536"/>
    <x v="0"/>
    <n v="18.77"/>
    <b v="1"/>
    <d v="2024-04-28T00:00:00"/>
    <x v="1"/>
    <x v="0"/>
    <n v="41"/>
    <x v="2"/>
    <s v="Online Payment"/>
    <s v="Returned"/>
  </r>
  <r>
    <s v="TID_1001"/>
    <x v="2"/>
    <x v="1"/>
    <x v="3"/>
    <x v="2"/>
    <x v="4"/>
    <x v="0"/>
    <n v="3"/>
    <n v="13"/>
    <n v="10"/>
    <n v="10"/>
    <n v="27"/>
    <x v="6"/>
    <n v="505.36"/>
    <n v="13644.72"/>
    <n v="12089.22192"/>
    <n v="24422.138643764538"/>
    <x v="0"/>
    <n v="11.4"/>
    <b v="1"/>
    <d v="2023-09-15T00:00:00"/>
    <x v="3"/>
    <x v="1"/>
    <n v="40"/>
    <x v="0"/>
    <s v="Online Payment"/>
    <s v="Returned"/>
  </r>
  <r>
    <s v="TID_203"/>
    <x v="0"/>
    <x v="0"/>
    <x v="1"/>
    <x v="1"/>
    <x v="4"/>
    <x v="3"/>
    <n v="5"/>
    <n v="4"/>
    <n v="10"/>
    <n v="9"/>
    <n v="39"/>
    <x v="6"/>
    <n v="348.99"/>
    <n v="13610.61"/>
    <n v="13610.61"/>
    <n v="22900.750563764537"/>
    <x v="1"/>
    <n v="28.01"/>
    <b v="0"/>
    <d v="2023-12-20T00:00:00"/>
    <x v="0"/>
    <x v="1"/>
    <n v="39"/>
    <x v="0"/>
    <s v="Debit Card"/>
    <s v="Returned"/>
  </r>
  <r>
    <s v="TID_746"/>
    <x v="6"/>
    <x v="1"/>
    <x v="3"/>
    <x v="1"/>
    <x v="4"/>
    <x v="2"/>
    <n v="6"/>
    <n v="13"/>
    <n v="10"/>
    <n v="10"/>
    <n v="13"/>
    <x v="6"/>
    <n v="1041.57"/>
    <n v="13540.41"/>
    <n v="11142.403388999999"/>
    <n v="25368.957174764539"/>
    <x v="0"/>
    <n v="17.71"/>
    <b v="1"/>
    <d v="2023-06-18T00:00:00"/>
    <x v="1"/>
    <x v="1"/>
    <n v="35"/>
    <x v="2"/>
    <s v="Credit Card"/>
    <s v="Not Returned"/>
  </r>
  <r>
    <s v="TID_846"/>
    <x v="1"/>
    <x v="0"/>
    <x v="1"/>
    <x v="1"/>
    <x v="2"/>
    <x v="1"/>
    <n v="5"/>
    <n v="4"/>
    <n v="10"/>
    <n v="10"/>
    <n v="10"/>
    <x v="6"/>
    <n v="1353.28"/>
    <n v="13532.8"/>
    <n v="13532.8"/>
    <n v="22978.560563764539"/>
    <x v="0"/>
    <n v="18.829999999999998"/>
    <b v="0"/>
    <d v="2024-03-07T00:00:00"/>
    <x v="2"/>
    <x v="0"/>
    <n v="32"/>
    <x v="0"/>
    <s v="Credit Card"/>
    <s v="Returned"/>
  </r>
  <r>
    <s v="TID_1397"/>
    <x v="0"/>
    <x v="0"/>
    <x v="0"/>
    <x v="1"/>
    <x v="4"/>
    <x v="3"/>
    <n v="5"/>
    <n v="4"/>
    <n v="10"/>
    <n v="9"/>
    <n v="14"/>
    <x v="6"/>
    <n v="965.5"/>
    <n v="13517"/>
    <n v="13517"/>
    <n v="22994.360563764538"/>
    <x v="0"/>
    <n v="27.79"/>
    <b v="0"/>
    <d v="2023-08-24T00:00:00"/>
    <x v="3"/>
    <x v="1"/>
    <n v="42"/>
    <x v="2"/>
    <s v="Online Payment"/>
    <s v="Returned"/>
  </r>
  <r>
    <s v="TID_1957"/>
    <x v="0"/>
    <x v="0"/>
    <x v="0"/>
    <x v="1"/>
    <x v="3"/>
    <x v="0"/>
    <n v="5"/>
    <n v="4"/>
    <n v="10"/>
    <n v="10"/>
    <n v="13"/>
    <x v="6"/>
    <n v="1037.9000000000001"/>
    <n v="13492.7"/>
    <n v="13492.7"/>
    <n v="23018.660563764537"/>
    <x v="0"/>
    <n v="18.7"/>
    <b v="0"/>
    <d v="2023-12-26T00:00:00"/>
    <x v="0"/>
    <x v="1"/>
    <n v="26"/>
    <x v="1"/>
    <s v="Online Payment"/>
    <s v="Not Returned"/>
  </r>
  <r>
    <s v="TID_443"/>
    <x v="2"/>
    <x v="1"/>
    <x v="0"/>
    <x v="0"/>
    <x v="4"/>
    <x v="0"/>
    <n v="3"/>
    <n v="13"/>
    <n v="6"/>
    <n v="10"/>
    <n v="38"/>
    <x v="6"/>
    <n v="354.75"/>
    <n v="13480.5"/>
    <n v="13480.5"/>
    <n v="23030.860563764538"/>
    <x v="0"/>
    <n v="6.53"/>
    <b v="0"/>
    <d v="2023-01-08T00:00:00"/>
    <x v="2"/>
    <x v="1"/>
    <n v="36"/>
    <x v="1"/>
    <s v="Online Payment"/>
    <s v="Returned"/>
  </r>
  <r>
    <s v="TID_1331"/>
    <x v="3"/>
    <x v="0"/>
    <x v="0"/>
    <x v="0"/>
    <x v="0"/>
    <x v="3"/>
    <n v="5"/>
    <n v="4"/>
    <n v="6"/>
    <n v="9"/>
    <n v="95"/>
    <x v="1"/>
    <n v="141.31"/>
    <n v="13424.45"/>
    <n v="11150.348170000001"/>
    <n v="25361.012393764537"/>
    <x v="1"/>
    <n v="16.940000000000001"/>
    <b v="1"/>
    <d v="2024-05-13T00:00:00"/>
    <x v="1"/>
    <x v="0"/>
    <n v="46"/>
    <x v="1"/>
    <s v="Online Payment"/>
    <s v="Not Returned"/>
  </r>
  <r>
    <s v="TID_626"/>
    <x v="4"/>
    <x v="2"/>
    <x v="1"/>
    <x v="0"/>
    <x v="0"/>
    <x v="2"/>
    <n v="6"/>
    <n v="6"/>
    <n v="6"/>
    <n v="10"/>
    <n v="16"/>
    <x v="6"/>
    <n v="837.24"/>
    <n v="13395.84"/>
    <n v="11407.897344000001"/>
    <n v="25103.463219764537"/>
    <x v="1"/>
    <n v="14.84"/>
    <b v="1"/>
    <d v="2023-12-17T00:00:00"/>
    <x v="0"/>
    <x v="1"/>
    <n v="62"/>
    <x v="0"/>
    <s v="Debit Card"/>
    <s v="Returned"/>
  </r>
  <r>
    <s v="TID_1442"/>
    <x v="8"/>
    <x v="3"/>
    <x v="2"/>
    <x v="1"/>
    <x v="1"/>
    <x v="1"/>
    <n v="9"/>
    <n v="7"/>
    <n v="10"/>
    <n v="10"/>
    <n v="31"/>
    <x v="6"/>
    <n v="430.73"/>
    <n v="13352.63"/>
    <n v="13352.63"/>
    <n v="23158.73056376454"/>
    <x v="0"/>
    <n v="27.45"/>
    <b v="0"/>
    <d v="2024-08-21T00:00:00"/>
    <x v="3"/>
    <x v="0"/>
    <n v="47"/>
    <x v="0"/>
    <s v="Debit Card"/>
    <s v="Returned"/>
  </r>
  <r>
    <s v="TID_1796"/>
    <x v="0"/>
    <x v="0"/>
    <x v="1"/>
    <x v="1"/>
    <x v="2"/>
    <x v="1"/>
    <n v="5"/>
    <n v="4"/>
    <n v="10"/>
    <n v="10"/>
    <n v="19"/>
    <x v="6"/>
    <n v="701.75"/>
    <n v="13333.25"/>
    <n v="9730.6058499999999"/>
    <n v="26780.754713764538"/>
    <x v="1"/>
    <n v="27.02"/>
    <b v="1"/>
    <d v="2023-06-25T00:00:00"/>
    <x v="1"/>
    <x v="1"/>
    <n v="35"/>
    <x v="0"/>
    <s v="Online Payment"/>
    <s v="Returned"/>
  </r>
  <r>
    <s v="TID_1989"/>
    <x v="7"/>
    <x v="2"/>
    <x v="3"/>
    <x v="1"/>
    <x v="1"/>
    <x v="2"/>
    <n v="2"/>
    <n v="6"/>
    <n v="10"/>
    <n v="10"/>
    <n v="27"/>
    <x v="6"/>
    <n v="491.98"/>
    <n v="13283.46"/>
    <n v="11259.060695999999"/>
    <n v="25252.299867764537"/>
    <x v="0"/>
    <n v="15.24"/>
    <b v="1"/>
    <d v="2023-02-07T00:00:00"/>
    <x v="2"/>
    <x v="1"/>
    <n v="53"/>
    <x v="0"/>
    <s v="Online Payment"/>
    <s v="Returned"/>
  </r>
  <r>
    <s v="TID_1708"/>
    <x v="9"/>
    <x v="4"/>
    <x v="0"/>
    <x v="2"/>
    <x v="4"/>
    <x v="1"/>
    <n v="6"/>
    <n v="13"/>
    <n v="10"/>
    <n v="10"/>
    <n v="23"/>
    <x v="6"/>
    <n v="576.89"/>
    <n v="13268.47"/>
    <n v="10800.53458"/>
    <n v="25710.825983764538"/>
    <x v="1"/>
    <n v="18.600000000000001"/>
    <b v="1"/>
    <d v="2023-10-14T00:00:00"/>
    <x v="0"/>
    <x v="1"/>
    <n v="50"/>
    <x v="1"/>
    <s v="Debit Card"/>
    <s v="Not Returned"/>
  </r>
  <r>
    <s v="TID_185"/>
    <x v="7"/>
    <x v="2"/>
    <x v="3"/>
    <x v="2"/>
    <x v="0"/>
    <x v="3"/>
    <n v="2"/>
    <n v="6"/>
    <n v="10"/>
    <n v="9"/>
    <n v="24"/>
    <x v="6"/>
    <n v="550.75"/>
    <n v="13218"/>
    <n v="13218"/>
    <n v="23293.360563764538"/>
    <x v="0"/>
    <n v="12.25"/>
    <b v="0"/>
    <d v="2023-11-04T00:00:00"/>
    <x v="0"/>
    <x v="1"/>
    <n v="47"/>
    <x v="0"/>
    <s v="Cash"/>
    <s v="Returned"/>
  </r>
  <r>
    <s v="TID_917"/>
    <x v="7"/>
    <x v="2"/>
    <x v="0"/>
    <x v="1"/>
    <x v="0"/>
    <x v="0"/>
    <n v="2"/>
    <n v="6"/>
    <n v="10"/>
    <n v="10"/>
    <n v="9"/>
    <x v="6"/>
    <n v="1467.27"/>
    <n v="13205.43"/>
    <n v="12205.778949"/>
    <n v="24305.581614764538"/>
    <x v="1"/>
    <n v="7.57"/>
    <b v="1"/>
    <d v="2023-10-21T00:00:00"/>
    <x v="0"/>
    <x v="1"/>
    <n v="53"/>
    <x v="2"/>
    <s v="Online Payment"/>
    <s v="Returned"/>
  </r>
  <r>
    <s v="TID_1722"/>
    <x v="3"/>
    <x v="0"/>
    <x v="2"/>
    <x v="2"/>
    <x v="1"/>
    <x v="1"/>
    <n v="5"/>
    <n v="4"/>
    <n v="10"/>
    <n v="10"/>
    <n v="86"/>
    <x v="2"/>
    <n v="153.41999999999999"/>
    <n v="13194.12"/>
    <n v="11403.677916000001"/>
    <n v="25107.682647764537"/>
    <x v="1"/>
    <n v="13.57"/>
    <b v="1"/>
    <d v="2023-04-20T00:00:00"/>
    <x v="1"/>
    <x v="1"/>
    <n v="40"/>
    <x v="0"/>
    <s v="Credit Card"/>
    <s v="Returned"/>
  </r>
  <r>
    <s v="TID_745"/>
    <x v="7"/>
    <x v="2"/>
    <x v="2"/>
    <x v="1"/>
    <x v="1"/>
    <x v="1"/>
    <n v="2"/>
    <n v="6"/>
    <n v="10"/>
    <n v="10"/>
    <n v="9"/>
    <x v="6"/>
    <n v="1449.85"/>
    <n v="13048.65"/>
    <n v="12260.51154"/>
    <n v="24250.849023764538"/>
    <x v="1"/>
    <n v="6.04"/>
    <b v="1"/>
    <d v="2024-08-08T00:00:00"/>
    <x v="3"/>
    <x v="0"/>
    <n v="59"/>
    <x v="0"/>
    <s v="Debit Card"/>
    <s v="Returned"/>
  </r>
  <r>
    <s v="TID_522"/>
    <x v="4"/>
    <x v="2"/>
    <x v="2"/>
    <x v="0"/>
    <x v="0"/>
    <x v="1"/>
    <n v="6"/>
    <n v="6"/>
    <n v="6"/>
    <n v="10"/>
    <n v="14"/>
    <x v="6"/>
    <n v="931.54"/>
    <n v="13041.56"/>
    <n v="13041.56"/>
    <n v="23469.80056376454"/>
    <x v="0"/>
    <n v="6.84"/>
    <b v="0"/>
    <d v="2023-10-20T00:00:00"/>
    <x v="0"/>
    <x v="1"/>
    <n v="44"/>
    <x v="1"/>
    <s v="Debit Card"/>
    <s v="Returned"/>
  </r>
  <r>
    <s v="TID_1661"/>
    <x v="9"/>
    <x v="4"/>
    <x v="2"/>
    <x v="0"/>
    <x v="1"/>
    <x v="3"/>
    <n v="6"/>
    <n v="13"/>
    <n v="6"/>
    <n v="9"/>
    <n v="80"/>
    <x v="3"/>
    <n v="162.87"/>
    <n v="13029.6"/>
    <n v="13029.6"/>
    <n v="23481.760563764539"/>
    <x v="1"/>
    <n v="29.62"/>
    <b v="0"/>
    <d v="2023-04-19T00:00:00"/>
    <x v="1"/>
    <x v="1"/>
    <n v="18"/>
    <x v="0"/>
    <s v="Online Payment"/>
    <s v="Returned"/>
  </r>
  <r>
    <s v="TID_749"/>
    <x v="7"/>
    <x v="2"/>
    <x v="3"/>
    <x v="0"/>
    <x v="3"/>
    <x v="3"/>
    <n v="2"/>
    <n v="6"/>
    <n v="6"/>
    <n v="9"/>
    <n v="79"/>
    <x v="3"/>
    <n v="164.82"/>
    <n v="13020.78"/>
    <n v="11206.985346000001"/>
    <n v="25304.375217764537"/>
    <x v="1"/>
    <n v="13.93"/>
    <b v="1"/>
    <d v="2024-05-18T00:00:00"/>
    <x v="1"/>
    <x v="0"/>
    <n v="56"/>
    <x v="1"/>
    <s v="Credit Card"/>
    <s v="Not Returned"/>
  </r>
  <r>
    <s v="TID_984"/>
    <x v="7"/>
    <x v="2"/>
    <x v="3"/>
    <x v="0"/>
    <x v="3"/>
    <x v="0"/>
    <n v="2"/>
    <n v="6"/>
    <n v="6"/>
    <n v="10"/>
    <n v="17"/>
    <x v="6"/>
    <n v="764.38"/>
    <n v="12994.46"/>
    <n v="12994.46"/>
    <n v="23516.900563764539"/>
    <x v="1"/>
    <n v="18.59"/>
    <b v="0"/>
    <d v="2024-06-03T00:00:00"/>
    <x v="1"/>
    <x v="0"/>
    <n v="61"/>
    <x v="0"/>
    <s v="Online Payment"/>
    <s v="Not Returned"/>
  </r>
  <r>
    <s v="TID_532"/>
    <x v="9"/>
    <x v="4"/>
    <x v="3"/>
    <x v="1"/>
    <x v="2"/>
    <x v="3"/>
    <n v="6"/>
    <n v="13"/>
    <n v="10"/>
    <n v="9"/>
    <n v="67"/>
    <x v="3"/>
    <n v="192.18"/>
    <n v="12876.06"/>
    <n v="12876.06"/>
    <n v="23635.30056376454"/>
    <x v="1"/>
    <n v="18.329999999999998"/>
    <b v="0"/>
    <d v="2023-03-06T00:00:00"/>
    <x v="2"/>
    <x v="1"/>
    <n v="32"/>
    <x v="2"/>
    <s v="Credit Card"/>
    <s v="Not Returned"/>
  </r>
  <r>
    <s v="TID_386"/>
    <x v="9"/>
    <x v="4"/>
    <x v="2"/>
    <x v="2"/>
    <x v="0"/>
    <x v="1"/>
    <n v="6"/>
    <n v="13"/>
    <n v="10"/>
    <n v="10"/>
    <n v="61"/>
    <x v="3"/>
    <n v="210.83"/>
    <n v="12860.63"/>
    <n v="12860.63"/>
    <n v="23650.73056376454"/>
    <x v="1"/>
    <n v="11.09"/>
    <b v="0"/>
    <d v="2024-04-08T00:00:00"/>
    <x v="1"/>
    <x v="0"/>
    <n v="42"/>
    <x v="0"/>
    <s v="Cash"/>
    <s v="Not Returned"/>
  </r>
  <r>
    <s v="TID_516"/>
    <x v="9"/>
    <x v="4"/>
    <x v="1"/>
    <x v="0"/>
    <x v="4"/>
    <x v="0"/>
    <n v="6"/>
    <n v="13"/>
    <n v="6"/>
    <n v="10"/>
    <n v="55"/>
    <x v="4"/>
    <n v="233.73"/>
    <n v="12855.15"/>
    <n v="10955.15883"/>
    <n v="25556.201733764537"/>
    <x v="1"/>
    <n v="14.78"/>
    <b v="1"/>
    <d v="2023-08-21T00:00:00"/>
    <x v="3"/>
    <x v="1"/>
    <n v="46"/>
    <x v="1"/>
    <s v="Debit Card"/>
    <s v="Not Returned"/>
  </r>
  <r>
    <s v="TID_620"/>
    <x v="0"/>
    <x v="0"/>
    <x v="0"/>
    <x v="2"/>
    <x v="4"/>
    <x v="0"/>
    <n v="5"/>
    <n v="4"/>
    <n v="10"/>
    <n v="10"/>
    <n v="24"/>
    <x v="6"/>
    <n v="534.03"/>
    <n v="12816.72"/>
    <n v="12816.72"/>
    <n v="23694.640563764537"/>
    <x v="0"/>
    <n v="14.11"/>
    <b v="0"/>
    <d v="2023-11-13T00:00:00"/>
    <x v="0"/>
    <x v="1"/>
    <n v="19"/>
    <x v="0"/>
    <s v="Cash"/>
    <s v="Not Returned"/>
  </r>
  <r>
    <s v="TID_1695"/>
    <x v="2"/>
    <x v="1"/>
    <x v="2"/>
    <x v="1"/>
    <x v="3"/>
    <x v="3"/>
    <n v="3"/>
    <n v="13"/>
    <n v="10"/>
    <n v="9"/>
    <n v="50"/>
    <x v="5"/>
    <n v="255.8"/>
    <n v="12790"/>
    <n v="12790"/>
    <n v="23721.360563764538"/>
    <x v="0"/>
    <n v="6.85"/>
    <b v="0"/>
    <d v="2024-09-16T00:00:00"/>
    <x v="3"/>
    <x v="0"/>
    <n v="29"/>
    <x v="1"/>
    <s v="Cash"/>
    <s v="Returned"/>
  </r>
  <r>
    <s v="TID_662"/>
    <x v="8"/>
    <x v="3"/>
    <x v="3"/>
    <x v="0"/>
    <x v="1"/>
    <x v="0"/>
    <n v="9"/>
    <n v="7"/>
    <n v="6"/>
    <n v="10"/>
    <n v="46"/>
    <x v="5"/>
    <n v="275.69"/>
    <n v="12681.74"/>
    <n v="10514.430633999998"/>
    <n v="25996.929929764541"/>
    <x v="1"/>
    <n v="17.09"/>
    <b v="1"/>
    <d v="2023-10-13T00:00:00"/>
    <x v="0"/>
    <x v="1"/>
    <n v="45"/>
    <x v="0"/>
    <s v="Credit Card"/>
    <s v="Not Returned"/>
  </r>
  <r>
    <s v="TID_1461"/>
    <x v="8"/>
    <x v="3"/>
    <x v="3"/>
    <x v="2"/>
    <x v="4"/>
    <x v="0"/>
    <n v="9"/>
    <n v="7"/>
    <n v="10"/>
    <n v="10"/>
    <n v="28"/>
    <x v="6"/>
    <n v="452.91"/>
    <n v="12681.48"/>
    <n v="11609.89494"/>
    <n v="24901.465623764539"/>
    <x v="1"/>
    <n v="8.4499999999999993"/>
    <b v="1"/>
    <d v="2024-10-02T00:00:00"/>
    <x v="0"/>
    <x v="0"/>
    <n v="64"/>
    <x v="1"/>
    <s v="Credit Card"/>
    <s v="Returned"/>
  </r>
  <r>
    <s v="TID_1593"/>
    <x v="6"/>
    <x v="1"/>
    <x v="1"/>
    <x v="2"/>
    <x v="0"/>
    <x v="2"/>
    <n v="6"/>
    <n v="13"/>
    <n v="10"/>
    <n v="10"/>
    <n v="72"/>
    <x v="3"/>
    <n v="175.95"/>
    <n v="12668.4"/>
    <n v="9168.121079999999"/>
    <n v="27343.239483764541"/>
    <x v="1"/>
    <n v="27.63"/>
    <b v="1"/>
    <d v="2024-04-09T00:00:00"/>
    <x v="1"/>
    <x v="0"/>
    <n v="29"/>
    <x v="2"/>
    <s v="Debit Card"/>
    <s v="Returned"/>
  </r>
  <r>
    <s v="TID_999"/>
    <x v="6"/>
    <x v="1"/>
    <x v="0"/>
    <x v="1"/>
    <x v="1"/>
    <x v="0"/>
    <n v="6"/>
    <n v="13"/>
    <n v="10"/>
    <n v="10"/>
    <n v="72"/>
    <x v="3"/>
    <n v="175.35"/>
    <n v="12625.2"/>
    <n v="11654.322120000001"/>
    <n v="24857.038443764537"/>
    <x v="1"/>
    <n v="7.69"/>
    <b v="1"/>
    <d v="2024-03-18T00:00:00"/>
    <x v="2"/>
    <x v="0"/>
    <n v="38"/>
    <x v="0"/>
    <s v="Debit Card"/>
    <s v="Returned"/>
  </r>
  <r>
    <s v="TID_337"/>
    <x v="6"/>
    <x v="1"/>
    <x v="2"/>
    <x v="1"/>
    <x v="2"/>
    <x v="3"/>
    <n v="6"/>
    <n v="13"/>
    <n v="10"/>
    <n v="9"/>
    <n v="62"/>
    <x v="3"/>
    <n v="203.12"/>
    <n v="12593.44"/>
    <n v="12593.44"/>
    <n v="23917.920563764535"/>
    <x v="1"/>
    <n v="27.5"/>
    <b v="0"/>
    <d v="2023-04-05T00:00:00"/>
    <x v="1"/>
    <x v="1"/>
    <n v="52"/>
    <x v="1"/>
    <s v="Cash"/>
    <s v="Not Returned"/>
  </r>
  <r>
    <s v="TID_765"/>
    <x v="9"/>
    <x v="4"/>
    <x v="3"/>
    <x v="2"/>
    <x v="2"/>
    <x v="1"/>
    <n v="6"/>
    <n v="13"/>
    <n v="10"/>
    <n v="10"/>
    <n v="25"/>
    <x v="6"/>
    <n v="503.39"/>
    <n v="12584.75"/>
    <n v="12584.75"/>
    <n v="23926.610563764538"/>
    <x v="0"/>
    <n v="20.93"/>
    <b v="0"/>
    <d v="2024-09-12T00:00:00"/>
    <x v="3"/>
    <x v="0"/>
    <n v="55"/>
    <x v="0"/>
    <s v="Debit Card"/>
    <s v="Not Returned"/>
  </r>
  <r>
    <s v="TID_1612"/>
    <x v="6"/>
    <x v="1"/>
    <x v="0"/>
    <x v="0"/>
    <x v="4"/>
    <x v="0"/>
    <n v="6"/>
    <n v="13"/>
    <n v="6"/>
    <n v="10"/>
    <n v="92"/>
    <x v="1"/>
    <n v="136.29"/>
    <n v="12538.68"/>
    <n v="10555.060824"/>
    <n v="25956.299739764538"/>
    <x v="1"/>
    <n v="15.82"/>
    <b v="1"/>
    <d v="2024-06-10T00:00:00"/>
    <x v="1"/>
    <x v="0"/>
    <n v="47"/>
    <x v="1"/>
    <s v="Debit Card"/>
    <s v="Not Returned"/>
  </r>
  <r>
    <s v="TID_380"/>
    <x v="7"/>
    <x v="2"/>
    <x v="3"/>
    <x v="1"/>
    <x v="1"/>
    <x v="0"/>
    <n v="2"/>
    <n v="6"/>
    <n v="10"/>
    <n v="10"/>
    <n v="14"/>
    <x v="6"/>
    <n v="894.48"/>
    <n v="12522.72"/>
    <n v="12522.72"/>
    <n v="23988.640563764537"/>
    <x v="0"/>
    <n v="22.16"/>
    <b v="0"/>
    <d v="2024-03-18T00:00:00"/>
    <x v="2"/>
    <x v="0"/>
    <n v="52"/>
    <x v="1"/>
    <s v="Online Payment"/>
    <s v="Returned"/>
  </r>
  <r>
    <s v="TID_1531"/>
    <x v="2"/>
    <x v="1"/>
    <x v="0"/>
    <x v="1"/>
    <x v="0"/>
    <x v="1"/>
    <n v="3"/>
    <n v="13"/>
    <n v="10"/>
    <n v="10"/>
    <n v="24"/>
    <x v="6"/>
    <n v="520.76"/>
    <n v="12498.24"/>
    <n v="10318.546944"/>
    <n v="26192.813619764536"/>
    <x v="1"/>
    <n v="17.440000000000001"/>
    <b v="1"/>
    <d v="2023-09-04T00:00:00"/>
    <x v="3"/>
    <x v="1"/>
    <n v="39"/>
    <x v="0"/>
    <s v="Online Payment"/>
    <s v="Not Returned"/>
  </r>
  <r>
    <s v="TID_111"/>
    <x v="2"/>
    <x v="1"/>
    <x v="0"/>
    <x v="2"/>
    <x v="4"/>
    <x v="0"/>
    <n v="3"/>
    <n v="13"/>
    <n v="10"/>
    <n v="10"/>
    <n v="13"/>
    <x v="6"/>
    <n v="961.39"/>
    <n v="12498.07"/>
    <n v="12498.07"/>
    <n v="24013.290563764538"/>
    <x v="0"/>
    <n v="14.06"/>
    <b v="0"/>
    <d v="2023-09-02T00:00:00"/>
    <x v="3"/>
    <x v="1"/>
    <n v="34"/>
    <x v="0"/>
    <s v="Online Payment"/>
    <s v="Returned"/>
  </r>
  <r>
    <s v="TID_1672"/>
    <x v="6"/>
    <x v="1"/>
    <x v="3"/>
    <x v="1"/>
    <x v="1"/>
    <x v="1"/>
    <n v="6"/>
    <n v="13"/>
    <n v="10"/>
    <n v="10"/>
    <n v="16"/>
    <x v="6"/>
    <n v="779.73"/>
    <n v="12475.68"/>
    <n v="12475.68"/>
    <n v="24035.680563764538"/>
    <x v="0"/>
    <n v="5.64"/>
    <b v="0"/>
    <d v="2023-03-14T00:00:00"/>
    <x v="2"/>
    <x v="1"/>
    <n v="64"/>
    <x v="1"/>
    <s v="Cash"/>
    <s v="Returned"/>
  </r>
  <r>
    <s v="TID_861"/>
    <x v="6"/>
    <x v="1"/>
    <x v="3"/>
    <x v="1"/>
    <x v="3"/>
    <x v="2"/>
    <n v="6"/>
    <n v="13"/>
    <n v="10"/>
    <n v="10"/>
    <n v="47"/>
    <x v="5"/>
    <n v="265.18"/>
    <n v="12463.46"/>
    <n v="9209.2505939999992"/>
    <n v="27302.10996976454"/>
    <x v="0"/>
    <n v="26.11"/>
    <b v="1"/>
    <d v="2023-10-25T00:00:00"/>
    <x v="0"/>
    <x v="1"/>
    <n v="41"/>
    <x v="2"/>
    <s v="Credit Card"/>
    <s v="Not Returned"/>
  </r>
  <r>
    <s v="TID_978"/>
    <x v="1"/>
    <x v="0"/>
    <x v="1"/>
    <x v="1"/>
    <x v="2"/>
    <x v="3"/>
    <n v="5"/>
    <n v="4"/>
    <n v="10"/>
    <n v="9"/>
    <n v="24"/>
    <x v="6"/>
    <n v="519.05999999999995"/>
    <n v="12457.44"/>
    <n v="10273.650768"/>
    <n v="26237.709795764538"/>
    <x v="0"/>
    <n v="17.53"/>
    <b v="1"/>
    <d v="2023-07-17T00:00:00"/>
    <x v="3"/>
    <x v="1"/>
    <n v="48"/>
    <x v="0"/>
    <s v="Cash"/>
    <s v="Not Returned"/>
  </r>
  <r>
    <s v="TID_1967"/>
    <x v="7"/>
    <x v="2"/>
    <x v="2"/>
    <x v="1"/>
    <x v="0"/>
    <x v="2"/>
    <n v="2"/>
    <n v="6"/>
    <n v="10"/>
    <n v="10"/>
    <n v="99"/>
    <x v="0"/>
    <n v="125.76"/>
    <n v="12450.24"/>
    <n v="12450.24"/>
    <n v="24061.12056376454"/>
    <x v="0"/>
    <n v="8.5"/>
    <b v="0"/>
    <d v="2023-01-09T00:00:00"/>
    <x v="2"/>
    <x v="1"/>
    <n v="20"/>
    <x v="2"/>
    <s v="Online Payment"/>
    <s v="Not Returned"/>
  </r>
  <r>
    <s v="TID_1562"/>
    <x v="2"/>
    <x v="1"/>
    <x v="2"/>
    <x v="1"/>
    <x v="0"/>
    <x v="2"/>
    <n v="3"/>
    <n v="13"/>
    <n v="10"/>
    <n v="10"/>
    <n v="94"/>
    <x v="1"/>
    <n v="132.24"/>
    <n v="12430.56"/>
    <n v="12430.56"/>
    <n v="24080.80056376454"/>
    <x v="0"/>
    <n v="5.37"/>
    <b v="0"/>
    <d v="2023-08-08T00:00:00"/>
    <x v="3"/>
    <x v="1"/>
    <n v="35"/>
    <x v="1"/>
    <s v="Credit Card"/>
    <s v="Returned"/>
  </r>
  <r>
    <s v="TID_998"/>
    <x v="1"/>
    <x v="0"/>
    <x v="0"/>
    <x v="0"/>
    <x v="2"/>
    <x v="1"/>
    <n v="5"/>
    <n v="4"/>
    <n v="6"/>
    <n v="10"/>
    <n v="26"/>
    <x v="6"/>
    <n v="476.73"/>
    <n v="12394.98"/>
    <n v="12394.98"/>
    <n v="24116.380563764538"/>
    <x v="0"/>
    <n v="4.05"/>
    <b v="0"/>
    <d v="2023-01-13T00:00:00"/>
    <x v="2"/>
    <x v="1"/>
    <n v="25"/>
    <x v="2"/>
    <s v="Online Payment"/>
    <s v="Not Returned"/>
  </r>
  <r>
    <s v="TID_92"/>
    <x v="2"/>
    <x v="1"/>
    <x v="1"/>
    <x v="2"/>
    <x v="4"/>
    <x v="1"/>
    <n v="3"/>
    <n v="13"/>
    <n v="10"/>
    <n v="10"/>
    <n v="70"/>
    <x v="3"/>
    <n v="176.98"/>
    <n v="12388.6"/>
    <n v="12388.6"/>
    <n v="24122.760563764539"/>
    <x v="0"/>
    <n v="19.38"/>
    <b v="0"/>
    <d v="2023-10-31T00:00:00"/>
    <x v="0"/>
    <x v="1"/>
    <n v="58"/>
    <x v="2"/>
    <s v="Debit Card"/>
    <s v="Returned"/>
  </r>
  <r>
    <s v="TID_1063"/>
    <x v="8"/>
    <x v="3"/>
    <x v="1"/>
    <x v="2"/>
    <x v="2"/>
    <x v="3"/>
    <n v="9"/>
    <n v="7"/>
    <n v="10"/>
    <n v="9"/>
    <n v="10"/>
    <x v="6"/>
    <n v="1235.25"/>
    <n v="12352.5"/>
    <n v="9568.2464999999993"/>
    <n v="26943.114063764537"/>
    <x v="0"/>
    <n v="22.54"/>
    <b v="1"/>
    <d v="2024-03-16T00:00:00"/>
    <x v="2"/>
    <x v="0"/>
    <n v="61"/>
    <x v="2"/>
    <s v="Cash"/>
    <s v="Returned"/>
  </r>
  <r>
    <s v="TID_1280"/>
    <x v="3"/>
    <x v="0"/>
    <x v="1"/>
    <x v="2"/>
    <x v="1"/>
    <x v="2"/>
    <n v="5"/>
    <n v="4"/>
    <n v="10"/>
    <n v="10"/>
    <n v="9"/>
    <x v="6"/>
    <n v="1370.77"/>
    <n v="12336.93"/>
    <n v="12336.93"/>
    <n v="24174.430563764538"/>
    <x v="0"/>
    <n v="18.079999999999998"/>
    <b v="0"/>
    <d v="2024-03-27T00:00:00"/>
    <x v="2"/>
    <x v="0"/>
    <n v="64"/>
    <x v="1"/>
    <s v="Debit Card"/>
    <s v="Not Returned"/>
  </r>
  <r>
    <s v="TID_728"/>
    <x v="4"/>
    <x v="2"/>
    <x v="1"/>
    <x v="0"/>
    <x v="3"/>
    <x v="0"/>
    <n v="6"/>
    <n v="6"/>
    <n v="6"/>
    <n v="10"/>
    <n v="23"/>
    <x v="6"/>
    <n v="536.23"/>
    <n v="12333.29"/>
    <n v="10678.162482000002"/>
    <n v="25833.198081764538"/>
    <x v="1"/>
    <n v="13.42"/>
    <b v="1"/>
    <d v="2024-10-18T00:00:00"/>
    <x v="0"/>
    <x v="0"/>
    <n v="53"/>
    <x v="1"/>
    <s v="Debit Card"/>
    <s v="Returned"/>
  </r>
  <r>
    <s v="TID_889"/>
    <x v="6"/>
    <x v="1"/>
    <x v="0"/>
    <x v="0"/>
    <x v="2"/>
    <x v="0"/>
    <n v="6"/>
    <n v="13"/>
    <n v="6"/>
    <n v="10"/>
    <n v="9"/>
    <x v="6"/>
    <n v="1363.66"/>
    <n v="12272.94"/>
    <n v="9277.1153460000005"/>
    <n v="27234.245217764539"/>
    <x v="1"/>
    <n v="24.41"/>
    <b v="1"/>
    <d v="2023-11-07T00:00:00"/>
    <x v="0"/>
    <x v="1"/>
    <n v="65"/>
    <x v="2"/>
    <s v="Cash"/>
    <s v="Not Returned"/>
  </r>
  <r>
    <s v="TID_1929"/>
    <x v="9"/>
    <x v="4"/>
    <x v="3"/>
    <x v="1"/>
    <x v="2"/>
    <x v="2"/>
    <n v="6"/>
    <n v="13"/>
    <n v="10"/>
    <n v="10"/>
    <n v="22"/>
    <x v="6"/>
    <n v="556.28"/>
    <n v="12238.16"/>
    <n v="12238.16"/>
    <n v="24273.200563764538"/>
    <x v="0"/>
    <n v="26.59"/>
    <b v="0"/>
    <d v="2023-02-04T00:00:00"/>
    <x v="2"/>
    <x v="1"/>
    <n v="20"/>
    <x v="0"/>
    <s v="Online Payment"/>
    <s v="Returned"/>
  </r>
  <r>
    <s v="TID_1983"/>
    <x v="2"/>
    <x v="1"/>
    <x v="0"/>
    <x v="0"/>
    <x v="2"/>
    <x v="3"/>
    <n v="3"/>
    <n v="13"/>
    <n v="6"/>
    <n v="9"/>
    <n v="31"/>
    <x v="6"/>
    <n v="393.54"/>
    <n v="12199.74"/>
    <n v="12199.74"/>
    <n v="24311.62056376454"/>
    <x v="1"/>
    <n v="5.91"/>
    <b v="0"/>
    <d v="2023-08-22T00:00:00"/>
    <x v="3"/>
    <x v="1"/>
    <n v="33"/>
    <x v="0"/>
    <s v="Cash"/>
    <s v="Not Returned"/>
  </r>
  <r>
    <s v="TID_577"/>
    <x v="2"/>
    <x v="1"/>
    <x v="0"/>
    <x v="2"/>
    <x v="0"/>
    <x v="0"/>
    <n v="3"/>
    <n v="13"/>
    <n v="10"/>
    <n v="10"/>
    <n v="40"/>
    <x v="5"/>
    <n v="304.62"/>
    <n v="12184.8"/>
    <n v="9846.5368799999997"/>
    <n v="26664.823683764538"/>
    <x v="0"/>
    <n v="19.190000000000001"/>
    <b v="1"/>
    <d v="2024-03-17T00:00:00"/>
    <x v="2"/>
    <x v="0"/>
    <n v="35"/>
    <x v="1"/>
    <s v="Credit Card"/>
    <s v="Not Returned"/>
  </r>
  <r>
    <s v="TID_1723"/>
    <x v="9"/>
    <x v="4"/>
    <x v="2"/>
    <x v="1"/>
    <x v="0"/>
    <x v="3"/>
    <n v="6"/>
    <n v="13"/>
    <n v="10"/>
    <n v="9"/>
    <n v="81"/>
    <x v="2"/>
    <n v="150.38"/>
    <n v="12180.78"/>
    <n v="12180.78"/>
    <n v="24330.580563764539"/>
    <x v="0"/>
    <n v="15.52"/>
    <b v="0"/>
    <d v="2023-07-21T00:00:00"/>
    <x v="3"/>
    <x v="1"/>
    <n v="28"/>
    <x v="1"/>
    <s v="Cash"/>
    <s v="Returned"/>
  </r>
  <r>
    <s v="TID_1027"/>
    <x v="2"/>
    <x v="1"/>
    <x v="3"/>
    <x v="2"/>
    <x v="2"/>
    <x v="1"/>
    <n v="3"/>
    <n v="13"/>
    <n v="10"/>
    <n v="10"/>
    <n v="71"/>
    <x v="3"/>
    <n v="169.87"/>
    <n v="12060.77"/>
    <n v="11372.100033000001"/>
    <n v="25139.260530764535"/>
    <x v="1"/>
    <n v="5.71"/>
    <b v="1"/>
    <d v="2024-06-13T00:00:00"/>
    <x v="1"/>
    <x v="0"/>
    <n v="22"/>
    <x v="1"/>
    <s v="Online Payment"/>
    <s v="Not Returned"/>
  </r>
  <r>
    <s v="TID_1043"/>
    <x v="5"/>
    <x v="2"/>
    <x v="0"/>
    <x v="0"/>
    <x v="1"/>
    <x v="0"/>
    <n v="7"/>
    <n v="6"/>
    <n v="6"/>
    <n v="10"/>
    <n v="17"/>
    <x v="6"/>
    <n v="708.63"/>
    <n v="12046.71"/>
    <n v="12046.71"/>
    <n v="24464.650563764539"/>
    <x v="0"/>
    <n v="18.45"/>
    <b v="0"/>
    <d v="2023-11-08T00:00:00"/>
    <x v="0"/>
    <x v="1"/>
    <n v="18"/>
    <x v="1"/>
    <s v="Credit Card"/>
    <s v="Returned"/>
  </r>
  <r>
    <s v="TID_1437"/>
    <x v="1"/>
    <x v="0"/>
    <x v="2"/>
    <x v="0"/>
    <x v="3"/>
    <x v="2"/>
    <n v="5"/>
    <n v="4"/>
    <n v="6"/>
    <n v="10"/>
    <n v="33"/>
    <x v="6"/>
    <n v="363.64"/>
    <n v="12000.12"/>
    <n v="8598.0859799999998"/>
    <n v="27913.274583764538"/>
    <x v="0"/>
    <n v="28.35"/>
    <b v="1"/>
    <d v="2024-07-10T00:00:00"/>
    <x v="3"/>
    <x v="0"/>
    <n v="47"/>
    <x v="2"/>
    <s v="Online Payment"/>
    <s v="Not Returned"/>
  </r>
  <r>
    <s v="TID_875"/>
    <x v="2"/>
    <x v="1"/>
    <x v="0"/>
    <x v="0"/>
    <x v="1"/>
    <x v="0"/>
    <n v="3"/>
    <n v="13"/>
    <n v="6"/>
    <n v="10"/>
    <n v="10"/>
    <x v="6"/>
    <n v="1196.52"/>
    <n v="11965.2"/>
    <n v="11965.2"/>
    <n v="24546.160563764537"/>
    <x v="1"/>
    <n v="21.97"/>
    <b v="0"/>
    <d v="2023-10-06T00:00:00"/>
    <x v="0"/>
    <x v="1"/>
    <n v="64"/>
    <x v="2"/>
    <s v="Debit Card"/>
    <s v="Returned"/>
  </r>
  <r>
    <s v="TID_438"/>
    <x v="4"/>
    <x v="2"/>
    <x v="2"/>
    <x v="2"/>
    <x v="4"/>
    <x v="3"/>
    <n v="6"/>
    <n v="6"/>
    <n v="10"/>
    <n v="9"/>
    <n v="8"/>
    <x v="6"/>
    <n v="1494.33"/>
    <n v="11954.64"/>
    <n v="8952.8298959999993"/>
    <n v="27558.530667764539"/>
    <x v="1"/>
    <n v="25.11"/>
    <b v="1"/>
    <d v="2023-06-26T00:00:00"/>
    <x v="1"/>
    <x v="1"/>
    <n v="27"/>
    <x v="0"/>
    <s v="Online Payment"/>
    <s v="Not Returned"/>
  </r>
  <r>
    <s v="TID_65"/>
    <x v="6"/>
    <x v="1"/>
    <x v="2"/>
    <x v="1"/>
    <x v="4"/>
    <x v="3"/>
    <n v="6"/>
    <n v="13"/>
    <n v="10"/>
    <n v="9"/>
    <n v="64"/>
    <x v="3"/>
    <n v="186.04"/>
    <n v="11906.56"/>
    <n v="8825.142272000001"/>
    <n v="27686.218291764537"/>
    <x v="1"/>
    <n v="25.88"/>
    <b v="1"/>
    <d v="2023-11-29T00:00:00"/>
    <x v="0"/>
    <x v="1"/>
    <n v="34"/>
    <x v="2"/>
    <s v="Cash"/>
    <s v="Not Returned"/>
  </r>
  <r>
    <s v="TID_608"/>
    <x v="1"/>
    <x v="0"/>
    <x v="2"/>
    <x v="0"/>
    <x v="0"/>
    <x v="0"/>
    <n v="5"/>
    <n v="4"/>
    <n v="6"/>
    <n v="10"/>
    <n v="10"/>
    <x v="6"/>
    <n v="1185.81"/>
    <n v="11858.1"/>
    <n v="9490.0374300000003"/>
    <n v="27021.323133764537"/>
    <x v="1"/>
    <n v="19.97"/>
    <b v="1"/>
    <d v="2023-09-04T00:00:00"/>
    <x v="3"/>
    <x v="1"/>
    <n v="62"/>
    <x v="1"/>
    <s v="Credit Card"/>
    <s v="Returned"/>
  </r>
  <r>
    <s v="TID_1604"/>
    <x v="2"/>
    <x v="1"/>
    <x v="2"/>
    <x v="2"/>
    <x v="0"/>
    <x v="3"/>
    <n v="3"/>
    <n v="13"/>
    <n v="10"/>
    <n v="9"/>
    <n v="33"/>
    <x v="6"/>
    <n v="358.93"/>
    <n v="11844.69"/>
    <n v="11844.69"/>
    <n v="24666.670563764535"/>
    <x v="0"/>
    <n v="11.85"/>
    <b v="0"/>
    <d v="2024-03-25T00:00:00"/>
    <x v="2"/>
    <x v="0"/>
    <n v="19"/>
    <x v="0"/>
    <s v="Online Payment"/>
    <s v="Returned"/>
  </r>
  <r>
    <s v="TID_780"/>
    <x v="9"/>
    <x v="4"/>
    <x v="2"/>
    <x v="2"/>
    <x v="3"/>
    <x v="1"/>
    <n v="6"/>
    <n v="13"/>
    <n v="10"/>
    <n v="10"/>
    <n v="81"/>
    <x v="2"/>
    <n v="146.12"/>
    <n v="11835.72"/>
    <n v="11835.72"/>
    <n v="24675.640563764537"/>
    <x v="1"/>
    <n v="1.03"/>
    <b v="0"/>
    <d v="2023-12-16T00:00:00"/>
    <x v="0"/>
    <x v="1"/>
    <n v="49"/>
    <x v="1"/>
    <s v="Debit Card"/>
    <s v="Not Returned"/>
  </r>
  <r>
    <s v="TID_102"/>
    <x v="2"/>
    <x v="1"/>
    <x v="0"/>
    <x v="0"/>
    <x v="2"/>
    <x v="3"/>
    <n v="3"/>
    <n v="13"/>
    <n v="6"/>
    <n v="9"/>
    <n v="12"/>
    <x v="6"/>
    <n v="983.19"/>
    <n v="11798.28"/>
    <n v="11602.428552000001"/>
    <n v="24908.932011764537"/>
    <x v="0"/>
    <n v="1.66"/>
    <b v="1"/>
    <d v="2023-12-27T00:00:00"/>
    <x v="0"/>
    <x v="1"/>
    <n v="37"/>
    <x v="2"/>
    <s v="Cash"/>
    <s v="Not Returned"/>
  </r>
  <r>
    <s v="TID_119"/>
    <x v="3"/>
    <x v="0"/>
    <x v="3"/>
    <x v="1"/>
    <x v="2"/>
    <x v="2"/>
    <n v="5"/>
    <n v="4"/>
    <n v="10"/>
    <n v="10"/>
    <n v="55"/>
    <x v="4"/>
    <n v="214.05"/>
    <n v="11772.75"/>
    <n v="11772.75"/>
    <n v="24738.610563764538"/>
    <x v="0"/>
    <n v="5.17"/>
    <b v="0"/>
    <d v="2024-08-18T00:00:00"/>
    <x v="3"/>
    <x v="0"/>
    <n v="32"/>
    <x v="0"/>
    <s v="Online Payment"/>
    <s v="Not Returned"/>
  </r>
  <r>
    <s v="TID_1059"/>
    <x v="4"/>
    <x v="2"/>
    <x v="2"/>
    <x v="1"/>
    <x v="3"/>
    <x v="0"/>
    <n v="6"/>
    <n v="6"/>
    <n v="10"/>
    <n v="10"/>
    <n v="43"/>
    <x v="5"/>
    <n v="273.05"/>
    <n v="11741.15"/>
    <n v="11365.433199999999"/>
    <n v="25145.927363764538"/>
    <x v="0"/>
    <n v="3.2"/>
    <b v="1"/>
    <d v="2023-02-12T00:00:00"/>
    <x v="2"/>
    <x v="1"/>
    <n v="57"/>
    <x v="1"/>
    <s v="Cash"/>
    <s v="Returned"/>
  </r>
  <r>
    <s v="TID_361"/>
    <x v="5"/>
    <x v="2"/>
    <x v="2"/>
    <x v="0"/>
    <x v="4"/>
    <x v="3"/>
    <n v="7"/>
    <n v="6"/>
    <n v="6"/>
    <n v="9"/>
    <n v="48"/>
    <x v="5"/>
    <n v="244.47"/>
    <n v="11734.56"/>
    <n v="11734.56"/>
    <n v="24776.80056376454"/>
    <x v="0"/>
    <n v="1.96"/>
    <b v="0"/>
    <d v="2024-02-11T00:00:00"/>
    <x v="2"/>
    <x v="0"/>
    <n v="23"/>
    <x v="2"/>
    <s v="Debit Card"/>
    <s v="Not Returned"/>
  </r>
  <r>
    <s v="TID_1351"/>
    <x v="4"/>
    <x v="2"/>
    <x v="0"/>
    <x v="1"/>
    <x v="4"/>
    <x v="2"/>
    <n v="6"/>
    <n v="6"/>
    <n v="10"/>
    <n v="10"/>
    <n v="21"/>
    <x v="6"/>
    <n v="555.34"/>
    <n v="11662.14"/>
    <n v="8235.8032679999997"/>
    <n v="28275.557295764538"/>
    <x v="0"/>
    <n v="29.38"/>
    <b v="1"/>
    <d v="2024-05-13T00:00:00"/>
    <x v="1"/>
    <x v="0"/>
    <n v="43"/>
    <x v="0"/>
    <s v="Cash"/>
    <s v="Returned"/>
  </r>
  <r>
    <s v="TID_1113"/>
    <x v="2"/>
    <x v="1"/>
    <x v="2"/>
    <x v="1"/>
    <x v="0"/>
    <x v="3"/>
    <n v="3"/>
    <n v="13"/>
    <n v="10"/>
    <n v="9"/>
    <n v="56"/>
    <x v="4"/>
    <n v="207.02"/>
    <n v="11593.12"/>
    <n v="11593.12"/>
    <n v="24918.240563764535"/>
    <x v="1"/>
    <n v="21.86"/>
    <b v="0"/>
    <d v="2024-03-04T00:00:00"/>
    <x v="2"/>
    <x v="0"/>
    <n v="20"/>
    <x v="2"/>
    <s v="Online Payment"/>
    <s v="Returned"/>
  </r>
  <r>
    <s v="TID_681"/>
    <x v="6"/>
    <x v="1"/>
    <x v="3"/>
    <x v="2"/>
    <x v="3"/>
    <x v="2"/>
    <n v="6"/>
    <n v="13"/>
    <n v="10"/>
    <n v="10"/>
    <n v="46"/>
    <x v="5"/>
    <n v="251.98"/>
    <n v="11591.08"/>
    <n v="10007.738471999999"/>
    <n v="26503.622091764541"/>
    <x v="0"/>
    <n v="13.66"/>
    <b v="1"/>
    <d v="2023-01-16T00:00:00"/>
    <x v="2"/>
    <x v="1"/>
    <n v="50"/>
    <x v="0"/>
    <s v="Online Payment"/>
    <s v="Returned"/>
  </r>
  <r>
    <s v="TID_280"/>
    <x v="3"/>
    <x v="0"/>
    <x v="3"/>
    <x v="2"/>
    <x v="3"/>
    <x v="2"/>
    <n v="5"/>
    <n v="4"/>
    <n v="10"/>
    <n v="10"/>
    <n v="18"/>
    <x v="6"/>
    <n v="643.38"/>
    <n v="11580.84"/>
    <n v="11580.84"/>
    <n v="24930.520563764538"/>
    <x v="0"/>
    <n v="6.28"/>
    <b v="0"/>
    <d v="2023-03-22T00:00:00"/>
    <x v="2"/>
    <x v="1"/>
    <n v="36"/>
    <x v="2"/>
    <s v="Credit Card"/>
    <s v="Not Returned"/>
  </r>
  <r>
    <s v="TID_986"/>
    <x v="5"/>
    <x v="2"/>
    <x v="1"/>
    <x v="1"/>
    <x v="3"/>
    <x v="1"/>
    <n v="7"/>
    <n v="6"/>
    <n v="10"/>
    <n v="10"/>
    <n v="44"/>
    <x v="5"/>
    <n v="263.02"/>
    <n v="11572.88"/>
    <n v="10563.724864"/>
    <n v="25947.635699764538"/>
    <x v="0"/>
    <n v="8.7200000000000006"/>
    <b v="1"/>
    <d v="2023-02-14T00:00:00"/>
    <x v="2"/>
    <x v="1"/>
    <n v="23"/>
    <x v="2"/>
    <s v="Debit Card"/>
    <s v="Not Returned"/>
  </r>
  <r>
    <s v="TID_242"/>
    <x v="7"/>
    <x v="2"/>
    <x v="2"/>
    <x v="2"/>
    <x v="3"/>
    <x v="1"/>
    <n v="2"/>
    <n v="6"/>
    <n v="10"/>
    <n v="10"/>
    <n v="22"/>
    <x v="6"/>
    <n v="525.27"/>
    <n v="11555.94"/>
    <n v="11555.94"/>
    <n v="24955.420563764535"/>
    <x v="0"/>
    <n v="23.03"/>
    <b v="0"/>
    <d v="2024-07-22T00:00:00"/>
    <x v="3"/>
    <x v="0"/>
    <n v="18"/>
    <x v="2"/>
    <s v="Credit Card"/>
    <s v="Returned"/>
  </r>
  <r>
    <s v="TID_381"/>
    <x v="2"/>
    <x v="1"/>
    <x v="2"/>
    <x v="0"/>
    <x v="0"/>
    <x v="2"/>
    <n v="3"/>
    <n v="13"/>
    <n v="6"/>
    <n v="10"/>
    <n v="11"/>
    <x v="6"/>
    <n v="1049.05"/>
    <n v="11539.55"/>
    <n v="11436.848005"/>
    <n v="25074.512558764538"/>
    <x v="0"/>
    <n v="0.89"/>
    <b v="1"/>
    <d v="2023-10-04T00:00:00"/>
    <x v="0"/>
    <x v="1"/>
    <n v="23"/>
    <x v="1"/>
    <s v="Cash"/>
    <s v="Not Returned"/>
  </r>
  <r>
    <s v="TID_1584"/>
    <x v="4"/>
    <x v="2"/>
    <x v="0"/>
    <x v="2"/>
    <x v="4"/>
    <x v="3"/>
    <n v="6"/>
    <n v="6"/>
    <n v="10"/>
    <n v="9"/>
    <n v="37"/>
    <x v="6"/>
    <n v="311.52"/>
    <n v="11526.24"/>
    <n v="11526.24"/>
    <n v="24985.12056376454"/>
    <x v="0"/>
    <n v="3.68"/>
    <b v="0"/>
    <d v="2023-07-29T00:00:00"/>
    <x v="3"/>
    <x v="1"/>
    <n v="36"/>
    <x v="0"/>
    <s v="Credit Card"/>
    <s v="Not Returned"/>
  </r>
  <r>
    <s v="TID_1042"/>
    <x v="7"/>
    <x v="2"/>
    <x v="2"/>
    <x v="1"/>
    <x v="2"/>
    <x v="1"/>
    <n v="2"/>
    <n v="6"/>
    <n v="10"/>
    <n v="10"/>
    <n v="57"/>
    <x v="4"/>
    <n v="201.91"/>
    <n v="11508.87"/>
    <n v="11280.994374"/>
    <n v="25230.366189764536"/>
    <x v="0"/>
    <n v="1.98"/>
    <b v="1"/>
    <d v="2024-06-07T00:00:00"/>
    <x v="1"/>
    <x v="0"/>
    <n v="60"/>
    <x v="1"/>
    <s v="Online Payment"/>
    <s v="Returned"/>
  </r>
  <r>
    <s v="TID_573"/>
    <x v="5"/>
    <x v="2"/>
    <x v="3"/>
    <x v="0"/>
    <x v="4"/>
    <x v="1"/>
    <n v="7"/>
    <n v="6"/>
    <n v="6"/>
    <n v="10"/>
    <n v="8"/>
    <x v="6"/>
    <n v="1436.56"/>
    <n v="11492.48"/>
    <n v="8780.254719999999"/>
    <n v="27731.105843764541"/>
    <x v="1"/>
    <n v="23.6"/>
    <b v="1"/>
    <d v="2024-01-31T00:00:00"/>
    <x v="2"/>
    <x v="0"/>
    <n v="56"/>
    <x v="0"/>
    <s v="Debit Card"/>
    <s v="Not Returned"/>
  </r>
  <r>
    <s v="TID_360"/>
    <x v="2"/>
    <x v="1"/>
    <x v="1"/>
    <x v="1"/>
    <x v="3"/>
    <x v="2"/>
    <n v="3"/>
    <n v="13"/>
    <n v="10"/>
    <n v="10"/>
    <n v="34"/>
    <x v="6"/>
    <n v="337.14"/>
    <n v="11462.76"/>
    <n v="11462.76"/>
    <n v="25048.600563764536"/>
    <x v="1"/>
    <n v="20.75"/>
    <b v="0"/>
    <d v="2023-11-24T00:00:00"/>
    <x v="0"/>
    <x v="1"/>
    <n v="32"/>
    <x v="2"/>
    <s v="Debit Card"/>
    <s v="Returned"/>
  </r>
  <r>
    <s v="TID_220"/>
    <x v="1"/>
    <x v="0"/>
    <x v="1"/>
    <x v="1"/>
    <x v="0"/>
    <x v="0"/>
    <n v="5"/>
    <n v="4"/>
    <n v="10"/>
    <n v="10"/>
    <n v="26"/>
    <x v="6"/>
    <n v="440.13"/>
    <n v="11443.38"/>
    <n v="9966.0396419999997"/>
    <n v="26545.320921764538"/>
    <x v="1"/>
    <n v="12.91"/>
    <b v="1"/>
    <d v="2024-10-18T00:00:00"/>
    <x v="0"/>
    <x v="0"/>
    <n v="19"/>
    <x v="0"/>
    <s v="Credit Card"/>
    <s v="Not Returned"/>
  </r>
  <r>
    <s v="TID_1105"/>
    <x v="7"/>
    <x v="2"/>
    <x v="0"/>
    <x v="1"/>
    <x v="4"/>
    <x v="3"/>
    <n v="2"/>
    <n v="6"/>
    <n v="10"/>
    <n v="9"/>
    <n v="9"/>
    <x v="6"/>
    <n v="1266.83"/>
    <n v="11401.47"/>
    <n v="10888.403849999999"/>
    <n v="25622.956713764539"/>
    <x v="1"/>
    <n v="4.5"/>
    <b v="1"/>
    <d v="2023-10-08T00:00:00"/>
    <x v="0"/>
    <x v="1"/>
    <n v="53"/>
    <x v="0"/>
    <s v="Credit Card"/>
    <s v="Not Returned"/>
  </r>
  <r>
    <s v="TID_1655"/>
    <x v="9"/>
    <x v="4"/>
    <x v="0"/>
    <x v="0"/>
    <x v="1"/>
    <x v="3"/>
    <n v="6"/>
    <n v="13"/>
    <n v="6"/>
    <n v="9"/>
    <n v="50"/>
    <x v="5"/>
    <n v="225.45"/>
    <n v="11272.5"/>
    <n v="11272.5"/>
    <n v="25238.860563764538"/>
    <x v="0"/>
    <n v="28.55"/>
    <b v="0"/>
    <d v="2023-05-20T00:00:00"/>
    <x v="1"/>
    <x v="1"/>
    <n v="18"/>
    <x v="1"/>
    <s v="Online Payment"/>
    <s v="Not Returned"/>
  </r>
  <r>
    <s v="TID_1883"/>
    <x v="1"/>
    <x v="0"/>
    <x v="2"/>
    <x v="2"/>
    <x v="0"/>
    <x v="1"/>
    <n v="5"/>
    <n v="4"/>
    <n v="10"/>
    <n v="10"/>
    <n v="32"/>
    <x v="6"/>
    <n v="349.8"/>
    <n v="11193.6"/>
    <n v="11193.6"/>
    <n v="25317.760563764539"/>
    <x v="1"/>
    <n v="21.27"/>
    <b v="0"/>
    <d v="2023-10-29T00:00:00"/>
    <x v="0"/>
    <x v="1"/>
    <n v="33"/>
    <x v="0"/>
    <s v="Online Payment"/>
    <s v="Not Returned"/>
  </r>
  <r>
    <s v="TID_591"/>
    <x v="4"/>
    <x v="2"/>
    <x v="0"/>
    <x v="0"/>
    <x v="0"/>
    <x v="1"/>
    <n v="6"/>
    <n v="6"/>
    <n v="6"/>
    <n v="10"/>
    <n v="76"/>
    <x v="3"/>
    <n v="146.38999999999999"/>
    <n v="11125.64"/>
    <n v="9816.1521720000001"/>
    <n v="26695.208391764536"/>
    <x v="1"/>
    <n v="11.77"/>
    <b v="1"/>
    <d v="2023-01-26T00:00:00"/>
    <x v="2"/>
    <x v="1"/>
    <n v="55"/>
    <x v="0"/>
    <s v="Credit Card"/>
    <s v="Not Returned"/>
  </r>
  <r>
    <s v="TID_300"/>
    <x v="0"/>
    <x v="0"/>
    <x v="0"/>
    <x v="2"/>
    <x v="3"/>
    <x v="0"/>
    <n v="5"/>
    <n v="4"/>
    <n v="10"/>
    <n v="10"/>
    <n v="22"/>
    <x v="6"/>
    <n v="503.5"/>
    <n v="11077"/>
    <n v="7881.2855"/>
    <n v="28630.07506376454"/>
    <x v="0"/>
    <n v="28.85"/>
    <b v="1"/>
    <d v="2023-06-13T00:00:00"/>
    <x v="1"/>
    <x v="1"/>
    <n v="38"/>
    <x v="0"/>
    <s v="Credit Card"/>
    <s v="Returned"/>
  </r>
  <r>
    <s v="TID_53"/>
    <x v="5"/>
    <x v="2"/>
    <x v="3"/>
    <x v="2"/>
    <x v="1"/>
    <x v="3"/>
    <n v="7"/>
    <n v="6"/>
    <n v="10"/>
    <n v="9"/>
    <n v="12"/>
    <x v="6"/>
    <n v="919.57"/>
    <n v="11034.84"/>
    <n v="11034.84"/>
    <n v="25476.520563764538"/>
    <x v="0"/>
    <n v="16.809999999999999"/>
    <b v="0"/>
    <d v="2024-09-30T00:00:00"/>
    <x v="3"/>
    <x v="0"/>
    <n v="26"/>
    <x v="0"/>
    <s v="Cash"/>
    <s v="Returned"/>
  </r>
  <r>
    <s v="TID_1550"/>
    <x v="7"/>
    <x v="2"/>
    <x v="3"/>
    <x v="1"/>
    <x v="2"/>
    <x v="3"/>
    <n v="2"/>
    <n v="6"/>
    <n v="10"/>
    <n v="9"/>
    <n v="9"/>
    <x v="6"/>
    <n v="1223.0999999999999"/>
    <n v="11007.9"/>
    <n v="8571.8517299999985"/>
    <n v="27939.508833764539"/>
    <x v="1"/>
    <n v="22.13"/>
    <b v="1"/>
    <d v="2024-08-13T00:00:00"/>
    <x v="3"/>
    <x v="0"/>
    <n v="48"/>
    <x v="2"/>
    <s v="Cash"/>
    <s v="Returned"/>
  </r>
  <r>
    <s v="TID_126"/>
    <x v="5"/>
    <x v="2"/>
    <x v="2"/>
    <x v="1"/>
    <x v="3"/>
    <x v="3"/>
    <n v="7"/>
    <n v="6"/>
    <n v="10"/>
    <n v="9"/>
    <n v="31"/>
    <x v="6"/>
    <n v="353.83"/>
    <n v="10968.73"/>
    <n v="10968.73"/>
    <n v="25542.630563764538"/>
    <x v="1"/>
    <n v="10.91"/>
    <b v="0"/>
    <d v="2023-03-19T00:00:00"/>
    <x v="2"/>
    <x v="1"/>
    <n v="56"/>
    <x v="0"/>
    <s v="Cash"/>
    <s v="Returned"/>
  </r>
  <r>
    <s v="TID_346"/>
    <x v="1"/>
    <x v="0"/>
    <x v="1"/>
    <x v="0"/>
    <x v="4"/>
    <x v="1"/>
    <n v="5"/>
    <n v="4"/>
    <n v="6"/>
    <n v="10"/>
    <n v="10"/>
    <x v="6"/>
    <n v="1096.8699999999999"/>
    <n v="10968.7"/>
    <n v="10968.7"/>
    <n v="25542.660563764537"/>
    <x v="1"/>
    <n v="11.26"/>
    <b v="0"/>
    <d v="2023-10-15T00:00:00"/>
    <x v="0"/>
    <x v="1"/>
    <n v="46"/>
    <x v="1"/>
    <s v="Debit Card"/>
    <s v="Not Returned"/>
  </r>
  <r>
    <s v="TID_229"/>
    <x v="9"/>
    <x v="4"/>
    <x v="2"/>
    <x v="1"/>
    <x v="3"/>
    <x v="2"/>
    <n v="6"/>
    <n v="13"/>
    <n v="10"/>
    <n v="10"/>
    <n v="9"/>
    <x v="6"/>
    <n v="1218.4000000000001"/>
    <n v="10965.6"/>
    <n v="9401.9054400000005"/>
    <n v="27109.455123764536"/>
    <x v="0"/>
    <n v="14.26"/>
    <b v="1"/>
    <d v="2024-07-01T00:00:00"/>
    <x v="3"/>
    <x v="0"/>
    <n v="24"/>
    <x v="2"/>
    <s v="Online Payment"/>
    <s v="Returned"/>
  </r>
  <r>
    <s v="TID_1106"/>
    <x v="6"/>
    <x v="1"/>
    <x v="2"/>
    <x v="0"/>
    <x v="1"/>
    <x v="0"/>
    <n v="6"/>
    <n v="13"/>
    <n v="6"/>
    <n v="10"/>
    <n v="11"/>
    <x v="6"/>
    <n v="996.84"/>
    <n v="10965.24"/>
    <n v="10965.24"/>
    <n v="25546.12056376454"/>
    <x v="1"/>
    <n v="16.86"/>
    <b v="0"/>
    <d v="2023-02-28T00:00:00"/>
    <x v="2"/>
    <x v="1"/>
    <n v="34"/>
    <x v="0"/>
    <s v="Online Payment"/>
    <s v="Returned"/>
  </r>
  <r>
    <s v="TID_503"/>
    <x v="2"/>
    <x v="1"/>
    <x v="3"/>
    <x v="0"/>
    <x v="0"/>
    <x v="0"/>
    <n v="3"/>
    <n v="13"/>
    <n v="6"/>
    <n v="10"/>
    <n v="54"/>
    <x v="4"/>
    <n v="202.83"/>
    <n v="10952.82"/>
    <n v="10952.82"/>
    <n v="25558.540563764538"/>
    <x v="1"/>
    <n v="26.96"/>
    <b v="0"/>
    <d v="2023-03-03T00:00:00"/>
    <x v="2"/>
    <x v="1"/>
    <n v="56"/>
    <x v="0"/>
    <s v="Debit Card"/>
    <s v="Returned"/>
  </r>
  <r>
    <s v="TID_755"/>
    <x v="4"/>
    <x v="2"/>
    <x v="0"/>
    <x v="1"/>
    <x v="0"/>
    <x v="1"/>
    <n v="6"/>
    <n v="6"/>
    <n v="10"/>
    <n v="10"/>
    <n v="36"/>
    <x v="6"/>
    <n v="303.33"/>
    <n v="10919.88"/>
    <n v="10919.88"/>
    <n v="25591.48056376454"/>
    <x v="1"/>
    <n v="23.53"/>
    <b v="0"/>
    <d v="2023-01-23T00:00:00"/>
    <x v="2"/>
    <x v="1"/>
    <n v="18"/>
    <x v="2"/>
    <s v="Debit Card"/>
    <s v="Not Returned"/>
  </r>
  <r>
    <s v="TID_1548"/>
    <x v="0"/>
    <x v="0"/>
    <x v="3"/>
    <x v="2"/>
    <x v="4"/>
    <x v="0"/>
    <n v="5"/>
    <n v="4"/>
    <n v="10"/>
    <n v="10"/>
    <n v="72"/>
    <x v="3"/>
    <n v="150.62"/>
    <n v="10844.64"/>
    <n v="10844.64"/>
    <n v="25666.720563764538"/>
    <x v="0"/>
    <n v="0.03"/>
    <b v="0"/>
    <d v="2023-05-10T00:00:00"/>
    <x v="1"/>
    <x v="1"/>
    <n v="42"/>
    <x v="1"/>
    <s v="Cash"/>
    <s v="Not Returned"/>
  </r>
  <r>
    <s v="TID_448"/>
    <x v="2"/>
    <x v="1"/>
    <x v="0"/>
    <x v="0"/>
    <x v="3"/>
    <x v="1"/>
    <n v="3"/>
    <n v="13"/>
    <n v="6"/>
    <n v="10"/>
    <n v="21"/>
    <x v="6"/>
    <n v="513.83000000000004"/>
    <n v="10790.43"/>
    <n v="8898.8676209999994"/>
    <n v="27612.49294276454"/>
    <x v="1"/>
    <n v="17.53"/>
    <b v="1"/>
    <d v="2024-04-05T00:00:00"/>
    <x v="1"/>
    <x v="0"/>
    <n v="19"/>
    <x v="1"/>
    <s v="Debit Card"/>
    <s v="Returned"/>
  </r>
  <r>
    <s v="TID_714"/>
    <x v="1"/>
    <x v="0"/>
    <x v="1"/>
    <x v="1"/>
    <x v="2"/>
    <x v="2"/>
    <n v="5"/>
    <n v="4"/>
    <n v="10"/>
    <n v="10"/>
    <n v="57"/>
    <x v="4"/>
    <n v="187.62"/>
    <n v="10694.34"/>
    <n v="10694.34"/>
    <n v="25817.020563764538"/>
    <x v="0"/>
    <n v="12.04"/>
    <b v="0"/>
    <d v="2024-09-27T00:00:00"/>
    <x v="3"/>
    <x v="0"/>
    <n v="69"/>
    <x v="0"/>
    <s v="Online Payment"/>
    <s v="Returned"/>
  </r>
  <r>
    <s v="TID_536"/>
    <x v="6"/>
    <x v="1"/>
    <x v="2"/>
    <x v="2"/>
    <x v="1"/>
    <x v="2"/>
    <n v="6"/>
    <n v="13"/>
    <n v="10"/>
    <n v="10"/>
    <n v="14"/>
    <x v="6"/>
    <n v="760.07"/>
    <n v="10640.98"/>
    <n v="10640.98"/>
    <n v="25870.380563764538"/>
    <x v="0"/>
    <n v="2.29"/>
    <b v="0"/>
    <d v="2024-09-09T00:00:00"/>
    <x v="3"/>
    <x v="0"/>
    <n v="21"/>
    <x v="0"/>
    <s v="Cash"/>
    <s v="Returned"/>
  </r>
  <r>
    <s v="TID_392"/>
    <x v="4"/>
    <x v="2"/>
    <x v="1"/>
    <x v="2"/>
    <x v="3"/>
    <x v="1"/>
    <n v="6"/>
    <n v="6"/>
    <n v="10"/>
    <n v="10"/>
    <n v="8"/>
    <x v="6"/>
    <n v="1318.66"/>
    <n v="10549.28"/>
    <n v="10549.28"/>
    <n v="25962.080563764539"/>
    <x v="0"/>
    <n v="10.25"/>
    <b v="0"/>
    <d v="2023-07-13T00:00:00"/>
    <x v="3"/>
    <x v="1"/>
    <n v="47"/>
    <x v="1"/>
    <s v="Debit Card"/>
    <s v="Returned"/>
  </r>
  <r>
    <s v="TID_1191"/>
    <x v="8"/>
    <x v="3"/>
    <x v="3"/>
    <x v="1"/>
    <x v="3"/>
    <x v="2"/>
    <n v="9"/>
    <n v="7"/>
    <n v="10"/>
    <n v="10"/>
    <n v="37"/>
    <x v="6"/>
    <n v="284.32"/>
    <n v="10519.84"/>
    <n v="8826.1457599999994"/>
    <n v="27685.214803764538"/>
    <x v="0"/>
    <n v="16.100000000000001"/>
    <b v="1"/>
    <d v="2024-07-18T00:00:00"/>
    <x v="3"/>
    <x v="0"/>
    <n v="53"/>
    <x v="2"/>
    <s v="Online Payment"/>
    <s v="Not Returned"/>
  </r>
  <r>
    <s v="TID_1517"/>
    <x v="6"/>
    <x v="1"/>
    <x v="3"/>
    <x v="2"/>
    <x v="0"/>
    <x v="0"/>
    <n v="6"/>
    <n v="13"/>
    <n v="10"/>
    <n v="10"/>
    <n v="42"/>
    <x v="5"/>
    <n v="249.76"/>
    <n v="10489.92"/>
    <n v="8910.1380479999989"/>
    <n v="27601.222515764537"/>
    <x v="0"/>
    <n v="15.06"/>
    <b v="1"/>
    <d v="2024-06-05T00:00:00"/>
    <x v="1"/>
    <x v="0"/>
    <n v="65"/>
    <x v="1"/>
    <s v="Debit Card"/>
    <s v="Not Returned"/>
  </r>
  <r>
    <s v="TID_1757"/>
    <x v="4"/>
    <x v="2"/>
    <x v="0"/>
    <x v="0"/>
    <x v="4"/>
    <x v="1"/>
    <n v="6"/>
    <n v="6"/>
    <n v="6"/>
    <n v="10"/>
    <n v="10"/>
    <x v="6"/>
    <n v="1046.69"/>
    <n v="10466.9"/>
    <n v="9728.983549999999"/>
    <n v="26782.377013764541"/>
    <x v="1"/>
    <n v="7.05"/>
    <b v="1"/>
    <d v="2023-07-30T00:00:00"/>
    <x v="3"/>
    <x v="1"/>
    <n v="54"/>
    <x v="1"/>
    <s v="Cash"/>
    <s v="Not Returned"/>
  </r>
  <r>
    <s v="TID_551"/>
    <x v="8"/>
    <x v="3"/>
    <x v="0"/>
    <x v="2"/>
    <x v="0"/>
    <x v="3"/>
    <n v="9"/>
    <n v="7"/>
    <n v="10"/>
    <n v="9"/>
    <n v="8"/>
    <x v="6"/>
    <n v="1301.31"/>
    <n v="10410.48"/>
    <n v="10410.48"/>
    <n v="26100.880563764538"/>
    <x v="1"/>
    <n v="9.91"/>
    <b v="0"/>
    <d v="2023-10-27T00:00:00"/>
    <x v="0"/>
    <x v="1"/>
    <n v="50"/>
    <x v="0"/>
    <s v="Credit Card"/>
    <s v="Not Returned"/>
  </r>
  <r>
    <s v="TID_1589"/>
    <x v="2"/>
    <x v="1"/>
    <x v="2"/>
    <x v="0"/>
    <x v="1"/>
    <x v="0"/>
    <n v="3"/>
    <n v="13"/>
    <n v="6"/>
    <n v="10"/>
    <n v="55"/>
    <x v="4"/>
    <n v="189.21"/>
    <n v="10406.549999999999"/>
    <n v="10406.549999999999"/>
    <n v="26104.810563764539"/>
    <x v="1"/>
    <n v="28.86"/>
    <b v="0"/>
    <d v="2023-02-03T00:00:00"/>
    <x v="2"/>
    <x v="1"/>
    <n v="49"/>
    <x v="1"/>
    <s v="Credit Card"/>
    <s v="Returned"/>
  </r>
  <r>
    <s v="TID_525"/>
    <x v="3"/>
    <x v="0"/>
    <x v="0"/>
    <x v="1"/>
    <x v="4"/>
    <x v="0"/>
    <n v="5"/>
    <n v="4"/>
    <n v="10"/>
    <n v="10"/>
    <n v="45"/>
    <x v="5"/>
    <n v="231.13"/>
    <n v="10400.85"/>
    <n v="8002.41399"/>
    <n v="28508.946573764537"/>
    <x v="1"/>
    <n v="23.06"/>
    <b v="1"/>
    <d v="2023-05-03T00:00:00"/>
    <x v="1"/>
    <x v="1"/>
    <n v="61"/>
    <x v="1"/>
    <s v="Credit Card"/>
    <s v="Not Returned"/>
  </r>
  <r>
    <s v="TID_1643"/>
    <x v="1"/>
    <x v="0"/>
    <x v="2"/>
    <x v="2"/>
    <x v="0"/>
    <x v="2"/>
    <n v="5"/>
    <n v="4"/>
    <n v="10"/>
    <n v="10"/>
    <n v="65"/>
    <x v="3"/>
    <n v="159.97999999999999"/>
    <n v="10398.700000000001"/>
    <n v="10398.700000000001"/>
    <n v="26112.660563764537"/>
    <x v="0"/>
    <n v="15.73"/>
    <b v="0"/>
    <d v="2023-01-31T00:00:00"/>
    <x v="2"/>
    <x v="1"/>
    <n v="33"/>
    <x v="2"/>
    <s v="Credit Card"/>
    <s v="Not Returned"/>
  </r>
  <r>
    <s v="TID_169"/>
    <x v="3"/>
    <x v="0"/>
    <x v="1"/>
    <x v="0"/>
    <x v="0"/>
    <x v="2"/>
    <n v="5"/>
    <n v="4"/>
    <n v="6"/>
    <n v="10"/>
    <n v="20"/>
    <x v="6"/>
    <n v="518.45000000000005"/>
    <n v="10369"/>
    <n v="10369"/>
    <n v="26142.360563764538"/>
    <x v="1"/>
    <n v="6.77"/>
    <b v="0"/>
    <d v="2023-02-22T00:00:00"/>
    <x v="2"/>
    <x v="1"/>
    <n v="55"/>
    <x v="1"/>
    <s v="Debit Card"/>
    <s v="Not Returned"/>
  </r>
  <r>
    <s v="TID_1543"/>
    <x v="4"/>
    <x v="2"/>
    <x v="0"/>
    <x v="2"/>
    <x v="3"/>
    <x v="3"/>
    <n v="6"/>
    <n v="6"/>
    <n v="10"/>
    <n v="9"/>
    <n v="32"/>
    <x v="6"/>
    <n v="323.5"/>
    <n v="10352"/>
    <n v="8846.8191999999999"/>
    <n v="27664.54136376454"/>
    <x v="0"/>
    <n v="14.54"/>
    <b v="1"/>
    <d v="2024-01-07T00:00:00"/>
    <x v="2"/>
    <x v="0"/>
    <n v="27"/>
    <x v="1"/>
    <s v="Credit Card"/>
    <s v="Returned"/>
  </r>
  <r>
    <s v="TID_75"/>
    <x v="1"/>
    <x v="0"/>
    <x v="0"/>
    <x v="2"/>
    <x v="1"/>
    <x v="1"/>
    <n v="5"/>
    <n v="4"/>
    <n v="10"/>
    <n v="10"/>
    <n v="23"/>
    <x v="6"/>
    <n v="449.09"/>
    <n v="10329.07"/>
    <n v="10329.07"/>
    <n v="26182.290563764538"/>
    <x v="0"/>
    <n v="18.12"/>
    <b v="0"/>
    <d v="2024-04-03T00:00:00"/>
    <x v="1"/>
    <x v="0"/>
    <n v="20"/>
    <x v="2"/>
    <s v="Credit Card"/>
    <s v="Returned"/>
  </r>
  <r>
    <s v="TID_227"/>
    <x v="7"/>
    <x v="2"/>
    <x v="0"/>
    <x v="2"/>
    <x v="2"/>
    <x v="3"/>
    <n v="2"/>
    <n v="6"/>
    <n v="10"/>
    <n v="9"/>
    <n v="52"/>
    <x v="4"/>
    <n v="198.28"/>
    <n v="10310.56"/>
    <n v="9288.7835039999991"/>
    <n v="27222.577059764539"/>
    <x v="0"/>
    <n v="9.91"/>
    <b v="1"/>
    <d v="2023-10-22T00:00:00"/>
    <x v="0"/>
    <x v="1"/>
    <n v="20"/>
    <x v="2"/>
    <s v="Debit Card"/>
    <s v="Not Returned"/>
  </r>
  <r>
    <s v="TID_1547"/>
    <x v="7"/>
    <x v="2"/>
    <x v="0"/>
    <x v="1"/>
    <x v="0"/>
    <x v="1"/>
    <n v="2"/>
    <n v="6"/>
    <n v="10"/>
    <n v="10"/>
    <n v="84"/>
    <x v="2"/>
    <n v="122.55"/>
    <n v="10294.200000000001"/>
    <n v="10294.200000000001"/>
    <n v="26217.160563764537"/>
    <x v="0"/>
    <n v="9.0299999999999994"/>
    <b v="0"/>
    <d v="2023-02-22T00:00:00"/>
    <x v="2"/>
    <x v="1"/>
    <n v="35"/>
    <x v="0"/>
    <s v="Debit Card"/>
    <s v="Returned"/>
  </r>
  <r>
    <s v="TID_1689"/>
    <x v="5"/>
    <x v="2"/>
    <x v="3"/>
    <x v="0"/>
    <x v="4"/>
    <x v="3"/>
    <n v="7"/>
    <n v="6"/>
    <n v="6"/>
    <n v="9"/>
    <n v="33"/>
    <x v="6"/>
    <n v="310.2"/>
    <n v="10236.6"/>
    <n v="8401.1776200000004"/>
    <n v="28110.182943764536"/>
    <x v="0"/>
    <n v="17.93"/>
    <b v="1"/>
    <d v="2023-09-15T00:00:00"/>
    <x v="3"/>
    <x v="1"/>
    <n v="22"/>
    <x v="2"/>
    <s v="Cash"/>
    <s v="Returned"/>
  </r>
  <r>
    <s v="TID_558"/>
    <x v="3"/>
    <x v="0"/>
    <x v="0"/>
    <x v="2"/>
    <x v="4"/>
    <x v="1"/>
    <n v="5"/>
    <n v="4"/>
    <n v="10"/>
    <n v="10"/>
    <n v="14"/>
    <x v="6"/>
    <n v="729.79"/>
    <n v="10217.06"/>
    <n v="8315.6651340000008"/>
    <n v="28195.695429764535"/>
    <x v="0"/>
    <n v="18.61"/>
    <b v="1"/>
    <d v="2023-10-05T00:00:00"/>
    <x v="0"/>
    <x v="1"/>
    <n v="43"/>
    <x v="2"/>
    <s v="Cash"/>
    <s v="Not Returned"/>
  </r>
  <r>
    <s v="TID_1192"/>
    <x v="6"/>
    <x v="1"/>
    <x v="1"/>
    <x v="1"/>
    <x v="0"/>
    <x v="1"/>
    <n v="6"/>
    <n v="13"/>
    <n v="10"/>
    <n v="10"/>
    <n v="46"/>
    <x v="5"/>
    <n v="221.61"/>
    <n v="10194.06"/>
    <n v="10194.06"/>
    <n v="26317.30056376454"/>
    <x v="0"/>
    <n v="21.54"/>
    <b v="0"/>
    <d v="2024-08-19T00:00:00"/>
    <x v="3"/>
    <x v="0"/>
    <n v="43"/>
    <x v="0"/>
    <s v="Credit Card"/>
    <s v="Not Returned"/>
  </r>
  <r>
    <s v="TID_1780"/>
    <x v="2"/>
    <x v="1"/>
    <x v="0"/>
    <x v="2"/>
    <x v="2"/>
    <x v="3"/>
    <n v="3"/>
    <n v="13"/>
    <n v="10"/>
    <n v="9"/>
    <n v="71"/>
    <x v="3"/>
    <n v="143.38999999999999"/>
    <n v="10180.69"/>
    <n v="10180.69"/>
    <n v="26330.670563764535"/>
    <x v="0"/>
    <n v="13.66"/>
    <b v="0"/>
    <d v="2023-03-27T00:00:00"/>
    <x v="2"/>
    <x v="1"/>
    <n v="39"/>
    <x v="2"/>
    <s v="Debit Card"/>
    <s v="Returned"/>
  </r>
  <r>
    <s v="TID_1551"/>
    <x v="2"/>
    <x v="1"/>
    <x v="0"/>
    <x v="2"/>
    <x v="1"/>
    <x v="1"/>
    <n v="3"/>
    <n v="13"/>
    <n v="10"/>
    <n v="10"/>
    <n v="25"/>
    <x v="6"/>
    <n v="405.69"/>
    <n v="10142.25"/>
    <n v="9685.8487499999992"/>
    <n v="26825.51181376454"/>
    <x v="1"/>
    <n v="4.5"/>
    <b v="1"/>
    <d v="2023-02-26T00:00:00"/>
    <x v="2"/>
    <x v="1"/>
    <n v="38"/>
    <x v="2"/>
    <s v="Cash"/>
    <s v="Not Returned"/>
  </r>
  <r>
    <s v="TID_1660"/>
    <x v="7"/>
    <x v="2"/>
    <x v="1"/>
    <x v="1"/>
    <x v="3"/>
    <x v="0"/>
    <n v="2"/>
    <n v="6"/>
    <n v="10"/>
    <n v="10"/>
    <n v="16"/>
    <x v="6"/>
    <n v="624.72"/>
    <n v="9995.52"/>
    <n v="8849.033856"/>
    <n v="27662.326707764536"/>
    <x v="0"/>
    <n v="11.47"/>
    <b v="1"/>
    <d v="2024-02-04T00:00:00"/>
    <x v="2"/>
    <x v="0"/>
    <n v="25"/>
    <x v="1"/>
    <s v="Debit Card"/>
    <s v="Not Returned"/>
  </r>
  <r>
    <s v="TID_673"/>
    <x v="4"/>
    <x v="2"/>
    <x v="3"/>
    <x v="0"/>
    <x v="0"/>
    <x v="2"/>
    <n v="6"/>
    <n v="6"/>
    <n v="6"/>
    <n v="10"/>
    <n v="57"/>
    <x v="4"/>
    <n v="175.32"/>
    <n v="9993.24"/>
    <n v="9993.24"/>
    <n v="26518.12056376454"/>
    <x v="1"/>
    <n v="14.31"/>
    <b v="0"/>
    <d v="2023-11-10T00:00:00"/>
    <x v="0"/>
    <x v="1"/>
    <n v="62"/>
    <x v="0"/>
    <s v="Credit Card"/>
    <s v="Returned"/>
  </r>
  <r>
    <s v="TID_1965"/>
    <x v="6"/>
    <x v="1"/>
    <x v="0"/>
    <x v="2"/>
    <x v="3"/>
    <x v="0"/>
    <n v="6"/>
    <n v="13"/>
    <n v="10"/>
    <n v="10"/>
    <n v="91"/>
    <x v="1"/>
    <n v="109.81"/>
    <n v="9992.7099999999991"/>
    <n v="8891.5133580000002"/>
    <n v="27619.847205764538"/>
    <x v="1"/>
    <n v="11.02"/>
    <b v="1"/>
    <d v="2023-07-14T00:00:00"/>
    <x v="3"/>
    <x v="1"/>
    <n v="25"/>
    <x v="1"/>
    <s v="Online Payment"/>
    <s v="Not Returned"/>
  </r>
  <r>
    <s v="TID_1897"/>
    <x v="6"/>
    <x v="1"/>
    <x v="3"/>
    <x v="1"/>
    <x v="0"/>
    <x v="1"/>
    <n v="6"/>
    <n v="13"/>
    <n v="10"/>
    <n v="10"/>
    <n v="38"/>
    <x v="6"/>
    <n v="262.86"/>
    <n v="9988.68"/>
    <n v="9988.68"/>
    <n v="26522.680563764538"/>
    <x v="1"/>
    <n v="23.21"/>
    <b v="0"/>
    <d v="2023-08-01T00:00:00"/>
    <x v="3"/>
    <x v="1"/>
    <n v="23"/>
    <x v="0"/>
    <s v="Debit Card"/>
    <s v="Returned"/>
  </r>
  <r>
    <s v="TID_442"/>
    <x v="6"/>
    <x v="1"/>
    <x v="1"/>
    <x v="0"/>
    <x v="2"/>
    <x v="3"/>
    <n v="6"/>
    <n v="13"/>
    <n v="6"/>
    <n v="9"/>
    <n v="19"/>
    <x v="6"/>
    <n v="525.1"/>
    <n v="9976.9"/>
    <n v="7205.3171799999991"/>
    <n v="29306.04338376454"/>
    <x v="0"/>
    <n v="27.78"/>
    <b v="1"/>
    <d v="2024-07-29T00:00:00"/>
    <x v="3"/>
    <x v="0"/>
    <n v="27"/>
    <x v="2"/>
    <s v="Cash"/>
    <s v="Returned"/>
  </r>
  <r>
    <s v="TID_924"/>
    <x v="0"/>
    <x v="0"/>
    <x v="2"/>
    <x v="2"/>
    <x v="0"/>
    <x v="3"/>
    <n v="5"/>
    <n v="4"/>
    <n v="10"/>
    <n v="9"/>
    <n v="35"/>
    <x v="6"/>
    <n v="282.45999999999998"/>
    <n v="9886.1"/>
    <n v="9886.1"/>
    <n v="26625.260563764539"/>
    <x v="1"/>
    <n v="28.09"/>
    <b v="0"/>
    <d v="2023-05-25T00:00:00"/>
    <x v="1"/>
    <x v="1"/>
    <n v="43"/>
    <x v="2"/>
    <s v="Online Payment"/>
    <s v="Not Returned"/>
  </r>
  <r>
    <s v="TID_1029"/>
    <x v="3"/>
    <x v="0"/>
    <x v="2"/>
    <x v="2"/>
    <x v="4"/>
    <x v="3"/>
    <n v="5"/>
    <n v="4"/>
    <n v="10"/>
    <n v="9"/>
    <n v="31"/>
    <x v="6"/>
    <n v="318.85000000000002"/>
    <n v="9884.35"/>
    <n v="8570.7198850000004"/>
    <n v="27940.640678764539"/>
    <x v="1"/>
    <n v="13.29"/>
    <b v="1"/>
    <d v="2024-02-23T00:00:00"/>
    <x v="2"/>
    <x v="0"/>
    <n v="32"/>
    <x v="2"/>
    <s v="Cash"/>
    <s v="Not Returned"/>
  </r>
  <r>
    <s v="TID_1864"/>
    <x v="2"/>
    <x v="1"/>
    <x v="1"/>
    <x v="0"/>
    <x v="3"/>
    <x v="0"/>
    <n v="3"/>
    <n v="13"/>
    <n v="6"/>
    <n v="10"/>
    <n v="9"/>
    <x v="6"/>
    <n v="1096.3900000000001"/>
    <n v="9867.51"/>
    <n v="8367.6484799999998"/>
    <n v="28143.712083764538"/>
    <x v="0"/>
    <n v="15.2"/>
    <b v="1"/>
    <d v="2024-03-13T00:00:00"/>
    <x v="2"/>
    <x v="0"/>
    <n v="36"/>
    <x v="0"/>
    <s v="Cash"/>
    <s v="Not Returned"/>
  </r>
  <r>
    <s v="TID_1487"/>
    <x v="2"/>
    <x v="1"/>
    <x v="2"/>
    <x v="2"/>
    <x v="2"/>
    <x v="2"/>
    <n v="3"/>
    <n v="13"/>
    <n v="10"/>
    <n v="10"/>
    <n v="69"/>
    <x v="3"/>
    <n v="142.91999999999999"/>
    <n v="9861.48"/>
    <n v="8647.5318119999993"/>
    <n v="27863.828751764537"/>
    <x v="0"/>
    <n v="12.31"/>
    <b v="1"/>
    <d v="2023-11-22T00:00:00"/>
    <x v="0"/>
    <x v="1"/>
    <n v="53"/>
    <x v="2"/>
    <s v="Cash"/>
    <s v="Not Returned"/>
  </r>
  <r>
    <s v="TID_615"/>
    <x v="9"/>
    <x v="4"/>
    <x v="2"/>
    <x v="2"/>
    <x v="3"/>
    <x v="1"/>
    <n v="6"/>
    <n v="13"/>
    <n v="10"/>
    <n v="10"/>
    <n v="84"/>
    <x v="2"/>
    <n v="117.07"/>
    <n v="9833.8799999999992"/>
    <n v="8670.5319959999997"/>
    <n v="27840.82856776454"/>
    <x v="1"/>
    <n v="11.83"/>
    <b v="1"/>
    <d v="2023-09-28T00:00:00"/>
    <x v="3"/>
    <x v="1"/>
    <n v="18"/>
    <x v="1"/>
    <s v="Cash"/>
    <s v="Not Returned"/>
  </r>
  <r>
    <s v="TID_1942"/>
    <x v="8"/>
    <x v="3"/>
    <x v="0"/>
    <x v="2"/>
    <x v="1"/>
    <x v="3"/>
    <n v="9"/>
    <n v="7"/>
    <n v="10"/>
    <n v="9"/>
    <n v="10"/>
    <x v="6"/>
    <n v="978.04"/>
    <n v="9780.4"/>
    <n v="9780.4"/>
    <n v="26730.960563764536"/>
    <x v="1"/>
    <n v="11.67"/>
    <b v="0"/>
    <d v="2023-08-31T00:00:00"/>
    <x v="3"/>
    <x v="1"/>
    <n v="25"/>
    <x v="0"/>
    <s v="Debit Card"/>
    <s v="Returned"/>
  </r>
  <r>
    <s v="TID_230"/>
    <x v="0"/>
    <x v="0"/>
    <x v="0"/>
    <x v="0"/>
    <x v="1"/>
    <x v="2"/>
    <n v="5"/>
    <n v="4"/>
    <n v="6"/>
    <n v="10"/>
    <n v="22"/>
    <x v="6"/>
    <n v="443.51"/>
    <n v="9757.2199999999993"/>
    <n v="7558.918333999999"/>
    <n v="28952.44222976454"/>
    <x v="1"/>
    <n v="22.53"/>
    <b v="1"/>
    <d v="2023-02-06T00:00:00"/>
    <x v="2"/>
    <x v="1"/>
    <n v="53"/>
    <x v="2"/>
    <s v="Online Payment"/>
    <s v="Returned"/>
  </r>
  <r>
    <s v="TID_600"/>
    <x v="2"/>
    <x v="1"/>
    <x v="3"/>
    <x v="0"/>
    <x v="0"/>
    <x v="0"/>
    <n v="3"/>
    <n v="13"/>
    <n v="6"/>
    <n v="10"/>
    <n v="19"/>
    <x v="6"/>
    <n v="511.37"/>
    <n v="9716.0300000000007"/>
    <n v="9716.0300000000007"/>
    <n v="26795.330563764539"/>
    <x v="1"/>
    <n v="4.55"/>
    <b v="0"/>
    <d v="2023-09-24T00:00:00"/>
    <x v="3"/>
    <x v="1"/>
    <n v="67"/>
    <x v="0"/>
    <s v="Cash"/>
    <s v="Returned"/>
  </r>
  <r>
    <s v="TID_716"/>
    <x v="9"/>
    <x v="4"/>
    <x v="0"/>
    <x v="2"/>
    <x v="3"/>
    <x v="3"/>
    <n v="6"/>
    <n v="13"/>
    <n v="10"/>
    <n v="9"/>
    <n v="15"/>
    <x v="6"/>
    <n v="639.58000000000004"/>
    <n v="9593.7000000000007"/>
    <n v="9593.7000000000007"/>
    <n v="26917.660563764537"/>
    <x v="0"/>
    <n v="23.06"/>
    <b v="0"/>
    <d v="2024-08-31T00:00:00"/>
    <x v="3"/>
    <x v="0"/>
    <n v="19"/>
    <x v="1"/>
    <s v="Credit Card"/>
    <s v="Returned"/>
  </r>
  <r>
    <s v="TID_1996"/>
    <x v="7"/>
    <x v="2"/>
    <x v="0"/>
    <x v="0"/>
    <x v="4"/>
    <x v="0"/>
    <n v="2"/>
    <n v="6"/>
    <n v="6"/>
    <n v="10"/>
    <n v="56"/>
    <x v="4"/>
    <n v="170.64"/>
    <n v="9555.84"/>
    <n v="8741.6824320000014"/>
    <n v="27769.678131764536"/>
    <x v="0"/>
    <n v="8.52"/>
    <b v="1"/>
    <d v="2024-10-09T00:00:00"/>
    <x v="0"/>
    <x v="0"/>
    <n v="34"/>
    <x v="2"/>
    <s v="Online Payment"/>
    <s v="Not Returned"/>
  </r>
  <r>
    <s v="TID_273"/>
    <x v="1"/>
    <x v="0"/>
    <x v="1"/>
    <x v="0"/>
    <x v="4"/>
    <x v="3"/>
    <n v="5"/>
    <n v="4"/>
    <n v="6"/>
    <n v="9"/>
    <n v="24"/>
    <x v="6"/>
    <n v="397.58"/>
    <n v="9541.92"/>
    <n v="7977.9993119999999"/>
    <n v="28533.361251764538"/>
    <x v="0"/>
    <n v="16.39"/>
    <b v="1"/>
    <d v="2024-08-17T00:00:00"/>
    <x v="3"/>
    <x v="0"/>
    <n v="29"/>
    <x v="0"/>
    <s v="Debit Card"/>
    <s v="Returned"/>
  </r>
  <r>
    <s v="TID_1753"/>
    <x v="9"/>
    <x v="4"/>
    <x v="2"/>
    <x v="0"/>
    <x v="0"/>
    <x v="1"/>
    <n v="6"/>
    <n v="13"/>
    <n v="6"/>
    <n v="10"/>
    <n v="19"/>
    <x v="6"/>
    <n v="501.49"/>
    <n v="9528.31"/>
    <n v="8472.5732520000001"/>
    <n v="28038.787311764536"/>
    <x v="1"/>
    <n v="11.08"/>
    <b v="1"/>
    <d v="2023-09-03T00:00:00"/>
    <x v="3"/>
    <x v="1"/>
    <n v="45"/>
    <x v="2"/>
    <s v="Debit Card"/>
    <s v="Returned"/>
  </r>
  <r>
    <s v="TID_1133"/>
    <x v="4"/>
    <x v="2"/>
    <x v="2"/>
    <x v="2"/>
    <x v="1"/>
    <x v="2"/>
    <n v="6"/>
    <n v="6"/>
    <n v="10"/>
    <n v="10"/>
    <n v="21"/>
    <x v="6"/>
    <n v="453.17"/>
    <n v="9516.57"/>
    <n v="7771.2310619999998"/>
    <n v="28740.129501764539"/>
    <x v="0"/>
    <n v="18.34"/>
    <b v="1"/>
    <d v="2024-01-01T00:00:00"/>
    <x v="2"/>
    <x v="0"/>
    <n v="26"/>
    <x v="2"/>
    <s v="Online Payment"/>
    <s v="Not Returned"/>
  </r>
  <r>
    <s v="TID_1457"/>
    <x v="1"/>
    <x v="0"/>
    <x v="3"/>
    <x v="2"/>
    <x v="4"/>
    <x v="2"/>
    <n v="5"/>
    <n v="4"/>
    <n v="10"/>
    <n v="10"/>
    <n v="59"/>
    <x v="4"/>
    <n v="161.09"/>
    <n v="9504.31"/>
    <n v="9504.31"/>
    <n v="27007.05056376454"/>
    <x v="0"/>
    <n v="14.26"/>
    <b v="0"/>
    <d v="2023-07-31T00:00:00"/>
    <x v="3"/>
    <x v="1"/>
    <n v="18"/>
    <x v="1"/>
    <s v="Credit Card"/>
    <s v="Not Returned"/>
  </r>
  <r>
    <s v="TID_1605"/>
    <x v="0"/>
    <x v="0"/>
    <x v="3"/>
    <x v="2"/>
    <x v="2"/>
    <x v="1"/>
    <n v="5"/>
    <n v="4"/>
    <n v="10"/>
    <n v="10"/>
    <n v="10"/>
    <x v="6"/>
    <n v="943.33"/>
    <n v="9433.2999999999993"/>
    <n v="9433.2999999999993"/>
    <n v="27078.060563764539"/>
    <x v="0"/>
    <n v="12.72"/>
    <b v="0"/>
    <d v="2023-08-07T00:00:00"/>
    <x v="3"/>
    <x v="1"/>
    <n v="36"/>
    <x v="0"/>
    <s v="Online Payment"/>
    <s v="Returned"/>
  </r>
  <r>
    <s v="TID_1363"/>
    <x v="1"/>
    <x v="0"/>
    <x v="1"/>
    <x v="1"/>
    <x v="3"/>
    <x v="1"/>
    <n v="5"/>
    <n v="4"/>
    <n v="10"/>
    <n v="10"/>
    <n v="79"/>
    <x v="3"/>
    <n v="119.31"/>
    <n v="9425.49"/>
    <n v="7520.5984710000002"/>
    <n v="28990.762092764537"/>
    <x v="0"/>
    <n v="20.21"/>
    <b v="1"/>
    <d v="2024-03-21T00:00:00"/>
    <x v="2"/>
    <x v="0"/>
    <n v="62"/>
    <x v="1"/>
    <s v="Cash"/>
    <s v="Returned"/>
  </r>
  <r>
    <s v="TID_1071"/>
    <x v="0"/>
    <x v="0"/>
    <x v="3"/>
    <x v="2"/>
    <x v="2"/>
    <x v="3"/>
    <n v="5"/>
    <n v="4"/>
    <n v="10"/>
    <n v="9"/>
    <n v="14"/>
    <x v="6"/>
    <n v="671.82"/>
    <n v="9405.48"/>
    <n v="9405.48"/>
    <n v="27105.880563764538"/>
    <x v="0"/>
    <n v="2.4300000000000002"/>
    <b v="0"/>
    <d v="2023-09-06T00:00:00"/>
    <x v="3"/>
    <x v="1"/>
    <n v="28"/>
    <x v="1"/>
    <s v="Online Payment"/>
    <s v="Returned"/>
  </r>
  <r>
    <s v="TID_335"/>
    <x v="9"/>
    <x v="4"/>
    <x v="2"/>
    <x v="2"/>
    <x v="3"/>
    <x v="0"/>
    <n v="6"/>
    <n v="13"/>
    <n v="10"/>
    <n v="10"/>
    <n v="28"/>
    <x v="6"/>
    <n v="335.3"/>
    <n v="9388.4"/>
    <n v="9388.4"/>
    <n v="27122.960563764536"/>
    <x v="0"/>
    <n v="11.88"/>
    <b v="0"/>
    <d v="2023-01-24T00:00:00"/>
    <x v="2"/>
    <x v="1"/>
    <n v="48"/>
    <x v="0"/>
    <s v="Online Payment"/>
    <s v="Not Returned"/>
  </r>
  <r>
    <s v="TID_1141"/>
    <x v="2"/>
    <x v="1"/>
    <x v="0"/>
    <x v="1"/>
    <x v="2"/>
    <x v="3"/>
    <n v="3"/>
    <n v="13"/>
    <n v="10"/>
    <n v="9"/>
    <n v="26"/>
    <x v="6"/>
    <n v="360.67"/>
    <n v="9377.42"/>
    <n v="7571.3289080000004"/>
    <n v="28940.031655764538"/>
    <x v="1"/>
    <n v="19.260000000000002"/>
    <b v="1"/>
    <d v="2024-02-14T00:00:00"/>
    <x v="2"/>
    <x v="0"/>
    <n v="35"/>
    <x v="2"/>
    <s v="Cash"/>
    <s v="Returned"/>
  </r>
  <r>
    <s v="TID_1074"/>
    <x v="8"/>
    <x v="3"/>
    <x v="1"/>
    <x v="2"/>
    <x v="2"/>
    <x v="2"/>
    <n v="9"/>
    <n v="7"/>
    <n v="10"/>
    <n v="10"/>
    <n v="15"/>
    <x v="6"/>
    <n v="623.45000000000005"/>
    <n v="9351.75"/>
    <n v="9351.75"/>
    <n v="27159.610563764538"/>
    <x v="1"/>
    <n v="25.71"/>
    <b v="0"/>
    <d v="2023-08-22T00:00:00"/>
    <x v="3"/>
    <x v="1"/>
    <n v="67"/>
    <x v="0"/>
    <s v="Credit Card"/>
    <s v="Not Returned"/>
  </r>
  <r>
    <s v="TID_803"/>
    <x v="8"/>
    <x v="3"/>
    <x v="3"/>
    <x v="2"/>
    <x v="1"/>
    <x v="1"/>
    <n v="9"/>
    <n v="7"/>
    <n v="10"/>
    <n v="10"/>
    <n v="47"/>
    <x v="5"/>
    <n v="198.23"/>
    <n v="9316.81"/>
    <n v="9316.81"/>
    <n v="27194.55056376454"/>
    <x v="1"/>
    <n v="28.48"/>
    <b v="0"/>
    <d v="2023-11-08T00:00:00"/>
    <x v="0"/>
    <x v="1"/>
    <n v="41"/>
    <x v="2"/>
    <s v="Cash"/>
    <s v="Not Returned"/>
  </r>
  <r>
    <s v="TID_1743"/>
    <x v="4"/>
    <x v="2"/>
    <x v="2"/>
    <x v="2"/>
    <x v="4"/>
    <x v="1"/>
    <n v="6"/>
    <n v="6"/>
    <n v="10"/>
    <n v="10"/>
    <n v="7"/>
    <x v="6"/>
    <n v="1328.5"/>
    <n v="9299.5"/>
    <n v="9299.5"/>
    <n v="27211.860563764538"/>
    <x v="1"/>
    <n v="5.13"/>
    <b v="0"/>
    <d v="2023-12-17T00:00:00"/>
    <x v="0"/>
    <x v="1"/>
    <n v="19"/>
    <x v="2"/>
    <s v="Credit Card"/>
    <s v="Returned"/>
  </r>
  <r>
    <s v="TID_795"/>
    <x v="0"/>
    <x v="0"/>
    <x v="0"/>
    <x v="0"/>
    <x v="2"/>
    <x v="0"/>
    <n v="5"/>
    <n v="4"/>
    <n v="6"/>
    <n v="10"/>
    <n v="14"/>
    <x v="6"/>
    <n v="664.13"/>
    <n v="9297.82"/>
    <n v="8784.5803359999991"/>
    <n v="27726.780227764539"/>
    <x v="0"/>
    <n v="5.52"/>
    <b v="1"/>
    <d v="2024-02-27T00:00:00"/>
    <x v="2"/>
    <x v="0"/>
    <n v="19"/>
    <x v="0"/>
    <s v="Online Payment"/>
    <s v="Not Returned"/>
  </r>
  <r>
    <s v="TID_720"/>
    <x v="5"/>
    <x v="2"/>
    <x v="0"/>
    <x v="1"/>
    <x v="3"/>
    <x v="1"/>
    <n v="7"/>
    <n v="6"/>
    <n v="10"/>
    <n v="10"/>
    <n v="20"/>
    <x v="6"/>
    <n v="463.77"/>
    <n v="9275.4"/>
    <n v="9275.4"/>
    <n v="27235.960563764536"/>
    <x v="0"/>
    <n v="1.26"/>
    <b v="0"/>
    <d v="2024-07-12T00:00:00"/>
    <x v="3"/>
    <x v="0"/>
    <n v="48"/>
    <x v="2"/>
    <s v="Online Payment"/>
    <s v="Returned"/>
  </r>
  <r>
    <s v="TID_853"/>
    <x v="5"/>
    <x v="2"/>
    <x v="2"/>
    <x v="1"/>
    <x v="0"/>
    <x v="0"/>
    <n v="7"/>
    <n v="6"/>
    <n v="10"/>
    <n v="10"/>
    <n v="65"/>
    <x v="3"/>
    <n v="142.22999999999999"/>
    <n v="9244.9500000000007"/>
    <n v="9244.9500000000007"/>
    <n v="27266.410563764537"/>
    <x v="0"/>
    <n v="7.68"/>
    <b v="0"/>
    <d v="2023-03-10T00:00:00"/>
    <x v="2"/>
    <x v="1"/>
    <n v="20"/>
    <x v="0"/>
    <s v="Credit Card"/>
    <s v="Returned"/>
  </r>
  <r>
    <s v="TID_719"/>
    <x v="4"/>
    <x v="2"/>
    <x v="1"/>
    <x v="2"/>
    <x v="0"/>
    <x v="1"/>
    <n v="6"/>
    <n v="6"/>
    <n v="10"/>
    <n v="10"/>
    <n v="30"/>
    <x v="6"/>
    <n v="306.13"/>
    <n v="9183.9"/>
    <n v="9183.9"/>
    <n v="27327.460563764536"/>
    <x v="1"/>
    <n v="6.04"/>
    <b v="0"/>
    <d v="2024-09-11T00:00:00"/>
    <x v="3"/>
    <x v="0"/>
    <n v="38"/>
    <x v="0"/>
    <s v="Credit Card"/>
    <s v="Returned"/>
  </r>
  <r>
    <s v="TID_725"/>
    <x v="2"/>
    <x v="1"/>
    <x v="0"/>
    <x v="2"/>
    <x v="0"/>
    <x v="3"/>
    <n v="3"/>
    <n v="13"/>
    <n v="10"/>
    <n v="9"/>
    <n v="39"/>
    <x v="6"/>
    <n v="234.99"/>
    <n v="9164.61"/>
    <n v="9164.61"/>
    <n v="27346.750563764537"/>
    <x v="1"/>
    <n v="8.76"/>
    <b v="0"/>
    <d v="2024-10-27T00:00:00"/>
    <x v="0"/>
    <x v="0"/>
    <n v="69"/>
    <x v="0"/>
    <s v="Debit Card"/>
    <s v="Returned"/>
  </r>
  <r>
    <s v="TID_1638"/>
    <x v="0"/>
    <x v="0"/>
    <x v="2"/>
    <x v="0"/>
    <x v="1"/>
    <x v="2"/>
    <n v="5"/>
    <n v="4"/>
    <n v="6"/>
    <n v="10"/>
    <n v="59"/>
    <x v="4"/>
    <n v="155.19"/>
    <n v="9156.2099999999991"/>
    <n v="9156.2099999999991"/>
    <n v="27355.150563764539"/>
    <x v="1"/>
    <n v="6.64"/>
    <b v="0"/>
    <d v="2024-07-28T00:00:00"/>
    <x v="3"/>
    <x v="0"/>
    <n v="69"/>
    <x v="0"/>
    <s v="Credit Card"/>
    <s v="Not Returned"/>
  </r>
  <r>
    <s v="TID_691"/>
    <x v="2"/>
    <x v="1"/>
    <x v="0"/>
    <x v="1"/>
    <x v="4"/>
    <x v="2"/>
    <n v="3"/>
    <n v="13"/>
    <n v="10"/>
    <n v="10"/>
    <n v="16"/>
    <x v="6"/>
    <n v="572.24"/>
    <n v="9155.84"/>
    <n v="8230.1845759999997"/>
    <n v="28281.175987764538"/>
    <x v="1"/>
    <n v="10.11"/>
    <b v="1"/>
    <d v="2023-02-24T00:00:00"/>
    <x v="2"/>
    <x v="1"/>
    <n v="34"/>
    <x v="1"/>
    <s v="Credit Card"/>
    <s v="Returned"/>
  </r>
  <r>
    <s v="TID_1353"/>
    <x v="1"/>
    <x v="0"/>
    <x v="0"/>
    <x v="2"/>
    <x v="3"/>
    <x v="2"/>
    <n v="5"/>
    <n v="4"/>
    <n v="10"/>
    <n v="10"/>
    <n v="21"/>
    <x v="6"/>
    <n v="435.55"/>
    <n v="9146.5499999999993"/>
    <n v="9146.5499999999993"/>
    <n v="27364.810563764539"/>
    <x v="0"/>
    <n v="21.23"/>
    <b v="0"/>
    <d v="2024-08-27T00:00:00"/>
    <x v="3"/>
    <x v="0"/>
    <n v="25"/>
    <x v="2"/>
    <s v="Credit Card"/>
    <s v="Not Returned"/>
  </r>
  <r>
    <s v="TID_757"/>
    <x v="2"/>
    <x v="1"/>
    <x v="0"/>
    <x v="0"/>
    <x v="1"/>
    <x v="3"/>
    <n v="3"/>
    <n v="13"/>
    <n v="6"/>
    <n v="9"/>
    <n v="20"/>
    <x v="6"/>
    <n v="457.03"/>
    <n v="9140.6"/>
    <n v="7348.1283400000011"/>
    <n v="29163.232223764535"/>
    <x v="1"/>
    <n v="19.61"/>
    <b v="1"/>
    <d v="2024-08-20T00:00:00"/>
    <x v="3"/>
    <x v="0"/>
    <n v="35"/>
    <x v="2"/>
    <s v="Credit Card"/>
    <s v="Returned"/>
  </r>
  <r>
    <s v="TID_613"/>
    <x v="9"/>
    <x v="4"/>
    <x v="1"/>
    <x v="0"/>
    <x v="4"/>
    <x v="3"/>
    <n v="6"/>
    <n v="13"/>
    <n v="6"/>
    <n v="9"/>
    <n v="97"/>
    <x v="0"/>
    <n v="94.05"/>
    <n v="9122.85"/>
    <n v="9122.85"/>
    <n v="27388.510563764539"/>
    <x v="0"/>
    <n v="7.27"/>
    <b v="0"/>
    <d v="2024-02-10T00:00:00"/>
    <x v="2"/>
    <x v="0"/>
    <n v="24"/>
    <x v="2"/>
    <s v="Debit Card"/>
    <s v="Returned"/>
  </r>
  <r>
    <s v="TID_699"/>
    <x v="6"/>
    <x v="1"/>
    <x v="3"/>
    <x v="1"/>
    <x v="0"/>
    <x v="2"/>
    <n v="6"/>
    <n v="13"/>
    <n v="10"/>
    <n v="10"/>
    <n v="14"/>
    <x v="6"/>
    <n v="650.25"/>
    <n v="9103.5"/>
    <n v="6752.0659500000002"/>
    <n v="29759.294613764538"/>
    <x v="1"/>
    <n v="25.83"/>
    <b v="1"/>
    <d v="2024-02-26T00:00:00"/>
    <x v="2"/>
    <x v="0"/>
    <n v="21"/>
    <x v="0"/>
    <s v="Debit Card"/>
    <s v="Returned"/>
  </r>
  <r>
    <s v="TID_1537"/>
    <x v="6"/>
    <x v="1"/>
    <x v="1"/>
    <x v="0"/>
    <x v="1"/>
    <x v="2"/>
    <n v="6"/>
    <n v="13"/>
    <n v="6"/>
    <n v="10"/>
    <n v="19"/>
    <x v="6"/>
    <n v="478.62"/>
    <n v="9093.7800000000007"/>
    <n v="6996.7543320000004"/>
    <n v="29514.606231764537"/>
    <x v="0"/>
    <n v="23.06"/>
    <b v="1"/>
    <d v="2023-01-13T00:00:00"/>
    <x v="2"/>
    <x v="1"/>
    <n v="54"/>
    <x v="1"/>
    <s v="Cash"/>
    <s v="Not Returned"/>
  </r>
  <r>
    <s v="TID_35"/>
    <x v="3"/>
    <x v="0"/>
    <x v="0"/>
    <x v="0"/>
    <x v="1"/>
    <x v="2"/>
    <n v="5"/>
    <n v="4"/>
    <n v="6"/>
    <n v="10"/>
    <n v="22"/>
    <x v="6"/>
    <n v="412.62"/>
    <n v="9077.64"/>
    <n v="6658.4489400000002"/>
    <n v="29852.911623764536"/>
    <x v="1"/>
    <n v="26.65"/>
    <b v="1"/>
    <d v="2024-05-15T00:00:00"/>
    <x v="1"/>
    <x v="0"/>
    <n v="32"/>
    <x v="0"/>
    <s v="Online Payment"/>
    <s v="Not Returned"/>
  </r>
  <r>
    <s v="TID_928"/>
    <x v="1"/>
    <x v="0"/>
    <x v="2"/>
    <x v="2"/>
    <x v="3"/>
    <x v="1"/>
    <n v="5"/>
    <n v="4"/>
    <n v="10"/>
    <n v="10"/>
    <n v="95"/>
    <x v="1"/>
    <n v="94.62"/>
    <n v="8988.9"/>
    <n v="8988.9"/>
    <n v="27522.460563764536"/>
    <x v="1"/>
    <n v="2.81"/>
    <b v="0"/>
    <d v="2024-02-25T00:00:00"/>
    <x v="2"/>
    <x v="0"/>
    <n v="44"/>
    <x v="1"/>
    <s v="Credit Card"/>
    <s v="Returned"/>
  </r>
  <r>
    <s v="TID_1758"/>
    <x v="5"/>
    <x v="2"/>
    <x v="0"/>
    <x v="1"/>
    <x v="0"/>
    <x v="1"/>
    <n v="7"/>
    <n v="6"/>
    <n v="10"/>
    <n v="10"/>
    <n v="16"/>
    <x v="6"/>
    <n v="561.03"/>
    <n v="8976.48"/>
    <n v="8058.1860959999995"/>
    <n v="28453.17446776454"/>
    <x v="0"/>
    <n v="10.23"/>
    <b v="1"/>
    <d v="2024-01-02T00:00:00"/>
    <x v="2"/>
    <x v="0"/>
    <n v="67"/>
    <x v="2"/>
    <s v="Online Payment"/>
    <s v="Returned"/>
  </r>
  <r>
    <s v="TID_1236"/>
    <x v="8"/>
    <x v="3"/>
    <x v="1"/>
    <x v="1"/>
    <x v="2"/>
    <x v="0"/>
    <n v="9"/>
    <n v="7"/>
    <n v="10"/>
    <n v="10"/>
    <n v="7"/>
    <x v="6"/>
    <n v="1267.6600000000001"/>
    <n v="8873.6200000000008"/>
    <n v="8873.6200000000008"/>
    <n v="27637.740563764535"/>
    <x v="0"/>
    <n v="8.02"/>
    <b v="0"/>
    <d v="2023-07-22T00:00:00"/>
    <x v="3"/>
    <x v="1"/>
    <n v="52"/>
    <x v="0"/>
    <s v="Debit Card"/>
    <s v="Not Returned"/>
  </r>
  <r>
    <s v="TID_1987"/>
    <x v="8"/>
    <x v="3"/>
    <x v="0"/>
    <x v="2"/>
    <x v="4"/>
    <x v="2"/>
    <n v="9"/>
    <n v="7"/>
    <n v="10"/>
    <n v="10"/>
    <n v="18"/>
    <x v="6"/>
    <n v="492.76"/>
    <n v="8869.68"/>
    <n v="7623.4899599999999"/>
    <n v="28887.870603764539"/>
    <x v="0"/>
    <n v="14.05"/>
    <b v="1"/>
    <d v="2024-01-22T00:00:00"/>
    <x v="2"/>
    <x v="0"/>
    <n v="55"/>
    <x v="1"/>
    <s v="Debit Card"/>
    <s v="Returned"/>
  </r>
  <r>
    <s v="TID_241"/>
    <x v="7"/>
    <x v="2"/>
    <x v="3"/>
    <x v="1"/>
    <x v="4"/>
    <x v="0"/>
    <n v="2"/>
    <n v="6"/>
    <n v="10"/>
    <n v="10"/>
    <n v="9"/>
    <x v="6"/>
    <n v="982.02"/>
    <n v="8838.18"/>
    <n v="8118.7521479999996"/>
    <n v="28392.608415764538"/>
    <x v="0"/>
    <n v="8.14"/>
    <b v="1"/>
    <d v="2024-07-13T00:00:00"/>
    <x v="3"/>
    <x v="0"/>
    <n v="67"/>
    <x v="1"/>
    <s v="Credit Card"/>
    <s v="Returned"/>
  </r>
  <r>
    <s v="TID_1366"/>
    <x v="6"/>
    <x v="1"/>
    <x v="3"/>
    <x v="1"/>
    <x v="1"/>
    <x v="0"/>
    <n v="6"/>
    <n v="13"/>
    <n v="10"/>
    <n v="10"/>
    <n v="28"/>
    <x v="6"/>
    <n v="312.73"/>
    <n v="8756.44"/>
    <n v="8756.44"/>
    <n v="27754.920563764535"/>
    <x v="1"/>
    <n v="11.64"/>
    <b v="0"/>
    <d v="2023-06-07T00:00:00"/>
    <x v="1"/>
    <x v="1"/>
    <n v="49"/>
    <x v="1"/>
    <s v="Online Payment"/>
    <s v="Returned"/>
  </r>
  <r>
    <s v="TID_1450"/>
    <x v="2"/>
    <x v="1"/>
    <x v="3"/>
    <x v="1"/>
    <x v="3"/>
    <x v="1"/>
    <n v="3"/>
    <n v="13"/>
    <n v="10"/>
    <n v="10"/>
    <n v="10"/>
    <x v="6"/>
    <n v="871.52"/>
    <n v="8715.2000000000007"/>
    <n v="7268.4768000000004"/>
    <n v="29242.883763764537"/>
    <x v="1"/>
    <n v="16.600000000000001"/>
    <b v="1"/>
    <d v="2023-08-23T00:00:00"/>
    <x v="3"/>
    <x v="1"/>
    <n v="32"/>
    <x v="0"/>
    <s v="Online Payment"/>
    <s v="Not Returned"/>
  </r>
  <r>
    <s v="TID_914"/>
    <x v="1"/>
    <x v="0"/>
    <x v="2"/>
    <x v="1"/>
    <x v="2"/>
    <x v="1"/>
    <n v="5"/>
    <n v="4"/>
    <n v="10"/>
    <n v="10"/>
    <n v="32"/>
    <x v="6"/>
    <n v="271.79000000000002"/>
    <n v="8697.2800000000007"/>
    <n v="7245.7039679999998"/>
    <n v="29265.656595764536"/>
    <x v="1"/>
    <n v="16.690000000000001"/>
    <b v="1"/>
    <d v="2023-01-30T00:00:00"/>
    <x v="2"/>
    <x v="1"/>
    <n v="44"/>
    <x v="0"/>
    <s v="Online Payment"/>
    <s v="Not Returned"/>
  </r>
  <r>
    <s v="TID_1849"/>
    <x v="0"/>
    <x v="0"/>
    <x v="3"/>
    <x v="2"/>
    <x v="1"/>
    <x v="1"/>
    <n v="5"/>
    <n v="4"/>
    <n v="10"/>
    <n v="10"/>
    <n v="66"/>
    <x v="3"/>
    <n v="131.6"/>
    <n v="8685.6"/>
    <n v="8685.6"/>
    <n v="27825.760563764539"/>
    <x v="0"/>
    <n v="8.74"/>
    <b v="0"/>
    <d v="2023-08-05T00:00:00"/>
    <x v="3"/>
    <x v="1"/>
    <n v="41"/>
    <x v="0"/>
    <s v="Cash"/>
    <s v="Returned"/>
  </r>
  <r>
    <s v="TID_103"/>
    <x v="3"/>
    <x v="0"/>
    <x v="1"/>
    <x v="0"/>
    <x v="3"/>
    <x v="2"/>
    <n v="5"/>
    <n v="4"/>
    <n v="6"/>
    <n v="10"/>
    <n v="42"/>
    <x v="5"/>
    <n v="206.71"/>
    <n v="8681.82"/>
    <n v="8681.82"/>
    <n v="27829.540563764538"/>
    <x v="0"/>
    <n v="26.34"/>
    <b v="0"/>
    <d v="2023-03-18T00:00:00"/>
    <x v="2"/>
    <x v="1"/>
    <n v="54"/>
    <x v="1"/>
    <s v="Credit Card"/>
    <s v="Returned"/>
  </r>
  <r>
    <s v="TID_789"/>
    <x v="3"/>
    <x v="0"/>
    <x v="1"/>
    <x v="1"/>
    <x v="3"/>
    <x v="0"/>
    <n v="5"/>
    <n v="4"/>
    <n v="10"/>
    <n v="10"/>
    <n v="9"/>
    <x v="6"/>
    <n v="964.42"/>
    <n v="8679.7800000000007"/>
    <n v="8679.7800000000007"/>
    <n v="27831.580563764539"/>
    <x v="1"/>
    <n v="25.71"/>
    <b v="0"/>
    <d v="2023-06-02T00:00:00"/>
    <x v="1"/>
    <x v="1"/>
    <n v="45"/>
    <x v="0"/>
    <s v="Online Payment"/>
    <s v="Returned"/>
  </r>
  <r>
    <s v="TID_251"/>
    <x v="1"/>
    <x v="0"/>
    <x v="3"/>
    <x v="0"/>
    <x v="1"/>
    <x v="1"/>
    <n v="5"/>
    <n v="4"/>
    <n v="6"/>
    <n v="10"/>
    <n v="7"/>
    <x v="6"/>
    <n v="1239.4000000000001"/>
    <n v="8675.7999999999993"/>
    <n v="8675.7999999999993"/>
    <n v="27835.560563764539"/>
    <x v="1"/>
    <n v="4.67"/>
    <b v="0"/>
    <d v="2023-04-30T00:00:00"/>
    <x v="1"/>
    <x v="1"/>
    <n v="27"/>
    <x v="0"/>
    <s v="Debit Card"/>
    <s v="Returned"/>
  </r>
  <r>
    <s v="TID_900"/>
    <x v="3"/>
    <x v="0"/>
    <x v="3"/>
    <x v="0"/>
    <x v="0"/>
    <x v="1"/>
    <n v="5"/>
    <n v="4"/>
    <n v="6"/>
    <n v="10"/>
    <n v="90"/>
    <x v="2"/>
    <n v="95.85"/>
    <n v="8626.5"/>
    <n v="6990.0529500000002"/>
    <n v="29521.307613764537"/>
    <x v="1"/>
    <n v="18.97"/>
    <b v="1"/>
    <d v="2023-08-24T00:00:00"/>
    <x v="3"/>
    <x v="1"/>
    <n v="59"/>
    <x v="0"/>
    <s v="Online Payment"/>
    <s v="Returned"/>
  </r>
  <r>
    <s v="TID_1995"/>
    <x v="6"/>
    <x v="1"/>
    <x v="0"/>
    <x v="1"/>
    <x v="3"/>
    <x v="0"/>
    <n v="6"/>
    <n v="13"/>
    <n v="10"/>
    <n v="10"/>
    <n v="89"/>
    <x v="2"/>
    <n v="96.49"/>
    <n v="8587.61"/>
    <n v="8587.61"/>
    <n v="27923.750563764537"/>
    <x v="1"/>
    <n v="4.93"/>
    <b v="0"/>
    <d v="2023-01-26T00:00:00"/>
    <x v="2"/>
    <x v="1"/>
    <n v="34"/>
    <x v="0"/>
    <s v="Debit Card"/>
    <s v="Returned"/>
  </r>
  <r>
    <s v="TID_193"/>
    <x v="1"/>
    <x v="0"/>
    <x v="1"/>
    <x v="2"/>
    <x v="4"/>
    <x v="3"/>
    <n v="5"/>
    <n v="4"/>
    <n v="10"/>
    <n v="9"/>
    <n v="65"/>
    <x v="3"/>
    <n v="131.9"/>
    <n v="8573.5"/>
    <n v="8573.5"/>
    <n v="27937.860563764538"/>
    <x v="1"/>
    <n v="21.35"/>
    <b v="0"/>
    <d v="2024-05-07T00:00:00"/>
    <x v="1"/>
    <x v="0"/>
    <n v="65"/>
    <x v="1"/>
    <s v="Online Payment"/>
    <s v="Not Returned"/>
  </r>
  <r>
    <s v="TID_1734"/>
    <x v="5"/>
    <x v="2"/>
    <x v="0"/>
    <x v="0"/>
    <x v="4"/>
    <x v="1"/>
    <n v="7"/>
    <n v="6"/>
    <n v="6"/>
    <n v="10"/>
    <n v="8"/>
    <x v="6"/>
    <n v="1070.72"/>
    <n v="8565.76"/>
    <n v="8565.76"/>
    <n v="27945.600563764536"/>
    <x v="0"/>
    <n v="20.41"/>
    <b v="0"/>
    <d v="2023-12-10T00:00:00"/>
    <x v="0"/>
    <x v="1"/>
    <n v="65"/>
    <x v="0"/>
    <s v="Debit Card"/>
    <s v="Returned"/>
  </r>
  <r>
    <s v="TID_1873"/>
    <x v="4"/>
    <x v="2"/>
    <x v="2"/>
    <x v="1"/>
    <x v="4"/>
    <x v="0"/>
    <n v="6"/>
    <n v="6"/>
    <n v="10"/>
    <n v="10"/>
    <n v="19"/>
    <x v="6"/>
    <n v="448.45"/>
    <n v="8520.5499999999993"/>
    <n v="8520.5499999999993"/>
    <n v="27990.810563764539"/>
    <x v="1"/>
    <n v="16.55"/>
    <b v="0"/>
    <d v="2024-01-03T00:00:00"/>
    <x v="2"/>
    <x v="0"/>
    <n v="38"/>
    <x v="0"/>
    <s v="Debit Card"/>
    <s v="Not Returned"/>
  </r>
  <r>
    <s v="TID_444"/>
    <x v="5"/>
    <x v="2"/>
    <x v="2"/>
    <x v="1"/>
    <x v="0"/>
    <x v="3"/>
    <n v="7"/>
    <n v="6"/>
    <n v="10"/>
    <n v="9"/>
    <n v="11"/>
    <x v="6"/>
    <n v="771.65"/>
    <n v="8488.15"/>
    <n v="8488.15"/>
    <n v="28023.210563764536"/>
    <x v="1"/>
    <n v="20.8"/>
    <b v="0"/>
    <d v="2023-08-02T00:00:00"/>
    <x v="3"/>
    <x v="1"/>
    <n v="63"/>
    <x v="1"/>
    <s v="Cash"/>
    <s v="Returned"/>
  </r>
  <r>
    <s v="TID_1843"/>
    <x v="6"/>
    <x v="1"/>
    <x v="1"/>
    <x v="2"/>
    <x v="2"/>
    <x v="3"/>
    <n v="6"/>
    <n v="13"/>
    <n v="10"/>
    <n v="9"/>
    <n v="19"/>
    <x v="6"/>
    <n v="442.15"/>
    <n v="8400.85"/>
    <n v="5972.1642650000003"/>
    <n v="30539.196298764538"/>
    <x v="1"/>
    <n v="28.91"/>
    <b v="1"/>
    <d v="2023-09-02T00:00:00"/>
    <x v="3"/>
    <x v="1"/>
    <n v="64"/>
    <x v="1"/>
    <s v="Credit Card"/>
    <s v="Returned"/>
  </r>
  <r>
    <s v="TID_1533"/>
    <x v="0"/>
    <x v="0"/>
    <x v="2"/>
    <x v="0"/>
    <x v="4"/>
    <x v="0"/>
    <n v="5"/>
    <n v="4"/>
    <n v="6"/>
    <n v="10"/>
    <n v="13"/>
    <x v="6"/>
    <n v="639.61"/>
    <n v="8314.93"/>
    <n v="6278.6036430000004"/>
    <n v="30232.756920764536"/>
    <x v="1"/>
    <n v="24.49"/>
    <b v="1"/>
    <d v="2024-05-14T00:00:00"/>
    <x v="1"/>
    <x v="0"/>
    <n v="24"/>
    <x v="1"/>
    <s v="Debit Card"/>
    <s v="Returned"/>
  </r>
  <r>
    <s v="TID_899"/>
    <x v="8"/>
    <x v="3"/>
    <x v="3"/>
    <x v="0"/>
    <x v="3"/>
    <x v="0"/>
    <n v="9"/>
    <n v="7"/>
    <n v="6"/>
    <n v="10"/>
    <n v="58"/>
    <x v="4"/>
    <n v="142.61000000000001"/>
    <n v="8271.3799999999992"/>
    <n v="6057.9587119999987"/>
    <n v="30453.401851764538"/>
    <x v="1"/>
    <n v="26.76"/>
    <b v="1"/>
    <d v="2023-01-09T00:00:00"/>
    <x v="2"/>
    <x v="1"/>
    <n v="30"/>
    <x v="2"/>
    <s v="Cash"/>
    <s v="Not Returned"/>
  </r>
  <r>
    <s v="TID_810"/>
    <x v="9"/>
    <x v="4"/>
    <x v="2"/>
    <x v="0"/>
    <x v="0"/>
    <x v="3"/>
    <n v="6"/>
    <n v="13"/>
    <n v="6"/>
    <n v="9"/>
    <n v="15"/>
    <x v="6"/>
    <n v="550.91999999999996"/>
    <n v="8263.7999999999993"/>
    <n v="8263.7999999999993"/>
    <n v="28247.560563764539"/>
    <x v="1"/>
    <n v="4.3899999999999997"/>
    <b v="0"/>
    <d v="2024-06-07T00:00:00"/>
    <x v="1"/>
    <x v="0"/>
    <n v="37"/>
    <x v="0"/>
    <s v="Cash"/>
    <s v="Returned"/>
  </r>
  <r>
    <s v="TID_88"/>
    <x v="2"/>
    <x v="1"/>
    <x v="2"/>
    <x v="0"/>
    <x v="2"/>
    <x v="2"/>
    <n v="3"/>
    <n v="13"/>
    <n v="6"/>
    <n v="10"/>
    <n v="72"/>
    <x v="3"/>
    <n v="114.76"/>
    <n v="8262.7199999999993"/>
    <n v="8262.7199999999993"/>
    <n v="28248.640563764537"/>
    <x v="1"/>
    <n v="3.11"/>
    <b v="0"/>
    <d v="2023-01-31T00:00:00"/>
    <x v="2"/>
    <x v="1"/>
    <n v="21"/>
    <x v="0"/>
    <s v="Debit Card"/>
    <s v="Not Returned"/>
  </r>
  <r>
    <s v="TID_16"/>
    <x v="4"/>
    <x v="2"/>
    <x v="3"/>
    <x v="0"/>
    <x v="3"/>
    <x v="3"/>
    <n v="6"/>
    <n v="6"/>
    <n v="6"/>
    <n v="9"/>
    <n v="81"/>
    <x v="2"/>
    <n v="101.86"/>
    <n v="8250.66"/>
    <n v="7177.2491339999997"/>
    <n v="29334.11142976454"/>
    <x v="0"/>
    <n v="13.01"/>
    <b v="1"/>
    <d v="2023-02-25T00:00:00"/>
    <x v="2"/>
    <x v="1"/>
    <n v="39"/>
    <x v="0"/>
    <s v="Credit Card"/>
    <s v="Not Returned"/>
  </r>
  <r>
    <s v="TID_1618"/>
    <x v="2"/>
    <x v="1"/>
    <x v="1"/>
    <x v="0"/>
    <x v="4"/>
    <x v="2"/>
    <n v="3"/>
    <n v="13"/>
    <n v="6"/>
    <n v="10"/>
    <n v="19"/>
    <x v="6"/>
    <n v="431.45"/>
    <n v="8197.5499999999993"/>
    <n v="8197.5499999999993"/>
    <n v="28313.810563764539"/>
    <x v="0"/>
    <n v="27.52"/>
    <b v="0"/>
    <d v="2024-02-23T00:00:00"/>
    <x v="2"/>
    <x v="0"/>
    <n v="25"/>
    <x v="2"/>
    <s v="Online Payment"/>
    <s v="Not Returned"/>
  </r>
  <r>
    <s v="TID_926"/>
    <x v="0"/>
    <x v="0"/>
    <x v="0"/>
    <x v="0"/>
    <x v="0"/>
    <x v="1"/>
    <n v="5"/>
    <n v="4"/>
    <n v="6"/>
    <n v="10"/>
    <n v="21"/>
    <x v="6"/>
    <n v="388.21"/>
    <n v="8152.41"/>
    <n v="8152.41"/>
    <n v="28358.950563764538"/>
    <x v="1"/>
    <n v="13.17"/>
    <b v="0"/>
    <d v="2023-05-26T00:00:00"/>
    <x v="1"/>
    <x v="1"/>
    <n v="29"/>
    <x v="0"/>
    <s v="Debit Card"/>
    <s v="Returned"/>
  </r>
  <r>
    <s v="TID_1571"/>
    <x v="9"/>
    <x v="4"/>
    <x v="0"/>
    <x v="1"/>
    <x v="0"/>
    <x v="0"/>
    <n v="6"/>
    <n v="13"/>
    <n v="10"/>
    <n v="10"/>
    <n v="8"/>
    <x v="6"/>
    <n v="1013.96"/>
    <n v="8111.68"/>
    <n v="8111.68"/>
    <n v="28399.680563764538"/>
    <x v="1"/>
    <n v="27.73"/>
    <b v="0"/>
    <d v="2024-05-26T00:00:00"/>
    <x v="1"/>
    <x v="0"/>
    <n v="24"/>
    <x v="2"/>
    <s v="Online Payment"/>
    <s v="Not Returned"/>
  </r>
  <r>
    <s v="TID_79"/>
    <x v="2"/>
    <x v="1"/>
    <x v="1"/>
    <x v="1"/>
    <x v="4"/>
    <x v="3"/>
    <n v="3"/>
    <n v="13"/>
    <n v="10"/>
    <n v="9"/>
    <n v="6"/>
    <x v="6"/>
    <n v="1349.93"/>
    <n v="8099.58"/>
    <n v="8099.58"/>
    <n v="28411.780563764536"/>
    <x v="0"/>
    <n v="0.96"/>
    <b v="0"/>
    <d v="2024-04-09T00:00:00"/>
    <x v="1"/>
    <x v="0"/>
    <n v="50"/>
    <x v="0"/>
    <s v="Credit Card"/>
    <s v="Not Returned"/>
  </r>
  <r>
    <s v="TID_1631"/>
    <x v="3"/>
    <x v="0"/>
    <x v="1"/>
    <x v="0"/>
    <x v="3"/>
    <x v="1"/>
    <n v="5"/>
    <n v="4"/>
    <n v="6"/>
    <n v="10"/>
    <n v="33"/>
    <x v="6"/>
    <n v="245.34"/>
    <n v="8096.22"/>
    <n v="8096.22"/>
    <n v="28415.140563764537"/>
    <x v="1"/>
    <n v="27.6"/>
    <b v="0"/>
    <d v="2024-10-16T00:00:00"/>
    <x v="0"/>
    <x v="0"/>
    <n v="38"/>
    <x v="1"/>
    <s v="Credit Card"/>
    <s v="Not Returned"/>
  </r>
  <r>
    <s v="TID_101"/>
    <x v="6"/>
    <x v="1"/>
    <x v="1"/>
    <x v="1"/>
    <x v="0"/>
    <x v="3"/>
    <n v="6"/>
    <n v="13"/>
    <n v="10"/>
    <n v="9"/>
    <n v="11"/>
    <x v="6"/>
    <n v="735.6"/>
    <n v="8091.6"/>
    <n v="7882.8367200000002"/>
    <n v="28628.523843764538"/>
    <x v="1"/>
    <n v="2.58"/>
    <b v="1"/>
    <d v="2024-06-23T00:00:00"/>
    <x v="1"/>
    <x v="0"/>
    <n v="65"/>
    <x v="0"/>
    <s v="Debit Card"/>
    <s v="Returned"/>
  </r>
  <r>
    <s v="TID_1909"/>
    <x v="7"/>
    <x v="2"/>
    <x v="2"/>
    <x v="2"/>
    <x v="4"/>
    <x v="3"/>
    <n v="2"/>
    <n v="6"/>
    <n v="10"/>
    <n v="9"/>
    <n v="15"/>
    <x v="6"/>
    <n v="538.39"/>
    <n v="8075.85"/>
    <n v="8075.85"/>
    <n v="28435.510563764539"/>
    <x v="1"/>
    <n v="2.4300000000000002"/>
    <b v="0"/>
    <d v="2023-02-01T00:00:00"/>
    <x v="2"/>
    <x v="1"/>
    <n v="25"/>
    <x v="2"/>
    <s v="Online Payment"/>
    <s v="Returned"/>
  </r>
  <r>
    <s v="TID_1344"/>
    <x v="6"/>
    <x v="1"/>
    <x v="0"/>
    <x v="0"/>
    <x v="3"/>
    <x v="3"/>
    <n v="6"/>
    <n v="13"/>
    <n v="6"/>
    <n v="9"/>
    <n v="39"/>
    <x v="6"/>
    <n v="206.93"/>
    <n v="8070.27"/>
    <n v="6578.0770770000008"/>
    <n v="29933.283486764536"/>
    <x v="0"/>
    <n v="18.489999999999998"/>
    <b v="1"/>
    <d v="2024-08-03T00:00:00"/>
    <x v="3"/>
    <x v="0"/>
    <n v="29"/>
    <x v="2"/>
    <s v="Online Payment"/>
    <s v="Not Returned"/>
  </r>
  <r>
    <s v="TID_1960"/>
    <x v="1"/>
    <x v="0"/>
    <x v="0"/>
    <x v="0"/>
    <x v="3"/>
    <x v="0"/>
    <n v="5"/>
    <n v="4"/>
    <n v="6"/>
    <n v="10"/>
    <n v="19"/>
    <x v="6"/>
    <n v="422.32"/>
    <n v="8024.08"/>
    <n v="6617.4587759999995"/>
    <n v="29893.901787764538"/>
    <x v="0"/>
    <n v="17.53"/>
    <b v="1"/>
    <d v="2023-01-12T00:00:00"/>
    <x v="2"/>
    <x v="1"/>
    <n v="69"/>
    <x v="1"/>
    <s v="Credit Card"/>
    <s v="Not Returned"/>
  </r>
  <r>
    <s v="TID_654"/>
    <x v="7"/>
    <x v="2"/>
    <x v="2"/>
    <x v="2"/>
    <x v="4"/>
    <x v="3"/>
    <n v="2"/>
    <n v="6"/>
    <n v="10"/>
    <n v="9"/>
    <n v="97"/>
    <x v="0"/>
    <n v="82.7"/>
    <n v="8021.9"/>
    <n v="8021.9"/>
    <n v="28489.460563764536"/>
    <x v="0"/>
    <n v="18.260000000000002"/>
    <b v="0"/>
    <d v="2024-02-20T00:00:00"/>
    <x v="2"/>
    <x v="0"/>
    <n v="43"/>
    <x v="2"/>
    <s v="Cash"/>
    <s v="Not Returned"/>
  </r>
  <r>
    <s v="TID_1634"/>
    <x v="7"/>
    <x v="2"/>
    <x v="3"/>
    <x v="2"/>
    <x v="2"/>
    <x v="3"/>
    <n v="2"/>
    <n v="6"/>
    <n v="10"/>
    <n v="9"/>
    <n v="6"/>
    <x v="6"/>
    <n v="1336.97"/>
    <n v="8021.82"/>
    <n v="8021.82"/>
    <n v="28489.540563764538"/>
    <x v="1"/>
    <n v="29.9"/>
    <b v="0"/>
    <d v="2024-05-14T00:00:00"/>
    <x v="1"/>
    <x v="0"/>
    <n v="65"/>
    <x v="0"/>
    <s v="Debit Card"/>
    <s v="Not Returned"/>
  </r>
  <r>
    <s v="TID_1951"/>
    <x v="0"/>
    <x v="0"/>
    <x v="2"/>
    <x v="1"/>
    <x v="0"/>
    <x v="2"/>
    <n v="5"/>
    <n v="4"/>
    <n v="10"/>
    <n v="10"/>
    <n v="7"/>
    <x v="6"/>
    <n v="1145.3800000000001"/>
    <n v="8017.66"/>
    <n v="6443.7933419999999"/>
    <n v="30067.567221764537"/>
    <x v="0"/>
    <n v="19.63"/>
    <b v="1"/>
    <d v="2024-10-29T00:00:00"/>
    <x v="0"/>
    <x v="0"/>
    <n v="44"/>
    <x v="0"/>
    <s v="Credit Card"/>
    <s v="Returned"/>
  </r>
  <r>
    <s v="TID_823"/>
    <x v="4"/>
    <x v="2"/>
    <x v="1"/>
    <x v="2"/>
    <x v="0"/>
    <x v="0"/>
    <n v="6"/>
    <n v="6"/>
    <n v="10"/>
    <n v="10"/>
    <n v="14"/>
    <x v="6"/>
    <n v="569.30999999999995"/>
    <n v="7970.34"/>
    <n v="7970.34"/>
    <n v="28541.020563764538"/>
    <x v="0"/>
    <n v="26.65"/>
    <b v="0"/>
    <d v="2023-05-22T00:00:00"/>
    <x v="1"/>
    <x v="1"/>
    <n v="34"/>
    <x v="0"/>
    <s v="Cash"/>
    <s v="Returned"/>
  </r>
  <r>
    <s v="TID_2000"/>
    <x v="7"/>
    <x v="2"/>
    <x v="1"/>
    <x v="0"/>
    <x v="0"/>
    <x v="3"/>
    <n v="2"/>
    <n v="6"/>
    <n v="6"/>
    <n v="9"/>
    <n v="97"/>
    <x v="0"/>
    <n v="82.13"/>
    <n v="7966.61"/>
    <n v="7966.61"/>
    <n v="28544.750563764537"/>
    <x v="1"/>
    <n v="11.06"/>
    <b v="0"/>
    <d v="2024-10-13T00:00:00"/>
    <x v="0"/>
    <x v="0"/>
    <n v="39"/>
    <x v="1"/>
    <s v="Credit Card"/>
    <s v="Not Returned"/>
  </r>
  <r>
    <s v="TID_1770"/>
    <x v="1"/>
    <x v="0"/>
    <x v="3"/>
    <x v="1"/>
    <x v="4"/>
    <x v="0"/>
    <n v="5"/>
    <n v="4"/>
    <n v="10"/>
    <n v="10"/>
    <n v="10"/>
    <x v="6"/>
    <n v="790.57"/>
    <n v="7905.7"/>
    <n v="7905.7"/>
    <n v="28605.660563764537"/>
    <x v="1"/>
    <n v="21.69"/>
    <b v="0"/>
    <d v="2023-07-17T00:00:00"/>
    <x v="3"/>
    <x v="1"/>
    <n v="50"/>
    <x v="0"/>
    <s v="Credit Card"/>
    <s v="Returned"/>
  </r>
  <r>
    <s v="TID_1792"/>
    <x v="4"/>
    <x v="2"/>
    <x v="1"/>
    <x v="1"/>
    <x v="1"/>
    <x v="1"/>
    <n v="6"/>
    <n v="6"/>
    <n v="10"/>
    <n v="10"/>
    <n v="29"/>
    <x v="6"/>
    <n v="271.23"/>
    <n v="7865.67"/>
    <n v="5978.6957670000002"/>
    <n v="30532.664796764537"/>
    <x v="0"/>
    <n v="23.99"/>
    <b v="1"/>
    <d v="2024-03-12T00:00:00"/>
    <x v="2"/>
    <x v="0"/>
    <n v="42"/>
    <x v="1"/>
    <s v="Online Payment"/>
    <s v="Not Returned"/>
  </r>
  <r>
    <s v="TID_431"/>
    <x v="5"/>
    <x v="2"/>
    <x v="3"/>
    <x v="1"/>
    <x v="4"/>
    <x v="1"/>
    <n v="7"/>
    <n v="6"/>
    <n v="10"/>
    <n v="10"/>
    <n v="72"/>
    <x v="3"/>
    <n v="108.86"/>
    <n v="7837.92"/>
    <n v="6131.604816"/>
    <n v="30379.755747764539"/>
    <x v="0"/>
    <n v="21.77"/>
    <b v="1"/>
    <d v="2023-07-20T00:00:00"/>
    <x v="3"/>
    <x v="1"/>
    <n v="60"/>
    <x v="1"/>
    <s v="Online Payment"/>
    <s v="Not Returned"/>
  </r>
  <r>
    <s v="TID_656"/>
    <x v="4"/>
    <x v="2"/>
    <x v="0"/>
    <x v="0"/>
    <x v="0"/>
    <x v="3"/>
    <n v="6"/>
    <n v="6"/>
    <n v="6"/>
    <n v="9"/>
    <n v="62"/>
    <x v="3"/>
    <n v="125.99"/>
    <n v="7811.38"/>
    <n v="7811.38"/>
    <n v="28699.980563764537"/>
    <x v="1"/>
    <n v="11.41"/>
    <b v="0"/>
    <d v="2024-04-07T00:00:00"/>
    <x v="1"/>
    <x v="0"/>
    <n v="61"/>
    <x v="2"/>
    <s v="Cash"/>
    <s v="Not Returned"/>
  </r>
  <r>
    <s v="TID_513"/>
    <x v="3"/>
    <x v="0"/>
    <x v="1"/>
    <x v="0"/>
    <x v="1"/>
    <x v="3"/>
    <n v="5"/>
    <n v="4"/>
    <n v="6"/>
    <n v="9"/>
    <n v="37"/>
    <x v="6"/>
    <n v="210.94"/>
    <n v="7804.78"/>
    <n v="7804.78"/>
    <n v="28706.580563764539"/>
    <x v="0"/>
    <n v="0.34"/>
    <b v="0"/>
    <d v="2023-05-11T00:00:00"/>
    <x v="1"/>
    <x v="1"/>
    <n v="26"/>
    <x v="0"/>
    <s v="Online Payment"/>
    <s v="Returned"/>
  </r>
  <r>
    <s v="TID_1299"/>
    <x v="3"/>
    <x v="0"/>
    <x v="0"/>
    <x v="0"/>
    <x v="3"/>
    <x v="1"/>
    <n v="5"/>
    <n v="4"/>
    <n v="6"/>
    <n v="10"/>
    <n v="9"/>
    <x v="6"/>
    <n v="865.64"/>
    <n v="7790.76"/>
    <n v="7109.8475760000001"/>
    <n v="29401.512987764538"/>
    <x v="1"/>
    <n v="8.74"/>
    <b v="1"/>
    <d v="2024-03-11T00:00:00"/>
    <x v="2"/>
    <x v="0"/>
    <n v="61"/>
    <x v="2"/>
    <s v="Debit Card"/>
    <s v="Returned"/>
  </r>
  <r>
    <s v="TID_1563"/>
    <x v="4"/>
    <x v="2"/>
    <x v="2"/>
    <x v="2"/>
    <x v="1"/>
    <x v="1"/>
    <n v="6"/>
    <n v="6"/>
    <n v="10"/>
    <n v="10"/>
    <n v="84"/>
    <x v="2"/>
    <n v="92.74"/>
    <n v="7790.16"/>
    <n v="6638.7743520000004"/>
    <n v="29872.586211764537"/>
    <x v="1"/>
    <n v="14.78"/>
    <b v="1"/>
    <d v="2024-02-02T00:00:00"/>
    <x v="2"/>
    <x v="0"/>
    <n v="46"/>
    <x v="0"/>
    <s v="Cash"/>
    <s v="Returned"/>
  </r>
  <r>
    <s v="TID_465"/>
    <x v="9"/>
    <x v="4"/>
    <x v="2"/>
    <x v="0"/>
    <x v="0"/>
    <x v="1"/>
    <n v="6"/>
    <n v="13"/>
    <n v="6"/>
    <n v="10"/>
    <n v="90"/>
    <x v="2"/>
    <n v="86.45"/>
    <n v="7780.5"/>
    <n v="7780.5"/>
    <n v="28730.860563764538"/>
    <x v="0"/>
    <n v="3.51"/>
    <b v="0"/>
    <d v="2023-02-05T00:00:00"/>
    <x v="2"/>
    <x v="1"/>
    <n v="43"/>
    <x v="2"/>
    <s v="Credit Card"/>
    <s v="Returned"/>
  </r>
  <r>
    <s v="TID_31"/>
    <x v="0"/>
    <x v="0"/>
    <x v="1"/>
    <x v="2"/>
    <x v="4"/>
    <x v="0"/>
    <n v="5"/>
    <n v="4"/>
    <n v="10"/>
    <n v="10"/>
    <n v="79"/>
    <x v="3"/>
    <n v="98.32"/>
    <n v="7767.28"/>
    <n v="5757.1079360000003"/>
    <n v="30754.252627764537"/>
    <x v="1"/>
    <n v="25.88"/>
    <b v="1"/>
    <d v="2023-02-20T00:00:00"/>
    <x v="2"/>
    <x v="1"/>
    <n v="39"/>
    <x v="1"/>
    <s v="Online Payment"/>
    <s v="Returned"/>
  </r>
  <r>
    <s v="TID_1355"/>
    <x v="9"/>
    <x v="4"/>
    <x v="1"/>
    <x v="2"/>
    <x v="1"/>
    <x v="0"/>
    <n v="6"/>
    <n v="13"/>
    <n v="10"/>
    <n v="10"/>
    <n v="82"/>
    <x v="2"/>
    <n v="93.93"/>
    <n v="7702.26"/>
    <n v="7702.26"/>
    <n v="28809.100563764536"/>
    <x v="0"/>
    <n v="24.51"/>
    <b v="0"/>
    <d v="2023-05-28T00:00:00"/>
    <x v="1"/>
    <x v="1"/>
    <n v="50"/>
    <x v="0"/>
    <s v="Debit Card"/>
    <s v="Not Returned"/>
  </r>
  <r>
    <s v="TID_113"/>
    <x v="4"/>
    <x v="2"/>
    <x v="3"/>
    <x v="1"/>
    <x v="0"/>
    <x v="1"/>
    <n v="6"/>
    <n v="6"/>
    <n v="10"/>
    <n v="10"/>
    <n v="41"/>
    <x v="5"/>
    <n v="187.68"/>
    <n v="7694.88"/>
    <n v="5926.5965759999999"/>
    <n v="30584.763987764538"/>
    <x v="0"/>
    <n v="22.98"/>
    <b v="1"/>
    <d v="2023-07-04T00:00:00"/>
    <x v="3"/>
    <x v="1"/>
    <n v="41"/>
    <x v="0"/>
    <s v="Cash"/>
    <s v="Returned"/>
  </r>
  <r>
    <s v="TID_1993"/>
    <x v="0"/>
    <x v="0"/>
    <x v="3"/>
    <x v="1"/>
    <x v="4"/>
    <x v="0"/>
    <n v="5"/>
    <n v="4"/>
    <n v="10"/>
    <n v="10"/>
    <n v="18"/>
    <x v="6"/>
    <n v="426.35"/>
    <n v="7674.3"/>
    <n v="7674.3"/>
    <n v="28837.060563764539"/>
    <x v="1"/>
    <n v="5.0599999999999996"/>
    <b v="0"/>
    <d v="2023-04-27T00:00:00"/>
    <x v="1"/>
    <x v="1"/>
    <n v="57"/>
    <x v="1"/>
    <s v="Debit Card"/>
    <s v="Returned"/>
  </r>
  <r>
    <s v="TID_1751"/>
    <x v="7"/>
    <x v="2"/>
    <x v="2"/>
    <x v="0"/>
    <x v="4"/>
    <x v="2"/>
    <n v="2"/>
    <n v="6"/>
    <n v="6"/>
    <n v="10"/>
    <n v="6"/>
    <x v="6"/>
    <n v="1272.73"/>
    <n v="7636.38"/>
    <n v="5714.3031540000002"/>
    <n v="30797.057409764537"/>
    <x v="0"/>
    <n v="25.17"/>
    <b v="1"/>
    <d v="2024-04-28T00:00:00"/>
    <x v="1"/>
    <x v="0"/>
    <n v="58"/>
    <x v="1"/>
    <s v="Credit Card"/>
    <s v="Returned"/>
  </r>
  <r>
    <s v="TID_529"/>
    <x v="9"/>
    <x v="4"/>
    <x v="2"/>
    <x v="2"/>
    <x v="3"/>
    <x v="2"/>
    <n v="6"/>
    <n v="13"/>
    <n v="10"/>
    <n v="10"/>
    <n v="66"/>
    <x v="3"/>
    <n v="115.38"/>
    <n v="7615.08"/>
    <n v="5900.1639840000007"/>
    <n v="30611.196579764539"/>
    <x v="1"/>
    <n v="22.52"/>
    <b v="1"/>
    <d v="2023-03-24T00:00:00"/>
    <x v="2"/>
    <x v="1"/>
    <n v="39"/>
    <x v="0"/>
    <s v="Credit Card"/>
    <s v="Not Returned"/>
  </r>
  <r>
    <s v="TID_1070"/>
    <x v="5"/>
    <x v="2"/>
    <x v="0"/>
    <x v="2"/>
    <x v="4"/>
    <x v="0"/>
    <n v="7"/>
    <n v="6"/>
    <n v="10"/>
    <n v="10"/>
    <n v="55"/>
    <x v="4"/>
    <n v="138.32"/>
    <n v="7607.6"/>
    <n v="7162.5554000000002"/>
    <n v="29348.805163764537"/>
    <x v="0"/>
    <n v="5.85"/>
    <b v="1"/>
    <d v="2024-08-08T00:00:00"/>
    <x v="3"/>
    <x v="0"/>
    <n v="48"/>
    <x v="2"/>
    <s v="Debit Card"/>
    <s v="Not Returned"/>
  </r>
  <r>
    <s v="TID_742"/>
    <x v="1"/>
    <x v="0"/>
    <x v="1"/>
    <x v="2"/>
    <x v="1"/>
    <x v="1"/>
    <n v="5"/>
    <n v="4"/>
    <n v="10"/>
    <n v="10"/>
    <n v="18"/>
    <x v="6"/>
    <n v="422.64"/>
    <n v="7607.52"/>
    <n v="7607.52"/>
    <n v="28903.840563764537"/>
    <x v="1"/>
    <n v="8.33"/>
    <b v="0"/>
    <d v="2024-08-06T00:00:00"/>
    <x v="3"/>
    <x v="0"/>
    <n v="40"/>
    <x v="1"/>
    <s v="Online Payment"/>
    <s v="Not Returned"/>
  </r>
  <r>
    <s v="TID_1116"/>
    <x v="7"/>
    <x v="2"/>
    <x v="1"/>
    <x v="0"/>
    <x v="0"/>
    <x v="3"/>
    <n v="2"/>
    <n v="6"/>
    <n v="6"/>
    <n v="9"/>
    <n v="37"/>
    <x v="6"/>
    <n v="205.59"/>
    <n v="7606.83"/>
    <n v="6826.3692419999998"/>
    <n v="29684.991321764537"/>
    <x v="1"/>
    <n v="10.26"/>
    <b v="1"/>
    <d v="2023-12-13T00:00:00"/>
    <x v="0"/>
    <x v="1"/>
    <n v="69"/>
    <x v="2"/>
    <s v="Cash"/>
    <s v="Returned"/>
  </r>
  <r>
    <s v="TID_117"/>
    <x v="9"/>
    <x v="4"/>
    <x v="2"/>
    <x v="0"/>
    <x v="3"/>
    <x v="2"/>
    <n v="6"/>
    <n v="13"/>
    <n v="6"/>
    <n v="10"/>
    <n v="73"/>
    <x v="3"/>
    <n v="104.16"/>
    <n v="7603.68"/>
    <n v="7484.302224"/>
    <n v="29027.058339764539"/>
    <x v="0"/>
    <n v="1.57"/>
    <b v="1"/>
    <d v="2024-01-07T00:00:00"/>
    <x v="2"/>
    <x v="0"/>
    <n v="42"/>
    <x v="1"/>
    <s v="Online Payment"/>
    <s v="Returned"/>
  </r>
  <r>
    <s v="TID_704"/>
    <x v="8"/>
    <x v="3"/>
    <x v="1"/>
    <x v="2"/>
    <x v="1"/>
    <x v="2"/>
    <n v="9"/>
    <n v="7"/>
    <n v="10"/>
    <n v="10"/>
    <n v="10"/>
    <x v="6"/>
    <n v="759.24"/>
    <n v="7592.4"/>
    <n v="5543.970479999999"/>
    <n v="30967.390083764538"/>
    <x v="1"/>
    <n v="26.98"/>
    <b v="1"/>
    <d v="2023-06-10T00:00:00"/>
    <x v="1"/>
    <x v="1"/>
    <n v="46"/>
    <x v="0"/>
    <s v="Online Payment"/>
    <s v="Returned"/>
  </r>
  <r>
    <s v="TID_1690"/>
    <x v="4"/>
    <x v="2"/>
    <x v="1"/>
    <x v="2"/>
    <x v="3"/>
    <x v="3"/>
    <n v="6"/>
    <n v="6"/>
    <n v="10"/>
    <n v="9"/>
    <n v="86"/>
    <x v="2"/>
    <n v="86.86"/>
    <n v="7469.96"/>
    <n v="7151.7397040000005"/>
    <n v="29359.620859764538"/>
    <x v="0"/>
    <n v="4.26"/>
    <b v="1"/>
    <d v="2024-04-23T00:00:00"/>
    <x v="1"/>
    <x v="0"/>
    <n v="36"/>
    <x v="2"/>
    <s v="Credit Card"/>
    <s v="Not Returned"/>
  </r>
  <r>
    <s v="TID_1156"/>
    <x v="3"/>
    <x v="0"/>
    <x v="1"/>
    <x v="0"/>
    <x v="1"/>
    <x v="1"/>
    <n v="5"/>
    <n v="4"/>
    <n v="6"/>
    <n v="10"/>
    <n v="12"/>
    <x v="6"/>
    <n v="621.27"/>
    <n v="7455.24"/>
    <n v="7455.24"/>
    <n v="29056.12056376454"/>
    <x v="1"/>
    <n v="26.07"/>
    <b v="0"/>
    <d v="2024-03-20T00:00:00"/>
    <x v="2"/>
    <x v="0"/>
    <n v="69"/>
    <x v="2"/>
    <s v="Debit Card"/>
    <s v="Returned"/>
  </r>
  <r>
    <s v="TID_1940"/>
    <x v="8"/>
    <x v="3"/>
    <x v="1"/>
    <x v="2"/>
    <x v="4"/>
    <x v="3"/>
    <n v="9"/>
    <n v="7"/>
    <n v="10"/>
    <n v="9"/>
    <n v="45"/>
    <x v="5"/>
    <n v="165.5"/>
    <n v="7447.5"/>
    <n v="7447.5"/>
    <n v="29063.860563764538"/>
    <x v="0"/>
    <n v="24.31"/>
    <b v="0"/>
    <d v="2024-09-01T00:00:00"/>
    <x v="3"/>
    <x v="0"/>
    <n v="66"/>
    <x v="1"/>
    <s v="Debit Card"/>
    <s v="Returned"/>
  </r>
  <r>
    <s v="TID_736"/>
    <x v="3"/>
    <x v="0"/>
    <x v="2"/>
    <x v="2"/>
    <x v="0"/>
    <x v="0"/>
    <n v="5"/>
    <n v="4"/>
    <n v="10"/>
    <n v="10"/>
    <n v="51"/>
    <x v="4"/>
    <n v="145.55000000000001"/>
    <n v="7423.05"/>
    <n v="6525.603255"/>
    <n v="29985.757308764536"/>
    <x v="0"/>
    <n v="12.09"/>
    <b v="1"/>
    <d v="2023-08-01T00:00:00"/>
    <x v="3"/>
    <x v="1"/>
    <n v="57"/>
    <x v="1"/>
    <s v="Debit Card"/>
    <s v="Returned"/>
  </r>
  <r>
    <s v="TID_1315"/>
    <x v="5"/>
    <x v="2"/>
    <x v="3"/>
    <x v="2"/>
    <x v="3"/>
    <x v="3"/>
    <n v="7"/>
    <n v="6"/>
    <n v="10"/>
    <n v="9"/>
    <n v="7"/>
    <x v="6"/>
    <n v="1049.93"/>
    <n v="7349.51"/>
    <n v="6489.61733"/>
    <n v="30021.743233764537"/>
    <x v="0"/>
    <n v="11.7"/>
    <b v="1"/>
    <d v="2024-06-09T00:00:00"/>
    <x v="1"/>
    <x v="0"/>
    <n v="43"/>
    <x v="0"/>
    <s v="Credit Card"/>
    <s v="Returned"/>
  </r>
  <r>
    <s v="TID_1414"/>
    <x v="7"/>
    <x v="2"/>
    <x v="3"/>
    <x v="0"/>
    <x v="2"/>
    <x v="2"/>
    <n v="2"/>
    <n v="6"/>
    <n v="6"/>
    <n v="10"/>
    <n v="38"/>
    <x v="6"/>
    <n v="192.88"/>
    <n v="7329.44"/>
    <n v="7329.44"/>
    <n v="29181.920563764539"/>
    <x v="1"/>
    <n v="12.53"/>
    <b v="0"/>
    <d v="2024-06-18T00:00:00"/>
    <x v="1"/>
    <x v="0"/>
    <n v="53"/>
    <x v="1"/>
    <s v="Credit Card"/>
    <s v="Returned"/>
  </r>
  <r>
    <s v="TID_391"/>
    <x v="0"/>
    <x v="0"/>
    <x v="2"/>
    <x v="0"/>
    <x v="4"/>
    <x v="2"/>
    <n v="5"/>
    <n v="4"/>
    <n v="6"/>
    <n v="10"/>
    <n v="10"/>
    <x v="6"/>
    <n v="728"/>
    <n v="7280"/>
    <n v="7280"/>
    <n v="29231.360563764538"/>
    <x v="0"/>
    <n v="16.39"/>
    <b v="0"/>
    <d v="2023-07-03T00:00:00"/>
    <x v="3"/>
    <x v="1"/>
    <n v="56"/>
    <x v="0"/>
    <s v="Debit Card"/>
    <s v="Not Returned"/>
  </r>
  <r>
    <s v="TID_1901"/>
    <x v="8"/>
    <x v="3"/>
    <x v="3"/>
    <x v="2"/>
    <x v="4"/>
    <x v="2"/>
    <n v="9"/>
    <n v="7"/>
    <n v="10"/>
    <n v="10"/>
    <n v="46"/>
    <x v="5"/>
    <n v="156.69"/>
    <n v="7207.74"/>
    <n v="7005.2025059999996"/>
    <n v="29506.158057764536"/>
    <x v="0"/>
    <n v="2.81"/>
    <b v="1"/>
    <d v="2023-11-16T00:00:00"/>
    <x v="0"/>
    <x v="1"/>
    <n v="30"/>
    <x v="0"/>
    <s v="Online Payment"/>
    <s v="Not Returned"/>
  </r>
  <r>
    <s v="TID_1595"/>
    <x v="0"/>
    <x v="0"/>
    <x v="1"/>
    <x v="0"/>
    <x v="2"/>
    <x v="1"/>
    <n v="5"/>
    <n v="4"/>
    <n v="6"/>
    <n v="10"/>
    <n v="57"/>
    <x v="4"/>
    <n v="126.33"/>
    <n v="7200.81"/>
    <n v="6989.1061860000009"/>
    <n v="29522.254377764537"/>
    <x v="0"/>
    <n v="2.94"/>
    <b v="1"/>
    <d v="2023-05-05T00:00:00"/>
    <x v="1"/>
    <x v="1"/>
    <n v="67"/>
    <x v="1"/>
    <s v="Credit Card"/>
    <s v="Returned"/>
  </r>
  <r>
    <s v="TID_1876"/>
    <x v="2"/>
    <x v="1"/>
    <x v="0"/>
    <x v="2"/>
    <x v="2"/>
    <x v="2"/>
    <n v="3"/>
    <n v="13"/>
    <n v="10"/>
    <n v="10"/>
    <n v="14"/>
    <x v="6"/>
    <n v="512.66"/>
    <n v="7177.24"/>
    <n v="5385.8008959999997"/>
    <n v="31125.559667764537"/>
    <x v="1"/>
    <n v="24.96"/>
    <b v="1"/>
    <d v="2024-01-10T00:00:00"/>
    <x v="2"/>
    <x v="0"/>
    <n v="58"/>
    <x v="1"/>
    <s v="Debit Card"/>
    <s v="Returned"/>
  </r>
  <r>
    <s v="TID_1256"/>
    <x v="4"/>
    <x v="2"/>
    <x v="0"/>
    <x v="2"/>
    <x v="1"/>
    <x v="1"/>
    <n v="6"/>
    <n v="6"/>
    <n v="10"/>
    <n v="10"/>
    <n v="35"/>
    <x v="6"/>
    <n v="204.98"/>
    <n v="7174.3"/>
    <n v="7174.3"/>
    <n v="29337.060563764539"/>
    <x v="0"/>
    <n v="8.23"/>
    <b v="0"/>
    <d v="2024-09-11T00:00:00"/>
    <x v="3"/>
    <x v="0"/>
    <n v="20"/>
    <x v="1"/>
    <s v="Online Payment"/>
    <s v="Returned"/>
  </r>
  <r>
    <s v="TID_1013"/>
    <x v="8"/>
    <x v="3"/>
    <x v="2"/>
    <x v="1"/>
    <x v="2"/>
    <x v="3"/>
    <n v="9"/>
    <n v="7"/>
    <n v="10"/>
    <n v="9"/>
    <n v="8"/>
    <x v="6"/>
    <n v="895.96"/>
    <n v="7167.68"/>
    <n v="7167.68"/>
    <n v="29343.680563764538"/>
    <x v="1"/>
    <n v="27.63"/>
    <b v="0"/>
    <d v="2024-07-12T00:00:00"/>
    <x v="3"/>
    <x v="0"/>
    <n v="30"/>
    <x v="2"/>
    <s v="Online Payment"/>
    <s v="Not Returned"/>
  </r>
  <r>
    <s v="TID_1664"/>
    <x v="5"/>
    <x v="2"/>
    <x v="2"/>
    <x v="0"/>
    <x v="0"/>
    <x v="1"/>
    <n v="7"/>
    <n v="6"/>
    <n v="6"/>
    <n v="10"/>
    <n v="7"/>
    <x v="6"/>
    <n v="1022.94"/>
    <n v="7160.58"/>
    <n v="7036.7019659999996"/>
    <n v="29474.658597764537"/>
    <x v="0"/>
    <n v="1.73"/>
    <b v="1"/>
    <d v="2023-05-29T00:00:00"/>
    <x v="1"/>
    <x v="1"/>
    <n v="60"/>
    <x v="1"/>
    <s v="Cash"/>
    <s v="Returned"/>
  </r>
  <r>
    <s v="TID_1003"/>
    <x v="5"/>
    <x v="2"/>
    <x v="2"/>
    <x v="1"/>
    <x v="1"/>
    <x v="2"/>
    <n v="7"/>
    <n v="6"/>
    <n v="10"/>
    <n v="10"/>
    <n v="18"/>
    <x v="6"/>
    <n v="393.38"/>
    <n v="7080.84"/>
    <n v="5584.6585079999995"/>
    <n v="30926.702055764537"/>
    <x v="0"/>
    <n v="21.13"/>
    <b v="1"/>
    <d v="2024-07-01T00:00:00"/>
    <x v="3"/>
    <x v="0"/>
    <n v="20"/>
    <x v="0"/>
    <s v="Online Payment"/>
    <s v="Returned"/>
  </r>
  <r>
    <s v="TID_1800"/>
    <x v="1"/>
    <x v="0"/>
    <x v="1"/>
    <x v="0"/>
    <x v="2"/>
    <x v="2"/>
    <n v="5"/>
    <n v="4"/>
    <n v="6"/>
    <n v="10"/>
    <n v="15"/>
    <x v="6"/>
    <n v="471.19"/>
    <n v="7067.85"/>
    <n v="6679.1182500000004"/>
    <n v="29832.242313764538"/>
    <x v="0"/>
    <n v="5.5"/>
    <b v="1"/>
    <d v="2023-08-11T00:00:00"/>
    <x v="3"/>
    <x v="1"/>
    <n v="18"/>
    <x v="1"/>
    <s v="Cash"/>
    <s v="Returned"/>
  </r>
  <r>
    <s v="TID_1518"/>
    <x v="5"/>
    <x v="2"/>
    <x v="0"/>
    <x v="2"/>
    <x v="4"/>
    <x v="0"/>
    <n v="7"/>
    <n v="6"/>
    <n v="10"/>
    <n v="10"/>
    <n v="12"/>
    <x v="6"/>
    <n v="585.13"/>
    <n v="7021.56"/>
    <n v="7021.56"/>
    <n v="29489.800563764536"/>
    <x v="0"/>
    <n v="21.56"/>
    <b v="0"/>
    <d v="2024-09-10T00:00:00"/>
    <x v="3"/>
    <x v="0"/>
    <n v="47"/>
    <x v="1"/>
    <s v="Debit Card"/>
    <s v="Returned"/>
  </r>
  <r>
    <s v="TID_686"/>
    <x v="6"/>
    <x v="1"/>
    <x v="2"/>
    <x v="0"/>
    <x v="3"/>
    <x v="0"/>
    <n v="6"/>
    <n v="13"/>
    <n v="6"/>
    <n v="10"/>
    <n v="5"/>
    <x v="6"/>
    <n v="1394.13"/>
    <n v="6970.65"/>
    <n v="5032.8092999999999"/>
    <n v="31478.551263764537"/>
    <x v="0"/>
    <n v="27.8"/>
    <b v="1"/>
    <d v="2023-09-27T00:00:00"/>
    <x v="3"/>
    <x v="1"/>
    <n v="59"/>
    <x v="2"/>
    <s v="Debit Card"/>
    <s v="Returned"/>
  </r>
  <r>
    <s v="TID_1711"/>
    <x v="9"/>
    <x v="4"/>
    <x v="1"/>
    <x v="2"/>
    <x v="0"/>
    <x v="3"/>
    <n v="6"/>
    <n v="13"/>
    <n v="10"/>
    <n v="9"/>
    <n v="23"/>
    <x v="6"/>
    <n v="299.97000000000003"/>
    <n v="6899.31"/>
    <n v="6899.31"/>
    <n v="29612.050563764536"/>
    <x v="1"/>
    <n v="6.47"/>
    <b v="0"/>
    <d v="2023-05-29T00:00:00"/>
    <x v="1"/>
    <x v="1"/>
    <n v="46"/>
    <x v="2"/>
    <s v="Debit Card"/>
    <s v="Not Returned"/>
  </r>
  <r>
    <s v="TID_374"/>
    <x v="7"/>
    <x v="2"/>
    <x v="2"/>
    <x v="0"/>
    <x v="3"/>
    <x v="3"/>
    <n v="2"/>
    <n v="6"/>
    <n v="6"/>
    <n v="9"/>
    <n v="28"/>
    <x v="6"/>
    <n v="246.02"/>
    <n v="6888.56"/>
    <n v="6194.1931520000007"/>
    <n v="30317.167411764538"/>
    <x v="1"/>
    <n v="10.08"/>
    <b v="1"/>
    <d v="2024-09-24T00:00:00"/>
    <x v="3"/>
    <x v="0"/>
    <n v="68"/>
    <x v="1"/>
    <s v="Credit Card"/>
    <s v="Returned"/>
  </r>
  <r>
    <s v="TID_1214"/>
    <x v="4"/>
    <x v="2"/>
    <x v="0"/>
    <x v="0"/>
    <x v="2"/>
    <x v="3"/>
    <n v="6"/>
    <n v="6"/>
    <n v="6"/>
    <n v="9"/>
    <n v="15"/>
    <x v="6"/>
    <n v="458.19"/>
    <n v="6872.85"/>
    <n v="6872.85"/>
    <n v="29638.510563764539"/>
    <x v="1"/>
    <n v="28.99"/>
    <b v="0"/>
    <d v="2024-06-15T00:00:00"/>
    <x v="1"/>
    <x v="0"/>
    <n v="53"/>
    <x v="2"/>
    <s v="Cash"/>
    <s v="Returned"/>
  </r>
  <r>
    <s v="TID_578"/>
    <x v="7"/>
    <x v="2"/>
    <x v="1"/>
    <x v="2"/>
    <x v="2"/>
    <x v="2"/>
    <n v="2"/>
    <n v="6"/>
    <n v="10"/>
    <n v="10"/>
    <n v="47"/>
    <x v="5"/>
    <n v="143.58000000000001"/>
    <n v="6748.26"/>
    <n v="6678.0780960000002"/>
    <n v="29833.282467764537"/>
    <x v="0"/>
    <n v="1.04"/>
    <b v="1"/>
    <d v="2024-10-06T00:00:00"/>
    <x v="0"/>
    <x v="0"/>
    <n v="38"/>
    <x v="0"/>
    <s v="Cash"/>
    <s v="Returned"/>
  </r>
  <r>
    <s v="TID_1213"/>
    <x v="0"/>
    <x v="0"/>
    <x v="3"/>
    <x v="2"/>
    <x v="3"/>
    <x v="3"/>
    <n v="5"/>
    <n v="4"/>
    <n v="10"/>
    <n v="9"/>
    <n v="61"/>
    <x v="3"/>
    <n v="110.17"/>
    <n v="6720.37"/>
    <n v="6720.37"/>
    <n v="29790.990563764539"/>
    <x v="1"/>
    <n v="16.07"/>
    <b v="0"/>
    <d v="2023-09-29T00:00:00"/>
    <x v="3"/>
    <x v="1"/>
    <n v="64"/>
    <x v="2"/>
    <s v="Debit Card"/>
    <s v="Returned"/>
  </r>
  <r>
    <s v="TID_110"/>
    <x v="7"/>
    <x v="2"/>
    <x v="3"/>
    <x v="0"/>
    <x v="2"/>
    <x v="0"/>
    <n v="2"/>
    <n v="6"/>
    <n v="6"/>
    <n v="10"/>
    <n v="33"/>
    <x v="6"/>
    <n v="203.41"/>
    <n v="6712.53"/>
    <n v="6712.53"/>
    <n v="29798.830563764539"/>
    <x v="1"/>
    <n v="1.98"/>
    <b v="0"/>
    <d v="2024-08-10T00:00:00"/>
    <x v="3"/>
    <x v="0"/>
    <n v="20"/>
    <x v="2"/>
    <s v="Cash"/>
    <s v="Not Returned"/>
  </r>
  <r>
    <s v="TID_290"/>
    <x v="2"/>
    <x v="1"/>
    <x v="3"/>
    <x v="0"/>
    <x v="3"/>
    <x v="1"/>
    <n v="3"/>
    <n v="13"/>
    <n v="6"/>
    <n v="10"/>
    <n v="10"/>
    <x v="6"/>
    <n v="670.48"/>
    <n v="6704.8"/>
    <n v="6704.8"/>
    <n v="29806.560563764539"/>
    <x v="1"/>
    <n v="5.9"/>
    <b v="0"/>
    <d v="2023-02-08T00:00:00"/>
    <x v="2"/>
    <x v="1"/>
    <n v="31"/>
    <x v="1"/>
    <s v="Credit Card"/>
    <s v="Not Returned"/>
  </r>
  <r>
    <s v="TID_1298"/>
    <x v="9"/>
    <x v="4"/>
    <x v="3"/>
    <x v="2"/>
    <x v="0"/>
    <x v="0"/>
    <n v="6"/>
    <n v="13"/>
    <n v="10"/>
    <n v="10"/>
    <n v="7"/>
    <x v="6"/>
    <n v="954.64"/>
    <n v="6682.48"/>
    <n v="5025.2249599999996"/>
    <n v="31486.135603764538"/>
    <x v="1"/>
    <n v="24.8"/>
    <b v="1"/>
    <d v="2024-06-10T00:00:00"/>
    <x v="1"/>
    <x v="0"/>
    <n v="31"/>
    <x v="1"/>
    <s v="Credit Card"/>
    <s v="Returned"/>
  </r>
  <r>
    <s v="TID_482"/>
    <x v="9"/>
    <x v="4"/>
    <x v="3"/>
    <x v="2"/>
    <x v="2"/>
    <x v="3"/>
    <n v="6"/>
    <n v="13"/>
    <n v="10"/>
    <n v="9"/>
    <n v="19"/>
    <x v="6"/>
    <n v="351.27"/>
    <n v="6674.13"/>
    <n v="6674.13"/>
    <n v="29837.230563764537"/>
    <x v="1"/>
    <n v="12.01"/>
    <b v="0"/>
    <d v="2023-04-09T00:00:00"/>
    <x v="1"/>
    <x v="1"/>
    <n v="51"/>
    <x v="2"/>
    <s v="Credit Card"/>
    <s v="Not Returned"/>
  </r>
  <r>
    <s v="TID_1120"/>
    <x v="8"/>
    <x v="3"/>
    <x v="3"/>
    <x v="2"/>
    <x v="4"/>
    <x v="2"/>
    <n v="9"/>
    <n v="7"/>
    <n v="10"/>
    <n v="10"/>
    <n v="47"/>
    <x v="5"/>
    <n v="141.19"/>
    <n v="6635.93"/>
    <n v="6635.93"/>
    <n v="29875.430563764538"/>
    <x v="1"/>
    <n v="0.7"/>
    <b v="0"/>
    <d v="2023-09-02T00:00:00"/>
    <x v="3"/>
    <x v="1"/>
    <n v="28"/>
    <x v="0"/>
    <s v="Cash"/>
    <s v="Not Returned"/>
  </r>
  <r>
    <s v="TID_1626"/>
    <x v="9"/>
    <x v="4"/>
    <x v="0"/>
    <x v="0"/>
    <x v="2"/>
    <x v="2"/>
    <n v="6"/>
    <n v="13"/>
    <n v="6"/>
    <n v="10"/>
    <n v="44"/>
    <x v="5"/>
    <n v="150.79"/>
    <n v="6634.76"/>
    <n v="6634.76"/>
    <n v="29876.600563764536"/>
    <x v="0"/>
    <n v="3.13"/>
    <b v="0"/>
    <d v="2023-01-23T00:00:00"/>
    <x v="2"/>
    <x v="1"/>
    <n v="57"/>
    <x v="1"/>
    <s v="Online Payment"/>
    <s v="Returned"/>
  </r>
  <r>
    <s v="TID_1274"/>
    <x v="7"/>
    <x v="2"/>
    <x v="2"/>
    <x v="1"/>
    <x v="1"/>
    <x v="1"/>
    <n v="2"/>
    <n v="6"/>
    <n v="10"/>
    <n v="10"/>
    <n v="66"/>
    <x v="3"/>
    <n v="100.34"/>
    <n v="6622.44"/>
    <n v="6622.44"/>
    <n v="29888.920563764539"/>
    <x v="0"/>
    <n v="17.8"/>
    <b v="0"/>
    <d v="2024-06-15T00:00:00"/>
    <x v="1"/>
    <x v="0"/>
    <n v="23"/>
    <x v="0"/>
    <s v="Online Payment"/>
    <s v="Not Returned"/>
  </r>
  <r>
    <s v="TID_616"/>
    <x v="1"/>
    <x v="0"/>
    <x v="1"/>
    <x v="1"/>
    <x v="0"/>
    <x v="1"/>
    <n v="5"/>
    <n v="4"/>
    <n v="10"/>
    <n v="10"/>
    <n v="15"/>
    <x v="6"/>
    <n v="436.06"/>
    <n v="6540.9"/>
    <n v="5036.4929999999995"/>
    <n v="31474.867563764539"/>
    <x v="0"/>
    <n v="23"/>
    <b v="1"/>
    <d v="2024-10-12T00:00:00"/>
    <x v="0"/>
    <x v="0"/>
    <n v="33"/>
    <x v="1"/>
    <s v="Debit Card"/>
    <s v="Returned"/>
  </r>
  <r>
    <s v="TID_377"/>
    <x v="5"/>
    <x v="2"/>
    <x v="3"/>
    <x v="0"/>
    <x v="1"/>
    <x v="1"/>
    <n v="7"/>
    <n v="6"/>
    <n v="6"/>
    <n v="10"/>
    <n v="17"/>
    <x v="6"/>
    <n v="384.56"/>
    <n v="6537.52"/>
    <n v="6537.52"/>
    <n v="29973.840563764537"/>
    <x v="0"/>
    <n v="16.12"/>
    <b v="0"/>
    <d v="2023-08-29T00:00:00"/>
    <x v="3"/>
    <x v="1"/>
    <n v="20"/>
    <x v="1"/>
    <s v="Debit Card"/>
    <s v="Returned"/>
  </r>
  <r>
    <s v="TID_969"/>
    <x v="9"/>
    <x v="4"/>
    <x v="1"/>
    <x v="1"/>
    <x v="3"/>
    <x v="0"/>
    <n v="6"/>
    <n v="13"/>
    <n v="10"/>
    <n v="10"/>
    <n v="88"/>
    <x v="2"/>
    <n v="73.36"/>
    <n v="6455.68"/>
    <n v="6179.3768960000007"/>
    <n v="30331.983667764536"/>
    <x v="1"/>
    <n v="4.28"/>
    <b v="1"/>
    <d v="2024-09-01T00:00:00"/>
    <x v="3"/>
    <x v="0"/>
    <n v="61"/>
    <x v="0"/>
    <s v="Debit Card"/>
    <s v="Not Returned"/>
  </r>
  <r>
    <s v="TID_213"/>
    <x v="3"/>
    <x v="0"/>
    <x v="3"/>
    <x v="1"/>
    <x v="4"/>
    <x v="0"/>
    <n v="5"/>
    <n v="4"/>
    <n v="10"/>
    <n v="10"/>
    <n v="47"/>
    <x v="5"/>
    <n v="136.25"/>
    <n v="6403.75"/>
    <n v="6403.75"/>
    <n v="30107.610563764538"/>
    <x v="0"/>
    <n v="11.21"/>
    <b v="0"/>
    <d v="2024-05-08T00:00:00"/>
    <x v="1"/>
    <x v="0"/>
    <n v="49"/>
    <x v="2"/>
    <s v="Cash"/>
    <s v="Not Returned"/>
  </r>
  <r>
    <s v="TID_1867"/>
    <x v="3"/>
    <x v="0"/>
    <x v="0"/>
    <x v="2"/>
    <x v="1"/>
    <x v="1"/>
    <n v="5"/>
    <n v="4"/>
    <n v="10"/>
    <n v="10"/>
    <n v="80"/>
    <x v="3"/>
    <n v="79.930000000000007"/>
    <n v="6394.4"/>
    <n v="5144.9342399999996"/>
    <n v="31366.426323764539"/>
    <x v="1"/>
    <n v="19.54"/>
    <b v="1"/>
    <d v="2023-02-08T00:00:00"/>
    <x v="2"/>
    <x v="1"/>
    <n v="48"/>
    <x v="2"/>
    <s v="Online Payment"/>
    <s v="Not Returned"/>
  </r>
  <r>
    <s v="TID_1933"/>
    <x v="2"/>
    <x v="1"/>
    <x v="0"/>
    <x v="1"/>
    <x v="1"/>
    <x v="0"/>
    <n v="3"/>
    <n v="13"/>
    <n v="10"/>
    <n v="10"/>
    <n v="5"/>
    <x v="6"/>
    <n v="1270.05"/>
    <n v="6350.25"/>
    <n v="5288.4881999999998"/>
    <n v="31222.872363764538"/>
    <x v="0"/>
    <n v="16.72"/>
    <b v="1"/>
    <d v="2023-03-22T00:00:00"/>
    <x v="2"/>
    <x v="1"/>
    <n v="47"/>
    <x v="0"/>
    <s v="Online Payment"/>
    <s v="Returned"/>
  </r>
  <r>
    <s v="TID_1159"/>
    <x v="4"/>
    <x v="2"/>
    <x v="1"/>
    <x v="1"/>
    <x v="4"/>
    <x v="2"/>
    <n v="6"/>
    <n v="6"/>
    <n v="10"/>
    <n v="10"/>
    <n v="6"/>
    <x v="6"/>
    <n v="1056.08"/>
    <n v="6336.48"/>
    <n v="6336.48"/>
    <n v="30174.880563764538"/>
    <x v="1"/>
    <n v="21.05"/>
    <b v="0"/>
    <d v="2024-09-30T00:00:00"/>
    <x v="3"/>
    <x v="0"/>
    <n v="57"/>
    <x v="2"/>
    <s v="Debit Card"/>
    <s v="Not Returned"/>
  </r>
  <r>
    <s v="TID_854"/>
    <x v="8"/>
    <x v="3"/>
    <x v="1"/>
    <x v="1"/>
    <x v="4"/>
    <x v="3"/>
    <n v="9"/>
    <n v="7"/>
    <n v="10"/>
    <n v="9"/>
    <n v="17"/>
    <x v="6"/>
    <n v="370.56"/>
    <n v="6299.52"/>
    <n v="6299.52"/>
    <n v="30211.840563764537"/>
    <x v="0"/>
    <n v="26.38"/>
    <b v="0"/>
    <d v="2024-08-28T00:00:00"/>
    <x v="3"/>
    <x v="0"/>
    <n v="21"/>
    <x v="2"/>
    <s v="Debit Card"/>
    <s v="Not Returned"/>
  </r>
  <r>
    <s v="TID_668"/>
    <x v="4"/>
    <x v="2"/>
    <x v="2"/>
    <x v="0"/>
    <x v="3"/>
    <x v="3"/>
    <n v="6"/>
    <n v="6"/>
    <n v="6"/>
    <n v="9"/>
    <n v="62"/>
    <x v="3"/>
    <n v="101.59"/>
    <n v="6298.58"/>
    <n v="6214.8088859999998"/>
    <n v="30296.551677764539"/>
    <x v="0"/>
    <n v="1.33"/>
    <b v="1"/>
    <d v="2024-08-10T00:00:00"/>
    <x v="3"/>
    <x v="0"/>
    <n v="37"/>
    <x v="1"/>
    <s v="Online Payment"/>
    <s v="Returned"/>
  </r>
  <r>
    <s v="TID_920"/>
    <x v="4"/>
    <x v="2"/>
    <x v="0"/>
    <x v="1"/>
    <x v="0"/>
    <x v="0"/>
    <n v="6"/>
    <n v="6"/>
    <n v="10"/>
    <n v="10"/>
    <n v="9"/>
    <x v="6"/>
    <n v="699.59"/>
    <n v="6296.31"/>
    <n v="6296.31"/>
    <n v="30215.050563764536"/>
    <x v="0"/>
    <n v="3.46"/>
    <b v="0"/>
    <d v="2023-06-29T00:00:00"/>
    <x v="1"/>
    <x v="1"/>
    <n v="62"/>
    <x v="0"/>
    <s v="Debit Card"/>
    <s v="Returned"/>
  </r>
  <r>
    <s v="TID_1378"/>
    <x v="4"/>
    <x v="2"/>
    <x v="0"/>
    <x v="0"/>
    <x v="3"/>
    <x v="2"/>
    <n v="6"/>
    <n v="6"/>
    <n v="6"/>
    <n v="10"/>
    <n v="18"/>
    <x v="6"/>
    <n v="348.73"/>
    <n v="6277.14"/>
    <n v="5324.8978620000007"/>
    <n v="31186.462701764536"/>
    <x v="0"/>
    <n v="15.17"/>
    <b v="1"/>
    <d v="2023-06-29T00:00:00"/>
    <x v="1"/>
    <x v="1"/>
    <n v="63"/>
    <x v="0"/>
    <s v="Online Payment"/>
    <s v="Returned"/>
  </r>
  <r>
    <s v="TID_135"/>
    <x v="6"/>
    <x v="1"/>
    <x v="0"/>
    <x v="1"/>
    <x v="2"/>
    <x v="3"/>
    <n v="6"/>
    <n v="13"/>
    <n v="10"/>
    <n v="9"/>
    <n v="38"/>
    <x v="6"/>
    <n v="164.52"/>
    <n v="6251.76"/>
    <n v="6251.76"/>
    <n v="30259.600563764536"/>
    <x v="1"/>
    <n v="15.09"/>
    <b v="0"/>
    <d v="2023-09-10T00:00:00"/>
    <x v="3"/>
    <x v="1"/>
    <n v="31"/>
    <x v="0"/>
    <s v="Cash"/>
    <s v="Returned"/>
  </r>
  <r>
    <s v="TID_149"/>
    <x v="5"/>
    <x v="2"/>
    <x v="1"/>
    <x v="0"/>
    <x v="0"/>
    <x v="1"/>
    <n v="7"/>
    <n v="6"/>
    <n v="6"/>
    <n v="10"/>
    <n v="71"/>
    <x v="3"/>
    <n v="87.93"/>
    <n v="6243.03"/>
    <n v="5847.2218979999998"/>
    <n v="30664.138665764538"/>
    <x v="0"/>
    <n v="6.34"/>
    <b v="1"/>
    <d v="2023-06-10T00:00:00"/>
    <x v="1"/>
    <x v="1"/>
    <n v="34"/>
    <x v="1"/>
    <s v="Debit Card"/>
    <s v="Not Returned"/>
  </r>
  <r>
    <s v="TID_587"/>
    <x v="9"/>
    <x v="4"/>
    <x v="2"/>
    <x v="0"/>
    <x v="3"/>
    <x v="1"/>
    <n v="6"/>
    <n v="13"/>
    <n v="6"/>
    <n v="10"/>
    <n v="11"/>
    <x v="6"/>
    <n v="566.73"/>
    <n v="6234.03"/>
    <n v="6234.03"/>
    <n v="30277.330563764539"/>
    <x v="0"/>
    <n v="1.84"/>
    <b v="0"/>
    <d v="2023-12-14T00:00:00"/>
    <x v="0"/>
    <x v="1"/>
    <n v="44"/>
    <x v="0"/>
    <s v="Cash"/>
    <s v="Not Returned"/>
  </r>
  <r>
    <s v="TID_148"/>
    <x v="0"/>
    <x v="0"/>
    <x v="2"/>
    <x v="2"/>
    <x v="3"/>
    <x v="0"/>
    <n v="5"/>
    <n v="4"/>
    <n v="10"/>
    <n v="10"/>
    <n v="26"/>
    <x v="6"/>
    <n v="236.35"/>
    <n v="6145.1"/>
    <n v="4434.91867"/>
    <n v="32076.441893764539"/>
    <x v="1"/>
    <n v="27.83"/>
    <b v="1"/>
    <d v="2023-06-10T00:00:00"/>
    <x v="1"/>
    <x v="1"/>
    <n v="48"/>
    <x v="0"/>
    <s v="Credit Card"/>
    <s v="Returned"/>
  </r>
  <r>
    <s v="TID_1091"/>
    <x v="6"/>
    <x v="1"/>
    <x v="1"/>
    <x v="0"/>
    <x v="3"/>
    <x v="1"/>
    <n v="6"/>
    <n v="13"/>
    <n v="6"/>
    <n v="10"/>
    <n v="29"/>
    <x v="6"/>
    <n v="211.79"/>
    <n v="6141.91"/>
    <n v="6141.91"/>
    <n v="30369.450563764538"/>
    <x v="0"/>
    <n v="19.579999999999998"/>
    <b v="0"/>
    <d v="2023-01-23T00:00:00"/>
    <x v="2"/>
    <x v="1"/>
    <n v="40"/>
    <x v="0"/>
    <s v="Cash"/>
    <s v="Returned"/>
  </r>
  <r>
    <s v="TID_399"/>
    <x v="0"/>
    <x v="0"/>
    <x v="1"/>
    <x v="0"/>
    <x v="4"/>
    <x v="3"/>
    <n v="5"/>
    <n v="4"/>
    <n v="6"/>
    <n v="9"/>
    <n v="30"/>
    <x v="6"/>
    <n v="203.88"/>
    <n v="6116.4"/>
    <n v="6116.4"/>
    <n v="30394.960563764536"/>
    <x v="0"/>
    <n v="9.77"/>
    <b v="0"/>
    <d v="2023-07-03T00:00:00"/>
    <x v="3"/>
    <x v="1"/>
    <n v="42"/>
    <x v="1"/>
    <s v="Online Payment"/>
    <s v="Not Returned"/>
  </r>
  <r>
    <s v="TID_1717"/>
    <x v="2"/>
    <x v="1"/>
    <x v="2"/>
    <x v="2"/>
    <x v="2"/>
    <x v="2"/>
    <n v="3"/>
    <n v="13"/>
    <n v="10"/>
    <n v="10"/>
    <n v="16"/>
    <x v="6"/>
    <n v="377.26"/>
    <n v="6036.16"/>
    <n v="5128.3215360000004"/>
    <n v="31383.039027764538"/>
    <x v="1"/>
    <n v="15.04"/>
    <b v="1"/>
    <d v="2023-07-26T00:00:00"/>
    <x v="3"/>
    <x v="1"/>
    <n v="55"/>
    <x v="0"/>
    <s v="Cash"/>
    <s v="Returned"/>
  </r>
  <r>
    <s v="TID_1961"/>
    <x v="2"/>
    <x v="1"/>
    <x v="3"/>
    <x v="1"/>
    <x v="2"/>
    <x v="1"/>
    <n v="3"/>
    <n v="13"/>
    <n v="10"/>
    <n v="10"/>
    <n v="60"/>
    <x v="4"/>
    <n v="100.58"/>
    <n v="6034.8"/>
    <n v="4936.4664000000002"/>
    <n v="31574.894163764537"/>
    <x v="1"/>
    <n v="18.2"/>
    <b v="1"/>
    <d v="2023-03-16T00:00:00"/>
    <x v="2"/>
    <x v="1"/>
    <n v="20"/>
    <x v="0"/>
    <s v="Debit Card"/>
    <s v="Not Returned"/>
  </r>
  <r>
    <s v="TID_460"/>
    <x v="7"/>
    <x v="2"/>
    <x v="2"/>
    <x v="0"/>
    <x v="3"/>
    <x v="1"/>
    <n v="2"/>
    <n v="6"/>
    <n v="6"/>
    <n v="10"/>
    <n v="61"/>
    <x v="3"/>
    <n v="98.79"/>
    <n v="6026.19"/>
    <n v="5604.9593189999996"/>
    <n v="30906.401244764536"/>
    <x v="1"/>
    <n v="6.99"/>
    <b v="1"/>
    <d v="2023-05-15T00:00:00"/>
    <x v="1"/>
    <x v="1"/>
    <n v="48"/>
    <x v="0"/>
    <s v="Debit Card"/>
    <s v="Not Returned"/>
  </r>
  <r>
    <s v="TID_1608"/>
    <x v="5"/>
    <x v="2"/>
    <x v="2"/>
    <x v="2"/>
    <x v="1"/>
    <x v="2"/>
    <n v="7"/>
    <n v="6"/>
    <n v="10"/>
    <n v="10"/>
    <n v="64"/>
    <x v="3"/>
    <n v="93.99"/>
    <n v="6015.36"/>
    <n v="4237.2195839999995"/>
    <n v="32274.140979764539"/>
    <x v="1"/>
    <n v="29.56"/>
    <b v="1"/>
    <d v="2024-03-27T00:00:00"/>
    <x v="2"/>
    <x v="0"/>
    <n v="27"/>
    <x v="2"/>
    <s v="Debit Card"/>
    <s v="Returned"/>
  </r>
  <r>
    <s v="TID_682"/>
    <x v="1"/>
    <x v="0"/>
    <x v="1"/>
    <x v="0"/>
    <x v="4"/>
    <x v="1"/>
    <n v="5"/>
    <n v="4"/>
    <n v="6"/>
    <n v="10"/>
    <n v="73"/>
    <x v="3"/>
    <n v="82.3"/>
    <n v="6007.9"/>
    <n v="6007.9"/>
    <n v="30503.460563764536"/>
    <x v="0"/>
    <n v="13.86"/>
    <b v="0"/>
    <d v="2023-12-10T00:00:00"/>
    <x v="0"/>
    <x v="1"/>
    <n v="61"/>
    <x v="1"/>
    <s v="Cash"/>
    <s v="Returned"/>
  </r>
  <r>
    <s v="TID_167"/>
    <x v="9"/>
    <x v="4"/>
    <x v="1"/>
    <x v="1"/>
    <x v="2"/>
    <x v="3"/>
    <n v="6"/>
    <n v="13"/>
    <n v="10"/>
    <n v="9"/>
    <n v="12"/>
    <x v="6"/>
    <n v="499.11"/>
    <n v="5989.32"/>
    <n v="5989.32"/>
    <n v="30522.040563764538"/>
    <x v="0"/>
    <n v="4.8899999999999997"/>
    <b v="0"/>
    <d v="2023-12-01T00:00:00"/>
    <x v="0"/>
    <x v="1"/>
    <n v="24"/>
    <x v="2"/>
    <s v="Cash"/>
    <s v="Returned"/>
  </r>
  <r>
    <s v="TID_1237"/>
    <x v="6"/>
    <x v="1"/>
    <x v="1"/>
    <x v="1"/>
    <x v="0"/>
    <x v="0"/>
    <n v="6"/>
    <n v="13"/>
    <n v="10"/>
    <n v="10"/>
    <n v="4"/>
    <x v="6"/>
    <n v="1495.9"/>
    <n v="5983.6"/>
    <n v="5983.6"/>
    <n v="30527.760563764539"/>
    <x v="0"/>
    <n v="6.53"/>
    <b v="0"/>
    <d v="2024-10-02T00:00:00"/>
    <x v="0"/>
    <x v="0"/>
    <n v="69"/>
    <x v="2"/>
    <s v="Credit Card"/>
    <s v="Not Returned"/>
  </r>
  <r>
    <s v="TID_625"/>
    <x v="2"/>
    <x v="1"/>
    <x v="1"/>
    <x v="1"/>
    <x v="4"/>
    <x v="3"/>
    <n v="3"/>
    <n v="13"/>
    <n v="10"/>
    <n v="9"/>
    <n v="47"/>
    <x v="5"/>
    <n v="126.92"/>
    <n v="5965.24"/>
    <n v="5965.24"/>
    <n v="30546.12056376454"/>
    <x v="0"/>
    <n v="9.16"/>
    <b v="0"/>
    <d v="2024-03-03T00:00:00"/>
    <x v="2"/>
    <x v="0"/>
    <n v="60"/>
    <x v="1"/>
    <s v="Credit Card"/>
    <s v="Returned"/>
  </r>
  <r>
    <s v="TID_562"/>
    <x v="8"/>
    <x v="3"/>
    <x v="1"/>
    <x v="2"/>
    <x v="1"/>
    <x v="1"/>
    <n v="9"/>
    <n v="7"/>
    <n v="10"/>
    <n v="10"/>
    <n v="21"/>
    <x v="6"/>
    <n v="282.87"/>
    <n v="5940.27"/>
    <n v="4833.5976989999999"/>
    <n v="31677.76286476454"/>
    <x v="1"/>
    <n v="18.63"/>
    <b v="1"/>
    <d v="2023-01-16T00:00:00"/>
    <x v="2"/>
    <x v="1"/>
    <n v="27"/>
    <x v="1"/>
    <s v="Online Payment"/>
    <s v="Not Returned"/>
  </r>
  <r>
    <s v="TID_1183"/>
    <x v="8"/>
    <x v="3"/>
    <x v="1"/>
    <x v="2"/>
    <x v="0"/>
    <x v="1"/>
    <n v="9"/>
    <n v="7"/>
    <n v="10"/>
    <n v="10"/>
    <n v="50"/>
    <x v="5"/>
    <n v="118.62"/>
    <n v="5931"/>
    <n v="5931"/>
    <n v="30580.360563764538"/>
    <x v="0"/>
    <n v="9.5"/>
    <b v="0"/>
    <d v="2023-02-11T00:00:00"/>
    <x v="2"/>
    <x v="1"/>
    <n v="52"/>
    <x v="1"/>
    <s v="Cash"/>
    <s v="Returned"/>
  </r>
  <r>
    <s v="TID_1026"/>
    <x v="0"/>
    <x v="0"/>
    <x v="2"/>
    <x v="2"/>
    <x v="1"/>
    <x v="2"/>
    <n v="5"/>
    <n v="4"/>
    <n v="10"/>
    <n v="10"/>
    <n v="95"/>
    <x v="1"/>
    <n v="62.13"/>
    <n v="5902.35"/>
    <n v="5902.35"/>
    <n v="30609.010563764539"/>
    <x v="0"/>
    <n v="12.78"/>
    <b v="0"/>
    <d v="2024-01-07T00:00:00"/>
    <x v="2"/>
    <x v="0"/>
    <n v="20"/>
    <x v="2"/>
    <s v="Credit Card"/>
    <s v="Returned"/>
  </r>
  <r>
    <s v="TID_655"/>
    <x v="2"/>
    <x v="1"/>
    <x v="3"/>
    <x v="2"/>
    <x v="2"/>
    <x v="1"/>
    <n v="3"/>
    <n v="13"/>
    <n v="10"/>
    <n v="10"/>
    <n v="45"/>
    <x v="5"/>
    <n v="130.84"/>
    <n v="5887.8"/>
    <n v="5772.39912"/>
    <n v="30738.961443764536"/>
    <x v="0"/>
    <n v="1.96"/>
    <b v="1"/>
    <d v="2024-01-12T00:00:00"/>
    <x v="2"/>
    <x v="0"/>
    <n v="39"/>
    <x v="0"/>
    <s v="Debit Card"/>
    <s v="Returned"/>
  </r>
  <r>
    <s v="TID_1874"/>
    <x v="7"/>
    <x v="2"/>
    <x v="1"/>
    <x v="1"/>
    <x v="3"/>
    <x v="0"/>
    <n v="2"/>
    <n v="6"/>
    <n v="10"/>
    <n v="10"/>
    <n v="28"/>
    <x v="6"/>
    <n v="208.63"/>
    <n v="5841.64"/>
    <n v="4185.5350600000002"/>
    <n v="32325.825503764536"/>
    <x v="1"/>
    <n v="28.35"/>
    <b v="1"/>
    <d v="2023-09-04T00:00:00"/>
    <x v="3"/>
    <x v="1"/>
    <n v="64"/>
    <x v="2"/>
    <s v="Debit Card"/>
    <s v="Not Returned"/>
  </r>
  <r>
    <s v="TID_1590"/>
    <x v="1"/>
    <x v="0"/>
    <x v="3"/>
    <x v="2"/>
    <x v="0"/>
    <x v="3"/>
    <n v="5"/>
    <n v="4"/>
    <n v="10"/>
    <n v="9"/>
    <n v="12"/>
    <x v="6"/>
    <n v="480.79"/>
    <n v="5769.48"/>
    <n v="5769.48"/>
    <n v="30741.880563764538"/>
    <x v="1"/>
    <n v="15.67"/>
    <b v="0"/>
    <d v="2023-05-25T00:00:00"/>
    <x v="1"/>
    <x v="1"/>
    <n v="45"/>
    <x v="2"/>
    <s v="Cash"/>
    <s v="Returned"/>
  </r>
  <r>
    <s v="TID_1647"/>
    <x v="5"/>
    <x v="2"/>
    <x v="2"/>
    <x v="2"/>
    <x v="3"/>
    <x v="2"/>
    <n v="7"/>
    <n v="6"/>
    <n v="10"/>
    <n v="10"/>
    <n v="8"/>
    <x v="6"/>
    <n v="713.59"/>
    <n v="5708.72"/>
    <n v="5326.8066320000007"/>
    <n v="31184.553931764538"/>
    <x v="1"/>
    <n v="6.69"/>
    <b v="1"/>
    <d v="2024-10-30T00:00:00"/>
    <x v="0"/>
    <x v="0"/>
    <n v="59"/>
    <x v="2"/>
    <s v="Online Payment"/>
    <s v="Returned"/>
  </r>
  <r>
    <s v="TID_785"/>
    <x v="1"/>
    <x v="0"/>
    <x v="3"/>
    <x v="0"/>
    <x v="0"/>
    <x v="2"/>
    <n v="5"/>
    <n v="4"/>
    <n v="6"/>
    <n v="10"/>
    <n v="5"/>
    <x v="6"/>
    <n v="1141.57"/>
    <n v="5707.85"/>
    <n v="4497.2150150000007"/>
    <n v="32014.145548764536"/>
    <x v="1"/>
    <n v="21.21"/>
    <b v="1"/>
    <d v="2024-05-31T00:00:00"/>
    <x v="1"/>
    <x v="0"/>
    <n v="30"/>
    <x v="1"/>
    <s v="Cash"/>
    <s v="Returned"/>
  </r>
  <r>
    <s v="TID_1501"/>
    <x v="8"/>
    <x v="3"/>
    <x v="1"/>
    <x v="1"/>
    <x v="0"/>
    <x v="1"/>
    <n v="9"/>
    <n v="7"/>
    <n v="10"/>
    <n v="10"/>
    <n v="4"/>
    <x v="6"/>
    <n v="1423.92"/>
    <n v="5695.68"/>
    <n v="5695.68"/>
    <n v="30815.680563764538"/>
    <x v="1"/>
    <n v="21.77"/>
    <b v="0"/>
    <d v="2023-09-22T00:00:00"/>
    <x v="3"/>
    <x v="1"/>
    <n v="49"/>
    <x v="0"/>
    <s v="Online Payment"/>
    <s v="Not Returned"/>
  </r>
  <r>
    <s v="TID_873"/>
    <x v="5"/>
    <x v="2"/>
    <x v="2"/>
    <x v="2"/>
    <x v="1"/>
    <x v="0"/>
    <n v="7"/>
    <n v="6"/>
    <n v="10"/>
    <n v="10"/>
    <n v="7"/>
    <x v="6"/>
    <n v="809.45"/>
    <n v="5666.15"/>
    <n v="5136.9315899999992"/>
    <n v="31374.428973764538"/>
    <x v="0"/>
    <n v="9.34"/>
    <b v="1"/>
    <d v="2023-05-30T00:00:00"/>
    <x v="1"/>
    <x v="1"/>
    <n v="69"/>
    <x v="0"/>
    <s v="Online Payment"/>
    <s v="Returned"/>
  </r>
  <r>
    <s v="TID_19"/>
    <x v="8"/>
    <x v="3"/>
    <x v="2"/>
    <x v="1"/>
    <x v="3"/>
    <x v="2"/>
    <n v="9"/>
    <n v="7"/>
    <n v="10"/>
    <n v="10"/>
    <n v="16"/>
    <x v="6"/>
    <n v="350.83"/>
    <n v="5613.28"/>
    <n v="4144.2846239999999"/>
    <n v="32367.075939764538"/>
    <x v="1"/>
    <n v="26.17"/>
    <b v="1"/>
    <d v="2023-10-11T00:00:00"/>
    <x v="0"/>
    <x v="1"/>
    <n v="41"/>
    <x v="0"/>
    <s v="Cash"/>
    <s v="Returned"/>
  </r>
  <r>
    <s v="TID_120"/>
    <x v="0"/>
    <x v="0"/>
    <x v="2"/>
    <x v="0"/>
    <x v="2"/>
    <x v="0"/>
    <n v="5"/>
    <n v="4"/>
    <n v="6"/>
    <n v="10"/>
    <n v="10"/>
    <x v="6"/>
    <n v="559.5"/>
    <n v="5595"/>
    <n v="5541.8474999999999"/>
    <n v="30969.513063764538"/>
    <x v="0"/>
    <n v="0.95"/>
    <b v="1"/>
    <d v="2023-02-25T00:00:00"/>
    <x v="2"/>
    <x v="1"/>
    <n v="46"/>
    <x v="0"/>
    <s v="Online Payment"/>
    <s v="Returned"/>
  </r>
  <r>
    <s v="TID_619"/>
    <x v="4"/>
    <x v="2"/>
    <x v="2"/>
    <x v="1"/>
    <x v="4"/>
    <x v="1"/>
    <n v="6"/>
    <n v="6"/>
    <n v="10"/>
    <n v="10"/>
    <n v="17"/>
    <x v="6"/>
    <n v="328.16"/>
    <n v="5578.72"/>
    <n v="5578.72"/>
    <n v="30932.640563764537"/>
    <x v="1"/>
    <n v="23.22"/>
    <b v="0"/>
    <d v="2024-03-29T00:00:00"/>
    <x v="2"/>
    <x v="0"/>
    <n v="23"/>
    <x v="2"/>
    <s v="Debit Card"/>
    <s v="Not Returned"/>
  </r>
  <r>
    <s v="TID_256"/>
    <x v="7"/>
    <x v="2"/>
    <x v="0"/>
    <x v="2"/>
    <x v="2"/>
    <x v="2"/>
    <n v="2"/>
    <n v="6"/>
    <n v="10"/>
    <n v="10"/>
    <n v="37"/>
    <x v="6"/>
    <n v="150.30000000000001"/>
    <n v="5561.1"/>
    <n v="5561.1"/>
    <n v="30950.260563764539"/>
    <x v="1"/>
    <n v="16.809999999999999"/>
    <b v="0"/>
    <d v="2023-01-21T00:00:00"/>
    <x v="2"/>
    <x v="1"/>
    <n v="51"/>
    <x v="2"/>
    <s v="Cash"/>
    <s v="Not Returned"/>
  </r>
  <r>
    <s v="TID_1428"/>
    <x v="0"/>
    <x v="0"/>
    <x v="3"/>
    <x v="2"/>
    <x v="1"/>
    <x v="3"/>
    <n v="5"/>
    <n v="4"/>
    <n v="10"/>
    <n v="9"/>
    <n v="14"/>
    <x v="6"/>
    <n v="393.62"/>
    <n v="5510.68"/>
    <n v="5510.68"/>
    <n v="31000.680563764538"/>
    <x v="1"/>
    <n v="22.5"/>
    <b v="0"/>
    <d v="2023-05-08T00:00:00"/>
    <x v="1"/>
    <x v="1"/>
    <n v="18"/>
    <x v="2"/>
    <s v="Credit Card"/>
    <s v="Not Returned"/>
  </r>
  <r>
    <s v="TID_633"/>
    <x v="0"/>
    <x v="0"/>
    <x v="0"/>
    <x v="2"/>
    <x v="4"/>
    <x v="2"/>
    <n v="5"/>
    <n v="4"/>
    <n v="10"/>
    <n v="10"/>
    <n v="12"/>
    <x v="6"/>
    <n v="453.77"/>
    <n v="5445.24"/>
    <n v="4239.1193399999993"/>
    <n v="32272.24122376454"/>
    <x v="0"/>
    <n v="22.15"/>
    <b v="1"/>
    <d v="2024-07-13T00:00:00"/>
    <x v="3"/>
    <x v="0"/>
    <n v="52"/>
    <x v="0"/>
    <s v="Online Payment"/>
    <s v="Not Returned"/>
  </r>
  <r>
    <s v="TID_527"/>
    <x v="3"/>
    <x v="0"/>
    <x v="0"/>
    <x v="0"/>
    <x v="3"/>
    <x v="0"/>
    <n v="5"/>
    <n v="4"/>
    <n v="6"/>
    <n v="10"/>
    <n v="80"/>
    <x v="3"/>
    <n v="68.02"/>
    <n v="5441.6"/>
    <n v="5441.6"/>
    <n v="31069.760563764539"/>
    <x v="1"/>
    <n v="27.28"/>
    <b v="0"/>
    <d v="2024-03-19T00:00:00"/>
    <x v="2"/>
    <x v="0"/>
    <n v="66"/>
    <x v="0"/>
    <s v="Debit Card"/>
    <s v="Returned"/>
  </r>
  <r>
    <s v="TID_1669"/>
    <x v="7"/>
    <x v="2"/>
    <x v="2"/>
    <x v="1"/>
    <x v="2"/>
    <x v="1"/>
    <n v="2"/>
    <n v="6"/>
    <n v="10"/>
    <n v="10"/>
    <n v="32"/>
    <x v="6"/>
    <n v="169.41"/>
    <n v="5421.12"/>
    <n v="5071.4577600000002"/>
    <n v="31439.902803764537"/>
    <x v="1"/>
    <n v="6.45"/>
    <b v="1"/>
    <d v="2023-01-21T00:00:00"/>
    <x v="2"/>
    <x v="1"/>
    <n v="58"/>
    <x v="1"/>
    <s v="Credit Card"/>
    <s v="Returned"/>
  </r>
  <r>
    <s v="TID_1971"/>
    <x v="0"/>
    <x v="0"/>
    <x v="1"/>
    <x v="0"/>
    <x v="1"/>
    <x v="3"/>
    <n v="5"/>
    <n v="4"/>
    <n v="6"/>
    <n v="9"/>
    <n v="55"/>
    <x v="4"/>
    <n v="97.93"/>
    <n v="5386.15"/>
    <n v="5386.15"/>
    <n v="31125.210563764536"/>
    <x v="0"/>
    <n v="26.32"/>
    <b v="0"/>
    <d v="2024-03-01T00:00:00"/>
    <x v="2"/>
    <x v="0"/>
    <n v="46"/>
    <x v="2"/>
    <s v="Cash"/>
    <s v="Returned"/>
  </r>
  <r>
    <s v="TID_1691"/>
    <x v="5"/>
    <x v="2"/>
    <x v="1"/>
    <x v="1"/>
    <x v="4"/>
    <x v="0"/>
    <n v="7"/>
    <n v="6"/>
    <n v="10"/>
    <n v="10"/>
    <n v="50"/>
    <x v="5"/>
    <n v="107.14"/>
    <n v="5357"/>
    <n v="4315.5991999999997"/>
    <n v="32195.761363764537"/>
    <x v="0"/>
    <n v="19.440000000000001"/>
    <b v="1"/>
    <d v="2023-03-31T00:00:00"/>
    <x v="2"/>
    <x v="1"/>
    <n v="60"/>
    <x v="2"/>
    <s v="Credit Card"/>
    <s v="Not Returned"/>
  </r>
  <r>
    <s v="TID_249"/>
    <x v="5"/>
    <x v="2"/>
    <x v="2"/>
    <x v="2"/>
    <x v="3"/>
    <x v="1"/>
    <n v="7"/>
    <n v="6"/>
    <n v="10"/>
    <n v="10"/>
    <n v="83"/>
    <x v="2"/>
    <n v="64.28"/>
    <n v="5335.24"/>
    <n v="5335.24"/>
    <n v="31176.12056376454"/>
    <x v="1"/>
    <n v="6.31"/>
    <b v="0"/>
    <d v="2023-09-24T00:00:00"/>
    <x v="3"/>
    <x v="1"/>
    <n v="34"/>
    <x v="0"/>
    <s v="Online Payment"/>
    <s v="Not Returned"/>
  </r>
  <r>
    <s v="TID_487"/>
    <x v="2"/>
    <x v="1"/>
    <x v="3"/>
    <x v="2"/>
    <x v="4"/>
    <x v="3"/>
    <n v="3"/>
    <n v="13"/>
    <n v="10"/>
    <n v="9"/>
    <n v="23"/>
    <x v="6"/>
    <n v="230.81"/>
    <n v="5308.63"/>
    <n v="4599.3970320000008"/>
    <n v="31911.963531764537"/>
    <x v="0"/>
    <n v="13.36"/>
    <b v="1"/>
    <d v="2023-04-22T00:00:00"/>
    <x v="1"/>
    <x v="1"/>
    <n v="57"/>
    <x v="1"/>
    <s v="Debit Card"/>
    <s v="Returned"/>
  </r>
  <r>
    <s v="TID_1014"/>
    <x v="7"/>
    <x v="2"/>
    <x v="2"/>
    <x v="1"/>
    <x v="0"/>
    <x v="1"/>
    <n v="2"/>
    <n v="6"/>
    <n v="10"/>
    <n v="10"/>
    <n v="38"/>
    <x v="6"/>
    <n v="139.26"/>
    <n v="5291.88"/>
    <n v="5291.88"/>
    <n v="31219.480563764537"/>
    <x v="1"/>
    <n v="1.51"/>
    <b v="0"/>
    <d v="2023-09-27T00:00:00"/>
    <x v="3"/>
    <x v="1"/>
    <n v="65"/>
    <x v="0"/>
    <s v="Credit Card"/>
    <s v="Not Returned"/>
  </r>
  <r>
    <s v="TID_1968"/>
    <x v="5"/>
    <x v="2"/>
    <x v="3"/>
    <x v="0"/>
    <x v="3"/>
    <x v="0"/>
    <n v="7"/>
    <n v="6"/>
    <n v="6"/>
    <n v="10"/>
    <n v="28"/>
    <x v="6"/>
    <n v="188.54"/>
    <n v="5279.12"/>
    <n v="5279.12"/>
    <n v="31232.240563764539"/>
    <x v="0"/>
    <n v="29.34"/>
    <b v="0"/>
    <d v="2023-11-05T00:00:00"/>
    <x v="0"/>
    <x v="1"/>
    <n v="41"/>
    <x v="0"/>
    <s v="Online Payment"/>
    <s v="Not Returned"/>
  </r>
  <r>
    <s v="TID_759"/>
    <x v="0"/>
    <x v="0"/>
    <x v="0"/>
    <x v="0"/>
    <x v="2"/>
    <x v="2"/>
    <n v="5"/>
    <n v="4"/>
    <n v="6"/>
    <n v="10"/>
    <n v="12"/>
    <x v="6"/>
    <n v="438.62"/>
    <n v="5263.44"/>
    <n v="5263.44"/>
    <n v="31247.920563764539"/>
    <x v="0"/>
    <n v="17.600000000000001"/>
    <b v="0"/>
    <d v="2024-04-10T00:00:00"/>
    <x v="1"/>
    <x v="0"/>
    <n v="42"/>
    <x v="1"/>
    <s v="Cash"/>
    <s v="Returned"/>
  </r>
  <r>
    <s v="TID_880"/>
    <x v="7"/>
    <x v="2"/>
    <x v="0"/>
    <x v="1"/>
    <x v="2"/>
    <x v="2"/>
    <n v="2"/>
    <n v="6"/>
    <n v="10"/>
    <n v="10"/>
    <n v="37"/>
    <x v="6"/>
    <n v="141.58000000000001"/>
    <n v="5238.46"/>
    <n v="5238.46"/>
    <n v="31272.900563764539"/>
    <x v="1"/>
    <n v="21.33"/>
    <b v="0"/>
    <d v="2024-05-03T00:00:00"/>
    <x v="1"/>
    <x v="0"/>
    <n v="46"/>
    <x v="0"/>
    <s v="Credit Card"/>
    <s v="Not Returned"/>
  </r>
  <r>
    <s v="TID_384"/>
    <x v="9"/>
    <x v="4"/>
    <x v="2"/>
    <x v="1"/>
    <x v="2"/>
    <x v="3"/>
    <n v="6"/>
    <n v="13"/>
    <n v="10"/>
    <n v="9"/>
    <n v="96"/>
    <x v="0"/>
    <n v="54.12"/>
    <n v="5195.5200000000004"/>
    <n v="4439.5718400000005"/>
    <n v="32071.788723764537"/>
    <x v="1"/>
    <n v="14.55"/>
    <b v="1"/>
    <d v="2023-01-27T00:00:00"/>
    <x v="2"/>
    <x v="1"/>
    <n v="59"/>
    <x v="2"/>
    <s v="Online Payment"/>
    <s v="Returned"/>
  </r>
  <r>
    <s v="TID_1430"/>
    <x v="7"/>
    <x v="2"/>
    <x v="0"/>
    <x v="1"/>
    <x v="1"/>
    <x v="0"/>
    <n v="2"/>
    <n v="6"/>
    <n v="10"/>
    <n v="10"/>
    <n v="16"/>
    <x v="6"/>
    <n v="323.86"/>
    <n v="5181.76"/>
    <n v="4594.6665920000005"/>
    <n v="31916.693971764536"/>
    <x v="1"/>
    <n v="11.33"/>
    <b v="1"/>
    <d v="2023-04-03T00:00:00"/>
    <x v="1"/>
    <x v="1"/>
    <n v="57"/>
    <x v="2"/>
    <s v="Online Payment"/>
    <s v="Returned"/>
  </r>
  <r>
    <s v="TID_1596"/>
    <x v="2"/>
    <x v="1"/>
    <x v="3"/>
    <x v="2"/>
    <x v="4"/>
    <x v="0"/>
    <n v="3"/>
    <n v="13"/>
    <n v="10"/>
    <n v="10"/>
    <n v="38"/>
    <x v="6"/>
    <n v="136"/>
    <n v="5168"/>
    <n v="4184.5295999999998"/>
    <n v="32326.830963764536"/>
    <x v="1"/>
    <n v="19.03"/>
    <b v="1"/>
    <d v="2023-09-28T00:00:00"/>
    <x v="3"/>
    <x v="1"/>
    <n v="28"/>
    <x v="1"/>
    <s v="Debit Card"/>
    <s v="Returned"/>
  </r>
  <r>
    <s v="TID_376"/>
    <x v="1"/>
    <x v="0"/>
    <x v="3"/>
    <x v="1"/>
    <x v="3"/>
    <x v="2"/>
    <n v="5"/>
    <n v="4"/>
    <n v="10"/>
    <n v="10"/>
    <n v="23"/>
    <x v="6"/>
    <n v="224.36"/>
    <n v="5160.28"/>
    <n v="4863.0478720000001"/>
    <n v="31648.312691764539"/>
    <x v="1"/>
    <n v="5.76"/>
    <b v="1"/>
    <d v="2023-11-18T00:00:00"/>
    <x v="0"/>
    <x v="1"/>
    <n v="48"/>
    <x v="0"/>
    <s v="Online Payment"/>
    <s v="Not Returned"/>
  </r>
  <r>
    <s v="TID_1296"/>
    <x v="0"/>
    <x v="0"/>
    <x v="2"/>
    <x v="2"/>
    <x v="1"/>
    <x v="3"/>
    <n v="5"/>
    <n v="4"/>
    <n v="10"/>
    <n v="9"/>
    <n v="13"/>
    <x v="6"/>
    <n v="396.41"/>
    <n v="5153.33"/>
    <n v="5153.33"/>
    <n v="31358.030563764536"/>
    <x v="1"/>
    <n v="18.25"/>
    <b v="0"/>
    <d v="2024-02-02T00:00:00"/>
    <x v="2"/>
    <x v="0"/>
    <n v="24"/>
    <x v="0"/>
    <s v="Debit Card"/>
    <s v="Returned"/>
  </r>
  <r>
    <s v="TID_500"/>
    <x v="7"/>
    <x v="2"/>
    <x v="2"/>
    <x v="0"/>
    <x v="0"/>
    <x v="2"/>
    <n v="2"/>
    <n v="6"/>
    <n v="6"/>
    <n v="10"/>
    <n v="31"/>
    <x v="6"/>
    <n v="164.06"/>
    <n v="5085.8599999999997"/>
    <n v="4528.4497439999996"/>
    <n v="31982.91081976454"/>
    <x v="0"/>
    <n v="10.96"/>
    <b v="1"/>
    <d v="2023-09-20T00:00:00"/>
    <x v="3"/>
    <x v="1"/>
    <n v="61"/>
    <x v="0"/>
    <s v="Online Payment"/>
    <s v="Not Returned"/>
  </r>
  <r>
    <s v="TID_996"/>
    <x v="9"/>
    <x v="4"/>
    <x v="1"/>
    <x v="0"/>
    <x v="2"/>
    <x v="0"/>
    <n v="6"/>
    <n v="13"/>
    <n v="6"/>
    <n v="10"/>
    <n v="49"/>
    <x v="5"/>
    <n v="102.95"/>
    <n v="5044.55"/>
    <n v="5044.55"/>
    <n v="31466.810563764539"/>
    <x v="1"/>
    <n v="14.81"/>
    <b v="0"/>
    <d v="2024-02-23T00:00:00"/>
    <x v="2"/>
    <x v="0"/>
    <n v="37"/>
    <x v="1"/>
    <s v="Cash"/>
    <s v="Returned"/>
  </r>
  <r>
    <s v="TID_1576"/>
    <x v="2"/>
    <x v="1"/>
    <x v="3"/>
    <x v="1"/>
    <x v="3"/>
    <x v="2"/>
    <n v="3"/>
    <n v="13"/>
    <n v="10"/>
    <n v="10"/>
    <n v="27"/>
    <x v="6"/>
    <n v="186.65"/>
    <n v="5039.55"/>
    <n v="4715.5069350000003"/>
    <n v="31795.853628764537"/>
    <x v="0"/>
    <n v="6.43"/>
    <b v="1"/>
    <d v="2023-11-17T00:00:00"/>
    <x v="0"/>
    <x v="1"/>
    <n v="51"/>
    <x v="1"/>
    <s v="Cash"/>
    <s v="Returned"/>
  </r>
  <r>
    <s v="TID_1086"/>
    <x v="7"/>
    <x v="2"/>
    <x v="2"/>
    <x v="1"/>
    <x v="2"/>
    <x v="3"/>
    <n v="2"/>
    <n v="6"/>
    <n v="10"/>
    <n v="9"/>
    <n v="63"/>
    <x v="3"/>
    <n v="79.739999999999995"/>
    <n v="5023.62"/>
    <n v="5023.62"/>
    <n v="31487.740563764539"/>
    <x v="0"/>
    <n v="12.11"/>
    <b v="0"/>
    <d v="2023-07-21T00:00:00"/>
    <x v="3"/>
    <x v="1"/>
    <n v="61"/>
    <x v="1"/>
    <s v="Credit Card"/>
    <s v="Returned"/>
  </r>
  <r>
    <s v="TID_5"/>
    <x v="3"/>
    <x v="0"/>
    <x v="3"/>
    <x v="2"/>
    <x v="2"/>
    <x v="0"/>
    <n v="5"/>
    <n v="4"/>
    <n v="10"/>
    <n v="10"/>
    <n v="6"/>
    <x v="6"/>
    <n v="834.43"/>
    <n v="5006.58"/>
    <n v="4672.641114"/>
    <n v="31838.71944976454"/>
    <x v="1"/>
    <n v="6.67"/>
    <b v="1"/>
    <d v="2023-12-15T00:00:00"/>
    <x v="0"/>
    <x v="1"/>
    <n v="52"/>
    <x v="0"/>
    <s v="Debit Card"/>
    <s v="Returned"/>
  </r>
  <r>
    <s v="TID_1019"/>
    <x v="2"/>
    <x v="1"/>
    <x v="1"/>
    <x v="2"/>
    <x v="4"/>
    <x v="3"/>
    <n v="3"/>
    <n v="13"/>
    <n v="10"/>
    <n v="9"/>
    <n v="10"/>
    <x v="6"/>
    <n v="497.74"/>
    <n v="4977.3999999999996"/>
    <n v="3564.8138799999997"/>
    <n v="32946.546683764536"/>
    <x v="0"/>
    <n v="28.38"/>
    <b v="1"/>
    <d v="2024-09-04T00:00:00"/>
    <x v="3"/>
    <x v="0"/>
    <n v="67"/>
    <x v="2"/>
    <s v="Online Payment"/>
    <s v="Returned"/>
  </r>
  <r>
    <s v="TID_874"/>
    <x v="2"/>
    <x v="1"/>
    <x v="3"/>
    <x v="1"/>
    <x v="2"/>
    <x v="2"/>
    <n v="3"/>
    <n v="13"/>
    <n v="10"/>
    <n v="10"/>
    <n v="58"/>
    <x v="4"/>
    <n v="85.5"/>
    <n v="4959"/>
    <n v="4091.6709000000001"/>
    <n v="32419.689663764537"/>
    <x v="1"/>
    <n v="17.489999999999998"/>
    <b v="1"/>
    <d v="2024-05-02T00:00:00"/>
    <x v="1"/>
    <x v="0"/>
    <n v="39"/>
    <x v="0"/>
    <s v="Cash"/>
    <s v="Not Returned"/>
  </r>
  <r>
    <s v="TID_1483"/>
    <x v="5"/>
    <x v="2"/>
    <x v="3"/>
    <x v="1"/>
    <x v="0"/>
    <x v="3"/>
    <n v="7"/>
    <n v="6"/>
    <n v="10"/>
    <n v="9"/>
    <n v="56"/>
    <x v="4"/>
    <n v="88.26"/>
    <n v="4942.5600000000004"/>
    <n v="4942.5600000000004"/>
    <n v="31568.800563764536"/>
    <x v="0"/>
    <n v="12.16"/>
    <b v="0"/>
    <d v="2023-05-02T00:00:00"/>
    <x v="1"/>
    <x v="1"/>
    <n v="68"/>
    <x v="0"/>
    <s v="Debit Card"/>
    <s v="Not Returned"/>
  </r>
  <r>
    <s v="TID_1523"/>
    <x v="8"/>
    <x v="3"/>
    <x v="0"/>
    <x v="1"/>
    <x v="4"/>
    <x v="3"/>
    <n v="9"/>
    <n v="7"/>
    <n v="10"/>
    <n v="9"/>
    <n v="9"/>
    <x v="6"/>
    <n v="548.59"/>
    <n v="4937.3100000000004"/>
    <n v="4754.6295300000002"/>
    <n v="31756.731033764539"/>
    <x v="0"/>
    <n v="3.7"/>
    <b v="1"/>
    <d v="2023-05-26T00:00:00"/>
    <x v="1"/>
    <x v="1"/>
    <n v="51"/>
    <x v="2"/>
    <s v="Credit Card"/>
    <s v="Not Returned"/>
  </r>
  <r>
    <s v="TID_1738"/>
    <x v="2"/>
    <x v="1"/>
    <x v="0"/>
    <x v="1"/>
    <x v="0"/>
    <x v="3"/>
    <n v="3"/>
    <n v="13"/>
    <n v="10"/>
    <n v="9"/>
    <n v="12"/>
    <x v="6"/>
    <n v="410.28"/>
    <n v="4923.3599999999997"/>
    <n v="4166.1472319999993"/>
    <n v="32345.213331764538"/>
    <x v="1"/>
    <n v="15.38"/>
    <b v="1"/>
    <d v="2024-05-08T00:00:00"/>
    <x v="1"/>
    <x v="0"/>
    <n v="57"/>
    <x v="2"/>
    <s v="Online Payment"/>
    <s v="Not Returned"/>
  </r>
  <r>
    <s v="TID_1819"/>
    <x v="6"/>
    <x v="1"/>
    <x v="0"/>
    <x v="2"/>
    <x v="0"/>
    <x v="3"/>
    <n v="6"/>
    <n v="13"/>
    <n v="10"/>
    <n v="9"/>
    <n v="4"/>
    <x v="6"/>
    <n v="1211.17"/>
    <n v="4844.68"/>
    <n v="4621.340252"/>
    <n v="31890.020311764536"/>
    <x v="0"/>
    <n v="4.6100000000000003"/>
    <b v="1"/>
    <d v="2023-10-28T00:00:00"/>
    <x v="0"/>
    <x v="1"/>
    <n v="43"/>
    <x v="0"/>
    <s v="Cash"/>
    <s v="Returned"/>
  </r>
  <r>
    <s v="TID_1782"/>
    <x v="7"/>
    <x v="2"/>
    <x v="1"/>
    <x v="1"/>
    <x v="1"/>
    <x v="2"/>
    <n v="2"/>
    <n v="6"/>
    <n v="10"/>
    <n v="10"/>
    <n v="15"/>
    <x v="6"/>
    <n v="321.66000000000003"/>
    <n v="4824.8999999999996"/>
    <n v="4824.8999999999996"/>
    <n v="31686.460563764536"/>
    <x v="1"/>
    <n v="12.25"/>
    <b v="0"/>
    <d v="2024-08-03T00:00:00"/>
    <x v="3"/>
    <x v="0"/>
    <n v="24"/>
    <x v="2"/>
    <s v="Credit Card"/>
    <s v="Returned"/>
  </r>
  <r>
    <s v="TID_187"/>
    <x v="4"/>
    <x v="2"/>
    <x v="0"/>
    <x v="0"/>
    <x v="3"/>
    <x v="0"/>
    <n v="6"/>
    <n v="6"/>
    <n v="6"/>
    <n v="10"/>
    <n v="24"/>
    <x v="6"/>
    <n v="197.83"/>
    <n v="4747.92"/>
    <n v="4747.92"/>
    <n v="31763.44056376454"/>
    <x v="1"/>
    <n v="13.23"/>
    <b v="0"/>
    <d v="2023-12-04T00:00:00"/>
    <x v="0"/>
    <x v="1"/>
    <n v="37"/>
    <x v="0"/>
    <s v="Online Payment"/>
    <s v="Not Returned"/>
  </r>
  <r>
    <s v="TID_1272"/>
    <x v="8"/>
    <x v="3"/>
    <x v="2"/>
    <x v="2"/>
    <x v="3"/>
    <x v="2"/>
    <n v="9"/>
    <n v="7"/>
    <n v="10"/>
    <n v="10"/>
    <n v="43"/>
    <x v="5"/>
    <n v="109.99"/>
    <n v="4729.57"/>
    <n v="4729.57"/>
    <n v="31781.790563764538"/>
    <x v="1"/>
    <n v="6.93"/>
    <b v="0"/>
    <d v="2024-06-13T00:00:00"/>
    <x v="1"/>
    <x v="0"/>
    <n v="26"/>
    <x v="2"/>
    <s v="Credit Card"/>
    <s v="Returned"/>
  </r>
  <r>
    <s v="TID_1586"/>
    <x v="6"/>
    <x v="1"/>
    <x v="1"/>
    <x v="0"/>
    <x v="4"/>
    <x v="3"/>
    <n v="6"/>
    <n v="13"/>
    <n v="6"/>
    <n v="9"/>
    <n v="71"/>
    <x v="3"/>
    <n v="65.989999999999995"/>
    <n v="4685.29"/>
    <n v="4685.29"/>
    <n v="31826.070563764537"/>
    <x v="1"/>
    <n v="9.6199999999999992"/>
    <b v="0"/>
    <d v="2024-01-17T00:00:00"/>
    <x v="2"/>
    <x v="0"/>
    <n v="50"/>
    <x v="1"/>
    <s v="Credit Card"/>
    <s v="Not Returned"/>
  </r>
  <r>
    <s v="TID_574"/>
    <x v="1"/>
    <x v="0"/>
    <x v="1"/>
    <x v="1"/>
    <x v="4"/>
    <x v="3"/>
    <n v="5"/>
    <n v="4"/>
    <n v="10"/>
    <n v="9"/>
    <n v="4"/>
    <x v="6"/>
    <n v="1161.72"/>
    <n v="4646.88"/>
    <n v="3438.2265120000002"/>
    <n v="33073.134051764537"/>
    <x v="0"/>
    <n v="26.01"/>
    <b v="1"/>
    <d v="2024-03-21T00:00:00"/>
    <x v="2"/>
    <x v="0"/>
    <n v="37"/>
    <x v="2"/>
    <s v="Debit Card"/>
    <s v="Not Returned"/>
  </r>
  <r>
    <s v="TID_519"/>
    <x v="7"/>
    <x v="2"/>
    <x v="2"/>
    <x v="1"/>
    <x v="3"/>
    <x v="1"/>
    <n v="2"/>
    <n v="6"/>
    <n v="10"/>
    <n v="10"/>
    <n v="10"/>
    <x v="6"/>
    <n v="462.66"/>
    <n v="4626.6000000000004"/>
    <n v="4626.6000000000004"/>
    <n v="31884.760563764539"/>
    <x v="0"/>
    <n v="26.83"/>
    <b v="0"/>
    <d v="2023-04-18T00:00:00"/>
    <x v="1"/>
    <x v="1"/>
    <n v="37"/>
    <x v="0"/>
    <s v="Online Payment"/>
    <s v="Not Returned"/>
  </r>
  <r>
    <s v="TID_1097"/>
    <x v="5"/>
    <x v="2"/>
    <x v="1"/>
    <x v="1"/>
    <x v="3"/>
    <x v="0"/>
    <n v="7"/>
    <n v="6"/>
    <n v="10"/>
    <n v="10"/>
    <n v="59"/>
    <x v="4"/>
    <n v="78.31"/>
    <n v="4620.29"/>
    <n v="4026.1207059999997"/>
    <n v="32485.239857764536"/>
    <x v="1"/>
    <n v="12.86"/>
    <b v="1"/>
    <d v="2023-07-18T00:00:00"/>
    <x v="3"/>
    <x v="1"/>
    <n v="49"/>
    <x v="2"/>
    <s v="Credit Card"/>
    <s v="Not Returned"/>
  </r>
  <r>
    <s v="TID_1950"/>
    <x v="8"/>
    <x v="3"/>
    <x v="2"/>
    <x v="0"/>
    <x v="2"/>
    <x v="2"/>
    <n v="9"/>
    <n v="7"/>
    <n v="6"/>
    <n v="10"/>
    <n v="40"/>
    <x v="5"/>
    <n v="114.83"/>
    <n v="4593.2"/>
    <n v="4202.3186800000003"/>
    <n v="32309.041883764537"/>
    <x v="1"/>
    <n v="8.51"/>
    <b v="1"/>
    <d v="2023-05-25T00:00:00"/>
    <x v="1"/>
    <x v="1"/>
    <n v="30"/>
    <x v="2"/>
    <s v="Cash"/>
    <s v="Returned"/>
  </r>
  <r>
    <s v="TID_1480"/>
    <x v="4"/>
    <x v="2"/>
    <x v="1"/>
    <x v="0"/>
    <x v="4"/>
    <x v="2"/>
    <n v="6"/>
    <n v="6"/>
    <n v="6"/>
    <n v="10"/>
    <n v="60"/>
    <x v="4"/>
    <n v="75.86"/>
    <n v="4551.6000000000004"/>
    <n v="4551.6000000000004"/>
    <n v="31959.760563764539"/>
    <x v="0"/>
    <n v="19.510000000000002"/>
    <b v="0"/>
    <d v="2024-04-11T00:00:00"/>
    <x v="1"/>
    <x v="0"/>
    <n v="28"/>
    <x v="1"/>
    <s v="Debit Card"/>
    <s v="Not Returned"/>
  </r>
  <r>
    <s v="TID_1781"/>
    <x v="3"/>
    <x v="0"/>
    <x v="3"/>
    <x v="0"/>
    <x v="4"/>
    <x v="3"/>
    <n v="5"/>
    <n v="4"/>
    <n v="6"/>
    <n v="9"/>
    <n v="35"/>
    <x v="6"/>
    <n v="129.80000000000001"/>
    <n v="4543"/>
    <n v="4543"/>
    <n v="31968.360563764538"/>
    <x v="0"/>
    <n v="7.98"/>
    <b v="0"/>
    <d v="2024-03-05T00:00:00"/>
    <x v="2"/>
    <x v="0"/>
    <n v="52"/>
    <x v="1"/>
    <s v="Online Payment"/>
    <s v="Not Returned"/>
  </r>
  <r>
    <s v="TID_1313"/>
    <x v="3"/>
    <x v="0"/>
    <x v="1"/>
    <x v="1"/>
    <x v="2"/>
    <x v="0"/>
    <n v="5"/>
    <n v="4"/>
    <n v="10"/>
    <n v="10"/>
    <n v="11"/>
    <x v="6"/>
    <n v="412.5"/>
    <n v="4537.5"/>
    <n v="4105.5300000000007"/>
    <n v="32405.830563764539"/>
    <x v="0"/>
    <n v="9.52"/>
    <b v="1"/>
    <d v="2023-07-08T00:00:00"/>
    <x v="3"/>
    <x v="1"/>
    <n v="65"/>
    <x v="2"/>
    <s v="Debit Card"/>
    <s v="Returned"/>
  </r>
  <r>
    <s v="TID_1285"/>
    <x v="4"/>
    <x v="2"/>
    <x v="1"/>
    <x v="2"/>
    <x v="4"/>
    <x v="0"/>
    <n v="6"/>
    <n v="6"/>
    <n v="10"/>
    <n v="10"/>
    <n v="16"/>
    <x v="6"/>
    <n v="279.23"/>
    <n v="4467.68"/>
    <n v="3640.265664"/>
    <n v="32871.094899764539"/>
    <x v="0"/>
    <n v="18.52"/>
    <b v="1"/>
    <d v="2024-07-03T00:00:00"/>
    <x v="3"/>
    <x v="0"/>
    <n v="45"/>
    <x v="1"/>
    <s v="Credit Card"/>
    <s v="Returned"/>
  </r>
  <r>
    <s v="TID_1422"/>
    <x v="1"/>
    <x v="0"/>
    <x v="0"/>
    <x v="1"/>
    <x v="1"/>
    <x v="3"/>
    <n v="5"/>
    <n v="4"/>
    <n v="10"/>
    <n v="9"/>
    <n v="19"/>
    <x v="6"/>
    <n v="233.4"/>
    <n v="4434.6000000000004"/>
    <n v="4434.6000000000004"/>
    <n v="32076.760563764539"/>
    <x v="0"/>
    <n v="8.09"/>
    <b v="0"/>
    <d v="2024-04-12T00:00:00"/>
    <x v="1"/>
    <x v="0"/>
    <n v="58"/>
    <x v="2"/>
    <s v="Online Payment"/>
    <s v="Not Returned"/>
  </r>
  <r>
    <s v="TID_1103"/>
    <x v="9"/>
    <x v="4"/>
    <x v="1"/>
    <x v="1"/>
    <x v="2"/>
    <x v="3"/>
    <n v="6"/>
    <n v="13"/>
    <n v="10"/>
    <n v="9"/>
    <n v="21"/>
    <x v="6"/>
    <n v="210.2"/>
    <n v="4414.2"/>
    <n v="4004.1208200000001"/>
    <n v="32507.239743764538"/>
    <x v="0"/>
    <n v="9.2899999999999991"/>
    <b v="1"/>
    <d v="2024-10-08T00:00:00"/>
    <x v="0"/>
    <x v="0"/>
    <n v="49"/>
    <x v="2"/>
    <s v="Credit Card"/>
    <s v="Not Returned"/>
  </r>
  <r>
    <s v="TID_792"/>
    <x v="8"/>
    <x v="3"/>
    <x v="0"/>
    <x v="1"/>
    <x v="2"/>
    <x v="0"/>
    <n v="9"/>
    <n v="7"/>
    <n v="10"/>
    <n v="10"/>
    <n v="16"/>
    <x v="6"/>
    <n v="274.48"/>
    <n v="4391.68"/>
    <n v="3634.5543680000001"/>
    <n v="32876.80619576454"/>
    <x v="0"/>
    <n v="17.239999999999998"/>
    <b v="1"/>
    <d v="2023-08-02T00:00:00"/>
    <x v="3"/>
    <x v="1"/>
    <n v="42"/>
    <x v="2"/>
    <s v="Online Payment"/>
    <s v="Not Returned"/>
  </r>
  <r>
    <s v="TID_1797"/>
    <x v="6"/>
    <x v="1"/>
    <x v="3"/>
    <x v="1"/>
    <x v="0"/>
    <x v="1"/>
    <n v="6"/>
    <n v="13"/>
    <n v="10"/>
    <n v="10"/>
    <n v="3"/>
    <x v="6"/>
    <n v="1459.29"/>
    <n v="4377.87"/>
    <n v="4377.87"/>
    <n v="32133.490563764539"/>
    <x v="1"/>
    <n v="9.61"/>
    <b v="0"/>
    <d v="2023-05-29T00:00:00"/>
    <x v="1"/>
    <x v="1"/>
    <n v="58"/>
    <x v="0"/>
    <s v="Cash"/>
    <s v="Not Returned"/>
  </r>
  <r>
    <s v="TID_1992"/>
    <x v="0"/>
    <x v="0"/>
    <x v="2"/>
    <x v="0"/>
    <x v="4"/>
    <x v="1"/>
    <n v="5"/>
    <n v="4"/>
    <n v="6"/>
    <n v="10"/>
    <n v="60"/>
    <x v="4"/>
    <n v="72.819999999999993"/>
    <n v="4369.2"/>
    <n v="4369.2"/>
    <n v="32142.160563764537"/>
    <x v="1"/>
    <n v="7.08"/>
    <b v="0"/>
    <d v="2024-03-24T00:00:00"/>
    <x v="2"/>
    <x v="0"/>
    <n v="26"/>
    <x v="2"/>
    <s v="Debit Card"/>
    <s v="Returned"/>
  </r>
  <r>
    <s v="TID_362"/>
    <x v="9"/>
    <x v="4"/>
    <x v="2"/>
    <x v="1"/>
    <x v="1"/>
    <x v="0"/>
    <n v="6"/>
    <n v="13"/>
    <n v="10"/>
    <n v="10"/>
    <n v="33"/>
    <x v="6"/>
    <n v="131.78"/>
    <n v="4348.74"/>
    <n v="3091.9541400000003"/>
    <n v="33419.406423764536"/>
    <x v="1"/>
    <n v="28.9"/>
    <b v="1"/>
    <d v="2023-11-09T00:00:00"/>
    <x v="0"/>
    <x v="1"/>
    <n v="33"/>
    <x v="2"/>
    <s v="Cash"/>
    <s v="Returned"/>
  </r>
  <r>
    <s v="TID_502"/>
    <x v="2"/>
    <x v="1"/>
    <x v="1"/>
    <x v="0"/>
    <x v="4"/>
    <x v="3"/>
    <n v="3"/>
    <n v="13"/>
    <n v="6"/>
    <n v="9"/>
    <n v="32"/>
    <x v="6"/>
    <n v="135.87"/>
    <n v="4347.84"/>
    <n v="3099.5751359999999"/>
    <n v="33411.785427764538"/>
    <x v="0"/>
    <n v="28.71"/>
    <b v="1"/>
    <d v="2023-03-18T00:00:00"/>
    <x v="2"/>
    <x v="1"/>
    <n v="26"/>
    <x v="2"/>
    <s v="Debit Card"/>
    <s v="Returned"/>
  </r>
  <r>
    <s v="TID_351"/>
    <x v="3"/>
    <x v="0"/>
    <x v="0"/>
    <x v="0"/>
    <x v="2"/>
    <x v="3"/>
    <n v="5"/>
    <n v="4"/>
    <n v="6"/>
    <n v="9"/>
    <n v="21"/>
    <x v="6"/>
    <n v="206.85"/>
    <n v="4343.8500000000004"/>
    <n v="3820.4160750000001"/>
    <n v="32690.944488764537"/>
    <x v="1"/>
    <n v="12.05"/>
    <b v="1"/>
    <d v="2023-07-10T00:00:00"/>
    <x v="3"/>
    <x v="1"/>
    <n v="66"/>
    <x v="2"/>
    <s v="Online Payment"/>
    <s v="Returned"/>
  </r>
  <r>
    <s v="TID_1025"/>
    <x v="3"/>
    <x v="0"/>
    <x v="1"/>
    <x v="2"/>
    <x v="2"/>
    <x v="1"/>
    <n v="5"/>
    <n v="4"/>
    <n v="10"/>
    <n v="10"/>
    <n v="5"/>
    <x v="6"/>
    <n v="861.75"/>
    <n v="4308.75"/>
    <n v="3382.3687500000001"/>
    <n v="33128.991813764536"/>
    <x v="1"/>
    <n v="21.5"/>
    <b v="1"/>
    <d v="2024-07-01T00:00:00"/>
    <x v="3"/>
    <x v="0"/>
    <n v="56"/>
    <x v="0"/>
    <s v="Cash"/>
    <s v="Not Returned"/>
  </r>
  <r>
    <s v="TID_76"/>
    <x v="9"/>
    <x v="4"/>
    <x v="2"/>
    <x v="0"/>
    <x v="3"/>
    <x v="3"/>
    <n v="6"/>
    <n v="13"/>
    <n v="6"/>
    <n v="9"/>
    <n v="27"/>
    <x v="6"/>
    <n v="159.04"/>
    <n v="4294.08"/>
    <n v="3017.8794240000002"/>
    <n v="33493.481139764539"/>
    <x v="0"/>
    <n v="29.72"/>
    <b v="1"/>
    <d v="2023-12-10T00:00:00"/>
    <x v="0"/>
    <x v="1"/>
    <n v="32"/>
    <x v="1"/>
    <s v="Cash"/>
    <s v="Returned"/>
  </r>
  <r>
    <s v="TID_559"/>
    <x v="0"/>
    <x v="0"/>
    <x v="2"/>
    <x v="0"/>
    <x v="1"/>
    <x v="1"/>
    <n v="5"/>
    <n v="4"/>
    <n v="6"/>
    <n v="10"/>
    <n v="9"/>
    <x v="6"/>
    <n v="475.95"/>
    <n v="4283.55"/>
    <n v="4283.55"/>
    <n v="32227.810563764539"/>
    <x v="0"/>
    <n v="13.79"/>
    <b v="0"/>
    <d v="2024-08-15T00:00:00"/>
    <x v="3"/>
    <x v="0"/>
    <n v="45"/>
    <x v="1"/>
    <s v="Debit Card"/>
    <s v="Returned"/>
  </r>
  <r>
    <s v="TID_1090"/>
    <x v="6"/>
    <x v="1"/>
    <x v="0"/>
    <x v="0"/>
    <x v="4"/>
    <x v="3"/>
    <n v="6"/>
    <n v="13"/>
    <n v="6"/>
    <n v="9"/>
    <n v="4"/>
    <x v="6"/>
    <n v="1046.69"/>
    <n v="4186.76"/>
    <n v="4186.76"/>
    <n v="32324.600563764536"/>
    <x v="0"/>
    <n v="19.79"/>
    <b v="0"/>
    <d v="2024-08-20T00:00:00"/>
    <x v="3"/>
    <x v="0"/>
    <n v="49"/>
    <x v="0"/>
    <s v="Credit Card"/>
    <s v="Returned"/>
  </r>
  <r>
    <s v="TID_849"/>
    <x v="1"/>
    <x v="0"/>
    <x v="0"/>
    <x v="0"/>
    <x v="0"/>
    <x v="2"/>
    <n v="5"/>
    <n v="4"/>
    <n v="6"/>
    <n v="10"/>
    <n v="60"/>
    <x v="4"/>
    <n v="68.959999999999994"/>
    <n v="4137.6000000000004"/>
    <n v="3241.8096"/>
    <n v="33269.550963764537"/>
    <x v="1"/>
    <n v="21.65"/>
    <b v="1"/>
    <d v="2024-04-25T00:00:00"/>
    <x v="1"/>
    <x v="0"/>
    <n v="26"/>
    <x v="2"/>
    <s v="Debit Card"/>
    <s v="Not Returned"/>
  </r>
  <r>
    <s v="TID_1416"/>
    <x v="6"/>
    <x v="1"/>
    <x v="2"/>
    <x v="0"/>
    <x v="1"/>
    <x v="3"/>
    <n v="6"/>
    <n v="13"/>
    <n v="6"/>
    <n v="9"/>
    <n v="11"/>
    <x v="6"/>
    <n v="374.12"/>
    <n v="4115.32"/>
    <n v="4115.32"/>
    <n v="32396.040563764538"/>
    <x v="1"/>
    <n v="15.2"/>
    <b v="0"/>
    <d v="2023-04-07T00:00:00"/>
    <x v="1"/>
    <x v="1"/>
    <n v="24"/>
    <x v="2"/>
    <s v="Debit Card"/>
    <s v="Returned"/>
  </r>
  <r>
    <s v="TID_671"/>
    <x v="7"/>
    <x v="2"/>
    <x v="3"/>
    <x v="2"/>
    <x v="2"/>
    <x v="3"/>
    <n v="2"/>
    <n v="6"/>
    <n v="10"/>
    <n v="9"/>
    <n v="54"/>
    <x v="4"/>
    <n v="76.150000000000006"/>
    <n v="4112.1000000000004"/>
    <n v="3950.9056800000003"/>
    <n v="32560.454883764538"/>
    <x v="1"/>
    <n v="3.92"/>
    <b v="1"/>
    <d v="2024-10-31T00:00:00"/>
    <x v="0"/>
    <x v="0"/>
    <n v="61"/>
    <x v="0"/>
    <s v="Online Payment"/>
    <s v="Not Returned"/>
  </r>
  <r>
    <s v="TID_1964"/>
    <x v="5"/>
    <x v="2"/>
    <x v="3"/>
    <x v="2"/>
    <x v="4"/>
    <x v="0"/>
    <n v="7"/>
    <n v="6"/>
    <n v="10"/>
    <n v="10"/>
    <n v="3"/>
    <x v="6"/>
    <n v="1363.68"/>
    <n v="4091.04"/>
    <n v="3882.3969599999996"/>
    <n v="32628.96360376454"/>
    <x v="1"/>
    <n v="5.0999999999999996"/>
    <b v="1"/>
    <d v="2023-10-10T00:00:00"/>
    <x v="0"/>
    <x v="1"/>
    <n v="22"/>
    <x v="2"/>
    <s v="Online Payment"/>
    <s v="Returned"/>
  </r>
  <r>
    <s v="TID_423"/>
    <x v="4"/>
    <x v="2"/>
    <x v="1"/>
    <x v="1"/>
    <x v="4"/>
    <x v="0"/>
    <n v="6"/>
    <n v="6"/>
    <n v="10"/>
    <n v="10"/>
    <n v="70"/>
    <x v="3"/>
    <n v="57.71"/>
    <n v="4039.7"/>
    <n v="3417.9901699999996"/>
    <n v="33093.37039376454"/>
    <x v="1"/>
    <n v="15.39"/>
    <b v="1"/>
    <d v="2023-02-22T00:00:00"/>
    <x v="2"/>
    <x v="1"/>
    <n v="55"/>
    <x v="2"/>
    <s v="Credit Card"/>
    <s v="Returned"/>
  </r>
  <r>
    <s v="TID_1257"/>
    <x v="0"/>
    <x v="0"/>
    <x v="1"/>
    <x v="0"/>
    <x v="1"/>
    <x v="1"/>
    <n v="5"/>
    <n v="4"/>
    <n v="6"/>
    <n v="10"/>
    <n v="4"/>
    <x v="6"/>
    <n v="1007.17"/>
    <n v="4028.68"/>
    <n v="4028.68"/>
    <n v="32482.680563764538"/>
    <x v="1"/>
    <n v="29.7"/>
    <b v="0"/>
    <d v="2023-12-02T00:00:00"/>
    <x v="0"/>
    <x v="1"/>
    <n v="26"/>
    <x v="0"/>
    <s v="Online Payment"/>
    <s v="Returned"/>
  </r>
  <r>
    <s v="TID_1362"/>
    <x v="7"/>
    <x v="2"/>
    <x v="3"/>
    <x v="1"/>
    <x v="4"/>
    <x v="0"/>
    <n v="2"/>
    <n v="6"/>
    <n v="10"/>
    <n v="10"/>
    <n v="64"/>
    <x v="3"/>
    <n v="62.43"/>
    <n v="3995.52"/>
    <n v="3995.52"/>
    <n v="32515.840563764537"/>
    <x v="0"/>
    <n v="19.89"/>
    <b v="0"/>
    <d v="2023-05-21T00:00:00"/>
    <x v="1"/>
    <x v="1"/>
    <n v="40"/>
    <x v="0"/>
    <s v="Debit Card"/>
    <s v="Not Returned"/>
  </r>
  <r>
    <s v="TID_631"/>
    <x v="7"/>
    <x v="2"/>
    <x v="0"/>
    <x v="1"/>
    <x v="3"/>
    <x v="2"/>
    <n v="2"/>
    <n v="6"/>
    <n v="10"/>
    <n v="10"/>
    <n v="8"/>
    <x v="6"/>
    <n v="499.11"/>
    <n v="3992.88"/>
    <n v="3992.88"/>
    <n v="32518.480563764537"/>
    <x v="0"/>
    <n v="5.52"/>
    <b v="0"/>
    <d v="2023-01-09T00:00:00"/>
    <x v="2"/>
    <x v="1"/>
    <n v="42"/>
    <x v="0"/>
    <s v="Debit Card"/>
    <s v="Not Returned"/>
  </r>
  <r>
    <s v="TID_354"/>
    <x v="0"/>
    <x v="0"/>
    <x v="3"/>
    <x v="0"/>
    <x v="4"/>
    <x v="0"/>
    <n v="5"/>
    <n v="4"/>
    <n v="6"/>
    <n v="10"/>
    <n v="4"/>
    <x v="6"/>
    <n v="993.76"/>
    <n v="3975.04"/>
    <n v="3975.04"/>
    <n v="32536.320563764537"/>
    <x v="1"/>
    <n v="10.33"/>
    <b v="0"/>
    <d v="2024-05-11T00:00:00"/>
    <x v="1"/>
    <x v="0"/>
    <n v="21"/>
    <x v="2"/>
    <s v="Online Payment"/>
    <s v="Returned"/>
  </r>
  <r>
    <s v="TID_1386"/>
    <x v="5"/>
    <x v="2"/>
    <x v="1"/>
    <x v="2"/>
    <x v="1"/>
    <x v="2"/>
    <n v="7"/>
    <n v="6"/>
    <n v="10"/>
    <n v="10"/>
    <n v="3"/>
    <x v="6"/>
    <n v="1319.05"/>
    <n v="3957.15"/>
    <n v="3729.2181600000004"/>
    <n v="32782.142403764534"/>
    <x v="0"/>
    <n v="5.76"/>
    <b v="1"/>
    <d v="2023-04-27T00:00:00"/>
    <x v="1"/>
    <x v="1"/>
    <n v="42"/>
    <x v="1"/>
    <s v="Credit Card"/>
    <s v="Returned"/>
  </r>
  <r>
    <s v="TID_330"/>
    <x v="0"/>
    <x v="0"/>
    <x v="2"/>
    <x v="0"/>
    <x v="4"/>
    <x v="1"/>
    <n v="5"/>
    <n v="4"/>
    <n v="6"/>
    <n v="10"/>
    <n v="8"/>
    <x v="6"/>
    <n v="492.88"/>
    <n v="3943.04"/>
    <n v="3943.04"/>
    <n v="32568.320563764537"/>
    <x v="0"/>
    <n v="4.67"/>
    <b v="0"/>
    <d v="2023-08-13T00:00:00"/>
    <x v="3"/>
    <x v="1"/>
    <n v="45"/>
    <x v="2"/>
    <s v="Online Payment"/>
    <s v="Not Returned"/>
  </r>
  <r>
    <s v="TID_1739"/>
    <x v="0"/>
    <x v="0"/>
    <x v="0"/>
    <x v="0"/>
    <x v="2"/>
    <x v="1"/>
    <n v="5"/>
    <n v="4"/>
    <n v="6"/>
    <n v="10"/>
    <n v="4"/>
    <x v="6"/>
    <n v="981.67"/>
    <n v="3926.68"/>
    <n v="2968.9627479999999"/>
    <n v="33542.39781576454"/>
    <x v="1"/>
    <n v="24.39"/>
    <b v="1"/>
    <d v="2023-08-22T00:00:00"/>
    <x v="3"/>
    <x v="1"/>
    <n v="57"/>
    <x v="1"/>
    <s v="Debit Card"/>
    <s v="Not Returned"/>
  </r>
  <r>
    <s v="TID_1769"/>
    <x v="2"/>
    <x v="1"/>
    <x v="0"/>
    <x v="1"/>
    <x v="0"/>
    <x v="1"/>
    <n v="3"/>
    <n v="13"/>
    <n v="10"/>
    <n v="10"/>
    <n v="26"/>
    <x v="6"/>
    <n v="149.33000000000001"/>
    <n v="3882.58"/>
    <n v="3173.6208919999999"/>
    <n v="33337.739671764539"/>
    <x v="0"/>
    <n v="18.260000000000002"/>
    <b v="1"/>
    <d v="2024-01-20T00:00:00"/>
    <x v="2"/>
    <x v="0"/>
    <n v="53"/>
    <x v="0"/>
    <s v="Cash"/>
    <s v="Returned"/>
  </r>
  <r>
    <s v="TID_210"/>
    <x v="7"/>
    <x v="2"/>
    <x v="2"/>
    <x v="0"/>
    <x v="0"/>
    <x v="3"/>
    <n v="2"/>
    <n v="6"/>
    <n v="6"/>
    <n v="9"/>
    <n v="59"/>
    <x v="4"/>
    <n v="65.47"/>
    <n v="3862.73"/>
    <n v="3600.0643599999999"/>
    <n v="32911.296203764541"/>
    <x v="1"/>
    <n v="6.8"/>
    <b v="1"/>
    <d v="2023-05-27T00:00:00"/>
    <x v="1"/>
    <x v="1"/>
    <n v="53"/>
    <x v="1"/>
    <s v="Cash"/>
    <s v="Returned"/>
  </r>
  <r>
    <s v="TID_3"/>
    <x v="1"/>
    <x v="0"/>
    <x v="2"/>
    <x v="2"/>
    <x v="1"/>
    <x v="1"/>
    <n v="5"/>
    <n v="4"/>
    <n v="10"/>
    <n v="10"/>
    <n v="4"/>
    <x v="6"/>
    <n v="965"/>
    <n v="3860"/>
    <n v="3860"/>
    <n v="32651.360563764538"/>
    <x v="1"/>
    <n v="10.68"/>
    <b v="0"/>
    <d v="2023-03-20T00:00:00"/>
    <x v="2"/>
    <x v="1"/>
    <n v="31"/>
    <x v="1"/>
    <s v="Debit Card"/>
    <s v="Returned"/>
  </r>
  <r>
    <s v="TID_1135"/>
    <x v="4"/>
    <x v="2"/>
    <x v="0"/>
    <x v="0"/>
    <x v="3"/>
    <x v="0"/>
    <n v="6"/>
    <n v="6"/>
    <n v="6"/>
    <n v="10"/>
    <n v="13"/>
    <x v="6"/>
    <n v="296.69"/>
    <n v="3856.97"/>
    <n v="3605.881253"/>
    <n v="32905.479310764538"/>
    <x v="1"/>
    <n v="6.51"/>
    <b v="1"/>
    <d v="2024-05-02T00:00:00"/>
    <x v="1"/>
    <x v="0"/>
    <n v="68"/>
    <x v="0"/>
    <s v="Credit Card"/>
    <s v="Not Returned"/>
  </r>
  <r>
    <s v="TID_592"/>
    <x v="5"/>
    <x v="2"/>
    <x v="0"/>
    <x v="2"/>
    <x v="4"/>
    <x v="1"/>
    <n v="7"/>
    <n v="6"/>
    <n v="10"/>
    <n v="10"/>
    <n v="73"/>
    <x v="3"/>
    <n v="52.3"/>
    <n v="3817.9"/>
    <n v="3510.1772599999999"/>
    <n v="33001.183303764541"/>
    <x v="1"/>
    <n v="8.06"/>
    <b v="1"/>
    <d v="2024-02-13T00:00:00"/>
    <x v="2"/>
    <x v="0"/>
    <n v="36"/>
    <x v="2"/>
    <s v="Cash"/>
    <s v="Not Returned"/>
  </r>
  <r>
    <s v="TID_254"/>
    <x v="1"/>
    <x v="0"/>
    <x v="2"/>
    <x v="2"/>
    <x v="0"/>
    <x v="2"/>
    <n v="5"/>
    <n v="4"/>
    <n v="10"/>
    <n v="10"/>
    <n v="16"/>
    <x v="6"/>
    <n v="238.35"/>
    <n v="3813.6"/>
    <n v="3813.6"/>
    <n v="32697.760563764539"/>
    <x v="1"/>
    <n v="1.38"/>
    <b v="0"/>
    <d v="2023-02-07T00:00:00"/>
    <x v="2"/>
    <x v="1"/>
    <n v="25"/>
    <x v="1"/>
    <s v="Online Payment"/>
    <s v="Not Returned"/>
  </r>
  <r>
    <s v="TID_1872"/>
    <x v="3"/>
    <x v="0"/>
    <x v="2"/>
    <x v="0"/>
    <x v="1"/>
    <x v="3"/>
    <n v="5"/>
    <n v="4"/>
    <n v="6"/>
    <n v="9"/>
    <n v="59"/>
    <x v="4"/>
    <n v="64.599999999999994"/>
    <n v="3811.4"/>
    <n v="3612.4449199999999"/>
    <n v="32898.915643764536"/>
    <x v="0"/>
    <n v="5.22"/>
    <b v="1"/>
    <d v="2024-03-30T00:00:00"/>
    <x v="2"/>
    <x v="0"/>
    <n v="47"/>
    <x v="1"/>
    <s v="Credit Card"/>
    <s v="Returned"/>
  </r>
  <r>
    <s v="TID_1417"/>
    <x v="2"/>
    <x v="1"/>
    <x v="2"/>
    <x v="0"/>
    <x v="1"/>
    <x v="0"/>
    <n v="3"/>
    <n v="13"/>
    <n v="6"/>
    <n v="10"/>
    <n v="29"/>
    <x v="6"/>
    <n v="130.72999999999999"/>
    <n v="3791.17"/>
    <n v="3791.17"/>
    <n v="32720.19056376454"/>
    <x v="1"/>
    <n v="26.71"/>
    <b v="0"/>
    <d v="2023-08-18T00:00:00"/>
    <x v="3"/>
    <x v="1"/>
    <n v="53"/>
    <x v="0"/>
    <s v="Debit Card"/>
    <s v="Not Returned"/>
  </r>
  <r>
    <s v="TID_81"/>
    <x v="3"/>
    <x v="0"/>
    <x v="1"/>
    <x v="2"/>
    <x v="3"/>
    <x v="2"/>
    <n v="5"/>
    <n v="4"/>
    <n v="10"/>
    <n v="10"/>
    <n v="6"/>
    <x v="6"/>
    <n v="628.71"/>
    <n v="3772.26"/>
    <n v="2832.5900340000003"/>
    <n v="33678.770529764537"/>
    <x v="0"/>
    <n v="24.91"/>
    <b v="1"/>
    <d v="2023-02-03T00:00:00"/>
    <x v="2"/>
    <x v="1"/>
    <n v="69"/>
    <x v="1"/>
    <s v="Cash"/>
    <s v="Not Returned"/>
  </r>
  <r>
    <s v="TID_783"/>
    <x v="6"/>
    <x v="1"/>
    <x v="2"/>
    <x v="0"/>
    <x v="1"/>
    <x v="0"/>
    <n v="6"/>
    <n v="13"/>
    <n v="6"/>
    <n v="10"/>
    <n v="72"/>
    <x v="3"/>
    <n v="51.97"/>
    <n v="3741.84"/>
    <n v="3741.84"/>
    <n v="32769.520563764541"/>
    <x v="1"/>
    <n v="27.94"/>
    <b v="0"/>
    <d v="2023-02-12T00:00:00"/>
    <x v="2"/>
    <x v="1"/>
    <n v="32"/>
    <x v="0"/>
    <s v="Credit Card"/>
    <s v="Returned"/>
  </r>
  <r>
    <s v="TID_1944"/>
    <x v="1"/>
    <x v="0"/>
    <x v="1"/>
    <x v="2"/>
    <x v="3"/>
    <x v="0"/>
    <n v="5"/>
    <n v="4"/>
    <n v="10"/>
    <n v="10"/>
    <n v="70"/>
    <x v="3"/>
    <n v="52.8"/>
    <n v="3696"/>
    <n v="3696"/>
    <n v="32815.360563764538"/>
    <x v="1"/>
    <n v="28.15"/>
    <b v="0"/>
    <d v="2024-06-12T00:00:00"/>
    <x v="1"/>
    <x v="0"/>
    <n v="49"/>
    <x v="2"/>
    <s v="Credit Card"/>
    <s v="Returned"/>
  </r>
  <r>
    <s v="TID_189"/>
    <x v="8"/>
    <x v="3"/>
    <x v="3"/>
    <x v="0"/>
    <x v="4"/>
    <x v="0"/>
    <n v="9"/>
    <n v="7"/>
    <n v="6"/>
    <n v="10"/>
    <n v="26"/>
    <x v="6"/>
    <n v="140.55000000000001"/>
    <n v="3654.3"/>
    <n v="3409.4619000000002"/>
    <n v="33101.898663764536"/>
    <x v="1"/>
    <n v="6.7"/>
    <b v="1"/>
    <d v="2023-03-07T00:00:00"/>
    <x v="2"/>
    <x v="1"/>
    <n v="46"/>
    <x v="2"/>
    <s v="Cash"/>
    <s v="Returned"/>
  </r>
  <r>
    <s v="TID_1198"/>
    <x v="6"/>
    <x v="1"/>
    <x v="0"/>
    <x v="2"/>
    <x v="2"/>
    <x v="1"/>
    <n v="6"/>
    <n v="13"/>
    <n v="10"/>
    <n v="10"/>
    <n v="20"/>
    <x v="6"/>
    <n v="180.66"/>
    <n v="3613.2"/>
    <n v="3123.6114000000002"/>
    <n v="33387.749163764536"/>
    <x v="0"/>
    <n v="13.55"/>
    <b v="1"/>
    <d v="2024-10-20T00:00:00"/>
    <x v="0"/>
    <x v="0"/>
    <n v="18"/>
    <x v="1"/>
    <s v="Credit Card"/>
    <s v="Returned"/>
  </r>
  <r>
    <s v="TID_209"/>
    <x v="9"/>
    <x v="4"/>
    <x v="1"/>
    <x v="2"/>
    <x v="3"/>
    <x v="2"/>
    <n v="6"/>
    <n v="13"/>
    <n v="10"/>
    <n v="10"/>
    <n v="10"/>
    <x v="6"/>
    <n v="359.67"/>
    <n v="3596.7"/>
    <n v="3596.7"/>
    <n v="32914.660563764541"/>
    <x v="1"/>
    <n v="20.65"/>
    <b v="0"/>
    <d v="2023-12-14T00:00:00"/>
    <x v="0"/>
    <x v="1"/>
    <n v="32"/>
    <x v="1"/>
    <s v="Credit Card"/>
    <s v="Returned"/>
  </r>
  <r>
    <s v="TID_1402"/>
    <x v="8"/>
    <x v="3"/>
    <x v="0"/>
    <x v="1"/>
    <x v="0"/>
    <x v="3"/>
    <n v="9"/>
    <n v="7"/>
    <n v="10"/>
    <n v="9"/>
    <n v="3"/>
    <x v="6"/>
    <n v="1195.33"/>
    <n v="3585.99"/>
    <n v="3585.99"/>
    <n v="32925.37056376454"/>
    <x v="1"/>
    <n v="22.96"/>
    <b v="0"/>
    <d v="2023-05-22T00:00:00"/>
    <x v="1"/>
    <x v="1"/>
    <n v="68"/>
    <x v="0"/>
    <s v="Debit Card"/>
    <s v="Not Returned"/>
  </r>
  <r>
    <s v="TID_409"/>
    <x v="7"/>
    <x v="2"/>
    <x v="0"/>
    <x v="2"/>
    <x v="2"/>
    <x v="1"/>
    <n v="2"/>
    <n v="6"/>
    <n v="10"/>
    <n v="10"/>
    <n v="4"/>
    <x v="6"/>
    <n v="893.39"/>
    <n v="3573.56"/>
    <n v="3573.56"/>
    <n v="32937.80056376454"/>
    <x v="1"/>
    <n v="29.66"/>
    <b v="0"/>
    <d v="2024-11-01T00:00:00"/>
    <x v="0"/>
    <x v="0"/>
    <n v="49"/>
    <x v="1"/>
    <s v="Debit Card"/>
    <s v="Returned"/>
  </r>
  <r>
    <s v="TID_1165"/>
    <x v="5"/>
    <x v="2"/>
    <x v="3"/>
    <x v="0"/>
    <x v="4"/>
    <x v="2"/>
    <n v="7"/>
    <n v="6"/>
    <n v="6"/>
    <n v="10"/>
    <n v="3"/>
    <x v="6"/>
    <n v="1171.79"/>
    <n v="3515.37"/>
    <n v="3515.37"/>
    <n v="32995.990563764535"/>
    <x v="0"/>
    <n v="17.059999999999999"/>
    <b v="0"/>
    <d v="2024-02-11T00:00:00"/>
    <x v="2"/>
    <x v="0"/>
    <n v="24"/>
    <x v="1"/>
    <s v="Credit Card"/>
    <s v="Not Returned"/>
  </r>
  <r>
    <s v="TID_1424"/>
    <x v="0"/>
    <x v="0"/>
    <x v="1"/>
    <x v="2"/>
    <x v="3"/>
    <x v="1"/>
    <n v="5"/>
    <n v="4"/>
    <n v="10"/>
    <n v="10"/>
    <n v="49"/>
    <x v="5"/>
    <n v="71.47"/>
    <n v="3502.03"/>
    <n v="3502.03"/>
    <n v="33009.330563764539"/>
    <x v="0"/>
    <n v="23.8"/>
    <b v="0"/>
    <d v="2023-07-14T00:00:00"/>
    <x v="3"/>
    <x v="1"/>
    <n v="46"/>
    <x v="0"/>
    <s v="Online Payment"/>
    <s v="Not Returned"/>
  </r>
  <r>
    <s v="TID_517"/>
    <x v="4"/>
    <x v="2"/>
    <x v="0"/>
    <x v="0"/>
    <x v="3"/>
    <x v="3"/>
    <n v="6"/>
    <n v="6"/>
    <n v="6"/>
    <n v="9"/>
    <n v="4"/>
    <x v="6"/>
    <n v="871.13"/>
    <n v="3484.52"/>
    <n v="2885.5310119999999"/>
    <n v="33625.829551764538"/>
    <x v="0"/>
    <n v="17.190000000000001"/>
    <b v="1"/>
    <d v="2024-01-04T00:00:00"/>
    <x v="2"/>
    <x v="0"/>
    <n v="48"/>
    <x v="2"/>
    <s v="Cash"/>
    <s v="Returned"/>
  </r>
  <r>
    <s v="TID_1774"/>
    <x v="6"/>
    <x v="1"/>
    <x v="2"/>
    <x v="1"/>
    <x v="1"/>
    <x v="1"/>
    <n v="6"/>
    <n v="13"/>
    <n v="10"/>
    <n v="10"/>
    <n v="5"/>
    <x v="6"/>
    <n v="696.62"/>
    <n v="3483.1"/>
    <n v="3483.1"/>
    <n v="33028.260563764539"/>
    <x v="0"/>
    <n v="5.87"/>
    <b v="0"/>
    <d v="2023-01-24T00:00:00"/>
    <x v="2"/>
    <x v="1"/>
    <n v="20"/>
    <x v="0"/>
    <s v="Debit Card"/>
    <s v="Returned"/>
  </r>
  <r>
    <s v="TID_1016"/>
    <x v="0"/>
    <x v="0"/>
    <x v="0"/>
    <x v="2"/>
    <x v="1"/>
    <x v="2"/>
    <n v="5"/>
    <n v="4"/>
    <n v="10"/>
    <n v="10"/>
    <n v="56"/>
    <x v="4"/>
    <n v="61.98"/>
    <n v="3470.88"/>
    <n v="3325.4501279999999"/>
    <n v="33185.910435764541"/>
    <x v="0"/>
    <n v="4.1900000000000004"/>
    <b v="1"/>
    <d v="2024-07-28T00:00:00"/>
    <x v="3"/>
    <x v="0"/>
    <n v="57"/>
    <x v="0"/>
    <s v="Online Payment"/>
    <s v="Not Returned"/>
  </r>
  <r>
    <s v="TID_276"/>
    <x v="2"/>
    <x v="1"/>
    <x v="2"/>
    <x v="2"/>
    <x v="3"/>
    <x v="0"/>
    <n v="3"/>
    <n v="13"/>
    <n v="10"/>
    <n v="10"/>
    <n v="4"/>
    <x v="6"/>
    <n v="863.46"/>
    <n v="3453.84"/>
    <n v="3453.84"/>
    <n v="33057.520563764541"/>
    <x v="0"/>
    <n v="8.75"/>
    <b v="0"/>
    <d v="2024-08-31T00:00:00"/>
    <x v="3"/>
    <x v="0"/>
    <n v="67"/>
    <x v="2"/>
    <s v="Credit Card"/>
    <s v="Returned"/>
  </r>
  <r>
    <s v="TID_524"/>
    <x v="4"/>
    <x v="2"/>
    <x v="1"/>
    <x v="2"/>
    <x v="2"/>
    <x v="2"/>
    <n v="6"/>
    <n v="6"/>
    <n v="10"/>
    <n v="10"/>
    <n v="12"/>
    <x v="6"/>
    <n v="287.25"/>
    <n v="3447"/>
    <n v="3447"/>
    <n v="33064.360563764538"/>
    <x v="1"/>
    <n v="21.09"/>
    <b v="0"/>
    <d v="2023-06-24T00:00:00"/>
    <x v="1"/>
    <x v="1"/>
    <n v="38"/>
    <x v="0"/>
    <s v="Debit Card"/>
    <s v="Not Returned"/>
  </r>
  <r>
    <s v="TID_208"/>
    <x v="7"/>
    <x v="2"/>
    <x v="0"/>
    <x v="1"/>
    <x v="0"/>
    <x v="3"/>
    <n v="2"/>
    <n v="6"/>
    <n v="10"/>
    <n v="9"/>
    <n v="3"/>
    <x v="6"/>
    <n v="1130.46"/>
    <n v="3391.38"/>
    <n v="3308.6303280000002"/>
    <n v="33202.730235764539"/>
    <x v="0"/>
    <n v="2.44"/>
    <b v="1"/>
    <d v="2024-02-27T00:00:00"/>
    <x v="2"/>
    <x v="0"/>
    <n v="69"/>
    <x v="2"/>
    <s v="Debit Card"/>
    <s v="Not Returned"/>
  </r>
  <r>
    <s v="TID_112"/>
    <x v="7"/>
    <x v="2"/>
    <x v="3"/>
    <x v="0"/>
    <x v="1"/>
    <x v="2"/>
    <n v="2"/>
    <n v="6"/>
    <n v="6"/>
    <n v="10"/>
    <n v="18"/>
    <x v="6"/>
    <n v="187.81"/>
    <n v="3380.58"/>
    <n v="2708.520696"/>
    <n v="33802.839867764538"/>
    <x v="0"/>
    <n v="19.88"/>
    <b v="1"/>
    <d v="2023-05-02T00:00:00"/>
    <x v="1"/>
    <x v="1"/>
    <n v="41"/>
    <x v="1"/>
    <s v="Debit Card"/>
    <s v="Returned"/>
  </r>
  <r>
    <s v="TID_756"/>
    <x v="8"/>
    <x v="3"/>
    <x v="0"/>
    <x v="1"/>
    <x v="1"/>
    <x v="2"/>
    <n v="9"/>
    <n v="7"/>
    <n v="10"/>
    <n v="10"/>
    <n v="10"/>
    <x v="6"/>
    <n v="338.04"/>
    <n v="3380.4"/>
    <n v="3380.4"/>
    <n v="33130.960563764536"/>
    <x v="1"/>
    <n v="8.08"/>
    <b v="0"/>
    <d v="2024-09-27T00:00:00"/>
    <x v="3"/>
    <x v="0"/>
    <n v="63"/>
    <x v="0"/>
    <s v="Online Payment"/>
    <s v="Not Returned"/>
  </r>
  <r>
    <s v="TID_1275"/>
    <x v="4"/>
    <x v="2"/>
    <x v="1"/>
    <x v="1"/>
    <x v="1"/>
    <x v="1"/>
    <n v="6"/>
    <n v="6"/>
    <n v="10"/>
    <n v="10"/>
    <n v="17"/>
    <x v="6"/>
    <n v="198.01"/>
    <n v="3366.17"/>
    <n v="2815.4645880000003"/>
    <n v="33695.895975764535"/>
    <x v="0"/>
    <n v="16.36"/>
    <b v="1"/>
    <d v="2023-05-02T00:00:00"/>
    <x v="1"/>
    <x v="1"/>
    <n v="66"/>
    <x v="1"/>
    <s v="Cash"/>
    <s v="Not Returned"/>
  </r>
  <r>
    <s v="TID_1139"/>
    <x v="9"/>
    <x v="4"/>
    <x v="1"/>
    <x v="1"/>
    <x v="0"/>
    <x v="3"/>
    <n v="6"/>
    <n v="13"/>
    <n v="10"/>
    <n v="9"/>
    <n v="38"/>
    <x v="6"/>
    <n v="88.57"/>
    <n v="3365.66"/>
    <n v="3010.9194360000001"/>
    <n v="33500.441127764541"/>
    <x v="0"/>
    <n v="10.54"/>
    <b v="1"/>
    <d v="2024-01-05T00:00:00"/>
    <x v="2"/>
    <x v="0"/>
    <n v="29"/>
    <x v="0"/>
    <s v="Debit Card"/>
    <s v="Not Returned"/>
  </r>
  <r>
    <s v="TID_1810"/>
    <x v="1"/>
    <x v="0"/>
    <x v="2"/>
    <x v="2"/>
    <x v="0"/>
    <x v="3"/>
    <n v="5"/>
    <n v="4"/>
    <n v="10"/>
    <n v="9"/>
    <n v="5"/>
    <x v="6"/>
    <n v="669.34"/>
    <n v="3346.7"/>
    <n v="2907.2782899999997"/>
    <n v="33604.082273764536"/>
    <x v="1"/>
    <n v="13.13"/>
    <b v="1"/>
    <d v="2023-07-19T00:00:00"/>
    <x v="3"/>
    <x v="1"/>
    <n v="33"/>
    <x v="0"/>
    <s v="Debit Card"/>
    <s v="Not Returned"/>
  </r>
  <r>
    <s v="TID_722"/>
    <x v="1"/>
    <x v="0"/>
    <x v="1"/>
    <x v="2"/>
    <x v="1"/>
    <x v="2"/>
    <n v="5"/>
    <n v="4"/>
    <n v="10"/>
    <n v="10"/>
    <n v="3"/>
    <x v="6"/>
    <n v="1114.46"/>
    <n v="3343.38"/>
    <n v="2533.6133640000003"/>
    <n v="33977.747199764541"/>
    <x v="1"/>
    <n v="24.22"/>
    <b v="1"/>
    <d v="2024-06-09T00:00:00"/>
    <x v="1"/>
    <x v="0"/>
    <n v="65"/>
    <x v="0"/>
    <s v="Online Payment"/>
    <s v="Returned"/>
  </r>
  <r>
    <s v="TID_1556"/>
    <x v="2"/>
    <x v="1"/>
    <x v="0"/>
    <x v="1"/>
    <x v="3"/>
    <x v="2"/>
    <n v="3"/>
    <n v="13"/>
    <n v="10"/>
    <n v="10"/>
    <n v="20"/>
    <x v="6"/>
    <n v="165.79"/>
    <n v="3315.8"/>
    <n v="3315.8"/>
    <n v="33195.560563764535"/>
    <x v="1"/>
    <n v="28.56"/>
    <b v="0"/>
    <d v="2024-07-28T00:00:00"/>
    <x v="3"/>
    <x v="0"/>
    <n v="49"/>
    <x v="0"/>
    <s v="Debit Card"/>
    <s v="Not Returned"/>
  </r>
  <r>
    <s v="TID_1790"/>
    <x v="9"/>
    <x v="4"/>
    <x v="2"/>
    <x v="1"/>
    <x v="2"/>
    <x v="2"/>
    <n v="6"/>
    <n v="13"/>
    <n v="10"/>
    <n v="10"/>
    <n v="40"/>
    <x v="5"/>
    <n v="82.78"/>
    <n v="3311.2"/>
    <n v="3311.2"/>
    <n v="33200.160563764541"/>
    <x v="0"/>
    <n v="24.09"/>
    <b v="0"/>
    <d v="2024-01-31T00:00:00"/>
    <x v="2"/>
    <x v="0"/>
    <n v="37"/>
    <x v="0"/>
    <s v="Cash"/>
    <s v="Returned"/>
  </r>
  <r>
    <s v="TID_1718"/>
    <x v="7"/>
    <x v="2"/>
    <x v="1"/>
    <x v="2"/>
    <x v="1"/>
    <x v="1"/>
    <n v="2"/>
    <n v="6"/>
    <n v="10"/>
    <n v="10"/>
    <n v="41"/>
    <x v="5"/>
    <n v="80.349999999999994"/>
    <n v="3294.35"/>
    <n v="3294.35"/>
    <n v="33217.010563764539"/>
    <x v="1"/>
    <n v="18.16"/>
    <b v="0"/>
    <d v="2024-03-28T00:00:00"/>
    <x v="2"/>
    <x v="0"/>
    <n v="50"/>
    <x v="2"/>
    <s v="Credit Card"/>
    <s v="Returned"/>
  </r>
  <r>
    <s v="TID_1894"/>
    <x v="9"/>
    <x v="4"/>
    <x v="1"/>
    <x v="2"/>
    <x v="3"/>
    <x v="0"/>
    <n v="6"/>
    <n v="13"/>
    <n v="10"/>
    <n v="10"/>
    <n v="9"/>
    <x v="6"/>
    <n v="365.96"/>
    <n v="3293.64"/>
    <n v="2396.7818280000001"/>
    <n v="34114.578735764539"/>
    <x v="1"/>
    <n v="27.23"/>
    <b v="1"/>
    <d v="2024-07-17T00:00:00"/>
    <x v="3"/>
    <x v="0"/>
    <n v="62"/>
    <x v="2"/>
    <s v="Credit Card"/>
    <s v="Returned"/>
  </r>
  <r>
    <s v="TID_1666"/>
    <x v="3"/>
    <x v="0"/>
    <x v="1"/>
    <x v="2"/>
    <x v="0"/>
    <x v="3"/>
    <n v="5"/>
    <n v="4"/>
    <n v="10"/>
    <n v="9"/>
    <n v="53"/>
    <x v="4"/>
    <n v="61.29"/>
    <n v="3248.37"/>
    <n v="3248.37"/>
    <n v="33262.990563764535"/>
    <x v="0"/>
    <n v="6.15"/>
    <b v="0"/>
    <d v="2024-06-16T00:00:00"/>
    <x v="1"/>
    <x v="0"/>
    <n v="42"/>
    <x v="2"/>
    <s v="Cash"/>
    <s v="Returned"/>
  </r>
  <r>
    <s v="TID_14"/>
    <x v="7"/>
    <x v="2"/>
    <x v="1"/>
    <x v="1"/>
    <x v="2"/>
    <x v="3"/>
    <n v="2"/>
    <n v="6"/>
    <n v="10"/>
    <n v="9"/>
    <n v="14"/>
    <x v="6"/>
    <n v="232.01"/>
    <n v="3248.14"/>
    <n v="2840.4984300000001"/>
    <n v="33670.862133764538"/>
    <x v="1"/>
    <n v="12.55"/>
    <b v="1"/>
    <d v="2023-06-21T00:00:00"/>
    <x v="1"/>
    <x v="1"/>
    <n v="27"/>
    <x v="2"/>
    <s v="Online Payment"/>
    <s v="Not Returned"/>
  </r>
  <r>
    <s v="TID_1178"/>
    <x v="1"/>
    <x v="0"/>
    <x v="1"/>
    <x v="1"/>
    <x v="2"/>
    <x v="2"/>
    <n v="5"/>
    <n v="4"/>
    <n v="10"/>
    <n v="10"/>
    <n v="17"/>
    <x v="6"/>
    <n v="190.05"/>
    <n v="3230.85"/>
    <n v="3230.85"/>
    <n v="33280.510563764539"/>
    <x v="0"/>
    <n v="14.01"/>
    <b v="0"/>
    <d v="2024-03-19T00:00:00"/>
    <x v="2"/>
    <x v="0"/>
    <n v="26"/>
    <x v="1"/>
    <s v="Debit Card"/>
    <s v="Not Returned"/>
  </r>
  <r>
    <s v="TID_1007"/>
    <x v="4"/>
    <x v="2"/>
    <x v="1"/>
    <x v="2"/>
    <x v="1"/>
    <x v="0"/>
    <n v="6"/>
    <n v="6"/>
    <n v="10"/>
    <n v="10"/>
    <n v="3"/>
    <x v="6"/>
    <n v="1069.27"/>
    <n v="3207.81"/>
    <n v="3207.81"/>
    <n v="33303.55056376454"/>
    <x v="1"/>
    <n v="3.35"/>
    <b v="0"/>
    <d v="2024-07-15T00:00:00"/>
    <x v="3"/>
    <x v="0"/>
    <n v="21"/>
    <x v="0"/>
    <s v="Online Payment"/>
    <s v="Returned"/>
  </r>
  <r>
    <s v="TID_40"/>
    <x v="5"/>
    <x v="2"/>
    <x v="3"/>
    <x v="0"/>
    <x v="3"/>
    <x v="3"/>
    <n v="7"/>
    <n v="6"/>
    <n v="6"/>
    <n v="9"/>
    <n v="5"/>
    <x v="6"/>
    <n v="641.42999999999995"/>
    <n v="3207.15"/>
    <n v="2593.3014899999998"/>
    <n v="33918.05907376454"/>
    <x v="0"/>
    <n v="19.14"/>
    <b v="1"/>
    <d v="2023-03-22T00:00:00"/>
    <x v="2"/>
    <x v="1"/>
    <n v="62"/>
    <x v="1"/>
    <s v="Online Payment"/>
    <s v="Returned"/>
  </r>
  <r>
    <s v="TID_38"/>
    <x v="3"/>
    <x v="0"/>
    <x v="2"/>
    <x v="1"/>
    <x v="2"/>
    <x v="3"/>
    <n v="5"/>
    <n v="4"/>
    <n v="10"/>
    <n v="9"/>
    <n v="13"/>
    <x v="6"/>
    <n v="246.1"/>
    <n v="3199.3"/>
    <n v="2866.5728000000004"/>
    <n v="33644.787763764536"/>
    <x v="0"/>
    <n v="10.4"/>
    <b v="1"/>
    <d v="2023-11-12T00:00:00"/>
    <x v="0"/>
    <x v="1"/>
    <n v="40"/>
    <x v="2"/>
    <s v="Credit Card"/>
    <s v="Not Returned"/>
  </r>
  <r>
    <s v="TID_1033"/>
    <x v="0"/>
    <x v="0"/>
    <x v="0"/>
    <x v="1"/>
    <x v="4"/>
    <x v="1"/>
    <n v="5"/>
    <n v="4"/>
    <n v="10"/>
    <n v="10"/>
    <n v="23"/>
    <x v="6"/>
    <n v="138.88"/>
    <n v="3194.24"/>
    <n v="2619.2768000000001"/>
    <n v="33892.083763764538"/>
    <x v="0"/>
    <n v="18"/>
    <b v="1"/>
    <d v="2023-03-31T00:00:00"/>
    <x v="2"/>
    <x v="1"/>
    <n v="58"/>
    <x v="1"/>
    <s v="Cash"/>
    <s v="Returned"/>
  </r>
  <r>
    <s v="TID_1899"/>
    <x v="5"/>
    <x v="2"/>
    <x v="0"/>
    <x v="0"/>
    <x v="2"/>
    <x v="1"/>
    <n v="7"/>
    <n v="6"/>
    <n v="6"/>
    <n v="10"/>
    <n v="42"/>
    <x v="5"/>
    <n v="75.27"/>
    <n v="3161.34"/>
    <n v="3161.34"/>
    <n v="33350.020563764541"/>
    <x v="1"/>
    <n v="6.42"/>
    <b v="0"/>
    <d v="2023-08-20T00:00:00"/>
    <x v="3"/>
    <x v="1"/>
    <n v="43"/>
    <x v="1"/>
    <s v="Online Payment"/>
    <s v="Not Returned"/>
  </r>
  <r>
    <s v="TID_1508"/>
    <x v="8"/>
    <x v="3"/>
    <x v="3"/>
    <x v="0"/>
    <x v="2"/>
    <x v="0"/>
    <n v="9"/>
    <n v="7"/>
    <n v="6"/>
    <n v="10"/>
    <n v="20"/>
    <x v="6"/>
    <n v="157.78"/>
    <n v="3155.6"/>
    <n v="2846.0356400000001"/>
    <n v="33665.324923764536"/>
    <x v="1"/>
    <n v="9.81"/>
    <b v="1"/>
    <d v="2023-11-09T00:00:00"/>
    <x v="0"/>
    <x v="1"/>
    <n v="44"/>
    <x v="1"/>
    <s v="Debit Card"/>
    <s v="Returned"/>
  </r>
  <r>
    <s v="TID_24"/>
    <x v="8"/>
    <x v="3"/>
    <x v="0"/>
    <x v="2"/>
    <x v="0"/>
    <x v="2"/>
    <n v="9"/>
    <n v="7"/>
    <n v="10"/>
    <n v="10"/>
    <n v="8"/>
    <x v="6"/>
    <n v="393.02"/>
    <n v="3144.16"/>
    <n v="2916.2084"/>
    <n v="33595.152163764535"/>
    <x v="0"/>
    <n v="7.25"/>
    <b v="1"/>
    <d v="2023-09-26T00:00:00"/>
    <x v="3"/>
    <x v="1"/>
    <n v="48"/>
    <x v="2"/>
    <s v="Credit Card"/>
    <s v="Not Returned"/>
  </r>
  <r>
    <s v="TID_1912"/>
    <x v="8"/>
    <x v="3"/>
    <x v="0"/>
    <x v="0"/>
    <x v="2"/>
    <x v="0"/>
    <n v="9"/>
    <n v="7"/>
    <n v="6"/>
    <n v="10"/>
    <n v="13"/>
    <x v="6"/>
    <n v="239.77"/>
    <n v="3117.01"/>
    <n v="3117.01"/>
    <n v="33394.350563764536"/>
    <x v="0"/>
    <n v="26.54"/>
    <b v="0"/>
    <d v="2023-07-11T00:00:00"/>
    <x v="3"/>
    <x v="1"/>
    <n v="68"/>
    <x v="1"/>
    <s v="Online Payment"/>
    <s v="Not Returned"/>
  </r>
  <r>
    <s v="TID_711"/>
    <x v="0"/>
    <x v="0"/>
    <x v="3"/>
    <x v="1"/>
    <x v="1"/>
    <x v="1"/>
    <n v="5"/>
    <n v="4"/>
    <n v="10"/>
    <n v="10"/>
    <n v="5"/>
    <x v="6"/>
    <n v="617.92999999999995"/>
    <n v="3089.65"/>
    <n v="2531.0412800000004"/>
    <n v="33980.31928376454"/>
    <x v="0"/>
    <n v="18.079999999999998"/>
    <b v="1"/>
    <d v="2024-09-03T00:00:00"/>
    <x v="3"/>
    <x v="0"/>
    <n v="63"/>
    <x v="0"/>
    <s v="Debit Card"/>
    <s v="Not Returned"/>
  </r>
  <r>
    <s v="TID_1568"/>
    <x v="7"/>
    <x v="2"/>
    <x v="0"/>
    <x v="1"/>
    <x v="0"/>
    <x v="0"/>
    <n v="2"/>
    <n v="6"/>
    <n v="10"/>
    <n v="10"/>
    <n v="26"/>
    <x v="6"/>
    <n v="118.21"/>
    <n v="3073.46"/>
    <n v="3015.3716060000002"/>
    <n v="33495.988957764537"/>
    <x v="0"/>
    <n v="1.89"/>
    <b v="1"/>
    <d v="2023-06-15T00:00:00"/>
    <x v="1"/>
    <x v="1"/>
    <n v="35"/>
    <x v="2"/>
    <s v="Online Payment"/>
    <s v="Not Returned"/>
  </r>
  <r>
    <s v="TID_1766"/>
    <x v="4"/>
    <x v="2"/>
    <x v="3"/>
    <x v="1"/>
    <x v="1"/>
    <x v="3"/>
    <n v="6"/>
    <n v="6"/>
    <n v="10"/>
    <n v="9"/>
    <n v="43"/>
    <x v="5"/>
    <n v="70.59"/>
    <n v="3035.37"/>
    <n v="3035.37"/>
    <n v="33475.990563764535"/>
    <x v="1"/>
    <n v="14.26"/>
    <b v="0"/>
    <d v="2023-10-31T00:00:00"/>
    <x v="0"/>
    <x v="1"/>
    <n v="67"/>
    <x v="0"/>
    <s v="Debit Card"/>
    <s v="Not Returned"/>
  </r>
  <r>
    <s v="TID_611"/>
    <x v="4"/>
    <x v="2"/>
    <x v="2"/>
    <x v="2"/>
    <x v="0"/>
    <x v="2"/>
    <n v="6"/>
    <n v="6"/>
    <n v="10"/>
    <n v="10"/>
    <n v="58"/>
    <x v="4"/>
    <n v="52.29"/>
    <n v="3032.82"/>
    <n v="3032.82"/>
    <n v="33478.540563764538"/>
    <x v="0"/>
    <n v="21.16"/>
    <b v="0"/>
    <d v="2023-01-28T00:00:00"/>
    <x v="2"/>
    <x v="1"/>
    <n v="18"/>
    <x v="2"/>
    <s v="Debit Card"/>
    <s v="Not Returned"/>
  </r>
  <r>
    <s v="TID_1224"/>
    <x v="7"/>
    <x v="2"/>
    <x v="2"/>
    <x v="1"/>
    <x v="0"/>
    <x v="3"/>
    <n v="2"/>
    <n v="6"/>
    <n v="10"/>
    <n v="9"/>
    <n v="12"/>
    <x v="6"/>
    <n v="250.48"/>
    <n v="3005.76"/>
    <n v="3005.76"/>
    <n v="33505.600563764536"/>
    <x v="1"/>
    <n v="16.62"/>
    <b v="0"/>
    <d v="2024-02-13T00:00:00"/>
    <x v="2"/>
    <x v="0"/>
    <n v="27"/>
    <x v="2"/>
    <s v="Credit Card"/>
    <s v="Not Returned"/>
  </r>
  <r>
    <s v="TID_1080"/>
    <x v="3"/>
    <x v="0"/>
    <x v="2"/>
    <x v="1"/>
    <x v="4"/>
    <x v="2"/>
    <n v="5"/>
    <n v="4"/>
    <n v="10"/>
    <n v="10"/>
    <n v="24"/>
    <x v="6"/>
    <n v="125.23"/>
    <n v="3005.52"/>
    <n v="3005.52"/>
    <n v="33505.840563764541"/>
    <x v="1"/>
    <n v="7.07"/>
    <b v="0"/>
    <d v="2024-06-05T00:00:00"/>
    <x v="1"/>
    <x v="0"/>
    <n v="32"/>
    <x v="0"/>
    <s v="Cash"/>
    <s v="Not Returned"/>
  </r>
  <r>
    <s v="TID_1261"/>
    <x v="2"/>
    <x v="1"/>
    <x v="1"/>
    <x v="1"/>
    <x v="4"/>
    <x v="2"/>
    <n v="3"/>
    <n v="13"/>
    <n v="10"/>
    <n v="10"/>
    <n v="26"/>
    <x v="6"/>
    <n v="115.42"/>
    <n v="3000.92"/>
    <n v="2515.0710519999998"/>
    <n v="33996.289511764538"/>
    <x v="1"/>
    <n v="16.190000000000001"/>
    <b v="1"/>
    <d v="2024-10-06T00:00:00"/>
    <x v="0"/>
    <x v="0"/>
    <n v="29"/>
    <x v="2"/>
    <s v="Online Payment"/>
    <s v="Not Returned"/>
  </r>
  <r>
    <s v="TID_134"/>
    <x v="8"/>
    <x v="3"/>
    <x v="0"/>
    <x v="0"/>
    <x v="2"/>
    <x v="3"/>
    <n v="9"/>
    <n v="7"/>
    <n v="6"/>
    <n v="9"/>
    <n v="10"/>
    <x v="6"/>
    <n v="298.52999999999997"/>
    <n v="2985.3"/>
    <n v="2648.8566900000001"/>
    <n v="33862.503873764537"/>
    <x v="0"/>
    <n v="11.27"/>
    <b v="1"/>
    <d v="2023-04-23T00:00:00"/>
    <x v="1"/>
    <x v="1"/>
    <n v="45"/>
    <x v="2"/>
    <s v="Debit Card"/>
    <s v="Returned"/>
  </r>
  <r>
    <s v="TID_1485"/>
    <x v="3"/>
    <x v="0"/>
    <x v="3"/>
    <x v="0"/>
    <x v="2"/>
    <x v="3"/>
    <n v="5"/>
    <n v="4"/>
    <n v="6"/>
    <n v="9"/>
    <n v="7"/>
    <x v="6"/>
    <n v="425.04"/>
    <n v="2975.28"/>
    <n v="2127.6227280000003"/>
    <n v="34383.737835764536"/>
    <x v="0"/>
    <n v="28.49"/>
    <b v="1"/>
    <d v="2023-11-30T00:00:00"/>
    <x v="0"/>
    <x v="1"/>
    <n v="32"/>
    <x v="1"/>
    <s v="Cash"/>
    <s v="Not Returned"/>
  </r>
  <r>
    <s v="TID_1824"/>
    <x v="9"/>
    <x v="4"/>
    <x v="3"/>
    <x v="0"/>
    <x v="2"/>
    <x v="2"/>
    <n v="6"/>
    <n v="13"/>
    <n v="6"/>
    <n v="10"/>
    <n v="9"/>
    <x v="6"/>
    <n v="330.08"/>
    <n v="2970.72"/>
    <n v="2544.7187519999998"/>
    <n v="33966.641811764537"/>
    <x v="0"/>
    <n v="14.34"/>
    <b v="1"/>
    <d v="2024-10-01T00:00:00"/>
    <x v="0"/>
    <x v="0"/>
    <n v="51"/>
    <x v="0"/>
    <s v="Online Payment"/>
    <s v="Returned"/>
  </r>
  <r>
    <s v="TID_1972"/>
    <x v="6"/>
    <x v="1"/>
    <x v="0"/>
    <x v="2"/>
    <x v="3"/>
    <x v="3"/>
    <n v="6"/>
    <n v="13"/>
    <n v="10"/>
    <n v="9"/>
    <n v="57"/>
    <x v="4"/>
    <n v="51.64"/>
    <n v="2943.48"/>
    <n v="2872.8364799999999"/>
    <n v="33638.52408376454"/>
    <x v="0"/>
    <n v="2.4"/>
    <b v="1"/>
    <d v="2024-08-13T00:00:00"/>
    <x v="3"/>
    <x v="0"/>
    <n v="25"/>
    <x v="2"/>
    <s v="Credit Card"/>
    <s v="Not Returned"/>
  </r>
  <r>
    <s v="TID_921"/>
    <x v="7"/>
    <x v="2"/>
    <x v="2"/>
    <x v="0"/>
    <x v="3"/>
    <x v="3"/>
    <n v="2"/>
    <n v="6"/>
    <n v="6"/>
    <n v="9"/>
    <n v="13"/>
    <x v="6"/>
    <n v="225.13"/>
    <n v="2926.69"/>
    <n v="2926.69"/>
    <n v="33584.670563764535"/>
    <x v="0"/>
    <n v="9"/>
    <b v="0"/>
    <d v="2023-04-22T00:00:00"/>
    <x v="1"/>
    <x v="1"/>
    <n v="48"/>
    <x v="0"/>
    <s v="Credit Card"/>
    <s v="Not Returned"/>
  </r>
  <r>
    <s v="TID_59"/>
    <x v="8"/>
    <x v="3"/>
    <x v="2"/>
    <x v="0"/>
    <x v="2"/>
    <x v="0"/>
    <n v="9"/>
    <n v="7"/>
    <n v="6"/>
    <n v="10"/>
    <n v="40"/>
    <x v="5"/>
    <n v="72.400000000000006"/>
    <n v="2896"/>
    <n v="2896"/>
    <n v="33615.360563764538"/>
    <x v="0"/>
    <n v="29.92"/>
    <b v="0"/>
    <d v="2023-04-13T00:00:00"/>
    <x v="1"/>
    <x v="1"/>
    <n v="21"/>
    <x v="2"/>
    <s v="Online Payment"/>
    <s v="Returned"/>
  </r>
  <r>
    <s v="TID_949"/>
    <x v="8"/>
    <x v="3"/>
    <x v="1"/>
    <x v="2"/>
    <x v="0"/>
    <x v="1"/>
    <n v="9"/>
    <n v="7"/>
    <n v="10"/>
    <n v="10"/>
    <n v="19"/>
    <x v="6"/>
    <n v="151.66999999999999"/>
    <n v="2881.73"/>
    <n v="2580.3010420000001"/>
    <n v="33931.059521764539"/>
    <x v="1"/>
    <n v="10.46"/>
    <b v="1"/>
    <d v="2023-12-22T00:00:00"/>
    <x v="0"/>
    <x v="1"/>
    <n v="21"/>
    <x v="1"/>
    <s v="Online Payment"/>
    <s v="Returned"/>
  </r>
  <r>
    <s v="TID_970"/>
    <x v="4"/>
    <x v="2"/>
    <x v="2"/>
    <x v="2"/>
    <x v="1"/>
    <x v="0"/>
    <n v="6"/>
    <n v="6"/>
    <n v="10"/>
    <n v="10"/>
    <n v="13"/>
    <x v="6"/>
    <n v="219.72"/>
    <n v="2856.36"/>
    <n v="2856.36"/>
    <n v="33655.000563764537"/>
    <x v="1"/>
    <n v="1.67"/>
    <b v="0"/>
    <d v="2023-05-16T00:00:00"/>
    <x v="1"/>
    <x v="1"/>
    <n v="65"/>
    <x v="2"/>
    <s v="Debit Card"/>
    <s v="Not Returned"/>
  </r>
  <r>
    <s v="TID_1637"/>
    <x v="8"/>
    <x v="3"/>
    <x v="3"/>
    <x v="0"/>
    <x v="4"/>
    <x v="1"/>
    <n v="9"/>
    <n v="7"/>
    <n v="6"/>
    <n v="10"/>
    <n v="5"/>
    <x v="6"/>
    <n v="564.74"/>
    <n v="2823.7"/>
    <n v="2823.7"/>
    <n v="33687.660563764541"/>
    <x v="0"/>
    <n v="4.92"/>
    <b v="0"/>
    <d v="2023-03-10T00:00:00"/>
    <x v="2"/>
    <x v="1"/>
    <n v="43"/>
    <x v="1"/>
    <s v="Credit Card"/>
    <s v="Returned"/>
  </r>
  <r>
    <s v="TID_837"/>
    <x v="8"/>
    <x v="3"/>
    <x v="0"/>
    <x v="1"/>
    <x v="2"/>
    <x v="0"/>
    <n v="9"/>
    <n v="7"/>
    <n v="10"/>
    <n v="10"/>
    <n v="13"/>
    <x v="6"/>
    <n v="212.54"/>
    <n v="2763.02"/>
    <n v="2763.02"/>
    <n v="33748.340563764541"/>
    <x v="0"/>
    <n v="21.54"/>
    <b v="0"/>
    <d v="2023-07-04T00:00:00"/>
    <x v="3"/>
    <x v="1"/>
    <n v="50"/>
    <x v="2"/>
    <s v="Credit Card"/>
    <s v="Not Returned"/>
  </r>
  <r>
    <s v="TID_1866"/>
    <x v="8"/>
    <x v="3"/>
    <x v="2"/>
    <x v="0"/>
    <x v="4"/>
    <x v="1"/>
    <n v="9"/>
    <n v="7"/>
    <n v="6"/>
    <n v="10"/>
    <n v="2"/>
    <x v="6"/>
    <n v="1375.94"/>
    <n v="2751.88"/>
    <n v="2751.88"/>
    <n v="33759.48056376454"/>
    <x v="0"/>
    <n v="2"/>
    <b v="0"/>
    <d v="2024-06-25T00:00:00"/>
    <x v="1"/>
    <x v="0"/>
    <n v="53"/>
    <x v="1"/>
    <s v="Credit Card"/>
    <s v="Not Returned"/>
  </r>
  <r>
    <s v="TID_769"/>
    <x v="1"/>
    <x v="0"/>
    <x v="2"/>
    <x v="0"/>
    <x v="0"/>
    <x v="2"/>
    <n v="5"/>
    <n v="4"/>
    <n v="6"/>
    <n v="10"/>
    <n v="11"/>
    <x v="6"/>
    <n v="249.95"/>
    <n v="2749.45"/>
    <n v="2749.45"/>
    <n v="33761.910563764541"/>
    <x v="0"/>
    <n v="28.15"/>
    <b v="0"/>
    <d v="2023-02-05T00:00:00"/>
    <x v="2"/>
    <x v="1"/>
    <n v="57"/>
    <x v="1"/>
    <s v="Credit Card"/>
    <s v="Not Returned"/>
  </r>
  <r>
    <s v="TID_1521"/>
    <x v="3"/>
    <x v="0"/>
    <x v="3"/>
    <x v="2"/>
    <x v="1"/>
    <x v="0"/>
    <n v="5"/>
    <n v="4"/>
    <n v="10"/>
    <n v="10"/>
    <n v="3"/>
    <x v="6"/>
    <n v="905.84"/>
    <n v="2717.52"/>
    <n v="2717.52"/>
    <n v="33793.840563764541"/>
    <x v="1"/>
    <n v="19.309999999999999"/>
    <b v="0"/>
    <d v="2023-03-03T00:00:00"/>
    <x v="2"/>
    <x v="1"/>
    <n v="55"/>
    <x v="2"/>
    <s v="Debit Card"/>
    <s v="Returned"/>
  </r>
  <r>
    <s v="TID_956"/>
    <x v="2"/>
    <x v="1"/>
    <x v="2"/>
    <x v="0"/>
    <x v="3"/>
    <x v="0"/>
    <n v="3"/>
    <n v="13"/>
    <n v="6"/>
    <n v="10"/>
    <n v="26"/>
    <x v="6"/>
    <n v="103.73"/>
    <n v="2696.98"/>
    <n v="2696.98"/>
    <n v="33814.380563764535"/>
    <x v="1"/>
    <n v="17.78"/>
    <b v="0"/>
    <d v="2023-12-17T00:00:00"/>
    <x v="0"/>
    <x v="1"/>
    <n v="19"/>
    <x v="1"/>
    <s v="Credit Card"/>
    <s v="Returned"/>
  </r>
  <r>
    <s v="TID_122"/>
    <x v="9"/>
    <x v="4"/>
    <x v="2"/>
    <x v="0"/>
    <x v="4"/>
    <x v="1"/>
    <n v="6"/>
    <n v="13"/>
    <n v="6"/>
    <n v="10"/>
    <n v="2"/>
    <x v="6"/>
    <n v="1338.82"/>
    <n v="2677.64"/>
    <n v="2677.64"/>
    <n v="33833.720563764538"/>
    <x v="1"/>
    <n v="25.97"/>
    <b v="0"/>
    <d v="2024-04-08T00:00:00"/>
    <x v="1"/>
    <x v="0"/>
    <n v="46"/>
    <x v="2"/>
    <s v="Cash"/>
    <s v="Not Returned"/>
  </r>
  <r>
    <s v="TID_371"/>
    <x v="5"/>
    <x v="2"/>
    <x v="3"/>
    <x v="2"/>
    <x v="1"/>
    <x v="2"/>
    <n v="7"/>
    <n v="6"/>
    <n v="10"/>
    <n v="10"/>
    <n v="5"/>
    <x v="6"/>
    <n v="535.49"/>
    <n v="2677.45"/>
    <n v="2397.3887299999997"/>
    <n v="34113.971833764539"/>
    <x v="0"/>
    <n v="10.46"/>
    <b v="1"/>
    <d v="2024-10-20T00:00:00"/>
    <x v="0"/>
    <x v="0"/>
    <n v="44"/>
    <x v="1"/>
    <s v="Credit Card"/>
    <s v="Not Returned"/>
  </r>
  <r>
    <s v="TID_422"/>
    <x v="2"/>
    <x v="1"/>
    <x v="2"/>
    <x v="2"/>
    <x v="4"/>
    <x v="3"/>
    <n v="3"/>
    <n v="13"/>
    <n v="10"/>
    <n v="9"/>
    <n v="22"/>
    <x v="6"/>
    <n v="121.27"/>
    <n v="2667.94"/>
    <n v="2167.434456"/>
    <n v="34343.926107764535"/>
    <x v="1"/>
    <n v="18.760000000000002"/>
    <b v="1"/>
    <d v="2023-10-22T00:00:00"/>
    <x v="0"/>
    <x v="1"/>
    <n v="29"/>
    <x v="0"/>
    <s v="Credit Card"/>
    <s v="Returned"/>
  </r>
  <r>
    <s v="TID_590"/>
    <x v="4"/>
    <x v="2"/>
    <x v="3"/>
    <x v="2"/>
    <x v="0"/>
    <x v="2"/>
    <n v="6"/>
    <n v="6"/>
    <n v="10"/>
    <n v="10"/>
    <n v="4"/>
    <x v="6"/>
    <n v="664.7"/>
    <n v="2658.8"/>
    <n v="2476.1404400000001"/>
    <n v="34035.220123764535"/>
    <x v="1"/>
    <n v="6.87"/>
    <b v="1"/>
    <d v="2023-12-03T00:00:00"/>
    <x v="0"/>
    <x v="1"/>
    <n v="18"/>
    <x v="2"/>
    <s v="Online Payment"/>
    <s v="Not Returned"/>
  </r>
  <r>
    <s v="TID_1306"/>
    <x v="3"/>
    <x v="0"/>
    <x v="0"/>
    <x v="0"/>
    <x v="1"/>
    <x v="3"/>
    <n v="5"/>
    <n v="4"/>
    <n v="6"/>
    <n v="9"/>
    <n v="2"/>
    <x v="6"/>
    <n v="1326.36"/>
    <n v="2652.72"/>
    <n v="2652.72"/>
    <n v="33858.640563764537"/>
    <x v="1"/>
    <n v="1.8"/>
    <b v="0"/>
    <d v="2023-08-02T00:00:00"/>
    <x v="3"/>
    <x v="1"/>
    <n v="69"/>
    <x v="2"/>
    <s v="Debit Card"/>
    <s v="Not Returned"/>
  </r>
  <r>
    <s v="TID_156"/>
    <x v="4"/>
    <x v="2"/>
    <x v="1"/>
    <x v="0"/>
    <x v="1"/>
    <x v="2"/>
    <n v="6"/>
    <n v="6"/>
    <n v="6"/>
    <n v="10"/>
    <n v="34"/>
    <x v="6"/>
    <n v="77.45"/>
    <n v="2633.3"/>
    <n v="2633.3"/>
    <n v="33878.060563764535"/>
    <x v="1"/>
    <n v="2.29"/>
    <b v="0"/>
    <d v="2024-04-17T00:00:00"/>
    <x v="1"/>
    <x v="0"/>
    <n v="28"/>
    <x v="2"/>
    <s v="Online Payment"/>
    <s v="Returned"/>
  </r>
  <r>
    <s v="TID_124"/>
    <x v="3"/>
    <x v="0"/>
    <x v="2"/>
    <x v="0"/>
    <x v="2"/>
    <x v="1"/>
    <n v="5"/>
    <n v="4"/>
    <n v="6"/>
    <n v="10"/>
    <n v="3"/>
    <x v="6"/>
    <n v="866.72"/>
    <n v="2600.16"/>
    <n v="2600.16"/>
    <n v="33911.200563764534"/>
    <x v="0"/>
    <n v="0.39"/>
    <b v="0"/>
    <d v="2024-10-31T00:00:00"/>
    <x v="0"/>
    <x v="0"/>
    <n v="49"/>
    <x v="2"/>
    <s v="Online Payment"/>
    <s v="Not Returned"/>
  </r>
  <r>
    <s v="TID_1621"/>
    <x v="8"/>
    <x v="3"/>
    <x v="0"/>
    <x v="0"/>
    <x v="2"/>
    <x v="1"/>
    <n v="9"/>
    <n v="7"/>
    <n v="6"/>
    <n v="10"/>
    <n v="9"/>
    <x v="6"/>
    <n v="288.70999999999998"/>
    <n v="2598.39"/>
    <n v="2598.39"/>
    <n v="33912.970563764538"/>
    <x v="1"/>
    <n v="12.09"/>
    <b v="0"/>
    <d v="2023-02-05T00:00:00"/>
    <x v="2"/>
    <x v="1"/>
    <n v="41"/>
    <x v="1"/>
    <s v="Debit Card"/>
    <s v="Not Returned"/>
  </r>
  <r>
    <s v="TID_951"/>
    <x v="3"/>
    <x v="0"/>
    <x v="3"/>
    <x v="2"/>
    <x v="2"/>
    <x v="0"/>
    <n v="5"/>
    <n v="4"/>
    <n v="10"/>
    <n v="10"/>
    <n v="6"/>
    <x v="6"/>
    <n v="428.49"/>
    <n v="2570.94"/>
    <n v="2249.5725000000002"/>
    <n v="34261.788063764536"/>
    <x v="0"/>
    <n v="12.5"/>
    <b v="1"/>
    <d v="2024-05-17T00:00:00"/>
    <x v="1"/>
    <x v="0"/>
    <n v="27"/>
    <x v="0"/>
    <s v="Cash"/>
    <s v="Not Returned"/>
  </r>
  <r>
    <s v="TID_1976"/>
    <x v="2"/>
    <x v="1"/>
    <x v="0"/>
    <x v="0"/>
    <x v="2"/>
    <x v="0"/>
    <n v="3"/>
    <n v="13"/>
    <n v="6"/>
    <n v="10"/>
    <n v="24"/>
    <x v="6"/>
    <n v="105.27"/>
    <n v="2526.48"/>
    <n v="2526.48"/>
    <n v="33984.880563764535"/>
    <x v="0"/>
    <n v="27.09"/>
    <b v="0"/>
    <d v="2023-03-20T00:00:00"/>
    <x v="2"/>
    <x v="1"/>
    <n v="43"/>
    <x v="1"/>
    <s v="Cash"/>
    <s v="Returned"/>
  </r>
  <r>
    <s v="TID_1687"/>
    <x v="9"/>
    <x v="4"/>
    <x v="1"/>
    <x v="1"/>
    <x v="1"/>
    <x v="1"/>
    <n v="6"/>
    <n v="13"/>
    <n v="10"/>
    <n v="10"/>
    <n v="3"/>
    <x v="6"/>
    <n v="840.91"/>
    <n v="2522.73"/>
    <n v="2408.9548770000001"/>
    <n v="34102.405686764541"/>
    <x v="1"/>
    <n v="4.51"/>
    <b v="1"/>
    <d v="2023-05-28T00:00:00"/>
    <x v="1"/>
    <x v="1"/>
    <n v="68"/>
    <x v="0"/>
    <s v="Credit Card"/>
    <s v="Returned"/>
  </r>
  <r>
    <s v="TID_1492"/>
    <x v="1"/>
    <x v="0"/>
    <x v="3"/>
    <x v="1"/>
    <x v="0"/>
    <x v="2"/>
    <n v="5"/>
    <n v="4"/>
    <n v="10"/>
    <n v="10"/>
    <n v="4"/>
    <x v="6"/>
    <n v="626"/>
    <n v="2504"/>
    <n v="2100.3552"/>
    <n v="34411.00536376454"/>
    <x v="0"/>
    <n v="16.12"/>
    <b v="1"/>
    <d v="2023-10-23T00:00:00"/>
    <x v="0"/>
    <x v="1"/>
    <n v="21"/>
    <x v="1"/>
    <s v="Credit Card"/>
    <s v="Returned"/>
  </r>
  <r>
    <s v="TID_483"/>
    <x v="4"/>
    <x v="2"/>
    <x v="1"/>
    <x v="0"/>
    <x v="2"/>
    <x v="0"/>
    <n v="6"/>
    <n v="6"/>
    <n v="6"/>
    <n v="10"/>
    <n v="31"/>
    <x v="6"/>
    <n v="79.41"/>
    <n v="2461.71"/>
    <n v="2365.4571390000001"/>
    <n v="34145.90342476454"/>
    <x v="0"/>
    <n v="3.91"/>
    <b v="1"/>
    <d v="2024-09-07T00:00:00"/>
    <x v="3"/>
    <x v="0"/>
    <n v="31"/>
    <x v="0"/>
    <s v="Cash"/>
    <s v="Returned"/>
  </r>
  <r>
    <s v="TID_766"/>
    <x v="0"/>
    <x v="0"/>
    <x v="2"/>
    <x v="0"/>
    <x v="4"/>
    <x v="2"/>
    <n v="5"/>
    <n v="4"/>
    <n v="6"/>
    <n v="10"/>
    <n v="12"/>
    <x v="6"/>
    <n v="203.58"/>
    <n v="2442.96"/>
    <n v="2442.96"/>
    <n v="34068.400563764539"/>
    <x v="1"/>
    <n v="2.1800000000000002"/>
    <b v="0"/>
    <d v="2023-07-12T00:00:00"/>
    <x v="3"/>
    <x v="1"/>
    <n v="32"/>
    <x v="0"/>
    <s v="Cash"/>
    <s v="Not Returned"/>
  </r>
  <r>
    <s v="TID_852"/>
    <x v="5"/>
    <x v="2"/>
    <x v="1"/>
    <x v="1"/>
    <x v="3"/>
    <x v="0"/>
    <n v="7"/>
    <n v="6"/>
    <n v="10"/>
    <n v="10"/>
    <n v="28"/>
    <x v="6"/>
    <n v="86.94"/>
    <n v="2434.3200000000002"/>
    <n v="2434.3200000000002"/>
    <n v="34077.040563764538"/>
    <x v="1"/>
    <n v="10.23"/>
    <b v="0"/>
    <d v="2024-10-30T00:00:00"/>
    <x v="0"/>
    <x v="0"/>
    <n v="30"/>
    <x v="2"/>
    <s v="Debit Card"/>
    <s v="Returned"/>
  </r>
  <r>
    <s v="TID_1622"/>
    <x v="3"/>
    <x v="0"/>
    <x v="1"/>
    <x v="0"/>
    <x v="3"/>
    <x v="3"/>
    <n v="5"/>
    <n v="4"/>
    <n v="6"/>
    <n v="9"/>
    <n v="9"/>
    <x v="6"/>
    <n v="265.58"/>
    <n v="2390.2199999999998"/>
    <n v="2388.3078239999995"/>
    <n v="34123.052739764535"/>
    <x v="0"/>
    <n v="0.08"/>
    <b v="1"/>
    <d v="2024-01-08T00:00:00"/>
    <x v="2"/>
    <x v="0"/>
    <n v="50"/>
    <x v="0"/>
    <s v="Online Payment"/>
    <s v="Returned"/>
  </r>
  <r>
    <s v="TID_274"/>
    <x v="3"/>
    <x v="0"/>
    <x v="0"/>
    <x v="2"/>
    <x v="3"/>
    <x v="3"/>
    <n v="5"/>
    <n v="4"/>
    <n v="10"/>
    <n v="9"/>
    <n v="4"/>
    <x v="6"/>
    <n v="590.28"/>
    <n v="2361.12"/>
    <n v="2276.3557919999998"/>
    <n v="34235.004771764536"/>
    <x v="1"/>
    <n v="3.59"/>
    <b v="1"/>
    <d v="2023-04-17T00:00:00"/>
    <x v="1"/>
    <x v="1"/>
    <n v="18"/>
    <x v="0"/>
    <s v="Credit Card"/>
    <s v="Returned"/>
  </r>
  <r>
    <s v="TID_1999"/>
    <x v="6"/>
    <x v="1"/>
    <x v="0"/>
    <x v="1"/>
    <x v="2"/>
    <x v="0"/>
    <n v="6"/>
    <n v="13"/>
    <n v="10"/>
    <n v="10"/>
    <n v="2"/>
    <x v="6"/>
    <n v="1159.08"/>
    <n v="2318.16"/>
    <n v="2318.16"/>
    <n v="34193.200563764534"/>
    <x v="0"/>
    <n v="11.25"/>
    <b v="0"/>
    <d v="2023-06-03T00:00:00"/>
    <x v="1"/>
    <x v="1"/>
    <n v="31"/>
    <x v="1"/>
    <s v="Online Payment"/>
    <s v="Not Returned"/>
  </r>
  <r>
    <s v="TID_307"/>
    <x v="5"/>
    <x v="2"/>
    <x v="2"/>
    <x v="2"/>
    <x v="3"/>
    <x v="1"/>
    <n v="7"/>
    <n v="6"/>
    <n v="10"/>
    <n v="10"/>
    <n v="25"/>
    <x v="6"/>
    <n v="91.81"/>
    <n v="2295.25"/>
    <n v="1667.2695999999999"/>
    <n v="34844.090963764538"/>
    <x v="0"/>
    <n v="27.36"/>
    <b v="1"/>
    <d v="2024-10-19T00:00:00"/>
    <x v="0"/>
    <x v="0"/>
    <n v="60"/>
    <x v="1"/>
    <s v="Credit Card"/>
    <s v="Returned"/>
  </r>
  <r>
    <s v="TID_1217"/>
    <x v="2"/>
    <x v="1"/>
    <x v="1"/>
    <x v="0"/>
    <x v="2"/>
    <x v="2"/>
    <n v="3"/>
    <n v="13"/>
    <n v="6"/>
    <n v="10"/>
    <n v="27"/>
    <x v="6"/>
    <n v="81.52"/>
    <n v="2201.04"/>
    <n v="2201.04"/>
    <n v="34310.320563764537"/>
    <x v="1"/>
    <n v="27.8"/>
    <b v="0"/>
    <d v="2023-02-15T00:00:00"/>
    <x v="2"/>
    <x v="1"/>
    <n v="24"/>
    <x v="0"/>
    <s v="Debit Card"/>
    <s v="Not Returned"/>
  </r>
  <r>
    <s v="TID_979"/>
    <x v="1"/>
    <x v="0"/>
    <x v="1"/>
    <x v="1"/>
    <x v="0"/>
    <x v="3"/>
    <n v="5"/>
    <n v="4"/>
    <n v="10"/>
    <n v="9"/>
    <n v="26"/>
    <x v="6"/>
    <n v="83.56"/>
    <n v="2172.56"/>
    <n v="2172.56"/>
    <n v="34338.80056376454"/>
    <x v="0"/>
    <n v="9.86"/>
    <b v="0"/>
    <d v="2023-03-25T00:00:00"/>
    <x v="2"/>
    <x v="1"/>
    <n v="42"/>
    <x v="0"/>
    <s v="Debit Card"/>
    <s v="Returned"/>
  </r>
  <r>
    <s v="TID_1588"/>
    <x v="1"/>
    <x v="0"/>
    <x v="1"/>
    <x v="0"/>
    <x v="1"/>
    <x v="0"/>
    <n v="5"/>
    <n v="4"/>
    <n v="6"/>
    <n v="10"/>
    <n v="31"/>
    <x v="6"/>
    <n v="68.260000000000005"/>
    <n v="2116.06"/>
    <n v="1857.6890739999999"/>
    <n v="34653.671489764536"/>
    <x v="0"/>
    <n v="12.21"/>
    <b v="1"/>
    <d v="2023-01-05T00:00:00"/>
    <x v="2"/>
    <x v="1"/>
    <n v="50"/>
    <x v="0"/>
    <s v="Credit Card"/>
    <s v="Returned"/>
  </r>
  <r>
    <s v="TID_1297"/>
    <x v="9"/>
    <x v="4"/>
    <x v="0"/>
    <x v="2"/>
    <x v="4"/>
    <x v="0"/>
    <n v="6"/>
    <n v="13"/>
    <n v="10"/>
    <n v="10"/>
    <n v="19"/>
    <x v="6"/>
    <n v="110.64"/>
    <n v="2102.16"/>
    <n v="2102.16"/>
    <n v="34409.200563764534"/>
    <x v="0"/>
    <n v="10.01"/>
    <b v="0"/>
    <d v="2024-10-07T00:00:00"/>
    <x v="0"/>
    <x v="0"/>
    <n v="20"/>
    <x v="2"/>
    <s v="Credit Card"/>
    <s v="Not Returned"/>
  </r>
  <r>
    <s v="TID_1171"/>
    <x v="1"/>
    <x v="0"/>
    <x v="3"/>
    <x v="1"/>
    <x v="3"/>
    <x v="2"/>
    <n v="5"/>
    <n v="4"/>
    <n v="10"/>
    <n v="10"/>
    <n v="2"/>
    <x v="6"/>
    <n v="1047.94"/>
    <n v="2095.88"/>
    <n v="2095.88"/>
    <n v="34415.48056376454"/>
    <x v="1"/>
    <n v="25.46"/>
    <b v="0"/>
    <d v="2023-01-13T00:00:00"/>
    <x v="2"/>
    <x v="1"/>
    <n v="45"/>
    <x v="0"/>
    <s v="Debit Card"/>
    <s v="Returned"/>
  </r>
  <r>
    <s v="TID_294"/>
    <x v="7"/>
    <x v="2"/>
    <x v="1"/>
    <x v="1"/>
    <x v="4"/>
    <x v="2"/>
    <n v="2"/>
    <n v="6"/>
    <n v="10"/>
    <n v="10"/>
    <n v="9"/>
    <x v="6"/>
    <n v="231.89"/>
    <n v="2087.0100000000002"/>
    <n v="2087.0100000000002"/>
    <n v="34424.350563764536"/>
    <x v="1"/>
    <n v="12.69"/>
    <b v="0"/>
    <d v="2023-03-18T00:00:00"/>
    <x v="2"/>
    <x v="1"/>
    <n v="54"/>
    <x v="2"/>
    <s v="Credit Card"/>
    <s v="Not Returned"/>
  </r>
  <r>
    <s v="TID_1670"/>
    <x v="6"/>
    <x v="1"/>
    <x v="0"/>
    <x v="1"/>
    <x v="3"/>
    <x v="1"/>
    <n v="6"/>
    <n v="13"/>
    <n v="10"/>
    <n v="10"/>
    <n v="38"/>
    <x v="6"/>
    <n v="53.92"/>
    <n v="2048.96"/>
    <n v="2048.96"/>
    <n v="34462.400563764539"/>
    <x v="1"/>
    <n v="18.93"/>
    <b v="0"/>
    <d v="2024-01-17T00:00:00"/>
    <x v="2"/>
    <x v="0"/>
    <n v="24"/>
    <x v="0"/>
    <s v="Credit Card"/>
    <s v="Not Returned"/>
  </r>
  <r>
    <s v="TID_1681"/>
    <x v="7"/>
    <x v="2"/>
    <x v="3"/>
    <x v="2"/>
    <x v="4"/>
    <x v="1"/>
    <n v="2"/>
    <n v="6"/>
    <n v="10"/>
    <n v="10"/>
    <n v="13"/>
    <x v="6"/>
    <n v="157.46"/>
    <n v="2046.98"/>
    <n v="2046.98"/>
    <n v="34464.380563764535"/>
    <x v="0"/>
    <n v="17.149999999999999"/>
    <b v="0"/>
    <d v="2023-11-27T00:00:00"/>
    <x v="0"/>
    <x v="1"/>
    <n v="18"/>
    <x v="2"/>
    <s v="Debit Card"/>
    <s v="Not Returned"/>
  </r>
  <r>
    <s v="TID_1859"/>
    <x v="6"/>
    <x v="1"/>
    <x v="1"/>
    <x v="0"/>
    <x v="4"/>
    <x v="3"/>
    <n v="6"/>
    <n v="13"/>
    <n v="6"/>
    <n v="9"/>
    <n v="8"/>
    <x v="6"/>
    <n v="254.13"/>
    <n v="2033.04"/>
    <n v="2033.04"/>
    <n v="34478.320563764537"/>
    <x v="1"/>
    <n v="17.98"/>
    <b v="0"/>
    <d v="2023-02-13T00:00:00"/>
    <x v="2"/>
    <x v="1"/>
    <n v="38"/>
    <x v="0"/>
    <s v="Debit Card"/>
    <s v="Not Returned"/>
  </r>
  <r>
    <s v="TID_935"/>
    <x v="3"/>
    <x v="0"/>
    <x v="2"/>
    <x v="1"/>
    <x v="0"/>
    <x v="0"/>
    <n v="5"/>
    <n v="4"/>
    <n v="10"/>
    <n v="10"/>
    <n v="6"/>
    <x v="6"/>
    <n v="335.55"/>
    <n v="2013.3"/>
    <n v="2013.3"/>
    <n v="34498.060563764535"/>
    <x v="0"/>
    <n v="26.2"/>
    <b v="0"/>
    <d v="2024-04-12T00:00:00"/>
    <x v="1"/>
    <x v="0"/>
    <n v="30"/>
    <x v="2"/>
    <s v="Cash"/>
    <s v="Returned"/>
  </r>
  <r>
    <s v="TID_447"/>
    <x v="7"/>
    <x v="2"/>
    <x v="2"/>
    <x v="2"/>
    <x v="2"/>
    <x v="2"/>
    <n v="2"/>
    <n v="6"/>
    <n v="10"/>
    <n v="10"/>
    <n v="20"/>
    <x v="6"/>
    <n v="100.37"/>
    <n v="2007.4"/>
    <n v="1578.0171400000002"/>
    <n v="34933.343423764534"/>
    <x v="1"/>
    <n v="21.39"/>
    <b v="1"/>
    <d v="2024-04-01T00:00:00"/>
    <x v="1"/>
    <x v="0"/>
    <n v="33"/>
    <x v="2"/>
    <s v="Credit Card"/>
    <s v="Not Returned"/>
  </r>
  <r>
    <s v="TID_623"/>
    <x v="2"/>
    <x v="1"/>
    <x v="2"/>
    <x v="2"/>
    <x v="3"/>
    <x v="3"/>
    <n v="3"/>
    <n v="13"/>
    <n v="10"/>
    <n v="9"/>
    <n v="13"/>
    <x v="6"/>
    <n v="154.13"/>
    <n v="2003.69"/>
    <n v="2003.69"/>
    <n v="34507.670563764535"/>
    <x v="1"/>
    <n v="23.95"/>
    <b v="0"/>
    <d v="2023-12-04T00:00:00"/>
    <x v="0"/>
    <x v="1"/>
    <n v="62"/>
    <x v="0"/>
    <s v="Online Payment"/>
    <s v="Returned"/>
  </r>
  <r>
    <s v="TID_412"/>
    <x v="0"/>
    <x v="0"/>
    <x v="2"/>
    <x v="0"/>
    <x v="2"/>
    <x v="3"/>
    <n v="5"/>
    <n v="4"/>
    <n v="6"/>
    <n v="9"/>
    <n v="3"/>
    <x v="6"/>
    <n v="663.91"/>
    <n v="1991.73"/>
    <n v="1991.73"/>
    <n v="34519.630563764535"/>
    <x v="1"/>
    <n v="29.23"/>
    <b v="0"/>
    <d v="2023-05-16T00:00:00"/>
    <x v="1"/>
    <x v="1"/>
    <n v="45"/>
    <x v="2"/>
    <s v="Online Payment"/>
    <s v="Returned"/>
  </r>
  <r>
    <s v="TID_1941"/>
    <x v="3"/>
    <x v="0"/>
    <x v="2"/>
    <x v="0"/>
    <x v="2"/>
    <x v="0"/>
    <n v="5"/>
    <n v="4"/>
    <n v="6"/>
    <n v="10"/>
    <n v="13"/>
    <x v="6"/>
    <n v="151.34"/>
    <n v="1967.42"/>
    <n v="1875.1480019999999"/>
    <n v="34636.212561764536"/>
    <x v="0"/>
    <n v="4.6900000000000004"/>
    <b v="1"/>
    <d v="2023-02-03T00:00:00"/>
    <x v="2"/>
    <x v="1"/>
    <n v="25"/>
    <x v="0"/>
    <s v="Credit Card"/>
    <s v="Not Returned"/>
  </r>
  <r>
    <s v="TID_1749"/>
    <x v="3"/>
    <x v="0"/>
    <x v="1"/>
    <x v="0"/>
    <x v="0"/>
    <x v="0"/>
    <n v="5"/>
    <n v="4"/>
    <n v="6"/>
    <n v="10"/>
    <n v="30"/>
    <x v="6"/>
    <n v="65.5"/>
    <n v="1965"/>
    <n v="1965"/>
    <n v="34546.360563764538"/>
    <x v="1"/>
    <n v="11.85"/>
    <b v="0"/>
    <d v="2023-11-30T00:00:00"/>
    <x v="0"/>
    <x v="1"/>
    <n v="48"/>
    <x v="0"/>
    <s v="Debit Card"/>
    <s v="Not Returned"/>
  </r>
  <r>
    <s v="TID_732"/>
    <x v="6"/>
    <x v="1"/>
    <x v="2"/>
    <x v="1"/>
    <x v="0"/>
    <x v="0"/>
    <n v="6"/>
    <n v="13"/>
    <n v="10"/>
    <n v="10"/>
    <n v="9"/>
    <x v="6"/>
    <n v="217.5"/>
    <n v="1957.5"/>
    <n v="1957.5"/>
    <n v="34553.860563764538"/>
    <x v="0"/>
    <n v="18.670000000000002"/>
    <b v="0"/>
    <d v="2023-01-15T00:00:00"/>
    <x v="2"/>
    <x v="1"/>
    <n v="30"/>
    <x v="0"/>
    <s v="Cash"/>
    <s v="Returned"/>
  </r>
  <r>
    <s v="TID_153"/>
    <x v="8"/>
    <x v="3"/>
    <x v="1"/>
    <x v="1"/>
    <x v="0"/>
    <x v="1"/>
    <n v="9"/>
    <n v="7"/>
    <n v="10"/>
    <n v="10"/>
    <n v="5"/>
    <x v="6"/>
    <n v="389.31"/>
    <n v="1946.55"/>
    <n v="1613.68995"/>
    <n v="34897.670613764538"/>
    <x v="0"/>
    <n v="17.100000000000001"/>
    <b v="1"/>
    <d v="2024-04-15T00:00:00"/>
    <x v="1"/>
    <x v="0"/>
    <n v="33"/>
    <x v="2"/>
    <s v="Cash"/>
    <s v="Not Returned"/>
  </r>
  <r>
    <s v="TID_1554"/>
    <x v="6"/>
    <x v="1"/>
    <x v="3"/>
    <x v="1"/>
    <x v="1"/>
    <x v="1"/>
    <n v="6"/>
    <n v="13"/>
    <n v="10"/>
    <n v="10"/>
    <n v="2"/>
    <x v="6"/>
    <n v="967.41"/>
    <n v="1934.82"/>
    <n v="1891.4800319999999"/>
    <n v="34619.880531764538"/>
    <x v="1"/>
    <n v="2.2400000000000002"/>
    <b v="1"/>
    <d v="2024-10-08T00:00:00"/>
    <x v="0"/>
    <x v="0"/>
    <n v="25"/>
    <x v="2"/>
    <s v="Debit Card"/>
    <s v="Returned"/>
  </r>
  <r>
    <s v="TID_154"/>
    <x v="1"/>
    <x v="0"/>
    <x v="0"/>
    <x v="1"/>
    <x v="2"/>
    <x v="1"/>
    <n v="5"/>
    <n v="4"/>
    <n v="10"/>
    <n v="10"/>
    <n v="11"/>
    <x v="6"/>
    <n v="172.36"/>
    <n v="1895.96"/>
    <n v="1895.96"/>
    <n v="34615.400563764539"/>
    <x v="0"/>
    <n v="18.170000000000002"/>
    <b v="0"/>
    <d v="2024-04-07T00:00:00"/>
    <x v="1"/>
    <x v="0"/>
    <n v="23"/>
    <x v="0"/>
    <s v="Online Payment"/>
    <s v="Returned"/>
  </r>
  <r>
    <s v="TID_1578"/>
    <x v="5"/>
    <x v="2"/>
    <x v="2"/>
    <x v="2"/>
    <x v="0"/>
    <x v="2"/>
    <n v="7"/>
    <n v="6"/>
    <n v="10"/>
    <n v="10"/>
    <n v="4"/>
    <x v="6"/>
    <n v="465.23"/>
    <n v="1860.92"/>
    <n v="1604.485224"/>
    <n v="34906.875339764534"/>
    <x v="0"/>
    <n v="13.78"/>
    <b v="1"/>
    <d v="2023-06-09T00:00:00"/>
    <x v="1"/>
    <x v="1"/>
    <n v="36"/>
    <x v="1"/>
    <s v="Cash"/>
    <s v="Not Returned"/>
  </r>
  <r>
    <s v="TID_994"/>
    <x v="1"/>
    <x v="0"/>
    <x v="2"/>
    <x v="2"/>
    <x v="3"/>
    <x v="1"/>
    <n v="5"/>
    <n v="4"/>
    <n v="10"/>
    <n v="10"/>
    <n v="2"/>
    <x v="6"/>
    <n v="927.75"/>
    <n v="1855.5"/>
    <n v="1828.9663500000001"/>
    <n v="34682.394213764535"/>
    <x v="0"/>
    <n v="1.43"/>
    <b v="1"/>
    <d v="2023-06-28T00:00:00"/>
    <x v="1"/>
    <x v="1"/>
    <n v="25"/>
    <x v="1"/>
    <s v="Debit Card"/>
    <s v="Returned"/>
  </r>
  <r>
    <s v="TID_727"/>
    <x v="1"/>
    <x v="0"/>
    <x v="0"/>
    <x v="1"/>
    <x v="3"/>
    <x v="0"/>
    <n v="5"/>
    <n v="4"/>
    <n v="10"/>
    <n v="10"/>
    <n v="2"/>
    <x v="6"/>
    <n v="912.51"/>
    <n v="1825.02"/>
    <n v="1432.2756959999999"/>
    <n v="35079.084867764541"/>
    <x v="0"/>
    <n v="21.52"/>
    <b v="1"/>
    <d v="2024-01-31T00:00:00"/>
    <x v="2"/>
    <x v="0"/>
    <n v="44"/>
    <x v="2"/>
    <s v="Credit Card"/>
    <s v="Not Returned"/>
  </r>
  <r>
    <s v="TID_123"/>
    <x v="7"/>
    <x v="2"/>
    <x v="0"/>
    <x v="0"/>
    <x v="3"/>
    <x v="1"/>
    <n v="2"/>
    <n v="6"/>
    <n v="6"/>
    <n v="10"/>
    <n v="15"/>
    <x v="6"/>
    <n v="120.07"/>
    <n v="1801.05"/>
    <n v="1719.6425399999998"/>
    <n v="34791.718023764537"/>
    <x v="0"/>
    <n v="4.5199999999999996"/>
    <b v="1"/>
    <d v="2024-03-31T00:00:00"/>
    <x v="2"/>
    <x v="0"/>
    <n v="27"/>
    <x v="0"/>
    <s v="Online Payment"/>
    <s v="Returned"/>
  </r>
  <r>
    <s v="TID_144"/>
    <x v="3"/>
    <x v="0"/>
    <x v="0"/>
    <x v="0"/>
    <x v="0"/>
    <x v="0"/>
    <n v="5"/>
    <n v="4"/>
    <n v="6"/>
    <n v="10"/>
    <n v="2"/>
    <x v="6"/>
    <n v="900.37"/>
    <n v="1800.74"/>
    <n v="1323.7239740000002"/>
    <n v="35187.636589764537"/>
    <x v="1"/>
    <n v="26.49"/>
    <b v="1"/>
    <d v="2024-07-06T00:00:00"/>
    <x v="3"/>
    <x v="0"/>
    <n v="42"/>
    <x v="1"/>
    <s v="Credit Card"/>
    <s v="Returned"/>
  </r>
  <r>
    <s v="TID_690"/>
    <x v="6"/>
    <x v="1"/>
    <x v="2"/>
    <x v="0"/>
    <x v="1"/>
    <x v="2"/>
    <n v="6"/>
    <n v="13"/>
    <n v="6"/>
    <n v="10"/>
    <n v="8"/>
    <x v="6"/>
    <n v="218.71"/>
    <n v="1749.68"/>
    <n v="1372.6239599999999"/>
    <n v="35138.736603764541"/>
    <x v="0"/>
    <n v="21.55"/>
    <b v="1"/>
    <d v="2023-07-12T00:00:00"/>
    <x v="3"/>
    <x v="1"/>
    <n v="34"/>
    <x v="0"/>
    <s v="Online Payment"/>
    <s v="Not Returned"/>
  </r>
  <r>
    <s v="TID_1534"/>
    <x v="3"/>
    <x v="0"/>
    <x v="3"/>
    <x v="1"/>
    <x v="1"/>
    <x v="0"/>
    <n v="5"/>
    <n v="4"/>
    <n v="10"/>
    <n v="10"/>
    <n v="2"/>
    <x v="6"/>
    <n v="863.18"/>
    <n v="1726.36"/>
    <n v="1726.36"/>
    <n v="34785.000563764537"/>
    <x v="0"/>
    <n v="22.48"/>
    <b v="0"/>
    <d v="2024-06-24T00:00:00"/>
    <x v="1"/>
    <x v="0"/>
    <n v="39"/>
    <x v="1"/>
    <s v="Cash"/>
    <s v="Not Returned"/>
  </r>
  <r>
    <s v="TID_45"/>
    <x v="9"/>
    <x v="4"/>
    <x v="2"/>
    <x v="2"/>
    <x v="0"/>
    <x v="0"/>
    <n v="6"/>
    <n v="13"/>
    <n v="10"/>
    <n v="10"/>
    <n v="24"/>
    <x v="6"/>
    <n v="71.05"/>
    <n v="1705.2"/>
    <n v="1472.2696799999999"/>
    <n v="35039.09088376454"/>
    <x v="0"/>
    <n v="13.66"/>
    <b v="1"/>
    <d v="2023-03-12T00:00:00"/>
    <x v="2"/>
    <x v="1"/>
    <n v="58"/>
    <x v="0"/>
    <s v="Cash"/>
    <s v="Not Returned"/>
  </r>
  <r>
    <s v="TID_878"/>
    <x v="4"/>
    <x v="2"/>
    <x v="1"/>
    <x v="0"/>
    <x v="4"/>
    <x v="0"/>
    <n v="6"/>
    <n v="6"/>
    <n v="6"/>
    <n v="10"/>
    <n v="28"/>
    <x v="6"/>
    <n v="58.59"/>
    <n v="1640.52"/>
    <n v="1640.52"/>
    <n v="34870.840563764541"/>
    <x v="0"/>
    <n v="26.98"/>
    <b v="0"/>
    <d v="2023-04-23T00:00:00"/>
    <x v="1"/>
    <x v="1"/>
    <n v="63"/>
    <x v="0"/>
    <s v="Debit Card"/>
    <s v="Not Returned"/>
  </r>
  <r>
    <s v="TID_248"/>
    <x v="1"/>
    <x v="0"/>
    <x v="1"/>
    <x v="2"/>
    <x v="3"/>
    <x v="1"/>
    <n v="5"/>
    <n v="4"/>
    <n v="10"/>
    <n v="10"/>
    <n v="6"/>
    <x v="6"/>
    <n v="272.05"/>
    <n v="1632.3"/>
    <n v="1632.3"/>
    <n v="34879.060563764535"/>
    <x v="0"/>
    <n v="8.32"/>
    <b v="0"/>
    <d v="2023-10-29T00:00:00"/>
    <x v="0"/>
    <x v="1"/>
    <n v="66"/>
    <x v="0"/>
    <s v="Online Payment"/>
    <s v="Not Returned"/>
  </r>
  <r>
    <s v="TID_546"/>
    <x v="6"/>
    <x v="1"/>
    <x v="0"/>
    <x v="1"/>
    <x v="4"/>
    <x v="0"/>
    <n v="6"/>
    <n v="13"/>
    <n v="10"/>
    <n v="10"/>
    <n v="25"/>
    <x v="6"/>
    <n v="65"/>
    <n v="1625"/>
    <n v="1436.175"/>
    <n v="35075.185563764535"/>
    <x v="0"/>
    <n v="11.62"/>
    <b v="1"/>
    <d v="2023-01-13T00:00:00"/>
    <x v="2"/>
    <x v="1"/>
    <n v="31"/>
    <x v="2"/>
    <s v="Debit Card"/>
    <s v="Returned"/>
  </r>
  <r>
    <s v="TID_767"/>
    <x v="0"/>
    <x v="0"/>
    <x v="0"/>
    <x v="0"/>
    <x v="2"/>
    <x v="3"/>
    <n v="5"/>
    <n v="4"/>
    <n v="6"/>
    <n v="9"/>
    <n v="21"/>
    <x v="6"/>
    <n v="77.040000000000006"/>
    <n v="1617.84"/>
    <n v="1162.2562559999999"/>
    <n v="35349.104307764537"/>
    <x v="0"/>
    <n v="28.16"/>
    <b v="1"/>
    <d v="2023-09-01T00:00:00"/>
    <x v="3"/>
    <x v="1"/>
    <n v="32"/>
    <x v="1"/>
    <s v="Credit Card"/>
    <s v="Not Returned"/>
  </r>
  <r>
    <s v="TID_566"/>
    <x v="9"/>
    <x v="4"/>
    <x v="0"/>
    <x v="2"/>
    <x v="4"/>
    <x v="3"/>
    <n v="6"/>
    <n v="13"/>
    <n v="10"/>
    <n v="9"/>
    <n v="11"/>
    <x v="6"/>
    <n v="146.69"/>
    <n v="1613.59"/>
    <n v="1578.2523789999998"/>
    <n v="34933.10818476454"/>
    <x v="1"/>
    <n v="2.19"/>
    <b v="1"/>
    <d v="2023-11-22T00:00:00"/>
    <x v="0"/>
    <x v="1"/>
    <n v="48"/>
    <x v="0"/>
    <s v="Online Payment"/>
    <s v="Not Returned"/>
  </r>
  <r>
    <s v="TID_1036"/>
    <x v="9"/>
    <x v="4"/>
    <x v="1"/>
    <x v="1"/>
    <x v="4"/>
    <x v="0"/>
    <n v="6"/>
    <n v="13"/>
    <n v="10"/>
    <n v="10"/>
    <n v="6"/>
    <x v="6"/>
    <n v="259.04000000000002"/>
    <n v="1554.24"/>
    <n v="1373.7927360000001"/>
    <n v="35137.567827764535"/>
    <x v="1"/>
    <n v="11.61"/>
    <b v="1"/>
    <d v="2023-07-27T00:00:00"/>
    <x v="3"/>
    <x v="1"/>
    <n v="51"/>
    <x v="0"/>
    <s v="Cash"/>
    <s v="Returned"/>
  </r>
  <r>
    <s v="TID_161"/>
    <x v="8"/>
    <x v="3"/>
    <x v="3"/>
    <x v="2"/>
    <x v="4"/>
    <x v="0"/>
    <n v="9"/>
    <n v="7"/>
    <n v="10"/>
    <n v="10"/>
    <n v="20"/>
    <x v="6"/>
    <n v="76.64"/>
    <n v="1532.8"/>
    <n v="1093.3462400000001"/>
    <n v="35418.014323764539"/>
    <x v="0"/>
    <n v="28.67"/>
    <b v="1"/>
    <d v="2024-07-10T00:00:00"/>
    <x v="3"/>
    <x v="0"/>
    <n v="32"/>
    <x v="1"/>
    <s v="Debit Card"/>
    <s v="Returned"/>
  </r>
  <r>
    <s v="TID_1370"/>
    <x v="4"/>
    <x v="2"/>
    <x v="0"/>
    <x v="1"/>
    <x v="0"/>
    <x v="0"/>
    <n v="6"/>
    <n v="6"/>
    <n v="10"/>
    <n v="10"/>
    <n v="4"/>
    <x v="6"/>
    <n v="378.98"/>
    <n v="1515.92"/>
    <n v="1515.92"/>
    <n v="34995.44056376454"/>
    <x v="0"/>
    <n v="6.68"/>
    <b v="0"/>
    <d v="2023-02-02T00:00:00"/>
    <x v="2"/>
    <x v="1"/>
    <n v="48"/>
    <x v="1"/>
    <s v="Debit Card"/>
    <s v="Not Returned"/>
  </r>
  <r>
    <s v="TID_526"/>
    <x v="0"/>
    <x v="0"/>
    <x v="1"/>
    <x v="2"/>
    <x v="0"/>
    <x v="3"/>
    <n v="5"/>
    <n v="4"/>
    <n v="10"/>
    <n v="9"/>
    <n v="17"/>
    <x v="6"/>
    <n v="88.68"/>
    <n v="1507.56"/>
    <n v="1337.0549639999999"/>
    <n v="35174.305599764535"/>
    <x v="0"/>
    <n v="11.31"/>
    <b v="1"/>
    <d v="2023-08-15T00:00:00"/>
    <x v="3"/>
    <x v="1"/>
    <n v="52"/>
    <x v="2"/>
    <s v="Cash"/>
    <s v="Not Returned"/>
  </r>
  <r>
    <s v="TID_1338"/>
    <x v="2"/>
    <x v="1"/>
    <x v="1"/>
    <x v="0"/>
    <x v="4"/>
    <x v="0"/>
    <n v="3"/>
    <n v="13"/>
    <n v="6"/>
    <n v="10"/>
    <n v="3"/>
    <x v="6"/>
    <n v="500.08"/>
    <n v="1500.24"/>
    <n v="1500.24"/>
    <n v="35011.12056376454"/>
    <x v="0"/>
    <n v="8.15"/>
    <b v="0"/>
    <d v="2023-02-27T00:00:00"/>
    <x v="2"/>
    <x v="1"/>
    <n v="24"/>
    <x v="0"/>
    <s v="Online Payment"/>
    <s v="Returned"/>
  </r>
  <r>
    <s v="TID_326"/>
    <x v="9"/>
    <x v="4"/>
    <x v="0"/>
    <x v="2"/>
    <x v="4"/>
    <x v="0"/>
    <n v="6"/>
    <n v="13"/>
    <n v="10"/>
    <n v="10"/>
    <n v="14"/>
    <x v="6"/>
    <n v="102.5"/>
    <n v="1435"/>
    <n v="1435"/>
    <n v="35076.360563764538"/>
    <x v="0"/>
    <n v="19.61"/>
    <b v="0"/>
    <d v="2023-05-12T00:00:00"/>
    <x v="1"/>
    <x v="1"/>
    <n v="67"/>
    <x v="0"/>
    <s v="Debit Card"/>
    <s v="Not Returned"/>
  </r>
  <r>
    <s v="TID_1591"/>
    <x v="4"/>
    <x v="2"/>
    <x v="3"/>
    <x v="2"/>
    <x v="2"/>
    <x v="0"/>
    <n v="6"/>
    <n v="6"/>
    <n v="10"/>
    <n v="10"/>
    <n v="11"/>
    <x v="6"/>
    <n v="128.69"/>
    <n v="1415.59"/>
    <n v="1180.6020599999999"/>
    <n v="35330.75850376454"/>
    <x v="0"/>
    <n v="16.600000000000001"/>
    <b v="1"/>
    <d v="2023-12-17T00:00:00"/>
    <x v="0"/>
    <x v="1"/>
    <n v="54"/>
    <x v="2"/>
    <s v="Credit Card"/>
    <s v="Returned"/>
  </r>
  <r>
    <s v="TID_923"/>
    <x v="5"/>
    <x v="2"/>
    <x v="1"/>
    <x v="2"/>
    <x v="1"/>
    <x v="1"/>
    <n v="7"/>
    <n v="6"/>
    <n v="10"/>
    <n v="10"/>
    <n v="3"/>
    <x v="6"/>
    <n v="466.95"/>
    <n v="1400.85"/>
    <n v="1400.85"/>
    <n v="35110.510563764539"/>
    <x v="1"/>
    <n v="9.7899999999999991"/>
    <b v="0"/>
    <d v="2023-01-21T00:00:00"/>
    <x v="2"/>
    <x v="1"/>
    <n v="63"/>
    <x v="1"/>
    <s v="Online Payment"/>
    <s v="Returned"/>
  </r>
  <r>
    <s v="TID_779"/>
    <x v="8"/>
    <x v="3"/>
    <x v="2"/>
    <x v="2"/>
    <x v="4"/>
    <x v="3"/>
    <n v="9"/>
    <n v="7"/>
    <n v="10"/>
    <n v="9"/>
    <n v="1"/>
    <x v="6"/>
    <n v="1394.9"/>
    <n v="1394.9"/>
    <n v="1179.8064200000001"/>
    <n v="35331.554143764537"/>
    <x v="0"/>
    <n v="15.42"/>
    <b v="1"/>
    <d v="2023-07-21T00:00:00"/>
    <x v="3"/>
    <x v="1"/>
    <n v="64"/>
    <x v="0"/>
    <s v="Cash"/>
    <s v="Returned"/>
  </r>
  <r>
    <s v="TID_950"/>
    <x v="7"/>
    <x v="2"/>
    <x v="2"/>
    <x v="0"/>
    <x v="1"/>
    <x v="3"/>
    <n v="2"/>
    <n v="6"/>
    <n v="6"/>
    <n v="9"/>
    <n v="15"/>
    <x v="6"/>
    <n v="88.13"/>
    <n v="1321.95"/>
    <n v="1321.95"/>
    <n v="35189.410563764541"/>
    <x v="1"/>
    <n v="14.81"/>
    <b v="0"/>
    <d v="2024-04-04T00:00:00"/>
    <x v="1"/>
    <x v="0"/>
    <n v="22"/>
    <x v="0"/>
    <s v="Credit Card"/>
    <s v="Returned"/>
  </r>
  <r>
    <s v="TID_1648"/>
    <x v="5"/>
    <x v="2"/>
    <x v="1"/>
    <x v="0"/>
    <x v="2"/>
    <x v="3"/>
    <n v="7"/>
    <n v="6"/>
    <n v="6"/>
    <n v="9"/>
    <n v="3"/>
    <x v="6"/>
    <n v="425.09"/>
    <n v="1275.27"/>
    <n v="1043.6809679999999"/>
    <n v="35467.679595764537"/>
    <x v="1"/>
    <n v="18.16"/>
    <b v="1"/>
    <d v="2024-08-01T00:00:00"/>
    <x v="3"/>
    <x v="0"/>
    <n v="32"/>
    <x v="2"/>
    <s v="Debit Card"/>
    <s v="Not Returned"/>
  </r>
  <r>
    <s v="TID_1693"/>
    <x v="1"/>
    <x v="0"/>
    <x v="0"/>
    <x v="0"/>
    <x v="3"/>
    <x v="0"/>
    <n v="5"/>
    <n v="4"/>
    <n v="6"/>
    <n v="10"/>
    <n v="9"/>
    <x v="6"/>
    <n v="139.38"/>
    <n v="1254.42"/>
    <n v="1144.1564820000001"/>
    <n v="35367.204081764539"/>
    <x v="0"/>
    <n v="8.7899999999999991"/>
    <b v="1"/>
    <d v="2023-03-28T00:00:00"/>
    <x v="2"/>
    <x v="1"/>
    <n v="22"/>
    <x v="1"/>
    <s v="Cash"/>
    <s v="Not Returned"/>
  </r>
  <r>
    <s v="TID_1379"/>
    <x v="8"/>
    <x v="3"/>
    <x v="2"/>
    <x v="0"/>
    <x v="0"/>
    <x v="1"/>
    <n v="9"/>
    <n v="7"/>
    <n v="6"/>
    <n v="10"/>
    <n v="1"/>
    <x v="6"/>
    <n v="1251.24"/>
    <n v="1251.24"/>
    <n v="1251.24"/>
    <n v="35260.12056376454"/>
    <x v="0"/>
    <n v="19.5"/>
    <b v="0"/>
    <d v="2024-09-19T00:00:00"/>
    <x v="3"/>
    <x v="0"/>
    <n v="67"/>
    <x v="1"/>
    <s v="Credit Card"/>
    <s v="Returned"/>
  </r>
  <r>
    <s v="TID_1528"/>
    <x v="6"/>
    <x v="1"/>
    <x v="1"/>
    <x v="1"/>
    <x v="0"/>
    <x v="0"/>
    <n v="6"/>
    <n v="13"/>
    <n v="10"/>
    <n v="10"/>
    <n v="3"/>
    <x v="6"/>
    <n v="414.18"/>
    <n v="1242.54"/>
    <n v="1242.54"/>
    <n v="35268.820563764537"/>
    <x v="0"/>
    <n v="9.99"/>
    <b v="0"/>
    <d v="2023-06-27T00:00:00"/>
    <x v="1"/>
    <x v="1"/>
    <n v="21"/>
    <x v="2"/>
    <s v="Online Payment"/>
    <s v="Not Returned"/>
  </r>
  <r>
    <s v="TID_309"/>
    <x v="3"/>
    <x v="0"/>
    <x v="0"/>
    <x v="1"/>
    <x v="4"/>
    <x v="1"/>
    <n v="5"/>
    <n v="4"/>
    <n v="10"/>
    <n v="10"/>
    <n v="6"/>
    <x v="6"/>
    <n v="206.39"/>
    <n v="1238.3399999999999"/>
    <n v="1238.3399999999999"/>
    <n v="35273.020563764541"/>
    <x v="0"/>
    <n v="12.68"/>
    <b v="0"/>
    <d v="2023-11-02T00:00:00"/>
    <x v="0"/>
    <x v="1"/>
    <n v="59"/>
    <x v="2"/>
    <s v="Credit Card"/>
    <s v="Returned"/>
  </r>
  <r>
    <s v="TID_221"/>
    <x v="2"/>
    <x v="1"/>
    <x v="0"/>
    <x v="0"/>
    <x v="3"/>
    <x v="0"/>
    <n v="3"/>
    <n v="13"/>
    <n v="6"/>
    <n v="10"/>
    <n v="1"/>
    <x v="6"/>
    <n v="1227.24"/>
    <n v="1227.24"/>
    <n v="1227.24"/>
    <n v="35284.12056376454"/>
    <x v="1"/>
    <n v="12.21"/>
    <b v="0"/>
    <d v="2023-02-11T00:00:00"/>
    <x v="2"/>
    <x v="1"/>
    <n v="19"/>
    <x v="0"/>
    <s v="Credit Card"/>
    <s v="Not Returned"/>
  </r>
  <r>
    <s v="TID_632"/>
    <x v="4"/>
    <x v="2"/>
    <x v="2"/>
    <x v="1"/>
    <x v="1"/>
    <x v="0"/>
    <n v="6"/>
    <n v="6"/>
    <n v="10"/>
    <n v="10"/>
    <n v="3"/>
    <x v="6"/>
    <n v="400.84"/>
    <n v="1202.52"/>
    <n v="858.23852399999998"/>
    <n v="35653.122039764537"/>
    <x v="0"/>
    <n v="28.63"/>
    <b v="1"/>
    <d v="2024-05-11T00:00:00"/>
    <x v="1"/>
    <x v="0"/>
    <n v="33"/>
    <x v="0"/>
    <s v="Debit Card"/>
    <s v="Returned"/>
  </r>
  <r>
    <s v="TID_1500"/>
    <x v="4"/>
    <x v="2"/>
    <x v="1"/>
    <x v="2"/>
    <x v="3"/>
    <x v="3"/>
    <n v="6"/>
    <n v="6"/>
    <n v="10"/>
    <n v="9"/>
    <n v="1"/>
    <x v="6"/>
    <n v="1189.3399999999999"/>
    <n v="1189.3399999999999"/>
    <n v="854.18398799999989"/>
    <n v="35657.176575764541"/>
    <x v="1"/>
    <n v="28.18"/>
    <b v="1"/>
    <d v="2023-01-08T00:00:00"/>
    <x v="2"/>
    <x v="1"/>
    <n v="27"/>
    <x v="2"/>
    <s v="Online Payment"/>
    <s v="Not Returned"/>
  </r>
  <r>
    <s v="TID_373"/>
    <x v="5"/>
    <x v="2"/>
    <x v="2"/>
    <x v="0"/>
    <x v="1"/>
    <x v="2"/>
    <n v="7"/>
    <n v="6"/>
    <n v="6"/>
    <n v="10"/>
    <n v="15"/>
    <x v="6"/>
    <n v="78.599999999999994"/>
    <n v="1179"/>
    <n v="1060.3925999999999"/>
    <n v="35450.967963764539"/>
    <x v="1"/>
    <n v="10.06"/>
    <b v="1"/>
    <d v="2023-01-15T00:00:00"/>
    <x v="2"/>
    <x v="1"/>
    <n v="22"/>
    <x v="1"/>
    <s v="Online Payment"/>
    <s v="Returned"/>
  </r>
  <r>
    <s v="TID_1136"/>
    <x v="3"/>
    <x v="0"/>
    <x v="2"/>
    <x v="1"/>
    <x v="1"/>
    <x v="0"/>
    <n v="5"/>
    <n v="4"/>
    <n v="10"/>
    <n v="10"/>
    <n v="1"/>
    <x v="6"/>
    <n v="1154.74"/>
    <n v="1154.74"/>
    <n v="1125.29413"/>
    <n v="35386.066433764536"/>
    <x v="0"/>
    <n v="2.5499999999999998"/>
    <b v="1"/>
    <d v="2024-03-06T00:00:00"/>
    <x v="2"/>
    <x v="0"/>
    <n v="66"/>
    <x v="1"/>
    <s v="Cash"/>
    <s v="Not Returned"/>
  </r>
  <r>
    <s v="TID_106"/>
    <x v="4"/>
    <x v="2"/>
    <x v="1"/>
    <x v="1"/>
    <x v="4"/>
    <x v="0"/>
    <n v="6"/>
    <n v="6"/>
    <n v="10"/>
    <n v="10"/>
    <n v="11"/>
    <x v="6"/>
    <n v="104.45"/>
    <n v="1148.95"/>
    <n v="909.85350500000004"/>
    <n v="35601.507058764539"/>
    <x v="0"/>
    <n v="20.81"/>
    <b v="1"/>
    <d v="2023-01-09T00:00:00"/>
    <x v="2"/>
    <x v="1"/>
    <n v="68"/>
    <x v="1"/>
    <s v="Credit Card"/>
    <s v="Not Returned"/>
  </r>
  <r>
    <s v="TID_296"/>
    <x v="2"/>
    <x v="1"/>
    <x v="0"/>
    <x v="1"/>
    <x v="1"/>
    <x v="1"/>
    <n v="3"/>
    <n v="13"/>
    <n v="10"/>
    <n v="10"/>
    <n v="15"/>
    <x v="6"/>
    <n v="76.19"/>
    <n v="1142.8499999999999"/>
    <n v="1142.8499999999999"/>
    <n v="35368.510563764539"/>
    <x v="1"/>
    <n v="16.600000000000001"/>
    <b v="0"/>
    <d v="2023-06-28T00:00:00"/>
    <x v="1"/>
    <x v="1"/>
    <n v="37"/>
    <x v="2"/>
    <s v="Debit Card"/>
    <s v="Not Returned"/>
  </r>
  <r>
    <s v="TID_1456"/>
    <x v="1"/>
    <x v="0"/>
    <x v="2"/>
    <x v="1"/>
    <x v="1"/>
    <x v="2"/>
    <n v="5"/>
    <n v="4"/>
    <n v="10"/>
    <n v="10"/>
    <n v="3"/>
    <x v="6"/>
    <n v="376.11"/>
    <n v="1128.33"/>
    <n v="1128.33"/>
    <n v="35383.030563764536"/>
    <x v="0"/>
    <n v="25.35"/>
    <b v="0"/>
    <d v="2023-06-02T00:00:00"/>
    <x v="1"/>
    <x v="1"/>
    <n v="29"/>
    <x v="1"/>
    <s v="Cash"/>
    <s v="Not Returned"/>
  </r>
  <r>
    <s v="TID_159"/>
    <x v="9"/>
    <x v="4"/>
    <x v="0"/>
    <x v="2"/>
    <x v="0"/>
    <x v="0"/>
    <n v="6"/>
    <n v="13"/>
    <n v="10"/>
    <n v="10"/>
    <n v="2"/>
    <x v="6"/>
    <n v="560.41999999999996"/>
    <n v="1120.8399999999999"/>
    <n v="1074.7734759999998"/>
    <n v="35436.587087764536"/>
    <x v="0"/>
    <n v="4.1100000000000003"/>
    <b v="1"/>
    <d v="2023-02-08T00:00:00"/>
    <x v="2"/>
    <x v="1"/>
    <n v="45"/>
    <x v="2"/>
    <s v="Cash"/>
    <s v="Not Returned"/>
  </r>
  <r>
    <s v="TID_1776"/>
    <x v="0"/>
    <x v="0"/>
    <x v="1"/>
    <x v="0"/>
    <x v="4"/>
    <x v="3"/>
    <n v="5"/>
    <n v="4"/>
    <n v="6"/>
    <n v="9"/>
    <n v="1"/>
    <x v="6"/>
    <n v="1103.95"/>
    <n v="1103.95"/>
    <n v="1103.95"/>
    <n v="35407.410563764541"/>
    <x v="1"/>
    <n v="24.04"/>
    <b v="0"/>
    <d v="2024-02-16T00:00:00"/>
    <x v="2"/>
    <x v="0"/>
    <n v="64"/>
    <x v="2"/>
    <s v="Cash"/>
    <s v="Not Returned"/>
  </r>
  <r>
    <s v="TID_255"/>
    <x v="5"/>
    <x v="2"/>
    <x v="2"/>
    <x v="1"/>
    <x v="3"/>
    <x v="3"/>
    <n v="7"/>
    <n v="6"/>
    <n v="10"/>
    <n v="9"/>
    <n v="1"/>
    <x v="6"/>
    <n v="1087.3800000000001"/>
    <n v="1087.3800000000001"/>
    <n v="1021.0498200000002"/>
    <n v="35490.310743764538"/>
    <x v="1"/>
    <n v="6.1"/>
    <b v="1"/>
    <d v="2023-09-02T00:00:00"/>
    <x v="3"/>
    <x v="1"/>
    <n v="62"/>
    <x v="1"/>
    <s v="Debit Card"/>
    <s v="Not Returned"/>
  </r>
  <r>
    <s v="TID_794"/>
    <x v="7"/>
    <x v="2"/>
    <x v="2"/>
    <x v="2"/>
    <x v="4"/>
    <x v="0"/>
    <n v="2"/>
    <n v="6"/>
    <n v="10"/>
    <n v="10"/>
    <n v="2"/>
    <x v="6"/>
    <n v="527.49"/>
    <n v="1054.98"/>
    <n v="926.69443200000001"/>
    <n v="35584.666131764541"/>
    <x v="1"/>
    <n v="12.16"/>
    <b v="1"/>
    <d v="2024-03-18T00:00:00"/>
    <x v="2"/>
    <x v="0"/>
    <n v="42"/>
    <x v="2"/>
    <s v="Online Payment"/>
    <s v="Not Returned"/>
  </r>
  <r>
    <s v="TID_424"/>
    <x v="3"/>
    <x v="0"/>
    <x v="1"/>
    <x v="1"/>
    <x v="0"/>
    <x v="2"/>
    <n v="5"/>
    <n v="4"/>
    <n v="10"/>
    <n v="10"/>
    <n v="2"/>
    <x v="6"/>
    <n v="525.70000000000005"/>
    <n v="1051.4000000000001"/>
    <n v="1051.4000000000001"/>
    <n v="35459.960563764536"/>
    <x v="1"/>
    <n v="15.99"/>
    <b v="0"/>
    <d v="2024-03-07T00:00:00"/>
    <x v="2"/>
    <x v="0"/>
    <n v="45"/>
    <x v="0"/>
    <s v="Debit Card"/>
    <s v="Returned"/>
  </r>
  <r>
    <s v="TID_430"/>
    <x v="6"/>
    <x v="1"/>
    <x v="2"/>
    <x v="1"/>
    <x v="2"/>
    <x v="0"/>
    <n v="6"/>
    <n v="13"/>
    <n v="10"/>
    <n v="10"/>
    <n v="1"/>
    <x v="6"/>
    <n v="1018.32"/>
    <n v="1018.32"/>
    <n v="937.46539200000007"/>
    <n v="35573.89517176454"/>
    <x v="0"/>
    <n v="7.94"/>
    <b v="1"/>
    <d v="2024-02-05T00:00:00"/>
    <x v="2"/>
    <x v="0"/>
    <n v="57"/>
    <x v="0"/>
    <s v="Cash"/>
    <s v="Not Returned"/>
  </r>
  <r>
    <s v="TID_857"/>
    <x v="1"/>
    <x v="0"/>
    <x v="1"/>
    <x v="2"/>
    <x v="1"/>
    <x v="0"/>
    <n v="5"/>
    <n v="4"/>
    <n v="10"/>
    <n v="10"/>
    <n v="10"/>
    <x v="6"/>
    <n v="99.68"/>
    <n v="996.8"/>
    <n v="717.19759999999997"/>
    <n v="35794.162963764538"/>
    <x v="0"/>
    <n v="28.05"/>
    <b v="1"/>
    <d v="2024-07-07T00:00:00"/>
    <x v="3"/>
    <x v="0"/>
    <n v="45"/>
    <x v="1"/>
    <s v="Cash"/>
    <s v="Not Returned"/>
  </r>
  <r>
    <s v="TID_1095"/>
    <x v="8"/>
    <x v="3"/>
    <x v="2"/>
    <x v="0"/>
    <x v="3"/>
    <x v="3"/>
    <n v="9"/>
    <n v="7"/>
    <n v="6"/>
    <n v="9"/>
    <n v="11"/>
    <x v="6"/>
    <n v="90.38"/>
    <n v="994.18"/>
    <n v="707.85615999999993"/>
    <n v="35803.504403764535"/>
    <x v="1"/>
    <n v="28.8"/>
    <b v="1"/>
    <d v="2023-03-22T00:00:00"/>
    <x v="2"/>
    <x v="1"/>
    <n v="49"/>
    <x v="1"/>
    <s v="Debit Card"/>
    <s v="Not Returned"/>
  </r>
  <r>
    <s v="TID_1684"/>
    <x v="3"/>
    <x v="0"/>
    <x v="2"/>
    <x v="0"/>
    <x v="3"/>
    <x v="1"/>
    <n v="5"/>
    <n v="4"/>
    <n v="6"/>
    <n v="10"/>
    <n v="5"/>
    <x v="6"/>
    <n v="187.82"/>
    <n v="939.1"/>
    <n v="867.35275999999999"/>
    <n v="35644.007803764536"/>
    <x v="0"/>
    <n v="7.64"/>
    <b v="1"/>
    <d v="2023-01-06T00:00:00"/>
    <x v="2"/>
    <x v="1"/>
    <n v="53"/>
    <x v="2"/>
    <s v="Debit Card"/>
    <s v="Returned"/>
  </r>
  <r>
    <s v="TID_845"/>
    <x v="7"/>
    <x v="2"/>
    <x v="1"/>
    <x v="0"/>
    <x v="4"/>
    <x v="3"/>
    <n v="2"/>
    <n v="6"/>
    <n v="6"/>
    <n v="9"/>
    <n v="15"/>
    <x v="6"/>
    <n v="61.89"/>
    <n v="928.35"/>
    <n v="896.97176999999999"/>
    <n v="35614.388793764541"/>
    <x v="0"/>
    <n v="3.38"/>
    <b v="1"/>
    <d v="2023-06-05T00:00:00"/>
    <x v="1"/>
    <x v="1"/>
    <n v="41"/>
    <x v="0"/>
    <s v="Cash"/>
    <s v="Returned"/>
  </r>
  <r>
    <s v="TID_1564"/>
    <x v="1"/>
    <x v="0"/>
    <x v="0"/>
    <x v="0"/>
    <x v="2"/>
    <x v="1"/>
    <n v="5"/>
    <n v="4"/>
    <n v="6"/>
    <n v="10"/>
    <n v="3"/>
    <x v="6"/>
    <n v="308.48"/>
    <n v="925.44"/>
    <n v="925.44"/>
    <n v="35585.920563764535"/>
    <x v="1"/>
    <n v="11.01"/>
    <b v="0"/>
    <d v="2023-12-08T00:00:00"/>
    <x v="0"/>
    <x v="1"/>
    <n v="40"/>
    <x v="2"/>
    <s v="Cash"/>
    <s v="Returned"/>
  </r>
  <r>
    <s v="TID_796"/>
    <x v="3"/>
    <x v="0"/>
    <x v="2"/>
    <x v="0"/>
    <x v="2"/>
    <x v="2"/>
    <n v="5"/>
    <n v="4"/>
    <n v="6"/>
    <n v="10"/>
    <n v="1"/>
    <x v="6"/>
    <n v="878.87"/>
    <n v="878.87"/>
    <n v="784.12781399999994"/>
    <n v="35727.232749764538"/>
    <x v="0"/>
    <n v="10.78"/>
    <b v="1"/>
    <d v="2024-06-21T00:00:00"/>
    <x v="1"/>
    <x v="0"/>
    <n v="49"/>
    <x v="0"/>
    <s v="Online Payment"/>
    <s v="Returned"/>
  </r>
  <r>
    <s v="TID_778"/>
    <x v="1"/>
    <x v="0"/>
    <x v="3"/>
    <x v="1"/>
    <x v="0"/>
    <x v="3"/>
    <n v="5"/>
    <n v="4"/>
    <n v="10"/>
    <n v="9"/>
    <n v="14"/>
    <x v="6"/>
    <n v="62.57"/>
    <n v="875.98"/>
    <n v="875.98"/>
    <n v="35635.380563764535"/>
    <x v="0"/>
    <n v="17.88"/>
    <b v="0"/>
    <d v="2023-08-16T00:00:00"/>
    <x v="3"/>
    <x v="1"/>
    <n v="65"/>
    <x v="2"/>
    <s v="Online Payment"/>
    <s v="Returned"/>
  </r>
  <r>
    <s v="TID_312"/>
    <x v="6"/>
    <x v="1"/>
    <x v="3"/>
    <x v="2"/>
    <x v="4"/>
    <x v="1"/>
    <n v="6"/>
    <n v="13"/>
    <n v="10"/>
    <n v="10"/>
    <n v="9"/>
    <x v="6"/>
    <n v="96.87"/>
    <n v="871.83"/>
    <n v="871.83"/>
    <n v="35639.530563764536"/>
    <x v="1"/>
    <n v="28.58"/>
    <b v="0"/>
    <d v="2023-06-22T00:00:00"/>
    <x v="1"/>
    <x v="1"/>
    <n v="61"/>
    <x v="1"/>
    <s v="Online Payment"/>
    <s v="Not Returned"/>
  </r>
  <r>
    <s v="TID_1603"/>
    <x v="0"/>
    <x v="0"/>
    <x v="2"/>
    <x v="0"/>
    <x v="4"/>
    <x v="0"/>
    <n v="5"/>
    <n v="4"/>
    <n v="6"/>
    <n v="10"/>
    <n v="14"/>
    <x v="6"/>
    <n v="61.81"/>
    <n v="865.34"/>
    <n v="865.34"/>
    <n v="35646.020563764541"/>
    <x v="1"/>
    <n v="11.81"/>
    <b v="0"/>
    <d v="2024-05-17T00:00:00"/>
    <x v="1"/>
    <x v="0"/>
    <n v="69"/>
    <x v="0"/>
    <s v="Debit Card"/>
    <s v="Returned"/>
  </r>
  <r>
    <s v="TID_1350"/>
    <x v="2"/>
    <x v="1"/>
    <x v="2"/>
    <x v="2"/>
    <x v="0"/>
    <x v="1"/>
    <n v="3"/>
    <n v="13"/>
    <n v="10"/>
    <n v="10"/>
    <n v="1"/>
    <x v="6"/>
    <n v="825.61"/>
    <n v="825.61"/>
    <n v="825.61"/>
    <n v="35685.750563764537"/>
    <x v="1"/>
    <n v="24.11"/>
    <b v="0"/>
    <d v="2024-05-07T00:00:00"/>
    <x v="1"/>
    <x v="0"/>
    <n v="62"/>
    <x v="1"/>
    <s v="Online Payment"/>
    <s v="Returned"/>
  </r>
  <r>
    <s v="TID_406"/>
    <x v="3"/>
    <x v="0"/>
    <x v="3"/>
    <x v="0"/>
    <x v="4"/>
    <x v="0"/>
    <n v="5"/>
    <n v="4"/>
    <n v="6"/>
    <n v="10"/>
    <n v="2"/>
    <x v="6"/>
    <n v="411.35"/>
    <n v="822.7"/>
    <n v="822.7"/>
    <n v="35688.660563764541"/>
    <x v="1"/>
    <n v="0.94"/>
    <b v="0"/>
    <d v="2023-03-25T00:00:00"/>
    <x v="2"/>
    <x v="1"/>
    <n v="27"/>
    <x v="2"/>
    <s v="Credit Card"/>
    <s v="Not Returned"/>
  </r>
  <r>
    <s v="TID_1963"/>
    <x v="4"/>
    <x v="2"/>
    <x v="1"/>
    <x v="1"/>
    <x v="4"/>
    <x v="2"/>
    <n v="6"/>
    <n v="6"/>
    <n v="10"/>
    <n v="10"/>
    <n v="4"/>
    <x v="6"/>
    <n v="204.51"/>
    <n v="818.04"/>
    <n v="818.04"/>
    <n v="35693.320563764537"/>
    <x v="0"/>
    <n v="25.41"/>
    <b v="0"/>
    <d v="2024-10-02T00:00:00"/>
    <x v="0"/>
    <x v="0"/>
    <n v="49"/>
    <x v="1"/>
    <s v="Cash"/>
    <s v="Not Returned"/>
  </r>
  <r>
    <s v="TID_1778"/>
    <x v="5"/>
    <x v="2"/>
    <x v="1"/>
    <x v="1"/>
    <x v="3"/>
    <x v="3"/>
    <n v="7"/>
    <n v="6"/>
    <n v="10"/>
    <n v="9"/>
    <n v="3"/>
    <x v="6"/>
    <n v="272.27999999999997"/>
    <n v="816.84"/>
    <n v="816.84"/>
    <n v="35694.520563764541"/>
    <x v="0"/>
    <n v="9.7200000000000006"/>
    <b v="0"/>
    <d v="2023-10-13T00:00:00"/>
    <x v="0"/>
    <x v="1"/>
    <n v="22"/>
    <x v="1"/>
    <s v="Credit Card"/>
    <s v="Not Returned"/>
  </r>
  <r>
    <s v="TID_814"/>
    <x v="5"/>
    <x v="2"/>
    <x v="1"/>
    <x v="0"/>
    <x v="3"/>
    <x v="2"/>
    <n v="7"/>
    <n v="6"/>
    <n v="6"/>
    <n v="10"/>
    <n v="2"/>
    <x v="6"/>
    <n v="398.12"/>
    <n v="796.24"/>
    <n v="775.61738400000002"/>
    <n v="35735.74317976454"/>
    <x v="0"/>
    <n v="2.59"/>
    <b v="1"/>
    <d v="2023-12-11T00:00:00"/>
    <x v="0"/>
    <x v="1"/>
    <n v="54"/>
    <x v="1"/>
    <s v="Credit Card"/>
    <s v="Not Returned"/>
  </r>
  <r>
    <s v="TID_1959"/>
    <x v="1"/>
    <x v="0"/>
    <x v="3"/>
    <x v="1"/>
    <x v="3"/>
    <x v="0"/>
    <n v="5"/>
    <n v="4"/>
    <n v="10"/>
    <n v="10"/>
    <n v="1"/>
    <x v="6"/>
    <n v="795.89"/>
    <n v="795.89"/>
    <n v="648.09322699999996"/>
    <n v="35863.26733676454"/>
    <x v="0"/>
    <n v="18.57"/>
    <b v="1"/>
    <d v="2024-06-11T00:00:00"/>
    <x v="1"/>
    <x v="0"/>
    <n v="49"/>
    <x v="0"/>
    <s v="Online Payment"/>
    <s v="Returned"/>
  </r>
  <r>
    <s v="TID_1056"/>
    <x v="3"/>
    <x v="0"/>
    <x v="3"/>
    <x v="2"/>
    <x v="2"/>
    <x v="1"/>
    <n v="5"/>
    <n v="4"/>
    <n v="10"/>
    <n v="10"/>
    <n v="4"/>
    <x v="6"/>
    <n v="192.73"/>
    <n v="770.92"/>
    <n v="652.42959600000006"/>
    <n v="35858.930967764536"/>
    <x v="0"/>
    <n v="15.37"/>
    <b v="1"/>
    <d v="2023-06-18T00:00:00"/>
    <x v="1"/>
    <x v="1"/>
    <n v="19"/>
    <x v="0"/>
    <s v="Online Payment"/>
    <s v="Not Returned"/>
  </r>
  <r>
    <s v="TID_2"/>
    <x v="5"/>
    <x v="2"/>
    <x v="0"/>
    <x v="0"/>
    <x v="2"/>
    <x v="0"/>
    <n v="7"/>
    <n v="6"/>
    <n v="6"/>
    <n v="10"/>
    <n v="5"/>
    <x v="6"/>
    <n v="152.03"/>
    <n v="760.15"/>
    <n v="603.33105499999999"/>
    <n v="35908.029508764535"/>
    <x v="0"/>
    <n v="20.63"/>
    <b v="1"/>
    <d v="2023-08-16T00:00:00"/>
    <x v="3"/>
    <x v="1"/>
    <n v="66"/>
    <x v="1"/>
    <s v="Cash"/>
    <s v="Not Returned"/>
  </r>
  <r>
    <s v="TID_26"/>
    <x v="2"/>
    <x v="1"/>
    <x v="2"/>
    <x v="2"/>
    <x v="4"/>
    <x v="2"/>
    <n v="3"/>
    <n v="13"/>
    <n v="10"/>
    <n v="10"/>
    <n v="3"/>
    <x v="6"/>
    <n v="241.03"/>
    <n v="723.09"/>
    <n v="635.88534600000003"/>
    <n v="35875.475217764535"/>
    <x v="1"/>
    <n v="12.06"/>
    <b v="1"/>
    <d v="2024-05-17T00:00:00"/>
    <x v="1"/>
    <x v="0"/>
    <n v="36"/>
    <x v="2"/>
    <s v="Credit Card"/>
    <s v="Returned"/>
  </r>
  <r>
    <s v="TID_233"/>
    <x v="6"/>
    <x v="1"/>
    <x v="1"/>
    <x v="2"/>
    <x v="4"/>
    <x v="2"/>
    <n v="6"/>
    <n v="13"/>
    <n v="10"/>
    <n v="10"/>
    <n v="1"/>
    <x v="6"/>
    <n v="686.61"/>
    <n v="686.61"/>
    <n v="606.89457900000002"/>
    <n v="35904.465984764538"/>
    <x v="1"/>
    <n v="11.61"/>
    <b v="1"/>
    <d v="2024-08-17T00:00:00"/>
    <x v="3"/>
    <x v="0"/>
    <n v="66"/>
    <x v="1"/>
    <s v="Online Payment"/>
    <s v="Not Returned"/>
  </r>
  <r>
    <s v="TID_876"/>
    <x v="9"/>
    <x v="4"/>
    <x v="1"/>
    <x v="1"/>
    <x v="3"/>
    <x v="0"/>
    <n v="6"/>
    <n v="13"/>
    <n v="10"/>
    <n v="10"/>
    <n v="10"/>
    <x v="6"/>
    <n v="67.25"/>
    <n v="672.5"/>
    <n v="672.5"/>
    <n v="35838.860563764538"/>
    <x v="0"/>
    <n v="10.33"/>
    <b v="0"/>
    <d v="2023-02-28T00:00:00"/>
    <x v="2"/>
    <x v="1"/>
    <n v="54"/>
    <x v="1"/>
    <s v="Debit Card"/>
    <s v="Returned"/>
  </r>
  <r>
    <s v="TID_1844"/>
    <x v="8"/>
    <x v="3"/>
    <x v="0"/>
    <x v="2"/>
    <x v="2"/>
    <x v="1"/>
    <n v="9"/>
    <n v="7"/>
    <n v="10"/>
    <n v="10"/>
    <n v="1"/>
    <x v="6"/>
    <n v="630.52"/>
    <n v="630.52"/>
    <n v="554.79454799999996"/>
    <n v="35956.56601576454"/>
    <x v="1"/>
    <n v="12.01"/>
    <b v="1"/>
    <d v="2023-10-22T00:00:00"/>
    <x v="0"/>
    <x v="1"/>
    <n v="60"/>
    <x v="2"/>
    <s v="Debit Card"/>
    <s v="Not Returned"/>
  </r>
  <r>
    <s v="TID_1075"/>
    <x v="8"/>
    <x v="3"/>
    <x v="0"/>
    <x v="0"/>
    <x v="2"/>
    <x v="3"/>
    <n v="9"/>
    <n v="7"/>
    <n v="6"/>
    <n v="9"/>
    <n v="2"/>
    <x v="6"/>
    <n v="303.24"/>
    <n v="606.48"/>
    <n v="606.48"/>
    <n v="35904.880563764535"/>
    <x v="1"/>
    <n v="18.25"/>
    <b v="0"/>
    <d v="2023-01-24T00:00:00"/>
    <x v="2"/>
    <x v="1"/>
    <n v="48"/>
    <x v="2"/>
    <s v="Cash"/>
    <s v="Returned"/>
  </r>
  <r>
    <s v="TID_1326"/>
    <x v="4"/>
    <x v="2"/>
    <x v="1"/>
    <x v="1"/>
    <x v="4"/>
    <x v="0"/>
    <n v="6"/>
    <n v="6"/>
    <n v="10"/>
    <n v="10"/>
    <n v="6"/>
    <x v="6"/>
    <n v="95.47"/>
    <n v="572.82000000000005"/>
    <n v="572.82000000000005"/>
    <n v="35938.540563764538"/>
    <x v="0"/>
    <n v="20.66"/>
    <b v="0"/>
    <d v="2023-07-23T00:00:00"/>
    <x v="3"/>
    <x v="1"/>
    <n v="54"/>
    <x v="2"/>
    <s v="Debit Card"/>
    <s v="Not Returned"/>
  </r>
  <r>
    <s v="TID_1628"/>
    <x v="6"/>
    <x v="1"/>
    <x v="0"/>
    <x v="2"/>
    <x v="3"/>
    <x v="0"/>
    <n v="6"/>
    <n v="13"/>
    <n v="10"/>
    <n v="10"/>
    <n v="8"/>
    <x v="6"/>
    <n v="70.7"/>
    <n v="565.6"/>
    <n v="489.07432000000006"/>
    <n v="36022.286243764538"/>
    <x v="1"/>
    <n v="13.53"/>
    <b v="1"/>
    <d v="2023-08-29T00:00:00"/>
    <x v="3"/>
    <x v="1"/>
    <n v="38"/>
    <x v="2"/>
    <s v="Online Payment"/>
    <s v="Not Returned"/>
  </r>
  <r>
    <s v="TID_365"/>
    <x v="4"/>
    <x v="2"/>
    <x v="0"/>
    <x v="1"/>
    <x v="2"/>
    <x v="1"/>
    <n v="6"/>
    <n v="6"/>
    <n v="10"/>
    <n v="10"/>
    <n v="10"/>
    <x v="6"/>
    <n v="52.63"/>
    <n v="526.29999999999995"/>
    <n v="526.29999999999995"/>
    <n v="35985.060563764535"/>
    <x v="0"/>
    <n v="9.5500000000000007"/>
    <b v="0"/>
    <d v="2024-05-09T00:00:00"/>
    <x v="1"/>
    <x v="0"/>
    <n v="26"/>
    <x v="1"/>
    <s v="Cash"/>
    <s v="Not Returned"/>
  </r>
  <r>
    <s v="TID_413"/>
    <x v="4"/>
    <x v="2"/>
    <x v="2"/>
    <x v="1"/>
    <x v="4"/>
    <x v="0"/>
    <n v="6"/>
    <n v="6"/>
    <n v="10"/>
    <n v="10"/>
    <n v="9"/>
    <x v="6"/>
    <n v="56.53"/>
    <n v="508.77"/>
    <n v="412.86685499999999"/>
    <n v="36098.493708764538"/>
    <x v="0"/>
    <n v="18.850000000000001"/>
    <b v="1"/>
    <d v="2023-07-02T00:00:00"/>
    <x v="3"/>
    <x v="1"/>
    <n v="33"/>
    <x v="2"/>
    <s v="Online Payment"/>
    <s v="Returned"/>
  </r>
  <r>
    <s v="TID_1005"/>
    <x v="4"/>
    <x v="2"/>
    <x v="2"/>
    <x v="0"/>
    <x v="3"/>
    <x v="2"/>
    <n v="6"/>
    <n v="6"/>
    <n v="6"/>
    <n v="10"/>
    <n v="1"/>
    <x v="6"/>
    <n v="487.16"/>
    <n v="487.16"/>
    <n v="386.61017600000002"/>
    <n v="36124.750387764536"/>
    <x v="1"/>
    <n v="20.64"/>
    <b v="1"/>
    <d v="2024-05-12T00:00:00"/>
    <x v="1"/>
    <x v="0"/>
    <n v="26"/>
    <x v="1"/>
    <s v="Cash"/>
    <s v="Returned"/>
  </r>
  <r>
    <s v="TID_171"/>
    <x v="7"/>
    <x v="2"/>
    <x v="0"/>
    <x v="1"/>
    <x v="0"/>
    <x v="2"/>
    <n v="2"/>
    <n v="6"/>
    <n v="10"/>
    <n v="10"/>
    <n v="1"/>
    <x v="6"/>
    <n v="481.63"/>
    <n v="481.63"/>
    <n v="463.13540799999998"/>
    <n v="36048.225155764536"/>
    <x v="0"/>
    <n v="3.84"/>
    <b v="1"/>
    <d v="2023-02-03T00:00:00"/>
    <x v="2"/>
    <x v="1"/>
    <n v="34"/>
    <x v="2"/>
    <s v="Credit Card"/>
    <s v="Not Returned"/>
  </r>
  <r>
    <s v="TID_1286"/>
    <x v="2"/>
    <x v="1"/>
    <x v="2"/>
    <x v="2"/>
    <x v="4"/>
    <x v="3"/>
    <n v="3"/>
    <n v="13"/>
    <n v="10"/>
    <n v="9"/>
    <n v="2"/>
    <x v="6"/>
    <n v="230.87"/>
    <n v="461.74"/>
    <n v="461.74"/>
    <n v="36049.62056376454"/>
    <x v="0"/>
    <n v="17.239999999999998"/>
    <b v="0"/>
    <d v="2023-04-27T00:00:00"/>
    <x v="1"/>
    <x v="1"/>
    <n v="32"/>
    <x v="0"/>
    <s v="Debit Card"/>
    <s v="Not Returned"/>
  </r>
  <r>
    <s v="TID_1163"/>
    <x v="4"/>
    <x v="2"/>
    <x v="1"/>
    <x v="0"/>
    <x v="1"/>
    <x v="0"/>
    <n v="6"/>
    <n v="6"/>
    <n v="6"/>
    <n v="10"/>
    <n v="1"/>
    <x v="6"/>
    <n v="430.49"/>
    <n v="430.49"/>
    <n v="430.49"/>
    <n v="36080.87056376454"/>
    <x v="1"/>
    <n v="15.84"/>
    <b v="0"/>
    <d v="2023-05-24T00:00:00"/>
    <x v="1"/>
    <x v="1"/>
    <n v="59"/>
    <x v="0"/>
    <s v="Cash"/>
    <s v="Returned"/>
  </r>
  <r>
    <s v="TID_553"/>
    <x v="1"/>
    <x v="0"/>
    <x v="2"/>
    <x v="0"/>
    <x v="3"/>
    <x v="2"/>
    <n v="5"/>
    <n v="4"/>
    <n v="6"/>
    <n v="10"/>
    <n v="3"/>
    <x v="6"/>
    <n v="141.13999999999999"/>
    <n v="423.42"/>
    <n v="306.64076399999999"/>
    <n v="36204.719799764534"/>
    <x v="1"/>
    <n v="27.58"/>
    <b v="1"/>
    <d v="2023-12-20T00:00:00"/>
    <x v="0"/>
    <x v="1"/>
    <n v="51"/>
    <x v="2"/>
    <s v="Cash"/>
    <s v="Returned"/>
  </r>
  <r>
    <s v="TID_697"/>
    <x v="4"/>
    <x v="2"/>
    <x v="1"/>
    <x v="1"/>
    <x v="4"/>
    <x v="0"/>
    <n v="6"/>
    <n v="6"/>
    <n v="10"/>
    <n v="10"/>
    <n v="3"/>
    <x v="6"/>
    <n v="120.17"/>
    <n v="360.51"/>
    <n v="360.51"/>
    <n v="36150.850563764536"/>
    <x v="0"/>
    <n v="14.61"/>
    <b v="0"/>
    <d v="2024-10-04T00:00:00"/>
    <x v="0"/>
    <x v="0"/>
    <n v="41"/>
    <x v="2"/>
    <s v="Online Payment"/>
    <s v="Returned"/>
  </r>
  <r>
    <s v="TID_370"/>
    <x v="3"/>
    <x v="0"/>
    <x v="3"/>
    <x v="0"/>
    <x v="3"/>
    <x v="0"/>
    <n v="5"/>
    <n v="4"/>
    <n v="6"/>
    <n v="10"/>
    <n v="1"/>
    <x v="6"/>
    <n v="346.84"/>
    <n v="346.84"/>
    <n v="346.84"/>
    <n v="36164.520563764541"/>
    <x v="1"/>
    <n v="16.420000000000002"/>
    <b v="0"/>
    <d v="2024-08-15T00:00:00"/>
    <x v="3"/>
    <x v="0"/>
    <n v="53"/>
    <x v="1"/>
    <s v="Credit Card"/>
    <s v="Not Returned"/>
  </r>
  <r>
    <s v="TID_1184"/>
    <x v="8"/>
    <x v="3"/>
    <x v="0"/>
    <x v="2"/>
    <x v="4"/>
    <x v="2"/>
    <n v="9"/>
    <n v="7"/>
    <n v="10"/>
    <n v="10"/>
    <n v="3"/>
    <x v="6"/>
    <n v="109.78"/>
    <n v="329.34"/>
    <n v="329.34"/>
    <n v="36182.020563764541"/>
    <x v="1"/>
    <n v="28.89"/>
    <b v="0"/>
    <d v="2023-07-21T00:00:00"/>
    <x v="3"/>
    <x v="1"/>
    <n v="35"/>
    <x v="1"/>
    <s v="Credit Card"/>
    <s v="Returned"/>
  </r>
  <r>
    <s v="TID_408"/>
    <x v="9"/>
    <x v="4"/>
    <x v="2"/>
    <x v="2"/>
    <x v="3"/>
    <x v="1"/>
    <n v="6"/>
    <n v="13"/>
    <n v="10"/>
    <n v="10"/>
    <n v="1"/>
    <x v="6"/>
    <n v="293.98"/>
    <n v="293.98"/>
    <n v="293.98"/>
    <n v="36217.380563764535"/>
    <x v="1"/>
    <n v="4.26"/>
    <b v="0"/>
    <d v="2024-03-15T00:00:00"/>
    <x v="2"/>
    <x v="0"/>
    <n v="35"/>
    <x v="0"/>
    <s v="Cash"/>
    <s v="Not Returned"/>
  </r>
  <r>
    <s v="TID_1632"/>
    <x v="2"/>
    <x v="1"/>
    <x v="1"/>
    <x v="2"/>
    <x v="0"/>
    <x v="3"/>
    <n v="3"/>
    <n v="13"/>
    <n v="10"/>
    <n v="9"/>
    <n v="1"/>
    <x v="6"/>
    <n v="268.83"/>
    <n v="268.83"/>
    <n v="265.44274200000001"/>
    <n v="36245.917821764539"/>
    <x v="0"/>
    <n v="1.26"/>
    <b v="1"/>
    <d v="2024-03-26T00:00:00"/>
    <x v="2"/>
    <x v="0"/>
    <n v="21"/>
    <x v="0"/>
    <s v="Credit Card"/>
    <s v="Not Returned"/>
  </r>
  <r>
    <s v="TID_1092"/>
    <x v="8"/>
    <x v="3"/>
    <x v="3"/>
    <x v="0"/>
    <x v="2"/>
    <x v="1"/>
    <n v="9"/>
    <n v="7"/>
    <n v="6"/>
    <n v="10"/>
    <n v="1"/>
    <x v="6"/>
    <n v="264.23"/>
    <n v="264.23"/>
    <n v="264.23"/>
    <n v="36247.130563764535"/>
    <x v="0"/>
    <n v="4.9000000000000004"/>
    <b v="0"/>
    <d v="2023-08-28T00:00:00"/>
    <x v="3"/>
    <x v="1"/>
    <n v="19"/>
    <x v="1"/>
    <s v="Online Payment"/>
    <s v="Not Returned"/>
  </r>
  <r>
    <s v="TID_223"/>
    <x v="0"/>
    <x v="0"/>
    <x v="2"/>
    <x v="1"/>
    <x v="1"/>
    <x v="0"/>
    <n v="5"/>
    <n v="4"/>
    <n v="10"/>
    <n v="10"/>
    <n v="2"/>
    <x v="6"/>
    <n v="126.5"/>
    <n v="253"/>
    <n v="179.52879999999999"/>
    <n v="36331.831763764538"/>
    <x v="1"/>
    <n v="29.04"/>
    <b v="1"/>
    <d v="2023-01-29T00:00:00"/>
    <x v="2"/>
    <x v="1"/>
    <n v="68"/>
    <x v="0"/>
    <s v="Debit Card"/>
    <s v="Returned"/>
  </r>
  <r>
    <s v="TID_1385"/>
    <x v="3"/>
    <x v="0"/>
    <x v="0"/>
    <x v="0"/>
    <x v="1"/>
    <x v="2"/>
    <n v="5"/>
    <n v="4"/>
    <n v="6"/>
    <n v="10"/>
    <n v="1"/>
    <x v="6"/>
    <n v="232.78"/>
    <n v="232.78"/>
    <n v="177.14558"/>
    <n v="36334.214983764541"/>
    <x v="1"/>
    <n v="23.9"/>
    <b v="1"/>
    <d v="2023-12-26T00:00:00"/>
    <x v="0"/>
    <x v="1"/>
    <n v="32"/>
    <x v="2"/>
    <s v="Debit Card"/>
    <s v="Returned"/>
  </r>
  <r>
    <s v="TID_1728"/>
    <x v="8"/>
    <x v="3"/>
    <x v="3"/>
    <x v="0"/>
    <x v="4"/>
    <x v="1"/>
    <n v="9"/>
    <n v="7"/>
    <n v="6"/>
    <n v="10"/>
    <n v="2"/>
    <x v="6"/>
    <n v="113.93"/>
    <n v="227.86"/>
    <n v="176.68264400000001"/>
    <n v="36334.677919764537"/>
    <x v="1"/>
    <n v="22.46"/>
    <b v="1"/>
    <d v="2023-02-20T00:00:00"/>
    <x v="2"/>
    <x v="1"/>
    <n v="38"/>
    <x v="0"/>
    <s v="Cash"/>
    <s v="Not Returned"/>
  </r>
  <r>
    <s v="TID_1396"/>
    <x v="9"/>
    <x v="4"/>
    <x v="2"/>
    <x v="1"/>
    <x v="4"/>
    <x v="2"/>
    <n v="6"/>
    <n v="13"/>
    <n v="10"/>
    <n v="10"/>
    <n v="4"/>
    <x v="6"/>
    <n v="55.46"/>
    <n v="221.84"/>
    <n v="221.84"/>
    <n v="36289.520563764541"/>
    <x v="1"/>
    <n v="16.739999999999998"/>
    <b v="0"/>
    <d v="2023-04-25T00:00:00"/>
    <x v="1"/>
    <x v="1"/>
    <n v="34"/>
    <x v="0"/>
    <s v="Cash"/>
    <s v="Returned"/>
  </r>
  <r>
    <s v="TID_1069"/>
    <x v="2"/>
    <x v="1"/>
    <x v="2"/>
    <x v="2"/>
    <x v="3"/>
    <x v="3"/>
    <n v="3"/>
    <n v="13"/>
    <n v="10"/>
    <n v="9"/>
    <n v="3"/>
    <x v="6"/>
    <n v="60.55"/>
    <n v="181.65"/>
    <n v="169.95174"/>
    <n v="36341.408823764541"/>
    <x v="1"/>
    <n v="6.44"/>
    <b v="1"/>
    <d v="2024-09-26T00:00:00"/>
    <x v="3"/>
    <x v="0"/>
    <n v="49"/>
    <x v="0"/>
    <s v="Online Payment"/>
    <s v="Returned"/>
  </r>
  <r>
    <s v="TID_157"/>
    <x v="2"/>
    <x v="1"/>
    <x v="1"/>
    <x v="2"/>
    <x v="0"/>
    <x v="3"/>
    <n v="3"/>
    <n v="13"/>
    <n v="10"/>
    <n v="9"/>
    <n v="1"/>
    <x v="6"/>
    <n v="102.04"/>
    <n v="102.04"/>
    <n v="81.978936000000004"/>
    <n v="36429.381627764538"/>
    <x v="1"/>
    <n v="19.66"/>
    <b v="1"/>
    <d v="2024-07-10T00:00:00"/>
    <x v="3"/>
    <x v="0"/>
    <n v="69"/>
    <x v="1"/>
    <s v="Debit Card"/>
    <s v="Not Returned"/>
  </r>
  <r>
    <s v="TID_349"/>
    <x v="6"/>
    <x v="1"/>
    <x v="2"/>
    <x v="1"/>
    <x v="1"/>
    <x v="2"/>
    <n v="6"/>
    <n v="13"/>
    <n v="10"/>
    <n v="10"/>
    <n v="1"/>
    <x v="6"/>
    <n v="78.28"/>
    <n v="78.28"/>
    <n v="76.229063999999994"/>
    <n v="36435.131499764539"/>
    <x v="0"/>
    <n v="2.62"/>
    <b v="1"/>
    <d v="2023-06-29T00:00:00"/>
    <x v="1"/>
    <x v="1"/>
    <n v="25"/>
    <x v="1"/>
    <s v="Debit Card"/>
    <s v="Returned"/>
  </r>
  <r>
    <s v="TID_1109"/>
    <x v="3"/>
    <x v="0"/>
    <x v="0"/>
    <x v="2"/>
    <x v="1"/>
    <x v="1"/>
    <n v="5"/>
    <n v="4"/>
    <n v="10"/>
    <n v="10"/>
    <n v="1"/>
    <x v="6"/>
    <n v="58.6"/>
    <n v="58.6"/>
    <n v="58.6"/>
    <n v="36452.760563764539"/>
    <x v="0"/>
    <n v="1.1200000000000001"/>
    <b v="0"/>
    <d v="2023-12-08T00:00:00"/>
    <x v="0"/>
    <x v="1"/>
    <n v="27"/>
    <x v="1"/>
    <s v="Debit Card"/>
    <s v="Not Retur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3E3AAF-C435-4706-AA2C-0934F5AE5A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9:F12" firstHeaderRow="1" firstDataRow="2" firstDataCol="1"/>
  <pivotFields count="27">
    <pivotField showAll="0"/>
    <pivotField showAll="0">
      <items count="11">
        <item h="1" x="8"/>
        <item h="1" x="9"/>
        <item h="1" x="6"/>
        <item h="1" x="1"/>
        <item h="1" x="4"/>
        <item h="1" x="5"/>
        <item h="1" x="3"/>
        <item h="1" x="0"/>
        <item x="7"/>
        <item h="1" x="2"/>
        <item t="default"/>
      </items>
    </pivotField>
    <pivotField showAll="0">
      <items count="6">
        <item h="1" x="0"/>
        <item x="2"/>
        <item h="1" x="1"/>
        <item h="1" x="3"/>
        <item h="1" x="4"/>
        <item t="default"/>
      </items>
    </pivotField>
    <pivotField showAll="0">
      <items count="5">
        <item x="0"/>
        <item x="2"/>
        <item x="3"/>
        <item x="1"/>
        <item t="default"/>
      </items>
    </pivotField>
    <pivotField axis="axisRow" showAll="0">
      <items count="4">
        <item h="1" x="1"/>
        <item x="0"/>
        <item h="1" x="2"/>
        <item t="default"/>
      </items>
    </pivotField>
    <pivotField showAll="0">
      <items count="6">
        <item x="2"/>
        <item x="3"/>
        <item x="0"/>
        <item x="1"/>
        <item x="4"/>
        <item t="default"/>
      </items>
    </pivotField>
    <pivotField showAll="0">
      <items count="5">
        <item x="0"/>
        <item h="1" x="3"/>
        <item h="1" x="1"/>
        <item h="1" x="2"/>
        <item t="default"/>
      </items>
    </pivotField>
    <pivotField numFmtId="1" showAll="0"/>
    <pivotField numFmtId="1" showAll="0"/>
    <pivotField numFmtId="1" showAll="0"/>
    <pivotField numFmtId="1" showAll="0"/>
    <pivotField showAll="0"/>
    <pivotField showAll="0"/>
    <pivotField numFmtId="3" showAll="0"/>
    <pivotField dataField="1" numFmtId="3" showAll="0"/>
    <pivotField numFmtId="3" showAll="0"/>
    <pivotField numFmtId="3" showAll="0"/>
    <pivotField showAll="0"/>
    <pivotField numFmtId="1" showAll="0"/>
    <pivotField showAll="0"/>
    <pivotField numFmtId="14" showAll="0"/>
    <pivotField showAll="0">
      <items count="5">
        <item x="2"/>
        <item x="1"/>
        <item x="3"/>
        <item x="0"/>
        <item t="default"/>
      </items>
    </pivotField>
    <pivotField axis="axisCol" numFmtId="1" showAll="0">
      <items count="3">
        <item x="1"/>
        <item h="1" x="0"/>
        <item t="default"/>
      </items>
    </pivotField>
    <pivotField showAll="0"/>
    <pivotField showAll="0"/>
    <pivotField showAll="0"/>
    <pivotField showAll="0"/>
  </pivotFields>
  <rowFields count="1">
    <field x="4"/>
  </rowFields>
  <rowItems count="2">
    <i>
      <x v="1"/>
    </i>
    <i t="grand">
      <x/>
    </i>
  </rowItems>
  <colFields count="1">
    <field x="22"/>
  </colFields>
  <colItems count="2">
    <i>
      <x/>
    </i>
    <i t="grand">
      <x/>
    </i>
  </colItems>
  <dataFields count="1">
    <dataField name="Sum of Total Sales (in USD)" fld="14" baseField="0" baseItem="0" numFmtId="3"/>
  </dataFields>
  <chartFormats count="2">
    <chartFormat chart="1" format="2" series="1">
      <pivotArea type="data" outline="0" fieldPosition="0">
        <references count="1">
          <reference field="4294967294" count="1" selected="0">
            <x v="0"/>
          </reference>
        </references>
      </pivotArea>
    </chartFormat>
    <chartFormat chart="1" format="17" series="1">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3507DA-F557-4614-94F0-EC34A81B8D50}"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B6" firstHeaderRow="1" firstDataRow="1" firstDataCol="1"/>
  <pivotFields count="27">
    <pivotField compact="0" outline="0" showAll="0"/>
    <pivotField compact="0" outline="0" showAll="0"/>
    <pivotField compact="0" outline="0" showAll="0"/>
    <pivotField compact="0" outline="0" showAll="0"/>
    <pivotField axis="axisRow" compact="0" outline="0" showAll="0">
      <items count="4">
        <item x="1"/>
        <item x="0"/>
        <item x="2"/>
        <item t="default"/>
      </items>
    </pivotField>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outline="0" showAll="0"/>
    <pivotField compact="0" outline="0" showAll="0"/>
    <pivotField compact="0" numFmtId="3" outline="0" showAll="0"/>
    <pivotField dataField="1" compact="0" numFmtId="3" outline="0" showAll="0"/>
    <pivotField compact="0" numFmtId="3" outline="0" showAll="0"/>
    <pivotField compact="0" numFmtId="3" outline="0" showAll="0"/>
    <pivotField compact="0" outline="0" showAll="0"/>
    <pivotField compact="0" outline="0" showAll="0"/>
    <pivotField compact="0" outline="0" showAll="0"/>
    <pivotField compact="0" numFmtId="14" outline="0" showAll="0"/>
    <pivotField compact="0" outline="0" showAll="0"/>
    <pivotField compact="0" numFmtId="1" outline="0" showAll="0"/>
    <pivotField compact="0" outline="0" showAll="0"/>
    <pivotField compact="0" outline="0" showAll="0"/>
    <pivotField compact="0" outline="0" showAll="0"/>
    <pivotField compact="0" outline="0" showAll="0"/>
  </pivotFields>
  <rowFields count="1">
    <field x="4"/>
  </rowFields>
  <rowItems count="4">
    <i>
      <x/>
    </i>
    <i>
      <x v="1"/>
    </i>
    <i>
      <x v="2"/>
    </i>
    <i t="grand">
      <x/>
    </i>
  </rowItems>
  <colItems count="1">
    <i/>
  </colItems>
  <dataFields count="1">
    <dataField name="Sum of Total Sales (in USD)" fld="14" baseField="0" baseItem="0" numFmtId="3"/>
  </dataFields>
  <chartFormats count="4">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4" count="1" selected="0">
            <x v="0"/>
          </reference>
        </references>
      </pivotArea>
    </chartFormat>
    <chartFormat chart="0" format="6">
      <pivotArea type="data" outline="0" fieldPosition="0">
        <references count="2">
          <reference field="4294967294" count="1" selected="0">
            <x v="0"/>
          </reference>
          <reference field="4" count="1" selected="0">
            <x v="1"/>
          </reference>
        </references>
      </pivotArea>
    </chartFormat>
    <chartFormat chart="0" format="7">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9B0D79-A02A-4AE4-A6D4-A43758EDEFDF}"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G44" firstHeaderRow="1" firstDataRow="2" firstDataCol="2"/>
  <pivotFields count="27">
    <pivotField compact="0" outline="0" showAll="0"/>
    <pivotField axis="axisRow" compact="0" outline="0" showAll="0">
      <items count="11">
        <item x="8"/>
        <item x="9"/>
        <item x="6"/>
        <item x="1"/>
        <item x="4"/>
        <item x="5"/>
        <item x="3"/>
        <item x="0"/>
        <item x="7"/>
        <item x="2"/>
        <item t="default"/>
      </items>
    </pivotField>
    <pivotField compact="0" outline="0" showAll="0"/>
    <pivotField compact="0" outline="0" showAll="0"/>
    <pivotField axis="axisRow" compact="0" outline="0" showAll="0">
      <items count="4">
        <item x="1"/>
        <item x="0"/>
        <item x="2"/>
        <item t="default"/>
      </items>
    </pivotField>
    <pivotField compact="0" outline="0" showAll="0"/>
    <pivotField axis="axisCol" compact="0" outline="0" showAll="0">
      <items count="5">
        <item x="0"/>
        <item x="3"/>
        <item x="1"/>
        <item x="2"/>
        <item t="default"/>
      </items>
    </pivotField>
    <pivotField compact="0" numFmtId="1" outline="0" showAll="0"/>
    <pivotField compact="0" numFmtId="1" outline="0" showAll="0"/>
    <pivotField compact="0" numFmtId="1" outline="0" showAll="0"/>
    <pivotField compact="0" numFmtId="1" outline="0" showAll="0"/>
    <pivotField compact="0" outline="0" showAll="0"/>
    <pivotField compact="0" outline="0" showAll="0"/>
    <pivotField compact="0" numFmtId="3" outline="0" showAll="0"/>
    <pivotField dataField="1" compact="0" numFmtId="3" outline="0" showAll="0"/>
    <pivotField compact="0" numFmtId="3" outline="0" showAll="0"/>
    <pivotField compact="0" numFmtId="3" outline="0" showAll="0"/>
    <pivotField compact="0" outline="0" showAll="0"/>
    <pivotField compact="0" outline="0" showAll="0"/>
    <pivotField compact="0" outline="0" showAll="0"/>
    <pivotField compact="0" numFmtId="14" outline="0" showAll="0"/>
    <pivotField compact="0" outline="0" showAll="0"/>
    <pivotField compact="0" numFmtId="1" outline="0" showAll="0"/>
    <pivotField compact="0" outline="0" showAll="0"/>
    <pivotField compact="0" outline="0" showAll="0"/>
    <pivotField compact="0" outline="0" showAll="0"/>
    <pivotField compact="0" outline="0" showAll="0"/>
  </pivotFields>
  <rowFields count="2">
    <field x="1"/>
    <field x="4"/>
  </rowFields>
  <rowItems count="41">
    <i>
      <x/>
      <x/>
    </i>
    <i r="1">
      <x v="1"/>
    </i>
    <i r="1">
      <x v="2"/>
    </i>
    <i t="default">
      <x/>
    </i>
    <i>
      <x v="1"/>
      <x/>
    </i>
    <i r="1">
      <x v="1"/>
    </i>
    <i r="1">
      <x v="2"/>
    </i>
    <i t="default">
      <x v="1"/>
    </i>
    <i>
      <x v="2"/>
      <x/>
    </i>
    <i r="1">
      <x v="1"/>
    </i>
    <i r="1">
      <x v="2"/>
    </i>
    <i t="default">
      <x v="2"/>
    </i>
    <i>
      <x v="3"/>
      <x/>
    </i>
    <i r="1">
      <x v="1"/>
    </i>
    <i r="1">
      <x v="2"/>
    </i>
    <i t="default">
      <x v="3"/>
    </i>
    <i>
      <x v="4"/>
      <x/>
    </i>
    <i r="1">
      <x v="1"/>
    </i>
    <i r="1">
      <x v="2"/>
    </i>
    <i t="default">
      <x v="4"/>
    </i>
    <i>
      <x v="5"/>
      <x/>
    </i>
    <i r="1">
      <x v="1"/>
    </i>
    <i r="1">
      <x v="2"/>
    </i>
    <i t="default">
      <x v="5"/>
    </i>
    <i>
      <x v="6"/>
      <x/>
    </i>
    <i r="1">
      <x v="1"/>
    </i>
    <i r="1">
      <x v="2"/>
    </i>
    <i t="default">
      <x v="6"/>
    </i>
    <i>
      <x v="7"/>
      <x/>
    </i>
    <i r="1">
      <x v="1"/>
    </i>
    <i r="1">
      <x v="2"/>
    </i>
    <i t="default">
      <x v="7"/>
    </i>
    <i>
      <x v="8"/>
      <x/>
    </i>
    <i r="1">
      <x v="1"/>
    </i>
    <i r="1">
      <x v="2"/>
    </i>
    <i t="default">
      <x v="8"/>
    </i>
    <i>
      <x v="9"/>
      <x/>
    </i>
    <i r="1">
      <x v="1"/>
    </i>
    <i r="1">
      <x v="2"/>
    </i>
    <i t="default">
      <x v="9"/>
    </i>
    <i t="grand">
      <x/>
    </i>
  </rowItems>
  <colFields count="1">
    <field x="6"/>
  </colFields>
  <colItems count="5">
    <i>
      <x/>
    </i>
    <i>
      <x v="1"/>
    </i>
    <i>
      <x v="2"/>
    </i>
    <i>
      <x v="3"/>
    </i>
    <i t="grand">
      <x/>
    </i>
  </colItems>
  <dataFields count="1">
    <dataField name="Sum of Total Sales (in USD)" fld="1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ACDCD7-C2B9-4FA6-A17E-945A9957B193}"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B5" firstHeaderRow="1" firstDataRow="1" firstDataCol="1"/>
  <pivotFields count="27">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outline="0" showAll="0"/>
    <pivotField compact="0" outline="0" showAll="0"/>
    <pivotField compact="0" numFmtId="3" outline="0" showAll="0"/>
    <pivotField dataField="1" compact="0" numFmtId="3" outline="0" showAll="0"/>
    <pivotField compact="0" numFmtId="3" outline="0" showAll="0"/>
    <pivotField compact="0" numFmtId="3" outline="0" showAll="0"/>
    <pivotField axis="axisRow" compact="0" outline="0" showAll="0">
      <items count="3">
        <item x="1"/>
        <item x="0"/>
        <item t="default"/>
      </items>
    </pivotField>
    <pivotField compact="0" outline="0" showAll="0"/>
    <pivotField compact="0" outline="0" showAll="0"/>
    <pivotField compact="0" numFmtId="14" outline="0" showAll="0"/>
    <pivotField compact="0" outline="0" showAll="0"/>
    <pivotField compact="0" numFmtId="1" outline="0" showAll="0"/>
    <pivotField compact="0" outline="0" showAll="0"/>
    <pivotField compact="0" outline="0" showAll="0"/>
    <pivotField compact="0" outline="0" showAll="0"/>
    <pivotField compact="0" outline="0" showAll="0"/>
  </pivotFields>
  <rowFields count="1">
    <field x="17"/>
  </rowFields>
  <rowItems count="3">
    <i>
      <x/>
    </i>
    <i>
      <x v="1"/>
    </i>
    <i t="grand">
      <x/>
    </i>
  </rowItems>
  <colItems count="1">
    <i/>
  </colItems>
  <dataFields count="1">
    <dataField name="Sum of Total Sales (in USD)" fld="14" baseField="0" baseItem="0" numFmtId="3"/>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3A8453-F268-4A19-9BFD-D1613BA2ACC3}"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179" firstHeaderRow="1" firstDataRow="1" firstDataCol="4"/>
  <pivotFields count="27">
    <pivotField compact="0" outline="0" showAll="0"/>
    <pivotField axis="axisRow" compact="0" outline="0" showAll="0">
      <items count="11">
        <item x="8"/>
        <item x="9"/>
        <item x="6"/>
        <item x="1"/>
        <item x="4"/>
        <item x="5"/>
        <item x="3"/>
        <item x="0"/>
        <item x="7"/>
        <item x="2"/>
        <item t="default"/>
      </items>
    </pivotField>
    <pivotField axis="axisRow" compact="0" outline="0" showAll="0">
      <items count="6">
        <item x="0"/>
        <item x="2"/>
        <item x="1"/>
        <item x="3"/>
        <item x="4"/>
        <item t="default"/>
      </items>
    </pivotField>
    <pivotField compact="0" outline="0" multipleItemSelectionAllowed="1" showAll="0"/>
    <pivotField axis="axisRow" compact="0" outline="0" showAll="0">
      <items count="4">
        <item x="1"/>
        <item x="0"/>
        <item x="2"/>
        <item t="default"/>
      </items>
    </pivotField>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outline="0" showAll="0"/>
    <pivotField compact="0" outline="0" showAll="0"/>
    <pivotField compact="0" numFmtId="3" outline="0" showAll="0"/>
    <pivotField compact="0" numFmtId="3" outline="0" showAll="0"/>
    <pivotField compact="0" numFmtId="3" outline="0" showAll="0"/>
    <pivotField compact="0" numFmtId="3" outline="0" showAll="0"/>
    <pivotField compact="0" outline="0" showAll="0"/>
    <pivotField compact="0" outline="0" showAll="0"/>
    <pivotField compact="0" outline="0" showAll="0"/>
    <pivotField compact="0" numFmtId="14" outline="0" showAll="0"/>
    <pivotField axis="axisRow" compact="0" outline="0" showAll="0">
      <items count="5">
        <item x="2"/>
        <item x="1"/>
        <item x="3"/>
        <item x="0"/>
        <item t="default"/>
      </items>
    </pivotField>
    <pivotField compact="0" numFmtId="1" outline="0" showAll="0"/>
    <pivotField compact="0" outline="0" showAll="0"/>
    <pivotField compact="0" outline="0" showAll="0"/>
    <pivotField compact="0" outline="0" showAll="0"/>
    <pivotField compact="0" outline="0" showAll="0"/>
  </pivotFields>
  <rowFields count="4">
    <field x="2"/>
    <field x="1"/>
    <field x="21"/>
    <field x="4"/>
  </rowFields>
  <rowItems count="176">
    <i>
      <x/>
      <x v="3"/>
      <x/>
      <x/>
    </i>
    <i r="3">
      <x v="1"/>
    </i>
    <i r="3">
      <x v="2"/>
    </i>
    <i t="default" r="2">
      <x/>
    </i>
    <i r="2">
      <x v="1"/>
      <x/>
    </i>
    <i r="3">
      <x v="1"/>
    </i>
    <i r="3">
      <x v="2"/>
    </i>
    <i t="default" r="2">
      <x v="1"/>
    </i>
    <i r="2">
      <x v="2"/>
      <x/>
    </i>
    <i r="3">
      <x v="1"/>
    </i>
    <i r="3">
      <x v="2"/>
    </i>
    <i t="default" r="2">
      <x v="2"/>
    </i>
    <i r="2">
      <x v="3"/>
      <x/>
    </i>
    <i r="3">
      <x v="1"/>
    </i>
    <i r="3">
      <x v="2"/>
    </i>
    <i t="default" r="2">
      <x v="3"/>
    </i>
    <i t="default" r="1">
      <x v="3"/>
    </i>
    <i r="1">
      <x v="6"/>
      <x/>
      <x/>
    </i>
    <i r="3">
      <x v="1"/>
    </i>
    <i r="3">
      <x v="2"/>
    </i>
    <i t="default" r="2">
      <x/>
    </i>
    <i r="2">
      <x v="1"/>
      <x/>
    </i>
    <i r="3">
      <x v="1"/>
    </i>
    <i r="3">
      <x v="2"/>
    </i>
    <i t="default" r="2">
      <x v="1"/>
    </i>
    <i r="2">
      <x v="2"/>
      <x/>
    </i>
    <i r="3">
      <x v="1"/>
    </i>
    <i r="3">
      <x v="2"/>
    </i>
    <i t="default" r="2">
      <x v="2"/>
    </i>
    <i r="2">
      <x v="3"/>
      <x/>
    </i>
    <i r="3">
      <x v="1"/>
    </i>
    <i r="3">
      <x v="2"/>
    </i>
    <i t="default" r="2">
      <x v="3"/>
    </i>
    <i t="default" r="1">
      <x v="6"/>
    </i>
    <i r="1">
      <x v="7"/>
      <x/>
      <x/>
    </i>
    <i r="3">
      <x v="1"/>
    </i>
    <i r="3">
      <x v="2"/>
    </i>
    <i t="default" r="2">
      <x/>
    </i>
    <i r="2">
      <x v="1"/>
      <x/>
    </i>
    <i r="3">
      <x v="1"/>
    </i>
    <i r="3">
      <x v="2"/>
    </i>
    <i t="default" r="2">
      <x v="1"/>
    </i>
    <i r="2">
      <x v="2"/>
      <x/>
    </i>
    <i r="3">
      <x v="1"/>
    </i>
    <i r="3">
      <x v="2"/>
    </i>
    <i t="default" r="2">
      <x v="2"/>
    </i>
    <i r="2">
      <x v="3"/>
      <x/>
    </i>
    <i r="3">
      <x v="1"/>
    </i>
    <i r="3">
      <x v="2"/>
    </i>
    <i t="default" r="2">
      <x v="3"/>
    </i>
    <i t="default" r="1">
      <x v="7"/>
    </i>
    <i t="default">
      <x/>
    </i>
    <i>
      <x v="1"/>
      <x v="4"/>
      <x/>
      <x/>
    </i>
    <i r="3">
      <x v="1"/>
    </i>
    <i r="3">
      <x v="2"/>
    </i>
    <i t="default" r="2">
      <x/>
    </i>
    <i r="2">
      <x v="1"/>
      <x/>
    </i>
    <i r="3">
      <x v="1"/>
    </i>
    <i r="3">
      <x v="2"/>
    </i>
    <i t="default" r="2">
      <x v="1"/>
    </i>
    <i r="2">
      <x v="2"/>
      <x/>
    </i>
    <i r="3">
      <x v="1"/>
    </i>
    <i r="3">
      <x v="2"/>
    </i>
    <i t="default" r="2">
      <x v="2"/>
    </i>
    <i r="2">
      <x v="3"/>
      <x/>
    </i>
    <i r="3">
      <x v="1"/>
    </i>
    <i r="3">
      <x v="2"/>
    </i>
    <i t="default" r="2">
      <x v="3"/>
    </i>
    <i t="default" r="1">
      <x v="4"/>
    </i>
    <i r="1">
      <x v="5"/>
      <x/>
      <x/>
    </i>
    <i r="3">
      <x v="1"/>
    </i>
    <i r="3">
      <x v="2"/>
    </i>
    <i t="default" r="2">
      <x/>
    </i>
    <i r="2">
      <x v="1"/>
      <x/>
    </i>
    <i r="3">
      <x v="1"/>
    </i>
    <i r="3">
      <x v="2"/>
    </i>
    <i t="default" r="2">
      <x v="1"/>
    </i>
    <i r="2">
      <x v="2"/>
      <x/>
    </i>
    <i r="3">
      <x v="1"/>
    </i>
    <i r="3">
      <x v="2"/>
    </i>
    <i t="default" r="2">
      <x v="2"/>
    </i>
    <i r="2">
      <x v="3"/>
      <x/>
    </i>
    <i r="3">
      <x v="1"/>
    </i>
    <i r="3">
      <x v="2"/>
    </i>
    <i t="default" r="2">
      <x v="3"/>
    </i>
    <i t="default" r="1">
      <x v="5"/>
    </i>
    <i r="1">
      <x v="8"/>
      <x/>
      <x/>
    </i>
    <i r="3">
      <x v="1"/>
    </i>
    <i r="3">
      <x v="2"/>
    </i>
    <i t="default" r="2">
      <x/>
    </i>
    <i r="2">
      <x v="1"/>
      <x/>
    </i>
    <i r="3">
      <x v="1"/>
    </i>
    <i r="3">
      <x v="2"/>
    </i>
    <i t="default" r="2">
      <x v="1"/>
    </i>
    <i r="2">
      <x v="2"/>
      <x/>
    </i>
    <i r="3">
      <x v="1"/>
    </i>
    <i r="3">
      <x v="2"/>
    </i>
    <i t="default" r="2">
      <x v="2"/>
    </i>
    <i r="2">
      <x v="3"/>
      <x/>
    </i>
    <i r="3">
      <x v="1"/>
    </i>
    <i r="3">
      <x v="2"/>
    </i>
    <i t="default" r="2">
      <x v="3"/>
    </i>
    <i t="default" r="1">
      <x v="8"/>
    </i>
    <i t="default">
      <x v="1"/>
    </i>
    <i>
      <x v="2"/>
      <x v="2"/>
      <x/>
      <x/>
    </i>
    <i r="3">
      <x v="1"/>
    </i>
    <i r="3">
      <x v="2"/>
    </i>
    <i t="default" r="2">
      <x/>
    </i>
    <i r="2">
      <x v="1"/>
      <x/>
    </i>
    <i r="3">
      <x v="1"/>
    </i>
    <i r="3">
      <x v="2"/>
    </i>
    <i t="default" r="2">
      <x v="1"/>
    </i>
    <i r="2">
      <x v="2"/>
      <x/>
    </i>
    <i r="3">
      <x v="1"/>
    </i>
    <i r="3">
      <x v="2"/>
    </i>
    <i t="default" r="2">
      <x v="2"/>
    </i>
    <i r="2">
      <x v="3"/>
      <x/>
    </i>
    <i r="3">
      <x v="1"/>
    </i>
    <i r="3">
      <x v="2"/>
    </i>
    <i t="default" r="2">
      <x v="3"/>
    </i>
    <i t="default" r="1">
      <x v="2"/>
    </i>
    <i r="1">
      <x v="9"/>
      <x/>
      <x/>
    </i>
    <i r="3">
      <x v="1"/>
    </i>
    <i r="3">
      <x v="2"/>
    </i>
    <i t="default" r="2">
      <x/>
    </i>
    <i r="2">
      <x v="1"/>
      <x/>
    </i>
    <i r="3">
      <x v="1"/>
    </i>
    <i r="3">
      <x v="2"/>
    </i>
    <i t="default" r="2">
      <x v="1"/>
    </i>
    <i r="2">
      <x v="2"/>
      <x/>
    </i>
    <i r="3">
      <x v="1"/>
    </i>
    <i r="3">
      <x v="2"/>
    </i>
    <i t="default" r="2">
      <x v="2"/>
    </i>
    <i r="2">
      <x v="3"/>
      <x/>
    </i>
    <i r="3">
      <x v="1"/>
    </i>
    <i r="3">
      <x v="2"/>
    </i>
    <i t="default" r="2">
      <x v="3"/>
    </i>
    <i t="default" r="1">
      <x v="9"/>
    </i>
    <i t="default">
      <x v="2"/>
    </i>
    <i>
      <x v="3"/>
      <x/>
      <x/>
      <x/>
    </i>
    <i r="3">
      <x v="1"/>
    </i>
    <i r="3">
      <x v="2"/>
    </i>
    <i t="default" r="2">
      <x/>
    </i>
    <i r="2">
      <x v="1"/>
      <x/>
    </i>
    <i r="3">
      <x v="1"/>
    </i>
    <i r="3">
      <x v="2"/>
    </i>
    <i t="default" r="2">
      <x v="1"/>
    </i>
    <i r="2">
      <x v="2"/>
      <x/>
    </i>
    <i r="3">
      <x v="1"/>
    </i>
    <i r="3">
      <x v="2"/>
    </i>
    <i t="default" r="2">
      <x v="2"/>
    </i>
    <i r="2">
      <x v="3"/>
      <x/>
    </i>
    <i r="3">
      <x v="1"/>
    </i>
    <i r="3">
      <x v="2"/>
    </i>
    <i t="default" r="2">
      <x v="3"/>
    </i>
    <i t="default" r="1">
      <x/>
    </i>
    <i t="default">
      <x v="3"/>
    </i>
    <i>
      <x v="4"/>
      <x v="1"/>
      <x/>
      <x/>
    </i>
    <i r="3">
      <x v="1"/>
    </i>
    <i r="3">
      <x v="2"/>
    </i>
    <i t="default" r="2">
      <x/>
    </i>
    <i r="2">
      <x v="1"/>
      <x/>
    </i>
    <i r="3">
      <x v="1"/>
    </i>
    <i r="3">
      <x v="2"/>
    </i>
    <i t="default" r="2">
      <x v="1"/>
    </i>
    <i r="2">
      <x v="2"/>
      <x/>
    </i>
    <i r="3">
      <x v="1"/>
    </i>
    <i r="3">
      <x v="2"/>
    </i>
    <i t="default" r="2">
      <x v="2"/>
    </i>
    <i r="2">
      <x v="3"/>
      <x/>
    </i>
    <i r="3">
      <x v="1"/>
    </i>
    <i r="3">
      <x v="2"/>
    </i>
    <i t="default" r="2">
      <x v="3"/>
    </i>
    <i t="default" r="1">
      <x v="1"/>
    </i>
    <i t="default">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986EE0-23F7-463F-8974-8754326C1E3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3:M179" firstHeaderRow="1" firstDataRow="1" firstDataCol="4"/>
  <pivotFields count="27">
    <pivotField compact="0" outline="0" showAll="0"/>
    <pivotField axis="axisRow" compact="0" outline="0" showAll="0">
      <items count="11">
        <item x="8"/>
        <item x="9"/>
        <item x="6"/>
        <item x="1"/>
        <item x="4"/>
        <item x="5"/>
        <item x="3"/>
        <item x="0"/>
        <item x="7"/>
        <item x="2"/>
        <item t="default"/>
      </items>
    </pivotField>
    <pivotField axis="axisRow" compact="0" outline="0" showAll="0">
      <items count="6">
        <item x="0"/>
        <item x="2"/>
        <item x="1"/>
        <item x="3"/>
        <item x="4"/>
        <item t="default"/>
      </items>
    </pivotField>
    <pivotField compact="0" outline="0" multipleItemSelectionAllowed="1" showAll="0"/>
    <pivotField axis="axisRow" compact="0" outline="0" showAll="0">
      <items count="4">
        <item x="1"/>
        <item x="0"/>
        <item x="2"/>
        <item t="default"/>
      </items>
    </pivotField>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dataField="1" compact="0" outline="0" showAll="0"/>
    <pivotField compact="0" outline="0" showAll="0"/>
    <pivotField compact="0" numFmtId="3" outline="0" showAll="0"/>
    <pivotField compact="0" numFmtId="3" outline="0" showAll="0"/>
    <pivotField compact="0" numFmtId="3" outline="0" showAll="0"/>
    <pivotField compact="0" numFmtId="3" outline="0" showAll="0"/>
    <pivotField compact="0" outline="0" showAll="0"/>
    <pivotField compact="0" outline="0" showAll="0"/>
    <pivotField compact="0" outline="0" showAll="0"/>
    <pivotField compact="0" numFmtId="14" outline="0" showAll="0"/>
    <pivotField axis="axisRow" compact="0" outline="0" showAll="0">
      <items count="5">
        <item x="2"/>
        <item x="1"/>
        <item x="3"/>
        <item x="0"/>
        <item t="default"/>
      </items>
    </pivotField>
    <pivotField compact="0" numFmtId="1" outline="0" showAll="0"/>
    <pivotField compact="0" outline="0" showAll="0"/>
    <pivotField compact="0" outline="0" showAll="0"/>
    <pivotField compact="0" outline="0" showAll="0"/>
    <pivotField compact="0" outline="0" showAll="0"/>
  </pivotFields>
  <rowFields count="4">
    <field x="2"/>
    <field x="1"/>
    <field x="21"/>
    <field x="4"/>
  </rowFields>
  <rowItems count="176">
    <i>
      <x/>
      <x v="3"/>
      <x/>
      <x/>
    </i>
    <i r="3">
      <x v="1"/>
    </i>
    <i r="3">
      <x v="2"/>
    </i>
    <i t="default" r="2">
      <x/>
    </i>
    <i r="2">
      <x v="1"/>
      <x/>
    </i>
    <i r="3">
      <x v="1"/>
    </i>
    <i r="3">
      <x v="2"/>
    </i>
    <i t="default" r="2">
      <x v="1"/>
    </i>
    <i r="2">
      <x v="2"/>
      <x/>
    </i>
    <i r="3">
      <x v="1"/>
    </i>
    <i r="3">
      <x v="2"/>
    </i>
    <i t="default" r="2">
      <x v="2"/>
    </i>
    <i r="2">
      <x v="3"/>
      <x/>
    </i>
    <i r="3">
      <x v="1"/>
    </i>
    <i r="3">
      <x v="2"/>
    </i>
    <i t="default" r="2">
      <x v="3"/>
    </i>
    <i t="default" r="1">
      <x v="3"/>
    </i>
    <i r="1">
      <x v="6"/>
      <x/>
      <x/>
    </i>
    <i r="3">
      <x v="1"/>
    </i>
    <i r="3">
      <x v="2"/>
    </i>
    <i t="default" r="2">
      <x/>
    </i>
    <i r="2">
      <x v="1"/>
      <x/>
    </i>
    <i r="3">
      <x v="1"/>
    </i>
    <i r="3">
      <x v="2"/>
    </i>
    <i t="default" r="2">
      <x v="1"/>
    </i>
    <i r="2">
      <x v="2"/>
      <x/>
    </i>
    <i r="3">
      <x v="1"/>
    </i>
    <i r="3">
      <x v="2"/>
    </i>
    <i t="default" r="2">
      <x v="2"/>
    </i>
    <i r="2">
      <x v="3"/>
      <x/>
    </i>
    <i r="3">
      <x v="1"/>
    </i>
    <i r="3">
      <x v="2"/>
    </i>
    <i t="default" r="2">
      <x v="3"/>
    </i>
    <i t="default" r="1">
      <x v="6"/>
    </i>
    <i r="1">
      <x v="7"/>
      <x/>
      <x/>
    </i>
    <i r="3">
      <x v="1"/>
    </i>
    <i r="3">
      <x v="2"/>
    </i>
    <i t="default" r="2">
      <x/>
    </i>
    <i r="2">
      <x v="1"/>
      <x/>
    </i>
    <i r="3">
      <x v="1"/>
    </i>
    <i r="3">
      <x v="2"/>
    </i>
    <i t="default" r="2">
      <x v="1"/>
    </i>
    <i r="2">
      <x v="2"/>
      <x/>
    </i>
    <i r="3">
      <x v="1"/>
    </i>
    <i r="3">
      <x v="2"/>
    </i>
    <i t="default" r="2">
      <x v="2"/>
    </i>
    <i r="2">
      <x v="3"/>
      <x/>
    </i>
    <i r="3">
      <x v="1"/>
    </i>
    <i r="3">
      <x v="2"/>
    </i>
    <i t="default" r="2">
      <x v="3"/>
    </i>
    <i t="default" r="1">
      <x v="7"/>
    </i>
    <i t="default">
      <x/>
    </i>
    <i>
      <x v="1"/>
      <x v="4"/>
      <x/>
      <x/>
    </i>
    <i r="3">
      <x v="1"/>
    </i>
    <i r="3">
      <x v="2"/>
    </i>
    <i t="default" r="2">
      <x/>
    </i>
    <i r="2">
      <x v="1"/>
      <x/>
    </i>
    <i r="3">
      <x v="1"/>
    </i>
    <i r="3">
      <x v="2"/>
    </i>
    <i t="default" r="2">
      <x v="1"/>
    </i>
    <i r="2">
      <x v="2"/>
      <x/>
    </i>
    <i r="3">
      <x v="1"/>
    </i>
    <i r="3">
      <x v="2"/>
    </i>
    <i t="default" r="2">
      <x v="2"/>
    </i>
    <i r="2">
      <x v="3"/>
      <x/>
    </i>
    <i r="3">
      <x v="1"/>
    </i>
    <i r="3">
      <x v="2"/>
    </i>
    <i t="default" r="2">
      <x v="3"/>
    </i>
    <i t="default" r="1">
      <x v="4"/>
    </i>
    <i r="1">
      <x v="5"/>
      <x/>
      <x/>
    </i>
    <i r="3">
      <x v="1"/>
    </i>
    <i r="3">
      <x v="2"/>
    </i>
    <i t="default" r="2">
      <x/>
    </i>
    <i r="2">
      <x v="1"/>
      <x/>
    </i>
    <i r="3">
      <x v="1"/>
    </i>
    <i r="3">
      <x v="2"/>
    </i>
    <i t="default" r="2">
      <x v="1"/>
    </i>
    <i r="2">
      <x v="2"/>
      <x/>
    </i>
    <i r="3">
      <x v="1"/>
    </i>
    <i r="3">
      <x v="2"/>
    </i>
    <i t="default" r="2">
      <x v="2"/>
    </i>
    <i r="2">
      <x v="3"/>
      <x/>
    </i>
    <i r="3">
      <x v="1"/>
    </i>
    <i r="3">
      <x v="2"/>
    </i>
    <i t="default" r="2">
      <x v="3"/>
    </i>
    <i t="default" r="1">
      <x v="5"/>
    </i>
    <i r="1">
      <x v="8"/>
      <x/>
      <x/>
    </i>
    <i r="3">
      <x v="1"/>
    </i>
    <i r="3">
      <x v="2"/>
    </i>
    <i t="default" r="2">
      <x/>
    </i>
    <i r="2">
      <x v="1"/>
      <x/>
    </i>
    <i r="3">
      <x v="1"/>
    </i>
    <i r="3">
      <x v="2"/>
    </i>
    <i t="default" r="2">
      <x v="1"/>
    </i>
    <i r="2">
      <x v="2"/>
      <x/>
    </i>
    <i r="3">
      <x v="1"/>
    </i>
    <i r="3">
      <x v="2"/>
    </i>
    <i t="default" r="2">
      <x v="2"/>
    </i>
    <i r="2">
      <x v="3"/>
      <x/>
    </i>
    <i r="3">
      <x v="1"/>
    </i>
    <i r="3">
      <x v="2"/>
    </i>
    <i t="default" r="2">
      <x v="3"/>
    </i>
    <i t="default" r="1">
      <x v="8"/>
    </i>
    <i t="default">
      <x v="1"/>
    </i>
    <i>
      <x v="2"/>
      <x v="2"/>
      <x/>
      <x/>
    </i>
    <i r="3">
      <x v="1"/>
    </i>
    <i r="3">
      <x v="2"/>
    </i>
    <i t="default" r="2">
      <x/>
    </i>
    <i r="2">
      <x v="1"/>
      <x/>
    </i>
    <i r="3">
      <x v="1"/>
    </i>
    <i r="3">
      <x v="2"/>
    </i>
    <i t="default" r="2">
      <x v="1"/>
    </i>
    <i r="2">
      <x v="2"/>
      <x/>
    </i>
    <i r="3">
      <x v="1"/>
    </i>
    <i r="3">
      <x v="2"/>
    </i>
    <i t="default" r="2">
      <x v="2"/>
    </i>
    <i r="2">
      <x v="3"/>
      <x/>
    </i>
    <i r="3">
      <x v="1"/>
    </i>
    <i r="3">
      <x v="2"/>
    </i>
    <i t="default" r="2">
      <x v="3"/>
    </i>
    <i t="default" r="1">
      <x v="2"/>
    </i>
    <i r="1">
      <x v="9"/>
      <x/>
      <x/>
    </i>
    <i r="3">
      <x v="1"/>
    </i>
    <i r="3">
      <x v="2"/>
    </i>
    <i t="default" r="2">
      <x/>
    </i>
    <i r="2">
      <x v="1"/>
      <x/>
    </i>
    <i r="3">
      <x v="1"/>
    </i>
    <i r="3">
      <x v="2"/>
    </i>
    <i t="default" r="2">
      <x v="1"/>
    </i>
    <i r="2">
      <x v="2"/>
      <x/>
    </i>
    <i r="3">
      <x v="1"/>
    </i>
    <i r="3">
      <x v="2"/>
    </i>
    <i t="default" r="2">
      <x v="2"/>
    </i>
    <i r="2">
      <x v="3"/>
      <x/>
    </i>
    <i r="3">
      <x v="1"/>
    </i>
    <i r="3">
      <x v="2"/>
    </i>
    <i t="default" r="2">
      <x v="3"/>
    </i>
    <i t="default" r="1">
      <x v="9"/>
    </i>
    <i t="default">
      <x v="2"/>
    </i>
    <i>
      <x v="3"/>
      <x/>
      <x/>
      <x/>
    </i>
    <i r="3">
      <x v="1"/>
    </i>
    <i r="3">
      <x v="2"/>
    </i>
    <i t="default" r="2">
      <x/>
    </i>
    <i r="2">
      <x v="1"/>
      <x/>
    </i>
    <i r="3">
      <x v="1"/>
    </i>
    <i r="3">
      <x v="2"/>
    </i>
    <i t="default" r="2">
      <x v="1"/>
    </i>
    <i r="2">
      <x v="2"/>
      <x/>
    </i>
    <i r="3">
      <x v="1"/>
    </i>
    <i r="3">
      <x v="2"/>
    </i>
    <i t="default" r="2">
      <x v="2"/>
    </i>
    <i r="2">
      <x v="3"/>
      <x/>
    </i>
    <i r="3">
      <x v="1"/>
    </i>
    <i r="3">
      <x v="2"/>
    </i>
    <i t="default" r="2">
      <x v="3"/>
    </i>
    <i t="default" r="1">
      <x/>
    </i>
    <i t="default">
      <x v="3"/>
    </i>
    <i>
      <x v="4"/>
      <x v="1"/>
      <x/>
      <x/>
    </i>
    <i r="3">
      <x v="1"/>
    </i>
    <i r="3">
      <x v="2"/>
    </i>
    <i t="default" r="2">
      <x/>
    </i>
    <i r="2">
      <x v="1"/>
      <x/>
    </i>
    <i r="3">
      <x v="1"/>
    </i>
    <i r="3">
      <x v="2"/>
    </i>
    <i t="default" r="2">
      <x v="1"/>
    </i>
    <i r="2">
      <x v="2"/>
      <x/>
    </i>
    <i r="3">
      <x v="1"/>
    </i>
    <i r="3">
      <x v="2"/>
    </i>
    <i t="default" r="2">
      <x v="2"/>
    </i>
    <i r="2">
      <x v="3"/>
      <x/>
    </i>
    <i r="3">
      <x v="1"/>
    </i>
    <i r="3">
      <x v="2"/>
    </i>
    <i t="default" r="2">
      <x v="3"/>
    </i>
    <i t="default" r="1">
      <x v="1"/>
    </i>
    <i t="default">
      <x v="4"/>
    </i>
    <i t="grand">
      <x/>
    </i>
  </rowItems>
  <colItems count="1">
    <i/>
  </colItems>
  <dataFields count="1">
    <dataField name="Sum of Units Sold" fld="11"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B6D62C-3455-481D-A77D-91B9D1C78B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M13" firstHeaderRow="0" firstDataRow="1" firstDataCol="1"/>
  <pivotFields count="27">
    <pivotField showAll="0"/>
    <pivotField showAll="0"/>
    <pivotField showAll="0"/>
    <pivotField showAll="0"/>
    <pivotField showAll="0"/>
    <pivotField showAll="0"/>
    <pivotField showAll="0"/>
    <pivotField numFmtId="1" showAll="0"/>
    <pivotField numFmtId="1" showAll="0"/>
    <pivotField numFmtId="1" showAll="0"/>
    <pivotField numFmtId="1" showAll="0"/>
    <pivotField dataField="1" showAll="0"/>
    <pivotField axis="axisRow" showAll="0">
      <items count="8">
        <item x="3"/>
        <item x="6"/>
        <item x="1"/>
        <item x="2"/>
        <item x="4"/>
        <item x="0"/>
        <item x="5"/>
        <item t="default"/>
      </items>
    </pivotField>
    <pivotField numFmtId="3" showAll="0"/>
    <pivotField dataField="1" numFmtId="3" showAll="0"/>
    <pivotField numFmtId="3" showAll="0"/>
    <pivotField numFmtId="3" showAll="0"/>
    <pivotField showAll="0"/>
    <pivotField numFmtId="1" showAll="0"/>
    <pivotField showAll="0"/>
    <pivotField numFmtId="14" showAll="0"/>
    <pivotField showAll="0"/>
    <pivotField numFmtId="1" showAll="0"/>
    <pivotField showAll="0"/>
    <pivotField showAll="0"/>
    <pivotField showAll="0"/>
    <pivotField showAll="0"/>
  </pivotFields>
  <rowFields count="1">
    <field x="12"/>
  </rowFields>
  <rowItems count="8">
    <i>
      <x/>
    </i>
    <i>
      <x v="1"/>
    </i>
    <i>
      <x v="2"/>
    </i>
    <i>
      <x v="3"/>
    </i>
    <i>
      <x v="4"/>
    </i>
    <i>
      <x v="5"/>
    </i>
    <i>
      <x v="6"/>
    </i>
    <i t="grand">
      <x/>
    </i>
  </rowItems>
  <colFields count="1">
    <field x="-2"/>
  </colFields>
  <colItems count="2">
    <i>
      <x/>
    </i>
    <i i="1">
      <x v="1"/>
    </i>
  </colItems>
  <dataFields count="2">
    <dataField name="Sum of Units Sold" fld="11" baseField="0" baseItem="0" numFmtId="3"/>
    <dataField name="Sum of Total Sales (in USD)" fld="14" baseField="0" baseItem="0" numFmtId="3"/>
  </dataFields>
  <formats count="1">
    <format dxfId="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7AC92D-FCB1-4BE9-B55C-273E3C51E650}"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H693" firstHeaderRow="1" firstDataRow="2" firstDataCol="5"/>
  <pivotFields count="27">
    <pivotField compact="0" outline="0" showAll="0"/>
    <pivotField axis="axisRow" compact="0" outline="0" showAll="0">
      <items count="11">
        <item x="8"/>
        <item x="9"/>
        <item x="6"/>
        <item x="1"/>
        <item x="4"/>
        <item x="5"/>
        <item x="3"/>
        <item x="0"/>
        <item x="7"/>
        <item x="2"/>
        <item t="default"/>
      </items>
    </pivotField>
    <pivotField axis="axisRow" compact="0" outline="0" showAll="0">
      <items count="6">
        <item x="0"/>
        <item x="2"/>
        <item x="1"/>
        <item x="3"/>
        <item x="4"/>
        <item t="default"/>
      </items>
    </pivotField>
    <pivotField compact="0" outline="0" showAll="0"/>
    <pivotField axis="axisRow" compact="0" outline="0" showAll="0">
      <items count="4">
        <item x="1"/>
        <item x="0"/>
        <item x="2"/>
        <item t="default"/>
      </items>
    </pivotField>
    <pivotField compact="0" outline="0" showAll="0"/>
    <pivotField axis="axisRow" compact="0" outline="0" showAll="0">
      <items count="5">
        <item x="0"/>
        <item x="3"/>
        <item x="1"/>
        <item x="2"/>
        <item t="default"/>
      </items>
    </pivotField>
    <pivotField compact="0" numFmtId="1" outline="0" showAll="0"/>
    <pivotField compact="0" numFmtId="1" outline="0" showAll="0"/>
    <pivotField compact="0" numFmtId="1" outline="0" showAll="0"/>
    <pivotField compact="0" numFmtId="1" outline="0" showAll="0"/>
    <pivotField compact="0" outline="0" showAll="0"/>
    <pivotField compact="0" outline="0" showAll="0"/>
    <pivotField compact="0" numFmtId="3" outline="0" showAll="0"/>
    <pivotField dataField="1" compact="0" numFmtId="3" outline="0" showAll="0"/>
    <pivotField compact="0" numFmtId="3" outline="0" showAll="0"/>
    <pivotField compact="0" numFmtId="3" outline="0" showAll="0"/>
    <pivotField compact="0" outline="0" showAll="0"/>
    <pivotField compact="0" numFmtId="1" outline="0" showAll="0"/>
    <pivotField compact="0" outline="0" showAll="0"/>
    <pivotField compact="0" numFmtId="14" outline="0" showAll="0"/>
    <pivotField axis="axisRow" compact="0" outline="0" showAll="0">
      <items count="5">
        <item x="2"/>
        <item x="1"/>
        <item x="3"/>
        <item x="0"/>
        <item t="default"/>
      </items>
    </pivotField>
    <pivotField axis="axisCol" compact="0" numFmtId="1" outline="0" showAll="0">
      <items count="3">
        <item x="1"/>
        <item x="0"/>
        <item t="default"/>
      </items>
    </pivotField>
    <pivotField compact="0" outline="0" showAll="0"/>
    <pivotField compact="0" outline="0" showAll="0"/>
    <pivotField compact="0" outline="0" showAll="0"/>
    <pivotField compact="0" outline="0" showAll="0"/>
  </pivotFields>
  <rowFields count="5">
    <field x="2"/>
    <field x="1"/>
    <field x="6"/>
    <field x="21"/>
    <field x="4"/>
  </rowFields>
  <rowItems count="687">
    <i>
      <x/>
      <x v="3"/>
      <x/>
      <x/>
      <x/>
    </i>
    <i r="4">
      <x v="1"/>
    </i>
    <i r="4">
      <x v="2"/>
    </i>
    <i t="default" r="3">
      <x/>
    </i>
    <i r="3">
      <x v="1"/>
      <x/>
    </i>
    <i r="4">
      <x v="1"/>
    </i>
    <i r="4">
      <x v="2"/>
    </i>
    <i t="default" r="3">
      <x v="1"/>
    </i>
    <i r="3">
      <x v="2"/>
      <x/>
    </i>
    <i r="4">
      <x v="1"/>
    </i>
    <i r="4">
      <x v="2"/>
    </i>
    <i t="default" r="3">
      <x v="2"/>
    </i>
    <i r="3">
      <x v="3"/>
      <x/>
    </i>
    <i r="4">
      <x v="1"/>
    </i>
    <i r="4">
      <x v="2"/>
    </i>
    <i t="default" r="3">
      <x v="3"/>
    </i>
    <i t="default" r="2">
      <x/>
    </i>
    <i r="2">
      <x v="1"/>
      <x/>
      <x/>
    </i>
    <i r="4">
      <x v="1"/>
    </i>
    <i r="4">
      <x v="2"/>
    </i>
    <i t="default" r="3">
      <x/>
    </i>
    <i r="3">
      <x v="1"/>
      <x/>
    </i>
    <i r="4">
      <x v="1"/>
    </i>
    <i r="4">
      <x v="2"/>
    </i>
    <i t="default" r="3">
      <x v="1"/>
    </i>
    <i r="3">
      <x v="2"/>
      <x/>
    </i>
    <i r="4">
      <x v="1"/>
    </i>
    <i r="4">
      <x v="2"/>
    </i>
    <i t="default" r="3">
      <x v="2"/>
    </i>
    <i r="3">
      <x v="3"/>
      <x/>
    </i>
    <i r="4">
      <x v="1"/>
    </i>
    <i t="default" r="3">
      <x v="3"/>
    </i>
    <i t="default" r="2">
      <x v="1"/>
    </i>
    <i r="2">
      <x v="2"/>
      <x/>
      <x/>
    </i>
    <i r="4">
      <x v="1"/>
    </i>
    <i r="4">
      <x v="2"/>
    </i>
    <i t="default" r="3">
      <x/>
    </i>
    <i r="3">
      <x v="1"/>
      <x/>
    </i>
    <i r="4">
      <x v="1"/>
    </i>
    <i r="4">
      <x v="2"/>
    </i>
    <i t="default" r="3">
      <x v="1"/>
    </i>
    <i r="3">
      <x v="2"/>
      <x/>
    </i>
    <i r="4">
      <x v="1"/>
    </i>
    <i r="4">
      <x v="2"/>
    </i>
    <i t="default" r="3">
      <x v="2"/>
    </i>
    <i r="3">
      <x v="3"/>
      <x/>
    </i>
    <i r="4">
      <x v="1"/>
    </i>
    <i r="4">
      <x v="2"/>
    </i>
    <i t="default" r="3">
      <x v="3"/>
    </i>
    <i t="default" r="2">
      <x v="2"/>
    </i>
    <i r="2">
      <x v="3"/>
      <x/>
      <x/>
    </i>
    <i r="4">
      <x v="1"/>
    </i>
    <i r="4">
      <x v="2"/>
    </i>
    <i t="default" r="3">
      <x/>
    </i>
    <i r="3">
      <x v="1"/>
      <x/>
    </i>
    <i r="4">
      <x v="1"/>
    </i>
    <i r="4">
      <x v="2"/>
    </i>
    <i t="default" r="3">
      <x v="1"/>
    </i>
    <i r="3">
      <x v="2"/>
      <x/>
    </i>
    <i r="4">
      <x v="1"/>
    </i>
    <i r="4">
      <x v="2"/>
    </i>
    <i t="default" r="3">
      <x v="2"/>
    </i>
    <i r="3">
      <x v="3"/>
      <x/>
    </i>
    <i r="4">
      <x v="1"/>
    </i>
    <i r="4">
      <x v="2"/>
    </i>
    <i t="default" r="3">
      <x v="3"/>
    </i>
    <i t="default" r="2">
      <x v="3"/>
    </i>
    <i t="default" r="1">
      <x v="3"/>
    </i>
    <i r="1">
      <x v="6"/>
      <x/>
      <x/>
      <x/>
    </i>
    <i r="4">
      <x v="1"/>
    </i>
    <i r="4">
      <x v="2"/>
    </i>
    <i t="default" r="3">
      <x/>
    </i>
    <i r="3">
      <x v="1"/>
      <x/>
    </i>
    <i r="4">
      <x v="1"/>
    </i>
    <i r="4">
      <x v="2"/>
    </i>
    <i t="default" r="3">
      <x v="1"/>
    </i>
    <i r="3">
      <x v="2"/>
      <x/>
    </i>
    <i r="4">
      <x v="1"/>
    </i>
    <i r="4">
      <x v="2"/>
    </i>
    <i t="default" r="3">
      <x v="2"/>
    </i>
    <i r="3">
      <x v="3"/>
      <x/>
    </i>
    <i r="4">
      <x v="1"/>
    </i>
    <i r="4">
      <x v="2"/>
    </i>
    <i t="default" r="3">
      <x v="3"/>
    </i>
    <i t="default" r="2">
      <x/>
    </i>
    <i r="2">
      <x v="1"/>
      <x/>
      <x v="1"/>
    </i>
    <i r="4">
      <x v="2"/>
    </i>
    <i t="default" r="3">
      <x/>
    </i>
    <i r="3">
      <x v="1"/>
      <x/>
    </i>
    <i r="4">
      <x v="1"/>
    </i>
    <i r="4">
      <x v="2"/>
    </i>
    <i t="default" r="3">
      <x v="1"/>
    </i>
    <i r="3">
      <x v="2"/>
      <x/>
    </i>
    <i r="4">
      <x v="1"/>
    </i>
    <i r="4">
      <x v="2"/>
    </i>
    <i t="default" r="3">
      <x v="2"/>
    </i>
    <i r="3">
      <x v="3"/>
      <x/>
    </i>
    <i r="4">
      <x v="1"/>
    </i>
    <i r="4">
      <x v="2"/>
    </i>
    <i t="default" r="3">
      <x v="3"/>
    </i>
    <i t="default" r="2">
      <x v="1"/>
    </i>
    <i r="2">
      <x v="2"/>
      <x/>
      <x/>
    </i>
    <i r="4">
      <x v="1"/>
    </i>
    <i r="4">
      <x v="2"/>
    </i>
    <i t="default" r="3">
      <x/>
    </i>
    <i r="3">
      <x v="1"/>
      <x/>
    </i>
    <i r="4">
      <x v="1"/>
    </i>
    <i r="4">
      <x v="2"/>
    </i>
    <i t="default" r="3">
      <x v="1"/>
    </i>
    <i r="3">
      <x v="2"/>
      <x/>
    </i>
    <i r="4">
      <x v="1"/>
    </i>
    <i r="4">
      <x v="2"/>
    </i>
    <i t="default" r="3">
      <x v="2"/>
    </i>
    <i r="3">
      <x v="3"/>
      <x/>
    </i>
    <i r="4">
      <x v="1"/>
    </i>
    <i r="4">
      <x v="2"/>
    </i>
    <i t="default" r="3">
      <x v="3"/>
    </i>
    <i t="default" r="2">
      <x v="2"/>
    </i>
    <i r="2">
      <x v="3"/>
      <x/>
      <x/>
    </i>
    <i r="4">
      <x v="1"/>
    </i>
    <i r="4">
      <x v="2"/>
    </i>
    <i t="default" r="3">
      <x/>
    </i>
    <i r="3">
      <x v="1"/>
      <x/>
    </i>
    <i r="4">
      <x v="1"/>
    </i>
    <i r="4">
      <x v="2"/>
    </i>
    <i t="default" r="3">
      <x v="1"/>
    </i>
    <i r="3">
      <x v="2"/>
      <x/>
    </i>
    <i r="4">
      <x v="1"/>
    </i>
    <i r="4">
      <x v="2"/>
    </i>
    <i t="default" r="3">
      <x v="2"/>
    </i>
    <i r="3">
      <x v="3"/>
      <x/>
    </i>
    <i r="4">
      <x v="1"/>
    </i>
    <i r="4">
      <x v="2"/>
    </i>
    <i t="default" r="3">
      <x v="3"/>
    </i>
    <i t="default" r="2">
      <x v="3"/>
    </i>
    <i t="default" r="1">
      <x v="6"/>
    </i>
    <i r="1">
      <x v="7"/>
      <x/>
      <x/>
      <x/>
    </i>
    <i r="4">
      <x v="1"/>
    </i>
    <i r="4">
      <x v="2"/>
    </i>
    <i t="default" r="3">
      <x/>
    </i>
    <i r="3">
      <x v="1"/>
      <x/>
    </i>
    <i r="4">
      <x v="1"/>
    </i>
    <i r="4">
      <x v="2"/>
    </i>
    <i t="default" r="3">
      <x v="1"/>
    </i>
    <i r="3">
      <x v="2"/>
      <x/>
    </i>
    <i r="4">
      <x v="1"/>
    </i>
    <i r="4">
      <x v="2"/>
    </i>
    <i t="default" r="3">
      <x v="2"/>
    </i>
    <i r="3">
      <x v="3"/>
      <x/>
    </i>
    <i r="4">
      <x v="1"/>
    </i>
    <i r="4">
      <x v="2"/>
    </i>
    <i t="default" r="3">
      <x v="3"/>
    </i>
    <i t="default" r="2">
      <x/>
    </i>
    <i r="2">
      <x v="1"/>
      <x/>
      <x/>
    </i>
    <i r="4">
      <x v="1"/>
    </i>
    <i r="4">
      <x v="2"/>
    </i>
    <i t="default" r="3">
      <x/>
    </i>
    <i r="3">
      <x v="1"/>
      <x/>
    </i>
    <i r="4">
      <x v="1"/>
    </i>
    <i r="4">
      <x v="2"/>
    </i>
    <i t="default" r="3">
      <x v="1"/>
    </i>
    <i r="3">
      <x v="2"/>
      <x/>
    </i>
    <i r="4">
      <x v="1"/>
    </i>
    <i r="4">
      <x v="2"/>
    </i>
    <i t="default" r="3">
      <x v="2"/>
    </i>
    <i r="3">
      <x v="3"/>
      <x/>
    </i>
    <i r="4">
      <x v="1"/>
    </i>
    <i r="4">
      <x v="2"/>
    </i>
    <i t="default" r="3">
      <x v="3"/>
    </i>
    <i t="default" r="2">
      <x v="1"/>
    </i>
    <i r="2">
      <x v="2"/>
      <x/>
      <x/>
    </i>
    <i r="4">
      <x v="1"/>
    </i>
    <i r="4">
      <x v="2"/>
    </i>
    <i t="default" r="3">
      <x/>
    </i>
    <i r="3">
      <x v="1"/>
      <x/>
    </i>
    <i r="4">
      <x v="1"/>
    </i>
    <i r="4">
      <x v="2"/>
    </i>
    <i t="default" r="3">
      <x v="1"/>
    </i>
    <i r="3">
      <x v="2"/>
      <x/>
    </i>
    <i r="4">
      <x v="1"/>
    </i>
    <i r="4">
      <x v="2"/>
    </i>
    <i t="default" r="3">
      <x v="2"/>
    </i>
    <i r="3">
      <x v="3"/>
      <x/>
    </i>
    <i r="4">
      <x v="1"/>
    </i>
    <i r="4">
      <x v="2"/>
    </i>
    <i t="default" r="3">
      <x v="3"/>
    </i>
    <i t="default" r="2">
      <x v="2"/>
    </i>
    <i r="2">
      <x v="3"/>
      <x/>
      <x/>
    </i>
    <i r="4">
      <x v="1"/>
    </i>
    <i r="4">
      <x v="2"/>
    </i>
    <i t="default" r="3">
      <x/>
    </i>
    <i r="3">
      <x v="1"/>
      <x/>
    </i>
    <i r="4">
      <x v="1"/>
    </i>
    <i r="4">
      <x v="2"/>
    </i>
    <i t="default" r="3">
      <x v="1"/>
    </i>
    <i r="3">
      <x v="2"/>
      <x/>
    </i>
    <i r="4">
      <x v="1"/>
    </i>
    <i r="4">
      <x v="2"/>
    </i>
    <i t="default" r="3">
      <x v="2"/>
    </i>
    <i r="3">
      <x v="3"/>
      <x/>
    </i>
    <i r="4">
      <x v="1"/>
    </i>
    <i r="4">
      <x v="2"/>
    </i>
    <i t="default" r="3">
      <x v="3"/>
    </i>
    <i t="default" r="2">
      <x v="3"/>
    </i>
    <i t="default" r="1">
      <x v="7"/>
    </i>
    <i t="default">
      <x/>
    </i>
    <i>
      <x v="1"/>
      <x v="4"/>
      <x/>
      <x/>
      <x/>
    </i>
    <i r="4">
      <x v="1"/>
    </i>
    <i r="4">
      <x v="2"/>
    </i>
    <i t="default" r="3">
      <x/>
    </i>
    <i r="3">
      <x v="1"/>
      <x/>
    </i>
    <i r="4">
      <x v="1"/>
    </i>
    <i r="4">
      <x v="2"/>
    </i>
    <i t="default" r="3">
      <x v="1"/>
    </i>
    <i r="3">
      <x v="2"/>
      <x/>
    </i>
    <i r="4">
      <x v="1"/>
    </i>
    <i r="4">
      <x v="2"/>
    </i>
    <i t="default" r="3">
      <x v="2"/>
    </i>
    <i r="3">
      <x v="3"/>
      <x/>
    </i>
    <i r="4">
      <x v="1"/>
    </i>
    <i r="4">
      <x v="2"/>
    </i>
    <i t="default" r="3">
      <x v="3"/>
    </i>
    <i t="default" r="2">
      <x/>
    </i>
    <i r="2">
      <x v="1"/>
      <x/>
      <x/>
    </i>
    <i r="4">
      <x v="1"/>
    </i>
    <i r="4">
      <x v="2"/>
    </i>
    <i t="default" r="3">
      <x/>
    </i>
    <i r="3">
      <x v="1"/>
      <x/>
    </i>
    <i r="4">
      <x v="1"/>
    </i>
    <i r="4">
      <x v="2"/>
    </i>
    <i t="default" r="3">
      <x v="1"/>
    </i>
    <i r="3">
      <x v="2"/>
      <x/>
    </i>
    <i r="4">
      <x v="1"/>
    </i>
    <i r="4">
      <x v="2"/>
    </i>
    <i t="default" r="3">
      <x v="2"/>
    </i>
    <i r="3">
      <x v="3"/>
      <x/>
    </i>
    <i r="4">
      <x v="1"/>
    </i>
    <i r="4">
      <x v="2"/>
    </i>
    <i t="default" r="3">
      <x v="3"/>
    </i>
    <i t="default" r="2">
      <x v="1"/>
    </i>
    <i r="2">
      <x v="2"/>
      <x/>
      <x/>
    </i>
    <i r="4">
      <x v="1"/>
    </i>
    <i r="4">
      <x v="2"/>
    </i>
    <i t="default" r="3">
      <x/>
    </i>
    <i r="3">
      <x v="1"/>
      <x/>
    </i>
    <i r="4">
      <x v="1"/>
    </i>
    <i r="4">
      <x v="2"/>
    </i>
    <i t="default" r="3">
      <x v="1"/>
    </i>
    <i r="3">
      <x v="2"/>
      <x/>
    </i>
    <i r="4">
      <x v="1"/>
    </i>
    <i r="4">
      <x v="2"/>
    </i>
    <i t="default" r="3">
      <x v="2"/>
    </i>
    <i r="3">
      <x v="3"/>
      <x/>
    </i>
    <i r="4">
      <x v="1"/>
    </i>
    <i r="4">
      <x v="2"/>
    </i>
    <i t="default" r="3">
      <x v="3"/>
    </i>
    <i t="default" r="2">
      <x v="2"/>
    </i>
    <i r="2">
      <x v="3"/>
      <x/>
      <x/>
    </i>
    <i r="4">
      <x v="1"/>
    </i>
    <i r="4">
      <x v="2"/>
    </i>
    <i t="default" r="3">
      <x/>
    </i>
    <i r="3">
      <x v="1"/>
      <x/>
    </i>
    <i r="4">
      <x v="1"/>
    </i>
    <i r="4">
      <x v="2"/>
    </i>
    <i t="default" r="3">
      <x v="1"/>
    </i>
    <i r="3">
      <x v="2"/>
      <x/>
    </i>
    <i r="4">
      <x v="1"/>
    </i>
    <i r="4">
      <x v="2"/>
    </i>
    <i t="default" r="3">
      <x v="2"/>
    </i>
    <i r="3">
      <x v="3"/>
      <x/>
    </i>
    <i r="4">
      <x v="1"/>
    </i>
    <i r="4">
      <x v="2"/>
    </i>
    <i t="default" r="3">
      <x v="3"/>
    </i>
    <i t="default" r="2">
      <x v="3"/>
    </i>
    <i t="default" r="1">
      <x v="4"/>
    </i>
    <i r="1">
      <x v="5"/>
      <x/>
      <x/>
      <x/>
    </i>
    <i r="4">
      <x v="1"/>
    </i>
    <i r="4">
      <x v="2"/>
    </i>
    <i t="default" r="3">
      <x/>
    </i>
    <i r="3">
      <x v="1"/>
      <x/>
    </i>
    <i r="4">
      <x v="1"/>
    </i>
    <i r="4">
      <x v="2"/>
    </i>
    <i t="default" r="3">
      <x v="1"/>
    </i>
    <i r="3">
      <x v="2"/>
      <x/>
    </i>
    <i r="4">
      <x v="1"/>
    </i>
    <i r="4">
      <x v="2"/>
    </i>
    <i t="default" r="3">
      <x v="2"/>
    </i>
    <i r="3">
      <x v="3"/>
      <x/>
    </i>
    <i r="4">
      <x v="1"/>
    </i>
    <i r="4">
      <x v="2"/>
    </i>
    <i t="default" r="3">
      <x v="3"/>
    </i>
    <i t="default" r="2">
      <x/>
    </i>
    <i r="2">
      <x v="1"/>
      <x/>
      <x/>
    </i>
    <i r="4">
      <x v="1"/>
    </i>
    <i r="4">
      <x v="2"/>
    </i>
    <i t="default" r="3">
      <x/>
    </i>
    <i r="3">
      <x v="1"/>
      <x/>
    </i>
    <i r="4">
      <x v="1"/>
    </i>
    <i r="4">
      <x v="2"/>
    </i>
    <i t="default" r="3">
      <x v="1"/>
    </i>
    <i r="3">
      <x v="2"/>
      <x/>
    </i>
    <i r="4">
      <x v="1"/>
    </i>
    <i r="4">
      <x v="2"/>
    </i>
    <i t="default" r="3">
      <x v="2"/>
    </i>
    <i r="3">
      <x v="3"/>
      <x/>
    </i>
    <i r="4">
      <x v="2"/>
    </i>
    <i t="default" r="3">
      <x v="3"/>
    </i>
    <i t="default" r="2">
      <x v="1"/>
    </i>
    <i r="2">
      <x v="2"/>
      <x/>
      <x/>
    </i>
    <i r="4">
      <x v="1"/>
    </i>
    <i r="4">
      <x v="2"/>
    </i>
    <i t="default" r="3">
      <x/>
    </i>
    <i r="3">
      <x v="1"/>
      <x/>
    </i>
    <i r="4">
      <x v="1"/>
    </i>
    <i r="4">
      <x v="2"/>
    </i>
    <i t="default" r="3">
      <x v="1"/>
    </i>
    <i r="3">
      <x v="2"/>
      <x/>
    </i>
    <i r="4">
      <x v="1"/>
    </i>
    <i r="4">
      <x v="2"/>
    </i>
    <i t="default" r="3">
      <x v="2"/>
    </i>
    <i r="3">
      <x v="3"/>
      <x/>
    </i>
    <i r="4">
      <x v="1"/>
    </i>
    <i r="4">
      <x v="2"/>
    </i>
    <i t="default" r="3">
      <x v="3"/>
    </i>
    <i t="default" r="2">
      <x v="2"/>
    </i>
    <i r="2">
      <x v="3"/>
      <x/>
      <x/>
    </i>
    <i r="4">
      <x v="1"/>
    </i>
    <i r="4">
      <x v="2"/>
    </i>
    <i t="default" r="3">
      <x/>
    </i>
    <i r="3">
      <x v="1"/>
      <x/>
    </i>
    <i r="4">
      <x v="1"/>
    </i>
    <i r="4">
      <x v="2"/>
    </i>
    <i t="default" r="3">
      <x v="1"/>
    </i>
    <i r="3">
      <x v="2"/>
      <x/>
    </i>
    <i r="4">
      <x v="1"/>
    </i>
    <i r="4">
      <x v="2"/>
    </i>
    <i t="default" r="3">
      <x v="2"/>
    </i>
    <i r="3">
      <x v="3"/>
      <x/>
    </i>
    <i r="4">
      <x v="1"/>
    </i>
    <i r="4">
      <x v="2"/>
    </i>
    <i t="default" r="3">
      <x v="3"/>
    </i>
    <i t="default" r="2">
      <x v="3"/>
    </i>
    <i t="default" r="1">
      <x v="5"/>
    </i>
    <i r="1">
      <x v="8"/>
      <x/>
      <x/>
      <x/>
    </i>
    <i r="4">
      <x v="1"/>
    </i>
    <i r="4">
      <x v="2"/>
    </i>
    <i t="default" r="3">
      <x/>
    </i>
    <i r="3">
      <x v="1"/>
      <x/>
    </i>
    <i r="4">
      <x v="1"/>
    </i>
    <i t="default" r="3">
      <x v="1"/>
    </i>
    <i r="3">
      <x v="2"/>
      <x/>
    </i>
    <i r="4">
      <x v="1"/>
    </i>
    <i r="4">
      <x v="2"/>
    </i>
    <i t="default" r="3">
      <x v="2"/>
    </i>
    <i r="3">
      <x v="3"/>
      <x/>
    </i>
    <i r="4">
      <x v="1"/>
    </i>
    <i t="default" r="3">
      <x v="3"/>
    </i>
    <i t="default" r="2">
      <x/>
    </i>
    <i r="2">
      <x v="1"/>
      <x/>
      <x/>
    </i>
    <i r="4">
      <x v="1"/>
    </i>
    <i r="4">
      <x v="2"/>
    </i>
    <i t="default" r="3">
      <x/>
    </i>
    <i r="3">
      <x v="1"/>
      <x/>
    </i>
    <i r="4">
      <x v="1"/>
    </i>
    <i r="4">
      <x v="2"/>
    </i>
    <i t="default" r="3">
      <x v="1"/>
    </i>
    <i r="3">
      <x v="2"/>
      <x/>
    </i>
    <i r="4">
      <x v="1"/>
    </i>
    <i r="4">
      <x v="2"/>
    </i>
    <i t="default" r="3">
      <x v="2"/>
    </i>
    <i r="3">
      <x v="3"/>
      <x/>
    </i>
    <i r="4">
      <x v="1"/>
    </i>
    <i r="4">
      <x v="2"/>
    </i>
    <i t="default" r="3">
      <x v="3"/>
    </i>
    <i t="default" r="2">
      <x v="1"/>
    </i>
    <i r="2">
      <x v="2"/>
      <x/>
      <x/>
    </i>
    <i r="4">
      <x v="1"/>
    </i>
    <i r="4">
      <x v="2"/>
    </i>
    <i t="default" r="3">
      <x/>
    </i>
    <i r="3">
      <x v="1"/>
      <x/>
    </i>
    <i r="4">
      <x v="1"/>
    </i>
    <i r="4">
      <x v="2"/>
    </i>
    <i t="default" r="3">
      <x v="1"/>
    </i>
    <i r="3">
      <x v="2"/>
      <x/>
    </i>
    <i r="4">
      <x v="1"/>
    </i>
    <i r="4">
      <x v="2"/>
    </i>
    <i t="default" r="3">
      <x v="2"/>
    </i>
    <i r="3">
      <x v="3"/>
      <x/>
    </i>
    <i r="4">
      <x v="1"/>
    </i>
    <i r="4">
      <x v="2"/>
    </i>
    <i t="default" r="3">
      <x v="3"/>
    </i>
    <i t="default" r="2">
      <x v="2"/>
    </i>
    <i r="2">
      <x v="3"/>
      <x/>
      <x/>
    </i>
    <i r="4">
      <x v="1"/>
    </i>
    <i r="4">
      <x v="2"/>
    </i>
    <i t="default" r="3">
      <x/>
    </i>
    <i r="3">
      <x v="1"/>
      <x/>
    </i>
    <i r="4">
      <x v="1"/>
    </i>
    <i r="4">
      <x v="2"/>
    </i>
    <i t="default" r="3">
      <x v="1"/>
    </i>
    <i r="3">
      <x v="2"/>
      <x/>
    </i>
    <i r="4">
      <x v="1"/>
    </i>
    <i r="4">
      <x v="2"/>
    </i>
    <i t="default" r="3">
      <x v="2"/>
    </i>
    <i r="3">
      <x v="3"/>
      <x/>
    </i>
    <i r="4">
      <x v="1"/>
    </i>
    <i r="4">
      <x v="2"/>
    </i>
    <i t="default" r="3">
      <x v="3"/>
    </i>
    <i t="default" r="2">
      <x v="3"/>
    </i>
    <i t="default" r="1">
      <x v="8"/>
    </i>
    <i t="default">
      <x v="1"/>
    </i>
    <i>
      <x v="2"/>
      <x v="2"/>
      <x/>
      <x/>
      <x/>
    </i>
    <i r="4">
      <x v="1"/>
    </i>
    <i r="4">
      <x v="2"/>
    </i>
    <i t="default" r="3">
      <x/>
    </i>
    <i r="3">
      <x v="1"/>
      <x/>
    </i>
    <i r="4">
      <x v="1"/>
    </i>
    <i r="4">
      <x v="2"/>
    </i>
    <i t="default" r="3">
      <x v="1"/>
    </i>
    <i r="3">
      <x v="2"/>
      <x/>
    </i>
    <i r="4">
      <x v="1"/>
    </i>
    <i r="4">
      <x v="2"/>
    </i>
    <i t="default" r="3">
      <x v="2"/>
    </i>
    <i r="3">
      <x v="3"/>
      <x/>
    </i>
    <i r="4">
      <x v="1"/>
    </i>
    <i r="4">
      <x v="2"/>
    </i>
    <i t="default" r="3">
      <x v="3"/>
    </i>
    <i t="default" r="2">
      <x/>
    </i>
    <i r="2">
      <x v="1"/>
      <x/>
      <x/>
    </i>
    <i r="4">
      <x v="1"/>
    </i>
    <i r="4">
      <x v="2"/>
    </i>
    <i t="default" r="3">
      <x/>
    </i>
    <i r="3">
      <x v="1"/>
      <x/>
    </i>
    <i r="4">
      <x v="1"/>
    </i>
    <i r="4">
      <x v="2"/>
    </i>
    <i t="default" r="3">
      <x v="1"/>
    </i>
    <i r="3">
      <x v="2"/>
      <x/>
    </i>
    <i r="4">
      <x v="1"/>
    </i>
    <i r="4">
      <x v="2"/>
    </i>
    <i t="default" r="3">
      <x v="2"/>
    </i>
    <i r="3">
      <x v="3"/>
      <x/>
    </i>
    <i r="4">
      <x v="1"/>
    </i>
    <i r="4">
      <x v="2"/>
    </i>
    <i t="default" r="3">
      <x v="3"/>
    </i>
    <i t="default" r="2">
      <x v="1"/>
    </i>
    <i r="2">
      <x v="2"/>
      <x/>
      <x/>
    </i>
    <i r="4">
      <x v="1"/>
    </i>
    <i r="4">
      <x v="2"/>
    </i>
    <i t="default" r="3">
      <x/>
    </i>
    <i r="3">
      <x v="1"/>
      <x/>
    </i>
    <i r="4">
      <x v="2"/>
    </i>
    <i t="default" r="3">
      <x v="1"/>
    </i>
    <i r="3">
      <x v="2"/>
      <x/>
    </i>
    <i r="4">
      <x v="1"/>
    </i>
    <i r="4">
      <x v="2"/>
    </i>
    <i t="default" r="3">
      <x v="2"/>
    </i>
    <i r="3">
      <x v="3"/>
      <x/>
    </i>
    <i r="4">
      <x v="1"/>
    </i>
    <i r="4">
      <x v="2"/>
    </i>
    <i t="default" r="3">
      <x v="3"/>
    </i>
    <i t="default" r="2">
      <x v="2"/>
    </i>
    <i r="2">
      <x v="3"/>
      <x/>
      <x/>
    </i>
    <i r="4">
      <x v="1"/>
    </i>
    <i r="4">
      <x v="2"/>
    </i>
    <i t="default" r="3">
      <x/>
    </i>
    <i r="3">
      <x v="1"/>
      <x/>
    </i>
    <i r="4">
      <x v="1"/>
    </i>
    <i r="4">
      <x v="2"/>
    </i>
    <i t="default" r="3">
      <x v="1"/>
    </i>
    <i r="3">
      <x v="2"/>
      <x/>
    </i>
    <i r="4">
      <x v="1"/>
    </i>
    <i r="4">
      <x v="2"/>
    </i>
    <i t="default" r="3">
      <x v="2"/>
    </i>
    <i r="3">
      <x v="3"/>
      <x/>
    </i>
    <i r="4">
      <x v="1"/>
    </i>
    <i r="4">
      <x v="2"/>
    </i>
    <i t="default" r="3">
      <x v="3"/>
    </i>
    <i t="default" r="2">
      <x v="3"/>
    </i>
    <i t="default" r="1">
      <x v="2"/>
    </i>
    <i r="1">
      <x v="9"/>
      <x/>
      <x/>
      <x/>
    </i>
    <i r="4">
      <x v="1"/>
    </i>
    <i r="4">
      <x v="2"/>
    </i>
    <i t="default" r="3">
      <x/>
    </i>
    <i r="3">
      <x v="1"/>
      <x/>
    </i>
    <i r="4">
      <x v="1"/>
    </i>
    <i r="4">
      <x v="2"/>
    </i>
    <i t="default" r="3">
      <x v="1"/>
    </i>
    <i r="3">
      <x v="2"/>
      <x/>
    </i>
    <i r="4">
      <x v="1"/>
    </i>
    <i r="4">
      <x v="2"/>
    </i>
    <i t="default" r="3">
      <x v="2"/>
    </i>
    <i r="3">
      <x v="3"/>
      <x v="1"/>
    </i>
    <i r="4">
      <x v="2"/>
    </i>
    <i t="default" r="3">
      <x v="3"/>
    </i>
    <i t="default" r="2">
      <x/>
    </i>
    <i r="2">
      <x v="1"/>
      <x/>
      <x/>
    </i>
    <i r="4">
      <x v="1"/>
    </i>
    <i r="4">
      <x v="2"/>
    </i>
    <i t="default" r="3">
      <x/>
    </i>
    <i r="3">
      <x v="1"/>
      <x/>
    </i>
    <i r="4">
      <x v="1"/>
    </i>
    <i r="4">
      <x v="2"/>
    </i>
    <i t="default" r="3">
      <x v="1"/>
    </i>
    <i r="3">
      <x v="2"/>
      <x/>
    </i>
    <i r="4">
      <x v="1"/>
    </i>
    <i r="4">
      <x v="2"/>
    </i>
    <i t="default" r="3">
      <x v="2"/>
    </i>
    <i r="3">
      <x v="3"/>
      <x/>
    </i>
    <i r="4">
      <x v="1"/>
    </i>
    <i r="4">
      <x v="2"/>
    </i>
    <i t="default" r="3">
      <x v="3"/>
    </i>
    <i t="default" r="2">
      <x v="1"/>
    </i>
    <i r="2">
      <x v="2"/>
      <x/>
      <x/>
    </i>
    <i r="4">
      <x v="1"/>
    </i>
    <i r="4">
      <x v="2"/>
    </i>
    <i t="default" r="3">
      <x/>
    </i>
    <i r="3">
      <x v="1"/>
      <x/>
    </i>
    <i r="4">
      <x v="1"/>
    </i>
    <i r="4">
      <x v="2"/>
    </i>
    <i t="default" r="3">
      <x v="1"/>
    </i>
    <i r="3">
      <x v="2"/>
      <x/>
    </i>
    <i r="4">
      <x v="1"/>
    </i>
    <i r="4">
      <x v="2"/>
    </i>
    <i t="default" r="3">
      <x v="2"/>
    </i>
    <i r="3">
      <x v="3"/>
      <x/>
    </i>
    <i r="4">
      <x v="1"/>
    </i>
    <i r="4">
      <x v="2"/>
    </i>
    <i t="default" r="3">
      <x v="3"/>
    </i>
    <i t="default" r="2">
      <x v="2"/>
    </i>
    <i r="2">
      <x v="3"/>
      <x/>
      <x/>
    </i>
    <i r="4">
      <x v="1"/>
    </i>
    <i r="4">
      <x v="2"/>
    </i>
    <i t="default" r="3">
      <x/>
    </i>
    <i r="3">
      <x v="1"/>
      <x/>
    </i>
    <i r="4">
      <x v="1"/>
    </i>
    <i r="4">
      <x v="2"/>
    </i>
    <i t="default" r="3">
      <x v="1"/>
    </i>
    <i r="3">
      <x v="2"/>
      <x/>
    </i>
    <i r="4">
      <x v="1"/>
    </i>
    <i r="4">
      <x v="2"/>
    </i>
    <i t="default" r="3">
      <x v="2"/>
    </i>
    <i r="3">
      <x v="3"/>
      <x/>
    </i>
    <i r="4">
      <x v="1"/>
    </i>
    <i r="4">
      <x v="2"/>
    </i>
    <i t="default" r="3">
      <x v="3"/>
    </i>
    <i t="default" r="2">
      <x v="3"/>
    </i>
    <i t="default" r="1">
      <x v="9"/>
    </i>
    <i t="default">
      <x v="2"/>
    </i>
    <i>
      <x v="3"/>
      <x/>
      <x/>
      <x/>
      <x/>
    </i>
    <i r="4">
      <x v="1"/>
    </i>
    <i r="4">
      <x v="2"/>
    </i>
    <i t="default" r="3">
      <x/>
    </i>
    <i r="3">
      <x v="1"/>
      <x/>
    </i>
    <i r="4">
      <x v="1"/>
    </i>
    <i r="4">
      <x v="2"/>
    </i>
    <i t="default" r="3">
      <x v="1"/>
    </i>
    <i r="3">
      <x v="2"/>
      <x/>
    </i>
    <i r="4">
      <x v="1"/>
    </i>
    <i r="4">
      <x v="2"/>
    </i>
    <i t="default" r="3">
      <x v="2"/>
    </i>
    <i r="3">
      <x v="3"/>
      <x v="1"/>
    </i>
    <i r="4">
      <x v="2"/>
    </i>
    <i t="default" r="3">
      <x v="3"/>
    </i>
    <i t="default" r="2">
      <x/>
    </i>
    <i r="2">
      <x v="1"/>
      <x/>
      <x/>
    </i>
    <i r="4">
      <x v="1"/>
    </i>
    <i r="4">
      <x v="2"/>
    </i>
    <i t="default" r="3">
      <x/>
    </i>
    <i r="3">
      <x v="1"/>
      <x/>
    </i>
    <i r="4">
      <x v="1"/>
    </i>
    <i r="4">
      <x v="2"/>
    </i>
    <i t="default" r="3">
      <x v="1"/>
    </i>
    <i r="3">
      <x v="2"/>
      <x/>
    </i>
    <i r="4">
      <x v="1"/>
    </i>
    <i r="4">
      <x v="2"/>
    </i>
    <i t="default" r="3">
      <x v="2"/>
    </i>
    <i r="3">
      <x v="3"/>
      <x v="1"/>
    </i>
    <i r="4">
      <x v="2"/>
    </i>
    <i t="default" r="3">
      <x v="3"/>
    </i>
    <i t="default" r="2">
      <x v="1"/>
    </i>
    <i r="2">
      <x v="2"/>
      <x/>
      <x/>
    </i>
    <i r="4">
      <x v="1"/>
    </i>
    <i r="4">
      <x v="2"/>
    </i>
    <i t="default" r="3">
      <x/>
    </i>
    <i r="3">
      <x v="1"/>
      <x/>
    </i>
    <i r="4">
      <x v="1"/>
    </i>
    <i r="4">
      <x v="2"/>
    </i>
    <i t="default" r="3">
      <x v="1"/>
    </i>
    <i r="3">
      <x v="2"/>
      <x/>
    </i>
    <i r="4">
      <x v="1"/>
    </i>
    <i r="4">
      <x v="2"/>
    </i>
    <i t="default" r="3">
      <x v="2"/>
    </i>
    <i r="3">
      <x v="3"/>
      <x/>
    </i>
    <i r="4">
      <x v="1"/>
    </i>
    <i r="4">
      <x v="2"/>
    </i>
    <i t="default" r="3">
      <x v="3"/>
    </i>
    <i t="default" r="2">
      <x v="2"/>
    </i>
    <i r="2">
      <x v="3"/>
      <x/>
      <x/>
    </i>
    <i r="4">
      <x v="1"/>
    </i>
    <i r="4">
      <x v="2"/>
    </i>
    <i t="default" r="3">
      <x/>
    </i>
    <i r="3">
      <x v="1"/>
      <x/>
    </i>
    <i r="4">
      <x v="1"/>
    </i>
    <i r="4">
      <x v="2"/>
    </i>
    <i t="default" r="3">
      <x v="1"/>
    </i>
    <i r="3">
      <x v="2"/>
      <x/>
    </i>
    <i r="4">
      <x v="1"/>
    </i>
    <i r="4">
      <x v="2"/>
    </i>
    <i t="default" r="3">
      <x v="2"/>
    </i>
    <i r="3">
      <x v="3"/>
      <x/>
    </i>
    <i r="4">
      <x v="1"/>
    </i>
    <i r="4">
      <x v="2"/>
    </i>
    <i t="default" r="3">
      <x v="3"/>
    </i>
    <i t="default" r="2">
      <x v="3"/>
    </i>
    <i t="default" r="1">
      <x/>
    </i>
    <i t="default">
      <x v="3"/>
    </i>
    <i>
      <x v="4"/>
      <x v="1"/>
      <x/>
      <x/>
      <x/>
    </i>
    <i r="4">
      <x v="1"/>
    </i>
    <i r="4">
      <x v="2"/>
    </i>
    <i t="default" r="3">
      <x/>
    </i>
    <i r="3">
      <x v="1"/>
      <x/>
    </i>
    <i r="4">
      <x v="1"/>
    </i>
    <i r="4">
      <x v="2"/>
    </i>
    <i t="default" r="3">
      <x v="1"/>
    </i>
    <i r="3">
      <x v="2"/>
      <x/>
    </i>
    <i r="4">
      <x v="1"/>
    </i>
    <i r="4">
      <x v="2"/>
    </i>
    <i t="default" r="3">
      <x v="2"/>
    </i>
    <i r="3">
      <x v="3"/>
      <x/>
    </i>
    <i r="4">
      <x v="1"/>
    </i>
    <i r="4">
      <x v="2"/>
    </i>
    <i t="default" r="3">
      <x v="3"/>
    </i>
    <i t="default" r="2">
      <x/>
    </i>
    <i r="2">
      <x v="1"/>
      <x/>
      <x/>
    </i>
    <i r="4">
      <x v="1"/>
    </i>
    <i r="4">
      <x v="2"/>
    </i>
    <i t="default" r="3">
      <x/>
    </i>
    <i r="3">
      <x v="1"/>
      <x/>
    </i>
    <i r="4">
      <x v="1"/>
    </i>
    <i r="4">
      <x v="2"/>
    </i>
    <i t="default" r="3">
      <x v="1"/>
    </i>
    <i r="3">
      <x v="2"/>
      <x/>
    </i>
    <i r="4">
      <x v="1"/>
    </i>
    <i r="4">
      <x v="2"/>
    </i>
    <i t="default" r="3">
      <x v="2"/>
    </i>
    <i r="3">
      <x v="3"/>
      <x/>
    </i>
    <i r="4">
      <x v="1"/>
    </i>
    <i r="4">
      <x v="2"/>
    </i>
    <i t="default" r="3">
      <x v="3"/>
    </i>
    <i t="default" r="2">
      <x v="1"/>
    </i>
    <i r="2">
      <x v="2"/>
      <x/>
      <x/>
    </i>
    <i r="4">
      <x v="1"/>
    </i>
    <i r="4">
      <x v="2"/>
    </i>
    <i t="default" r="3">
      <x/>
    </i>
    <i r="3">
      <x v="1"/>
      <x/>
    </i>
    <i r="4">
      <x v="1"/>
    </i>
    <i r="4">
      <x v="2"/>
    </i>
    <i t="default" r="3">
      <x v="1"/>
    </i>
    <i r="3">
      <x v="2"/>
      <x/>
    </i>
    <i r="4">
      <x v="1"/>
    </i>
    <i r="4">
      <x v="2"/>
    </i>
    <i t="default" r="3">
      <x v="2"/>
    </i>
    <i r="3">
      <x v="3"/>
      <x/>
    </i>
    <i r="4">
      <x v="1"/>
    </i>
    <i r="4">
      <x v="2"/>
    </i>
    <i t="default" r="3">
      <x v="3"/>
    </i>
    <i t="default" r="2">
      <x v="2"/>
    </i>
    <i r="2">
      <x v="3"/>
      <x/>
      <x/>
    </i>
    <i r="4">
      <x v="1"/>
    </i>
    <i r="4">
      <x v="2"/>
    </i>
    <i t="default" r="3">
      <x/>
    </i>
    <i r="3">
      <x v="1"/>
      <x/>
    </i>
    <i r="4">
      <x v="1"/>
    </i>
    <i r="4">
      <x v="2"/>
    </i>
    <i t="default" r="3">
      <x v="1"/>
    </i>
    <i r="3">
      <x v="2"/>
      <x/>
    </i>
    <i r="4">
      <x v="1"/>
    </i>
    <i r="4">
      <x v="2"/>
    </i>
    <i t="default" r="3">
      <x v="2"/>
    </i>
    <i r="3">
      <x v="3"/>
      <x/>
    </i>
    <i r="4">
      <x v="1"/>
    </i>
    <i r="4">
      <x v="2"/>
    </i>
    <i t="default" r="3">
      <x v="3"/>
    </i>
    <i t="default" r="2">
      <x v="3"/>
    </i>
    <i t="default" r="1">
      <x v="1"/>
    </i>
    <i t="default">
      <x v="4"/>
    </i>
    <i t="grand">
      <x/>
    </i>
  </rowItems>
  <colFields count="1">
    <field x="22"/>
  </colFields>
  <colItems count="3">
    <i>
      <x/>
    </i>
    <i>
      <x v="1"/>
    </i>
    <i t="grand">
      <x/>
    </i>
  </colItems>
  <dataFields count="1">
    <dataField name="Sum of Total Sales (in USD)" fld="1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5FF9FE94-1FB8-4727-ABDB-D2589E7DA98C}" sourceName="Continent">
  <pivotTables>
    <pivotTable tabId="13" name="PivotTable3"/>
  </pivotTables>
  <data>
    <tabular pivotCacheId="361393102">
      <items count="5">
        <i x="2" s="1"/>
        <i x="0" nd="1"/>
        <i x="1" nd="1"/>
        <i x="3"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E400B69-B7FB-4697-8696-98AB99AA60D7}" sourceName="Country">
  <pivotTables>
    <pivotTable tabId="13" name="PivotTable3"/>
  </pivotTables>
  <data>
    <tabular pivotCacheId="361393102">
      <items count="10">
        <i x="4"/>
        <i x="5"/>
        <i x="7" s="1"/>
        <i x="8" nd="1"/>
        <i x="9" nd="1"/>
        <i x="6" nd="1"/>
        <i x="1" nd="1"/>
        <i x="3" nd="1"/>
        <i x="0" nd="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Team" xr10:uid="{63BFFB69-A9B4-4F15-A7F3-F255D6F2334D}" sourceName="Sales Team">
  <pivotTables>
    <pivotTable tabId="13" name="PivotTable3"/>
  </pivotTables>
  <data>
    <tabular pivotCacheId="361393102">
      <items count="4">
        <i x="0" s="1"/>
        <i x="3"/>
        <i x="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96C0E68-F107-4BB4-8BAE-B2418EF1A938}" sourceName="Product">
  <pivotTables>
    <pivotTable tabId="13" name="PivotTable3"/>
  </pivotTables>
  <data>
    <tabular pivotCacheId="361393102">
      <items count="3">
        <i x="1"/>
        <i x="0" s="1"/>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Year" xr10:uid="{BA53D004-91B1-4615-BD48-F666D5114E99}" sourceName="Sales Year">
  <pivotTables>
    <pivotTable tabId="13" name="PivotTable3"/>
  </pivotTables>
  <data>
    <tabular pivotCacheId="361393102">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85BDDDF3-E093-4B2F-B579-58D6F93B92C7}" cache="Slicer_Continent" caption="Continent" columnCount="5" rowHeight="257175"/>
  <slicer name="Country" xr10:uid="{1280988A-A0D3-40D6-8D45-54C5B2B6DEC3}" cache="Slicer_Country" caption="Country" rowHeight="257175"/>
  <slicer name="Sales Team" xr10:uid="{38DA765C-B490-4493-83A2-3F05E44CE198}" cache="Slicer_Sales_Team" caption="Sales Team" columnCount="4" rowHeight="257175"/>
  <slicer name="Product 1" xr10:uid="{C6187259-78B7-4DDC-883E-EF2D3A5B6C28}" cache="Slicer_Product" caption="Product" rowHeight="257175"/>
  <slicer name="Sales Year" xr10:uid="{3D1FFBEE-C9EA-4F1B-9EDC-F310D4EFC3A9}" cache="Slicer_Sales_Year" caption="Sales Yea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B6FD2A-ABAA-4088-95F8-CD2E0E4BE6DD}" name="Table2" displayName="Table2" ref="A1:Q2001" totalsRowShown="0" headerRowDxfId="91" dataDxfId="89" headerRowBorderDxfId="90" tableBorderDxfId="88" totalsRowBorderDxfId="87">
  <autoFilter ref="A1:Q2001" xr:uid="{4BB6FD2A-ABAA-4088-95F8-CD2E0E4BE6DD}"/>
  <tableColumns count="17">
    <tableColumn id="1" xr3:uid="{1549EE34-08B1-4EB1-9EC4-1B875E5D846F}" name="Transaction ID" dataDxfId="86"/>
    <tableColumn id="2" xr3:uid="{E55A07AA-7121-46EF-831C-88CAA161A943}" name="Country" dataDxfId="85"/>
    <tableColumn id="3" xr3:uid="{E003C46D-DC28-4538-B9CB-1BBC7D91A552}" name="Product" dataDxfId="84"/>
    <tableColumn id="4" xr3:uid="{05DEA776-11EF-4FAC-8A6C-1F4A23B08359}" name="Brand" dataDxfId="83"/>
    <tableColumn id="5" xr3:uid="{9637135D-FE75-4F04-A603-80C8D6F33E83}" name="Region" dataDxfId="82"/>
    <tableColumn id="6" xr3:uid="{5113D608-D7CC-40E7-A46B-F560149F2535}" name="Sales Team" dataDxfId="81"/>
    <tableColumn id="7" xr3:uid="{99459725-3A78-41C9-B287-5E2E33E39678}" name="Units Sold" dataDxfId="80"/>
    <tableColumn id="8" xr3:uid="{6FD22D3E-CACB-486B-B487-0E20406DF413}" name="Unit Price" dataDxfId="79"/>
    <tableColumn id="9" xr3:uid="{7CC86649-8823-460C-B847-D323B22442DF}" name="Total Sales" dataDxfId="78"/>
    <tableColumn id="10" xr3:uid="{775C35D2-06D3-408E-97BB-9E3C7C55341B}" name="Sales Date" dataDxfId="77"/>
    <tableColumn id="11" xr3:uid="{352A7860-428D-4402-AD23-16BE8893CE94}" name="Customer Age" dataDxfId="76"/>
    <tableColumn id="12" xr3:uid="{42C47096-0958-4A4D-9E39-93F31CDA4A7E}" name="Customer Gender" dataDxfId="75"/>
    <tableColumn id="13" xr3:uid="{5C0BB083-31C1-4E3F-AD7B-A0132B35A965}" name="Discount Applied" dataDxfId="74"/>
    <tableColumn id="14" xr3:uid="{BBA1EBEF-3335-4D9E-A15A-1CEF9A04762F}" name="Discount Percentage (%)" dataDxfId="73"/>
    <tableColumn id="15" xr3:uid="{154326DD-A42A-4175-8C82-AE68A8A1FE20}" name="Payment Method" dataDxfId="72"/>
    <tableColumn id="16" xr3:uid="{69661D30-D8BF-4C4D-94FC-CEF8B0064504}" name="Sales Target Achieved" dataDxfId="71"/>
    <tableColumn id="17" xr3:uid="{F68824E5-BB22-47C4-A022-E4FBC90CDF5B}" name="Return Status" dataDxfId="7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B8F95F-4AF3-4BB1-8D63-9127AB0BA851}" name="Table22" displayName="Table22" ref="A1:AA2002" totalsRowCount="1" headerRowDxfId="69" dataDxfId="67" totalsRowDxfId="65" headerRowBorderDxfId="68" tableBorderDxfId="66" totalsRowBorderDxfId="64">
  <autoFilter ref="A1:AA2001" xr:uid="{4BB6FD2A-ABAA-4088-95F8-CD2E0E4BE6DD}"/>
  <sortState xmlns:xlrd2="http://schemas.microsoft.com/office/spreadsheetml/2017/richdata2" ref="A2:AA2001">
    <sortCondition descending="1" ref="O1:O2001"/>
  </sortState>
  <tableColumns count="27">
    <tableColumn id="1" xr3:uid="{08CFE22E-9F8F-4C4A-B8C5-47341839C919}" name="Transaction ID" totalsRowLabel="Mean" dataDxfId="63" totalsRowDxfId="62"/>
    <tableColumn id="2" xr3:uid="{3DDDEDF6-D62F-4700-BECE-BC7CD7E1F8BF}" name="Country" dataDxfId="61" totalsRowDxfId="60"/>
    <tableColumn id="24" xr3:uid="{E47CB935-40E4-4515-B7A5-0071955F25F8}" name="Continent" dataDxfId="59" totalsRowDxfId="58">
      <calculatedColumnFormula array="1">_xlfn.SWITCH(Table22[[#This Row],[Country]],"USA","North America","Canada","North America","Brazil","South America","China","Asia","Japan","Asia","India","Asia","France","Europe","Germany","Europe","UK","Europe","Australia","Oceania","South America")</calculatedColumnFormula>
    </tableColumn>
    <tableColumn id="5" xr3:uid="{DF536CE7-9976-4B29-9CDA-6D428D5AA4F8}" name="Region" dataDxfId="57" totalsRowDxfId="56"/>
    <tableColumn id="3" xr3:uid="{232EA7ED-437D-4404-9238-99C52313956C}" name="Product" dataDxfId="55" totalsRowDxfId="54"/>
    <tableColumn id="4" xr3:uid="{19A4E7D2-FF48-49AE-8432-95F7947B7C25}" name="Brand" dataDxfId="53" totalsRowDxfId="52"/>
    <tableColumn id="6" xr3:uid="{56057596-20EC-408B-A1DC-2A608622595F}" name="Sales Team" dataDxfId="51" totalsRowDxfId="50"/>
    <tableColumn id="26" xr3:uid="{6A033505-FF39-4A61-856F-BA266A02E0D8}" name="Country Length" dataDxfId="49" totalsRowDxfId="48">
      <calculatedColumnFormula>LEN(TRIM(Table22[[#This Row],[Country]]))</calculatedColumnFormula>
    </tableColumn>
    <tableColumn id="25" xr3:uid="{D30ABC85-9EC8-403C-B7EE-3A3A096FC947}" name="Continent Length" dataDxfId="47" totalsRowDxfId="46">
      <calculatedColumnFormula>LEN(TRIM(Table22[[#This Row],[Continent]]))</calculatedColumnFormula>
    </tableColumn>
    <tableColumn id="23" xr3:uid="{AFF98E1A-E0DA-4ADC-B4D4-26BCF0F3F10C}" name="Product Length" dataDxfId="45" totalsRowDxfId="44">
      <calculatedColumnFormula>LEN(TRIM(Table22[[#This Row],[Product]]))</calculatedColumnFormula>
    </tableColumn>
    <tableColumn id="19" xr3:uid="{6089D0E9-7BFF-4452-B769-5C2912E4826A}" name="Sales Team Length" dataDxfId="43" totalsRowDxfId="42">
      <calculatedColumnFormula>LEN(TRIM(Table22[[#This Row],[Sales Team]]))</calculatedColumnFormula>
    </tableColumn>
    <tableColumn id="7" xr3:uid="{25581EC0-8BB9-4687-A893-2BAB6C42FE6A}" name="Units Sold" totalsRowFunction="custom" dataDxfId="41" totalsRowDxfId="40">
      <totalsRowFormula>AVERAGE(Table22[Units Sold])</totalsRowFormula>
    </tableColumn>
    <tableColumn id="27" xr3:uid="{72D26D07-9565-4797-9C27-8E73DA4918D1}" name="Rating" dataDxfId="39" totalsRowDxfId="38">
      <calculatedColumnFormula array="1">_xlfn.IFS(Table22[[#This Row],[Units Sold]]&lt;40,"Critical",Table22[[#This Row],[Units Sold]]&lt;=50,"Poor",Table22[[#This Row],[Units Sold]]&lt;=60,"Low",Table22[[#This Row],[Units Sold]]&lt;=80,"Average",Table22[[#This Row],[Units Sold]]&lt;=90,"High",Table22[[#This Row],[Units Sold]]&lt;=95,"Excellent",Table22[[#This Row],[Units Sold]]&gt;95,"Outstanding")</calculatedColumnFormula>
    </tableColumn>
    <tableColumn id="8" xr3:uid="{D07AF5BA-C80A-48C6-8D79-D419B8E2A35F}" name="Unit Price (in USD)" totalsRowFunction="sum" dataDxfId="37" totalsRowDxfId="36"/>
    <tableColumn id="9" xr3:uid="{906FA6E5-C529-4E78-BAE2-569D6319CA95}" name="Total Sales (in USD)" totalsRowFunction="custom" dataDxfId="35" totalsRowDxfId="34">
      <totalsRowFormula>AVERAGE(Table22[Total Sales (in USD)])</totalsRowFormula>
    </tableColumn>
    <tableColumn id="18" xr3:uid="{BE7E1010-9073-4E5B-8AEC-0581B2893A9A}" name="Net Sales (after discount) (in USD)" dataDxfId="33" totalsRowDxfId="32">
      <calculatedColumnFormula>IF(Table22[[#This Row],[Discount Applied]],Table22[[#This Row],[Total Sales (in USD)]]*(1-Table22[[#This Row],[Discount Percentage (%)]]/100),Table22[[#This Row],[Total Sales (in USD)]])</calculatedColumnFormula>
    </tableColumn>
    <tableColumn id="20" xr3:uid="{338E2FED-B4E7-4DBE-B642-E1F1708959E4}" name="Net Sales Std Dev from Mean Total Sales (in USD)" dataDxfId="31" totalsRowDxfId="30">
      <calculatedColumnFormula>SQRT(AVERAGE((Table22[[#This Row],[Net Sales (after discount) (in USD)]]-AVERAGE(Table22[Net Sales (after discount) (in USD)]))^2))</calculatedColumnFormula>
    </tableColumn>
    <tableColumn id="16" xr3:uid="{21E115E5-DA86-4D3F-9155-88C0752DB235}" name="Sales Target Achieved" dataDxfId="29" totalsRowDxfId="28"/>
    <tableColumn id="14" xr3:uid="{CB30DF6B-8249-448D-BED4-FCDA3D4C6F3C}" name="Discount Percentage (%)" dataDxfId="27" totalsRowDxfId="26"/>
    <tableColumn id="13" xr3:uid="{C2EE08B3-DBAB-4B5A-887B-2725057C8A24}" name="Discount Applied" dataDxfId="25" totalsRowDxfId="24"/>
    <tableColumn id="10" xr3:uid="{1638DC70-787D-4F26-9143-6BE26E2C90A2}" name="Sales Date" dataDxfId="23" totalsRowDxfId="22"/>
    <tableColumn id="21" xr3:uid="{E061C7A4-9999-423A-A6BF-C2ACD4E4BF4F}" name="Sales Quarter" dataDxfId="21" totalsRowDxfId="20">
      <calculatedColumnFormula>IF(MONTH(Table22[[#This Row],[Sales Date]])&lt;=3,"Q1",IF(MONTH(Table22[[#This Row],[Sales Date]])&lt;=6,"Q2",IF(MONTH(Table22[[#This Row],[Sales Date]])&lt;=9,"Q3","Q4")))</calculatedColumnFormula>
    </tableColumn>
    <tableColumn id="22" xr3:uid="{8AB71635-E080-42F5-B5F9-6799176A5DDC}" name="Sales Year" dataDxfId="19" totalsRowDxfId="18">
      <calculatedColumnFormula>YEAR(Table22[[#This Row],[Sales Date]])</calculatedColumnFormula>
    </tableColumn>
    <tableColumn id="11" xr3:uid="{8F3AC6B2-A904-4420-8256-CC1453E30180}" name="Customer Age" dataDxfId="17" totalsRowDxfId="16"/>
    <tableColumn id="12" xr3:uid="{306683BC-A22B-4103-8E67-39224E92CB25}" name="Customer Gender" dataDxfId="15" totalsRowDxfId="14"/>
    <tableColumn id="15" xr3:uid="{743BCA20-F683-4588-875F-C3089727CDA3}" name="Payment Method" dataDxfId="13" totalsRowDxfId="12"/>
    <tableColumn id="17" xr3:uid="{3A5A3A21-D395-4C9D-B53A-FD21A662A9E0}" name="Return Status" dataDxfId="11" totalsRowDxfId="1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3179A9-80B9-4F7F-BF67-80CE97EF002F}" name="Table6" displayName="Table6" ref="I3:K11" totalsRowCount="1">
  <autoFilter ref="I3:K10" xr:uid="{403179A9-80B9-4F7F-BF67-80CE97EF002F}"/>
  <sortState xmlns:xlrd2="http://schemas.microsoft.com/office/spreadsheetml/2017/richdata2" ref="I4:K10">
    <sortCondition descending="1" ref="K3:K10"/>
  </sortState>
  <tableColumns count="3">
    <tableColumn id="1" xr3:uid="{6030E779-859F-4E66-BC64-382C49D0919A}" name="Rating" totalsRowLabel="Total"/>
    <tableColumn id="2" xr3:uid="{5B7CD0F8-7514-4D69-94F2-83DABCC7429A}" name="Count of Units Sold" totalsRowFunction="custom" totalsRowDxfId="9">
      <totalsRowFormula>SUBTOTAL(109,J4:J10)</totalsRowFormula>
    </tableColumn>
    <tableColumn id="3" xr3:uid="{80658012-2117-4E8B-B772-098CA7B0C17E}" name="Sum of Total Sales (in USD)" totalsRowFunction="sum" dataDxfId="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D8C37C-570B-44AB-905C-D505B3122CF4}" name="Table3" displayName="Table3" ref="A1:A22" totalsRowShown="0" headerRowDxfId="6">
  <autoFilter ref="A1:A22" xr:uid="{DCD8C37C-570B-44AB-905C-D505B3122CF4}"/>
  <tableColumns count="1">
    <tableColumn id="1" xr3:uid="{3DEF073C-B1C9-4978-84C3-4C093DAC6A63}" name="Data Retrival for TID_700 (with Copilot)" dataDxfId="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C17787-364D-447B-982E-9DBE9BDB5294}" name="Table4" displayName="Table4" ref="A1:B8" totalsRowShown="0">
  <autoFilter ref="A1:B8" xr:uid="{AAC17787-364D-447B-982E-9DBE9BDB5294}"/>
  <tableColumns count="2">
    <tableColumn id="1" xr3:uid="{4E0B2EE9-02A5-468D-A919-986FD9CB2867}" name="Rating"/>
    <tableColumn id="2" xr3:uid="{6356F62F-F948-449B-8778-F18DF2A9EBDC}" name="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33545-CADC-4B9D-A5F4-6871A4B8E158}">
  <dimension ref="A1:Q2001"/>
  <sheetViews>
    <sheetView workbookViewId="0">
      <selection sqref="A1:Q2001"/>
    </sheetView>
  </sheetViews>
  <sheetFormatPr defaultRowHeight="15" x14ac:dyDescent="0.25"/>
  <cols>
    <col min="1" max="1" width="22.28515625" style="15" customWidth="1"/>
    <col min="2" max="2" width="18.7109375" style="15" customWidth="1"/>
    <col min="3" max="3" width="21.5703125" style="15" customWidth="1"/>
    <col min="4" max="4" width="17.28515625" style="15" customWidth="1"/>
    <col min="5" max="5" width="17" style="15" customWidth="1"/>
    <col min="6" max="6" width="22" style="15" customWidth="1"/>
    <col min="7" max="7" width="19.85546875" style="15" customWidth="1"/>
    <col min="8" max="8" width="17.42578125" style="16" customWidth="1"/>
    <col min="9" max="9" width="20.42578125" style="16" customWidth="1"/>
    <col min="10" max="10" width="22" style="15" customWidth="1"/>
    <col min="11" max="11" width="26.140625" style="15" customWidth="1"/>
    <col min="12" max="12" width="28" style="15" customWidth="1"/>
    <col min="13" max="13" width="27.85546875" style="15" customWidth="1"/>
    <col min="14" max="14" width="31.140625" style="15" customWidth="1"/>
    <col min="15" max="15" width="23.28515625" style="15" customWidth="1"/>
    <col min="16" max="16" width="31.140625" style="15" customWidth="1"/>
    <col min="17" max="17" width="22.42578125" style="15" customWidth="1"/>
  </cols>
  <sheetData>
    <row r="1" spans="1:17" ht="54.75" customHeight="1" x14ac:dyDescent="0.25">
      <c r="A1" s="1" t="s">
        <v>0</v>
      </c>
      <c r="B1" s="2" t="s">
        <v>1</v>
      </c>
      <c r="C1" s="2" t="s">
        <v>2</v>
      </c>
      <c r="D1" s="2" t="s">
        <v>3</v>
      </c>
      <c r="E1" s="2" t="s">
        <v>4</v>
      </c>
      <c r="F1" s="2" t="s">
        <v>5</v>
      </c>
      <c r="G1" s="2" t="s">
        <v>6</v>
      </c>
      <c r="H1" s="3" t="s">
        <v>7</v>
      </c>
      <c r="I1" s="3" t="s">
        <v>8</v>
      </c>
      <c r="J1" s="2" t="s">
        <v>9</v>
      </c>
      <c r="K1" s="2" t="s">
        <v>10</v>
      </c>
      <c r="L1" s="2" t="s">
        <v>11</v>
      </c>
      <c r="M1" s="2" t="s">
        <v>12</v>
      </c>
      <c r="N1" s="2" t="s">
        <v>13</v>
      </c>
      <c r="O1" s="2" t="s">
        <v>14</v>
      </c>
      <c r="P1" s="2" t="s">
        <v>15</v>
      </c>
      <c r="Q1" s="4" t="s">
        <v>16</v>
      </c>
    </row>
    <row r="2" spans="1:17" x14ac:dyDescent="0.25">
      <c r="A2" s="5" t="s">
        <v>17</v>
      </c>
      <c r="B2" s="6" t="s">
        <v>18</v>
      </c>
      <c r="C2" s="6" t="s">
        <v>19</v>
      </c>
      <c r="D2" s="6" t="s">
        <v>20</v>
      </c>
      <c r="E2" s="6" t="s">
        <v>21</v>
      </c>
      <c r="F2" s="6" t="s">
        <v>22</v>
      </c>
      <c r="G2" s="6">
        <v>86</v>
      </c>
      <c r="H2" s="7">
        <v>997.27</v>
      </c>
      <c r="I2" s="7">
        <v>85765.22</v>
      </c>
      <c r="J2" s="8">
        <v>45016</v>
      </c>
      <c r="K2" s="6">
        <v>37</v>
      </c>
      <c r="L2" s="6" t="s">
        <v>23</v>
      </c>
      <c r="M2" s="6" t="b">
        <v>0</v>
      </c>
      <c r="N2" s="6">
        <v>25</v>
      </c>
      <c r="O2" s="6" t="s">
        <v>24</v>
      </c>
      <c r="P2" s="6" t="b">
        <v>0</v>
      </c>
      <c r="Q2" s="9" t="s">
        <v>25</v>
      </c>
    </row>
    <row r="3" spans="1:17" x14ac:dyDescent="0.25">
      <c r="A3" s="5" t="s">
        <v>26</v>
      </c>
      <c r="B3" s="6" t="s">
        <v>27</v>
      </c>
      <c r="C3" s="6" t="s">
        <v>19</v>
      </c>
      <c r="D3" s="6" t="s">
        <v>20</v>
      </c>
      <c r="E3" s="6" t="s">
        <v>28</v>
      </c>
      <c r="F3" s="6" t="s">
        <v>29</v>
      </c>
      <c r="G3" s="6">
        <v>5</v>
      </c>
      <c r="H3" s="7">
        <v>152.03</v>
      </c>
      <c r="I3" s="7">
        <v>760.15</v>
      </c>
      <c r="J3" s="8">
        <v>45154</v>
      </c>
      <c r="K3" s="6">
        <v>66</v>
      </c>
      <c r="L3" s="6" t="s">
        <v>23</v>
      </c>
      <c r="M3" s="6" t="b">
        <v>1</v>
      </c>
      <c r="N3" s="6">
        <v>20.63</v>
      </c>
      <c r="O3" s="6" t="s">
        <v>30</v>
      </c>
      <c r="P3" s="6" t="b">
        <v>1</v>
      </c>
      <c r="Q3" s="9" t="s">
        <v>25</v>
      </c>
    </row>
    <row r="4" spans="1:17" x14ac:dyDescent="0.25">
      <c r="A4" s="5" t="s">
        <v>31</v>
      </c>
      <c r="B4" s="6" t="s">
        <v>32</v>
      </c>
      <c r="C4" s="6" t="s">
        <v>33</v>
      </c>
      <c r="D4" s="6" t="s">
        <v>34</v>
      </c>
      <c r="E4" s="6" t="s">
        <v>35</v>
      </c>
      <c r="F4" s="6" t="s">
        <v>22</v>
      </c>
      <c r="G4" s="6">
        <v>4</v>
      </c>
      <c r="H4" s="7">
        <v>965</v>
      </c>
      <c r="I4" s="7">
        <v>3860</v>
      </c>
      <c r="J4" s="8">
        <v>45005</v>
      </c>
      <c r="K4" s="6">
        <v>31</v>
      </c>
      <c r="L4" s="6" t="s">
        <v>23</v>
      </c>
      <c r="M4" s="6" t="b">
        <v>0</v>
      </c>
      <c r="N4" s="6">
        <v>10.68</v>
      </c>
      <c r="O4" s="6" t="s">
        <v>24</v>
      </c>
      <c r="P4" s="6" t="b">
        <v>0</v>
      </c>
      <c r="Q4" s="9" t="s">
        <v>36</v>
      </c>
    </row>
    <row r="5" spans="1:17" x14ac:dyDescent="0.25">
      <c r="A5" s="5" t="s">
        <v>37</v>
      </c>
      <c r="B5" s="6" t="s">
        <v>38</v>
      </c>
      <c r="C5" s="6" t="s">
        <v>39</v>
      </c>
      <c r="D5" s="6" t="s">
        <v>34</v>
      </c>
      <c r="E5" s="6" t="s">
        <v>21</v>
      </c>
      <c r="F5" s="6" t="s">
        <v>40</v>
      </c>
      <c r="G5" s="6">
        <v>36</v>
      </c>
      <c r="H5" s="7">
        <v>1432.19</v>
      </c>
      <c r="I5" s="7">
        <v>51558.84</v>
      </c>
      <c r="J5" s="8">
        <v>45534</v>
      </c>
      <c r="K5" s="6">
        <v>63</v>
      </c>
      <c r="L5" s="6" t="s">
        <v>41</v>
      </c>
      <c r="M5" s="6" t="b">
        <v>0</v>
      </c>
      <c r="N5" s="6">
        <v>7.23</v>
      </c>
      <c r="O5" s="6" t="s">
        <v>42</v>
      </c>
      <c r="P5" s="6" t="b">
        <v>0</v>
      </c>
      <c r="Q5" s="9" t="s">
        <v>25</v>
      </c>
    </row>
    <row r="6" spans="1:17" x14ac:dyDescent="0.25">
      <c r="A6" s="5" t="s">
        <v>43</v>
      </c>
      <c r="B6" s="6" t="s">
        <v>18</v>
      </c>
      <c r="C6" s="6" t="s">
        <v>33</v>
      </c>
      <c r="D6" s="6" t="s">
        <v>20</v>
      </c>
      <c r="E6" s="6" t="s">
        <v>44</v>
      </c>
      <c r="F6" s="6" t="s">
        <v>29</v>
      </c>
      <c r="G6" s="6">
        <v>6</v>
      </c>
      <c r="H6" s="7">
        <v>834.43</v>
      </c>
      <c r="I6" s="7">
        <v>5006.58</v>
      </c>
      <c r="J6" s="8">
        <v>45275</v>
      </c>
      <c r="K6" s="6">
        <v>52</v>
      </c>
      <c r="L6" s="6" t="s">
        <v>41</v>
      </c>
      <c r="M6" s="6" t="b">
        <v>1</v>
      </c>
      <c r="N6" s="6">
        <v>6.67</v>
      </c>
      <c r="O6" s="6" t="s">
        <v>24</v>
      </c>
      <c r="P6" s="6" t="b">
        <v>0</v>
      </c>
      <c r="Q6" s="9" t="s">
        <v>36</v>
      </c>
    </row>
    <row r="7" spans="1:17" x14ac:dyDescent="0.25">
      <c r="A7" s="5" t="s">
        <v>45</v>
      </c>
      <c r="B7" s="6" t="s">
        <v>46</v>
      </c>
      <c r="C7" s="6" t="s">
        <v>33</v>
      </c>
      <c r="D7" s="6" t="s">
        <v>47</v>
      </c>
      <c r="E7" s="6" t="s">
        <v>35</v>
      </c>
      <c r="F7" s="6" t="s">
        <v>48</v>
      </c>
      <c r="G7" s="6">
        <v>21</v>
      </c>
      <c r="H7" s="7">
        <v>1087.1400000000001</v>
      </c>
      <c r="I7" s="7">
        <v>22829.94</v>
      </c>
      <c r="J7" s="8">
        <v>45172</v>
      </c>
      <c r="K7" s="6">
        <v>46</v>
      </c>
      <c r="L7" s="6" t="s">
        <v>49</v>
      </c>
      <c r="M7" s="6" t="b">
        <v>0</v>
      </c>
      <c r="N7" s="6">
        <v>28.57</v>
      </c>
      <c r="O7" s="6" t="s">
        <v>30</v>
      </c>
      <c r="P7" s="6" t="b">
        <v>1</v>
      </c>
      <c r="Q7" s="9" t="s">
        <v>25</v>
      </c>
    </row>
    <row r="8" spans="1:17" x14ac:dyDescent="0.25">
      <c r="A8" s="5" t="s">
        <v>50</v>
      </c>
      <c r="B8" s="6" t="s">
        <v>51</v>
      </c>
      <c r="C8" s="6" t="s">
        <v>39</v>
      </c>
      <c r="D8" s="6" t="s">
        <v>52</v>
      </c>
      <c r="E8" s="6" t="s">
        <v>44</v>
      </c>
      <c r="F8" s="6" t="s">
        <v>48</v>
      </c>
      <c r="G8" s="6">
        <v>77</v>
      </c>
      <c r="H8" s="7">
        <v>857.26</v>
      </c>
      <c r="I8" s="7">
        <v>66009.02</v>
      </c>
      <c r="J8" s="8">
        <v>45198</v>
      </c>
      <c r="K8" s="6">
        <v>29</v>
      </c>
      <c r="L8" s="6" t="s">
        <v>41</v>
      </c>
      <c r="M8" s="6" t="b">
        <v>1</v>
      </c>
      <c r="N8" s="6">
        <v>28.76</v>
      </c>
      <c r="O8" s="6" t="s">
        <v>42</v>
      </c>
      <c r="P8" s="6" t="b">
        <v>1</v>
      </c>
      <c r="Q8" s="9" t="s">
        <v>36</v>
      </c>
    </row>
    <row r="9" spans="1:17" x14ac:dyDescent="0.25">
      <c r="A9" s="5" t="s">
        <v>53</v>
      </c>
      <c r="B9" s="6" t="s">
        <v>18</v>
      </c>
      <c r="C9" s="6" t="s">
        <v>39</v>
      </c>
      <c r="D9" s="6" t="s">
        <v>52</v>
      </c>
      <c r="E9" s="6" t="s">
        <v>28</v>
      </c>
      <c r="F9" s="6" t="s">
        <v>40</v>
      </c>
      <c r="G9" s="6">
        <v>89</v>
      </c>
      <c r="H9" s="7">
        <v>1289.3699999999999</v>
      </c>
      <c r="I9" s="7">
        <v>114753.93</v>
      </c>
      <c r="J9" s="8">
        <v>45329</v>
      </c>
      <c r="K9" s="6">
        <v>69</v>
      </c>
      <c r="L9" s="6" t="s">
        <v>49</v>
      </c>
      <c r="M9" s="6" t="b">
        <v>1</v>
      </c>
      <c r="N9" s="6">
        <v>21.74</v>
      </c>
      <c r="O9" s="6" t="s">
        <v>30</v>
      </c>
      <c r="P9" s="6" t="b">
        <v>0</v>
      </c>
      <c r="Q9" s="9" t="s">
        <v>25</v>
      </c>
    </row>
    <row r="10" spans="1:17" x14ac:dyDescent="0.25">
      <c r="A10" s="5" t="s">
        <v>54</v>
      </c>
      <c r="B10" s="6" t="s">
        <v>32</v>
      </c>
      <c r="C10" s="6" t="s">
        <v>19</v>
      </c>
      <c r="D10" s="6" t="s">
        <v>20</v>
      </c>
      <c r="E10" s="6" t="s">
        <v>28</v>
      </c>
      <c r="F10" s="6" t="s">
        <v>40</v>
      </c>
      <c r="G10" s="6">
        <v>26</v>
      </c>
      <c r="H10" s="7">
        <v>1397.9</v>
      </c>
      <c r="I10" s="7">
        <v>36345.4</v>
      </c>
      <c r="J10" s="8">
        <v>45595</v>
      </c>
      <c r="K10" s="6">
        <v>35</v>
      </c>
      <c r="L10" s="6" t="s">
        <v>49</v>
      </c>
      <c r="M10" s="6" t="b">
        <v>1</v>
      </c>
      <c r="N10" s="6">
        <v>26.51</v>
      </c>
      <c r="O10" s="6" t="s">
        <v>24</v>
      </c>
      <c r="P10" s="6" t="b">
        <v>1</v>
      </c>
      <c r="Q10" s="9" t="s">
        <v>25</v>
      </c>
    </row>
    <row r="11" spans="1:17" x14ac:dyDescent="0.25">
      <c r="A11" s="5" t="s">
        <v>55</v>
      </c>
      <c r="B11" s="6" t="s">
        <v>38</v>
      </c>
      <c r="C11" s="6" t="s">
        <v>39</v>
      </c>
      <c r="D11" s="6" t="s">
        <v>20</v>
      </c>
      <c r="E11" s="6" t="s">
        <v>44</v>
      </c>
      <c r="F11" s="6" t="s">
        <v>29</v>
      </c>
      <c r="G11" s="6">
        <v>55</v>
      </c>
      <c r="H11" s="7">
        <v>317.12</v>
      </c>
      <c r="I11" s="7">
        <v>17441.599999999999</v>
      </c>
      <c r="J11" s="8">
        <v>45042</v>
      </c>
      <c r="K11" s="6">
        <v>61</v>
      </c>
      <c r="L11" s="6" t="s">
        <v>41</v>
      </c>
      <c r="M11" s="6" t="b">
        <v>1</v>
      </c>
      <c r="N11" s="6">
        <v>27.57</v>
      </c>
      <c r="O11" s="6" t="s">
        <v>56</v>
      </c>
      <c r="P11" s="6" t="b">
        <v>1</v>
      </c>
      <c r="Q11" s="9" t="s">
        <v>36</v>
      </c>
    </row>
    <row r="12" spans="1:17" x14ac:dyDescent="0.25">
      <c r="A12" s="5" t="s">
        <v>57</v>
      </c>
      <c r="B12" s="6" t="s">
        <v>27</v>
      </c>
      <c r="C12" s="6" t="s">
        <v>19</v>
      </c>
      <c r="D12" s="6" t="s">
        <v>20</v>
      </c>
      <c r="E12" s="6" t="s">
        <v>44</v>
      </c>
      <c r="F12" s="6" t="s">
        <v>29</v>
      </c>
      <c r="G12" s="6">
        <v>39</v>
      </c>
      <c r="H12" s="7">
        <v>683.45</v>
      </c>
      <c r="I12" s="7">
        <v>26654.55</v>
      </c>
      <c r="J12" s="8">
        <v>45361</v>
      </c>
      <c r="K12" s="6">
        <v>19</v>
      </c>
      <c r="L12" s="6" t="s">
        <v>49</v>
      </c>
      <c r="M12" s="6" t="b">
        <v>0</v>
      </c>
      <c r="N12" s="6">
        <v>15.35</v>
      </c>
      <c r="O12" s="6" t="s">
        <v>24</v>
      </c>
      <c r="P12" s="6" t="b">
        <v>0</v>
      </c>
      <c r="Q12" s="9" t="s">
        <v>25</v>
      </c>
    </row>
    <row r="13" spans="1:17" x14ac:dyDescent="0.25">
      <c r="A13" s="5" t="s">
        <v>58</v>
      </c>
      <c r="B13" s="6" t="s">
        <v>32</v>
      </c>
      <c r="C13" s="6" t="s">
        <v>19</v>
      </c>
      <c r="D13" s="6" t="s">
        <v>47</v>
      </c>
      <c r="E13" s="6" t="s">
        <v>35</v>
      </c>
      <c r="F13" s="6" t="s">
        <v>40</v>
      </c>
      <c r="G13" s="6">
        <v>84</v>
      </c>
      <c r="H13" s="7">
        <v>618.95000000000005</v>
      </c>
      <c r="I13" s="7">
        <v>51991.8</v>
      </c>
      <c r="J13" s="8">
        <v>45456</v>
      </c>
      <c r="K13" s="6">
        <v>19</v>
      </c>
      <c r="L13" s="6" t="s">
        <v>49</v>
      </c>
      <c r="M13" s="6" t="b">
        <v>1</v>
      </c>
      <c r="N13" s="6">
        <v>18.87</v>
      </c>
      <c r="O13" s="6" t="s">
        <v>24</v>
      </c>
      <c r="P13" s="6" t="b">
        <v>1</v>
      </c>
      <c r="Q13" s="9" t="s">
        <v>25</v>
      </c>
    </row>
    <row r="14" spans="1:17" x14ac:dyDescent="0.25">
      <c r="A14" s="5" t="s">
        <v>59</v>
      </c>
      <c r="B14" s="6" t="s">
        <v>32</v>
      </c>
      <c r="C14" s="6" t="s">
        <v>19</v>
      </c>
      <c r="D14" s="6" t="s">
        <v>34</v>
      </c>
      <c r="E14" s="6" t="s">
        <v>44</v>
      </c>
      <c r="F14" s="6" t="s">
        <v>40</v>
      </c>
      <c r="G14" s="6">
        <v>33</v>
      </c>
      <c r="H14" s="7">
        <v>637.55999999999995</v>
      </c>
      <c r="I14" s="7">
        <v>21039.48</v>
      </c>
      <c r="J14" s="8">
        <v>45368</v>
      </c>
      <c r="K14" s="6">
        <v>34</v>
      </c>
      <c r="L14" s="6" t="s">
        <v>23</v>
      </c>
      <c r="M14" s="6" t="b">
        <v>1</v>
      </c>
      <c r="N14" s="6">
        <v>12.56</v>
      </c>
      <c r="O14" s="6" t="s">
        <v>30</v>
      </c>
      <c r="P14" s="6" t="b">
        <v>1</v>
      </c>
      <c r="Q14" s="9" t="s">
        <v>36</v>
      </c>
    </row>
    <row r="15" spans="1:17" x14ac:dyDescent="0.25">
      <c r="A15" s="5" t="s">
        <v>60</v>
      </c>
      <c r="B15" s="6" t="s">
        <v>51</v>
      </c>
      <c r="C15" s="6" t="s">
        <v>39</v>
      </c>
      <c r="D15" s="6" t="s">
        <v>20</v>
      </c>
      <c r="E15" s="6" t="s">
        <v>21</v>
      </c>
      <c r="F15" s="6" t="s">
        <v>48</v>
      </c>
      <c r="G15" s="6">
        <v>14</v>
      </c>
      <c r="H15" s="7">
        <v>232.01</v>
      </c>
      <c r="I15" s="7">
        <v>3248.14</v>
      </c>
      <c r="J15" s="8">
        <v>45098</v>
      </c>
      <c r="K15" s="6">
        <v>27</v>
      </c>
      <c r="L15" s="6" t="s">
        <v>49</v>
      </c>
      <c r="M15" s="6" t="b">
        <v>1</v>
      </c>
      <c r="N15" s="6">
        <v>12.55</v>
      </c>
      <c r="O15" s="6" t="s">
        <v>56</v>
      </c>
      <c r="P15" s="6" t="b">
        <v>0</v>
      </c>
      <c r="Q15" s="9" t="s">
        <v>25</v>
      </c>
    </row>
    <row r="16" spans="1:17" x14ac:dyDescent="0.25">
      <c r="A16" s="5" t="s">
        <v>61</v>
      </c>
      <c r="B16" s="6" t="s">
        <v>62</v>
      </c>
      <c r="C16" s="6" t="s">
        <v>33</v>
      </c>
      <c r="D16" s="6" t="s">
        <v>20</v>
      </c>
      <c r="E16" s="6" t="s">
        <v>21</v>
      </c>
      <c r="F16" s="6" t="s">
        <v>48</v>
      </c>
      <c r="G16" s="6">
        <v>56</v>
      </c>
      <c r="H16" s="7">
        <v>1229.74</v>
      </c>
      <c r="I16" s="7">
        <v>68865.440000000002</v>
      </c>
      <c r="J16" s="8">
        <v>44942</v>
      </c>
      <c r="K16" s="6">
        <v>35</v>
      </c>
      <c r="L16" s="6" t="s">
        <v>41</v>
      </c>
      <c r="M16" s="6" t="b">
        <v>0</v>
      </c>
      <c r="N16" s="6">
        <v>1.1499999999999999</v>
      </c>
      <c r="O16" s="6" t="s">
        <v>24</v>
      </c>
      <c r="P16" s="6" t="b">
        <v>0</v>
      </c>
      <c r="Q16" s="9" t="s">
        <v>25</v>
      </c>
    </row>
    <row r="17" spans="1:17" x14ac:dyDescent="0.25">
      <c r="A17" s="5" t="s">
        <v>63</v>
      </c>
      <c r="B17" s="6" t="s">
        <v>38</v>
      </c>
      <c r="C17" s="6" t="s">
        <v>19</v>
      </c>
      <c r="D17" s="6" t="s">
        <v>64</v>
      </c>
      <c r="E17" s="6" t="s">
        <v>44</v>
      </c>
      <c r="F17" s="6" t="s">
        <v>48</v>
      </c>
      <c r="G17" s="6">
        <v>81</v>
      </c>
      <c r="H17" s="7">
        <v>101.86</v>
      </c>
      <c r="I17" s="7">
        <v>8250.66</v>
      </c>
      <c r="J17" s="8">
        <v>44982</v>
      </c>
      <c r="K17" s="6">
        <v>39</v>
      </c>
      <c r="L17" s="6" t="s">
        <v>41</v>
      </c>
      <c r="M17" s="6" t="b">
        <v>1</v>
      </c>
      <c r="N17" s="6">
        <v>13.01</v>
      </c>
      <c r="O17" s="6" t="s">
        <v>42</v>
      </c>
      <c r="P17" s="6" t="b">
        <v>1</v>
      </c>
      <c r="Q17" s="9" t="s">
        <v>25</v>
      </c>
    </row>
    <row r="18" spans="1:17" x14ac:dyDescent="0.25">
      <c r="A18" s="5" t="s">
        <v>65</v>
      </c>
      <c r="B18" s="6" t="s">
        <v>66</v>
      </c>
      <c r="C18" s="6" t="s">
        <v>33</v>
      </c>
      <c r="D18" s="6" t="s">
        <v>47</v>
      </c>
      <c r="E18" s="6" t="s">
        <v>21</v>
      </c>
      <c r="F18" s="6" t="s">
        <v>40</v>
      </c>
      <c r="G18" s="6">
        <v>21</v>
      </c>
      <c r="H18" s="7">
        <v>815.93</v>
      </c>
      <c r="I18" s="7">
        <v>17134.53</v>
      </c>
      <c r="J18" s="8">
        <v>45517</v>
      </c>
      <c r="K18" s="6">
        <v>36</v>
      </c>
      <c r="L18" s="6" t="s">
        <v>49</v>
      </c>
      <c r="M18" s="6" t="b">
        <v>0</v>
      </c>
      <c r="N18" s="6">
        <v>20.2</v>
      </c>
      <c r="O18" s="6" t="s">
        <v>42</v>
      </c>
      <c r="P18" s="6" t="b">
        <v>1</v>
      </c>
      <c r="Q18" s="9" t="s">
        <v>25</v>
      </c>
    </row>
    <row r="19" spans="1:17" x14ac:dyDescent="0.25">
      <c r="A19" s="5" t="s">
        <v>67</v>
      </c>
      <c r="B19" s="6" t="s">
        <v>32</v>
      </c>
      <c r="C19" s="6" t="s">
        <v>33</v>
      </c>
      <c r="D19" s="6" t="s">
        <v>20</v>
      </c>
      <c r="E19" s="6" t="s">
        <v>44</v>
      </c>
      <c r="F19" s="6" t="s">
        <v>22</v>
      </c>
      <c r="G19" s="6">
        <v>46</v>
      </c>
      <c r="H19" s="7">
        <v>1009.72</v>
      </c>
      <c r="I19" s="7">
        <v>46447.12</v>
      </c>
      <c r="J19" s="8">
        <v>45029</v>
      </c>
      <c r="K19" s="6">
        <v>18</v>
      </c>
      <c r="L19" s="6" t="s">
        <v>23</v>
      </c>
      <c r="M19" s="6" t="b">
        <v>0</v>
      </c>
      <c r="N19" s="6">
        <v>12.66</v>
      </c>
      <c r="O19" s="6" t="s">
        <v>30</v>
      </c>
      <c r="P19" s="6" t="b">
        <v>1</v>
      </c>
      <c r="Q19" s="9" t="s">
        <v>36</v>
      </c>
    </row>
    <row r="20" spans="1:17" x14ac:dyDescent="0.25">
      <c r="A20" s="5" t="s">
        <v>68</v>
      </c>
      <c r="B20" s="6" t="s">
        <v>62</v>
      </c>
      <c r="C20" s="6" t="s">
        <v>39</v>
      </c>
      <c r="D20" s="6" t="s">
        <v>64</v>
      </c>
      <c r="E20" s="6" t="s">
        <v>35</v>
      </c>
      <c r="F20" s="6" t="s">
        <v>40</v>
      </c>
      <c r="G20" s="6">
        <v>16</v>
      </c>
      <c r="H20" s="7">
        <v>350.83</v>
      </c>
      <c r="I20" s="7">
        <v>5613.28</v>
      </c>
      <c r="J20" s="8">
        <v>45210</v>
      </c>
      <c r="K20" s="6">
        <v>41</v>
      </c>
      <c r="L20" s="6" t="s">
        <v>41</v>
      </c>
      <c r="M20" s="6" t="b">
        <v>1</v>
      </c>
      <c r="N20" s="6">
        <v>26.17</v>
      </c>
      <c r="O20" s="6" t="s">
        <v>30</v>
      </c>
      <c r="P20" s="6" t="b">
        <v>0</v>
      </c>
      <c r="Q20" s="9" t="s">
        <v>36</v>
      </c>
    </row>
    <row r="21" spans="1:17" x14ac:dyDescent="0.25">
      <c r="A21" s="5" t="s">
        <v>69</v>
      </c>
      <c r="B21" s="6" t="s">
        <v>66</v>
      </c>
      <c r="C21" s="6" t="s">
        <v>33</v>
      </c>
      <c r="D21" s="6" t="s">
        <v>52</v>
      </c>
      <c r="E21" s="6" t="s">
        <v>21</v>
      </c>
      <c r="F21" s="6" t="s">
        <v>40</v>
      </c>
      <c r="G21" s="6">
        <v>16</v>
      </c>
      <c r="H21" s="7">
        <v>1363.48</v>
      </c>
      <c r="I21" s="7">
        <v>21815.68</v>
      </c>
      <c r="J21" s="8">
        <v>45443</v>
      </c>
      <c r="K21" s="6">
        <v>53</v>
      </c>
      <c r="L21" s="6" t="s">
        <v>41</v>
      </c>
      <c r="M21" s="6" t="b">
        <v>0</v>
      </c>
      <c r="N21" s="6">
        <v>9.98</v>
      </c>
      <c r="O21" s="6" t="s">
        <v>56</v>
      </c>
      <c r="P21" s="6" t="b">
        <v>1</v>
      </c>
      <c r="Q21" s="9" t="s">
        <v>25</v>
      </c>
    </row>
    <row r="22" spans="1:17" x14ac:dyDescent="0.25">
      <c r="A22" s="5" t="s">
        <v>70</v>
      </c>
      <c r="B22" s="6" t="s">
        <v>38</v>
      </c>
      <c r="C22" s="6" t="s">
        <v>33</v>
      </c>
      <c r="D22" s="6" t="s">
        <v>20</v>
      </c>
      <c r="E22" s="6" t="s">
        <v>21</v>
      </c>
      <c r="F22" s="6" t="s">
        <v>48</v>
      </c>
      <c r="G22" s="6">
        <v>84</v>
      </c>
      <c r="H22" s="7">
        <v>1265.9000000000001</v>
      </c>
      <c r="I22" s="7">
        <v>106335.6</v>
      </c>
      <c r="J22" s="8">
        <v>45544</v>
      </c>
      <c r="K22" s="6">
        <v>42</v>
      </c>
      <c r="L22" s="6" t="s">
        <v>23</v>
      </c>
      <c r="M22" s="6" t="b">
        <v>1</v>
      </c>
      <c r="N22" s="6">
        <v>3.98</v>
      </c>
      <c r="O22" s="6" t="s">
        <v>30</v>
      </c>
      <c r="P22" s="6" t="b">
        <v>1</v>
      </c>
      <c r="Q22" s="9" t="s">
        <v>36</v>
      </c>
    </row>
    <row r="23" spans="1:17" x14ac:dyDescent="0.25">
      <c r="A23" s="5" t="s">
        <v>71</v>
      </c>
      <c r="B23" s="6" t="s">
        <v>72</v>
      </c>
      <c r="C23" s="6" t="s">
        <v>39</v>
      </c>
      <c r="D23" s="6" t="s">
        <v>20</v>
      </c>
      <c r="E23" s="6" t="s">
        <v>44</v>
      </c>
      <c r="F23" s="6" t="s">
        <v>40</v>
      </c>
      <c r="G23" s="6">
        <v>29</v>
      </c>
      <c r="H23" s="7">
        <v>733.07</v>
      </c>
      <c r="I23" s="7">
        <v>21259.03</v>
      </c>
      <c r="J23" s="8">
        <v>45204</v>
      </c>
      <c r="K23" s="6">
        <v>53</v>
      </c>
      <c r="L23" s="6" t="s">
        <v>49</v>
      </c>
      <c r="M23" s="6" t="b">
        <v>0</v>
      </c>
      <c r="N23" s="6">
        <v>24.35</v>
      </c>
      <c r="O23" s="6" t="s">
        <v>56</v>
      </c>
      <c r="P23" s="6" t="b">
        <v>1</v>
      </c>
      <c r="Q23" s="9" t="s">
        <v>25</v>
      </c>
    </row>
    <row r="24" spans="1:17" x14ac:dyDescent="0.25">
      <c r="A24" s="5" t="s">
        <v>73</v>
      </c>
      <c r="B24" s="6" t="s">
        <v>46</v>
      </c>
      <c r="C24" s="6" t="s">
        <v>19</v>
      </c>
      <c r="D24" s="6" t="s">
        <v>64</v>
      </c>
      <c r="E24" s="6" t="s">
        <v>21</v>
      </c>
      <c r="F24" s="6" t="s">
        <v>29</v>
      </c>
      <c r="G24" s="6">
        <v>92</v>
      </c>
      <c r="H24" s="7">
        <v>646.16999999999996</v>
      </c>
      <c r="I24" s="7">
        <v>59447.64</v>
      </c>
      <c r="J24" s="8">
        <v>45538</v>
      </c>
      <c r="K24" s="6">
        <v>48</v>
      </c>
      <c r="L24" s="6" t="s">
        <v>41</v>
      </c>
      <c r="M24" s="6" t="b">
        <v>0</v>
      </c>
      <c r="N24" s="6">
        <v>20.22</v>
      </c>
      <c r="O24" s="6" t="s">
        <v>24</v>
      </c>
      <c r="P24" s="6" t="b">
        <v>1</v>
      </c>
      <c r="Q24" s="9" t="s">
        <v>36</v>
      </c>
    </row>
    <row r="25" spans="1:17" x14ac:dyDescent="0.25">
      <c r="A25" s="5" t="s">
        <v>74</v>
      </c>
      <c r="B25" s="6" t="s">
        <v>62</v>
      </c>
      <c r="C25" s="6" t="s">
        <v>33</v>
      </c>
      <c r="D25" s="6" t="s">
        <v>47</v>
      </c>
      <c r="E25" s="6" t="s">
        <v>28</v>
      </c>
      <c r="F25" s="6" t="s">
        <v>40</v>
      </c>
      <c r="G25" s="6">
        <v>8</v>
      </c>
      <c r="H25" s="7">
        <v>393.02</v>
      </c>
      <c r="I25" s="7">
        <v>3144.16</v>
      </c>
      <c r="J25" s="8">
        <v>45195</v>
      </c>
      <c r="K25" s="6">
        <v>48</v>
      </c>
      <c r="L25" s="6" t="s">
        <v>49</v>
      </c>
      <c r="M25" s="6" t="b">
        <v>1</v>
      </c>
      <c r="N25" s="6">
        <v>7.25</v>
      </c>
      <c r="O25" s="6" t="s">
        <v>42</v>
      </c>
      <c r="P25" s="6" t="b">
        <v>1</v>
      </c>
      <c r="Q25" s="9" t="s">
        <v>25</v>
      </c>
    </row>
    <row r="26" spans="1:17" x14ac:dyDescent="0.25">
      <c r="A26" s="5" t="s">
        <v>75</v>
      </c>
      <c r="B26" s="6" t="s">
        <v>76</v>
      </c>
      <c r="C26" s="6" t="s">
        <v>39</v>
      </c>
      <c r="D26" s="6" t="s">
        <v>20</v>
      </c>
      <c r="E26" s="6" t="s">
        <v>35</v>
      </c>
      <c r="F26" s="6" t="s">
        <v>40</v>
      </c>
      <c r="G26" s="6">
        <v>88</v>
      </c>
      <c r="H26" s="7">
        <v>1108.49</v>
      </c>
      <c r="I26" s="7">
        <v>97547.12</v>
      </c>
      <c r="J26" s="8">
        <v>45326</v>
      </c>
      <c r="K26" s="6">
        <v>19</v>
      </c>
      <c r="L26" s="6" t="s">
        <v>49</v>
      </c>
      <c r="M26" s="6" t="b">
        <v>0</v>
      </c>
      <c r="N26" s="6">
        <v>16.09</v>
      </c>
      <c r="O26" s="6" t="s">
        <v>42</v>
      </c>
      <c r="P26" s="6" t="b">
        <v>1</v>
      </c>
      <c r="Q26" s="9" t="s">
        <v>25</v>
      </c>
    </row>
    <row r="27" spans="1:17" x14ac:dyDescent="0.25">
      <c r="A27" s="5" t="s">
        <v>77</v>
      </c>
      <c r="B27" s="6" t="s">
        <v>72</v>
      </c>
      <c r="C27" s="6" t="s">
        <v>33</v>
      </c>
      <c r="D27" s="6" t="s">
        <v>52</v>
      </c>
      <c r="E27" s="6" t="s">
        <v>35</v>
      </c>
      <c r="F27" s="6" t="s">
        <v>40</v>
      </c>
      <c r="G27" s="6">
        <v>3</v>
      </c>
      <c r="H27" s="7">
        <v>241.03</v>
      </c>
      <c r="I27" s="7">
        <v>723.09</v>
      </c>
      <c r="J27" s="8">
        <v>45429</v>
      </c>
      <c r="K27" s="6">
        <v>36</v>
      </c>
      <c r="L27" s="6" t="s">
        <v>49</v>
      </c>
      <c r="M27" s="6" t="b">
        <v>1</v>
      </c>
      <c r="N27" s="6">
        <v>12.06</v>
      </c>
      <c r="O27" s="6" t="s">
        <v>42</v>
      </c>
      <c r="P27" s="6" t="b">
        <v>0</v>
      </c>
      <c r="Q27" s="9" t="s">
        <v>36</v>
      </c>
    </row>
    <row r="28" spans="1:17" x14ac:dyDescent="0.25">
      <c r="A28" s="5" t="s">
        <v>78</v>
      </c>
      <c r="B28" s="6" t="s">
        <v>46</v>
      </c>
      <c r="C28" s="6" t="s">
        <v>33</v>
      </c>
      <c r="D28" s="6" t="s">
        <v>20</v>
      </c>
      <c r="E28" s="6" t="s">
        <v>21</v>
      </c>
      <c r="F28" s="6" t="s">
        <v>40</v>
      </c>
      <c r="G28" s="6">
        <v>89</v>
      </c>
      <c r="H28" s="7">
        <v>1036.3399999999999</v>
      </c>
      <c r="I28" s="7">
        <v>92234.26</v>
      </c>
      <c r="J28" s="8">
        <v>45012</v>
      </c>
      <c r="K28" s="6">
        <v>29</v>
      </c>
      <c r="L28" s="6" t="s">
        <v>49</v>
      </c>
      <c r="M28" s="6" t="b">
        <v>0</v>
      </c>
      <c r="N28" s="6">
        <v>28.17</v>
      </c>
      <c r="O28" s="6" t="s">
        <v>30</v>
      </c>
      <c r="P28" s="6" t="b">
        <v>0</v>
      </c>
      <c r="Q28" s="9" t="s">
        <v>25</v>
      </c>
    </row>
    <row r="29" spans="1:17" x14ac:dyDescent="0.25">
      <c r="A29" s="5" t="s">
        <v>79</v>
      </c>
      <c r="B29" s="6" t="s">
        <v>51</v>
      </c>
      <c r="C29" s="6" t="s">
        <v>19</v>
      </c>
      <c r="D29" s="6" t="s">
        <v>52</v>
      </c>
      <c r="E29" s="6" t="s">
        <v>21</v>
      </c>
      <c r="F29" s="6" t="s">
        <v>22</v>
      </c>
      <c r="G29" s="6">
        <v>19</v>
      </c>
      <c r="H29" s="7">
        <v>1271.56</v>
      </c>
      <c r="I29" s="7">
        <v>24159.64</v>
      </c>
      <c r="J29" s="8">
        <v>45246</v>
      </c>
      <c r="K29" s="6">
        <v>27</v>
      </c>
      <c r="L29" s="6" t="s">
        <v>41</v>
      </c>
      <c r="M29" s="6" t="b">
        <v>1</v>
      </c>
      <c r="N29" s="6">
        <v>18.22</v>
      </c>
      <c r="O29" s="6" t="s">
        <v>30</v>
      </c>
      <c r="P29" s="6" t="b">
        <v>0</v>
      </c>
      <c r="Q29" s="9" t="s">
        <v>25</v>
      </c>
    </row>
    <row r="30" spans="1:17" x14ac:dyDescent="0.25">
      <c r="A30" s="5" t="s">
        <v>80</v>
      </c>
      <c r="B30" s="6" t="s">
        <v>18</v>
      </c>
      <c r="C30" s="6" t="s">
        <v>33</v>
      </c>
      <c r="D30" s="6" t="s">
        <v>34</v>
      </c>
      <c r="E30" s="6" t="s">
        <v>28</v>
      </c>
      <c r="F30" s="6" t="s">
        <v>40</v>
      </c>
      <c r="G30" s="6">
        <v>97</v>
      </c>
      <c r="H30" s="7">
        <v>381.28</v>
      </c>
      <c r="I30" s="7">
        <v>36984.160000000003</v>
      </c>
      <c r="J30" s="8">
        <v>44958</v>
      </c>
      <c r="K30" s="6">
        <v>48</v>
      </c>
      <c r="L30" s="6" t="s">
        <v>23</v>
      </c>
      <c r="M30" s="6" t="b">
        <v>1</v>
      </c>
      <c r="N30" s="6">
        <v>4.75</v>
      </c>
      <c r="O30" s="6" t="s">
        <v>24</v>
      </c>
      <c r="P30" s="6" t="b">
        <v>1</v>
      </c>
      <c r="Q30" s="9" t="s">
        <v>25</v>
      </c>
    </row>
    <row r="31" spans="1:17" x14ac:dyDescent="0.25">
      <c r="A31" s="5" t="s">
        <v>81</v>
      </c>
      <c r="B31" s="6" t="s">
        <v>27</v>
      </c>
      <c r="C31" s="6" t="s">
        <v>39</v>
      </c>
      <c r="D31" s="6" t="s">
        <v>34</v>
      </c>
      <c r="E31" s="6" t="s">
        <v>28</v>
      </c>
      <c r="F31" s="6" t="s">
        <v>29</v>
      </c>
      <c r="G31" s="6">
        <v>66</v>
      </c>
      <c r="H31" s="7">
        <v>1306.32</v>
      </c>
      <c r="I31" s="7">
        <v>86217.12</v>
      </c>
      <c r="J31" s="8">
        <v>45262</v>
      </c>
      <c r="K31" s="6">
        <v>62</v>
      </c>
      <c r="L31" s="6" t="s">
        <v>41</v>
      </c>
      <c r="M31" s="6" t="b">
        <v>1</v>
      </c>
      <c r="N31" s="6">
        <v>15.06</v>
      </c>
      <c r="O31" s="6" t="s">
        <v>30</v>
      </c>
      <c r="P31" s="6" t="b">
        <v>1</v>
      </c>
      <c r="Q31" s="9" t="s">
        <v>25</v>
      </c>
    </row>
    <row r="32" spans="1:17" x14ac:dyDescent="0.25">
      <c r="A32" s="5" t="s">
        <v>82</v>
      </c>
      <c r="B32" s="6" t="s">
        <v>76</v>
      </c>
      <c r="C32" s="6" t="s">
        <v>33</v>
      </c>
      <c r="D32" s="6" t="s">
        <v>52</v>
      </c>
      <c r="E32" s="6" t="s">
        <v>21</v>
      </c>
      <c r="F32" s="6" t="s">
        <v>29</v>
      </c>
      <c r="G32" s="6">
        <v>79</v>
      </c>
      <c r="H32" s="7">
        <v>98.32</v>
      </c>
      <c r="I32" s="7">
        <v>7767.28</v>
      </c>
      <c r="J32" s="8">
        <v>44977</v>
      </c>
      <c r="K32" s="6">
        <v>39</v>
      </c>
      <c r="L32" s="6" t="s">
        <v>23</v>
      </c>
      <c r="M32" s="6" t="b">
        <v>1</v>
      </c>
      <c r="N32" s="6">
        <v>25.88</v>
      </c>
      <c r="O32" s="6" t="s">
        <v>56</v>
      </c>
      <c r="P32" s="6" t="b">
        <v>0</v>
      </c>
      <c r="Q32" s="9" t="s">
        <v>36</v>
      </c>
    </row>
    <row r="33" spans="1:17" x14ac:dyDescent="0.25">
      <c r="A33" s="5" t="s">
        <v>83</v>
      </c>
      <c r="B33" s="6" t="s">
        <v>51</v>
      </c>
      <c r="C33" s="6" t="s">
        <v>19</v>
      </c>
      <c r="D33" s="6" t="s">
        <v>47</v>
      </c>
      <c r="E33" s="6" t="s">
        <v>21</v>
      </c>
      <c r="F33" s="6" t="s">
        <v>40</v>
      </c>
      <c r="G33" s="6">
        <v>86</v>
      </c>
      <c r="H33" s="7">
        <v>1373.54</v>
      </c>
      <c r="I33" s="7">
        <v>118124.44</v>
      </c>
      <c r="J33" s="8">
        <v>45005</v>
      </c>
      <c r="K33" s="6">
        <v>40</v>
      </c>
      <c r="L33" s="6" t="s">
        <v>49</v>
      </c>
      <c r="M33" s="6" t="b">
        <v>0</v>
      </c>
      <c r="N33" s="6">
        <v>20.14</v>
      </c>
      <c r="O33" s="6" t="s">
        <v>42</v>
      </c>
      <c r="P33" s="6" t="b">
        <v>0</v>
      </c>
      <c r="Q33" s="9" t="s">
        <v>36</v>
      </c>
    </row>
    <row r="34" spans="1:17" x14ac:dyDescent="0.25">
      <c r="A34" s="5" t="s">
        <v>84</v>
      </c>
      <c r="B34" s="6" t="s">
        <v>38</v>
      </c>
      <c r="C34" s="6" t="s">
        <v>19</v>
      </c>
      <c r="D34" s="6" t="s">
        <v>20</v>
      </c>
      <c r="E34" s="6" t="s">
        <v>28</v>
      </c>
      <c r="F34" s="6" t="s">
        <v>48</v>
      </c>
      <c r="G34" s="6">
        <v>74</v>
      </c>
      <c r="H34" s="7">
        <v>221.63</v>
      </c>
      <c r="I34" s="7">
        <v>16400.62</v>
      </c>
      <c r="J34" s="8">
        <v>45100</v>
      </c>
      <c r="K34" s="6">
        <v>69</v>
      </c>
      <c r="L34" s="6" t="s">
        <v>23</v>
      </c>
      <c r="M34" s="6" t="b">
        <v>1</v>
      </c>
      <c r="N34" s="6">
        <v>25.27</v>
      </c>
      <c r="O34" s="6" t="s">
        <v>24</v>
      </c>
      <c r="P34" s="6" t="b">
        <v>0</v>
      </c>
      <c r="Q34" s="9" t="s">
        <v>36</v>
      </c>
    </row>
    <row r="35" spans="1:17" x14ac:dyDescent="0.25">
      <c r="A35" s="5" t="s">
        <v>85</v>
      </c>
      <c r="B35" s="6" t="s">
        <v>51</v>
      </c>
      <c r="C35" s="6" t="s">
        <v>39</v>
      </c>
      <c r="D35" s="6" t="s">
        <v>20</v>
      </c>
      <c r="E35" s="6" t="s">
        <v>44</v>
      </c>
      <c r="F35" s="6" t="s">
        <v>22</v>
      </c>
      <c r="G35" s="6">
        <v>82</v>
      </c>
      <c r="H35" s="7">
        <v>986.35</v>
      </c>
      <c r="I35" s="7">
        <v>80880.7</v>
      </c>
      <c r="J35" s="8">
        <v>45544</v>
      </c>
      <c r="K35" s="6">
        <v>40</v>
      </c>
      <c r="L35" s="6" t="s">
        <v>49</v>
      </c>
      <c r="M35" s="6" t="b">
        <v>1</v>
      </c>
      <c r="N35" s="6">
        <v>7.51</v>
      </c>
      <c r="O35" s="6" t="s">
        <v>56</v>
      </c>
      <c r="P35" s="6" t="b">
        <v>0</v>
      </c>
      <c r="Q35" s="9" t="s">
        <v>36</v>
      </c>
    </row>
    <row r="36" spans="1:17" x14ac:dyDescent="0.25">
      <c r="A36" s="5" t="s">
        <v>86</v>
      </c>
      <c r="B36" s="6" t="s">
        <v>18</v>
      </c>
      <c r="C36" s="6" t="s">
        <v>19</v>
      </c>
      <c r="D36" s="6" t="s">
        <v>34</v>
      </c>
      <c r="E36" s="6" t="s">
        <v>28</v>
      </c>
      <c r="F36" s="6" t="s">
        <v>40</v>
      </c>
      <c r="G36" s="6">
        <v>22</v>
      </c>
      <c r="H36" s="7">
        <v>412.62</v>
      </c>
      <c r="I36" s="7">
        <v>9077.64</v>
      </c>
      <c r="J36" s="8">
        <v>45427</v>
      </c>
      <c r="K36" s="6">
        <v>32</v>
      </c>
      <c r="L36" s="6" t="s">
        <v>41</v>
      </c>
      <c r="M36" s="6" t="b">
        <v>1</v>
      </c>
      <c r="N36" s="6">
        <v>26.65</v>
      </c>
      <c r="O36" s="6" t="s">
        <v>56</v>
      </c>
      <c r="P36" s="6" t="b">
        <v>0</v>
      </c>
      <c r="Q36" s="9" t="s">
        <v>25</v>
      </c>
    </row>
    <row r="37" spans="1:17" x14ac:dyDescent="0.25">
      <c r="A37" s="5" t="s">
        <v>87</v>
      </c>
      <c r="B37" s="6" t="s">
        <v>38</v>
      </c>
      <c r="C37" s="6" t="s">
        <v>33</v>
      </c>
      <c r="D37" s="6" t="s">
        <v>52</v>
      </c>
      <c r="E37" s="6" t="s">
        <v>44</v>
      </c>
      <c r="F37" s="6" t="s">
        <v>40</v>
      </c>
      <c r="G37" s="6">
        <v>46</v>
      </c>
      <c r="H37" s="7">
        <v>1263</v>
      </c>
      <c r="I37" s="7">
        <v>58098</v>
      </c>
      <c r="J37" s="8">
        <v>45501</v>
      </c>
      <c r="K37" s="6">
        <v>43</v>
      </c>
      <c r="L37" s="6" t="s">
        <v>41</v>
      </c>
      <c r="M37" s="6" t="b">
        <v>1</v>
      </c>
      <c r="N37" s="6">
        <v>22.67</v>
      </c>
      <c r="O37" s="6" t="s">
        <v>30</v>
      </c>
      <c r="P37" s="6" t="b">
        <v>1</v>
      </c>
      <c r="Q37" s="9" t="s">
        <v>25</v>
      </c>
    </row>
    <row r="38" spans="1:17" x14ac:dyDescent="0.25">
      <c r="A38" s="5" t="s">
        <v>88</v>
      </c>
      <c r="B38" s="6" t="s">
        <v>76</v>
      </c>
      <c r="C38" s="6" t="s">
        <v>19</v>
      </c>
      <c r="D38" s="6" t="s">
        <v>20</v>
      </c>
      <c r="E38" s="6" t="s">
        <v>35</v>
      </c>
      <c r="F38" s="6" t="s">
        <v>40</v>
      </c>
      <c r="G38" s="6">
        <v>91</v>
      </c>
      <c r="H38" s="7">
        <v>792.84</v>
      </c>
      <c r="I38" s="7">
        <v>72148.44</v>
      </c>
      <c r="J38" s="8">
        <v>45002</v>
      </c>
      <c r="K38" s="6">
        <v>20</v>
      </c>
      <c r="L38" s="6" t="s">
        <v>23</v>
      </c>
      <c r="M38" s="6" t="b">
        <v>0</v>
      </c>
      <c r="N38" s="6">
        <v>21.87</v>
      </c>
      <c r="O38" s="6" t="s">
        <v>30</v>
      </c>
      <c r="P38" s="6" t="b">
        <v>1</v>
      </c>
      <c r="Q38" s="9" t="s">
        <v>25</v>
      </c>
    </row>
    <row r="39" spans="1:17" x14ac:dyDescent="0.25">
      <c r="A39" s="5" t="s">
        <v>89</v>
      </c>
      <c r="B39" s="6" t="s">
        <v>18</v>
      </c>
      <c r="C39" s="6" t="s">
        <v>39</v>
      </c>
      <c r="D39" s="6" t="s">
        <v>20</v>
      </c>
      <c r="E39" s="6" t="s">
        <v>35</v>
      </c>
      <c r="F39" s="6" t="s">
        <v>48</v>
      </c>
      <c r="G39" s="6">
        <v>13</v>
      </c>
      <c r="H39" s="7">
        <v>246.1</v>
      </c>
      <c r="I39" s="7">
        <v>3199.3</v>
      </c>
      <c r="J39" s="8">
        <v>45242</v>
      </c>
      <c r="K39" s="6">
        <v>40</v>
      </c>
      <c r="L39" s="6" t="s">
        <v>49</v>
      </c>
      <c r="M39" s="6" t="b">
        <v>1</v>
      </c>
      <c r="N39" s="6">
        <v>10.4</v>
      </c>
      <c r="O39" s="6" t="s">
        <v>42</v>
      </c>
      <c r="P39" s="6" t="b">
        <v>1</v>
      </c>
      <c r="Q39" s="9" t="s">
        <v>25</v>
      </c>
    </row>
    <row r="40" spans="1:17" x14ac:dyDescent="0.25">
      <c r="A40" s="5" t="s">
        <v>90</v>
      </c>
      <c r="B40" s="6" t="s">
        <v>66</v>
      </c>
      <c r="C40" s="6" t="s">
        <v>19</v>
      </c>
      <c r="D40" s="6" t="s">
        <v>47</v>
      </c>
      <c r="E40" s="6" t="s">
        <v>28</v>
      </c>
      <c r="F40" s="6" t="s">
        <v>48</v>
      </c>
      <c r="G40" s="6">
        <v>33</v>
      </c>
      <c r="H40" s="7">
        <v>877.94</v>
      </c>
      <c r="I40" s="7">
        <v>28972.02</v>
      </c>
      <c r="J40" s="8">
        <v>45299</v>
      </c>
      <c r="K40" s="6">
        <v>37</v>
      </c>
      <c r="L40" s="6" t="s">
        <v>49</v>
      </c>
      <c r="M40" s="6" t="b">
        <v>0</v>
      </c>
      <c r="N40" s="6">
        <v>26.63</v>
      </c>
      <c r="O40" s="6" t="s">
        <v>24</v>
      </c>
      <c r="P40" s="6" t="b">
        <v>1</v>
      </c>
      <c r="Q40" s="9" t="s">
        <v>36</v>
      </c>
    </row>
    <row r="41" spans="1:17" x14ac:dyDescent="0.25">
      <c r="A41" s="5" t="s">
        <v>91</v>
      </c>
      <c r="B41" s="6" t="s">
        <v>27</v>
      </c>
      <c r="C41" s="6" t="s">
        <v>19</v>
      </c>
      <c r="D41" s="6" t="s">
        <v>64</v>
      </c>
      <c r="E41" s="6" t="s">
        <v>44</v>
      </c>
      <c r="F41" s="6" t="s">
        <v>48</v>
      </c>
      <c r="G41" s="6">
        <v>5</v>
      </c>
      <c r="H41" s="7">
        <v>641.42999999999995</v>
      </c>
      <c r="I41" s="7">
        <v>3207.15</v>
      </c>
      <c r="J41" s="8">
        <v>45007</v>
      </c>
      <c r="K41" s="6">
        <v>62</v>
      </c>
      <c r="L41" s="6" t="s">
        <v>23</v>
      </c>
      <c r="M41" s="6" t="b">
        <v>1</v>
      </c>
      <c r="N41" s="6">
        <v>19.14</v>
      </c>
      <c r="O41" s="6" t="s">
        <v>56</v>
      </c>
      <c r="P41" s="6" t="b">
        <v>1</v>
      </c>
      <c r="Q41" s="9" t="s">
        <v>36</v>
      </c>
    </row>
    <row r="42" spans="1:17" x14ac:dyDescent="0.25">
      <c r="A42" s="5" t="s">
        <v>92</v>
      </c>
      <c r="B42" s="6" t="s">
        <v>76</v>
      </c>
      <c r="C42" s="6" t="s">
        <v>19</v>
      </c>
      <c r="D42" s="6" t="s">
        <v>34</v>
      </c>
      <c r="E42" s="6" t="s">
        <v>28</v>
      </c>
      <c r="F42" s="6" t="s">
        <v>22</v>
      </c>
      <c r="G42" s="6">
        <v>90</v>
      </c>
      <c r="H42" s="7">
        <v>1009.1</v>
      </c>
      <c r="I42" s="7">
        <v>90819</v>
      </c>
      <c r="J42" s="8">
        <v>45566</v>
      </c>
      <c r="K42" s="6">
        <v>57</v>
      </c>
      <c r="L42" s="6" t="s">
        <v>49</v>
      </c>
      <c r="M42" s="6" t="b">
        <v>1</v>
      </c>
      <c r="N42" s="6">
        <v>25.56</v>
      </c>
      <c r="O42" s="6" t="s">
        <v>30</v>
      </c>
      <c r="P42" s="6" t="b">
        <v>0</v>
      </c>
      <c r="Q42" s="9" t="s">
        <v>36</v>
      </c>
    </row>
    <row r="43" spans="1:17" x14ac:dyDescent="0.25">
      <c r="A43" s="5" t="s">
        <v>93</v>
      </c>
      <c r="B43" s="6" t="s">
        <v>66</v>
      </c>
      <c r="C43" s="6" t="s">
        <v>39</v>
      </c>
      <c r="D43" s="6" t="s">
        <v>34</v>
      </c>
      <c r="E43" s="6" t="s">
        <v>28</v>
      </c>
      <c r="F43" s="6" t="s">
        <v>29</v>
      </c>
      <c r="G43" s="6">
        <v>77</v>
      </c>
      <c r="H43" s="7">
        <v>1328.76</v>
      </c>
      <c r="I43" s="7">
        <v>102314.52</v>
      </c>
      <c r="J43" s="8">
        <v>44997</v>
      </c>
      <c r="K43" s="6">
        <v>56</v>
      </c>
      <c r="L43" s="6" t="s">
        <v>49</v>
      </c>
      <c r="M43" s="6" t="b">
        <v>1</v>
      </c>
      <c r="N43" s="6">
        <v>10.83</v>
      </c>
      <c r="O43" s="6" t="s">
        <v>30</v>
      </c>
      <c r="P43" s="6" t="b">
        <v>0</v>
      </c>
      <c r="Q43" s="9" t="s">
        <v>25</v>
      </c>
    </row>
    <row r="44" spans="1:17" x14ac:dyDescent="0.25">
      <c r="A44" s="5" t="s">
        <v>94</v>
      </c>
      <c r="B44" s="6" t="s">
        <v>46</v>
      </c>
      <c r="C44" s="6" t="s">
        <v>19</v>
      </c>
      <c r="D44" s="6" t="s">
        <v>64</v>
      </c>
      <c r="E44" s="6" t="s">
        <v>44</v>
      </c>
      <c r="F44" s="6" t="s">
        <v>22</v>
      </c>
      <c r="G44" s="6">
        <v>27</v>
      </c>
      <c r="H44" s="7">
        <v>643.61</v>
      </c>
      <c r="I44" s="7">
        <v>17377.47</v>
      </c>
      <c r="J44" s="8">
        <v>45592</v>
      </c>
      <c r="K44" s="6">
        <v>25</v>
      </c>
      <c r="L44" s="6" t="s">
        <v>49</v>
      </c>
      <c r="M44" s="6" t="b">
        <v>1</v>
      </c>
      <c r="N44" s="6">
        <v>4.37</v>
      </c>
      <c r="O44" s="6" t="s">
        <v>24</v>
      </c>
      <c r="P44" s="6" t="b">
        <v>1</v>
      </c>
      <c r="Q44" s="9" t="s">
        <v>25</v>
      </c>
    </row>
    <row r="45" spans="1:17" x14ac:dyDescent="0.25">
      <c r="A45" s="5" t="s">
        <v>95</v>
      </c>
      <c r="B45" s="6" t="s">
        <v>76</v>
      </c>
      <c r="C45" s="6" t="s">
        <v>19</v>
      </c>
      <c r="D45" s="6" t="s">
        <v>20</v>
      </c>
      <c r="E45" s="6" t="s">
        <v>28</v>
      </c>
      <c r="F45" s="6" t="s">
        <v>48</v>
      </c>
      <c r="G45" s="6">
        <v>78</v>
      </c>
      <c r="H45" s="7">
        <v>470.33</v>
      </c>
      <c r="I45" s="7">
        <v>36685.74</v>
      </c>
      <c r="J45" s="8">
        <v>45578</v>
      </c>
      <c r="K45" s="6">
        <v>35</v>
      </c>
      <c r="L45" s="6" t="s">
        <v>41</v>
      </c>
      <c r="M45" s="6" t="b">
        <v>1</v>
      </c>
      <c r="N45" s="6">
        <v>9.9700000000000006</v>
      </c>
      <c r="O45" s="6" t="s">
        <v>24</v>
      </c>
      <c r="P45" s="6" t="b">
        <v>0</v>
      </c>
      <c r="Q45" s="9" t="s">
        <v>25</v>
      </c>
    </row>
    <row r="46" spans="1:17" x14ac:dyDescent="0.25">
      <c r="A46" s="5" t="s">
        <v>96</v>
      </c>
      <c r="B46" s="6" t="s">
        <v>46</v>
      </c>
      <c r="C46" s="6" t="s">
        <v>33</v>
      </c>
      <c r="D46" s="6" t="s">
        <v>47</v>
      </c>
      <c r="E46" s="6" t="s">
        <v>35</v>
      </c>
      <c r="F46" s="6" t="s">
        <v>29</v>
      </c>
      <c r="G46" s="6">
        <v>24</v>
      </c>
      <c r="H46" s="7">
        <v>71.05</v>
      </c>
      <c r="I46" s="7">
        <v>1705.2</v>
      </c>
      <c r="J46" s="8">
        <v>44997</v>
      </c>
      <c r="K46" s="6">
        <v>58</v>
      </c>
      <c r="L46" s="6" t="s">
        <v>41</v>
      </c>
      <c r="M46" s="6" t="b">
        <v>1</v>
      </c>
      <c r="N46" s="6">
        <v>13.66</v>
      </c>
      <c r="O46" s="6" t="s">
        <v>30</v>
      </c>
      <c r="P46" s="6" t="b">
        <v>1</v>
      </c>
      <c r="Q46" s="9" t="s">
        <v>25</v>
      </c>
    </row>
    <row r="47" spans="1:17" x14ac:dyDescent="0.25">
      <c r="A47" s="5" t="s">
        <v>97</v>
      </c>
      <c r="B47" s="6" t="s">
        <v>38</v>
      </c>
      <c r="C47" s="6" t="s">
        <v>39</v>
      </c>
      <c r="D47" s="6" t="s">
        <v>47</v>
      </c>
      <c r="E47" s="6" t="s">
        <v>21</v>
      </c>
      <c r="F47" s="6" t="s">
        <v>29</v>
      </c>
      <c r="G47" s="6">
        <v>67</v>
      </c>
      <c r="H47" s="7">
        <v>883.52</v>
      </c>
      <c r="I47" s="7">
        <v>59195.839999999997</v>
      </c>
      <c r="J47" s="8">
        <v>44972</v>
      </c>
      <c r="K47" s="6">
        <v>23</v>
      </c>
      <c r="L47" s="6" t="s">
        <v>41</v>
      </c>
      <c r="M47" s="6" t="b">
        <v>0</v>
      </c>
      <c r="N47" s="6">
        <v>16</v>
      </c>
      <c r="O47" s="6" t="s">
        <v>30</v>
      </c>
      <c r="P47" s="6" t="b">
        <v>1</v>
      </c>
      <c r="Q47" s="9" t="s">
        <v>36</v>
      </c>
    </row>
    <row r="48" spans="1:17" x14ac:dyDescent="0.25">
      <c r="A48" s="5" t="s">
        <v>98</v>
      </c>
      <c r="B48" s="6" t="s">
        <v>66</v>
      </c>
      <c r="C48" s="6" t="s">
        <v>19</v>
      </c>
      <c r="D48" s="6" t="s">
        <v>34</v>
      </c>
      <c r="E48" s="6" t="s">
        <v>21</v>
      </c>
      <c r="F48" s="6" t="s">
        <v>48</v>
      </c>
      <c r="G48" s="6">
        <v>63</v>
      </c>
      <c r="H48" s="7">
        <v>633.29999999999995</v>
      </c>
      <c r="I48" s="7">
        <v>39897.9</v>
      </c>
      <c r="J48" s="8">
        <v>44973</v>
      </c>
      <c r="K48" s="6">
        <v>44</v>
      </c>
      <c r="L48" s="6" t="s">
        <v>49</v>
      </c>
      <c r="M48" s="6" t="b">
        <v>0</v>
      </c>
      <c r="N48" s="6">
        <v>15.32</v>
      </c>
      <c r="O48" s="6" t="s">
        <v>42</v>
      </c>
      <c r="P48" s="6" t="b">
        <v>0</v>
      </c>
      <c r="Q48" s="9" t="s">
        <v>36</v>
      </c>
    </row>
    <row r="49" spans="1:17" x14ac:dyDescent="0.25">
      <c r="A49" s="5" t="s">
        <v>99</v>
      </c>
      <c r="B49" s="6" t="s">
        <v>27</v>
      </c>
      <c r="C49" s="6" t="s">
        <v>39</v>
      </c>
      <c r="D49" s="6" t="s">
        <v>47</v>
      </c>
      <c r="E49" s="6" t="s">
        <v>28</v>
      </c>
      <c r="F49" s="6" t="s">
        <v>48</v>
      </c>
      <c r="G49" s="6">
        <v>94</v>
      </c>
      <c r="H49" s="7">
        <v>593.24</v>
      </c>
      <c r="I49" s="7">
        <v>55764.56</v>
      </c>
      <c r="J49" s="8">
        <v>45517</v>
      </c>
      <c r="K49" s="6">
        <v>53</v>
      </c>
      <c r="L49" s="6" t="s">
        <v>41</v>
      </c>
      <c r="M49" s="6" t="b">
        <v>1</v>
      </c>
      <c r="N49" s="6">
        <v>16.38</v>
      </c>
      <c r="O49" s="6" t="s">
        <v>24</v>
      </c>
      <c r="P49" s="6" t="b">
        <v>1</v>
      </c>
      <c r="Q49" s="9" t="s">
        <v>36</v>
      </c>
    </row>
    <row r="50" spans="1:17" x14ac:dyDescent="0.25">
      <c r="A50" s="5" t="s">
        <v>100</v>
      </c>
      <c r="B50" s="6" t="s">
        <v>18</v>
      </c>
      <c r="C50" s="6" t="s">
        <v>19</v>
      </c>
      <c r="D50" s="6" t="s">
        <v>64</v>
      </c>
      <c r="E50" s="6" t="s">
        <v>44</v>
      </c>
      <c r="F50" s="6" t="s">
        <v>22</v>
      </c>
      <c r="G50" s="6">
        <v>99</v>
      </c>
      <c r="H50" s="7">
        <v>315.26</v>
      </c>
      <c r="I50" s="7">
        <v>31210.74</v>
      </c>
      <c r="J50" s="8">
        <v>45348</v>
      </c>
      <c r="K50" s="6">
        <v>32</v>
      </c>
      <c r="L50" s="6" t="s">
        <v>49</v>
      </c>
      <c r="M50" s="6" t="b">
        <v>1</v>
      </c>
      <c r="N50" s="6">
        <v>25.25</v>
      </c>
      <c r="O50" s="6" t="s">
        <v>56</v>
      </c>
      <c r="P50" s="6" t="b">
        <v>1</v>
      </c>
      <c r="Q50" s="9" t="s">
        <v>25</v>
      </c>
    </row>
    <row r="51" spans="1:17" x14ac:dyDescent="0.25">
      <c r="A51" s="5" t="s">
        <v>101</v>
      </c>
      <c r="B51" s="6" t="s">
        <v>32</v>
      </c>
      <c r="C51" s="6" t="s">
        <v>19</v>
      </c>
      <c r="D51" s="6" t="s">
        <v>20</v>
      </c>
      <c r="E51" s="6" t="s">
        <v>44</v>
      </c>
      <c r="F51" s="6" t="s">
        <v>48</v>
      </c>
      <c r="G51" s="6">
        <v>48</v>
      </c>
      <c r="H51" s="7">
        <v>673.58</v>
      </c>
      <c r="I51" s="7">
        <v>32331.84</v>
      </c>
      <c r="J51" s="8">
        <v>45075</v>
      </c>
      <c r="K51" s="6">
        <v>54</v>
      </c>
      <c r="L51" s="6" t="s">
        <v>49</v>
      </c>
      <c r="M51" s="6" t="b">
        <v>1</v>
      </c>
      <c r="N51" s="6">
        <v>5.0999999999999996</v>
      </c>
      <c r="O51" s="6" t="s">
        <v>30</v>
      </c>
      <c r="P51" s="6" t="b">
        <v>1</v>
      </c>
      <c r="Q51" s="9" t="s">
        <v>36</v>
      </c>
    </row>
    <row r="52" spans="1:17" x14ac:dyDescent="0.25">
      <c r="A52" s="5" t="s">
        <v>102</v>
      </c>
      <c r="B52" s="6" t="s">
        <v>51</v>
      </c>
      <c r="C52" s="6" t="s">
        <v>19</v>
      </c>
      <c r="D52" s="6" t="s">
        <v>64</v>
      </c>
      <c r="E52" s="6" t="s">
        <v>35</v>
      </c>
      <c r="F52" s="6" t="s">
        <v>29</v>
      </c>
      <c r="G52" s="6">
        <v>63</v>
      </c>
      <c r="H52" s="7">
        <v>1477.44</v>
      </c>
      <c r="I52" s="7">
        <v>93078.720000000001</v>
      </c>
      <c r="J52" s="8">
        <v>45056</v>
      </c>
      <c r="K52" s="6">
        <v>22</v>
      </c>
      <c r="L52" s="6" t="s">
        <v>23</v>
      </c>
      <c r="M52" s="6" t="b">
        <v>0</v>
      </c>
      <c r="N52" s="6">
        <v>9.48</v>
      </c>
      <c r="O52" s="6" t="s">
        <v>30</v>
      </c>
      <c r="P52" s="6" t="b">
        <v>0</v>
      </c>
      <c r="Q52" s="9" t="s">
        <v>25</v>
      </c>
    </row>
    <row r="53" spans="1:17" x14ac:dyDescent="0.25">
      <c r="A53" s="5" t="s">
        <v>103</v>
      </c>
      <c r="B53" s="6" t="s">
        <v>72</v>
      </c>
      <c r="C53" s="6" t="s">
        <v>33</v>
      </c>
      <c r="D53" s="6" t="s">
        <v>52</v>
      </c>
      <c r="E53" s="6" t="s">
        <v>44</v>
      </c>
      <c r="F53" s="6" t="s">
        <v>40</v>
      </c>
      <c r="G53" s="6">
        <v>78</v>
      </c>
      <c r="H53" s="7">
        <v>481.74</v>
      </c>
      <c r="I53" s="7">
        <v>37575.72</v>
      </c>
      <c r="J53" s="8">
        <v>45382</v>
      </c>
      <c r="K53" s="6">
        <v>56</v>
      </c>
      <c r="L53" s="6" t="s">
        <v>49</v>
      </c>
      <c r="M53" s="6" t="b">
        <v>1</v>
      </c>
      <c r="N53" s="6">
        <v>26.66</v>
      </c>
      <c r="O53" s="6" t="s">
        <v>30</v>
      </c>
      <c r="P53" s="6" t="b">
        <v>0</v>
      </c>
      <c r="Q53" s="9" t="s">
        <v>36</v>
      </c>
    </row>
    <row r="54" spans="1:17" x14ac:dyDescent="0.25">
      <c r="A54" s="5" t="s">
        <v>104</v>
      </c>
      <c r="B54" s="6" t="s">
        <v>27</v>
      </c>
      <c r="C54" s="6" t="s">
        <v>33</v>
      </c>
      <c r="D54" s="6" t="s">
        <v>34</v>
      </c>
      <c r="E54" s="6" t="s">
        <v>44</v>
      </c>
      <c r="F54" s="6" t="s">
        <v>48</v>
      </c>
      <c r="G54" s="6">
        <v>12</v>
      </c>
      <c r="H54" s="7">
        <v>919.57</v>
      </c>
      <c r="I54" s="7">
        <v>11034.84</v>
      </c>
      <c r="J54" s="8">
        <v>45565</v>
      </c>
      <c r="K54" s="6">
        <v>26</v>
      </c>
      <c r="L54" s="6" t="s">
        <v>41</v>
      </c>
      <c r="M54" s="6" t="b">
        <v>0</v>
      </c>
      <c r="N54" s="6">
        <v>16.809999999999999</v>
      </c>
      <c r="O54" s="6" t="s">
        <v>30</v>
      </c>
      <c r="P54" s="6" t="b">
        <v>1</v>
      </c>
      <c r="Q54" s="9" t="s">
        <v>36</v>
      </c>
    </row>
    <row r="55" spans="1:17" x14ac:dyDescent="0.25">
      <c r="A55" s="5" t="s">
        <v>105</v>
      </c>
      <c r="B55" s="6" t="s">
        <v>66</v>
      </c>
      <c r="C55" s="6" t="s">
        <v>33</v>
      </c>
      <c r="D55" s="6" t="s">
        <v>47</v>
      </c>
      <c r="E55" s="6" t="s">
        <v>35</v>
      </c>
      <c r="F55" s="6" t="s">
        <v>48</v>
      </c>
      <c r="G55" s="6">
        <v>28</v>
      </c>
      <c r="H55" s="7">
        <v>1175.9100000000001</v>
      </c>
      <c r="I55" s="7">
        <v>32925.480000000003</v>
      </c>
      <c r="J55" s="8">
        <v>45557</v>
      </c>
      <c r="K55" s="6">
        <v>24</v>
      </c>
      <c r="L55" s="6" t="s">
        <v>41</v>
      </c>
      <c r="M55" s="6" t="b">
        <v>0</v>
      </c>
      <c r="N55" s="6">
        <v>17.5</v>
      </c>
      <c r="O55" s="6" t="s">
        <v>42</v>
      </c>
      <c r="P55" s="6" t="b">
        <v>1</v>
      </c>
      <c r="Q55" s="9" t="s">
        <v>25</v>
      </c>
    </row>
    <row r="56" spans="1:17" x14ac:dyDescent="0.25">
      <c r="A56" s="5" t="s">
        <v>106</v>
      </c>
      <c r="B56" s="6" t="s">
        <v>32</v>
      </c>
      <c r="C56" s="6" t="s">
        <v>39</v>
      </c>
      <c r="D56" s="6" t="s">
        <v>52</v>
      </c>
      <c r="E56" s="6" t="s">
        <v>28</v>
      </c>
      <c r="F56" s="6" t="s">
        <v>22</v>
      </c>
      <c r="G56" s="6">
        <v>44</v>
      </c>
      <c r="H56" s="7">
        <v>1136.28</v>
      </c>
      <c r="I56" s="7">
        <v>49996.32</v>
      </c>
      <c r="J56" s="8">
        <v>45431</v>
      </c>
      <c r="K56" s="6">
        <v>58</v>
      </c>
      <c r="L56" s="6" t="s">
        <v>49</v>
      </c>
      <c r="M56" s="6" t="b">
        <v>0</v>
      </c>
      <c r="N56" s="6">
        <v>14.34</v>
      </c>
      <c r="O56" s="6" t="s">
        <v>24</v>
      </c>
      <c r="P56" s="6" t="b">
        <v>0</v>
      </c>
      <c r="Q56" s="9" t="s">
        <v>25</v>
      </c>
    </row>
    <row r="57" spans="1:17" x14ac:dyDescent="0.25">
      <c r="A57" s="5" t="s">
        <v>107</v>
      </c>
      <c r="B57" s="6" t="s">
        <v>27</v>
      </c>
      <c r="C57" s="6" t="s">
        <v>39</v>
      </c>
      <c r="D57" s="6" t="s">
        <v>47</v>
      </c>
      <c r="E57" s="6" t="s">
        <v>21</v>
      </c>
      <c r="F57" s="6" t="s">
        <v>22</v>
      </c>
      <c r="G57" s="6">
        <v>93</v>
      </c>
      <c r="H57" s="7">
        <v>526.72</v>
      </c>
      <c r="I57" s="7">
        <v>48984.959999999999</v>
      </c>
      <c r="J57" s="8">
        <v>45170</v>
      </c>
      <c r="K57" s="6">
        <v>37</v>
      </c>
      <c r="L57" s="6" t="s">
        <v>41</v>
      </c>
      <c r="M57" s="6" t="b">
        <v>0</v>
      </c>
      <c r="N57" s="6">
        <v>16.47</v>
      </c>
      <c r="O57" s="6" t="s">
        <v>30</v>
      </c>
      <c r="P57" s="6" t="b">
        <v>0</v>
      </c>
      <c r="Q57" s="9" t="s">
        <v>25</v>
      </c>
    </row>
    <row r="58" spans="1:17" x14ac:dyDescent="0.25">
      <c r="A58" s="5" t="s">
        <v>108</v>
      </c>
      <c r="B58" s="6" t="s">
        <v>66</v>
      </c>
      <c r="C58" s="6" t="s">
        <v>33</v>
      </c>
      <c r="D58" s="6" t="s">
        <v>20</v>
      </c>
      <c r="E58" s="6" t="s">
        <v>35</v>
      </c>
      <c r="F58" s="6" t="s">
        <v>48</v>
      </c>
      <c r="G58" s="6">
        <v>43</v>
      </c>
      <c r="H58" s="7">
        <v>935.75</v>
      </c>
      <c r="I58" s="7">
        <v>40237.25</v>
      </c>
      <c r="J58" s="8">
        <v>45400</v>
      </c>
      <c r="K58" s="6">
        <v>27</v>
      </c>
      <c r="L58" s="6" t="s">
        <v>49</v>
      </c>
      <c r="M58" s="6" t="b">
        <v>0</v>
      </c>
      <c r="N58" s="6">
        <v>5.94</v>
      </c>
      <c r="O58" s="6" t="s">
        <v>24</v>
      </c>
      <c r="P58" s="6" t="b">
        <v>0</v>
      </c>
      <c r="Q58" s="9" t="s">
        <v>36</v>
      </c>
    </row>
    <row r="59" spans="1:17" x14ac:dyDescent="0.25">
      <c r="A59" s="5" t="s">
        <v>109</v>
      </c>
      <c r="B59" s="6" t="s">
        <v>62</v>
      </c>
      <c r="C59" s="6" t="s">
        <v>39</v>
      </c>
      <c r="D59" s="6" t="s">
        <v>20</v>
      </c>
      <c r="E59" s="6" t="s">
        <v>28</v>
      </c>
      <c r="F59" s="6" t="s">
        <v>29</v>
      </c>
      <c r="G59" s="6">
        <v>17</v>
      </c>
      <c r="H59" s="7">
        <v>1313.33</v>
      </c>
      <c r="I59" s="7">
        <v>22326.61</v>
      </c>
      <c r="J59" s="8">
        <v>45308</v>
      </c>
      <c r="K59" s="6">
        <v>43</v>
      </c>
      <c r="L59" s="6" t="s">
        <v>23</v>
      </c>
      <c r="M59" s="6" t="b">
        <v>1</v>
      </c>
      <c r="N59" s="6">
        <v>16.41</v>
      </c>
      <c r="O59" s="6" t="s">
        <v>56</v>
      </c>
      <c r="P59" s="6" t="b">
        <v>0</v>
      </c>
      <c r="Q59" s="9" t="s">
        <v>36</v>
      </c>
    </row>
    <row r="60" spans="1:17" x14ac:dyDescent="0.25">
      <c r="A60" s="5" t="s">
        <v>110</v>
      </c>
      <c r="B60" s="6" t="s">
        <v>62</v>
      </c>
      <c r="C60" s="6" t="s">
        <v>19</v>
      </c>
      <c r="D60" s="6" t="s">
        <v>20</v>
      </c>
      <c r="E60" s="6" t="s">
        <v>35</v>
      </c>
      <c r="F60" s="6" t="s">
        <v>29</v>
      </c>
      <c r="G60" s="6">
        <v>40</v>
      </c>
      <c r="H60" s="7">
        <v>72.400000000000006</v>
      </c>
      <c r="I60" s="7">
        <v>2896</v>
      </c>
      <c r="J60" s="8">
        <v>45029</v>
      </c>
      <c r="K60" s="6">
        <v>21</v>
      </c>
      <c r="L60" s="6" t="s">
        <v>49</v>
      </c>
      <c r="M60" s="6" t="b">
        <v>0</v>
      </c>
      <c r="N60" s="6">
        <v>29.92</v>
      </c>
      <c r="O60" s="6" t="s">
        <v>56</v>
      </c>
      <c r="P60" s="6" t="b">
        <v>1</v>
      </c>
      <c r="Q60" s="9" t="s">
        <v>36</v>
      </c>
    </row>
    <row r="61" spans="1:17" x14ac:dyDescent="0.25">
      <c r="A61" s="5" t="s">
        <v>111</v>
      </c>
      <c r="B61" s="6" t="s">
        <v>46</v>
      </c>
      <c r="C61" s="6" t="s">
        <v>19</v>
      </c>
      <c r="D61" s="6" t="s">
        <v>47</v>
      </c>
      <c r="E61" s="6" t="s">
        <v>28</v>
      </c>
      <c r="F61" s="6" t="s">
        <v>40</v>
      </c>
      <c r="G61" s="6">
        <v>49</v>
      </c>
      <c r="H61" s="7">
        <v>681.81</v>
      </c>
      <c r="I61" s="7">
        <v>33408.69</v>
      </c>
      <c r="J61" s="8">
        <v>45415</v>
      </c>
      <c r="K61" s="6">
        <v>55</v>
      </c>
      <c r="L61" s="6" t="s">
        <v>49</v>
      </c>
      <c r="M61" s="6" t="b">
        <v>0</v>
      </c>
      <c r="N61" s="6">
        <v>16.98</v>
      </c>
      <c r="O61" s="6" t="s">
        <v>56</v>
      </c>
      <c r="P61" s="6" t="b">
        <v>1</v>
      </c>
      <c r="Q61" s="9" t="s">
        <v>36</v>
      </c>
    </row>
    <row r="62" spans="1:17" x14ac:dyDescent="0.25">
      <c r="A62" s="5" t="s">
        <v>112</v>
      </c>
      <c r="B62" s="6" t="s">
        <v>27</v>
      </c>
      <c r="C62" s="6" t="s">
        <v>19</v>
      </c>
      <c r="D62" s="6" t="s">
        <v>52</v>
      </c>
      <c r="E62" s="6" t="s">
        <v>35</v>
      </c>
      <c r="F62" s="6" t="s">
        <v>48</v>
      </c>
      <c r="G62" s="6">
        <v>85</v>
      </c>
      <c r="H62" s="7">
        <v>375.2</v>
      </c>
      <c r="I62" s="7">
        <v>31892</v>
      </c>
      <c r="J62" s="8">
        <v>44963</v>
      </c>
      <c r="K62" s="6">
        <v>41</v>
      </c>
      <c r="L62" s="6" t="s">
        <v>23</v>
      </c>
      <c r="M62" s="6" t="b">
        <v>1</v>
      </c>
      <c r="N62" s="6">
        <v>1.33</v>
      </c>
      <c r="O62" s="6" t="s">
        <v>56</v>
      </c>
      <c r="P62" s="6" t="b">
        <v>1</v>
      </c>
      <c r="Q62" s="9" t="s">
        <v>25</v>
      </c>
    </row>
    <row r="63" spans="1:17" x14ac:dyDescent="0.25">
      <c r="A63" s="5" t="s">
        <v>113</v>
      </c>
      <c r="B63" s="6" t="s">
        <v>62</v>
      </c>
      <c r="C63" s="6" t="s">
        <v>33</v>
      </c>
      <c r="D63" s="6" t="s">
        <v>20</v>
      </c>
      <c r="E63" s="6" t="s">
        <v>28</v>
      </c>
      <c r="F63" s="6" t="s">
        <v>22</v>
      </c>
      <c r="G63" s="6">
        <v>57</v>
      </c>
      <c r="H63" s="7">
        <v>613.52</v>
      </c>
      <c r="I63" s="7">
        <v>34970.639999999999</v>
      </c>
      <c r="J63" s="8">
        <v>45580</v>
      </c>
      <c r="K63" s="6">
        <v>31</v>
      </c>
      <c r="L63" s="6" t="s">
        <v>41</v>
      </c>
      <c r="M63" s="6" t="b">
        <v>1</v>
      </c>
      <c r="N63" s="6">
        <v>23.89</v>
      </c>
      <c r="O63" s="6" t="s">
        <v>24</v>
      </c>
      <c r="P63" s="6" t="b">
        <v>0</v>
      </c>
      <c r="Q63" s="9" t="s">
        <v>36</v>
      </c>
    </row>
    <row r="64" spans="1:17" x14ac:dyDescent="0.25">
      <c r="A64" s="5" t="s">
        <v>114</v>
      </c>
      <c r="B64" s="6" t="s">
        <v>66</v>
      </c>
      <c r="C64" s="6" t="s">
        <v>39</v>
      </c>
      <c r="D64" s="6" t="s">
        <v>52</v>
      </c>
      <c r="E64" s="6" t="s">
        <v>35</v>
      </c>
      <c r="F64" s="6" t="s">
        <v>29</v>
      </c>
      <c r="G64" s="6">
        <v>87</v>
      </c>
      <c r="H64" s="7">
        <v>653.17999999999995</v>
      </c>
      <c r="I64" s="7">
        <v>56826.66</v>
      </c>
      <c r="J64" s="8">
        <v>45475</v>
      </c>
      <c r="K64" s="6">
        <v>58</v>
      </c>
      <c r="L64" s="6" t="s">
        <v>23</v>
      </c>
      <c r="M64" s="6" t="b">
        <v>0</v>
      </c>
      <c r="N64" s="6">
        <v>11.89</v>
      </c>
      <c r="O64" s="6" t="s">
        <v>56</v>
      </c>
      <c r="P64" s="6" t="b">
        <v>0</v>
      </c>
      <c r="Q64" s="9" t="s">
        <v>25</v>
      </c>
    </row>
    <row r="65" spans="1:17" x14ac:dyDescent="0.25">
      <c r="A65" s="5" t="s">
        <v>115</v>
      </c>
      <c r="B65" s="6" t="s">
        <v>46</v>
      </c>
      <c r="C65" s="6" t="s">
        <v>33</v>
      </c>
      <c r="D65" s="6" t="s">
        <v>47</v>
      </c>
      <c r="E65" s="6" t="s">
        <v>28</v>
      </c>
      <c r="F65" s="6" t="s">
        <v>40</v>
      </c>
      <c r="G65" s="6">
        <v>84</v>
      </c>
      <c r="H65" s="7">
        <v>1132.67</v>
      </c>
      <c r="I65" s="7">
        <v>95144.28</v>
      </c>
      <c r="J65" s="8">
        <v>45446</v>
      </c>
      <c r="K65" s="6">
        <v>18</v>
      </c>
      <c r="L65" s="6" t="s">
        <v>23</v>
      </c>
      <c r="M65" s="6" t="b">
        <v>1</v>
      </c>
      <c r="N65" s="6">
        <v>4.6100000000000003</v>
      </c>
      <c r="O65" s="6" t="s">
        <v>56</v>
      </c>
      <c r="P65" s="6" t="b">
        <v>1</v>
      </c>
      <c r="Q65" s="9" t="s">
        <v>36</v>
      </c>
    </row>
    <row r="66" spans="1:17" x14ac:dyDescent="0.25">
      <c r="A66" s="5" t="s">
        <v>116</v>
      </c>
      <c r="B66" s="6" t="s">
        <v>66</v>
      </c>
      <c r="C66" s="6" t="s">
        <v>39</v>
      </c>
      <c r="D66" s="6" t="s">
        <v>52</v>
      </c>
      <c r="E66" s="6" t="s">
        <v>35</v>
      </c>
      <c r="F66" s="6" t="s">
        <v>48</v>
      </c>
      <c r="G66" s="6">
        <v>64</v>
      </c>
      <c r="H66" s="7">
        <v>186.04</v>
      </c>
      <c r="I66" s="7">
        <v>11906.56</v>
      </c>
      <c r="J66" s="8">
        <v>45259</v>
      </c>
      <c r="K66" s="6">
        <v>34</v>
      </c>
      <c r="L66" s="6" t="s">
        <v>49</v>
      </c>
      <c r="M66" s="6" t="b">
        <v>1</v>
      </c>
      <c r="N66" s="6">
        <v>25.88</v>
      </c>
      <c r="O66" s="6" t="s">
        <v>30</v>
      </c>
      <c r="P66" s="6" t="b">
        <v>0</v>
      </c>
      <c r="Q66" s="9" t="s">
        <v>25</v>
      </c>
    </row>
    <row r="67" spans="1:17" x14ac:dyDescent="0.25">
      <c r="A67" s="5" t="s">
        <v>117</v>
      </c>
      <c r="B67" s="6" t="s">
        <v>46</v>
      </c>
      <c r="C67" s="6" t="s">
        <v>19</v>
      </c>
      <c r="D67" s="6" t="s">
        <v>47</v>
      </c>
      <c r="E67" s="6" t="s">
        <v>21</v>
      </c>
      <c r="F67" s="6" t="s">
        <v>29</v>
      </c>
      <c r="G67" s="6">
        <v>75</v>
      </c>
      <c r="H67" s="7">
        <v>793.25</v>
      </c>
      <c r="I67" s="7">
        <v>59493.75</v>
      </c>
      <c r="J67" s="8">
        <v>45323</v>
      </c>
      <c r="K67" s="6">
        <v>62</v>
      </c>
      <c r="L67" s="6" t="s">
        <v>49</v>
      </c>
      <c r="M67" s="6" t="b">
        <v>1</v>
      </c>
      <c r="N67" s="6">
        <v>5.94</v>
      </c>
      <c r="O67" s="6" t="s">
        <v>30</v>
      </c>
      <c r="P67" s="6" t="b">
        <v>1</v>
      </c>
      <c r="Q67" s="9" t="s">
        <v>25</v>
      </c>
    </row>
    <row r="68" spans="1:17" x14ac:dyDescent="0.25">
      <c r="A68" s="5" t="s">
        <v>118</v>
      </c>
      <c r="B68" s="6" t="s">
        <v>27</v>
      </c>
      <c r="C68" s="6" t="s">
        <v>33</v>
      </c>
      <c r="D68" s="6" t="s">
        <v>47</v>
      </c>
      <c r="E68" s="6" t="s">
        <v>21</v>
      </c>
      <c r="F68" s="6" t="s">
        <v>48</v>
      </c>
      <c r="G68" s="6">
        <v>57</v>
      </c>
      <c r="H68" s="7">
        <v>868.08</v>
      </c>
      <c r="I68" s="7">
        <v>49480.56</v>
      </c>
      <c r="J68" s="8">
        <v>45222</v>
      </c>
      <c r="K68" s="6">
        <v>41</v>
      </c>
      <c r="L68" s="6" t="s">
        <v>23</v>
      </c>
      <c r="M68" s="6" t="b">
        <v>0</v>
      </c>
      <c r="N68" s="6">
        <v>27.62</v>
      </c>
      <c r="O68" s="6" t="s">
        <v>30</v>
      </c>
      <c r="P68" s="6" t="b">
        <v>0</v>
      </c>
      <c r="Q68" s="9" t="s">
        <v>36</v>
      </c>
    </row>
    <row r="69" spans="1:17" x14ac:dyDescent="0.25">
      <c r="A69" s="5" t="s">
        <v>119</v>
      </c>
      <c r="B69" s="6" t="s">
        <v>32</v>
      </c>
      <c r="C69" s="6" t="s">
        <v>39</v>
      </c>
      <c r="D69" s="6" t="s">
        <v>34</v>
      </c>
      <c r="E69" s="6" t="s">
        <v>44</v>
      </c>
      <c r="F69" s="6" t="s">
        <v>48</v>
      </c>
      <c r="G69" s="6">
        <v>98</v>
      </c>
      <c r="H69" s="7">
        <v>766.53</v>
      </c>
      <c r="I69" s="7">
        <v>75119.94</v>
      </c>
      <c r="J69" s="8">
        <v>45033</v>
      </c>
      <c r="K69" s="6">
        <v>44</v>
      </c>
      <c r="L69" s="6" t="s">
        <v>41</v>
      </c>
      <c r="M69" s="6" t="b">
        <v>0</v>
      </c>
      <c r="N69" s="6">
        <v>13.25</v>
      </c>
      <c r="O69" s="6" t="s">
        <v>42</v>
      </c>
      <c r="P69" s="6" t="b">
        <v>1</v>
      </c>
      <c r="Q69" s="9" t="s">
        <v>36</v>
      </c>
    </row>
    <row r="70" spans="1:17" x14ac:dyDescent="0.25">
      <c r="A70" s="5" t="s">
        <v>120</v>
      </c>
      <c r="B70" s="6" t="s">
        <v>18</v>
      </c>
      <c r="C70" s="6" t="s">
        <v>39</v>
      </c>
      <c r="D70" s="6" t="s">
        <v>47</v>
      </c>
      <c r="E70" s="6" t="s">
        <v>28</v>
      </c>
      <c r="F70" s="6" t="s">
        <v>29</v>
      </c>
      <c r="G70" s="6">
        <v>74</v>
      </c>
      <c r="H70" s="7">
        <v>1111.22</v>
      </c>
      <c r="I70" s="7">
        <v>82230.28</v>
      </c>
      <c r="J70" s="8">
        <v>45456</v>
      </c>
      <c r="K70" s="6">
        <v>24</v>
      </c>
      <c r="L70" s="6" t="s">
        <v>23</v>
      </c>
      <c r="M70" s="6" t="b">
        <v>1</v>
      </c>
      <c r="N70" s="6">
        <v>22.28</v>
      </c>
      <c r="O70" s="6" t="s">
        <v>30</v>
      </c>
      <c r="P70" s="6" t="b">
        <v>1</v>
      </c>
      <c r="Q70" s="9" t="s">
        <v>25</v>
      </c>
    </row>
    <row r="71" spans="1:17" x14ac:dyDescent="0.25">
      <c r="A71" s="5" t="s">
        <v>121</v>
      </c>
      <c r="B71" s="6" t="s">
        <v>76</v>
      </c>
      <c r="C71" s="6" t="s">
        <v>19</v>
      </c>
      <c r="D71" s="6" t="s">
        <v>47</v>
      </c>
      <c r="E71" s="6" t="s">
        <v>35</v>
      </c>
      <c r="F71" s="6" t="s">
        <v>29</v>
      </c>
      <c r="G71" s="6">
        <v>74</v>
      </c>
      <c r="H71" s="7">
        <v>606.5</v>
      </c>
      <c r="I71" s="7">
        <v>44881</v>
      </c>
      <c r="J71" s="8">
        <v>45009</v>
      </c>
      <c r="K71" s="6">
        <v>26</v>
      </c>
      <c r="L71" s="6" t="s">
        <v>41</v>
      </c>
      <c r="M71" s="6" t="b">
        <v>1</v>
      </c>
      <c r="N71" s="6">
        <v>16.41</v>
      </c>
      <c r="O71" s="6" t="s">
        <v>56</v>
      </c>
      <c r="P71" s="6" t="b">
        <v>1</v>
      </c>
      <c r="Q71" s="9" t="s">
        <v>36</v>
      </c>
    </row>
    <row r="72" spans="1:17" x14ac:dyDescent="0.25">
      <c r="A72" s="5" t="s">
        <v>122</v>
      </c>
      <c r="B72" s="6" t="s">
        <v>32</v>
      </c>
      <c r="C72" s="6" t="s">
        <v>33</v>
      </c>
      <c r="D72" s="6" t="s">
        <v>64</v>
      </c>
      <c r="E72" s="6" t="s">
        <v>28</v>
      </c>
      <c r="F72" s="6" t="s">
        <v>29</v>
      </c>
      <c r="G72" s="6">
        <v>70</v>
      </c>
      <c r="H72" s="7">
        <v>1420.2</v>
      </c>
      <c r="I72" s="7">
        <v>99414</v>
      </c>
      <c r="J72" s="8">
        <v>45214</v>
      </c>
      <c r="K72" s="6">
        <v>60</v>
      </c>
      <c r="L72" s="6" t="s">
        <v>23</v>
      </c>
      <c r="M72" s="6" t="b">
        <v>0</v>
      </c>
      <c r="N72" s="6">
        <v>7.7</v>
      </c>
      <c r="O72" s="6" t="s">
        <v>24</v>
      </c>
      <c r="P72" s="6" t="b">
        <v>1</v>
      </c>
      <c r="Q72" s="9" t="s">
        <v>25</v>
      </c>
    </row>
    <row r="73" spans="1:17" x14ac:dyDescent="0.25">
      <c r="A73" s="5" t="s">
        <v>123</v>
      </c>
      <c r="B73" s="6" t="s">
        <v>38</v>
      </c>
      <c r="C73" s="6" t="s">
        <v>33</v>
      </c>
      <c r="D73" s="6" t="s">
        <v>20</v>
      </c>
      <c r="E73" s="6" t="s">
        <v>21</v>
      </c>
      <c r="F73" s="6" t="s">
        <v>48</v>
      </c>
      <c r="G73" s="6">
        <v>88</v>
      </c>
      <c r="H73" s="7">
        <v>748.61</v>
      </c>
      <c r="I73" s="7">
        <v>65877.679999999993</v>
      </c>
      <c r="J73" s="8">
        <v>45387</v>
      </c>
      <c r="K73" s="6">
        <v>52</v>
      </c>
      <c r="L73" s="6" t="s">
        <v>23</v>
      </c>
      <c r="M73" s="6" t="b">
        <v>0</v>
      </c>
      <c r="N73" s="6">
        <v>20.13</v>
      </c>
      <c r="O73" s="6" t="s">
        <v>56</v>
      </c>
      <c r="P73" s="6" t="b">
        <v>0</v>
      </c>
      <c r="Q73" s="9" t="s">
        <v>36</v>
      </c>
    </row>
    <row r="74" spans="1:17" x14ac:dyDescent="0.25">
      <c r="A74" s="5" t="s">
        <v>124</v>
      </c>
      <c r="B74" s="6" t="s">
        <v>66</v>
      </c>
      <c r="C74" s="6" t="s">
        <v>33</v>
      </c>
      <c r="D74" s="6" t="s">
        <v>34</v>
      </c>
      <c r="E74" s="6" t="s">
        <v>28</v>
      </c>
      <c r="F74" s="6" t="s">
        <v>48</v>
      </c>
      <c r="G74" s="6">
        <v>76</v>
      </c>
      <c r="H74" s="7">
        <v>878.26</v>
      </c>
      <c r="I74" s="7">
        <v>66747.759999999995</v>
      </c>
      <c r="J74" s="8">
        <v>45141</v>
      </c>
      <c r="K74" s="6">
        <v>29</v>
      </c>
      <c r="L74" s="6" t="s">
        <v>41</v>
      </c>
      <c r="M74" s="6" t="b">
        <v>1</v>
      </c>
      <c r="N74" s="6">
        <v>28.74</v>
      </c>
      <c r="O74" s="6" t="s">
        <v>24</v>
      </c>
      <c r="P74" s="6" t="b">
        <v>1</v>
      </c>
      <c r="Q74" s="9" t="s">
        <v>36</v>
      </c>
    </row>
    <row r="75" spans="1:17" x14ac:dyDescent="0.25">
      <c r="A75" s="5" t="s">
        <v>125</v>
      </c>
      <c r="B75" s="6" t="s">
        <v>38</v>
      </c>
      <c r="C75" s="6" t="s">
        <v>19</v>
      </c>
      <c r="D75" s="6" t="s">
        <v>34</v>
      </c>
      <c r="E75" s="6" t="s">
        <v>35</v>
      </c>
      <c r="F75" s="6" t="s">
        <v>40</v>
      </c>
      <c r="G75" s="6">
        <v>43</v>
      </c>
      <c r="H75" s="7">
        <v>1247.02</v>
      </c>
      <c r="I75" s="7">
        <v>53621.86</v>
      </c>
      <c r="J75" s="8">
        <v>45207</v>
      </c>
      <c r="K75" s="6">
        <v>38</v>
      </c>
      <c r="L75" s="6" t="s">
        <v>23</v>
      </c>
      <c r="M75" s="6" t="b">
        <v>0</v>
      </c>
      <c r="N75" s="6">
        <v>23.09</v>
      </c>
      <c r="O75" s="6" t="s">
        <v>56</v>
      </c>
      <c r="P75" s="6" t="b">
        <v>1</v>
      </c>
      <c r="Q75" s="9" t="s">
        <v>36</v>
      </c>
    </row>
    <row r="76" spans="1:17" x14ac:dyDescent="0.25">
      <c r="A76" s="5" t="s">
        <v>126</v>
      </c>
      <c r="B76" s="6" t="s">
        <v>32</v>
      </c>
      <c r="C76" s="6" t="s">
        <v>33</v>
      </c>
      <c r="D76" s="6" t="s">
        <v>34</v>
      </c>
      <c r="E76" s="6" t="s">
        <v>28</v>
      </c>
      <c r="F76" s="6" t="s">
        <v>22</v>
      </c>
      <c r="G76" s="6">
        <v>23</v>
      </c>
      <c r="H76" s="7">
        <v>449.09</v>
      </c>
      <c r="I76" s="7">
        <v>10329.07</v>
      </c>
      <c r="J76" s="8">
        <v>45385</v>
      </c>
      <c r="K76" s="6">
        <v>20</v>
      </c>
      <c r="L76" s="6" t="s">
        <v>49</v>
      </c>
      <c r="M76" s="6" t="b">
        <v>0</v>
      </c>
      <c r="N76" s="6">
        <v>18.12</v>
      </c>
      <c r="O76" s="6" t="s">
        <v>42</v>
      </c>
      <c r="P76" s="6" t="b">
        <v>1</v>
      </c>
      <c r="Q76" s="9" t="s">
        <v>36</v>
      </c>
    </row>
    <row r="77" spans="1:17" x14ac:dyDescent="0.25">
      <c r="A77" s="5" t="s">
        <v>127</v>
      </c>
      <c r="B77" s="6" t="s">
        <v>46</v>
      </c>
      <c r="C77" s="6" t="s">
        <v>19</v>
      </c>
      <c r="D77" s="6" t="s">
        <v>64</v>
      </c>
      <c r="E77" s="6" t="s">
        <v>35</v>
      </c>
      <c r="F77" s="6" t="s">
        <v>48</v>
      </c>
      <c r="G77" s="6">
        <v>27</v>
      </c>
      <c r="H77" s="7">
        <v>159.04</v>
      </c>
      <c r="I77" s="7">
        <v>4294.08</v>
      </c>
      <c r="J77" s="8">
        <v>45270</v>
      </c>
      <c r="K77" s="6">
        <v>32</v>
      </c>
      <c r="L77" s="6" t="s">
        <v>23</v>
      </c>
      <c r="M77" s="6" t="b">
        <v>1</v>
      </c>
      <c r="N77" s="6">
        <v>29.72</v>
      </c>
      <c r="O77" s="6" t="s">
        <v>30</v>
      </c>
      <c r="P77" s="6" t="b">
        <v>1</v>
      </c>
      <c r="Q77" s="9" t="s">
        <v>36</v>
      </c>
    </row>
    <row r="78" spans="1:17" x14ac:dyDescent="0.25">
      <c r="A78" s="5" t="s">
        <v>128</v>
      </c>
      <c r="B78" s="6" t="s">
        <v>76</v>
      </c>
      <c r="C78" s="6" t="s">
        <v>19</v>
      </c>
      <c r="D78" s="6" t="s">
        <v>47</v>
      </c>
      <c r="E78" s="6" t="s">
        <v>21</v>
      </c>
      <c r="F78" s="6" t="s">
        <v>22</v>
      </c>
      <c r="G78" s="6">
        <v>58</v>
      </c>
      <c r="H78" s="7">
        <v>1076.29</v>
      </c>
      <c r="I78" s="7">
        <v>62424.82</v>
      </c>
      <c r="J78" s="8">
        <v>45120</v>
      </c>
      <c r="K78" s="6">
        <v>38</v>
      </c>
      <c r="L78" s="6" t="s">
        <v>49</v>
      </c>
      <c r="M78" s="6" t="b">
        <v>1</v>
      </c>
      <c r="N78" s="6">
        <v>7.96</v>
      </c>
      <c r="O78" s="6" t="s">
        <v>56</v>
      </c>
      <c r="P78" s="6" t="b">
        <v>0</v>
      </c>
      <c r="Q78" s="9" t="s">
        <v>25</v>
      </c>
    </row>
    <row r="79" spans="1:17" x14ac:dyDescent="0.25">
      <c r="A79" s="5" t="s">
        <v>129</v>
      </c>
      <c r="B79" s="6" t="s">
        <v>76</v>
      </c>
      <c r="C79" s="6" t="s">
        <v>19</v>
      </c>
      <c r="D79" s="6" t="s">
        <v>20</v>
      </c>
      <c r="E79" s="6" t="s">
        <v>21</v>
      </c>
      <c r="F79" s="6" t="s">
        <v>29</v>
      </c>
      <c r="G79" s="6">
        <v>37</v>
      </c>
      <c r="H79" s="7">
        <v>750.37</v>
      </c>
      <c r="I79" s="7">
        <v>27763.69</v>
      </c>
      <c r="J79" s="8">
        <v>45084</v>
      </c>
      <c r="K79" s="6">
        <v>27</v>
      </c>
      <c r="L79" s="6" t="s">
        <v>41</v>
      </c>
      <c r="M79" s="6" t="b">
        <v>0</v>
      </c>
      <c r="N79" s="6">
        <v>1.87</v>
      </c>
      <c r="O79" s="6" t="s">
        <v>30</v>
      </c>
      <c r="P79" s="6" t="b">
        <v>1</v>
      </c>
      <c r="Q79" s="9" t="s">
        <v>36</v>
      </c>
    </row>
    <row r="80" spans="1:17" x14ac:dyDescent="0.25">
      <c r="A80" s="5" t="s">
        <v>130</v>
      </c>
      <c r="B80" s="6" t="s">
        <v>72</v>
      </c>
      <c r="C80" s="6" t="s">
        <v>39</v>
      </c>
      <c r="D80" s="6" t="s">
        <v>52</v>
      </c>
      <c r="E80" s="6" t="s">
        <v>21</v>
      </c>
      <c r="F80" s="6" t="s">
        <v>48</v>
      </c>
      <c r="G80" s="6">
        <v>6</v>
      </c>
      <c r="H80" s="7">
        <v>1349.93</v>
      </c>
      <c r="I80" s="7">
        <v>8099.58</v>
      </c>
      <c r="J80" s="8">
        <v>45391</v>
      </c>
      <c r="K80" s="6">
        <v>50</v>
      </c>
      <c r="L80" s="6" t="s">
        <v>41</v>
      </c>
      <c r="M80" s="6" t="b">
        <v>0</v>
      </c>
      <c r="N80" s="6">
        <v>0.96</v>
      </c>
      <c r="O80" s="6" t="s">
        <v>42</v>
      </c>
      <c r="P80" s="6" t="b">
        <v>1</v>
      </c>
      <c r="Q80" s="9" t="s">
        <v>25</v>
      </c>
    </row>
    <row r="81" spans="1:17" x14ac:dyDescent="0.25">
      <c r="A81" s="5" t="s">
        <v>131</v>
      </c>
      <c r="B81" s="6" t="s">
        <v>76</v>
      </c>
      <c r="C81" s="6" t="s">
        <v>33</v>
      </c>
      <c r="D81" s="6" t="s">
        <v>47</v>
      </c>
      <c r="E81" s="6" t="s">
        <v>44</v>
      </c>
      <c r="F81" s="6" t="s">
        <v>40</v>
      </c>
      <c r="G81" s="6">
        <v>65</v>
      </c>
      <c r="H81" s="7">
        <v>1474.89</v>
      </c>
      <c r="I81" s="7">
        <v>95867.85</v>
      </c>
      <c r="J81" s="8">
        <v>45030</v>
      </c>
      <c r="K81" s="6">
        <v>63</v>
      </c>
      <c r="L81" s="6" t="s">
        <v>49</v>
      </c>
      <c r="M81" s="6" t="b">
        <v>0</v>
      </c>
      <c r="N81" s="6">
        <v>21.32</v>
      </c>
      <c r="O81" s="6" t="s">
        <v>42</v>
      </c>
      <c r="P81" s="6" t="b">
        <v>0</v>
      </c>
      <c r="Q81" s="9" t="s">
        <v>25</v>
      </c>
    </row>
    <row r="82" spans="1:17" x14ac:dyDescent="0.25">
      <c r="A82" s="5" t="s">
        <v>132</v>
      </c>
      <c r="B82" s="6" t="s">
        <v>18</v>
      </c>
      <c r="C82" s="6" t="s">
        <v>33</v>
      </c>
      <c r="D82" s="6" t="s">
        <v>64</v>
      </c>
      <c r="E82" s="6" t="s">
        <v>21</v>
      </c>
      <c r="F82" s="6" t="s">
        <v>40</v>
      </c>
      <c r="G82" s="6">
        <v>6</v>
      </c>
      <c r="H82" s="7">
        <v>628.71</v>
      </c>
      <c r="I82" s="7">
        <v>3772.26</v>
      </c>
      <c r="J82" s="8">
        <v>44960</v>
      </c>
      <c r="K82" s="6">
        <v>69</v>
      </c>
      <c r="L82" s="6" t="s">
        <v>23</v>
      </c>
      <c r="M82" s="6" t="b">
        <v>1</v>
      </c>
      <c r="N82" s="6">
        <v>24.91</v>
      </c>
      <c r="O82" s="6" t="s">
        <v>30</v>
      </c>
      <c r="P82" s="6" t="b">
        <v>1</v>
      </c>
      <c r="Q82" s="9" t="s">
        <v>25</v>
      </c>
    </row>
    <row r="83" spans="1:17" x14ac:dyDescent="0.25">
      <c r="A83" s="5" t="s">
        <v>133</v>
      </c>
      <c r="B83" s="6" t="s">
        <v>76</v>
      </c>
      <c r="C83" s="6" t="s">
        <v>19</v>
      </c>
      <c r="D83" s="6" t="s">
        <v>47</v>
      </c>
      <c r="E83" s="6" t="s">
        <v>28</v>
      </c>
      <c r="F83" s="6" t="s">
        <v>22</v>
      </c>
      <c r="G83" s="6">
        <v>50</v>
      </c>
      <c r="H83" s="7">
        <v>652.39</v>
      </c>
      <c r="I83" s="7">
        <v>32619.5</v>
      </c>
      <c r="J83" s="8">
        <v>45028</v>
      </c>
      <c r="K83" s="6">
        <v>23</v>
      </c>
      <c r="L83" s="6" t="s">
        <v>49</v>
      </c>
      <c r="M83" s="6" t="b">
        <v>1</v>
      </c>
      <c r="N83" s="6">
        <v>19.05</v>
      </c>
      <c r="O83" s="6" t="s">
        <v>30</v>
      </c>
      <c r="P83" s="6" t="b">
        <v>1</v>
      </c>
      <c r="Q83" s="9" t="s">
        <v>36</v>
      </c>
    </row>
    <row r="84" spans="1:17" x14ac:dyDescent="0.25">
      <c r="A84" s="5" t="s">
        <v>134</v>
      </c>
      <c r="B84" s="6" t="s">
        <v>32</v>
      </c>
      <c r="C84" s="6" t="s">
        <v>19</v>
      </c>
      <c r="D84" s="6" t="s">
        <v>47</v>
      </c>
      <c r="E84" s="6" t="s">
        <v>44</v>
      </c>
      <c r="F84" s="6" t="s">
        <v>29</v>
      </c>
      <c r="G84" s="6">
        <v>22</v>
      </c>
      <c r="H84" s="7">
        <v>641.54999999999995</v>
      </c>
      <c r="I84" s="7">
        <v>14114.1</v>
      </c>
      <c r="J84" s="8">
        <v>45565</v>
      </c>
      <c r="K84" s="6">
        <v>19</v>
      </c>
      <c r="L84" s="6" t="s">
        <v>49</v>
      </c>
      <c r="M84" s="6" t="b">
        <v>1</v>
      </c>
      <c r="N84" s="6">
        <v>27.15</v>
      </c>
      <c r="O84" s="6" t="s">
        <v>24</v>
      </c>
      <c r="P84" s="6" t="b">
        <v>1</v>
      </c>
      <c r="Q84" s="9" t="s">
        <v>25</v>
      </c>
    </row>
    <row r="85" spans="1:17" x14ac:dyDescent="0.25">
      <c r="A85" s="5" t="s">
        <v>135</v>
      </c>
      <c r="B85" s="6" t="s">
        <v>72</v>
      </c>
      <c r="C85" s="6" t="s">
        <v>33</v>
      </c>
      <c r="D85" s="6" t="s">
        <v>64</v>
      </c>
      <c r="E85" s="6" t="s">
        <v>21</v>
      </c>
      <c r="F85" s="6" t="s">
        <v>22</v>
      </c>
      <c r="G85" s="6">
        <v>88</v>
      </c>
      <c r="H85" s="7">
        <v>520.6</v>
      </c>
      <c r="I85" s="7">
        <v>45812.800000000003</v>
      </c>
      <c r="J85" s="8">
        <v>45251</v>
      </c>
      <c r="K85" s="6">
        <v>46</v>
      </c>
      <c r="L85" s="6" t="s">
        <v>41</v>
      </c>
      <c r="M85" s="6" t="b">
        <v>1</v>
      </c>
      <c r="N85" s="6">
        <v>20.94</v>
      </c>
      <c r="O85" s="6" t="s">
        <v>30</v>
      </c>
      <c r="P85" s="6" t="b">
        <v>1</v>
      </c>
      <c r="Q85" s="9" t="s">
        <v>25</v>
      </c>
    </row>
    <row r="86" spans="1:17" x14ac:dyDescent="0.25">
      <c r="A86" s="5" t="s">
        <v>136</v>
      </c>
      <c r="B86" s="6" t="s">
        <v>32</v>
      </c>
      <c r="C86" s="6" t="s">
        <v>19</v>
      </c>
      <c r="D86" s="6" t="s">
        <v>34</v>
      </c>
      <c r="E86" s="6" t="s">
        <v>28</v>
      </c>
      <c r="F86" s="6" t="s">
        <v>29</v>
      </c>
      <c r="G86" s="6">
        <v>25</v>
      </c>
      <c r="H86" s="7">
        <v>1183.45</v>
      </c>
      <c r="I86" s="7">
        <v>29586.25</v>
      </c>
      <c r="J86" s="8">
        <v>45518</v>
      </c>
      <c r="K86" s="6">
        <v>57</v>
      </c>
      <c r="L86" s="6" t="s">
        <v>49</v>
      </c>
      <c r="M86" s="6" t="b">
        <v>0</v>
      </c>
      <c r="N86" s="6">
        <v>11.13</v>
      </c>
      <c r="O86" s="6" t="s">
        <v>30</v>
      </c>
      <c r="P86" s="6" t="b">
        <v>0</v>
      </c>
      <c r="Q86" s="9" t="s">
        <v>25</v>
      </c>
    </row>
    <row r="87" spans="1:17" x14ac:dyDescent="0.25">
      <c r="A87" s="5" t="s">
        <v>137</v>
      </c>
      <c r="B87" s="6" t="s">
        <v>32</v>
      </c>
      <c r="C87" s="6" t="s">
        <v>33</v>
      </c>
      <c r="D87" s="6" t="s">
        <v>34</v>
      </c>
      <c r="E87" s="6" t="s">
        <v>28</v>
      </c>
      <c r="F87" s="6" t="s">
        <v>40</v>
      </c>
      <c r="G87" s="6">
        <v>79</v>
      </c>
      <c r="H87" s="7">
        <v>1150.54</v>
      </c>
      <c r="I87" s="7">
        <v>90892.66</v>
      </c>
      <c r="J87" s="8">
        <v>45067</v>
      </c>
      <c r="K87" s="6">
        <v>50</v>
      </c>
      <c r="L87" s="6" t="s">
        <v>23</v>
      </c>
      <c r="M87" s="6" t="b">
        <v>1</v>
      </c>
      <c r="N87" s="6">
        <v>5.44</v>
      </c>
      <c r="O87" s="6" t="s">
        <v>24</v>
      </c>
      <c r="P87" s="6" t="b">
        <v>0</v>
      </c>
      <c r="Q87" s="9" t="s">
        <v>25</v>
      </c>
    </row>
    <row r="88" spans="1:17" x14ac:dyDescent="0.25">
      <c r="A88" s="5" t="s">
        <v>138</v>
      </c>
      <c r="B88" s="6" t="s">
        <v>51</v>
      </c>
      <c r="C88" s="6" t="s">
        <v>39</v>
      </c>
      <c r="D88" s="6" t="s">
        <v>20</v>
      </c>
      <c r="E88" s="6" t="s">
        <v>28</v>
      </c>
      <c r="F88" s="6" t="s">
        <v>22</v>
      </c>
      <c r="G88" s="6">
        <v>90</v>
      </c>
      <c r="H88" s="7">
        <v>744.04</v>
      </c>
      <c r="I88" s="7">
        <v>66963.600000000006</v>
      </c>
      <c r="J88" s="8">
        <v>45400</v>
      </c>
      <c r="K88" s="6">
        <v>21</v>
      </c>
      <c r="L88" s="6" t="s">
        <v>49</v>
      </c>
      <c r="M88" s="6" t="b">
        <v>1</v>
      </c>
      <c r="N88" s="6">
        <v>27.74</v>
      </c>
      <c r="O88" s="6" t="s">
        <v>56</v>
      </c>
      <c r="P88" s="6" t="b">
        <v>0</v>
      </c>
      <c r="Q88" s="9" t="s">
        <v>25</v>
      </c>
    </row>
    <row r="89" spans="1:17" x14ac:dyDescent="0.25">
      <c r="A89" s="5" t="s">
        <v>139</v>
      </c>
      <c r="B89" s="6" t="s">
        <v>72</v>
      </c>
      <c r="C89" s="6" t="s">
        <v>19</v>
      </c>
      <c r="D89" s="6" t="s">
        <v>20</v>
      </c>
      <c r="E89" s="6" t="s">
        <v>35</v>
      </c>
      <c r="F89" s="6" t="s">
        <v>40</v>
      </c>
      <c r="G89" s="6">
        <v>72</v>
      </c>
      <c r="H89" s="7">
        <v>114.76</v>
      </c>
      <c r="I89" s="7">
        <v>8262.7199999999993</v>
      </c>
      <c r="J89" s="8">
        <v>44957</v>
      </c>
      <c r="K89" s="6">
        <v>21</v>
      </c>
      <c r="L89" s="6" t="s">
        <v>41</v>
      </c>
      <c r="M89" s="6" t="b">
        <v>0</v>
      </c>
      <c r="N89" s="6">
        <v>3.11</v>
      </c>
      <c r="O89" s="6" t="s">
        <v>24</v>
      </c>
      <c r="P89" s="6" t="b">
        <v>0</v>
      </c>
      <c r="Q89" s="9" t="s">
        <v>25</v>
      </c>
    </row>
    <row r="90" spans="1:17" x14ac:dyDescent="0.25">
      <c r="A90" s="5" t="s">
        <v>140</v>
      </c>
      <c r="B90" s="6" t="s">
        <v>32</v>
      </c>
      <c r="C90" s="6" t="s">
        <v>33</v>
      </c>
      <c r="D90" s="6" t="s">
        <v>34</v>
      </c>
      <c r="E90" s="6" t="s">
        <v>44</v>
      </c>
      <c r="F90" s="6" t="s">
        <v>40</v>
      </c>
      <c r="G90" s="6">
        <v>51</v>
      </c>
      <c r="H90" s="7">
        <v>498.86</v>
      </c>
      <c r="I90" s="7">
        <v>25441.86</v>
      </c>
      <c r="J90" s="8">
        <v>44989</v>
      </c>
      <c r="K90" s="6">
        <v>46</v>
      </c>
      <c r="L90" s="6" t="s">
        <v>23</v>
      </c>
      <c r="M90" s="6" t="b">
        <v>1</v>
      </c>
      <c r="N90" s="6">
        <v>16.29</v>
      </c>
      <c r="O90" s="6" t="s">
        <v>56</v>
      </c>
      <c r="P90" s="6" t="b">
        <v>0</v>
      </c>
      <c r="Q90" s="9" t="s">
        <v>36</v>
      </c>
    </row>
    <row r="91" spans="1:17" x14ac:dyDescent="0.25">
      <c r="A91" s="5" t="s">
        <v>141</v>
      </c>
      <c r="B91" s="6" t="s">
        <v>51</v>
      </c>
      <c r="C91" s="6" t="s">
        <v>19</v>
      </c>
      <c r="D91" s="6" t="s">
        <v>52</v>
      </c>
      <c r="E91" s="6" t="s">
        <v>28</v>
      </c>
      <c r="F91" s="6" t="s">
        <v>29</v>
      </c>
      <c r="G91" s="6">
        <v>88</v>
      </c>
      <c r="H91" s="7">
        <v>473.84</v>
      </c>
      <c r="I91" s="7">
        <v>41697.919999999998</v>
      </c>
      <c r="J91" s="8">
        <v>45486</v>
      </c>
      <c r="K91" s="6">
        <v>54</v>
      </c>
      <c r="L91" s="6" t="s">
        <v>41</v>
      </c>
      <c r="M91" s="6" t="b">
        <v>0</v>
      </c>
      <c r="N91" s="6">
        <v>9.42</v>
      </c>
      <c r="O91" s="6" t="s">
        <v>56</v>
      </c>
      <c r="P91" s="6" t="b">
        <v>0</v>
      </c>
      <c r="Q91" s="9" t="s">
        <v>25</v>
      </c>
    </row>
    <row r="92" spans="1:17" x14ac:dyDescent="0.25">
      <c r="A92" s="5" t="s">
        <v>142</v>
      </c>
      <c r="B92" s="6" t="s">
        <v>51</v>
      </c>
      <c r="C92" s="6" t="s">
        <v>33</v>
      </c>
      <c r="D92" s="6" t="s">
        <v>47</v>
      </c>
      <c r="E92" s="6" t="s">
        <v>35</v>
      </c>
      <c r="F92" s="6" t="s">
        <v>22</v>
      </c>
      <c r="G92" s="6">
        <v>48</v>
      </c>
      <c r="H92" s="7">
        <v>1226.08</v>
      </c>
      <c r="I92" s="7">
        <v>58851.839999999997</v>
      </c>
      <c r="J92" s="8">
        <v>45013</v>
      </c>
      <c r="K92" s="6">
        <v>37</v>
      </c>
      <c r="L92" s="6" t="s">
        <v>49</v>
      </c>
      <c r="M92" s="6" t="b">
        <v>1</v>
      </c>
      <c r="N92" s="6">
        <v>8.14</v>
      </c>
      <c r="O92" s="6" t="s">
        <v>56</v>
      </c>
      <c r="P92" s="6" t="b">
        <v>1</v>
      </c>
      <c r="Q92" s="9" t="s">
        <v>25</v>
      </c>
    </row>
    <row r="93" spans="1:17" x14ac:dyDescent="0.25">
      <c r="A93" s="5" t="s">
        <v>143</v>
      </c>
      <c r="B93" s="6" t="s">
        <v>72</v>
      </c>
      <c r="C93" s="6" t="s">
        <v>33</v>
      </c>
      <c r="D93" s="6" t="s">
        <v>52</v>
      </c>
      <c r="E93" s="6" t="s">
        <v>21</v>
      </c>
      <c r="F93" s="6" t="s">
        <v>22</v>
      </c>
      <c r="G93" s="6">
        <v>70</v>
      </c>
      <c r="H93" s="7">
        <v>176.98</v>
      </c>
      <c r="I93" s="7">
        <v>12388.6</v>
      </c>
      <c r="J93" s="8">
        <v>45230</v>
      </c>
      <c r="K93" s="6">
        <v>58</v>
      </c>
      <c r="L93" s="6" t="s">
        <v>49</v>
      </c>
      <c r="M93" s="6" t="b">
        <v>0</v>
      </c>
      <c r="N93" s="6">
        <v>19.38</v>
      </c>
      <c r="O93" s="6" t="s">
        <v>24</v>
      </c>
      <c r="P93" s="6" t="b">
        <v>1</v>
      </c>
      <c r="Q93" s="9" t="s">
        <v>36</v>
      </c>
    </row>
    <row r="94" spans="1:17" x14ac:dyDescent="0.25">
      <c r="A94" s="5" t="s">
        <v>144</v>
      </c>
      <c r="B94" s="6" t="s">
        <v>38</v>
      </c>
      <c r="C94" s="6" t="s">
        <v>19</v>
      </c>
      <c r="D94" s="6" t="s">
        <v>47</v>
      </c>
      <c r="E94" s="6" t="s">
        <v>28</v>
      </c>
      <c r="F94" s="6" t="s">
        <v>40</v>
      </c>
      <c r="G94" s="6">
        <v>99</v>
      </c>
      <c r="H94" s="7">
        <v>1218.23</v>
      </c>
      <c r="I94" s="7">
        <v>120604.77</v>
      </c>
      <c r="J94" s="8">
        <v>44987</v>
      </c>
      <c r="K94" s="6">
        <v>40</v>
      </c>
      <c r="L94" s="6" t="s">
        <v>41</v>
      </c>
      <c r="M94" s="6" t="b">
        <v>0</v>
      </c>
      <c r="N94" s="6">
        <v>6.94</v>
      </c>
      <c r="O94" s="6" t="s">
        <v>24</v>
      </c>
      <c r="P94" s="6" t="b">
        <v>1</v>
      </c>
      <c r="Q94" s="9" t="s">
        <v>25</v>
      </c>
    </row>
    <row r="95" spans="1:17" x14ac:dyDescent="0.25">
      <c r="A95" s="5" t="s">
        <v>145</v>
      </c>
      <c r="B95" s="6" t="s">
        <v>46</v>
      </c>
      <c r="C95" s="6" t="s">
        <v>39</v>
      </c>
      <c r="D95" s="6" t="s">
        <v>34</v>
      </c>
      <c r="E95" s="6" t="s">
        <v>35</v>
      </c>
      <c r="F95" s="6" t="s">
        <v>40</v>
      </c>
      <c r="G95" s="6">
        <v>65</v>
      </c>
      <c r="H95" s="7">
        <v>1020.32</v>
      </c>
      <c r="I95" s="7">
        <v>66320.800000000003</v>
      </c>
      <c r="J95" s="8">
        <v>45322</v>
      </c>
      <c r="K95" s="6">
        <v>62</v>
      </c>
      <c r="L95" s="6" t="s">
        <v>41</v>
      </c>
      <c r="M95" s="6" t="b">
        <v>0</v>
      </c>
      <c r="N95" s="6">
        <v>27.49</v>
      </c>
      <c r="O95" s="6" t="s">
        <v>42</v>
      </c>
      <c r="P95" s="6" t="b">
        <v>1</v>
      </c>
      <c r="Q95" s="9" t="s">
        <v>36</v>
      </c>
    </row>
    <row r="96" spans="1:17" x14ac:dyDescent="0.25">
      <c r="A96" s="5" t="s">
        <v>146</v>
      </c>
      <c r="B96" s="6" t="s">
        <v>18</v>
      </c>
      <c r="C96" s="6" t="s">
        <v>33</v>
      </c>
      <c r="D96" s="6" t="s">
        <v>20</v>
      </c>
      <c r="E96" s="6" t="s">
        <v>28</v>
      </c>
      <c r="F96" s="6" t="s">
        <v>29</v>
      </c>
      <c r="G96" s="6">
        <v>60</v>
      </c>
      <c r="H96" s="7">
        <v>1112.04</v>
      </c>
      <c r="I96" s="7">
        <v>66722.399999999994</v>
      </c>
      <c r="J96" s="8">
        <v>45260</v>
      </c>
      <c r="K96" s="6">
        <v>35</v>
      </c>
      <c r="L96" s="6" t="s">
        <v>23</v>
      </c>
      <c r="M96" s="6" t="b">
        <v>1</v>
      </c>
      <c r="N96" s="6">
        <v>12.18</v>
      </c>
      <c r="O96" s="6" t="s">
        <v>56</v>
      </c>
      <c r="P96" s="6" t="b">
        <v>0</v>
      </c>
      <c r="Q96" s="9" t="s">
        <v>36</v>
      </c>
    </row>
    <row r="97" spans="1:17" x14ac:dyDescent="0.25">
      <c r="A97" s="5" t="s">
        <v>147</v>
      </c>
      <c r="B97" s="6" t="s">
        <v>46</v>
      </c>
      <c r="C97" s="6" t="s">
        <v>33</v>
      </c>
      <c r="D97" s="6" t="s">
        <v>20</v>
      </c>
      <c r="E97" s="6" t="s">
        <v>44</v>
      </c>
      <c r="F97" s="6" t="s">
        <v>48</v>
      </c>
      <c r="G97" s="6">
        <v>46</v>
      </c>
      <c r="H97" s="7">
        <v>676.71</v>
      </c>
      <c r="I97" s="7">
        <v>31128.66</v>
      </c>
      <c r="J97" s="8">
        <v>45337</v>
      </c>
      <c r="K97" s="6">
        <v>66</v>
      </c>
      <c r="L97" s="6" t="s">
        <v>41</v>
      </c>
      <c r="M97" s="6" t="b">
        <v>0</v>
      </c>
      <c r="N97" s="6">
        <v>20.32</v>
      </c>
      <c r="O97" s="6" t="s">
        <v>24</v>
      </c>
      <c r="P97" s="6" t="b">
        <v>1</v>
      </c>
      <c r="Q97" s="9" t="s">
        <v>25</v>
      </c>
    </row>
    <row r="98" spans="1:17" x14ac:dyDescent="0.25">
      <c r="A98" s="5" t="s">
        <v>148</v>
      </c>
      <c r="B98" s="6" t="s">
        <v>76</v>
      </c>
      <c r="C98" s="6" t="s">
        <v>33</v>
      </c>
      <c r="D98" s="6" t="s">
        <v>52</v>
      </c>
      <c r="E98" s="6" t="s">
        <v>44</v>
      </c>
      <c r="F98" s="6" t="s">
        <v>48</v>
      </c>
      <c r="G98" s="6">
        <v>36</v>
      </c>
      <c r="H98" s="7">
        <v>1035.5999999999999</v>
      </c>
      <c r="I98" s="7">
        <v>37281.599999999999</v>
      </c>
      <c r="J98" s="8">
        <v>45210</v>
      </c>
      <c r="K98" s="6">
        <v>42</v>
      </c>
      <c r="L98" s="6" t="s">
        <v>41</v>
      </c>
      <c r="M98" s="6" t="b">
        <v>1</v>
      </c>
      <c r="N98" s="6">
        <v>21.83</v>
      </c>
      <c r="O98" s="6" t="s">
        <v>42</v>
      </c>
      <c r="P98" s="6" t="b">
        <v>1</v>
      </c>
      <c r="Q98" s="9" t="s">
        <v>25</v>
      </c>
    </row>
    <row r="99" spans="1:17" x14ac:dyDescent="0.25">
      <c r="A99" s="5" t="s">
        <v>149</v>
      </c>
      <c r="B99" s="6" t="s">
        <v>18</v>
      </c>
      <c r="C99" s="6" t="s">
        <v>39</v>
      </c>
      <c r="D99" s="6" t="s">
        <v>20</v>
      </c>
      <c r="E99" s="6" t="s">
        <v>21</v>
      </c>
      <c r="F99" s="6" t="s">
        <v>40</v>
      </c>
      <c r="G99" s="6">
        <v>58</v>
      </c>
      <c r="H99" s="7">
        <v>933.09</v>
      </c>
      <c r="I99" s="7">
        <v>54119.22</v>
      </c>
      <c r="J99" s="8">
        <v>45392</v>
      </c>
      <c r="K99" s="6">
        <v>18</v>
      </c>
      <c r="L99" s="6" t="s">
        <v>49</v>
      </c>
      <c r="M99" s="6" t="b">
        <v>1</v>
      </c>
      <c r="N99" s="6">
        <v>20.49</v>
      </c>
      <c r="O99" s="6" t="s">
        <v>56</v>
      </c>
      <c r="P99" s="6" t="b">
        <v>0</v>
      </c>
      <c r="Q99" s="9" t="s">
        <v>36</v>
      </c>
    </row>
    <row r="100" spans="1:17" x14ac:dyDescent="0.25">
      <c r="A100" s="5" t="s">
        <v>150</v>
      </c>
      <c r="B100" s="6" t="s">
        <v>76</v>
      </c>
      <c r="C100" s="6" t="s">
        <v>39</v>
      </c>
      <c r="D100" s="6" t="s">
        <v>34</v>
      </c>
      <c r="E100" s="6" t="s">
        <v>28</v>
      </c>
      <c r="F100" s="6" t="s">
        <v>48</v>
      </c>
      <c r="G100" s="6">
        <v>76</v>
      </c>
      <c r="H100" s="7">
        <v>1165.02</v>
      </c>
      <c r="I100" s="7">
        <v>88541.52</v>
      </c>
      <c r="J100" s="8">
        <v>45006</v>
      </c>
      <c r="K100" s="6">
        <v>32</v>
      </c>
      <c r="L100" s="6" t="s">
        <v>49</v>
      </c>
      <c r="M100" s="6" t="b">
        <v>1</v>
      </c>
      <c r="N100" s="6">
        <v>27.1</v>
      </c>
      <c r="O100" s="6" t="s">
        <v>24</v>
      </c>
      <c r="P100" s="6" t="b">
        <v>1</v>
      </c>
      <c r="Q100" s="9" t="s">
        <v>36</v>
      </c>
    </row>
    <row r="101" spans="1:17" x14ac:dyDescent="0.25">
      <c r="A101" s="5" t="s">
        <v>151</v>
      </c>
      <c r="B101" s="6" t="s">
        <v>32</v>
      </c>
      <c r="C101" s="6" t="s">
        <v>19</v>
      </c>
      <c r="D101" s="6" t="s">
        <v>52</v>
      </c>
      <c r="E101" s="6" t="s">
        <v>35</v>
      </c>
      <c r="F101" s="6" t="s">
        <v>48</v>
      </c>
      <c r="G101" s="6">
        <v>38</v>
      </c>
      <c r="H101" s="7">
        <v>697.82</v>
      </c>
      <c r="I101" s="7">
        <v>26517.16</v>
      </c>
      <c r="J101" s="8">
        <v>45003</v>
      </c>
      <c r="K101" s="6">
        <v>51</v>
      </c>
      <c r="L101" s="6" t="s">
        <v>41</v>
      </c>
      <c r="M101" s="6" t="b">
        <v>1</v>
      </c>
      <c r="N101" s="6">
        <v>6.93</v>
      </c>
      <c r="O101" s="6" t="s">
        <v>24</v>
      </c>
      <c r="P101" s="6" t="b">
        <v>1</v>
      </c>
      <c r="Q101" s="9" t="s">
        <v>36</v>
      </c>
    </row>
    <row r="102" spans="1:17" x14ac:dyDescent="0.25">
      <c r="A102" s="5" t="s">
        <v>152</v>
      </c>
      <c r="B102" s="6" t="s">
        <v>66</v>
      </c>
      <c r="C102" s="6" t="s">
        <v>39</v>
      </c>
      <c r="D102" s="6" t="s">
        <v>47</v>
      </c>
      <c r="E102" s="6" t="s">
        <v>21</v>
      </c>
      <c r="F102" s="6" t="s">
        <v>48</v>
      </c>
      <c r="G102" s="6">
        <v>11</v>
      </c>
      <c r="H102" s="7">
        <v>735.6</v>
      </c>
      <c r="I102" s="7">
        <v>8091.6</v>
      </c>
      <c r="J102" s="8">
        <v>45466</v>
      </c>
      <c r="K102" s="6">
        <v>65</v>
      </c>
      <c r="L102" s="6" t="s">
        <v>41</v>
      </c>
      <c r="M102" s="6" t="b">
        <v>1</v>
      </c>
      <c r="N102" s="6">
        <v>2.58</v>
      </c>
      <c r="O102" s="6" t="s">
        <v>24</v>
      </c>
      <c r="P102" s="6" t="b">
        <v>0</v>
      </c>
      <c r="Q102" s="9" t="s">
        <v>36</v>
      </c>
    </row>
    <row r="103" spans="1:17" x14ac:dyDescent="0.25">
      <c r="A103" s="5" t="s">
        <v>153</v>
      </c>
      <c r="B103" s="6" t="s">
        <v>72</v>
      </c>
      <c r="C103" s="6" t="s">
        <v>19</v>
      </c>
      <c r="D103" s="6" t="s">
        <v>20</v>
      </c>
      <c r="E103" s="6" t="s">
        <v>28</v>
      </c>
      <c r="F103" s="6" t="s">
        <v>48</v>
      </c>
      <c r="G103" s="6">
        <v>12</v>
      </c>
      <c r="H103" s="7">
        <v>983.19</v>
      </c>
      <c r="I103" s="7">
        <v>11798.28</v>
      </c>
      <c r="J103" s="8">
        <v>45287</v>
      </c>
      <c r="K103" s="6">
        <v>37</v>
      </c>
      <c r="L103" s="6" t="s">
        <v>49</v>
      </c>
      <c r="M103" s="6" t="b">
        <v>1</v>
      </c>
      <c r="N103" s="6">
        <v>1.66</v>
      </c>
      <c r="O103" s="6" t="s">
        <v>30</v>
      </c>
      <c r="P103" s="6" t="b">
        <v>1</v>
      </c>
      <c r="Q103" s="9" t="s">
        <v>25</v>
      </c>
    </row>
    <row r="104" spans="1:17" x14ac:dyDescent="0.25">
      <c r="A104" s="5" t="s">
        <v>154</v>
      </c>
      <c r="B104" s="6" t="s">
        <v>18</v>
      </c>
      <c r="C104" s="6" t="s">
        <v>19</v>
      </c>
      <c r="D104" s="6" t="s">
        <v>64</v>
      </c>
      <c r="E104" s="6" t="s">
        <v>21</v>
      </c>
      <c r="F104" s="6" t="s">
        <v>40</v>
      </c>
      <c r="G104" s="6">
        <v>42</v>
      </c>
      <c r="H104" s="7">
        <v>206.71</v>
      </c>
      <c r="I104" s="7">
        <v>8681.82</v>
      </c>
      <c r="J104" s="8">
        <v>45003</v>
      </c>
      <c r="K104" s="6">
        <v>54</v>
      </c>
      <c r="L104" s="6" t="s">
        <v>23</v>
      </c>
      <c r="M104" s="6" t="b">
        <v>0</v>
      </c>
      <c r="N104" s="6">
        <v>26.34</v>
      </c>
      <c r="O104" s="6" t="s">
        <v>42</v>
      </c>
      <c r="P104" s="6" t="b">
        <v>1</v>
      </c>
      <c r="Q104" s="9" t="s">
        <v>36</v>
      </c>
    </row>
    <row r="105" spans="1:17" x14ac:dyDescent="0.25">
      <c r="A105" s="5" t="s">
        <v>155</v>
      </c>
      <c r="B105" s="6" t="s">
        <v>18</v>
      </c>
      <c r="C105" s="6" t="s">
        <v>39</v>
      </c>
      <c r="D105" s="6" t="s">
        <v>20</v>
      </c>
      <c r="E105" s="6" t="s">
        <v>35</v>
      </c>
      <c r="F105" s="6" t="s">
        <v>48</v>
      </c>
      <c r="G105" s="6">
        <v>39</v>
      </c>
      <c r="H105" s="7">
        <v>682.55</v>
      </c>
      <c r="I105" s="7">
        <v>26619.45</v>
      </c>
      <c r="J105" s="8">
        <v>45435</v>
      </c>
      <c r="K105" s="6">
        <v>44</v>
      </c>
      <c r="L105" s="6" t="s">
        <v>23</v>
      </c>
      <c r="M105" s="6" t="b">
        <v>0</v>
      </c>
      <c r="N105" s="6">
        <v>29.2</v>
      </c>
      <c r="O105" s="6" t="s">
        <v>24</v>
      </c>
      <c r="P105" s="6" t="b">
        <v>0</v>
      </c>
      <c r="Q105" s="9" t="s">
        <v>36</v>
      </c>
    </row>
    <row r="106" spans="1:17" x14ac:dyDescent="0.25">
      <c r="A106" s="5" t="s">
        <v>156</v>
      </c>
      <c r="B106" s="6" t="s">
        <v>32</v>
      </c>
      <c r="C106" s="6" t="s">
        <v>19</v>
      </c>
      <c r="D106" s="6" t="s">
        <v>47</v>
      </c>
      <c r="E106" s="6" t="s">
        <v>21</v>
      </c>
      <c r="F106" s="6" t="s">
        <v>48</v>
      </c>
      <c r="G106" s="6">
        <v>71</v>
      </c>
      <c r="H106" s="7">
        <v>1459.33</v>
      </c>
      <c r="I106" s="7">
        <v>103612.43</v>
      </c>
      <c r="J106" s="8">
        <v>45090</v>
      </c>
      <c r="K106" s="6">
        <v>39</v>
      </c>
      <c r="L106" s="6" t="s">
        <v>23</v>
      </c>
      <c r="M106" s="6" t="b">
        <v>1</v>
      </c>
      <c r="N106" s="6">
        <v>9.08</v>
      </c>
      <c r="O106" s="6" t="s">
        <v>30</v>
      </c>
      <c r="P106" s="6" t="b">
        <v>1</v>
      </c>
      <c r="Q106" s="9" t="s">
        <v>36</v>
      </c>
    </row>
    <row r="107" spans="1:17" x14ac:dyDescent="0.25">
      <c r="A107" s="5" t="s">
        <v>157</v>
      </c>
      <c r="B107" s="6" t="s">
        <v>38</v>
      </c>
      <c r="C107" s="6" t="s">
        <v>39</v>
      </c>
      <c r="D107" s="6" t="s">
        <v>52</v>
      </c>
      <c r="E107" s="6" t="s">
        <v>21</v>
      </c>
      <c r="F107" s="6" t="s">
        <v>29</v>
      </c>
      <c r="G107" s="6">
        <v>11</v>
      </c>
      <c r="H107" s="7">
        <v>104.45</v>
      </c>
      <c r="I107" s="7">
        <v>1148.95</v>
      </c>
      <c r="J107" s="8">
        <v>44935</v>
      </c>
      <c r="K107" s="6">
        <v>68</v>
      </c>
      <c r="L107" s="6" t="s">
        <v>23</v>
      </c>
      <c r="M107" s="6" t="b">
        <v>1</v>
      </c>
      <c r="N107" s="6">
        <v>20.81</v>
      </c>
      <c r="O107" s="6" t="s">
        <v>42</v>
      </c>
      <c r="P107" s="6" t="b">
        <v>1</v>
      </c>
      <c r="Q107" s="9" t="s">
        <v>25</v>
      </c>
    </row>
    <row r="108" spans="1:17" x14ac:dyDescent="0.25">
      <c r="A108" s="5" t="s">
        <v>158</v>
      </c>
      <c r="B108" s="6" t="s">
        <v>51</v>
      </c>
      <c r="C108" s="6" t="s">
        <v>19</v>
      </c>
      <c r="D108" s="6" t="s">
        <v>47</v>
      </c>
      <c r="E108" s="6" t="s">
        <v>21</v>
      </c>
      <c r="F108" s="6" t="s">
        <v>40</v>
      </c>
      <c r="G108" s="6">
        <v>36</v>
      </c>
      <c r="H108" s="7">
        <v>508.21</v>
      </c>
      <c r="I108" s="7">
        <v>18295.560000000001</v>
      </c>
      <c r="J108" s="8">
        <v>45101</v>
      </c>
      <c r="K108" s="6">
        <v>22</v>
      </c>
      <c r="L108" s="6" t="s">
        <v>49</v>
      </c>
      <c r="M108" s="6" t="b">
        <v>1</v>
      </c>
      <c r="N108" s="6">
        <v>0.27</v>
      </c>
      <c r="O108" s="6" t="s">
        <v>42</v>
      </c>
      <c r="P108" s="6" t="b">
        <v>1</v>
      </c>
      <c r="Q108" s="9" t="s">
        <v>36</v>
      </c>
    </row>
    <row r="109" spans="1:17" x14ac:dyDescent="0.25">
      <c r="A109" s="5" t="s">
        <v>159</v>
      </c>
      <c r="B109" s="6" t="s">
        <v>32</v>
      </c>
      <c r="C109" s="6" t="s">
        <v>39</v>
      </c>
      <c r="D109" s="6" t="s">
        <v>64</v>
      </c>
      <c r="E109" s="6" t="s">
        <v>28</v>
      </c>
      <c r="F109" s="6" t="s">
        <v>22</v>
      </c>
      <c r="G109" s="6">
        <v>52</v>
      </c>
      <c r="H109" s="7">
        <v>505.46</v>
      </c>
      <c r="I109" s="7">
        <v>26283.919999999998</v>
      </c>
      <c r="J109" s="8">
        <v>45388</v>
      </c>
      <c r="K109" s="6">
        <v>51</v>
      </c>
      <c r="L109" s="6" t="s">
        <v>41</v>
      </c>
      <c r="M109" s="6" t="b">
        <v>1</v>
      </c>
      <c r="N109" s="6">
        <v>5.66</v>
      </c>
      <c r="O109" s="6" t="s">
        <v>30</v>
      </c>
      <c r="P109" s="6" t="b">
        <v>1</v>
      </c>
      <c r="Q109" s="9" t="s">
        <v>36</v>
      </c>
    </row>
    <row r="110" spans="1:17" x14ac:dyDescent="0.25">
      <c r="A110" s="5" t="s">
        <v>160</v>
      </c>
      <c r="B110" s="6" t="s">
        <v>62</v>
      </c>
      <c r="C110" s="6" t="s">
        <v>39</v>
      </c>
      <c r="D110" s="6" t="s">
        <v>34</v>
      </c>
      <c r="E110" s="6" t="s">
        <v>35</v>
      </c>
      <c r="F110" s="6" t="s">
        <v>22</v>
      </c>
      <c r="G110" s="6">
        <v>31</v>
      </c>
      <c r="H110" s="7">
        <v>968.52</v>
      </c>
      <c r="I110" s="7">
        <v>30024.12</v>
      </c>
      <c r="J110" s="8">
        <v>45233</v>
      </c>
      <c r="K110" s="6">
        <v>56</v>
      </c>
      <c r="L110" s="6" t="s">
        <v>23</v>
      </c>
      <c r="M110" s="6" t="b">
        <v>1</v>
      </c>
      <c r="N110" s="6">
        <v>20.68</v>
      </c>
      <c r="O110" s="6" t="s">
        <v>42</v>
      </c>
      <c r="P110" s="6" t="b">
        <v>1</v>
      </c>
      <c r="Q110" s="9" t="s">
        <v>25</v>
      </c>
    </row>
    <row r="111" spans="1:17" x14ac:dyDescent="0.25">
      <c r="A111" s="5" t="s">
        <v>161</v>
      </c>
      <c r="B111" s="6" t="s">
        <v>51</v>
      </c>
      <c r="C111" s="6" t="s">
        <v>19</v>
      </c>
      <c r="D111" s="6" t="s">
        <v>20</v>
      </c>
      <c r="E111" s="6" t="s">
        <v>44</v>
      </c>
      <c r="F111" s="6" t="s">
        <v>29</v>
      </c>
      <c r="G111" s="6">
        <v>33</v>
      </c>
      <c r="H111" s="7">
        <v>203.41</v>
      </c>
      <c r="I111" s="7">
        <v>6712.53</v>
      </c>
      <c r="J111" s="8">
        <v>45514</v>
      </c>
      <c r="K111" s="6">
        <v>20</v>
      </c>
      <c r="L111" s="6" t="s">
        <v>49</v>
      </c>
      <c r="M111" s="6" t="b">
        <v>0</v>
      </c>
      <c r="N111" s="6">
        <v>1.98</v>
      </c>
      <c r="O111" s="6" t="s">
        <v>30</v>
      </c>
      <c r="P111" s="6" t="b">
        <v>0</v>
      </c>
      <c r="Q111" s="9" t="s">
        <v>25</v>
      </c>
    </row>
    <row r="112" spans="1:17" x14ac:dyDescent="0.25">
      <c r="A112" s="5" t="s">
        <v>162</v>
      </c>
      <c r="B112" s="6" t="s">
        <v>72</v>
      </c>
      <c r="C112" s="6" t="s">
        <v>33</v>
      </c>
      <c r="D112" s="6" t="s">
        <v>52</v>
      </c>
      <c r="E112" s="6" t="s">
        <v>28</v>
      </c>
      <c r="F112" s="6" t="s">
        <v>29</v>
      </c>
      <c r="G112" s="6">
        <v>13</v>
      </c>
      <c r="H112" s="7">
        <v>961.39</v>
      </c>
      <c r="I112" s="7">
        <v>12498.07</v>
      </c>
      <c r="J112" s="8">
        <v>45171</v>
      </c>
      <c r="K112" s="6">
        <v>34</v>
      </c>
      <c r="L112" s="6" t="s">
        <v>41</v>
      </c>
      <c r="M112" s="6" t="b">
        <v>0</v>
      </c>
      <c r="N112" s="6">
        <v>14.06</v>
      </c>
      <c r="O112" s="6" t="s">
        <v>56</v>
      </c>
      <c r="P112" s="6" t="b">
        <v>1</v>
      </c>
      <c r="Q112" s="9" t="s">
        <v>36</v>
      </c>
    </row>
    <row r="113" spans="1:17" x14ac:dyDescent="0.25">
      <c r="A113" s="5" t="s">
        <v>163</v>
      </c>
      <c r="B113" s="6" t="s">
        <v>51</v>
      </c>
      <c r="C113" s="6" t="s">
        <v>19</v>
      </c>
      <c r="D113" s="6" t="s">
        <v>34</v>
      </c>
      <c r="E113" s="6" t="s">
        <v>44</v>
      </c>
      <c r="F113" s="6" t="s">
        <v>40</v>
      </c>
      <c r="G113" s="6">
        <v>18</v>
      </c>
      <c r="H113" s="7">
        <v>187.81</v>
      </c>
      <c r="I113" s="7">
        <v>3380.58</v>
      </c>
      <c r="J113" s="8">
        <v>45048</v>
      </c>
      <c r="K113" s="6">
        <v>41</v>
      </c>
      <c r="L113" s="6" t="s">
        <v>23</v>
      </c>
      <c r="M113" s="6" t="b">
        <v>1</v>
      </c>
      <c r="N113" s="6">
        <v>19.88</v>
      </c>
      <c r="O113" s="6" t="s">
        <v>24</v>
      </c>
      <c r="P113" s="6" t="b">
        <v>1</v>
      </c>
      <c r="Q113" s="9" t="s">
        <v>36</v>
      </c>
    </row>
    <row r="114" spans="1:17" x14ac:dyDescent="0.25">
      <c r="A114" s="5" t="s">
        <v>164</v>
      </c>
      <c r="B114" s="6" t="s">
        <v>38</v>
      </c>
      <c r="C114" s="6" t="s">
        <v>39</v>
      </c>
      <c r="D114" s="6" t="s">
        <v>47</v>
      </c>
      <c r="E114" s="6" t="s">
        <v>44</v>
      </c>
      <c r="F114" s="6" t="s">
        <v>22</v>
      </c>
      <c r="G114" s="6">
        <v>41</v>
      </c>
      <c r="H114" s="7">
        <v>187.68</v>
      </c>
      <c r="I114" s="7">
        <v>7694.88</v>
      </c>
      <c r="J114" s="8">
        <v>45111</v>
      </c>
      <c r="K114" s="6">
        <v>41</v>
      </c>
      <c r="L114" s="6" t="s">
        <v>41</v>
      </c>
      <c r="M114" s="6" t="b">
        <v>1</v>
      </c>
      <c r="N114" s="6">
        <v>22.98</v>
      </c>
      <c r="O114" s="6" t="s">
        <v>30</v>
      </c>
      <c r="P114" s="6" t="b">
        <v>1</v>
      </c>
      <c r="Q114" s="9" t="s">
        <v>36</v>
      </c>
    </row>
    <row r="115" spans="1:17" x14ac:dyDescent="0.25">
      <c r="A115" s="5" t="s">
        <v>165</v>
      </c>
      <c r="B115" s="6" t="s">
        <v>51</v>
      </c>
      <c r="C115" s="6" t="s">
        <v>33</v>
      </c>
      <c r="D115" s="6" t="s">
        <v>52</v>
      </c>
      <c r="E115" s="6" t="s">
        <v>28</v>
      </c>
      <c r="F115" s="6" t="s">
        <v>48</v>
      </c>
      <c r="G115" s="6">
        <v>58</v>
      </c>
      <c r="H115" s="7">
        <v>1105.8699999999999</v>
      </c>
      <c r="I115" s="7">
        <v>64140.46</v>
      </c>
      <c r="J115" s="8">
        <v>44958</v>
      </c>
      <c r="K115" s="6">
        <v>20</v>
      </c>
      <c r="L115" s="6" t="s">
        <v>23</v>
      </c>
      <c r="M115" s="6" t="b">
        <v>0</v>
      </c>
      <c r="N115" s="6">
        <v>13.61</v>
      </c>
      <c r="O115" s="6" t="s">
        <v>42</v>
      </c>
      <c r="P115" s="6" t="b">
        <v>0</v>
      </c>
      <c r="Q115" s="9" t="s">
        <v>25</v>
      </c>
    </row>
    <row r="116" spans="1:17" x14ac:dyDescent="0.25">
      <c r="A116" s="5" t="s">
        <v>166</v>
      </c>
      <c r="B116" s="6" t="s">
        <v>72</v>
      </c>
      <c r="C116" s="6" t="s">
        <v>19</v>
      </c>
      <c r="D116" s="6" t="s">
        <v>34</v>
      </c>
      <c r="E116" s="6" t="s">
        <v>28</v>
      </c>
      <c r="F116" s="6" t="s">
        <v>29</v>
      </c>
      <c r="G116" s="6">
        <v>56</v>
      </c>
      <c r="H116" s="7">
        <v>520</v>
      </c>
      <c r="I116" s="7">
        <v>29120</v>
      </c>
      <c r="J116" s="8">
        <v>45495</v>
      </c>
      <c r="K116" s="6">
        <v>62</v>
      </c>
      <c r="L116" s="6" t="s">
        <v>41</v>
      </c>
      <c r="M116" s="6" t="b">
        <v>1</v>
      </c>
      <c r="N116" s="6">
        <v>18.91</v>
      </c>
      <c r="O116" s="6" t="s">
        <v>42</v>
      </c>
      <c r="P116" s="6" t="b">
        <v>0</v>
      </c>
      <c r="Q116" s="9" t="s">
        <v>25</v>
      </c>
    </row>
    <row r="117" spans="1:17" x14ac:dyDescent="0.25">
      <c r="A117" s="5" t="s">
        <v>167</v>
      </c>
      <c r="B117" s="6" t="s">
        <v>38</v>
      </c>
      <c r="C117" s="6" t="s">
        <v>19</v>
      </c>
      <c r="D117" s="6" t="s">
        <v>52</v>
      </c>
      <c r="E117" s="6" t="s">
        <v>35</v>
      </c>
      <c r="F117" s="6" t="s">
        <v>22</v>
      </c>
      <c r="G117" s="6">
        <v>24</v>
      </c>
      <c r="H117" s="7">
        <v>1467.26</v>
      </c>
      <c r="I117" s="7">
        <v>35214.239999999998</v>
      </c>
      <c r="J117" s="8">
        <v>45236</v>
      </c>
      <c r="K117" s="6">
        <v>24</v>
      </c>
      <c r="L117" s="6" t="s">
        <v>23</v>
      </c>
      <c r="M117" s="6" t="b">
        <v>1</v>
      </c>
      <c r="N117" s="6">
        <v>16.190000000000001</v>
      </c>
      <c r="O117" s="6" t="s">
        <v>56</v>
      </c>
      <c r="P117" s="6" t="b">
        <v>0</v>
      </c>
      <c r="Q117" s="9" t="s">
        <v>36</v>
      </c>
    </row>
    <row r="118" spans="1:17" x14ac:dyDescent="0.25">
      <c r="A118" s="5" t="s">
        <v>168</v>
      </c>
      <c r="B118" s="6" t="s">
        <v>46</v>
      </c>
      <c r="C118" s="6" t="s">
        <v>19</v>
      </c>
      <c r="D118" s="6" t="s">
        <v>64</v>
      </c>
      <c r="E118" s="6" t="s">
        <v>35</v>
      </c>
      <c r="F118" s="6" t="s">
        <v>40</v>
      </c>
      <c r="G118" s="6">
        <v>73</v>
      </c>
      <c r="H118" s="7">
        <v>104.16</v>
      </c>
      <c r="I118" s="7">
        <v>7603.68</v>
      </c>
      <c r="J118" s="8">
        <v>45298</v>
      </c>
      <c r="K118" s="6">
        <v>42</v>
      </c>
      <c r="L118" s="6" t="s">
        <v>23</v>
      </c>
      <c r="M118" s="6" t="b">
        <v>1</v>
      </c>
      <c r="N118" s="6">
        <v>1.57</v>
      </c>
      <c r="O118" s="6" t="s">
        <v>56</v>
      </c>
      <c r="P118" s="6" t="b">
        <v>1</v>
      </c>
      <c r="Q118" s="9" t="s">
        <v>36</v>
      </c>
    </row>
    <row r="119" spans="1:17" x14ac:dyDescent="0.25">
      <c r="A119" s="5" t="s">
        <v>169</v>
      </c>
      <c r="B119" s="6" t="s">
        <v>18</v>
      </c>
      <c r="C119" s="6" t="s">
        <v>33</v>
      </c>
      <c r="D119" s="6" t="s">
        <v>64</v>
      </c>
      <c r="E119" s="6" t="s">
        <v>21</v>
      </c>
      <c r="F119" s="6" t="s">
        <v>48</v>
      </c>
      <c r="G119" s="6">
        <v>31</v>
      </c>
      <c r="H119" s="7">
        <v>695.4</v>
      </c>
      <c r="I119" s="7">
        <v>21557.4</v>
      </c>
      <c r="J119" s="8">
        <v>45582</v>
      </c>
      <c r="K119" s="6">
        <v>20</v>
      </c>
      <c r="L119" s="6" t="s">
        <v>41</v>
      </c>
      <c r="M119" s="6" t="b">
        <v>0</v>
      </c>
      <c r="N119" s="6">
        <v>22.28</v>
      </c>
      <c r="O119" s="6" t="s">
        <v>56</v>
      </c>
      <c r="P119" s="6" t="b">
        <v>1</v>
      </c>
      <c r="Q119" s="9" t="s">
        <v>36</v>
      </c>
    </row>
    <row r="120" spans="1:17" x14ac:dyDescent="0.25">
      <c r="A120" s="5" t="s">
        <v>170</v>
      </c>
      <c r="B120" s="6" t="s">
        <v>18</v>
      </c>
      <c r="C120" s="6" t="s">
        <v>39</v>
      </c>
      <c r="D120" s="6" t="s">
        <v>20</v>
      </c>
      <c r="E120" s="6" t="s">
        <v>44</v>
      </c>
      <c r="F120" s="6" t="s">
        <v>40</v>
      </c>
      <c r="G120" s="6">
        <v>55</v>
      </c>
      <c r="H120" s="7">
        <v>214.05</v>
      </c>
      <c r="I120" s="7">
        <v>11772.75</v>
      </c>
      <c r="J120" s="8">
        <v>45522</v>
      </c>
      <c r="K120" s="6">
        <v>32</v>
      </c>
      <c r="L120" s="6" t="s">
        <v>41</v>
      </c>
      <c r="M120" s="6" t="b">
        <v>0</v>
      </c>
      <c r="N120" s="6">
        <v>5.17</v>
      </c>
      <c r="O120" s="6" t="s">
        <v>56</v>
      </c>
      <c r="P120" s="6" t="b">
        <v>1</v>
      </c>
      <c r="Q120" s="9" t="s">
        <v>25</v>
      </c>
    </row>
    <row r="121" spans="1:17" x14ac:dyDescent="0.25">
      <c r="A121" s="5" t="s">
        <v>171</v>
      </c>
      <c r="B121" s="6" t="s">
        <v>76</v>
      </c>
      <c r="C121" s="6" t="s">
        <v>19</v>
      </c>
      <c r="D121" s="6" t="s">
        <v>20</v>
      </c>
      <c r="E121" s="6" t="s">
        <v>35</v>
      </c>
      <c r="F121" s="6" t="s">
        <v>29</v>
      </c>
      <c r="G121" s="6">
        <v>10</v>
      </c>
      <c r="H121" s="7">
        <v>559.5</v>
      </c>
      <c r="I121" s="7">
        <v>5595</v>
      </c>
      <c r="J121" s="8">
        <v>44982</v>
      </c>
      <c r="K121" s="6">
        <v>46</v>
      </c>
      <c r="L121" s="6" t="s">
        <v>41</v>
      </c>
      <c r="M121" s="6" t="b">
        <v>1</v>
      </c>
      <c r="N121" s="6">
        <v>0.95</v>
      </c>
      <c r="O121" s="6" t="s">
        <v>56</v>
      </c>
      <c r="P121" s="6" t="b">
        <v>1</v>
      </c>
      <c r="Q121" s="9" t="s">
        <v>36</v>
      </c>
    </row>
    <row r="122" spans="1:17" x14ac:dyDescent="0.25">
      <c r="A122" s="5" t="s">
        <v>172</v>
      </c>
      <c r="B122" s="6" t="s">
        <v>46</v>
      </c>
      <c r="C122" s="6" t="s">
        <v>19</v>
      </c>
      <c r="D122" s="6" t="s">
        <v>64</v>
      </c>
      <c r="E122" s="6" t="s">
        <v>21</v>
      </c>
      <c r="F122" s="6" t="s">
        <v>22</v>
      </c>
      <c r="G122" s="6">
        <v>60</v>
      </c>
      <c r="H122" s="7">
        <v>1497.42</v>
      </c>
      <c r="I122" s="7">
        <v>89845.2</v>
      </c>
      <c r="J122" s="8">
        <v>45199</v>
      </c>
      <c r="K122" s="6">
        <v>67</v>
      </c>
      <c r="L122" s="6" t="s">
        <v>49</v>
      </c>
      <c r="M122" s="6" t="b">
        <v>0</v>
      </c>
      <c r="N122" s="6">
        <v>13.54</v>
      </c>
      <c r="O122" s="6" t="s">
        <v>24</v>
      </c>
      <c r="P122" s="6" t="b">
        <v>1</v>
      </c>
      <c r="Q122" s="9" t="s">
        <v>36</v>
      </c>
    </row>
    <row r="123" spans="1:17" x14ac:dyDescent="0.25">
      <c r="A123" s="5" t="s">
        <v>173</v>
      </c>
      <c r="B123" s="6" t="s">
        <v>46</v>
      </c>
      <c r="C123" s="6" t="s">
        <v>19</v>
      </c>
      <c r="D123" s="6" t="s">
        <v>52</v>
      </c>
      <c r="E123" s="6" t="s">
        <v>35</v>
      </c>
      <c r="F123" s="6" t="s">
        <v>22</v>
      </c>
      <c r="G123" s="6">
        <v>2</v>
      </c>
      <c r="H123" s="7">
        <v>1338.82</v>
      </c>
      <c r="I123" s="7">
        <v>2677.64</v>
      </c>
      <c r="J123" s="8">
        <v>45390</v>
      </c>
      <c r="K123" s="6">
        <v>46</v>
      </c>
      <c r="L123" s="6" t="s">
        <v>49</v>
      </c>
      <c r="M123" s="6" t="b">
        <v>0</v>
      </c>
      <c r="N123" s="6">
        <v>25.97</v>
      </c>
      <c r="O123" s="6" t="s">
        <v>30</v>
      </c>
      <c r="P123" s="6" t="b">
        <v>0</v>
      </c>
      <c r="Q123" s="9" t="s">
        <v>25</v>
      </c>
    </row>
    <row r="124" spans="1:17" x14ac:dyDescent="0.25">
      <c r="A124" s="5" t="s">
        <v>174</v>
      </c>
      <c r="B124" s="6" t="s">
        <v>51</v>
      </c>
      <c r="C124" s="6" t="s">
        <v>19</v>
      </c>
      <c r="D124" s="6" t="s">
        <v>64</v>
      </c>
      <c r="E124" s="6" t="s">
        <v>28</v>
      </c>
      <c r="F124" s="6" t="s">
        <v>22</v>
      </c>
      <c r="G124" s="6">
        <v>15</v>
      </c>
      <c r="H124" s="7">
        <v>120.07</v>
      </c>
      <c r="I124" s="7">
        <v>1801.05</v>
      </c>
      <c r="J124" s="8">
        <v>45382</v>
      </c>
      <c r="K124" s="6">
        <v>27</v>
      </c>
      <c r="L124" s="6" t="s">
        <v>41</v>
      </c>
      <c r="M124" s="6" t="b">
        <v>1</v>
      </c>
      <c r="N124" s="6">
        <v>4.5199999999999996</v>
      </c>
      <c r="O124" s="6" t="s">
        <v>56</v>
      </c>
      <c r="P124" s="6" t="b">
        <v>1</v>
      </c>
      <c r="Q124" s="9" t="s">
        <v>36</v>
      </c>
    </row>
    <row r="125" spans="1:17" x14ac:dyDescent="0.25">
      <c r="A125" s="5" t="s">
        <v>175</v>
      </c>
      <c r="B125" s="6" t="s">
        <v>18</v>
      </c>
      <c r="C125" s="6" t="s">
        <v>19</v>
      </c>
      <c r="D125" s="6" t="s">
        <v>20</v>
      </c>
      <c r="E125" s="6" t="s">
        <v>35</v>
      </c>
      <c r="F125" s="6" t="s">
        <v>22</v>
      </c>
      <c r="G125" s="6">
        <v>3</v>
      </c>
      <c r="H125" s="7">
        <v>866.72</v>
      </c>
      <c r="I125" s="7">
        <v>2600.16</v>
      </c>
      <c r="J125" s="8">
        <v>45596</v>
      </c>
      <c r="K125" s="6">
        <v>49</v>
      </c>
      <c r="L125" s="6" t="s">
        <v>49</v>
      </c>
      <c r="M125" s="6" t="b">
        <v>0</v>
      </c>
      <c r="N125" s="6">
        <v>0.39</v>
      </c>
      <c r="O125" s="6" t="s">
        <v>56</v>
      </c>
      <c r="P125" s="6" t="b">
        <v>1</v>
      </c>
      <c r="Q125" s="9" t="s">
        <v>25</v>
      </c>
    </row>
    <row r="126" spans="1:17" x14ac:dyDescent="0.25">
      <c r="A126" s="5" t="s">
        <v>176</v>
      </c>
      <c r="B126" s="6" t="s">
        <v>72</v>
      </c>
      <c r="C126" s="6" t="s">
        <v>39</v>
      </c>
      <c r="D126" s="6" t="s">
        <v>64</v>
      </c>
      <c r="E126" s="6" t="s">
        <v>44</v>
      </c>
      <c r="F126" s="6" t="s">
        <v>48</v>
      </c>
      <c r="G126" s="6">
        <v>43</v>
      </c>
      <c r="H126" s="7">
        <v>989.34</v>
      </c>
      <c r="I126" s="7">
        <v>42541.62</v>
      </c>
      <c r="J126" s="8">
        <v>45175</v>
      </c>
      <c r="K126" s="6">
        <v>40</v>
      </c>
      <c r="L126" s="6" t="s">
        <v>23</v>
      </c>
      <c r="M126" s="6" t="b">
        <v>0</v>
      </c>
      <c r="N126" s="6">
        <v>3.3</v>
      </c>
      <c r="O126" s="6" t="s">
        <v>24</v>
      </c>
      <c r="P126" s="6" t="b">
        <v>0</v>
      </c>
      <c r="Q126" s="9" t="s">
        <v>25</v>
      </c>
    </row>
    <row r="127" spans="1:17" x14ac:dyDescent="0.25">
      <c r="A127" s="5" t="s">
        <v>177</v>
      </c>
      <c r="B127" s="6" t="s">
        <v>27</v>
      </c>
      <c r="C127" s="6" t="s">
        <v>39</v>
      </c>
      <c r="D127" s="6" t="s">
        <v>64</v>
      </c>
      <c r="E127" s="6" t="s">
        <v>35</v>
      </c>
      <c r="F127" s="6" t="s">
        <v>48</v>
      </c>
      <c r="G127" s="6">
        <v>31</v>
      </c>
      <c r="H127" s="7">
        <v>353.83</v>
      </c>
      <c r="I127" s="7">
        <v>10968.73</v>
      </c>
      <c r="J127" s="8">
        <v>45004</v>
      </c>
      <c r="K127" s="6">
        <v>56</v>
      </c>
      <c r="L127" s="6" t="s">
        <v>41</v>
      </c>
      <c r="M127" s="6" t="b">
        <v>0</v>
      </c>
      <c r="N127" s="6">
        <v>10.91</v>
      </c>
      <c r="O127" s="6" t="s">
        <v>30</v>
      </c>
      <c r="P127" s="6" t="b">
        <v>0</v>
      </c>
      <c r="Q127" s="9" t="s">
        <v>36</v>
      </c>
    </row>
    <row r="128" spans="1:17" x14ac:dyDescent="0.25">
      <c r="A128" s="5" t="s">
        <v>178</v>
      </c>
      <c r="B128" s="6" t="s">
        <v>27</v>
      </c>
      <c r="C128" s="6" t="s">
        <v>19</v>
      </c>
      <c r="D128" s="6" t="s">
        <v>52</v>
      </c>
      <c r="E128" s="6" t="s">
        <v>44</v>
      </c>
      <c r="F128" s="6" t="s">
        <v>40</v>
      </c>
      <c r="G128" s="6">
        <v>70</v>
      </c>
      <c r="H128" s="7">
        <v>260.39999999999998</v>
      </c>
      <c r="I128" s="7">
        <v>18228</v>
      </c>
      <c r="J128" s="8">
        <v>45460</v>
      </c>
      <c r="K128" s="6">
        <v>26</v>
      </c>
      <c r="L128" s="6" t="s">
        <v>49</v>
      </c>
      <c r="M128" s="6" t="b">
        <v>0</v>
      </c>
      <c r="N128" s="6">
        <v>17.41</v>
      </c>
      <c r="O128" s="6" t="s">
        <v>56</v>
      </c>
      <c r="P128" s="6" t="b">
        <v>0</v>
      </c>
      <c r="Q128" s="9" t="s">
        <v>25</v>
      </c>
    </row>
    <row r="129" spans="1:17" x14ac:dyDescent="0.25">
      <c r="A129" s="5" t="s">
        <v>179</v>
      </c>
      <c r="B129" s="6" t="s">
        <v>38</v>
      </c>
      <c r="C129" s="6" t="s">
        <v>33</v>
      </c>
      <c r="D129" s="6" t="s">
        <v>34</v>
      </c>
      <c r="E129" s="6" t="s">
        <v>28</v>
      </c>
      <c r="F129" s="6" t="s">
        <v>48</v>
      </c>
      <c r="G129" s="6">
        <v>67</v>
      </c>
      <c r="H129" s="7">
        <v>1361.35</v>
      </c>
      <c r="I129" s="7">
        <v>91210.45</v>
      </c>
      <c r="J129" s="8">
        <v>45034</v>
      </c>
      <c r="K129" s="6">
        <v>54</v>
      </c>
      <c r="L129" s="6" t="s">
        <v>41</v>
      </c>
      <c r="M129" s="6" t="b">
        <v>0</v>
      </c>
      <c r="N129" s="6">
        <v>5.79</v>
      </c>
      <c r="O129" s="6" t="s">
        <v>30</v>
      </c>
      <c r="P129" s="6" t="b">
        <v>0</v>
      </c>
      <c r="Q129" s="9" t="s">
        <v>25</v>
      </c>
    </row>
    <row r="130" spans="1:17" x14ac:dyDescent="0.25">
      <c r="A130" s="5" t="s">
        <v>180</v>
      </c>
      <c r="B130" s="6" t="s">
        <v>18</v>
      </c>
      <c r="C130" s="6" t="s">
        <v>39</v>
      </c>
      <c r="D130" s="6" t="s">
        <v>20</v>
      </c>
      <c r="E130" s="6" t="s">
        <v>44</v>
      </c>
      <c r="F130" s="6" t="s">
        <v>29</v>
      </c>
      <c r="G130" s="6">
        <v>56</v>
      </c>
      <c r="H130" s="7">
        <v>1454.78</v>
      </c>
      <c r="I130" s="7">
        <v>81467.679999999993</v>
      </c>
      <c r="J130" s="8">
        <v>45199</v>
      </c>
      <c r="K130" s="6">
        <v>69</v>
      </c>
      <c r="L130" s="6" t="s">
        <v>23</v>
      </c>
      <c r="M130" s="6" t="b">
        <v>0</v>
      </c>
      <c r="N130" s="6">
        <v>24.06</v>
      </c>
      <c r="O130" s="6" t="s">
        <v>30</v>
      </c>
      <c r="P130" s="6" t="b">
        <v>0</v>
      </c>
      <c r="Q130" s="9" t="s">
        <v>36</v>
      </c>
    </row>
    <row r="131" spans="1:17" x14ac:dyDescent="0.25">
      <c r="A131" s="5" t="s">
        <v>181</v>
      </c>
      <c r="B131" s="6" t="s">
        <v>18</v>
      </c>
      <c r="C131" s="6" t="s">
        <v>33</v>
      </c>
      <c r="D131" s="6" t="s">
        <v>52</v>
      </c>
      <c r="E131" s="6" t="s">
        <v>35</v>
      </c>
      <c r="F131" s="6" t="s">
        <v>29</v>
      </c>
      <c r="G131" s="6">
        <v>63</v>
      </c>
      <c r="H131" s="7">
        <v>1488.24</v>
      </c>
      <c r="I131" s="7">
        <v>93759.12</v>
      </c>
      <c r="J131" s="8">
        <v>44941</v>
      </c>
      <c r="K131" s="6">
        <v>57</v>
      </c>
      <c r="L131" s="6" t="s">
        <v>23</v>
      </c>
      <c r="M131" s="6" t="b">
        <v>1</v>
      </c>
      <c r="N131" s="6">
        <v>22.6</v>
      </c>
      <c r="O131" s="6" t="s">
        <v>24</v>
      </c>
      <c r="P131" s="6" t="b">
        <v>1</v>
      </c>
      <c r="Q131" s="9" t="s">
        <v>25</v>
      </c>
    </row>
    <row r="132" spans="1:17" x14ac:dyDescent="0.25">
      <c r="A132" s="5" t="s">
        <v>182</v>
      </c>
      <c r="B132" s="6" t="s">
        <v>27</v>
      </c>
      <c r="C132" s="6" t="s">
        <v>39</v>
      </c>
      <c r="D132" s="6" t="s">
        <v>64</v>
      </c>
      <c r="E132" s="6" t="s">
        <v>21</v>
      </c>
      <c r="F132" s="6" t="s">
        <v>22</v>
      </c>
      <c r="G132" s="6">
        <v>75</v>
      </c>
      <c r="H132" s="7">
        <v>1195.1500000000001</v>
      </c>
      <c r="I132" s="7">
        <v>89636.25</v>
      </c>
      <c r="J132" s="8">
        <v>45296</v>
      </c>
      <c r="K132" s="6">
        <v>31</v>
      </c>
      <c r="L132" s="6" t="s">
        <v>49</v>
      </c>
      <c r="M132" s="6" t="b">
        <v>1</v>
      </c>
      <c r="N132" s="6">
        <v>20.88</v>
      </c>
      <c r="O132" s="6" t="s">
        <v>24</v>
      </c>
      <c r="P132" s="6" t="b">
        <v>1</v>
      </c>
      <c r="Q132" s="9" t="s">
        <v>25</v>
      </c>
    </row>
    <row r="133" spans="1:17" x14ac:dyDescent="0.25">
      <c r="A133" s="5" t="s">
        <v>183</v>
      </c>
      <c r="B133" s="6" t="s">
        <v>18</v>
      </c>
      <c r="C133" s="6" t="s">
        <v>19</v>
      </c>
      <c r="D133" s="6" t="s">
        <v>64</v>
      </c>
      <c r="E133" s="6" t="s">
        <v>28</v>
      </c>
      <c r="F133" s="6" t="s">
        <v>29</v>
      </c>
      <c r="G133" s="6">
        <v>15</v>
      </c>
      <c r="H133" s="7">
        <v>1012.08</v>
      </c>
      <c r="I133" s="7">
        <v>15181.2</v>
      </c>
      <c r="J133" s="8">
        <v>45230</v>
      </c>
      <c r="K133" s="6">
        <v>21</v>
      </c>
      <c r="L133" s="6" t="s">
        <v>23</v>
      </c>
      <c r="M133" s="6" t="b">
        <v>1</v>
      </c>
      <c r="N133" s="6">
        <v>14.62</v>
      </c>
      <c r="O133" s="6" t="s">
        <v>56</v>
      </c>
      <c r="P133" s="6" t="b">
        <v>1</v>
      </c>
      <c r="Q133" s="9" t="s">
        <v>36</v>
      </c>
    </row>
    <row r="134" spans="1:17" x14ac:dyDescent="0.25">
      <c r="A134" s="5" t="s">
        <v>184</v>
      </c>
      <c r="B134" s="6" t="s">
        <v>51</v>
      </c>
      <c r="C134" s="6" t="s">
        <v>39</v>
      </c>
      <c r="D134" s="6" t="s">
        <v>34</v>
      </c>
      <c r="E134" s="6" t="s">
        <v>35</v>
      </c>
      <c r="F134" s="6" t="s">
        <v>40</v>
      </c>
      <c r="G134" s="6">
        <v>92</v>
      </c>
      <c r="H134" s="7">
        <v>551.30999999999995</v>
      </c>
      <c r="I134" s="7">
        <v>50720.52</v>
      </c>
      <c r="J134" s="8">
        <v>45131</v>
      </c>
      <c r="K134" s="6">
        <v>37</v>
      </c>
      <c r="L134" s="6" t="s">
        <v>41</v>
      </c>
      <c r="M134" s="6" t="b">
        <v>0</v>
      </c>
      <c r="N134" s="6">
        <v>10.96</v>
      </c>
      <c r="O134" s="6" t="s">
        <v>42</v>
      </c>
      <c r="P134" s="6" t="b">
        <v>1</v>
      </c>
      <c r="Q134" s="9" t="s">
        <v>36</v>
      </c>
    </row>
    <row r="135" spans="1:17" x14ac:dyDescent="0.25">
      <c r="A135" s="5" t="s">
        <v>185</v>
      </c>
      <c r="B135" s="6" t="s">
        <v>62</v>
      </c>
      <c r="C135" s="6" t="s">
        <v>19</v>
      </c>
      <c r="D135" s="6" t="s">
        <v>20</v>
      </c>
      <c r="E135" s="6" t="s">
        <v>28</v>
      </c>
      <c r="F135" s="6" t="s">
        <v>48</v>
      </c>
      <c r="G135" s="6">
        <v>10</v>
      </c>
      <c r="H135" s="7">
        <v>298.52999999999997</v>
      </c>
      <c r="I135" s="7">
        <v>2985.3</v>
      </c>
      <c r="J135" s="8">
        <v>45039</v>
      </c>
      <c r="K135" s="6">
        <v>45</v>
      </c>
      <c r="L135" s="6" t="s">
        <v>49</v>
      </c>
      <c r="M135" s="6" t="b">
        <v>1</v>
      </c>
      <c r="N135" s="6">
        <v>11.27</v>
      </c>
      <c r="O135" s="6" t="s">
        <v>24</v>
      </c>
      <c r="P135" s="6" t="b">
        <v>1</v>
      </c>
      <c r="Q135" s="9" t="s">
        <v>36</v>
      </c>
    </row>
    <row r="136" spans="1:17" x14ac:dyDescent="0.25">
      <c r="A136" s="5" t="s">
        <v>186</v>
      </c>
      <c r="B136" s="6" t="s">
        <v>66</v>
      </c>
      <c r="C136" s="6" t="s">
        <v>39</v>
      </c>
      <c r="D136" s="6" t="s">
        <v>20</v>
      </c>
      <c r="E136" s="6" t="s">
        <v>28</v>
      </c>
      <c r="F136" s="6" t="s">
        <v>48</v>
      </c>
      <c r="G136" s="6">
        <v>38</v>
      </c>
      <c r="H136" s="7">
        <v>164.52</v>
      </c>
      <c r="I136" s="7">
        <v>6251.76</v>
      </c>
      <c r="J136" s="8">
        <v>45179</v>
      </c>
      <c r="K136" s="6">
        <v>31</v>
      </c>
      <c r="L136" s="6" t="s">
        <v>41</v>
      </c>
      <c r="M136" s="6" t="b">
        <v>0</v>
      </c>
      <c r="N136" s="6">
        <v>15.09</v>
      </c>
      <c r="O136" s="6" t="s">
        <v>30</v>
      </c>
      <c r="P136" s="6" t="b">
        <v>0</v>
      </c>
      <c r="Q136" s="9" t="s">
        <v>36</v>
      </c>
    </row>
    <row r="137" spans="1:17" x14ac:dyDescent="0.25">
      <c r="A137" s="5" t="s">
        <v>187</v>
      </c>
      <c r="B137" s="6" t="s">
        <v>46</v>
      </c>
      <c r="C137" s="6" t="s">
        <v>19</v>
      </c>
      <c r="D137" s="6" t="s">
        <v>47</v>
      </c>
      <c r="E137" s="6" t="s">
        <v>35</v>
      </c>
      <c r="F137" s="6" t="s">
        <v>48</v>
      </c>
      <c r="G137" s="6">
        <v>47</v>
      </c>
      <c r="H137" s="7">
        <v>1055.28</v>
      </c>
      <c r="I137" s="7">
        <v>49598.16</v>
      </c>
      <c r="J137" s="8">
        <v>45367</v>
      </c>
      <c r="K137" s="6">
        <v>61</v>
      </c>
      <c r="L137" s="6" t="s">
        <v>41</v>
      </c>
      <c r="M137" s="6" t="b">
        <v>0</v>
      </c>
      <c r="N137" s="6">
        <v>2.3199999999999998</v>
      </c>
      <c r="O137" s="6" t="s">
        <v>30</v>
      </c>
      <c r="P137" s="6" t="b">
        <v>1</v>
      </c>
      <c r="Q137" s="9" t="s">
        <v>36</v>
      </c>
    </row>
    <row r="138" spans="1:17" x14ac:dyDescent="0.25">
      <c r="A138" s="5" t="s">
        <v>188</v>
      </c>
      <c r="B138" s="6" t="s">
        <v>76</v>
      </c>
      <c r="C138" s="6" t="s">
        <v>19</v>
      </c>
      <c r="D138" s="6" t="s">
        <v>20</v>
      </c>
      <c r="E138" s="6" t="s">
        <v>35</v>
      </c>
      <c r="F138" s="6" t="s">
        <v>29</v>
      </c>
      <c r="G138" s="6">
        <v>57</v>
      </c>
      <c r="H138" s="7">
        <v>1187.8499999999999</v>
      </c>
      <c r="I138" s="7">
        <v>67707.45</v>
      </c>
      <c r="J138" s="8">
        <v>45112</v>
      </c>
      <c r="K138" s="6">
        <v>51</v>
      </c>
      <c r="L138" s="6" t="s">
        <v>41</v>
      </c>
      <c r="M138" s="6" t="b">
        <v>1</v>
      </c>
      <c r="N138" s="6">
        <v>20.47</v>
      </c>
      <c r="O138" s="6" t="s">
        <v>56</v>
      </c>
      <c r="P138" s="6" t="b">
        <v>1</v>
      </c>
      <c r="Q138" s="9" t="s">
        <v>25</v>
      </c>
    </row>
    <row r="139" spans="1:17" x14ac:dyDescent="0.25">
      <c r="A139" s="5" t="s">
        <v>189</v>
      </c>
      <c r="B139" s="6" t="s">
        <v>38</v>
      </c>
      <c r="C139" s="6" t="s">
        <v>19</v>
      </c>
      <c r="D139" s="6" t="s">
        <v>34</v>
      </c>
      <c r="E139" s="6" t="s">
        <v>21</v>
      </c>
      <c r="F139" s="6" t="s">
        <v>48</v>
      </c>
      <c r="G139" s="6">
        <v>50</v>
      </c>
      <c r="H139" s="7">
        <v>1248.3599999999999</v>
      </c>
      <c r="I139" s="7">
        <v>62418</v>
      </c>
      <c r="J139" s="8">
        <v>45153</v>
      </c>
      <c r="K139" s="6">
        <v>30</v>
      </c>
      <c r="L139" s="6" t="s">
        <v>23</v>
      </c>
      <c r="M139" s="6" t="b">
        <v>0</v>
      </c>
      <c r="N139" s="6">
        <v>10.55</v>
      </c>
      <c r="O139" s="6" t="s">
        <v>56</v>
      </c>
      <c r="P139" s="6" t="b">
        <v>0</v>
      </c>
      <c r="Q139" s="9" t="s">
        <v>25</v>
      </c>
    </row>
    <row r="140" spans="1:17" x14ac:dyDescent="0.25">
      <c r="A140" s="5" t="s">
        <v>190</v>
      </c>
      <c r="B140" s="6" t="s">
        <v>62</v>
      </c>
      <c r="C140" s="6" t="s">
        <v>19</v>
      </c>
      <c r="D140" s="6" t="s">
        <v>47</v>
      </c>
      <c r="E140" s="6" t="s">
        <v>28</v>
      </c>
      <c r="F140" s="6" t="s">
        <v>22</v>
      </c>
      <c r="G140" s="6">
        <v>71</v>
      </c>
      <c r="H140" s="7">
        <v>1374.96</v>
      </c>
      <c r="I140" s="7">
        <v>97622.16</v>
      </c>
      <c r="J140" s="8">
        <v>45454</v>
      </c>
      <c r="K140" s="6">
        <v>48</v>
      </c>
      <c r="L140" s="6" t="s">
        <v>41</v>
      </c>
      <c r="M140" s="6" t="b">
        <v>1</v>
      </c>
      <c r="N140" s="6">
        <v>6.74</v>
      </c>
      <c r="O140" s="6" t="s">
        <v>56</v>
      </c>
      <c r="P140" s="6" t="b">
        <v>0</v>
      </c>
      <c r="Q140" s="9" t="s">
        <v>25</v>
      </c>
    </row>
    <row r="141" spans="1:17" x14ac:dyDescent="0.25">
      <c r="A141" s="5" t="s">
        <v>191</v>
      </c>
      <c r="B141" s="6" t="s">
        <v>27</v>
      </c>
      <c r="C141" s="6" t="s">
        <v>33</v>
      </c>
      <c r="D141" s="6" t="s">
        <v>47</v>
      </c>
      <c r="E141" s="6" t="s">
        <v>28</v>
      </c>
      <c r="F141" s="6" t="s">
        <v>22</v>
      </c>
      <c r="G141" s="6">
        <v>15</v>
      </c>
      <c r="H141" s="7">
        <v>1325.9</v>
      </c>
      <c r="I141" s="7">
        <v>19888.5</v>
      </c>
      <c r="J141" s="8">
        <v>45594</v>
      </c>
      <c r="K141" s="6">
        <v>50</v>
      </c>
      <c r="L141" s="6" t="s">
        <v>23</v>
      </c>
      <c r="M141" s="6" t="b">
        <v>0</v>
      </c>
      <c r="N141" s="6">
        <v>8.35</v>
      </c>
      <c r="O141" s="6" t="s">
        <v>30</v>
      </c>
      <c r="P141" s="6" t="b">
        <v>1</v>
      </c>
      <c r="Q141" s="9" t="s">
        <v>25</v>
      </c>
    </row>
    <row r="142" spans="1:17" x14ac:dyDescent="0.25">
      <c r="A142" s="5" t="s">
        <v>192</v>
      </c>
      <c r="B142" s="6" t="s">
        <v>46</v>
      </c>
      <c r="C142" s="6" t="s">
        <v>19</v>
      </c>
      <c r="D142" s="6" t="s">
        <v>64</v>
      </c>
      <c r="E142" s="6" t="s">
        <v>35</v>
      </c>
      <c r="F142" s="6" t="s">
        <v>22</v>
      </c>
      <c r="G142" s="6">
        <v>18</v>
      </c>
      <c r="H142" s="7">
        <v>1499.62</v>
      </c>
      <c r="I142" s="7">
        <v>26993.16</v>
      </c>
      <c r="J142" s="8">
        <v>45280</v>
      </c>
      <c r="K142" s="6">
        <v>69</v>
      </c>
      <c r="L142" s="6" t="s">
        <v>41</v>
      </c>
      <c r="M142" s="6" t="b">
        <v>1</v>
      </c>
      <c r="N142" s="6">
        <v>5.41</v>
      </c>
      <c r="O142" s="6" t="s">
        <v>24</v>
      </c>
      <c r="P142" s="6" t="b">
        <v>1</v>
      </c>
      <c r="Q142" s="9" t="s">
        <v>25</v>
      </c>
    </row>
    <row r="143" spans="1:17" x14ac:dyDescent="0.25">
      <c r="A143" s="5" t="s">
        <v>193</v>
      </c>
      <c r="B143" s="6" t="s">
        <v>18</v>
      </c>
      <c r="C143" s="6" t="s">
        <v>33</v>
      </c>
      <c r="D143" s="6" t="s">
        <v>64</v>
      </c>
      <c r="E143" s="6" t="s">
        <v>44</v>
      </c>
      <c r="F143" s="6" t="s">
        <v>29</v>
      </c>
      <c r="G143" s="6">
        <v>82</v>
      </c>
      <c r="H143" s="7">
        <v>403.89</v>
      </c>
      <c r="I143" s="7">
        <v>33118.980000000003</v>
      </c>
      <c r="J143" s="8">
        <v>45549</v>
      </c>
      <c r="K143" s="6">
        <v>56</v>
      </c>
      <c r="L143" s="6" t="s">
        <v>23</v>
      </c>
      <c r="M143" s="6" t="b">
        <v>1</v>
      </c>
      <c r="N143" s="6">
        <v>27.05</v>
      </c>
      <c r="O143" s="6" t="s">
        <v>42</v>
      </c>
      <c r="P143" s="6" t="b">
        <v>0</v>
      </c>
      <c r="Q143" s="9" t="s">
        <v>36</v>
      </c>
    </row>
    <row r="144" spans="1:17" x14ac:dyDescent="0.25">
      <c r="A144" s="5" t="s">
        <v>194</v>
      </c>
      <c r="B144" s="6" t="s">
        <v>76</v>
      </c>
      <c r="C144" s="6" t="s">
        <v>33</v>
      </c>
      <c r="D144" s="6" t="s">
        <v>20</v>
      </c>
      <c r="E144" s="6" t="s">
        <v>35</v>
      </c>
      <c r="F144" s="6" t="s">
        <v>48</v>
      </c>
      <c r="G144" s="6">
        <v>88</v>
      </c>
      <c r="H144" s="7">
        <v>1156.8</v>
      </c>
      <c r="I144" s="7">
        <v>101798.39999999999</v>
      </c>
      <c r="J144" s="8">
        <v>44927</v>
      </c>
      <c r="K144" s="6">
        <v>45</v>
      </c>
      <c r="L144" s="6" t="s">
        <v>23</v>
      </c>
      <c r="M144" s="6" t="b">
        <v>1</v>
      </c>
      <c r="N144" s="6">
        <v>5.07</v>
      </c>
      <c r="O144" s="6" t="s">
        <v>24</v>
      </c>
      <c r="P144" s="6" t="b">
        <v>1</v>
      </c>
      <c r="Q144" s="9" t="s">
        <v>36</v>
      </c>
    </row>
    <row r="145" spans="1:17" x14ac:dyDescent="0.25">
      <c r="A145" s="5" t="s">
        <v>195</v>
      </c>
      <c r="B145" s="6" t="s">
        <v>18</v>
      </c>
      <c r="C145" s="6" t="s">
        <v>19</v>
      </c>
      <c r="D145" s="6" t="s">
        <v>47</v>
      </c>
      <c r="E145" s="6" t="s">
        <v>28</v>
      </c>
      <c r="F145" s="6" t="s">
        <v>29</v>
      </c>
      <c r="G145" s="6">
        <v>2</v>
      </c>
      <c r="H145" s="7">
        <v>900.37</v>
      </c>
      <c r="I145" s="7">
        <v>1800.74</v>
      </c>
      <c r="J145" s="8">
        <v>45479</v>
      </c>
      <c r="K145" s="6">
        <v>42</v>
      </c>
      <c r="L145" s="6" t="s">
        <v>23</v>
      </c>
      <c r="M145" s="6" t="b">
        <v>1</v>
      </c>
      <c r="N145" s="6">
        <v>26.49</v>
      </c>
      <c r="O145" s="6" t="s">
        <v>42</v>
      </c>
      <c r="P145" s="6" t="b">
        <v>0</v>
      </c>
      <c r="Q145" s="9" t="s">
        <v>36</v>
      </c>
    </row>
    <row r="146" spans="1:17" x14ac:dyDescent="0.25">
      <c r="A146" s="5" t="s">
        <v>196</v>
      </c>
      <c r="B146" s="6" t="s">
        <v>72</v>
      </c>
      <c r="C146" s="6" t="s">
        <v>33</v>
      </c>
      <c r="D146" s="6" t="s">
        <v>64</v>
      </c>
      <c r="E146" s="6" t="s">
        <v>35</v>
      </c>
      <c r="F146" s="6" t="s">
        <v>48</v>
      </c>
      <c r="G146" s="6">
        <v>84</v>
      </c>
      <c r="H146" s="7">
        <v>428.81</v>
      </c>
      <c r="I146" s="7">
        <v>36020.04</v>
      </c>
      <c r="J146" s="8">
        <v>45486</v>
      </c>
      <c r="K146" s="6">
        <v>49</v>
      </c>
      <c r="L146" s="6" t="s">
        <v>41</v>
      </c>
      <c r="M146" s="6" t="b">
        <v>0</v>
      </c>
      <c r="N146" s="6">
        <v>17.170000000000002</v>
      </c>
      <c r="O146" s="6" t="s">
        <v>24</v>
      </c>
      <c r="P146" s="6" t="b">
        <v>1</v>
      </c>
      <c r="Q146" s="9" t="s">
        <v>36</v>
      </c>
    </row>
    <row r="147" spans="1:17" x14ac:dyDescent="0.25">
      <c r="A147" s="5" t="s">
        <v>197</v>
      </c>
      <c r="B147" s="6" t="s">
        <v>72</v>
      </c>
      <c r="C147" s="6" t="s">
        <v>39</v>
      </c>
      <c r="D147" s="6" t="s">
        <v>34</v>
      </c>
      <c r="E147" s="6" t="s">
        <v>21</v>
      </c>
      <c r="F147" s="6" t="s">
        <v>40</v>
      </c>
      <c r="G147" s="6">
        <v>98</v>
      </c>
      <c r="H147" s="7">
        <v>1473.76</v>
      </c>
      <c r="I147" s="7">
        <v>144428.48000000001</v>
      </c>
      <c r="J147" s="8">
        <v>45346</v>
      </c>
      <c r="K147" s="6">
        <v>26</v>
      </c>
      <c r="L147" s="6" t="s">
        <v>41</v>
      </c>
      <c r="M147" s="6" t="b">
        <v>1</v>
      </c>
      <c r="N147" s="6">
        <v>26.02</v>
      </c>
      <c r="O147" s="6" t="s">
        <v>56</v>
      </c>
      <c r="P147" s="6" t="b">
        <v>0</v>
      </c>
      <c r="Q147" s="9" t="s">
        <v>25</v>
      </c>
    </row>
    <row r="148" spans="1:17" x14ac:dyDescent="0.25">
      <c r="A148" s="5" t="s">
        <v>198</v>
      </c>
      <c r="B148" s="6" t="s">
        <v>76</v>
      </c>
      <c r="C148" s="6" t="s">
        <v>19</v>
      </c>
      <c r="D148" s="6" t="s">
        <v>64</v>
      </c>
      <c r="E148" s="6" t="s">
        <v>44</v>
      </c>
      <c r="F148" s="6" t="s">
        <v>40</v>
      </c>
      <c r="G148" s="6">
        <v>43</v>
      </c>
      <c r="H148" s="7">
        <v>1351.95</v>
      </c>
      <c r="I148" s="7">
        <v>58133.85</v>
      </c>
      <c r="J148" s="8">
        <v>45546</v>
      </c>
      <c r="K148" s="6">
        <v>45</v>
      </c>
      <c r="L148" s="6" t="s">
        <v>23</v>
      </c>
      <c r="M148" s="6" t="b">
        <v>0</v>
      </c>
      <c r="N148" s="6">
        <v>14.22</v>
      </c>
      <c r="O148" s="6" t="s">
        <v>30</v>
      </c>
      <c r="P148" s="6" t="b">
        <v>0</v>
      </c>
      <c r="Q148" s="9" t="s">
        <v>36</v>
      </c>
    </row>
    <row r="149" spans="1:17" x14ac:dyDescent="0.25">
      <c r="A149" s="5" t="s">
        <v>199</v>
      </c>
      <c r="B149" s="6" t="s">
        <v>76</v>
      </c>
      <c r="C149" s="6" t="s">
        <v>33</v>
      </c>
      <c r="D149" s="6" t="s">
        <v>64</v>
      </c>
      <c r="E149" s="6" t="s">
        <v>35</v>
      </c>
      <c r="F149" s="6" t="s">
        <v>29</v>
      </c>
      <c r="G149" s="6">
        <v>26</v>
      </c>
      <c r="H149" s="7">
        <v>236.35</v>
      </c>
      <c r="I149" s="7">
        <v>6145.1</v>
      </c>
      <c r="J149" s="8">
        <v>45087</v>
      </c>
      <c r="K149" s="6">
        <v>48</v>
      </c>
      <c r="L149" s="6" t="s">
        <v>41</v>
      </c>
      <c r="M149" s="6" t="b">
        <v>1</v>
      </c>
      <c r="N149" s="6">
        <v>27.83</v>
      </c>
      <c r="O149" s="6" t="s">
        <v>42</v>
      </c>
      <c r="P149" s="6" t="b">
        <v>0</v>
      </c>
      <c r="Q149" s="9" t="s">
        <v>36</v>
      </c>
    </row>
    <row r="150" spans="1:17" x14ac:dyDescent="0.25">
      <c r="A150" s="5" t="s">
        <v>200</v>
      </c>
      <c r="B150" s="6" t="s">
        <v>27</v>
      </c>
      <c r="C150" s="6" t="s">
        <v>19</v>
      </c>
      <c r="D150" s="6" t="s">
        <v>47</v>
      </c>
      <c r="E150" s="6" t="s">
        <v>21</v>
      </c>
      <c r="F150" s="6" t="s">
        <v>22</v>
      </c>
      <c r="G150" s="6">
        <v>71</v>
      </c>
      <c r="H150" s="7">
        <v>87.93</v>
      </c>
      <c r="I150" s="7">
        <v>6243.03</v>
      </c>
      <c r="J150" s="8">
        <v>45087</v>
      </c>
      <c r="K150" s="6">
        <v>34</v>
      </c>
      <c r="L150" s="6" t="s">
        <v>23</v>
      </c>
      <c r="M150" s="6" t="b">
        <v>1</v>
      </c>
      <c r="N150" s="6">
        <v>6.34</v>
      </c>
      <c r="O150" s="6" t="s">
        <v>24</v>
      </c>
      <c r="P150" s="6" t="b">
        <v>1</v>
      </c>
      <c r="Q150" s="9" t="s">
        <v>25</v>
      </c>
    </row>
    <row r="151" spans="1:17" x14ac:dyDescent="0.25">
      <c r="A151" s="5" t="s">
        <v>201</v>
      </c>
      <c r="B151" s="6" t="s">
        <v>76</v>
      </c>
      <c r="C151" s="6" t="s">
        <v>19</v>
      </c>
      <c r="D151" s="6" t="s">
        <v>47</v>
      </c>
      <c r="E151" s="6" t="s">
        <v>28</v>
      </c>
      <c r="F151" s="6" t="s">
        <v>29</v>
      </c>
      <c r="G151" s="6">
        <v>38</v>
      </c>
      <c r="H151" s="7">
        <v>1048.08</v>
      </c>
      <c r="I151" s="7">
        <v>39827.040000000001</v>
      </c>
      <c r="J151" s="8">
        <v>45054</v>
      </c>
      <c r="K151" s="6">
        <v>40</v>
      </c>
      <c r="L151" s="6" t="s">
        <v>41</v>
      </c>
      <c r="M151" s="6" t="b">
        <v>1</v>
      </c>
      <c r="N151" s="6">
        <v>16.64</v>
      </c>
      <c r="O151" s="6" t="s">
        <v>30</v>
      </c>
      <c r="P151" s="6" t="b">
        <v>0</v>
      </c>
      <c r="Q151" s="9" t="s">
        <v>25</v>
      </c>
    </row>
    <row r="152" spans="1:17" x14ac:dyDescent="0.25">
      <c r="A152" s="5" t="s">
        <v>202</v>
      </c>
      <c r="B152" s="6" t="s">
        <v>51</v>
      </c>
      <c r="C152" s="6" t="s">
        <v>19</v>
      </c>
      <c r="D152" s="6" t="s">
        <v>52</v>
      </c>
      <c r="E152" s="6" t="s">
        <v>35</v>
      </c>
      <c r="F152" s="6" t="s">
        <v>22</v>
      </c>
      <c r="G152" s="6">
        <v>94</v>
      </c>
      <c r="H152" s="7">
        <v>925.99</v>
      </c>
      <c r="I152" s="7">
        <v>87043.06</v>
      </c>
      <c r="J152" s="8">
        <v>45077</v>
      </c>
      <c r="K152" s="6">
        <v>30</v>
      </c>
      <c r="L152" s="6" t="s">
        <v>23</v>
      </c>
      <c r="M152" s="6" t="b">
        <v>0</v>
      </c>
      <c r="N152" s="6">
        <v>3.78</v>
      </c>
      <c r="O152" s="6" t="s">
        <v>42</v>
      </c>
      <c r="P152" s="6" t="b">
        <v>0</v>
      </c>
      <c r="Q152" s="9" t="s">
        <v>36</v>
      </c>
    </row>
    <row r="153" spans="1:17" x14ac:dyDescent="0.25">
      <c r="A153" s="5" t="s">
        <v>203</v>
      </c>
      <c r="B153" s="6" t="s">
        <v>18</v>
      </c>
      <c r="C153" s="6" t="s">
        <v>33</v>
      </c>
      <c r="D153" s="6" t="s">
        <v>34</v>
      </c>
      <c r="E153" s="6" t="s">
        <v>28</v>
      </c>
      <c r="F153" s="6" t="s">
        <v>48</v>
      </c>
      <c r="G153" s="6">
        <v>42</v>
      </c>
      <c r="H153" s="7">
        <v>1406.93</v>
      </c>
      <c r="I153" s="7">
        <v>59091.06</v>
      </c>
      <c r="J153" s="8">
        <v>45370</v>
      </c>
      <c r="K153" s="6">
        <v>27</v>
      </c>
      <c r="L153" s="6" t="s">
        <v>23</v>
      </c>
      <c r="M153" s="6" t="b">
        <v>1</v>
      </c>
      <c r="N153" s="6">
        <v>13.42</v>
      </c>
      <c r="O153" s="6" t="s">
        <v>42</v>
      </c>
      <c r="P153" s="6" t="b">
        <v>1</v>
      </c>
      <c r="Q153" s="9" t="s">
        <v>25</v>
      </c>
    </row>
    <row r="154" spans="1:17" x14ac:dyDescent="0.25">
      <c r="A154" s="5" t="s">
        <v>204</v>
      </c>
      <c r="B154" s="6" t="s">
        <v>62</v>
      </c>
      <c r="C154" s="6" t="s">
        <v>39</v>
      </c>
      <c r="D154" s="6" t="s">
        <v>47</v>
      </c>
      <c r="E154" s="6" t="s">
        <v>21</v>
      </c>
      <c r="F154" s="6" t="s">
        <v>22</v>
      </c>
      <c r="G154" s="6">
        <v>5</v>
      </c>
      <c r="H154" s="7">
        <v>389.31</v>
      </c>
      <c r="I154" s="7">
        <v>1946.55</v>
      </c>
      <c r="J154" s="8">
        <v>45397</v>
      </c>
      <c r="K154" s="6">
        <v>33</v>
      </c>
      <c r="L154" s="6" t="s">
        <v>49</v>
      </c>
      <c r="M154" s="6" t="b">
        <v>1</v>
      </c>
      <c r="N154" s="6">
        <v>17.100000000000001</v>
      </c>
      <c r="O154" s="6" t="s">
        <v>30</v>
      </c>
      <c r="P154" s="6" t="b">
        <v>1</v>
      </c>
      <c r="Q154" s="9" t="s">
        <v>25</v>
      </c>
    </row>
    <row r="155" spans="1:17" x14ac:dyDescent="0.25">
      <c r="A155" s="5" t="s">
        <v>205</v>
      </c>
      <c r="B155" s="6" t="s">
        <v>32</v>
      </c>
      <c r="C155" s="6" t="s">
        <v>39</v>
      </c>
      <c r="D155" s="6" t="s">
        <v>20</v>
      </c>
      <c r="E155" s="6" t="s">
        <v>28</v>
      </c>
      <c r="F155" s="6" t="s">
        <v>22</v>
      </c>
      <c r="G155" s="6">
        <v>11</v>
      </c>
      <c r="H155" s="7">
        <v>172.36</v>
      </c>
      <c r="I155" s="7">
        <v>1895.96</v>
      </c>
      <c r="J155" s="8">
        <v>45389</v>
      </c>
      <c r="K155" s="6">
        <v>23</v>
      </c>
      <c r="L155" s="6" t="s">
        <v>41</v>
      </c>
      <c r="M155" s="6" t="b">
        <v>0</v>
      </c>
      <c r="N155" s="6">
        <v>18.170000000000002</v>
      </c>
      <c r="O155" s="6" t="s">
        <v>56</v>
      </c>
      <c r="P155" s="6" t="b">
        <v>1</v>
      </c>
      <c r="Q155" s="9" t="s">
        <v>36</v>
      </c>
    </row>
    <row r="156" spans="1:17" x14ac:dyDescent="0.25">
      <c r="A156" s="5" t="s">
        <v>206</v>
      </c>
      <c r="B156" s="6" t="s">
        <v>76</v>
      </c>
      <c r="C156" s="6" t="s">
        <v>33</v>
      </c>
      <c r="D156" s="6" t="s">
        <v>34</v>
      </c>
      <c r="E156" s="6" t="s">
        <v>21</v>
      </c>
      <c r="F156" s="6" t="s">
        <v>48</v>
      </c>
      <c r="G156" s="6">
        <v>65</v>
      </c>
      <c r="H156" s="7">
        <v>425.86</v>
      </c>
      <c r="I156" s="7">
        <v>27680.9</v>
      </c>
      <c r="J156" s="8">
        <v>44956</v>
      </c>
      <c r="K156" s="6">
        <v>65</v>
      </c>
      <c r="L156" s="6" t="s">
        <v>41</v>
      </c>
      <c r="M156" s="6" t="b">
        <v>1</v>
      </c>
      <c r="N156" s="6">
        <v>10.97</v>
      </c>
      <c r="O156" s="6" t="s">
        <v>30</v>
      </c>
      <c r="P156" s="6" t="b">
        <v>0</v>
      </c>
      <c r="Q156" s="9" t="s">
        <v>25</v>
      </c>
    </row>
    <row r="157" spans="1:17" x14ac:dyDescent="0.25">
      <c r="A157" s="5" t="s">
        <v>207</v>
      </c>
      <c r="B157" s="6" t="s">
        <v>38</v>
      </c>
      <c r="C157" s="6" t="s">
        <v>19</v>
      </c>
      <c r="D157" s="6" t="s">
        <v>34</v>
      </c>
      <c r="E157" s="6" t="s">
        <v>21</v>
      </c>
      <c r="F157" s="6" t="s">
        <v>40</v>
      </c>
      <c r="G157" s="6">
        <v>34</v>
      </c>
      <c r="H157" s="7">
        <v>77.45</v>
      </c>
      <c r="I157" s="7">
        <v>2633.3</v>
      </c>
      <c r="J157" s="8">
        <v>45399</v>
      </c>
      <c r="K157" s="6">
        <v>28</v>
      </c>
      <c r="L157" s="6" t="s">
        <v>49</v>
      </c>
      <c r="M157" s="6" t="b">
        <v>0</v>
      </c>
      <c r="N157" s="6">
        <v>2.29</v>
      </c>
      <c r="O157" s="6" t="s">
        <v>56</v>
      </c>
      <c r="P157" s="6" t="b">
        <v>0</v>
      </c>
      <c r="Q157" s="9" t="s">
        <v>36</v>
      </c>
    </row>
    <row r="158" spans="1:17" x14ac:dyDescent="0.25">
      <c r="A158" s="5" t="s">
        <v>208</v>
      </c>
      <c r="B158" s="6" t="s">
        <v>72</v>
      </c>
      <c r="C158" s="6" t="s">
        <v>33</v>
      </c>
      <c r="D158" s="6" t="s">
        <v>47</v>
      </c>
      <c r="E158" s="6" t="s">
        <v>21</v>
      </c>
      <c r="F158" s="6" t="s">
        <v>48</v>
      </c>
      <c r="G158" s="6">
        <v>1</v>
      </c>
      <c r="H158" s="7">
        <v>102.04</v>
      </c>
      <c r="I158" s="7">
        <v>102.04</v>
      </c>
      <c r="J158" s="8">
        <v>45483</v>
      </c>
      <c r="K158" s="6">
        <v>69</v>
      </c>
      <c r="L158" s="6" t="s">
        <v>23</v>
      </c>
      <c r="M158" s="6" t="b">
        <v>1</v>
      </c>
      <c r="N158" s="6">
        <v>19.66</v>
      </c>
      <c r="O158" s="6" t="s">
        <v>24</v>
      </c>
      <c r="P158" s="6" t="b">
        <v>0</v>
      </c>
      <c r="Q158" s="9" t="s">
        <v>25</v>
      </c>
    </row>
    <row r="159" spans="1:17" x14ac:dyDescent="0.25">
      <c r="A159" s="5" t="s">
        <v>209</v>
      </c>
      <c r="B159" s="6" t="s">
        <v>51</v>
      </c>
      <c r="C159" s="6" t="s">
        <v>33</v>
      </c>
      <c r="D159" s="6" t="s">
        <v>34</v>
      </c>
      <c r="E159" s="6" t="s">
        <v>35</v>
      </c>
      <c r="F159" s="6" t="s">
        <v>29</v>
      </c>
      <c r="G159" s="6">
        <v>83</v>
      </c>
      <c r="H159" s="7">
        <v>1376.54</v>
      </c>
      <c r="I159" s="7">
        <v>114252.82</v>
      </c>
      <c r="J159" s="8">
        <v>45006</v>
      </c>
      <c r="K159" s="6">
        <v>20</v>
      </c>
      <c r="L159" s="6" t="s">
        <v>23</v>
      </c>
      <c r="M159" s="6" t="b">
        <v>1</v>
      </c>
      <c r="N159" s="6">
        <v>14.65</v>
      </c>
      <c r="O159" s="6" t="s">
        <v>24</v>
      </c>
      <c r="P159" s="6" t="b">
        <v>1</v>
      </c>
      <c r="Q159" s="9" t="s">
        <v>25</v>
      </c>
    </row>
    <row r="160" spans="1:17" x14ac:dyDescent="0.25">
      <c r="A160" s="5" t="s">
        <v>210</v>
      </c>
      <c r="B160" s="6" t="s">
        <v>46</v>
      </c>
      <c r="C160" s="6" t="s">
        <v>33</v>
      </c>
      <c r="D160" s="6" t="s">
        <v>47</v>
      </c>
      <c r="E160" s="6" t="s">
        <v>28</v>
      </c>
      <c r="F160" s="6" t="s">
        <v>29</v>
      </c>
      <c r="G160" s="6">
        <v>2</v>
      </c>
      <c r="H160" s="7">
        <v>560.41999999999996</v>
      </c>
      <c r="I160" s="7">
        <v>1120.8399999999999</v>
      </c>
      <c r="J160" s="8">
        <v>44965</v>
      </c>
      <c r="K160" s="6">
        <v>45</v>
      </c>
      <c r="L160" s="6" t="s">
        <v>49</v>
      </c>
      <c r="M160" s="6" t="b">
        <v>1</v>
      </c>
      <c r="N160" s="6">
        <v>4.1100000000000003</v>
      </c>
      <c r="O160" s="6" t="s">
        <v>30</v>
      </c>
      <c r="P160" s="6" t="b">
        <v>1</v>
      </c>
      <c r="Q160" s="9" t="s">
        <v>25</v>
      </c>
    </row>
    <row r="161" spans="1:17" x14ac:dyDescent="0.25">
      <c r="A161" s="5" t="s">
        <v>211</v>
      </c>
      <c r="B161" s="6" t="s">
        <v>32</v>
      </c>
      <c r="C161" s="6" t="s">
        <v>19</v>
      </c>
      <c r="D161" s="6" t="s">
        <v>64</v>
      </c>
      <c r="E161" s="6" t="s">
        <v>28</v>
      </c>
      <c r="F161" s="6" t="s">
        <v>29</v>
      </c>
      <c r="G161" s="6">
        <v>85</v>
      </c>
      <c r="H161" s="7">
        <v>645.66999999999996</v>
      </c>
      <c r="I161" s="7">
        <v>54881.95</v>
      </c>
      <c r="J161" s="8">
        <v>45166</v>
      </c>
      <c r="K161" s="6">
        <v>58</v>
      </c>
      <c r="L161" s="6" t="s">
        <v>49</v>
      </c>
      <c r="M161" s="6" t="b">
        <v>0</v>
      </c>
      <c r="N161" s="6">
        <v>28.08</v>
      </c>
      <c r="O161" s="6" t="s">
        <v>56</v>
      </c>
      <c r="P161" s="6" t="b">
        <v>0</v>
      </c>
      <c r="Q161" s="9" t="s">
        <v>25</v>
      </c>
    </row>
    <row r="162" spans="1:17" x14ac:dyDescent="0.25">
      <c r="A162" s="5" t="s">
        <v>212</v>
      </c>
      <c r="B162" s="6" t="s">
        <v>62</v>
      </c>
      <c r="C162" s="6" t="s">
        <v>33</v>
      </c>
      <c r="D162" s="6" t="s">
        <v>52</v>
      </c>
      <c r="E162" s="6" t="s">
        <v>44</v>
      </c>
      <c r="F162" s="6" t="s">
        <v>29</v>
      </c>
      <c r="G162" s="6">
        <v>20</v>
      </c>
      <c r="H162" s="7">
        <v>76.64</v>
      </c>
      <c r="I162" s="7">
        <v>1532.8</v>
      </c>
      <c r="J162" s="8">
        <v>45483</v>
      </c>
      <c r="K162" s="6">
        <v>32</v>
      </c>
      <c r="L162" s="6" t="s">
        <v>23</v>
      </c>
      <c r="M162" s="6" t="b">
        <v>1</v>
      </c>
      <c r="N162" s="6">
        <v>28.67</v>
      </c>
      <c r="O162" s="6" t="s">
        <v>24</v>
      </c>
      <c r="P162" s="6" t="b">
        <v>1</v>
      </c>
      <c r="Q162" s="9" t="s">
        <v>36</v>
      </c>
    </row>
    <row r="163" spans="1:17" x14ac:dyDescent="0.25">
      <c r="A163" s="5" t="s">
        <v>213</v>
      </c>
      <c r="B163" s="6" t="s">
        <v>32</v>
      </c>
      <c r="C163" s="6" t="s">
        <v>19</v>
      </c>
      <c r="D163" s="6" t="s">
        <v>64</v>
      </c>
      <c r="E163" s="6" t="s">
        <v>44</v>
      </c>
      <c r="F163" s="6" t="s">
        <v>29</v>
      </c>
      <c r="G163" s="6">
        <v>61</v>
      </c>
      <c r="H163" s="7">
        <v>442.26</v>
      </c>
      <c r="I163" s="7">
        <v>26977.86</v>
      </c>
      <c r="J163" s="8">
        <v>45516</v>
      </c>
      <c r="K163" s="6">
        <v>30</v>
      </c>
      <c r="L163" s="6" t="s">
        <v>41</v>
      </c>
      <c r="M163" s="6" t="b">
        <v>1</v>
      </c>
      <c r="N163" s="6">
        <v>25.7</v>
      </c>
      <c r="O163" s="6" t="s">
        <v>56</v>
      </c>
      <c r="P163" s="6" t="b">
        <v>1</v>
      </c>
      <c r="Q163" s="9" t="s">
        <v>25</v>
      </c>
    </row>
    <row r="164" spans="1:17" x14ac:dyDescent="0.25">
      <c r="A164" s="5" t="s">
        <v>214</v>
      </c>
      <c r="B164" s="6" t="s">
        <v>76</v>
      </c>
      <c r="C164" s="6" t="s">
        <v>33</v>
      </c>
      <c r="D164" s="6" t="s">
        <v>47</v>
      </c>
      <c r="E164" s="6" t="s">
        <v>44</v>
      </c>
      <c r="F164" s="6" t="s">
        <v>40</v>
      </c>
      <c r="G164" s="6">
        <v>87</v>
      </c>
      <c r="H164" s="7">
        <v>1216.8499999999999</v>
      </c>
      <c r="I164" s="7">
        <v>105865.95</v>
      </c>
      <c r="J164" s="8">
        <v>45263</v>
      </c>
      <c r="K164" s="6">
        <v>59</v>
      </c>
      <c r="L164" s="6" t="s">
        <v>49</v>
      </c>
      <c r="M164" s="6" t="b">
        <v>1</v>
      </c>
      <c r="N164" s="6">
        <v>25.32</v>
      </c>
      <c r="O164" s="6" t="s">
        <v>56</v>
      </c>
      <c r="P164" s="6" t="b">
        <v>0</v>
      </c>
      <c r="Q164" s="9" t="s">
        <v>36</v>
      </c>
    </row>
    <row r="165" spans="1:17" x14ac:dyDescent="0.25">
      <c r="A165" s="5" t="s">
        <v>215</v>
      </c>
      <c r="B165" s="6" t="s">
        <v>27</v>
      </c>
      <c r="C165" s="6" t="s">
        <v>39</v>
      </c>
      <c r="D165" s="6" t="s">
        <v>47</v>
      </c>
      <c r="E165" s="6" t="s">
        <v>44</v>
      </c>
      <c r="F165" s="6" t="s">
        <v>40</v>
      </c>
      <c r="G165" s="6">
        <v>21</v>
      </c>
      <c r="H165" s="7">
        <v>942.46</v>
      </c>
      <c r="I165" s="7">
        <v>19791.66</v>
      </c>
      <c r="J165" s="8">
        <v>45206</v>
      </c>
      <c r="K165" s="6">
        <v>69</v>
      </c>
      <c r="L165" s="6" t="s">
        <v>49</v>
      </c>
      <c r="M165" s="6" t="b">
        <v>0</v>
      </c>
      <c r="N165" s="6">
        <v>2.96</v>
      </c>
      <c r="O165" s="6" t="s">
        <v>56</v>
      </c>
      <c r="P165" s="6" t="b">
        <v>0</v>
      </c>
      <c r="Q165" s="9" t="s">
        <v>36</v>
      </c>
    </row>
    <row r="166" spans="1:17" x14ac:dyDescent="0.25">
      <c r="A166" s="5" t="s">
        <v>216</v>
      </c>
      <c r="B166" s="6" t="s">
        <v>72</v>
      </c>
      <c r="C166" s="6" t="s">
        <v>33</v>
      </c>
      <c r="D166" s="6" t="s">
        <v>64</v>
      </c>
      <c r="E166" s="6" t="s">
        <v>28</v>
      </c>
      <c r="F166" s="6" t="s">
        <v>22</v>
      </c>
      <c r="G166" s="6">
        <v>88</v>
      </c>
      <c r="H166" s="7">
        <v>1142.98</v>
      </c>
      <c r="I166" s="7">
        <v>100582.24</v>
      </c>
      <c r="J166" s="8">
        <v>45042</v>
      </c>
      <c r="K166" s="6">
        <v>62</v>
      </c>
      <c r="L166" s="6" t="s">
        <v>49</v>
      </c>
      <c r="M166" s="6" t="b">
        <v>0</v>
      </c>
      <c r="N166" s="6">
        <v>29.8</v>
      </c>
      <c r="O166" s="6" t="s">
        <v>30</v>
      </c>
      <c r="P166" s="6" t="b">
        <v>1</v>
      </c>
      <c r="Q166" s="9" t="s">
        <v>25</v>
      </c>
    </row>
    <row r="167" spans="1:17" x14ac:dyDescent="0.25">
      <c r="A167" s="5" t="s">
        <v>217</v>
      </c>
      <c r="B167" s="6" t="s">
        <v>72</v>
      </c>
      <c r="C167" s="6" t="s">
        <v>33</v>
      </c>
      <c r="D167" s="6" t="s">
        <v>20</v>
      </c>
      <c r="E167" s="6" t="s">
        <v>21</v>
      </c>
      <c r="F167" s="6" t="s">
        <v>29</v>
      </c>
      <c r="G167" s="6">
        <v>68</v>
      </c>
      <c r="H167" s="7">
        <v>698.46</v>
      </c>
      <c r="I167" s="7">
        <v>47495.28</v>
      </c>
      <c r="J167" s="8">
        <v>45195</v>
      </c>
      <c r="K167" s="6">
        <v>34</v>
      </c>
      <c r="L167" s="6" t="s">
        <v>49</v>
      </c>
      <c r="M167" s="6" t="b">
        <v>0</v>
      </c>
      <c r="N167" s="6">
        <v>12.01</v>
      </c>
      <c r="O167" s="6" t="s">
        <v>56</v>
      </c>
      <c r="P167" s="6" t="b">
        <v>0</v>
      </c>
      <c r="Q167" s="9" t="s">
        <v>25</v>
      </c>
    </row>
    <row r="168" spans="1:17" x14ac:dyDescent="0.25">
      <c r="A168" s="5" t="s">
        <v>218</v>
      </c>
      <c r="B168" s="6" t="s">
        <v>46</v>
      </c>
      <c r="C168" s="6" t="s">
        <v>39</v>
      </c>
      <c r="D168" s="6" t="s">
        <v>20</v>
      </c>
      <c r="E168" s="6" t="s">
        <v>21</v>
      </c>
      <c r="F168" s="6" t="s">
        <v>48</v>
      </c>
      <c r="G168" s="6">
        <v>12</v>
      </c>
      <c r="H168" s="7">
        <v>499.11</v>
      </c>
      <c r="I168" s="7">
        <v>5989.32</v>
      </c>
      <c r="J168" s="8">
        <v>45261</v>
      </c>
      <c r="K168" s="6">
        <v>24</v>
      </c>
      <c r="L168" s="6" t="s">
        <v>49</v>
      </c>
      <c r="M168" s="6" t="b">
        <v>0</v>
      </c>
      <c r="N168" s="6">
        <v>4.8899999999999997</v>
      </c>
      <c r="O168" s="6" t="s">
        <v>30</v>
      </c>
      <c r="P168" s="6" t="b">
        <v>1</v>
      </c>
      <c r="Q168" s="9" t="s">
        <v>36</v>
      </c>
    </row>
    <row r="169" spans="1:17" x14ac:dyDescent="0.25">
      <c r="A169" s="5" t="s">
        <v>219</v>
      </c>
      <c r="B169" s="6" t="s">
        <v>27</v>
      </c>
      <c r="C169" s="6" t="s">
        <v>19</v>
      </c>
      <c r="D169" s="6" t="s">
        <v>20</v>
      </c>
      <c r="E169" s="6" t="s">
        <v>35</v>
      </c>
      <c r="F169" s="6" t="s">
        <v>29</v>
      </c>
      <c r="G169" s="6">
        <v>22</v>
      </c>
      <c r="H169" s="7">
        <v>750.07</v>
      </c>
      <c r="I169" s="7">
        <v>16501.54</v>
      </c>
      <c r="J169" s="8">
        <v>45238</v>
      </c>
      <c r="K169" s="6">
        <v>45</v>
      </c>
      <c r="L169" s="6" t="s">
        <v>49</v>
      </c>
      <c r="M169" s="6" t="b">
        <v>0</v>
      </c>
      <c r="N169" s="6">
        <v>24.36</v>
      </c>
      <c r="O169" s="6" t="s">
        <v>24</v>
      </c>
      <c r="P169" s="6" t="b">
        <v>1</v>
      </c>
      <c r="Q169" s="9" t="s">
        <v>25</v>
      </c>
    </row>
    <row r="170" spans="1:17" x14ac:dyDescent="0.25">
      <c r="A170" s="5" t="s">
        <v>220</v>
      </c>
      <c r="B170" s="6" t="s">
        <v>18</v>
      </c>
      <c r="C170" s="6" t="s">
        <v>19</v>
      </c>
      <c r="D170" s="6" t="s">
        <v>47</v>
      </c>
      <c r="E170" s="6" t="s">
        <v>21</v>
      </c>
      <c r="F170" s="6" t="s">
        <v>40</v>
      </c>
      <c r="G170" s="6">
        <v>20</v>
      </c>
      <c r="H170" s="7">
        <v>518.45000000000005</v>
      </c>
      <c r="I170" s="7">
        <v>10369</v>
      </c>
      <c r="J170" s="8">
        <v>44979</v>
      </c>
      <c r="K170" s="6">
        <v>55</v>
      </c>
      <c r="L170" s="6" t="s">
        <v>23</v>
      </c>
      <c r="M170" s="6" t="b">
        <v>0</v>
      </c>
      <c r="N170" s="6">
        <v>6.77</v>
      </c>
      <c r="O170" s="6" t="s">
        <v>24</v>
      </c>
      <c r="P170" s="6" t="b">
        <v>0</v>
      </c>
      <c r="Q170" s="9" t="s">
        <v>25</v>
      </c>
    </row>
    <row r="171" spans="1:17" x14ac:dyDescent="0.25">
      <c r="A171" s="5" t="s">
        <v>221</v>
      </c>
      <c r="B171" s="6" t="s">
        <v>66</v>
      </c>
      <c r="C171" s="6" t="s">
        <v>33</v>
      </c>
      <c r="D171" s="6" t="s">
        <v>34</v>
      </c>
      <c r="E171" s="6" t="s">
        <v>28</v>
      </c>
      <c r="F171" s="6" t="s">
        <v>29</v>
      </c>
      <c r="G171" s="6">
        <v>82</v>
      </c>
      <c r="H171" s="7">
        <v>1266.51</v>
      </c>
      <c r="I171" s="7">
        <v>103853.82</v>
      </c>
      <c r="J171" s="8">
        <v>44994</v>
      </c>
      <c r="K171" s="6">
        <v>30</v>
      </c>
      <c r="L171" s="6" t="s">
        <v>23</v>
      </c>
      <c r="M171" s="6" t="b">
        <v>1</v>
      </c>
      <c r="N171" s="6">
        <v>15.79</v>
      </c>
      <c r="O171" s="6" t="s">
        <v>42</v>
      </c>
      <c r="P171" s="6" t="b">
        <v>0</v>
      </c>
      <c r="Q171" s="9" t="s">
        <v>36</v>
      </c>
    </row>
    <row r="172" spans="1:17" x14ac:dyDescent="0.25">
      <c r="A172" s="5" t="s">
        <v>222</v>
      </c>
      <c r="B172" s="6" t="s">
        <v>51</v>
      </c>
      <c r="C172" s="6" t="s">
        <v>39</v>
      </c>
      <c r="D172" s="6" t="s">
        <v>47</v>
      </c>
      <c r="E172" s="6" t="s">
        <v>28</v>
      </c>
      <c r="F172" s="6" t="s">
        <v>40</v>
      </c>
      <c r="G172" s="6">
        <v>1</v>
      </c>
      <c r="H172" s="7">
        <v>481.63</v>
      </c>
      <c r="I172" s="7">
        <v>481.63</v>
      </c>
      <c r="J172" s="8">
        <v>44960</v>
      </c>
      <c r="K172" s="6">
        <v>34</v>
      </c>
      <c r="L172" s="6" t="s">
        <v>49</v>
      </c>
      <c r="M172" s="6" t="b">
        <v>1</v>
      </c>
      <c r="N172" s="6">
        <v>3.84</v>
      </c>
      <c r="O172" s="6" t="s">
        <v>42</v>
      </c>
      <c r="P172" s="6" t="b">
        <v>1</v>
      </c>
      <c r="Q172" s="9" t="s">
        <v>25</v>
      </c>
    </row>
    <row r="173" spans="1:17" x14ac:dyDescent="0.25">
      <c r="A173" s="5" t="s">
        <v>223</v>
      </c>
      <c r="B173" s="6" t="s">
        <v>72</v>
      </c>
      <c r="C173" s="6" t="s">
        <v>19</v>
      </c>
      <c r="D173" s="6" t="s">
        <v>34</v>
      </c>
      <c r="E173" s="6" t="s">
        <v>28</v>
      </c>
      <c r="F173" s="6" t="s">
        <v>22</v>
      </c>
      <c r="G173" s="6">
        <v>30</v>
      </c>
      <c r="H173" s="7">
        <v>1006.66</v>
      </c>
      <c r="I173" s="7">
        <v>30199.8</v>
      </c>
      <c r="J173" s="8">
        <v>45312</v>
      </c>
      <c r="K173" s="6">
        <v>32</v>
      </c>
      <c r="L173" s="6" t="s">
        <v>23</v>
      </c>
      <c r="M173" s="6" t="b">
        <v>1</v>
      </c>
      <c r="N173" s="6">
        <v>14.24</v>
      </c>
      <c r="O173" s="6" t="s">
        <v>24</v>
      </c>
      <c r="P173" s="6" t="b">
        <v>1</v>
      </c>
      <c r="Q173" s="9" t="s">
        <v>36</v>
      </c>
    </row>
    <row r="174" spans="1:17" x14ac:dyDescent="0.25">
      <c r="A174" s="5" t="s">
        <v>224</v>
      </c>
      <c r="B174" s="6" t="s">
        <v>38</v>
      </c>
      <c r="C174" s="6" t="s">
        <v>33</v>
      </c>
      <c r="D174" s="6" t="s">
        <v>64</v>
      </c>
      <c r="E174" s="6" t="s">
        <v>35</v>
      </c>
      <c r="F174" s="6" t="s">
        <v>22</v>
      </c>
      <c r="G174" s="6">
        <v>97</v>
      </c>
      <c r="H174" s="7">
        <v>248.62</v>
      </c>
      <c r="I174" s="7">
        <v>24116.14</v>
      </c>
      <c r="J174" s="8">
        <v>45175</v>
      </c>
      <c r="K174" s="6">
        <v>53</v>
      </c>
      <c r="L174" s="6" t="s">
        <v>41</v>
      </c>
      <c r="M174" s="6" t="b">
        <v>1</v>
      </c>
      <c r="N174" s="6">
        <v>16.739999999999998</v>
      </c>
      <c r="O174" s="6" t="s">
        <v>56</v>
      </c>
      <c r="P174" s="6" t="b">
        <v>0</v>
      </c>
      <c r="Q174" s="9" t="s">
        <v>25</v>
      </c>
    </row>
    <row r="175" spans="1:17" x14ac:dyDescent="0.25">
      <c r="A175" s="5" t="s">
        <v>225</v>
      </c>
      <c r="B175" s="6" t="s">
        <v>72</v>
      </c>
      <c r="C175" s="6" t="s">
        <v>39</v>
      </c>
      <c r="D175" s="6" t="s">
        <v>52</v>
      </c>
      <c r="E175" s="6" t="s">
        <v>44</v>
      </c>
      <c r="F175" s="6" t="s">
        <v>22</v>
      </c>
      <c r="G175" s="6">
        <v>24</v>
      </c>
      <c r="H175" s="7">
        <v>1045.96</v>
      </c>
      <c r="I175" s="7">
        <v>25103.040000000001</v>
      </c>
      <c r="J175" s="8">
        <v>45037</v>
      </c>
      <c r="K175" s="6">
        <v>45</v>
      </c>
      <c r="L175" s="6" t="s">
        <v>41</v>
      </c>
      <c r="M175" s="6" t="b">
        <v>1</v>
      </c>
      <c r="N175" s="6">
        <v>13.38</v>
      </c>
      <c r="O175" s="6" t="s">
        <v>56</v>
      </c>
      <c r="P175" s="6" t="b">
        <v>1</v>
      </c>
      <c r="Q175" s="9" t="s">
        <v>25</v>
      </c>
    </row>
    <row r="176" spans="1:17" x14ac:dyDescent="0.25">
      <c r="A176" s="5" t="s">
        <v>226</v>
      </c>
      <c r="B176" s="6" t="s">
        <v>32</v>
      </c>
      <c r="C176" s="6" t="s">
        <v>19</v>
      </c>
      <c r="D176" s="6" t="s">
        <v>34</v>
      </c>
      <c r="E176" s="6" t="s">
        <v>21</v>
      </c>
      <c r="F176" s="6" t="s">
        <v>40</v>
      </c>
      <c r="G176" s="6">
        <v>14</v>
      </c>
      <c r="H176" s="7">
        <v>1374.28</v>
      </c>
      <c r="I176" s="7">
        <v>19239.919999999998</v>
      </c>
      <c r="J176" s="8">
        <v>45020</v>
      </c>
      <c r="K176" s="6">
        <v>32</v>
      </c>
      <c r="L176" s="6" t="s">
        <v>49</v>
      </c>
      <c r="M176" s="6" t="b">
        <v>0</v>
      </c>
      <c r="N176" s="6">
        <v>2.08</v>
      </c>
      <c r="O176" s="6" t="s">
        <v>24</v>
      </c>
      <c r="P176" s="6" t="b">
        <v>1</v>
      </c>
      <c r="Q176" s="9" t="s">
        <v>25</v>
      </c>
    </row>
    <row r="177" spans="1:17" x14ac:dyDescent="0.25">
      <c r="A177" s="5" t="s">
        <v>227</v>
      </c>
      <c r="B177" s="6" t="s">
        <v>72</v>
      </c>
      <c r="C177" s="6" t="s">
        <v>19</v>
      </c>
      <c r="D177" s="6" t="s">
        <v>20</v>
      </c>
      <c r="E177" s="6" t="s">
        <v>28</v>
      </c>
      <c r="F177" s="6" t="s">
        <v>29</v>
      </c>
      <c r="G177" s="6">
        <v>36</v>
      </c>
      <c r="H177" s="7">
        <v>932.45</v>
      </c>
      <c r="I177" s="7">
        <v>33568.199999999997</v>
      </c>
      <c r="J177" s="8">
        <v>45336</v>
      </c>
      <c r="K177" s="6">
        <v>63</v>
      </c>
      <c r="L177" s="6" t="s">
        <v>41</v>
      </c>
      <c r="M177" s="6" t="b">
        <v>0</v>
      </c>
      <c r="N177" s="6">
        <v>14.55</v>
      </c>
      <c r="O177" s="6" t="s">
        <v>24</v>
      </c>
      <c r="P177" s="6" t="b">
        <v>1</v>
      </c>
      <c r="Q177" s="9" t="s">
        <v>25</v>
      </c>
    </row>
    <row r="178" spans="1:17" x14ac:dyDescent="0.25">
      <c r="A178" s="5" t="s">
        <v>228</v>
      </c>
      <c r="B178" s="6" t="s">
        <v>72</v>
      </c>
      <c r="C178" s="6" t="s">
        <v>39</v>
      </c>
      <c r="D178" s="6" t="s">
        <v>47</v>
      </c>
      <c r="E178" s="6" t="s">
        <v>28</v>
      </c>
      <c r="F178" s="6" t="s">
        <v>29</v>
      </c>
      <c r="G178" s="6">
        <v>69</v>
      </c>
      <c r="H178" s="7">
        <v>861.79</v>
      </c>
      <c r="I178" s="7">
        <v>59463.51</v>
      </c>
      <c r="J178" s="8">
        <v>45105</v>
      </c>
      <c r="K178" s="6">
        <v>28</v>
      </c>
      <c r="L178" s="6" t="s">
        <v>41</v>
      </c>
      <c r="M178" s="6" t="b">
        <v>0</v>
      </c>
      <c r="N178" s="6">
        <v>14.07</v>
      </c>
      <c r="O178" s="6" t="s">
        <v>42</v>
      </c>
      <c r="P178" s="6" t="b">
        <v>1</v>
      </c>
      <c r="Q178" s="9" t="s">
        <v>25</v>
      </c>
    </row>
    <row r="179" spans="1:17" x14ac:dyDescent="0.25">
      <c r="A179" s="5" t="s">
        <v>229</v>
      </c>
      <c r="B179" s="6" t="s">
        <v>66</v>
      </c>
      <c r="C179" s="6" t="s">
        <v>39</v>
      </c>
      <c r="D179" s="6" t="s">
        <v>64</v>
      </c>
      <c r="E179" s="6" t="s">
        <v>44</v>
      </c>
      <c r="F179" s="6" t="s">
        <v>48</v>
      </c>
      <c r="G179" s="6">
        <v>75</v>
      </c>
      <c r="H179" s="7">
        <v>1443.62</v>
      </c>
      <c r="I179" s="7">
        <v>108271.5</v>
      </c>
      <c r="J179" s="8">
        <v>44973</v>
      </c>
      <c r="K179" s="6">
        <v>48</v>
      </c>
      <c r="L179" s="6" t="s">
        <v>23</v>
      </c>
      <c r="M179" s="6" t="b">
        <v>1</v>
      </c>
      <c r="N179" s="6">
        <v>7.85</v>
      </c>
      <c r="O179" s="6" t="s">
        <v>56</v>
      </c>
      <c r="P179" s="6" t="b">
        <v>1</v>
      </c>
      <c r="Q179" s="9" t="s">
        <v>25</v>
      </c>
    </row>
    <row r="180" spans="1:17" x14ac:dyDescent="0.25">
      <c r="A180" s="5" t="s">
        <v>230</v>
      </c>
      <c r="B180" s="6" t="s">
        <v>66</v>
      </c>
      <c r="C180" s="6" t="s">
        <v>39</v>
      </c>
      <c r="D180" s="6" t="s">
        <v>20</v>
      </c>
      <c r="E180" s="6" t="s">
        <v>28</v>
      </c>
      <c r="F180" s="6" t="s">
        <v>40</v>
      </c>
      <c r="G180" s="6">
        <v>24</v>
      </c>
      <c r="H180" s="7">
        <v>959.73</v>
      </c>
      <c r="I180" s="7">
        <v>23033.52</v>
      </c>
      <c r="J180" s="8">
        <v>45530</v>
      </c>
      <c r="K180" s="6">
        <v>21</v>
      </c>
      <c r="L180" s="6" t="s">
        <v>23</v>
      </c>
      <c r="M180" s="6" t="b">
        <v>0</v>
      </c>
      <c r="N180" s="6">
        <v>27.65</v>
      </c>
      <c r="O180" s="6" t="s">
        <v>24</v>
      </c>
      <c r="P180" s="6" t="b">
        <v>0</v>
      </c>
      <c r="Q180" s="9" t="s">
        <v>36</v>
      </c>
    </row>
    <row r="181" spans="1:17" x14ac:dyDescent="0.25">
      <c r="A181" s="5" t="s">
        <v>231</v>
      </c>
      <c r="B181" s="6" t="s">
        <v>62</v>
      </c>
      <c r="C181" s="6" t="s">
        <v>39</v>
      </c>
      <c r="D181" s="6" t="s">
        <v>64</v>
      </c>
      <c r="E181" s="6" t="s">
        <v>21</v>
      </c>
      <c r="F181" s="6" t="s">
        <v>48</v>
      </c>
      <c r="G181" s="6">
        <v>60</v>
      </c>
      <c r="H181" s="7">
        <v>426.35</v>
      </c>
      <c r="I181" s="7">
        <v>25581</v>
      </c>
      <c r="J181" s="8">
        <v>45302</v>
      </c>
      <c r="K181" s="6">
        <v>52</v>
      </c>
      <c r="L181" s="6" t="s">
        <v>23</v>
      </c>
      <c r="M181" s="6" t="b">
        <v>1</v>
      </c>
      <c r="N181" s="6">
        <v>12.53</v>
      </c>
      <c r="O181" s="6" t="s">
        <v>42</v>
      </c>
      <c r="P181" s="6" t="b">
        <v>1</v>
      </c>
      <c r="Q181" s="9" t="s">
        <v>36</v>
      </c>
    </row>
    <row r="182" spans="1:17" x14ac:dyDescent="0.25">
      <c r="A182" s="5" t="s">
        <v>232</v>
      </c>
      <c r="B182" s="6" t="s">
        <v>18</v>
      </c>
      <c r="C182" s="6" t="s">
        <v>33</v>
      </c>
      <c r="D182" s="6" t="s">
        <v>52</v>
      </c>
      <c r="E182" s="6" t="s">
        <v>35</v>
      </c>
      <c r="F182" s="6" t="s">
        <v>22</v>
      </c>
      <c r="G182" s="6">
        <v>95</v>
      </c>
      <c r="H182" s="7">
        <v>473.97</v>
      </c>
      <c r="I182" s="7">
        <v>45027.15</v>
      </c>
      <c r="J182" s="8">
        <v>45513</v>
      </c>
      <c r="K182" s="6">
        <v>51</v>
      </c>
      <c r="L182" s="6" t="s">
        <v>23</v>
      </c>
      <c r="M182" s="6" t="b">
        <v>0</v>
      </c>
      <c r="N182" s="6">
        <v>25.92</v>
      </c>
      <c r="O182" s="6" t="s">
        <v>42</v>
      </c>
      <c r="P182" s="6" t="b">
        <v>1</v>
      </c>
      <c r="Q182" s="9" t="s">
        <v>25</v>
      </c>
    </row>
    <row r="183" spans="1:17" x14ac:dyDescent="0.25">
      <c r="A183" s="5" t="s">
        <v>233</v>
      </c>
      <c r="B183" s="6" t="s">
        <v>38</v>
      </c>
      <c r="C183" s="6" t="s">
        <v>39</v>
      </c>
      <c r="D183" s="6" t="s">
        <v>47</v>
      </c>
      <c r="E183" s="6" t="s">
        <v>28</v>
      </c>
      <c r="F183" s="6" t="s">
        <v>29</v>
      </c>
      <c r="G183" s="6">
        <v>55</v>
      </c>
      <c r="H183" s="7">
        <v>1072.69</v>
      </c>
      <c r="I183" s="7">
        <v>58997.95</v>
      </c>
      <c r="J183" s="8">
        <v>45128</v>
      </c>
      <c r="K183" s="6">
        <v>69</v>
      </c>
      <c r="L183" s="6" t="s">
        <v>41</v>
      </c>
      <c r="M183" s="6" t="b">
        <v>1</v>
      </c>
      <c r="N183" s="6">
        <v>3.29</v>
      </c>
      <c r="O183" s="6" t="s">
        <v>56</v>
      </c>
      <c r="P183" s="6" t="b">
        <v>0</v>
      </c>
      <c r="Q183" s="9" t="s">
        <v>25</v>
      </c>
    </row>
    <row r="184" spans="1:17" x14ac:dyDescent="0.25">
      <c r="A184" s="5" t="s">
        <v>234</v>
      </c>
      <c r="B184" s="6" t="s">
        <v>72</v>
      </c>
      <c r="C184" s="6" t="s">
        <v>19</v>
      </c>
      <c r="D184" s="6" t="s">
        <v>47</v>
      </c>
      <c r="E184" s="6" t="s">
        <v>21</v>
      </c>
      <c r="F184" s="6" t="s">
        <v>40</v>
      </c>
      <c r="G184" s="6">
        <v>77</v>
      </c>
      <c r="H184" s="7">
        <v>1116.3800000000001</v>
      </c>
      <c r="I184" s="7">
        <v>85961.26</v>
      </c>
      <c r="J184" s="8">
        <v>45371</v>
      </c>
      <c r="K184" s="6">
        <v>44</v>
      </c>
      <c r="L184" s="6" t="s">
        <v>49</v>
      </c>
      <c r="M184" s="6" t="b">
        <v>0</v>
      </c>
      <c r="N184" s="6">
        <v>9.57</v>
      </c>
      <c r="O184" s="6" t="s">
        <v>42</v>
      </c>
      <c r="P184" s="6" t="b">
        <v>0</v>
      </c>
      <c r="Q184" s="9" t="s">
        <v>36</v>
      </c>
    </row>
    <row r="185" spans="1:17" x14ac:dyDescent="0.25">
      <c r="A185" s="5" t="s">
        <v>235</v>
      </c>
      <c r="B185" s="6" t="s">
        <v>72</v>
      </c>
      <c r="C185" s="6" t="s">
        <v>19</v>
      </c>
      <c r="D185" s="6" t="s">
        <v>52</v>
      </c>
      <c r="E185" s="6" t="s">
        <v>28</v>
      </c>
      <c r="F185" s="6" t="s">
        <v>48</v>
      </c>
      <c r="G185" s="6">
        <v>80</v>
      </c>
      <c r="H185" s="7">
        <v>490.07</v>
      </c>
      <c r="I185" s="7">
        <v>39205.599999999999</v>
      </c>
      <c r="J185" s="8">
        <v>45223</v>
      </c>
      <c r="K185" s="6">
        <v>27</v>
      </c>
      <c r="L185" s="6" t="s">
        <v>23</v>
      </c>
      <c r="M185" s="6" t="b">
        <v>1</v>
      </c>
      <c r="N185" s="6">
        <v>5.29</v>
      </c>
      <c r="O185" s="6" t="s">
        <v>42</v>
      </c>
      <c r="P185" s="6" t="b">
        <v>0</v>
      </c>
      <c r="Q185" s="9" t="s">
        <v>36</v>
      </c>
    </row>
    <row r="186" spans="1:17" x14ac:dyDescent="0.25">
      <c r="A186" s="5" t="s">
        <v>236</v>
      </c>
      <c r="B186" s="6" t="s">
        <v>51</v>
      </c>
      <c r="C186" s="6" t="s">
        <v>33</v>
      </c>
      <c r="D186" s="6" t="s">
        <v>47</v>
      </c>
      <c r="E186" s="6" t="s">
        <v>44</v>
      </c>
      <c r="F186" s="6" t="s">
        <v>48</v>
      </c>
      <c r="G186" s="6">
        <v>24</v>
      </c>
      <c r="H186" s="7">
        <v>550.75</v>
      </c>
      <c r="I186" s="7">
        <v>13218</v>
      </c>
      <c r="J186" s="8">
        <v>45234</v>
      </c>
      <c r="K186" s="6">
        <v>47</v>
      </c>
      <c r="L186" s="6" t="s">
        <v>41</v>
      </c>
      <c r="M186" s="6" t="b">
        <v>0</v>
      </c>
      <c r="N186" s="6">
        <v>12.25</v>
      </c>
      <c r="O186" s="6" t="s">
        <v>30</v>
      </c>
      <c r="P186" s="6" t="b">
        <v>1</v>
      </c>
      <c r="Q186" s="9" t="s">
        <v>36</v>
      </c>
    </row>
    <row r="187" spans="1:17" x14ac:dyDescent="0.25">
      <c r="A187" s="5" t="s">
        <v>237</v>
      </c>
      <c r="B187" s="6" t="s">
        <v>66</v>
      </c>
      <c r="C187" s="6" t="s">
        <v>19</v>
      </c>
      <c r="D187" s="6" t="s">
        <v>34</v>
      </c>
      <c r="E187" s="6" t="s">
        <v>28</v>
      </c>
      <c r="F187" s="6" t="s">
        <v>48</v>
      </c>
      <c r="G187" s="6">
        <v>77</v>
      </c>
      <c r="H187" s="7">
        <v>1487.03</v>
      </c>
      <c r="I187" s="7">
        <v>114501.31</v>
      </c>
      <c r="J187" s="8">
        <v>45419</v>
      </c>
      <c r="K187" s="6">
        <v>62</v>
      </c>
      <c r="L187" s="6" t="s">
        <v>23</v>
      </c>
      <c r="M187" s="6" t="b">
        <v>1</v>
      </c>
      <c r="N187" s="6">
        <v>3.35</v>
      </c>
      <c r="O187" s="6" t="s">
        <v>24</v>
      </c>
      <c r="P187" s="6" t="b">
        <v>1</v>
      </c>
      <c r="Q187" s="9" t="s">
        <v>25</v>
      </c>
    </row>
    <row r="188" spans="1:17" x14ac:dyDescent="0.25">
      <c r="A188" s="5" t="s">
        <v>238</v>
      </c>
      <c r="B188" s="6" t="s">
        <v>38</v>
      </c>
      <c r="C188" s="6" t="s">
        <v>19</v>
      </c>
      <c r="D188" s="6" t="s">
        <v>64</v>
      </c>
      <c r="E188" s="6" t="s">
        <v>28</v>
      </c>
      <c r="F188" s="6" t="s">
        <v>29</v>
      </c>
      <c r="G188" s="6">
        <v>24</v>
      </c>
      <c r="H188" s="7">
        <v>197.83</v>
      </c>
      <c r="I188" s="7">
        <v>4747.92</v>
      </c>
      <c r="J188" s="8">
        <v>45264</v>
      </c>
      <c r="K188" s="6">
        <v>37</v>
      </c>
      <c r="L188" s="6" t="s">
        <v>41</v>
      </c>
      <c r="M188" s="6" t="b">
        <v>0</v>
      </c>
      <c r="N188" s="6">
        <v>13.23</v>
      </c>
      <c r="O188" s="6" t="s">
        <v>56</v>
      </c>
      <c r="P188" s="6" t="b">
        <v>0</v>
      </c>
      <c r="Q188" s="9" t="s">
        <v>25</v>
      </c>
    </row>
    <row r="189" spans="1:17" x14ac:dyDescent="0.25">
      <c r="A189" s="5" t="s">
        <v>239</v>
      </c>
      <c r="B189" s="6" t="s">
        <v>46</v>
      </c>
      <c r="C189" s="6" t="s">
        <v>39</v>
      </c>
      <c r="D189" s="6" t="s">
        <v>20</v>
      </c>
      <c r="E189" s="6" t="s">
        <v>35</v>
      </c>
      <c r="F189" s="6" t="s">
        <v>29</v>
      </c>
      <c r="G189" s="6">
        <v>54</v>
      </c>
      <c r="H189" s="7">
        <v>636.74</v>
      </c>
      <c r="I189" s="7">
        <v>34383.96</v>
      </c>
      <c r="J189" s="8">
        <v>45572</v>
      </c>
      <c r="K189" s="6">
        <v>46</v>
      </c>
      <c r="L189" s="6" t="s">
        <v>23</v>
      </c>
      <c r="M189" s="6" t="b">
        <v>1</v>
      </c>
      <c r="N189" s="6">
        <v>10.62</v>
      </c>
      <c r="O189" s="6" t="s">
        <v>24</v>
      </c>
      <c r="P189" s="6" t="b">
        <v>0</v>
      </c>
      <c r="Q189" s="9" t="s">
        <v>25</v>
      </c>
    </row>
    <row r="190" spans="1:17" x14ac:dyDescent="0.25">
      <c r="A190" s="5" t="s">
        <v>240</v>
      </c>
      <c r="B190" s="6" t="s">
        <v>62</v>
      </c>
      <c r="C190" s="6" t="s">
        <v>19</v>
      </c>
      <c r="D190" s="6" t="s">
        <v>52</v>
      </c>
      <c r="E190" s="6" t="s">
        <v>44</v>
      </c>
      <c r="F190" s="6" t="s">
        <v>29</v>
      </c>
      <c r="G190" s="6">
        <v>26</v>
      </c>
      <c r="H190" s="7">
        <v>140.55000000000001</v>
      </c>
      <c r="I190" s="7">
        <v>3654.3</v>
      </c>
      <c r="J190" s="8">
        <v>44992</v>
      </c>
      <c r="K190" s="6">
        <v>46</v>
      </c>
      <c r="L190" s="6" t="s">
        <v>49</v>
      </c>
      <c r="M190" s="6" t="b">
        <v>1</v>
      </c>
      <c r="N190" s="6">
        <v>6.7</v>
      </c>
      <c r="O190" s="6" t="s">
        <v>30</v>
      </c>
      <c r="P190" s="6" t="b">
        <v>0</v>
      </c>
      <c r="Q190" s="9" t="s">
        <v>36</v>
      </c>
    </row>
    <row r="191" spans="1:17" x14ac:dyDescent="0.25">
      <c r="A191" s="5" t="s">
        <v>241</v>
      </c>
      <c r="B191" s="6" t="s">
        <v>18</v>
      </c>
      <c r="C191" s="6" t="s">
        <v>33</v>
      </c>
      <c r="D191" s="6" t="s">
        <v>34</v>
      </c>
      <c r="E191" s="6" t="s">
        <v>44</v>
      </c>
      <c r="F191" s="6" t="s">
        <v>40</v>
      </c>
      <c r="G191" s="6">
        <v>66</v>
      </c>
      <c r="H191" s="7">
        <v>1240.56</v>
      </c>
      <c r="I191" s="7">
        <v>81876.960000000006</v>
      </c>
      <c r="J191" s="8">
        <v>45348</v>
      </c>
      <c r="K191" s="6">
        <v>40</v>
      </c>
      <c r="L191" s="6" t="s">
        <v>23</v>
      </c>
      <c r="M191" s="6" t="b">
        <v>1</v>
      </c>
      <c r="N191" s="6">
        <v>19.27</v>
      </c>
      <c r="O191" s="6" t="s">
        <v>56</v>
      </c>
      <c r="P191" s="6" t="b">
        <v>0</v>
      </c>
      <c r="Q191" s="9" t="s">
        <v>36</v>
      </c>
    </row>
    <row r="192" spans="1:17" x14ac:dyDescent="0.25">
      <c r="A192" s="5" t="s">
        <v>242</v>
      </c>
      <c r="B192" s="6" t="s">
        <v>27</v>
      </c>
      <c r="C192" s="6" t="s">
        <v>39</v>
      </c>
      <c r="D192" s="6" t="s">
        <v>20</v>
      </c>
      <c r="E192" s="6" t="s">
        <v>35</v>
      </c>
      <c r="F192" s="6" t="s">
        <v>29</v>
      </c>
      <c r="G192" s="6">
        <v>80</v>
      </c>
      <c r="H192" s="7">
        <v>183.9</v>
      </c>
      <c r="I192" s="7">
        <v>14712</v>
      </c>
      <c r="J192" s="8">
        <v>45466</v>
      </c>
      <c r="K192" s="6">
        <v>67</v>
      </c>
      <c r="L192" s="6" t="s">
        <v>49</v>
      </c>
      <c r="M192" s="6" t="b">
        <v>1</v>
      </c>
      <c r="N192" s="6">
        <v>28.53</v>
      </c>
      <c r="O192" s="6" t="s">
        <v>24</v>
      </c>
      <c r="P192" s="6" t="b">
        <v>0</v>
      </c>
      <c r="Q192" s="9" t="s">
        <v>25</v>
      </c>
    </row>
    <row r="193" spans="1:17" x14ac:dyDescent="0.25">
      <c r="A193" s="5" t="s">
        <v>243</v>
      </c>
      <c r="B193" s="6" t="s">
        <v>18</v>
      </c>
      <c r="C193" s="6" t="s">
        <v>39</v>
      </c>
      <c r="D193" s="6" t="s">
        <v>20</v>
      </c>
      <c r="E193" s="6" t="s">
        <v>28</v>
      </c>
      <c r="F193" s="6" t="s">
        <v>40</v>
      </c>
      <c r="G193" s="6">
        <v>38</v>
      </c>
      <c r="H193" s="7">
        <v>1027.31</v>
      </c>
      <c r="I193" s="7">
        <v>39037.78</v>
      </c>
      <c r="J193" s="8">
        <v>45555</v>
      </c>
      <c r="K193" s="6">
        <v>38</v>
      </c>
      <c r="L193" s="6" t="s">
        <v>23</v>
      </c>
      <c r="M193" s="6" t="b">
        <v>0</v>
      </c>
      <c r="N193" s="6">
        <v>6.21</v>
      </c>
      <c r="O193" s="6" t="s">
        <v>42</v>
      </c>
      <c r="P193" s="6" t="b">
        <v>1</v>
      </c>
      <c r="Q193" s="9" t="s">
        <v>36</v>
      </c>
    </row>
    <row r="194" spans="1:17" x14ac:dyDescent="0.25">
      <c r="A194" s="5" t="s">
        <v>244</v>
      </c>
      <c r="B194" s="6" t="s">
        <v>32</v>
      </c>
      <c r="C194" s="6" t="s">
        <v>33</v>
      </c>
      <c r="D194" s="6" t="s">
        <v>52</v>
      </c>
      <c r="E194" s="6" t="s">
        <v>21</v>
      </c>
      <c r="F194" s="6" t="s">
        <v>48</v>
      </c>
      <c r="G194" s="6">
        <v>65</v>
      </c>
      <c r="H194" s="7">
        <v>131.9</v>
      </c>
      <c r="I194" s="7">
        <v>8573.5</v>
      </c>
      <c r="J194" s="8">
        <v>45419</v>
      </c>
      <c r="K194" s="6">
        <v>65</v>
      </c>
      <c r="L194" s="6" t="s">
        <v>23</v>
      </c>
      <c r="M194" s="6" t="b">
        <v>0</v>
      </c>
      <c r="N194" s="6">
        <v>21.35</v>
      </c>
      <c r="O194" s="6" t="s">
        <v>56</v>
      </c>
      <c r="P194" s="6" t="b">
        <v>0</v>
      </c>
      <c r="Q194" s="9" t="s">
        <v>25</v>
      </c>
    </row>
    <row r="195" spans="1:17" x14ac:dyDescent="0.25">
      <c r="A195" s="5" t="s">
        <v>245</v>
      </c>
      <c r="B195" s="6" t="s">
        <v>72</v>
      </c>
      <c r="C195" s="6" t="s">
        <v>39</v>
      </c>
      <c r="D195" s="6" t="s">
        <v>34</v>
      </c>
      <c r="E195" s="6" t="s">
        <v>44</v>
      </c>
      <c r="F195" s="6" t="s">
        <v>48</v>
      </c>
      <c r="G195" s="6">
        <v>75</v>
      </c>
      <c r="H195" s="7">
        <v>1025.6400000000001</v>
      </c>
      <c r="I195" s="7">
        <v>76923</v>
      </c>
      <c r="J195" s="8">
        <v>45243</v>
      </c>
      <c r="K195" s="6">
        <v>60</v>
      </c>
      <c r="L195" s="6" t="s">
        <v>23</v>
      </c>
      <c r="M195" s="6" t="b">
        <v>0</v>
      </c>
      <c r="N195" s="6">
        <v>22.27</v>
      </c>
      <c r="O195" s="6" t="s">
        <v>30</v>
      </c>
      <c r="P195" s="6" t="b">
        <v>1</v>
      </c>
      <c r="Q195" s="9" t="s">
        <v>25</v>
      </c>
    </row>
    <row r="196" spans="1:17" x14ac:dyDescent="0.25">
      <c r="A196" s="5" t="s">
        <v>246</v>
      </c>
      <c r="B196" s="6" t="s">
        <v>62</v>
      </c>
      <c r="C196" s="6" t="s">
        <v>39</v>
      </c>
      <c r="D196" s="6" t="s">
        <v>20</v>
      </c>
      <c r="E196" s="6" t="s">
        <v>44</v>
      </c>
      <c r="F196" s="6" t="s">
        <v>22</v>
      </c>
      <c r="G196" s="6">
        <v>51</v>
      </c>
      <c r="H196" s="7">
        <v>1272.4000000000001</v>
      </c>
      <c r="I196" s="7">
        <v>64892.4</v>
      </c>
      <c r="J196" s="8">
        <v>45552</v>
      </c>
      <c r="K196" s="6">
        <v>27</v>
      </c>
      <c r="L196" s="6" t="s">
        <v>41</v>
      </c>
      <c r="M196" s="6" t="b">
        <v>1</v>
      </c>
      <c r="N196" s="6">
        <v>14.94</v>
      </c>
      <c r="O196" s="6" t="s">
        <v>42</v>
      </c>
      <c r="P196" s="6" t="b">
        <v>1</v>
      </c>
      <c r="Q196" s="9" t="s">
        <v>36</v>
      </c>
    </row>
    <row r="197" spans="1:17" x14ac:dyDescent="0.25">
      <c r="A197" s="5" t="s">
        <v>247</v>
      </c>
      <c r="B197" s="6" t="s">
        <v>32</v>
      </c>
      <c r="C197" s="6" t="s">
        <v>33</v>
      </c>
      <c r="D197" s="6" t="s">
        <v>20</v>
      </c>
      <c r="E197" s="6" t="s">
        <v>28</v>
      </c>
      <c r="F197" s="6" t="s">
        <v>29</v>
      </c>
      <c r="G197" s="6">
        <v>35</v>
      </c>
      <c r="H197" s="7">
        <v>628.29</v>
      </c>
      <c r="I197" s="7">
        <v>21990.15</v>
      </c>
      <c r="J197" s="8">
        <v>45001</v>
      </c>
      <c r="K197" s="6">
        <v>58</v>
      </c>
      <c r="L197" s="6" t="s">
        <v>41</v>
      </c>
      <c r="M197" s="6" t="b">
        <v>0</v>
      </c>
      <c r="N197" s="6">
        <v>26.93</v>
      </c>
      <c r="O197" s="6" t="s">
        <v>30</v>
      </c>
      <c r="P197" s="6" t="b">
        <v>0</v>
      </c>
      <c r="Q197" s="9" t="s">
        <v>25</v>
      </c>
    </row>
    <row r="198" spans="1:17" x14ac:dyDescent="0.25">
      <c r="A198" s="5" t="s">
        <v>248</v>
      </c>
      <c r="B198" s="6" t="s">
        <v>38</v>
      </c>
      <c r="C198" s="6" t="s">
        <v>39</v>
      </c>
      <c r="D198" s="6" t="s">
        <v>34</v>
      </c>
      <c r="E198" s="6" t="s">
        <v>28</v>
      </c>
      <c r="F198" s="6" t="s">
        <v>48</v>
      </c>
      <c r="G198" s="6">
        <v>43</v>
      </c>
      <c r="H198" s="7">
        <v>807.08</v>
      </c>
      <c r="I198" s="7">
        <v>34704.44</v>
      </c>
      <c r="J198" s="8">
        <v>44985</v>
      </c>
      <c r="K198" s="6">
        <v>29</v>
      </c>
      <c r="L198" s="6" t="s">
        <v>49</v>
      </c>
      <c r="M198" s="6" t="b">
        <v>1</v>
      </c>
      <c r="N198" s="6">
        <v>28.99</v>
      </c>
      <c r="O198" s="6" t="s">
        <v>42</v>
      </c>
      <c r="P198" s="6" t="b">
        <v>0</v>
      </c>
      <c r="Q198" s="9" t="s">
        <v>36</v>
      </c>
    </row>
    <row r="199" spans="1:17" x14ac:dyDescent="0.25">
      <c r="A199" s="5" t="s">
        <v>249</v>
      </c>
      <c r="B199" s="6" t="s">
        <v>27</v>
      </c>
      <c r="C199" s="6" t="s">
        <v>33</v>
      </c>
      <c r="D199" s="6" t="s">
        <v>47</v>
      </c>
      <c r="E199" s="6" t="s">
        <v>44</v>
      </c>
      <c r="F199" s="6" t="s">
        <v>29</v>
      </c>
      <c r="G199" s="6">
        <v>29</v>
      </c>
      <c r="H199" s="7">
        <v>632.24</v>
      </c>
      <c r="I199" s="7">
        <v>18334.96</v>
      </c>
      <c r="J199" s="8">
        <v>45312</v>
      </c>
      <c r="K199" s="6">
        <v>47</v>
      </c>
      <c r="L199" s="6" t="s">
        <v>49</v>
      </c>
      <c r="M199" s="6" t="b">
        <v>0</v>
      </c>
      <c r="N199" s="6">
        <v>10.87</v>
      </c>
      <c r="O199" s="6" t="s">
        <v>24</v>
      </c>
      <c r="P199" s="6" t="b">
        <v>0</v>
      </c>
      <c r="Q199" s="9" t="s">
        <v>36</v>
      </c>
    </row>
    <row r="200" spans="1:17" x14ac:dyDescent="0.25">
      <c r="A200" s="5" t="s">
        <v>250</v>
      </c>
      <c r="B200" s="6" t="s">
        <v>66</v>
      </c>
      <c r="C200" s="6" t="s">
        <v>33</v>
      </c>
      <c r="D200" s="6" t="s">
        <v>20</v>
      </c>
      <c r="E200" s="6" t="s">
        <v>28</v>
      </c>
      <c r="F200" s="6" t="s">
        <v>40</v>
      </c>
      <c r="G200" s="6">
        <v>37</v>
      </c>
      <c r="H200" s="7">
        <v>485.71</v>
      </c>
      <c r="I200" s="7">
        <v>17971.27</v>
      </c>
      <c r="J200" s="8">
        <v>44941</v>
      </c>
      <c r="K200" s="6">
        <v>68</v>
      </c>
      <c r="L200" s="6" t="s">
        <v>41</v>
      </c>
      <c r="M200" s="6" t="b">
        <v>1</v>
      </c>
      <c r="N200" s="6">
        <v>19.53</v>
      </c>
      <c r="O200" s="6" t="s">
        <v>24</v>
      </c>
      <c r="P200" s="6" t="b">
        <v>0</v>
      </c>
      <c r="Q200" s="9" t="s">
        <v>25</v>
      </c>
    </row>
    <row r="201" spans="1:17" x14ac:dyDescent="0.25">
      <c r="A201" s="5" t="s">
        <v>251</v>
      </c>
      <c r="B201" s="6" t="s">
        <v>62</v>
      </c>
      <c r="C201" s="6" t="s">
        <v>19</v>
      </c>
      <c r="D201" s="6" t="s">
        <v>64</v>
      </c>
      <c r="E201" s="6" t="s">
        <v>21</v>
      </c>
      <c r="F201" s="6" t="s">
        <v>48</v>
      </c>
      <c r="G201" s="6">
        <v>81</v>
      </c>
      <c r="H201" s="7">
        <v>1214.73</v>
      </c>
      <c r="I201" s="7">
        <v>98393.13</v>
      </c>
      <c r="J201" s="8">
        <v>45157</v>
      </c>
      <c r="K201" s="6">
        <v>50</v>
      </c>
      <c r="L201" s="6" t="s">
        <v>49</v>
      </c>
      <c r="M201" s="6" t="b">
        <v>0</v>
      </c>
      <c r="N201" s="6">
        <v>19.87</v>
      </c>
      <c r="O201" s="6" t="s">
        <v>24</v>
      </c>
      <c r="P201" s="6" t="b">
        <v>0</v>
      </c>
      <c r="Q201" s="9" t="s">
        <v>25</v>
      </c>
    </row>
    <row r="202" spans="1:17" x14ac:dyDescent="0.25">
      <c r="A202" s="5" t="s">
        <v>252</v>
      </c>
      <c r="B202" s="6" t="s">
        <v>62</v>
      </c>
      <c r="C202" s="6" t="s">
        <v>19</v>
      </c>
      <c r="D202" s="6" t="s">
        <v>34</v>
      </c>
      <c r="E202" s="6" t="s">
        <v>44</v>
      </c>
      <c r="F202" s="6" t="s">
        <v>29</v>
      </c>
      <c r="G202" s="6">
        <v>58</v>
      </c>
      <c r="H202" s="7">
        <v>444.4</v>
      </c>
      <c r="I202" s="7">
        <v>25775.200000000001</v>
      </c>
      <c r="J202" s="8">
        <v>45543</v>
      </c>
      <c r="K202" s="6">
        <v>35</v>
      </c>
      <c r="L202" s="6" t="s">
        <v>49</v>
      </c>
      <c r="M202" s="6" t="b">
        <v>1</v>
      </c>
      <c r="N202" s="6">
        <v>12.11</v>
      </c>
      <c r="O202" s="6" t="s">
        <v>30</v>
      </c>
      <c r="P202" s="6" t="b">
        <v>1</v>
      </c>
      <c r="Q202" s="9" t="s">
        <v>36</v>
      </c>
    </row>
    <row r="203" spans="1:17" x14ac:dyDescent="0.25">
      <c r="A203" s="5" t="s">
        <v>253</v>
      </c>
      <c r="B203" s="6" t="s">
        <v>72</v>
      </c>
      <c r="C203" s="6" t="s">
        <v>39</v>
      </c>
      <c r="D203" s="6" t="s">
        <v>20</v>
      </c>
      <c r="E203" s="6" t="s">
        <v>21</v>
      </c>
      <c r="F203" s="6" t="s">
        <v>48</v>
      </c>
      <c r="G203" s="6">
        <v>54</v>
      </c>
      <c r="H203" s="7">
        <v>1098.27</v>
      </c>
      <c r="I203" s="7">
        <v>59306.58</v>
      </c>
      <c r="J203" s="8">
        <v>45125</v>
      </c>
      <c r="K203" s="6">
        <v>31</v>
      </c>
      <c r="L203" s="6" t="s">
        <v>41</v>
      </c>
      <c r="M203" s="6" t="b">
        <v>1</v>
      </c>
      <c r="N203" s="6">
        <v>9.5</v>
      </c>
      <c r="O203" s="6" t="s">
        <v>56</v>
      </c>
      <c r="P203" s="6" t="b">
        <v>0</v>
      </c>
      <c r="Q203" s="9" t="s">
        <v>25</v>
      </c>
    </row>
    <row r="204" spans="1:17" x14ac:dyDescent="0.25">
      <c r="A204" s="5" t="s">
        <v>254</v>
      </c>
      <c r="B204" s="6" t="s">
        <v>76</v>
      </c>
      <c r="C204" s="6" t="s">
        <v>39</v>
      </c>
      <c r="D204" s="6" t="s">
        <v>52</v>
      </c>
      <c r="E204" s="6" t="s">
        <v>21</v>
      </c>
      <c r="F204" s="6" t="s">
        <v>48</v>
      </c>
      <c r="G204" s="6">
        <v>39</v>
      </c>
      <c r="H204" s="7">
        <v>348.99</v>
      </c>
      <c r="I204" s="7">
        <v>13610.61</v>
      </c>
      <c r="J204" s="8">
        <v>45280</v>
      </c>
      <c r="K204" s="6">
        <v>39</v>
      </c>
      <c r="L204" s="6" t="s">
        <v>41</v>
      </c>
      <c r="M204" s="6" t="b">
        <v>0</v>
      </c>
      <c r="N204" s="6">
        <v>28.01</v>
      </c>
      <c r="O204" s="6" t="s">
        <v>24</v>
      </c>
      <c r="P204" s="6" t="b">
        <v>0</v>
      </c>
      <c r="Q204" s="9" t="s">
        <v>36</v>
      </c>
    </row>
    <row r="205" spans="1:17" x14ac:dyDescent="0.25">
      <c r="A205" s="5" t="s">
        <v>255</v>
      </c>
      <c r="B205" s="6" t="s">
        <v>62</v>
      </c>
      <c r="C205" s="6" t="s">
        <v>33</v>
      </c>
      <c r="D205" s="6" t="s">
        <v>64</v>
      </c>
      <c r="E205" s="6" t="s">
        <v>28</v>
      </c>
      <c r="F205" s="6" t="s">
        <v>29</v>
      </c>
      <c r="G205" s="6">
        <v>42</v>
      </c>
      <c r="H205" s="7">
        <v>412.29</v>
      </c>
      <c r="I205" s="7">
        <v>17316.18</v>
      </c>
      <c r="J205" s="8">
        <v>44961</v>
      </c>
      <c r="K205" s="6">
        <v>38</v>
      </c>
      <c r="L205" s="6" t="s">
        <v>41</v>
      </c>
      <c r="M205" s="6" t="b">
        <v>0</v>
      </c>
      <c r="N205" s="6">
        <v>23.7</v>
      </c>
      <c r="O205" s="6" t="s">
        <v>30</v>
      </c>
      <c r="P205" s="6" t="b">
        <v>1</v>
      </c>
      <c r="Q205" s="9" t="s">
        <v>25</v>
      </c>
    </row>
    <row r="206" spans="1:17" x14ac:dyDescent="0.25">
      <c r="A206" s="5" t="s">
        <v>256</v>
      </c>
      <c r="B206" s="6" t="s">
        <v>51</v>
      </c>
      <c r="C206" s="6" t="s">
        <v>39</v>
      </c>
      <c r="D206" s="6" t="s">
        <v>20</v>
      </c>
      <c r="E206" s="6" t="s">
        <v>21</v>
      </c>
      <c r="F206" s="6" t="s">
        <v>48</v>
      </c>
      <c r="G206" s="6">
        <v>28</v>
      </c>
      <c r="H206" s="7">
        <v>537.87</v>
      </c>
      <c r="I206" s="7">
        <v>15060.36</v>
      </c>
      <c r="J206" s="8">
        <v>45088</v>
      </c>
      <c r="K206" s="6">
        <v>18</v>
      </c>
      <c r="L206" s="6" t="s">
        <v>41</v>
      </c>
      <c r="M206" s="6" t="b">
        <v>0</v>
      </c>
      <c r="N206" s="6">
        <v>3.43</v>
      </c>
      <c r="O206" s="6" t="s">
        <v>42</v>
      </c>
      <c r="P206" s="6" t="b">
        <v>0</v>
      </c>
      <c r="Q206" s="9" t="s">
        <v>36</v>
      </c>
    </row>
    <row r="207" spans="1:17" x14ac:dyDescent="0.25">
      <c r="A207" s="5" t="s">
        <v>257</v>
      </c>
      <c r="B207" s="6" t="s">
        <v>27</v>
      </c>
      <c r="C207" s="6" t="s">
        <v>33</v>
      </c>
      <c r="D207" s="6" t="s">
        <v>64</v>
      </c>
      <c r="E207" s="6" t="s">
        <v>28</v>
      </c>
      <c r="F207" s="6" t="s">
        <v>48</v>
      </c>
      <c r="G207" s="6">
        <v>29</v>
      </c>
      <c r="H207" s="7">
        <v>904.28</v>
      </c>
      <c r="I207" s="7">
        <v>26224.12</v>
      </c>
      <c r="J207" s="8">
        <v>45397</v>
      </c>
      <c r="K207" s="6">
        <v>66</v>
      </c>
      <c r="L207" s="6" t="s">
        <v>23</v>
      </c>
      <c r="M207" s="6" t="b">
        <v>1</v>
      </c>
      <c r="N207" s="6">
        <v>3.6</v>
      </c>
      <c r="O207" s="6" t="s">
        <v>24</v>
      </c>
      <c r="P207" s="6" t="b">
        <v>0</v>
      </c>
      <c r="Q207" s="9" t="s">
        <v>36</v>
      </c>
    </row>
    <row r="208" spans="1:17" x14ac:dyDescent="0.25">
      <c r="A208" s="5" t="s">
        <v>258</v>
      </c>
      <c r="B208" s="6" t="s">
        <v>27</v>
      </c>
      <c r="C208" s="6" t="s">
        <v>33</v>
      </c>
      <c r="D208" s="6" t="s">
        <v>64</v>
      </c>
      <c r="E208" s="6" t="s">
        <v>35</v>
      </c>
      <c r="F208" s="6" t="s">
        <v>48</v>
      </c>
      <c r="G208" s="6">
        <v>43</v>
      </c>
      <c r="H208" s="7">
        <v>708.91</v>
      </c>
      <c r="I208" s="7">
        <v>30483.13</v>
      </c>
      <c r="J208" s="8">
        <v>45457</v>
      </c>
      <c r="K208" s="6">
        <v>60</v>
      </c>
      <c r="L208" s="6" t="s">
        <v>41</v>
      </c>
      <c r="M208" s="6" t="b">
        <v>1</v>
      </c>
      <c r="N208" s="6">
        <v>27.68</v>
      </c>
      <c r="O208" s="6" t="s">
        <v>42</v>
      </c>
      <c r="P208" s="6" t="b">
        <v>0</v>
      </c>
      <c r="Q208" s="9" t="s">
        <v>25</v>
      </c>
    </row>
    <row r="209" spans="1:17" x14ac:dyDescent="0.25">
      <c r="A209" s="5" t="s">
        <v>259</v>
      </c>
      <c r="B209" s="6" t="s">
        <v>51</v>
      </c>
      <c r="C209" s="6" t="s">
        <v>39</v>
      </c>
      <c r="D209" s="6" t="s">
        <v>47</v>
      </c>
      <c r="E209" s="6" t="s">
        <v>28</v>
      </c>
      <c r="F209" s="6" t="s">
        <v>48</v>
      </c>
      <c r="G209" s="6">
        <v>3</v>
      </c>
      <c r="H209" s="7">
        <v>1130.46</v>
      </c>
      <c r="I209" s="7">
        <v>3391.38</v>
      </c>
      <c r="J209" s="8">
        <v>45349</v>
      </c>
      <c r="K209" s="6">
        <v>69</v>
      </c>
      <c r="L209" s="6" t="s">
        <v>49</v>
      </c>
      <c r="M209" s="6" t="b">
        <v>1</v>
      </c>
      <c r="N209" s="6">
        <v>2.44</v>
      </c>
      <c r="O209" s="6" t="s">
        <v>24</v>
      </c>
      <c r="P209" s="6" t="b">
        <v>1</v>
      </c>
      <c r="Q209" s="9" t="s">
        <v>25</v>
      </c>
    </row>
    <row r="210" spans="1:17" x14ac:dyDescent="0.25">
      <c r="A210" s="5" t="s">
        <v>260</v>
      </c>
      <c r="B210" s="6" t="s">
        <v>46</v>
      </c>
      <c r="C210" s="6" t="s">
        <v>33</v>
      </c>
      <c r="D210" s="6" t="s">
        <v>64</v>
      </c>
      <c r="E210" s="6" t="s">
        <v>21</v>
      </c>
      <c r="F210" s="6" t="s">
        <v>40</v>
      </c>
      <c r="G210" s="6">
        <v>10</v>
      </c>
      <c r="H210" s="7">
        <v>359.67</v>
      </c>
      <c r="I210" s="7">
        <v>3596.7</v>
      </c>
      <c r="J210" s="8">
        <v>45274</v>
      </c>
      <c r="K210" s="6">
        <v>32</v>
      </c>
      <c r="L210" s="6" t="s">
        <v>23</v>
      </c>
      <c r="M210" s="6" t="b">
        <v>0</v>
      </c>
      <c r="N210" s="6">
        <v>20.65</v>
      </c>
      <c r="O210" s="6" t="s">
        <v>42</v>
      </c>
      <c r="P210" s="6" t="b">
        <v>0</v>
      </c>
      <c r="Q210" s="9" t="s">
        <v>36</v>
      </c>
    </row>
    <row r="211" spans="1:17" x14ac:dyDescent="0.25">
      <c r="A211" s="5" t="s">
        <v>261</v>
      </c>
      <c r="B211" s="6" t="s">
        <v>51</v>
      </c>
      <c r="C211" s="6" t="s">
        <v>19</v>
      </c>
      <c r="D211" s="6" t="s">
        <v>47</v>
      </c>
      <c r="E211" s="6" t="s">
        <v>35</v>
      </c>
      <c r="F211" s="6" t="s">
        <v>48</v>
      </c>
      <c r="G211" s="6">
        <v>59</v>
      </c>
      <c r="H211" s="7">
        <v>65.47</v>
      </c>
      <c r="I211" s="7">
        <v>3862.73</v>
      </c>
      <c r="J211" s="8">
        <v>45073</v>
      </c>
      <c r="K211" s="6">
        <v>53</v>
      </c>
      <c r="L211" s="6" t="s">
        <v>23</v>
      </c>
      <c r="M211" s="6" t="b">
        <v>1</v>
      </c>
      <c r="N211" s="6">
        <v>6.8</v>
      </c>
      <c r="O211" s="6" t="s">
        <v>30</v>
      </c>
      <c r="P211" s="6" t="b">
        <v>0</v>
      </c>
      <c r="Q211" s="9" t="s">
        <v>36</v>
      </c>
    </row>
    <row r="212" spans="1:17" x14ac:dyDescent="0.25">
      <c r="A212" s="5" t="s">
        <v>262</v>
      </c>
      <c r="B212" s="6" t="s">
        <v>51</v>
      </c>
      <c r="C212" s="6" t="s">
        <v>39</v>
      </c>
      <c r="D212" s="6" t="s">
        <v>34</v>
      </c>
      <c r="E212" s="6" t="s">
        <v>28</v>
      </c>
      <c r="F212" s="6" t="s">
        <v>22</v>
      </c>
      <c r="G212" s="6">
        <v>14</v>
      </c>
      <c r="H212" s="7">
        <v>1176.01</v>
      </c>
      <c r="I212" s="7">
        <v>16464.14</v>
      </c>
      <c r="J212" s="8">
        <v>45300</v>
      </c>
      <c r="K212" s="6">
        <v>64</v>
      </c>
      <c r="L212" s="6" t="s">
        <v>49</v>
      </c>
      <c r="M212" s="6" t="b">
        <v>0</v>
      </c>
      <c r="N212" s="6">
        <v>1.06</v>
      </c>
      <c r="O212" s="6" t="s">
        <v>24</v>
      </c>
      <c r="P212" s="6" t="b">
        <v>0</v>
      </c>
      <c r="Q212" s="9" t="s">
        <v>36</v>
      </c>
    </row>
    <row r="213" spans="1:17" x14ac:dyDescent="0.25">
      <c r="A213" s="5" t="s">
        <v>263</v>
      </c>
      <c r="B213" s="6" t="s">
        <v>27</v>
      </c>
      <c r="C213" s="6" t="s">
        <v>19</v>
      </c>
      <c r="D213" s="6" t="s">
        <v>47</v>
      </c>
      <c r="E213" s="6" t="s">
        <v>21</v>
      </c>
      <c r="F213" s="6" t="s">
        <v>48</v>
      </c>
      <c r="G213" s="6">
        <v>76</v>
      </c>
      <c r="H213" s="7">
        <v>1241.3900000000001</v>
      </c>
      <c r="I213" s="7">
        <v>94345.64</v>
      </c>
      <c r="J213" s="8">
        <v>45342</v>
      </c>
      <c r="K213" s="6">
        <v>39</v>
      </c>
      <c r="L213" s="6" t="s">
        <v>23</v>
      </c>
      <c r="M213" s="6" t="b">
        <v>1</v>
      </c>
      <c r="N213" s="6">
        <v>1.79</v>
      </c>
      <c r="O213" s="6" t="s">
        <v>30</v>
      </c>
      <c r="P213" s="6" t="b">
        <v>0</v>
      </c>
      <c r="Q213" s="9" t="s">
        <v>36</v>
      </c>
    </row>
    <row r="214" spans="1:17" x14ac:dyDescent="0.25">
      <c r="A214" s="5" t="s">
        <v>264</v>
      </c>
      <c r="B214" s="6" t="s">
        <v>18</v>
      </c>
      <c r="C214" s="6" t="s">
        <v>39</v>
      </c>
      <c r="D214" s="6" t="s">
        <v>52</v>
      </c>
      <c r="E214" s="6" t="s">
        <v>44</v>
      </c>
      <c r="F214" s="6" t="s">
        <v>29</v>
      </c>
      <c r="G214" s="6">
        <v>47</v>
      </c>
      <c r="H214" s="7">
        <v>136.25</v>
      </c>
      <c r="I214" s="7">
        <v>6403.75</v>
      </c>
      <c r="J214" s="8">
        <v>45420</v>
      </c>
      <c r="K214" s="6">
        <v>49</v>
      </c>
      <c r="L214" s="6" t="s">
        <v>49</v>
      </c>
      <c r="M214" s="6" t="b">
        <v>0</v>
      </c>
      <c r="N214" s="6">
        <v>11.21</v>
      </c>
      <c r="O214" s="6" t="s">
        <v>30</v>
      </c>
      <c r="P214" s="6" t="b">
        <v>1</v>
      </c>
      <c r="Q214" s="9" t="s">
        <v>25</v>
      </c>
    </row>
    <row r="215" spans="1:17" x14ac:dyDescent="0.25">
      <c r="A215" s="5" t="s">
        <v>265</v>
      </c>
      <c r="B215" s="6" t="s">
        <v>27</v>
      </c>
      <c r="C215" s="6" t="s">
        <v>33</v>
      </c>
      <c r="D215" s="6" t="s">
        <v>20</v>
      </c>
      <c r="E215" s="6" t="s">
        <v>44</v>
      </c>
      <c r="F215" s="6" t="s">
        <v>22</v>
      </c>
      <c r="G215" s="6">
        <v>42</v>
      </c>
      <c r="H215" s="7">
        <v>935.82</v>
      </c>
      <c r="I215" s="7">
        <v>39304.44</v>
      </c>
      <c r="J215" s="8">
        <v>45485</v>
      </c>
      <c r="K215" s="6">
        <v>63</v>
      </c>
      <c r="L215" s="6" t="s">
        <v>23</v>
      </c>
      <c r="M215" s="6" t="b">
        <v>1</v>
      </c>
      <c r="N215" s="6">
        <v>2.33</v>
      </c>
      <c r="O215" s="6" t="s">
        <v>42</v>
      </c>
      <c r="P215" s="6" t="b">
        <v>0</v>
      </c>
      <c r="Q215" s="9" t="s">
        <v>25</v>
      </c>
    </row>
    <row r="216" spans="1:17" x14ac:dyDescent="0.25">
      <c r="A216" s="5" t="s">
        <v>266</v>
      </c>
      <c r="B216" s="6" t="s">
        <v>76</v>
      </c>
      <c r="C216" s="6" t="s">
        <v>39</v>
      </c>
      <c r="D216" s="6" t="s">
        <v>34</v>
      </c>
      <c r="E216" s="6" t="s">
        <v>28</v>
      </c>
      <c r="F216" s="6" t="s">
        <v>40</v>
      </c>
      <c r="G216" s="6">
        <v>94</v>
      </c>
      <c r="H216" s="7">
        <v>598.4</v>
      </c>
      <c r="I216" s="7">
        <v>56249.599999999999</v>
      </c>
      <c r="J216" s="8">
        <v>45182</v>
      </c>
      <c r="K216" s="6">
        <v>50</v>
      </c>
      <c r="L216" s="6" t="s">
        <v>23</v>
      </c>
      <c r="M216" s="6" t="b">
        <v>1</v>
      </c>
      <c r="N216" s="6">
        <v>17.899999999999999</v>
      </c>
      <c r="O216" s="6" t="s">
        <v>24</v>
      </c>
      <c r="P216" s="6" t="b">
        <v>1</v>
      </c>
      <c r="Q216" s="9" t="s">
        <v>25</v>
      </c>
    </row>
    <row r="217" spans="1:17" x14ac:dyDescent="0.25">
      <c r="A217" s="5" t="s">
        <v>267</v>
      </c>
      <c r="B217" s="6" t="s">
        <v>72</v>
      </c>
      <c r="C217" s="6" t="s">
        <v>19</v>
      </c>
      <c r="D217" s="6" t="s">
        <v>34</v>
      </c>
      <c r="E217" s="6" t="s">
        <v>28</v>
      </c>
      <c r="F217" s="6" t="s">
        <v>22</v>
      </c>
      <c r="G217" s="6">
        <v>32</v>
      </c>
      <c r="H217" s="7">
        <v>1201.1500000000001</v>
      </c>
      <c r="I217" s="7">
        <v>38436.800000000003</v>
      </c>
      <c r="J217" s="8">
        <v>45029</v>
      </c>
      <c r="K217" s="6">
        <v>58</v>
      </c>
      <c r="L217" s="6" t="s">
        <v>49</v>
      </c>
      <c r="M217" s="6" t="b">
        <v>0</v>
      </c>
      <c r="N217" s="6">
        <v>19.420000000000002</v>
      </c>
      <c r="O217" s="6" t="s">
        <v>56</v>
      </c>
      <c r="P217" s="6" t="b">
        <v>0</v>
      </c>
      <c r="Q217" s="9" t="s">
        <v>36</v>
      </c>
    </row>
    <row r="218" spans="1:17" x14ac:dyDescent="0.25">
      <c r="A218" s="5" t="s">
        <v>268</v>
      </c>
      <c r="B218" s="6" t="s">
        <v>32</v>
      </c>
      <c r="C218" s="6" t="s">
        <v>33</v>
      </c>
      <c r="D218" s="6" t="s">
        <v>52</v>
      </c>
      <c r="E218" s="6" t="s">
        <v>44</v>
      </c>
      <c r="F218" s="6" t="s">
        <v>22</v>
      </c>
      <c r="G218" s="6">
        <v>32</v>
      </c>
      <c r="H218" s="7">
        <v>1317.9</v>
      </c>
      <c r="I218" s="7">
        <v>42172.800000000003</v>
      </c>
      <c r="J218" s="8">
        <v>45047</v>
      </c>
      <c r="K218" s="6">
        <v>56</v>
      </c>
      <c r="L218" s="6" t="s">
        <v>49</v>
      </c>
      <c r="M218" s="6" t="b">
        <v>1</v>
      </c>
      <c r="N218" s="6">
        <v>11.2</v>
      </c>
      <c r="O218" s="6" t="s">
        <v>56</v>
      </c>
      <c r="P218" s="6" t="b">
        <v>0</v>
      </c>
      <c r="Q218" s="9" t="s">
        <v>25</v>
      </c>
    </row>
    <row r="219" spans="1:17" x14ac:dyDescent="0.25">
      <c r="A219" s="5" t="s">
        <v>269</v>
      </c>
      <c r="B219" s="6" t="s">
        <v>18</v>
      </c>
      <c r="C219" s="6" t="s">
        <v>39</v>
      </c>
      <c r="D219" s="6" t="s">
        <v>47</v>
      </c>
      <c r="E219" s="6" t="s">
        <v>21</v>
      </c>
      <c r="F219" s="6" t="s">
        <v>22</v>
      </c>
      <c r="G219" s="6">
        <v>42</v>
      </c>
      <c r="H219" s="7">
        <v>1283.96</v>
      </c>
      <c r="I219" s="7">
        <v>53926.32</v>
      </c>
      <c r="J219" s="8">
        <v>45345</v>
      </c>
      <c r="K219" s="6">
        <v>40</v>
      </c>
      <c r="L219" s="6" t="s">
        <v>49</v>
      </c>
      <c r="M219" s="6" t="b">
        <v>1</v>
      </c>
      <c r="N219" s="6">
        <v>22.29</v>
      </c>
      <c r="O219" s="6" t="s">
        <v>30</v>
      </c>
      <c r="P219" s="6" t="b">
        <v>0</v>
      </c>
      <c r="Q219" s="9" t="s">
        <v>36</v>
      </c>
    </row>
    <row r="220" spans="1:17" x14ac:dyDescent="0.25">
      <c r="A220" s="5" t="s">
        <v>270</v>
      </c>
      <c r="B220" s="6" t="s">
        <v>66</v>
      </c>
      <c r="C220" s="6" t="s">
        <v>39</v>
      </c>
      <c r="D220" s="6" t="s">
        <v>20</v>
      </c>
      <c r="E220" s="6" t="s">
        <v>21</v>
      </c>
      <c r="F220" s="6" t="s">
        <v>29</v>
      </c>
      <c r="G220" s="6">
        <v>32</v>
      </c>
      <c r="H220" s="7">
        <v>1176.95</v>
      </c>
      <c r="I220" s="7">
        <v>37662.400000000001</v>
      </c>
      <c r="J220" s="8">
        <v>45276</v>
      </c>
      <c r="K220" s="6">
        <v>60</v>
      </c>
      <c r="L220" s="6" t="s">
        <v>49</v>
      </c>
      <c r="M220" s="6" t="b">
        <v>0</v>
      </c>
      <c r="N220" s="6">
        <v>14.7</v>
      </c>
      <c r="O220" s="6" t="s">
        <v>42</v>
      </c>
      <c r="P220" s="6" t="b">
        <v>1</v>
      </c>
      <c r="Q220" s="9" t="s">
        <v>36</v>
      </c>
    </row>
    <row r="221" spans="1:17" x14ac:dyDescent="0.25">
      <c r="A221" s="5" t="s">
        <v>271</v>
      </c>
      <c r="B221" s="6" t="s">
        <v>32</v>
      </c>
      <c r="C221" s="6" t="s">
        <v>39</v>
      </c>
      <c r="D221" s="6" t="s">
        <v>47</v>
      </c>
      <c r="E221" s="6" t="s">
        <v>21</v>
      </c>
      <c r="F221" s="6" t="s">
        <v>29</v>
      </c>
      <c r="G221" s="6">
        <v>26</v>
      </c>
      <c r="H221" s="7">
        <v>440.13</v>
      </c>
      <c r="I221" s="7">
        <v>11443.38</v>
      </c>
      <c r="J221" s="8">
        <v>45583</v>
      </c>
      <c r="K221" s="6">
        <v>19</v>
      </c>
      <c r="L221" s="6" t="s">
        <v>41</v>
      </c>
      <c r="M221" s="6" t="b">
        <v>1</v>
      </c>
      <c r="N221" s="6">
        <v>12.91</v>
      </c>
      <c r="O221" s="6" t="s">
        <v>42</v>
      </c>
      <c r="P221" s="6" t="b">
        <v>0</v>
      </c>
      <c r="Q221" s="9" t="s">
        <v>25</v>
      </c>
    </row>
    <row r="222" spans="1:17" x14ac:dyDescent="0.25">
      <c r="A222" s="5" t="s">
        <v>272</v>
      </c>
      <c r="B222" s="6" t="s">
        <v>72</v>
      </c>
      <c r="C222" s="6" t="s">
        <v>19</v>
      </c>
      <c r="D222" s="6" t="s">
        <v>64</v>
      </c>
      <c r="E222" s="6" t="s">
        <v>28</v>
      </c>
      <c r="F222" s="6" t="s">
        <v>29</v>
      </c>
      <c r="G222" s="6">
        <v>1</v>
      </c>
      <c r="H222" s="7">
        <v>1227.24</v>
      </c>
      <c r="I222" s="7">
        <v>1227.24</v>
      </c>
      <c r="J222" s="8">
        <v>44968</v>
      </c>
      <c r="K222" s="6">
        <v>19</v>
      </c>
      <c r="L222" s="6" t="s">
        <v>41</v>
      </c>
      <c r="M222" s="6" t="b">
        <v>0</v>
      </c>
      <c r="N222" s="6">
        <v>12.21</v>
      </c>
      <c r="O222" s="6" t="s">
        <v>42</v>
      </c>
      <c r="P222" s="6" t="b">
        <v>0</v>
      </c>
      <c r="Q222" s="9" t="s">
        <v>25</v>
      </c>
    </row>
    <row r="223" spans="1:17" x14ac:dyDescent="0.25">
      <c r="A223" s="5" t="s">
        <v>273</v>
      </c>
      <c r="B223" s="6" t="s">
        <v>76</v>
      </c>
      <c r="C223" s="6" t="s">
        <v>19</v>
      </c>
      <c r="D223" s="6" t="s">
        <v>47</v>
      </c>
      <c r="E223" s="6" t="s">
        <v>35</v>
      </c>
      <c r="F223" s="6" t="s">
        <v>40</v>
      </c>
      <c r="G223" s="6">
        <v>56</v>
      </c>
      <c r="H223" s="7">
        <v>823.54</v>
      </c>
      <c r="I223" s="7">
        <v>46118.239999999998</v>
      </c>
      <c r="J223" s="8">
        <v>45293</v>
      </c>
      <c r="K223" s="6">
        <v>55</v>
      </c>
      <c r="L223" s="6" t="s">
        <v>49</v>
      </c>
      <c r="M223" s="6" t="b">
        <v>0</v>
      </c>
      <c r="N223" s="6">
        <v>12.93</v>
      </c>
      <c r="O223" s="6" t="s">
        <v>24</v>
      </c>
      <c r="P223" s="6" t="b">
        <v>1</v>
      </c>
      <c r="Q223" s="9" t="s">
        <v>36</v>
      </c>
    </row>
    <row r="224" spans="1:17" x14ac:dyDescent="0.25">
      <c r="A224" s="5" t="s">
        <v>274</v>
      </c>
      <c r="B224" s="6" t="s">
        <v>76</v>
      </c>
      <c r="C224" s="6" t="s">
        <v>39</v>
      </c>
      <c r="D224" s="6" t="s">
        <v>34</v>
      </c>
      <c r="E224" s="6" t="s">
        <v>35</v>
      </c>
      <c r="F224" s="6" t="s">
        <v>29</v>
      </c>
      <c r="G224" s="6">
        <v>2</v>
      </c>
      <c r="H224" s="7">
        <v>126.5</v>
      </c>
      <c r="I224" s="7">
        <v>253</v>
      </c>
      <c r="J224" s="8">
        <v>44955</v>
      </c>
      <c r="K224" s="6">
        <v>68</v>
      </c>
      <c r="L224" s="6" t="s">
        <v>41</v>
      </c>
      <c r="M224" s="6" t="b">
        <v>1</v>
      </c>
      <c r="N224" s="6">
        <v>29.04</v>
      </c>
      <c r="O224" s="6" t="s">
        <v>24</v>
      </c>
      <c r="P224" s="6" t="b">
        <v>0</v>
      </c>
      <c r="Q224" s="9" t="s">
        <v>36</v>
      </c>
    </row>
    <row r="225" spans="1:17" x14ac:dyDescent="0.25">
      <c r="A225" s="5" t="s">
        <v>275</v>
      </c>
      <c r="B225" s="6" t="s">
        <v>66</v>
      </c>
      <c r="C225" s="6" t="s">
        <v>33</v>
      </c>
      <c r="D225" s="6" t="s">
        <v>20</v>
      </c>
      <c r="E225" s="6" t="s">
        <v>35</v>
      </c>
      <c r="F225" s="6" t="s">
        <v>29</v>
      </c>
      <c r="G225" s="6">
        <v>81</v>
      </c>
      <c r="H225" s="7">
        <v>712.56</v>
      </c>
      <c r="I225" s="7">
        <v>57717.36</v>
      </c>
      <c r="J225" s="8">
        <v>44940</v>
      </c>
      <c r="K225" s="6">
        <v>46</v>
      </c>
      <c r="L225" s="6" t="s">
        <v>49</v>
      </c>
      <c r="M225" s="6" t="b">
        <v>1</v>
      </c>
      <c r="N225" s="6">
        <v>20.440000000000001</v>
      </c>
      <c r="O225" s="6" t="s">
        <v>42</v>
      </c>
      <c r="P225" s="6" t="b">
        <v>0</v>
      </c>
      <c r="Q225" s="9" t="s">
        <v>25</v>
      </c>
    </row>
    <row r="226" spans="1:17" x14ac:dyDescent="0.25">
      <c r="A226" s="5" t="s">
        <v>276</v>
      </c>
      <c r="B226" s="6" t="s">
        <v>18</v>
      </c>
      <c r="C226" s="6" t="s">
        <v>33</v>
      </c>
      <c r="D226" s="6" t="s">
        <v>47</v>
      </c>
      <c r="E226" s="6" t="s">
        <v>35</v>
      </c>
      <c r="F226" s="6" t="s">
        <v>22</v>
      </c>
      <c r="G226" s="6">
        <v>30</v>
      </c>
      <c r="H226" s="7">
        <v>1416.13</v>
      </c>
      <c r="I226" s="7">
        <v>42483.9</v>
      </c>
      <c r="J226" s="8">
        <v>45411</v>
      </c>
      <c r="K226" s="6">
        <v>69</v>
      </c>
      <c r="L226" s="6" t="s">
        <v>49</v>
      </c>
      <c r="M226" s="6" t="b">
        <v>1</v>
      </c>
      <c r="N226" s="6">
        <v>9.4600000000000009</v>
      </c>
      <c r="O226" s="6" t="s">
        <v>56</v>
      </c>
      <c r="P226" s="6" t="b">
        <v>0</v>
      </c>
      <c r="Q226" s="9" t="s">
        <v>36</v>
      </c>
    </row>
    <row r="227" spans="1:17" x14ac:dyDescent="0.25">
      <c r="A227" s="5" t="s">
        <v>277</v>
      </c>
      <c r="B227" s="6" t="s">
        <v>46</v>
      </c>
      <c r="C227" s="6" t="s">
        <v>19</v>
      </c>
      <c r="D227" s="6" t="s">
        <v>20</v>
      </c>
      <c r="E227" s="6" t="s">
        <v>35</v>
      </c>
      <c r="F227" s="6" t="s">
        <v>29</v>
      </c>
      <c r="G227" s="6">
        <v>71</v>
      </c>
      <c r="H227" s="7">
        <v>1337.4</v>
      </c>
      <c r="I227" s="7">
        <v>94955.4</v>
      </c>
      <c r="J227" s="8">
        <v>45115</v>
      </c>
      <c r="K227" s="6">
        <v>63</v>
      </c>
      <c r="L227" s="6" t="s">
        <v>23</v>
      </c>
      <c r="M227" s="6" t="b">
        <v>0</v>
      </c>
      <c r="N227" s="6">
        <v>22.02</v>
      </c>
      <c r="O227" s="6" t="s">
        <v>56</v>
      </c>
      <c r="P227" s="6" t="b">
        <v>0</v>
      </c>
      <c r="Q227" s="9" t="s">
        <v>25</v>
      </c>
    </row>
    <row r="228" spans="1:17" x14ac:dyDescent="0.25">
      <c r="A228" s="5" t="s">
        <v>278</v>
      </c>
      <c r="B228" s="6" t="s">
        <v>51</v>
      </c>
      <c r="C228" s="6" t="s">
        <v>33</v>
      </c>
      <c r="D228" s="6" t="s">
        <v>20</v>
      </c>
      <c r="E228" s="6" t="s">
        <v>28</v>
      </c>
      <c r="F228" s="6" t="s">
        <v>48</v>
      </c>
      <c r="G228" s="6">
        <v>52</v>
      </c>
      <c r="H228" s="7">
        <v>198.28</v>
      </c>
      <c r="I228" s="7">
        <v>10310.56</v>
      </c>
      <c r="J228" s="8">
        <v>45221</v>
      </c>
      <c r="K228" s="6">
        <v>20</v>
      </c>
      <c r="L228" s="6" t="s">
        <v>49</v>
      </c>
      <c r="M228" s="6" t="b">
        <v>1</v>
      </c>
      <c r="N228" s="6">
        <v>9.91</v>
      </c>
      <c r="O228" s="6" t="s">
        <v>24</v>
      </c>
      <c r="P228" s="6" t="b">
        <v>1</v>
      </c>
      <c r="Q228" s="9" t="s">
        <v>25</v>
      </c>
    </row>
    <row r="229" spans="1:17" x14ac:dyDescent="0.25">
      <c r="A229" s="5" t="s">
        <v>279</v>
      </c>
      <c r="B229" s="6" t="s">
        <v>18</v>
      </c>
      <c r="C229" s="6" t="s">
        <v>19</v>
      </c>
      <c r="D229" s="6" t="s">
        <v>64</v>
      </c>
      <c r="E229" s="6" t="s">
        <v>28</v>
      </c>
      <c r="F229" s="6" t="s">
        <v>29</v>
      </c>
      <c r="G229" s="6">
        <v>91</v>
      </c>
      <c r="H229" s="7">
        <v>1128.98</v>
      </c>
      <c r="I229" s="7">
        <v>102737.18</v>
      </c>
      <c r="J229" s="8">
        <v>45109</v>
      </c>
      <c r="K229" s="6">
        <v>56</v>
      </c>
      <c r="L229" s="6" t="s">
        <v>49</v>
      </c>
      <c r="M229" s="6" t="b">
        <v>0</v>
      </c>
      <c r="N229" s="6">
        <v>3.77</v>
      </c>
      <c r="O229" s="6" t="s">
        <v>42</v>
      </c>
      <c r="P229" s="6" t="b">
        <v>1</v>
      </c>
      <c r="Q229" s="9" t="s">
        <v>36</v>
      </c>
    </row>
    <row r="230" spans="1:17" x14ac:dyDescent="0.25">
      <c r="A230" s="5" t="s">
        <v>280</v>
      </c>
      <c r="B230" s="6" t="s">
        <v>46</v>
      </c>
      <c r="C230" s="6" t="s">
        <v>39</v>
      </c>
      <c r="D230" s="6" t="s">
        <v>64</v>
      </c>
      <c r="E230" s="6" t="s">
        <v>35</v>
      </c>
      <c r="F230" s="6" t="s">
        <v>40</v>
      </c>
      <c r="G230" s="6">
        <v>9</v>
      </c>
      <c r="H230" s="7">
        <v>1218.4000000000001</v>
      </c>
      <c r="I230" s="7">
        <v>10965.6</v>
      </c>
      <c r="J230" s="8">
        <v>45474</v>
      </c>
      <c r="K230" s="6">
        <v>24</v>
      </c>
      <c r="L230" s="6" t="s">
        <v>49</v>
      </c>
      <c r="M230" s="6" t="b">
        <v>1</v>
      </c>
      <c r="N230" s="6">
        <v>14.26</v>
      </c>
      <c r="O230" s="6" t="s">
        <v>56</v>
      </c>
      <c r="P230" s="6" t="b">
        <v>1</v>
      </c>
      <c r="Q230" s="9" t="s">
        <v>36</v>
      </c>
    </row>
    <row r="231" spans="1:17" x14ac:dyDescent="0.25">
      <c r="A231" s="5" t="s">
        <v>281</v>
      </c>
      <c r="B231" s="6" t="s">
        <v>76</v>
      </c>
      <c r="C231" s="6" t="s">
        <v>19</v>
      </c>
      <c r="D231" s="6" t="s">
        <v>34</v>
      </c>
      <c r="E231" s="6" t="s">
        <v>28</v>
      </c>
      <c r="F231" s="6" t="s">
        <v>40</v>
      </c>
      <c r="G231" s="6">
        <v>22</v>
      </c>
      <c r="H231" s="7">
        <v>443.51</v>
      </c>
      <c r="I231" s="7">
        <v>9757.2199999999993</v>
      </c>
      <c r="J231" s="8">
        <v>44963</v>
      </c>
      <c r="K231" s="6">
        <v>53</v>
      </c>
      <c r="L231" s="6" t="s">
        <v>49</v>
      </c>
      <c r="M231" s="6" t="b">
        <v>1</v>
      </c>
      <c r="N231" s="6">
        <v>22.53</v>
      </c>
      <c r="O231" s="6" t="s">
        <v>56</v>
      </c>
      <c r="P231" s="6" t="b">
        <v>0</v>
      </c>
      <c r="Q231" s="9" t="s">
        <v>36</v>
      </c>
    </row>
    <row r="232" spans="1:17" x14ac:dyDescent="0.25">
      <c r="A232" s="5" t="s">
        <v>282</v>
      </c>
      <c r="B232" s="6" t="s">
        <v>27</v>
      </c>
      <c r="C232" s="6" t="s">
        <v>19</v>
      </c>
      <c r="D232" s="6" t="s">
        <v>52</v>
      </c>
      <c r="E232" s="6" t="s">
        <v>28</v>
      </c>
      <c r="F232" s="6" t="s">
        <v>48</v>
      </c>
      <c r="G232" s="6">
        <v>34</v>
      </c>
      <c r="H232" s="7">
        <v>733.83</v>
      </c>
      <c r="I232" s="7">
        <v>24950.22</v>
      </c>
      <c r="J232" s="8">
        <v>44940</v>
      </c>
      <c r="K232" s="6">
        <v>46</v>
      </c>
      <c r="L232" s="6" t="s">
        <v>23</v>
      </c>
      <c r="M232" s="6" t="b">
        <v>0</v>
      </c>
      <c r="N232" s="6">
        <v>11.33</v>
      </c>
      <c r="O232" s="6" t="s">
        <v>24</v>
      </c>
      <c r="P232" s="6" t="b">
        <v>0</v>
      </c>
      <c r="Q232" s="9" t="s">
        <v>36</v>
      </c>
    </row>
    <row r="233" spans="1:17" x14ac:dyDescent="0.25">
      <c r="A233" s="5" t="s">
        <v>283</v>
      </c>
      <c r="B233" s="6" t="s">
        <v>72</v>
      </c>
      <c r="C233" s="6" t="s">
        <v>39</v>
      </c>
      <c r="D233" s="6" t="s">
        <v>20</v>
      </c>
      <c r="E233" s="6" t="s">
        <v>35</v>
      </c>
      <c r="F233" s="6" t="s">
        <v>40</v>
      </c>
      <c r="G233" s="6">
        <v>49</v>
      </c>
      <c r="H233" s="7">
        <v>1080.93</v>
      </c>
      <c r="I233" s="7">
        <v>52965.57</v>
      </c>
      <c r="J233" s="8">
        <v>45561</v>
      </c>
      <c r="K233" s="6">
        <v>54</v>
      </c>
      <c r="L233" s="6" t="s">
        <v>49</v>
      </c>
      <c r="M233" s="6" t="b">
        <v>1</v>
      </c>
      <c r="N233" s="6">
        <v>26.08</v>
      </c>
      <c r="O233" s="6" t="s">
        <v>24</v>
      </c>
      <c r="P233" s="6" t="b">
        <v>0</v>
      </c>
      <c r="Q233" s="9" t="s">
        <v>36</v>
      </c>
    </row>
    <row r="234" spans="1:17" x14ac:dyDescent="0.25">
      <c r="A234" s="5" t="s">
        <v>284</v>
      </c>
      <c r="B234" s="6" t="s">
        <v>66</v>
      </c>
      <c r="C234" s="6" t="s">
        <v>33</v>
      </c>
      <c r="D234" s="6" t="s">
        <v>52</v>
      </c>
      <c r="E234" s="6" t="s">
        <v>21</v>
      </c>
      <c r="F234" s="6" t="s">
        <v>40</v>
      </c>
      <c r="G234" s="6">
        <v>1</v>
      </c>
      <c r="H234" s="7">
        <v>686.61</v>
      </c>
      <c r="I234" s="7">
        <v>686.61</v>
      </c>
      <c r="J234" s="8">
        <v>45521</v>
      </c>
      <c r="K234" s="6">
        <v>66</v>
      </c>
      <c r="L234" s="6" t="s">
        <v>23</v>
      </c>
      <c r="M234" s="6" t="b">
        <v>1</v>
      </c>
      <c r="N234" s="6">
        <v>11.61</v>
      </c>
      <c r="O234" s="6" t="s">
        <v>56</v>
      </c>
      <c r="P234" s="6" t="b">
        <v>0</v>
      </c>
      <c r="Q234" s="9" t="s">
        <v>25</v>
      </c>
    </row>
    <row r="235" spans="1:17" x14ac:dyDescent="0.25">
      <c r="A235" s="5" t="s">
        <v>285</v>
      </c>
      <c r="B235" s="6" t="s">
        <v>72</v>
      </c>
      <c r="C235" s="6" t="s">
        <v>19</v>
      </c>
      <c r="D235" s="6" t="s">
        <v>34</v>
      </c>
      <c r="E235" s="6" t="s">
        <v>28</v>
      </c>
      <c r="F235" s="6" t="s">
        <v>22</v>
      </c>
      <c r="G235" s="6">
        <v>73</v>
      </c>
      <c r="H235" s="7">
        <v>213.56</v>
      </c>
      <c r="I235" s="7">
        <v>15589.88</v>
      </c>
      <c r="J235" s="8">
        <v>45085</v>
      </c>
      <c r="K235" s="6">
        <v>53</v>
      </c>
      <c r="L235" s="6" t="s">
        <v>49</v>
      </c>
      <c r="M235" s="6" t="b">
        <v>1</v>
      </c>
      <c r="N235" s="6">
        <v>10.5</v>
      </c>
      <c r="O235" s="6" t="s">
        <v>42</v>
      </c>
      <c r="P235" s="6" t="b">
        <v>1</v>
      </c>
      <c r="Q235" s="9" t="s">
        <v>25</v>
      </c>
    </row>
    <row r="236" spans="1:17" x14ac:dyDescent="0.25">
      <c r="A236" s="5" t="s">
        <v>286</v>
      </c>
      <c r="B236" s="6" t="s">
        <v>38</v>
      </c>
      <c r="C236" s="6" t="s">
        <v>19</v>
      </c>
      <c r="D236" s="6" t="s">
        <v>20</v>
      </c>
      <c r="E236" s="6" t="s">
        <v>21</v>
      </c>
      <c r="F236" s="6" t="s">
        <v>48</v>
      </c>
      <c r="G236" s="6">
        <v>84</v>
      </c>
      <c r="H236" s="7">
        <v>1073.53</v>
      </c>
      <c r="I236" s="7">
        <v>90176.52</v>
      </c>
      <c r="J236" s="8">
        <v>45420</v>
      </c>
      <c r="K236" s="6">
        <v>40</v>
      </c>
      <c r="L236" s="6" t="s">
        <v>23</v>
      </c>
      <c r="M236" s="6" t="b">
        <v>1</v>
      </c>
      <c r="N236" s="6">
        <v>29.95</v>
      </c>
      <c r="O236" s="6" t="s">
        <v>56</v>
      </c>
      <c r="P236" s="6" t="b">
        <v>0</v>
      </c>
      <c r="Q236" s="9" t="s">
        <v>25</v>
      </c>
    </row>
    <row r="237" spans="1:17" x14ac:dyDescent="0.25">
      <c r="A237" s="5" t="s">
        <v>287</v>
      </c>
      <c r="B237" s="6" t="s">
        <v>38</v>
      </c>
      <c r="C237" s="6" t="s">
        <v>39</v>
      </c>
      <c r="D237" s="6" t="s">
        <v>20</v>
      </c>
      <c r="E237" s="6" t="s">
        <v>28</v>
      </c>
      <c r="F237" s="6" t="s">
        <v>22</v>
      </c>
      <c r="G237" s="6">
        <v>53</v>
      </c>
      <c r="H237" s="7">
        <v>1371.88</v>
      </c>
      <c r="I237" s="7">
        <v>72709.64</v>
      </c>
      <c r="J237" s="8">
        <v>45255</v>
      </c>
      <c r="K237" s="6">
        <v>62</v>
      </c>
      <c r="L237" s="6" t="s">
        <v>41</v>
      </c>
      <c r="M237" s="6" t="b">
        <v>1</v>
      </c>
      <c r="N237" s="6">
        <v>14.47</v>
      </c>
      <c r="O237" s="6" t="s">
        <v>56</v>
      </c>
      <c r="P237" s="6" t="b">
        <v>1</v>
      </c>
      <c r="Q237" s="9" t="s">
        <v>25</v>
      </c>
    </row>
    <row r="238" spans="1:17" x14ac:dyDescent="0.25">
      <c r="A238" s="5" t="s">
        <v>288</v>
      </c>
      <c r="B238" s="6" t="s">
        <v>18</v>
      </c>
      <c r="C238" s="6" t="s">
        <v>33</v>
      </c>
      <c r="D238" s="6" t="s">
        <v>52</v>
      </c>
      <c r="E238" s="6" t="s">
        <v>28</v>
      </c>
      <c r="F238" s="6" t="s">
        <v>22</v>
      </c>
      <c r="G238" s="6">
        <v>83</v>
      </c>
      <c r="H238" s="7">
        <v>996.1</v>
      </c>
      <c r="I238" s="7">
        <v>82676.3</v>
      </c>
      <c r="J238" s="8">
        <v>45540</v>
      </c>
      <c r="K238" s="6">
        <v>33</v>
      </c>
      <c r="L238" s="6" t="s">
        <v>23</v>
      </c>
      <c r="M238" s="6" t="b">
        <v>0</v>
      </c>
      <c r="N238" s="6">
        <v>24.16</v>
      </c>
      <c r="O238" s="6" t="s">
        <v>42</v>
      </c>
      <c r="P238" s="6" t="b">
        <v>0</v>
      </c>
      <c r="Q238" s="9" t="s">
        <v>36</v>
      </c>
    </row>
    <row r="239" spans="1:17" x14ac:dyDescent="0.25">
      <c r="A239" s="5" t="s">
        <v>289</v>
      </c>
      <c r="B239" s="6" t="s">
        <v>76</v>
      </c>
      <c r="C239" s="6" t="s">
        <v>19</v>
      </c>
      <c r="D239" s="6" t="s">
        <v>47</v>
      </c>
      <c r="E239" s="6" t="s">
        <v>35</v>
      </c>
      <c r="F239" s="6" t="s">
        <v>29</v>
      </c>
      <c r="G239" s="6">
        <v>40</v>
      </c>
      <c r="H239" s="7">
        <v>1172.01</v>
      </c>
      <c r="I239" s="7">
        <v>46880.4</v>
      </c>
      <c r="J239" s="8">
        <v>45009</v>
      </c>
      <c r="K239" s="6">
        <v>65</v>
      </c>
      <c r="L239" s="6" t="s">
        <v>23</v>
      </c>
      <c r="M239" s="6" t="b">
        <v>1</v>
      </c>
      <c r="N239" s="6">
        <v>24.15</v>
      </c>
      <c r="O239" s="6" t="s">
        <v>24</v>
      </c>
      <c r="P239" s="6" t="b">
        <v>0</v>
      </c>
      <c r="Q239" s="9" t="s">
        <v>25</v>
      </c>
    </row>
    <row r="240" spans="1:17" x14ac:dyDescent="0.25">
      <c r="A240" s="5" t="s">
        <v>290</v>
      </c>
      <c r="B240" s="6" t="s">
        <v>76</v>
      </c>
      <c r="C240" s="6" t="s">
        <v>39</v>
      </c>
      <c r="D240" s="6" t="s">
        <v>64</v>
      </c>
      <c r="E240" s="6" t="s">
        <v>28</v>
      </c>
      <c r="F240" s="6" t="s">
        <v>48</v>
      </c>
      <c r="G240" s="6">
        <v>45</v>
      </c>
      <c r="H240" s="7">
        <v>569.63</v>
      </c>
      <c r="I240" s="7">
        <v>25633.35</v>
      </c>
      <c r="J240" s="8">
        <v>45482</v>
      </c>
      <c r="K240" s="6">
        <v>48</v>
      </c>
      <c r="L240" s="6" t="s">
        <v>49</v>
      </c>
      <c r="M240" s="6" t="b">
        <v>0</v>
      </c>
      <c r="N240" s="6">
        <v>27.79</v>
      </c>
      <c r="O240" s="6" t="s">
        <v>42</v>
      </c>
      <c r="P240" s="6" t="b">
        <v>1</v>
      </c>
      <c r="Q240" s="9" t="s">
        <v>36</v>
      </c>
    </row>
    <row r="241" spans="1:17" x14ac:dyDescent="0.25">
      <c r="A241" s="5" t="s">
        <v>291</v>
      </c>
      <c r="B241" s="6" t="s">
        <v>51</v>
      </c>
      <c r="C241" s="6" t="s">
        <v>19</v>
      </c>
      <c r="D241" s="6" t="s">
        <v>47</v>
      </c>
      <c r="E241" s="6" t="s">
        <v>44</v>
      </c>
      <c r="F241" s="6" t="s">
        <v>29</v>
      </c>
      <c r="G241" s="6">
        <v>68</v>
      </c>
      <c r="H241" s="7">
        <v>315.64</v>
      </c>
      <c r="I241" s="7">
        <v>21463.52</v>
      </c>
      <c r="J241" s="8">
        <v>45506</v>
      </c>
      <c r="K241" s="6">
        <v>51</v>
      </c>
      <c r="L241" s="6" t="s">
        <v>23</v>
      </c>
      <c r="M241" s="6" t="b">
        <v>1</v>
      </c>
      <c r="N241" s="6">
        <v>2.5499999999999998</v>
      </c>
      <c r="O241" s="6" t="s">
        <v>42</v>
      </c>
      <c r="P241" s="6" t="b">
        <v>0</v>
      </c>
      <c r="Q241" s="9" t="s">
        <v>36</v>
      </c>
    </row>
    <row r="242" spans="1:17" x14ac:dyDescent="0.25">
      <c r="A242" s="5" t="s">
        <v>292</v>
      </c>
      <c r="B242" s="6" t="s">
        <v>51</v>
      </c>
      <c r="C242" s="6" t="s">
        <v>39</v>
      </c>
      <c r="D242" s="6" t="s">
        <v>52</v>
      </c>
      <c r="E242" s="6" t="s">
        <v>44</v>
      </c>
      <c r="F242" s="6" t="s">
        <v>29</v>
      </c>
      <c r="G242" s="6">
        <v>9</v>
      </c>
      <c r="H242" s="7">
        <v>982.02</v>
      </c>
      <c r="I242" s="7">
        <v>8838.18</v>
      </c>
      <c r="J242" s="8">
        <v>45486</v>
      </c>
      <c r="K242" s="6">
        <v>67</v>
      </c>
      <c r="L242" s="6" t="s">
        <v>23</v>
      </c>
      <c r="M242" s="6" t="b">
        <v>1</v>
      </c>
      <c r="N242" s="6">
        <v>8.14</v>
      </c>
      <c r="O242" s="6" t="s">
        <v>42</v>
      </c>
      <c r="P242" s="6" t="b">
        <v>1</v>
      </c>
      <c r="Q242" s="9" t="s">
        <v>36</v>
      </c>
    </row>
    <row r="243" spans="1:17" x14ac:dyDescent="0.25">
      <c r="A243" s="5" t="s">
        <v>293</v>
      </c>
      <c r="B243" s="6" t="s">
        <v>51</v>
      </c>
      <c r="C243" s="6" t="s">
        <v>33</v>
      </c>
      <c r="D243" s="6" t="s">
        <v>64</v>
      </c>
      <c r="E243" s="6" t="s">
        <v>35</v>
      </c>
      <c r="F243" s="6" t="s">
        <v>22</v>
      </c>
      <c r="G243" s="6">
        <v>22</v>
      </c>
      <c r="H243" s="7">
        <v>525.27</v>
      </c>
      <c r="I243" s="7">
        <v>11555.94</v>
      </c>
      <c r="J243" s="8">
        <v>45495</v>
      </c>
      <c r="K243" s="6">
        <v>18</v>
      </c>
      <c r="L243" s="6" t="s">
        <v>49</v>
      </c>
      <c r="M243" s="6" t="b">
        <v>0</v>
      </c>
      <c r="N243" s="6">
        <v>23.03</v>
      </c>
      <c r="O243" s="6" t="s">
        <v>42</v>
      </c>
      <c r="P243" s="6" t="b">
        <v>1</v>
      </c>
      <c r="Q243" s="9" t="s">
        <v>36</v>
      </c>
    </row>
    <row r="244" spans="1:17" x14ac:dyDescent="0.25">
      <c r="A244" s="5" t="s">
        <v>294</v>
      </c>
      <c r="B244" s="6" t="s">
        <v>27</v>
      </c>
      <c r="C244" s="6" t="s">
        <v>33</v>
      </c>
      <c r="D244" s="6" t="s">
        <v>47</v>
      </c>
      <c r="E244" s="6" t="s">
        <v>21</v>
      </c>
      <c r="F244" s="6" t="s">
        <v>40</v>
      </c>
      <c r="G244" s="6">
        <v>18</v>
      </c>
      <c r="H244" s="7">
        <v>1297.1099999999999</v>
      </c>
      <c r="I244" s="7">
        <v>23347.98</v>
      </c>
      <c r="J244" s="8">
        <v>45513</v>
      </c>
      <c r="K244" s="6">
        <v>35</v>
      </c>
      <c r="L244" s="6" t="s">
        <v>41</v>
      </c>
      <c r="M244" s="6" t="b">
        <v>1</v>
      </c>
      <c r="N244" s="6">
        <v>16.88</v>
      </c>
      <c r="O244" s="6" t="s">
        <v>24</v>
      </c>
      <c r="P244" s="6" t="b">
        <v>0</v>
      </c>
      <c r="Q244" s="9" t="s">
        <v>36</v>
      </c>
    </row>
    <row r="245" spans="1:17" x14ac:dyDescent="0.25">
      <c r="A245" s="5" t="s">
        <v>295</v>
      </c>
      <c r="B245" s="6" t="s">
        <v>32</v>
      </c>
      <c r="C245" s="6" t="s">
        <v>33</v>
      </c>
      <c r="D245" s="6" t="s">
        <v>64</v>
      </c>
      <c r="E245" s="6" t="s">
        <v>21</v>
      </c>
      <c r="F245" s="6" t="s">
        <v>48</v>
      </c>
      <c r="G245" s="6">
        <v>76</v>
      </c>
      <c r="H245" s="7">
        <v>227.81</v>
      </c>
      <c r="I245" s="7">
        <v>17313.560000000001</v>
      </c>
      <c r="J245" s="8">
        <v>44948</v>
      </c>
      <c r="K245" s="6">
        <v>57</v>
      </c>
      <c r="L245" s="6" t="s">
        <v>41</v>
      </c>
      <c r="M245" s="6" t="b">
        <v>1</v>
      </c>
      <c r="N245" s="6">
        <v>16.79</v>
      </c>
      <c r="O245" s="6" t="s">
        <v>56</v>
      </c>
      <c r="P245" s="6" t="b">
        <v>1</v>
      </c>
      <c r="Q245" s="9" t="s">
        <v>25</v>
      </c>
    </row>
    <row r="246" spans="1:17" x14ac:dyDescent="0.25">
      <c r="A246" s="5" t="s">
        <v>296</v>
      </c>
      <c r="B246" s="6" t="s">
        <v>62</v>
      </c>
      <c r="C246" s="6" t="s">
        <v>33</v>
      </c>
      <c r="D246" s="6" t="s">
        <v>20</v>
      </c>
      <c r="E246" s="6" t="s">
        <v>21</v>
      </c>
      <c r="F246" s="6" t="s">
        <v>40</v>
      </c>
      <c r="G246" s="6">
        <v>43</v>
      </c>
      <c r="H246" s="7">
        <v>678.52</v>
      </c>
      <c r="I246" s="7">
        <v>29176.36</v>
      </c>
      <c r="J246" s="8">
        <v>45058</v>
      </c>
      <c r="K246" s="6">
        <v>60</v>
      </c>
      <c r="L246" s="6" t="s">
        <v>41</v>
      </c>
      <c r="M246" s="6" t="b">
        <v>0</v>
      </c>
      <c r="N246" s="6">
        <v>4.99</v>
      </c>
      <c r="O246" s="6" t="s">
        <v>30</v>
      </c>
      <c r="P246" s="6" t="b">
        <v>1</v>
      </c>
      <c r="Q246" s="9" t="s">
        <v>36</v>
      </c>
    </row>
    <row r="247" spans="1:17" x14ac:dyDescent="0.25">
      <c r="A247" s="5" t="s">
        <v>297</v>
      </c>
      <c r="B247" s="6" t="s">
        <v>32</v>
      </c>
      <c r="C247" s="6" t="s">
        <v>19</v>
      </c>
      <c r="D247" s="6" t="s">
        <v>47</v>
      </c>
      <c r="E247" s="6" t="s">
        <v>44</v>
      </c>
      <c r="F247" s="6" t="s">
        <v>22</v>
      </c>
      <c r="G247" s="6">
        <v>39</v>
      </c>
      <c r="H247" s="7">
        <v>625.26</v>
      </c>
      <c r="I247" s="7">
        <v>24385.14</v>
      </c>
      <c r="J247" s="8">
        <v>45391</v>
      </c>
      <c r="K247" s="6">
        <v>32</v>
      </c>
      <c r="L247" s="6" t="s">
        <v>23</v>
      </c>
      <c r="M247" s="6" t="b">
        <v>0</v>
      </c>
      <c r="N247" s="6">
        <v>8.43</v>
      </c>
      <c r="O247" s="6" t="s">
        <v>24</v>
      </c>
      <c r="P247" s="6" t="b">
        <v>0</v>
      </c>
      <c r="Q247" s="9" t="s">
        <v>36</v>
      </c>
    </row>
    <row r="248" spans="1:17" x14ac:dyDescent="0.25">
      <c r="A248" s="5" t="s">
        <v>298</v>
      </c>
      <c r="B248" s="6" t="s">
        <v>72</v>
      </c>
      <c r="C248" s="6" t="s">
        <v>19</v>
      </c>
      <c r="D248" s="6" t="s">
        <v>64</v>
      </c>
      <c r="E248" s="6" t="s">
        <v>21</v>
      </c>
      <c r="F248" s="6" t="s">
        <v>22</v>
      </c>
      <c r="G248" s="6">
        <v>73</v>
      </c>
      <c r="H248" s="7">
        <v>1410.18</v>
      </c>
      <c r="I248" s="7">
        <v>102943.14</v>
      </c>
      <c r="J248" s="8">
        <v>45382</v>
      </c>
      <c r="K248" s="6">
        <v>65</v>
      </c>
      <c r="L248" s="6" t="s">
        <v>49</v>
      </c>
      <c r="M248" s="6" t="b">
        <v>1</v>
      </c>
      <c r="N248" s="6">
        <v>15.64</v>
      </c>
      <c r="O248" s="6" t="s">
        <v>42</v>
      </c>
      <c r="P248" s="6" t="b">
        <v>1</v>
      </c>
      <c r="Q248" s="9" t="s">
        <v>25</v>
      </c>
    </row>
    <row r="249" spans="1:17" x14ac:dyDescent="0.25">
      <c r="A249" s="5" t="s">
        <v>299</v>
      </c>
      <c r="B249" s="6" t="s">
        <v>32</v>
      </c>
      <c r="C249" s="6" t="s">
        <v>33</v>
      </c>
      <c r="D249" s="6" t="s">
        <v>64</v>
      </c>
      <c r="E249" s="6" t="s">
        <v>21</v>
      </c>
      <c r="F249" s="6" t="s">
        <v>22</v>
      </c>
      <c r="G249" s="6">
        <v>6</v>
      </c>
      <c r="H249" s="7">
        <v>272.05</v>
      </c>
      <c r="I249" s="7">
        <v>1632.3</v>
      </c>
      <c r="J249" s="8">
        <v>45228</v>
      </c>
      <c r="K249" s="6">
        <v>66</v>
      </c>
      <c r="L249" s="6" t="s">
        <v>41</v>
      </c>
      <c r="M249" s="6" t="b">
        <v>0</v>
      </c>
      <c r="N249" s="6">
        <v>8.32</v>
      </c>
      <c r="O249" s="6" t="s">
        <v>56</v>
      </c>
      <c r="P249" s="6" t="b">
        <v>1</v>
      </c>
      <c r="Q249" s="9" t="s">
        <v>25</v>
      </c>
    </row>
    <row r="250" spans="1:17" x14ac:dyDescent="0.25">
      <c r="A250" s="5" t="s">
        <v>300</v>
      </c>
      <c r="B250" s="6" t="s">
        <v>27</v>
      </c>
      <c r="C250" s="6" t="s">
        <v>33</v>
      </c>
      <c r="D250" s="6" t="s">
        <v>64</v>
      </c>
      <c r="E250" s="6" t="s">
        <v>35</v>
      </c>
      <c r="F250" s="6" t="s">
        <v>22</v>
      </c>
      <c r="G250" s="6">
        <v>83</v>
      </c>
      <c r="H250" s="7">
        <v>64.28</v>
      </c>
      <c r="I250" s="7">
        <v>5335.24</v>
      </c>
      <c r="J250" s="8">
        <v>45193</v>
      </c>
      <c r="K250" s="6">
        <v>34</v>
      </c>
      <c r="L250" s="6" t="s">
        <v>41</v>
      </c>
      <c r="M250" s="6" t="b">
        <v>0</v>
      </c>
      <c r="N250" s="6">
        <v>6.31</v>
      </c>
      <c r="O250" s="6" t="s">
        <v>56</v>
      </c>
      <c r="P250" s="6" t="b">
        <v>0</v>
      </c>
      <c r="Q250" s="9" t="s">
        <v>25</v>
      </c>
    </row>
    <row r="251" spans="1:17" x14ac:dyDescent="0.25">
      <c r="A251" s="5" t="s">
        <v>301</v>
      </c>
      <c r="B251" s="6" t="s">
        <v>72</v>
      </c>
      <c r="C251" s="6" t="s">
        <v>33</v>
      </c>
      <c r="D251" s="6" t="s">
        <v>47</v>
      </c>
      <c r="E251" s="6" t="s">
        <v>21</v>
      </c>
      <c r="F251" s="6" t="s">
        <v>22</v>
      </c>
      <c r="G251" s="6">
        <v>48</v>
      </c>
      <c r="H251" s="7">
        <v>395.22</v>
      </c>
      <c r="I251" s="7">
        <v>18970.560000000001</v>
      </c>
      <c r="J251" s="8">
        <v>45321</v>
      </c>
      <c r="K251" s="6">
        <v>61</v>
      </c>
      <c r="L251" s="6" t="s">
        <v>41</v>
      </c>
      <c r="M251" s="6" t="b">
        <v>0</v>
      </c>
      <c r="N251" s="6">
        <v>2.63</v>
      </c>
      <c r="O251" s="6" t="s">
        <v>42</v>
      </c>
      <c r="P251" s="6" t="b">
        <v>1</v>
      </c>
      <c r="Q251" s="9" t="s">
        <v>36</v>
      </c>
    </row>
    <row r="252" spans="1:17" x14ac:dyDescent="0.25">
      <c r="A252" s="5" t="s">
        <v>302</v>
      </c>
      <c r="B252" s="6" t="s">
        <v>32</v>
      </c>
      <c r="C252" s="6" t="s">
        <v>19</v>
      </c>
      <c r="D252" s="6" t="s">
        <v>34</v>
      </c>
      <c r="E252" s="6" t="s">
        <v>44</v>
      </c>
      <c r="F252" s="6" t="s">
        <v>22</v>
      </c>
      <c r="G252" s="6">
        <v>7</v>
      </c>
      <c r="H252" s="7">
        <v>1239.4000000000001</v>
      </c>
      <c r="I252" s="7">
        <v>8675.7999999999993</v>
      </c>
      <c r="J252" s="8">
        <v>45046</v>
      </c>
      <c r="K252" s="6">
        <v>27</v>
      </c>
      <c r="L252" s="6" t="s">
        <v>41</v>
      </c>
      <c r="M252" s="6" t="b">
        <v>0</v>
      </c>
      <c r="N252" s="6">
        <v>4.67</v>
      </c>
      <c r="O252" s="6" t="s">
        <v>24</v>
      </c>
      <c r="P252" s="6" t="b">
        <v>0</v>
      </c>
      <c r="Q252" s="9" t="s">
        <v>36</v>
      </c>
    </row>
    <row r="253" spans="1:17" x14ac:dyDescent="0.25">
      <c r="A253" s="5" t="s">
        <v>303</v>
      </c>
      <c r="B253" s="6" t="s">
        <v>27</v>
      </c>
      <c r="C253" s="6" t="s">
        <v>33</v>
      </c>
      <c r="D253" s="6" t="s">
        <v>47</v>
      </c>
      <c r="E253" s="6" t="s">
        <v>44</v>
      </c>
      <c r="F253" s="6" t="s">
        <v>40</v>
      </c>
      <c r="G253" s="6">
        <v>80</v>
      </c>
      <c r="H253" s="7">
        <v>353.52</v>
      </c>
      <c r="I253" s="7">
        <v>28281.599999999999</v>
      </c>
      <c r="J253" s="8">
        <v>45172</v>
      </c>
      <c r="K253" s="6">
        <v>37</v>
      </c>
      <c r="L253" s="6" t="s">
        <v>49</v>
      </c>
      <c r="M253" s="6" t="b">
        <v>1</v>
      </c>
      <c r="N253" s="6">
        <v>23.07</v>
      </c>
      <c r="O253" s="6" t="s">
        <v>42</v>
      </c>
      <c r="P253" s="6" t="b">
        <v>1</v>
      </c>
      <c r="Q253" s="9" t="s">
        <v>36</v>
      </c>
    </row>
    <row r="254" spans="1:17" x14ac:dyDescent="0.25">
      <c r="A254" s="5" t="s">
        <v>304</v>
      </c>
      <c r="B254" s="6" t="s">
        <v>62</v>
      </c>
      <c r="C254" s="6" t="s">
        <v>33</v>
      </c>
      <c r="D254" s="6" t="s">
        <v>52</v>
      </c>
      <c r="E254" s="6" t="s">
        <v>44</v>
      </c>
      <c r="F254" s="6" t="s">
        <v>29</v>
      </c>
      <c r="G254" s="6">
        <v>69</v>
      </c>
      <c r="H254" s="7">
        <v>399.27</v>
      </c>
      <c r="I254" s="7">
        <v>27549.63</v>
      </c>
      <c r="J254" s="8">
        <v>45494</v>
      </c>
      <c r="K254" s="6">
        <v>23</v>
      </c>
      <c r="L254" s="6" t="s">
        <v>41</v>
      </c>
      <c r="M254" s="6" t="b">
        <v>1</v>
      </c>
      <c r="N254" s="6">
        <v>21.56</v>
      </c>
      <c r="O254" s="6" t="s">
        <v>56</v>
      </c>
      <c r="P254" s="6" t="b">
        <v>0</v>
      </c>
      <c r="Q254" s="9" t="s">
        <v>36</v>
      </c>
    </row>
    <row r="255" spans="1:17" x14ac:dyDescent="0.25">
      <c r="A255" s="5" t="s">
        <v>305</v>
      </c>
      <c r="B255" s="6" t="s">
        <v>32</v>
      </c>
      <c r="C255" s="6" t="s">
        <v>33</v>
      </c>
      <c r="D255" s="6" t="s">
        <v>47</v>
      </c>
      <c r="E255" s="6" t="s">
        <v>35</v>
      </c>
      <c r="F255" s="6" t="s">
        <v>40</v>
      </c>
      <c r="G255" s="6">
        <v>16</v>
      </c>
      <c r="H255" s="7">
        <v>238.35</v>
      </c>
      <c r="I255" s="7">
        <v>3813.6</v>
      </c>
      <c r="J255" s="8">
        <v>44964</v>
      </c>
      <c r="K255" s="6">
        <v>25</v>
      </c>
      <c r="L255" s="6" t="s">
        <v>23</v>
      </c>
      <c r="M255" s="6" t="b">
        <v>0</v>
      </c>
      <c r="N255" s="6">
        <v>1.38</v>
      </c>
      <c r="O255" s="6" t="s">
        <v>56</v>
      </c>
      <c r="P255" s="6" t="b">
        <v>0</v>
      </c>
      <c r="Q255" s="9" t="s">
        <v>25</v>
      </c>
    </row>
    <row r="256" spans="1:17" x14ac:dyDescent="0.25">
      <c r="A256" s="5" t="s">
        <v>306</v>
      </c>
      <c r="B256" s="6" t="s">
        <v>27</v>
      </c>
      <c r="C256" s="6" t="s">
        <v>39</v>
      </c>
      <c r="D256" s="6" t="s">
        <v>64</v>
      </c>
      <c r="E256" s="6" t="s">
        <v>35</v>
      </c>
      <c r="F256" s="6" t="s">
        <v>48</v>
      </c>
      <c r="G256" s="6">
        <v>1</v>
      </c>
      <c r="H256" s="7">
        <v>1087.3800000000001</v>
      </c>
      <c r="I256" s="7">
        <v>1087.3800000000001</v>
      </c>
      <c r="J256" s="8">
        <v>45171</v>
      </c>
      <c r="K256" s="6">
        <v>62</v>
      </c>
      <c r="L256" s="6" t="s">
        <v>23</v>
      </c>
      <c r="M256" s="6" t="b">
        <v>1</v>
      </c>
      <c r="N256" s="6">
        <v>6.1</v>
      </c>
      <c r="O256" s="6" t="s">
        <v>24</v>
      </c>
      <c r="P256" s="6" t="b">
        <v>0</v>
      </c>
      <c r="Q256" s="9" t="s">
        <v>25</v>
      </c>
    </row>
    <row r="257" spans="1:17" x14ac:dyDescent="0.25">
      <c r="A257" s="5" t="s">
        <v>307</v>
      </c>
      <c r="B257" s="6" t="s">
        <v>51</v>
      </c>
      <c r="C257" s="6" t="s">
        <v>33</v>
      </c>
      <c r="D257" s="6" t="s">
        <v>20</v>
      </c>
      <c r="E257" s="6" t="s">
        <v>28</v>
      </c>
      <c r="F257" s="6" t="s">
        <v>40</v>
      </c>
      <c r="G257" s="6">
        <v>37</v>
      </c>
      <c r="H257" s="7">
        <v>150.30000000000001</v>
      </c>
      <c r="I257" s="7">
        <v>5561.1</v>
      </c>
      <c r="J257" s="8">
        <v>44947</v>
      </c>
      <c r="K257" s="6">
        <v>51</v>
      </c>
      <c r="L257" s="6" t="s">
        <v>49</v>
      </c>
      <c r="M257" s="6" t="b">
        <v>0</v>
      </c>
      <c r="N257" s="6">
        <v>16.809999999999999</v>
      </c>
      <c r="O257" s="6" t="s">
        <v>30</v>
      </c>
      <c r="P257" s="6" t="b">
        <v>0</v>
      </c>
      <c r="Q257" s="9" t="s">
        <v>25</v>
      </c>
    </row>
    <row r="258" spans="1:17" x14ac:dyDescent="0.25">
      <c r="A258" s="5" t="s">
        <v>308</v>
      </c>
      <c r="B258" s="6" t="s">
        <v>76</v>
      </c>
      <c r="C258" s="6" t="s">
        <v>39</v>
      </c>
      <c r="D258" s="6" t="s">
        <v>47</v>
      </c>
      <c r="E258" s="6" t="s">
        <v>21</v>
      </c>
      <c r="F258" s="6" t="s">
        <v>22</v>
      </c>
      <c r="G258" s="6">
        <v>83</v>
      </c>
      <c r="H258" s="7">
        <v>530.25</v>
      </c>
      <c r="I258" s="7">
        <v>44010.75</v>
      </c>
      <c r="J258" s="8">
        <v>45036</v>
      </c>
      <c r="K258" s="6">
        <v>49</v>
      </c>
      <c r="L258" s="6" t="s">
        <v>41</v>
      </c>
      <c r="M258" s="6" t="b">
        <v>1</v>
      </c>
      <c r="N258" s="6">
        <v>9.68</v>
      </c>
      <c r="O258" s="6" t="s">
        <v>42</v>
      </c>
      <c r="P258" s="6" t="b">
        <v>0</v>
      </c>
      <c r="Q258" s="9" t="s">
        <v>25</v>
      </c>
    </row>
    <row r="259" spans="1:17" x14ac:dyDescent="0.25">
      <c r="A259" s="5" t="s">
        <v>309</v>
      </c>
      <c r="B259" s="6" t="s">
        <v>51</v>
      </c>
      <c r="C259" s="6" t="s">
        <v>39</v>
      </c>
      <c r="D259" s="6" t="s">
        <v>47</v>
      </c>
      <c r="E259" s="6" t="s">
        <v>35</v>
      </c>
      <c r="F259" s="6" t="s">
        <v>40</v>
      </c>
      <c r="G259" s="6">
        <v>37</v>
      </c>
      <c r="H259" s="7">
        <v>459.62</v>
      </c>
      <c r="I259" s="7">
        <v>17005.939999999999</v>
      </c>
      <c r="J259" s="8">
        <v>45532</v>
      </c>
      <c r="K259" s="6">
        <v>68</v>
      </c>
      <c r="L259" s="6" t="s">
        <v>41</v>
      </c>
      <c r="M259" s="6" t="b">
        <v>1</v>
      </c>
      <c r="N259" s="6">
        <v>24.7</v>
      </c>
      <c r="O259" s="6" t="s">
        <v>30</v>
      </c>
      <c r="P259" s="6" t="b">
        <v>1</v>
      </c>
      <c r="Q259" s="9" t="s">
        <v>25</v>
      </c>
    </row>
    <row r="260" spans="1:17" x14ac:dyDescent="0.25">
      <c r="A260" s="5" t="s">
        <v>310</v>
      </c>
      <c r="B260" s="6" t="s">
        <v>76</v>
      </c>
      <c r="C260" s="6" t="s">
        <v>33</v>
      </c>
      <c r="D260" s="6" t="s">
        <v>64</v>
      </c>
      <c r="E260" s="6" t="s">
        <v>44</v>
      </c>
      <c r="F260" s="6" t="s">
        <v>29</v>
      </c>
      <c r="G260" s="6">
        <v>81</v>
      </c>
      <c r="H260" s="7">
        <v>854.98</v>
      </c>
      <c r="I260" s="7">
        <v>69253.38</v>
      </c>
      <c r="J260" s="8">
        <v>45320</v>
      </c>
      <c r="K260" s="6">
        <v>59</v>
      </c>
      <c r="L260" s="6" t="s">
        <v>23</v>
      </c>
      <c r="M260" s="6" t="b">
        <v>0</v>
      </c>
      <c r="N260" s="6">
        <v>23.55</v>
      </c>
      <c r="O260" s="6" t="s">
        <v>56</v>
      </c>
      <c r="P260" s="6" t="b">
        <v>0</v>
      </c>
      <c r="Q260" s="9" t="s">
        <v>25</v>
      </c>
    </row>
    <row r="261" spans="1:17" x14ac:dyDescent="0.25">
      <c r="A261" s="5" t="s">
        <v>311</v>
      </c>
      <c r="B261" s="6" t="s">
        <v>66</v>
      </c>
      <c r="C261" s="6" t="s">
        <v>39</v>
      </c>
      <c r="D261" s="6" t="s">
        <v>20</v>
      </c>
      <c r="E261" s="6" t="s">
        <v>44</v>
      </c>
      <c r="F261" s="6" t="s">
        <v>48</v>
      </c>
      <c r="G261" s="6">
        <v>64</v>
      </c>
      <c r="H261" s="7">
        <v>1109.0999999999999</v>
      </c>
      <c r="I261" s="7">
        <v>70982.399999999994</v>
      </c>
      <c r="J261" s="8">
        <v>45336</v>
      </c>
      <c r="K261" s="6">
        <v>21</v>
      </c>
      <c r="L261" s="6" t="s">
        <v>49</v>
      </c>
      <c r="M261" s="6" t="b">
        <v>0</v>
      </c>
      <c r="N261" s="6">
        <v>26.75</v>
      </c>
      <c r="O261" s="6" t="s">
        <v>30</v>
      </c>
      <c r="P261" s="6" t="b">
        <v>0</v>
      </c>
      <c r="Q261" s="9" t="s">
        <v>36</v>
      </c>
    </row>
    <row r="262" spans="1:17" x14ac:dyDescent="0.25">
      <c r="A262" s="5" t="s">
        <v>312</v>
      </c>
      <c r="B262" s="6" t="s">
        <v>66</v>
      </c>
      <c r="C262" s="6" t="s">
        <v>33</v>
      </c>
      <c r="D262" s="6" t="s">
        <v>20</v>
      </c>
      <c r="E262" s="6" t="s">
        <v>35</v>
      </c>
      <c r="F262" s="6" t="s">
        <v>40</v>
      </c>
      <c r="G262" s="6">
        <v>90</v>
      </c>
      <c r="H262" s="7">
        <v>822.67</v>
      </c>
      <c r="I262" s="7">
        <v>74040.3</v>
      </c>
      <c r="J262" s="8">
        <v>45574</v>
      </c>
      <c r="K262" s="6">
        <v>61</v>
      </c>
      <c r="L262" s="6" t="s">
        <v>23</v>
      </c>
      <c r="M262" s="6" t="b">
        <v>1</v>
      </c>
      <c r="N262" s="6">
        <v>16.89</v>
      </c>
      <c r="O262" s="6" t="s">
        <v>42</v>
      </c>
      <c r="P262" s="6" t="b">
        <v>1</v>
      </c>
      <c r="Q262" s="9" t="s">
        <v>36</v>
      </c>
    </row>
    <row r="263" spans="1:17" x14ac:dyDescent="0.25">
      <c r="A263" s="5" t="s">
        <v>313</v>
      </c>
      <c r="B263" s="6" t="s">
        <v>66</v>
      </c>
      <c r="C263" s="6" t="s">
        <v>19</v>
      </c>
      <c r="D263" s="6" t="s">
        <v>52</v>
      </c>
      <c r="E263" s="6" t="s">
        <v>35</v>
      </c>
      <c r="F263" s="6" t="s">
        <v>29</v>
      </c>
      <c r="G263" s="6">
        <v>86</v>
      </c>
      <c r="H263" s="7">
        <v>1399.99</v>
      </c>
      <c r="I263" s="7">
        <v>120399.14</v>
      </c>
      <c r="J263" s="8">
        <v>44934</v>
      </c>
      <c r="K263" s="6">
        <v>67</v>
      </c>
      <c r="L263" s="6" t="s">
        <v>49</v>
      </c>
      <c r="M263" s="6" t="b">
        <v>1</v>
      </c>
      <c r="N263" s="6">
        <v>10.56</v>
      </c>
      <c r="O263" s="6" t="s">
        <v>42</v>
      </c>
      <c r="P263" s="6" t="b">
        <v>0</v>
      </c>
      <c r="Q263" s="9" t="s">
        <v>25</v>
      </c>
    </row>
    <row r="264" spans="1:17" x14ac:dyDescent="0.25">
      <c r="A264" s="5" t="s">
        <v>314</v>
      </c>
      <c r="B264" s="6" t="s">
        <v>62</v>
      </c>
      <c r="C264" s="6" t="s">
        <v>19</v>
      </c>
      <c r="D264" s="6" t="s">
        <v>47</v>
      </c>
      <c r="E264" s="6" t="s">
        <v>35</v>
      </c>
      <c r="F264" s="6" t="s">
        <v>40</v>
      </c>
      <c r="G264" s="6">
        <v>62</v>
      </c>
      <c r="H264" s="7">
        <v>1429.59</v>
      </c>
      <c r="I264" s="7">
        <v>88634.58</v>
      </c>
      <c r="J264" s="8">
        <v>45370</v>
      </c>
      <c r="K264" s="6">
        <v>56</v>
      </c>
      <c r="L264" s="6" t="s">
        <v>49</v>
      </c>
      <c r="M264" s="6" t="b">
        <v>1</v>
      </c>
      <c r="N264" s="6">
        <v>18.18</v>
      </c>
      <c r="O264" s="6" t="s">
        <v>56</v>
      </c>
      <c r="P264" s="6" t="b">
        <v>1</v>
      </c>
      <c r="Q264" s="9" t="s">
        <v>25</v>
      </c>
    </row>
    <row r="265" spans="1:17" x14ac:dyDescent="0.25">
      <c r="A265" s="5" t="s">
        <v>315</v>
      </c>
      <c r="B265" s="6" t="s">
        <v>51</v>
      </c>
      <c r="C265" s="6" t="s">
        <v>19</v>
      </c>
      <c r="D265" s="6" t="s">
        <v>20</v>
      </c>
      <c r="E265" s="6" t="s">
        <v>28</v>
      </c>
      <c r="F265" s="6" t="s">
        <v>48</v>
      </c>
      <c r="G265" s="6">
        <v>72</v>
      </c>
      <c r="H265" s="7">
        <v>574.12</v>
      </c>
      <c r="I265" s="7">
        <v>41336.639999999999</v>
      </c>
      <c r="J265" s="8">
        <v>45254</v>
      </c>
      <c r="K265" s="6">
        <v>37</v>
      </c>
      <c r="L265" s="6" t="s">
        <v>49</v>
      </c>
      <c r="M265" s="6" t="b">
        <v>0</v>
      </c>
      <c r="N265" s="6">
        <v>2.67</v>
      </c>
      <c r="O265" s="6" t="s">
        <v>24</v>
      </c>
      <c r="P265" s="6" t="b">
        <v>1</v>
      </c>
      <c r="Q265" s="9" t="s">
        <v>25</v>
      </c>
    </row>
    <row r="266" spans="1:17" x14ac:dyDescent="0.25">
      <c r="A266" s="5" t="s">
        <v>316</v>
      </c>
      <c r="B266" s="6" t="s">
        <v>76</v>
      </c>
      <c r="C266" s="6" t="s">
        <v>19</v>
      </c>
      <c r="D266" s="6" t="s">
        <v>20</v>
      </c>
      <c r="E266" s="6" t="s">
        <v>44</v>
      </c>
      <c r="F266" s="6" t="s">
        <v>40</v>
      </c>
      <c r="G266" s="6">
        <v>61</v>
      </c>
      <c r="H266" s="7">
        <v>1177.6400000000001</v>
      </c>
      <c r="I266" s="7">
        <v>71836.039999999994</v>
      </c>
      <c r="J266" s="8">
        <v>45216</v>
      </c>
      <c r="K266" s="6">
        <v>41</v>
      </c>
      <c r="L266" s="6" t="s">
        <v>23</v>
      </c>
      <c r="M266" s="6" t="b">
        <v>1</v>
      </c>
      <c r="N266" s="6">
        <v>0.28999999999999998</v>
      </c>
      <c r="O266" s="6" t="s">
        <v>24</v>
      </c>
      <c r="P266" s="6" t="b">
        <v>0</v>
      </c>
      <c r="Q266" s="9" t="s">
        <v>25</v>
      </c>
    </row>
    <row r="267" spans="1:17" x14ac:dyDescent="0.25">
      <c r="A267" s="5" t="s">
        <v>317</v>
      </c>
      <c r="B267" s="6" t="s">
        <v>27</v>
      </c>
      <c r="C267" s="6" t="s">
        <v>39</v>
      </c>
      <c r="D267" s="6" t="s">
        <v>34</v>
      </c>
      <c r="E267" s="6" t="s">
        <v>28</v>
      </c>
      <c r="F267" s="6" t="s">
        <v>22</v>
      </c>
      <c r="G267" s="6">
        <v>33</v>
      </c>
      <c r="H267" s="7">
        <v>1121.26</v>
      </c>
      <c r="I267" s="7">
        <v>37001.58</v>
      </c>
      <c r="J267" s="8">
        <v>45437</v>
      </c>
      <c r="K267" s="6">
        <v>41</v>
      </c>
      <c r="L267" s="6" t="s">
        <v>49</v>
      </c>
      <c r="M267" s="6" t="b">
        <v>0</v>
      </c>
      <c r="N267" s="6">
        <v>0.51</v>
      </c>
      <c r="O267" s="6" t="s">
        <v>56</v>
      </c>
      <c r="P267" s="6" t="b">
        <v>1</v>
      </c>
      <c r="Q267" s="9" t="s">
        <v>36</v>
      </c>
    </row>
    <row r="268" spans="1:17" x14ac:dyDescent="0.25">
      <c r="A268" s="5" t="s">
        <v>318</v>
      </c>
      <c r="B268" s="6" t="s">
        <v>72</v>
      </c>
      <c r="C268" s="6" t="s">
        <v>33</v>
      </c>
      <c r="D268" s="6" t="s">
        <v>34</v>
      </c>
      <c r="E268" s="6" t="s">
        <v>28</v>
      </c>
      <c r="F268" s="6" t="s">
        <v>40</v>
      </c>
      <c r="G268" s="6">
        <v>66</v>
      </c>
      <c r="H268" s="7">
        <v>1344.8</v>
      </c>
      <c r="I268" s="7">
        <v>88756.800000000003</v>
      </c>
      <c r="J268" s="8">
        <v>45287</v>
      </c>
      <c r="K268" s="6">
        <v>43</v>
      </c>
      <c r="L268" s="6" t="s">
        <v>23</v>
      </c>
      <c r="M268" s="6" t="b">
        <v>0</v>
      </c>
      <c r="N268" s="6">
        <v>12.23</v>
      </c>
      <c r="O268" s="6" t="s">
        <v>42</v>
      </c>
      <c r="P268" s="6" t="b">
        <v>1</v>
      </c>
      <c r="Q268" s="9" t="s">
        <v>36</v>
      </c>
    </row>
    <row r="269" spans="1:17" x14ac:dyDescent="0.25">
      <c r="A269" s="5" t="s">
        <v>319</v>
      </c>
      <c r="B269" s="6" t="s">
        <v>27</v>
      </c>
      <c r="C269" s="6" t="s">
        <v>33</v>
      </c>
      <c r="D269" s="6" t="s">
        <v>20</v>
      </c>
      <c r="E269" s="6" t="s">
        <v>21</v>
      </c>
      <c r="F269" s="6" t="s">
        <v>29</v>
      </c>
      <c r="G269" s="6">
        <v>30</v>
      </c>
      <c r="H269" s="7">
        <v>699.52</v>
      </c>
      <c r="I269" s="7">
        <v>20985.599999999999</v>
      </c>
      <c r="J269" s="8">
        <v>45525</v>
      </c>
      <c r="K269" s="6">
        <v>42</v>
      </c>
      <c r="L269" s="6" t="s">
        <v>23</v>
      </c>
      <c r="M269" s="6" t="b">
        <v>0</v>
      </c>
      <c r="N269" s="6">
        <v>6.84</v>
      </c>
      <c r="O269" s="6" t="s">
        <v>24</v>
      </c>
      <c r="P269" s="6" t="b">
        <v>1</v>
      </c>
      <c r="Q269" s="9" t="s">
        <v>36</v>
      </c>
    </row>
    <row r="270" spans="1:17" x14ac:dyDescent="0.25">
      <c r="A270" s="5" t="s">
        <v>320</v>
      </c>
      <c r="B270" s="6" t="s">
        <v>72</v>
      </c>
      <c r="C270" s="6" t="s">
        <v>33</v>
      </c>
      <c r="D270" s="6" t="s">
        <v>52</v>
      </c>
      <c r="E270" s="6" t="s">
        <v>44</v>
      </c>
      <c r="F270" s="6" t="s">
        <v>40</v>
      </c>
      <c r="G270" s="6">
        <v>20</v>
      </c>
      <c r="H270" s="7">
        <v>819.19</v>
      </c>
      <c r="I270" s="7">
        <v>16383.8</v>
      </c>
      <c r="J270" s="8">
        <v>45145</v>
      </c>
      <c r="K270" s="6">
        <v>53</v>
      </c>
      <c r="L270" s="6" t="s">
        <v>41</v>
      </c>
      <c r="M270" s="6" t="b">
        <v>1</v>
      </c>
      <c r="N270" s="6">
        <v>4.72</v>
      </c>
      <c r="O270" s="6" t="s">
        <v>30</v>
      </c>
      <c r="P270" s="6" t="b">
        <v>0</v>
      </c>
      <c r="Q270" s="9" t="s">
        <v>25</v>
      </c>
    </row>
    <row r="271" spans="1:17" x14ac:dyDescent="0.25">
      <c r="A271" s="5" t="s">
        <v>321</v>
      </c>
      <c r="B271" s="6" t="s">
        <v>38</v>
      </c>
      <c r="C271" s="6" t="s">
        <v>19</v>
      </c>
      <c r="D271" s="6" t="s">
        <v>20</v>
      </c>
      <c r="E271" s="6" t="s">
        <v>44</v>
      </c>
      <c r="F271" s="6" t="s">
        <v>29</v>
      </c>
      <c r="G271" s="6">
        <v>60</v>
      </c>
      <c r="H271" s="7">
        <v>652.87</v>
      </c>
      <c r="I271" s="7">
        <v>39172.199999999997</v>
      </c>
      <c r="J271" s="8">
        <v>45332</v>
      </c>
      <c r="K271" s="6">
        <v>24</v>
      </c>
      <c r="L271" s="6" t="s">
        <v>23</v>
      </c>
      <c r="M271" s="6" t="b">
        <v>0</v>
      </c>
      <c r="N271" s="6">
        <v>18.46</v>
      </c>
      <c r="O271" s="6" t="s">
        <v>56</v>
      </c>
      <c r="P271" s="6" t="b">
        <v>1</v>
      </c>
      <c r="Q271" s="9" t="s">
        <v>25</v>
      </c>
    </row>
    <row r="272" spans="1:17" x14ac:dyDescent="0.25">
      <c r="A272" s="5" t="s">
        <v>322</v>
      </c>
      <c r="B272" s="6" t="s">
        <v>27</v>
      </c>
      <c r="C272" s="6" t="s">
        <v>19</v>
      </c>
      <c r="D272" s="6" t="s">
        <v>64</v>
      </c>
      <c r="E272" s="6" t="s">
        <v>35</v>
      </c>
      <c r="F272" s="6" t="s">
        <v>48</v>
      </c>
      <c r="G272" s="6">
        <v>82</v>
      </c>
      <c r="H272" s="7">
        <v>1283.05</v>
      </c>
      <c r="I272" s="7">
        <v>105210.1</v>
      </c>
      <c r="J272" s="8">
        <v>45547</v>
      </c>
      <c r="K272" s="6">
        <v>27</v>
      </c>
      <c r="L272" s="6" t="s">
        <v>23</v>
      </c>
      <c r="M272" s="6" t="b">
        <v>1</v>
      </c>
      <c r="N272" s="6">
        <v>29.85</v>
      </c>
      <c r="O272" s="6" t="s">
        <v>30</v>
      </c>
      <c r="P272" s="6" t="b">
        <v>0</v>
      </c>
      <c r="Q272" s="9" t="s">
        <v>25</v>
      </c>
    </row>
    <row r="273" spans="1:17" x14ac:dyDescent="0.25">
      <c r="A273" s="5" t="s">
        <v>323</v>
      </c>
      <c r="B273" s="6" t="s">
        <v>32</v>
      </c>
      <c r="C273" s="6" t="s">
        <v>33</v>
      </c>
      <c r="D273" s="6" t="s">
        <v>47</v>
      </c>
      <c r="E273" s="6" t="s">
        <v>35</v>
      </c>
      <c r="F273" s="6" t="s">
        <v>40</v>
      </c>
      <c r="G273" s="6">
        <v>74</v>
      </c>
      <c r="H273" s="7">
        <v>383.07</v>
      </c>
      <c r="I273" s="7">
        <v>28347.18</v>
      </c>
      <c r="J273" s="8">
        <v>45146</v>
      </c>
      <c r="K273" s="6">
        <v>64</v>
      </c>
      <c r="L273" s="6" t="s">
        <v>41</v>
      </c>
      <c r="M273" s="6" t="b">
        <v>0</v>
      </c>
      <c r="N273" s="6">
        <v>5.33</v>
      </c>
      <c r="O273" s="6" t="s">
        <v>42</v>
      </c>
      <c r="P273" s="6" t="b">
        <v>0</v>
      </c>
      <c r="Q273" s="9" t="s">
        <v>36</v>
      </c>
    </row>
    <row r="274" spans="1:17" x14ac:dyDescent="0.25">
      <c r="A274" s="5" t="s">
        <v>324</v>
      </c>
      <c r="B274" s="6" t="s">
        <v>32</v>
      </c>
      <c r="C274" s="6" t="s">
        <v>19</v>
      </c>
      <c r="D274" s="6" t="s">
        <v>52</v>
      </c>
      <c r="E274" s="6" t="s">
        <v>21</v>
      </c>
      <c r="F274" s="6" t="s">
        <v>48</v>
      </c>
      <c r="G274" s="6">
        <v>24</v>
      </c>
      <c r="H274" s="7">
        <v>397.58</v>
      </c>
      <c r="I274" s="7">
        <v>9541.92</v>
      </c>
      <c r="J274" s="8">
        <v>45521</v>
      </c>
      <c r="K274" s="6">
        <v>29</v>
      </c>
      <c r="L274" s="6" t="s">
        <v>41</v>
      </c>
      <c r="M274" s="6" t="b">
        <v>1</v>
      </c>
      <c r="N274" s="6">
        <v>16.39</v>
      </c>
      <c r="O274" s="6" t="s">
        <v>24</v>
      </c>
      <c r="P274" s="6" t="b">
        <v>1</v>
      </c>
      <c r="Q274" s="9" t="s">
        <v>36</v>
      </c>
    </row>
    <row r="275" spans="1:17" x14ac:dyDescent="0.25">
      <c r="A275" s="5" t="s">
        <v>325</v>
      </c>
      <c r="B275" s="6" t="s">
        <v>18</v>
      </c>
      <c r="C275" s="6" t="s">
        <v>33</v>
      </c>
      <c r="D275" s="6" t="s">
        <v>64</v>
      </c>
      <c r="E275" s="6" t="s">
        <v>28</v>
      </c>
      <c r="F275" s="6" t="s">
        <v>48</v>
      </c>
      <c r="G275" s="6">
        <v>4</v>
      </c>
      <c r="H275" s="7">
        <v>590.28</v>
      </c>
      <c r="I275" s="7">
        <v>2361.12</v>
      </c>
      <c r="J275" s="8">
        <v>45033</v>
      </c>
      <c r="K275" s="6">
        <v>18</v>
      </c>
      <c r="L275" s="6" t="s">
        <v>41</v>
      </c>
      <c r="M275" s="6" t="b">
        <v>1</v>
      </c>
      <c r="N275" s="6">
        <v>3.59</v>
      </c>
      <c r="O275" s="6" t="s">
        <v>42</v>
      </c>
      <c r="P275" s="6" t="b">
        <v>0</v>
      </c>
      <c r="Q275" s="9" t="s">
        <v>36</v>
      </c>
    </row>
    <row r="276" spans="1:17" x14ac:dyDescent="0.25">
      <c r="A276" s="5" t="s">
        <v>326</v>
      </c>
      <c r="B276" s="6" t="s">
        <v>51</v>
      </c>
      <c r="C276" s="6" t="s">
        <v>33</v>
      </c>
      <c r="D276" s="6" t="s">
        <v>52</v>
      </c>
      <c r="E276" s="6" t="s">
        <v>35</v>
      </c>
      <c r="F276" s="6" t="s">
        <v>40</v>
      </c>
      <c r="G276" s="6">
        <v>37</v>
      </c>
      <c r="H276" s="7">
        <v>384</v>
      </c>
      <c r="I276" s="7">
        <v>14208</v>
      </c>
      <c r="J276" s="8">
        <v>45507</v>
      </c>
      <c r="K276" s="6">
        <v>69</v>
      </c>
      <c r="L276" s="6" t="s">
        <v>49</v>
      </c>
      <c r="M276" s="6" t="b">
        <v>0</v>
      </c>
      <c r="N276" s="6">
        <v>28.03</v>
      </c>
      <c r="O276" s="6" t="s">
        <v>30</v>
      </c>
      <c r="P276" s="6" t="b">
        <v>1</v>
      </c>
      <c r="Q276" s="9" t="s">
        <v>25</v>
      </c>
    </row>
    <row r="277" spans="1:17" x14ac:dyDescent="0.25">
      <c r="A277" s="5" t="s">
        <v>327</v>
      </c>
      <c r="B277" s="6" t="s">
        <v>72</v>
      </c>
      <c r="C277" s="6" t="s">
        <v>33</v>
      </c>
      <c r="D277" s="6" t="s">
        <v>64</v>
      </c>
      <c r="E277" s="6" t="s">
        <v>35</v>
      </c>
      <c r="F277" s="6" t="s">
        <v>29</v>
      </c>
      <c r="G277" s="6">
        <v>4</v>
      </c>
      <c r="H277" s="7">
        <v>863.46</v>
      </c>
      <c r="I277" s="7">
        <v>3453.84</v>
      </c>
      <c r="J277" s="8">
        <v>45535</v>
      </c>
      <c r="K277" s="6">
        <v>67</v>
      </c>
      <c r="L277" s="6" t="s">
        <v>49</v>
      </c>
      <c r="M277" s="6" t="b">
        <v>0</v>
      </c>
      <c r="N277" s="6">
        <v>8.75</v>
      </c>
      <c r="O277" s="6" t="s">
        <v>42</v>
      </c>
      <c r="P277" s="6" t="b">
        <v>1</v>
      </c>
      <c r="Q277" s="9" t="s">
        <v>36</v>
      </c>
    </row>
    <row r="278" spans="1:17" x14ac:dyDescent="0.25">
      <c r="A278" s="5" t="s">
        <v>328</v>
      </c>
      <c r="B278" s="6" t="s">
        <v>72</v>
      </c>
      <c r="C278" s="6" t="s">
        <v>33</v>
      </c>
      <c r="D278" s="6" t="s">
        <v>47</v>
      </c>
      <c r="E278" s="6" t="s">
        <v>44</v>
      </c>
      <c r="F278" s="6" t="s">
        <v>48</v>
      </c>
      <c r="G278" s="6">
        <v>77</v>
      </c>
      <c r="H278" s="7">
        <v>245.01</v>
      </c>
      <c r="I278" s="7">
        <v>18865.77</v>
      </c>
      <c r="J278" s="8">
        <v>45212</v>
      </c>
      <c r="K278" s="6">
        <v>42</v>
      </c>
      <c r="L278" s="6" t="s">
        <v>41</v>
      </c>
      <c r="M278" s="6" t="b">
        <v>1</v>
      </c>
      <c r="N278" s="6">
        <v>26.35</v>
      </c>
      <c r="O278" s="6" t="s">
        <v>42</v>
      </c>
      <c r="P278" s="6" t="b">
        <v>0</v>
      </c>
      <c r="Q278" s="9" t="s">
        <v>36</v>
      </c>
    </row>
    <row r="279" spans="1:17" x14ac:dyDescent="0.25">
      <c r="A279" s="5" t="s">
        <v>329</v>
      </c>
      <c r="B279" s="6" t="s">
        <v>51</v>
      </c>
      <c r="C279" s="6" t="s">
        <v>33</v>
      </c>
      <c r="D279" s="6" t="s">
        <v>47</v>
      </c>
      <c r="E279" s="6" t="s">
        <v>44</v>
      </c>
      <c r="F279" s="6" t="s">
        <v>48</v>
      </c>
      <c r="G279" s="6">
        <v>89</v>
      </c>
      <c r="H279" s="7">
        <v>514.27</v>
      </c>
      <c r="I279" s="7">
        <v>45770.03</v>
      </c>
      <c r="J279" s="8">
        <v>44934</v>
      </c>
      <c r="K279" s="6">
        <v>33</v>
      </c>
      <c r="L279" s="6" t="s">
        <v>49</v>
      </c>
      <c r="M279" s="6" t="b">
        <v>1</v>
      </c>
      <c r="N279" s="6">
        <v>8.49</v>
      </c>
      <c r="O279" s="6" t="s">
        <v>56</v>
      </c>
      <c r="P279" s="6" t="b">
        <v>0</v>
      </c>
      <c r="Q279" s="9" t="s">
        <v>25</v>
      </c>
    </row>
    <row r="280" spans="1:17" x14ac:dyDescent="0.25">
      <c r="A280" s="5" t="s">
        <v>330</v>
      </c>
      <c r="B280" s="6" t="s">
        <v>62</v>
      </c>
      <c r="C280" s="6" t="s">
        <v>33</v>
      </c>
      <c r="D280" s="6" t="s">
        <v>34</v>
      </c>
      <c r="E280" s="6" t="s">
        <v>35</v>
      </c>
      <c r="F280" s="6" t="s">
        <v>40</v>
      </c>
      <c r="G280" s="6">
        <v>77</v>
      </c>
      <c r="H280" s="7">
        <v>1374.49</v>
      </c>
      <c r="I280" s="7">
        <v>105835.73</v>
      </c>
      <c r="J280" s="8">
        <v>45115</v>
      </c>
      <c r="K280" s="6">
        <v>22</v>
      </c>
      <c r="L280" s="6" t="s">
        <v>41</v>
      </c>
      <c r="M280" s="6" t="b">
        <v>0</v>
      </c>
      <c r="N280" s="6">
        <v>24.18</v>
      </c>
      <c r="O280" s="6" t="s">
        <v>56</v>
      </c>
      <c r="P280" s="6" t="b">
        <v>0</v>
      </c>
      <c r="Q280" s="9" t="s">
        <v>36</v>
      </c>
    </row>
    <row r="281" spans="1:17" x14ac:dyDescent="0.25">
      <c r="A281" s="5" t="s">
        <v>331</v>
      </c>
      <c r="B281" s="6" t="s">
        <v>18</v>
      </c>
      <c r="C281" s="6" t="s">
        <v>33</v>
      </c>
      <c r="D281" s="6" t="s">
        <v>64</v>
      </c>
      <c r="E281" s="6" t="s">
        <v>44</v>
      </c>
      <c r="F281" s="6" t="s">
        <v>40</v>
      </c>
      <c r="G281" s="6">
        <v>18</v>
      </c>
      <c r="H281" s="7">
        <v>643.38</v>
      </c>
      <c r="I281" s="7">
        <v>11580.84</v>
      </c>
      <c r="J281" s="8">
        <v>45007</v>
      </c>
      <c r="K281" s="6">
        <v>36</v>
      </c>
      <c r="L281" s="6" t="s">
        <v>49</v>
      </c>
      <c r="M281" s="6" t="b">
        <v>0</v>
      </c>
      <c r="N281" s="6">
        <v>6.28</v>
      </c>
      <c r="O281" s="6" t="s">
        <v>42</v>
      </c>
      <c r="P281" s="6" t="b">
        <v>1</v>
      </c>
      <c r="Q281" s="9" t="s">
        <v>25</v>
      </c>
    </row>
    <row r="282" spans="1:17" x14ac:dyDescent="0.25">
      <c r="A282" s="5" t="s">
        <v>332</v>
      </c>
      <c r="B282" s="6" t="s">
        <v>62</v>
      </c>
      <c r="C282" s="6" t="s">
        <v>19</v>
      </c>
      <c r="D282" s="6" t="s">
        <v>34</v>
      </c>
      <c r="E282" s="6" t="s">
        <v>21</v>
      </c>
      <c r="F282" s="6" t="s">
        <v>40</v>
      </c>
      <c r="G282" s="6">
        <v>88</v>
      </c>
      <c r="H282" s="7">
        <v>1134.94</v>
      </c>
      <c r="I282" s="7">
        <v>99874.72</v>
      </c>
      <c r="J282" s="8">
        <v>45034</v>
      </c>
      <c r="K282" s="6">
        <v>21</v>
      </c>
      <c r="L282" s="6" t="s">
        <v>23</v>
      </c>
      <c r="M282" s="6" t="b">
        <v>1</v>
      </c>
      <c r="N282" s="6">
        <v>8.7799999999999994</v>
      </c>
      <c r="O282" s="6" t="s">
        <v>56</v>
      </c>
      <c r="P282" s="6" t="b">
        <v>1</v>
      </c>
      <c r="Q282" s="9" t="s">
        <v>25</v>
      </c>
    </row>
    <row r="283" spans="1:17" x14ac:dyDescent="0.25">
      <c r="A283" s="5" t="s">
        <v>333</v>
      </c>
      <c r="B283" s="6" t="s">
        <v>62</v>
      </c>
      <c r="C283" s="6" t="s">
        <v>33</v>
      </c>
      <c r="D283" s="6" t="s">
        <v>64</v>
      </c>
      <c r="E283" s="6" t="s">
        <v>35</v>
      </c>
      <c r="F283" s="6" t="s">
        <v>40</v>
      </c>
      <c r="G283" s="6">
        <v>66</v>
      </c>
      <c r="H283" s="7">
        <v>214.52</v>
      </c>
      <c r="I283" s="7">
        <v>14158.32</v>
      </c>
      <c r="J283" s="8">
        <v>45247</v>
      </c>
      <c r="K283" s="6">
        <v>23</v>
      </c>
      <c r="L283" s="6" t="s">
        <v>49</v>
      </c>
      <c r="M283" s="6" t="b">
        <v>1</v>
      </c>
      <c r="N283" s="6">
        <v>5.77</v>
      </c>
      <c r="O283" s="6" t="s">
        <v>42</v>
      </c>
      <c r="P283" s="6" t="b">
        <v>1</v>
      </c>
      <c r="Q283" s="9" t="s">
        <v>25</v>
      </c>
    </row>
    <row r="284" spans="1:17" x14ac:dyDescent="0.25">
      <c r="A284" s="5" t="s">
        <v>334</v>
      </c>
      <c r="B284" s="6" t="s">
        <v>62</v>
      </c>
      <c r="C284" s="6" t="s">
        <v>33</v>
      </c>
      <c r="D284" s="6" t="s">
        <v>34</v>
      </c>
      <c r="E284" s="6" t="s">
        <v>44</v>
      </c>
      <c r="F284" s="6" t="s">
        <v>40</v>
      </c>
      <c r="G284" s="6">
        <v>48</v>
      </c>
      <c r="H284" s="7">
        <v>408.97</v>
      </c>
      <c r="I284" s="7">
        <v>19630.560000000001</v>
      </c>
      <c r="J284" s="8">
        <v>45505</v>
      </c>
      <c r="K284" s="6">
        <v>43</v>
      </c>
      <c r="L284" s="6" t="s">
        <v>49</v>
      </c>
      <c r="M284" s="6" t="b">
        <v>0</v>
      </c>
      <c r="N284" s="6">
        <v>7.93</v>
      </c>
      <c r="O284" s="6" t="s">
        <v>30</v>
      </c>
      <c r="P284" s="6" t="b">
        <v>0</v>
      </c>
      <c r="Q284" s="9" t="s">
        <v>36</v>
      </c>
    </row>
    <row r="285" spans="1:17" x14ac:dyDescent="0.25">
      <c r="A285" s="5" t="s">
        <v>335</v>
      </c>
      <c r="B285" s="6" t="s">
        <v>51</v>
      </c>
      <c r="C285" s="6" t="s">
        <v>19</v>
      </c>
      <c r="D285" s="6" t="s">
        <v>47</v>
      </c>
      <c r="E285" s="6" t="s">
        <v>21</v>
      </c>
      <c r="F285" s="6" t="s">
        <v>22</v>
      </c>
      <c r="G285" s="6">
        <v>33</v>
      </c>
      <c r="H285" s="7">
        <v>1220.6500000000001</v>
      </c>
      <c r="I285" s="7">
        <v>40281.449999999997</v>
      </c>
      <c r="J285" s="8">
        <v>45272</v>
      </c>
      <c r="K285" s="6">
        <v>66</v>
      </c>
      <c r="L285" s="6" t="s">
        <v>23</v>
      </c>
      <c r="M285" s="6" t="b">
        <v>1</v>
      </c>
      <c r="N285" s="6">
        <v>25.05</v>
      </c>
      <c r="O285" s="6" t="s">
        <v>56</v>
      </c>
      <c r="P285" s="6" t="b">
        <v>1</v>
      </c>
      <c r="Q285" s="9" t="s">
        <v>36</v>
      </c>
    </row>
    <row r="286" spans="1:17" x14ac:dyDescent="0.25">
      <c r="A286" s="5" t="s">
        <v>336</v>
      </c>
      <c r="B286" s="6" t="s">
        <v>62</v>
      </c>
      <c r="C286" s="6" t="s">
        <v>19</v>
      </c>
      <c r="D286" s="6" t="s">
        <v>52</v>
      </c>
      <c r="E286" s="6" t="s">
        <v>44</v>
      </c>
      <c r="F286" s="6" t="s">
        <v>40</v>
      </c>
      <c r="G286" s="6">
        <v>58</v>
      </c>
      <c r="H286" s="7">
        <v>1156.3399999999999</v>
      </c>
      <c r="I286" s="7">
        <v>67067.72</v>
      </c>
      <c r="J286" s="8">
        <v>45254</v>
      </c>
      <c r="K286" s="6">
        <v>56</v>
      </c>
      <c r="L286" s="6" t="s">
        <v>41</v>
      </c>
      <c r="M286" s="6" t="b">
        <v>0</v>
      </c>
      <c r="N286" s="6">
        <v>19.170000000000002</v>
      </c>
      <c r="O286" s="6" t="s">
        <v>42</v>
      </c>
      <c r="P286" s="6" t="b">
        <v>1</v>
      </c>
      <c r="Q286" s="9" t="s">
        <v>25</v>
      </c>
    </row>
    <row r="287" spans="1:17" x14ac:dyDescent="0.25">
      <c r="A287" s="5" t="s">
        <v>337</v>
      </c>
      <c r="B287" s="6" t="s">
        <v>32</v>
      </c>
      <c r="C287" s="6" t="s">
        <v>19</v>
      </c>
      <c r="D287" s="6" t="s">
        <v>34</v>
      </c>
      <c r="E287" s="6" t="s">
        <v>44</v>
      </c>
      <c r="F287" s="6" t="s">
        <v>29</v>
      </c>
      <c r="G287" s="6">
        <v>83</v>
      </c>
      <c r="H287" s="7">
        <v>609.92999999999995</v>
      </c>
      <c r="I287" s="7">
        <v>50624.19</v>
      </c>
      <c r="J287" s="8">
        <v>45481</v>
      </c>
      <c r="K287" s="6">
        <v>56</v>
      </c>
      <c r="L287" s="6" t="s">
        <v>49</v>
      </c>
      <c r="M287" s="6" t="b">
        <v>0</v>
      </c>
      <c r="N287" s="6">
        <v>12.18</v>
      </c>
      <c r="O287" s="6" t="s">
        <v>56</v>
      </c>
      <c r="P287" s="6" t="b">
        <v>1</v>
      </c>
      <c r="Q287" s="9" t="s">
        <v>36</v>
      </c>
    </row>
    <row r="288" spans="1:17" x14ac:dyDescent="0.25">
      <c r="A288" s="5" t="s">
        <v>338</v>
      </c>
      <c r="B288" s="6" t="s">
        <v>66</v>
      </c>
      <c r="C288" s="6" t="s">
        <v>33</v>
      </c>
      <c r="D288" s="6" t="s">
        <v>64</v>
      </c>
      <c r="E288" s="6" t="s">
        <v>44</v>
      </c>
      <c r="F288" s="6" t="s">
        <v>48</v>
      </c>
      <c r="G288" s="6">
        <v>73</v>
      </c>
      <c r="H288" s="7">
        <v>1433.88</v>
      </c>
      <c r="I288" s="7">
        <v>104673.24</v>
      </c>
      <c r="J288" s="8">
        <v>45228</v>
      </c>
      <c r="K288" s="6">
        <v>26</v>
      </c>
      <c r="L288" s="6" t="s">
        <v>49</v>
      </c>
      <c r="M288" s="6" t="b">
        <v>0</v>
      </c>
      <c r="N288" s="6">
        <v>29.15</v>
      </c>
      <c r="O288" s="6" t="s">
        <v>42</v>
      </c>
      <c r="P288" s="6" t="b">
        <v>1</v>
      </c>
      <c r="Q288" s="9" t="s">
        <v>25</v>
      </c>
    </row>
    <row r="289" spans="1:17" x14ac:dyDescent="0.25">
      <c r="A289" s="5" t="s">
        <v>339</v>
      </c>
      <c r="B289" s="6" t="s">
        <v>38</v>
      </c>
      <c r="C289" s="6" t="s">
        <v>39</v>
      </c>
      <c r="D289" s="6" t="s">
        <v>64</v>
      </c>
      <c r="E289" s="6" t="s">
        <v>35</v>
      </c>
      <c r="F289" s="6" t="s">
        <v>29</v>
      </c>
      <c r="G289" s="6">
        <v>28</v>
      </c>
      <c r="H289" s="7">
        <v>1370.43</v>
      </c>
      <c r="I289" s="7">
        <v>38372.04</v>
      </c>
      <c r="J289" s="8">
        <v>45126</v>
      </c>
      <c r="K289" s="6">
        <v>62</v>
      </c>
      <c r="L289" s="6" t="s">
        <v>23</v>
      </c>
      <c r="M289" s="6" t="b">
        <v>0</v>
      </c>
      <c r="N289" s="6">
        <v>13.95</v>
      </c>
      <c r="O289" s="6" t="s">
        <v>56</v>
      </c>
      <c r="P289" s="6" t="b">
        <v>0</v>
      </c>
      <c r="Q289" s="9" t="s">
        <v>36</v>
      </c>
    </row>
    <row r="290" spans="1:17" x14ac:dyDescent="0.25">
      <c r="A290" s="5" t="s">
        <v>340</v>
      </c>
      <c r="B290" s="6" t="s">
        <v>72</v>
      </c>
      <c r="C290" s="6" t="s">
        <v>39</v>
      </c>
      <c r="D290" s="6" t="s">
        <v>47</v>
      </c>
      <c r="E290" s="6" t="s">
        <v>28</v>
      </c>
      <c r="F290" s="6" t="s">
        <v>29</v>
      </c>
      <c r="G290" s="6">
        <v>35</v>
      </c>
      <c r="H290" s="7">
        <v>1445.34</v>
      </c>
      <c r="I290" s="7">
        <v>50586.9</v>
      </c>
      <c r="J290" s="8">
        <v>45345</v>
      </c>
      <c r="K290" s="6">
        <v>69</v>
      </c>
      <c r="L290" s="6" t="s">
        <v>23</v>
      </c>
      <c r="M290" s="6" t="b">
        <v>1</v>
      </c>
      <c r="N290" s="6">
        <v>29.09</v>
      </c>
      <c r="O290" s="6" t="s">
        <v>24</v>
      </c>
      <c r="P290" s="6" t="b">
        <v>1</v>
      </c>
      <c r="Q290" s="9" t="s">
        <v>25</v>
      </c>
    </row>
    <row r="291" spans="1:17" x14ac:dyDescent="0.25">
      <c r="A291" s="5" t="s">
        <v>341</v>
      </c>
      <c r="B291" s="6" t="s">
        <v>72</v>
      </c>
      <c r="C291" s="6" t="s">
        <v>19</v>
      </c>
      <c r="D291" s="6" t="s">
        <v>64</v>
      </c>
      <c r="E291" s="6" t="s">
        <v>44</v>
      </c>
      <c r="F291" s="6" t="s">
        <v>22</v>
      </c>
      <c r="G291" s="6">
        <v>10</v>
      </c>
      <c r="H291" s="7">
        <v>670.48</v>
      </c>
      <c r="I291" s="7">
        <v>6704.8</v>
      </c>
      <c r="J291" s="8">
        <v>44965</v>
      </c>
      <c r="K291" s="6">
        <v>31</v>
      </c>
      <c r="L291" s="6" t="s">
        <v>23</v>
      </c>
      <c r="M291" s="6" t="b">
        <v>0</v>
      </c>
      <c r="N291" s="6">
        <v>5.9</v>
      </c>
      <c r="O291" s="6" t="s">
        <v>42</v>
      </c>
      <c r="P291" s="6" t="b">
        <v>0</v>
      </c>
      <c r="Q291" s="9" t="s">
        <v>25</v>
      </c>
    </row>
    <row r="292" spans="1:17" x14ac:dyDescent="0.25">
      <c r="A292" s="5" t="s">
        <v>342</v>
      </c>
      <c r="B292" s="6" t="s">
        <v>38</v>
      </c>
      <c r="C292" s="6" t="s">
        <v>39</v>
      </c>
      <c r="D292" s="6" t="s">
        <v>20</v>
      </c>
      <c r="E292" s="6" t="s">
        <v>21</v>
      </c>
      <c r="F292" s="6" t="s">
        <v>40</v>
      </c>
      <c r="G292" s="6">
        <v>65</v>
      </c>
      <c r="H292" s="7">
        <v>336.34</v>
      </c>
      <c r="I292" s="7">
        <v>21862.1</v>
      </c>
      <c r="J292" s="8">
        <v>45233</v>
      </c>
      <c r="K292" s="6">
        <v>65</v>
      </c>
      <c r="L292" s="6" t="s">
        <v>23</v>
      </c>
      <c r="M292" s="6" t="b">
        <v>0</v>
      </c>
      <c r="N292" s="6">
        <v>27.14</v>
      </c>
      <c r="O292" s="6" t="s">
        <v>24</v>
      </c>
      <c r="P292" s="6" t="b">
        <v>1</v>
      </c>
      <c r="Q292" s="9" t="s">
        <v>36</v>
      </c>
    </row>
    <row r="293" spans="1:17" x14ac:dyDescent="0.25">
      <c r="A293" s="5" t="s">
        <v>343</v>
      </c>
      <c r="B293" s="6" t="s">
        <v>51</v>
      </c>
      <c r="C293" s="6" t="s">
        <v>19</v>
      </c>
      <c r="D293" s="6" t="s">
        <v>52</v>
      </c>
      <c r="E293" s="6" t="s">
        <v>35</v>
      </c>
      <c r="F293" s="6" t="s">
        <v>48</v>
      </c>
      <c r="G293" s="6">
        <v>42</v>
      </c>
      <c r="H293" s="7">
        <v>958.66</v>
      </c>
      <c r="I293" s="7">
        <v>40263.72</v>
      </c>
      <c r="J293" s="8">
        <v>44930</v>
      </c>
      <c r="K293" s="6">
        <v>26</v>
      </c>
      <c r="L293" s="6" t="s">
        <v>41</v>
      </c>
      <c r="M293" s="6" t="b">
        <v>1</v>
      </c>
      <c r="N293" s="6">
        <v>0.41</v>
      </c>
      <c r="O293" s="6" t="s">
        <v>42</v>
      </c>
      <c r="P293" s="6" t="b">
        <v>1</v>
      </c>
      <c r="Q293" s="9" t="s">
        <v>25</v>
      </c>
    </row>
    <row r="294" spans="1:17" x14ac:dyDescent="0.25">
      <c r="A294" s="5" t="s">
        <v>344</v>
      </c>
      <c r="B294" s="6" t="s">
        <v>27</v>
      </c>
      <c r="C294" s="6" t="s">
        <v>33</v>
      </c>
      <c r="D294" s="6" t="s">
        <v>34</v>
      </c>
      <c r="E294" s="6" t="s">
        <v>35</v>
      </c>
      <c r="F294" s="6" t="s">
        <v>29</v>
      </c>
      <c r="G294" s="6">
        <v>85</v>
      </c>
      <c r="H294" s="7">
        <v>1042.92</v>
      </c>
      <c r="I294" s="7">
        <v>88648.2</v>
      </c>
      <c r="J294" s="8">
        <v>45559</v>
      </c>
      <c r="K294" s="6">
        <v>32</v>
      </c>
      <c r="L294" s="6" t="s">
        <v>49</v>
      </c>
      <c r="M294" s="6" t="b">
        <v>1</v>
      </c>
      <c r="N294" s="6">
        <v>16.36</v>
      </c>
      <c r="O294" s="6" t="s">
        <v>24</v>
      </c>
      <c r="P294" s="6" t="b">
        <v>1</v>
      </c>
      <c r="Q294" s="9" t="s">
        <v>25</v>
      </c>
    </row>
    <row r="295" spans="1:17" x14ac:dyDescent="0.25">
      <c r="A295" s="5" t="s">
        <v>345</v>
      </c>
      <c r="B295" s="6" t="s">
        <v>51</v>
      </c>
      <c r="C295" s="6" t="s">
        <v>39</v>
      </c>
      <c r="D295" s="6" t="s">
        <v>52</v>
      </c>
      <c r="E295" s="6" t="s">
        <v>21</v>
      </c>
      <c r="F295" s="6" t="s">
        <v>40</v>
      </c>
      <c r="G295" s="6">
        <v>9</v>
      </c>
      <c r="H295" s="7">
        <v>231.89</v>
      </c>
      <c r="I295" s="7">
        <v>2087.0100000000002</v>
      </c>
      <c r="J295" s="8">
        <v>45003</v>
      </c>
      <c r="K295" s="6">
        <v>54</v>
      </c>
      <c r="L295" s="6" t="s">
        <v>49</v>
      </c>
      <c r="M295" s="6" t="b">
        <v>0</v>
      </c>
      <c r="N295" s="6">
        <v>12.69</v>
      </c>
      <c r="O295" s="6" t="s">
        <v>42</v>
      </c>
      <c r="P295" s="6" t="b">
        <v>0</v>
      </c>
      <c r="Q295" s="9" t="s">
        <v>25</v>
      </c>
    </row>
    <row r="296" spans="1:17" x14ac:dyDescent="0.25">
      <c r="A296" s="5" t="s">
        <v>346</v>
      </c>
      <c r="B296" s="6" t="s">
        <v>72</v>
      </c>
      <c r="C296" s="6" t="s">
        <v>33</v>
      </c>
      <c r="D296" s="6" t="s">
        <v>47</v>
      </c>
      <c r="E296" s="6" t="s">
        <v>44</v>
      </c>
      <c r="F296" s="6" t="s">
        <v>40</v>
      </c>
      <c r="G296" s="6">
        <v>60</v>
      </c>
      <c r="H296" s="7">
        <v>1190.4000000000001</v>
      </c>
      <c r="I296" s="7">
        <v>71424</v>
      </c>
      <c r="J296" s="8">
        <v>45394</v>
      </c>
      <c r="K296" s="6">
        <v>67</v>
      </c>
      <c r="L296" s="6" t="s">
        <v>49</v>
      </c>
      <c r="M296" s="6" t="b">
        <v>0</v>
      </c>
      <c r="N296" s="6">
        <v>15.75</v>
      </c>
      <c r="O296" s="6" t="s">
        <v>56</v>
      </c>
      <c r="P296" s="6" t="b">
        <v>0</v>
      </c>
      <c r="Q296" s="9" t="s">
        <v>25</v>
      </c>
    </row>
    <row r="297" spans="1:17" x14ac:dyDescent="0.25">
      <c r="A297" s="5" t="s">
        <v>347</v>
      </c>
      <c r="B297" s="6" t="s">
        <v>72</v>
      </c>
      <c r="C297" s="6" t="s">
        <v>39</v>
      </c>
      <c r="D297" s="6" t="s">
        <v>34</v>
      </c>
      <c r="E297" s="6" t="s">
        <v>28</v>
      </c>
      <c r="F297" s="6" t="s">
        <v>22</v>
      </c>
      <c r="G297" s="6">
        <v>15</v>
      </c>
      <c r="H297" s="7">
        <v>76.19</v>
      </c>
      <c r="I297" s="7">
        <v>1142.8499999999999</v>
      </c>
      <c r="J297" s="8">
        <v>45105</v>
      </c>
      <c r="K297" s="6">
        <v>37</v>
      </c>
      <c r="L297" s="6" t="s">
        <v>49</v>
      </c>
      <c r="M297" s="6" t="b">
        <v>0</v>
      </c>
      <c r="N297" s="6">
        <v>16.600000000000001</v>
      </c>
      <c r="O297" s="6" t="s">
        <v>24</v>
      </c>
      <c r="P297" s="6" t="b">
        <v>0</v>
      </c>
      <c r="Q297" s="9" t="s">
        <v>25</v>
      </c>
    </row>
    <row r="298" spans="1:17" x14ac:dyDescent="0.25">
      <c r="A298" s="5" t="s">
        <v>348</v>
      </c>
      <c r="B298" s="6" t="s">
        <v>38</v>
      </c>
      <c r="C298" s="6" t="s">
        <v>33</v>
      </c>
      <c r="D298" s="6" t="s">
        <v>34</v>
      </c>
      <c r="E298" s="6" t="s">
        <v>44</v>
      </c>
      <c r="F298" s="6" t="s">
        <v>22</v>
      </c>
      <c r="G298" s="6">
        <v>99</v>
      </c>
      <c r="H298" s="7">
        <v>749.96</v>
      </c>
      <c r="I298" s="7">
        <v>74246.039999999994</v>
      </c>
      <c r="J298" s="8">
        <v>45571</v>
      </c>
      <c r="K298" s="6">
        <v>25</v>
      </c>
      <c r="L298" s="6" t="s">
        <v>41</v>
      </c>
      <c r="M298" s="6" t="b">
        <v>0</v>
      </c>
      <c r="N298" s="6">
        <v>11.67</v>
      </c>
      <c r="O298" s="6" t="s">
        <v>56</v>
      </c>
      <c r="P298" s="6" t="b">
        <v>1</v>
      </c>
      <c r="Q298" s="9" t="s">
        <v>36</v>
      </c>
    </row>
    <row r="299" spans="1:17" x14ac:dyDescent="0.25">
      <c r="A299" s="5" t="s">
        <v>349</v>
      </c>
      <c r="B299" s="6" t="s">
        <v>62</v>
      </c>
      <c r="C299" s="6" t="s">
        <v>39</v>
      </c>
      <c r="D299" s="6" t="s">
        <v>20</v>
      </c>
      <c r="E299" s="6" t="s">
        <v>21</v>
      </c>
      <c r="F299" s="6" t="s">
        <v>22</v>
      </c>
      <c r="G299" s="6">
        <v>57</v>
      </c>
      <c r="H299" s="7">
        <v>529.97</v>
      </c>
      <c r="I299" s="7">
        <v>30208.29</v>
      </c>
      <c r="J299" s="8">
        <v>45202</v>
      </c>
      <c r="K299" s="6">
        <v>49</v>
      </c>
      <c r="L299" s="6" t="s">
        <v>49</v>
      </c>
      <c r="M299" s="6" t="b">
        <v>0</v>
      </c>
      <c r="N299" s="6">
        <v>29.95</v>
      </c>
      <c r="O299" s="6" t="s">
        <v>42</v>
      </c>
      <c r="P299" s="6" t="b">
        <v>1</v>
      </c>
      <c r="Q299" s="9" t="s">
        <v>36</v>
      </c>
    </row>
    <row r="300" spans="1:17" x14ac:dyDescent="0.25">
      <c r="A300" s="5" t="s">
        <v>350</v>
      </c>
      <c r="B300" s="6" t="s">
        <v>51</v>
      </c>
      <c r="C300" s="6" t="s">
        <v>33</v>
      </c>
      <c r="D300" s="6" t="s">
        <v>47</v>
      </c>
      <c r="E300" s="6" t="s">
        <v>35</v>
      </c>
      <c r="F300" s="6" t="s">
        <v>48</v>
      </c>
      <c r="G300" s="6">
        <v>69</v>
      </c>
      <c r="H300" s="7">
        <v>1123.44</v>
      </c>
      <c r="I300" s="7">
        <v>77517.36</v>
      </c>
      <c r="J300" s="8">
        <v>45078</v>
      </c>
      <c r="K300" s="6">
        <v>64</v>
      </c>
      <c r="L300" s="6" t="s">
        <v>41</v>
      </c>
      <c r="M300" s="6" t="b">
        <v>0</v>
      </c>
      <c r="N300" s="6">
        <v>29.3</v>
      </c>
      <c r="O300" s="6" t="s">
        <v>56</v>
      </c>
      <c r="P300" s="6" t="b">
        <v>0</v>
      </c>
      <c r="Q300" s="9" t="s">
        <v>25</v>
      </c>
    </row>
    <row r="301" spans="1:17" x14ac:dyDescent="0.25">
      <c r="A301" s="5" t="s">
        <v>351</v>
      </c>
      <c r="B301" s="6" t="s">
        <v>76</v>
      </c>
      <c r="C301" s="6" t="s">
        <v>33</v>
      </c>
      <c r="D301" s="6" t="s">
        <v>64</v>
      </c>
      <c r="E301" s="6" t="s">
        <v>28</v>
      </c>
      <c r="F301" s="6" t="s">
        <v>29</v>
      </c>
      <c r="G301" s="6">
        <v>22</v>
      </c>
      <c r="H301" s="7">
        <v>503.5</v>
      </c>
      <c r="I301" s="7">
        <v>11077</v>
      </c>
      <c r="J301" s="8">
        <v>45090</v>
      </c>
      <c r="K301" s="6">
        <v>38</v>
      </c>
      <c r="L301" s="6" t="s">
        <v>41</v>
      </c>
      <c r="M301" s="6" t="b">
        <v>1</v>
      </c>
      <c r="N301" s="6">
        <v>28.85</v>
      </c>
      <c r="O301" s="6" t="s">
        <v>42</v>
      </c>
      <c r="P301" s="6" t="b">
        <v>1</v>
      </c>
      <c r="Q301" s="9" t="s">
        <v>36</v>
      </c>
    </row>
    <row r="302" spans="1:17" x14ac:dyDescent="0.25">
      <c r="A302" s="5" t="s">
        <v>352</v>
      </c>
      <c r="B302" s="6" t="s">
        <v>38</v>
      </c>
      <c r="C302" s="6" t="s">
        <v>39</v>
      </c>
      <c r="D302" s="6" t="s">
        <v>20</v>
      </c>
      <c r="E302" s="6" t="s">
        <v>35</v>
      </c>
      <c r="F302" s="6" t="s">
        <v>22</v>
      </c>
      <c r="G302" s="6">
        <v>64</v>
      </c>
      <c r="H302" s="7">
        <v>1248.8699999999999</v>
      </c>
      <c r="I302" s="7">
        <v>79927.679999999993</v>
      </c>
      <c r="J302" s="8">
        <v>45216</v>
      </c>
      <c r="K302" s="6">
        <v>58</v>
      </c>
      <c r="L302" s="6" t="s">
        <v>23</v>
      </c>
      <c r="M302" s="6" t="b">
        <v>1</v>
      </c>
      <c r="N302" s="6">
        <v>29.37</v>
      </c>
      <c r="O302" s="6" t="s">
        <v>56</v>
      </c>
      <c r="P302" s="6" t="b">
        <v>1</v>
      </c>
      <c r="Q302" s="9" t="s">
        <v>25</v>
      </c>
    </row>
    <row r="303" spans="1:17" x14ac:dyDescent="0.25">
      <c r="A303" s="5" t="s">
        <v>353</v>
      </c>
      <c r="B303" s="6" t="s">
        <v>32</v>
      </c>
      <c r="C303" s="6" t="s">
        <v>33</v>
      </c>
      <c r="D303" s="6" t="s">
        <v>20</v>
      </c>
      <c r="E303" s="6" t="s">
        <v>21</v>
      </c>
      <c r="F303" s="6" t="s">
        <v>22</v>
      </c>
      <c r="G303" s="6">
        <v>41</v>
      </c>
      <c r="H303" s="7">
        <v>912.68</v>
      </c>
      <c r="I303" s="7">
        <v>37419.879999999997</v>
      </c>
      <c r="J303" s="8">
        <v>45304</v>
      </c>
      <c r="K303" s="6">
        <v>36</v>
      </c>
      <c r="L303" s="6" t="s">
        <v>23</v>
      </c>
      <c r="M303" s="6" t="b">
        <v>0</v>
      </c>
      <c r="N303" s="6">
        <v>23.79</v>
      </c>
      <c r="O303" s="6" t="s">
        <v>24</v>
      </c>
      <c r="P303" s="6" t="b">
        <v>0</v>
      </c>
      <c r="Q303" s="9" t="s">
        <v>25</v>
      </c>
    </row>
    <row r="304" spans="1:17" x14ac:dyDescent="0.25">
      <c r="A304" s="5" t="s">
        <v>354</v>
      </c>
      <c r="B304" s="6" t="s">
        <v>72</v>
      </c>
      <c r="C304" s="6" t="s">
        <v>33</v>
      </c>
      <c r="D304" s="6" t="s">
        <v>52</v>
      </c>
      <c r="E304" s="6" t="s">
        <v>44</v>
      </c>
      <c r="F304" s="6" t="s">
        <v>22</v>
      </c>
      <c r="G304" s="6">
        <v>87</v>
      </c>
      <c r="H304" s="7">
        <v>1201.1500000000001</v>
      </c>
      <c r="I304" s="7">
        <v>104500.05</v>
      </c>
      <c r="J304" s="8">
        <v>45547</v>
      </c>
      <c r="K304" s="6">
        <v>46</v>
      </c>
      <c r="L304" s="6" t="s">
        <v>49</v>
      </c>
      <c r="M304" s="6" t="b">
        <v>1</v>
      </c>
      <c r="N304" s="6">
        <v>29.66</v>
      </c>
      <c r="O304" s="6" t="s">
        <v>42</v>
      </c>
      <c r="P304" s="6" t="b">
        <v>1</v>
      </c>
      <c r="Q304" s="9" t="s">
        <v>25</v>
      </c>
    </row>
    <row r="305" spans="1:17" x14ac:dyDescent="0.25">
      <c r="A305" s="5" t="s">
        <v>355</v>
      </c>
      <c r="B305" s="6" t="s">
        <v>38</v>
      </c>
      <c r="C305" s="6" t="s">
        <v>33</v>
      </c>
      <c r="D305" s="6" t="s">
        <v>52</v>
      </c>
      <c r="E305" s="6" t="s">
        <v>28</v>
      </c>
      <c r="F305" s="6" t="s">
        <v>29</v>
      </c>
      <c r="G305" s="6">
        <v>71</v>
      </c>
      <c r="H305" s="7">
        <v>1484.54</v>
      </c>
      <c r="I305" s="7">
        <v>105402.34</v>
      </c>
      <c r="J305" s="8">
        <v>45564</v>
      </c>
      <c r="K305" s="6">
        <v>48</v>
      </c>
      <c r="L305" s="6" t="s">
        <v>41</v>
      </c>
      <c r="M305" s="6" t="b">
        <v>1</v>
      </c>
      <c r="N305" s="6">
        <v>26.77</v>
      </c>
      <c r="O305" s="6" t="s">
        <v>56</v>
      </c>
      <c r="P305" s="6" t="b">
        <v>1</v>
      </c>
      <c r="Q305" s="9" t="s">
        <v>25</v>
      </c>
    </row>
    <row r="306" spans="1:17" x14ac:dyDescent="0.25">
      <c r="A306" s="5" t="s">
        <v>356</v>
      </c>
      <c r="B306" s="6" t="s">
        <v>51</v>
      </c>
      <c r="C306" s="6" t="s">
        <v>39</v>
      </c>
      <c r="D306" s="6" t="s">
        <v>52</v>
      </c>
      <c r="E306" s="6" t="s">
        <v>35</v>
      </c>
      <c r="F306" s="6" t="s">
        <v>29</v>
      </c>
      <c r="G306" s="6">
        <v>56</v>
      </c>
      <c r="H306" s="7">
        <v>1034.78</v>
      </c>
      <c r="I306" s="7">
        <v>57947.68</v>
      </c>
      <c r="J306" s="8">
        <v>45236</v>
      </c>
      <c r="K306" s="6">
        <v>23</v>
      </c>
      <c r="L306" s="6" t="s">
        <v>23</v>
      </c>
      <c r="M306" s="6" t="b">
        <v>0</v>
      </c>
      <c r="N306" s="6">
        <v>12.48</v>
      </c>
      <c r="O306" s="6" t="s">
        <v>42</v>
      </c>
      <c r="P306" s="6" t="b">
        <v>1</v>
      </c>
      <c r="Q306" s="9" t="s">
        <v>25</v>
      </c>
    </row>
    <row r="307" spans="1:17" x14ac:dyDescent="0.25">
      <c r="A307" s="5" t="s">
        <v>357</v>
      </c>
      <c r="B307" s="6" t="s">
        <v>72</v>
      </c>
      <c r="C307" s="6" t="s">
        <v>39</v>
      </c>
      <c r="D307" s="6" t="s">
        <v>20</v>
      </c>
      <c r="E307" s="6" t="s">
        <v>35</v>
      </c>
      <c r="F307" s="6" t="s">
        <v>22</v>
      </c>
      <c r="G307" s="6">
        <v>23</v>
      </c>
      <c r="H307" s="7">
        <v>1478.18</v>
      </c>
      <c r="I307" s="7">
        <v>33998.14</v>
      </c>
      <c r="J307" s="8">
        <v>45315</v>
      </c>
      <c r="K307" s="6">
        <v>21</v>
      </c>
      <c r="L307" s="6" t="s">
        <v>41</v>
      </c>
      <c r="M307" s="6" t="b">
        <v>1</v>
      </c>
      <c r="N307" s="6">
        <v>23.54</v>
      </c>
      <c r="O307" s="6" t="s">
        <v>42</v>
      </c>
      <c r="P307" s="6" t="b">
        <v>0</v>
      </c>
      <c r="Q307" s="9" t="s">
        <v>36</v>
      </c>
    </row>
    <row r="308" spans="1:17" x14ac:dyDescent="0.25">
      <c r="A308" s="5" t="s">
        <v>358</v>
      </c>
      <c r="B308" s="6" t="s">
        <v>27</v>
      </c>
      <c r="C308" s="6" t="s">
        <v>33</v>
      </c>
      <c r="D308" s="6" t="s">
        <v>64</v>
      </c>
      <c r="E308" s="6" t="s">
        <v>35</v>
      </c>
      <c r="F308" s="6" t="s">
        <v>22</v>
      </c>
      <c r="G308" s="6">
        <v>25</v>
      </c>
      <c r="H308" s="7">
        <v>91.81</v>
      </c>
      <c r="I308" s="7">
        <v>2295.25</v>
      </c>
      <c r="J308" s="8">
        <v>45584</v>
      </c>
      <c r="K308" s="6">
        <v>60</v>
      </c>
      <c r="L308" s="6" t="s">
        <v>23</v>
      </c>
      <c r="M308" s="6" t="b">
        <v>1</v>
      </c>
      <c r="N308" s="6">
        <v>27.36</v>
      </c>
      <c r="O308" s="6" t="s">
        <v>42</v>
      </c>
      <c r="P308" s="6" t="b">
        <v>1</v>
      </c>
      <c r="Q308" s="9" t="s">
        <v>36</v>
      </c>
    </row>
    <row r="309" spans="1:17" x14ac:dyDescent="0.25">
      <c r="A309" s="5" t="s">
        <v>359</v>
      </c>
      <c r="B309" s="6" t="s">
        <v>38</v>
      </c>
      <c r="C309" s="6" t="s">
        <v>33</v>
      </c>
      <c r="D309" s="6" t="s">
        <v>34</v>
      </c>
      <c r="E309" s="6" t="s">
        <v>44</v>
      </c>
      <c r="F309" s="6" t="s">
        <v>40</v>
      </c>
      <c r="G309" s="6">
        <v>91</v>
      </c>
      <c r="H309" s="7">
        <v>540.29999999999995</v>
      </c>
      <c r="I309" s="7">
        <v>49167.3</v>
      </c>
      <c r="J309" s="8">
        <v>45109</v>
      </c>
      <c r="K309" s="6">
        <v>46</v>
      </c>
      <c r="L309" s="6" t="s">
        <v>41</v>
      </c>
      <c r="M309" s="6" t="b">
        <v>0</v>
      </c>
      <c r="N309" s="6">
        <v>21.38</v>
      </c>
      <c r="O309" s="6" t="s">
        <v>30</v>
      </c>
      <c r="P309" s="6" t="b">
        <v>0</v>
      </c>
      <c r="Q309" s="9" t="s">
        <v>36</v>
      </c>
    </row>
    <row r="310" spans="1:17" x14ac:dyDescent="0.25">
      <c r="A310" s="5" t="s">
        <v>360</v>
      </c>
      <c r="B310" s="6" t="s">
        <v>18</v>
      </c>
      <c r="C310" s="6" t="s">
        <v>39</v>
      </c>
      <c r="D310" s="6" t="s">
        <v>52</v>
      </c>
      <c r="E310" s="6" t="s">
        <v>28</v>
      </c>
      <c r="F310" s="6" t="s">
        <v>22</v>
      </c>
      <c r="G310" s="6">
        <v>6</v>
      </c>
      <c r="H310" s="7">
        <v>206.39</v>
      </c>
      <c r="I310" s="7">
        <v>1238.3399999999999</v>
      </c>
      <c r="J310" s="8">
        <v>45232</v>
      </c>
      <c r="K310" s="6">
        <v>59</v>
      </c>
      <c r="L310" s="6" t="s">
        <v>49</v>
      </c>
      <c r="M310" s="6" t="b">
        <v>0</v>
      </c>
      <c r="N310" s="6">
        <v>12.68</v>
      </c>
      <c r="O310" s="6" t="s">
        <v>42</v>
      </c>
      <c r="P310" s="6" t="b">
        <v>1</v>
      </c>
      <c r="Q310" s="9" t="s">
        <v>36</v>
      </c>
    </row>
    <row r="311" spans="1:17" x14ac:dyDescent="0.25">
      <c r="A311" s="5" t="s">
        <v>361</v>
      </c>
      <c r="B311" s="6" t="s">
        <v>72</v>
      </c>
      <c r="C311" s="6" t="s">
        <v>39</v>
      </c>
      <c r="D311" s="6" t="s">
        <v>64</v>
      </c>
      <c r="E311" s="6" t="s">
        <v>44</v>
      </c>
      <c r="F311" s="6" t="s">
        <v>48</v>
      </c>
      <c r="G311" s="6">
        <v>34</v>
      </c>
      <c r="H311" s="7">
        <v>430.34</v>
      </c>
      <c r="I311" s="7">
        <v>14631.56</v>
      </c>
      <c r="J311" s="8">
        <v>44998</v>
      </c>
      <c r="K311" s="6">
        <v>20</v>
      </c>
      <c r="L311" s="6" t="s">
        <v>49</v>
      </c>
      <c r="M311" s="6" t="b">
        <v>0</v>
      </c>
      <c r="N311" s="6">
        <v>1.97</v>
      </c>
      <c r="O311" s="6" t="s">
        <v>56</v>
      </c>
      <c r="P311" s="6" t="b">
        <v>0</v>
      </c>
      <c r="Q311" s="9" t="s">
        <v>36</v>
      </c>
    </row>
    <row r="312" spans="1:17" x14ac:dyDescent="0.25">
      <c r="A312" s="5" t="s">
        <v>362</v>
      </c>
      <c r="B312" s="6" t="s">
        <v>51</v>
      </c>
      <c r="C312" s="6" t="s">
        <v>33</v>
      </c>
      <c r="D312" s="6" t="s">
        <v>47</v>
      </c>
      <c r="E312" s="6" t="s">
        <v>44</v>
      </c>
      <c r="F312" s="6" t="s">
        <v>48</v>
      </c>
      <c r="G312" s="6">
        <v>63</v>
      </c>
      <c r="H312" s="7">
        <v>1266.3900000000001</v>
      </c>
      <c r="I312" s="7">
        <v>79782.570000000007</v>
      </c>
      <c r="J312" s="8">
        <v>45145</v>
      </c>
      <c r="K312" s="6">
        <v>18</v>
      </c>
      <c r="L312" s="6" t="s">
        <v>41</v>
      </c>
      <c r="M312" s="6" t="b">
        <v>1</v>
      </c>
      <c r="N312" s="6">
        <v>24.29</v>
      </c>
      <c r="O312" s="6" t="s">
        <v>30</v>
      </c>
      <c r="P312" s="6" t="b">
        <v>0</v>
      </c>
      <c r="Q312" s="9" t="s">
        <v>36</v>
      </c>
    </row>
    <row r="313" spans="1:17" x14ac:dyDescent="0.25">
      <c r="A313" s="5" t="s">
        <v>363</v>
      </c>
      <c r="B313" s="6" t="s">
        <v>66</v>
      </c>
      <c r="C313" s="6" t="s">
        <v>33</v>
      </c>
      <c r="D313" s="6" t="s">
        <v>52</v>
      </c>
      <c r="E313" s="6" t="s">
        <v>44</v>
      </c>
      <c r="F313" s="6" t="s">
        <v>22</v>
      </c>
      <c r="G313" s="6">
        <v>9</v>
      </c>
      <c r="H313" s="7">
        <v>96.87</v>
      </c>
      <c r="I313" s="7">
        <v>871.83</v>
      </c>
      <c r="J313" s="8">
        <v>45099</v>
      </c>
      <c r="K313" s="6">
        <v>61</v>
      </c>
      <c r="L313" s="6" t="s">
        <v>23</v>
      </c>
      <c r="M313" s="6" t="b">
        <v>0</v>
      </c>
      <c r="N313" s="6">
        <v>28.58</v>
      </c>
      <c r="O313" s="6" t="s">
        <v>56</v>
      </c>
      <c r="P313" s="6" t="b">
        <v>0</v>
      </c>
      <c r="Q313" s="9" t="s">
        <v>25</v>
      </c>
    </row>
    <row r="314" spans="1:17" x14ac:dyDescent="0.25">
      <c r="A314" s="5" t="s">
        <v>364</v>
      </c>
      <c r="B314" s="6" t="s">
        <v>76</v>
      </c>
      <c r="C314" s="6" t="s">
        <v>33</v>
      </c>
      <c r="D314" s="6" t="s">
        <v>34</v>
      </c>
      <c r="E314" s="6" t="s">
        <v>21</v>
      </c>
      <c r="F314" s="6" t="s">
        <v>29</v>
      </c>
      <c r="G314" s="6">
        <v>60</v>
      </c>
      <c r="H314" s="7">
        <v>804.27</v>
      </c>
      <c r="I314" s="7">
        <v>48256.2</v>
      </c>
      <c r="J314" s="8">
        <v>45579</v>
      </c>
      <c r="K314" s="6">
        <v>32</v>
      </c>
      <c r="L314" s="6" t="s">
        <v>23</v>
      </c>
      <c r="M314" s="6" t="b">
        <v>1</v>
      </c>
      <c r="N314" s="6">
        <v>10.87</v>
      </c>
      <c r="O314" s="6" t="s">
        <v>30</v>
      </c>
      <c r="P314" s="6" t="b">
        <v>0</v>
      </c>
      <c r="Q314" s="9" t="s">
        <v>36</v>
      </c>
    </row>
    <row r="315" spans="1:17" x14ac:dyDescent="0.25">
      <c r="A315" s="5" t="s">
        <v>365</v>
      </c>
      <c r="B315" s="6" t="s">
        <v>46</v>
      </c>
      <c r="C315" s="6" t="s">
        <v>19</v>
      </c>
      <c r="D315" s="6" t="s">
        <v>47</v>
      </c>
      <c r="E315" s="6" t="s">
        <v>21</v>
      </c>
      <c r="F315" s="6" t="s">
        <v>40</v>
      </c>
      <c r="G315" s="6">
        <v>49</v>
      </c>
      <c r="H315" s="7">
        <v>872.34</v>
      </c>
      <c r="I315" s="7">
        <v>42744.66</v>
      </c>
      <c r="J315" s="8">
        <v>45198</v>
      </c>
      <c r="K315" s="6">
        <v>64</v>
      </c>
      <c r="L315" s="6" t="s">
        <v>49</v>
      </c>
      <c r="M315" s="6" t="b">
        <v>0</v>
      </c>
      <c r="N315" s="6">
        <v>4.5599999999999996</v>
      </c>
      <c r="O315" s="6" t="s">
        <v>42</v>
      </c>
      <c r="P315" s="6" t="b">
        <v>1</v>
      </c>
      <c r="Q315" s="9" t="s">
        <v>25</v>
      </c>
    </row>
    <row r="316" spans="1:17" x14ac:dyDescent="0.25">
      <c r="A316" s="5" t="s">
        <v>366</v>
      </c>
      <c r="B316" s="6" t="s">
        <v>62</v>
      </c>
      <c r="C316" s="6" t="s">
        <v>39</v>
      </c>
      <c r="D316" s="6" t="s">
        <v>47</v>
      </c>
      <c r="E316" s="6" t="s">
        <v>21</v>
      </c>
      <c r="F316" s="6" t="s">
        <v>29</v>
      </c>
      <c r="G316" s="6">
        <v>97</v>
      </c>
      <c r="H316" s="7">
        <v>863.67</v>
      </c>
      <c r="I316" s="7">
        <v>83775.990000000005</v>
      </c>
      <c r="J316" s="8">
        <v>45394</v>
      </c>
      <c r="K316" s="6">
        <v>38</v>
      </c>
      <c r="L316" s="6" t="s">
        <v>49</v>
      </c>
      <c r="M316" s="6" t="b">
        <v>0</v>
      </c>
      <c r="N316" s="6">
        <v>9.8000000000000007</v>
      </c>
      <c r="O316" s="6" t="s">
        <v>24</v>
      </c>
      <c r="P316" s="6" t="b">
        <v>0</v>
      </c>
      <c r="Q316" s="9" t="s">
        <v>25</v>
      </c>
    </row>
    <row r="317" spans="1:17" x14ac:dyDescent="0.25">
      <c r="A317" s="5" t="s">
        <v>367</v>
      </c>
      <c r="B317" s="6" t="s">
        <v>46</v>
      </c>
      <c r="C317" s="6" t="s">
        <v>19</v>
      </c>
      <c r="D317" s="6" t="s">
        <v>34</v>
      </c>
      <c r="E317" s="6" t="s">
        <v>28</v>
      </c>
      <c r="F317" s="6" t="s">
        <v>22</v>
      </c>
      <c r="G317" s="6">
        <v>51</v>
      </c>
      <c r="H317" s="7">
        <v>739.18</v>
      </c>
      <c r="I317" s="7">
        <v>37698.18</v>
      </c>
      <c r="J317" s="8">
        <v>45195</v>
      </c>
      <c r="K317" s="6">
        <v>63</v>
      </c>
      <c r="L317" s="6" t="s">
        <v>49</v>
      </c>
      <c r="M317" s="6" t="b">
        <v>0</v>
      </c>
      <c r="N317" s="6">
        <v>17.48</v>
      </c>
      <c r="O317" s="6" t="s">
        <v>24</v>
      </c>
      <c r="P317" s="6" t="b">
        <v>1</v>
      </c>
      <c r="Q317" s="9" t="s">
        <v>36</v>
      </c>
    </row>
    <row r="318" spans="1:17" x14ac:dyDescent="0.25">
      <c r="A318" s="5" t="s">
        <v>368</v>
      </c>
      <c r="B318" s="6" t="s">
        <v>51</v>
      </c>
      <c r="C318" s="6" t="s">
        <v>39</v>
      </c>
      <c r="D318" s="6" t="s">
        <v>52</v>
      </c>
      <c r="E318" s="6" t="s">
        <v>44</v>
      </c>
      <c r="F318" s="6" t="s">
        <v>48</v>
      </c>
      <c r="G318" s="6">
        <v>60</v>
      </c>
      <c r="H318" s="7">
        <v>1196.3699999999999</v>
      </c>
      <c r="I318" s="7">
        <v>71782.2</v>
      </c>
      <c r="J318" s="8">
        <v>44946</v>
      </c>
      <c r="K318" s="6">
        <v>48</v>
      </c>
      <c r="L318" s="6" t="s">
        <v>23</v>
      </c>
      <c r="M318" s="6" t="b">
        <v>0</v>
      </c>
      <c r="N318" s="6">
        <v>9.51</v>
      </c>
      <c r="O318" s="6" t="s">
        <v>42</v>
      </c>
      <c r="P318" s="6" t="b">
        <v>1</v>
      </c>
      <c r="Q318" s="9" t="s">
        <v>36</v>
      </c>
    </row>
    <row r="319" spans="1:17" x14ac:dyDescent="0.25">
      <c r="A319" s="5" t="s">
        <v>369</v>
      </c>
      <c r="B319" s="6" t="s">
        <v>32</v>
      </c>
      <c r="C319" s="6" t="s">
        <v>39</v>
      </c>
      <c r="D319" s="6" t="s">
        <v>20</v>
      </c>
      <c r="E319" s="6" t="s">
        <v>44</v>
      </c>
      <c r="F319" s="6" t="s">
        <v>40</v>
      </c>
      <c r="G319" s="6">
        <v>70</v>
      </c>
      <c r="H319" s="7">
        <v>243.64</v>
      </c>
      <c r="I319" s="7">
        <v>17054.8</v>
      </c>
      <c r="J319" s="8">
        <v>45504</v>
      </c>
      <c r="K319" s="6">
        <v>24</v>
      </c>
      <c r="L319" s="6" t="s">
        <v>23</v>
      </c>
      <c r="M319" s="6" t="b">
        <v>1</v>
      </c>
      <c r="N319" s="6">
        <v>18.32</v>
      </c>
      <c r="O319" s="6" t="s">
        <v>30</v>
      </c>
      <c r="P319" s="6" t="b">
        <v>0</v>
      </c>
      <c r="Q319" s="9" t="s">
        <v>25</v>
      </c>
    </row>
    <row r="320" spans="1:17" x14ac:dyDescent="0.25">
      <c r="A320" s="5" t="s">
        <v>370</v>
      </c>
      <c r="B320" s="6" t="s">
        <v>32</v>
      </c>
      <c r="C320" s="6" t="s">
        <v>39</v>
      </c>
      <c r="D320" s="6" t="s">
        <v>34</v>
      </c>
      <c r="E320" s="6" t="s">
        <v>21</v>
      </c>
      <c r="F320" s="6" t="s">
        <v>29</v>
      </c>
      <c r="G320" s="6">
        <v>37</v>
      </c>
      <c r="H320" s="7">
        <v>500.34</v>
      </c>
      <c r="I320" s="7">
        <v>18512.580000000002</v>
      </c>
      <c r="J320" s="8">
        <v>45429</v>
      </c>
      <c r="K320" s="6">
        <v>34</v>
      </c>
      <c r="L320" s="6" t="s">
        <v>49</v>
      </c>
      <c r="M320" s="6" t="b">
        <v>1</v>
      </c>
      <c r="N320" s="6">
        <v>29.01</v>
      </c>
      <c r="O320" s="6" t="s">
        <v>56</v>
      </c>
      <c r="P320" s="6" t="b">
        <v>1</v>
      </c>
      <c r="Q320" s="9" t="s">
        <v>25</v>
      </c>
    </row>
    <row r="321" spans="1:17" x14ac:dyDescent="0.25">
      <c r="A321" s="5" t="s">
        <v>371</v>
      </c>
      <c r="B321" s="6" t="s">
        <v>66</v>
      </c>
      <c r="C321" s="6" t="s">
        <v>39</v>
      </c>
      <c r="D321" s="6" t="s">
        <v>34</v>
      </c>
      <c r="E321" s="6" t="s">
        <v>44</v>
      </c>
      <c r="F321" s="6" t="s">
        <v>29</v>
      </c>
      <c r="G321" s="6">
        <v>31</v>
      </c>
      <c r="H321" s="7">
        <v>942.8</v>
      </c>
      <c r="I321" s="7">
        <v>29226.799999999999</v>
      </c>
      <c r="J321" s="8">
        <v>45073</v>
      </c>
      <c r="K321" s="6">
        <v>36</v>
      </c>
      <c r="L321" s="6" t="s">
        <v>41</v>
      </c>
      <c r="M321" s="6" t="b">
        <v>0</v>
      </c>
      <c r="N321" s="6">
        <v>20.12</v>
      </c>
      <c r="O321" s="6" t="s">
        <v>24</v>
      </c>
      <c r="P321" s="6" t="b">
        <v>1</v>
      </c>
      <c r="Q321" s="9" t="s">
        <v>25</v>
      </c>
    </row>
    <row r="322" spans="1:17" x14ac:dyDescent="0.25">
      <c r="A322" s="5" t="s">
        <v>372</v>
      </c>
      <c r="B322" s="6" t="s">
        <v>62</v>
      </c>
      <c r="C322" s="6" t="s">
        <v>39</v>
      </c>
      <c r="D322" s="6" t="s">
        <v>34</v>
      </c>
      <c r="E322" s="6" t="s">
        <v>44</v>
      </c>
      <c r="F322" s="6" t="s">
        <v>22</v>
      </c>
      <c r="G322" s="6">
        <v>98</v>
      </c>
      <c r="H322" s="7">
        <v>1051.8800000000001</v>
      </c>
      <c r="I322" s="7">
        <v>103084.24</v>
      </c>
      <c r="J322" s="8">
        <v>45355</v>
      </c>
      <c r="K322" s="6">
        <v>56</v>
      </c>
      <c r="L322" s="6" t="s">
        <v>23</v>
      </c>
      <c r="M322" s="6" t="b">
        <v>1</v>
      </c>
      <c r="N322" s="6">
        <v>10.88</v>
      </c>
      <c r="O322" s="6" t="s">
        <v>42</v>
      </c>
      <c r="P322" s="6" t="b">
        <v>1</v>
      </c>
      <c r="Q322" s="9" t="s">
        <v>25</v>
      </c>
    </row>
    <row r="323" spans="1:17" x14ac:dyDescent="0.25">
      <c r="A323" s="5" t="s">
        <v>373</v>
      </c>
      <c r="B323" s="6" t="s">
        <v>18</v>
      </c>
      <c r="C323" s="6" t="s">
        <v>39</v>
      </c>
      <c r="D323" s="6" t="s">
        <v>47</v>
      </c>
      <c r="E323" s="6" t="s">
        <v>35</v>
      </c>
      <c r="F323" s="6" t="s">
        <v>40</v>
      </c>
      <c r="G323" s="6">
        <v>41</v>
      </c>
      <c r="H323" s="7">
        <v>636.02</v>
      </c>
      <c r="I323" s="7">
        <v>26076.82</v>
      </c>
      <c r="J323" s="8">
        <v>45091</v>
      </c>
      <c r="K323" s="6">
        <v>20</v>
      </c>
      <c r="L323" s="6" t="s">
        <v>49</v>
      </c>
      <c r="M323" s="6" t="b">
        <v>0</v>
      </c>
      <c r="N323" s="6">
        <v>28.07</v>
      </c>
      <c r="O323" s="6" t="s">
        <v>42</v>
      </c>
      <c r="P323" s="6" t="b">
        <v>1</v>
      </c>
      <c r="Q323" s="9" t="s">
        <v>25</v>
      </c>
    </row>
    <row r="324" spans="1:17" x14ac:dyDescent="0.25">
      <c r="A324" s="5" t="s">
        <v>374</v>
      </c>
      <c r="B324" s="6" t="s">
        <v>66</v>
      </c>
      <c r="C324" s="6" t="s">
        <v>39</v>
      </c>
      <c r="D324" s="6" t="s">
        <v>64</v>
      </c>
      <c r="E324" s="6" t="s">
        <v>44</v>
      </c>
      <c r="F324" s="6" t="s">
        <v>48</v>
      </c>
      <c r="G324" s="6">
        <v>62</v>
      </c>
      <c r="H324" s="7">
        <v>1319.29</v>
      </c>
      <c r="I324" s="7">
        <v>81795.98</v>
      </c>
      <c r="J324" s="8">
        <v>45236</v>
      </c>
      <c r="K324" s="6">
        <v>47</v>
      </c>
      <c r="L324" s="6" t="s">
        <v>41</v>
      </c>
      <c r="M324" s="6" t="b">
        <v>0</v>
      </c>
      <c r="N324" s="6">
        <v>16.97</v>
      </c>
      <c r="O324" s="6" t="s">
        <v>30</v>
      </c>
      <c r="P324" s="6" t="b">
        <v>0</v>
      </c>
      <c r="Q324" s="9" t="s">
        <v>36</v>
      </c>
    </row>
    <row r="325" spans="1:17" x14ac:dyDescent="0.25">
      <c r="A325" s="5" t="s">
        <v>375</v>
      </c>
      <c r="B325" s="6" t="s">
        <v>46</v>
      </c>
      <c r="C325" s="6" t="s">
        <v>19</v>
      </c>
      <c r="D325" s="6" t="s">
        <v>20</v>
      </c>
      <c r="E325" s="6" t="s">
        <v>35</v>
      </c>
      <c r="F325" s="6" t="s">
        <v>22</v>
      </c>
      <c r="G325" s="6">
        <v>93</v>
      </c>
      <c r="H325" s="7">
        <v>652.47</v>
      </c>
      <c r="I325" s="7">
        <v>60679.71</v>
      </c>
      <c r="J325" s="8">
        <v>45444</v>
      </c>
      <c r="K325" s="6">
        <v>52</v>
      </c>
      <c r="L325" s="6" t="s">
        <v>23</v>
      </c>
      <c r="M325" s="6" t="b">
        <v>1</v>
      </c>
      <c r="N325" s="6">
        <v>3.85</v>
      </c>
      <c r="O325" s="6" t="s">
        <v>24</v>
      </c>
      <c r="P325" s="6" t="b">
        <v>1</v>
      </c>
      <c r="Q325" s="9" t="s">
        <v>36</v>
      </c>
    </row>
    <row r="326" spans="1:17" x14ac:dyDescent="0.25">
      <c r="A326" s="5" t="s">
        <v>376</v>
      </c>
      <c r="B326" s="6" t="s">
        <v>66</v>
      </c>
      <c r="C326" s="6" t="s">
        <v>33</v>
      </c>
      <c r="D326" s="6" t="s">
        <v>52</v>
      </c>
      <c r="E326" s="6" t="s">
        <v>44</v>
      </c>
      <c r="F326" s="6" t="s">
        <v>40</v>
      </c>
      <c r="G326" s="6">
        <v>58</v>
      </c>
      <c r="H326" s="7">
        <v>634.03</v>
      </c>
      <c r="I326" s="7">
        <v>36773.74</v>
      </c>
      <c r="J326" s="8">
        <v>44940</v>
      </c>
      <c r="K326" s="6">
        <v>46</v>
      </c>
      <c r="L326" s="6" t="s">
        <v>41</v>
      </c>
      <c r="M326" s="6" t="b">
        <v>1</v>
      </c>
      <c r="N326" s="6">
        <v>14.97</v>
      </c>
      <c r="O326" s="6" t="s">
        <v>42</v>
      </c>
      <c r="P326" s="6" t="b">
        <v>1</v>
      </c>
      <c r="Q326" s="9" t="s">
        <v>25</v>
      </c>
    </row>
    <row r="327" spans="1:17" x14ac:dyDescent="0.25">
      <c r="A327" s="5" t="s">
        <v>377</v>
      </c>
      <c r="B327" s="6" t="s">
        <v>46</v>
      </c>
      <c r="C327" s="6" t="s">
        <v>33</v>
      </c>
      <c r="D327" s="6" t="s">
        <v>52</v>
      </c>
      <c r="E327" s="6" t="s">
        <v>28</v>
      </c>
      <c r="F327" s="6" t="s">
        <v>29</v>
      </c>
      <c r="G327" s="6">
        <v>14</v>
      </c>
      <c r="H327" s="7">
        <v>102.5</v>
      </c>
      <c r="I327" s="7">
        <v>1435</v>
      </c>
      <c r="J327" s="8">
        <v>45058</v>
      </c>
      <c r="K327" s="6">
        <v>67</v>
      </c>
      <c r="L327" s="6" t="s">
        <v>41</v>
      </c>
      <c r="M327" s="6" t="b">
        <v>0</v>
      </c>
      <c r="N327" s="6">
        <v>19.61</v>
      </c>
      <c r="O327" s="6" t="s">
        <v>24</v>
      </c>
      <c r="P327" s="6" t="b">
        <v>1</v>
      </c>
      <c r="Q327" s="9" t="s">
        <v>25</v>
      </c>
    </row>
    <row r="328" spans="1:17" x14ac:dyDescent="0.25">
      <c r="A328" s="5" t="s">
        <v>378</v>
      </c>
      <c r="B328" s="6" t="s">
        <v>72</v>
      </c>
      <c r="C328" s="6" t="s">
        <v>19</v>
      </c>
      <c r="D328" s="6" t="s">
        <v>64</v>
      </c>
      <c r="E328" s="6" t="s">
        <v>21</v>
      </c>
      <c r="F328" s="6" t="s">
        <v>22</v>
      </c>
      <c r="G328" s="6">
        <v>36</v>
      </c>
      <c r="H328" s="7">
        <v>849.15</v>
      </c>
      <c r="I328" s="7">
        <v>30569.4</v>
      </c>
      <c r="J328" s="8">
        <v>45365</v>
      </c>
      <c r="K328" s="6">
        <v>69</v>
      </c>
      <c r="L328" s="6" t="s">
        <v>23</v>
      </c>
      <c r="M328" s="6" t="b">
        <v>0</v>
      </c>
      <c r="N328" s="6">
        <v>25.15</v>
      </c>
      <c r="O328" s="6" t="s">
        <v>56</v>
      </c>
      <c r="P328" s="6" t="b">
        <v>1</v>
      </c>
      <c r="Q328" s="9" t="s">
        <v>25</v>
      </c>
    </row>
    <row r="329" spans="1:17" x14ac:dyDescent="0.25">
      <c r="A329" s="5" t="s">
        <v>379</v>
      </c>
      <c r="B329" s="6" t="s">
        <v>32</v>
      </c>
      <c r="C329" s="6" t="s">
        <v>19</v>
      </c>
      <c r="D329" s="6" t="s">
        <v>34</v>
      </c>
      <c r="E329" s="6" t="s">
        <v>35</v>
      </c>
      <c r="F329" s="6" t="s">
        <v>29</v>
      </c>
      <c r="G329" s="6">
        <v>36</v>
      </c>
      <c r="H329" s="7">
        <v>1077.5899999999999</v>
      </c>
      <c r="I329" s="7">
        <v>38793.24</v>
      </c>
      <c r="J329" s="8">
        <v>45189</v>
      </c>
      <c r="K329" s="6">
        <v>31</v>
      </c>
      <c r="L329" s="6" t="s">
        <v>49</v>
      </c>
      <c r="M329" s="6" t="b">
        <v>0</v>
      </c>
      <c r="N329" s="6">
        <v>28.09</v>
      </c>
      <c r="O329" s="6" t="s">
        <v>42</v>
      </c>
      <c r="P329" s="6" t="b">
        <v>1</v>
      </c>
      <c r="Q329" s="9" t="s">
        <v>25</v>
      </c>
    </row>
    <row r="330" spans="1:17" x14ac:dyDescent="0.25">
      <c r="A330" s="5" t="s">
        <v>380</v>
      </c>
      <c r="B330" s="6" t="s">
        <v>72</v>
      </c>
      <c r="C330" s="6" t="s">
        <v>19</v>
      </c>
      <c r="D330" s="6" t="s">
        <v>20</v>
      </c>
      <c r="E330" s="6" t="s">
        <v>21</v>
      </c>
      <c r="F330" s="6" t="s">
        <v>29</v>
      </c>
      <c r="G330" s="6">
        <v>79</v>
      </c>
      <c r="H330" s="7">
        <v>215.94</v>
      </c>
      <c r="I330" s="7">
        <v>17059.259999999998</v>
      </c>
      <c r="J330" s="8">
        <v>45569</v>
      </c>
      <c r="K330" s="6">
        <v>52</v>
      </c>
      <c r="L330" s="6" t="s">
        <v>41</v>
      </c>
      <c r="M330" s="6" t="b">
        <v>1</v>
      </c>
      <c r="N330" s="6">
        <v>9.52</v>
      </c>
      <c r="O330" s="6" t="s">
        <v>42</v>
      </c>
      <c r="P330" s="6" t="b">
        <v>0</v>
      </c>
      <c r="Q330" s="9" t="s">
        <v>25</v>
      </c>
    </row>
    <row r="331" spans="1:17" x14ac:dyDescent="0.25">
      <c r="A331" s="5" t="s">
        <v>381</v>
      </c>
      <c r="B331" s="6" t="s">
        <v>76</v>
      </c>
      <c r="C331" s="6" t="s">
        <v>19</v>
      </c>
      <c r="D331" s="6" t="s">
        <v>52</v>
      </c>
      <c r="E331" s="6" t="s">
        <v>35</v>
      </c>
      <c r="F331" s="6" t="s">
        <v>22</v>
      </c>
      <c r="G331" s="6">
        <v>8</v>
      </c>
      <c r="H331" s="7">
        <v>492.88</v>
      </c>
      <c r="I331" s="7">
        <v>3943.04</v>
      </c>
      <c r="J331" s="8">
        <v>45151</v>
      </c>
      <c r="K331" s="6">
        <v>45</v>
      </c>
      <c r="L331" s="6" t="s">
        <v>49</v>
      </c>
      <c r="M331" s="6" t="b">
        <v>0</v>
      </c>
      <c r="N331" s="6">
        <v>4.67</v>
      </c>
      <c r="O331" s="6" t="s">
        <v>56</v>
      </c>
      <c r="P331" s="6" t="b">
        <v>1</v>
      </c>
      <c r="Q331" s="9" t="s">
        <v>25</v>
      </c>
    </row>
    <row r="332" spans="1:17" x14ac:dyDescent="0.25">
      <c r="A332" s="5" t="s">
        <v>382</v>
      </c>
      <c r="B332" s="6" t="s">
        <v>62</v>
      </c>
      <c r="C332" s="6" t="s">
        <v>39</v>
      </c>
      <c r="D332" s="6" t="s">
        <v>52</v>
      </c>
      <c r="E332" s="6" t="s">
        <v>35</v>
      </c>
      <c r="F332" s="6" t="s">
        <v>22</v>
      </c>
      <c r="G332" s="6">
        <v>26</v>
      </c>
      <c r="H332" s="7">
        <v>1182.82</v>
      </c>
      <c r="I332" s="7">
        <v>30753.32</v>
      </c>
      <c r="J332" s="8">
        <v>45184</v>
      </c>
      <c r="K332" s="6">
        <v>47</v>
      </c>
      <c r="L332" s="6" t="s">
        <v>23</v>
      </c>
      <c r="M332" s="6" t="b">
        <v>0</v>
      </c>
      <c r="N332" s="6">
        <v>2.21</v>
      </c>
      <c r="O332" s="6" t="s">
        <v>42</v>
      </c>
      <c r="P332" s="6" t="b">
        <v>0</v>
      </c>
      <c r="Q332" s="9" t="s">
        <v>25</v>
      </c>
    </row>
    <row r="333" spans="1:17" x14ac:dyDescent="0.25">
      <c r="A333" s="5" t="s">
        <v>383</v>
      </c>
      <c r="B333" s="6" t="s">
        <v>18</v>
      </c>
      <c r="C333" s="6" t="s">
        <v>33</v>
      </c>
      <c r="D333" s="6" t="s">
        <v>34</v>
      </c>
      <c r="E333" s="6" t="s">
        <v>35</v>
      </c>
      <c r="F333" s="6" t="s">
        <v>22</v>
      </c>
      <c r="G333" s="6">
        <v>36</v>
      </c>
      <c r="H333" s="7">
        <v>580.58000000000004</v>
      </c>
      <c r="I333" s="7">
        <v>20900.88</v>
      </c>
      <c r="J333" s="8">
        <v>45160</v>
      </c>
      <c r="K333" s="6">
        <v>43</v>
      </c>
      <c r="L333" s="6" t="s">
        <v>41</v>
      </c>
      <c r="M333" s="6" t="b">
        <v>0</v>
      </c>
      <c r="N333" s="6">
        <v>22.15</v>
      </c>
      <c r="O333" s="6" t="s">
        <v>30</v>
      </c>
      <c r="P333" s="6" t="b">
        <v>1</v>
      </c>
      <c r="Q333" s="9" t="s">
        <v>25</v>
      </c>
    </row>
    <row r="334" spans="1:17" x14ac:dyDescent="0.25">
      <c r="A334" s="5" t="s">
        <v>384</v>
      </c>
      <c r="B334" s="6" t="s">
        <v>46</v>
      </c>
      <c r="C334" s="6" t="s">
        <v>39</v>
      </c>
      <c r="D334" s="6" t="s">
        <v>64</v>
      </c>
      <c r="E334" s="6" t="s">
        <v>28</v>
      </c>
      <c r="F334" s="6" t="s">
        <v>22</v>
      </c>
      <c r="G334" s="6">
        <v>48</v>
      </c>
      <c r="H334" s="7">
        <v>400.32</v>
      </c>
      <c r="I334" s="7">
        <v>19215.36</v>
      </c>
      <c r="J334" s="8">
        <v>45262</v>
      </c>
      <c r="K334" s="6">
        <v>24</v>
      </c>
      <c r="L334" s="6" t="s">
        <v>41</v>
      </c>
      <c r="M334" s="6" t="b">
        <v>0</v>
      </c>
      <c r="N334" s="6">
        <v>23.85</v>
      </c>
      <c r="O334" s="6" t="s">
        <v>56</v>
      </c>
      <c r="P334" s="6" t="b">
        <v>0</v>
      </c>
      <c r="Q334" s="9" t="s">
        <v>36</v>
      </c>
    </row>
    <row r="335" spans="1:17" x14ac:dyDescent="0.25">
      <c r="A335" s="5" t="s">
        <v>385</v>
      </c>
      <c r="B335" s="6" t="s">
        <v>18</v>
      </c>
      <c r="C335" s="6" t="s">
        <v>33</v>
      </c>
      <c r="D335" s="6" t="s">
        <v>20</v>
      </c>
      <c r="E335" s="6" t="s">
        <v>44</v>
      </c>
      <c r="F335" s="6" t="s">
        <v>22</v>
      </c>
      <c r="G335" s="6">
        <v>85</v>
      </c>
      <c r="H335" s="7">
        <v>1024.69</v>
      </c>
      <c r="I335" s="7">
        <v>87098.65</v>
      </c>
      <c r="J335" s="8">
        <v>45335</v>
      </c>
      <c r="K335" s="6">
        <v>56</v>
      </c>
      <c r="L335" s="6" t="s">
        <v>41</v>
      </c>
      <c r="M335" s="6" t="b">
        <v>0</v>
      </c>
      <c r="N335" s="6">
        <v>12.28</v>
      </c>
      <c r="O335" s="6" t="s">
        <v>30</v>
      </c>
      <c r="P335" s="6" t="b">
        <v>1</v>
      </c>
      <c r="Q335" s="9" t="s">
        <v>25</v>
      </c>
    </row>
    <row r="336" spans="1:17" x14ac:dyDescent="0.25">
      <c r="A336" s="5" t="s">
        <v>386</v>
      </c>
      <c r="B336" s="6" t="s">
        <v>46</v>
      </c>
      <c r="C336" s="6" t="s">
        <v>33</v>
      </c>
      <c r="D336" s="6" t="s">
        <v>64</v>
      </c>
      <c r="E336" s="6" t="s">
        <v>35</v>
      </c>
      <c r="F336" s="6" t="s">
        <v>29</v>
      </c>
      <c r="G336" s="6">
        <v>28</v>
      </c>
      <c r="H336" s="7">
        <v>335.3</v>
      </c>
      <c r="I336" s="7">
        <v>9388.4</v>
      </c>
      <c r="J336" s="8">
        <v>44950</v>
      </c>
      <c r="K336" s="6">
        <v>48</v>
      </c>
      <c r="L336" s="6" t="s">
        <v>41</v>
      </c>
      <c r="M336" s="6" t="b">
        <v>0</v>
      </c>
      <c r="N336" s="6">
        <v>11.88</v>
      </c>
      <c r="O336" s="6" t="s">
        <v>56</v>
      </c>
      <c r="P336" s="6" t="b">
        <v>1</v>
      </c>
      <c r="Q336" s="9" t="s">
        <v>25</v>
      </c>
    </row>
    <row r="337" spans="1:17" x14ac:dyDescent="0.25">
      <c r="A337" s="5" t="s">
        <v>387</v>
      </c>
      <c r="B337" s="6" t="s">
        <v>51</v>
      </c>
      <c r="C337" s="6" t="s">
        <v>19</v>
      </c>
      <c r="D337" s="6" t="s">
        <v>64</v>
      </c>
      <c r="E337" s="6" t="s">
        <v>28</v>
      </c>
      <c r="F337" s="6" t="s">
        <v>48</v>
      </c>
      <c r="G337" s="6">
        <v>68</v>
      </c>
      <c r="H337" s="7">
        <v>1348.7</v>
      </c>
      <c r="I337" s="7">
        <v>91711.6</v>
      </c>
      <c r="J337" s="8">
        <v>45197</v>
      </c>
      <c r="K337" s="6">
        <v>22</v>
      </c>
      <c r="L337" s="6" t="s">
        <v>41</v>
      </c>
      <c r="M337" s="6" t="b">
        <v>1</v>
      </c>
      <c r="N337" s="6">
        <v>28.63</v>
      </c>
      <c r="O337" s="6" t="s">
        <v>56</v>
      </c>
      <c r="P337" s="6" t="b">
        <v>0</v>
      </c>
      <c r="Q337" s="9" t="s">
        <v>36</v>
      </c>
    </row>
    <row r="338" spans="1:17" x14ac:dyDescent="0.25">
      <c r="A338" s="5" t="s">
        <v>388</v>
      </c>
      <c r="B338" s="6" t="s">
        <v>66</v>
      </c>
      <c r="C338" s="6" t="s">
        <v>39</v>
      </c>
      <c r="D338" s="6" t="s">
        <v>20</v>
      </c>
      <c r="E338" s="6" t="s">
        <v>35</v>
      </c>
      <c r="F338" s="6" t="s">
        <v>48</v>
      </c>
      <c r="G338" s="6">
        <v>62</v>
      </c>
      <c r="H338" s="7">
        <v>203.12</v>
      </c>
      <c r="I338" s="7">
        <v>12593.44</v>
      </c>
      <c r="J338" s="8">
        <v>45021</v>
      </c>
      <c r="K338" s="6">
        <v>52</v>
      </c>
      <c r="L338" s="6" t="s">
        <v>23</v>
      </c>
      <c r="M338" s="6" t="b">
        <v>0</v>
      </c>
      <c r="N338" s="6">
        <v>27.5</v>
      </c>
      <c r="O338" s="6" t="s">
        <v>30</v>
      </c>
      <c r="P338" s="6" t="b">
        <v>0</v>
      </c>
      <c r="Q338" s="9" t="s">
        <v>25</v>
      </c>
    </row>
    <row r="339" spans="1:17" x14ac:dyDescent="0.25">
      <c r="A339" s="5" t="s">
        <v>389</v>
      </c>
      <c r="B339" s="6" t="s">
        <v>76</v>
      </c>
      <c r="C339" s="6" t="s">
        <v>19</v>
      </c>
      <c r="D339" s="6" t="s">
        <v>20</v>
      </c>
      <c r="E339" s="6" t="s">
        <v>44</v>
      </c>
      <c r="F339" s="6" t="s">
        <v>22</v>
      </c>
      <c r="G339" s="6">
        <v>80</v>
      </c>
      <c r="H339" s="7">
        <v>1074.5</v>
      </c>
      <c r="I339" s="7">
        <v>85960</v>
      </c>
      <c r="J339" s="8">
        <v>45068</v>
      </c>
      <c r="K339" s="6">
        <v>67</v>
      </c>
      <c r="L339" s="6" t="s">
        <v>41</v>
      </c>
      <c r="M339" s="6" t="b">
        <v>0</v>
      </c>
      <c r="N339" s="6">
        <v>7</v>
      </c>
      <c r="O339" s="6" t="s">
        <v>56</v>
      </c>
      <c r="P339" s="6" t="b">
        <v>0</v>
      </c>
      <c r="Q339" s="9" t="s">
        <v>25</v>
      </c>
    </row>
    <row r="340" spans="1:17" x14ac:dyDescent="0.25">
      <c r="A340" s="5" t="s">
        <v>390</v>
      </c>
      <c r="B340" s="6" t="s">
        <v>32</v>
      </c>
      <c r="C340" s="6" t="s">
        <v>39</v>
      </c>
      <c r="D340" s="6" t="s">
        <v>52</v>
      </c>
      <c r="E340" s="6" t="s">
        <v>35</v>
      </c>
      <c r="F340" s="6" t="s">
        <v>29</v>
      </c>
      <c r="G340" s="6">
        <v>86</v>
      </c>
      <c r="H340" s="7">
        <v>774.35</v>
      </c>
      <c r="I340" s="7">
        <v>66594.100000000006</v>
      </c>
      <c r="J340" s="8">
        <v>45007</v>
      </c>
      <c r="K340" s="6">
        <v>64</v>
      </c>
      <c r="L340" s="6" t="s">
        <v>23</v>
      </c>
      <c r="M340" s="6" t="b">
        <v>1</v>
      </c>
      <c r="N340" s="6">
        <v>23.42</v>
      </c>
      <c r="O340" s="6" t="s">
        <v>24</v>
      </c>
      <c r="P340" s="6" t="b">
        <v>1</v>
      </c>
      <c r="Q340" s="9" t="s">
        <v>25</v>
      </c>
    </row>
    <row r="341" spans="1:17" x14ac:dyDescent="0.25">
      <c r="A341" s="5" t="s">
        <v>391</v>
      </c>
      <c r="B341" s="6" t="s">
        <v>46</v>
      </c>
      <c r="C341" s="6" t="s">
        <v>33</v>
      </c>
      <c r="D341" s="6" t="s">
        <v>52</v>
      </c>
      <c r="E341" s="6" t="s">
        <v>28</v>
      </c>
      <c r="F341" s="6" t="s">
        <v>48</v>
      </c>
      <c r="G341" s="6">
        <v>76</v>
      </c>
      <c r="H341" s="7">
        <v>1311.4</v>
      </c>
      <c r="I341" s="7">
        <v>99666.4</v>
      </c>
      <c r="J341" s="8">
        <v>45200</v>
      </c>
      <c r="K341" s="6">
        <v>69</v>
      </c>
      <c r="L341" s="6" t="s">
        <v>49</v>
      </c>
      <c r="M341" s="6" t="b">
        <v>1</v>
      </c>
      <c r="N341" s="6">
        <v>18.68</v>
      </c>
      <c r="O341" s="6" t="s">
        <v>30</v>
      </c>
      <c r="P341" s="6" t="b">
        <v>0</v>
      </c>
      <c r="Q341" s="9" t="s">
        <v>25</v>
      </c>
    </row>
    <row r="342" spans="1:17" x14ac:dyDescent="0.25">
      <c r="A342" s="5" t="s">
        <v>392</v>
      </c>
      <c r="B342" s="6" t="s">
        <v>18</v>
      </c>
      <c r="C342" s="6" t="s">
        <v>19</v>
      </c>
      <c r="D342" s="6" t="s">
        <v>20</v>
      </c>
      <c r="E342" s="6" t="s">
        <v>44</v>
      </c>
      <c r="F342" s="6" t="s">
        <v>48</v>
      </c>
      <c r="G342" s="6">
        <v>80</v>
      </c>
      <c r="H342" s="7">
        <v>232.98</v>
      </c>
      <c r="I342" s="7">
        <v>18638.400000000001</v>
      </c>
      <c r="J342" s="8">
        <v>45202</v>
      </c>
      <c r="K342" s="6">
        <v>31</v>
      </c>
      <c r="L342" s="6" t="s">
        <v>23</v>
      </c>
      <c r="M342" s="6" t="b">
        <v>0</v>
      </c>
      <c r="N342" s="6">
        <v>4.63</v>
      </c>
      <c r="O342" s="6" t="s">
        <v>56</v>
      </c>
      <c r="P342" s="6" t="b">
        <v>0</v>
      </c>
      <c r="Q342" s="9" t="s">
        <v>36</v>
      </c>
    </row>
    <row r="343" spans="1:17" x14ac:dyDescent="0.25">
      <c r="A343" s="5" t="s">
        <v>393</v>
      </c>
      <c r="B343" s="6" t="s">
        <v>76</v>
      </c>
      <c r="C343" s="6" t="s">
        <v>19</v>
      </c>
      <c r="D343" s="6" t="s">
        <v>47</v>
      </c>
      <c r="E343" s="6" t="s">
        <v>28</v>
      </c>
      <c r="F343" s="6" t="s">
        <v>48</v>
      </c>
      <c r="G343" s="6">
        <v>51</v>
      </c>
      <c r="H343" s="7">
        <v>1032.95</v>
      </c>
      <c r="I343" s="7">
        <v>52680.45</v>
      </c>
      <c r="J343" s="8">
        <v>45391</v>
      </c>
      <c r="K343" s="6">
        <v>53</v>
      </c>
      <c r="L343" s="6" t="s">
        <v>41</v>
      </c>
      <c r="M343" s="6" t="b">
        <v>1</v>
      </c>
      <c r="N343" s="6">
        <v>10.7</v>
      </c>
      <c r="O343" s="6" t="s">
        <v>30</v>
      </c>
      <c r="P343" s="6" t="b">
        <v>0</v>
      </c>
      <c r="Q343" s="9" t="s">
        <v>25</v>
      </c>
    </row>
    <row r="344" spans="1:17" x14ac:dyDescent="0.25">
      <c r="A344" s="5" t="s">
        <v>394</v>
      </c>
      <c r="B344" s="6" t="s">
        <v>27</v>
      </c>
      <c r="C344" s="6" t="s">
        <v>33</v>
      </c>
      <c r="D344" s="6" t="s">
        <v>52</v>
      </c>
      <c r="E344" s="6" t="s">
        <v>44</v>
      </c>
      <c r="F344" s="6" t="s">
        <v>29</v>
      </c>
      <c r="G344" s="6">
        <v>42</v>
      </c>
      <c r="H344" s="7">
        <v>879.48</v>
      </c>
      <c r="I344" s="7">
        <v>36938.160000000003</v>
      </c>
      <c r="J344" s="8">
        <v>45134</v>
      </c>
      <c r="K344" s="6">
        <v>44</v>
      </c>
      <c r="L344" s="6" t="s">
        <v>49</v>
      </c>
      <c r="M344" s="6" t="b">
        <v>0</v>
      </c>
      <c r="N344" s="6">
        <v>5.32</v>
      </c>
      <c r="O344" s="6" t="s">
        <v>56</v>
      </c>
      <c r="P344" s="6" t="b">
        <v>1</v>
      </c>
      <c r="Q344" s="9" t="s">
        <v>25</v>
      </c>
    </row>
    <row r="345" spans="1:17" x14ac:dyDescent="0.25">
      <c r="A345" s="5" t="s">
        <v>395</v>
      </c>
      <c r="B345" s="6" t="s">
        <v>27</v>
      </c>
      <c r="C345" s="6" t="s">
        <v>33</v>
      </c>
      <c r="D345" s="6" t="s">
        <v>47</v>
      </c>
      <c r="E345" s="6" t="s">
        <v>44</v>
      </c>
      <c r="F345" s="6" t="s">
        <v>22</v>
      </c>
      <c r="G345" s="6">
        <v>29</v>
      </c>
      <c r="H345" s="7">
        <v>746.13</v>
      </c>
      <c r="I345" s="7">
        <v>21637.77</v>
      </c>
      <c r="J345" s="8">
        <v>45222</v>
      </c>
      <c r="K345" s="6">
        <v>41</v>
      </c>
      <c r="L345" s="6" t="s">
        <v>23</v>
      </c>
      <c r="M345" s="6" t="b">
        <v>1</v>
      </c>
      <c r="N345" s="6">
        <v>8.85</v>
      </c>
      <c r="O345" s="6" t="s">
        <v>56</v>
      </c>
      <c r="P345" s="6" t="b">
        <v>1</v>
      </c>
      <c r="Q345" s="9" t="s">
        <v>25</v>
      </c>
    </row>
    <row r="346" spans="1:17" x14ac:dyDescent="0.25">
      <c r="A346" s="5" t="s">
        <v>396</v>
      </c>
      <c r="B346" s="6" t="s">
        <v>72</v>
      </c>
      <c r="C346" s="6" t="s">
        <v>33</v>
      </c>
      <c r="D346" s="6" t="s">
        <v>20</v>
      </c>
      <c r="E346" s="6" t="s">
        <v>21</v>
      </c>
      <c r="F346" s="6" t="s">
        <v>22</v>
      </c>
      <c r="G346" s="6">
        <v>82</v>
      </c>
      <c r="H346" s="7">
        <v>762.54</v>
      </c>
      <c r="I346" s="7">
        <v>62528.28</v>
      </c>
      <c r="J346" s="8">
        <v>44965</v>
      </c>
      <c r="K346" s="6">
        <v>57</v>
      </c>
      <c r="L346" s="6" t="s">
        <v>23</v>
      </c>
      <c r="M346" s="6" t="b">
        <v>1</v>
      </c>
      <c r="N346" s="6">
        <v>18.46</v>
      </c>
      <c r="O346" s="6" t="s">
        <v>24</v>
      </c>
      <c r="P346" s="6" t="b">
        <v>1</v>
      </c>
      <c r="Q346" s="9" t="s">
        <v>36</v>
      </c>
    </row>
    <row r="347" spans="1:17" x14ac:dyDescent="0.25">
      <c r="A347" s="5" t="s">
        <v>397</v>
      </c>
      <c r="B347" s="6" t="s">
        <v>32</v>
      </c>
      <c r="C347" s="6" t="s">
        <v>19</v>
      </c>
      <c r="D347" s="6" t="s">
        <v>52</v>
      </c>
      <c r="E347" s="6" t="s">
        <v>21</v>
      </c>
      <c r="F347" s="6" t="s">
        <v>22</v>
      </c>
      <c r="G347" s="6">
        <v>10</v>
      </c>
      <c r="H347" s="7">
        <v>1096.8699999999999</v>
      </c>
      <c r="I347" s="7">
        <v>10968.7</v>
      </c>
      <c r="J347" s="8">
        <v>45214</v>
      </c>
      <c r="K347" s="6">
        <v>46</v>
      </c>
      <c r="L347" s="6" t="s">
        <v>23</v>
      </c>
      <c r="M347" s="6" t="b">
        <v>0</v>
      </c>
      <c r="N347" s="6">
        <v>11.26</v>
      </c>
      <c r="O347" s="6" t="s">
        <v>24</v>
      </c>
      <c r="P347" s="6" t="b">
        <v>0</v>
      </c>
      <c r="Q347" s="9" t="s">
        <v>25</v>
      </c>
    </row>
    <row r="348" spans="1:17" x14ac:dyDescent="0.25">
      <c r="A348" s="5" t="s">
        <v>398</v>
      </c>
      <c r="B348" s="6" t="s">
        <v>51</v>
      </c>
      <c r="C348" s="6" t="s">
        <v>39</v>
      </c>
      <c r="D348" s="6" t="s">
        <v>64</v>
      </c>
      <c r="E348" s="6" t="s">
        <v>21</v>
      </c>
      <c r="F348" s="6" t="s">
        <v>40</v>
      </c>
      <c r="G348" s="6">
        <v>39</v>
      </c>
      <c r="H348" s="7">
        <v>1409.73</v>
      </c>
      <c r="I348" s="7">
        <v>54979.47</v>
      </c>
      <c r="J348" s="8">
        <v>45050</v>
      </c>
      <c r="K348" s="6">
        <v>62</v>
      </c>
      <c r="L348" s="6" t="s">
        <v>41</v>
      </c>
      <c r="M348" s="6" t="b">
        <v>1</v>
      </c>
      <c r="N348" s="6">
        <v>11.82</v>
      </c>
      <c r="O348" s="6" t="s">
        <v>24</v>
      </c>
      <c r="P348" s="6" t="b">
        <v>1</v>
      </c>
      <c r="Q348" s="9" t="s">
        <v>25</v>
      </c>
    </row>
    <row r="349" spans="1:17" x14ac:dyDescent="0.25">
      <c r="A349" s="5" t="s">
        <v>399</v>
      </c>
      <c r="B349" s="6" t="s">
        <v>18</v>
      </c>
      <c r="C349" s="6" t="s">
        <v>19</v>
      </c>
      <c r="D349" s="6" t="s">
        <v>20</v>
      </c>
      <c r="E349" s="6" t="s">
        <v>44</v>
      </c>
      <c r="F349" s="6" t="s">
        <v>40</v>
      </c>
      <c r="G349" s="6">
        <v>82</v>
      </c>
      <c r="H349" s="7">
        <v>182.31</v>
      </c>
      <c r="I349" s="7">
        <v>14949.42</v>
      </c>
      <c r="J349" s="8">
        <v>45209</v>
      </c>
      <c r="K349" s="6">
        <v>39</v>
      </c>
      <c r="L349" s="6" t="s">
        <v>41</v>
      </c>
      <c r="M349" s="6" t="b">
        <v>0</v>
      </c>
      <c r="N349" s="6">
        <v>16.190000000000001</v>
      </c>
      <c r="O349" s="6" t="s">
        <v>56</v>
      </c>
      <c r="P349" s="6" t="b">
        <v>1</v>
      </c>
      <c r="Q349" s="9" t="s">
        <v>36</v>
      </c>
    </row>
    <row r="350" spans="1:17" x14ac:dyDescent="0.25">
      <c r="A350" s="5" t="s">
        <v>400</v>
      </c>
      <c r="B350" s="6" t="s">
        <v>66</v>
      </c>
      <c r="C350" s="6" t="s">
        <v>39</v>
      </c>
      <c r="D350" s="6" t="s">
        <v>34</v>
      </c>
      <c r="E350" s="6" t="s">
        <v>35</v>
      </c>
      <c r="F350" s="6" t="s">
        <v>40</v>
      </c>
      <c r="G350" s="6">
        <v>1</v>
      </c>
      <c r="H350" s="7">
        <v>78.28</v>
      </c>
      <c r="I350" s="7">
        <v>78.28</v>
      </c>
      <c r="J350" s="8">
        <v>45106</v>
      </c>
      <c r="K350" s="6">
        <v>25</v>
      </c>
      <c r="L350" s="6" t="s">
        <v>23</v>
      </c>
      <c r="M350" s="6" t="b">
        <v>1</v>
      </c>
      <c r="N350" s="6">
        <v>2.62</v>
      </c>
      <c r="O350" s="6" t="s">
        <v>24</v>
      </c>
      <c r="P350" s="6" t="b">
        <v>1</v>
      </c>
      <c r="Q350" s="9" t="s">
        <v>36</v>
      </c>
    </row>
    <row r="351" spans="1:17" x14ac:dyDescent="0.25">
      <c r="A351" s="5" t="s">
        <v>401</v>
      </c>
      <c r="B351" s="6" t="s">
        <v>66</v>
      </c>
      <c r="C351" s="6" t="s">
        <v>19</v>
      </c>
      <c r="D351" s="6" t="s">
        <v>47</v>
      </c>
      <c r="E351" s="6" t="s">
        <v>28</v>
      </c>
      <c r="F351" s="6" t="s">
        <v>29</v>
      </c>
      <c r="G351" s="6">
        <v>39</v>
      </c>
      <c r="H351" s="7">
        <v>1218.27</v>
      </c>
      <c r="I351" s="7">
        <v>47512.53</v>
      </c>
      <c r="J351" s="8">
        <v>45023</v>
      </c>
      <c r="K351" s="6">
        <v>32</v>
      </c>
      <c r="L351" s="6" t="s">
        <v>23</v>
      </c>
      <c r="M351" s="6" t="b">
        <v>0</v>
      </c>
      <c r="N351" s="6">
        <v>22.16</v>
      </c>
      <c r="O351" s="6" t="s">
        <v>30</v>
      </c>
      <c r="P351" s="6" t="b">
        <v>1</v>
      </c>
      <c r="Q351" s="9" t="s">
        <v>36</v>
      </c>
    </row>
    <row r="352" spans="1:17" x14ac:dyDescent="0.25">
      <c r="A352" s="5" t="s">
        <v>402</v>
      </c>
      <c r="B352" s="6" t="s">
        <v>18</v>
      </c>
      <c r="C352" s="6" t="s">
        <v>19</v>
      </c>
      <c r="D352" s="6" t="s">
        <v>20</v>
      </c>
      <c r="E352" s="6" t="s">
        <v>28</v>
      </c>
      <c r="F352" s="6" t="s">
        <v>48</v>
      </c>
      <c r="G352" s="6">
        <v>21</v>
      </c>
      <c r="H352" s="7">
        <v>206.85</v>
      </c>
      <c r="I352" s="7">
        <v>4343.8500000000004</v>
      </c>
      <c r="J352" s="8">
        <v>45117</v>
      </c>
      <c r="K352" s="6">
        <v>66</v>
      </c>
      <c r="L352" s="6" t="s">
        <v>49</v>
      </c>
      <c r="M352" s="6" t="b">
        <v>1</v>
      </c>
      <c r="N352" s="6">
        <v>12.05</v>
      </c>
      <c r="O352" s="6" t="s">
        <v>56</v>
      </c>
      <c r="P352" s="6" t="b">
        <v>0</v>
      </c>
      <c r="Q352" s="9" t="s">
        <v>36</v>
      </c>
    </row>
    <row r="353" spans="1:17" x14ac:dyDescent="0.25">
      <c r="A353" s="5" t="s">
        <v>403</v>
      </c>
      <c r="B353" s="6" t="s">
        <v>62</v>
      </c>
      <c r="C353" s="6" t="s">
        <v>33</v>
      </c>
      <c r="D353" s="6" t="s">
        <v>20</v>
      </c>
      <c r="E353" s="6" t="s">
        <v>28</v>
      </c>
      <c r="F353" s="6" t="s">
        <v>48</v>
      </c>
      <c r="G353" s="6">
        <v>65</v>
      </c>
      <c r="H353" s="7">
        <v>1480.71</v>
      </c>
      <c r="I353" s="7">
        <v>96246.15</v>
      </c>
      <c r="J353" s="8">
        <v>45000</v>
      </c>
      <c r="K353" s="6">
        <v>22</v>
      </c>
      <c r="L353" s="6" t="s">
        <v>41</v>
      </c>
      <c r="M353" s="6" t="b">
        <v>0</v>
      </c>
      <c r="N353" s="6">
        <v>14.41</v>
      </c>
      <c r="O353" s="6" t="s">
        <v>30</v>
      </c>
      <c r="P353" s="6" t="b">
        <v>1</v>
      </c>
      <c r="Q353" s="9" t="s">
        <v>25</v>
      </c>
    </row>
    <row r="354" spans="1:17" x14ac:dyDescent="0.25">
      <c r="A354" s="5" t="s">
        <v>404</v>
      </c>
      <c r="B354" s="6" t="s">
        <v>51</v>
      </c>
      <c r="C354" s="6" t="s">
        <v>39</v>
      </c>
      <c r="D354" s="6" t="s">
        <v>52</v>
      </c>
      <c r="E354" s="6" t="s">
        <v>21</v>
      </c>
      <c r="F354" s="6" t="s">
        <v>29</v>
      </c>
      <c r="G354" s="6">
        <v>15</v>
      </c>
      <c r="H354" s="7">
        <v>948.05</v>
      </c>
      <c r="I354" s="7">
        <v>14220.75</v>
      </c>
      <c r="J354" s="8">
        <v>45373</v>
      </c>
      <c r="K354" s="6">
        <v>69</v>
      </c>
      <c r="L354" s="6" t="s">
        <v>41</v>
      </c>
      <c r="M354" s="6" t="b">
        <v>0</v>
      </c>
      <c r="N354" s="6">
        <v>29.23</v>
      </c>
      <c r="O354" s="6" t="s">
        <v>24</v>
      </c>
      <c r="P354" s="6" t="b">
        <v>0</v>
      </c>
      <c r="Q354" s="9" t="s">
        <v>36</v>
      </c>
    </row>
    <row r="355" spans="1:17" x14ac:dyDescent="0.25">
      <c r="A355" s="5" t="s">
        <v>405</v>
      </c>
      <c r="B355" s="6" t="s">
        <v>76</v>
      </c>
      <c r="C355" s="6" t="s">
        <v>19</v>
      </c>
      <c r="D355" s="6" t="s">
        <v>52</v>
      </c>
      <c r="E355" s="6" t="s">
        <v>44</v>
      </c>
      <c r="F355" s="6" t="s">
        <v>29</v>
      </c>
      <c r="G355" s="6">
        <v>4</v>
      </c>
      <c r="H355" s="7">
        <v>993.76</v>
      </c>
      <c r="I355" s="7">
        <v>3975.04</v>
      </c>
      <c r="J355" s="8">
        <v>45423</v>
      </c>
      <c r="K355" s="6">
        <v>21</v>
      </c>
      <c r="L355" s="6" t="s">
        <v>49</v>
      </c>
      <c r="M355" s="6" t="b">
        <v>0</v>
      </c>
      <c r="N355" s="6">
        <v>10.33</v>
      </c>
      <c r="O355" s="6" t="s">
        <v>56</v>
      </c>
      <c r="P355" s="6" t="b">
        <v>0</v>
      </c>
      <c r="Q355" s="9" t="s">
        <v>36</v>
      </c>
    </row>
    <row r="356" spans="1:17" x14ac:dyDescent="0.25">
      <c r="A356" s="5" t="s">
        <v>406</v>
      </c>
      <c r="B356" s="6" t="s">
        <v>46</v>
      </c>
      <c r="C356" s="6" t="s">
        <v>19</v>
      </c>
      <c r="D356" s="6" t="s">
        <v>52</v>
      </c>
      <c r="E356" s="6" t="s">
        <v>21</v>
      </c>
      <c r="F356" s="6" t="s">
        <v>22</v>
      </c>
      <c r="G356" s="6">
        <v>60</v>
      </c>
      <c r="H356" s="7">
        <v>338.39</v>
      </c>
      <c r="I356" s="7">
        <v>20303.400000000001</v>
      </c>
      <c r="J356" s="8">
        <v>45487</v>
      </c>
      <c r="K356" s="6">
        <v>28</v>
      </c>
      <c r="L356" s="6" t="s">
        <v>23</v>
      </c>
      <c r="M356" s="6" t="b">
        <v>0</v>
      </c>
      <c r="N356" s="6">
        <v>19.45</v>
      </c>
      <c r="O356" s="6" t="s">
        <v>30</v>
      </c>
      <c r="P356" s="6" t="b">
        <v>0</v>
      </c>
      <c r="Q356" s="9" t="s">
        <v>36</v>
      </c>
    </row>
    <row r="357" spans="1:17" x14ac:dyDescent="0.25">
      <c r="A357" s="5" t="s">
        <v>407</v>
      </c>
      <c r="B357" s="6" t="s">
        <v>62</v>
      </c>
      <c r="C357" s="6" t="s">
        <v>33</v>
      </c>
      <c r="D357" s="6" t="s">
        <v>34</v>
      </c>
      <c r="E357" s="6" t="s">
        <v>35</v>
      </c>
      <c r="F357" s="6" t="s">
        <v>22</v>
      </c>
      <c r="G357" s="6">
        <v>61</v>
      </c>
      <c r="H357" s="7">
        <v>398.45</v>
      </c>
      <c r="I357" s="7">
        <v>24305.45</v>
      </c>
      <c r="J357" s="8">
        <v>45410</v>
      </c>
      <c r="K357" s="6">
        <v>35</v>
      </c>
      <c r="L357" s="6" t="s">
        <v>23</v>
      </c>
      <c r="M357" s="6" t="b">
        <v>1</v>
      </c>
      <c r="N357" s="6">
        <v>11.78</v>
      </c>
      <c r="O357" s="6" t="s">
        <v>42</v>
      </c>
      <c r="P357" s="6" t="b">
        <v>0</v>
      </c>
      <c r="Q357" s="9" t="s">
        <v>25</v>
      </c>
    </row>
    <row r="358" spans="1:17" x14ac:dyDescent="0.25">
      <c r="A358" s="5" t="s">
        <v>408</v>
      </c>
      <c r="B358" s="6" t="s">
        <v>46</v>
      </c>
      <c r="C358" s="6" t="s">
        <v>33</v>
      </c>
      <c r="D358" s="6" t="s">
        <v>52</v>
      </c>
      <c r="E358" s="6" t="s">
        <v>44</v>
      </c>
      <c r="F358" s="6" t="s">
        <v>40</v>
      </c>
      <c r="G358" s="6">
        <v>20</v>
      </c>
      <c r="H358" s="7">
        <v>1006.06</v>
      </c>
      <c r="I358" s="7">
        <v>20121.2</v>
      </c>
      <c r="J358" s="8">
        <v>45042</v>
      </c>
      <c r="K358" s="6">
        <v>59</v>
      </c>
      <c r="L358" s="6" t="s">
        <v>49</v>
      </c>
      <c r="M358" s="6" t="b">
        <v>0</v>
      </c>
      <c r="N358" s="6">
        <v>26.83</v>
      </c>
      <c r="O358" s="6" t="s">
        <v>30</v>
      </c>
      <c r="P358" s="6" t="b">
        <v>0</v>
      </c>
      <c r="Q358" s="9" t="s">
        <v>36</v>
      </c>
    </row>
    <row r="359" spans="1:17" x14ac:dyDescent="0.25">
      <c r="A359" s="5" t="s">
        <v>409</v>
      </c>
      <c r="B359" s="6" t="s">
        <v>46</v>
      </c>
      <c r="C359" s="6" t="s">
        <v>39</v>
      </c>
      <c r="D359" s="6" t="s">
        <v>20</v>
      </c>
      <c r="E359" s="6" t="s">
        <v>28</v>
      </c>
      <c r="F359" s="6" t="s">
        <v>40</v>
      </c>
      <c r="G359" s="6">
        <v>10</v>
      </c>
      <c r="H359" s="7">
        <v>1369.1</v>
      </c>
      <c r="I359" s="7">
        <v>13691</v>
      </c>
      <c r="J359" s="8">
        <v>45461</v>
      </c>
      <c r="K359" s="6">
        <v>66</v>
      </c>
      <c r="L359" s="6" t="s">
        <v>23</v>
      </c>
      <c r="M359" s="6" t="b">
        <v>1</v>
      </c>
      <c r="N359" s="6">
        <v>25.4</v>
      </c>
      <c r="O359" s="6" t="s">
        <v>56</v>
      </c>
      <c r="P359" s="6" t="b">
        <v>0</v>
      </c>
      <c r="Q359" s="9" t="s">
        <v>25</v>
      </c>
    </row>
    <row r="360" spans="1:17" x14ac:dyDescent="0.25">
      <c r="A360" s="5" t="s">
        <v>410</v>
      </c>
      <c r="B360" s="6" t="s">
        <v>62</v>
      </c>
      <c r="C360" s="6" t="s">
        <v>19</v>
      </c>
      <c r="D360" s="6" t="s">
        <v>52</v>
      </c>
      <c r="E360" s="6" t="s">
        <v>21</v>
      </c>
      <c r="F360" s="6" t="s">
        <v>29</v>
      </c>
      <c r="G360" s="6">
        <v>87</v>
      </c>
      <c r="H360" s="7">
        <v>1474.47</v>
      </c>
      <c r="I360" s="7">
        <v>128278.89</v>
      </c>
      <c r="J360" s="8">
        <v>45024</v>
      </c>
      <c r="K360" s="6">
        <v>47</v>
      </c>
      <c r="L360" s="6" t="s">
        <v>23</v>
      </c>
      <c r="M360" s="6" t="b">
        <v>1</v>
      </c>
      <c r="N360" s="6">
        <v>7.25</v>
      </c>
      <c r="O360" s="6" t="s">
        <v>42</v>
      </c>
      <c r="P360" s="6" t="b">
        <v>1</v>
      </c>
      <c r="Q360" s="9" t="s">
        <v>25</v>
      </c>
    </row>
    <row r="361" spans="1:17" x14ac:dyDescent="0.25">
      <c r="A361" s="5" t="s">
        <v>411</v>
      </c>
      <c r="B361" s="6" t="s">
        <v>72</v>
      </c>
      <c r="C361" s="6" t="s">
        <v>39</v>
      </c>
      <c r="D361" s="6" t="s">
        <v>64</v>
      </c>
      <c r="E361" s="6" t="s">
        <v>21</v>
      </c>
      <c r="F361" s="6" t="s">
        <v>40</v>
      </c>
      <c r="G361" s="6">
        <v>34</v>
      </c>
      <c r="H361" s="7">
        <v>337.14</v>
      </c>
      <c r="I361" s="7">
        <v>11462.76</v>
      </c>
      <c r="J361" s="8">
        <v>45254</v>
      </c>
      <c r="K361" s="6">
        <v>32</v>
      </c>
      <c r="L361" s="6" t="s">
        <v>49</v>
      </c>
      <c r="M361" s="6" t="b">
        <v>0</v>
      </c>
      <c r="N361" s="6">
        <v>20.75</v>
      </c>
      <c r="O361" s="6" t="s">
        <v>24</v>
      </c>
      <c r="P361" s="6" t="b">
        <v>0</v>
      </c>
      <c r="Q361" s="9" t="s">
        <v>36</v>
      </c>
    </row>
    <row r="362" spans="1:17" x14ac:dyDescent="0.25">
      <c r="A362" s="5" t="s">
        <v>412</v>
      </c>
      <c r="B362" s="6" t="s">
        <v>27</v>
      </c>
      <c r="C362" s="6" t="s">
        <v>19</v>
      </c>
      <c r="D362" s="6" t="s">
        <v>52</v>
      </c>
      <c r="E362" s="6" t="s">
        <v>35</v>
      </c>
      <c r="F362" s="6" t="s">
        <v>48</v>
      </c>
      <c r="G362" s="6">
        <v>48</v>
      </c>
      <c r="H362" s="7">
        <v>244.47</v>
      </c>
      <c r="I362" s="7">
        <v>11734.56</v>
      </c>
      <c r="J362" s="8">
        <v>45333</v>
      </c>
      <c r="K362" s="6">
        <v>23</v>
      </c>
      <c r="L362" s="6" t="s">
        <v>49</v>
      </c>
      <c r="M362" s="6" t="b">
        <v>0</v>
      </c>
      <c r="N362" s="6">
        <v>1.96</v>
      </c>
      <c r="O362" s="6" t="s">
        <v>24</v>
      </c>
      <c r="P362" s="6" t="b">
        <v>1</v>
      </c>
      <c r="Q362" s="9" t="s">
        <v>25</v>
      </c>
    </row>
    <row r="363" spans="1:17" x14ac:dyDescent="0.25">
      <c r="A363" s="5" t="s">
        <v>413</v>
      </c>
      <c r="B363" s="6" t="s">
        <v>46</v>
      </c>
      <c r="C363" s="6" t="s">
        <v>39</v>
      </c>
      <c r="D363" s="6" t="s">
        <v>34</v>
      </c>
      <c r="E363" s="6" t="s">
        <v>35</v>
      </c>
      <c r="F363" s="6" t="s">
        <v>29</v>
      </c>
      <c r="G363" s="6">
        <v>33</v>
      </c>
      <c r="H363" s="7">
        <v>131.78</v>
      </c>
      <c r="I363" s="7">
        <v>4348.74</v>
      </c>
      <c r="J363" s="8">
        <v>45239</v>
      </c>
      <c r="K363" s="6">
        <v>33</v>
      </c>
      <c r="L363" s="6" t="s">
        <v>49</v>
      </c>
      <c r="M363" s="6" t="b">
        <v>1</v>
      </c>
      <c r="N363" s="6">
        <v>28.9</v>
      </c>
      <c r="O363" s="6" t="s">
        <v>30</v>
      </c>
      <c r="P363" s="6" t="b">
        <v>0</v>
      </c>
      <c r="Q363" s="9" t="s">
        <v>36</v>
      </c>
    </row>
    <row r="364" spans="1:17" x14ac:dyDescent="0.25">
      <c r="A364" s="5" t="s">
        <v>414</v>
      </c>
      <c r="B364" s="6" t="s">
        <v>62</v>
      </c>
      <c r="C364" s="6" t="s">
        <v>33</v>
      </c>
      <c r="D364" s="6" t="s">
        <v>64</v>
      </c>
      <c r="E364" s="6" t="s">
        <v>21</v>
      </c>
      <c r="F364" s="6" t="s">
        <v>29</v>
      </c>
      <c r="G364" s="6">
        <v>98</v>
      </c>
      <c r="H364" s="7">
        <v>1309.03</v>
      </c>
      <c r="I364" s="7">
        <v>128284.94</v>
      </c>
      <c r="J364" s="8">
        <v>45074</v>
      </c>
      <c r="K364" s="6">
        <v>64</v>
      </c>
      <c r="L364" s="6" t="s">
        <v>23</v>
      </c>
      <c r="M364" s="6" t="b">
        <v>1</v>
      </c>
      <c r="N364" s="6">
        <v>10.47</v>
      </c>
      <c r="O364" s="6" t="s">
        <v>24</v>
      </c>
      <c r="P364" s="6" t="b">
        <v>1</v>
      </c>
      <c r="Q364" s="9" t="s">
        <v>36</v>
      </c>
    </row>
    <row r="365" spans="1:17" x14ac:dyDescent="0.25">
      <c r="A365" s="5" t="s">
        <v>415</v>
      </c>
      <c r="B365" s="6" t="s">
        <v>62</v>
      </c>
      <c r="C365" s="6" t="s">
        <v>19</v>
      </c>
      <c r="D365" s="6" t="s">
        <v>20</v>
      </c>
      <c r="E365" s="6" t="s">
        <v>35</v>
      </c>
      <c r="F365" s="6" t="s">
        <v>48</v>
      </c>
      <c r="G365" s="6">
        <v>61</v>
      </c>
      <c r="H365" s="7">
        <v>477.34</v>
      </c>
      <c r="I365" s="7">
        <v>29117.74</v>
      </c>
      <c r="J365" s="8">
        <v>45268</v>
      </c>
      <c r="K365" s="6">
        <v>57</v>
      </c>
      <c r="L365" s="6" t="s">
        <v>49</v>
      </c>
      <c r="M365" s="6" t="b">
        <v>1</v>
      </c>
      <c r="N365" s="6">
        <v>24.96</v>
      </c>
      <c r="O365" s="6" t="s">
        <v>30</v>
      </c>
      <c r="P365" s="6" t="b">
        <v>0</v>
      </c>
      <c r="Q365" s="9" t="s">
        <v>25</v>
      </c>
    </row>
    <row r="366" spans="1:17" x14ac:dyDescent="0.25">
      <c r="A366" s="5" t="s">
        <v>416</v>
      </c>
      <c r="B366" s="6" t="s">
        <v>38</v>
      </c>
      <c r="C366" s="6" t="s">
        <v>39</v>
      </c>
      <c r="D366" s="6" t="s">
        <v>20</v>
      </c>
      <c r="E366" s="6" t="s">
        <v>28</v>
      </c>
      <c r="F366" s="6" t="s">
        <v>22</v>
      </c>
      <c r="G366" s="6">
        <v>10</v>
      </c>
      <c r="H366" s="7">
        <v>52.63</v>
      </c>
      <c r="I366" s="7">
        <v>526.29999999999995</v>
      </c>
      <c r="J366" s="8">
        <v>45421</v>
      </c>
      <c r="K366" s="6">
        <v>26</v>
      </c>
      <c r="L366" s="6" t="s">
        <v>23</v>
      </c>
      <c r="M366" s="6" t="b">
        <v>0</v>
      </c>
      <c r="N366" s="6">
        <v>9.5500000000000007</v>
      </c>
      <c r="O366" s="6" t="s">
        <v>30</v>
      </c>
      <c r="P366" s="6" t="b">
        <v>1</v>
      </c>
      <c r="Q366" s="9" t="s">
        <v>25</v>
      </c>
    </row>
    <row r="367" spans="1:17" x14ac:dyDescent="0.25">
      <c r="A367" s="5" t="s">
        <v>417</v>
      </c>
      <c r="B367" s="6" t="s">
        <v>72</v>
      </c>
      <c r="C367" s="6" t="s">
        <v>33</v>
      </c>
      <c r="D367" s="6" t="s">
        <v>47</v>
      </c>
      <c r="E367" s="6" t="s">
        <v>35</v>
      </c>
      <c r="F367" s="6" t="s">
        <v>22</v>
      </c>
      <c r="G367" s="6">
        <v>54</v>
      </c>
      <c r="H367" s="7">
        <v>374.54</v>
      </c>
      <c r="I367" s="7">
        <v>20225.16</v>
      </c>
      <c r="J367" s="8">
        <v>44949</v>
      </c>
      <c r="K367" s="6">
        <v>60</v>
      </c>
      <c r="L367" s="6" t="s">
        <v>41</v>
      </c>
      <c r="M367" s="6" t="b">
        <v>0</v>
      </c>
      <c r="N367" s="6">
        <v>18.98</v>
      </c>
      <c r="O367" s="6" t="s">
        <v>30</v>
      </c>
      <c r="P367" s="6" t="b">
        <v>1</v>
      </c>
      <c r="Q367" s="9" t="s">
        <v>25</v>
      </c>
    </row>
    <row r="368" spans="1:17" x14ac:dyDescent="0.25">
      <c r="A368" s="5" t="s">
        <v>418</v>
      </c>
      <c r="B368" s="6" t="s">
        <v>32</v>
      </c>
      <c r="C368" s="6" t="s">
        <v>33</v>
      </c>
      <c r="D368" s="6" t="s">
        <v>64</v>
      </c>
      <c r="E368" s="6" t="s">
        <v>35</v>
      </c>
      <c r="F368" s="6" t="s">
        <v>48</v>
      </c>
      <c r="G368" s="6">
        <v>84</v>
      </c>
      <c r="H368" s="7">
        <v>543.64</v>
      </c>
      <c r="I368" s="7">
        <v>45665.760000000002</v>
      </c>
      <c r="J368" s="8">
        <v>45031</v>
      </c>
      <c r="K368" s="6">
        <v>51</v>
      </c>
      <c r="L368" s="6" t="s">
        <v>41</v>
      </c>
      <c r="M368" s="6" t="b">
        <v>1</v>
      </c>
      <c r="N368" s="6">
        <v>29.51</v>
      </c>
      <c r="O368" s="6" t="s">
        <v>30</v>
      </c>
      <c r="P368" s="6" t="b">
        <v>0</v>
      </c>
      <c r="Q368" s="9" t="s">
        <v>25</v>
      </c>
    </row>
    <row r="369" spans="1:17" x14ac:dyDescent="0.25">
      <c r="A369" s="5" t="s">
        <v>419</v>
      </c>
      <c r="B369" s="6" t="s">
        <v>38</v>
      </c>
      <c r="C369" s="6" t="s">
        <v>39</v>
      </c>
      <c r="D369" s="6" t="s">
        <v>47</v>
      </c>
      <c r="E369" s="6" t="s">
        <v>21</v>
      </c>
      <c r="F369" s="6" t="s">
        <v>48</v>
      </c>
      <c r="G369" s="6">
        <v>65</v>
      </c>
      <c r="H369" s="7">
        <v>1486.93</v>
      </c>
      <c r="I369" s="7">
        <v>96650.45</v>
      </c>
      <c r="J369" s="8">
        <v>45505</v>
      </c>
      <c r="K369" s="6">
        <v>44</v>
      </c>
      <c r="L369" s="6" t="s">
        <v>49</v>
      </c>
      <c r="M369" s="6" t="b">
        <v>1</v>
      </c>
      <c r="N369" s="6">
        <v>26.3</v>
      </c>
      <c r="O369" s="6" t="s">
        <v>56</v>
      </c>
      <c r="P369" s="6" t="b">
        <v>0</v>
      </c>
      <c r="Q369" s="9" t="s">
        <v>36</v>
      </c>
    </row>
    <row r="370" spans="1:17" x14ac:dyDescent="0.25">
      <c r="A370" s="5" t="s">
        <v>420</v>
      </c>
      <c r="B370" s="6" t="s">
        <v>38</v>
      </c>
      <c r="C370" s="6" t="s">
        <v>19</v>
      </c>
      <c r="D370" s="6" t="s">
        <v>64</v>
      </c>
      <c r="E370" s="6" t="s">
        <v>21</v>
      </c>
      <c r="F370" s="6" t="s">
        <v>40</v>
      </c>
      <c r="G370" s="6">
        <v>77</v>
      </c>
      <c r="H370" s="7">
        <v>809.14</v>
      </c>
      <c r="I370" s="7">
        <v>62303.78</v>
      </c>
      <c r="J370" s="8">
        <v>45484</v>
      </c>
      <c r="K370" s="6">
        <v>30</v>
      </c>
      <c r="L370" s="6" t="s">
        <v>23</v>
      </c>
      <c r="M370" s="6" t="b">
        <v>1</v>
      </c>
      <c r="N370" s="6">
        <v>4.8099999999999996</v>
      </c>
      <c r="O370" s="6" t="s">
        <v>56</v>
      </c>
      <c r="P370" s="6" t="b">
        <v>0</v>
      </c>
      <c r="Q370" s="9" t="s">
        <v>25</v>
      </c>
    </row>
    <row r="371" spans="1:17" x14ac:dyDescent="0.25">
      <c r="A371" s="5" t="s">
        <v>421</v>
      </c>
      <c r="B371" s="6" t="s">
        <v>18</v>
      </c>
      <c r="C371" s="6" t="s">
        <v>19</v>
      </c>
      <c r="D371" s="6" t="s">
        <v>64</v>
      </c>
      <c r="E371" s="6" t="s">
        <v>44</v>
      </c>
      <c r="F371" s="6" t="s">
        <v>29</v>
      </c>
      <c r="G371" s="6">
        <v>1</v>
      </c>
      <c r="H371" s="7">
        <v>346.84</v>
      </c>
      <c r="I371" s="7">
        <v>346.84</v>
      </c>
      <c r="J371" s="8">
        <v>45519</v>
      </c>
      <c r="K371" s="6">
        <v>53</v>
      </c>
      <c r="L371" s="6" t="s">
        <v>23</v>
      </c>
      <c r="M371" s="6" t="b">
        <v>0</v>
      </c>
      <c r="N371" s="6">
        <v>16.420000000000002</v>
      </c>
      <c r="O371" s="6" t="s">
        <v>42</v>
      </c>
      <c r="P371" s="6" t="b">
        <v>0</v>
      </c>
      <c r="Q371" s="9" t="s">
        <v>25</v>
      </c>
    </row>
    <row r="372" spans="1:17" x14ac:dyDescent="0.25">
      <c r="A372" s="5" t="s">
        <v>422</v>
      </c>
      <c r="B372" s="6" t="s">
        <v>27</v>
      </c>
      <c r="C372" s="6" t="s">
        <v>33</v>
      </c>
      <c r="D372" s="6" t="s">
        <v>34</v>
      </c>
      <c r="E372" s="6" t="s">
        <v>44</v>
      </c>
      <c r="F372" s="6" t="s">
        <v>40</v>
      </c>
      <c r="G372" s="6">
        <v>5</v>
      </c>
      <c r="H372" s="7">
        <v>535.49</v>
      </c>
      <c r="I372" s="7">
        <v>2677.45</v>
      </c>
      <c r="J372" s="8">
        <v>45585</v>
      </c>
      <c r="K372" s="6">
        <v>44</v>
      </c>
      <c r="L372" s="6" t="s">
        <v>23</v>
      </c>
      <c r="M372" s="6" t="b">
        <v>1</v>
      </c>
      <c r="N372" s="6">
        <v>10.46</v>
      </c>
      <c r="O372" s="6" t="s">
        <v>42</v>
      </c>
      <c r="P372" s="6" t="b">
        <v>1</v>
      </c>
      <c r="Q372" s="9" t="s">
        <v>25</v>
      </c>
    </row>
    <row r="373" spans="1:17" x14ac:dyDescent="0.25">
      <c r="A373" s="5" t="s">
        <v>423</v>
      </c>
      <c r="B373" s="6" t="s">
        <v>62</v>
      </c>
      <c r="C373" s="6" t="s">
        <v>19</v>
      </c>
      <c r="D373" s="6" t="s">
        <v>47</v>
      </c>
      <c r="E373" s="6" t="s">
        <v>21</v>
      </c>
      <c r="F373" s="6" t="s">
        <v>48</v>
      </c>
      <c r="G373" s="6">
        <v>80</v>
      </c>
      <c r="H373" s="7">
        <v>528.95000000000005</v>
      </c>
      <c r="I373" s="7">
        <v>42316</v>
      </c>
      <c r="J373" s="8">
        <v>45148</v>
      </c>
      <c r="K373" s="6">
        <v>26</v>
      </c>
      <c r="L373" s="6" t="s">
        <v>49</v>
      </c>
      <c r="M373" s="6" t="b">
        <v>1</v>
      </c>
      <c r="N373" s="6">
        <v>13.03</v>
      </c>
      <c r="O373" s="6" t="s">
        <v>24</v>
      </c>
      <c r="P373" s="6" t="b">
        <v>1</v>
      </c>
      <c r="Q373" s="9" t="s">
        <v>25</v>
      </c>
    </row>
    <row r="374" spans="1:17" x14ac:dyDescent="0.25">
      <c r="A374" s="5" t="s">
        <v>424</v>
      </c>
      <c r="B374" s="6" t="s">
        <v>27</v>
      </c>
      <c r="C374" s="6" t="s">
        <v>19</v>
      </c>
      <c r="D374" s="6" t="s">
        <v>34</v>
      </c>
      <c r="E374" s="6" t="s">
        <v>35</v>
      </c>
      <c r="F374" s="6" t="s">
        <v>40</v>
      </c>
      <c r="G374" s="6">
        <v>15</v>
      </c>
      <c r="H374" s="7">
        <v>78.599999999999994</v>
      </c>
      <c r="I374" s="7">
        <v>1179</v>
      </c>
      <c r="J374" s="8">
        <v>44941</v>
      </c>
      <c r="K374" s="6">
        <v>22</v>
      </c>
      <c r="L374" s="6" t="s">
        <v>23</v>
      </c>
      <c r="M374" s="6" t="b">
        <v>1</v>
      </c>
      <c r="N374" s="6">
        <v>10.06</v>
      </c>
      <c r="O374" s="6" t="s">
        <v>56</v>
      </c>
      <c r="P374" s="6" t="b">
        <v>0</v>
      </c>
      <c r="Q374" s="9" t="s">
        <v>36</v>
      </c>
    </row>
    <row r="375" spans="1:17" x14ac:dyDescent="0.25">
      <c r="A375" s="5" t="s">
        <v>425</v>
      </c>
      <c r="B375" s="6" t="s">
        <v>51</v>
      </c>
      <c r="C375" s="6" t="s">
        <v>19</v>
      </c>
      <c r="D375" s="6" t="s">
        <v>64</v>
      </c>
      <c r="E375" s="6" t="s">
        <v>35</v>
      </c>
      <c r="F375" s="6" t="s">
        <v>48</v>
      </c>
      <c r="G375" s="6">
        <v>28</v>
      </c>
      <c r="H375" s="7">
        <v>246.02</v>
      </c>
      <c r="I375" s="7">
        <v>6888.56</v>
      </c>
      <c r="J375" s="8">
        <v>45559</v>
      </c>
      <c r="K375" s="6">
        <v>68</v>
      </c>
      <c r="L375" s="6" t="s">
        <v>23</v>
      </c>
      <c r="M375" s="6" t="b">
        <v>1</v>
      </c>
      <c r="N375" s="6">
        <v>10.08</v>
      </c>
      <c r="O375" s="6" t="s">
        <v>42</v>
      </c>
      <c r="P375" s="6" t="b">
        <v>0</v>
      </c>
      <c r="Q375" s="9" t="s">
        <v>36</v>
      </c>
    </row>
    <row r="376" spans="1:17" x14ac:dyDescent="0.25">
      <c r="A376" s="5" t="s">
        <v>426</v>
      </c>
      <c r="B376" s="6" t="s">
        <v>18</v>
      </c>
      <c r="C376" s="6" t="s">
        <v>33</v>
      </c>
      <c r="D376" s="6" t="s">
        <v>20</v>
      </c>
      <c r="E376" s="6" t="s">
        <v>44</v>
      </c>
      <c r="F376" s="6" t="s">
        <v>40</v>
      </c>
      <c r="G376" s="6">
        <v>95</v>
      </c>
      <c r="H376" s="7">
        <v>1058.03</v>
      </c>
      <c r="I376" s="7">
        <v>100512.85</v>
      </c>
      <c r="J376" s="8">
        <v>45004</v>
      </c>
      <c r="K376" s="6">
        <v>39</v>
      </c>
      <c r="L376" s="6" t="s">
        <v>23</v>
      </c>
      <c r="M376" s="6" t="b">
        <v>0</v>
      </c>
      <c r="N376" s="6">
        <v>16.28</v>
      </c>
      <c r="O376" s="6" t="s">
        <v>56</v>
      </c>
      <c r="P376" s="6" t="b">
        <v>1</v>
      </c>
      <c r="Q376" s="9" t="s">
        <v>25</v>
      </c>
    </row>
    <row r="377" spans="1:17" x14ac:dyDescent="0.25">
      <c r="A377" s="5" t="s">
        <v>427</v>
      </c>
      <c r="B377" s="6" t="s">
        <v>32</v>
      </c>
      <c r="C377" s="6" t="s">
        <v>39</v>
      </c>
      <c r="D377" s="6" t="s">
        <v>64</v>
      </c>
      <c r="E377" s="6" t="s">
        <v>44</v>
      </c>
      <c r="F377" s="6" t="s">
        <v>40</v>
      </c>
      <c r="G377" s="6">
        <v>23</v>
      </c>
      <c r="H377" s="7">
        <v>224.36</v>
      </c>
      <c r="I377" s="7">
        <v>5160.28</v>
      </c>
      <c r="J377" s="8">
        <v>45248</v>
      </c>
      <c r="K377" s="6">
        <v>48</v>
      </c>
      <c r="L377" s="6" t="s">
        <v>41</v>
      </c>
      <c r="M377" s="6" t="b">
        <v>1</v>
      </c>
      <c r="N377" s="6">
        <v>5.76</v>
      </c>
      <c r="O377" s="6" t="s">
        <v>56</v>
      </c>
      <c r="P377" s="6" t="b">
        <v>0</v>
      </c>
      <c r="Q377" s="9" t="s">
        <v>25</v>
      </c>
    </row>
    <row r="378" spans="1:17" x14ac:dyDescent="0.25">
      <c r="A378" s="5" t="s">
        <v>428</v>
      </c>
      <c r="B378" s="6" t="s">
        <v>27</v>
      </c>
      <c r="C378" s="6" t="s">
        <v>19</v>
      </c>
      <c r="D378" s="6" t="s">
        <v>34</v>
      </c>
      <c r="E378" s="6" t="s">
        <v>44</v>
      </c>
      <c r="F378" s="6" t="s">
        <v>22</v>
      </c>
      <c r="G378" s="6">
        <v>17</v>
      </c>
      <c r="H378" s="7">
        <v>384.56</v>
      </c>
      <c r="I378" s="7">
        <v>6537.52</v>
      </c>
      <c r="J378" s="8">
        <v>45167</v>
      </c>
      <c r="K378" s="6">
        <v>20</v>
      </c>
      <c r="L378" s="6" t="s">
        <v>23</v>
      </c>
      <c r="M378" s="6" t="b">
        <v>0</v>
      </c>
      <c r="N378" s="6">
        <v>16.12</v>
      </c>
      <c r="O378" s="6" t="s">
        <v>24</v>
      </c>
      <c r="P378" s="6" t="b">
        <v>1</v>
      </c>
      <c r="Q378" s="9" t="s">
        <v>36</v>
      </c>
    </row>
    <row r="379" spans="1:17" x14ac:dyDescent="0.25">
      <c r="A379" s="5" t="s">
        <v>429</v>
      </c>
      <c r="B379" s="6" t="s">
        <v>66</v>
      </c>
      <c r="C379" s="6" t="s">
        <v>33</v>
      </c>
      <c r="D379" s="6" t="s">
        <v>47</v>
      </c>
      <c r="E379" s="6" t="s">
        <v>28</v>
      </c>
      <c r="F379" s="6" t="s">
        <v>48</v>
      </c>
      <c r="G379" s="6">
        <v>98</v>
      </c>
      <c r="H379" s="7">
        <v>558.57000000000005</v>
      </c>
      <c r="I379" s="7">
        <v>54739.86</v>
      </c>
      <c r="J379" s="8">
        <v>44944</v>
      </c>
      <c r="K379" s="6">
        <v>47</v>
      </c>
      <c r="L379" s="6" t="s">
        <v>41</v>
      </c>
      <c r="M379" s="6" t="b">
        <v>0</v>
      </c>
      <c r="N379" s="6">
        <v>8.3699999999999992</v>
      </c>
      <c r="O379" s="6" t="s">
        <v>24</v>
      </c>
      <c r="P379" s="6" t="b">
        <v>0</v>
      </c>
      <c r="Q379" s="9" t="s">
        <v>36</v>
      </c>
    </row>
    <row r="380" spans="1:17" x14ac:dyDescent="0.25">
      <c r="A380" s="5" t="s">
        <v>430</v>
      </c>
      <c r="B380" s="6" t="s">
        <v>46</v>
      </c>
      <c r="C380" s="6" t="s">
        <v>33</v>
      </c>
      <c r="D380" s="6" t="s">
        <v>47</v>
      </c>
      <c r="E380" s="6" t="s">
        <v>28</v>
      </c>
      <c r="F380" s="6" t="s">
        <v>40</v>
      </c>
      <c r="G380" s="6">
        <v>13</v>
      </c>
      <c r="H380" s="7">
        <v>1148.72</v>
      </c>
      <c r="I380" s="7">
        <v>14933.36</v>
      </c>
      <c r="J380" s="8">
        <v>45380</v>
      </c>
      <c r="K380" s="6">
        <v>38</v>
      </c>
      <c r="L380" s="6" t="s">
        <v>23</v>
      </c>
      <c r="M380" s="6" t="b">
        <v>1</v>
      </c>
      <c r="N380" s="6">
        <v>8.67</v>
      </c>
      <c r="O380" s="6" t="s">
        <v>30</v>
      </c>
      <c r="P380" s="6" t="b">
        <v>0</v>
      </c>
      <c r="Q380" s="9" t="s">
        <v>36</v>
      </c>
    </row>
    <row r="381" spans="1:17" x14ac:dyDescent="0.25">
      <c r="A381" s="5" t="s">
        <v>431</v>
      </c>
      <c r="B381" s="6" t="s">
        <v>51</v>
      </c>
      <c r="C381" s="6" t="s">
        <v>39</v>
      </c>
      <c r="D381" s="6" t="s">
        <v>34</v>
      </c>
      <c r="E381" s="6" t="s">
        <v>44</v>
      </c>
      <c r="F381" s="6" t="s">
        <v>29</v>
      </c>
      <c r="G381" s="6">
        <v>14</v>
      </c>
      <c r="H381" s="7">
        <v>894.48</v>
      </c>
      <c r="I381" s="7">
        <v>12522.72</v>
      </c>
      <c r="J381" s="8">
        <v>45369</v>
      </c>
      <c r="K381" s="6">
        <v>52</v>
      </c>
      <c r="L381" s="6" t="s">
        <v>23</v>
      </c>
      <c r="M381" s="6" t="b">
        <v>0</v>
      </c>
      <c r="N381" s="6">
        <v>22.16</v>
      </c>
      <c r="O381" s="6" t="s">
        <v>56</v>
      </c>
      <c r="P381" s="6" t="b">
        <v>1</v>
      </c>
      <c r="Q381" s="9" t="s">
        <v>36</v>
      </c>
    </row>
    <row r="382" spans="1:17" x14ac:dyDescent="0.25">
      <c r="A382" s="5" t="s">
        <v>432</v>
      </c>
      <c r="B382" s="6" t="s">
        <v>72</v>
      </c>
      <c r="C382" s="6" t="s">
        <v>19</v>
      </c>
      <c r="D382" s="6" t="s">
        <v>47</v>
      </c>
      <c r="E382" s="6" t="s">
        <v>35</v>
      </c>
      <c r="F382" s="6" t="s">
        <v>40</v>
      </c>
      <c r="G382" s="6">
        <v>11</v>
      </c>
      <c r="H382" s="7">
        <v>1049.05</v>
      </c>
      <c r="I382" s="7">
        <v>11539.55</v>
      </c>
      <c r="J382" s="8">
        <v>45203</v>
      </c>
      <c r="K382" s="6">
        <v>23</v>
      </c>
      <c r="L382" s="6" t="s">
        <v>23</v>
      </c>
      <c r="M382" s="6" t="b">
        <v>1</v>
      </c>
      <c r="N382" s="6">
        <v>0.89</v>
      </c>
      <c r="O382" s="6" t="s">
        <v>30</v>
      </c>
      <c r="P382" s="6" t="b">
        <v>1</v>
      </c>
      <c r="Q382" s="9" t="s">
        <v>25</v>
      </c>
    </row>
    <row r="383" spans="1:17" x14ac:dyDescent="0.25">
      <c r="A383" s="5" t="s">
        <v>433</v>
      </c>
      <c r="B383" s="6" t="s">
        <v>32</v>
      </c>
      <c r="C383" s="6" t="s">
        <v>19</v>
      </c>
      <c r="D383" s="6" t="s">
        <v>52</v>
      </c>
      <c r="E383" s="6" t="s">
        <v>44</v>
      </c>
      <c r="F383" s="6" t="s">
        <v>40</v>
      </c>
      <c r="G383" s="6">
        <v>28</v>
      </c>
      <c r="H383" s="7">
        <v>872.17</v>
      </c>
      <c r="I383" s="7">
        <v>24420.76</v>
      </c>
      <c r="J383" s="8">
        <v>45350</v>
      </c>
      <c r="K383" s="6">
        <v>45</v>
      </c>
      <c r="L383" s="6" t="s">
        <v>41</v>
      </c>
      <c r="M383" s="6" t="b">
        <v>1</v>
      </c>
      <c r="N383" s="6">
        <v>11.43</v>
      </c>
      <c r="O383" s="6" t="s">
        <v>30</v>
      </c>
      <c r="P383" s="6" t="b">
        <v>0</v>
      </c>
      <c r="Q383" s="9" t="s">
        <v>25</v>
      </c>
    </row>
    <row r="384" spans="1:17" x14ac:dyDescent="0.25">
      <c r="A384" s="5" t="s">
        <v>434</v>
      </c>
      <c r="B384" s="6" t="s">
        <v>51</v>
      </c>
      <c r="C384" s="6" t="s">
        <v>39</v>
      </c>
      <c r="D384" s="6" t="s">
        <v>20</v>
      </c>
      <c r="E384" s="6" t="s">
        <v>28</v>
      </c>
      <c r="F384" s="6" t="s">
        <v>29</v>
      </c>
      <c r="G384" s="6">
        <v>42</v>
      </c>
      <c r="H384" s="7">
        <v>1041.21</v>
      </c>
      <c r="I384" s="7">
        <v>43730.82</v>
      </c>
      <c r="J384" s="8">
        <v>45402</v>
      </c>
      <c r="K384" s="6">
        <v>49</v>
      </c>
      <c r="L384" s="6" t="s">
        <v>23</v>
      </c>
      <c r="M384" s="6" t="b">
        <v>1</v>
      </c>
      <c r="N384" s="6">
        <v>12.23</v>
      </c>
      <c r="O384" s="6" t="s">
        <v>30</v>
      </c>
      <c r="P384" s="6" t="b">
        <v>1</v>
      </c>
      <c r="Q384" s="9" t="s">
        <v>36</v>
      </c>
    </row>
    <row r="385" spans="1:17" x14ac:dyDescent="0.25">
      <c r="A385" s="5" t="s">
        <v>435</v>
      </c>
      <c r="B385" s="6" t="s">
        <v>46</v>
      </c>
      <c r="C385" s="6" t="s">
        <v>39</v>
      </c>
      <c r="D385" s="6" t="s">
        <v>20</v>
      </c>
      <c r="E385" s="6" t="s">
        <v>35</v>
      </c>
      <c r="F385" s="6" t="s">
        <v>48</v>
      </c>
      <c r="G385" s="6">
        <v>96</v>
      </c>
      <c r="H385" s="7">
        <v>54.12</v>
      </c>
      <c r="I385" s="7">
        <v>5195.5200000000004</v>
      </c>
      <c r="J385" s="8">
        <v>44953</v>
      </c>
      <c r="K385" s="6">
        <v>59</v>
      </c>
      <c r="L385" s="6" t="s">
        <v>49</v>
      </c>
      <c r="M385" s="6" t="b">
        <v>1</v>
      </c>
      <c r="N385" s="6">
        <v>14.55</v>
      </c>
      <c r="O385" s="6" t="s">
        <v>56</v>
      </c>
      <c r="P385" s="6" t="b">
        <v>0</v>
      </c>
      <c r="Q385" s="9" t="s">
        <v>36</v>
      </c>
    </row>
    <row r="386" spans="1:17" x14ac:dyDescent="0.25">
      <c r="A386" s="5" t="s">
        <v>436</v>
      </c>
      <c r="B386" s="6" t="s">
        <v>18</v>
      </c>
      <c r="C386" s="6" t="s">
        <v>33</v>
      </c>
      <c r="D386" s="6" t="s">
        <v>20</v>
      </c>
      <c r="E386" s="6" t="s">
        <v>28</v>
      </c>
      <c r="F386" s="6" t="s">
        <v>22</v>
      </c>
      <c r="G386" s="6">
        <v>99</v>
      </c>
      <c r="H386" s="7">
        <v>1399.8</v>
      </c>
      <c r="I386" s="7">
        <v>138580.20000000001</v>
      </c>
      <c r="J386" s="8">
        <v>45440</v>
      </c>
      <c r="K386" s="6">
        <v>54</v>
      </c>
      <c r="L386" s="6" t="s">
        <v>23</v>
      </c>
      <c r="M386" s="6" t="b">
        <v>1</v>
      </c>
      <c r="N386" s="6">
        <v>20.07</v>
      </c>
      <c r="O386" s="6" t="s">
        <v>56</v>
      </c>
      <c r="P386" s="6" t="b">
        <v>1</v>
      </c>
      <c r="Q386" s="9" t="s">
        <v>25</v>
      </c>
    </row>
    <row r="387" spans="1:17" x14ac:dyDescent="0.25">
      <c r="A387" s="5" t="s">
        <v>437</v>
      </c>
      <c r="B387" s="6" t="s">
        <v>46</v>
      </c>
      <c r="C387" s="6" t="s">
        <v>33</v>
      </c>
      <c r="D387" s="6" t="s">
        <v>47</v>
      </c>
      <c r="E387" s="6" t="s">
        <v>35</v>
      </c>
      <c r="F387" s="6" t="s">
        <v>22</v>
      </c>
      <c r="G387" s="6">
        <v>61</v>
      </c>
      <c r="H387" s="7">
        <v>210.83</v>
      </c>
      <c r="I387" s="7">
        <v>12860.63</v>
      </c>
      <c r="J387" s="8">
        <v>45390</v>
      </c>
      <c r="K387" s="6">
        <v>42</v>
      </c>
      <c r="L387" s="6" t="s">
        <v>41</v>
      </c>
      <c r="M387" s="6" t="b">
        <v>0</v>
      </c>
      <c r="N387" s="6">
        <v>11.09</v>
      </c>
      <c r="O387" s="6" t="s">
        <v>30</v>
      </c>
      <c r="P387" s="6" t="b">
        <v>0</v>
      </c>
      <c r="Q387" s="9" t="s">
        <v>25</v>
      </c>
    </row>
    <row r="388" spans="1:17" x14ac:dyDescent="0.25">
      <c r="A388" s="5" t="s">
        <v>438</v>
      </c>
      <c r="B388" s="6" t="s">
        <v>38</v>
      </c>
      <c r="C388" s="6" t="s">
        <v>39</v>
      </c>
      <c r="D388" s="6" t="s">
        <v>47</v>
      </c>
      <c r="E388" s="6" t="s">
        <v>28</v>
      </c>
      <c r="F388" s="6" t="s">
        <v>22</v>
      </c>
      <c r="G388" s="6">
        <v>64</v>
      </c>
      <c r="H388" s="7">
        <v>639.05999999999995</v>
      </c>
      <c r="I388" s="7">
        <v>40899.839999999997</v>
      </c>
      <c r="J388" s="8">
        <v>45289</v>
      </c>
      <c r="K388" s="6">
        <v>49</v>
      </c>
      <c r="L388" s="6" t="s">
        <v>41</v>
      </c>
      <c r="M388" s="6" t="b">
        <v>0</v>
      </c>
      <c r="N388" s="6">
        <v>6.39</v>
      </c>
      <c r="O388" s="6" t="s">
        <v>56</v>
      </c>
      <c r="P388" s="6" t="b">
        <v>0</v>
      </c>
      <c r="Q388" s="9" t="s">
        <v>36</v>
      </c>
    </row>
    <row r="389" spans="1:17" x14ac:dyDescent="0.25">
      <c r="A389" s="5" t="s">
        <v>439</v>
      </c>
      <c r="B389" s="6" t="s">
        <v>46</v>
      </c>
      <c r="C389" s="6" t="s">
        <v>19</v>
      </c>
      <c r="D389" s="6" t="s">
        <v>64</v>
      </c>
      <c r="E389" s="6" t="s">
        <v>35</v>
      </c>
      <c r="F389" s="6" t="s">
        <v>29</v>
      </c>
      <c r="G389" s="6">
        <v>31</v>
      </c>
      <c r="H389" s="7">
        <v>1168.01</v>
      </c>
      <c r="I389" s="7">
        <v>36208.31</v>
      </c>
      <c r="J389" s="8">
        <v>45309</v>
      </c>
      <c r="K389" s="6">
        <v>52</v>
      </c>
      <c r="L389" s="6" t="s">
        <v>49</v>
      </c>
      <c r="M389" s="6" t="b">
        <v>1</v>
      </c>
      <c r="N389" s="6">
        <v>26.55</v>
      </c>
      <c r="O389" s="6" t="s">
        <v>30</v>
      </c>
      <c r="P389" s="6" t="b">
        <v>0</v>
      </c>
      <c r="Q389" s="9" t="s">
        <v>25</v>
      </c>
    </row>
    <row r="390" spans="1:17" x14ac:dyDescent="0.25">
      <c r="A390" s="5" t="s">
        <v>440</v>
      </c>
      <c r="B390" s="6" t="s">
        <v>38</v>
      </c>
      <c r="C390" s="6" t="s">
        <v>33</v>
      </c>
      <c r="D390" s="6" t="s">
        <v>64</v>
      </c>
      <c r="E390" s="6" t="s">
        <v>35</v>
      </c>
      <c r="F390" s="6" t="s">
        <v>40</v>
      </c>
      <c r="G390" s="6">
        <v>81</v>
      </c>
      <c r="H390" s="7">
        <v>681.08</v>
      </c>
      <c r="I390" s="7">
        <v>55167.48</v>
      </c>
      <c r="J390" s="8">
        <v>45451</v>
      </c>
      <c r="K390" s="6">
        <v>39</v>
      </c>
      <c r="L390" s="6" t="s">
        <v>49</v>
      </c>
      <c r="M390" s="6" t="b">
        <v>0</v>
      </c>
      <c r="N390" s="6">
        <v>29.43</v>
      </c>
      <c r="O390" s="6" t="s">
        <v>42</v>
      </c>
      <c r="P390" s="6" t="b">
        <v>1</v>
      </c>
      <c r="Q390" s="9" t="s">
        <v>36</v>
      </c>
    </row>
    <row r="391" spans="1:17" x14ac:dyDescent="0.25">
      <c r="A391" s="5" t="s">
        <v>441</v>
      </c>
      <c r="B391" s="6" t="s">
        <v>18</v>
      </c>
      <c r="C391" s="6" t="s">
        <v>33</v>
      </c>
      <c r="D391" s="6" t="s">
        <v>20</v>
      </c>
      <c r="E391" s="6" t="s">
        <v>35</v>
      </c>
      <c r="F391" s="6" t="s">
        <v>48</v>
      </c>
      <c r="G391" s="6">
        <v>73</v>
      </c>
      <c r="H391" s="7">
        <v>1422.92</v>
      </c>
      <c r="I391" s="7">
        <v>103873.16</v>
      </c>
      <c r="J391" s="8">
        <v>45308</v>
      </c>
      <c r="K391" s="6">
        <v>41</v>
      </c>
      <c r="L391" s="6" t="s">
        <v>49</v>
      </c>
      <c r="M391" s="6" t="b">
        <v>1</v>
      </c>
      <c r="N391" s="6">
        <v>0.6</v>
      </c>
      <c r="O391" s="6" t="s">
        <v>56</v>
      </c>
      <c r="P391" s="6" t="b">
        <v>1</v>
      </c>
      <c r="Q391" s="9" t="s">
        <v>25</v>
      </c>
    </row>
    <row r="392" spans="1:17" x14ac:dyDescent="0.25">
      <c r="A392" s="5" t="s">
        <v>442</v>
      </c>
      <c r="B392" s="6" t="s">
        <v>76</v>
      </c>
      <c r="C392" s="6" t="s">
        <v>19</v>
      </c>
      <c r="D392" s="6" t="s">
        <v>52</v>
      </c>
      <c r="E392" s="6" t="s">
        <v>35</v>
      </c>
      <c r="F392" s="6" t="s">
        <v>40</v>
      </c>
      <c r="G392" s="6">
        <v>10</v>
      </c>
      <c r="H392" s="7">
        <v>728</v>
      </c>
      <c r="I392" s="7">
        <v>7280</v>
      </c>
      <c r="J392" s="8">
        <v>45110</v>
      </c>
      <c r="K392" s="6">
        <v>56</v>
      </c>
      <c r="L392" s="6" t="s">
        <v>41</v>
      </c>
      <c r="M392" s="6" t="b">
        <v>0</v>
      </c>
      <c r="N392" s="6">
        <v>16.39</v>
      </c>
      <c r="O392" s="6" t="s">
        <v>24</v>
      </c>
      <c r="P392" s="6" t="b">
        <v>1</v>
      </c>
      <c r="Q392" s="9" t="s">
        <v>25</v>
      </c>
    </row>
    <row r="393" spans="1:17" x14ac:dyDescent="0.25">
      <c r="A393" s="5" t="s">
        <v>443</v>
      </c>
      <c r="B393" s="6" t="s">
        <v>38</v>
      </c>
      <c r="C393" s="6" t="s">
        <v>33</v>
      </c>
      <c r="D393" s="6" t="s">
        <v>64</v>
      </c>
      <c r="E393" s="6" t="s">
        <v>21</v>
      </c>
      <c r="F393" s="6" t="s">
        <v>22</v>
      </c>
      <c r="G393" s="6">
        <v>8</v>
      </c>
      <c r="H393" s="7">
        <v>1318.66</v>
      </c>
      <c r="I393" s="7">
        <v>10549.28</v>
      </c>
      <c r="J393" s="8">
        <v>45120</v>
      </c>
      <c r="K393" s="6">
        <v>47</v>
      </c>
      <c r="L393" s="6" t="s">
        <v>23</v>
      </c>
      <c r="M393" s="6" t="b">
        <v>0</v>
      </c>
      <c r="N393" s="6">
        <v>10.25</v>
      </c>
      <c r="O393" s="6" t="s">
        <v>24</v>
      </c>
      <c r="P393" s="6" t="b">
        <v>1</v>
      </c>
      <c r="Q393" s="9" t="s">
        <v>36</v>
      </c>
    </row>
    <row r="394" spans="1:17" x14ac:dyDescent="0.25">
      <c r="A394" s="5" t="s">
        <v>444</v>
      </c>
      <c r="B394" s="6" t="s">
        <v>72</v>
      </c>
      <c r="C394" s="6" t="s">
        <v>19</v>
      </c>
      <c r="D394" s="6" t="s">
        <v>64</v>
      </c>
      <c r="E394" s="6" t="s">
        <v>28</v>
      </c>
      <c r="F394" s="6" t="s">
        <v>40</v>
      </c>
      <c r="G394" s="6">
        <v>21</v>
      </c>
      <c r="H394" s="7">
        <v>1225.7</v>
      </c>
      <c r="I394" s="7">
        <v>25739.7</v>
      </c>
      <c r="J394" s="8">
        <v>45388</v>
      </c>
      <c r="K394" s="6">
        <v>67</v>
      </c>
      <c r="L394" s="6" t="s">
        <v>23</v>
      </c>
      <c r="M394" s="6" t="b">
        <v>1</v>
      </c>
      <c r="N394" s="6">
        <v>8.31</v>
      </c>
      <c r="O394" s="6" t="s">
        <v>30</v>
      </c>
      <c r="P394" s="6" t="b">
        <v>0</v>
      </c>
      <c r="Q394" s="9" t="s">
        <v>25</v>
      </c>
    </row>
    <row r="395" spans="1:17" x14ac:dyDescent="0.25">
      <c r="A395" s="5" t="s">
        <v>445</v>
      </c>
      <c r="B395" s="6" t="s">
        <v>46</v>
      </c>
      <c r="C395" s="6" t="s">
        <v>19</v>
      </c>
      <c r="D395" s="6" t="s">
        <v>47</v>
      </c>
      <c r="E395" s="6" t="s">
        <v>28</v>
      </c>
      <c r="F395" s="6" t="s">
        <v>29</v>
      </c>
      <c r="G395" s="6">
        <v>77</v>
      </c>
      <c r="H395" s="7">
        <v>1472.43</v>
      </c>
      <c r="I395" s="7">
        <v>113377.11</v>
      </c>
      <c r="J395" s="8">
        <v>44982</v>
      </c>
      <c r="K395" s="6">
        <v>49</v>
      </c>
      <c r="L395" s="6" t="s">
        <v>49</v>
      </c>
      <c r="M395" s="6" t="b">
        <v>0</v>
      </c>
      <c r="N395" s="6">
        <v>10.07</v>
      </c>
      <c r="O395" s="6" t="s">
        <v>42</v>
      </c>
      <c r="P395" s="6" t="b">
        <v>1</v>
      </c>
      <c r="Q395" s="9" t="s">
        <v>36</v>
      </c>
    </row>
    <row r="396" spans="1:17" x14ac:dyDescent="0.25">
      <c r="A396" s="5" t="s">
        <v>446</v>
      </c>
      <c r="B396" s="6" t="s">
        <v>46</v>
      </c>
      <c r="C396" s="6" t="s">
        <v>19</v>
      </c>
      <c r="D396" s="6" t="s">
        <v>52</v>
      </c>
      <c r="E396" s="6" t="s">
        <v>21</v>
      </c>
      <c r="F396" s="6" t="s">
        <v>29</v>
      </c>
      <c r="G396" s="6">
        <v>59</v>
      </c>
      <c r="H396" s="7">
        <v>1393.49</v>
      </c>
      <c r="I396" s="7">
        <v>82215.91</v>
      </c>
      <c r="J396" s="8">
        <v>45156</v>
      </c>
      <c r="K396" s="6">
        <v>48</v>
      </c>
      <c r="L396" s="6" t="s">
        <v>49</v>
      </c>
      <c r="M396" s="6" t="b">
        <v>0</v>
      </c>
      <c r="N396" s="6">
        <v>19.170000000000002</v>
      </c>
      <c r="O396" s="6" t="s">
        <v>56</v>
      </c>
      <c r="P396" s="6" t="b">
        <v>1</v>
      </c>
      <c r="Q396" s="9" t="s">
        <v>25</v>
      </c>
    </row>
    <row r="397" spans="1:17" x14ac:dyDescent="0.25">
      <c r="A397" s="5" t="s">
        <v>447</v>
      </c>
      <c r="B397" s="6" t="s">
        <v>72</v>
      </c>
      <c r="C397" s="6" t="s">
        <v>39</v>
      </c>
      <c r="D397" s="6" t="s">
        <v>20</v>
      </c>
      <c r="E397" s="6" t="s">
        <v>35</v>
      </c>
      <c r="F397" s="6" t="s">
        <v>48</v>
      </c>
      <c r="G397" s="6">
        <v>50</v>
      </c>
      <c r="H397" s="7">
        <v>1352.28</v>
      </c>
      <c r="I397" s="7">
        <v>67614</v>
      </c>
      <c r="J397" s="8">
        <v>45415</v>
      </c>
      <c r="K397" s="6">
        <v>40</v>
      </c>
      <c r="L397" s="6" t="s">
        <v>23</v>
      </c>
      <c r="M397" s="6" t="b">
        <v>0</v>
      </c>
      <c r="N397" s="6">
        <v>5.72</v>
      </c>
      <c r="O397" s="6" t="s">
        <v>30</v>
      </c>
      <c r="P397" s="6" t="b">
        <v>1</v>
      </c>
      <c r="Q397" s="9" t="s">
        <v>36</v>
      </c>
    </row>
    <row r="398" spans="1:17" x14ac:dyDescent="0.25">
      <c r="A398" s="5" t="s">
        <v>448</v>
      </c>
      <c r="B398" s="6" t="s">
        <v>66</v>
      </c>
      <c r="C398" s="6" t="s">
        <v>39</v>
      </c>
      <c r="D398" s="6" t="s">
        <v>64</v>
      </c>
      <c r="E398" s="6" t="s">
        <v>35</v>
      </c>
      <c r="F398" s="6" t="s">
        <v>48</v>
      </c>
      <c r="G398" s="6">
        <v>69</v>
      </c>
      <c r="H398" s="7">
        <v>1110.83</v>
      </c>
      <c r="I398" s="7">
        <v>76647.27</v>
      </c>
      <c r="J398" s="8">
        <v>44954</v>
      </c>
      <c r="K398" s="6">
        <v>57</v>
      </c>
      <c r="L398" s="6" t="s">
        <v>49</v>
      </c>
      <c r="M398" s="6" t="b">
        <v>1</v>
      </c>
      <c r="N398" s="6">
        <v>27.39</v>
      </c>
      <c r="O398" s="6" t="s">
        <v>42</v>
      </c>
      <c r="P398" s="6" t="b">
        <v>0</v>
      </c>
      <c r="Q398" s="9" t="s">
        <v>36</v>
      </c>
    </row>
    <row r="399" spans="1:17" x14ac:dyDescent="0.25">
      <c r="A399" s="5" t="s">
        <v>449</v>
      </c>
      <c r="B399" s="6" t="s">
        <v>62</v>
      </c>
      <c r="C399" s="6" t="s">
        <v>39</v>
      </c>
      <c r="D399" s="6" t="s">
        <v>52</v>
      </c>
      <c r="E399" s="6" t="s">
        <v>28</v>
      </c>
      <c r="F399" s="6" t="s">
        <v>22</v>
      </c>
      <c r="G399" s="6">
        <v>70</v>
      </c>
      <c r="H399" s="7">
        <v>582.15</v>
      </c>
      <c r="I399" s="7">
        <v>40750.5</v>
      </c>
      <c r="J399" s="8">
        <v>45509</v>
      </c>
      <c r="K399" s="6">
        <v>50</v>
      </c>
      <c r="L399" s="6" t="s">
        <v>23</v>
      </c>
      <c r="M399" s="6" t="b">
        <v>0</v>
      </c>
      <c r="N399" s="6">
        <v>13.98</v>
      </c>
      <c r="O399" s="6" t="s">
        <v>42</v>
      </c>
      <c r="P399" s="6" t="b">
        <v>1</v>
      </c>
      <c r="Q399" s="9" t="s">
        <v>36</v>
      </c>
    </row>
    <row r="400" spans="1:17" x14ac:dyDescent="0.25">
      <c r="A400" s="5" t="s">
        <v>450</v>
      </c>
      <c r="B400" s="6" t="s">
        <v>76</v>
      </c>
      <c r="C400" s="6" t="s">
        <v>19</v>
      </c>
      <c r="D400" s="6" t="s">
        <v>52</v>
      </c>
      <c r="E400" s="6" t="s">
        <v>21</v>
      </c>
      <c r="F400" s="6" t="s">
        <v>48</v>
      </c>
      <c r="G400" s="6">
        <v>30</v>
      </c>
      <c r="H400" s="7">
        <v>203.88</v>
      </c>
      <c r="I400" s="7">
        <v>6116.4</v>
      </c>
      <c r="J400" s="8">
        <v>45110</v>
      </c>
      <c r="K400" s="6">
        <v>42</v>
      </c>
      <c r="L400" s="6" t="s">
        <v>23</v>
      </c>
      <c r="M400" s="6" t="b">
        <v>0</v>
      </c>
      <c r="N400" s="6">
        <v>9.77</v>
      </c>
      <c r="O400" s="6" t="s">
        <v>56</v>
      </c>
      <c r="P400" s="6" t="b">
        <v>1</v>
      </c>
      <c r="Q400" s="9" t="s">
        <v>25</v>
      </c>
    </row>
    <row r="401" spans="1:17" x14ac:dyDescent="0.25">
      <c r="A401" s="5" t="s">
        <v>451</v>
      </c>
      <c r="B401" s="6" t="s">
        <v>32</v>
      </c>
      <c r="C401" s="6" t="s">
        <v>19</v>
      </c>
      <c r="D401" s="6" t="s">
        <v>20</v>
      </c>
      <c r="E401" s="6" t="s">
        <v>35</v>
      </c>
      <c r="F401" s="6" t="s">
        <v>40</v>
      </c>
      <c r="G401" s="6">
        <v>95</v>
      </c>
      <c r="H401" s="7">
        <v>1048.54</v>
      </c>
      <c r="I401" s="7">
        <v>99611.3</v>
      </c>
      <c r="J401" s="8">
        <v>45351</v>
      </c>
      <c r="K401" s="6">
        <v>53</v>
      </c>
      <c r="L401" s="6" t="s">
        <v>23</v>
      </c>
      <c r="M401" s="6" t="b">
        <v>0</v>
      </c>
      <c r="N401" s="6">
        <v>22.97</v>
      </c>
      <c r="O401" s="6" t="s">
        <v>24</v>
      </c>
      <c r="P401" s="6" t="b">
        <v>0</v>
      </c>
      <c r="Q401" s="9" t="s">
        <v>36</v>
      </c>
    </row>
    <row r="402" spans="1:17" x14ac:dyDescent="0.25">
      <c r="A402" s="5" t="s">
        <v>452</v>
      </c>
      <c r="B402" s="6" t="s">
        <v>38</v>
      </c>
      <c r="C402" s="6" t="s">
        <v>39</v>
      </c>
      <c r="D402" s="6" t="s">
        <v>52</v>
      </c>
      <c r="E402" s="6" t="s">
        <v>35</v>
      </c>
      <c r="F402" s="6" t="s">
        <v>29</v>
      </c>
      <c r="G402" s="6">
        <v>17</v>
      </c>
      <c r="H402" s="7">
        <v>1469.05</v>
      </c>
      <c r="I402" s="7">
        <v>24973.85</v>
      </c>
      <c r="J402" s="8">
        <v>45301</v>
      </c>
      <c r="K402" s="6">
        <v>41</v>
      </c>
      <c r="L402" s="6" t="s">
        <v>23</v>
      </c>
      <c r="M402" s="6" t="b">
        <v>0</v>
      </c>
      <c r="N402" s="6">
        <v>0.49</v>
      </c>
      <c r="O402" s="6" t="s">
        <v>24</v>
      </c>
      <c r="P402" s="6" t="b">
        <v>0</v>
      </c>
      <c r="Q402" s="9" t="s">
        <v>36</v>
      </c>
    </row>
    <row r="403" spans="1:17" x14ac:dyDescent="0.25">
      <c r="A403" s="5" t="s">
        <v>453</v>
      </c>
      <c r="B403" s="6" t="s">
        <v>72</v>
      </c>
      <c r="C403" s="6" t="s">
        <v>33</v>
      </c>
      <c r="D403" s="6" t="s">
        <v>52</v>
      </c>
      <c r="E403" s="6" t="s">
        <v>35</v>
      </c>
      <c r="F403" s="6" t="s">
        <v>29</v>
      </c>
      <c r="G403" s="6">
        <v>75</v>
      </c>
      <c r="H403" s="7">
        <v>1103.58</v>
      </c>
      <c r="I403" s="7">
        <v>82768.5</v>
      </c>
      <c r="J403" s="8">
        <v>44967</v>
      </c>
      <c r="K403" s="6">
        <v>48</v>
      </c>
      <c r="L403" s="6" t="s">
        <v>41</v>
      </c>
      <c r="M403" s="6" t="b">
        <v>0</v>
      </c>
      <c r="N403" s="6">
        <v>12.96</v>
      </c>
      <c r="O403" s="6" t="s">
        <v>42</v>
      </c>
      <c r="P403" s="6" t="b">
        <v>0</v>
      </c>
      <c r="Q403" s="9" t="s">
        <v>25</v>
      </c>
    </row>
    <row r="404" spans="1:17" x14ac:dyDescent="0.25">
      <c r="A404" s="5" t="s">
        <v>454</v>
      </c>
      <c r="B404" s="6" t="s">
        <v>18</v>
      </c>
      <c r="C404" s="6" t="s">
        <v>19</v>
      </c>
      <c r="D404" s="6" t="s">
        <v>52</v>
      </c>
      <c r="E404" s="6" t="s">
        <v>44</v>
      </c>
      <c r="F404" s="6" t="s">
        <v>29</v>
      </c>
      <c r="G404" s="6">
        <v>20</v>
      </c>
      <c r="H404" s="7">
        <v>1396.66</v>
      </c>
      <c r="I404" s="7">
        <v>27933.200000000001</v>
      </c>
      <c r="J404" s="8">
        <v>45410</v>
      </c>
      <c r="K404" s="6">
        <v>56</v>
      </c>
      <c r="L404" s="6" t="s">
        <v>23</v>
      </c>
      <c r="M404" s="6" t="b">
        <v>0</v>
      </c>
      <c r="N404" s="6">
        <v>10.66</v>
      </c>
      <c r="O404" s="6" t="s">
        <v>24</v>
      </c>
      <c r="P404" s="6" t="b">
        <v>0</v>
      </c>
      <c r="Q404" s="9" t="s">
        <v>25</v>
      </c>
    </row>
    <row r="405" spans="1:17" x14ac:dyDescent="0.25">
      <c r="A405" s="5" t="s">
        <v>455</v>
      </c>
      <c r="B405" s="6" t="s">
        <v>38</v>
      </c>
      <c r="C405" s="6" t="s">
        <v>33</v>
      </c>
      <c r="D405" s="6" t="s">
        <v>64</v>
      </c>
      <c r="E405" s="6" t="s">
        <v>21</v>
      </c>
      <c r="F405" s="6" t="s">
        <v>48</v>
      </c>
      <c r="G405" s="6">
        <v>48</v>
      </c>
      <c r="H405" s="7">
        <v>1216.24</v>
      </c>
      <c r="I405" s="7">
        <v>58379.519999999997</v>
      </c>
      <c r="J405" s="8">
        <v>45186</v>
      </c>
      <c r="K405" s="6">
        <v>63</v>
      </c>
      <c r="L405" s="6" t="s">
        <v>49</v>
      </c>
      <c r="M405" s="6" t="b">
        <v>0</v>
      </c>
      <c r="N405" s="6">
        <v>10.15</v>
      </c>
      <c r="O405" s="6" t="s">
        <v>42</v>
      </c>
      <c r="P405" s="6" t="b">
        <v>0</v>
      </c>
      <c r="Q405" s="9" t="s">
        <v>36</v>
      </c>
    </row>
    <row r="406" spans="1:17" x14ac:dyDescent="0.25">
      <c r="A406" s="5" t="s">
        <v>456</v>
      </c>
      <c r="B406" s="6" t="s">
        <v>62</v>
      </c>
      <c r="C406" s="6" t="s">
        <v>33</v>
      </c>
      <c r="D406" s="6" t="s">
        <v>20</v>
      </c>
      <c r="E406" s="6" t="s">
        <v>35</v>
      </c>
      <c r="F406" s="6" t="s">
        <v>29</v>
      </c>
      <c r="G406" s="6">
        <v>73</v>
      </c>
      <c r="H406" s="7">
        <v>286.52</v>
      </c>
      <c r="I406" s="7">
        <v>20915.96</v>
      </c>
      <c r="J406" s="8">
        <v>45367</v>
      </c>
      <c r="K406" s="6">
        <v>30</v>
      </c>
      <c r="L406" s="6" t="s">
        <v>49</v>
      </c>
      <c r="M406" s="6" t="b">
        <v>0</v>
      </c>
      <c r="N406" s="6">
        <v>10.11</v>
      </c>
      <c r="O406" s="6" t="s">
        <v>42</v>
      </c>
      <c r="P406" s="6" t="b">
        <v>0</v>
      </c>
      <c r="Q406" s="9" t="s">
        <v>36</v>
      </c>
    </row>
    <row r="407" spans="1:17" x14ac:dyDescent="0.25">
      <c r="A407" s="5" t="s">
        <v>457</v>
      </c>
      <c r="B407" s="6" t="s">
        <v>18</v>
      </c>
      <c r="C407" s="6" t="s">
        <v>19</v>
      </c>
      <c r="D407" s="6" t="s">
        <v>52</v>
      </c>
      <c r="E407" s="6" t="s">
        <v>44</v>
      </c>
      <c r="F407" s="6" t="s">
        <v>29</v>
      </c>
      <c r="G407" s="6">
        <v>2</v>
      </c>
      <c r="H407" s="7">
        <v>411.35</v>
      </c>
      <c r="I407" s="7">
        <v>822.7</v>
      </c>
      <c r="J407" s="8">
        <v>45010</v>
      </c>
      <c r="K407" s="6">
        <v>27</v>
      </c>
      <c r="L407" s="6" t="s">
        <v>49</v>
      </c>
      <c r="M407" s="6" t="b">
        <v>0</v>
      </c>
      <c r="N407" s="6">
        <v>0.94</v>
      </c>
      <c r="O407" s="6" t="s">
        <v>42</v>
      </c>
      <c r="P407" s="6" t="b">
        <v>0</v>
      </c>
      <c r="Q407" s="9" t="s">
        <v>25</v>
      </c>
    </row>
    <row r="408" spans="1:17" x14ac:dyDescent="0.25">
      <c r="A408" s="5" t="s">
        <v>458</v>
      </c>
      <c r="B408" s="6" t="s">
        <v>51</v>
      </c>
      <c r="C408" s="6" t="s">
        <v>19</v>
      </c>
      <c r="D408" s="6" t="s">
        <v>52</v>
      </c>
      <c r="E408" s="6" t="s">
        <v>21</v>
      </c>
      <c r="F408" s="6" t="s">
        <v>29</v>
      </c>
      <c r="G408" s="6">
        <v>37</v>
      </c>
      <c r="H408" s="7">
        <v>545.71</v>
      </c>
      <c r="I408" s="7">
        <v>20191.27</v>
      </c>
      <c r="J408" s="8">
        <v>44972</v>
      </c>
      <c r="K408" s="6">
        <v>40</v>
      </c>
      <c r="L408" s="6" t="s">
        <v>49</v>
      </c>
      <c r="M408" s="6" t="b">
        <v>1</v>
      </c>
      <c r="N408" s="6">
        <v>4.5599999999999996</v>
      </c>
      <c r="O408" s="6" t="s">
        <v>24</v>
      </c>
      <c r="P408" s="6" t="b">
        <v>1</v>
      </c>
      <c r="Q408" s="9" t="s">
        <v>25</v>
      </c>
    </row>
    <row r="409" spans="1:17" x14ac:dyDescent="0.25">
      <c r="A409" s="5" t="s">
        <v>459</v>
      </c>
      <c r="B409" s="6" t="s">
        <v>46</v>
      </c>
      <c r="C409" s="6" t="s">
        <v>33</v>
      </c>
      <c r="D409" s="6" t="s">
        <v>64</v>
      </c>
      <c r="E409" s="6" t="s">
        <v>35</v>
      </c>
      <c r="F409" s="6" t="s">
        <v>22</v>
      </c>
      <c r="G409" s="6">
        <v>1</v>
      </c>
      <c r="H409" s="7">
        <v>293.98</v>
      </c>
      <c r="I409" s="7">
        <v>293.98</v>
      </c>
      <c r="J409" s="8">
        <v>45366</v>
      </c>
      <c r="K409" s="6">
        <v>35</v>
      </c>
      <c r="L409" s="6" t="s">
        <v>41</v>
      </c>
      <c r="M409" s="6" t="b">
        <v>0</v>
      </c>
      <c r="N409" s="6">
        <v>4.26</v>
      </c>
      <c r="O409" s="6" t="s">
        <v>30</v>
      </c>
      <c r="P409" s="6" t="b">
        <v>0</v>
      </c>
      <c r="Q409" s="9" t="s">
        <v>25</v>
      </c>
    </row>
    <row r="410" spans="1:17" x14ac:dyDescent="0.25">
      <c r="A410" s="5" t="s">
        <v>460</v>
      </c>
      <c r="B410" s="6" t="s">
        <v>51</v>
      </c>
      <c r="C410" s="6" t="s">
        <v>33</v>
      </c>
      <c r="D410" s="6" t="s">
        <v>20</v>
      </c>
      <c r="E410" s="6" t="s">
        <v>28</v>
      </c>
      <c r="F410" s="6" t="s">
        <v>22</v>
      </c>
      <c r="G410" s="6">
        <v>4</v>
      </c>
      <c r="H410" s="7">
        <v>893.39</v>
      </c>
      <c r="I410" s="7">
        <v>3573.56</v>
      </c>
      <c r="J410" s="8">
        <v>45597</v>
      </c>
      <c r="K410" s="6">
        <v>49</v>
      </c>
      <c r="L410" s="6" t="s">
        <v>23</v>
      </c>
      <c r="M410" s="6" t="b">
        <v>0</v>
      </c>
      <c r="N410" s="6">
        <v>29.66</v>
      </c>
      <c r="O410" s="6" t="s">
        <v>24</v>
      </c>
      <c r="P410" s="6" t="b">
        <v>0</v>
      </c>
      <c r="Q410" s="9" t="s">
        <v>36</v>
      </c>
    </row>
    <row r="411" spans="1:17" x14ac:dyDescent="0.25">
      <c r="A411" s="5" t="s">
        <v>461</v>
      </c>
      <c r="B411" s="6" t="s">
        <v>38</v>
      </c>
      <c r="C411" s="6" t="s">
        <v>39</v>
      </c>
      <c r="D411" s="6" t="s">
        <v>47</v>
      </c>
      <c r="E411" s="6" t="s">
        <v>44</v>
      </c>
      <c r="F411" s="6" t="s">
        <v>48</v>
      </c>
      <c r="G411" s="6">
        <v>54</v>
      </c>
      <c r="H411" s="7">
        <v>1464.4</v>
      </c>
      <c r="I411" s="7">
        <v>79077.600000000006</v>
      </c>
      <c r="J411" s="8">
        <v>45445</v>
      </c>
      <c r="K411" s="6">
        <v>50</v>
      </c>
      <c r="L411" s="6" t="s">
        <v>23</v>
      </c>
      <c r="M411" s="6" t="b">
        <v>0</v>
      </c>
      <c r="N411" s="6">
        <v>0.66</v>
      </c>
      <c r="O411" s="6" t="s">
        <v>30</v>
      </c>
      <c r="P411" s="6" t="b">
        <v>0</v>
      </c>
      <c r="Q411" s="9" t="s">
        <v>25</v>
      </c>
    </row>
    <row r="412" spans="1:17" x14ac:dyDescent="0.25">
      <c r="A412" s="5" t="s">
        <v>462</v>
      </c>
      <c r="B412" s="6" t="s">
        <v>62</v>
      </c>
      <c r="C412" s="6" t="s">
        <v>39</v>
      </c>
      <c r="D412" s="6" t="s">
        <v>64</v>
      </c>
      <c r="E412" s="6" t="s">
        <v>44</v>
      </c>
      <c r="F412" s="6" t="s">
        <v>29</v>
      </c>
      <c r="G412" s="6">
        <v>25</v>
      </c>
      <c r="H412" s="7">
        <v>1154.1199999999999</v>
      </c>
      <c r="I412" s="7">
        <v>28853</v>
      </c>
      <c r="J412" s="8">
        <v>45364</v>
      </c>
      <c r="K412" s="6">
        <v>53</v>
      </c>
      <c r="L412" s="6" t="s">
        <v>49</v>
      </c>
      <c r="M412" s="6" t="b">
        <v>0</v>
      </c>
      <c r="N412" s="6">
        <v>5.01</v>
      </c>
      <c r="O412" s="6" t="s">
        <v>24</v>
      </c>
      <c r="P412" s="6" t="b">
        <v>0</v>
      </c>
      <c r="Q412" s="9" t="s">
        <v>36</v>
      </c>
    </row>
    <row r="413" spans="1:17" x14ac:dyDescent="0.25">
      <c r="A413" s="5" t="s">
        <v>463</v>
      </c>
      <c r="B413" s="6" t="s">
        <v>76</v>
      </c>
      <c r="C413" s="6" t="s">
        <v>19</v>
      </c>
      <c r="D413" s="6" t="s">
        <v>20</v>
      </c>
      <c r="E413" s="6" t="s">
        <v>35</v>
      </c>
      <c r="F413" s="6" t="s">
        <v>48</v>
      </c>
      <c r="G413" s="6">
        <v>3</v>
      </c>
      <c r="H413" s="7">
        <v>663.91</v>
      </c>
      <c r="I413" s="7">
        <v>1991.73</v>
      </c>
      <c r="J413" s="8">
        <v>45062</v>
      </c>
      <c r="K413" s="6">
        <v>45</v>
      </c>
      <c r="L413" s="6" t="s">
        <v>49</v>
      </c>
      <c r="M413" s="6" t="b">
        <v>0</v>
      </c>
      <c r="N413" s="6">
        <v>29.23</v>
      </c>
      <c r="O413" s="6" t="s">
        <v>56</v>
      </c>
      <c r="P413" s="6" t="b">
        <v>0</v>
      </c>
      <c r="Q413" s="9" t="s">
        <v>36</v>
      </c>
    </row>
    <row r="414" spans="1:17" x14ac:dyDescent="0.25">
      <c r="A414" s="5" t="s">
        <v>464</v>
      </c>
      <c r="B414" s="6" t="s">
        <v>38</v>
      </c>
      <c r="C414" s="6" t="s">
        <v>39</v>
      </c>
      <c r="D414" s="6" t="s">
        <v>52</v>
      </c>
      <c r="E414" s="6" t="s">
        <v>35</v>
      </c>
      <c r="F414" s="6" t="s">
        <v>29</v>
      </c>
      <c r="G414" s="6">
        <v>9</v>
      </c>
      <c r="H414" s="7">
        <v>56.53</v>
      </c>
      <c r="I414" s="7">
        <v>508.77</v>
      </c>
      <c r="J414" s="8">
        <v>45109</v>
      </c>
      <c r="K414" s="6">
        <v>33</v>
      </c>
      <c r="L414" s="6" t="s">
        <v>49</v>
      </c>
      <c r="M414" s="6" t="b">
        <v>1</v>
      </c>
      <c r="N414" s="6">
        <v>18.850000000000001</v>
      </c>
      <c r="O414" s="6" t="s">
        <v>56</v>
      </c>
      <c r="P414" s="6" t="b">
        <v>1</v>
      </c>
      <c r="Q414" s="9" t="s">
        <v>36</v>
      </c>
    </row>
    <row r="415" spans="1:17" x14ac:dyDescent="0.25">
      <c r="A415" s="5" t="s">
        <v>465</v>
      </c>
      <c r="B415" s="6" t="s">
        <v>72</v>
      </c>
      <c r="C415" s="6" t="s">
        <v>39</v>
      </c>
      <c r="D415" s="6" t="s">
        <v>20</v>
      </c>
      <c r="E415" s="6" t="s">
        <v>44</v>
      </c>
      <c r="F415" s="6" t="s">
        <v>29</v>
      </c>
      <c r="G415" s="6">
        <v>86</v>
      </c>
      <c r="H415" s="7">
        <v>504.25</v>
      </c>
      <c r="I415" s="7">
        <v>43365.5</v>
      </c>
      <c r="J415" s="8">
        <v>45098</v>
      </c>
      <c r="K415" s="6">
        <v>33</v>
      </c>
      <c r="L415" s="6" t="s">
        <v>23</v>
      </c>
      <c r="M415" s="6" t="b">
        <v>1</v>
      </c>
      <c r="N415" s="6">
        <v>13.52</v>
      </c>
      <c r="O415" s="6" t="s">
        <v>24</v>
      </c>
      <c r="P415" s="6" t="b">
        <v>1</v>
      </c>
      <c r="Q415" s="9" t="s">
        <v>25</v>
      </c>
    </row>
    <row r="416" spans="1:17" x14ac:dyDescent="0.25">
      <c r="A416" s="5" t="s">
        <v>466</v>
      </c>
      <c r="B416" s="6" t="s">
        <v>27</v>
      </c>
      <c r="C416" s="6" t="s">
        <v>39</v>
      </c>
      <c r="D416" s="6" t="s">
        <v>20</v>
      </c>
      <c r="E416" s="6" t="s">
        <v>28</v>
      </c>
      <c r="F416" s="6" t="s">
        <v>29</v>
      </c>
      <c r="G416" s="6">
        <v>87</v>
      </c>
      <c r="H416" s="7">
        <v>813.8</v>
      </c>
      <c r="I416" s="7">
        <v>70800.600000000006</v>
      </c>
      <c r="J416" s="8">
        <v>45516</v>
      </c>
      <c r="K416" s="6">
        <v>35</v>
      </c>
      <c r="L416" s="6" t="s">
        <v>41</v>
      </c>
      <c r="M416" s="6" t="b">
        <v>1</v>
      </c>
      <c r="N416" s="6">
        <v>2.36</v>
      </c>
      <c r="O416" s="6" t="s">
        <v>56</v>
      </c>
      <c r="P416" s="6" t="b">
        <v>1</v>
      </c>
      <c r="Q416" s="9" t="s">
        <v>25</v>
      </c>
    </row>
    <row r="417" spans="1:17" x14ac:dyDescent="0.25">
      <c r="A417" s="5" t="s">
        <v>467</v>
      </c>
      <c r="B417" s="6" t="s">
        <v>38</v>
      </c>
      <c r="C417" s="6" t="s">
        <v>39</v>
      </c>
      <c r="D417" s="6" t="s">
        <v>20</v>
      </c>
      <c r="E417" s="6" t="s">
        <v>28</v>
      </c>
      <c r="F417" s="6" t="s">
        <v>48</v>
      </c>
      <c r="G417" s="6">
        <v>76</v>
      </c>
      <c r="H417" s="7">
        <v>520.16</v>
      </c>
      <c r="I417" s="7">
        <v>39532.160000000003</v>
      </c>
      <c r="J417" s="8">
        <v>45465</v>
      </c>
      <c r="K417" s="6">
        <v>25</v>
      </c>
      <c r="L417" s="6" t="s">
        <v>41</v>
      </c>
      <c r="M417" s="6" t="b">
        <v>1</v>
      </c>
      <c r="N417" s="6">
        <v>20.09</v>
      </c>
      <c r="O417" s="6" t="s">
        <v>56</v>
      </c>
      <c r="P417" s="6" t="b">
        <v>1</v>
      </c>
      <c r="Q417" s="9" t="s">
        <v>25</v>
      </c>
    </row>
    <row r="418" spans="1:17" x14ac:dyDescent="0.25">
      <c r="A418" s="5" t="s">
        <v>468</v>
      </c>
      <c r="B418" s="6" t="s">
        <v>46</v>
      </c>
      <c r="C418" s="6" t="s">
        <v>33</v>
      </c>
      <c r="D418" s="6" t="s">
        <v>47</v>
      </c>
      <c r="E418" s="6" t="s">
        <v>21</v>
      </c>
      <c r="F418" s="6" t="s">
        <v>48</v>
      </c>
      <c r="G418" s="6">
        <v>74</v>
      </c>
      <c r="H418" s="7">
        <v>211</v>
      </c>
      <c r="I418" s="7">
        <v>15614</v>
      </c>
      <c r="J418" s="8">
        <v>45046</v>
      </c>
      <c r="K418" s="6">
        <v>59</v>
      </c>
      <c r="L418" s="6" t="s">
        <v>41</v>
      </c>
      <c r="M418" s="6" t="b">
        <v>0</v>
      </c>
      <c r="N418" s="6">
        <v>4.13</v>
      </c>
      <c r="O418" s="6" t="s">
        <v>56</v>
      </c>
      <c r="P418" s="6" t="b">
        <v>1</v>
      </c>
      <c r="Q418" s="9" t="s">
        <v>36</v>
      </c>
    </row>
    <row r="419" spans="1:17" x14ac:dyDescent="0.25">
      <c r="A419" s="5" t="s">
        <v>469</v>
      </c>
      <c r="B419" s="6" t="s">
        <v>46</v>
      </c>
      <c r="C419" s="6" t="s">
        <v>19</v>
      </c>
      <c r="D419" s="6" t="s">
        <v>20</v>
      </c>
      <c r="E419" s="6" t="s">
        <v>35</v>
      </c>
      <c r="F419" s="6" t="s">
        <v>29</v>
      </c>
      <c r="G419" s="6">
        <v>34</v>
      </c>
      <c r="H419" s="7">
        <v>692.01</v>
      </c>
      <c r="I419" s="7">
        <v>23528.34</v>
      </c>
      <c r="J419" s="8">
        <v>45207</v>
      </c>
      <c r="K419" s="6">
        <v>33</v>
      </c>
      <c r="L419" s="6" t="s">
        <v>41</v>
      </c>
      <c r="M419" s="6" t="b">
        <v>0</v>
      </c>
      <c r="N419" s="6">
        <v>20.14</v>
      </c>
      <c r="O419" s="6" t="s">
        <v>56</v>
      </c>
      <c r="P419" s="6" t="b">
        <v>1</v>
      </c>
      <c r="Q419" s="9" t="s">
        <v>36</v>
      </c>
    </row>
    <row r="420" spans="1:17" x14ac:dyDescent="0.25">
      <c r="A420" s="5" t="s">
        <v>470</v>
      </c>
      <c r="B420" s="6" t="s">
        <v>38</v>
      </c>
      <c r="C420" s="6" t="s">
        <v>39</v>
      </c>
      <c r="D420" s="6" t="s">
        <v>47</v>
      </c>
      <c r="E420" s="6" t="s">
        <v>28</v>
      </c>
      <c r="F420" s="6" t="s">
        <v>40</v>
      </c>
      <c r="G420" s="6">
        <v>43</v>
      </c>
      <c r="H420" s="7">
        <v>417.22</v>
      </c>
      <c r="I420" s="7">
        <v>17940.46</v>
      </c>
      <c r="J420" s="8">
        <v>45234</v>
      </c>
      <c r="K420" s="6">
        <v>28</v>
      </c>
      <c r="L420" s="6" t="s">
        <v>49</v>
      </c>
      <c r="M420" s="6" t="b">
        <v>0</v>
      </c>
      <c r="N420" s="6">
        <v>29.38</v>
      </c>
      <c r="O420" s="6" t="s">
        <v>30</v>
      </c>
      <c r="P420" s="6" t="b">
        <v>1</v>
      </c>
      <c r="Q420" s="9" t="s">
        <v>25</v>
      </c>
    </row>
    <row r="421" spans="1:17" x14ac:dyDescent="0.25">
      <c r="A421" s="5" t="s">
        <v>471</v>
      </c>
      <c r="B421" s="6" t="s">
        <v>18</v>
      </c>
      <c r="C421" s="6" t="s">
        <v>33</v>
      </c>
      <c r="D421" s="6" t="s">
        <v>52</v>
      </c>
      <c r="E421" s="6" t="s">
        <v>21</v>
      </c>
      <c r="F421" s="6" t="s">
        <v>48</v>
      </c>
      <c r="G421" s="6">
        <v>74</v>
      </c>
      <c r="H421" s="7">
        <v>1368.39</v>
      </c>
      <c r="I421" s="7">
        <v>101260.86</v>
      </c>
      <c r="J421" s="8">
        <v>45203</v>
      </c>
      <c r="K421" s="6">
        <v>23</v>
      </c>
      <c r="L421" s="6" t="s">
        <v>23</v>
      </c>
      <c r="M421" s="6" t="b">
        <v>1</v>
      </c>
      <c r="N421" s="6">
        <v>15.96</v>
      </c>
      <c r="O421" s="6" t="s">
        <v>42</v>
      </c>
      <c r="P421" s="6" t="b">
        <v>0</v>
      </c>
      <c r="Q421" s="9" t="s">
        <v>25</v>
      </c>
    </row>
    <row r="422" spans="1:17" x14ac:dyDescent="0.25">
      <c r="A422" s="5" t="s">
        <v>472</v>
      </c>
      <c r="B422" s="6" t="s">
        <v>27</v>
      </c>
      <c r="C422" s="6" t="s">
        <v>33</v>
      </c>
      <c r="D422" s="6" t="s">
        <v>47</v>
      </c>
      <c r="E422" s="6" t="s">
        <v>28</v>
      </c>
      <c r="F422" s="6" t="s">
        <v>22</v>
      </c>
      <c r="G422" s="6">
        <v>94</v>
      </c>
      <c r="H422" s="7">
        <v>197.54</v>
      </c>
      <c r="I422" s="7">
        <v>18568.759999999998</v>
      </c>
      <c r="J422" s="8">
        <v>45456</v>
      </c>
      <c r="K422" s="6">
        <v>18</v>
      </c>
      <c r="L422" s="6" t="s">
        <v>49</v>
      </c>
      <c r="M422" s="6" t="b">
        <v>1</v>
      </c>
      <c r="N422" s="6">
        <v>6.42</v>
      </c>
      <c r="O422" s="6" t="s">
        <v>30</v>
      </c>
      <c r="P422" s="6" t="b">
        <v>0</v>
      </c>
      <c r="Q422" s="9" t="s">
        <v>36</v>
      </c>
    </row>
    <row r="423" spans="1:17" x14ac:dyDescent="0.25">
      <c r="A423" s="5" t="s">
        <v>473</v>
      </c>
      <c r="B423" s="6" t="s">
        <v>72</v>
      </c>
      <c r="C423" s="6" t="s">
        <v>33</v>
      </c>
      <c r="D423" s="6" t="s">
        <v>52</v>
      </c>
      <c r="E423" s="6" t="s">
        <v>35</v>
      </c>
      <c r="F423" s="6" t="s">
        <v>48</v>
      </c>
      <c r="G423" s="6">
        <v>22</v>
      </c>
      <c r="H423" s="7">
        <v>121.27</v>
      </c>
      <c r="I423" s="7">
        <v>2667.94</v>
      </c>
      <c r="J423" s="8">
        <v>45221</v>
      </c>
      <c r="K423" s="6">
        <v>29</v>
      </c>
      <c r="L423" s="6" t="s">
        <v>41</v>
      </c>
      <c r="M423" s="6" t="b">
        <v>1</v>
      </c>
      <c r="N423" s="6">
        <v>18.760000000000002</v>
      </c>
      <c r="O423" s="6" t="s">
        <v>42</v>
      </c>
      <c r="P423" s="6" t="b">
        <v>0</v>
      </c>
      <c r="Q423" s="9" t="s">
        <v>36</v>
      </c>
    </row>
    <row r="424" spans="1:17" x14ac:dyDescent="0.25">
      <c r="A424" s="5" t="s">
        <v>474</v>
      </c>
      <c r="B424" s="6" t="s">
        <v>38</v>
      </c>
      <c r="C424" s="6" t="s">
        <v>39</v>
      </c>
      <c r="D424" s="6" t="s">
        <v>52</v>
      </c>
      <c r="E424" s="6" t="s">
        <v>21</v>
      </c>
      <c r="F424" s="6" t="s">
        <v>29</v>
      </c>
      <c r="G424" s="6">
        <v>70</v>
      </c>
      <c r="H424" s="7">
        <v>57.71</v>
      </c>
      <c r="I424" s="7">
        <v>4039.7</v>
      </c>
      <c r="J424" s="8">
        <v>44979</v>
      </c>
      <c r="K424" s="6">
        <v>55</v>
      </c>
      <c r="L424" s="6" t="s">
        <v>49</v>
      </c>
      <c r="M424" s="6" t="b">
        <v>1</v>
      </c>
      <c r="N424" s="6">
        <v>15.39</v>
      </c>
      <c r="O424" s="6" t="s">
        <v>42</v>
      </c>
      <c r="P424" s="6" t="b">
        <v>0</v>
      </c>
      <c r="Q424" s="9" t="s">
        <v>36</v>
      </c>
    </row>
    <row r="425" spans="1:17" x14ac:dyDescent="0.25">
      <c r="A425" s="5" t="s">
        <v>475</v>
      </c>
      <c r="B425" s="6" t="s">
        <v>18</v>
      </c>
      <c r="C425" s="6" t="s">
        <v>39</v>
      </c>
      <c r="D425" s="6" t="s">
        <v>47</v>
      </c>
      <c r="E425" s="6" t="s">
        <v>21</v>
      </c>
      <c r="F425" s="6" t="s">
        <v>40</v>
      </c>
      <c r="G425" s="6">
        <v>2</v>
      </c>
      <c r="H425" s="7">
        <v>525.70000000000005</v>
      </c>
      <c r="I425" s="7">
        <v>1051.4000000000001</v>
      </c>
      <c r="J425" s="8">
        <v>45358</v>
      </c>
      <c r="K425" s="6">
        <v>45</v>
      </c>
      <c r="L425" s="6" t="s">
        <v>41</v>
      </c>
      <c r="M425" s="6" t="b">
        <v>0</v>
      </c>
      <c r="N425" s="6">
        <v>15.99</v>
      </c>
      <c r="O425" s="6" t="s">
        <v>24</v>
      </c>
      <c r="P425" s="6" t="b">
        <v>0</v>
      </c>
      <c r="Q425" s="9" t="s">
        <v>36</v>
      </c>
    </row>
    <row r="426" spans="1:17" x14ac:dyDescent="0.25">
      <c r="A426" s="5" t="s">
        <v>476</v>
      </c>
      <c r="B426" s="6" t="s">
        <v>46</v>
      </c>
      <c r="C426" s="6" t="s">
        <v>19</v>
      </c>
      <c r="D426" s="6" t="s">
        <v>64</v>
      </c>
      <c r="E426" s="6" t="s">
        <v>21</v>
      </c>
      <c r="F426" s="6" t="s">
        <v>29</v>
      </c>
      <c r="G426" s="6">
        <v>94</v>
      </c>
      <c r="H426" s="7">
        <v>1007.56</v>
      </c>
      <c r="I426" s="7">
        <v>94710.64</v>
      </c>
      <c r="J426" s="8">
        <v>44978</v>
      </c>
      <c r="K426" s="6">
        <v>62</v>
      </c>
      <c r="L426" s="6" t="s">
        <v>23</v>
      </c>
      <c r="M426" s="6" t="b">
        <v>0</v>
      </c>
      <c r="N426" s="6">
        <v>14.34</v>
      </c>
      <c r="O426" s="6" t="s">
        <v>24</v>
      </c>
      <c r="P426" s="6" t="b">
        <v>0</v>
      </c>
      <c r="Q426" s="9" t="s">
        <v>25</v>
      </c>
    </row>
    <row r="427" spans="1:17" x14ac:dyDescent="0.25">
      <c r="A427" s="5" t="s">
        <v>477</v>
      </c>
      <c r="B427" s="6" t="s">
        <v>46</v>
      </c>
      <c r="C427" s="6" t="s">
        <v>39</v>
      </c>
      <c r="D427" s="6" t="s">
        <v>34</v>
      </c>
      <c r="E427" s="6" t="s">
        <v>28</v>
      </c>
      <c r="F427" s="6" t="s">
        <v>22</v>
      </c>
      <c r="G427" s="6">
        <v>66</v>
      </c>
      <c r="H427" s="7">
        <v>1109.0999999999999</v>
      </c>
      <c r="I427" s="7">
        <v>73200.600000000006</v>
      </c>
      <c r="J427" s="8">
        <v>44998</v>
      </c>
      <c r="K427" s="6">
        <v>34</v>
      </c>
      <c r="L427" s="6" t="s">
        <v>41</v>
      </c>
      <c r="M427" s="6" t="b">
        <v>1</v>
      </c>
      <c r="N427" s="6">
        <v>20.21</v>
      </c>
      <c r="O427" s="6" t="s">
        <v>24</v>
      </c>
      <c r="P427" s="6" t="b">
        <v>1</v>
      </c>
      <c r="Q427" s="9" t="s">
        <v>36</v>
      </c>
    </row>
    <row r="428" spans="1:17" x14ac:dyDescent="0.25">
      <c r="A428" s="5" t="s">
        <v>478</v>
      </c>
      <c r="B428" s="6" t="s">
        <v>62</v>
      </c>
      <c r="C428" s="6" t="s">
        <v>39</v>
      </c>
      <c r="D428" s="6" t="s">
        <v>20</v>
      </c>
      <c r="E428" s="6" t="s">
        <v>35</v>
      </c>
      <c r="F428" s="6" t="s">
        <v>48</v>
      </c>
      <c r="G428" s="6">
        <v>32</v>
      </c>
      <c r="H428" s="7">
        <v>707.23</v>
      </c>
      <c r="I428" s="7">
        <v>22631.360000000001</v>
      </c>
      <c r="J428" s="8">
        <v>44954</v>
      </c>
      <c r="K428" s="6">
        <v>18</v>
      </c>
      <c r="L428" s="6" t="s">
        <v>49</v>
      </c>
      <c r="M428" s="6" t="b">
        <v>0</v>
      </c>
      <c r="N428" s="6">
        <v>17.16</v>
      </c>
      <c r="O428" s="6" t="s">
        <v>24</v>
      </c>
      <c r="P428" s="6" t="b">
        <v>0</v>
      </c>
      <c r="Q428" s="9" t="s">
        <v>36</v>
      </c>
    </row>
    <row r="429" spans="1:17" x14ac:dyDescent="0.25">
      <c r="A429" s="5" t="s">
        <v>479</v>
      </c>
      <c r="B429" s="6" t="s">
        <v>38</v>
      </c>
      <c r="C429" s="6" t="s">
        <v>33</v>
      </c>
      <c r="D429" s="6" t="s">
        <v>34</v>
      </c>
      <c r="E429" s="6" t="s">
        <v>21</v>
      </c>
      <c r="F429" s="6" t="s">
        <v>48</v>
      </c>
      <c r="G429" s="6">
        <v>16</v>
      </c>
      <c r="H429" s="7">
        <v>1042.28</v>
      </c>
      <c r="I429" s="7">
        <v>16676.48</v>
      </c>
      <c r="J429" s="8">
        <v>45395</v>
      </c>
      <c r="K429" s="6">
        <v>49</v>
      </c>
      <c r="L429" s="6" t="s">
        <v>23</v>
      </c>
      <c r="M429" s="6" t="b">
        <v>1</v>
      </c>
      <c r="N429" s="6">
        <v>29.61</v>
      </c>
      <c r="O429" s="6" t="s">
        <v>24</v>
      </c>
      <c r="P429" s="6" t="b">
        <v>0</v>
      </c>
      <c r="Q429" s="9" t="s">
        <v>25</v>
      </c>
    </row>
    <row r="430" spans="1:17" x14ac:dyDescent="0.25">
      <c r="A430" s="5" t="s">
        <v>480</v>
      </c>
      <c r="B430" s="6" t="s">
        <v>27</v>
      </c>
      <c r="C430" s="6" t="s">
        <v>19</v>
      </c>
      <c r="D430" s="6" t="s">
        <v>20</v>
      </c>
      <c r="E430" s="6" t="s">
        <v>44</v>
      </c>
      <c r="F430" s="6" t="s">
        <v>29</v>
      </c>
      <c r="G430" s="6">
        <v>76</v>
      </c>
      <c r="H430" s="7">
        <v>571.88</v>
      </c>
      <c r="I430" s="7">
        <v>43462.879999999997</v>
      </c>
      <c r="J430" s="8">
        <v>45473</v>
      </c>
      <c r="K430" s="6">
        <v>25</v>
      </c>
      <c r="L430" s="6" t="s">
        <v>41</v>
      </c>
      <c r="M430" s="6" t="b">
        <v>1</v>
      </c>
      <c r="N430" s="6">
        <v>24.78</v>
      </c>
      <c r="O430" s="6" t="s">
        <v>30</v>
      </c>
      <c r="P430" s="6" t="b">
        <v>0</v>
      </c>
      <c r="Q430" s="9" t="s">
        <v>25</v>
      </c>
    </row>
    <row r="431" spans="1:17" x14ac:dyDescent="0.25">
      <c r="A431" s="5" t="s">
        <v>481</v>
      </c>
      <c r="B431" s="6" t="s">
        <v>66</v>
      </c>
      <c r="C431" s="6" t="s">
        <v>39</v>
      </c>
      <c r="D431" s="6" t="s">
        <v>20</v>
      </c>
      <c r="E431" s="6" t="s">
        <v>35</v>
      </c>
      <c r="F431" s="6" t="s">
        <v>29</v>
      </c>
      <c r="G431" s="6">
        <v>1</v>
      </c>
      <c r="H431" s="7">
        <v>1018.32</v>
      </c>
      <c r="I431" s="7">
        <v>1018.32</v>
      </c>
      <c r="J431" s="8">
        <v>45327</v>
      </c>
      <c r="K431" s="6">
        <v>57</v>
      </c>
      <c r="L431" s="6" t="s">
        <v>41</v>
      </c>
      <c r="M431" s="6" t="b">
        <v>1</v>
      </c>
      <c r="N431" s="6">
        <v>7.94</v>
      </c>
      <c r="O431" s="6" t="s">
        <v>30</v>
      </c>
      <c r="P431" s="6" t="b">
        <v>1</v>
      </c>
      <c r="Q431" s="9" t="s">
        <v>25</v>
      </c>
    </row>
    <row r="432" spans="1:17" x14ac:dyDescent="0.25">
      <c r="A432" s="5" t="s">
        <v>482</v>
      </c>
      <c r="B432" s="6" t="s">
        <v>27</v>
      </c>
      <c r="C432" s="6" t="s">
        <v>39</v>
      </c>
      <c r="D432" s="6" t="s">
        <v>52</v>
      </c>
      <c r="E432" s="6" t="s">
        <v>44</v>
      </c>
      <c r="F432" s="6" t="s">
        <v>22</v>
      </c>
      <c r="G432" s="6">
        <v>72</v>
      </c>
      <c r="H432" s="7">
        <v>108.86</v>
      </c>
      <c r="I432" s="7">
        <v>7837.92</v>
      </c>
      <c r="J432" s="8">
        <v>45127</v>
      </c>
      <c r="K432" s="6">
        <v>60</v>
      </c>
      <c r="L432" s="6" t="s">
        <v>23</v>
      </c>
      <c r="M432" s="6" t="b">
        <v>1</v>
      </c>
      <c r="N432" s="6">
        <v>21.77</v>
      </c>
      <c r="O432" s="6" t="s">
        <v>56</v>
      </c>
      <c r="P432" s="6" t="b">
        <v>1</v>
      </c>
      <c r="Q432" s="9" t="s">
        <v>25</v>
      </c>
    </row>
    <row r="433" spans="1:17" x14ac:dyDescent="0.25">
      <c r="A433" s="5" t="s">
        <v>483</v>
      </c>
      <c r="B433" s="6" t="s">
        <v>46</v>
      </c>
      <c r="C433" s="6" t="s">
        <v>33</v>
      </c>
      <c r="D433" s="6" t="s">
        <v>20</v>
      </c>
      <c r="E433" s="6" t="s">
        <v>44</v>
      </c>
      <c r="F433" s="6" t="s">
        <v>40</v>
      </c>
      <c r="G433" s="6">
        <v>48</v>
      </c>
      <c r="H433" s="7">
        <v>616.59</v>
      </c>
      <c r="I433" s="7">
        <v>29596.32</v>
      </c>
      <c r="J433" s="8">
        <v>45537</v>
      </c>
      <c r="K433" s="6">
        <v>63</v>
      </c>
      <c r="L433" s="6" t="s">
        <v>49</v>
      </c>
      <c r="M433" s="6" t="b">
        <v>0</v>
      </c>
      <c r="N433" s="6">
        <v>6.43</v>
      </c>
      <c r="O433" s="6" t="s">
        <v>30</v>
      </c>
      <c r="P433" s="6" t="b">
        <v>1</v>
      </c>
      <c r="Q433" s="9" t="s">
        <v>36</v>
      </c>
    </row>
    <row r="434" spans="1:17" x14ac:dyDescent="0.25">
      <c r="A434" s="5" t="s">
        <v>484</v>
      </c>
      <c r="B434" s="6" t="s">
        <v>46</v>
      </c>
      <c r="C434" s="6" t="s">
        <v>33</v>
      </c>
      <c r="D434" s="6" t="s">
        <v>20</v>
      </c>
      <c r="E434" s="6" t="s">
        <v>21</v>
      </c>
      <c r="F434" s="6" t="s">
        <v>22</v>
      </c>
      <c r="G434" s="6">
        <v>50</v>
      </c>
      <c r="H434" s="7">
        <v>1196.73</v>
      </c>
      <c r="I434" s="7">
        <v>59836.5</v>
      </c>
      <c r="J434" s="8">
        <v>45392</v>
      </c>
      <c r="K434" s="6">
        <v>41</v>
      </c>
      <c r="L434" s="6" t="s">
        <v>23</v>
      </c>
      <c r="M434" s="6" t="b">
        <v>0</v>
      </c>
      <c r="N434" s="6">
        <v>23.47</v>
      </c>
      <c r="O434" s="6" t="s">
        <v>30</v>
      </c>
      <c r="P434" s="6" t="b">
        <v>0</v>
      </c>
      <c r="Q434" s="9" t="s">
        <v>36</v>
      </c>
    </row>
    <row r="435" spans="1:17" x14ac:dyDescent="0.25">
      <c r="A435" s="5" t="s">
        <v>485</v>
      </c>
      <c r="B435" s="6" t="s">
        <v>51</v>
      </c>
      <c r="C435" s="6" t="s">
        <v>39</v>
      </c>
      <c r="D435" s="6" t="s">
        <v>47</v>
      </c>
      <c r="E435" s="6" t="s">
        <v>21</v>
      </c>
      <c r="F435" s="6" t="s">
        <v>40</v>
      </c>
      <c r="G435" s="6">
        <v>13</v>
      </c>
      <c r="H435" s="7">
        <v>1214.3599999999999</v>
      </c>
      <c r="I435" s="7">
        <v>15786.68</v>
      </c>
      <c r="J435" s="8">
        <v>45578</v>
      </c>
      <c r="K435" s="6">
        <v>27</v>
      </c>
      <c r="L435" s="6" t="s">
        <v>49</v>
      </c>
      <c r="M435" s="6" t="b">
        <v>1</v>
      </c>
      <c r="N435" s="6">
        <v>4.43</v>
      </c>
      <c r="O435" s="6" t="s">
        <v>24</v>
      </c>
      <c r="P435" s="6" t="b">
        <v>0</v>
      </c>
      <c r="Q435" s="9" t="s">
        <v>36</v>
      </c>
    </row>
    <row r="436" spans="1:17" x14ac:dyDescent="0.25">
      <c r="A436" s="5" t="s">
        <v>486</v>
      </c>
      <c r="B436" s="6" t="s">
        <v>46</v>
      </c>
      <c r="C436" s="6" t="s">
        <v>19</v>
      </c>
      <c r="D436" s="6" t="s">
        <v>34</v>
      </c>
      <c r="E436" s="6" t="s">
        <v>28</v>
      </c>
      <c r="F436" s="6" t="s">
        <v>48</v>
      </c>
      <c r="G436" s="6">
        <v>15</v>
      </c>
      <c r="H436" s="7">
        <v>1088.42</v>
      </c>
      <c r="I436" s="7">
        <v>16326.3</v>
      </c>
      <c r="J436" s="8">
        <v>45521</v>
      </c>
      <c r="K436" s="6">
        <v>64</v>
      </c>
      <c r="L436" s="6" t="s">
        <v>41</v>
      </c>
      <c r="M436" s="6" t="b">
        <v>1</v>
      </c>
      <c r="N436" s="6">
        <v>14.21</v>
      </c>
      <c r="O436" s="6" t="s">
        <v>56</v>
      </c>
      <c r="P436" s="6" t="b">
        <v>0</v>
      </c>
      <c r="Q436" s="9" t="s">
        <v>36</v>
      </c>
    </row>
    <row r="437" spans="1:17" x14ac:dyDescent="0.25">
      <c r="A437" s="5" t="s">
        <v>487</v>
      </c>
      <c r="B437" s="6" t="s">
        <v>72</v>
      </c>
      <c r="C437" s="6" t="s">
        <v>19</v>
      </c>
      <c r="D437" s="6" t="s">
        <v>47</v>
      </c>
      <c r="E437" s="6" t="s">
        <v>28</v>
      </c>
      <c r="F437" s="6" t="s">
        <v>40</v>
      </c>
      <c r="G437" s="6">
        <v>53</v>
      </c>
      <c r="H437" s="7">
        <v>346.15</v>
      </c>
      <c r="I437" s="7">
        <v>18345.95</v>
      </c>
      <c r="J437" s="8">
        <v>45486</v>
      </c>
      <c r="K437" s="6">
        <v>56</v>
      </c>
      <c r="L437" s="6" t="s">
        <v>41</v>
      </c>
      <c r="M437" s="6" t="b">
        <v>0</v>
      </c>
      <c r="N437" s="6">
        <v>23.72</v>
      </c>
      <c r="O437" s="6" t="s">
        <v>30</v>
      </c>
      <c r="P437" s="6" t="b">
        <v>1</v>
      </c>
      <c r="Q437" s="9" t="s">
        <v>36</v>
      </c>
    </row>
    <row r="438" spans="1:17" x14ac:dyDescent="0.25">
      <c r="A438" s="5" t="s">
        <v>488</v>
      </c>
      <c r="B438" s="6" t="s">
        <v>32</v>
      </c>
      <c r="C438" s="6" t="s">
        <v>33</v>
      </c>
      <c r="D438" s="6" t="s">
        <v>20</v>
      </c>
      <c r="E438" s="6" t="s">
        <v>28</v>
      </c>
      <c r="F438" s="6" t="s">
        <v>40</v>
      </c>
      <c r="G438" s="6">
        <v>44</v>
      </c>
      <c r="H438" s="7">
        <v>408.45</v>
      </c>
      <c r="I438" s="7">
        <v>17971.8</v>
      </c>
      <c r="J438" s="8">
        <v>45305</v>
      </c>
      <c r="K438" s="6">
        <v>56</v>
      </c>
      <c r="L438" s="6" t="s">
        <v>23</v>
      </c>
      <c r="M438" s="6" t="b">
        <v>0</v>
      </c>
      <c r="N438" s="6">
        <v>8.4</v>
      </c>
      <c r="O438" s="6" t="s">
        <v>30</v>
      </c>
      <c r="P438" s="6" t="b">
        <v>1</v>
      </c>
      <c r="Q438" s="9" t="s">
        <v>25</v>
      </c>
    </row>
    <row r="439" spans="1:17" x14ac:dyDescent="0.25">
      <c r="A439" s="5" t="s">
        <v>489</v>
      </c>
      <c r="B439" s="6" t="s">
        <v>38</v>
      </c>
      <c r="C439" s="6" t="s">
        <v>33</v>
      </c>
      <c r="D439" s="6" t="s">
        <v>52</v>
      </c>
      <c r="E439" s="6" t="s">
        <v>35</v>
      </c>
      <c r="F439" s="6" t="s">
        <v>48</v>
      </c>
      <c r="G439" s="6">
        <v>8</v>
      </c>
      <c r="H439" s="7">
        <v>1494.33</v>
      </c>
      <c r="I439" s="7">
        <v>11954.64</v>
      </c>
      <c r="J439" s="8">
        <v>45103</v>
      </c>
      <c r="K439" s="6">
        <v>27</v>
      </c>
      <c r="L439" s="6" t="s">
        <v>41</v>
      </c>
      <c r="M439" s="6" t="b">
        <v>1</v>
      </c>
      <c r="N439" s="6">
        <v>25.11</v>
      </c>
      <c r="O439" s="6" t="s">
        <v>56</v>
      </c>
      <c r="P439" s="6" t="b">
        <v>0</v>
      </c>
      <c r="Q439" s="9" t="s">
        <v>25</v>
      </c>
    </row>
    <row r="440" spans="1:17" x14ac:dyDescent="0.25">
      <c r="A440" s="5" t="s">
        <v>490</v>
      </c>
      <c r="B440" s="6" t="s">
        <v>27</v>
      </c>
      <c r="C440" s="6" t="s">
        <v>39</v>
      </c>
      <c r="D440" s="6" t="s">
        <v>47</v>
      </c>
      <c r="E440" s="6" t="s">
        <v>28</v>
      </c>
      <c r="F440" s="6" t="s">
        <v>48</v>
      </c>
      <c r="G440" s="6">
        <v>74</v>
      </c>
      <c r="H440" s="7">
        <v>199.9</v>
      </c>
      <c r="I440" s="7">
        <v>14792.6</v>
      </c>
      <c r="J440" s="8">
        <v>44978</v>
      </c>
      <c r="K440" s="6">
        <v>53</v>
      </c>
      <c r="L440" s="6" t="s">
        <v>23</v>
      </c>
      <c r="M440" s="6" t="b">
        <v>1</v>
      </c>
      <c r="N440" s="6">
        <v>19.32</v>
      </c>
      <c r="O440" s="6" t="s">
        <v>42</v>
      </c>
      <c r="P440" s="6" t="b">
        <v>1</v>
      </c>
      <c r="Q440" s="9" t="s">
        <v>36</v>
      </c>
    </row>
    <row r="441" spans="1:17" x14ac:dyDescent="0.25">
      <c r="A441" s="5" t="s">
        <v>491</v>
      </c>
      <c r="B441" s="6" t="s">
        <v>32</v>
      </c>
      <c r="C441" s="6" t="s">
        <v>33</v>
      </c>
      <c r="D441" s="6" t="s">
        <v>47</v>
      </c>
      <c r="E441" s="6" t="s">
        <v>44</v>
      </c>
      <c r="F441" s="6" t="s">
        <v>48</v>
      </c>
      <c r="G441" s="6">
        <v>46</v>
      </c>
      <c r="H441" s="7">
        <v>311.95999999999998</v>
      </c>
      <c r="I441" s="7">
        <v>14350.16</v>
      </c>
      <c r="J441" s="8">
        <v>45005</v>
      </c>
      <c r="K441" s="6">
        <v>42</v>
      </c>
      <c r="L441" s="6" t="s">
        <v>41</v>
      </c>
      <c r="M441" s="6" t="b">
        <v>1</v>
      </c>
      <c r="N441" s="6">
        <v>11.93</v>
      </c>
      <c r="O441" s="6" t="s">
        <v>24</v>
      </c>
      <c r="P441" s="6" t="b">
        <v>0</v>
      </c>
      <c r="Q441" s="9" t="s">
        <v>25</v>
      </c>
    </row>
    <row r="442" spans="1:17" x14ac:dyDescent="0.25">
      <c r="A442" s="5" t="s">
        <v>492</v>
      </c>
      <c r="B442" s="6" t="s">
        <v>18</v>
      </c>
      <c r="C442" s="6" t="s">
        <v>39</v>
      </c>
      <c r="D442" s="6" t="s">
        <v>64</v>
      </c>
      <c r="E442" s="6" t="s">
        <v>28</v>
      </c>
      <c r="F442" s="6" t="s">
        <v>22</v>
      </c>
      <c r="G442" s="6">
        <v>69</v>
      </c>
      <c r="H442" s="7">
        <v>238.54</v>
      </c>
      <c r="I442" s="7">
        <v>16459.259999999998</v>
      </c>
      <c r="J442" s="8">
        <v>45311</v>
      </c>
      <c r="K442" s="6">
        <v>67</v>
      </c>
      <c r="L442" s="6" t="s">
        <v>41</v>
      </c>
      <c r="M442" s="6" t="b">
        <v>1</v>
      </c>
      <c r="N442" s="6">
        <v>12.7</v>
      </c>
      <c r="O442" s="6" t="s">
        <v>30</v>
      </c>
      <c r="P442" s="6" t="b">
        <v>1</v>
      </c>
      <c r="Q442" s="9" t="s">
        <v>36</v>
      </c>
    </row>
    <row r="443" spans="1:17" x14ac:dyDescent="0.25">
      <c r="A443" s="5" t="s">
        <v>493</v>
      </c>
      <c r="B443" s="6" t="s">
        <v>66</v>
      </c>
      <c r="C443" s="6" t="s">
        <v>19</v>
      </c>
      <c r="D443" s="6" t="s">
        <v>20</v>
      </c>
      <c r="E443" s="6" t="s">
        <v>21</v>
      </c>
      <c r="F443" s="6" t="s">
        <v>48</v>
      </c>
      <c r="G443" s="6">
        <v>19</v>
      </c>
      <c r="H443" s="7">
        <v>525.1</v>
      </c>
      <c r="I443" s="7">
        <v>9976.9</v>
      </c>
      <c r="J443" s="8">
        <v>45502</v>
      </c>
      <c r="K443" s="6">
        <v>27</v>
      </c>
      <c r="L443" s="6" t="s">
        <v>49</v>
      </c>
      <c r="M443" s="6" t="b">
        <v>1</v>
      </c>
      <c r="N443" s="6">
        <v>27.78</v>
      </c>
      <c r="O443" s="6" t="s">
        <v>30</v>
      </c>
      <c r="P443" s="6" t="b">
        <v>1</v>
      </c>
      <c r="Q443" s="9" t="s">
        <v>36</v>
      </c>
    </row>
    <row r="444" spans="1:17" x14ac:dyDescent="0.25">
      <c r="A444" s="5" t="s">
        <v>494</v>
      </c>
      <c r="B444" s="6" t="s">
        <v>72</v>
      </c>
      <c r="C444" s="6" t="s">
        <v>19</v>
      </c>
      <c r="D444" s="6" t="s">
        <v>52</v>
      </c>
      <c r="E444" s="6" t="s">
        <v>28</v>
      </c>
      <c r="F444" s="6" t="s">
        <v>29</v>
      </c>
      <c r="G444" s="6">
        <v>38</v>
      </c>
      <c r="H444" s="7">
        <v>354.75</v>
      </c>
      <c r="I444" s="7">
        <v>13480.5</v>
      </c>
      <c r="J444" s="8">
        <v>44934</v>
      </c>
      <c r="K444" s="6">
        <v>36</v>
      </c>
      <c r="L444" s="6" t="s">
        <v>23</v>
      </c>
      <c r="M444" s="6" t="b">
        <v>0</v>
      </c>
      <c r="N444" s="6">
        <v>6.53</v>
      </c>
      <c r="O444" s="6" t="s">
        <v>56</v>
      </c>
      <c r="P444" s="6" t="b">
        <v>1</v>
      </c>
      <c r="Q444" s="9" t="s">
        <v>36</v>
      </c>
    </row>
    <row r="445" spans="1:17" x14ac:dyDescent="0.25">
      <c r="A445" s="5" t="s">
        <v>495</v>
      </c>
      <c r="B445" s="6" t="s">
        <v>27</v>
      </c>
      <c r="C445" s="6" t="s">
        <v>39</v>
      </c>
      <c r="D445" s="6" t="s">
        <v>47</v>
      </c>
      <c r="E445" s="6" t="s">
        <v>35</v>
      </c>
      <c r="F445" s="6" t="s">
        <v>48</v>
      </c>
      <c r="G445" s="6">
        <v>11</v>
      </c>
      <c r="H445" s="7">
        <v>771.65</v>
      </c>
      <c r="I445" s="7">
        <v>8488.15</v>
      </c>
      <c r="J445" s="8">
        <v>45140</v>
      </c>
      <c r="K445" s="6">
        <v>63</v>
      </c>
      <c r="L445" s="6" t="s">
        <v>23</v>
      </c>
      <c r="M445" s="6" t="b">
        <v>0</v>
      </c>
      <c r="N445" s="6">
        <v>20.8</v>
      </c>
      <c r="O445" s="6" t="s">
        <v>30</v>
      </c>
      <c r="P445" s="6" t="b">
        <v>0</v>
      </c>
      <c r="Q445" s="9" t="s">
        <v>36</v>
      </c>
    </row>
    <row r="446" spans="1:17" x14ac:dyDescent="0.25">
      <c r="A446" s="5" t="s">
        <v>496</v>
      </c>
      <c r="B446" s="6" t="s">
        <v>32</v>
      </c>
      <c r="C446" s="6" t="s">
        <v>33</v>
      </c>
      <c r="D446" s="6" t="s">
        <v>47</v>
      </c>
      <c r="E446" s="6" t="s">
        <v>35</v>
      </c>
      <c r="F446" s="6" t="s">
        <v>48</v>
      </c>
      <c r="G446" s="6">
        <v>43</v>
      </c>
      <c r="H446" s="7">
        <v>740.23</v>
      </c>
      <c r="I446" s="7">
        <v>31829.89</v>
      </c>
      <c r="J446" s="8">
        <v>44951</v>
      </c>
      <c r="K446" s="6">
        <v>62</v>
      </c>
      <c r="L446" s="6" t="s">
        <v>41</v>
      </c>
      <c r="M446" s="6" t="b">
        <v>1</v>
      </c>
      <c r="N446" s="6">
        <v>21.22</v>
      </c>
      <c r="O446" s="6" t="s">
        <v>24</v>
      </c>
      <c r="P446" s="6" t="b">
        <v>1</v>
      </c>
      <c r="Q446" s="9" t="s">
        <v>36</v>
      </c>
    </row>
    <row r="447" spans="1:17" x14ac:dyDescent="0.25">
      <c r="A447" s="5" t="s">
        <v>497</v>
      </c>
      <c r="B447" s="6" t="s">
        <v>66</v>
      </c>
      <c r="C447" s="6" t="s">
        <v>19</v>
      </c>
      <c r="D447" s="6" t="s">
        <v>52</v>
      </c>
      <c r="E447" s="6" t="s">
        <v>44</v>
      </c>
      <c r="F447" s="6" t="s">
        <v>48</v>
      </c>
      <c r="G447" s="6">
        <v>20</v>
      </c>
      <c r="H447" s="7">
        <v>1357.18</v>
      </c>
      <c r="I447" s="7">
        <v>27143.599999999999</v>
      </c>
      <c r="J447" s="8">
        <v>45376</v>
      </c>
      <c r="K447" s="6">
        <v>32</v>
      </c>
      <c r="L447" s="6" t="s">
        <v>49</v>
      </c>
      <c r="M447" s="6" t="b">
        <v>1</v>
      </c>
      <c r="N447" s="6">
        <v>27.67</v>
      </c>
      <c r="O447" s="6" t="s">
        <v>30</v>
      </c>
      <c r="P447" s="6" t="b">
        <v>0</v>
      </c>
      <c r="Q447" s="9" t="s">
        <v>25</v>
      </c>
    </row>
    <row r="448" spans="1:17" x14ac:dyDescent="0.25">
      <c r="A448" s="5" t="s">
        <v>498</v>
      </c>
      <c r="B448" s="6" t="s">
        <v>51</v>
      </c>
      <c r="C448" s="6" t="s">
        <v>33</v>
      </c>
      <c r="D448" s="6" t="s">
        <v>20</v>
      </c>
      <c r="E448" s="6" t="s">
        <v>35</v>
      </c>
      <c r="F448" s="6" t="s">
        <v>40</v>
      </c>
      <c r="G448" s="6">
        <v>20</v>
      </c>
      <c r="H448" s="7">
        <v>100.37</v>
      </c>
      <c r="I448" s="7">
        <v>2007.4</v>
      </c>
      <c r="J448" s="8">
        <v>45383</v>
      </c>
      <c r="K448" s="6">
        <v>33</v>
      </c>
      <c r="L448" s="6" t="s">
        <v>49</v>
      </c>
      <c r="M448" s="6" t="b">
        <v>1</v>
      </c>
      <c r="N448" s="6">
        <v>21.39</v>
      </c>
      <c r="O448" s="6" t="s">
        <v>42</v>
      </c>
      <c r="P448" s="6" t="b">
        <v>0</v>
      </c>
      <c r="Q448" s="9" t="s">
        <v>25</v>
      </c>
    </row>
    <row r="449" spans="1:17" x14ac:dyDescent="0.25">
      <c r="A449" s="5" t="s">
        <v>499</v>
      </c>
      <c r="B449" s="6" t="s">
        <v>72</v>
      </c>
      <c r="C449" s="6" t="s">
        <v>19</v>
      </c>
      <c r="D449" s="6" t="s">
        <v>64</v>
      </c>
      <c r="E449" s="6" t="s">
        <v>28</v>
      </c>
      <c r="F449" s="6" t="s">
        <v>22</v>
      </c>
      <c r="G449" s="6">
        <v>21</v>
      </c>
      <c r="H449" s="7">
        <v>513.83000000000004</v>
      </c>
      <c r="I449" s="7">
        <v>10790.43</v>
      </c>
      <c r="J449" s="8">
        <v>45387</v>
      </c>
      <c r="K449" s="6">
        <v>19</v>
      </c>
      <c r="L449" s="6" t="s">
        <v>23</v>
      </c>
      <c r="M449" s="6" t="b">
        <v>1</v>
      </c>
      <c r="N449" s="6">
        <v>17.53</v>
      </c>
      <c r="O449" s="6" t="s">
        <v>24</v>
      </c>
      <c r="P449" s="6" t="b">
        <v>0</v>
      </c>
      <c r="Q449" s="9" t="s">
        <v>36</v>
      </c>
    </row>
    <row r="450" spans="1:17" x14ac:dyDescent="0.25">
      <c r="A450" s="5" t="s">
        <v>500</v>
      </c>
      <c r="B450" s="6" t="s">
        <v>72</v>
      </c>
      <c r="C450" s="6" t="s">
        <v>39</v>
      </c>
      <c r="D450" s="6" t="s">
        <v>47</v>
      </c>
      <c r="E450" s="6" t="s">
        <v>21</v>
      </c>
      <c r="F450" s="6" t="s">
        <v>48</v>
      </c>
      <c r="G450" s="6">
        <v>82</v>
      </c>
      <c r="H450" s="7">
        <v>915.15</v>
      </c>
      <c r="I450" s="7">
        <v>75042.3</v>
      </c>
      <c r="J450" s="8">
        <v>45124</v>
      </c>
      <c r="K450" s="6">
        <v>46</v>
      </c>
      <c r="L450" s="6" t="s">
        <v>23</v>
      </c>
      <c r="M450" s="6" t="b">
        <v>0</v>
      </c>
      <c r="N450" s="6">
        <v>27.08</v>
      </c>
      <c r="O450" s="6" t="s">
        <v>42</v>
      </c>
      <c r="P450" s="6" t="b">
        <v>1</v>
      </c>
      <c r="Q450" s="9" t="s">
        <v>36</v>
      </c>
    </row>
    <row r="451" spans="1:17" x14ac:dyDescent="0.25">
      <c r="A451" s="5" t="s">
        <v>501</v>
      </c>
      <c r="B451" s="6" t="s">
        <v>51</v>
      </c>
      <c r="C451" s="6" t="s">
        <v>39</v>
      </c>
      <c r="D451" s="6" t="s">
        <v>64</v>
      </c>
      <c r="E451" s="6" t="s">
        <v>35</v>
      </c>
      <c r="F451" s="6" t="s">
        <v>22</v>
      </c>
      <c r="G451" s="6">
        <v>57</v>
      </c>
      <c r="H451" s="7">
        <v>926.96</v>
      </c>
      <c r="I451" s="7">
        <v>52836.72</v>
      </c>
      <c r="J451" s="8">
        <v>45020</v>
      </c>
      <c r="K451" s="6">
        <v>21</v>
      </c>
      <c r="L451" s="6" t="s">
        <v>41</v>
      </c>
      <c r="M451" s="6" t="b">
        <v>0</v>
      </c>
      <c r="N451" s="6">
        <v>24.87</v>
      </c>
      <c r="O451" s="6" t="s">
        <v>56</v>
      </c>
      <c r="P451" s="6" t="b">
        <v>1</v>
      </c>
      <c r="Q451" s="9" t="s">
        <v>25</v>
      </c>
    </row>
    <row r="452" spans="1:17" x14ac:dyDescent="0.25">
      <c r="A452" s="5" t="s">
        <v>502</v>
      </c>
      <c r="B452" s="6" t="s">
        <v>38</v>
      </c>
      <c r="C452" s="6" t="s">
        <v>39</v>
      </c>
      <c r="D452" s="6" t="s">
        <v>34</v>
      </c>
      <c r="E452" s="6" t="s">
        <v>44</v>
      </c>
      <c r="F452" s="6" t="s">
        <v>29</v>
      </c>
      <c r="G452" s="6">
        <v>50</v>
      </c>
      <c r="H452" s="7">
        <v>746.18</v>
      </c>
      <c r="I452" s="7">
        <v>37309</v>
      </c>
      <c r="J452" s="8">
        <v>45363</v>
      </c>
      <c r="K452" s="6">
        <v>67</v>
      </c>
      <c r="L452" s="6" t="s">
        <v>23</v>
      </c>
      <c r="M452" s="6" t="b">
        <v>1</v>
      </c>
      <c r="N452" s="6">
        <v>21.5</v>
      </c>
      <c r="O452" s="6" t="s">
        <v>24</v>
      </c>
      <c r="P452" s="6" t="b">
        <v>1</v>
      </c>
      <c r="Q452" s="9" t="s">
        <v>36</v>
      </c>
    </row>
    <row r="453" spans="1:17" x14ac:dyDescent="0.25">
      <c r="A453" s="5" t="s">
        <v>503</v>
      </c>
      <c r="B453" s="6" t="s">
        <v>51</v>
      </c>
      <c r="C453" s="6" t="s">
        <v>19</v>
      </c>
      <c r="D453" s="6" t="s">
        <v>20</v>
      </c>
      <c r="E453" s="6" t="s">
        <v>28</v>
      </c>
      <c r="F453" s="6" t="s">
        <v>29</v>
      </c>
      <c r="G453" s="6">
        <v>74</v>
      </c>
      <c r="H453" s="7">
        <v>1232.72</v>
      </c>
      <c r="I453" s="7">
        <v>91221.28</v>
      </c>
      <c r="J453" s="8">
        <v>45453</v>
      </c>
      <c r="K453" s="6">
        <v>46</v>
      </c>
      <c r="L453" s="6" t="s">
        <v>41</v>
      </c>
      <c r="M453" s="6" t="b">
        <v>0</v>
      </c>
      <c r="N453" s="6">
        <v>0.98</v>
      </c>
      <c r="O453" s="6" t="s">
        <v>30</v>
      </c>
      <c r="P453" s="6" t="b">
        <v>0</v>
      </c>
      <c r="Q453" s="9" t="s">
        <v>36</v>
      </c>
    </row>
    <row r="454" spans="1:17" x14ac:dyDescent="0.25">
      <c r="A454" s="5" t="s">
        <v>504</v>
      </c>
      <c r="B454" s="6" t="s">
        <v>72</v>
      </c>
      <c r="C454" s="6" t="s">
        <v>33</v>
      </c>
      <c r="D454" s="6" t="s">
        <v>34</v>
      </c>
      <c r="E454" s="6" t="s">
        <v>44</v>
      </c>
      <c r="F454" s="6" t="s">
        <v>48</v>
      </c>
      <c r="G454" s="6">
        <v>98</v>
      </c>
      <c r="H454" s="7">
        <v>140.94999999999999</v>
      </c>
      <c r="I454" s="7">
        <v>13813.1</v>
      </c>
      <c r="J454" s="8">
        <v>45304</v>
      </c>
      <c r="K454" s="6">
        <v>48</v>
      </c>
      <c r="L454" s="6" t="s">
        <v>49</v>
      </c>
      <c r="M454" s="6" t="b">
        <v>1</v>
      </c>
      <c r="N454" s="6">
        <v>11.21</v>
      </c>
      <c r="O454" s="6" t="s">
        <v>24</v>
      </c>
      <c r="P454" s="6" t="b">
        <v>1</v>
      </c>
      <c r="Q454" s="9" t="s">
        <v>36</v>
      </c>
    </row>
    <row r="455" spans="1:17" x14ac:dyDescent="0.25">
      <c r="A455" s="5" t="s">
        <v>505</v>
      </c>
      <c r="B455" s="6" t="s">
        <v>72</v>
      </c>
      <c r="C455" s="6" t="s">
        <v>33</v>
      </c>
      <c r="D455" s="6" t="s">
        <v>34</v>
      </c>
      <c r="E455" s="6" t="s">
        <v>35</v>
      </c>
      <c r="F455" s="6" t="s">
        <v>29</v>
      </c>
      <c r="G455" s="6">
        <v>26</v>
      </c>
      <c r="H455" s="7">
        <v>1232.46</v>
      </c>
      <c r="I455" s="7">
        <v>32043.96</v>
      </c>
      <c r="J455" s="8">
        <v>45513</v>
      </c>
      <c r="K455" s="6">
        <v>34</v>
      </c>
      <c r="L455" s="6" t="s">
        <v>23</v>
      </c>
      <c r="M455" s="6" t="b">
        <v>1</v>
      </c>
      <c r="N455" s="6">
        <v>18.96</v>
      </c>
      <c r="O455" s="6" t="s">
        <v>24</v>
      </c>
      <c r="P455" s="6" t="b">
        <v>1</v>
      </c>
      <c r="Q455" s="9" t="s">
        <v>25</v>
      </c>
    </row>
    <row r="456" spans="1:17" x14ac:dyDescent="0.25">
      <c r="A456" s="5" t="s">
        <v>506</v>
      </c>
      <c r="B456" s="6" t="s">
        <v>32</v>
      </c>
      <c r="C456" s="6" t="s">
        <v>33</v>
      </c>
      <c r="D456" s="6" t="s">
        <v>34</v>
      </c>
      <c r="E456" s="6" t="s">
        <v>35</v>
      </c>
      <c r="F456" s="6" t="s">
        <v>22</v>
      </c>
      <c r="G456" s="6">
        <v>30</v>
      </c>
      <c r="H456" s="7">
        <v>767.39</v>
      </c>
      <c r="I456" s="7">
        <v>23021.7</v>
      </c>
      <c r="J456" s="8">
        <v>45030</v>
      </c>
      <c r="K456" s="6">
        <v>27</v>
      </c>
      <c r="L456" s="6" t="s">
        <v>49</v>
      </c>
      <c r="M456" s="6" t="b">
        <v>0</v>
      </c>
      <c r="N456" s="6">
        <v>15.67</v>
      </c>
      <c r="O456" s="6" t="s">
        <v>24</v>
      </c>
      <c r="P456" s="6" t="b">
        <v>0</v>
      </c>
      <c r="Q456" s="9" t="s">
        <v>36</v>
      </c>
    </row>
    <row r="457" spans="1:17" x14ac:dyDescent="0.25">
      <c r="A457" s="5" t="s">
        <v>507</v>
      </c>
      <c r="B457" s="6" t="s">
        <v>46</v>
      </c>
      <c r="C457" s="6" t="s">
        <v>19</v>
      </c>
      <c r="D457" s="6" t="s">
        <v>20</v>
      </c>
      <c r="E457" s="6" t="s">
        <v>44</v>
      </c>
      <c r="F457" s="6" t="s">
        <v>40</v>
      </c>
      <c r="G457" s="6">
        <v>73</v>
      </c>
      <c r="H457" s="7">
        <v>243.95</v>
      </c>
      <c r="I457" s="7">
        <v>17808.349999999999</v>
      </c>
      <c r="J457" s="8">
        <v>45553</v>
      </c>
      <c r="K457" s="6">
        <v>44</v>
      </c>
      <c r="L457" s="6" t="s">
        <v>49</v>
      </c>
      <c r="M457" s="6" t="b">
        <v>1</v>
      </c>
      <c r="N457" s="6">
        <v>9.58</v>
      </c>
      <c r="O457" s="6" t="s">
        <v>42</v>
      </c>
      <c r="P457" s="6" t="b">
        <v>0</v>
      </c>
      <c r="Q457" s="9" t="s">
        <v>36</v>
      </c>
    </row>
    <row r="458" spans="1:17" x14ac:dyDescent="0.25">
      <c r="A458" s="5" t="s">
        <v>508</v>
      </c>
      <c r="B458" s="6" t="s">
        <v>66</v>
      </c>
      <c r="C458" s="6" t="s">
        <v>19</v>
      </c>
      <c r="D458" s="6" t="s">
        <v>20</v>
      </c>
      <c r="E458" s="6" t="s">
        <v>28</v>
      </c>
      <c r="F458" s="6" t="s">
        <v>48</v>
      </c>
      <c r="G458" s="6">
        <v>31</v>
      </c>
      <c r="H458" s="7">
        <v>1334.27</v>
      </c>
      <c r="I458" s="7">
        <v>41362.370000000003</v>
      </c>
      <c r="J458" s="8">
        <v>44965</v>
      </c>
      <c r="K458" s="6">
        <v>58</v>
      </c>
      <c r="L458" s="6" t="s">
        <v>41</v>
      </c>
      <c r="M458" s="6" t="b">
        <v>0</v>
      </c>
      <c r="N458" s="6">
        <v>4.33</v>
      </c>
      <c r="O458" s="6" t="s">
        <v>56</v>
      </c>
      <c r="P458" s="6" t="b">
        <v>0</v>
      </c>
      <c r="Q458" s="9" t="s">
        <v>25</v>
      </c>
    </row>
    <row r="459" spans="1:17" x14ac:dyDescent="0.25">
      <c r="A459" s="5" t="s">
        <v>509</v>
      </c>
      <c r="B459" s="6" t="s">
        <v>51</v>
      </c>
      <c r="C459" s="6" t="s">
        <v>19</v>
      </c>
      <c r="D459" s="6" t="s">
        <v>52</v>
      </c>
      <c r="E459" s="6" t="s">
        <v>35</v>
      </c>
      <c r="F459" s="6" t="s">
        <v>29</v>
      </c>
      <c r="G459" s="6">
        <v>42</v>
      </c>
      <c r="H459" s="7">
        <v>991.38</v>
      </c>
      <c r="I459" s="7">
        <v>41637.96</v>
      </c>
      <c r="J459" s="8">
        <v>45384</v>
      </c>
      <c r="K459" s="6">
        <v>32</v>
      </c>
      <c r="L459" s="6" t="s">
        <v>49</v>
      </c>
      <c r="M459" s="6" t="b">
        <v>1</v>
      </c>
      <c r="N459" s="6">
        <v>16.59</v>
      </c>
      <c r="O459" s="6" t="s">
        <v>24</v>
      </c>
      <c r="P459" s="6" t="b">
        <v>1</v>
      </c>
      <c r="Q459" s="9" t="s">
        <v>36</v>
      </c>
    </row>
    <row r="460" spans="1:17" x14ac:dyDescent="0.25">
      <c r="A460" s="5" t="s">
        <v>510</v>
      </c>
      <c r="B460" s="6" t="s">
        <v>66</v>
      </c>
      <c r="C460" s="6" t="s">
        <v>19</v>
      </c>
      <c r="D460" s="6" t="s">
        <v>64</v>
      </c>
      <c r="E460" s="6" t="s">
        <v>21</v>
      </c>
      <c r="F460" s="6" t="s">
        <v>22</v>
      </c>
      <c r="G460" s="6">
        <v>68</v>
      </c>
      <c r="H460" s="7">
        <v>287.14</v>
      </c>
      <c r="I460" s="7">
        <v>19525.52</v>
      </c>
      <c r="J460" s="8">
        <v>45290</v>
      </c>
      <c r="K460" s="6">
        <v>61</v>
      </c>
      <c r="L460" s="6" t="s">
        <v>41</v>
      </c>
      <c r="M460" s="6" t="b">
        <v>1</v>
      </c>
      <c r="N460" s="6">
        <v>8.58</v>
      </c>
      <c r="O460" s="6" t="s">
        <v>30</v>
      </c>
      <c r="P460" s="6" t="b">
        <v>1</v>
      </c>
      <c r="Q460" s="9" t="s">
        <v>36</v>
      </c>
    </row>
    <row r="461" spans="1:17" x14ac:dyDescent="0.25">
      <c r="A461" s="5" t="s">
        <v>511</v>
      </c>
      <c r="B461" s="6" t="s">
        <v>51</v>
      </c>
      <c r="C461" s="6" t="s">
        <v>19</v>
      </c>
      <c r="D461" s="6" t="s">
        <v>64</v>
      </c>
      <c r="E461" s="6" t="s">
        <v>35</v>
      </c>
      <c r="F461" s="6" t="s">
        <v>22</v>
      </c>
      <c r="G461" s="6">
        <v>61</v>
      </c>
      <c r="H461" s="7">
        <v>98.79</v>
      </c>
      <c r="I461" s="7">
        <v>6026.19</v>
      </c>
      <c r="J461" s="8">
        <v>45061</v>
      </c>
      <c r="K461" s="6">
        <v>48</v>
      </c>
      <c r="L461" s="6" t="s">
        <v>41</v>
      </c>
      <c r="M461" s="6" t="b">
        <v>1</v>
      </c>
      <c r="N461" s="6">
        <v>6.99</v>
      </c>
      <c r="O461" s="6" t="s">
        <v>24</v>
      </c>
      <c r="P461" s="6" t="b">
        <v>0</v>
      </c>
      <c r="Q461" s="9" t="s">
        <v>25</v>
      </c>
    </row>
    <row r="462" spans="1:17" x14ac:dyDescent="0.25">
      <c r="A462" s="5" t="s">
        <v>512</v>
      </c>
      <c r="B462" s="6" t="s">
        <v>18</v>
      </c>
      <c r="C462" s="6" t="s">
        <v>33</v>
      </c>
      <c r="D462" s="6" t="s">
        <v>52</v>
      </c>
      <c r="E462" s="6" t="s">
        <v>28</v>
      </c>
      <c r="F462" s="6" t="s">
        <v>29</v>
      </c>
      <c r="G462" s="6">
        <v>61</v>
      </c>
      <c r="H462" s="7">
        <v>254.61</v>
      </c>
      <c r="I462" s="7">
        <v>15531.21</v>
      </c>
      <c r="J462" s="8">
        <v>45300</v>
      </c>
      <c r="K462" s="6">
        <v>38</v>
      </c>
      <c r="L462" s="6" t="s">
        <v>49</v>
      </c>
      <c r="M462" s="6" t="b">
        <v>1</v>
      </c>
      <c r="N462" s="6">
        <v>11.97</v>
      </c>
      <c r="O462" s="6" t="s">
        <v>24</v>
      </c>
      <c r="P462" s="6" t="b">
        <v>1</v>
      </c>
      <c r="Q462" s="9" t="s">
        <v>25</v>
      </c>
    </row>
    <row r="463" spans="1:17" x14ac:dyDescent="0.25">
      <c r="A463" s="5" t="s">
        <v>513</v>
      </c>
      <c r="B463" s="6" t="s">
        <v>72</v>
      </c>
      <c r="C463" s="6" t="s">
        <v>19</v>
      </c>
      <c r="D463" s="6" t="s">
        <v>52</v>
      </c>
      <c r="E463" s="6" t="s">
        <v>35</v>
      </c>
      <c r="F463" s="6" t="s">
        <v>22</v>
      </c>
      <c r="G463" s="6">
        <v>70</v>
      </c>
      <c r="H463" s="7">
        <v>932.76</v>
      </c>
      <c r="I463" s="7">
        <v>65293.2</v>
      </c>
      <c r="J463" s="8">
        <v>45158</v>
      </c>
      <c r="K463" s="6">
        <v>58</v>
      </c>
      <c r="L463" s="6" t="s">
        <v>49</v>
      </c>
      <c r="M463" s="6" t="b">
        <v>0</v>
      </c>
      <c r="N463" s="6">
        <v>23.56</v>
      </c>
      <c r="O463" s="6" t="s">
        <v>56</v>
      </c>
      <c r="P463" s="6" t="b">
        <v>0</v>
      </c>
      <c r="Q463" s="9" t="s">
        <v>36</v>
      </c>
    </row>
    <row r="464" spans="1:17" x14ac:dyDescent="0.25">
      <c r="A464" s="5" t="s">
        <v>514</v>
      </c>
      <c r="B464" s="6" t="s">
        <v>46</v>
      </c>
      <c r="C464" s="6" t="s">
        <v>19</v>
      </c>
      <c r="D464" s="6" t="s">
        <v>34</v>
      </c>
      <c r="E464" s="6" t="s">
        <v>44</v>
      </c>
      <c r="F464" s="6" t="s">
        <v>22</v>
      </c>
      <c r="G464" s="6">
        <v>78</v>
      </c>
      <c r="H464" s="7">
        <v>309.98</v>
      </c>
      <c r="I464" s="7">
        <v>24178.44</v>
      </c>
      <c r="J464" s="8">
        <v>44965</v>
      </c>
      <c r="K464" s="6">
        <v>63</v>
      </c>
      <c r="L464" s="6" t="s">
        <v>41</v>
      </c>
      <c r="M464" s="6" t="b">
        <v>1</v>
      </c>
      <c r="N464" s="6">
        <v>14.64</v>
      </c>
      <c r="O464" s="6" t="s">
        <v>30</v>
      </c>
      <c r="P464" s="6" t="b">
        <v>1</v>
      </c>
      <c r="Q464" s="9" t="s">
        <v>25</v>
      </c>
    </row>
    <row r="465" spans="1:17" x14ac:dyDescent="0.25">
      <c r="A465" s="5" t="s">
        <v>515</v>
      </c>
      <c r="B465" s="6" t="s">
        <v>32</v>
      </c>
      <c r="C465" s="6" t="s">
        <v>33</v>
      </c>
      <c r="D465" s="6" t="s">
        <v>52</v>
      </c>
      <c r="E465" s="6" t="s">
        <v>35</v>
      </c>
      <c r="F465" s="6" t="s">
        <v>48</v>
      </c>
      <c r="G465" s="6">
        <v>68</v>
      </c>
      <c r="H465" s="7">
        <v>377.36</v>
      </c>
      <c r="I465" s="7">
        <v>25660.48</v>
      </c>
      <c r="J465" s="8">
        <v>44973</v>
      </c>
      <c r="K465" s="6">
        <v>62</v>
      </c>
      <c r="L465" s="6" t="s">
        <v>41</v>
      </c>
      <c r="M465" s="6" t="b">
        <v>0</v>
      </c>
      <c r="N465" s="6">
        <v>6.49</v>
      </c>
      <c r="O465" s="6" t="s">
        <v>30</v>
      </c>
      <c r="P465" s="6" t="b">
        <v>0</v>
      </c>
      <c r="Q465" s="9" t="s">
        <v>36</v>
      </c>
    </row>
    <row r="466" spans="1:17" x14ac:dyDescent="0.25">
      <c r="A466" s="5" t="s">
        <v>516</v>
      </c>
      <c r="B466" s="6" t="s">
        <v>46</v>
      </c>
      <c r="C466" s="6" t="s">
        <v>19</v>
      </c>
      <c r="D466" s="6" t="s">
        <v>47</v>
      </c>
      <c r="E466" s="6" t="s">
        <v>35</v>
      </c>
      <c r="F466" s="6" t="s">
        <v>22</v>
      </c>
      <c r="G466" s="6">
        <v>90</v>
      </c>
      <c r="H466" s="7">
        <v>86.45</v>
      </c>
      <c r="I466" s="7">
        <v>7780.5</v>
      </c>
      <c r="J466" s="8">
        <v>44962</v>
      </c>
      <c r="K466" s="6">
        <v>43</v>
      </c>
      <c r="L466" s="6" t="s">
        <v>49</v>
      </c>
      <c r="M466" s="6" t="b">
        <v>0</v>
      </c>
      <c r="N466" s="6">
        <v>3.51</v>
      </c>
      <c r="O466" s="6" t="s">
        <v>42</v>
      </c>
      <c r="P466" s="6" t="b">
        <v>1</v>
      </c>
      <c r="Q466" s="9" t="s">
        <v>36</v>
      </c>
    </row>
    <row r="467" spans="1:17" x14ac:dyDescent="0.25">
      <c r="A467" s="5" t="s">
        <v>517</v>
      </c>
      <c r="B467" s="6" t="s">
        <v>46</v>
      </c>
      <c r="C467" s="6" t="s">
        <v>33</v>
      </c>
      <c r="D467" s="6" t="s">
        <v>64</v>
      </c>
      <c r="E467" s="6" t="s">
        <v>28</v>
      </c>
      <c r="F467" s="6" t="s">
        <v>29</v>
      </c>
      <c r="G467" s="6">
        <v>17</v>
      </c>
      <c r="H467" s="7">
        <v>1098.25</v>
      </c>
      <c r="I467" s="7">
        <v>18670.25</v>
      </c>
      <c r="J467" s="8">
        <v>45021</v>
      </c>
      <c r="K467" s="6">
        <v>55</v>
      </c>
      <c r="L467" s="6" t="s">
        <v>41</v>
      </c>
      <c r="M467" s="6" t="b">
        <v>1</v>
      </c>
      <c r="N467" s="6">
        <v>14.97</v>
      </c>
      <c r="O467" s="6" t="s">
        <v>30</v>
      </c>
      <c r="P467" s="6" t="b">
        <v>0</v>
      </c>
      <c r="Q467" s="9" t="s">
        <v>25</v>
      </c>
    </row>
    <row r="468" spans="1:17" x14ac:dyDescent="0.25">
      <c r="A468" s="5" t="s">
        <v>518</v>
      </c>
      <c r="B468" s="6" t="s">
        <v>46</v>
      </c>
      <c r="C468" s="6" t="s">
        <v>33</v>
      </c>
      <c r="D468" s="6" t="s">
        <v>52</v>
      </c>
      <c r="E468" s="6" t="s">
        <v>44</v>
      </c>
      <c r="F468" s="6" t="s">
        <v>48</v>
      </c>
      <c r="G468" s="6">
        <v>19</v>
      </c>
      <c r="H468" s="7">
        <v>1225.03</v>
      </c>
      <c r="I468" s="7">
        <v>23275.57</v>
      </c>
      <c r="J468" s="8">
        <v>45287</v>
      </c>
      <c r="K468" s="6">
        <v>68</v>
      </c>
      <c r="L468" s="6" t="s">
        <v>41</v>
      </c>
      <c r="M468" s="6" t="b">
        <v>0</v>
      </c>
      <c r="N468" s="6">
        <v>23.83</v>
      </c>
      <c r="O468" s="6" t="s">
        <v>30</v>
      </c>
      <c r="P468" s="6" t="b">
        <v>0</v>
      </c>
      <c r="Q468" s="9" t="s">
        <v>36</v>
      </c>
    </row>
    <row r="469" spans="1:17" x14ac:dyDescent="0.25">
      <c r="A469" s="5" t="s">
        <v>519</v>
      </c>
      <c r="B469" s="6" t="s">
        <v>66</v>
      </c>
      <c r="C469" s="6" t="s">
        <v>39</v>
      </c>
      <c r="D469" s="6" t="s">
        <v>47</v>
      </c>
      <c r="E469" s="6" t="s">
        <v>28</v>
      </c>
      <c r="F469" s="6" t="s">
        <v>29</v>
      </c>
      <c r="G469" s="6">
        <v>51</v>
      </c>
      <c r="H469" s="7">
        <v>1205.43</v>
      </c>
      <c r="I469" s="7">
        <v>61476.93</v>
      </c>
      <c r="J469" s="8">
        <v>45451</v>
      </c>
      <c r="K469" s="6">
        <v>53</v>
      </c>
      <c r="L469" s="6" t="s">
        <v>23</v>
      </c>
      <c r="M469" s="6" t="b">
        <v>1</v>
      </c>
      <c r="N469" s="6">
        <v>19.579999999999998</v>
      </c>
      <c r="O469" s="6" t="s">
        <v>30</v>
      </c>
      <c r="P469" s="6" t="b">
        <v>0</v>
      </c>
      <c r="Q469" s="9" t="s">
        <v>25</v>
      </c>
    </row>
    <row r="470" spans="1:17" x14ac:dyDescent="0.25">
      <c r="A470" s="5" t="s">
        <v>520</v>
      </c>
      <c r="B470" s="6" t="s">
        <v>51</v>
      </c>
      <c r="C470" s="6" t="s">
        <v>39</v>
      </c>
      <c r="D470" s="6" t="s">
        <v>47</v>
      </c>
      <c r="E470" s="6" t="s">
        <v>35</v>
      </c>
      <c r="F470" s="6" t="s">
        <v>40</v>
      </c>
      <c r="G470" s="6">
        <v>70</v>
      </c>
      <c r="H470" s="7">
        <v>234.97</v>
      </c>
      <c r="I470" s="7">
        <v>16447.900000000001</v>
      </c>
      <c r="J470" s="8">
        <v>45072</v>
      </c>
      <c r="K470" s="6">
        <v>69</v>
      </c>
      <c r="L470" s="6" t="s">
        <v>23</v>
      </c>
      <c r="M470" s="6" t="b">
        <v>0</v>
      </c>
      <c r="N470" s="6">
        <v>6.96</v>
      </c>
      <c r="O470" s="6" t="s">
        <v>24</v>
      </c>
      <c r="P470" s="6" t="b">
        <v>1</v>
      </c>
      <c r="Q470" s="9" t="s">
        <v>25</v>
      </c>
    </row>
    <row r="471" spans="1:17" x14ac:dyDescent="0.25">
      <c r="A471" s="5" t="s">
        <v>521</v>
      </c>
      <c r="B471" s="6" t="s">
        <v>76</v>
      </c>
      <c r="C471" s="6" t="s">
        <v>39</v>
      </c>
      <c r="D471" s="6" t="s">
        <v>47</v>
      </c>
      <c r="E471" s="6" t="s">
        <v>21</v>
      </c>
      <c r="F471" s="6" t="s">
        <v>29</v>
      </c>
      <c r="G471" s="6">
        <v>63</v>
      </c>
      <c r="H471" s="7">
        <v>1359.79</v>
      </c>
      <c r="I471" s="7">
        <v>85666.77</v>
      </c>
      <c r="J471" s="8">
        <v>45294</v>
      </c>
      <c r="K471" s="6">
        <v>34</v>
      </c>
      <c r="L471" s="6" t="s">
        <v>23</v>
      </c>
      <c r="M471" s="6" t="b">
        <v>0</v>
      </c>
      <c r="N471" s="6">
        <v>13.1</v>
      </c>
      <c r="O471" s="6" t="s">
        <v>42</v>
      </c>
      <c r="P471" s="6" t="b">
        <v>1</v>
      </c>
      <c r="Q471" s="9" t="s">
        <v>25</v>
      </c>
    </row>
    <row r="472" spans="1:17" x14ac:dyDescent="0.25">
      <c r="A472" s="5" t="s">
        <v>522</v>
      </c>
      <c r="B472" s="6" t="s">
        <v>18</v>
      </c>
      <c r="C472" s="6" t="s">
        <v>39</v>
      </c>
      <c r="D472" s="6" t="s">
        <v>47</v>
      </c>
      <c r="E472" s="6" t="s">
        <v>35</v>
      </c>
      <c r="F472" s="6" t="s">
        <v>29</v>
      </c>
      <c r="G472" s="6">
        <v>93</v>
      </c>
      <c r="H472" s="7">
        <v>1024.8</v>
      </c>
      <c r="I472" s="7">
        <v>95306.4</v>
      </c>
      <c r="J472" s="8">
        <v>44991</v>
      </c>
      <c r="K472" s="6">
        <v>68</v>
      </c>
      <c r="L472" s="6" t="s">
        <v>23</v>
      </c>
      <c r="M472" s="6" t="b">
        <v>1</v>
      </c>
      <c r="N472" s="6">
        <v>25.66</v>
      </c>
      <c r="O472" s="6" t="s">
        <v>30</v>
      </c>
      <c r="P472" s="6" t="b">
        <v>1</v>
      </c>
      <c r="Q472" s="9" t="s">
        <v>36</v>
      </c>
    </row>
    <row r="473" spans="1:17" x14ac:dyDescent="0.25">
      <c r="A473" s="5" t="s">
        <v>523</v>
      </c>
      <c r="B473" s="6" t="s">
        <v>27</v>
      </c>
      <c r="C473" s="6" t="s">
        <v>19</v>
      </c>
      <c r="D473" s="6" t="s">
        <v>34</v>
      </c>
      <c r="E473" s="6" t="s">
        <v>28</v>
      </c>
      <c r="F473" s="6" t="s">
        <v>48</v>
      </c>
      <c r="G473" s="6">
        <v>75</v>
      </c>
      <c r="H473" s="7">
        <v>1351.42</v>
      </c>
      <c r="I473" s="7">
        <v>101356.5</v>
      </c>
      <c r="J473" s="8">
        <v>45154</v>
      </c>
      <c r="K473" s="6">
        <v>20</v>
      </c>
      <c r="L473" s="6" t="s">
        <v>23</v>
      </c>
      <c r="M473" s="6" t="b">
        <v>1</v>
      </c>
      <c r="N473" s="6">
        <v>5.33</v>
      </c>
      <c r="O473" s="6" t="s">
        <v>30</v>
      </c>
      <c r="P473" s="6" t="b">
        <v>0</v>
      </c>
      <c r="Q473" s="9" t="s">
        <v>25</v>
      </c>
    </row>
    <row r="474" spans="1:17" x14ac:dyDescent="0.25">
      <c r="A474" s="5" t="s">
        <v>524</v>
      </c>
      <c r="B474" s="6" t="s">
        <v>46</v>
      </c>
      <c r="C474" s="6" t="s">
        <v>39</v>
      </c>
      <c r="D474" s="6" t="s">
        <v>47</v>
      </c>
      <c r="E474" s="6" t="s">
        <v>21</v>
      </c>
      <c r="F474" s="6" t="s">
        <v>22</v>
      </c>
      <c r="G474" s="6">
        <v>80</v>
      </c>
      <c r="H474" s="7">
        <v>698.38</v>
      </c>
      <c r="I474" s="7">
        <v>55870.400000000001</v>
      </c>
      <c r="J474" s="8">
        <v>45446</v>
      </c>
      <c r="K474" s="6">
        <v>31</v>
      </c>
      <c r="L474" s="6" t="s">
        <v>41</v>
      </c>
      <c r="M474" s="6" t="b">
        <v>0</v>
      </c>
      <c r="N474" s="6">
        <v>15.96</v>
      </c>
      <c r="O474" s="6" t="s">
        <v>30</v>
      </c>
      <c r="P474" s="6" t="b">
        <v>0</v>
      </c>
      <c r="Q474" s="9" t="s">
        <v>36</v>
      </c>
    </row>
    <row r="475" spans="1:17" x14ac:dyDescent="0.25">
      <c r="A475" s="5" t="s">
        <v>525</v>
      </c>
      <c r="B475" s="6" t="s">
        <v>38</v>
      </c>
      <c r="C475" s="6" t="s">
        <v>33</v>
      </c>
      <c r="D475" s="6" t="s">
        <v>34</v>
      </c>
      <c r="E475" s="6" t="s">
        <v>28</v>
      </c>
      <c r="F475" s="6" t="s">
        <v>29</v>
      </c>
      <c r="G475" s="6">
        <v>30</v>
      </c>
      <c r="H475" s="7">
        <v>683.58</v>
      </c>
      <c r="I475" s="7">
        <v>20507.400000000001</v>
      </c>
      <c r="J475" s="8">
        <v>45481</v>
      </c>
      <c r="K475" s="6">
        <v>66</v>
      </c>
      <c r="L475" s="6" t="s">
        <v>41</v>
      </c>
      <c r="M475" s="6" t="b">
        <v>1</v>
      </c>
      <c r="N475" s="6">
        <v>10.69</v>
      </c>
      <c r="O475" s="6" t="s">
        <v>24</v>
      </c>
      <c r="P475" s="6" t="b">
        <v>0</v>
      </c>
      <c r="Q475" s="9" t="s">
        <v>25</v>
      </c>
    </row>
    <row r="476" spans="1:17" x14ac:dyDescent="0.25">
      <c r="A476" s="5" t="s">
        <v>526</v>
      </c>
      <c r="B476" s="6" t="s">
        <v>66</v>
      </c>
      <c r="C476" s="6" t="s">
        <v>19</v>
      </c>
      <c r="D476" s="6" t="s">
        <v>34</v>
      </c>
      <c r="E476" s="6" t="s">
        <v>28</v>
      </c>
      <c r="F476" s="6" t="s">
        <v>48</v>
      </c>
      <c r="G476" s="6">
        <v>25</v>
      </c>
      <c r="H476" s="7">
        <v>1187.58</v>
      </c>
      <c r="I476" s="7">
        <v>29689.5</v>
      </c>
      <c r="J476" s="8">
        <v>45107</v>
      </c>
      <c r="K476" s="6">
        <v>30</v>
      </c>
      <c r="L476" s="6" t="s">
        <v>23</v>
      </c>
      <c r="M476" s="6" t="b">
        <v>1</v>
      </c>
      <c r="N476" s="6">
        <v>3.73</v>
      </c>
      <c r="O476" s="6" t="s">
        <v>24</v>
      </c>
      <c r="P476" s="6" t="b">
        <v>0</v>
      </c>
      <c r="Q476" s="9" t="s">
        <v>25</v>
      </c>
    </row>
    <row r="477" spans="1:17" x14ac:dyDescent="0.25">
      <c r="A477" s="5" t="s">
        <v>527</v>
      </c>
      <c r="B477" s="6" t="s">
        <v>32</v>
      </c>
      <c r="C477" s="6" t="s">
        <v>39</v>
      </c>
      <c r="D477" s="6" t="s">
        <v>47</v>
      </c>
      <c r="E477" s="6" t="s">
        <v>44</v>
      </c>
      <c r="F477" s="6" t="s">
        <v>40</v>
      </c>
      <c r="G477" s="6">
        <v>75</v>
      </c>
      <c r="H477" s="7">
        <v>185.28</v>
      </c>
      <c r="I477" s="7">
        <v>13896</v>
      </c>
      <c r="J477" s="8">
        <v>45427</v>
      </c>
      <c r="K477" s="6">
        <v>58</v>
      </c>
      <c r="L477" s="6" t="s">
        <v>49</v>
      </c>
      <c r="M477" s="6" t="b">
        <v>0</v>
      </c>
      <c r="N477" s="6">
        <v>1.5</v>
      </c>
      <c r="O477" s="6" t="s">
        <v>42</v>
      </c>
      <c r="P477" s="6" t="b">
        <v>0</v>
      </c>
      <c r="Q477" s="9" t="s">
        <v>36</v>
      </c>
    </row>
    <row r="478" spans="1:17" x14ac:dyDescent="0.25">
      <c r="A478" s="5" t="s">
        <v>528</v>
      </c>
      <c r="B478" s="6" t="s">
        <v>27</v>
      </c>
      <c r="C478" s="6" t="s">
        <v>33</v>
      </c>
      <c r="D478" s="6" t="s">
        <v>64</v>
      </c>
      <c r="E478" s="6" t="s">
        <v>21</v>
      </c>
      <c r="F478" s="6" t="s">
        <v>48</v>
      </c>
      <c r="G478" s="6">
        <v>71</v>
      </c>
      <c r="H478" s="7">
        <v>805.27</v>
      </c>
      <c r="I478" s="7">
        <v>57174.17</v>
      </c>
      <c r="J478" s="8">
        <v>45523</v>
      </c>
      <c r="K478" s="6">
        <v>44</v>
      </c>
      <c r="L478" s="6" t="s">
        <v>23</v>
      </c>
      <c r="M478" s="6" t="b">
        <v>0</v>
      </c>
      <c r="N478" s="6">
        <v>16.68</v>
      </c>
      <c r="O478" s="6" t="s">
        <v>56</v>
      </c>
      <c r="P478" s="6" t="b">
        <v>0</v>
      </c>
      <c r="Q478" s="9" t="s">
        <v>36</v>
      </c>
    </row>
    <row r="479" spans="1:17" x14ac:dyDescent="0.25">
      <c r="A479" s="5" t="s">
        <v>529</v>
      </c>
      <c r="B479" s="6" t="s">
        <v>76</v>
      </c>
      <c r="C479" s="6" t="s">
        <v>19</v>
      </c>
      <c r="D479" s="6" t="s">
        <v>47</v>
      </c>
      <c r="E479" s="6" t="s">
        <v>35</v>
      </c>
      <c r="F479" s="6" t="s">
        <v>48</v>
      </c>
      <c r="G479" s="6">
        <v>26</v>
      </c>
      <c r="H479" s="7">
        <v>1262.76</v>
      </c>
      <c r="I479" s="7">
        <v>32831.760000000002</v>
      </c>
      <c r="J479" s="8">
        <v>45081</v>
      </c>
      <c r="K479" s="6">
        <v>18</v>
      </c>
      <c r="L479" s="6" t="s">
        <v>49</v>
      </c>
      <c r="M479" s="6" t="b">
        <v>1</v>
      </c>
      <c r="N479" s="6">
        <v>0.62</v>
      </c>
      <c r="O479" s="6" t="s">
        <v>42</v>
      </c>
      <c r="P479" s="6" t="b">
        <v>0</v>
      </c>
      <c r="Q479" s="9" t="s">
        <v>25</v>
      </c>
    </row>
    <row r="480" spans="1:17" x14ac:dyDescent="0.25">
      <c r="A480" s="5" t="s">
        <v>530</v>
      </c>
      <c r="B480" s="6" t="s">
        <v>38</v>
      </c>
      <c r="C480" s="6" t="s">
        <v>19</v>
      </c>
      <c r="D480" s="6" t="s">
        <v>47</v>
      </c>
      <c r="E480" s="6" t="s">
        <v>28</v>
      </c>
      <c r="F480" s="6" t="s">
        <v>22</v>
      </c>
      <c r="G480" s="6">
        <v>56</v>
      </c>
      <c r="H480" s="7">
        <v>1253.78</v>
      </c>
      <c r="I480" s="7">
        <v>70211.679999999993</v>
      </c>
      <c r="J480" s="8">
        <v>45461</v>
      </c>
      <c r="K480" s="6">
        <v>34</v>
      </c>
      <c r="L480" s="6" t="s">
        <v>41</v>
      </c>
      <c r="M480" s="6" t="b">
        <v>0</v>
      </c>
      <c r="N480" s="6">
        <v>3.1</v>
      </c>
      <c r="O480" s="6" t="s">
        <v>24</v>
      </c>
      <c r="P480" s="6" t="b">
        <v>0</v>
      </c>
      <c r="Q480" s="9" t="s">
        <v>36</v>
      </c>
    </row>
    <row r="481" spans="1:17" x14ac:dyDescent="0.25">
      <c r="A481" s="5" t="s">
        <v>531</v>
      </c>
      <c r="B481" s="6" t="s">
        <v>76</v>
      </c>
      <c r="C481" s="6" t="s">
        <v>39</v>
      </c>
      <c r="D481" s="6" t="s">
        <v>47</v>
      </c>
      <c r="E481" s="6" t="s">
        <v>35</v>
      </c>
      <c r="F481" s="6" t="s">
        <v>29</v>
      </c>
      <c r="G481" s="6">
        <v>22</v>
      </c>
      <c r="H481" s="7">
        <v>1436.39</v>
      </c>
      <c r="I481" s="7">
        <v>31600.58</v>
      </c>
      <c r="J481" s="8">
        <v>45553</v>
      </c>
      <c r="K481" s="6">
        <v>65</v>
      </c>
      <c r="L481" s="6" t="s">
        <v>49</v>
      </c>
      <c r="M481" s="6" t="b">
        <v>1</v>
      </c>
      <c r="N481" s="6">
        <v>10.43</v>
      </c>
      <c r="O481" s="6" t="s">
        <v>30</v>
      </c>
      <c r="P481" s="6" t="b">
        <v>0</v>
      </c>
      <c r="Q481" s="9" t="s">
        <v>36</v>
      </c>
    </row>
    <row r="482" spans="1:17" x14ac:dyDescent="0.25">
      <c r="A482" s="5" t="s">
        <v>532</v>
      </c>
      <c r="B482" s="6" t="s">
        <v>27</v>
      </c>
      <c r="C482" s="6" t="s">
        <v>19</v>
      </c>
      <c r="D482" s="6" t="s">
        <v>64</v>
      </c>
      <c r="E482" s="6" t="s">
        <v>44</v>
      </c>
      <c r="F482" s="6" t="s">
        <v>40</v>
      </c>
      <c r="G482" s="6">
        <v>89</v>
      </c>
      <c r="H482" s="7">
        <v>1062.5</v>
      </c>
      <c r="I482" s="7">
        <v>94562.5</v>
      </c>
      <c r="J482" s="8">
        <v>45361</v>
      </c>
      <c r="K482" s="6">
        <v>67</v>
      </c>
      <c r="L482" s="6" t="s">
        <v>41</v>
      </c>
      <c r="M482" s="6" t="b">
        <v>1</v>
      </c>
      <c r="N482" s="6">
        <v>1.31</v>
      </c>
      <c r="O482" s="6" t="s">
        <v>30</v>
      </c>
      <c r="P482" s="6" t="b">
        <v>1</v>
      </c>
      <c r="Q482" s="9" t="s">
        <v>25</v>
      </c>
    </row>
    <row r="483" spans="1:17" x14ac:dyDescent="0.25">
      <c r="A483" s="5" t="s">
        <v>533</v>
      </c>
      <c r="B483" s="6" t="s">
        <v>46</v>
      </c>
      <c r="C483" s="6" t="s">
        <v>33</v>
      </c>
      <c r="D483" s="6" t="s">
        <v>20</v>
      </c>
      <c r="E483" s="6" t="s">
        <v>44</v>
      </c>
      <c r="F483" s="6" t="s">
        <v>48</v>
      </c>
      <c r="G483" s="6">
        <v>19</v>
      </c>
      <c r="H483" s="7">
        <v>351.27</v>
      </c>
      <c r="I483" s="7">
        <v>6674.13</v>
      </c>
      <c r="J483" s="8">
        <v>45025</v>
      </c>
      <c r="K483" s="6">
        <v>51</v>
      </c>
      <c r="L483" s="6" t="s">
        <v>49</v>
      </c>
      <c r="M483" s="6" t="b">
        <v>0</v>
      </c>
      <c r="N483" s="6">
        <v>12.01</v>
      </c>
      <c r="O483" s="6" t="s">
        <v>42</v>
      </c>
      <c r="P483" s="6" t="b">
        <v>0</v>
      </c>
      <c r="Q483" s="9" t="s">
        <v>25</v>
      </c>
    </row>
    <row r="484" spans="1:17" x14ac:dyDescent="0.25">
      <c r="A484" s="5" t="s">
        <v>534</v>
      </c>
      <c r="B484" s="6" t="s">
        <v>38</v>
      </c>
      <c r="C484" s="6" t="s">
        <v>19</v>
      </c>
      <c r="D484" s="6" t="s">
        <v>20</v>
      </c>
      <c r="E484" s="6" t="s">
        <v>21</v>
      </c>
      <c r="F484" s="6" t="s">
        <v>29</v>
      </c>
      <c r="G484" s="6">
        <v>31</v>
      </c>
      <c r="H484" s="7">
        <v>79.41</v>
      </c>
      <c r="I484" s="7">
        <v>2461.71</v>
      </c>
      <c r="J484" s="8">
        <v>45542</v>
      </c>
      <c r="K484" s="6">
        <v>31</v>
      </c>
      <c r="L484" s="6" t="s">
        <v>41</v>
      </c>
      <c r="M484" s="6" t="b">
        <v>1</v>
      </c>
      <c r="N484" s="6">
        <v>3.91</v>
      </c>
      <c r="O484" s="6" t="s">
        <v>30</v>
      </c>
      <c r="P484" s="6" t="b">
        <v>1</v>
      </c>
      <c r="Q484" s="9" t="s">
        <v>36</v>
      </c>
    </row>
    <row r="485" spans="1:17" x14ac:dyDescent="0.25">
      <c r="A485" s="5" t="s">
        <v>535</v>
      </c>
      <c r="B485" s="6" t="s">
        <v>76</v>
      </c>
      <c r="C485" s="6" t="s">
        <v>33</v>
      </c>
      <c r="D485" s="6" t="s">
        <v>34</v>
      </c>
      <c r="E485" s="6" t="s">
        <v>44</v>
      </c>
      <c r="F485" s="6" t="s">
        <v>29</v>
      </c>
      <c r="G485" s="6">
        <v>26</v>
      </c>
      <c r="H485" s="7">
        <v>745.15</v>
      </c>
      <c r="I485" s="7">
        <v>19373.900000000001</v>
      </c>
      <c r="J485" s="8">
        <v>45298</v>
      </c>
      <c r="K485" s="6">
        <v>34</v>
      </c>
      <c r="L485" s="6" t="s">
        <v>41</v>
      </c>
      <c r="M485" s="6" t="b">
        <v>0</v>
      </c>
      <c r="N485" s="6">
        <v>10.5</v>
      </c>
      <c r="O485" s="6" t="s">
        <v>24</v>
      </c>
      <c r="P485" s="6" t="b">
        <v>0</v>
      </c>
      <c r="Q485" s="9" t="s">
        <v>25</v>
      </c>
    </row>
    <row r="486" spans="1:17" x14ac:dyDescent="0.25">
      <c r="A486" s="5" t="s">
        <v>536</v>
      </c>
      <c r="B486" s="6" t="s">
        <v>32</v>
      </c>
      <c r="C486" s="6" t="s">
        <v>19</v>
      </c>
      <c r="D486" s="6" t="s">
        <v>34</v>
      </c>
      <c r="E486" s="6" t="s">
        <v>44</v>
      </c>
      <c r="F486" s="6" t="s">
        <v>48</v>
      </c>
      <c r="G486" s="6">
        <v>42</v>
      </c>
      <c r="H486" s="7">
        <v>794.87</v>
      </c>
      <c r="I486" s="7">
        <v>33384.54</v>
      </c>
      <c r="J486" s="8">
        <v>45489</v>
      </c>
      <c r="K486" s="6">
        <v>20</v>
      </c>
      <c r="L486" s="6" t="s">
        <v>23</v>
      </c>
      <c r="M486" s="6" t="b">
        <v>1</v>
      </c>
      <c r="N486" s="6">
        <v>23.73</v>
      </c>
      <c r="O486" s="6" t="s">
        <v>42</v>
      </c>
      <c r="P486" s="6" t="b">
        <v>1</v>
      </c>
      <c r="Q486" s="9" t="s">
        <v>25</v>
      </c>
    </row>
    <row r="487" spans="1:17" x14ac:dyDescent="0.25">
      <c r="A487" s="5" t="s">
        <v>537</v>
      </c>
      <c r="B487" s="6" t="s">
        <v>51</v>
      </c>
      <c r="C487" s="6" t="s">
        <v>39</v>
      </c>
      <c r="D487" s="6" t="s">
        <v>64</v>
      </c>
      <c r="E487" s="6" t="s">
        <v>35</v>
      </c>
      <c r="F487" s="6" t="s">
        <v>29</v>
      </c>
      <c r="G487" s="6">
        <v>41</v>
      </c>
      <c r="H487" s="7">
        <v>398.38</v>
      </c>
      <c r="I487" s="7">
        <v>16333.58</v>
      </c>
      <c r="J487" s="8">
        <v>45288</v>
      </c>
      <c r="K487" s="6">
        <v>51</v>
      </c>
      <c r="L487" s="6" t="s">
        <v>41</v>
      </c>
      <c r="M487" s="6" t="b">
        <v>1</v>
      </c>
      <c r="N487" s="6">
        <v>18.79</v>
      </c>
      <c r="O487" s="6" t="s">
        <v>56</v>
      </c>
      <c r="P487" s="6" t="b">
        <v>0</v>
      </c>
      <c r="Q487" s="9" t="s">
        <v>25</v>
      </c>
    </row>
    <row r="488" spans="1:17" x14ac:dyDescent="0.25">
      <c r="A488" s="5" t="s">
        <v>538</v>
      </c>
      <c r="B488" s="6" t="s">
        <v>72</v>
      </c>
      <c r="C488" s="6" t="s">
        <v>33</v>
      </c>
      <c r="D488" s="6" t="s">
        <v>52</v>
      </c>
      <c r="E488" s="6" t="s">
        <v>44</v>
      </c>
      <c r="F488" s="6" t="s">
        <v>48</v>
      </c>
      <c r="G488" s="6">
        <v>23</v>
      </c>
      <c r="H488" s="7">
        <v>230.81</v>
      </c>
      <c r="I488" s="7">
        <v>5308.63</v>
      </c>
      <c r="J488" s="8">
        <v>45038</v>
      </c>
      <c r="K488" s="6">
        <v>57</v>
      </c>
      <c r="L488" s="6" t="s">
        <v>23</v>
      </c>
      <c r="M488" s="6" t="b">
        <v>1</v>
      </c>
      <c r="N488" s="6">
        <v>13.36</v>
      </c>
      <c r="O488" s="6" t="s">
        <v>24</v>
      </c>
      <c r="P488" s="6" t="b">
        <v>1</v>
      </c>
      <c r="Q488" s="9" t="s">
        <v>36</v>
      </c>
    </row>
    <row r="489" spans="1:17" x14ac:dyDescent="0.25">
      <c r="A489" s="5" t="s">
        <v>539</v>
      </c>
      <c r="B489" s="6" t="s">
        <v>51</v>
      </c>
      <c r="C489" s="6" t="s">
        <v>19</v>
      </c>
      <c r="D489" s="6" t="s">
        <v>20</v>
      </c>
      <c r="E489" s="6" t="s">
        <v>44</v>
      </c>
      <c r="F489" s="6" t="s">
        <v>48</v>
      </c>
      <c r="G489" s="6">
        <v>47</v>
      </c>
      <c r="H489" s="7">
        <v>900</v>
      </c>
      <c r="I489" s="7">
        <v>42300</v>
      </c>
      <c r="J489" s="8">
        <v>45379</v>
      </c>
      <c r="K489" s="6">
        <v>42</v>
      </c>
      <c r="L489" s="6" t="s">
        <v>23</v>
      </c>
      <c r="M489" s="6" t="b">
        <v>0</v>
      </c>
      <c r="N489" s="6">
        <v>2.75</v>
      </c>
      <c r="O489" s="6" t="s">
        <v>24</v>
      </c>
      <c r="P489" s="6" t="b">
        <v>0</v>
      </c>
      <c r="Q489" s="9" t="s">
        <v>36</v>
      </c>
    </row>
    <row r="490" spans="1:17" x14ac:dyDescent="0.25">
      <c r="A490" s="5" t="s">
        <v>540</v>
      </c>
      <c r="B490" s="6" t="s">
        <v>27</v>
      </c>
      <c r="C490" s="6" t="s">
        <v>19</v>
      </c>
      <c r="D490" s="6" t="s">
        <v>34</v>
      </c>
      <c r="E490" s="6" t="s">
        <v>28</v>
      </c>
      <c r="F490" s="6" t="s">
        <v>48</v>
      </c>
      <c r="G490" s="6">
        <v>13</v>
      </c>
      <c r="H490" s="7">
        <v>1158.17</v>
      </c>
      <c r="I490" s="7">
        <v>15056.21</v>
      </c>
      <c r="J490" s="8">
        <v>45095</v>
      </c>
      <c r="K490" s="6">
        <v>19</v>
      </c>
      <c r="L490" s="6" t="s">
        <v>23</v>
      </c>
      <c r="M490" s="6" t="b">
        <v>0</v>
      </c>
      <c r="N490" s="6">
        <v>18.57</v>
      </c>
      <c r="O490" s="6" t="s">
        <v>30</v>
      </c>
      <c r="P490" s="6" t="b">
        <v>0</v>
      </c>
      <c r="Q490" s="9" t="s">
        <v>36</v>
      </c>
    </row>
    <row r="491" spans="1:17" x14ac:dyDescent="0.25">
      <c r="A491" s="5" t="s">
        <v>541</v>
      </c>
      <c r="B491" s="6" t="s">
        <v>66</v>
      </c>
      <c r="C491" s="6" t="s">
        <v>19</v>
      </c>
      <c r="D491" s="6" t="s">
        <v>20</v>
      </c>
      <c r="E491" s="6" t="s">
        <v>44</v>
      </c>
      <c r="F491" s="6" t="s">
        <v>40</v>
      </c>
      <c r="G491" s="6">
        <v>89</v>
      </c>
      <c r="H491" s="7">
        <v>1490.07</v>
      </c>
      <c r="I491" s="7">
        <v>132616.23000000001</v>
      </c>
      <c r="J491" s="8">
        <v>45510</v>
      </c>
      <c r="K491" s="6">
        <v>51</v>
      </c>
      <c r="L491" s="6" t="s">
        <v>49</v>
      </c>
      <c r="M491" s="6" t="b">
        <v>1</v>
      </c>
      <c r="N491" s="6">
        <v>4.91</v>
      </c>
      <c r="O491" s="6" t="s">
        <v>24</v>
      </c>
      <c r="P491" s="6" t="b">
        <v>0</v>
      </c>
      <c r="Q491" s="9" t="s">
        <v>25</v>
      </c>
    </row>
    <row r="492" spans="1:17" x14ac:dyDescent="0.25">
      <c r="A492" s="5" t="s">
        <v>542</v>
      </c>
      <c r="B492" s="6" t="s">
        <v>72</v>
      </c>
      <c r="C492" s="6" t="s">
        <v>33</v>
      </c>
      <c r="D492" s="6" t="s">
        <v>64</v>
      </c>
      <c r="E492" s="6" t="s">
        <v>28</v>
      </c>
      <c r="F492" s="6" t="s">
        <v>48</v>
      </c>
      <c r="G492" s="6">
        <v>66</v>
      </c>
      <c r="H492" s="7">
        <v>1149.54</v>
      </c>
      <c r="I492" s="7">
        <v>75869.64</v>
      </c>
      <c r="J492" s="8">
        <v>45065</v>
      </c>
      <c r="K492" s="6">
        <v>43</v>
      </c>
      <c r="L492" s="6" t="s">
        <v>49</v>
      </c>
      <c r="M492" s="6" t="b">
        <v>0</v>
      </c>
      <c r="N492" s="6">
        <v>2.2999999999999998</v>
      </c>
      <c r="O492" s="6" t="s">
        <v>24</v>
      </c>
      <c r="P492" s="6" t="b">
        <v>1</v>
      </c>
      <c r="Q492" s="9" t="s">
        <v>36</v>
      </c>
    </row>
    <row r="493" spans="1:17" x14ac:dyDescent="0.25">
      <c r="A493" s="5" t="s">
        <v>543</v>
      </c>
      <c r="B493" s="6" t="s">
        <v>18</v>
      </c>
      <c r="C493" s="6" t="s">
        <v>33</v>
      </c>
      <c r="D493" s="6" t="s">
        <v>64</v>
      </c>
      <c r="E493" s="6" t="s">
        <v>44</v>
      </c>
      <c r="F493" s="6" t="s">
        <v>22</v>
      </c>
      <c r="G493" s="6">
        <v>66</v>
      </c>
      <c r="H493" s="7">
        <v>1200.77</v>
      </c>
      <c r="I493" s="7">
        <v>79250.820000000007</v>
      </c>
      <c r="J493" s="8">
        <v>45157</v>
      </c>
      <c r="K493" s="6">
        <v>48</v>
      </c>
      <c r="L493" s="6" t="s">
        <v>41</v>
      </c>
      <c r="M493" s="6" t="b">
        <v>0</v>
      </c>
      <c r="N493" s="6">
        <v>19.920000000000002</v>
      </c>
      <c r="O493" s="6" t="s">
        <v>56</v>
      </c>
      <c r="P493" s="6" t="b">
        <v>0</v>
      </c>
      <c r="Q493" s="9" t="s">
        <v>25</v>
      </c>
    </row>
    <row r="494" spans="1:17" x14ac:dyDescent="0.25">
      <c r="A494" s="5" t="s">
        <v>544</v>
      </c>
      <c r="B494" s="6" t="s">
        <v>32</v>
      </c>
      <c r="C494" s="6" t="s">
        <v>33</v>
      </c>
      <c r="D494" s="6" t="s">
        <v>52</v>
      </c>
      <c r="E494" s="6" t="s">
        <v>44</v>
      </c>
      <c r="F494" s="6" t="s">
        <v>29</v>
      </c>
      <c r="G494" s="6">
        <v>16</v>
      </c>
      <c r="H494" s="7">
        <v>943.87</v>
      </c>
      <c r="I494" s="7">
        <v>15101.92</v>
      </c>
      <c r="J494" s="8">
        <v>45165</v>
      </c>
      <c r="K494" s="6">
        <v>26</v>
      </c>
      <c r="L494" s="6" t="s">
        <v>23</v>
      </c>
      <c r="M494" s="6" t="b">
        <v>1</v>
      </c>
      <c r="N494" s="6">
        <v>27.36</v>
      </c>
      <c r="O494" s="6" t="s">
        <v>30</v>
      </c>
      <c r="P494" s="6" t="b">
        <v>1</v>
      </c>
      <c r="Q494" s="9" t="s">
        <v>25</v>
      </c>
    </row>
    <row r="495" spans="1:17" x14ac:dyDescent="0.25">
      <c r="A495" s="5" t="s">
        <v>545</v>
      </c>
      <c r="B495" s="6" t="s">
        <v>18</v>
      </c>
      <c r="C495" s="6" t="s">
        <v>39</v>
      </c>
      <c r="D495" s="6" t="s">
        <v>52</v>
      </c>
      <c r="E495" s="6" t="s">
        <v>21</v>
      </c>
      <c r="F495" s="6" t="s">
        <v>40</v>
      </c>
      <c r="G495" s="6">
        <v>73</v>
      </c>
      <c r="H495" s="7">
        <v>1479.59</v>
      </c>
      <c r="I495" s="7">
        <v>108010.07</v>
      </c>
      <c r="J495" s="8">
        <v>45179</v>
      </c>
      <c r="K495" s="6">
        <v>47</v>
      </c>
      <c r="L495" s="6" t="s">
        <v>23</v>
      </c>
      <c r="M495" s="6" t="b">
        <v>0</v>
      </c>
      <c r="N495" s="6">
        <v>13.82</v>
      </c>
      <c r="O495" s="6" t="s">
        <v>24</v>
      </c>
      <c r="P495" s="6" t="b">
        <v>1</v>
      </c>
      <c r="Q495" s="9" t="s">
        <v>25</v>
      </c>
    </row>
    <row r="496" spans="1:17" x14ac:dyDescent="0.25">
      <c r="A496" s="5" t="s">
        <v>546</v>
      </c>
      <c r="B496" s="6" t="s">
        <v>38</v>
      </c>
      <c r="C496" s="6" t="s">
        <v>39</v>
      </c>
      <c r="D496" s="6" t="s">
        <v>64</v>
      </c>
      <c r="E496" s="6" t="s">
        <v>21</v>
      </c>
      <c r="F496" s="6" t="s">
        <v>29</v>
      </c>
      <c r="G496" s="6">
        <v>28</v>
      </c>
      <c r="H496" s="7">
        <v>977.94</v>
      </c>
      <c r="I496" s="7">
        <v>27382.32</v>
      </c>
      <c r="J496" s="8">
        <v>45362</v>
      </c>
      <c r="K496" s="6">
        <v>37</v>
      </c>
      <c r="L496" s="6" t="s">
        <v>41</v>
      </c>
      <c r="M496" s="6" t="b">
        <v>0</v>
      </c>
      <c r="N496" s="6">
        <v>1.23</v>
      </c>
      <c r="O496" s="6" t="s">
        <v>30</v>
      </c>
      <c r="P496" s="6" t="b">
        <v>1</v>
      </c>
      <c r="Q496" s="9" t="s">
        <v>25</v>
      </c>
    </row>
    <row r="497" spans="1:17" x14ac:dyDescent="0.25">
      <c r="A497" s="5" t="s">
        <v>547</v>
      </c>
      <c r="B497" s="6" t="s">
        <v>72</v>
      </c>
      <c r="C497" s="6" t="s">
        <v>33</v>
      </c>
      <c r="D497" s="6" t="s">
        <v>34</v>
      </c>
      <c r="E497" s="6" t="s">
        <v>28</v>
      </c>
      <c r="F497" s="6" t="s">
        <v>40</v>
      </c>
      <c r="G497" s="6">
        <v>77</v>
      </c>
      <c r="H497" s="7">
        <v>1297.3699999999999</v>
      </c>
      <c r="I497" s="7">
        <v>99897.49</v>
      </c>
      <c r="J497" s="8">
        <v>45487</v>
      </c>
      <c r="K497" s="6">
        <v>38</v>
      </c>
      <c r="L497" s="6" t="s">
        <v>23</v>
      </c>
      <c r="M497" s="6" t="b">
        <v>0</v>
      </c>
      <c r="N497" s="6">
        <v>26.41</v>
      </c>
      <c r="O497" s="6" t="s">
        <v>24</v>
      </c>
      <c r="P497" s="6" t="b">
        <v>1</v>
      </c>
      <c r="Q497" s="9" t="s">
        <v>36</v>
      </c>
    </row>
    <row r="498" spans="1:17" x14ac:dyDescent="0.25">
      <c r="A498" s="5" t="s">
        <v>548</v>
      </c>
      <c r="B498" s="6" t="s">
        <v>18</v>
      </c>
      <c r="C498" s="6" t="s">
        <v>19</v>
      </c>
      <c r="D498" s="6" t="s">
        <v>20</v>
      </c>
      <c r="E498" s="6" t="s">
        <v>44</v>
      </c>
      <c r="F498" s="6" t="s">
        <v>22</v>
      </c>
      <c r="G498" s="6">
        <v>35</v>
      </c>
      <c r="H498" s="7">
        <v>1421.39</v>
      </c>
      <c r="I498" s="7">
        <v>49748.65</v>
      </c>
      <c r="J498" s="8">
        <v>45348</v>
      </c>
      <c r="K498" s="6">
        <v>46</v>
      </c>
      <c r="L498" s="6" t="s">
        <v>41</v>
      </c>
      <c r="M498" s="6" t="b">
        <v>1</v>
      </c>
      <c r="N498" s="6">
        <v>2.0099999999999998</v>
      </c>
      <c r="O498" s="6" t="s">
        <v>56</v>
      </c>
      <c r="P498" s="6" t="b">
        <v>1</v>
      </c>
      <c r="Q498" s="9" t="s">
        <v>25</v>
      </c>
    </row>
    <row r="499" spans="1:17" x14ac:dyDescent="0.25">
      <c r="A499" s="5" t="s">
        <v>549</v>
      </c>
      <c r="B499" s="6" t="s">
        <v>18</v>
      </c>
      <c r="C499" s="6" t="s">
        <v>39</v>
      </c>
      <c r="D499" s="6" t="s">
        <v>47</v>
      </c>
      <c r="E499" s="6" t="s">
        <v>35</v>
      </c>
      <c r="F499" s="6" t="s">
        <v>40</v>
      </c>
      <c r="G499" s="6">
        <v>41</v>
      </c>
      <c r="H499" s="7">
        <v>1398.29</v>
      </c>
      <c r="I499" s="7">
        <v>57329.89</v>
      </c>
      <c r="J499" s="8">
        <v>45229</v>
      </c>
      <c r="K499" s="6">
        <v>42</v>
      </c>
      <c r="L499" s="6" t="s">
        <v>23</v>
      </c>
      <c r="M499" s="6" t="b">
        <v>1</v>
      </c>
      <c r="N499" s="6">
        <v>26.03</v>
      </c>
      <c r="O499" s="6" t="s">
        <v>30</v>
      </c>
      <c r="P499" s="6" t="b">
        <v>0</v>
      </c>
      <c r="Q499" s="9" t="s">
        <v>25</v>
      </c>
    </row>
    <row r="500" spans="1:17" x14ac:dyDescent="0.25">
      <c r="A500" s="5" t="s">
        <v>550</v>
      </c>
      <c r="B500" s="6" t="s">
        <v>76</v>
      </c>
      <c r="C500" s="6" t="s">
        <v>33</v>
      </c>
      <c r="D500" s="6" t="s">
        <v>52</v>
      </c>
      <c r="E500" s="6" t="s">
        <v>21</v>
      </c>
      <c r="F500" s="6" t="s">
        <v>40</v>
      </c>
      <c r="G500" s="6">
        <v>77</v>
      </c>
      <c r="H500" s="7">
        <v>603.04999999999995</v>
      </c>
      <c r="I500" s="7">
        <v>46434.85</v>
      </c>
      <c r="J500" s="8">
        <v>44998</v>
      </c>
      <c r="K500" s="6">
        <v>55</v>
      </c>
      <c r="L500" s="6" t="s">
        <v>49</v>
      </c>
      <c r="M500" s="6" t="b">
        <v>0</v>
      </c>
      <c r="N500" s="6">
        <v>11.75</v>
      </c>
      <c r="O500" s="6" t="s">
        <v>30</v>
      </c>
      <c r="P500" s="6" t="b">
        <v>1</v>
      </c>
      <c r="Q500" s="9" t="s">
        <v>36</v>
      </c>
    </row>
    <row r="501" spans="1:17" x14ac:dyDescent="0.25">
      <c r="A501" s="5" t="s">
        <v>551</v>
      </c>
      <c r="B501" s="6" t="s">
        <v>51</v>
      </c>
      <c r="C501" s="6" t="s">
        <v>19</v>
      </c>
      <c r="D501" s="6" t="s">
        <v>47</v>
      </c>
      <c r="E501" s="6" t="s">
        <v>35</v>
      </c>
      <c r="F501" s="6" t="s">
        <v>40</v>
      </c>
      <c r="G501" s="6">
        <v>31</v>
      </c>
      <c r="H501" s="7">
        <v>164.06</v>
      </c>
      <c r="I501" s="7">
        <v>5085.8599999999997</v>
      </c>
      <c r="J501" s="8">
        <v>45189</v>
      </c>
      <c r="K501" s="6">
        <v>61</v>
      </c>
      <c r="L501" s="6" t="s">
        <v>41</v>
      </c>
      <c r="M501" s="6" t="b">
        <v>1</v>
      </c>
      <c r="N501" s="6">
        <v>10.96</v>
      </c>
      <c r="O501" s="6" t="s">
        <v>56</v>
      </c>
      <c r="P501" s="6" t="b">
        <v>1</v>
      </c>
      <c r="Q501" s="9" t="s">
        <v>25</v>
      </c>
    </row>
    <row r="502" spans="1:17" x14ac:dyDescent="0.25">
      <c r="A502" s="5" t="s">
        <v>552</v>
      </c>
      <c r="B502" s="6" t="s">
        <v>76</v>
      </c>
      <c r="C502" s="6" t="s">
        <v>39</v>
      </c>
      <c r="D502" s="6" t="s">
        <v>34</v>
      </c>
      <c r="E502" s="6" t="s">
        <v>21</v>
      </c>
      <c r="F502" s="6" t="s">
        <v>29</v>
      </c>
      <c r="G502" s="6">
        <v>85</v>
      </c>
      <c r="H502" s="7">
        <v>299.22000000000003</v>
      </c>
      <c r="I502" s="7">
        <v>25433.7</v>
      </c>
      <c r="J502" s="8">
        <v>45148</v>
      </c>
      <c r="K502" s="6">
        <v>42</v>
      </c>
      <c r="L502" s="6" t="s">
        <v>41</v>
      </c>
      <c r="M502" s="6" t="b">
        <v>0</v>
      </c>
      <c r="N502" s="6">
        <v>16.28</v>
      </c>
      <c r="O502" s="6" t="s">
        <v>42</v>
      </c>
      <c r="P502" s="6" t="b">
        <v>1</v>
      </c>
      <c r="Q502" s="9" t="s">
        <v>36</v>
      </c>
    </row>
    <row r="503" spans="1:17" x14ac:dyDescent="0.25">
      <c r="A503" s="5" t="s">
        <v>553</v>
      </c>
      <c r="B503" s="6" t="s">
        <v>72</v>
      </c>
      <c r="C503" s="6" t="s">
        <v>19</v>
      </c>
      <c r="D503" s="6" t="s">
        <v>52</v>
      </c>
      <c r="E503" s="6" t="s">
        <v>21</v>
      </c>
      <c r="F503" s="6" t="s">
        <v>48</v>
      </c>
      <c r="G503" s="6">
        <v>32</v>
      </c>
      <c r="H503" s="7">
        <v>135.87</v>
      </c>
      <c r="I503" s="7">
        <v>4347.84</v>
      </c>
      <c r="J503" s="8">
        <v>45003</v>
      </c>
      <c r="K503" s="6">
        <v>26</v>
      </c>
      <c r="L503" s="6" t="s">
        <v>49</v>
      </c>
      <c r="M503" s="6" t="b">
        <v>1</v>
      </c>
      <c r="N503" s="6">
        <v>28.71</v>
      </c>
      <c r="O503" s="6" t="s">
        <v>24</v>
      </c>
      <c r="P503" s="6" t="b">
        <v>1</v>
      </c>
      <c r="Q503" s="9" t="s">
        <v>36</v>
      </c>
    </row>
    <row r="504" spans="1:17" x14ac:dyDescent="0.25">
      <c r="A504" s="5" t="s">
        <v>554</v>
      </c>
      <c r="B504" s="6" t="s">
        <v>72</v>
      </c>
      <c r="C504" s="6" t="s">
        <v>19</v>
      </c>
      <c r="D504" s="6" t="s">
        <v>47</v>
      </c>
      <c r="E504" s="6" t="s">
        <v>44</v>
      </c>
      <c r="F504" s="6" t="s">
        <v>29</v>
      </c>
      <c r="G504" s="6">
        <v>54</v>
      </c>
      <c r="H504" s="7">
        <v>202.83</v>
      </c>
      <c r="I504" s="7">
        <v>10952.82</v>
      </c>
      <c r="J504" s="8">
        <v>44988</v>
      </c>
      <c r="K504" s="6">
        <v>56</v>
      </c>
      <c r="L504" s="6" t="s">
        <v>41</v>
      </c>
      <c r="M504" s="6" t="b">
        <v>0</v>
      </c>
      <c r="N504" s="6">
        <v>26.96</v>
      </c>
      <c r="O504" s="6" t="s">
        <v>24</v>
      </c>
      <c r="P504" s="6" t="b">
        <v>0</v>
      </c>
      <c r="Q504" s="9" t="s">
        <v>36</v>
      </c>
    </row>
    <row r="505" spans="1:17" x14ac:dyDescent="0.25">
      <c r="A505" s="5" t="s">
        <v>555</v>
      </c>
      <c r="B505" s="6" t="s">
        <v>27</v>
      </c>
      <c r="C505" s="6" t="s">
        <v>19</v>
      </c>
      <c r="D505" s="6" t="s">
        <v>34</v>
      </c>
      <c r="E505" s="6" t="s">
        <v>21</v>
      </c>
      <c r="F505" s="6" t="s">
        <v>48</v>
      </c>
      <c r="G505" s="6">
        <v>98</v>
      </c>
      <c r="H505" s="7">
        <v>317.74</v>
      </c>
      <c r="I505" s="7">
        <v>31138.52</v>
      </c>
      <c r="J505" s="8">
        <v>45397</v>
      </c>
      <c r="K505" s="6">
        <v>61</v>
      </c>
      <c r="L505" s="6" t="s">
        <v>49</v>
      </c>
      <c r="M505" s="6" t="b">
        <v>1</v>
      </c>
      <c r="N505" s="6">
        <v>14.11</v>
      </c>
      <c r="O505" s="6" t="s">
        <v>42</v>
      </c>
      <c r="P505" s="6" t="b">
        <v>0</v>
      </c>
      <c r="Q505" s="9" t="s">
        <v>25</v>
      </c>
    </row>
    <row r="506" spans="1:17" x14ac:dyDescent="0.25">
      <c r="A506" s="5" t="s">
        <v>556</v>
      </c>
      <c r="B506" s="6" t="s">
        <v>76</v>
      </c>
      <c r="C506" s="6" t="s">
        <v>19</v>
      </c>
      <c r="D506" s="6" t="s">
        <v>20</v>
      </c>
      <c r="E506" s="6" t="s">
        <v>35</v>
      </c>
      <c r="F506" s="6" t="s">
        <v>29</v>
      </c>
      <c r="G506" s="6">
        <v>72</v>
      </c>
      <c r="H506" s="7">
        <v>544.59</v>
      </c>
      <c r="I506" s="7">
        <v>39210.480000000003</v>
      </c>
      <c r="J506" s="8">
        <v>45083</v>
      </c>
      <c r="K506" s="6">
        <v>43</v>
      </c>
      <c r="L506" s="6" t="s">
        <v>23</v>
      </c>
      <c r="M506" s="6" t="b">
        <v>0</v>
      </c>
      <c r="N506" s="6">
        <v>20.87</v>
      </c>
      <c r="O506" s="6" t="s">
        <v>30</v>
      </c>
      <c r="P506" s="6" t="b">
        <v>0</v>
      </c>
      <c r="Q506" s="9" t="s">
        <v>36</v>
      </c>
    </row>
    <row r="507" spans="1:17" x14ac:dyDescent="0.25">
      <c r="A507" s="5" t="s">
        <v>557</v>
      </c>
      <c r="B507" s="6" t="s">
        <v>62</v>
      </c>
      <c r="C507" s="6" t="s">
        <v>39</v>
      </c>
      <c r="D507" s="6" t="s">
        <v>34</v>
      </c>
      <c r="E507" s="6" t="s">
        <v>21</v>
      </c>
      <c r="F507" s="6" t="s">
        <v>22</v>
      </c>
      <c r="G507" s="6">
        <v>59</v>
      </c>
      <c r="H507" s="7">
        <v>838.13</v>
      </c>
      <c r="I507" s="7">
        <v>49449.67</v>
      </c>
      <c r="J507" s="8">
        <v>45051</v>
      </c>
      <c r="K507" s="6">
        <v>54</v>
      </c>
      <c r="L507" s="6" t="s">
        <v>49</v>
      </c>
      <c r="M507" s="6" t="b">
        <v>1</v>
      </c>
      <c r="N507" s="6">
        <v>17.41</v>
      </c>
      <c r="O507" s="6" t="s">
        <v>30</v>
      </c>
      <c r="P507" s="6" t="b">
        <v>1</v>
      </c>
      <c r="Q507" s="9" t="s">
        <v>25</v>
      </c>
    </row>
    <row r="508" spans="1:17" x14ac:dyDescent="0.25">
      <c r="A508" s="5" t="s">
        <v>558</v>
      </c>
      <c r="B508" s="6" t="s">
        <v>51</v>
      </c>
      <c r="C508" s="6" t="s">
        <v>39</v>
      </c>
      <c r="D508" s="6" t="s">
        <v>52</v>
      </c>
      <c r="E508" s="6" t="s">
        <v>28</v>
      </c>
      <c r="F508" s="6" t="s">
        <v>22</v>
      </c>
      <c r="G508" s="6">
        <v>41</v>
      </c>
      <c r="H508" s="7">
        <v>1081.94</v>
      </c>
      <c r="I508" s="7">
        <v>44359.54</v>
      </c>
      <c r="J508" s="8">
        <v>45087</v>
      </c>
      <c r="K508" s="6">
        <v>33</v>
      </c>
      <c r="L508" s="6" t="s">
        <v>49</v>
      </c>
      <c r="M508" s="6" t="b">
        <v>0</v>
      </c>
      <c r="N508" s="6">
        <v>20.8</v>
      </c>
      <c r="O508" s="6" t="s">
        <v>56</v>
      </c>
      <c r="P508" s="6" t="b">
        <v>1</v>
      </c>
      <c r="Q508" s="9" t="s">
        <v>36</v>
      </c>
    </row>
    <row r="509" spans="1:17" x14ac:dyDescent="0.25">
      <c r="A509" s="5" t="s">
        <v>559</v>
      </c>
      <c r="B509" s="6" t="s">
        <v>72</v>
      </c>
      <c r="C509" s="6" t="s">
        <v>39</v>
      </c>
      <c r="D509" s="6" t="s">
        <v>64</v>
      </c>
      <c r="E509" s="6" t="s">
        <v>44</v>
      </c>
      <c r="F509" s="6" t="s">
        <v>40</v>
      </c>
      <c r="G509" s="6">
        <v>66</v>
      </c>
      <c r="H509" s="7">
        <v>355.84</v>
      </c>
      <c r="I509" s="7">
        <v>23485.439999999999</v>
      </c>
      <c r="J509" s="8">
        <v>45467</v>
      </c>
      <c r="K509" s="6">
        <v>54</v>
      </c>
      <c r="L509" s="6" t="s">
        <v>41</v>
      </c>
      <c r="M509" s="6" t="b">
        <v>1</v>
      </c>
      <c r="N509" s="6">
        <v>24.88</v>
      </c>
      <c r="O509" s="6" t="s">
        <v>56</v>
      </c>
      <c r="P509" s="6" t="b">
        <v>1</v>
      </c>
      <c r="Q509" s="9" t="s">
        <v>36</v>
      </c>
    </row>
    <row r="510" spans="1:17" x14ac:dyDescent="0.25">
      <c r="A510" s="5" t="s">
        <v>560</v>
      </c>
      <c r="B510" s="6" t="s">
        <v>27</v>
      </c>
      <c r="C510" s="6" t="s">
        <v>33</v>
      </c>
      <c r="D510" s="6" t="s">
        <v>20</v>
      </c>
      <c r="E510" s="6" t="s">
        <v>44</v>
      </c>
      <c r="F510" s="6" t="s">
        <v>22</v>
      </c>
      <c r="G510" s="6">
        <v>96</v>
      </c>
      <c r="H510" s="7">
        <v>1025.1600000000001</v>
      </c>
      <c r="I510" s="7">
        <v>98415.360000000001</v>
      </c>
      <c r="J510" s="8">
        <v>45552</v>
      </c>
      <c r="K510" s="6">
        <v>29</v>
      </c>
      <c r="L510" s="6" t="s">
        <v>23</v>
      </c>
      <c r="M510" s="6" t="b">
        <v>1</v>
      </c>
      <c r="N510" s="6">
        <v>1.03</v>
      </c>
      <c r="O510" s="6" t="s">
        <v>56</v>
      </c>
      <c r="P510" s="6" t="b">
        <v>0</v>
      </c>
      <c r="Q510" s="9" t="s">
        <v>36</v>
      </c>
    </row>
    <row r="511" spans="1:17" x14ac:dyDescent="0.25">
      <c r="A511" s="5" t="s">
        <v>561</v>
      </c>
      <c r="B511" s="6" t="s">
        <v>76</v>
      </c>
      <c r="C511" s="6" t="s">
        <v>39</v>
      </c>
      <c r="D511" s="6" t="s">
        <v>47</v>
      </c>
      <c r="E511" s="6" t="s">
        <v>28</v>
      </c>
      <c r="F511" s="6" t="s">
        <v>40</v>
      </c>
      <c r="G511" s="6">
        <v>54</v>
      </c>
      <c r="H511" s="7">
        <v>1071.18</v>
      </c>
      <c r="I511" s="7">
        <v>57843.72</v>
      </c>
      <c r="J511" s="8">
        <v>45517</v>
      </c>
      <c r="K511" s="6">
        <v>41</v>
      </c>
      <c r="L511" s="6" t="s">
        <v>49</v>
      </c>
      <c r="M511" s="6" t="b">
        <v>1</v>
      </c>
      <c r="N511" s="6">
        <v>9.77</v>
      </c>
      <c r="O511" s="6" t="s">
        <v>42</v>
      </c>
      <c r="P511" s="6" t="b">
        <v>1</v>
      </c>
      <c r="Q511" s="9" t="s">
        <v>36</v>
      </c>
    </row>
    <row r="512" spans="1:17" x14ac:dyDescent="0.25">
      <c r="A512" s="5" t="s">
        <v>562</v>
      </c>
      <c r="B512" s="6" t="s">
        <v>51</v>
      </c>
      <c r="C512" s="6" t="s">
        <v>19</v>
      </c>
      <c r="D512" s="6" t="s">
        <v>52</v>
      </c>
      <c r="E512" s="6" t="s">
        <v>28</v>
      </c>
      <c r="F512" s="6" t="s">
        <v>48</v>
      </c>
      <c r="G512" s="6">
        <v>40</v>
      </c>
      <c r="H512" s="7">
        <v>860</v>
      </c>
      <c r="I512" s="7">
        <v>34400</v>
      </c>
      <c r="J512" s="8">
        <v>45461</v>
      </c>
      <c r="K512" s="6">
        <v>43</v>
      </c>
      <c r="L512" s="6" t="s">
        <v>23</v>
      </c>
      <c r="M512" s="6" t="b">
        <v>0</v>
      </c>
      <c r="N512" s="6">
        <v>28.78</v>
      </c>
      <c r="O512" s="6" t="s">
        <v>42</v>
      </c>
      <c r="P512" s="6" t="b">
        <v>0</v>
      </c>
      <c r="Q512" s="9" t="s">
        <v>25</v>
      </c>
    </row>
    <row r="513" spans="1:17" x14ac:dyDescent="0.25">
      <c r="A513" s="5" t="s">
        <v>563</v>
      </c>
      <c r="B513" s="6" t="s">
        <v>76</v>
      </c>
      <c r="C513" s="6" t="s">
        <v>39</v>
      </c>
      <c r="D513" s="6" t="s">
        <v>64</v>
      </c>
      <c r="E513" s="6" t="s">
        <v>28</v>
      </c>
      <c r="F513" s="6" t="s">
        <v>22</v>
      </c>
      <c r="G513" s="6">
        <v>28</v>
      </c>
      <c r="H513" s="7">
        <v>1360.25</v>
      </c>
      <c r="I513" s="7">
        <v>38087</v>
      </c>
      <c r="J513" s="8">
        <v>45032</v>
      </c>
      <c r="K513" s="6">
        <v>37</v>
      </c>
      <c r="L513" s="6" t="s">
        <v>49</v>
      </c>
      <c r="M513" s="6" t="b">
        <v>0</v>
      </c>
      <c r="N513" s="6">
        <v>28.48</v>
      </c>
      <c r="O513" s="6" t="s">
        <v>30</v>
      </c>
      <c r="P513" s="6" t="b">
        <v>1</v>
      </c>
      <c r="Q513" s="9" t="s">
        <v>25</v>
      </c>
    </row>
    <row r="514" spans="1:17" x14ac:dyDescent="0.25">
      <c r="A514" s="5" t="s">
        <v>564</v>
      </c>
      <c r="B514" s="6" t="s">
        <v>18</v>
      </c>
      <c r="C514" s="6" t="s">
        <v>19</v>
      </c>
      <c r="D514" s="6" t="s">
        <v>34</v>
      </c>
      <c r="E514" s="6" t="s">
        <v>21</v>
      </c>
      <c r="F514" s="6" t="s">
        <v>48</v>
      </c>
      <c r="G514" s="6">
        <v>37</v>
      </c>
      <c r="H514" s="7">
        <v>210.94</v>
      </c>
      <c r="I514" s="7">
        <v>7804.78</v>
      </c>
      <c r="J514" s="8">
        <v>45057</v>
      </c>
      <c r="K514" s="6">
        <v>26</v>
      </c>
      <c r="L514" s="6" t="s">
        <v>41</v>
      </c>
      <c r="M514" s="6" t="b">
        <v>0</v>
      </c>
      <c r="N514" s="6">
        <v>0.34</v>
      </c>
      <c r="O514" s="6" t="s">
        <v>56</v>
      </c>
      <c r="P514" s="6" t="b">
        <v>1</v>
      </c>
      <c r="Q514" s="9" t="s">
        <v>36</v>
      </c>
    </row>
    <row r="515" spans="1:17" x14ac:dyDescent="0.25">
      <c r="A515" s="5" t="s">
        <v>565</v>
      </c>
      <c r="B515" s="6" t="s">
        <v>27</v>
      </c>
      <c r="C515" s="6" t="s">
        <v>33</v>
      </c>
      <c r="D515" s="6" t="s">
        <v>64</v>
      </c>
      <c r="E515" s="6" t="s">
        <v>44</v>
      </c>
      <c r="F515" s="6" t="s">
        <v>29</v>
      </c>
      <c r="G515" s="6">
        <v>65</v>
      </c>
      <c r="H515" s="7">
        <v>306.83</v>
      </c>
      <c r="I515" s="7">
        <v>19943.95</v>
      </c>
      <c r="J515" s="8">
        <v>45283</v>
      </c>
      <c r="K515" s="6">
        <v>40</v>
      </c>
      <c r="L515" s="6" t="s">
        <v>49</v>
      </c>
      <c r="M515" s="6" t="b">
        <v>1</v>
      </c>
      <c r="N515" s="6">
        <v>6.04</v>
      </c>
      <c r="O515" s="6" t="s">
        <v>30</v>
      </c>
      <c r="P515" s="6" t="b">
        <v>0</v>
      </c>
      <c r="Q515" s="9" t="s">
        <v>36</v>
      </c>
    </row>
    <row r="516" spans="1:17" x14ac:dyDescent="0.25">
      <c r="A516" s="5" t="s">
        <v>566</v>
      </c>
      <c r="B516" s="6" t="s">
        <v>51</v>
      </c>
      <c r="C516" s="6" t="s">
        <v>19</v>
      </c>
      <c r="D516" s="6" t="s">
        <v>52</v>
      </c>
      <c r="E516" s="6" t="s">
        <v>28</v>
      </c>
      <c r="F516" s="6" t="s">
        <v>48</v>
      </c>
      <c r="G516" s="6">
        <v>74</v>
      </c>
      <c r="H516" s="7">
        <v>671.56</v>
      </c>
      <c r="I516" s="7">
        <v>49695.44</v>
      </c>
      <c r="J516" s="8">
        <v>44928</v>
      </c>
      <c r="K516" s="6">
        <v>56</v>
      </c>
      <c r="L516" s="6" t="s">
        <v>49</v>
      </c>
      <c r="M516" s="6" t="b">
        <v>0</v>
      </c>
      <c r="N516" s="6">
        <v>29.81</v>
      </c>
      <c r="O516" s="6" t="s">
        <v>42</v>
      </c>
      <c r="P516" s="6" t="b">
        <v>1</v>
      </c>
      <c r="Q516" s="9" t="s">
        <v>36</v>
      </c>
    </row>
    <row r="517" spans="1:17" x14ac:dyDescent="0.25">
      <c r="A517" s="5" t="s">
        <v>567</v>
      </c>
      <c r="B517" s="6" t="s">
        <v>46</v>
      </c>
      <c r="C517" s="6" t="s">
        <v>19</v>
      </c>
      <c r="D517" s="6" t="s">
        <v>52</v>
      </c>
      <c r="E517" s="6" t="s">
        <v>21</v>
      </c>
      <c r="F517" s="6" t="s">
        <v>29</v>
      </c>
      <c r="G517" s="6">
        <v>55</v>
      </c>
      <c r="H517" s="7">
        <v>233.73</v>
      </c>
      <c r="I517" s="7">
        <v>12855.15</v>
      </c>
      <c r="J517" s="8">
        <v>45159</v>
      </c>
      <c r="K517" s="6">
        <v>46</v>
      </c>
      <c r="L517" s="6" t="s">
        <v>23</v>
      </c>
      <c r="M517" s="6" t="b">
        <v>1</v>
      </c>
      <c r="N517" s="6">
        <v>14.78</v>
      </c>
      <c r="O517" s="6" t="s">
        <v>24</v>
      </c>
      <c r="P517" s="6" t="b">
        <v>0</v>
      </c>
      <c r="Q517" s="9" t="s">
        <v>25</v>
      </c>
    </row>
    <row r="518" spans="1:17" x14ac:dyDescent="0.25">
      <c r="A518" s="5" t="s">
        <v>568</v>
      </c>
      <c r="B518" s="6" t="s">
        <v>38</v>
      </c>
      <c r="C518" s="6" t="s">
        <v>19</v>
      </c>
      <c r="D518" s="6" t="s">
        <v>64</v>
      </c>
      <c r="E518" s="6" t="s">
        <v>28</v>
      </c>
      <c r="F518" s="6" t="s">
        <v>48</v>
      </c>
      <c r="G518" s="6">
        <v>4</v>
      </c>
      <c r="H518" s="7">
        <v>871.13</v>
      </c>
      <c r="I518" s="7">
        <v>3484.52</v>
      </c>
      <c r="J518" s="8">
        <v>45295</v>
      </c>
      <c r="K518" s="6">
        <v>48</v>
      </c>
      <c r="L518" s="6" t="s">
        <v>49</v>
      </c>
      <c r="M518" s="6" t="b">
        <v>1</v>
      </c>
      <c r="N518" s="6">
        <v>17.190000000000001</v>
      </c>
      <c r="O518" s="6" t="s">
        <v>30</v>
      </c>
      <c r="P518" s="6" t="b">
        <v>1</v>
      </c>
      <c r="Q518" s="9" t="s">
        <v>36</v>
      </c>
    </row>
    <row r="519" spans="1:17" x14ac:dyDescent="0.25">
      <c r="A519" s="5" t="s">
        <v>569</v>
      </c>
      <c r="B519" s="6" t="s">
        <v>38</v>
      </c>
      <c r="C519" s="6" t="s">
        <v>33</v>
      </c>
      <c r="D519" s="6" t="s">
        <v>34</v>
      </c>
      <c r="E519" s="6" t="s">
        <v>35</v>
      </c>
      <c r="F519" s="6" t="s">
        <v>48</v>
      </c>
      <c r="G519" s="6">
        <v>99</v>
      </c>
      <c r="H519" s="7">
        <v>627.67999999999995</v>
      </c>
      <c r="I519" s="7">
        <v>62140.32</v>
      </c>
      <c r="J519" s="8">
        <v>45177</v>
      </c>
      <c r="K519" s="6">
        <v>36</v>
      </c>
      <c r="L519" s="6" t="s">
        <v>41</v>
      </c>
      <c r="M519" s="6" t="b">
        <v>1</v>
      </c>
      <c r="N519" s="6">
        <v>4.99</v>
      </c>
      <c r="O519" s="6" t="s">
        <v>42</v>
      </c>
      <c r="P519" s="6" t="b">
        <v>0</v>
      </c>
      <c r="Q519" s="9" t="s">
        <v>36</v>
      </c>
    </row>
    <row r="520" spans="1:17" x14ac:dyDescent="0.25">
      <c r="A520" s="5" t="s">
        <v>570</v>
      </c>
      <c r="B520" s="6" t="s">
        <v>51</v>
      </c>
      <c r="C520" s="6" t="s">
        <v>39</v>
      </c>
      <c r="D520" s="6" t="s">
        <v>64</v>
      </c>
      <c r="E520" s="6" t="s">
        <v>35</v>
      </c>
      <c r="F520" s="6" t="s">
        <v>22</v>
      </c>
      <c r="G520" s="6">
        <v>10</v>
      </c>
      <c r="H520" s="7">
        <v>462.66</v>
      </c>
      <c r="I520" s="7">
        <v>4626.6000000000004</v>
      </c>
      <c r="J520" s="8">
        <v>45034</v>
      </c>
      <c r="K520" s="6">
        <v>37</v>
      </c>
      <c r="L520" s="6" t="s">
        <v>41</v>
      </c>
      <c r="M520" s="6" t="b">
        <v>0</v>
      </c>
      <c r="N520" s="6">
        <v>26.83</v>
      </c>
      <c r="O520" s="6" t="s">
        <v>56</v>
      </c>
      <c r="P520" s="6" t="b">
        <v>1</v>
      </c>
      <c r="Q520" s="9" t="s">
        <v>25</v>
      </c>
    </row>
    <row r="521" spans="1:17" x14ac:dyDescent="0.25">
      <c r="A521" s="5" t="s">
        <v>571</v>
      </c>
      <c r="B521" s="6" t="s">
        <v>76</v>
      </c>
      <c r="C521" s="6" t="s">
        <v>39</v>
      </c>
      <c r="D521" s="6" t="s">
        <v>52</v>
      </c>
      <c r="E521" s="6" t="s">
        <v>44</v>
      </c>
      <c r="F521" s="6" t="s">
        <v>48</v>
      </c>
      <c r="G521" s="6">
        <v>47</v>
      </c>
      <c r="H521" s="7">
        <v>296.49</v>
      </c>
      <c r="I521" s="7">
        <v>13935.03</v>
      </c>
      <c r="J521" s="8">
        <v>45202</v>
      </c>
      <c r="K521" s="6">
        <v>40</v>
      </c>
      <c r="L521" s="6" t="s">
        <v>49</v>
      </c>
      <c r="M521" s="6" t="b">
        <v>1</v>
      </c>
      <c r="N521" s="6">
        <v>6.94</v>
      </c>
      <c r="O521" s="6" t="s">
        <v>24</v>
      </c>
      <c r="P521" s="6" t="b">
        <v>1</v>
      </c>
      <c r="Q521" s="9" t="s">
        <v>36</v>
      </c>
    </row>
    <row r="522" spans="1:17" x14ac:dyDescent="0.25">
      <c r="A522" s="5" t="s">
        <v>572</v>
      </c>
      <c r="B522" s="6" t="s">
        <v>27</v>
      </c>
      <c r="C522" s="6" t="s">
        <v>33</v>
      </c>
      <c r="D522" s="6" t="s">
        <v>52</v>
      </c>
      <c r="E522" s="6" t="s">
        <v>21</v>
      </c>
      <c r="F522" s="6" t="s">
        <v>22</v>
      </c>
      <c r="G522" s="6">
        <v>75</v>
      </c>
      <c r="H522" s="7">
        <v>536.24</v>
      </c>
      <c r="I522" s="7">
        <v>40218</v>
      </c>
      <c r="J522" s="8">
        <v>45106</v>
      </c>
      <c r="K522" s="6">
        <v>60</v>
      </c>
      <c r="L522" s="6" t="s">
        <v>49</v>
      </c>
      <c r="M522" s="6" t="b">
        <v>0</v>
      </c>
      <c r="N522" s="6">
        <v>5.69</v>
      </c>
      <c r="O522" s="6" t="s">
        <v>24</v>
      </c>
      <c r="P522" s="6" t="b">
        <v>1</v>
      </c>
      <c r="Q522" s="9" t="s">
        <v>36</v>
      </c>
    </row>
    <row r="523" spans="1:17" x14ac:dyDescent="0.25">
      <c r="A523" s="5" t="s">
        <v>573</v>
      </c>
      <c r="B523" s="6" t="s">
        <v>38</v>
      </c>
      <c r="C523" s="6" t="s">
        <v>19</v>
      </c>
      <c r="D523" s="6" t="s">
        <v>47</v>
      </c>
      <c r="E523" s="6" t="s">
        <v>35</v>
      </c>
      <c r="F523" s="6" t="s">
        <v>22</v>
      </c>
      <c r="G523" s="6">
        <v>14</v>
      </c>
      <c r="H523" s="7">
        <v>931.54</v>
      </c>
      <c r="I523" s="7">
        <v>13041.56</v>
      </c>
      <c r="J523" s="8">
        <v>45219</v>
      </c>
      <c r="K523" s="6">
        <v>44</v>
      </c>
      <c r="L523" s="6" t="s">
        <v>23</v>
      </c>
      <c r="M523" s="6" t="b">
        <v>0</v>
      </c>
      <c r="N523" s="6">
        <v>6.84</v>
      </c>
      <c r="O523" s="6" t="s">
        <v>24</v>
      </c>
      <c r="P523" s="6" t="b">
        <v>1</v>
      </c>
      <c r="Q523" s="9" t="s">
        <v>36</v>
      </c>
    </row>
    <row r="524" spans="1:17" x14ac:dyDescent="0.25">
      <c r="A524" s="5" t="s">
        <v>574</v>
      </c>
      <c r="B524" s="6" t="s">
        <v>27</v>
      </c>
      <c r="C524" s="6" t="s">
        <v>39</v>
      </c>
      <c r="D524" s="6" t="s">
        <v>47</v>
      </c>
      <c r="E524" s="6" t="s">
        <v>35</v>
      </c>
      <c r="F524" s="6" t="s">
        <v>40</v>
      </c>
      <c r="G524" s="6">
        <v>38</v>
      </c>
      <c r="H524" s="7">
        <v>884.89</v>
      </c>
      <c r="I524" s="7">
        <v>33625.82</v>
      </c>
      <c r="J524" s="8">
        <v>45510</v>
      </c>
      <c r="K524" s="6">
        <v>47</v>
      </c>
      <c r="L524" s="6" t="s">
        <v>23</v>
      </c>
      <c r="M524" s="6" t="b">
        <v>1</v>
      </c>
      <c r="N524" s="6">
        <v>27.59</v>
      </c>
      <c r="O524" s="6" t="s">
        <v>56</v>
      </c>
      <c r="P524" s="6" t="b">
        <v>1</v>
      </c>
      <c r="Q524" s="9" t="s">
        <v>36</v>
      </c>
    </row>
    <row r="525" spans="1:17" x14ac:dyDescent="0.25">
      <c r="A525" s="5" t="s">
        <v>575</v>
      </c>
      <c r="B525" s="6" t="s">
        <v>38</v>
      </c>
      <c r="C525" s="6" t="s">
        <v>33</v>
      </c>
      <c r="D525" s="6" t="s">
        <v>20</v>
      </c>
      <c r="E525" s="6" t="s">
        <v>21</v>
      </c>
      <c r="F525" s="6" t="s">
        <v>40</v>
      </c>
      <c r="G525" s="6">
        <v>12</v>
      </c>
      <c r="H525" s="7">
        <v>287.25</v>
      </c>
      <c r="I525" s="7">
        <v>3447</v>
      </c>
      <c r="J525" s="8">
        <v>45101</v>
      </c>
      <c r="K525" s="6">
        <v>38</v>
      </c>
      <c r="L525" s="6" t="s">
        <v>41</v>
      </c>
      <c r="M525" s="6" t="b">
        <v>0</v>
      </c>
      <c r="N525" s="6">
        <v>21.09</v>
      </c>
      <c r="O525" s="6" t="s">
        <v>24</v>
      </c>
      <c r="P525" s="6" t="b">
        <v>0</v>
      </c>
      <c r="Q525" s="9" t="s">
        <v>25</v>
      </c>
    </row>
    <row r="526" spans="1:17" x14ac:dyDescent="0.25">
      <c r="A526" s="5" t="s">
        <v>576</v>
      </c>
      <c r="B526" s="6" t="s">
        <v>18</v>
      </c>
      <c r="C526" s="6" t="s">
        <v>39</v>
      </c>
      <c r="D526" s="6" t="s">
        <v>52</v>
      </c>
      <c r="E526" s="6" t="s">
        <v>28</v>
      </c>
      <c r="F526" s="6" t="s">
        <v>29</v>
      </c>
      <c r="G526" s="6">
        <v>45</v>
      </c>
      <c r="H526" s="7">
        <v>231.13</v>
      </c>
      <c r="I526" s="7">
        <v>10400.85</v>
      </c>
      <c r="J526" s="8">
        <v>45049</v>
      </c>
      <c r="K526" s="6">
        <v>61</v>
      </c>
      <c r="L526" s="6" t="s">
        <v>23</v>
      </c>
      <c r="M526" s="6" t="b">
        <v>1</v>
      </c>
      <c r="N526" s="6">
        <v>23.06</v>
      </c>
      <c r="O526" s="6" t="s">
        <v>42</v>
      </c>
      <c r="P526" s="6" t="b">
        <v>0</v>
      </c>
      <c r="Q526" s="9" t="s">
        <v>25</v>
      </c>
    </row>
    <row r="527" spans="1:17" x14ac:dyDescent="0.25">
      <c r="A527" s="5" t="s">
        <v>577</v>
      </c>
      <c r="B527" s="6" t="s">
        <v>76</v>
      </c>
      <c r="C527" s="6" t="s">
        <v>33</v>
      </c>
      <c r="D527" s="6" t="s">
        <v>47</v>
      </c>
      <c r="E527" s="6" t="s">
        <v>21</v>
      </c>
      <c r="F527" s="6" t="s">
        <v>48</v>
      </c>
      <c r="G527" s="6">
        <v>17</v>
      </c>
      <c r="H527" s="7">
        <v>88.68</v>
      </c>
      <c r="I527" s="7">
        <v>1507.56</v>
      </c>
      <c r="J527" s="8">
        <v>45153</v>
      </c>
      <c r="K527" s="6">
        <v>52</v>
      </c>
      <c r="L527" s="6" t="s">
        <v>49</v>
      </c>
      <c r="M527" s="6" t="b">
        <v>1</v>
      </c>
      <c r="N527" s="6">
        <v>11.31</v>
      </c>
      <c r="O527" s="6" t="s">
        <v>30</v>
      </c>
      <c r="P527" s="6" t="b">
        <v>1</v>
      </c>
      <c r="Q527" s="9" t="s">
        <v>25</v>
      </c>
    </row>
    <row r="528" spans="1:17" x14ac:dyDescent="0.25">
      <c r="A528" s="5" t="s">
        <v>578</v>
      </c>
      <c r="B528" s="6" t="s">
        <v>18</v>
      </c>
      <c r="C528" s="6" t="s">
        <v>19</v>
      </c>
      <c r="D528" s="6" t="s">
        <v>64</v>
      </c>
      <c r="E528" s="6" t="s">
        <v>28</v>
      </c>
      <c r="F528" s="6" t="s">
        <v>29</v>
      </c>
      <c r="G528" s="6">
        <v>80</v>
      </c>
      <c r="H528" s="7">
        <v>68.02</v>
      </c>
      <c r="I528" s="7">
        <v>5441.6</v>
      </c>
      <c r="J528" s="8">
        <v>45370</v>
      </c>
      <c r="K528" s="6">
        <v>66</v>
      </c>
      <c r="L528" s="6" t="s">
        <v>41</v>
      </c>
      <c r="M528" s="6" t="b">
        <v>0</v>
      </c>
      <c r="N528" s="6">
        <v>27.28</v>
      </c>
      <c r="O528" s="6" t="s">
        <v>24</v>
      </c>
      <c r="P528" s="6" t="b">
        <v>0</v>
      </c>
      <c r="Q528" s="9" t="s">
        <v>36</v>
      </c>
    </row>
    <row r="529" spans="1:17" x14ac:dyDescent="0.25">
      <c r="A529" s="5" t="s">
        <v>579</v>
      </c>
      <c r="B529" s="6" t="s">
        <v>38</v>
      </c>
      <c r="C529" s="6" t="s">
        <v>39</v>
      </c>
      <c r="D529" s="6" t="s">
        <v>34</v>
      </c>
      <c r="E529" s="6" t="s">
        <v>35</v>
      </c>
      <c r="F529" s="6" t="s">
        <v>48</v>
      </c>
      <c r="G529" s="6">
        <v>35</v>
      </c>
      <c r="H529" s="7">
        <v>1325.73</v>
      </c>
      <c r="I529" s="7">
        <v>46400.55</v>
      </c>
      <c r="J529" s="8">
        <v>45354</v>
      </c>
      <c r="K529" s="6">
        <v>24</v>
      </c>
      <c r="L529" s="6" t="s">
        <v>23</v>
      </c>
      <c r="M529" s="6" t="b">
        <v>1</v>
      </c>
      <c r="N529" s="6">
        <v>23.68</v>
      </c>
      <c r="O529" s="6" t="s">
        <v>24</v>
      </c>
      <c r="P529" s="6" t="b">
        <v>0</v>
      </c>
      <c r="Q529" s="9" t="s">
        <v>36</v>
      </c>
    </row>
    <row r="530" spans="1:17" x14ac:dyDescent="0.25">
      <c r="A530" s="5" t="s">
        <v>580</v>
      </c>
      <c r="B530" s="6" t="s">
        <v>46</v>
      </c>
      <c r="C530" s="6" t="s">
        <v>33</v>
      </c>
      <c r="D530" s="6" t="s">
        <v>64</v>
      </c>
      <c r="E530" s="6" t="s">
        <v>35</v>
      </c>
      <c r="F530" s="6" t="s">
        <v>40</v>
      </c>
      <c r="G530" s="6">
        <v>66</v>
      </c>
      <c r="H530" s="7">
        <v>115.38</v>
      </c>
      <c r="I530" s="7">
        <v>7615.08</v>
      </c>
      <c r="J530" s="8">
        <v>45009</v>
      </c>
      <c r="K530" s="6">
        <v>39</v>
      </c>
      <c r="L530" s="6" t="s">
        <v>41</v>
      </c>
      <c r="M530" s="6" t="b">
        <v>1</v>
      </c>
      <c r="N530" s="6">
        <v>22.52</v>
      </c>
      <c r="O530" s="6" t="s">
        <v>42</v>
      </c>
      <c r="P530" s="6" t="b">
        <v>0</v>
      </c>
      <c r="Q530" s="9" t="s">
        <v>25</v>
      </c>
    </row>
    <row r="531" spans="1:17" x14ac:dyDescent="0.25">
      <c r="A531" s="5" t="s">
        <v>581</v>
      </c>
      <c r="B531" s="6" t="s">
        <v>46</v>
      </c>
      <c r="C531" s="6" t="s">
        <v>39</v>
      </c>
      <c r="D531" s="6" t="s">
        <v>34</v>
      </c>
      <c r="E531" s="6" t="s">
        <v>35</v>
      </c>
      <c r="F531" s="6" t="s">
        <v>40</v>
      </c>
      <c r="G531" s="6">
        <v>75</v>
      </c>
      <c r="H531" s="7">
        <v>1110.27</v>
      </c>
      <c r="I531" s="7">
        <v>83270.25</v>
      </c>
      <c r="J531" s="8">
        <v>45584</v>
      </c>
      <c r="K531" s="6">
        <v>27</v>
      </c>
      <c r="L531" s="6" t="s">
        <v>49</v>
      </c>
      <c r="M531" s="6" t="b">
        <v>1</v>
      </c>
      <c r="N531" s="6">
        <v>29.13</v>
      </c>
      <c r="O531" s="6" t="s">
        <v>56</v>
      </c>
      <c r="P531" s="6" t="b">
        <v>0</v>
      </c>
      <c r="Q531" s="9" t="s">
        <v>36</v>
      </c>
    </row>
    <row r="532" spans="1:17" x14ac:dyDescent="0.25">
      <c r="A532" s="5" t="s">
        <v>582</v>
      </c>
      <c r="B532" s="6" t="s">
        <v>18</v>
      </c>
      <c r="C532" s="6" t="s">
        <v>39</v>
      </c>
      <c r="D532" s="6" t="s">
        <v>47</v>
      </c>
      <c r="E532" s="6" t="s">
        <v>44</v>
      </c>
      <c r="F532" s="6" t="s">
        <v>48</v>
      </c>
      <c r="G532" s="6">
        <v>41</v>
      </c>
      <c r="H532" s="7">
        <v>1314.38</v>
      </c>
      <c r="I532" s="7">
        <v>53889.58</v>
      </c>
      <c r="J532" s="8">
        <v>45558</v>
      </c>
      <c r="K532" s="6">
        <v>40</v>
      </c>
      <c r="L532" s="6" t="s">
        <v>23</v>
      </c>
      <c r="M532" s="6" t="b">
        <v>0</v>
      </c>
      <c r="N532" s="6">
        <v>10.99</v>
      </c>
      <c r="O532" s="6" t="s">
        <v>24</v>
      </c>
      <c r="P532" s="6" t="b">
        <v>1</v>
      </c>
      <c r="Q532" s="9" t="s">
        <v>36</v>
      </c>
    </row>
    <row r="533" spans="1:17" x14ac:dyDescent="0.25">
      <c r="A533" s="5" t="s">
        <v>583</v>
      </c>
      <c r="B533" s="6" t="s">
        <v>46</v>
      </c>
      <c r="C533" s="6" t="s">
        <v>39</v>
      </c>
      <c r="D533" s="6" t="s">
        <v>20</v>
      </c>
      <c r="E533" s="6" t="s">
        <v>44</v>
      </c>
      <c r="F533" s="6" t="s">
        <v>48</v>
      </c>
      <c r="G533" s="6">
        <v>67</v>
      </c>
      <c r="H533" s="7">
        <v>192.18</v>
      </c>
      <c r="I533" s="7">
        <v>12876.06</v>
      </c>
      <c r="J533" s="8">
        <v>44991</v>
      </c>
      <c r="K533" s="6">
        <v>32</v>
      </c>
      <c r="L533" s="6" t="s">
        <v>49</v>
      </c>
      <c r="M533" s="6" t="b">
        <v>0</v>
      </c>
      <c r="N533" s="6">
        <v>18.329999999999998</v>
      </c>
      <c r="O533" s="6" t="s">
        <v>42</v>
      </c>
      <c r="P533" s="6" t="b">
        <v>0</v>
      </c>
      <c r="Q533" s="9" t="s">
        <v>25</v>
      </c>
    </row>
    <row r="534" spans="1:17" x14ac:dyDescent="0.25">
      <c r="A534" s="5" t="s">
        <v>584</v>
      </c>
      <c r="B534" s="6" t="s">
        <v>38</v>
      </c>
      <c r="C534" s="6" t="s">
        <v>39</v>
      </c>
      <c r="D534" s="6" t="s">
        <v>64</v>
      </c>
      <c r="E534" s="6" t="s">
        <v>44</v>
      </c>
      <c r="F534" s="6" t="s">
        <v>40</v>
      </c>
      <c r="G534" s="6">
        <v>29</v>
      </c>
      <c r="H534" s="7">
        <v>682.64</v>
      </c>
      <c r="I534" s="7">
        <v>19796.560000000001</v>
      </c>
      <c r="J534" s="8">
        <v>45207</v>
      </c>
      <c r="K534" s="6">
        <v>47</v>
      </c>
      <c r="L534" s="6" t="s">
        <v>49</v>
      </c>
      <c r="M534" s="6" t="b">
        <v>0</v>
      </c>
      <c r="N534" s="6">
        <v>27.3</v>
      </c>
      <c r="O534" s="6" t="s">
        <v>42</v>
      </c>
      <c r="P534" s="6" t="b">
        <v>0</v>
      </c>
      <c r="Q534" s="9" t="s">
        <v>25</v>
      </c>
    </row>
    <row r="535" spans="1:17" x14ac:dyDescent="0.25">
      <c r="A535" s="5" t="s">
        <v>585</v>
      </c>
      <c r="B535" s="6" t="s">
        <v>51</v>
      </c>
      <c r="C535" s="6" t="s">
        <v>33</v>
      </c>
      <c r="D535" s="6" t="s">
        <v>64</v>
      </c>
      <c r="E535" s="6" t="s">
        <v>21</v>
      </c>
      <c r="F535" s="6" t="s">
        <v>40</v>
      </c>
      <c r="G535" s="6">
        <v>18</v>
      </c>
      <c r="H535" s="7">
        <v>1445.34</v>
      </c>
      <c r="I535" s="7">
        <v>26016.12</v>
      </c>
      <c r="J535" s="8">
        <v>45317</v>
      </c>
      <c r="K535" s="6">
        <v>51</v>
      </c>
      <c r="L535" s="6" t="s">
        <v>41</v>
      </c>
      <c r="M535" s="6" t="b">
        <v>1</v>
      </c>
      <c r="N535" s="6">
        <v>23.73</v>
      </c>
      <c r="O535" s="6" t="s">
        <v>56</v>
      </c>
      <c r="P535" s="6" t="b">
        <v>1</v>
      </c>
      <c r="Q535" s="9" t="s">
        <v>36</v>
      </c>
    </row>
    <row r="536" spans="1:17" x14ac:dyDescent="0.25">
      <c r="A536" s="5" t="s">
        <v>586</v>
      </c>
      <c r="B536" s="6" t="s">
        <v>18</v>
      </c>
      <c r="C536" s="6" t="s">
        <v>19</v>
      </c>
      <c r="D536" s="6" t="s">
        <v>64</v>
      </c>
      <c r="E536" s="6" t="s">
        <v>35</v>
      </c>
      <c r="F536" s="6" t="s">
        <v>29</v>
      </c>
      <c r="G536" s="6">
        <v>20</v>
      </c>
      <c r="H536" s="7">
        <v>1259.5</v>
      </c>
      <c r="I536" s="7">
        <v>25190</v>
      </c>
      <c r="J536" s="8">
        <v>45354</v>
      </c>
      <c r="K536" s="6">
        <v>30</v>
      </c>
      <c r="L536" s="6" t="s">
        <v>41</v>
      </c>
      <c r="M536" s="6" t="b">
        <v>1</v>
      </c>
      <c r="N536" s="6">
        <v>16.899999999999999</v>
      </c>
      <c r="O536" s="6" t="s">
        <v>56</v>
      </c>
      <c r="P536" s="6" t="b">
        <v>1</v>
      </c>
      <c r="Q536" s="9" t="s">
        <v>25</v>
      </c>
    </row>
    <row r="537" spans="1:17" x14ac:dyDescent="0.25">
      <c r="A537" s="5" t="s">
        <v>587</v>
      </c>
      <c r="B537" s="6" t="s">
        <v>66</v>
      </c>
      <c r="C537" s="6" t="s">
        <v>33</v>
      </c>
      <c r="D537" s="6" t="s">
        <v>34</v>
      </c>
      <c r="E537" s="6" t="s">
        <v>35</v>
      </c>
      <c r="F537" s="6" t="s">
        <v>40</v>
      </c>
      <c r="G537" s="6">
        <v>14</v>
      </c>
      <c r="H537" s="7">
        <v>760.07</v>
      </c>
      <c r="I537" s="7">
        <v>10640.98</v>
      </c>
      <c r="J537" s="8">
        <v>45544</v>
      </c>
      <c r="K537" s="6">
        <v>21</v>
      </c>
      <c r="L537" s="6" t="s">
        <v>41</v>
      </c>
      <c r="M537" s="6" t="b">
        <v>0</v>
      </c>
      <c r="N537" s="6">
        <v>2.29</v>
      </c>
      <c r="O537" s="6" t="s">
        <v>30</v>
      </c>
      <c r="P537" s="6" t="b">
        <v>1</v>
      </c>
      <c r="Q537" s="9" t="s">
        <v>36</v>
      </c>
    </row>
    <row r="538" spans="1:17" x14ac:dyDescent="0.25">
      <c r="A538" s="5" t="s">
        <v>588</v>
      </c>
      <c r="B538" s="6" t="s">
        <v>76</v>
      </c>
      <c r="C538" s="6" t="s">
        <v>33</v>
      </c>
      <c r="D538" s="6" t="s">
        <v>47</v>
      </c>
      <c r="E538" s="6" t="s">
        <v>21</v>
      </c>
      <c r="F538" s="6" t="s">
        <v>48</v>
      </c>
      <c r="G538" s="6">
        <v>34</v>
      </c>
      <c r="H538" s="7">
        <v>1155.73</v>
      </c>
      <c r="I538" s="7">
        <v>39294.82</v>
      </c>
      <c r="J538" s="8">
        <v>45033</v>
      </c>
      <c r="K538" s="6">
        <v>35</v>
      </c>
      <c r="L538" s="6" t="s">
        <v>23</v>
      </c>
      <c r="M538" s="6" t="b">
        <v>0</v>
      </c>
      <c r="N538" s="6">
        <v>19.579999999999998</v>
      </c>
      <c r="O538" s="6" t="s">
        <v>24</v>
      </c>
      <c r="P538" s="6" t="b">
        <v>1</v>
      </c>
      <c r="Q538" s="9" t="s">
        <v>25</v>
      </c>
    </row>
    <row r="539" spans="1:17" x14ac:dyDescent="0.25">
      <c r="A539" s="5" t="s">
        <v>589</v>
      </c>
      <c r="B539" s="6" t="s">
        <v>46</v>
      </c>
      <c r="C539" s="6" t="s">
        <v>33</v>
      </c>
      <c r="D539" s="6" t="s">
        <v>64</v>
      </c>
      <c r="E539" s="6" t="s">
        <v>44</v>
      </c>
      <c r="F539" s="6" t="s">
        <v>29</v>
      </c>
      <c r="G539" s="6">
        <v>49</v>
      </c>
      <c r="H539" s="7">
        <v>1258.4000000000001</v>
      </c>
      <c r="I539" s="7">
        <v>61661.599999999999</v>
      </c>
      <c r="J539" s="8">
        <v>45474</v>
      </c>
      <c r="K539" s="6">
        <v>40</v>
      </c>
      <c r="L539" s="6" t="s">
        <v>23</v>
      </c>
      <c r="M539" s="6" t="b">
        <v>0</v>
      </c>
      <c r="N539" s="6">
        <v>15.8</v>
      </c>
      <c r="O539" s="6" t="s">
        <v>30</v>
      </c>
      <c r="P539" s="6" t="b">
        <v>1</v>
      </c>
      <c r="Q539" s="9" t="s">
        <v>25</v>
      </c>
    </row>
    <row r="540" spans="1:17" x14ac:dyDescent="0.25">
      <c r="A540" s="5" t="s">
        <v>590</v>
      </c>
      <c r="B540" s="6" t="s">
        <v>46</v>
      </c>
      <c r="C540" s="6" t="s">
        <v>19</v>
      </c>
      <c r="D540" s="6" t="s">
        <v>64</v>
      </c>
      <c r="E540" s="6" t="s">
        <v>21</v>
      </c>
      <c r="F540" s="6" t="s">
        <v>48</v>
      </c>
      <c r="G540" s="6">
        <v>54</v>
      </c>
      <c r="H540" s="7">
        <v>554.64</v>
      </c>
      <c r="I540" s="7">
        <v>29950.560000000001</v>
      </c>
      <c r="J540" s="8">
        <v>45585</v>
      </c>
      <c r="K540" s="6">
        <v>50</v>
      </c>
      <c r="L540" s="6" t="s">
        <v>41</v>
      </c>
      <c r="M540" s="6" t="b">
        <v>0</v>
      </c>
      <c r="N540" s="6">
        <v>5.53</v>
      </c>
      <c r="O540" s="6" t="s">
        <v>42</v>
      </c>
      <c r="P540" s="6" t="b">
        <v>1</v>
      </c>
      <c r="Q540" s="9" t="s">
        <v>36</v>
      </c>
    </row>
    <row r="541" spans="1:17" x14ac:dyDescent="0.25">
      <c r="A541" s="5" t="s">
        <v>591</v>
      </c>
      <c r="B541" s="6" t="s">
        <v>72</v>
      </c>
      <c r="C541" s="6" t="s">
        <v>39</v>
      </c>
      <c r="D541" s="6" t="s">
        <v>20</v>
      </c>
      <c r="E541" s="6" t="s">
        <v>44</v>
      </c>
      <c r="F541" s="6" t="s">
        <v>22</v>
      </c>
      <c r="G541" s="6">
        <v>31</v>
      </c>
      <c r="H541" s="7">
        <v>1343.62</v>
      </c>
      <c r="I541" s="7">
        <v>41652.22</v>
      </c>
      <c r="J541" s="8">
        <v>45188</v>
      </c>
      <c r="K541" s="6">
        <v>51</v>
      </c>
      <c r="L541" s="6" t="s">
        <v>23</v>
      </c>
      <c r="M541" s="6" t="b">
        <v>0</v>
      </c>
      <c r="N541" s="6">
        <v>26.47</v>
      </c>
      <c r="O541" s="6" t="s">
        <v>24</v>
      </c>
      <c r="P541" s="6" t="b">
        <v>1</v>
      </c>
      <c r="Q541" s="9" t="s">
        <v>36</v>
      </c>
    </row>
    <row r="542" spans="1:17" x14ac:dyDescent="0.25">
      <c r="A542" s="5" t="s">
        <v>592</v>
      </c>
      <c r="B542" s="6" t="s">
        <v>62</v>
      </c>
      <c r="C542" s="6" t="s">
        <v>39</v>
      </c>
      <c r="D542" s="6" t="s">
        <v>20</v>
      </c>
      <c r="E542" s="6" t="s">
        <v>35</v>
      </c>
      <c r="F542" s="6" t="s">
        <v>29</v>
      </c>
      <c r="G542" s="6">
        <v>58</v>
      </c>
      <c r="H542" s="7">
        <v>732.19</v>
      </c>
      <c r="I542" s="7">
        <v>42467.02</v>
      </c>
      <c r="J542" s="8">
        <v>45085</v>
      </c>
      <c r="K542" s="6">
        <v>51</v>
      </c>
      <c r="L542" s="6" t="s">
        <v>23</v>
      </c>
      <c r="M542" s="6" t="b">
        <v>1</v>
      </c>
      <c r="N542" s="6">
        <v>10.3</v>
      </c>
      <c r="O542" s="6" t="s">
        <v>42</v>
      </c>
      <c r="P542" s="6" t="b">
        <v>1</v>
      </c>
      <c r="Q542" s="9" t="s">
        <v>25</v>
      </c>
    </row>
    <row r="543" spans="1:17" x14ac:dyDescent="0.25">
      <c r="A543" s="5" t="s">
        <v>593</v>
      </c>
      <c r="B543" s="6" t="s">
        <v>18</v>
      </c>
      <c r="C543" s="6" t="s">
        <v>39</v>
      </c>
      <c r="D543" s="6" t="s">
        <v>47</v>
      </c>
      <c r="E543" s="6" t="s">
        <v>28</v>
      </c>
      <c r="F543" s="6" t="s">
        <v>48</v>
      </c>
      <c r="G543" s="6">
        <v>42</v>
      </c>
      <c r="H543" s="7">
        <v>815.32</v>
      </c>
      <c r="I543" s="7">
        <v>34243.440000000002</v>
      </c>
      <c r="J543" s="8">
        <v>45191</v>
      </c>
      <c r="K543" s="6">
        <v>53</v>
      </c>
      <c r="L543" s="6" t="s">
        <v>41</v>
      </c>
      <c r="M543" s="6" t="b">
        <v>0</v>
      </c>
      <c r="N543" s="6">
        <v>11.62</v>
      </c>
      <c r="O543" s="6" t="s">
        <v>42</v>
      </c>
      <c r="P543" s="6" t="b">
        <v>0</v>
      </c>
      <c r="Q543" s="9" t="s">
        <v>36</v>
      </c>
    </row>
    <row r="544" spans="1:17" x14ac:dyDescent="0.25">
      <c r="A544" s="5" t="s">
        <v>594</v>
      </c>
      <c r="B544" s="6" t="s">
        <v>32</v>
      </c>
      <c r="C544" s="6" t="s">
        <v>19</v>
      </c>
      <c r="D544" s="6" t="s">
        <v>47</v>
      </c>
      <c r="E544" s="6" t="s">
        <v>44</v>
      </c>
      <c r="F544" s="6" t="s">
        <v>40</v>
      </c>
      <c r="G544" s="6">
        <v>58</v>
      </c>
      <c r="H544" s="7">
        <v>1499.58</v>
      </c>
      <c r="I544" s="7">
        <v>86975.64</v>
      </c>
      <c r="J544" s="8">
        <v>45394</v>
      </c>
      <c r="K544" s="6">
        <v>52</v>
      </c>
      <c r="L544" s="6" t="s">
        <v>49</v>
      </c>
      <c r="M544" s="6" t="b">
        <v>1</v>
      </c>
      <c r="N544" s="6">
        <v>20.170000000000002</v>
      </c>
      <c r="O544" s="6" t="s">
        <v>42</v>
      </c>
      <c r="P544" s="6" t="b">
        <v>1</v>
      </c>
      <c r="Q544" s="9" t="s">
        <v>36</v>
      </c>
    </row>
    <row r="545" spans="1:17" x14ac:dyDescent="0.25">
      <c r="A545" s="5" t="s">
        <v>595</v>
      </c>
      <c r="B545" s="6" t="s">
        <v>46</v>
      </c>
      <c r="C545" s="6" t="s">
        <v>39</v>
      </c>
      <c r="D545" s="6" t="s">
        <v>52</v>
      </c>
      <c r="E545" s="6" t="s">
        <v>35</v>
      </c>
      <c r="F545" s="6" t="s">
        <v>22</v>
      </c>
      <c r="G545" s="6">
        <v>82</v>
      </c>
      <c r="H545" s="7">
        <v>1272.79</v>
      </c>
      <c r="I545" s="7">
        <v>104368.78</v>
      </c>
      <c r="J545" s="8">
        <v>45128</v>
      </c>
      <c r="K545" s="6">
        <v>34</v>
      </c>
      <c r="L545" s="6" t="s">
        <v>23</v>
      </c>
      <c r="M545" s="6" t="b">
        <v>1</v>
      </c>
      <c r="N545" s="6">
        <v>14.66</v>
      </c>
      <c r="O545" s="6" t="s">
        <v>56</v>
      </c>
      <c r="P545" s="6" t="b">
        <v>0</v>
      </c>
      <c r="Q545" s="9" t="s">
        <v>36</v>
      </c>
    </row>
    <row r="546" spans="1:17" x14ac:dyDescent="0.25">
      <c r="A546" s="5" t="s">
        <v>596</v>
      </c>
      <c r="B546" s="6" t="s">
        <v>76</v>
      </c>
      <c r="C546" s="6" t="s">
        <v>19</v>
      </c>
      <c r="D546" s="6" t="s">
        <v>20</v>
      </c>
      <c r="E546" s="6" t="s">
        <v>35</v>
      </c>
      <c r="F546" s="6" t="s">
        <v>48</v>
      </c>
      <c r="G546" s="6">
        <v>30</v>
      </c>
      <c r="H546" s="7">
        <v>574.57000000000005</v>
      </c>
      <c r="I546" s="7">
        <v>17237.099999999999</v>
      </c>
      <c r="J546" s="8">
        <v>45081</v>
      </c>
      <c r="K546" s="6">
        <v>45</v>
      </c>
      <c r="L546" s="6" t="s">
        <v>23</v>
      </c>
      <c r="M546" s="6" t="b">
        <v>1</v>
      </c>
      <c r="N546" s="6">
        <v>2.68</v>
      </c>
      <c r="O546" s="6" t="s">
        <v>56</v>
      </c>
      <c r="P546" s="6" t="b">
        <v>1</v>
      </c>
      <c r="Q546" s="9" t="s">
        <v>25</v>
      </c>
    </row>
    <row r="547" spans="1:17" x14ac:dyDescent="0.25">
      <c r="A547" s="5" t="s">
        <v>597</v>
      </c>
      <c r="B547" s="6" t="s">
        <v>66</v>
      </c>
      <c r="C547" s="6" t="s">
        <v>39</v>
      </c>
      <c r="D547" s="6" t="s">
        <v>52</v>
      </c>
      <c r="E547" s="6" t="s">
        <v>28</v>
      </c>
      <c r="F547" s="6" t="s">
        <v>29</v>
      </c>
      <c r="G547" s="6">
        <v>25</v>
      </c>
      <c r="H547" s="7">
        <v>65</v>
      </c>
      <c r="I547" s="7">
        <v>1625</v>
      </c>
      <c r="J547" s="8">
        <v>44939</v>
      </c>
      <c r="K547" s="6">
        <v>31</v>
      </c>
      <c r="L547" s="6" t="s">
        <v>49</v>
      </c>
      <c r="M547" s="6" t="b">
        <v>1</v>
      </c>
      <c r="N547" s="6">
        <v>11.62</v>
      </c>
      <c r="O547" s="6" t="s">
        <v>24</v>
      </c>
      <c r="P547" s="6" t="b">
        <v>1</v>
      </c>
      <c r="Q547" s="9" t="s">
        <v>36</v>
      </c>
    </row>
    <row r="548" spans="1:17" x14ac:dyDescent="0.25">
      <c r="A548" s="5" t="s">
        <v>598</v>
      </c>
      <c r="B548" s="6" t="s">
        <v>46</v>
      </c>
      <c r="C548" s="6" t="s">
        <v>39</v>
      </c>
      <c r="D548" s="6" t="s">
        <v>34</v>
      </c>
      <c r="E548" s="6" t="s">
        <v>35</v>
      </c>
      <c r="F548" s="6" t="s">
        <v>48</v>
      </c>
      <c r="G548" s="6">
        <v>63</v>
      </c>
      <c r="H548" s="7">
        <v>957.95</v>
      </c>
      <c r="I548" s="7">
        <v>60350.85</v>
      </c>
      <c r="J548" s="8">
        <v>45223</v>
      </c>
      <c r="K548" s="6">
        <v>51</v>
      </c>
      <c r="L548" s="6" t="s">
        <v>49</v>
      </c>
      <c r="M548" s="6" t="b">
        <v>0</v>
      </c>
      <c r="N548" s="6">
        <v>2.83</v>
      </c>
      <c r="O548" s="6" t="s">
        <v>42</v>
      </c>
      <c r="P548" s="6" t="b">
        <v>0</v>
      </c>
      <c r="Q548" s="9" t="s">
        <v>36</v>
      </c>
    </row>
    <row r="549" spans="1:17" x14ac:dyDescent="0.25">
      <c r="A549" s="5" t="s">
        <v>599</v>
      </c>
      <c r="B549" s="6" t="s">
        <v>66</v>
      </c>
      <c r="C549" s="6" t="s">
        <v>33</v>
      </c>
      <c r="D549" s="6" t="s">
        <v>52</v>
      </c>
      <c r="E549" s="6" t="s">
        <v>35</v>
      </c>
      <c r="F549" s="6" t="s">
        <v>22</v>
      </c>
      <c r="G549" s="6">
        <v>19</v>
      </c>
      <c r="H549" s="7">
        <v>1070.67</v>
      </c>
      <c r="I549" s="7">
        <v>20342.73</v>
      </c>
      <c r="J549" s="8">
        <v>45424</v>
      </c>
      <c r="K549" s="6">
        <v>65</v>
      </c>
      <c r="L549" s="6" t="s">
        <v>49</v>
      </c>
      <c r="M549" s="6" t="b">
        <v>1</v>
      </c>
      <c r="N549" s="6">
        <v>5.72</v>
      </c>
      <c r="O549" s="6" t="s">
        <v>42</v>
      </c>
      <c r="P549" s="6" t="b">
        <v>1</v>
      </c>
      <c r="Q549" s="9" t="s">
        <v>25</v>
      </c>
    </row>
    <row r="550" spans="1:17" x14ac:dyDescent="0.25">
      <c r="A550" s="5" t="s">
        <v>600</v>
      </c>
      <c r="B550" s="6" t="s">
        <v>38</v>
      </c>
      <c r="C550" s="6" t="s">
        <v>19</v>
      </c>
      <c r="D550" s="6" t="s">
        <v>64</v>
      </c>
      <c r="E550" s="6" t="s">
        <v>44</v>
      </c>
      <c r="F550" s="6" t="s">
        <v>29</v>
      </c>
      <c r="G550" s="6">
        <v>72</v>
      </c>
      <c r="H550" s="7">
        <v>993.66</v>
      </c>
      <c r="I550" s="7">
        <v>71543.520000000004</v>
      </c>
      <c r="J550" s="8">
        <v>45523</v>
      </c>
      <c r="K550" s="6">
        <v>28</v>
      </c>
      <c r="L550" s="6" t="s">
        <v>41</v>
      </c>
      <c r="M550" s="6" t="b">
        <v>0</v>
      </c>
      <c r="N550" s="6">
        <v>0.22</v>
      </c>
      <c r="O550" s="6" t="s">
        <v>24</v>
      </c>
      <c r="P550" s="6" t="b">
        <v>1</v>
      </c>
      <c r="Q550" s="9" t="s">
        <v>25</v>
      </c>
    </row>
    <row r="551" spans="1:17" x14ac:dyDescent="0.25">
      <c r="A551" s="5" t="s">
        <v>601</v>
      </c>
      <c r="B551" s="6" t="s">
        <v>38</v>
      </c>
      <c r="C551" s="6" t="s">
        <v>33</v>
      </c>
      <c r="D551" s="6" t="s">
        <v>52</v>
      </c>
      <c r="E551" s="6" t="s">
        <v>44</v>
      </c>
      <c r="F551" s="6" t="s">
        <v>22</v>
      </c>
      <c r="G551" s="6">
        <v>92</v>
      </c>
      <c r="H551" s="7">
        <v>1453.4</v>
      </c>
      <c r="I551" s="7">
        <v>133712.79999999999</v>
      </c>
      <c r="J551" s="8">
        <v>45171</v>
      </c>
      <c r="K551" s="6">
        <v>30</v>
      </c>
      <c r="L551" s="6" t="s">
        <v>49</v>
      </c>
      <c r="M551" s="6" t="b">
        <v>1</v>
      </c>
      <c r="N551" s="6">
        <v>5.44</v>
      </c>
      <c r="O551" s="6" t="s">
        <v>30</v>
      </c>
      <c r="P551" s="6" t="b">
        <v>0</v>
      </c>
      <c r="Q551" s="9" t="s">
        <v>25</v>
      </c>
    </row>
    <row r="552" spans="1:17" x14ac:dyDescent="0.25">
      <c r="A552" s="5" t="s">
        <v>602</v>
      </c>
      <c r="B552" s="6" t="s">
        <v>62</v>
      </c>
      <c r="C552" s="6" t="s">
        <v>33</v>
      </c>
      <c r="D552" s="6" t="s">
        <v>47</v>
      </c>
      <c r="E552" s="6" t="s">
        <v>28</v>
      </c>
      <c r="F552" s="6" t="s">
        <v>48</v>
      </c>
      <c r="G552" s="6">
        <v>8</v>
      </c>
      <c r="H552" s="7">
        <v>1301.31</v>
      </c>
      <c r="I552" s="7">
        <v>10410.48</v>
      </c>
      <c r="J552" s="8">
        <v>45226</v>
      </c>
      <c r="K552" s="6">
        <v>50</v>
      </c>
      <c r="L552" s="6" t="s">
        <v>41</v>
      </c>
      <c r="M552" s="6" t="b">
        <v>0</v>
      </c>
      <c r="N552" s="6">
        <v>9.91</v>
      </c>
      <c r="O552" s="6" t="s">
        <v>42</v>
      </c>
      <c r="P552" s="6" t="b">
        <v>0</v>
      </c>
      <c r="Q552" s="9" t="s">
        <v>25</v>
      </c>
    </row>
    <row r="553" spans="1:17" x14ac:dyDescent="0.25">
      <c r="A553" s="5" t="s">
        <v>603</v>
      </c>
      <c r="B553" s="6" t="s">
        <v>51</v>
      </c>
      <c r="C553" s="6" t="s">
        <v>33</v>
      </c>
      <c r="D553" s="6" t="s">
        <v>34</v>
      </c>
      <c r="E553" s="6" t="s">
        <v>28</v>
      </c>
      <c r="F553" s="6" t="s">
        <v>40</v>
      </c>
      <c r="G553" s="6">
        <v>95</v>
      </c>
      <c r="H553" s="7">
        <v>700.81</v>
      </c>
      <c r="I553" s="7">
        <v>66576.95</v>
      </c>
      <c r="J553" s="8">
        <v>45288</v>
      </c>
      <c r="K553" s="6">
        <v>19</v>
      </c>
      <c r="L553" s="6" t="s">
        <v>49</v>
      </c>
      <c r="M553" s="6" t="b">
        <v>0</v>
      </c>
      <c r="N553" s="6">
        <v>16.149999999999999</v>
      </c>
      <c r="O553" s="6" t="s">
        <v>56</v>
      </c>
      <c r="P553" s="6" t="b">
        <v>0</v>
      </c>
      <c r="Q553" s="9" t="s">
        <v>36</v>
      </c>
    </row>
    <row r="554" spans="1:17" x14ac:dyDescent="0.25">
      <c r="A554" s="5" t="s">
        <v>604</v>
      </c>
      <c r="B554" s="6" t="s">
        <v>32</v>
      </c>
      <c r="C554" s="6" t="s">
        <v>19</v>
      </c>
      <c r="D554" s="6" t="s">
        <v>64</v>
      </c>
      <c r="E554" s="6" t="s">
        <v>35</v>
      </c>
      <c r="F554" s="6" t="s">
        <v>40</v>
      </c>
      <c r="G554" s="6">
        <v>3</v>
      </c>
      <c r="H554" s="7">
        <v>141.13999999999999</v>
      </c>
      <c r="I554" s="7">
        <v>423.42</v>
      </c>
      <c r="J554" s="8">
        <v>45280</v>
      </c>
      <c r="K554" s="6">
        <v>51</v>
      </c>
      <c r="L554" s="6" t="s">
        <v>49</v>
      </c>
      <c r="M554" s="6" t="b">
        <v>1</v>
      </c>
      <c r="N554" s="6">
        <v>27.58</v>
      </c>
      <c r="O554" s="6" t="s">
        <v>30</v>
      </c>
      <c r="P554" s="6" t="b">
        <v>0</v>
      </c>
      <c r="Q554" s="9" t="s">
        <v>36</v>
      </c>
    </row>
    <row r="555" spans="1:17" x14ac:dyDescent="0.25">
      <c r="A555" s="5" t="s">
        <v>605</v>
      </c>
      <c r="B555" s="6" t="s">
        <v>72</v>
      </c>
      <c r="C555" s="6" t="s">
        <v>19</v>
      </c>
      <c r="D555" s="6" t="s">
        <v>52</v>
      </c>
      <c r="E555" s="6" t="s">
        <v>44</v>
      </c>
      <c r="F555" s="6" t="s">
        <v>48</v>
      </c>
      <c r="G555" s="6">
        <v>67</v>
      </c>
      <c r="H555" s="7">
        <v>740.29</v>
      </c>
      <c r="I555" s="7">
        <v>49599.43</v>
      </c>
      <c r="J555" s="8">
        <v>45447</v>
      </c>
      <c r="K555" s="6">
        <v>46</v>
      </c>
      <c r="L555" s="6" t="s">
        <v>41</v>
      </c>
      <c r="M555" s="6" t="b">
        <v>0</v>
      </c>
      <c r="N555" s="6">
        <v>16.21</v>
      </c>
      <c r="O555" s="6" t="s">
        <v>30</v>
      </c>
      <c r="P555" s="6" t="b">
        <v>0</v>
      </c>
      <c r="Q555" s="9" t="s">
        <v>25</v>
      </c>
    </row>
    <row r="556" spans="1:17" x14ac:dyDescent="0.25">
      <c r="A556" s="5" t="s">
        <v>606</v>
      </c>
      <c r="B556" s="6" t="s">
        <v>62</v>
      </c>
      <c r="C556" s="6" t="s">
        <v>39</v>
      </c>
      <c r="D556" s="6" t="s">
        <v>34</v>
      </c>
      <c r="E556" s="6" t="s">
        <v>28</v>
      </c>
      <c r="F556" s="6" t="s">
        <v>48</v>
      </c>
      <c r="G556" s="6">
        <v>86</v>
      </c>
      <c r="H556" s="7">
        <v>1049.4000000000001</v>
      </c>
      <c r="I556" s="7">
        <v>90248.4</v>
      </c>
      <c r="J556" s="8">
        <v>45312</v>
      </c>
      <c r="K556" s="6">
        <v>54</v>
      </c>
      <c r="L556" s="6" t="s">
        <v>41</v>
      </c>
      <c r="M556" s="6" t="b">
        <v>1</v>
      </c>
      <c r="N556" s="6">
        <v>21.17</v>
      </c>
      <c r="O556" s="6" t="s">
        <v>30</v>
      </c>
      <c r="P556" s="6" t="b">
        <v>0</v>
      </c>
      <c r="Q556" s="9" t="s">
        <v>25</v>
      </c>
    </row>
    <row r="557" spans="1:17" x14ac:dyDescent="0.25">
      <c r="A557" s="5" t="s">
        <v>607</v>
      </c>
      <c r="B557" s="6" t="s">
        <v>27</v>
      </c>
      <c r="C557" s="6" t="s">
        <v>33</v>
      </c>
      <c r="D557" s="6" t="s">
        <v>34</v>
      </c>
      <c r="E557" s="6" t="s">
        <v>28</v>
      </c>
      <c r="F557" s="6" t="s">
        <v>48</v>
      </c>
      <c r="G557" s="6">
        <v>81</v>
      </c>
      <c r="H557" s="7">
        <v>931.18</v>
      </c>
      <c r="I557" s="7">
        <v>75425.58</v>
      </c>
      <c r="J557" s="8">
        <v>45238</v>
      </c>
      <c r="K557" s="6">
        <v>21</v>
      </c>
      <c r="L557" s="6" t="s">
        <v>49</v>
      </c>
      <c r="M557" s="6" t="b">
        <v>0</v>
      </c>
      <c r="N557" s="6">
        <v>10.73</v>
      </c>
      <c r="O557" s="6" t="s">
        <v>30</v>
      </c>
      <c r="P557" s="6" t="b">
        <v>1</v>
      </c>
      <c r="Q557" s="9" t="s">
        <v>36</v>
      </c>
    </row>
    <row r="558" spans="1:17" x14ac:dyDescent="0.25">
      <c r="A558" s="5" t="s">
        <v>608</v>
      </c>
      <c r="B558" s="6" t="s">
        <v>72</v>
      </c>
      <c r="C558" s="6" t="s">
        <v>39</v>
      </c>
      <c r="D558" s="6" t="s">
        <v>64</v>
      </c>
      <c r="E558" s="6" t="s">
        <v>21</v>
      </c>
      <c r="F558" s="6" t="s">
        <v>29</v>
      </c>
      <c r="G558" s="6">
        <v>17</v>
      </c>
      <c r="H558" s="7">
        <v>830.3</v>
      </c>
      <c r="I558" s="7">
        <v>14115.1</v>
      </c>
      <c r="J558" s="8">
        <v>45340</v>
      </c>
      <c r="K558" s="6">
        <v>29</v>
      </c>
      <c r="L558" s="6" t="s">
        <v>49</v>
      </c>
      <c r="M558" s="6" t="b">
        <v>1</v>
      </c>
      <c r="N558" s="6">
        <v>22.55</v>
      </c>
      <c r="O558" s="6" t="s">
        <v>30</v>
      </c>
      <c r="P558" s="6" t="b">
        <v>1</v>
      </c>
      <c r="Q558" s="9" t="s">
        <v>36</v>
      </c>
    </row>
    <row r="559" spans="1:17" x14ac:dyDescent="0.25">
      <c r="A559" s="5" t="s">
        <v>609</v>
      </c>
      <c r="B559" s="6" t="s">
        <v>18</v>
      </c>
      <c r="C559" s="6" t="s">
        <v>33</v>
      </c>
      <c r="D559" s="6" t="s">
        <v>52</v>
      </c>
      <c r="E559" s="6" t="s">
        <v>28</v>
      </c>
      <c r="F559" s="6" t="s">
        <v>22</v>
      </c>
      <c r="G559" s="6">
        <v>14</v>
      </c>
      <c r="H559" s="7">
        <v>729.79</v>
      </c>
      <c r="I559" s="7">
        <v>10217.06</v>
      </c>
      <c r="J559" s="8">
        <v>45204</v>
      </c>
      <c r="K559" s="6">
        <v>43</v>
      </c>
      <c r="L559" s="6" t="s">
        <v>49</v>
      </c>
      <c r="M559" s="6" t="b">
        <v>1</v>
      </c>
      <c r="N559" s="6">
        <v>18.61</v>
      </c>
      <c r="O559" s="6" t="s">
        <v>30</v>
      </c>
      <c r="P559" s="6" t="b">
        <v>1</v>
      </c>
      <c r="Q559" s="9" t="s">
        <v>25</v>
      </c>
    </row>
    <row r="560" spans="1:17" x14ac:dyDescent="0.25">
      <c r="A560" s="5" t="s">
        <v>610</v>
      </c>
      <c r="B560" s="6" t="s">
        <v>76</v>
      </c>
      <c r="C560" s="6" t="s">
        <v>19</v>
      </c>
      <c r="D560" s="6" t="s">
        <v>34</v>
      </c>
      <c r="E560" s="6" t="s">
        <v>35</v>
      </c>
      <c r="F560" s="6" t="s">
        <v>22</v>
      </c>
      <c r="G560" s="6">
        <v>9</v>
      </c>
      <c r="H560" s="7">
        <v>475.95</v>
      </c>
      <c r="I560" s="7">
        <v>4283.55</v>
      </c>
      <c r="J560" s="8">
        <v>45519</v>
      </c>
      <c r="K560" s="6">
        <v>45</v>
      </c>
      <c r="L560" s="6" t="s">
        <v>23</v>
      </c>
      <c r="M560" s="6" t="b">
        <v>0</v>
      </c>
      <c r="N560" s="6">
        <v>13.79</v>
      </c>
      <c r="O560" s="6" t="s">
        <v>24</v>
      </c>
      <c r="P560" s="6" t="b">
        <v>1</v>
      </c>
      <c r="Q560" s="9" t="s">
        <v>36</v>
      </c>
    </row>
    <row r="561" spans="1:17" x14ac:dyDescent="0.25">
      <c r="A561" s="5" t="s">
        <v>611</v>
      </c>
      <c r="B561" s="6" t="s">
        <v>27</v>
      </c>
      <c r="C561" s="6" t="s">
        <v>19</v>
      </c>
      <c r="D561" s="6" t="s">
        <v>34</v>
      </c>
      <c r="E561" s="6" t="s">
        <v>44</v>
      </c>
      <c r="F561" s="6" t="s">
        <v>22</v>
      </c>
      <c r="G561" s="6">
        <v>62</v>
      </c>
      <c r="H561" s="7">
        <v>452.15</v>
      </c>
      <c r="I561" s="7">
        <v>28033.3</v>
      </c>
      <c r="J561" s="8">
        <v>45282</v>
      </c>
      <c r="K561" s="6">
        <v>20</v>
      </c>
      <c r="L561" s="6" t="s">
        <v>49</v>
      </c>
      <c r="M561" s="6" t="b">
        <v>0</v>
      </c>
      <c r="N561" s="6">
        <v>5.81</v>
      </c>
      <c r="O561" s="6" t="s">
        <v>24</v>
      </c>
      <c r="P561" s="6" t="b">
        <v>1</v>
      </c>
      <c r="Q561" s="9" t="s">
        <v>36</v>
      </c>
    </row>
    <row r="562" spans="1:17" x14ac:dyDescent="0.25">
      <c r="A562" s="5" t="s">
        <v>612</v>
      </c>
      <c r="B562" s="6" t="s">
        <v>27</v>
      </c>
      <c r="C562" s="6" t="s">
        <v>19</v>
      </c>
      <c r="D562" s="6" t="s">
        <v>20</v>
      </c>
      <c r="E562" s="6" t="s">
        <v>28</v>
      </c>
      <c r="F562" s="6" t="s">
        <v>48</v>
      </c>
      <c r="G562" s="6">
        <v>94</v>
      </c>
      <c r="H562" s="7">
        <v>775.34</v>
      </c>
      <c r="I562" s="7">
        <v>72881.960000000006</v>
      </c>
      <c r="J562" s="8">
        <v>45451</v>
      </c>
      <c r="K562" s="6">
        <v>37</v>
      </c>
      <c r="L562" s="6" t="s">
        <v>41</v>
      </c>
      <c r="M562" s="6" t="b">
        <v>1</v>
      </c>
      <c r="N562" s="6">
        <v>9.11</v>
      </c>
      <c r="O562" s="6" t="s">
        <v>30</v>
      </c>
      <c r="P562" s="6" t="b">
        <v>0</v>
      </c>
      <c r="Q562" s="9" t="s">
        <v>25</v>
      </c>
    </row>
    <row r="563" spans="1:17" x14ac:dyDescent="0.25">
      <c r="A563" s="5" t="s">
        <v>613</v>
      </c>
      <c r="B563" s="6" t="s">
        <v>62</v>
      </c>
      <c r="C563" s="6" t="s">
        <v>33</v>
      </c>
      <c r="D563" s="6" t="s">
        <v>34</v>
      </c>
      <c r="E563" s="6" t="s">
        <v>21</v>
      </c>
      <c r="F563" s="6" t="s">
        <v>22</v>
      </c>
      <c r="G563" s="6">
        <v>21</v>
      </c>
      <c r="H563" s="7">
        <v>282.87</v>
      </c>
      <c r="I563" s="7">
        <v>5940.27</v>
      </c>
      <c r="J563" s="8">
        <v>44942</v>
      </c>
      <c r="K563" s="6">
        <v>27</v>
      </c>
      <c r="L563" s="6" t="s">
        <v>23</v>
      </c>
      <c r="M563" s="6" t="b">
        <v>1</v>
      </c>
      <c r="N563" s="6">
        <v>18.63</v>
      </c>
      <c r="O563" s="6" t="s">
        <v>56</v>
      </c>
      <c r="P563" s="6" t="b">
        <v>0</v>
      </c>
      <c r="Q563" s="9" t="s">
        <v>25</v>
      </c>
    </row>
    <row r="564" spans="1:17" x14ac:dyDescent="0.25">
      <c r="A564" s="5" t="s">
        <v>614</v>
      </c>
      <c r="B564" s="6" t="s">
        <v>51</v>
      </c>
      <c r="C564" s="6" t="s">
        <v>19</v>
      </c>
      <c r="D564" s="6" t="s">
        <v>20</v>
      </c>
      <c r="E564" s="6" t="s">
        <v>44</v>
      </c>
      <c r="F564" s="6" t="s">
        <v>48</v>
      </c>
      <c r="G564" s="6">
        <v>76</v>
      </c>
      <c r="H564" s="7">
        <v>543.99</v>
      </c>
      <c r="I564" s="7">
        <v>41343.24</v>
      </c>
      <c r="J564" s="8">
        <v>44971</v>
      </c>
      <c r="K564" s="6">
        <v>69</v>
      </c>
      <c r="L564" s="6" t="s">
        <v>41</v>
      </c>
      <c r="M564" s="6" t="b">
        <v>0</v>
      </c>
      <c r="N564" s="6">
        <v>12.78</v>
      </c>
      <c r="O564" s="6" t="s">
        <v>24</v>
      </c>
      <c r="P564" s="6" t="b">
        <v>1</v>
      </c>
      <c r="Q564" s="9" t="s">
        <v>25</v>
      </c>
    </row>
    <row r="565" spans="1:17" x14ac:dyDescent="0.25">
      <c r="A565" s="5" t="s">
        <v>615</v>
      </c>
      <c r="B565" s="6" t="s">
        <v>62</v>
      </c>
      <c r="C565" s="6" t="s">
        <v>33</v>
      </c>
      <c r="D565" s="6" t="s">
        <v>52</v>
      </c>
      <c r="E565" s="6" t="s">
        <v>28</v>
      </c>
      <c r="F565" s="6" t="s">
        <v>29</v>
      </c>
      <c r="G565" s="6">
        <v>37</v>
      </c>
      <c r="H565" s="7">
        <v>519.77</v>
      </c>
      <c r="I565" s="7">
        <v>19231.490000000002</v>
      </c>
      <c r="J565" s="8">
        <v>45247</v>
      </c>
      <c r="K565" s="6">
        <v>35</v>
      </c>
      <c r="L565" s="6" t="s">
        <v>23</v>
      </c>
      <c r="M565" s="6" t="b">
        <v>1</v>
      </c>
      <c r="N565" s="6">
        <v>26.68</v>
      </c>
      <c r="O565" s="6" t="s">
        <v>24</v>
      </c>
      <c r="P565" s="6" t="b">
        <v>0</v>
      </c>
      <c r="Q565" s="9" t="s">
        <v>25</v>
      </c>
    </row>
    <row r="566" spans="1:17" x14ac:dyDescent="0.25">
      <c r="A566" s="5" t="s">
        <v>616</v>
      </c>
      <c r="B566" s="6" t="s">
        <v>18</v>
      </c>
      <c r="C566" s="6" t="s">
        <v>39</v>
      </c>
      <c r="D566" s="6" t="s">
        <v>52</v>
      </c>
      <c r="E566" s="6" t="s">
        <v>21</v>
      </c>
      <c r="F566" s="6" t="s">
        <v>40</v>
      </c>
      <c r="G566" s="6">
        <v>96</v>
      </c>
      <c r="H566" s="7">
        <v>901.34</v>
      </c>
      <c r="I566" s="7">
        <v>86528.639999999999</v>
      </c>
      <c r="J566" s="8">
        <v>45577</v>
      </c>
      <c r="K566" s="6">
        <v>44</v>
      </c>
      <c r="L566" s="6" t="s">
        <v>23</v>
      </c>
      <c r="M566" s="6" t="b">
        <v>1</v>
      </c>
      <c r="N566" s="6">
        <v>7.05</v>
      </c>
      <c r="O566" s="6" t="s">
        <v>30</v>
      </c>
      <c r="P566" s="6" t="b">
        <v>1</v>
      </c>
      <c r="Q566" s="9" t="s">
        <v>36</v>
      </c>
    </row>
    <row r="567" spans="1:17" x14ac:dyDescent="0.25">
      <c r="A567" s="5" t="s">
        <v>617</v>
      </c>
      <c r="B567" s="6" t="s">
        <v>46</v>
      </c>
      <c r="C567" s="6" t="s">
        <v>33</v>
      </c>
      <c r="D567" s="6" t="s">
        <v>52</v>
      </c>
      <c r="E567" s="6" t="s">
        <v>28</v>
      </c>
      <c r="F567" s="6" t="s">
        <v>48</v>
      </c>
      <c r="G567" s="6">
        <v>11</v>
      </c>
      <c r="H567" s="7">
        <v>146.69</v>
      </c>
      <c r="I567" s="7">
        <v>1613.59</v>
      </c>
      <c r="J567" s="8">
        <v>45252</v>
      </c>
      <c r="K567" s="6">
        <v>48</v>
      </c>
      <c r="L567" s="6" t="s">
        <v>41</v>
      </c>
      <c r="M567" s="6" t="b">
        <v>1</v>
      </c>
      <c r="N567" s="6">
        <v>2.19</v>
      </c>
      <c r="O567" s="6" t="s">
        <v>56</v>
      </c>
      <c r="P567" s="6" t="b">
        <v>0</v>
      </c>
      <c r="Q567" s="9" t="s">
        <v>25</v>
      </c>
    </row>
    <row r="568" spans="1:17" x14ac:dyDescent="0.25">
      <c r="A568" s="5" t="s">
        <v>618</v>
      </c>
      <c r="B568" s="6" t="s">
        <v>46</v>
      </c>
      <c r="C568" s="6" t="s">
        <v>39</v>
      </c>
      <c r="D568" s="6" t="s">
        <v>47</v>
      </c>
      <c r="E568" s="6" t="s">
        <v>44</v>
      </c>
      <c r="F568" s="6" t="s">
        <v>48</v>
      </c>
      <c r="G568" s="6">
        <v>20</v>
      </c>
      <c r="H568" s="7">
        <v>1253.02</v>
      </c>
      <c r="I568" s="7">
        <v>25060.400000000001</v>
      </c>
      <c r="J568" s="8">
        <v>45074</v>
      </c>
      <c r="K568" s="6">
        <v>44</v>
      </c>
      <c r="L568" s="6" t="s">
        <v>23</v>
      </c>
      <c r="M568" s="6" t="b">
        <v>0</v>
      </c>
      <c r="N568" s="6">
        <v>17.68</v>
      </c>
      <c r="O568" s="6" t="s">
        <v>30</v>
      </c>
      <c r="P568" s="6" t="b">
        <v>1</v>
      </c>
      <c r="Q568" s="9" t="s">
        <v>36</v>
      </c>
    </row>
    <row r="569" spans="1:17" x14ac:dyDescent="0.25">
      <c r="A569" s="5" t="s">
        <v>619</v>
      </c>
      <c r="B569" s="6" t="s">
        <v>51</v>
      </c>
      <c r="C569" s="6" t="s">
        <v>33</v>
      </c>
      <c r="D569" s="6" t="s">
        <v>52</v>
      </c>
      <c r="E569" s="6" t="s">
        <v>44</v>
      </c>
      <c r="F569" s="6" t="s">
        <v>40</v>
      </c>
      <c r="G569" s="6">
        <v>35</v>
      </c>
      <c r="H569" s="7">
        <v>865.45</v>
      </c>
      <c r="I569" s="7">
        <v>30290.75</v>
      </c>
      <c r="J569" s="8">
        <v>45281</v>
      </c>
      <c r="K569" s="6">
        <v>59</v>
      </c>
      <c r="L569" s="6" t="s">
        <v>41</v>
      </c>
      <c r="M569" s="6" t="b">
        <v>1</v>
      </c>
      <c r="N569" s="6">
        <v>26.58</v>
      </c>
      <c r="O569" s="6" t="s">
        <v>56</v>
      </c>
      <c r="P569" s="6" t="b">
        <v>1</v>
      </c>
      <c r="Q569" s="9" t="s">
        <v>36</v>
      </c>
    </row>
    <row r="570" spans="1:17" x14ac:dyDescent="0.25">
      <c r="A570" s="5" t="s">
        <v>620</v>
      </c>
      <c r="B570" s="6" t="s">
        <v>18</v>
      </c>
      <c r="C570" s="6" t="s">
        <v>39</v>
      </c>
      <c r="D570" s="6" t="s">
        <v>34</v>
      </c>
      <c r="E570" s="6" t="s">
        <v>44</v>
      </c>
      <c r="F570" s="6" t="s">
        <v>40</v>
      </c>
      <c r="G570" s="6">
        <v>53</v>
      </c>
      <c r="H570" s="7">
        <v>1022.7</v>
      </c>
      <c r="I570" s="7">
        <v>54203.1</v>
      </c>
      <c r="J570" s="8">
        <v>45162</v>
      </c>
      <c r="K570" s="6">
        <v>18</v>
      </c>
      <c r="L570" s="6" t="s">
        <v>49</v>
      </c>
      <c r="M570" s="6" t="b">
        <v>1</v>
      </c>
      <c r="N570" s="6">
        <v>10.94</v>
      </c>
      <c r="O570" s="6" t="s">
        <v>56</v>
      </c>
      <c r="P570" s="6" t="b">
        <v>1</v>
      </c>
      <c r="Q570" s="9" t="s">
        <v>36</v>
      </c>
    </row>
    <row r="571" spans="1:17" x14ac:dyDescent="0.25">
      <c r="A571" s="5" t="s">
        <v>621</v>
      </c>
      <c r="B571" s="6" t="s">
        <v>51</v>
      </c>
      <c r="C571" s="6" t="s">
        <v>19</v>
      </c>
      <c r="D571" s="6" t="s">
        <v>64</v>
      </c>
      <c r="E571" s="6" t="s">
        <v>35</v>
      </c>
      <c r="F571" s="6" t="s">
        <v>29</v>
      </c>
      <c r="G571" s="6">
        <v>47</v>
      </c>
      <c r="H571" s="7">
        <v>1069.49</v>
      </c>
      <c r="I571" s="7">
        <v>50266.03</v>
      </c>
      <c r="J571" s="8">
        <v>45539</v>
      </c>
      <c r="K571" s="6">
        <v>23</v>
      </c>
      <c r="L571" s="6" t="s">
        <v>23</v>
      </c>
      <c r="M571" s="6" t="b">
        <v>0</v>
      </c>
      <c r="N571" s="6">
        <v>19.43</v>
      </c>
      <c r="O571" s="6" t="s">
        <v>42</v>
      </c>
      <c r="P571" s="6" t="b">
        <v>0</v>
      </c>
      <c r="Q571" s="9" t="s">
        <v>25</v>
      </c>
    </row>
    <row r="572" spans="1:17" x14ac:dyDescent="0.25">
      <c r="A572" s="5" t="s">
        <v>622</v>
      </c>
      <c r="B572" s="6" t="s">
        <v>66</v>
      </c>
      <c r="C572" s="6" t="s">
        <v>39</v>
      </c>
      <c r="D572" s="6" t="s">
        <v>20</v>
      </c>
      <c r="E572" s="6" t="s">
        <v>28</v>
      </c>
      <c r="F572" s="6" t="s">
        <v>22</v>
      </c>
      <c r="G572" s="6">
        <v>75</v>
      </c>
      <c r="H572" s="7">
        <v>472.65</v>
      </c>
      <c r="I572" s="7">
        <v>35448.75</v>
      </c>
      <c r="J572" s="8">
        <v>45031</v>
      </c>
      <c r="K572" s="6">
        <v>28</v>
      </c>
      <c r="L572" s="6" t="s">
        <v>41</v>
      </c>
      <c r="M572" s="6" t="b">
        <v>1</v>
      </c>
      <c r="N572" s="6">
        <v>6.94</v>
      </c>
      <c r="O572" s="6" t="s">
        <v>24</v>
      </c>
      <c r="P572" s="6" t="b">
        <v>0</v>
      </c>
      <c r="Q572" s="9" t="s">
        <v>36</v>
      </c>
    </row>
    <row r="573" spans="1:17" x14ac:dyDescent="0.25">
      <c r="A573" s="5" t="s">
        <v>623</v>
      </c>
      <c r="B573" s="6" t="s">
        <v>46</v>
      </c>
      <c r="C573" s="6" t="s">
        <v>19</v>
      </c>
      <c r="D573" s="6" t="s">
        <v>47</v>
      </c>
      <c r="E573" s="6" t="s">
        <v>35</v>
      </c>
      <c r="F573" s="6" t="s">
        <v>48</v>
      </c>
      <c r="G573" s="6">
        <v>52</v>
      </c>
      <c r="H573" s="7">
        <v>732.04</v>
      </c>
      <c r="I573" s="7">
        <v>38066.080000000002</v>
      </c>
      <c r="J573" s="8">
        <v>45400</v>
      </c>
      <c r="K573" s="6">
        <v>51</v>
      </c>
      <c r="L573" s="6" t="s">
        <v>23</v>
      </c>
      <c r="M573" s="6" t="b">
        <v>1</v>
      </c>
      <c r="N573" s="6">
        <v>16.75</v>
      </c>
      <c r="O573" s="6" t="s">
        <v>30</v>
      </c>
      <c r="P573" s="6" t="b">
        <v>1</v>
      </c>
      <c r="Q573" s="9" t="s">
        <v>25</v>
      </c>
    </row>
    <row r="574" spans="1:17" x14ac:dyDescent="0.25">
      <c r="A574" s="5" t="s">
        <v>624</v>
      </c>
      <c r="B574" s="6" t="s">
        <v>27</v>
      </c>
      <c r="C574" s="6" t="s">
        <v>19</v>
      </c>
      <c r="D574" s="6" t="s">
        <v>52</v>
      </c>
      <c r="E574" s="6" t="s">
        <v>44</v>
      </c>
      <c r="F574" s="6" t="s">
        <v>22</v>
      </c>
      <c r="G574" s="6">
        <v>8</v>
      </c>
      <c r="H574" s="7">
        <v>1436.56</v>
      </c>
      <c r="I574" s="7">
        <v>11492.48</v>
      </c>
      <c r="J574" s="8">
        <v>45322</v>
      </c>
      <c r="K574" s="6">
        <v>56</v>
      </c>
      <c r="L574" s="6" t="s">
        <v>41</v>
      </c>
      <c r="M574" s="6" t="b">
        <v>1</v>
      </c>
      <c r="N574" s="6">
        <v>23.6</v>
      </c>
      <c r="O574" s="6" t="s">
        <v>24</v>
      </c>
      <c r="P574" s="6" t="b">
        <v>0</v>
      </c>
      <c r="Q574" s="9" t="s">
        <v>25</v>
      </c>
    </row>
    <row r="575" spans="1:17" x14ac:dyDescent="0.25">
      <c r="A575" s="5" t="s">
        <v>625</v>
      </c>
      <c r="B575" s="6" t="s">
        <v>32</v>
      </c>
      <c r="C575" s="6" t="s">
        <v>39</v>
      </c>
      <c r="D575" s="6" t="s">
        <v>52</v>
      </c>
      <c r="E575" s="6" t="s">
        <v>21</v>
      </c>
      <c r="F575" s="6" t="s">
        <v>48</v>
      </c>
      <c r="G575" s="6">
        <v>4</v>
      </c>
      <c r="H575" s="7">
        <v>1161.72</v>
      </c>
      <c r="I575" s="7">
        <v>4646.88</v>
      </c>
      <c r="J575" s="8">
        <v>45372</v>
      </c>
      <c r="K575" s="6">
        <v>37</v>
      </c>
      <c r="L575" s="6" t="s">
        <v>49</v>
      </c>
      <c r="M575" s="6" t="b">
        <v>1</v>
      </c>
      <c r="N575" s="6">
        <v>26.01</v>
      </c>
      <c r="O575" s="6" t="s">
        <v>24</v>
      </c>
      <c r="P575" s="6" t="b">
        <v>1</v>
      </c>
      <c r="Q575" s="9" t="s">
        <v>25</v>
      </c>
    </row>
    <row r="576" spans="1:17" x14ac:dyDescent="0.25">
      <c r="A576" s="5" t="s">
        <v>626</v>
      </c>
      <c r="B576" s="6" t="s">
        <v>76</v>
      </c>
      <c r="C576" s="6" t="s">
        <v>33</v>
      </c>
      <c r="D576" s="6" t="s">
        <v>64</v>
      </c>
      <c r="E576" s="6" t="s">
        <v>28</v>
      </c>
      <c r="F576" s="6" t="s">
        <v>29</v>
      </c>
      <c r="G576" s="6">
        <v>27</v>
      </c>
      <c r="H576" s="7">
        <v>1455.86</v>
      </c>
      <c r="I576" s="7">
        <v>39308.22</v>
      </c>
      <c r="J576" s="8">
        <v>45532</v>
      </c>
      <c r="K576" s="6">
        <v>38</v>
      </c>
      <c r="L576" s="6" t="s">
        <v>49</v>
      </c>
      <c r="M576" s="6" t="b">
        <v>0</v>
      </c>
      <c r="N576" s="6">
        <v>3.15</v>
      </c>
      <c r="O576" s="6" t="s">
        <v>56</v>
      </c>
      <c r="P576" s="6" t="b">
        <v>1</v>
      </c>
      <c r="Q576" s="9" t="s">
        <v>36</v>
      </c>
    </row>
    <row r="577" spans="1:17" x14ac:dyDescent="0.25">
      <c r="A577" s="5" t="s">
        <v>627</v>
      </c>
      <c r="B577" s="6" t="s">
        <v>18</v>
      </c>
      <c r="C577" s="6" t="s">
        <v>33</v>
      </c>
      <c r="D577" s="6" t="s">
        <v>64</v>
      </c>
      <c r="E577" s="6" t="s">
        <v>35</v>
      </c>
      <c r="F577" s="6" t="s">
        <v>40</v>
      </c>
      <c r="G577" s="6">
        <v>44</v>
      </c>
      <c r="H577" s="7">
        <v>1132.07</v>
      </c>
      <c r="I577" s="7">
        <v>49811.08</v>
      </c>
      <c r="J577" s="8">
        <v>45146</v>
      </c>
      <c r="K577" s="6">
        <v>38</v>
      </c>
      <c r="L577" s="6" t="s">
        <v>23</v>
      </c>
      <c r="M577" s="6" t="b">
        <v>1</v>
      </c>
      <c r="N577" s="6">
        <v>10.69</v>
      </c>
      <c r="O577" s="6" t="s">
        <v>24</v>
      </c>
      <c r="P577" s="6" t="b">
        <v>0</v>
      </c>
      <c r="Q577" s="9" t="s">
        <v>25</v>
      </c>
    </row>
    <row r="578" spans="1:17" x14ac:dyDescent="0.25">
      <c r="A578" s="5" t="s">
        <v>628</v>
      </c>
      <c r="B578" s="6" t="s">
        <v>72</v>
      </c>
      <c r="C578" s="6" t="s">
        <v>33</v>
      </c>
      <c r="D578" s="6" t="s">
        <v>47</v>
      </c>
      <c r="E578" s="6" t="s">
        <v>28</v>
      </c>
      <c r="F578" s="6" t="s">
        <v>29</v>
      </c>
      <c r="G578" s="6">
        <v>40</v>
      </c>
      <c r="H578" s="7">
        <v>304.62</v>
      </c>
      <c r="I578" s="7">
        <v>12184.8</v>
      </c>
      <c r="J578" s="8">
        <v>45368</v>
      </c>
      <c r="K578" s="6">
        <v>35</v>
      </c>
      <c r="L578" s="6" t="s">
        <v>23</v>
      </c>
      <c r="M578" s="6" t="b">
        <v>1</v>
      </c>
      <c r="N578" s="6">
        <v>19.190000000000001</v>
      </c>
      <c r="O578" s="6" t="s">
        <v>42</v>
      </c>
      <c r="P578" s="6" t="b">
        <v>1</v>
      </c>
      <c r="Q578" s="9" t="s">
        <v>25</v>
      </c>
    </row>
    <row r="579" spans="1:17" x14ac:dyDescent="0.25">
      <c r="A579" s="5" t="s">
        <v>629</v>
      </c>
      <c r="B579" s="6" t="s">
        <v>51</v>
      </c>
      <c r="C579" s="6" t="s">
        <v>33</v>
      </c>
      <c r="D579" s="6" t="s">
        <v>20</v>
      </c>
      <c r="E579" s="6" t="s">
        <v>21</v>
      </c>
      <c r="F579" s="6" t="s">
        <v>40</v>
      </c>
      <c r="G579" s="6">
        <v>47</v>
      </c>
      <c r="H579" s="7">
        <v>143.58000000000001</v>
      </c>
      <c r="I579" s="7">
        <v>6748.26</v>
      </c>
      <c r="J579" s="8">
        <v>45571</v>
      </c>
      <c r="K579" s="6">
        <v>38</v>
      </c>
      <c r="L579" s="6" t="s">
        <v>41</v>
      </c>
      <c r="M579" s="6" t="b">
        <v>1</v>
      </c>
      <c r="N579" s="6">
        <v>1.04</v>
      </c>
      <c r="O579" s="6" t="s">
        <v>30</v>
      </c>
      <c r="P579" s="6" t="b">
        <v>1</v>
      </c>
      <c r="Q579" s="9" t="s">
        <v>36</v>
      </c>
    </row>
    <row r="580" spans="1:17" x14ac:dyDescent="0.25">
      <c r="A580" s="5" t="s">
        <v>630</v>
      </c>
      <c r="B580" s="6" t="s">
        <v>76</v>
      </c>
      <c r="C580" s="6" t="s">
        <v>33</v>
      </c>
      <c r="D580" s="6" t="s">
        <v>52</v>
      </c>
      <c r="E580" s="6" t="s">
        <v>35</v>
      </c>
      <c r="F580" s="6" t="s">
        <v>22</v>
      </c>
      <c r="G580" s="6">
        <v>94</v>
      </c>
      <c r="H580" s="7">
        <v>887.61</v>
      </c>
      <c r="I580" s="7">
        <v>83435.34</v>
      </c>
      <c r="J580" s="8">
        <v>45593</v>
      </c>
      <c r="K580" s="6">
        <v>36</v>
      </c>
      <c r="L580" s="6" t="s">
        <v>41</v>
      </c>
      <c r="M580" s="6" t="b">
        <v>1</v>
      </c>
      <c r="N580" s="6">
        <v>20.72</v>
      </c>
      <c r="O580" s="6" t="s">
        <v>24</v>
      </c>
      <c r="P580" s="6" t="b">
        <v>1</v>
      </c>
      <c r="Q580" s="9" t="s">
        <v>25</v>
      </c>
    </row>
    <row r="581" spans="1:17" x14ac:dyDescent="0.25">
      <c r="A581" s="5" t="s">
        <v>631</v>
      </c>
      <c r="B581" s="6" t="s">
        <v>72</v>
      </c>
      <c r="C581" s="6" t="s">
        <v>19</v>
      </c>
      <c r="D581" s="6" t="s">
        <v>47</v>
      </c>
      <c r="E581" s="6" t="s">
        <v>44</v>
      </c>
      <c r="F581" s="6" t="s">
        <v>22</v>
      </c>
      <c r="G581" s="6">
        <v>44</v>
      </c>
      <c r="H581" s="7">
        <v>568.83000000000004</v>
      </c>
      <c r="I581" s="7">
        <v>25028.52</v>
      </c>
      <c r="J581" s="8">
        <v>44954</v>
      </c>
      <c r="K581" s="6">
        <v>21</v>
      </c>
      <c r="L581" s="6" t="s">
        <v>23</v>
      </c>
      <c r="M581" s="6" t="b">
        <v>1</v>
      </c>
      <c r="N581" s="6">
        <v>15.84</v>
      </c>
      <c r="O581" s="6" t="s">
        <v>30</v>
      </c>
      <c r="P581" s="6" t="b">
        <v>0</v>
      </c>
      <c r="Q581" s="9" t="s">
        <v>36</v>
      </c>
    </row>
    <row r="582" spans="1:17" x14ac:dyDescent="0.25">
      <c r="A582" s="5" t="s">
        <v>632</v>
      </c>
      <c r="B582" s="6" t="s">
        <v>76</v>
      </c>
      <c r="C582" s="6" t="s">
        <v>33</v>
      </c>
      <c r="D582" s="6" t="s">
        <v>34</v>
      </c>
      <c r="E582" s="6" t="s">
        <v>35</v>
      </c>
      <c r="F582" s="6" t="s">
        <v>29</v>
      </c>
      <c r="G582" s="6">
        <v>48</v>
      </c>
      <c r="H582" s="7">
        <v>449.41</v>
      </c>
      <c r="I582" s="7">
        <v>21571.68</v>
      </c>
      <c r="J582" s="8">
        <v>45401</v>
      </c>
      <c r="K582" s="6">
        <v>30</v>
      </c>
      <c r="L582" s="6" t="s">
        <v>41</v>
      </c>
      <c r="M582" s="6" t="b">
        <v>0</v>
      </c>
      <c r="N582" s="6">
        <v>8.66</v>
      </c>
      <c r="O582" s="6" t="s">
        <v>24</v>
      </c>
      <c r="P582" s="6" t="b">
        <v>1</v>
      </c>
      <c r="Q582" s="9" t="s">
        <v>36</v>
      </c>
    </row>
    <row r="583" spans="1:17" x14ac:dyDescent="0.25">
      <c r="A583" s="5" t="s">
        <v>633</v>
      </c>
      <c r="B583" s="6" t="s">
        <v>32</v>
      </c>
      <c r="C583" s="6" t="s">
        <v>19</v>
      </c>
      <c r="D583" s="6" t="s">
        <v>34</v>
      </c>
      <c r="E583" s="6" t="s">
        <v>28</v>
      </c>
      <c r="F583" s="6" t="s">
        <v>40</v>
      </c>
      <c r="G583" s="6">
        <v>91</v>
      </c>
      <c r="H583" s="7">
        <v>1220.46</v>
      </c>
      <c r="I583" s="7">
        <v>111061.86</v>
      </c>
      <c r="J583" s="8">
        <v>45554</v>
      </c>
      <c r="K583" s="6">
        <v>35</v>
      </c>
      <c r="L583" s="6" t="s">
        <v>41</v>
      </c>
      <c r="M583" s="6" t="b">
        <v>0</v>
      </c>
      <c r="N583" s="6">
        <v>24.44</v>
      </c>
      <c r="O583" s="6" t="s">
        <v>30</v>
      </c>
      <c r="P583" s="6" t="b">
        <v>1</v>
      </c>
      <c r="Q583" s="9" t="s">
        <v>25</v>
      </c>
    </row>
    <row r="584" spans="1:17" x14ac:dyDescent="0.25">
      <c r="A584" s="5" t="s">
        <v>634</v>
      </c>
      <c r="B584" s="6" t="s">
        <v>72</v>
      </c>
      <c r="C584" s="6" t="s">
        <v>19</v>
      </c>
      <c r="D584" s="6" t="s">
        <v>47</v>
      </c>
      <c r="E584" s="6" t="s">
        <v>28</v>
      </c>
      <c r="F584" s="6" t="s">
        <v>29</v>
      </c>
      <c r="G584" s="6">
        <v>85</v>
      </c>
      <c r="H584" s="7">
        <v>582.14</v>
      </c>
      <c r="I584" s="7">
        <v>49481.9</v>
      </c>
      <c r="J584" s="8">
        <v>45231</v>
      </c>
      <c r="K584" s="6">
        <v>69</v>
      </c>
      <c r="L584" s="6" t="s">
        <v>41</v>
      </c>
      <c r="M584" s="6" t="b">
        <v>1</v>
      </c>
      <c r="N584" s="6">
        <v>8.6999999999999993</v>
      </c>
      <c r="O584" s="6" t="s">
        <v>30</v>
      </c>
      <c r="P584" s="6" t="b">
        <v>1</v>
      </c>
      <c r="Q584" s="9" t="s">
        <v>25</v>
      </c>
    </row>
    <row r="585" spans="1:17" x14ac:dyDescent="0.25">
      <c r="A585" s="5" t="s">
        <v>635</v>
      </c>
      <c r="B585" s="6" t="s">
        <v>62</v>
      </c>
      <c r="C585" s="6" t="s">
        <v>19</v>
      </c>
      <c r="D585" s="6" t="s">
        <v>52</v>
      </c>
      <c r="E585" s="6" t="s">
        <v>28</v>
      </c>
      <c r="F585" s="6" t="s">
        <v>40</v>
      </c>
      <c r="G585" s="6">
        <v>52</v>
      </c>
      <c r="H585" s="7">
        <v>509.65</v>
      </c>
      <c r="I585" s="7">
        <v>26501.8</v>
      </c>
      <c r="J585" s="8">
        <v>45331</v>
      </c>
      <c r="K585" s="6">
        <v>46</v>
      </c>
      <c r="L585" s="6" t="s">
        <v>23</v>
      </c>
      <c r="M585" s="6" t="b">
        <v>1</v>
      </c>
      <c r="N585" s="6">
        <v>29.74</v>
      </c>
      <c r="O585" s="6" t="s">
        <v>30</v>
      </c>
      <c r="P585" s="6" t="b">
        <v>1</v>
      </c>
      <c r="Q585" s="9" t="s">
        <v>25</v>
      </c>
    </row>
    <row r="586" spans="1:17" x14ac:dyDescent="0.25">
      <c r="A586" s="5" t="s">
        <v>636</v>
      </c>
      <c r="B586" s="6" t="s">
        <v>38</v>
      </c>
      <c r="C586" s="6" t="s">
        <v>39</v>
      </c>
      <c r="D586" s="6" t="s">
        <v>47</v>
      </c>
      <c r="E586" s="6" t="s">
        <v>28</v>
      </c>
      <c r="F586" s="6" t="s">
        <v>40</v>
      </c>
      <c r="G586" s="6">
        <v>84</v>
      </c>
      <c r="H586" s="7">
        <v>1282.48</v>
      </c>
      <c r="I586" s="7">
        <v>107728.32000000001</v>
      </c>
      <c r="J586" s="8">
        <v>45439</v>
      </c>
      <c r="K586" s="6">
        <v>42</v>
      </c>
      <c r="L586" s="6" t="s">
        <v>49</v>
      </c>
      <c r="M586" s="6" t="b">
        <v>0</v>
      </c>
      <c r="N586" s="6">
        <v>24.49</v>
      </c>
      <c r="O586" s="6" t="s">
        <v>24</v>
      </c>
      <c r="P586" s="6" t="b">
        <v>0</v>
      </c>
      <c r="Q586" s="9" t="s">
        <v>25</v>
      </c>
    </row>
    <row r="587" spans="1:17" x14ac:dyDescent="0.25">
      <c r="A587" s="5" t="s">
        <v>637</v>
      </c>
      <c r="B587" s="6" t="s">
        <v>62</v>
      </c>
      <c r="C587" s="6" t="s">
        <v>39</v>
      </c>
      <c r="D587" s="6" t="s">
        <v>52</v>
      </c>
      <c r="E587" s="6" t="s">
        <v>44</v>
      </c>
      <c r="F587" s="6" t="s">
        <v>22</v>
      </c>
      <c r="G587" s="6">
        <v>68</v>
      </c>
      <c r="H587" s="7">
        <v>1277.1199999999999</v>
      </c>
      <c r="I587" s="7">
        <v>86844.160000000003</v>
      </c>
      <c r="J587" s="8">
        <v>45428</v>
      </c>
      <c r="K587" s="6">
        <v>30</v>
      </c>
      <c r="L587" s="6" t="s">
        <v>49</v>
      </c>
      <c r="M587" s="6" t="b">
        <v>0</v>
      </c>
      <c r="N587" s="6">
        <v>21.24</v>
      </c>
      <c r="O587" s="6" t="s">
        <v>42</v>
      </c>
      <c r="P587" s="6" t="b">
        <v>1</v>
      </c>
      <c r="Q587" s="9" t="s">
        <v>36</v>
      </c>
    </row>
    <row r="588" spans="1:17" x14ac:dyDescent="0.25">
      <c r="A588" s="5" t="s">
        <v>638</v>
      </c>
      <c r="B588" s="6" t="s">
        <v>46</v>
      </c>
      <c r="C588" s="6" t="s">
        <v>19</v>
      </c>
      <c r="D588" s="6" t="s">
        <v>64</v>
      </c>
      <c r="E588" s="6" t="s">
        <v>35</v>
      </c>
      <c r="F588" s="6" t="s">
        <v>22</v>
      </c>
      <c r="G588" s="6">
        <v>11</v>
      </c>
      <c r="H588" s="7">
        <v>566.73</v>
      </c>
      <c r="I588" s="7">
        <v>6234.03</v>
      </c>
      <c r="J588" s="8">
        <v>45274</v>
      </c>
      <c r="K588" s="6">
        <v>44</v>
      </c>
      <c r="L588" s="6" t="s">
        <v>41</v>
      </c>
      <c r="M588" s="6" t="b">
        <v>0</v>
      </c>
      <c r="N588" s="6">
        <v>1.84</v>
      </c>
      <c r="O588" s="6" t="s">
        <v>30</v>
      </c>
      <c r="P588" s="6" t="b">
        <v>1</v>
      </c>
      <c r="Q588" s="9" t="s">
        <v>25</v>
      </c>
    </row>
    <row r="589" spans="1:17" x14ac:dyDescent="0.25">
      <c r="A589" s="5" t="s">
        <v>639</v>
      </c>
      <c r="B589" s="6" t="s">
        <v>38</v>
      </c>
      <c r="C589" s="6" t="s">
        <v>39</v>
      </c>
      <c r="D589" s="6" t="s">
        <v>47</v>
      </c>
      <c r="E589" s="6" t="s">
        <v>44</v>
      </c>
      <c r="F589" s="6" t="s">
        <v>40</v>
      </c>
      <c r="G589" s="6">
        <v>77</v>
      </c>
      <c r="H589" s="7">
        <v>1257.1199999999999</v>
      </c>
      <c r="I589" s="7">
        <v>96798.24</v>
      </c>
      <c r="J589" s="8">
        <v>45166</v>
      </c>
      <c r="K589" s="6">
        <v>36</v>
      </c>
      <c r="L589" s="6" t="s">
        <v>23</v>
      </c>
      <c r="M589" s="6" t="b">
        <v>1</v>
      </c>
      <c r="N589" s="6">
        <v>27.13</v>
      </c>
      <c r="O589" s="6" t="s">
        <v>56</v>
      </c>
      <c r="P589" s="6" t="b">
        <v>0</v>
      </c>
      <c r="Q589" s="9" t="s">
        <v>25</v>
      </c>
    </row>
    <row r="590" spans="1:17" x14ac:dyDescent="0.25">
      <c r="A590" s="5" t="s">
        <v>640</v>
      </c>
      <c r="B590" s="6" t="s">
        <v>62</v>
      </c>
      <c r="C590" s="6" t="s">
        <v>33</v>
      </c>
      <c r="D590" s="6" t="s">
        <v>52</v>
      </c>
      <c r="E590" s="6" t="s">
        <v>44</v>
      </c>
      <c r="F590" s="6" t="s">
        <v>40</v>
      </c>
      <c r="G590" s="6">
        <v>73</v>
      </c>
      <c r="H590" s="7">
        <v>1283.6300000000001</v>
      </c>
      <c r="I590" s="7">
        <v>93704.99</v>
      </c>
      <c r="J590" s="8">
        <v>45496</v>
      </c>
      <c r="K590" s="6">
        <v>66</v>
      </c>
      <c r="L590" s="6" t="s">
        <v>41</v>
      </c>
      <c r="M590" s="6" t="b">
        <v>1</v>
      </c>
      <c r="N590" s="6">
        <v>23.7</v>
      </c>
      <c r="O590" s="6" t="s">
        <v>56</v>
      </c>
      <c r="P590" s="6" t="b">
        <v>0</v>
      </c>
      <c r="Q590" s="9" t="s">
        <v>36</v>
      </c>
    </row>
    <row r="591" spans="1:17" x14ac:dyDescent="0.25">
      <c r="A591" s="5" t="s">
        <v>641</v>
      </c>
      <c r="B591" s="6" t="s">
        <v>38</v>
      </c>
      <c r="C591" s="6" t="s">
        <v>33</v>
      </c>
      <c r="D591" s="6" t="s">
        <v>47</v>
      </c>
      <c r="E591" s="6" t="s">
        <v>44</v>
      </c>
      <c r="F591" s="6" t="s">
        <v>40</v>
      </c>
      <c r="G591" s="6">
        <v>4</v>
      </c>
      <c r="H591" s="7">
        <v>664.7</v>
      </c>
      <c r="I591" s="7">
        <v>2658.8</v>
      </c>
      <c r="J591" s="8">
        <v>45263</v>
      </c>
      <c r="K591" s="6">
        <v>18</v>
      </c>
      <c r="L591" s="6" t="s">
        <v>49</v>
      </c>
      <c r="M591" s="6" t="b">
        <v>1</v>
      </c>
      <c r="N591" s="6">
        <v>6.87</v>
      </c>
      <c r="O591" s="6" t="s">
        <v>56</v>
      </c>
      <c r="P591" s="6" t="b">
        <v>0</v>
      </c>
      <c r="Q591" s="9" t="s">
        <v>25</v>
      </c>
    </row>
    <row r="592" spans="1:17" x14ac:dyDescent="0.25">
      <c r="A592" s="5" t="s">
        <v>642</v>
      </c>
      <c r="B592" s="6" t="s">
        <v>38</v>
      </c>
      <c r="C592" s="6" t="s">
        <v>19</v>
      </c>
      <c r="D592" s="6" t="s">
        <v>47</v>
      </c>
      <c r="E592" s="6" t="s">
        <v>28</v>
      </c>
      <c r="F592" s="6" t="s">
        <v>22</v>
      </c>
      <c r="G592" s="6">
        <v>76</v>
      </c>
      <c r="H592" s="7">
        <v>146.38999999999999</v>
      </c>
      <c r="I592" s="7">
        <v>11125.64</v>
      </c>
      <c r="J592" s="8">
        <v>44952</v>
      </c>
      <c r="K592" s="6">
        <v>55</v>
      </c>
      <c r="L592" s="6" t="s">
        <v>41</v>
      </c>
      <c r="M592" s="6" t="b">
        <v>1</v>
      </c>
      <c r="N592" s="6">
        <v>11.77</v>
      </c>
      <c r="O592" s="6" t="s">
        <v>42</v>
      </c>
      <c r="P592" s="6" t="b">
        <v>0</v>
      </c>
      <c r="Q592" s="9" t="s">
        <v>25</v>
      </c>
    </row>
    <row r="593" spans="1:17" x14ac:dyDescent="0.25">
      <c r="A593" s="5" t="s">
        <v>643</v>
      </c>
      <c r="B593" s="6" t="s">
        <v>27</v>
      </c>
      <c r="C593" s="6" t="s">
        <v>33</v>
      </c>
      <c r="D593" s="6" t="s">
        <v>52</v>
      </c>
      <c r="E593" s="6" t="s">
        <v>28</v>
      </c>
      <c r="F593" s="6" t="s">
        <v>22</v>
      </c>
      <c r="G593" s="6">
        <v>73</v>
      </c>
      <c r="H593" s="7">
        <v>52.3</v>
      </c>
      <c r="I593" s="7">
        <v>3817.9</v>
      </c>
      <c r="J593" s="8">
        <v>45335</v>
      </c>
      <c r="K593" s="6">
        <v>36</v>
      </c>
      <c r="L593" s="6" t="s">
        <v>49</v>
      </c>
      <c r="M593" s="6" t="b">
        <v>1</v>
      </c>
      <c r="N593" s="6">
        <v>8.06</v>
      </c>
      <c r="O593" s="6" t="s">
        <v>30</v>
      </c>
      <c r="P593" s="6" t="b">
        <v>0</v>
      </c>
      <c r="Q593" s="9" t="s">
        <v>25</v>
      </c>
    </row>
    <row r="594" spans="1:17" x14ac:dyDescent="0.25">
      <c r="A594" s="5" t="s">
        <v>644</v>
      </c>
      <c r="B594" s="6" t="s">
        <v>51</v>
      </c>
      <c r="C594" s="6" t="s">
        <v>19</v>
      </c>
      <c r="D594" s="6" t="s">
        <v>52</v>
      </c>
      <c r="E594" s="6" t="s">
        <v>28</v>
      </c>
      <c r="F594" s="6" t="s">
        <v>48</v>
      </c>
      <c r="G594" s="6">
        <v>77</v>
      </c>
      <c r="H594" s="7">
        <v>808.77</v>
      </c>
      <c r="I594" s="7">
        <v>62275.29</v>
      </c>
      <c r="J594" s="8">
        <v>45003</v>
      </c>
      <c r="K594" s="6">
        <v>69</v>
      </c>
      <c r="L594" s="6" t="s">
        <v>23</v>
      </c>
      <c r="M594" s="6" t="b">
        <v>1</v>
      </c>
      <c r="N594" s="6">
        <v>29.53</v>
      </c>
      <c r="O594" s="6" t="s">
        <v>42</v>
      </c>
      <c r="P594" s="6" t="b">
        <v>0</v>
      </c>
      <c r="Q594" s="9" t="s">
        <v>25</v>
      </c>
    </row>
    <row r="595" spans="1:17" x14ac:dyDescent="0.25">
      <c r="A595" s="5" t="s">
        <v>645</v>
      </c>
      <c r="B595" s="6" t="s">
        <v>51</v>
      </c>
      <c r="C595" s="6" t="s">
        <v>19</v>
      </c>
      <c r="D595" s="6" t="s">
        <v>20</v>
      </c>
      <c r="E595" s="6" t="s">
        <v>35</v>
      </c>
      <c r="F595" s="6" t="s">
        <v>40</v>
      </c>
      <c r="G595" s="6">
        <v>48</v>
      </c>
      <c r="H595" s="7">
        <v>548.91</v>
      </c>
      <c r="I595" s="7">
        <v>26347.68</v>
      </c>
      <c r="J595" s="8">
        <v>45143</v>
      </c>
      <c r="K595" s="6">
        <v>18</v>
      </c>
      <c r="L595" s="6" t="s">
        <v>41</v>
      </c>
      <c r="M595" s="6" t="b">
        <v>0</v>
      </c>
      <c r="N595" s="6">
        <v>25.63</v>
      </c>
      <c r="O595" s="6" t="s">
        <v>30</v>
      </c>
      <c r="P595" s="6" t="b">
        <v>1</v>
      </c>
      <c r="Q595" s="9" t="s">
        <v>25</v>
      </c>
    </row>
    <row r="596" spans="1:17" x14ac:dyDescent="0.25">
      <c r="A596" s="5" t="s">
        <v>646</v>
      </c>
      <c r="B596" s="6" t="s">
        <v>27</v>
      </c>
      <c r="C596" s="6" t="s">
        <v>33</v>
      </c>
      <c r="D596" s="6" t="s">
        <v>47</v>
      </c>
      <c r="E596" s="6" t="s">
        <v>21</v>
      </c>
      <c r="F596" s="6" t="s">
        <v>48</v>
      </c>
      <c r="G596" s="6">
        <v>26</v>
      </c>
      <c r="H596" s="7">
        <v>1495.84</v>
      </c>
      <c r="I596" s="7">
        <v>38891.839999999997</v>
      </c>
      <c r="J596" s="8">
        <v>45254</v>
      </c>
      <c r="K596" s="6">
        <v>57</v>
      </c>
      <c r="L596" s="6" t="s">
        <v>23</v>
      </c>
      <c r="M596" s="6" t="b">
        <v>0</v>
      </c>
      <c r="N596" s="6">
        <v>27.91</v>
      </c>
      <c r="O596" s="6" t="s">
        <v>42</v>
      </c>
      <c r="P596" s="6" t="b">
        <v>1</v>
      </c>
      <c r="Q596" s="9" t="s">
        <v>36</v>
      </c>
    </row>
    <row r="597" spans="1:17" x14ac:dyDescent="0.25">
      <c r="A597" s="5" t="s">
        <v>647</v>
      </c>
      <c r="B597" s="6" t="s">
        <v>76</v>
      </c>
      <c r="C597" s="6" t="s">
        <v>39</v>
      </c>
      <c r="D597" s="6" t="s">
        <v>34</v>
      </c>
      <c r="E597" s="6" t="s">
        <v>28</v>
      </c>
      <c r="F597" s="6" t="s">
        <v>40</v>
      </c>
      <c r="G597" s="6">
        <v>77</v>
      </c>
      <c r="H597" s="7">
        <v>1170</v>
      </c>
      <c r="I597" s="7">
        <v>90090</v>
      </c>
      <c r="J597" s="8">
        <v>44949</v>
      </c>
      <c r="K597" s="6">
        <v>34</v>
      </c>
      <c r="L597" s="6" t="s">
        <v>41</v>
      </c>
      <c r="M597" s="6" t="b">
        <v>1</v>
      </c>
      <c r="N597" s="6">
        <v>23.66</v>
      </c>
      <c r="O597" s="6" t="s">
        <v>30</v>
      </c>
      <c r="P597" s="6" t="b">
        <v>0</v>
      </c>
      <c r="Q597" s="9" t="s">
        <v>25</v>
      </c>
    </row>
    <row r="598" spans="1:17" x14ac:dyDescent="0.25">
      <c r="A598" s="5" t="s">
        <v>648</v>
      </c>
      <c r="B598" s="6" t="s">
        <v>66</v>
      </c>
      <c r="C598" s="6" t="s">
        <v>33</v>
      </c>
      <c r="D598" s="6" t="s">
        <v>47</v>
      </c>
      <c r="E598" s="6" t="s">
        <v>35</v>
      </c>
      <c r="F598" s="6" t="s">
        <v>22</v>
      </c>
      <c r="G598" s="6">
        <v>39</v>
      </c>
      <c r="H598" s="7">
        <v>1153.8499999999999</v>
      </c>
      <c r="I598" s="7">
        <v>45000.15</v>
      </c>
      <c r="J598" s="8">
        <v>45596</v>
      </c>
      <c r="K598" s="6">
        <v>38</v>
      </c>
      <c r="L598" s="6" t="s">
        <v>41</v>
      </c>
      <c r="M598" s="6" t="b">
        <v>1</v>
      </c>
      <c r="N598" s="6">
        <v>13.69</v>
      </c>
      <c r="O598" s="6" t="s">
        <v>56</v>
      </c>
      <c r="P598" s="6" t="b">
        <v>1</v>
      </c>
      <c r="Q598" s="9" t="s">
        <v>36</v>
      </c>
    </row>
    <row r="599" spans="1:17" x14ac:dyDescent="0.25">
      <c r="A599" s="5" t="s">
        <v>649</v>
      </c>
      <c r="B599" s="6" t="s">
        <v>76</v>
      </c>
      <c r="C599" s="6" t="s">
        <v>33</v>
      </c>
      <c r="D599" s="6" t="s">
        <v>47</v>
      </c>
      <c r="E599" s="6" t="s">
        <v>28</v>
      </c>
      <c r="F599" s="6" t="s">
        <v>48</v>
      </c>
      <c r="G599" s="6">
        <v>92</v>
      </c>
      <c r="H599" s="7">
        <v>1435.1</v>
      </c>
      <c r="I599" s="7">
        <v>132029.20000000001</v>
      </c>
      <c r="J599" s="8">
        <v>45236</v>
      </c>
      <c r="K599" s="6">
        <v>39</v>
      </c>
      <c r="L599" s="6" t="s">
        <v>41</v>
      </c>
      <c r="M599" s="6" t="b">
        <v>1</v>
      </c>
      <c r="N599" s="6">
        <v>6.16</v>
      </c>
      <c r="O599" s="6" t="s">
        <v>30</v>
      </c>
      <c r="P599" s="6" t="b">
        <v>0</v>
      </c>
      <c r="Q599" s="9" t="s">
        <v>36</v>
      </c>
    </row>
    <row r="600" spans="1:17" x14ac:dyDescent="0.25">
      <c r="A600" s="5" t="s">
        <v>650</v>
      </c>
      <c r="B600" s="6" t="s">
        <v>72</v>
      </c>
      <c r="C600" s="6" t="s">
        <v>19</v>
      </c>
      <c r="D600" s="6" t="s">
        <v>52</v>
      </c>
      <c r="E600" s="6" t="s">
        <v>28</v>
      </c>
      <c r="F600" s="6" t="s">
        <v>48</v>
      </c>
      <c r="G600" s="6">
        <v>58</v>
      </c>
      <c r="H600" s="7">
        <v>1337.2</v>
      </c>
      <c r="I600" s="7">
        <v>77557.600000000006</v>
      </c>
      <c r="J600" s="8">
        <v>45525</v>
      </c>
      <c r="K600" s="6">
        <v>32</v>
      </c>
      <c r="L600" s="6" t="s">
        <v>41</v>
      </c>
      <c r="M600" s="6" t="b">
        <v>0</v>
      </c>
      <c r="N600" s="6">
        <v>6.24</v>
      </c>
      <c r="O600" s="6" t="s">
        <v>42</v>
      </c>
      <c r="P600" s="6" t="b">
        <v>1</v>
      </c>
      <c r="Q600" s="9" t="s">
        <v>36</v>
      </c>
    </row>
    <row r="601" spans="1:17" x14ac:dyDescent="0.25">
      <c r="A601" s="5" t="s">
        <v>651</v>
      </c>
      <c r="B601" s="6" t="s">
        <v>72</v>
      </c>
      <c r="C601" s="6" t="s">
        <v>19</v>
      </c>
      <c r="D601" s="6" t="s">
        <v>47</v>
      </c>
      <c r="E601" s="6" t="s">
        <v>44</v>
      </c>
      <c r="F601" s="6" t="s">
        <v>29</v>
      </c>
      <c r="G601" s="6">
        <v>19</v>
      </c>
      <c r="H601" s="7">
        <v>511.37</v>
      </c>
      <c r="I601" s="7">
        <v>9716.0300000000007</v>
      </c>
      <c r="J601" s="8">
        <v>45193</v>
      </c>
      <c r="K601" s="6">
        <v>67</v>
      </c>
      <c r="L601" s="6" t="s">
        <v>41</v>
      </c>
      <c r="M601" s="6" t="b">
        <v>0</v>
      </c>
      <c r="N601" s="6">
        <v>4.55</v>
      </c>
      <c r="O601" s="6" t="s">
        <v>30</v>
      </c>
      <c r="P601" s="6" t="b">
        <v>0</v>
      </c>
      <c r="Q601" s="9" t="s">
        <v>36</v>
      </c>
    </row>
    <row r="602" spans="1:17" x14ac:dyDescent="0.25">
      <c r="A602" s="5" t="s">
        <v>652</v>
      </c>
      <c r="B602" s="6" t="s">
        <v>38</v>
      </c>
      <c r="C602" s="6" t="s">
        <v>19</v>
      </c>
      <c r="D602" s="6" t="s">
        <v>47</v>
      </c>
      <c r="E602" s="6" t="s">
        <v>44</v>
      </c>
      <c r="F602" s="6" t="s">
        <v>40</v>
      </c>
      <c r="G602" s="6">
        <v>88</v>
      </c>
      <c r="H602" s="7">
        <v>290.68</v>
      </c>
      <c r="I602" s="7">
        <v>25579.84</v>
      </c>
      <c r="J602" s="8">
        <v>45341</v>
      </c>
      <c r="K602" s="6">
        <v>56</v>
      </c>
      <c r="L602" s="6" t="s">
        <v>23</v>
      </c>
      <c r="M602" s="6" t="b">
        <v>0</v>
      </c>
      <c r="N602" s="6">
        <v>16.399999999999999</v>
      </c>
      <c r="O602" s="6" t="s">
        <v>24</v>
      </c>
      <c r="P602" s="6" t="b">
        <v>0</v>
      </c>
      <c r="Q602" s="9" t="s">
        <v>25</v>
      </c>
    </row>
    <row r="603" spans="1:17" x14ac:dyDescent="0.25">
      <c r="A603" s="5" t="s">
        <v>653</v>
      </c>
      <c r="B603" s="6" t="s">
        <v>62</v>
      </c>
      <c r="C603" s="6" t="s">
        <v>19</v>
      </c>
      <c r="D603" s="6" t="s">
        <v>34</v>
      </c>
      <c r="E603" s="6" t="s">
        <v>44</v>
      </c>
      <c r="F603" s="6" t="s">
        <v>22</v>
      </c>
      <c r="G603" s="6">
        <v>83</v>
      </c>
      <c r="H603" s="7">
        <v>1131.54</v>
      </c>
      <c r="I603" s="7">
        <v>93917.82</v>
      </c>
      <c r="J603" s="8">
        <v>45572</v>
      </c>
      <c r="K603" s="6">
        <v>65</v>
      </c>
      <c r="L603" s="6" t="s">
        <v>23</v>
      </c>
      <c r="M603" s="6" t="b">
        <v>0</v>
      </c>
      <c r="N603" s="6">
        <v>27.6</v>
      </c>
      <c r="O603" s="6" t="s">
        <v>30</v>
      </c>
      <c r="P603" s="6" t="b">
        <v>1</v>
      </c>
      <c r="Q603" s="9" t="s">
        <v>25</v>
      </c>
    </row>
    <row r="604" spans="1:17" x14ac:dyDescent="0.25">
      <c r="A604" s="5" t="s">
        <v>654</v>
      </c>
      <c r="B604" s="6" t="s">
        <v>62</v>
      </c>
      <c r="C604" s="6" t="s">
        <v>39</v>
      </c>
      <c r="D604" s="6" t="s">
        <v>52</v>
      </c>
      <c r="E604" s="6" t="s">
        <v>35</v>
      </c>
      <c r="F604" s="6" t="s">
        <v>29</v>
      </c>
      <c r="G604" s="6">
        <v>77</v>
      </c>
      <c r="H604" s="7">
        <v>598.5</v>
      </c>
      <c r="I604" s="7">
        <v>46084.5</v>
      </c>
      <c r="J604" s="8">
        <v>45193</v>
      </c>
      <c r="K604" s="6">
        <v>56</v>
      </c>
      <c r="L604" s="6" t="s">
        <v>49</v>
      </c>
      <c r="M604" s="6" t="b">
        <v>1</v>
      </c>
      <c r="N604" s="6">
        <v>29.75</v>
      </c>
      <c r="O604" s="6" t="s">
        <v>56</v>
      </c>
      <c r="P604" s="6" t="b">
        <v>0</v>
      </c>
      <c r="Q604" s="9" t="s">
        <v>36</v>
      </c>
    </row>
    <row r="605" spans="1:17" x14ac:dyDescent="0.25">
      <c r="A605" s="5" t="s">
        <v>655</v>
      </c>
      <c r="B605" s="6" t="s">
        <v>51</v>
      </c>
      <c r="C605" s="6" t="s">
        <v>39</v>
      </c>
      <c r="D605" s="6" t="s">
        <v>47</v>
      </c>
      <c r="E605" s="6" t="s">
        <v>21</v>
      </c>
      <c r="F605" s="6" t="s">
        <v>29</v>
      </c>
      <c r="G605" s="6">
        <v>77</v>
      </c>
      <c r="H605" s="7">
        <v>736.1</v>
      </c>
      <c r="I605" s="7">
        <v>56679.7</v>
      </c>
      <c r="J605" s="8">
        <v>45259</v>
      </c>
      <c r="K605" s="6">
        <v>49</v>
      </c>
      <c r="L605" s="6" t="s">
        <v>41</v>
      </c>
      <c r="M605" s="6" t="b">
        <v>0</v>
      </c>
      <c r="N605" s="6">
        <v>8.6199999999999992</v>
      </c>
      <c r="O605" s="6" t="s">
        <v>30</v>
      </c>
      <c r="P605" s="6" t="b">
        <v>1</v>
      </c>
      <c r="Q605" s="9" t="s">
        <v>25</v>
      </c>
    </row>
    <row r="606" spans="1:17" x14ac:dyDescent="0.25">
      <c r="A606" s="5" t="s">
        <v>656</v>
      </c>
      <c r="B606" s="6" t="s">
        <v>18</v>
      </c>
      <c r="C606" s="6" t="s">
        <v>39</v>
      </c>
      <c r="D606" s="6" t="s">
        <v>64</v>
      </c>
      <c r="E606" s="6" t="s">
        <v>21</v>
      </c>
      <c r="F606" s="6" t="s">
        <v>40</v>
      </c>
      <c r="G606" s="6">
        <v>58</v>
      </c>
      <c r="H606" s="7">
        <v>964.08</v>
      </c>
      <c r="I606" s="7">
        <v>55916.639999999999</v>
      </c>
      <c r="J606" s="8">
        <v>45376</v>
      </c>
      <c r="K606" s="6">
        <v>66</v>
      </c>
      <c r="L606" s="6" t="s">
        <v>49</v>
      </c>
      <c r="M606" s="6" t="b">
        <v>0</v>
      </c>
      <c r="N606" s="6">
        <v>20.92</v>
      </c>
      <c r="O606" s="6" t="s">
        <v>24</v>
      </c>
      <c r="P606" s="6" t="b">
        <v>0</v>
      </c>
      <c r="Q606" s="9" t="s">
        <v>25</v>
      </c>
    </row>
    <row r="607" spans="1:17" x14ac:dyDescent="0.25">
      <c r="A607" s="5" t="s">
        <v>657</v>
      </c>
      <c r="B607" s="6" t="s">
        <v>76</v>
      </c>
      <c r="C607" s="6" t="s">
        <v>19</v>
      </c>
      <c r="D607" s="6" t="s">
        <v>20</v>
      </c>
      <c r="E607" s="6" t="s">
        <v>35</v>
      </c>
      <c r="F607" s="6" t="s">
        <v>29</v>
      </c>
      <c r="G607" s="6">
        <v>28</v>
      </c>
      <c r="H607" s="7">
        <v>1366.42</v>
      </c>
      <c r="I607" s="7">
        <v>38259.760000000002</v>
      </c>
      <c r="J607" s="8">
        <v>45491</v>
      </c>
      <c r="K607" s="6">
        <v>21</v>
      </c>
      <c r="L607" s="6" t="s">
        <v>23</v>
      </c>
      <c r="M607" s="6" t="b">
        <v>1</v>
      </c>
      <c r="N607" s="6">
        <v>17.91</v>
      </c>
      <c r="O607" s="6" t="s">
        <v>24</v>
      </c>
      <c r="P607" s="6" t="b">
        <v>0</v>
      </c>
      <c r="Q607" s="9" t="s">
        <v>36</v>
      </c>
    </row>
    <row r="608" spans="1:17" x14ac:dyDescent="0.25">
      <c r="A608" s="5" t="s">
        <v>658</v>
      </c>
      <c r="B608" s="6" t="s">
        <v>46</v>
      </c>
      <c r="C608" s="6" t="s">
        <v>19</v>
      </c>
      <c r="D608" s="6" t="s">
        <v>34</v>
      </c>
      <c r="E608" s="6" t="s">
        <v>28</v>
      </c>
      <c r="F608" s="6" t="s">
        <v>40</v>
      </c>
      <c r="G608" s="6">
        <v>66</v>
      </c>
      <c r="H608" s="7">
        <v>657.68</v>
      </c>
      <c r="I608" s="7">
        <v>43406.879999999997</v>
      </c>
      <c r="J608" s="8">
        <v>45537</v>
      </c>
      <c r="K608" s="6">
        <v>61</v>
      </c>
      <c r="L608" s="6" t="s">
        <v>49</v>
      </c>
      <c r="M608" s="6" t="b">
        <v>1</v>
      </c>
      <c r="N608" s="6">
        <v>14.67</v>
      </c>
      <c r="O608" s="6" t="s">
        <v>24</v>
      </c>
      <c r="P608" s="6" t="b">
        <v>1</v>
      </c>
      <c r="Q608" s="9" t="s">
        <v>25</v>
      </c>
    </row>
    <row r="609" spans="1:17" x14ac:dyDescent="0.25">
      <c r="A609" s="5" t="s">
        <v>659</v>
      </c>
      <c r="B609" s="6" t="s">
        <v>32</v>
      </c>
      <c r="C609" s="6" t="s">
        <v>19</v>
      </c>
      <c r="D609" s="6" t="s">
        <v>47</v>
      </c>
      <c r="E609" s="6" t="s">
        <v>35</v>
      </c>
      <c r="F609" s="6" t="s">
        <v>29</v>
      </c>
      <c r="G609" s="6">
        <v>10</v>
      </c>
      <c r="H609" s="7">
        <v>1185.81</v>
      </c>
      <c r="I609" s="7">
        <v>11858.1</v>
      </c>
      <c r="J609" s="8">
        <v>45173</v>
      </c>
      <c r="K609" s="6">
        <v>62</v>
      </c>
      <c r="L609" s="6" t="s">
        <v>23</v>
      </c>
      <c r="M609" s="6" t="b">
        <v>1</v>
      </c>
      <c r="N609" s="6">
        <v>19.97</v>
      </c>
      <c r="O609" s="6" t="s">
        <v>42</v>
      </c>
      <c r="P609" s="6" t="b">
        <v>0</v>
      </c>
      <c r="Q609" s="9" t="s">
        <v>36</v>
      </c>
    </row>
    <row r="610" spans="1:17" x14ac:dyDescent="0.25">
      <c r="A610" s="5" t="s">
        <v>660</v>
      </c>
      <c r="B610" s="6" t="s">
        <v>62</v>
      </c>
      <c r="C610" s="6" t="s">
        <v>39</v>
      </c>
      <c r="D610" s="6" t="s">
        <v>64</v>
      </c>
      <c r="E610" s="6" t="s">
        <v>28</v>
      </c>
      <c r="F610" s="6" t="s">
        <v>40</v>
      </c>
      <c r="G610" s="6">
        <v>86</v>
      </c>
      <c r="H610" s="7">
        <v>439.09</v>
      </c>
      <c r="I610" s="7">
        <v>37761.74</v>
      </c>
      <c r="J610" s="8">
        <v>44962</v>
      </c>
      <c r="K610" s="6">
        <v>49</v>
      </c>
      <c r="L610" s="6" t="s">
        <v>41</v>
      </c>
      <c r="M610" s="6" t="b">
        <v>0</v>
      </c>
      <c r="N610" s="6">
        <v>11.14</v>
      </c>
      <c r="O610" s="6" t="s">
        <v>24</v>
      </c>
      <c r="P610" s="6" t="b">
        <v>1</v>
      </c>
      <c r="Q610" s="9" t="s">
        <v>36</v>
      </c>
    </row>
    <row r="611" spans="1:17" x14ac:dyDescent="0.25">
      <c r="A611" s="5" t="s">
        <v>661</v>
      </c>
      <c r="B611" s="6" t="s">
        <v>32</v>
      </c>
      <c r="C611" s="6" t="s">
        <v>19</v>
      </c>
      <c r="D611" s="6" t="s">
        <v>47</v>
      </c>
      <c r="E611" s="6" t="s">
        <v>35</v>
      </c>
      <c r="F611" s="6" t="s">
        <v>22</v>
      </c>
      <c r="G611" s="6">
        <v>77</v>
      </c>
      <c r="H611" s="7">
        <v>1062.06</v>
      </c>
      <c r="I611" s="7">
        <v>81778.62</v>
      </c>
      <c r="J611" s="8">
        <v>45327</v>
      </c>
      <c r="K611" s="6">
        <v>21</v>
      </c>
      <c r="L611" s="6" t="s">
        <v>49</v>
      </c>
      <c r="M611" s="6" t="b">
        <v>1</v>
      </c>
      <c r="N611" s="6">
        <v>28.33</v>
      </c>
      <c r="O611" s="6" t="s">
        <v>42</v>
      </c>
      <c r="P611" s="6" t="b">
        <v>1</v>
      </c>
      <c r="Q611" s="9" t="s">
        <v>25</v>
      </c>
    </row>
    <row r="612" spans="1:17" x14ac:dyDescent="0.25">
      <c r="A612" s="5" t="s">
        <v>662</v>
      </c>
      <c r="B612" s="6" t="s">
        <v>38</v>
      </c>
      <c r="C612" s="6" t="s">
        <v>33</v>
      </c>
      <c r="D612" s="6" t="s">
        <v>47</v>
      </c>
      <c r="E612" s="6" t="s">
        <v>35</v>
      </c>
      <c r="F612" s="6" t="s">
        <v>40</v>
      </c>
      <c r="G612" s="6">
        <v>58</v>
      </c>
      <c r="H612" s="7">
        <v>52.29</v>
      </c>
      <c r="I612" s="7">
        <v>3032.82</v>
      </c>
      <c r="J612" s="8">
        <v>44954</v>
      </c>
      <c r="K612" s="6">
        <v>18</v>
      </c>
      <c r="L612" s="6" t="s">
        <v>49</v>
      </c>
      <c r="M612" s="6" t="b">
        <v>0</v>
      </c>
      <c r="N612" s="6">
        <v>21.16</v>
      </c>
      <c r="O612" s="6" t="s">
        <v>24</v>
      </c>
      <c r="P612" s="6" t="b">
        <v>1</v>
      </c>
      <c r="Q612" s="9" t="s">
        <v>25</v>
      </c>
    </row>
    <row r="613" spans="1:17" x14ac:dyDescent="0.25">
      <c r="A613" s="5" t="s">
        <v>663</v>
      </c>
      <c r="B613" s="6" t="s">
        <v>32</v>
      </c>
      <c r="C613" s="6" t="s">
        <v>33</v>
      </c>
      <c r="D613" s="6" t="s">
        <v>52</v>
      </c>
      <c r="E613" s="6" t="s">
        <v>35</v>
      </c>
      <c r="F613" s="6" t="s">
        <v>40</v>
      </c>
      <c r="G613" s="6">
        <v>73</v>
      </c>
      <c r="H613" s="7">
        <v>1313.69</v>
      </c>
      <c r="I613" s="7">
        <v>95899.37</v>
      </c>
      <c r="J613" s="8">
        <v>45146</v>
      </c>
      <c r="K613" s="6">
        <v>50</v>
      </c>
      <c r="L613" s="6" t="s">
        <v>49</v>
      </c>
      <c r="M613" s="6" t="b">
        <v>0</v>
      </c>
      <c r="N613" s="6">
        <v>22.63</v>
      </c>
      <c r="O613" s="6" t="s">
        <v>42</v>
      </c>
      <c r="P613" s="6" t="b">
        <v>1</v>
      </c>
      <c r="Q613" s="9" t="s">
        <v>25</v>
      </c>
    </row>
    <row r="614" spans="1:17" x14ac:dyDescent="0.25">
      <c r="A614" s="5" t="s">
        <v>664</v>
      </c>
      <c r="B614" s="6" t="s">
        <v>46</v>
      </c>
      <c r="C614" s="6" t="s">
        <v>19</v>
      </c>
      <c r="D614" s="6" t="s">
        <v>52</v>
      </c>
      <c r="E614" s="6" t="s">
        <v>21</v>
      </c>
      <c r="F614" s="6" t="s">
        <v>48</v>
      </c>
      <c r="G614" s="6">
        <v>97</v>
      </c>
      <c r="H614" s="7">
        <v>94.05</v>
      </c>
      <c r="I614" s="7">
        <v>9122.85</v>
      </c>
      <c r="J614" s="8">
        <v>45332</v>
      </c>
      <c r="K614" s="6">
        <v>24</v>
      </c>
      <c r="L614" s="6" t="s">
        <v>49</v>
      </c>
      <c r="M614" s="6" t="b">
        <v>0</v>
      </c>
      <c r="N614" s="6">
        <v>7.27</v>
      </c>
      <c r="O614" s="6" t="s">
        <v>24</v>
      </c>
      <c r="P614" s="6" t="b">
        <v>1</v>
      </c>
      <c r="Q614" s="9" t="s">
        <v>36</v>
      </c>
    </row>
    <row r="615" spans="1:17" x14ac:dyDescent="0.25">
      <c r="A615" s="5" t="s">
        <v>665</v>
      </c>
      <c r="B615" s="6" t="s">
        <v>27</v>
      </c>
      <c r="C615" s="6" t="s">
        <v>33</v>
      </c>
      <c r="D615" s="6" t="s">
        <v>52</v>
      </c>
      <c r="E615" s="6" t="s">
        <v>44</v>
      </c>
      <c r="F615" s="6" t="s">
        <v>22</v>
      </c>
      <c r="G615" s="6">
        <v>14</v>
      </c>
      <c r="H615" s="7">
        <v>1083.49</v>
      </c>
      <c r="I615" s="7">
        <v>15168.86</v>
      </c>
      <c r="J615" s="8">
        <v>45540</v>
      </c>
      <c r="K615" s="6">
        <v>26</v>
      </c>
      <c r="L615" s="6" t="s">
        <v>41</v>
      </c>
      <c r="M615" s="6" t="b">
        <v>0</v>
      </c>
      <c r="N615" s="6">
        <v>5.0599999999999996</v>
      </c>
      <c r="O615" s="6" t="s">
        <v>24</v>
      </c>
      <c r="P615" s="6" t="b">
        <v>0</v>
      </c>
      <c r="Q615" s="9" t="s">
        <v>36</v>
      </c>
    </row>
    <row r="616" spans="1:17" x14ac:dyDescent="0.25">
      <c r="A616" s="5" t="s">
        <v>666</v>
      </c>
      <c r="B616" s="6" t="s">
        <v>46</v>
      </c>
      <c r="C616" s="6" t="s">
        <v>33</v>
      </c>
      <c r="D616" s="6" t="s">
        <v>64</v>
      </c>
      <c r="E616" s="6" t="s">
        <v>35</v>
      </c>
      <c r="F616" s="6" t="s">
        <v>22</v>
      </c>
      <c r="G616" s="6">
        <v>84</v>
      </c>
      <c r="H616" s="7">
        <v>117.07</v>
      </c>
      <c r="I616" s="7">
        <v>9833.8799999999992</v>
      </c>
      <c r="J616" s="8">
        <v>45197</v>
      </c>
      <c r="K616" s="6">
        <v>18</v>
      </c>
      <c r="L616" s="6" t="s">
        <v>23</v>
      </c>
      <c r="M616" s="6" t="b">
        <v>1</v>
      </c>
      <c r="N616" s="6">
        <v>11.83</v>
      </c>
      <c r="O616" s="6" t="s">
        <v>30</v>
      </c>
      <c r="P616" s="6" t="b">
        <v>0</v>
      </c>
      <c r="Q616" s="9" t="s">
        <v>25</v>
      </c>
    </row>
    <row r="617" spans="1:17" x14ac:dyDescent="0.25">
      <c r="A617" s="5" t="s">
        <v>667</v>
      </c>
      <c r="B617" s="6" t="s">
        <v>32</v>
      </c>
      <c r="C617" s="6" t="s">
        <v>39</v>
      </c>
      <c r="D617" s="6" t="s">
        <v>47</v>
      </c>
      <c r="E617" s="6" t="s">
        <v>21</v>
      </c>
      <c r="F617" s="6" t="s">
        <v>22</v>
      </c>
      <c r="G617" s="6">
        <v>15</v>
      </c>
      <c r="H617" s="7">
        <v>436.06</v>
      </c>
      <c r="I617" s="7">
        <v>6540.9</v>
      </c>
      <c r="J617" s="8">
        <v>45577</v>
      </c>
      <c r="K617" s="6">
        <v>33</v>
      </c>
      <c r="L617" s="6" t="s">
        <v>23</v>
      </c>
      <c r="M617" s="6" t="b">
        <v>1</v>
      </c>
      <c r="N617" s="6">
        <v>23</v>
      </c>
      <c r="O617" s="6" t="s">
        <v>24</v>
      </c>
      <c r="P617" s="6" t="b">
        <v>1</v>
      </c>
      <c r="Q617" s="9" t="s">
        <v>36</v>
      </c>
    </row>
    <row r="618" spans="1:17" x14ac:dyDescent="0.25">
      <c r="A618" s="5" t="s">
        <v>668</v>
      </c>
      <c r="B618" s="6" t="s">
        <v>46</v>
      </c>
      <c r="C618" s="6" t="s">
        <v>19</v>
      </c>
      <c r="D618" s="6" t="s">
        <v>20</v>
      </c>
      <c r="E618" s="6" t="s">
        <v>44</v>
      </c>
      <c r="F618" s="6" t="s">
        <v>29</v>
      </c>
      <c r="G618" s="6">
        <v>96</v>
      </c>
      <c r="H618" s="7">
        <v>770.94</v>
      </c>
      <c r="I618" s="7">
        <v>74010.240000000005</v>
      </c>
      <c r="J618" s="8">
        <v>45437</v>
      </c>
      <c r="K618" s="6">
        <v>35</v>
      </c>
      <c r="L618" s="6" t="s">
        <v>41</v>
      </c>
      <c r="M618" s="6" t="b">
        <v>0</v>
      </c>
      <c r="N618" s="6">
        <v>28.16</v>
      </c>
      <c r="O618" s="6" t="s">
        <v>30</v>
      </c>
      <c r="P618" s="6" t="b">
        <v>0</v>
      </c>
      <c r="Q618" s="9" t="s">
        <v>25</v>
      </c>
    </row>
    <row r="619" spans="1:17" x14ac:dyDescent="0.25">
      <c r="A619" s="5" t="s">
        <v>669</v>
      </c>
      <c r="B619" s="6" t="s">
        <v>66</v>
      </c>
      <c r="C619" s="6" t="s">
        <v>19</v>
      </c>
      <c r="D619" s="6" t="s">
        <v>34</v>
      </c>
      <c r="E619" s="6" t="s">
        <v>44</v>
      </c>
      <c r="F619" s="6" t="s">
        <v>48</v>
      </c>
      <c r="G619" s="6">
        <v>33</v>
      </c>
      <c r="H619" s="7">
        <v>658.91</v>
      </c>
      <c r="I619" s="7">
        <v>21744.03</v>
      </c>
      <c r="J619" s="8">
        <v>45212</v>
      </c>
      <c r="K619" s="6">
        <v>64</v>
      </c>
      <c r="L619" s="6" t="s">
        <v>23</v>
      </c>
      <c r="M619" s="6" t="b">
        <v>1</v>
      </c>
      <c r="N619" s="6">
        <v>12.82</v>
      </c>
      <c r="O619" s="6" t="s">
        <v>24</v>
      </c>
      <c r="P619" s="6" t="b">
        <v>1</v>
      </c>
      <c r="Q619" s="9" t="s">
        <v>25</v>
      </c>
    </row>
    <row r="620" spans="1:17" x14ac:dyDescent="0.25">
      <c r="A620" s="5" t="s">
        <v>670</v>
      </c>
      <c r="B620" s="6" t="s">
        <v>38</v>
      </c>
      <c r="C620" s="6" t="s">
        <v>39</v>
      </c>
      <c r="D620" s="6" t="s">
        <v>52</v>
      </c>
      <c r="E620" s="6" t="s">
        <v>35</v>
      </c>
      <c r="F620" s="6" t="s">
        <v>22</v>
      </c>
      <c r="G620" s="6">
        <v>17</v>
      </c>
      <c r="H620" s="7">
        <v>328.16</v>
      </c>
      <c r="I620" s="7">
        <v>5578.72</v>
      </c>
      <c r="J620" s="8">
        <v>45380</v>
      </c>
      <c r="K620" s="6">
        <v>23</v>
      </c>
      <c r="L620" s="6" t="s">
        <v>49</v>
      </c>
      <c r="M620" s="6" t="b">
        <v>0</v>
      </c>
      <c r="N620" s="6">
        <v>23.22</v>
      </c>
      <c r="O620" s="6" t="s">
        <v>24</v>
      </c>
      <c r="P620" s="6" t="b">
        <v>0</v>
      </c>
      <c r="Q620" s="9" t="s">
        <v>25</v>
      </c>
    </row>
    <row r="621" spans="1:17" x14ac:dyDescent="0.25">
      <c r="A621" s="5" t="s">
        <v>671</v>
      </c>
      <c r="B621" s="6" t="s">
        <v>76</v>
      </c>
      <c r="C621" s="6" t="s">
        <v>33</v>
      </c>
      <c r="D621" s="6" t="s">
        <v>52</v>
      </c>
      <c r="E621" s="6" t="s">
        <v>28</v>
      </c>
      <c r="F621" s="6" t="s">
        <v>29</v>
      </c>
      <c r="G621" s="6">
        <v>24</v>
      </c>
      <c r="H621" s="7">
        <v>534.03</v>
      </c>
      <c r="I621" s="7">
        <v>12816.72</v>
      </c>
      <c r="J621" s="8">
        <v>45243</v>
      </c>
      <c r="K621" s="6">
        <v>19</v>
      </c>
      <c r="L621" s="6" t="s">
        <v>41</v>
      </c>
      <c r="M621" s="6" t="b">
        <v>0</v>
      </c>
      <c r="N621" s="6">
        <v>14.11</v>
      </c>
      <c r="O621" s="6" t="s">
        <v>30</v>
      </c>
      <c r="P621" s="6" t="b">
        <v>1</v>
      </c>
      <c r="Q621" s="9" t="s">
        <v>25</v>
      </c>
    </row>
    <row r="622" spans="1:17" x14ac:dyDescent="0.25">
      <c r="A622" s="5" t="s">
        <v>672</v>
      </c>
      <c r="B622" s="6" t="s">
        <v>27</v>
      </c>
      <c r="C622" s="6" t="s">
        <v>33</v>
      </c>
      <c r="D622" s="6" t="s">
        <v>47</v>
      </c>
      <c r="E622" s="6" t="s">
        <v>28</v>
      </c>
      <c r="F622" s="6" t="s">
        <v>29</v>
      </c>
      <c r="G622" s="6">
        <v>30</v>
      </c>
      <c r="H622" s="7">
        <v>1105.17</v>
      </c>
      <c r="I622" s="7">
        <v>33155.1</v>
      </c>
      <c r="J622" s="8">
        <v>45516</v>
      </c>
      <c r="K622" s="6">
        <v>26</v>
      </c>
      <c r="L622" s="6" t="s">
        <v>23</v>
      </c>
      <c r="M622" s="6" t="b">
        <v>1</v>
      </c>
      <c r="N622" s="6">
        <v>8.86</v>
      </c>
      <c r="O622" s="6" t="s">
        <v>30</v>
      </c>
      <c r="P622" s="6" t="b">
        <v>0</v>
      </c>
      <c r="Q622" s="9" t="s">
        <v>36</v>
      </c>
    </row>
    <row r="623" spans="1:17" x14ac:dyDescent="0.25">
      <c r="A623" s="5" t="s">
        <v>673</v>
      </c>
      <c r="B623" s="6" t="s">
        <v>62</v>
      </c>
      <c r="C623" s="6" t="s">
        <v>19</v>
      </c>
      <c r="D623" s="6" t="s">
        <v>47</v>
      </c>
      <c r="E623" s="6" t="s">
        <v>28</v>
      </c>
      <c r="F623" s="6" t="s">
        <v>29</v>
      </c>
      <c r="G623" s="6">
        <v>62</v>
      </c>
      <c r="H623" s="7">
        <v>1020.42</v>
      </c>
      <c r="I623" s="7">
        <v>63266.04</v>
      </c>
      <c r="J623" s="8">
        <v>45223</v>
      </c>
      <c r="K623" s="6">
        <v>21</v>
      </c>
      <c r="L623" s="6" t="s">
        <v>41</v>
      </c>
      <c r="M623" s="6" t="b">
        <v>1</v>
      </c>
      <c r="N623" s="6">
        <v>22.18</v>
      </c>
      <c r="O623" s="6" t="s">
        <v>42</v>
      </c>
      <c r="P623" s="6" t="b">
        <v>1</v>
      </c>
      <c r="Q623" s="9" t="s">
        <v>25</v>
      </c>
    </row>
    <row r="624" spans="1:17" x14ac:dyDescent="0.25">
      <c r="A624" s="5" t="s">
        <v>674</v>
      </c>
      <c r="B624" s="6" t="s">
        <v>72</v>
      </c>
      <c r="C624" s="6" t="s">
        <v>33</v>
      </c>
      <c r="D624" s="6" t="s">
        <v>64</v>
      </c>
      <c r="E624" s="6" t="s">
        <v>35</v>
      </c>
      <c r="F624" s="6" t="s">
        <v>48</v>
      </c>
      <c r="G624" s="6">
        <v>13</v>
      </c>
      <c r="H624" s="7">
        <v>154.13</v>
      </c>
      <c r="I624" s="7">
        <v>2003.69</v>
      </c>
      <c r="J624" s="8">
        <v>45264</v>
      </c>
      <c r="K624" s="6">
        <v>62</v>
      </c>
      <c r="L624" s="6" t="s">
        <v>41</v>
      </c>
      <c r="M624" s="6" t="b">
        <v>0</v>
      </c>
      <c r="N624" s="6">
        <v>23.95</v>
      </c>
      <c r="O624" s="6" t="s">
        <v>56</v>
      </c>
      <c r="P624" s="6" t="b">
        <v>0</v>
      </c>
      <c r="Q624" s="9" t="s">
        <v>36</v>
      </c>
    </row>
    <row r="625" spans="1:17" x14ac:dyDescent="0.25">
      <c r="A625" s="5" t="s">
        <v>675</v>
      </c>
      <c r="B625" s="6" t="s">
        <v>76</v>
      </c>
      <c r="C625" s="6" t="s">
        <v>39</v>
      </c>
      <c r="D625" s="6" t="s">
        <v>64</v>
      </c>
      <c r="E625" s="6" t="s">
        <v>28</v>
      </c>
      <c r="F625" s="6" t="s">
        <v>29</v>
      </c>
      <c r="G625" s="6">
        <v>62</v>
      </c>
      <c r="H625" s="7">
        <v>1133.6099999999999</v>
      </c>
      <c r="I625" s="7">
        <v>70283.820000000007</v>
      </c>
      <c r="J625" s="8">
        <v>45233</v>
      </c>
      <c r="K625" s="6">
        <v>40</v>
      </c>
      <c r="L625" s="6" t="s">
        <v>23</v>
      </c>
      <c r="M625" s="6" t="b">
        <v>1</v>
      </c>
      <c r="N625" s="6">
        <v>6.09</v>
      </c>
      <c r="O625" s="6" t="s">
        <v>30</v>
      </c>
      <c r="P625" s="6" t="b">
        <v>1</v>
      </c>
      <c r="Q625" s="9" t="s">
        <v>36</v>
      </c>
    </row>
    <row r="626" spans="1:17" x14ac:dyDescent="0.25">
      <c r="A626" s="5" t="s">
        <v>676</v>
      </c>
      <c r="B626" s="6" t="s">
        <v>72</v>
      </c>
      <c r="C626" s="6" t="s">
        <v>39</v>
      </c>
      <c r="D626" s="6" t="s">
        <v>52</v>
      </c>
      <c r="E626" s="6" t="s">
        <v>21</v>
      </c>
      <c r="F626" s="6" t="s">
        <v>48</v>
      </c>
      <c r="G626" s="6">
        <v>47</v>
      </c>
      <c r="H626" s="7">
        <v>126.92</v>
      </c>
      <c r="I626" s="7">
        <v>5965.24</v>
      </c>
      <c r="J626" s="8">
        <v>45354</v>
      </c>
      <c r="K626" s="6">
        <v>60</v>
      </c>
      <c r="L626" s="6" t="s">
        <v>23</v>
      </c>
      <c r="M626" s="6" t="b">
        <v>0</v>
      </c>
      <c r="N626" s="6">
        <v>9.16</v>
      </c>
      <c r="O626" s="6" t="s">
        <v>42</v>
      </c>
      <c r="P626" s="6" t="b">
        <v>1</v>
      </c>
      <c r="Q626" s="9" t="s">
        <v>36</v>
      </c>
    </row>
    <row r="627" spans="1:17" x14ac:dyDescent="0.25">
      <c r="A627" s="5" t="s">
        <v>677</v>
      </c>
      <c r="B627" s="6" t="s">
        <v>38</v>
      </c>
      <c r="C627" s="6" t="s">
        <v>19</v>
      </c>
      <c r="D627" s="6" t="s">
        <v>47</v>
      </c>
      <c r="E627" s="6" t="s">
        <v>21</v>
      </c>
      <c r="F627" s="6" t="s">
        <v>40</v>
      </c>
      <c r="G627" s="6">
        <v>16</v>
      </c>
      <c r="H627" s="7">
        <v>837.24</v>
      </c>
      <c r="I627" s="7">
        <v>13395.84</v>
      </c>
      <c r="J627" s="8">
        <v>45277</v>
      </c>
      <c r="K627" s="6">
        <v>62</v>
      </c>
      <c r="L627" s="6" t="s">
        <v>41</v>
      </c>
      <c r="M627" s="6" t="b">
        <v>1</v>
      </c>
      <c r="N627" s="6">
        <v>14.84</v>
      </c>
      <c r="O627" s="6" t="s">
        <v>24</v>
      </c>
      <c r="P627" s="6" t="b">
        <v>0</v>
      </c>
      <c r="Q627" s="9" t="s">
        <v>36</v>
      </c>
    </row>
    <row r="628" spans="1:17" x14ac:dyDescent="0.25">
      <c r="A628" s="5" t="s">
        <v>678</v>
      </c>
      <c r="B628" s="6" t="s">
        <v>27</v>
      </c>
      <c r="C628" s="6" t="s">
        <v>39</v>
      </c>
      <c r="D628" s="6" t="s">
        <v>20</v>
      </c>
      <c r="E628" s="6" t="s">
        <v>21</v>
      </c>
      <c r="F628" s="6" t="s">
        <v>29</v>
      </c>
      <c r="G628" s="6">
        <v>66</v>
      </c>
      <c r="H628" s="7">
        <v>427.09</v>
      </c>
      <c r="I628" s="7">
        <v>28187.94</v>
      </c>
      <c r="J628" s="8">
        <v>45437</v>
      </c>
      <c r="K628" s="6">
        <v>60</v>
      </c>
      <c r="L628" s="6" t="s">
        <v>41</v>
      </c>
      <c r="M628" s="6" t="b">
        <v>0</v>
      </c>
      <c r="N628" s="6">
        <v>5.6</v>
      </c>
      <c r="O628" s="6" t="s">
        <v>30</v>
      </c>
      <c r="P628" s="6" t="b">
        <v>1</v>
      </c>
      <c r="Q628" s="9" t="s">
        <v>36</v>
      </c>
    </row>
    <row r="629" spans="1:17" x14ac:dyDescent="0.25">
      <c r="A629" s="5" t="s">
        <v>679</v>
      </c>
      <c r="B629" s="6" t="s">
        <v>51</v>
      </c>
      <c r="C629" s="6" t="s">
        <v>39</v>
      </c>
      <c r="D629" s="6" t="s">
        <v>34</v>
      </c>
      <c r="E629" s="6" t="s">
        <v>21</v>
      </c>
      <c r="F629" s="6" t="s">
        <v>22</v>
      </c>
      <c r="G629" s="6">
        <v>81</v>
      </c>
      <c r="H629" s="7">
        <v>902.15</v>
      </c>
      <c r="I629" s="7">
        <v>73074.149999999994</v>
      </c>
      <c r="J629" s="8">
        <v>45451</v>
      </c>
      <c r="K629" s="6">
        <v>68</v>
      </c>
      <c r="L629" s="6" t="s">
        <v>23</v>
      </c>
      <c r="M629" s="6" t="b">
        <v>0</v>
      </c>
      <c r="N629" s="6">
        <v>27.87</v>
      </c>
      <c r="O629" s="6" t="s">
        <v>30</v>
      </c>
      <c r="P629" s="6" t="b">
        <v>1</v>
      </c>
      <c r="Q629" s="9" t="s">
        <v>36</v>
      </c>
    </row>
    <row r="630" spans="1:17" x14ac:dyDescent="0.25">
      <c r="A630" s="5" t="s">
        <v>680</v>
      </c>
      <c r="B630" s="6" t="s">
        <v>62</v>
      </c>
      <c r="C630" s="6" t="s">
        <v>19</v>
      </c>
      <c r="D630" s="6" t="s">
        <v>47</v>
      </c>
      <c r="E630" s="6" t="s">
        <v>44</v>
      </c>
      <c r="F630" s="6" t="s">
        <v>29</v>
      </c>
      <c r="G630" s="6">
        <v>96</v>
      </c>
      <c r="H630" s="7">
        <v>428.93</v>
      </c>
      <c r="I630" s="7">
        <v>41177.279999999999</v>
      </c>
      <c r="J630" s="8">
        <v>45418</v>
      </c>
      <c r="K630" s="6">
        <v>25</v>
      </c>
      <c r="L630" s="6" t="s">
        <v>41</v>
      </c>
      <c r="M630" s="6" t="b">
        <v>1</v>
      </c>
      <c r="N630" s="6">
        <v>17.739999999999998</v>
      </c>
      <c r="O630" s="6" t="s">
        <v>24</v>
      </c>
      <c r="P630" s="6" t="b">
        <v>0</v>
      </c>
      <c r="Q630" s="9" t="s">
        <v>25</v>
      </c>
    </row>
    <row r="631" spans="1:17" x14ac:dyDescent="0.25">
      <c r="A631" s="5" t="s">
        <v>681</v>
      </c>
      <c r="B631" s="6" t="s">
        <v>66</v>
      </c>
      <c r="C631" s="6" t="s">
        <v>39</v>
      </c>
      <c r="D631" s="6" t="s">
        <v>47</v>
      </c>
      <c r="E631" s="6" t="s">
        <v>21</v>
      </c>
      <c r="F631" s="6" t="s">
        <v>40</v>
      </c>
      <c r="G631" s="6">
        <v>43</v>
      </c>
      <c r="H631" s="7">
        <v>1478.19</v>
      </c>
      <c r="I631" s="7">
        <v>63562.17</v>
      </c>
      <c r="J631" s="8">
        <v>45520</v>
      </c>
      <c r="K631" s="6">
        <v>56</v>
      </c>
      <c r="L631" s="6" t="s">
        <v>23</v>
      </c>
      <c r="M631" s="6" t="b">
        <v>1</v>
      </c>
      <c r="N631" s="6">
        <v>3.64</v>
      </c>
      <c r="O631" s="6" t="s">
        <v>24</v>
      </c>
      <c r="P631" s="6" t="b">
        <v>0</v>
      </c>
      <c r="Q631" s="9" t="s">
        <v>36</v>
      </c>
    </row>
    <row r="632" spans="1:17" x14ac:dyDescent="0.25">
      <c r="A632" s="5" t="s">
        <v>682</v>
      </c>
      <c r="B632" s="6" t="s">
        <v>51</v>
      </c>
      <c r="C632" s="6" t="s">
        <v>39</v>
      </c>
      <c r="D632" s="6" t="s">
        <v>64</v>
      </c>
      <c r="E632" s="6" t="s">
        <v>28</v>
      </c>
      <c r="F632" s="6" t="s">
        <v>40</v>
      </c>
      <c r="G632" s="6">
        <v>8</v>
      </c>
      <c r="H632" s="7">
        <v>499.11</v>
      </c>
      <c r="I632" s="7">
        <v>3992.88</v>
      </c>
      <c r="J632" s="8">
        <v>44935</v>
      </c>
      <c r="K632" s="6">
        <v>42</v>
      </c>
      <c r="L632" s="6" t="s">
        <v>41</v>
      </c>
      <c r="M632" s="6" t="b">
        <v>0</v>
      </c>
      <c r="N632" s="6">
        <v>5.52</v>
      </c>
      <c r="O632" s="6" t="s">
        <v>24</v>
      </c>
      <c r="P632" s="6" t="b">
        <v>1</v>
      </c>
      <c r="Q632" s="9" t="s">
        <v>25</v>
      </c>
    </row>
    <row r="633" spans="1:17" x14ac:dyDescent="0.25">
      <c r="A633" s="5" t="s">
        <v>683</v>
      </c>
      <c r="B633" s="6" t="s">
        <v>38</v>
      </c>
      <c r="C633" s="6" t="s">
        <v>39</v>
      </c>
      <c r="D633" s="6" t="s">
        <v>34</v>
      </c>
      <c r="E633" s="6" t="s">
        <v>35</v>
      </c>
      <c r="F633" s="6" t="s">
        <v>29</v>
      </c>
      <c r="G633" s="6">
        <v>3</v>
      </c>
      <c r="H633" s="7">
        <v>400.84</v>
      </c>
      <c r="I633" s="7">
        <v>1202.52</v>
      </c>
      <c r="J633" s="8">
        <v>45423</v>
      </c>
      <c r="K633" s="6">
        <v>33</v>
      </c>
      <c r="L633" s="6" t="s">
        <v>41</v>
      </c>
      <c r="M633" s="6" t="b">
        <v>1</v>
      </c>
      <c r="N633" s="6">
        <v>28.63</v>
      </c>
      <c r="O633" s="6" t="s">
        <v>24</v>
      </c>
      <c r="P633" s="6" t="b">
        <v>1</v>
      </c>
      <c r="Q633" s="9" t="s">
        <v>36</v>
      </c>
    </row>
    <row r="634" spans="1:17" x14ac:dyDescent="0.25">
      <c r="A634" s="5" t="s">
        <v>684</v>
      </c>
      <c r="B634" s="6" t="s">
        <v>76</v>
      </c>
      <c r="C634" s="6" t="s">
        <v>33</v>
      </c>
      <c r="D634" s="6" t="s">
        <v>52</v>
      </c>
      <c r="E634" s="6" t="s">
        <v>28</v>
      </c>
      <c r="F634" s="6" t="s">
        <v>40</v>
      </c>
      <c r="G634" s="6">
        <v>12</v>
      </c>
      <c r="H634" s="7">
        <v>453.77</v>
      </c>
      <c r="I634" s="7">
        <v>5445.24</v>
      </c>
      <c r="J634" s="8">
        <v>45486</v>
      </c>
      <c r="K634" s="6">
        <v>52</v>
      </c>
      <c r="L634" s="6" t="s">
        <v>41</v>
      </c>
      <c r="M634" s="6" t="b">
        <v>1</v>
      </c>
      <c r="N634" s="6">
        <v>22.15</v>
      </c>
      <c r="O634" s="6" t="s">
        <v>56</v>
      </c>
      <c r="P634" s="6" t="b">
        <v>1</v>
      </c>
      <c r="Q634" s="9" t="s">
        <v>25</v>
      </c>
    </row>
    <row r="635" spans="1:17" x14ac:dyDescent="0.25">
      <c r="A635" s="5" t="s">
        <v>685</v>
      </c>
      <c r="B635" s="6" t="s">
        <v>66</v>
      </c>
      <c r="C635" s="6" t="s">
        <v>19</v>
      </c>
      <c r="D635" s="6" t="s">
        <v>47</v>
      </c>
      <c r="E635" s="6" t="s">
        <v>21</v>
      </c>
      <c r="F635" s="6" t="s">
        <v>48</v>
      </c>
      <c r="G635" s="6">
        <v>84</v>
      </c>
      <c r="H635" s="7">
        <v>1349.89</v>
      </c>
      <c r="I635" s="7">
        <v>113390.76</v>
      </c>
      <c r="J635" s="8">
        <v>45487</v>
      </c>
      <c r="K635" s="6">
        <v>34</v>
      </c>
      <c r="L635" s="6" t="s">
        <v>23</v>
      </c>
      <c r="M635" s="6" t="b">
        <v>0</v>
      </c>
      <c r="N635" s="6">
        <v>22.03</v>
      </c>
      <c r="O635" s="6" t="s">
        <v>30</v>
      </c>
      <c r="P635" s="6" t="b">
        <v>1</v>
      </c>
      <c r="Q635" s="9" t="s">
        <v>25</v>
      </c>
    </row>
    <row r="636" spans="1:17" x14ac:dyDescent="0.25">
      <c r="A636" s="5" t="s">
        <v>686</v>
      </c>
      <c r="B636" s="6" t="s">
        <v>46</v>
      </c>
      <c r="C636" s="6" t="s">
        <v>19</v>
      </c>
      <c r="D636" s="6" t="s">
        <v>52</v>
      </c>
      <c r="E636" s="6" t="s">
        <v>44</v>
      </c>
      <c r="F636" s="6" t="s">
        <v>48</v>
      </c>
      <c r="G636" s="6">
        <v>16</v>
      </c>
      <c r="H636" s="7">
        <v>972.52</v>
      </c>
      <c r="I636" s="7">
        <v>15560.32</v>
      </c>
      <c r="J636" s="8">
        <v>45366</v>
      </c>
      <c r="K636" s="6">
        <v>35</v>
      </c>
      <c r="L636" s="6" t="s">
        <v>49</v>
      </c>
      <c r="M636" s="6" t="b">
        <v>0</v>
      </c>
      <c r="N636" s="6">
        <v>2.17</v>
      </c>
      <c r="O636" s="6" t="s">
        <v>24</v>
      </c>
      <c r="P636" s="6" t="b">
        <v>0</v>
      </c>
      <c r="Q636" s="9" t="s">
        <v>36</v>
      </c>
    </row>
    <row r="637" spans="1:17" x14ac:dyDescent="0.25">
      <c r="A637" s="5" t="s">
        <v>687</v>
      </c>
      <c r="B637" s="6" t="s">
        <v>32</v>
      </c>
      <c r="C637" s="6" t="s">
        <v>19</v>
      </c>
      <c r="D637" s="6" t="s">
        <v>47</v>
      </c>
      <c r="E637" s="6" t="s">
        <v>21</v>
      </c>
      <c r="F637" s="6" t="s">
        <v>29</v>
      </c>
      <c r="G637" s="6">
        <v>78</v>
      </c>
      <c r="H637" s="7">
        <v>1109.49</v>
      </c>
      <c r="I637" s="7">
        <v>86540.22</v>
      </c>
      <c r="J637" s="8">
        <v>45478</v>
      </c>
      <c r="K637" s="6">
        <v>44</v>
      </c>
      <c r="L637" s="6" t="s">
        <v>23</v>
      </c>
      <c r="M637" s="6" t="b">
        <v>1</v>
      </c>
      <c r="N637" s="6">
        <v>26.86</v>
      </c>
      <c r="O637" s="6" t="s">
        <v>24</v>
      </c>
      <c r="P637" s="6" t="b">
        <v>1</v>
      </c>
      <c r="Q637" s="9" t="s">
        <v>25</v>
      </c>
    </row>
    <row r="638" spans="1:17" x14ac:dyDescent="0.25">
      <c r="A638" s="5" t="s">
        <v>688</v>
      </c>
      <c r="B638" s="6" t="s">
        <v>66</v>
      </c>
      <c r="C638" s="6" t="s">
        <v>33</v>
      </c>
      <c r="D638" s="6" t="s">
        <v>52</v>
      </c>
      <c r="E638" s="6" t="s">
        <v>35</v>
      </c>
      <c r="F638" s="6" t="s">
        <v>48</v>
      </c>
      <c r="G638" s="6">
        <v>80</v>
      </c>
      <c r="H638" s="7">
        <v>1381.12</v>
      </c>
      <c r="I638" s="7">
        <v>110489.60000000001</v>
      </c>
      <c r="J638" s="8">
        <v>45034</v>
      </c>
      <c r="K638" s="6">
        <v>32</v>
      </c>
      <c r="L638" s="6" t="s">
        <v>41</v>
      </c>
      <c r="M638" s="6" t="b">
        <v>1</v>
      </c>
      <c r="N638" s="6">
        <v>13.31</v>
      </c>
      <c r="O638" s="6" t="s">
        <v>56</v>
      </c>
      <c r="P638" s="6" t="b">
        <v>1</v>
      </c>
      <c r="Q638" s="9" t="s">
        <v>25</v>
      </c>
    </row>
    <row r="639" spans="1:17" x14ac:dyDescent="0.25">
      <c r="A639" s="5" t="s">
        <v>689</v>
      </c>
      <c r="B639" s="6" t="s">
        <v>38</v>
      </c>
      <c r="C639" s="6" t="s">
        <v>33</v>
      </c>
      <c r="D639" s="6" t="s">
        <v>34</v>
      </c>
      <c r="E639" s="6" t="s">
        <v>28</v>
      </c>
      <c r="F639" s="6" t="s">
        <v>48</v>
      </c>
      <c r="G639" s="6">
        <v>59</v>
      </c>
      <c r="H639" s="7">
        <v>1372.22</v>
      </c>
      <c r="I639" s="7">
        <v>80960.98</v>
      </c>
      <c r="J639" s="8">
        <v>45171</v>
      </c>
      <c r="K639" s="6">
        <v>34</v>
      </c>
      <c r="L639" s="6" t="s">
        <v>49</v>
      </c>
      <c r="M639" s="6" t="b">
        <v>0</v>
      </c>
      <c r="N639" s="6">
        <v>19.79</v>
      </c>
      <c r="O639" s="6" t="s">
        <v>30</v>
      </c>
      <c r="P639" s="6" t="b">
        <v>0</v>
      </c>
      <c r="Q639" s="9" t="s">
        <v>36</v>
      </c>
    </row>
    <row r="640" spans="1:17" x14ac:dyDescent="0.25">
      <c r="A640" s="5" t="s">
        <v>690</v>
      </c>
      <c r="B640" s="6" t="s">
        <v>18</v>
      </c>
      <c r="C640" s="6" t="s">
        <v>19</v>
      </c>
      <c r="D640" s="6" t="s">
        <v>64</v>
      </c>
      <c r="E640" s="6" t="s">
        <v>35</v>
      </c>
      <c r="F640" s="6" t="s">
        <v>22</v>
      </c>
      <c r="G640" s="6">
        <v>49</v>
      </c>
      <c r="H640" s="7">
        <v>1121.47</v>
      </c>
      <c r="I640" s="7">
        <v>54952.03</v>
      </c>
      <c r="J640" s="8">
        <v>45181</v>
      </c>
      <c r="K640" s="6">
        <v>60</v>
      </c>
      <c r="L640" s="6" t="s">
        <v>49</v>
      </c>
      <c r="M640" s="6" t="b">
        <v>0</v>
      </c>
      <c r="N640" s="6">
        <v>28.79</v>
      </c>
      <c r="O640" s="6" t="s">
        <v>42</v>
      </c>
      <c r="P640" s="6" t="b">
        <v>0</v>
      </c>
      <c r="Q640" s="9" t="s">
        <v>36</v>
      </c>
    </row>
    <row r="641" spans="1:17" x14ac:dyDescent="0.25">
      <c r="A641" s="5" t="s">
        <v>691</v>
      </c>
      <c r="B641" s="6" t="s">
        <v>32</v>
      </c>
      <c r="C641" s="6" t="s">
        <v>33</v>
      </c>
      <c r="D641" s="6" t="s">
        <v>34</v>
      </c>
      <c r="E641" s="6" t="s">
        <v>35</v>
      </c>
      <c r="F641" s="6" t="s">
        <v>29</v>
      </c>
      <c r="G641" s="6">
        <v>63</v>
      </c>
      <c r="H641" s="7">
        <v>336.85</v>
      </c>
      <c r="I641" s="7">
        <v>21221.55</v>
      </c>
      <c r="J641" s="8">
        <v>44959</v>
      </c>
      <c r="K641" s="6">
        <v>22</v>
      </c>
      <c r="L641" s="6" t="s">
        <v>41</v>
      </c>
      <c r="M641" s="6" t="b">
        <v>0</v>
      </c>
      <c r="N641" s="6">
        <v>3</v>
      </c>
      <c r="O641" s="6" t="s">
        <v>30</v>
      </c>
      <c r="P641" s="6" t="b">
        <v>1</v>
      </c>
      <c r="Q641" s="9" t="s">
        <v>36</v>
      </c>
    </row>
    <row r="642" spans="1:17" x14ac:dyDescent="0.25">
      <c r="A642" s="5" t="s">
        <v>692</v>
      </c>
      <c r="B642" s="6" t="s">
        <v>72</v>
      </c>
      <c r="C642" s="6" t="s">
        <v>19</v>
      </c>
      <c r="D642" s="6" t="s">
        <v>20</v>
      </c>
      <c r="E642" s="6" t="s">
        <v>35</v>
      </c>
      <c r="F642" s="6" t="s">
        <v>40</v>
      </c>
      <c r="G642" s="6">
        <v>62</v>
      </c>
      <c r="H642" s="7">
        <v>1272.8900000000001</v>
      </c>
      <c r="I642" s="7">
        <v>78919.179999999993</v>
      </c>
      <c r="J642" s="8">
        <v>44949</v>
      </c>
      <c r="K642" s="6">
        <v>33</v>
      </c>
      <c r="L642" s="6" t="s">
        <v>23</v>
      </c>
      <c r="M642" s="6" t="b">
        <v>0</v>
      </c>
      <c r="N642" s="6">
        <v>14.47</v>
      </c>
      <c r="O642" s="6" t="s">
        <v>42</v>
      </c>
      <c r="P642" s="6" t="b">
        <v>0</v>
      </c>
      <c r="Q642" s="9" t="s">
        <v>36</v>
      </c>
    </row>
    <row r="643" spans="1:17" x14ac:dyDescent="0.25">
      <c r="A643" s="5" t="s">
        <v>693</v>
      </c>
      <c r="B643" s="6" t="s">
        <v>62</v>
      </c>
      <c r="C643" s="6" t="s">
        <v>33</v>
      </c>
      <c r="D643" s="6" t="s">
        <v>64</v>
      </c>
      <c r="E643" s="6" t="s">
        <v>28</v>
      </c>
      <c r="F643" s="6" t="s">
        <v>29</v>
      </c>
      <c r="G643" s="6">
        <v>49</v>
      </c>
      <c r="H643" s="7">
        <v>345.48</v>
      </c>
      <c r="I643" s="7">
        <v>16928.52</v>
      </c>
      <c r="J643" s="8">
        <v>45492</v>
      </c>
      <c r="K643" s="6">
        <v>32</v>
      </c>
      <c r="L643" s="6" t="s">
        <v>49</v>
      </c>
      <c r="M643" s="6" t="b">
        <v>0</v>
      </c>
      <c r="N643" s="6">
        <v>1.49</v>
      </c>
      <c r="O643" s="6" t="s">
        <v>56</v>
      </c>
      <c r="P643" s="6" t="b">
        <v>0</v>
      </c>
      <c r="Q643" s="9" t="s">
        <v>36</v>
      </c>
    </row>
    <row r="644" spans="1:17" x14ac:dyDescent="0.25">
      <c r="A644" s="5" t="s">
        <v>694</v>
      </c>
      <c r="B644" s="6" t="s">
        <v>72</v>
      </c>
      <c r="C644" s="6" t="s">
        <v>39</v>
      </c>
      <c r="D644" s="6" t="s">
        <v>34</v>
      </c>
      <c r="E644" s="6" t="s">
        <v>21</v>
      </c>
      <c r="F644" s="6" t="s">
        <v>48</v>
      </c>
      <c r="G644" s="6">
        <v>51</v>
      </c>
      <c r="H644" s="7">
        <v>1127.2</v>
      </c>
      <c r="I644" s="7">
        <v>57487.199999999997</v>
      </c>
      <c r="J644" s="8">
        <v>44975</v>
      </c>
      <c r="K644" s="6">
        <v>59</v>
      </c>
      <c r="L644" s="6" t="s">
        <v>49</v>
      </c>
      <c r="M644" s="6" t="b">
        <v>0</v>
      </c>
      <c r="N644" s="6">
        <v>14.99</v>
      </c>
      <c r="O644" s="6" t="s">
        <v>24</v>
      </c>
      <c r="P644" s="6" t="b">
        <v>0</v>
      </c>
      <c r="Q644" s="9" t="s">
        <v>36</v>
      </c>
    </row>
    <row r="645" spans="1:17" x14ac:dyDescent="0.25">
      <c r="A645" s="5" t="s">
        <v>695</v>
      </c>
      <c r="B645" s="6" t="s">
        <v>66</v>
      </c>
      <c r="C645" s="6" t="s">
        <v>39</v>
      </c>
      <c r="D645" s="6" t="s">
        <v>20</v>
      </c>
      <c r="E645" s="6" t="s">
        <v>35</v>
      </c>
      <c r="F645" s="6" t="s">
        <v>22</v>
      </c>
      <c r="G645" s="6">
        <v>33</v>
      </c>
      <c r="H645" s="7">
        <v>1044.1199999999999</v>
      </c>
      <c r="I645" s="7">
        <v>34455.96</v>
      </c>
      <c r="J645" s="8">
        <v>45388</v>
      </c>
      <c r="K645" s="6">
        <v>63</v>
      </c>
      <c r="L645" s="6" t="s">
        <v>23</v>
      </c>
      <c r="M645" s="6" t="b">
        <v>0</v>
      </c>
      <c r="N645" s="6">
        <v>7.57</v>
      </c>
      <c r="O645" s="6" t="s">
        <v>56</v>
      </c>
      <c r="P645" s="6" t="b">
        <v>1</v>
      </c>
      <c r="Q645" s="9" t="s">
        <v>36</v>
      </c>
    </row>
    <row r="646" spans="1:17" x14ac:dyDescent="0.25">
      <c r="A646" s="5" t="s">
        <v>696</v>
      </c>
      <c r="B646" s="6" t="s">
        <v>72</v>
      </c>
      <c r="C646" s="6" t="s">
        <v>19</v>
      </c>
      <c r="D646" s="6" t="s">
        <v>47</v>
      </c>
      <c r="E646" s="6" t="s">
        <v>28</v>
      </c>
      <c r="F646" s="6" t="s">
        <v>29</v>
      </c>
      <c r="G646" s="6">
        <v>30</v>
      </c>
      <c r="H646" s="7">
        <v>1150.3900000000001</v>
      </c>
      <c r="I646" s="7">
        <v>34511.699999999997</v>
      </c>
      <c r="J646" s="8">
        <v>45516</v>
      </c>
      <c r="K646" s="6">
        <v>51</v>
      </c>
      <c r="L646" s="6" t="s">
        <v>23</v>
      </c>
      <c r="M646" s="6" t="b">
        <v>0</v>
      </c>
      <c r="N646" s="6">
        <v>27.33</v>
      </c>
      <c r="O646" s="6" t="s">
        <v>30</v>
      </c>
      <c r="P646" s="6" t="b">
        <v>1</v>
      </c>
      <c r="Q646" s="9" t="s">
        <v>36</v>
      </c>
    </row>
    <row r="647" spans="1:17" x14ac:dyDescent="0.25">
      <c r="A647" s="5" t="s">
        <v>697</v>
      </c>
      <c r="B647" s="6" t="s">
        <v>38</v>
      </c>
      <c r="C647" s="6" t="s">
        <v>33</v>
      </c>
      <c r="D647" s="6" t="s">
        <v>47</v>
      </c>
      <c r="E647" s="6" t="s">
        <v>44</v>
      </c>
      <c r="F647" s="6" t="s">
        <v>29</v>
      </c>
      <c r="G647" s="6">
        <v>59</v>
      </c>
      <c r="H647" s="7">
        <v>822.39</v>
      </c>
      <c r="I647" s="7">
        <v>48521.01</v>
      </c>
      <c r="J647" s="8">
        <v>45262</v>
      </c>
      <c r="K647" s="6">
        <v>65</v>
      </c>
      <c r="L647" s="6" t="s">
        <v>49</v>
      </c>
      <c r="M647" s="6" t="b">
        <v>1</v>
      </c>
      <c r="N647" s="6">
        <v>11.95</v>
      </c>
      <c r="O647" s="6" t="s">
        <v>24</v>
      </c>
      <c r="P647" s="6" t="b">
        <v>1</v>
      </c>
      <c r="Q647" s="9" t="s">
        <v>25</v>
      </c>
    </row>
    <row r="648" spans="1:17" x14ac:dyDescent="0.25">
      <c r="A648" s="5" t="s">
        <v>698</v>
      </c>
      <c r="B648" s="6" t="s">
        <v>46</v>
      </c>
      <c r="C648" s="6" t="s">
        <v>33</v>
      </c>
      <c r="D648" s="6" t="s">
        <v>52</v>
      </c>
      <c r="E648" s="6" t="s">
        <v>28</v>
      </c>
      <c r="F648" s="6" t="s">
        <v>48</v>
      </c>
      <c r="G648" s="6">
        <v>76</v>
      </c>
      <c r="H648" s="7">
        <v>976.15</v>
      </c>
      <c r="I648" s="7">
        <v>74187.399999999994</v>
      </c>
      <c r="J648" s="8">
        <v>45284</v>
      </c>
      <c r="K648" s="6">
        <v>36</v>
      </c>
      <c r="L648" s="6" t="s">
        <v>23</v>
      </c>
      <c r="M648" s="6" t="b">
        <v>1</v>
      </c>
      <c r="N648" s="6">
        <v>19.02</v>
      </c>
      <c r="O648" s="6" t="s">
        <v>30</v>
      </c>
      <c r="P648" s="6" t="b">
        <v>0</v>
      </c>
      <c r="Q648" s="9" t="s">
        <v>36</v>
      </c>
    </row>
    <row r="649" spans="1:17" x14ac:dyDescent="0.25">
      <c r="A649" s="5" t="s">
        <v>699</v>
      </c>
      <c r="B649" s="6" t="s">
        <v>76</v>
      </c>
      <c r="C649" s="6" t="s">
        <v>39</v>
      </c>
      <c r="D649" s="6" t="s">
        <v>64</v>
      </c>
      <c r="E649" s="6" t="s">
        <v>44</v>
      </c>
      <c r="F649" s="6" t="s">
        <v>48</v>
      </c>
      <c r="G649" s="6">
        <v>15</v>
      </c>
      <c r="H649" s="7">
        <v>1432.31</v>
      </c>
      <c r="I649" s="7">
        <v>21484.65</v>
      </c>
      <c r="J649" s="8">
        <v>45048</v>
      </c>
      <c r="K649" s="6">
        <v>25</v>
      </c>
      <c r="L649" s="6" t="s">
        <v>49</v>
      </c>
      <c r="M649" s="6" t="b">
        <v>1</v>
      </c>
      <c r="N649" s="6">
        <v>25.81</v>
      </c>
      <c r="O649" s="6" t="s">
        <v>42</v>
      </c>
      <c r="P649" s="6" t="b">
        <v>1</v>
      </c>
      <c r="Q649" s="9" t="s">
        <v>25</v>
      </c>
    </row>
    <row r="650" spans="1:17" x14ac:dyDescent="0.25">
      <c r="A650" s="5" t="s">
        <v>700</v>
      </c>
      <c r="B650" s="6" t="s">
        <v>62</v>
      </c>
      <c r="C650" s="6" t="s">
        <v>39</v>
      </c>
      <c r="D650" s="6" t="s">
        <v>47</v>
      </c>
      <c r="E650" s="6" t="s">
        <v>28</v>
      </c>
      <c r="F650" s="6" t="s">
        <v>29</v>
      </c>
      <c r="G650" s="6">
        <v>82</v>
      </c>
      <c r="H650" s="7">
        <v>196.58</v>
      </c>
      <c r="I650" s="7">
        <v>16119.56</v>
      </c>
      <c r="J650" s="8">
        <v>45370</v>
      </c>
      <c r="K650" s="6">
        <v>64</v>
      </c>
      <c r="L650" s="6" t="s">
        <v>41</v>
      </c>
      <c r="M650" s="6" t="b">
        <v>0</v>
      </c>
      <c r="N650" s="6">
        <v>29.51</v>
      </c>
      <c r="O650" s="6" t="s">
        <v>30</v>
      </c>
      <c r="P650" s="6" t="b">
        <v>1</v>
      </c>
      <c r="Q650" s="9" t="s">
        <v>36</v>
      </c>
    </row>
    <row r="651" spans="1:17" x14ac:dyDescent="0.25">
      <c r="A651" s="5" t="s">
        <v>701</v>
      </c>
      <c r="B651" s="6" t="s">
        <v>72</v>
      </c>
      <c r="C651" s="6" t="s">
        <v>33</v>
      </c>
      <c r="D651" s="6" t="s">
        <v>64</v>
      </c>
      <c r="E651" s="6" t="s">
        <v>21</v>
      </c>
      <c r="F651" s="6" t="s">
        <v>48</v>
      </c>
      <c r="G651" s="6">
        <v>92</v>
      </c>
      <c r="H651" s="7">
        <v>497.83</v>
      </c>
      <c r="I651" s="7">
        <v>45800.36</v>
      </c>
      <c r="J651" s="8">
        <v>45285</v>
      </c>
      <c r="K651" s="6">
        <v>27</v>
      </c>
      <c r="L651" s="6" t="s">
        <v>23</v>
      </c>
      <c r="M651" s="6" t="b">
        <v>1</v>
      </c>
      <c r="N651" s="6">
        <v>15.11</v>
      </c>
      <c r="O651" s="6" t="s">
        <v>56</v>
      </c>
      <c r="P651" s="6" t="b">
        <v>1</v>
      </c>
      <c r="Q651" s="9" t="s">
        <v>36</v>
      </c>
    </row>
    <row r="652" spans="1:17" x14ac:dyDescent="0.25">
      <c r="A652" s="5" t="s">
        <v>702</v>
      </c>
      <c r="B652" s="6" t="s">
        <v>72</v>
      </c>
      <c r="C652" s="6" t="s">
        <v>33</v>
      </c>
      <c r="D652" s="6" t="s">
        <v>47</v>
      </c>
      <c r="E652" s="6" t="s">
        <v>35</v>
      </c>
      <c r="F652" s="6" t="s">
        <v>48</v>
      </c>
      <c r="G652" s="6">
        <v>23</v>
      </c>
      <c r="H652" s="7">
        <v>936.47</v>
      </c>
      <c r="I652" s="7">
        <v>21538.81</v>
      </c>
      <c r="J652" s="8">
        <v>45528</v>
      </c>
      <c r="K652" s="6">
        <v>22</v>
      </c>
      <c r="L652" s="6" t="s">
        <v>49</v>
      </c>
      <c r="M652" s="6" t="b">
        <v>0</v>
      </c>
      <c r="N652" s="6">
        <v>13.67</v>
      </c>
      <c r="O652" s="6" t="s">
        <v>56</v>
      </c>
      <c r="P652" s="6" t="b">
        <v>0</v>
      </c>
      <c r="Q652" s="9" t="s">
        <v>36</v>
      </c>
    </row>
    <row r="653" spans="1:17" x14ac:dyDescent="0.25">
      <c r="A653" s="5" t="s">
        <v>703</v>
      </c>
      <c r="B653" s="6" t="s">
        <v>66</v>
      </c>
      <c r="C653" s="6" t="s">
        <v>33</v>
      </c>
      <c r="D653" s="6" t="s">
        <v>52</v>
      </c>
      <c r="E653" s="6" t="s">
        <v>21</v>
      </c>
      <c r="F653" s="6" t="s">
        <v>48</v>
      </c>
      <c r="G653" s="6">
        <v>78</v>
      </c>
      <c r="H653" s="7">
        <v>1447.88</v>
      </c>
      <c r="I653" s="7">
        <v>112934.64</v>
      </c>
      <c r="J653" s="8">
        <v>45272</v>
      </c>
      <c r="K653" s="6">
        <v>69</v>
      </c>
      <c r="L653" s="6" t="s">
        <v>23</v>
      </c>
      <c r="M653" s="6" t="b">
        <v>1</v>
      </c>
      <c r="N653" s="6">
        <v>2.27</v>
      </c>
      <c r="O653" s="6" t="s">
        <v>56</v>
      </c>
      <c r="P653" s="6" t="b">
        <v>1</v>
      </c>
      <c r="Q653" s="9" t="s">
        <v>36</v>
      </c>
    </row>
    <row r="654" spans="1:17" x14ac:dyDescent="0.25">
      <c r="A654" s="5" t="s">
        <v>704</v>
      </c>
      <c r="B654" s="6" t="s">
        <v>76</v>
      </c>
      <c r="C654" s="6" t="s">
        <v>33</v>
      </c>
      <c r="D654" s="6" t="s">
        <v>34</v>
      </c>
      <c r="E654" s="6" t="s">
        <v>28</v>
      </c>
      <c r="F654" s="6" t="s">
        <v>48</v>
      </c>
      <c r="G654" s="6">
        <v>94</v>
      </c>
      <c r="H654" s="7">
        <v>188.58</v>
      </c>
      <c r="I654" s="7">
        <v>17726.52</v>
      </c>
      <c r="J654" s="8">
        <v>45119</v>
      </c>
      <c r="K654" s="6">
        <v>65</v>
      </c>
      <c r="L654" s="6" t="s">
        <v>23</v>
      </c>
      <c r="M654" s="6" t="b">
        <v>0</v>
      </c>
      <c r="N654" s="6">
        <v>0.38</v>
      </c>
      <c r="O654" s="6" t="s">
        <v>24</v>
      </c>
      <c r="P654" s="6" t="b">
        <v>1</v>
      </c>
      <c r="Q654" s="9" t="s">
        <v>25</v>
      </c>
    </row>
    <row r="655" spans="1:17" x14ac:dyDescent="0.25">
      <c r="A655" s="5" t="s">
        <v>705</v>
      </c>
      <c r="B655" s="6" t="s">
        <v>51</v>
      </c>
      <c r="C655" s="6" t="s">
        <v>33</v>
      </c>
      <c r="D655" s="6" t="s">
        <v>52</v>
      </c>
      <c r="E655" s="6" t="s">
        <v>35</v>
      </c>
      <c r="F655" s="6" t="s">
        <v>48</v>
      </c>
      <c r="G655" s="6">
        <v>97</v>
      </c>
      <c r="H655" s="7">
        <v>82.7</v>
      </c>
      <c r="I655" s="7">
        <v>8021.9</v>
      </c>
      <c r="J655" s="8">
        <v>45342</v>
      </c>
      <c r="K655" s="6">
        <v>43</v>
      </c>
      <c r="L655" s="6" t="s">
        <v>49</v>
      </c>
      <c r="M655" s="6" t="b">
        <v>0</v>
      </c>
      <c r="N655" s="6">
        <v>18.260000000000002</v>
      </c>
      <c r="O655" s="6" t="s">
        <v>30</v>
      </c>
      <c r="P655" s="6" t="b">
        <v>1</v>
      </c>
      <c r="Q655" s="9" t="s">
        <v>25</v>
      </c>
    </row>
    <row r="656" spans="1:17" x14ac:dyDescent="0.25">
      <c r="A656" s="5" t="s">
        <v>706</v>
      </c>
      <c r="B656" s="6" t="s">
        <v>72</v>
      </c>
      <c r="C656" s="6" t="s">
        <v>33</v>
      </c>
      <c r="D656" s="6" t="s">
        <v>20</v>
      </c>
      <c r="E656" s="6" t="s">
        <v>44</v>
      </c>
      <c r="F656" s="6" t="s">
        <v>22</v>
      </c>
      <c r="G656" s="6">
        <v>45</v>
      </c>
      <c r="H656" s="7">
        <v>130.84</v>
      </c>
      <c r="I656" s="7">
        <v>5887.8</v>
      </c>
      <c r="J656" s="8">
        <v>45303</v>
      </c>
      <c r="K656" s="6">
        <v>39</v>
      </c>
      <c r="L656" s="6" t="s">
        <v>41</v>
      </c>
      <c r="M656" s="6" t="b">
        <v>1</v>
      </c>
      <c r="N656" s="6">
        <v>1.96</v>
      </c>
      <c r="O656" s="6" t="s">
        <v>24</v>
      </c>
      <c r="P656" s="6" t="b">
        <v>1</v>
      </c>
      <c r="Q656" s="9" t="s">
        <v>36</v>
      </c>
    </row>
    <row r="657" spans="1:17" x14ac:dyDescent="0.25">
      <c r="A657" s="5" t="s">
        <v>707</v>
      </c>
      <c r="B657" s="6" t="s">
        <v>38</v>
      </c>
      <c r="C657" s="6" t="s">
        <v>19</v>
      </c>
      <c r="D657" s="6" t="s">
        <v>47</v>
      </c>
      <c r="E657" s="6" t="s">
        <v>28</v>
      </c>
      <c r="F657" s="6" t="s">
        <v>48</v>
      </c>
      <c r="G657" s="6">
        <v>62</v>
      </c>
      <c r="H657" s="7">
        <v>125.99</v>
      </c>
      <c r="I657" s="7">
        <v>7811.38</v>
      </c>
      <c r="J657" s="8">
        <v>45389</v>
      </c>
      <c r="K657" s="6">
        <v>61</v>
      </c>
      <c r="L657" s="6" t="s">
        <v>49</v>
      </c>
      <c r="M657" s="6" t="b">
        <v>0</v>
      </c>
      <c r="N657" s="6">
        <v>11.41</v>
      </c>
      <c r="O657" s="6" t="s">
        <v>30</v>
      </c>
      <c r="P657" s="6" t="b">
        <v>0</v>
      </c>
      <c r="Q657" s="9" t="s">
        <v>25</v>
      </c>
    </row>
    <row r="658" spans="1:17" x14ac:dyDescent="0.25">
      <c r="A658" s="5" t="s">
        <v>708</v>
      </c>
      <c r="B658" s="6" t="s">
        <v>18</v>
      </c>
      <c r="C658" s="6" t="s">
        <v>33</v>
      </c>
      <c r="D658" s="6" t="s">
        <v>20</v>
      </c>
      <c r="E658" s="6" t="s">
        <v>35</v>
      </c>
      <c r="F658" s="6" t="s">
        <v>40</v>
      </c>
      <c r="G658" s="6">
        <v>79</v>
      </c>
      <c r="H658" s="7">
        <v>1366.33</v>
      </c>
      <c r="I658" s="7">
        <v>107940.07</v>
      </c>
      <c r="J658" s="8">
        <v>45587</v>
      </c>
      <c r="K658" s="6">
        <v>40</v>
      </c>
      <c r="L658" s="6" t="s">
        <v>23</v>
      </c>
      <c r="M658" s="6" t="b">
        <v>1</v>
      </c>
      <c r="N658" s="6">
        <v>0.11</v>
      </c>
      <c r="O658" s="6" t="s">
        <v>42</v>
      </c>
      <c r="P658" s="6" t="b">
        <v>1</v>
      </c>
      <c r="Q658" s="9" t="s">
        <v>36</v>
      </c>
    </row>
    <row r="659" spans="1:17" x14ac:dyDescent="0.25">
      <c r="A659" s="5" t="s">
        <v>709</v>
      </c>
      <c r="B659" s="6" t="s">
        <v>62</v>
      </c>
      <c r="C659" s="6" t="s">
        <v>39</v>
      </c>
      <c r="D659" s="6" t="s">
        <v>20</v>
      </c>
      <c r="E659" s="6" t="s">
        <v>44</v>
      </c>
      <c r="F659" s="6" t="s">
        <v>29</v>
      </c>
      <c r="G659" s="6">
        <v>71</v>
      </c>
      <c r="H659" s="7">
        <v>1095.82</v>
      </c>
      <c r="I659" s="7">
        <v>77803.22</v>
      </c>
      <c r="J659" s="8">
        <v>45072</v>
      </c>
      <c r="K659" s="6">
        <v>30</v>
      </c>
      <c r="L659" s="6" t="s">
        <v>49</v>
      </c>
      <c r="M659" s="6" t="b">
        <v>1</v>
      </c>
      <c r="N659" s="6">
        <v>18.46</v>
      </c>
      <c r="O659" s="6" t="s">
        <v>30</v>
      </c>
      <c r="P659" s="6" t="b">
        <v>1</v>
      </c>
      <c r="Q659" s="9" t="s">
        <v>25</v>
      </c>
    </row>
    <row r="660" spans="1:17" x14ac:dyDescent="0.25">
      <c r="A660" s="5" t="s">
        <v>710</v>
      </c>
      <c r="B660" s="6" t="s">
        <v>72</v>
      </c>
      <c r="C660" s="6" t="s">
        <v>19</v>
      </c>
      <c r="D660" s="6" t="s">
        <v>64</v>
      </c>
      <c r="E660" s="6" t="s">
        <v>44</v>
      </c>
      <c r="F660" s="6" t="s">
        <v>22</v>
      </c>
      <c r="G660" s="6">
        <v>15</v>
      </c>
      <c r="H660" s="7">
        <v>1031.8</v>
      </c>
      <c r="I660" s="7">
        <v>15477</v>
      </c>
      <c r="J660" s="8">
        <v>45404</v>
      </c>
      <c r="K660" s="6">
        <v>26</v>
      </c>
      <c r="L660" s="6" t="s">
        <v>23</v>
      </c>
      <c r="M660" s="6" t="b">
        <v>1</v>
      </c>
      <c r="N660" s="6">
        <v>12.76</v>
      </c>
      <c r="O660" s="6" t="s">
        <v>30</v>
      </c>
      <c r="P660" s="6" t="b">
        <v>0</v>
      </c>
      <c r="Q660" s="9" t="s">
        <v>36</v>
      </c>
    </row>
    <row r="661" spans="1:17" x14ac:dyDescent="0.25">
      <c r="A661" s="5" t="s">
        <v>711</v>
      </c>
      <c r="B661" s="6" t="s">
        <v>38</v>
      </c>
      <c r="C661" s="6" t="s">
        <v>33</v>
      </c>
      <c r="D661" s="6" t="s">
        <v>47</v>
      </c>
      <c r="E661" s="6" t="s">
        <v>21</v>
      </c>
      <c r="F661" s="6" t="s">
        <v>22</v>
      </c>
      <c r="G661" s="6">
        <v>46</v>
      </c>
      <c r="H661" s="7">
        <v>807.73</v>
      </c>
      <c r="I661" s="7">
        <v>37155.58</v>
      </c>
      <c r="J661" s="8">
        <v>45579</v>
      </c>
      <c r="K661" s="6">
        <v>66</v>
      </c>
      <c r="L661" s="6" t="s">
        <v>49</v>
      </c>
      <c r="M661" s="6" t="b">
        <v>1</v>
      </c>
      <c r="N661" s="6">
        <v>3.81</v>
      </c>
      <c r="O661" s="6" t="s">
        <v>30</v>
      </c>
      <c r="P661" s="6" t="b">
        <v>0</v>
      </c>
      <c r="Q661" s="9" t="s">
        <v>25</v>
      </c>
    </row>
    <row r="662" spans="1:17" x14ac:dyDescent="0.25">
      <c r="A662" s="5" t="s">
        <v>712</v>
      </c>
      <c r="B662" s="6" t="s">
        <v>38</v>
      </c>
      <c r="C662" s="6" t="s">
        <v>39</v>
      </c>
      <c r="D662" s="6" t="s">
        <v>20</v>
      </c>
      <c r="E662" s="6" t="s">
        <v>28</v>
      </c>
      <c r="F662" s="6" t="s">
        <v>48</v>
      </c>
      <c r="G662" s="6">
        <v>64</v>
      </c>
      <c r="H662" s="7">
        <v>1183.83</v>
      </c>
      <c r="I662" s="7">
        <v>75765.119999999995</v>
      </c>
      <c r="J662" s="8">
        <v>45334</v>
      </c>
      <c r="K662" s="6">
        <v>37</v>
      </c>
      <c r="L662" s="6" t="s">
        <v>41</v>
      </c>
      <c r="M662" s="6" t="b">
        <v>1</v>
      </c>
      <c r="N662" s="6">
        <v>8.89</v>
      </c>
      <c r="O662" s="6" t="s">
        <v>30</v>
      </c>
      <c r="P662" s="6" t="b">
        <v>0</v>
      </c>
      <c r="Q662" s="9" t="s">
        <v>25</v>
      </c>
    </row>
    <row r="663" spans="1:17" x14ac:dyDescent="0.25">
      <c r="A663" s="5" t="s">
        <v>713</v>
      </c>
      <c r="B663" s="6" t="s">
        <v>62</v>
      </c>
      <c r="C663" s="6" t="s">
        <v>19</v>
      </c>
      <c r="D663" s="6" t="s">
        <v>34</v>
      </c>
      <c r="E663" s="6" t="s">
        <v>44</v>
      </c>
      <c r="F663" s="6" t="s">
        <v>29</v>
      </c>
      <c r="G663" s="6">
        <v>46</v>
      </c>
      <c r="H663" s="7">
        <v>275.69</v>
      </c>
      <c r="I663" s="7">
        <v>12681.74</v>
      </c>
      <c r="J663" s="8">
        <v>45212</v>
      </c>
      <c r="K663" s="6">
        <v>45</v>
      </c>
      <c r="L663" s="6" t="s">
        <v>41</v>
      </c>
      <c r="M663" s="6" t="b">
        <v>1</v>
      </c>
      <c r="N663" s="6">
        <v>17.09</v>
      </c>
      <c r="O663" s="6" t="s">
        <v>42</v>
      </c>
      <c r="P663" s="6" t="b">
        <v>0</v>
      </c>
      <c r="Q663" s="9" t="s">
        <v>25</v>
      </c>
    </row>
    <row r="664" spans="1:17" x14ac:dyDescent="0.25">
      <c r="A664" s="5" t="s">
        <v>714</v>
      </c>
      <c r="B664" s="6" t="s">
        <v>51</v>
      </c>
      <c r="C664" s="6" t="s">
        <v>39</v>
      </c>
      <c r="D664" s="6" t="s">
        <v>20</v>
      </c>
      <c r="E664" s="6" t="s">
        <v>35</v>
      </c>
      <c r="F664" s="6" t="s">
        <v>40</v>
      </c>
      <c r="G664" s="6">
        <v>56</v>
      </c>
      <c r="H664" s="7">
        <v>618.30999999999995</v>
      </c>
      <c r="I664" s="7">
        <v>34625.360000000001</v>
      </c>
      <c r="J664" s="8">
        <v>45037</v>
      </c>
      <c r="K664" s="6">
        <v>61</v>
      </c>
      <c r="L664" s="6" t="s">
        <v>41</v>
      </c>
      <c r="M664" s="6" t="b">
        <v>1</v>
      </c>
      <c r="N664" s="6">
        <v>19.7</v>
      </c>
      <c r="O664" s="6" t="s">
        <v>24</v>
      </c>
      <c r="P664" s="6" t="b">
        <v>0</v>
      </c>
      <c r="Q664" s="9" t="s">
        <v>36</v>
      </c>
    </row>
    <row r="665" spans="1:17" x14ac:dyDescent="0.25">
      <c r="A665" s="5" t="s">
        <v>715</v>
      </c>
      <c r="B665" s="6" t="s">
        <v>38</v>
      </c>
      <c r="C665" s="6" t="s">
        <v>33</v>
      </c>
      <c r="D665" s="6" t="s">
        <v>34</v>
      </c>
      <c r="E665" s="6" t="s">
        <v>44</v>
      </c>
      <c r="F665" s="6" t="s">
        <v>48</v>
      </c>
      <c r="G665" s="6">
        <v>44</v>
      </c>
      <c r="H665" s="7">
        <v>760.51</v>
      </c>
      <c r="I665" s="7">
        <v>33462.44</v>
      </c>
      <c r="J665" s="8">
        <v>45546</v>
      </c>
      <c r="K665" s="6">
        <v>54</v>
      </c>
      <c r="L665" s="6" t="s">
        <v>41</v>
      </c>
      <c r="M665" s="6" t="b">
        <v>1</v>
      </c>
      <c r="N665" s="6">
        <v>13.87</v>
      </c>
      <c r="O665" s="6" t="s">
        <v>56</v>
      </c>
      <c r="P665" s="6" t="b">
        <v>1</v>
      </c>
      <c r="Q665" s="9" t="s">
        <v>25</v>
      </c>
    </row>
    <row r="666" spans="1:17" x14ac:dyDescent="0.25">
      <c r="A666" s="5" t="s">
        <v>716</v>
      </c>
      <c r="B666" s="6" t="s">
        <v>18</v>
      </c>
      <c r="C666" s="6" t="s">
        <v>33</v>
      </c>
      <c r="D666" s="6" t="s">
        <v>64</v>
      </c>
      <c r="E666" s="6" t="s">
        <v>44</v>
      </c>
      <c r="F666" s="6" t="s">
        <v>29</v>
      </c>
      <c r="G666" s="6">
        <v>75</v>
      </c>
      <c r="H666" s="7">
        <v>210.09</v>
      </c>
      <c r="I666" s="7">
        <v>15756.75</v>
      </c>
      <c r="J666" s="8">
        <v>44976</v>
      </c>
      <c r="K666" s="6">
        <v>41</v>
      </c>
      <c r="L666" s="6" t="s">
        <v>49</v>
      </c>
      <c r="M666" s="6" t="b">
        <v>1</v>
      </c>
      <c r="N666" s="6">
        <v>24.12</v>
      </c>
      <c r="O666" s="6" t="s">
        <v>30</v>
      </c>
      <c r="P666" s="6" t="b">
        <v>0</v>
      </c>
      <c r="Q666" s="9" t="s">
        <v>36</v>
      </c>
    </row>
    <row r="667" spans="1:17" x14ac:dyDescent="0.25">
      <c r="A667" s="5" t="s">
        <v>717</v>
      </c>
      <c r="B667" s="6" t="s">
        <v>38</v>
      </c>
      <c r="C667" s="6" t="s">
        <v>33</v>
      </c>
      <c r="D667" s="6" t="s">
        <v>20</v>
      </c>
      <c r="E667" s="6" t="s">
        <v>21</v>
      </c>
      <c r="F667" s="6" t="s">
        <v>48</v>
      </c>
      <c r="G667" s="6">
        <v>29</v>
      </c>
      <c r="H667" s="7">
        <v>658.29</v>
      </c>
      <c r="I667" s="7">
        <v>19090.41</v>
      </c>
      <c r="J667" s="8">
        <v>44940</v>
      </c>
      <c r="K667" s="6">
        <v>61</v>
      </c>
      <c r="L667" s="6" t="s">
        <v>41</v>
      </c>
      <c r="M667" s="6" t="b">
        <v>0</v>
      </c>
      <c r="N667" s="6">
        <v>3.37</v>
      </c>
      <c r="O667" s="6" t="s">
        <v>56</v>
      </c>
      <c r="P667" s="6" t="b">
        <v>0</v>
      </c>
      <c r="Q667" s="9" t="s">
        <v>25</v>
      </c>
    </row>
    <row r="668" spans="1:17" x14ac:dyDescent="0.25">
      <c r="A668" s="5" t="s">
        <v>718</v>
      </c>
      <c r="B668" s="6" t="s">
        <v>38</v>
      </c>
      <c r="C668" s="6" t="s">
        <v>33</v>
      </c>
      <c r="D668" s="6" t="s">
        <v>52</v>
      </c>
      <c r="E668" s="6" t="s">
        <v>21</v>
      </c>
      <c r="F668" s="6" t="s">
        <v>48</v>
      </c>
      <c r="G668" s="6">
        <v>95</v>
      </c>
      <c r="H668" s="7">
        <v>508.93</v>
      </c>
      <c r="I668" s="7">
        <v>48348.35</v>
      </c>
      <c r="J668" s="8">
        <v>45060</v>
      </c>
      <c r="K668" s="6">
        <v>50</v>
      </c>
      <c r="L668" s="6" t="s">
        <v>49</v>
      </c>
      <c r="M668" s="6" t="b">
        <v>0</v>
      </c>
      <c r="N668" s="6">
        <v>2.54</v>
      </c>
      <c r="O668" s="6" t="s">
        <v>56</v>
      </c>
      <c r="P668" s="6" t="b">
        <v>0</v>
      </c>
      <c r="Q668" s="9" t="s">
        <v>36</v>
      </c>
    </row>
    <row r="669" spans="1:17" x14ac:dyDescent="0.25">
      <c r="A669" s="5" t="s">
        <v>719</v>
      </c>
      <c r="B669" s="6" t="s">
        <v>38</v>
      </c>
      <c r="C669" s="6" t="s">
        <v>19</v>
      </c>
      <c r="D669" s="6" t="s">
        <v>64</v>
      </c>
      <c r="E669" s="6" t="s">
        <v>35</v>
      </c>
      <c r="F669" s="6" t="s">
        <v>48</v>
      </c>
      <c r="G669" s="6">
        <v>62</v>
      </c>
      <c r="H669" s="7">
        <v>101.59</v>
      </c>
      <c r="I669" s="7">
        <v>6298.58</v>
      </c>
      <c r="J669" s="8">
        <v>45514</v>
      </c>
      <c r="K669" s="6">
        <v>37</v>
      </c>
      <c r="L669" s="6" t="s">
        <v>23</v>
      </c>
      <c r="M669" s="6" t="b">
        <v>1</v>
      </c>
      <c r="N669" s="6">
        <v>1.33</v>
      </c>
      <c r="O669" s="6" t="s">
        <v>56</v>
      </c>
      <c r="P669" s="6" t="b">
        <v>1</v>
      </c>
      <c r="Q669" s="9" t="s">
        <v>36</v>
      </c>
    </row>
    <row r="670" spans="1:17" x14ac:dyDescent="0.25">
      <c r="A670" s="5" t="s">
        <v>720</v>
      </c>
      <c r="B670" s="6" t="s">
        <v>46</v>
      </c>
      <c r="C670" s="6" t="s">
        <v>19</v>
      </c>
      <c r="D670" s="6" t="s">
        <v>34</v>
      </c>
      <c r="E670" s="6" t="s">
        <v>21</v>
      </c>
      <c r="F670" s="6" t="s">
        <v>48</v>
      </c>
      <c r="G670" s="6">
        <v>89</v>
      </c>
      <c r="H670" s="7">
        <v>248.27</v>
      </c>
      <c r="I670" s="7">
        <v>22096.03</v>
      </c>
      <c r="J670" s="8">
        <v>45522</v>
      </c>
      <c r="K670" s="6">
        <v>65</v>
      </c>
      <c r="L670" s="6" t="s">
        <v>23</v>
      </c>
      <c r="M670" s="6" t="b">
        <v>0</v>
      </c>
      <c r="N670" s="6">
        <v>16.07</v>
      </c>
      <c r="O670" s="6" t="s">
        <v>56</v>
      </c>
      <c r="P670" s="6" t="b">
        <v>1</v>
      </c>
      <c r="Q670" s="9" t="s">
        <v>36</v>
      </c>
    </row>
    <row r="671" spans="1:17" x14ac:dyDescent="0.25">
      <c r="A671" s="5" t="s">
        <v>721</v>
      </c>
      <c r="B671" s="6" t="s">
        <v>46</v>
      </c>
      <c r="C671" s="6" t="s">
        <v>39</v>
      </c>
      <c r="D671" s="6" t="s">
        <v>64</v>
      </c>
      <c r="E671" s="6" t="s">
        <v>44</v>
      </c>
      <c r="F671" s="6" t="s">
        <v>48</v>
      </c>
      <c r="G671" s="6">
        <v>52</v>
      </c>
      <c r="H671" s="7">
        <v>1157.8499999999999</v>
      </c>
      <c r="I671" s="7">
        <v>60208.2</v>
      </c>
      <c r="J671" s="8">
        <v>45269</v>
      </c>
      <c r="K671" s="6">
        <v>47</v>
      </c>
      <c r="L671" s="6" t="s">
        <v>23</v>
      </c>
      <c r="M671" s="6" t="b">
        <v>0</v>
      </c>
      <c r="N671" s="6">
        <v>21.19</v>
      </c>
      <c r="O671" s="6" t="s">
        <v>30</v>
      </c>
      <c r="P671" s="6" t="b">
        <v>1</v>
      </c>
      <c r="Q671" s="9" t="s">
        <v>25</v>
      </c>
    </row>
    <row r="672" spans="1:17" x14ac:dyDescent="0.25">
      <c r="A672" s="5" t="s">
        <v>722</v>
      </c>
      <c r="B672" s="6" t="s">
        <v>51</v>
      </c>
      <c r="C672" s="6" t="s">
        <v>33</v>
      </c>
      <c r="D672" s="6" t="s">
        <v>20</v>
      </c>
      <c r="E672" s="6" t="s">
        <v>44</v>
      </c>
      <c r="F672" s="6" t="s">
        <v>48</v>
      </c>
      <c r="G672" s="6">
        <v>54</v>
      </c>
      <c r="H672" s="7">
        <v>76.150000000000006</v>
      </c>
      <c r="I672" s="7">
        <v>4112.1000000000004</v>
      </c>
      <c r="J672" s="8">
        <v>45596</v>
      </c>
      <c r="K672" s="6">
        <v>61</v>
      </c>
      <c r="L672" s="6" t="s">
        <v>41</v>
      </c>
      <c r="M672" s="6" t="b">
        <v>1</v>
      </c>
      <c r="N672" s="6">
        <v>3.92</v>
      </c>
      <c r="O672" s="6" t="s">
        <v>56</v>
      </c>
      <c r="P672" s="6" t="b">
        <v>0</v>
      </c>
      <c r="Q672" s="9" t="s">
        <v>25</v>
      </c>
    </row>
    <row r="673" spans="1:17" x14ac:dyDescent="0.25">
      <c r="A673" s="5" t="s">
        <v>723</v>
      </c>
      <c r="B673" s="6" t="s">
        <v>72</v>
      </c>
      <c r="C673" s="6" t="s">
        <v>39</v>
      </c>
      <c r="D673" s="6" t="s">
        <v>47</v>
      </c>
      <c r="E673" s="6" t="s">
        <v>21</v>
      </c>
      <c r="F673" s="6" t="s">
        <v>48</v>
      </c>
      <c r="G673" s="6">
        <v>88</v>
      </c>
      <c r="H673" s="7">
        <v>1404.67</v>
      </c>
      <c r="I673" s="7">
        <v>123610.96</v>
      </c>
      <c r="J673" s="8">
        <v>45212</v>
      </c>
      <c r="K673" s="6">
        <v>26</v>
      </c>
      <c r="L673" s="6" t="s">
        <v>41</v>
      </c>
      <c r="M673" s="6" t="b">
        <v>1</v>
      </c>
      <c r="N673" s="6">
        <v>19.170000000000002</v>
      </c>
      <c r="O673" s="6" t="s">
        <v>30</v>
      </c>
      <c r="P673" s="6" t="b">
        <v>1</v>
      </c>
      <c r="Q673" s="9" t="s">
        <v>36</v>
      </c>
    </row>
    <row r="674" spans="1:17" x14ac:dyDescent="0.25">
      <c r="A674" s="5" t="s">
        <v>724</v>
      </c>
      <c r="B674" s="6" t="s">
        <v>38</v>
      </c>
      <c r="C674" s="6" t="s">
        <v>19</v>
      </c>
      <c r="D674" s="6" t="s">
        <v>47</v>
      </c>
      <c r="E674" s="6" t="s">
        <v>44</v>
      </c>
      <c r="F674" s="6" t="s">
        <v>40</v>
      </c>
      <c r="G674" s="6">
        <v>57</v>
      </c>
      <c r="H674" s="7">
        <v>175.32</v>
      </c>
      <c r="I674" s="7">
        <v>9993.24</v>
      </c>
      <c r="J674" s="8">
        <v>45240</v>
      </c>
      <c r="K674" s="6">
        <v>62</v>
      </c>
      <c r="L674" s="6" t="s">
        <v>41</v>
      </c>
      <c r="M674" s="6" t="b">
        <v>0</v>
      </c>
      <c r="N674" s="6">
        <v>14.31</v>
      </c>
      <c r="O674" s="6" t="s">
        <v>42</v>
      </c>
      <c r="P674" s="6" t="b">
        <v>0</v>
      </c>
      <c r="Q674" s="9" t="s">
        <v>36</v>
      </c>
    </row>
    <row r="675" spans="1:17" x14ac:dyDescent="0.25">
      <c r="A675" s="5" t="s">
        <v>725</v>
      </c>
      <c r="B675" s="6" t="s">
        <v>76</v>
      </c>
      <c r="C675" s="6" t="s">
        <v>33</v>
      </c>
      <c r="D675" s="6" t="s">
        <v>34</v>
      </c>
      <c r="E675" s="6" t="s">
        <v>44</v>
      </c>
      <c r="F675" s="6" t="s">
        <v>22</v>
      </c>
      <c r="G675" s="6">
        <v>83</v>
      </c>
      <c r="H675" s="7">
        <v>1208.9000000000001</v>
      </c>
      <c r="I675" s="7">
        <v>100338.7</v>
      </c>
      <c r="J675" s="8">
        <v>45532</v>
      </c>
      <c r="K675" s="6">
        <v>66</v>
      </c>
      <c r="L675" s="6" t="s">
        <v>23</v>
      </c>
      <c r="M675" s="6" t="b">
        <v>1</v>
      </c>
      <c r="N675" s="6">
        <v>29.62</v>
      </c>
      <c r="O675" s="6" t="s">
        <v>24</v>
      </c>
      <c r="P675" s="6" t="b">
        <v>0</v>
      </c>
      <c r="Q675" s="9" t="s">
        <v>36</v>
      </c>
    </row>
    <row r="676" spans="1:17" x14ac:dyDescent="0.25">
      <c r="A676" s="5" t="s">
        <v>726</v>
      </c>
      <c r="B676" s="6" t="s">
        <v>72</v>
      </c>
      <c r="C676" s="6" t="s">
        <v>33</v>
      </c>
      <c r="D676" s="6" t="s">
        <v>34</v>
      </c>
      <c r="E676" s="6" t="s">
        <v>35</v>
      </c>
      <c r="F676" s="6" t="s">
        <v>40</v>
      </c>
      <c r="G676" s="6">
        <v>66</v>
      </c>
      <c r="H676" s="7">
        <v>1352.99</v>
      </c>
      <c r="I676" s="7">
        <v>89297.34</v>
      </c>
      <c r="J676" s="8">
        <v>45223</v>
      </c>
      <c r="K676" s="6">
        <v>34</v>
      </c>
      <c r="L676" s="6" t="s">
        <v>23</v>
      </c>
      <c r="M676" s="6" t="b">
        <v>1</v>
      </c>
      <c r="N676" s="6">
        <v>21.52</v>
      </c>
      <c r="O676" s="6" t="s">
        <v>24</v>
      </c>
      <c r="P676" s="6" t="b">
        <v>1</v>
      </c>
      <c r="Q676" s="9" t="s">
        <v>25</v>
      </c>
    </row>
    <row r="677" spans="1:17" x14ac:dyDescent="0.25">
      <c r="A677" s="5" t="s">
        <v>727</v>
      </c>
      <c r="B677" s="6" t="s">
        <v>51</v>
      </c>
      <c r="C677" s="6" t="s">
        <v>19</v>
      </c>
      <c r="D677" s="6" t="s">
        <v>47</v>
      </c>
      <c r="E677" s="6" t="s">
        <v>21</v>
      </c>
      <c r="F677" s="6" t="s">
        <v>48</v>
      </c>
      <c r="G677" s="6">
        <v>22</v>
      </c>
      <c r="H677" s="7">
        <v>1414.65</v>
      </c>
      <c r="I677" s="7">
        <v>31122.3</v>
      </c>
      <c r="J677" s="8">
        <v>45532</v>
      </c>
      <c r="K677" s="6">
        <v>53</v>
      </c>
      <c r="L677" s="6" t="s">
        <v>23</v>
      </c>
      <c r="M677" s="6" t="b">
        <v>1</v>
      </c>
      <c r="N677" s="6">
        <v>19.72</v>
      </c>
      <c r="O677" s="6" t="s">
        <v>30</v>
      </c>
      <c r="P677" s="6" t="b">
        <v>1</v>
      </c>
      <c r="Q677" s="9" t="s">
        <v>25</v>
      </c>
    </row>
    <row r="678" spans="1:17" x14ac:dyDescent="0.25">
      <c r="A678" s="5" t="s">
        <v>728</v>
      </c>
      <c r="B678" s="6" t="s">
        <v>27</v>
      </c>
      <c r="C678" s="6" t="s">
        <v>19</v>
      </c>
      <c r="D678" s="6" t="s">
        <v>34</v>
      </c>
      <c r="E678" s="6" t="s">
        <v>44</v>
      </c>
      <c r="F678" s="6" t="s">
        <v>48</v>
      </c>
      <c r="G678" s="6">
        <v>20</v>
      </c>
      <c r="H678" s="7">
        <v>1307.8399999999999</v>
      </c>
      <c r="I678" s="7">
        <v>26156.799999999999</v>
      </c>
      <c r="J678" s="8">
        <v>45495</v>
      </c>
      <c r="K678" s="6">
        <v>31</v>
      </c>
      <c r="L678" s="6" t="s">
        <v>23</v>
      </c>
      <c r="M678" s="6" t="b">
        <v>0</v>
      </c>
      <c r="N678" s="6">
        <v>17.11</v>
      </c>
      <c r="O678" s="6" t="s">
        <v>30</v>
      </c>
      <c r="P678" s="6" t="b">
        <v>1</v>
      </c>
      <c r="Q678" s="9" t="s">
        <v>25</v>
      </c>
    </row>
    <row r="679" spans="1:17" x14ac:dyDescent="0.25">
      <c r="A679" s="5" t="s">
        <v>729</v>
      </c>
      <c r="B679" s="6" t="s">
        <v>72</v>
      </c>
      <c r="C679" s="6" t="s">
        <v>19</v>
      </c>
      <c r="D679" s="6" t="s">
        <v>64</v>
      </c>
      <c r="E679" s="6" t="s">
        <v>21</v>
      </c>
      <c r="F679" s="6" t="s">
        <v>40</v>
      </c>
      <c r="G679" s="6">
        <v>33</v>
      </c>
      <c r="H679" s="7">
        <v>466.95</v>
      </c>
      <c r="I679" s="7">
        <v>15409.35</v>
      </c>
      <c r="J679" s="8">
        <v>45090</v>
      </c>
      <c r="K679" s="6">
        <v>36</v>
      </c>
      <c r="L679" s="6" t="s">
        <v>49</v>
      </c>
      <c r="M679" s="6" t="b">
        <v>1</v>
      </c>
      <c r="N679" s="6">
        <v>29.92</v>
      </c>
      <c r="O679" s="6" t="s">
        <v>24</v>
      </c>
      <c r="P679" s="6" t="b">
        <v>0</v>
      </c>
      <c r="Q679" s="9" t="s">
        <v>25</v>
      </c>
    </row>
    <row r="680" spans="1:17" x14ac:dyDescent="0.25">
      <c r="A680" s="5" t="s">
        <v>730</v>
      </c>
      <c r="B680" s="6" t="s">
        <v>72</v>
      </c>
      <c r="C680" s="6" t="s">
        <v>19</v>
      </c>
      <c r="D680" s="6" t="s">
        <v>52</v>
      </c>
      <c r="E680" s="6" t="s">
        <v>35</v>
      </c>
      <c r="F680" s="6" t="s">
        <v>40</v>
      </c>
      <c r="G680" s="6">
        <v>72</v>
      </c>
      <c r="H680" s="7">
        <v>532.98</v>
      </c>
      <c r="I680" s="7">
        <v>38374.559999999998</v>
      </c>
      <c r="J680" s="8">
        <v>45423</v>
      </c>
      <c r="K680" s="6">
        <v>24</v>
      </c>
      <c r="L680" s="6" t="s">
        <v>49</v>
      </c>
      <c r="M680" s="6" t="b">
        <v>0</v>
      </c>
      <c r="N680" s="6">
        <v>29.41</v>
      </c>
      <c r="O680" s="6" t="s">
        <v>56</v>
      </c>
      <c r="P680" s="6" t="b">
        <v>1</v>
      </c>
      <c r="Q680" s="9" t="s">
        <v>25</v>
      </c>
    </row>
    <row r="681" spans="1:17" x14ac:dyDescent="0.25">
      <c r="A681" s="5" t="s">
        <v>731</v>
      </c>
      <c r="B681" s="6" t="s">
        <v>32</v>
      </c>
      <c r="C681" s="6" t="s">
        <v>19</v>
      </c>
      <c r="D681" s="6" t="s">
        <v>52</v>
      </c>
      <c r="E681" s="6" t="s">
        <v>21</v>
      </c>
      <c r="F681" s="6" t="s">
        <v>22</v>
      </c>
      <c r="G681" s="6">
        <v>25</v>
      </c>
      <c r="H681" s="7">
        <v>668.49</v>
      </c>
      <c r="I681" s="7">
        <v>16712.25</v>
      </c>
      <c r="J681" s="8">
        <v>45536</v>
      </c>
      <c r="K681" s="6">
        <v>20</v>
      </c>
      <c r="L681" s="6" t="s">
        <v>41</v>
      </c>
      <c r="M681" s="6" t="b">
        <v>1</v>
      </c>
      <c r="N681" s="6">
        <v>16.14</v>
      </c>
      <c r="O681" s="6" t="s">
        <v>30</v>
      </c>
      <c r="P681" s="6" t="b">
        <v>1</v>
      </c>
      <c r="Q681" s="9" t="s">
        <v>36</v>
      </c>
    </row>
    <row r="682" spans="1:17" x14ac:dyDescent="0.25">
      <c r="A682" s="5" t="s">
        <v>732</v>
      </c>
      <c r="B682" s="6" t="s">
        <v>66</v>
      </c>
      <c r="C682" s="6" t="s">
        <v>33</v>
      </c>
      <c r="D682" s="6" t="s">
        <v>64</v>
      </c>
      <c r="E682" s="6" t="s">
        <v>44</v>
      </c>
      <c r="F682" s="6" t="s">
        <v>40</v>
      </c>
      <c r="G682" s="6">
        <v>46</v>
      </c>
      <c r="H682" s="7">
        <v>251.98</v>
      </c>
      <c r="I682" s="7">
        <v>11591.08</v>
      </c>
      <c r="J682" s="8">
        <v>44942</v>
      </c>
      <c r="K682" s="6">
        <v>50</v>
      </c>
      <c r="L682" s="6" t="s">
        <v>41</v>
      </c>
      <c r="M682" s="6" t="b">
        <v>1</v>
      </c>
      <c r="N682" s="6">
        <v>13.66</v>
      </c>
      <c r="O682" s="6" t="s">
        <v>56</v>
      </c>
      <c r="P682" s="6" t="b">
        <v>1</v>
      </c>
      <c r="Q682" s="9" t="s">
        <v>36</v>
      </c>
    </row>
    <row r="683" spans="1:17" x14ac:dyDescent="0.25">
      <c r="A683" s="5" t="s">
        <v>733</v>
      </c>
      <c r="B683" s="6" t="s">
        <v>32</v>
      </c>
      <c r="C683" s="6" t="s">
        <v>19</v>
      </c>
      <c r="D683" s="6" t="s">
        <v>52</v>
      </c>
      <c r="E683" s="6" t="s">
        <v>21</v>
      </c>
      <c r="F683" s="6" t="s">
        <v>22</v>
      </c>
      <c r="G683" s="6">
        <v>73</v>
      </c>
      <c r="H683" s="7">
        <v>82.3</v>
      </c>
      <c r="I683" s="7">
        <v>6007.9</v>
      </c>
      <c r="J683" s="8">
        <v>45270</v>
      </c>
      <c r="K683" s="6">
        <v>61</v>
      </c>
      <c r="L683" s="6" t="s">
        <v>23</v>
      </c>
      <c r="M683" s="6" t="b">
        <v>0</v>
      </c>
      <c r="N683" s="6">
        <v>13.86</v>
      </c>
      <c r="O683" s="6" t="s">
        <v>30</v>
      </c>
      <c r="P683" s="6" t="b">
        <v>1</v>
      </c>
      <c r="Q683" s="9" t="s">
        <v>36</v>
      </c>
    </row>
    <row r="684" spans="1:17" x14ac:dyDescent="0.25">
      <c r="A684" s="5" t="s">
        <v>734</v>
      </c>
      <c r="B684" s="6" t="s">
        <v>18</v>
      </c>
      <c r="C684" s="6" t="s">
        <v>33</v>
      </c>
      <c r="D684" s="6" t="s">
        <v>20</v>
      </c>
      <c r="E684" s="6" t="s">
        <v>44</v>
      </c>
      <c r="F684" s="6" t="s">
        <v>48</v>
      </c>
      <c r="G684" s="6">
        <v>98</v>
      </c>
      <c r="H684" s="7">
        <v>1310.23</v>
      </c>
      <c r="I684" s="7">
        <v>128402.54</v>
      </c>
      <c r="J684" s="8">
        <v>45004</v>
      </c>
      <c r="K684" s="6">
        <v>49</v>
      </c>
      <c r="L684" s="6" t="s">
        <v>49</v>
      </c>
      <c r="M684" s="6" t="b">
        <v>1</v>
      </c>
      <c r="N684" s="6">
        <v>12.85</v>
      </c>
      <c r="O684" s="6" t="s">
        <v>30</v>
      </c>
      <c r="P684" s="6" t="b">
        <v>1</v>
      </c>
      <c r="Q684" s="9" t="s">
        <v>36</v>
      </c>
    </row>
    <row r="685" spans="1:17" x14ac:dyDescent="0.25">
      <c r="A685" s="5" t="s">
        <v>735</v>
      </c>
      <c r="B685" s="6" t="s">
        <v>46</v>
      </c>
      <c r="C685" s="6" t="s">
        <v>33</v>
      </c>
      <c r="D685" s="6" t="s">
        <v>64</v>
      </c>
      <c r="E685" s="6" t="s">
        <v>44</v>
      </c>
      <c r="F685" s="6" t="s">
        <v>29</v>
      </c>
      <c r="G685" s="6">
        <v>57</v>
      </c>
      <c r="H685" s="7">
        <v>853.49</v>
      </c>
      <c r="I685" s="7">
        <v>48648.93</v>
      </c>
      <c r="J685" s="8">
        <v>45272</v>
      </c>
      <c r="K685" s="6">
        <v>64</v>
      </c>
      <c r="L685" s="6" t="s">
        <v>49</v>
      </c>
      <c r="M685" s="6" t="b">
        <v>0</v>
      </c>
      <c r="N685" s="6">
        <v>15.94</v>
      </c>
      <c r="O685" s="6" t="s">
        <v>42</v>
      </c>
      <c r="P685" s="6" t="b">
        <v>0</v>
      </c>
      <c r="Q685" s="9" t="s">
        <v>25</v>
      </c>
    </row>
    <row r="686" spans="1:17" x14ac:dyDescent="0.25">
      <c r="A686" s="5" t="s">
        <v>736</v>
      </c>
      <c r="B686" s="6" t="s">
        <v>46</v>
      </c>
      <c r="C686" s="6" t="s">
        <v>19</v>
      </c>
      <c r="D686" s="6" t="s">
        <v>34</v>
      </c>
      <c r="E686" s="6" t="s">
        <v>44</v>
      </c>
      <c r="F686" s="6" t="s">
        <v>29</v>
      </c>
      <c r="G686" s="6">
        <v>87</v>
      </c>
      <c r="H686" s="7">
        <v>932.65</v>
      </c>
      <c r="I686" s="7">
        <v>81140.55</v>
      </c>
      <c r="J686" s="8">
        <v>44998</v>
      </c>
      <c r="K686" s="6">
        <v>28</v>
      </c>
      <c r="L686" s="6" t="s">
        <v>41</v>
      </c>
      <c r="M686" s="6" t="b">
        <v>0</v>
      </c>
      <c r="N686" s="6">
        <v>8.2100000000000009</v>
      </c>
      <c r="O686" s="6" t="s">
        <v>42</v>
      </c>
      <c r="P686" s="6" t="b">
        <v>0</v>
      </c>
      <c r="Q686" s="9" t="s">
        <v>25</v>
      </c>
    </row>
    <row r="687" spans="1:17" x14ac:dyDescent="0.25">
      <c r="A687" s="5" t="s">
        <v>737</v>
      </c>
      <c r="B687" s="6" t="s">
        <v>66</v>
      </c>
      <c r="C687" s="6" t="s">
        <v>19</v>
      </c>
      <c r="D687" s="6" t="s">
        <v>64</v>
      </c>
      <c r="E687" s="6" t="s">
        <v>35</v>
      </c>
      <c r="F687" s="6" t="s">
        <v>29</v>
      </c>
      <c r="G687" s="6">
        <v>5</v>
      </c>
      <c r="H687" s="7">
        <v>1394.13</v>
      </c>
      <c r="I687" s="7">
        <v>6970.65</v>
      </c>
      <c r="J687" s="8">
        <v>45196</v>
      </c>
      <c r="K687" s="6">
        <v>59</v>
      </c>
      <c r="L687" s="6" t="s">
        <v>49</v>
      </c>
      <c r="M687" s="6" t="b">
        <v>1</v>
      </c>
      <c r="N687" s="6">
        <v>27.8</v>
      </c>
      <c r="O687" s="6" t="s">
        <v>24</v>
      </c>
      <c r="P687" s="6" t="b">
        <v>1</v>
      </c>
      <c r="Q687" s="9" t="s">
        <v>36</v>
      </c>
    </row>
    <row r="688" spans="1:17" x14ac:dyDescent="0.25">
      <c r="A688" s="5" t="s">
        <v>738</v>
      </c>
      <c r="B688" s="6" t="s">
        <v>62</v>
      </c>
      <c r="C688" s="6" t="s">
        <v>33</v>
      </c>
      <c r="D688" s="6" t="s">
        <v>47</v>
      </c>
      <c r="E688" s="6" t="s">
        <v>21</v>
      </c>
      <c r="F688" s="6" t="s">
        <v>29</v>
      </c>
      <c r="G688" s="6">
        <v>55</v>
      </c>
      <c r="H688" s="7">
        <v>1014.42</v>
      </c>
      <c r="I688" s="7">
        <v>55793.1</v>
      </c>
      <c r="J688" s="8">
        <v>45213</v>
      </c>
      <c r="K688" s="6">
        <v>19</v>
      </c>
      <c r="L688" s="6" t="s">
        <v>41</v>
      </c>
      <c r="M688" s="6" t="b">
        <v>1</v>
      </c>
      <c r="N688" s="6">
        <v>14.71</v>
      </c>
      <c r="O688" s="6" t="s">
        <v>42</v>
      </c>
      <c r="P688" s="6" t="b">
        <v>0</v>
      </c>
      <c r="Q688" s="9" t="s">
        <v>25</v>
      </c>
    </row>
    <row r="689" spans="1:17" x14ac:dyDescent="0.25">
      <c r="A689" s="5" t="s">
        <v>739</v>
      </c>
      <c r="B689" s="6" t="s">
        <v>62</v>
      </c>
      <c r="C689" s="6" t="s">
        <v>19</v>
      </c>
      <c r="D689" s="6" t="s">
        <v>34</v>
      </c>
      <c r="E689" s="6" t="s">
        <v>35</v>
      </c>
      <c r="F689" s="6" t="s">
        <v>48</v>
      </c>
      <c r="G689" s="6">
        <v>61</v>
      </c>
      <c r="H689" s="7">
        <v>1051.74</v>
      </c>
      <c r="I689" s="7">
        <v>64156.14</v>
      </c>
      <c r="J689" s="8">
        <v>44992</v>
      </c>
      <c r="K689" s="6">
        <v>43</v>
      </c>
      <c r="L689" s="6" t="s">
        <v>23</v>
      </c>
      <c r="M689" s="6" t="b">
        <v>0</v>
      </c>
      <c r="N689" s="6">
        <v>25.26</v>
      </c>
      <c r="O689" s="6" t="s">
        <v>42</v>
      </c>
      <c r="P689" s="6" t="b">
        <v>0</v>
      </c>
      <c r="Q689" s="9" t="s">
        <v>36</v>
      </c>
    </row>
    <row r="690" spans="1:17" x14ac:dyDescent="0.25">
      <c r="A690" s="5" t="s">
        <v>740</v>
      </c>
      <c r="B690" s="6" t="s">
        <v>51</v>
      </c>
      <c r="C690" s="6" t="s">
        <v>19</v>
      </c>
      <c r="D690" s="6" t="s">
        <v>47</v>
      </c>
      <c r="E690" s="6" t="s">
        <v>21</v>
      </c>
      <c r="F690" s="6" t="s">
        <v>29</v>
      </c>
      <c r="G690" s="6">
        <v>89</v>
      </c>
      <c r="H690" s="7">
        <v>1191.0999999999999</v>
      </c>
      <c r="I690" s="7">
        <v>106007.9</v>
      </c>
      <c r="J690" s="8">
        <v>44994</v>
      </c>
      <c r="K690" s="6">
        <v>21</v>
      </c>
      <c r="L690" s="6" t="s">
        <v>23</v>
      </c>
      <c r="M690" s="6" t="b">
        <v>0</v>
      </c>
      <c r="N690" s="6">
        <v>14.26</v>
      </c>
      <c r="O690" s="6" t="s">
        <v>24</v>
      </c>
      <c r="P690" s="6" t="b">
        <v>0</v>
      </c>
      <c r="Q690" s="9" t="s">
        <v>25</v>
      </c>
    </row>
    <row r="691" spans="1:17" x14ac:dyDescent="0.25">
      <c r="A691" s="5" t="s">
        <v>741</v>
      </c>
      <c r="B691" s="6" t="s">
        <v>66</v>
      </c>
      <c r="C691" s="6" t="s">
        <v>19</v>
      </c>
      <c r="D691" s="6" t="s">
        <v>34</v>
      </c>
      <c r="E691" s="6" t="s">
        <v>35</v>
      </c>
      <c r="F691" s="6" t="s">
        <v>40</v>
      </c>
      <c r="G691" s="6">
        <v>8</v>
      </c>
      <c r="H691" s="7">
        <v>218.71</v>
      </c>
      <c r="I691" s="7">
        <v>1749.68</v>
      </c>
      <c r="J691" s="8">
        <v>45119</v>
      </c>
      <c r="K691" s="6">
        <v>34</v>
      </c>
      <c r="L691" s="6" t="s">
        <v>41</v>
      </c>
      <c r="M691" s="6" t="b">
        <v>1</v>
      </c>
      <c r="N691" s="6">
        <v>21.55</v>
      </c>
      <c r="O691" s="6" t="s">
        <v>56</v>
      </c>
      <c r="P691" s="6" t="b">
        <v>1</v>
      </c>
      <c r="Q691" s="9" t="s">
        <v>25</v>
      </c>
    </row>
    <row r="692" spans="1:17" x14ac:dyDescent="0.25">
      <c r="A692" s="5" t="s">
        <v>742</v>
      </c>
      <c r="B692" s="6" t="s">
        <v>72</v>
      </c>
      <c r="C692" s="6" t="s">
        <v>39</v>
      </c>
      <c r="D692" s="6" t="s">
        <v>52</v>
      </c>
      <c r="E692" s="6" t="s">
        <v>28</v>
      </c>
      <c r="F692" s="6" t="s">
        <v>40</v>
      </c>
      <c r="G692" s="6">
        <v>16</v>
      </c>
      <c r="H692" s="7">
        <v>572.24</v>
      </c>
      <c r="I692" s="7">
        <v>9155.84</v>
      </c>
      <c r="J692" s="8">
        <v>44981</v>
      </c>
      <c r="K692" s="6">
        <v>34</v>
      </c>
      <c r="L692" s="6" t="s">
        <v>23</v>
      </c>
      <c r="M692" s="6" t="b">
        <v>1</v>
      </c>
      <c r="N692" s="6">
        <v>10.11</v>
      </c>
      <c r="O692" s="6" t="s">
        <v>42</v>
      </c>
      <c r="P692" s="6" t="b">
        <v>0</v>
      </c>
      <c r="Q692" s="9" t="s">
        <v>36</v>
      </c>
    </row>
    <row r="693" spans="1:17" x14ac:dyDescent="0.25">
      <c r="A693" s="5" t="s">
        <v>743</v>
      </c>
      <c r="B693" s="6" t="s">
        <v>62</v>
      </c>
      <c r="C693" s="6" t="s">
        <v>33</v>
      </c>
      <c r="D693" s="6" t="s">
        <v>64</v>
      </c>
      <c r="E693" s="6" t="s">
        <v>44</v>
      </c>
      <c r="F693" s="6" t="s">
        <v>29</v>
      </c>
      <c r="G693" s="6">
        <v>48</v>
      </c>
      <c r="H693" s="7">
        <v>1453.9</v>
      </c>
      <c r="I693" s="7">
        <v>69787.199999999997</v>
      </c>
      <c r="J693" s="8">
        <v>45305</v>
      </c>
      <c r="K693" s="6">
        <v>45</v>
      </c>
      <c r="L693" s="6" t="s">
        <v>23</v>
      </c>
      <c r="M693" s="6" t="b">
        <v>1</v>
      </c>
      <c r="N693" s="6">
        <v>18.739999999999998</v>
      </c>
      <c r="O693" s="6" t="s">
        <v>56</v>
      </c>
      <c r="P693" s="6" t="b">
        <v>1</v>
      </c>
      <c r="Q693" s="9" t="s">
        <v>36</v>
      </c>
    </row>
    <row r="694" spans="1:17" x14ac:dyDescent="0.25">
      <c r="A694" s="5" t="s">
        <v>744</v>
      </c>
      <c r="B694" s="6" t="s">
        <v>38</v>
      </c>
      <c r="C694" s="6" t="s">
        <v>39</v>
      </c>
      <c r="D694" s="6" t="s">
        <v>20</v>
      </c>
      <c r="E694" s="6" t="s">
        <v>44</v>
      </c>
      <c r="F694" s="6" t="s">
        <v>40</v>
      </c>
      <c r="G694" s="6">
        <v>61</v>
      </c>
      <c r="H694" s="7">
        <v>1388.25</v>
      </c>
      <c r="I694" s="7">
        <v>84683.25</v>
      </c>
      <c r="J694" s="8">
        <v>45094</v>
      </c>
      <c r="K694" s="6">
        <v>47</v>
      </c>
      <c r="L694" s="6" t="s">
        <v>49</v>
      </c>
      <c r="M694" s="6" t="b">
        <v>1</v>
      </c>
      <c r="N694" s="6">
        <v>14.95</v>
      </c>
      <c r="O694" s="6" t="s">
        <v>24</v>
      </c>
      <c r="P694" s="6" t="b">
        <v>0</v>
      </c>
      <c r="Q694" s="9" t="s">
        <v>36</v>
      </c>
    </row>
    <row r="695" spans="1:17" x14ac:dyDescent="0.25">
      <c r="A695" s="5" t="s">
        <v>745</v>
      </c>
      <c r="B695" s="6" t="s">
        <v>76</v>
      </c>
      <c r="C695" s="6" t="s">
        <v>19</v>
      </c>
      <c r="D695" s="6" t="s">
        <v>34</v>
      </c>
      <c r="E695" s="6" t="s">
        <v>35</v>
      </c>
      <c r="F695" s="6" t="s">
        <v>22</v>
      </c>
      <c r="G695" s="6">
        <v>15</v>
      </c>
      <c r="H695" s="7">
        <v>1331.91</v>
      </c>
      <c r="I695" s="7">
        <v>19978.650000000001</v>
      </c>
      <c r="J695" s="8">
        <v>45335</v>
      </c>
      <c r="K695" s="6">
        <v>57</v>
      </c>
      <c r="L695" s="6" t="s">
        <v>49</v>
      </c>
      <c r="M695" s="6" t="b">
        <v>1</v>
      </c>
      <c r="N695" s="6">
        <v>11.01</v>
      </c>
      <c r="O695" s="6" t="s">
        <v>30</v>
      </c>
      <c r="P695" s="6" t="b">
        <v>1</v>
      </c>
      <c r="Q695" s="9" t="s">
        <v>25</v>
      </c>
    </row>
    <row r="696" spans="1:17" x14ac:dyDescent="0.25">
      <c r="A696" s="5" t="s">
        <v>746</v>
      </c>
      <c r="B696" s="6" t="s">
        <v>72</v>
      </c>
      <c r="C696" s="6" t="s">
        <v>39</v>
      </c>
      <c r="D696" s="6" t="s">
        <v>34</v>
      </c>
      <c r="E696" s="6" t="s">
        <v>28</v>
      </c>
      <c r="F696" s="6" t="s">
        <v>48</v>
      </c>
      <c r="G696" s="6">
        <v>65</v>
      </c>
      <c r="H696" s="7">
        <v>705.53</v>
      </c>
      <c r="I696" s="7">
        <v>45859.45</v>
      </c>
      <c r="J696" s="8">
        <v>45434</v>
      </c>
      <c r="K696" s="6">
        <v>40</v>
      </c>
      <c r="L696" s="6" t="s">
        <v>49</v>
      </c>
      <c r="M696" s="6" t="b">
        <v>0</v>
      </c>
      <c r="N696" s="6">
        <v>26.45</v>
      </c>
      <c r="O696" s="6" t="s">
        <v>56</v>
      </c>
      <c r="P696" s="6" t="b">
        <v>0</v>
      </c>
      <c r="Q696" s="9" t="s">
        <v>25</v>
      </c>
    </row>
    <row r="697" spans="1:17" x14ac:dyDescent="0.25">
      <c r="A697" s="5" t="s">
        <v>747</v>
      </c>
      <c r="B697" s="6" t="s">
        <v>18</v>
      </c>
      <c r="C697" s="6" t="s">
        <v>19</v>
      </c>
      <c r="D697" s="6" t="s">
        <v>47</v>
      </c>
      <c r="E697" s="6" t="s">
        <v>44</v>
      </c>
      <c r="F697" s="6" t="s">
        <v>29</v>
      </c>
      <c r="G697" s="6">
        <v>22</v>
      </c>
      <c r="H697" s="7">
        <v>1292.93</v>
      </c>
      <c r="I697" s="7">
        <v>28444.46</v>
      </c>
      <c r="J697" s="8">
        <v>45463</v>
      </c>
      <c r="K697" s="6">
        <v>63</v>
      </c>
      <c r="L697" s="6" t="s">
        <v>49</v>
      </c>
      <c r="M697" s="6" t="b">
        <v>0</v>
      </c>
      <c r="N697" s="6">
        <v>3.38</v>
      </c>
      <c r="O697" s="6" t="s">
        <v>24</v>
      </c>
      <c r="P697" s="6" t="b">
        <v>0</v>
      </c>
      <c r="Q697" s="9" t="s">
        <v>25</v>
      </c>
    </row>
    <row r="698" spans="1:17" x14ac:dyDescent="0.25">
      <c r="A698" s="5" t="s">
        <v>748</v>
      </c>
      <c r="B698" s="6" t="s">
        <v>38</v>
      </c>
      <c r="C698" s="6" t="s">
        <v>39</v>
      </c>
      <c r="D698" s="6" t="s">
        <v>52</v>
      </c>
      <c r="E698" s="6" t="s">
        <v>21</v>
      </c>
      <c r="F698" s="6" t="s">
        <v>29</v>
      </c>
      <c r="G698" s="6">
        <v>3</v>
      </c>
      <c r="H698" s="7">
        <v>120.17</v>
      </c>
      <c r="I698" s="7">
        <v>360.51</v>
      </c>
      <c r="J698" s="8">
        <v>45569</v>
      </c>
      <c r="K698" s="6">
        <v>41</v>
      </c>
      <c r="L698" s="6" t="s">
        <v>49</v>
      </c>
      <c r="M698" s="6" t="b">
        <v>0</v>
      </c>
      <c r="N698" s="6">
        <v>14.61</v>
      </c>
      <c r="O698" s="6" t="s">
        <v>56</v>
      </c>
      <c r="P698" s="6" t="b">
        <v>1</v>
      </c>
      <c r="Q698" s="9" t="s">
        <v>36</v>
      </c>
    </row>
    <row r="699" spans="1:17" x14ac:dyDescent="0.25">
      <c r="A699" s="5" t="s">
        <v>749</v>
      </c>
      <c r="B699" s="6" t="s">
        <v>38</v>
      </c>
      <c r="C699" s="6" t="s">
        <v>19</v>
      </c>
      <c r="D699" s="6" t="s">
        <v>47</v>
      </c>
      <c r="E699" s="6" t="s">
        <v>35</v>
      </c>
      <c r="F699" s="6" t="s">
        <v>48</v>
      </c>
      <c r="G699" s="6">
        <v>54</v>
      </c>
      <c r="H699" s="7">
        <v>265.35000000000002</v>
      </c>
      <c r="I699" s="7">
        <v>14328.9</v>
      </c>
      <c r="J699" s="8">
        <v>45028</v>
      </c>
      <c r="K699" s="6">
        <v>46</v>
      </c>
      <c r="L699" s="6" t="s">
        <v>41</v>
      </c>
      <c r="M699" s="6" t="b">
        <v>0</v>
      </c>
      <c r="N699" s="6">
        <v>5.83</v>
      </c>
      <c r="O699" s="6" t="s">
        <v>24</v>
      </c>
      <c r="P699" s="6" t="b">
        <v>1</v>
      </c>
      <c r="Q699" s="9" t="s">
        <v>36</v>
      </c>
    </row>
    <row r="700" spans="1:17" x14ac:dyDescent="0.25">
      <c r="A700" s="5" t="s">
        <v>750</v>
      </c>
      <c r="B700" s="6" t="s">
        <v>66</v>
      </c>
      <c r="C700" s="6" t="s">
        <v>39</v>
      </c>
      <c r="D700" s="6" t="s">
        <v>47</v>
      </c>
      <c r="E700" s="6" t="s">
        <v>44</v>
      </c>
      <c r="F700" s="6" t="s">
        <v>40</v>
      </c>
      <c r="G700" s="6">
        <v>14</v>
      </c>
      <c r="H700" s="7">
        <v>650.25</v>
      </c>
      <c r="I700" s="7">
        <v>9103.5</v>
      </c>
      <c r="J700" s="8">
        <v>45348</v>
      </c>
      <c r="K700" s="6">
        <v>21</v>
      </c>
      <c r="L700" s="6" t="s">
        <v>41</v>
      </c>
      <c r="M700" s="6" t="b">
        <v>1</v>
      </c>
      <c r="N700" s="6">
        <v>25.83</v>
      </c>
      <c r="O700" s="6" t="s">
        <v>24</v>
      </c>
      <c r="P700" s="6" t="b">
        <v>0</v>
      </c>
      <c r="Q700" s="9" t="s">
        <v>36</v>
      </c>
    </row>
    <row r="701" spans="1:17" x14ac:dyDescent="0.25">
      <c r="A701" s="5" t="s">
        <v>751</v>
      </c>
      <c r="B701" s="6" t="s">
        <v>51</v>
      </c>
      <c r="C701" s="6" t="s">
        <v>39</v>
      </c>
      <c r="D701" s="6" t="s">
        <v>52</v>
      </c>
      <c r="E701" s="6" t="s">
        <v>44</v>
      </c>
      <c r="F701" s="6" t="s">
        <v>48</v>
      </c>
      <c r="G701" s="6">
        <v>36</v>
      </c>
      <c r="H701" s="7">
        <v>750.92</v>
      </c>
      <c r="I701" s="7">
        <v>27033.119999999999</v>
      </c>
      <c r="J701" s="8">
        <v>45404</v>
      </c>
      <c r="K701" s="6">
        <v>55</v>
      </c>
      <c r="L701" s="6" t="s">
        <v>49</v>
      </c>
      <c r="M701" s="6" t="b">
        <v>0</v>
      </c>
      <c r="N701" s="6">
        <v>7.6</v>
      </c>
      <c r="O701" s="6" t="s">
        <v>30</v>
      </c>
      <c r="P701" s="6" t="b">
        <v>1</v>
      </c>
      <c r="Q701" s="9" t="s">
        <v>25</v>
      </c>
    </row>
    <row r="702" spans="1:17" x14ac:dyDescent="0.25">
      <c r="A702" s="5" t="s">
        <v>752</v>
      </c>
      <c r="B702" s="6" t="s">
        <v>18</v>
      </c>
      <c r="C702" s="6" t="s">
        <v>39</v>
      </c>
      <c r="D702" s="6" t="s">
        <v>20</v>
      </c>
      <c r="E702" s="6" t="s">
        <v>35</v>
      </c>
      <c r="F702" s="6" t="s">
        <v>48</v>
      </c>
      <c r="G702" s="6">
        <v>82</v>
      </c>
      <c r="H702" s="7">
        <v>432.09</v>
      </c>
      <c r="I702" s="7">
        <v>35431.379999999997</v>
      </c>
      <c r="J702" s="8">
        <v>45046</v>
      </c>
      <c r="K702" s="6">
        <v>46</v>
      </c>
      <c r="L702" s="6" t="s">
        <v>23</v>
      </c>
      <c r="M702" s="6" t="b">
        <v>1</v>
      </c>
      <c r="N702" s="6">
        <v>19</v>
      </c>
      <c r="O702" s="6" t="s">
        <v>56</v>
      </c>
      <c r="P702" s="6" t="b">
        <v>1</v>
      </c>
      <c r="Q702" s="9" t="s">
        <v>25</v>
      </c>
    </row>
    <row r="703" spans="1:17" x14ac:dyDescent="0.25">
      <c r="A703" s="5" t="s">
        <v>753</v>
      </c>
      <c r="B703" s="6" t="s">
        <v>62</v>
      </c>
      <c r="C703" s="6" t="s">
        <v>33</v>
      </c>
      <c r="D703" s="6" t="s">
        <v>47</v>
      </c>
      <c r="E703" s="6" t="s">
        <v>35</v>
      </c>
      <c r="F703" s="6" t="s">
        <v>40</v>
      </c>
      <c r="G703" s="6">
        <v>82</v>
      </c>
      <c r="H703" s="7">
        <v>566.89</v>
      </c>
      <c r="I703" s="7">
        <v>46484.98</v>
      </c>
      <c r="J703" s="8">
        <v>45217</v>
      </c>
      <c r="K703" s="6">
        <v>36</v>
      </c>
      <c r="L703" s="6" t="s">
        <v>23</v>
      </c>
      <c r="M703" s="6" t="b">
        <v>1</v>
      </c>
      <c r="N703" s="6">
        <v>4.97</v>
      </c>
      <c r="O703" s="6" t="s">
        <v>30</v>
      </c>
      <c r="P703" s="6" t="b">
        <v>1</v>
      </c>
      <c r="Q703" s="9" t="s">
        <v>36</v>
      </c>
    </row>
    <row r="704" spans="1:17" x14ac:dyDescent="0.25">
      <c r="A704" s="5" t="s">
        <v>754</v>
      </c>
      <c r="B704" s="6" t="s">
        <v>66</v>
      </c>
      <c r="C704" s="6" t="s">
        <v>39</v>
      </c>
      <c r="D704" s="6" t="s">
        <v>47</v>
      </c>
      <c r="E704" s="6" t="s">
        <v>21</v>
      </c>
      <c r="F704" s="6" t="s">
        <v>48</v>
      </c>
      <c r="G704" s="6">
        <v>67</v>
      </c>
      <c r="H704" s="7">
        <v>286.02999999999997</v>
      </c>
      <c r="I704" s="7">
        <v>19164.009999999998</v>
      </c>
      <c r="J704" s="8">
        <v>45414</v>
      </c>
      <c r="K704" s="6">
        <v>44</v>
      </c>
      <c r="L704" s="6" t="s">
        <v>41</v>
      </c>
      <c r="M704" s="6" t="b">
        <v>1</v>
      </c>
      <c r="N704" s="6">
        <v>12.15</v>
      </c>
      <c r="O704" s="6" t="s">
        <v>30</v>
      </c>
      <c r="P704" s="6" t="b">
        <v>1</v>
      </c>
      <c r="Q704" s="9" t="s">
        <v>36</v>
      </c>
    </row>
    <row r="705" spans="1:17" x14ac:dyDescent="0.25">
      <c r="A705" s="5" t="s">
        <v>755</v>
      </c>
      <c r="B705" s="6" t="s">
        <v>62</v>
      </c>
      <c r="C705" s="6" t="s">
        <v>33</v>
      </c>
      <c r="D705" s="6" t="s">
        <v>34</v>
      </c>
      <c r="E705" s="6" t="s">
        <v>21</v>
      </c>
      <c r="F705" s="6" t="s">
        <v>40</v>
      </c>
      <c r="G705" s="6">
        <v>10</v>
      </c>
      <c r="H705" s="7">
        <v>759.24</v>
      </c>
      <c r="I705" s="7">
        <v>7592.4</v>
      </c>
      <c r="J705" s="8">
        <v>45087</v>
      </c>
      <c r="K705" s="6">
        <v>46</v>
      </c>
      <c r="L705" s="6" t="s">
        <v>41</v>
      </c>
      <c r="M705" s="6" t="b">
        <v>1</v>
      </c>
      <c r="N705" s="6">
        <v>26.98</v>
      </c>
      <c r="O705" s="6" t="s">
        <v>56</v>
      </c>
      <c r="P705" s="6" t="b">
        <v>0</v>
      </c>
      <c r="Q705" s="9" t="s">
        <v>36</v>
      </c>
    </row>
    <row r="706" spans="1:17" x14ac:dyDescent="0.25">
      <c r="A706" s="5" t="s">
        <v>756</v>
      </c>
      <c r="B706" s="6" t="s">
        <v>66</v>
      </c>
      <c r="C706" s="6" t="s">
        <v>19</v>
      </c>
      <c r="D706" s="6" t="s">
        <v>52</v>
      </c>
      <c r="E706" s="6" t="s">
        <v>44</v>
      </c>
      <c r="F706" s="6" t="s">
        <v>40</v>
      </c>
      <c r="G706" s="6">
        <v>49</v>
      </c>
      <c r="H706" s="7">
        <v>1201.07</v>
      </c>
      <c r="I706" s="7">
        <v>58852.43</v>
      </c>
      <c r="J706" s="8">
        <v>45004</v>
      </c>
      <c r="K706" s="6">
        <v>53</v>
      </c>
      <c r="L706" s="6" t="s">
        <v>41</v>
      </c>
      <c r="M706" s="6" t="b">
        <v>1</v>
      </c>
      <c r="N706" s="6">
        <v>4.9800000000000004</v>
      </c>
      <c r="O706" s="6" t="s">
        <v>56</v>
      </c>
      <c r="P706" s="6" t="b">
        <v>1</v>
      </c>
      <c r="Q706" s="9" t="s">
        <v>25</v>
      </c>
    </row>
    <row r="707" spans="1:17" x14ac:dyDescent="0.25">
      <c r="A707" s="5" t="s">
        <v>757</v>
      </c>
      <c r="B707" s="6" t="s">
        <v>66</v>
      </c>
      <c r="C707" s="6" t="s">
        <v>39</v>
      </c>
      <c r="D707" s="6" t="s">
        <v>64</v>
      </c>
      <c r="E707" s="6" t="s">
        <v>44</v>
      </c>
      <c r="F707" s="6" t="s">
        <v>48</v>
      </c>
      <c r="G707" s="6">
        <v>65</v>
      </c>
      <c r="H707" s="7">
        <v>1008.97</v>
      </c>
      <c r="I707" s="7">
        <v>65583.05</v>
      </c>
      <c r="J707" s="8">
        <v>44964</v>
      </c>
      <c r="K707" s="6">
        <v>52</v>
      </c>
      <c r="L707" s="6" t="s">
        <v>23</v>
      </c>
      <c r="M707" s="6" t="b">
        <v>0</v>
      </c>
      <c r="N707" s="6">
        <v>19.899999999999999</v>
      </c>
      <c r="O707" s="6" t="s">
        <v>24</v>
      </c>
      <c r="P707" s="6" t="b">
        <v>0</v>
      </c>
      <c r="Q707" s="9" t="s">
        <v>25</v>
      </c>
    </row>
    <row r="708" spans="1:17" x14ac:dyDescent="0.25">
      <c r="A708" s="5" t="s">
        <v>758</v>
      </c>
      <c r="B708" s="6" t="s">
        <v>66</v>
      </c>
      <c r="C708" s="6" t="s">
        <v>19</v>
      </c>
      <c r="D708" s="6" t="s">
        <v>20</v>
      </c>
      <c r="E708" s="6" t="s">
        <v>35</v>
      </c>
      <c r="F708" s="6" t="s">
        <v>22</v>
      </c>
      <c r="G708" s="6">
        <v>91</v>
      </c>
      <c r="H708" s="7">
        <v>206.3</v>
      </c>
      <c r="I708" s="7">
        <v>18773.3</v>
      </c>
      <c r="J708" s="8">
        <v>45320</v>
      </c>
      <c r="K708" s="6">
        <v>69</v>
      </c>
      <c r="L708" s="6" t="s">
        <v>41</v>
      </c>
      <c r="M708" s="6" t="b">
        <v>1</v>
      </c>
      <c r="N708" s="6">
        <v>6.14</v>
      </c>
      <c r="O708" s="6" t="s">
        <v>56</v>
      </c>
      <c r="P708" s="6" t="b">
        <v>0</v>
      </c>
      <c r="Q708" s="9" t="s">
        <v>36</v>
      </c>
    </row>
    <row r="709" spans="1:17" x14ac:dyDescent="0.25">
      <c r="A709" s="5" t="s">
        <v>759</v>
      </c>
      <c r="B709" s="6" t="s">
        <v>51</v>
      </c>
      <c r="C709" s="6" t="s">
        <v>19</v>
      </c>
      <c r="D709" s="6" t="s">
        <v>20</v>
      </c>
      <c r="E709" s="6" t="s">
        <v>44</v>
      </c>
      <c r="F709" s="6" t="s">
        <v>40</v>
      </c>
      <c r="G709" s="6">
        <v>57</v>
      </c>
      <c r="H709" s="7">
        <v>756.99</v>
      </c>
      <c r="I709" s="7">
        <v>43148.43</v>
      </c>
      <c r="J709" s="8">
        <v>45367</v>
      </c>
      <c r="K709" s="6">
        <v>23</v>
      </c>
      <c r="L709" s="6" t="s">
        <v>23</v>
      </c>
      <c r="M709" s="6" t="b">
        <v>1</v>
      </c>
      <c r="N709" s="6">
        <v>12.47</v>
      </c>
      <c r="O709" s="6" t="s">
        <v>24</v>
      </c>
      <c r="P709" s="6" t="b">
        <v>1</v>
      </c>
      <c r="Q709" s="9" t="s">
        <v>36</v>
      </c>
    </row>
    <row r="710" spans="1:17" x14ac:dyDescent="0.25">
      <c r="A710" s="5" t="s">
        <v>760</v>
      </c>
      <c r="B710" s="6" t="s">
        <v>66</v>
      </c>
      <c r="C710" s="6" t="s">
        <v>39</v>
      </c>
      <c r="D710" s="6" t="s">
        <v>52</v>
      </c>
      <c r="E710" s="6" t="s">
        <v>44</v>
      </c>
      <c r="F710" s="6" t="s">
        <v>48</v>
      </c>
      <c r="G710" s="6">
        <v>27</v>
      </c>
      <c r="H710" s="7">
        <v>1061.5899999999999</v>
      </c>
      <c r="I710" s="7">
        <v>28662.93</v>
      </c>
      <c r="J710" s="8">
        <v>45466</v>
      </c>
      <c r="K710" s="6">
        <v>40</v>
      </c>
      <c r="L710" s="6" t="s">
        <v>41</v>
      </c>
      <c r="M710" s="6" t="b">
        <v>1</v>
      </c>
      <c r="N710" s="6">
        <v>16.22</v>
      </c>
      <c r="O710" s="6" t="s">
        <v>24</v>
      </c>
      <c r="P710" s="6" t="b">
        <v>1</v>
      </c>
      <c r="Q710" s="9" t="s">
        <v>36</v>
      </c>
    </row>
    <row r="711" spans="1:17" x14ac:dyDescent="0.25">
      <c r="A711" s="5" t="s">
        <v>761</v>
      </c>
      <c r="B711" s="6" t="s">
        <v>27</v>
      </c>
      <c r="C711" s="6" t="s">
        <v>33</v>
      </c>
      <c r="D711" s="6" t="s">
        <v>34</v>
      </c>
      <c r="E711" s="6" t="s">
        <v>35</v>
      </c>
      <c r="F711" s="6" t="s">
        <v>40</v>
      </c>
      <c r="G711" s="6">
        <v>75</v>
      </c>
      <c r="H711" s="7">
        <v>818.35</v>
      </c>
      <c r="I711" s="7">
        <v>61376.25</v>
      </c>
      <c r="J711" s="8">
        <v>45388</v>
      </c>
      <c r="K711" s="6">
        <v>56</v>
      </c>
      <c r="L711" s="6" t="s">
        <v>23</v>
      </c>
      <c r="M711" s="6" t="b">
        <v>0</v>
      </c>
      <c r="N711" s="6">
        <v>17.32</v>
      </c>
      <c r="O711" s="6" t="s">
        <v>24</v>
      </c>
      <c r="P711" s="6" t="b">
        <v>1</v>
      </c>
      <c r="Q711" s="9" t="s">
        <v>25</v>
      </c>
    </row>
    <row r="712" spans="1:17" x14ac:dyDescent="0.25">
      <c r="A712" s="5" t="s">
        <v>762</v>
      </c>
      <c r="B712" s="6" t="s">
        <v>76</v>
      </c>
      <c r="C712" s="6" t="s">
        <v>39</v>
      </c>
      <c r="D712" s="6" t="s">
        <v>34</v>
      </c>
      <c r="E712" s="6" t="s">
        <v>44</v>
      </c>
      <c r="F712" s="6" t="s">
        <v>22</v>
      </c>
      <c r="G712" s="6">
        <v>5</v>
      </c>
      <c r="H712" s="7">
        <v>617.92999999999995</v>
      </c>
      <c r="I712" s="7">
        <v>3089.65</v>
      </c>
      <c r="J712" s="8">
        <v>45538</v>
      </c>
      <c r="K712" s="6">
        <v>63</v>
      </c>
      <c r="L712" s="6" t="s">
        <v>41</v>
      </c>
      <c r="M712" s="6" t="b">
        <v>1</v>
      </c>
      <c r="N712" s="6">
        <v>18.079999999999998</v>
      </c>
      <c r="O712" s="6" t="s">
        <v>24</v>
      </c>
      <c r="P712" s="6" t="b">
        <v>1</v>
      </c>
      <c r="Q712" s="9" t="s">
        <v>25</v>
      </c>
    </row>
    <row r="713" spans="1:17" x14ac:dyDescent="0.25">
      <c r="A713" s="5" t="s">
        <v>763</v>
      </c>
      <c r="B713" s="6" t="s">
        <v>62</v>
      </c>
      <c r="C713" s="6" t="s">
        <v>19</v>
      </c>
      <c r="D713" s="6" t="s">
        <v>52</v>
      </c>
      <c r="E713" s="6" t="s">
        <v>44</v>
      </c>
      <c r="F713" s="6" t="s">
        <v>22</v>
      </c>
      <c r="G713" s="6">
        <v>71</v>
      </c>
      <c r="H713" s="7">
        <v>951.78</v>
      </c>
      <c r="I713" s="7">
        <v>67576.38</v>
      </c>
      <c r="J713" s="8">
        <v>45220</v>
      </c>
      <c r="K713" s="6">
        <v>61</v>
      </c>
      <c r="L713" s="6" t="s">
        <v>41</v>
      </c>
      <c r="M713" s="6" t="b">
        <v>1</v>
      </c>
      <c r="N713" s="6">
        <v>19.2</v>
      </c>
      <c r="O713" s="6" t="s">
        <v>24</v>
      </c>
      <c r="P713" s="6" t="b">
        <v>0</v>
      </c>
      <c r="Q713" s="9" t="s">
        <v>25</v>
      </c>
    </row>
    <row r="714" spans="1:17" x14ac:dyDescent="0.25">
      <c r="A714" s="5" t="s">
        <v>764</v>
      </c>
      <c r="B714" s="6" t="s">
        <v>72</v>
      </c>
      <c r="C714" s="6" t="s">
        <v>19</v>
      </c>
      <c r="D714" s="6" t="s">
        <v>34</v>
      </c>
      <c r="E714" s="6" t="s">
        <v>28</v>
      </c>
      <c r="F714" s="6" t="s">
        <v>29</v>
      </c>
      <c r="G714" s="6">
        <v>83</v>
      </c>
      <c r="H714" s="7">
        <v>1454.53</v>
      </c>
      <c r="I714" s="7">
        <v>120725.99</v>
      </c>
      <c r="J714" s="8">
        <v>45326</v>
      </c>
      <c r="K714" s="6">
        <v>65</v>
      </c>
      <c r="L714" s="6" t="s">
        <v>23</v>
      </c>
      <c r="M714" s="6" t="b">
        <v>1</v>
      </c>
      <c r="N714" s="6">
        <v>8.15</v>
      </c>
      <c r="O714" s="6" t="s">
        <v>24</v>
      </c>
      <c r="P714" s="6" t="b">
        <v>0</v>
      </c>
      <c r="Q714" s="9" t="s">
        <v>36</v>
      </c>
    </row>
    <row r="715" spans="1:17" x14ac:dyDescent="0.25">
      <c r="A715" s="5" t="s">
        <v>765</v>
      </c>
      <c r="B715" s="6" t="s">
        <v>32</v>
      </c>
      <c r="C715" s="6" t="s">
        <v>39</v>
      </c>
      <c r="D715" s="6" t="s">
        <v>20</v>
      </c>
      <c r="E715" s="6" t="s">
        <v>21</v>
      </c>
      <c r="F715" s="6" t="s">
        <v>40</v>
      </c>
      <c r="G715" s="6">
        <v>57</v>
      </c>
      <c r="H715" s="7">
        <v>187.62</v>
      </c>
      <c r="I715" s="7">
        <v>10694.34</v>
      </c>
      <c r="J715" s="8">
        <v>45562</v>
      </c>
      <c r="K715" s="6">
        <v>69</v>
      </c>
      <c r="L715" s="6" t="s">
        <v>41</v>
      </c>
      <c r="M715" s="6" t="b">
        <v>0</v>
      </c>
      <c r="N715" s="6">
        <v>12.04</v>
      </c>
      <c r="O715" s="6" t="s">
        <v>56</v>
      </c>
      <c r="P715" s="6" t="b">
        <v>1</v>
      </c>
      <c r="Q715" s="9" t="s">
        <v>36</v>
      </c>
    </row>
    <row r="716" spans="1:17" x14ac:dyDescent="0.25">
      <c r="A716" s="5" t="s">
        <v>766</v>
      </c>
      <c r="B716" s="6" t="s">
        <v>18</v>
      </c>
      <c r="C716" s="6" t="s">
        <v>33</v>
      </c>
      <c r="D716" s="6" t="s">
        <v>20</v>
      </c>
      <c r="E716" s="6" t="s">
        <v>35</v>
      </c>
      <c r="F716" s="6" t="s">
        <v>40</v>
      </c>
      <c r="G716" s="6">
        <v>93</v>
      </c>
      <c r="H716" s="7">
        <v>615.52</v>
      </c>
      <c r="I716" s="7">
        <v>57243.360000000001</v>
      </c>
      <c r="J716" s="8">
        <v>45018</v>
      </c>
      <c r="K716" s="6">
        <v>25</v>
      </c>
      <c r="L716" s="6" t="s">
        <v>49</v>
      </c>
      <c r="M716" s="6" t="b">
        <v>1</v>
      </c>
      <c r="N716" s="6">
        <v>1.1200000000000001</v>
      </c>
      <c r="O716" s="6" t="s">
        <v>56</v>
      </c>
      <c r="P716" s="6" t="b">
        <v>0</v>
      </c>
      <c r="Q716" s="9" t="s">
        <v>36</v>
      </c>
    </row>
    <row r="717" spans="1:17" x14ac:dyDescent="0.25">
      <c r="A717" s="5" t="s">
        <v>767</v>
      </c>
      <c r="B717" s="6" t="s">
        <v>46</v>
      </c>
      <c r="C717" s="6" t="s">
        <v>33</v>
      </c>
      <c r="D717" s="6" t="s">
        <v>64</v>
      </c>
      <c r="E717" s="6" t="s">
        <v>28</v>
      </c>
      <c r="F717" s="6" t="s">
        <v>48</v>
      </c>
      <c r="G717" s="6">
        <v>15</v>
      </c>
      <c r="H717" s="7">
        <v>639.58000000000004</v>
      </c>
      <c r="I717" s="7">
        <v>9593.7000000000007</v>
      </c>
      <c r="J717" s="8">
        <v>45535</v>
      </c>
      <c r="K717" s="6">
        <v>19</v>
      </c>
      <c r="L717" s="6" t="s">
        <v>23</v>
      </c>
      <c r="M717" s="6" t="b">
        <v>0</v>
      </c>
      <c r="N717" s="6">
        <v>23.06</v>
      </c>
      <c r="O717" s="6" t="s">
        <v>42</v>
      </c>
      <c r="P717" s="6" t="b">
        <v>1</v>
      </c>
      <c r="Q717" s="9" t="s">
        <v>36</v>
      </c>
    </row>
    <row r="718" spans="1:17" x14ac:dyDescent="0.25">
      <c r="A718" s="5" t="s">
        <v>768</v>
      </c>
      <c r="B718" s="6" t="s">
        <v>51</v>
      </c>
      <c r="C718" s="6" t="s">
        <v>19</v>
      </c>
      <c r="D718" s="6" t="s">
        <v>52</v>
      </c>
      <c r="E718" s="6" t="s">
        <v>21</v>
      </c>
      <c r="F718" s="6" t="s">
        <v>40</v>
      </c>
      <c r="G718" s="6">
        <v>99</v>
      </c>
      <c r="H718" s="7">
        <v>886.6</v>
      </c>
      <c r="I718" s="7">
        <v>87773.4</v>
      </c>
      <c r="J718" s="8">
        <v>44932</v>
      </c>
      <c r="K718" s="6">
        <v>30</v>
      </c>
      <c r="L718" s="6" t="s">
        <v>41</v>
      </c>
      <c r="M718" s="6" t="b">
        <v>0</v>
      </c>
      <c r="N718" s="6">
        <v>25.11</v>
      </c>
      <c r="O718" s="6" t="s">
        <v>56</v>
      </c>
      <c r="P718" s="6" t="b">
        <v>0</v>
      </c>
      <c r="Q718" s="9" t="s">
        <v>36</v>
      </c>
    </row>
    <row r="719" spans="1:17" x14ac:dyDescent="0.25">
      <c r="A719" s="5" t="s">
        <v>769</v>
      </c>
      <c r="B719" s="6" t="s">
        <v>72</v>
      </c>
      <c r="C719" s="6" t="s">
        <v>19</v>
      </c>
      <c r="D719" s="6" t="s">
        <v>47</v>
      </c>
      <c r="E719" s="6" t="s">
        <v>21</v>
      </c>
      <c r="F719" s="6" t="s">
        <v>29</v>
      </c>
      <c r="G719" s="6">
        <v>76</v>
      </c>
      <c r="H719" s="7">
        <v>270.64999999999998</v>
      </c>
      <c r="I719" s="7">
        <v>20569.400000000001</v>
      </c>
      <c r="J719" s="8">
        <v>45197</v>
      </c>
      <c r="K719" s="6">
        <v>57</v>
      </c>
      <c r="L719" s="6" t="s">
        <v>23</v>
      </c>
      <c r="M719" s="6" t="b">
        <v>1</v>
      </c>
      <c r="N719" s="6">
        <v>5.98</v>
      </c>
      <c r="O719" s="6" t="s">
        <v>30</v>
      </c>
      <c r="P719" s="6" t="b">
        <v>0</v>
      </c>
      <c r="Q719" s="9" t="s">
        <v>36</v>
      </c>
    </row>
    <row r="720" spans="1:17" x14ac:dyDescent="0.25">
      <c r="A720" s="5" t="s">
        <v>770</v>
      </c>
      <c r="B720" s="6" t="s">
        <v>38</v>
      </c>
      <c r="C720" s="6" t="s">
        <v>33</v>
      </c>
      <c r="D720" s="6" t="s">
        <v>47</v>
      </c>
      <c r="E720" s="6" t="s">
        <v>21</v>
      </c>
      <c r="F720" s="6" t="s">
        <v>22</v>
      </c>
      <c r="G720" s="6">
        <v>30</v>
      </c>
      <c r="H720" s="7">
        <v>306.13</v>
      </c>
      <c r="I720" s="7">
        <v>9183.9</v>
      </c>
      <c r="J720" s="8">
        <v>45546</v>
      </c>
      <c r="K720" s="6">
        <v>38</v>
      </c>
      <c r="L720" s="6" t="s">
        <v>41</v>
      </c>
      <c r="M720" s="6" t="b">
        <v>0</v>
      </c>
      <c r="N720" s="6">
        <v>6.04</v>
      </c>
      <c r="O720" s="6" t="s">
        <v>42</v>
      </c>
      <c r="P720" s="6" t="b">
        <v>0</v>
      </c>
      <c r="Q720" s="9" t="s">
        <v>36</v>
      </c>
    </row>
    <row r="721" spans="1:17" x14ac:dyDescent="0.25">
      <c r="A721" s="5" t="s">
        <v>771</v>
      </c>
      <c r="B721" s="6" t="s">
        <v>27</v>
      </c>
      <c r="C721" s="6" t="s">
        <v>39</v>
      </c>
      <c r="D721" s="6" t="s">
        <v>64</v>
      </c>
      <c r="E721" s="6" t="s">
        <v>28</v>
      </c>
      <c r="F721" s="6" t="s">
        <v>22</v>
      </c>
      <c r="G721" s="6">
        <v>20</v>
      </c>
      <c r="H721" s="7">
        <v>463.77</v>
      </c>
      <c r="I721" s="7">
        <v>9275.4</v>
      </c>
      <c r="J721" s="8">
        <v>45485</v>
      </c>
      <c r="K721" s="6">
        <v>48</v>
      </c>
      <c r="L721" s="6" t="s">
        <v>49</v>
      </c>
      <c r="M721" s="6" t="b">
        <v>0</v>
      </c>
      <c r="N721" s="6">
        <v>1.26</v>
      </c>
      <c r="O721" s="6" t="s">
        <v>56</v>
      </c>
      <c r="P721" s="6" t="b">
        <v>1</v>
      </c>
      <c r="Q721" s="9" t="s">
        <v>36</v>
      </c>
    </row>
    <row r="722" spans="1:17" x14ac:dyDescent="0.25">
      <c r="A722" s="5" t="s">
        <v>772</v>
      </c>
      <c r="B722" s="6" t="s">
        <v>46</v>
      </c>
      <c r="C722" s="6" t="s">
        <v>19</v>
      </c>
      <c r="D722" s="6" t="s">
        <v>64</v>
      </c>
      <c r="E722" s="6" t="s">
        <v>28</v>
      </c>
      <c r="F722" s="6" t="s">
        <v>29</v>
      </c>
      <c r="G722" s="6">
        <v>37</v>
      </c>
      <c r="H722" s="7">
        <v>1436.01</v>
      </c>
      <c r="I722" s="7">
        <v>53132.37</v>
      </c>
      <c r="J722" s="8">
        <v>45025</v>
      </c>
      <c r="K722" s="6">
        <v>69</v>
      </c>
      <c r="L722" s="6" t="s">
        <v>41</v>
      </c>
      <c r="M722" s="6" t="b">
        <v>1</v>
      </c>
      <c r="N722" s="6">
        <v>29.11</v>
      </c>
      <c r="O722" s="6" t="s">
        <v>30</v>
      </c>
      <c r="P722" s="6" t="b">
        <v>1</v>
      </c>
      <c r="Q722" s="9" t="s">
        <v>36</v>
      </c>
    </row>
    <row r="723" spans="1:17" x14ac:dyDescent="0.25">
      <c r="A723" s="5" t="s">
        <v>773</v>
      </c>
      <c r="B723" s="6" t="s">
        <v>32</v>
      </c>
      <c r="C723" s="6" t="s">
        <v>33</v>
      </c>
      <c r="D723" s="6" t="s">
        <v>34</v>
      </c>
      <c r="E723" s="6" t="s">
        <v>21</v>
      </c>
      <c r="F723" s="6" t="s">
        <v>40</v>
      </c>
      <c r="G723" s="6">
        <v>3</v>
      </c>
      <c r="H723" s="7">
        <v>1114.46</v>
      </c>
      <c r="I723" s="7">
        <v>3343.38</v>
      </c>
      <c r="J723" s="8">
        <v>45452</v>
      </c>
      <c r="K723" s="6">
        <v>65</v>
      </c>
      <c r="L723" s="6" t="s">
        <v>41</v>
      </c>
      <c r="M723" s="6" t="b">
        <v>1</v>
      </c>
      <c r="N723" s="6">
        <v>24.22</v>
      </c>
      <c r="O723" s="6" t="s">
        <v>56</v>
      </c>
      <c r="P723" s="6" t="b">
        <v>0</v>
      </c>
      <c r="Q723" s="9" t="s">
        <v>36</v>
      </c>
    </row>
    <row r="724" spans="1:17" x14ac:dyDescent="0.25">
      <c r="A724" s="5" t="s">
        <v>774</v>
      </c>
      <c r="B724" s="6" t="s">
        <v>72</v>
      </c>
      <c r="C724" s="6" t="s">
        <v>19</v>
      </c>
      <c r="D724" s="6" t="s">
        <v>64</v>
      </c>
      <c r="E724" s="6" t="s">
        <v>44</v>
      </c>
      <c r="F724" s="6" t="s">
        <v>40</v>
      </c>
      <c r="G724" s="6">
        <v>73</v>
      </c>
      <c r="H724" s="7">
        <v>1009.46</v>
      </c>
      <c r="I724" s="7">
        <v>73690.58</v>
      </c>
      <c r="J724" s="8">
        <v>45120</v>
      </c>
      <c r="K724" s="6">
        <v>53</v>
      </c>
      <c r="L724" s="6" t="s">
        <v>49</v>
      </c>
      <c r="M724" s="6" t="b">
        <v>1</v>
      </c>
      <c r="N724" s="6">
        <v>10.82</v>
      </c>
      <c r="O724" s="6" t="s">
        <v>24</v>
      </c>
      <c r="P724" s="6" t="b">
        <v>1</v>
      </c>
      <c r="Q724" s="9" t="s">
        <v>36</v>
      </c>
    </row>
    <row r="725" spans="1:17" x14ac:dyDescent="0.25">
      <c r="A725" s="5" t="s">
        <v>775</v>
      </c>
      <c r="B725" s="6" t="s">
        <v>46</v>
      </c>
      <c r="C725" s="6" t="s">
        <v>39</v>
      </c>
      <c r="D725" s="6" t="s">
        <v>64</v>
      </c>
      <c r="E725" s="6" t="s">
        <v>44</v>
      </c>
      <c r="F725" s="6" t="s">
        <v>29</v>
      </c>
      <c r="G725" s="6">
        <v>41</v>
      </c>
      <c r="H725" s="7">
        <v>1234.5899999999999</v>
      </c>
      <c r="I725" s="7">
        <v>50618.19</v>
      </c>
      <c r="J725" s="8">
        <v>45083</v>
      </c>
      <c r="K725" s="6">
        <v>65</v>
      </c>
      <c r="L725" s="6" t="s">
        <v>23</v>
      </c>
      <c r="M725" s="6" t="b">
        <v>1</v>
      </c>
      <c r="N725" s="6">
        <v>14.46</v>
      </c>
      <c r="O725" s="6" t="s">
        <v>42</v>
      </c>
      <c r="P725" s="6" t="b">
        <v>1</v>
      </c>
      <c r="Q725" s="9" t="s">
        <v>25</v>
      </c>
    </row>
    <row r="726" spans="1:17" x14ac:dyDescent="0.25">
      <c r="A726" s="5" t="s">
        <v>776</v>
      </c>
      <c r="B726" s="6" t="s">
        <v>72</v>
      </c>
      <c r="C726" s="6" t="s">
        <v>33</v>
      </c>
      <c r="D726" s="6" t="s">
        <v>47</v>
      </c>
      <c r="E726" s="6" t="s">
        <v>28</v>
      </c>
      <c r="F726" s="6" t="s">
        <v>48</v>
      </c>
      <c r="G726" s="6">
        <v>39</v>
      </c>
      <c r="H726" s="7">
        <v>234.99</v>
      </c>
      <c r="I726" s="7">
        <v>9164.61</v>
      </c>
      <c r="J726" s="8">
        <v>45592</v>
      </c>
      <c r="K726" s="6">
        <v>69</v>
      </c>
      <c r="L726" s="6" t="s">
        <v>41</v>
      </c>
      <c r="M726" s="6" t="b">
        <v>0</v>
      </c>
      <c r="N726" s="6">
        <v>8.76</v>
      </c>
      <c r="O726" s="6" t="s">
        <v>24</v>
      </c>
      <c r="P726" s="6" t="b">
        <v>0</v>
      </c>
      <c r="Q726" s="9" t="s">
        <v>36</v>
      </c>
    </row>
    <row r="727" spans="1:17" x14ac:dyDescent="0.25">
      <c r="A727" s="5" t="s">
        <v>777</v>
      </c>
      <c r="B727" s="6" t="s">
        <v>27</v>
      </c>
      <c r="C727" s="6" t="s">
        <v>19</v>
      </c>
      <c r="D727" s="6" t="s">
        <v>34</v>
      </c>
      <c r="E727" s="6" t="s">
        <v>28</v>
      </c>
      <c r="F727" s="6" t="s">
        <v>22</v>
      </c>
      <c r="G727" s="6">
        <v>26</v>
      </c>
      <c r="H727" s="7">
        <v>1296.03</v>
      </c>
      <c r="I727" s="7">
        <v>33696.78</v>
      </c>
      <c r="J727" s="8">
        <v>45041</v>
      </c>
      <c r="K727" s="6">
        <v>55</v>
      </c>
      <c r="L727" s="6" t="s">
        <v>41</v>
      </c>
      <c r="M727" s="6" t="b">
        <v>0</v>
      </c>
      <c r="N727" s="6">
        <v>17.920000000000002</v>
      </c>
      <c r="O727" s="6" t="s">
        <v>42</v>
      </c>
      <c r="P727" s="6" t="b">
        <v>1</v>
      </c>
      <c r="Q727" s="9" t="s">
        <v>36</v>
      </c>
    </row>
    <row r="728" spans="1:17" x14ac:dyDescent="0.25">
      <c r="A728" s="5" t="s">
        <v>778</v>
      </c>
      <c r="B728" s="6" t="s">
        <v>32</v>
      </c>
      <c r="C728" s="6" t="s">
        <v>39</v>
      </c>
      <c r="D728" s="6" t="s">
        <v>64</v>
      </c>
      <c r="E728" s="6" t="s">
        <v>28</v>
      </c>
      <c r="F728" s="6" t="s">
        <v>29</v>
      </c>
      <c r="G728" s="6">
        <v>2</v>
      </c>
      <c r="H728" s="7">
        <v>912.51</v>
      </c>
      <c r="I728" s="7">
        <v>1825.02</v>
      </c>
      <c r="J728" s="8">
        <v>45322</v>
      </c>
      <c r="K728" s="6">
        <v>44</v>
      </c>
      <c r="L728" s="6" t="s">
        <v>49</v>
      </c>
      <c r="M728" s="6" t="b">
        <v>1</v>
      </c>
      <c r="N728" s="6">
        <v>21.52</v>
      </c>
      <c r="O728" s="6" t="s">
        <v>42</v>
      </c>
      <c r="P728" s="6" t="b">
        <v>1</v>
      </c>
      <c r="Q728" s="9" t="s">
        <v>25</v>
      </c>
    </row>
    <row r="729" spans="1:17" x14ac:dyDescent="0.25">
      <c r="A729" s="5" t="s">
        <v>779</v>
      </c>
      <c r="B729" s="6" t="s">
        <v>38</v>
      </c>
      <c r="C729" s="6" t="s">
        <v>19</v>
      </c>
      <c r="D729" s="6" t="s">
        <v>64</v>
      </c>
      <c r="E729" s="6" t="s">
        <v>21</v>
      </c>
      <c r="F729" s="6" t="s">
        <v>29</v>
      </c>
      <c r="G729" s="6">
        <v>23</v>
      </c>
      <c r="H729" s="7">
        <v>536.23</v>
      </c>
      <c r="I729" s="7">
        <v>12333.29</v>
      </c>
      <c r="J729" s="8">
        <v>45583</v>
      </c>
      <c r="K729" s="6">
        <v>53</v>
      </c>
      <c r="L729" s="6" t="s">
        <v>23</v>
      </c>
      <c r="M729" s="6" t="b">
        <v>1</v>
      </c>
      <c r="N729" s="6">
        <v>13.42</v>
      </c>
      <c r="O729" s="6" t="s">
        <v>24</v>
      </c>
      <c r="P729" s="6" t="b">
        <v>0</v>
      </c>
      <c r="Q729" s="9" t="s">
        <v>36</v>
      </c>
    </row>
    <row r="730" spans="1:17" x14ac:dyDescent="0.25">
      <c r="A730" s="5" t="s">
        <v>780</v>
      </c>
      <c r="B730" s="6" t="s">
        <v>66</v>
      </c>
      <c r="C730" s="6" t="s">
        <v>39</v>
      </c>
      <c r="D730" s="6" t="s">
        <v>34</v>
      </c>
      <c r="E730" s="6" t="s">
        <v>44</v>
      </c>
      <c r="F730" s="6" t="s">
        <v>40</v>
      </c>
      <c r="G730" s="6">
        <v>23</v>
      </c>
      <c r="H730" s="7">
        <v>1232.99</v>
      </c>
      <c r="I730" s="7">
        <v>28358.77</v>
      </c>
      <c r="J730" s="8">
        <v>45448</v>
      </c>
      <c r="K730" s="6">
        <v>65</v>
      </c>
      <c r="L730" s="6" t="s">
        <v>23</v>
      </c>
      <c r="M730" s="6" t="b">
        <v>1</v>
      </c>
      <c r="N730" s="6">
        <v>26.21</v>
      </c>
      <c r="O730" s="6" t="s">
        <v>42</v>
      </c>
      <c r="P730" s="6" t="b">
        <v>0</v>
      </c>
      <c r="Q730" s="9" t="s">
        <v>25</v>
      </c>
    </row>
    <row r="731" spans="1:17" x14ac:dyDescent="0.25">
      <c r="A731" s="5" t="s">
        <v>781</v>
      </c>
      <c r="B731" s="6" t="s">
        <v>62</v>
      </c>
      <c r="C731" s="6" t="s">
        <v>39</v>
      </c>
      <c r="D731" s="6" t="s">
        <v>52</v>
      </c>
      <c r="E731" s="6" t="s">
        <v>28</v>
      </c>
      <c r="F731" s="6" t="s">
        <v>22</v>
      </c>
      <c r="G731" s="6">
        <v>85</v>
      </c>
      <c r="H731" s="7">
        <v>1213.72</v>
      </c>
      <c r="I731" s="7">
        <v>103166.2</v>
      </c>
      <c r="J731" s="8">
        <v>45140</v>
      </c>
      <c r="K731" s="6">
        <v>40</v>
      </c>
      <c r="L731" s="6" t="s">
        <v>49</v>
      </c>
      <c r="M731" s="6" t="b">
        <v>0</v>
      </c>
      <c r="N731" s="6">
        <v>15.51</v>
      </c>
      <c r="O731" s="6" t="s">
        <v>42</v>
      </c>
      <c r="P731" s="6" t="b">
        <v>0</v>
      </c>
      <c r="Q731" s="9" t="s">
        <v>25</v>
      </c>
    </row>
    <row r="732" spans="1:17" x14ac:dyDescent="0.25">
      <c r="A732" s="5" t="s">
        <v>782</v>
      </c>
      <c r="B732" s="6" t="s">
        <v>38</v>
      </c>
      <c r="C732" s="6" t="s">
        <v>33</v>
      </c>
      <c r="D732" s="6" t="s">
        <v>34</v>
      </c>
      <c r="E732" s="6" t="s">
        <v>28</v>
      </c>
      <c r="F732" s="6" t="s">
        <v>40</v>
      </c>
      <c r="G732" s="6">
        <v>16</v>
      </c>
      <c r="H732" s="7">
        <v>1276.28</v>
      </c>
      <c r="I732" s="7">
        <v>20420.48</v>
      </c>
      <c r="J732" s="8">
        <v>45459</v>
      </c>
      <c r="K732" s="6">
        <v>38</v>
      </c>
      <c r="L732" s="6" t="s">
        <v>49</v>
      </c>
      <c r="M732" s="6" t="b">
        <v>1</v>
      </c>
      <c r="N732" s="6">
        <v>4.33</v>
      </c>
      <c r="O732" s="6" t="s">
        <v>56</v>
      </c>
      <c r="P732" s="6" t="b">
        <v>0</v>
      </c>
      <c r="Q732" s="9" t="s">
        <v>36</v>
      </c>
    </row>
    <row r="733" spans="1:17" x14ac:dyDescent="0.25">
      <c r="A733" s="5" t="s">
        <v>783</v>
      </c>
      <c r="B733" s="6" t="s">
        <v>66</v>
      </c>
      <c r="C733" s="6" t="s">
        <v>39</v>
      </c>
      <c r="D733" s="6" t="s">
        <v>47</v>
      </c>
      <c r="E733" s="6" t="s">
        <v>35</v>
      </c>
      <c r="F733" s="6" t="s">
        <v>29</v>
      </c>
      <c r="G733" s="6">
        <v>9</v>
      </c>
      <c r="H733" s="7">
        <v>217.5</v>
      </c>
      <c r="I733" s="7">
        <v>1957.5</v>
      </c>
      <c r="J733" s="8">
        <v>44941</v>
      </c>
      <c r="K733" s="6">
        <v>30</v>
      </c>
      <c r="L733" s="6" t="s">
        <v>41</v>
      </c>
      <c r="M733" s="6" t="b">
        <v>0</v>
      </c>
      <c r="N733" s="6">
        <v>18.670000000000002</v>
      </c>
      <c r="O733" s="6" t="s">
        <v>30</v>
      </c>
      <c r="P733" s="6" t="b">
        <v>1</v>
      </c>
      <c r="Q733" s="9" t="s">
        <v>36</v>
      </c>
    </row>
    <row r="734" spans="1:17" x14ac:dyDescent="0.25">
      <c r="A734" s="5" t="s">
        <v>784</v>
      </c>
      <c r="B734" s="6" t="s">
        <v>51</v>
      </c>
      <c r="C734" s="6" t="s">
        <v>19</v>
      </c>
      <c r="D734" s="6" t="s">
        <v>52</v>
      </c>
      <c r="E734" s="6" t="s">
        <v>21</v>
      </c>
      <c r="F734" s="6" t="s">
        <v>48</v>
      </c>
      <c r="G734" s="6">
        <v>13</v>
      </c>
      <c r="H734" s="7">
        <v>1455.57</v>
      </c>
      <c r="I734" s="7">
        <v>18922.41</v>
      </c>
      <c r="J734" s="8">
        <v>45345</v>
      </c>
      <c r="K734" s="6">
        <v>54</v>
      </c>
      <c r="L734" s="6" t="s">
        <v>49</v>
      </c>
      <c r="M734" s="6" t="b">
        <v>0</v>
      </c>
      <c r="N734" s="6">
        <v>13.87</v>
      </c>
      <c r="O734" s="6" t="s">
        <v>24</v>
      </c>
      <c r="P734" s="6" t="b">
        <v>1</v>
      </c>
      <c r="Q734" s="9" t="s">
        <v>25</v>
      </c>
    </row>
    <row r="735" spans="1:17" x14ac:dyDescent="0.25">
      <c r="A735" s="5" t="s">
        <v>785</v>
      </c>
      <c r="B735" s="6" t="s">
        <v>76</v>
      </c>
      <c r="C735" s="6" t="s">
        <v>39</v>
      </c>
      <c r="D735" s="6" t="s">
        <v>20</v>
      </c>
      <c r="E735" s="6" t="s">
        <v>35</v>
      </c>
      <c r="F735" s="6" t="s">
        <v>22</v>
      </c>
      <c r="G735" s="6">
        <v>28</v>
      </c>
      <c r="H735" s="7">
        <v>1441.46</v>
      </c>
      <c r="I735" s="7">
        <v>40360.879999999997</v>
      </c>
      <c r="J735" s="8">
        <v>45294</v>
      </c>
      <c r="K735" s="6">
        <v>64</v>
      </c>
      <c r="L735" s="6" t="s">
        <v>49</v>
      </c>
      <c r="M735" s="6" t="b">
        <v>0</v>
      </c>
      <c r="N735" s="6">
        <v>28.07</v>
      </c>
      <c r="O735" s="6" t="s">
        <v>56</v>
      </c>
      <c r="P735" s="6" t="b">
        <v>0</v>
      </c>
      <c r="Q735" s="9" t="s">
        <v>36</v>
      </c>
    </row>
    <row r="736" spans="1:17" x14ac:dyDescent="0.25">
      <c r="A736" s="5" t="s">
        <v>786</v>
      </c>
      <c r="B736" s="6" t="s">
        <v>18</v>
      </c>
      <c r="C736" s="6" t="s">
        <v>39</v>
      </c>
      <c r="D736" s="6" t="s">
        <v>34</v>
      </c>
      <c r="E736" s="6" t="s">
        <v>44</v>
      </c>
      <c r="F736" s="6" t="s">
        <v>29</v>
      </c>
      <c r="G736" s="6">
        <v>27</v>
      </c>
      <c r="H736" s="7">
        <v>568.33000000000004</v>
      </c>
      <c r="I736" s="7">
        <v>15344.91</v>
      </c>
      <c r="J736" s="8">
        <v>45564</v>
      </c>
      <c r="K736" s="6">
        <v>43</v>
      </c>
      <c r="L736" s="6" t="s">
        <v>49</v>
      </c>
      <c r="M736" s="6" t="b">
        <v>0</v>
      </c>
      <c r="N736" s="6">
        <v>11.76</v>
      </c>
      <c r="O736" s="6" t="s">
        <v>56</v>
      </c>
      <c r="P736" s="6" t="b">
        <v>0</v>
      </c>
      <c r="Q736" s="9" t="s">
        <v>36</v>
      </c>
    </row>
    <row r="737" spans="1:17" x14ac:dyDescent="0.25">
      <c r="A737" s="5" t="s">
        <v>787</v>
      </c>
      <c r="B737" s="6" t="s">
        <v>18</v>
      </c>
      <c r="C737" s="6" t="s">
        <v>33</v>
      </c>
      <c r="D737" s="6" t="s">
        <v>47</v>
      </c>
      <c r="E737" s="6" t="s">
        <v>35</v>
      </c>
      <c r="F737" s="6" t="s">
        <v>29</v>
      </c>
      <c r="G737" s="6">
        <v>51</v>
      </c>
      <c r="H737" s="7">
        <v>145.55000000000001</v>
      </c>
      <c r="I737" s="7">
        <v>7423.05</v>
      </c>
      <c r="J737" s="8">
        <v>45139</v>
      </c>
      <c r="K737" s="6">
        <v>57</v>
      </c>
      <c r="L737" s="6" t="s">
        <v>23</v>
      </c>
      <c r="M737" s="6" t="b">
        <v>1</v>
      </c>
      <c r="N737" s="6">
        <v>12.09</v>
      </c>
      <c r="O737" s="6" t="s">
        <v>24</v>
      </c>
      <c r="P737" s="6" t="b">
        <v>1</v>
      </c>
      <c r="Q737" s="9" t="s">
        <v>36</v>
      </c>
    </row>
    <row r="738" spans="1:17" x14ac:dyDescent="0.25">
      <c r="A738" s="5" t="s">
        <v>788</v>
      </c>
      <c r="B738" s="6" t="s">
        <v>62</v>
      </c>
      <c r="C738" s="6" t="s">
        <v>39</v>
      </c>
      <c r="D738" s="6" t="s">
        <v>52</v>
      </c>
      <c r="E738" s="6" t="s">
        <v>35</v>
      </c>
      <c r="F738" s="6" t="s">
        <v>48</v>
      </c>
      <c r="G738" s="6">
        <v>64</v>
      </c>
      <c r="H738" s="7">
        <v>292.23</v>
      </c>
      <c r="I738" s="7">
        <v>18702.72</v>
      </c>
      <c r="J738" s="8">
        <v>44931</v>
      </c>
      <c r="K738" s="6">
        <v>24</v>
      </c>
      <c r="L738" s="6" t="s">
        <v>49</v>
      </c>
      <c r="M738" s="6" t="b">
        <v>1</v>
      </c>
      <c r="N738" s="6">
        <v>19.52</v>
      </c>
      <c r="O738" s="6" t="s">
        <v>42</v>
      </c>
      <c r="P738" s="6" t="b">
        <v>1</v>
      </c>
      <c r="Q738" s="9" t="s">
        <v>25</v>
      </c>
    </row>
    <row r="739" spans="1:17" x14ac:dyDescent="0.25">
      <c r="A739" s="5" t="s">
        <v>789</v>
      </c>
      <c r="B739" s="6" t="s">
        <v>32</v>
      </c>
      <c r="C739" s="6" t="s">
        <v>39</v>
      </c>
      <c r="D739" s="6" t="s">
        <v>34</v>
      </c>
      <c r="E739" s="6" t="s">
        <v>35</v>
      </c>
      <c r="F739" s="6" t="s">
        <v>29</v>
      </c>
      <c r="G739" s="6">
        <v>52</v>
      </c>
      <c r="H739" s="7">
        <v>1489.6</v>
      </c>
      <c r="I739" s="7">
        <v>77459.199999999997</v>
      </c>
      <c r="J739" s="8">
        <v>45157</v>
      </c>
      <c r="K739" s="6">
        <v>63</v>
      </c>
      <c r="L739" s="6" t="s">
        <v>41</v>
      </c>
      <c r="M739" s="6" t="b">
        <v>1</v>
      </c>
      <c r="N739" s="6">
        <v>15.81</v>
      </c>
      <c r="O739" s="6" t="s">
        <v>24</v>
      </c>
      <c r="P739" s="6" t="b">
        <v>1</v>
      </c>
      <c r="Q739" s="9" t="s">
        <v>25</v>
      </c>
    </row>
    <row r="740" spans="1:17" x14ac:dyDescent="0.25">
      <c r="A740" s="5" t="s">
        <v>790</v>
      </c>
      <c r="B740" s="6" t="s">
        <v>27</v>
      </c>
      <c r="C740" s="6" t="s">
        <v>19</v>
      </c>
      <c r="D740" s="6" t="s">
        <v>64</v>
      </c>
      <c r="E740" s="6" t="s">
        <v>21</v>
      </c>
      <c r="F740" s="6" t="s">
        <v>29</v>
      </c>
      <c r="G740" s="6">
        <v>81</v>
      </c>
      <c r="H740" s="7">
        <v>866.37</v>
      </c>
      <c r="I740" s="7">
        <v>70175.97</v>
      </c>
      <c r="J740" s="8">
        <v>45127</v>
      </c>
      <c r="K740" s="6">
        <v>56</v>
      </c>
      <c r="L740" s="6" t="s">
        <v>41</v>
      </c>
      <c r="M740" s="6" t="b">
        <v>0</v>
      </c>
      <c r="N740" s="6">
        <v>11.23</v>
      </c>
      <c r="O740" s="6" t="s">
        <v>30</v>
      </c>
      <c r="P740" s="6" t="b">
        <v>0</v>
      </c>
      <c r="Q740" s="9" t="s">
        <v>36</v>
      </c>
    </row>
    <row r="741" spans="1:17" x14ac:dyDescent="0.25">
      <c r="A741" s="5" t="s">
        <v>791</v>
      </c>
      <c r="B741" s="6" t="s">
        <v>32</v>
      </c>
      <c r="C741" s="6" t="s">
        <v>33</v>
      </c>
      <c r="D741" s="6" t="s">
        <v>34</v>
      </c>
      <c r="E741" s="6" t="s">
        <v>44</v>
      </c>
      <c r="F741" s="6" t="s">
        <v>22</v>
      </c>
      <c r="G741" s="6">
        <v>38</v>
      </c>
      <c r="H741" s="7">
        <v>567.1</v>
      </c>
      <c r="I741" s="7">
        <v>21549.8</v>
      </c>
      <c r="J741" s="8">
        <v>45328</v>
      </c>
      <c r="K741" s="6">
        <v>39</v>
      </c>
      <c r="L741" s="6" t="s">
        <v>41</v>
      </c>
      <c r="M741" s="6" t="b">
        <v>0</v>
      </c>
      <c r="N741" s="6">
        <v>29.69</v>
      </c>
      <c r="O741" s="6" t="s">
        <v>30</v>
      </c>
      <c r="P741" s="6" t="b">
        <v>0</v>
      </c>
      <c r="Q741" s="9" t="s">
        <v>36</v>
      </c>
    </row>
    <row r="742" spans="1:17" x14ac:dyDescent="0.25">
      <c r="A742" s="5" t="s">
        <v>792</v>
      </c>
      <c r="B742" s="6" t="s">
        <v>27</v>
      </c>
      <c r="C742" s="6" t="s">
        <v>33</v>
      </c>
      <c r="D742" s="6" t="s">
        <v>20</v>
      </c>
      <c r="E742" s="6" t="s">
        <v>35</v>
      </c>
      <c r="F742" s="6" t="s">
        <v>22</v>
      </c>
      <c r="G742" s="6">
        <v>65</v>
      </c>
      <c r="H742" s="7">
        <v>467.89</v>
      </c>
      <c r="I742" s="7">
        <v>30412.85</v>
      </c>
      <c r="J742" s="8">
        <v>45075</v>
      </c>
      <c r="K742" s="6">
        <v>56</v>
      </c>
      <c r="L742" s="6" t="s">
        <v>49</v>
      </c>
      <c r="M742" s="6" t="b">
        <v>1</v>
      </c>
      <c r="N742" s="6">
        <v>9.07</v>
      </c>
      <c r="O742" s="6" t="s">
        <v>24</v>
      </c>
      <c r="P742" s="6" t="b">
        <v>0</v>
      </c>
      <c r="Q742" s="9" t="s">
        <v>25</v>
      </c>
    </row>
    <row r="743" spans="1:17" x14ac:dyDescent="0.25">
      <c r="A743" s="5" t="s">
        <v>793</v>
      </c>
      <c r="B743" s="6" t="s">
        <v>32</v>
      </c>
      <c r="C743" s="6" t="s">
        <v>33</v>
      </c>
      <c r="D743" s="6" t="s">
        <v>34</v>
      </c>
      <c r="E743" s="6" t="s">
        <v>21</v>
      </c>
      <c r="F743" s="6" t="s">
        <v>22</v>
      </c>
      <c r="G743" s="6">
        <v>18</v>
      </c>
      <c r="H743" s="7">
        <v>422.64</v>
      </c>
      <c r="I743" s="7">
        <v>7607.52</v>
      </c>
      <c r="J743" s="8">
        <v>45510</v>
      </c>
      <c r="K743" s="6">
        <v>40</v>
      </c>
      <c r="L743" s="6" t="s">
        <v>23</v>
      </c>
      <c r="M743" s="6" t="b">
        <v>0</v>
      </c>
      <c r="N743" s="6">
        <v>8.33</v>
      </c>
      <c r="O743" s="6" t="s">
        <v>56</v>
      </c>
      <c r="P743" s="6" t="b">
        <v>0</v>
      </c>
      <c r="Q743" s="9" t="s">
        <v>25</v>
      </c>
    </row>
    <row r="744" spans="1:17" x14ac:dyDescent="0.25">
      <c r="A744" s="5" t="s">
        <v>794</v>
      </c>
      <c r="B744" s="6" t="s">
        <v>76</v>
      </c>
      <c r="C744" s="6" t="s">
        <v>39</v>
      </c>
      <c r="D744" s="6" t="s">
        <v>52</v>
      </c>
      <c r="E744" s="6" t="s">
        <v>44</v>
      </c>
      <c r="F744" s="6" t="s">
        <v>40</v>
      </c>
      <c r="G744" s="6">
        <v>63</v>
      </c>
      <c r="H744" s="7">
        <v>1013.02</v>
      </c>
      <c r="I744" s="7">
        <v>63820.26</v>
      </c>
      <c r="J744" s="8">
        <v>45418</v>
      </c>
      <c r="K744" s="6">
        <v>47</v>
      </c>
      <c r="L744" s="6" t="s">
        <v>49</v>
      </c>
      <c r="M744" s="6" t="b">
        <v>0</v>
      </c>
      <c r="N744" s="6">
        <v>25.93</v>
      </c>
      <c r="O744" s="6" t="s">
        <v>24</v>
      </c>
      <c r="P744" s="6" t="b">
        <v>1</v>
      </c>
      <c r="Q744" s="9" t="s">
        <v>36</v>
      </c>
    </row>
    <row r="745" spans="1:17" x14ac:dyDescent="0.25">
      <c r="A745" s="5" t="s">
        <v>795</v>
      </c>
      <c r="B745" s="6" t="s">
        <v>51</v>
      </c>
      <c r="C745" s="6" t="s">
        <v>33</v>
      </c>
      <c r="D745" s="6" t="s">
        <v>52</v>
      </c>
      <c r="E745" s="6" t="s">
        <v>28</v>
      </c>
      <c r="F745" s="6" t="s">
        <v>48</v>
      </c>
      <c r="G745" s="6">
        <v>51</v>
      </c>
      <c r="H745" s="7">
        <v>658.11</v>
      </c>
      <c r="I745" s="7">
        <v>33563.61</v>
      </c>
      <c r="J745" s="8">
        <v>45152</v>
      </c>
      <c r="K745" s="6">
        <v>35</v>
      </c>
      <c r="L745" s="6" t="s">
        <v>49</v>
      </c>
      <c r="M745" s="6" t="b">
        <v>0</v>
      </c>
      <c r="N745" s="6">
        <v>0.1</v>
      </c>
      <c r="O745" s="6" t="s">
        <v>30</v>
      </c>
      <c r="P745" s="6" t="b">
        <v>0</v>
      </c>
      <c r="Q745" s="9" t="s">
        <v>36</v>
      </c>
    </row>
    <row r="746" spans="1:17" x14ac:dyDescent="0.25">
      <c r="A746" s="5" t="s">
        <v>796</v>
      </c>
      <c r="B746" s="6" t="s">
        <v>51</v>
      </c>
      <c r="C746" s="6" t="s">
        <v>39</v>
      </c>
      <c r="D746" s="6" t="s">
        <v>34</v>
      </c>
      <c r="E746" s="6" t="s">
        <v>35</v>
      </c>
      <c r="F746" s="6" t="s">
        <v>22</v>
      </c>
      <c r="G746" s="6">
        <v>9</v>
      </c>
      <c r="H746" s="7">
        <v>1449.85</v>
      </c>
      <c r="I746" s="7">
        <v>13048.65</v>
      </c>
      <c r="J746" s="8">
        <v>45512</v>
      </c>
      <c r="K746" s="6">
        <v>59</v>
      </c>
      <c r="L746" s="6" t="s">
        <v>41</v>
      </c>
      <c r="M746" s="6" t="b">
        <v>1</v>
      </c>
      <c r="N746" s="6">
        <v>6.04</v>
      </c>
      <c r="O746" s="6" t="s">
        <v>24</v>
      </c>
      <c r="P746" s="6" t="b">
        <v>0</v>
      </c>
      <c r="Q746" s="9" t="s">
        <v>36</v>
      </c>
    </row>
    <row r="747" spans="1:17" x14ac:dyDescent="0.25">
      <c r="A747" s="5" t="s">
        <v>797</v>
      </c>
      <c r="B747" s="6" t="s">
        <v>66</v>
      </c>
      <c r="C747" s="6" t="s">
        <v>39</v>
      </c>
      <c r="D747" s="6" t="s">
        <v>52</v>
      </c>
      <c r="E747" s="6" t="s">
        <v>44</v>
      </c>
      <c r="F747" s="6" t="s">
        <v>40</v>
      </c>
      <c r="G747" s="6">
        <v>13</v>
      </c>
      <c r="H747" s="7">
        <v>1041.57</v>
      </c>
      <c r="I747" s="7">
        <v>13540.41</v>
      </c>
      <c r="J747" s="8">
        <v>45095</v>
      </c>
      <c r="K747" s="6">
        <v>35</v>
      </c>
      <c r="L747" s="6" t="s">
        <v>49</v>
      </c>
      <c r="M747" s="6" t="b">
        <v>1</v>
      </c>
      <c r="N747" s="6">
        <v>17.71</v>
      </c>
      <c r="O747" s="6" t="s">
        <v>42</v>
      </c>
      <c r="P747" s="6" t="b">
        <v>1</v>
      </c>
      <c r="Q747" s="9" t="s">
        <v>25</v>
      </c>
    </row>
    <row r="748" spans="1:17" x14ac:dyDescent="0.25">
      <c r="A748" s="5" t="s">
        <v>798</v>
      </c>
      <c r="B748" s="6" t="s">
        <v>46</v>
      </c>
      <c r="C748" s="6" t="s">
        <v>19</v>
      </c>
      <c r="D748" s="6" t="s">
        <v>64</v>
      </c>
      <c r="E748" s="6" t="s">
        <v>35</v>
      </c>
      <c r="F748" s="6" t="s">
        <v>40</v>
      </c>
      <c r="G748" s="6">
        <v>40</v>
      </c>
      <c r="H748" s="7">
        <v>1198.46</v>
      </c>
      <c r="I748" s="7">
        <v>47938.400000000001</v>
      </c>
      <c r="J748" s="8">
        <v>45078</v>
      </c>
      <c r="K748" s="6">
        <v>63</v>
      </c>
      <c r="L748" s="6" t="s">
        <v>23</v>
      </c>
      <c r="M748" s="6" t="b">
        <v>1</v>
      </c>
      <c r="N748" s="6">
        <v>4.87</v>
      </c>
      <c r="O748" s="6" t="s">
        <v>24</v>
      </c>
      <c r="P748" s="6" t="b">
        <v>0</v>
      </c>
      <c r="Q748" s="9" t="s">
        <v>25</v>
      </c>
    </row>
    <row r="749" spans="1:17" x14ac:dyDescent="0.25">
      <c r="A749" s="5" t="s">
        <v>799</v>
      </c>
      <c r="B749" s="6" t="s">
        <v>51</v>
      </c>
      <c r="C749" s="6" t="s">
        <v>19</v>
      </c>
      <c r="D749" s="6" t="s">
        <v>34</v>
      </c>
      <c r="E749" s="6" t="s">
        <v>28</v>
      </c>
      <c r="F749" s="6" t="s">
        <v>48</v>
      </c>
      <c r="G749" s="6">
        <v>55</v>
      </c>
      <c r="H749" s="7">
        <v>474.48</v>
      </c>
      <c r="I749" s="7">
        <v>26096.400000000001</v>
      </c>
      <c r="J749" s="8">
        <v>45150</v>
      </c>
      <c r="K749" s="6">
        <v>27</v>
      </c>
      <c r="L749" s="6" t="s">
        <v>41</v>
      </c>
      <c r="M749" s="6" t="b">
        <v>0</v>
      </c>
      <c r="N749" s="6">
        <v>29.57</v>
      </c>
      <c r="O749" s="6" t="s">
        <v>56</v>
      </c>
      <c r="P749" s="6" t="b">
        <v>1</v>
      </c>
      <c r="Q749" s="9" t="s">
        <v>36</v>
      </c>
    </row>
    <row r="750" spans="1:17" x14ac:dyDescent="0.25">
      <c r="A750" s="5" t="s">
        <v>800</v>
      </c>
      <c r="B750" s="6" t="s">
        <v>51</v>
      </c>
      <c r="C750" s="6" t="s">
        <v>19</v>
      </c>
      <c r="D750" s="6" t="s">
        <v>64</v>
      </c>
      <c r="E750" s="6" t="s">
        <v>44</v>
      </c>
      <c r="F750" s="6" t="s">
        <v>48</v>
      </c>
      <c r="G750" s="6">
        <v>79</v>
      </c>
      <c r="H750" s="7">
        <v>164.82</v>
      </c>
      <c r="I750" s="7">
        <v>13020.78</v>
      </c>
      <c r="J750" s="8">
        <v>45430</v>
      </c>
      <c r="K750" s="6">
        <v>56</v>
      </c>
      <c r="L750" s="6" t="s">
        <v>23</v>
      </c>
      <c r="M750" s="6" t="b">
        <v>1</v>
      </c>
      <c r="N750" s="6">
        <v>13.93</v>
      </c>
      <c r="O750" s="6" t="s">
        <v>42</v>
      </c>
      <c r="P750" s="6" t="b">
        <v>0</v>
      </c>
      <c r="Q750" s="9" t="s">
        <v>25</v>
      </c>
    </row>
    <row r="751" spans="1:17" x14ac:dyDescent="0.25">
      <c r="A751" s="5" t="s">
        <v>801</v>
      </c>
      <c r="B751" s="6" t="s">
        <v>38</v>
      </c>
      <c r="C751" s="6" t="s">
        <v>19</v>
      </c>
      <c r="D751" s="6" t="s">
        <v>64</v>
      </c>
      <c r="E751" s="6" t="s">
        <v>21</v>
      </c>
      <c r="F751" s="6" t="s">
        <v>29</v>
      </c>
      <c r="G751" s="6">
        <v>43</v>
      </c>
      <c r="H751" s="7">
        <v>757.34</v>
      </c>
      <c r="I751" s="7">
        <v>32565.62</v>
      </c>
      <c r="J751" s="8">
        <v>45476</v>
      </c>
      <c r="K751" s="6">
        <v>47</v>
      </c>
      <c r="L751" s="6" t="s">
        <v>23</v>
      </c>
      <c r="M751" s="6" t="b">
        <v>1</v>
      </c>
      <c r="N751" s="6">
        <v>17.920000000000002</v>
      </c>
      <c r="O751" s="6" t="s">
        <v>30</v>
      </c>
      <c r="P751" s="6" t="b">
        <v>1</v>
      </c>
      <c r="Q751" s="9" t="s">
        <v>36</v>
      </c>
    </row>
    <row r="752" spans="1:17" x14ac:dyDescent="0.25">
      <c r="A752" s="5" t="s">
        <v>802</v>
      </c>
      <c r="B752" s="6" t="s">
        <v>38</v>
      </c>
      <c r="C752" s="6" t="s">
        <v>19</v>
      </c>
      <c r="D752" s="6" t="s">
        <v>47</v>
      </c>
      <c r="E752" s="6" t="s">
        <v>44</v>
      </c>
      <c r="F752" s="6" t="s">
        <v>40</v>
      </c>
      <c r="G752" s="6">
        <v>44</v>
      </c>
      <c r="H752" s="7">
        <v>506.14</v>
      </c>
      <c r="I752" s="7">
        <v>22270.16</v>
      </c>
      <c r="J752" s="8">
        <v>44970</v>
      </c>
      <c r="K752" s="6">
        <v>43</v>
      </c>
      <c r="L752" s="6" t="s">
        <v>23</v>
      </c>
      <c r="M752" s="6" t="b">
        <v>1</v>
      </c>
      <c r="N752" s="6">
        <v>4.8099999999999996</v>
      </c>
      <c r="O752" s="6" t="s">
        <v>24</v>
      </c>
      <c r="P752" s="6" t="b">
        <v>1</v>
      </c>
      <c r="Q752" s="9" t="s">
        <v>36</v>
      </c>
    </row>
    <row r="753" spans="1:17" x14ac:dyDescent="0.25">
      <c r="A753" s="5" t="s">
        <v>803</v>
      </c>
      <c r="B753" s="6" t="s">
        <v>66</v>
      </c>
      <c r="C753" s="6" t="s">
        <v>39</v>
      </c>
      <c r="D753" s="6" t="s">
        <v>34</v>
      </c>
      <c r="E753" s="6" t="s">
        <v>21</v>
      </c>
      <c r="F753" s="6" t="s">
        <v>22</v>
      </c>
      <c r="G753" s="6">
        <v>68</v>
      </c>
      <c r="H753" s="7">
        <v>343.02</v>
      </c>
      <c r="I753" s="7">
        <v>23325.360000000001</v>
      </c>
      <c r="J753" s="8">
        <v>45430</v>
      </c>
      <c r="K753" s="6">
        <v>24</v>
      </c>
      <c r="L753" s="6" t="s">
        <v>49</v>
      </c>
      <c r="M753" s="6" t="b">
        <v>0</v>
      </c>
      <c r="N753" s="6">
        <v>8.68</v>
      </c>
      <c r="O753" s="6" t="s">
        <v>56</v>
      </c>
      <c r="P753" s="6" t="b">
        <v>1</v>
      </c>
      <c r="Q753" s="9" t="s">
        <v>36</v>
      </c>
    </row>
    <row r="754" spans="1:17" x14ac:dyDescent="0.25">
      <c r="A754" s="5" t="s">
        <v>804</v>
      </c>
      <c r="B754" s="6" t="s">
        <v>46</v>
      </c>
      <c r="C754" s="6" t="s">
        <v>39</v>
      </c>
      <c r="D754" s="6" t="s">
        <v>52</v>
      </c>
      <c r="E754" s="6" t="s">
        <v>44</v>
      </c>
      <c r="F754" s="6" t="s">
        <v>48</v>
      </c>
      <c r="G754" s="6">
        <v>33</v>
      </c>
      <c r="H754" s="7">
        <v>1431.33</v>
      </c>
      <c r="I754" s="7">
        <v>47233.89</v>
      </c>
      <c r="J754" s="8">
        <v>45167</v>
      </c>
      <c r="K754" s="6">
        <v>24</v>
      </c>
      <c r="L754" s="6" t="s">
        <v>49</v>
      </c>
      <c r="M754" s="6" t="b">
        <v>0</v>
      </c>
      <c r="N754" s="6">
        <v>18.440000000000001</v>
      </c>
      <c r="O754" s="6" t="s">
        <v>56</v>
      </c>
      <c r="P754" s="6" t="b">
        <v>0</v>
      </c>
      <c r="Q754" s="9" t="s">
        <v>36</v>
      </c>
    </row>
    <row r="755" spans="1:17" x14ac:dyDescent="0.25">
      <c r="A755" s="5" t="s">
        <v>805</v>
      </c>
      <c r="B755" s="6" t="s">
        <v>62</v>
      </c>
      <c r="C755" s="6" t="s">
        <v>33</v>
      </c>
      <c r="D755" s="6" t="s">
        <v>64</v>
      </c>
      <c r="E755" s="6" t="s">
        <v>21</v>
      </c>
      <c r="F755" s="6" t="s">
        <v>40</v>
      </c>
      <c r="G755" s="6">
        <v>24</v>
      </c>
      <c r="H755" s="7">
        <v>693.78</v>
      </c>
      <c r="I755" s="7">
        <v>16650.72</v>
      </c>
      <c r="J755" s="8">
        <v>45277</v>
      </c>
      <c r="K755" s="6">
        <v>22</v>
      </c>
      <c r="L755" s="6" t="s">
        <v>49</v>
      </c>
      <c r="M755" s="6" t="b">
        <v>0</v>
      </c>
      <c r="N755" s="6">
        <v>16.489999999999998</v>
      </c>
      <c r="O755" s="6" t="s">
        <v>30</v>
      </c>
      <c r="P755" s="6" t="b">
        <v>0</v>
      </c>
      <c r="Q755" s="9" t="s">
        <v>36</v>
      </c>
    </row>
    <row r="756" spans="1:17" x14ac:dyDescent="0.25">
      <c r="A756" s="5" t="s">
        <v>806</v>
      </c>
      <c r="B756" s="6" t="s">
        <v>38</v>
      </c>
      <c r="C756" s="6" t="s">
        <v>39</v>
      </c>
      <c r="D756" s="6" t="s">
        <v>47</v>
      </c>
      <c r="E756" s="6" t="s">
        <v>28</v>
      </c>
      <c r="F756" s="6" t="s">
        <v>22</v>
      </c>
      <c r="G756" s="6">
        <v>36</v>
      </c>
      <c r="H756" s="7">
        <v>303.33</v>
      </c>
      <c r="I756" s="7">
        <v>10919.88</v>
      </c>
      <c r="J756" s="8">
        <v>44949</v>
      </c>
      <c r="K756" s="6">
        <v>18</v>
      </c>
      <c r="L756" s="6" t="s">
        <v>49</v>
      </c>
      <c r="M756" s="6" t="b">
        <v>0</v>
      </c>
      <c r="N756" s="6">
        <v>23.53</v>
      </c>
      <c r="O756" s="6" t="s">
        <v>24</v>
      </c>
      <c r="P756" s="6" t="b">
        <v>0</v>
      </c>
      <c r="Q756" s="9" t="s">
        <v>25</v>
      </c>
    </row>
    <row r="757" spans="1:17" x14ac:dyDescent="0.25">
      <c r="A757" s="5" t="s">
        <v>807</v>
      </c>
      <c r="B757" s="6" t="s">
        <v>62</v>
      </c>
      <c r="C757" s="6" t="s">
        <v>39</v>
      </c>
      <c r="D757" s="6" t="s">
        <v>34</v>
      </c>
      <c r="E757" s="6" t="s">
        <v>28</v>
      </c>
      <c r="F757" s="6" t="s">
        <v>40</v>
      </c>
      <c r="G757" s="6">
        <v>10</v>
      </c>
      <c r="H757" s="7">
        <v>338.04</v>
      </c>
      <c r="I757" s="7">
        <v>3380.4</v>
      </c>
      <c r="J757" s="8">
        <v>45562</v>
      </c>
      <c r="K757" s="6">
        <v>63</v>
      </c>
      <c r="L757" s="6" t="s">
        <v>41</v>
      </c>
      <c r="M757" s="6" t="b">
        <v>0</v>
      </c>
      <c r="N757" s="6">
        <v>8.08</v>
      </c>
      <c r="O757" s="6" t="s">
        <v>56</v>
      </c>
      <c r="P757" s="6" t="b">
        <v>0</v>
      </c>
      <c r="Q757" s="9" t="s">
        <v>25</v>
      </c>
    </row>
    <row r="758" spans="1:17" x14ac:dyDescent="0.25">
      <c r="A758" s="5" t="s">
        <v>808</v>
      </c>
      <c r="B758" s="6" t="s">
        <v>72</v>
      </c>
      <c r="C758" s="6" t="s">
        <v>19</v>
      </c>
      <c r="D758" s="6" t="s">
        <v>34</v>
      </c>
      <c r="E758" s="6" t="s">
        <v>28</v>
      </c>
      <c r="F758" s="6" t="s">
        <v>48</v>
      </c>
      <c r="G758" s="6">
        <v>20</v>
      </c>
      <c r="H758" s="7">
        <v>457.03</v>
      </c>
      <c r="I758" s="7">
        <v>9140.6</v>
      </c>
      <c r="J758" s="8">
        <v>45524</v>
      </c>
      <c r="K758" s="6">
        <v>35</v>
      </c>
      <c r="L758" s="6" t="s">
        <v>49</v>
      </c>
      <c r="M758" s="6" t="b">
        <v>1</v>
      </c>
      <c r="N758" s="6">
        <v>19.61</v>
      </c>
      <c r="O758" s="6" t="s">
        <v>42</v>
      </c>
      <c r="P758" s="6" t="b">
        <v>0</v>
      </c>
      <c r="Q758" s="9" t="s">
        <v>36</v>
      </c>
    </row>
    <row r="759" spans="1:17" x14ac:dyDescent="0.25">
      <c r="A759" s="5" t="s">
        <v>809</v>
      </c>
      <c r="B759" s="6" t="s">
        <v>38</v>
      </c>
      <c r="C759" s="6" t="s">
        <v>39</v>
      </c>
      <c r="D759" s="6" t="s">
        <v>20</v>
      </c>
      <c r="E759" s="6" t="s">
        <v>44</v>
      </c>
      <c r="F759" s="6" t="s">
        <v>29</v>
      </c>
      <c r="G759" s="6">
        <v>75</v>
      </c>
      <c r="H759" s="7">
        <v>1499.01</v>
      </c>
      <c r="I759" s="7">
        <v>112425.75</v>
      </c>
      <c r="J759" s="8">
        <v>44969</v>
      </c>
      <c r="K759" s="6">
        <v>30</v>
      </c>
      <c r="L759" s="6" t="s">
        <v>41</v>
      </c>
      <c r="M759" s="6" t="b">
        <v>1</v>
      </c>
      <c r="N759" s="6">
        <v>8.73</v>
      </c>
      <c r="O759" s="6" t="s">
        <v>24</v>
      </c>
      <c r="P759" s="6" t="b">
        <v>0</v>
      </c>
      <c r="Q759" s="9" t="s">
        <v>25</v>
      </c>
    </row>
    <row r="760" spans="1:17" x14ac:dyDescent="0.25">
      <c r="A760" s="5" t="s">
        <v>810</v>
      </c>
      <c r="B760" s="6" t="s">
        <v>76</v>
      </c>
      <c r="C760" s="6" t="s">
        <v>19</v>
      </c>
      <c r="D760" s="6" t="s">
        <v>20</v>
      </c>
      <c r="E760" s="6" t="s">
        <v>28</v>
      </c>
      <c r="F760" s="6" t="s">
        <v>40</v>
      </c>
      <c r="G760" s="6">
        <v>12</v>
      </c>
      <c r="H760" s="7">
        <v>438.62</v>
      </c>
      <c r="I760" s="7">
        <v>5263.44</v>
      </c>
      <c r="J760" s="8">
        <v>45392</v>
      </c>
      <c r="K760" s="6">
        <v>42</v>
      </c>
      <c r="L760" s="6" t="s">
        <v>23</v>
      </c>
      <c r="M760" s="6" t="b">
        <v>0</v>
      </c>
      <c r="N760" s="6">
        <v>17.600000000000001</v>
      </c>
      <c r="O760" s="6" t="s">
        <v>30</v>
      </c>
      <c r="P760" s="6" t="b">
        <v>1</v>
      </c>
      <c r="Q760" s="9" t="s">
        <v>36</v>
      </c>
    </row>
    <row r="761" spans="1:17" x14ac:dyDescent="0.25">
      <c r="A761" s="5" t="s">
        <v>811</v>
      </c>
      <c r="B761" s="6" t="s">
        <v>46</v>
      </c>
      <c r="C761" s="6" t="s">
        <v>33</v>
      </c>
      <c r="D761" s="6" t="s">
        <v>64</v>
      </c>
      <c r="E761" s="6" t="s">
        <v>35</v>
      </c>
      <c r="F761" s="6" t="s">
        <v>22</v>
      </c>
      <c r="G761" s="6">
        <v>62</v>
      </c>
      <c r="H761" s="7">
        <v>526.76</v>
      </c>
      <c r="I761" s="7">
        <v>32659.119999999999</v>
      </c>
      <c r="J761" s="8">
        <v>44966</v>
      </c>
      <c r="K761" s="6">
        <v>57</v>
      </c>
      <c r="L761" s="6" t="s">
        <v>41</v>
      </c>
      <c r="M761" s="6" t="b">
        <v>0</v>
      </c>
      <c r="N761" s="6">
        <v>18.149999999999999</v>
      </c>
      <c r="O761" s="6" t="s">
        <v>42</v>
      </c>
      <c r="P761" s="6" t="b">
        <v>0</v>
      </c>
      <c r="Q761" s="9" t="s">
        <v>25</v>
      </c>
    </row>
    <row r="762" spans="1:17" x14ac:dyDescent="0.25">
      <c r="A762" s="5" t="s">
        <v>812</v>
      </c>
      <c r="B762" s="6" t="s">
        <v>66</v>
      </c>
      <c r="C762" s="6" t="s">
        <v>33</v>
      </c>
      <c r="D762" s="6" t="s">
        <v>20</v>
      </c>
      <c r="E762" s="6" t="s">
        <v>28</v>
      </c>
      <c r="F762" s="6" t="s">
        <v>48</v>
      </c>
      <c r="G762" s="6">
        <v>18</v>
      </c>
      <c r="H762" s="7">
        <v>1006.03</v>
      </c>
      <c r="I762" s="7">
        <v>18108.54</v>
      </c>
      <c r="J762" s="8">
        <v>45229</v>
      </c>
      <c r="K762" s="6">
        <v>25</v>
      </c>
      <c r="L762" s="6" t="s">
        <v>49</v>
      </c>
      <c r="M762" s="6" t="b">
        <v>1</v>
      </c>
      <c r="N762" s="6">
        <v>3.66</v>
      </c>
      <c r="O762" s="6" t="s">
        <v>24</v>
      </c>
      <c r="P762" s="6" t="b">
        <v>0</v>
      </c>
      <c r="Q762" s="9" t="s">
        <v>25</v>
      </c>
    </row>
    <row r="763" spans="1:17" x14ac:dyDescent="0.25">
      <c r="A763" s="5" t="s">
        <v>813</v>
      </c>
      <c r="B763" s="6" t="s">
        <v>72</v>
      </c>
      <c r="C763" s="6" t="s">
        <v>39</v>
      </c>
      <c r="D763" s="6" t="s">
        <v>64</v>
      </c>
      <c r="E763" s="6" t="s">
        <v>21</v>
      </c>
      <c r="F763" s="6" t="s">
        <v>29</v>
      </c>
      <c r="G763" s="6">
        <v>94</v>
      </c>
      <c r="H763" s="7">
        <v>476.24</v>
      </c>
      <c r="I763" s="7">
        <v>44766.559999999998</v>
      </c>
      <c r="J763" s="8">
        <v>45101</v>
      </c>
      <c r="K763" s="6">
        <v>27</v>
      </c>
      <c r="L763" s="6" t="s">
        <v>41</v>
      </c>
      <c r="M763" s="6" t="b">
        <v>0</v>
      </c>
      <c r="N763" s="6">
        <v>16.46</v>
      </c>
      <c r="O763" s="6" t="s">
        <v>56</v>
      </c>
      <c r="P763" s="6" t="b">
        <v>1</v>
      </c>
      <c r="Q763" s="9" t="s">
        <v>25</v>
      </c>
    </row>
    <row r="764" spans="1:17" x14ac:dyDescent="0.25">
      <c r="A764" s="5" t="s">
        <v>814</v>
      </c>
      <c r="B764" s="6" t="s">
        <v>46</v>
      </c>
      <c r="C764" s="6" t="s">
        <v>33</v>
      </c>
      <c r="D764" s="6" t="s">
        <v>52</v>
      </c>
      <c r="E764" s="6" t="s">
        <v>21</v>
      </c>
      <c r="F764" s="6" t="s">
        <v>22</v>
      </c>
      <c r="G764" s="6">
        <v>63</v>
      </c>
      <c r="H764" s="7">
        <v>362.92</v>
      </c>
      <c r="I764" s="7">
        <v>22863.96</v>
      </c>
      <c r="J764" s="8">
        <v>45458</v>
      </c>
      <c r="K764" s="6">
        <v>49</v>
      </c>
      <c r="L764" s="6" t="s">
        <v>49</v>
      </c>
      <c r="M764" s="6" t="b">
        <v>0</v>
      </c>
      <c r="N764" s="6">
        <v>0.36</v>
      </c>
      <c r="O764" s="6" t="s">
        <v>30</v>
      </c>
      <c r="P764" s="6" t="b">
        <v>1</v>
      </c>
      <c r="Q764" s="9" t="s">
        <v>25</v>
      </c>
    </row>
    <row r="765" spans="1:17" x14ac:dyDescent="0.25">
      <c r="A765" s="5" t="s">
        <v>815</v>
      </c>
      <c r="B765" s="6" t="s">
        <v>76</v>
      </c>
      <c r="C765" s="6" t="s">
        <v>39</v>
      </c>
      <c r="D765" s="6" t="s">
        <v>64</v>
      </c>
      <c r="E765" s="6" t="s">
        <v>21</v>
      </c>
      <c r="F765" s="6" t="s">
        <v>22</v>
      </c>
      <c r="G765" s="6">
        <v>84</v>
      </c>
      <c r="H765" s="7">
        <v>280.02</v>
      </c>
      <c r="I765" s="7">
        <v>23521.68</v>
      </c>
      <c r="J765" s="8">
        <v>45387</v>
      </c>
      <c r="K765" s="6">
        <v>34</v>
      </c>
      <c r="L765" s="6" t="s">
        <v>49</v>
      </c>
      <c r="M765" s="6" t="b">
        <v>0</v>
      </c>
      <c r="N765" s="6">
        <v>15.04</v>
      </c>
      <c r="O765" s="6" t="s">
        <v>30</v>
      </c>
      <c r="P765" s="6" t="b">
        <v>0</v>
      </c>
      <c r="Q765" s="9" t="s">
        <v>36</v>
      </c>
    </row>
    <row r="766" spans="1:17" x14ac:dyDescent="0.25">
      <c r="A766" s="5" t="s">
        <v>816</v>
      </c>
      <c r="B766" s="6" t="s">
        <v>46</v>
      </c>
      <c r="C766" s="6" t="s">
        <v>33</v>
      </c>
      <c r="D766" s="6" t="s">
        <v>20</v>
      </c>
      <c r="E766" s="6" t="s">
        <v>44</v>
      </c>
      <c r="F766" s="6" t="s">
        <v>22</v>
      </c>
      <c r="G766" s="6">
        <v>25</v>
      </c>
      <c r="H766" s="7">
        <v>503.39</v>
      </c>
      <c r="I766" s="7">
        <v>12584.75</v>
      </c>
      <c r="J766" s="8">
        <v>45547</v>
      </c>
      <c r="K766" s="6">
        <v>55</v>
      </c>
      <c r="L766" s="6" t="s">
        <v>41</v>
      </c>
      <c r="M766" s="6" t="b">
        <v>0</v>
      </c>
      <c r="N766" s="6">
        <v>20.93</v>
      </c>
      <c r="O766" s="6" t="s">
        <v>24</v>
      </c>
      <c r="P766" s="6" t="b">
        <v>1</v>
      </c>
      <c r="Q766" s="9" t="s">
        <v>25</v>
      </c>
    </row>
    <row r="767" spans="1:17" x14ac:dyDescent="0.25">
      <c r="A767" s="5" t="s">
        <v>817</v>
      </c>
      <c r="B767" s="6" t="s">
        <v>76</v>
      </c>
      <c r="C767" s="6" t="s">
        <v>19</v>
      </c>
      <c r="D767" s="6" t="s">
        <v>52</v>
      </c>
      <c r="E767" s="6" t="s">
        <v>35</v>
      </c>
      <c r="F767" s="6" t="s">
        <v>40</v>
      </c>
      <c r="G767" s="6">
        <v>12</v>
      </c>
      <c r="H767" s="7">
        <v>203.58</v>
      </c>
      <c r="I767" s="7">
        <v>2442.96</v>
      </c>
      <c r="J767" s="8">
        <v>45119</v>
      </c>
      <c r="K767" s="6">
        <v>32</v>
      </c>
      <c r="L767" s="6" t="s">
        <v>41</v>
      </c>
      <c r="M767" s="6" t="b">
        <v>0</v>
      </c>
      <c r="N767" s="6">
        <v>2.1800000000000002</v>
      </c>
      <c r="O767" s="6" t="s">
        <v>30</v>
      </c>
      <c r="P767" s="6" t="b">
        <v>0</v>
      </c>
      <c r="Q767" s="9" t="s">
        <v>25</v>
      </c>
    </row>
    <row r="768" spans="1:17" x14ac:dyDescent="0.25">
      <c r="A768" s="5" t="s">
        <v>818</v>
      </c>
      <c r="B768" s="6" t="s">
        <v>76</v>
      </c>
      <c r="C768" s="6" t="s">
        <v>19</v>
      </c>
      <c r="D768" s="6" t="s">
        <v>20</v>
      </c>
      <c r="E768" s="6" t="s">
        <v>28</v>
      </c>
      <c r="F768" s="6" t="s">
        <v>48</v>
      </c>
      <c r="G768" s="6">
        <v>21</v>
      </c>
      <c r="H768" s="7">
        <v>77.040000000000006</v>
      </c>
      <c r="I768" s="7">
        <v>1617.84</v>
      </c>
      <c r="J768" s="8">
        <v>45170</v>
      </c>
      <c r="K768" s="6">
        <v>32</v>
      </c>
      <c r="L768" s="6" t="s">
        <v>23</v>
      </c>
      <c r="M768" s="6" t="b">
        <v>1</v>
      </c>
      <c r="N768" s="6">
        <v>28.16</v>
      </c>
      <c r="O768" s="6" t="s">
        <v>42</v>
      </c>
      <c r="P768" s="6" t="b">
        <v>1</v>
      </c>
      <c r="Q768" s="9" t="s">
        <v>25</v>
      </c>
    </row>
    <row r="769" spans="1:17" x14ac:dyDescent="0.25">
      <c r="A769" s="5" t="s">
        <v>819</v>
      </c>
      <c r="B769" s="6" t="s">
        <v>62</v>
      </c>
      <c r="C769" s="6" t="s">
        <v>19</v>
      </c>
      <c r="D769" s="6" t="s">
        <v>64</v>
      </c>
      <c r="E769" s="6" t="s">
        <v>35</v>
      </c>
      <c r="F769" s="6" t="s">
        <v>22</v>
      </c>
      <c r="G769" s="6">
        <v>25</v>
      </c>
      <c r="H769" s="7">
        <v>1216.73</v>
      </c>
      <c r="I769" s="7">
        <v>30418.25</v>
      </c>
      <c r="J769" s="8">
        <v>45206</v>
      </c>
      <c r="K769" s="6">
        <v>65</v>
      </c>
      <c r="L769" s="6" t="s">
        <v>23</v>
      </c>
      <c r="M769" s="6" t="b">
        <v>1</v>
      </c>
      <c r="N769" s="6">
        <v>13.76</v>
      </c>
      <c r="O769" s="6" t="s">
        <v>24</v>
      </c>
      <c r="P769" s="6" t="b">
        <v>0</v>
      </c>
      <c r="Q769" s="9" t="s">
        <v>25</v>
      </c>
    </row>
    <row r="770" spans="1:17" x14ac:dyDescent="0.25">
      <c r="A770" s="5" t="s">
        <v>820</v>
      </c>
      <c r="B770" s="6" t="s">
        <v>32</v>
      </c>
      <c r="C770" s="6" t="s">
        <v>19</v>
      </c>
      <c r="D770" s="6" t="s">
        <v>47</v>
      </c>
      <c r="E770" s="6" t="s">
        <v>35</v>
      </c>
      <c r="F770" s="6" t="s">
        <v>40</v>
      </c>
      <c r="G770" s="6">
        <v>11</v>
      </c>
      <c r="H770" s="7">
        <v>249.95</v>
      </c>
      <c r="I770" s="7">
        <v>2749.45</v>
      </c>
      <c r="J770" s="8">
        <v>44962</v>
      </c>
      <c r="K770" s="6">
        <v>57</v>
      </c>
      <c r="L770" s="6" t="s">
        <v>23</v>
      </c>
      <c r="M770" s="6" t="b">
        <v>0</v>
      </c>
      <c r="N770" s="6">
        <v>28.15</v>
      </c>
      <c r="O770" s="6" t="s">
        <v>42</v>
      </c>
      <c r="P770" s="6" t="b">
        <v>1</v>
      </c>
      <c r="Q770" s="9" t="s">
        <v>25</v>
      </c>
    </row>
    <row r="771" spans="1:17" x14ac:dyDescent="0.25">
      <c r="A771" s="5" t="s">
        <v>821</v>
      </c>
      <c r="B771" s="6" t="s">
        <v>72</v>
      </c>
      <c r="C771" s="6" t="s">
        <v>39</v>
      </c>
      <c r="D771" s="6" t="s">
        <v>34</v>
      </c>
      <c r="E771" s="6" t="s">
        <v>21</v>
      </c>
      <c r="F771" s="6" t="s">
        <v>48</v>
      </c>
      <c r="G771" s="6">
        <v>64</v>
      </c>
      <c r="H771" s="7">
        <v>1175.17</v>
      </c>
      <c r="I771" s="7">
        <v>75210.880000000005</v>
      </c>
      <c r="J771" s="8">
        <v>45483</v>
      </c>
      <c r="K771" s="6">
        <v>68</v>
      </c>
      <c r="L771" s="6" t="s">
        <v>23</v>
      </c>
      <c r="M771" s="6" t="b">
        <v>0</v>
      </c>
      <c r="N771" s="6">
        <v>3.22</v>
      </c>
      <c r="O771" s="6" t="s">
        <v>30</v>
      </c>
      <c r="P771" s="6" t="b">
        <v>1</v>
      </c>
      <c r="Q771" s="9" t="s">
        <v>25</v>
      </c>
    </row>
    <row r="772" spans="1:17" x14ac:dyDescent="0.25">
      <c r="A772" s="5" t="s">
        <v>822</v>
      </c>
      <c r="B772" s="6" t="s">
        <v>46</v>
      </c>
      <c r="C772" s="6" t="s">
        <v>33</v>
      </c>
      <c r="D772" s="6" t="s">
        <v>20</v>
      </c>
      <c r="E772" s="6" t="s">
        <v>21</v>
      </c>
      <c r="F772" s="6" t="s">
        <v>48</v>
      </c>
      <c r="G772" s="6">
        <v>73</v>
      </c>
      <c r="H772" s="7">
        <v>1206.44</v>
      </c>
      <c r="I772" s="7">
        <v>88070.12</v>
      </c>
      <c r="J772" s="8">
        <v>45466</v>
      </c>
      <c r="K772" s="6">
        <v>37</v>
      </c>
      <c r="L772" s="6" t="s">
        <v>23</v>
      </c>
      <c r="M772" s="6" t="b">
        <v>1</v>
      </c>
      <c r="N772" s="6">
        <v>28.5</v>
      </c>
      <c r="O772" s="6" t="s">
        <v>30</v>
      </c>
      <c r="P772" s="6" t="b">
        <v>0</v>
      </c>
      <c r="Q772" s="9" t="s">
        <v>25</v>
      </c>
    </row>
    <row r="773" spans="1:17" x14ac:dyDescent="0.25">
      <c r="A773" s="5" t="s">
        <v>823</v>
      </c>
      <c r="B773" s="6" t="s">
        <v>27</v>
      </c>
      <c r="C773" s="6" t="s">
        <v>39</v>
      </c>
      <c r="D773" s="6" t="s">
        <v>64</v>
      </c>
      <c r="E773" s="6" t="s">
        <v>21</v>
      </c>
      <c r="F773" s="6" t="s">
        <v>40</v>
      </c>
      <c r="G773" s="6">
        <v>50</v>
      </c>
      <c r="H773" s="7">
        <v>829.98</v>
      </c>
      <c r="I773" s="7">
        <v>41499</v>
      </c>
      <c r="J773" s="8">
        <v>45080</v>
      </c>
      <c r="K773" s="6">
        <v>32</v>
      </c>
      <c r="L773" s="6" t="s">
        <v>41</v>
      </c>
      <c r="M773" s="6" t="b">
        <v>0</v>
      </c>
      <c r="N773" s="6">
        <v>3.28</v>
      </c>
      <c r="O773" s="6" t="s">
        <v>30</v>
      </c>
      <c r="P773" s="6" t="b">
        <v>0</v>
      </c>
      <c r="Q773" s="9" t="s">
        <v>25</v>
      </c>
    </row>
    <row r="774" spans="1:17" x14ac:dyDescent="0.25">
      <c r="A774" s="5" t="s">
        <v>824</v>
      </c>
      <c r="B774" s="6" t="s">
        <v>72</v>
      </c>
      <c r="C774" s="6" t="s">
        <v>19</v>
      </c>
      <c r="D774" s="6" t="s">
        <v>52</v>
      </c>
      <c r="E774" s="6" t="s">
        <v>44</v>
      </c>
      <c r="F774" s="6" t="s">
        <v>40</v>
      </c>
      <c r="G774" s="6">
        <v>62</v>
      </c>
      <c r="H774" s="7">
        <v>499.04</v>
      </c>
      <c r="I774" s="7">
        <v>30940.48</v>
      </c>
      <c r="J774" s="8">
        <v>44949</v>
      </c>
      <c r="K774" s="6">
        <v>52</v>
      </c>
      <c r="L774" s="6" t="s">
        <v>23</v>
      </c>
      <c r="M774" s="6" t="b">
        <v>1</v>
      </c>
      <c r="N774" s="6">
        <v>13.84</v>
      </c>
      <c r="O774" s="6" t="s">
        <v>42</v>
      </c>
      <c r="P774" s="6" t="b">
        <v>1</v>
      </c>
      <c r="Q774" s="9" t="s">
        <v>36</v>
      </c>
    </row>
    <row r="775" spans="1:17" x14ac:dyDescent="0.25">
      <c r="A775" s="5" t="s">
        <v>825</v>
      </c>
      <c r="B775" s="6" t="s">
        <v>32</v>
      </c>
      <c r="C775" s="6" t="s">
        <v>39</v>
      </c>
      <c r="D775" s="6" t="s">
        <v>20</v>
      </c>
      <c r="E775" s="6" t="s">
        <v>35</v>
      </c>
      <c r="F775" s="6" t="s">
        <v>22</v>
      </c>
      <c r="G775" s="6">
        <v>89</v>
      </c>
      <c r="H775" s="7">
        <v>260.3</v>
      </c>
      <c r="I775" s="7">
        <v>23166.7</v>
      </c>
      <c r="J775" s="8">
        <v>45017</v>
      </c>
      <c r="K775" s="6">
        <v>23</v>
      </c>
      <c r="L775" s="6" t="s">
        <v>41</v>
      </c>
      <c r="M775" s="6" t="b">
        <v>0</v>
      </c>
      <c r="N775" s="6">
        <v>28.14</v>
      </c>
      <c r="O775" s="6" t="s">
        <v>30</v>
      </c>
      <c r="P775" s="6" t="b">
        <v>1</v>
      </c>
      <c r="Q775" s="9" t="s">
        <v>36</v>
      </c>
    </row>
    <row r="776" spans="1:17" x14ac:dyDescent="0.25">
      <c r="A776" s="5" t="s">
        <v>826</v>
      </c>
      <c r="B776" s="6" t="s">
        <v>72</v>
      </c>
      <c r="C776" s="6" t="s">
        <v>33</v>
      </c>
      <c r="D776" s="6" t="s">
        <v>20</v>
      </c>
      <c r="E776" s="6" t="s">
        <v>35</v>
      </c>
      <c r="F776" s="6" t="s">
        <v>48</v>
      </c>
      <c r="G776" s="6">
        <v>99</v>
      </c>
      <c r="H776" s="7">
        <v>1118.3699999999999</v>
      </c>
      <c r="I776" s="7">
        <v>110718.63</v>
      </c>
      <c r="J776" s="8">
        <v>45316</v>
      </c>
      <c r="K776" s="6">
        <v>47</v>
      </c>
      <c r="L776" s="6" t="s">
        <v>23</v>
      </c>
      <c r="M776" s="6" t="b">
        <v>1</v>
      </c>
      <c r="N776" s="6">
        <v>6.98</v>
      </c>
      <c r="O776" s="6" t="s">
        <v>24</v>
      </c>
      <c r="P776" s="6" t="b">
        <v>1</v>
      </c>
      <c r="Q776" s="9" t="s">
        <v>36</v>
      </c>
    </row>
    <row r="777" spans="1:17" x14ac:dyDescent="0.25">
      <c r="A777" s="5" t="s">
        <v>827</v>
      </c>
      <c r="B777" s="6" t="s">
        <v>51</v>
      </c>
      <c r="C777" s="6" t="s">
        <v>39</v>
      </c>
      <c r="D777" s="6" t="s">
        <v>34</v>
      </c>
      <c r="E777" s="6" t="s">
        <v>44</v>
      </c>
      <c r="F777" s="6" t="s">
        <v>29</v>
      </c>
      <c r="G777" s="6">
        <v>96</v>
      </c>
      <c r="H777" s="7">
        <v>922.01</v>
      </c>
      <c r="I777" s="7">
        <v>88512.960000000006</v>
      </c>
      <c r="J777" s="8">
        <v>45285</v>
      </c>
      <c r="K777" s="6">
        <v>25</v>
      </c>
      <c r="L777" s="6" t="s">
        <v>49</v>
      </c>
      <c r="M777" s="6" t="b">
        <v>1</v>
      </c>
      <c r="N777" s="6">
        <v>1.04</v>
      </c>
      <c r="O777" s="6" t="s">
        <v>56</v>
      </c>
      <c r="P777" s="6" t="b">
        <v>1</v>
      </c>
      <c r="Q777" s="9" t="s">
        <v>25</v>
      </c>
    </row>
    <row r="778" spans="1:17" x14ac:dyDescent="0.25">
      <c r="A778" s="5" t="s">
        <v>828</v>
      </c>
      <c r="B778" s="6" t="s">
        <v>27</v>
      </c>
      <c r="C778" s="6" t="s">
        <v>33</v>
      </c>
      <c r="D778" s="6" t="s">
        <v>64</v>
      </c>
      <c r="E778" s="6" t="s">
        <v>44</v>
      </c>
      <c r="F778" s="6" t="s">
        <v>40</v>
      </c>
      <c r="G778" s="6">
        <v>49</v>
      </c>
      <c r="H778" s="7">
        <v>1000.41</v>
      </c>
      <c r="I778" s="7">
        <v>49020.09</v>
      </c>
      <c r="J778" s="8">
        <v>45476</v>
      </c>
      <c r="K778" s="6">
        <v>48</v>
      </c>
      <c r="L778" s="6" t="s">
        <v>23</v>
      </c>
      <c r="M778" s="6" t="b">
        <v>0</v>
      </c>
      <c r="N778" s="6">
        <v>23.79</v>
      </c>
      <c r="O778" s="6" t="s">
        <v>24</v>
      </c>
      <c r="P778" s="6" t="b">
        <v>0</v>
      </c>
      <c r="Q778" s="9" t="s">
        <v>36</v>
      </c>
    </row>
    <row r="779" spans="1:17" x14ac:dyDescent="0.25">
      <c r="A779" s="5" t="s">
        <v>829</v>
      </c>
      <c r="B779" s="6" t="s">
        <v>32</v>
      </c>
      <c r="C779" s="6" t="s">
        <v>39</v>
      </c>
      <c r="D779" s="6" t="s">
        <v>47</v>
      </c>
      <c r="E779" s="6" t="s">
        <v>44</v>
      </c>
      <c r="F779" s="6" t="s">
        <v>48</v>
      </c>
      <c r="G779" s="6">
        <v>14</v>
      </c>
      <c r="H779" s="7">
        <v>62.57</v>
      </c>
      <c r="I779" s="7">
        <v>875.98</v>
      </c>
      <c r="J779" s="8">
        <v>45154</v>
      </c>
      <c r="K779" s="6">
        <v>65</v>
      </c>
      <c r="L779" s="6" t="s">
        <v>49</v>
      </c>
      <c r="M779" s="6" t="b">
        <v>0</v>
      </c>
      <c r="N779" s="6">
        <v>17.88</v>
      </c>
      <c r="O779" s="6" t="s">
        <v>56</v>
      </c>
      <c r="P779" s="6" t="b">
        <v>1</v>
      </c>
      <c r="Q779" s="9" t="s">
        <v>36</v>
      </c>
    </row>
    <row r="780" spans="1:17" x14ac:dyDescent="0.25">
      <c r="A780" s="5" t="s">
        <v>830</v>
      </c>
      <c r="B780" s="6" t="s">
        <v>62</v>
      </c>
      <c r="C780" s="6" t="s">
        <v>33</v>
      </c>
      <c r="D780" s="6" t="s">
        <v>52</v>
      </c>
      <c r="E780" s="6" t="s">
        <v>35</v>
      </c>
      <c r="F780" s="6" t="s">
        <v>48</v>
      </c>
      <c r="G780" s="6">
        <v>1</v>
      </c>
      <c r="H780" s="7">
        <v>1394.9</v>
      </c>
      <c r="I780" s="7">
        <v>1394.9</v>
      </c>
      <c r="J780" s="8">
        <v>45128</v>
      </c>
      <c r="K780" s="6">
        <v>64</v>
      </c>
      <c r="L780" s="6" t="s">
        <v>41</v>
      </c>
      <c r="M780" s="6" t="b">
        <v>1</v>
      </c>
      <c r="N780" s="6">
        <v>15.42</v>
      </c>
      <c r="O780" s="6" t="s">
        <v>30</v>
      </c>
      <c r="P780" s="6" t="b">
        <v>1</v>
      </c>
      <c r="Q780" s="9" t="s">
        <v>36</v>
      </c>
    </row>
    <row r="781" spans="1:17" x14ac:dyDescent="0.25">
      <c r="A781" s="5" t="s">
        <v>831</v>
      </c>
      <c r="B781" s="6" t="s">
        <v>46</v>
      </c>
      <c r="C781" s="6" t="s">
        <v>33</v>
      </c>
      <c r="D781" s="6" t="s">
        <v>64</v>
      </c>
      <c r="E781" s="6" t="s">
        <v>35</v>
      </c>
      <c r="F781" s="6" t="s">
        <v>22</v>
      </c>
      <c r="G781" s="6">
        <v>81</v>
      </c>
      <c r="H781" s="7">
        <v>146.12</v>
      </c>
      <c r="I781" s="7">
        <v>11835.72</v>
      </c>
      <c r="J781" s="8">
        <v>45276</v>
      </c>
      <c r="K781" s="6">
        <v>49</v>
      </c>
      <c r="L781" s="6" t="s">
        <v>23</v>
      </c>
      <c r="M781" s="6" t="b">
        <v>0</v>
      </c>
      <c r="N781" s="6">
        <v>1.03</v>
      </c>
      <c r="O781" s="6" t="s">
        <v>24</v>
      </c>
      <c r="P781" s="6" t="b">
        <v>0</v>
      </c>
      <c r="Q781" s="9" t="s">
        <v>25</v>
      </c>
    </row>
    <row r="782" spans="1:17" x14ac:dyDescent="0.25">
      <c r="A782" s="5" t="s">
        <v>832</v>
      </c>
      <c r="B782" s="6" t="s">
        <v>18</v>
      </c>
      <c r="C782" s="6" t="s">
        <v>19</v>
      </c>
      <c r="D782" s="6" t="s">
        <v>52</v>
      </c>
      <c r="E782" s="6" t="s">
        <v>21</v>
      </c>
      <c r="F782" s="6" t="s">
        <v>29</v>
      </c>
      <c r="G782" s="6">
        <v>25</v>
      </c>
      <c r="H782" s="7">
        <v>581.87</v>
      </c>
      <c r="I782" s="7">
        <v>14546.75</v>
      </c>
      <c r="J782" s="8">
        <v>44964</v>
      </c>
      <c r="K782" s="6">
        <v>62</v>
      </c>
      <c r="L782" s="6" t="s">
        <v>41</v>
      </c>
      <c r="M782" s="6" t="b">
        <v>1</v>
      </c>
      <c r="N782" s="6">
        <v>19.600000000000001</v>
      </c>
      <c r="O782" s="6" t="s">
        <v>42</v>
      </c>
      <c r="P782" s="6" t="b">
        <v>0</v>
      </c>
      <c r="Q782" s="9" t="s">
        <v>36</v>
      </c>
    </row>
    <row r="783" spans="1:17" x14ac:dyDescent="0.25">
      <c r="A783" s="5" t="s">
        <v>833</v>
      </c>
      <c r="B783" s="6" t="s">
        <v>32</v>
      </c>
      <c r="C783" s="6" t="s">
        <v>33</v>
      </c>
      <c r="D783" s="6" t="s">
        <v>20</v>
      </c>
      <c r="E783" s="6" t="s">
        <v>21</v>
      </c>
      <c r="F783" s="6" t="s">
        <v>22</v>
      </c>
      <c r="G783" s="6">
        <v>59</v>
      </c>
      <c r="H783" s="7">
        <v>633.92999999999995</v>
      </c>
      <c r="I783" s="7">
        <v>37401.870000000003</v>
      </c>
      <c r="J783" s="8">
        <v>45426</v>
      </c>
      <c r="K783" s="6">
        <v>69</v>
      </c>
      <c r="L783" s="6" t="s">
        <v>23</v>
      </c>
      <c r="M783" s="6" t="b">
        <v>0</v>
      </c>
      <c r="N783" s="6">
        <v>5.15</v>
      </c>
      <c r="O783" s="6" t="s">
        <v>56</v>
      </c>
      <c r="P783" s="6" t="b">
        <v>0</v>
      </c>
      <c r="Q783" s="9" t="s">
        <v>36</v>
      </c>
    </row>
    <row r="784" spans="1:17" x14ac:dyDescent="0.25">
      <c r="A784" s="5" t="s">
        <v>834</v>
      </c>
      <c r="B784" s="6" t="s">
        <v>66</v>
      </c>
      <c r="C784" s="6" t="s">
        <v>19</v>
      </c>
      <c r="D784" s="6" t="s">
        <v>34</v>
      </c>
      <c r="E784" s="6" t="s">
        <v>35</v>
      </c>
      <c r="F784" s="6" t="s">
        <v>29</v>
      </c>
      <c r="G784" s="6">
        <v>72</v>
      </c>
      <c r="H784" s="7">
        <v>51.97</v>
      </c>
      <c r="I784" s="7">
        <v>3741.84</v>
      </c>
      <c r="J784" s="8">
        <v>44969</v>
      </c>
      <c r="K784" s="6">
        <v>32</v>
      </c>
      <c r="L784" s="6" t="s">
        <v>41</v>
      </c>
      <c r="M784" s="6" t="b">
        <v>0</v>
      </c>
      <c r="N784" s="6">
        <v>27.94</v>
      </c>
      <c r="O784" s="6" t="s">
        <v>42</v>
      </c>
      <c r="P784" s="6" t="b">
        <v>0</v>
      </c>
      <c r="Q784" s="9" t="s">
        <v>36</v>
      </c>
    </row>
    <row r="785" spans="1:17" x14ac:dyDescent="0.25">
      <c r="A785" s="5" t="s">
        <v>835</v>
      </c>
      <c r="B785" s="6" t="s">
        <v>46</v>
      </c>
      <c r="C785" s="6" t="s">
        <v>19</v>
      </c>
      <c r="D785" s="6" t="s">
        <v>34</v>
      </c>
      <c r="E785" s="6" t="s">
        <v>21</v>
      </c>
      <c r="F785" s="6" t="s">
        <v>29</v>
      </c>
      <c r="G785" s="6">
        <v>69</v>
      </c>
      <c r="H785" s="7">
        <v>770.78</v>
      </c>
      <c r="I785" s="7">
        <v>53183.82</v>
      </c>
      <c r="J785" s="8">
        <v>45552</v>
      </c>
      <c r="K785" s="6">
        <v>35</v>
      </c>
      <c r="L785" s="6" t="s">
        <v>23</v>
      </c>
      <c r="M785" s="6" t="b">
        <v>0</v>
      </c>
      <c r="N785" s="6">
        <v>20.57</v>
      </c>
      <c r="O785" s="6" t="s">
        <v>56</v>
      </c>
      <c r="P785" s="6" t="b">
        <v>0</v>
      </c>
      <c r="Q785" s="9" t="s">
        <v>36</v>
      </c>
    </row>
    <row r="786" spans="1:17" x14ac:dyDescent="0.25">
      <c r="A786" s="5" t="s">
        <v>836</v>
      </c>
      <c r="B786" s="6" t="s">
        <v>32</v>
      </c>
      <c r="C786" s="6" t="s">
        <v>19</v>
      </c>
      <c r="D786" s="6" t="s">
        <v>47</v>
      </c>
      <c r="E786" s="6" t="s">
        <v>44</v>
      </c>
      <c r="F786" s="6" t="s">
        <v>40</v>
      </c>
      <c r="G786" s="6">
        <v>5</v>
      </c>
      <c r="H786" s="7">
        <v>1141.57</v>
      </c>
      <c r="I786" s="7">
        <v>5707.85</v>
      </c>
      <c r="J786" s="8">
        <v>45443</v>
      </c>
      <c r="K786" s="6">
        <v>30</v>
      </c>
      <c r="L786" s="6" t="s">
        <v>23</v>
      </c>
      <c r="M786" s="6" t="b">
        <v>1</v>
      </c>
      <c r="N786" s="6">
        <v>21.21</v>
      </c>
      <c r="O786" s="6" t="s">
        <v>30</v>
      </c>
      <c r="P786" s="6" t="b">
        <v>0</v>
      </c>
      <c r="Q786" s="9" t="s">
        <v>36</v>
      </c>
    </row>
    <row r="787" spans="1:17" x14ac:dyDescent="0.25">
      <c r="A787" s="5" t="s">
        <v>837</v>
      </c>
      <c r="B787" s="6" t="s">
        <v>51</v>
      </c>
      <c r="C787" s="6" t="s">
        <v>39</v>
      </c>
      <c r="D787" s="6" t="s">
        <v>34</v>
      </c>
      <c r="E787" s="6" t="s">
        <v>28</v>
      </c>
      <c r="F787" s="6" t="s">
        <v>48</v>
      </c>
      <c r="G787" s="6">
        <v>99</v>
      </c>
      <c r="H787" s="7">
        <v>1243.74</v>
      </c>
      <c r="I787" s="7">
        <v>123130.26</v>
      </c>
      <c r="J787" s="8">
        <v>44994</v>
      </c>
      <c r="K787" s="6">
        <v>41</v>
      </c>
      <c r="L787" s="6" t="s">
        <v>49</v>
      </c>
      <c r="M787" s="6" t="b">
        <v>1</v>
      </c>
      <c r="N787" s="6">
        <v>6.98</v>
      </c>
      <c r="O787" s="6" t="s">
        <v>24</v>
      </c>
      <c r="P787" s="6" t="b">
        <v>1</v>
      </c>
      <c r="Q787" s="9" t="s">
        <v>36</v>
      </c>
    </row>
    <row r="788" spans="1:17" x14ac:dyDescent="0.25">
      <c r="A788" s="5" t="s">
        <v>838</v>
      </c>
      <c r="B788" s="6" t="s">
        <v>18</v>
      </c>
      <c r="C788" s="6" t="s">
        <v>39</v>
      </c>
      <c r="D788" s="6" t="s">
        <v>20</v>
      </c>
      <c r="E788" s="6" t="s">
        <v>21</v>
      </c>
      <c r="F788" s="6" t="s">
        <v>48</v>
      </c>
      <c r="G788" s="6">
        <v>19</v>
      </c>
      <c r="H788" s="7">
        <v>1325.13</v>
      </c>
      <c r="I788" s="7">
        <v>25177.47</v>
      </c>
      <c r="J788" s="8">
        <v>45049</v>
      </c>
      <c r="K788" s="6">
        <v>57</v>
      </c>
      <c r="L788" s="6" t="s">
        <v>41</v>
      </c>
      <c r="M788" s="6" t="b">
        <v>0</v>
      </c>
      <c r="N788" s="6">
        <v>26.42</v>
      </c>
      <c r="O788" s="6" t="s">
        <v>56</v>
      </c>
      <c r="P788" s="6" t="b">
        <v>1</v>
      </c>
      <c r="Q788" s="9" t="s">
        <v>36</v>
      </c>
    </row>
    <row r="789" spans="1:17" x14ac:dyDescent="0.25">
      <c r="A789" s="5" t="s">
        <v>839</v>
      </c>
      <c r="B789" s="6" t="s">
        <v>51</v>
      </c>
      <c r="C789" s="6" t="s">
        <v>39</v>
      </c>
      <c r="D789" s="6" t="s">
        <v>47</v>
      </c>
      <c r="E789" s="6" t="s">
        <v>35</v>
      </c>
      <c r="F789" s="6" t="s">
        <v>48</v>
      </c>
      <c r="G789" s="6">
        <v>23</v>
      </c>
      <c r="H789" s="7">
        <v>757.19</v>
      </c>
      <c r="I789" s="7">
        <v>17415.37</v>
      </c>
      <c r="J789" s="8">
        <v>45262</v>
      </c>
      <c r="K789" s="6">
        <v>31</v>
      </c>
      <c r="L789" s="6" t="s">
        <v>41</v>
      </c>
      <c r="M789" s="6" t="b">
        <v>1</v>
      </c>
      <c r="N789" s="6">
        <v>16.13</v>
      </c>
      <c r="O789" s="6" t="s">
        <v>24</v>
      </c>
      <c r="P789" s="6" t="b">
        <v>1</v>
      </c>
      <c r="Q789" s="9" t="s">
        <v>25</v>
      </c>
    </row>
    <row r="790" spans="1:17" x14ac:dyDescent="0.25">
      <c r="A790" s="5" t="s">
        <v>840</v>
      </c>
      <c r="B790" s="6" t="s">
        <v>18</v>
      </c>
      <c r="C790" s="6" t="s">
        <v>39</v>
      </c>
      <c r="D790" s="6" t="s">
        <v>64</v>
      </c>
      <c r="E790" s="6" t="s">
        <v>21</v>
      </c>
      <c r="F790" s="6" t="s">
        <v>29</v>
      </c>
      <c r="G790" s="6">
        <v>9</v>
      </c>
      <c r="H790" s="7">
        <v>964.42</v>
      </c>
      <c r="I790" s="7">
        <v>8679.7800000000007</v>
      </c>
      <c r="J790" s="8">
        <v>45079</v>
      </c>
      <c r="K790" s="6">
        <v>45</v>
      </c>
      <c r="L790" s="6" t="s">
        <v>41</v>
      </c>
      <c r="M790" s="6" t="b">
        <v>0</v>
      </c>
      <c r="N790" s="6">
        <v>25.71</v>
      </c>
      <c r="O790" s="6" t="s">
        <v>56</v>
      </c>
      <c r="P790" s="6" t="b">
        <v>0</v>
      </c>
      <c r="Q790" s="9" t="s">
        <v>36</v>
      </c>
    </row>
    <row r="791" spans="1:17" x14ac:dyDescent="0.25">
      <c r="A791" s="5" t="s">
        <v>841</v>
      </c>
      <c r="B791" s="6" t="s">
        <v>66</v>
      </c>
      <c r="C791" s="6" t="s">
        <v>33</v>
      </c>
      <c r="D791" s="6" t="s">
        <v>34</v>
      </c>
      <c r="E791" s="6" t="s">
        <v>21</v>
      </c>
      <c r="F791" s="6" t="s">
        <v>48</v>
      </c>
      <c r="G791" s="6">
        <v>94</v>
      </c>
      <c r="H791" s="7">
        <v>165.3</v>
      </c>
      <c r="I791" s="7">
        <v>15538.2</v>
      </c>
      <c r="J791" s="8">
        <v>45595</v>
      </c>
      <c r="K791" s="6">
        <v>28</v>
      </c>
      <c r="L791" s="6" t="s">
        <v>41</v>
      </c>
      <c r="M791" s="6" t="b">
        <v>1</v>
      </c>
      <c r="N791" s="6">
        <v>8.1300000000000008</v>
      </c>
      <c r="O791" s="6" t="s">
        <v>56</v>
      </c>
      <c r="P791" s="6" t="b">
        <v>0</v>
      </c>
      <c r="Q791" s="9" t="s">
        <v>36</v>
      </c>
    </row>
    <row r="792" spans="1:17" x14ac:dyDescent="0.25">
      <c r="A792" s="5" t="s">
        <v>842</v>
      </c>
      <c r="B792" s="6" t="s">
        <v>46</v>
      </c>
      <c r="C792" s="6" t="s">
        <v>33</v>
      </c>
      <c r="D792" s="6" t="s">
        <v>47</v>
      </c>
      <c r="E792" s="6" t="s">
        <v>21</v>
      </c>
      <c r="F792" s="6" t="s">
        <v>40</v>
      </c>
      <c r="G792" s="6">
        <v>50</v>
      </c>
      <c r="H792" s="7">
        <v>757.66</v>
      </c>
      <c r="I792" s="7">
        <v>37883</v>
      </c>
      <c r="J792" s="8">
        <v>45088</v>
      </c>
      <c r="K792" s="6">
        <v>23</v>
      </c>
      <c r="L792" s="6" t="s">
        <v>41</v>
      </c>
      <c r="M792" s="6" t="b">
        <v>0</v>
      </c>
      <c r="N792" s="6">
        <v>22.66</v>
      </c>
      <c r="O792" s="6" t="s">
        <v>30</v>
      </c>
      <c r="P792" s="6" t="b">
        <v>1</v>
      </c>
      <c r="Q792" s="9" t="s">
        <v>25</v>
      </c>
    </row>
    <row r="793" spans="1:17" x14ac:dyDescent="0.25">
      <c r="A793" s="5" t="s">
        <v>843</v>
      </c>
      <c r="B793" s="6" t="s">
        <v>62</v>
      </c>
      <c r="C793" s="6" t="s">
        <v>39</v>
      </c>
      <c r="D793" s="6" t="s">
        <v>20</v>
      </c>
      <c r="E793" s="6" t="s">
        <v>28</v>
      </c>
      <c r="F793" s="6" t="s">
        <v>29</v>
      </c>
      <c r="G793" s="6">
        <v>16</v>
      </c>
      <c r="H793" s="7">
        <v>274.48</v>
      </c>
      <c r="I793" s="7">
        <v>4391.68</v>
      </c>
      <c r="J793" s="8">
        <v>45140</v>
      </c>
      <c r="K793" s="6">
        <v>42</v>
      </c>
      <c r="L793" s="6" t="s">
        <v>49</v>
      </c>
      <c r="M793" s="6" t="b">
        <v>1</v>
      </c>
      <c r="N793" s="6">
        <v>17.239999999999998</v>
      </c>
      <c r="O793" s="6" t="s">
        <v>56</v>
      </c>
      <c r="P793" s="6" t="b">
        <v>1</v>
      </c>
      <c r="Q793" s="9" t="s">
        <v>25</v>
      </c>
    </row>
    <row r="794" spans="1:17" x14ac:dyDescent="0.25">
      <c r="A794" s="5" t="s">
        <v>844</v>
      </c>
      <c r="B794" s="6" t="s">
        <v>51</v>
      </c>
      <c r="C794" s="6" t="s">
        <v>33</v>
      </c>
      <c r="D794" s="6" t="s">
        <v>52</v>
      </c>
      <c r="E794" s="6" t="s">
        <v>44</v>
      </c>
      <c r="F794" s="6" t="s">
        <v>29</v>
      </c>
      <c r="G794" s="6">
        <v>33</v>
      </c>
      <c r="H794" s="7">
        <v>585.98</v>
      </c>
      <c r="I794" s="7">
        <v>19337.34</v>
      </c>
      <c r="J794" s="8">
        <v>45302</v>
      </c>
      <c r="K794" s="6">
        <v>18</v>
      </c>
      <c r="L794" s="6" t="s">
        <v>23</v>
      </c>
      <c r="M794" s="6" t="b">
        <v>1</v>
      </c>
      <c r="N794" s="6">
        <v>1.45</v>
      </c>
      <c r="O794" s="6" t="s">
        <v>42</v>
      </c>
      <c r="P794" s="6" t="b">
        <v>0</v>
      </c>
      <c r="Q794" s="9" t="s">
        <v>25</v>
      </c>
    </row>
    <row r="795" spans="1:17" x14ac:dyDescent="0.25">
      <c r="A795" s="5" t="s">
        <v>845</v>
      </c>
      <c r="B795" s="6" t="s">
        <v>51</v>
      </c>
      <c r="C795" s="6" t="s">
        <v>33</v>
      </c>
      <c r="D795" s="6" t="s">
        <v>52</v>
      </c>
      <c r="E795" s="6" t="s">
        <v>35</v>
      </c>
      <c r="F795" s="6" t="s">
        <v>29</v>
      </c>
      <c r="G795" s="6">
        <v>2</v>
      </c>
      <c r="H795" s="7">
        <v>527.49</v>
      </c>
      <c r="I795" s="7">
        <v>1054.98</v>
      </c>
      <c r="J795" s="8">
        <v>45369</v>
      </c>
      <c r="K795" s="6">
        <v>42</v>
      </c>
      <c r="L795" s="6" t="s">
        <v>49</v>
      </c>
      <c r="M795" s="6" t="b">
        <v>1</v>
      </c>
      <c r="N795" s="6">
        <v>12.16</v>
      </c>
      <c r="O795" s="6" t="s">
        <v>56</v>
      </c>
      <c r="P795" s="6" t="b">
        <v>0</v>
      </c>
      <c r="Q795" s="9" t="s">
        <v>25</v>
      </c>
    </row>
    <row r="796" spans="1:17" x14ac:dyDescent="0.25">
      <c r="A796" s="5" t="s">
        <v>846</v>
      </c>
      <c r="B796" s="6" t="s">
        <v>76</v>
      </c>
      <c r="C796" s="6" t="s">
        <v>19</v>
      </c>
      <c r="D796" s="6" t="s">
        <v>20</v>
      </c>
      <c r="E796" s="6" t="s">
        <v>28</v>
      </c>
      <c r="F796" s="6" t="s">
        <v>29</v>
      </c>
      <c r="G796" s="6">
        <v>14</v>
      </c>
      <c r="H796" s="7">
        <v>664.13</v>
      </c>
      <c r="I796" s="7">
        <v>9297.82</v>
      </c>
      <c r="J796" s="8">
        <v>45349</v>
      </c>
      <c r="K796" s="6">
        <v>19</v>
      </c>
      <c r="L796" s="6" t="s">
        <v>41</v>
      </c>
      <c r="M796" s="6" t="b">
        <v>1</v>
      </c>
      <c r="N796" s="6">
        <v>5.52</v>
      </c>
      <c r="O796" s="6" t="s">
        <v>56</v>
      </c>
      <c r="P796" s="6" t="b">
        <v>1</v>
      </c>
      <c r="Q796" s="9" t="s">
        <v>25</v>
      </c>
    </row>
    <row r="797" spans="1:17" x14ac:dyDescent="0.25">
      <c r="A797" s="5" t="s">
        <v>847</v>
      </c>
      <c r="B797" s="6" t="s">
        <v>18</v>
      </c>
      <c r="C797" s="6" t="s">
        <v>19</v>
      </c>
      <c r="D797" s="6" t="s">
        <v>20</v>
      </c>
      <c r="E797" s="6" t="s">
        <v>35</v>
      </c>
      <c r="F797" s="6" t="s">
        <v>40</v>
      </c>
      <c r="G797" s="6">
        <v>1</v>
      </c>
      <c r="H797" s="7">
        <v>878.87</v>
      </c>
      <c r="I797" s="7">
        <v>878.87</v>
      </c>
      <c r="J797" s="8">
        <v>45464</v>
      </c>
      <c r="K797" s="6">
        <v>49</v>
      </c>
      <c r="L797" s="6" t="s">
        <v>41</v>
      </c>
      <c r="M797" s="6" t="b">
        <v>1</v>
      </c>
      <c r="N797" s="6">
        <v>10.78</v>
      </c>
      <c r="O797" s="6" t="s">
        <v>56</v>
      </c>
      <c r="P797" s="6" t="b">
        <v>1</v>
      </c>
      <c r="Q797" s="9" t="s">
        <v>36</v>
      </c>
    </row>
    <row r="798" spans="1:17" x14ac:dyDescent="0.25">
      <c r="A798" s="5" t="s">
        <v>848</v>
      </c>
      <c r="B798" s="6" t="s">
        <v>38</v>
      </c>
      <c r="C798" s="6" t="s">
        <v>19</v>
      </c>
      <c r="D798" s="6" t="s">
        <v>52</v>
      </c>
      <c r="E798" s="6" t="s">
        <v>35</v>
      </c>
      <c r="F798" s="6" t="s">
        <v>48</v>
      </c>
      <c r="G798" s="6">
        <v>90</v>
      </c>
      <c r="H798" s="7">
        <v>1359.17</v>
      </c>
      <c r="I798" s="7">
        <v>122325.3</v>
      </c>
      <c r="J798" s="8">
        <v>45560</v>
      </c>
      <c r="K798" s="6">
        <v>30</v>
      </c>
      <c r="L798" s="6" t="s">
        <v>23</v>
      </c>
      <c r="M798" s="6" t="b">
        <v>1</v>
      </c>
      <c r="N798" s="6">
        <v>11.5</v>
      </c>
      <c r="O798" s="6" t="s">
        <v>30</v>
      </c>
      <c r="P798" s="6" t="b">
        <v>1</v>
      </c>
      <c r="Q798" s="9" t="s">
        <v>36</v>
      </c>
    </row>
    <row r="799" spans="1:17" x14ac:dyDescent="0.25">
      <c r="A799" s="5" t="s">
        <v>849</v>
      </c>
      <c r="B799" s="6" t="s">
        <v>46</v>
      </c>
      <c r="C799" s="6" t="s">
        <v>19</v>
      </c>
      <c r="D799" s="6" t="s">
        <v>47</v>
      </c>
      <c r="E799" s="6" t="s">
        <v>35</v>
      </c>
      <c r="F799" s="6" t="s">
        <v>40</v>
      </c>
      <c r="G799" s="6">
        <v>58</v>
      </c>
      <c r="H799" s="7">
        <v>622</v>
      </c>
      <c r="I799" s="7">
        <v>36076</v>
      </c>
      <c r="J799" s="8">
        <v>45156</v>
      </c>
      <c r="K799" s="6">
        <v>50</v>
      </c>
      <c r="L799" s="6" t="s">
        <v>49</v>
      </c>
      <c r="M799" s="6" t="b">
        <v>0</v>
      </c>
      <c r="N799" s="6">
        <v>14.25</v>
      </c>
      <c r="O799" s="6" t="s">
        <v>24</v>
      </c>
      <c r="P799" s="6" t="b">
        <v>1</v>
      </c>
      <c r="Q799" s="9" t="s">
        <v>36</v>
      </c>
    </row>
    <row r="800" spans="1:17" x14ac:dyDescent="0.25">
      <c r="A800" s="5" t="s">
        <v>850</v>
      </c>
      <c r="B800" s="6" t="s">
        <v>18</v>
      </c>
      <c r="C800" s="6" t="s">
        <v>33</v>
      </c>
      <c r="D800" s="6" t="s">
        <v>52</v>
      </c>
      <c r="E800" s="6" t="s">
        <v>28</v>
      </c>
      <c r="F800" s="6" t="s">
        <v>48</v>
      </c>
      <c r="G800" s="6">
        <v>89</v>
      </c>
      <c r="H800" s="7">
        <v>1472.64</v>
      </c>
      <c r="I800" s="7">
        <v>131064.96000000001</v>
      </c>
      <c r="J800" s="8">
        <v>44985</v>
      </c>
      <c r="K800" s="6">
        <v>49</v>
      </c>
      <c r="L800" s="6" t="s">
        <v>23</v>
      </c>
      <c r="M800" s="6" t="b">
        <v>0</v>
      </c>
      <c r="N800" s="6">
        <v>18.010000000000002</v>
      </c>
      <c r="O800" s="6" t="s">
        <v>24</v>
      </c>
      <c r="P800" s="6" t="b">
        <v>1</v>
      </c>
      <c r="Q800" s="9" t="s">
        <v>25</v>
      </c>
    </row>
    <row r="801" spans="1:17" x14ac:dyDescent="0.25">
      <c r="A801" s="5" t="s">
        <v>851</v>
      </c>
      <c r="B801" s="6" t="s">
        <v>76</v>
      </c>
      <c r="C801" s="6" t="s">
        <v>39</v>
      </c>
      <c r="D801" s="6" t="s">
        <v>20</v>
      </c>
      <c r="E801" s="6" t="s">
        <v>44</v>
      </c>
      <c r="F801" s="6" t="s">
        <v>40</v>
      </c>
      <c r="G801" s="6">
        <v>16</v>
      </c>
      <c r="H801" s="7">
        <v>1150.5899999999999</v>
      </c>
      <c r="I801" s="7">
        <v>18409.439999999999</v>
      </c>
      <c r="J801" s="8">
        <v>45022</v>
      </c>
      <c r="K801" s="6">
        <v>41</v>
      </c>
      <c r="L801" s="6" t="s">
        <v>23</v>
      </c>
      <c r="M801" s="6" t="b">
        <v>1</v>
      </c>
      <c r="N801" s="6">
        <v>17.13</v>
      </c>
      <c r="O801" s="6" t="s">
        <v>30</v>
      </c>
      <c r="P801" s="6" t="b">
        <v>0</v>
      </c>
      <c r="Q801" s="9" t="s">
        <v>36</v>
      </c>
    </row>
    <row r="802" spans="1:17" x14ac:dyDescent="0.25">
      <c r="A802" s="5" t="s">
        <v>852</v>
      </c>
      <c r="B802" s="6" t="s">
        <v>72</v>
      </c>
      <c r="C802" s="6" t="s">
        <v>33</v>
      </c>
      <c r="D802" s="6" t="s">
        <v>34</v>
      </c>
      <c r="E802" s="6" t="s">
        <v>35</v>
      </c>
      <c r="F802" s="6" t="s">
        <v>22</v>
      </c>
      <c r="G802" s="6">
        <v>79</v>
      </c>
      <c r="H802" s="7">
        <v>791.65</v>
      </c>
      <c r="I802" s="7">
        <v>62540.35</v>
      </c>
      <c r="J802" s="8">
        <v>45188</v>
      </c>
      <c r="K802" s="6">
        <v>44</v>
      </c>
      <c r="L802" s="6" t="s">
        <v>49</v>
      </c>
      <c r="M802" s="6" t="b">
        <v>0</v>
      </c>
      <c r="N802" s="6">
        <v>1.17</v>
      </c>
      <c r="O802" s="6" t="s">
        <v>42</v>
      </c>
      <c r="P802" s="6" t="b">
        <v>1</v>
      </c>
      <c r="Q802" s="9" t="s">
        <v>36</v>
      </c>
    </row>
    <row r="803" spans="1:17" x14ac:dyDescent="0.25">
      <c r="A803" s="5" t="s">
        <v>853</v>
      </c>
      <c r="B803" s="6" t="s">
        <v>18</v>
      </c>
      <c r="C803" s="6" t="s">
        <v>33</v>
      </c>
      <c r="D803" s="6" t="s">
        <v>64</v>
      </c>
      <c r="E803" s="6" t="s">
        <v>44</v>
      </c>
      <c r="F803" s="6" t="s">
        <v>22</v>
      </c>
      <c r="G803" s="6">
        <v>90</v>
      </c>
      <c r="H803" s="7">
        <v>983.84</v>
      </c>
      <c r="I803" s="7">
        <v>88545.600000000006</v>
      </c>
      <c r="J803" s="8">
        <v>45280</v>
      </c>
      <c r="K803" s="6">
        <v>21</v>
      </c>
      <c r="L803" s="6" t="s">
        <v>23</v>
      </c>
      <c r="M803" s="6" t="b">
        <v>1</v>
      </c>
      <c r="N803" s="6">
        <v>22.52</v>
      </c>
      <c r="O803" s="6" t="s">
        <v>42</v>
      </c>
      <c r="P803" s="6" t="b">
        <v>1</v>
      </c>
      <c r="Q803" s="9" t="s">
        <v>25</v>
      </c>
    </row>
    <row r="804" spans="1:17" x14ac:dyDescent="0.25">
      <c r="A804" s="5" t="s">
        <v>854</v>
      </c>
      <c r="B804" s="6" t="s">
        <v>62</v>
      </c>
      <c r="C804" s="6" t="s">
        <v>33</v>
      </c>
      <c r="D804" s="6" t="s">
        <v>34</v>
      </c>
      <c r="E804" s="6" t="s">
        <v>44</v>
      </c>
      <c r="F804" s="6" t="s">
        <v>22</v>
      </c>
      <c r="G804" s="6">
        <v>47</v>
      </c>
      <c r="H804" s="7">
        <v>198.23</v>
      </c>
      <c r="I804" s="7">
        <v>9316.81</v>
      </c>
      <c r="J804" s="8">
        <v>45238</v>
      </c>
      <c r="K804" s="6">
        <v>41</v>
      </c>
      <c r="L804" s="6" t="s">
        <v>49</v>
      </c>
      <c r="M804" s="6" t="b">
        <v>0</v>
      </c>
      <c r="N804" s="6">
        <v>28.48</v>
      </c>
      <c r="O804" s="6" t="s">
        <v>30</v>
      </c>
      <c r="P804" s="6" t="b">
        <v>0</v>
      </c>
      <c r="Q804" s="9" t="s">
        <v>25</v>
      </c>
    </row>
    <row r="805" spans="1:17" x14ac:dyDescent="0.25">
      <c r="A805" s="5" t="s">
        <v>855</v>
      </c>
      <c r="B805" s="6" t="s">
        <v>46</v>
      </c>
      <c r="C805" s="6" t="s">
        <v>19</v>
      </c>
      <c r="D805" s="6" t="s">
        <v>34</v>
      </c>
      <c r="E805" s="6" t="s">
        <v>21</v>
      </c>
      <c r="F805" s="6" t="s">
        <v>22</v>
      </c>
      <c r="G805" s="6">
        <v>44</v>
      </c>
      <c r="H805" s="7">
        <v>1274.56</v>
      </c>
      <c r="I805" s="7">
        <v>56080.639999999999</v>
      </c>
      <c r="J805" s="8">
        <v>45062</v>
      </c>
      <c r="K805" s="6">
        <v>40</v>
      </c>
      <c r="L805" s="6" t="s">
        <v>49</v>
      </c>
      <c r="M805" s="6" t="b">
        <v>0</v>
      </c>
      <c r="N805" s="6">
        <v>10.46</v>
      </c>
      <c r="O805" s="6" t="s">
        <v>24</v>
      </c>
      <c r="P805" s="6" t="b">
        <v>1</v>
      </c>
      <c r="Q805" s="9" t="s">
        <v>36</v>
      </c>
    </row>
    <row r="806" spans="1:17" x14ac:dyDescent="0.25">
      <c r="A806" s="5" t="s">
        <v>856</v>
      </c>
      <c r="B806" s="6" t="s">
        <v>76</v>
      </c>
      <c r="C806" s="6" t="s">
        <v>19</v>
      </c>
      <c r="D806" s="6" t="s">
        <v>20</v>
      </c>
      <c r="E806" s="6" t="s">
        <v>28</v>
      </c>
      <c r="F806" s="6" t="s">
        <v>29</v>
      </c>
      <c r="G806" s="6">
        <v>80</v>
      </c>
      <c r="H806" s="7">
        <v>894.42</v>
      </c>
      <c r="I806" s="7">
        <v>71553.600000000006</v>
      </c>
      <c r="J806" s="8">
        <v>45399</v>
      </c>
      <c r="K806" s="6">
        <v>46</v>
      </c>
      <c r="L806" s="6" t="s">
        <v>41</v>
      </c>
      <c r="M806" s="6" t="b">
        <v>0</v>
      </c>
      <c r="N806" s="6">
        <v>5.39</v>
      </c>
      <c r="O806" s="6" t="s">
        <v>42</v>
      </c>
      <c r="P806" s="6" t="b">
        <v>0</v>
      </c>
      <c r="Q806" s="9" t="s">
        <v>25</v>
      </c>
    </row>
    <row r="807" spans="1:17" x14ac:dyDescent="0.25">
      <c r="A807" s="5" t="s">
        <v>857</v>
      </c>
      <c r="B807" s="6" t="s">
        <v>72</v>
      </c>
      <c r="C807" s="6" t="s">
        <v>19</v>
      </c>
      <c r="D807" s="6" t="s">
        <v>52</v>
      </c>
      <c r="E807" s="6" t="s">
        <v>28</v>
      </c>
      <c r="F807" s="6" t="s">
        <v>29</v>
      </c>
      <c r="G807" s="6">
        <v>14</v>
      </c>
      <c r="H807" s="7">
        <v>1479.8</v>
      </c>
      <c r="I807" s="7">
        <v>20717.2</v>
      </c>
      <c r="J807" s="8">
        <v>45558</v>
      </c>
      <c r="K807" s="6">
        <v>51</v>
      </c>
      <c r="L807" s="6" t="s">
        <v>23</v>
      </c>
      <c r="M807" s="6" t="b">
        <v>0</v>
      </c>
      <c r="N807" s="6">
        <v>16.2</v>
      </c>
      <c r="O807" s="6" t="s">
        <v>30</v>
      </c>
      <c r="P807" s="6" t="b">
        <v>0</v>
      </c>
      <c r="Q807" s="9" t="s">
        <v>36</v>
      </c>
    </row>
    <row r="808" spans="1:17" x14ac:dyDescent="0.25">
      <c r="A808" s="5" t="s">
        <v>858</v>
      </c>
      <c r="B808" s="6" t="s">
        <v>27</v>
      </c>
      <c r="C808" s="6" t="s">
        <v>39</v>
      </c>
      <c r="D808" s="6" t="s">
        <v>47</v>
      </c>
      <c r="E808" s="6" t="s">
        <v>21</v>
      </c>
      <c r="F808" s="6" t="s">
        <v>40</v>
      </c>
      <c r="G808" s="6">
        <v>93</v>
      </c>
      <c r="H808" s="7">
        <v>972.82</v>
      </c>
      <c r="I808" s="7">
        <v>90472.26</v>
      </c>
      <c r="J808" s="8">
        <v>45356</v>
      </c>
      <c r="K808" s="6">
        <v>38</v>
      </c>
      <c r="L808" s="6" t="s">
        <v>41</v>
      </c>
      <c r="M808" s="6" t="b">
        <v>1</v>
      </c>
      <c r="N808" s="6">
        <v>21.15</v>
      </c>
      <c r="O808" s="6" t="s">
        <v>24</v>
      </c>
      <c r="P808" s="6" t="b">
        <v>1</v>
      </c>
      <c r="Q808" s="9" t="s">
        <v>25</v>
      </c>
    </row>
    <row r="809" spans="1:17" x14ac:dyDescent="0.25">
      <c r="A809" s="5" t="s">
        <v>859</v>
      </c>
      <c r="B809" s="6" t="s">
        <v>76</v>
      </c>
      <c r="C809" s="6" t="s">
        <v>33</v>
      </c>
      <c r="D809" s="6" t="s">
        <v>34</v>
      </c>
      <c r="E809" s="6" t="s">
        <v>21</v>
      </c>
      <c r="F809" s="6" t="s">
        <v>40</v>
      </c>
      <c r="G809" s="6">
        <v>24</v>
      </c>
      <c r="H809" s="7">
        <v>1259.46</v>
      </c>
      <c r="I809" s="7">
        <v>30227.040000000001</v>
      </c>
      <c r="J809" s="8">
        <v>45463</v>
      </c>
      <c r="K809" s="6">
        <v>47</v>
      </c>
      <c r="L809" s="6" t="s">
        <v>23</v>
      </c>
      <c r="M809" s="6" t="b">
        <v>0</v>
      </c>
      <c r="N809" s="6">
        <v>20.37</v>
      </c>
      <c r="O809" s="6" t="s">
        <v>42</v>
      </c>
      <c r="P809" s="6" t="b">
        <v>1</v>
      </c>
      <c r="Q809" s="9" t="s">
        <v>36</v>
      </c>
    </row>
    <row r="810" spans="1:17" x14ac:dyDescent="0.25">
      <c r="A810" s="5" t="s">
        <v>860</v>
      </c>
      <c r="B810" s="6" t="s">
        <v>27</v>
      </c>
      <c r="C810" s="6" t="s">
        <v>39</v>
      </c>
      <c r="D810" s="6" t="s">
        <v>52</v>
      </c>
      <c r="E810" s="6" t="s">
        <v>44</v>
      </c>
      <c r="F810" s="6" t="s">
        <v>22</v>
      </c>
      <c r="G810" s="6">
        <v>55</v>
      </c>
      <c r="H810" s="7">
        <v>1209.6600000000001</v>
      </c>
      <c r="I810" s="7">
        <v>66531.3</v>
      </c>
      <c r="J810" s="8">
        <v>45072</v>
      </c>
      <c r="K810" s="6">
        <v>43</v>
      </c>
      <c r="L810" s="6" t="s">
        <v>23</v>
      </c>
      <c r="M810" s="6" t="b">
        <v>0</v>
      </c>
      <c r="N810" s="6">
        <v>18.36</v>
      </c>
      <c r="O810" s="6" t="s">
        <v>42</v>
      </c>
      <c r="P810" s="6" t="b">
        <v>0</v>
      </c>
      <c r="Q810" s="9" t="s">
        <v>36</v>
      </c>
    </row>
    <row r="811" spans="1:17" x14ac:dyDescent="0.25">
      <c r="A811" s="5" t="s">
        <v>861</v>
      </c>
      <c r="B811" s="6" t="s">
        <v>46</v>
      </c>
      <c r="C811" s="6" t="s">
        <v>19</v>
      </c>
      <c r="D811" s="6" t="s">
        <v>47</v>
      </c>
      <c r="E811" s="6" t="s">
        <v>35</v>
      </c>
      <c r="F811" s="6" t="s">
        <v>48</v>
      </c>
      <c r="G811" s="6">
        <v>15</v>
      </c>
      <c r="H811" s="7">
        <v>550.91999999999996</v>
      </c>
      <c r="I811" s="7">
        <v>8263.7999999999993</v>
      </c>
      <c r="J811" s="8">
        <v>45450</v>
      </c>
      <c r="K811" s="6">
        <v>37</v>
      </c>
      <c r="L811" s="6" t="s">
        <v>41</v>
      </c>
      <c r="M811" s="6" t="b">
        <v>0</v>
      </c>
      <c r="N811" s="6">
        <v>4.3899999999999997</v>
      </c>
      <c r="O811" s="6" t="s">
        <v>30</v>
      </c>
      <c r="P811" s="6" t="b">
        <v>0</v>
      </c>
      <c r="Q811" s="9" t="s">
        <v>36</v>
      </c>
    </row>
    <row r="812" spans="1:17" x14ac:dyDescent="0.25">
      <c r="A812" s="5" t="s">
        <v>862</v>
      </c>
      <c r="B812" s="6" t="s">
        <v>51</v>
      </c>
      <c r="C812" s="6" t="s">
        <v>39</v>
      </c>
      <c r="D812" s="6" t="s">
        <v>34</v>
      </c>
      <c r="E812" s="6" t="s">
        <v>28</v>
      </c>
      <c r="F812" s="6" t="s">
        <v>22</v>
      </c>
      <c r="G812" s="6">
        <v>83</v>
      </c>
      <c r="H812" s="7">
        <v>426.44</v>
      </c>
      <c r="I812" s="7">
        <v>35394.519999999997</v>
      </c>
      <c r="J812" s="8">
        <v>45013</v>
      </c>
      <c r="K812" s="6">
        <v>33</v>
      </c>
      <c r="L812" s="6" t="s">
        <v>41</v>
      </c>
      <c r="M812" s="6" t="b">
        <v>1</v>
      </c>
      <c r="N812" s="6">
        <v>25.1</v>
      </c>
      <c r="O812" s="6" t="s">
        <v>24</v>
      </c>
      <c r="P812" s="6" t="b">
        <v>0</v>
      </c>
      <c r="Q812" s="9" t="s">
        <v>25</v>
      </c>
    </row>
    <row r="813" spans="1:17" x14ac:dyDescent="0.25">
      <c r="A813" s="5" t="s">
        <v>863</v>
      </c>
      <c r="B813" s="6" t="s">
        <v>76</v>
      </c>
      <c r="C813" s="6" t="s">
        <v>33</v>
      </c>
      <c r="D813" s="6" t="s">
        <v>47</v>
      </c>
      <c r="E813" s="6" t="s">
        <v>35</v>
      </c>
      <c r="F813" s="6" t="s">
        <v>40</v>
      </c>
      <c r="G813" s="6">
        <v>72</v>
      </c>
      <c r="H813" s="7">
        <v>674.22</v>
      </c>
      <c r="I813" s="7">
        <v>48543.839999999997</v>
      </c>
      <c r="J813" s="8">
        <v>45035</v>
      </c>
      <c r="K813" s="6">
        <v>20</v>
      </c>
      <c r="L813" s="6" t="s">
        <v>41</v>
      </c>
      <c r="M813" s="6" t="b">
        <v>0</v>
      </c>
      <c r="N813" s="6">
        <v>12.77</v>
      </c>
      <c r="O813" s="6" t="s">
        <v>42</v>
      </c>
      <c r="P813" s="6" t="b">
        <v>1</v>
      </c>
      <c r="Q813" s="9" t="s">
        <v>25</v>
      </c>
    </row>
    <row r="814" spans="1:17" x14ac:dyDescent="0.25">
      <c r="A814" s="5" t="s">
        <v>864</v>
      </c>
      <c r="B814" s="6" t="s">
        <v>66</v>
      </c>
      <c r="C814" s="6" t="s">
        <v>33</v>
      </c>
      <c r="D814" s="6" t="s">
        <v>52</v>
      </c>
      <c r="E814" s="6" t="s">
        <v>35</v>
      </c>
      <c r="F814" s="6" t="s">
        <v>22</v>
      </c>
      <c r="G814" s="6">
        <v>34</v>
      </c>
      <c r="H814" s="7">
        <v>727.5</v>
      </c>
      <c r="I814" s="7">
        <v>24735</v>
      </c>
      <c r="J814" s="8">
        <v>45349</v>
      </c>
      <c r="K814" s="6">
        <v>66</v>
      </c>
      <c r="L814" s="6" t="s">
        <v>49</v>
      </c>
      <c r="M814" s="6" t="b">
        <v>1</v>
      </c>
      <c r="N814" s="6">
        <v>6.64</v>
      </c>
      <c r="O814" s="6" t="s">
        <v>30</v>
      </c>
      <c r="P814" s="6" t="b">
        <v>1</v>
      </c>
      <c r="Q814" s="9" t="s">
        <v>25</v>
      </c>
    </row>
    <row r="815" spans="1:17" x14ac:dyDescent="0.25">
      <c r="A815" s="5" t="s">
        <v>865</v>
      </c>
      <c r="B815" s="6" t="s">
        <v>27</v>
      </c>
      <c r="C815" s="6" t="s">
        <v>19</v>
      </c>
      <c r="D815" s="6" t="s">
        <v>64</v>
      </c>
      <c r="E815" s="6" t="s">
        <v>21</v>
      </c>
      <c r="F815" s="6" t="s">
        <v>40</v>
      </c>
      <c r="G815" s="6">
        <v>2</v>
      </c>
      <c r="H815" s="7">
        <v>398.12</v>
      </c>
      <c r="I815" s="7">
        <v>796.24</v>
      </c>
      <c r="J815" s="8">
        <v>45271</v>
      </c>
      <c r="K815" s="6">
        <v>54</v>
      </c>
      <c r="L815" s="6" t="s">
        <v>23</v>
      </c>
      <c r="M815" s="6" t="b">
        <v>1</v>
      </c>
      <c r="N815" s="6">
        <v>2.59</v>
      </c>
      <c r="O815" s="6" t="s">
        <v>42</v>
      </c>
      <c r="P815" s="6" t="b">
        <v>1</v>
      </c>
      <c r="Q815" s="9" t="s">
        <v>25</v>
      </c>
    </row>
    <row r="816" spans="1:17" x14ac:dyDescent="0.25">
      <c r="A816" s="5" t="s">
        <v>866</v>
      </c>
      <c r="B816" s="6" t="s">
        <v>62</v>
      </c>
      <c r="C816" s="6" t="s">
        <v>19</v>
      </c>
      <c r="D816" s="6" t="s">
        <v>52</v>
      </c>
      <c r="E816" s="6" t="s">
        <v>35</v>
      </c>
      <c r="F816" s="6" t="s">
        <v>22</v>
      </c>
      <c r="G816" s="6">
        <v>27</v>
      </c>
      <c r="H816" s="7">
        <v>1347.17</v>
      </c>
      <c r="I816" s="7">
        <v>36373.589999999997</v>
      </c>
      <c r="J816" s="8">
        <v>45192</v>
      </c>
      <c r="K816" s="6">
        <v>57</v>
      </c>
      <c r="L816" s="6" t="s">
        <v>49</v>
      </c>
      <c r="M816" s="6" t="b">
        <v>0</v>
      </c>
      <c r="N816" s="6">
        <v>12.5</v>
      </c>
      <c r="O816" s="6" t="s">
        <v>24</v>
      </c>
      <c r="P816" s="6" t="b">
        <v>1</v>
      </c>
      <c r="Q816" s="9" t="s">
        <v>36</v>
      </c>
    </row>
    <row r="817" spans="1:17" x14ac:dyDescent="0.25">
      <c r="A817" s="5" t="s">
        <v>867</v>
      </c>
      <c r="B817" s="6" t="s">
        <v>66</v>
      </c>
      <c r="C817" s="6" t="s">
        <v>39</v>
      </c>
      <c r="D817" s="6" t="s">
        <v>20</v>
      </c>
      <c r="E817" s="6" t="s">
        <v>44</v>
      </c>
      <c r="F817" s="6" t="s">
        <v>48</v>
      </c>
      <c r="G817" s="6">
        <v>74</v>
      </c>
      <c r="H817" s="7">
        <v>836.69</v>
      </c>
      <c r="I817" s="7">
        <v>61915.06</v>
      </c>
      <c r="J817" s="8">
        <v>45512</v>
      </c>
      <c r="K817" s="6">
        <v>61</v>
      </c>
      <c r="L817" s="6" t="s">
        <v>23</v>
      </c>
      <c r="M817" s="6" t="b">
        <v>1</v>
      </c>
      <c r="N817" s="6">
        <v>18.54</v>
      </c>
      <c r="O817" s="6" t="s">
        <v>56</v>
      </c>
      <c r="P817" s="6" t="b">
        <v>1</v>
      </c>
      <c r="Q817" s="9" t="s">
        <v>36</v>
      </c>
    </row>
    <row r="818" spans="1:17" x14ac:dyDescent="0.25">
      <c r="A818" s="5" t="s">
        <v>868</v>
      </c>
      <c r="B818" s="6" t="s">
        <v>32</v>
      </c>
      <c r="C818" s="6" t="s">
        <v>19</v>
      </c>
      <c r="D818" s="6" t="s">
        <v>47</v>
      </c>
      <c r="E818" s="6" t="s">
        <v>21</v>
      </c>
      <c r="F818" s="6" t="s">
        <v>22</v>
      </c>
      <c r="G818" s="6">
        <v>99</v>
      </c>
      <c r="H818" s="7">
        <v>1468.74</v>
      </c>
      <c r="I818" s="7">
        <v>145405.26</v>
      </c>
      <c r="J818" s="8">
        <v>45420</v>
      </c>
      <c r="K818" s="6">
        <v>42</v>
      </c>
      <c r="L818" s="6" t="s">
        <v>23</v>
      </c>
      <c r="M818" s="6" t="b">
        <v>0</v>
      </c>
      <c r="N818" s="6">
        <v>19.96</v>
      </c>
      <c r="O818" s="6" t="s">
        <v>42</v>
      </c>
      <c r="P818" s="6" t="b">
        <v>0</v>
      </c>
      <c r="Q818" s="9" t="s">
        <v>36</v>
      </c>
    </row>
    <row r="819" spans="1:17" x14ac:dyDescent="0.25">
      <c r="A819" s="5" t="s">
        <v>869</v>
      </c>
      <c r="B819" s="6" t="s">
        <v>32</v>
      </c>
      <c r="C819" s="6" t="s">
        <v>19</v>
      </c>
      <c r="D819" s="6" t="s">
        <v>64</v>
      </c>
      <c r="E819" s="6" t="s">
        <v>35</v>
      </c>
      <c r="F819" s="6" t="s">
        <v>48</v>
      </c>
      <c r="G819" s="6">
        <v>87</v>
      </c>
      <c r="H819" s="7">
        <v>1224.53</v>
      </c>
      <c r="I819" s="7">
        <v>106534.11</v>
      </c>
      <c r="J819" s="8">
        <v>45259</v>
      </c>
      <c r="K819" s="6">
        <v>40</v>
      </c>
      <c r="L819" s="6" t="s">
        <v>49</v>
      </c>
      <c r="M819" s="6" t="b">
        <v>0</v>
      </c>
      <c r="N819" s="6">
        <v>28.88</v>
      </c>
      <c r="O819" s="6" t="s">
        <v>24</v>
      </c>
      <c r="P819" s="6" t="b">
        <v>1</v>
      </c>
      <c r="Q819" s="9" t="s">
        <v>36</v>
      </c>
    </row>
    <row r="820" spans="1:17" x14ac:dyDescent="0.25">
      <c r="A820" s="5" t="s">
        <v>870</v>
      </c>
      <c r="B820" s="6" t="s">
        <v>72</v>
      </c>
      <c r="C820" s="6" t="s">
        <v>33</v>
      </c>
      <c r="D820" s="6" t="s">
        <v>47</v>
      </c>
      <c r="E820" s="6" t="s">
        <v>21</v>
      </c>
      <c r="F820" s="6" t="s">
        <v>48</v>
      </c>
      <c r="G820" s="6">
        <v>72</v>
      </c>
      <c r="H820" s="7">
        <v>855.77</v>
      </c>
      <c r="I820" s="7">
        <v>61615.44</v>
      </c>
      <c r="J820" s="8">
        <v>45339</v>
      </c>
      <c r="K820" s="6">
        <v>61</v>
      </c>
      <c r="L820" s="6" t="s">
        <v>49</v>
      </c>
      <c r="M820" s="6" t="b">
        <v>0</v>
      </c>
      <c r="N820" s="6">
        <v>4.59</v>
      </c>
      <c r="O820" s="6" t="s">
        <v>42</v>
      </c>
      <c r="P820" s="6" t="b">
        <v>1</v>
      </c>
      <c r="Q820" s="9" t="s">
        <v>25</v>
      </c>
    </row>
    <row r="821" spans="1:17" x14ac:dyDescent="0.25">
      <c r="A821" s="5" t="s">
        <v>871</v>
      </c>
      <c r="B821" s="6" t="s">
        <v>51</v>
      </c>
      <c r="C821" s="6" t="s">
        <v>19</v>
      </c>
      <c r="D821" s="6" t="s">
        <v>47</v>
      </c>
      <c r="E821" s="6" t="s">
        <v>44</v>
      </c>
      <c r="F821" s="6" t="s">
        <v>40</v>
      </c>
      <c r="G821" s="6">
        <v>92</v>
      </c>
      <c r="H821" s="7">
        <v>1423.21</v>
      </c>
      <c r="I821" s="7">
        <v>130935.32</v>
      </c>
      <c r="J821" s="8">
        <v>45540</v>
      </c>
      <c r="K821" s="6">
        <v>18</v>
      </c>
      <c r="L821" s="6" t="s">
        <v>23</v>
      </c>
      <c r="M821" s="6" t="b">
        <v>0</v>
      </c>
      <c r="N821" s="6">
        <v>29.57</v>
      </c>
      <c r="O821" s="6" t="s">
        <v>56</v>
      </c>
      <c r="P821" s="6" t="b">
        <v>0</v>
      </c>
      <c r="Q821" s="9" t="s">
        <v>25</v>
      </c>
    </row>
    <row r="822" spans="1:17" x14ac:dyDescent="0.25">
      <c r="A822" s="5" t="s">
        <v>872</v>
      </c>
      <c r="B822" s="6" t="s">
        <v>46</v>
      </c>
      <c r="C822" s="6" t="s">
        <v>19</v>
      </c>
      <c r="D822" s="6" t="s">
        <v>34</v>
      </c>
      <c r="E822" s="6" t="s">
        <v>44</v>
      </c>
      <c r="F822" s="6" t="s">
        <v>48</v>
      </c>
      <c r="G822" s="6">
        <v>23</v>
      </c>
      <c r="H822" s="7">
        <v>782.07</v>
      </c>
      <c r="I822" s="7">
        <v>17987.61</v>
      </c>
      <c r="J822" s="8">
        <v>45575</v>
      </c>
      <c r="K822" s="6">
        <v>50</v>
      </c>
      <c r="L822" s="6" t="s">
        <v>41</v>
      </c>
      <c r="M822" s="6" t="b">
        <v>0</v>
      </c>
      <c r="N822" s="6">
        <v>19.64</v>
      </c>
      <c r="O822" s="6" t="s">
        <v>56</v>
      </c>
      <c r="P822" s="6" t="b">
        <v>1</v>
      </c>
      <c r="Q822" s="9" t="s">
        <v>25</v>
      </c>
    </row>
    <row r="823" spans="1:17" x14ac:dyDescent="0.25">
      <c r="A823" s="5" t="s">
        <v>873</v>
      </c>
      <c r="B823" s="6" t="s">
        <v>76</v>
      </c>
      <c r="C823" s="6" t="s">
        <v>33</v>
      </c>
      <c r="D823" s="6" t="s">
        <v>20</v>
      </c>
      <c r="E823" s="6" t="s">
        <v>35</v>
      </c>
      <c r="F823" s="6" t="s">
        <v>29</v>
      </c>
      <c r="G823" s="6">
        <v>68</v>
      </c>
      <c r="H823" s="7">
        <v>1336.3</v>
      </c>
      <c r="I823" s="7">
        <v>90868.4</v>
      </c>
      <c r="J823" s="8">
        <v>45117</v>
      </c>
      <c r="K823" s="6">
        <v>32</v>
      </c>
      <c r="L823" s="6" t="s">
        <v>41</v>
      </c>
      <c r="M823" s="6" t="b">
        <v>0</v>
      </c>
      <c r="N823" s="6">
        <v>13.63</v>
      </c>
      <c r="O823" s="6" t="s">
        <v>42</v>
      </c>
      <c r="P823" s="6" t="b">
        <v>1</v>
      </c>
      <c r="Q823" s="9" t="s">
        <v>25</v>
      </c>
    </row>
    <row r="824" spans="1:17" x14ac:dyDescent="0.25">
      <c r="A824" s="5" t="s">
        <v>874</v>
      </c>
      <c r="B824" s="6" t="s">
        <v>38</v>
      </c>
      <c r="C824" s="6" t="s">
        <v>33</v>
      </c>
      <c r="D824" s="6" t="s">
        <v>47</v>
      </c>
      <c r="E824" s="6" t="s">
        <v>21</v>
      </c>
      <c r="F824" s="6" t="s">
        <v>29</v>
      </c>
      <c r="G824" s="6">
        <v>14</v>
      </c>
      <c r="H824" s="7">
        <v>569.30999999999995</v>
      </c>
      <c r="I824" s="7">
        <v>7970.34</v>
      </c>
      <c r="J824" s="8">
        <v>45068</v>
      </c>
      <c r="K824" s="6">
        <v>34</v>
      </c>
      <c r="L824" s="6" t="s">
        <v>41</v>
      </c>
      <c r="M824" s="6" t="b">
        <v>0</v>
      </c>
      <c r="N824" s="6">
        <v>26.65</v>
      </c>
      <c r="O824" s="6" t="s">
        <v>30</v>
      </c>
      <c r="P824" s="6" t="b">
        <v>1</v>
      </c>
      <c r="Q824" s="9" t="s">
        <v>36</v>
      </c>
    </row>
    <row r="825" spans="1:17" x14ac:dyDescent="0.25">
      <c r="A825" s="5" t="s">
        <v>875</v>
      </c>
      <c r="B825" s="6" t="s">
        <v>62</v>
      </c>
      <c r="C825" s="6" t="s">
        <v>39</v>
      </c>
      <c r="D825" s="6" t="s">
        <v>52</v>
      </c>
      <c r="E825" s="6" t="s">
        <v>35</v>
      </c>
      <c r="F825" s="6" t="s">
        <v>29</v>
      </c>
      <c r="G825" s="6">
        <v>63</v>
      </c>
      <c r="H825" s="7">
        <v>599.03</v>
      </c>
      <c r="I825" s="7">
        <v>37738.89</v>
      </c>
      <c r="J825" s="8">
        <v>44999</v>
      </c>
      <c r="K825" s="6">
        <v>51</v>
      </c>
      <c r="L825" s="6" t="s">
        <v>41</v>
      </c>
      <c r="M825" s="6" t="b">
        <v>1</v>
      </c>
      <c r="N825" s="6">
        <v>20.83</v>
      </c>
      <c r="O825" s="6" t="s">
        <v>42</v>
      </c>
      <c r="P825" s="6" t="b">
        <v>0</v>
      </c>
      <c r="Q825" s="9" t="s">
        <v>25</v>
      </c>
    </row>
    <row r="826" spans="1:17" x14ac:dyDescent="0.25">
      <c r="A826" s="5" t="s">
        <v>876</v>
      </c>
      <c r="B826" s="6" t="s">
        <v>27</v>
      </c>
      <c r="C826" s="6" t="s">
        <v>19</v>
      </c>
      <c r="D826" s="6" t="s">
        <v>52</v>
      </c>
      <c r="E826" s="6" t="s">
        <v>35</v>
      </c>
      <c r="F826" s="6" t="s">
        <v>40</v>
      </c>
      <c r="G826" s="6">
        <v>93</v>
      </c>
      <c r="H826" s="7">
        <v>656.29</v>
      </c>
      <c r="I826" s="7">
        <v>61034.97</v>
      </c>
      <c r="J826" s="8">
        <v>45093</v>
      </c>
      <c r="K826" s="6">
        <v>34</v>
      </c>
      <c r="L826" s="6" t="s">
        <v>23</v>
      </c>
      <c r="M826" s="6" t="b">
        <v>1</v>
      </c>
      <c r="N826" s="6">
        <v>10.46</v>
      </c>
      <c r="O826" s="6" t="s">
        <v>24</v>
      </c>
      <c r="P826" s="6" t="b">
        <v>0</v>
      </c>
      <c r="Q826" s="9" t="s">
        <v>25</v>
      </c>
    </row>
    <row r="827" spans="1:17" x14ac:dyDescent="0.25">
      <c r="A827" s="5" t="s">
        <v>877</v>
      </c>
      <c r="B827" s="6" t="s">
        <v>46</v>
      </c>
      <c r="C827" s="6" t="s">
        <v>33</v>
      </c>
      <c r="D827" s="6" t="s">
        <v>34</v>
      </c>
      <c r="E827" s="6" t="s">
        <v>21</v>
      </c>
      <c r="F827" s="6" t="s">
        <v>29</v>
      </c>
      <c r="G827" s="6">
        <v>65</v>
      </c>
      <c r="H827" s="7">
        <v>842.61</v>
      </c>
      <c r="I827" s="7">
        <v>54769.65</v>
      </c>
      <c r="J827" s="8">
        <v>45094</v>
      </c>
      <c r="K827" s="6">
        <v>69</v>
      </c>
      <c r="L827" s="6" t="s">
        <v>41</v>
      </c>
      <c r="M827" s="6" t="b">
        <v>0</v>
      </c>
      <c r="N827" s="6">
        <v>26.52</v>
      </c>
      <c r="O827" s="6" t="s">
        <v>30</v>
      </c>
      <c r="P827" s="6" t="b">
        <v>1</v>
      </c>
      <c r="Q827" s="9" t="s">
        <v>25</v>
      </c>
    </row>
    <row r="828" spans="1:17" x14ac:dyDescent="0.25">
      <c r="A828" s="5" t="s">
        <v>878</v>
      </c>
      <c r="B828" s="6" t="s">
        <v>66</v>
      </c>
      <c r="C828" s="6" t="s">
        <v>39</v>
      </c>
      <c r="D828" s="6" t="s">
        <v>20</v>
      </c>
      <c r="E828" s="6" t="s">
        <v>35</v>
      </c>
      <c r="F828" s="6" t="s">
        <v>40</v>
      </c>
      <c r="G828" s="6">
        <v>68</v>
      </c>
      <c r="H828" s="7">
        <v>852.56</v>
      </c>
      <c r="I828" s="7">
        <v>57974.080000000002</v>
      </c>
      <c r="J828" s="8">
        <v>45492</v>
      </c>
      <c r="K828" s="6">
        <v>58</v>
      </c>
      <c r="L828" s="6" t="s">
        <v>41</v>
      </c>
      <c r="M828" s="6" t="b">
        <v>0</v>
      </c>
      <c r="N828" s="6">
        <v>20</v>
      </c>
      <c r="O828" s="6" t="s">
        <v>24</v>
      </c>
      <c r="P828" s="6" t="b">
        <v>1</v>
      </c>
      <c r="Q828" s="9" t="s">
        <v>36</v>
      </c>
    </row>
    <row r="829" spans="1:17" x14ac:dyDescent="0.25">
      <c r="A829" s="5" t="s">
        <v>879</v>
      </c>
      <c r="B829" s="6" t="s">
        <v>32</v>
      </c>
      <c r="C829" s="6" t="s">
        <v>39</v>
      </c>
      <c r="D829" s="6" t="s">
        <v>20</v>
      </c>
      <c r="E829" s="6" t="s">
        <v>44</v>
      </c>
      <c r="F829" s="6" t="s">
        <v>40</v>
      </c>
      <c r="G829" s="6">
        <v>63</v>
      </c>
      <c r="H829" s="7">
        <v>769.78</v>
      </c>
      <c r="I829" s="7">
        <v>48496.14</v>
      </c>
      <c r="J829" s="8">
        <v>45185</v>
      </c>
      <c r="K829" s="6">
        <v>61</v>
      </c>
      <c r="L829" s="6" t="s">
        <v>41</v>
      </c>
      <c r="M829" s="6" t="b">
        <v>1</v>
      </c>
      <c r="N829" s="6">
        <v>20.97</v>
      </c>
      <c r="O829" s="6" t="s">
        <v>24</v>
      </c>
      <c r="P829" s="6" t="b">
        <v>1</v>
      </c>
      <c r="Q829" s="9" t="s">
        <v>36</v>
      </c>
    </row>
    <row r="830" spans="1:17" x14ac:dyDescent="0.25">
      <c r="A830" s="5" t="s">
        <v>880</v>
      </c>
      <c r="B830" s="6" t="s">
        <v>62</v>
      </c>
      <c r="C830" s="6" t="s">
        <v>19</v>
      </c>
      <c r="D830" s="6" t="s">
        <v>52</v>
      </c>
      <c r="E830" s="6" t="s">
        <v>21</v>
      </c>
      <c r="F830" s="6" t="s">
        <v>29</v>
      </c>
      <c r="G830" s="6">
        <v>96</v>
      </c>
      <c r="H830" s="7">
        <v>493.7</v>
      </c>
      <c r="I830" s="7">
        <v>47395.199999999997</v>
      </c>
      <c r="J830" s="8">
        <v>45365</v>
      </c>
      <c r="K830" s="6">
        <v>21</v>
      </c>
      <c r="L830" s="6" t="s">
        <v>23</v>
      </c>
      <c r="M830" s="6" t="b">
        <v>0</v>
      </c>
      <c r="N830" s="6">
        <v>26.89</v>
      </c>
      <c r="O830" s="6" t="s">
        <v>30</v>
      </c>
      <c r="P830" s="6" t="b">
        <v>0</v>
      </c>
      <c r="Q830" s="9" t="s">
        <v>36</v>
      </c>
    </row>
    <row r="831" spans="1:17" x14ac:dyDescent="0.25">
      <c r="A831" s="5" t="s">
        <v>881</v>
      </c>
      <c r="B831" s="6" t="s">
        <v>38</v>
      </c>
      <c r="C831" s="6" t="s">
        <v>19</v>
      </c>
      <c r="D831" s="6" t="s">
        <v>64</v>
      </c>
      <c r="E831" s="6" t="s">
        <v>21</v>
      </c>
      <c r="F831" s="6" t="s">
        <v>48</v>
      </c>
      <c r="G831" s="6">
        <v>97</v>
      </c>
      <c r="H831" s="7">
        <v>1394.45</v>
      </c>
      <c r="I831" s="7">
        <v>135261.65</v>
      </c>
      <c r="J831" s="8">
        <v>45037</v>
      </c>
      <c r="K831" s="6">
        <v>30</v>
      </c>
      <c r="L831" s="6" t="s">
        <v>49</v>
      </c>
      <c r="M831" s="6" t="b">
        <v>1</v>
      </c>
      <c r="N831" s="6">
        <v>13.45</v>
      </c>
      <c r="O831" s="6" t="s">
        <v>56</v>
      </c>
      <c r="P831" s="6" t="b">
        <v>0</v>
      </c>
      <c r="Q831" s="9" t="s">
        <v>25</v>
      </c>
    </row>
    <row r="832" spans="1:17" x14ac:dyDescent="0.25">
      <c r="A832" s="5" t="s">
        <v>882</v>
      </c>
      <c r="B832" s="6" t="s">
        <v>76</v>
      </c>
      <c r="C832" s="6" t="s">
        <v>39</v>
      </c>
      <c r="D832" s="6" t="s">
        <v>34</v>
      </c>
      <c r="E832" s="6" t="s">
        <v>21</v>
      </c>
      <c r="F832" s="6" t="s">
        <v>22</v>
      </c>
      <c r="G832" s="6">
        <v>90</v>
      </c>
      <c r="H832" s="7">
        <v>903.45</v>
      </c>
      <c r="I832" s="7">
        <v>81310.5</v>
      </c>
      <c r="J832" s="8">
        <v>45457</v>
      </c>
      <c r="K832" s="6">
        <v>21</v>
      </c>
      <c r="L832" s="6" t="s">
        <v>41</v>
      </c>
      <c r="M832" s="6" t="b">
        <v>1</v>
      </c>
      <c r="N832" s="6">
        <v>19.71</v>
      </c>
      <c r="O832" s="6" t="s">
        <v>24</v>
      </c>
      <c r="P832" s="6" t="b">
        <v>1</v>
      </c>
      <c r="Q832" s="9" t="s">
        <v>36</v>
      </c>
    </row>
    <row r="833" spans="1:17" x14ac:dyDescent="0.25">
      <c r="A833" s="5" t="s">
        <v>883</v>
      </c>
      <c r="B833" s="6" t="s">
        <v>72</v>
      </c>
      <c r="C833" s="6" t="s">
        <v>33</v>
      </c>
      <c r="D833" s="6" t="s">
        <v>34</v>
      </c>
      <c r="E833" s="6" t="s">
        <v>21</v>
      </c>
      <c r="F833" s="6" t="s">
        <v>40</v>
      </c>
      <c r="G833" s="6">
        <v>81</v>
      </c>
      <c r="H833" s="7">
        <v>641.22</v>
      </c>
      <c r="I833" s="7">
        <v>51938.82</v>
      </c>
      <c r="J833" s="8">
        <v>45216</v>
      </c>
      <c r="K833" s="6">
        <v>24</v>
      </c>
      <c r="L833" s="6" t="s">
        <v>23</v>
      </c>
      <c r="M833" s="6" t="b">
        <v>0</v>
      </c>
      <c r="N833" s="6">
        <v>22.34</v>
      </c>
      <c r="O833" s="6" t="s">
        <v>42</v>
      </c>
      <c r="P833" s="6" t="b">
        <v>1</v>
      </c>
      <c r="Q833" s="9" t="s">
        <v>36</v>
      </c>
    </row>
    <row r="834" spans="1:17" x14ac:dyDescent="0.25">
      <c r="A834" s="5" t="s">
        <v>884</v>
      </c>
      <c r="B834" s="6" t="s">
        <v>38</v>
      </c>
      <c r="C834" s="6" t="s">
        <v>39</v>
      </c>
      <c r="D834" s="6" t="s">
        <v>52</v>
      </c>
      <c r="E834" s="6" t="s">
        <v>35</v>
      </c>
      <c r="F834" s="6" t="s">
        <v>29</v>
      </c>
      <c r="G834" s="6">
        <v>87</v>
      </c>
      <c r="H834" s="7">
        <v>994.21</v>
      </c>
      <c r="I834" s="7">
        <v>86496.27</v>
      </c>
      <c r="J834" s="8">
        <v>45488</v>
      </c>
      <c r="K834" s="6">
        <v>63</v>
      </c>
      <c r="L834" s="6" t="s">
        <v>23</v>
      </c>
      <c r="M834" s="6" t="b">
        <v>0</v>
      </c>
      <c r="N834" s="6">
        <v>13.62</v>
      </c>
      <c r="O834" s="6" t="s">
        <v>56</v>
      </c>
      <c r="P834" s="6" t="b">
        <v>1</v>
      </c>
      <c r="Q834" s="9" t="s">
        <v>36</v>
      </c>
    </row>
    <row r="835" spans="1:17" x14ac:dyDescent="0.25">
      <c r="A835" s="5" t="s">
        <v>885</v>
      </c>
      <c r="B835" s="6" t="s">
        <v>62</v>
      </c>
      <c r="C835" s="6" t="s">
        <v>19</v>
      </c>
      <c r="D835" s="6" t="s">
        <v>52</v>
      </c>
      <c r="E835" s="6" t="s">
        <v>35</v>
      </c>
      <c r="F835" s="6" t="s">
        <v>40</v>
      </c>
      <c r="G835" s="6">
        <v>64</v>
      </c>
      <c r="H835" s="7">
        <v>1163.55</v>
      </c>
      <c r="I835" s="7">
        <v>74467.199999999997</v>
      </c>
      <c r="J835" s="8">
        <v>45436</v>
      </c>
      <c r="K835" s="6">
        <v>26</v>
      </c>
      <c r="L835" s="6" t="s">
        <v>41</v>
      </c>
      <c r="M835" s="6" t="b">
        <v>1</v>
      </c>
      <c r="N835" s="6">
        <v>2.5</v>
      </c>
      <c r="O835" s="6" t="s">
        <v>56</v>
      </c>
      <c r="P835" s="6" t="b">
        <v>1</v>
      </c>
      <c r="Q835" s="9" t="s">
        <v>36</v>
      </c>
    </row>
    <row r="836" spans="1:17" x14ac:dyDescent="0.25">
      <c r="A836" s="5" t="s">
        <v>886</v>
      </c>
      <c r="B836" s="6" t="s">
        <v>38</v>
      </c>
      <c r="C836" s="6" t="s">
        <v>33</v>
      </c>
      <c r="D836" s="6" t="s">
        <v>64</v>
      </c>
      <c r="E836" s="6" t="s">
        <v>44</v>
      </c>
      <c r="F836" s="6" t="s">
        <v>48</v>
      </c>
      <c r="G836" s="6">
        <v>32</v>
      </c>
      <c r="H836" s="7">
        <v>1443.06</v>
      </c>
      <c r="I836" s="7">
        <v>46177.919999999998</v>
      </c>
      <c r="J836" s="8">
        <v>45101</v>
      </c>
      <c r="K836" s="6">
        <v>40</v>
      </c>
      <c r="L836" s="6" t="s">
        <v>49</v>
      </c>
      <c r="M836" s="6" t="b">
        <v>1</v>
      </c>
      <c r="N836" s="6">
        <v>23.14</v>
      </c>
      <c r="O836" s="6" t="s">
        <v>30</v>
      </c>
      <c r="P836" s="6" t="b">
        <v>0</v>
      </c>
      <c r="Q836" s="9" t="s">
        <v>36</v>
      </c>
    </row>
    <row r="837" spans="1:17" x14ac:dyDescent="0.25">
      <c r="A837" s="5" t="s">
        <v>887</v>
      </c>
      <c r="B837" s="6" t="s">
        <v>62</v>
      </c>
      <c r="C837" s="6" t="s">
        <v>33</v>
      </c>
      <c r="D837" s="6" t="s">
        <v>64</v>
      </c>
      <c r="E837" s="6" t="s">
        <v>28</v>
      </c>
      <c r="F837" s="6" t="s">
        <v>48</v>
      </c>
      <c r="G837" s="6">
        <v>79</v>
      </c>
      <c r="H837" s="7">
        <v>774.35</v>
      </c>
      <c r="I837" s="7">
        <v>61173.65</v>
      </c>
      <c r="J837" s="8">
        <v>45228</v>
      </c>
      <c r="K837" s="6">
        <v>50</v>
      </c>
      <c r="L837" s="6" t="s">
        <v>49</v>
      </c>
      <c r="M837" s="6" t="b">
        <v>0</v>
      </c>
      <c r="N837" s="6">
        <v>1.43</v>
      </c>
      <c r="O837" s="6" t="s">
        <v>42</v>
      </c>
      <c r="P837" s="6" t="b">
        <v>0</v>
      </c>
      <c r="Q837" s="9" t="s">
        <v>36</v>
      </c>
    </row>
    <row r="838" spans="1:17" x14ac:dyDescent="0.25">
      <c r="A838" s="5" t="s">
        <v>888</v>
      </c>
      <c r="B838" s="6" t="s">
        <v>62</v>
      </c>
      <c r="C838" s="6" t="s">
        <v>39</v>
      </c>
      <c r="D838" s="6" t="s">
        <v>20</v>
      </c>
      <c r="E838" s="6" t="s">
        <v>28</v>
      </c>
      <c r="F838" s="6" t="s">
        <v>29</v>
      </c>
      <c r="G838" s="6">
        <v>13</v>
      </c>
      <c r="H838" s="7">
        <v>212.54</v>
      </c>
      <c r="I838" s="7">
        <v>2763.02</v>
      </c>
      <c r="J838" s="8">
        <v>45111</v>
      </c>
      <c r="K838" s="6">
        <v>50</v>
      </c>
      <c r="L838" s="6" t="s">
        <v>49</v>
      </c>
      <c r="M838" s="6" t="b">
        <v>0</v>
      </c>
      <c r="N838" s="6">
        <v>21.54</v>
      </c>
      <c r="O838" s="6" t="s">
        <v>42</v>
      </c>
      <c r="P838" s="6" t="b">
        <v>1</v>
      </c>
      <c r="Q838" s="9" t="s">
        <v>25</v>
      </c>
    </row>
    <row r="839" spans="1:17" x14ac:dyDescent="0.25">
      <c r="A839" s="5" t="s">
        <v>889</v>
      </c>
      <c r="B839" s="6" t="s">
        <v>18</v>
      </c>
      <c r="C839" s="6" t="s">
        <v>19</v>
      </c>
      <c r="D839" s="6" t="s">
        <v>34</v>
      </c>
      <c r="E839" s="6" t="s">
        <v>44</v>
      </c>
      <c r="F839" s="6" t="s">
        <v>40</v>
      </c>
      <c r="G839" s="6">
        <v>66</v>
      </c>
      <c r="H839" s="7">
        <v>689.11</v>
      </c>
      <c r="I839" s="7">
        <v>45481.26</v>
      </c>
      <c r="J839" s="8">
        <v>45265</v>
      </c>
      <c r="K839" s="6">
        <v>37</v>
      </c>
      <c r="L839" s="6" t="s">
        <v>23</v>
      </c>
      <c r="M839" s="6" t="b">
        <v>1</v>
      </c>
      <c r="N839" s="6">
        <v>27.33</v>
      </c>
      <c r="O839" s="6" t="s">
        <v>56</v>
      </c>
      <c r="P839" s="6" t="b">
        <v>0</v>
      </c>
      <c r="Q839" s="9" t="s">
        <v>25</v>
      </c>
    </row>
    <row r="840" spans="1:17" x14ac:dyDescent="0.25">
      <c r="A840" s="5" t="s">
        <v>890</v>
      </c>
      <c r="B840" s="6" t="s">
        <v>27</v>
      </c>
      <c r="C840" s="6" t="s">
        <v>39</v>
      </c>
      <c r="D840" s="6" t="s">
        <v>34</v>
      </c>
      <c r="E840" s="6" t="s">
        <v>28</v>
      </c>
      <c r="F840" s="6" t="s">
        <v>22</v>
      </c>
      <c r="G840" s="6">
        <v>19</v>
      </c>
      <c r="H840" s="7">
        <v>744.51</v>
      </c>
      <c r="I840" s="7">
        <v>14145.69</v>
      </c>
      <c r="J840" s="8">
        <v>45436</v>
      </c>
      <c r="K840" s="6">
        <v>21</v>
      </c>
      <c r="L840" s="6" t="s">
        <v>41</v>
      </c>
      <c r="M840" s="6" t="b">
        <v>1</v>
      </c>
      <c r="N840" s="6">
        <v>10.41</v>
      </c>
      <c r="O840" s="6" t="s">
        <v>24</v>
      </c>
      <c r="P840" s="6" t="b">
        <v>0</v>
      </c>
      <c r="Q840" s="9" t="s">
        <v>36</v>
      </c>
    </row>
    <row r="841" spans="1:17" x14ac:dyDescent="0.25">
      <c r="A841" s="5" t="s">
        <v>891</v>
      </c>
      <c r="B841" s="6" t="s">
        <v>32</v>
      </c>
      <c r="C841" s="6" t="s">
        <v>39</v>
      </c>
      <c r="D841" s="6" t="s">
        <v>52</v>
      </c>
      <c r="E841" s="6" t="s">
        <v>44</v>
      </c>
      <c r="F841" s="6" t="s">
        <v>22</v>
      </c>
      <c r="G841" s="6">
        <v>24</v>
      </c>
      <c r="H841" s="7">
        <v>1350.64</v>
      </c>
      <c r="I841" s="7">
        <v>32415.360000000001</v>
      </c>
      <c r="J841" s="8">
        <v>45236</v>
      </c>
      <c r="K841" s="6">
        <v>18</v>
      </c>
      <c r="L841" s="6" t="s">
        <v>41</v>
      </c>
      <c r="M841" s="6" t="b">
        <v>1</v>
      </c>
      <c r="N841" s="6">
        <v>3.06</v>
      </c>
      <c r="O841" s="6" t="s">
        <v>24</v>
      </c>
      <c r="P841" s="6" t="b">
        <v>1</v>
      </c>
      <c r="Q841" s="9" t="s">
        <v>25</v>
      </c>
    </row>
    <row r="842" spans="1:17" x14ac:dyDescent="0.25">
      <c r="A842" s="5" t="s">
        <v>892</v>
      </c>
      <c r="B842" s="6" t="s">
        <v>18</v>
      </c>
      <c r="C842" s="6" t="s">
        <v>39</v>
      </c>
      <c r="D842" s="6" t="s">
        <v>20</v>
      </c>
      <c r="E842" s="6" t="s">
        <v>35</v>
      </c>
      <c r="F842" s="6" t="s">
        <v>40</v>
      </c>
      <c r="G842" s="6">
        <v>88</v>
      </c>
      <c r="H842" s="7">
        <v>622.46</v>
      </c>
      <c r="I842" s="7">
        <v>54776.480000000003</v>
      </c>
      <c r="J842" s="8">
        <v>45433</v>
      </c>
      <c r="K842" s="6">
        <v>59</v>
      </c>
      <c r="L842" s="6" t="s">
        <v>23</v>
      </c>
      <c r="M842" s="6" t="b">
        <v>0</v>
      </c>
      <c r="N842" s="6">
        <v>6.99</v>
      </c>
      <c r="O842" s="6" t="s">
        <v>42</v>
      </c>
      <c r="P842" s="6" t="b">
        <v>1</v>
      </c>
      <c r="Q842" s="9" t="s">
        <v>36</v>
      </c>
    </row>
    <row r="843" spans="1:17" x14ac:dyDescent="0.25">
      <c r="A843" s="5" t="s">
        <v>893</v>
      </c>
      <c r="B843" s="6" t="s">
        <v>76</v>
      </c>
      <c r="C843" s="6" t="s">
        <v>33</v>
      </c>
      <c r="D843" s="6" t="s">
        <v>34</v>
      </c>
      <c r="E843" s="6" t="s">
        <v>21</v>
      </c>
      <c r="F843" s="6" t="s">
        <v>40</v>
      </c>
      <c r="G843" s="6">
        <v>11</v>
      </c>
      <c r="H843" s="7">
        <v>1432.32</v>
      </c>
      <c r="I843" s="7">
        <v>15755.52</v>
      </c>
      <c r="J843" s="8">
        <v>45272</v>
      </c>
      <c r="K843" s="6">
        <v>51</v>
      </c>
      <c r="L843" s="6" t="s">
        <v>41</v>
      </c>
      <c r="M843" s="6" t="b">
        <v>0</v>
      </c>
      <c r="N843" s="6">
        <v>16.87</v>
      </c>
      <c r="O843" s="6" t="s">
        <v>56</v>
      </c>
      <c r="P843" s="6" t="b">
        <v>1</v>
      </c>
      <c r="Q843" s="9" t="s">
        <v>25</v>
      </c>
    </row>
    <row r="844" spans="1:17" x14ac:dyDescent="0.25">
      <c r="A844" s="5" t="s">
        <v>894</v>
      </c>
      <c r="B844" s="6" t="s">
        <v>18</v>
      </c>
      <c r="C844" s="6" t="s">
        <v>33</v>
      </c>
      <c r="D844" s="6" t="s">
        <v>20</v>
      </c>
      <c r="E844" s="6" t="s">
        <v>21</v>
      </c>
      <c r="F844" s="6" t="s">
        <v>40</v>
      </c>
      <c r="G844" s="6">
        <v>59</v>
      </c>
      <c r="H844" s="7">
        <v>753.44</v>
      </c>
      <c r="I844" s="7">
        <v>44452.959999999999</v>
      </c>
      <c r="J844" s="8">
        <v>45007</v>
      </c>
      <c r="K844" s="6">
        <v>44</v>
      </c>
      <c r="L844" s="6" t="s">
        <v>41</v>
      </c>
      <c r="M844" s="6" t="b">
        <v>0</v>
      </c>
      <c r="N844" s="6">
        <v>28.28</v>
      </c>
      <c r="O844" s="6" t="s">
        <v>56</v>
      </c>
      <c r="P844" s="6" t="b">
        <v>1</v>
      </c>
      <c r="Q844" s="9" t="s">
        <v>36</v>
      </c>
    </row>
    <row r="845" spans="1:17" x14ac:dyDescent="0.25">
      <c r="A845" s="5" t="s">
        <v>895</v>
      </c>
      <c r="B845" s="6" t="s">
        <v>51</v>
      </c>
      <c r="C845" s="6" t="s">
        <v>19</v>
      </c>
      <c r="D845" s="6" t="s">
        <v>20</v>
      </c>
      <c r="E845" s="6" t="s">
        <v>35</v>
      </c>
      <c r="F845" s="6" t="s">
        <v>29</v>
      </c>
      <c r="G845" s="6">
        <v>86</v>
      </c>
      <c r="H845" s="7">
        <v>1461.98</v>
      </c>
      <c r="I845" s="7">
        <v>125730.28</v>
      </c>
      <c r="J845" s="8">
        <v>45300</v>
      </c>
      <c r="K845" s="6">
        <v>38</v>
      </c>
      <c r="L845" s="6" t="s">
        <v>49</v>
      </c>
      <c r="M845" s="6" t="b">
        <v>1</v>
      </c>
      <c r="N845" s="6">
        <v>15.37</v>
      </c>
      <c r="O845" s="6" t="s">
        <v>56</v>
      </c>
      <c r="P845" s="6" t="b">
        <v>0</v>
      </c>
      <c r="Q845" s="9" t="s">
        <v>25</v>
      </c>
    </row>
    <row r="846" spans="1:17" x14ac:dyDescent="0.25">
      <c r="A846" s="5" t="s">
        <v>896</v>
      </c>
      <c r="B846" s="6" t="s">
        <v>51</v>
      </c>
      <c r="C846" s="6" t="s">
        <v>19</v>
      </c>
      <c r="D846" s="6" t="s">
        <v>52</v>
      </c>
      <c r="E846" s="6" t="s">
        <v>21</v>
      </c>
      <c r="F846" s="6" t="s">
        <v>48</v>
      </c>
      <c r="G846" s="6">
        <v>15</v>
      </c>
      <c r="H846" s="7">
        <v>61.89</v>
      </c>
      <c r="I846" s="7">
        <v>928.35</v>
      </c>
      <c r="J846" s="8">
        <v>45082</v>
      </c>
      <c r="K846" s="6">
        <v>41</v>
      </c>
      <c r="L846" s="6" t="s">
        <v>41</v>
      </c>
      <c r="M846" s="6" t="b">
        <v>1</v>
      </c>
      <c r="N846" s="6">
        <v>3.38</v>
      </c>
      <c r="O846" s="6" t="s">
        <v>30</v>
      </c>
      <c r="P846" s="6" t="b">
        <v>1</v>
      </c>
      <c r="Q846" s="9" t="s">
        <v>36</v>
      </c>
    </row>
    <row r="847" spans="1:17" x14ac:dyDescent="0.25">
      <c r="A847" s="5" t="s">
        <v>897</v>
      </c>
      <c r="B847" s="6" t="s">
        <v>32</v>
      </c>
      <c r="C847" s="6" t="s">
        <v>39</v>
      </c>
      <c r="D847" s="6" t="s">
        <v>20</v>
      </c>
      <c r="E847" s="6" t="s">
        <v>21</v>
      </c>
      <c r="F847" s="6" t="s">
        <v>22</v>
      </c>
      <c r="G847" s="6">
        <v>10</v>
      </c>
      <c r="H847" s="7">
        <v>1353.28</v>
      </c>
      <c r="I847" s="7">
        <v>13532.8</v>
      </c>
      <c r="J847" s="8">
        <v>45358</v>
      </c>
      <c r="K847" s="6">
        <v>32</v>
      </c>
      <c r="L847" s="6" t="s">
        <v>41</v>
      </c>
      <c r="M847" s="6" t="b">
        <v>0</v>
      </c>
      <c r="N847" s="6">
        <v>18.829999999999998</v>
      </c>
      <c r="O847" s="6" t="s">
        <v>42</v>
      </c>
      <c r="P847" s="6" t="b">
        <v>1</v>
      </c>
      <c r="Q847" s="9" t="s">
        <v>36</v>
      </c>
    </row>
    <row r="848" spans="1:17" x14ac:dyDescent="0.25">
      <c r="A848" s="5" t="s">
        <v>898</v>
      </c>
      <c r="B848" s="6" t="s">
        <v>38</v>
      </c>
      <c r="C848" s="6" t="s">
        <v>39</v>
      </c>
      <c r="D848" s="6" t="s">
        <v>64</v>
      </c>
      <c r="E848" s="6" t="s">
        <v>28</v>
      </c>
      <c r="F848" s="6" t="s">
        <v>29</v>
      </c>
      <c r="G848" s="6">
        <v>41</v>
      </c>
      <c r="H848" s="7">
        <v>1400.12</v>
      </c>
      <c r="I848" s="7">
        <v>57404.92</v>
      </c>
      <c r="J848" s="8">
        <v>45426</v>
      </c>
      <c r="K848" s="6">
        <v>52</v>
      </c>
      <c r="L848" s="6" t="s">
        <v>23</v>
      </c>
      <c r="M848" s="6" t="b">
        <v>1</v>
      </c>
      <c r="N848" s="6">
        <v>21.99</v>
      </c>
      <c r="O848" s="6" t="s">
        <v>42</v>
      </c>
      <c r="P848" s="6" t="b">
        <v>1</v>
      </c>
      <c r="Q848" s="9" t="s">
        <v>25</v>
      </c>
    </row>
    <row r="849" spans="1:17" x14ac:dyDescent="0.25">
      <c r="A849" s="5" t="s">
        <v>899</v>
      </c>
      <c r="B849" s="6" t="s">
        <v>27</v>
      </c>
      <c r="C849" s="6" t="s">
        <v>39</v>
      </c>
      <c r="D849" s="6" t="s">
        <v>64</v>
      </c>
      <c r="E849" s="6" t="s">
        <v>35</v>
      </c>
      <c r="F849" s="6" t="s">
        <v>40</v>
      </c>
      <c r="G849" s="6">
        <v>27</v>
      </c>
      <c r="H849" s="7">
        <v>1443.48</v>
      </c>
      <c r="I849" s="7">
        <v>38973.96</v>
      </c>
      <c r="J849" s="8">
        <v>45073</v>
      </c>
      <c r="K849" s="6">
        <v>42</v>
      </c>
      <c r="L849" s="6" t="s">
        <v>23</v>
      </c>
      <c r="M849" s="6" t="b">
        <v>1</v>
      </c>
      <c r="N849" s="6">
        <v>11.8</v>
      </c>
      <c r="O849" s="6" t="s">
        <v>24</v>
      </c>
      <c r="P849" s="6" t="b">
        <v>1</v>
      </c>
      <c r="Q849" s="9" t="s">
        <v>36</v>
      </c>
    </row>
    <row r="850" spans="1:17" x14ac:dyDescent="0.25">
      <c r="A850" s="5" t="s">
        <v>900</v>
      </c>
      <c r="B850" s="6" t="s">
        <v>32</v>
      </c>
      <c r="C850" s="6" t="s">
        <v>19</v>
      </c>
      <c r="D850" s="6" t="s">
        <v>47</v>
      </c>
      <c r="E850" s="6" t="s">
        <v>28</v>
      </c>
      <c r="F850" s="6" t="s">
        <v>40</v>
      </c>
      <c r="G850" s="6">
        <v>60</v>
      </c>
      <c r="H850" s="7">
        <v>68.959999999999994</v>
      </c>
      <c r="I850" s="7">
        <v>4137.6000000000004</v>
      </c>
      <c r="J850" s="8">
        <v>45407</v>
      </c>
      <c r="K850" s="6">
        <v>26</v>
      </c>
      <c r="L850" s="6" t="s">
        <v>49</v>
      </c>
      <c r="M850" s="6" t="b">
        <v>1</v>
      </c>
      <c r="N850" s="6">
        <v>21.65</v>
      </c>
      <c r="O850" s="6" t="s">
        <v>24</v>
      </c>
      <c r="P850" s="6" t="b">
        <v>0</v>
      </c>
      <c r="Q850" s="9" t="s">
        <v>25</v>
      </c>
    </row>
    <row r="851" spans="1:17" x14ac:dyDescent="0.25">
      <c r="A851" s="5" t="s">
        <v>901</v>
      </c>
      <c r="B851" s="6" t="s">
        <v>62</v>
      </c>
      <c r="C851" s="6" t="s">
        <v>33</v>
      </c>
      <c r="D851" s="6" t="s">
        <v>52</v>
      </c>
      <c r="E851" s="6" t="s">
        <v>28</v>
      </c>
      <c r="F851" s="6" t="s">
        <v>48</v>
      </c>
      <c r="G851" s="6">
        <v>73</v>
      </c>
      <c r="H851" s="7">
        <v>298.97000000000003</v>
      </c>
      <c r="I851" s="7">
        <v>21824.81</v>
      </c>
      <c r="J851" s="8">
        <v>45361</v>
      </c>
      <c r="K851" s="6">
        <v>34</v>
      </c>
      <c r="L851" s="6" t="s">
        <v>23</v>
      </c>
      <c r="M851" s="6" t="b">
        <v>1</v>
      </c>
      <c r="N851" s="6">
        <v>9.74</v>
      </c>
      <c r="O851" s="6" t="s">
        <v>42</v>
      </c>
      <c r="P851" s="6" t="b">
        <v>1</v>
      </c>
      <c r="Q851" s="9" t="s">
        <v>36</v>
      </c>
    </row>
    <row r="852" spans="1:17" x14ac:dyDescent="0.25">
      <c r="A852" s="5" t="s">
        <v>902</v>
      </c>
      <c r="B852" s="6" t="s">
        <v>66</v>
      </c>
      <c r="C852" s="6" t="s">
        <v>33</v>
      </c>
      <c r="D852" s="6" t="s">
        <v>47</v>
      </c>
      <c r="E852" s="6" t="s">
        <v>21</v>
      </c>
      <c r="F852" s="6" t="s">
        <v>40</v>
      </c>
      <c r="G852" s="6">
        <v>52</v>
      </c>
      <c r="H852" s="7">
        <v>997.96</v>
      </c>
      <c r="I852" s="7">
        <v>51893.919999999998</v>
      </c>
      <c r="J852" s="8">
        <v>45445</v>
      </c>
      <c r="K852" s="6">
        <v>38</v>
      </c>
      <c r="L852" s="6" t="s">
        <v>49</v>
      </c>
      <c r="M852" s="6" t="b">
        <v>1</v>
      </c>
      <c r="N852" s="6">
        <v>23.67</v>
      </c>
      <c r="O852" s="6" t="s">
        <v>42</v>
      </c>
      <c r="P852" s="6" t="b">
        <v>1</v>
      </c>
      <c r="Q852" s="9" t="s">
        <v>36</v>
      </c>
    </row>
    <row r="853" spans="1:17" x14ac:dyDescent="0.25">
      <c r="A853" s="5" t="s">
        <v>903</v>
      </c>
      <c r="B853" s="6" t="s">
        <v>27</v>
      </c>
      <c r="C853" s="6" t="s">
        <v>39</v>
      </c>
      <c r="D853" s="6" t="s">
        <v>64</v>
      </c>
      <c r="E853" s="6" t="s">
        <v>21</v>
      </c>
      <c r="F853" s="6" t="s">
        <v>29</v>
      </c>
      <c r="G853" s="6">
        <v>28</v>
      </c>
      <c r="H853" s="7">
        <v>86.94</v>
      </c>
      <c r="I853" s="7">
        <v>2434.3200000000002</v>
      </c>
      <c r="J853" s="8">
        <v>45595</v>
      </c>
      <c r="K853" s="6">
        <v>30</v>
      </c>
      <c r="L853" s="6" t="s">
        <v>49</v>
      </c>
      <c r="M853" s="6" t="b">
        <v>0</v>
      </c>
      <c r="N853" s="6">
        <v>10.23</v>
      </c>
      <c r="O853" s="6" t="s">
        <v>24</v>
      </c>
      <c r="P853" s="6" t="b">
        <v>0</v>
      </c>
      <c r="Q853" s="9" t="s">
        <v>36</v>
      </c>
    </row>
    <row r="854" spans="1:17" x14ac:dyDescent="0.25">
      <c r="A854" s="5" t="s">
        <v>904</v>
      </c>
      <c r="B854" s="6" t="s">
        <v>27</v>
      </c>
      <c r="C854" s="6" t="s">
        <v>39</v>
      </c>
      <c r="D854" s="6" t="s">
        <v>47</v>
      </c>
      <c r="E854" s="6" t="s">
        <v>35</v>
      </c>
      <c r="F854" s="6" t="s">
        <v>29</v>
      </c>
      <c r="G854" s="6">
        <v>65</v>
      </c>
      <c r="H854" s="7">
        <v>142.22999999999999</v>
      </c>
      <c r="I854" s="7">
        <v>9244.9500000000007</v>
      </c>
      <c r="J854" s="8">
        <v>44995</v>
      </c>
      <c r="K854" s="6">
        <v>20</v>
      </c>
      <c r="L854" s="6" t="s">
        <v>41</v>
      </c>
      <c r="M854" s="6" t="b">
        <v>0</v>
      </c>
      <c r="N854" s="6">
        <v>7.68</v>
      </c>
      <c r="O854" s="6" t="s">
        <v>42</v>
      </c>
      <c r="P854" s="6" t="b">
        <v>1</v>
      </c>
      <c r="Q854" s="9" t="s">
        <v>36</v>
      </c>
    </row>
    <row r="855" spans="1:17" x14ac:dyDescent="0.25">
      <c r="A855" s="5" t="s">
        <v>905</v>
      </c>
      <c r="B855" s="6" t="s">
        <v>62</v>
      </c>
      <c r="C855" s="6" t="s">
        <v>39</v>
      </c>
      <c r="D855" s="6" t="s">
        <v>52</v>
      </c>
      <c r="E855" s="6" t="s">
        <v>21</v>
      </c>
      <c r="F855" s="6" t="s">
        <v>48</v>
      </c>
      <c r="G855" s="6">
        <v>17</v>
      </c>
      <c r="H855" s="7">
        <v>370.56</v>
      </c>
      <c r="I855" s="7">
        <v>6299.52</v>
      </c>
      <c r="J855" s="8">
        <v>45532</v>
      </c>
      <c r="K855" s="6">
        <v>21</v>
      </c>
      <c r="L855" s="6" t="s">
        <v>49</v>
      </c>
      <c r="M855" s="6" t="b">
        <v>0</v>
      </c>
      <c r="N855" s="6">
        <v>26.38</v>
      </c>
      <c r="O855" s="6" t="s">
        <v>24</v>
      </c>
      <c r="P855" s="6" t="b">
        <v>1</v>
      </c>
      <c r="Q855" s="9" t="s">
        <v>25</v>
      </c>
    </row>
    <row r="856" spans="1:17" x14ac:dyDescent="0.25">
      <c r="A856" s="5" t="s">
        <v>906</v>
      </c>
      <c r="B856" s="6" t="s">
        <v>62</v>
      </c>
      <c r="C856" s="6" t="s">
        <v>39</v>
      </c>
      <c r="D856" s="6" t="s">
        <v>52</v>
      </c>
      <c r="E856" s="6" t="s">
        <v>21</v>
      </c>
      <c r="F856" s="6" t="s">
        <v>29</v>
      </c>
      <c r="G856" s="6">
        <v>95</v>
      </c>
      <c r="H856" s="7">
        <v>793.04</v>
      </c>
      <c r="I856" s="7">
        <v>75338.8</v>
      </c>
      <c r="J856" s="8">
        <v>45112</v>
      </c>
      <c r="K856" s="6">
        <v>21</v>
      </c>
      <c r="L856" s="6" t="s">
        <v>41</v>
      </c>
      <c r="M856" s="6" t="b">
        <v>0</v>
      </c>
      <c r="N856" s="6">
        <v>16.45</v>
      </c>
      <c r="O856" s="6" t="s">
        <v>42</v>
      </c>
      <c r="P856" s="6" t="b">
        <v>1</v>
      </c>
      <c r="Q856" s="9" t="s">
        <v>25</v>
      </c>
    </row>
    <row r="857" spans="1:17" x14ac:dyDescent="0.25">
      <c r="A857" s="5" t="s">
        <v>907</v>
      </c>
      <c r="B857" s="6" t="s">
        <v>72</v>
      </c>
      <c r="C857" s="6" t="s">
        <v>19</v>
      </c>
      <c r="D857" s="6" t="s">
        <v>20</v>
      </c>
      <c r="E857" s="6" t="s">
        <v>35</v>
      </c>
      <c r="F857" s="6" t="s">
        <v>22</v>
      </c>
      <c r="G857" s="6">
        <v>44</v>
      </c>
      <c r="H857" s="7">
        <v>841.56</v>
      </c>
      <c r="I857" s="7">
        <v>37028.639999999999</v>
      </c>
      <c r="J857" s="8">
        <v>45130</v>
      </c>
      <c r="K857" s="6">
        <v>60</v>
      </c>
      <c r="L857" s="6" t="s">
        <v>49</v>
      </c>
      <c r="M857" s="6" t="b">
        <v>0</v>
      </c>
      <c r="N857" s="6">
        <v>8.5500000000000007</v>
      </c>
      <c r="O857" s="6" t="s">
        <v>30</v>
      </c>
      <c r="P857" s="6" t="b">
        <v>0</v>
      </c>
      <c r="Q857" s="9" t="s">
        <v>25</v>
      </c>
    </row>
    <row r="858" spans="1:17" x14ac:dyDescent="0.25">
      <c r="A858" s="5" t="s">
        <v>908</v>
      </c>
      <c r="B858" s="6" t="s">
        <v>32</v>
      </c>
      <c r="C858" s="6" t="s">
        <v>33</v>
      </c>
      <c r="D858" s="6" t="s">
        <v>34</v>
      </c>
      <c r="E858" s="6" t="s">
        <v>21</v>
      </c>
      <c r="F858" s="6" t="s">
        <v>29</v>
      </c>
      <c r="G858" s="6">
        <v>10</v>
      </c>
      <c r="H858" s="7">
        <v>99.68</v>
      </c>
      <c r="I858" s="7">
        <v>996.8</v>
      </c>
      <c r="J858" s="8">
        <v>45480</v>
      </c>
      <c r="K858" s="6">
        <v>45</v>
      </c>
      <c r="L858" s="6" t="s">
        <v>23</v>
      </c>
      <c r="M858" s="6" t="b">
        <v>1</v>
      </c>
      <c r="N858" s="6">
        <v>28.05</v>
      </c>
      <c r="O858" s="6" t="s">
        <v>30</v>
      </c>
      <c r="P858" s="6" t="b">
        <v>1</v>
      </c>
      <c r="Q858" s="9" t="s">
        <v>25</v>
      </c>
    </row>
    <row r="859" spans="1:17" x14ac:dyDescent="0.25">
      <c r="A859" s="5" t="s">
        <v>909</v>
      </c>
      <c r="B859" s="6" t="s">
        <v>62</v>
      </c>
      <c r="C859" s="6" t="s">
        <v>39</v>
      </c>
      <c r="D859" s="6" t="s">
        <v>20</v>
      </c>
      <c r="E859" s="6" t="s">
        <v>28</v>
      </c>
      <c r="F859" s="6" t="s">
        <v>29</v>
      </c>
      <c r="G859" s="6">
        <v>63</v>
      </c>
      <c r="H859" s="7">
        <v>297.02999999999997</v>
      </c>
      <c r="I859" s="7">
        <v>18712.89</v>
      </c>
      <c r="J859" s="8">
        <v>44939</v>
      </c>
      <c r="K859" s="6">
        <v>24</v>
      </c>
      <c r="L859" s="6" t="s">
        <v>23</v>
      </c>
      <c r="M859" s="6" t="b">
        <v>1</v>
      </c>
      <c r="N859" s="6">
        <v>20.73</v>
      </c>
      <c r="O859" s="6" t="s">
        <v>56</v>
      </c>
      <c r="P859" s="6" t="b">
        <v>1</v>
      </c>
      <c r="Q859" s="9" t="s">
        <v>25</v>
      </c>
    </row>
    <row r="860" spans="1:17" x14ac:dyDescent="0.25">
      <c r="A860" s="5" t="s">
        <v>910</v>
      </c>
      <c r="B860" s="6" t="s">
        <v>51</v>
      </c>
      <c r="C860" s="6" t="s">
        <v>19</v>
      </c>
      <c r="D860" s="6" t="s">
        <v>52</v>
      </c>
      <c r="E860" s="6" t="s">
        <v>35</v>
      </c>
      <c r="F860" s="6" t="s">
        <v>29</v>
      </c>
      <c r="G860" s="6">
        <v>93</v>
      </c>
      <c r="H860" s="7">
        <v>774.57</v>
      </c>
      <c r="I860" s="7">
        <v>72035.009999999995</v>
      </c>
      <c r="J860" s="8">
        <v>45592</v>
      </c>
      <c r="K860" s="6">
        <v>43</v>
      </c>
      <c r="L860" s="6" t="s">
        <v>23</v>
      </c>
      <c r="M860" s="6" t="b">
        <v>1</v>
      </c>
      <c r="N860" s="6">
        <v>6.62</v>
      </c>
      <c r="O860" s="6" t="s">
        <v>42</v>
      </c>
      <c r="P860" s="6" t="b">
        <v>1</v>
      </c>
      <c r="Q860" s="9" t="s">
        <v>36</v>
      </c>
    </row>
    <row r="861" spans="1:17" x14ac:dyDescent="0.25">
      <c r="A861" s="5" t="s">
        <v>911</v>
      </c>
      <c r="B861" s="6" t="s">
        <v>76</v>
      </c>
      <c r="C861" s="6" t="s">
        <v>39</v>
      </c>
      <c r="D861" s="6" t="s">
        <v>64</v>
      </c>
      <c r="E861" s="6" t="s">
        <v>21</v>
      </c>
      <c r="F861" s="6" t="s">
        <v>22</v>
      </c>
      <c r="G861" s="6">
        <v>82</v>
      </c>
      <c r="H861" s="7">
        <v>911.21</v>
      </c>
      <c r="I861" s="7">
        <v>74719.22</v>
      </c>
      <c r="J861" s="8">
        <v>45200</v>
      </c>
      <c r="K861" s="6">
        <v>28</v>
      </c>
      <c r="L861" s="6" t="s">
        <v>49</v>
      </c>
      <c r="M861" s="6" t="b">
        <v>0</v>
      </c>
      <c r="N861" s="6">
        <v>18.440000000000001</v>
      </c>
      <c r="O861" s="6" t="s">
        <v>24</v>
      </c>
      <c r="P861" s="6" t="b">
        <v>0</v>
      </c>
      <c r="Q861" s="9" t="s">
        <v>36</v>
      </c>
    </row>
    <row r="862" spans="1:17" x14ac:dyDescent="0.25">
      <c r="A862" s="5" t="s">
        <v>912</v>
      </c>
      <c r="B862" s="6" t="s">
        <v>66</v>
      </c>
      <c r="C862" s="6" t="s">
        <v>39</v>
      </c>
      <c r="D862" s="6" t="s">
        <v>64</v>
      </c>
      <c r="E862" s="6" t="s">
        <v>44</v>
      </c>
      <c r="F862" s="6" t="s">
        <v>40</v>
      </c>
      <c r="G862" s="6">
        <v>47</v>
      </c>
      <c r="H862" s="7">
        <v>265.18</v>
      </c>
      <c r="I862" s="7">
        <v>12463.46</v>
      </c>
      <c r="J862" s="8">
        <v>45224</v>
      </c>
      <c r="K862" s="6">
        <v>41</v>
      </c>
      <c r="L862" s="6" t="s">
        <v>49</v>
      </c>
      <c r="M862" s="6" t="b">
        <v>1</v>
      </c>
      <c r="N862" s="6">
        <v>26.11</v>
      </c>
      <c r="O862" s="6" t="s">
        <v>42</v>
      </c>
      <c r="P862" s="6" t="b">
        <v>1</v>
      </c>
      <c r="Q862" s="9" t="s">
        <v>25</v>
      </c>
    </row>
    <row r="863" spans="1:17" x14ac:dyDescent="0.25">
      <c r="A863" s="5" t="s">
        <v>913</v>
      </c>
      <c r="B863" s="6" t="s">
        <v>32</v>
      </c>
      <c r="C863" s="6" t="s">
        <v>33</v>
      </c>
      <c r="D863" s="6" t="s">
        <v>20</v>
      </c>
      <c r="E863" s="6" t="s">
        <v>35</v>
      </c>
      <c r="F863" s="6" t="s">
        <v>29</v>
      </c>
      <c r="G863" s="6">
        <v>38</v>
      </c>
      <c r="H863" s="7">
        <v>628.32000000000005</v>
      </c>
      <c r="I863" s="7">
        <v>23876.16</v>
      </c>
      <c r="J863" s="8">
        <v>44977</v>
      </c>
      <c r="K863" s="6">
        <v>60</v>
      </c>
      <c r="L863" s="6" t="s">
        <v>41</v>
      </c>
      <c r="M863" s="6" t="b">
        <v>1</v>
      </c>
      <c r="N863" s="6">
        <v>20.88</v>
      </c>
      <c r="O863" s="6" t="s">
        <v>42</v>
      </c>
      <c r="P863" s="6" t="b">
        <v>1</v>
      </c>
      <c r="Q863" s="9" t="s">
        <v>36</v>
      </c>
    </row>
    <row r="864" spans="1:17" x14ac:dyDescent="0.25">
      <c r="A864" s="5" t="s">
        <v>914</v>
      </c>
      <c r="B864" s="6" t="s">
        <v>46</v>
      </c>
      <c r="C864" s="6" t="s">
        <v>39</v>
      </c>
      <c r="D864" s="6" t="s">
        <v>52</v>
      </c>
      <c r="E864" s="6" t="s">
        <v>35</v>
      </c>
      <c r="F864" s="6" t="s">
        <v>48</v>
      </c>
      <c r="G864" s="6">
        <v>70</v>
      </c>
      <c r="H864" s="7">
        <v>1361.38</v>
      </c>
      <c r="I864" s="7">
        <v>95296.6</v>
      </c>
      <c r="J864" s="8">
        <v>45426</v>
      </c>
      <c r="K864" s="6">
        <v>27</v>
      </c>
      <c r="L864" s="6" t="s">
        <v>41</v>
      </c>
      <c r="M864" s="6" t="b">
        <v>1</v>
      </c>
      <c r="N864" s="6">
        <v>7.34</v>
      </c>
      <c r="O864" s="6" t="s">
        <v>56</v>
      </c>
      <c r="P864" s="6" t="b">
        <v>1</v>
      </c>
      <c r="Q864" s="9" t="s">
        <v>25</v>
      </c>
    </row>
    <row r="865" spans="1:17" x14ac:dyDescent="0.25">
      <c r="A865" s="5" t="s">
        <v>915</v>
      </c>
      <c r="B865" s="6" t="s">
        <v>51</v>
      </c>
      <c r="C865" s="6" t="s">
        <v>33</v>
      </c>
      <c r="D865" s="6" t="s">
        <v>64</v>
      </c>
      <c r="E865" s="6" t="s">
        <v>44</v>
      </c>
      <c r="F865" s="6" t="s">
        <v>22</v>
      </c>
      <c r="G865" s="6">
        <v>76</v>
      </c>
      <c r="H865" s="7">
        <v>1498.4</v>
      </c>
      <c r="I865" s="7">
        <v>113878.39999999999</v>
      </c>
      <c r="J865" s="8">
        <v>45295</v>
      </c>
      <c r="K865" s="6">
        <v>54</v>
      </c>
      <c r="L865" s="6" t="s">
        <v>41</v>
      </c>
      <c r="M865" s="6" t="b">
        <v>0</v>
      </c>
      <c r="N865" s="6">
        <v>19.47</v>
      </c>
      <c r="O865" s="6" t="s">
        <v>24</v>
      </c>
      <c r="P865" s="6" t="b">
        <v>0</v>
      </c>
      <c r="Q865" s="9" t="s">
        <v>36</v>
      </c>
    </row>
    <row r="866" spans="1:17" x14ac:dyDescent="0.25">
      <c r="A866" s="5" t="s">
        <v>916</v>
      </c>
      <c r="B866" s="6" t="s">
        <v>38</v>
      </c>
      <c r="C866" s="6" t="s">
        <v>33</v>
      </c>
      <c r="D866" s="6" t="s">
        <v>52</v>
      </c>
      <c r="E866" s="6" t="s">
        <v>21</v>
      </c>
      <c r="F866" s="6" t="s">
        <v>48</v>
      </c>
      <c r="G866" s="6">
        <v>53</v>
      </c>
      <c r="H866" s="7">
        <v>1481.46</v>
      </c>
      <c r="I866" s="7">
        <v>78517.38</v>
      </c>
      <c r="J866" s="8">
        <v>45582</v>
      </c>
      <c r="K866" s="6">
        <v>30</v>
      </c>
      <c r="L866" s="6" t="s">
        <v>41</v>
      </c>
      <c r="M866" s="6" t="b">
        <v>1</v>
      </c>
      <c r="N866" s="6">
        <v>18.57</v>
      </c>
      <c r="O866" s="6" t="s">
        <v>42</v>
      </c>
      <c r="P866" s="6" t="b">
        <v>0</v>
      </c>
      <c r="Q866" s="9" t="s">
        <v>25</v>
      </c>
    </row>
    <row r="867" spans="1:17" x14ac:dyDescent="0.25">
      <c r="A867" s="5" t="s">
        <v>917</v>
      </c>
      <c r="B867" s="6" t="s">
        <v>62</v>
      </c>
      <c r="C867" s="6" t="s">
        <v>33</v>
      </c>
      <c r="D867" s="6" t="s">
        <v>64</v>
      </c>
      <c r="E867" s="6" t="s">
        <v>21</v>
      </c>
      <c r="F867" s="6" t="s">
        <v>29</v>
      </c>
      <c r="G867" s="6">
        <v>78</v>
      </c>
      <c r="H867" s="7">
        <v>1328.43</v>
      </c>
      <c r="I867" s="7">
        <v>103617.54</v>
      </c>
      <c r="J867" s="8">
        <v>45283</v>
      </c>
      <c r="K867" s="6">
        <v>61</v>
      </c>
      <c r="L867" s="6" t="s">
        <v>49</v>
      </c>
      <c r="M867" s="6" t="b">
        <v>1</v>
      </c>
      <c r="N867" s="6">
        <v>24.63</v>
      </c>
      <c r="O867" s="6" t="s">
        <v>24</v>
      </c>
      <c r="P867" s="6" t="b">
        <v>1</v>
      </c>
      <c r="Q867" s="9" t="s">
        <v>36</v>
      </c>
    </row>
    <row r="868" spans="1:17" x14ac:dyDescent="0.25">
      <c r="A868" s="5" t="s">
        <v>918</v>
      </c>
      <c r="B868" s="6" t="s">
        <v>46</v>
      </c>
      <c r="C868" s="6" t="s">
        <v>19</v>
      </c>
      <c r="D868" s="6" t="s">
        <v>52</v>
      </c>
      <c r="E868" s="6" t="s">
        <v>35</v>
      </c>
      <c r="F868" s="6" t="s">
        <v>48</v>
      </c>
      <c r="G868" s="6">
        <v>44</v>
      </c>
      <c r="H868" s="7">
        <v>622.26</v>
      </c>
      <c r="I868" s="7">
        <v>27379.439999999999</v>
      </c>
      <c r="J868" s="8">
        <v>44929</v>
      </c>
      <c r="K868" s="6">
        <v>59</v>
      </c>
      <c r="L868" s="6" t="s">
        <v>49</v>
      </c>
      <c r="M868" s="6" t="b">
        <v>0</v>
      </c>
      <c r="N868" s="6">
        <v>5.34</v>
      </c>
      <c r="O868" s="6" t="s">
        <v>42</v>
      </c>
      <c r="P868" s="6" t="b">
        <v>1</v>
      </c>
      <c r="Q868" s="9" t="s">
        <v>36</v>
      </c>
    </row>
    <row r="869" spans="1:17" x14ac:dyDescent="0.25">
      <c r="A869" s="5" t="s">
        <v>919</v>
      </c>
      <c r="B869" s="6" t="s">
        <v>62</v>
      </c>
      <c r="C869" s="6" t="s">
        <v>19</v>
      </c>
      <c r="D869" s="6" t="s">
        <v>47</v>
      </c>
      <c r="E869" s="6" t="s">
        <v>35</v>
      </c>
      <c r="F869" s="6" t="s">
        <v>29</v>
      </c>
      <c r="G869" s="6">
        <v>74</v>
      </c>
      <c r="H869" s="7">
        <v>1045.53</v>
      </c>
      <c r="I869" s="7">
        <v>77369.22</v>
      </c>
      <c r="J869" s="8">
        <v>45180</v>
      </c>
      <c r="K869" s="6">
        <v>56</v>
      </c>
      <c r="L869" s="6" t="s">
        <v>41</v>
      </c>
      <c r="M869" s="6" t="b">
        <v>0</v>
      </c>
      <c r="N869" s="6">
        <v>20.99</v>
      </c>
      <c r="O869" s="6" t="s">
        <v>56</v>
      </c>
      <c r="P869" s="6" t="b">
        <v>0</v>
      </c>
      <c r="Q869" s="9" t="s">
        <v>25</v>
      </c>
    </row>
    <row r="870" spans="1:17" x14ac:dyDescent="0.25">
      <c r="A870" s="5" t="s">
        <v>920</v>
      </c>
      <c r="B870" s="6" t="s">
        <v>27</v>
      </c>
      <c r="C870" s="6" t="s">
        <v>33</v>
      </c>
      <c r="D870" s="6" t="s">
        <v>52</v>
      </c>
      <c r="E870" s="6" t="s">
        <v>21</v>
      </c>
      <c r="F870" s="6" t="s">
        <v>22</v>
      </c>
      <c r="G870" s="6">
        <v>54</v>
      </c>
      <c r="H870" s="7">
        <v>654.05999999999995</v>
      </c>
      <c r="I870" s="7">
        <v>35319.24</v>
      </c>
      <c r="J870" s="8">
        <v>45401</v>
      </c>
      <c r="K870" s="6">
        <v>36</v>
      </c>
      <c r="L870" s="6" t="s">
        <v>49</v>
      </c>
      <c r="M870" s="6" t="b">
        <v>1</v>
      </c>
      <c r="N870" s="6">
        <v>0.82</v>
      </c>
      <c r="O870" s="6" t="s">
        <v>24</v>
      </c>
      <c r="P870" s="6" t="b">
        <v>1</v>
      </c>
      <c r="Q870" s="9" t="s">
        <v>36</v>
      </c>
    </row>
    <row r="871" spans="1:17" x14ac:dyDescent="0.25">
      <c r="A871" s="5" t="s">
        <v>921</v>
      </c>
      <c r="B871" s="6" t="s">
        <v>51</v>
      </c>
      <c r="C871" s="6" t="s">
        <v>39</v>
      </c>
      <c r="D871" s="6" t="s">
        <v>52</v>
      </c>
      <c r="E871" s="6" t="s">
        <v>21</v>
      </c>
      <c r="F871" s="6" t="s">
        <v>48</v>
      </c>
      <c r="G871" s="6">
        <v>20</v>
      </c>
      <c r="H871" s="7">
        <v>990.36</v>
      </c>
      <c r="I871" s="7">
        <v>19807.2</v>
      </c>
      <c r="J871" s="8">
        <v>45432</v>
      </c>
      <c r="K871" s="6">
        <v>68</v>
      </c>
      <c r="L871" s="6" t="s">
        <v>49</v>
      </c>
      <c r="M871" s="6" t="b">
        <v>0</v>
      </c>
      <c r="N871" s="6">
        <v>20.89</v>
      </c>
      <c r="O871" s="6" t="s">
        <v>42</v>
      </c>
      <c r="P871" s="6" t="b">
        <v>0</v>
      </c>
      <c r="Q871" s="9" t="s">
        <v>25</v>
      </c>
    </row>
    <row r="872" spans="1:17" x14ac:dyDescent="0.25">
      <c r="A872" s="5" t="s">
        <v>922</v>
      </c>
      <c r="B872" s="6" t="s">
        <v>27</v>
      </c>
      <c r="C872" s="6" t="s">
        <v>33</v>
      </c>
      <c r="D872" s="6" t="s">
        <v>20</v>
      </c>
      <c r="E872" s="6" t="s">
        <v>28</v>
      </c>
      <c r="F872" s="6" t="s">
        <v>48</v>
      </c>
      <c r="G872" s="6">
        <v>79</v>
      </c>
      <c r="H872" s="7">
        <v>498.68</v>
      </c>
      <c r="I872" s="7">
        <v>39395.72</v>
      </c>
      <c r="J872" s="8">
        <v>45182</v>
      </c>
      <c r="K872" s="6">
        <v>36</v>
      </c>
      <c r="L872" s="6" t="s">
        <v>49</v>
      </c>
      <c r="M872" s="6" t="b">
        <v>1</v>
      </c>
      <c r="N872" s="6">
        <v>28.81</v>
      </c>
      <c r="O872" s="6" t="s">
        <v>30</v>
      </c>
      <c r="P872" s="6" t="b">
        <v>0</v>
      </c>
      <c r="Q872" s="9" t="s">
        <v>36</v>
      </c>
    </row>
    <row r="873" spans="1:17" x14ac:dyDescent="0.25">
      <c r="A873" s="5" t="s">
        <v>923</v>
      </c>
      <c r="B873" s="6" t="s">
        <v>72</v>
      </c>
      <c r="C873" s="6" t="s">
        <v>39</v>
      </c>
      <c r="D873" s="6" t="s">
        <v>47</v>
      </c>
      <c r="E873" s="6" t="s">
        <v>35</v>
      </c>
      <c r="F873" s="6" t="s">
        <v>29</v>
      </c>
      <c r="G873" s="6">
        <v>31</v>
      </c>
      <c r="H873" s="7">
        <v>928.99</v>
      </c>
      <c r="I873" s="7">
        <v>28798.69</v>
      </c>
      <c r="J873" s="8">
        <v>45536</v>
      </c>
      <c r="K873" s="6">
        <v>29</v>
      </c>
      <c r="L873" s="6" t="s">
        <v>49</v>
      </c>
      <c r="M873" s="6" t="b">
        <v>0</v>
      </c>
      <c r="N873" s="6">
        <v>5.23</v>
      </c>
      <c r="O873" s="6" t="s">
        <v>24</v>
      </c>
      <c r="P873" s="6" t="b">
        <v>0</v>
      </c>
      <c r="Q873" s="9" t="s">
        <v>25</v>
      </c>
    </row>
    <row r="874" spans="1:17" x14ac:dyDescent="0.25">
      <c r="A874" s="5" t="s">
        <v>924</v>
      </c>
      <c r="B874" s="6" t="s">
        <v>27</v>
      </c>
      <c r="C874" s="6" t="s">
        <v>33</v>
      </c>
      <c r="D874" s="6" t="s">
        <v>34</v>
      </c>
      <c r="E874" s="6" t="s">
        <v>35</v>
      </c>
      <c r="F874" s="6" t="s">
        <v>29</v>
      </c>
      <c r="G874" s="6">
        <v>7</v>
      </c>
      <c r="H874" s="7">
        <v>809.45</v>
      </c>
      <c r="I874" s="7">
        <v>5666.15</v>
      </c>
      <c r="J874" s="8">
        <v>45076</v>
      </c>
      <c r="K874" s="6">
        <v>69</v>
      </c>
      <c r="L874" s="6" t="s">
        <v>41</v>
      </c>
      <c r="M874" s="6" t="b">
        <v>1</v>
      </c>
      <c r="N874" s="6">
        <v>9.34</v>
      </c>
      <c r="O874" s="6" t="s">
        <v>56</v>
      </c>
      <c r="P874" s="6" t="b">
        <v>1</v>
      </c>
      <c r="Q874" s="9" t="s">
        <v>36</v>
      </c>
    </row>
    <row r="875" spans="1:17" x14ac:dyDescent="0.25">
      <c r="A875" s="5" t="s">
        <v>925</v>
      </c>
      <c r="B875" s="6" t="s">
        <v>72</v>
      </c>
      <c r="C875" s="6" t="s">
        <v>39</v>
      </c>
      <c r="D875" s="6" t="s">
        <v>20</v>
      </c>
      <c r="E875" s="6" t="s">
        <v>44</v>
      </c>
      <c r="F875" s="6" t="s">
        <v>40</v>
      </c>
      <c r="G875" s="6">
        <v>58</v>
      </c>
      <c r="H875" s="7">
        <v>85.5</v>
      </c>
      <c r="I875" s="7">
        <v>4959</v>
      </c>
      <c r="J875" s="8">
        <v>45414</v>
      </c>
      <c r="K875" s="6">
        <v>39</v>
      </c>
      <c r="L875" s="6" t="s">
        <v>41</v>
      </c>
      <c r="M875" s="6" t="b">
        <v>1</v>
      </c>
      <c r="N875" s="6">
        <v>17.489999999999998</v>
      </c>
      <c r="O875" s="6" t="s">
        <v>30</v>
      </c>
      <c r="P875" s="6" t="b">
        <v>0</v>
      </c>
      <c r="Q875" s="9" t="s">
        <v>25</v>
      </c>
    </row>
    <row r="876" spans="1:17" x14ac:dyDescent="0.25">
      <c r="A876" s="5" t="s">
        <v>926</v>
      </c>
      <c r="B876" s="6" t="s">
        <v>72</v>
      </c>
      <c r="C876" s="6" t="s">
        <v>19</v>
      </c>
      <c r="D876" s="6" t="s">
        <v>34</v>
      </c>
      <c r="E876" s="6" t="s">
        <v>28</v>
      </c>
      <c r="F876" s="6" t="s">
        <v>29</v>
      </c>
      <c r="G876" s="6">
        <v>10</v>
      </c>
      <c r="H876" s="7">
        <v>1196.52</v>
      </c>
      <c r="I876" s="7">
        <v>11965.2</v>
      </c>
      <c r="J876" s="8">
        <v>45205</v>
      </c>
      <c r="K876" s="6">
        <v>64</v>
      </c>
      <c r="L876" s="6" t="s">
        <v>49</v>
      </c>
      <c r="M876" s="6" t="b">
        <v>0</v>
      </c>
      <c r="N876" s="6">
        <v>21.97</v>
      </c>
      <c r="O876" s="6" t="s">
        <v>24</v>
      </c>
      <c r="P876" s="6" t="b">
        <v>0</v>
      </c>
      <c r="Q876" s="9" t="s">
        <v>36</v>
      </c>
    </row>
    <row r="877" spans="1:17" x14ac:dyDescent="0.25">
      <c r="A877" s="5" t="s">
        <v>927</v>
      </c>
      <c r="B877" s="6" t="s">
        <v>46</v>
      </c>
      <c r="C877" s="6" t="s">
        <v>39</v>
      </c>
      <c r="D877" s="6" t="s">
        <v>64</v>
      </c>
      <c r="E877" s="6" t="s">
        <v>21</v>
      </c>
      <c r="F877" s="6" t="s">
        <v>29</v>
      </c>
      <c r="G877" s="6">
        <v>10</v>
      </c>
      <c r="H877" s="7">
        <v>67.25</v>
      </c>
      <c r="I877" s="7">
        <v>672.5</v>
      </c>
      <c r="J877" s="8">
        <v>44985</v>
      </c>
      <c r="K877" s="6">
        <v>54</v>
      </c>
      <c r="L877" s="6" t="s">
        <v>23</v>
      </c>
      <c r="M877" s="6" t="b">
        <v>0</v>
      </c>
      <c r="N877" s="6">
        <v>10.33</v>
      </c>
      <c r="O877" s="6" t="s">
        <v>24</v>
      </c>
      <c r="P877" s="6" t="b">
        <v>1</v>
      </c>
      <c r="Q877" s="9" t="s">
        <v>36</v>
      </c>
    </row>
    <row r="878" spans="1:17" x14ac:dyDescent="0.25">
      <c r="A878" s="5" t="s">
        <v>928</v>
      </c>
      <c r="B878" s="6" t="s">
        <v>62</v>
      </c>
      <c r="C878" s="6" t="s">
        <v>33</v>
      </c>
      <c r="D878" s="6" t="s">
        <v>34</v>
      </c>
      <c r="E878" s="6" t="s">
        <v>28</v>
      </c>
      <c r="F878" s="6" t="s">
        <v>40</v>
      </c>
      <c r="G878" s="6">
        <v>39</v>
      </c>
      <c r="H878" s="7">
        <v>475.08</v>
      </c>
      <c r="I878" s="7">
        <v>18528.12</v>
      </c>
      <c r="J878" s="8">
        <v>45372</v>
      </c>
      <c r="K878" s="6">
        <v>47</v>
      </c>
      <c r="L878" s="6" t="s">
        <v>41</v>
      </c>
      <c r="M878" s="6" t="b">
        <v>0</v>
      </c>
      <c r="N878" s="6">
        <v>19.93</v>
      </c>
      <c r="O878" s="6" t="s">
        <v>24</v>
      </c>
      <c r="P878" s="6" t="b">
        <v>1</v>
      </c>
      <c r="Q878" s="9" t="s">
        <v>25</v>
      </c>
    </row>
    <row r="879" spans="1:17" x14ac:dyDescent="0.25">
      <c r="A879" s="5" t="s">
        <v>929</v>
      </c>
      <c r="B879" s="6" t="s">
        <v>38</v>
      </c>
      <c r="C879" s="6" t="s">
        <v>19</v>
      </c>
      <c r="D879" s="6" t="s">
        <v>52</v>
      </c>
      <c r="E879" s="6" t="s">
        <v>21</v>
      </c>
      <c r="F879" s="6" t="s">
        <v>29</v>
      </c>
      <c r="G879" s="6">
        <v>28</v>
      </c>
      <c r="H879" s="7">
        <v>58.59</v>
      </c>
      <c r="I879" s="7">
        <v>1640.52</v>
      </c>
      <c r="J879" s="8">
        <v>45039</v>
      </c>
      <c r="K879" s="6">
        <v>63</v>
      </c>
      <c r="L879" s="6" t="s">
        <v>41</v>
      </c>
      <c r="M879" s="6" t="b">
        <v>0</v>
      </c>
      <c r="N879" s="6">
        <v>26.98</v>
      </c>
      <c r="O879" s="6" t="s">
        <v>24</v>
      </c>
      <c r="P879" s="6" t="b">
        <v>1</v>
      </c>
      <c r="Q879" s="9" t="s">
        <v>25</v>
      </c>
    </row>
    <row r="880" spans="1:17" x14ac:dyDescent="0.25">
      <c r="A880" s="5" t="s">
        <v>930</v>
      </c>
      <c r="B880" s="6" t="s">
        <v>27</v>
      </c>
      <c r="C880" s="6" t="s">
        <v>39</v>
      </c>
      <c r="D880" s="6" t="s">
        <v>34</v>
      </c>
      <c r="E880" s="6" t="s">
        <v>21</v>
      </c>
      <c r="F880" s="6" t="s">
        <v>29</v>
      </c>
      <c r="G880" s="6">
        <v>30</v>
      </c>
      <c r="H880" s="7">
        <v>595.49</v>
      </c>
      <c r="I880" s="7">
        <v>17864.7</v>
      </c>
      <c r="J880" s="8">
        <v>45495</v>
      </c>
      <c r="K880" s="6">
        <v>29</v>
      </c>
      <c r="L880" s="6" t="s">
        <v>23</v>
      </c>
      <c r="M880" s="6" t="b">
        <v>1</v>
      </c>
      <c r="N880" s="6">
        <v>21.8</v>
      </c>
      <c r="O880" s="6" t="s">
        <v>42</v>
      </c>
      <c r="P880" s="6" t="b">
        <v>0</v>
      </c>
      <c r="Q880" s="9" t="s">
        <v>25</v>
      </c>
    </row>
    <row r="881" spans="1:17" x14ac:dyDescent="0.25">
      <c r="A881" s="5" t="s">
        <v>931</v>
      </c>
      <c r="B881" s="6" t="s">
        <v>51</v>
      </c>
      <c r="C881" s="6" t="s">
        <v>39</v>
      </c>
      <c r="D881" s="6" t="s">
        <v>20</v>
      </c>
      <c r="E881" s="6" t="s">
        <v>28</v>
      </c>
      <c r="F881" s="6" t="s">
        <v>40</v>
      </c>
      <c r="G881" s="6">
        <v>37</v>
      </c>
      <c r="H881" s="7">
        <v>141.58000000000001</v>
      </c>
      <c r="I881" s="7">
        <v>5238.46</v>
      </c>
      <c r="J881" s="8">
        <v>45415</v>
      </c>
      <c r="K881" s="6">
        <v>46</v>
      </c>
      <c r="L881" s="6" t="s">
        <v>41</v>
      </c>
      <c r="M881" s="6" t="b">
        <v>0</v>
      </c>
      <c r="N881" s="6">
        <v>21.33</v>
      </c>
      <c r="O881" s="6" t="s">
        <v>42</v>
      </c>
      <c r="P881" s="6" t="b">
        <v>0</v>
      </c>
      <c r="Q881" s="9" t="s">
        <v>25</v>
      </c>
    </row>
    <row r="882" spans="1:17" x14ac:dyDescent="0.25">
      <c r="A882" s="5" t="s">
        <v>932</v>
      </c>
      <c r="B882" s="6" t="s">
        <v>72</v>
      </c>
      <c r="C882" s="6" t="s">
        <v>39</v>
      </c>
      <c r="D882" s="6" t="s">
        <v>20</v>
      </c>
      <c r="E882" s="6" t="s">
        <v>35</v>
      </c>
      <c r="F882" s="6" t="s">
        <v>22</v>
      </c>
      <c r="G882" s="6">
        <v>67</v>
      </c>
      <c r="H882" s="7">
        <v>1374.59</v>
      </c>
      <c r="I882" s="7">
        <v>92097.53</v>
      </c>
      <c r="J882" s="8">
        <v>45333</v>
      </c>
      <c r="K882" s="6">
        <v>38</v>
      </c>
      <c r="L882" s="6" t="s">
        <v>23</v>
      </c>
      <c r="M882" s="6" t="b">
        <v>1</v>
      </c>
      <c r="N882" s="6">
        <v>11.46</v>
      </c>
      <c r="O882" s="6" t="s">
        <v>24</v>
      </c>
      <c r="P882" s="6" t="b">
        <v>1</v>
      </c>
      <c r="Q882" s="9" t="s">
        <v>36</v>
      </c>
    </row>
    <row r="883" spans="1:17" x14ac:dyDescent="0.25">
      <c r="A883" s="5" t="s">
        <v>933</v>
      </c>
      <c r="B883" s="6" t="s">
        <v>62</v>
      </c>
      <c r="C883" s="6" t="s">
        <v>39</v>
      </c>
      <c r="D883" s="6" t="s">
        <v>34</v>
      </c>
      <c r="E883" s="6" t="s">
        <v>21</v>
      </c>
      <c r="F883" s="6" t="s">
        <v>22</v>
      </c>
      <c r="G883" s="6">
        <v>43</v>
      </c>
      <c r="H883" s="7">
        <v>652.73</v>
      </c>
      <c r="I883" s="7">
        <v>28067.39</v>
      </c>
      <c r="J883" s="8">
        <v>45293</v>
      </c>
      <c r="K883" s="6">
        <v>28</v>
      </c>
      <c r="L883" s="6" t="s">
        <v>23</v>
      </c>
      <c r="M883" s="6" t="b">
        <v>1</v>
      </c>
      <c r="N883" s="6">
        <v>27.34</v>
      </c>
      <c r="O883" s="6" t="s">
        <v>56</v>
      </c>
      <c r="P883" s="6" t="b">
        <v>0</v>
      </c>
      <c r="Q883" s="9" t="s">
        <v>36</v>
      </c>
    </row>
    <row r="884" spans="1:17" x14ac:dyDescent="0.25">
      <c r="A884" s="5" t="s">
        <v>934</v>
      </c>
      <c r="B884" s="6" t="s">
        <v>66</v>
      </c>
      <c r="C884" s="6" t="s">
        <v>39</v>
      </c>
      <c r="D884" s="6" t="s">
        <v>20</v>
      </c>
      <c r="E884" s="6" t="s">
        <v>28</v>
      </c>
      <c r="F884" s="6" t="s">
        <v>29</v>
      </c>
      <c r="G884" s="6">
        <v>79</v>
      </c>
      <c r="H884" s="7">
        <v>716.27</v>
      </c>
      <c r="I884" s="7">
        <v>56585.33</v>
      </c>
      <c r="J884" s="8">
        <v>44986</v>
      </c>
      <c r="K884" s="6">
        <v>54</v>
      </c>
      <c r="L884" s="6" t="s">
        <v>49</v>
      </c>
      <c r="M884" s="6" t="b">
        <v>1</v>
      </c>
      <c r="N884" s="6">
        <v>8.32</v>
      </c>
      <c r="O884" s="6" t="s">
        <v>42</v>
      </c>
      <c r="P884" s="6" t="b">
        <v>1</v>
      </c>
      <c r="Q884" s="9" t="s">
        <v>36</v>
      </c>
    </row>
    <row r="885" spans="1:17" x14ac:dyDescent="0.25">
      <c r="A885" s="5" t="s">
        <v>935</v>
      </c>
      <c r="B885" s="6" t="s">
        <v>32</v>
      </c>
      <c r="C885" s="6" t="s">
        <v>19</v>
      </c>
      <c r="D885" s="6" t="s">
        <v>20</v>
      </c>
      <c r="E885" s="6" t="s">
        <v>44</v>
      </c>
      <c r="F885" s="6" t="s">
        <v>29</v>
      </c>
      <c r="G885" s="6">
        <v>85</v>
      </c>
      <c r="H885" s="7">
        <v>557.28</v>
      </c>
      <c r="I885" s="7">
        <v>47368.800000000003</v>
      </c>
      <c r="J885" s="8">
        <v>45255</v>
      </c>
      <c r="K885" s="6">
        <v>65</v>
      </c>
      <c r="L885" s="6" t="s">
        <v>41</v>
      </c>
      <c r="M885" s="6" t="b">
        <v>0</v>
      </c>
      <c r="N885" s="6">
        <v>6.16</v>
      </c>
      <c r="O885" s="6" t="s">
        <v>24</v>
      </c>
      <c r="P885" s="6" t="b">
        <v>1</v>
      </c>
      <c r="Q885" s="9" t="s">
        <v>36</v>
      </c>
    </row>
    <row r="886" spans="1:17" x14ac:dyDescent="0.25">
      <c r="A886" s="5" t="s">
        <v>936</v>
      </c>
      <c r="B886" s="6" t="s">
        <v>46</v>
      </c>
      <c r="C886" s="6" t="s">
        <v>19</v>
      </c>
      <c r="D886" s="6" t="s">
        <v>34</v>
      </c>
      <c r="E886" s="6" t="s">
        <v>28</v>
      </c>
      <c r="F886" s="6" t="s">
        <v>40</v>
      </c>
      <c r="G886" s="6">
        <v>52</v>
      </c>
      <c r="H886" s="7">
        <v>959.88</v>
      </c>
      <c r="I886" s="7">
        <v>49913.760000000002</v>
      </c>
      <c r="J886" s="8">
        <v>45395</v>
      </c>
      <c r="K886" s="6">
        <v>35</v>
      </c>
      <c r="L886" s="6" t="s">
        <v>23</v>
      </c>
      <c r="M886" s="6" t="b">
        <v>1</v>
      </c>
      <c r="N886" s="6">
        <v>10.93</v>
      </c>
      <c r="O886" s="6" t="s">
        <v>24</v>
      </c>
      <c r="P886" s="6" t="b">
        <v>1</v>
      </c>
      <c r="Q886" s="9" t="s">
        <v>36</v>
      </c>
    </row>
    <row r="887" spans="1:17" x14ac:dyDescent="0.25">
      <c r="A887" s="5" t="s">
        <v>937</v>
      </c>
      <c r="B887" s="6" t="s">
        <v>38</v>
      </c>
      <c r="C887" s="6" t="s">
        <v>19</v>
      </c>
      <c r="D887" s="6" t="s">
        <v>47</v>
      </c>
      <c r="E887" s="6" t="s">
        <v>44</v>
      </c>
      <c r="F887" s="6" t="s">
        <v>40</v>
      </c>
      <c r="G887" s="6">
        <v>56</v>
      </c>
      <c r="H887" s="7">
        <v>1187.3900000000001</v>
      </c>
      <c r="I887" s="7">
        <v>66493.84</v>
      </c>
      <c r="J887" s="8">
        <v>45493</v>
      </c>
      <c r="K887" s="6">
        <v>61</v>
      </c>
      <c r="L887" s="6" t="s">
        <v>49</v>
      </c>
      <c r="M887" s="6" t="b">
        <v>1</v>
      </c>
      <c r="N887" s="6">
        <v>19.5</v>
      </c>
      <c r="O887" s="6" t="s">
        <v>56</v>
      </c>
      <c r="P887" s="6" t="b">
        <v>1</v>
      </c>
      <c r="Q887" s="9" t="s">
        <v>25</v>
      </c>
    </row>
    <row r="888" spans="1:17" x14ac:dyDescent="0.25">
      <c r="A888" s="5" t="s">
        <v>938</v>
      </c>
      <c r="B888" s="6" t="s">
        <v>18</v>
      </c>
      <c r="C888" s="6" t="s">
        <v>19</v>
      </c>
      <c r="D888" s="6" t="s">
        <v>47</v>
      </c>
      <c r="E888" s="6" t="s">
        <v>21</v>
      </c>
      <c r="F888" s="6" t="s">
        <v>22</v>
      </c>
      <c r="G888" s="6">
        <v>76</v>
      </c>
      <c r="H888" s="7">
        <v>989.81</v>
      </c>
      <c r="I888" s="7">
        <v>75225.56</v>
      </c>
      <c r="J888" s="8">
        <v>44989</v>
      </c>
      <c r="K888" s="6">
        <v>44</v>
      </c>
      <c r="L888" s="6" t="s">
        <v>41</v>
      </c>
      <c r="M888" s="6" t="b">
        <v>0</v>
      </c>
      <c r="N888" s="6">
        <v>25.85</v>
      </c>
      <c r="O888" s="6" t="s">
        <v>56</v>
      </c>
      <c r="P888" s="6" t="b">
        <v>1</v>
      </c>
      <c r="Q888" s="9" t="s">
        <v>25</v>
      </c>
    </row>
    <row r="889" spans="1:17" x14ac:dyDescent="0.25">
      <c r="A889" s="5" t="s">
        <v>939</v>
      </c>
      <c r="B889" s="6" t="s">
        <v>46</v>
      </c>
      <c r="C889" s="6" t="s">
        <v>33</v>
      </c>
      <c r="D889" s="6" t="s">
        <v>64</v>
      </c>
      <c r="E889" s="6" t="s">
        <v>28</v>
      </c>
      <c r="F889" s="6" t="s">
        <v>48</v>
      </c>
      <c r="G889" s="6">
        <v>68</v>
      </c>
      <c r="H889" s="7">
        <v>1134.9000000000001</v>
      </c>
      <c r="I889" s="7">
        <v>77173.2</v>
      </c>
      <c r="J889" s="8">
        <v>45110</v>
      </c>
      <c r="K889" s="6">
        <v>54</v>
      </c>
      <c r="L889" s="6" t="s">
        <v>49</v>
      </c>
      <c r="M889" s="6" t="b">
        <v>1</v>
      </c>
      <c r="N889" s="6">
        <v>3.96</v>
      </c>
      <c r="O889" s="6" t="s">
        <v>56</v>
      </c>
      <c r="P889" s="6" t="b">
        <v>0</v>
      </c>
      <c r="Q889" s="9" t="s">
        <v>25</v>
      </c>
    </row>
    <row r="890" spans="1:17" x14ac:dyDescent="0.25">
      <c r="A890" s="5" t="s">
        <v>940</v>
      </c>
      <c r="B890" s="6" t="s">
        <v>66</v>
      </c>
      <c r="C890" s="6" t="s">
        <v>19</v>
      </c>
      <c r="D890" s="6" t="s">
        <v>20</v>
      </c>
      <c r="E890" s="6" t="s">
        <v>28</v>
      </c>
      <c r="F890" s="6" t="s">
        <v>29</v>
      </c>
      <c r="G890" s="6">
        <v>9</v>
      </c>
      <c r="H890" s="7">
        <v>1363.66</v>
      </c>
      <c r="I890" s="7">
        <v>12272.94</v>
      </c>
      <c r="J890" s="8">
        <v>45237</v>
      </c>
      <c r="K890" s="6">
        <v>65</v>
      </c>
      <c r="L890" s="6" t="s">
        <v>49</v>
      </c>
      <c r="M890" s="6" t="b">
        <v>1</v>
      </c>
      <c r="N890" s="6">
        <v>24.41</v>
      </c>
      <c r="O890" s="6" t="s">
        <v>30</v>
      </c>
      <c r="P890" s="6" t="b">
        <v>0</v>
      </c>
      <c r="Q890" s="9" t="s">
        <v>25</v>
      </c>
    </row>
    <row r="891" spans="1:17" x14ac:dyDescent="0.25">
      <c r="A891" s="5" t="s">
        <v>941</v>
      </c>
      <c r="B891" s="6" t="s">
        <v>32</v>
      </c>
      <c r="C891" s="6" t="s">
        <v>39</v>
      </c>
      <c r="D891" s="6" t="s">
        <v>34</v>
      </c>
      <c r="E891" s="6" t="s">
        <v>44</v>
      </c>
      <c r="F891" s="6" t="s">
        <v>48</v>
      </c>
      <c r="G891" s="6">
        <v>92</v>
      </c>
      <c r="H891" s="7">
        <v>1302.1400000000001</v>
      </c>
      <c r="I891" s="7">
        <v>119796.88</v>
      </c>
      <c r="J891" s="8">
        <v>45464</v>
      </c>
      <c r="K891" s="6">
        <v>29</v>
      </c>
      <c r="L891" s="6" t="s">
        <v>23</v>
      </c>
      <c r="M891" s="6" t="b">
        <v>1</v>
      </c>
      <c r="N891" s="6">
        <v>24.38</v>
      </c>
      <c r="O891" s="6" t="s">
        <v>24</v>
      </c>
      <c r="P891" s="6" t="b">
        <v>1</v>
      </c>
      <c r="Q891" s="9" t="s">
        <v>25</v>
      </c>
    </row>
    <row r="892" spans="1:17" x14ac:dyDescent="0.25">
      <c r="A892" s="5" t="s">
        <v>942</v>
      </c>
      <c r="B892" s="6" t="s">
        <v>66</v>
      </c>
      <c r="C892" s="6" t="s">
        <v>39</v>
      </c>
      <c r="D892" s="6" t="s">
        <v>20</v>
      </c>
      <c r="E892" s="6" t="s">
        <v>28</v>
      </c>
      <c r="F892" s="6" t="s">
        <v>48</v>
      </c>
      <c r="G892" s="6">
        <v>23</v>
      </c>
      <c r="H892" s="7">
        <v>1027.3800000000001</v>
      </c>
      <c r="I892" s="7">
        <v>23629.74</v>
      </c>
      <c r="J892" s="8">
        <v>45103</v>
      </c>
      <c r="K892" s="6">
        <v>40</v>
      </c>
      <c r="L892" s="6" t="s">
        <v>41</v>
      </c>
      <c r="M892" s="6" t="b">
        <v>0</v>
      </c>
      <c r="N892" s="6">
        <v>17.61</v>
      </c>
      <c r="O892" s="6" t="s">
        <v>56</v>
      </c>
      <c r="P892" s="6" t="b">
        <v>0</v>
      </c>
      <c r="Q892" s="9" t="s">
        <v>36</v>
      </c>
    </row>
    <row r="893" spans="1:17" x14ac:dyDescent="0.25">
      <c r="A893" s="5" t="s">
        <v>943</v>
      </c>
      <c r="B893" s="6" t="s">
        <v>27</v>
      </c>
      <c r="C893" s="6" t="s">
        <v>19</v>
      </c>
      <c r="D893" s="6" t="s">
        <v>52</v>
      </c>
      <c r="E893" s="6" t="s">
        <v>28</v>
      </c>
      <c r="F893" s="6" t="s">
        <v>40</v>
      </c>
      <c r="G893" s="6">
        <v>63</v>
      </c>
      <c r="H893" s="7">
        <v>361.23</v>
      </c>
      <c r="I893" s="7">
        <v>22757.49</v>
      </c>
      <c r="J893" s="8">
        <v>45501</v>
      </c>
      <c r="K893" s="6">
        <v>51</v>
      </c>
      <c r="L893" s="6" t="s">
        <v>49</v>
      </c>
      <c r="M893" s="6" t="b">
        <v>1</v>
      </c>
      <c r="N893" s="6">
        <v>22.82</v>
      </c>
      <c r="O893" s="6" t="s">
        <v>24</v>
      </c>
      <c r="P893" s="6" t="b">
        <v>0</v>
      </c>
      <c r="Q893" s="9" t="s">
        <v>36</v>
      </c>
    </row>
    <row r="894" spans="1:17" x14ac:dyDescent="0.25">
      <c r="A894" s="5" t="s">
        <v>944</v>
      </c>
      <c r="B894" s="6" t="s">
        <v>72</v>
      </c>
      <c r="C894" s="6" t="s">
        <v>39</v>
      </c>
      <c r="D894" s="6" t="s">
        <v>20</v>
      </c>
      <c r="E894" s="6" t="s">
        <v>21</v>
      </c>
      <c r="F894" s="6" t="s">
        <v>29</v>
      </c>
      <c r="G894" s="6">
        <v>61</v>
      </c>
      <c r="H894" s="7">
        <v>974.67</v>
      </c>
      <c r="I894" s="7">
        <v>59454.87</v>
      </c>
      <c r="J894" s="8">
        <v>45355</v>
      </c>
      <c r="K894" s="6">
        <v>55</v>
      </c>
      <c r="L894" s="6" t="s">
        <v>23</v>
      </c>
      <c r="M894" s="6" t="b">
        <v>1</v>
      </c>
      <c r="N894" s="6">
        <v>5.46</v>
      </c>
      <c r="O894" s="6" t="s">
        <v>42</v>
      </c>
      <c r="P894" s="6" t="b">
        <v>1</v>
      </c>
      <c r="Q894" s="9" t="s">
        <v>25</v>
      </c>
    </row>
    <row r="895" spans="1:17" x14ac:dyDescent="0.25">
      <c r="A895" s="5" t="s">
        <v>945</v>
      </c>
      <c r="B895" s="6" t="s">
        <v>38</v>
      </c>
      <c r="C895" s="6" t="s">
        <v>19</v>
      </c>
      <c r="D895" s="6" t="s">
        <v>20</v>
      </c>
      <c r="E895" s="6" t="s">
        <v>28</v>
      </c>
      <c r="F895" s="6" t="s">
        <v>29</v>
      </c>
      <c r="G895" s="6">
        <v>40</v>
      </c>
      <c r="H895" s="7">
        <v>783.82</v>
      </c>
      <c r="I895" s="7">
        <v>31352.799999999999</v>
      </c>
      <c r="J895" s="8">
        <v>44999</v>
      </c>
      <c r="K895" s="6">
        <v>40</v>
      </c>
      <c r="L895" s="6" t="s">
        <v>23</v>
      </c>
      <c r="M895" s="6" t="b">
        <v>1</v>
      </c>
      <c r="N895" s="6">
        <v>5.09</v>
      </c>
      <c r="O895" s="6" t="s">
        <v>24</v>
      </c>
      <c r="P895" s="6" t="b">
        <v>0</v>
      </c>
      <c r="Q895" s="9" t="s">
        <v>25</v>
      </c>
    </row>
    <row r="896" spans="1:17" x14ac:dyDescent="0.25">
      <c r="A896" s="5" t="s">
        <v>946</v>
      </c>
      <c r="B896" s="6" t="s">
        <v>76</v>
      </c>
      <c r="C896" s="6" t="s">
        <v>39</v>
      </c>
      <c r="D896" s="6" t="s">
        <v>47</v>
      </c>
      <c r="E896" s="6" t="s">
        <v>35</v>
      </c>
      <c r="F896" s="6" t="s">
        <v>40</v>
      </c>
      <c r="G896" s="6">
        <v>44</v>
      </c>
      <c r="H896" s="7">
        <v>1089.97</v>
      </c>
      <c r="I896" s="7">
        <v>47958.68</v>
      </c>
      <c r="J896" s="8">
        <v>45093</v>
      </c>
      <c r="K896" s="6">
        <v>42</v>
      </c>
      <c r="L896" s="6" t="s">
        <v>49</v>
      </c>
      <c r="M896" s="6" t="b">
        <v>0</v>
      </c>
      <c r="N896" s="6">
        <v>25.88</v>
      </c>
      <c r="O896" s="6" t="s">
        <v>24</v>
      </c>
      <c r="P896" s="6" t="b">
        <v>0</v>
      </c>
      <c r="Q896" s="9" t="s">
        <v>25</v>
      </c>
    </row>
    <row r="897" spans="1:17" x14ac:dyDescent="0.25">
      <c r="A897" s="5" t="s">
        <v>947</v>
      </c>
      <c r="B897" s="6" t="s">
        <v>72</v>
      </c>
      <c r="C897" s="6" t="s">
        <v>33</v>
      </c>
      <c r="D897" s="6" t="s">
        <v>34</v>
      </c>
      <c r="E897" s="6" t="s">
        <v>44</v>
      </c>
      <c r="F897" s="6" t="s">
        <v>48</v>
      </c>
      <c r="G897" s="6">
        <v>86</v>
      </c>
      <c r="H897" s="7">
        <v>1257.75</v>
      </c>
      <c r="I897" s="7">
        <v>108166.5</v>
      </c>
      <c r="J897" s="8">
        <v>45151</v>
      </c>
      <c r="K897" s="6">
        <v>21</v>
      </c>
      <c r="L897" s="6" t="s">
        <v>49</v>
      </c>
      <c r="M897" s="6" t="b">
        <v>0</v>
      </c>
      <c r="N897" s="6">
        <v>14.94</v>
      </c>
      <c r="O897" s="6" t="s">
        <v>30</v>
      </c>
      <c r="P897" s="6" t="b">
        <v>1</v>
      </c>
      <c r="Q897" s="9" t="s">
        <v>36</v>
      </c>
    </row>
    <row r="898" spans="1:17" x14ac:dyDescent="0.25">
      <c r="A898" s="5" t="s">
        <v>948</v>
      </c>
      <c r="B898" s="6" t="s">
        <v>76</v>
      </c>
      <c r="C898" s="6" t="s">
        <v>33</v>
      </c>
      <c r="D898" s="6" t="s">
        <v>20</v>
      </c>
      <c r="E898" s="6" t="s">
        <v>28</v>
      </c>
      <c r="F898" s="6" t="s">
        <v>40</v>
      </c>
      <c r="G898" s="6">
        <v>24</v>
      </c>
      <c r="H898" s="7">
        <v>1126.95</v>
      </c>
      <c r="I898" s="7">
        <v>27046.799999999999</v>
      </c>
      <c r="J898" s="8">
        <v>45503</v>
      </c>
      <c r="K898" s="6">
        <v>47</v>
      </c>
      <c r="L898" s="6" t="s">
        <v>23</v>
      </c>
      <c r="M898" s="6" t="b">
        <v>0</v>
      </c>
      <c r="N898" s="6">
        <v>7.38</v>
      </c>
      <c r="O898" s="6" t="s">
        <v>42</v>
      </c>
      <c r="P898" s="6" t="b">
        <v>0</v>
      </c>
      <c r="Q898" s="9" t="s">
        <v>25</v>
      </c>
    </row>
    <row r="899" spans="1:17" x14ac:dyDescent="0.25">
      <c r="A899" s="5" t="s">
        <v>949</v>
      </c>
      <c r="B899" s="6" t="s">
        <v>32</v>
      </c>
      <c r="C899" s="6" t="s">
        <v>19</v>
      </c>
      <c r="D899" s="6" t="s">
        <v>47</v>
      </c>
      <c r="E899" s="6" t="s">
        <v>44</v>
      </c>
      <c r="F899" s="6" t="s">
        <v>22</v>
      </c>
      <c r="G899" s="6">
        <v>51</v>
      </c>
      <c r="H899" s="7">
        <v>1277.51</v>
      </c>
      <c r="I899" s="7">
        <v>65153.01</v>
      </c>
      <c r="J899" s="8">
        <v>45507</v>
      </c>
      <c r="K899" s="6">
        <v>47</v>
      </c>
      <c r="L899" s="6" t="s">
        <v>49</v>
      </c>
      <c r="M899" s="6" t="b">
        <v>1</v>
      </c>
      <c r="N899" s="6">
        <v>20.66</v>
      </c>
      <c r="O899" s="6" t="s">
        <v>42</v>
      </c>
      <c r="P899" s="6" t="b">
        <v>0</v>
      </c>
      <c r="Q899" s="9" t="s">
        <v>25</v>
      </c>
    </row>
    <row r="900" spans="1:17" x14ac:dyDescent="0.25">
      <c r="A900" s="5" t="s">
        <v>950</v>
      </c>
      <c r="B900" s="6" t="s">
        <v>62</v>
      </c>
      <c r="C900" s="6" t="s">
        <v>19</v>
      </c>
      <c r="D900" s="6" t="s">
        <v>64</v>
      </c>
      <c r="E900" s="6" t="s">
        <v>44</v>
      </c>
      <c r="F900" s="6" t="s">
        <v>29</v>
      </c>
      <c r="G900" s="6">
        <v>58</v>
      </c>
      <c r="H900" s="7">
        <v>142.61000000000001</v>
      </c>
      <c r="I900" s="7">
        <v>8271.3799999999992</v>
      </c>
      <c r="J900" s="8">
        <v>44935</v>
      </c>
      <c r="K900" s="6">
        <v>30</v>
      </c>
      <c r="L900" s="6" t="s">
        <v>49</v>
      </c>
      <c r="M900" s="6" t="b">
        <v>1</v>
      </c>
      <c r="N900" s="6">
        <v>26.76</v>
      </c>
      <c r="O900" s="6" t="s">
        <v>30</v>
      </c>
      <c r="P900" s="6" t="b">
        <v>0</v>
      </c>
      <c r="Q900" s="9" t="s">
        <v>25</v>
      </c>
    </row>
    <row r="901" spans="1:17" x14ac:dyDescent="0.25">
      <c r="A901" s="5" t="s">
        <v>951</v>
      </c>
      <c r="B901" s="6" t="s">
        <v>18</v>
      </c>
      <c r="C901" s="6" t="s">
        <v>19</v>
      </c>
      <c r="D901" s="6" t="s">
        <v>47</v>
      </c>
      <c r="E901" s="6" t="s">
        <v>44</v>
      </c>
      <c r="F901" s="6" t="s">
        <v>22</v>
      </c>
      <c r="G901" s="6">
        <v>90</v>
      </c>
      <c r="H901" s="7">
        <v>95.85</v>
      </c>
      <c r="I901" s="7">
        <v>8626.5</v>
      </c>
      <c r="J901" s="8">
        <v>45162</v>
      </c>
      <c r="K901" s="6">
        <v>59</v>
      </c>
      <c r="L901" s="6" t="s">
        <v>41</v>
      </c>
      <c r="M901" s="6" t="b">
        <v>1</v>
      </c>
      <c r="N901" s="6">
        <v>18.97</v>
      </c>
      <c r="O901" s="6" t="s">
        <v>56</v>
      </c>
      <c r="P901" s="6" t="b">
        <v>0</v>
      </c>
      <c r="Q901" s="9" t="s">
        <v>36</v>
      </c>
    </row>
    <row r="902" spans="1:17" x14ac:dyDescent="0.25">
      <c r="A902" s="5" t="s">
        <v>952</v>
      </c>
      <c r="B902" s="6" t="s">
        <v>51</v>
      </c>
      <c r="C902" s="6" t="s">
        <v>39</v>
      </c>
      <c r="D902" s="6" t="s">
        <v>47</v>
      </c>
      <c r="E902" s="6" t="s">
        <v>28</v>
      </c>
      <c r="F902" s="6" t="s">
        <v>40</v>
      </c>
      <c r="G902" s="6">
        <v>94</v>
      </c>
      <c r="H902" s="7">
        <v>424.83</v>
      </c>
      <c r="I902" s="7">
        <v>39934.019999999997</v>
      </c>
      <c r="J902" s="8">
        <v>44954</v>
      </c>
      <c r="K902" s="6">
        <v>66</v>
      </c>
      <c r="L902" s="6" t="s">
        <v>23</v>
      </c>
      <c r="M902" s="6" t="b">
        <v>1</v>
      </c>
      <c r="N902" s="6">
        <v>10.42</v>
      </c>
      <c r="O902" s="6" t="s">
        <v>56</v>
      </c>
      <c r="P902" s="6" t="b">
        <v>0</v>
      </c>
      <c r="Q902" s="9" t="s">
        <v>25</v>
      </c>
    </row>
    <row r="903" spans="1:17" x14ac:dyDescent="0.25">
      <c r="A903" s="5" t="s">
        <v>953</v>
      </c>
      <c r="B903" s="6" t="s">
        <v>72</v>
      </c>
      <c r="C903" s="6" t="s">
        <v>19</v>
      </c>
      <c r="D903" s="6" t="s">
        <v>47</v>
      </c>
      <c r="E903" s="6" t="s">
        <v>28</v>
      </c>
      <c r="F903" s="6" t="s">
        <v>29</v>
      </c>
      <c r="G903" s="6">
        <v>33</v>
      </c>
      <c r="H903" s="7">
        <v>1355.97</v>
      </c>
      <c r="I903" s="7">
        <v>44747.01</v>
      </c>
      <c r="J903" s="8">
        <v>45572</v>
      </c>
      <c r="K903" s="6">
        <v>31</v>
      </c>
      <c r="L903" s="6" t="s">
        <v>49</v>
      </c>
      <c r="M903" s="6" t="b">
        <v>1</v>
      </c>
      <c r="N903" s="6">
        <v>14.5</v>
      </c>
      <c r="O903" s="6" t="s">
        <v>24</v>
      </c>
      <c r="P903" s="6" t="b">
        <v>1</v>
      </c>
      <c r="Q903" s="9" t="s">
        <v>36</v>
      </c>
    </row>
    <row r="904" spans="1:17" x14ac:dyDescent="0.25">
      <c r="A904" s="5" t="s">
        <v>954</v>
      </c>
      <c r="B904" s="6" t="s">
        <v>38</v>
      </c>
      <c r="C904" s="6" t="s">
        <v>33</v>
      </c>
      <c r="D904" s="6" t="s">
        <v>20</v>
      </c>
      <c r="E904" s="6" t="s">
        <v>44</v>
      </c>
      <c r="F904" s="6" t="s">
        <v>22</v>
      </c>
      <c r="G904" s="6">
        <v>16</v>
      </c>
      <c r="H904" s="7">
        <v>1244.31</v>
      </c>
      <c r="I904" s="7">
        <v>19908.96</v>
      </c>
      <c r="J904" s="8">
        <v>44953</v>
      </c>
      <c r="K904" s="6">
        <v>64</v>
      </c>
      <c r="L904" s="6" t="s">
        <v>23</v>
      </c>
      <c r="M904" s="6" t="b">
        <v>0</v>
      </c>
      <c r="N904" s="6">
        <v>22.57</v>
      </c>
      <c r="O904" s="6" t="s">
        <v>30</v>
      </c>
      <c r="P904" s="6" t="b">
        <v>1</v>
      </c>
      <c r="Q904" s="9" t="s">
        <v>25</v>
      </c>
    </row>
    <row r="905" spans="1:17" x14ac:dyDescent="0.25">
      <c r="A905" s="5" t="s">
        <v>955</v>
      </c>
      <c r="B905" s="6" t="s">
        <v>66</v>
      </c>
      <c r="C905" s="6" t="s">
        <v>39</v>
      </c>
      <c r="D905" s="6" t="s">
        <v>20</v>
      </c>
      <c r="E905" s="6" t="s">
        <v>35</v>
      </c>
      <c r="F905" s="6" t="s">
        <v>22</v>
      </c>
      <c r="G905" s="6">
        <v>22</v>
      </c>
      <c r="H905" s="7">
        <v>1039.95</v>
      </c>
      <c r="I905" s="7">
        <v>22878.9</v>
      </c>
      <c r="J905" s="8">
        <v>45476</v>
      </c>
      <c r="K905" s="6">
        <v>25</v>
      </c>
      <c r="L905" s="6" t="s">
        <v>41</v>
      </c>
      <c r="M905" s="6" t="b">
        <v>1</v>
      </c>
      <c r="N905" s="6">
        <v>2.0299999999999998</v>
      </c>
      <c r="O905" s="6" t="s">
        <v>56</v>
      </c>
      <c r="P905" s="6" t="b">
        <v>1</v>
      </c>
      <c r="Q905" s="9" t="s">
        <v>25</v>
      </c>
    </row>
    <row r="906" spans="1:17" x14ac:dyDescent="0.25">
      <c r="A906" s="5" t="s">
        <v>956</v>
      </c>
      <c r="B906" s="6" t="s">
        <v>38</v>
      </c>
      <c r="C906" s="6" t="s">
        <v>19</v>
      </c>
      <c r="D906" s="6" t="s">
        <v>64</v>
      </c>
      <c r="E906" s="6" t="s">
        <v>44</v>
      </c>
      <c r="F906" s="6" t="s">
        <v>48</v>
      </c>
      <c r="G906" s="6">
        <v>57</v>
      </c>
      <c r="H906" s="7">
        <v>1066.0999999999999</v>
      </c>
      <c r="I906" s="7">
        <v>60767.7</v>
      </c>
      <c r="J906" s="8">
        <v>45122</v>
      </c>
      <c r="K906" s="6">
        <v>41</v>
      </c>
      <c r="L906" s="6" t="s">
        <v>23</v>
      </c>
      <c r="M906" s="6" t="b">
        <v>1</v>
      </c>
      <c r="N906" s="6">
        <v>6.51</v>
      </c>
      <c r="O906" s="6" t="s">
        <v>42</v>
      </c>
      <c r="P906" s="6" t="b">
        <v>1</v>
      </c>
      <c r="Q906" s="9" t="s">
        <v>36</v>
      </c>
    </row>
    <row r="907" spans="1:17" x14ac:dyDescent="0.25">
      <c r="A907" s="5" t="s">
        <v>957</v>
      </c>
      <c r="B907" s="6" t="s">
        <v>32</v>
      </c>
      <c r="C907" s="6" t="s">
        <v>39</v>
      </c>
      <c r="D907" s="6" t="s">
        <v>52</v>
      </c>
      <c r="E907" s="6" t="s">
        <v>35</v>
      </c>
      <c r="F907" s="6" t="s">
        <v>29</v>
      </c>
      <c r="G907" s="6">
        <v>62</v>
      </c>
      <c r="H907" s="7">
        <v>1103.67</v>
      </c>
      <c r="I907" s="7">
        <v>68427.539999999994</v>
      </c>
      <c r="J907" s="8">
        <v>45129</v>
      </c>
      <c r="K907" s="6">
        <v>35</v>
      </c>
      <c r="L907" s="6" t="s">
        <v>23</v>
      </c>
      <c r="M907" s="6" t="b">
        <v>0</v>
      </c>
      <c r="N907" s="6">
        <v>13.88</v>
      </c>
      <c r="O907" s="6" t="s">
        <v>30</v>
      </c>
      <c r="P907" s="6" t="b">
        <v>1</v>
      </c>
      <c r="Q907" s="9" t="s">
        <v>36</v>
      </c>
    </row>
    <row r="908" spans="1:17" x14ac:dyDescent="0.25">
      <c r="A908" s="5" t="s">
        <v>958</v>
      </c>
      <c r="B908" s="6" t="s">
        <v>76</v>
      </c>
      <c r="C908" s="6" t="s">
        <v>39</v>
      </c>
      <c r="D908" s="6" t="s">
        <v>52</v>
      </c>
      <c r="E908" s="6" t="s">
        <v>44</v>
      </c>
      <c r="F908" s="6" t="s">
        <v>22</v>
      </c>
      <c r="G908" s="6">
        <v>82</v>
      </c>
      <c r="H908" s="7">
        <v>1416.77</v>
      </c>
      <c r="I908" s="7">
        <v>116175.14</v>
      </c>
      <c r="J908" s="8">
        <v>45011</v>
      </c>
      <c r="K908" s="6">
        <v>52</v>
      </c>
      <c r="L908" s="6" t="s">
        <v>23</v>
      </c>
      <c r="M908" s="6" t="b">
        <v>0</v>
      </c>
      <c r="N908" s="6">
        <v>18.13</v>
      </c>
      <c r="O908" s="6" t="s">
        <v>56</v>
      </c>
      <c r="P908" s="6" t="b">
        <v>0</v>
      </c>
      <c r="Q908" s="9" t="s">
        <v>25</v>
      </c>
    </row>
    <row r="909" spans="1:17" x14ac:dyDescent="0.25">
      <c r="A909" s="5" t="s">
        <v>959</v>
      </c>
      <c r="B909" s="6" t="s">
        <v>66</v>
      </c>
      <c r="C909" s="6" t="s">
        <v>19</v>
      </c>
      <c r="D909" s="6" t="s">
        <v>52</v>
      </c>
      <c r="E909" s="6" t="s">
        <v>21</v>
      </c>
      <c r="F909" s="6" t="s">
        <v>22</v>
      </c>
      <c r="G909" s="6">
        <v>71</v>
      </c>
      <c r="H909" s="7">
        <v>1256.68</v>
      </c>
      <c r="I909" s="7">
        <v>89224.28</v>
      </c>
      <c r="J909" s="8">
        <v>44956</v>
      </c>
      <c r="K909" s="6">
        <v>42</v>
      </c>
      <c r="L909" s="6" t="s">
        <v>41</v>
      </c>
      <c r="M909" s="6" t="b">
        <v>1</v>
      </c>
      <c r="N909" s="6">
        <v>10.17</v>
      </c>
      <c r="O909" s="6" t="s">
        <v>42</v>
      </c>
      <c r="P909" s="6" t="b">
        <v>0</v>
      </c>
      <c r="Q909" s="9" t="s">
        <v>25</v>
      </c>
    </row>
    <row r="910" spans="1:17" x14ac:dyDescent="0.25">
      <c r="A910" s="5" t="s">
        <v>960</v>
      </c>
      <c r="B910" s="6" t="s">
        <v>51</v>
      </c>
      <c r="C910" s="6" t="s">
        <v>39</v>
      </c>
      <c r="D910" s="6" t="s">
        <v>64</v>
      </c>
      <c r="E910" s="6" t="s">
        <v>44</v>
      </c>
      <c r="F910" s="6" t="s">
        <v>48</v>
      </c>
      <c r="G910" s="6">
        <v>90</v>
      </c>
      <c r="H910" s="7">
        <v>953.92</v>
      </c>
      <c r="I910" s="7">
        <v>85852.800000000003</v>
      </c>
      <c r="J910" s="8">
        <v>45392</v>
      </c>
      <c r="K910" s="6">
        <v>34</v>
      </c>
      <c r="L910" s="6" t="s">
        <v>41</v>
      </c>
      <c r="M910" s="6" t="b">
        <v>0</v>
      </c>
      <c r="N910" s="6">
        <v>8.9499999999999993</v>
      </c>
      <c r="O910" s="6" t="s">
        <v>30</v>
      </c>
      <c r="P910" s="6" t="b">
        <v>1</v>
      </c>
      <c r="Q910" s="9" t="s">
        <v>36</v>
      </c>
    </row>
    <row r="911" spans="1:17" x14ac:dyDescent="0.25">
      <c r="A911" s="5" t="s">
        <v>961</v>
      </c>
      <c r="B911" s="6" t="s">
        <v>51</v>
      </c>
      <c r="C911" s="6" t="s">
        <v>33</v>
      </c>
      <c r="D911" s="6" t="s">
        <v>52</v>
      </c>
      <c r="E911" s="6" t="s">
        <v>44</v>
      </c>
      <c r="F911" s="6" t="s">
        <v>22</v>
      </c>
      <c r="G911" s="6">
        <v>72</v>
      </c>
      <c r="H911" s="7">
        <v>1015.29</v>
      </c>
      <c r="I911" s="7">
        <v>73100.88</v>
      </c>
      <c r="J911" s="8">
        <v>45025</v>
      </c>
      <c r="K911" s="6">
        <v>49</v>
      </c>
      <c r="L911" s="6" t="s">
        <v>23</v>
      </c>
      <c r="M911" s="6" t="b">
        <v>0</v>
      </c>
      <c r="N911" s="6">
        <v>1.24</v>
      </c>
      <c r="O911" s="6" t="s">
        <v>24</v>
      </c>
      <c r="P911" s="6" t="b">
        <v>1</v>
      </c>
      <c r="Q911" s="9" t="s">
        <v>36</v>
      </c>
    </row>
    <row r="912" spans="1:17" x14ac:dyDescent="0.25">
      <c r="A912" s="5" t="s">
        <v>962</v>
      </c>
      <c r="B912" s="6" t="s">
        <v>72</v>
      </c>
      <c r="C912" s="6" t="s">
        <v>33</v>
      </c>
      <c r="D912" s="6" t="s">
        <v>52</v>
      </c>
      <c r="E912" s="6" t="s">
        <v>28</v>
      </c>
      <c r="F912" s="6" t="s">
        <v>22</v>
      </c>
      <c r="G912" s="6">
        <v>70</v>
      </c>
      <c r="H912" s="7">
        <v>359.92</v>
      </c>
      <c r="I912" s="7">
        <v>25194.400000000001</v>
      </c>
      <c r="J912" s="8">
        <v>45116</v>
      </c>
      <c r="K912" s="6">
        <v>41</v>
      </c>
      <c r="L912" s="6" t="s">
        <v>23</v>
      </c>
      <c r="M912" s="6" t="b">
        <v>0</v>
      </c>
      <c r="N912" s="6">
        <v>0.98</v>
      </c>
      <c r="O912" s="6" t="s">
        <v>24</v>
      </c>
      <c r="P912" s="6" t="b">
        <v>1</v>
      </c>
      <c r="Q912" s="9" t="s">
        <v>25</v>
      </c>
    </row>
    <row r="913" spans="1:17" x14ac:dyDescent="0.25">
      <c r="A913" s="5" t="s">
        <v>963</v>
      </c>
      <c r="B913" s="6" t="s">
        <v>32</v>
      </c>
      <c r="C913" s="6" t="s">
        <v>39</v>
      </c>
      <c r="D913" s="6" t="s">
        <v>47</v>
      </c>
      <c r="E913" s="6" t="s">
        <v>35</v>
      </c>
      <c r="F913" s="6" t="s">
        <v>22</v>
      </c>
      <c r="G913" s="6">
        <v>30</v>
      </c>
      <c r="H913" s="7">
        <v>1003.11</v>
      </c>
      <c r="I913" s="7">
        <v>30093.3</v>
      </c>
      <c r="J913" s="8">
        <v>44938</v>
      </c>
      <c r="K913" s="6">
        <v>24</v>
      </c>
      <c r="L913" s="6" t="s">
        <v>41</v>
      </c>
      <c r="M913" s="6" t="b">
        <v>1</v>
      </c>
      <c r="N913" s="6">
        <v>8.36</v>
      </c>
      <c r="O913" s="6" t="s">
        <v>42</v>
      </c>
      <c r="P913" s="6" t="b">
        <v>0</v>
      </c>
      <c r="Q913" s="9" t="s">
        <v>36</v>
      </c>
    </row>
    <row r="914" spans="1:17" x14ac:dyDescent="0.25">
      <c r="A914" s="5" t="s">
        <v>964</v>
      </c>
      <c r="B914" s="6" t="s">
        <v>62</v>
      </c>
      <c r="C914" s="6" t="s">
        <v>19</v>
      </c>
      <c r="D914" s="6" t="s">
        <v>20</v>
      </c>
      <c r="E914" s="6" t="s">
        <v>21</v>
      </c>
      <c r="F914" s="6" t="s">
        <v>48</v>
      </c>
      <c r="G914" s="6">
        <v>23</v>
      </c>
      <c r="H914" s="7">
        <v>665.78</v>
      </c>
      <c r="I914" s="7">
        <v>15312.94</v>
      </c>
      <c r="J914" s="8">
        <v>45529</v>
      </c>
      <c r="K914" s="6">
        <v>30</v>
      </c>
      <c r="L914" s="6" t="s">
        <v>49</v>
      </c>
      <c r="M914" s="6" t="b">
        <v>0</v>
      </c>
      <c r="N914" s="6">
        <v>15.92</v>
      </c>
      <c r="O914" s="6" t="s">
        <v>56</v>
      </c>
      <c r="P914" s="6" t="b">
        <v>0</v>
      </c>
      <c r="Q914" s="9" t="s">
        <v>36</v>
      </c>
    </row>
    <row r="915" spans="1:17" x14ac:dyDescent="0.25">
      <c r="A915" s="5" t="s">
        <v>965</v>
      </c>
      <c r="B915" s="6" t="s">
        <v>32</v>
      </c>
      <c r="C915" s="6" t="s">
        <v>39</v>
      </c>
      <c r="D915" s="6" t="s">
        <v>20</v>
      </c>
      <c r="E915" s="6" t="s">
        <v>35</v>
      </c>
      <c r="F915" s="6" t="s">
        <v>22</v>
      </c>
      <c r="G915" s="6">
        <v>32</v>
      </c>
      <c r="H915" s="7">
        <v>271.79000000000002</v>
      </c>
      <c r="I915" s="7">
        <v>8697.2800000000007</v>
      </c>
      <c r="J915" s="8">
        <v>44956</v>
      </c>
      <c r="K915" s="6">
        <v>44</v>
      </c>
      <c r="L915" s="6" t="s">
        <v>41</v>
      </c>
      <c r="M915" s="6" t="b">
        <v>1</v>
      </c>
      <c r="N915" s="6">
        <v>16.690000000000001</v>
      </c>
      <c r="O915" s="6" t="s">
        <v>56</v>
      </c>
      <c r="P915" s="6" t="b">
        <v>0</v>
      </c>
      <c r="Q915" s="9" t="s">
        <v>25</v>
      </c>
    </row>
    <row r="916" spans="1:17" x14ac:dyDescent="0.25">
      <c r="A916" s="5" t="s">
        <v>966</v>
      </c>
      <c r="B916" s="6" t="s">
        <v>76</v>
      </c>
      <c r="C916" s="6" t="s">
        <v>33</v>
      </c>
      <c r="D916" s="6" t="s">
        <v>47</v>
      </c>
      <c r="E916" s="6" t="s">
        <v>21</v>
      </c>
      <c r="F916" s="6" t="s">
        <v>22</v>
      </c>
      <c r="G916" s="6">
        <v>86</v>
      </c>
      <c r="H916" s="7">
        <v>1219.28</v>
      </c>
      <c r="I916" s="7">
        <v>104858.08</v>
      </c>
      <c r="J916" s="8">
        <v>44964</v>
      </c>
      <c r="K916" s="6">
        <v>65</v>
      </c>
      <c r="L916" s="6" t="s">
        <v>23</v>
      </c>
      <c r="M916" s="6" t="b">
        <v>0</v>
      </c>
      <c r="N916" s="6">
        <v>14.82</v>
      </c>
      <c r="O916" s="6" t="s">
        <v>30</v>
      </c>
      <c r="P916" s="6" t="b">
        <v>0</v>
      </c>
      <c r="Q916" s="9" t="s">
        <v>25</v>
      </c>
    </row>
    <row r="917" spans="1:17" x14ac:dyDescent="0.25">
      <c r="A917" s="5" t="s">
        <v>967</v>
      </c>
      <c r="B917" s="6" t="s">
        <v>38</v>
      </c>
      <c r="C917" s="6" t="s">
        <v>39</v>
      </c>
      <c r="D917" s="6" t="s">
        <v>47</v>
      </c>
      <c r="E917" s="6" t="s">
        <v>44</v>
      </c>
      <c r="F917" s="6" t="s">
        <v>29</v>
      </c>
      <c r="G917" s="6">
        <v>57</v>
      </c>
      <c r="H917" s="7">
        <v>789.86</v>
      </c>
      <c r="I917" s="7">
        <v>45022.02</v>
      </c>
      <c r="J917" s="8">
        <v>45498</v>
      </c>
      <c r="K917" s="6">
        <v>22</v>
      </c>
      <c r="L917" s="6" t="s">
        <v>49</v>
      </c>
      <c r="M917" s="6" t="b">
        <v>1</v>
      </c>
      <c r="N917" s="6">
        <v>12.3</v>
      </c>
      <c r="O917" s="6" t="s">
        <v>42</v>
      </c>
      <c r="P917" s="6" t="b">
        <v>0</v>
      </c>
      <c r="Q917" s="9" t="s">
        <v>25</v>
      </c>
    </row>
    <row r="918" spans="1:17" x14ac:dyDescent="0.25">
      <c r="A918" s="5" t="s">
        <v>968</v>
      </c>
      <c r="B918" s="6" t="s">
        <v>51</v>
      </c>
      <c r="C918" s="6" t="s">
        <v>39</v>
      </c>
      <c r="D918" s="6" t="s">
        <v>47</v>
      </c>
      <c r="E918" s="6" t="s">
        <v>28</v>
      </c>
      <c r="F918" s="6" t="s">
        <v>29</v>
      </c>
      <c r="G918" s="6">
        <v>9</v>
      </c>
      <c r="H918" s="7">
        <v>1467.27</v>
      </c>
      <c r="I918" s="7">
        <v>13205.43</v>
      </c>
      <c r="J918" s="8">
        <v>45220</v>
      </c>
      <c r="K918" s="6">
        <v>53</v>
      </c>
      <c r="L918" s="6" t="s">
        <v>49</v>
      </c>
      <c r="M918" s="6" t="b">
        <v>1</v>
      </c>
      <c r="N918" s="6">
        <v>7.57</v>
      </c>
      <c r="O918" s="6" t="s">
        <v>56</v>
      </c>
      <c r="P918" s="6" t="b">
        <v>0</v>
      </c>
      <c r="Q918" s="9" t="s">
        <v>36</v>
      </c>
    </row>
    <row r="919" spans="1:17" x14ac:dyDescent="0.25">
      <c r="A919" s="5" t="s">
        <v>969</v>
      </c>
      <c r="B919" s="6" t="s">
        <v>38</v>
      </c>
      <c r="C919" s="6" t="s">
        <v>33</v>
      </c>
      <c r="D919" s="6" t="s">
        <v>20</v>
      </c>
      <c r="E919" s="6" t="s">
        <v>28</v>
      </c>
      <c r="F919" s="6" t="s">
        <v>48</v>
      </c>
      <c r="G919" s="6">
        <v>31</v>
      </c>
      <c r="H919" s="7">
        <v>458.44</v>
      </c>
      <c r="I919" s="7">
        <v>14211.64</v>
      </c>
      <c r="J919" s="8">
        <v>45286</v>
      </c>
      <c r="K919" s="6">
        <v>43</v>
      </c>
      <c r="L919" s="6" t="s">
        <v>49</v>
      </c>
      <c r="M919" s="6" t="b">
        <v>1</v>
      </c>
      <c r="N919" s="6">
        <v>12.02</v>
      </c>
      <c r="O919" s="6" t="s">
        <v>24</v>
      </c>
      <c r="P919" s="6" t="b">
        <v>1</v>
      </c>
      <c r="Q919" s="9" t="s">
        <v>25</v>
      </c>
    </row>
    <row r="920" spans="1:17" x14ac:dyDescent="0.25">
      <c r="A920" s="5" t="s">
        <v>970</v>
      </c>
      <c r="B920" s="6" t="s">
        <v>38</v>
      </c>
      <c r="C920" s="6" t="s">
        <v>39</v>
      </c>
      <c r="D920" s="6" t="s">
        <v>52</v>
      </c>
      <c r="E920" s="6" t="s">
        <v>35</v>
      </c>
      <c r="F920" s="6" t="s">
        <v>40</v>
      </c>
      <c r="G920" s="6">
        <v>71</v>
      </c>
      <c r="H920" s="7">
        <v>746.97</v>
      </c>
      <c r="I920" s="7">
        <v>53034.87</v>
      </c>
      <c r="J920" s="8">
        <v>45581</v>
      </c>
      <c r="K920" s="6">
        <v>59</v>
      </c>
      <c r="L920" s="6" t="s">
        <v>41</v>
      </c>
      <c r="M920" s="6" t="b">
        <v>0</v>
      </c>
      <c r="N920" s="6">
        <v>4.16</v>
      </c>
      <c r="O920" s="6" t="s">
        <v>42</v>
      </c>
      <c r="P920" s="6" t="b">
        <v>0</v>
      </c>
      <c r="Q920" s="9" t="s">
        <v>25</v>
      </c>
    </row>
    <row r="921" spans="1:17" x14ac:dyDescent="0.25">
      <c r="A921" s="5" t="s">
        <v>971</v>
      </c>
      <c r="B921" s="6" t="s">
        <v>38</v>
      </c>
      <c r="C921" s="6" t="s">
        <v>39</v>
      </c>
      <c r="D921" s="6" t="s">
        <v>47</v>
      </c>
      <c r="E921" s="6" t="s">
        <v>28</v>
      </c>
      <c r="F921" s="6" t="s">
        <v>29</v>
      </c>
      <c r="G921" s="6">
        <v>9</v>
      </c>
      <c r="H921" s="7">
        <v>699.59</v>
      </c>
      <c r="I921" s="7">
        <v>6296.31</v>
      </c>
      <c r="J921" s="8">
        <v>45106</v>
      </c>
      <c r="K921" s="6">
        <v>62</v>
      </c>
      <c r="L921" s="6" t="s">
        <v>41</v>
      </c>
      <c r="M921" s="6" t="b">
        <v>0</v>
      </c>
      <c r="N921" s="6">
        <v>3.46</v>
      </c>
      <c r="O921" s="6" t="s">
        <v>24</v>
      </c>
      <c r="P921" s="6" t="b">
        <v>1</v>
      </c>
      <c r="Q921" s="9" t="s">
        <v>36</v>
      </c>
    </row>
    <row r="922" spans="1:17" x14ac:dyDescent="0.25">
      <c r="A922" s="5" t="s">
        <v>972</v>
      </c>
      <c r="B922" s="6" t="s">
        <v>51</v>
      </c>
      <c r="C922" s="6" t="s">
        <v>19</v>
      </c>
      <c r="D922" s="6" t="s">
        <v>64</v>
      </c>
      <c r="E922" s="6" t="s">
        <v>35</v>
      </c>
      <c r="F922" s="6" t="s">
        <v>48</v>
      </c>
      <c r="G922" s="6">
        <v>13</v>
      </c>
      <c r="H922" s="7">
        <v>225.13</v>
      </c>
      <c r="I922" s="7">
        <v>2926.69</v>
      </c>
      <c r="J922" s="8">
        <v>45038</v>
      </c>
      <c r="K922" s="6">
        <v>48</v>
      </c>
      <c r="L922" s="6" t="s">
        <v>41</v>
      </c>
      <c r="M922" s="6" t="b">
        <v>0</v>
      </c>
      <c r="N922" s="6">
        <v>9</v>
      </c>
      <c r="O922" s="6" t="s">
        <v>42</v>
      </c>
      <c r="P922" s="6" t="b">
        <v>1</v>
      </c>
      <c r="Q922" s="9" t="s">
        <v>25</v>
      </c>
    </row>
    <row r="923" spans="1:17" x14ac:dyDescent="0.25">
      <c r="A923" s="5" t="s">
        <v>973</v>
      </c>
      <c r="B923" s="6" t="s">
        <v>46</v>
      </c>
      <c r="C923" s="6" t="s">
        <v>19</v>
      </c>
      <c r="D923" s="6" t="s">
        <v>47</v>
      </c>
      <c r="E923" s="6" t="s">
        <v>35</v>
      </c>
      <c r="F923" s="6" t="s">
        <v>22</v>
      </c>
      <c r="G923" s="6">
        <v>58</v>
      </c>
      <c r="H923" s="7">
        <v>667.87</v>
      </c>
      <c r="I923" s="7">
        <v>38736.46</v>
      </c>
      <c r="J923" s="8">
        <v>45370</v>
      </c>
      <c r="K923" s="6">
        <v>27</v>
      </c>
      <c r="L923" s="6" t="s">
        <v>41</v>
      </c>
      <c r="M923" s="6" t="b">
        <v>1</v>
      </c>
      <c r="N923" s="6">
        <v>29.86</v>
      </c>
      <c r="O923" s="6" t="s">
        <v>30</v>
      </c>
      <c r="P923" s="6" t="b">
        <v>0</v>
      </c>
      <c r="Q923" s="9" t="s">
        <v>36</v>
      </c>
    </row>
    <row r="924" spans="1:17" x14ac:dyDescent="0.25">
      <c r="A924" s="5" t="s">
        <v>974</v>
      </c>
      <c r="B924" s="6" t="s">
        <v>27</v>
      </c>
      <c r="C924" s="6" t="s">
        <v>33</v>
      </c>
      <c r="D924" s="6" t="s">
        <v>34</v>
      </c>
      <c r="E924" s="6" t="s">
        <v>21</v>
      </c>
      <c r="F924" s="6" t="s">
        <v>22</v>
      </c>
      <c r="G924" s="6">
        <v>3</v>
      </c>
      <c r="H924" s="7">
        <v>466.95</v>
      </c>
      <c r="I924" s="7">
        <v>1400.85</v>
      </c>
      <c r="J924" s="8">
        <v>44947</v>
      </c>
      <c r="K924" s="6">
        <v>63</v>
      </c>
      <c r="L924" s="6" t="s">
        <v>23</v>
      </c>
      <c r="M924" s="6" t="b">
        <v>0</v>
      </c>
      <c r="N924" s="6">
        <v>9.7899999999999991</v>
      </c>
      <c r="O924" s="6" t="s">
        <v>56</v>
      </c>
      <c r="P924" s="6" t="b">
        <v>0</v>
      </c>
      <c r="Q924" s="9" t="s">
        <v>36</v>
      </c>
    </row>
    <row r="925" spans="1:17" x14ac:dyDescent="0.25">
      <c r="A925" s="5" t="s">
        <v>975</v>
      </c>
      <c r="B925" s="6" t="s">
        <v>76</v>
      </c>
      <c r="C925" s="6" t="s">
        <v>33</v>
      </c>
      <c r="D925" s="6" t="s">
        <v>47</v>
      </c>
      <c r="E925" s="6" t="s">
        <v>35</v>
      </c>
      <c r="F925" s="6" t="s">
        <v>48</v>
      </c>
      <c r="G925" s="6">
        <v>35</v>
      </c>
      <c r="H925" s="7">
        <v>282.45999999999998</v>
      </c>
      <c r="I925" s="7">
        <v>9886.1</v>
      </c>
      <c r="J925" s="8">
        <v>45071</v>
      </c>
      <c r="K925" s="6">
        <v>43</v>
      </c>
      <c r="L925" s="6" t="s">
        <v>49</v>
      </c>
      <c r="M925" s="6" t="b">
        <v>0</v>
      </c>
      <c r="N925" s="6">
        <v>28.09</v>
      </c>
      <c r="O925" s="6" t="s">
        <v>56</v>
      </c>
      <c r="P925" s="6" t="b">
        <v>0</v>
      </c>
      <c r="Q925" s="9" t="s">
        <v>25</v>
      </c>
    </row>
    <row r="926" spans="1:17" x14ac:dyDescent="0.25">
      <c r="A926" s="5" t="s">
        <v>976</v>
      </c>
      <c r="B926" s="6" t="s">
        <v>46</v>
      </c>
      <c r="C926" s="6" t="s">
        <v>33</v>
      </c>
      <c r="D926" s="6" t="s">
        <v>20</v>
      </c>
      <c r="E926" s="6" t="s">
        <v>21</v>
      </c>
      <c r="F926" s="6" t="s">
        <v>22</v>
      </c>
      <c r="G926" s="6">
        <v>97</v>
      </c>
      <c r="H926" s="7">
        <v>459.13</v>
      </c>
      <c r="I926" s="7">
        <v>44535.61</v>
      </c>
      <c r="J926" s="8">
        <v>45425</v>
      </c>
      <c r="K926" s="6">
        <v>39</v>
      </c>
      <c r="L926" s="6" t="s">
        <v>23</v>
      </c>
      <c r="M926" s="6" t="b">
        <v>1</v>
      </c>
      <c r="N926" s="6">
        <v>11.77</v>
      </c>
      <c r="O926" s="6" t="s">
        <v>56</v>
      </c>
      <c r="P926" s="6" t="b">
        <v>0</v>
      </c>
      <c r="Q926" s="9" t="s">
        <v>25</v>
      </c>
    </row>
    <row r="927" spans="1:17" x14ac:dyDescent="0.25">
      <c r="A927" s="5" t="s">
        <v>977</v>
      </c>
      <c r="B927" s="6" t="s">
        <v>76</v>
      </c>
      <c r="C927" s="6" t="s">
        <v>19</v>
      </c>
      <c r="D927" s="6" t="s">
        <v>47</v>
      </c>
      <c r="E927" s="6" t="s">
        <v>28</v>
      </c>
      <c r="F927" s="6" t="s">
        <v>22</v>
      </c>
      <c r="G927" s="6">
        <v>21</v>
      </c>
      <c r="H927" s="7">
        <v>388.21</v>
      </c>
      <c r="I927" s="7">
        <v>8152.41</v>
      </c>
      <c r="J927" s="8">
        <v>45072</v>
      </c>
      <c r="K927" s="6">
        <v>29</v>
      </c>
      <c r="L927" s="6" t="s">
        <v>41</v>
      </c>
      <c r="M927" s="6" t="b">
        <v>0</v>
      </c>
      <c r="N927" s="6">
        <v>13.17</v>
      </c>
      <c r="O927" s="6" t="s">
        <v>24</v>
      </c>
      <c r="P927" s="6" t="b">
        <v>0</v>
      </c>
      <c r="Q927" s="9" t="s">
        <v>36</v>
      </c>
    </row>
    <row r="928" spans="1:17" x14ac:dyDescent="0.25">
      <c r="A928" s="5" t="s">
        <v>978</v>
      </c>
      <c r="B928" s="6" t="s">
        <v>66</v>
      </c>
      <c r="C928" s="6" t="s">
        <v>33</v>
      </c>
      <c r="D928" s="6" t="s">
        <v>34</v>
      </c>
      <c r="E928" s="6" t="s">
        <v>35</v>
      </c>
      <c r="F928" s="6" t="s">
        <v>40</v>
      </c>
      <c r="G928" s="6">
        <v>64</v>
      </c>
      <c r="H928" s="7">
        <v>1114.4100000000001</v>
      </c>
      <c r="I928" s="7">
        <v>71322.240000000005</v>
      </c>
      <c r="J928" s="8">
        <v>45367</v>
      </c>
      <c r="K928" s="6">
        <v>49</v>
      </c>
      <c r="L928" s="6" t="s">
        <v>41</v>
      </c>
      <c r="M928" s="6" t="b">
        <v>1</v>
      </c>
      <c r="N928" s="6">
        <v>23.91</v>
      </c>
      <c r="O928" s="6" t="s">
        <v>56</v>
      </c>
      <c r="P928" s="6" t="b">
        <v>0</v>
      </c>
      <c r="Q928" s="9" t="s">
        <v>25</v>
      </c>
    </row>
    <row r="929" spans="1:17" x14ac:dyDescent="0.25">
      <c r="A929" s="5" t="s">
        <v>979</v>
      </c>
      <c r="B929" s="6" t="s">
        <v>32</v>
      </c>
      <c r="C929" s="6" t="s">
        <v>33</v>
      </c>
      <c r="D929" s="6" t="s">
        <v>64</v>
      </c>
      <c r="E929" s="6" t="s">
        <v>35</v>
      </c>
      <c r="F929" s="6" t="s">
        <v>22</v>
      </c>
      <c r="G929" s="6">
        <v>95</v>
      </c>
      <c r="H929" s="7">
        <v>94.62</v>
      </c>
      <c r="I929" s="7">
        <v>8988.9</v>
      </c>
      <c r="J929" s="8">
        <v>45347</v>
      </c>
      <c r="K929" s="6">
        <v>44</v>
      </c>
      <c r="L929" s="6" t="s">
        <v>23</v>
      </c>
      <c r="M929" s="6" t="b">
        <v>0</v>
      </c>
      <c r="N929" s="6">
        <v>2.81</v>
      </c>
      <c r="O929" s="6" t="s">
        <v>42</v>
      </c>
      <c r="P929" s="6" t="b">
        <v>0</v>
      </c>
      <c r="Q929" s="9" t="s">
        <v>36</v>
      </c>
    </row>
    <row r="930" spans="1:17" x14ac:dyDescent="0.25">
      <c r="A930" s="5" t="s">
        <v>980</v>
      </c>
      <c r="B930" s="6" t="s">
        <v>32</v>
      </c>
      <c r="C930" s="6" t="s">
        <v>33</v>
      </c>
      <c r="D930" s="6" t="s">
        <v>52</v>
      </c>
      <c r="E930" s="6" t="s">
        <v>44</v>
      </c>
      <c r="F930" s="6" t="s">
        <v>29</v>
      </c>
      <c r="G930" s="6">
        <v>52</v>
      </c>
      <c r="H930" s="7">
        <v>945.32</v>
      </c>
      <c r="I930" s="7">
        <v>49156.639999999999</v>
      </c>
      <c r="J930" s="8">
        <v>45242</v>
      </c>
      <c r="K930" s="6">
        <v>50</v>
      </c>
      <c r="L930" s="6" t="s">
        <v>49</v>
      </c>
      <c r="M930" s="6" t="b">
        <v>1</v>
      </c>
      <c r="N930" s="6">
        <v>5.47</v>
      </c>
      <c r="O930" s="6" t="s">
        <v>24</v>
      </c>
      <c r="P930" s="6" t="b">
        <v>0</v>
      </c>
      <c r="Q930" s="9" t="s">
        <v>36</v>
      </c>
    </row>
    <row r="931" spans="1:17" x14ac:dyDescent="0.25">
      <c r="A931" s="5" t="s">
        <v>981</v>
      </c>
      <c r="B931" s="6" t="s">
        <v>18</v>
      </c>
      <c r="C931" s="6" t="s">
        <v>19</v>
      </c>
      <c r="D931" s="6" t="s">
        <v>47</v>
      </c>
      <c r="E931" s="6" t="s">
        <v>35</v>
      </c>
      <c r="F931" s="6" t="s">
        <v>22</v>
      </c>
      <c r="G931" s="6">
        <v>34</v>
      </c>
      <c r="H931" s="7">
        <v>1152.96</v>
      </c>
      <c r="I931" s="7">
        <v>39200.639999999999</v>
      </c>
      <c r="J931" s="8">
        <v>45092</v>
      </c>
      <c r="K931" s="6">
        <v>69</v>
      </c>
      <c r="L931" s="6" t="s">
        <v>49</v>
      </c>
      <c r="M931" s="6" t="b">
        <v>1</v>
      </c>
      <c r="N931" s="6">
        <v>29.22</v>
      </c>
      <c r="O931" s="6" t="s">
        <v>30</v>
      </c>
      <c r="P931" s="6" t="b">
        <v>1</v>
      </c>
      <c r="Q931" s="9" t="s">
        <v>25</v>
      </c>
    </row>
    <row r="932" spans="1:17" x14ac:dyDescent="0.25">
      <c r="A932" s="5" t="s">
        <v>982</v>
      </c>
      <c r="B932" s="6" t="s">
        <v>32</v>
      </c>
      <c r="C932" s="6" t="s">
        <v>39</v>
      </c>
      <c r="D932" s="6" t="s">
        <v>34</v>
      </c>
      <c r="E932" s="6" t="s">
        <v>35</v>
      </c>
      <c r="F932" s="6" t="s">
        <v>48</v>
      </c>
      <c r="G932" s="6">
        <v>96</v>
      </c>
      <c r="H932" s="7">
        <v>747.05</v>
      </c>
      <c r="I932" s="7">
        <v>71716.800000000003</v>
      </c>
      <c r="J932" s="8">
        <v>45578</v>
      </c>
      <c r="K932" s="6">
        <v>37</v>
      </c>
      <c r="L932" s="6" t="s">
        <v>41</v>
      </c>
      <c r="M932" s="6" t="b">
        <v>0</v>
      </c>
      <c r="N932" s="6">
        <v>15.18</v>
      </c>
      <c r="O932" s="6" t="s">
        <v>24</v>
      </c>
      <c r="P932" s="6" t="b">
        <v>1</v>
      </c>
      <c r="Q932" s="9" t="s">
        <v>25</v>
      </c>
    </row>
    <row r="933" spans="1:17" x14ac:dyDescent="0.25">
      <c r="A933" s="5" t="s">
        <v>983</v>
      </c>
      <c r="B933" s="6" t="s">
        <v>51</v>
      </c>
      <c r="C933" s="6" t="s">
        <v>33</v>
      </c>
      <c r="D933" s="6" t="s">
        <v>34</v>
      </c>
      <c r="E933" s="6" t="s">
        <v>44</v>
      </c>
      <c r="F933" s="6" t="s">
        <v>40</v>
      </c>
      <c r="G933" s="6">
        <v>35</v>
      </c>
      <c r="H933" s="7">
        <v>1400.77</v>
      </c>
      <c r="I933" s="7">
        <v>49026.95</v>
      </c>
      <c r="J933" s="8">
        <v>45129</v>
      </c>
      <c r="K933" s="6">
        <v>56</v>
      </c>
      <c r="L933" s="6" t="s">
        <v>41</v>
      </c>
      <c r="M933" s="6" t="b">
        <v>1</v>
      </c>
      <c r="N933" s="6">
        <v>1.33</v>
      </c>
      <c r="O933" s="6" t="s">
        <v>30</v>
      </c>
      <c r="P933" s="6" t="b">
        <v>0</v>
      </c>
      <c r="Q933" s="9" t="s">
        <v>36</v>
      </c>
    </row>
    <row r="934" spans="1:17" x14ac:dyDescent="0.25">
      <c r="A934" s="5" t="s">
        <v>984</v>
      </c>
      <c r="B934" s="6" t="s">
        <v>62</v>
      </c>
      <c r="C934" s="6" t="s">
        <v>39</v>
      </c>
      <c r="D934" s="6" t="s">
        <v>64</v>
      </c>
      <c r="E934" s="6" t="s">
        <v>44</v>
      </c>
      <c r="F934" s="6" t="s">
        <v>22</v>
      </c>
      <c r="G934" s="6">
        <v>15</v>
      </c>
      <c r="H934" s="7">
        <v>1076.43</v>
      </c>
      <c r="I934" s="7">
        <v>16146.45</v>
      </c>
      <c r="J934" s="8">
        <v>45422</v>
      </c>
      <c r="K934" s="6">
        <v>58</v>
      </c>
      <c r="L934" s="6" t="s">
        <v>41</v>
      </c>
      <c r="M934" s="6" t="b">
        <v>0</v>
      </c>
      <c r="N934" s="6">
        <v>1.42</v>
      </c>
      <c r="O934" s="6" t="s">
        <v>24</v>
      </c>
      <c r="P934" s="6" t="b">
        <v>1</v>
      </c>
      <c r="Q934" s="9" t="s">
        <v>36</v>
      </c>
    </row>
    <row r="935" spans="1:17" x14ac:dyDescent="0.25">
      <c r="A935" s="5" t="s">
        <v>985</v>
      </c>
      <c r="B935" s="6" t="s">
        <v>72</v>
      </c>
      <c r="C935" s="6" t="s">
        <v>33</v>
      </c>
      <c r="D935" s="6" t="s">
        <v>20</v>
      </c>
      <c r="E935" s="6" t="s">
        <v>28</v>
      </c>
      <c r="F935" s="6" t="s">
        <v>48</v>
      </c>
      <c r="G935" s="6">
        <v>96</v>
      </c>
      <c r="H935" s="7">
        <v>1134.49</v>
      </c>
      <c r="I935" s="7">
        <v>108911.03999999999</v>
      </c>
      <c r="J935" s="8">
        <v>45551</v>
      </c>
      <c r="K935" s="6">
        <v>57</v>
      </c>
      <c r="L935" s="6" t="s">
        <v>41</v>
      </c>
      <c r="M935" s="6" t="b">
        <v>0</v>
      </c>
      <c r="N935" s="6">
        <v>27.22</v>
      </c>
      <c r="O935" s="6" t="s">
        <v>56</v>
      </c>
      <c r="P935" s="6" t="b">
        <v>0</v>
      </c>
      <c r="Q935" s="9" t="s">
        <v>25</v>
      </c>
    </row>
    <row r="936" spans="1:17" x14ac:dyDescent="0.25">
      <c r="A936" s="5" t="s">
        <v>986</v>
      </c>
      <c r="B936" s="6" t="s">
        <v>18</v>
      </c>
      <c r="C936" s="6" t="s">
        <v>39</v>
      </c>
      <c r="D936" s="6" t="s">
        <v>47</v>
      </c>
      <c r="E936" s="6" t="s">
        <v>35</v>
      </c>
      <c r="F936" s="6" t="s">
        <v>29</v>
      </c>
      <c r="G936" s="6">
        <v>6</v>
      </c>
      <c r="H936" s="7">
        <v>335.55</v>
      </c>
      <c r="I936" s="7">
        <v>2013.3</v>
      </c>
      <c r="J936" s="8">
        <v>45394</v>
      </c>
      <c r="K936" s="6">
        <v>30</v>
      </c>
      <c r="L936" s="6" t="s">
        <v>49</v>
      </c>
      <c r="M936" s="6" t="b">
        <v>0</v>
      </c>
      <c r="N936" s="6">
        <v>26.2</v>
      </c>
      <c r="O936" s="6" t="s">
        <v>30</v>
      </c>
      <c r="P936" s="6" t="b">
        <v>1</v>
      </c>
      <c r="Q936" s="9" t="s">
        <v>36</v>
      </c>
    </row>
    <row r="937" spans="1:17" x14ac:dyDescent="0.25">
      <c r="A937" s="5" t="s">
        <v>987</v>
      </c>
      <c r="B937" s="6" t="s">
        <v>72</v>
      </c>
      <c r="C937" s="6" t="s">
        <v>19</v>
      </c>
      <c r="D937" s="6" t="s">
        <v>34</v>
      </c>
      <c r="E937" s="6" t="s">
        <v>28</v>
      </c>
      <c r="F937" s="6" t="s">
        <v>22</v>
      </c>
      <c r="G937" s="6">
        <v>85</v>
      </c>
      <c r="H937" s="7">
        <v>1177.08</v>
      </c>
      <c r="I937" s="7">
        <v>100051.8</v>
      </c>
      <c r="J937" s="8">
        <v>45311</v>
      </c>
      <c r="K937" s="6">
        <v>31</v>
      </c>
      <c r="L937" s="6" t="s">
        <v>23</v>
      </c>
      <c r="M937" s="6" t="b">
        <v>0</v>
      </c>
      <c r="N937" s="6">
        <v>13.75</v>
      </c>
      <c r="O937" s="6" t="s">
        <v>56</v>
      </c>
      <c r="P937" s="6" t="b">
        <v>1</v>
      </c>
      <c r="Q937" s="9" t="s">
        <v>36</v>
      </c>
    </row>
    <row r="938" spans="1:17" x14ac:dyDescent="0.25">
      <c r="A938" s="5" t="s">
        <v>988</v>
      </c>
      <c r="B938" s="6" t="s">
        <v>76</v>
      </c>
      <c r="C938" s="6" t="s">
        <v>19</v>
      </c>
      <c r="D938" s="6" t="s">
        <v>64</v>
      </c>
      <c r="E938" s="6" t="s">
        <v>28</v>
      </c>
      <c r="F938" s="6" t="s">
        <v>40</v>
      </c>
      <c r="G938" s="6">
        <v>97</v>
      </c>
      <c r="H938" s="7">
        <v>1256.54</v>
      </c>
      <c r="I938" s="7">
        <v>121884.38</v>
      </c>
      <c r="J938" s="8">
        <v>45240</v>
      </c>
      <c r="K938" s="6">
        <v>61</v>
      </c>
      <c r="L938" s="6" t="s">
        <v>49</v>
      </c>
      <c r="M938" s="6" t="b">
        <v>1</v>
      </c>
      <c r="N938" s="6">
        <v>4.9000000000000004</v>
      </c>
      <c r="O938" s="6" t="s">
        <v>24</v>
      </c>
      <c r="P938" s="6" t="b">
        <v>0</v>
      </c>
      <c r="Q938" s="9" t="s">
        <v>36</v>
      </c>
    </row>
    <row r="939" spans="1:17" x14ac:dyDescent="0.25">
      <c r="A939" s="5" t="s">
        <v>989</v>
      </c>
      <c r="B939" s="6" t="s">
        <v>72</v>
      </c>
      <c r="C939" s="6" t="s">
        <v>33</v>
      </c>
      <c r="D939" s="6" t="s">
        <v>52</v>
      </c>
      <c r="E939" s="6" t="s">
        <v>44</v>
      </c>
      <c r="F939" s="6" t="s">
        <v>22</v>
      </c>
      <c r="G939" s="6">
        <v>32</v>
      </c>
      <c r="H939" s="7">
        <v>573.84</v>
      </c>
      <c r="I939" s="7">
        <v>18362.88</v>
      </c>
      <c r="J939" s="8">
        <v>45181</v>
      </c>
      <c r="K939" s="6">
        <v>57</v>
      </c>
      <c r="L939" s="6" t="s">
        <v>23</v>
      </c>
      <c r="M939" s="6" t="b">
        <v>1</v>
      </c>
      <c r="N939" s="6">
        <v>24.91</v>
      </c>
      <c r="O939" s="6" t="s">
        <v>30</v>
      </c>
      <c r="P939" s="6" t="b">
        <v>0</v>
      </c>
      <c r="Q939" s="9" t="s">
        <v>25</v>
      </c>
    </row>
    <row r="940" spans="1:17" x14ac:dyDescent="0.25">
      <c r="A940" s="5" t="s">
        <v>990</v>
      </c>
      <c r="B940" s="6" t="s">
        <v>72</v>
      </c>
      <c r="C940" s="6" t="s">
        <v>39</v>
      </c>
      <c r="D940" s="6" t="s">
        <v>34</v>
      </c>
      <c r="E940" s="6" t="s">
        <v>21</v>
      </c>
      <c r="F940" s="6" t="s">
        <v>48</v>
      </c>
      <c r="G940" s="6">
        <v>52</v>
      </c>
      <c r="H940" s="7">
        <v>359.38</v>
      </c>
      <c r="I940" s="7">
        <v>18687.759999999998</v>
      </c>
      <c r="J940" s="8">
        <v>44949</v>
      </c>
      <c r="K940" s="6">
        <v>39</v>
      </c>
      <c r="L940" s="6" t="s">
        <v>41</v>
      </c>
      <c r="M940" s="6" t="b">
        <v>1</v>
      </c>
      <c r="N940" s="6">
        <v>9.74</v>
      </c>
      <c r="O940" s="6" t="s">
        <v>42</v>
      </c>
      <c r="P940" s="6" t="b">
        <v>0</v>
      </c>
      <c r="Q940" s="9" t="s">
        <v>36</v>
      </c>
    </row>
    <row r="941" spans="1:17" x14ac:dyDescent="0.25">
      <c r="A941" s="5" t="s">
        <v>991</v>
      </c>
      <c r="B941" s="6" t="s">
        <v>18</v>
      </c>
      <c r="C941" s="6" t="s">
        <v>19</v>
      </c>
      <c r="D941" s="6" t="s">
        <v>64</v>
      </c>
      <c r="E941" s="6" t="s">
        <v>28</v>
      </c>
      <c r="F941" s="6" t="s">
        <v>40</v>
      </c>
      <c r="G941" s="6">
        <v>83</v>
      </c>
      <c r="H941" s="7">
        <v>608.32000000000005</v>
      </c>
      <c r="I941" s="7">
        <v>50490.559999999998</v>
      </c>
      <c r="J941" s="8">
        <v>45265</v>
      </c>
      <c r="K941" s="6">
        <v>35</v>
      </c>
      <c r="L941" s="6" t="s">
        <v>41</v>
      </c>
      <c r="M941" s="6" t="b">
        <v>0</v>
      </c>
      <c r="N941" s="6">
        <v>12.57</v>
      </c>
      <c r="O941" s="6" t="s">
        <v>42</v>
      </c>
      <c r="P941" s="6" t="b">
        <v>1</v>
      </c>
      <c r="Q941" s="9" t="s">
        <v>36</v>
      </c>
    </row>
    <row r="942" spans="1:17" x14ac:dyDescent="0.25">
      <c r="A942" s="5" t="s">
        <v>992</v>
      </c>
      <c r="B942" s="6" t="s">
        <v>66</v>
      </c>
      <c r="C942" s="6" t="s">
        <v>33</v>
      </c>
      <c r="D942" s="6" t="s">
        <v>20</v>
      </c>
      <c r="E942" s="6" t="s">
        <v>21</v>
      </c>
      <c r="F942" s="6" t="s">
        <v>22</v>
      </c>
      <c r="G942" s="6">
        <v>97</v>
      </c>
      <c r="H942" s="7">
        <v>1122.43</v>
      </c>
      <c r="I942" s="7">
        <v>108875.71</v>
      </c>
      <c r="J942" s="8">
        <v>45419</v>
      </c>
      <c r="K942" s="6">
        <v>65</v>
      </c>
      <c r="L942" s="6" t="s">
        <v>23</v>
      </c>
      <c r="M942" s="6" t="b">
        <v>0</v>
      </c>
      <c r="N942" s="6">
        <v>20.47</v>
      </c>
      <c r="O942" s="6" t="s">
        <v>24</v>
      </c>
      <c r="P942" s="6" t="b">
        <v>1</v>
      </c>
      <c r="Q942" s="9" t="s">
        <v>25</v>
      </c>
    </row>
    <row r="943" spans="1:17" x14ac:dyDescent="0.25">
      <c r="A943" s="5" t="s">
        <v>993</v>
      </c>
      <c r="B943" s="6" t="s">
        <v>38</v>
      </c>
      <c r="C943" s="6" t="s">
        <v>33</v>
      </c>
      <c r="D943" s="6" t="s">
        <v>20</v>
      </c>
      <c r="E943" s="6" t="s">
        <v>35</v>
      </c>
      <c r="F943" s="6" t="s">
        <v>29</v>
      </c>
      <c r="G943" s="6">
        <v>28</v>
      </c>
      <c r="H943" s="7">
        <v>655.58</v>
      </c>
      <c r="I943" s="7">
        <v>18356.240000000002</v>
      </c>
      <c r="J943" s="8">
        <v>45437</v>
      </c>
      <c r="K943" s="6">
        <v>46</v>
      </c>
      <c r="L943" s="6" t="s">
        <v>41</v>
      </c>
      <c r="M943" s="6" t="b">
        <v>1</v>
      </c>
      <c r="N943" s="6">
        <v>10.6</v>
      </c>
      <c r="O943" s="6" t="s">
        <v>30</v>
      </c>
      <c r="P943" s="6" t="b">
        <v>0</v>
      </c>
      <c r="Q943" s="9" t="s">
        <v>36</v>
      </c>
    </row>
    <row r="944" spans="1:17" x14ac:dyDescent="0.25">
      <c r="A944" s="5" t="s">
        <v>994</v>
      </c>
      <c r="B944" s="6" t="s">
        <v>32</v>
      </c>
      <c r="C944" s="6" t="s">
        <v>19</v>
      </c>
      <c r="D944" s="6" t="s">
        <v>34</v>
      </c>
      <c r="E944" s="6" t="s">
        <v>44</v>
      </c>
      <c r="F944" s="6" t="s">
        <v>40</v>
      </c>
      <c r="G944" s="6">
        <v>95</v>
      </c>
      <c r="H944" s="7">
        <v>1118.1500000000001</v>
      </c>
      <c r="I944" s="7">
        <v>106224.25</v>
      </c>
      <c r="J944" s="8">
        <v>45292</v>
      </c>
      <c r="K944" s="6">
        <v>60</v>
      </c>
      <c r="L944" s="6" t="s">
        <v>49</v>
      </c>
      <c r="M944" s="6" t="b">
        <v>1</v>
      </c>
      <c r="N944" s="6">
        <v>18.86</v>
      </c>
      <c r="O944" s="6" t="s">
        <v>42</v>
      </c>
      <c r="P944" s="6" t="b">
        <v>1</v>
      </c>
      <c r="Q944" s="9" t="s">
        <v>36</v>
      </c>
    </row>
    <row r="945" spans="1:17" x14ac:dyDescent="0.25">
      <c r="A945" s="5" t="s">
        <v>995</v>
      </c>
      <c r="B945" s="6" t="s">
        <v>32</v>
      </c>
      <c r="C945" s="6" t="s">
        <v>19</v>
      </c>
      <c r="D945" s="6" t="s">
        <v>34</v>
      </c>
      <c r="E945" s="6" t="s">
        <v>35</v>
      </c>
      <c r="F945" s="6" t="s">
        <v>29</v>
      </c>
      <c r="G945" s="6">
        <v>85</v>
      </c>
      <c r="H945" s="7">
        <v>214.67</v>
      </c>
      <c r="I945" s="7">
        <v>18246.95</v>
      </c>
      <c r="J945" s="8">
        <v>45298</v>
      </c>
      <c r="K945" s="6">
        <v>33</v>
      </c>
      <c r="L945" s="6" t="s">
        <v>41</v>
      </c>
      <c r="M945" s="6" t="b">
        <v>0</v>
      </c>
      <c r="N945" s="6">
        <v>26.56</v>
      </c>
      <c r="O945" s="6" t="s">
        <v>56</v>
      </c>
      <c r="P945" s="6" t="b">
        <v>0</v>
      </c>
      <c r="Q945" s="9" t="s">
        <v>25</v>
      </c>
    </row>
    <row r="946" spans="1:17" x14ac:dyDescent="0.25">
      <c r="A946" s="5" t="s">
        <v>996</v>
      </c>
      <c r="B946" s="6" t="s">
        <v>51</v>
      </c>
      <c r="C946" s="6" t="s">
        <v>33</v>
      </c>
      <c r="D946" s="6" t="s">
        <v>47</v>
      </c>
      <c r="E946" s="6" t="s">
        <v>35</v>
      </c>
      <c r="F946" s="6" t="s">
        <v>48</v>
      </c>
      <c r="G946" s="6">
        <v>98</v>
      </c>
      <c r="H946" s="7">
        <v>1218.72</v>
      </c>
      <c r="I946" s="7">
        <v>119434.56</v>
      </c>
      <c r="J946" s="8">
        <v>45525</v>
      </c>
      <c r="K946" s="6">
        <v>63</v>
      </c>
      <c r="L946" s="6" t="s">
        <v>41</v>
      </c>
      <c r="M946" s="6" t="b">
        <v>0</v>
      </c>
      <c r="N946" s="6">
        <v>23.92</v>
      </c>
      <c r="O946" s="6" t="s">
        <v>56</v>
      </c>
      <c r="P946" s="6" t="b">
        <v>1</v>
      </c>
      <c r="Q946" s="9" t="s">
        <v>25</v>
      </c>
    </row>
    <row r="947" spans="1:17" x14ac:dyDescent="0.25">
      <c r="A947" s="5" t="s">
        <v>997</v>
      </c>
      <c r="B947" s="6" t="s">
        <v>18</v>
      </c>
      <c r="C947" s="6" t="s">
        <v>39</v>
      </c>
      <c r="D947" s="6" t="s">
        <v>64</v>
      </c>
      <c r="E947" s="6" t="s">
        <v>44</v>
      </c>
      <c r="F947" s="6" t="s">
        <v>22</v>
      </c>
      <c r="G947" s="6">
        <v>64</v>
      </c>
      <c r="H947" s="7">
        <v>417.15</v>
      </c>
      <c r="I947" s="7">
        <v>26697.599999999999</v>
      </c>
      <c r="J947" s="8">
        <v>45145</v>
      </c>
      <c r="K947" s="6">
        <v>52</v>
      </c>
      <c r="L947" s="6" t="s">
        <v>41</v>
      </c>
      <c r="M947" s="6" t="b">
        <v>0</v>
      </c>
      <c r="N947" s="6">
        <v>11.45</v>
      </c>
      <c r="O947" s="6" t="s">
        <v>24</v>
      </c>
      <c r="P947" s="6" t="b">
        <v>0</v>
      </c>
      <c r="Q947" s="9" t="s">
        <v>25</v>
      </c>
    </row>
    <row r="948" spans="1:17" x14ac:dyDescent="0.25">
      <c r="A948" s="5" t="s">
        <v>998</v>
      </c>
      <c r="B948" s="6" t="s">
        <v>51</v>
      </c>
      <c r="C948" s="6" t="s">
        <v>39</v>
      </c>
      <c r="D948" s="6" t="s">
        <v>34</v>
      </c>
      <c r="E948" s="6" t="s">
        <v>35</v>
      </c>
      <c r="F948" s="6" t="s">
        <v>29</v>
      </c>
      <c r="G948" s="6">
        <v>79</v>
      </c>
      <c r="H948" s="7">
        <v>410.95</v>
      </c>
      <c r="I948" s="7">
        <v>32465.05</v>
      </c>
      <c r="J948" s="8">
        <v>45401</v>
      </c>
      <c r="K948" s="6">
        <v>51</v>
      </c>
      <c r="L948" s="6" t="s">
        <v>41</v>
      </c>
      <c r="M948" s="6" t="b">
        <v>1</v>
      </c>
      <c r="N948" s="6">
        <v>8.64</v>
      </c>
      <c r="O948" s="6" t="s">
        <v>56</v>
      </c>
      <c r="P948" s="6" t="b">
        <v>1</v>
      </c>
      <c r="Q948" s="9" t="s">
        <v>25</v>
      </c>
    </row>
    <row r="949" spans="1:17" x14ac:dyDescent="0.25">
      <c r="A949" s="5" t="s">
        <v>999</v>
      </c>
      <c r="B949" s="6" t="s">
        <v>62</v>
      </c>
      <c r="C949" s="6" t="s">
        <v>39</v>
      </c>
      <c r="D949" s="6" t="s">
        <v>47</v>
      </c>
      <c r="E949" s="6" t="s">
        <v>44</v>
      </c>
      <c r="F949" s="6" t="s">
        <v>48</v>
      </c>
      <c r="G949" s="6">
        <v>78</v>
      </c>
      <c r="H949" s="7">
        <v>906.05</v>
      </c>
      <c r="I949" s="7">
        <v>70671.899999999994</v>
      </c>
      <c r="J949" s="8">
        <v>45349</v>
      </c>
      <c r="K949" s="6">
        <v>20</v>
      </c>
      <c r="L949" s="6" t="s">
        <v>49</v>
      </c>
      <c r="M949" s="6" t="b">
        <v>0</v>
      </c>
      <c r="N949" s="6">
        <v>8.57</v>
      </c>
      <c r="O949" s="6" t="s">
        <v>56</v>
      </c>
      <c r="P949" s="6" t="b">
        <v>0</v>
      </c>
      <c r="Q949" s="9" t="s">
        <v>25</v>
      </c>
    </row>
    <row r="950" spans="1:17" x14ac:dyDescent="0.25">
      <c r="A950" s="5" t="s">
        <v>1000</v>
      </c>
      <c r="B950" s="6" t="s">
        <v>62</v>
      </c>
      <c r="C950" s="6" t="s">
        <v>33</v>
      </c>
      <c r="D950" s="6" t="s">
        <v>47</v>
      </c>
      <c r="E950" s="6" t="s">
        <v>21</v>
      </c>
      <c r="F950" s="6" t="s">
        <v>22</v>
      </c>
      <c r="G950" s="6">
        <v>19</v>
      </c>
      <c r="H950" s="7">
        <v>151.66999999999999</v>
      </c>
      <c r="I950" s="7">
        <v>2881.73</v>
      </c>
      <c r="J950" s="8">
        <v>45282</v>
      </c>
      <c r="K950" s="6">
        <v>21</v>
      </c>
      <c r="L950" s="6" t="s">
        <v>23</v>
      </c>
      <c r="M950" s="6" t="b">
        <v>1</v>
      </c>
      <c r="N950" s="6">
        <v>10.46</v>
      </c>
      <c r="O950" s="6" t="s">
        <v>56</v>
      </c>
      <c r="P950" s="6" t="b">
        <v>0</v>
      </c>
      <c r="Q950" s="9" t="s">
        <v>36</v>
      </c>
    </row>
    <row r="951" spans="1:17" x14ac:dyDescent="0.25">
      <c r="A951" s="5" t="s">
        <v>1001</v>
      </c>
      <c r="B951" s="6" t="s">
        <v>51</v>
      </c>
      <c r="C951" s="6" t="s">
        <v>19</v>
      </c>
      <c r="D951" s="6" t="s">
        <v>34</v>
      </c>
      <c r="E951" s="6" t="s">
        <v>35</v>
      </c>
      <c r="F951" s="6" t="s">
        <v>48</v>
      </c>
      <c r="G951" s="6">
        <v>15</v>
      </c>
      <c r="H951" s="7">
        <v>88.13</v>
      </c>
      <c r="I951" s="7">
        <v>1321.95</v>
      </c>
      <c r="J951" s="8">
        <v>45386</v>
      </c>
      <c r="K951" s="6">
        <v>22</v>
      </c>
      <c r="L951" s="6" t="s">
        <v>41</v>
      </c>
      <c r="M951" s="6" t="b">
        <v>0</v>
      </c>
      <c r="N951" s="6">
        <v>14.81</v>
      </c>
      <c r="O951" s="6" t="s">
        <v>42</v>
      </c>
      <c r="P951" s="6" t="b">
        <v>0</v>
      </c>
      <c r="Q951" s="9" t="s">
        <v>36</v>
      </c>
    </row>
    <row r="952" spans="1:17" x14ac:dyDescent="0.25">
      <c r="A952" s="5" t="s">
        <v>1002</v>
      </c>
      <c r="B952" s="6" t="s">
        <v>18</v>
      </c>
      <c r="C952" s="6" t="s">
        <v>33</v>
      </c>
      <c r="D952" s="6" t="s">
        <v>20</v>
      </c>
      <c r="E952" s="6" t="s">
        <v>44</v>
      </c>
      <c r="F952" s="6" t="s">
        <v>29</v>
      </c>
      <c r="G952" s="6">
        <v>6</v>
      </c>
      <c r="H952" s="7">
        <v>428.49</v>
      </c>
      <c r="I952" s="7">
        <v>2570.94</v>
      </c>
      <c r="J952" s="8">
        <v>45429</v>
      </c>
      <c r="K952" s="6">
        <v>27</v>
      </c>
      <c r="L952" s="6" t="s">
        <v>41</v>
      </c>
      <c r="M952" s="6" t="b">
        <v>1</v>
      </c>
      <c r="N952" s="6">
        <v>12.5</v>
      </c>
      <c r="O952" s="6" t="s">
        <v>30</v>
      </c>
      <c r="P952" s="6" t="b">
        <v>1</v>
      </c>
      <c r="Q952" s="9" t="s">
        <v>25</v>
      </c>
    </row>
    <row r="953" spans="1:17" x14ac:dyDescent="0.25">
      <c r="A953" s="5" t="s">
        <v>1003</v>
      </c>
      <c r="B953" s="6" t="s">
        <v>51</v>
      </c>
      <c r="C953" s="6" t="s">
        <v>19</v>
      </c>
      <c r="D953" s="6" t="s">
        <v>64</v>
      </c>
      <c r="E953" s="6" t="s">
        <v>28</v>
      </c>
      <c r="F953" s="6" t="s">
        <v>48</v>
      </c>
      <c r="G953" s="6">
        <v>73</v>
      </c>
      <c r="H953" s="7">
        <v>830.2</v>
      </c>
      <c r="I953" s="7">
        <v>60604.6</v>
      </c>
      <c r="J953" s="8">
        <v>44953</v>
      </c>
      <c r="K953" s="6">
        <v>69</v>
      </c>
      <c r="L953" s="6" t="s">
        <v>49</v>
      </c>
      <c r="M953" s="6" t="b">
        <v>0</v>
      </c>
      <c r="N953" s="6">
        <v>3.99</v>
      </c>
      <c r="O953" s="6" t="s">
        <v>24</v>
      </c>
      <c r="P953" s="6" t="b">
        <v>0</v>
      </c>
      <c r="Q953" s="9" t="s">
        <v>36</v>
      </c>
    </row>
    <row r="954" spans="1:17" x14ac:dyDescent="0.25">
      <c r="A954" s="5" t="s">
        <v>1004</v>
      </c>
      <c r="B954" s="6" t="s">
        <v>32</v>
      </c>
      <c r="C954" s="6" t="s">
        <v>39</v>
      </c>
      <c r="D954" s="6" t="s">
        <v>64</v>
      </c>
      <c r="E954" s="6" t="s">
        <v>35</v>
      </c>
      <c r="F954" s="6" t="s">
        <v>40</v>
      </c>
      <c r="G954" s="6">
        <v>84</v>
      </c>
      <c r="H954" s="7">
        <v>1366.04</v>
      </c>
      <c r="I954" s="7">
        <v>114747.36</v>
      </c>
      <c r="J954" s="8">
        <v>45149</v>
      </c>
      <c r="K954" s="6">
        <v>46</v>
      </c>
      <c r="L954" s="6" t="s">
        <v>49</v>
      </c>
      <c r="M954" s="6" t="b">
        <v>1</v>
      </c>
      <c r="N954" s="6">
        <v>4.9000000000000004</v>
      </c>
      <c r="O954" s="6" t="s">
        <v>30</v>
      </c>
      <c r="P954" s="6" t="b">
        <v>1</v>
      </c>
      <c r="Q954" s="9" t="s">
        <v>25</v>
      </c>
    </row>
    <row r="955" spans="1:17" x14ac:dyDescent="0.25">
      <c r="A955" s="5" t="s">
        <v>1005</v>
      </c>
      <c r="B955" s="6" t="s">
        <v>46</v>
      </c>
      <c r="C955" s="6" t="s">
        <v>39</v>
      </c>
      <c r="D955" s="6" t="s">
        <v>20</v>
      </c>
      <c r="E955" s="6" t="s">
        <v>21</v>
      </c>
      <c r="F955" s="6" t="s">
        <v>22</v>
      </c>
      <c r="G955" s="6">
        <v>98</v>
      </c>
      <c r="H955" s="7">
        <v>1277.33</v>
      </c>
      <c r="I955" s="7">
        <v>125178.34</v>
      </c>
      <c r="J955" s="8">
        <v>45074</v>
      </c>
      <c r="K955" s="6">
        <v>49</v>
      </c>
      <c r="L955" s="6" t="s">
        <v>49</v>
      </c>
      <c r="M955" s="6" t="b">
        <v>1</v>
      </c>
      <c r="N955" s="6">
        <v>10.29</v>
      </c>
      <c r="O955" s="6" t="s">
        <v>30</v>
      </c>
      <c r="P955" s="6" t="b">
        <v>0</v>
      </c>
      <c r="Q955" s="9" t="s">
        <v>36</v>
      </c>
    </row>
    <row r="956" spans="1:17" x14ac:dyDescent="0.25">
      <c r="A956" s="5" t="s">
        <v>1006</v>
      </c>
      <c r="B956" s="6" t="s">
        <v>27</v>
      </c>
      <c r="C956" s="6" t="s">
        <v>19</v>
      </c>
      <c r="D956" s="6" t="s">
        <v>34</v>
      </c>
      <c r="E956" s="6" t="s">
        <v>44</v>
      </c>
      <c r="F956" s="6" t="s">
        <v>48</v>
      </c>
      <c r="G956" s="6">
        <v>38</v>
      </c>
      <c r="H956" s="7">
        <v>761.15</v>
      </c>
      <c r="I956" s="7">
        <v>28923.7</v>
      </c>
      <c r="J956" s="8">
        <v>45350</v>
      </c>
      <c r="K956" s="6">
        <v>48</v>
      </c>
      <c r="L956" s="6" t="s">
        <v>41</v>
      </c>
      <c r="M956" s="6" t="b">
        <v>1</v>
      </c>
      <c r="N956" s="6">
        <v>16.86</v>
      </c>
      <c r="O956" s="6" t="s">
        <v>30</v>
      </c>
      <c r="P956" s="6" t="b">
        <v>0</v>
      </c>
      <c r="Q956" s="9" t="s">
        <v>36</v>
      </c>
    </row>
    <row r="957" spans="1:17" x14ac:dyDescent="0.25">
      <c r="A957" s="5" t="s">
        <v>1007</v>
      </c>
      <c r="B957" s="6" t="s">
        <v>72</v>
      </c>
      <c r="C957" s="6" t="s">
        <v>19</v>
      </c>
      <c r="D957" s="6" t="s">
        <v>64</v>
      </c>
      <c r="E957" s="6" t="s">
        <v>35</v>
      </c>
      <c r="F957" s="6" t="s">
        <v>29</v>
      </c>
      <c r="G957" s="6">
        <v>26</v>
      </c>
      <c r="H957" s="7">
        <v>103.73</v>
      </c>
      <c r="I957" s="7">
        <v>2696.98</v>
      </c>
      <c r="J957" s="8">
        <v>45277</v>
      </c>
      <c r="K957" s="6">
        <v>19</v>
      </c>
      <c r="L957" s="6" t="s">
        <v>23</v>
      </c>
      <c r="M957" s="6" t="b">
        <v>0</v>
      </c>
      <c r="N957" s="6">
        <v>17.78</v>
      </c>
      <c r="O957" s="6" t="s">
        <v>42</v>
      </c>
      <c r="P957" s="6" t="b">
        <v>0</v>
      </c>
      <c r="Q957" s="9" t="s">
        <v>36</v>
      </c>
    </row>
    <row r="958" spans="1:17" x14ac:dyDescent="0.25">
      <c r="A958" s="5" t="s">
        <v>1008</v>
      </c>
      <c r="B958" s="6" t="s">
        <v>27</v>
      </c>
      <c r="C958" s="6" t="s">
        <v>33</v>
      </c>
      <c r="D958" s="6" t="s">
        <v>34</v>
      </c>
      <c r="E958" s="6" t="s">
        <v>35</v>
      </c>
      <c r="F958" s="6" t="s">
        <v>22</v>
      </c>
      <c r="G958" s="6">
        <v>82</v>
      </c>
      <c r="H958" s="7">
        <v>826.12</v>
      </c>
      <c r="I958" s="7">
        <v>67741.84</v>
      </c>
      <c r="J958" s="8">
        <v>45112</v>
      </c>
      <c r="K958" s="6">
        <v>29</v>
      </c>
      <c r="L958" s="6" t="s">
        <v>49</v>
      </c>
      <c r="M958" s="6" t="b">
        <v>1</v>
      </c>
      <c r="N958" s="6">
        <v>14.59</v>
      </c>
      <c r="O958" s="6" t="s">
        <v>56</v>
      </c>
      <c r="P958" s="6" t="b">
        <v>1</v>
      </c>
      <c r="Q958" s="9" t="s">
        <v>25</v>
      </c>
    </row>
    <row r="959" spans="1:17" x14ac:dyDescent="0.25">
      <c r="A959" s="5" t="s">
        <v>1009</v>
      </c>
      <c r="B959" s="6" t="s">
        <v>18</v>
      </c>
      <c r="C959" s="6" t="s">
        <v>39</v>
      </c>
      <c r="D959" s="6" t="s">
        <v>34</v>
      </c>
      <c r="E959" s="6" t="s">
        <v>35</v>
      </c>
      <c r="F959" s="6" t="s">
        <v>40</v>
      </c>
      <c r="G959" s="6">
        <v>92</v>
      </c>
      <c r="H959" s="7">
        <v>1071.95</v>
      </c>
      <c r="I959" s="7">
        <v>98619.4</v>
      </c>
      <c r="J959" s="8">
        <v>45341</v>
      </c>
      <c r="K959" s="6">
        <v>44</v>
      </c>
      <c r="L959" s="6" t="s">
        <v>49</v>
      </c>
      <c r="M959" s="6" t="b">
        <v>1</v>
      </c>
      <c r="N959" s="6">
        <v>22.16</v>
      </c>
      <c r="O959" s="6" t="s">
        <v>24</v>
      </c>
      <c r="P959" s="6" t="b">
        <v>1</v>
      </c>
      <c r="Q959" s="9" t="s">
        <v>25</v>
      </c>
    </row>
    <row r="960" spans="1:17" x14ac:dyDescent="0.25">
      <c r="A960" s="5" t="s">
        <v>1010</v>
      </c>
      <c r="B960" s="6" t="s">
        <v>27</v>
      </c>
      <c r="C960" s="6" t="s">
        <v>33</v>
      </c>
      <c r="D960" s="6" t="s">
        <v>47</v>
      </c>
      <c r="E960" s="6" t="s">
        <v>21</v>
      </c>
      <c r="F960" s="6" t="s">
        <v>22</v>
      </c>
      <c r="G960" s="6">
        <v>51</v>
      </c>
      <c r="H960" s="7">
        <v>541.79</v>
      </c>
      <c r="I960" s="7">
        <v>27631.29</v>
      </c>
      <c r="J960" s="8">
        <v>45355</v>
      </c>
      <c r="K960" s="6">
        <v>22</v>
      </c>
      <c r="L960" s="6" t="s">
        <v>49</v>
      </c>
      <c r="M960" s="6" t="b">
        <v>0</v>
      </c>
      <c r="N960" s="6">
        <v>22.12</v>
      </c>
      <c r="O960" s="6" t="s">
        <v>30</v>
      </c>
      <c r="P960" s="6" t="b">
        <v>1</v>
      </c>
      <c r="Q960" s="9" t="s">
        <v>25</v>
      </c>
    </row>
    <row r="961" spans="1:17" x14ac:dyDescent="0.25">
      <c r="A961" s="5" t="s">
        <v>1011</v>
      </c>
      <c r="B961" s="6" t="s">
        <v>62</v>
      </c>
      <c r="C961" s="6" t="s">
        <v>33</v>
      </c>
      <c r="D961" s="6" t="s">
        <v>20</v>
      </c>
      <c r="E961" s="6" t="s">
        <v>44</v>
      </c>
      <c r="F961" s="6" t="s">
        <v>40</v>
      </c>
      <c r="G961" s="6">
        <v>73</v>
      </c>
      <c r="H961" s="7">
        <v>211.04</v>
      </c>
      <c r="I961" s="7">
        <v>15405.92</v>
      </c>
      <c r="J961" s="8">
        <v>44967</v>
      </c>
      <c r="K961" s="6">
        <v>54</v>
      </c>
      <c r="L961" s="6" t="s">
        <v>23</v>
      </c>
      <c r="M961" s="6" t="b">
        <v>1</v>
      </c>
      <c r="N961" s="6">
        <v>12.83</v>
      </c>
      <c r="O961" s="6" t="s">
        <v>56</v>
      </c>
      <c r="P961" s="6" t="b">
        <v>0</v>
      </c>
      <c r="Q961" s="9" t="s">
        <v>36</v>
      </c>
    </row>
    <row r="962" spans="1:17" x14ac:dyDescent="0.25">
      <c r="A962" s="5" t="s">
        <v>1012</v>
      </c>
      <c r="B962" s="6" t="s">
        <v>76</v>
      </c>
      <c r="C962" s="6" t="s">
        <v>33</v>
      </c>
      <c r="D962" s="6" t="s">
        <v>34</v>
      </c>
      <c r="E962" s="6" t="s">
        <v>28</v>
      </c>
      <c r="F962" s="6" t="s">
        <v>22</v>
      </c>
      <c r="G962" s="6">
        <v>96</v>
      </c>
      <c r="H962" s="7">
        <v>453.92</v>
      </c>
      <c r="I962" s="7">
        <v>43576.32</v>
      </c>
      <c r="J962" s="8">
        <v>45319</v>
      </c>
      <c r="K962" s="6">
        <v>44</v>
      </c>
      <c r="L962" s="6" t="s">
        <v>41</v>
      </c>
      <c r="M962" s="6" t="b">
        <v>1</v>
      </c>
      <c r="N962" s="6">
        <v>3.73</v>
      </c>
      <c r="O962" s="6" t="s">
        <v>42</v>
      </c>
      <c r="P962" s="6" t="b">
        <v>1</v>
      </c>
      <c r="Q962" s="9" t="s">
        <v>25</v>
      </c>
    </row>
    <row r="963" spans="1:17" x14ac:dyDescent="0.25">
      <c r="A963" s="5" t="s">
        <v>1013</v>
      </c>
      <c r="B963" s="6" t="s">
        <v>72</v>
      </c>
      <c r="C963" s="6" t="s">
        <v>39</v>
      </c>
      <c r="D963" s="6" t="s">
        <v>52</v>
      </c>
      <c r="E963" s="6" t="s">
        <v>28</v>
      </c>
      <c r="F963" s="6" t="s">
        <v>48</v>
      </c>
      <c r="G963" s="6">
        <v>53</v>
      </c>
      <c r="H963" s="7">
        <v>1168.8</v>
      </c>
      <c r="I963" s="7">
        <v>61946.400000000001</v>
      </c>
      <c r="J963" s="8">
        <v>45005</v>
      </c>
      <c r="K963" s="6">
        <v>40</v>
      </c>
      <c r="L963" s="6" t="s">
        <v>41</v>
      </c>
      <c r="M963" s="6" t="b">
        <v>0</v>
      </c>
      <c r="N963" s="6">
        <v>15.91</v>
      </c>
      <c r="O963" s="6" t="s">
        <v>30</v>
      </c>
      <c r="P963" s="6" t="b">
        <v>0</v>
      </c>
      <c r="Q963" s="9" t="s">
        <v>36</v>
      </c>
    </row>
    <row r="964" spans="1:17" x14ac:dyDescent="0.25">
      <c r="A964" s="5" t="s">
        <v>1014</v>
      </c>
      <c r="B964" s="6" t="s">
        <v>38</v>
      </c>
      <c r="C964" s="6" t="s">
        <v>33</v>
      </c>
      <c r="D964" s="6" t="s">
        <v>20</v>
      </c>
      <c r="E964" s="6" t="s">
        <v>28</v>
      </c>
      <c r="F964" s="6" t="s">
        <v>48</v>
      </c>
      <c r="G964" s="6">
        <v>56</v>
      </c>
      <c r="H964" s="7">
        <v>559.29999999999995</v>
      </c>
      <c r="I964" s="7">
        <v>31320.799999999999</v>
      </c>
      <c r="J964" s="8">
        <v>45470</v>
      </c>
      <c r="K964" s="6">
        <v>50</v>
      </c>
      <c r="L964" s="6" t="s">
        <v>41</v>
      </c>
      <c r="M964" s="6" t="b">
        <v>1</v>
      </c>
      <c r="N964" s="6">
        <v>11.44</v>
      </c>
      <c r="O964" s="6" t="s">
        <v>56</v>
      </c>
      <c r="P964" s="6" t="b">
        <v>0</v>
      </c>
      <c r="Q964" s="9" t="s">
        <v>36</v>
      </c>
    </row>
    <row r="965" spans="1:17" x14ac:dyDescent="0.25">
      <c r="A965" s="5" t="s">
        <v>1015</v>
      </c>
      <c r="B965" s="6" t="s">
        <v>18</v>
      </c>
      <c r="C965" s="6" t="s">
        <v>33</v>
      </c>
      <c r="D965" s="6" t="s">
        <v>64</v>
      </c>
      <c r="E965" s="6" t="s">
        <v>44</v>
      </c>
      <c r="F965" s="6" t="s">
        <v>29</v>
      </c>
      <c r="G965" s="6">
        <v>59</v>
      </c>
      <c r="H965" s="7">
        <v>1227.3699999999999</v>
      </c>
      <c r="I965" s="7">
        <v>72414.83</v>
      </c>
      <c r="J965" s="8">
        <v>45376</v>
      </c>
      <c r="K965" s="6">
        <v>21</v>
      </c>
      <c r="L965" s="6" t="s">
        <v>49</v>
      </c>
      <c r="M965" s="6" t="b">
        <v>0</v>
      </c>
      <c r="N965" s="6">
        <v>4.1399999999999997</v>
      </c>
      <c r="O965" s="6" t="s">
        <v>42</v>
      </c>
      <c r="P965" s="6" t="b">
        <v>0</v>
      </c>
      <c r="Q965" s="9" t="s">
        <v>25</v>
      </c>
    </row>
    <row r="966" spans="1:17" x14ac:dyDescent="0.25">
      <c r="A966" s="5" t="s">
        <v>1016</v>
      </c>
      <c r="B966" s="6" t="s">
        <v>72</v>
      </c>
      <c r="C966" s="6" t="s">
        <v>33</v>
      </c>
      <c r="D966" s="6" t="s">
        <v>47</v>
      </c>
      <c r="E966" s="6" t="s">
        <v>28</v>
      </c>
      <c r="F966" s="6" t="s">
        <v>40</v>
      </c>
      <c r="G966" s="6">
        <v>70</v>
      </c>
      <c r="H966" s="7">
        <v>513.30999999999995</v>
      </c>
      <c r="I966" s="7">
        <v>35931.699999999997</v>
      </c>
      <c r="J966" s="8">
        <v>45400</v>
      </c>
      <c r="K966" s="6">
        <v>38</v>
      </c>
      <c r="L966" s="6" t="s">
        <v>41</v>
      </c>
      <c r="M966" s="6" t="b">
        <v>1</v>
      </c>
      <c r="N966" s="6">
        <v>29.45</v>
      </c>
      <c r="O966" s="6" t="s">
        <v>56</v>
      </c>
      <c r="P966" s="6" t="b">
        <v>0</v>
      </c>
      <c r="Q966" s="9" t="s">
        <v>36</v>
      </c>
    </row>
    <row r="967" spans="1:17" x14ac:dyDescent="0.25">
      <c r="A967" s="5" t="s">
        <v>1017</v>
      </c>
      <c r="B967" s="6" t="s">
        <v>27</v>
      </c>
      <c r="C967" s="6" t="s">
        <v>33</v>
      </c>
      <c r="D967" s="6" t="s">
        <v>64</v>
      </c>
      <c r="E967" s="6" t="s">
        <v>21</v>
      </c>
      <c r="F967" s="6" t="s">
        <v>29</v>
      </c>
      <c r="G967" s="6">
        <v>78</v>
      </c>
      <c r="H967" s="7">
        <v>287.14999999999998</v>
      </c>
      <c r="I967" s="7">
        <v>22397.7</v>
      </c>
      <c r="J967" s="8">
        <v>45068</v>
      </c>
      <c r="K967" s="6">
        <v>41</v>
      </c>
      <c r="L967" s="6" t="s">
        <v>49</v>
      </c>
      <c r="M967" s="6" t="b">
        <v>0</v>
      </c>
      <c r="N967" s="6">
        <v>11.09</v>
      </c>
      <c r="O967" s="6" t="s">
        <v>24</v>
      </c>
      <c r="P967" s="6" t="b">
        <v>0</v>
      </c>
      <c r="Q967" s="9" t="s">
        <v>36</v>
      </c>
    </row>
    <row r="968" spans="1:17" x14ac:dyDescent="0.25">
      <c r="A968" s="5" t="s">
        <v>1018</v>
      </c>
      <c r="B968" s="6" t="s">
        <v>62</v>
      </c>
      <c r="C968" s="6" t="s">
        <v>33</v>
      </c>
      <c r="D968" s="6" t="s">
        <v>64</v>
      </c>
      <c r="E968" s="6" t="s">
        <v>44</v>
      </c>
      <c r="F968" s="6" t="s">
        <v>48</v>
      </c>
      <c r="G968" s="6">
        <v>92</v>
      </c>
      <c r="H968" s="7">
        <v>681.98</v>
      </c>
      <c r="I968" s="7">
        <v>62742.16</v>
      </c>
      <c r="J968" s="8">
        <v>45177</v>
      </c>
      <c r="K968" s="6">
        <v>61</v>
      </c>
      <c r="L968" s="6" t="s">
        <v>23</v>
      </c>
      <c r="M968" s="6" t="b">
        <v>1</v>
      </c>
      <c r="N968" s="6">
        <v>18.77</v>
      </c>
      <c r="O968" s="6" t="s">
        <v>56</v>
      </c>
      <c r="P968" s="6" t="b">
        <v>1</v>
      </c>
      <c r="Q968" s="9" t="s">
        <v>36</v>
      </c>
    </row>
    <row r="969" spans="1:17" x14ac:dyDescent="0.25">
      <c r="A969" s="5" t="s">
        <v>1019</v>
      </c>
      <c r="B969" s="6" t="s">
        <v>66</v>
      </c>
      <c r="C969" s="6" t="s">
        <v>33</v>
      </c>
      <c r="D969" s="6" t="s">
        <v>20</v>
      </c>
      <c r="E969" s="6" t="s">
        <v>35</v>
      </c>
      <c r="F969" s="6" t="s">
        <v>40</v>
      </c>
      <c r="G969" s="6">
        <v>58</v>
      </c>
      <c r="H969" s="7">
        <v>705.8</v>
      </c>
      <c r="I969" s="7">
        <v>40936.400000000001</v>
      </c>
      <c r="J969" s="8">
        <v>45220</v>
      </c>
      <c r="K969" s="6">
        <v>48</v>
      </c>
      <c r="L969" s="6" t="s">
        <v>23</v>
      </c>
      <c r="M969" s="6" t="b">
        <v>1</v>
      </c>
      <c r="N969" s="6">
        <v>14.7</v>
      </c>
      <c r="O969" s="6" t="s">
        <v>56</v>
      </c>
      <c r="P969" s="6" t="b">
        <v>1</v>
      </c>
      <c r="Q969" s="9" t="s">
        <v>25</v>
      </c>
    </row>
    <row r="970" spans="1:17" x14ac:dyDescent="0.25">
      <c r="A970" s="5" t="s">
        <v>1020</v>
      </c>
      <c r="B970" s="6" t="s">
        <v>46</v>
      </c>
      <c r="C970" s="6" t="s">
        <v>39</v>
      </c>
      <c r="D970" s="6" t="s">
        <v>64</v>
      </c>
      <c r="E970" s="6" t="s">
        <v>21</v>
      </c>
      <c r="F970" s="6" t="s">
        <v>29</v>
      </c>
      <c r="G970" s="6">
        <v>88</v>
      </c>
      <c r="H970" s="7">
        <v>73.36</v>
      </c>
      <c r="I970" s="7">
        <v>6455.68</v>
      </c>
      <c r="J970" s="8">
        <v>45536</v>
      </c>
      <c r="K970" s="6">
        <v>61</v>
      </c>
      <c r="L970" s="6" t="s">
        <v>41</v>
      </c>
      <c r="M970" s="6" t="b">
        <v>1</v>
      </c>
      <c r="N970" s="6">
        <v>4.28</v>
      </c>
      <c r="O970" s="6" t="s">
        <v>24</v>
      </c>
      <c r="P970" s="6" t="b">
        <v>0</v>
      </c>
      <c r="Q970" s="9" t="s">
        <v>25</v>
      </c>
    </row>
    <row r="971" spans="1:17" x14ac:dyDescent="0.25">
      <c r="A971" s="5" t="s">
        <v>1021</v>
      </c>
      <c r="B971" s="6" t="s">
        <v>38</v>
      </c>
      <c r="C971" s="6" t="s">
        <v>33</v>
      </c>
      <c r="D971" s="6" t="s">
        <v>34</v>
      </c>
      <c r="E971" s="6" t="s">
        <v>35</v>
      </c>
      <c r="F971" s="6" t="s">
        <v>29</v>
      </c>
      <c r="G971" s="6">
        <v>13</v>
      </c>
      <c r="H971" s="7">
        <v>219.72</v>
      </c>
      <c r="I971" s="7">
        <v>2856.36</v>
      </c>
      <c r="J971" s="8">
        <v>45062</v>
      </c>
      <c r="K971" s="6">
        <v>65</v>
      </c>
      <c r="L971" s="6" t="s">
        <v>49</v>
      </c>
      <c r="M971" s="6" t="b">
        <v>0</v>
      </c>
      <c r="N971" s="6">
        <v>1.67</v>
      </c>
      <c r="O971" s="6" t="s">
        <v>24</v>
      </c>
      <c r="P971" s="6" t="b">
        <v>0</v>
      </c>
      <c r="Q971" s="9" t="s">
        <v>25</v>
      </c>
    </row>
    <row r="972" spans="1:17" x14ac:dyDescent="0.25">
      <c r="A972" s="5" t="s">
        <v>1022</v>
      </c>
      <c r="B972" s="6" t="s">
        <v>46</v>
      </c>
      <c r="C972" s="6" t="s">
        <v>19</v>
      </c>
      <c r="D972" s="6" t="s">
        <v>64</v>
      </c>
      <c r="E972" s="6" t="s">
        <v>28</v>
      </c>
      <c r="F972" s="6" t="s">
        <v>29</v>
      </c>
      <c r="G972" s="6">
        <v>43</v>
      </c>
      <c r="H972" s="7">
        <v>318.14</v>
      </c>
      <c r="I972" s="7">
        <v>13680.02</v>
      </c>
      <c r="J972" s="8">
        <v>45410</v>
      </c>
      <c r="K972" s="6">
        <v>41</v>
      </c>
      <c r="L972" s="6" t="s">
        <v>49</v>
      </c>
      <c r="M972" s="6" t="b">
        <v>1</v>
      </c>
      <c r="N972" s="6">
        <v>18.77</v>
      </c>
      <c r="O972" s="6" t="s">
        <v>56</v>
      </c>
      <c r="P972" s="6" t="b">
        <v>1</v>
      </c>
      <c r="Q972" s="9" t="s">
        <v>36</v>
      </c>
    </row>
    <row r="973" spans="1:17" x14ac:dyDescent="0.25">
      <c r="A973" s="5" t="s">
        <v>1023</v>
      </c>
      <c r="B973" s="6" t="s">
        <v>72</v>
      </c>
      <c r="C973" s="6" t="s">
        <v>33</v>
      </c>
      <c r="D973" s="6" t="s">
        <v>47</v>
      </c>
      <c r="E973" s="6" t="s">
        <v>21</v>
      </c>
      <c r="F973" s="6" t="s">
        <v>29</v>
      </c>
      <c r="G973" s="6">
        <v>76</v>
      </c>
      <c r="H973" s="7">
        <v>214.7</v>
      </c>
      <c r="I973" s="7">
        <v>16317.2</v>
      </c>
      <c r="J973" s="8">
        <v>45238</v>
      </c>
      <c r="K973" s="6">
        <v>66</v>
      </c>
      <c r="L973" s="6" t="s">
        <v>41</v>
      </c>
      <c r="M973" s="6" t="b">
        <v>1</v>
      </c>
      <c r="N973" s="6">
        <v>7.41</v>
      </c>
      <c r="O973" s="6" t="s">
        <v>24</v>
      </c>
      <c r="P973" s="6" t="b">
        <v>0</v>
      </c>
      <c r="Q973" s="9" t="s">
        <v>36</v>
      </c>
    </row>
    <row r="974" spans="1:17" x14ac:dyDescent="0.25">
      <c r="A974" s="5" t="s">
        <v>1024</v>
      </c>
      <c r="B974" s="6" t="s">
        <v>62</v>
      </c>
      <c r="C974" s="6" t="s">
        <v>33</v>
      </c>
      <c r="D974" s="6" t="s">
        <v>47</v>
      </c>
      <c r="E974" s="6" t="s">
        <v>44</v>
      </c>
      <c r="F974" s="6" t="s">
        <v>29</v>
      </c>
      <c r="G974" s="6">
        <v>51</v>
      </c>
      <c r="H974" s="7">
        <v>545.21</v>
      </c>
      <c r="I974" s="7">
        <v>27805.71</v>
      </c>
      <c r="J974" s="8">
        <v>45481</v>
      </c>
      <c r="K974" s="6">
        <v>27</v>
      </c>
      <c r="L974" s="6" t="s">
        <v>23</v>
      </c>
      <c r="M974" s="6" t="b">
        <v>0</v>
      </c>
      <c r="N974" s="6">
        <v>7.31</v>
      </c>
      <c r="O974" s="6" t="s">
        <v>56</v>
      </c>
      <c r="P974" s="6" t="b">
        <v>0</v>
      </c>
      <c r="Q974" s="9" t="s">
        <v>25</v>
      </c>
    </row>
    <row r="975" spans="1:17" x14ac:dyDescent="0.25">
      <c r="A975" s="5" t="s">
        <v>1025</v>
      </c>
      <c r="B975" s="6" t="s">
        <v>62</v>
      </c>
      <c r="C975" s="6" t="s">
        <v>39</v>
      </c>
      <c r="D975" s="6" t="s">
        <v>52</v>
      </c>
      <c r="E975" s="6" t="s">
        <v>21</v>
      </c>
      <c r="F975" s="6" t="s">
        <v>40</v>
      </c>
      <c r="G975" s="6">
        <v>19</v>
      </c>
      <c r="H975" s="7">
        <v>1448.7</v>
      </c>
      <c r="I975" s="7">
        <v>27525.3</v>
      </c>
      <c r="J975" s="8">
        <v>45558</v>
      </c>
      <c r="K975" s="6">
        <v>66</v>
      </c>
      <c r="L975" s="6" t="s">
        <v>23</v>
      </c>
      <c r="M975" s="6" t="b">
        <v>0</v>
      </c>
      <c r="N975" s="6">
        <v>28.71</v>
      </c>
      <c r="O975" s="6" t="s">
        <v>30</v>
      </c>
      <c r="P975" s="6" t="b">
        <v>0</v>
      </c>
      <c r="Q975" s="9" t="s">
        <v>36</v>
      </c>
    </row>
    <row r="976" spans="1:17" x14ac:dyDescent="0.25">
      <c r="A976" s="5" t="s">
        <v>1026</v>
      </c>
      <c r="B976" s="6" t="s">
        <v>27</v>
      </c>
      <c r="C976" s="6" t="s">
        <v>39</v>
      </c>
      <c r="D976" s="6" t="s">
        <v>47</v>
      </c>
      <c r="E976" s="6" t="s">
        <v>35</v>
      </c>
      <c r="F976" s="6" t="s">
        <v>29</v>
      </c>
      <c r="G976" s="6">
        <v>21</v>
      </c>
      <c r="H976" s="7">
        <v>788.37</v>
      </c>
      <c r="I976" s="7">
        <v>16555.77</v>
      </c>
      <c r="J976" s="8">
        <v>44972</v>
      </c>
      <c r="K976" s="6">
        <v>66</v>
      </c>
      <c r="L976" s="6" t="s">
        <v>23</v>
      </c>
      <c r="M976" s="6" t="b">
        <v>0</v>
      </c>
      <c r="N976" s="6">
        <v>13.85</v>
      </c>
      <c r="O976" s="6" t="s">
        <v>56</v>
      </c>
      <c r="P976" s="6" t="b">
        <v>0</v>
      </c>
      <c r="Q976" s="9" t="s">
        <v>25</v>
      </c>
    </row>
    <row r="977" spans="1:17" x14ac:dyDescent="0.25">
      <c r="A977" s="5" t="s">
        <v>1027</v>
      </c>
      <c r="B977" s="6" t="s">
        <v>32</v>
      </c>
      <c r="C977" s="6" t="s">
        <v>19</v>
      </c>
      <c r="D977" s="6" t="s">
        <v>64</v>
      </c>
      <c r="E977" s="6" t="s">
        <v>44</v>
      </c>
      <c r="F977" s="6" t="s">
        <v>40</v>
      </c>
      <c r="G977" s="6">
        <v>91</v>
      </c>
      <c r="H977" s="7">
        <v>959.96</v>
      </c>
      <c r="I977" s="7">
        <v>87356.36</v>
      </c>
      <c r="J977" s="8">
        <v>45162</v>
      </c>
      <c r="K977" s="6">
        <v>67</v>
      </c>
      <c r="L977" s="6" t="s">
        <v>23</v>
      </c>
      <c r="M977" s="6" t="b">
        <v>1</v>
      </c>
      <c r="N977" s="6">
        <v>0.88</v>
      </c>
      <c r="O977" s="6" t="s">
        <v>42</v>
      </c>
      <c r="P977" s="6" t="b">
        <v>1</v>
      </c>
      <c r="Q977" s="9" t="s">
        <v>25</v>
      </c>
    </row>
    <row r="978" spans="1:17" x14ac:dyDescent="0.25">
      <c r="A978" s="5" t="s">
        <v>1028</v>
      </c>
      <c r="B978" s="6" t="s">
        <v>27</v>
      </c>
      <c r="C978" s="6" t="s">
        <v>19</v>
      </c>
      <c r="D978" s="6" t="s">
        <v>47</v>
      </c>
      <c r="E978" s="6" t="s">
        <v>21</v>
      </c>
      <c r="F978" s="6" t="s">
        <v>29</v>
      </c>
      <c r="G978" s="6">
        <v>83</v>
      </c>
      <c r="H978" s="7">
        <v>566.76</v>
      </c>
      <c r="I978" s="7">
        <v>47041.08</v>
      </c>
      <c r="J978" s="8">
        <v>44974</v>
      </c>
      <c r="K978" s="6">
        <v>19</v>
      </c>
      <c r="L978" s="6" t="s">
        <v>23</v>
      </c>
      <c r="M978" s="6" t="b">
        <v>1</v>
      </c>
      <c r="N978" s="6">
        <v>10.199999999999999</v>
      </c>
      <c r="O978" s="6" t="s">
        <v>24</v>
      </c>
      <c r="P978" s="6" t="b">
        <v>0</v>
      </c>
      <c r="Q978" s="9" t="s">
        <v>25</v>
      </c>
    </row>
    <row r="979" spans="1:17" x14ac:dyDescent="0.25">
      <c r="A979" s="5" t="s">
        <v>1029</v>
      </c>
      <c r="B979" s="6" t="s">
        <v>32</v>
      </c>
      <c r="C979" s="6" t="s">
        <v>39</v>
      </c>
      <c r="D979" s="6" t="s">
        <v>20</v>
      </c>
      <c r="E979" s="6" t="s">
        <v>21</v>
      </c>
      <c r="F979" s="6" t="s">
        <v>48</v>
      </c>
      <c r="G979" s="6">
        <v>24</v>
      </c>
      <c r="H979" s="7">
        <v>519.05999999999995</v>
      </c>
      <c r="I979" s="7">
        <v>12457.44</v>
      </c>
      <c r="J979" s="8">
        <v>45124</v>
      </c>
      <c r="K979" s="6">
        <v>48</v>
      </c>
      <c r="L979" s="6" t="s">
        <v>41</v>
      </c>
      <c r="M979" s="6" t="b">
        <v>1</v>
      </c>
      <c r="N979" s="6">
        <v>17.53</v>
      </c>
      <c r="O979" s="6" t="s">
        <v>30</v>
      </c>
      <c r="P979" s="6" t="b">
        <v>1</v>
      </c>
      <c r="Q979" s="9" t="s">
        <v>25</v>
      </c>
    </row>
    <row r="980" spans="1:17" x14ac:dyDescent="0.25">
      <c r="A980" s="5" t="s">
        <v>1030</v>
      </c>
      <c r="B980" s="6" t="s">
        <v>32</v>
      </c>
      <c r="C980" s="6" t="s">
        <v>39</v>
      </c>
      <c r="D980" s="6" t="s">
        <v>47</v>
      </c>
      <c r="E980" s="6" t="s">
        <v>21</v>
      </c>
      <c r="F980" s="6" t="s">
        <v>48</v>
      </c>
      <c r="G980" s="6">
        <v>26</v>
      </c>
      <c r="H980" s="7">
        <v>83.56</v>
      </c>
      <c r="I980" s="7">
        <v>2172.56</v>
      </c>
      <c r="J980" s="8">
        <v>45010</v>
      </c>
      <c r="K980" s="6">
        <v>42</v>
      </c>
      <c r="L980" s="6" t="s">
        <v>41</v>
      </c>
      <c r="M980" s="6" t="b">
        <v>0</v>
      </c>
      <c r="N980" s="6">
        <v>9.86</v>
      </c>
      <c r="O980" s="6" t="s">
        <v>24</v>
      </c>
      <c r="P980" s="6" t="b">
        <v>1</v>
      </c>
      <c r="Q980" s="9" t="s">
        <v>36</v>
      </c>
    </row>
    <row r="981" spans="1:17" x14ac:dyDescent="0.25">
      <c r="A981" s="5" t="s">
        <v>1031</v>
      </c>
      <c r="B981" s="6" t="s">
        <v>38</v>
      </c>
      <c r="C981" s="6" t="s">
        <v>33</v>
      </c>
      <c r="D981" s="6" t="s">
        <v>34</v>
      </c>
      <c r="E981" s="6" t="s">
        <v>21</v>
      </c>
      <c r="F981" s="6" t="s">
        <v>29</v>
      </c>
      <c r="G981" s="6">
        <v>45</v>
      </c>
      <c r="H981" s="7">
        <v>775.48</v>
      </c>
      <c r="I981" s="7">
        <v>34896.6</v>
      </c>
      <c r="J981" s="8">
        <v>45469</v>
      </c>
      <c r="K981" s="6">
        <v>21</v>
      </c>
      <c r="L981" s="6" t="s">
        <v>41</v>
      </c>
      <c r="M981" s="6" t="b">
        <v>0</v>
      </c>
      <c r="N981" s="6">
        <v>0.81</v>
      </c>
      <c r="O981" s="6" t="s">
        <v>24</v>
      </c>
      <c r="P981" s="6" t="b">
        <v>1</v>
      </c>
      <c r="Q981" s="9" t="s">
        <v>36</v>
      </c>
    </row>
    <row r="982" spans="1:17" x14ac:dyDescent="0.25">
      <c r="A982" s="5" t="s">
        <v>1032</v>
      </c>
      <c r="B982" s="6" t="s">
        <v>27</v>
      </c>
      <c r="C982" s="6" t="s">
        <v>39</v>
      </c>
      <c r="D982" s="6" t="s">
        <v>20</v>
      </c>
      <c r="E982" s="6" t="s">
        <v>44</v>
      </c>
      <c r="F982" s="6" t="s">
        <v>22</v>
      </c>
      <c r="G982" s="6">
        <v>28</v>
      </c>
      <c r="H982" s="7">
        <v>751.23</v>
      </c>
      <c r="I982" s="7">
        <v>21034.44</v>
      </c>
      <c r="J982" s="8">
        <v>45087</v>
      </c>
      <c r="K982" s="6">
        <v>68</v>
      </c>
      <c r="L982" s="6" t="s">
        <v>23</v>
      </c>
      <c r="M982" s="6" t="b">
        <v>1</v>
      </c>
      <c r="N982" s="6">
        <v>13.33</v>
      </c>
      <c r="O982" s="6" t="s">
        <v>24</v>
      </c>
      <c r="P982" s="6" t="b">
        <v>1</v>
      </c>
      <c r="Q982" s="9" t="s">
        <v>36</v>
      </c>
    </row>
    <row r="983" spans="1:17" x14ac:dyDescent="0.25">
      <c r="A983" s="5" t="s">
        <v>1033</v>
      </c>
      <c r="B983" s="6" t="s">
        <v>66</v>
      </c>
      <c r="C983" s="6" t="s">
        <v>19</v>
      </c>
      <c r="D983" s="6" t="s">
        <v>52</v>
      </c>
      <c r="E983" s="6" t="s">
        <v>35</v>
      </c>
      <c r="F983" s="6" t="s">
        <v>48</v>
      </c>
      <c r="G983" s="6">
        <v>82</v>
      </c>
      <c r="H983" s="7">
        <v>278.85000000000002</v>
      </c>
      <c r="I983" s="7">
        <v>22865.7</v>
      </c>
      <c r="J983" s="8">
        <v>45354</v>
      </c>
      <c r="K983" s="6">
        <v>28</v>
      </c>
      <c r="L983" s="6" t="s">
        <v>23</v>
      </c>
      <c r="M983" s="6" t="b">
        <v>1</v>
      </c>
      <c r="N983" s="6">
        <v>3.18</v>
      </c>
      <c r="O983" s="6" t="s">
        <v>42</v>
      </c>
      <c r="P983" s="6" t="b">
        <v>0</v>
      </c>
      <c r="Q983" s="9" t="s">
        <v>25</v>
      </c>
    </row>
    <row r="984" spans="1:17" x14ac:dyDescent="0.25">
      <c r="A984" s="5" t="s">
        <v>1034</v>
      </c>
      <c r="B984" s="6" t="s">
        <v>51</v>
      </c>
      <c r="C984" s="6" t="s">
        <v>33</v>
      </c>
      <c r="D984" s="6" t="s">
        <v>34</v>
      </c>
      <c r="E984" s="6" t="s">
        <v>21</v>
      </c>
      <c r="F984" s="6" t="s">
        <v>40</v>
      </c>
      <c r="G984" s="6">
        <v>29</v>
      </c>
      <c r="H984" s="7">
        <v>1158.27</v>
      </c>
      <c r="I984" s="7">
        <v>33589.83</v>
      </c>
      <c r="J984" s="8">
        <v>44997</v>
      </c>
      <c r="K984" s="6">
        <v>34</v>
      </c>
      <c r="L984" s="6" t="s">
        <v>41</v>
      </c>
      <c r="M984" s="6" t="b">
        <v>0</v>
      </c>
      <c r="N984" s="6">
        <v>18.57</v>
      </c>
      <c r="O984" s="6" t="s">
        <v>42</v>
      </c>
      <c r="P984" s="6" t="b">
        <v>0</v>
      </c>
      <c r="Q984" s="9" t="s">
        <v>36</v>
      </c>
    </row>
    <row r="985" spans="1:17" x14ac:dyDescent="0.25">
      <c r="A985" s="5" t="s">
        <v>1035</v>
      </c>
      <c r="B985" s="6" t="s">
        <v>51</v>
      </c>
      <c r="C985" s="6" t="s">
        <v>19</v>
      </c>
      <c r="D985" s="6" t="s">
        <v>64</v>
      </c>
      <c r="E985" s="6" t="s">
        <v>44</v>
      </c>
      <c r="F985" s="6" t="s">
        <v>29</v>
      </c>
      <c r="G985" s="6">
        <v>17</v>
      </c>
      <c r="H985" s="7">
        <v>764.38</v>
      </c>
      <c r="I985" s="7">
        <v>12994.46</v>
      </c>
      <c r="J985" s="8">
        <v>45446</v>
      </c>
      <c r="K985" s="6">
        <v>61</v>
      </c>
      <c r="L985" s="6" t="s">
        <v>41</v>
      </c>
      <c r="M985" s="6" t="b">
        <v>0</v>
      </c>
      <c r="N985" s="6">
        <v>18.59</v>
      </c>
      <c r="O985" s="6" t="s">
        <v>56</v>
      </c>
      <c r="P985" s="6" t="b">
        <v>0</v>
      </c>
      <c r="Q985" s="9" t="s">
        <v>25</v>
      </c>
    </row>
    <row r="986" spans="1:17" x14ac:dyDescent="0.25">
      <c r="A986" s="5" t="s">
        <v>1036</v>
      </c>
      <c r="B986" s="6" t="s">
        <v>27</v>
      </c>
      <c r="C986" s="6" t="s">
        <v>33</v>
      </c>
      <c r="D986" s="6" t="s">
        <v>64</v>
      </c>
      <c r="E986" s="6" t="s">
        <v>35</v>
      </c>
      <c r="F986" s="6" t="s">
        <v>40</v>
      </c>
      <c r="G986" s="6">
        <v>68</v>
      </c>
      <c r="H986" s="7">
        <v>541.54</v>
      </c>
      <c r="I986" s="7">
        <v>36824.720000000001</v>
      </c>
      <c r="J986" s="8">
        <v>44978</v>
      </c>
      <c r="K986" s="6">
        <v>19</v>
      </c>
      <c r="L986" s="6" t="s">
        <v>23</v>
      </c>
      <c r="M986" s="6" t="b">
        <v>0</v>
      </c>
      <c r="N986" s="6">
        <v>1.1299999999999999</v>
      </c>
      <c r="O986" s="6" t="s">
        <v>42</v>
      </c>
      <c r="P986" s="6" t="b">
        <v>1</v>
      </c>
      <c r="Q986" s="9" t="s">
        <v>25</v>
      </c>
    </row>
    <row r="987" spans="1:17" x14ac:dyDescent="0.25">
      <c r="A987" s="5" t="s">
        <v>1037</v>
      </c>
      <c r="B987" s="6" t="s">
        <v>27</v>
      </c>
      <c r="C987" s="6" t="s">
        <v>39</v>
      </c>
      <c r="D987" s="6" t="s">
        <v>64</v>
      </c>
      <c r="E987" s="6" t="s">
        <v>21</v>
      </c>
      <c r="F987" s="6" t="s">
        <v>22</v>
      </c>
      <c r="G987" s="6">
        <v>44</v>
      </c>
      <c r="H987" s="7">
        <v>263.02</v>
      </c>
      <c r="I987" s="7">
        <v>11572.88</v>
      </c>
      <c r="J987" s="8">
        <v>44971</v>
      </c>
      <c r="K987" s="6">
        <v>23</v>
      </c>
      <c r="L987" s="6" t="s">
        <v>49</v>
      </c>
      <c r="M987" s="6" t="b">
        <v>1</v>
      </c>
      <c r="N987" s="6">
        <v>8.7200000000000006</v>
      </c>
      <c r="O987" s="6" t="s">
        <v>24</v>
      </c>
      <c r="P987" s="6" t="b">
        <v>1</v>
      </c>
      <c r="Q987" s="9" t="s">
        <v>25</v>
      </c>
    </row>
    <row r="988" spans="1:17" x14ac:dyDescent="0.25">
      <c r="A988" s="5" t="s">
        <v>1038</v>
      </c>
      <c r="B988" s="6" t="s">
        <v>46</v>
      </c>
      <c r="C988" s="6" t="s">
        <v>19</v>
      </c>
      <c r="D988" s="6" t="s">
        <v>34</v>
      </c>
      <c r="E988" s="6" t="s">
        <v>35</v>
      </c>
      <c r="F988" s="6" t="s">
        <v>29</v>
      </c>
      <c r="G988" s="6">
        <v>61</v>
      </c>
      <c r="H988" s="7">
        <v>850.63</v>
      </c>
      <c r="I988" s="7">
        <v>51888.43</v>
      </c>
      <c r="J988" s="8">
        <v>45219</v>
      </c>
      <c r="K988" s="6">
        <v>26</v>
      </c>
      <c r="L988" s="6" t="s">
        <v>41</v>
      </c>
      <c r="M988" s="6" t="b">
        <v>0</v>
      </c>
      <c r="N988" s="6">
        <v>12.41</v>
      </c>
      <c r="O988" s="6" t="s">
        <v>30</v>
      </c>
      <c r="P988" s="6" t="b">
        <v>1</v>
      </c>
      <c r="Q988" s="9" t="s">
        <v>36</v>
      </c>
    </row>
    <row r="989" spans="1:17" x14ac:dyDescent="0.25">
      <c r="A989" s="5" t="s">
        <v>1039</v>
      </c>
      <c r="B989" s="6" t="s">
        <v>38</v>
      </c>
      <c r="C989" s="6" t="s">
        <v>33</v>
      </c>
      <c r="D989" s="6" t="s">
        <v>34</v>
      </c>
      <c r="E989" s="6" t="s">
        <v>35</v>
      </c>
      <c r="F989" s="6" t="s">
        <v>48</v>
      </c>
      <c r="G989" s="6">
        <v>93</v>
      </c>
      <c r="H989" s="7">
        <v>1141.58</v>
      </c>
      <c r="I989" s="7">
        <v>106166.94</v>
      </c>
      <c r="J989" s="8">
        <v>45391</v>
      </c>
      <c r="K989" s="6">
        <v>22</v>
      </c>
      <c r="L989" s="6" t="s">
        <v>23</v>
      </c>
      <c r="M989" s="6" t="b">
        <v>0</v>
      </c>
      <c r="N989" s="6">
        <v>16.510000000000002</v>
      </c>
      <c r="O989" s="6" t="s">
        <v>30</v>
      </c>
      <c r="P989" s="6" t="b">
        <v>0</v>
      </c>
      <c r="Q989" s="9" t="s">
        <v>25</v>
      </c>
    </row>
    <row r="990" spans="1:17" x14ac:dyDescent="0.25">
      <c r="A990" s="5" t="s">
        <v>1040</v>
      </c>
      <c r="B990" s="6" t="s">
        <v>27</v>
      </c>
      <c r="C990" s="6" t="s">
        <v>33</v>
      </c>
      <c r="D990" s="6" t="s">
        <v>34</v>
      </c>
      <c r="E990" s="6" t="s">
        <v>44</v>
      </c>
      <c r="F990" s="6" t="s">
        <v>40</v>
      </c>
      <c r="G990" s="6">
        <v>68</v>
      </c>
      <c r="H990" s="7">
        <v>458.9</v>
      </c>
      <c r="I990" s="7">
        <v>31205.200000000001</v>
      </c>
      <c r="J990" s="8">
        <v>45476</v>
      </c>
      <c r="K990" s="6">
        <v>37</v>
      </c>
      <c r="L990" s="6" t="s">
        <v>23</v>
      </c>
      <c r="M990" s="6" t="b">
        <v>0</v>
      </c>
      <c r="N990" s="6">
        <v>8.8800000000000008</v>
      </c>
      <c r="O990" s="6" t="s">
        <v>30</v>
      </c>
      <c r="P990" s="6" t="b">
        <v>0</v>
      </c>
      <c r="Q990" s="9" t="s">
        <v>36</v>
      </c>
    </row>
    <row r="991" spans="1:17" x14ac:dyDescent="0.25">
      <c r="A991" s="5" t="s">
        <v>1041</v>
      </c>
      <c r="B991" s="6" t="s">
        <v>46</v>
      </c>
      <c r="C991" s="6" t="s">
        <v>39</v>
      </c>
      <c r="D991" s="6" t="s">
        <v>20</v>
      </c>
      <c r="E991" s="6" t="s">
        <v>35</v>
      </c>
      <c r="F991" s="6" t="s">
        <v>48</v>
      </c>
      <c r="G991" s="6">
        <v>74</v>
      </c>
      <c r="H991" s="7">
        <v>367.25</v>
      </c>
      <c r="I991" s="7">
        <v>27176.5</v>
      </c>
      <c r="J991" s="8">
        <v>45306</v>
      </c>
      <c r="K991" s="6">
        <v>46</v>
      </c>
      <c r="L991" s="6" t="s">
        <v>41</v>
      </c>
      <c r="M991" s="6" t="b">
        <v>0</v>
      </c>
      <c r="N991" s="6">
        <v>8.6300000000000008</v>
      </c>
      <c r="O991" s="6" t="s">
        <v>24</v>
      </c>
      <c r="P991" s="6" t="b">
        <v>0</v>
      </c>
      <c r="Q991" s="9" t="s">
        <v>36</v>
      </c>
    </row>
    <row r="992" spans="1:17" x14ac:dyDescent="0.25">
      <c r="A992" s="5" t="s">
        <v>1042</v>
      </c>
      <c r="B992" s="6" t="s">
        <v>32</v>
      </c>
      <c r="C992" s="6" t="s">
        <v>39</v>
      </c>
      <c r="D992" s="6" t="s">
        <v>20</v>
      </c>
      <c r="E992" s="6" t="s">
        <v>44</v>
      </c>
      <c r="F992" s="6" t="s">
        <v>48</v>
      </c>
      <c r="G992" s="6">
        <v>25</v>
      </c>
      <c r="H992" s="7">
        <v>806.81</v>
      </c>
      <c r="I992" s="7">
        <v>20170.25</v>
      </c>
      <c r="J992" s="8">
        <v>45404</v>
      </c>
      <c r="K992" s="6">
        <v>38</v>
      </c>
      <c r="L992" s="6" t="s">
        <v>49</v>
      </c>
      <c r="M992" s="6" t="b">
        <v>1</v>
      </c>
      <c r="N992" s="6">
        <v>29.49</v>
      </c>
      <c r="O992" s="6" t="s">
        <v>42</v>
      </c>
      <c r="P992" s="6" t="b">
        <v>1</v>
      </c>
      <c r="Q992" s="9" t="s">
        <v>36</v>
      </c>
    </row>
    <row r="993" spans="1:17" x14ac:dyDescent="0.25">
      <c r="A993" s="5" t="s">
        <v>1043</v>
      </c>
      <c r="B993" s="6" t="s">
        <v>62</v>
      </c>
      <c r="C993" s="6" t="s">
        <v>39</v>
      </c>
      <c r="D993" s="6" t="s">
        <v>64</v>
      </c>
      <c r="E993" s="6" t="s">
        <v>21</v>
      </c>
      <c r="F993" s="6" t="s">
        <v>29</v>
      </c>
      <c r="G993" s="6">
        <v>95</v>
      </c>
      <c r="H993" s="7">
        <v>275.25</v>
      </c>
      <c r="I993" s="7">
        <v>26148.75</v>
      </c>
      <c r="J993" s="8">
        <v>45188</v>
      </c>
      <c r="K993" s="6">
        <v>26</v>
      </c>
      <c r="L993" s="6" t="s">
        <v>23</v>
      </c>
      <c r="M993" s="6" t="b">
        <v>0</v>
      </c>
      <c r="N993" s="6">
        <v>1.26</v>
      </c>
      <c r="O993" s="6" t="s">
        <v>30</v>
      </c>
      <c r="P993" s="6" t="b">
        <v>1</v>
      </c>
      <c r="Q993" s="9" t="s">
        <v>36</v>
      </c>
    </row>
    <row r="994" spans="1:17" x14ac:dyDescent="0.25">
      <c r="A994" s="5" t="s">
        <v>1044</v>
      </c>
      <c r="B994" s="6" t="s">
        <v>62</v>
      </c>
      <c r="C994" s="6" t="s">
        <v>19</v>
      </c>
      <c r="D994" s="6" t="s">
        <v>47</v>
      </c>
      <c r="E994" s="6" t="s">
        <v>35</v>
      </c>
      <c r="F994" s="6" t="s">
        <v>40</v>
      </c>
      <c r="G994" s="6">
        <v>67</v>
      </c>
      <c r="H994" s="7">
        <v>1016.59</v>
      </c>
      <c r="I994" s="7">
        <v>68111.53</v>
      </c>
      <c r="J994" s="8">
        <v>45506</v>
      </c>
      <c r="K994" s="6">
        <v>45</v>
      </c>
      <c r="L994" s="6" t="s">
        <v>41</v>
      </c>
      <c r="M994" s="6" t="b">
        <v>1</v>
      </c>
      <c r="N994" s="6">
        <v>29.67</v>
      </c>
      <c r="O994" s="6" t="s">
        <v>24</v>
      </c>
      <c r="P994" s="6" t="b">
        <v>0</v>
      </c>
      <c r="Q994" s="9" t="s">
        <v>36</v>
      </c>
    </row>
    <row r="995" spans="1:17" x14ac:dyDescent="0.25">
      <c r="A995" s="5" t="s">
        <v>1045</v>
      </c>
      <c r="B995" s="6" t="s">
        <v>32</v>
      </c>
      <c r="C995" s="6" t="s">
        <v>33</v>
      </c>
      <c r="D995" s="6" t="s">
        <v>64</v>
      </c>
      <c r="E995" s="6" t="s">
        <v>35</v>
      </c>
      <c r="F995" s="6" t="s">
        <v>22</v>
      </c>
      <c r="G995" s="6">
        <v>2</v>
      </c>
      <c r="H995" s="7">
        <v>927.75</v>
      </c>
      <c r="I995" s="7">
        <v>1855.5</v>
      </c>
      <c r="J995" s="8">
        <v>45105</v>
      </c>
      <c r="K995" s="6">
        <v>25</v>
      </c>
      <c r="L995" s="6" t="s">
        <v>23</v>
      </c>
      <c r="M995" s="6" t="b">
        <v>1</v>
      </c>
      <c r="N995" s="6">
        <v>1.43</v>
      </c>
      <c r="O995" s="6" t="s">
        <v>24</v>
      </c>
      <c r="P995" s="6" t="b">
        <v>1</v>
      </c>
      <c r="Q995" s="9" t="s">
        <v>36</v>
      </c>
    </row>
    <row r="996" spans="1:17" x14ac:dyDescent="0.25">
      <c r="A996" s="5" t="s">
        <v>1046</v>
      </c>
      <c r="B996" s="6" t="s">
        <v>18</v>
      </c>
      <c r="C996" s="6" t="s">
        <v>39</v>
      </c>
      <c r="D996" s="6" t="s">
        <v>52</v>
      </c>
      <c r="E996" s="6" t="s">
        <v>28</v>
      </c>
      <c r="F996" s="6" t="s">
        <v>48</v>
      </c>
      <c r="G996" s="6">
        <v>89</v>
      </c>
      <c r="H996" s="7">
        <v>176.27</v>
      </c>
      <c r="I996" s="7">
        <v>15688.03</v>
      </c>
      <c r="J996" s="8">
        <v>45283</v>
      </c>
      <c r="K996" s="6">
        <v>48</v>
      </c>
      <c r="L996" s="6" t="s">
        <v>23</v>
      </c>
      <c r="M996" s="6" t="b">
        <v>0</v>
      </c>
      <c r="N996" s="6">
        <v>8.65</v>
      </c>
      <c r="O996" s="6" t="s">
        <v>30</v>
      </c>
      <c r="P996" s="6" t="b">
        <v>1</v>
      </c>
      <c r="Q996" s="9" t="s">
        <v>36</v>
      </c>
    </row>
    <row r="997" spans="1:17" x14ac:dyDescent="0.25">
      <c r="A997" s="5" t="s">
        <v>1047</v>
      </c>
      <c r="B997" s="6" t="s">
        <v>46</v>
      </c>
      <c r="C997" s="6" t="s">
        <v>19</v>
      </c>
      <c r="D997" s="6" t="s">
        <v>20</v>
      </c>
      <c r="E997" s="6" t="s">
        <v>21</v>
      </c>
      <c r="F997" s="6" t="s">
        <v>29</v>
      </c>
      <c r="G997" s="6">
        <v>49</v>
      </c>
      <c r="H997" s="7">
        <v>102.95</v>
      </c>
      <c r="I997" s="7">
        <v>5044.55</v>
      </c>
      <c r="J997" s="8">
        <v>45345</v>
      </c>
      <c r="K997" s="6">
        <v>37</v>
      </c>
      <c r="L997" s="6" t="s">
        <v>23</v>
      </c>
      <c r="M997" s="6" t="b">
        <v>0</v>
      </c>
      <c r="N997" s="6">
        <v>14.81</v>
      </c>
      <c r="O997" s="6" t="s">
        <v>30</v>
      </c>
      <c r="P997" s="6" t="b">
        <v>0</v>
      </c>
      <c r="Q997" s="9" t="s">
        <v>36</v>
      </c>
    </row>
    <row r="998" spans="1:17" x14ac:dyDescent="0.25">
      <c r="A998" s="5" t="s">
        <v>1048</v>
      </c>
      <c r="B998" s="6" t="s">
        <v>46</v>
      </c>
      <c r="C998" s="6" t="s">
        <v>19</v>
      </c>
      <c r="D998" s="6" t="s">
        <v>34</v>
      </c>
      <c r="E998" s="6" t="s">
        <v>21</v>
      </c>
      <c r="F998" s="6" t="s">
        <v>29</v>
      </c>
      <c r="G998" s="6">
        <v>70</v>
      </c>
      <c r="H998" s="7">
        <v>949.42</v>
      </c>
      <c r="I998" s="7">
        <v>66459.399999999994</v>
      </c>
      <c r="J998" s="8">
        <v>45127</v>
      </c>
      <c r="K998" s="6">
        <v>44</v>
      </c>
      <c r="L998" s="6" t="s">
        <v>23</v>
      </c>
      <c r="M998" s="6" t="b">
        <v>1</v>
      </c>
      <c r="N998" s="6">
        <v>4.3</v>
      </c>
      <c r="O998" s="6" t="s">
        <v>56</v>
      </c>
      <c r="P998" s="6" t="b">
        <v>1</v>
      </c>
      <c r="Q998" s="9" t="s">
        <v>25</v>
      </c>
    </row>
    <row r="999" spans="1:17" x14ac:dyDescent="0.25">
      <c r="A999" s="5" t="s">
        <v>1049</v>
      </c>
      <c r="B999" s="6" t="s">
        <v>32</v>
      </c>
      <c r="C999" s="6" t="s">
        <v>19</v>
      </c>
      <c r="D999" s="6" t="s">
        <v>20</v>
      </c>
      <c r="E999" s="6" t="s">
        <v>28</v>
      </c>
      <c r="F999" s="6" t="s">
        <v>22</v>
      </c>
      <c r="G999" s="6">
        <v>26</v>
      </c>
      <c r="H999" s="7">
        <v>476.73</v>
      </c>
      <c r="I999" s="7">
        <v>12394.98</v>
      </c>
      <c r="J999" s="8">
        <v>44939</v>
      </c>
      <c r="K999" s="6">
        <v>25</v>
      </c>
      <c r="L999" s="6" t="s">
        <v>49</v>
      </c>
      <c r="M999" s="6" t="b">
        <v>0</v>
      </c>
      <c r="N999" s="6">
        <v>4.05</v>
      </c>
      <c r="O999" s="6" t="s">
        <v>56</v>
      </c>
      <c r="P999" s="6" t="b">
        <v>1</v>
      </c>
      <c r="Q999" s="9" t="s">
        <v>25</v>
      </c>
    </row>
    <row r="1000" spans="1:17" x14ac:dyDescent="0.25">
      <c r="A1000" s="5" t="s">
        <v>1050</v>
      </c>
      <c r="B1000" s="6" t="s">
        <v>66</v>
      </c>
      <c r="C1000" s="6" t="s">
        <v>39</v>
      </c>
      <c r="D1000" s="6" t="s">
        <v>34</v>
      </c>
      <c r="E1000" s="6" t="s">
        <v>28</v>
      </c>
      <c r="F1000" s="6" t="s">
        <v>29</v>
      </c>
      <c r="G1000" s="6">
        <v>72</v>
      </c>
      <c r="H1000" s="7">
        <v>175.35</v>
      </c>
      <c r="I1000" s="7">
        <v>12625.2</v>
      </c>
      <c r="J1000" s="8">
        <v>45369</v>
      </c>
      <c r="K1000" s="6">
        <v>38</v>
      </c>
      <c r="L1000" s="6" t="s">
        <v>41</v>
      </c>
      <c r="M1000" s="6" t="b">
        <v>1</v>
      </c>
      <c r="N1000" s="6">
        <v>7.69</v>
      </c>
      <c r="O1000" s="6" t="s">
        <v>24</v>
      </c>
      <c r="P1000" s="6" t="b">
        <v>0</v>
      </c>
      <c r="Q1000" s="9" t="s">
        <v>36</v>
      </c>
    </row>
    <row r="1001" spans="1:17" x14ac:dyDescent="0.25">
      <c r="A1001" s="5" t="s">
        <v>1051</v>
      </c>
      <c r="B1001" s="6" t="s">
        <v>76</v>
      </c>
      <c r="C1001" s="6" t="s">
        <v>39</v>
      </c>
      <c r="D1001" s="6" t="s">
        <v>52</v>
      </c>
      <c r="E1001" s="6" t="s">
        <v>44</v>
      </c>
      <c r="F1001" s="6" t="s">
        <v>48</v>
      </c>
      <c r="G1001" s="6">
        <v>99</v>
      </c>
      <c r="H1001" s="7">
        <v>1151.17</v>
      </c>
      <c r="I1001" s="7">
        <v>113965.83</v>
      </c>
      <c r="J1001" s="8">
        <v>45212</v>
      </c>
      <c r="K1001" s="6">
        <v>45</v>
      </c>
      <c r="L1001" s="6" t="s">
        <v>41</v>
      </c>
      <c r="M1001" s="6" t="b">
        <v>0</v>
      </c>
      <c r="N1001" s="6">
        <v>29.21</v>
      </c>
      <c r="O1001" s="6" t="s">
        <v>56</v>
      </c>
      <c r="P1001" s="6" t="b">
        <v>1</v>
      </c>
      <c r="Q1001" s="9" t="s">
        <v>36</v>
      </c>
    </row>
    <row r="1002" spans="1:17" x14ac:dyDescent="0.25">
      <c r="A1002" s="5" t="s">
        <v>1052</v>
      </c>
      <c r="B1002" s="6" t="s">
        <v>72</v>
      </c>
      <c r="C1002" s="6" t="s">
        <v>33</v>
      </c>
      <c r="D1002" s="6" t="s">
        <v>52</v>
      </c>
      <c r="E1002" s="6" t="s">
        <v>44</v>
      </c>
      <c r="F1002" s="6" t="s">
        <v>29</v>
      </c>
      <c r="G1002" s="6">
        <v>27</v>
      </c>
      <c r="H1002" s="7">
        <v>505.36</v>
      </c>
      <c r="I1002" s="7">
        <v>13644.72</v>
      </c>
      <c r="J1002" s="8">
        <v>45184</v>
      </c>
      <c r="K1002" s="6">
        <v>40</v>
      </c>
      <c r="L1002" s="6" t="s">
        <v>41</v>
      </c>
      <c r="M1002" s="6" t="b">
        <v>1</v>
      </c>
      <c r="N1002" s="6">
        <v>11.4</v>
      </c>
      <c r="O1002" s="6" t="s">
        <v>56</v>
      </c>
      <c r="P1002" s="6" t="b">
        <v>1</v>
      </c>
      <c r="Q1002" s="9" t="s">
        <v>36</v>
      </c>
    </row>
    <row r="1003" spans="1:17" x14ac:dyDescent="0.25">
      <c r="A1003" s="5" t="s">
        <v>1053</v>
      </c>
      <c r="B1003" s="6" t="s">
        <v>32</v>
      </c>
      <c r="C1003" s="6" t="s">
        <v>33</v>
      </c>
      <c r="D1003" s="6" t="s">
        <v>20</v>
      </c>
      <c r="E1003" s="6" t="s">
        <v>35</v>
      </c>
      <c r="F1003" s="6" t="s">
        <v>40</v>
      </c>
      <c r="G1003" s="6">
        <v>89</v>
      </c>
      <c r="H1003" s="7">
        <v>716.42</v>
      </c>
      <c r="I1003" s="7">
        <v>63761.38</v>
      </c>
      <c r="J1003" s="8">
        <v>45496</v>
      </c>
      <c r="K1003" s="6">
        <v>23</v>
      </c>
      <c r="L1003" s="6" t="s">
        <v>41</v>
      </c>
      <c r="M1003" s="6" t="b">
        <v>1</v>
      </c>
      <c r="N1003" s="6">
        <v>16.98</v>
      </c>
      <c r="O1003" s="6" t="s">
        <v>30</v>
      </c>
      <c r="P1003" s="6" t="b">
        <v>1</v>
      </c>
      <c r="Q1003" s="9" t="s">
        <v>36</v>
      </c>
    </row>
    <row r="1004" spans="1:17" x14ac:dyDescent="0.25">
      <c r="A1004" s="5" t="s">
        <v>1054</v>
      </c>
      <c r="B1004" s="6" t="s">
        <v>27</v>
      </c>
      <c r="C1004" s="6" t="s">
        <v>39</v>
      </c>
      <c r="D1004" s="6" t="s">
        <v>34</v>
      </c>
      <c r="E1004" s="6" t="s">
        <v>35</v>
      </c>
      <c r="F1004" s="6" t="s">
        <v>40</v>
      </c>
      <c r="G1004" s="6">
        <v>18</v>
      </c>
      <c r="H1004" s="7">
        <v>393.38</v>
      </c>
      <c r="I1004" s="7">
        <v>7080.84</v>
      </c>
      <c r="J1004" s="8">
        <v>45474</v>
      </c>
      <c r="K1004" s="6">
        <v>20</v>
      </c>
      <c r="L1004" s="6" t="s">
        <v>41</v>
      </c>
      <c r="M1004" s="6" t="b">
        <v>1</v>
      </c>
      <c r="N1004" s="6">
        <v>21.13</v>
      </c>
      <c r="O1004" s="6" t="s">
        <v>56</v>
      </c>
      <c r="P1004" s="6" t="b">
        <v>1</v>
      </c>
      <c r="Q1004" s="9" t="s">
        <v>36</v>
      </c>
    </row>
    <row r="1005" spans="1:17" x14ac:dyDescent="0.25">
      <c r="A1005" s="5" t="s">
        <v>1055</v>
      </c>
      <c r="B1005" s="6" t="s">
        <v>27</v>
      </c>
      <c r="C1005" s="6" t="s">
        <v>19</v>
      </c>
      <c r="D1005" s="6" t="s">
        <v>52</v>
      </c>
      <c r="E1005" s="6" t="s">
        <v>35</v>
      </c>
      <c r="F1005" s="6" t="s">
        <v>48</v>
      </c>
      <c r="G1005" s="6">
        <v>54</v>
      </c>
      <c r="H1005" s="7">
        <v>959.61</v>
      </c>
      <c r="I1005" s="7">
        <v>51818.94</v>
      </c>
      <c r="J1005" s="8">
        <v>45416</v>
      </c>
      <c r="K1005" s="6">
        <v>22</v>
      </c>
      <c r="L1005" s="6" t="s">
        <v>49</v>
      </c>
      <c r="M1005" s="6" t="b">
        <v>0</v>
      </c>
      <c r="N1005" s="6">
        <v>22.27</v>
      </c>
      <c r="O1005" s="6" t="s">
        <v>24</v>
      </c>
      <c r="P1005" s="6" t="b">
        <v>0</v>
      </c>
      <c r="Q1005" s="9" t="s">
        <v>25</v>
      </c>
    </row>
    <row r="1006" spans="1:17" x14ac:dyDescent="0.25">
      <c r="A1006" s="5" t="s">
        <v>1056</v>
      </c>
      <c r="B1006" s="6" t="s">
        <v>38</v>
      </c>
      <c r="C1006" s="6" t="s">
        <v>19</v>
      </c>
      <c r="D1006" s="6" t="s">
        <v>64</v>
      </c>
      <c r="E1006" s="6" t="s">
        <v>35</v>
      </c>
      <c r="F1006" s="6" t="s">
        <v>40</v>
      </c>
      <c r="G1006" s="6">
        <v>1</v>
      </c>
      <c r="H1006" s="7">
        <v>487.16</v>
      </c>
      <c r="I1006" s="7">
        <v>487.16</v>
      </c>
      <c r="J1006" s="8">
        <v>45424</v>
      </c>
      <c r="K1006" s="6">
        <v>26</v>
      </c>
      <c r="L1006" s="6" t="s">
        <v>23</v>
      </c>
      <c r="M1006" s="6" t="b">
        <v>1</v>
      </c>
      <c r="N1006" s="6">
        <v>20.64</v>
      </c>
      <c r="O1006" s="6" t="s">
        <v>30</v>
      </c>
      <c r="P1006" s="6" t="b">
        <v>0</v>
      </c>
      <c r="Q1006" s="9" t="s">
        <v>36</v>
      </c>
    </row>
    <row r="1007" spans="1:17" x14ac:dyDescent="0.25">
      <c r="A1007" s="5" t="s">
        <v>1057</v>
      </c>
      <c r="B1007" s="6" t="s">
        <v>32</v>
      </c>
      <c r="C1007" s="6" t="s">
        <v>19</v>
      </c>
      <c r="D1007" s="6" t="s">
        <v>64</v>
      </c>
      <c r="E1007" s="6" t="s">
        <v>44</v>
      </c>
      <c r="F1007" s="6" t="s">
        <v>22</v>
      </c>
      <c r="G1007" s="6">
        <v>61</v>
      </c>
      <c r="H1007" s="7">
        <v>1453.63</v>
      </c>
      <c r="I1007" s="7">
        <v>88671.43</v>
      </c>
      <c r="J1007" s="8">
        <v>45259</v>
      </c>
      <c r="K1007" s="6">
        <v>24</v>
      </c>
      <c r="L1007" s="6" t="s">
        <v>23</v>
      </c>
      <c r="M1007" s="6" t="b">
        <v>1</v>
      </c>
      <c r="N1007" s="6">
        <v>10.11</v>
      </c>
      <c r="O1007" s="6" t="s">
        <v>56</v>
      </c>
      <c r="P1007" s="6" t="b">
        <v>1</v>
      </c>
      <c r="Q1007" s="9" t="s">
        <v>36</v>
      </c>
    </row>
    <row r="1008" spans="1:17" x14ac:dyDescent="0.25">
      <c r="A1008" s="5" t="s">
        <v>1058</v>
      </c>
      <c r="B1008" s="6" t="s">
        <v>38</v>
      </c>
      <c r="C1008" s="6" t="s">
        <v>33</v>
      </c>
      <c r="D1008" s="6" t="s">
        <v>34</v>
      </c>
      <c r="E1008" s="6" t="s">
        <v>21</v>
      </c>
      <c r="F1008" s="6" t="s">
        <v>29</v>
      </c>
      <c r="G1008" s="6">
        <v>3</v>
      </c>
      <c r="H1008" s="7">
        <v>1069.27</v>
      </c>
      <c r="I1008" s="7">
        <v>3207.81</v>
      </c>
      <c r="J1008" s="8">
        <v>45488</v>
      </c>
      <c r="K1008" s="6">
        <v>21</v>
      </c>
      <c r="L1008" s="6" t="s">
        <v>41</v>
      </c>
      <c r="M1008" s="6" t="b">
        <v>0</v>
      </c>
      <c r="N1008" s="6">
        <v>3.35</v>
      </c>
      <c r="O1008" s="6" t="s">
        <v>56</v>
      </c>
      <c r="P1008" s="6" t="b">
        <v>0</v>
      </c>
      <c r="Q1008" s="9" t="s">
        <v>36</v>
      </c>
    </row>
    <row r="1009" spans="1:17" x14ac:dyDescent="0.25">
      <c r="A1009" s="5" t="s">
        <v>1059</v>
      </c>
      <c r="B1009" s="6" t="s">
        <v>32</v>
      </c>
      <c r="C1009" s="6" t="s">
        <v>19</v>
      </c>
      <c r="D1009" s="6" t="s">
        <v>20</v>
      </c>
      <c r="E1009" s="6" t="s">
        <v>35</v>
      </c>
      <c r="F1009" s="6" t="s">
        <v>48</v>
      </c>
      <c r="G1009" s="6">
        <v>68</v>
      </c>
      <c r="H1009" s="7">
        <v>248.25</v>
      </c>
      <c r="I1009" s="7">
        <v>16881</v>
      </c>
      <c r="J1009" s="8">
        <v>44958</v>
      </c>
      <c r="K1009" s="6">
        <v>56</v>
      </c>
      <c r="L1009" s="6" t="s">
        <v>23</v>
      </c>
      <c r="M1009" s="6" t="b">
        <v>0</v>
      </c>
      <c r="N1009" s="6">
        <v>8.4499999999999993</v>
      </c>
      <c r="O1009" s="6" t="s">
        <v>56</v>
      </c>
      <c r="P1009" s="6" t="b">
        <v>0</v>
      </c>
      <c r="Q1009" s="9" t="s">
        <v>25</v>
      </c>
    </row>
    <row r="1010" spans="1:17" x14ac:dyDescent="0.25">
      <c r="A1010" s="5" t="s">
        <v>1060</v>
      </c>
      <c r="B1010" s="6" t="s">
        <v>46</v>
      </c>
      <c r="C1010" s="6" t="s">
        <v>33</v>
      </c>
      <c r="D1010" s="6" t="s">
        <v>52</v>
      </c>
      <c r="E1010" s="6" t="s">
        <v>21</v>
      </c>
      <c r="F1010" s="6" t="s">
        <v>22</v>
      </c>
      <c r="G1010" s="6">
        <v>41</v>
      </c>
      <c r="H1010" s="7">
        <v>654.21</v>
      </c>
      <c r="I1010" s="7">
        <v>26822.61</v>
      </c>
      <c r="J1010" s="8">
        <v>45536</v>
      </c>
      <c r="K1010" s="6">
        <v>22</v>
      </c>
      <c r="L1010" s="6" t="s">
        <v>23</v>
      </c>
      <c r="M1010" s="6" t="b">
        <v>1</v>
      </c>
      <c r="N1010" s="6">
        <v>6.31</v>
      </c>
      <c r="O1010" s="6" t="s">
        <v>42</v>
      </c>
      <c r="P1010" s="6" t="b">
        <v>0</v>
      </c>
      <c r="Q1010" s="9" t="s">
        <v>25</v>
      </c>
    </row>
    <row r="1011" spans="1:17" x14ac:dyDescent="0.25">
      <c r="A1011" s="5" t="s">
        <v>1061</v>
      </c>
      <c r="B1011" s="6" t="s">
        <v>72</v>
      </c>
      <c r="C1011" s="6" t="s">
        <v>33</v>
      </c>
      <c r="D1011" s="6" t="s">
        <v>20</v>
      </c>
      <c r="E1011" s="6" t="s">
        <v>35</v>
      </c>
      <c r="F1011" s="6" t="s">
        <v>29</v>
      </c>
      <c r="G1011" s="6">
        <v>37</v>
      </c>
      <c r="H1011" s="7">
        <v>608.86</v>
      </c>
      <c r="I1011" s="7">
        <v>22527.82</v>
      </c>
      <c r="J1011" s="8">
        <v>44969</v>
      </c>
      <c r="K1011" s="6">
        <v>28</v>
      </c>
      <c r="L1011" s="6" t="s">
        <v>23</v>
      </c>
      <c r="M1011" s="6" t="b">
        <v>1</v>
      </c>
      <c r="N1011" s="6">
        <v>4.09</v>
      </c>
      <c r="O1011" s="6" t="s">
        <v>56</v>
      </c>
      <c r="P1011" s="6" t="b">
        <v>1</v>
      </c>
      <c r="Q1011" s="9" t="s">
        <v>36</v>
      </c>
    </row>
    <row r="1012" spans="1:17" x14ac:dyDescent="0.25">
      <c r="A1012" s="5" t="s">
        <v>1062</v>
      </c>
      <c r="B1012" s="6" t="s">
        <v>46</v>
      </c>
      <c r="C1012" s="6" t="s">
        <v>19</v>
      </c>
      <c r="D1012" s="6" t="s">
        <v>64</v>
      </c>
      <c r="E1012" s="6" t="s">
        <v>28</v>
      </c>
      <c r="F1012" s="6" t="s">
        <v>22</v>
      </c>
      <c r="G1012" s="6">
        <v>51</v>
      </c>
      <c r="H1012" s="7">
        <v>824.66</v>
      </c>
      <c r="I1012" s="7">
        <v>42057.66</v>
      </c>
      <c r="J1012" s="8">
        <v>45277</v>
      </c>
      <c r="K1012" s="6">
        <v>32</v>
      </c>
      <c r="L1012" s="6" t="s">
        <v>41</v>
      </c>
      <c r="M1012" s="6" t="b">
        <v>0</v>
      </c>
      <c r="N1012" s="6">
        <v>0.73</v>
      </c>
      <c r="O1012" s="6" t="s">
        <v>56</v>
      </c>
      <c r="P1012" s="6" t="b">
        <v>1</v>
      </c>
      <c r="Q1012" s="9" t="s">
        <v>25</v>
      </c>
    </row>
    <row r="1013" spans="1:17" x14ac:dyDescent="0.25">
      <c r="A1013" s="5" t="s">
        <v>1063</v>
      </c>
      <c r="B1013" s="6" t="s">
        <v>76</v>
      </c>
      <c r="C1013" s="6" t="s">
        <v>19</v>
      </c>
      <c r="D1013" s="6" t="s">
        <v>52</v>
      </c>
      <c r="E1013" s="6" t="s">
        <v>35</v>
      </c>
      <c r="F1013" s="6" t="s">
        <v>48</v>
      </c>
      <c r="G1013" s="6">
        <v>15</v>
      </c>
      <c r="H1013" s="7">
        <v>1270.8</v>
      </c>
      <c r="I1013" s="7">
        <v>19062</v>
      </c>
      <c r="J1013" s="8">
        <v>45260</v>
      </c>
      <c r="K1013" s="6">
        <v>51</v>
      </c>
      <c r="L1013" s="6" t="s">
        <v>41</v>
      </c>
      <c r="M1013" s="6" t="b">
        <v>1</v>
      </c>
      <c r="N1013" s="6">
        <v>28.07</v>
      </c>
      <c r="O1013" s="6" t="s">
        <v>24</v>
      </c>
      <c r="P1013" s="6" t="b">
        <v>0</v>
      </c>
      <c r="Q1013" s="9" t="s">
        <v>25</v>
      </c>
    </row>
    <row r="1014" spans="1:17" x14ac:dyDescent="0.25">
      <c r="A1014" s="5" t="s">
        <v>1064</v>
      </c>
      <c r="B1014" s="6" t="s">
        <v>62</v>
      </c>
      <c r="C1014" s="6" t="s">
        <v>39</v>
      </c>
      <c r="D1014" s="6" t="s">
        <v>20</v>
      </c>
      <c r="E1014" s="6" t="s">
        <v>35</v>
      </c>
      <c r="F1014" s="6" t="s">
        <v>48</v>
      </c>
      <c r="G1014" s="6">
        <v>8</v>
      </c>
      <c r="H1014" s="7">
        <v>895.96</v>
      </c>
      <c r="I1014" s="7">
        <v>7167.68</v>
      </c>
      <c r="J1014" s="8">
        <v>45485</v>
      </c>
      <c r="K1014" s="6">
        <v>30</v>
      </c>
      <c r="L1014" s="6" t="s">
        <v>49</v>
      </c>
      <c r="M1014" s="6" t="b">
        <v>0</v>
      </c>
      <c r="N1014" s="6">
        <v>27.63</v>
      </c>
      <c r="O1014" s="6" t="s">
        <v>56</v>
      </c>
      <c r="P1014" s="6" t="b">
        <v>0</v>
      </c>
      <c r="Q1014" s="9" t="s">
        <v>25</v>
      </c>
    </row>
    <row r="1015" spans="1:17" x14ac:dyDescent="0.25">
      <c r="A1015" s="5" t="s">
        <v>1065</v>
      </c>
      <c r="B1015" s="6" t="s">
        <v>51</v>
      </c>
      <c r="C1015" s="6" t="s">
        <v>39</v>
      </c>
      <c r="D1015" s="6" t="s">
        <v>47</v>
      </c>
      <c r="E1015" s="6" t="s">
        <v>35</v>
      </c>
      <c r="F1015" s="6" t="s">
        <v>22</v>
      </c>
      <c r="G1015" s="6">
        <v>38</v>
      </c>
      <c r="H1015" s="7">
        <v>139.26</v>
      </c>
      <c r="I1015" s="7">
        <v>5291.88</v>
      </c>
      <c r="J1015" s="8">
        <v>45196</v>
      </c>
      <c r="K1015" s="6">
        <v>65</v>
      </c>
      <c r="L1015" s="6" t="s">
        <v>41</v>
      </c>
      <c r="M1015" s="6" t="b">
        <v>0</v>
      </c>
      <c r="N1015" s="6">
        <v>1.51</v>
      </c>
      <c r="O1015" s="6" t="s">
        <v>42</v>
      </c>
      <c r="P1015" s="6" t="b">
        <v>0</v>
      </c>
      <c r="Q1015" s="9" t="s">
        <v>25</v>
      </c>
    </row>
    <row r="1016" spans="1:17" x14ac:dyDescent="0.25">
      <c r="A1016" s="5" t="s">
        <v>1066</v>
      </c>
      <c r="B1016" s="6" t="s">
        <v>32</v>
      </c>
      <c r="C1016" s="6" t="s">
        <v>19</v>
      </c>
      <c r="D1016" s="6" t="s">
        <v>34</v>
      </c>
      <c r="E1016" s="6" t="s">
        <v>44</v>
      </c>
      <c r="F1016" s="6" t="s">
        <v>29</v>
      </c>
      <c r="G1016" s="6">
        <v>83</v>
      </c>
      <c r="H1016" s="7">
        <v>1000.35</v>
      </c>
      <c r="I1016" s="7">
        <v>83029.05</v>
      </c>
      <c r="J1016" s="8">
        <v>45339</v>
      </c>
      <c r="K1016" s="6">
        <v>24</v>
      </c>
      <c r="L1016" s="6" t="s">
        <v>49</v>
      </c>
      <c r="M1016" s="6" t="b">
        <v>0</v>
      </c>
      <c r="N1016" s="6">
        <v>5.19</v>
      </c>
      <c r="O1016" s="6" t="s">
        <v>30</v>
      </c>
      <c r="P1016" s="6" t="b">
        <v>0</v>
      </c>
      <c r="Q1016" s="9" t="s">
        <v>25</v>
      </c>
    </row>
    <row r="1017" spans="1:17" x14ac:dyDescent="0.25">
      <c r="A1017" s="5" t="s">
        <v>1067</v>
      </c>
      <c r="B1017" s="6" t="s">
        <v>76</v>
      </c>
      <c r="C1017" s="6" t="s">
        <v>33</v>
      </c>
      <c r="D1017" s="6" t="s">
        <v>34</v>
      </c>
      <c r="E1017" s="6" t="s">
        <v>28</v>
      </c>
      <c r="F1017" s="6" t="s">
        <v>40</v>
      </c>
      <c r="G1017" s="6">
        <v>56</v>
      </c>
      <c r="H1017" s="7">
        <v>61.98</v>
      </c>
      <c r="I1017" s="7">
        <v>3470.88</v>
      </c>
      <c r="J1017" s="8">
        <v>45501</v>
      </c>
      <c r="K1017" s="6">
        <v>57</v>
      </c>
      <c r="L1017" s="6" t="s">
        <v>41</v>
      </c>
      <c r="M1017" s="6" t="b">
        <v>1</v>
      </c>
      <c r="N1017" s="6">
        <v>4.1900000000000004</v>
      </c>
      <c r="O1017" s="6" t="s">
        <v>56</v>
      </c>
      <c r="P1017" s="6" t="b">
        <v>1</v>
      </c>
      <c r="Q1017" s="9" t="s">
        <v>25</v>
      </c>
    </row>
    <row r="1018" spans="1:17" x14ac:dyDescent="0.25">
      <c r="A1018" s="5" t="s">
        <v>1068</v>
      </c>
      <c r="B1018" s="6" t="s">
        <v>62</v>
      </c>
      <c r="C1018" s="6" t="s">
        <v>33</v>
      </c>
      <c r="D1018" s="6" t="s">
        <v>47</v>
      </c>
      <c r="E1018" s="6" t="s">
        <v>35</v>
      </c>
      <c r="F1018" s="6" t="s">
        <v>40</v>
      </c>
      <c r="G1018" s="6">
        <v>47</v>
      </c>
      <c r="H1018" s="7">
        <v>1180.94</v>
      </c>
      <c r="I1018" s="7">
        <v>55504.18</v>
      </c>
      <c r="J1018" s="8">
        <v>44945</v>
      </c>
      <c r="K1018" s="6">
        <v>23</v>
      </c>
      <c r="L1018" s="6" t="s">
        <v>23</v>
      </c>
      <c r="M1018" s="6" t="b">
        <v>0</v>
      </c>
      <c r="N1018" s="6">
        <v>8.44</v>
      </c>
      <c r="O1018" s="6" t="s">
        <v>56</v>
      </c>
      <c r="P1018" s="6" t="b">
        <v>0</v>
      </c>
      <c r="Q1018" s="9" t="s">
        <v>25</v>
      </c>
    </row>
    <row r="1019" spans="1:17" x14ac:dyDescent="0.25">
      <c r="A1019" s="5" t="s">
        <v>1069</v>
      </c>
      <c r="B1019" s="6" t="s">
        <v>18</v>
      </c>
      <c r="C1019" s="6" t="s">
        <v>33</v>
      </c>
      <c r="D1019" s="6" t="s">
        <v>64</v>
      </c>
      <c r="E1019" s="6" t="s">
        <v>35</v>
      </c>
      <c r="F1019" s="6" t="s">
        <v>22</v>
      </c>
      <c r="G1019" s="6">
        <v>90</v>
      </c>
      <c r="H1019" s="7">
        <v>1016.62</v>
      </c>
      <c r="I1019" s="7">
        <v>91495.8</v>
      </c>
      <c r="J1019" s="8">
        <v>45273</v>
      </c>
      <c r="K1019" s="6">
        <v>56</v>
      </c>
      <c r="L1019" s="6" t="s">
        <v>49</v>
      </c>
      <c r="M1019" s="6" t="b">
        <v>1</v>
      </c>
      <c r="N1019" s="6">
        <v>6.12</v>
      </c>
      <c r="O1019" s="6" t="s">
        <v>24</v>
      </c>
      <c r="P1019" s="6" t="b">
        <v>1</v>
      </c>
      <c r="Q1019" s="9" t="s">
        <v>25</v>
      </c>
    </row>
    <row r="1020" spans="1:17" x14ac:dyDescent="0.25">
      <c r="A1020" s="5" t="s">
        <v>1070</v>
      </c>
      <c r="B1020" s="6" t="s">
        <v>72</v>
      </c>
      <c r="C1020" s="6" t="s">
        <v>33</v>
      </c>
      <c r="D1020" s="6" t="s">
        <v>52</v>
      </c>
      <c r="E1020" s="6" t="s">
        <v>21</v>
      </c>
      <c r="F1020" s="6" t="s">
        <v>48</v>
      </c>
      <c r="G1020" s="6">
        <v>10</v>
      </c>
      <c r="H1020" s="7">
        <v>497.74</v>
      </c>
      <c r="I1020" s="7">
        <v>4977.3999999999996</v>
      </c>
      <c r="J1020" s="8">
        <v>45539</v>
      </c>
      <c r="K1020" s="6">
        <v>67</v>
      </c>
      <c r="L1020" s="6" t="s">
        <v>49</v>
      </c>
      <c r="M1020" s="6" t="b">
        <v>1</v>
      </c>
      <c r="N1020" s="6">
        <v>28.38</v>
      </c>
      <c r="O1020" s="6" t="s">
        <v>56</v>
      </c>
      <c r="P1020" s="6" t="b">
        <v>1</v>
      </c>
      <c r="Q1020" s="9" t="s">
        <v>36</v>
      </c>
    </row>
    <row r="1021" spans="1:17" x14ac:dyDescent="0.25">
      <c r="A1021" s="5" t="s">
        <v>1071</v>
      </c>
      <c r="B1021" s="6" t="s">
        <v>38</v>
      </c>
      <c r="C1021" s="6" t="s">
        <v>33</v>
      </c>
      <c r="D1021" s="6" t="s">
        <v>34</v>
      </c>
      <c r="E1021" s="6" t="s">
        <v>28</v>
      </c>
      <c r="F1021" s="6" t="s">
        <v>29</v>
      </c>
      <c r="G1021" s="6">
        <v>78</v>
      </c>
      <c r="H1021" s="7">
        <v>474.04</v>
      </c>
      <c r="I1021" s="7">
        <v>36975.120000000003</v>
      </c>
      <c r="J1021" s="8">
        <v>44963</v>
      </c>
      <c r="K1021" s="6">
        <v>47</v>
      </c>
      <c r="L1021" s="6" t="s">
        <v>49</v>
      </c>
      <c r="M1021" s="6" t="b">
        <v>0</v>
      </c>
      <c r="N1021" s="6">
        <v>2.5299999999999998</v>
      </c>
      <c r="O1021" s="6" t="s">
        <v>56</v>
      </c>
      <c r="P1021" s="6" t="b">
        <v>1</v>
      </c>
      <c r="Q1021" s="9" t="s">
        <v>36</v>
      </c>
    </row>
    <row r="1022" spans="1:17" x14ac:dyDescent="0.25">
      <c r="A1022" s="5" t="s">
        <v>1072</v>
      </c>
      <c r="B1022" s="6" t="s">
        <v>38</v>
      </c>
      <c r="C1022" s="6" t="s">
        <v>39</v>
      </c>
      <c r="D1022" s="6" t="s">
        <v>47</v>
      </c>
      <c r="E1022" s="6" t="s">
        <v>35</v>
      </c>
      <c r="F1022" s="6" t="s">
        <v>29</v>
      </c>
      <c r="G1022" s="6">
        <v>49</v>
      </c>
      <c r="H1022" s="7">
        <v>1207.5</v>
      </c>
      <c r="I1022" s="7">
        <v>59167.5</v>
      </c>
      <c r="J1022" s="8">
        <v>45545</v>
      </c>
      <c r="K1022" s="6">
        <v>39</v>
      </c>
      <c r="L1022" s="6" t="s">
        <v>41</v>
      </c>
      <c r="M1022" s="6" t="b">
        <v>0</v>
      </c>
      <c r="N1022" s="6">
        <v>6.35</v>
      </c>
      <c r="O1022" s="6" t="s">
        <v>56</v>
      </c>
      <c r="P1022" s="6" t="b">
        <v>1</v>
      </c>
      <c r="Q1022" s="9" t="s">
        <v>25</v>
      </c>
    </row>
    <row r="1023" spans="1:17" x14ac:dyDescent="0.25">
      <c r="A1023" s="5" t="s">
        <v>1073</v>
      </c>
      <c r="B1023" s="6" t="s">
        <v>46</v>
      </c>
      <c r="C1023" s="6" t="s">
        <v>19</v>
      </c>
      <c r="D1023" s="6" t="s">
        <v>47</v>
      </c>
      <c r="E1023" s="6" t="s">
        <v>21</v>
      </c>
      <c r="F1023" s="6" t="s">
        <v>48</v>
      </c>
      <c r="G1023" s="6">
        <v>41</v>
      </c>
      <c r="H1023" s="7">
        <v>1185.8399999999999</v>
      </c>
      <c r="I1023" s="7">
        <v>48619.44</v>
      </c>
      <c r="J1023" s="8">
        <v>45018</v>
      </c>
      <c r="K1023" s="6">
        <v>42</v>
      </c>
      <c r="L1023" s="6" t="s">
        <v>49</v>
      </c>
      <c r="M1023" s="6" t="b">
        <v>0</v>
      </c>
      <c r="N1023" s="6">
        <v>2.42</v>
      </c>
      <c r="O1023" s="6" t="s">
        <v>56</v>
      </c>
      <c r="P1023" s="6" t="b">
        <v>1</v>
      </c>
      <c r="Q1023" s="9" t="s">
        <v>25</v>
      </c>
    </row>
    <row r="1024" spans="1:17" x14ac:dyDescent="0.25">
      <c r="A1024" s="5" t="s">
        <v>1074</v>
      </c>
      <c r="B1024" s="6" t="s">
        <v>27</v>
      </c>
      <c r="C1024" s="6" t="s">
        <v>39</v>
      </c>
      <c r="D1024" s="6" t="s">
        <v>64</v>
      </c>
      <c r="E1024" s="6" t="s">
        <v>21</v>
      </c>
      <c r="F1024" s="6" t="s">
        <v>40</v>
      </c>
      <c r="G1024" s="6">
        <v>83</v>
      </c>
      <c r="H1024" s="7">
        <v>560.84</v>
      </c>
      <c r="I1024" s="7">
        <v>46549.72</v>
      </c>
      <c r="J1024" s="8">
        <v>45111</v>
      </c>
      <c r="K1024" s="6">
        <v>45</v>
      </c>
      <c r="L1024" s="6" t="s">
        <v>41</v>
      </c>
      <c r="M1024" s="6" t="b">
        <v>0</v>
      </c>
      <c r="N1024" s="6">
        <v>29.41</v>
      </c>
      <c r="O1024" s="6" t="s">
        <v>30</v>
      </c>
      <c r="P1024" s="6" t="b">
        <v>1</v>
      </c>
      <c r="Q1024" s="9" t="s">
        <v>36</v>
      </c>
    </row>
    <row r="1025" spans="1:17" x14ac:dyDescent="0.25">
      <c r="A1025" s="5" t="s">
        <v>1075</v>
      </c>
      <c r="B1025" s="6" t="s">
        <v>62</v>
      </c>
      <c r="C1025" s="6" t="s">
        <v>33</v>
      </c>
      <c r="D1025" s="6" t="s">
        <v>64</v>
      </c>
      <c r="E1025" s="6" t="s">
        <v>44</v>
      </c>
      <c r="F1025" s="6" t="s">
        <v>29</v>
      </c>
      <c r="G1025" s="6">
        <v>30</v>
      </c>
      <c r="H1025" s="7">
        <v>483.47</v>
      </c>
      <c r="I1025" s="7">
        <v>14504.1</v>
      </c>
      <c r="J1025" s="8">
        <v>44954</v>
      </c>
      <c r="K1025" s="6">
        <v>37</v>
      </c>
      <c r="L1025" s="6" t="s">
        <v>49</v>
      </c>
      <c r="M1025" s="6" t="b">
        <v>1</v>
      </c>
      <c r="N1025" s="6">
        <v>27.55</v>
      </c>
      <c r="O1025" s="6" t="s">
        <v>24</v>
      </c>
      <c r="P1025" s="6" t="b">
        <v>1</v>
      </c>
      <c r="Q1025" s="9" t="s">
        <v>36</v>
      </c>
    </row>
    <row r="1026" spans="1:17" x14ac:dyDescent="0.25">
      <c r="A1026" s="5" t="s">
        <v>1076</v>
      </c>
      <c r="B1026" s="6" t="s">
        <v>18</v>
      </c>
      <c r="C1026" s="6" t="s">
        <v>33</v>
      </c>
      <c r="D1026" s="6" t="s">
        <v>20</v>
      </c>
      <c r="E1026" s="6" t="s">
        <v>21</v>
      </c>
      <c r="F1026" s="6" t="s">
        <v>22</v>
      </c>
      <c r="G1026" s="6">
        <v>5</v>
      </c>
      <c r="H1026" s="7">
        <v>861.75</v>
      </c>
      <c r="I1026" s="7">
        <v>4308.75</v>
      </c>
      <c r="J1026" s="8">
        <v>45474</v>
      </c>
      <c r="K1026" s="6">
        <v>56</v>
      </c>
      <c r="L1026" s="6" t="s">
        <v>41</v>
      </c>
      <c r="M1026" s="6" t="b">
        <v>1</v>
      </c>
      <c r="N1026" s="6">
        <v>21.5</v>
      </c>
      <c r="O1026" s="6" t="s">
        <v>30</v>
      </c>
      <c r="P1026" s="6" t="b">
        <v>0</v>
      </c>
      <c r="Q1026" s="9" t="s">
        <v>25</v>
      </c>
    </row>
    <row r="1027" spans="1:17" x14ac:dyDescent="0.25">
      <c r="A1027" s="5" t="s">
        <v>1077</v>
      </c>
      <c r="B1027" s="6" t="s">
        <v>76</v>
      </c>
      <c r="C1027" s="6" t="s">
        <v>33</v>
      </c>
      <c r="D1027" s="6" t="s">
        <v>34</v>
      </c>
      <c r="E1027" s="6" t="s">
        <v>35</v>
      </c>
      <c r="F1027" s="6" t="s">
        <v>40</v>
      </c>
      <c r="G1027" s="6">
        <v>95</v>
      </c>
      <c r="H1027" s="7">
        <v>62.13</v>
      </c>
      <c r="I1027" s="7">
        <v>5902.35</v>
      </c>
      <c r="J1027" s="8">
        <v>45298</v>
      </c>
      <c r="K1027" s="6">
        <v>20</v>
      </c>
      <c r="L1027" s="6" t="s">
        <v>49</v>
      </c>
      <c r="M1027" s="6" t="b">
        <v>0</v>
      </c>
      <c r="N1027" s="6">
        <v>12.78</v>
      </c>
      <c r="O1027" s="6" t="s">
        <v>42</v>
      </c>
      <c r="P1027" s="6" t="b">
        <v>1</v>
      </c>
      <c r="Q1027" s="9" t="s">
        <v>36</v>
      </c>
    </row>
    <row r="1028" spans="1:17" x14ac:dyDescent="0.25">
      <c r="A1028" s="5" t="s">
        <v>1078</v>
      </c>
      <c r="B1028" s="6" t="s">
        <v>72</v>
      </c>
      <c r="C1028" s="6" t="s">
        <v>33</v>
      </c>
      <c r="D1028" s="6" t="s">
        <v>20</v>
      </c>
      <c r="E1028" s="6" t="s">
        <v>44</v>
      </c>
      <c r="F1028" s="6" t="s">
        <v>22</v>
      </c>
      <c r="G1028" s="6">
        <v>71</v>
      </c>
      <c r="H1028" s="7">
        <v>169.87</v>
      </c>
      <c r="I1028" s="7">
        <v>12060.77</v>
      </c>
      <c r="J1028" s="8">
        <v>45456</v>
      </c>
      <c r="K1028" s="6">
        <v>22</v>
      </c>
      <c r="L1028" s="6" t="s">
        <v>23</v>
      </c>
      <c r="M1028" s="6" t="b">
        <v>1</v>
      </c>
      <c r="N1028" s="6">
        <v>5.71</v>
      </c>
      <c r="O1028" s="6" t="s">
        <v>56</v>
      </c>
      <c r="P1028" s="6" t="b">
        <v>0</v>
      </c>
      <c r="Q1028" s="9" t="s">
        <v>25</v>
      </c>
    </row>
    <row r="1029" spans="1:17" x14ac:dyDescent="0.25">
      <c r="A1029" s="5" t="s">
        <v>1079</v>
      </c>
      <c r="B1029" s="6" t="s">
        <v>62</v>
      </c>
      <c r="C1029" s="6" t="s">
        <v>19</v>
      </c>
      <c r="D1029" s="6" t="s">
        <v>47</v>
      </c>
      <c r="E1029" s="6" t="s">
        <v>44</v>
      </c>
      <c r="F1029" s="6" t="s">
        <v>40</v>
      </c>
      <c r="G1029" s="6">
        <v>83</v>
      </c>
      <c r="H1029" s="7">
        <v>232.95</v>
      </c>
      <c r="I1029" s="7">
        <v>19334.849999999999</v>
      </c>
      <c r="J1029" s="8">
        <v>45271</v>
      </c>
      <c r="K1029" s="6">
        <v>18</v>
      </c>
      <c r="L1029" s="6" t="s">
        <v>23</v>
      </c>
      <c r="M1029" s="6" t="b">
        <v>0</v>
      </c>
      <c r="N1029" s="6">
        <v>6.64</v>
      </c>
      <c r="O1029" s="6" t="s">
        <v>42</v>
      </c>
      <c r="P1029" s="6" t="b">
        <v>0</v>
      </c>
      <c r="Q1029" s="9" t="s">
        <v>36</v>
      </c>
    </row>
    <row r="1030" spans="1:17" x14ac:dyDescent="0.25">
      <c r="A1030" s="5" t="s">
        <v>1080</v>
      </c>
      <c r="B1030" s="6" t="s">
        <v>18</v>
      </c>
      <c r="C1030" s="6" t="s">
        <v>33</v>
      </c>
      <c r="D1030" s="6" t="s">
        <v>52</v>
      </c>
      <c r="E1030" s="6" t="s">
        <v>35</v>
      </c>
      <c r="F1030" s="6" t="s">
        <v>48</v>
      </c>
      <c r="G1030" s="6">
        <v>31</v>
      </c>
      <c r="H1030" s="7">
        <v>318.85000000000002</v>
      </c>
      <c r="I1030" s="7">
        <v>9884.35</v>
      </c>
      <c r="J1030" s="8">
        <v>45345</v>
      </c>
      <c r="K1030" s="6">
        <v>32</v>
      </c>
      <c r="L1030" s="6" t="s">
        <v>49</v>
      </c>
      <c r="M1030" s="6" t="b">
        <v>1</v>
      </c>
      <c r="N1030" s="6">
        <v>13.29</v>
      </c>
      <c r="O1030" s="6" t="s">
        <v>30</v>
      </c>
      <c r="P1030" s="6" t="b">
        <v>0</v>
      </c>
      <c r="Q1030" s="9" t="s">
        <v>25</v>
      </c>
    </row>
    <row r="1031" spans="1:17" x14ac:dyDescent="0.25">
      <c r="A1031" s="5" t="s">
        <v>1081</v>
      </c>
      <c r="B1031" s="6" t="s">
        <v>51</v>
      </c>
      <c r="C1031" s="6" t="s">
        <v>19</v>
      </c>
      <c r="D1031" s="6" t="s">
        <v>52</v>
      </c>
      <c r="E1031" s="6" t="s">
        <v>28</v>
      </c>
      <c r="F1031" s="6" t="s">
        <v>22</v>
      </c>
      <c r="G1031" s="6">
        <v>52</v>
      </c>
      <c r="H1031" s="7">
        <v>792.43</v>
      </c>
      <c r="I1031" s="7">
        <v>41206.36</v>
      </c>
      <c r="J1031" s="8">
        <v>45122</v>
      </c>
      <c r="K1031" s="6">
        <v>43</v>
      </c>
      <c r="L1031" s="6" t="s">
        <v>41</v>
      </c>
      <c r="M1031" s="6" t="b">
        <v>1</v>
      </c>
      <c r="N1031" s="6">
        <v>23.05</v>
      </c>
      <c r="O1031" s="6" t="s">
        <v>42</v>
      </c>
      <c r="P1031" s="6" t="b">
        <v>0</v>
      </c>
      <c r="Q1031" s="9" t="s">
        <v>36</v>
      </c>
    </row>
    <row r="1032" spans="1:17" x14ac:dyDescent="0.25">
      <c r="A1032" s="5" t="s">
        <v>1082</v>
      </c>
      <c r="B1032" s="6" t="s">
        <v>32</v>
      </c>
      <c r="C1032" s="6" t="s">
        <v>33</v>
      </c>
      <c r="D1032" s="6" t="s">
        <v>64</v>
      </c>
      <c r="E1032" s="6" t="s">
        <v>21</v>
      </c>
      <c r="F1032" s="6" t="s">
        <v>22</v>
      </c>
      <c r="G1032" s="6">
        <v>88</v>
      </c>
      <c r="H1032" s="7">
        <v>1488.75</v>
      </c>
      <c r="I1032" s="7">
        <v>131010</v>
      </c>
      <c r="J1032" s="8">
        <v>45004</v>
      </c>
      <c r="K1032" s="6">
        <v>20</v>
      </c>
      <c r="L1032" s="6" t="s">
        <v>41</v>
      </c>
      <c r="M1032" s="6" t="b">
        <v>1</v>
      </c>
      <c r="N1032" s="6">
        <v>7.94</v>
      </c>
      <c r="O1032" s="6" t="s">
        <v>56</v>
      </c>
      <c r="P1032" s="6" t="b">
        <v>0</v>
      </c>
      <c r="Q1032" s="9" t="s">
        <v>25</v>
      </c>
    </row>
    <row r="1033" spans="1:17" x14ac:dyDescent="0.25">
      <c r="A1033" s="5" t="s">
        <v>1083</v>
      </c>
      <c r="B1033" s="6" t="s">
        <v>38</v>
      </c>
      <c r="C1033" s="6" t="s">
        <v>19</v>
      </c>
      <c r="D1033" s="6" t="s">
        <v>52</v>
      </c>
      <c r="E1033" s="6" t="s">
        <v>44</v>
      </c>
      <c r="F1033" s="6" t="s">
        <v>48</v>
      </c>
      <c r="G1033" s="6">
        <v>98</v>
      </c>
      <c r="H1033" s="7">
        <v>996.29</v>
      </c>
      <c r="I1033" s="7">
        <v>97636.42</v>
      </c>
      <c r="J1033" s="8">
        <v>45093</v>
      </c>
      <c r="K1033" s="6">
        <v>57</v>
      </c>
      <c r="L1033" s="6" t="s">
        <v>41</v>
      </c>
      <c r="M1033" s="6" t="b">
        <v>0</v>
      </c>
      <c r="N1033" s="6">
        <v>9.32</v>
      </c>
      <c r="O1033" s="6" t="s">
        <v>42</v>
      </c>
      <c r="P1033" s="6" t="b">
        <v>1</v>
      </c>
      <c r="Q1033" s="9" t="s">
        <v>36</v>
      </c>
    </row>
    <row r="1034" spans="1:17" x14ac:dyDescent="0.25">
      <c r="A1034" s="5" t="s">
        <v>1084</v>
      </c>
      <c r="B1034" s="6" t="s">
        <v>76</v>
      </c>
      <c r="C1034" s="6" t="s">
        <v>39</v>
      </c>
      <c r="D1034" s="6" t="s">
        <v>52</v>
      </c>
      <c r="E1034" s="6" t="s">
        <v>28</v>
      </c>
      <c r="F1034" s="6" t="s">
        <v>22</v>
      </c>
      <c r="G1034" s="6">
        <v>23</v>
      </c>
      <c r="H1034" s="7">
        <v>138.88</v>
      </c>
      <c r="I1034" s="7">
        <v>3194.24</v>
      </c>
      <c r="J1034" s="8">
        <v>45016</v>
      </c>
      <c r="K1034" s="6">
        <v>58</v>
      </c>
      <c r="L1034" s="6" t="s">
        <v>23</v>
      </c>
      <c r="M1034" s="6" t="b">
        <v>1</v>
      </c>
      <c r="N1034" s="6">
        <v>18</v>
      </c>
      <c r="O1034" s="6" t="s">
        <v>30</v>
      </c>
      <c r="P1034" s="6" t="b">
        <v>1</v>
      </c>
      <c r="Q1034" s="9" t="s">
        <v>36</v>
      </c>
    </row>
    <row r="1035" spans="1:17" x14ac:dyDescent="0.25">
      <c r="A1035" s="5" t="s">
        <v>1085</v>
      </c>
      <c r="B1035" s="6" t="s">
        <v>38</v>
      </c>
      <c r="C1035" s="6" t="s">
        <v>33</v>
      </c>
      <c r="D1035" s="6" t="s">
        <v>52</v>
      </c>
      <c r="E1035" s="6" t="s">
        <v>35</v>
      </c>
      <c r="F1035" s="6" t="s">
        <v>40</v>
      </c>
      <c r="G1035" s="6">
        <v>48</v>
      </c>
      <c r="H1035" s="7">
        <v>812.09</v>
      </c>
      <c r="I1035" s="7">
        <v>38980.32</v>
      </c>
      <c r="J1035" s="8">
        <v>45190</v>
      </c>
      <c r="K1035" s="6">
        <v>64</v>
      </c>
      <c r="L1035" s="6" t="s">
        <v>23</v>
      </c>
      <c r="M1035" s="6" t="b">
        <v>1</v>
      </c>
      <c r="N1035" s="6">
        <v>7.13</v>
      </c>
      <c r="O1035" s="6" t="s">
        <v>56</v>
      </c>
      <c r="P1035" s="6" t="b">
        <v>0</v>
      </c>
      <c r="Q1035" s="9" t="s">
        <v>25</v>
      </c>
    </row>
    <row r="1036" spans="1:17" x14ac:dyDescent="0.25">
      <c r="A1036" s="5" t="s">
        <v>1086</v>
      </c>
      <c r="B1036" s="6" t="s">
        <v>76</v>
      </c>
      <c r="C1036" s="6" t="s">
        <v>19</v>
      </c>
      <c r="D1036" s="6" t="s">
        <v>47</v>
      </c>
      <c r="E1036" s="6" t="s">
        <v>21</v>
      </c>
      <c r="F1036" s="6" t="s">
        <v>29</v>
      </c>
      <c r="G1036" s="6">
        <v>40</v>
      </c>
      <c r="H1036" s="7">
        <v>770.14</v>
      </c>
      <c r="I1036" s="7">
        <v>30805.599999999999</v>
      </c>
      <c r="J1036" s="8">
        <v>45398</v>
      </c>
      <c r="K1036" s="6">
        <v>59</v>
      </c>
      <c r="L1036" s="6" t="s">
        <v>23</v>
      </c>
      <c r="M1036" s="6" t="b">
        <v>1</v>
      </c>
      <c r="N1036" s="6">
        <v>17.53</v>
      </c>
      <c r="O1036" s="6" t="s">
        <v>24</v>
      </c>
      <c r="P1036" s="6" t="b">
        <v>0</v>
      </c>
      <c r="Q1036" s="9" t="s">
        <v>25</v>
      </c>
    </row>
    <row r="1037" spans="1:17" x14ac:dyDescent="0.25">
      <c r="A1037" s="5" t="s">
        <v>1087</v>
      </c>
      <c r="B1037" s="6" t="s">
        <v>46</v>
      </c>
      <c r="C1037" s="6" t="s">
        <v>39</v>
      </c>
      <c r="D1037" s="6" t="s">
        <v>52</v>
      </c>
      <c r="E1037" s="6" t="s">
        <v>21</v>
      </c>
      <c r="F1037" s="6" t="s">
        <v>29</v>
      </c>
      <c r="G1037" s="6">
        <v>6</v>
      </c>
      <c r="H1037" s="7">
        <v>259.04000000000002</v>
      </c>
      <c r="I1037" s="7">
        <v>1554.24</v>
      </c>
      <c r="J1037" s="8">
        <v>45134</v>
      </c>
      <c r="K1037" s="6">
        <v>51</v>
      </c>
      <c r="L1037" s="6" t="s">
        <v>41</v>
      </c>
      <c r="M1037" s="6" t="b">
        <v>1</v>
      </c>
      <c r="N1037" s="6">
        <v>11.61</v>
      </c>
      <c r="O1037" s="6" t="s">
        <v>30</v>
      </c>
      <c r="P1037" s="6" t="b">
        <v>0</v>
      </c>
      <c r="Q1037" s="9" t="s">
        <v>36</v>
      </c>
    </row>
    <row r="1038" spans="1:17" x14ac:dyDescent="0.25">
      <c r="A1038" s="5" t="s">
        <v>1088</v>
      </c>
      <c r="B1038" s="6" t="s">
        <v>27</v>
      </c>
      <c r="C1038" s="6" t="s">
        <v>33</v>
      </c>
      <c r="D1038" s="6" t="s">
        <v>52</v>
      </c>
      <c r="E1038" s="6" t="s">
        <v>44</v>
      </c>
      <c r="F1038" s="6" t="s">
        <v>48</v>
      </c>
      <c r="G1038" s="6">
        <v>38</v>
      </c>
      <c r="H1038" s="7">
        <v>1384.39</v>
      </c>
      <c r="I1038" s="7">
        <v>52606.82</v>
      </c>
      <c r="J1038" s="8">
        <v>45197</v>
      </c>
      <c r="K1038" s="6">
        <v>69</v>
      </c>
      <c r="L1038" s="6" t="s">
        <v>41</v>
      </c>
      <c r="M1038" s="6" t="b">
        <v>0</v>
      </c>
      <c r="N1038" s="6">
        <v>1.03</v>
      </c>
      <c r="O1038" s="6" t="s">
        <v>56</v>
      </c>
      <c r="P1038" s="6" t="b">
        <v>1</v>
      </c>
      <c r="Q1038" s="9" t="s">
        <v>36</v>
      </c>
    </row>
    <row r="1039" spans="1:17" x14ac:dyDescent="0.25">
      <c r="A1039" s="5" t="s">
        <v>1089</v>
      </c>
      <c r="B1039" s="6" t="s">
        <v>76</v>
      </c>
      <c r="C1039" s="6" t="s">
        <v>33</v>
      </c>
      <c r="D1039" s="6" t="s">
        <v>52</v>
      </c>
      <c r="E1039" s="6" t="s">
        <v>21</v>
      </c>
      <c r="F1039" s="6" t="s">
        <v>40</v>
      </c>
      <c r="G1039" s="6">
        <v>41</v>
      </c>
      <c r="H1039" s="7">
        <v>689.11</v>
      </c>
      <c r="I1039" s="7">
        <v>28253.51</v>
      </c>
      <c r="J1039" s="8">
        <v>45189</v>
      </c>
      <c r="K1039" s="6">
        <v>22</v>
      </c>
      <c r="L1039" s="6" t="s">
        <v>41</v>
      </c>
      <c r="M1039" s="6" t="b">
        <v>1</v>
      </c>
      <c r="N1039" s="6">
        <v>12.08</v>
      </c>
      <c r="O1039" s="6" t="s">
        <v>24</v>
      </c>
      <c r="P1039" s="6" t="b">
        <v>0</v>
      </c>
      <c r="Q1039" s="9" t="s">
        <v>25</v>
      </c>
    </row>
    <row r="1040" spans="1:17" x14ac:dyDescent="0.25">
      <c r="A1040" s="5" t="s">
        <v>1090</v>
      </c>
      <c r="B1040" s="6" t="s">
        <v>38</v>
      </c>
      <c r="C1040" s="6" t="s">
        <v>33</v>
      </c>
      <c r="D1040" s="6" t="s">
        <v>20</v>
      </c>
      <c r="E1040" s="6" t="s">
        <v>21</v>
      </c>
      <c r="F1040" s="6" t="s">
        <v>22</v>
      </c>
      <c r="G1040" s="6">
        <v>27</v>
      </c>
      <c r="H1040" s="7">
        <v>1492.11</v>
      </c>
      <c r="I1040" s="7">
        <v>40286.97</v>
      </c>
      <c r="J1040" s="8">
        <v>45432</v>
      </c>
      <c r="K1040" s="6">
        <v>48</v>
      </c>
      <c r="L1040" s="6" t="s">
        <v>49</v>
      </c>
      <c r="M1040" s="6" t="b">
        <v>0</v>
      </c>
      <c r="N1040" s="6">
        <v>27.59</v>
      </c>
      <c r="O1040" s="6" t="s">
        <v>42</v>
      </c>
      <c r="P1040" s="6" t="b">
        <v>1</v>
      </c>
      <c r="Q1040" s="9" t="s">
        <v>36</v>
      </c>
    </row>
    <row r="1041" spans="1:17" x14ac:dyDescent="0.25">
      <c r="A1041" s="5" t="s">
        <v>1091</v>
      </c>
      <c r="B1041" s="6" t="s">
        <v>46</v>
      </c>
      <c r="C1041" s="6" t="s">
        <v>19</v>
      </c>
      <c r="D1041" s="6" t="s">
        <v>47</v>
      </c>
      <c r="E1041" s="6" t="s">
        <v>21</v>
      </c>
      <c r="F1041" s="6" t="s">
        <v>22</v>
      </c>
      <c r="G1041" s="6">
        <v>75</v>
      </c>
      <c r="H1041" s="7">
        <v>659.1</v>
      </c>
      <c r="I1041" s="7">
        <v>49432.5</v>
      </c>
      <c r="J1041" s="8">
        <v>45438</v>
      </c>
      <c r="K1041" s="6">
        <v>68</v>
      </c>
      <c r="L1041" s="6" t="s">
        <v>49</v>
      </c>
      <c r="M1041" s="6" t="b">
        <v>0</v>
      </c>
      <c r="N1041" s="6">
        <v>8.7899999999999991</v>
      </c>
      <c r="O1041" s="6" t="s">
        <v>42</v>
      </c>
      <c r="P1041" s="6" t="b">
        <v>1</v>
      </c>
      <c r="Q1041" s="9" t="s">
        <v>36</v>
      </c>
    </row>
    <row r="1042" spans="1:17" x14ac:dyDescent="0.25">
      <c r="A1042" s="5" t="s">
        <v>1092</v>
      </c>
      <c r="B1042" s="6" t="s">
        <v>76</v>
      </c>
      <c r="C1042" s="6" t="s">
        <v>19</v>
      </c>
      <c r="D1042" s="6" t="s">
        <v>64</v>
      </c>
      <c r="E1042" s="6" t="s">
        <v>21</v>
      </c>
      <c r="F1042" s="6" t="s">
        <v>29</v>
      </c>
      <c r="G1042" s="6">
        <v>69</v>
      </c>
      <c r="H1042" s="7">
        <v>931.54</v>
      </c>
      <c r="I1042" s="7">
        <v>64276.26</v>
      </c>
      <c r="J1042" s="8">
        <v>45502</v>
      </c>
      <c r="K1042" s="6">
        <v>30</v>
      </c>
      <c r="L1042" s="6" t="s">
        <v>49</v>
      </c>
      <c r="M1042" s="6" t="b">
        <v>1</v>
      </c>
      <c r="N1042" s="6">
        <v>9.68</v>
      </c>
      <c r="O1042" s="6" t="s">
        <v>42</v>
      </c>
      <c r="P1042" s="6" t="b">
        <v>0</v>
      </c>
      <c r="Q1042" s="9" t="s">
        <v>36</v>
      </c>
    </row>
    <row r="1043" spans="1:17" x14ac:dyDescent="0.25">
      <c r="A1043" s="5" t="s">
        <v>1093</v>
      </c>
      <c r="B1043" s="6" t="s">
        <v>51</v>
      </c>
      <c r="C1043" s="6" t="s">
        <v>39</v>
      </c>
      <c r="D1043" s="6" t="s">
        <v>20</v>
      </c>
      <c r="E1043" s="6" t="s">
        <v>35</v>
      </c>
      <c r="F1043" s="6" t="s">
        <v>22</v>
      </c>
      <c r="G1043" s="6">
        <v>57</v>
      </c>
      <c r="H1043" s="7">
        <v>201.91</v>
      </c>
      <c r="I1043" s="7">
        <v>11508.87</v>
      </c>
      <c r="J1043" s="8">
        <v>45450</v>
      </c>
      <c r="K1043" s="6">
        <v>60</v>
      </c>
      <c r="L1043" s="6" t="s">
        <v>23</v>
      </c>
      <c r="M1043" s="6" t="b">
        <v>1</v>
      </c>
      <c r="N1043" s="6">
        <v>1.98</v>
      </c>
      <c r="O1043" s="6" t="s">
        <v>56</v>
      </c>
      <c r="P1043" s="6" t="b">
        <v>1</v>
      </c>
      <c r="Q1043" s="9" t="s">
        <v>36</v>
      </c>
    </row>
    <row r="1044" spans="1:17" x14ac:dyDescent="0.25">
      <c r="A1044" s="5" t="s">
        <v>1094</v>
      </c>
      <c r="B1044" s="6" t="s">
        <v>27</v>
      </c>
      <c r="C1044" s="6" t="s">
        <v>19</v>
      </c>
      <c r="D1044" s="6" t="s">
        <v>34</v>
      </c>
      <c r="E1044" s="6" t="s">
        <v>28</v>
      </c>
      <c r="F1044" s="6" t="s">
        <v>29</v>
      </c>
      <c r="G1044" s="6">
        <v>17</v>
      </c>
      <c r="H1044" s="7">
        <v>708.63</v>
      </c>
      <c r="I1044" s="7">
        <v>12046.71</v>
      </c>
      <c r="J1044" s="8">
        <v>45238</v>
      </c>
      <c r="K1044" s="6">
        <v>18</v>
      </c>
      <c r="L1044" s="6" t="s">
        <v>23</v>
      </c>
      <c r="M1044" s="6" t="b">
        <v>0</v>
      </c>
      <c r="N1044" s="6">
        <v>18.45</v>
      </c>
      <c r="O1044" s="6" t="s">
        <v>42</v>
      </c>
      <c r="P1044" s="6" t="b">
        <v>1</v>
      </c>
      <c r="Q1044" s="9" t="s">
        <v>36</v>
      </c>
    </row>
    <row r="1045" spans="1:17" x14ac:dyDescent="0.25">
      <c r="A1045" s="5" t="s">
        <v>1095</v>
      </c>
      <c r="B1045" s="6" t="s">
        <v>76</v>
      </c>
      <c r="C1045" s="6" t="s">
        <v>19</v>
      </c>
      <c r="D1045" s="6" t="s">
        <v>47</v>
      </c>
      <c r="E1045" s="6" t="s">
        <v>35</v>
      </c>
      <c r="F1045" s="6" t="s">
        <v>48</v>
      </c>
      <c r="G1045" s="6">
        <v>71</v>
      </c>
      <c r="H1045" s="7">
        <v>396.21</v>
      </c>
      <c r="I1045" s="7">
        <v>28130.91</v>
      </c>
      <c r="J1045" s="8">
        <v>45100</v>
      </c>
      <c r="K1045" s="6">
        <v>39</v>
      </c>
      <c r="L1045" s="6" t="s">
        <v>41</v>
      </c>
      <c r="M1045" s="6" t="b">
        <v>0</v>
      </c>
      <c r="N1045" s="6">
        <v>25.48</v>
      </c>
      <c r="O1045" s="6" t="s">
        <v>42</v>
      </c>
      <c r="P1045" s="6" t="b">
        <v>1</v>
      </c>
      <c r="Q1045" s="9" t="s">
        <v>25</v>
      </c>
    </row>
    <row r="1046" spans="1:17" x14ac:dyDescent="0.25">
      <c r="A1046" s="5" t="s">
        <v>1096</v>
      </c>
      <c r="B1046" s="6" t="s">
        <v>46</v>
      </c>
      <c r="C1046" s="6" t="s">
        <v>33</v>
      </c>
      <c r="D1046" s="6" t="s">
        <v>47</v>
      </c>
      <c r="E1046" s="6" t="s">
        <v>35</v>
      </c>
      <c r="F1046" s="6" t="s">
        <v>22</v>
      </c>
      <c r="G1046" s="6">
        <v>91</v>
      </c>
      <c r="H1046" s="7">
        <v>1261.57</v>
      </c>
      <c r="I1046" s="7">
        <v>114802.87</v>
      </c>
      <c r="J1046" s="8">
        <v>45357</v>
      </c>
      <c r="K1046" s="6">
        <v>32</v>
      </c>
      <c r="L1046" s="6" t="s">
        <v>49</v>
      </c>
      <c r="M1046" s="6" t="b">
        <v>0</v>
      </c>
      <c r="N1046" s="6">
        <v>10.59</v>
      </c>
      <c r="O1046" s="6" t="s">
        <v>24</v>
      </c>
      <c r="P1046" s="6" t="b">
        <v>0</v>
      </c>
      <c r="Q1046" s="9" t="s">
        <v>36</v>
      </c>
    </row>
    <row r="1047" spans="1:17" x14ac:dyDescent="0.25">
      <c r="A1047" s="5" t="s">
        <v>1097</v>
      </c>
      <c r="B1047" s="6" t="s">
        <v>62</v>
      </c>
      <c r="C1047" s="6" t="s">
        <v>33</v>
      </c>
      <c r="D1047" s="6" t="s">
        <v>34</v>
      </c>
      <c r="E1047" s="6" t="s">
        <v>44</v>
      </c>
      <c r="F1047" s="6" t="s">
        <v>40</v>
      </c>
      <c r="G1047" s="6">
        <v>47</v>
      </c>
      <c r="H1047" s="7">
        <v>1186.68</v>
      </c>
      <c r="I1047" s="7">
        <v>55773.96</v>
      </c>
      <c r="J1047" s="8">
        <v>45389</v>
      </c>
      <c r="K1047" s="6">
        <v>43</v>
      </c>
      <c r="L1047" s="6" t="s">
        <v>41</v>
      </c>
      <c r="M1047" s="6" t="b">
        <v>1</v>
      </c>
      <c r="N1047" s="6">
        <v>7.21</v>
      </c>
      <c r="O1047" s="6" t="s">
        <v>24</v>
      </c>
      <c r="P1047" s="6" t="b">
        <v>0</v>
      </c>
      <c r="Q1047" s="9" t="s">
        <v>36</v>
      </c>
    </row>
    <row r="1048" spans="1:17" x14ac:dyDescent="0.25">
      <c r="A1048" s="5" t="s">
        <v>1098</v>
      </c>
      <c r="B1048" s="6" t="s">
        <v>66</v>
      </c>
      <c r="C1048" s="6" t="s">
        <v>33</v>
      </c>
      <c r="D1048" s="6" t="s">
        <v>34</v>
      </c>
      <c r="E1048" s="6" t="s">
        <v>21</v>
      </c>
      <c r="F1048" s="6" t="s">
        <v>22</v>
      </c>
      <c r="G1048" s="6">
        <v>79</v>
      </c>
      <c r="H1048" s="7">
        <v>1245.06</v>
      </c>
      <c r="I1048" s="7">
        <v>98359.74</v>
      </c>
      <c r="J1048" s="8">
        <v>45027</v>
      </c>
      <c r="K1048" s="6">
        <v>35</v>
      </c>
      <c r="L1048" s="6" t="s">
        <v>49</v>
      </c>
      <c r="M1048" s="6" t="b">
        <v>1</v>
      </c>
      <c r="N1048" s="6">
        <v>28.7</v>
      </c>
      <c r="O1048" s="6" t="s">
        <v>24</v>
      </c>
      <c r="P1048" s="6" t="b">
        <v>0</v>
      </c>
      <c r="Q1048" s="9" t="s">
        <v>25</v>
      </c>
    </row>
    <row r="1049" spans="1:17" x14ac:dyDescent="0.25">
      <c r="A1049" s="5" t="s">
        <v>1099</v>
      </c>
      <c r="B1049" s="6" t="s">
        <v>18</v>
      </c>
      <c r="C1049" s="6" t="s">
        <v>33</v>
      </c>
      <c r="D1049" s="6" t="s">
        <v>34</v>
      </c>
      <c r="E1049" s="6" t="s">
        <v>35</v>
      </c>
      <c r="F1049" s="6" t="s">
        <v>29</v>
      </c>
      <c r="G1049" s="6">
        <v>13</v>
      </c>
      <c r="H1049" s="7">
        <v>1099.23</v>
      </c>
      <c r="I1049" s="7">
        <v>14289.99</v>
      </c>
      <c r="J1049" s="8">
        <v>44942</v>
      </c>
      <c r="K1049" s="6">
        <v>65</v>
      </c>
      <c r="L1049" s="6" t="s">
        <v>49</v>
      </c>
      <c r="M1049" s="6" t="b">
        <v>0</v>
      </c>
      <c r="N1049" s="6">
        <v>22.35</v>
      </c>
      <c r="O1049" s="6" t="s">
        <v>56</v>
      </c>
      <c r="P1049" s="6" t="b">
        <v>0</v>
      </c>
      <c r="Q1049" s="9" t="s">
        <v>25</v>
      </c>
    </row>
    <row r="1050" spans="1:17" x14ac:dyDescent="0.25">
      <c r="A1050" s="5" t="s">
        <v>1100</v>
      </c>
      <c r="B1050" s="6" t="s">
        <v>66</v>
      </c>
      <c r="C1050" s="6" t="s">
        <v>33</v>
      </c>
      <c r="D1050" s="6" t="s">
        <v>64</v>
      </c>
      <c r="E1050" s="6" t="s">
        <v>21</v>
      </c>
      <c r="F1050" s="6" t="s">
        <v>48</v>
      </c>
      <c r="G1050" s="6">
        <v>11</v>
      </c>
      <c r="H1050" s="7">
        <v>1257.3900000000001</v>
      </c>
      <c r="I1050" s="7">
        <v>13831.29</v>
      </c>
      <c r="J1050" s="8">
        <v>45184</v>
      </c>
      <c r="K1050" s="6">
        <v>26</v>
      </c>
      <c r="L1050" s="6" t="s">
        <v>41</v>
      </c>
      <c r="M1050" s="6" t="b">
        <v>0</v>
      </c>
      <c r="N1050" s="6">
        <v>17.010000000000002</v>
      </c>
      <c r="O1050" s="6" t="s">
        <v>30</v>
      </c>
      <c r="P1050" s="6" t="b">
        <v>0</v>
      </c>
      <c r="Q1050" s="9" t="s">
        <v>25</v>
      </c>
    </row>
    <row r="1051" spans="1:17" x14ac:dyDescent="0.25">
      <c r="A1051" s="5" t="s">
        <v>1101</v>
      </c>
      <c r="B1051" s="6" t="s">
        <v>66</v>
      </c>
      <c r="C1051" s="6" t="s">
        <v>33</v>
      </c>
      <c r="D1051" s="6" t="s">
        <v>52</v>
      </c>
      <c r="E1051" s="6" t="s">
        <v>35</v>
      </c>
      <c r="F1051" s="6" t="s">
        <v>29</v>
      </c>
      <c r="G1051" s="6">
        <v>90</v>
      </c>
      <c r="H1051" s="7">
        <v>341.2</v>
      </c>
      <c r="I1051" s="7">
        <v>30708</v>
      </c>
      <c r="J1051" s="8">
        <v>45170</v>
      </c>
      <c r="K1051" s="6">
        <v>18</v>
      </c>
      <c r="L1051" s="6" t="s">
        <v>41</v>
      </c>
      <c r="M1051" s="6" t="b">
        <v>0</v>
      </c>
      <c r="N1051" s="6">
        <v>9.17</v>
      </c>
      <c r="O1051" s="6" t="s">
        <v>42</v>
      </c>
      <c r="P1051" s="6" t="b">
        <v>0</v>
      </c>
      <c r="Q1051" s="9" t="s">
        <v>25</v>
      </c>
    </row>
    <row r="1052" spans="1:17" x14ac:dyDescent="0.25">
      <c r="A1052" s="5" t="s">
        <v>1102</v>
      </c>
      <c r="B1052" s="6" t="s">
        <v>72</v>
      </c>
      <c r="C1052" s="6" t="s">
        <v>33</v>
      </c>
      <c r="D1052" s="6" t="s">
        <v>47</v>
      </c>
      <c r="E1052" s="6" t="s">
        <v>35</v>
      </c>
      <c r="F1052" s="6" t="s">
        <v>22</v>
      </c>
      <c r="G1052" s="6">
        <v>86</v>
      </c>
      <c r="H1052" s="7">
        <v>705.46</v>
      </c>
      <c r="I1052" s="7">
        <v>60669.56</v>
      </c>
      <c r="J1052" s="8">
        <v>45274</v>
      </c>
      <c r="K1052" s="6">
        <v>60</v>
      </c>
      <c r="L1052" s="6" t="s">
        <v>49</v>
      </c>
      <c r="M1052" s="6" t="b">
        <v>1</v>
      </c>
      <c r="N1052" s="6">
        <v>6.62</v>
      </c>
      <c r="O1052" s="6" t="s">
        <v>42</v>
      </c>
      <c r="P1052" s="6" t="b">
        <v>0</v>
      </c>
      <c r="Q1052" s="9" t="s">
        <v>25</v>
      </c>
    </row>
    <row r="1053" spans="1:17" x14ac:dyDescent="0.25">
      <c r="A1053" s="5" t="s">
        <v>1103</v>
      </c>
      <c r="B1053" s="6" t="s">
        <v>51</v>
      </c>
      <c r="C1053" s="6" t="s">
        <v>39</v>
      </c>
      <c r="D1053" s="6" t="s">
        <v>52</v>
      </c>
      <c r="E1053" s="6" t="s">
        <v>44</v>
      </c>
      <c r="F1053" s="6" t="s">
        <v>29</v>
      </c>
      <c r="G1053" s="6">
        <v>92</v>
      </c>
      <c r="H1053" s="7">
        <v>1053.18</v>
      </c>
      <c r="I1053" s="7">
        <v>96892.56</v>
      </c>
      <c r="J1053" s="8">
        <v>45175</v>
      </c>
      <c r="K1053" s="6">
        <v>26</v>
      </c>
      <c r="L1053" s="6" t="s">
        <v>49</v>
      </c>
      <c r="M1053" s="6" t="b">
        <v>1</v>
      </c>
      <c r="N1053" s="6">
        <v>21.47</v>
      </c>
      <c r="O1053" s="6" t="s">
        <v>56</v>
      </c>
      <c r="P1053" s="6" t="b">
        <v>0</v>
      </c>
      <c r="Q1053" s="9" t="s">
        <v>36</v>
      </c>
    </row>
    <row r="1054" spans="1:17" x14ac:dyDescent="0.25">
      <c r="A1054" s="5" t="s">
        <v>1104</v>
      </c>
      <c r="B1054" s="6" t="s">
        <v>62</v>
      </c>
      <c r="C1054" s="6" t="s">
        <v>39</v>
      </c>
      <c r="D1054" s="6" t="s">
        <v>52</v>
      </c>
      <c r="E1054" s="6" t="s">
        <v>28</v>
      </c>
      <c r="F1054" s="6" t="s">
        <v>29</v>
      </c>
      <c r="G1054" s="6">
        <v>24</v>
      </c>
      <c r="H1054" s="7">
        <v>974.22</v>
      </c>
      <c r="I1054" s="7">
        <v>23381.279999999999</v>
      </c>
      <c r="J1054" s="8">
        <v>45031</v>
      </c>
      <c r="K1054" s="6">
        <v>40</v>
      </c>
      <c r="L1054" s="6" t="s">
        <v>23</v>
      </c>
      <c r="M1054" s="6" t="b">
        <v>0</v>
      </c>
      <c r="N1054" s="6">
        <v>15.65</v>
      </c>
      <c r="O1054" s="6" t="s">
        <v>42</v>
      </c>
      <c r="P1054" s="6" t="b">
        <v>1</v>
      </c>
      <c r="Q1054" s="9" t="s">
        <v>36</v>
      </c>
    </row>
    <row r="1055" spans="1:17" x14ac:dyDescent="0.25">
      <c r="A1055" s="5" t="s">
        <v>1105</v>
      </c>
      <c r="B1055" s="6" t="s">
        <v>32</v>
      </c>
      <c r="C1055" s="6" t="s">
        <v>39</v>
      </c>
      <c r="D1055" s="6" t="s">
        <v>34</v>
      </c>
      <c r="E1055" s="6" t="s">
        <v>28</v>
      </c>
      <c r="F1055" s="6" t="s">
        <v>48</v>
      </c>
      <c r="G1055" s="6">
        <v>93</v>
      </c>
      <c r="H1055" s="7">
        <v>1088.71</v>
      </c>
      <c r="I1055" s="7">
        <v>101250.03</v>
      </c>
      <c r="J1055" s="8">
        <v>45593</v>
      </c>
      <c r="K1055" s="6">
        <v>60</v>
      </c>
      <c r="L1055" s="6" t="s">
        <v>41</v>
      </c>
      <c r="M1055" s="6" t="b">
        <v>1</v>
      </c>
      <c r="N1055" s="6">
        <v>15.62</v>
      </c>
      <c r="O1055" s="6" t="s">
        <v>56</v>
      </c>
      <c r="P1055" s="6" t="b">
        <v>0</v>
      </c>
      <c r="Q1055" s="9" t="s">
        <v>36</v>
      </c>
    </row>
    <row r="1056" spans="1:17" x14ac:dyDescent="0.25">
      <c r="A1056" s="5" t="s">
        <v>1106</v>
      </c>
      <c r="B1056" s="6" t="s">
        <v>76</v>
      </c>
      <c r="C1056" s="6" t="s">
        <v>39</v>
      </c>
      <c r="D1056" s="6" t="s">
        <v>64</v>
      </c>
      <c r="E1056" s="6" t="s">
        <v>35</v>
      </c>
      <c r="F1056" s="6" t="s">
        <v>40</v>
      </c>
      <c r="G1056" s="6">
        <v>73</v>
      </c>
      <c r="H1056" s="7">
        <v>375.17</v>
      </c>
      <c r="I1056" s="7">
        <v>27387.41</v>
      </c>
      <c r="J1056" s="8">
        <v>45213</v>
      </c>
      <c r="K1056" s="6">
        <v>62</v>
      </c>
      <c r="L1056" s="6" t="s">
        <v>41</v>
      </c>
      <c r="M1056" s="6" t="b">
        <v>0</v>
      </c>
      <c r="N1056" s="6">
        <v>2.21</v>
      </c>
      <c r="O1056" s="6" t="s">
        <v>56</v>
      </c>
      <c r="P1056" s="6" t="b">
        <v>1</v>
      </c>
      <c r="Q1056" s="9" t="s">
        <v>25</v>
      </c>
    </row>
    <row r="1057" spans="1:17" x14ac:dyDescent="0.25">
      <c r="A1057" s="5" t="s">
        <v>1107</v>
      </c>
      <c r="B1057" s="6" t="s">
        <v>18</v>
      </c>
      <c r="C1057" s="6" t="s">
        <v>33</v>
      </c>
      <c r="D1057" s="6" t="s">
        <v>20</v>
      </c>
      <c r="E1057" s="6" t="s">
        <v>44</v>
      </c>
      <c r="F1057" s="6" t="s">
        <v>22</v>
      </c>
      <c r="G1057" s="6">
        <v>4</v>
      </c>
      <c r="H1057" s="7">
        <v>192.73</v>
      </c>
      <c r="I1057" s="7">
        <v>770.92</v>
      </c>
      <c r="J1057" s="8">
        <v>45095</v>
      </c>
      <c r="K1057" s="6">
        <v>19</v>
      </c>
      <c r="L1057" s="6" t="s">
        <v>41</v>
      </c>
      <c r="M1057" s="6" t="b">
        <v>1</v>
      </c>
      <c r="N1057" s="6">
        <v>15.37</v>
      </c>
      <c r="O1057" s="6" t="s">
        <v>56</v>
      </c>
      <c r="P1057" s="6" t="b">
        <v>1</v>
      </c>
      <c r="Q1057" s="9" t="s">
        <v>25</v>
      </c>
    </row>
    <row r="1058" spans="1:17" x14ac:dyDescent="0.25">
      <c r="A1058" s="5" t="s">
        <v>1108</v>
      </c>
      <c r="B1058" s="6" t="s">
        <v>27</v>
      </c>
      <c r="C1058" s="6" t="s">
        <v>39</v>
      </c>
      <c r="D1058" s="6" t="s">
        <v>64</v>
      </c>
      <c r="E1058" s="6" t="s">
        <v>21</v>
      </c>
      <c r="F1058" s="6" t="s">
        <v>48</v>
      </c>
      <c r="G1058" s="6">
        <v>46</v>
      </c>
      <c r="H1058" s="7">
        <v>1379.37</v>
      </c>
      <c r="I1058" s="7">
        <v>63451.02</v>
      </c>
      <c r="J1058" s="8">
        <v>45346</v>
      </c>
      <c r="K1058" s="6">
        <v>31</v>
      </c>
      <c r="L1058" s="6" t="s">
        <v>41</v>
      </c>
      <c r="M1058" s="6" t="b">
        <v>0</v>
      </c>
      <c r="N1058" s="6">
        <v>24.68</v>
      </c>
      <c r="O1058" s="6" t="s">
        <v>30</v>
      </c>
      <c r="P1058" s="6" t="b">
        <v>0</v>
      </c>
      <c r="Q1058" s="9" t="s">
        <v>25</v>
      </c>
    </row>
    <row r="1059" spans="1:17" x14ac:dyDescent="0.25">
      <c r="A1059" s="5" t="s">
        <v>1109</v>
      </c>
      <c r="B1059" s="6" t="s">
        <v>62</v>
      </c>
      <c r="C1059" s="6" t="s">
        <v>33</v>
      </c>
      <c r="D1059" s="6" t="s">
        <v>52</v>
      </c>
      <c r="E1059" s="6" t="s">
        <v>21</v>
      </c>
      <c r="F1059" s="6" t="s">
        <v>40</v>
      </c>
      <c r="G1059" s="6">
        <v>18</v>
      </c>
      <c r="H1059" s="7">
        <v>862.25</v>
      </c>
      <c r="I1059" s="7">
        <v>15520.5</v>
      </c>
      <c r="J1059" s="8">
        <v>44973</v>
      </c>
      <c r="K1059" s="6">
        <v>55</v>
      </c>
      <c r="L1059" s="6" t="s">
        <v>49</v>
      </c>
      <c r="M1059" s="6" t="b">
        <v>1</v>
      </c>
      <c r="N1059" s="6">
        <v>28.4</v>
      </c>
      <c r="O1059" s="6" t="s">
        <v>56</v>
      </c>
      <c r="P1059" s="6" t="b">
        <v>1</v>
      </c>
      <c r="Q1059" s="9" t="s">
        <v>36</v>
      </c>
    </row>
    <row r="1060" spans="1:17" x14ac:dyDescent="0.25">
      <c r="A1060" s="5" t="s">
        <v>1110</v>
      </c>
      <c r="B1060" s="6" t="s">
        <v>38</v>
      </c>
      <c r="C1060" s="6" t="s">
        <v>39</v>
      </c>
      <c r="D1060" s="6" t="s">
        <v>64</v>
      </c>
      <c r="E1060" s="6" t="s">
        <v>35</v>
      </c>
      <c r="F1060" s="6" t="s">
        <v>29</v>
      </c>
      <c r="G1060" s="6">
        <v>43</v>
      </c>
      <c r="H1060" s="7">
        <v>273.05</v>
      </c>
      <c r="I1060" s="7">
        <v>11741.15</v>
      </c>
      <c r="J1060" s="8">
        <v>44969</v>
      </c>
      <c r="K1060" s="6">
        <v>57</v>
      </c>
      <c r="L1060" s="6" t="s">
        <v>23</v>
      </c>
      <c r="M1060" s="6" t="b">
        <v>1</v>
      </c>
      <c r="N1060" s="6">
        <v>3.2</v>
      </c>
      <c r="O1060" s="6" t="s">
        <v>30</v>
      </c>
      <c r="P1060" s="6" t="b">
        <v>1</v>
      </c>
      <c r="Q1060" s="9" t="s">
        <v>36</v>
      </c>
    </row>
    <row r="1061" spans="1:17" x14ac:dyDescent="0.25">
      <c r="A1061" s="5" t="s">
        <v>1111</v>
      </c>
      <c r="B1061" s="6" t="s">
        <v>32</v>
      </c>
      <c r="C1061" s="6" t="s">
        <v>19</v>
      </c>
      <c r="D1061" s="6" t="s">
        <v>34</v>
      </c>
      <c r="E1061" s="6" t="s">
        <v>28</v>
      </c>
      <c r="F1061" s="6" t="s">
        <v>40</v>
      </c>
      <c r="G1061" s="6">
        <v>80</v>
      </c>
      <c r="H1061" s="7">
        <v>1200.48</v>
      </c>
      <c r="I1061" s="7">
        <v>96038.399999999994</v>
      </c>
      <c r="J1061" s="8">
        <v>45247</v>
      </c>
      <c r="K1061" s="6">
        <v>35</v>
      </c>
      <c r="L1061" s="6" t="s">
        <v>41</v>
      </c>
      <c r="M1061" s="6" t="b">
        <v>1</v>
      </c>
      <c r="N1061" s="6">
        <v>18.93</v>
      </c>
      <c r="O1061" s="6" t="s">
        <v>30</v>
      </c>
      <c r="P1061" s="6" t="b">
        <v>0</v>
      </c>
      <c r="Q1061" s="9" t="s">
        <v>36</v>
      </c>
    </row>
    <row r="1062" spans="1:17" x14ac:dyDescent="0.25">
      <c r="A1062" s="5" t="s">
        <v>1112</v>
      </c>
      <c r="B1062" s="6" t="s">
        <v>72</v>
      </c>
      <c r="C1062" s="6" t="s">
        <v>39</v>
      </c>
      <c r="D1062" s="6" t="s">
        <v>20</v>
      </c>
      <c r="E1062" s="6" t="s">
        <v>44</v>
      </c>
      <c r="F1062" s="6" t="s">
        <v>29</v>
      </c>
      <c r="G1062" s="6">
        <v>33</v>
      </c>
      <c r="H1062" s="7">
        <v>1376.65</v>
      </c>
      <c r="I1062" s="7">
        <v>45429.45</v>
      </c>
      <c r="J1062" s="8">
        <v>45147</v>
      </c>
      <c r="K1062" s="6">
        <v>33</v>
      </c>
      <c r="L1062" s="6" t="s">
        <v>49</v>
      </c>
      <c r="M1062" s="6" t="b">
        <v>1</v>
      </c>
      <c r="N1062" s="6">
        <v>17.05</v>
      </c>
      <c r="O1062" s="6" t="s">
        <v>42</v>
      </c>
      <c r="P1062" s="6" t="b">
        <v>1</v>
      </c>
      <c r="Q1062" s="9" t="s">
        <v>36</v>
      </c>
    </row>
    <row r="1063" spans="1:17" x14ac:dyDescent="0.25">
      <c r="A1063" s="5" t="s">
        <v>1113</v>
      </c>
      <c r="B1063" s="6" t="s">
        <v>72</v>
      </c>
      <c r="C1063" s="6" t="s">
        <v>39</v>
      </c>
      <c r="D1063" s="6" t="s">
        <v>34</v>
      </c>
      <c r="E1063" s="6" t="s">
        <v>28</v>
      </c>
      <c r="F1063" s="6" t="s">
        <v>29</v>
      </c>
      <c r="G1063" s="6">
        <v>93</v>
      </c>
      <c r="H1063" s="7">
        <v>295.87</v>
      </c>
      <c r="I1063" s="7">
        <v>27515.91</v>
      </c>
      <c r="J1063" s="8">
        <v>45439</v>
      </c>
      <c r="K1063" s="6">
        <v>46</v>
      </c>
      <c r="L1063" s="6" t="s">
        <v>49</v>
      </c>
      <c r="M1063" s="6" t="b">
        <v>1</v>
      </c>
      <c r="N1063" s="6">
        <v>26.71</v>
      </c>
      <c r="O1063" s="6" t="s">
        <v>24</v>
      </c>
      <c r="P1063" s="6" t="b">
        <v>0</v>
      </c>
      <c r="Q1063" s="9" t="s">
        <v>36</v>
      </c>
    </row>
    <row r="1064" spans="1:17" x14ac:dyDescent="0.25">
      <c r="A1064" s="5" t="s">
        <v>1114</v>
      </c>
      <c r="B1064" s="6" t="s">
        <v>62</v>
      </c>
      <c r="C1064" s="6" t="s">
        <v>33</v>
      </c>
      <c r="D1064" s="6" t="s">
        <v>20</v>
      </c>
      <c r="E1064" s="6" t="s">
        <v>21</v>
      </c>
      <c r="F1064" s="6" t="s">
        <v>48</v>
      </c>
      <c r="G1064" s="6">
        <v>10</v>
      </c>
      <c r="H1064" s="7">
        <v>1235.25</v>
      </c>
      <c r="I1064" s="7">
        <v>12352.5</v>
      </c>
      <c r="J1064" s="8">
        <v>45367</v>
      </c>
      <c r="K1064" s="6">
        <v>61</v>
      </c>
      <c r="L1064" s="6" t="s">
        <v>49</v>
      </c>
      <c r="M1064" s="6" t="b">
        <v>1</v>
      </c>
      <c r="N1064" s="6">
        <v>22.54</v>
      </c>
      <c r="O1064" s="6" t="s">
        <v>30</v>
      </c>
      <c r="P1064" s="6" t="b">
        <v>1</v>
      </c>
      <c r="Q1064" s="9" t="s">
        <v>36</v>
      </c>
    </row>
    <row r="1065" spans="1:17" x14ac:dyDescent="0.25">
      <c r="A1065" s="5" t="s">
        <v>1115</v>
      </c>
      <c r="B1065" s="6" t="s">
        <v>46</v>
      </c>
      <c r="C1065" s="6" t="s">
        <v>39</v>
      </c>
      <c r="D1065" s="6" t="s">
        <v>52</v>
      </c>
      <c r="E1065" s="6" t="s">
        <v>28</v>
      </c>
      <c r="F1065" s="6" t="s">
        <v>29</v>
      </c>
      <c r="G1065" s="6">
        <v>73</v>
      </c>
      <c r="H1065" s="7">
        <v>1403.18</v>
      </c>
      <c r="I1065" s="7">
        <v>102432.14</v>
      </c>
      <c r="J1065" s="8">
        <v>45070</v>
      </c>
      <c r="K1065" s="6">
        <v>28</v>
      </c>
      <c r="L1065" s="6" t="s">
        <v>49</v>
      </c>
      <c r="M1065" s="6" t="b">
        <v>1</v>
      </c>
      <c r="N1065" s="6">
        <v>28.96</v>
      </c>
      <c r="O1065" s="6" t="s">
        <v>30</v>
      </c>
      <c r="P1065" s="6" t="b">
        <v>1</v>
      </c>
      <c r="Q1065" s="9" t="s">
        <v>25</v>
      </c>
    </row>
    <row r="1066" spans="1:17" x14ac:dyDescent="0.25">
      <c r="A1066" s="5" t="s">
        <v>1116</v>
      </c>
      <c r="B1066" s="6" t="s">
        <v>66</v>
      </c>
      <c r="C1066" s="6" t="s">
        <v>19</v>
      </c>
      <c r="D1066" s="6" t="s">
        <v>20</v>
      </c>
      <c r="E1066" s="6" t="s">
        <v>21</v>
      </c>
      <c r="F1066" s="6" t="s">
        <v>48</v>
      </c>
      <c r="G1066" s="6">
        <v>59</v>
      </c>
      <c r="H1066" s="7">
        <v>1410.62</v>
      </c>
      <c r="I1066" s="7">
        <v>83226.58</v>
      </c>
      <c r="J1066" s="8">
        <v>44954</v>
      </c>
      <c r="K1066" s="6">
        <v>23</v>
      </c>
      <c r="L1066" s="6" t="s">
        <v>49</v>
      </c>
      <c r="M1066" s="6" t="b">
        <v>0</v>
      </c>
      <c r="N1066" s="6">
        <v>28.8</v>
      </c>
      <c r="O1066" s="6" t="s">
        <v>24</v>
      </c>
      <c r="P1066" s="6" t="b">
        <v>0</v>
      </c>
      <c r="Q1066" s="9" t="s">
        <v>36</v>
      </c>
    </row>
    <row r="1067" spans="1:17" x14ac:dyDescent="0.25">
      <c r="A1067" s="5" t="s">
        <v>1117</v>
      </c>
      <c r="B1067" s="6" t="s">
        <v>38</v>
      </c>
      <c r="C1067" s="6" t="s">
        <v>33</v>
      </c>
      <c r="D1067" s="6" t="s">
        <v>20</v>
      </c>
      <c r="E1067" s="6" t="s">
        <v>44</v>
      </c>
      <c r="F1067" s="6" t="s">
        <v>40</v>
      </c>
      <c r="G1067" s="6">
        <v>31</v>
      </c>
      <c r="H1067" s="7">
        <v>1375.53</v>
      </c>
      <c r="I1067" s="7">
        <v>42641.43</v>
      </c>
      <c r="J1067" s="8">
        <v>45479</v>
      </c>
      <c r="K1067" s="6">
        <v>20</v>
      </c>
      <c r="L1067" s="6" t="s">
        <v>41</v>
      </c>
      <c r="M1067" s="6" t="b">
        <v>0</v>
      </c>
      <c r="N1067" s="6">
        <v>6.77</v>
      </c>
      <c r="O1067" s="6" t="s">
        <v>30</v>
      </c>
      <c r="P1067" s="6" t="b">
        <v>1</v>
      </c>
      <c r="Q1067" s="9" t="s">
        <v>36</v>
      </c>
    </row>
    <row r="1068" spans="1:17" x14ac:dyDescent="0.25">
      <c r="A1068" s="5" t="s">
        <v>1118</v>
      </c>
      <c r="B1068" s="6" t="s">
        <v>72</v>
      </c>
      <c r="C1068" s="6" t="s">
        <v>33</v>
      </c>
      <c r="D1068" s="6" t="s">
        <v>20</v>
      </c>
      <c r="E1068" s="6" t="s">
        <v>44</v>
      </c>
      <c r="F1068" s="6" t="s">
        <v>40</v>
      </c>
      <c r="G1068" s="6">
        <v>28</v>
      </c>
      <c r="H1068" s="7">
        <v>842.31</v>
      </c>
      <c r="I1068" s="7">
        <v>23584.68</v>
      </c>
      <c r="J1068" s="8">
        <v>45585</v>
      </c>
      <c r="K1068" s="6">
        <v>31</v>
      </c>
      <c r="L1068" s="6" t="s">
        <v>41</v>
      </c>
      <c r="M1068" s="6" t="b">
        <v>0</v>
      </c>
      <c r="N1068" s="6">
        <v>21.76</v>
      </c>
      <c r="O1068" s="6" t="s">
        <v>24</v>
      </c>
      <c r="P1068" s="6" t="b">
        <v>1</v>
      </c>
      <c r="Q1068" s="9" t="s">
        <v>36</v>
      </c>
    </row>
    <row r="1069" spans="1:17" x14ac:dyDescent="0.25">
      <c r="A1069" s="5" t="s">
        <v>1119</v>
      </c>
      <c r="B1069" s="6" t="s">
        <v>18</v>
      </c>
      <c r="C1069" s="6" t="s">
        <v>39</v>
      </c>
      <c r="D1069" s="6" t="s">
        <v>64</v>
      </c>
      <c r="E1069" s="6" t="s">
        <v>35</v>
      </c>
      <c r="F1069" s="6" t="s">
        <v>29</v>
      </c>
      <c r="G1069" s="6">
        <v>60</v>
      </c>
      <c r="H1069" s="7">
        <v>566.51</v>
      </c>
      <c r="I1069" s="7">
        <v>33990.6</v>
      </c>
      <c r="J1069" s="8">
        <v>45093</v>
      </c>
      <c r="K1069" s="6">
        <v>19</v>
      </c>
      <c r="L1069" s="6" t="s">
        <v>23</v>
      </c>
      <c r="M1069" s="6" t="b">
        <v>1</v>
      </c>
      <c r="N1069" s="6">
        <v>15.92</v>
      </c>
      <c r="O1069" s="6" t="s">
        <v>42</v>
      </c>
      <c r="P1069" s="6" t="b">
        <v>0</v>
      </c>
      <c r="Q1069" s="9" t="s">
        <v>36</v>
      </c>
    </row>
    <row r="1070" spans="1:17" x14ac:dyDescent="0.25">
      <c r="A1070" s="5" t="s">
        <v>1120</v>
      </c>
      <c r="B1070" s="6" t="s">
        <v>72</v>
      </c>
      <c r="C1070" s="6" t="s">
        <v>33</v>
      </c>
      <c r="D1070" s="6" t="s">
        <v>64</v>
      </c>
      <c r="E1070" s="6" t="s">
        <v>35</v>
      </c>
      <c r="F1070" s="6" t="s">
        <v>48</v>
      </c>
      <c r="G1070" s="6">
        <v>3</v>
      </c>
      <c r="H1070" s="7">
        <v>60.55</v>
      </c>
      <c r="I1070" s="7">
        <v>181.65</v>
      </c>
      <c r="J1070" s="8">
        <v>45561</v>
      </c>
      <c r="K1070" s="6">
        <v>49</v>
      </c>
      <c r="L1070" s="6" t="s">
        <v>41</v>
      </c>
      <c r="M1070" s="6" t="b">
        <v>1</v>
      </c>
      <c r="N1070" s="6">
        <v>6.44</v>
      </c>
      <c r="O1070" s="6" t="s">
        <v>56</v>
      </c>
      <c r="P1070" s="6" t="b">
        <v>0</v>
      </c>
      <c r="Q1070" s="9" t="s">
        <v>36</v>
      </c>
    </row>
    <row r="1071" spans="1:17" x14ac:dyDescent="0.25">
      <c r="A1071" s="5" t="s">
        <v>1121</v>
      </c>
      <c r="B1071" s="6" t="s">
        <v>27</v>
      </c>
      <c r="C1071" s="6" t="s">
        <v>33</v>
      </c>
      <c r="D1071" s="6" t="s">
        <v>52</v>
      </c>
      <c r="E1071" s="6" t="s">
        <v>28</v>
      </c>
      <c r="F1071" s="6" t="s">
        <v>29</v>
      </c>
      <c r="G1071" s="6">
        <v>55</v>
      </c>
      <c r="H1071" s="7">
        <v>138.32</v>
      </c>
      <c r="I1071" s="7">
        <v>7607.6</v>
      </c>
      <c r="J1071" s="8">
        <v>45512</v>
      </c>
      <c r="K1071" s="6">
        <v>48</v>
      </c>
      <c r="L1071" s="6" t="s">
        <v>49</v>
      </c>
      <c r="M1071" s="6" t="b">
        <v>1</v>
      </c>
      <c r="N1071" s="6">
        <v>5.85</v>
      </c>
      <c r="O1071" s="6" t="s">
        <v>24</v>
      </c>
      <c r="P1071" s="6" t="b">
        <v>1</v>
      </c>
      <c r="Q1071" s="9" t="s">
        <v>25</v>
      </c>
    </row>
    <row r="1072" spans="1:17" x14ac:dyDescent="0.25">
      <c r="A1072" s="5" t="s">
        <v>1122</v>
      </c>
      <c r="B1072" s="6" t="s">
        <v>76</v>
      </c>
      <c r="C1072" s="6" t="s">
        <v>33</v>
      </c>
      <c r="D1072" s="6" t="s">
        <v>20</v>
      </c>
      <c r="E1072" s="6" t="s">
        <v>44</v>
      </c>
      <c r="F1072" s="6" t="s">
        <v>48</v>
      </c>
      <c r="G1072" s="6">
        <v>14</v>
      </c>
      <c r="H1072" s="7">
        <v>671.82</v>
      </c>
      <c r="I1072" s="7">
        <v>9405.48</v>
      </c>
      <c r="J1072" s="8">
        <v>45175</v>
      </c>
      <c r="K1072" s="6">
        <v>28</v>
      </c>
      <c r="L1072" s="6" t="s">
        <v>23</v>
      </c>
      <c r="M1072" s="6" t="b">
        <v>0</v>
      </c>
      <c r="N1072" s="6">
        <v>2.4300000000000002</v>
      </c>
      <c r="O1072" s="6" t="s">
        <v>56</v>
      </c>
      <c r="P1072" s="6" t="b">
        <v>1</v>
      </c>
      <c r="Q1072" s="9" t="s">
        <v>36</v>
      </c>
    </row>
    <row r="1073" spans="1:17" x14ac:dyDescent="0.25">
      <c r="A1073" s="5" t="s">
        <v>1123</v>
      </c>
      <c r="B1073" s="6" t="s">
        <v>72</v>
      </c>
      <c r="C1073" s="6" t="s">
        <v>33</v>
      </c>
      <c r="D1073" s="6" t="s">
        <v>47</v>
      </c>
      <c r="E1073" s="6" t="s">
        <v>44</v>
      </c>
      <c r="F1073" s="6" t="s">
        <v>48</v>
      </c>
      <c r="G1073" s="6">
        <v>58</v>
      </c>
      <c r="H1073" s="7">
        <v>629.02</v>
      </c>
      <c r="I1073" s="7">
        <v>36483.160000000003</v>
      </c>
      <c r="J1073" s="8">
        <v>45283</v>
      </c>
      <c r="K1073" s="6">
        <v>39</v>
      </c>
      <c r="L1073" s="6" t="s">
        <v>49</v>
      </c>
      <c r="M1073" s="6" t="b">
        <v>0</v>
      </c>
      <c r="N1073" s="6">
        <v>23.87</v>
      </c>
      <c r="O1073" s="6" t="s">
        <v>24</v>
      </c>
      <c r="P1073" s="6" t="b">
        <v>0</v>
      </c>
      <c r="Q1073" s="9" t="s">
        <v>36</v>
      </c>
    </row>
    <row r="1074" spans="1:17" x14ac:dyDescent="0.25">
      <c r="A1074" s="5" t="s">
        <v>1124</v>
      </c>
      <c r="B1074" s="6" t="s">
        <v>27</v>
      </c>
      <c r="C1074" s="6" t="s">
        <v>33</v>
      </c>
      <c r="D1074" s="6" t="s">
        <v>52</v>
      </c>
      <c r="E1074" s="6" t="s">
        <v>35</v>
      </c>
      <c r="F1074" s="6" t="s">
        <v>48</v>
      </c>
      <c r="G1074" s="6">
        <v>89</v>
      </c>
      <c r="H1074" s="7">
        <v>317.83999999999997</v>
      </c>
      <c r="I1074" s="7">
        <v>28287.759999999998</v>
      </c>
      <c r="J1074" s="8">
        <v>45037</v>
      </c>
      <c r="K1074" s="6">
        <v>20</v>
      </c>
      <c r="L1074" s="6" t="s">
        <v>49</v>
      </c>
      <c r="M1074" s="6" t="b">
        <v>0</v>
      </c>
      <c r="N1074" s="6">
        <v>9.74</v>
      </c>
      <c r="O1074" s="6" t="s">
        <v>56</v>
      </c>
      <c r="P1074" s="6" t="b">
        <v>1</v>
      </c>
      <c r="Q1074" s="9" t="s">
        <v>25</v>
      </c>
    </row>
    <row r="1075" spans="1:17" x14ac:dyDescent="0.25">
      <c r="A1075" s="5" t="s">
        <v>1125</v>
      </c>
      <c r="B1075" s="6" t="s">
        <v>62</v>
      </c>
      <c r="C1075" s="6" t="s">
        <v>33</v>
      </c>
      <c r="D1075" s="6" t="s">
        <v>20</v>
      </c>
      <c r="E1075" s="6" t="s">
        <v>21</v>
      </c>
      <c r="F1075" s="6" t="s">
        <v>40</v>
      </c>
      <c r="G1075" s="6">
        <v>15</v>
      </c>
      <c r="H1075" s="7">
        <v>623.45000000000005</v>
      </c>
      <c r="I1075" s="7">
        <v>9351.75</v>
      </c>
      <c r="J1075" s="8">
        <v>45160</v>
      </c>
      <c r="K1075" s="6">
        <v>67</v>
      </c>
      <c r="L1075" s="6" t="s">
        <v>41</v>
      </c>
      <c r="M1075" s="6" t="b">
        <v>0</v>
      </c>
      <c r="N1075" s="6">
        <v>25.71</v>
      </c>
      <c r="O1075" s="6" t="s">
        <v>42</v>
      </c>
      <c r="P1075" s="6" t="b">
        <v>0</v>
      </c>
      <c r="Q1075" s="9" t="s">
        <v>25</v>
      </c>
    </row>
    <row r="1076" spans="1:17" x14ac:dyDescent="0.25">
      <c r="A1076" s="5" t="s">
        <v>1126</v>
      </c>
      <c r="B1076" s="6" t="s">
        <v>62</v>
      </c>
      <c r="C1076" s="6" t="s">
        <v>19</v>
      </c>
      <c r="D1076" s="6" t="s">
        <v>20</v>
      </c>
      <c r="E1076" s="6" t="s">
        <v>28</v>
      </c>
      <c r="F1076" s="6" t="s">
        <v>48</v>
      </c>
      <c r="G1076" s="6">
        <v>2</v>
      </c>
      <c r="H1076" s="7">
        <v>303.24</v>
      </c>
      <c r="I1076" s="7">
        <v>606.48</v>
      </c>
      <c r="J1076" s="8">
        <v>44950</v>
      </c>
      <c r="K1076" s="6">
        <v>48</v>
      </c>
      <c r="L1076" s="6" t="s">
        <v>49</v>
      </c>
      <c r="M1076" s="6" t="b">
        <v>0</v>
      </c>
      <c r="N1076" s="6">
        <v>18.25</v>
      </c>
      <c r="O1076" s="6" t="s">
        <v>30</v>
      </c>
      <c r="P1076" s="6" t="b">
        <v>0</v>
      </c>
      <c r="Q1076" s="9" t="s">
        <v>36</v>
      </c>
    </row>
    <row r="1077" spans="1:17" x14ac:dyDescent="0.25">
      <c r="A1077" s="5" t="s">
        <v>1127</v>
      </c>
      <c r="B1077" s="6" t="s">
        <v>32</v>
      </c>
      <c r="C1077" s="6" t="s">
        <v>39</v>
      </c>
      <c r="D1077" s="6" t="s">
        <v>64</v>
      </c>
      <c r="E1077" s="6" t="s">
        <v>28</v>
      </c>
      <c r="F1077" s="6" t="s">
        <v>40</v>
      </c>
      <c r="G1077" s="6">
        <v>24</v>
      </c>
      <c r="H1077" s="7">
        <v>1280.75</v>
      </c>
      <c r="I1077" s="7">
        <v>30738</v>
      </c>
      <c r="J1077" s="8">
        <v>44952</v>
      </c>
      <c r="K1077" s="6">
        <v>50</v>
      </c>
      <c r="L1077" s="6" t="s">
        <v>41</v>
      </c>
      <c r="M1077" s="6" t="b">
        <v>0</v>
      </c>
      <c r="N1077" s="6">
        <v>20.21</v>
      </c>
      <c r="O1077" s="6" t="s">
        <v>42</v>
      </c>
      <c r="P1077" s="6" t="b">
        <v>0</v>
      </c>
      <c r="Q1077" s="9" t="s">
        <v>36</v>
      </c>
    </row>
    <row r="1078" spans="1:17" x14ac:dyDescent="0.25">
      <c r="A1078" s="5" t="s">
        <v>1128</v>
      </c>
      <c r="B1078" s="6" t="s">
        <v>72</v>
      </c>
      <c r="C1078" s="6" t="s">
        <v>19</v>
      </c>
      <c r="D1078" s="6" t="s">
        <v>52</v>
      </c>
      <c r="E1078" s="6" t="s">
        <v>35</v>
      </c>
      <c r="F1078" s="6" t="s">
        <v>48</v>
      </c>
      <c r="G1078" s="6">
        <v>78</v>
      </c>
      <c r="H1078" s="7">
        <v>482.38</v>
      </c>
      <c r="I1078" s="7">
        <v>37625.64</v>
      </c>
      <c r="J1078" s="8">
        <v>45307</v>
      </c>
      <c r="K1078" s="6">
        <v>41</v>
      </c>
      <c r="L1078" s="6" t="s">
        <v>49</v>
      </c>
      <c r="M1078" s="6" t="b">
        <v>1</v>
      </c>
      <c r="N1078" s="6">
        <v>8.75</v>
      </c>
      <c r="O1078" s="6" t="s">
        <v>30</v>
      </c>
      <c r="P1078" s="6" t="b">
        <v>1</v>
      </c>
      <c r="Q1078" s="9" t="s">
        <v>36</v>
      </c>
    </row>
    <row r="1079" spans="1:17" x14ac:dyDescent="0.25">
      <c r="A1079" s="5" t="s">
        <v>1129</v>
      </c>
      <c r="B1079" s="6" t="s">
        <v>18</v>
      </c>
      <c r="C1079" s="6" t="s">
        <v>33</v>
      </c>
      <c r="D1079" s="6" t="s">
        <v>20</v>
      </c>
      <c r="E1079" s="6" t="s">
        <v>44</v>
      </c>
      <c r="F1079" s="6" t="s">
        <v>40</v>
      </c>
      <c r="G1079" s="6">
        <v>64</v>
      </c>
      <c r="H1079" s="7">
        <v>917.92</v>
      </c>
      <c r="I1079" s="7">
        <v>58746.879999999997</v>
      </c>
      <c r="J1079" s="8">
        <v>45272</v>
      </c>
      <c r="K1079" s="6">
        <v>18</v>
      </c>
      <c r="L1079" s="6" t="s">
        <v>23</v>
      </c>
      <c r="M1079" s="6" t="b">
        <v>0</v>
      </c>
      <c r="N1079" s="6">
        <v>13.72</v>
      </c>
      <c r="O1079" s="6" t="s">
        <v>56</v>
      </c>
      <c r="P1079" s="6" t="b">
        <v>1</v>
      </c>
      <c r="Q1079" s="9" t="s">
        <v>36</v>
      </c>
    </row>
    <row r="1080" spans="1:17" x14ac:dyDescent="0.25">
      <c r="A1080" s="5" t="s">
        <v>1130</v>
      </c>
      <c r="B1080" s="6" t="s">
        <v>72</v>
      </c>
      <c r="C1080" s="6" t="s">
        <v>33</v>
      </c>
      <c r="D1080" s="6" t="s">
        <v>20</v>
      </c>
      <c r="E1080" s="6" t="s">
        <v>35</v>
      </c>
      <c r="F1080" s="6" t="s">
        <v>22</v>
      </c>
      <c r="G1080" s="6">
        <v>71</v>
      </c>
      <c r="H1080" s="7">
        <v>779.12</v>
      </c>
      <c r="I1080" s="7">
        <v>55317.52</v>
      </c>
      <c r="J1080" s="8">
        <v>45304</v>
      </c>
      <c r="K1080" s="6">
        <v>61</v>
      </c>
      <c r="L1080" s="6" t="s">
        <v>49</v>
      </c>
      <c r="M1080" s="6" t="b">
        <v>1</v>
      </c>
      <c r="N1080" s="6">
        <v>12.37</v>
      </c>
      <c r="O1080" s="6" t="s">
        <v>56</v>
      </c>
      <c r="P1080" s="6" t="b">
        <v>1</v>
      </c>
      <c r="Q1080" s="9" t="s">
        <v>36</v>
      </c>
    </row>
    <row r="1081" spans="1:17" x14ac:dyDescent="0.25">
      <c r="A1081" s="5" t="s">
        <v>1131</v>
      </c>
      <c r="B1081" s="6" t="s">
        <v>18</v>
      </c>
      <c r="C1081" s="6" t="s">
        <v>39</v>
      </c>
      <c r="D1081" s="6" t="s">
        <v>52</v>
      </c>
      <c r="E1081" s="6" t="s">
        <v>35</v>
      </c>
      <c r="F1081" s="6" t="s">
        <v>40</v>
      </c>
      <c r="G1081" s="6">
        <v>24</v>
      </c>
      <c r="H1081" s="7">
        <v>125.23</v>
      </c>
      <c r="I1081" s="7">
        <v>3005.52</v>
      </c>
      <c r="J1081" s="8">
        <v>45448</v>
      </c>
      <c r="K1081" s="6">
        <v>32</v>
      </c>
      <c r="L1081" s="6" t="s">
        <v>41</v>
      </c>
      <c r="M1081" s="6" t="b">
        <v>0</v>
      </c>
      <c r="N1081" s="6">
        <v>7.07</v>
      </c>
      <c r="O1081" s="6" t="s">
        <v>30</v>
      </c>
      <c r="P1081" s="6" t="b">
        <v>0</v>
      </c>
      <c r="Q1081" s="9" t="s">
        <v>25</v>
      </c>
    </row>
    <row r="1082" spans="1:17" x14ac:dyDescent="0.25">
      <c r="A1082" s="5" t="s">
        <v>1132</v>
      </c>
      <c r="B1082" s="6" t="s">
        <v>51</v>
      </c>
      <c r="C1082" s="6" t="s">
        <v>19</v>
      </c>
      <c r="D1082" s="6" t="s">
        <v>47</v>
      </c>
      <c r="E1082" s="6" t="s">
        <v>35</v>
      </c>
      <c r="F1082" s="6" t="s">
        <v>40</v>
      </c>
      <c r="G1082" s="6">
        <v>27</v>
      </c>
      <c r="H1082" s="7">
        <v>1416.24</v>
      </c>
      <c r="I1082" s="7">
        <v>38238.480000000003</v>
      </c>
      <c r="J1082" s="8">
        <v>44943</v>
      </c>
      <c r="K1082" s="6">
        <v>54</v>
      </c>
      <c r="L1082" s="6" t="s">
        <v>49</v>
      </c>
      <c r="M1082" s="6" t="b">
        <v>0</v>
      </c>
      <c r="N1082" s="6">
        <v>24.98</v>
      </c>
      <c r="O1082" s="6" t="s">
        <v>24</v>
      </c>
      <c r="P1082" s="6" t="b">
        <v>1</v>
      </c>
      <c r="Q1082" s="9" t="s">
        <v>25</v>
      </c>
    </row>
    <row r="1083" spans="1:17" x14ac:dyDescent="0.25">
      <c r="A1083" s="5" t="s">
        <v>1133</v>
      </c>
      <c r="B1083" s="6" t="s">
        <v>32</v>
      </c>
      <c r="C1083" s="6" t="s">
        <v>39</v>
      </c>
      <c r="D1083" s="6" t="s">
        <v>52</v>
      </c>
      <c r="E1083" s="6" t="s">
        <v>35</v>
      </c>
      <c r="F1083" s="6" t="s">
        <v>29</v>
      </c>
      <c r="G1083" s="6">
        <v>37</v>
      </c>
      <c r="H1083" s="7">
        <v>814.48</v>
      </c>
      <c r="I1083" s="7">
        <v>30135.759999999998</v>
      </c>
      <c r="J1083" s="8">
        <v>45171</v>
      </c>
      <c r="K1083" s="6">
        <v>44</v>
      </c>
      <c r="L1083" s="6" t="s">
        <v>41</v>
      </c>
      <c r="M1083" s="6" t="b">
        <v>1</v>
      </c>
      <c r="N1083" s="6">
        <v>18.66</v>
      </c>
      <c r="O1083" s="6" t="s">
        <v>42</v>
      </c>
      <c r="P1083" s="6" t="b">
        <v>0</v>
      </c>
      <c r="Q1083" s="9" t="s">
        <v>36</v>
      </c>
    </row>
    <row r="1084" spans="1:17" x14ac:dyDescent="0.25">
      <c r="A1084" s="5" t="s">
        <v>1134</v>
      </c>
      <c r="B1084" s="6" t="s">
        <v>51</v>
      </c>
      <c r="C1084" s="6" t="s">
        <v>19</v>
      </c>
      <c r="D1084" s="6" t="s">
        <v>52</v>
      </c>
      <c r="E1084" s="6" t="s">
        <v>21</v>
      </c>
      <c r="F1084" s="6" t="s">
        <v>48</v>
      </c>
      <c r="G1084" s="6">
        <v>94</v>
      </c>
      <c r="H1084" s="7">
        <v>521.33000000000004</v>
      </c>
      <c r="I1084" s="7">
        <v>49005.02</v>
      </c>
      <c r="J1084" s="8">
        <v>45550</v>
      </c>
      <c r="K1084" s="6">
        <v>55</v>
      </c>
      <c r="L1084" s="6" t="s">
        <v>41</v>
      </c>
      <c r="M1084" s="6" t="b">
        <v>1</v>
      </c>
      <c r="N1084" s="6">
        <v>1.1200000000000001</v>
      </c>
      <c r="O1084" s="6" t="s">
        <v>24</v>
      </c>
      <c r="P1084" s="6" t="b">
        <v>1</v>
      </c>
      <c r="Q1084" s="9" t="s">
        <v>36</v>
      </c>
    </row>
    <row r="1085" spans="1:17" x14ac:dyDescent="0.25">
      <c r="A1085" s="5" t="s">
        <v>1135</v>
      </c>
      <c r="B1085" s="6" t="s">
        <v>72</v>
      </c>
      <c r="C1085" s="6" t="s">
        <v>33</v>
      </c>
      <c r="D1085" s="6" t="s">
        <v>47</v>
      </c>
      <c r="E1085" s="6" t="s">
        <v>21</v>
      </c>
      <c r="F1085" s="6" t="s">
        <v>22</v>
      </c>
      <c r="G1085" s="6">
        <v>91</v>
      </c>
      <c r="H1085" s="7">
        <v>279.27999999999997</v>
      </c>
      <c r="I1085" s="7">
        <v>25414.48</v>
      </c>
      <c r="J1085" s="8">
        <v>45465</v>
      </c>
      <c r="K1085" s="6">
        <v>65</v>
      </c>
      <c r="L1085" s="6" t="s">
        <v>23</v>
      </c>
      <c r="M1085" s="6" t="b">
        <v>1</v>
      </c>
      <c r="N1085" s="6">
        <v>24.6</v>
      </c>
      <c r="O1085" s="6" t="s">
        <v>56</v>
      </c>
      <c r="P1085" s="6" t="b">
        <v>0</v>
      </c>
      <c r="Q1085" s="9" t="s">
        <v>25</v>
      </c>
    </row>
    <row r="1086" spans="1:17" x14ac:dyDescent="0.25">
      <c r="A1086" s="5" t="s">
        <v>1136</v>
      </c>
      <c r="B1086" s="6" t="s">
        <v>32</v>
      </c>
      <c r="C1086" s="6" t="s">
        <v>39</v>
      </c>
      <c r="D1086" s="6" t="s">
        <v>52</v>
      </c>
      <c r="E1086" s="6" t="s">
        <v>44</v>
      </c>
      <c r="F1086" s="6" t="s">
        <v>29</v>
      </c>
      <c r="G1086" s="6">
        <v>39</v>
      </c>
      <c r="H1086" s="7">
        <v>540.86</v>
      </c>
      <c r="I1086" s="7">
        <v>21093.54</v>
      </c>
      <c r="J1086" s="8">
        <v>45509</v>
      </c>
      <c r="K1086" s="6">
        <v>44</v>
      </c>
      <c r="L1086" s="6" t="s">
        <v>41</v>
      </c>
      <c r="M1086" s="6" t="b">
        <v>0</v>
      </c>
      <c r="N1086" s="6">
        <v>3.18</v>
      </c>
      <c r="O1086" s="6" t="s">
        <v>42</v>
      </c>
      <c r="P1086" s="6" t="b">
        <v>0</v>
      </c>
      <c r="Q1086" s="9" t="s">
        <v>25</v>
      </c>
    </row>
    <row r="1087" spans="1:17" x14ac:dyDescent="0.25">
      <c r="A1087" s="5" t="s">
        <v>1137</v>
      </c>
      <c r="B1087" s="6" t="s">
        <v>51</v>
      </c>
      <c r="C1087" s="6" t="s">
        <v>39</v>
      </c>
      <c r="D1087" s="6" t="s">
        <v>20</v>
      </c>
      <c r="E1087" s="6" t="s">
        <v>35</v>
      </c>
      <c r="F1087" s="6" t="s">
        <v>48</v>
      </c>
      <c r="G1087" s="6">
        <v>63</v>
      </c>
      <c r="H1087" s="7">
        <v>79.739999999999995</v>
      </c>
      <c r="I1087" s="7">
        <v>5023.62</v>
      </c>
      <c r="J1087" s="8">
        <v>45128</v>
      </c>
      <c r="K1087" s="6">
        <v>61</v>
      </c>
      <c r="L1087" s="6" t="s">
        <v>23</v>
      </c>
      <c r="M1087" s="6" t="b">
        <v>0</v>
      </c>
      <c r="N1087" s="6">
        <v>12.11</v>
      </c>
      <c r="O1087" s="6" t="s">
        <v>42</v>
      </c>
      <c r="P1087" s="6" t="b">
        <v>1</v>
      </c>
      <c r="Q1087" s="9" t="s">
        <v>36</v>
      </c>
    </row>
    <row r="1088" spans="1:17" x14ac:dyDescent="0.25">
      <c r="A1088" s="5" t="s">
        <v>1138</v>
      </c>
      <c r="B1088" s="6" t="s">
        <v>66</v>
      </c>
      <c r="C1088" s="6" t="s">
        <v>33</v>
      </c>
      <c r="D1088" s="6" t="s">
        <v>52</v>
      </c>
      <c r="E1088" s="6" t="s">
        <v>21</v>
      </c>
      <c r="F1088" s="6" t="s">
        <v>22</v>
      </c>
      <c r="G1088" s="6">
        <v>79</v>
      </c>
      <c r="H1088" s="7">
        <v>577.16</v>
      </c>
      <c r="I1088" s="7">
        <v>45595.64</v>
      </c>
      <c r="J1088" s="8">
        <v>45174</v>
      </c>
      <c r="K1088" s="6">
        <v>29</v>
      </c>
      <c r="L1088" s="6" t="s">
        <v>23</v>
      </c>
      <c r="M1088" s="6" t="b">
        <v>1</v>
      </c>
      <c r="N1088" s="6">
        <v>17.14</v>
      </c>
      <c r="O1088" s="6" t="s">
        <v>24</v>
      </c>
      <c r="P1088" s="6" t="b">
        <v>0</v>
      </c>
      <c r="Q1088" s="9" t="s">
        <v>36</v>
      </c>
    </row>
    <row r="1089" spans="1:17" x14ac:dyDescent="0.25">
      <c r="A1089" s="5" t="s">
        <v>1139</v>
      </c>
      <c r="B1089" s="6" t="s">
        <v>72</v>
      </c>
      <c r="C1089" s="6" t="s">
        <v>39</v>
      </c>
      <c r="D1089" s="6" t="s">
        <v>47</v>
      </c>
      <c r="E1089" s="6" t="s">
        <v>44</v>
      </c>
      <c r="F1089" s="6" t="s">
        <v>22</v>
      </c>
      <c r="G1089" s="6">
        <v>26</v>
      </c>
      <c r="H1089" s="7">
        <v>820.65</v>
      </c>
      <c r="I1089" s="7">
        <v>21336.9</v>
      </c>
      <c r="J1089" s="8">
        <v>45044</v>
      </c>
      <c r="K1089" s="6">
        <v>20</v>
      </c>
      <c r="L1089" s="6" t="s">
        <v>49</v>
      </c>
      <c r="M1089" s="6" t="b">
        <v>0</v>
      </c>
      <c r="N1089" s="6">
        <v>0.23</v>
      </c>
      <c r="O1089" s="6" t="s">
        <v>30</v>
      </c>
      <c r="P1089" s="6" t="b">
        <v>1</v>
      </c>
      <c r="Q1089" s="9" t="s">
        <v>36</v>
      </c>
    </row>
    <row r="1090" spans="1:17" x14ac:dyDescent="0.25">
      <c r="A1090" s="5" t="s">
        <v>1140</v>
      </c>
      <c r="B1090" s="6" t="s">
        <v>51</v>
      </c>
      <c r="C1090" s="6" t="s">
        <v>19</v>
      </c>
      <c r="D1090" s="6" t="s">
        <v>34</v>
      </c>
      <c r="E1090" s="6" t="s">
        <v>35</v>
      </c>
      <c r="F1090" s="6" t="s">
        <v>22</v>
      </c>
      <c r="G1090" s="6">
        <v>65</v>
      </c>
      <c r="H1090" s="7">
        <v>1314.21</v>
      </c>
      <c r="I1090" s="7">
        <v>85423.65</v>
      </c>
      <c r="J1090" s="8">
        <v>44935</v>
      </c>
      <c r="K1090" s="6">
        <v>47</v>
      </c>
      <c r="L1090" s="6" t="s">
        <v>23</v>
      </c>
      <c r="M1090" s="6" t="b">
        <v>1</v>
      </c>
      <c r="N1090" s="6">
        <v>19.59</v>
      </c>
      <c r="O1090" s="6" t="s">
        <v>30</v>
      </c>
      <c r="P1090" s="6" t="b">
        <v>1</v>
      </c>
      <c r="Q1090" s="9" t="s">
        <v>36</v>
      </c>
    </row>
    <row r="1091" spans="1:17" x14ac:dyDescent="0.25">
      <c r="A1091" s="5" t="s">
        <v>1141</v>
      </c>
      <c r="B1091" s="6" t="s">
        <v>66</v>
      </c>
      <c r="C1091" s="6" t="s">
        <v>19</v>
      </c>
      <c r="D1091" s="6" t="s">
        <v>52</v>
      </c>
      <c r="E1091" s="6" t="s">
        <v>28</v>
      </c>
      <c r="F1091" s="6" t="s">
        <v>48</v>
      </c>
      <c r="G1091" s="6">
        <v>4</v>
      </c>
      <c r="H1091" s="7">
        <v>1046.69</v>
      </c>
      <c r="I1091" s="7">
        <v>4186.76</v>
      </c>
      <c r="J1091" s="8">
        <v>45524</v>
      </c>
      <c r="K1091" s="6">
        <v>49</v>
      </c>
      <c r="L1091" s="6" t="s">
        <v>41</v>
      </c>
      <c r="M1091" s="6" t="b">
        <v>0</v>
      </c>
      <c r="N1091" s="6">
        <v>19.79</v>
      </c>
      <c r="O1091" s="6" t="s">
        <v>42</v>
      </c>
      <c r="P1091" s="6" t="b">
        <v>1</v>
      </c>
      <c r="Q1091" s="9" t="s">
        <v>36</v>
      </c>
    </row>
    <row r="1092" spans="1:17" x14ac:dyDescent="0.25">
      <c r="A1092" s="5" t="s">
        <v>1142</v>
      </c>
      <c r="B1092" s="6" t="s">
        <v>66</v>
      </c>
      <c r="C1092" s="6" t="s">
        <v>19</v>
      </c>
      <c r="D1092" s="6" t="s">
        <v>64</v>
      </c>
      <c r="E1092" s="6" t="s">
        <v>21</v>
      </c>
      <c r="F1092" s="6" t="s">
        <v>22</v>
      </c>
      <c r="G1092" s="6">
        <v>29</v>
      </c>
      <c r="H1092" s="7">
        <v>211.79</v>
      </c>
      <c r="I1092" s="7">
        <v>6141.91</v>
      </c>
      <c r="J1092" s="8">
        <v>44949</v>
      </c>
      <c r="K1092" s="6">
        <v>40</v>
      </c>
      <c r="L1092" s="6" t="s">
        <v>41</v>
      </c>
      <c r="M1092" s="6" t="b">
        <v>0</v>
      </c>
      <c r="N1092" s="6">
        <v>19.579999999999998</v>
      </c>
      <c r="O1092" s="6" t="s">
        <v>30</v>
      </c>
      <c r="P1092" s="6" t="b">
        <v>1</v>
      </c>
      <c r="Q1092" s="9" t="s">
        <v>36</v>
      </c>
    </row>
    <row r="1093" spans="1:17" x14ac:dyDescent="0.25">
      <c r="A1093" s="5" t="s">
        <v>1143</v>
      </c>
      <c r="B1093" s="6" t="s">
        <v>62</v>
      </c>
      <c r="C1093" s="6" t="s">
        <v>19</v>
      </c>
      <c r="D1093" s="6" t="s">
        <v>20</v>
      </c>
      <c r="E1093" s="6" t="s">
        <v>44</v>
      </c>
      <c r="F1093" s="6" t="s">
        <v>22</v>
      </c>
      <c r="G1093" s="6">
        <v>1</v>
      </c>
      <c r="H1093" s="7">
        <v>264.23</v>
      </c>
      <c r="I1093" s="7">
        <v>264.23</v>
      </c>
      <c r="J1093" s="8">
        <v>45166</v>
      </c>
      <c r="K1093" s="6">
        <v>19</v>
      </c>
      <c r="L1093" s="6" t="s">
        <v>23</v>
      </c>
      <c r="M1093" s="6" t="b">
        <v>0</v>
      </c>
      <c r="N1093" s="6">
        <v>4.9000000000000004</v>
      </c>
      <c r="O1093" s="6" t="s">
        <v>56</v>
      </c>
      <c r="P1093" s="6" t="b">
        <v>1</v>
      </c>
      <c r="Q1093" s="9" t="s">
        <v>25</v>
      </c>
    </row>
    <row r="1094" spans="1:17" x14ac:dyDescent="0.25">
      <c r="A1094" s="5" t="s">
        <v>1144</v>
      </c>
      <c r="B1094" s="6" t="s">
        <v>72</v>
      </c>
      <c r="C1094" s="6" t="s">
        <v>33</v>
      </c>
      <c r="D1094" s="6" t="s">
        <v>20</v>
      </c>
      <c r="E1094" s="6" t="s">
        <v>28</v>
      </c>
      <c r="F1094" s="6" t="s">
        <v>29</v>
      </c>
      <c r="G1094" s="6">
        <v>50</v>
      </c>
      <c r="H1094" s="7">
        <v>670.78</v>
      </c>
      <c r="I1094" s="7">
        <v>33539</v>
      </c>
      <c r="J1094" s="8">
        <v>45511</v>
      </c>
      <c r="K1094" s="6">
        <v>24</v>
      </c>
      <c r="L1094" s="6" t="s">
        <v>49</v>
      </c>
      <c r="M1094" s="6" t="b">
        <v>1</v>
      </c>
      <c r="N1094" s="6">
        <v>7.67</v>
      </c>
      <c r="O1094" s="6" t="s">
        <v>24</v>
      </c>
      <c r="P1094" s="6" t="b">
        <v>0</v>
      </c>
      <c r="Q1094" s="9" t="s">
        <v>25</v>
      </c>
    </row>
    <row r="1095" spans="1:17" x14ac:dyDescent="0.25">
      <c r="A1095" s="5" t="s">
        <v>1145</v>
      </c>
      <c r="B1095" s="6" t="s">
        <v>66</v>
      </c>
      <c r="C1095" s="6" t="s">
        <v>39</v>
      </c>
      <c r="D1095" s="6" t="s">
        <v>64</v>
      </c>
      <c r="E1095" s="6" t="s">
        <v>35</v>
      </c>
      <c r="F1095" s="6" t="s">
        <v>40</v>
      </c>
      <c r="G1095" s="6">
        <v>86</v>
      </c>
      <c r="H1095" s="7">
        <v>333.78</v>
      </c>
      <c r="I1095" s="7">
        <v>28705.08</v>
      </c>
      <c r="J1095" s="8">
        <v>44953</v>
      </c>
      <c r="K1095" s="6">
        <v>51</v>
      </c>
      <c r="L1095" s="6" t="s">
        <v>23</v>
      </c>
      <c r="M1095" s="6" t="b">
        <v>0</v>
      </c>
      <c r="N1095" s="6">
        <v>7.42</v>
      </c>
      <c r="O1095" s="6" t="s">
        <v>24</v>
      </c>
      <c r="P1095" s="6" t="b">
        <v>1</v>
      </c>
      <c r="Q1095" s="9" t="s">
        <v>25</v>
      </c>
    </row>
    <row r="1096" spans="1:17" x14ac:dyDescent="0.25">
      <c r="A1096" s="5" t="s">
        <v>1146</v>
      </c>
      <c r="B1096" s="6" t="s">
        <v>62</v>
      </c>
      <c r="C1096" s="6" t="s">
        <v>19</v>
      </c>
      <c r="D1096" s="6" t="s">
        <v>64</v>
      </c>
      <c r="E1096" s="6" t="s">
        <v>35</v>
      </c>
      <c r="F1096" s="6" t="s">
        <v>48</v>
      </c>
      <c r="G1096" s="6">
        <v>11</v>
      </c>
      <c r="H1096" s="7">
        <v>90.38</v>
      </c>
      <c r="I1096" s="7">
        <v>994.18</v>
      </c>
      <c r="J1096" s="8">
        <v>45007</v>
      </c>
      <c r="K1096" s="6">
        <v>49</v>
      </c>
      <c r="L1096" s="6" t="s">
        <v>23</v>
      </c>
      <c r="M1096" s="6" t="b">
        <v>1</v>
      </c>
      <c r="N1096" s="6">
        <v>28.8</v>
      </c>
      <c r="O1096" s="6" t="s">
        <v>24</v>
      </c>
      <c r="P1096" s="6" t="b">
        <v>0</v>
      </c>
      <c r="Q1096" s="9" t="s">
        <v>25</v>
      </c>
    </row>
    <row r="1097" spans="1:17" x14ac:dyDescent="0.25">
      <c r="A1097" s="5" t="s">
        <v>1147</v>
      </c>
      <c r="B1097" s="6" t="s">
        <v>51</v>
      </c>
      <c r="C1097" s="6" t="s">
        <v>33</v>
      </c>
      <c r="D1097" s="6" t="s">
        <v>52</v>
      </c>
      <c r="E1097" s="6" t="s">
        <v>35</v>
      </c>
      <c r="F1097" s="6" t="s">
        <v>40</v>
      </c>
      <c r="G1097" s="6">
        <v>74</v>
      </c>
      <c r="H1097" s="7">
        <v>1217.27</v>
      </c>
      <c r="I1097" s="7">
        <v>90077.98</v>
      </c>
      <c r="J1097" s="8">
        <v>45522</v>
      </c>
      <c r="K1097" s="6">
        <v>56</v>
      </c>
      <c r="L1097" s="6" t="s">
        <v>41</v>
      </c>
      <c r="M1097" s="6" t="b">
        <v>1</v>
      </c>
      <c r="N1097" s="6">
        <v>2.0299999999999998</v>
      </c>
      <c r="O1097" s="6" t="s">
        <v>42</v>
      </c>
      <c r="P1097" s="6" t="b">
        <v>1</v>
      </c>
      <c r="Q1097" s="9" t="s">
        <v>36</v>
      </c>
    </row>
    <row r="1098" spans="1:17" x14ac:dyDescent="0.25">
      <c r="A1098" s="5" t="s">
        <v>1148</v>
      </c>
      <c r="B1098" s="6" t="s">
        <v>27</v>
      </c>
      <c r="C1098" s="6" t="s">
        <v>39</v>
      </c>
      <c r="D1098" s="6" t="s">
        <v>64</v>
      </c>
      <c r="E1098" s="6" t="s">
        <v>21</v>
      </c>
      <c r="F1098" s="6" t="s">
        <v>29</v>
      </c>
      <c r="G1098" s="6">
        <v>59</v>
      </c>
      <c r="H1098" s="7">
        <v>78.31</v>
      </c>
      <c r="I1098" s="7">
        <v>4620.29</v>
      </c>
      <c r="J1098" s="8">
        <v>45125</v>
      </c>
      <c r="K1098" s="6">
        <v>49</v>
      </c>
      <c r="L1098" s="6" t="s">
        <v>49</v>
      </c>
      <c r="M1098" s="6" t="b">
        <v>1</v>
      </c>
      <c r="N1098" s="6">
        <v>12.86</v>
      </c>
      <c r="O1098" s="6" t="s">
        <v>42</v>
      </c>
      <c r="P1098" s="6" t="b">
        <v>0</v>
      </c>
      <c r="Q1098" s="9" t="s">
        <v>25</v>
      </c>
    </row>
    <row r="1099" spans="1:17" x14ac:dyDescent="0.25">
      <c r="A1099" s="5" t="s">
        <v>1149</v>
      </c>
      <c r="B1099" s="6" t="s">
        <v>72</v>
      </c>
      <c r="C1099" s="6" t="s">
        <v>39</v>
      </c>
      <c r="D1099" s="6" t="s">
        <v>34</v>
      </c>
      <c r="E1099" s="6" t="s">
        <v>44</v>
      </c>
      <c r="F1099" s="6" t="s">
        <v>40</v>
      </c>
      <c r="G1099" s="6">
        <v>62</v>
      </c>
      <c r="H1099" s="7">
        <v>1254.5</v>
      </c>
      <c r="I1099" s="7">
        <v>77779</v>
      </c>
      <c r="J1099" s="8">
        <v>45481</v>
      </c>
      <c r="K1099" s="6">
        <v>60</v>
      </c>
      <c r="L1099" s="6" t="s">
        <v>49</v>
      </c>
      <c r="M1099" s="6" t="b">
        <v>1</v>
      </c>
      <c r="N1099" s="6">
        <v>26.14</v>
      </c>
      <c r="O1099" s="6" t="s">
        <v>30</v>
      </c>
      <c r="P1099" s="6" t="b">
        <v>0</v>
      </c>
      <c r="Q1099" s="9" t="s">
        <v>25</v>
      </c>
    </row>
    <row r="1100" spans="1:17" x14ac:dyDescent="0.25">
      <c r="A1100" s="5" t="s">
        <v>1150</v>
      </c>
      <c r="B1100" s="6" t="s">
        <v>32</v>
      </c>
      <c r="C1100" s="6" t="s">
        <v>33</v>
      </c>
      <c r="D1100" s="6" t="s">
        <v>47</v>
      </c>
      <c r="E1100" s="6" t="s">
        <v>28</v>
      </c>
      <c r="F1100" s="6" t="s">
        <v>22</v>
      </c>
      <c r="G1100" s="6">
        <v>81</v>
      </c>
      <c r="H1100" s="7">
        <v>258.95</v>
      </c>
      <c r="I1100" s="7">
        <v>20974.95</v>
      </c>
      <c r="J1100" s="8">
        <v>45018</v>
      </c>
      <c r="K1100" s="6">
        <v>60</v>
      </c>
      <c r="L1100" s="6" t="s">
        <v>49</v>
      </c>
      <c r="M1100" s="6" t="b">
        <v>1</v>
      </c>
      <c r="N1100" s="6">
        <v>23.08</v>
      </c>
      <c r="O1100" s="6" t="s">
        <v>24</v>
      </c>
      <c r="P1100" s="6" t="b">
        <v>1</v>
      </c>
      <c r="Q1100" s="9" t="s">
        <v>36</v>
      </c>
    </row>
    <row r="1101" spans="1:17" x14ac:dyDescent="0.25">
      <c r="A1101" s="5" t="s">
        <v>1151</v>
      </c>
      <c r="B1101" s="6" t="s">
        <v>18</v>
      </c>
      <c r="C1101" s="6" t="s">
        <v>33</v>
      </c>
      <c r="D1101" s="6" t="s">
        <v>64</v>
      </c>
      <c r="E1101" s="6" t="s">
        <v>44</v>
      </c>
      <c r="F1101" s="6" t="s">
        <v>22</v>
      </c>
      <c r="G1101" s="6">
        <v>36</v>
      </c>
      <c r="H1101" s="7">
        <v>1463.28</v>
      </c>
      <c r="I1101" s="7">
        <v>52678.080000000002</v>
      </c>
      <c r="J1101" s="8">
        <v>45010</v>
      </c>
      <c r="K1101" s="6">
        <v>31</v>
      </c>
      <c r="L1101" s="6" t="s">
        <v>49</v>
      </c>
      <c r="M1101" s="6" t="b">
        <v>1</v>
      </c>
      <c r="N1101" s="6">
        <v>24.67</v>
      </c>
      <c r="O1101" s="6" t="s">
        <v>56</v>
      </c>
      <c r="P1101" s="6" t="b">
        <v>0</v>
      </c>
      <c r="Q1101" s="9" t="s">
        <v>25</v>
      </c>
    </row>
    <row r="1102" spans="1:17" x14ac:dyDescent="0.25">
      <c r="A1102" s="5" t="s">
        <v>1152</v>
      </c>
      <c r="B1102" s="6" t="s">
        <v>18</v>
      </c>
      <c r="C1102" s="6" t="s">
        <v>19</v>
      </c>
      <c r="D1102" s="6" t="s">
        <v>64</v>
      </c>
      <c r="E1102" s="6" t="s">
        <v>21</v>
      </c>
      <c r="F1102" s="6" t="s">
        <v>48</v>
      </c>
      <c r="G1102" s="6">
        <v>56</v>
      </c>
      <c r="H1102" s="7">
        <v>925.62</v>
      </c>
      <c r="I1102" s="7">
        <v>51834.720000000001</v>
      </c>
      <c r="J1102" s="8">
        <v>45226</v>
      </c>
      <c r="K1102" s="6">
        <v>20</v>
      </c>
      <c r="L1102" s="6" t="s">
        <v>41</v>
      </c>
      <c r="M1102" s="6" t="b">
        <v>1</v>
      </c>
      <c r="N1102" s="6">
        <v>29.17</v>
      </c>
      <c r="O1102" s="6" t="s">
        <v>56</v>
      </c>
      <c r="P1102" s="6" t="b">
        <v>1</v>
      </c>
      <c r="Q1102" s="9" t="s">
        <v>36</v>
      </c>
    </row>
    <row r="1103" spans="1:17" x14ac:dyDescent="0.25">
      <c r="A1103" s="5" t="s">
        <v>1153</v>
      </c>
      <c r="B1103" s="6" t="s">
        <v>51</v>
      </c>
      <c r="C1103" s="6" t="s">
        <v>39</v>
      </c>
      <c r="D1103" s="6" t="s">
        <v>34</v>
      </c>
      <c r="E1103" s="6" t="s">
        <v>44</v>
      </c>
      <c r="F1103" s="6" t="s">
        <v>48</v>
      </c>
      <c r="G1103" s="6">
        <v>90</v>
      </c>
      <c r="H1103" s="7">
        <v>1115.73</v>
      </c>
      <c r="I1103" s="7">
        <v>100415.7</v>
      </c>
      <c r="J1103" s="8">
        <v>45222</v>
      </c>
      <c r="K1103" s="6">
        <v>63</v>
      </c>
      <c r="L1103" s="6" t="s">
        <v>49</v>
      </c>
      <c r="M1103" s="6" t="b">
        <v>1</v>
      </c>
      <c r="N1103" s="6">
        <v>11.62</v>
      </c>
      <c r="O1103" s="6" t="s">
        <v>24</v>
      </c>
      <c r="P1103" s="6" t="b">
        <v>1</v>
      </c>
      <c r="Q1103" s="9" t="s">
        <v>36</v>
      </c>
    </row>
    <row r="1104" spans="1:17" x14ac:dyDescent="0.25">
      <c r="A1104" s="5" t="s">
        <v>1154</v>
      </c>
      <c r="B1104" s="6" t="s">
        <v>46</v>
      </c>
      <c r="C1104" s="6" t="s">
        <v>39</v>
      </c>
      <c r="D1104" s="6" t="s">
        <v>20</v>
      </c>
      <c r="E1104" s="6" t="s">
        <v>21</v>
      </c>
      <c r="F1104" s="6" t="s">
        <v>48</v>
      </c>
      <c r="G1104" s="6">
        <v>21</v>
      </c>
      <c r="H1104" s="7">
        <v>210.2</v>
      </c>
      <c r="I1104" s="7">
        <v>4414.2</v>
      </c>
      <c r="J1104" s="8">
        <v>45573</v>
      </c>
      <c r="K1104" s="6">
        <v>49</v>
      </c>
      <c r="L1104" s="6" t="s">
        <v>49</v>
      </c>
      <c r="M1104" s="6" t="b">
        <v>1</v>
      </c>
      <c r="N1104" s="6">
        <v>9.2899999999999991</v>
      </c>
      <c r="O1104" s="6" t="s">
        <v>42</v>
      </c>
      <c r="P1104" s="6" t="b">
        <v>1</v>
      </c>
      <c r="Q1104" s="9" t="s">
        <v>25</v>
      </c>
    </row>
    <row r="1105" spans="1:17" x14ac:dyDescent="0.25">
      <c r="A1105" s="5" t="s">
        <v>1155</v>
      </c>
      <c r="B1105" s="6" t="s">
        <v>46</v>
      </c>
      <c r="C1105" s="6" t="s">
        <v>33</v>
      </c>
      <c r="D1105" s="6" t="s">
        <v>20</v>
      </c>
      <c r="E1105" s="6" t="s">
        <v>35</v>
      </c>
      <c r="F1105" s="6" t="s">
        <v>29</v>
      </c>
      <c r="G1105" s="6">
        <v>13</v>
      </c>
      <c r="H1105" s="7">
        <v>1300.05</v>
      </c>
      <c r="I1105" s="7">
        <v>16900.650000000001</v>
      </c>
      <c r="J1105" s="8">
        <v>45380</v>
      </c>
      <c r="K1105" s="6">
        <v>60</v>
      </c>
      <c r="L1105" s="6" t="s">
        <v>49</v>
      </c>
      <c r="M1105" s="6" t="b">
        <v>0</v>
      </c>
      <c r="N1105" s="6">
        <v>0.92</v>
      </c>
      <c r="O1105" s="6" t="s">
        <v>42</v>
      </c>
      <c r="P1105" s="6" t="b">
        <v>0</v>
      </c>
      <c r="Q1105" s="9" t="s">
        <v>25</v>
      </c>
    </row>
    <row r="1106" spans="1:17" x14ac:dyDescent="0.25">
      <c r="A1106" s="5" t="s">
        <v>1156</v>
      </c>
      <c r="B1106" s="6" t="s">
        <v>51</v>
      </c>
      <c r="C1106" s="6" t="s">
        <v>39</v>
      </c>
      <c r="D1106" s="6" t="s">
        <v>52</v>
      </c>
      <c r="E1106" s="6" t="s">
        <v>28</v>
      </c>
      <c r="F1106" s="6" t="s">
        <v>48</v>
      </c>
      <c r="G1106" s="6">
        <v>9</v>
      </c>
      <c r="H1106" s="7">
        <v>1266.83</v>
      </c>
      <c r="I1106" s="7">
        <v>11401.47</v>
      </c>
      <c r="J1106" s="8">
        <v>45207</v>
      </c>
      <c r="K1106" s="6">
        <v>53</v>
      </c>
      <c r="L1106" s="6" t="s">
        <v>41</v>
      </c>
      <c r="M1106" s="6" t="b">
        <v>1</v>
      </c>
      <c r="N1106" s="6">
        <v>4.5</v>
      </c>
      <c r="O1106" s="6" t="s">
        <v>42</v>
      </c>
      <c r="P1106" s="6" t="b">
        <v>0</v>
      </c>
      <c r="Q1106" s="9" t="s">
        <v>25</v>
      </c>
    </row>
    <row r="1107" spans="1:17" x14ac:dyDescent="0.25">
      <c r="A1107" s="5" t="s">
        <v>1157</v>
      </c>
      <c r="B1107" s="6" t="s">
        <v>66</v>
      </c>
      <c r="C1107" s="6" t="s">
        <v>19</v>
      </c>
      <c r="D1107" s="6" t="s">
        <v>34</v>
      </c>
      <c r="E1107" s="6" t="s">
        <v>35</v>
      </c>
      <c r="F1107" s="6" t="s">
        <v>29</v>
      </c>
      <c r="G1107" s="6">
        <v>11</v>
      </c>
      <c r="H1107" s="7">
        <v>996.84</v>
      </c>
      <c r="I1107" s="7">
        <v>10965.24</v>
      </c>
      <c r="J1107" s="8">
        <v>44985</v>
      </c>
      <c r="K1107" s="6">
        <v>34</v>
      </c>
      <c r="L1107" s="6" t="s">
        <v>41</v>
      </c>
      <c r="M1107" s="6" t="b">
        <v>0</v>
      </c>
      <c r="N1107" s="6">
        <v>16.86</v>
      </c>
      <c r="O1107" s="6" t="s">
        <v>56</v>
      </c>
      <c r="P1107" s="6" t="b">
        <v>0</v>
      </c>
      <c r="Q1107" s="9" t="s">
        <v>36</v>
      </c>
    </row>
    <row r="1108" spans="1:17" x14ac:dyDescent="0.25">
      <c r="A1108" s="5" t="s">
        <v>1158</v>
      </c>
      <c r="B1108" s="6" t="s">
        <v>72</v>
      </c>
      <c r="C1108" s="6" t="s">
        <v>39</v>
      </c>
      <c r="D1108" s="6" t="s">
        <v>47</v>
      </c>
      <c r="E1108" s="6" t="s">
        <v>44</v>
      </c>
      <c r="F1108" s="6" t="s">
        <v>22</v>
      </c>
      <c r="G1108" s="6">
        <v>75</v>
      </c>
      <c r="H1108" s="7">
        <v>778.3</v>
      </c>
      <c r="I1108" s="7">
        <v>58372.5</v>
      </c>
      <c r="J1108" s="8">
        <v>45268</v>
      </c>
      <c r="K1108" s="6">
        <v>65</v>
      </c>
      <c r="L1108" s="6" t="s">
        <v>49</v>
      </c>
      <c r="M1108" s="6" t="b">
        <v>1</v>
      </c>
      <c r="N1108" s="6">
        <v>4.7300000000000004</v>
      </c>
      <c r="O1108" s="6" t="s">
        <v>24</v>
      </c>
      <c r="P1108" s="6" t="b">
        <v>0</v>
      </c>
      <c r="Q1108" s="9" t="s">
        <v>25</v>
      </c>
    </row>
    <row r="1109" spans="1:17" x14ac:dyDescent="0.25">
      <c r="A1109" s="5" t="s">
        <v>1159</v>
      </c>
      <c r="B1109" s="6" t="s">
        <v>18</v>
      </c>
      <c r="C1109" s="6" t="s">
        <v>33</v>
      </c>
      <c r="D1109" s="6" t="s">
        <v>47</v>
      </c>
      <c r="E1109" s="6" t="s">
        <v>35</v>
      </c>
      <c r="F1109" s="6" t="s">
        <v>40</v>
      </c>
      <c r="G1109" s="6">
        <v>70</v>
      </c>
      <c r="H1109" s="7">
        <v>1096.1600000000001</v>
      </c>
      <c r="I1109" s="7">
        <v>76731.199999999997</v>
      </c>
      <c r="J1109" s="8">
        <v>45391</v>
      </c>
      <c r="K1109" s="6">
        <v>20</v>
      </c>
      <c r="L1109" s="6" t="s">
        <v>41</v>
      </c>
      <c r="M1109" s="6" t="b">
        <v>0</v>
      </c>
      <c r="N1109" s="6">
        <v>22.09</v>
      </c>
      <c r="O1109" s="6" t="s">
        <v>56</v>
      </c>
      <c r="P1109" s="6" t="b">
        <v>1</v>
      </c>
      <c r="Q1109" s="9" t="s">
        <v>36</v>
      </c>
    </row>
    <row r="1110" spans="1:17" x14ac:dyDescent="0.25">
      <c r="A1110" s="5" t="s">
        <v>1160</v>
      </c>
      <c r="B1110" s="6" t="s">
        <v>18</v>
      </c>
      <c r="C1110" s="6" t="s">
        <v>33</v>
      </c>
      <c r="D1110" s="6" t="s">
        <v>34</v>
      </c>
      <c r="E1110" s="6" t="s">
        <v>28</v>
      </c>
      <c r="F1110" s="6" t="s">
        <v>22</v>
      </c>
      <c r="G1110" s="6">
        <v>1</v>
      </c>
      <c r="H1110" s="7">
        <v>58.6</v>
      </c>
      <c r="I1110" s="7">
        <v>58.6</v>
      </c>
      <c r="J1110" s="8">
        <v>45268</v>
      </c>
      <c r="K1110" s="6">
        <v>27</v>
      </c>
      <c r="L1110" s="6" t="s">
        <v>23</v>
      </c>
      <c r="M1110" s="6" t="b">
        <v>0</v>
      </c>
      <c r="N1110" s="6">
        <v>1.1200000000000001</v>
      </c>
      <c r="O1110" s="6" t="s">
        <v>24</v>
      </c>
      <c r="P1110" s="6" t="b">
        <v>1</v>
      </c>
      <c r="Q1110" s="9" t="s">
        <v>25</v>
      </c>
    </row>
    <row r="1111" spans="1:17" x14ac:dyDescent="0.25">
      <c r="A1111" s="5" t="s">
        <v>1161</v>
      </c>
      <c r="B1111" s="6" t="s">
        <v>66</v>
      </c>
      <c r="C1111" s="6" t="s">
        <v>19</v>
      </c>
      <c r="D1111" s="6" t="s">
        <v>47</v>
      </c>
      <c r="E1111" s="6" t="s">
        <v>35</v>
      </c>
      <c r="F1111" s="6" t="s">
        <v>22</v>
      </c>
      <c r="G1111" s="6">
        <v>70</v>
      </c>
      <c r="H1111" s="7">
        <v>909.04</v>
      </c>
      <c r="I1111" s="7">
        <v>63632.800000000003</v>
      </c>
      <c r="J1111" s="8">
        <v>45536</v>
      </c>
      <c r="K1111" s="6">
        <v>64</v>
      </c>
      <c r="L1111" s="6" t="s">
        <v>49</v>
      </c>
      <c r="M1111" s="6" t="b">
        <v>0</v>
      </c>
      <c r="N1111" s="6">
        <v>7.78</v>
      </c>
      <c r="O1111" s="6" t="s">
        <v>56</v>
      </c>
      <c r="P1111" s="6" t="b">
        <v>0</v>
      </c>
      <c r="Q1111" s="9" t="s">
        <v>36</v>
      </c>
    </row>
    <row r="1112" spans="1:17" x14ac:dyDescent="0.25">
      <c r="A1112" s="5" t="s">
        <v>1162</v>
      </c>
      <c r="B1112" s="6" t="s">
        <v>18</v>
      </c>
      <c r="C1112" s="6" t="s">
        <v>19</v>
      </c>
      <c r="D1112" s="6" t="s">
        <v>20</v>
      </c>
      <c r="E1112" s="6" t="s">
        <v>28</v>
      </c>
      <c r="F1112" s="6" t="s">
        <v>22</v>
      </c>
      <c r="G1112" s="6">
        <v>77</v>
      </c>
      <c r="H1112" s="7">
        <v>1278.74</v>
      </c>
      <c r="I1112" s="7">
        <v>98462.98</v>
      </c>
      <c r="J1112" s="8">
        <v>44988</v>
      </c>
      <c r="K1112" s="6">
        <v>57</v>
      </c>
      <c r="L1112" s="6" t="s">
        <v>41</v>
      </c>
      <c r="M1112" s="6" t="b">
        <v>0</v>
      </c>
      <c r="N1112" s="6">
        <v>20.86</v>
      </c>
      <c r="O1112" s="6" t="s">
        <v>56</v>
      </c>
      <c r="P1112" s="6" t="b">
        <v>0</v>
      </c>
      <c r="Q1112" s="9" t="s">
        <v>25</v>
      </c>
    </row>
    <row r="1113" spans="1:17" x14ac:dyDescent="0.25">
      <c r="A1113" s="5" t="s">
        <v>1163</v>
      </c>
      <c r="B1113" s="6" t="s">
        <v>32</v>
      </c>
      <c r="C1113" s="6" t="s">
        <v>39</v>
      </c>
      <c r="D1113" s="6" t="s">
        <v>47</v>
      </c>
      <c r="E1113" s="6" t="s">
        <v>28</v>
      </c>
      <c r="F1113" s="6" t="s">
        <v>48</v>
      </c>
      <c r="G1113" s="6">
        <v>86</v>
      </c>
      <c r="H1113" s="7">
        <v>567.5</v>
      </c>
      <c r="I1113" s="7">
        <v>48805</v>
      </c>
      <c r="J1113" s="8">
        <v>45551</v>
      </c>
      <c r="K1113" s="6">
        <v>35</v>
      </c>
      <c r="L1113" s="6" t="s">
        <v>49</v>
      </c>
      <c r="M1113" s="6" t="b">
        <v>0</v>
      </c>
      <c r="N1113" s="6">
        <v>7.67</v>
      </c>
      <c r="O1113" s="6" t="s">
        <v>30</v>
      </c>
      <c r="P1113" s="6" t="b">
        <v>1</v>
      </c>
      <c r="Q1113" s="9" t="s">
        <v>25</v>
      </c>
    </row>
    <row r="1114" spans="1:17" x14ac:dyDescent="0.25">
      <c r="A1114" s="5" t="s">
        <v>1164</v>
      </c>
      <c r="B1114" s="6" t="s">
        <v>72</v>
      </c>
      <c r="C1114" s="6" t="s">
        <v>39</v>
      </c>
      <c r="D1114" s="6" t="s">
        <v>47</v>
      </c>
      <c r="E1114" s="6" t="s">
        <v>35</v>
      </c>
      <c r="F1114" s="6" t="s">
        <v>48</v>
      </c>
      <c r="G1114" s="6">
        <v>56</v>
      </c>
      <c r="H1114" s="7">
        <v>207.02</v>
      </c>
      <c r="I1114" s="7">
        <v>11593.12</v>
      </c>
      <c r="J1114" s="8">
        <v>45355</v>
      </c>
      <c r="K1114" s="6">
        <v>20</v>
      </c>
      <c r="L1114" s="6" t="s">
        <v>49</v>
      </c>
      <c r="M1114" s="6" t="b">
        <v>0</v>
      </c>
      <c r="N1114" s="6">
        <v>21.86</v>
      </c>
      <c r="O1114" s="6" t="s">
        <v>56</v>
      </c>
      <c r="P1114" s="6" t="b">
        <v>0</v>
      </c>
      <c r="Q1114" s="9" t="s">
        <v>36</v>
      </c>
    </row>
    <row r="1115" spans="1:17" x14ac:dyDescent="0.25">
      <c r="A1115" s="5" t="s">
        <v>1165</v>
      </c>
      <c r="B1115" s="6" t="s">
        <v>76</v>
      </c>
      <c r="C1115" s="6" t="s">
        <v>33</v>
      </c>
      <c r="D1115" s="6" t="s">
        <v>34</v>
      </c>
      <c r="E1115" s="6" t="s">
        <v>21</v>
      </c>
      <c r="F1115" s="6" t="s">
        <v>48</v>
      </c>
      <c r="G1115" s="6">
        <v>31</v>
      </c>
      <c r="H1115" s="7">
        <v>660.27</v>
      </c>
      <c r="I1115" s="7">
        <v>20468.37</v>
      </c>
      <c r="J1115" s="8">
        <v>45584</v>
      </c>
      <c r="K1115" s="6">
        <v>56</v>
      </c>
      <c r="L1115" s="6" t="s">
        <v>41</v>
      </c>
      <c r="M1115" s="6" t="b">
        <v>1</v>
      </c>
      <c r="N1115" s="6">
        <v>29.88</v>
      </c>
      <c r="O1115" s="6" t="s">
        <v>24</v>
      </c>
      <c r="P1115" s="6" t="b">
        <v>1</v>
      </c>
      <c r="Q1115" s="9" t="s">
        <v>25</v>
      </c>
    </row>
    <row r="1116" spans="1:17" x14ac:dyDescent="0.25">
      <c r="A1116" s="5" t="s">
        <v>1166</v>
      </c>
      <c r="B1116" s="6" t="s">
        <v>18</v>
      </c>
      <c r="C1116" s="6" t="s">
        <v>19</v>
      </c>
      <c r="D1116" s="6" t="s">
        <v>34</v>
      </c>
      <c r="E1116" s="6" t="s">
        <v>44</v>
      </c>
      <c r="F1116" s="6" t="s">
        <v>40</v>
      </c>
      <c r="G1116" s="6">
        <v>86</v>
      </c>
      <c r="H1116" s="7">
        <v>1104.3</v>
      </c>
      <c r="I1116" s="7">
        <v>94969.8</v>
      </c>
      <c r="J1116" s="8">
        <v>45182</v>
      </c>
      <c r="K1116" s="6">
        <v>27</v>
      </c>
      <c r="L1116" s="6" t="s">
        <v>23</v>
      </c>
      <c r="M1116" s="6" t="b">
        <v>1</v>
      </c>
      <c r="N1116" s="6">
        <v>23.91</v>
      </c>
      <c r="O1116" s="6" t="s">
        <v>56</v>
      </c>
      <c r="P1116" s="6" t="b">
        <v>0</v>
      </c>
      <c r="Q1116" s="9" t="s">
        <v>25</v>
      </c>
    </row>
    <row r="1117" spans="1:17" x14ac:dyDescent="0.25">
      <c r="A1117" s="5" t="s">
        <v>1167</v>
      </c>
      <c r="B1117" s="6" t="s">
        <v>51</v>
      </c>
      <c r="C1117" s="6" t="s">
        <v>19</v>
      </c>
      <c r="D1117" s="6" t="s">
        <v>47</v>
      </c>
      <c r="E1117" s="6" t="s">
        <v>21</v>
      </c>
      <c r="F1117" s="6" t="s">
        <v>48</v>
      </c>
      <c r="G1117" s="6">
        <v>37</v>
      </c>
      <c r="H1117" s="7">
        <v>205.59</v>
      </c>
      <c r="I1117" s="7">
        <v>7606.83</v>
      </c>
      <c r="J1117" s="8">
        <v>45273</v>
      </c>
      <c r="K1117" s="6">
        <v>69</v>
      </c>
      <c r="L1117" s="6" t="s">
        <v>49</v>
      </c>
      <c r="M1117" s="6" t="b">
        <v>1</v>
      </c>
      <c r="N1117" s="6">
        <v>10.26</v>
      </c>
      <c r="O1117" s="6" t="s">
        <v>30</v>
      </c>
      <c r="P1117" s="6" t="b">
        <v>0</v>
      </c>
      <c r="Q1117" s="9" t="s">
        <v>36</v>
      </c>
    </row>
    <row r="1118" spans="1:17" x14ac:dyDescent="0.25">
      <c r="A1118" s="5" t="s">
        <v>1168</v>
      </c>
      <c r="B1118" s="6" t="s">
        <v>32</v>
      </c>
      <c r="C1118" s="6" t="s">
        <v>19</v>
      </c>
      <c r="D1118" s="6" t="s">
        <v>64</v>
      </c>
      <c r="E1118" s="6" t="s">
        <v>21</v>
      </c>
      <c r="F1118" s="6" t="s">
        <v>29</v>
      </c>
      <c r="G1118" s="6">
        <v>47</v>
      </c>
      <c r="H1118" s="7">
        <v>348.77</v>
      </c>
      <c r="I1118" s="7">
        <v>16392.189999999999</v>
      </c>
      <c r="J1118" s="8">
        <v>45452</v>
      </c>
      <c r="K1118" s="6">
        <v>26</v>
      </c>
      <c r="L1118" s="6" t="s">
        <v>23</v>
      </c>
      <c r="M1118" s="6" t="b">
        <v>1</v>
      </c>
      <c r="N1118" s="6">
        <v>27.02</v>
      </c>
      <c r="O1118" s="6" t="s">
        <v>30</v>
      </c>
      <c r="P1118" s="6" t="b">
        <v>0</v>
      </c>
      <c r="Q1118" s="9" t="s">
        <v>25</v>
      </c>
    </row>
    <row r="1119" spans="1:17" x14ac:dyDescent="0.25">
      <c r="A1119" s="5" t="s">
        <v>1169</v>
      </c>
      <c r="B1119" s="6" t="s">
        <v>18</v>
      </c>
      <c r="C1119" s="6" t="s">
        <v>39</v>
      </c>
      <c r="D1119" s="6" t="s">
        <v>34</v>
      </c>
      <c r="E1119" s="6" t="s">
        <v>35</v>
      </c>
      <c r="F1119" s="6" t="s">
        <v>22</v>
      </c>
      <c r="G1119" s="6">
        <v>91</v>
      </c>
      <c r="H1119" s="7">
        <v>263.95</v>
      </c>
      <c r="I1119" s="7">
        <v>24019.45</v>
      </c>
      <c r="J1119" s="8">
        <v>45230</v>
      </c>
      <c r="K1119" s="6">
        <v>63</v>
      </c>
      <c r="L1119" s="6" t="s">
        <v>41</v>
      </c>
      <c r="M1119" s="6" t="b">
        <v>1</v>
      </c>
      <c r="N1119" s="6">
        <v>1.54</v>
      </c>
      <c r="O1119" s="6" t="s">
        <v>24</v>
      </c>
      <c r="P1119" s="6" t="b">
        <v>1</v>
      </c>
      <c r="Q1119" s="9" t="s">
        <v>25</v>
      </c>
    </row>
    <row r="1120" spans="1:17" x14ac:dyDescent="0.25">
      <c r="A1120" s="5" t="s">
        <v>1170</v>
      </c>
      <c r="B1120" s="6" t="s">
        <v>32</v>
      </c>
      <c r="C1120" s="6" t="s">
        <v>19</v>
      </c>
      <c r="D1120" s="6" t="s">
        <v>52</v>
      </c>
      <c r="E1120" s="6" t="s">
        <v>44</v>
      </c>
      <c r="F1120" s="6" t="s">
        <v>40</v>
      </c>
      <c r="G1120" s="6">
        <v>78</v>
      </c>
      <c r="H1120" s="7">
        <v>1205.57</v>
      </c>
      <c r="I1120" s="7">
        <v>94034.46</v>
      </c>
      <c r="J1120" s="8">
        <v>45541</v>
      </c>
      <c r="K1120" s="6">
        <v>63</v>
      </c>
      <c r="L1120" s="6" t="s">
        <v>49</v>
      </c>
      <c r="M1120" s="6" t="b">
        <v>1</v>
      </c>
      <c r="N1120" s="6">
        <v>21.75</v>
      </c>
      <c r="O1120" s="6" t="s">
        <v>30</v>
      </c>
      <c r="P1120" s="6" t="b">
        <v>1</v>
      </c>
      <c r="Q1120" s="9" t="s">
        <v>36</v>
      </c>
    </row>
    <row r="1121" spans="1:17" x14ac:dyDescent="0.25">
      <c r="A1121" s="5" t="s">
        <v>1171</v>
      </c>
      <c r="B1121" s="6" t="s">
        <v>62</v>
      </c>
      <c r="C1121" s="6" t="s">
        <v>33</v>
      </c>
      <c r="D1121" s="6" t="s">
        <v>52</v>
      </c>
      <c r="E1121" s="6" t="s">
        <v>44</v>
      </c>
      <c r="F1121" s="6" t="s">
        <v>40</v>
      </c>
      <c r="G1121" s="6">
        <v>47</v>
      </c>
      <c r="H1121" s="7">
        <v>141.19</v>
      </c>
      <c r="I1121" s="7">
        <v>6635.93</v>
      </c>
      <c r="J1121" s="8">
        <v>45171</v>
      </c>
      <c r="K1121" s="6">
        <v>28</v>
      </c>
      <c r="L1121" s="6" t="s">
        <v>41</v>
      </c>
      <c r="M1121" s="6" t="b">
        <v>0</v>
      </c>
      <c r="N1121" s="6">
        <v>0.7</v>
      </c>
      <c r="O1121" s="6" t="s">
        <v>30</v>
      </c>
      <c r="P1121" s="6" t="b">
        <v>0</v>
      </c>
      <c r="Q1121" s="9" t="s">
        <v>25</v>
      </c>
    </row>
    <row r="1122" spans="1:17" x14ac:dyDescent="0.25">
      <c r="A1122" s="5" t="s">
        <v>1172</v>
      </c>
      <c r="B1122" s="6" t="s">
        <v>76</v>
      </c>
      <c r="C1122" s="6" t="s">
        <v>33</v>
      </c>
      <c r="D1122" s="6" t="s">
        <v>20</v>
      </c>
      <c r="E1122" s="6" t="s">
        <v>21</v>
      </c>
      <c r="F1122" s="6" t="s">
        <v>40</v>
      </c>
      <c r="G1122" s="6">
        <v>69</v>
      </c>
      <c r="H1122" s="7">
        <v>1045.55</v>
      </c>
      <c r="I1122" s="7">
        <v>72142.95</v>
      </c>
      <c r="J1122" s="8">
        <v>45338</v>
      </c>
      <c r="K1122" s="6">
        <v>50</v>
      </c>
      <c r="L1122" s="6" t="s">
        <v>41</v>
      </c>
      <c r="M1122" s="6" t="b">
        <v>1</v>
      </c>
      <c r="N1122" s="6">
        <v>5.24</v>
      </c>
      <c r="O1122" s="6" t="s">
        <v>42</v>
      </c>
      <c r="P1122" s="6" t="b">
        <v>0</v>
      </c>
      <c r="Q1122" s="9" t="s">
        <v>36</v>
      </c>
    </row>
    <row r="1123" spans="1:17" x14ac:dyDescent="0.25">
      <c r="A1123" s="5" t="s">
        <v>1173</v>
      </c>
      <c r="B1123" s="6" t="s">
        <v>38</v>
      </c>
      <c r="C1123" s="6" t="s">
        <v>39</v>
      </c>
      <c r="D1123" s="6" t="s">
        <v>47</v>
      </c>
      <c r="E1123" s="6" t="s">
        <v>35</v>
      </c>
      <c r="F1123" s="6" t="s">
        <v>40</v>
      </c>
      <c r="G1123" s="6">
        <v>58</v>
      </c>
      <c r="H1123" s="7">
        <v>581.36</v>
      </c>
      <c r="I1123" s="7">
        <v>33718.879999999997</v>
      </c>
      <c r="J1123" s="8">
        <v>45143</v>
      </c>
      <c r="K1123" s="6">
        <v>53</v>
      </c>
      <c r="L1123" s="6" t="s">
        <v>41</v>
      </c>
      <c r="M1123" s="6" t="b">
        <v>0</v>
      </c>
      <c r="N1123" s="6">
        <v>29.63</v>
      </c>
      <c r="O1123" s="6" t="s">
        <v>24</v>
      </c>
      <c r="P1123" s="6" t="b">
        <v>0</v>
      </c>
      <c r="Q1123" s="9" t="s">
        <v>25</v>
      </c>
    </row>
    <row r="1124" spans="1:17" x14ac:dyDescent="0.25">
      <c r="A1124" s="5" t="s">
        <v>1174</v>
      </c>
      <c r="B1124" s="6" t="s">
        <v>51</v>
      </c>
      <c r="C1124" s="6" t="s">
        <v>39</v>
      </c>
      <c r="D1124" s="6" t="s">
        <v>64</v>
      </c>
      <c r="E1124" s="6" t="s">
        <v>44</v>
      </c>
      <c r="F1124" s="6" t="s">
        <v>40</v>
      </c>
      <c r="G1124" s="6">
        <v>36</v>
      </c>
      <c r="H1124" s="7">
        <v>1145.9000000000001</v>
      </c>
      <c r="I1124" s="7">
        <v>41252.400000000001</v>
      </c>
      <c r="J1124" s="8">
        <v>45442</v>
      </c>
      <c r="K1124" s="6">
        <v>43</v>
      </c>
      <c r="L1124" s="6" t="s">
        <v>41</v>
      </c>
      <c r="M1124" s="6" t="b">
        <v>0</v>
      </c>
      <c r="N1124" s="6">
        <v>10.83</v>
      </c>
      <c r="O1124" s="6" t="s">
        <v>30</v>
      </c>
      <c r="P1124" s="6" t="b">
        <v>0</v>
      </c>
      <c r="Q1124" s="9" t="s">
        <v>25</v>
      </c>
    </row>
    <row r="1125" spans="1:17" x14ac:dyDescent="0.25">
      <c r="A1125" s="5" t="s">
        <v>1175</v>
      </c>
      <c r="B1125" s="6" t="s">
        <v>51</v>
      </c>
      <c r="C1125" s="6" t="s">
        <v>19</v>
      </c>
      <c r="D1125" s="6" t="s">
        <v>20</v>
      </c>
      <c r="E1125" s="6" t="s">
        <v>21</v>
      </c>
      <c r="F1125" s="6" t="s">
        <v>29</v>
      </c>
      <c r="G1125" s="6">
        <v>32</v>
      </c>
      <c r="H1125" s="7">
        <v>1448.36</v>
      </c>
      <c r="I1125" s="7">
        <v>46347.519999999997</v>
      </c>
      <c r="J1125" s="8">
        <v>45400</v>
      </c>
      <c r="K1125" s="6">
        <v>44</v>
      </c>
      <c r="L1125" s="6" t="s">
        <v>49</v>
      </c>
      <c r="M1125" s="6" t="b">
        <v>0</v>
      </c>
      <c r="N1125" s="6">
        <v>24.61</v>
      </c>
      <c r="O1125" s="6" t="s">
        <v>30</v>
      </c>
      <c r="P1125" s="6" t="b">
        <v>0</v>
      </c>
      <c r="Q1125" s="9" t="s">
        <v>36</v>
      </c>
    </row>
    <row r="1126" spans="1:17" x14ac:dyDescent="0.25">
      <c r="A1126" s="5" t="s">
        <v>1176</v>
      </c>
      <c r="B1126" s="6" t="s">
        <v>72</v>
      </c>
      <c r="C1126" s="6" t="s">
        <v>39</v>
      </c>
      <c r="D1126" s="6" t="s">
        <v>47</v>
      </c>
      <c r="E1126" s="6" t="s">
        <v>44</v>
      </c>
      <c r="F1126" s="6" t="s">
        <v>22</v>
      </c>
      <c r="G1126" s="6">
        <v>98</v>
      </c>
      <c r="H1126" s="7">
        <v>216.09</v>
      </c>
      <c r="I1126" s="7">
        <v>21176.82</v>
      </c>
      <c r="J1126" s="8">
        <v>44962</v>
      </c>
      <c r="K1126" s="6">
        <v>55</v>
      </c>
      <c r="L1126" s="6" t="s">
        <v>23</v>
      </c>
      <c r="M1126" s="6" t="b">
        <v>0</v>
      </c>
      <c r="N1126" s="6">
        <v>11.28</v>
      </c>
      <c r="O1126" s="6" t="s">
        <v>30</v>
      </c>
      <c r="P1126" s="6" t="b">
        <v>0</v>
      </c>
      <c r="Q1126" s="9" t="s">
        <v>25</v>
      </c>
    </row>
    <row r="1127" spans="1:17" x14ac:dyDescent="0.25">
      <c r="A1127" s="5" t="s">
        <v>1177</v>
      </c>
      <c r="B1127" s="6" t="s">
        <v>32</v>
      </c>
      <c r="C1127" s="6" t="s">
        <v>33</v>
      </c>
      <c r="D1127" s="6" t="s">
        <v>34</v>
      </c>
      <c r="E1127" s="6" t="s">
        <v>35</v>
      </c>
      <c r="F1127" s="6" t="s">
        <v>40</v>
      </c>
      <c r="G1127" s="6">
        <v>64</v>
      </c>
      <c r="H1127" s="7">
        <v>505.86</v>
      </c>
      <c r="I1127" s="7">
        <v>32375.040000000001</v>
      </c>
      <c r="J1127" s="8">
        <v>45104</v>
      </c>
      <c r="K1127" s="6">
        <v>39</v>
      </c>
      <c r="L1127" s="6" t="s">
        <v>23</v>
      </c>
      <c r="M1127" s="6" t="b">
        <v>0</v>
      </c>
      <c r="N1127" s="6">
        <v>25.2</v>
      </c>
      <c r="O1127" s="6" t="s">
        <v>24</v>
      </c>
      <c r="P1127" s="6" t="b">
        <v>0</v>
      </c>
      <c r="Q1127" s="9" t="s">
        <v>36</v>
      </c>
    </row>
    <row r="1128" spans="1:17" x14ac:dyDescent="0.25">
      <c r="A1128" s="5" t="s">
        <v>1178</v>
      </c>
      <c r="B1128" s="6" t="s">
        <v>66</v>
      </c>
      <c r="C1128" s="6" t="s">
        <v>19</v>
      </c>
      <c r="D1128" s="6" t="s">
        <v>52</v>
      </c>
      <c r="E1128" s="6" t="s">
        <v>35</v>
      </c>
      <c r="F1128" s="6" t="s">
        <v>22</v>
      </c>
      <c r="G1128" s="6">
        <v>71</v>
      </c>
      <c r="H1128" s="7">
        <v>1224.68</v>
      </c>
      <c r="I1128" s="7">
        <v>86952.28</v>
      </c>
      <c r="J1128" s="8">
        <v>45313</v>
      </c>
      <c r="K1128" s="6">
        <v>43</v>
      </c>
      <c r="L1128" s="6" t="s">
        <v>49</v>
      </c>
      <c r="M1128" s="6" t="b">
        <v>0</v>
      </c>
      <c r="N1128" s="6">
        <v>28.96</v>
      </c>
      <c r="O1128" s="6" t="s">
        <v>42</v>
      </c>
      <c r="P1128" s="6" t="b">
        <v>0</v>
      </c>
      <c r="Q1128" s="9" t="s">
        <v>36</v>
      </c>
    </row>
    <row r="1129" spans="1:17" x14ac:dyDescent="0.25">
      <c r="A1129" s="5" t="s">
        <v>1179</v>
      </c>
      <c r="B1129" s="6" t="s">
        <v>51</v>
      </c>
      <c r="C1129" s="6" t="s">
        <v>33</v>
      </c>
      <c r="D1129" s="6" t="s">
        <v>64</v>
      </c>
      <c r="E1129" s="6" t="s">
        <v>35</v>
      </c>
      <c r="F1129" s="6" t="s">
        <v>48</v>
      </c>
      <c r="G1129" s="6">
        <v>42</v>
      </c>
      <c r="H1129" s="7">
        <v>435.93</v>
      </c>
      <c r="I1129" s="7">
        <v>18309.060000000001</v>
      </c>
      <c r="J1129" s="8">
        <v>44943</v>
      </c>
      <c r="K1129" s="6">
        <v>39</v>
      </c>
      <c r="L1129" s="6" t="s">
        <v>49</v>
      </c>
      <c r="M1129" s="6" t="b">
        <v>1</v>
      </c>
      <c r="N1129" s="6">
        <v>13.07</v>
      </c>
      <c r="O1129" s="6" t="s">
        <v>56</v>
      </c>
      <c r="P1129" s="6" t="b">
        <v>1</v>
      </c>
      <c r="Q1129" s="9" t="s">
        <v>25</v>
      </c>
    </row>
    <row r="1130" spans="1:17" x14ac:dyDescent="0.25">
      <c r="A1130" s="5" t="s">
        <v>1180</v>
      </c>
      <c r="B1130" s="6" t="s">
        <v>32</v>
      </c>
      <c r="C1130" s="6" t="s">
        <v>19</v>
      </c>
      <c r="D1130" s="6" t="s">
        <v>52</v>
      </c>
      <c r="E1130" s="6" t="s">
        <v>44</v>
      </c>
      <c r="F1130" s="6" t="s">
        <v>40</v>
      </c>
      <c r="G1130" s="6">
        <v>48</v>
      </c>
      <c r="H1130" s="7">
        <v>361.92</v>
      </c>
      <c r="I1130" s="7">
        <v>17372.16</v>
      </c>
      <c r="J1130" s="8">
        <v>44974</v>
      </c>
      <c r="K1130" s="6">
        <v>22</v>
      </c>
      <c r="L1130" s="6" t="s">
        <v>23</v>
      </c>
      <c r="M1130" s="6" t="b">
        <v>0</v>
      </c>
      <c r="N1130" s="6">
        <v>16.78</v>
      </c>
      <c r="O1130" s="6" t="s">
        <v>42</v>
      </c>
      <c r="P1130" s="6" t="b">
        <v>1</v>
      </c>
      <c r="Q1130" s="9" t="s">
        <v>36</v>
      </c>
    </row>
    <row r="1131" spans="1:17" x14ac:dyDescent="0.25">
      <c r="A1131" s="5" t="s">
        <v>1181</v>
      </c>
      <c r="B1131" s="6" t="s">
        <v>32</v>
      </c>
      <c r="C1131" s="6" t="s">
        <v>39</v>
      </c>
      <c r="D1131" s="6" t="s">
        <v>34</v>
      </c>
      <c r="E1131" s="6" t="s">
        <v>28</v>
      </c>
      <c r="F1131" s="6" t="s">
        <v>40</v>
      </c>
      <c r="G1131" s="6">
        <v>74</v>
      </c>
      <c r="H1131" s="7">
        <v>1246.8</v>
      </c>
      <c r="I1131" s="7">
        <v>92263.2</v>
      </c>
      <c r="J1131" s="8">
        <v>44988</v>
      </c>
      <c r="K1131" s="6">
        <v>52</v>
      </c>
      <c r="L1131" s="6" t="s">
        <v>23</v>
      </c>
      <c r="M1131" s="6" t="b">
        <v>0</v>
      </c>
      <c r="N1131" s="6">
        <v>18.86</v>
      </c>
      <c r="O1131" s="6" t="s">
        <v>24</v>
      </c>
      <c r="P1131" s="6" t="b">
        <v>1</v>
      </c>
      <c r="Q1131" s="9" t="s">
        <v>25</v>
      </c>
    </row>
    <row r="1132" spans="1:17" x14ac:dyDescent="0.25">
      <c r="A1132" s="5" t="s">
        <v>1182</v>
      </c>
      <c r="B1132" s="6" t="s">
        <v>27</v>
      </c>
      <c r="C1132" s="6" t="s">
        <v>19</v>
      </c>
      <c r="D1132" s="6" t="s">
        <v>47</v>
      </c>
      <c r="E1132" s="6" t="s">
        <v>44</v>
      </c>
      <c r="F1132" s="6" t="s">
        <v>22</v>
      </c>
      <c r="G1132" s="6">
        <v>81</v>
      </c>
      <c r="H1132" s="7">
        <v>1481.27</v>
      </c>
      <c r="I1132" s="7">
        <v>119982.87</v>
      </c>
      <c r="J1132" s="8">
        <v>44995</v>
      </c>
      <c r="K1132" s="6">
        <v>19</v>
      </c>
      <c r="L1132" s="6" t="s">
        <v>49</v>
      </c>
      <c r="M1132" s="6" t="b">
        <v>1</v>
      </c>
      <c r="N1132" s="6">
        <v>28.05</v>
      </c>
      <c r="O1132" s="6" t="s">
        <v>24</v>
      </c>
      <c r="P1132" s="6" t="b">
        <v>1</v>
      </c>
      <c r="Q1132" s="9" t="s">
        <v>36</v>
      </c>
    </row>
    <row r="1133" spans="1:17" x14ac:dyDescent="0.25">
      <c r="A1133" s="5" t="s">
        <v>1183</v>
      </c>
      <c r="B1133" s="6" t="s">
        <v>27</v>
      </c>
      <c r="C1133" s="6" t="s">
        <v>19</v>
      </c>
      <c r="D1133" s="6" t="s">
        <v>34</v>
      </c>
      <c r="E1133" s="6" t="s">
        <v>28</v>
      </c>
      <c r="F1133" s="6" t="s">
        <v>40</v>
      </c>
      <c r="G1133" s="6">
        <v>30</v>
      </c>
      <c r="H1133" s="7">
        <v>857.48</v>
      </c>
      <c r="I1133" s="7">
        <v>25724.400000000001</v>
      </c>
      <c r="J1133" s="8">
        <v>45585</v>
      </c>
      <c r="K1133" s="6">
        <v>52</v>
      </c>
      <c r="L1133" s="6" t="s">
        <v>41</v>
      </c>
      <c r="M1133" s="6" t="b">
        <v>1</v>
      </c>
      <c r="N1133" s="6">
        <v>7.7</v>
      </c>
      <c r="O1133" s="6" t="s">
        <v>24</v>
      </c>
      <c r="P1133" s="6" t="b">
        <v>0</v>
      </c>
      <c r="Q1133" s="9" t="s">
        <v>25</v>
      </c>
    </row>
    <row r="1134" spans="1:17" x14ac:dyDescent="0.25">
      <c r="A1134" s="5" t="s">
        <v>1184</v>
      </c>
      <c r="B1134" s="6" t="s">
        <v>38</v>
      </c>
      <c r="C1134" s="6" t="s">
        <v>33</v>
      </c>
      <c r="D1134" s="6" t="s">
        <v>34</v>
      </c>
      <c r="E1134" s="6" t="s">
        <v>35</v>
      </c>
      <c r="F1134" s="6" t="s">
        <v>40</v>
      </c>
      <c r="G1134" s="6">
        <v>21</v>
      </c>
      <c r="H1134" s="7">
        <v>453.17</v>
      </c>
      <c r="I1134" s="7">
        <v>9516.57</v>
      </c>
      <c r="J1134" s="8">
        <v>45292</v>
      </c>
      <c r="K1134" s="6">
        <v>26</v>
      </c>
      <c r="L1134" s="6" t="s">
        <v>49</v>
      </c>
      <c r="M1134" s="6" t="b">
        <v>1</v>
      </c>
      <c r="N1134" s="6">
        <v>18.34</v>
      </c>
      <c r="O1134" s="6" t="s">
        <v>56</v>
      </c>
      <c r="P1134" s="6" t="b">
        <v>1</v>
      </c>
      <c r="Q1134" s="9" t="s">
        <v>25</v>
      </c>
    </row>
    <row r="1135" spans="1:17" x14ac:dyDescent="0.25">
      <c r="A1135" s="5" t="s">
        <v>1185</v>
      </c>
      <c r="B1135" s="6" t="s">
        <v>62</v>
      </c>
      <c r="C1135" s="6" t="s">
        <v>33</v>
      </c>
      <c r="D1135" s="6" t="s">
        <v>52</v>
      </c>
      <c r="E1135" s="6" t="s">
        <v>21</v>
      </c>
      <c r="F1135" s="6" t="s">
        <v>40</v>
      </c>
      <c r="G1135" s="6">
        <v>60</v>
      </c>
      <c r="H1135" s="7">
        <v>627.91999999999996</v>
      </c>
      <c r="I1135" s="7">
        <v>37675.199999999997</v>
      </c>
      <c r="J1135" s="8">
        <v>45088</v>
      </c>
      <c r="K1135" s="6">
        <v>68</v>
      </c>
      <c r="L1135" s="6" t="s">
        <v>23</v>
      </c>
      <c r="M1135" s="6" t="b">
        <v>1</v>
      </c>
      <c r="N1135" s="6">
        <v>9.74</v>
      </c>
      <c r="O1135" s="6" t="s">
        <v>24</v>
      </c>
      <c r="P1135" s="6" t="b">
        <v>1</v>
      </c>
      <c r="Q1135" s="9" t="s">
        <v>36</v>
      </c>
    </row>
    <row r="1136" spans="1:17" x14ac:dyDescent="0.25">
      <c r="A1136" s="5" t="s">
        <v>1186</v>
      </c>
      <c r="B1136" s="6" t="s">
        <v>38</v>
      </c>
      <c r="C1136" s="6" t="s">
        <v>19</v>
      </c>
      <c r="D1136" s="6" t="s">
        <v>64</v>
      </c>
      <c r="E1136" s="6" t="s">
        <v>28</v>
      </c>
      <c r="F1136" s="6" t="s">
        <v>29</v>
      </c>
      <c r="G1136" s="6">
        <v>13</v>
      </c>
      <c r="H1136" s="7">
        <v>296.69</v>
      </c>
      <c r="I1136" s="7">
        <v>3856.97</v>
      </c>
      <c r="J1136" s="8">
        <v>45414</v>
      </c>
      <c r="K1136" s="6">
        <v>68</v>
      </c>
      <c r="L1136" s="6" t="s">
        <v>41</v>
      </c>
      <c r="M1136" s="6" t="b">
        <v>1</v>
      </c>
      <c r="N1136" s="6">
        <v>6.51</v>
      </c>
      <c r="O1136" s="6" t="s">
        <v>42</v>
      </c>
      <c r="P1136" s="6" t="b">
        <v>0</v>
      </c>
      <c r="Q1136" s="9" t="s">
        <v>25</v>
      </c>
    </row>
    <row r="1137" spans="1:17" x14ac:dyDescent="0.25">
      <c r="A1137" s="5" t="s">
        <v>1187</v>
      </c>
      <c r="B1137" s="6" t="s">
        <v>18</v>
      </c>
      <c r="C1137" s="6" t="s">
        <v>39</v>
      </c>
      <c r="D1137" s="6" t="s">
        <v>34</v>
      </c>
      <c r="E1137" s="6" t="s">
        <v>35</v>
      </c>
      <c r="F1137" s="6" t="s">
        <v>29</v>
      </c>
      <c r="G1137" s="6">
        <v>1</v>
      </c>
      <c r="H1137" s="7">
        <v>1154.74</v>
      </c>
      <c r="I1137" s="7">
        <v>1154.74</v>
      </c>
      <c r="J1137" s="8">
        <v>45357</v>
      </c>
      <c r="K1137" s="6">
        <v>66</v>
      </c>
      <c r="L1137" s="6" t="s">
        <v>23</v>
      </c>
      <c r="M1137" s="6" t="b">
        <v>1</v>
      </c>
      <c r="N1137" s="6">
        <v>2.5499999999999998</v>
      </c>
      <c r="O1137" s="6" t="s">
        <v>30</v>
      </c>
      <c r="P1137" s="6" t="b">
        <v>1</v>
      </c>
      <c r="Q1137" s="9" t="s">
        <v>25</v>
      </c>
    </row>
    <row r="1138" spans="1:17" x14ac:dyDescent="0.25">
      <c r="A1138" s="5" t="s">
        <v>1188</v>
      </c>
      <c r="B1138" s="6" t="s">
        <v>66</v>
      </c>
      <c r="C1138" s="6" t="s">
        <v>39</v>
      </c>
      <c r="D1138" s="6" t="s">
        <v>52</v>
      </c>
      <c r="E1138" s="6" t="s">
        <v>35</v>
      </c>
      <c r="F1138" s="6" t="s">
        <v>40</v>
      </c>
      <c r="G1138" s="6">
        <v>65</v>
      </c>
      <c r="H1138" s="7">
        <v>1171.54</v>
      </c>
      <c r="I1138" s="7">
        <v>76150.100000000006</v>
      </c>
      <c r="J1138" s="8">
        <v>45415</v>
      </c>
      <c r="K1138" s="6">
        <v>35</v>
      </c>
      <c r="L1138" s="6" t="s">
        <v>41</v>
      </c>
      <c r="M1138" s="6" t="b">
        <v>1</v>
      </c>
      <c r="N1138" s="6">
        <v>18.62</v>
      </c>
      <c r="O1138" s="6" t="s">
        <v>30</v>
      </c>
      <c r="P1138" s="6" t="b">
        <v>1</v>
      </c>
      <c r="Q1138" s="9" t="s">
        <v>25</v>
      </c>
    </row>
    <row r="1139" spans="1:17" x14ac:dyDescent="0.25">
      <c r="A1139" s="5" t="s">
        <v>1189</v>
      </c>
      <c r="B1139" s="6" t="s">
        <v>18</v>
      </c>
      <c r="C1139" s="6" t="s">
        <v>33</v>
      </c>
      <c r="D1139" s="6" t="s">
        <v>64</v>
      </c>
      <c r="E1139" s="6" t="s">
        <v>28</v>
      </c>
      <c r="F1139" s="6" t="s">
        <v>29</v>
      </c>
      <c r="G1139" s="6">
        <v>33</v>
      </c>
      <c r="H1139" s="7">
        <v>1318.93</v>
      </c>
      <c r="I1139" s="7">
        <v>43524.69</v>
      </c>
      <c r="J1139" s="8">
        <v>45156</v>
      </c>
      <c r="K1139" s="6">
        <v>60</v>
      </c>
      <c r="L1139" s="6" t="s">
        <v>23</v>
      </c>
      <c r="M1139" s="6" t="b">
        <v>0</v>
      </c>
      <c r="N1139" s="6">
        <v>26.46</v>
      </c>
      <c r="O1139" s="6" t="s">
        <v>24</v>
      </c>
      <c r="P1139" s="6" t="b">
        <v>1</v>
      </c>
      <c r="Q1139" s="9" t="s">
        <v>36</v>
      </c>
    </row>
    <row r="1140" spans="1:17" x14ac:dyDescent="0.25">
      <c r="A1140" s="5" t="s">
        <v>1190</v>
      </c>
      <c r="B1140" s="6" t="s">
        <v>46</v>
      </c>
      <c r="C1140" s="6" t="s">
        <v>39</v>
      </c>
      <c r="D1140" s="6" t="s">
        <v>47</v>
      </c>
      <c r="E1140" s="6" t="s">
        <v>21</v>
      </c>
      <c r="F1140" s="6" t="s">
        <v>48</v>
      </c>
      <c r="G1140" s="6">
        <v>38</v>
      </c>
      <c r="H1140" s="7">
        <v>88.57</v>
      </c>
      <c r="I1140" s="7">
        <v>3365.66</v>
      </c>
      <c r="J1140" s="8">
        <v>45296</v>
      </c>
      <c r="K1140" s="6">
        <v>29</v>
      </c>
      <c r="L1140" s="6" t="s">
        <v>41</v>
      </c>
      <c r="M1140" s="6" t="b">
        <v>1</v>
      </c>
      <c r="N1140" s="6">
        <v>10.54</v>
      </c>
      <c r="O1140" s="6" t="s">
        <v>24</v>
      </c>
      <c r="P1140" s="6" t="b">
        <v>1</v>
      </c>
      <c r="Q1140" s="9" t="s">
        <v>25</v>
      </c>
    </row>
    <row r="1141" spans="1:17" x14ac:dyDescent="0.25">
      <c r="A1141" s="5" t="s">
        <v>1191</v>
      </c>
      <c r="B1141" s="6" t="s">
        <v>18</v>
      </c>
      <c r="C1141" s="6" t="s">
        <v>33</v>
      </c>
      <c r="D1141" s="6" t="s">
        <v>47</v>
      </c>
      <c r="E1141" s="6" t="s">
        <v>35</v>
      </c>
      <c r="F1141" s="6" t="s">
        <v>40</v>
      </c>
      <c r="G1141" s="6">
        <v>25</v>
      </c>
      <c r="H1141" s="7">
        <v>864.87</v>
      </c>
      <c r="I1141" s="7">
        <v>21621.75</v>
      </c>
      <c r="J1141" s="8">
        <v>45104</v>
      </c>
      <c r="K1141" s="6">
        <v>20</v>
      </c>
      <c r="L1141" s="6" t="s">
        <v>49</v>
      </c>
      <c r="M1141" s="6" t="b">
        <v>0</v>
      </c>
      <c r="N1141" s="6">
        <v>16.579999999999998</v>
      </c>
      <c r="O1141" s="6" t="s">
        <v>56</v>
      </c>
      <c r="P1141" s="6" t="b">
        <v>1</v>
      </c>
      <c r="Q1141" s="9" t="s">
        <v>25</v>
      </c>
    </row>
    <row r="1142" spans="1:17" x14ac:dyDescent="0.25">
      <c r="A1142" s="5" t="s">
        <v>1192</v>
      </c>
      <c r="B1142" s="6" t="s">
        <v>72</v>
      </c>
      <c r="C1142" s="6" t="s">
        <v>39</v>
      </c>
      <c r="D1142" s="6" t="s">
        <v>20</v>
      </c>
      <c r="E1142" s="6" t="s">
        <v>28</v>
      </c>
      <c r="F1142" s="6" t="s">
        <v>48</v>
      </c>
      <c r="G1142" s="6">
        <v>26</v>
      </c>
      <c r="H1142" s="7">
        <v>360.67</v>
      </c>
      <c r="I1142" s="7">
        <v>9377.42</v>
      </c>
      <c r="J1142" s="8">
        <v>45336</v>
      </c>
      <c r="K1142" s="6">
        <v>35</v>
      </c>
      <c r="L1142" s="6" t="s">
        <v>49</v>
      </c>
      <c r="M1142" s="6" t="b">
        <v>1</v>
      </c>
      <c r="N1142" s="6">
        <v>19.260000000000002</v>
      </c>
      <c r="O1142" s="6" t="s">
        <v>30</v>
      </c>
      <c r="P1142" s="6" t="b">
        <v>0</v>
      </c>
      <c r="Q1142" s="9" t="s">
        <v>36</v>
      </c>
    </row>
    <row r="1143" spans="1:17" x14ac:dyDescent="0.25">
      <c r="A1143" s="5" t="s">
        <v>1193</v>
      </c>
      <c r="B1143" s="6" t="s">
        <v>18</v>
      </c>
      <c r="C1143" s="6" t="s">
        <v>19</v>
      </c>
      <c r="D1143" s="6" t="s">
        <v>52</v>
      </c>
      <c r="E1143" s="6" t="s">
        <v>21</v>
      </c>
      <c r="F1143" s="6" t="s">
        <v>22</v>
      </c>
      <c r="G1143" s="6">
        <v>77</v>
      </c>
      <c r="H1143" s="7">
        <v>544.28</v>
      </c>
      <c r="I1143" s="7">
        <v>41909.56</v>
      </c>
      <c r="J1143" s="8">
        <v>45494</v>
      </c>
      <c r="K1143" s="6">
        <v>55</v>
      </c>
      <c r="L1143" s="6" t="s">
        <v>41</v>
      </c>
      <c r="M1143" s="6" t="b">
        <v>1</v>
      </c>
      <c r="N1143" s="6">
        <v>12.44</v>
      </c>
      <c r="O1143" s="6" t="s">
        <v>56</v>
      </c>
      <c r="P1143" s="6" t="b">
        <v>0</v>
      </c>
      <c r="Q1143" s="9" t="s">
        <v>25</v>
      </c>
    </row>
    <row r="1144" spans="1:17" x14ac:dyDescent="0.25">
      <c r="A1144" s="5" t="s">
        <v>1194</v>
      </c>
      <c r="B1144" s="6" t="s">
        <v>38</v>
      </c>
      <c r="C1144" s="6" t="s">
        <v>33</v>
      </c>
      <c r="D1144" s="6" t="s">
        <v>64</v>
      </c>
      <c r="E1144" s="6" t="s">
        <v>21</v>
      </c>
      <c r="F1144" s="6" t="s">
        <v>48</v>
      </c>
      <c r="G1144" s="6">
        <v>59</v>
      </c>
      <c r="H1144" s="7">
        <v>1188.19</v>
      </c>
      <c r="I1144" s="7">
        <v>70103.210000000006</v>
      </c>
      <c r="J1144" s="8">
        <v>45516</v>
      </c>
      <c r="K1144" s="6">
        <v>24</v>
      </c>
      <c r="L1144" s="6" t="s">
        <v>41</v>
      </c>
      <c r="M1144" s="6" t="b">
        <v>0</v>
      </c>
      <c r="N1144" s="6">
        <v>27.1</v>
      </c>
      <c r="O1144" s="6" t="s">
        <v>56</v>
      </c>
      <c r="P1144" s="6" t="b">
        <v>0</v>
      </c>
      <c r="Q1144" s="9" t="s">
        <v>36</v>
      </c>
    </row>
    <row r="1145" spans="1:17" x14ac:dyDescent="0.25">
      <c r="A1145" s="5" t="s">
        <v>1195</v>
      </c>
      <c r="B1145" s="6" t="s">
        <v>51</v>
      </c>
      <c r="C1145" s="6" t="s">
        <v>33</v>
      </c>
      <c r="D1145" s="6" t="s">
        <v>34</v>
      </c>
      <c r="E1145" s="6" t="s">
        <v>35</v>
      </c>
      <c r="F1145" s="6" t="s">
        <v>22</v>
      </c>
      <c r="G1145" s="6">
        <v>92</v>
      </c>
      <c r="H1145" s="7">
        <v>328.45</v>
      </c>
      <c r="I1145" s="7">
        <v>30217.4</v>
      </c>
      <c r="J1145" s="8">
        <v>45196</v>
      </c>
      <c r="K1145" s="6">
        <v>50</v>
      </c>
      <c r="L1145" s="6" t="s">
        <v>49</v>
      </c>
      <c r="M1145" s="6" t="b">
        <v>1</v>
      </c>
      <c r="N1145" s="6">
        <v>10.88</v>
      </c>
      <c r="O1145" s="6" t="s">
        <v>56</v>
      </c>
      <c r="P1145" s="6" t="b">
        <v>1</v>
      </c>
      <c r="Q1145" s="9" t="s">
        <v>36</v>
      </c>
    </row>
    <row r="1146" spans="1:17" x14ac:dyDescent="0.25">
      <c r="A1146" s="5" t="s">
        <v>1196</v>
      </c>
      <c r="B1146" s="6" t="s">
        <v>51</v>
      </c>
      <c r="C1146" s="6" t="s">
        <v>19</v>
      </c>
      <c r="D1146" s="6" t="s">
        <v>47</v>
      </c>
      <c r="E1146" s="6" t="s">
        <v>44</v>
      </c>
      <c r="F1146" s="6" t="s">
        <v>40</v>
      </c>
      <c r="G1146" s="6">
        <v>33</v>
      </c>
      <c r="H1146" s="7">
        <v>975.6</v>
      </c>
      <c r="I1146" s="7">
        <v>32194.799999999999</v>
      </c>
      <c r="J1146" s="8">
        <v>45132</v>
      </c>
      <c r="K1146" s="6">
        <v>23</v>
      </c>
      <c r="L1146" s="6" t="s">
        <v>49</v>
      </c>
      <c r="M1146" s="6" t="b">
        <v>1</v>
      </c>
      <c r="N1146" s="6">
        <v>3.75</v>
      </c>
      <c r="O1146" s="6" t="s">
        <v>56</v>
      </c>
      <c r="P1146" s="6" t="b">
        <v>1</v>
      </c>
      <c r="Q1146" s="9" t="s">
        <v>25</v>
      </c>
    </row>
    <row r="1147" spans="1:17" x14ac:dyDescent="0.25">
      <c r="A1147" s="5" t="s">
        <v>1197</v>
      </c>
      <c r="B1147" s="6" t="s">
        <v>27</v>
      </c>
      <c r="C1147" s="6" t="s">
        <v>33</v>
      </c>
      <c r="D1147" s="6" t="s">
        <v>64</v>
      </c>
      <c r="E1147" s="6" t="s">
        <v>44</v>
      </c>
      <c r="F1147" s="6" t="s">
        <v>22</v>
      </c>
      <c r="G1147" s="6">
        <v>41</v>
      </c>
      <c r="H1147" s="7">
        <v>999.12</v>
      </c>
      <c r="I1147" s="7">
        <v>40963.919999999998</v>
      </c>
      <c r="J1147" s="8">
        <v>45008</v>
      </c>
      <c r="K1147" s="6">
        <v>35</v>
      </c>
      <c r="L1147" s="6" t="s">
        <v>41</v>
      </c>
      <c r="M1147" s="6" t="b">
        <v>1</v>
      </c>
      <c r="N1147" s="6">
        <v>4.32</v>
      </c>
      <c r="O1147" s="6" t="s">
        <v>42</v>
      </c>
      <c r="P1147" s="6" t="b">
        <v>1</v>
      </c>
      <c r="Q1147" s="9" t="s">
        <v>36</v>
      </c>
    </row>
    <row r="1148" spans="1:17" x14ac:dyDescent="0.25">
      <c r="A1148" s="5" t="s">
        <v>1198</v>
      </c>
      <c r="B1148" s="6" t="s">
        <v>66</v>
      </c>
      <c r="C1148" s="6" t="s">
        <v>39</v>
      </c>
      <c r="D1148" s="6" t="s">
        <v>52</v>
      </c>
      <c r="E1148" s="6" t="s">
        <v>35</v>
      </c>
      <c r="F1148" s="6" t="s">
        <v>22</v>
      </c>
      <c r="G1148" s="6">
        <v>30</v>
      </c>
      <c r="H1148" s="7">
        <v>1433.44</v>
      </c>
      <c r="I1148" s="7">
        <v>43003.199999999997</v>
      </c>
      <c r="J1148" s="8">
        <v>45119</v>
      </c>
      <c r="K1148" s="6">
        <v>62</v>
      </c>
      <c r="L1148" s="6" t="s">
        <v>41</v>
      </c>
      <c r="M1148" s="6" t="b">
        <v>1</v>
      </c>
      <c r="N1148" s="6">
        <v>26.73</v>
      </c>
      <c r="O1148" s="6" t="s">
        <v>24</v>
      </c>
      <c r="P1148" s="6" t="b">
        <v>0</v>
      </c>
      <c r="Q1148" s="9" t="s">
        <v>25</v>
      </c>
    </row>
    <row r="1149" spans="1:17" x14ac:dyDescent="0.25">
      <c r="A1149" s="5" t="s">
        <v>1199</v>
      </c>
      <c r="B1149" s="6" t="s">
        <v>66</v>
      </c>
      <c r="C1149" s="6" t="s">
        <v>39</v>
      </c>
      <c r="D1149" s="6" t="s">
        <v>20</v>
      </c>
      <c r="E1149" s="6" t="s">
        <v>21</v>
      </c>
      <c r="F1149" s="6" t="s">
        <v>48</v>
      </c>
      <c r="G1149" s="6">
        <v>57</v>
      </c>
      <c r="H1149" s="7">
        <v>1173.98</v>
      </c>
      <c r="I1149" s="7">
        <v>66916.86</v>
      </c>
      <c r="J1149" s="8">
        <v>45544</v>
      </c>
      <c r="K1149" s="6">
        <v>39</v>
      </c>
      <c r="L1149" s="6" t="s">
        <v>49</v>
      </c>
      <c r="M1149" s="6" t="b">
        <v>1</v>
      </c>
      <c r="N1149" s="6">
        <v>29.64</v>
      </c>
      <c r="O1149" s="6" t="s">
        <v>24</v>
      </c>
      <c r="P1149" s="6" t="b">
        <v>1</v>
      </c>
      <c r="Q1149" s="9" t="s">
        <v>25</v>
      </c>
    </row>
    <row r="1150" spans="1:17" x14ac:dyDescent="0.25">
      <c r="A1150" s="5" t="s">
        <v>1200</v>
      </c>
      <c r="B1150" s="6" t="s">
        <v>72</v>
      </c>
      <c r="C1150" s="6" t="s">
        <v>33</v>
      </c>
      <c r="D1150" s="6" t="s">
        <v>47</v>
      </c>
      <c r="E1150" s="6" t="s">
        <v>35</v>
      </c>
      <c r="F1150" s="6" t="s">
        <v>48</v>
      </c>
      <c r="G1150" s="6">
        <v>49</v>
      </c>
      <c r="H1150" s="7">
        <v>1215.27</v>
      </c>
      <c r="I1150" s="7">
        <v>59548.23</v>
      </c>
      <c r="J1150" s="8">
        <v>45115</v>
      </c>
      <c r="K1150" s="6">
        <v>68</v>
      </c>
      <c r="L1150" s="6" t="s">
        <v>23</v>
      </c>
      <c r="M1150" s="6" t="b">
        <v>1</v>
      </c>
      <c r="N1150" s="6">
        <v>8.67</v>
      </c>
      <c r="O1150" s="6" t="s">
        <v>56</v>
      </c>
      <c r="P1150" s="6" t="b">
        <v>1</v>
      </c>
      <c r="Q1150" s="9" t="s">
        <v>25</v>
      </c>
    </row>
    <row r="1151" spans="1:17" x14ac:dyDescent="0.25">
      <c r="A1151" s="5" t="s">
        <v>1201</v>
      </c>
      <c r="B1151" s="6" t="s">
        <v>38</v>
      </c>
      <c r="C1151" s="6" t="s">
        <v>39</v>
      </c>
      <c r="D1151" s="6" t="s">
        <v>64</v>
      </c>
      <c r="E1151" s="6" t="s">
        <v>28</v>
      </c>
      <c r="F1151" s="6" t="s">
        <v>48</v>
      </c>
      <c r="G1151" s="6">
        <v>48</v>
      </c>
      <c r="H1151" s="7">
        <v>820.82</v>
      </c>
      <c r="I1151" s="7">
        <v>39399.360000000001</v>
      </c>
      <c r="J1151" s="8">
        <v>45202</v>
      </c>
      <c r="K1151" s="6">
        <v>56</v>
      </c>
      <c r="L1151" s="6" t="s">
        <v>49</v>
      </c>
      <c r="M1151" s="6" t="b">
        <v>1</v>
      </c>
      <c r="N1151" s="6">
        <v>4.3099999999999996</v>
      </c>
      <c r="O1151" s="6" t="s">
        <v>56</v>
      </c>
      <c r="P1151" s="6" t="b">
        <v>1</v>
      </c>
      <c r="Q1151" s="9" t="s">
        <v>36</v>
      </c>
    </row>
    <row r="1152" spans="1:17" x14ac:dyDescent="0.25">
      <c r="A1152" s="5" t="s">
        <v>1202</v>
      </c>
      <c r="B1152" s="6" t="s">
        <v>27</v>
      </c>
      <c r="C1152" s="6" t="s">
        <v>33</v>
      </c>
      <c r="D1152" s="6" t="s">
        <v>64</v>
      </c>
      <c r="E1152" s="6" t="s">
        <v>44</v>
      </c>
      <c r="F1152" s="6" t="s">
        <v>40</v>
      </c>
      <c r="G1152" s="6">
        <v>72</v>
      </c>
      <c r="H1152" s="7">
        <v>320.83</v>
      </c>
      <c r="I1152" s="7">
        <v>23099.759999999998</v>
      </c>
      <c r="J1152" s="8">
        <v>45000</v>
      </c>
      <c r="K1152" s="6">
        <v>68</v>
      </c>
      <c r="L1152" s="6" t="s">
        <v>41</v>
      </c>
      <c r="M1152" s="6" t="b">
        <v>0</v>
      </c>
      <c r="N1152" s="6">
        <v>14.47</v>
      </c>
      <c r="O1152" s="6" t="s">
        <v>42</v>
      </c>
      <c r="P1152" s="6" t="b">
        <v>1</v>
      </c>
      <c r="Q1152" s="9" t="s">
        <v>36</v>
      </c>
    </row>
    <row r="1153" spans="1:17" x14ac:dyDescent="0.25">
      <c r="A1153" s="5" t="s">
        <v>1203</v>
      </c>
      <c r="B1153" s="6" t="s">
        <v>46</v>
      </c>
      <c r="C1153" s="6" t="s">
        <v>19</v>
      </c>
      <c r="D1153" s="6" t="s">
        <v>64</v>
      </c>
      <c r="E1153" s="6" t="s">
        <v>28</v>
      </c>
      <c r="F1153" s="6" t="s">
        <v>40</v>
      </c>
      <c r="G1153" s="6">
        <v>49</v>
      </c>
      <c r="H1153" s="7">
        <v>667.07</v>
      </c>
      <c r="I1153" s="7">
        <v>32686.43</v>
      </c>
      <c r="J1153" s="8">
        <v>44936</v>
      </c>
      <c r="K1153" s="6">
        <v>26</v>
      </c>
      <c r="L1153" s="6" t="s">
        <v>41</v>
      </c>
      <c r="M1153" s="6" t="b">
        <v>1</v>
      </c>
      <c r="N1153" s="6">
        <v>21.29</v>
      </c>
      <c r="O1153" s="6" t="s">
        <v>56</v>
      </c>
      <c r="P1153" s="6" t="b">
        <v>0</v>
      </c>
      <c r="Q1153" s="9" t="s">
        <v>25</v>
      </c>
    </row>
    <row r="1154" spans="1:17" x14ac:dyDescent="0.25">
      <c r="A1154" s="5" t="s">
        <v>1204</v>
      </c>
      <c r="B1154" s="6" t="s">
        <v>66</v>
      </c>
      <c r="C1154" s="6" t="s">
        <v>33</v>
      </c>
      <c r="D1154" s="6" t="s">
        <v>52</v>
      </c>
      <c r="E1154" s="6" t="s">
        <v>35</v>
      </c>
      <c r="F1154" s="6" t="s">
        <v>48</v>
      </c>
      <c r="G1154" s="6">
        <v>47</v>
      </c>
      <c r="H1154" s="7">
        <v>846.76</v>
      </c>
      <c r="I1154" s="7">
        <v>39797.72</v>
      </c>
      <c r="J1154" s="8">
        <v>45561</v>
      </c>
      <c r="K1154" s="6">
        <v>52</v>
      </c>
      <c r="L1154" s="6" t="s">
        <v>23</v>
      </c>
      <c r="M1154" s="6" t="b">
        <v>0</v>
      </c>
      <c r="N1154" s="6">
        <v>18.37</v>
      </c>
      <c r="O1154" s="6" t="s">
        <v>42</v>
      </c>
      <c r="P1154" s="6" t="b">
        <v>0</v>
      </c>
      <c r="Q1154" s="9" t="s">
        <v>25</v>
      </c>
    </row>
    <row r="1155" spans="1:17" x14ac:dyDescent="0.25">
      <c r="A1155" s="5" t="s">
        <v>1205</v>
      </c>
      <c r="B1155" s="6" t="s">
        <v>51</v>
      </c>
      <c r="C1155" s="6" t="s">
        <v>19</v>
      </c>
      <c r="D1155" s="6" t="s">
        <v>52</v>
      </c>
      <c r="E1155" s="6" t="s">
        <v>35</v>
      </c>
      <c r="F1155" s="6" t="s">
        <v>40</v>
      </c>
      <c r="G1155" s="6">
        <v>56</v>
      </c>
      <c r="H1155" s="7">
        <v>1033.71</v>
      </c>
      <c r="I1155" s="7">
        <v>57887.76</v>
      </c>
      <c r="J1155" s="8">
        <v>45142</v>
      </c>
      <c r="K1155" s="6">
        <v>40</v>
      </c>
      <c r="L1155" s="6" t="s">
        <v>49</v>
      </c>
      <c r="M1155" s="6" t="b">
        <v>0</v>
      </c>
      <c r="N1155" s="6">
        <v>28.53</v>
      </c>
      <c r="O1155" s="6" t="s">
        <v>42</v>
      </c>
      <c r="P1155" s="6" t="b">
        <v>1</v>
      </c>
      <c r="Q1155" s="9" t="s">
        <v>36</v>
      </c>
    </row>
    <row r="1156" spans="1:17" x14ac:dyDescent="0.25">
      <c r="A1156" s="5" t="s">
        <v>1206</v>
      </c>
      <c r="B1156" s="6" t="s">
        <v>18</v>
      </c>
      <c r="C1156" s="6" t="s">
        <v>39</v>
      </c>
      <c r="D1156" s="6" t="s">
        <v>52</v>
      </c>
      <c r="E1156" s="6" t="s">
        <v>21</v>
      </c>
      <c r="F1156" s="6" t="s">
        <v>40</v>
      </c>
      <c r="G1156" s="6">
        <v>65</v>
      </c>
      <c r="H1156" s="7">
        <v>931.18</v>
      </c>
      <c r="I1156" s="7">
        <v>60526.7</v>
      </c>
      <c r="J1156" s="8">
        <v>45216</v>
      </c>
      <c r="K1156" s="6">
        <v>29</v>
      </c>
      <c r="L1156" s="6" t="s">
        <v>41</v>
      </c>
      <c r="M1156" s="6" t="b">
        <v>0</v>
      </c>
      <c r="N1156" s="6">
        <v>24.53</v>
      </c>
      <c r="O1156" s="6" t="s">
        <v>56</v>
      </c>
      <c r="P1156" s="6" t="b">
        <v>0</v>
      </c>
      <c r="Q1156" s="9" t="s">
        <v>25</v>
      </c>
    </row>
    <row r="1157" spans="1:17" x14ac:dyDescent="0.25">
      <c r="A1157" s="5" t="s">
        <v>1207</v>
      </c>
      <c r="B1157" s="6" t="s">
        <v>18</v>
      </c>
      <c r="C1157" s="6" t="s">
        <v>19</v>
      </c>
      <c r="D1157" s="6" t="s">
        <v>34</v>
      </c>
      <c r="E1157" s="6" t="s">
        <v>21</v>
      </c>
      <c r="F1157" s="6" t="s">
        <v>22</v>
      </c>
      <c r="G1157" s="6">
        <v>12</v>
      </c>
      <c r="H1157" s="7">
        <v>621.27</v>
      </c>
      <c r="I1157" s="7">
        <v>7455.24</v>
      </c>
      <c r="J1157" s="8">
        <v>45371</v>
      </c>
      <c r="K1157" s="6">
        <v>69</v>
      </c>
      <c r="L1157" s="6" t="s">
        <v>49</v>
      </c>
      <c r="M1157" s="6" t="b">
        <v>0</v>
      </c>
      <c r="N1157" s="6">
        <v>26.07</v>
      </c>
      <c r="O1157" s="6" t="s">
        <v>24</v>
      </c>
      <c r="P1157" s="6" t="b">
        <v>0</v>
      </c>
      <c r="Q1157" s="9" t="s">
        <v>36</v>
      </c>
    </row>
    <row r="1158" spans="1:17" x14ac:dyDescent="0.25">
      <c r="A1158" s="5" t="s">
        <v>1208</v>
      </c>
      <c r="B1158" s="6" t="s">
        <v>27</v>
      </c>
      <c r="C1158" s="6" t="s">
        <v>39</v>
      </c>
      <c r="D1158" s="6" t="s">
        <v>64</v>
      </c>
      <c r="E1158" s="6" t="s">
        <v>21</v>
      </c>
      <c r="F1158" s="6" t="s">
        <v>22</v>
      </c>
      <c r="G1158" s="6">
        <v>69</v>
      </c>
      <c r="H1158" s="7">
        <v>434.7</v>
      </c>
      <c r="I1158" s="7">
        <v>29994.3</v>
      </c>
      <c r="J1158" s="8">
        <v>45478</v>
      </c>
      <c r="K1158" s="6">
        <v>41</v>
      </c>
      <c r="L1158" s="6" t="s">
        <v>41</v>
      </c>
      <c r="M1158" s="6" t="b">
        <v>0</v>
      </c>
      <c r="N1158" s="6">
        <v>16.25</v>
      </c>
      <c r="O1158" s="6" t="s">
        <v>42</v>
      </c>
      <c r="P1158" s="6" t="b">
        <v>0</v>
      </c>
      <c r="Q1158" s="9" t="s">
        <v>36</v>
      </c>
    </row>
    <row r="1159" spans="1:17" x14ac:dyDescent="0.25">
      <c r="A1159" s="5" t="s">
        <v>1209</v>
      </c>
      <c r="B1159" s="6" t="s">
        <v>38</v>
      </c>
      <c r="C1159" s="6" t="s">
        <v>33</v>
      </c>
      <c r="D1159" s="6" t="s">
        <v>47</v>
      </c>
      <c r="E1159" s="6" t="s">
        <v>28</v>
      </c>
      <c r="F1159" s="6" t="s">
        <v>48</v>
      </c>
      <c r="G1159" s="6">
        <v>88</v>
      </c>
      <c r="H1159" s="7">
        <v>293.93</v>
      </c>
      <c r="I1159" s="7">
        <v>25865.84</v>
      </c>
      <c r="J1159" s="8">
        <v>45119</v>
      </c>
      <c r="K1159" s="6">
        <v>67</v>
      </c>
      <c r="L1159" s="6" t="s">
        <v>23</v>
      </c>
      <c r="M1159" s="6" t="b">
        <v>0</v>
      </c>
      <c r="N1159" s="6">
        <v>9.82</v>
      </c>
      <c r="O1159" s="6" t="s">
        <v>24</v>
      </c>
      <c r="P1159" s="6" t="b">
        <v>1</v>
      </c>
      <c r="Q1159" s="9" t="s">
        <v>25</v>
      </c>
    </row>
    <row r="1160" spans="1:17" x14ac:dyDescent="0.25">
      <c r="A1160" s="5" t="s">
        <v>1210</v>
      </c>
      <c r="B1160" s="6" t="s">
        <v>38</v>
      </c>
      <c r="C1160" s="6" t="s">
        <v>39</v>
      </c>
      <c r="D1160" s="6" t="s">
        <v>52</v>
      </c>
      <c r="E1160" s="6" t="s">
        <v>21</v>
      </c>
      <c r="F1160" s="6" t="s">
        <v>40</v>
      </c>
      <c r="G1160" s="6">
        <v>6</v>
      </c>
      <c r="H1160" s="7">
        <v>1056.08</v>
      </c>
      <c r="I1160" s="7">
        <v>6336.48</v>
      </c>
      <c r="J1160" s="8">
        <v>45565</v>
      </c>
      <c r="K1160" s="6">
        <v>57</v>
      </c>
      <c r="L1160" s="6" t="s">
        <v>49</v>
      </c>
      <c r="M1160" s="6" t="b">
        <v>0</v>
      </c>
      <c r="N1160" s="6">
        <v>21.05</v>
      </c>
      <c r="O1160" s="6" t="s">
        <v>24</v>
      </c>
      <c r="P1160" s="6" t="b">
        <v>0</v>
      </c>
      <c r="Q1160" s="9" t="s">
        <v>25</v>
      </c>
    </row>
    <row r="1161" spans="1:17" x14ac:dyDescent="0.25">
      <c r="A1161" s="5" t="s">
        <v>1211</v>
      </c>
      <c r="B1161" s="6" t="s">
        <v>62</v>
      </c>
      <c r="C1161" s="6" t="s">
        <v>33</v>
      </c>
      <c r="D1161" s="6" t="s">
        <v>52</v>
      </c>
      <c r="E1161" s="6" t="s">
        <v>35</v>
      </c>
      <c r="F1161" s="6" t="s">
        <v>22</v>
      </c>
      <c r="G1161" s="6">
        <v>89</v>
      </c>
      <c r="H1161" s="7">
        <v>985.83</v>
      </c>
      <c r="I1161" s="7">
        <v>87738.87</v>
      </c>
      <c r="J1161" s="8">
        <v>45215</v>
      </c>
      <c r="K1161" s="6">
        <v>26</v>
      </c>
      <c r="L1161" s="6" t="s">
        <v>49</v>
      </c>
      <c r="M1161" s="6" t="b">
        <v>1</v>
      </c>
      <c r="N1161" s="6">
        <v>13.17</v>
      </c>
      <c r="O1161" s="6" t="s">
        <v>42</v>
      </c>
      <c r="P1161" s="6" t="b">
        <v>0</v>
      </c>
      <c r="Q1161" s="9" t="s">
        <v>25</v>
      </c>
    </row>
    <row r="1162" spans="1:17" x14ac:dyDescent="0.25">
      <c r="A1162" s="5" t="s">
        <v>1212</v>
      </c>
      <c r="B1162" s="6" t="s">
        <v>76</v>
      </c>
      <c r="C1162" s="6" t="s">
        <v>33</v>
      </c>
      <c r="D1162" s="6" t="s">
        <v>64</v>
      </c>
      <c r="E1162" s="6" t="s">
        <v>21</v>
      </c>
      <c r="F1162" s="6" t="s">
        <v>29</v>
      </c>
      <c r="G1162" s="6">
        <v>65</v>
      </c>
      <c r="H1162" s="7">
        <v>1046.69</v>
      </c>
      <c r="I1162" s="7">
        <v>68034.850000000006</v>
      </c>
      <c r="J1162" s="8">
        <v>45509</v>
      </c>
      <c r="K1162" s="6">
        <v>30</v>
      </c>
      <c r="L1162" s="6" t="s">
        <v>23</v>
      </c>
      <c r="M1162" s="6" t="b">
        <v>1</v>
      </c>
      <c r="N1162" s="6">
        <v>8.6300000000000008</v>
      </c>
      <c r="O1162" s="6" t="s">
        <v>30</v>
      </c>
      <c r="P1162" s="6" t="b">
        <v>1</v>
      </c>
      <c r="Q1162" s="9" t="s">
        <v>36</v>
      </c>
    </row>
    <row r="1163" spans="1:17" x14ac:dyDescent="0.25">
      <c r="A1163" s="5" t="s">
        <v>1213</v>
      </c>
      <c r="B1163" s="6" t="s">
        <v>66</v>
      </c>
      <c r="C1163" s="6" t="s">
        <v>19</v>
      </c>
      <c r="D1163" s="6" t="s">
        <v>52</v>
      </c>
      <c r="E1163" s="6" t="s">
        <v>44</v>
      </c>
      <c r="F1163" s="6" t="s">
        <v>40</v>
      </c>
      <c r="G1163" s="6">
        <v>25</v>
      </c>
      <c r="H1163" s="7">
        <v>590.16</v>
      </c>
      <c r="I1163" s="7">
        <v>14754</v>
      </c>
      <c r="J1163" s="8">
        <v>45575</v>
      </c>
      <c r="K1163" s="6">
        <v>57</v>
      </c>
      <c r="L1163" s="6" t="s">
        <v>41</v>
      </c>
      <c r="M1163" s="6" t="b">
        <v>1</v>
      </c>
      <c r="N1163" s="6">
        <v>4.57</v>
      </c>
      <c r="O1163" s="6" t="s">
        <v>42</v>
      </c>
      <c r="P1163" s="6" t="b">
        <v>0</v>
      </c>
      <c r="Q1163" s="9" t="s">
        <v>36</v>
      </c>
    </row>
    <row r="1164" spans="1:17" x14ac:dyDescent="0.25">
      <c r="A1164" s="5" t="s">
        <v>1214</v>
      </c>
      <c r="B1164" s="6" t="s">
        <v>38</v>
      </c>
      <c r="C1164" s="6" t="s">
        <v>19</v>
      </c>
      <c r="D1164" s="6" t="s">
        <v>34</v>
      </c>
      <c r="E1164" s="6" t="s">
        <v>21</v>
      </c>
      <c r="F1164" s="6" t="s">
        <v>29</v>
      </c>
      <c r="G1164" s="6">
        <v>1</v>
      </c>
      <c r="H1164" s="7">
        <v>430.49</v>
      </c>
      <c r="I1164" s="7">
        <v>430.49</v>
      </c>
      <c r="J1164" s="8">
        <v>45070</v>
      </c>
      <c r="K1164" s="6">
        <v>59</v>
      </c>
      <c r="L1164" s="6" t="s">
        <v>41</v>
      </c>
      <c r="M1164" s="6" t="b">
        <v>0</v>
      </c>
      <c r="N1164" s="6">
        <v>15.84</v>
      </c>
      <c r="O1164" s="6" t="s">
        <v>30</v>
      </c>
      <c r="P1164" s="6" t="b">
        <v>0</v>
      </c>
      <c r="Q1164" s="9" t="s">
        <v>36</v>
      </c>
    </row>
    <row r="1165" spans="1:17" x14ac:dyDescent="0.25">
      <c r="A1165" s="5" t="s">
        <v>1215</v>
      </c>
      <c r="B1165" s="6" t="s">
        <v>51</v>
      </c>
      <c r="C1165" s="6" t="s">
        <v>19</v>
      </c>
      <c r="D1165" s="6" t="s">
        <v>34</v>
      </c>
      <c r="E1165" s="6" t="s">
        <v>28</v>
      </c>
      <c r="F1165" s="6" t="s">
        <v>48</v>
      </c>
      <c r="G1165" s="6">
        <v>32</v>
      </c>
      <c r="H1165" s="7">
        <v>1151.5999999999999</v>
      </c>
      <c r="I1165" s="7">
        <v>36851.199999999997</v>
      </c>
      <c r="J1165" s="8">
        <v>45315</v>
      </c>
      <c r="K1165" s="6">
        <v>34</v>
      </c>
      <c r="L1165" s="6" t="s">
        <v>49</v>
      </c>
      <c r="M1165" s="6" t="b">
        <v>1</v>
      </c>
      <c r="N1165" s="6">
        <v>17.829999999999998</v>
      </c>
      <c r="O1165" s="6" t="s">
        <v>42</v>
      </c>
      <c r="P1165" s="6" t="b">
        <v>0</v>
      </c>
      <c r="Q1165" s="9" t="s">
        <v>36</v>
      </c>
    </row>
    <row r="1166" spans="1:17" x14ac:dyDescent="0.25">
      <c r="A1166" s="5" t="s">
        <v>1216</v>
      </c>
      <c r="B1166" s="6" t="s">
        <v>27</v>
      </c>
      <c r="C1166" s="6" t="s">
        <v>19</v>
      </c>
      <c r="D1166" s="6" t="s">
        <v>52</v>
      </c>
      <c r="E1166" s="6" t="s">
        <v>44</v>
      </c>
      <c r="F1166" s="6" t="s">
        <v>40</v>
      </c>
      <c r="G1166" s="6">
        <v>3</v>
      </c>
      <c r="H1166" s="7">
        <v>1171.79</v>
      </c>
      <c r="I1166" s="7">
        <v>3515.37</v>
      </c>
      <c r="J1166" s="8">
        <v>45333</v>
      </c>
      <c r="K1166" s="6">
        <v>24</v>
      </c>
      <c r="L1166" s="6" t="s">
        <v>23</v>
      </c>
      <c r="M1166" s="6" t="b">
        <v>0</v>
      </c>
      <c r="N1166" s="6">
        <v>17.059999999999999</v>
      </c>
      <c r="O1166" s="6" t="s">
        <v>42</v>
      </c>
      <c r="P1166" s="6" t="b">
        <v>1</v>
      </c>
      <c r="Q1166" s="9" t="s">
        <v>25</v>
      </c>
    </row>
    <row r="1167" spans="1:17" x14ac:dyDescent="0.25">
      <c r="A1167" s="5" t="s">
        <v>1217</v>
      </c>
      <c r="B1167" s="6" t="s">
        <v>46</v>
      </c>
      <c r="C1167" s="6" t="s">
        <v>39</v>
      </c>
      <c r="D1167" s="6" t="s">
        <v>64</v>
      </c>
      <c r="E1167" s="6" t="s">
        <v>44</v>
      </c>
      <c r="F1167" s="6" t="s">
        <v>48</v>
      </c>
      <c r="G1167" s="6">
        <v>49</v>
      </c>
      <c r="H1167" s="7">
        <v>710.64</v>
      </c>
      <c r="I1167" s="7">
        <v>34821.360000000001</v>
      </c>
      <c r="J1167" s="8">
        <v>45296</v>
      </c>
      <c r="K1167" s="6">
        <v>34</v>
      </c>
      <c r="L1167" s="6" t="s">
        <v>49</v>
      </c>
      <c r="M1167" s="6" t="b">
        <v>0</v>
      </c>
      <c r="N1167" s="6">
        <v>3.5</v>
      </c>
      <c r="O1167" s="6" t="s">
        <v>24</v>
      </c>
      <c r="P1167" s="6" t="b">
        <v>1</v>
      </c>
      <c r="Q1167" s="9" t="s">
        <v>36</v>
      </c>
    </row>
    <row r="1168" spans="1:17" x14ac:dyDescent="0.25">
      <c r="A1168" s="5" t="s">
        <v>1218</v>
      </c>
      <c r="B1168" s="6" t="s">
        <v>62</v>
      </c>
      <c r="C1168" s="6" t="s">
        <v>39</v>
      </c>
      <c r="D1168" s="6" t="s">
        <v>64</v>
      </c>
      <c r="E1168" s="6" t="s">
        <v>44</v>
      </c>
      <c r="F1168" s="6" t="s">
        <v>48</v>
      </c>
      <c r="G1168" s="6">
        <v>19</v>
      </c>
      <c r="H1168" s="7">
        <v>937.26</v>
      </c>
      <c r="I1168" s="7">
        <v>17807.939999999999</v>
      </c>
      <c r="J1168" s="8">
        <v>45367</v>
      </c>
      <c r="K1168" s="6">
        <v>67</v>
      </c>
      <c r="L1168" s="6" t="s">
        <v>49</v>
      </c>
      <c r="M1168" s="6" t="b">
        <v>1</v>
      </c>
      <c r="N1168" s="6">
        <v>17.100000000000001</v>
      </c>
      <c r="O1168" s="6" t="s">
        <v>24</v>
      </c>
      <c r="P1168" s="6" t="b">
        <v>0</v>
      </c>
      <c r="Q1168" s="9" t="s">
        <v>25</v>
      </c>
    </row>
    <row r="1169" spans="1:17" x14ac:dyDescent="0.25">
      <c r="A1169" s="5" t="s">
        <v>1219</v>
      </c>
      <c r="B1169" s="6" t="s">
        <v>32</v>
      </c>
      <c r="C1169" s="6" t="s">
        <v>39</v>
      </c>
      <c r="D1169" s="6" t="s">
        <v>64</v>
      </c>
      <c r="E1169" s="6" t="s">
        <v>28</v>
      </c>
      <c r="F1169" s="6" t="s">
        <v>48</v>
      </c>
      <c r="G1169" s="6">
        <v>60</v>
      </c>
      <c r="H1169" s="7">
        <v>591.6</v>
      </c>
      <c r="I1169" s="7">
        <v>35496</v>
      </c>
      <c r="J1169" s="8">
        <v>45577</v>
      </c>
      <c r="K1169" s="6">
        <v>41</v>
      </c>
      <c r="L1169" s="6" t="s">
        <v>41</v>
      </c>
      <c r="M1169" s="6" t="b">
        <v>0</v>
      </c>
      <c r="N1169" s="6">
        <v>5.05</v>
      </c>
      <c r="O1169" s="6" t="s">
        <v>56</v>
      </c>
      <c r="P1169" s="6" t="b">
        <v>1</v>
      </c>
      <c r="Q1169" s="9" t="s">
        <v>36</v>
      </c>
    </row>
    <row r="1170" spans="1:17" x14ac:dyDescent="0.25">
      <c r="A1170" s="5" t="s">
        <v>1220</v>
      </c>
      <c r="B1170" s="6" t="s">
        <v>72</v>
      </c>
      <c r="C1170" s="6" t="s">
        <v>33</v>
      </c>
      <c r="D1170" s="6" t="s">
        <v>20</v>
      </c>
      <c r="E1170" s="6" t="s">
        <v>35</v>
      </c>
      <c r="F1170" s="6" t="s">
        <v>48</v>
      </c>
      <c r="G1170" s="6">
        <v>29</v>
      </c>
      <c r="H1170" s="7">
        <v>1067.82</v>
      </c>
      <c r="I1170" s="7">
        <v>30966.78</v>
      </c>
      <c r="J1170" s="8">
        <v>45490</v>
      </c>
      <c r="K1170" s="6">
        <v>19</v>
      </c>
      <c r="L1170" s="6" t="s">
        <v>41</v>
      </c>
      <c r="M1170" s="6" t="b">
        <v>0</v>
      </c>
      <c r="N1170" s="6">
        <v>19.91</v>
      </c>
      <c r="O1170" s="6" t="s">
        <v>24</v>
      </c>
      <c r="P1170" s="6" t="b">
        <v>1</v>
      </c>
      <c r="Q1170" s="9" t="s">
        <v>36</v>
      </c>
    </row>
    <row r="1171" spans="1:17" x14ac:dyDescent="0.25">
      <c r="A1171" s="5" t="s">
        <v>1221</v>
      </c>
      <c r="B1171" s="6" t="s">
        <v>46</v>
      </c>
      <c r="C1171" s="6" t="s">
        <v>39</v>
      </c>
      <c r="D1171" s="6" t="s">
        <v>52</v>
      </c>
      <c r="E1171" s="6" t="s">
        <v>21</v>
      </c>
      <c r="F1171" s="6" t="s">
        <v>48</v>
      </c>
      <c r="G1171" s="6">
        <v>50</v>
      </c>
      <c r="H1171" s="7">
        <v>1261.8</v>
      </c>
      <c r="I1171" s="7">
        <v>63090</v>
      </c>
      <c r="J1171" s="8">
        <v>45455</v>
      </c>
      <c r="K1171" s="6">
        <v>52</v>
      </c>
      <c r="L1171" s="6" t="s">
        <v>41</v>
      </c>
      <c r="M1171" s="6" t="b">
        <v>1</v>
      </c>
      <c r="N1171" s="6">
        <v>12.88</v>
      </c>
      <c r="O1171" s="6" t="s">
        <v>24</v>
      </c>
      <c r="P1171" s="6" t="b">
        <v>1</v>
      </c>
      <c r="Q1171" s="9" t="s">
        <v>25</v>
      </c>
    </row>
    <row r="1172" spans="1:17" x14ac:dyDescent="0.25">
      <c r="A1172" s="5" t="s">
        <v>1222</v>
      </c>
      <c r="B1172" s="6" t="s">
        <v>32</v>
      </c>
      <c r="C1172" s="6" t="s">
        <v>39</v>
      </c>
      <c r="D1172" s="6" t="s">
        <v>64</v>
      </c>
      <c r="E1172" s="6" t="s">
        <v>44</v>
      </c>
      <c r="F1172" s="6" t="s">
        <v>40</v>
      </c>
      <c r="G1172" s="6">
        <v>2</v>
      </c>
      <c r="H1172" s="7">
        <v>1047.94</v>
      </c>
      <c r="I1172" s="7">
        <v>2095.88</v>
      </c>
      <c r="J1172" s="8">
        <v>44939</v>
      </c>
      <c r="K1172" s="6">
        <v>45</v>
      </c>
      <c r="L1172" s="6" t="s">
        <v>41</v>
      </c>
      <c r="M1172" s="6" t="b">
        <v>0</v>
      </c>
      <c r="N1172" s="6">
        <v>25.46</v>
      </c>
      <c r="O1172" s="6" t="s">
        <v>24</v>
      </c>
      <c r="P1172" s="6" t="b">
        <v>0</v>
      </c>
      <c r="Q1172" s="9" t="s">
        <v>36</v>
      </c>
    </row>
    <row r="1173" spans="1:17" x14ac:dyDescent="0.25">
      <c r="A1173" s="5" t="s">
        <v>1223</v>
      </c>
      <c r="B1173" s="6" t="s">
        <v>18</v>
      </c>
      <c r="C1173" s="6" t="s">
        <v>39</v>
      </c>
      <c r="D1173" s="6" t="s">
        <v>34</v>
      </c>
      <c r="E1173" s="6" t="s">
        <v>44</v>
      </c>
      <c r="F1173" s="6" t="s">
        <v>29</v>
      </c>
      <c r="G1173" s="6">
        <v>73</v>
      </c>
      <c r="H1173" s="7">
        <v>793.24</v>
      </c>
      <c r="I1173" s="7">
        <v>57906.52</v>
      </c>
      <c r="J1173" s="8">
        <v>45266</v>
      </c>
      <c r="K1173" s="6">
        <v>36</v>
      </c>
      <c r="L1173" s="6" t="s">
        <v>41</v>
      </c>
      <c r="M1173" s="6" t="b">
        <v>1</v>
      </c>
      <c r="N1173" s="6">
        <v>23.35</v>
      </c>
      <c r="O1173" s="6" t="s">
        <v>24</v>
      </c>
      <c r="P1173" s="6" t="b">
        <v>0</v>
      </c>
      <c r="Q1173" s="9" t="s">
        <v>25</v>
      </c>
    </row>
    <row r="1174" spans="1:17" x14ac:dyDescent="0.25">
      <c r="A1174" s="5" t="s">
        <v>1224</v>
      </c>
      <c r="B1174" s="6" t="s">
        <v>72</v>
      </c>
      <c r="C1174" s="6" t="s">
        <v>19</v>
      </c>
      <c r="D1174" s="6" t="s">
        <v>47</v>
      </c>
      <c r="E1174" s="6" t="s">
        <v>44</v>
      </c>
      <c r="F1174" s="6" t="s">
        <v>40</v>
      </c>
      <c r="G1174" s="6">
        <v>56</v>
      </c>
      <c r="H1174" s="7">
        <v>715.05</v>
      </c>
      <c r="I1174" s="7">
        <v>40042.800000000003</v>
      </c>
      <c r="J1174" s="8">
        <v>45238</v>
      </c>
      <c r="K1174" s="6">
        <v>50</v>
      </c>
      <c r="L1174" s="6" t="s">
        <v>23</v>
      </c>
      <c r="M1174" s="6" t="b">
        <v>0</v>
      </c>
      <c r="N1174" s="6">
        <v>21.73</v>
      </c>
      <c r="O1174" s="6" t="s">
        <v>56</v>
      </c>
      <c r="P1174" s="6" t="b">
        <v>1</v>
      </c>
      <c r="Q1174" s="9" t="s">
        <v>36</v>
      </c>
    </row>
    <row r="1175" spans="1:17" x14ac:dyDescent="0.25">
      <c r="A1175" s="5" t="s">
        <v>1225</v>
      </c>
      <c r="B1175" s="6" t="s">
        <v>66</v>
      </c>
      <c r="C1175" s="6" t="s">
        <v>39</v>
      </c>
      <c r="D1175" s="6" t="s">
        <v>47</v>
      </c>
      <c r="E1175" s="6" t="s">
        <v>35</v>
      </c>
      <c r="F1175" s="6" t="s">
        <v>40</v>
      </c>
      <c r="G1175" s="6">
        <v>17</v>
      </c>
      <c r="H1175" s="7">
        <v>981.36</v>
      </c>
      <c r="I1175" s="7">
        <v>16683.12</v>
      </c>
      <c r="J1175" s="8">
        <v>45030</v>
      </c>
      <c r="K1175" s="6">
        <v>38</v>
      </c>
      <c r="L1175" s="6" t="s">
        <v>49</v>
      </c>
      <c r="M1175" s="6" t="b">
        <v>0</v>
      </c>
      <c r="N1175" s="6">
        <v>21.02</v>
      </c>
      <c r="O1175" s="6" t="s">
        <v>24</v>
      </c>
      <c r="P1175" s="6" t="b">
        <v>0</v>
      </c>
      <c r="Q1175" s="9" t="s">
        <v>25</v>
      </c>
    </row>
    <row r="1176" spans="1:17" x14ac:dyDescent="0.25">
      <c r="A1176" s="5" t="s">
        <v>1226</v>
      </c>
      <c r="B1176" s="6" t="s">
        <v>51</v>
      </c>
      <c r="C1176" s="6" t="s">
        <v>33</v>
      </c>
      <c r="D1176" s="6" t="s">
        <v>64</v>
      </c>
      <c r="E1176" s="6" t="s">
        <v>35</v>
      </c>
      <c r="F1176" s="6" t="s">
        <v>40</v>
      </c>
      <c r="G1176" s="6">
        <v>60</v>
      </c>
      <c r="H1176" s="7">
        <v>1035.73</v>
      </c>
      <c r="I1176" s="7">
        <v>62143.8</v>
      </c>
      <c r="J1176" s="8">
        <v>45265</v>
      </c>
      <c r="K1176" s="6">
        <v>27</v>
      </c>
      <c r="L1176" s="6" t="s">
        <v>23</v>
      </c>
      <c r="M1176" s="6" t="b">
        <v>1</v>
      </c>
      <c r="N1176" s="6">
        <v>16.809999999999999</v>
      </c>
      <c r="O1176" s="6" t="s">
        <v>30</v>
      </c>
      <c r="P1176" s="6" t="b">
        <v>1</v>
      </c>
      <c r="Q1176" s="9" t="s">
        <v>36</v>
      </c>
    </row>
    <row r="1177" spans="1:17" x14ac:dyDescent="0.25">
      <c r="A1177" s="5" t="s">
        <v>1227</v>
      </c>
      <c r="B1177" s="6" t="s">
        <v>72</v>
      </c>
      <c r="C1177" s="6" t="s">
        <v>19</v>
      </c>
      <c r="D1177" s="6" t="s">
        <v>47</v>
      </c>
      <c r="E1177" s="6" t="s">
        <v>28</v>
      </c>
      <c r="F1177" s="6" t="s">
        <v>22</v>
      </c>
      <c r="G1177" s="6">
        <v>36</v>
      </c>
      <c r="H1177" s="7">
        <v>860.16</v>
      </c>
      <c r="I1177" s="7">
        <v>30965.759999999998</v>
      </c>
      <c r="J1177" s="8">
        <v>45124</v>
      </c>
      <c r="K1177" s="6">
        <v>63</v>
      </c>
      <c r="L1177" s="6" t="s">
        <v>49</v>
      </c>
      <c r="M1177" s="6" t="b">
        <v>1</v>
      </c>
      <c r="N1177" s="6">
        <v>1.83</v>
      </c>
      <c r="O1177" s="6" t="s">
        <v>30</v>
      </c>
      <c r="P1177" s="6" t="b">
        <v>1</v>
      </c>
      <c r="Q1177" s="9" t="s">
        <v>36</v>
      </c>
    </row>
    <row r="1178" spans="1:17" x14ac:dyDescent="0.25">
      <c r="A1178" s="5" t="s">
        <v>1228</v>
      </c>
      <c r="B1178" s="6" t="s">
        <v>76</v>
      </c>
      <c r="C1178" s="6" t="s">
        <v>33</v>
      </c>
      <c r="D1178" s="6" t="s">
        <v>47</v>
      </c>
      <c r="E1178" s="6" t="s">
        <v>35</v>
      </c>
      <c r="F1178" s="6" t="s">
        <v>22</v>
      </c>
      <c r="G1178" s="6">
        <v>61</v>
      </c>
      <c r="H1178" s="7">
        <v>956.17</v>
      </c>
      <c r="I1178" s="7">
        <v>58326.37</v>
      </c>
      <c r="J1178" s="8">
        <v>45226</v>
      </c>
      <c r="K1178" s="6">
        <v>62</v>
      </c>
      <c r="L1178" s="6" t="s">
        <v>41</v>
      </c>
      <c r="M1178" s="6" t="b">
        <v>1</v>
      </c>
      <c r="N1178" s="6">
        <v>19.66</v>
      </c>
      <c r="O1178" s="6" t="s">
        <v>56</v>
      </c>
      <c r="P1178" s="6" t="b">
        <v>0</v>
      </c>
      <c r="Q1178" s="9" t="s">
        <v>25</v>
      </c>
    </row>
    <row r="1179" spans="1:17" x14ac:dyDescent="0.25">
      <c r="A1179" s="5" t="s">
        <v>1229</v>
      </c>
      <c r="B1179" s="6" t="s">
        <v>32</v>
      </c>
      <c r="C1179" s="6" t="s">
        <v>39</v>
      </c>
      <c r="D1179" s="6" t="s">
        <v>20</v>
      </c>
      <c r="E1179" s="6" t="s">
        <v>21</v>
      </c>
      <c r="F1179" s="6" t="s">
        <v>40</v>
      </c>
      <c r="G1179" s="6">
        <v>17</v>
      </c>
      <c r="H1179" s="7">
        <v>190.05</v>
      </c>
      <c r="I1179" s="7">
        <v>3230.85</v>
      </c>
      <c r="J1179" s="8">
        <v>45370</v>
      </c>
      <c r="K1179" s="6">
        <v>26</v>
      </c>
      <c r="L1179" s="6" t="s">
        <v>23</v>
      </c>
      <c r="M1179" s="6" t="b">
        <v>0</v>
      </c>
      <c r="N1179" s="6">
        <v>14.01</v>
      </c>
      <c r="O1179" s="6" t="s">
        <v>24</v>
      </c>
      <c r="P1179" s="6" t="b">
        <v>1</v>
      </c>
      <c r="Q1179" s="9" t="s">
        <v>25</v>
      </c>
    </row>
    <row r="1180" spans="1:17" x14ac:dyDescent="0.25">
      <c r="A1180" s="5" t="s">
        <v>1230</v>
      </c>
      <c r="B1180" s="6" t="s">
        <v>66</v>
      </c>
      <c r="C1180" s="6" t="s">
        <v>19</v>
      </c>
      <c r="D1180" s="6" t="s">
        <v>34</v>
      </c>
      <c r="E1180" s="6" t="s">
        <v>28</v>
      </c>
      <c r="F1180" s="6" t="s">
        <v>29</v>
      </c>
      <c r="G1180" s="6">
        <v>49</v>
      </c>
      <c r="H1180" s="7">
        <v>1430.06</v>
      </c>
      <c r="I1180" s="7">
        <v>70072.94</v>
      </c>
      <c r="J1180" s="8">
        <v>45285</v>
      </c>
      <c r="K1180" s="6">
        <v>55</v>
      </c>
      <c r="L1180" s="6" t="s">
        <v>49</v>
      </c>
      <c r="M1180" s="6" t="b">
        <v>0</v>
      </c>
      <c r="N1180" s="6">
        <v>14.09</v>
      </c>
      <c r="O1180" s="6" t="s">
        <v>30</v>
      </c>
      <c r="P1180" s="6" t="b">
        <v>1</v>
      </c>
      <c r="Q1180" s="9" t="s">
        <v>25</v>
      </c>
    </row>
    <row r="1181" spans="1:17" x14ac:dyDescent="0.25">
      <c r="A1181" s="5" t="s">
        <v>1231</v>
      </c>
      <c r="B1181" s="6" t="s">
        <v>76</v>
      </c>
      <c r="C1181" s="6" t="s">
        <v>33</v>
      </c>
      <c r="D1181" s="6" t="s">
        <v>34</v>
      </c>
      <c r="E1181" s="6" t="s">
        <v>28</v>
      </c>
      <c r="F1181" s="6" t="s">
        <v>40</v>
      </c>
      <c r="G1181" s="6">
        <v>76</v>
      </c>
      <c r="H1181" s="7">
        <v>1196.6199999999999</v>
      </c>
      <c r="I1181" s="7">
        <v>90943.12</v>
      </c>
      <c r="J1181" s="8">
        <v>45294</v>
      </c>
      <c r="K1181" s="6">
        <v>23</v>
      </c>
      <c r="L1181" s="6" t="s">
        <v>41</v>
      </c>
      <c r="M1181" s="6" t="b">
        <v>1</v>
      </c>
      <c r="N1181" s="6">
        <v>11.37</v>
      </c>
      <c r="O1181" s="6" t="s">
        <v>42</v>
      </c>
      <c r="P1181" s="6" t="b">
        <v>1</v>
      </c>
      <c r="Q1181" s="9" t="s">
        <v>36</v>
      </c>
    </row>
    <row r="1182" spans="1:17" x14ac:dyDescent="0.25">
      <c r="A1182" s="5" t="s">
        <v>1232</v>
      </c>
      <c r="B1182" s="6" t="s">
        <v>18</v>
      </c>
      <c r="C1182" s="6" t="s">
        <v>39</v>
      </c>
      <c r="D1182" s="6" t="s">
        <v>20</v>
      </c>
      <c r="E1182" s="6" t="s">
        <v>21</v>
      </c>
      <c r="F1182" s="6" t="s">
        <v>48</v>
      </c>
      <c r="G1182" s="6">
        <v>60</v>
      </c>
      <c r="H1182" s="7">
        <v>592.20000000000005</v>
      </c>
      <c r="I1182" s="7">
        <v>35532</v>
      </c>
      <c r="J1182" s="8">
        <v>45095</v>
      </c>
      <c r="K1182" s="6">
        <v>68</v>
      </c>
      <c r="L1182" s="6" t="s">
        <v>41</v>
      </c>
      <c r="M1182" s="6" t="b">
        <v>1</v>
      </c>
      <c r="N1182" s="6">
        <v>27.87</v>
      </c>
      <c r="O1182" s="6" t="s">
        <v>30</v>
      </c>
      <c r="P1182" s="6" t="b">
        <v>1</v>
      </c>
      <c r="Q1182" s="9" t="s">
        <v>36</v>
      </c>
    </row>
    <row r="1183" spans="1:17" x14ac:dyDescent="0.25">
      <c r="A1183" s="5" t="s">
        <v>1233</v>
      </c>
      <c r="B1183" s="6" t="s">
        <v>76</v>
      </c>
      <c r="C1183" s="6" t="s">
        <v>33</v>
      </c>
      <c r="D1183" s="6" t="s">
        <v>20</v>
      </c>
      <c r="E1183" s="6" t="s">
        <v>21</v>
      </c>
      <c r="F1183" s="6" t="s">
        <v>22</v>
      </c>
      <c r="G1183" s="6">
        <v>20</v>
      </c>
      <c r="H1183" s="7">
        <v>866.08</v>
      </c>
      <c r="I1183" s="7">
        <v>17321.599999999999</v>
      </c>
      <c r="J1183" s="8">
        <v>45075</v>
      </c>
      <c r="K1183" s="6">
        <v>59</v>
      </c>
      <c r="L1183" s="6" t="s">
        <v>23</v>
      </c>
      <c r="M1183" s="6" t="b">
        <v>1</v>
      </c>
      <c r="N1183" s="6">
        <v>7.48</v>
      </c>
      <c r="O1183" s="6" t="s">
        <v>24</v>
      </c>
      <c r="P1183" s="6" t="b">
        <v>0</v>
      </c>
      <c r="Q1183" s="9" t="s">
        <v>36</v>
      </c>
    </row>
    <row r="1184" spans="1:17" x14ac:dyDescent="0.25">
      <c r="A1184" s="5" t="s">
        <v>1234</v>
      </c>
      <c r="B1184" s="6" t="s">
        <v>62</v>
      </c>
      <c r="C1184" s="6" t="s">
        <v>33</v>
      </c>
      <c r="D1184" s="6" t="s">
        <v>47</v>
      </c>
      <c r="E1184" s="6" t="s">
        <v>21</v>
      </c>
      <c r="F1184" s="6" t="s">
        <v>22</v>
      </c>
      <c r="G1184" s="6">
        <v>50</v>
      </c>
      <c r="H1184" s="7">
        <v>118.62</v>
      </c>
      <c r="I1184" s="7">
        <v>5931</v>
      </c>
      <c r="J1184" s="8">
        <v>44968</v>
      </c>
      <c r="K1184" s="6">
        <v>52</v>
      </c>
      <c r="L1184" s="6" t="s">
        <v>23</v>
      </c>
      <c r="M1184" s="6" t="b">
        <v>0</v>
      </c>
      <c r="N1184" s="6">
        <v>9.5</v>
      </c>
      <c r="O1184" s="6" t="s">
        <v>30</v>
      </c>
      <c r="P1184" s="6" t="b">
        <v>1</v>
      </c>
      <c r="Q1184" s="9" t="s">
        <v>36</v>
      </c>
    </row>
    <row r="1185" spans="1:17" x14ac:dyDescent="0.25">
      <c r="A1185" s="5" t="s">
        <v>1235</v>
      </c>
      <c r="B1185" s="6" t="s">
        <v>62</v>
      </c>
      <c r="C1185" s="6" t="s">
        <v>33</v>
      </c>
      <c r="D1185" s="6" t="s">
        <v>52</v>
      </c>
      <c r="E1185" s="6" t="s">
        <v>28</v>
      </c>
      <c r="F1185" s="6" t="s">
        <v>40</v>
      </c>
      <c r="G1185" s="6">
        <v>3</v>
      </c>
      <c r="H1185" s="7">
        <v>109.78</v>
      </c>
      <c r="I1185" s="7">
        <v>329.34</v>
      </c>
      <c r="J1185" s="8">
        <v>45128</v>
      </c>
      <c r="K1185" s="6">
        <v>35</v>
      </c>
      <c r="L1185" s="6" t="s">
        <v>23</v>
      </c>
      <c r="M1185" s="6" t="b">
        <v>0</v>
      </c>
      <c r="N1185" s="6">
        <v>28.89</v>
      </c>
      <c r="O1185" s="6" t="s">
        <v>42</v>
      </c>
      <c r="P1185" s="6" t="b">
        <v>0</v>
      </c>
      <c r="Q1185" s="9" t="s">
        <v>36</v>
      </c>
    </row>
    <row r="1186" spans="1:17" x14ac:dyDescent="0.25">
      <c r="A1186" s="5" t="s">
        <v>1236</v>
      </c>
      <c r="B1186" s="6" t="s">
        <v>27</v>
      </c>
      <c r="C1186" s="6" t="s">
        <v>39</v>
      </c>
      <c r="D1186" s="6" t="s">
        <v>47</v>
      </c>
      <c r="E1186" s="6" t="s">
        <v>28</v>
      </c>
      <c r="F1186" s="6" t="s">
        <v>40</v>
      </c>
      <c r="G1186" s="6">
        <v>43</v>
      </c>
      <c r="H1186" s="7">
        <v>413.66</v>
      </c>
      <c r="I1186" s="7">
        <v>17787.38</v>
      </c>
      <c r="J1186" s="8">
        <v>45170</v>
      </c>
      <c r="K1186" s="6">
        <v>36</v>
      </c>
      <c r="L1186" s="6" t="s">
        <v>41</v>
      </c>
      <c r="M1186" s="6" t="b">
        <v>1</v>
      </c>
      <c r="N1186" s="6">
        <v>24.3</v>
      </c>
      <c r="O1186" s="6" t="s">
        <v>30</v>
      </c>
      <c r="P1186" s="6" t="b">
        <v>1</v>
      </c>
      <c r="Q1186" s="9" t="s">
        <v>36</v>
      </c>
    </row>
    <row r="1187" spans="1:17" x14ac:dyDescent="0.25">
      <c r="A1187" s="5" t="s">
        <v>1237</v>
      </c>
      <c r="B1187" s="6" t="s">
        <v>46</v>
      </c>
      <c r="C1187" s="6" t="s">
        <v>39</v>
      </c>
      <c r="D1187" s="6" t="s">
        <v>20</v>
      </c>
      <c r="E1187" s="6" t="s">
        <v>28</v>
      </c>
      <c r="F1187" s="6" t="s">
        <v>29</v>
      </c>
      <c r="G1187" s="6">
        <v>57</v>
      </c>
      <c r="H1187" s="7">
        <v>1050.07</v>
      </c>
      <c r="I1187" s="7">
        <v>59853.99</v>
      </c>
      <c r="J1187" s="8">
        <v>45595</v>
      </c>
      <c r="K1187" s="6">
        <v>22</v>
      </c>
      <c r="L1187" s="6" t="s">
        <v>49</v>
      </c>
      <c r="M1187" s="6" t="b">
        <v>1</v>
      </c>
      <c r="N1187" s="6">
        <v>0.42</v>
      </c>
      <c r="O1187" s="6" t="s">
        <v>24</v>
      </c>
      <c r="P1187" s="6" t="b">
        <v>0</v>
      </c>
      <c r="Q1187" s="9" t="s">
        <v>25</v>
      </c>
    </row>
    <row r="1188" spans="1:17" x14ac:dyDescent="0.25">
      <c r="A1188" s="5" t="s">
        <v>1238</v>
      </c>
      <c r="B1188" s="6" t="s">
        <v>46</v>
      </c>
      <c r="C1188" s="6" t="s">
        <v>33</v>
      </c>
      <c r="D1188" s="6" t="s">
        <v>34</v>
      </c>
      <c r="E1188" s="6" t="s">
        <v>21</v>
      </c>
      <c r="F1188" s="6" t="s">
        <v>29</v>
      </c>
      <c r="G1188" s="6">
        <v>50</v>
      </c>
      <c r="H1188" s="7">
        <v>1285.6099999999999</v>
      </c>
      <c r="I1188" s="7">
        <v>64280.5</v>
      </c>
      <c r="J1188" s="8">
        <v>45390</v>
      </c>
      <c r="K1188" s="6">
        <v>42</v>
      </c>
      <c r="L1188" s="6" t="s">
        <v>49</v>
      </c>
      <c r="M1188" s="6" t="b">
        <v>1</v>
      </c>
      <c r="N1188" s="6">
        <v>27.18</v>
      </c>
      <c r="O1188" s="6" t="s">
        <v>42</v>
      </c>
      <c r="P1188" s="6" t="b">
        <v>1</v>
      </c>
      <c r="Q1188" s="9" t="s">
        <v>36</v>
      </c>
    </row>
    <row r="1189" spans="1:17" x14ac:dyDescent="0.25">
      <c r="A1189" s="5" t="s">
        <v>1239</v>
      </c>
      <c r="B1189" s="6" t="s">
        <v>66</v>
      </c>
      <c r="C1189" s="6" t="s">
        <v>19</v>
      </c>
      <c r="D1189" s="6" t="s">
        <v>47</v>
      </c>
      <c r="E1189" s="6" t="s">
        <v>21</v>
      </c>
      <c r="F1189" s="6" t="s">
        <v>48</v>
      </c>
      <c r="G1189" s="6">
        <v>68</v>
      </c>
      <c r="H1189" s="7">
        <v>860.82</v>
      </c>
      <c r="I1189" s="7">
        <v>58535.76</v>
      </c>
      <c r="J1189" s="8">
        <v>45375</v>
      </c>
      <c r="K1189" s="6">
        <v>28</v>
      </c>
      <c r="L1189" s="6" t="s">
        <v>23</v>
      </c>
      <c r="M1189" s="6" t="b">
        <v>0</v>
      </c>
      <c r="N1189" s="6">
        <v>6.8</v>
      </c>
      <c r="O1189" s="6" t="s">
        <v>56</v>
      </c>
      <c r="P1189" s="6" t="b">
        <v>1</v>
      </c>
      <c r="Q1189" s="9" t="s">
        <v>36</v>
      </c>
    </row>
    <row r="1190" spans="1:17" x14ac:dyDescent="0.25">
      <c r="A1190" s="5" t="s">
        <v>1240</v>
      </c>
      <c r="B1190" s="6" t="s">
        <v>18</v>
      </c>
      <c r="C1190" s="6" t="s">
        <v>19</v>
      </c>
      <c r="D1190" s="6" t="s">
        <v>52</v>
      </c>
      <c r="E1190" s="6" t="s">
        <v>44</v>
      </c>
      <c r="F1190" s="6" t="s">
        <v>40</v>
      </c>
      <c r="G1190" s="6">
        <v>81</v>
      </c>
      <c r="H1190" s="7">
        <v>821.59</v>
      </c>
      <c r="I1190" s="7">
        <v>66548.789999999994</v>
      </c>
      <c r="J1190" s="8">
        <v>45363</v>
      </c>
      <c r="K1190" s="6">
        <v>27</v>
      </c>
      <c r="L1190" s="6" t="s">
        <v>49</v>
      </c>
      <c r="M1190" s="6" t="b">
        <v>1</v>
      </c>
      <c r="N1190" s="6">
        <v>21.18</v>
      </c>
      <c r="O1190" s="6" t="s">
        <v>42</v>
      </c>
      <c r="P1190" s="6" t="b">
        <v>0</v>
      </c>
      <c r="Q1190" s="9" t="s">
        <v>25</v>
      </c>
    </row>
    <row r="1191" spans="1:17" x14ac:dyDescent="0.25">
      <c r="A1191" s="5" t="s">
        <v>1241</v>
      </c>
      <c r="B1191" s="6" t="s">
        <v>38</v>
      </c>
      <c r="C1191" s="6" t="s">
        <v>39</v>
      </c>
      <c r="D1191" s="6" t="s">
        <v>47</v>
      </c>
      <c r="E1191" s="6" t="s">
        <v>35</v>
      </c>
      <c r="F1191" s="6" t="s">
        <v>40</v>
      </c>
      <c r="G1191" s="6">
        <v>50</v>
      </c>
      <c r="H1191" s="7">
        <v>633.35</v>
      </c>
      <c r="I1191" s="7">
        <v>31667.5</v>
      </c>
      <c r="J1191" s="8">
        <v>45457</v>
      </c>
      <c r="K1191" s="6">
        <v>34</v>
      </c>
      <c r="L1191" s="6" t="s">
        <v>41</v>
      </c>
      <c r="M1191" s="6" t="b">
        <v>1</v>
      </c>
      <c r="N1191" s="6">
        <v>16.59</v>
      </c>
      <c r="O1191" s="6" t="s">
        <v>30</v>
      </c>
      <c r="P1191" s="6" t="b">
        <v>0</v>
      </c>
      <c r="Q1191" s="9" t="s">
        <v>25</v>
      </c>
    </row>
    <row r="1192" spans="1:17" x14ac:dyDescent="0.25">
      <c r="A1192" s="5" t="s">
        <v>1242</v>
      </c>
      <c r="B1192" s="6" t="s">
        <v>62</v>
      </c>
      <c r="C1192" s="6" t="s">
        <v>39</v>
      </c>
      <c r="D1192" s="6" t="s">
        <v>64</v>
      </c>
      <c r="E1192" s="6" t="s">
        <v>44</v>
      </c>
      <c r="F1192" s="6" t="s">
        <v>40</v>
      </c>
      <c r="G1192" s="6">
        <v>37</v>
      </c>
      <c r="H1192" s="7">
        <v>284.32</v>
      </c>
      <c r="I1192" s="7">
        <v>10519.84</v>
      </c>
      <c r="J1192" s="8">
        <v>45491</v>
      </c>
      <c r="K1192" s="6">
        <v>53</v>
      </c>
      <c r="L1192" s="6" t="s">
        <v>49</v>
      </c>
      <c r="M1192" s="6" t="b">
        <v>1</v>
      </c>
      <c r="N1192" s="6">
        <v>16.100000000000001</v>
      </c>
      <c r="O1192" s="6" t="s">
        <v>56</v>
      </c>
      <c r="P1192" s="6" t="b">
        <v>1</v>
      </c>
      <c r="Q1192" s="9" t="s">
        <v>25</v>
      </c>
    </row>
    <row r="1193" spans="1:17" x14ac:dyDescent="0.25">
      <c r="A1193" s="5" t="s">
        <v>1243</v>
      </c>
      <c r="B1193" s="6" t="s">
        <v>66</v>
      </c>
      <c r="C1193" s="6" t="s">
        <v>39</v>
      </c>
      <c r="D1193" s="6" t="s">
        <v>47</v>
      </c>
      <c r="E1193" s="6" t="s">
        <v>21</v>
      </c>
      <c r="F1193" s="6" t="s">
        <v>22</v>
      </c>
      <c r="G1193" s="6">
        <v>46</v>
      </c>
      <c r="H1193" s="7">
        <v>221.61</v>
      </c>
      <c r="I1193" s="7">
        <v>10194.06</v>
      </c>
      <c r="J1193" s="8">
        <v>45523</v>
      </c>
      <c r="K1193" s="6">
        <v>43</v>
      </c>
      <c r="L1193" s="6" t="s">
        <v>41</v>
      </c>
      <c r="M1193" s="6" t="b">
        <v>0</v>
      </c>
      <c r="N1193" s="6">
        <v>21.54</v>
      </c>
      <c r="O1193" s="6" t="s">
        <v>42</v>
      </c>
      <c r="P1193" s="6" t="b">
        <v>1</v>
      </c>
      <c r="Q1193" s="9" t="s">
        <v>25</v>
      </c>
    </row>
    <row r="1194" spans="1:17" x14ac:dyDescent="0.25">
      <c r="A1194" s="5" t="s">
        <v>1244</v>
      </c>
      <c r="B1194" s="6" t="s">
        <v>38</v>
      </c>
      <c r="C1194" s="6" t="s">
        <v>39</v>
      </c>
      <c r="D1194" s="6" t="s">
        <v>20</v>
      </c>
      <c r="E1194" s="6" t="s">
        <v>28</v>
      </c>
      <c r="F1194" s="6" t="s">
        <v>48</v>
      </c>
      <c r="G1194" s="6">
        <v>42</v>
      </c>
      <c r="H1194" s="7">
        <v>1152.99</v>
      </c>
      <c r="I1194" s="7">
        <v>48425.58</v>
      </c>
      <c r="J1194" s="8">
        <v>45199</v>
      </c>
      <c r="K1194" s="6">
        <v>48</v>
      </c>
      <c r="L1194" s="6" t="s">
        <v>23</v>
      </c>
      <c r="M1194" s="6" t="b">
        <v>0</v>
      </c>
      <c r="N1194" s="6">
        <v>6.22</v>
      </c>
      <c r="O1194" s="6" t="s">
        <v>42</v>
      </c>
      <c r="P1194" s="6" t="b">
        <v>1</v>
      </c>
      <c r="Q1194" s="9" t="s">
        <v>25</v>
      </c>
    </row>
    <row r="1195" spans="1:17" x14ac:dyDescent="0.25">
      <c r="A1195" s="5" t="s">
        <v>1245</v>
      </c>
      <c r="B1195" s="6" t="s">
        <v>46</v>
      </c>
      <c r="C1195" s="6" t="s">
        <v>39</v>
      </c>
      <c r="D1195" s="6" t="s">
        <v>34</v>
      </c>
      <c r="E1195" s="6" t="s">
        <v>21</v>
      </c>
      <c r="F1195" s="6" t="s">
        <v>29</v>
      </c>
      <c r="G1195" s="6">
        <v>15</v>
      </c>
      <c r="H1195" s="7">
        <v>1394.88</v>
      </c>
      <c r="I1195" s="7">
        <v>20923.2</v>
      </c>
      <c r="J1195" s="8">
        <v>45356</v>
      </c>
      <c r="K1195" s="6">
        <v>49</v>
      </c>
      <c r="L1195" s="6" t="s">
        <v>49</v>
      </c>
      <c r="M1195" s="6" t="b">
        <v>1</v>
      </c>
      <c r="N1195" s="6">
        <v>4.7699999999999996</v>
      </c>
      <c r="O1195" s="6" t="s">
        <v>42</v>
      </c>
      <c r="P1195" s="6" t="b">
        <v>1</v>
      </c>
      <c r="Q1195" s="9" t="s">
        <v>36</v>
      </c>
    </row>
    <row r="1196" spans="1:17" x14ac:dyDescent="0.25">
      <c r="A1196" s="5" t="s">
        <v>1246</v>
      </c>
      <c r="B1196" s="6" t="s">
        <v>27</v>
      </c>
      <c r="C1196" s="6" t="s">
        <v>19</v>
      </c>
      <c r="D1196" s="6" t="s">
        <v>34</v>
      </c>
      <c r="E1196" s="6" t="s">
        <v>35</v>
      </c>
      <c r="F1196" s="6" t="s">
        <v>22</v>
      </c>
      <c r="G1196" s="6">
        <v>33</v>
      </c>
      <c r="H1196" s="7">
        <v>714.51</v>
      </c>
      <c r="I1196" s="7">
        <v>23578.83</v>
      </c>
      <c r="J1196" s="8">
        <v>45139</v>
      </c>
      <c r="K1196" s="6">
        <v>38</v>
      </c>
      <c r="L1196" s="6" t="s">
        <v>41</v>
      </c>
      <c r="M1196" s="6" t="b">
        <v>0</v>
      </c>
      <c r="N1196" s="6">
        <v>19.559999999999999</v>
      </c>
      <c r="O1196" s="6" t="s">
        <v>24</v>
      </c>
      <c r="P1196" s="6" t="b">
        <v>1</v>
      </c>
      <c r="Q1196" s="9" t="s">
        <v>36</v>
      </c>
    </row>
    <row r="1197" spans="1:17" x14ac:dyDescent="0.25">
      <c r="A1197" s="5" t="s">
        <v>1247</v>
      </c>
      <c r="B1197" s="6" t="s">
        <v>76</v>
      </c>
      <c r="C1197" s="6" t="s">
        <v>39</v>
      </c>
      <c r="D1197" s="6" t="s">
        <v>20</v>
      </c>
      <c r="E1197" s="6" t="s">
        <v>44</v>
      </c>
      <c r="F1197" s="6" t="s">
        <v>22</v>
      </c>
      <c r="G1197" s="6">
        <v>80</v>
      </c>
      <c r="H1197" s="7">
        <v>1006.2</v>
      </c>
      <c r="I1197" s="7">
        <v>80496</v>
      </c>
      <c r="J1197" s="8">
        <v>45030</v>
      </c>
      <c r="K1197" s="6">
        <v>35</v>
      </c>
      <c r="L1197" s="6" t="s">
        <v>23</v>
      </c>
      <c r="M1197" s="6" t="b">
        <v>1</v>
      </c>
      <c r="N1197" s="6">
        <v>8.7200000000000006</v>
      </c>
      <c r="O1197" s="6" t="s">
        <v>56</v>
      </c>
      <c r="P1197" s="6" t="b">
        <v>0</v>
      </c>
      <c r="Q1197" s="9" t="s">
        <v>25</v>
      </c>
    </row>
    <row r="1198" spans="1:17" x14ac:dyDescent="0.25">
      <c r="A1198" s="5" t="s">
        <v>1248</v>
      </c>
      <c r="B1198" s="6" t="s">
        <v>62</v>
      </c>
      <c r="C1198" s="6" t="s">
        <v>33</v>
      </c>
      <c r="D1198" s="6" t="s">
        <v>64</v>
      </c>
      <c r="E1198" s="6" t="s">
        <v>44</v>
      </c>
      <c r="F1198" s="6" t="s">
        <v>22</v>
      </c>
      <c r="G1198" s="6">
        <v>11</v>
      </c>
      <c r="H1198" s="7">
        <v>1375.96</v>
      </c>
      <c r="I1198" s="7">
        <v>15135.56</v>
      </c>
      <c r="J1198" s="8">
        <v>45118</v>
      </c>
      <c r="K1198" s="6">
        <v>35</v>
      </c>
      <c r="L1198" s="6" t="s">
        <v>23</v>
      </c>
      <c r="M1198" s="6" t="b">
        <v>1</v>
      </c>
      <c r="N1198" s="6">
        <v>29.22</v>
      </c>
      <c r="O1198" s="6" t="s">
        <v>56</v>
      </c>
      <c r="P1198" s="6" t="b">
        <v>0</v>
      </c>
      <c r="Q1198" s="9" t="s">
        <v>25</v>
      </c>
    </row>
    <row r="1199" spans="1:17" x14ac:dyDescent="0.25">
      <c r="A1199" s="5" t="s">
        <v>1249</v>
      </c>
      <c r="B1199" s="6" t="s">
        <v>66</v>
      </c>
      <c r="C1199" s="6" t="s">
        <v>33</v>
      </c>
      <c r="D1199" s="6" t="s">
        <v>20</v>
      </c>
      <c r="E1199" s="6" t="s">
        <v>28</v>
      </c>
      <c r="F1199" s="6" t="s">
        <v>22</v>
      </c>
      <c r="G1199" s="6">
        <v>20</v>
      </c>
      <c r="H1199" s="7">
        <v>180.66</v>
      </c>
      <c r="I1199" s="7">
        <v>3613.2</v>
      </c>
      <c r="J1199" s="8">
        <v>45585</v>
      </c>
      <c r="K1199" s="6">
        <v>18</v>
      </c>
      <c r="L1199" s="6" t="s">
        <v>23</v>
      </c>
      <c r="M1199" s="6" t="b">
        <v>1</v>
      </c>
      <c r="N1199" s="6">
        <v>13.55</v>
      </c>
      <c r="O1199" s="6" t="s">
        <v>42</v>
      </c>
      <c r="P1199" s="6" t="b">
        <v>1</v>
      </c>
      <c r="Q1199" s="9" t="s">
        <v>36</v>
      </c>
    </row>
    <row r="1200" spans="1:17" x14ac:dyDescent="0.25">
      <c r="A1200" s="5" t="s">
        <v>1250</v>
      </c>
      <c r="B1200" s="6" t="s">
        <v>72</v>
      </c>
      <c r="C1200" s="6" t="s">
        <v>19</v>
      </c>
      <c r="D1200" s="6" t="s">
        <v>47</v>
      </c>
      <c r="E1200" s="6" t="s">
        <v>44</v>
      </c>
      <c r="F1200" s="6" t="s">
        <v>48</v>
      </c>
      <c r="G1200" s="6">
        <v>24</v>
      </c>
      <c r="H1200" s="7">
        <v>1167.2</v>
      </c>
      <c r="I1200" s="7">
        <v>28012.799999999999</v>
      </c>
      <c r="J1200" s="8">
        <v>45306</v>
      </c>
      <c r="K1200" s="6">
        <v>31</v>
      </c>
      <c r="L1200" s="6" t="s">
        <v>23</v>
      </c>
      <c r="M1200" s="6" t="b">
        <v>1</v>
      </c>
      <c r="N1200" s="6">
        <v>3.35</v>
      </c>
      <c r="O1200" s="6" t="s">
        <v>56</v>
      </c>
      <c r="P1200" s="6" t="b">
        <v>0</v>
      </c>
      <c r="Q1200" s="9" t="s">
        <v>25</v>
      </c>
    </row>
    <row r="1201" spans="1:17" x14ac:dyDescent="0.25">
      <c r="A1201" s="5" t="s">
        <v>1251</v>
      </c>
      <c r="B1201" s="6" t="s">
        <v>38</v>
      </c>
      <c r="C1201" s="6" t="s">
        <v>33</v>
      </c>
      <c r="D1201" s="6" t="s">
        <v>20</v>
      </c>
      <c r="E1201" s="6" t="s">
        <v>44</v>
      </c>
      <c r="F1201" s="6" t="s">
        <v>40</v>
      </c>
      <c r="G1201" s="6">
        <v>64</v>
      </c>
      <c r="H1201" s="7">
        <v>944.38</v>
      </c>
      <c r="I1201" s="7">
        <v>60440.32</v>
      </c>
      <c r="J1201" s="8">
        <v>45007</v>
      </c>
      <c r="K1201" s="6">
        <v>25</v>
      </c>
      <c r="L1201" s="6" t="s">
        <v>49</v>
      </c>
      <c r="M1201" s="6" t="b">
        <v>0</v>
      </c>
      <c r="N1201" s="6">
        <v>20.57</v>
      </c>
      <c r="O1201" s="6" t="s">
        <v>30</v>
      </c>
      <c r="P1201" s="6" t="b">
        <v>0</v>
      </c>
      <c r="Q1201" s="9" t="s">
        <v>36</v>
      </c>
    </row>
    <row r="1202" spans="1:17" x14ac:dyDescent="0.25">
      <c r="A1202" s="5" t="s">
        <v>1252</v>
      </c>
      <c r="B1202" s="6" t="s">
        <v>76</v>
      </c>
      <c r="C1202" s="6" t="s">
        <v>19</v>
      </c>
      <c r="D1202" s="6" t="s">
        <v>20</v>
      </c>
      <c r="E1202" s="6" t="s">
        <v>21</v>
      </c>
      <c r="F1202" s="6" t="s">
        <v>29</v>
      </c>
      <c r="G1202" s="6">
        <v>80</v>
      </c>
      <c r="H1202" s="7">
        <v>918.02</v>
      </c>
      <c r="I1202" s="7">
        <v>73441.600000000006</v>
      </c>
      <c r="J1202" s="8">
        <v>45475</v>
      </c>
      <c r="K1202" s="6">
        <v>19</v>
      </c>
      <c r="L1202" s="6" t="s">
        <v>41</v>
      </c>
      <c r="M1202" s="6" t="b">
        <v>1</v>
      </c>
      <c r="N1202" s="6">
        <v>9.18</v>
      </c>
      <c r="O1202" s="6" t="s">
        <v>30</v>
      </c>
      <c r="P1202" s="6" t="b">
        <v>1</v>
      </c>
      <c r="Q1202" s="9" t="s">
        <v>36</v>
      </c>
    </row>
    <row r="1203" spans="1:17" x14ac:dyDescent="0.25">
      <c r="A1203" s="5" t="s">
        <v>1253</v>
      </c>
      <c r="B1203" s="6" t="s">
        <v>62</v>
      </c>
      <c r="C1203" s="6" t="s">
        <v>19</v>
      </c>
      <c r="D1203" s="6" t="s">
        <v>64</v>
      </c>
      <c r="E1203" s="6" t="s">
        <v>44</v>
      </c>
      <c r="F1203" s="6" t="s">
        <v>29</v>
      </c>
      <c r="G1203" s="6">
        <v>94</v>
      </c>
      <c r="H1203" s="7">
        <v>474.18</v>
      </c>
      <c r="I1203" s="7">
        <v>44572.92</v>
      </c>
      <c r="J1203" s="8">
        <v>45303</v>
      </c>
      <c r="K1203" s="6">
        <v>68</v>
      </c>
      <c r="L1203" s="6" t="s">
        <v>49</v>
      </c>
      <c r="M1203" s="6" t="b">
        <v>1</v>
      </c>
      <c r="N1203" s="6">
        <v>4.46</v>
      </c>
      <c r="O1203" s="6" t="s">
        <v>42</v>
      </c>
      <c r="P1203" s="6" t="b">
        <v>0</v>
      </c>
      <c r="Q1203" s="9" t="s">
        <v>25</v>
      </c>
    </row>
    <row r="1204" spans="1:17" x14ac:dyDescent="0.25">
      <c r="A1204" s="5" t="s">
        <v>1254</v>
      </c>
      <c r="B1204" s="6" t="s">
        <v>46</v>
      </c>
      <c r="C1204" s="6" t="s">
        <v>33</v>
      </c>
      <c r="D1204" s="6" t="s">
        <v>47</v>
      </c>
      <c r="E1204" s="6" t="s">
        <v>44</v>
      </c>
      <c r="F1204" s="6" t="s">
        <v>22</v>
      </c>
      <c r="G1204" s="6">
        <v>98</v>
      </c>
      <c r="H1204" s="7">
        <v>1041.6500000000001</v>
      </c>
      <c r="I1204" s="7">
        <v>102081.7</v>
      </c>
      <c r="J1204" s="8">
        <v>45080</v>
      </c>
      <c r="K1204" s="6">
        <v>32</v>
      </c>
      <c r="L1204" s="6" t="s">
        <v>41</v>
      </c>
      <c r="M1204" s="6" t="b">
        <v>0</v>
      </c>
      <c r="N1204" s="6">
        <v>12.68</v>
      </c>
      <c r="O1204" s="6" t="s">
        <v>30</v>
      </c>
      <c r="P1204" s="6" t="b">
        <v>1</v>
      </c>
      <c r="Q1204" s="9" t="s">
        <v>36</v>
      </c>
    </row>
    <row r="1205" spans="1:17" x14ac:dyDescent="0.25">
      <c r="A1205" s="5" t="s">
        <v>1255</v>
      </c>
      <c r="B1205" s="6" t="s">
        <v>18</v>
      </c>
      <c r="C1205" s="6" t="s">
        <v>39</v>
      </c>
      <c r="D1205" s="6" t="s">
        <v>52</v>
      </c>
      <c r="E1205" s="6" t="s">
        <v>44</v>
      </c>
      <c r="F1205" s="6" t="s">
        <v>22</v>
      </c>
      <c r="G1205" s="6">
        <v>65</v>
      </c>
      <c r="H1205" s="7">
        <v>1202.46</v>
      </c>
      <c r="I1205" s="7">
        <v>78159.899999999994</v>
      </c>
      <c r="J1205" s="8">
        <v>45568</v>
      </c>
      <c r="K1205" s="6">
        <v>51</v>
      </c>
      <c r="L1205" s="6" t="s">
        <v>23</v>
      </c>
      <c r="M1205" s="6" t="b">
        <v>1</v>
      </c>
      <c r="N1205" s="6">
        <v>28.93</v>
      </c>
      <c r="O1205" s="6" t="s">
        <v>42</v>
      </c>
      <c r="P1205" s="6" t="b">
        <v>0</v>
      </c>
      <c r="Q1205" s="9" t="s">
        <v>36</v>
      </c>
    </row>
    <row r="1206" spans="1:17" x14ac:dyDescent="0.25">
      <c r="A1206" s="5" t="s">
        <v>1256</v>
      </c>
      <c r="B1206" s="6" t="s">
        <v>38</v>
      </c>
      <c r="C1206" s="6" t="s">
        <v>33</v>
      </c>
      <c r="D1206" s="6" t="s">
        <v>52</v>
      </c>
      <c r="E1206" s="6" t="s">
        <v>28</v>
      </c>
      <c r="F1206" s="6" t="s">
        <v>48</v>
      </c>
      <c r="G1206" s="6">
        <v>88</v>
      </c>
      <c r="H1206" s="7">
        <v>213.64</v>
      </c>
      <c r="I1206" s="7">
        <v>18800.32</v>
      </c>
      <c r="J1206" s="8">
        <v>45497</v>
      </c>
      <c r="K1206" s="6">
        <v>53</v>
      </c>
      <c r="L1206" s="6" t="s">
        <v>49</v>
      </c>
      <c r="M1206" s="6" t="b">
        <v>0</v>
      </c>
      <c r="N1206" s="6">
        <v>12.34</v>
      </c>
      <c r="O1206" s="6" t="s">
        <v>30</v>
      </c>
      <c r="P1206" s="6" t="b">
        <v>0</v>
      </c>
      <c r="Q1206" s="9" t="s">
        <v>36</v>
      </c>
    </row>
    <row r="1207" spans="1:17" x14ac:dyDescent="0.25">
      <c r="A1207" s="5" t="s">
        <v>1257</v>
      </c>
      <c r="B1207" s="6" t="s">
        <v>46</v>
      </c>
      <c r="C1207" s="6" t="s">
        <v>33</v>
      </c>
      <c r="D1207" s="6" t="s">
        <v>34</v>
      </c>
      <c r="E1207" s="6" t="s">
        <v>28</v>
      </c>
      <c r="F1207" s="6" t="s">
        <v>22</v>
      </c>
      <c r="G1207" s="6">
        <v>88</v>
      </c>
      <c r="H1207" s="7">
        <v>823.61</v>
      </c>
      <c r="I1207" s="7">
        <v>72477.679999999993</v>
      </c>
      <c r="J1207" s="8">
        <v>45166</v>
      </c>
      <c r="K1207" s="6">
        <v>18</v>
      </c>
      <c r="L1207" s="6" t="s">
        <v>23</v>
      </c>
      <c r="M1207" s="6" t="b">
        <v>1</v>
      </c>
      <c r="N1207" s="6">
        <v>10.42</v>
      </c>
      <c r="O1207" s="6" t="s">
        <v>42</v>
      </c>
      <c r="P1207" s="6" t="b">
        <v>0</v>
      </c>
      <c r="Q1207" s="9" t="s">
        <v>36</v>
      </c>
    </row>
    <row r="1208" spans="1:17" x14ac:dyDescent="0.25">
      <c r="A1208" s="5" t="s">
        <v>1258</v>
      </c>
      <c r="B1208" s="6" t="s">
        <v>62</v>
      </c>
      <c r="C1208" s="6" t="s">
        <v>19</v>
      </c>
      <c r="D1208" s="6" t="s">
        <v>20</v>
      </c>
      <c r="E1208" s="6" t="s">
        <v>21</v>
      </c>
      <c r="F1208" s="6" t="s">
        <v>29</v>
      </c>
      <c r="G1208" s="6">
        <v>73</v>
      </c>
      <c r="H1208" s="7">
        <v>196.83</v>
      </c>
      <c r="I1208" s="7">
        <v>14368.59</v>
      </c>
      <c r="J1208" s="8">
        <v>45300</v>
      </c>
      <c r="K1208" s="6">
        <v>68</v>
      </c>
      <c r="L1208" s="6" t="s">
        <v>41</v>
      </c>
      <c r="M1208" s="6" t="b">
        <v>1</v>
      </c>
      <c r="N1208" s="6">
        <v>13.34</v>
      </c>
      <c r="O1208" s="6" t="s">
        <v>42</v>
      </c>
      <c r="P1208" s="6" t="b">
        <v>0</v>
      </c>
      <c r="Q1208" s="9" t="s">
        <v>25</v>
      </c>
    </row>
    <row r="1209" spans="1:17" x14ac:dyDescent="0.25">
      <c r="A1209" s="5" t="s">
        <v>1259</v>
      </c>
      <c r="B1209" s="6" t="s">
        <v>38</v>
      </c>
      <c r="C1209" s="6" t="s">
        <v>33</v>
      </c>
      <c r="D1209" s="6" t="s">
        <v>34</v>
      </c>
      <c r="E1209" s="6" t="s">
        <v>44</v>
      </c>
      <c r="F1209" s="6" t="s">
        <v>29</v>
      </c>
      <c r="G1209" s="6">
        <v>86</v>
      </c>
      <c r="H1209" s="7">
        <v>1315.23</v>
      </c>
      <c r="I1209" s="7">
        <v>113109.78</v>
      </c>
      <c r="J1209" s="8">
        <v>45130</v>
      </c>
      <c r="K1209" s="6">
        <v>38</v>
      </c>
      <c r="L1209" s="6" t="s">
        <v>23</v>
      </c>
      <c r="M1209" s="6" t="b">
        <v>1</v>
      </c>
      <c r="N1209" s="6">
        <v>0.36</v>
      </c>
      <c r="O1209" s="6" t="s">
        <v>56</v>
      </c>
      <c r="P1209" s="6" t="b">
        <v>0</v>
      </c>
      <c r="Q1209" s="9" t="s">
        <v>25</v>
      </c>
    </row>
    <row r="1210" spans="1:17" x14ac:dyDescent="0.25">
      <c r="A1210" s="5" t="s">
        <v>1260</v>
      </c>
      <c r="B1210" s="6" t="s">
        <v>76</v>
      </c>
      <c r="C1210" s="6" t="s">
        <v>19</v>
      </c>
      <c r="D1210" s="6" t="s">
        <v>64</v>
      </c>
      <c r="E1210" s="6" t="s">
        <v>28</v>
      </c>
      <c r="F1210" s="6" t="s">
        <v>40</v>
      </c>
      <c r="G1210" s="6">
        <v>76</v>
      </c>
      <c r="H1210" s="7">
        <v>786.07</v>
      </c>
      <c r="I1210" s="7">
        <v>59741.32</v>
      </c>
      <c r="J1210" s="8">
        <v>45537</v>
      </c>
      <c r="K1210" s="6">
        <v>59</v>
      </c>
      <c r="L1210" s="6" t="s">
        <v>49</v>
      </c>
      <c r="M1210" s="6" t="b">
        <v>1</v>
      </c>
      <c r="N1210" s="6">
        <v>3.99</v>
      </c>
      <c r="O1210" s="6" t="s">
        <v>56</v>
      </c>
      <c r="P1210" s="6" t="b">
        <v>1</v>
      </c>
      <c r="Q1210" s="9" t="s">
        <v>25</v>
      </c>
    </row>
    <row r="1211" spans="1:17" x14ac:dyDescent="0.25">
      <c r="A1211" s="5" t="s">
        <v>1261</v>
      </c>
      <c r="B1211" s="6" t="s">
        <v>62</v>
      </c>
      <c r="C1211" s="6" t="s">
        <v>39</v>
      </c>
      <c r="D1211" s="6" t="s">
        <v>52</v>
      </c>
      <c r="E1211" s="6" t="s">
        <v>28</v>
      </c>
      <c r="F1211" s="6" t="s">
        <v>40</v>
      </c>
      <c r="G1211" s="6">
        <v>17</v>
      </c>
      <c r="H1211" s="7">
        <v>1221.55</v>
      </c>
      <c r="I1211" s="7">
        <v>20766.349999999999</v>
      </c>
      <c r="J1211" s="8">
        <v>45276</v>
      </c>
      <c r="K1211" s="6">
        <v>18</v>
      </c>
      <c r="L1211" s="6" t="s">
        <v>49</v>
      </c>
      <c r="M1211" s="6" t="b">
        <v>0</v>
      </c>
      <c r="N1211" s="6">
        <v>25.49</v>
      </c>
      <c r="O1211" s="6" t="s">
        <v>42</v>
      </c>
      <c r="P1211" s="6" t="b">
        <v>0</v>
      </c>
      <c r="Q1211" s="9" t="s">
        <v>25</v>
      </c>
    </row>
    <row r="1212" spans="1:17" x14ac:dyDescent="0.25">
      <c r="A1212" s="5" t="s">
        <v>1262</v>
      </c>
      <c r="B1212" s="6" t="s">
        <v>32</v>
      </c>
      <c r="C1212" s="6" t="s">
        <v>39</v>
      </c>
      <c r="D1212" s="6" t="s">
        <v>20</v>
      </c>
      <c r="E1212" s="6" t="s">
        <v>21</v>
      </c>
      <c r="F1212" s="6" t="s">
        <v>29</v>
      </c>
      <c r="G1212" s="6">
        <v>89</v>
      </c>
      <c r="H1212" s="7">
        <v>583.72</v>
      </c>
      <c r="I1212" s="7">
        <v>51951.08</v>
      </c>
      <c r="J1212" s="8">
        <v>45069</v>
      </c>
      <c r="K1212" s="6">
        <v>49</v>
      </c>
      <c r="L1212" s="6" t="s">
        <v>41</v>
      </c>
      <c r="M1212" s="6" t="b">
        <v>1</v>
      </c>
      <c r="N1212" s="6">
        <v>29.34</v>
      </c>
      <c r="O1212" s="6" t="s">
        <v>56</v>
      </c>
      <c r="P1212" s="6" t="b">
        <v>1</v>
      </c>
      <c r="Q1212" s="9" t="s">
        <v>25</v>
      </c>
    </row>
    <row r="1213" spans="1:17" x14ac:dyDescent="0.25">
      <c r="A1213" s="5" t="s">
        <v>1263</v>
      </c>
      <c r="B1213" s="6" t="s">
        <v>66</v>
      </c>
      <c r="C1213" s="6" t="s">
        <v>39</v>
      </c>
      <c r="D1213" s="6" t="s">
        <v>64</v>
      </c>
      <c r="E1213" s="6" t="s">
        <v>35</v>
      </c>
      <c r="F1213" s="6" t="s">
        <v>29</v>
      </c>
      <c r="G1213" s="6">
        <v>92</v>
      </c>
      <c r="H1213" s="7">
        <v>231.36</v>
      </c>
      <c r="I1213" s="7">
        <v>21285.119999999999</v>
      </c>
      <c r="J1213" s="8">
        <v>45115</v>
      </c>
      <c r="K1213" s="6">
        <v>37</v>
      </c>
      <c r="L1213" s="6" t="s">
        <v>41</v>
      </c>
      <c r="M1213" s="6" t="b">
        <v>0</v>
      </c>
      <c r="N1213" s="6">
        <v>4.74</v>
      </c>
      <c r="O1213" s="6" t="s">
        <v>56</v>
      </c>
      <c r="P1213" s="6" t="b">
        <v>0</v>
      </c>
      <c r="Q1213" s="9" t="s">
        <v>36</v>
      </c>
    </row>
    <row r="1214" spans="1:17" x14ac:dyDescent="0.25">
      <c r="A1214" s="5" t="s">
        <v>1264</v>
      </c>
      <c r="B1214" s="6" t="s">
        <v>76</v>
      </c>
      <c r="C1214" s="6" t="s">
        <v>33</v>
      </c>
      <c r="D1214" s="6" t="s">
        <v>64</v>
      </c>
      <c r="E1214" s="6" t="s">
        <v>44</v>
      </c>
      <c r="F1214" s="6" t="s">
        <v>48</v>
      </c>
      <c r="G1214" s="6">
        <v>61</v>
      </c>
      <c r="H1214" s="7">
        <v>110.17</v>
      </c>
      <c r="I1214" s="7">
        <v>6720.37</v>
      </c>
      <c r="J1214" s="8">
        <v>45198</v>
      </c>
      <c r="K1214" s="6">
        <v>64</v>
      </c>
      <c r="L1214" s="6" t="s">
        <v>49</v>
      </c>
      <c r="M1214" s="6" t="b">
        <v>0</v>
      </c>
      <c r="N1214" s="6">
        <v>16.07</v>
      </c>
      <c r="O1214" s="6" t="s">
        <v>24</v>
      </c>
      <c r="P1214" s="6" t="b">
        <v>0</v>
      </c>
      <c r="Q1214" s="9" t="s">
        <v>36</v>
      </c>
    </row>
    <row r="1215" spans="1:17" x14ac:dyDescent="0.25">
      <c r="A1215" s="5" t="s">
        <v>1265</v>
      </c>
      <c r="B1215" s="6" t="s">
        <v>38</v>
      </c>
      <c r="C1215" s="6" t="s">
        <v>19</v>
      </c>
      <c r="D1215" s="6" t="s">
        <v>20</v>
      </c>
      <c r="E1215" s="6" t="s">
        <v>28</v>
      </c>
      <c r="F1215" s="6" t="s">
        <v>48</v>
      </c>
      <c r="G1215" s="6">
        <v>15</v>
      </c>
      <c r="H1215" s="7">
        <v>458.19</v>
      </c>
      <c r="I1215" s="7">
        <v>6872.85</v>
      </c>
      <c r="J1215" s="8">
        <v>45458</v>
      </c>
      <c r="K1215" s="6">
        <v>53</v>
      </c>
      <c r="L1215" s="6" t="s">
        <v>49</v>
      </c>
      <c r="M1215" s="6" t="b">
        <v>0</v>
      </c>
      <c r="N1215" s="6">
        <v>28.99</v>
      </c>
      <c r="O1215" s="6" t="s">
        <v>30</v>
      </c>
      <c r="P1215" s="6" t="b">
        <v>0</v>
      </c>
      <c r="Q1215" s="9" t="s">
        <v>36</v>
      </c>
    </row>
    <row r="1216" spans="1:17" x14ac:dyDescent="0.25">
      <c r="A1216" s="5" t="s">
        <v>1266</v>
      </c>
      <c r="B1216" s="6" t="s">
        <v>18</v>
      </c>
      <c r="C1216" s="6" t="s">
        <v>39</v>
      </c>
      <c r="D1216" s="6" t="s">
        <v>64</v>
      </c>
      <c r="E1216" s="6" t="s">
        <v>21</v>
      </c>
      <c r="F1216" s="6" t="s">
        <v>29</v>
      </c>
      <c r="G1216" s="6">
        <v>94</v>
      </c>
      <c r="H1216" s="7">
        <v>404.14</v>
      </c>
      <c r="I1216" s="7">
        <v>37989.160000000003</v>
      </c>
      <c r="J1216" s="8">
        <v>45226</v>
      </c>
      <c r="K1216" s="6">
        <v>56</v>
      </c>
      <c r="L1216" s="6" t="s">
        <v>49</v>
      </c>
      <c r="M1216" s="6" t="b">
        <v>1</v>
      </c>
      <c r="N1216" s="6">
        <v>4.7</v>
      </c>
      <c r="O1216" s="6" t="s">
        <v>56</v>
      </c>
      <c r="P1216" s="6" t="b">
        <v>1</v>
      </c>
      <c r="Q1216" s="9" t="s">
        <v>36</v>
      </c>
    </row>
    <row r="1217" spans="1:17" x14ac:dyDescent="0.25">
      <c r="A1217" s="5" t="s">
        <v>1267</v>
      </c>
      <c r="B1217" s="6" t="s">
        <v>46</v>
      </c>
      <c r="C1217" s="6" t="s">
        <v>19</v>
      </c>
      <c r="D1217" s="6" t="s">
        <v>20</v>
      </c>
      <c r="E1217" s="6" t="s">
        <v>21</v>
      </c>
      <c r="F1217" s="6" t="s">
        <v>22</v>
      </c>
      <c r="G1217" s="6">
        <v>51</v>
      </c>
      <c r="H1217" s="7">
        <v>862.51</v>
      </c>
      <c r="I1217" s="7">
        <v>43988.01</v>
      </c>
      <c r="J1217" s="8">
        <v>45352</v>
      </c>
      <c r="K1217" s="6">
        <v>47</v>
      </c>
      <c r="L1217" s="6" t="s">
        <v>49</v>
      </c>
      <c r="M1217" s="6" t="b">
        <v>0</v>
      </c>
      <c r="N1217" s="6">
        <v>5.59</v>
      </c>
      <c r="O1217" s="6" t="s">
        <v>42</v>
      </c>
      <c r="P1217" s="6" t="b">
        <v>0</v>
      </c>
      <c r="Q1217" s="9" t="s">
        <v>25</v>
      </c>
    </row>
    <row r="1218" spans="1:17" x14ac:dyDescent="0.25">
      <c r="A1218" s="5" t="s">
        <v>1268</v>
      </c>
      <c r="B1218" s="6" t="s">
        <v>72</v>
      </c>
      <c r="C1218" s="6" t="s">
        <v>19</v>
      </c>
      <c r="D1218" s="6" t="s">
        <v>20</v>
      </c>
      <c r="E1218" s="6" t="s">
        <v>21</v>
      </c>
      <c r="F1218" s="6" t="s">
        <v>40</v>
      </c>
      <c r="G1218" s="6">
        <v>27</v>
      </c>
      <c r="H1218" s="7">
        <v>81.52</v>
      </c>
      <c r="I1218" s="7">
        <v>2201.04</v>
      </c>
      <c r="J1218" s="8">
        <v>44972</v>
      </c>
      <c r="K1218" s="6">
        <v>24</v>
      </c>
      <c r="L1218" s="6" t="s">
        <v>41</v>
      </c>
      <c r="M1218" s="6" t="b">
        <v>0</v>
      </c>
      <c r="N1218" s="6">
        <v>27.8</v>
      </c>
      <c r="O1218" s="6" t="s">
        <v>24</v>
      </c>
      <c r="P1218" s="6" t="b">
        <v>0</v>
      </c>
      <c r="Q1218" s="9" t="s">
        <v>25</v>
      </c>
    </row>
    <row r="1219" spans="1:17" x14ac:dyDescent="0.25">
      <c r="A1219" s="5" t="s">
        <v>1269</v>
      </c>
      <c r="B1219" s="6" t="s">
        <v>46</v>
      </c>
      <c r="C1219" s="6" t="s">
        <v>39</v>
      </c>
      <c r="D1219" s="6" t="s">
        <v>47</v>
      </c>
      <c r="E1219" s="6" t="s">
        <v>28</v>
      </c>
      <c r="F1219" s="6" t="s">
        <v>29</v>
      </c>
      <c r="G1219" s="6">
        <v>86</v>
      </c>
      <c r="H1219" s="7">
        <v>804.83</v>
      </c>
      <c r="I1219" s="7">
        <v>69215.38</v>
      </c>
      <c r="J1219" s="8">
        <v>45021</v>
      </c>
      <c r="K1219" s="6">
        <v>39</v>
      </c>
      <c r="L1219" s="6" t="s">
        <v>49</v>
      </c>
      <c r="M1219" s="6" t="b">
        <v>0</v>
      </c>
      <c r="N1219" s="6">
        <v>21.17</v>
      </c>
      <c r="O1219" s="6" t="s">
        <v>24</v>
      </c>
      <c r="P1219" s="6" t="b">
        <v>1</v>
      </c>
      <c r="Q1219" s="9" t="s">
        <v>36</v>
      </c>
    </row>
    <row r="1220" spans="1:17" x14ac:dyDescent="0.25">
      <c r="A1220" s="5" t="s">
        <v>1270</v>
      </c>
      <c r="B1220" s="6" t="s">
        <v>38</v>
      </c>
      <c r="C1220" s="6" t="s">
        <v>39</v>
      </c>
      <c r="D1220" s="6" t="s">
        <v>34</v>
      </c>
      <c r="E1220" s="6" t="s">
        <v>44</v>
      </c>
      <c r="F1220" s="6" t="s">
        <v>22</v>
      </c>
      <c r="G1220" s="6">
        <v>74</v>
      </c>
      <c r="H1220" s="7">
        <v>618.07000000000005</v>
      </c>
      <c r="I1220" s="7">
        <v>45737.18</v>
      </c>
      <c r="J1220" s="8">
        <v>44990</v>
      </c>
      <c r="K1220" s="6">
        <v>67</v>
      </c>
      <c r="L1220" s="6" t="s">
        <v>41</v>
      </c>
      <c r="M1220" s="6" t="b">
        <v>1</v>
      </c>
      <c r="N1220" s="6">
        <v>4.5599999999999996</v>
      </c>
      <c r="O1220" s="6" t="s">
        <v>56</v>
      </c>
      <c r="P1220" s="6" t="b">
        <v>1</v>
      </c>
      <c r="Q1220" s="9" t="s">
        <v>25</v>
      </c>
    </row>
    <row r="1221" spans="1:17" x14ac:dyDescent="0.25">
      <c r="A1221" s="5" t="s">
        <v>1271</v>
      </c>
      <c r="B1221" s="6" t="s">
        <v>46</v>
      </c>
      <c r="C1221" s="6" t="s">
        <v>19</v>
      </c>
      <c r="D1221" s="6" t="s">
        <v>64</v>
      </c>
      <c r="E1221" s="6" t="s">
        <v>35</v>
      </c>
      <c r="F1221" s="6" t="s">
        <v>29</v>
      </c>
      <c r="G1221" s="6">
        <v>61</v>
      </c>
      <c r="H1221" s="7">
        <v>886.83</v>
      </c>
      <c r="I1221" s="7">
        <v>54096.63</v>
      </c>
      <c r="J1221" s="8">
        <v>45339</v>
      </c>
      <c r="K1221" s="6">
        <v>62</v>
      </c>
      <c r="L1221" s="6" t="s">
        <v>49</v>
      </c>
      <c r="M1221" s="6" t="b">
        <v>1</v>
      </c>
      <c r="N1221" s="6">
        <v>11.8</v>
      </c>
      <c r="O1221" s="6" t="s">
        <v>42</v>
      </c>
      <c r="P1221" s="6" t="b">
        <v>1</v>
      </c>
      <c r="Q1221" s="9" t="s">
        <v>36</v>
      </c>
    </row>
    <row r="1222" spans="1:17" x14ac:dyDescent="0.25">
      <c r="A1222" s="5" t="s">
        <v>1272</v>
      </c>
      <c r="B1222" s="6" t="s">
        <v>66</v>
      </c>
      <c r="C1222" s="6" t="s">
        <v>39</v>
      </c>
      <c r="D1222" s="6" t="s">
        <v>64</v>
      </c>
      <c r="E1222" s="6" t="s">
        <v>44</v>
      </c>
      <c r="F1222" s="6" t="s">
        <v>40</v>
      </c>
      <c r="G1222" s="6">
        <v>58</v>
      </c>
      <c r="H1222" s="7">
        <v>1068.51</v>
      </c>
      <c r="I1222" s="7">
        <v>61973.58</v>
      </c>
      <c r="J1222" s="8">
        <v>45569</v>
      </c>
      <c r="K1222" s="6">
        <v>27</v>
      </c>
      <c r="L1222" s="6" t="s">
        <v>49</v>
      </c>
      <c r="M1222" s="6" t="b">
        <v>0</v>
      </c>
      <c r="N1222" s="6">
        <v>1.69</v>
      </c>
      <c r="O1222" s="6" t="s">
        <v>42</v>
      </c>
      <c r="P1222" s="6" t="b">
        <v>0</v>
      </c>
      <c r="Q1222" s="9" t="s">
        <v>36</v>
      </c>
    </row>
    <row r="1223" spans="1:17" x14ac:dyDescent="0.25">
      <c r="A1223" s="5" t="s">
        <v>1273</v>
      </c>
      <c r="B1223" s="6" t="s">
        <v>62</v>
      </c>
      <c r="C1223" s="6" t="s">
        <v>19</v>
      </c>
      <c r="D1223" s="6" t="s">
        <v>47</v>
      </c>
      <c r="E1223" s="6" t="s">
        <v>21</v>
      </c>
      <c r="F1223" s="6" t="s">
        <v>40</v>
      </c>
      <c r="G1223" s="6">
        <v>31</v>
      </c>
      <c r="H1223" s="7">
        <v>969.43</v>
      </c>
      <c r="I1223" s="7">
        <v>30052.33</v>
      </c>
      <c r="J1223" s="8">
        <v>44935</v>
      </c>
      <c r="K1223" s="6">
        <v>25</v>
      </c>
      <c r="L1223" s="6" t="s">
        <v>23</v>
      </c>
      <c r="M1223" s="6" t="b">
        <v>0</v>
      </c>
      <c r="N1223" s="6">
        <v>12.98</v>
      </c>
      <c r="O1223" s="6" t="s">
        <v>42</v>
      </c>
      <c r="P1223" s="6" t="b">
        <v>0</v>
      </c>
      <c r="Q1223" s="9" t="s">
        <v>25</v>
      </c>
    </row>
    <row r="1224" spans="1:17" x14ac:dyDescent="0.25">
      <c r="A1224" s="5" t="s">
        <v>1274</v>
      </c>
      <c r="B1224" s="6" t="s">
        <v>72</v>
      </c>
      <c r="C1224" s="6" t="s">
        <v>19</v>
      </c>
      <c r="D1224" s="6" t="s">
        <v>47</v>
      </c>
      <c r="E1224" s="6" t="s">
        <v>21</v>
      </c>
      <c r="F1224" s="6" t="s">
        <v>48</v>
      </c>
      <c r="G1224" s="6">
        <v>91</v>
      </c>
      <c r="H1224" s="7">
        <v>1477.73</v>
      </c>
      <c r="I1224" s="7">
        <v>134473.43</v>
      </c>
      <c r="J1224" s="8">
        <v>45385</v>
      </c>
      <c r="K1224" s="6">
        <v>44</v>
      </c>
      <c r="L1224" s="6" t="s">
        <v>23</v>
      </c>
      <c r="M1224" s="6" t="b">
        <v>1</v>
      </c>
      <c r="N1224" s="6">
        <v>23.34</v>
      </c>
      <c r="O1224" s="6" t="s">
        <v>42</v>
      </c>
      <c r="P1224" s="6" t="b">
        <v>0</v>
      </c>
      <c r="Q1224" s="9" t="s">
        <v>25</v>
      </c>
    </row>
    <row r="1225" spans="1:17" x14ac:dyDescent="0.25">
      <c r="A1225" s="5" t="s">
        <v>1275</v>
      </c>
      <c r="B1225" s="6" t="s">
        <v>51</v>
      </c>
      <c r="C1225" s="6" t="s">
        <v>39</v>
      </c>
      <c r="D1225" s="6" t="s">
        <v>47</v>
      </c>
      <c r="E1225" s="6" t="s">
        <v>35</v>
      </c>
      <c r="F1225" s="6" t="s">
        <v>48</v>
      </c>
      <c r="G1225" s="6">
        <v>12</v>
      </c>
      <c r="H1225" s="7">
        <v>250.48</v>
      </c>
      <c r="I1225" s="7">
        <v>3005.76</v>
      </c>
      <c r="J1225" s="8">
        <v>45335</v>
      </c>
      <c r="K1225" s="6">
        <v>27</v>
      </c>
      <c r="L1225" s="6" t="s">
        <v>49</v>
      </c>
      <c r="M1225" s="6" t="b">
        <v>0</v>
      </c>
      <c r="N1225" s="6">
        <v>16.62</v>
      </c>
      <c r="O1225" s="6" t="s">
        <v>42</v>
      </c>
      <c r="P1225" s="6" t="b">
        <v>0</v>
      </c>
      <c r="Q1225" s="9" t="s">
        <v>25</v>
      </c>
    </row>
    <row r="1226" spans="1:17" x14ac:dyDescent="0.25">
      <c r="A1226" s="5" t="s">
        <v>1276</v>
      </c>
      <c r="B1226" s="6" t="s">
        <v>38</v>
      </c>
      <c r="C1226" s="6" t="s">
        <v>33</v>
      </c>
      <c r="D1226" s="6" t="s">
        <v>52</v>
      </c>
      <c r="E1226" s="6" t="s">
        <v>44</v>
      </c>
      <c r="F1226" s="6" t="s">
        <v>48</v>
      </c>
      <c r="G1226" s="6">
        <v>46</v>
      </c>
      <c r="H1226" s="7">
        <v>673.12</v>
      </c>
      <c r="I1226" s="7">
        <v>30963.52</v>
      </c>
      <c r="J1226" s="8">
        <v>45396</v>
      </c>
      <c r="K1226" s="6">
        <v>31</v>
      </c>
      <c r="L1226" s="6" t="s">
        <v>41</v>
      </c>
      <c r="M1226" s="6" t="b">
        <v>0</v>
      </c>
      <c r="N1226" s="6">
        <v>19.420000000000002</v>
      </c>
      <c r="O1226" s="6" t="s">
        <v>30</v>
      </c>
      <c r="P1226" s="6" t="b">
        <v>1</v>
      </c>
      <c r="Q1226" s="9" t="s">
        <v>36</v>
      </c>
    </row>
    <row r="1227" spans="1:17" x14ac:dyDescent="0.25">
      <c r="A1227" s="5" t="s">
        <v>1277</v>
      </c>
      <c r="B1227" s="6" t="s">
        <v>27</v>
      </c>
      <c r="C1227" s="6" t="s">
        <v>39</v>
      </c>
      <c r="D1227" s="6" t="s">
        <v>52</v>
      </c>
      <c r="E1227" s="6" t="s">
        <v>21</v>
      </c>
      <c r="F1227" s="6" t="s">
        <v>48</v>
      </c>
      <c r="G1227" s="6">
        <v>31</v>
      </c>
      <c r="H1227" s="7">
        <v>666</v>
      </c>
      <c r="I1227" s="7">
        <v>20646</v>
      </c>
      <c r="J1227" s="8">
        <v>45432</v>
      </c>
      <c r="K1227" s="6">
        <v>63</v>
      </c>
      <c r="L1227" s="6" t="s">
        <v>49</v>
      </c>
      <c r="M1227" s="6" t="b">
        <v>0</v>
      </c>
      <c r="N1227" s="6">
        <v>9.8000000000000007</v>
      </c>
      <c r="O1227" s="6" t="s">
        <v>42</v>
      </c>
      <c r="P1227" s="6" t="b">
        <v>1</v>
      </c>
      <c r="Q1227" s="9" t="s">
        <v>25</v>
      </c>
    </row>
    <row r="1228" spans="1:17" x14ac:dyDescent="0.25">
      <c r="A1228" s="5" t="s">
        <v>1278</v>
      </c>
      <c r="B1228" s="6" t="s">
        <v>51</v>
      </c>
      <c r="C1228" s="6" t="s">
        <v>33</v>
      </c>
      <c r="D1228" s="6" t="s">
        <v>52</v>
      </c>
      <c r="E1228" s="6" t="s">
        <v>21</v>
      </c>
      <c r="F1228" s="6" t="s">
        <v>40</v>
      </c>
      <c r="G1228" s="6">
        <v>32</v>
      </c>
      <c r="H1228" s="7">
        <v>654.73</v>
      </c>
      <c r="I1228" s="7">
        <v>20951.36</v>
      </c>
      <c r="J1228" s="8">
        <v>44999</v>
      </c>
      <c r="K1228" s="6">
        <v>69</v>
      </c>
      <c r="L1228" s="6" t="s">
        <v>23</v>
      </c>
      <c r="M1228" s="6" t="b">
        <v>1</v>
      </c>
      <c r="N1228" s="6">
        <v>4.84</v>
      </c>
      <c r="O1228" s="6" t="s">
        <v>42</v>
      </c>
      <c r="P1228" s="6" t="b">
        <v>0</v>
      </c>
      <c r="Q1228" s="9" t="s">
        <v>36</v>
      </c>
    </row>
    <row r="1229" spans="1:17" x14ac:dyDescent="0.25">
      <c r="A1229" s="5" t="s">
        <v>1279</v>
      </c>
      <c r="B1229" s="6" t="s">
        <v>46</v>
      </c>
      <c r="C1229" s="6" t="s">
        <v>19</v>
      </c>
      <c r="D1229" s="6" t="s">
        <v>20</v>
      </c>
      <c r="E1229" s="6" t="s">
        <v>44</v>
      </c>
      <c r="F1229" s="6" t="s">
        <v>22</v>
      </c>
      <c r="G1229" s="6">
        <v>32</v>
      </c>
      <c r="H1229" s="7">
        <v>1012.51</v>
      </c>
      <c r="I1229" s="7">
        <v>32400.32</v>
      </c>
      <c r="J1229" s="8">
        <v>45010</v>
      </c>
      <c r="K1229" s="6">
        <v>28</v>
      </c>
      <c r="L1229" s="6" t="s">
        <v>49</v>
      </c>
      <c r="M1229" s="6" t="b">
        <v>0</v>
      </c>
      <c r="N1229" s="6">
        <v>0.39</v>
      </c>
      <c r="O1229" s="6" t="s">
        <v>30</v>
      </c>
      <c r="P1229" s="6" t="b">
        <v>1</v>
      </c>
      <c r="Q1229" s="9" t="s">
        <v>25</v>
      </c>
    </row>
    <row r="1230" spans="1:17" x14ac:dyDescent="0.25">
      <c r="A1230" s="5" t="s">
        <v>1280</v>
      </c>
      <c r="B1230" s="6" t="s">
        <v>38</v>
      </c>
      <c r="C1230" s="6" t="s">
        <v>19</v>
      </c>
      <c r="D1230" s="6" t="s">
        <v>64</v>
      </c>
      <c r="E1230" s="6" t="s">
        <v>21</v>
      </c>
      <c r="F1230" s="6" t="s">
        <v>22</v>
      </c>
      <c r="G1230" s="6">
        <v>99</v>
      </c>
      <c r="H1230" s="7">
        <v>760.25</v>
      </c>
      <c r="I1230" s="7">
        <v>75264.75</v>
      </c>
      <c r="J1230" s="8">
        <v>44985</v>
      </c>
      <c r="K1230" s="6">
        <v>23</v>
      </c>
      <c r="L1230" s="6" t="s">
        <v>23</v>
      </c>
      <c r="M1230" s="6" t="b">
        <v>0</v>
      </c>
      <c r="N1230" s="6">
        <v>24.64</v>
      </c>
      <c r="O1230" s="6" t="s">
        <v>56</v>
      </c>
      <c r="P1230" s="6" t="b">
        <v>1</v>
      </c>
      <c r="Q1230" s="9" t="s">
        <v>36</v>
      </c>
    </row>
    <row r="1231" spans="1:17" x14ac:dyDescent="0.25">
      <c r="A1231" s="5" t="s">
        <v>1281</v>
      </c>
      <c r="B1231" s="6" t="s">
        <v>32</v>
      </c>
      <c r="C1231" s="6" t="s">
        <v>33</v>
      </c>
      <c r="D1231" s="6" t="s">
        <v>34</v>
      </c>
      <c r="E1231" s="6" t="s">
        <v>44</v>
      </c>
      <c r="F1231" s="6" t="s">
        <v>22</v>
      </c>
      <c r="G1231" s="6">
        <v>53</v>
      </c>
      <c r="H1231" s="7">
        <v>800.28</v>
      </c>
      <c r="I1231" s="7">
        <v>42414.84</v>
      </c>
      <c r="J1231" s="8">
        <v>44947</v>
      </c>
      <c r="K1231" s="6">
        <v>38</v>
      </c>
      <c r="L1231" s="6" t="s">
        <v>49</v>
      </c>
      <c r="M1231" s="6" t="b">
        <v>1</v>
      </c>
      <c r="N1231" s="6">
        <v>19.100000000000001</v>
      </c>
      <c r="O1231" s="6" t="s">
        <v>24</v>
      </c>
      <c r="P1231" s="6" t="b">
        <v>1</v>
      </c>
      <c r="Q1231" s="9" t="s">
        <v>25</v>
      </c>
    </row>
    <row r="1232" spans="1:17" x14ac:dyDescent="0.25">
      <c r="A1232" s="5" t="s">
        <v>1282</v>
      </c>
      <c r="B1232" s="6" t="s">
        <v>27</v>
      </c>
      <c r="C1232" s="6" t="s">
        <v>19</v>
      </c>
      <c r="D1232" s="6" t="s">
        <v>20</v>
      </c>
      <c r="E1232" s="6" t="s">
        <v>21</v>
      </c>
      <c r="F1232" s="6" t="s">
        <v>29</v>
      </c>
      <c r="G1232" s="6">
        <v>61</v>
      </c>
      <c r="H1232" s="7">
        <v>676.92</v>
      </c>
      <c r="I1232" s="7">
        <v>41292.120000000003</v>
      </c>
      <c r="J1232" s="8">
        <v>45384</v>
      </c>
      <c r="K1232" s="6">
        <v>50</v>
      </c>
      <c r="L1232" s="6" t="s">
        <v>49</v>
      </c>
      <c r="M1232" s="6" t="b">
        <v>0</v>
      </c>
      <c r="N1232" s="6">
        <v>6.88</v>
      </c>
      <c r="O1232" s="6" t="s">
        <v>30</v>
      </c>
      <c r="P1232" s="6" t="b">
        <v>0</v>
      </c>
      <c r="Q1232" s="9" t="s">
        <v>36</v>
      </c>
    </row>
    <row r="1233" spans="1:17" x14ac:dyDescent="0.25">
      <c r="A1233" s="5" t="s">
        <v>1283</v>
      </c>
      <c r="B1233" s="6" t="s">
        <v>72</v>
      </c>
      <c r="C1233" s="6" t="s">
        <v>33</v>
      </c>
      <c r="D1233" s="6" t="s">
        <v>64</v>
      </c>
      <c r="E1233" s="6" t="s">
        <v>44</v>
      </c>
      <c r="F1233" s="6" t="s">
        <v>48</v>
      </c>
      <c r="G1233" s="6">
        <v>46</v>
      </c>
      <c r="H1233" s="7">
        <v>1487.96</v>
      </c>
      <c r="I1233" s="7">
        <v>68446.16</v>
      </c>
      <c r="J1233" s="8">
        <v>45083</v>
      </c>
      <c r="K1233" s="6">
        <v>36</v>
      </c>
      <c r="L1233" s="6" t="s">
        <v>41</v>
      </c>
      <c r="M1233" s="6" t="b">
        <v>1</v>
      </c>
      <c r="N1233" s="6">
        <v>12.55</v>
      </c>
      <c r="O1233" s="6" t="s">
        <v>24</v>
      </c>
      <c r="P1233" s="6" t="b">
        <v>1</v>
      </c>
      <c r="Q1233" s="9" t="s">
        <v>36</v>
      </c>
    </row>
    <row r="1234" spans="1:17" x14ac:dyDescent="0.25">
      <c r="A1234" s="5" t="s">
        <v>1284</v>
      </c>
      <c r="B1234" s="6" t="s">
        <v>18</v>
      </c>
      <c r="C1234" s="6" t="s">
        <v>33</v>
      </c>
      <c r="D1234" s="6" t="s">
        <v>64</v>
      </c>
      <c r="E1234" s="6" t="s">
        <v>35</v>
      </c>
      <c r="F1234" s="6" t="s">
        <v>48</v>
      </c>
      <c r="G1234" s="6">
        <v>85</v>
      </c>
      <c r="H1234" s="7">
        <v>1394.96</v>
      </c>
      <c r="I1234" s="7">
        <v>118571.6</v>
      </c>
      <c r="J1234" s="8">
        <v>45255</v>
      </c>
      <c r="K1234" s="6">
        <v>56</v>
      </c>
      <c r="L1234" s="6" t="s">
        <v>23</v>
      </c>
      <c r="M1234" s="6" t="b">
        <v>1</v>
      </c>
      <c r="N1234" s="6">
        <v>24.04</v>
      </c>
      <c r="O1234" s="6" t="s">
        <v>24</v>
      </c>
      <c r="P1234" s="6" t="b">
        <v>0</v>
      </c>
      <c r="Q1234" s="9" t="s">
        <v>25</v>
      </c>
    </row>
    <row r="1235" spans="1:17" x14ac:dyDescent="0.25">
      <c r="A1235" s="5" t="s">
        <v>1285</v>
      </c>
      <c r="B1235" s="6" t="s">
        <v>32</v>
      </c>
      <c r="C1235" s="6" t="s">
        <v>19</v>
      </c>
      <c r="D1235" s="6" t="s">
        <v>47</v>
      </c>
      <c r="E1235" s="6" t="s">
        <v>21</v>
      </c>
      <c r="F1235" s="6" t="s">
        <v>40</v>
      </c>
      <c r="G1235" s="6">
        <v>74</v>
      </c>
      <c r="H1235" s="7">
        <v>496.2</v>
      </c>
      <c r="I1235" s="7">
        <v>36718.800000000003</v>
      </c>
      <c r="J1235" s="8">
        <v>45499</v>
      </c>
      <c r="K1235" s="6">
        <v>41</v>
      </c>
      <c r="L1235" s="6" t="s">
        <v>23</v>
      </c>
      <c r="M1235" s="6" t="b">
        <v>1</v>
      </c>
      <c r="N1235" s="6">
        <v>16.16</v>
      </c>
      <c r="O1235" s="6" t="s">
        <v>30</v>
      </c>
      <c r="P1235" s="6" t="b">
        <v>0</v>
      </c>
      <c r="Q1235" s="9" t="s">
        <v>36</v>
      </c>
    </row>
    <row r="1236" spans="1:17" x14ac:dyDescent="0.25">
      <c r="A1236" s="5" t="s">
        <v>1286</v>
      </c>
      <c r="B1236" s="6" t="s">
        <v>51</v>
      </c>
      <c r="C1236" s="6" t="s">
        <v>33</v>
      </c>
      <c r="D1236" s="6" t="s">
        <v>47</v>
      </c>
      <c r="E1236" s="6" t="s">
        <v>35</v>
      </c>
      <c r="F1236" s="6" t="s">
        <v>40</v>
      </c>
      <c r="G1236" s="6">
        <v>80</v>
      </c>
      <c r="H1236" s="7">
        <v>211.81</v>
      </c>
      <c r="I1236" s="7">
        <v>16944.8</v>
      </c>
      <c r="J1236" s="8">
        <v>45502</v>
      </c>
      <c r="K1236" s="6">
        <v>35</v>
      </c>
      <c r="L1236" s="6" t="s">
        <v>23</v>
      </c>
      <c r="M1236" s="6" t="b">
        <v>0</v>
      </c>
      <c r="N1236" s="6">
        <v>9</v>
      </c>
      <c r="O1236" s="6" t="s">
        <v>42</v>
      </c>
      <c r="P1236" s="6" t="b">
        <v>0</v>
      </c>
      <c r="Q1236" s="9" t="s">
        <v>25</v>
      </c>
    </row>
    <row r="1237" spans="1:17" x14ac:dyDescent="0.25">
      <c r="A1237" s="5" t="s">
        <v>1287</v>
      </c>
      <c r="B1237" s="6" t="s">
        <v>62</v>
      </c>
      <c r="C1237" s="6" t="s">
        <v>39</v>
      </c>
      <c r="D1237" s="6" t="s">
        <v>20</v>
      </c>
      <c r="E1237" s="6" t="s">
        <v>21</v>
      </c>
      <c r="F1237" s="6" t="s">
        <v>29</v>
      </c>
      <c r="G1237" s="6">
        <v>7</v>
      </c>
      <c r="H1237" s="7">
        <v>1267.6600000000001</v>
      </c>
      <c r="I1237" s="7">
        <v>8873.6200000000008</v>
      </c>
      <c r="J1237" s="8">
        <v>45129</v>
      </c>
      <c r="K1237" s="6">
        <v>52</v>
      </c>
      <c r="L1237" s="6" t="s">
        <v>41</v>
      </c>
      <c r="M1237" s="6" t="b">
        <v>0</v>
      </c>
      <c r="N1237" s="6">
        <v>8.02</v>
      </c>
      <c r="O1237" s="6" t="s">
        <v>24</v>
      </c>
      <c r="P1237" s="6" t="b">
        <v>1</v>
      </c>
      <c r="Q1237" s="9" t="s">
        <v>25</v>
      </c>
    </row>
    <row r="1238" spans="1:17" x14ac:dyDescent="0.25">
      <c r="A1238" s="5" t="s">
        <v>1288</v>
      </c>
      <c r="B1238" s="6" t="s">
        <v>66</v>
      </c>
      <c r="C1238" s="6" t="s">
        <v>39</v>
      </c>
      <c r="D1238" s="6" t="s">
        <v>47</v>
      </c>
      <c r="E1238" s="6" t="s">
        <v>21</v>
      </c>
      <c r="F1238" s="6" t="s">
        <v>29</v>
      </c>
      <c r="G1238" s="6">
        <v>4</v>
      </c>
      <c r="H1238" s="7">
        <v>1495.9</v>
      </c>
      <c r="I1238" s="7">
        <v>5983.6</v>
      </c>
      <c r="J1238" s="8">
        <v>45567</v>
      </c>
      <c r="K1238" s="6">
        <v>69</v>
      </c>
      <c r="L1238" s="6" t="s">
        <v>49</v>
      </c>
      <c r="M1238" s="6" t="b">
        <v>0</v>
      </c>
      <c r="N1238" s="6">
        <v>6.53</v>
      </c>
      <c r="O1238" s="6" t="s">
        <v>42</v>
      </c>
      <c r="P1238" s="6" t="b">
        <v>1</v>
      </c>
      <c r="Q1238" s="9" t="s">
        <v>25</v>
      </c>
    </row>
    <row r="1239" spans="1:17" x14ac:dyDescent="0.25">
      <c r="A1239" s="5" t="s">
        <v>1289</v>
      </c>
      <c r="B1239" s="6" t="s">
        <v>18</v>
      </c>
      <c r="C1239" s="6" t="s">
        <v>19</v>
      </c>
      <c r="D1239" s="6" t="s">
        <v>64</v>
      </c>
      <c r="E1239" s="6" t="s">
        <v>28</v>
      </c>
      <c r="F1239" s="6" t="s">
        <v>22</v>
      </c>
      <c r="G1239" s="6">
        <v>91</v>
      </c>
      <c r="H1239" s="7">
        <v>474.28</v>
      </c>
      <c r="I1239" s="7">
        <v>43159.48</v>
      </c>
      <c r="J1239" s="8">
        <v>45032</v>
      </c>
      <c r="K1239" s="6">
        <v>60</v>
      </c>
      <c r="L1239" s="6" t="s">
        <v>41</v>
      </c>
      <c r="M1239" s="6" t="b">
        <v>0</v>
      </c>
      <c r="N1239" s="6">
        <v>24.71</v>
      </c>
      <c r="O1239" s="6" t="s">
        <v>56</v>
      </c>
      <c r="P1239" s="6" t="b">
        <v>1</v>
      </c>
      <c r="Q1239" s="9" t="s">
        <v>36</v>
      </c>
    </row>
    <row r="1240" spans="1:17" x14ac:dyDescent="0.25">
      <c r="A1240" s="5" t="s">
        <v>1290</v>
      </c>
      <c r="B1240" s="6" t="s">
        <v>32</v>
      </c>
      <c r="C1240" s="6" t="s">
        <v>19</v>
      </c>
      <c r="D1240" s="6" t="s">
        <v>47</v>
      </c>
      <c r="E1240" s="6" t="s">
        <v>44</v>
      </c>
      <c r="F1240" s="6" t="s">
        <v>40</v>
      </c>
      <c r="G1240" s="6">
        <v>52</v>
      </c>
      <c r="H1240" s="7">
        <v>568.79</v>
      </c>
      <c r="I1240" s="7">
        <v>29577.08</v>
      </c>
      <c r="J1240" s="8">
        <v>45048</v>
      </c>
      <c r="K1240" s="6">
        <v>54</v>
      </c>
      <c r="L1240" s="6" t="s">
        <v>49</v>
      </c>
      <c r="M1240" s="6" t="b">
        <v>0</v>
      </c>
      <c r="N1240" s="6">
        <v>17.46</v>
      </c>
      <c r="O1240" s="6" t="s">
        <v>30</v>
      </c>
      <c r="P1240" s="6" t="b">
        <v>1</v>
      </c>
      <c r="Q1240" s="9" t="s">
        <v>25</v>
      </c>
    </row>
    <row r="1241" spans="1:17" x14ac:dyDescent="0.25">
      <c r="A1241" s="5" t="s">
        <v>1291</v>
      </c>
      <c r="B1241" s="6" t="s">
        <v>62</v>
      </c>
      <c r="C1241" s="6" t="s">
        <v>33</v>
      </c>
      <c r="D1241" s="6" t="s">
        <v>52</v>
      </c>
      <c r="E1241" s="6" t="s">
        <v>35</v>
      </c>
      <c r="F1241" s="6" t="s">
        <v>48</v>
      </c>
      <c r="G1241" s="6">
        <v>89</v>
      </c>
      <c r="H1241" s="7">
        <v>1415.37</v>
      </c>
      <c r="I1241" s="7">
        <v>125967.93</v>
      </c>
      <c r="J1241" s="8">
        <v>45244</v>
      </c>
      <c r="K1241" s="6">
        <v>36</v>
      </c>
      <c r="L1241" s="6" t="s">
        <v>41</v>
      </c>
      <c r="M1241" s="6" t="b">
        <v>0</v>
      </c>
      <c r="N1241" s="6">
        <v>21.27</v>
      </c>
      <c r="O1241" s="6" t="s">
        <v>24</v>
      </c>
      <c r="P1241" s="6" t="b">
        <v>0</v>
      </c>
      <c r="Q1241" s="9" t="s">
        <v>36</v>
      </c>
    </row>
    <row r="1242" spans="1:17" x14ac:dyDescent="0.25">
      <c r="A1242" s="5" t="s">
        <v>1292</v>
      </c>
      <c r="B1242" s="6" t="s">
        <v>62</v>
      </c>
      <c r="C1242" s="6" t="s">
        <v>33</v>
      </c>
      <c r="D1242" s="6" t="s">
        <v>47</v>
      </c>
      <c r="E1242" s="6" t="s">
        <v>35</v>
      </c>
      <c r="F1242" s="6" t="s">
        <v>22</v>
      </c>
      <c r="G1242" s="6">
        <v>31</v>
      </c>
      <c r="H1242" s="7">
        <v>1081.1400000000001</v>
      </c>
      <c r="I1242" s="7">
        <v>33515.339999999997</v>
      </c>
      <c r="J1242" s="8">
        <v>45108</v>
      </c>
      <c r="K1242" s="6">
        <v>41</v>
      </c>
      <c r="L1242" s="6" t="s">
        <v>41</v>
      </c>
      <c r="M1242" s="6" t="b">
        <v>0</v>
      </c>
      <c r="N1242" s="6">
        <v>25.8</v>
      </c>
      <c r="O1242" s="6" t="s">
        <v>42</v>
      </c>
      <c r="P1242" s="6" t="b">
        <v>0</v>
      </c>
      <c r="Q1242" s="9" t="s">
        <v>25</v>
      </c>
    </row>
    <row r="1243" spans="1:17" x14ac:dyDescent="0.25">
      <c r="A1243" s="5" t="s">
        <v>1293</v>
      </c>
      <c r="B1243" s="6" t="s">
        <v>38</v>
      </c>
      <c r="C1243" s="6" t="s">
        <v>33</v>
      </c>
      <c r="D1243" s="6" t="s">
        <v>64</v>
      </c>
      <c r="E1243" s="6" t="s">
        <v>35</v>
      </c>
      <c r="F1243" s="6" t="s">
        <v>48</v>
      </c>
      <c r="G1243" s="6">
        <v>75</v>
      </c>
      <c r="H1243" s="7">
        <v>478.68</v>
      </c>
      <c r="I1243" s="7">
        <v>35901</v>
      </c>
      <c r="J1243" s="8">
        <v>45541</v>
      </c>
      <c r="K1243" s="6">
        <v>51</v>
      </c>
      <c r="L1243" s="6" t="s">
        <v>23</v>
      </c>
      <c r="M1243" s="6" t="b">
        <v>0</v>
      </c>
      <c r="N1243" s="6">
        <v>29.61</v>
      </c>
      <c r="O1243" s="6" t="s">
        <v>24</v>
      </c>
      <c r="P1243" s="6" t="b">
        <v>0</v>
      </c>
      <c r="Q1243" s="9" t="s">
        <v>25</v>
      </c>
    </row>
    <row r="1244" spans="1:17" x14ac:dyDescent="0.25">
      <c r="A1244" s="5" t="s">
        <v>1294</v>
      </c>
      <c r="B1244" s="6" t="s">
        <v>32</v>
      </c>
      <c r="C1244" s="6" t="s">
        <v>33</v>
      </c>
      <c r="D1244" s="6" t="s">
        <v>20</v>
      </c>
      <c r="E1244" s="6" t="s">
        <v>44</v>
      </c>
      <c r="F1244" s="6" t="s">
        <v>22</v>
      </c>
      <c r="G1244" s="6">
        <v>84</v>
      </c>
      <c r="H1244" s="7">
        <v>892.52</v>
      </c>
      <c r="I1244" s="7">
        <v>74971.679999999993</v>
      </c>
      <c r="J1244" s="8">
        <v>45242</v>
      </c>
      <c r="K1244" s="6">
        <v>39</v>
      </c>
      <c r="L1244" s="6" t="s">
        <v>41</v>
      </c>
      <c r="M1244" s="6" t="b">
        <v>1</v>
      </c>
      <c r="N1244" s="6">
        <v>7.48</v>
      </c>
      <c r="O1244" s="6" t="s">
        <v>56</v>
      </c>
      <c r="P1244" s="6" t="b">
        <v>1</v>
      </c>
      <c r="Q1244" s="9" t="s">
        <v>36</v>
      </c>
    </row>
    <row r="1245" spans="1:17" x14ac:dyDescent="0.25">
      <c r="A1245" s="5" t="s">
        <v>1295</v>
      </c>
      <c r="B1245" s="6" t="s">
        <v>72</v>
      </c>
      <c r="C1245" s="6" t="s">
        <v>39</v>
      </c>
      <c r="D1245" s="6" t="s">
        <v>34</v>
      </c>
      <c r="E1245" s="6" t="s">
        <v>28</v>
      </c>
      <c r="F1245" s="6" t="s">
        <v>48</v>
      </c>
      <c r="G1245" s="6">
        <v>36</v>
      </c>
      <c r="H1245" s="7">
        <v>1419.13</v>
      </c>
      <c r="I1245" s="7">
        <v>51088.68</v>
      </c>
      <c r="J1245" s="8">
        <v>45551</v>
      </c>
      <c r="K1245" s="6">
        <v>21</v>
      </c>
      <c r="L1245" s="6" t="s">
        <v>49</v>
      </c>
      <c r="M1245" s="6" t="b">
        <v>0</v>
      </c>
      <c r="N1245" s="6">
        <v>5.43</v>
      </c>
      <c r="O1245" s="6" t="s">
        <v>56</v>
      </c>
      <c r="P1245" s="6" t="b">
        <v>1</v>
      </c>
      <c r="Q1245" s="9" t="s">
        <v>36</v>
      </c>
    </row>
    <row r="1246" spans="1:17" x14ac:dyDescent="0.25">
      <c r="A1246" s="5" t="s">
        <v>1296</v>
      </c>
      <c r="B1246" s="6" t="s">
        <v>46</v>
      </c>
      <c r="C1246" s="6" t="s">
        <v>39</v>
      </c>
      <c r="D1246" s="6" t="s">
        <v>47</v>
      </c>
      <c r="E1246" s="6" t="s">
        <v>35</v>
      </c>
      <c r="F1246" s="6" t="s">
        <v>29</v>
      </c>
      <c r="G1246" s="6">
        <v>54</v>
      </c>
      <c r="H1246" s="7">
        <v>1227.1300000000001</v>
      </c>
      <c r="I1246" s="7">
        <v>66265.02</v>
      </c>
      <c r="J1246" s="8">
        <v>45332</v>
      </c>
      <c r="K1246" s="6">
        <v>27</v>
      </c>
      <c r="L1246" s="6" t="s">
        <v>41</v>
      </c>
      <c r="M1246" s="6" t="b">
        <v>0</v>
      </c>
      <c r="N1246" s="6">
        <v>13.86</v>
      </c>
      <c r="O1246" s="6" t="s">
        <v>24</v>
      </c>
      <c r="P1246" s="6" t="b">
        <v>1</v>
      </c>
      <c r="Q1246" s="9" t="s">
        <v>25</v>
      </c>
    </row>
    <row r="1247" spans="1:17" x14ac:dyDescent="0.25">
      <c r="A1247" s="5" t="s">
        <v>1297</v>
      </c>
      <c r="B1247" s="6" t="s">
        <v>27</v>
      </c>
      <c r="C1247" s="6" t="s">
        <v>19</v>
      </c>
      <c r="D1247" s="6" t="s">
        <v>64</v>
      </c>
      <c r="E1247" s="6" t="s">
        <v>44</v>
      </c>
      <c r="F1247" s="6" t="s">
        <v>22</v>
      </c>
      <c r="G1247" s="6">
        <v>54</v>
      </c>
      <c r="H1247" s="7">
        <v>1125.6600000000001</v>
      </c>
      <c r="I1247" s="7">
        <v>60785.64</v>
      </c>
      <c r="J1247" s="8">
        <v>44996</v>
      </c>
      <c r="K1247" s="6">
        <v>19</v>
      </c>
      <c r="L1247" s="6" t="s">
        <v>41</v>
      </c>
      <c r="M1247" s="6" t="b">
        <v>1</v>
      </c>
      <c r="N1247" s="6">
        <v>1.05</v>
      </c>
      <c r="O1247" s="6" t="s">
        <v>30</v>
      </c>
      <c r="P1247" s="6" t="b">
        <v>0</v>
      </c>
      <c r="Q1247" s="9" t="s">
        <v>36</v>
      </c>
    </row>
    <row r="1248" spans="1:17" x14ac:dyDescent="0.25">
      <c r="A1248" s="5" t="s">
        <v>1298</v>
      </c>
      <c r="B1248" s="6" t="s">
        <v>27</v>
      </c>
      <c r="C1248" s="6" t="s">
        <v>33</v>
      </c>
      <c r="D1248" s="6" t="s">
        <v>34</v>
      </c>
      <c r="E1248" s="6" t="s">
        <v>21</v>
      </c>
      <c r="F1248" s="6" t="s">
        <v>48</v>
      </c>
      <c r="G1248" s="6">
        <v>17</v>
      </c>
      <c r="H1248" s="7">
        <v>1118.6400000000001</v>
      </c>
      <c r="I1248" s="7">
        <v>19016.88</v>
      </c>
      <c r="J1248" s="8">
        <v>45086</v>
      </c>
      <c r="K1248" s="6">
        <v>25</v>
      </c>
      <c r="L1248" s="6" t="s">
        <v>49</v>
      </c>
      <c r="M1248" s="6" t="b">
        <v>0</v>
      </c>
      <c r="N1248" s="6">
        <v>23.75</v>
      </c>
      <c r="O1248" s="6" t="s">
        <v>56</v>
      </c>
      <c r="P1248" s="6" t="b">
        <v>0</v>
      </c>
      <c r="Q1248" s="9" t="s">
        <v>25</v>
      </c>
    </row>
    <row r="1249" spans="1:17" x14ac:dyDescent="0.25">
      <c r="A1249" s="5" t="s">
        <v>1299</v>
      </c>
      <c r="B1249" s="6" t="s">
        <v>51</v>
      </c>
      <c r="C1249" s="6" t="s">
        <v>33</v>
      </c>
      <c r="D1249" s="6" t="s">
        <v>34</v>
      </c>
      <c r="E1249" s="6" t="s">
        <v>35</v>
      </c>
      <c r="F1249" s="6" t="s">
        <v>48</v>
      </c>
      <c r="G1249" s="6">
        <v>75</v>
      </c>
      <c r="H1249" s="7">
        <v>308.13</v>
      </c>
      <c r="I1249" s="7">
        <v>23109.75</v>
      </c>
      <c r="J1249" s="8">
        <v>45166</v>
      </c>
      <c r="K1249" s="6">
        <v>50</v>
      </c>
      <c r="L1249" s="6" t="s">
        <v>23</v>
      </c>
      <c r="M1249" s="6" t="b">
        <v>1</v>
      </c>
      <c r="N1249" s="6">
        <v>26.51</v>
      </c>
      <c r="O1249" s="6" t="s">
        <v>42</v>
      </c>
      <c r="P1249" s="6" t="b">
        <v>1</v>
      </c>
      <c r="Q1249" s="9" t="s">
        <v>36</v>
      </c>
    </row>
    <row r="1250" spans="1:17" x14ac:dyDescent="0.25">
      <c r="A1250" s="5" t="s">
        <v>1300</v>
      </c>
      <c r="B1250" s="6" t="s">
        <v>51</v>
      </c>
      <c r="C1250" s="6" t="s">
        <v>19</v>
      </c>
      <c r="D1250" s="6" t="s">
        <v>52</v>
      </c>
      <c r="E1250" s="6" t="s">
        <v>35</v>
      </c>
      <c r="F1250" s="6" t="s">
        <v>40</v>
      </c>
      <c r="G1250" s="6">
        <v>30</v>
      </c>
      <c r="H1250" s="7">
        <v>1245.79</v>
      </c>
      <c r="I1250" s="7">
        <v>37373.699999999997</v>
      </c>
      <c r="J1250" s="8">
        <v>45449</v>
      </c>
      <c r="K1250" s="6">
        <v>55</v>
      </c>
      <c r="L1250" s="6" t="s">
        <v>49</v>
      </c>
      <c r="M1250" s="6" t="b">
        <v>0</v>
      </c>
      <c r="N1250" s="6">
        <v>20.58</v>
      </c>
      <c r="O1250" s="6" t="s">
        <v>56</v>
      </c>
      <c r="P1250" s="6" t="b">
        <v>0</v>
      </c>
      <c r="Q1250" s="9" t="s">
        <v>36</v>
      </c>
    </row>
    <row r="1251" spans="1:17" x14ac:dyDescent="0.25">
      <c r="A1251" s="5" t="s">
        <v>1301</v>
      </c>
      <c r="B1251" s="6" t="s">
        <v>27</v>
      </c>
      <c r="C1251" s="6" t="s">
        <v>33</v>
      </c>
      <c r="D1251" s="6" t="s">
        <v>34</v>
      </c>
      <c r="E1251" s="6" t="s">
        <v>28</v>
      </c>
      <c r="F1251" s="6" t="s">
        <v>22</v>
      </c>
      <c r="G1251" s="6">
        <v>99</v>
      </c>
      <c r="H1251" s="7">
        <v>450.37</v>
      </c>
      <c r="I1251" s="7">
        <v>44586.63</v>
      </c>
      <c r="J1251" s="8">
        <v>45064</v>
      </c>
      <c r="K1251" s="6">
        <v>60</v>
      </c>
      <c r="L1251" s="6" t="s">
        <v>49</v>
      </c>
      <c r="M1251" s="6" t="b">
        <v>0</v>
      </c>
      <c r="N1251" s="6">
        <v>8.0399999999999991</v>
      </c>
      <c r="O1251" s="6" t="s">
        <v>42</v>
      </c>
      <c r="P1251" s="6" t="b">
        <v>0</v>
      </c>
      <c r="Q1251" s="9" t="s">
        <v>25</v>
      </c>
    </row>
    <row r="1252" spans="1:17" x14ac:dyDescent="0.25">
      <c r="A1252" s="5" t="s">
        <v>1302</v>
      </c>
      <c r="B1252" s="6" t="s">
        <v>72</v>
      </c>
      <c r="C1252" s="6" t="s">
        <v>33</v>
      </c>
      <c r="D1252" s="6" t="s">
        <v>64</v>
      </c>
      <c r="E1252" s="6" t="s">
        <v>35</v>
      </c>
      <c r="F1252" s="6" t="s">
        <v>48</v>
      </c>
      <c r="G1252" s="6">
        <v>22</v>
      </c>
      <c r="H1252" s="7">
        <v>1399.03</v>
      </c>
      <c r="I1252" s="7">
        <v>30778.66</v>
      </c>
      <c r="J1252" s="8">
        <v>45421</v>
      </c>
      <c r="K1252" s="6">
        <v>45</v>
      </c>
      <c r="L1252" s="6" t="s">
        <v>49</v>
      </c>
      <c r="M1252" s="6" t="b">
        <v>1</v>
      </c>
      <c r="N1252" s="6">
        <v>3.69</v>
      </c>
      <c r="O1252" s="6" t="s">
        <v>24</v>
      </c>
      <c r="P1252" s="6" t="b">
        <v>1</v>
      </c>
      <c r="Q1252" s="9" t="s">
        <v>36</v>
      </c>
    </row>
    <row r="1253" spans="1:17" x14ac:dyDescent="0.25">
      <c r="A1253" s="5" t="s">
        <v>1303</v>
      </c>
      <c r="B1253" s="6" t="s">
        <v>66</v>
      </c>
      <c r="C1253" s="6" t="s">
        <v>33</v>
      </c>
      <c r="D1253" s="6" t="s">
        <v>64</v>
      </c>
      <c r="E1253" s="6" t="s">
        <v>35</v>
      </c>
      <c r="F1253" s="6" t="s">
        <v>40</v>
      </c>
      <c r="G1253" s="6">
        <v>43</v>
      </c>
      <c r="H1253" s="7">
        <v>578.73</v>
      </c>
      <c r="I1253" s="7">
        <v>24885.39</v>
      </c>
      <c r="J1253" s="8">
        <v>45173</v>
      </c>
      <c r="K1253" s="6">
        <v>27</v>
      </c>
      <c r="L1253" s="6" t="s">
        <v>41</v>
      </c>
      <c r="M1253" s="6" t="b">
        <v>1</v>
      </c>
      <c r="N1253" s="6">
        <v>11.46</v>
      </c>
      <c r="O1253" s="6" t="s">
        <v>42</v>
      </c>
      <c r="P1253" s="6" t="b">
        <v>1</v>
      </c>
      <c r="Q1253" s="9" t="s">
        <v>25</v>
      </c>
    </row>
    <row r="1254" spans="1:17" x14ac:dyDescent="0.25">
      <c r="A1254" s="5" t="s">
        <v>1304</v>
      </c>
      <c r="B1254" s="6" t="s">
        <v>76</v>
      </c>
      <c r="C1254" s="6" t="s">
        <v>33</v>
      </c>
      <c r="D1254" s="6" t="s">
        <v>47</v>
      </c>
      <c r="E1254" s="6" t="s">
        <v>21</v>
      </c>
      <c r="F1254" s="6" t="s">
        <v>48</v>
      </c>
      <c r="G1254" s="6">
        <v>27</v>
      </c>
      <c r="H1254" s="7">
        <v>1293.6099999999999</v>
      </c>
      <c r="I1254" s="7">
        <v>34927.47</v>
      </c>
      <c r="J1254" s="8">
        <v>45469</v>
      </c>
      <c r="K1254" s="6">
        <v>62</v>
      </c>
      <c r="L1254" s="6" t="s">
        <v>41</v>
      </c>
      <c r="M1254" s="6" t="b">
        <v>0</v>
      </c>
      <c r="N1254" s="6">
        <v>25</v>
      </c>
      <c r="O1254" s="6" t="s">
        <v>24</v>
      </c>
      <c r="P1254" s="6" t="b">
        <v>0</v>
      </c>
      <c r="Q1254" s="9" t="s">
        <v>25</v>
      </c>
    </row>
    <row r="1255" spans="1:17" x14ac:dyDescent="0.25">
      <c r="A1255" s="5" t="s">
        <v>1305</v>
      </c>
      <c r="B1255" s="6" t="s">
        <v>46</v>
      </c>
      <c r="C1255" s="6" t="s">
        <v>33</v>
      </c>
      <c r="D1255" s="6" t="s">
        <v>47</v>
      </c>
      <c r="E1255" s="6" t="s">
        <v>44</v>
      </c>
      <c r="F1255" s="6" t="s">
        <v>22</v>
      </c>
      <c r="G1255" s="6">
        <v>37</v>
      </c>
      <c r="H1255" s="7">
        <v>436.04</v>
      </c>
      <c r="I1255" s="7">
        <v>16133.48</v>
      </c>
      <c r="J1255" s="8">
        <v>45450</v>
      </c>
      <c r="K1255" s="6">
        <v>18</v>
      </c>
      <c r="L1255" s="6" t="s">
        <v>49</v>
      </c>
      <c r="M1255" s="6" t="b">
        <v>1</v>
      </c>
      <c r="N1255" s="6">
        <v>10.43</v>
      </c>
      <c r="O1255" s="6" t="s">
        <v>56</v>
      </c>
      <c r="P1255" s="6" t="b">
        <v>1</v>
      </c>
      <c r="Q1255" s="9" t="s">
        <v>36</v>
      </c>
    </row>
    <row r="1256" spans="1:17" x14ac:dyDescent="0.25">
      <c r="A1256" s="5" t="s">
        <v>1306</v>
      </c>
      <c r="B1256" s="6" t="s">
        <v>66</v>
      </c>
      <c r="C1256" s="6" t="s">
        <v>19</v>
      </c>
      <c r="D1256" s="6" t="s">
        <v>47</v>
      </c>
      <c r="E1256" s="6" t="s">
        <v>44</v>
      </c>
      <c r="F1256" s="6" t="s">
        <v>29</v>
      </c>
      <c r="G1256" s="6">
        <v>46</v>
      </c>
      <c r="H1256" s="7">
        <v>796.06</v>
      </c>
      <c r="I1256" s="7">
        <v>36618.76</v>
      </c>
      <c r="J1256" s="8">
        <v>45169</v>
      </c>
      <c r="K1256" s="6">
        <v>51</v>
      </c>
      <c r="L1256" s="6" t="s">
        <v>49</v>
      </c>
      <c r="M1256" s="6" t="b">
        <v>0</v>
      </c>
      <c r="N1256" s="6">
        <v>1.03</v>
      </c>
      <c r="O1256" s="6" t="s">
        <v>30</v>
      </c>
      <c r="P1256" s="6" t="b">
        <v>0</v>
      </c>
      <c r="Q1256" s="9" t="s">
        <v>25</v>
      </c>
    </row>
    <row r="1257" spans="1:17" x14ac:dyDescent="0.25">
      <c r="A1257" s="5" t="s">
        <v>1307</v>
      </c>
      <c r="B1257" s="6" t="s">
        <v>38</v>
      </c>
      <c r="C1257" s="6" t="s">
        <v>33</v>
      </c>
      <c r="D1257" s="6" t="s">
        <v>34</v>
      </c>
      <c r="E1257" s="6" t="s">
        <v>28</v>
      </c>
      <c r="F1257" s="6" t="s">
        <v>22</v>
      </c>
      <c r="G1257" s="6">
        <v>35</v>
      </c>
      <c r="H1257" s="7">
        <v>204.98</v>
      </c>
      <c r="I1257" s="7">
        <v>7174.3</v>
      </c>
      <c r="J1257" s="8">
        <v>45546</v>
      </c>
      <c r="K1257" s="6">
        <v>20</v>
      </c>
      <c r="L1257" s="6" t="s">
        <v>23</v>
      </c>
      <c r="M1257" s="6" t="b">
        <v>0</v>
      </c>
      <c r="N1257" s="6">
        <v>8.23</v>
      </c>
      <c r="O1257" s="6" t="s">
        <v>56</v>
      </c>
      <c r="P1257" s="6" t="b">
        <v>1</v>
      </c>
      <c r="Q1257" s="9" t="s">
        <v>36</v>
      </c>
    </row>
    <row r="1258" spans="1:17" x14ac:dyDescent="0.25">
      <c r="A1258" s="5" t="s">
        <v>1308</v>
      </c>
      <c r="B1258" s="6" t="s">
        <v>76</v>
      </c>
      <c r="C1258" s="6" t="s">
        <v>19</v>
      </c>
      <c r="D1258" s="6" t="s">
        <v>34</v>
      </c>
      <c r="E1258" s="6" t="s">
        <v>21</v>
      </c>
      <c r="F1258" s="6" t="s">
        <v>22</v>
      </c>
      <c r="G1258" s="6">
        <v>4</v>
      </c>
      <c r="H1258" s="7">
        <v>1007.17</v>
      </c>
      <c r="I1258" s="7">
        <v>4028.68</v>
      </c>
      <c r="J1258" s="8">
        <v>45262</v>
      </c>
      <c r="K1258" s="6">
        <v>26</v>
      </c>
      <c r="L1258" s="6" t="s">
        <v>41</v>
      </c>
      <c r="M1258" s="6" t="b">
        <v>0</v>
      </c>
      <c r="N1258" s="6">
        <v>29.7</v>
      </c>
      <c r="O1258" s="6" t="s">
        <v>56</v>
      </c>
      <c r="P1258" s="6" t="b">
        <v>0</v>
      </c>
      <c r="Q1258" s="9" t="s">
        <v>36</v>
      </c>
    </row>
    <row r="1259" spans="1:17" x14ac:dyDescent="0.25">
      <c r="A1259" s="5" t="s">
        <v>1309</v>
      </c>
      <c r="B1259" s="6" t="s">
        <v>76</v>
      </c>
      <c r="C1259" s="6" t="s">
        <v>33</v>
      </c>
      <c r="D1259" s="6" t="s">
        <v>52</v>
      </c>
      <c r="E1259" s="6" t="s">
        <v>44</v>
      </c>
      <c r="F1259" s="6" t="s">
        <v>48</v>
      </c>
      <c r="G1259" s="6">
        <v>80</v>
      </c>
      <c r="H1259" s="7">
        <v>1262.31</v>
      </c>
      <c r="I1259" s="7">
        <v>100984.8</v>
      </c>
      <c r="J1259" s="8">
        <v>45348</v>
      </c>
      <c r="K1259" s="6">
        <v>22</v>
      </c>
      <c r="L1259" s="6" t="s">
        <v>41</v>
      </c>
      <c r="M1259" s="6" t="b">
        <v>0</v>
      </c>
      <c r="N1259" s="6">
        <v>20.3</v>
      </c>
      <c r="O1259" s="6" t="s">
        <v>56</v>
      </c>
      <c r="P1259" s="6" t="b">
        <v>1</v>
      </c>
      <c r="Q1259" s="9" t="s">
        <v>25</v>
      </c>
    </row>
    <row r="1260" spans="1:17" x14ac:dyDescent="0.25">
      <c r="A1260" s="5" t="s">
        <v>1310</v>
      </c>
      <c r="B1260" s="6" t="s">
        <v>32</v>
      </c>
      <c r="C1260" s="6" t="s">
        <v>39</v>
      </c>
      <c r="D1260" s="6" t="s">
        <v>47</v>
      </c>
      <c r="E1260" s="6" t="s">
        <v>21</v>
      </c>
      <c r="F1260" s="6" t="s">
        <v>48</v>
      </c>
      <c r="G1260" s="6">
        <v>80</v>
      </c>
      <c r="H1260" s="7">
        <v>1091.75</v>
      </c>
      <c r="I1260" s="7">
        <v>87340</v>
      </c>
      <c r="J1260" s="8">
        <v>45120</v>
      </c>
      <c r="K1260" s="6">
        <v>59</v>
      </c>
      <c r="L1260" s="6" t="s">
        <v>41</v>
      </c>
      <c r="M1260" s="6" t="b">
        <v>0</v>
      </c>
      <c r="N1260" s="6">
        <v>27.03</v>
      </c>
      <c r="O1260" s="6" t="s">
        <v>56</v>
      </c>
      <c r="P1260" s="6" t="b">
        <v>1</v>
      </c>
      <c r="Q1260" s="9" t="s">
        <v>36</v>
      </c>
    </row>
    <row r="1261" spans="1:17" x14ac:dyDescent="0.25">
      <c r="A1261" s="5" t="s">
        <v>1311</v>
      </c>
      <c r="B1261" s="6" t="s">
        <v>72</v>
      </c>
      <c r="C1261" s="6" t="s">
        <v>39</v>
      </c>
      <c r="D1261" s="6" t="s">
        <v>20</v>
      </c>
      <c r="E1261" s="6" t="s">
        <v>44</v>
      </c>
      <c r="F1261" s="6" t="s">
        <v>22</v>
      </c>
      <c r="G1261" s="6">
        <v>85</v>
      </c>
      <c r="H1261" s="7">
        <v>808.72</v>
      </c>
      <c r="I1261" s="7">
        <v>68741.2</v>
      </c>
      <c r="J1261" s="8">
        <v>45234</v>
      </c>
      <c r="K1261" s="6">
        <v>27</v>
      </c>
      <c r="L1261" s="6" t="s">
        <v>41</v>
      </c>
      <c r="M1261" s="6" t="b">
        <v>0</v>
      </c>
      <c r="N1261" s="6">
        <v>23.25</v>
      </c>
      <c r="O1261" s="6" t="s">
        <v>30</v>
      </c>
      <c r="P1261" s="6" t="b">
        <v>1</v>
      </c>
      <c r="Q1261" s="9" t="s">
        <v>25</v>
      </c>
    </row>
    <row r="1262" spans="1:17" x14ac:dyDescent="0.25">
      <c r="A1262" s="5" t="s">
        <v>1312</v>
      </c>
      <c r="B1262" s="6" t="s">
        <v>72</v>
      </c>
      <c r="C1262" s="6" t="s">
        <v>39</v>
      </c>
      <c r="D1262" s="6" t="s">
        <v>52</v>
      </c>
      <c r="E1262" s="6" t="s">
        <v>21</v>
      </c>
      <c r="F1262" s="6" t="s">
        <v>40</v>
      </c>
      <c r="G1262" s="6">
        <v>26</v>
      </c>
      <c r="H1262" s="7">
        <v>115.42</v>
      </c>
      <c r="I1262" s="7">
        <v>3000.92</v>
      </c>
      <c r="J1262" s="8">
        <v>45571</v>
      </c>
      <c r="K1262" s="6">
        <v>29</v>
      </c>
      <c r="L1262" s="6" t="s">
        <v>49</v>
      </c>
      <c r="M1262" s="6" t="b">
        <v>1</v>
      </c>
      <c r="N1262" s="6">
        <v>16.190000000000001</v>
      </c>
      <c r="O1262" s="6" t="s">
        <v>56</v>
      </c>
      <c r="P1262" s="6" t="b">
        <v>0</v>
      </c>
      <c r="Q1262" s="9" t="s">
        <v>25</v>
      </c>
    </row>
    <row r="1263" spans="1:17" x14ac:dyDescent="0.25">
      <c r="A1263" s="5" t="s">
        <v>1313</v>
      </c>
      <c r="B1263" s="6" t="s">
        <v>76</v>
      </c>
      <c r="C1263" s="6" t="s">
        <v>39</v>
      </c>
      <c r="D1263" s="6" t="s">
        <v>20</v>
      </c>
      <c r="E1263" s="6" t="s">
        <v>28</v>
      </c>
      <c r="F1263" s="6" t="s">
        <v>40</v>
      </c>
      <c r="G1263" s="6">
        <v>19</v>
      </c>
      <c r="H1263" s="7">
        <v>1403.49</v>
      </c>
      <c r="I1263" s="7">
        <v>26666.31</v>
      </c>
      <c r="J1263" s="8">
        <v>45432</v>
      </c>
      <c r="K1263" s="6">
        <v>35</v>
      </c>
      <c r="L1263" s="6" t="s">
        <v>49</v>
      </c>
      <c r="M1263" s="6" t="b">
        <v>1</v>
      </c>
      <c r="N1263" s="6">
        <v>4.46</v>
      </c>
      <c r="O1263" s="6" t="s">
        <v>42</v>
      </c>
      <c r="P1263" s="6" t="b">
        <v>0</v>
      </c>
      <c r="Q1263" s="9" t="s">
        <v>36</v>
      </c>
    </row>
    <row r="1264" spans="1:17" x14ac:dyDescent="0.25">
      <c r="A1264" s="5" t="s">
        <v>1314</v>
      </c>
      <c r="B1264" s="6" t="s">
        <v>32</v>
      </c>
      <c r="C1264" s="6" t="s">
        <v>19</v>
      </c>
      <c r="D1264" s="6" t="s">
        <v>34</v>
      </c>
      <c r="E1264" s="6" t="s">
        <v>35</v>
      </c>
      <c r="F1264" s="6" t="s">
        <v>40</v>
      </c>
      <c r="G1264" s="6">
        <v>81</v>
      </c>
      <c r="H1264" s="7">
        <v>1072.96</v>
      </c>
      <c r="I1264" s="7">
        <v>86909.759999999995</v>
      </c>
      <c r="J1264" s="8">
        <v>45207</v>
      </c>
      <c r="K1264" s="6">
        <v>38</v>
      </c>
      <c r="L1264" s="6" t="s">
        <v>23</v>
      </c>
      <c r="M1264" s="6" t="b">
        <v>1</v>
      </c>
      <c r="N1264" s="6">
        <v>10.46</v>
      </c>
      <c r="O1264" s="6" t="s">
        <v>30</v>
      </c>
      <c r="P1264" s="6" t="b">
        <v>1</v>
      </c>
      <c r="Q1264" s="9" t="s">
        <v>36</v>
      </c>
    </row>
    <row r="1265" spans="1:17" x14ac:dyDescent="0.25">
      <c r="A1265" s="5" t="s">
        <v>1315</v>
      </c>
      <c r="B1265" s="6" t="s">
        <v>46</v>
      </c>
      <c r="C1265" s="6" t="s">
        <v>19</v>
      </c>
      <c r="D1265" s="6" t="s">
        <v>52</v>
      </c>
      <c r="E1265" s="6" t="s">
        <v>28</v>
      </c>
      <c r="F1265" s="6" t="s">
        <v>48</v>
      </c>
      <c r="G1265" s="6">
        <v>45</v>
      </c>
      <c r="H1265" s="7">
        <v>1131.5</v>
      </c>
      <c r="I1265" s="7">
        <v>50917.5</v>
      </c>
      <c r="J1265" s="8">
        <v>45365</v>
      </c>
      <c r="K1265" s="6">
        <v>38</v>
      </c>
      <c r="L1265" s="6" t="s">
        <v>41</v>
      </c>
      <c r="M1265" s="6" t="b">
        <v>0</v>
      </c>
      <c r="N1265" s="6">
        <v>17.510000000000002</v>
      </c>
      <c r="O1265" s="6" t="s">
        <v>30</v>
      </c>
      <c r="P1265" s="6" t="b">
        <v>0</v>
      </c>
      <c r="Q1265" s="9" t="s">
        <v>25</v>
      </c>
    </row>
    <row r="1266" spans="1:17" x14ac:dyDescent="0.25">
      <c r="A1266" s="5" t="s">
        <v>1316</v>
      </c>
      <c r="B1266" s="6" t="s">
        <v>76</v>
      </c>
      <c r="C1266" s="6" t="s">
        <v>33</v>
      </c>
      <c r="D1266" s="6" t="s">
        <v>52</v>
      </c>
      <c r="E1266" s="6" t="s">
        <v>44</v>
      </c>
      <c r="F1266" s="6" t="s">
        <v>48</v>
      </c>
      <c r="G1266" s="6">
        <v>26</v>
      </c>
      <c r="H1266" s="7">
        <v>1202.29</v>
      </c>
      <c r="I1266" s="7">
        <v>31259.54</v>
      </c>
      <c r="J1266" s="8">
        <v>45534</v>
      </c>
      <c r="K1266" s="6">
        <v>18</v>
      </c>
      <c r="L1266" s="6" t="s">
        <v>41</v>
      </c>
      <c r="M1266" s="6" t="b">
        <v>1</v>
      </c>
      <c r="N1266" s="6">
        <v>26.12</v>
      </c>
      <c r="O1266" s="6" t="s">
        <v>42</v>
      </c>
      <c r="P1266" s="6" t="b">
        <v>0</v>
      </c>
      <c r="Q1266" s="9" t="s">
        <v>25</v>
      </c>
    </row>
    <row r="1267" spans="1:17" x14ac:dyDescent="0.25">
      <c r="A1267" s="5" t="s">
        <v>1317</v>
      </c>
      <c r="B1267" s="6" t="s">
        <v>18</v>
      </c>
      <c r="C1267" s="6" t="s">
        <v>39</v>
      </c>
      <c r="D1267" s="6" t="s">
        <v>64</v>
      </c>
      <c r="E1267" s="6" t="s">
        <v>28</v>
      </c>
      <c r="F1267" s="6" t="s">
        <v>22</v>
      </c>
      <c r="G1267" s="6">
        <v>22</v>
      </c>
      <c r="H1267" s="7">
        <v>1134.23</v>
      </c>
      <c r="I1267" s="7">
        <v>24953.06</v>
      </c>
      <c r="J1267" s="8">
        <v>45409</v>
      </c>
      <c r="K1267" s="6">
        <v>20</v>
      </c>
      <c r="L1267" s="6" t="s">
        <v>49</v>
      </c>
      <c r="M1267" s="6" t="b">
        <v>0</v>
      </c>
      <c r="N1267" s="6">
        <v>8.06</v>
      </c>
      <c r="O1267" s="6" t="s">
        <v>24</v>
      </c>
      <c r="P1267" s="6" t="b">
        <v>1</v>
      </c>
      <c r="Q1267" s="9" t="s">
        <v>25</v>
      </c>
    </row>
    <row r="1268" spans="1:17" x14ac:dyDescent="0.25">
      <c r="A1268" s="5" t="s">
        <v>1318</v>
      </c>
      <c r="B1268" s="6" t="s">
        <v>51</v>
      </c>
      <c r="C1268" s="6" t="s">
        <v>19</v>
      </c>
      <c r="D1268" s="6" t="s">
        <v>34</v>
      </c>
      <c r="E1268" s="6" t="s">
        <v>35</v>
      </c>
      <c r="F1268" s="6" t="s">
        <v>29</v>
      </c>
      <c r="G1268" s="6">
        <v>58</v>
      </c>
      <c r="H1268" s="7">
        <v>689.62</v>
      </c>
      <c r="I1268" s="7">
        <v>39997.96</v>
      </c>
      <c r="J1268" s="8">
        <v>45149</v>
      </c>
      <c r="K1268" s="6">
        <v>22</v>
      </c>
      <c r="L1268" s="6" t="s">
        <v>23</v>
      </c>
      <c r="M1268" s="6" t="b">
        <v>1</v>
      </c>
      <c r="N1268" s="6">
        <v>3.64</v>
      </c>
      <c r="O1268" s="6" t="s">
        <v>56</v>
      </c>
      <c r="P1268" s="6" t="b">
        <v>1</v>
      </c>
      <c r="Q1268" s="9" t="s">
        <v>36</v>
      </c>
    </row>
    <row r="1269" spans="1:17" x14ac:dyDescent="0.25">
      <c r="A1269" s="5" t="s">
        <v>1319</v>
      </c>
      <c r="B1269" s="6" t="s">
        <v>51</v>
      </c>
      <c r="C1269" s="6" t="s">
        <v>33</v>
      </c>
      <c r="D1269" s="6" t="s">
        <v>34</v>
      </c>
      <c r="E1269" s="6" t="s">
        <v>28</v>
      </c>
      <c r="F1269" s="6" t="s">
        <v>48</v>
      </c>
      <c r="G1269" s="6">
        <v>63</v>
      </c>
      <c r="H1269" s="7">
        <v>1113.75</v>
      </c>
      <c r="I1269" s="7">
        <v>70166.25</v>
      </c>
      <c r="J1269" s="8">
        <v>45043</v>
      </c>
      <c r="K1269" s="6">
        <v>42</v>
      </c>
      <c r="L1269" s="6" t="s">
        <v>49</v>
      </c>
      <c r="M1269" s="6" t="b">
        <v>0</v>
      </c>
      <c r="N1269" s="6">
        <v>16.760000000000002</v>
      </c>
      <c r="O1269" s="6" t="s">
        <v>30</v>
      </c>
      <c r="P1269" s="6" t="b">
        <v>1</v>
      </c>
      <c r="Q1269" s="9" t="s">
        <v>36</v>
      </c>
    </row>
    <row r="1270" spans="1:17" x14ac:dyDescent="0.25">
      <c r="A1270" s="5" t="s">
        <v>1320</v>
      </c>
      <c r="B1270" s="6" t="s">
        <v>66</v>
      </c>
      <c r="C1270" s="6" t="s">
        <v>33</v>
      </c>
      <c r="D1270" s="6" t="s">
        <v>52</v>
      </c>
      <c r="E1270" s="6" t="s">
        <v>44</v>
      </c>
      <c r="F1270" s="6" t="s">
        <v>22</v>
      </c>
      <c r="G1270" s="6">
        <v>28</v>
      </c>
      <c r="H1270" s="7">
        <v>956.29</v>
      </c>
      <c r="I1270" s="7">
        <v>26776.12</v>
      </c>
      <c r="J1270" s="8">
        <v>45118</v>
      </c>
      <c r="K1270" s="6">
        <v>66</v>
      </c>
      <c r="L1270" s="6" t="s">
        <v>41</v>
      </c>
      <c r="M1270" s="6" t="b">
        <v>0</v>
      </c>
      <c r="N1270" s="6">
        <v>5.3</v>
      </c>
      <c r="O1270" s="6" t="s">
        <v>56</v>
      </c>
      <c r="P1270" s="6" t="b">
        <v>0</v>
      </c>
      <c r="Q1270" s="9" t="s">
        <v>25</v>
      </c>
    </row>
    <row r="1271" spans="1:17" x14ac:dyDescent="0.25">
      <c r="A1271" s="5" t="s">
        <v>1321</v>
      </c>
      <c r="B1271" s="6" t="s">
        <v>38</v>
      </c>
      <c r="C1271" s="6" t="s">
        <v>19</v>
      </c>
      <c r="D1271" s="6" t="s">
        <v>34</v>
      </c>
      <c r="E1271" s="6" t="s">
        <v>44</v>
      </c>
      <c r="F1271" s="6" t="s">
        <v>22</v>
      </c>
      <c r="G1271" s="6">
        <v>65</v>
      </c>
      <c r="H1271" s="7">
        <v>1288.32</v>
      </c>
      <c r="I1271" s="7">
        <v>83740.800000000003</v>
      </c>
      <c r="J1271" s="8">
        <v>45544</v>
      </c>
      <c r="K1271" s="6">
        <v>25</v>
      </c>
      <c r="L1271" s="6" t="s">
        <v>41</v>
      </c>
      <c r="M1271" s="6" t="b">
        <v>0</v>
      </c>
      <c r="N1271" s="6">
        <v>18.309999999999999</v>
      </c>
      <c r="O1271" s="6" t="s">
        <v>56</v>
      </c>
      <c r="P1271" s="6" t="b">
        <v>1</v>
      </c>
      <c r="Q1271" s="9" t="s">
        <v>36</v>
      </c>
    </row>
    <row r="1272" spans="1:17" x14ac:dyDescent="0.25">
      <c r="A1272" s="5" t="s">
        <v>1322</v>
      </c>
      <c r="B1272" s="6" t="s">
        <v>51</v>
      </c>
      <c r="C1272" s="6" t="s">
        <v>39</v>
      </c>
      <c r="D1272" s="6" t="s">
        <v>52</v>
      </c>
      <c r="E1272" s="6" t="s">
        <v>28</v>
      </c>
      <c r="F1272" s="6" t="s">
        <v>29</v>
      </c>
      <c r="G1272" s="6">
        <v>44</v>
      </c>
      <c r="H1272" s="7">
        <v>1213.57</v>
      </c>
      <c r="I1272" s="7">
        <v>53397.08</v>
      </c>
      <c r="J1272" s="8">
        <v>45442</v>
      </c>
      <c r="K1272" s="6">
        <v>34</v>
      </c>
      <c r="L1272" s="6" t="s">
        <v>23</v>
      </c>
      <c r="M1272" s="6" t="b">
        <v>0</v>
      </c>
      <c r="N1272" s="6">
        <v>7.91</v>
      </c>
      <c r="O1272" s="6" t="s">
        <v>42</v>
      </c>
      <c r="P1272" s="6" t="b">
        <v>0</v>
      </c>
      <c r="Q1272" s="9" t="s">
        <v>25</v>
      </c>
    </row>
    <row r="1273" spans="1:17" x14ac:dyDescent="0.25">
      <c r="A1273" s="5" t="s">
        <v>1323</v>
      </c>
      <c r="B1273" s="6" t="s">
        <v>62</v>
      </c>
      <c r="C1273" s="6" t="s">
        <v>33</v>
      </c>
      <c r="D1273" s="6" t="s">
        <v>64</v>
      </c>
      <c r="E1273" s="6" t="s">
        <v>35</v>
      </c>
      <c r="F1273" s="6" t="s">
        <v>40</v>
      </c>
      <c r="G1273" s="6">
        <v>43</v>
      </c>
      <c r="H1273" s="7">
        <v>109.99</v>
      </c>
      <c r="I1273" s="7">
        <v>4729.57</v>
      </c>
      <c r="J1273" s="8">
        <v>45456</v>
      </c>
      <c r="K1273" s="6">
        <v>26</v>
      </c>
      <c r="L1273" s="6" t="s">
        <v>49</v>
      </c>
      <c r="M1273" s="6" t="b">
        <v>0</v>
      </c>
      <c r="N1273" s="6">
        <v>6.93</v>
      </c>
      <c r="O1273" s="6" t="s">
        <v>42</v>
      </c>
      <c r="P1273" s="6" t="b">
        <v>0</v>
      </c>
      <c r="Q1273" s="9" t="s">
        <v>36</v>
      </c>
    </row>
    <row r="1274" spans="1:17" x14ac:dyDescent="0.25">
      <c r="A1274" s="5" t="s">
        <v>1324</v>
      </c>
      <c r="B1274" s="6" t="s">
        <v>66</v>
      </c>
      <c r="C1274" s="6" t="s">
        <v>39</v>
      </c>
      <c r="D1274" s="6" t="s">
        <v>52</v>
      </c>
      <c r="E1274" s="6" t="s">
        <v>28</v>
      </c>
      <c r="F1274" s="6" t="s">
        <v>22</v>
      </c>
      <c r="G1274" s="6">
        <v>37</v>
      </c>
      <c r="H1274" s="7">
        <v>599.39</v>
      </c>
      <c r="I1274" s="7">
        <v>22177.43</v>
      </c>
      <c r="J1274" s="8">
        <v>45233</v>
      </c>
      <c r="K1274" s="6">
        <v>49</v>
      </c>
      <c r="L1274" s="6" t="s">
        <v>41</v>
      </c>
      <c r="M1274" s="6" t="b">
        <v>1</v>
      </c>
      <c r="N1274" s="6">
        <v>11.98</v>
      </c>
      <c r="O1274" s="6" t="s">
        <v>42</v>
      </c>
      <c r="P1274" s="6" t="b">
        <v>0</v>
      </c>
      <c r="Q1274" s="9" t="s">
        <v>25</v>
      </c>
    </row>
    <row r="1275" spans="1:17" x14ac:dyDescent="0.25">
      <c r="A1275" s="5" t="s">
        <v>1325</v>
      </c>
      <c r="B1275" s="6" t="s">
        <v>51</v>
      </c>
      <c r="C1275" s="6" t="s">
        <v>39</v>
      </c>
      <c r="D1275" s="6" t="s">
        <v>34</v>
      </c>
      <c r="E1275" s="6" t="s">
        <v>35</v>
      </c>
      <c r="F1275" s="6" t="s">
        <v>22</v>
      </c>
      <c r="G1275" s="6">
        <v>66</v>
      </c>
      <c r="H1275" s="7">
        <v>100.34</v>
      </c>
      <c r="I1275" s="7">
        <v>6622.44</v>
      </c>
      <c r="J1275" s="8">
        <v>45458</v>
      </c>
      <c r="K1275" s="6">
        <v>23</v>
      </c>
      <c r="L1275" s="6" t="s">
        <v>41</v>
      </c>
      <c r="M1275" s="6" t="b">
        <v>0</v>
      </c>
      <c r="N1275" s="6">
        <v>17.8</v>
      </c>
      <c r="O1275" s="6" t="s">
        <v>56</v>
      </c>
      <c r="P1275" s="6" t="b">
        <v>1</v>
      </c>
      <c r="Q1275" s="9" t="s">
        <v>25</v>
      </c>
    </row>
    <row r="1276" spans="1:17" x14ac:dyDescent="0.25">
      <c r="A1276" s="5" t="s">
        <v>1326</v>
      </c>
      <c r="B1276" s="6" t="s">
        <v>38</v>
      </c>
      <c r="C1276" s="6" t="s">
        <v>39</v>
      </c>
      <c r="D1276" s="6" t="s">
        <v>34</v>
      </c>
      <c r="E1276" s="6" t="s">
        <v>21</v>
      </c>
      <c r="F1276" s="6" t="s">
        <v>22</v>
      </c>
      <c r="G1276" s="6">
        <v>17</v>
      </c>
      <c r="H1276" s="7">
        <v>198.01</v>
      </c>
      <c r="I1276" s="7">
        <v>3366.17</v>
      </c>
      <c r="J1276" s="8">
        <v>45048</v>
      </c>
      <c r="K1276" s="6">
        <v>66</v>
      </c>
      <c r="L1276" s="6" t="s">
        <v>23</v>
      </c>
      <c r="M1276" s="6" t="b">
        <v>1</v>
      </c>
      <c r="N1276" s="6">
        <v>16.36</v>
      </c>
      <c r="O1276" s="6" t="s">
        <v>30</v>
      </c>
      <c r="P1276" s="6" t="b">
        <v>1</v>
      </c>
      <c r="Q1276" s="9" t="s">
        <v>25</v>
      </c>
    </row>
    <row r="1277" spans="1:17" x14ac:dyDescent="0.25">
      <c r="A1277" s="5" t="s">
        <v>1327</v>
      </c>
      <c r="B1277" s="6" t="s">
        <v>72</v>
      </c>
      <c r="C1277" s="6" t="s">
        <v>33</v>
      </c>
      <c r="D1277" s="6" t="s">
        <v>52</v>
      </c>
      <c r="E1277" s="6" t="s">
        <v>35</v>
      </c>
      <c r="F1277" s="6" t="s">
        <v>40</v>
      </c>
      <c r="G1277" s="6">
        <v>40</v>
      </c>
      <c r="H1277" s="7">
        <v>922.05</v>
      </c>
      <c r="I1277" s="7">
        <v>36882</v>
      </c>
      <c r="J1277" s="8">
        <v>45575</v>
      </c>
      <c r="K1277" s="6">
        <v>57</v>
      </c>
      <c r="L1277" s="6" t="s">
        <v>41</v>
      </c>
      <c r="M1277" s="6" t="b">
        <v>0</v>
      </c>
      <c r="N1277" s="6">
        <v>7.34</v>
      </c>
      <c r="O1277" s="6" t="s">
        <v>30</v>
      </c>
      <c r="P1277" s="6" t="b">
        <v>0</v>
      </c>
      <c r="Q1277" s="9" t="s">
        <v>25</v>
      </c>
    </row>
    <row r="1278" spans="1:17" x14ac:dyDescent="0.25">
      <c r="A1278" s="5" t="s">
        <v>1328</v>
      </c>
      <c r="B1278" s="6" t="s">
        <v>72</v>
      </c>
      <c r="C1278" s="6" t="s">
        <v>39</v>
      </c>
      <c r="D1278" s="6" t="s">
        <v>52</v>
      </c>
      <c r="E1278" s="6" t="s">
        <v>21</v>
      </c>
      <c r="F1278" s="6" t="s">
        <v>40</v>
      </c>
      <c r="G1278" s="6">
        <v>38</v>
      </c>
      <c r="H1278" s="7">
        <v>1317.04</v>
      </c>
      <c r="I1278" s="7">
        <v>50047.519999999997</v>
      </c>
      <c r="J1278" s="8">
        <v>45518</v>
      </c>
      <c r="K1278" s="6">
        <v>38</v>
      </c>
      <c r="L1278" s="6" t="s">
        <v>41</v>
      </c>
      <c r="M1278" s="6" t="b">
        <v>0</v>
      </c>
      <c r="N1278" s="6">
        <v>26.73</v>
      </c>
      <c r="O1278" s="6" t="s">
        <v>24</v>
      </c>
      <c r="P1278" s="6" t="b">
        <v>0</v>
      </c>
      <c r="Q1278" s="9" t="s">
        <v>25</v>
      </c>
    </row>
    <row r="1279" spans="1:17" x14ac:dyDescent="0.25">
      <c r="A1279" s="5" t="s">
        <v>1329</v>
      </c>
      <c r="B1279" s="6" t="s">
        <v>46</v>
      </c>
      <c r="C1279" s="6" t="s">
        <v>33</v>
      </c>
      <c r="D1279" s="6" t="s">
        <v>52</v>
      </c>
      <c r="E1279" s="6" t="s">
        <v>28</v>
      </c>
      <c r="F1279" s="6" t="s">
        <v>29</v>
      </c>
      <c r="G1279" s="6">
        <v>85</v>
      </c>
      <c r="H1279" s="7">
        <v>223.75</v>
      </c>
      <c r="I1279" s="7">
        <v>19018.75</v>
      </c>
      <c r="J1279" s="8">
        <v>45080</v>
      </c>
      <c r="K1279" s="6">
        <v>24</v>
      </c>
      <c r="L1279" s="6" t="s">
        <v>49</v>
      </c>
      <c r="M1279" s="6" t="b">
        <v>0</v>
      </c>
      <c r="N1279" s="6">
        <v>3.3</v>
      </c>
      <c r="O1279" s="6" t="s">
        <v>56</v>
      </c>
      <c r="P1279" s="6" t="b">
        <v>1</v>
      </c>
      <c r="Q1279" s="9" t="s">
        <v>25</v>
      </c>
    </row>
    <row r="1280" spans="1:17" x14ac:dyDescent="0.25">
      <c r="A1280" s="5" t="s">
        <v>1330</v>
      </c>
      <c r="B1280" s="6" t="s">
        <v>76</v>
      </c>
      <c r="C1280" s="6" t="s">
        <v>39</v>
      </c>
      <c r="D1280" s="6" t="s">
        <v>47</v>
      </c>
      <c r="E1280" s="6" t="s">
        <v>35</v>
      </c>
      <c r="F1280" s="6" t="s">
        <v>48</v>
      </c>
      <c r="G1280" s="6">
        <v>61</v>
      </c>
      <c r="H1280" s="7">
        <v>704.08</v>
      </c>
      <c r="I1280" s="7">
        <v>42948.88</v>
      </c>
      <c r="J1280" s="8">
        <v>45463</v>
      </c>
      <c r="K1280" s="6">
        <v>24</v>
      </c>
      <c r="L1280" s="6" t="s">
        <v>23</v>
      </c>
      <c r="M1280" s="6" t="b">
        <v>1</v>
      </c>
      <c r="N1280" s="6">
        <v>1.18</v>
      </c>
      <c r="O1280" s="6" t="s">
        <v>24</v>
      </c>
      <c r="P1280" s="6" t="b">
        <v>1</v>
      </c>
      <c r="Q1280" s="9" t="s">
        <v>36</v>
      </c>
    </row>
    <row r="1281" spans="1:17" x14ac:dyDescent="0.25">
      <c r="A1281" s="5" t="s">
        <v>1331</v>
      </c>
      <c r="B1281" s="6" t="s">
        <v>18</v>
      </c>
      <c r="C1281" s="6" t="s">
        <v>33</v>
      </c>
      <c r="D1281" s="6" t="s">
        <v>34</v>
      </c>
      <c r="E1281" s="6" t="s">
        <v>21</v>
      </c>
      <c r="F1281" s="6" t="s">
        <v>40</v>
      </c>
      <c r="G1281" s="6">
        <v>9</v>
      </c>
      <c r="H1281" s="7">
        <v>1370.77</v>
      </c>
      <c r="I1281" s="7">
        <v>12336.93</v>
      </c>
      <c r="J1281" s="8">
        <v>45378</v>
      </c>
      <c r="K1281" s="6">
        <v>64</v>
      </c>
      <c r="L1281" s="6" t="s">
        <v>23</v>
      </c>
      <c r="M1281" s="6" t="b">
        <v>0</v>
      </c>
      <c r="N1281" s="6">
        <v>18.079999999999998</v>
      </c>
      <c r="O1281" s="6" t="s">
        <v>24</v>
      </c>
      <c r="P1281" s="6" t="b">
        <v>1</v>
      </c>
      <c r="Q1281" s="9" t="s">
        <v>25</v>
      </c>
    </row>
    <row r="1282" spans="1:17" x14ac:dyDescent="0.25">
      <c r="A1282" s="5" t="s">
        <v>1332</v>
      </c>
      <c r="B1282" s="6" t="s">
        <v>72</v>
      </c>
      <c r="C1282" s="6" t="s">
        <v>39</v>
      </c>
      <c r="D1282" s="6" t="s">
        <v>34</v>
      </c>
      <c r="E1282" s="6" t="s">
        <v>21</v>
      </c>
      <c r="F1282" s="6" t="s">
        <v>48</v>
      </c>
      <c r="G1282" s="6">
        <v>77</v>
      </c>
      <c r="H1282" s="7">
        <v>1230.74</v>
      </c>
      <c r="I1282" s="7">
        <v>94766.98</v>
      </c>
      <c r="J1282" s="8">
        <v>45095</v>
      </c>
      <c r="K1282" s="6">
        <v>56</v>
      </c>
      <c r="L1282" s="6" t="s">
        <v>23</v>
      </c>
      <c r="M1282" s="6" t="b">
        <v>1</v>
      </c>
      <c r="N1282" s="6">
        <v>3.7</v>
      </c>
      <c r="O1282" s="6" t="s">
        <v>24</v>
      </c>
      <c r="P1282" s="6" t="b">
        <v>1</v>
      </c>
      <c r="Q1282" s="9" t="s">
        <v>25</v>
      </c>
    </row>
    <row r="1283" spans="1:17" x14ac:dyDescent="0.25">
      <c r="A1283" s="5" t="s">
        <v>1333</v>
      </c>
      <c r="B1283" s="6" t="s">
        <v>32</v>
      </c>
      <c r="C1283" s="6" t="s">
        <v>19</v>
      </c>
      <c r="D1283" s="6" t="s">
        <v>47</v>
      </c>
      <c r="E1283" s="6" t="s">
        <v>21</v>
      </c>
      <c r="F1283" s="6" t="s">
        <v>48</v>
      </c>
      <c r="G1283" s="6">
        <v>75</v>
      </c>
      <c r="H1283" s="7">
        <v>803.52</v>
      </c>
      <c r="I1283" s="7">
        <v>60264</v>
      </c>
      <c r="J1283" s="8">
        <v>44985</v>
      </c>
      <c r="K1283" s="6">
        <v>44</v>
      </c>
      <c r="L1283" s="6" t="s">
        <v>49</v>
      </c>
      <c r="M1283" s="6" t="b">
        <v>0</v>
      </c>
      <c r="N1283" s="6">
        <v>15.15</v>
      </c>
      <c r="O1283" s="6" t="s">
        <v>24</v>
      </c>
      <c r="P1283" s="6" t="b">
        <v>1</v>
      </c>
      <c r="Q1283" s="9" t="s">
        <v>25</v>
      </c>
    </row>
    <row r="1284" spans="1:17" x14ac:dyDescent="0.25">
      <c r="A1284" s="5" t="s">
        <v>1334</v>
      </c>
      <c r="B1284" s="6" t="s">
        <v>51</v>
      </c>
      <c r="C1284" s="6" t="s">
        <v>39</v>
      </c>
      <c r="D1284" s="6" t="s">
        <v>52</v>
      </c>
      <c r="E1284" s="6" t="s">
        <v>44</v>
      </c>
      <c r="F1284" s="6" t="s">
        <v>40</v>
      </c>
      <c r="G1284" s="6">
        <v>61</v>
      </c>
      <c r="H1284" s="7">
        <v>1168.78</v>
      </c>
      <c r="I1284" s="7">
        <v>71295.58</v>
      </c>
      <c r="J1284" s="8">
        <v>45227</v>
      </c>
      <c r="K1284" s="6">
        <v>25</v>
      </c>
      <c r="L1284" s="6" t="s">
        <v>23</v>
      </c>
      <c r="M1284" s="6" t="b">
        <v>1</v>
      </c>
      <c r="N1284" s="6">
        <v>28.55</v>
      </c>
      <c r="O1284" s="6" t="s">
        <v>24</v>
      </c>
      <c r="P1284" s="6" t="b">
        <v>1</v>
      </c>
      <c r="Q1284" s="9" t="s">
        <v>25</v>
      </c>
    </row>
    <row r="1285" spans="1:17" x14ac:dyDescent="0.25">
      <c r="A1285" s="5" t="s">
        <v>1335</v>
      </c>
      <c r="B1285" s="6" t="s">
        <v>32</v>
      </c>
      <c r="C1285" s="6" t="s">
        <v>39</v>
      </c>
      <c r="D1285" s="6" t="s">
        <v>64</v>
      </c>
      <c r="E1285" s="6" t="s">
        <v>28</v>
      </c>
      <c r="F1285" s="6" t="s">
        <v>22</v>
      </c>
      <c r="G1285" s="6">
        <v>80</v>
      </c>
      <c r="H1285" s="7">
        <v>807.91</v>
      </c>
      <c r="I1285" s="7">
        <v>64632.800000000003</v>
      </c>
      <c r="J1285" s="8">
        <v>45479</v>
      </c>
      <c r="K1285" s="6">
        <v>26</v>
      </c>
      <c r="L1285" s="6" t="s">
        <v>41</v>
      </c>
      <c r="M1285" s="6" t="b">
        <v>1</v>
      </c>
      <c r="N1285" s="6">
        <v>20.96</v>
      </c>
      <c r="O1285" s="6" t="s">
        <v>56</v>
      </c>
      <c r="P1285" s="6" t="b">
        <v>1</v>
      </c>
      <c r="Q1285" s="9" t="s">
        <v>25</v>
      </c>
    </row>
    <row r="1286" spans="1:17" x14ac:dyDescent="0.25">
      <c r="A1286" s="5" t="s">
        <v>1336</v>
      </c>
      <c r="B1286" s="6" t="s">
        <v>38</v>
      </c>
      <c r="C1286" s="6" t="s">
        <v>33</v>
      </c>
      <c r="D1286" s="6" t="s">
        <v>52</v>
      </c>
      <c r="E1286" s="6" t="s">
        <v>21</v>
      </c>
      <c r="F1286" s="6" t="s">
        <v>29</v>
      </c>
      <c r="G1286" s="6">
        <v>16</v>
      </c>
      <c r="H1286" s="7">
        <v>279.23</v>
      </c>
      <c r="I1286" s="7">
        <v>4467.68</v>
      </c>
      <c r="J1286" s="8">
        <v>45476</v>
      </c>
      <c r="K1286" s="6">
        <v>45</v>
      </c>
      <c r="L1286" s="6" t="s">
        <v>23</v>
      </c>
      <c r="M1286" s="6" t="b">
        <v>1</v>
      </c>
      <c r="N1286" s="6">
        <v>18.52</v>
      </c>
      <c r="O1286" s="6" t="s">
        <v>42</v>
      </c>
      <c r="P1286" s="6" t="b">
        <v>1</v>
      </c>
      <c r="Q1286" s="9" t="s">
        <v>36</v>
      </c>
    </row>
    <row r="1287" spans="1:17" x14ac:dyDescent="0.25">
      <c r="A1287" s="5" t="s">
        <v>1337</v>
      </c>
      <c r="B1287" s="6" t="s">
        <v>72</v>
      </c>
      <c r="C1287" s="6" t="s">
        <v>33</v>
      </c>
      <c r="D1287" s="6" t="s">
        <v>52</v>
      </c>
      <c r="E1287" s="6" t="s">
        <v>35</v>
      </c>
      <c r="F1287" s="6" t="s">
        <v>48</v>
      </c>
      <c r="G1287" s="6">
        <v>2</v>
      </c>
      <c r="H1287" s="7">
        <v>230.87</v>
      </c>
      <c r="I1287" s="7">
        <v>461.74</v>
      </c>
      <c r="J1287" s="8">
        <v>45043</v>
      </c>
      <c r="K1287" s="6">
        <v>32</v>
      </c>
      <c r="L1287" s="6" t="s">
        <v>41</v>
      </c>
      <c r="M1287" s="6" t="b">
        <v>0</v>
      </c>
      <c r="N1287" s="6">
        <v>17.239999999999998</v>
      </c>
      <c r="O1287" s="6" t="s">
        <v>24</v>
      </c>
      <c r="P1287" s="6" t="b">
        <v>1</v>
      </c>
      <c r="Q1287" s="9" t="s">
        <v>25</v>
      </c>
    </row>
    <row r="1288" spans="1:17" x14ac:dyDescent="0.25">
      <c r="A1288" s="5" t="s">
        <v>1338</v>
      </c>
      <c r="B1288" s="6" t="s">
        <v>18</v>
      </c>
      <c r="C1288" s="6" t="s">
        <v>39</v>
      </c>
      <c r="D1288" s="6" t="s">
        <v>47</v>
      </c>
      <c r="E1288" s="6" t="s">
        <v>21</v>
      </c>
      <c r="F1288" s="6" t="s">
        <v>22</v>
      </c>
      <c r="G1288" s="6">
        <v>72</v>
      </c>
      <c r="H1288" s="7">
        <v>323.13</v>
      </c>
      <c r="I1288" s="7">
        <v>23265.360000000001</v>
      </c>
      <c r="J1288" s="8">
        <v>45053</v>
      </c>
      <c r="K1288" s="6">
        <v>19</v>
      </c>
      <c r="L1288" s="6" t="s">
        <v>23</v>
      </c>
      <c r="M1288" s="6" t="b">
        <v>0</v>
      </c>
      <c r="N1288" s="6">
        <v>5.39</v>
      </c>
      <c r="O1288" s="6" t="s">
        <v>30</v>
      </c>
      <c r="P1288" s="6" t="b">
        <v>0</v>
      </c>
      <c r="Q1288" s="9" t="s">
        <v>25</v>
      </c>
    </row>
    <row r="1289" spans="1:17" x14ac:dyDescent="0.25">
      <c r="A1289" s="5" t="s">
        <v>1339</v>
      </c>
      <c r="B1289" s="6" t="s">
        <v>38</v>
      </c>
      <c r="C1289" s="6" t="s">
        <v>19</v>
      </c>
      <c r="D1289" s="6" t="s">
        <v>34</v>
      </c>
      <c r="E1289" s="6" t="s">
        <v>44</v>
      </c>
      <c r="F1289" s="6" t="s">
        <v>40</v>
      </c>
      <c r="G1289" s="6">
        <v>43</v>
      </c>
      <c r="H1289" s="7">
        <v>558.84</v>
      </c>
      <c r="I1289" s="7">
        <v>24030.12</v>
      </c>
      <c r="J1289" s="8">
        <v>45331</v>
      </c>
      <c r="K1289" s="6">
        <v>24</v>
      </c>
      <c r="L1289" s="6" t="s">
        <v>23</v>
      </c>
      <c r="M1289" s="6" t="b">
        <v>1</v>
      </c>
      <c r="N1289" s="6">
        <v>12.98</v>
      </c>
      <c r="O1289" s="6" t="s">
        <v>56</v>
      </c>
      <c r="P1289" s="6" t="b">
        <v>1</v>
      </c>
      <c r="Q1289" s="9" t="s">
        <v>25</v>
      </c>
    </row>
    <row r="1290" spans="1:17" x14ac:dyDescent="0.25">
      <c r="A1290" s="5" t="s">
        <v>1340</v>
      </c>
      <c r="B1290" s="6" t="s">
        <v>62</v>
      </c>
      <c r="C1290" s="6" t="s">
        <v>19</v>
      </c>
      <c r="D1290" s="6" t="s">
        <v>52</v>
      </c>
      <c r="E1290" s="6" t="s">
        <v>28</v>
      </c>
      <c r="F1290" s="6" t="s">
        <v>48</v>
      </c>
      <c r="G1290" s="6">
        <v>42</v>
      </c>
      <c r="H1290" s="7">
        <v>1399.27</v>
      </c>
      <c r="I1290" s="7">
        <v>58769.34</v>
      </c>
      <c r="J1290" s="8">
        <v>45325</v>
      </c>
      <c r="K1290" s="6">
        <v>64</v>
      </c>
      <c r="L1290" s="6" t="s">
        <v>49</v>
      </c>
      <c r="M1290" s="6" t="b">
        <v>0</v>
      </c>
      <c r="N1290" s="6">
        <v>10.28</v>
      </c>
      <c r="O1290" s="6" t="s">
        <v>24</v>
      </c>
      <c r="P1290" s="6" t="b">
        <v>1</v>
      </c>
      <c r="Q1290" s="9" t="s">
        <v>25</v>
      </c>
    </row>
    <row r="1291" spans="1:17" x14ac:dyDescent="0.25">
      <c r="A1291" s="5" t="s">
        <v>1341</v>
      </c>
      <c r="B1291" s="6" t="s">
        <v>62</v>
      </c>
      <c r="C1291" s="6" t="s">
        <v>33</v>
      </c>
      <c r="D1291" s="6" t="s">
        <v>34</v>
      </c>
      <c r="E1291" s="6" t="s">
        <v>44</v>
      </c>
      <c r="F1291" s="6" t="s">
        <v>48</v>
      </c>
      <c r="G1291" s="6">
        <v>77</v>
      </c>
      <c r="H1291" s="7">
        <v>1209.53</v>
      </c>
      <c r="I1291" s="7">
        <v>93133.81</v>
      </c>
      <c r="J1291" s="8">
        <v>45441</v>
      </c>
      <c r="K1291" s="6">
        <v>35</v>
      </c>
      <c r="L1291" s="6" t="s">
        <v>23</v>
      </c>
      <c r="M1291" s="6" t="b">
        <v>0</v>
      </c>
      <c r="N1291" s="6">
        <v>28.59</v>
      </c>
      <c r="O1291" s="6" t="s">
        <v>30</v>
      </c>
      <c r="P1291" s="6" t="b">
        <v>0</v>
      </c>
      <c r="Q1291" s="9" t="s">
        <v>36</v>
      </c>
    </row>
    <row r="1292" spans="1:17" x14ac:dyDescent="0.25">
      <c r="A1292" s="5" t="s">
        <v>1342</v>
      </c>
      <c r="B1292" s="6" t="s">
        <v>32</v>
      </c>
      <c r="C1292" s="6" t="s">
        <v>19</v>
      </c>
      <c r="D1292" s="6" t="s">
        <v>20</v>
      </c>
      <c r="E1292" s="6" t="s">
        <v>44</v>
      </c>
      <c r="F1292" s="6" t="s">
        <v>48</v>
      </c>
      <c r="G1292" s="6">
        <v>57</v>
      </c>
      <c r="H1292" s="7">
        <v>677.56</v>
      </c>
      <c r="I1292" s="7">
        <v>38620.92</v>
      </c>
      <c r="J1292" s="8">
        <v>45424</v>
      </c>
      <c r="K1292" s="6">
        <v>39</v>
      </c>
      <c r="L1292" s="6" t="s">
        <v>23</v>
      </c>
      <c r="M1292" s="6" t="b">
        <v>0</v>
      </c>
      <c r="N1292" s="6">
        <v>7.27</v>
      </c>
      <c r="O1292" s="6" t="s">
        <v>24</v>
      </c>
      <c r="P1292" s="6" t="b">
        <v>1</v>
      </c>
      <c r="Q1292" s="9" t="s">
        <v>36</v>
      </c>
    </row>
    <row r="1293" spans="1:17" x14ac:dyDescent="0.25">
      <c r="A1293" s="5" t="s">
        <v>1343</v>
      </c>
      <c r="B1293" s="6" t="s">
        <v>76</v>
      </c>
      <c r="C1293" s="6" t="s">
        <v>39</v>
      </c>
      <c r="D1293" s="6" t="s">
        <v>34</v>
      </c>
      <c r="E1293" s="6" t="s">
        <v>44</v>
      </c>
      <c r="F1293" s="6" t="s">
        <v>22</v>
      </c>
      <c r="G1293" s="6">
        <v>81</v>
      </c>
      <c r="H1293" s="7">
        <v>764.96</v>
      </c>
      <c r="I1293" s="7">
        <v>61961.760000000002</v>
      </c>
      <c r="J1293" s="8">
        <v>45454</v>
      </c>
      <c r="K1293" s="6">
        <v>67</v>
      </c>
      <c r="L1293" s="6" t="s">
        <v>49</v>
      </c>
      <c r="M1293" s="6" t="b">
        <v>1</v>
      </c>
      <c r="N1293" s="6">
        <v>14.15</v>
      </c>
      <c r="O1293" s="6" t="s">
        <v>42</v>
      </c>
      <c r="P1293" s="6" t="b">
        <v>1</v>
      </c>
      <c r="Q1293" s="9" t="s">
        <v>25</v>
      </c>
    </row>
    <row r="1294" spans="1:17" x14ac:dyDescent="0.25">
      <c r="A1294" s="5" t="s">
        <v>1344</v>
      </c>
      <c r="B1294" s="6" t="s">
        <v>66</v>
      </c>
      <c r="C1294" s="6" t="s">
        <v>33</v>
      </c>
      <c r="D1294" s="6" t="s">
        <v>64</v>
      </c>
      <c r="E1294" s="6" t="s">
        <v>35</v>
      </c>
      <c r="F1294" s="6" t="s">
        <v>22</v>
      </c>
      <c r="G1294" s="6">
        <v>88</v>
      </c>
      <c r="H1294" s="7">
        <v>435.13</v>
      </c>
      <c r="I1294" s="7">
        <v>38291.440000000002</v>
      </c>
      <c r="J1294" s="8">
        <v>45324</v>
      </c>
      <c r="K1294" s="6">
        <v>27</v>
      </c>
      <c r="L1294" s="6" t="s">
        <v>41</v>
      </c>
      <c r="M1294" s="6" t="b">
        <v>1</v>
      </c>
      <c r="N1294" s="6">
        <v>28.14</v>
      </c>
      <c r="O1294" s="6" t="s">
        <v>56</v>
      </c>
      <c r="P1294" s="6" t="b">
        <v>0</v>
      </c>
      <c r="Q1294" s="9" t="s">
        <v>25</v>
      </c>
    </row>
    <row r="1295" spans="1:17" x14ac:dyDescent="0.25">
      <c r="A1295" s="5" t="s">
        <v>1345</v>
      </c>
      <c r="B1295" s="6" t="s">
        <v>76</v>
      </c>
      <c r="C1295" s="6" t="s">
        <v>39</v>
      </c>
      <c r="D1295" s="6" t="s">
        <v>64</v>
      </c>
      <c r="E1295" s="6" t="s">
        <v>28</v>
      </c>
      <c r="F1295" s="6" t="s">
        <v>22</v>
      </c>
      <c r="G1295" s="6">
        <v>67</v>
      </c>
      <c r="H1295" s="7">
        <v>1071.31</v>
      </c>
      <c r="I1295" s="7">
        <v>71777.77</v>
      </c>
      <c r="J1295" s="8">
        <v>45191</v>
      </c>
      <c r="K1295" s="6">
        <v>67</v>
      </c>
      <c r="L1295" s="6" t="s">
        <v>23</v>
      </c>
      <c r="M1295" s="6" t="b">
        <v>0</v>
      </c>
      <c r="N1295" s="6">
        <v>23.68</v>
      </c>
      <c r="O1295" s="6" t="s">
        <v>42</v>
      </c>
      <c r="P1295" s="6" t="b">
        <v>1</v>
      </c>
      <c r="Q1295" s="9" t="s">
        <v>36</v>
      </c>
    </row>
    <row r="1296" spans="1:17" x14ac:dyDescent="0.25">
      <c r="A1296" s="5" t="s">
        <v>1346</v>
      </c>
      <c r="B1296" s="6" t="s">
        <v>46</v>
      </c>
      <c r="C1296" s="6" t="s">
        <v>33</v>
      </c>
      <c r="D1296" s="6" t="s">
        <v>52</v>
      </c>
      <c r="E1296" s="6" t="s">
        <v>28</v>
      </c>
      <c r="F1296" s="6" t="s">
        <v>48</v>
      </c>
      <c r="G1296" s="6">
        <v>30</v>
      </c>
      <c r="H1296" s="7">
        <v>1214.01</v>
      </c>
      <c r="I1296" s="7">
        <v>36420.300000000003</v>
      </c>
      <c r="J1296" s="8">
        <v>45189</v>
      </c>
      <c r="K1296" s="6">
        <v>50</v>
      </c>
      <c r="L1296" s="6" t="s">
        <v>23</v>
      </c>
      <c r="M1296" s="6" t="b">
        <v>1</v>
      </c>
      <c r="N1296" s="6">
        <v>28.94</v>
      </c>
      <c r="O1296" s="6" t="s">
        <v>30</v>
      </c>
      <c r="P1296" s="6" t="b">
        <v>0</v>
      </c>
      <c r="Q1296" s="9" t="s">
        <v>25</v>
      </c>
    </row>
    <row r="1297" spans="1:17" x14ac:dyDescent="0.25">
      <c r="A1297" s="5" t="s">
        <v>1347</v>
      </c>
      <c r="B1297" s="6" t="s">
        <v>76</v>
      </c>
      <c r="C1297" s="6" t="s">
        <v>33</v>
      </c>
      <c r="D1297" s="6" t="s">
        <v>34</v>
      </c>
      <c r="E1297" s="6" t="s">
        <v>35</v>
      </c>
      <c r="F1297" s="6" t="s">
        <v>48</v>
      </c>
      <c r="G1297" s="6">
        <v>13</v>
      </c>
      <c r="H1297" s="7">
        <v>396.41</v>
      </c>
      <c r="I1297" s="7">
        <v>5153.33</v>
      </c>
      <c r="J1297" s="8">
        <v>45324</v>
      </c>
      <c r="K1297" s="6">
        <v>24</v>
      </c>
      <c r="L1297" s="6" t="s">
        <v>41</v>
      </c>
      <c r="M1297" s="6" t="b">
        <v>0</v>
      </c>
      <c r="N1297" s="6">
        <v>18.25</v>
      </c>
      <c r="O1297" s="6" t="s">
        <v>24</v>
      </c>
      <c r="P1297" s="6" t="b">
        <v>0</v>
      </c>
      <c r="Q1297" s="9" t="s">
        <v>36</v>
      </c>
    </row>
    <row r="1298" spans="1:17" x14ac:dyDescent="0.25">
      <c r="A1298" s="5" t="s">
        <v>1348</v>
      </c>
      <c r="B1298" s="6" t="s">
        <v>46</v>
      </c>
      <c r="C1298" s="6" t="s">
        <v>33</v>
      </c>
      <c r="D1298" s="6" t="s">
        <v>52</v>
      </c>
      <c r="E1298" s="6" t="s">
        <v>28</v>
      </c>
      <c r="F1298" s="6" t="s">
        <v>29</v>
      </c>
      <c r="G1298" s="6">
        <v>19</v>
      </c>
      <c r="H1298" s="7">
        <v>110.64</v>
      </c>
      <c r="I1298" s="7">
        <v>2102.16</v>
      </c>
      <c r="J1298" s="8">
        <v>45572</v>
      </c>
      <c r="K1298" s="6">
        <v>20</v>
      </c>
      <c r="L1298" s="6" t="s">
        <v>49</v>
      </c>
      <c r="M1298" s="6" t="b">
        <v>0</v>
      </c>
      <c r="N1298" s="6">
        <v>10.01</v>
      </c>
      <c r="O1298" s="6" t="s">
        <v>42</v>
      </c>
      <c r="P1298" s="6" t="b">
        <v>1</v>
      </c>
      <c r="Q1298" s="9" t="s">
        <v>25</v>
      </c>
    </row>
    <row r="1299" spans="1:17" x14ac:dyDescent="0.25">
      <c r="A1299" s="5" t="s">
        <v>1349</v>
      </c>
      <c r="B1299" s="6" t="s">
        <v>46</v>
      </c>
      <c r="C1299" s="6" t="s">
        <v>33</v>
      </c>
      <c r="D1299" s="6" t="s">
        <v>47</v>
      </c>
      <c r="E1299" s="6" t="s">
        <v>44</v>
      </c>
      <c r="F1299" s="6" t="s">
        <v>29</v>
      </c>
      <c r="G1299" s="6">
        <v>7</v>
      </c>
      <c r="H1299" s="7">
        <v>954.64</v>
      </c>
      <c r="I1299" s="7">
        <v>6682.48</v>
      </c>
      <c r="J1299" s="8">
        <v>45453</v>
      </c>
      <c r="K1299" s="6">
        <v>31</v>
      </c>
      <c r="L1299" s="6" t="s">
        <v>23</v>
      </c>
      <c r="M1299" s="6" t="b">
        <v>1</v>
      </c>
      <c r="N1299" s="6">
        <v>24.8</v>
      </c>
      <c r="O1299" s="6" t="s">
        <v>42</v>
      </c>
      <c r="P1299" s="6" t="b">
        <v>0</v>
      </c>
      <c r="Q1299" s="9" t="s">
        <v>36</v>
      </c>
    </row>
    <row r="1300" spans="1:17" x14ac:dyDescent="0.25">
      <c r="A1300" s="5" t="s">
        <v>1350</v>
      </c>
      <c r="B1300" s="6" t="s">
        <v>18</v>
      </c>
      <c r="C1300" s="6" t="s">
        <v>19</v>
      </c>
      <c r="D1300" s="6" t="s">
        <v>64</v>
      </c>
      <c r="E1300" s="6" t="s">
        <v>28</v>
      </c>
      <c r="F1300" s="6" t="s">
        <v>22</v>
      </c>
      <c r="G1300" s="6">
        <v>9</v>
      </c>
      <c r="H1300" s="7">
        <v>865.64</v>
      </c>
      <c r="I1300" s="7">
        <v>7790.76</v>
      </c>
      <c r="J1300" s="8">
        <v>45362</v>
      </c>
      <c r="K1300" s="6">
        <v>61</v>
      </c>
      <c r="L1300" s="6" t="s">
        <v>49</v>
      </c>
      <c r="M1300" s="6" t="b">
        <v>1</v>
      </c>
      <c r="N1300" s="6">
        <v>8.74</v>
      </c>
      <c r="O1300" s="6" t="s">
        <v>24</v>
      </c>
      <c r="P1300" s="6" t="b">
        <v>0</v>
      </c>
      <c r="Q1300" s="9" t="s">
        <v>36</v>
      </c>
    </row>
    <row r="1301" spans="1:17" x14ac:dyDescent="0.25">
      <c r="A1301" s="5" t="s">
        <v>1351</v>
      </c>
      <c r="B1301" s="6" t="s">
        <v>72</v>
      </c>
      <c r="C1301" s="6" t="s">
        <v>39</v>
      </c>
      <c r="D1301" s="6" t="s">
        <v>52</v>
      </c>
      <c r="E1301" s="6" t="s">
        <v>35</v>
      </c>
      <c r="F1301" s="6" t="s">
        <v>22</v>
      </c>
      <c r="G1301" s="6">
        <v>83</v>
      </c>
      <c r="H1301" s="7">
        <v>633.09</v>
      </c>
      <c r="I1301" s="7">
        <v>52546.47</v>
      </c>
      <c r="J1301" s="8">
        <v>45286</v>
      </c>
      <c r="K1301" s="6">
        <v>63</v>
      </c>
      <c r="L1301" s="6" t="s">
        <v>41</v>
      </c>
      <c r="M1301" s="6" t="b">
        <v>0</v>
      </c>
      <c r="N1301" s="6">
        <v>4.9400000000000004</v>
      </c>
      <c r="O1301" s="6" t="s">
        <v>56</v>
      </c>
      <c r="P1301" s="6" t="b">
        <v>0</v>
      </c>
      <c r="Q1301" s="9" t="s">
        <v>25</v>
      </c>
    </row>
    <row r="1302" spans="1:17" x14ac:dyDescent="0.25">
      <c r="A1302" s="5" t="s">
        <v>1352</v>
      </c>
      <c r="B1302" s="6" t="s">
        <v>18</v>
      </c>
      <c r="C1302" s="6" t="s">
        <v>39</v>
      </c>
      <c r="D1302" s="6" t="s">
        <v>47</v>
      </c>
      <c r="E1302" s="6" t="s">
        <v>44</v>
      </c>
      <c r="F1302" s="6" t="s">
        <v>40</v>
      </c>
      <c r="G1302" s="6">
        <v>54</v>
      </c>
      <c r="H1302" s="7">
        <v>983.65</v>
      </c>
      <c r="I1302" s="7">
        <v>53117.1</v>
      </c>
      <c r="J1302" s="8">
        <v>45055</v>
      </c>
      <c r="K1302" s="6">
        <v>53</v>
      </c>
      <c r="L1302" s="6" t="s">
        <v>41</v>
      </c>
      <c r="M1302" s="6" t="b">
        <v>0</v>
      </c>
      <c r="N1302" s="6">
        <v>21.19</v>
      </c>
      <c r="O1302" s="6" t="s">
        <v>30</v>
      </c>
      <c r="P1302" s="6" t="b">
        <v>0</v>
      </c>
      <c r="Q1302" s="9" t="s">
        <v>25</v>
      </c>
    </row>
    <row r="1303" spans="1:17" x14ac:dyDescent="0.25">
      <c r="A1303" s="5" t="s">
        <v>1353</v>
      </c>
      <c r="B1303" s="6" t="s">
        <v>46</v>
      </c>
      <c r="C1303" s="6" t="s">
        <v>39</v>
      </c>
      <c r="D1303" s="6" t="s">
        <v>52</v>
      </c>
      <c r="E1303" s="6" t="s">
        <v>35</v>
      </c>
      <c r="F1303" s="6" t="s">
        <v>22</v>
      </c>
      <c r="G1303" s="6">
        <v>86</v>
      </c>
      <c r="H1303" s="7">
        <v>848.39</v>
      </c>
      <c r="I1303" s="7">
        <v>72961.539999999994</v>
      </c>
      <c r="J1303" s="8">
        <v>45560</v>
      </c>
      <c r="K1303" s="6">
        <v>30</v>
      </c>
      <c r="L1303" s="6" t="s">
        <v>49</v>
      </c>
      <c r="M1303" s="6" t="b">
        <v>0</v>
      </c>
      <c r="N1303" s="6">
        <v>19.170000000000002</v>
      </c>
      <c r="O1303" s="6" t="s">
        <v>56</v>
      </c>
      <c r="P1303" s="6" t="b">
        <v>1</v>
      </c>
      <c r="Q1303" s="9" t="s">
        <v>25</v>
      </c>
    </row>
    <row r="1304" spans="1:17" x14ac:dyDescent="0.25">
      <c r="A1304" s="5" t="s">
        <v>1354</v>
      </c>
      <c r="B1304" s="6" t="s">
        <v>38</v>
      </c>
      <c r="C1304" s="6" t="s">
        <v>33</v>
      </c>
      <c r="D1304" s="6" t="s">
        <v>34</v>
      </c>
      <c r="E1304" s="6" t="s">
        <v>21</v>
      </c>
      <c r="F1304" s="6" t="s">
        <v>29</v>
      </c>
      <c r="G1304" s="6">
        <v>82</v>
      </c>
      <c r="H1304" s="7">
        <v>413.34</v>
      </c>
      <c r="I1304" s="7">
        <v>33893.879999999997</v>
      </c>
      <c r="J1304" s="8">
        <v>45167</v>
      </c>
      <c r="K1304" s="6">
        <v>33</v>
      </c>
      <c r="L1304" s="6" t="s">
        <v>41</v>
      </c>
      <c r="M1304" s="6" t="b">
        <v>1</v>
      </c>
      <c r="N1304" s="6">
        <v>26.37</v>
      </c>
      <c r="O1304" s="6" t="s">
        <v>30</v>
      </c>
      <c r="P1304" s="6" t="b">
        <v>0</v>
      </c>
      <c r="Q1304" s="9" t="s">
        <v>25</v>
      </c>
    </row>
    <row r="1305" spans="1:17" x14ac:dyDescent="0.25">
      <c r="A1305" s="5" t="s">
        <v>1355</v>
      </c>
      <c r="B1305" s="6" t="s">
        <v>62</v>
      </c>
      <c r="C1305" s="6" t="s">
        <v>19</v>
      </c>
      <c r="D1305" s="6" t="s">
        <v>34</v>
      </c>
      <c r="E1305" s="6" t="s">
        <v>44</v>
      </c>
      <c r="F1305" s="6" t="s">
        <v>29</v>
      </c>
      <c r="G1305" s="6">
        <v>61</v>
      </c>
      <c r="H1305" s="7">
        <v>626.71</v>
      </c>
      <c r="I1305" s="7">
        <v>38229.31</v>
      </c>
      <c r="J1305" s="8">
        <v>45553</v>
      </c>
      <c r="K1305" s="6">
        <v>33</v>
      </c>
      <c r="L1305" s="6" t="s">
        <v>41</v>
      </c>
      <c r="M1305" s="6" t="b">
        <v>1</v>
      </c>
      <c r="N1305" s="6">
        <v>28.86</v>
      </c>
      <c r="O1305" s="6" t="s">
        <v>30</v>
      </c>
      <c r="P1305" s="6" t="b">
        <v>0</v>
      </c>
      <c r="Q1305" s="9" t="s">
        <v>36</v>
      </c>
    </row>
    <row r="1306" spans="1:17" x14ac:dyDescent="0.25">
      <c r="A1306" s="5" t="s">
        <v>1356</v>
      </c>
      <c r="B1306" s="6" t="s">
        <v>46</v>
      </c>
      <c r="C1306" s="6" t="s">
        <v>39</v>
      </c>
      <c r="D1306" s="6" t="s">
        <v>34</v>
      </c>
      <c r="E1306" s="6" t="s">
        <v>44</v>
      </c>
      <c r="F1306" s="6" t="s">
        <v>29</v>
      </c>
      <c r="G1306" s="6">
        <v>87</v>
      </c>
      <c r="H1306" s="7">
        <v>670.76</v>
      </c>
      <c r="I1306" s="7">
        <v>58356.12</v>
      </c>
      <c r="J1306" s="8">
        <v>45148</v>
      </c>
      <c r="K1306" s="6">
        <v>22</v>
      </c>
      <c r="L1306" s="6" t="s">
        <v>23</v>
      </c>
      <c r="M1306" s="6" t="b">
        <v>0</v>
      </c>
      <c r="N1306" s="6">
        <v>25.72</v>
      </c>
      <c r="O1306" s="6" t="s">
        <v>42</v>
      </c>
      <c r="P1306" s="6" t="b">
        <v>1</v>
      </c>
      <c r="Q1306" s="9" t="s">
        <v>36</v>
      </c>
    </row>
    <row r="1307" spans="1:17" x14ac:dyDescent="0.25">
      <c r="A1307" s="5" t="s">
        <v>1357</v>
      </c>
      <c r="B1307" s="6" t="s">
        <v>18</v>
      </c>
      <c r="C1307" s="6" t="s">
        <v>19</v>
      </c>
      <c r="D1307" s="6" t="s">
        <v>34</v>
      </c>
      <c r="E1307" s="6" t="s">
        <v>28</v>
      </c>
      <c r="F1307" s="6" t="s">
        <v>48</v>
      </c>
      <c r="G1307" s="6">
        <v>2</v>
      </c>
      <c r="H1307" s="7">
        <v>1326.36</v>
      </c>
      <c r="I1307" s="7">
        <v>2652.72</v>
      </c>
      <c r="J1307" s="8">
        <v>45140</v>
      </c>
      <c r="K1307" s="6">
        <v>69</v>
      </c>
      <c r="L1307" s="6" t="s">
        <v>49</v>
      </c>
      <c r="M1307" s="6" t="b">
        <v>0</v>
      </c>
      <c r="N1307" s="6">
        <v>1.8</v>
      </c>
      <c r="O1307" s="6" t="s">
        <v>24</v>
      </c>
      <c r="P1307" s="6" t="b">
        <v>0</v>
      </c>
      <c r="Q1307" s="9" t="s">
        <v>25</v>
      </c>
    </row>
    <row r="1308" spans="1:17" x14ac:dyDescent="0.25">
      <c r="A1308" s="5" t="s">
        <v>1358</v>
      </c>
      <c r="B1308" s="6" t="s">
        <v>38</v>
      </c>
      <c r="C1308" s="6" t="s">
        <v>33</v>
      </c>
      <c r="D1308" s="6" t="s">
        <v>20</v>
      </c>
      <c r="E1308" s="6" t="s">
        <v>44</v>
      </c>
      <c r="F1308" s="6" t="s">
        <v>48</v>
      </c>
      <c r="G1308" s="6">
        <v>50</v>
      </c>
      <c r="H1308" s="7">
        <v>1443.31</v>
      </c>
      <c r="I1308" s="7">
        <v>72165.5</v>
      </c>
      <c r="J1308" s="8">
        <v>45518</v>
      </c>
      <c r="K1308" s="6">
        <v>42</v>
      </c>
      <c r="L1308" s="6" t="s">
        <v>23</v>
      </c>
      <c r="M1308" s="6" t="b">
        <v>1</v>
      </c>
      <c r="N1308" s="6">
        <v>19.940000000000001</v>
      </c>
      <c r="O1308" s="6" t="s">
        <v>56</v>
      </c>
      <c r="P1308" s="6" t="b">
        <v>1</v>
      </c>
      <c r="Q1308" s="9" t="s">
        <v>36</v>
      </c>
    </row>
    <row r="1309" spans="1:17" x14ac:dyDescent="0.25">
      <c r="A1309" s="5" t="s">
        <v>1359</v>
      </c>
      <c r="B1309" s="6" t="s">
        <v>18</v>
      </c>
      <c r="C1309" s="6" t="s">
        <v>39</v>
      </c>
      <c r="D1309" s="6" t="s">
        <v>47</v>
      </c>
      <c r="E1309" s="6" t="s">
        <v>35</v>
      </c>
      <c r="F1309" s="6" t="s">
        <v>22</v>
      </c>
      <c r="G1309" s="6">
        <v>75</v>
      </c>
      <c r="H1309" s="7">
        <v>1344.85</v>
      </c>
      <c r="I1309" s="7">
        <v>100863.75</v>
      </c>
      <c r="J1309" s="8">
        <v>45061</v>
      </c>
      <c r="K1309" s="6">
        <v>55</v>
      </c>
      <c r="L1309" s="6" t="s">
        <v>49</v>
      </c>
      <c r="M1309" s="6" t="b">
        <v>0</v>
      </c>
      <c r="N1309" s="6">
        <v>23.54</v>
      </c>
      <c r="O1309" s="6" t="s">
        <v>42</v>
      </c>
      <c r="P1309" s="6" t="b">
        <v>0</v>
      </c>
      <c r="Q1309" s="9" t="s">
        <v>25</v>
      </c>
    </row>
    <row r="1310" spans="1:17" x14ac:dyDescent="0.25">
      <c r="A1310" s="5" t="s">
        <v>1360</v>
      </c>
      <c r="B1310" s="6" t="s">
        <v>76</v>
      </c>
      <c r="C1310" s="6" t="s">
        <v>19</v>
      </c>
      <c r="D1310" s="6" t="s">
        <v>47</v>
      </c>
      <c r="E1310" s="6" t="s">
        <v>28</v>
      </c>
      <c r="F1310" s="6" t="s">
        <v>40</v>
      </c>
      <c r="G1310" s="6">
        <v>31</v>
      </c>
      <c r="H1310" s="7">
        <v>1092.81</v>
      </c>
      <c r="I1310" s="7">
        <v>33877.11</v>
      </c>
      <c r="J1310" s="8">
        <v>45312</v>
      </c>
      <c r="K1310" s="6">
        <v>55</v>
      </c>
      <c r="L1310" s="6" t="s">
        <v>23</v>
      </c>
      <c r="M1310" s="6" t="b">
        <v>1</v>
      </c>
      <c r="N1310" s="6">
        <v>29.46</v>
      </c>
      <c r="O1310" s="6" t="s">
        <v>42</v>
      </c>
      <c r="P1310" s="6" t="b">
        <v>1</v>
      </c>
      <c r="Q1310" s="9" t="s">
        <v>25</v>
      </c>
    </row>
    <row r="1311" spans="1:17" x14ac:dyDescent="0.25">
      <c r="A1311" s="5" t="s">
        <v>1361</v>
      </c>
      <c r="B1311" s="6" t="s">
        <v>51</v>
      </c>
      <c r="C1311" s="6" t="s">
        <v>33</v>
      </c>
      <c r="D1311" s="6" t="s">
        <v>34</v>
      </c>
      <c r="E1311" s="6" t="s">
        <v>21</v>
      </c>
      <c r="F1311" s="6" t="s">
        <v>40</v>
      </c>
      <c r="G1311" s="6">
        <v>33</v>
      </c>
      <c r="H1311" s="7">
        <v>898.24</v>
      </c>
      <c r="I1311" s="7">
        <v>29641.919999999998</v>
      </c>
      <c r="J1311" s="8">
        <v>45229</v>
      </c>
      <c r="K1311" s="6">
        <v>67</v>
      </c>
      <c r="L1311" s="6" t="s">
        <v>41</v>
      </c>
      <c r="M1311" s="6" t="b">
        <v>1</v>
      </c>
      <c r="N1311" s="6">
        <v>11.24</v>
      </c>
      <c r="O1311" s="6" t="s">
        <v>42</v>
      </c>
      <c r="P1311" s="6" t="b">
        <v>0</v>
      </c>
      <c r="Q1311" s="9" t="s">
        <v>25</v>
      </c>
    </row>
    <row r="1312" spans="1:17" x14ac:dyDescent="0.25">
      <c r="A1312" s="5" t="s">
        <v>1362</v>
      </c>
      <c r="B1312" s="6" t="s">
        <v>32</v>
      </c>
      <c r="C1312" s="6" t="s">
        <v>19</v>
      </c>
      <c r="D1312" s="6" t="s">
        <v>20</v>
      </c>
      <c r="E1312" s="6" t="s">
        <v>35</v>
      </c>
      <c r="F1312" s="6" t="s">
        <v>40</v>
      </c>
      <c r="G1312" s="6">
        <v>78</v>
      </c>
      <c r="H1312" s="7">
        <v>1049.43</v>
      </c>
      <c r="I1312" s="7">
        <v>81855.539999999994</v>
      </c>
      <c r="J1312" s="8">
        <v>45213</v>
      </c>
      <c r="K1312" s="6">
        <v>55</v>
      </c>
      <c r="L1312" s="6" t="s">
        <v>49</v>
      </c>
      <c r="M1312" s="6" t="b">
        <v>0</v>
      </c>
      <c r="N1312" s="6">
        <v>5.0999999999999996</v>
      </c>
      <c r="O1312" s="6" t="s">
        <v>56</v>
      </c>
      <c r="P1312" s="6" t="b">
        <v>1</v>
      </c>
      <c r="Q1312" s="9" t="s">
        <v>36</v>
      </c>
    </row>
    <row r="1313" spans="1:17" x14ac:dyDescent="0.25">
      <c r="A1313" s="5" t="s">
        <v>1363</v>
      </c>
      <c r="B1313" s="6" t="s">
        <v>66</v>
      </c>
      <c r="C1313" s="6" t="s">
        <v>39</v>
      </c>
      <c r="D1313" s="6" t="s">
        <v>34</v>
      </c>
      <c r="E1313" s="6" t="s">
        <v>21</v>
      </c>
      <c r="F1313" s="6" t="s">
        <v>48</v>
      </c>
      <c r="G1313" s="6">
        <v>80</v>
      </c>
      <c r="H1313" s="7">
        <v>1411.71</v>
      </c>
      <c r="I1313" s="7">
        <v>112936.8</v>
      </c>
      <c r="J1313" s="8">
        <v>45488</v>
      </c>
      <c r="K1313" s="6">
        <v>56</v>
      </c>
      <c r="L1313" s="6" t="s">
        <v>49</v>
      </c>
      <c r="M1313" s="6" t="b">
        <v>0</v>
      </c>
      <c r="N1313" s="6">
        <v>25.59</v>
      </c>
      <c r="O1313" s="6" t="s">
        <v>42</v>
      </c>
      <c r="P1313" s="6" t="b">
        <v>0</v>
      </c>
      <c r="Q1313" s="9" t="s">
        <v>25</v>
      </c>
    </row>
    <row r="1314" spans="1:17" x14ac:dyDescent="0.25">
      <c r="A1314" s="5" t="s">
        <v>1364</v>
      </c>
      <c r="B1314" s="6" t="s">
        <v>18</v>
      </c>
      <c r="C1314" s="6" t="s">
        <v>39</v>
      </c>
      <c r="D1314" s="6" t="s">
        <v>20</v>
      </c>
      <c r="E1314" s="6" t="s">
        <v>21</v>
      </c>
      <c r="F1314" s="6" t="s">
        <v>29</v>
      </c>
      <c r="G1314" s="6">
        <v>11</v>
      </c>
      <c r="H1314" s="7">
        <v>412.5</v>
      </c>
      <c r="I1314" s="7">
        <v>4537.5</v>
      </c>
      <c r="J1314" s="8">
        <v>45115</v>
      </c>
      <c r="K1314" s="6">
        <v>65</v>
      </c>
      <c r="L1314" s="6" t="s">
        <v>49</v>
      </c>
      <c r="M1314" s="6" t="b">
        <v>1</v>
      </c>
      <c r="N1314" s="6">
        <v>9.52</v>
      </c>
      <c r="O1314" s="6" t="s">
        <v>24</v>
      </c>
      <c r="P1314" s="6" t="b">
        <v>1</v>
      </c>
      <c r="Q1314" s="9" t="s">
        <v>36</v>
      </c>
    </row>
    <row r="1315" spans="1:17" x14ac:dyDescent="0.25">
      <c r="A1315" s="5" t="s">
        <v>1365</v>
      </c>
      <c r="B1315" s="6" t="s">
        <v>66</v>
      </c>
      <c r="C1315" s="6" t="s">
        <v>33</v>
      </c>
      <c r="D1315" s="6" t="s">
        <v>34</v>
      </c>
      <c r="E1315" s="6" t="s">
        <v>21</v>
      </c>
      <c r="F1315" s="6" t="s">
        <v>29</v>
      </c>
      <c r="G1315" s="6">
        <v>33</v>
      </c>
      <c r="H1315" s="7">
        <v>825.92</v>
      </c>
      <c r="I1315" s="7">
        <v>27255.360000000001</v>
      </c>
      <c r="J1315" s="8">
        <v>45223</v>
      </c>
      <c r="K1315" s="6">
        <v>58</v>
      </c>
      <c r="L1315" s="6" t="s">
        <v>49</v>
      </c>
      <c r="M1315" s="6" t="b">
        <v>0</v>
      </c>
      <c r="N1315" s="6">
        <v>17.95</v>
      </c>
      <c r="O1315" s="6" t="s">
        <v>42</v>
      </c>
      <c r="P1315" s="6" t="b">
        <v>1</v>
      </c>
      <c r="Q1315" s="9" t="s">
        <v>25</v>
      </c>
    </row>
    <row r="1316" spans="1:17" x14ac:dyDescent="0.25">
      <c r="A1316" s="5" t="s">
        <v>1366</v>
      </c>
      <c r="B1316" s="6" t="s">
        <v>27</v>
      </c>
      <c r="C1316" s="6" t="s">
        <v>33</v>
      </c>
      <c r="D1316" s="6" t="s">
        <v>64</v>
      </c>
      <c r="E1316" s="6" t="s">
        <v>44</v>
      </c>
      <c r="F1316" s="6" t="s">
        <v>48</v>
      </c>
      <c r="G1316" s="6">
        <v>7</v>
      </c>
      <c r="H1316" s="7">
        <v>1049.93</v>
      </c>
      <c r="I1316" s="7">
        <v>7349.51</v>
      </c>
      <c r="J1316" s="8">
        <v>45452</v>
      </c>
      <c r="K1316" s="6">
        <v>43</v>
      </c>
      <c r="L1316" s="6" t="s">
        <v>41</v>
      </c>
      <c r="M1316" s="6" t="b">
        <v>1</v>
      </c>
      <c r="N1316" s="6">
        <v>11.7</v>
      </c>
      <c r="O1316" s="6" t="s">
        <v>42</v>
      </c>
      <c r="P1316" s="6" t="b">
        <v>1</v>
      </c>
      <c r="Q1316" s="9" t="s">
        <v>36</v>
      </c>
    </row>
    <row r="1317" spans="1:17" x14ac:dyDescent="0.25">
      <c r="A1317" s="5" t="s">
        <v>1367</v>
      </c>
      <c r="B1317" s="6" t="s">
        <v>18</v>
      </c>
      <c r="C1317" s="6" t="s">
        <v>33</v>
      </c>
      <c r="D1317" s="6" t="s">
        <v>64</v>
      </c>
      <c r="E1317" s="6" t="s">
        <v>35</v>
      </c>
      <c r="F1317" s="6" t="s">
        <v>40</v>
      </c>
      <c r="G1317" s="6">
        <v>31</v>
      </c>
      <c r="H1317" s="7">
        <v>1034.9100000000001</v>
      </c>
      <c r="I1317" s="7">
        <v>32082.21</v>
      </c>
      <c r="J1317" s="8">
        <v>45315</v>
      </c>
      <c r="K1317" s="6">
        <v>30</v>
      </c>
      <c r="L1317" s="6" t="s">
        <v>41</v>
      </c>
      <c r="M1317" s="6" t="b">
        <v>1</v>
      </c>
      <c r="N1317" s="6">
        <v>12.07</v>
      </c>
      <c r="O1317" s="6" t="s">
        <v>30</v>
      </c>
      <c r="P1317" s="6" t="b">
        <v>1</v>
      </c>
      <c r="Q1317" s="9" t="s">
        <v>36</v>
      </c>
    </row>
    <row r="1318" spans="1:17" x14ac:dyDescent="0.25">
      <c r="A1318" s="5" t="s">
        <v>1368</v>
      </c>
      <c r="B1318" s="6" t="s">
        <v>51</v>
      </c>
      <c r="C1318" s="6" t="s">
        <v>19</v>
      </c>
      <c r="D1318" s="6" t="s">
        <v>52</v>
      </c>
      <c r="E1318" s="6" t="s">
        <v>35</v>
      </c>
      <c r="F1318" s="6" t="s">
        <v>40</v>
      </c>
      <c r="G1318" s="6">
        <v>48</v>
      </c>
      <c r="H1318" s="7">
        <v>415.8</v>
      </c>
      <c r="I1318" s="7">
        <v>19958.400000000001</v>
      </c>
      <c r="J1318" s="8">
        <v>45385</v>
      </c>
      <c r="K1318" s="6">
        <v>61</v>
      </c>
      <c r="L1318" s="6" t="s">
        <v>41</v>
      </c>
      <c r="M1318" s="6" t="b">
        <v>1</v>
      </c>
      <c r="N1318" s="6">
        <v>21.97</v>
      </c>
      <c r="O1318" s="6" t="s">
        <v>42</v>
      </c>
      <c r="P1318" s="6" t="b">
        <v>1</v>
      </c>
      <c r="Q1318" s="9" t="s">
        <v>36</v>
      </c>
    </row>
    <row r="1319" spans="1:17" x14ac:dyDescent="0.25">
      <c r="A1319" s="5" t="s">
        <v>1369</v>
      </c>
      <c r="B1319" s="6" t="s">
        <v>66</v>
      </c>
      <c r="C1319" s="6" t="s">
        <v>19</v>
      </c>
      <c r="D1319" s="6" t="s">
        <v>34</v>
      </c>
      <c r="E1319" s="6" t="s">
        <v>44</v>
      </c>
      <c r="F1319" s="6" t="s">
        <v>22</v>
      </c>
      <c r="G1319" s="6">
        <v>47</v>
      </c>
      <c r="H1319" s="7">
        <v>900.76</v>
      </c>
      <c r="I1319" s="7">
        <v>42335.72</v>
      </c>
      <c r="J1319" s="8">
        <v>45187</v>
      </c>
      <c r="K1319" s="6">
        <v>68</v>
      </c>
      <c r="L1319" s="6" t="s">
        <v>23</v>
      </c>
      <c r="M1319" s="6" t="b">
        <v>0</v>
      </c>
      <c r="N1319" s="6">
        <v>10.84</v>
      </c>
      <c r="O1319" s="6" t="s">
        <v>56</v>
      </c>
      <c r="P1319" s="6" t="b">
        <v>0</v>
      </c>
      <c r="Q1319" s="9" t="s">
        <v>36</v>
      </c>
    </row>
    <row r="1320" spans="1:17" x14ac:dyDescent="0.25">
      <c r="A1320" s="5" t="s">
        <v>1370</v>
      </c>
      <c r="B1320" s="6" t="s">
        <v>46</v>
      </c>
      <c r="C1320" s="6" t="s">
        <v>19</v>
      </c>
      <c r="D1320" s="6" t="s">
        <v>47</v>
      </c>
      <c r="E1320" s="6" t="s">
        <v>28</v>
      </c>
      <c r="F1320" s="6" t="s">
        <v>22</v>
      </c>
      <c r="G1320" s="6">
        <v>78</v>
      </c>
      <c r="H1320" s="7">
        <v>1204.07</v>
      </c>
      <c r="I1320" s="7">
        <v>93917.46</v>
      </c>
      <c r="J1320" s="8">
        <v>45039</v>
      </c>
      <c r="K1320" s="6">
        <v>43</v>
      </c>
      <c r="L1320" s="6" t="s">
        <v>41</v>
      </c>
      <c r="M1320" s="6" t="b">
        <v>0</v>
      </c>
      <c r="N1320" s="6">
        <v>20.79</v>
      </c>
      <c r="O1320" s="6" t="s">
        <v>56</v>
      </c>
      <c r="P1320" s="6" t="b">
        <v>0</v>
      </c>
      <c r="Q1320" s="9" t="s">
        <v>25</v>
      </c>
    </row>
    <row r="1321" spans="1:17" x14ac:dyDescent="0.25">
      <c r="A1321" s="5" t="s">
        <v>1371</v>
      </c>
      <c r="B1321" s="6" t="s">
        <v>18</v>
      </c>
      <c r="C1321" s="6" t="s">
        <v>33</v>
      </c>
      <c r="D1321" s="6" t="s">
        <v>52</v>
      </c>
      <c r="E1321" s="6" t="s">
        <v>21</v>
      </c>
      <c r="F1321" s="6" t="s">
        <v>40</v>
      </c>
      <c r="G1321" s="6">
        <v>92</v>
      </c>
      <c r="H1321" s="7">
        <v>738.86</v>
      </c>
      <c r="I1321" s="7">
        <v>67975.12</v>
      </c>
      <c r="J1321" s="8">
        <v>44962</v>
      </c>
      <c r="K1321" s="6">
        <v>18</v>
      </c>
      <c r="L1321" s="6" t="s">
        <v>23</v>
      </c>
      <c r="M1321" s="6" t="b">
        <v>0</v>
      </c>
      <c r="N1321" s="6">
        <v>0.43</v>
      </c>
      <c r="O1321" s="6" t="s">
        <v>24</v>
      </c>
      <c r="P1321" s="6" t="b">
        <v>1</v>
      </c>
      <c r="Q1321" s="9" t="s">
        <v>36</v>
      </c>
    </row>
    <row r="1322" spans="1:17" x14ac:dyDescent="0.25">
      <c r="A1322" s="5" t="s">
        <v>1372</v>
      </c>
      <c r="B1322" s="6" t="s">
        <v>72</v>
      </c>
      <c r="C1322" s="6" t="s">
        <v>39</v>
      </c>
      <c r="D1322" s="6" t="s">
        <v>64</v>
      </c>
      <c r="E1322" s="6" t="s">
        <v>35</v>
      </c>
      <c r="F1322" s="6" t="s">
        <v>48</v>
      </c>
      <c r="G1322" s="6">
        <v>53</v>
      </c>
      <c r="H1322" s="7">
        <v>1200.28</v>
      </c>
      <c r="I1322" s="7">
        <v>63614.84</v>
      </c>
      <c r="J1322" s="8">
        <v>45005</v>
      </c>
      <c r="K1322" s="6">
        <v>25</v>
      </c>
      <c r="L1322" s="6" t="s">
        <v>23</v>
      </c>
      <c r="M1322" s="6" t="b">
        <v>1</v>
      </c>
      <c r="N1322" s="6">
        <v>9.74</v>
      </c>
      <c r="O1322" s="6" t="s">
        <v>56</v>
      </c>
      <c r="P1322" s="6" t="b">
        <v>1</v>
      </c>
      <c r="Q1322" s="9" t="s">
        <v>36</v>
      </c>
    </row>
    <row r="1323" spans="1:17" x14ac:dyDescent="0.25">
      <c r="A1323" s="5" t="s">
        <v>1373</v>
      </c>
      <c r="B1323" s="6" t="s">
        <v>32</v>
      </c>
      <c r="C1323" s="6" t="s">
        <v>39</v>
      </c>
      <c r="D1323" s="6" t="s">
        <v>34</v>
      </c>
      <c r="E1323" s="6" t="s">
        <v>44</v>
      </c>
      <c r="F1323" s="6" t="s">
        <v>40</v>
      </c>
      <c r="G1323" s="6">
        <v>80</v>
      </c>
      <c r="H1323" s="7">
        <v>571.83000000000004</v>
      </c>
      <c r="I1323" s="7">
        <v>45746.400000000001</v>
      </c>
      <c r="J1323" s="8">
        <v>45201</v>
      </c>
      <c r="K1323" s="6">
        <v>21</v>
      </c>
      <c r="L1323" s="6" t="s">
        <v>41</v>
      </c>
      <c r="M1323" s="6" t="b">
        <v>1</v>
      </c>
      <c r="N1323" s="6">
        <v>9.57</v>
      </c>
      <c r="O1323" s="6" t="s">
        <v>56</v>
      </c>
      <c r="P1323" s="6" t="b">
        <v>0</v>
      </c>
      <c r="Q1323" s="9" t="s">
        <v>25</v>
      </c>
    </row>
    <row r="1324" spans="1:17" x14ac:dyDescent="0.25">
      <c r="A1324" s="5" t="s">
        <v>1374</v>
      </c>
      <c r="B1324" s="6" t="s">
        <v>51</v>
      </c>
      <c r="C1324" s="6" t="s">
        <v>19</v>
      </c>
      <c r="D1324" s="6" t="s">
        <v>52</v>
      </c>
      <c r="E1324" s="6" t="s">
        <v>21</v>
      </c>
      <c r="F1324" s="6" t="s">
        <v>22</v>
      </c>
      <c r="G1324" s="6">
        <v>19</v>
      </c>
      <c r="H1324" s="7">
        <v>1411.2</v>
      </c>
      <c r="I1324" s="7">
        <v>26812.799999999999</v>
      </c>
      <c r="J1324" s="8">
        <v>45204</v>
      </c>
      <c r="K1324" s="6">
        <v>38</v>
      </c>
      <c r="L1324" s="6" t="s">
        <v>41</v>
      </c>
      <c r="M1324" s="6" t="b">
        <v>1</v>
      </c>
      <c r="N1324" s="6">
        <v>22.47</v>
      </c>
      <c r="O1324" s="6" t="s">
        <v>42</v>
      </c>
      <c r="P1324" s="6" t="b">
        <v>0</v>
      </c>
      <c r="Q1324" s="9" t="s">
        <v>36</v>
      </c>
    </row>
    <row r="1325" spans="1:17" x14ac:dyDescent="0.25">
      <c r="A1325" s="5" t="s">
        <v>1375</v>
      </c>
      <c r="B1325" s="6" t="s">
        <v>66</v>
      </c>
      <c r="C1325" s="6" t="s">
        <v>19</v>
      </c>
      <c r="D1325" s="6" t="s">
        <v>34</v>
      </c>
      <c r="E1325" s="6" t="s">
        <v>28</v>
      </c>
      <c r="F1325" s="6" t="s">
        <v>40</v>
      </c>
      <c r="G1325" s="6">
        <v>81</v>
      </c>
      <c r="H1325" s="7">
        <v>824.2</v>
      </c>
      <c r="I1325" s="7">
        <v>66760.2</v>
      </c>
      <c r="J1325" s="8">
        <v>45238</v>
      </c>
      <c r="K1325" s="6">
        <v>39</v>
      </c>
      <c r="L1325" s="6" t="s">
        <v>41</v>
      </c>
      <c r="M1325" s="6" t="b">
        <v>1</v>
      </c>
      <c r="N1325" s="6">
        <v>9.44</v>
      </c>
      <c r="O1325" s="6" t="s">
        <v>24</v>
      </c>
      <c r="P1325" s="6" t="b">
        <v>1</v>
      </c>
      <c r="Q1325" s="9" t="s">
        <v>25</v>
      </c>
    </row>
    <row r="1326" spans="1:17" x14ac:dyDescent="0.25">
      <c r="A1326" s="5" t="s">
        <v>1376</v>
      </c>
      <c r="B1326" s="6" t="s">
        <v>51</v>
      </c>
      <c r="C1326" s="6" t="s">
        <v>39</v>
      </c>
      <c r="D1326" s="6" t="s">
        <v>64</v>
      </c>
      <c r="E1326" s="6" t="s">
        <v>28</v>
      </c>
      <c r="F1326" s="6" t="s">
        <v>48</v>
      </c>
      <c r="G1326" s="6">
        <v>90</v>
      </c>
      <c r="H1326" s="7">
        <v>914.12</v>
      </c>
      <c r="I1326" s="7">
        <v>82270.8</v>
      </c>
      <c r="J1326" s="8">
        <v>45455</v>
      </c>
      <c r="K1326" s="6">
        <v>68</v>
      </c>
      <c r="L1326" s="6" t="s">
        <v>23</v>
      </c>
      <c r="M1326" s="6" t="b">
        <v>0</v>
      </c>
      <c r="N1326" s="6">
        <v>19</v>
      </c>
      <c r="O1326" s="6" t="s">
        <v>56</v>
      </c>
      <c r="P1326" s="6" t="b">
        <v>0</v>
      </c>
      <c r="Q1326" s="9" t="s">
        <v>36</v>
      </c>
    </row>
    <row r="1327" spans="1:17" x14ac:dyDescent="0.25">
      <c r="A1327" s="5" t="s">
        <v>1377</v>
      </c>
      <c r="B1327" s="6" t="s">
        <v>38</v>
      </c>
      <c r="C1327" s="6" t="s">
        <v>39</v>
      </c>
      <c r="D1327" s="6" t="s">
        <v>52</v>
      </c>
      <c r="E1327" s="6" t="s">
        <v>21</v>
      </c>
      <c r="F1327" s="6" t="s">
        <v>29</v>
      </c>
      <c r="G1327" s="6">
        <v>6</v>
      </c>
      <c r="H1327" s="7">
        <v>95.47</v>
      </c>
      <c r="I1327" s="7">
        <v>572.82000000000005</v>
      </c>
      <c r="J1327" s="8">
        <v>45130</v>
      </c>
      <c r="K1327" s="6">
        <v>54</v>
      </c>
      <c r="L1327" s="6" t="s">
        <v>49</v>
      </c>
      <c r="M1327" s="6" t="b">
        <v>0</v>
      </c>
      <c r="N1327" s="6">
        <v>20.66</v>
      </c>
      <c r="O1327" s="6" t="s">
        <v>24</v>
      </c>
      <c r="P1327" s="6" t="b">
        <v>1</v>
      </c>
      <c r="Q1327" s="9" t="s">
        <v>25</v>
      </c>
    </row>
    <row r="1328" spans="1:17" x14ac:dyDescent="0.25">
      <c r="A1328" s="5" t="s">
        <v>1378</v>
      </c>
      <c r="B1328" s="6" t="s">
        <v>32</v>
      </c>
      <c r="C1328" s="6" t="s">
        <v>19</v>
      </c>
      <c r="D1328" s="6" t="s">
        <v>64</v>
      </c>
      <c r="E1328" s="6" t="s">
        <v>28</v>
      </c>
      <c r="F1328" s="6" t="s">
        <v>48</v>
      </c>
      <c r="G1328" s="6">
        <v>49</v>
      </c>
      <c r="H1328" s="7">
        <v>296.89</v>
      </c>
      <c r="I1328" s="7">
        <v>14547.61</v>
      </c>
      <c r="J1328" s="8">
        <v>44943</v>
      </c>
      <c r="K1328" s="6">
        <v>66</v>
      </c>
      <c r="L1328" s="6" t="s">
        <v>41</v>
      </c>
      <c r="M1328" s="6" t="b">
        <v>0</v>
      </c>
      <c r="N1328" s="6">
        <v>19.75</v>
      </c>
      <c r="O1328" s="6" t="s">
        <v>24</v>
      </c>
      <c r="P1328" s="6" t="b">
        <v>1</v>
      </c>
      <c r="Q1328" s="9" t="s">
        <v>36</v>
      </c>
    </row>
    <row r="1329" spans="1:17" x14ac:dyDescent="0.25">
      <c r="A1329" s="5" t="s">
        <v>1379</v>
      </c>
      <c r="B1329" s="6" t="s">
        <v>46</v>
      </c>
      <c r="C1329" s="6" t="s">
        <v>19</v>
      </c>
      <c r="D1329" s="6" t="s">
        <v>20</v>
      </c>
      <c r="E1329" s="6" t="s">
        <v>35</v>
      </c>
      <c r="F1329" s="6" t="s">
        <v>48</v>
      </c>
      <c r="G1329" s="6">
        <v>73</v>
      </c>
      <c r="H1329" s="7">
        <v>967.75</v>
      </c>
      <c r="I1329" s="7">
        <v>70645.75</v>
      </c>
      <c r="J1329" s="8">
        <v>45402</v>
      </c>
      <c r="K1329" s="6">
        <v>20</v>
      </c>
      <c r="L1329" s="6" t="s">
        <v>23</v>
      </c>
      <c r="M1329" s="6" t="b">
        <v>1</v>
      </c>
      <c r="N1329" s="6">
        <v>18.100000000000001</v>
      </c>
      <c r="O1329" s="6" t="s">
        <v>30</v>
      </c>
      <c r="P1329" s="6" t="b">
        <v>1</v>
      </c>
      <c r="Q1329" s="9" t="s">
        <v>36</v>
      </c>
    </row>
    <row r="1330" spans="1:17" x14ac:dyDescent="0.25">
      <c r="A1330" s="5" t="s">
        <v>1380</v>
      </c>
      <c r="B1330" s="6" t="s">
        <v>18</v>
      </c>
      <c r="C1330" s="6" t="s">
        <v>39</v>
      </c>
      <c r="D1330" s="6" t="s">
        <v>64</v>
      </c>
      <c r="E1330" s="6" t="s">
        <v>35</v>
      </c>
      <c r="F1330" s="6" t="s">
        <v>22</v>
      </c>
      <c r="G1330" s="6">
        <v>50</v>
      </c>
      <c r="H1330" s="7">
        <v>658.81</v>
      </c>
      <c r="I1330" s="7">
        <v>32940.5</v>
      </c>
      <c r="J1330" s="8">
        <v>45437</v>
      </c>
      <c r="K1330" s="6">
        <v>36</v>
      </c>
      <c r="L1330" s="6" t="s">
        <v>23</v>
      </c>
      <c r="M1330" s="6" t="b">
        <v>1</v>
      </c>
      <c r="N1330" s="6">
        <v>12.41</v>
      </c>
      <c r="O1330" s="6" t="s">
        <v>30</v>
      </c>
      <c r="P1330" s="6" t="b">
        <v>0</v>
      </c>
      <c r="Q1330" s="9" t="s">
        <v>36</v>
      </c>
    </row>
    <row r="1331" spans="1:17" x14ac:dyDescent="0.25">
      <c r="A1331" s="5" t="s">
        <v>1381</v>
      </c>
      <c r="B1331" s="6" t="s">
        <v>18</v>
      </c>
      <c r="C1331" s="6" t="s">
        <v>33</v>
      </c>
      <c r="D1331" s="6" t="s">
        <v>34</v>
      </c>
      <c r="E1331" s="6" t="s">
        <v>35</v>
      </c>
      <c r="F1331" s="6" t="s">
        <v>48</v>
      </c>
      <c r="G1331" s="6">
        <v>81</v>
      </c>
      <c r="H1331" s="7">
        <v>786.84</v>
      </c>
      <c r="I1331" s="7">
        <v>63734.04</v>
      </c>
      <c r="J1331" s="8">
        <v>45136</v>
      </c>
      <c r="K1331" s="6">
        <v>18</v>
      </c>
      <c r="L1331" s="6" t="s">
        <v>41</v>
      </c>
      <c r="M1331" s="6" t="b">
        <v>0</v>
      </c>
      <c r="N1331" s="6">
        <v>11.2</v>
      </c>
      <c r="O1331" s="6" t="s">
        <v>42</v>
      </c>
      <c r="P1331" s="6" t="b">
        <v>1</v>
      </c>
      <c r="Q1331" s="9" t="s">
        <v>36</v>
      </c>
    </row>
    <row r="1332" spans="1:17" x14ac:dyDescent="0.25">
      <c r="A1332" s="5" t="s">
        <v>1382</v>
      </c>
      <c r="B1332" s="6" t="s">
        <v>18</v>
      </c>
      <c r="C1332" s="6" t="s">
        <v>19</v>
      </c>
      <c r="D1332" s="6" t="s">
        <v>47</v>
      </c>
      <c r="E1332" s="6" t="s">
        <v>28</v>
      </c>
      <c r="F1332" s="6" t="s">
        <v>48</v>
      </c>
      <c r="G1332" s="6">
        <v>95</v>
      </c>
      <c r="H1332" s="7">
        <v>141.31</v>
      </c>
      <c r="I1332" s="7">
        <v>13424.45</v>
      </c>
      <c r="J1332" s="8">
        <v>45425</v>
      </c>
      <c r="K1332" s="6">
        <v>46</v>
      </c>
      <c r="L1332" s="6" t="s">
        <v>23</v>
      </c>
      <c r="M1332" s="6" t="b">
        <v>1</v>
      </c>
      <c r="N1332" s="6">
        <v>16.940000000000001</v>
      </c>
      <c r="O1332" s="6" t="s">
        <v>56</v>
      </c>
      <c r="P1332" s="6" t="b">
        <v>0</v>
      </c>
      <c r="Q1332" s="9" t="s">
        <v>25</v>
      </c>
    </row>
    <row r="1333" spans="1:17" x14ac:dyDescent="0.25">
      <c r="A1333" s="5" t="s">
        <v>1383</v>
      </c>
      <c r="B1333" s="6" t="s">
        <v>32</v>
      </c>
      <c r="C1333" s="6" t="s">
        <v>39</v>
      </c>
      <c r="D1333" s="6" t="s">
        <v>64</v>
      </c>
      <c r="E1333" s="6" t="s">
        <v>35</v>
      </c>
      <c r="F1333" s="6" t="s">
        <v>22</v>
      </c>
      <c r="G1333" s="6">
        <v>12</v>
      </c>
      <c r="H1333" s="7">
        <v>1259.5</v>
      </c>
      <c r="I1333" s="7">
        <v>15114</v>
      </c>
      <c r="J1333" s="8">
        <v>45328</v>
      </c>
      <c r="K1333" s="6">
        <v>40</v>
      </c>
      <c r="L1333" s="6" t="s">
        <v>41</v>
      </c>
      <c r="M1333" s="6" t="b">
        <v>0</v>
      </c>
      <c r="N1333" s="6">
        <v>1.91</v>
      </c>
      <c r="O1333" s="6" t="s">
        <v>42</v>
      </c>
      <c r="P1333" s="6" t="b">
        <v>0</v>
      </c>
      <c r="Q1333" s="9" t="s">
        <v>36</v>
      </c>
    </row>
    <row r="1334" spans="1:17" x14ac:dyDescent="0.25">
      <c r="A1334" s="5" t="s">
        <v>1384</v>
      </c>
      <c r="B1334" s="6" t="s">
        <v>72</v>
      </c>
      <c r="C1334" s="6" t="s">
        <v>39</v>
      </c>
      <c r="D1334" s="6" t="s">
        <v>47</v>
      </c>
      <c r="E1334" s="6" t="s">
        <v>44</v>
      </c>
      <c r="F1334" s="6" t="s">
        <v>22</v>
      </c>
      <c r="G1334" s="6">
        <v>23</v>
      </c>
      <c r="H1334" s="7">
        <v>1187.53</v>
      </c>
      <c r="I1334" s="7">
        <v>27313.19</v>
      </c>
      <c r="J1334" s="8">
        <v>45355</v>
      </c>
      <c r="K1334" s="6">
        <v>50</v>
      </c>
      <c r="L1334" s="6" t="s">
        <v>23</v>
      </c>
      <c r="M1334" s="6" t="b">
        <v>1</v>
      </c>
      <c r="N1334" s="6">
        <v>26.27</v>
      </c>
      <c r="O1334" s="6" t="s">
        <v>42</v>
      </c>
      <c r="P1334" s="6" t="b">
        <v>0</v>
      </c>
      <c r="Q1334" s="9" t="s">
        <v>25</v>
      </c>
    </row>
    <row r="1335" spans="1:17" x14ac:dyDescent="0.25">
      <c r="A1335" s="5" t="s">
        <v>1385</v>
      </c>
      <c r="B1335" s="6" t="s">
        <v>27</v>
      </c>
      <c r="C1335" s="6" t="s">
        <v>39</v>
      </c>
      <c r="D1335" s="6" t="s">
        <v>20</v>
      </c>
      <c r="E1335" s="6" t="s">
        <v>35</v>
      </c>
      <c r="F1335" s="6" t="s">
        <v>29</v>
      </c>
      <c r="G1335" s="6">
        <v>54</v>
      </c>
      <c r="H1335" s="7">
        <v>318.76</v>
      </c>
      <c r="I1335" s="7">
        <v>17213.04</v>
      </c>
      <c r="J1335" s="8">
        <v>45004</v>
      </c>
      <c r="K1335" s="6">
        <v>69</v>
      </c>
      <c r="L1335" s="6" t="s">
        <v>49</v>
      </c>
      <c r="M1335" s="6" t="b">
        <v>1</v>
      </c>
      <c r="N1335" s="6">
        <v>24.76</v>
      </c>
      <c r="O1335" s="6" t="s">
        <v>24</v>
      </c>
      <c r="P1335" s="6" t="b">
        <v>0</v>
      </c>
      <c r="Q1335" s="9" t="s">
        <v>25</v>
      </c>
    </row>
    <row r="1336" spans="1:17" x14ac:dyDescent="0.25">
      <c r="A1336" s="5" t="s">
        <v>1386</v>
      </c>
      <c r="B1336" s="6" t="s">
        <v>62</v>
      </c>
      <c r="C1336" s="6" t="s">
        <v>39</v>
      </c>
      <c r="D1336" s="6" t="s">
        <v>52</v>
      </c>
      <c r="E1336" s="6" t="s">
        <v>35</v>
      </c>
      <c r="F1336" s="6" t="s">
        <v>40</v>
      </c>
      <c r="G1336" s="6">
        <v>69</v>
      </c>
      <c r="H1336" s="7">
        <v>969.78</v>
      </c>
      <c r="I1336" s="7">
        <v>66914.820000000007</v>
      </c>
      <c r="J1336" s="8">
        <v>45494</v>
      </c>
      <c r="K1336" s="6">
        <v>58</v>
      </c>
      <c r="L1336" s="6" t="s">
        <v>23</v>
      </c>
      <c r="M1336" s="6" t="b">
        <v>1</v>
      </c>
      <c r="N1336" s="6">
        <v>10.39</v>
      </c>
      <c r="O1336" s="6" t="s">
        <v>24</v>
      </c>
      <c r="P1336" s="6" t="b">
        <v>1</v>
      </c>
      <c r="Q1336" s="9" t="s">
        <v>25</v>
      </c>
    </row>
    <row r="1337" spans="1:17" x14ac:dyDescent="0.25">
      <c r="A1337" s="5" t="s">
        <v>1387</v>
      </c>
      <c r="B1337" s="6" t="s">
        <v>76</v>
      </c>
      <c r="C1337" s="6" t="s">
        <v>33</v>
      </c>
      <c r="D1337" s="6" t="s">
        <v>52</v>
      </c>
      <c r="E1337" s="6" t="s">
        <v>28</v>
      </c>
      <c r="F1337" s="6" t="s">
        <v>48</v>
      </c>
      <c r="G1337" s="6">
        <v>59</v>
      </c>
      <c r="H1337" s="7">
        <v>1236.56</v>
      </c>
      <c r="I1337" s="7">
        <v>72957.039999999994</v>
      </c>
      <c r="J1337" s="8">
        <v>45006</v>
      </c>
      <c r="K1337" s="6">
        <v>40</v>
      </c>
      <c r="L1337" s="6" t="s">
        <v>41</v>
      </c>
      <c r="M1337" s="6" t="b">
        <v>1</v>
      </c>
      <c r="N1337" s="6">
        <v>17</v>
      </c>
      <c r="O1337" s="6" t="s">
        <v>24</v>
      </c>
      <c r="P1337" s="6" t="b">
        <v>1</v>
      </c>
      <c r="Q1337" s="9" t="s">
        <v>25</v>
      </c>
    </row>
    <row r="1338" spans="1:17" x14ac:dyDescent="0.25">
      <c r="A1338" s="5" t="s">
        <v>1388</v>
      </c>
      <c r="B1338" s="6" t="s">
        <v>66</v>
      </c>
      <c r="C1338" s="6" t="s">
        <v>39</v>
      </c>
      <c r="D1338" s="6" t="s">
        <v>47</v>
      </c>
      <c r="E1338" s="6" t="s">
        <v>35</v>
      </c>
      <c r="F1338" s="6" t="s">
        <v>22</v>
      </c>
      <c r="G1338" s="6">
        <v>36</v>
      </c>
      <c r="H1338" s="7">
        <v>979.24</v>
      </c>
      <c r="I1338" s="7">
        <v>35252.639999999999</v>
      </c>
      <c r="J1338" s="8">
        <v>45232</v>
      </c>
      <c r="K1338" s="6">
        <v>22</v>
      </c>
      <c r="L1338" s="6" t="s">
        <v>49</v>
      </c>
      <c r="M1338" s="6" t="b">
        <v>1</v>
      </c>
      <c r="N1338" s="6">
        <v>27.97</v>
      </c>
      <c r="O1338" s="6" t="s">
        <v>42</v>
      </c>
      <c r="P1338" s="6" t="b">
        <v>0</v>
      </c>
      <c r="Q1338" s="9" t="s">
        <v>36</v>
      </c>
    </row>
    <row r="1339" spans="1:17" x14ac:dyDescent="0.25">
      <c r="A1339" s="5" t="s">
        <v>1389</v>
      </c>
      <c r="B1339" s="6" t="s">
        <v>72</v>
      </c>
      <c r="C1339" s="6" t="s">
        <v>19</v>
      </c>
      <c r="D1339" s="6" t="s">
        <v>52</v>
      </c>
      <c r="E1339" s="6" t="s">
        <v>21</v>
      </c>
      <c r="F1339" s="6" t="s">
        <v>29</v>
      </c>
      <c r="G1339" s="6">
        <v>3</v>
      </c>
      <c r="H1339" s="7">
        <v>500.08</v>
      </c>
      <c r="I1339" s="7">
        <v>1500.24</v>
      </c>
      <c r="J1339" s="8">
        <v>44984</v>
      </c>
      <c r="K1339" s="6">
        <v>24</v>
      </c>
      <c r="L1339" s="6" t="s">
        <v>41</v>
      </c>
      <c r="M1339" s="6" t="b">
        <v>0</v>
      </c>
      <c r="N1339" s="6">
        <v>8.15</v>
      </c>
      <c r="O1339" s="6" t="s">
        <v>56</v>
      </c>
      <c r="P1339" s="6" t="b">
        <v>1</v>
      </c>
      <c r="Q1339" s="9" t="s">
        <v>36</v>
      </c>
    </row>
    <row r="1340" spans="1:17" x14ac:dyDescent="0.25">
      <c r="A1340" s="5" t="s">
        <v>1390</v>
      </c>
      <c r="B1340" s="6" t="s">
        <v>46</v>
      </c>
      <c r="C1340" s="6" t="s">
        <v>33</v>
      </c>
      <c r="D1340" s="6" t="s">
        <v>64</v>
      </c>
      <c r="E1340" s="6" t="s">
        <v>44</v>
      </c>
      <c r="F1340" s="6" t="s">
        <v>40</v>
      </c>
      <c r="G1340" s="6">
        <v>58</v>
      </c>
      <c r="H1340" s="7">
        <v>1001.36</v>
      </c>
      <c r="I1340" s="7">
        <v>58078.879999999997</v>
      </c>
      <c r="J1340" s="8">
        <v>45456</v>
      </c>
      <c r="K1340" s="6">
        <v>23</v>
      </c>
      <c r="L1340" s="6" t="s">
        <v>23</v>
      </c>
      <c r="M1340" s="6" t="b">
        <v>0</v>
      </c>
      <c r="N1340" s="6">
        <v>22.27</v>
      </c>
      <c r="O1340" s="6" t="s">
        <v>42</v>
      </c>
      <c r="P1340" s="6" t="b">
        <v>0</v>
      </c>
      <c r="Q1340" s="9" t="s">
        <v>36</v>
      </c>
    </row>
    <row r="1341" spans="1:17" x14ac:dyDescent="0.25">
      <c r="A1341" s="5" t="s">
        <v>1391</v>
      </c>
      <c r="B1341" s="6" t="s">
        <v>66</v>
      </c>
      <c r="C1341" s="6" t="s">
        <v>39</v>
      </c>
      <c r="D1341" s="6" t="s">
        <v>47</v>
      </c>
      <c r="E1341" s="6" t="s">
        <v>28</v>
      </c>
      <c r="F1341" s="6" t="s">
        <v>22</v>
      </c>
      <c r="G1341" s="6">
        <v>88</v>
      </c>
      <c r="H1341" s="7">
        <v>355.17</v>
      </c>
      <c r="I1341" s="7">
        <v>31254.959999999999</v>
      </c>
      <c r="J1341" s="8">
        <v>45134</v>
      </c>
      <c r="K1341" s="6">
        <v>66</v>
      </c>
      <c r="L1341" s="6" t="s">
        <v>49</v>
      </c>
      <c r="M1341" s="6" t="b">
        <v>0</v>
      </c>
      <c r="N1341" s="6">
        <v>2.48</v>
      </c>
      <c r="O1341" s="6" t="s">
        <v>42</v>
      </c>
      <c r="P1341" s="6" t="b">
        <v>1</v>
      </c>
      <c r="Q1341" s="9" t="s">
        <v>36</v>
      </c>
    </row>
    <row r="1342" spans="1:17" x14ac:dyDescent="0.25">
      <c r="A1342" s="5" t="s">
        <v>1392</v>
      </c>
      <c r="B1342" s="6" t="s">
        <v>18</v>
      </c>
      <c r="C1342" s="6" t="s">
        <v>33</v>
      </c>
      <c r="D1342" s="6" t="s">
        <v>34</v>
      </c>
      <c r="E1342" s="6" t="s">
        <v>44</v>
      </c>
      <c r="F1342" s="6" t="s">
        <v>40</v>
      </c>
      <c r="G1342" s="6">
        <v>55</v>
      </c>
      <c r="H1342" s="7">
        <v>511.47</v>
      </c>
      <c r="I1342" s="7">
        <v>28130.85</v>
      </c>
      <c r="J1342" s="8">
        <v>45437</v>
      </c>
      <c r="K1342" s="6">
        <v>39</v>
      </c>
      <c r="L1342" s="6" t="s">
        <v>49</v>
      </c>
      <c r="M1342" s="6" t="b">
        <v>1</v>
      </c>
      <c r="N1342" s="6">
        <v>15.7</v>
      </c>
      <c r="O1342" s="6" t="s">
        <v>42</v>
      </c>
      <c r="P1342" s="6" t="b">
        <v>1</v>
      </c>
      <c r="Q1342" s="9" t="s">
        <v>36</v>
      </c>
    </row>
    <row r="1343" spans="1:17" x14ac:dyDescent="0.25">
      <c r="A1343" s="5" t="s">
        <v>1393</v>
      </c>
      <c r="B1343" s="6" t="s">
        <v>51</v>
      </c>
      <c r="C1343" s="6" t="s">
        <v>19</v>
      </c>
      <c r="D1343" s="6" t="s">
        <v>64</v>
      </c>
      <c r="E1343" s="6" t="s">
        <v>21</v>
      </c>
      <c r="F1343" s="6" t="s">
        <v>40</v>
      </c>
      <c r="G1343" s="6">
        <v>57</v>
      </c>
      <c r="H1343" s="7">
        <v>398.1</v>
      </c>
      <c r="I1343" s="7">
        <v>22691.7</v>
      </c>
      <c r="J1343" s="8">
        <v>45061</v>
      </c>
      <c r="K1343" s="6">
        <v>66</v>
      </c>
      <c r="L1343" s="6" t="s">
        <v>23</v>
      </c>
      <c r="M1343" s="6" t="b">
        <v>0</v>
      </c>
      <c r="N1343" s="6">
        <v>26.52</v>
      </c>
      <c r="O1343" s="6" t="s">
        <v>30</v>
      </c>
      <c r="P1343" s="6" t="b">
        <v>1</v>
      </c>
      <c r="Q1343" s="9" t="s">
        <v>36</v>
      </c>
    </row>
    <row r="1344" spans="1:17" x14ac:dyDescent="0.25">
      <c r="A1344" s="5" t="s">
        <v>1394</v>
      </c>
      <c r="B1344" s="6" t="s">
        <v>46</v>
      </c>
      <c r="C1344" s="6" t="s">
        <v>39</v>
      </c>
      <c r="D1344" s="6" t="s">
        <v>64</v>
      </c>
      <c r="E1344" s="6" t="s">
        <v>28</v>
      </c>
      <c r="F1344" s="6" t="s">
        <v>48</v>
      </c>
      <c r="G1344" s="6">
        <v>17</v>
      </c>
      <c r="H1344" s="7">
        <v>857.54</v>
      </c>
      <c r="I1344" s="7">
        <v>14578.18</v>
      </c>
      <c r="J1344" s="8">
        <v>45448</v>
      </c>
      <c r="K1344" s="6">
        <v>30</v>
      </c>
      <c r="L1344" s="6" t="s">
        <v>49</v>
      </c>
      <c r="M1344" s="6" t="b">
        <v>0</v>
      </c>
      <c r="N1344" s="6">
        <v>16.55</v>
      </c>
      <c r="O1344" s="6" t="s">
        <v>30</v>
      </c>
      <c r="P1344" s="6" t="b">
        <v>1</v>
      </c>
      <c r="Q1344" s="9" t="s">
        <v>25</v>
      </c>
    </row>
    <row r="1345" spans="1:17" x14ac:dyDescent="0.25">
      <c r="A1345" s="5" t="s">
        <v>1395</v>
      </c>
      <c r="B1345" s="6" t="s">
        <v>66</v>
      </c>
      <c r="C1345" s="6" t="s">
        <v>19</v>
      </c>
      <c r="D1345" s="6" t="s">
        <v>64</v>
      </c>
      <c r="E1345" s="6" t="s">
        <v>28</v>
      </c>
      <c r="F1345" s="6" t="s">
        <v>48</v>
      </c>
      <c r="G1345" s="6">
        <v>39</v>
      </c>
      <c r="H1345" s="7">
        <v>206.93</v>
      </c>
      <c r="I1345" s="7">
        <v>8070.27</v>
      </c>
      <c r="J1345" s="8">
        <v>45507</v>
      </c>
      <c r="K1345" s="6">
        <v>29</v>
      </c>
      <c r="L1345" s="6" t="s">
        <v>49</v>
      </c>
      <c r="M1345" s="6" t="b">
        <v>1</v>
      </c>
      <c r="N1345" s="6">
        <v>18.489999999999998</v>
      </c>
      <c r="O1345" s="6" t="s">
        <v>56</v>
      </c>
      <c r="P1345" s="6" t="b">
        <v>1</v>
      </c>
      <c r="Q1345" s="9" t="s">
        <v>25</v>
      </c>
    </row>
    <row r="1346" spans="1:17" x14ac:dyDescent="0.25">
      <c r="A1346" s="5" t="s">
        <v>1396</v>
      </c>
      <c r="B1346" s="6" t="s">
        <v>18</v>
      </c>
      <c r="C1346" s="6" t="s">
        <v>39</v>
      </c>
      <c r="D1346" s="6" t="s">
        <v>34</v>
      </c>
      <c r="E1346" s="6" t="s">
        <v>35</v>
      </c>
      <c r="F1346" s="6" t="s">
        <v>22</v>
      </c>
      <c r="G1346" s="6">
        <v>90</v>
      </c>
      <c r="H1346" s="7">
        <v>1403.3</v>
      </c>
      <c r="I1346" s="7">
        <v>126297</v>
      </c>
      <c r="J1346" s="8">
        <v>45009</v>
      </c>
      <c r="K1346" s="6">
        <v>21</v>
      </c>
      <c r="L1346" s="6" t="s">
        <v>49</v>
      </c>
      <c r="M1346" s="6" t="b">
        <v>1</v>
      </c>
      <c r="N1346" s="6">
        <v>27.23</v>
      </c>
      <c r="O1346" s="6" t="s">
        <v>30</v>
      </c>
      <c r="P1346" s="6" t="b">
        <v>1</v>
      </c>
      <c r="Q1346" s="9" t="s">
        <v>36</v>
      </c>
    </row>
    <row r="1347" spans="1:17" x14ac:dyDescent="0.25">
      <c r="A1347" s="5" t="s">
        <v>1397</v>
      </c>
      <c r="B1347" s="6" t="s">
        <v>66</v>
      </c>
      <c r="C1347" s="6" t="s">
        <v>39</v>
      </c>
      <c r="D1347" s="6" t="s">
        <v>20</v>
      </c>
      <c r="E1347" s="6" t="s">
        <v>44</v>
      </c>
      <c r="F1347" s="6" t="s">
        <v>40</v>
      </c>
      <c r="G1347" s="6">
        <v>68</v>
      </c>
      <c r="H1347" s="7">
        <v>533.59</v>
      </c>
      <c r="I1347" s="7">
        <v>36284.120000000003</v>
      </c>
      <c r="J1347" s="8">
        <v>45547</v>
      </c>
      <c r="K1347" s="6">
        <v>25</v>
      </c>
      <c r="L1347" s="6" t="s">
        <v>41</v>
      </c>
      <c r="M1347" s="6" t="b">
        <v>0</v>
      </c>
      <c r="N1347" s="6">
        <v>21.46</v>
      </c>
      <c r="O1347" s="6" t="s">
        <v>42</v>
      </c>
      <c r="P1347" s="6" t="b">
        <v>0</v>
      </c>
      <c r="Q1347" s="9" t="s">
        <v>36</v>
      </c>
    </row>
    <row r="1348" spans="1:17" x14ac:dyDescent="0.25">
      <c r="A1348" s="5" t="s">
        <v>1398</v>
      </c>
      <c r="B1348" s="6" t="s">
        <v>51</v>
      </c>
      <c r="C1348" s="6" t="s">
        <v>39</v>
      </c>
      <c r="D1348" s="6" t="s">
        <v>52</v>
      </c>
      <c r="E1348" s="6" t="s">
        <v>21</v>
      </c>
      <c r="F1348" s="6" t="s">
        <v>22</v>
      </c>
      <c r="G1348" s="6">
        <v>55</v>
      </c>
      <c r="H1348" s="7">
        <v>367.51</v>
      </c>
      <c r="I1348" s="7">
        <v>20213.05</v>
      </c>
      <c r="J1348" s="8">
        <v>44970</v>
      </c>
      <c r="K1348" s="6">
        <v>54</v>
      </c>
      <c r="L1348" s="6" t="s">
        <v>41</v>
      </c>
      <c r="M1348" s="6" t="b">
        <v>0</v>
      </c>
      <c r="N1348" s="6">
        <v>20.88</v>
      </c>
      <c r="O1348" s="6" t="s">
        <v>30</v>
      </c>
      <c r="P1348" s="6" t="b">
        <v>1</v>
      </c>
      <c r="Q1348" s="9" t="s">
        <v>36</v>
      </c>
    </row>
    <row r="1349" spans="1:17" x14ac:dyDescent="0.25">
      <c r="A1349" s="5" t="s">
        <v>1399</v>
      </c>
      <c r="B1349" s="6" t="s">
        <v>18</v>
      </c>
      <c r="C1349" s="6" t="s">
        <v>39</v>
      </c>
      <c r="D1349" s="6" t="s">
        <v>47</v>
      </c>
      <c r="E1349" s="6" t="s">
        <v>21</v>
      </c>
      <c r="F1349" s="6" t="s">
        <v>22</v>
      </c>
      <c r="G1349" s="6">
        <v>45</v>
      </c>
      <c r="H1349" s="7">
        <v>770</v>
      </c>
      <c r="I1349" s="7">
        <v>34650</v>
      </c>
      <c r="J1349" s="8">
        <v>45409</v>
      </c>
      <c r="K1349" s="6">
        <v>48</v>
      </c>
      <c r="L1349" s="6" t="s">
        <v>49</v>
      </c>
      <c r="M1349" s="6" t="b">
        <v>0</v>
      </c>
      <c r="N1349" s="6">
        <v>17.59</v>
      </c>
      <c r="O1349" s="6" t="s">
        <v>30</v>
      </c>
      <c r="P1349" s="6" t="b">
        <v>1</v>
      </c>
      <c r="Q1349" s="9" t="s">
        <v>25</v>
      </c>
    </row>
    <row r="1350" spans="1:17" x14ac:dyDescent="0.25">
      <c r="A1350" s="5" t="s">
        <v>1400</v>
      </c>
      <c r="B1350" s="6" t="s">
        <v>27</v>
      </c>
      <c r="C1350" s="6" t="s">
        <v>39</v>
      </c>
      <c r="D1350" s="6" t="s">
        <v>20</v>
      </c>
      <c r="E1350" s="6" t="s">
        <v>28</v>
      </c>
      <c r="F1350" s="6" t="s">
        <v>40</v>
      </c>
      <c r="G1350" s="6">
        <v>76</v>
      </c>
      <c r="H1350" s="7">
        <v>451.65</v>
      </c>
      <c r="I1350" s="7">
        <v>34325.4</v>
      </c>
      <c r="J1350" s="8">
        <v>45570</v>
      </c>
      <c r="K1350" s="6">
        <v>54</v>
      </c>
      <c r="L1350" s="6" t="s">
        <v>23</v>
      </c>
      <c r="M1350" s="6" t="b">
        <v>0</v>
      </c>
      <c r="N1350" s="6">
        <v>18.989999999999998</v>
      </c>
      <c r="O1350" s="6" t="s">
        <v>42</v>
      </c>
      <c r="P1350" s="6" t="b">
        <v>1</v>
      </c>
      <c r="Q1350" s="9" t="s">
        <v>36</v>
      </c>
    </row>
    <row r="1351" spans="1:17" x14ac:dyDescent="0.25">
      <c r="A1351" s="5" t="s">
        <v>1401</v>
      </c>
      <c r="B1351" s="6" t="s">
        <v>72</v>
      </c>
      <c r="C1351" s="6" t="s">
        <v>33</v>
      </c>
      <c r="D1351" s="6" t="s">
        <v>47</v>
      </c>
      <c r="E1351" s="6" t="s">
        <v>35</v>
      </c>
      <c r="F1351" s="6" t="s">
        <v>22</v>
      </c>
      <c r="G1351" s="6">
        <v>1</v>
      </c>
      <c r="H1351" s="7">
        <v>825.61</v>
      </c>
      <c r="I1351" s="7">
        <v>825.61</v>
      </c>
      <c r="J1351" s="8">
        <v>45419</v>
      </c>
      <c r="K1351" s="6">
        <v>62</v>
      </c>
      <c r="L1351" s="6" t="s">
        <v>23</v>
      </c>
      <c r="M1351" s="6" t="b">
        <v>0</v>
      </c>
      <c r="N1351" s="6">
        <v>24.11</v>
      </c>
      <c r="O1351" s="6" t="s">
        <v>56</v>
      </c>
      <c r="P1351" s="6" t="b">
        <v>0</v>
      </c>
      <c r="Q1351" s="9" t="s">
        <v>36</v>
      </c>
    </row>
    <row r="1352" spans="1:17" x14ac:dyDescent="0.25">
      <c r="A1352" s="5" t="s">
        <v>1402</v>
      </c>
      <c r="B1352" s="6" t="s">
        <v>38</v>
      </c>
      <c r="C1352" s="6" t="s">
        <v>39</v>
      </c>
      <c r="D1352" s="6" t="s">
        <v>52</v>
      </c>
      <c r="E1352" s="6" t="s">
        <v>28</v>
      </c>
      <c r="F1352" s="6" t="s">
        <v>40</v>
      </c>
      <c r="G1352" s="6">
        <v>21</v>
      </c>
      <c r="H1352" s="7">
        <v>555.34</v>
      </c>
      <c r="I1352" s="7">
        <v>11662.14</v>
      </c>
      <c r="J1352" s="8">
        <v>45425</v>
      </c>
      <c r="K1352" s="6">
        <v>43</v>
      </c>
      <c r="L1352" s="6" t="s">
        <v>41</v>
      </c>
      <c r="M1352" s="6" t="b">
        <v>1</v>
      </c>
      <c r="N1352" s="6">
        <v>29.38</v>
      </c>
      <c r="O1352" s="6" t="s">
        <v>30</v>
      </c>
      <c r="P1352" s="6" t="b">
        <v>1</v>
      </c>
      <c r="Q1352" s="9" t="s">
        <v>36</v>
      </c>
    </row>
    <row r="1353" spans="1:17" x14ac:dyDescent="0.25">
      <c r="A1353" s="5" t="s">
        <v>1403</v>
      </c>
      <c r="B1353" s="6" t="s">
        <v>76</v>
      </c>
      <c r="C1353" s="6" t="s">
        <v>39</v>
      </c>
      <c r="D1353" s="6" t="s">
        <v>34</v>
      </c>
      <c r="E1353" s="6" t="s">
        <v>28</v>
      </c>
      <c r="F1353" s="6" t="s">
        <v>40</v>
      </c>
      <c r="G1353" s="6">
        <v>83</v>
      </c>
      <c r="H1353" s="7">
        <v>241.5</v>
      </c>
      <c r="I1353" s="7">
        <v>20044.5</v>
      </c>
      <c r="J1353" s="8">
        <v>44944</v>
      </c>
      <c r="K1353" s="6">
        <v>60</v>
      </c>
      <c r="L1353" s="6" t="s">
        <v>23</v>
      </c>
      <c r="M1353" s="6" t="b">
        <v>0</v>
      </c>
      <c r="N1353" s="6">
        <v>23.86</v>
      </c>
      <c r="O1353" s="6" t="s">
        <v>42</v>
      </c>
      <c r="P1353" s="6" t="b">
        <v>1</v>
      </c>
      <c r="Q1353" s="9" t="s">
        <v>25</v>
      </c>
    </row>
    <row r="1354" spans="1:17" x14ac:dyDescent="0.25">
      <c r="A1354" s="5" t="s">
        <v>1404</v>
      </c>
      <c r="B1354" s="6" t="s">
        <v>32</v>
      </c>
      <c r="C1354" s="6" t="s">
        <v>33</v>
      </c>
      <c r="D1354" s="6" t="s">
        <v>64</v>
      </c>
      <c r="E1354" s="6" t="s">
        <v>28</v>
      </c>
      <c r="F1354" s="6" t="s">
        <v>40</v>
      </c>
      <c r="G1354" s="6">
        <v>21</v>
      </c>
      <c r="H1354" s="7">
        <v>435.55</v>
      </c>
      <c r="I1354" s="7">
        <v>9146.5499999999993</v>
      </c>
      <c r="J1354" s="8">
        <v>45531</v>
      </c>
      <c r="K1354" s="6">
        <v>25</v>
      </c>
      <c r="L1354" s="6" t="s">
        <v>49</v>
      </c>
      <c r="M1354" s="6" t="b">
        <v>0</v>
      </c>
      <c r="N1354" s="6">
        <v>21.23</v>
      </c>
      <c r="O1354" s="6" t="s">
        <v>42</v>
      </c>
      <c r="P1354" s="6" t="b">
        <v>1</v>
      </c>
      <c r="Q1354" s="9" t="s">
        <v>25</v>
      </c>
    </row>
    <row r="1355" spans="1:17" x14ac:dyDescent="0.25">
      <c r="A1355" s="5" t="s">
        <v>1405</v>
      </c>
      <c r="B1355" s="6" t="s">
        <v>76</v>
      </c>
      <c r="C1355" s="6" t="s">
        <v>33</v>
      </c>
      <c r="D1355" s="6" t="s">
        <v>64</v>
      </c>
      <c r="E1355" s="6" t="s">
        <v>28</v>
      </c>
      <c r="F1355" s="6" t="s">
        <v>40</v>
      </c>
      <c r="G1355" s="6">
        <v>52</v>
      </c>
      <c r="H1355" s="7">
        <v>685.74</v>
      </c>
      <c r="I1355" s="7">
        <v>35658.480000000003</v>
      </c>
      <c r="J1355" s="8">
        <v>45220</v>
      </c>
      <c r="K1355" s="6">
        <v>57</v>
      </c>
      <c r="L1355" s="6" t="s">
        <v>23</v>
      </c>
      <c r="M1355" s="6" t="b">
        <v>0</v>
      </c>
      <c r="N1355" s="6">
        <v>4.07</v>
      </c>
      <c r="O1355" s="6" t="s">
        <v>42</v>
      </c>
      <c r="P1355" s="6" t="b">
        <v>0</v>
      </c>
      <c r="Q1355" s="9" t="s">
        <v>36</v>
      </c>
    </row>
    <row r="1356" spans="1:17" x14ac:dyDescent="0.25">
      <c r="A1356" s="5" t="s">
        <v>1406</v>
      </c>
      <c r="B1356" s="6" t="s">
        <v>46</v>
      </c>
      <c r="C1356" s="6" t="s">
        <v>33</v>
      </c>
      <c r="D1356" s="6" t="s">
        <v>34</v>
      </c>
      <c r="E1356" s="6" t="s">
        <v>21</v>
      </c>
      <c r="F1356" s="6" t="s">
        <v>29</v>
      </c>
      <c r="G1356" s="6">
        <v>82</v>
      </c>
      <c r="H1356" s="7">
        <v>93.93</v>
      </c>
      <c r="I1356" s="7">
        <v>7702.26</v>
      </c>
      <c r="J1356" s="8">
        <v>45074</v>
      </c>
      <c r="K1356" s="6">
        <v>50</v>
      </c>
      <c r="L1356" s="6" t="s">
        <v>41</v>
      </c>
      <c r="M1356" s="6" t="b">
        <v>0</v>
      </c>
      <c r="N1356" s="6">
        <v>24.51</v>
      </c>
      <c r="O1356" s="6" t="s">
        <v>24</v>
      </c>
      <c r="P1356" s="6" t="b">
        <v>1</v>
      </c>
      <c r="Q1356" s="9" t="s">
        <v>25</v>
      </c>
    </row>
    <row r="1357" spans="1:17" x14ac:dyDescent="0.25">
      <c r="A1357" s="5" t="s">
        <v>1407</v>
      </c>
      <c r="B1357" s="6" t="s">
        <v>76</v>
      </c>
      <c r="C1357" s="6" t="s">
        <v>33</v>
      </c>
      <c r="D1357" s="6" t="s">
        <v>20</v>
      </c>
      <c r="E1357" s="6" t="s">
        <v>21</v>
      </c>
      <c r="F1357" s="6" t="s">
        <v>40</v>
      </c>
      <c r="G1357" s="6">
        <v>43</v>
      </c>
      <c r="H1357" s="7">
        <v>1167.43</v>
      </c>
      <c r="I1357" s="7">
        <v>50199.49</v>
      </c>
      <c r="J1357" s="8">
        <v>45398</v>
      </c>
      <c r="K1357" s="6">
        <v>62</v>
      </c>
      <c r="L1357" s="6" t="s">
        <v>41</v>
      </c>
      <c r="M1357" s="6" t="b">
        <v>0</v>
      </c>
      <c r="N1357" s="6">
        <v>22.08</v>
      </c>
      <c r="O1357" s="6" t="s">
        <v>42</v>
      </c>
      <c r="P1357" s="6" t="b">
        <v>0</v>
      </c>
      <c r="Q1357" s="9" t="s">
        <v>25</v>
      </c>
    </row>
    <row r="1358" spans="1:17" x14ac:dyDescent="0.25">
      <c r="A1358" s="5" t="s">
        <v>1408</v>
      </c>
      <c r="B1358" s="6" t="s">
        <v>18</v>
      </c>
      <c r="C1358" s="6" t="s">
        <v>33</v>
      </c>
      <c r="D1358" s="6" t="s">
        <v>20</v>
      </c>
      <c r="E1358" s="6" t="s">
        <v>28</v>
      </c>
      <c r="F1358" s="6" t="s">
        <v>48</v>
      </c>
      <c r="G1358" s="6">
        <v>52</v>
      </c>
      <c r="H1358" s="7">
        <v>951.65</v>
      </c>
      <c r="I1358" s="7">
        <v>49485.8</v>
      </c>
      <c r="J1358" s="8">
        <v>45098</v>
      </c>
      <c r="K1358" s="6">
        <v>46</v>
      </c>
      <c r="L1358" s="6" t="s">
        <v>49</v>
      </c>
      <c r="M1358" s="6" t="b">
        <v>0</v>
      </c>
      <c r="N1358" s="6">
        <v>23.11</v>
      </c>
      <c r="O1358" s="6" t="s">
        <v>30</v>
      </c>
      <c r="P1358" s="6" t="b">
        <v>0</v>
      </c>
      <c r="Q1358" s="9" t="s">
        <v>25</v>
      </c>
    </row>
    <row r="1359" spans="1:17" x14ac:dyDescent="0.25">
      <c r="A1359" s="5" t="s">
        <v>1409</v>
      </c>
      <c r="B1359" s="6" t="s">
        <v>27</v>
      </c>
      <c r="C1359" s="6" t="s">
        <v>33</v>
      </c>
      <c r="D1359" s="6" t="s">
        <v>47</v>
      </c>
      <c r="E1359" s="6" t="s">
        <v>28</v>
      </c>
      <c r="F1359" s="6" t="s">
        <v>48</v>
      </c>
      <c r="G1359" s="6">
        <v>67</v>
      </c>
      <c r="H1359" s="7">
        <v>921.97</v>
      </c>
      <c r="I1359" s="7">
        <v>61771.99</v>
      </c>
      <c r="J1359" s="8">
        <v>45489</v>
      </c>
      <c r="K1359" s="6">
        <v>22</v>
      </c>
      <c r="L1359" s="6" t="s">
        <v>41</v>
      </c>
      <c r="M1359" s="6" t="b">
        <v>1</v>
      </c>
      <c r="N1359" s="6">
        <v>6.93</v>
      </c>
      <c r="O1359" s="6" t="s">
        <v>30</v>
      </c>
      <c r="P1359" s="6" t="b">
        <v>1</v>
      </c>
      <c r="Q1359" s="9" t="s">
        <v>36</v>
      </c>
    </row>
    <row r="1360" spans="1:17" x14ac:dyDescent="0.25">
      <c r="A1360" s="5" t="s">
        <v>1410</v>
      </c>
      <c r="B1360" s="6" t="s">
        <v>38</v>
      </c>
      <c r="C1360" s="6" t="s">
        <v>39</v>
      </c>
      <c r="D1360" s="6" t="s">
        <v>34</v>
      </c>
      <c r="E1360" s="6" t="s">
        <v>35</v>
      </c>
      <c r="F1360" s="6" t="s">
        <v>48</v>
      </c>
      <c r="G1360" s="6">
        <v>44</v>
      </c>
      <c r="H1360" s="7">
        <v>841.77</v>
      </c>
      <c r="I1360" s="7">
        <v>37037.879999999997</v>
      </c>
      <c r="J1360" s="8">
        <v>45457</v>
      </c>
      <c r="K1360" s="6">
        <v>45</v>
      </c>
      <c r="L1360" s="6" t="s">
        <v>41</v>
      </c>
      <c r="M1360" s="6" t="b">
        <v>1</v>
      </c>
      <c r="N1360" s="6">
        <v>27.1</v>
      </c>
      <c r="O1360" s="6" t="s">
        <v>42</v>
      </c>
      <c r="P1360" s="6" t="b">
        <v>1</v>
      </c>
      <c r="Q1360" s="9" t="s">
        <v>36</v>
      </c>
    </row>
    <row r="1361" spans="1:17" x14ac:dyDescent="0.25">
      <c r="A1361" s="5" t="s">
        <v>1411</v>
      </c>
      <c r="B1361" s="6" t="s">
        <v>72</v>
      </c>
      <c r="C1361" s="6" t="s">
        <v>39</v>
      </c>
      <c r="D1361" s="6" t="s">
        <v>20</v>
      </c>
      <c r="E1361" s="6" t="s">
        <v>28</v>
      </c>
      <c r="F1361" s="6" t="s">
        <v>40</v>
      </c>
      <c r="G1361" s="6">
        <v>32</v>
      </c>
      <c r="H1361" s="7">
        <v>905.95</v>
      </c>
      <c r="I1361" s="7">
        <v>28990.400000000001</v>
      </c>
      <c r="J1361" s="8">
        <v>45046</v>
      </c>
      <c r="K1361" s="6">
        <v>57</v>
      </c>
      <c r="L1361" s="6" t="s">
        <v>41</v>
      </c>
      <c r="M1361" s="6" t="b">
        <v>1</v>
      </c>
      <c r="N1361" s="6">
        <v>2.92</v>
      </c>
      <c r="O1361" s="6" t="s">
        <v>24</v>
      </c>
      <c r="P1361" s="6" t="b">
        <v>0</v>
      </c>
      <c r="Q1361" s="9" t="s">
        <v>25</v>
      </c>
    </row>
    <row r="1362" spans="1:17" x14ac:dyDescent="0.25">
      <c r="A1362" s="5" t="s">
        <v>1412</v>
      </c>
      <c r="B1362" s="6" t="s">
        <v>72</v>
      </c>
      <c r="C1362" s="6" t="s">
        <v>19</v>
      </c>
      <c r="D1362" s="6" t="s">
        <v>34</v>
      </c>
      <c r="E1362" s="6" t="s">
        <v>21</v>
      </c>
      <c r="F1362" s="6" t="s">
        <v>48</v>
      </c>
      <c r="G1362" s="6">
        <v>10</v>
      </c>
      <c r="H1362" s="7">
        <v>1405.25</v>
      </c>
      <c r="I1362" s="7">
        <v>14052.5</v>
      </c>
      <c r="J1362" s="8">
        <v>44992</v>
      </c>
      <c r="K1362" s="6">
        <v>34</v>
      </c>
      <c r="L1362" s="6" t="s">
        <v>23</v>
      </c>
      <c r="M1362" s="6" t="b">
        <v>0</v>
      </c>
      <c r="N1362" s="6">
        <v>7.61</v>
      </c>
      <c r="O1362" s="6" t="s">
        <v>24</v>
      </c>
      <c r="P1362" s="6" t="b">
        <v>0</v>
      </c>
      <c r="Q1362" s="9" t="s">
        <v>25</v>
      </c>
    </row>
    <row r="1363" spans="1:17" x14ac:dyDescent="0.25">
      <c r="A1363" s="5" t="s">
        <v>1413</v>
      </c>
      <c r="B1363" s="6" t="s">
        <v>51</v>
      </c>
      <c r="C1363" s="6" t="s">
        <v>39</v>
      </c>
      <c r="D1363" s="6" t="s">
        <v>52</v>
      </c>
      <c r="E1363" s="6" t="s">
        <v>44</v>
      </c>
      <c r="F1363" s="6" t="s">
        <v>29</v>
      </c>
      <c r="G1363" s="6">
        <v>64</v>
      </c>
      <c r="H1363" s="7">
        <v>62.43</v>
      </c>
      <c r="I1363" s="7">
        <v>3995.52</v>
      </c>
      <c r="J1363" s="8">
        <v>45067</v>
      </c>
      <c r="K1363" s="6">
        <v>40</v>
      </c>
      <c r="L1363" s="6" t="s">
        <v>41</v>
      </c>
      <c r="M1363" s="6" t="b">
        <v>0</v>
      </c>
      <c r="N1363" s="6">
        <v>19.89</v>
      </c>
      <c r="O1363" s="6" t="s">
        <v>24</v>
      </c>
      <c r="P1363" s="6" t="b">
        <v>1</v>
      </c>
      <c r="Q1363" s="9" t="s">
        <v>25</v>
      </c>
    </row>
    <row r="1364" spans="1:17" x14ac:dyDescent="0.25">
      <c r="A1364" s="5" t="s">
        <v>1414</v>
      </c>
      <c r="B1364" s="6" t="s">
        <v>32</v>
      </c>
      <c r="C1364" s="6" t="s">
        <v>39</v>
      </c>
      <c r="D1364" s="6" t="s">
        <v>64</v>
      </c>
      <c r="E1364" s="6" t="s">
        <v>21</v>
      </c>
      <c r="F1364" s="6" t="s">
        <v>22</v>
      </c>
      <c r="G1364" s="6">
        <v>79</v>
      </c>
      <c r="H1364" s="7">
        <v>119.31</v>
      </c>
      <c r="I1364" s="7">
        <v>9425.49</v>
      </c>
      <c r="J1364" s="8">
        <v>45372</v>
      </c>
      <c r="K1364" s="6">
        <v>62</v>
      </c>
      <c r="L1364" s="6" t="s">
        <v>23</v>
      </c>
      <c r="M1364" s="6" t="b">
        <v>1</v>
      </c>
      <c r="N1364" s="6">
        <v>20.21</v>
      </c>
      <c r="O1364" s="6" t="s">
        <v>30</v>
      </c>
      <c r="P1364" s="6" t="b">
        <v>1</v>
      </c>
      <c r="Q1364" s="9" t="s">
        <v>36</v>
      </c>
    </row>
    <row r="1365" spans="1:17" x14ac:dyDescent="0.25">
      <c r="A1365" s="5" t="s">
        <v>1415</v>
      </c>
      <c r="B1365" s="6" t="s">
        <v>66</v>
      </c>
      <c r="C1365" s="6" t="s">
        <v>33</v>
      </c>
      <c r="D1365" s="6" t="s">
        <v>64</v>
      </c>
      <c r="E1365" s="6" t="s">
        <v>35</v>
      </c>
      <c r="F1365" s="6" t="s">
        <v>40</v>
      </c>
      <c r="G1365" s="6">
        <v>69</v>
      </c>
      <c r="H1365" s="7">
        <v>327.67</v>
      </c>
      <c r="I1365" s="7">
        <v>22609.23</v>
      </c>
      <c r="J1365" s="8">
        <v>45432</v>
      </c>
      <c r="K1365" s="6">
        <v>26</v>
      </c>
      <c r="L1365" s="6" t="s">
        <v>41</v>
      </c>
      <c r="M1365" s="6" t="b">
        <v>0</v>
      </c>
      <c r="N1365" s="6">
        <v>9.4</v>
      </c>
      <c r="O1365" s="6" t="s">
        <v>24</v>
      </c>
      <c r="P1365" s="6" t="b">
        <v>0</v>
      </c>
      <c r="Q1365" s="9" t="s">
        <v>25</v>
      </c>
    </row>
    <row r="1366" spans="1:17" x14ac:dyDescent="0.25">
      <c r="A1366" s="5" t="s">
        <v>1416</v>
      </c>
      <c r="B1366" s="6" t="s">
        <v>27</v>
      </c>
      <c r="C1366" s="6" t="s">
        <v>33</v>
      </c>
      <c r="D1366" s="6" t="s">
        <v>64</v>
      </c>
      <c r="E1366" s="6" t="s">
        <v>21</v>
      </c>
      <c r="F1366" s="6" t="s">
        <v>48</v>
      </c>
      <c r="G1366" s="6">
        <v>68</v>
      </c>
      <c r="H1366" s="7">
        <v>292.58999999999997</v>
      </c>
      <c r="I1366" s="7">
        <v>19896.12</v>
      </c>
      <c r="J1366" s="8">
        <v>45115</v>
      </c>
      <c r="K1366" s="6">
        <v>19</v>
      </c>
      <c r="L1366" s="6" t="s">
        <v>41</v>
      </c>
      <c r="M1366" s="6" t="b">
        <v>0</v>
      </c>
      <c r="N1366" s="6">
        <v>21.05</v>
      </c>
      <c r="O1366" s="6" t="s">
        <v>56</v>
      </c>
      <c r="P1366" s="6" t="b">
        <v>0</v>
      </c>
      <c r="Q1366" s="9" t="s">
        <v>25</v>
      </c>
    </row>
    <row r="1367" spans="1:17" x14ac:dyDescent="0.25">
      <c r="A1367" s="5" t="s">
        <v>1417</v>
      </c>
      <c r="B1367" s="6" t="s">
        <v>66</v>
      </c>
      <c r="C1367" s="6" t="s">
        <v>39</v>
      </c>
      <c r="D1367" s="6" t="s">
        <v>34</v>
      </c>
      <c r="E1367" s="6" t="s">
        <v>44</v>
      </c>
      <c r="F1367" s="6" t="s">
        <v>29</v>
      </c>
      <c r="G1367" s="6">
        <v>28</v>
      </c>
      <c r="H1367" s="7">
        <v>312.73</v>
      </c>
      <c r="I1367" s="7">
        <v>8756.44</v>
      </c>
      <c r="J1367" s="8">
        <v>45084</v>
      </c>
      <c r="K1367" s="6">
        <v>49</v>
      </c>
      <c r="L1367" s="6" t="s">
        <v>23</v>
      </c>
      <c r="M1367" s="6" t="b">
        <v>0</v>
      </c>
      <c r="N1367" s="6">
        <v>11.64</v>
      </c>
      <c r="O1367" s="6" t="s">
        <v>56</v>
      </c>
      <c r="P1367" s="6" t="b">
        <v>0</v>
      </c>
      <c r="Q1367" s="9" t="s">
        <v>36</v>
      </c>
    </row>
    <row r="1368" spans="1:17" x14ac:dyDescent="0.25">
      <c r="A1368" s="5" t="s">
        <v>1418</v>
      </c>
      <c r="B1368" s="6" t="s">
        <v>38</v>
      </c>
      <c r="C1368" s="6" t="s">
        <v>19</v>
      </c>
      <c r="D1368" s="6" t="s">
        <v>34</v>
      </c>
      <c r="E1368" s="6" t="s">
        <v>28</v>
      </c>
      <c r="F1368" s="6" t="s">
        <v>22</v>
      </c>
      <c r="G1368" s="6">
        <v>53</v>
      </c>
      <c r="H1368" s="7">
        <v>1024.32</v>
      </c>
      <c r="I1368" s="7">
        <v>54288.959999999999</v>
      </c>
      <c r="J1368" s="8">
        <v>45536</v>
      </c>
      <c r="K1368" s="6">
        <v>68</v>
      </c>
      <c r="L1368" s="6" t="s">
        <v>23</v>
      </c>
      <c r="M1368" s="6" t="b">
        <v>1</v>
      </c>
      <c r="N1368" s="6">
        <v>0.01</v>
      </c>
      <c r="O1368" s="6" t="s">
        <v>24</v>
      </c>
      <c r="P1368" s="6" t="b">
        <v>0</v>
      </c>
      <c r="Q1368" s="9" t="s">
        <v>25</v>
      </c>
    </row>
    <row r="1369" spans="1:17" x14ac:dyDescent="0.25">
      <c r="A1369" s="5" t="s">
        <v>1419</v>
      </c>
      <c r="B1369" s="6" t="s">
        <v>76</v>
      </c>
      <c r="C1369" s="6" t="s">
        <v>33</v>
      </c>
      <c r="D1369" s="6" t="s">
        <v>47</v>
      </c>
      <c r="E1369" s="6" t="s">
        <v>44</v>
      </c>
      <c r="F1369" s="6" t="s">
        <v>29</v>
      </c>
      <c r="G1369" s="6">
        <v>51</v>
      </c>
      <c r="H1369" s="7">
        <v>716.25</v>
      </c>
      <c r="I1369" s="7">
        <v>36528.75</v>
      </c>
      <c r="J1369" s="8">
        <v>45596</v>
      </c>
      <c r="K1369" s="6">
        <v>69</v>
      </c>
      <c r="L1369" s="6" t="s">
        <v>49</v>
      </c>
      <c r="M1369" s="6" t="b">
        <v>1</v>
      </c>
      <c r="N1369" s="6">
        <v>4.88</v>
      </c>
      <c r="O1369" s="6" t="s">
        <v>56</v>
      </c>
      <c r="P1369" s="6" t="b">
        <v>1</v>
      </c>
      <c r="Q1369" s="9" t="s">
        <v>25</v>
      </c>
    </row>
    <row r="1370" spans="1:17" x14ac:dyDescent="0.25">
      <c r="A1370" s="5" t="s">
        <v>1420</v>
      </c>
      <c r="B1370" s="6" t="s">
        <v>72</v>
      </c>
      <c r="C1370" s="6" t="s">
        <v>39</v>
      </c>
      <c r="D1370" s="6" t="s">
        <v>64</v>
      </c>
      <c r="E1370" s="6" t="s">
        <v>28</v>
      </c>
      <c r="F1370" s="6" t="s">
        <v>48</v>
      </c>
      <c r="G1370" s="6">
        <v>53</v>
      </c>
      <c r="H1370" s="7">
        <v>1488.08</v>
      </c>
      <c r="I1370" s="7">
        <v>78868.240000000005</v>
      </c>
      <c r="J1370" s="8">
        <v>45172</v>
      </c>
      <c r="K1370" s="6">
        <v>66</v>
      </c>
      <c r="L1370" s="6" t="s">
        <v>49</v>
      </c>
      <c r="M1370" s="6" t="b">
        <v>1</v>
      </c>
      <c r="N1370" s="6">
        <v>26.48</v>
      </c>
      <c r="O1370" s="6" t="s">
        <v>42</v>
      </c>
      <c r="P1370" s="6" t="b">
        <v>0</v>
      </c>
      <c r="Q1370" s="9" t="s">
        <v>36</v>
      </c>
    </row>
    <row r="1371" spans="1:17" x14ac:dyDescent="0.25">
      <c r="A1371" s="5" t="s">
        <v>1421</v>
      </c>
      <c r="B1371" s="6" t="s">
        <v>38</v>
      </c>
      <c r="C1371" s="6" t="s">
        <v>39</v>
      </c>
      <c r="D1371" s="6" t="s">
        <v>47</v>
      </c>
      <c r="E1371" s="6" t="s">
        <v>28</v>
      </c>
      <c r="F1371" s="6" t="s">
        <v>29</v>
      </c>
      <c r="G1371" s="6">
        <v>4</v>
      </c>
      <c r="H1371" s="7">
        <v>378.98</v>
      </c>
      <c r="I1371" s="7">
        <v>1515.92</v>
      </c>
      <c r="J1371" s="8">
        <v>44959</v>
      </c>
      <c r="K1371" s="6">
        <v>48</v>
      </c>
      <c r="L1371" s="6" t="s">
        <v>23</v>
      </c>
      <c r="M1371" s="6" t="b">
        <v>0</v>
      </c>
      <c r="N1371" s="6">
        <v>6.68</v>
      </c>
      <c r="O1371" s="6" t="s">
        <v>24</v>
      </c>
      <c r="P1371" s="6" t="b">
        <v>1</v>
      </c>
      <c r="Q1371" s="9" t="s">
        <v>25</v>
      </c>
    </row>
    <row r="1372" spans="1:17" x14ac:dyDescent="0.25">
      <c r="A1372" s="5" t="s">
        <v>1422</v>
      </c>
      <c r="B1372" s="6" t="s">
        <v>76</v>
      </c>
      <c r="C1372" s="6" t="s">
        <v>19</v>
      </c>
      <c r="D1372" s="6" t="s">
        <v>64</v>
      </c>
      <c r="E1372" s="6" t="s">
        <v>21</v>
      </c>
      <c r="F1372" s="6" t="s">
        <v>22</v>
      </c>
      <c r="G1372" s="6">
        <v>79</v>
      </c>
      <c r="H1372" s="7">
        <v>500.7</v>
      </c>
      <c r="I1372" s="7">
        <v>39555.300000000003</v>
      </c>
      <c r="J1372" s="8">
        <v>45287</v>
      </c>
      <c r="K1372" s="6">
        <v>24</v>
      </c>
      <c r="L1372" s="6" t="s">
        <v>41</v>
      </c>
      <c r="M1372" s="6" t="b">
        <v>1</v>
      </c>
      <c r="N1372" s="6">
        <v>3.39</v>
      </c>
      <c r="O1372" s="6" t="s">
        <v>24</v>
      </c>
      <c r="P1372" s="6" t="b">
        <v>0</v>
      </c>
      <c r="Q1372" s="9" t="s">
        <v>25</v>
      </c>
    </row>
    <row r="1373" spans="1:17" x14ac:dyDescent="0.25">
      <c r="A1373" s="5" t="s">
        <v>1423</v>
      </c>
      <c r="B1373" s="6" t="s">
        <v>72</v>
      </c>
      <c r="C1373" s="6" t="s">
        <v>19</v>
      </c>
      <c r="D1373" s="6" t="s">
        <v>47</v>
      </c>
      <c r="E1373" s="6" t="s">
        <v>21</v>
      </c>
      <c r="F1373" s="6" t="s">
        <v>48</v>
      </c>
      <c r="G1373" s="6">
        <v>17</v>
      </c>
      <c r="H1373" s="7">
        <v>1477.15</v>
      </c>
      <c r="I1373" s="7">
        <v>25111.55</v>
      </c>
      <c r="J1373" s="8">
        <v>45256</v>
      </c>
      <c r="K1373" s="6">
        <v>47</v>
      </c>
      <c r="L1373" s="6" t="s">
        <v>49</v>
      </c>
      <c r="M1373" s="6" t="b">
        <v>1</v>
      </c>
      <c r="N1373" s="6">
        <v>20.47</v>
      </c>
      <c r="O1373" s="6" t="s">
        <v>24</v>
      </c>
      <c r="P1373" s="6" t="b">
        <v>0</v>
      </c>
      <c r="Q1373" s="9" t="s">
        <v>25</v>
      </c>
    </row>
    <row r="1374" spans="1:17" x14ac:dyDescent="0.25">
      <c r="A1374" s="5" t="s">
        <v>1424</v>
      </c>
      <c r="B1374" s="6" t="s">
        <v>76</v>
      </c>
      <c r="C1374" s="6" t="s">
        <v>33</v>
      </c>
      <c r="D1374" s="6" t="s">
        <v>47</v>
      </c>
      <c r="E1374" s="6" t="s">
        <v>21</v>
      </c>
      <c r="F1374" s="6" t="s">
        <v>22</v>
      </c>
      <c r="G1374" s="6">
        <v>67</v>
      </c>
      <c r="H1374" s="7">
        <v>1256.05</v>
      </c>
      <c r="I1374" s="7">
        <v>84155.35</v>
      </c>
      <c r="J1374" s="8">
        <v>45438</v>
      </c>
      <c r="K1374" s="6">
        <v>20</v>
      </c>
      <c r="L1374" s="6" t="s">
        <v>23</v>
      </c>
      <c r="M1374" s="6" t="b">
        <v>1</v>
      </c>
      <c r="N1374" s="6">
        <v>13.22</v>
      </c>
      <c r="O1374" s="6" t="s">
        <v>42</v>
      </c>
      <c r="P1374" s="6" t="b">
        <v>1</v>
      </c>
      <c r="Q1374" s="9" t="s">
        <v>25</v>
      </c>
    </row>
    <row r="1375" spans="1:17" x14ac:dyDescent="0.25">
      <c r="A1375" s="5" t="s">
        <v>1425</v>
      </c>
      <c r="B1375" s="6" t="s">
        <v>32</v>
      </c>
      <c r="C1375" s="6" t="s">
        <v>19</v>
      </c>
      <c r="D1375" s="6" t="s">
        <v>52</v>
      </c>
      <c r="E1375" s="6" t="s">
        <v>35</v>
      </c>
      <c r="F1375" s="6" t="s">
        <v>29</v>
      </c>
      <c r="G1375" s="6">
        <v>74</v>
      </c>
      <c r="H1375" s="7">
        <v>731.21</v>
      </c>
      <c r="I1375" s="7">
        <v>54109.54</v>
      </c>
      <c r="J1375" s="8">
        <v>44997</v>
      </c>
      <c r="K1375" s="6">
        <v>68</v>
      </c>
      <c r="L1375" s="6" t="s">
        <v>23</v>
      </c>
      <c r="M1375" s="6" t="b">
        <v>0</v>
      </c>
      <c r="N1375" s="6">
        <v>23.9</v>
      </c>
      <c r="O1375" s="6" t="s">
        <v>42</v>
      </c>
      <c r="P1375" s="6" t="b">
        <v>1</v>
      </c>
      <c r="Q1375" s="9" t="s">
        <v>36</v>
      </c>
    </row>
    <row r="1376" spans="1:17" x14ac:dyDescent="0.25">
      <c r="A1376" s="5" t="s">
        <v>1426</v>
      </c>
      <c r="B1376" s="6" t="s">
        <v>27</v>
      </c>
      <c r="C1376" s="6" t="s">
        <v>39</v>
      </c>
      <c r="D1376" s="6" t="s">
        <v>47</v>
      </c>
      <c r="E1376" s="6" t="s">
        <v>21</v>
      </c>
      <c r="F1376" s="6" t="s">
        <v>40</v>
      </c>
      <c r="G1376" s="6">
        <v>47</v>
      </c>
      <c r="H1376" s="7">
        <v>854.17</v>
      </c>
      <c r="I1376" s="7">
        <v>40145.99</v>
      </c>
      <c r="J1376" s="8">
        <v>45239</v>
      </c>
      <c r="K1376" s="6">
        <v>68</v>
      </c>
      <c r="L1376" s="6" t="s">
        <v>41</v>
      </c>
      <c r="M1376" s="6" t="b">
        <v>1</v>
      </c>
      <c r="N1376" s="6">
        <v>25.84</v>
      </c>
      <c r="O1376" s="6" t="s">
        <v>24</v>
      </c>
      <c r="P1376" s="6" t="b">
        <v>1</v>
      </c>
      <c r="Q1376" s="9" t="s">
        <v>36</v>
      </c>
    </row>
    <row r="1377" spans="1:17" x14ac:dyDescent="0.25">
      <c r="A1377" s="5" t="s">
        <v>1427</v>
      </c>
      <c r="B1377" s="6" t="s">
        <v>46</v>
      </c>
      <c r="C1377" s="6" t="s">
        <v>39</v>
      </c>
      <c r="D1377" s="6" t="s">
        <v>34</v>
      </c>
      <c r="E1377" s="6" t="s">
        <v>35</v>
      </c>
      <c r="F1377" s="6" t="s">
        <v>40</v>
      </c>
      <c r="G1377" s="6">
        <v>56</v>
      </c>
      <c r="H1377" s="7">
        <v>1272.6099999999999</v>
      </c>
      <c r="I1377" s="7">
        <v>71266.16</v>
      </c>
      <c r="J1377" s="8">
        <v>45005</v>
      </c>
      <c r="K1377" s="6">
        <v>26</v>
      </c>
      <c r="L1377" s="6" t="s">
        <v>23</v>
      </c>
      <c r="M1377" s="6" t="b">
        <v>1</v>
      </c>
      <c r="N1377" s="6">
        <v>25.38</v>
      </c>
      <c r="O1377" s="6" t="s">
        <v>30</v>
      </c>
      <c r="P1377" s="6" t="b">
        <v>1</v>
      </c>
      <c r="Q1377" s="9" t="s">
        <v>36</v>
      </c>
    </row>
    <row r="1378" spans="1:17" x14ac:dyDescent="0.25">
      <c r="A1378" s="5" t="s">
        <v>1428</v>
      </c>
      <c r="B1378" s="6" t="s">
        <v>38</v>
      </c>
      <c r="C1378" s="6" t="s">
        <v>19</v>
      </c>
      <c r="D1378" s="6" t="s">
        <v>47</v>
      </c>
      <c r="E1378" s="6" t="s">
        <v>21</v>
      </c>
      <c r="F1378" s="6" t="s">
        <v>40</v>
      </c>
      <c r="G1378" s="6">
        <v>23</v>
      </c>
      <c r="H1378" s="7">
        <v>747.42</v>
      </c>
      <c r="I1378" s="7">
        <v>17190.66</v>
      </c>
      <c r="J1378" s="8">
        <v>45095</v>
      </c>
      <c r="K1378" s="6">
        <v>27</v>
      </c>
      <c r="L1378" s="6" t="s">
        <v>49</v>
      </c>
      <c r="M1378" s="6" t="b">
        <v>0</v>
      </c>
      <c r="N1378" s="6">
        <v>9.39</v>
      </c>
      <c r="O1378" s="6" t="s">
        <v>30</v>
      </c>
      <c r="P1378" s="6" t="b">
        <v>0</v>
      </c>
      <c r="Q1378" s="9" t="s">
        <v>25</v>
      </c>
    </row>
    <row r="1379" spans="1:17" x14ac:dyDescent="0.25">
      <c r="A1379" s="5" t="s">
        <v>1429</v>
      </c>
      <c r="B1379" s="6" t="s">
        <v>38</v>
      </c>
      <c r="C1379" s="6" t="s">
        <v>19</v>
      </c>
      <c r="D1379" s="6" t="s">
        <v>64</v>
      </c>
      <c r="E1379" s="6" t="s">
        <v>28</v>
      </c>
      <c r="F1379" s="6" t="s">
        <v>40</v>
      </c>
      <c r="G1379" s="6">
        <v>18</v>
      </c>
      <c r="H1379" s="7">
        <v>348.73</v>
      </c>
      <c r="I1379" s="7">
        <v>6277.14</v>
      </c>
      <c r="J1379" s="8">
        <v>45106</v>
      </c>
      <c r="K1379" s="6">
        <v>63</v>
      </c>
      <c r="L1379" s="6" t="s">
        <v>41</v>
      </c>
      <c r="M1379" s="6" t="b">
        <v>1</v>
      </c>
      <c r="N1379" s="6">
        <v>15.17</v>
      </c>
      <c r="O1379" s="6" t="s">
        <v>56</v>
      </c>
      <c r="P1379" s="6" t="b">
        <v>1</v>
      </c>
      <c r="Q1379" s="9" t="s">
        <v>36</v>
      </c>
    </row>
    <row r="1380" spans="1:17" x14ac:dyDescent="0.25">
      <c r="A1380" s="5" t="s">
        <v>1430</v>
      </c>
      <c r="B1380" s="6" t="s">
        <v>62</v>
      </c>
      <c r="C1380" s="6" t="s">
        <v>19</v>
      </c>
      <c r="D1380" s="6" t="s">
        <v>47</v>
      </c>
      <c r="E1380" s="6" t="s">
        <v>35</v>
      </c>
      <c r="F1380" s="6" t="s">
        <v>22</v>
      </c>
      <c r="G1380" s="6">
        <v>1</v>
      </c>
      <c r="H1380" s="7">
        <v>1251.24</v>
      </c>
      <c r="I1380" s="7">
        <v>1251.24</v>
      </c>
      <c r="J1380" s="8">
        <v>45554</v>
      </c>
      <c r="K1380" s="6">
        <v>67</v>
      </c>
      <c r="L1380" s="6" t="s">
        <v>23</v>
      </c>
      <c r="M1380" s="6" t="b">
        <v>0</v>
      </c>
      <c r="N1380" s="6">
        <v>19.5</v>
      </c>
      <c r="O1380" s="6" t="s">
        <v>42</v>
      </c>
      <c r="P1380" s="6" t="b">
        <v>1</v>
      </c>
      <c r="Q1380" s="9" t="s">
        <v>36</v>
      </c>
    </row>
    <row r="1381" spans="1:17" x14ac:dyDescent="0.25">
      <c r="A1381" s="5" t="s">
        <v>1431</v>
      </c>
      <c r="B1381" s="6" t="s">
        <v>18</v>
      </c>
      <c r="C1381" s="6" t="s">
        <v>19</v>
      </c>
      <c r="D1381" s="6" t="s">
        <v>20</v>
      </c>
      <c r="E1381" s="6" t="s">
        <v>44</v>
      </c>
      <c r="F1381" s="6" t="s">
        <v>40</v>
      </c>
      <c r="G1381" s="6">
        <v>35</v>
      </c>
      <c r="H1381" s="7">
        <v>829.77</v>
      </c>
      <c r="I1381" s="7">
        <v>29041.95</v>
      </c>
      <c r="J1381" s="8">
        <v>45186</v>
      </c>
      <c r="K1381" s="6">
        <v>64</v>
      </c>
      <c r="L1381" s="6" t="s">
        <v>23</v>
      </c>
      <c r="M1381" s="6" t="b">
        <v>0</v>
      </c>
      <c r="N1381" s="6">
        <v>9.66</v>
      </c>
      <c r="O1381" s="6" t="s">
        <v>56</v>
      </c>
      <c r="P1381" s="6" t="b">
        <v>1</v>
      </c>
      <c r="Q1381" s="9" t="s">
        <v>25</v>
      </c>
    </row>
    <row r="1382" spans="1:17" x14ac:dyDescent="0.25">
      <c r="A1382" s="5" t="s">
        <v>1432</v>
      </c>
      <c r="B1382" s="6" t="s">
        <v>32</v>
      </c>
      <c r="C1382" s="6" t="s">
        <v>33</v>
      </c>
      <c r="D1382" s="6" t="s">
        <v>64</v>
      </c>
      <c r="E1382" s="6" t="s">
        <v>35</v>
      </c>
      <c r="F1382" s="6" t="s">
        <v>22</v>
      </c>
      <c r="G1382" s="6">
        <v>64</v>
      </c>
      <c r="H1382" s="7">
        <v>271.91000000000003</v>
      </c>
      <c r="I1382" s="7">
        <v>17402.240000000002</v>
      </c>
      <c r="J1382" s="8">
        <v>45412</v>
      </c>
      <c r="K1382" s="6">
        <v>43</v>
      </c>
      <c r="L1382" s="6" t="s">
        <v>41</v>
      </c>
      <c r="M1382" s="6" t="b">
        <v>1</v>
      </c>
      <c r="N1382" s="6">
        <v>1.23</v>
      </c>
      <c r="O1382" s="6" t="s">
        <v>56</v>
      </c>
      <c r="P1382" s="6" t="b">
        <v>0</v>
      </c>
      <c r="Q1382" s="9" t="s">
        <v>36</v>
      </c>
    </row>
    <row r="1383" spans="1:17" x14ac:dyDescent="0.25">
      <c r="A1383" s="5" t="s">
        <v>1433</v>
      </c>
      <c r="B1383" s="6" t="s">
        <v>32</v>
      </c>
      <c r="C1383" s="6" t="s">
        <v>19</v>
      </c>
      <c r="D1383" s="6" t="s">
        <v>20</v>
      </c>
      <c r="E1383" s="6" t="s">
        <v>35</v>
      </c>
      <c r="F1383" s="6" t="s">
        <v>48</v>
      </c>
      <c r="G1383" s="6">
        <v>58</v>
      </c>
      <c r="H1383" s="7">
        <v>783.1</v>
      </c>
      <c r="I1383" s="7">
        <v>45419.8</v>
      </c>
      <c r="J1383" s="8">
        <v>44931</v>
      </c>
      <c r="K1383" s="6">
        <v>18</v>
      </c>
      <c r="L1383" s="6" t="s">
        <v>41</v>
      </c>
      <c r="M1383" s="6" t="b">
        <v>1</v>
      </c>
      <c r="N1383" s="6">
        <v>14.87</v>
      </c>
      <c r="O1383" s="6" t="s">
        <v>24</v>
      </c>
      <c r="P1383" s="6" t="b">
        <v>0</v>
      </c>
      <c r="Q1383" s="9" t="s">
        <v>25</v>
      </c>
    </row>
    <row r="1384" spans="1:17" x14ac:dyDescent="0.25">
      <c r="A1384" s="5" t="s">
        <v>1434</v>
      </c>
      <c r="B1384" s="6" t="s">
        <v>66</v>
      </c>
      <c r="C1384" s="6" t="s">
        <v>33</v>
      </c>
      <c r="D1384" s="6" t="s">
        <v>64</v>
      </c>
      <c r="E1384" s="6" t="s">
        <v>44</v>
      </c>
      <c r="F1384" s="6" t="s">
        <v>40</v>
      </c>
      <c r="G1384" s="6">
        <v>95</v>
      </c>
      <c r="H1384" s="7">
        <v>649.14</v>
      </c>
      <c r="I1384" s="7">
        <v>61668.3</v>
      </c>
      <c r="J1384" s="8">
        <v>45223</v>
      </c>
      <c r="K1384" s="6">
        <v>47</v>
      </c>
      <c r="L1384" s="6" t="s">
        <v>41</v>
      </c>
      <c r="M1384" s="6" t="b">
        <v>1</v>
      </c>
      <c r="N1384" s="6">
        <v>0.38</v>
      </c>
      <c r="O1384" s="6" t="s">
        <v>30</v>
      </c>
      <c r="P1384" s="6" t="b">
        <v>1</v>
      </c>
      <c r="Q1384" s="9" t="s">
        <v>25</v>
      </c>
    </row>
    <row r="1385" spans="1:17" x14ac:dyDescent="0.25">
      <c r="A1385" s="5" t="s">
        <v>1435</v>
      </c>
      <c r="B1385" s="6" t="s">
        <v>76</v>
      </c>
      <c r="C1385" s="6" t="s">
        <v>39</v>
      </c>
      <c r="D1385" s="6" t="s">
        <v>34</v>
      </c>
      <c r="E1385" s="6" t="s">
        <v>35</v>
      </c>
      <c r="F1385" s="6" t="s">
        <v>22</v>
      </c>
      <c r="G1385" s="6">
        <v>59</v>
      </c>
      <c r="H1385" s="7">
        <v>1321.42</v>
      </c>
      <c r="I1385" s="7">
        <v>77963.78</v>
      </c>
      <c r="J1385" s="8">
        <v>45546</v>
      </c>
      <c r="K1385" s="6">
        <v>55</v>
      </c>
      <c r="L1385" s="6" t="s">
        <v>49</v>
      </c>
      <c r="M1385" s="6" t="b">
        <v>0</v>
      </c>
      <c r="N1385" s="6">
        <v>28.52</v>
      </c>
      <c r="O1385" s="6" t="s">
        <v>56</v>
      </c>
      <c r="P1385" s="6" t="b">
        <v>0</v>
      </c>
      <c r="Q1385" s="9" t="s">
        <v>25</v>
      </c>
    </row>
    <row r="1386" spans="1:17" x14ac:dyDescent="0.25">
      <c r="A1386" s="5" t="s">
        <v>1436</v>
      </c>
      <c r="B1386" s="6" t="s">
        <v>18</v>
      </c>
      <c r="C1386" s="6" t="s">
        <v>19</v>
      </c>
      <c r="D1386" s="6" t="s">
        <v>34</v>
      </c>
      <c r="E1386" s="6" t="s">
        <v>28</v>
      </c>
      <c r="F1386" s="6" t="s">
        <v>40</v>
      </c>
      <c r="G1386" s="6">
        <v>1</v>
      </c>
      <c r="H1386" s="7">
        <v>232.78</v>
      </c>
      <c r="I1386" s="7">
        <v>232.78</v>
      </c>
      <c r="J1386" s="8">
        <v>45286</v>
      </c>
      <c r="K1386" s="6">
        <v>32</v>
      </c>
      <c r="L1386" s="6" t="s">
        <v>49</v>
      </c>
      <c r="M1386" s="6" t="b">
        <v>1</v>
      </c>
      <c r="N1386" s="6">
        <v>23.9</v>
      </c>
      <c r="O1386" s="6" t="s">
        <v>24</v>
      </c>
      <c r="P1386" s="6" t="b">
        <v>0</v>
      </c>
      <c r="Q1386" s="9" t="s">
        <v>36</v>
      </c>
    </row>
    <row r="1387" spans="1:17" x14ac:dyDescent="0.25">
      <c r="A1387" s="5" t="s">
        <v>1437</v>
      </c>
      <c r="B1387" s="6" t="s">
        <v>27</v>
      </c>
      <c r="C1387" s="6" t="s">
        <v>33</v>
      </c>
      <c r="D1387" s="6" t="s">
        <v>34</v>
      </c>
      <c r="E1387" s="6" t="s">
        <v>21</v>
      </c>
      <c r="F1387" s="6" t="s">
        <v>40</v>
      </c>
      <c r="G1387" s="6">
        <v>3</v>
      </c>
      <c r="H1387" s="7">
        <v>1319.05</v>
      </c>
      <c r="I1387" s="7">
        <v>3957.15</v>
      </c>
      <c r="J1387" s="8">
        <v>45043</v>
      </c>
      <c r="K1387" s="6">
        <v>42</v>
      </c>
      <c r="L1387" s="6" t="s">
        <v>23</v>
      </c>
      <c r="M1387" s="6" t="b">
        <v>1</v>
      </c>
      <c r="N1387" s="6">
        <v>5.76</v>
      </c>
      <c r="O1387" s="6" t="s">
        <v>42</v>
      </c>
      <c r="P1387" s="6" t="b">
        <v>1</v>
      </c>
      <c r="Q1387" s="9" t="s">
        <v>36</v>
      </c>
    </row>
    <row r="1388" spans="1:17" x14ac:dyDescent="0.25">
      <c r="A1388" s="5" t="s">
        <v>1438</v>
      </c>
      <c r="B1388" s="6" t="s">
        <v>27</v>
      </c>
      <c r="C1388" s="6" t="s">
        <v>19</v>
      </c>
      <c r="D1388" s="6" t="s">
        <v>20</v>
      </c>
      <c r="E1388" s="6" t="s">
        <v>44</v>
      </c>
      <c r="F1388" s="6" t="s">
        <v>40</v>
      </c>
      <c r="G1388" s="6">
        <v>67</v>
      </c>
      <c r="H1388" s="7">
        <v>792.71</v>
      </c>
      <c r="I1388" s="7">
        <v>53111.57</v>
      </c>
      <c r="J1388" s="8">
        <v>45283</v>
      </c>
      <c r="K1388" s="6">
        <v>23</v>
      </c>
      <c r="L1388" s="6" t="s">
        <v>23</v>
      </c>
      <c r="M1388" s="6" t="b">
        <v>1</v>
      </c>
      <c r="N1388" s="6">
        <v>8.6300000000000008</v>
      </c>
      <c r="O1388" s="6" t="s">
        <v>56</v>
      </c>
      <c r="P1388" s="6" t="b">
        <v>0</v>
      </c>
      <c r="Q1388" s="9" t="s">
        <v>25</v>
      </c>
    </row>
    <row r="1389" spans="1:17" x14ac:dyDescent="0.25">
      <c r="A1389" s="5" t="s">
        <v>1439</v>
      </c>
      <c r="B1389" s="6" t="s">
        <v>32</v>
      </c>
      <c r="C1389" s="6" t="s">
        <v>39</v>
      </c>
      <c r="D1389" s="6" t="s">
        <v>52</v>
      </c>
      <c r="E1389" s="6" t="s">
        <v>21</v>
      </c>
      <c r="F1389" s="6" t="s">
        <v>22</v>
      </c>
      <c r="G1389" s="6">
        <v>37</v>
      </c>
      <c r="H1389" s="7">
        <v>636.33000000000004</v>
      </c>
      <c r="I1389" s="7">
        <v>23544.21</v>
      </c>
      <c r="J1389" s="8">
        <v>45365</v>
      </c>
      <c r="K1389" s="6">
        <v>35</v>
      </c>
      <c r="L1389" s="6" t="s">
        <v>41</v>
      </c>
      <c r="M1389" s="6" t="b">
        <v>0</v>
      </c>
      <c r="N1389" s="6">
        <v>29.49</v>
      </c>
      <c r="O1389" s="6" t="s">
        <v>30</v>
      </c>
      <c r="P1389" s="6" t="b">
        <v>1</v>
      </c>
      <c r="Q1389" s="9" t="s">
        <v>36</v>
      </c>
    </row>
    <row r="1390" spans="1:17" x14ac:dyDescent="0.25">
      <c r="A1390" s="5" t="s">
        <v>1440</v>
      </c>
      <c r="B1390" s="6" t="s">
        <v>27</v>
      </c>
      <c r="C1390" s="6" t="s">
        <v>39</v>
      </c>
      <c r="D1390" s="6" t="s">
        <v>64</v>
      </c>
      <c r="E1390" s="6" t="s">
        <v>28</v>
      </c>
      <c r="F1390" s="6" t="s">
        <v>29</v>
      </c>
      <c r="G1390" s="6">
        <v>83</v>
      </c>
      <c r="H1390" s="7">
        <v>284.85000000000002</v>
      </c>
      <c r="I1390" s="7">
        <v>23642.55</v>
      </c>
      <c r="J1390" s="8">
        <v>45257</v>
      </c>
      <c r="K1390" s="6">
        <v>18</v>
      </c>
      <c r="L1390" s="6" t="s">
        <v>23</v>
      </c>
      <c r="M1390" s="6" t="b">
        <v>0</v>
      </c>
      <c r="N1390" s="6">
        <v>11.21</v>
      </c>
      <c r="O1390" s="6" t="s">
        <v>42</v>
      </c>
      <c r="P1390" s="6" t="b">
        <v>1</v>
      </c>
      <c r="Q1390" s="9" t="s">
        <v>25</v>
      </c>
    </row>
    <row r="1391" spans="1:17" x14ac:dyDescent="0.25">
      <c r="A1391" s="5" t="s">
        <v>1441</v>
      </c>
      <c r="B1391" s="6" t="s">
        <v>62</v>
      </c>
      <c r="C1391" s="6" t="s">
        <v>39</v>
      </c>
      <c r="D1391" s="6" t="s">
        <v>34</v>
      </c>
      <c r="E1391" s="6" t="s">
        <v>44</v>
      </c>
      <c r="F1391" s="6" t="s">
        <v>40</v>
      </c>
      <c r="G1391" s="6">
        <v>29</v>
      </c>
      <c r="H1391" s="7">
        <v>1066.19</v>
      </c>
      <c r="I1391" s="7">
        <v>30919.51</v>
      </c>
      <c r="J1391" s="8">
        <v>45451</v>
      </c>
      <c r="K1391" s="6">
        <v>20</v>
      </c>
      <c r="L1391" s="6" t="s">
        <v>23</v>
      </c>
      <c r="M1391" s="6" t="b">
        <v>0</v>
      </c>
      <c r="N1391" s="6">
        <v>23.51</v>
      </c>
      <c r="O1391" s="6" t="s">
        <v>24</v>
      </c>
      <c r="P1391" s="6" t="b">
        <v>1</v>
      </c>
      <c r="Q1391" s="9" t="s">
        <v>36</v>
      </c>
    </row>
    <row r="1392" spans="1:17" x14ac:dyDescent="0.25">
      <c r="A1392" s="5" t="s">
        <v>1442</v>
      </c>
      <c r="B1392" s="6" t="s">
        <v>38</v>
      </c>
      <c r="C1392" s="6" t="s">
        <v>19</v>
      </c>
      <c r="D1392" s="6" t="s">
        <v>64</v>
      </c>
      <c r="E1392" s="6" t="s">
        <v>21</v>
      </c>
      <c r="F1392" s="6" t="s">
        <v>40</v>
      </c>
      <c r="G1392" s="6">
        <v>89</v>
      </c>
      <c r="H1392" s="7">
        <v>1393.87</v>
      </c>
      <c r="I1392" s="7">
        <v>124054.43</v>
      </c>
      <c r="J1392" s="8">
        <v>45580</v>
      </c>
      <c r="K1392" s="6">
        <v>34</v>
      </c>
      <c r="L1392" s="6" t="s">
        <v>41</v>
      </c>
      <c r="M1392" s="6" t="b">
        <v>1</v>
      </c>
      <c r="N1392" s="6">
        <v>13.4</v>
      </c>
      <c r="O1392" s="6" t="s">
        <v>42</v>
      </c>
      <c r="P1392" s="6" t="b">
        <v>0</v>
      </c>
      <c r="Q1392" s="9" t="s">
        <v>36</v>
      </c>
    </row>
    <row r="1393" spans="1:17" x14ac:dyDescent="0.25">
      <c r="A1393" s="5" t="s">
        <v>1443</v>
      </c>
      <c r="B1393" s="6" t="s">
        <v>51</v>
      </c>
      <c r="C1393" s="6" t="s">
        <v>19</v>
      </c>
      <c r="D1393" s="6" t="s">
        <v>20</v>
      </c>
      <c r="E1393" s="6" t="s">
        <v>21</v>
      </c>
      <c r="F1393" s="6" t="s">
        <v>48</v>
      </c>
      <c r="G1393" s="6">
        <v>33</v>
      </c>
      <c r="H1393" s="7">
        <v>594.29999999999995</v>
      </c>
      <c r="I1393" s="7">
        <v>19611.900000000001</v>
      </c>
      <c r="J1393" s="8">
        <v>45114</v>
      </c>
      <c r="K1393" s="6">
        <v>65</v>
      </c>
      <c r="L1393" s="6" t="s">
        <v>49</v>
      </c>
      <c r="M1393" s="6" t="b">
        <v>1</v>
      </c>
      <c r="N1393" s="6">
        <v>25.92</v>
      </c>
      <c r="O1393" s="6" t="s">
        <v>56</v>
      </c>
      <c r="P1393" s="6" t="b">
        <v>1</v>
      </c>
      <c r="Q1393" s="9" t="s">
        <v>36</v>
      </c>
    </row>
    <row r="1394" spans="1:17" x14ac:dyDescent="0.25">
      <c r="A1394" s="5" t="s">
        <v>1444</v>
      </c>
      <c r="B1394" s="6" t="s">
        <v>46</v>
      </c>
      <c r="C1394" s="6" t="s">
        <v>33</v>
      </c>
      <c r="D1394" s="6" t="s">
        <v>52</v>
      </c>
      <c r="E1394" s="6" t="s">
        <v>28</v>
      </c>
      <c r="F1394" s="6" t="s">
        <v>29</v>
      </c>
      <c r="G1394" s="6">
        <v>61</v>
      </c>
      <c r="H1394" s="7">
        <v>400.3</v>
      </c>
      <c r="I1394" s="7">
        <v>24418.3</v>
      </c>
      <c r="J1394" s="8">
        <v>45207</v>
      </c>
      <c r="K1394" s="6">
        <v>25</v>
      </c>
      <c r="L1394" s="6" t="s">
        <v>49</v>
      </c>
      <c r="M1394" s="6" t="b">
        <v>0</v>
      </c>
      <c r="N1394" s="6">
        <v>21.11</v>
      </c>
      <c r="O1394" s="6" t="s">
        <v>42</v>
      </c>
      <c r="P1394" s="6" t="b">
        <v>0</v>
      </c>
      <c r="Q1394" s="9" t="s">
        <v>36</v>
      </c>
    </row>
    <row r="1395" spans="1:17" x14ac:dyDescent="0.25">
      <c r="A1395" s="5" t="s">
        <v>1445</v>
      </c>
      <c r="B1395" s="6" t="s">
        <v>66</v>
      </c>
      <c r="C1395" s="6" t="s">
        <v>39</v>
      </c>
      <c r="D1395" s="6" t="s">
        <v>20</v>
      </c>
      <c r="E1395" s="6" t="s">
        <v>21</v>
      </c>
      <c r="F1395" s="6" t="s">
        <v>22</v>
      </c>
      <c r="G1395" s="6">
        <v>93</v>
      </c>
      <c r="H1395" s="7">
        <v>854.56</v>
      </c>
      <c r="I1395" s="7">
        <v>79474.080000000002</v>
      </c>
      <c r="J1395" s="8">
        <v>45437</v>
      </c>
      <c r="K1395" s="6">
        <v>66</v>
      </c>
      <c r="L1395" s="6" t="s">
        <v>49</v>
      </c>
      <c r="M1395" s="6" t="b">
        <v>1</v>
      </c>
      <c r="N1395" s="6">
        <v>0.69</v>
      </c>
      <c r="O1395" s="6" t="s">
        <v>42</v>
      </c>
      <c r="P1395" s="6" t="b">
        <v>0</v>
      </c>
      <c r="Q1395" s="9" t="s">
        <v>36</v>
      </c>
    </row>
    <row r="1396" spans="1:17" x14ac:dyDescent="0.25">
      <c r="A1396" s="5" t="s">
        <v>1446</v>
      </c>
      <c r="B1396" s="6" t="s">
        <v>76</v>
      </c>
      <c r="C1396" s="6" t="s">
        <v>19</v>
      </c>
      <c r="D1396" s="6" t="s">
        <v>64</v>
      </c>
      <c r="E1396" s="6" t="s">
        <v>28</v>
      </c>
      <c r="F1396" s="6" t="s">
        <v>48</v>
      </c>
      <c r="G1396" s="6">
        <v>90</v>
      </c>
      <c r="H1396" s="7">
        <v>1204.47</v>
      </c>
      <c r="I1396" s="7">
        <v>108402.3</v>
      </c>
      <c r="J1396" s="8">
        <v>45392</v>
      </c>
      <c r="K1396" s="6">
        <v>57</v>
      </c>
      <c r="L1396" s="6" t="s">
        <v>23</v>
      </c>
      <c r="M1396" s="6" t="b">
        <v>1</v>
      </c>
      <c r="N1396" s="6">
        <v>8.83</v>
      </c>
      <c r="O1396" s="6" t="s">
        <v>42</v>
      </c>
      <c r="P1396" s="6" t="b">
        <v>0</v>
      </c>
      <c r="Q1396" s="9" t="s">
        <v>25</v>
      </c>
    </row>
    <row r="1397" spans="1:17" x14ac:dyDescent="0.25">
      <c r="A1397" s="5" t="s">
        <v>1447</v>
      </c>
      <c r="B1397" s="6" t="s">
        <v>46</v>
      </c>
      <c r="C1397" s="6" t="s">
        <v>39</v>
      </c>
      <c r="D1397" s="6" t="s">
        <v>52</v>
      </c>
      <c r="E1397" s="6" t="s">
        <v>35</v>
      </c>
      <c r="F1397" s="6" t="s">
        <v>40</v>
      </c>
      <c r="G1397" s="6">
        <v>4</v>
      </c>
      <c r="H1397" s="7">
        <v>55.46</v>
      </c>
      <c r="I1397" s="7">
        <v>221.84</v>
      </c>
      <c r="J1397" s="8">
        <v>45041</v>
      </c>
      <c r="K1397" s="6">
        <v>34</v>
      </c>
      <c r="L1397" s="6" t="s">
        <v>41</v>
      </c>
      <c r="M1397" s="6" t="b">
        <v>0</v>
      </c>
      <c r="N1397" s="6">
        <v>16.739999999999998</v>
      </c>
      <c r="O1397" s="6" t="s">
        <v>30</v>
      </c>
      <c r="P1397" s="6" t="b">
        <v>0</v>
      </c>
      <c r="Q1397" s="9" t="s">
        <v>36</v>
      </c>
    </row>
    <row r="1398" spans="1:17" x14ac:dyDescent="0.25">
      <c r="A1398" s="5" t="s">
        <v>1448</v>
      </c>
      <c r="B1398" s="6" t="s">
        <v>76</v>
      </c>
      <c r="C1398" s="6" t="s">
        <v>39</v>
      </c>
      <c r="D1398" s="6" t="s">
        <v>52</v>
      </c>
      <c r="E1398" s="6" t="s">
        <v>28</v>
      </c>
      <c r="F1398" s="6" t="s">
        <v>48</v>
      </c>
      <c r="G1398" s="6">
        <v>14</v>
      </c>
      <c r="H1398" s="7">
        <v>965.5</v>
      </c>
      <c r="I1398" s="7">
        <v>13517</v>
      </c>
      <c r="J1398" s="8">
        <v>45162</v>
      </c>
      <c r="K1398" s="6">
        <v>42</v>
      </c>
      <c r="L1398" s="6" t="s">
        <v>49</v>
      </c>
      <c r="M1398" s="6" t="b">
        <v>0</v>
      </c>
      <c r="N1398" s="6">
        <v>27.79</v>
      </c>
      <c r="O1398" s="6" t="s">
        <v>56</v>
      </c>
      <c r="P1398" s="6" t="b">
        <v>1</v>
      </c>
      <c r="Q1398" s="9" t="s">
        <v>36</v>
      </c>
    </row>
    <row r="1399" spans="1:17" x14ac:dyDescent="0.25">
      <c r="A1399" s="5" t="s">
        <v>1449</v>
      </c>
      <c r="B1399" s="6" t="s">
        <v>72</v>
      </c>
      <c r="C1399" s="6" t="s">
        <v>33</v>
      </c>
      <c r="D1399" s="6" t="s">
        <v>20</v>
      </c>
      <c r="E1399" s="6" t="s">
        <v>35</v>
      </c>
      <c r="F1399" s="6" t="s">
        <v>48</v>
      </c>
      <c r="G1399" s="6">
        <v>91</v>
      </c>
      <c r="H1399" s="7">
        <v>914.95</v>
      </c>
      <c r="I1399" s="7">
        <v>83260.45</v>
      </c>
      <c r="J1399" s="8">
        <v>45264</v>
      </c>
      <c r="K1399" s="6">
        <v>58</v>
      </c>
      <c r="L1399" s="6" t="s">
        <v>23</v>
      </c>
      <c r="M1399" s="6" t="b">
        <v>0</v>
      </c>
      <c r="N1399" s="6">
        <v>3.06</v>
      </c>
      <c r="O1399" s="6" t="s">
        <v>24</v>
      </c>
      <c r="P1399" s="6" t="b">
        <v>1</v>
      </c>
      <c r="Q1399" s="9" t="s">
        <v>36</v>
      </c>
    </row>
    <row r="1400" spans="1:17" x14ac:dyDescent="0.25">
      <c r="A1400" s="5" t="s">
        <v>1450</v>
      </c>
      <c r="B1400" s="6" t="s">
        <v>46</v>
      </c>
      <c r="C1400" s="6" t="s">
        <v>33</v>
      </c>
      <c r="D1400" s="6" t="s">
        <v>34</v>
      </c>
      <c r="E1400" s="6" t="s">
        <v>44</v>
      </c>
      <c r="F1400" s="6" t="s">
        <v>40</v>
      </c>
      <c r="G1400" s="6">
        <v>33</v>
      </c>
      <c r="H1400" s="7">
        <v>511.32</v>
      </c>
      <c r="I1400" s="7">
        <v>16873.560000000001</v>
      </c>
      <c r="J1400" s="8">
        <v>45448</v>
      </c>
      <c r="K1400" s="6">
        <v>29</v>
      </c>
      <c r="L1400" s="6" t="s">
        <v>41</v>
      </c>
      <c r="M1400" s="6" t="b">
        <v>1</v>
      </c>
      <c r="N1400" s="6">
        <v>18.03</v>
      </c>
      <c r="O1400" s="6" t="s">
        <v>30</v>
      </c>
      <c r="P1400" s="6" t="b">
        <v>0</v>
      </c>
      <c r="Q1400" s="9" t="s">
        <v>36</v>
      </c>
    </row>
    <row r="1401" spans="1:17" x14ac:dyDescent="0.25">
      <c r="A1401" s="5" t="s">
        <v>1451</v>
      </c>
      <c r="B1401" s="6" t="s">
        <v>51</v>
      </c>
      <c r="C1401" s="6" t="s">
        <v>33</v>
      </c>
      <c r="D1401" s="6" t="s">
        <v>64</v>
      </c>
      <c r="E1401" s="6" t="s">
        <v>21</v>
      </c>
      <c r="F1401" s="6" t="s">
        <v>29</v>
      </c>
      <c r="G1401" s="6">
        <v>22</v>
      </c>
      <c r="H1401" s="7">
        <v>704.56</v>
      </c>
      <c r="I1401" s="7">
        <v>15500.32</v>
      </c>
      <c r="J1401" s="8">
        <v>45125</v>
      </c>
      <c r="K1401" s="6">
        <v>46</v>
      </c>
      <c r="L1401" s="6" t="s">
        <v>49</v>
      </c>
      <c r="M1401" s="6" t="b">
        <v>1</v>
      </c>
      <c r="N1401" s="6">
        <v>9.07</v>
      </c>
      <c r="O1401" s="6" t="s">
        <v>56</v>
      </c>
      <c r="P1401" s="6" t="b">
        <v>1</v>
      </c>
      <c r="Q1401" s="9" t="s">
        <v>36</v>
      </c>
    </row>
    <row r="1402" spans="1:17" x14ac:dyDescent="0.25">
      <c r="A1402" s="5" t="s">
        <v>1452</v>
      </c>
      <c r="B1402" s="6" t="s">
        <v>32</v>
      </c>
      <c r="C1402" s="6" t="s">
        <v>33</v>
      </c>
      <c r="D1402" s="6" t="s">
        <v>47</v>
      </c>
      <c r="E1402" s="6" t="s">
        <v>28</v>
      </c>
      <c r="F1402" s="6" t="s">
        <v>29</v>
      </c>
      <c r="G1402" s="6">
        <v>48</v>
      </c>
      <c r="H1402" s="7">
        <v>408.1</v>
      </c>
      <c r="I1402" s="7">
        <v>19588.8</v>
      </c>
      <c r="J1402" s="8">
        <v>44976</v>
      </c>
      <c r="K1402" s="6">
        <v>42</v>
      </c>
      <c r="L1402" s="6" t="s">
        <v>49</v>
      </c>
      <c r="M1402" s="6" t="b">
        <v>1</v>
      </c>
      <c r="N1402" s="6">
        <v>26.68</v>
      </c>
      <c r="O1402" s="6" t="s">
        <v>24</v>
      </c>
      <c r="P1402" s="6" t="b">
        <v>0</v>
      </c>
      <c r="Q1402" s="9" t="s">
        <v>25</v>
      </c>
    </row>
    <row r="1403" spans="1:17" x14ac:dyDescent="0.25">
      <c r="A1403" s="5" t="s">
        <v>1453</v>
      </c>
      <c r="B1403" s="6" t="s">
        <v>62</v>
      </c>
      <c r="C1403" s="6" t="s">
        <v>39</v>
      </c>
      <c r="D1403" s="6" t="s">
        <v>47</v>
      </c>
      <c r="E1403" s="6" t="s">
        <v>28</v>
      </c>
      <c r="F1403" s="6" t="s">
        <v>48</v>
      </c>
      <c r="G1403" s="6">
        <v>3</v>
      </c>
      <c r="H1403" s="7">
        <v>1195.33</v>
      </c>
      <c r="I1403" s="7">
        <v>3585.99</v>
      </c>
      <c r="J1403" s="8">
        <v>45068</v>
      </c>
      <c r="K1403" s="6">
        <v>68</v>
      </c>
      <c r="L1403" s="6" t="s">
        <v>41</v>
      </c>
      <c r="M1403" s="6" t="b">
        <v>0</v>
      </c>
      <c r="N1403" s="6">
        <v>22.96</v>
      </c>
      <c r="O1403" s="6" t="s">
        <v>24</v>
      </c>
      <c r="P1403" s="6" t="b">
        <v>0</v>
      </c>
      <c r="Q1403" s="9" t="s">
        <v>25</v>
      </c>
    </row>
    <row r="1404" spans="1:17" x14ac:dyDescent="0.25">
      <c r="A1404" s="5" t="s">
        <v>1454</v>
      </c>
      <c r="B1404" s="6" t="s">
        <v>38</v>
      </c>
      <c r="C1404" s="6" t="s">
        <v>33</v>
      </c>
      <c r="D1404" s="6" t="s">
        <v>20</v>
      </c>
      <c r="E1404" s="6" t="s">
        <v>21</v>
      </c>
      <c r="F1404" s="6" t="s">
        <v>40</v>
      </c>
      <c r="G1404" s="6">
        <v>87</v>
      </c>
      <c r="H1404" s="7">
        <v>970.08</v>
      </c>
      <c r="I1404" s="7">
        <v>84396.96</v>
      </c>
      <c r="J1404" s="8">
        <v>45454</v>
      </c>
      <c r="K1404" s="6">
        <v>53</v>
      </c>
      <c r="L1404" s="6" t="s">
        <v>23</v>
      </c>
      <c r="M1404" s="6" t="b">
        <v>0</v>
      </c>
      <c r="N1404" s="6">
        <v>11.09</v>
      </c>
      <c r="O1404" s="6" t="s">
        <v>24</v>
      </c>
      <c r="P1404" s="6" t="b">
        <v>1</v>
      </c>
      <c r="Q1404" s="9" t="s">
        <v>25</v>
      </c>
    </row>
    <row r="1405" spans="1:17" x14ac:dyDescent="0.25">
      <c r="A1405" s="5" t="s">
        <v>1455</v>
      </c>
      <c r="B1405" s="6" t="s">
        <v>38</v>
      </c>
      <c r="C1405" s="6" t="s">
        <v>33</v>
      </c>
      <c r="D1405" s="6" t="s">
        <v>64</v>
      </c>
      <c r="E1405" s="6" t="s">
        <v>21</v>
      </c>
      <c r="F1405" s="6" t="s">
        <v>22</v>
      </c>
      <c r="G1405" s="6">
        <v>85</v>
      </c>
      <c r="H1405" s="7">
        <v>822.43</v>
      </c>
      <c r="I1405" s="7">
        <v>69906.55</v>
      </c>
      <c r="J1405" s="8">
        <v>45440</v>
      </c>
      <c r="K1405" s="6">
        <v>42</v>
      </c>
      <c r="L1405" s="6" t="s">
        <v>23</v>
      </c>
      <c r="M1405" s="6" t="b">
        <v>1</v>
      </c>
      <c r="N1405" s="6">
        <v>5.01</v>
      </c>
      <c r="O1405" s="6" t="s">
        <v>56</v>
      </c>
      <c r="P1405" s="6" t="b">
        <v>0</v>
      </c>
      <c r="Q1405" s="9" t="s">
        <v>36</v>
      </c>
    </row>
    <row r="1406" spans="1:17" x14ac:dyDescent="0.25">
      <c r="A1406" s="5" t="s">
        <v>1456</v>
      </c>
      <c r="B1406" s="6" t="s">
        <v>62</v>
      </c>
      <c r="C1406" s="6" t="s">
        <v>33</v>
      </c>
      <c r="D1406" s="6" t="s">
        <v>64</v>
      </c>
      <c r="E1406" s="6" t="s">
        <v>44</v>
      </c>
      <c r="F1406" s="6" t="s">
        <v>48</v>
      </c>
      <c r="G1406" s="6">
        <v>23</v>
      </c>
      <c r="H1406" s="7">
        <v>619.16</v>
      </c>
      <c r="I1406" s="7">
        <v>14240.68</v>
      </c>
      <c r="J1406" s="8">
        <v>45596</v>
      </c>
      <c r="K1406" s="6">
        <v>46</v>
      </c>
      <c r="L1406" s="6" t="s">
        <v>49</v>
      </c>
      <c r="M1406" s="6" t="b">
        <v>0</v>
      </c>
      <c r="N1406" s="6">
        <v>0.34</v>
      </c>
      <c r="O1406" s="6" t="s">
        <v>24</v>
      </c>
      <c r="P1406" s="6" t="b">
        <v>1</v>
      </c>
      <c r="Q1406" s="9" t="s">
        <v>36</v>
      </c>
    </row>
    <row r="1407" spans="1:17" x14ac:dyDescent="0.25">
      <c r="A1407" s="5" t="s">
        <v>1457</v>
      </c>
      <c r="B1407" s="6" t="s">
        <v>18</v>
      </c>
      <c r="C1407" s="6" t="s">
        <v>33</v>
      </c>
      <c r="D1407" s="6" t="s">
        <v>20</v>
      </c>
      <c r="E1407" s="6" t="s">
        <v>44</v>
      </c>
      <c r="F1407" s="6" t="s">
        <v>22</v>
      </c>
      <c r="G1407" s="6">
        <v>68</v>
      </c>
      <c r="H1407" s="7">
        <v>472.51</v>
      </c>
      <c r="I1407" s="7">
        <v>32130.68</v>
      </c>
      <c r="J1407" s="8">
        <v>44956</v>
      </c>
      <c r="K1407" s="6">
        <v>28</v>
      </c>
      <c r="L1407" s="6" t="s">
        <v>41</v>
      </c>
      <c r="M1407" s="6" t="b">
        <v>0</v>
      </c>
      <c r="N1407" s="6">
        <v>18.63</v>
      </c>
      <c r="O1407" s="6" t="s">
        <v>24</v>
      </c>
      <c r="P1407" s="6" t="b">
        <v>0</v>
      </c>
      <c r="Q1407" s="9" t="s">
        <v>25</v>
      </c>
    </row>
    <row r="1408" spans="1:17" x14ac:dyDescent="0.25">
      <c r="A1408" s="5" t="s">
        <v>1458</v>
      </c>
      <c r="B1408" s="6" t="s">
        <v>72</v>
      </c>
      <c r="C1408" s="6" t="s">
        <v>39</v>
      </c>
      <c r="D1408" s="6" t="s">
        <v>64</v>
      </c>
      <c r="E1408" s="6" t="s">
        <v>28</v>
      </c>
      <c r="F1408" s="6" t="s">
        <v>48</v>
      </c>
      <c r="G1408" s="6">
        <v>21</v>
      </c>
      <c r="H1408" s="7">
        <v>1242.97</v>
      </c>
      <c r="I1408" s="7">
        <v>26102.37</v>
      </c>
      <c r="J1408" s="8">
        <v>45008</v>
      </c>
      <c r="K1408" s="6">
        <v>21</v>
      </c>
      <c r="L1408" s="6" t="s">
        <v>23</v>
      </c>
      <c r="M1408" s="6" t="b">
        <v>1</v>
      </c>
      <c r="N1408" s="6">
        <v>12.18</v>
      </c>
      <c r="O1408" s="6" t="s">
        <v>30</v>
      </c>
      <c r="P1408" s="6" t="b">
        <v>0</v>
      </c>
      <c r="Q1408" s="9" t="s">
        <v>25</v>
      </c>
    </row>
    <row r="1409" spans="1:17" x14ac:dyDescent="0.25">
      <c r="A1409" s="5" t="s">
        <v>1459</v>
      </c>
      <c r="B1409" s="6" t="s">
        <v>76</v>
      </c>
      <c r="C1409" s="6" t="s">
        <v>33</v>
      </c>
      <c r="D1409" s="6" t="s">
        <v>34</v>
      </c>
      <c r="E1409" s="6" t="s">
        <v>44</v>
      </c>
      <c r="F1409" s="6" t="s">
        <v>48</v>
      </c>
      <c r="G1409" s="6">
        <v>43</v>
      </c>
      <c r="H1409" s="7">
        <v>704.54</v>
      </c>
      <c r="I1409" s="7">
        <v>30295.22</v>
      </c>
      <c r="J1409" s="8">
        <v>44957</v>
      </c>
      <c r="K1409" s="6">
        <v>31</v>
      </c>
      <c r="L1409" s="6" t="s">
        <v>41</v>
      </c>
      <c r="M1409" s="6" t="b">
        <v>0</v>
      </c>
      <c r="N1409" s="6">
        <v>9.44</v>
      </c>
      <c r="O1409" s="6" t="s">
        <v>24</v>
      </c>
      <c r="P1409" s="6" t="b">
        <v>0</v>
      </c>
      <c r="Q1409" s="9" t="s">
        <v>25</v>
      </c>
    </row>
    <row r="1410" spans="1:17" x14ac:dyDescent="0.25">
      <c r="A1410" s="5" t="s">
        <v>1460</v>
      </c>
      <c r="B1410" s="6" t="s">
        <v>51</v>
      </c>
      <c r="C1410" s="6" t="s">
        <v>39</v>
      </c>
      <c r="D1410" s="6" t="s">
        <v>20</v>
      </c>
      <c r="E1410" s="6" t="s">
        <v>35</v>
      </c>
      <c r="F1410" s="6" t="s">
        <v>40</v>
      </c>
      <c r="G1410" s="6">
        <v>95</v>
      </c>
      <c r="H1410" s="7">
        <v>777.1</v>
      </c>
      <c r="I1410" s="7">
        <v>73824.5</v>
      </c>
      <c r="J1410" s="8">
        <v>45259</v>
      </c>
      <c r="K1410" s="6">
        <v>63</v>
      </c>
      <c r="L1410" s="6" t="s">
        <v>41</v>
      </c>
      <c r="M1410" s="6" t="b">
        <v>1</v>
      </c>
      <c r="N1410" s="6">
        <v>29.57</v>
      </c>
      <c r="O1410" s="6" t="s">
        <v>42</v>
      </c>
      <c r="P1410" s="6" t="b">
        <v>0</v>
      </c>
      <c r="Q1410" s="9" t="s">
        <v>25</v>
      </c>
    </row>
    <row r="1411" spans="1:17" x14ac:dyDescent="0.25">
      <c r="A1411" s="5" t="s">
        <v>1461</v>
      </c>
      <c r="B1411" s="6" t="s">
        <v>27</v>
      </c>
      <c r="C1411" s="6" t="s">
        <v>19</v>
      </c>
      <c r="D1411" s="6" t="s">
        <v>34</v>
      </c>
      <c r="E1411" s="6" t="s">
        <v>44</v>
      </c>
      <c r="F1411" s="6" t="s">
        <v>40</v>
      </c>
      <c r="G1411" s="6">
        <v>85</v>
      </c>
      <c r="H1411" s="7">
        <v>805.2</v>
      </c>
      <c r="I1411" s="7">
        <v>68442</v>
      </c>
      <c r="J1411" s="8">
        <v>45586</v>
      </c>
      <c r="K1411" s="6">
        <v>55</v>
      </c>
      <c r="L1411" s="6" t="s">
        <v>49</v>
      </c>
      <c r="M1411" s="6" t="b">
        <v>0</v>
      </c>
      <c r="N1411" s="6">
        <v>13.98</v>
      </c>
      <c r="O1411" s="6" t="s">
        <v>30</v>
      </c>
      <c r="P1411" s="6" t="b">
        <v>1</v>
      </c>
      <c r="Q1411" s="9" t="s">
        <v>36</v>
      </c>
    </row>
    <row r="1412" spans="1:17" x14ac:dyDescent="0.25">
      <c r="A1412" s="5" t="s">
        <v>1462</v>
      </c>
      <c r="B1412" s="6" t="s">
        <v>46</v>
      </c>
      <c r="C1412" s="6" t="s">
        <v>39</v>
      </c>
      <c r="D1412" s="6" t="s">
        <v>64</v>
      </c>
      <c r="E1412" s="6" t="s">
        <v>44</v>
      </c>
      <c r="F1412" s="6" t="s">
        <v>22</v>
      </c>
      <c r="G1412" s="6">
        <v>26</v>
      </c>
      <c r="H1412" s="7">
        <v>700.13</v>
      </c>
      <c r="I1412" s="7">
        <v>18203.38</v>
      </c>
      <c r="J1412" s="8">
        <v>45103</v>
      </c>
      <c r="K1412" s="6">
        <v>34</v>
      </c>
      <c r="L1412" s="6" t="s">
        <v>41</v>
      </c>
      <c r="M1412" s="6" t="b">
        <v>1</v>
      </c>
      <c r="N1412" s="6">
        <v>22.5</v>
      </c>
      <c r="O1412" s="6" t="s">
        <v>30</v>
      </c>
      <c r="P1412" s="6" t="b">
        <v>0</v>
      </c>
      <c r="Q1412" s="9" t="s">
        <v>25</v>
      </c>
    </row>
    <row r="1413" spans="1:17" x14ac:dyDescent="0.25">
      <c r="A1413" s="5" t="s">
        <v>1463</v>
      </c>
      <c r="B1413" s="6" t="s">
        <v>72</v>
      </c>
      <c r="C1413" s="6" t="s">
        <v>39</v>
      </c>
      <c r="D1413" s="6" t="s">
        <v>20</v>
      </c>
      <c r="E1413" s="6" t="s">
        <v>28</v>
      </c>
      <c r="F1413" s="6" t="s">
        <v>22</v>
      </c>
      <c r="G1413" s="6">
        <v>41</v>
      </c>
      <c r="H1413" s="7">
        <v>421.33</v>
      </c>
      <c r="I1413" s="7">
        <v>17274.53</v>
      </c>
      <c r="J1413" s="8">
        <v>45296</v>
      </c>
      <c r="K1413" s="6">
        <v>19</v>
      </c>
      <c r="L1413" s="6" t="s">
        <v>41</v>
      </c>
      <c r="M1413" s="6" t="b">
        <v>0</v>
      </c>
      <c r="N1413" s="6">
        <v>5.32</v>
      </c>
      <c r="O1413" s="6" t="s">
        <v>56</v>
      </c>
      <c r="P1413" s="6" t="b">
        <v>0</v>
      </c>
      <c r="Q1413" s="9" t="s">
        <v>36</v>
      </c>
    </row>
    <row r="1414" spans="1:17" x14ac:dyDescent="0.25">
      <c r="A1414" s="5" t="s">
        <v>1464</v>
      </c>
      <c r="B1414" s="6" t="s">
        <v>46</v>
      </c>
      <c r="C1414" s="6" t="s">
        <v>33</v>
      </c>
      <c r="D1414" s="6" t="s">
        <v>64</v>
      </c>
      <c r="E1414" s="6" t="s">
        <v>35</v>
      </c>
      <c r="F1414" s="6" t="s">
        <v>29</v>
      </c>
      <c r="G1414" s="6">
        <v>99</v>
      </c>
      <c r="H1414" s="7">
        <v>224.49</v>
      </c>
      <c r="I1414" s="7">
        <v>22224.51</v>
      </c>
      <c r="J1414" s="8">
        <v>45473</v>
      </c>
      <c r="K1414" s="6">
        <v>25</v>
      </c>
      <c r="L1414" s="6" t="s">
        <v>41</v>
      </c>
      <c r="M1414" s="6" t="b">
        <v>1</v>
      </c>
      <c r="N1414" s="6">
        <v>0.4</v>
      </c>
      <c r="O1414" s="6" t="s">
        <v>24</v>
      </c>
      <c r="P1414" s="6" t="b">
        <v>1</v>
      </c>
      <c r="Q1414" s="9" t="s">
        <v>25</v>
      </c>
    </row>
    <row r="1415" spans="1:17" x14ac:dyDescent="0.25">
      <c r="A1415" s="5" t="s">
        <v>1465</v>
      </c>
      <c r="B1415" s="6" t="s">
        <v>51</v>
      </c>
      <c r="C1415" s="6" t="s">
        <v>19</v>
      </c>
      <c r="D1415" s="6" t="s">
        <v>20</v>
      </c>
      <c r="E1415" s="6" t="s">
        <v>44</v>
      </c>
      <c r="F1415" s="6" t="s">
        <v>40</v>
      </c>
      <c r="G1415" s="6">
        <v>38</v>
      </c>
      <c r="H1415" s="7">
        <v>192.88</v>
      </c>
      <c r="I1415" s="7">
        <v>7329.44</v>
      </c>
      <c r="J1415" s="8">
        <v>45461</v>
      </c>
      <c r="K1415" s="6">
        <v>53</v>
      </c>
      <c r="L1415" s="6" t="s">
        <v>23</v>
      </c>
      <c r="M1415" s="6" t="b">
        <v>0</v>
      </c>
      <c r="N1415" s="6">
        <v>12.53</v>
      </c>
      <c r="O1415" s="6" t="s">
        <v>42</v>
      </c>
      <c r="P1415" s="6" t="b">
        <v>0</v>
      </c>
      <c r="Q1415" s="9" t="s">
        <v>36</v>
      </c>
    </row>
    <row r="1416" spans="1:17" x14ac:dyDescent="0.25">
      <c r="A1416" s="5" t="s">
        <v>1466</v>
      </c>
      <c r="B1416" s="6" t="s">
        <v>66</v>
      </c>
      <c r="C1416" s="6" t="s">
        <v>19</v>
      </c>
      <c r="D1416" s="6" t="s">
        <v>64</v>
      </c>
      <c r="E1416" s="6" t="s">
        <v>35</v>
      </c>
      <c r="F1416" s="6" t="s">
        <v>48</v>
      </c>
      <c r="G1416" s="6">
        <v>88</v>
      </c>
      <c r="H1416" s="7">
        <v>1148.32</v>
      </c>
      <c r="I1416" s="7">
        <v>101052.16</v>
      </c>
      <c r="J1416" s="8">
        <v>45032</v>
      </c>
      <c r="K1416" s="6">
        <v>27</v>
      </c>
      <c r="L1416" s="6" t="s">
        <v>49</v>
      </c>
      <c r="M1416" s="6" t="b">
        <v>0</v>
      </c>
      <c r="N1416" s="6">
        <v>19.97</v>
      </c>
      <c r="O1416" s="6" t="s">
        <v>42</v>
      </c>
      <c r="P1416" s="6" t="b">
        <v>0</v>
      </c>
      <c r="Q1416" s="9" t="s">
        <v>36</v>
      </c>
    </row>
    <row r="1417" spans="1:17" x14ac:dyDescent="0.25">
      <c r="A1417" s="5" t="s">
        <v>1467</v>
      </c>
      <c r="B1417" s="6" t="s">
        <v>66</v>
      </c>
      <c r="C1417" s="6" t="s">
        <v>19</v>
      </c>
      <c r="D1417" s="6" t="s">
        <v>34</v>
      </c>
      <c r="E1417" s="6" t="s">
        <v>35</v>
      </c>
      <c r="F1417" s="6" t="s">
        <v>48</v>
      </c>
      <c r="G1417" s="6">
        <v>11</v>
      </c>
      <c r="H1417" s="7">
        <v>374.12</v>
      </c>
      <c r="I1417" s="7">
        <v>4115.32</v>
      </c>
      <c r="J1417" s="8">
        <v>45023</v>
      </c>
      <c r="K1417" s="6">
        <v>24</v>
      </c>
      <c r="L1417" s="6" t="s">
        <v>49</v>
      </c>
      <c r="M1417" s="6" t="b">
        <v>0</v>
      </c>
      <c r="N1417" s="6">
        <v>15.2</v>
      </c>
      <c r="O1417" s="6" t="s">
        <v>24</v>
      </c>
      <c r="P1417" s="6" t="b">
        <v>0</v>
      </c>
      <c r="Q1417" s="9" t="s">
        <v>36</v>
      </c>
    </row>
    <row r="1418" spans="1:17" x14ac:dyDescent="0.25">
      <c r="A1418" s="5" t="s">
        <v>1468</v>
      </c>
      <c r="B1418" s="6" t="s">
        <v>72</v>
      </c>
      <c r="C1418" s="6" t="s">
        <v>19</v>
      </c>
      <c r="D1418" s="6" t="s">
        <v>34</v>
      </c>
      <c r="E1418" s="6" t="s">
        <v>35</v>
      </c>
      <c r="F1418" s="6" t="s">
        <v>29</v>
      </c>
      <c r="G1418" s="6">
        <v>29</v>
      </c>
      <c r="H1418" s="7">
        <v>130.72999999999999</v>
      </c>
      <c r="I1418" s="7">
        <v>3791.17</v>
      </c>
      <c r="J1418" s="8">
        <v>45156</v>
      </c>
      <c r="K1418" s="6">
        <v>53</v>
      </c>
      <c r="L1418" s="6" t="s">
        <v>41</v>
      </c>
      <c r="M1418" s="6" t="b">
        <v>0</v>
      </c>
      <c r="N1418" s="6">
        <v>26.71</v>
      </c>
      <c r="O1418" s="6" t="s">
        <v>24</v>
      </c>
      <c r="P1418" s="6" t="b">
        <v>0</v>
      </c>
      <c r="Q1418" s="9" t="s">
        <v>25</v>
      </c>
    </row>
    <row r="1419" spans="1:17" x14ac:dyDescent="0.25">
      <c r="A1419" s="5" t="s">
        <v>1469</v>
      </c>
      <c r="B1419" s="6" t="s">
        <v>32</v>
      </c>
      <c r="C1419" s="6" t="s">
        <v>39</v>
      </c>
      <c r="D1419" s="6" t="s">
        <v>64</v>
      </c>
      <c r="E1419" s="6" t="s">
        <v>21</v>
      </c>
      <c r="F1419" s="6" t="s">
        <v>40</v>
      </c>
      <c r="G1419" s="6">
        <v>60</v>
      </c>
      <c r="H1419" s="7">
        <v>1206.4000000000001</v>
      </c>
      <c r="I1419" s="7">
        <v>72384</v>
      </c>
      <c r="J1419" s="8">
        <v>45153</v>
      </c>
      <c r="K1419" s="6">
        <v>33</v>
      </c>
      <c r="L1419" s="6" t="s">
        <v>41</v>
      </c>
      <c r="M1419" s="6" t="b">
        <v>0</v>
      </c>
      <c r="N1419" s="6">
        <v>13.02</v>
      </c>
      <c r="O1419" s="6" t="s">
        <v>56</v>
      </c>
      <c r="P1419" s="6" t="b">
        <v>0</v>
      </c>
      <c r="Q1419" s="9" t="s">
        <v>36</v>
      </c>
    </row>
    <row r="1420" spans="1:17" x14ac:dyDescent="0.25">
      <c r="A1420" s="5" t="s">
        <v>1470</v>
      </c>
      <c r="B1420" s="6" t="s">
        <v>51</v>
      </c>
      <c r="C1420" s="6" t="s">
        <v>19</v>
      </c>
      <c r="D1420" s="6" t="s">
        <v>20</v>
      </c>
      <c r="E1420" s="6" t="s">
        <v>21</v>
      </c>
      <c r="F1420" s="6" t="s">
        <v>48</v>
      </c>
      <c r="G1420" s="6">
        <v>67</v>
      </c>
      <c r="H1420" s="7">
        <v>273.39</v>
      </c>
      <c r="I1420" s="7">
        <v>18317.13</v>
      </c>
      <c r="J1420" s="8">
        <v>45297</v>
      </c>
      <c r="K1420" s="6">
        <v>31</v>
      </c>
      <c r="L1420" s="6" t="s">
        <v>23</v>
      </c>
      <c r="M1420" s="6" t="b">
        <v>1</v>
      </c>
      <c r="N1420" s="6">
        <v>9.33</v>
      </c>
      <c r="O1420" s="6" t="s">
        <v>42</v>
      </c>
      <c r="P1420" s="6" t="b">
        <v>0</v>
      </c>
      <c r="Q1420" s="9" t="s">
        <v>36</v>
      </c>
    </row>
    <row r="1421" spans="1:17" x14ac:dyDescent="0.25">
      <c r="A1421" s="5" t="s">
        <v>1471</v>
      </c>
      <c r="B1421" s="6" t="s">
        <v>51</v>
      </c>
      <c r="C1421" s="6" t="s">
        <v>39</v>
      </c>
      <c r="D1421" s="6" t="s">
        <v>47</v>
      </c>
      <c r="E1421" s="6" t="s">
        <v>21</v>
      </c>
      <c r="F1421" s="6" t="s">
        <v>29</v>
      </c>
      <c r="G1421" s="6">
        <v>65</v>
      </c>
      <c r="H1421" s="7">
        <v>956.46</v>
      </c>
      <c r="I1421" s="7">
        <v>62169.9</v>
      </c>
      <c r="J1421" s="8">
        <v>45026</v>
      </c>
      <c r="K1421" s="6">
        <v>33</v>
      </c>
      <c r="L1421" s="6" t="s">
        <v>49</v>
      </c>
      <c r="M1421" s="6" t="b">
        <v>1</v>
      </c>
      <c r="N1421" s="6">
        <v>27.48</v>
      </c>
      <c r="O1421" s="6" t="s">
        <v>30</v>
      </c>
      <c r="P1421" s="6" t="b">
        <v>1</v>
      </c>
      <c r="Q1421" s="9" t="s">
        <v>25</v>
      </c>
    </row>
    <row r="1422" spans="1:17" x14ac:dyDescent="0.25">
      <c r="A1422" s="5" t="s">
        <v>1472</v>
      </c>
      <c r="B1422" s="6" t="s">
        <v>62</v>
      </c>
      <c r="C1422" s="6" t="s">
        <v>39</v>
      </c>
      <c r="D1422" s="6" t="s">
        <v>34</v>
      </c>
      <c r="E1422" s="6" t="s">
        <v>21</v>
      </c>
      <c r="F1422" s="6" t="s">
        <v>29</v>
      </c>
      <c r="G1422" s="6">
        <v>61</v>
      </c>
      <c r="H1422" s="7">
        <v>541.03</v>
      </c>
      <c r="I1422" s="7">
        <v>33002.83</v>
      </c>
      <c r="J1422" s="8">
        <v>45371</v>
      </c>
      <c r="K1422" s="6">
        <v>42</v>
      </c>
      <c r="L1422" s="6" t="s">
        <v>23</v>
      </c>
      <c r="M1422" s="6" t="b">
        <v>1</v>
      </c>
      <c r="N1422" s="6">
        <v>12.2</v>
      </c>
      <c r="O1422" s="6" t="s">
        <v>56</v>
      </c>
      <c r="P1422" s="6" t="b">
        <v>0</v>
      </c>
      <c r="Q1422" s="9" t="s">
        <v>25</v>
      </c>
    </row>
    <row r="1423" spans="1:17" x14ac:dyDescent="0.25">
      <c r="A1423" s="5" t="s">
        <v>1473</v>
      </c>
      <c r="B1423" s="6" t="s">
        <v>32</v>
      </c>
      <c r="C1423" s="6" t="s">
        <v>39</v>
      </c>
      <c r="D1423" s="6" t="s">
        <v>34</v>
      </c>
      <c r="E1423" s="6" t="s">
        <v>28</v>
      </c>
      <c r="F1423" s="6" t="s">
        <v>48</v>
      </c>
      <c r="G1423" s="6">
        <v>19</v>
      </c>
      <c r="H1423" s="7">
        <v>233.4</v>
      </c>
      <c r="I1423" s="7">
        <v>4434.6000000000004</v>
      </c>
      <c r="J1423" s="8">
        <v>45394</v>
      </c>
      <c r="K1423" s="6">
        <v>58</v>
      </c>
      <c r="L1423" s="6" t="s">
        <v>49</v>
      </c>
      <c r="M1423" s="6" t="b">
        <v>0</v>
      </c>
      <c r="N1423" s="6">
        <v>8.09</v>
      </c>
      <c r="O1423" s="6" t="s">
        <v>56</v>
      </c>
      <c r="P1423" s="6" t="b">
        <v>1</v>
      </c>
      <c r="Q1423" s="9" t="s">
        <v>25</v>
      </c>
    </row>
    <row r="1424" spans="1:17" x14ac:dyDescent="0.25">
      <c r="A1424" s="5" t="s">
        <v>1474</v>
      </c>
      <c r="B1424" s="6" t="s">
        <v>76</v>
      </c>
      <c r="C1424" s="6" t="s">
        <v>19</v>
      </c>
      <c r="D1424" s="6" t="s">
        <v>47</v>
      </c>
      <c r="E1424" s="6" t="s">
        <v>44</v>
      </c>
      <c r="F1424" s="6" t="s">
        <v>48</v>
      </c>
      <c r="G1424" s="6">
        <v>46</v>
      </c>
      <c r="H1424" s="7">
        <v>651</v>
      </c>
      <c r="I1424" s="7">
        <v>29946</v>
      </c>
      <c r="J1424" s="8">
        <v>44981</v>
      </c>
      <c r="K1424" s="6">
        <v>21</v>
      </c>
      <c r="L1424" s="6" t="s">
        <v>23</v>
      </c>
      <c r="M1424" s="6" t="b">
        <v>1</v>
      </c>
      <c r="N1424" s="6">
        <v>2.93</v>
      </c>
      <c r="O1424" s="6" t="s">
        <v>30</v>
      </c>
      <c r="P1424" s="6" t="b">
        <v>0</v>
      </c>
      <c r="Q1424" s="9" t="s">
        <v>25</v>
      </c>
    </row>
    <row r="1425" spans="1:17" x14ac:dyDescent="0.25">
      <c r="A1425" s="5" t="s">
        <v>1475</v>
      </c>
      <c r="B1425" s="6" t="s">
        <v>76</v>
      </c>
      <c r="C1425" s="6" t="s">
        <v>33</v>
      </c>
      <c r="D1425" s="6" t="s">
        <v>64</v>
      </c>
      <c r="E1425" s="6" t="s">
        <v>21</v>
      </c>
      <c r="F1425" s="6" t="s">
        <v>22</v>
      </c>
      <c r="G1425" s="6">
        <v>49</v>
      </c>
      <c r="H1425" s="7">
        <v>71.47</v>
      </c>
      <c r="I1425" s="7">
        <v>3502.03</v>
      </c>
      <c r="J1425" s="8">
        <v>45121</v>
      </c>
      <c r="K1425" s="6">
        <v>46</v>
      </c>
      <c r="L1425" s="6" t="s">
        <v>41</v>
      </c>
      <c r="M1425" s="6" t="b">
        <v>0</v>
      </c>
      <c r="N1425" s="6">
        <v>23.8</v>
      </c>
      <c r="O1425" s="6" t="s">
        <v>56</v>
      </c>
      <c r="P1425" s="6" t="b">
        <v>1</v>
      </c>
      <c r="Q1425" s="9" t="s">
        <v>25</v>
      </c>
    </row>
    <row r="1426" spans="1:17" x14ac:dyDescent="0.25">
      <c r="A1426" s="5" t="s">
        <v>1476</v>
      </c>
      <c r="B1426" s="6" t="s">
        <v>27</v>
      </c>
      <c r="C1426" s="6" t="s">
        <v>33</v>
      </c>
      <c r="D1426" s="6" t="s">
        <v>20</v>
      </c>
      <c r="E1426" s="6" t="s">
        <v>28</v>
      </c>
      <c r="F1426" s="6" t="s">
        <v>40</v>
      </c>
      <c r="G1426" s="6">
        <v>22</v>
      </c>
      <c r="H1426" s="7">
        <v>1269.52</v>
      </c>
      <c r="I1426" s="7">
        <v>27929.439999999999</v>
      </c>
      <c r="J1426" s="8">
        <v>45446</v>
      </c>
      <c r="K1426" s="6">
        <v>23</v>
      </c>
      <c r="L1426" s="6" t="s">
        <v>23</v>
      </c>
      <c r="M1426" s="6" t="b">
        <v>0</v>
      </c>
      <c r="N1426" s="6">
        <v>24.75</v>
      </c>
      <c r="O1426" s="6" t="s">
        <v>24</v>
      </c>
      <c r="P1426" s="6" t="b">
        <v>1</v>
      </c>
      <c r="Q1426" s="9" t="s">
        <v>25</v>
      </c>
    </row>
    <row r="1427" spans="1:17" x14ac:dyDescent="0.25">
      <c r="A1427" s="5" t="s">
        <v>1477</v>
      </c>
      <c r="B1427" s="6" t="s">
        <v>38</v>
      </c>
      <c r="C1427" s="6" t="s">
        <v>19</v>
      </c>
      <c r="D1427" s="6" t="s">
        <v>64</v>
      </c>
      <c r="E1427" s="6" t="s">
        <v>44</v>
      </c>
      <c r="F1427" s="6" t="s">
        <v>22</v>
      </c>
      <c r="G1427" s="6">
        <v>78</v>
      </c>
      <c r="H1427" s="7">
        <v>794.57</v>
      </c>
      <c r="I1427" s="7">
        <v>61976.46</v>
      </c>
      <c r="J1427" s="8">
        <v>45350</v>
      </c>
      <c r="K1427" s="6">
        <v>18</v>
      </c>
      <c r="L1427" s="6" t="s">
        <v>41</v>
      </c>
      <c r="M1427" s="6" t="b">
        <v>1</v>
      </c>
      <c r="N1427" s="6">
        <v>1</v>
      </c>
      <c r="O1427" s="6" t="s">
        <v>30</v>
      </c>
      <c r="P1427" s="6" t="b">
        <v>1</v>
      </c>
      <c r="Q1427" s="9" t="s">
        <v>36</v>
      </c>
    </row>
    <row r="1428" spans="1:17" x14ac:dyDescent="0.25">
      <c r="A1428" s="5" t="s">
        <v>1478</v>
      </c>
      <c r="B1428" s="6" t="s">
        <v>66</v>
      </c>
      <c r="C1428" s="6" t="s">
        <v>33</v>
      </c>
      <c r="D1428" s="6" t="s">
        <v>52</v>
      </c>
      <c r="E1428" s="6" t="s">
        <v>21</v>
      </c>
      <c r="F1428" s="6" t="s">
        <v>29</v>
      </c>
      <c r="G1428" s="6">
        <v>57</v>
      </c>
      <c r="H1428" s="7">
        <v>251.78</v>
      </c>
      <c r="I1428" s="7">
        <v>14351.46</v>
      </c>
      <c r="J1428" s="8">
        <v>45241</v>
      </c>
      <c r="K1428" s="6">
        <v>56</v>
      </c>
      <c r="L1428" s="6" t="s">
        <v>49</v>
      </c>
      <c r="M1428" s="6" t="b">
        <v>1</v>
      </c>
      <c r="N1428" s="6">
        <v>10.76</v>
      </c>
      <c r="O1428" s="6" t="s">
        <v>30</v>
      </c>
      <c r="P1428" s="6" t="b">
        <v>1</v>
      </c>
      <c r="Q1428" s="9" t="s">
        <v>36</v>
      </c>
    </row>
    <row r="1429" spans="1:17" x14ac:dyDescent="0.25">
      <c r="A1429" s="5" t="s">
        <v>1479</v>
      </c>
      <c r="B1429" s="6" t="s">
        <v>76</v>
      </c>
      <c r="C1429" s="6" t="s">
        <v>33</v>
      </c>
      <c r="D1429" s="6" t="s">
        <v>34</v>
      </c>
      <c r="E1429" s="6" t="s">
        <v>44</v>
      </c>
      <c r="F1429" s="6" t="s">
        <v>48</v>
      </c>
      <c r="G1429" s="6">
        <v>14</v>
      </c>
      <c r="H1429" s="7">
        <v>393.62</v>
      </c>
      <c r="I1429" s="7">
        <v>5510.68</v>
      </c>
      <c r="J1429" s="8">
        <v>45054</v>
      </c>
      <c r="K1429" s="6">
        <v>18</v>
      </c>
      <c r="L1429" s="6" t="s">
        <v>49</v>
      </c>
      <c r="M1429" s="6" t="b">
        <v>0</v>
      </c>
      <c r="N1429" s="6">
        <v>22.5</v>
      </c>
      <c r="O1429" s="6" t="s">
        <v>42</v>
      </c>
      <c r="P1429" s="6" t="b">
        <v>0</v>
      </c>
      <c r="Q1429" s="9" t="s">
        <v>25</v>
      </c>
    </row>
    <row r="1430" spans="1:17" x14ac:dyDescent="0.25">
      <c r="A1430" s="5" t="s">
        <v>1480</v>
      </c>
      <c r="B1430" s="6" t="s">
        <v>32</v>
      </c>
      <c r="C1430" s="6" t="s">
        <v>39</v>
      </c>
      <c r="D1430" s="6" t="s">
        <v>52</v>
      </c>
      <c r="E1430" s="6" t="s">
        <v>21</v>
      </c>
      <c r="F1430" s="6" t="s">
        <v>22</v>
      </c>
      <c r="G1430" s="6">
        <v>44</v>
      </c>
      <c r="H1430" s="7">
        <v>699.56</v>
      </c>
      <c r="I1430" s="7">
        <v>30780.639999999999</v>
      </c>
      <c r="J1430" s="8">
        <v>44958</v>
      </c>
      <c r="K1430" s="6">
        <v>68</v>
      </c>
      <c r="L1430" s="6" t="s">
        <v>41</v>
      </c>
      <c r="M1430" s="6" t="b">
        <v>0</v>
      </c>
      <c r="N1430" s="6">
        <v>28.39</v>
      </c>
      <c r="O1430" s="6" t="s">
        <v>30</v>
      </c>
      <c r="P1430" s="6" t="b">
        <v>0</v>
      </c>
      <c r="Q1430" s="9" t="s">
        <v>25</v>
      </c>
    </row>
    <row r="1431" spans="1:17" x14ac:dyDescent="0.25">
      <c r="A1431" s="5" t="s">
        <v>1481</v>
      </c>
      <c r="B1431" s="6" t="s">
        <v>51</v>
      </c>
      <c r="C1431" s="6" t="s">
        <v>39</v>
      </c>
      <c r="D1431" s="6" t="s">
        <v>34</v>
      </c>
      <c r="E1431" s="6" t="s">
        <v>28</v>
      </c>
      <c r="F1431" s="6" t="s">
        <v>29</v>
      </c>
      <c r="G1431" s="6">
        <v>16</v>
      </c>
      <c r="H1431" s="7">
        <v>323.86</v>
      </c>
      <c r="I1431" s="7">
        <v>5181.76</v>
      </c>
      <c r="J1431" s="8">
        <v>45019</v>
      </c>
      <c r="K1431" s="6">
        <v>57</v>
      </c>
      <c r="L1431" s="6" t="s">
        <v>49</v>
      </c>
      <c r="M1431" s="6" t="b">
        <v>1</v>
      </c>
      <c r="N1431" s="6">
        <v>11.33</v>
      </c>
      <c r="O1431" s="6" t="s">
        <v>56</v>
      </c>
      <c r="P1431" s="6" t="b">
        <v>0</v>
      </c>
      <c r="Q1431" s="9" t="s">
        <v>36</v>
      </c>
    </row>
    <row r="1432" spans="1:17" x14ac:dyDescent="0.25">
      <c r="A1432" s="5" t="s">
        <v>1482</v>
      </c>
      <c r="B1432" s="6" t="s">
        <v>76</v>
      </c>
      <c r="C1432" s="6" t="s">
        <v>19</v>
      </c>
      <c r="D1432" s="6" t="s">
        <v>34</v>
      </c>
      <c r="E1432" s="6" t="s">
        <v>35</v>
      </c>
      <c r="F1432" s="6" t="s">
        <v>40</v>
      </c>
      <c r="G1432" s="6">
        <v>97</v>
      </c>
      <c r="H1432" s="7">
        <v>439.47</v>
      </c>
      <c r="I1432" s="7">
        <v>42628.59</v>
      </c>
      <c r="J1432" s="8">
        <v>45445</v>
      </c>
      <c r="K1432" s="6">
        <v>20</v>
      </c>
      <c r="L1432" s="6" t="s">
        <v>23</v>
      </c>
      <c r="M1432" s="6" t="b">
        <v>1</v>
      </c>
      <c r="N1432" s="6">
        <v>26.16</v>
      </c>
      <c r="O1432" s="6" t="s">
        <v>42</v>
      </c>
      <c r="P1432" s="6" t="b">
        <v>1</v>
      </c>
      <c r="Q1432" s="9" t="s">
        <v>36</v>
      </c>
    </row>
    <row r="1433" spans="1:17" x14ac:dyDescent="0.25">
      <c r="A1433" s="5" t="s">
        <v>1483</v>
      </c>
      <c r="B1433" s="6" t="s">
        <v>51</v>
      </c>
      <c r="C1433" s="6" t="s">
        <v>19</v>
      </c>
      <c r="D1433" s="6" t="s">
        <v>52</v>
      </c>
      <c r="E1433" s="6" t="s">
        <v>35</v>
      </c>
      <c r="F1433" s="6" t="s">
        <v>48</v>
      </c>
      <c r="G1433" s="6">
        <v>77</v>
      </c>
      <c r="H1433" s="7">
        <v>824.86</v>
      </c>
      <c r="I1433" s="7">
        <v>63514.22</v>
      </c>
      <c r="J1433" s="8">
        <v>45184</v>
      </c>
      <c r="K1433" s="6">
        <v>18</v>
      </c>
      <c r="L1433" s="6" t="s">
        <v>41</v>
      </c>
      <c r="M1433" s="6" t="b">
        <v>0</v>
      </c>
      <c r="N1433" s="6">
        <v>11.81</v>
      </c>
      <c r="O1433" s="6" t="s">
        <v>56</v>
      </c>
      <c r="P1433" s="6" t="b">
        <v>1</v>
      </c>
      <c r="Q1433" s="9" t="s">
        <v>36</v>
      </c>
    </row>
    <row r="1434" spans="1:17" x14ac:dyDescent="0.25">
      <c r="A1434" s="5" t="s">
        <v>1484</v>
      </c>
      <c r="B1434" s="6" t="s">
        <v>76</v>
      </c>
      <c r="C1434" s="6" t="s">
        <v>33</v>
      </c>
      <c r="D1434" s="6" t="s">
        <v>52</v>
      </c>
      <c r="E1434" s="6" t="s">
        <v>44</v>
      </c>
      <c r="F1434" s="6" t="s">
        <v>22</v>
      </c>
      <c r="G1434" s="6">
        <v>12</v>
      </c>
      <c r="H1434" s="7">
        <v>1257.28</v>
      </c>
      <c r="I1434" s="7">
        <v>15087.36</v>
      </c>
      <c r="J1434" s="8">
        <v>45146</v>
      </c>
      <c r="K1434" s="6">
        <v>18</v>
      </c>
      <c r="L1434" s="6" t="s">
        <v>49</v>
      </c>
      <c r="M1434" s="6" t="b">
        <v>0</v>
      </c>
      <c r="N1434" s="6">
        <v>5.38</v>
      </c>
      <c r="O1434" s="6" t="s">
        <v>24</v>
      </c>
      <c r="P1434" s="6" t="b">
        <v>1</v>
      </c>
      <c r="Q1434" s="9" t="s">
        <v>25</v>
      </c>
    </row>
    <row r="1435" spans="1:17" x14ac:dyDescent="0.25">
      <c r="A1435" s="5" t="s">
        <v>1485</v>
      </c>
      <c r="B1435" s="6" t="s">
        <v>66</v>
      </c>
      <c r="C1435" s="6" t="s">
        <v>39</v>
      </c>
      <c r="D1435" s="6" t="s">
        <v>64</v>
      </c>
      <c r="E1435" s="6" t="s">
        <v>28</v>
      </c>
      <c r="F1435" s="6" t="s">
        <v>40</v>
      </c>
      <c r="G1435" s="6">
        <v>55</v>
      </c>
      <c r="H1435" s="7">
        <v>632.66999999999996</v>
      </c>
      <c r="I1435" s="7">
        <v>34796.85</v>
      </c>
      <c r="J1435" s="8">
        <v>45032</v>
      </c>
      <c r="K1435" s="6">
        <v>56</v>
      </c>
      <c r="L1435" s="6" t="s">
        <v>23</v>
      </c>
      <c r="M1435" s="6" t="b">
        <v>1</v>
      </c>
      <c r="N1435" s="6">
        <v>0.1</v>
      </c>
      <c r="O1435" s="6" t="s">
        <v>24</v>
      </c>
      <c r="P1435" s="6" t="b">
        <v>1</v>
      </c>
      <c r="Q1435" s="9" t="s">
        <v>36</v>
      </c>
    </row>
    <row r="1436" spans="1:17" x14ac:dyDescent="0.25">
      <c r="A1436" s="5" t="s">
        <v>1486</v>
      </c>
      <c r="B1436" s="6" t="s">
        <v>46</v>
      </c>
      <c r="C1436" s="6" t="s">
        <v>19</v>
      </c>
      <c r="D1436" s="6" t="s">
        <v>52</v>
      </c>
      <c r="E1436" s="6" t="s">
        <v>35</v>
      </c>
      <c r="F1436" s="6" t="s">
        <v>22</v>
      </c>
      <c r="G1436" s="6">
        <v>51</v>
      </c>
      <c r="H1436" s="7">
        <v>1089.6099999999999</v>
      </c>
      <c r="I1436" s="7">
        <v>55570.11</v>
      </c>
      <c r="J1436" s="8">
        <v>45474</v>
      </c>
      <c r="K1436" s="6">
        <v>38</v>
      </c>
      <c r="L1436" s="6" t="s">
        <v>23</v>
      </c>
      <c r="M1436" s="6" t="b">
        <v>0</v>
      </c>
      <c r="N1436" s="6">
        <v>9.91</v>
      </c>
      <c r="O1436" s="6" t="s">
        <v>42</v>
      </c>
      <c r="P1436" s="6" t="b">
        <v>1</v>
      </c>
      <c r="Q1436" s="9" t="s">
        <v>36</v>
      </c>
    </row>
    <row r="1437" spans="1:17" x14ac:dyDescent="0.25">
      <c r="A1437" s="5" t="s">
        <v>1487</v>
      </c>
      <c r="B1437" s="6" t="s">
        <v>76</v>
      </c>
      <c r="C1437" s="6" t="s">
        <v>19</v>
      </c>
      <c r="D1437" s="6" t="s">
        <v>64</v>
      </c>
      <c r="E1437" s="6" t="s">
        <v>21</v>
      </c>
      <c r="F1437" s="6" t="s">
        <v>29</v>
      </c>
      <c r="G1437" s="6">
        <v>39</v>
      </c>
      <c r="H1437" s="7">
        <v>1321.19</v>
      </c>
      <c r="I1437" s="7">
        <v>51526.41</v>
      </c>
      <c r="J1437" s="8">
        <v>45342</v>
      </c>
      <c r="K1437" s="6">
        <v>62</v>
      </c>
      <c r="L1437" s="6" t="s">
        <v>49</v>
      </c>
      <c r="M1437" s="6" t="b">
        <v>0</v>
      </c>
      <c r="N1437" s="6">
        <v>11.35</v>
      </c>
      <c r="O1437" s="6" t="s">
        <v>42</v>
      </c>
      <c r="P1437" s="6" t="b">
        <v>1</v>
      </c>
      <c r="Q1437" s="9" t="s">
        <v>25</v>
      </c>
    </row>
    <row r="1438" spans="1:17" x14ac:dyDescent="0.25">
      <c r="A1438" s="5" t="s">
        <v>1488</v>
      </c>
      <c r="B1438" s="6" t="s">
        <v>32</v>
      </c>
      <c r="C1438" s="6" t="s">
        <v>19</v>
      </c>
      <c r="D1438" s="6" t="s">
        <v>64</v>
      </c>
      <c r="E1438" s="6" t="s">
        <v>35</v>
      </c>
      <c r="F1438" s="6" t="s">
        <v>40</v>
      </c>
      <c r="G1438" s="6">
        <v>33</v>
      </c>
      <c r="H1438" s="7">
        <v>363.64</v>
      </c>
      <c r="I1438" s="7">
        <v>12000.12</v>
      </c>
      <c r="J1438" s="8">
        <v>45483</v>
      </c>
      <c r="K1438" s="6">
        <v>47</v>
      </c>
      <c r="L1438" s="6" t="s">
        <v>49</v>
      </c>
      <c r="M1438" s="6" t="b">
        <v>1</v>
      </c>
      <c r="N1438" s="6">
        <v>28.35</v>
      </c>
      <c r="O1438" s="6" t="s">
        <v>56</v>
      </c>
      <c r="P1438" s="6" t="b">
        <v>1</v>
      </c>
      <c r="Q1438" s="9" t="s">
        <v>25</v>
      </c>
    </row>
    <row r="1439" spans="1:17" x14ac:dyDescent="0.25">
      <c r="A1439" s="5" t="s">
        <v>1489</v>
      </c>
      <c r="B1439" s="6" t="s">
        <v>76</v>
      </c>
      <c r="C1439" s="6" t="s">
        <v>19</v>
      </c>
      <c r="D1439" s="6" t="s">
        <v>64</v>
      </c>
      <c r="E1439" s="6" t="s">
        <v>44</v>
      </c>
      <c r="F1439" s="6" t="s">
        <v>22</v>
      </c>
      <c r="G1439" s="6">
        <v>33</v>
      </c>
      <c r="H1439" s="7">
        <v>1220.43</v>
      </c>
      <c r="I1439" s="7">
        <v>40274.19</v>
      </c>
      <c r="J1439" s="8">
        <v>45235</v>
      </c>
      <c r="K1439" s="6">
        <v>49</v>
      </c>
      <c r="L1439" s="6" t="s">
        <v>23</v>
      </c>
      <c r="M1439" s="6" t="b">
        <v>1</v>
      </c>
      <c r="N1439" s="6">
        <v>6.18</v>
      </c>
      <c r="O1439" s="6" t="s">
        <v>24</v>
      </c>
      <c r="P1439" s="6" t="b">
        <v>0</v>
      </c>
      <c r="Q1439" s="9" t="s">
        <v>25</v>
      </c>
    </row>
    <row r="1440" spans="1:17" x14ac:dyDescent="0.25">
      <c r="A1440" s="5" t="s">
        <v>1490</v>
      </c>
      <c r="B1440" s="6" t="s">
        <v>38</v>
      </c>
      <c r="C1440" s="6" t="s">
        <v>19</v>
      </c>
      <c r="D1440" s="6" t="s">
        <v>34</v>
      </c>
      <c r="E1440" s="6" t="s">
        <v>44</v>
      </c>
      <c r="F1440" s="6" t="s">
        <v>40</v>
      </c>
      <c r="G1440" s="6">
        <v>29</v>
      </c>
      <c r="H1440" s="7">
        <v>1148.23</v>
      </c>
      <c r="I1440" s="7">
        <v>33298.67</v>
      </c>
      <c r="J1440" s="8">
        <v>45292</v>
      </c>
      <c r="K1440" s="6">
        <v>50</v>
      </c>
      <c r="L1440" s="6" t="s">
        <v>41</v>
      </c>
      <c r="M1440" s="6" t="b">
        <v>0</v>
      </c>
      <c r="N1440" s="6">
        <v>11.47</v>
      </c>
      <c r="O1440" s="6" t="s">
        <v>42</v>
      </c>
      <c r="P1440" s="6" t="b">
        <v>1</v>
      </c>
      <c r="Q1440" s="9" t="s">
        <v>36</v>
      </c>
    </row>
    <row r="1441" spans="1:17" x14ac:dyDescent="0.25">
      <c r="A1441" s="5" t="s">
        <v>1491</v>
      </c>
      <c r="B1441" s="6" t="s">
        <v>66</v>
      </c>
      <c r="C1441" s="6" t="s">
        <v>19</v>
      </c>
      <c r="D1441" s="6" t="s">
        <v>34</v>
      </c>
      <c r="E1441" s="6" t="s">
        <v>28</v>
      </c>
      <c r="F1441" s="6" t="s">
        <v>29</v>
      </c>
      <c r="G1441" s="6">
        <v>69</v>
      </c>
      <c r="H1441" s="7">
        <v>567.55999999999995</v>
      </c>
      <c r="I1441" s="7">
        <v>39161.64</v>
      </c>
      <c r="J1441" s="8">
        <v>45447</v>
      </c>
      <c r="K1441" s="6">
        <v>65</v>
      </c>
      <c r="L1441" s="6" t="s">
        <v>49</v>
      </c>
      <c r="M1441" s="6" t="b">
        <v>0</v>
      </c>
      <c r="N1441" s="6">
        <v>0.75</v>
      </c>
      <c r="O1441" s="6" t="s">
        <v>24</v>
      </c>
      <c r="P1441" s="6" t="b">
        <v>0</v>
      </c>
      <c r="Q1441" s="9" t="s">
        <v>25</v>
      </c>
    </row>
    <row r="1442" spans="1:17" x14ac:dyDescent="0.25">
      <c r="A1442" s="5" t="s">
        <v>1492</v>
      </c>
      <c r="B1442" s="6" t="s">
        <v>32</v>
      </c>
      <c r="C1442" s="6" t="s">
        <v>33</v>
      </c>
      <c r="D1442" s="6" t="s">
        <v>52</v>
      </c>
      <c r="E1442" s="6" t="s">
        <v>44</v>
      </c>
      <c r="F1442" s="6" t="s">
        <v>40</v>
      </c>
      <c r="G1442" s="6">
        <v>70</v>
      </c>
      <c r="H1442" s="7">
        <v>1484.8</v>
      </c>
      <c r="I1442" s="7">
        <v>103936</v>
      </c>
      <c r="J1442" s="8">
        <v>45385</v>
      </c>
      <c r="K1442" s="6">
        <v>39</v>
      </c>
      <c r="L1442" s="6" t="s">
        <v>49</v>
      </c>
      <c r="M1442" s="6" t="b">
        <v>1</v>
      </c>
      <c r="N1442" s="6">
        <v>22.91</v>
      </c>
      <c r="O1442" s="6" t="s">
        <v>24</v>
      </c>
      <c r="P1442" s="6" t="b">
        <v>0</v>
      </c>
      <c r="Q1442" s="9" t="s">
        <v>36</v>
      </c>
    </row>
    <row r="1443" spans="1:17" x14ac:dyDescent="0.25">
      <c r="A1443" s="5" t="s">
        <v>1493</v>
      </c>
      <c r="B1443" s="6" t="s">
        <v>62</v>
      </c>
      <c r="C1443" s="6" t="s">
        <v>39</v>
      </c>
      <c r="D1443" s="6" t="s">
        <v>34</v>
      </c>
      <c r="E1443" s="6" t="s">
        <v>35</v>
      </c>
      <c r="F1443" s="6" t="s">
        <v>22</v>
      </c>
      <c r="G1443" s="6">
        <v>31</v>
      </c>
      <c r="H1443" s="7">
        <v>430.73</v>
      </c>
      <c r="I1443" s="7">
        <v>13352.63</v>
      </c>
      <c r="J1443" s="8">
        <v>45525</v>
      </c>
      <c r="K1443" s="6">
        <v>47</v>
      </c>
      <c r="L1443" s="6" t="s">
        <v>41</v>
      </c>
      <c r="M1443" s="6" t="b">
        <v>0</v>
      </c>
      <c r="N1443" s="6">
        <v>27.45</v>
      </c>
      <c r="O1443" s="6" t="s">
        <v>24</v>
      </c>
      <c r="P1443" s="6" t="b">
        <v>1</v>
      </c>
      <c r="Q1443" s="9" t="s">
        <v>36</v>
      </c>
    </row>
    <row r="1444" spans="1:17" x14ac:dyDescent="0.25">
      <c r="A1444" s="5" t="s">
        <v>1494</v>
      </c>
      <c r="B1444" s="6" t="s">
        <v>32</v>
      </c>
      <c r="C1444" s="6" t="s">
        <v>39</v>
      </c>
      <c r="D1444" s="6" t="s">
        <v>52</v>
      </c>
      <c r="E1444" s="6" t="s">
        <v>35</v>
      </c>
      <c r="F1444" s="6" t="s">
        <v>29</v>
      </c>
      <c r="G1444" s="6">
        <v>80</v>
      </c>
      <c r="H1444" s="7">
        <v>419.46</v>
      </c>
      <c r="I1444" s="7">
        <v>33556.800000000003</v>
      </c>
      <c r="J1444" s="8">
        <v>45296</v>
      </c>
      <c r="K1444" s="6">
        <v>63</v>
      </c>
      <c r="L1444" s="6" t="s">
        <v>41</v>
      </c>
      <c r="M1444" s="6" t="b">
        <v>1</v>
      </c>
      <c r="N1444" s="6">
        <v>7.13</v>
      </c>
      <c r="O1444" s="6" t="s">
        <v>56</v>
      </c>
      <c r="P1444" s="6" t="b">
        <v>1</v>
      </c>
      <c r="Q1444" s="9" t="s">
        <v>25</v>
      </c>
    </row>
    <row r="1445" spans="1:17" x14ac:dyDescent="0.25">
      <c r="A1445" s="5" t="s">
        <v>1495</v>
      </c>
      <c r="B1445" s="6" t="s">
        <v>38</v>
      </c>
      <c r="C1445" s="6" t="s">
        <v>19</v>
      </c>
      <c r="D1445" s="6" t="s">
        <v>34</v>
      </c>
      <c r="E1445" s="6" t="s">
        <v>35</v>
      </c>
      <c r="F1445" s="6" t="s">
        <v>48</v>
      </c>
      <c r="G1445" s="6">
        <v>31</v>
      </c>
      <c r="H1445" s="7">
        <v>1169.78</v>
      </c>
      <c r="I1445" s="7">
        <v>36263.18</v>
      </c>
      <c r="J1445" s="8">
        <v>45257</v>
      </c>
      <c r="K1445" s="6">
        <v>21</v>
      </c>
      <c r="L1445" s="6" t="s">
        <v>49</v>
      </c>
      <c r="M1445" s="6" t="b">
        <v>0</v>
      </c>
      <c r="N1445" s="6">
        <v>12.87</v>
      </c>
      <c r="O1445" s="6" t="s">
        <v>56</v>
      </c>
      <c r="P1445" s="6" t="b">
        <v>1</v>
      </c>
      <c r="Q1445" s="9" t="s">
        <v>36</v>
      </c>
    </row>
    <row r="1446" spans="1:17" x14ac:dyDescent="0.25">
      <c r="A1446" s="5" t="s">
        <v>1496</v>
      </c>
      <c r="B1446" s="6" t="s">
        <v>46</v>
      </c>
      <c r="C1446" s="6" t="s">
        <v>39</v>
      </c>
      <c r="D1446" s="6" t="s">
        <v>20</v>
      </c>
      <c r="E1446" s="6" t="s">
        <v>35</v>
      </c>
      <c r="F1446" s="6" t="s">
        <v>22</v>
      </c>
      <c r="G1446" s="6">
        <v>89</v>
      </c>
      <c r="H1446" s="7">
        <v>680.25</v>
      </c>
      <c r="I1446" s="7">
        <v>60542.25</v>
      </c>
      <c r="J1446" s="8">
        <v>45568</v>
      </c>
      <c r="K1446" s="6">
        <v>40</v>
      </c>
      <c r="L1446" s="6" t="s">
        <v>41</v>
      </c>
      <c r="M1446" s="6" t="b">
        <v>1</v>
      </c>
      <c r="N1446" s="6">
        <v>3.66</v>
      </c>
      <c r="O1446" s="6" t="s">
        <v>24</v>
      </c>
      <c r="P1446" s="6" t="b">
        <v>1</v>
      </c>
      <c r="Q1446" s="9" t="s">
        <v>25</v>
      </c>
    </row>
    <row r="1447" spans="1:17" x14ac:dyDescent="0.25">
      <c r="A1447" s="5" t="s">
        <v>1497</v>
      </c>
      <c r="B1447" s="6" t="s">
        <v>66</v>
      </c>
      <c r="C1447" s="6" t="s">
        <v>39</v>
      </c>
      <c r="D1447" s="6" t="s">
        <v>20</v>
      </c>
      <c r="E1447" s="6" t="s">
        <v>28</v>
      </c>
      <c r="F1447" s="6" t="s">
        <v>22</v>
      </c>
      <c r="G1447" s="6">
        <v>46</v>
      </c>
      <c r="H1447" s="7">
        <v>529.65</v>
      </c>
      <c r="I1447" s="7">
        <v>24363.9</v>
      </c>
      <c r="J1447" s="8">
        <v>44937</v>
      </c>
      <c r="K1447" s="6">
        <v>61</v>
      </c>
      <c r="L1447" s="6" t="s">
        <v>23</v>
      </c>
      <c r="M1447" s="6" t="b">
        <v>0</v>
      </c>
      <c r="N1447" s="6">
        <v>13.71</v>
      </c>
      <c r="O1447" s="6" t="s">
        <v>24</v>
      </c>
      <c r="P1447" s="6" t="b">
        <v>0</v>
      </c>
      <c r="Q1447" s="9" t="s">
        <v>25</v>
      </c>
    </row>
    <row r="1448" spans="1:17" x14ac:dyDescent="0.25">
      <c r="A1448" s="5" t="s">
        <v>1498</v>
      </c>
      <c r="B1448" s="6" t="s">
        <v>62</v>
      </c>
      <c r="C1448" s="6" t="s">
        <v>39</v>
      </c>
      <c r="D1448" s="6" t="s">
        <v>52</v>
      </c>
      <c r="E1448" s="6" t="s">
        <v>21</v>
      </c>
      <c r="F1448" s="6" t="s">
        <v>29</v>
      </c>
      <c r="G1448" s="6">
        <v>97</v>
      </c>
      <c r="H1448" s="7">
        <v>309.06</v>
      </c>
      <c r="I1448" s="7">
        <v>29978.82</v>
      </c>
      <c r="J1448" s="8">
        <v>45433</v>
      </c>
      <c r="K1448" s="6">
        <v>42</v>
      </c>
      <c r="L1448" s="6" t="s">
        <v>23</v>
      </c>
      <c r="M1448" s="6" t="b">
        <v>0</v>
      </c>
      <c r="N1448" s="6">
        <v>4</v>
      </c>
      <c r="O1448" s="6" t="s">
        <v>24</v>
      </c>
      <c r="P1448" s="6" t="b">
        <v>1</v>
      </c>
      <c r="Q1448" s="9" t="s">
        <v>25</v>
      </c>
    </row>
    <row r="1449" spans="1:17" x14ac:dyDescent="0.25">
      <c r="A1449" s="5" t="s">
        <v>1499</v>
      </c>
      <c r="B1449" s="6" t="s">
        <v>38</v>
      </c>
      <c r="C1449" s="6" t="s">
        <v>19</v>
      </c>
      <c r="D1449" s="6" t="s">
        <v>34</v>
      </c>
      <c r="E1449" s="6" t="s">
        <v>21</v>
      </c>
      <c r="F1449" s="6" t="s">
        <v>29</v>
      </c>
      <c r="G1449" s="6">
        <v>77</v>
      </c>
      <c r="H1449" s="7">
        <v>1159.73</v>
      </c>
      <c r="I1449" s="7">
        <v>89299.21</v>
      </c>
      <c r="J1449" s="8">
        <v>45345</v>
      </c>
      <c r="K1449" s="6">
        <v>29</v>
      </c>
      <c r="L1449" s="6" t="s">
        <v>23</v>
      </c>
      <c r="M1449" s="6" t="b">
        <v>0</v>
      </c>
      <c r="N1449" s="6">
        <v>15.7</v>
      </c>
      <c r="O1449" s="6" t="s">
        <v>30</v>
      </c>
      <c r="P1449" s="6" t="b">
        <v>0</v>
      </c>
      <c r="Q1449" s="9" t="s">
        <v>25</v>
      </c>
    </row>
    <row r="1450" spans="1:17" x14ac:dyDescent="0.25">
      <c r="A1450" s="5" t="s">
        <v>1500</v>
      </c>
      <c r="B1450" s="6" t="s">
        <v>38</v>
      </c>
      <c r="C1450" s="6" t="s">
        <v>19</v>
      </c>
      <c r="D1450" s="6" t="s">
        <v>34</v>
      </c>
      <c r="E1450" s="6" t="s">
        <v>28</v>
      </c>
      <c r="F1450" s="6" t="s">
        <v>48</v>
      </c>
      <c r="G1450" s="6">
        <v>52</v>
      </c>
      <c r="H1450" s="7">
        <v>1190.17</v>
      </c>
      <c r="I1450" s="7">
        <v>61888.84</v>
      </c>
      <c r="J1450" s="8">
        <v>45048</v>
      </c>
      <c r="K1450" s="6">
        <v>34</v>
      </c>
      <c r="L1450" s="6" t="s">
        <v>49</v>
      </c>
      <c r="M1450" s="6" t="b">
        <v>1</v>
      </c>
      <c r="N1450" s="6">
        <v>22.04</v>
      </c>
      <c r="O1450" s="6" t="s">
        <v>30</v>
      </c>
      <c r="P1450" s="6" t="b">
        <v>1</v>
      </c>
      <c r="Q1450" s="9" t="s">
        <v>36</v>
      </c>
    </row>
    <row r="1451" spans="1:17" x14ac:dyDescent="0.25">
      <c r="A1451" s="5" t="s">
        <v>1501</v>
      </c>
      <c r="B1451" s="6" t="s">
        <v>72</v>
      </c>
      <c r="C1451" s="6" t="s">
        <v>39</v>
      </c>
      <c r="D1451" s="6" t="s">
        <v>64</v>
      </c>
      <c r="E1451" s="6" t="s">
        <v>44</v>
      </c>
      <c r="F1451" s="6" t="s">
        <v>22</v>
      </c>
      <c r="G1451" s="6">
        <v>10</v>
      </c>
      <c r="H1451" s="7">
        <v>871.52</v>
      </c>
      <c r="I1451" s="7">
        <v>8715.2000000000007</v>
      </c>
      <c r="J1451" s="8">
        <v>45161</v>
      </c>
      <c r="K1451" s="6">
        <v>32</v>
      </c>
      <c r="L1451" s="6" t="s">
        <v>41</v>
      </c>
      <c r="M1451" s="6" t="b">
        <v>1</v>
      </c>
      <c r="N1451" s="6">
        <v>16.600000000000001</v>
      </c>
      <c r="O1451" s="6" t="s">
        <v>56</v>
      </c>
      <c r="P1451" s="6" t="b">
        <v>0</v>
      </c>
      <c r="Q1451" s="9" t="s">
        <v>25</v>
      </c>
    </row>
    <row r="1452" spans="1:17" x14ac:dyDescent="0.25">
      <c r="A1452" s="5" t="s">
        <v>1502</v>
      </c>
      <c r="B1452" s="6" t="s">
        <v>66</v>
      </c>
      <c r="C1452" s="6" t="s">
        <v>39</v>
      </c>
      <c r="D1452" s="6" t="s">
        <v>47</v>
      </c>
      <c r="E1452" s="6" t="s">
        <v>21</v>
      </c>
      <c r="F1452" s="6" t="s">
        <v>29</v>
      </c>
      <c r="G1452" s="6">
        <v>88</v>
      </c>
      <c r="H1452" s="7">
        <v>1438.1</v>
      </c>
      <c r="I1452" s="7">
        <v>126552.8</v>
      </c>
      <c r="J1452" s="8">
        <v>45257</v>
      </c>
      <c r="K1452" s="6">
        <v>27</v>
      </c>
      <c r="L1452" s="6" t="s">
        <v>23</v>
      </c>
      <c r="M1452" s="6" t="b">
        <v>1</v>
      </c>
      <c r="N1452" s="6">
        <v>7.36</v>
      </c>
      <c r="O1452" s="6" t="s">
        <v>24</v>
      </c>
      <c r="P1452" s="6" t="b">
        <v>0</v>
      </c>
      <c r="Q1452" s="9" t="s">
        <v>36</v>
      </c>
    </row>
    <row r="1453" spans="1:17" x14ac:dyDescent="0.25">
      <c r="A1453" s="5" t="s">
        <v>1503</v>
      </c>
      <c r="B1453" s="6" t="s">
        <v>32</v>
      </c>
      <c r="C1453" s="6" t="s">
        <v>19</v>
      </c>
      <c r="D1453" s="6" t="s">
        <v>52</v>
      </c>
      <c r="E1453" s="6" t="s">
        <v>44</v>
      </c>
      <c r="F1453" s="6" t="s">
        <v>48</v>
      </c>
      <c r="G1453" s="6">
        <v>74</v>
      </c>
      <c r="H1453" s="7">
        <v>511.34</v>
      </c>
      <c r="I1453" s="7">
        <v>37839.160000000003</v>
      </c>
      <c r="J1453" s="8">
        <v>45469</v>
      </c>
      <c r="K1453" s="6">
        <v>52</v>
      </c>
      <c r="L1453" s="6" t="s">
        <v>41</v>
      </c>
      <c r="M1453" s="6" t="b">
        <v>0</v>
      </c>
      <c r="N1453" s="6">
        <v>10.61</v>
      </c>
      <c r="O1453" s="6" t="s">
        <v>30</v>
      </c>
      <c r="P1453" s="6" t="b">
        <v>0</v>
      </c>
      <c r="Q1453" s="9" t="s">
        <v>36</v>
      </c>
    </row>
    <row r="1454" spans="1:17" x14ac:dyDescent="0.25">
      <c r="A1454" s="5" t="s">
        <v>1504</v>
      </c>
      <c r="B1454" s="6" t="s">
        <v>51</v>
      </c>
      <c r="C1454" s="6" t="s">
        <v>33</v>
      </c>
      <c r="D1454" s="6" t="s">
        <v>47</v>
      </c>
      <c r="E1454" s="6" t="s">
        <v>21</v>
      </c>
      <c r="F1454" s="6" t="s">
        <v>48</v>
      </c>
      <c r="G1454" s="6">
        <v>41</v>
      </c>
      <c r="H1454" s="7">
        <v>368.45</v>
      </c>
      <c r="I1454" s="7">
        <v>15106.45</v>
      </c>
      <c r="J1454" s="8">
        <v>45274</v>
      </c>
      <c r="K1454" s="6">
        <v>69</v>
      </c>
      <c r="L1454" s="6" t="s">
        <v>23</v>
      </c>
      <c r="M1454" s="6" t="b">
        <v>0</v>
      </c>
      <c r="N1454" s="6">
        <v>19.16</v>
      </c>
      <c r="O1454" s="6" t="s">
        <v>42</v>
      </c>
      <c r="P1454" s="6" t="b">
        <v>0</v>
      </c>
      <c r="Q1454" s="9" t="s">
        <v>25</v>
      </c>
    </row>
    <row r="1455" spans="1:17" x14ac:dyDescent="0.25">
      <c r="A1455" s="5" t="s">
        <v>1505</v>
      </c>
      <c r="B1455" s="6" t="s">
        <v>46</v>
      </c>
      <c r="C1455" s="6" t="s">
        <v>39</v>
      </c>
      <c r="D1455" s="6" t="s">
        <v>47</v>
      </c>
      <c r="E1455" s="6" t="s">
        <v>44</v>
      </c>
      <c r="F1455" s="6" t="s">
        <v>29</v>
      </c>
      <c r="G1455" s="6">
        <v>95</v>
      </c>
      <c r="H1455" s="7">
        <v>1032.33</v>
      </c>
      <c r="I1455" s="7">
        <v>98071.35</v>
      </c>
      <c r="J1455" s="8">
        <v>45338</v>
      </c>
      <c r="K1455" s="6">
        <v>69</v>
      </c>
      <c r="L1455" s="6" t="s">
        <v>41</v>
      </c>
      <c r="M1455" s="6" t="b">
        <v>1</v>
      </c>
      <c r="N1455" s="6">
        <v>17.690000000000001</v>
      </c>
      <c r="O1455" s="6" t="s">
        <v>42</v>
      </c>
      <c r="P1455" s="6" t="b">
        <v>0</v>
      </c>
      <c r="Q1455" s="9" t="s">
        <v>36</v>
      </c>
    </row>
    <row r="1456" spans="1:17" x14ac:dyDescent="0.25">
      <c r="A1456" s="5" t="s">
        <v>1506</v>
      </c>
      <c r="B1456" s="6" t="s">
        <v>51</v>
      </c>
      <c r="C1456" s="6" t="s">
        <v>33</v>
      </c>
      <c r="D1456" s="6" t="s">
        <v>52</v>
      </c>
      <c r="E1456" s="6" t="s">
        <v>28</v>
      </c>
      <c r="F1456" s="6" t="s">
        <v>22</v>
      </c>
      <c r="G1456" s="6">
        <v>77</v>
      </c>
      <c r="H1456" s="7">
        <v>1149.69</v>
      </c>
      <c r="I1456" s="7">
        <v>88526.13</v>
      </c>
      <c r="J1456" s="8">
        <v>45150</v>
      </c>
      <c r="K1456" s="6">
        <v>46</v>
      </c>
      <c r="L1456" s="6" t="s">
        <v>23</v>
      </c>
      <c r="M1456" s="6" t="b">
        <v>1</v>
      </c>
      <c r="N1456" s="6">
        <v>4.0999999999999996</v>
      </c>
      <c r="O1456" s="6" t="s">
        <v>24</v>
      </c>
      <c r="P1456" s="6" t="b">
        <v>1</v>
      </c>
      <c r="Q1456" s="9" t="s">
        <v>25</v>
      </c>
    </row>
    <row r="1457" spans="1:17" x14ac:dyDescent="0.25">
      <c r="A1457" s="5" t="s">
        <v>1507</v>
      </c>
      <c r="B1457" s="6" t="s">
        <v>32</v>
      </c>
      <c r="C1457" s="6" t="s">
        <v>39</v>
      </c>
      <c r="D1457" s="6" t="s">
        <v>34</v>
      </c>
      <c r="E1457" s="6" t="s">
        <v>35</v>
      </c>
      <c r="F1457" s="6" t="s">
        <v>40</v>
      </c>
      <c r="G1457" s="6">
        <v>3</v>
      </c>
      <c r="H1457" s="7">
        <v>376.11</v>
      </c>
      <c r="I1457" s="7">
        <v>1128.33</v>
      </c>
      <c r="J1457" s="8">
        <v>45079</v>
      </c>
      <c r="K1457" s="6">
        <v>29</v>
      </c>
      <c r="L1457" s="6" t="s">
        <v>23</v>
      </c>
      <c r="M1457" s="6" t="b">
        <v>0</v>
      </c>
      <c r="N1457" s="6">
        <v>25.35</v>
      </c>
      <c r="O1457" s="6" t="s">
        <v>30</v>
      </c>
      <c r="P1457" s="6" t="b">
        <v>1</v>
      </c>
      <c r="Q1457" s="9" t="s">
        <v>25</v>
      </c>
    </row>
    <row r="1458" spans="1:17" x14ac:dyDescent="0.25">
      <c r="A1458" s="5" t="s">
        <v>1508</v>
      </c>
      <c r="B1458" s="6" t="s">
        <v>32</v>
      </c>
      <c r="C1458" s="6" t="s">
        <v>33</v>
      </c>
      <c r="D1458" s="6" t="s">
        <v>52</v>
      </c>
      <c r="E1458" s="6" t="s">
        <v>44</v>
      </c>
      <c r="F1458" s="6" t="s">
        <v>40</v>
      </c>
      <c r="G1458" s="6">
        <v>59</v>
      </c>
      <c r="H1458" s="7">
        <v>161.09</v>
      </c>
      <c r="I1458" s="7">
        <v>9504.31</v>
      </c>
      <c r="J1458" s="8">
        <v>45138</v>
      </c>
      <c r="K1458" s="6">
        <v>18</v>
      </c>
      <c r="L1458" s="6" t="s">
        <v>23</v>
      </c>
      <c r="M1458" s="6" t="b">
        <v>0</v>
      </c>
      <c r="N1458" s="6">
        <v>14.26</v>
      </c>
      <c r="O1458" s="6" t="s">
        <v>42</v>
      </c>
      <c r="P1458" s="6" t="b">
        <v>1</v>
      </c>
      <c r="Q1458" s="9" t="s">
        <v>25</v>
      </c>
    </row>
    <row r="1459" spans="1:17" x14ac:dyDescent="0.25">
      <c r="A1459" s="5" t="s">
        <v>1509</v>
      </c>
      <c r="B1459" s="6" t="s">
        <v>66</v>
      </c>
      <c r="C1459" s="6" t="s">
        <v>33</v>
      </c>
      <c r="D1459" s="6" t="s">
        <v>47</v>
      </c>
      <c r="E1459" s="6" t="s">
        <v>35</v>
      </c>
      <c r="F1459" s="6" t="s">
        <v>48</v>
      </c>
      <c r="G1459" s="6">
        <v>52</v>
      </c>
      <c r="H1459" s="7">
        <v>1225.25</v>
      </c>
      <c r="I1459" s="7">
        <v>63713</v>
      </c>
      <c r="J1459" s="8">
        <v>45018</v>
      </c>
      <c r="K1459" s="6">
        <v>18</v>
      </c>
      <c r="L1459" s="6" t="s">
        <v>23</v>
      </c>
      <c r="M1459" s="6" t="b">
        <v>0</v>
      </c>
      <c r="N1459" s="6">
        <v>4.87</v>
      </c>
      <c r="O1459" s="6" t="s">
        <v>56</v>
      </c>
      <c r="P1459" s="6" t="b">
        <v>0</v>
      </c>
      <c r="Q1459" s="9" t="s">
        <v>36</v>
      </c>
    </row>
    <row r="1460" spans="1:17" x14ac:dyDescent="0.25">
      <c r="A1460" s="5" t="s">
        <v>1510</v>
      </c>
      <c r="B1460" s="6" t="s">
        <v>32</v>
      </c>
      <c r="C1460" s="6" t="s">
        <v>33</v>
      </c>
      <c r="D1460" s="6" t="s">
        <v>34</v>
      </c>
      <c r="E1460" s="6" t="s">
        <v>44</v>
      </c>
      <c r="F1460" s="6" t="s">
        <v>40</v>
      </c>
      <c r="G1460" s="6">
        <v>34</v>
      </c>
      <c r="H1460" s="7">
        <v>1465.93</v>
      </c>
      <c r="I1460" s="7">
        <v>49841.62</v>
      </c>
      <c r="J1460" s="8">
        <v>45257</v>
      </c>
      <c r="K1460" s="6">
        <v>27</v>
      </c>
      <c r="L1460" s="6" t="s">
        <v>23</v>
      </c>
      <c r="M1460" s="6" t="b">
        <v>0</v>
      </c>
      <c r="N1460" s="6">
        <v>3.68</v>
      </c>
      <c r="O1460" s="6" t="s">
        <v>42</v>
      </c>
      <c r="P1460" s="6" t="b">
        <v>1</v>
      </c>
      <c r="Q1460" s="9" t="s">
        <v>25</v>
      </c>
    </row>
    <row r="1461" spans="1:17" x14ac:dyDescent="0.25">
      <c r="A1461" s="5" t="s">
        <v>1511</v>
      </c>
      <c r="B1461" s="6" t="s">
        <v>72</v>
      </c>
      <c r="C1461" s="6" t="s">
        <v>19</v>
      </c>
      <c r="D1461" s="6" t="s">
        <v>20</v>
      </c>
      <c r="E1461" s="6" t="s">
        <v>44</v>
      </c>
      <c r="F1461" s="6" t="s">
        <v>40</v>
      </c>
      <c r="G1461" s="6">
        <v>49</v>
      </c>
      <c r="H1461" s="7">
        <v>984.77</v>
      </c>
      <c r="I1461" s="7">
        <v>48253.73</v>
      </c>
      <c r="J1461" s="8">
        <v>45393</v>
      </c>
      <c r="K1461" s="6">
        <v>35</v>
      </c>
      <c r="L1461" s="6" t="s">
        <v>23</v>
      </c>
      <c r="M1461" s="6" t="b">
        <v>1</v>
      </c>
      <c r="N1461" s="6">
        <v>28.97</v>
      </c>
      <c r="O1461" s="6" t="s">
        <v>56</v>
      </c>
      <c r="P1461" s="6" t="b">
        <v>0</v>
      </c>
      <c r="Q1461" s="9" t="s">
        <v>25</v>
      </c>
    </row>
    <row r="1462" spans="1:17" x14ac:dyDescent="0.25">
      <c r="A1462" s="5" t="s">
        <v>1512</v>
      </c>
      <c r="B1462" s="6" t="s">
        <v>62</v>
      </c>
      <c r="C1462" s="6" t="s">
        <v>33</v>
      </c>
      <c r="D1462" s="6" t="s">
        <v>52</v>
      </c>
      <c r="E1462" s="6" t="s">
        <v>44</v>
      </c>
      <c r="F1462" s="6" t="s">
        <v>29</v>
      </c>
      <c r="G1462" s="6">
        <v>28</v>
      </c>
      <c r="H1462" s="7">
        <v>452.91</v>
      </c>
      <c r="I1462" s="7">
        <v>12681.48</v>
      </c>
      <c r="J1462" s="8">
        <v>45567</v>
      </c>
      <c r="K1462" s="6">
        <v>64</v>
      </c>
      <c r="L1462" s="6" t="s">
        <v>23</v>
      </c>
      <c r="M1462" s="6" t="b">
        <v>1</v>
      </c>
      <c r="N1462" s="6">
        <v>8.4499999999999993</v>
      </c>
      <c r="O1462" s="6" t="s">
        <v>42</v>
      </c>
      <c r="P1462" s="6" t="b">
        <v>0</v>
      </c>
      <c r="Q1462" s="9" t="s">
        <v>36</v>
      </c>
    </row>
    <row r="1463" spans="1:17" x14ac:dyDescent="0.25">
      <c r="A1463" s="5" t="s">
        <v>1513</v>
      </c>
      <c r="B1463" s="6" t="s">
        <v>32</v>
      </c>
      <c r="C1463" s="6" t="s">
        <v>33</v>
      </c>
      <c r="D1463" s="6" t="s">
        <v>52</v>
      </c>
      <c r="E1463" s="6" t="s">
        <v>44</v>
      </c>
      <c r="F1463" s="6" t="s">
        <v>48</v>
      </c>
      <c r="G1463" s="6">
        <v>83</v>
      </c>
      <c r="H1463" s="7">
        <v>1495.18</v>
      </c>
      <c r="I1463" s="7">
        <v>124099.94</v>
      </c>
      <c r="J1463" s="8">
        <v>45480</v>
      </c>
      <c r="K1463" s="6">
        <v>19</v>
      </c>
      <c r="L1463" s="6" t="s">
        <v>23</v>
      </c>
      <c r="M1463" s="6" t="b">
        <v>0</v>
      </c>
      <c r="N1463" s="6">
        <v>27.26</v>
      </c>
      <c r="O1463" s="6" t="s">
        <v>42</v>
      </c>
      <c r="P1463" s="6" t="b">
        <v>1</v>
      </c>
      <c r="Q1463" s="9" t="s">
        <v>25</v>
      </c>
    </row>
    <row r="1464" spans="1:17" x14ac:dyDescent="0.25">
      <c r="A1464" s="5" t="s">
        <v>1514</v>
      </c>
      <c r="B1464" s="6" t="s">
        <v>51</v>
      </c>
      <c r="C1464" s="6" t="s">
        <v>33</v>
      </c>
      <c r="D1464" s="6" t="s">
        <v>34</v>
      </c>
      <c r="E1464" s="6" t="s">
        <v>44</v>
      </c>
      <c r="F1464" s="6" t="s">
        <v>22</v>
      </c>
      <c r="G1464" s="6">
        <v>87</v>
      </c>
      <c r="H1464" s="7">
        <v>1345.24</v>
      </c>
      <c r="I1464" s="7">
        <v>117035.88</v>
      </c>
      <c r="J1464" s="8">
        <v>45154</v>
      </c>
      <c r="K1464" s="6">
        <v>66</v>
      </c>
      <c r="L1464" s="6" t="s">
        <v>23</v>
      </c>
      <c r="M1464" s="6" t="b">
        <v>0</v>
      </c>
      <c r="N1464" s="6">
        <v>12.32</v>
      </c>
      <c r="O1464" s="6" t="s">
        <v>30</v>
      </c>
      <c r="P1464" s="6" t="b">
        <v>0</v>
      </c>
      <c r="Q1464" s="9" t="s">
        <v>25</v>
      </c>
    </row>
    <row r="1465" spans="1:17" x14ac:dyDescent="0.25">
      <c r="A1465" s="5" t="s">
        <v>1515</v>
      </c>
      <c r="B1465" s="6" t="s">
        <v>32</v>
      </c>
      <c r="C1465" s="6" t="s">
        <v>39</v>
      </c>
      <c r="D1465" s="6" t="s">
        <v>20</v>
      </c>
      <c r="E1465" s="6" t="s">
        <v>35</v>
      </c>
      <c r="F1465" s="6" t="s">
        <v>48</v>
      </c>
      <c r="G1465" s="6">
        <v>96</v>
      </c>
      <c r="H1465" s="7">
        <v>794.4</v>
      </c>
      <c r="I1465" s="7">
        <v>76262.399999999994</v>
      </c>
      <c r="J1465" s="8">
        <v>45120</v>
      </c>
      <c r="K1465" s="6">
        <v>25</v>
      </c>
      <c r="L1465" s="6" t="s">
        <v>41</v>
      </c>
      <c r="M1465" s="6" t="b">
        <v>0</v>
      </c>
      <c r="N1465" s="6">
        <v>11.58</v>
      </c>
      <c r="O1465" s="6" t="s">
        <v>42</v>
      </c>
      <c r="P1465" s="6" t="b">
        <v>1</v>
      </c>
      <c r="Q1465" s="9" t="s">
        <v>25</v>
      </c>
    </row>
    <row r="1466" spans="1:17" x14ac:dyDescent="0.25">
      <c r="A1466" s="5" t="s">
        <v>1516</v>
      </c>
      <c r="B1466" s="6" t="s">
        <v>72</v>
      </c>
      <c r="C1466" s="6" t="s">
        <v>33</v>
      </c>
      <c r="D1466" s="6" t="s">
        <v>20</v>
      </c>
      <c r="E1466" s="6" t="s">
        <v>44</v>
      </c>
      <c r="F1466" s="6" t="s">
        <v>29</v>
      </c>
      <c r="G1466" s="6">
        <v>13</v>
      </c>
      <c r="H1466" s="7">
        <v>1246.72</v>
      </c>
      <c r="I1466" s="7">
        <v>16207.36</v>
      </c>
      <c r="J1466" s="8">
        <v>45456</v>
      </c>
      <c r="K1466" s="6">
        <v>39</v>
      </c>
      <c r="L1466" s="6" t="s">
        <v>41</v>
      </c>
      <c r="M1466" s="6" t="b">
        <v>1</v>
      </c>
      <c r="N1466" s="6">
        <v>21.03</v>
      </c>
      <c r="O1466" s="6" t="s">
        <v>42</v>
      </c>
      <c r="P1466" s="6" t="b">
        <v>0</v>
      </c>
      <c r="Q1466" s="9" t="s">
        <v>25</v>
      </c>
    </row>
    <row r="1467" spans="1:17" x14ac:dyDescent="0.25">
      <c r="A1467" s="5" t="s">
        <v>1517</v>
      </c>
      <c r="B1467" s="6" t="s">
        <v>76</v>
      </c>
      <c r="C1467" s="6" t="s">
        <v>39</v>
      </c>
      <c r="D1467" s="6" t="s">
        <v>34</v>
      </c>
      <c r="E1467" s="6" t="s">
        <v>35</v>
      </c>
      <c r="F1467" s="6" t="s">
        <v>40</v>
      </c>
      <c r="G1467" s="6">
        <v>97</v>
      </c>
      <c r="H1467" s="7">
        <v>1232.94</v>
      </c>
      <c r="I1467" s="7">
        <v>119595.18</v>
      </c>
      <c r="J1467" s="8">
        <v>45169</v>
      </c>
      <c r="K1467" s="6">
        <v>39</v>
      </c>
      <c r="L1467" s="6" t="s">
        <v>49</v>
      </c>
      <c r="M1467" s="6" t="b">
        <v>1</v>
      </c>
      <c r="N1467" s="6">
        <v>0.3</v>
      </c>
      <c r="O1467" s="6" t="s">
        <v>56</v>
      </c>
      <c r="P1467" s="6" t="b">
        <v>1</v>
      </c>
      <c r="Q1467" s="9" t="s">
        <v>25</v>
      </c>
    </row>
    <row r="1468" spans="1:17" x14ac:dyDescent="0.25">
      <c r="A1468" s="5" t="s">
        <v>1518</v>
      </c>
      <c r="B1468" s="6" t="s">
        <v>76</v>
      </c>
      <c r="C1468" s="6" t="s">
        <v>33</v>
      </c>
      <c r="D1468" s="6" t="s">
        <v>64</v>
      </c>
      <c r="E1468" s="6" t="s">
        <v>28</v>
      </c>
      <c r="F1468" s="6" t="s">
        <v>22</v>
      </c>
      <c r="G1468" s="6">
        <v>98</v>
      </c>
      <c r="H1468" s="7">
        <v>1405.46</v>
      </c>
      <c r="I1468" s="7">
        <v>137735.07999999999</v>
      </c>
      <c r="J1468" s="8">
        <v>45315</v>
      </c>
      <c r="K1468" s="6">
        <v>43</v>
      </c>
      <c r="L1468" s="6" t="s">
        <v>23</v>
      </c>
      <c r="M1468" s="6" t="b">
        <v>0</v>
      </c>
      <c r="N1468" s="6">
        <v>10.14</v>
      </c>
      <c r="O1468" s="6" t="s">
        <v>56</v>
      </c>
      <c r="P1468" s="6" t="b">
        <v>0</v>
      </c>
      <c r="Q1468" s="9" t="s">
        <v>25</v>
      </c>
    </row>
    <row r="1469" spans="1:17" x14ac:dyDescent="0.25">
      <c r="A1469" s="5" t="s">
        <v>1519</v>
      </c>
      <c r="B1469" s="6" t="s">
        <v>38</v>
      </c>
      <c r="C1469" s="6" t="s">
        <v>33</v>
      </c>
      <c r="D1469" s="6" t="s">
        <v>52</v>
      </c>
      <c r="E1469" s="6" t="s">
        <v>21</v>
      </c>
      <c r="F1469" s="6" t="s">
        <v>48</v>
      </c>
      <c r="G1469" s="6">
        <v>97</v>
      </c>
      <c r="H1469" s="7">
        <v>1269.3399999999999</v>
      </c>
      <c r="I1469" s="7">
        <v>123125.98</v>
      </c>
      <c r="J1469" s="8">
        <v>45202</v>
      </c>
      <c r="K1469" s="6">
        <v>43</v>
      </c>
      <c r="L1469" s="6" t="s">
        <v>41</v>
      </c>
      <c r="M1469" s="6" t="b">
        <v>0</v>
      </c>
      <c r="N1469" s="6">
        <v>9.08</v>
      </c>
      <c r="O1469" s="6" t="s">
        <v>42</v>
      </c>
      <c r="P1469" s="6" t="b">
        <v>1</v>
      </c>
      <c r="Q1469" s="9" t="s">
        <v>36</v>
      </c>
    </row>
    <row r="1470" spans="1:17" x14ac:dyDescent="0.25">
      <c r="A1470" s="5" t="s">
        <v>1520</v>
      </c>
      <c r="B1470" s="6" t="s">
        <v>46</v>
      </c>
      <c r="C1470" s="6" t="s">
        <v>19</v>
      </c>
      <c r="D1470" s="6" t="s">
        <v>52</v>
      </c>
      <c r="E1470" s="6" t="s">
        <v>44</v>
      </c>
      <c r="F1470" s="6" t="s">
        <v>40</v>
      </c>
      <c r="G1470" s="6">
        <v>69</v>
      </c>
      <c r="H1470" s="7">
        <v>983.33</v>
      </c>
      <c r="I1470" s="7">
        <v>67849.77</v>
      </c>
      <c r="J1470" s="8">
        <v>45376</v>
      </c>
      <c r="K1470" s="6">
        <v>26</v>
      </c>
      <c r="L1470" s="6" t="s">
        <v>41</v>
      </c>
      <c r="M1470" s="6" t="b">
        <v>0</v>
      </c>
      <c r="N1470" s="6">
        <v>26.04</v>
      </c>
      <c r="O1470" s="6" t="s">
        <v>24</v>
      </c>
      <c r="P1470" s="6" t="b">
        <v>1</v>
      </c>
      <c r="Q1470" s="9" t="s">
        <v>25</v>
      </c>
    </row>
    <row r="1471" spans="1:17" x14ac:dyDescent="0.25">
      <c r="A1471" s="5" t="s">
        <v>1521</v>
      </c>
      <c r="B1471" s="6" t="s">
        <v>27</v>
      </c>
      <c r="C1471" s="6" t="s">
        <v>39</v>
      </c>
      <c r="D1471" s="6" t="s">
        <v>47</v>
      </c>
      <c r="E1471" s="6" t="s">
        <v>21</v>
      </c>
      <c r="F1471" s="6" t="s">
        <v>48</v>
      </c>
      <c r="G1471" s="6">
        <v>67</v>
      </c>
      <c r="H1471" s="7">
        <v>933.49</v>
      </c>
      <c r="I1471" s="7">
        <v>62543.83</v>
      </c>
      <c r="J1471" s="8">
        <v>45565</v>
      </c>
      <c r="K1471" s="6">
        <v>38</v>
      </c>
      <c r="L1471" s="6" t="s">
        <v>41</v>
      </c>
      <c r="M1471" s="6" t="b">
        <v>0</v>
      </c>
      <c r="N1471" s="6">
        <v>15.87</v>
      </c>
      <c r="O1471" s="6" t="s">
        <v>42</v>
      </c>
      <c r="P1471" s="6" t="b">
        <v>0</v>
      </c>
      <c r="Q1471" s="9" t="s">
        <v>25</v>
      </c>
    </row>
    <row r="1472" spans="1:17" x14ac:dyDescent="0.25">
      <c r="A1472" s="5" t="s">
        <v>1522</v>
      </c>
      <c r="B1472" s="6" t="s">
        <v>62</v>
      </c>
      <c r="C1472" s="6" t="s">
        <v>33</v>
      </c>
      <c r="D1472" s="6" t="s">
        <v>34</v>
      </c>
      <c r="E1472" s="6" t="s">
        <v>35</v>
      </c>
      <c r="F1472" s="6" t="s">
        <v>22</v>
      </c>
      <c r="G1472" s="6">
        <v>61</v>
      </c>
      <c r="H1472" s="7">
        <v>727.67</v>
      </c>
      <c r="I1472" s="7">
        <v>44387.87</v>
      </c>
      <c r="J1472" s="8">
        <v>45513</v>
      </c>
      <c r="K1472" s="6">
        <v>48</v>
      </c>
      <c r="L1472" s="6" t="s">
        <v>41</v>
      </c>
      <c r="M1472" s="6" t="b">
        <v>0</v>
      </c>
      <c r="N1472" s="6">
        <v>10.94</v>
      </c>
      <c r="O1472" s="6" t="s">
        <v>42</v>
      </c>
      <c r="P1472" s="6" t="b">
        <v>0</v>
      </c>
      <c r="Q1472" s="9" t="s">
        <v>25</v>
      </c>
    </row>
    <row r="1473" spans="1:17" x14ac:dyDescent="0.25">
      <c r="A1473" s="5" t="s">
        <v>1523</v>
      </c>
      <c r="B1473" s="6" t="s">
        <v>18</v>
      </c>
      <c r="C1473" s="6" t="s">
        <v>39</v>
      </c>
      <c r="D1473" s="6" t="s">
        <v>47</v>
      </c>
      <c r="E1473" s="6" t="s">
        <v>28</v>
      </c>
      <c r="F1473" s="6" t="s">
        <v>48</v>
      </c>
      <c r="G1473" s="6">
        <v>60</v>
      </c>
      <c r="H1473" s="7">
        <v>958.4</v>
      </c>
      <c r="I1473" s="7">
        <v>57504</v>
      </c>
      <c r="J1473" s="8">
        <v>45500</v>
      </c>
      <c r="K1473" s="6">
        <v>69</v>
      </c>
      <c r="L1473" s="6" t="s">
        <v>41</v>
      </c>
      <c r="M1473" s="6" t="b">
        <v>0</v>
      </c>
      <c r="N1473" s="6">
        <v>7.98</v>
      </c>
      <c r="O1473" s="6" t="s">
        <v>30</v>
      </c>
      <c r="P1473" s="6" t="b">
        <v>0</v>
      </c>
      <c r="Q1473" s="9" t="s">
        <v>25</v>
      </c>
    </row>
    <row r="1474" spans="1:17" x14ac:dyDescent="0.25">
      <c r="A1474" s="5" t="s">
        <v>1524</v>
      </c>
      <c r="B1474" s="6" t="s">
        <v>38</v>
      </c>
      <c r="C1474" s="6" t="s">
        <v>39</v>
      </c>
      <c r="D1474" s="6" t="s">
        <v>47</v>
      </c>
      <c r="E1474" s="6" t="s">
        <v>28</v>
      </c>
      <c r="F1474" s="6" t="s">
        <v>48</v>
      </c>
      <c r="G1474" s="6">
        <v>71</v>
      </c>
      <c r="H1474" s="7">
        <v>1203.06</v>
      </c>
      <c r="I1474" s="7">
        <v>85417.26</v>
      </c>
      <c r="J1474" s="8">
        <v>45404</v>
      </c>
      <c r="K1474" s="6">
        <v>60</v>
      </c>
      <c r="L1474" s="6" t="s">
        <v>41</v>
      </c>
      <c r="M1474" s="6" t="b">
        <v>1</v>
      </c>
      <c r="N1474" s="6">
        <v>17.72</v>
      </c>
      <c r="O1474" s="6" t="s">
        <v>42</v>
      </c>
      <c r="P1474" s="6" t="b">
        <v>1</v>
      </c>
      <c r="Q1474" s="9" t="s">
        <v>36</v>
      </c>
    </row>
    <row r="1475" spans="1:17" x14ac:dyDescent="0.25">
      <c r="A1475" s="5" t="s">
        <v>1525</v>
      </c>
      <c r="B1475" s="6" t="s">
        <v>46</v>
      </c>
      <c r="C1475" s="6" t="s">
        <v>19</v>
      </c>
      <c r="D1475" s="6" t="s">
        <v>20</v>
      </c>
      <c r="E1475" s="6" t="s">
        <v>28</v>
      </c>
      <c r="F1475" s="6" t="s">
        <v>48</v>
      </c>
      <c r="G1475" s="6">
        <v>24</v>
      </c>
      <c r="H1475" s="7">
        <v>1455.1</v>
      </c>
      <c r="I1475" s="7">
        <v>34922.400000000001</v>
      </c>
      <c r="J1475" s="8">
        <v>45406</v>
      </c>
      <c r="K1475" s="6">
        <v>23</v>
      </c>
      <c r="L1475" s="6" t="s">
        <v>49</v>
      </c>
      <c r="M1475" s="6" t="b">
        <v>1</v>
      </c>
      <c r="N1475" s="6">
        <v>4.55</v>
      </c>
      <c r="O1475" s="6" t="s">
        <v>42</v>
      </c>
      <c r="P1475" s="6" t="b">
        <v>1</v>
      </c>
      <c r="Q1475" s="9" t="s">
        <v>25</v>
      </c>
    </row>
    <row r="1476" spans="1:17" x14ac:dyDescent="0.25">
      <c r="A1476" s="5" t="s">
        <v>1526</v>
      </c>
      <c r="B1476" s="6" t="s">
        <v>76</v>
      </c>
      <c r="C1476" s="6" t="s">
        <v>19</v>
      </c>
      <c r="D1476" s="6" t="s">
        <v>52</v>
      </c>
      <c r="E1476" s="6" t="s">
        <v>21</v>
      </c>
      <c r="F1476" s="6" t="s">
        <v>40</v>
      </c>
      <c r="G1476" s="6">
        <v>63</v>
      </c>
      <c r="H1476" s="7">
        <v>727.57</v>
      </c>
      <c r="I1476" s="7">
        <v>45836.91</v>
      </c>
      <c r="J1476" s="8">
        <v>45214</v>
      </c>
      <c r="K1476" s="6">
        <v>31</v>
      </c>
      <c r="L1476" s="6" t="s">
        <v>41</v>
      </c>
      <c r="M1476" s="6" t="b">
        <v>1</v>
      </c>
      <c r="N1476" s="6">
        <v>7.39</v>
      </c>
      <c r="O1476" s="6" t="s">
        <v>56</v>
      </c>
      <c r="P1476" s="6" t="b">
        <v>0</v>
      </c>
      <c r="Q1476" s="9" t="s">
        <v>36</v>
      </c>
    </row>
    <row r="1477" spans="1:17" x14ac:dyDescent="0.25">
      <c r="A1477" s="5" t="s">
        <v>1527</v>
      </c>
      <c r="B1477" s="6" t="s">
        <v>51</v>
      </c>
      <c r="C1477" s="6" t="s">
        <v>19</v>
      </c>
      <c r="D1477" s="6" t="s">
        <v>47</v>
      </c>
      <c r="E1477" s="6" t="s">
        <v>35</v>
      </c>
      <c r="F1477" s="6" t="s">
        <v>22</v>
      </c>
      <c r="G1477" s="6">
        <v>86</v>
      </c>
      <c r="H1477" s="7">
        <v>881.8</v>
      </c>
      <c r="I1477" s="7">
        <v>75834.8</v>
      </c>
      <c r="J1477" s="8">
        <v>45466</v>
      </c>
      <c r="K1477" s="6">
        <v>50</v>
      </c>
      <c r="L1477" s="6" t="s">
        <v>49</v>
      </c>
      <c r="M1477" s="6" t="b">
        <v>0</v>
      </c>
      <c r="N1477" s="6">
        <v>8.81</v>
      </c>
      <c r="O1477" s="6" t="s">
        <v>56</v>
      </c>
      <c r="P1477" s="6" t="b">
        <v>1</v>
      </c>
      <c r="Q1477" s="9" t="s">
        <v>25</v>
      </c>
    </row>
    <row r="1478" spans="1:17" x14ac:dyDescent="0.25">
      <c r="A1478" s="5" t="s">
        <v>1528</v>
      </c>
      <c r="B1478" s="6" t="s">
        <v>18</v>
      </c>
      <c r="C1478" s="6" t="s">
        <v>19</v>
      </c>
      <c r="D1478" s="6" t="s">
        <v>20</v>
      </c>
      <c r="E1478" s="6" t="s">
        <v>44</v>
      </c>
      <c r="F1478" s="6" t="s">
        <v>22</v>
      </c>
      <c r="G1478" s="6">
        <v>61</v>
      </c>
      <c r="H1478" s="7">
        <v>694.97</v>
      </c>
      <c r="I1478" s="7">
        <v>42393.17</v>
      </c>
      <c r="J1478" s="8">
        <v>45256</v>
      </c>
      <c r="K1478" s="6">
        <v>24</v>
      </c>
      <c r="L1478" s="6" t="s">
        <v>49</v>
      </c>
      <c r="M1478" s="6" t="b">
        <v>0</v>
      </c>
      <c r="N1478" s="6">
        <v>18.239999999999998</v>
      </c>
      <c r="O1478" s="6" t="s">
        <v>56</v>
      </c>
      <c r="P1478" s="6" t="b">
        <v>1</v>
      </c>
      <c r="Q1478" s="9" t="s">
        <v>25</v>
      </c>
    </row>
    <row r="1479" spans="1:17" x14ac:dyDescent="0.25">
      <c r="A1479" s="5" t="s">
        <v>1529</v>
      </c>
      <c r="B1479" s="6" t="s">
        <v>46</v>
      </c>
      <c r="C1479" s="6" t="s">
        <v>19</v>
      </c>
      <c r="D1479" s="6" t="s">
        <v>34</v>
      </c>
      <c r="E1479" s="6" t="s">
        <v>44</v>
      </c>
      <c r="F1479" s="6" t="s">
        <v>40</v>
      </c>
      <c r="G1479" s="6">
        <v>23</v>
      </c>
      <c r="H1479" s="7">
        <v>1019.31</v>
      </c>
      <c r="I1479" s="7">
        <v>23444.13</v>
      </c>
      <c r="J1479" s="8">
        <v>45396</v>
      </c>
      <c r="K1479" s="6">
        <v>41</v>
      </c>
      <c r="L1479" s="6" t="s">
        <v>23</v>
      </c>
      <c r="M1479" s="6" t="b">
        <v>0</v>
      </c>
      <c r="N1479" s="6">
        <v>11.2</v>
      </c>
      <c r="O1479" s="6" t="s">
        <v>56</v>
      </c>
      <c r="P1479" s="6" t="b">
        <v>0</v>
      </c>
      <c r="Q1479" s="9" t="s">
        <v>36</v>
      </c>
    </row>
    <row r="1480" spans="1:17" x14ac:dyDescent="0.25">
      <c r="A1480" s="5" t="s">
        <v>1530</v>
      </c>
      <c r="B1480" s="6" t="s">
        <v>46</v>
      </c>
      <c r="C1480" s="6" t="s">
        <v>19</v>
      </c>
      <c r="D1480" s="6" t="s">
        <v>47</v>
      </c>
      <c r="E1480" s="6" t="s">
        <v>35</v>
      </c>
      <c r="F1480" s="6" t="s">
        <v>40</v>
      </c>
      <c r="G1480" s="6">
        <v>30</v>
      </c>
      <c r="H1480" s="7">
        <v>963.38</v>
      </c>
      <c r="I1480" s="7">
        <v>28901.4</v>
      </c>
      <c r="J1480" s="8">
        <v>45460</v>
      </c>
      <c r="K1480" s="6">
        <v>26</v>
      </c>
      <c r="L1480" s="6" t="s">
        <v>23</v>
      </c>
      <c r="M1480" s="6" t="b">
        <v>1</v>
      </c>
      <c r="N1480" s="6">
        <v>15.17</v>
      </c>
      <c r="O1480" s="6" t="s">
        <v>42</v>
      </c>
      <c r="P1480" s="6" t="b">
        <v>1</v>
      </c>
      <c r="Q1480" s="9" t="s">
        <v>36</v>
      </c>
    </row>
    <row r="1481" spans="1:17" x14ac:dyDescent="0.25">
      <c r="A1481" s="5" t="s">
        <v>1531</v>
      </c>
      <c r="B1481" s="6" t="s">
        <v>38</v>
      </c>
      <c r="C1481" s="6" t="s">
        <v>19</v>
      </c>
      <c r="D1481" s="6" t="s">
        <v>52</v>
      </c>
      <c r="E1481" s="6" t="s">
        <v>21</v>
      </c>
      <c r="F1481" s="6" t="s">
        <v>40</v>
      </c>
      <c r="G1481" s="6">
        <v>60</v>
      </c>
      <c r="H1481" s="7">
        <v>75.86</v>
      </c>
      <c r="I1481" s="7">
        <v>4551.6000000000004</v>
      </c>
      <c r="J1481" s="8">
        <v>45393</v>
      </c>
      <c r="K1481" s="6">
        <v>28</v>
      </c>
      <c r="L1481" s="6" t="s">
        <v>23</v>
      </c>
      <c r="M1481" s="6" t="b">
        <v>0</v>
      </c>
      <c r="N1481" s="6">
        <v>19.510000000000002</v>
      </c>
      <c r="O1481" s="6" t="s">
        <v>24</v>
      </c>
      <c r="P1481" s="6" t="b">
        <v>1</v>
      </c>
      <c r="Q1481" s="9" t="s">
        <v>25</v>
      </c>
    </row>
    <row r="1482" spans="1:17" x14ac:dyDescent="0.25">
      <c r="A1482" s="5" t="s">
        <v>1532</v>
      </c>
      <c r="B1482" s="6" t="s">
        <v>18</v>
      </c>
      <c r="C1482" s="6" t="s">
        <v>19</v>
      </c>
      <c r="D1482" s="6" t="s">
        <v>47</v>
      </c>
      <c r="E1482" s="6" t="s">
        <v>44</v>
      </c>
      <c r="F1482" s="6" t="s">
        <v>29</v>
      </c>
      <c r="G1482" s="6">
        <v>18</v>
      </c>
      <c r="H1482" s="7">
        <v>834.68</v>
      </c>
      <c r="I1482" s="7">
        <v>15024.24</v>
      </c>
      <c r="J1482" s="8">
        <v>45346</v>
      </c>
      <c r="K1482" s="6">
        <v>40</v>
      </c>
      <c r="L1482" s="6" t="s">
        <v>41</v>
      </c>
      <c r="M1482" s="6" t="b">
        <v>1</v>
      </c>
      <c r="N1482" s="6">
        <v>28.69</v>
      </c>
      <c r="O1482" s="6" t="s">
        <v>30</v>
      </c>
      <c r="P1482" s="6" t="b">
        <v>1</v>
      </c>
      <c r="Q1482" s="9" t="s">
        <v>25</v>
      </c>
    </row>
    <row r="1483" spans="1:17" x14ac:dyDescent="0.25">
      <c r="A1483" s="5" t="s">
        <v>1533</v>
      </c>
      <c r="B1483" s="6" t="s">
        <v>66</v>
      </c>
      <c r="C1483" s="6" t="s">
        <v>33</v>
      </c>
      <c r="D1483" s="6" t="s">
        <v>34</v>
      </c>
      <c r="E1483" s="6" t="s">
        <v>35</v>
      </c>
      <c r="F1483" s="6" t="s">
        <v>48</v>
      </c>
      <c r="G1483" s="6">
        <v>96</v>
      </c>
      <c r="H1483" s="7">
        <v>178.31</v>
      </c>
      <c r="I1483" s="7">
        <v>17117.759999999998</v>
      </c>
      <c r="J1483" s="8">
        <v>45534</v>
      </c>
      <c r="K1483" s="6">
        <v>65</v>
      </c>
      <c r="L1483" s="6" t="s">
        <v>23</v>
      </c>
      <c r="M1483" s="6" t="b">
        <v>0</v>
      </c>
      <c r="N1483" s="6">
        <v>22.95</v>
      </c>
      <c r="O1483" s="6" t="s">
        <v>30</v>
      </c>
      <c r="P1483" s="6" t="b">
        <v>0</v>
      </c>
      <c r="Q1483" s="9" t="s">
        <v>25</v>
      </c>
    </row>
    <row r="1484" spans="1:17" x14ac:dyDescent="0.25">
      <c r="A1484" s="5" t="s">
        <v>1534</v>
      </c>
      <c r="B1484" s="6" t="s">
        <v>27</v>
      </c>
      <c r="C1484" s="6" t="s">
        <v>39</v>
      </c>
      <c r="D1484" s="6" t="s">
        <v>47</v>
      </c>
      <c r="E1484" s="6" t="s">
        <v>44</v>
      </c>
      <c r="F1484" s="6" t="s">
        <v>48</v>
      </c>
      <c r="G1484" s="6">
        <v>56</v>
      </c>
      <c r="H1484" s="7">
        <v>88.26</v>
      </c>
      <c r="I1484" s="7">
        <v>4942.5600000000004</v>
      </c>
      <c r="J1484" s="8">
        <v>45048</v>
      </c>
      <c r="K1484" s="6">
        <v>68</v>
      </c>
      <c r="L1484" s="6" t="s">
        <v>41</v>
      </c>
      <c r="M1484" s="6" t="b">
        <v>0</v>
      </c>
      <c r="N1484" s="6">
        <v>12.16</v>
      </c>
      <c r="O1484" s="6" t="s">
        <v>24</v>
      </c>
      <c r="P1484" s="6" t="b">
        <v>1</v>
      </c>
      <c r="Q1484" s="9" t="s">
        <v>25</v>
      </c>
    </row>
    <row r="1485" spans="1:17" x14ac:dyDescent="0.25">
      <c r="A1485" s="5" t="s">
        <v>1535</v>
      </c>
      <c r="B1485" s="6" t="s">
        <v>66</v>
      </c>
      <c r="C1485" s="6" t="s">
        <v>19</v>
      </c>
      <c r="D1485" s="6" t="s">
        <v>52</v>
      </c>
      <c r="E1485" s="6" t="s">
        <v>28</v>
      </c>
      <c r="F1485" s="6" t="s">
        <v>22</v>
      </c>
      <c r="G1485" s="6">
        <v>53</v>
      </c>
      <c r="H1485" s="7">
        <v>1197.24</v>
      </c>
      <c r="I1485" s="7">
        <v>63453.72</v>
      </c>
      <c r="J1485" s="8">
        <v>45234</v>
      </c>
      <c r="K1485" s="6">
        <v>19</v>
      </c>
      <c r="L1485" s="6" t="s">
        <v>41</v>
      </c>
      <c r="M1485" s="6" t="b">
        <v>0</v>
      </c>
      <c r="N1485" s="6">
        <v>22.45</v>
      </c>
      <c r="O1485" s="6" t="s">
        <v>24</v>
      </c>
      <c r="P1485" s="6" t="b">
        <v>0</v>
      </c>
      <c r="Q1485" s="9" t="s">
        <v>25</v>
      </c>
    </row>
    <row r="1486" spans="1:17" x14ac:dyDescent="0.25">
      <c r="A1486" s="5" t="s">
        <v>1536</v>
      </c>
      <c r="B1486" s="6" t="s">
        <v>18</v>
      </c>
      <c r="C1486" s="6" t="s">
        <v>19</v>
      </c>
      <c r="D1486" s="6" t="s">
        <v>20</v>
      </c>
      <c r="E1486" s="6" t="s">
        <v>44</v>
      </c>
      <c r="F1486" s="6" t="s">
        <v>48</v>
      </c>
      <c r="G1486" s="6">
        <v>7</v>
      </c>
      <c r="H1486" s="7">
        <v>425.04</v>
      </c>
      <c r="I1486" s="7">
        <v>2975.28</v>
      </c>
      <c r="J1486" s="8">
        <v>45260</v>
      </c>
      <c r="K1486" s="6">
        <v>32</v>
      </c>
      <c r="L1486" s="6" t="s">
        <v>23</v>
      </c>
      <c r="M1486" s="6" t="b">
        <v>1</v>
      </c>
      <c r="N1486" s="6">
        <v>28.49</v>
      </c>
      <c r="O1486" s="6" t="s">
        <v>30</v>
      </c>
      <c r="P1486" s="6" t="b">
        <v>1</v>
      </c>
      <c r="Q1486" s="9" t="s">
        <v>25</v>
      </c>
    </row>
    <row r="1487" spans="1:17" x14ac:dyDescent="0.25">
      <c r="A1487" s="5" t="s">
        <v>1537</v>
      </c>
      <c r="B1487" s="6" t="s">
        <v>66</v>
      </c>
      <c r="C1487" s="6" t="s">
        <v>39</v>
      </c>
      <c r="D1487" s="6" t="s">
        <v>52</v>
      </c>
      <c r="E1487" s="6" t="s">
        <v>21</v>
      </c>
      <c r="F1487" s="6" t="s">
        <v>29</v>
      </c>
      <c r="G1487" s="6">
        <v>97</v>
      </c>
      <c r="H1487" s="7">
        <v>543.95000000000005</v>
      </c>
      <c r="I1487" s="7">
        <v>52763.15</v>
      </c>
      <c r="J1487" s="8">
        <v>45346</v>
      </c>
      <c r="K1487" s="6">
        <v>52</v>
      </c>
      <c r="L1487" s="6" t="s">
        <v>23</v>
      </c>
      <c r="M1487" s="6" t="b">
        <v>1</v>
      </c>
      <c r="N1487" s="6">
        <v>14.98</v>
      </c>
      <c r="O1487" s="6" t="s">
        <v>42</v>
      </c>
      <c r="P1487" s="6" t="b">
        <v>1</v>
      </c>
      <c r="Q1487" s="9" t="s">
        <v>36</v>
      </c>
    </row>
    <row r="1488" spans="1:17" x14ac:dyDescent="0.25">
      <c r="A1488" s="5" t="s">
        <v>1538</v>
      </c>
      <c r="B1488" s="6" t="s">
        <v>72</v>
      </c>
      <c r="C1488" s="6" t="s">
        <v>33</v>
      </c>
      <c r="D1488" s="6" t="s">
        <v>20</v>
      </c>
      <c r="E1488" s="6" t="s">
        <v>35</v>
      </c>
      <c r="F1488" s="6" t="s">
        <v>40</v>
      </c>
      <c r="G1488" s="6">
        <v>69</v>
      </c>
      <c r="H1488" s="7">
        <v>142.91999999999999</v>
      </c>
      <c r="I1488" s="7">
        <v>9861.48</v>
      </c>
      <c r="J1488" s="8">
        <v>45252</v>
      </c>
      <c r="K1488" s="6">
        <v>53</v>
      </c>
      <c r="L1488" s="6" t="s">
        <v>49</v>
      </c>
      <c r="M1488" s="6" t="b">
        <v>1</v>
      </c>
      <c r="N1488" s="6">
        <v>12.31</v>
      </c>
      <c r="O1488" s="6" t="s">
        <v>30</v>
      </c>
      <c r="P1488" s="6" t="b">
        <v>1</v>
      </c>
      <c r="Q1488" s="9" t="s">
        <v>25</v>
      </c>
    </row>
    <row r="1489" spans="1:17" x14ac:dyDescent="0.25">
      <c r="A1489" s="5" t="s">
        <v>1539</v>
      </c>
      <c r="B1489" s="6" t="s">
        <v>76</v>
      </c>
      <c r="C1489" s="6" t="s">
        <v>39</v>
      </c>
      <c r="D1489" s="6" t="s">
        <v>64</v>
      </c>
      <c r="E1489" s="6" t="s">
        <v>21</v>
      </c>
      <c r="F1489" s="6" t="s">
        <v>22</v>
      </c>
      <c r="G1489" s="6">
        <v>92</v>
      </c>
      <c r="H1489" s="7">
        <v>310.27999999999997</v>
      </c>
      <c r="I1489" s="7">
        <v>28545.759999999998</v>
      </c>
      <c r="J1489" s="8">
        <v>45575</v>
      </c>
      <c r="K1489" s="6">
        <v>69</v>
      </c>
      <c r="L1489" s="6" t="s">
        <v>49</v>
      </c>
      <c r="M1489" s="6" t="b">
        <v>0</v>
      </c>
      <c r="N1489" s="6">
        <v>2.34</v>
      </c>
      <c r="O1489" s="6" t="s">
        <v>24</v>
      </c>
      <c r="P1489" s="6" t="b">
        <v>1</v>
      </c>
      <c r="Q1489" s="9" t="s">
        <v>25</v>
      </c>
    </row>
    <row r="1490" spans="1:17" x14ac:dyDescent="0.25">
      <c r="A1490" s="5" t="s">
        <v>1540</v>
      </c>
      <c r="B1490" s="6" t="s">
        <v>72</v>
      </c>
      <c r="C1490" s="6" t="s">
        <v>39</v>
      </c>
      <c r="D1490" s="6" t="s">
        <v>52</v>
      </c>
      <c r="E1490" s="6" t="s">
        <v>35</v>
      </c>
      <c r="F1490" s="6" t="s">
        <v>22</v>
      </c>
      <c r="G1490" s="6">
        <v>72</v>
      </c>
      <c r="H1490" s="7">
        <v>1160.1300000000001</v>
      </c>
      <c r="I1490" s="7">
        <v>83529.36</v>
      </c>
      <c r="J1490" s="8">
        <v>45499</v>
      </c>
      <c r="K1490" s="6">
        <v>45</v>
      </c>
      <c r="L1490" s="6" t="s">
        <v>41</v>
      </c>
      <c r="M1490" s="6" t="b">
        <v>1</v>
      </c>
      <c r="N1490" s="6">
        <v>26.77</v>
      </c>
      <c r="O1490" s="6" t="s">
        <v>42</v>
      </c>
      <c r="P1490" s="6" t="b">
        <v>1</v>
      </c>
      <c r="Q1490" s="9" t="s">
        <v>25</v>
      </c>
    </row>
    <row r="1491" spans="1:17" x14ac:dyDescent="0.25">
      <c r="A1491" s="5" t="s">
        <v>1541</v>
      </c>
      <c r="B1491" s="6" t="s">
        <v>32</v>
      </c>
      <c r="C1491" s="6" t="s">
        <v>19</v>
      </c>
      <c r="D1491" s="6" t="s">
        <v>52</v>
      </c>
      <c r="E1491" s="6" t="s">
        <v>28</v>
      </c>
      <c r="F1491" s="6" t="s">
        <v>48</v>
      </c>
      <c r="G1491" s="6">
        <v>79</v>
      </c>
      <c r="H1491" s="7">
        <v>765.62</v>
      </c>
      <c r="I1491" s="7">
        <v>60483.98</v>
      </c>
      <c r="J1491" s="8">
        <v>45176</v>
      </c>
      <c r="K1491" s="6">
        <v>56</v>
      </c>
      <c r="L1491" s="6" t="s">
        <v>41</v>
      </c>
      <c r="M1491" s="6" t="b">
        <v>0</v>
      </c>
      <c r="N1491" s="6">
        <v>7.39</v>
      </c>
      <c r="O1491" s="6" t="s">
        <v>30</v>
      </c>
      <c r="P1491" s="6" t="b">
        <v>0</v>
      </c>
      <c r="Q1491" s="9" t="s">
        <v>36</v>
      </c>
    </row>
    <row r="1492" spans="1:17" x14ac:dyDescent="0.25">
      <c r="A1492" s="5" t="s">
        <v>1542</v>
      </c>
      <c r="B1492" s="6" t="s">
        <v>66</v>
      </c>
      <c r="C1492" s="6" t="s">
        <v>39</v>
      </c>
      <c r="D1492" s="6" t="s">
        <v>34</v>
      </c>
      <c r="E1492" s="6" t="s">
        <v>35</v>
      </c>
      <c r="F1492" s="6" t="s">
        <v>22</v>
      </c>
      <c r="G1492" s="6">
        <v>52</v>
      </c>
      <c r="H1492" s="7">
        <v>1326.97</v>
      </c>
      <c r="I1492" s="7">
        <v>69002.44</v>
      </c>
      <c r="J1492" s="8">
        <v>45021</v>
      </c>
      <c r="K1492" s="6">
        <v>61</v>
      </c>
      <c r="L1492" s="6" t="s">
        <v>23</v>
      </c>
      <c r="M1492" s="6" t="b">
        <v>0</v>
      </c>
      <c r="N1492" s="6">
        <v>1.92</v>
      </c>
      <c r="O1492" s="6" t="s">
        <v>42</v>
      </c>
      <c r="P1492" s="6" t="b">
        <v>1</v>
      </c>
      <c r="Q1492" s="9" t="s">
        <v>36</v>
      </c>
    </row>
    <row r="1493" spans="1:17" x14ac:dyDescent="0.25">
      <c r="A1493" s="5" t="s">
        <v>1543</v>
      </c>
      <c r="B1493" s="6" t="s">
        <v>32</v>
      </c>
      <c r="C1493" s="6" t="s">
        <v>39</v>
      </c>
      <c r="D1493" s="6" t="s">
        <v>47</v>
      </c>
      <c r="E1493" s="6" t="s">
        <v>44</v>
      </c>
      <c r="F1493" s="6" t="s">
        <v>40</v>
      </c>
      <c r="G1493" s="6">
        <v>4</v>
      </c>
      <c r="H1493" s="7">
        <v>626</v>
      </c>
      <c r="I1493" s="7">
        <v>2504</v>
      </c>
      <c r="J1493" s="8">
        <v>45222</v>
      </c>
      <c r="K1493" s="6">
        <v>21</v>
      </c>
      <c r="L1493" s="6" t="s">
        <v>23</v>
      </c>
      <c r="M1493" s="6" t="b">
        <v>1</v>
      </c>
      <c r="N1493" s="6">
        <v>16.12</v>
      </c>
      <c r="O1493" s="6" t="s">
        <v>42</v>
      </c>
      <c r="P1493" s="6" t="b">
        <v>1</v>
      </c>
      <c r="Q1493" s="9" t="s">
        <v>36</v>
      </c>
    </row>
    <row r="1494" spans="1:17" x14ac:dyDescent="0.25">
      <c r="A1494" s="5" t="s">
        <v>1544</v>
      </c>
      <c r="B1494" s="6" t="s">
        <v>51</v>
      </c>
      <c r="C1494" s="6" t="s">
        <v>19</v>
      </c>
      <c r="D1494" s="6" t="s">
        <v>20</v>
      </c>
      <c r="E1494" s="6" t="s">
        <v>44</v>
      </c>
      <c r="F1494" s="6" t="s">
        <v>22</v>
      </c>
      <c r="G1494" s="6">
        <v>34</v>
      </c>
      <c r="H1494" s="7">
        <v>439.62</v>
      </c>
      <c r="I1494" s="7">
        <v>14947.08</v>
      </c>
      <c r="J1494" s="8">
        <v>45110</v>
      </c>
      <c r="K1494" s="6">
        <v>27</v>
      </c>
      <c r="L1494" s="6" t="s">
        <v>49</v>
      </c>
      <c r="M1494" s="6" t="b">
        <v>1</v>
      </c>
      <c r="N1494" s="6">
        <v>25.38</v>
      </c>
      <c r="O1494" s="6" t="s">
        <v>24</v>
      </c>
      <c r="P1494" s="6" t="b">
        <v>1</v>
      </c>
      <c r="Q1494" s="9" t="s">
        <v>25</v>
      </c>
    </row>
    <row r="1495" spans="1:17" x14ac:dyDescent="0.25">
      <c r="A1495" s="5" t="s">
        <v>1545</v>
      </c>
      <c r="B1495" s="6" t="s">
        <v>62</v>
      </c>
      <c r="C1495" s="6" t="s">
        <v>19</v>
      </c>
      <c r="D1495" s="6" t="s">
        <v>20</v>
      </c>
      <c r="E1495" s="6" t="s">
        <v>28</v>
      </c>
      <c r="F1495" s="6" t="s">
        <v>40</v>
      </c>
      <c r="G1495" s="6">
        <v>69</v>
      </c>
      <c r="H1495" s="7">
        <v>554.02</v>
      </c>
      <c r="I1495" s="7">
        <v>38227.379999999997</v>
      </c>
      <c r="J1495" s="8">
        <v>45186</v>
      </c>
      <c r="K1495" s="6">
        <v>23</v>
      </c>
      <c r="L1495" s="6" t="s">
        <v>23</v>
      </c>
      <c r="M1495" s="6" t="b">
        <v>0</v>
      </c>
      <c r="N1495" s="6">
        <v>12.2</v>
      </c>
      <c r="O1495" s="6" t="s">
        <v>56</v>
      </c>
      <c r="P1495" s="6" t="b">
        <v>1</v>
      </c>
      <c r="Q1495" s="9" t="s">
        <v>36</v>
      </c>
    </row>
    <row r="1496" spans="1:17" x14ac:dyDescent="0.25">
      <c r="A1496" s="5" t="s">
        <v>1546</v>
      </c>
      <c r="B1496" s="6" t="s">
        <v>51</v>
      </c>
      <c r="C1496" s="6" t="s">
        <v>19</v>
      </c>
      <c r="D1496" s="6" t="s">
        <v>34</v>
      </c>
      <c r="E1496" s="6" t="s">
        <v>35</v>
      </c>
      <c r="F1496" s="6" t="s">
        <v>29</v>
      </c>
      <c r="G1496" s="6">
        <v>33</v>
      </c>
      <c r="H1496" s="7">
        <v>1083.52</v>
      </c>
      <c r="I1496" s="7">
        <v>35756.160000000003</v>
      </c>
      <c r="J1496" s="8">
        <v>45593</v>
      </c>
      <c r="K1496" s="6">
        <v>47</v>
      </c>
      <c r="L1496" s="6" t="s">
        <v>41</v>
      </c>
      <c r="M1496" s="6" t="b">
        <v>0</v>
      </c>
      <c r="N1496" s="6">
        <v>23.49</v>
      </c>
      <c r="O1496" s="6" t="s">
        <v>30</v>
      </c>
      <c r="P1496" s="6" t="b">
        <v>0</v>
      </c>
      <c r="Q1496" s="9" t="s">
        <v>25</v>
      </c>
    </row>
    <row r="1497" spans="1:17" x14ac:dyDescent="0.25">
      <c r="A1497" s="5" t="s">
        <v>1547</v>
      </c>
      <c r="B1497" s="6" t="s">
        <v>18</v>
      </c>
      <c r="C1497" s="6" t="s">
        <v>19</v>
      </c>
      <c r="D1497" s="6" t="s">
        <v>34</v>
      </c>
      <c r="E1497" s="6" t="s">
        <v>28</v>
      </c>
      <c r="F1497" s="6" t="s">
        <v>29</v>
      </c>
      <c r="G1497" s="6">
        <v>69</v>
      </c>
      <c r="H1497" s="7">
        <v>854.76</v>
      </c>
      <c r="I1497" s="7">
        <v>58978.44</v>
      </c>
      <c r="J1497" s="8">
        <v>45112</v>
      </c>
      <c r="K1497" s="6">
        <v>63</v>
      </c>
      <c r="L1497" s="6" t="s">
        <v>23</v>
      </c>
      <c r="M1497" s="6" t="b">
        <v>0</v>
      </c>
      <c r="N1497" s="6">
        <v>25.09</v>
      </c>
      <c r="O1497" s="6" t="s">
        <v>24</v>
      </c>
      <c r="P1497" s="6" t="b">
        <v>1</v>
      </c>
      <c r="Q1497" s="9" t="s">
        <v>25</v>
      </c>
    </row>
    <row r="1498" spans="1:17" x14ac:dyDescent="0.25">
      <c r="A1498" s="5" t="s">
        <v>1548</v>
      </c>
      <c r="B1498" s="6" t="s">
        <v>46</v>
      </c>
      <c r="C1498" s="6" t="s">
        <v>39</v>
      </c>
      <c r="D1498" s="6" t="s">
        <v>47</v>
      </c>
      <c r="E1498" s="6" t="s">
        <v>44</v>
      </c>
      <c r="F1498" s="6" t="s">
        <v>40</v>
      </c>
      <c r="G1498" s="6">
        <v>38</v>
      </c>
      <c r="H1498" s="7">
        <v>1361.08</v>
      </c>
      <c r="I1498" s="7">
        <v>51721.04</v>
      </c>
      <c r="J1498" s="8">
        <v>45335</v>
      </c>
      <c r="K1498" s="6">
        <v>52</v>
      </c>
      <c r="L1498" s="6" t="s">
        <v>49</v>
      </c>
      <c r="M1498" s="6" t="b">
        <v>0</v>
      </c>
      <c r="N1498" s="6">
        <v>13.63</v>
      </c>
      <c r="O1498" s="6" t="s">
        <v>30</v>
      </c>
      <c r="P1498" s="6" t="b">
        <v>1</v>
      </c>
      <c r="Q1498" s="9" t="s">
        <v>25</v>
      </c>
    </row>
    <row r="1499" spans="1:17" x14ac:dyDescent="0.25">
      <c r="A1499" s="5" t="s">
        <v>1549</v>
      </c>
      <c r="B1499" s="6" t="s">
        <v>76</v>
      </c>
      <c r="C1499" s="6" t="s">
        <v>39</v>
      </c>
      <c r="D1499" s="6" t="s">
        <v>47</v>
      </c>
      <c r="E1499" s="6" t="s">
        <v>21</v>
      </c>
      <c r="F1499" s="6" t="s">
        <v>48</v>
      </c>
      <c r="G1499" s="6">
        <v>98</v>
      </c>
      <c r="H1499" s="7">
        <v>923.14</v>
      </c>
      <c r="I1499" s="7">
        <v>90467.72</v>
      </c>
      <c r="J1499" s="8">
        <v>44995</v>
      </c>
      <c r="K1499" s="6">
        <v>66</v>
      </c>
      <c r="L1499" s="6" t="s">
        <v>41</v>
      </c>
      <c r="M1499" s="6" t="b">
        <v>1</v>
      </c>
      <c r="N1499" s="6">
        <v>17.73</v>
      </c>
      <c r="O1499" s="6" t="s">
        <v>56</v>
      </c>
      <c r="P1499" s="6" t="b">
        <v>1</v>
      </c>
      <c r="Q1499" s="9" t="s">
        <v>25</v>
      </c>
    </row>
    <row r="1500" spans="1:17" x14ac:dyDescent="0.25">
      <c r="A1500" s="5" t="s">
        <v>1550</v>
      </c>
      <c r="B1500" s="6" t="s">
        <v>66</v>
      </c>
      <c r="C1500" s="6" t="s">
        <v>33</v>
      </c>
      <c r="D1500" s="6" t="s">
        <v>52</v>
      </c>
      <c r="E1500" s="6" t="s">
        <v>28</v>
      </c>
      <c r="F1500" s="6" t="s">
        <v>22</v>
      </c>
      <c r="G1500" s="6">
        <v>26</v>
      </c>
      <c r="H1500" s="7">
        <v>764.88</v>
      </c>
      <c r="I1500" s="7">
        <v>19886.88</v>
      </c>
      <c r="J1500" s="8">
        <v>45553</v>
      </c>
      <c r="K1500" s="6">
        <v>60</v>
      </c>
      <c r="L1500" s="6" t="s">
        <v>49</v>
      </c>
      <c r="M1500" s="6" t="b">
        <v>1</v>
      </c>
      <c r="N1500" s="6">
        <v>16.02</v>
      </c>
      <c r="O1500" s="6" t="s">
        <v>56</v>
      </c>
      <c r="P1500" s="6" t="b">
        <v>1</v>
      </c>
      <c r="Q1500" s="9" t="s">
        <v>25</v>
      </c>
    </row>
    <row r="1501" spans="1:17" x14ac:dyDescent="0.25">
      <c r="A1501" s="5" t="s">
        <v>1551</v>
      </c>
      <c r="B1501" s="6" t="s">
        <v>38</v>
      </c>
      <c r="C1501" s="6" t="s">
        <v>33</v>
      </c>
      <c r="D1501" s="6" t="s">
        <v>64</v>
      </c>
      <c r="E1501" s="6" t="s">
        <v>21</v>
      </c>
      <c r="F1501" s="6" t="s">
        <v>48</v>
      </c>
      <c r="G1501" s="6">
        <v>1</v>
      </c>
      <c r="H1501" s="7">
        <v>1189.3399999999999</v>
      </c>
      <c r="I1501" s="7">
        <v>1189.3399999999999</v>
      </c>
      <c r="J1501" s="8">
        <v>44934</v>
      </c>
      <c r="K1501" s="6">
        <v>27</v>
      </c>
      <c r="L1501" s="6" t="s">
        <v>49</v>
      </c>
      <c r="M1501" s="6" t="b">
        <v>1</v>
      </c>
      <c r="N1501" s="6">
        <v>28.18</v>
      </c>
      <c r="O1501" s="6" t="s">
        <v>56</v>
      </c>
      <c r="P1501" s="6" t="b">
        <v>0</v>
      </c>
      <c r="Q1501" s="9" t="s">
        <v>25</v>
      </c>
    </row>
    <row r="1502" spans="1:17" x14ac:dyDescent="0.25">
      <c r="A1502" s="5" t="s">
        <v>1552</v>
      </c>
      <c r="B1502" s="6" t="s">
        <v>62</v>
      </c>
      <c r="C1502" s="6" t="s">
        <v>39</v>
      </c>
      <c r="D1502" s="6" t="s">
        <v>47</v>
      </c>
      <c r="E1502" s="6" t="s">
        <v>21</v>
      </c>
      <c r="F1502" s="6" t="s">
        <v>22</v>
      </c>
      <c r="G1502" s="6">
        <v>4</v>
      </c>
      <c r="H1502" s="7">
        <v>1423.92</v>
      </c>
      <c r="I1502" s="7">
        <v>5695.68</v>
      </c>
      <c r="J1502" s="8">
        <v>45191</v>
      </c>
      <c r="K1502" s="6">
        <v>49</v>
      </c>
      <c r="L1502" s="6" t="s">
        <v>41</v>
      </c>
      <c r="M1502" s="6" t="b">
        <v>0</v>
      </c>
      <c r="N1502" s="6">
        <v>21.77</v>
      </c>
      <c r="O1502" s="6" t="s">
        <v>56</v>
      </c>
      <c r="P1502" s="6" t="b">
        <v>0</v>
      </c>
      <c r="Q1502" s="9" t="s">
        <v>25</v>
      </c>
    </row>
    <row r="1503" spans="1:17" x14ac:dyDescent="0.25">
      <c r="A1503" s="5" t="s">
        <v>1553</v>
      </c>
      <c r="B1503" s="6" t="s">
        <v>27</v>
      </c>
      <c r="C1503" s="6" t="s">
        <v>33</v>
      </c>
      <c r="D1503" s="6" t="s">
        <v>34</v>
      </c>
      <c r="E1503" s="6" t="s">
        <v>35</v>
      </c>
      <c r="F1503" s="6" t="s">
        <v>29</v>
      </c>
      <c r="G1503" s="6">
        <v>39</v>
      </c>
      <c r="H1503" s="7">
        <v>565.98</v>
      </c>
      <c r="I1503" s="7">
        <v>22073.22</v>
      </c>
      <c r="J1503" s="8">
        <v>45410</v>
      </c>
      <c r="K1503" s="6">
        <v>59</v>
      </c>
      <c r="L1503" s="6" t="s">
        <v>49</v>
      </c>
      <c r="M1503" s="6" t="b">
        <v>0</v>
      </c>
      <c r="N1503" s="6">
        <v>27.76</v>
      </c>
      <c r="O1503" s="6" t="s">
        <v>30</v>
      </c>
      <c r="P1503" s="6" t="b">
        <v>1</v>
      </c>
      <c r="Q1503" s="9" t="s">
        <v>36</v>
      </c>
    </row>
    <row r="1504" spans="1:17" x14ac:dyDescent="0.25">
      <c r="A1504" s="5" t="s">
        <v>1554</v>
      </c>
      <c r="B1504" s="6" t="s">
        <v>27</v>
      </c>
      <c r="C1504" s="6" t="s">
        <v>39</v>
      </c>
      <c r="D1504" s="6" t="s">
        <v>47</v>
      </c>
      <c r="E1504" s="6" t="s">
        <v>28</v>
      </c>
      <c r="F1504" s="6" t="s">
        <v>29</v>
      </c>
      <c r="G1504" s="6">
        <v>54</v>
      </c>
      <c r="H1504" s="7">
        <v>412.32</v>
      </c>
      <c r="I1504" s="7">
        <v>22265.279999999999</v>
      </c>
      <c r="J1504" s="8">
        <v>45543</v>
      </c>
      <c r="K1504" s="6">
        <v>59</v>
      </c>
      <c r="L1504" s="6" t="s">
        <v>23</v>
      </c>
      <c r="M1504" s="6" t="b">
        <v>0</v>
      </c>
      <c r="N1504" s="6">
        <v>6.6</v>
      </c>
      <c r="O1504" s="6" t="s">
        <v>42</v>
      </c>
      <c r="P1504" s="6" t="b">
        <v>1</v>
      </c>
      <c r="Q1504" s="9" t="s">
        <v>36</v>
      </c>
    </row>
    <row r="1505" spans="1:17" x14ac:dyDescent="0.25">
      <c r="A1505" s="5" t="s">
        <v>1555</v>
      </c>
      <c r="B1505" s="6" t="s">
        <v>27</v>
      </c>
      <c r="C1505" s="6" t="s">
        <v>33</v>
      </c>
      <c r="D1505" s="6" t="s">
        <v>20</v>
      </c>
      <c r="E1505" s="6" t="s">
        <v>21</v>
      </c>
      <c r="F1505" s="6" t="s">
        <v>29</v>
      </c>
      <c r="G1505" s="6">
        <v>90</v>
      </c>
      <c r="H1505" s="7">
        <v>943.52</v>
      </c>
      <c r="I1505" s="7">
        <v>84916.800000000003</v>
      </c>
      <c r="J1505" s="8">
        <v>45297</v>
      </c>
      <c r="K1505" s="6">
        <v>20</v>
      </c>
      <c r="L1505" s="6" t="s">
        <v>23</v>
      </c>
      <c r="M1505" s="6" t="b">
        <v>1</v>
      </c>
      <c r="N1505" s="6">
        <v>9.31</v>
      </c>
      <c r="O1505" s="6" t="s">
        <v>42</v>
      </c>
      <c r="P1505" s="6" t="b">
        <v>1</v>
      </c>
      <c r="Q1505" s="9" t="s">
        <v>36</v>
      </c>
    </row>
    <row r="1506" spans="1:17" x14ac:dyDescent="0.25">
      <c r="A1506" s="5" t="s">
        <v>1556</v>
      </c>
      <c r="B1506" s="6" t="s">
        <v>66</v>
      </c>
      <c r="C1506" s="6" t="s">
        <v>19</v>
      </c>
      <c r="D1506" s="6" t="s">
        <v>64</v>
      </c>
      <c r="E1506" s="6" t="s">
        <v>21</v>
      </c>
      <c r="F1506" s="6" t="s">
        <v>22</v>
      </c>
      <c r="G1506" s="6">
        <v>33</v>
      </c>
      <c r="H1506" s="7">
        <v>773.37</v>
      </c>
      <c r="I1506" s="7">
        <v>25521.21</v>
      </c>
      <c r="J1506" s="8">
        <v>45009</v>
      </c>
      <c r="K1506" s="6">
        <v>43</v>
      </c>
      <c r="L1506" s="6" t="s">
        <v>49</v>
      </c>
      <c r="M1506" s="6" t="b">
        <v>0</v>
      </c>
      <c r="N1506" s="6">
        <v>2.13</v>
      </c>
      <c r="O1506" s="6" t="s">
        <v>56</v>
      </c>
      <c r="P1506" s="6" t="b">
        <v>1</v>
      </c>
      <c r="Q1506" s="9" t="s">
        <v>25</v>
      </c>
    </row>
    <row r="1507" spans="1:17" x14ac:dyDescent="0.25">
      <c r="A1507" s="5" t="s">
        <v>1557</v>
      </c>
      <c r="B1507" s="6" t="s">
        <v>27</v>
      </c>
      <c r="C1507" s="6" t="s">
        <v>33</v>
      </c>
      <c r="D1507" s="6" t="s">
        <v>52</v>
      </c>
      <c r="E1507" s="6" t="s">
        <v>35</v>
      </c>
      <c r="F1507" s="6" t="s">
        <v>29</v>
      </c>
      <c r="G1507" s="6">
        <v>33</v>
      </c>
      <c r="H1507" s="7">
        <v>1484.32</v>
      </c>
      <c r="I1507" s="7">
        <v>48982.559999999998</v>
      </c>
      <c r="J1507" s="8">
        <v>45572</v>
      </c>
      <c r="K1507" s="6">
        <v>32</v>
      </c>
      <c r="L1507" s="6" t="s">
        <v>23</v>
      </c>
      <c r="M1507" s="6" t="b">
        <v>0</v>
      </c>
      <c r="N1507" s="6">
        <v>15</v>
      </c>
      <c r="O1507" s="6" t="s">
        <v>56</v>
      </c>
      <c r="P1507" s="6" t="b">
        <v>1</v>
      </c>
      <c r="Q1507" s="9" t="s">
        <v>36</v>
      </c>
    </row>
    <row r="1508" spans="1:17" x14ac:dyDescent="0.25">
      <c r="A1508" s="5" t="s">
        <v>1558</v>
      </c>
      <c r="B1508" s="6" t="s">
        <v>72</v>
      </c>
      <c r="C1508" s="6" t="s">
        <v>19</v>
      </c>
      <c r="D1508" s="6" t="s">
        <v>20</v>
      </c>
      <c r="E1508" s="6" t="s">
        <v>35</v>
      </c>
      <c r="F1508" s="6" t="s">
        <v>29</v>
      </c>
      <c r="G1508" s="6">
        <v>72</v>
      </c>
      <c r="H1508" s="7">
        <v>720.42</v>
      </c>
      <c r="I1508" s="7">
        <v>51870.239999999998</v>
      </c>
      <c r="J1508" s="8">
        <v>45137</v>
      </c>
      <c r="K1508" s="6">
        <v>34</v>
      </c>
      <c r="L1508" s="6" t="s">
        <v>49</v>
      </c>
      <c r="M1508" s="6" t="b">
        <v>1</v>
      </c>
      <c r="N1508" s="6">
        <v>26.22</v>
      </c>
      <c r="O1508" s="6" t="s">
        <v>42</v>
      </c>
      <c r="P1508" s="6" t="b">
        <v>0</v>
      </c>
      <c r="Q1508" s="9" t="s">
        <v>25</v>
      </c>
    </row>
    <row r="1509" spans="1:17" x14ac:dyDescent="0.25">
      <c r="A1509" s="5" t="s">
        <v>1559</v>
      </c>
      <c r="B1509" s="6" t="s">
        <v>62</v>
      </c>
      <c r="C1509" s="6" t="s">
        <v>19</v>
      </c>
      <c r="D1509" s="6" t="s">
        <v>20</v>
      </c>
      <c r="E1509" s="6" t="s">
        <v>44</v>
      </c>
      <c r="F1509" s="6" t="s">
        <v>29</v>
      </c>
      <c r="G1509" s="6">
        <v>20</v>
      </c>
      <c r="H1509" s="7">
        <v>157.78</v>
      </c>
      <c r="I1509" s="7">
        <v>3155.6</v>
      </c>
      <c r="J1509" s="8">
        <v>45239</v>
      </c>
      <c r="K1509" s="6">
        <v>44</v>
      </c>
      <c r="L1509" s="6" t="s">
        <v>23</v>
      </c>
      <c r="M1509" s="6" t="b">
        <v>1</v>
      </c>
      <c r="N1509" s="6">
        <v>9.81</v>
      </c>
      <c r="O1509" s="6" t="s">
        <v>24</v>
      </c>
      <c r="P1509" s="6" t="b">
        <v>0</v>
      </c>
      <c r="Q1509" s="9" t="s">
        <v>36</v>
      </c>
    </row>
    <row r="1510" spans="1:17" x14ac:dyDescent="0.25">
      <c r="A1510" s="5" t="s">
        <v>1560</v>
      </c>
      <c r="B1510" s="6" t="s">
        <v>72</v>
      </c>
      <c r="C1510" s="6" t="s">
        <v>19</v>
      </c>
      <c r="D1510" s="6" t="s">
        <v>64</v>
      </c>
      <c r="E1510" s="6" t="s">
        <v>21</v>
      </c>
      <c r="F1510" s="6" t="s">
        <v>29</v>
      </c>
      <c r="G1510" s="6">
        <v>16</v>
      </c>
      <c r="H1510" s="7">
        <v>1467.19</v>
      </c>
      <c r="I1510" s="7">
        <v>23475.040000000001</v>
      </c>
      <c r="J1510" s="8">
        <v>45530</v>
      </c>
      <c r="K1510" s="6">
        <v>35</v>
      </c>
      <c r="L1510" s="6" t="s">
        <v>49</v>
      </c>
      <c r="M1510" s="6" t="b">
        <v>0</v>
      </c>
      <c r="N1510" s="6">
        <v>3.85</v>
      </c>
      <c r="O1510" s="6" t="s">
        <v>56</v>
      </c>
      <c r="P1510" s="6" t="b">
        <v>1</v>
      </c>
      <c r="Q1510" s="9" t="s">
        <v>36</v>
      </c>
    </row>
    <row r="1511" spans="1:17" x14ac:dyDescent="0.25">
      <c r="A1511" s="5" t="s">
        <v>1561</v>
      </c>
      <c r="B1511" s="6" t="s">
        <v>46</v>
      </c>
      <c r="C1511" s="6" t="s">
        <v>19</v>
      </c>
      <c r="D1511" s="6" t="s">
        <v>52</v>
      </c>
      <c r="E1511" s="6" t="s">
        <v>44</v>
      </c>
      <c r="F1511" s="6" t="s">
        <v>48</v>
      </c>
      <c r="G1511" s="6">
        <v>21</v>
      </c>
      <c r="H1511" s="7">
        <v>1273.2</v>
      </c>
      <c r="I1511" s="7">
        <v>26737.200000000001</v>
      </c>
      <c r="J1511" s="8">
        <v>45263</v>
      </c>
      <c r="K1511" s="6">
        <v>68</v>
      </c>
      <c r="L1511" s="6" t="s">
        <v>23</v>
      </c>
      <c r="M1511" s="6" t="b">
        <v>1</v>
      </c>
      <c r="N1511" s="6">
        <v>2.0499999999999998</v>
      </c>
      <c r="O1511" s="6" t="s">
        <v>42</v>
      </c>
      <c r="P1511" s="6" t="b">
        <v>1</v>
      </c>
      <c r="Q1511" s="9" t="s">
        <v>25</v>
      </c>
    </row>
    <row r="1512" spans="1:17" x14ac:dyDescent="0.25">
      <c r="A1512" s="5" t="s">
        <v>1562</v>
      </c>
      <c r="B1512" s="6" t="s">
        <v>62</v>
      </c>
      <c r="C1512" s="6" t="s">
        <v>33</v>
      </c>
      <c r="D1512" s="6" t="s">
        <v>34</v>
      </c>
      <c r="E1512" s="6" t="s">
        <v>21</v>
      </c>
      <c r="F1512" s="6" t="s">
        <v>29</v>
      </c>
      <c r="G1512" s="6">
        <v>45</v>
      </c>
      <c r="H1512" s="7">
        <v>308.45999999999998</v>
      </c>
      <c r="I1512" s="7">
        <v>13880.7</v>
      </c>
      <c r="J1512" s="8">
        <v>45416</v>
      </c>
      <c r="K1512" s="6">
        <v>36</v>
      </c>
      <c r="L1512" s="6" t="s">
        <v>41</v>
      </c>
      <c r="M1512" s="6" t="b">
        <v>0</v>
      </c>
      <c r="N1512" s="6">
        <v>13.43</v>
      </c>
      <c r="O1512" s="6" t="s">
        <v>24</v>
      </c>
      <c r="P1512" s="6" t="b">
        <v>1</v>
      </c>
      <c r="Q1512" s="9" t="s">
        <v>36</v>
      </c>
    </row>
    <row r="1513" spans="1:17" x14ac:dyDescent="0.25">
      <c r="A1513" s="5" t="s">
        <v>1563</v>
      </c>
      <c r="B1513" s="6" t="s">
        <v>72</v>
      </c>
      <c r="C1513" s="6" t="s">
        <v>39</v>
      </c>
      <c r="D1513" s="6" t="s">
        <v>52</v>
      </c>
      <c r="E1513" s="6" t="s">
        <v>44</v>
      </c>
      <c r="F1513" s="6" t="s">
        <v>29</v>
      </c>
      <c r="G1513" s="6">
        <v>90</v>
      </c>
      <c r="H1513" s="7">
        <v>1361.68</v>
      </c>
      <c r="I1513" s="7">
        <v>122551.2</v>
      </c>
      <c r="J1513" s="8">
        <v>45329</v>
      </c>
      <c r="K1513" s="6">
        <v>29</v>
      </c>
      <c r="L1513" s="6" t="s">
        <v>41</v>
      </c>
      <c r="M1513" s="6" t="b">
        <v>1</v>
      </c>
      <c r="N1513" s="6">
        <v>4.92</v>
      </c>
      <c r="O1513" s="6" t="s">
        <v>42</v>
      </c>
      <c r="P1513" s="6" t="b">
        <v>0</v>
      </c>
      <c r="Q1513" s="9" t="s">
        <v>25</v>
      </c>
    </row>
    <row r="1514" spans="1:17" x14ac:dyDescent="0.25">
      <c r="A1514" s="5" t="s">
        <v>1564</v>
      </c>
      <c r="B1514" s="6" t="s">
        <v>62</v>
      </c>
      <c r="C1514" s="6" t="s">
        <v>19</v>
      </c>
      <c r="D1514" s="6" t="s">
        <v>47</v>
      </c>
      <c r="E1514" s="6" t="s">
        <v>35</v>
      </c>
      <c r="F1514" s="6" t="s">
        <v>48</v>
      </c>
      <c r="G1514" s="6">
        <v>87</v>
      </c>
      <c r="H1514" s="7">
        <v>543.97</v>
      </c>
      <c r="I1514" s="7">
        <v>47325.39</v>
      </c>
      <c r="J1514" s="8">
        <v>45565</v>
      </c>
      <c r="K1514" s="6">
        <v>41</v>
      </c>
      <c r="L1514" s="6" t="s">
        <v>23</v>
      </c>
      <c r="M1514" s="6" t="b">
        <v>0</v>
      </c>
      <c r="N1514" s="6">
        <v>10.38</v>
      </c>
      <c r="O1514" s="6" t="s">
        <v>24</v>
      </c>
      <c r="P1514" s="6" t="b">
        <v>1</v>
      </c>
      <c r="Q1514" s="9" t="s">
        <v>36</v>
      </c>
    </row>
    <row r="1515" spans="1:17" x14ac:dyDescent="0.25">
      <c r="A1515" s="5" t="s">
        <v>1565</v>
      </c>
      <c r="B1515" s="6" t="s">
        <v>46</v>
      </c>
      <c r="C1515" s="6" t="s">
        <v>33</v>
      </c>
      <c r="D1515" s="6" t="s">
        <v>20</v>
      </c>
      <c r="E1515" s="6" t="s">
        <v>28</v>
      </c>
      <c r="F1515" s="6" t="s">
        <v>48</v>
      </c>
      <c r="G1515" s="6">
        <v>82</v>
      </c>
      <c r="H1515" s="7">
        <v>596.80999999999995</v>
      </c>
      <c r="I1515" s="7">
        <v>48938.42</v>
      </c>
      <c r="J1515" s="8">
        <v>45117</v>
      </c>
      <c r="K1515" s="6">
        <v>22</v>
      </c>
      <c r="L1515" s="6" t="s">
        <v>49</v>
      </c>
      <c r="M1515" s="6" t="b">
        <v>1</v>
      </c>
      <c r="N1515" s="6">
        <v>24.6</v>
      </c>
      <c r="O1515" s="6" t="s">
        <v>30</v>
      </c>
      <c r="P1515" s="6" t="b">
        <v>1</v>
      </c>
      <c r="Q1515" s="9" t="s">
        <v>36</v>
      </c>
    </row>
    <row r="1516" spans="1:17" x14ac:dyDescent="0.25">
      <c r="A1516" s="5" t="s">
        <v>1566</v>
      </c>
      <c r="B1516" s="6" t="s">
        <v>32</v>
      </c>
      <c r="C1516" s="6" t="s">
        <v>19</v>
      </c>
      <c r="D1516" s="6" t="s">
        <v>47</v>
      </c>
      <c r="E1516" s="6" t="s">
        <v>35</v>
      </c>
      <c r="F1516" s="6" t="s">
        <v>22</v>
      </c>
      <c r="G1516" s="6">
        <v>62</v>
      </c>
      <c r="H1516" s="7">
        <v>1364.27</v>
      </c>
      <c r="I1516" s="7">
        <v>84584.74</v>
      </c>
      <c r="J1516" s="8">
        <v>45597</v>
      </c>
      <c r="K1516" s="6">
        <v>41</v>
      </c>
      <c r="L1516" s="6" t="s">
        <v>23</v>
      </c>
      <c r="M1516" s="6" t="b">
        <v>1</v>
      </c>
      <c r="N1516" s="6">
        <v>11.52</v>
      </c>
      <c r="O1516" s="6" t="s">
        <v>24</v>
      </c>
      <c r="P1516" s="6" t="b">
        <v>0</v>
      </c>
      <c r="Q1516" s="9" t="s">
        <v>36</v>
      </c>
    </row>
    <row r="1517" spans="1:17" x14ac:dyDescent="0.25">
      <c r="A1517" s="5" t="s">
        <v>1567</v>
      </c>
      <c r="B1517" s="6" t="s">
        <v>66</v>
      </c>
      <c r="C1517" s="6" t="s">
        <v>33</v>
      </c>
      <c r="D1517" s="6" t="s">
        <v>34</v>
      </c>
      <c r="E1517" s="6" t="s">
        <v>44</v>
      </c>
      <c r="F1517" s="6" t="s">
        <v>40</v>
      </c>
      <c r="G1517" s="6">
        <v>31</v>
      </c>
      <c r="H1517" s="7">
        <v>818.67</v>
      </c>
      <c r="I1517" s="7">
        <v>25378.77</v>
      </c>
      <c r="J1517" s="8">
        <v>45261</v>
      </c>
      <c r="K1517" s="6">
        <v>44</v>
      </c>
      <c r="L1517" s="6" t="s">
        <v>49</v>
      </c>
      <c r="M1517" s="6" t="b">
        <v>1</v>
      </c>
      <c r="N1517" s="6">
        <v>18.3</v>
      </c>
      <c r="O1517" s="6" t="s">
        <v>56</v>
      </c>
      <c r="P1517" s="6" t="b">
        <v>0</v>
      </c>
      <c r="Q1517" s="9" t="s">
        <v>25</v>
      </c>
    </row>
    <row r="1518" spans="1:17" x14ac:dyDescent="0.25">
      <c r="A1518" s="5" t="s">
        <v>1568</v>
      </c>
      <c r="B1518" s="6" t="s">
        <v>66</v>
      </c>
      <c r="C1518" s="6" t="s">
        <v>33</v>
      </c>
      <c r="D1518" s="6" t="s">
        <v>47</v>
      </c>
      <c r="E1518" s="6" t="s">
        <v>44</v>
      </c>
      <c r="F1518" s="6" t="s">
        <v>29</v>
      </c>
      <c r="G1518" s="6">
        <v>42</v>
      </c>
      <c r="H1518" s="7">
        <v>249.76</v>
      </c>
      <c r="I1518" s="7">
        <v>10489.92</v>
      </c>
      <c r="J1518" s="8">
        <v>45448</v>
      </c>
      <c r="K1518" s="6">
        <v>65</v>
      </c>
      <c r="L1518" s="6" t="s">
        <v>23</v>
      </c>
      <c r="M1518" s="6" t="b">
        <v>1</v>
      </c>
      <c r="N1518" s="6">
        <v>15.06</v>
      </c>
      <c r="O1518" s="6" t="s">
        <v>24</v>
      </c>
      <c r="P1518" s="6" t="b">
        <v>1</v>
      </c>
      <c r="Q1518" s="9" t="s">
        <v>25</v>
      </c>
    </row>
    <row r="1519" spans="1:17" x14ac:dyDescent="0.25">
      <c r="A1519" s="5" t="s">
        <v>1569</v>
      </c>
      <c r="B1519" s="6" t="s">
        <v>27</v>
      </c>
      <c r="C1519" s="6" t="s">
        <v>33</v>
      </c>
      <c r="D1519" s="6" t="s">
        <v>52</v>
      </c>
      <c r="E1519" s="6" t="s">
        <v>28</v>
      </c>
      <c r="F1519" s="6" t="s">
        <v>29</v>
      </c>
      <c r="G1519" s="6">
        <v>12</v>
      </c>
      <c r="H1519" s="7">
        <v>585.13</v>
      </c>
      <c r="I1519" s="7">
        <v>7021.56</v>
      </c>
      <c r="J1519" s="8">
        <v>45545</v>
      </c>
      <c r="K1519" s="6">
        <v>47</v>
      </c>
      <c r="L1519" s="6" t="s">
        <v>23</v>
      </c>
      <c r="M1519" s="6" t="b">
        <v>0</v>
      </c>
      <c r="N1519" s="6">
        <v>21.56</v>
      </c>
      <c r="O1519" s="6" t="s">
        <v>24</v>
      </c>
      <c r="P1519" s="6" t="b">
        <v>1</v>
      </c>
      <c r="Q1519" s="9" t="s">
        <v>36</v>
      </c>
    </row>
    <row r="1520" spans="1:17" x14ac:dyDescent="0.25">
      <c r="A1520" s="5" t="s">
        <v>1570</v>
      </c>
      <c r="B1520" s="6" t="s">
        <v>51</v>
      </c>
      <c r="C1520" s="6" t="s">
        <v>39</v>
      </c>
      <c r="D1520" s="6" t="s">
        <v>47</v>
      </c>
      <c r="E1520" s="6" t="s">
        <v>21</v>
      </c>
      <c r="F1520" s="6" t="s">
        <v>29</v>
      </c>
      <c r="G1520" s="6">
        <v>65</v>
      </c>
      <c r="H1520" s="7">
        <v>1097.04</v>
      </c>
      <c r="I1520" s="7">
        <v>71307.600000000006</v>
      </c>
      <c r="J1520" s="8">
        <v>45013</v>
      </c>
      <c r="K1520" s="6">
        <v>32</v>
      </c>
      <c r="L1520" s="6" t="s">
        <v>41</v>
      </c>
      <c r="M1520" s="6" t="b">
        <v>0</v>
      </c>
      <c r="N1520" s="6">
        <v>4.68</v>
      </c>
      <c r="O1520" s="6" t="s">
        <v>56</v>
      </c>
      <c r="P1520" s="6" t="b">
        <v>1</v>
      </c>
      <c r="Q1520" s="9" t="s">
        <v>36</v>
      </c>
    </row>
    <row r="1521" spans="1:17" x14ac:dyDescent="0.25">
      <c r="A1521" s="5" t="s">
        <v>1571</v>
      </c>
      <c r="B1521" s="6" t="s">
        <v>27</v>
      </c>
      <c r="C1521" s="6" t="s">
        <v>33</v>
      </c>
      <c r="D1521" s="6" t="s">
        <v>34</v>
      </c>
      <c r="E1521" s="6" t="s">
        <v>44</v>
      </c>
      <c r="F1521" s="6" t="s">
        <v>22</v>
      </c>
      <c r="G1521" s="6">
        <v>73</v>
      </c>
      <c r="H1521" s="7">
        <v>302.57</v>
      </c>
      <c r="I1521" s="7">
        <v>22087.61</v>
      </c>
      <c r="J1521" s="8">
        <v>45505</v>
      </c>
      <c r="K1521" s="6">
        <v>64</v>
      </c>
      <c r="L1521" s="6" t="s">
        <v>49</v>
      </c>
      <c r="M1521" s="6" t="b">
        <v>1</v>
      </c>
      <c r="N1521" s="6">
        <v>27.61</v>
      </c>
      <c r="O1521" s="6" t="s">
        <v>30</v>
      </c>
      <c r="P1521" s="6" t="b">
        <v>1</v>
      </c>
      <c r="Q1521" s="9" t="s">
        <v>25</v>
      </c>
    </row>
    <row r="1522" spans="1:17" x14ac:dyDescent="0.25">
      <c r="A1522" s="5" t="s">
        <v>1572</v>
      </c>
      <c r="B1522" s="6" t="s">
        <v>18</v>
      </c>
      <c r="C1522" s="6" t="s">
        <v>33</v>
      </c>
      <c r="D1522" s="6" t="s">
        <v>34</v>
      </c>
      <c r="E1522" s="6" t="s">
        <v>44</v>
      </c>
      <c r="F1522" s="6" t="s">
        <v>29</v>
      </c>
      <c r="G1522" s="6">
        <v>3</v>
      </c>
      <c r="H1522" s="7">
        <v>905.84</v>
      </c>
      <c r="I1522" s="7">
        <v>2717.52</v>
      </c>
      <c r="J1522" s="8">
        <v>44988</v>
      </c>
      <c r="K1522" s="6">
        <v>55</v>
      </c>
      <c r="L1522" s="6" t="s">
        <v>49</v>
      </c>
      <c r="M1522" s="6" t="b">
        <v>0</v>
      </c>
      <c r="N1522" s="6">
        <v>19.309999999999999</v>
      </c>
      <c r="O1522" s="6" t="s">
        <v>24</v>
      </c>
      <c r="P1522" s="6" t="b">
        <v>0</v>
      </c>
      <c r="Q1522" s="9" t="s">
        <v>36</v>
      </c>
    </row>
    <row r="1523" spans="1:17" x14ac:dyDescent="0.25">
      <c r="A1523" s="5" t="s">
        <v>1573</v>
      </c>
      <c r="B1523" s="6" t="s">
        <v>72</v>
      </c>
      <c r="C1523" s="6" t="s">
        <v>39</v>
      </c>
      <c r="D1523" s="6" t="s">
        <v>34</v>
      </c>
      <c r="E1523" s="6" t="s">
        <v>44</v>
      </c>
      <c r="F1523" s="6" t="s">
        <v>40</v>
      </c>
      <c r="G1523" s="6">
        <v>90</v>
      </c>
      <c r="H1523" s="7">
        <v>1058.1500000000001</v>
      </c>
      <c r="I1523" s="7">
        <v>95233.5</v>
      </c>
      <c r="J1523" s="8">
        <v>45313</v>
      </c>
      <c r="K1523" s="6">
        <v>61</v>
      </c>
      <c r="L1523" s="6" t="s">
        <v>49</v>
      </c>
      <c r="M1523" s="6" t="b">
        <v>1</v>
      </c>
      <c r="N1523" s="6">
        <v>8.1300000000000008</v>
      </c>
      <c r="O1523" s="6" t="s">
        <v>30</v>
      </c>
      <c r="P1523" s="6" t="b">
        <v>0</v>
      </c>
      <c r="Q1523" s="9" t="s">
        <v>36</v>
      </c>
    </row>
    <row r="1524" spans="1:17" x14ac:dyDescent="0.25">
      <c r="A1524" s="5" t="s">
        <v>1574</v>
      </c>
      <c r="B1524" s="6" t="s">
        <v>62</v>
      </c>
      <c r="C1524" s="6" t="s">
        <v>39</v>
      </c>
      <c r="D1524" s="6" t="s">
        <v>52</v>
      </c>
      <c r="E1524" s="6" t="s">
        <v>28</v>
      </c>
      <c r="F1524" s="6" t="s">
        <v>48</v>
      </c>
      <c r="G1524" s="6">
        <v>9</v>
      </c>
      <c r="H1524" s="7">
        <v>548.59</v>
      </c>
      <c r="I1524" s="7">
        <v>4937.3100000000004</v>
      </c>
      <c r="J1524" s="8">
        <v>45072</v>
      </c>
      <c r="K1524" s="6">
        <v>51</v>
      </c>
      <c r="L1524" s="6" t="s">
        <v>49</v>
      </c>
      <c r="M1524" s="6" t="b">
        <v>1</v>
      </c>
      <c r="N1524" s="6">
        <v>3.7</v>
      </c>
      <c r="O1524" s="6" t="s">
        <v>42</v>
      </c>
      <c r="P1524" s="6" t="b">
        <v>1</v>
      </c>
      <c r="Q1524" s="9" t="s">
        <v>25</v>
      </c>
    </row>
    <row r="1525" spans="1:17" x14ac:dyDescent="0.25">
      <c r="A1525" s="5" t="s">
        <v>1575</v>
      </c>
      <c r="B1525" s="6" t="s">
        <v>51</v>
      </c>
      <c r="C1525" s="6" t="s">
        <v>33</v>
      </c>
      <c r="D1525" s="6" t="s">
        <v>34</v>
      </c>
      <c r="E1525" s="6" t="s">
        <v>35</v>
      </c>
      <c r="F1525" s="6" t="s">
        <v>22</v>
      </c>
      <c r="G1525" s="6">
        <v>51</v>
      </c>
      <c r="H1525" s="7">
        <v>1056.1300000000001</v>
      </c>
      <c r="I1525" s="7">
        <v>53862.63</v>
      </c>
      <c r="J1525" s="8">
        <v>45079</v>
      </c>
      <c r="K1525" s="6">
        <v>44</v>
      </c>
      <c r="L1525" s="6" t="s">
        <v>49</v>
      </c>
      <c r="M1525" s="6" t="b">
        <v>0</v>
      </c>
      <c r="N1525" s="6">
        <v>4.49</v>
      </c>
      <c r="O1525" s="6" t="s">
        <v>42</v>
      </c>
      <c r="P1525" s="6" t="b">
        <v>0</v>
      </c>
      <c r="Q1525" s="9" t="s">
        <v>36</v>
      </c>
    </row>
    <row r="1526" spans="1:17" x14ac:dyDescent="0.25">
      <c r="A1526" s="5" t="s">
        <v>1576</v>
      </c>
      <c r="B1526" s="6" t="s">
        <v>46</v>
      </c>
      <c r="C1526" s="6" t="s">
        <v>39</v>
      </c>
      <c r="D1526" s="6" t="s">
        <v>20</v>
      </c>
      <c r="E1526" s="6" t="s">
        <v>44</v>
      </c>
      <c r="F1526" s="6" t="s">
        <v>48</v>
      </c>
      <c r="G1526" s="6">
        <v>16</v>
      </c>
      <c r="H1526" s="7">
        <v>1332.1</v>
      </c>
      <c r="I1526" s="7">
        <v>21313.599999999999</v>
      </c>
      <c r="J1526" s="8">
        <v>45545</v>
      </c>
      <c r="K1526" s="6">
        <v>37</v>
      </c>
      <c r="L1526" s="6" t="s">
        <v>41</v>
      </c>
      <c r="M1526" s="6" t="b">
        <v>0</v>
      </c>
      <c r="N1526" s="6">
        <v>23.48</v>
      </c>
      <c r="O1526" s="6" t="s">
        <v>56</v>
      </c>
      <c r="P1526" s="6" t="b">
        <v>1</v>
      </c>
      <c r="Q1526" s="9" t="s">
        <v>36</v>
      </c>
    </row>
    <row r="1527" spans="1:17" x14ac:dyDescent="0.25">
      <c r="A1527" s="5" t="s">
        <v>1577</v>
      </c>
      <c r="B1527" s="6" t="s">
        <v>18</v>
      </c>
      <c r="C1527" s="6" t="s">
        <v>19</v>
      </c>
      <c r="D1527" s="6" t="s">
        <v>34</v>
      </c>
      <c r="E1527" s="6" t="s">
        <v>28</v>
      </c>
      <c r="F1527" s="6" t="s">
        <v>29</v>
      </c>
      <c r="G1527" s="6">
        <v>88</v>
      </c>
      <c r="H1527" s="7">
        <v>734.57</v>
      </c>
      <c r="I1527" s="7">
        <v>64642.16</v>
      </c>
      <c r="J1527" s="8">
        <v>45586</v>
      </c>
      <c r="K1527" s="6">
        <v>58</v>
      </c>
      <c r="L1527" s="6" t="s">
        <v>23</v>
      </c>
      <c r="M1527" s="6" t="b">
        <v>0</v>
      </c>
      <c r="N1527" s="6">
        <v>17.64</v>
      </c>
      <c r="O1527" s="6" t="s">
        <v>30</v>
      </c>
      <c r="P1527" s="6" t="b">
        <v>0</v>
      </c>
      <c r="Q1527" s="9" t="s">
        <v>25</v>
      </c>
    </row>
    <row r="1528" spans="1:17" x14ac:dyDescent="0.25">
      <c r="A1528" s="5" t="s">
        <v>1578</v>
      </c>
      <c r="B1528" s="6" t="s">
        <v>46</v>
      </c>
      <c r="C1528" s="6" t="s">
        <v>19</v>
      </c>
      <c r="D1528" s="6" t="s">
        <v>47</v>
      </c>
      <c r="E1528" s="6" t="s">
        <v>44</v>
      </c>
      <c r="F1528" s="6" t="s">
        <v>29</v>
      </c>
      <c r="G1528" s="6">
        <v>78</v>
      </c>
      <c r="H1528" s="7">
        <v>605.22</v>
      </c>
      <c r="I1528" s="7">
        <v>47207.16</v>
      </c>
      <c r="J1528" s="8">
        <v>45275</v>
      </c>
      <c r="K1528" s="6">
        <v>49</v>
      </c>
      <c r="L1528" s="6" t="s">
        <v>49</v>
      </c>
      <c r="M1528" s="6" t="b">
        <v>0</v>
      </c>
      <c r="N1528" s="6">
        <v>11.42</v>
      </c>
      <c r="O1528" s="6" t="s">
        <v>56</v>
      </c>
      <c r="P1528" s="6" t="b">
        <v>1</v>
      </c>
      <c r="Q1528" s="9" t="s">
        <v>25</v>
      </c>
    </row>
    <row r="1529" spans="1:17" x14ac:dyDescent="0.25">
      <c r="A1529" s="5" t="s">
        <v>1579</v>
      </c>
      <c r="B1529" s="6" t="s">
        <v>66</v>
      </c>
      <c r="C1529" s="6" t="s">
        <v>39</v>
      </c>
      <c r="D1529" s="6" t="s">
        <v>47</v>
      </c>
      <c r="E1529" s="6" t="s">
        <v>21</v>
      </c>
      <c r="F1529" s="6" t="s">
        <v>29</v>
      </c>
      <c r="G1529" s="6">
        <v>3</v>
      </c>
      <c r="H1529" s="7">
        <v>414.18</v>
      </c>
      <c r="I1529" s="7">
        <v>1242.54</v>
      </c>
      <c r="J1529" s="8">
        <v>45104</v>
      </c>
      <c r="K1529" s="6">
        <v>21</v>
      </c>
      <c r="L1529" s="6" t="s">
        <v>49</v>
      </c>
      <c r="M1529" s="6" t="b">
        <v>0</v>
      </c>
      <c r="N1529" s="6">
        <v>9.99</v>
      </c>
      <c r="O1529" s="6" t="s">
        <v>56</v>
      </c>
      <c r="P1529" s="6" t="b">
        <v>1</v>
      </c>
      <c r="Q1529" s="9" t="s">
        <v>25</v>
      </c>
    </row>
    <row r="1530" spans="1:17" x14ac:dyDescent="0.25">
      <c r="A1530" s="5" t="s">
        <v>1580</v>
      </c>
      <c r="B1530" s="6" t="s">
        <v>66</v>
      </c>
      <c r="C1530" s="6" t="s">
        <v>39</v>
      </c>
      <c r="D1530" s="6" t="s">
        <v>47</v>
      </c>
      <c r="E1530" s="6" t="s">
        <v>28</v>
      </c>
      <c r="F1530" s="6" t="s">
        <v>40</v>
      </c>
      <c r="G1530" s="6">
        <v>98</v>
      </c>
      <c r="H1530" s="7">
        <v>926.1</v>
      </c>
      <c r="I1530" s="7">
        <v>90757.8</v>
      </c>
      <c r="J1530" s="8">
        <v>45413</v>
      </c>
      <c r="K1530" s="6">
        <v>22</v>
      </c>
      <c r="L1530" s="6" t="s">
        <v>23</v>
      </c>
      <c r="M1530" s="6" t="b">
        <v>0</v>
      </c>
      <c r="N1530" s="6">
        <v>25.67</v>
      </c>
      <c r="O1530" s="6" t="s">
        <v>24</v>
      </c>
      <c r="P1530" s="6" t="b">
        <v>0</v>
      </c>
      <c r="Q1530" s="9" t="s">
        <v>25</v>
      </c>
    </row>
    <row r="1531" spans="1:17" x14ac:dyDescent="0.25">
      <c r="A1531" s="5" t="s">
        <v>1581</v>
      </c>
      <c r="B1531" s="6" t="s">
        <v>27</v>
      </c>
      <c r="C1531" s="6" t="s">
        <v>33</v>
      </c>
      <c r="D1531" s="6" t="s">
        <v>52</v>
      </c>
      <c r="E1531" s="6" t="s">
        <v>44</v>
      </c>
      <c r="F1531" s="6" t="s">
        <v>40</v>
      </c>
      <c r="G1531" s="6">
        <v>97</v>
      </c>
      <c r="H1531" s="7">
        <v>1325.79</v>
      </c>
      <c r="I1531" s="7">
        <v>128601.63</v>
      </c>
      <c r="J1531" s="8">
        <v>45587</v>
      </c>
      <c r="K1531" s="6">
        <v>25</v>
      </c>
      <c r="L1531" s="6" t="s">
        <v>41</v>
      </c>
      <c r="M1531" s="6" t="b">
        <v>0</v>
      </c>
      <c r="N1531" s="6">
        <v>26.24</v>
      </c>
      <c r="O1531" s="6" t="s">
        <v>42</v>
      </c>
      <c r="P1531" s="6" t="b">
        <v>0</v>
      </c>
      <c r="Q1531" s="9" t="s">
        <v>36</v>
      </c>
    </row>
    <row r="1532" spans="1:17" x14ac:dyDescent="0.25">
      <c r="A1532" s="5" t="s">
        <v>1582</v>
      </c>
      <c r="B1532" s="6" t="s">
        <v>72</v>
      </c>
      <c r="C1532" s="6" t="s">
        <v>39</v>
      </c>
      <c r="D1532" s="6" t="s">
        <v>47</v>
      </c>
      <c r="E1532" s="6" t="s">
        <v>28</v>
      </c>
      <c r="F1532" s="6" t="s">
        <v>22</v>
      </c>
      <c r="G1532" s="6">
        <v>24</v>
      </c>
      <c r="H1532" s="7">
        <v>520.76</v>
      </c>
      <c r="I1532" s="7">
        <v>12498.24</v>
      </c>
      <c r="J1532" s="8">
        <v>45173</v>
      </c>
      <c r="K1532" s="6">
        <v>39</v>
      </c>
      <c r="L1532" s="6" t="s">
        <v>41</v>
      </c>
      <c r="M1532" s="6" t="b">
        <v>1</v>
      </c>
      <c r="N1532" s="6">
        <v>17.440000000000001</v>
      </c>
      <c r="O1532" s="6" t="s">
        <v>56</v>
      </c>
      <c r="P1532" s="6" t="b">
        <v>0</v>
      </c>
      <c r="Q1532" s="9" t="s">
        <v>25</v>
      </c>
    </row>
    <row r="1533" spans="1:17" x14ac:dyDescent="0.25">
      <c r="A1533" s="5" t="s">
        <v>1583</v>
      </c>
      <c r="B1533" s="6" t="s">
        <v>51</v>
      </c>
      <c r="C1533" s="6" t="s">
        <v>33</v>
      </c>
      <c r="D1533" s="6" t="s">
        <v>52</v>
      </c>
      <c r="E1533" s="6" t="s">
        <v>44</v>
      </c>
      <c r="F1533" s="6" t="s">
        <v>48</v>
      </c>
      <c r="G1533" s="6">
        <v>73</v>
      </c>
      <c r="H1533" s="7">
        <v>624.54</v>
      </c>
      <c r="I1533" s="7">
        <v>45591.42</v>
      </c>
      <c r="J1533" s="8">
        <v>45180</v>
      </c>
      <c r="K1533" s="6">
        <v>59</v>
      </c>
      <c r="L1533" s="6" t="s">
        <v>41</v>
      </c>
      <c r="M1533" s="6" t="b">
        <v>0</v>
      </c>
      <c r="N1533" s="6">
        <v>15.74</v>
      </c>
      <c r="O1533" s="6" t="s">
        <v>24</v>
      </c>
      <c r="P1533" s="6" t="b">
        <v>0</v>
      </c>
      <c r="Q1533" s="9" t="s">
        <v>25</v>
      </c>
    </row>
    <row r="1534" spans="1:17" x14ac:dyDescent="0.25">
      <c r="A1534" s="5" t="s">
        <v>1584</v>
      </c>
      <c r="B1534" s="6" t="s">
        <v>76</v>
      </c>
      <c r="C1534" s="6" t="s">
        <v>19</v>
      </c>
      <c r="D1534" s="6" t="s">
        <v>52</v>
      </c>
      <c r="E1534" s="6" t="s">
        <v>35</v>
      </c>
      <c r="F1534" s="6" t="s">
        <v>29</v>
      </c>
      <c r="G1534" s="6">
        <v>13</v>
      </c>
      <c r="H1534" s="7">
        <v>639.61</v>
      </c>
      <c r="I1534" s="7">
        <v>8314.93</v>
      </c>
      <c r="J1534" s="8">
        <v>45426</v>
      </c>
      <c r="K1534" s="6">
        <v>24</v>
      </c>
      <c r="L1534" s="6" t="s">
        <v>23</v>
      </c>
      <c r="M1534" s="6" t="b">
        <v>1</v>
      </c>
      <c r="N1534" s="6">
        <v>24.49</v>
      </c>
      <c r="O1534" s="6" t="s">
        <v>24</v>
      </c>
      <c r="P1534" s="6" t="b">
        <v>0</v>
      </c>
      <c r="Q1534" s="9" t="s">
        <v>36</v>
      </c>
    </row>
    <row r="1535" spans="1:17" x14ac:dyDescent="0.25">
      <c r="A1535" s="5" t="s">
        <v>1585</v>
      </c>
      <c r="B1535" s="6" t="s">
        <v>18</v>
      </c>
      <c r="C1535" s="6" t="s">
        <v>39</v>
      </c>
      <c r="D1535" s="6" t="s">
        <v>34</v>
      </c>
      <c r="E1535" s="6" t="s">
        <v>44</v>
      </c>
      <c r="F1535" s="6" t="s">
        <v>29</v>
      </c>
      <c r="G1535" s="6">
        <v>2</v>
      </c>
      <c r="H1535" s="7">
        <v>863.18</v>
      </c>
      <c r="I1535" s="7">
        <v>1726.36</v>
      </c>
      <c r="J1535" s="8">
        <v>45467</v>
      </c>
      <c r="K1535" s="6">
        <v>39</v>
      </c>
      <c r="L1535" s="6" t="s">
        <v>23</v>
      </c>
      <c r="M1535" s="6" t="b">
        <v>0</v>
      </c>
      <c r="N1535" s="6">
        <v>22.48</v>
      </c>
      <c r="O1535" s="6" t="s">
        <v>30</v>
      </c>
      <c r="P1535" s="6" t="b">
        <v>1</v>
      </c>
      <c r="Q1535" s="9" t="s">
        <v>25</v>
      </c>
    </row>
    <row r="1536" spans="1:17" x14ac:dyDescent="0.25">
      <c r="A1536" s="5" t="s">
        <v>1586</v>
      </c>
      <c r="B1536" s="6" t="s">
        <v>18</v>
      </c>
      <c r="C1536" s="6" t="s">
        <v>33</v>
      </c>
      <c r="D1536" s="6" t="s">
        <v>20</v>
      </c>
      <c r="E1536" s="6" t="s">
        <v>28</v>
      </c>
      <c r="F1536" s="6" t="s">
        <v>29</v>
      </c>
      <c r="G1536" s="6">
        <v>71</v>
      </c>
      <c r="H1536" s="7">
        <v>381.19</v>
      </c>
      <c r="I1536" s="7">
        <v>27064.49</v>
      </c>
      <c r="J1536" s="8">
        <v>45278</v>
      </c>
      <c r="K1536" s="6">
        <v>63</v>
      </c>
      <c r="L1536" s="6" t="s">
        <v>41</v>
      </c>
      <c r="M1536" s="6" t="b">
        <v>0</v>
      </c>
      <c r="N1536" s="6">
        <v>12.01</v>
      </c>
      <c r="O1536" s="6" t="s">
        <v>42</v>
      </c>
      <c r="P1536" s="6" t="b">
        <v>1</v>
      </c>
      <c r="Q1536" s="9" t="s">
        <v>25</v>
      </c>
    </row>
    <row r="1537" spans="1:17" x14ac:dyDescent="0.25">
      <c r="A1537" s="5" t="s">
        <v>1587</v>
      </c>
      <c r="B1537" s="6" t="s">
        <v>27</v>
      </c>
      <c r="C1537" s="6" t="s">
        <v>33</v>
      </c>
      <c r="D1537" s="6" t="s">
        <v>34</v>
      </c>
      <c r="E1537" s="6" t="s">
        <v>21</v>
      </c>
      <c r="F1537" s="6" t="s">
        <v>29</v>
      </c>
      <c r="G1537" s="6">
        <v>21</v>
      </c>
      <c r="H1537" s="7">
        <v>1242.21</v>
      </c>
      <c r="I1537" s="7">
        <v>26086.41</v>
      </c>
      <c r="J1537" s="8">
        <v>45438</v>
      </c>
      <c r="K1537" s="6">
        <v>47</v>
      </c>
      <c r="L1537" s="6" t="s">
        <v>41</v>
      </c>
      <c r="M1537" s="6" t="b">
        <v>1</v>
      </c>
      <c r="N1537" s="6">
        <v>2.48</v>
      </c>
      <c r="O1537" s="6" t="s">
        <v>30</v>
      </c>
      <c r="P1537" s="6" t="b">
        <v>0</v>
      </c>
      <c r="Q1537" s="9" t="s">
        <v>36</v>
      </c>
    </row>
    <row r="1538" spans="1:17" x14ac:dyDescent="0.25">
      <c r="A1538" s="5" t="s">
        <v>1588</v>
      </c>
      <c r="B1538" s="6" t="s">
        <v>66</v>
      </c>
      <c r="C1538" s="6" t="s">
        <v>19</v>
      </c>
      <c r="D1538" s="6" t="s">
        <v>34</v>
      </c>
      <c r="E1538" s="6" t="s">
        <v>21</v>
      </c>
      <c r="F1538" s="6" t="s">
        <v>40</v>
      </c>
      <c r="G1538" s="6">
        <v>19</v>
      </c>
      <c r="H1538" s="7">
        <v>478.62</v>
      </c>
      <c r="I1538" s="7">
        <v>9093.7800000000007</v>
      </c>
      <c r="J1538" s="8">
        <v>44939</v>
      </c>
      <c r="K1538" s="6">
        <v>54</v>
      </c>
      <c r="L1538" s="6" t="s">
        <v>23</v>
      </c>
      <c r="M1538" s="6" t="b">
        <v>1</v>
      </c>
      <c r="N1538" s="6">
        <v>23.06</v>
      </c>
      <c r="O1538" s="6" t="s">
        <v>30</v>
      </c>
      <c r="P1538" s="6" t="b">
        <v>1</v>
      </c>
      <c r="Q1538" s="9" t="s">
        <v>25</v>
      </c>
    </row>
    <row r="1539" spans="1:17" x14ac:dyDescent="0.25">
      <c r="A1539" s="5" t="s">
        <v>1589</v>
      </c>
      <c r="B1539" s="6" t="s">
        <v>27</v>
      </c>
      <c r="C1539" s="6" t="s">
        <v>39</v>
      </c>
      <c r="D1539" s="6" t="s">
        <v>52</v>
      </c>
      <c r="E1539" s="6" t="s">
        <v>21</v>
      </c>
      <c r="F1539" s="6" t="s">
        <v>48</v>
      </c>
      <c r="G1539" s="6">
        <v>89</v>
      </c>
      <c r="H1539" s="7">
        <v>1072.78</v>
      </c>
      <c r="I1539" s="7">
        <v>95477.42</v>
      </c>
      <c r="J1539" s="8">
        <v>45485</v>
      </c>
      <c r="K1539" s="6">
        <v>33</v>
      </c>
      <c r="L1539" s="6" t="s">
        <v>41</v>
      </c>
      <c r="M1539" s="6" t="b">
        <v>1</v>
      </c>
      <c r="N1539" s="6">
        <v>5.0599999999999996</v>
      </c>
      <c r="O1539" s="6" t="s">
        <v>56</v>
      </c>
      <c r="P1539" s="6" t="b">
        <v>1</v>
      </c>
      <c r="Q1539" s="9" t="s">
        <v>25</v>
      </c>
    </row>
    <row r="1540" spans="1:17" x14ac:dyDescent="0.25">
      <c r="A1540" s="5" t="s">
        <v>1590</v>
      </c>
      <c r="B1540" s="6" t="s">
        <v>62</v>
      </c>
      <c r="C1540" s="6" t="s">
        <v>19</v>
      </c>
      <c r="D1540" s="6" t="s">
        <v>52</v>
      </c>
      <c r="E1540" s="6" t="s">
        <v>44</v>
      </c>
      <c r="F1540" s="6" t="s">
        <v>48</v>
      </c>
      <c r="G1540" s="6">
        <v>47</v>
      </c>
      <c r="H1540" s="7">
        <v>794.16</v>
      </c>
      <c r="I1540" s="7">
        <v>37325.519999999997</v>
      </c>
      <c r="J1540" s="8">
        <v>45077</v>
      </c>
      <c r="K1540" s="6">
        <v>32</v>
      </c>
      <c r="L1540" s="6" t="s">
        <v>49</v>
      </c>
      <c r="M1540" s="6" t="b">
        <v>1</v>
      </c>
      <c r="N1540" s="6">
        <v>0.49</v>
      </c>
      <c r="O1540" s="6" t="s">
        <v>30</v>
      </c>
      <c r="P1540" s="6" t="b">
        <v>1</v>
      </c>
      <c r="Q1540" s="9" t="s">
        <v>36</v>
      </c>
    </row>
    <row r="1541" spans="1:17" x14ac:dyDescent="0.25">
      <c r="A1541" s="5" t="s">
        <v>1591</v>
      </c>
      <c r="B1541" s="6" t="s">
        <v>51</v>
      </c>
      <c r="C1541" s="6" t="s">
        <v>33</v>
      </c>
      <c r="D1541" s="6" t="s">
        <v>47</v>
      </c>
      <c r="E1541" s="6" t="s">
        <v>35</v>
      </c>
      <c r="F1541" s="6" t="s">
        <v>22</v>
      </c>
      <c r="G1541" s="6">
        <v>22</v>
      </c>
      <c r="H1541" s="7">
        <v>899.55</v>
      </c>
      <c r="I1541" s="7">
        <v>19790.099999999999</v>
      </c>
      <c r="J1541" s="8">
        <v>44976</v>
      </c>
      <c r="K1541" s="6">
        <v>22</v>
      </c>
      <c r="L1541" s="6" t="s">
        <v>23</v>
      </c>
      <c r="M1541" s="6" t="b">
        <v>0</v>
      </c>
      <c r="N1541" s="6">
        <v>25.3</v>
      </c>
      <c r="O1541" s="6" t="s">
        <v>56</v>
      </c>
      <c r="P1541" s="6" t="b">
        <v>1</v>
      </c>
      <c r="Q1541" s="9" t="s">
        <v>25</v>
      </c>
    </row>
    <row r="1542" spans="1:17" x14ac:dyDescent="0.25">
      <c r="A1542" s="5" t="s">
        <v>1592</v>
      </c>
      <c r="B1542" s="6" t="s">
        <v>72</v>
      </c>
      <c r="C1542" s="6" t="s">
        <v>33</v>
      </c>
      <c r="D1542" s="6" t="s">
        <v>47</v>
      </c>
      <c r="E1542" s="6" t="s">
        <v>44</v>
      </c>
      <c r="F1542" s="6" t="s">
        <v>40</v>
      </c>
      <c r="G1542" s="6">
        <v>75</v>
      </c>
      <c r="H1542" s="7">
        <v>310.43</v>
      </c>
      <c r="I1542" s="7">
        <v>23282.25</v>
      </c>
      <c r="J1542" s="8">
        <v>45141</v>
      </c>
      <c r="K1542" s="6">
        <v>20</v>
      </c>
      <c r="L1542" s="6" t="s">
        <v>41</v>
      </c>
      <c r="M1542" s="6" t="b">
        <v>0</v>
      </c>
      <c r="N1542" s="6">
        <v>17.350000000000001</v>
      </c>
      <c r="O1542" s="6" t="s">
        <v>30</v>
      </c>
      <c r="P1542" s="6" t="b">
        <v>0</v>
      </c>
      <c r="Q1542" s="9" t="s">
        <v>25</v>
      </c>
    </row>
    <row r="1543" spans="1:17" x14ac:dyDescent="0.25">
      <c r="A1543" s="5" t="s">
        <v>1593</v>
      </c>
      <c r="B1543" s="6" t="s">
        <v>32</v>
      </c>
      <c r="C1543" s="6" t="s">
        <v>39</v>
      </c>
      <c r="D1543" s="6" t="s">
        <v>34</v>
      </c>
      <c r="E1543" s="6" t="s">
        <v>21</v>
      </c>
      <c r="F1543" s="6" t="s">
        <v>29</v>
      </c>
      <c r="G1543" s="6">
        <v>33</v>
      </c>
      <c r="H1543" s="7">
        <v>1115.78</v>
      </c>
      <c r="I1543" s="7">
        <v>36820.74</v>
      </c>
      <c r="J1543" s="8">
        <v>45570</v>
      </c>
      <c r="K1543" s="6">
        <v>40</v>
      </c>
      <c r="L1543" s="6" t="s">
        <v>49</v>
      </c>
      <c r="M1543" s="6" t="b">
        <v>1</v>
      </c>
      <c r="N1543" s="6">
        <v>26.75</v>
      </c>
      <c r="O1543" s="6" t="s">
        <v>24</v>
      </c>
      <c r="P1543" s="6" t="b">
        <v>1</v>
      </c>
      <c r="Q1543" s="9" t="s">
        <v>36</v>
      </c>
    </row>
    <row r="1544" spans="1:17" x14ac:dyDescent="0.25">
      <c r="A1544" s="5" t="s">
        <v>1594</v>
      </c>
      <c r="B1544" s="6" t="s">
        <v>38</v>
      </c>
      <c r="C1544" s="6" t="s">
        <v>33</v>
      </c>
      <c r="D1544" s="6" t="s">
        <v>64</v>
      </c>
      <c r="E1544" s="6" t="s">
        <v>28</v>
      </c>
      <c r="F1544" s="6" t="s">
        <v>48</v>
      </c>
      <c r="G1544" s="6">
        <v>32</v>
      </c>
      <c r="H1544" s="7">
        <v>323.5</v>
      </c>
      <c r="I1544" s="7">
        <v>10352</v>
      </c>
      <c r="J1544" s="8">
        <v>45298</v>
      </c>
      <c r="K1544" s="6">
        <v>27</v>
      </c>
      <c r="L1544" s="6" t="s">
        <v>23</v>
      </c>
      <c r="M1544" s="6" t="b">
        <v>1</v>
      </c>
      <c r="N1544" s="6">
        <v>14.54</v>
      </c>
      <c r="O1544" s="6" t="s">
        <v>42</v>
      </c>
      <c r="P1544" s="6" t="b">
        <v>1</v>
      </c>
      <c r="Q1544" s="9" t="s">
        <v>36</v>
      </c>
    </row>
    <row r="1545" spans="1:17" x14ac:dyDescent="0.25">
      <c r="A1545" s="5" t="s">
        <v>1595</v>
      </c>
      <c r="B1545" s="6" t="s">
        <v>38</v>
      </c>
      <c r="C1545" s="6" t="s">
        <v>39</v>
      </c>
      <c r="D1545" s="6" t="s">
        <v>64</v>
      </c>
      <c r="E1545" s="6" t="s">
        <v>21</v>
      </c>
      <c r="F1545" s="6" t="s">
        <v>48</v>
      </c>
      <c r="G1545" s="6">
        <v>64</v>
      </c>
      <c r="H1545" s="7">
        <v>214.54</v>
      </c>
      <c r="I1545" s="7">
        <v>13730.56</v>
      </c>
      <c r="J1545" s="8">
        <v>45039</v>
      </c>
      <c r="K1545" s="6">
        <v>22</v>
      </c>
      <c r="L1545" s="6" t="s">
        <v>23</v>
      </c>
      <c r="M1545" s="6" t="b">
        <v>0</v>
      </c>
      <c r="N1545" s="6">
        <v>27.79</v>
      </c>
      <c r="O1545" s="6" t="s">
        <v>42</v>
      </c>
      <c r="P1545" s="6" t="b">
        <v>1</v>
      </c>
      <c r="Q1545" s="9" t="s">
        <v>25</v>
      </c>
    </row>
    <row r="1546" spans="1:17" x14ac:dyDescent="0.25">
      <c r="A1546" s="5" t="s">
        <v>1596</v>
      </c>
      <c r="B1546" s="6" t="s">
        <v>27</v>
      </c>
      <c r="C1546" s="6" t="s">
        <v>19</v>
      </c>
      <c r="D1546" s="6" t="s">
        <v>47</v>
      </c>
      <c r="E1546" s="6" t="s">
        <v>28</v>
      </c>
      <c r="F1546" s="6" t="s">
        <v>40</v>
      </c>
      <c r="G1546" s="6">
        <v>85</v>
      </c>
      <c r="H1546" s="7">
        <v>842.69</v>
      </c>
      <c r="I1546" s="7">
        <v>71628.649999999994</v>
      </c>
      <c r="J1546" s="8">
        <v>45178</v>
      </c>
      <c r="K1546" s="6">
        <v>40</v>
      </c>
      <c r="L1546" s="6" t="s">
        <v>49</v>
      </c>
      <c r="M1546" s="6" t="b">
        <v>0</v>
      </c>
      <c r="N1546" s="6">
        <v>10.62</v>
      </c>
      <c r="O1546" s="6" t="s">
        <v>42</v>
      </c>
      <c r="P1546" s="6" t="b">
        <v>1</v>
      </c>
      <c r="Q1546" s="9" t="s">
        <v>25</v>
      </c>
    </row>
    <row r="1547" spans="1:17" x14ac:dyDescent="0.25">
      <c r="A1547" s="5" t="s">
        <v>1597</v>
      </c>
      <c r="B1547" s="6" t="s">
        <v>62</v>
      </c>
      <c r="C1547" s="6" t="s">
        <v>39</v>
      </c>
      <c r="D1547" s="6" t="s">
        <v>64</v>
      </c>
      <c r="E1547" s="6" t="s">
        <v>35</v>
      </c>
      <c r="F1547" s="6" t="s">
        <v>22</v>
      </c>
      <c r="G1547" s="6">
        <v>39</v>
      </c>
      <c r="H1547" s="7">
        <v>1078.48</v>
      </c>
      <c r="I1547" s="7">
        <v>42060.72</v>
      </c>
      <c r="J1547" s="8">
        <v>45267</v>
      </c>
      <c r="K1547" s="6">
        <v>32</v>
      </c>
      <c r="L1547" s="6" t="s">
        <v>23</v>
      </c>
      <c r="M1547" s="6" t="b">
        <v>1</v>
      </c>
      <c r="N1547" s="6">
        <v>21.74</v>
      </c>
      <c r="O1547" s="6" t="s">
        <v>24</v>
      </c>
      <c r="P1547" s="6" t="b">
        <v>0</v>
      </c>
      <c r="Q1547" s="9" t="s">
        <v>25</v>
      </c>
    </row>
    <row r="1548" spans="1:17" x14ac:dyDescent="0.25">
      <c r="A1548" s="5" t="s">
        <v>1598</v>
      </c>
      <c r="B1548" s="6" t="s">
        <v>51</v>
      </c>
      <c r="C1548" s="6" t="s">
        <v>39</v>
      </c>
      <c r="D1548" s="6" t="s">
        <v>47</v>
      </c>
      <c r="E1548" s="6" t="s">
        <v>28</v>
      </c>
      <c r="F1548" s="6" t="s">
        <v>22</v>
      </c>
      <c r="G1548" s="6">
        <v>84</v>
      </c>
      <c r="H1548" s="7">
        <v>122.55</v>
      </c>
      <c r="I1548" s="7">
        <v>10294.200000000001</v>
      </c>
      <c r="J1548" s="8">
        <v>44979</v>
      </c>
      <c r="K1548" s="6">
        <v>35</v>
      </c>
      <c r="L1548" s="6" t="s">
        <v>41</v>
      </c>
      <c r="M1548" s="6" t="b">
        <v>0</v>
      </c>
      <c r="N1548" s="6">
        <v>9.0299999999999994</v>
      </c>
      <c r="O1548" s="6" t="s">
        <v>24</v>
      </c>
      <c r="P1548" s="6" t="b">
        <v>1</v>
      </c>
      <c r="Q1548" s="9" t="s">
        <v>36</v>
      </c>
    </row>
    <row r="1549" spans="1:17" x14ac:dyDescent="0.25">
      <c r="A1549" s="5" t="s">
        <v>1599</v>
      </c>
      <c r="B1549" s="6" t="s">
        <v>76</v>
      </c>
      <c r="C1549" s="6" t="s">
        <v>33</v>
      </c>
      <c r="D1549" s="6" t="s">
        <v>52</v>
      </c>
      <c r="E1549" s="6" t="s">
        <v>44</v>
      </c>
      <c r="F1549" s="6" t="s">
        <v>29</v>
      </c>
      <c r="G1549" s="6">
        <v>72</v>
      </c>
      <c r="H1549" s="7">
        <v>150.62</v>
      </c>
      <c r="I1549" s="7">
        <v>10844.64</v>
      </c>
      <c r="J1549" s="8">
        <v>45056</v>
      </c>
      <c r="K1549" s="6">
        <v>42</v>
      </c>
      <c r="L1549" s="6" t="s">
        <v>23</v>
      </c>
      <c r="M1549" s="6" t="b">
        <v>0</v>
      </c>
      <c r="N1549" s="6">
        <v>0.03</v>
      </c>
      <c r="O1549" s="6" t="s">
        <v>30</v>
      </c>
      <c r="P1549" s="6" t="b">
        <v>1</v>
      </c>
      <c r="Q1549" s="9" t="s">
        <v>25</v>
      </c>
    </row>
    <row r="1550" spans="1:17" x14ac:dyDescent="0.25">
      <c r="A1550" s="5" t="s">
        <v>1600</v>
      </c>
      <c r="B1550" s="6" t="s">
        <v>38</v>
      </c>
      <c r="C1550" s="6" t="s">
        <v>33</v>
      </c>
      <c r="D1550" s="6" t="s">
        <v>34</v>
      </c>
      <c r="E1550" s="6" t="s">
        <v>44</v>
      </c>
      <c r="F1550" s="6" t="s">
        <v>22</v>
      </c>
      <c r="G1550" s="6">
        <v>42</v>
      </c>
      <c r="H1550" s="7">
        <v>1213.8800000000001</v>
      </c>
      <c r="I1550" s="7">
        <v>50982.96</v>
      </c>
      <c r="J1550" s="8">
        <v>45119</v>
      </c>
      <c r="K1550" s="6">
        <v>25</v>
      </c>
      <c r="L1550" s="6" t="s">
        <v>41</v>
      </c>
      <c r="M1550" s="6" t="b">
        <v>1</v>
      </c>
      <c r="N1550" s="6">
        <v>11.39</v>
      </c>
      <c r="O1550" s="6" t="s">
        <v>30</v>
      </c>
      <c r="P1550" s="6" t="b">
        <v>1</v>
      </c>
      <c r="Q1550" s="9" t="s">
        <v>25</v>
      </c>
    </row>
    <row r="1551" spans="1:17" x14ac:dyDescent="0.25">
      <c r="A1551" s="5" t="s">
        <v>1601</v>
      </c>
      <c r="B1551" s="6" t="s">
        <v>51</v>
      </c>
      <c r="C1551" s="6" t="s">
        <v>39</v>
      </c>
      <c r="D1551" s="6" t="s">
        <v>20</v>
      </c>
      <c r="E1551" s="6" t="s">
        <v>44</v>
      </c>
      <c r="F1551" s="6" t="s">
        <v>48</v>
      </c>
      <c r="G1551" s="6">
        <v>9</v>
      </c>
      <c r="H1551" s="7">
        <v>1223.0999999999999</v>
      </c>
      <c r="I1551" s="7">
        <v>11007.9</v>
      </c>
      <c r="J1551" s="8">
        <v>45517</v>
      </c>
      <c r="K1551" s="6">
        <v>48</v>
      </c>
      <c r="L1551" s="6" t="s">
        <v>49</v>
      </c>
      <c r="M1551" s="6" t="b">
        <v>1</v>
      </c>
      <c r="N1551" s="6">
        <v>22.13</v>
      </c>
      <c r="O1551" s="6" t="s">
        <v>30</v>
      </c>
      <c r="P1551" s="6" t="b">
        <v>0</v>
      </c>
      <c r="Q1551" s="9" t="s">
        <v>36</v>
      </c>
    </row>
    <row r="1552" spans="1:17" x14ac:dyDescent="0.25">
      <c r="A1552" s="5" t="s">
        <v>1602</v>
      </c>
      <c r="B1552" s="6" t="s">
        <v>72</v>
      </c>
      <c r="C1552" s="6" t="s">
        <v>33</v>
      </c>
      <c r="D1552" s="6" t="s">
        <v>34</v>
      </c>
      <c r="E1552" s="6" t="s">
        <v>28</v>
      </c>
      <c r="F1552" s="6" t="s">
        <v>22</v>
      </c>
      <c r="G1552" s="6">
        <v>25</v>
      </c>
      <c r="H1552" s="7">
        <v>405.69</v>
      </c>
      <c r="I1552" s="7">
        <v>10142.25</v>
      </c>
      <c r="J1552" s="8">
        <v>44983</v>
      </c>
      <c r="K1552" s="6">
        <v>38</v>
      </c>
      <c r="L1552" s="6" t="s">
        <v>49</v>
      </c>
      <c r="M1552" s="6" t="b">
        <v>1</v>
      </c>
      <c r="N1552" s="6">
        <v>4.5</v>
      </c>
      <c r="O1552" s="6" t="s">
        <v>30</v>
      </c>
      <c r="P1552" s="6" t="b">
        <v>0</v>
      </c>
      <c r="Q1552" s="9" t="s">
        <v>25</v>
      </c>
    </row>
    <row r="1553" spans="1:17" x14ac:dyDescent="0.25">
      <c r="A1553" s="5" t="s">
        <v>1603</v>
      </c>
      <c r="B1553" s="6" t="s">
        <v>46</v>
      </c>
      <c r="C1553" s="6" t="s">
        <v>33</v>
      </c>
      <c r="D1553" s="6" t="s">
        <v>47</v>
      </c>
      <c r="E1553" s="6" t="s">
        <v>44</v>
      </c>
      <c r="F1553" s="6" t="s">
        <v>29</v>
      </c>
      <c r="G1553" s="6">
        <v>89</v>
      </c>
      <c r="H1553" s="7">
        <v>942.08</v>
      </c>
      <c r="I1553" s="7">
        <v>83845.119999999995</v>
      </c>
      <c r="J1553" s="8">
        <v>45023</v>
      </c>
      <c r="K1553" s="6">
        <v>19</v>
      </c>
      <c r="L1553" s="6" t="s">
        <v>23</v>
      </c>
      <c r="M1553" s="6" t="b">
        <v>1</v>
      </c>
      <c r="N1553" s="6">
        <v>15.14</v>
      </c>
      <c r="O1553" s="6" t="s">
        <v>42</v>
      </c>
      <c r="P1553" s="6" t="b">
        <v>1</v>
      </c>
      <c r="Q1553" s="9" t="s">
        <v>25</v>
      </c>
    </row>
    <row r="1554" spans="1:17" x14ac:dyDescent="0.25">
      <c r="A1554" s="5" t="s">
        <v>1604</v>
      </c>
      <c r="B1554" s="6" t="s">
        <v>62</v>
      </c>
      <c r="C1554" s="6" t="s">
        <v>33</v>
      </c>
      <c r="D1554" s="6" t="s">
        <v>47</v>
      </c>
      <c r="E1554" s="6" t="s">
        <v>44</v>
      </c>
      <c r="F1554" s="6" t="s">
        <v>48</v>
      </c>
      <c r="G1554" s="6">
        <v>97</v>
      </c>
      <c r="H1554" s="7">
        <v>692.61</v>
      </c>
      <c r="I1554" s="7">
        <v>67183.17</v>
      </c>
      <c r="J1554" s="8">
        <v>45124</v>
      </c>
      <c r="K1554" s="6">
        <v>39</v>
      </c>
      <c r="L1554" s="6" t="s">
        <v>49</v>
      </c>
      <c r="M1554" s="6" t="b">
        <v>0</v>
      </c>
      <c r="N1554" s="6">
        <v>6.37</v>
      </c>
      <c r="O1554" s="6" t="s">
        <v>30</v>
      </c>
      <c r="P1554" s="6" t="b">
        <v>1</v>
      </c>
      <c r="Q1554" s="9" t="s">
        <v>25</v>
      </c>
    </row>
    <row r="1555" spans="1:17" x14ac:dyDescent="0.25">
      <c r="A1555" s="5" t="s">
        <v>1605</v>
      </c>
      <c r="B1555" s="6" t="s">
        <v>66</v>
      </c>
      <c r="C1555" s="6" t="s">
        <v>39</v>
      </c>
      <c r="D1555" s="6" t="s">
        <v>34</v>
      </c>
      <c r="E1555" s="6" t="s">
        <v>44</v>
      </c>
      <c r="F1555" s="6" t="s">
        <v>22</v>
      </c>
      <c r="G1555" s="6">
        <v>2</v>
      </c>
      <c r="H1555" s="7">
        <v>967.41</v>
      </c>
      <c r="I1555" s="7">
        <v>1934.82</v>
      </c>
      <c r="J1555" s="8">
        <v>45573</v>
      </c>
      <c r="K1555" s="6">
        <v>25</v>
      </c>
      <c r="L1555" s="6" t="s">
        <v>49</v>
      </c>
      <c r="M1555" s="6" t="b">
        <v>1</v>
      </c>
      <c r="N1555" s="6">
        <v>2.2400000000000002</v>
      </c>
      <c r="O1555" s="6" t="s">
        <v>24</v>
      </c>
      <c r="P1555" s="6" t="b">
        <v>0</v>
      </c>
      <c r="Q1555" s="9" t="s">
        <v>36</v>
      </c>
    </row>
    <row r="1556" spans="1:17" x14ac:dyDescent="0.25">
      <c r="A1556" s="5" t="s">
        <v>1606</v>
      </c>
      <c r="B1556" s="6" t="s">
        <v>51</v>
      </c>
      <c r="C1556" s="6" t="s">
        <v>33</v>
      </c>
      <c r="D1556" s="6" t="s">
        <v>47</v>
      </c>
      <c r="E1556" s="6" t="s">
        <v>35</v>
      </c>
      <c r="F1556" s="6" t="s">
        <v>22</v>
      </c>
      <c r="G1556" s="6">
        <v>19</v>
      </c>
      <c r="H1556" s="7">
        <v>1301.17</v>
      </c>
      <c r="I1556" s="7">
        <v>24722.23</v>
      </c>
      <c r="J1556" s="8">
        <v>45073</v>
      </c>
      <c r="K1556" s="6">
        <v>40</v>
      </c>
      <c r="L1556" s="6" t="s">
        <v>23</v>
      </c>
      <c r="M1556" s="6" t="b">
        <v>0</v>
      </c>
      <c r="N1556" s="6">
        <v>18.52</v>
      </c>
      <c r="O1556" s="6" t="s">
        <v>24</v>
      </c>
      <c r="P1556" s="6" t="b">
        <v>1</v>
      </c>
      <c r="Q1556" s="9" t="s">
        <v>36</v>
      </c>
    </row>
    <row r="1557" spans="1:17" x14ac:dyDescent="0.25">
      <c r="A1557" s="5" t="s">
        <v>1607</v>
      </c>
      <c r="B1557" s="6" t="s">
        <v>72</v>
      </c>
      <c r="C1557" s="6" t="s">
        <v>39</v>
      </c>
      <c r="D1557" s="6" t="s">
        <v>64</v>
      </c>
      <c r="E1557" s="6" t="s">
        <v>28</v>
      </c>
      <c r="F1557" s="6" t="s">
        <v>40</v>
      </c>
      <c r="G1557" s="6">
        <v>20</v>
      </c>
      <c r="H1557" s="7">
        <v>165.79</v>
      </c>
      <c r="I1557" s="7">
        <v>3315.8</v>
      </c>
      <c r="J1557" s="8">
        <v>45501</v>
      </c>
      <c r="K1557" s="6">
        <v>49</v>
      </c>
      <c r="L1557" s="6" t="s">
        <v>41</v>
      </c>
      <c r="M1557" s="6" t="b">
        <v>0</v>
      </c>
      <c r="N1557" s="6">
        <v>28.56</v>
      </c>
      <c r="O1557" s="6" t="s">
        <v>24</v>
      </c>
      <c r="P1557" s="6" t="b">
        <v>0</v>
      </c>
      <c r="Q1557" s="9" t="s">
        <v>25</v>
      </c>
    </row>
    <row r="1558" spans="1:17" x14ac:dyDescent="0.25">
      <c r="A1558" s="5" t="s">
        <v>1608</v>
      </c>
      <c r="B1558" s="6" t="s">
        <v>76</v>
      </c>
      <c r="C1558" s="6" t="s">
        <v>33</v>
      </c>
      <c r="D1558" s="6" t="s">
        <v>64</v>
      </c>
      <c r="E1558" s="6" t="s">
        <v>28</v>
      </c>
      <c r="F1558" s="6" t="s">
        <v>29</v>
      </c>
      <c r="G1558" s="6">
        <v>93</v>
      </c>
      <c r="H1558" s="7">
        <v>1178.08</v>
      </c>
      <c r="I1558" s="7">
        <v>109561.44</v>
      </c>
      <c r="J1558" s="8">
        <v>45503</v>
      </c>
      <c r="K1558" s="6">
        <v>25</v>
      </c>
      <c r="L1558" s="6" t="s">
        <v>23</v>
      </c>
      <c r="M1558" s="6" t="b">
        <v>0</v>
      </c>
      <c r="N1558" s="6">
        <v>9.32</v>
      </c>
      <c r="O1558" s="6" t="s">
        <v>56</v>
      </c>
      <c r="P1558" s="6" t="b">
        <v>1</v>
      </c>
      <c r="Q1558" s="9" t="s">
        <v>25</v>
      </c>
    </row>
    <row r="1559" spans="1:17" x14ac:dyDescent="0.25">
      <c r="A1559" s="5" t="s">
        <v>1609</v>
      </c>
      <c r="B1559" s="6" t="s">
        <v>32</v>
      </c>
      <c r="C1559" s="6" t="s">
        <v>19</v>
      </c>
      <c r="D1559" s="6" t="s">
        <v>47</v>
      </c>
      <c r="E1559" s="6" t="s">
        <v>21</v>
      </c>
      <c r="F1559" s="6" t="s">
        <v>22</v>
      </c>
      <c r="G1559" s="6">
        <v>70</v>
      </c>
      <c r="H1559" s="7">
        <v>764.89</v>
      </c>
      <c r="I1559" s="7">
        <v>53542.3</v>
      </c>
      <c r="J1559" s="8">
        <v>45221</v>
      </c>
      <c r="K1559" s="6">
        <v>21</v>
      </c>
      <c r="L1559" s="6" t="s">
        <v>23</v>
      </c>
      <c r="M1559" s="6" t="b">
        <v>0</v>
      </c>
      <c r="N1559" s="6">
        <v>17.420000000000002</v>
      </c>
      <c r="O1559" s="6" t="s">
        <v>56</v>
      </c>
      <c r="P1559" s="6" t="b">
        <v>1</v>
      </c>
      <c r="Q1559" s="9" t="s">
        <v>36</v>
      </c>
    </row>
    <row r="1560" spans="1:17" x14ac:dyDescent="0.25">
      <c r="A1560" s="5" t="s">
        <v>1610</v>
      </c>
      <c r="B1560" s="6" t="s">
        <v>66</v>
      </c>
      <c r="C1560" s="6" t="s">
        <v>33</v>
      </c>
      <c r="D1560" s="6" t="s">
        <v>47</v>
      </c>
      <c r="E1560" s="6" t="s">
        <v>28</v>
      </c>
      <c r="F1560" s="6" t="s">
        <v>40</v>
      </c>
      <c r="G1560" s="6">
        <v>17</v>
      </c>
      <c r="H1560" s="7">
        <v>867.98</v>
      </c>
      <c r="I1560" s="7">
        <v>14755.66</v>
      </c>
      <c r="J1560" s="8">
        <v>45547</v>
      </c>
      <c r="K1560" s="6">
        <v>47</v>
      </c>
      <c r="L1560" s="6" t="s">
        <v>41</v>
      </c>
      <c r="M1560" s="6" t="b">
        <v>1</v>
      </c>
      <c r="N1560" s="6">
        <v>28.61</v>
      </c>
      <c r="O1560" s="6" t="s">
        <v>56</v>
      </c>
      <c r="P1560" s="6" t="b">
        <v>0</v>
      </c>
      <c r="Q1560" s="9" t="s">
        <v>25</v>
      </c>
    </row>
    <row r="1561" spans="1:17" x14ac:dyDescent="0.25">
      <c r="A1561" s="5" t="s">
        <v>1611</v>
      </c>
      <c r="B1561" s="6" t="s">
        <v>32</v>
      </c>
      <c r="C1561" s="6" t="s">
        <v>33</v>
      </c>
      <c r="D1561" s="6" t="s">
        <v>64</v>
      </c>
      <c r="E1561" s="6" t="s">
        <v>35</v>
      </c>
      <c r="F1561" s="6" t="s">
        <v>48</v>
      </c>
      <c r="G1561" s="6">
        <v>89</v>
      </c>
      <c r="H1561" s="7">
        <v>998.2</v>
      </c>
      <c r="I1561" s="7">
        <v>88839.8</v>
      </c>
      <c r="J1561" s="8">
        <v>44938</v>
      </c>
      <c r="K1561" s="6">
        <v>36</v>
      </c>
      <c r="L1561" s="6" t="s">
        <v>41</v>
      </c>
      <c r="M1561" s="6" t="b">
        <v>0</v>
      </c>
      <c r="N1561" s="6">
        <v>19.510000000000002</v>
      </c>
      <c r="O1561" s="6" t="s">
        <v>30</v>
      </c>
      <c r="P1561" s="6" t="b">
        <v>1</v>
      </c>
      <c r="Q1561" s="9" t="s">
        <v>36</v>
      </c>
    </row>
    <row r="1562" spans="1:17" x14ac:dyDescent="0.25">
      <c r="A1562" s="5" t="s">
        <v>1612</v>
      </c>
      <c r="B1562" s="6" t="s">
        <v>76</v>
      </c>
      <c r="C1562" s="6" t="s">
        <v>39</v>
      </c>
      <c r="D1562" s="6" t="s">
        <v>47</v>
      </c>
      <c r="E1562" s="6" t="s">
        <v>28</v>
      </c>
      <c r="F1562" s="6" t="s">
        <v>40</v>
      </c>
      <c r="G1562" s="6">
        <v>68</v>
      </c>
      <c r="H1562" s="7">
        <v>1387.8</v>
      </c>
      <c r="I1562" s="7">
        <v>94370.4</v>
      </c>
      <c r="J1562" s="8">
        <v>45259</v>
      </c>
      <c r="K1562" s="6">
        <v>40</v>
      </c>
      <c r="L1562" s="6" t="s">
        <v>41</v>
      </c>
      <c r="M1562" s="6" t="b">
        <v>1</v>
      </c>
      <c r="N1562" s="6">
        <v>20.190000000000001</v>
      </c>
      <c r="O1562" s="6" t="s">
        <v>42</v>
      </c>
      <c r="P1562" s="6" t="b">
        <v>1</v>
      </c>
      <c r="Q1562" s="9" t="s">
        <v>36</v>
      </c>
    </row>
    <row r="1563" spans="1:17" x14ac:dyDescent="0.25">
      <c r="A1563" s="5" t="s">
        <v>1613</v>
      </c>
      <c r="B1563" s="6" t="s">
        <v>72</v>
      </c>
      <c r="C1563" s="6" t="s">
        <v>39</v>
      </c>
      <c r="D1563" s="6" t="s">
        <v>47</v>
      </c>
      <c r="E1563" s="6" t="s">
        <v>35</v>
      </c>
      <c r="F1563" s="6" t="s">
        <v>40</v>
      </c>
      <c r="G1563" s="6">
        <v>94</v>
      </c>
      <c r="H1563" s="7">
        <v>132.24</v>
      </c>
      <c r="I1563" s="7">
        <v>12430.56</v>
      </c>
      <c r="J1563" s="8">
        <v>45146</v>
      </c>
      <c r="K1563" s="6">
        <v>35</v>
      </c>
      <c r="L1563" s="6" t="s">
        <v>23</v>
      </c>
      <c r="M1563" s="6" t="b">
        <v>0</v>
      </c>
      <c r="N1563" s="6">
        <v>5.37</v>
      </c>
      <c r="O1563" s="6" t="s">
        <v>42</v>
      </c>
      <c r="P1563" s="6" t="b">
        <v>1</v>
      </c>
      <c r="Q1563" s="9" t="s">
        <v>36</v>
      </c>
    </row>
    <row r="1564" spans="1:17" x14ac:dyDescent="0.25">
      <c r="A1564" s="5" t="s">
        <v>1614</v>
      </c>
      <c r="B1564" s="6" t="s">
        <v>38</v>
      </c>
      <c r="C1564" s="6" t="s">
        <v>33</v>
      </c>
      <c r="D1564" s="6" t="s">
        <v>34</v>
      </c>
      <c r="E1564" s="6" t="s">
        <v>35</v>
      </c>
      <c r="F1564" s="6" t="s">
        <v>22</v>
      </c>
      <c r="G1564" s="6">
        <v>84</v>
      </c>
      <c r="H1564" s="7">
        <v>92.74</v>
      </c>
      <c r="I1564" s="7">
        <v>7790.16</v>
      </c>
      <c r="J1564" s="8">
        <v>45324</v>
      </c>
      <c r="K1564" s="6">
        <v>46</v>
      </c>
      <c r="L1564" s="6" t="s">
        <v>41</v>
      </c>
      <c r="M1564" s="6" t="b">
        <v>1</v>
      </c>
      <c r="N1564" s="6">
        <v>14.78</v>
      </c>
      <c r="O1564" s="6" t="s">
        <v>30</v>
      </c>
      <c r="P1564" s="6" t="b">
        <v>0</v>
      </c>
      <c r="Q1564" s="9" t="s">
        <v>36</v>
      </c>
    </row>
    <row r="1565" spans="1:17" x14ac:dyDescent="0.25">
      <c r="A1565" s="5" t="s">
        <v>1615</v>
      </c>
      <c r="B1565" s="6" t="s">
        <v>32</v>
      </c>
      <c r="C1565" s="6" t="s">
        <v>19</v>
      </c>
      <c r="D1565" s="6" t="s">
        <v>20</v>
      </c>
      <c r="E1565" s="6" t="s">
        <v>28</v>
      </c>
      <c r="F1565" s="6" t="s">
        <v>22</v>
      </c>
      <c r="G1565" s="6">
        <v>3</v>
      </c>
      <c r="H1565" s="7">
        <v>308.48</v>
      </c>
      <c r="I1565" s="7">
        <v>925.44</v>
      </c>
      <c r="J1565" s="8">
        <v>45268</v>
      </c>
      <c r="K1565" s="6">
        <v>40</v>
      </c>
      <c r="L1565" s="6" t="s">
        <v>49</v>
      </c>
      <c r="M1565" s="6" t="b">
        <v>0</v>
      </c>
      <c r="N1565" s="6">
        <v>11.01</v>
      </c>
      <c r="O1565" s="6" t="s">
        <v>30</v>
      </c>
      <c r="P1565" s="6" t="b">
        <v>0</v>
      </c>
      <c r="Q1565" s="9" t="s">
        <v>36</v>
      </c>
    </row>
    <row r="1566" spans="1:17" x14ac:dyDescent="0.25">
      <c r="A1566" s="5" t="s">
        <v>1616</v>
      </c>
      <c r="B1566" s="6" t="s">
        <v>66</v>
      </c>
      <c r="C1566" s="6" t="s">
        <v>33</v>
      </c>
      <c r="D1566" s="6" t="s">
        <v>64</v>
      </c>
      <c r="E1566" s="6" t="s">
        <v>21</v>
      </c>
      <c r="F1566" s="6" t="s">
        <v>22</v>
      </c>
      <c r="G1566" s="6">
        <v>87</v>
      </c>
      <c r="H1566" s="7">
        <v>1480.35</v>
      </c>
      <c r="I1566" s="7">
        <v>128790.45</v>
      </c>
      <c r="J1566" s="8">
        <v>45438</v>
      </c>
      <c r="K1566" s="6">
        <v>50</v>
      </c>
      <c r="L1566" s="6" t="s">
        <v>41</v>
      </c>
      <c r="M1566" s="6" t="b">
        <v>0</v>
      </c>
      <c r="N1566" s="6">
        <v>14.13</v>
      </c>
      <c r="O1566" s="6" t="s">
        <v>56</v>
      </c>
      <c r="P1566" s="6" t="b">
        <v>1</v>
      </c>
      <c r="Q1566" s="9" t="s">
        <v>25</v>
      </c>
    </row>
    <row r="1567" spans="1:17" x14ac:dyDescent="0.25">
      <c r="A1567" s="5" t="s">
        <v>1617</v>
      </c>
      <c r="B1567" s="6" t="s">
        <v>27</v>
      </c>
      <c r="C1567" s="6" t="s">
        <v>33</v>
      </c>
      <c r="D1567" s="6" t="s">
        <v>34</v>
      </c>
      <c r="E1567" s="6" t="s">
        <v>44</v>
      </c>
      <c r="F1567" s="6" t="s">
        <v>40</v>
      </c>
      <c r="G1567" s="6">
        <v>51</v>
      </c>
      <c r="H1567" s="7">
        <v>1086.8599999999999</v>
      </c>
      <c r="I1567" s="7">
        <v>55429.86</v>
      </c>
      <c r="J1567" s="8">
        <v>45098</v>
      </c>
      <c r="K1567" s="6">
        <v>69</v>
      </c>
      <c r="L1567" s="6" t="s">
        <v>49</v>
      </c>
      <c r="M1567" s="6" t="b">
        <v>1</v>
      </c>
      <c r="N1567" s="6">
        <v>24.02</v>
      </c>
      <c r="O1567" s="6" t="s">
        <v>24</v>
      </c>
      <c r="P1567" s="6" t="b">
        <v>1</v>
      </c>
      <c r="Q1567" s="9" t="s">
        <v>36</v>
      </c>
    </row>
    <row r="1568" spans="1:17" x14ac:dyDescent="0.25">
      <c r="A1568" s="5" t="s">
        <v>1618</v>
      </c>
      <c r="B1568" s="6" t="s">
        <v>18</v>
      </c>
      <c r="C1568" s="6" t="s">
        <v>19</v>
      </c>
      <c r="D1568" s="6" t="s">
        <v>20</v>
      </c>
      <c r="E1568" s="6" t="s">
        <v>44</v>
      </c>
      <c r="F1568" s="6" t="s">
        <v>48</v>
      </c>
      <c r="G1568" s="6">
        <v>82</v>
      </c>
      <c r="H1568" s="7">
        <v>941.23</v>
      </c>
      <c r="I1568" s="7">
        <v>77180.86</v>
      </c>
      <c r="J1568" s="8">
        <v>45394</v>
      </c>
      <c r="K1568" s="6">
        <v>64</v>
      </c>
      <c r="L1568" s="6" t="s">
        <v>41</v>
      </c>
      <c r="M1568" s="6" t="b">
        <v>1</v>
      </c>
      <c r="N1568" s="6">
        <v>13.82</v>
      </c>
      <c r="O1568" s="6" t="s">
        <v>24</v>
      </c>
      <c r="P1568" s="6" t="b">
        <v>1</v>
      </c>
      <c r="Q1568" s="9" t="s">
        <v>25</v>
      </c>
    </row>
    <row r="1569" spans="1:17" x14ac:dyDescent="0.25">
      <c r="A1569" s="5" t="s">
        <v>1619</v>
      </c>
      <c r="B1569" s="6" t="s">
        <v>51</v>
      </c>
      <c r="C1569" s="6" t="s">
        <v>39</v>
      </c>
      <c r="D1569" s="6" t="s">
        <v>47</v>
      </c>
      <c r="E1569" s="6" t="s">
        <v>28</v>
      </c>
      <c r="F1569" s="6" t="s">
        <v>29</v>
      </c>
      <c r="G1569" s="6">
        <v>26</v>
      </c>
      <c r="H1569" s="7">
        <v>118.21</v>
      </c>
      <c r="I1569" s="7">
        <v>3073.46</v>
      </c>
      <c r="J1569" s="8">
        <v>45092</v>
      </c>
      <c r="K1569" s="6">
        <v>35</v>
      </c>
      <c r="L1569" s="6" t="s">
        <v>49</v>
      </c>
      <c r="M1569" s="6" t="b">
        <v>1</v>
      </c>
      <c r="N1569" s="6">
        <v>1.89</v>
      </c>
      <c r="O1569" s="6" t="s">
        <v>56</v>
      </c>
      <c r="P1569" s="6" t="b">
        <v>1</v>
      </c>
      <c r="Q1569" s="9" t="s">
        <v>25</v>
      </c>
    </row>
    <row r="1570" spans="1:17" x14ac:dyDescent="0.25">
      <c r="A1570" s="5" t="s">
        <v>1620</v>
      </c>
      <c r="B1570" s="6" t="s">
        <v>38</v>
      </c>
      <c r="C1570" s="6" t="s">
        <v>33</v>
      </c>
      <c r="D1570" s="6" t="s">
        <v>47</v>
      </c>
      <c r="E1570" s="6" t="s">
        <v>28</v>
      </c>
      <c r="F1570" s="6" t="s">
        <v>40</v>
      </c>
      <c r="G1570" s="6">
        <v>56</v>
      </c>
      <c r="H1570" s="7">
        <v>1324.71</v>
      </c>
      <c r="I1570" s="7">
        <v>74183.759999999995</v>
      </c>
      <c r="J1570" s="8">
        <v>45096</v>
      </c>
      <c r="K1570" s="6">
        <v>61</v>
      </c>
      <c r="L1570" s="6" t="s">
        <v>49</v>
      </c>
      <c r="M1570" s="6" t="b">
        <v>1</v>
      </c>
      <c r="N1570" s="6">
        <v>27.17</v>
      </c>
      <c r="O1570" s="6" t="s">
        <v>56</v>
      </c>
      <c r="P1570" s="6" t="b">
        <v>0</v>
      </c>
      <c r="Q1570" s="9" t="s">
        <v>25</v>
      </c>
    </row>
    <row r="1571" spans="1:17" x14ac:dyDescent="0.25">
      <c r="A1571" s="5" t="s">
        <v>1621</v>
      </c>
      <c r="B1571" s="6" t="s">
        <v>32</v>
      </c>
      <c r="C1571" s="6" t="s">
        <v>39</v>
      </c>
      <c r="D1571" s="6" t="s">
        <v>34</v>
      </c>
      <c r="E1571" s="6" t="s">
        <v>35</v>
      </c>
      <c r="F1571" s="6" t="s">
        <v>22</v>
      </c>
      <c r="G1571" s="6">
        <v>64</v>
      </c>
      <c r="H1571" s="7">
        <v>1228.5</v>
      </c>
      <c r="I1571" s="7">
        <v>78624</v>
      </c>
      <c r="J1571" s="8">
        <v>45490</v>
      </c>
      <c r="K1571" s="6">
        <v>50</v>
      </c>
      <c r="L1571" s="6" t="s">
        <v>49</v>
      </c>
      <c r="M1571" s="6" t="b">
        <v>0</v>
      </c>
      <c r="N1571" s="6">
        <v>16.34</v>
      </c>
      <c r="O1571" s="6" t="s">
        <v>42</v>
      </c>
      <c r="P1571" s="6" t="b">
        <v>0</v>
      </c>
      <c r="Q1571" s="9" t="s">
        <v>36</v>
      </c>
    </row>
    <row r="1572" spans="1:17" x14ac:dyDescent="0.25">
      <c r="A1572" s="5" t="s">
        <v>1622</v>
      </c>
      <c r="B1572" s="6" t="s">
        <v>46</v>
      </c>
      <c r="C1572" s="6" t="s">
        <v>39</v>
      </c>
      <c r="D1572" s="6" t="s">
        <v>47</v>
      </c>
      <c r="E1572" s="6" t="s">
        <v>28</v>
      </c>
      <c r="F1572" s="6" t="s">
        <v>29</v>
      </c>
      <c r="G1572" s="6">
        <v>8</v>
      </c>
      <c r="H1572" s="7">
        <v>1013.96</v>
      </c>
      <c r="I1572" s="7">
        <v>8111.68</v>
      </c>
      <c r="J1572" s="8">
        <v>45438</v>
      </c>
      <c r="K1572" s="6">
        <v>24</v>
      </c>
      <c r="L1572" s="6" t="s">
        <v>49</v>
      </c>
      <c r="M1572" s="6" t="b">
        <v>0</v>
      </c>
      <c r="N1572" s="6">
        <v>27.73</v>
      </c>
      <c r="O1572" s="6" t="s">
        <v>56</v>
      </c>
      <c r="P1572" s="6" t="b">
        <v>0</v>
      </c>
      <c r="Q1572" s="9" t="s">
        <v>25</v>
      </c>
    </row>
    <row r="1573" spans="1:17" x14ac:dyDescent="0.25">
      <c r="A1573" s="5" t="s">
        <v>1623</v>
      </c>
      <c r="B1573" s="6" t="s">
        <v>51</v>
      </c>
      <c r="C1573" s="6" t="s">
        <v>19</v>
      </c>
      <c r="D1573" s="6" t="s">
        <v>52</v>
      </c>
      <c r="E1573" s="6" t="s">
        <v>35</v>
      </c>
      <c r="F1573" s="6" t="s">
        <v>48</v>
      </c>
      <c r="G1573" s="6">
        <v>81</v>
      </c>
      <c r="H1573" s="7">
        <v>541.74</v>
      </c>
      <c r="I1573" s="7">
        <v>43880.94</v>
      </c>
      <c r="J1573" s="8">
        <v>45115</v>
      </c>
      <c r="K1573" s="6">
        <v>68</v>
      </c>
      <c r="L1573" s="6" t="s">
        <v>49</v>
      </c>
      <c r="M1573" s="6" t="b">
        <v>0</v>
      </c>
      <c r="N1573" s="6">
        <v>17.170000000000002</v>
      </c>
      <c r="O1573" s="6" t="s">
        <v>24</v>
      </c>
      <c r="P1573" s="6" t="b">
        <v>1</v>
      </c>
      <c r="Q1573" s="9" t="s">
        <v>25</v>
      </c>
    </row>
    <row r="1574" spans="1:17" x14ac:dyDescent="0.25">
      <c r="A1574" s="5" t="s">
        <v>1624</v>
      </c>
      <c r="B1574" s="6" t="s">
        <v>27</v>
      </c>
      <c r="C1574" s="6" t="s">
        <v>19</v>
      </c>
      <c r="D1574" s="6" t="s">
        <v>34</v>
      </c>
      <c r="E1574" s="6" t="s">
        <v>21</v>
      </c>
      <c r="F1574" s="6" t="s">
        <v>29</v>
      </c>
      <c r="G1574" s="6">
        <v>95</v>
      </c>
      <c r="H1574" s="7">
        <v>152.22999999999999</v>
      </c>
      <c r="I1574" s="7">
        <v>14461.85</v>
      </c>
      <c r="J1574" s="8">
        <v>45046</v>
      </c>
      <c r="K1574" s="6">
        <v>45</v>
      </c>
      <c r="L1574" s="6" t="s">
        <v>41</v>
      </c>
      <c r="M1574" s="6" t="b">
        <v>0</v>
      </c>
      <c r="N1574" s="6">
        <v>2.09</v>
      </c>
      <c r="O1574" s="6" t="s">
        <v>24</v>
      </c>
      <c r="P1574" s="6" t="b">
        <v>1</v>
      </c>
      <c r="Q1574" s="9" t="s">
        <v>25</v>
      </c>
    </row>
    <row r="1575" spans="1:17" x14ac:dyDescent="0.25">
      <c r="A1575" s="5" t="s">
        <v>1625</v>
      </c>
      <c r="B1575" s="6" t="s">
        <v>76</v>
      </c>
      <c r="C1575" s="6" t="s">
        <v>39</v>
      </c>
      <c r="D1575" s="6" t="s">
        <v>20</v>
      </c>
      <c r="E1575" s="6" t="s">
        <v>28</v>
      </c>
      <c r="F1575" s="6" t="s">
        <v>22</v>
      </c>
      <c r="G1575" s="6">
        <v>37</v>
      </c>
      <c r="H1575" s="7">
        <v>891.06</v>
      </c>
      <c r="I1575" s="7">
        <v>32969.22</v>
      </c>
      <c r="J1575" s="8">
        <v>45031</v>
      </c>
      <c r="K1575" s="6">
        <v>18</v>
      </c>
      <c r="L1575" s="6" t="s">
        <v>23</v>
      </c>
      <c r="M1575" s="6" t="b">
        <v>0</v>
      </c>
      <c r="N1575" s="6">
        <v>16.59</v>
      </c>
      <c r="O1575" s="6" t="s">
        <v>30</v>
      </c>
      <c r="P1575" s="6" t="b">
        <v>0</v>
      </c>
      <c r="Q1575" s="9" t="s">
        <v>36</v>
      </c>
    </row>
    <row r="1576" spans="1:17" x14ac:dyDescent="0.25">
      <c r="A1576" s="5" t="s">
        <v>1626</v>
      </c>
      <c r="B1576" s="6" t="s">
        <v>18</v>
      </c>
      <c r="C1576" s="6" t="s">
        <v>33</v>
      </c>
      <c r="D1576" s="6" t="s">
        <v>34</v>
      </c>
      <c r="E1576" s="6" t="s">
        <v>44</v>
      </c>
      <c r="F1576" s="6" t="s">
        <v>40</v>
      </c>
      <c r="G1576" s="6">
        <v>97</v>
      </c>
      <c r="H1576" s="7">
        <v>1093.56</v>
      </c>
      <c r="I1576" s="7">
        <v>106075.32</v>
      </c>
      <c r="J1576" s="8">
        <v>44967</v>
      </c>
      <c r="K1576" s="6">
        <v>56</v>
      </c>
      <c r="L1576" s="6" t="s">
        <v>23</v>
      </c>
      <c r="M1576" s="6" t="b">
        <v>1</v>
      </c>
      <c r="N1576" s="6">
        <v>17.27</v>
      </c>
      <c r="O1576" s="6" t="s">
        <v>42</v>
      </c>
      <c r="P1576" s="6" t="b">
        <v>1</v>
      </c>
      <c r="Q1576" s="9" t="s">
        <v>25</v>
      </c>
    </row>
    <row r="1577" spans="1:17" x14ac:dyDescent="0.25">
      <c r="A1577" s="5" t="s">
        <v>1627</v>
      </c>
      <c r="B1577" s="6" t="s">
        <v>72</v>
      </c>
      <c r="C1577" s="6" t="s">
        <v>39</v>
      </c>
      <c r="D1577" s="6" t="s">
        <v>64</v>
      </c>
      <c r="E1577" s="6" t="s">
        <v>44</v>
      </c>
      <c r="F1577" s="6" t="s">
        <v>40</v>
      </c>
      <c r="G1577" s="6">
        <v>27</v>
      </c>
      <c r="H1577" s="7">
        <v>186.65</v>
      </c>
      <c r="I1577" s="7">
        <v>5039.55</v>
      </c>
      <c r="J1577" s="8">
        <v>45247</v>
      </c>
      <c r="K1577" s="6">
        <v>51</v>
      </c>
      <c r="L1577" s="6" t="s">
        <v>23</v>
      </c>
      <c r="M1577" s="6" t="b">
        <v>1</v>
      </c>
      <c r="N1577" s="6">
        <v>6.43</v>
      </c>
      <c r="O1577" s="6" t="s">
        <v>30</v>
      </c>
      <c r="P1577" s="6" t="b">
        <v>1</v>
      </c>
      <c r="Q1577" s="9" t="s">
        <v>36</v>
      </c>
    </row>
    <row r="1578" spans="1:17" x14ac:dyDescent="0.25">
      <c r="A1578" s="5" t="s">
        <v>1628</v>
      </c>
      <c r="B1578" s="6" t="s">
        <v>27</v>
      </c>
      <c r="C1578" s="6" t="s">
        <v>33</v>
      </c>
      <c r="D1578" s="6" t="s">
        <v>34</v>
      </c>
      <c r="E1578" s="6" t="s">
        <v>28</v>
      </c>
      <c r="F1578" s="6" t="s">
        <v>22</v>
      </c>
      <c r="G1578" s="6">
        <v>45</v>
      </c>
      <c r="H1578" s="7">
        <v>968.96</v>
      </c>
      <c r="I1578" s="7">
        <v>43603.199999999997</v>
      </c>
      <c r="J1578" s="8">
        <v>45261</v>
      </c>
      <c r="K1578" s="6">
        <v>56</v>
      </c>
      <c r="L1578" s="6" t="s">
        <v>23</v>
      </c>
      <c r="M1578" s="6" t="b">
        <v>0</v>
      </c>
      <c r="N1578" s="6">
        <v>14.13</v>
      </c>
      <c r="O1578" s="6" t="s">
        <v>42</v>
      </c>
      <c r="P1578" s="6" t="b">
        <v>0</v>
      </c>
      <c r="Q1578" s="9" t="s">
        <v>36</v>
      </c>
    </row>
    <row r="1579" spans="1:17" x14ac:dyDescent="0.25">
      <c r="A1579" s="5" t="s">
        <v>1629</v>
      </c>
      <c r="B1579" s="6" t="s">
        <v>27</v>
      </c>
      <c r="C1579" s="6" t="s">
        <v>33</v>
      </c>
      <c r="D1579" s="6" t="s">
        <v>47</v>
      </c>
      <c r="E1579" s="6" t="s">
        <v>35</v>
      </c>
      <c r="F1579" s="6" t="s">
        <v>40</v>
      </c>
      <c r="G1579" s="6">
        <v>4</v>
      </c>
      <c r="H1579" s="7">
        <v>465.23</v>
      </c>
      <c r="I1579" s="7">
        <v>1860.92</v>
      </c>
      <c r="J1579" s="8">
        <v>45086</v>
      </c>
      <c r="K1579" s="6">
        <v>36</v>
      </c>
      <c r="L1579" s="6" t="s">
        <v>23</v>
      </c>
      <c r="M1579" s="6" t="b">
        <v>1</v>
      </c>
      <c r="N1579" s="6">
        <v>13.78</v>
      </c>
      <c r="O1579" s="6" t="s">
        <v>30</v>
      </c>
      <c r="P1579" s="6" t="b">
        <v>1</v>
      </c>
      <c r="Q1579" s="9" t="s">
        <v>25</v>
      </c>
    </row>
    <row r="1580" spans="1:17" x14ac:dyDescent="0.25">
      <c r="A1580" s="5" t="s">
        <v>1630</v>
      </c>
      <c r="B1580" s="6" t="s">
        <v>76</v>
      </c>
      <c r="C1580" s="6" t="s">
        <v>19</v>
      </c>
      <c r="D1580" s="6" t="s">
        <v>47</v>
      </c>
      <c r="E1580" s="6" t="s">
        <v>44</v>
      </c>
      <c r="F1580" s="6" t="s">
        <v>22</v>
      </c>
      <c r="G1580" s="6">
        <v>86</v>
      </c>
      <c r="H1580" s="7">
        <v>1158.1500000000001</v>
      </c>
      <c r="I1580" s="7">
        <v>99600.9</v>
      </c>
      <c r="J1580" s="8">
        <v>45190</v>
      </c>
      <c r="K1580" s="6">
        <v>48</v>
      </c>
      <c r="L1580" s="6" t="s">
        <v>49</v>
      </c>
      <c r="M1580" s="6" t="b">
        <v>0</v>
      </c>
      <c r="N1580" s="6">
        <v>18.690000000000001</v>
      </c>
      <c r="O1580" s="6" t="s">
        <v>42</v>
      </c>
      <c r="P1580" s="6" t="b">
        <v>0</v>
      </c>
      <c r="Q1580" s="9" t="s">
        <v>25</v>
      </c>
    </row>
    <row r="1581" spans="1:17" x14ac:dyDescent="0.25">
      <c r="A1581" s="5" t="s">
        <v>1631</v>
      </c>
      <c r="B1581" s="6" t="s">
        <v>62</v>
      </c>
      <c r="C1581" s="6" t="s">
        <v>33</v>
      </c>
      <c r="D1581" s="6" t="s">
        <v>52</v>
      </c>
      <c r="E1581" s="6" t="s">
        <v>35</v>
      </c>
      <c r="F1581" s="6" t="s">
        <v>40</v>
      </c>
      <c r="G1581" s="6">
        <v>90</v>
      </c>
      <c r="H1581" s="7">
        <v>832.44</v>
      </c>
      <c r="I1581" s="7">
        <v>74919.600000000006</v>
      </c>
      <c r="J1581" s="8">
        <v>45456</v>
      </c>
      <c r="K1581" s="6">
        <v>30</v>
      </c>
      <c r="L1581" s="6" t="s">
        <v>41</v>
      </c>
      <c r="M1581" s="6" t="b">
        <v>0</v>
      </c>
      <c r="N1581" s="6">
        <v>7.79</v>
      </c>
      <c r="O1581" s="6" t="s">
        <v>56</v>
      </c>
      <c r="P1581" s="6" t="b">
        <v>1</v>
      </c>
      <c r="Q1581" s="9" t="s">
        <v>36</v>
      </c>
    </row>
    <row r="1582" spans="1:17" x14ac:dyDescent="0.25">
      <c r="A1582" s="5" t="s">
        <v>1632</v>
      </c>
      <c r="B1582" s="6" t="s">
        <v>76</v>
      </c>
      <c r="C1582" s="6" t="s">
        <v>33</v>
      </c>
      <c r="D1582" s="6" t="s">
        <v>52</v>
      </c>
      <c r="E1582" s="6" t="s">
        <v>28</v>
      </c>
      <c r="F1582" s="6" t="s">
        <v>40</v>
      </c>
      <c r="G1582" s="6">
        <v>96</v>
      </c>
      <c r="H1582" s="7">
        <v>237.1</v>
      </c>
      <c r="I1582" s="7">
        <v>22761.599999999999</v>
      </c>
      <c r="J1582" s="8">
        <v>45403</v>
      </c>
      <c r="K1582" s="6">
        <v>41</v>
      </c>
      <c r="L1582" s="6" t="s">
        <v>49</v>
      </c>
      <c r="M1582" s="6" t="b">
        <v>1</v>
      </c>
      <c r="N1582" s="6">
        <v>17.45</v>
      </c>
      <c r="O1582" s="6" t="s">
        <v>24</v>
      </c>
      <c r="P1582" s="6" t="b">
        <v>1</v>
      </c>
      <c r="Q1582" s="9" t="s">
        <v>36</v>
      </c>
    </row>
    <row r="1583" spans="1:17" x14ac:dyDescent="0.25">
      <c r="A1583" s="5" t="s">
        <v>1633</v>
      </c>
      <c r="B1583" s="6" t="s">
        <v>62</v>
      </c>
      <c r="C1583" s="6" t="s">
        <v>39</v>
      </c>
      <c r="D1583" s="6" t="s">
        <v>52</v>
      </c>
      <c r="E1583" s="6" t="s">
        <v>28</v>
      </c>
      <c r="F1583" s="6" t="s">
        <v>40</v>
      </c>
      <c r="G1583" s="6">
        <v>88</v>
      </c>
      <c r="H1583" s="7">
        <v>813.45</v>
      </c>
      <c r="I1583" s="7">
        <v>71583.600000000006</v>
      </c>
      <c r="J1583" s="8">
        <v>45278</v>
      </c>
      <c r="K1583" s="6">
        <v>22</v>
      </c>
      <c r="L1583" s="6" t="s">
        <v>41</v>
      </c>
      <c r="M1583" s="6" t="b">
        <v>0</v>
      </c>
      <c r="N1583" s="6">
        <v>7.23</v>
      </c>
      <c r="O1583" s="6" t="s">
        <v>56</v>
      </c>
      <c r="P1583" s="6" t="b">
        <v>1</v>
      </c>
      <c r="Q1583" s="9" t="s">
        <v>25</v>
      </c>
    </row>
    <row r="1584" spans="1:17" x14ac:dyDescent="0.25">
      <c r="A1584" s="5" t="s">
        <v>1634</v>
      </c>
      <c r="B1584" s="6" t="s">
        <v>62</v>
      </c>
      <c r="C1584" s="6" t="s">
        <v>19</v>
      </c>
      <c r="D1584" s="6" t="s">
        <v>20</v>
      </c>
      <c r="E1584" s="6" t="s">
        <v>44</v>
      </c>
      <c r="F1584" s="6" t="s">
        <v>48</v>
      </c>
      <c r="G1584" s="6">
        <v>99</v>
      </c>
      <c r="H1584" s="7">
        <v>623.82000000000005</v>
      </c>
      <c r="I1584" s="7">
        <v>61758.18</v>
      </c>
      <c r="J1584" s="8">
        <v>45471</v>
      </c>
      <c r="K1584" s="6">
        <v>40</v>
      </c>
      <c r="L1584" s="6" t="s">
        <v>41</v>
      </c>
      <c r="M1584" s="6" t="b">
        <v>1</v>
      </c>
      <c r="N1584" s="6">
        <v>13.39</v>
      </c>
      <c r="O1584" s="6" t="s">
        <v>42</v>
      </c>
      <c r="P1584" s="6" t="b">
        <v>1</v>
      </c>
      <c r="Q1584" s="9" t="s">
        <v>25</v>
      </c>
    </row>
    <row r="1585" spans="1:17" x14ac:dyDescent="0.25">
      <c r="A1585" s="5" t="s">
        <v>1635</v>
      </c>
      <c r="B1585" s="6" t="s">
        <v>38</v>
      </c>
      <c r="C1585" s="6" t="s">
        <v>33</v>
      </c>
      <c r="D1585" s="6" t="s">
        <v>52</v>
      </c>
      <c r="E1585" s="6" t="s">
        <v>28</v>
      </c>
      <c r="F1585" s="6" t="s">
        <v>48</v>
      </c>
      <c r="G1585" s="6">
        <v>37</v>
      </c>
      <c r="H1585" s="7">
        <v>311.52</v>
      </c>
      <c r="I1585" s="7">
        <v>11526.24</v>
      </c>
      <c r="J1585" s="8">
        <v>45136</v>
      </c>
      <c r="K1585" s="6">
        <v>36</v>
      </c>
      <c r="L1585" s="6" t="s">
        <v>41</v>
      </c>
      <c r="M1585" s="6" t="b">
        <v>0</v>
      </c>
      <c r="N1585" s="6">
        <v>3.68</v>
      </c>
      <c r="O1585" s="6" t="s">
        <v>42</v>
      </c>
      <c r="P1585" s="6" t="b">
        <v>1</v>
      </c>
      <c r="Q1585" s="9" t="s">
        <v>25</v>
      </c>
    </row>
    <row r="1586" spans="1:17" x14ac:dyDescent="0.25">
      <c r="A1586" s="5" t="s">
        <v>1636</v>
      </c>
      <c r="B1586" s="6" t="s">
        <v>38</v>
      </c>
      <c r="C1586" s="6" t="s">
        <v>33</v>
      </c>
      <c r="D1586" s="6" t="s">
        <v>20</v>
      </c>
      <c r="E1586" s="6" t="s">
        <v>21</v>
      </c>
      <c r="F1586" s="6" t="s">
        <v>22</v>
      </c>
      <c r="G1586" s="6">
        <v>96</v>
      </c>
      <c r="H1586" s="7">
        <v>1270.2</v>
      </c>
      <c r="I1586" s="7">
        <v>121939.2</v>
      </c>
      <c r="J1586" s="8">
        <v>45422</v>
      </c>
      <c r="K1586" s="6">
        <v>18</v>
      </c>
      <c r="L1586" s="6" t="s">
        <v>41</v>
      </c>
      <c r="M1586" s="6" t="b">
        <v>1</v>
      </c>
      <c r="N1586" s="6">
        <v>1.1200000000000001</v>
      </c>
      <c r="O1586" s="6" t="s">
        <v>30</v>
      </c>
      <c r="P1586" s="6" t="b">
        <v>0</v>
      </c>
      <c r="Q1586" s="9" t="s">
        <v>25</v>
      </c>
    </row>
    <row r="1587" spans="1:17" x14ac:dyDescent="0.25">
      <c r="A1587" s="5" t="s">
        <v>1637</v>
      </c>
      <c r="B1587" s="6" t="s">
        <v>66</v>
      </c>
      <c r="C1587" s="6" t="s">
        <v>19</v>
      </c>
      <c r="D1587" s="6" t="s">
        <v>52</v>
      </c>
      <c r="E1587" s="6" t="s">
        <v>21</v>
      </c>
      <c r="F1587" s="6" t="s">
        <v>48</v>
      </c>
      <c r="G1587" s="6">
        <v>71</v>
      </c>
      <c r="H1587" s="7">
        <v>65.989999999999995</v>
      </c>
      <c r="I1587" s="7">
        <v>4685.29</v>
      </c>
      <c r="J1587" s="8">
        <v>45308</v>
      </c>
      <c r="K1587" s="6">
        <v>50</v>
      </c>
      <c r="L1587" s="6" t="s">
        <v>23</v>
      </c>
      <c r="M1587" s="6" t="b">
        <v>0</v>
      </c>
      <c r="N1587" s="6">
        <v>9.6199999999999992</v>
      </c>
      <c r="O1587" s="6" t="s">
        <v>42</v>
      </c>
      <c r="P1587" s="6" t="b">
        <v>0</v>
      </c>
      <c r="Q1587" s="9" t="s">
        <v>25</v>
      </c>
    </row>
    <row r="1588" spans="1:17" x14ac:dyDescent="0.25">
      <c r="A1588" s="5" t="s">
        <v>1638</v>
      </c>
      <c r="B1588" s="6" t="s">
        <v>32</v>
      </c>
      <c r="C1588" s="6" t="s">
        <v>39</v>
      </c>
      <c r="D1588" s="6" t="s">
        <v>20</v>
      </c>
      <c r="E1588" s="6" t="s">
        <v>44</v>
      </c>
      <c r="F1588" s="6" t="s">
        <v>22</v>
      </c>
      <c r="G1588" s="6">
        <v>33</v>
      </c>
      <c r="H1588" s="7">
        <v>502.59</v>
      </c>
      <c r="I1588" s="7">
        <v>16585.47</v>
      </c>
      <c r="J1588" s="8">
        <v>45407</v>
      </c>
      <c r="K1588" s="6">
        <v>67</v>
      </c>
      <c r="L1588" s="6" t="s">
        <v>41</v>
      </c>
      <c r="M1588" s="6" t="b">
        <v>0</v>
      </c>
      <c r="N1588" s="6">
        <v>8.24</v>
      </c>
      <c r="O1588" s="6" t="s">
        <v>56</v>
      </c>
      <c r="P1588" s="6" t="b">
        <v>1</v>
      </c>
      <c r="Q1588" s="9" t="s">
        <v>36</v>
      </c>
    </row>
    <row r="1589" spans="1:17" x14ac:dyDescent="0.25">
      <c r="A1589" s="5" t="s">
        <v>1639</v>
      </c>
      <c r="B1589" s="6" t="s">
        <v>32</v>
      </c>
      <c r="C1589" s="6" t="s">
        <v>19</v>
      </c>
      <c r="D1589" s="6" t="s">
        <v>34</v>
      </c>
      <c r="E1589" s="6" t="s">
        <v>21</v>
      </c>
      <c r="F1589" s="6" t="s">
        <v>29</v>
      </c>
      <c r="G1589" s="6">
        <v>31</v>
      </c>
      <c r="H1589" s="7">
        <v>68.260000000000005</v>
      </c>
      <c r="I1589" s="7">
        <v>2116.06</v>
      </c>
      <c r="J1589" s="8">
        <v>44931</v>
      </c>
      <c r="K1589" s="6">
        <v>50</v>
      </c>
      <c r="L1589" s="6" t="s">
        <v>41</v>
      </c>
      <c r="M1589" s="6" t="b">
        <v>1</v>
      </c>
      <c r="N1589" s="6">
        <v>12.21</v>
      </c>
      <c r="O1589" s="6" t="s">
        <v>42</v>
      </c>
      <c r="P1589" s="6" t="b">
        <v>1</v>
      </c>
      <c r="Q1589" s="9" t="s">
        <v>36</v>
      </c>
    </row>
    <row r="1590" spans="1:17" x14ac:dyDescent="0.25">
      <c r="A1590" s="5" t="s">
        <v>1640</v>
      </c>
      <c r="B1590" s="6" t="s">
        <v>72</v>
      </c>
      <c r="C1590" s="6" t="s">
        <v>19</v>
      </c>
      <c r="D1590" s="6" t="s">
        <v>34</v>
      </c>
      <c r="E1590" s="6" t="s">
        <v>35</v>
      </c>
      <c r="F1590" s="6" t="s">
        <v>29</v>
      </c>
      <c r="G1590" s="6">
        <v>55</v>
      </c>
      <c r="H1590" s="7">
        <v>189.21</v>
      </c>
      <c r="I1590" s="7">
        <v>10406.549999999999</v>
      </c>
      <c r="J1590" s="8">
        <v>44960</v>
      </c>
      <c r="K1590" s="6">
        <v>49</v>
      </c>
      <c r="L1590" s="6" t="s">
        <v>23</v>
      </c>
      <c r="M1590" s="6" t="b">
        <v>0</v>
      </c>
      <c r="N1590" s="6">
        <v>28.86</v>
      </c>
      <c r="O1590" s="6" t="s">
        <v>42</v>
      </c>
      <c r="P1590" s="6" t="b">
        <v>0</v>
      </c>
      <c r="Q1590" s="9" t="s">
        <v>36</v>
      </c>
    </row>
    <row r="1591" spans="1:17" x14ac:dyDescent="0.25">
      <c r="A1591" s="5" t="s">
        <v>1641</v>
      </c>
      <c r="B1591" s="6" t="s">
        <v>32</v>
      </c>
      <c r="C1591" s="6" t="s">
        <v>33</v>
      </c>
      <c r="D1591" s="6" t="s">
        <v>47</v>
      </c>
      <c r="E1591" s="6" t="s">
        <v>44</v>
      </c>
      <c r="F1591" s="6" t="s">
        <v>48</v>
      </c>
      <c r="G1591" s="6">
        <v>12</v>
      </c>
      <c r="H1591" s="7">
        <v>480.79</v>
      </c>
      <c r="I1591" s="7">
        <v>5769.48</v>
      </c>
      <c r="J1591" s="8">
        <v>45071</v>
      </c>
      <c r="K1591" s="6">
        <v>45</v>
      </c>
      <c r="L1591" s="6" t="s">
        <v>49</v>
      </c>
      <c r="M1591" s="6" t="b">
        <v>0</v>
      </c>
      <c r="N1591" s="6">
        <v>15.67</v>
      </c>
      <c r="O1591" s="6" t="s">
        <v>30</v>
      </c>
      <c r="P1591" s="6" t="b">
        <v>0</v>
      </c>
      <c r="Q1591" s="9" t="s">
        <v>36</v>
      </c>
    </row>
    <row r="1592" spans="1:17" x14ac:dyDescent="0.25">
      <c r="A1592" s="5" t="s">
        <v>1642</v>
      </c>
      <c r="B1592" s="6" t="s">
        <v>38</v>
      </c>
      <c r="C1592" s="6" t="s">
        <v>33</v>
      </c>
      <c r="D1592" s="6" t="s">
        <v>20</v>
      </c>
      <c r="E1592" s="6" t="s">
        <v>44</v>
      </c>
      <c r="F1592" s="6" t="s">
        <v>29</v>
      </c>
      <c r="G1592" s="6">
        <v>11</v>
      </c>
      <c r="H1592" s="7">
        <v>128.69</v>
      </c>
      <c r="I1592" s="7">
        <v>1415.59</v>
      </c>
      <c r="J1592" s="8">
        <v>45277</v>
      </c>
      <c r="K1592" s="6">
        <v>54</v>
      </c>
      <c r="L1592" s="6" t="s">
        <v>49</v>
      </c>
      <c r="M1592" s="6" t="b">
        <v>1</v>
      </c>
      <c r="N1592" s="6">
        <v>16.600000000000001</v>
      </c>
      <c r="O1592" s="6" t="s">
        <v>42</v>
      </c>
      <c r="P1592" s="6" t="b">
        <v>1</v>
      </c>
      <c r="Q1592" s="9" t="s">
        <v>36</v>
      </c>
    </row>
    <row r="1593" spans="1:17" x14ac:dyDescent="0.25">
      <c r="A1593" s="5" t="s">
        <v>1643</v>
      </c>
      <c r="B1593" s="6" t="s">
        <v>66</v>
      </c>
      <c r="C1593" s="6" t="s">
        <v>39</v>
      </c>
      <c r="D1593" s="6" t="s">
        <v>64</v>
      </c>
      <c r="E1593" s="6" t="s">
        <v>35</v>
      </c>
      <c r="F1593" s="6" t="s">
        <v>29</v>
      </c>
      <c r="G1593" s="6">
        <v>88</v>
      </c>
      <c r="H1593" s="7">
        <v>915.11</v>
      </c>
      <c r="I1593" s="7">
        <v>80529.679999999993</v>
      </c>
      <c r="J1593" s="8">
        <v>45509</v>
      </c>
      <c r="K1593" s="6">
        <v>58</v>
      </c>
      <c r="L1593" s="6" t="s">
        <v>49</v>
      </c>
      <c r="M1593" s="6" t="b">
        <v>1</v>
      </c>
      <c r="N1593" s="6">
        <v>28.25</v>
      </c>
      <c r="O1593" s="6" t="s">
        <v>30</v>
      </c>
      <c r="P1593" s="6" t="b">
        <v>0</v>
      </c>
      <c r="Q1593" s="9" t="s">
        <v>25</v>
      </c>
    </row>
    <row r="1594" spans="1:17" x14ac:dyDescent="0.25">
      <c r="A1594" s="5" t="s">
        <v>1644</v>
      </c>
      <c r="B1594" s="6" t="s">
        <v>66</v>
      </c>
      <c r="C1594" s="6" t="s">
        <v>33</v>
      </c>
      <c r="D1594" s="6" t="s">
        <v>47</v>
      </c>
      <c r="E1594" s="6" t="s">
        <v>21</v>
      </c>
      <c r="F1594" s="6" t="s">
        <v>40</v>
      </c>
      <c r="G1594" s="6">
        <v>72</v>
      </c>
      <c r="H1594" s="7">
        <v>175.95</v>
      </c>
      <c r="I1594" s="7">
        <v>12668.4</v>
      </c>
      <c r="J1594" s="8">
        <v>45391</v>
      </c>
      <c r="K1594" s="6">
        <v>29</v>
      </c>
      <c r="L1594" s="6" t="s">
        <v>49</v>
      </c>
      <c r="M1594" s="6" t="b">
        <v>1</v>
      </c>
      <c r="N1594" s="6">
        <v>27.63</v>
      </c>
      <c r="O1594" s="6" t="s">
        <v>24</v>
      </c>
      <c r="P1594" s="6" t="b">
        <v>0</v>
      </c>
      <c r="Q1594" s="9" t="s">
        <v>36</v>
      </c>
    </row>
    <row r="1595" spans="1:17" x14ac:dyDescent="0.25">
      <c r="A1595" s="5" t="s">
        <v>1645</v>
      </c>
      <c r="B1595" s="6" t="s">
        <v>62</v>
      </c>
      <c r="C1595" s="6" t="s">
        <v>33</v>
      </c>
      <c r="D1595" s="6" t="s">
        <v>34</v>
      </c>
      <c r="E1595" s="6" t="s">
        <v>21</v>
      </c>
      <c r="F1595" s="6" t="s">
        <v>40</v>
      </c>
      <c r="G1595" s="6">
        <v>32</v>
      </c>
      <c r="H1595" s="7">
        <v>1067.48</v>
      </c>
      <c r="I1595" s="7">
        <v>34159.360000000001</v>
      </c>
      <c r="J1595" s="8">
        <v>45274</v>
      </c>
      <c r="K1595" s="6">
        <v>26</v>
      </c>
      <c r="L1595" s="6" t="s">
        <v>41</v>
      </c>
      <c r="M1595" s="6" t="b">
        <v>0</v>
      </c>
      <c r="N1595" s="6">
        <v>26.52</v>
      </c>
      <c r="O1595" s="6" t="s">
        <v>30</v>
      </c>
      <c r="P1595" s="6" t="b">
        <v>0</v>
      </c>
      <c r="Q1595" s="9" t="s">
        <v>25</v>
      </c>
    </row>
    <row r="1596" spans="1:17" x14ac:dyDescent="0.25">
      <c r="A1596" s="5" t="s">
        <v>1646</v>
      </c>
      <c r="B1596" s="6" t="s">
        <v>76</v>
      </c>
      <c r="C1596" s="6" t="s">
        <v>19</v>
      </c>
      <c r="D1596" s="6" t="s">
        <v>20</v>
      </c>
      <c r="E1596" s="6" t="s">
        <v>21</v>
      </c>
      <c r="F1596" s="6" t="s">
        <v>22</v>
      </c>
      <c r="G1596" s="6">
        <v>57</v>
      </c>
      <c r="H1596" s="7">
        <v>126.33</v>
      </c>
      <c r="I1596" s="7">
        <v>7200.81</v>
      </c>
      <c r="J1596" s="8">
        <v>45051</v>
      </c>
      <c r="K1596" s="6">
        <v>67</v>
      </c>
      <c r="L1596" s="6" t="s">
        <v>23</v>
      </c>
      <c r="M1596" s="6" t="b">
        <v>1</v>
      </c>
      <c r="N1596" s="6">
        <v>2.94</v>
      </c>
      <c r="O1596" s="6" t="s">
        <v>42</v>
      </c>
      <c r="P1596" s="6" t="b">
        <v>1</v>
      </c>
      <c r="Q1596" s="9" t="s">
        <v>36</v>
      </c>
    </row>
    <row r="1597" spans="1:17" x14ac:dyDescent="0.25">
      <c r="A1597" s="5" t="s">
        <v>1647</v>
      </c>
      <c r="B1597" s="6" t="s">
        <v>72</v>
      </c>
      <c r="C1597" s="6" t="s">
        <v>33</v>
      </c>
      <c r="D1597" s="6" t="s">
        <v>52</v>
      </c>
      <c r="E1597" s="6" t="s">
        <v>44</v>
      </c>
      <c r="F1597" s="6" t="s">
        <v>29</v>
      </c>
      <c r="G1597" s="6">
        <v>38</v>
      </c>
      <c r="H1597" s="7">
        <v>136</v>
      </c>
      <c r="I1597" s="7">
        <v>5168</v>
      </c>
      <c r="J1597" s="8">
        <v>45197</v>
      </c>
      <c r="K1597" s="6">
        <v>28</v>
      </c>
      <c r="L1597" s="6" t="s">
        <v>23</v>
      </c>
      <c r="M1597" s="6" t="b">
        <v>1</v>
      </c>
      <c r="N1597" s="6">
        <v>19.03</v>
      </c>
      <c r="O1597" s="6" t="s">
        <v>24</v>
      </c>
      <c r="P1597" s="6" t="b">
        <v>0</v>
      </c>
      <c r="Q1597" s="9" t="s">
        <v>36</v>
      </c>
    </row>
    <row r="1598" spans="1:17" x14ac:dyDescent="0.25">
      <c r="A1598" s="5" t="s">
        <v>1648</v>
      </c>
      <c r="B1598" s="6" t="s">
        <v>62</v>
      </c>
      <c r="C1598" s="6" t="s">
        <v>39</v>
      </c>
      <c r="D1598" s="6" t="s">
        <v>64</v>
      </c>
      <c r="E1598" s="6" t="s">
        <v>44</v>
      </c>
      <c r="F1598" s="6" t="s">
        <v>22</v>
      </c>
      <c r="G1598" s="6">
        <v>60</v>
      </c>
      <c r="H1598" s="7">
        <v>492.72</v>
      </c>
      <c r="I1598" s="7">
        <v>29563.200000000001</v>
      </c>
      <c r="J1598" s="8">
        <v>45283</v>
      </c>
      <c r="K1598" s="6">
        <v>50</v>
      </c>
      <c r="L1598" s="6" t="s">
        <v>49</v>
      </c>
      <c r="M1598" s="6" t="b">
        <v>1</v>
      </c>
      <c r="N1598" s="6">
        <v>24.24</v>
      </c>
      <c r="O1598" s="6" t="s">
        <v>42</v>
      </c>
      <c r="P1598" s="6" t="b">
        <v>0</v>
      </c>
      <c r="Q1598" s="9" t="s">
        <v>25</v>
      </c>
    </row>
    <row r="1599" spans="1:17" x14ac:dyDescent="0.25">
      <c r="A1599" s="5" t="s">
        <v>1649</v>
      </c>
      <c r="B1599" s="6" t="s">
        <v>76</v>
      </c>
      <c r="C1599" s="6" t="s">
        <v>19</v>
      </c>
      <c r="D1599" s="6" t="s">
        <v>34</v>
      </c>
      <c r="E1599" s="6" t="s">
        <v>21</v>
      </c>
      <c r="F1599" s="6" t="s">
        <v>22</v>
      </c>
      <c r="G1599" s="6">
        <v>86</v>
      </c>
      <c r="H1599" s="7">
        <v>1350.03</v>
      </c>
      <c r="I1599" s="7">
        <v>116102.58</v>
      </c>
      <c r="J1599" s="8">
        <v>45453</v>
      </c>
      <c r="K1599" s="6">
        <v>36</v>
      </c>
      <c r="L1599" s="6" t="s">
        <v>23</v>
      </c>
      <c r="M1599" s="6" t="b">
        <v>0</v>
      </c>
      <c r="N1599" s="6">
        <v>25.07</v>
      </c>
      <c r="O1599" s="6" t="s">
        <v>30</v>
      </c>
      <c r="P1599" s="6" t="b">
        <v>0</v>
      </c>
      <c r="Q1599" s="9" t="s">
        <v>36</v>
      </c>
    </row>
    <row r="1600" spans="1:17" x14ac:dyDescent="0.25">
      <c r="A1600" s="5" t="s">
        <v>1650</v>
      </c>
      <c r="B1600" s="6" t="s">
        <v>32</v>
      </c>
      <c r="C1600" s="6" t="s">
        <v>39</v>
      </c>
      <c r="D1600" s="6" t="s">
        <v>47</v>
      </c>
      <c r="E1600" s="6" t="s">
        <v>28</v>
      </c>
      <c r="F1600" s="6" t="s">
        <v>29</v>
      </c>
      <c r="G1600" s="6">
        <v>98</v>
      </c>
      <c r="H1600" s="7">
        <v>980.02</v>
      </c>
      <c r="I1600" s="7">
        <v>96041.96</v>
      </c>
      <c r="J1600" s="8">
        <v>45424</v>
      </c>
      <c r="K1600" s="6">
        <v>59</v>
      </c>
      <c r="L1600" s="6" t="s">
        <v>41</v>
      </c>
      <c r="M1600" s="6" t="b">
        <v>1</v>
      </c>
      <c r="N1600" s="6">
        <v>17.34</v>
      </c>
      <c r="O1600" s="6" t="s">
        <v>56</v>
      </c>
      <c r="P1600" s="6" t="b">
        <v>0</v>
      </c>
      <c r="Q1600" s="9" t="s">
        <v>36</v>
      </c>
    </row>
    <row r="1601" spans="1:17" x14ac:dyDescent="0.25">
      <c r="A1601" s="5" t="s">
        <v>1651</v>
      </c>
      <c r="B1601" s="6" t="s">
        <v>62</v>
      </c>
      <c r="C1601" s="6" t="s">
        <v>19</v>
      </c>
      <c r="D1601" s="6" t="s">
        <v>20</v>
      </c>
      <c r="E1601" s="6" t="s">
        <v>21</v>
      </c>
      <c r="F1601" s="6" t="s">
        <v>48</v>
      </c>
      <c r="G1601" s="6">
        <v>19</v>
      </c>
      <c r="H1601" s="7">
        <v>1166.69</v>
      </c>
      <c r="I1601" s="7">
        <v>22167.11</v>
      </c>
      <c r="J1601" s="8">
        <v>45079</v>
      </c>
      <c r="K1601" s="6">
        <v>51</v>
      </c>
      <c r="L1601" s="6" t="s">
        <v>49</v>
      </c>
      <c r="M1601" s="6" t="b">
        <v>0</v>
      </c>
      <c r="N1601" s="6">
        <v>0.52</v>
      </c>
      <c r="O1601" s="6" t="s">
        <v>24</v>
      </c>
      <c r="P1601" s="6" t="b">
        <v>1</v>
      </c>
      <c r="Q1601" s="9" t="s">
        <v>36</v>
      </c>
    </row>
    <row r="1602" spans="1:17" x14ac:dyDescent="0.25">
      <c r="A1602" s="5" t="s">
        <v>1652</v>
      </c>
      <c r="B1602" s="6" t="s">
        <v>51</v>
      </c>
      <c r="C1602" s="6" t="s">
        <v>33</v>
      </c>
      <c r="D1602" s="6" t="s">
        <v>64</v>
      </c>
      <c r="E1602" s="6" t="s">
        <v>35</v>
      </c>
      <c r="F1602" s="6" t="s">
        <v>29</v>
      </c>
      <c r="G1602" s="6">
        <v>84</v>
      </c>
      <c r="H1602" s="7">
        <v>255.25</v>
      </c>
      <c r="I1602" s="7">
        <v>21441</v>
      </c>
      <c r="J1602" s="8">
        <v>44979</v>
      </c>
      <c r="K1602" s="6">
        <v>24</v>
      </c>
      <c r="L1602" s="6" t="s">
        <v>41</v>
      </c>
      <c r="M1602" s="6" t="b">
        <v>0</v>
      </c>
      <c r="N1602" s="6">
        <v>29.21</v>
      </c>
      <c r="O1602" s="6" t="s">
        <v>56</v>
      </c>
      <c r="P1602" s="6" t="b">
        <v>0</v>
      </c>
      <c r="Q1602" s="9" t="s">
        <v>36</v>
      </c>
    </row>
    <row r="1603" spans="1:17" x14ac:dyDescent="0.25">
      <c r="A1603" s="5" t="s">
        <v>1653</v>
      </c>
      <c r="B1603" s="6" t="s">
        <v>32</v>
      </c>
      <c r="C1603" s="6" t="s">
        <v>19</v>
      </c>
      <c r="D1603" s="6" t="s">
        <v>20</v>
      </c>
      <c r="E1603" s="6" t="s">
        <v>44</v>
      </c>
      <c r="F1603" s="6" t="s">
        <v>40</v>
      </c>
      <c r="G1603" s="6">
        <v>56</v>
      </c>
      <c r="H1603" s="7">
        <v>1259.48</v>
      </c>
      <c r="I1603" s="7">
        <v>70530.880000000005</v>
      </c>
      <c r="J1603" s="8">
        <v>45075</v>
      </c>
      <c r="K1603" s="6">
        <v>48</v>
      </c>
      <c r="L1603" s="6" t="s">
        <v>41</v>
      </c>
      <c r="M1603" s="6" t="b">
        <v>1</v>
      </c>
      <c r="N1603" s="6">
        <v>14.17</v>
      </c>
      <c r="O1603" s="6" t="s">
        <v>56</v>
      </c>
      <c r="P1603" s="6" t="b">
        <v>0</v>
      </c>
      <c r="Q1603" s="9" t="s">
        <v>25</v>
      </c>
    </row>
    <row r="1604" spans="1:17" x14ac:dyDescent="0.25">
      <c r="A1604" s="5" t="s">
        <v>1654</v>
      </c>
      <c r="B1604" s="6" t="s">
        <v>76</v>
      </c>
      <c r="C1604" s="6" t="s">
        <v>19</v>
      </c>
      <c r="D1604" s="6" t="s">
        <v>52</v>
      </c>
      <c r="E1604" s="6" t="s">
        <v>35</v>
      </c>
      <c r="F1604" s="6" t="s">
        <v>29</v>
      </c>
      <c r="G1604" s="6">
        <v>14</v>
      </c>
      <c r="H1604" s="7">
        <v>61.81</v>
      </c>
      <c r="I1604" s="7">
        <v>865.34</v>
      </c>
      <c r="J1604" s="8">
        <v>45429</v>
      </c>
      <c r="K1604" s="6">
        <v>69</v>
      </c>
      <c r="L1604" s="6" t="s">
        <v>41</v>
      </c>
      <c r="M1604" s="6" t="b">
        <v>0</v>
      </c>
      <c r="N1604" s="6">
        <v>11.81</v>
      </c>
      <c r="O1604" s="6" t="s">
        <v>24</v>
      </c>
      <c r="P1604" s="6" t="b">
        <v>0</v>
      </c>
      <c r="Q1604" s="9" t="s">
        <v>36</v>
      </c>
    </row>
    <row r="1605" spans="1:17" x14ac:dyDescent="0.25">
      <c r="A1605" s="5" t="s">
        <v>1655</v>
      </c>
      <c r="B1605" s="6" t="s">
        <v>72</v>
      </c>
      <c r="C1605" s="6" t="s">
        <v>33</v>
      </c>
      <c r="D1605" s="6" t="s">
        <v>47</v>
      </c>
      <c r="E1605" s="6" t="s">
        <v>35</v>
      </c>
      <c r="F1605" s="6" t="s">
        <v>48</v>
      </c>
      <c r="G1605" s="6">
        <v>33</v>
      </c>
      <c r="H1605" s="7">
        <v>358.93</v>
      </c>
      <c r="I1605" s="7">
        <v>11844.69</v>
      </c>
      <c r="J1605" s="8">
        <v>45376</v>
      </c>
      <c r="K1605" s="6">
        <v>19</v>
      </c>
      <c r="L1605" s="6" t="s">
        <v>41</v>
      </c>
      <c r="M1605" s="6" t="b">
        <v>0</v>
      </c>
      <c r="N1605" s="6">
        <v>11.85</v>
      </c>
      <c r="O1605" s="6" t="s">
        <v>56</v>
      </c>
      <c r="P1605" s="6" t="b">
        <v>1</v>
      </c>
      <c r="Q1605" s="9" t="s">
        <v>36</v>
      </c>
    </row>
    <row r="1606" spans="1:17" x14ac:dyDescent="0.25">
      <c r="A1606" s="5" t="s">
        <v>1656</v>
      </c>
      <c r="B1606" s="6" t="s">
        <v>76</v>
      </c>
      <c r="C1606" s="6" t="s">
        <v>33</v>
      </c>
      <c r="D1606" s="6" t="s">
        <v>20</v>
      </c>
      <c r="E1606" s="6" t="s">
        <v>44</v>
      </c>
      <c r="F1606" s="6" t="s">
        <v>22</v>
      </c>
      <c r="G1606" s="6">
        <v>10</v>
      </c>
      <c r="H1606" s="7">
        <v>943.33</v>
      </c>
      <c r="I1606" s="7">
        <v>9433.2999999999993</v>
      </c>
      <c r="J1606" s="8">
        <v>45145</v>
      </c>
      <c r="K1606" s="6">
        <v>36</v>
      </c>
      <c r="L1606" s="6" t="s">
        <v>41</v>
      </c>
      <c r="M1606" s="6" t="b">
        <v>0</v>
      </c>
      <c r="N1606" s="6">
        <v>12.72</v>
      </c>
      <c r="O1606" s="6" t="s">
        <v>56</v>
      </c>
      <c r="P1606" s="6" t="b">
        <v>1</v>
      </c>
      <c r="Q1606" s="9" t="s">
        <v>36</v>
      </c>
    </row>
    <row r="1607" spans="1:17" x14ac:dyDescent="0.25">
      <c r="A1607" s="5" t="s">
        <v>1657</v>
      </c>
      <c r="B1607" s="6" t="s">
        <v>62</v>
      </c>
      <c r="C1607" s="6" t="s">
        <v>39</v>
      </c>
      <c r="D1607" s="6" t="s">
        <v>34</v>
      </c>
      <c r="E1607" s="6" t="s">
        <v>28</v>
      </c>
      <c r="F1607" s="6" t="s">
        <v>22</v>
      </c>
      <c r="G1607" s="6">
        <v>80</v>
      </c>
      <c r="H1607" s="7">
        <v>594.11</v>
      </c>
      <c r="I1607" s="7">
        <v>47528.800000000003</v>
      </c>
      <c r="J1607" s="8">
        <v>45551</v>
      </c>
      <c r="K1607" s="6">
        <v>55</v>
      </c>
      <c r="L1607" s="6" t="s">
        <v>49</v>
      </c>
      <c r="M1607" s="6" t="b">
        <v>0</v>
      </c>
      <c r="N1607" s="6">
        <v>7.27</v>
      </c>
      <c r="O1607" s="6" t="s">
        <v>56</v>
      </c>
      <c r="P1607" s="6" t="b">
        <v>1</v>
      </c>
      <c r="Q1607" s="9" t="s">
        <v>36</v>
      </c>
    </row>
    <row r="1608" spans="1:17" x14ac:dyDescent="0.25">
      <c r="A1608" s="5" t="s">
        <v>1658</v>
      </c>
      <c r="B1608" s="6" t="s">
        <v>62</v>
      </c>
      <c r="C1608" s="6" t="s">
        <v>39</v>
      </c>
      <c r="D1608" s="6" t="s">
        <v>47</v>
      </c>
      <c r="E1608" s="6" t="s">
        <v>21</v>
      </c>
      <c r="F1608" s="6" t="s">
        <v>40</v>
      </c>
      <c r="G1608" s="6">
        <v>64</v>
      </c>
      <c r="H1608" s="7">
        <v>1477.08</v>
      </c>
      <c r="I1608" s="7">
        <v>94533.119999999995</v>
      </c>
      <c r="J1608" s="8">
        <v>45203</v>
      </c>
      <c r="K1608" s="6">
        <v>49</v>
      </c>
      <c r="L1608" s="6" t="s">
        <v>41</v>
      </c>
      <c r="M1608" s="6" t="b">
        <v>0</v>
      </c>
      <c r="N1608" s="6">
        <v>9.82</v>
      </c>
      <c r="O1608" s="6" t="s">
        <v>56</v>
      </c>
      <c r="P1608" s="6" t="b">
        <v>0</v>
      </c>
      <c r="Q1608" s="9" t="s">
        <v>36</v>
      </c>
    </row>
    <row r="1609" spans="1:17" x14ac:dyDescent="0.25">
      <c r="A1609" s="5" t="s">
        <v>1659</v>
      </c>
      <c r="B1609" s="6" t="s">
        <v>27</v>
      </c>
      <c r="C1609" s="6" t="s">
        <v>33</v>
      </c>
      <c r="D1609" s="6" t="s">
        <v>34</v>
      </c>
      <c r="E1609" s="6" t="s">
        <v>35</v>
      </c>
      <c r="F1609" s="6" t="s">
        <v>40</v>
      </c>
      <c r="G1609" s="6">
        <v>64</v>
      </c>
      <c r="H1609" s="7">
        <v>93.99</v>
      </c>
      <c r="I1609" s="7">
        <v>6015.36</v>
      </c>
      <c r="J1609" s="8">
        <v>45378</v>
      </c>
      <c r="K1609" s="6">
        <v>27</v>
      </c>
      <c r="L1609" s="6" t="s">
        <v>49</v>
      </c>
      <c r="M1609" s="6" t="b">
        <v>1</v>
      </c>
      <c r="N1609" s="6">
        <v>29.56</v>
      </c>
      <c r="O1609" s="6" t="s">
        <v>24</v>
      </c>
      <c r="P1609" s="6" t="b">
        <v>0</v>
      </c>
      <c r="Q1609" s="9" t="s">
        <v>36</v>
      </c>
    </row>
    <row r="1610" spans="1:17" x14ac:dyDescent="0.25">
      <c r="A1610" s="5" t="s">
        <v>1660</v>
      </c>
      <c r="B1610" s="6" t="s">
        <v>72</v>
      </c>
      <c r="C1610" s="6" t="s">
        <v>33</v>
      </c>
      <c r="D1610" s="6" t="s">
        <v>20</v>
      </c>
      <c r="E1610" s="6" t="s">
        <v>44</v>
      </c>
      <c r="F1610" s="6" t="s">
        <v>40</v>
      </c>
      <c r="G1610" s="6">
        <v>62</v>
      </c>
      <c r="H1610" s="7">
        <v>1497.97</v>
      </c>
      <c r="I1610" s="7">
        <v>92874.14</v>
      </c>
      <c r="J1610" s="8">
        <v>45354</v>
      </c>
      <c r="K1610" s="6">
        <v>58</v>
      </c>
      <c r="L1610" s="6" t="s">
        <v>23</v>
      </c>
      <c r="M1610" s="6" t="b">
        <v>1</v>
      </c>
      <c r="N1610" s="6">
        <v>11.05</v>
      </c>
      <c r="O1610" s="6" t="s">
        <v>42</v>
      </c>
      <c r="P1610" s="6" t="b">
        <v>0</v>
      </c>
      <c r="Q1610" s="9" t="s">
        <v>36</v>
      </c>
    </row>
    <row r="1611" spans="1:17" x14ac:dyDescent="0.25">
      <c r="A1611" s="5" t="s">
        <v>1661</v>
      </c>
      <c r="B1611" s="6" t="s">
        <v>46</v>
      </c>
      <c r="C1611" s="6" t="s">
        <v>33</v>
      </c>
      <c r="D1611" s="6" t="s">
        <v>47</v>
      </c>
      <c r="E1611" s="6" t="s">
        <v>35</v>
      </c>
      <c r="F1611" s="6" t="s">
        <v>22</v>
      </c>
      <c r="G1611" s="6">
        <v>68</v>
      </c>
      <c r="H1611" s="7">
        <v>954.26</v>
      </c>
      <c r="I1611" s="7">
        <v>64889.68</v>
      </c>
      <c r="J1611" s="8">
        <v>45009</v>
      </c>
      <c r="K1611" s="6">
        <v>25</v>
      </c>
      <c r="L1611" s="6" t="s">
        <v>41</v>
      </c>
      <c r="M1611" s="6" t="b">
        <v>1</v>
      </c>
      <c r="N1611" s="6">
        <v>15.8</v>
      </c>
      <c r="O1611" s="6" t="s">
        <v>56</v>
      </c>
      <c r="P1611" s="6" t="b">
        <v>1</v>
      </c>
      <c r="Q1611" s="9" t="s">
        <v>36</v>
      </c>
    </row>
    <row r="1612" spans="1:17" x14ac:dyDescent="0.25">
      <c r="A1612" s="5" t="s">
        <v>1662</v>
      </c>
      <c r="B1612" s="6" t="s">
        <v>32</v>
      </c>
      <c r="C1612" s="6" t="s">
        <v>19</v>
      </c>
      <c r="D1612" s="6" t="s">
        <v>34</v>
      </c>
      <c r="E1612" s="6" t="s">
        <v>21</v>
      </c>
      <c r="F1612" s="6" t="s">
        <v>40</v>
      </c>
      <c r="G1612" s="6">
        <v>91</v>
      </c>
      <c r="H1612" s="7">
        <v>860.13</v>
      </c>
      <c r="I1612" s="7">
        <v>78271.83</v>
      </c>
      <c r="J1612" s="8">
        <v>45144</v>
      </c>
      <c r="K1612" s="6">
        <v>43</v>
      </c>
      <c r="L1612" s="6" t="s">
        <v>41</v>
      </c>
      <c r="M1612" s="6" t="b">
        <v>0</v>
      </c>
      <c r="N1612" s="6">
        <v>25.45</v>
      </c>
      <c r="O1612" s="6" t="s">
        <v>24</v>
      </c>
      <c r="P1612" s="6" t="b">
        <v>0</v>
      </c>
      <c r="Q1612" s="9" t="s">
        <v>25</v>
      </c>
    </row>
    <row r="1613" spans="1:17" x14ac:dyDescent="0.25">
      <c r="A1613" s="5" t="s">
        <v>1663</v>
      </c>
      <c r="B1613" s="6" t="s">
        <v>66</v>
      </c>
      <c r="C1613" s="6" t="s">
        <v>19</v>
      </c>
      <c r="D1613" s="6" t="s">
        <v>52</v>
      </c>
      <c r="E1613" s="6" t="s">
        <v>28</v>
      </c>
      <c r="F1613" s="6" t="s">
        <v>29</v>
      </c>
      <c r="G1613" s="6">
        <v>92</v>
      </c>
      <c r="H1613" s="7">
        <v>136.29</v>
      </c>
      <c r="I1613" s="7">
        <v>12538.68</v>
      </c>
      <c r="J1613" s="8">
        <v>45453</v>
      </c>
      <c r="K1613" s="6">
        <v>47</v>
      </c>
      <c r="L1613" s="6" t="s">
        <v>23</v>
      </c>
      <c r="M1613" s="6" t="b">
        <v>1</v>
      </c>
      <c r="N1613" s="6">
        <v>15.82</v>
      </c>
      <c r="O1613" s="6" t="s">
        <v>24</v>
      </c>
      <c r="P1613" s="6" t="b">
        <v>0</v>
      </c>
      <c r="Q1613" s="9" t="s">
        <v>25</v>
      </c>
    </row>
    <row r="1614" spans="1:17" x14ac:dyDescent="0.25">
      <c r="A1614" s="5" t="s">
        <v>1664</v>
      </c>
      <c r="B1614" s="6" t="s">
        <v>72</v>
      </c>
      <c r="C1614" s="6" t="s">
        <v>19</v>
      </c>
      <c r="D1614" s="6" t="s">
        <v>52</v>
      </c>
      <c r="E1614" s="6" t="s">
        <v>28</v>
      </c>
      <c r="F1614" s="6" t="s">
        <v>22</v>
      </c>
      <c r="G1614" s="6">
        <v>43</v>
      </c>
      <c r="H1614" s="7">
        <v>446.33</v>
      </c>
      <c r="I1614" s="7">
        <v>19192.189999999999</v>
      </c>
      <c r="J1614" s="8">
        <v>45330</v>
      </c>
      <c r="K1614" s="6">
        <v>28</v>
      </c>
      <c r="L1614" s="6" t="s">
        <v>49</v>
      </c>
      <c r="M1614" s="6" t="b">
        <v>0</v>
      </c>
      <c r="N1614" s="6">
        <v>9.73</v>
      </c>
      <c r="O1614" s="6" t="s">
        <v>24</v>
      </c>
      <c r="P1614" s="6" t="b">
        <v>1</v>
      </c>
      <c r="Q1614" s="9" t="s">
        <v>25</v>
      </c>
    </row>
    <row r="1615" spans="1:17" x14ac:dyDescent="0.25">
      <c r="A1615" s="5" t="s">
        <v>1665</v>
      </c>
      <c r="B1615" s="6" t="s">
        <v>66</v>
      </c>
      <c r="C1615" s="6" t="s">
        <v>33</v>
      </c>
      <c r="D1615" s="6" t="s">
        <v>20</v>
      </c>
      <c r="E1615" s="6" t="s">
        <v>28</v>
      </c>
      <c r="F1615" s="6" t="s">
        <v>48</v>
      </c>
      <c r="G1615" s="6">
        <v>80</v>
      </c>
      <c r="H1615" s="7">
        <v>1390.76</v>
      </c>
      <c r="I1615" s="7">
        <v>111260.8</v>
      </c>
      <c r="J1615" s="8">
        <v>45216</v>
      </c>
      <c r="K1615" s="6">
        <v>58</v>
      </c>
      <c r="L1615" s="6" t="s">
        <v>41</v>
      </c>
      <c r="M1615" s="6" t="b">
        <v>0</v>
      </c>
      <c r="N1615" s="6">
        <v>15.71</v>
      </c>
      <c r="O1615" s="6" t="s">
        <v>24</v>
      </c>
      <c r="P1615" s="6" t="b">
        <v>0</v>
      </c>
      <c r="Q1615" s="9" t="s">
        <v>36</v>
      </c>
    </row>
    <row r="1616" spans="1:17" x14ac:dyDescent="0.25">
      <c r="A1616" s="5" t="s">
        <v>1666</v>
      </c>
      <c r="B1616" s="6" t="s">
        <v>72</v>
      </c>
      <c r="C1616" s="6" t="s">
        <v>39</v>
      </c>
      <c r="D1616" s="6" t="s">
        <v>47</v>
      </c>
      <c r="E1616" s="6" t="s">
        <v>44</v>
      </c>
      <c r="F1616" s="6" t="s">
        <v>22</v>
      </c>
      <c r="G1616" s="6">
        <v>59</v>
      </c>
      <c r="H1616" s="7">
        <v>563.66</v>
      </c>
      <c r="I1616" s="7">
        <v>33255.94</v>
      </c>
      <c r="J1616" s="8">
        <v>45346</v>
      </c>
      <c r="K1616" s="6">
        <v>37</v>
      </c>
      <c r="L1616" s="6" t="s">
        <v>23</v>
      </c>
      <c r="M1616" s="6" t="b">
        <v>0</v>
      </c>
      <c r="N1616" s="6">
        <v>3.42</v>
      </c>
      <c r="O1616" s="6" t="s">
        <v>30</v>
      </c>
      <c r="P1616" s="6" t="b">
        <v>0</v>
      </c>
      <c r="Q1616" s="9" t="s">
        <v>36</v>
      </c>
    </row>
    <row r="1617" spans="1:17" x14ac:dyDescent="0.25">
      <c r="A1617" s="5" t="s">
        <v>1667</v>
      </c>
      <c r="B1617" s="6" t="s">
        <v>72</v>
      </c>
      <c r="C1617" s="6" t="s">
        <v>33</v>
      </c>
      <c r="D1617" s="6" t="s">
        <v>64</v>
      </c>
      <c r="E1617" s="6" t="s">
        <v>44</v>
      </c>
      <c r="F1617" s="6" t="s">
        <v>29</v>
      </c>
      <c r="G1617" s="6">
        <v>52</v>
      </c>
      <c r="H1617" s="7">
        <v>1009.4</v>
      </c>
      <c r="I1617" s="7">
        <v>52488.800000000003</v>
      </c>
      <c r="J1617" s="8">
        <v>45265</v>
      </c>
      <c r="K1617" s="6">
        <v>37</v>
      </c>
      <c r="L1617" s="6" t="s">
        <v>23</v>
      </c>
      <c r="M1617" s="6" t="b">
        <v>0</v>
      </c>
      <c r="N1617" s="6">
        <v>3.9</v>
      </c>
      <c r="O1617" s="6" t="s">
        <v>42</v>
      </c>
      <c r="P1617" s="6" t="b">
        <v>1</v>
      </c>
      <c r="Q1617" s="9" t="s">
        <v>25</v>
      </c>
    </row>
    <row r="1618" spans="1:17" x14ac:dyDescent="0.25">
      <c r="A1618" s="5" t="s">
        <v>1668</v>
      </c>
      <c r="B1618" s="6" t="s">
        <v>76</v>
      </c>
      <c r="C1618" s="6" t="s">
        <v>19</v>
      </c>
      <c r="D1618" s="6" t="s">
        <v>47</v>
      </c>
      <c r="E1618" s="6" t="s">
        <v>28</v>
      </c>
      <c r="F1618" s="6" t="s">
        <v>29</v>
      </c>
      <c r="G1618" s="6">
        <v>97</v>
      </c>
      <c r="H1618" s="7">
        <v>1499.27</v>
      </c>
      <c r="I1618" s="7">
        <v>145429.19</v>
      </c>
      <c r="J1618" s="8">
        <v>45596</v>
      </c>
      <c r="K1618" s="6">
        <v>26</v>
      </c>
      <c r="L1618" s="6" t="s">
        <v>41</v>
      </c>
      <c r="M1618" s="6" t="b">
        <v>1</v>
      </c>
      <c r="N1618" s="6">
        <v>20.82</v>
      </c>
      <c r="O1618" s="6" t="s">
        <v>42</v>
      </c>
      <c r="P1618" s="6" t="b">
        <v>1</v>
      </c>
      <c r="Q1618" s="9" t="s">
        <v>25</v>
      </c>
    </row>
    <row r="1619" spans="1:17" x14ac:dyDescent="0.25">
      <c r="A1619" s="5" t="s">
        <v>1669</v>
      </c>
      <c r="B1619" s="6" t="s">
        <v>72</v>
      </c>
      <c r="C1619" s="6" t="s">
        <v>19</v>
      </c>
      <c r="D1619" s="6" t="s">
        <v>52</v>
      </c>
      <c r="E1619" s="6" t="s">
        <v>21</v>
      </c>
      <c r="F1619" s="6" t="s">
        <v>40</v>
      </c>
      <c r="G1619" s="6">
        <v>19</v>
      </c>
      <c r="H1619" s="7">
        <v>431.45</v>
      </c>
      <c r="I1619" s="7">
        <v>8197.5499999999993</v>
      </c>
      <c r="J1619" s="8">
        <v>45345</v>
      </c>
      <c r="K1619" s="6">
        <v>25</v>
      </c>
      <c r="L1619" s="6" t="s">
        <v>49</v>
      </c>
      <c r="M1619" s="6" t="b">
        <v>0</v>
      </c>
      <c r="N1619" s="6">
        <v>27.52</v>
      </c>
      <c r="O1619" s="6" t="s">
        <v>56</v>
      </c>
      <c r="P1619" s="6" t="b">
        <v>1</v>
      </c>
      <c r="Q1619" s="9" t="s">
        <v>25</v>
      </c>
    </row>
    <row r="1620" spans="1:17" x14ac:dyDescent="0.25">
      <c r="A1620" s="5" t="s">
        <v>1670</v>
      </c>
      <c r="B1620" s="6" t="s">
        <v>27</v>
      </c>
      <c r="C1620" s="6" t="s">
        <v>33</v>
      </c>
      <c r="D1620" s="6" t="s">
        <v>34</v>
      </c>
      <c r="E1620" s="6" t="s">
        <v>21</v>
      </c>
      <c r="F1620" s="6" t="s">
        <v>22</v>
      </c>
      <c r="G1620" s="6">
        <v>21</v>
      </c>
      <c r="H1620" s="7">
        <v>885.32</v>
      </c>
      <c r="I1620" s="7">
        <v>18591.72</v>
      </c>
      <c r="J1620" s="8">
        <v>45133</v>
      </c>
      <c r="K1620" s="6">
        <v>32</v>
      </c>
      <c r="L1620" s="6" t="s">
        <v>49</v>
      </c>
      <c r="M1620" s="6" t="b">
        <v>1</v>
      </c>
      <c r="N1620" s="6">
        <v>21.77</v>
      </c>
      <c r="O1620" s="6" t="s">
        <v>24</v>
      </c>
      <c r="P1620" s="6" t="b">
        <v>1</v>
      </c>
      <c r="Q1620" s="9" t="s">
        <v>25</v>
      </c>
    </row>
    <row r="1621" spans="1:17" x14ac:dyDescent="0.25">
      <c r="A1621" s="5" t="s">
        <v>1671</v>
      </c>
      <c r="B1621" s="6" t="s">
        <v>46</v>
      </c>
      <c r="C1621" s="6" t="s">
        <v>33</v>
      </c>
      <c r="D1621" s="6" t="s">
        <v>64</v>
      </c>
      <c r="E1621" s="6" t="s">
        <v>44</v>
      </c>
      <c r="F1621" s="6" t="s">
        <v>22</v>
      </c>
      <c r="G1621" s="6">
        <v>22</v>
      </c>
      <c r="H1621" s="7">
        <v>1059.83</v>
      </c>
      <c r="I1621" s="7">
        <v>23316.26</v>
      </c>
      <c r="J1621" s="8">
        <v>45191</v>
      </c>
      <c r="K1621" s="6">
        <v>51</v>
      </c>
      <c r="L1621" s="6" t="s">
        <v>41</v>
      </c>
      <c r="M1621" s="6" t="b">
        <v>1</v>
      </c>
      <c r="N1621" s="6">
        <v>2.2400000000000002</v>
      </c>
      <c r="O1621" s="6" t="s">
        <v>30</v>
      </c>
      <c r="P1621" s="6" t="b">
        <v>1</v>
      </c>
      <c r="Q1621" s="9" t="s">
        <v>36</v>
      </c>
    </row>
    <row r="1622" spans="1:17" x14ac:dyDescent="0.25">
      <c r="A1622" s="5" t="s">
        <v>1672</v>
      </c>
      <c r="B1622" s="6" t="s">
        <v>62</v>
      </c>
      <c r="C1622" s="6" t="s">
        <v>19</v>
      </c>
      <c r="D1622" s="6" t="s">
        <v>20</v>
      </c>
      <c r="E1622" s="6" t="s">
        <v>28</v>
      </c>
      <c r="F1622" s="6" t="s">
        <v>22</v>
      </c>
      <c r="G1622" s="6">
        <v>9</v>
      </c>
      <c r="H1622" s="7">
        <v>288.70999999999998</v>
      </c>
      <c r="I1622" s="7">
        <v>2598.39</v>
      </c>
      <c r="J1622" s="8">
        <v>44962</v>
      </c>
      <c r="K1622" s="6">
        <v>41</v>
      </c>
      <c r="L1622" s="6" t="s">
        <v>23</v>
      </c>
      <c r="M1622" s="6" t="b">
        <v>0</v>
      </c>
      <c r="N1622" s="6">
        <v>12.09</v>
      </c>
      <c r="O1622" s="6" t="s">
        <v>24</v>
      </c>
      <c r="P1622" s="6" t="b">
        <v>0</v>
      </c>
      <c r="Q1622" s="9" t="s">
        <v>25</v>
      </c>
    </row>
    <row r="1623" spans="1:17" x14ac:dyDescent="0.25">
      <c r="A1623" s="5" t="s">
        <v>1673</v>
      </c>
      <c r="B1623" s="6" t="s">
        <v>18</v>
      </c>
      <c r="C1623" s="6" t="s">
        <v>19</v>
      </c>
      <c r="D1623" s="6" t="s">
        <v>64</v>
      </c>
      <c r="E1623" s="6" t="s">
        <v>21</v>
      </c>
      <c r="F1623" s="6" t="s">
        <v>48</v>
      </c>
      <c r="G1623" s="6">
        <v>9</v>
      </c>
      <c r="H1623" s="7">
        <v>265.58</v>
      </c>
      <c r="I1623" s="7">
        <v>2390.2199999999998</v>
      </c>
      <c r="J1623" s="8">
        <v>45299</v>
      </c>
      <c r="K1623" s="6">
        <v>50</v>
      </c>
      <c r="L1623" s="6" t="s">
        <v>41</v>
      </c>
      <c r="M1623" s="6" t="b">
        <v>1</v>
      </c>
      <c r="N1623" s="6">
        <v>0.08</v>
      </c>
      <c r="O1623" s="6" t="s">
        <v>56</v>
      </c>
      <c r="P1623" s="6" t="b">
        <v>1</v>
      </c>
      <c r="Q1623" s="9" t="s">
        <v>36</v>
      </c>
    </row>
    <row r="1624" spans="1:17" x14ac:dyDescent="0.25">
      <c r="A1624" s="5" t="s">
        <v>1674</v>
      </c>
      <c r="B1624" s="6" t="s">
        <v>66</v>
      </c>
      <c r="C1624" s="6" t="s">
        <v>19</v>
      </c>
      <c r="D1624" s="6" t="s">
        <v>20</v>
      </c>
      <c r="E1624" s="6" t="s">
        <v>21</v>
      </c>
      <c r="F1624" s="6" t="s">
        <v>40</v>
      </c>
      <c r="G1624" s="6">
        <v>73</v>
      </c>
      <c r="H1624" s="7">
        <v>711.65</v>
      </c>
      <c r="I1624" s="7">
        <v>51950.45</v>
      </c>
      <c r="J1624" s="8">
        <v>45414</v>
      </c>
      <c r="K1624" s="6">
        <v>58</v>
      </c>
      <c r="L1624" s="6" t="s">
        <v>49</v>
      </c>
      <c r="M1624" s="6" t="b">
        <v>1</v>
      </c>
      <c r="N1624" s="6">
        <v>15.34</v>
      </c>
      <c r="O1624" s="6" t="s">
        <v>42</v>
      </c>
      <c r="P1624" s="6" t="b">
        <v>0</v>
      </c>
      <c r="Q1624" s="9" t="s">
        <v>25</v>
      </c>
    </row>
    <row r="1625" spans="1:17" x14ac:dyDescent="0.25">
      <c r="A1625" s="5" t="s">
        <v>1675</v>
      </c>
      <c r="B1625" s="6" t="s">
        <v>62</v>
      </c>
      <c r="C1625" s="6" t="s">
        <v>33</v>
      </c>
      <c r="D1625" s="6" t="s">
        <v>64</v>
      </c>
      <c r="E1625" s="6" t="s">
        <v>21</v>
      </c>
      <c r="F1625" s="6" t="s">
        <v>29</v>
      </c>
      <c r="G1625" s="6">
        <v>27</v>
      </c>
      <c r="H1625" s="7">
        <v>609.42999999999995</v>
      </c>
      <c r="I1625" s="7">
        <v>16454.61</v>
      </c>
      <c r="J1625" s="8">
        <v>45185</v>
      </c>
      <c r="K1625" s="6">
        <v>58</v>
      </c>
      <c r="L1625" s="6" t="s">
        <v>23</v>
      </c>
      <c r="M1625" s="6" t="b">
        <v>1</v>
      </c>
      <c r="N1625" s="6">
        <v>5.8</v>
      </c>
      <c r="O1625" s="6" t="s">
        <v>56</v>
      </c>
      <c r="P1625" s="6" t="b">
        <v>0</v>
      </c>
      <c r="Q1625" s="9" t="s">
        <v>36</v>
      </c>
    </row>
    <row r="1626" spans="1:17" x14ac:dyDescent="0.25">
      <c r="A1626" s="5" t="s">
        <v>1676</v>
      </c>
      <c r="B1626" s="6" t="s">
        <v>18</v>
      </c>
      <c r="C1626" s="6" t="s">
        <v>19</v>
      </c>
      <c r="D1626" s="6" t="s">
        <v>20</v>
      </c>
      <c r="E1626" s="6" t="s">
        <v>44</v>
      </c>
      <c r="F1626" s="6" t="s">
        <v>29</v>
      </c>
      <c r="G1626" s="6">
        <v>17</v>
      </c>
      <c r="H1626" s="7">
        <v>1085.6099999999999</v>
      </c>
      <c r="I1626" s="7">
        <v>18455.37</v>
      </c>
      <c r="J1626" s="8">
        <v>45457</v>
      </c>
      <c r="K1626" s="6">
        <v>62</v>
      </c>
      <c r="L1626" s="6" t="s">
        <v>41</v>
      </c>
      <c r="M1626" s="6" t="b">
        <v>0</v>
      </c>
      <c r="N1626" s="6">
        <v>26.04</v>
      </c>
      <c r="O1626" s="6" t="s">
        <v>56</v>
      </c>
      <c r="P1626" s="6" t="b">
        <v>1</v>
      </c>
      <c r="Q1626" s="9" t="s">
        <v>36</v>
      </c>
    </row>
    <row r="1627" spans="1:17" x14ac:dyDescent="0.25">
      <c r="A1627" s="5" t="s">
        <v>1677</v>
      </c>
      <c r="B1627" s="6" t="s">
        <v>46</v>
      </c>
      <c r="C1627" s="6" t="s">
        <v>19</v>
      </c>
      <c r="D1627" s="6" t="s">
        <v>20</v>
      </c>
      <c r="E1627" s="6" t="s">
        <v>28</v>
      </c>
      <c r="F1627" s="6" t="s">
        <v>40</v>
      </c>
      <c r="G1627" s="6">
        <v>44</v>
      </c>
      <c r="H1627" s="7">
        <v>150.79</v>
      </c>
      <c r="I1627" s="7">
        <v>6634.76</v>
      </c>
      <c r="J1627" s="8">
        <v>44949</v>
      </c>
      <c r="K1627" s="6">
        <v>57</v>
      </c>
      <c r="L1627" s="6" t="s">
        <v>23</v>
      </c>
      <c r="M1627" s="6" t="b">
        <v>0</v>
      </c>
      <c r="N1627" s="6">
        <v>3.13</v>
      </c>
      <c r="O1627" s="6" t="s">
        <v>56</v>
      </c>
      <c r="P1627" s="6" t="b">
        <v>1</v>
      </c>
      <c r="Q1627" s="9" t="s">
        <v>36</v>
      </c>
    </row>
    <row r="1628" spans="1:17" x14ac:dyDescent="0.25">
      <c r="A1628" s="5" t="s">
        <v>1678</v>
      </c>
      <c r="B1628" s="6" t="s">
        <v>46</v>
      </c>
      <c r="C1628" s="6" t="s">
        <v>39</v>
      </c>
      <c r="D1628" s="6" t="s">
        <v>64</v>
      </c>
      <c r="E1628" s="6" t="s">
        <v>35</v>
      </c>
      <c r="F1628" s="6" t="s">
        <v>29</v>
      </c>
      <c r="G1628" s="6">
        <v>45</v>
      </c>
      <c r="H1628" s="7">
        <v>1459.64</v>
      </c>
      <c r="I1628" s="7">
        <v>65683.8</v>
      </c>
      <c r="J1628" s="8">
        <v>45030</v>
      </c>
      <c r="K1628" s="6">
        <v>44</v>
      </c>
      <c r="L1628" s="6" t="s">
        <v>49</v>
      </c>
      <c r="M1628" s="6" t="b">
        <v>0</v>
      </c>
      <c r="N1628" s="6">
        <v>0.04</v>
      </c>
      <c r="O1628" s="6" t="s">
        <v>56</v>
      </c>
      <c r="P1628" s="6" t="b">
        <v>0</v>
      </c>
      <c r="Q1628" s="9" t="s">
        <v>36</v>
      </c>
    </row>
    <row r="1629" spans="1:17" x14ac:dyDescent="0.25">
      <c r="A1629" s="5" t="s">
        <v>1679</v>
      </c>
      <c r="B1629" s="6" t="s">
        <v>66</v>
      </c>
      <c r="C1629" s="6" t="s">
        <v>33</v>
      </c>
      <c r="D1629" s="6" t="s">
        <v>64</v>
      </c>
      <c r="E1629" s="6" t="s">
        <v>28</v>
      </c>
      <c r="F1629" s="6" t="s">
        <v>29</v>
      </c>
      <c r="G1629" s="6">
        <v>8</v>
      </c>
      <c r="H1629" s="7">
        <v>70.7</v>
      </c>
      <c r="I1629" s="7">
        <v>565.6</v>
      </c>
      <c r="J1629" s="8">
        <v>45167</v>
      </c>
      <c r="K1629" s="6">
        <v>38</v>
      </c>
      <c r="L1629" s="6" t="s">
        <v>49</v>
      </c>
      <c r="M1629" s="6" t="b">
        <v>1</v>
      </c>
      <c r="N1629" s="6">
        <v>13.53</v>
      </c>
      <c r="O1629" s="6" t="s">
        <v>56</v>
      </c>
      <c r="P1629" s="6" t="b">
        <v>0</v>
      </c>
      <c r="Q1629" s="9" t="s">
        <v>25</v>
      </c>
    </row>
    <row r="1630" spans="1:17" x14ac:dyDescent="0.25">
      <c r="A1630" s="5" t="s">
        <v>1680</v>
      </c>
      <c r="B1630" s="6" t="s">
        <v>66</v>
      </c>
      <c r="C1630" s="6" t="s">
        <v>39</v>
      </c>
      <c r="D1630" s="6" t="s">
        <v>20</v>
      </c>
      <c r="E1630" s="6" t="s">
        <v>28</v>
      </c>
      <c r="F1630" s="6" t="s">
        <v>40</v>
      </c>
      <c r="G1630" s="6">
        <v>80</v>
      </c>
      <c r="H1630" s="7">
        <v>921.91</v>
      </c>
      <c r="I1630" s="7">
        <v>73752.800000000003</v>
      </c>
      <c r="J1630" s="8">
        <v>45179</v>
      </c>
      <c r="K1630" s="6">
        <v>22</v>
      </c>
      <c r="L1630" s="6" t="s">
        <v>49</v>
      </c>
      <c r="M1630" s="6" t="b">
        <v>1</v>
      </c>
      <c r="N1630" s="6">
        <v>4.66</v>
      </c>
      <c r="O1630" s="6" t="s">
        <v>56</v>
      </c>
      <c r="P1630" s="6" t="b">
        <v>0</v>
      </c>
      <c r="Q1630" s="9" t="s">
        <v>36</v>
      </c>
    </row>
    <row r="1631" spans="1:17" x14ac:dyDescent="0.25">
      <c r="A1631" s="5" t="s">
        <v>1681</v>
      </c>
      <c r="B1631" s="6" t="s">
        <v>46</v>
      </c>
      <c r="C1631" s="6" t="s">
        <v>39</v>
      </c>
      <c r="D1631" s="6" t="s">
        <v>52</v>
      </c>
      <c r="E1631" s="6" t="s">
        <v>44</v>
      </c>
      <c r="F1631" s="6" t="s">
        <v>29</v>
      </c>
      <c r="G1631" s="6">
        <v>18</v>
      </c>
      <c r="H1631" s="7">
        <v>865.82</v>
      </c>
      <c r="I1631" s="7">
        <v>15584.76</v>
      </c>
      <c r="J1631" s="8">
        <v>45068</v>
      </c>
      <c r="K1631" s="6">
        <v>52</v>
      </c>
      <c r="L1631" s="6" t="s">
        <v>41</v>
      </c>
      <c r="M1631" s="6" t="b">
        <v>0</v>
      </c>
      <c r="N1631" s="6">
        <v>22.14</v>
      </c>
      <c r="O1631" s="6" t="s">
        <v>56</v>
      </c>
      <c r="P1631" s="6" t="b">
        <v>1</v>
      </c>
      <c r="Q1631" s="9" t="s">
        <v>36</v>
      </c>
    </row>
    <row r="1632" spans="1:17" x14ac:dyDescent="0.25">
      <c r="A1632" s="5" t="s">
        <v>1682</v>
      </c>
      <c r="B1632" s="6" t="s">
        <v>18</v>
      </c>
      <c r="C1632" s="6" t="s">
        <v>19</v>
      </c>
      <c r="D1632" s="6" t="s">
        <v>64</v>
      </c>
      <c r="E1632" s="6" t="s">
        <v>21</v>
      </c>
      <c r="F1632" s="6" t="s">
        <v>22</v>
      </c>
      <c r="G1632" s="6">
        <v>33</v>
      </c>
      <c r="H1632" s="7">
        <v>245.34</v>
      </c>
      <c r="I1632" s="7">
        <v>8096.22</v>
      </c>
      <c r="J1632" s="8">
        <v>45581</v>
      </c>
      <c r="K1632" s="6">
        <v>38</v>
      </c>
      <c r="L1632" s="6" t="s">
        <v>23</v>
      </c>
      <c r="M1632" s="6" t="b">
        <v>0</v>
      </c>
      <c r="N1632" s="6">
        <v>27.6</v>
      </c>
      <c r="O1632" s="6" t="s">
        <v>42</v>
      </c>
      <c r="P1632" s="6" t="b">
        <v>0</v>
      </c>
      <c r="Q1632" s="9" t="s">
        <v>25</v>
      </c>
    </row>
    <row r="1633" spans="1:17" x14ac:dyDescent="0.25">
      <c r="A1633" s="5" t="s">
        <v>1683</v>
      </c>
      <c r="B1633" s="6" t="s">
        <v>72</v>
      </c>
      <c r="C1633" s="6" t="s">
        <v>33</v>
      </c>
      <c r="D1633" s="6" t="s">
        <v>47</v>
      </c>
      <c r="E1633" s="6" t="s">
        <v>21</v>
      </c>
      <c r="F1633" s="6" t="s">
        <v>48</v>
      </c>
      <c r="G1633" s="6">
        <v>1</v>
      </c>
      <c r="H1633" s="7">
        <v>268.83</v>
      </c>
      <c r="I1633" s="7">
        <v>268.83</v>
      </c>
      <c r="J1633" s="8">
        <v>45377</v>
      </c>
      <c r="K1633" s="6">
        <v>21</v>
      </c>
      <c r="L1633" s="6" t="s">
        <v>41</v>
      </c>
      <c r="M1633" s="6" t="b">
        <v>1</v>
      </c>
      <c r="N1633" s="6">
        <v>1.26</v>
      </c>
      <c r="O1633" s="6" t="s">
        <v>42</v>
      </c>
      <c r="P1633" s="6" t="b">
        <v>1</v>
      </c>
      <c r="Q1633" s="9" t="s">
        <v>25</v>
      </c>
    </row>
    <row r="1634" spans="1:17" x14ac:dyDescent="0.25">
      <c r="A1634" s="5" t="s">
        <v>1684</v>
      </c>
      <c r="B1634" s="6" t="s">
        <v>32</v>
      </c>
      <c r="C1634" s="6" t="s">
        <v>19</v>
      </c>
      <c r="D1634" s="6" t="s">
        <v>34</v>
      </c>
      <c r="E1634" s="6" t="s">
        <v>44</v>
      </c>
      <c r="F1634" s="6" t="s">
        <v>40</v>
      </c>
      <c r="G1634" s="6">
        <v>76</v>
      </c>
      <c r="H1634" s="7">
        <v>1199.3800000000001</v>
      </c>
      <c r="I1634" s="7">
        <v>91152.88</v>
      </c>
      <c r="J1634" s="8">
        <v>45233</v>
      </c>
      <c r="K1634" s="6">
        <v>66</v>
      </c>
      <c r="L1634" s="6" t="s">
        <v>41</v>
      </c>
      <c r="M1634" s="6" t="b">
        <v>0</v>
      </c>
      <c r="N1634" s="6">
        <v>11.87</v>
      </c>
      <c r="O1634" s="6" t="s">
        <v>24</v>
      </c>
      <c r="P1634" s="6" t="b">
        <v>0</v>
      </c>
      <c r="Q1634" s="9" t="s">
        <v>25</v>
      </c>
    </row>
    <row r="1635" spans="1:17" x14ac:dyDescent="0.25">
      <c r="A1635" s="5" t="s">
        <v>1685</v>
      </c>
      <c r="B1635" s="6" t="s">
        <v>51</v>
      </c>
      <c r="C1635" s="6" t="s">
        <v>33</v>
      </c>
      <c r="D1635" s="6" t="s">
        <v>20</v>
      </c>
      <c r="E1635" s="6" t="s">
        <v>44</v>
      </c>
      <c r="F1635" s="6" t="s">
        <v>48</v>
      </c>
      <c r="G1635" s="6">
        <v>6</v>
      </c>
      <c r="H1635" s="7">
        <v>1336.97</v>
      </c>
      <c r="I1635" s="7">
        <v>8021.82</v>
      </c>
      <c r="J1635" s="8">
        <v>45426</v>
      </c>
      <c r="K1635" s="6">
        <v>65</v>
      </c>
      <c r="L1635" s="6" t="s">
        <v>41</v>
      </c>
      <c r="M1635" s="6" t="b">
        <v>0</v>
      </c>
      <c r="N1635" s="6">
        <v>29.9</v>
      </c>
      <c r="O1635" s="6" t="s">
        <v>24</v>
      </c>
      <c r="P1635" s="6" t="b">
        <v>0</v>
      </c>
      <c r="Q1635" s="9" t="s">
        <v>25</v>
      </c>
    </row>
    <row r="1636" spans="1:17" x14ac:dyDescent="0.25">
      <c r="A1636" s="5" t="s">
        <v>1686</v>
      </c>
      <c r="B1636" s="6" t="s">
        <v>62</v>
      </c>
      <c r="C1636" s="6" t="s">
        <v>39</v>
      </c>
      <c r="D1636" s="6" t="s">
        <v>20</v>
      </c>
      <c r="E1636" s="6" t="s">
        <v>44</v>
      </c>
      <c r="F1636" s="6" t="s">
        <v>29</v>
      </c>
      <c r="G1636" s="6">
        <v>41</v>
      </c>
      <c r="H1636" s="7">
        <v>460.37</v>
      </c>
      <c r="I1636" s="7">
        <v>18875.169999999998</v>
      </c>
      <c r="J1636" s="8">
        <v>45548</v>
      </c>
      <c r="K1636" s="6">
        <v>33</v>
      </c>
      <c r="L1636" s="6" t="s">
        <v>41</v>
      </c>
      <c r="M1636" s="6" t="b">
        <v>1</v>
      </c>
      <c r="N1636" s="6">
        <v>21.98</v>
      </c>
      <c r="O1636" s="6" t="s">
        <v>30</v>
      </c>
      <c r="P1636" s="6" t="b">
        <v>0</v>
      </c>
      <c r="Q1636" s="9" t="s">
        <v>36</v>
      </c>
    </row>
    <row r="1637" spans="1:17" x14ac:dyDescent="0.25">
      <c r="A1637" s="5" t="s">
        <v>1687</v>
      </c>
      <c r="B1637" s="6" t="s">
        <v>76</v>
      </c>
      <c r="C1637" s="6" t="s">
        <v>33</v>
      </c>
      <c r="D1637" s="6" t="s">
        <v>34</v>
      </c>
      <c r="E1637" s="6" t="s">
        <v>44</v>
      </c>
      <c r="F1637" s="6" t="s">
        <v>29</v>
      </c>
      <c r="G1637" s="6">
        <v>55</v>
      </c>
      <c r="H1637" s="7">
        <v>685.05</v>
      </c>
      <c r="I1637" s="7">
        <v>37677.75</v>
      </c>
      <c r="J1637" s="8">
        <v>44934</v>
      </c>
      <c r="K1637" s="6">
        <v>48</v>
      </c>
      <c r="L1637" s="6" t="s">
        <v>23</v>
      </c>
      <c r="M1637" s="6" t="b">
        <v>1</v>
      </c>
      <c r="N1637" s="6">
        <v>28.6</v>
      </c>
      <c r="O1637" s="6" t="s">
        <v>30</v>
      </c>
      <c r="P1637" s="6" t="b">
        <v>1</v>
      </c>
      <c r="Q1637" s="9" t="s">
        <v>25</v>
      </c>
    </row>
    <row r="1638" spans="1:17" x14ac:dyDescent="0.25">
      <c r="A1638" s="5" t="s">
        <v>1688</v>
      </c>
      <c r="B1638" s="6" t="s">
        <v>62</v>
      </c>
      <c r="C1638" s="6" t="s">
        <v>19</v>
      </c>
      <c r="D1638" s="6" t="s">
        <v>52</v>
      </c>
      <c r="E1638" s="6" t="s">
        <v>44</v>
      </c>
      <c r="F1638" s="6" t="s">
        <v>22</v>
      </c>
      <c r="G1638" s="6">
        <v>5</v>
      </c>
      <c r="H1638" s="7">
        <v>564.74</v>
      </c>
      <c r="I1638" s="7">
        <v>2823.7</v>
      </c>
      <c r="J1638" s="8">
        <v>44995</v>
      </c>
      <c r="K1638" s="6">
        <v>43</v>
      </c>
      <c r="L1638" s="6" t="s">
        <v>23</v>
      </c>
      <c r="M1638" s="6" t="b">
        <v>0</v>
      </c>
      <c r="N1638" s="6">
        <v>4.92</v>
      </c>
      <c r="O1638" s="6" t="s">
        <v>42</v>
      </c>
      <c r="P1638" s="6" t="b">
        <v>1</v>
      </c>
      <c r="Q1638" s="9" t="s">
        <v>36</v>
      </c>
    </row>
    <row r="1639" spans="1:17" x14ac:dyDescent="0.25">
      <c r="A1639" s="5" t="s">
        <v>1689</v>
      </c>
      <c r="B1639" s="6" t="s">
        <v>76</v>
      </c>
      <c r="C1639" s="6" t="s">
        <v>19</v>
      </c>
      <c r="D1639" s="6" t="s">
        <v>34</v>
      </c>
      <c r="E1639" s="6" t="s">
        <v>35</v>
      </c>
      <c r="F1639" s="6" t="s">
        <v>40</v>
      </c>
      <c r="G1639" s="6">
        <v>59</v>
      </c>
      <c r="H1639" s="7">
        <v>155.19</v>
      </c>
      <c r="I1639" s="7">
        <v>9156.2099999999991</v>
      </c>
      <c r="J1639" s="8">
        <v>45501</v>
      </c>
      <c r="K1639" s="6">
        <v>69</v>
      </c>
      <c r="L1639" s="6" t="s">
        <v>41</v>
      </c>
      <c r="M1639" s="6" t="b">
        <v>0</v>
      </c>
      <c r="N1639" s="6">
        <v>6.64</v>
      </c>
      <c r="O1639" s="6" t="s">
        <v>42</v>
      </c>
      <c r="P1639" s="6" t="b">
        <v>0</v>
      </c>
      <c r="Q1639" s="9" t="s">
        <v>25</v>
      </c>
    </row>
    <row r="1640" spans="1:17" x14ac:dyDescent="0.25">
      <c r="A1640" s="5" t="s">
        <v>1690</v>
      </c>
      <c r="B1640" s="6" t="s">
        <v>18</v>
      </c>
      <c r="C1640" s="6" t="s">
        <v>19</v>
      </c>
      <c r="D1640" s="6" t="s">
        <v>64</v>
      </c>
      <c r="E1640" s="6" t="s">
        <v>28</v>
      </c>
      <c r="F1640" s="6" t="s">
        <v>29</v>
      </c>
      <c r="G1640" s="6">
        <v>80</v>
      </c>
      <c r="H1640" s="7">
        <v>1026.1500000000001</v>
      </c>
      <c r="I1640" s="7">
        <v>82092</v>
      </c>
      <c r="J1640" s="8">
        <v>44994</v>
      </c>
      <c r="K1640" s="6">
        <v>52</v>
      </c>
      <c r="L1640" s="6" t="s">
        <v>41</v>
      </c>
      <c r="M1640" s="6" t="b">
        <v>0</v>
      </c>
      <c r="N1640" s="6">
        <v>4.6399999999999997</v>
      </c>
      <c r="O1640" s="6" t="s">
        <v>30</v>
      </c>
      <c r="P1640" s="6" t="b">
        <v>0</v>
      </c>
      <c r="Q1640" s="9" t="s">
        <v>36</v>
      </c>
    </row>
    <row r="1641" spans="1:17" x14ac:dyDescent="0.25">
      <c r="A1641" s="5" t="s">
        <v>1691</v>
      </c>
      <c r="B1641" s="6" t="s">
        <v>76</v>
      </c>
      <c r="C1641" s="6" t="s">
        <v>33</v>
      </c>
      <c r="D1641" s="6" t="s">
        <v>34</v>
      </c>
      <c r="E1641" s="6" t="s">
        <v>28</v>
      </c>
      <c r="F1641" s="6" t="s">
        <v>40</v>
      </c>
      <c r="G1641" s="6">
        <v>18</v>
      </c>
      <c r="H1641" s="7">
        <v>1246.53</v>
      </c>
      <c r="I1641" s="7">
        <v>22437.54</v>
      </c>
      <c r="J1641" s="8">
        <v>45334</v>
      </c>
      <c r="K1641" s="6">
        <v>23</v>
      </c>
      <c r="L1641" s="6" t="s">
        <v>49</v>
      </c>
      <c r="M1641" s="6" t="b">
        <v>0</v>
      </c>
      <c r="N1641" s="6">
        <v>9.07</v>
      </c>
      <c r="O1641" s="6" t="s">
        <v>42</v>
      </c>
      <c r="P1641" s="6" t="b">
        <v>0</v>
      </c>
      <c r="Q1641" s="9" t="s">
        <v>25</v>
      </c>
    </row>
    <row r="1642" spans="1:17" x14ac:dyDescent="0.25">
      <c r="A1642" s="5" t="s">
        <v>1692</v>
      </c>
      <c r="B1642" s="6" t="s">
        <v>66</v>
      </c>
      <c r="C1642" s="6" t="s">
        <v>39</v>
      </c>
      <c r="D1642" s="6" t="s">
        <v>20</v>
      </c>
      <c r="E1642" s="6" t="s">
        <v>28</v>
      </c>
      <c r="F1642" s="6" t="s">
        <v>40</v>
      </c>
      <c r="G1642" s="6">
        <v>49</v>
      </c>
      <c r="H1642" s="7">
        <v>492.08</v>
      </c>
      <c r="I1642" s="7">
        <v>24111.919999999998</v>
      </c>
      <c r="J1642" s="8">
        <v>45444</v>
      </c>
      <c r="K1642" s="6">
        <v>50</v>
      </c>
      <c r="L1642" s="6" t="s">
        <v>49</v>
      </c>
      <c r="M1642" s="6" t="b">
        <v>1</v>
      </c>
      <c r="N1642" s="6">
        <v>21.73</v>
      </c>
      <c r="O1642" s="6" t="s">
        <v>30</v>
      </c>
      <c r="P1642" s="6" t="b">
        <v>1</v>
      </c>
      <c r="Q1642" s="9" t="s">
        <v>25</v>
      </c>
    </row>
    <row r="1643" spans="1:17" x14ac:dyDescent="0.25">
      <c r="A1643" s="5" t="s">
        <v>1693</v>
      </c>
      <c r="B1643" s="6" t="s">
        <v>32</v>
      </c>
      <c r="C1643" s="6" t="s">
        <v>39</v>
      </c>
      <c r="D1643" s="6" t="s">
        <v>34</v>
      </c>
      <c r="E1643" s="6" t="s">
        <v>21</v>
      </c>
      <c r="F1643" s="6" t="s">
        <v>40</v>
      </c>
      <c r="G1643" s="6">
        <v>82</v>
      </c>
      <c r="H1643" s="7">
        <v>1485.75</v>
      </c>
      <c r="I1643" s="7">
        <v>121831.5</v>
      </c>
      <c r="J1643" s="8">
        <v>45045</v>
      </c>
      <c r="K1643" s="6">
        <v>38</v>
      </c>
      <c r="L1643" s="6" t="s">
        <v>23</v>
      </c>
      <c r="M1643" s="6" t="b">
        <v>0</v>
      </c>
      <c r="N1643" s="6">
        <v>4.95</v>
      </c>
      <c r="O1643" s="6" t="s">
        <v>24</v>
      </c>
      <c r="P1643" s="6" t="b">
        <v>1</v>
      </c>
      <c r="Q1643" s="9" t="s">
        <v>25</v>
      </c>
    </row>
    <row r="1644" spans="1:17" x14ac:dyDescent="0.25">
      <c r="A1644" s="5" t="s">
        <v>1694</v>
      </c>
      <c r="B1644" s="6" t="s">
        <v>32</v>
      </c>
      <c r="C1644" s="6" t="s">
        <v>33</v>
      </c>
      <c r="D1644" s="6" t="s">
        <v>47</v>
      </c>
      <c r="E1644" s="6" t="s">
        <v>35</v>
      </c>
      <c r="F1644" s="6" t="s">
        <v>40</v>
      </c>
      <c r="G1644" s="6">
        <v>65</v>
      </c>
      <c r="H1644" s="7">
        <v>159.97999999999999</v>
      </c>
      <c r="I1644" s="7">
        <v>10398.700000000001</v>
      </c>
      <c r="J1644" s="8">
        <v>44957</v>
      </c>
      <c r="K1644" s="6">
        <v>33</v>
      </c>
      <c r="L1644" s="6" t="s">
        <v>49</v>
      </c>
      <c r="M1644" s="6" t="b">
        <v>0</v>
      </c>
      <c r="N1644" s="6">
        <v>15.73</v>
      </c>
      <c r="O1644" s="6" t="s">
        <v>42</v>
      </c>
      <c r="P1644" s="6" t="b">
        <v>1</v>
      </c>
      <c r="Q1644" s="9" t="s">
        <v>25</v>
      </c>
    </row>
    <row r="1645" spans="1:17" x14ac:dyDescent="0.25">
      <c r="A1645" s="5" t="s">
        <v>1695</v>
      </c>
      <c r="B1645" s="6" t="s">
        <v>66</v>
      </c>
      <c r="C1645" s="6" t="s">
        <v>19</v>
      </c>
      <c r="D1645" s="6" t="s">
        <v>64</v>
      </c>
      <c r="E1645" s="6" t="s">
        <v>28</v>
      </c>
      <c r="F1645" s="6" t="s">
        <v>40</v>
      </c>
      <c r="G1645" s="6">
        <v>83</v>
      </c>
      <c r="H1645" s="7">
        <v>1009.6</v>
      </c>
      <c r="I1645" s="7">
        <v>83796.800000000003</v>
      </c>
      <c r="J1645" s="8">
        <v>45444</v>
      </c>
      <c r="K1645" s="6">
        <v>64</v>
      </c>
      <c r="L1645" s="6" t="s">
        <v>23</v>
      </c>
      <c r="M1645" s="6" t="b">
        <v>1</v>
      </c>
      <c r="N1645" s="6">
        <v>8.08</v>
      </c>
      <c r="O1645" s="6" t="s">
        <v>42</v>
      </c>
      <c r="P1645" s="6" t="b">
        <v>1</v>
      </c>
      <c r="Q1645" s="9" t="s">
        <v>36</v>
      </c>
    </row>
    <row r="1646" spans="1:17" x14ac:dyDescent="0.25">
      <c r="A1646" s="5" t="s">
        <v>1696</v>
      </c>
      <c r="B1646" s="6" t="s">
        <v>27</v>
      </c>
      <c r="C1646" s="6" t="s">
        <v>39</v>
      </c>
      <c r="D1646" s="6" t="s">
        <v>34</v>
      </c>
      <c r="E1646" s="6" t="s">
        <v>21</v>
      </c>
      <c r="F1646" s="6" t="s">
        <v>48</v>
      </c>
      <c r="G1646" s="6">
        <v>54</v>
      </c>
      <c r="H1646" s="7">
        <v>699.93</v>
      </c>
      <c r="I1646" s="7">
        <v>37796.22</v>
      </c>
      <c r="J1646" s="8">
        <v>45409</v>
      </c>
      <c r="K1646" s="6">
        <v>56</v>
      </c>
      <c r="L1646" s="6" t="s">
        <v>23</v>
      </c>
      <c r="M1646" s="6" t="b">
        <v>1</v>
      </c>
      <c r="N1646" s="6">
        <v>24.88</v>
      </c>
      <c r="O1646" s="6" t="s">
        <v>30</v>
      </c>
      <c r="P1646" s="6" t="b">
        <v>1</v>
      </c>
      <c r="Q1646" s="9" t="s">
        <v>25</v>
      </c>
    </row>
    <row r="1647" spans="1:17" x14ac:dyDescent="0.25">
      <c r="A1647" s="5" t="s">
        <v>1697</v>
      </c>
      <c r="B1647" s="6" t="s">
        <v>18</v>
      </c>
      <c r="C1647" s="6" t="s">
        <v>19</v>
      </c>
      <c r="D1647" s="6" t="s">
        <v>20</v>
      </c>
      <c r="E1647" s="6" t="s">
        <v>35</v>
      </c>
      <c r="F1647" s="6" t="s">
        <v>22</v>
      </c>
      <c r="G1647" s="6">
        <v>61</v>
      </c>
      <c r="H1647" s="7">
        <v>697.57</v>
      </c>
      <c r="I1647" s="7">
        <v>42551.77</v>
      </c>
      <c r="J1647" s="8">
        <v>45133</v>
      </c>
      <c r="K1647" s="6">
        <v>51</v>
      </c>
      <c r="L1647" s="6" t="s">
        <v>23</v>
      </c>
      <c r="M1647" s="6" t="b">
        <v>1</v>
      </c>
      <c r="N1647" s="6">
        <v>0.2</v>
      </c>
      <c r="O1647" s="6" t="s">
        <v>56</v>
      </c>
      <c r="P1647" s="6" t="b">
        <v>0</v>
      </c>
      <c r="Q1647" s="9" t="s">
        <v>36</v>
      </c>
    </row>
    <row r="1648" spans="1:17" x14ac:dyDescent="0.25">
      <c r="A1648" s="5" t="s">
        <v>1698</v>
      </c>
      <c r="B1648" s="6" t="s">
        <v>27</v>
      </c>
      <c r="C1648" s="6" t="s">
        <v>33</v>
      </c>
      <c r="D1648" s="6" t="s">
        <v>64</v>
      </c>
      <c r="E1648" s="6" t="s">
        <v>35</v>
      </c>
      <c r="F1648" s="6" t="s">
        <v>40</v>
      </c>
      <c r="G1648" s="6">
        <v>8</v>
      </c>
      <c r="H1648" s="7">
        <v>713.59</v>
      </c>
      <c r="I1648" s="7">
        <v>5708.72</v>
      </c>
      <c r="J1648" s="8">
        <v>45595</v>
      </c>
      <c r="K1648" s="6">
        <v>59</v>
      </c>
      <c r="L1648" s="6" t="s">
        <v>49</v>
      </c>
      <c r="M1648" s="6" t="b">
        <v>1</v>
      </c>
      <c r="N1648" s="6">
        <v>6.69</v>
      </c>
      <c r="O1648" s="6" t="s">
        <v>56</v>
      </c>
      <c r="P1648" s="6" t="b">
        <v>0</v>
      </c>
      <c r="Q1648" s="9" t="s">
        <v>36</v>
      </c>
    </row>
    <row r="1649" spans="1:17" x14ac:dyDescent="0.25">
      <c r="A1649" s="5" t="s">
        <v>1699</v>
      </c>
      <c r="B1649" s="6" t="s">
        <v>27</v>
      </c>
      <c r="C1649" s="6" t="s">
        <v>19</v>
      </c>
      <c r="D1649" s="6" t="s">
        <v>20</v>
      </c>
      <c r="E1649" s="6" t="s">
        <v>21</v>
      </c>
      <c r="F1649" s="6" t="s">
        <v>48</v>
      </c>
      <c r="G1649" s="6">
        <v>3</v>
      </c>
      <c r="H1649" s="7">
        <v>425.09</v>
      </c>
      <c r="I1649" s="7">
        <v>1275.27</v>
      </c>
      <c r="J1649" s="8">
        <v>45505</v>
      </c>
      <c r="K1649" s="6">
        <v>32</v>
      </c>
      <c r="L1649" s="6" t="s">
        <v>49</v>
      </c>
      <c r="M1649" s="6" t="b">
        <v>1</v>
      </c>
      <c r="N1649" s="6">
        <v>18.16</v>
      </c>
      <c r="O1649" s="6" t="s">
        <v>24</v>
      </c>
      <c r="P1649" s="6" t="b">
        <v>0</v>
      </c>
      <c r="Q1649" s="9" t="s">
        <v>25</v>
      </c>
    </row>
    <row r="1650" spans="1:17" x14ac:dyDescent="0.25">
      <c r="A1650" s="5" t="s">
        <v>1700</v>
      </c>
      <c r="B1650" s="6" t="s">
        <v>62</v>
      </c>
      <c r="C1650" s="6" t="s">
        <v>39</v>
      </c>
      <c r="D1650" s="6" t="s">
        <v>52</v>
      </c>
      <c r="E1650" s="6" t="s">
        <v>35</v>
      </c>
      <c r="F1650" s="6" t="s">
        <v>29</v>
      </c>
      <c r="G1650" s="6">
        <v>25</v>
      </c>
      <c r="H1650" s="7">
        <v>1087.57</v>
      </c>
      <c r="I1650" s="7">
        <v>27189.25</v>
      </c>
      <c r="J1650" s="8">
        <v>45313</v>
      </c>
      <c r="K1650" s="6">
        <v>23</v>
      </c>
      <c r="L1650" s="6" t="s">
        <v>23</v>
      </c>
      <c r="M1650" s="6" t="b">
        <v>1</v>
      </c>
      <c r="N1650" s="6">
        <v>2.9</v>
      </c>
      <c r="O1650" s="6" t="s">
        <v>42</v>
      </c>
      <c r="P1650" s="6" t="b">
        <v>1</v>
      </c>
      <c r="Q1650" s="9" t="s">
        <v>25</v>
      </c>
    </row>
    <row r="1651" spans="1:17" x14ac:dyDescent="0.25">
      <c r="A1651" s="5" t="s">
        <v>1701</v>
      </c>
      <c r="B1651" s="6" t="s">
        <v>46</v>
      </c>
      <c r="C1651" s="6" t="s">
        <v>39</v>
      </c>
      <c r="D1651" s="6" t="s">
        <v>47</v>
      </c>
      <c r="E1651" s="6" t="s">
        <v>21</v>
      </c>
      <c r="F1651" s="6" t="s">
        <v>40</v>
      </c>
      <c r="G1651" s="6">
        <v>69</v>
      </c>
      <c r="H1651" s="7">
        <v>1096.29</v>
      </c>
      <c r="I1651" s="7">
        <v>75644.009999999995</v>
      </c>
      <c r="J1651" s="8">
        <v>45338</v>
      </c>
      <c r="K1651" s="6">
        <v>19</v>
      </c>
      <c r="L1651" s="6" t="s">
        <v>23</v>
      </c>
      <c r="M1651" s="6" t="b">
        <v>1</v>
      </c>
      <c r="N1651" s="6">
        <v>13.99</v>
      </c>
      <c r="O1651" s="6" t="s">
        <v>42</v>
      </c>
      <c r="P1651" s="6" t="b">
        <v>0</v>
      </c>
      <c r="Q1651" s="9" t="s">
        <v>36</v>
      </c>
    </row>
    <row r="1652" spans="1:17" x14ac:dyDescent="0.25">
      <c r="A1652" s="5" t="s">
        <v>1702</v>
      </c>
      <c r="B1652" s="6" t="s">
        <v>62</v>
      </c>
      <c r="C1652" s="6" t="s">
        <v>19</v>
      </c>
      <c r="D1652" s="6" t="s">
        <v>52</v>
      </c>
      <c r="E1652" s="6" t="s">
        <v>28</v>
      </c>
      <c r="F1652" s="6" t="s">
        <v>29</v>
      </c>
      <c r="G1652" s="6">
        <v>55</v>
      </c>
      <c r="H1652" s="7">
        <v>459.48</v>
      </c>
      <c r="I1652" s="7">
        <v>25271.4</v>
      </c>
      <c r="J1652" s="8">
        <v>45296</v>
      </c>
      <c r="K1652" s="6">
        <v>41</v>
      </c>
      <c r="L1652" s="6" t="s">
        <v>41</v>
      </c>
      <c r="M1652" s="6" t="b">
        <v>0</v>
      </c>
      <c r="N1652" s="6">
        <v>13.09</v>
      </c>
      <c r="O1652" s="6" t="s">
        <v>30</v>
      </c>
      <c r="P1652" s="6" t="b">
        <v>1</v>
      </c>
      <c r="Q1652" s="9" t="s">
        <v>36</v>
      </c>
    </row>
    <row r="1653" spans="1:17" x14ac:dyDescent="0.25">
      <c r="A1653" s="5" t="s">
        <v>1703</v>
      </c>
      <c r="B1653" s="6" t="s">
        <v>46</v>
      </c>
      <c r="C1653" s="6" t="s">
        <v>33</v>
      </c>
      <c r="D1653" s="6" t="s">
        <v>47</v>
      </c>
      <c r="E1653" s="6" t="s">
        <v>21</v>
      </c>
      <c r="F1653" s="6" t="s">
        <v>40</v>
      </c>
      <c r="G1653" s="6">
        <v>40</v>
      </c>
      <c r="H1653" s="7">
        <v>1261.19</v>
      </c>
      <c r="I1653" s="7">
        <v>50447.6</v>
      </c>
      <c r="J1653" s="8">
        <v>45279</v>
      </c>
      <c r="K1653" s="6">
        <v>66</v>
      </c>
      <c r="L1653" s="6" t="s">
        <v>23</v>
      </c>
      <c r="M1653" s="6" t="b">
        <v>0</v>
      </c>
      <c r="N1653" s="6">
        <v>25.58</v>
      </c>
      <c r="O1653" s="6" t="s">
        <v>56</v>
      </c>
      <c r="P1653" s="6" t="b">
        <v>1</v>
      </c>
      <c r="Q1653" s="9" t="s">
        <v>36</v>
      </c>
    </row>
    <row r="1654" spans="1:17" x14ac:dyDescent="0.25">
      <c r="A1654" s="5" t="s">
        <v>1704</v>
      </c>
      <c r="B1654" s="6" t="s">
        <v>51</v>
      </c>
      <c r="C1654" s="6" t="s">
        <v>19</v>
      </c>
      <c r="D1654" s="6" t="s">
        <v>34</v>
      </c>
      <c r="E1654" s="6" t="s">
        <v>35</v>
      </c>
      <c r="F1654" s="6" t="s">
        <v>48</v>
      </c>
      <c r="G1654" s="6">
        <v>83</v>
      </c>
      <c r="H1654" s="7">
        <v>509.43</v>
      </c>
      <c r="I1654" s="7">
        <v>42282.69</v>
      </c>
      <c r="J1654" s="8">
        <v>45262</v>
      </c>
      <c r="K1654" s="6">
        <v>45</v>
      </c>
      <c r="L1654" s="6" t="s">
        <v>23</v>
      </c>
      <c r="M1654" s="6" t="b">
        <v>1</v>
      </c>
      <c r="N1654" s="6">
        <v>18.760000000000002</v>
      </c>
      <c r="O1654" s="6" t="s">
        <v>56</v>
      </c>
      <c r="P1654" s="6" t="b">
        <v>0</v>
      </c>
      <c r="Q1654" s="9" t="s">
        <v>36</v>
      </c>
    </row>
    <row r="1655" spans="1:17" x14ac:dyDescent="0.25">
      <c r="A1655" s="5" t="s">
        <v>1705</v>
      </c>
      <c r="B1655" s="6" t="s">
        <v>76</v>
      </c>
      <c r="C1655" s="6" t="s">
        <v>33</v>
      </c>
      <c r="D1655" s="6" t="s">
        <v>64</v>
      </c>
      <c r="E1655" s="6" t="s">
        <v>28</v>
      </c>
      <c r="F1655" s="6" t="s">
        <v>48</v>
      </c>
      <c r="G1655" s="6">
        <v>82</v>
      </c>
      <c r="H1655" s="7">
        <v>1101.3900000000001</v>
      </c>
      <c r="I1655" s="7">
        <v>90313.98</v>
      </c>
      <c r="J1655" s="8">
        <v>45215</v>
      </c>
      <c r="K1655" s="6">
        <v>18</v>
      </c>
      <c r="L1655" s="6" t="s">
        <v>41</v>
      </c>
      <c r="M1655" s="6" t="b">
        <v>0</v>
      </c>
      <c r="N1655" s="6">
        <v>19.190000000000001</v>
      </c>
      <c r="O1655" s="6" t="s">
        <v>24</v>
      </c>
      <c r="P1655" s="6" t="b">
        <v>0</v>
      </c>
      <c r="Q1655" s="9" t="s">
        <v>36</v>
      </c>
    </row>
    <row r="1656" spans="1:17" x14ac:dyDescent="0.25">
      <c r="A1656" s="5" t="s">
        <v>1706</v>
      </c>
      <c r="B1656" s="6" t="s">
        <v>46</v>
      </c>
      <c r="C1656" s="6" t="s">
        <v>19</v>
      </c>
      <c r="D1656" s="6" t="s">
        <v>34</v>
      </c>
      <c r="E1656" s="6" t="s">
        <v>28</v>
      </c>
      <c r="F1656" s="6" t="s">
        <v>48</v>
      </c>
      <c r="G1656" s="6">
        <v>50</v>
      </c>
      <c r="H1656" s="7">
        <v>225.45</v>
      </c>
      <c r="I1656" s="7">
        <v>11272.5</v>
      </c>
      <c r="J1656" s="8">
        <v>45066</v>
      </c>
      <c r="K1656" s="6">
        <v>18</v>
      </c>
      <c r="L1656" s="6" t="s">
        <v>23</v>
      </c>
      <c r="M1656" s="6" t="b">
        <v>0</v>
      </c>
      <c r="N1656" s="6">
        <v>28.55</v>
      </c>
      <c r="O1656" s="6" t="s">
        <v>56</v>
      </c>
      <c r="P1656" s="6" t="b">
        <v>1</v>
      </c>
      <c r="Q1656" s="9" t="s">
        <v>25</v>
      </c>
    </row>
    <row r="1657" spans="1:17" x14ac:dyDescent="0.25">
      <c r="A1657" s="5" t="s">
        <v>1707</v>
      </c>
      <c r="B1657" s="6" t="s">
        <v>66</v>
      </c>
      <c r="C1657" s="6" t="s">
        <v>39</v>
      </c>
      <c r="D1657" s="6" t="s">
        <v>47</v>
      </c>
      <c r="E1657" s="6" t="s">
        <v>44</v>
      </c>
      <c r="F1657" s="6" t="s">
        <v>22</v>
      </c>
      <c r="G1657" s="6">
        <v>95</v>
      </c>
      <c r="H1657" s="7">
        <v>294.62</v>
      </c>
      <c r="I1657" s="7">
        <v>27988.9</v>
      </c>
      <c r="J1657" s="8">
        <v>45226</v>
      </c>
      <c r="K1657" s="6">
        <v>45</v>
      </c>
      <c r="L1657" s="6" t="s">
        <v>23</v>
      </c>
      <c r="M1657" s="6" t="b">
        <v>1</v>
      </c>
      <c r="N1657" s="6">
        <v>29.47</v>
      </c>
      <c r="O1657" s="6" t="s">
        <v>56</v>
      </c>
      <c r="P1657" s="6" t="b">
        <v>1</v>
      </c>
      <c r="Q1657" s="9" t="s">
        <v>25</v>
      </c>
    </row>
    <row r="1658" spans="1:17" x14ac:dyDescent="0.25">
      <c r="A1658" s="5" t="s">
        <v>1708</v>
      </c>
      <c r="B1658" s="6" t="s">
        <v>62</v>
      </c>
      <c r="C1658" s="6" t="s">
        <v>33</v>
      </c>
      <c r="D1658" s="6" t="s">
        <v>47</v>
      </c>
      <c r="E1658" s="6" t="s">
        <v>44</v>
      </c>
      <c r="F1658" s="6" t="s">
        <v>29</v>
      </c>
      <c r="G1658" s="6">
        <v>33</v>
      </c>
      <c r="H1658" s="7">
        <v>507.9</v>
      </c>
      <c r="I1658" s="7">
        <v>16760.7</v>
      </c>
      <c r="J1658" s="8">
        <v>44939</v>
      </c>
      <c r="K1658" s="6">
        <v>53</v>
      </c>
      <c r="L1658" s="6" t="s">
        <v>23</v>
      </c>
      <c r="M1658" s="6" t="b">
        <v>1</v>
      </c>
      <c r="N1658" s="6">
        <v>19.600000000000001</v>
      </c>
      <c r="O1658" s="6" t="s">
        <v>56</v>
      </c>
      <c r="P1658" s="6" t="b">
        <v>0</v>
      </c>
      <c r="Q1658" s="9" t="s">
        <v>36</v>
      </c>
    </row>
    <row r="1659" spans="1:17" x14ac:dyDescent="0.25">
      <c r="A1659" s="5" t="s">
        <v>1709</v>
      </c>
      <c r="B1659" s="6" t="s">
        <v>18</v>
      </c>
      <c r="C1659" s="6" t="s">
        <v>33</v>
      </c>
      <c r="D1659" s="6" t="s">
        <v>47</v>
      </c>
      <c r="E1659" s="6" t="s">
        <v>35</v>
      </c>
      <c r="F1659" s="6" t="s">
        <v>22</v>
      </c>
      <c r="G1659" s="6">
        <v>18</v>
      </c>
      <c r="H1659" s="7">
        <v>911.12</v>
      </c>
      <c r="I1659" s="7">
        <v>16400.16</v>
      </c>
      <c r="J1659" s="8">
        <v>45590</v>
      </c>
      <c r="K1659" s="6">
        <v>37</v>
      </c>
      <c r="L1659" s="6" t="s">
        <v>41</v>
      </c>
      <c r="M1659" s="6" t="b">
        <v>1</v>
      </c>
      <c r="N1659" s="6">
        <v>15.66</v>
      </c>
      <c r="O1659" s="6" t="s">
        <v>30</v>
      </c>
      <c r="P1659" s="6" t="b">
        <v>1</v>
      </c>
      <c r="Q1659" s="9" t="s">
        <v>25</v>
      </c>
    </row>
    <row r="1660" spans="1:17" x14ac:dyDescent="0.25">
      <c r="A1660" s="5" t="s">
        <v>1710</v>
      </c>
      <c r="B1660" s="6" t="s">
        <v>76</v>
      </c>
      <c r="C1660" s="6" t="s">
        <v>33</v>
      </c>
      <c r="D1660" s="6" t="s">
        <v>20</v>
      </c>
      <c r="E1660" s="6" t="s">
        <v>21</v>
      </c>
      <c r="F1660" s="6" t="s">
        <v>40</v>
      </c>
      <c r="G1660" s="6">
        <v>57</v>
      </c>
      <c r="H1660" s="7">
        <v>985.99</v>
      </c>
      <c r="I1660" s="7">
        <v>56201.43</v>
      </c>
      <c r="J1660" s="8">
        <v>45354</v>
      </c>
      <c r="K1660" s="6">
        <v>65</v>
      </c>
      <c r="L1660" s="6" t="s">
        <v>49</v>
      </c>
      <c r="M1660" s="6" t="b">
        <v>1</v>
      </c>
      <c r="N1660" s="6">
        <v>18.239999999999998</v>
      </c>
      <c r="O1660" s="6" t="s">
        <v>56</v>
      </c>
      <c r="P1660" s="6" t="b">
        <v>1</v>
      </c>
      <c r="Q1660" s="9" t="s">
        <v>36</v>
      </c>
    </row>
    <row r="1661" spans="1:17" x14ac:dyDescent="0.25">
      <c r="A1661" s="5" t="s">
        <v>1711</v>
      </c>
      <c r="B1661" s="6" t="s">
        <v>51</v>
      </c>
      <c r="C1661" s="6" t="s">
        <v>39</v>
      </c>
      <c r="D1661" s="6" t="s">
        <v>64</v>
      </c>
      <c r="E1661" s="6" t="s">
        <v>21</v>
      </c>
      <c r="F1661" s="6" t="s">
        <v>29</v>
      </c>
      <c r="G1661" s="6">
        <v>16</v>
      </c>
      <c r="H1661" s="7">
        <v>624.72</v>
      </c>
      <c r="I1661" s="7">
        <v>9995.52</v>
      </c>
      <c r="J1661" s="8">
        <v>45326</v>
      </c>
      <c r="K1661" s="6">
        <v>25</v>
      </c>
      <c r="L1661" s="6" t="s">
        <v>23</v>
      </c>
      <c r="M1661" s="6" t="b">
        <v>1</v>
      </c>
      <c r="N1661" s="6">
        <v>11.47</v>
      </c>
      <c r="O1661" s="6" t="s">
        <v>24</v>
      </c>
      <c r="P1661" s="6" t="b">
        <v>1</v>
      </c>
      <c r="Q1661" s="9" t="s">
        <v>25</v>
      </c>
    </row>
    <row r="1662" spans="1:17" x14ac:dyDescent="0.25">
      <c r="A1662" s="5" t="s">
        <v>1712</v>
      </c>
      <c r="B1662" s="6" t="s">
        <v>46</v>
      </c>
      <c r="C1662" s="6" t="s">
        <v>19</v>
      </c>
      <c r="D1662" s="6" t="s">
        <v>34</v>
      </c>
      <c r="E1662" s="6" t="s">
        <v>35</v>
      </c>
      <c r="F1662" s="6" t="s">
        <v>48</v>
      </c>
      <c r="G1662" s="6">
        <v>80</v>
      </c>
      <c r="H1662" s="7">
        <v>162.87</v>
      </c>
      <c r="I1662" s="7">
        <v>13029.6</v>
      </c>
      <c r="J1662" s="8">
        <v>45035</v>
      </c>
      <c r="K1662" s="6">
        <v>18</v>
      </c>
      <c r="L1662" s="6" t="s">
        <v>41</v>
      </c>
      <c r="M1662" s="6" t="b">
        <v>0</v>
      </c>
      <c r="N1662" s="6">
        <v>29.62</v>
      </c>
      <c r="O1662" s="6" t="s">
        <v>56</v>
      </c>
      <c r="P1662" s="6" t="b">
        <v>0</v>
      </c>
      <c r="Q1662" s="9" t="s">
        <v>36</v>
      </c>
    </row>
    <row r="1663" spans="1:17" x14ac:dyDescent="0.25">
      <c r="A1663" s="5" t="s">
        <v>1713</v>
      </c>
      <c r="B1663" s="6" t="s">
        <v>51</v>
      </c>
      <c r="C1663" s="6" t="s">
        <v>39</v>
      </c>
      <c r="D1663" s="6" t="s">
        <v>34</v>
      </c>
      <c r="E1663" s="6" t="s">
        <v>28</v>
      </c>
      <c r="F1663" s="6" t="s">
        <v>29</v>
      </c>
      <c r="G1663" s="6">
        <v>38</v>
      </c>
      <c r="H1663" s="7">
        <v>591.77</v>
      </c>
      <c r="I1663" s="7">
        <v>22487.26</v>
      </c>
      <c r="J1663" s="8">
        <v>45411</v>
      </c>
      <c r="K1663" s="6">
        <v>43</v>
      </c>
      <c r="L1663" s="6" t="s">
        <v>23</v>
      </c>
      <c r="M1663" s="6" t="b">
        <v>0</v>
      </c>
      <c r="N1663" s="6">
        <v>21.15</v>
      </c>
      <c r="O1663" s="6" t="s">
        <v>24</v>
      </c>
      <c r="P1663" s="6" t="b">
        <v>1</v>
      </c>
      <c r="Q1663" s="9" t="s">
        <v>25</v>
      </c>
    </row>
    <row r="1664" spans="1:17" x14ac:dyDescent="0.25">
      <c r="A1664" s="5" t="s">
        <v>1714</v>
      </c>
      <c r="B1664" s="6" t="s">
        <v>18</v>
      </c>
      <c r="C1664" s="6" t="s">
        <v>33</v>
      </c>
      <c r="D1664" s="6" t="s">
        <v>52</v>
      </c>
      <c r="E1664" s="6" t="s">
        <v>35</v>
      </c>
      <c r="F1664" s="6" t="s">
        <v>48</v>
      </c>
      <c r="G1664" s="6">
        <v>41</v>
      </c>
      <c r="H1664" s="7">
        <v>1048.71</v>
      </c>
      <c r="I1664" s="7">
        <v>42997.11</v>
      </c>
      <c r="J1664" s="8">
        <v>45282</v>
      </c>
      <c r="K1664" s="6">
        <v>68</v>
      </c>
      <c r="L1664" s="6" t="s">
        <v>41</v>
      </c>
      <c r="M1664" s="6" t="b">
        <v>1</v>
      </c>
      <c r="N1664" s="6">
        <v>8.73</v>
      </c>
      <c r="O1664" s="6" t="s">
        <v>30</v>
      </c>
      <c r="P1664" s="6" t="b">
        <v>1</v>
      </c>
      <c r="Q1664" s="9" t="s">
        <v>25</v>
      </c>
    </row>
    <row r="1665" spans="1:17" x14ac:dyDescent="0.25">
      <c r="A1665" s="5" t="s">
        <v>1715</v>
      </c>
      <c r="B1665" s="6" t="s">
        <v>27</v>
      </c>
      <c r="C1665" s="6" t="s">
        <v>19</v>
      </c>
      <c r="D1665" s="6" t="s">
        <v>47</v>
      </c>
      <c r="E1665" s="6" t="s">
        <v>35</v>
      </c>
      <c r="F1665" s="6" t="s">
        <v>22</v>
      </c>
      <c r="G1665" s="6">
        <v>7</v>
      </c>
      <c r="H1665" s="7">
        <v>1022.94</v>
      </c>
      <c r="I1665" s="7">
        <v>7160.58</v>
      </c>
      <c r="J1665" s="8">
        <v>45075</v>
      </c>
      <c r="K1665" s="6">
        <v>60</v>
      </c>
      <c r="L1665" s="6" t="s">
        <v>23</v>
      </c>
      <c r="M1665" s="6" t="b">
        <v>1</v>
      </c>
      <c r="N1665" s="6">
        <v>1.73</v>
      </c>
      <c r="O1665" s="6" t="s">
        <v>30</v>
      </c>
      <c r="P1665" s="6" t="b">
        <v>1</v>
      </c>
      <c r="Q1665" s="9" t="s">
        <v>36</v>
      </c>
    </row>
    <row r="1666" spans="1:17" x14ac:dyDescent="0.25">
      <c r="A1666" s="5" t="s">
        <v>1716</v>
      </c>
      <c r="B1666" s="6" t="s">
        <v>32</v>
      </c>
      <c r="C1666" s="6" t="s">
        <v>39</v>
      </c>
      <c r="D1666" s="6" t="s">
        <v>47</v>
      </c>
      <c r="E1666" s="6" t="s">
        <v>28</v>
      </c>
      <c r="F1666" s="6" t="s">
        <v>22</v>
      </c>
      <c r="G1666" s="6">
        <v>78</v>
      </c>
      <c r="H1666" s="7">
        <v>282.27999999999997</v>
      </c>
      <c r="I1666" s="7">
        <v>22017.84</v>
      </c>
      <c r="J1666" s="8">
        <v>45233</v>
      </c>
      <c r="K1666" s="6">
        <v>66</v>
      </c>
      <c r="L1666" s="6" t="s">
        <v>41</v>
      </c>
      <c r="M1666" s="6" t="b">
        <v>0</v>
      </c>
      <c r="N1666" s="6">
        <v>1.34</v>
      </c>
      <c r="O1666" s="6" t="s">
        <v>24</v>
      </c>
      <c r="P1666" s="6" t="b">
        <v>1</v>
      </c>
      <c r="Q1666" s="9" t="s">
        <v>25</v>
      </c>
    </row>
    <row r="1667" spans="1:17" x14ac:dyDescent="0.25">
      <c r="A1667" s="5" t="s">
        <v>1717</v>
      </c>
      <c r="B1667" s="6" t="s">
        <v>18</v>
      </c>
      <c r="C1667" s="6" t="s">
        <v>33</v>
      </c>
      <c r="D1667" s="6" t="s">
        <v>47</v>
      </c>
      <c r="E1667" s="6" t="s">
        <v>21</v>
      </c>
      <c r="F1667" s="6" t="s">
        <v>48</v>
      </c>
      <c r="G1667" s="6">
        <v>53</v>
      </c>
      <c r="H1667" s="7">
        <v>61.29</v>
      </c>
      <c r="I1667" s="7">
        <v>3248.37</v>
      </c>
      <c r="J1667" s="8">
        <v>45459</v>
      </c>
      <c r="K1667" s="6">
        <v>42</v>
      </c>
      <c r="L1667" s="6" t="s">
        <v>49</v>
      </c>
      <c r="M1667" s="6" t="b">
        <v>0</v>
      </c>
      <c r="N1667" s="6">
        <v>6.15</v>
      </c>
      <c r="O1667" s="6" t="s">
        <v>30</v>
      </c>
      <c r="P1667" s="6" t="b">
        <v>1</v>
      </c>
      <c r="Q1667" s="9" t="s">
        <v>36</v>
      </c>
    </row>
    <row r="1668" spans="1:17" x14ac:dyDescent="0.25">
      <c r="A1668" s="5" t="s">
        <v>1718</v>
      </c>
      <c r="B1668" s="6" t="s">
        <v>38</v>
      </c>
      <c r="C1668" s="6" t="s">
        <v>33</v>
      </c>
      <c r="D1668" s="6" t="s">
        <v>34</v>
      </c>
      <c r="E1668" s="6" t="s">
        <v>35</v>
      </c>
      <c r="F1668" s="6" t="s">
        <v>48</v>
      </c>
      <c r="G1668" s="6">
        <v>63</v>
      </c>
      <c r="H1668" s="7">
        <v>1141.82</v>
      </c>
      <c r="I1668" s="7">
        <v>71934.66</v>
      </c>
      <c r="J1668" s="8">
        <v>44986</v>
      </c>
      <c r="K1668" s="6">
        <v>27</v>
      </c>
      <c r="L1668" s="6" t="s">
        <v>49</v>
      </c>
      <c r="M1668" s="6" t="b">
        <v>0</v>
      </c>
      <c r="N1668" s="6">
        <v>6.99</v>
      </c>
      <c r="O1668" s="6" t="s">
        <v>42</v>
      </c>
      <c r="P1668" s="6" t="b">
        <v>1</v>
      </c>
      <c r="Q1668" s="9" t="s">
        <v>36</v>
      </c>
    </row>
    <row r="1669" spans="1:17" x14ac:dyDescent="0.25">
      <c r="A1669" s="5" t="s">
        <v>1719</v>
      </c>
      <c r="B1669" s="6" t="s">
        <v>18</v>
      </c>
      <c r="C1669" s="6" t="s">
        <v>39</v>
      </c>
      <c r="D1669" s="6" t="s">
        <v>52</v>
      </c>
      <c r="E1669" s="6" t="s">
        <v>21</v>
      </c>
      <c r="F1669" s="6" t="s">
        <v>40</v>
      </c>
      <c r="G1669" s="6">
        <v>89</v>
      </c>
      <c r="H1669" s="7">
        <v>204.23</v>
      </c>
      <c r="I1669" s="7">
        <v>18176.47</v>
      </c>
      <c r="J1669" s="8">
        <v>45361</v>
      </c>
      <c r="K1669" s="6">
        <v>29</v>
      </c>
      <c r="L1669" s="6" t="s">
        <v>49</v>
      </c>
      <c r="M1669" s="6" t="b">
        <v>1</v>
      </c>
      <c r="N1669" s="6">
        <v>12.45</v>
      </c>
      <c r="O1669" s="6" t="s">
        <v>42</v>
      </c>
      <c r="P1669" s="6" t="b">
        <v>1</v>
      </c>
      <c r="Q1669" s="9" t="s">
        <v>25</v>
      </c>
    </row>
    <row r="1670" spans="1:17" x14ac:dyDescent="0.25">
      <c r="A1670" s="5" t="s">
        <v>1720</v>
      </c>
      <c r="B1670" s="6" t="s">
        <v>51</v>
      </c>
      <c r="C1670" s="6" t="s">
        <v>39</v>
      </c>
      <c r="D1670" s="6" t="s">
        <v>20</v>
      </c>
      <c r="E1670" s="6" t="s">
        <v>35</v>
      </c>
      <c r="F1670" s="6" t="s">
        <v>22</v>
      </c>
      <c r="G1670" s="6">
        <v>32</v>
      </c>
      <c r="H1670" s="7">
        <v>169.41</v>
      </c>
      <c r="I1670" s="7">
        <v>5421.12</v>
      </c>
      <c r="J1670" s="8">
        <v>44947</v>
      </c>
      <c r="K1670" s="6">
        <v>58</v>
      </c>
      <c r="L1670" s="6" t="s">
        <v>23</v>
      </c>
      <c r="M1670" s="6" t="b">
        <v>1</v>
      </c>
      <c r="N1670" s="6">
        <v>6.45</v>
      </c>
      <c r="O1670" s="6" t="s">
        <v>42</v>
      </c>
      <c r="P1670" s="6" t="b">
        <v>0</v>
      </c>
      <c r="Q1670" s="9" t="s">
        <v>36</v>
      </c>
    </row>
    <row r="1671" spans="1:17" x14ac:dyDescent="0.25">
      <c r="A1671" s="5" t="s">
        <v>1721</v>
      </c>
      <c r="B1671" s="6" t="s">
        <v>66</v>
      </c>
      <c r="C1671" s="6" t="s">
        <v>39</v>
      </c>
      <c r="D1671" s="6" t="s">
        <v>64</v>
      </c>
      <c r="E1671" s="6" t="s">
        <v>28</v>
      </c>
      <c r="F1671" s="6" t="s">
        <v>22</v>
      </c>
      <c r="G1671" s="6">
        <v>38</v>
      </c>
      <c r="H1671" s="7">
        <v>53.92</v>
      </c>
      <c r="I1671" s="7">
        <v>2048.96</v>
      </c>
      <c r="J1671" s="8">
        <v>45308</v>
      </c>
      <c r="K1671" s="6">
        <v>24</v>
      </c>
      <c r="L1671" s="6" t="s">
        <v>41</v>
      </c>
      <c r="M1671" s="6" t="b">
        <v>0</v>
      </c>
      <c r="N1671" s="6">
        <v>18.93</v>
      </c>
      <c r="O1671" s="6" t="s">
        <v>42</v>
      </c>
      <c r="P1671" s="6" t="b">
        <v>0</v>
      </c>
      <c r="Q1671" s="9" t="s">
        <v>25</v>
      </c>
    </row>
    <row r="1672" spans="1:17" x14ac:dyDescent="0.25">
      <c r="A1672" s="5" t="s">
        <v>1722</v>
      </c>
      <c r="B1672" s="6" t="s">
        <v>62</v>
      </c>
      <c r="C1672" s="6" t="s">
        <v>33</v>
      </c>
      <c r="D1672" s="6" t="s">
        <v>20</v>
      </c>
      <c r="E1672" s="6" t="s">
        <v>28</v>
      </c>
      <c r="F1672" s="6" t="s">
        <v>40</v>
      </c>
      <c r="G1672" s="6">
        <v>22</v>
      </c>
      <c r="H1672" s="7">
        <v>677.27</v>
      </c>
      <c r="I1672" s="7">
        <v>14899.94</v>
      </c>
      <c r="J1672" s="8">
        <v>45171</v>
      </c>
      <c r="K1672" s="6">
        <v>29</v>
      </c>
      <c r="L1672" s="6" t="s">
        <v>23</v>
      </c>
      <c r="M1672" s="6" t="b">
        <v>1</v>
      </c>
      <c r="N1672" s="6">
        <v>6.34</v>
      </c>
      <c r="O1672" s="6" t="s">
        <v>42</v>
      </c>
      <c r="P1672" s="6" t="b">
        <v>0</v>
      </c>
      <c r="Q1672" s="9" t="s">
        <v>25</v>
      </c>
    </row>
    <row r="1673" spans="1:17" x14ac:dyDescent="0.25">
      <c r="A1673" s="5" t="s">
        <v>1723</v>
      </c>
      <c r="B1673" s="6" t="s">
        <v>66</v>
      </c>
      <c r="C1673" s="6" t="s">
        <v>39</v>
      </c>
      <c r="D1673" s="6" t="s">
        <v>34</v>
      </c>
      <c r="E1673" s="6" t="s">
        <v>44</v>
      </c>
      <c r="F1673" s="6" t="s">
        <v>22</v>
      </c>
      <c r="G1673" s="6">
        <v>16</v>
      </c>
      <c r="H1673" s="7">
        <v>779.73</v>
      </c>
      <c r="I1673" s="7">
        <v>12475.68</v>
      </c>
      <c r="J1673" s="8">
        <v>44999</v>
      </c>
      <c r="K1673" s="6">
        <v>64</v>
      </c>
      <c r="L1673" s="6" t="s">
        <v>23</v>
      </c>
      <c r="M1673" s="6" t="b">
        <v>0</v>
      </c>
      <c r="N1673" s="6">
        <v>5.64</v>
      </c>
      <c r="O1673" s="6" t="s">
        <v>30</v>
      </c>
      <c r="P1673" s="6" t="b">
        <v>1</v>
      </c>
      <c r="Q1673" s="9" t="s">
        <v>36</v>
      </c>
    </row>
    <row r="1674" spans="1:17" x14ac:dyDescent="0.25">
      <c r="A1674" s="5" t="s">
        <v>1724</v>
      </c>
      <c r="B1674" s="6" t="s">
        <v>51</v>
      </c>
      <c r="C1674" s="6" t="s">
        <v>33</v>
      </c>
      <c r="D1674" s="6" t="s">
        <v>47</v>
      </c>
      <c r="E1674" s="6" t="s">
        <v>28</v>
      </c>
      <c r="F1674" s="6" t="s">
        <v>48</v>
      </c>
      <c r="G1674" s="6">
        <v>52</v>
      </c>
      <c r="H1674" s="7">
        <v>974.61</v>
      </c>
      <c r="I1674" s="7">
        <v>50679.72</v>
      </c>
      <c r="J1674" s="8">
        <v>45375</v>
      </c>
      <c r="K1674" s="6">
        <v>57</v>
      </c>
      <c r="L1674" s="6" t="s">
        <v>41</v>
      </c>
      <c r="M1674" s="6" t="b">
        <v>1</v>
      </c>
      <c r="N1674" s="6">
        <v>14.14</v>
      </c>
      <c r="O1674" s="6" t="s">
        <v>24</v>
      </c>
      <c r="P1674" s="6" t="b">
        <v>0</v>
      </c>
      <c r="Q1674" s="9" t="s">
        <v>25</v>
      </c>
    </row>
    <row r="1675" spans="1:17" x14ac:dyDescent="0.25">
      <c r="A1675" s="5" t="s">
        <v>1725</v>
      </c>
      <c r="B1675" s="6" t="s">
        <v>62</v>
      </c>
      <c r="C1675" s="6" t="s">
        <v>39</v>
      </c>
      <c r="D1675" s="6" t="s">
        <v>64</v>
      </c>
      <c r="E1675" s="6" t="s">
        <v>44</v>
      </c>
      <c r="F1675" s="6" t="s">
        <v>29</v>
      </c>
      <c r="G1675" s="6">
        <v>29</v>
      </c>
      <c r="H1675" s="7">
        <v>479.29</v>
      </c>
      <c r="I1675" s="7">
        <v>13899.41</v>
      </c>
      <c r="J1675" s="8">
        <v>45002</v>
      </c>
      <c r="K1675" s="6">
        <v>34</v>
      </c>
      <c r="L1675" s="6" t="s">
        <v>23</v>
      </c>
      <c r="M1675" s="6" t="b">
        <v>1</v>
      </c>
      <c r="N1675" s="6">
        <v>26.66</v>
      </c>
      <c r="O1675" s="6" t="s">
        <v>30</v>
      </c>
      <c r="P1675" s="6" t="b">
        <v>0</v>
      </c>
      <c r="Q1675" s="9" t="s">
        <v>36</v>
      </c>
    </row>
    <row r="1676" spans="1:17" x14ac:dyDescent="0.25">
      <c r="A1676" s="5" t="s">
        <v>1726</v>
      </c>
      <c r="B1676" s="6" t="s">
        <v>38</v>
      </c>
      <c r="C1676" s="6" t="s">
        <v>33</v>
      </c>
      <c r="D1676" s="6" t="s">
        <v>34</v>
      </c>
      <c r="E1676" s="6" t="s">
        <v>35</v>
      </c>
      <c r="F1676" s="6" t="s">
        <v>29</v>
      </c>
      <c r="G1676" s="6">
        <v>16</v>
      </c>
      <c r="H1676" s="7">
        <v>1080.1199999999999</v>
      </c>
      <c r="I1676" s="7">
        <v>17281.919999999998</v>
      </c>
      <c r="J1676" s="8">
        <v>45516</v>
      </c>
      <c r="K1676" s="6">
        <v>22</v>
      </c>
      <c r="L1676" s="6" t="s">
        <v>41</v>
      </c>
      <c r="M1676" s="6" t="b">
        <v>0</v>
      </c>
      <c r="N1676" s="6">
        <v>14.05</v>
      </c>
      <c r="O1676" s="6" t="s">
        <v>56</v>
      </c>
      <c r="P1676" s="6" t="b">
        <v>1</v>
      </c>
      <c r="Q1676" s="9" t="s">
        <v>36</v>
      </c>
    </row>
    <row r="1677" spans="1:17" x14ac:dyDescent="0.25">
      <c r="A1677" s="5" t="s">
        <v>1727</v>
      </c>
      <c r="B1677" s="6" t="s">
        <v>32</v>
      </c>
      <c r="C1677" s="6" t="s">
        <v>33</v>
      </c>
      <c r="D1677" s="6" t="s">
        <v>34</v>
      </c>
      <c r="E1677" s="6" t="s">
        <v>21</v>
      </c>
      <c r="F1677" s="6" t="s">
        <v>22</v>
      </c>
      <c r="G1677" s="6">
        <v>76</v>
      </c>
      <c r="H1677" s="7">
        <v>295.52999999999997</v>
      </c>
      <c r="I1677" s="7">
        <v>22460.28</v>
      </c>
      <c r="J1677" s="8">
        <v>45316</v>
      </c>
      <c r="K1677" s="6">
        <v>31</v>
      </c>
      <c r="L1677" s="6" t="s">
        <v>41</v>
      </c>
      <c r="M1677" s="6" t="b">
        <v>0</v>
      </c>
      <c r="N1677" s="6">
        <v>12.42</v>
      </c>
      <c r="O1677" s="6" t="s">
        <v>42</v>
      </c>
      <c r="P1677" s="6" t="b">
        <v>0</v>
      </c>
      <c r="Q1677" s="9" t="s">
        <v>25</v>
      </c>
    </row>
    <row r="1678" spans="1:17" x14ac:dyDescent="0.25">
      <c r="A1678" s="5" t="s">
        <v>1728</v>
      </c>
      <c r="B1678" s="6" t="s">
        <v>76</v>
      </c>
      <c r="C1678" s="6" t="s">
        <v>19</v>
      </c>
      <c r="D1678" s="6" t="s">
        <v>34</v>
      </c>
      <c r="E1678" s="6" t="s">
        <v>28</v>
      </c>
      <c r="F1678" s="6" t="s">
        <v>40</v>
      </c>
      <c r="G1678" s="6">
        <v>17</v>
      </c>
      <c r="H1678" s="7">
        <v>1256.3900000000001</v>
      </c>
      <c r="I1678" s="7">
        <v>21358.63</v>
      </c>
      <c r="J1678" s="8">
        <v>45503</v>
      </c>
      <c r="K1678" s="6">
        <v>51</v>
      </c>
      <c r="L1678" s="6" t="s">
        <v>49</v>
      </c>
      <c r="M1678" s="6" t="b">
        <v>1</v>
      </c>
      <c r="N1678" s="6">
        <v>17.34</v>
      </c>
      <c r="O1678" s="6" t="s">
        <v>42</v>
      </c>
      <c r="P1678" s="6" t="b">
        <v>1</v>
      </c>
      <c r="Q1678" s="9" t="s">
        <v>36</v>
      </c>
    </row>
    <row r="1679" spans="1:17" x14ac:dyDescent="0.25">
      <c r="A1679" s="5" t="s">
        <v>1729</v>
      </c>
      <c r="B1679" s="6" t="s">
        <v>51</v>
      </c>
      <c r="C1679" s="6" t="s">
        <v>39</v>
      </c>
      <c r="D1679" s="6" t="s">
        <v>64</v>
      </c>
      <c r="E1679" s="6" t="s">
        <v>28</v>
      </c>
      <c r="F1679" s="6" t="s">
        <v>48</v>
      </c>
      <c r="G1679" s="6">
        <v>64</v>
      </c>
      <c r="H1679" s="7">
        <v>879.18</v>
      </c>
      <c r="I1679" s="7">
        <v>56267.519999999997</v>
      </c>
      <c r="J1679" s="8">
        <v>45268</v>
      </c>
      <c r="K1679" s="6">
        <v>65</v>
      </c>
      <c r="L1679" s="6" t="s">
        <v>49</v>
      </c>
      <c r="M1679" s="6" t="b">
        <v>0</v>
      </c>
      <c r="N1679" s="6">
        <v>7.72</v>
      </c>
      <c r="O1679" s="6" t="s">
        <v>30</v>
      </c>
      <c r="P1679" s="6" t="b">
        <v>1</v>
      </c>
      <c r="Q1679" s="9" t="s">
        <v>25</v>
      </c>
    </row>
    <row r="1680" spans="1:17" x14ac:dyDescent="0.25">
      <c r="A1680" s="5" t="s">
        <v>1730</v>
      </c>
      <c r="B1680" s="6" t="s">
        <v>46</v>
      </c>
      <c r="C1680" s="6" t="s">
        <v>39</v>
      </c>
      <c r="D1680" s="6" t="s">
        <v>64</v>
      </c>
      <c r="E1680" s="6" t="s">
        <v>28</v>
      </c>
      <c r="F1680" s="6" t="s">
        <v>29</v>
      </c>
      <c r="G1680" s="6">
        <v>91</v>
      </c>
      <c r="H1680" s="7">
        <v>896.64</v>
      </c>
      <c r="I1680" s="7">
        <v>81594.240000000005</v>
      </c>
      <c r="J1680" s="8">
        <v>45216</v>
      </c>
      <c r="K1680" s="6">
        <v>34</v>
      </c>
      <c r="L1680" s="6" t="s">
        <v>49</v>
      </c>
      <c r="M1680" s="6" t="b">
        <v>1</v>
      </c>
      <c r="N1680" s="6">
        <v>10.6</v>
      </c>
      <c r="O1680" s="6" t="s">
        <v>56</v>
      </c>
      <c r="P1680" s="6" t="b">
        <v>1</v>
      </c>
      <c r="Q1680" s="9" t="s">
        <v>25</v>
      </c>
    </row>
    <row r="1681" spans="1:17" x14ac:dyDescent="0.25">
      <c r="A1681" s="5" t="s">
        <v>1731</v>
      </c>
      <c r="B1681" s="6" t="s">
        <v>51</v>
      </c>
      <c r="C1681" s="6" t="s">
        <v>33</v>
      </c>
      <c r="D1681" s="6" t="s">
        <v>52</v>
      </c>
      <c r="E1681" s="6" t="s">
        <v>35</v>
      </c>
      <c r="F1681" s="6" t="s">
        <v>48</v>
      </c>
      <c r="G1681" s="6">
        <v>89</v>
      </c>
      <c r="H1681" s="7">
        <v>354.17</v>
      </c>
      <c r="I1681" s="7">
        <v>31521.13</v>
      </c>
      <c r="J1681" s="8">
        <v>45494</v>
      </c>
      <c r="K1681" s="6">
        <v>52</v>
      </c>
      <c r="L1681" s="6" t="s">
        <v>41</v>
      </c>
      <c r="M1681" s="6" t="b">
        <v>0</v>
      </c>
      <c r="N1681" s="6">
        <v>6.42</v>
      </c>
      <c r="O1681" s="6" t="s">
        <v>30</v>
      </c>
      <c r="P1681" s="6" t="b">
        <v>0</v>
      </c>
      <c r="Q1681" s="9" t="s">
        <v>36</v>
      </c>
    </row>
    <row r="1682" spans="1:17" x14ac:dyDescent="0.25">
      <c r="A1682" s="5" t="s">
        <v>1732</v>
      </c>
      <c r="B1682" s="6" t="s">
        <v>51</v>
      </c>
      <c r="C1682" s="6" t="s">
        <v>33</v>
      </c>
      <c r="D1682" s="6" t="s">
        <v>52</v>
      </c>
      <c r="E1682" s="6" t="s">
        <v>44</v>
      </c>
      <c r="F1682" s="6" t="s">
        <v>22</v>
      </c>
      <c r="G1682" s="6">
        <v>13</v>
      </c>
      <c r="H1682" s="7">
        <v>157.46</v>
      </c>
      <c r="I1682" s="7">
        <v>2046.98</v>
      </c>
      <c r="J1682" s="8">
        <v>45257</v>
      </c>
      <c r="K1682" s="6">
        <v>18</v>
      </c>
      <c r="L1682" s="6" t="s">
        <v>49</v>
      </c>
      <c r="M1682" s="6" t="b">
        <v>0</v>
      </c>
      <c r="N1682" s="6">
        <v>17.149999999999999</v>
      </c>
      <c r="O1682" s="6" t="s">
        <v>24</v>
      </c>
      <c r="P1682" s="6" t="b">
        <v>1</v>
      </c>
      <c r="Q1682" s="9" t="s">
        <v>25</v>
      </c>
    </row>
    <row r="1683" spans="1:17" x14ac:dyDescent="0.25">
      <c r="A1683" s="5" t="s">
        <v>1733</v>
      </c>
      <c r="B1683" s="6" t="s">
        <v>62</v>
      </c>
      <c r="C1683" s="6" t="s">
        <v>33</v>
      </c>
      <c r="D1683" s="6" t="s">
        <v>20</v>
      </c>
      <c r="E1683" s="6" t="s">
        <v>35</v>
      </c>
      <c r="F1683" s="6" t="s">
        <v>22</v>
      </c>
      <c r="G1683" s="6">
        <v>72</v>
      </c>
      <c r="H1683" s="7">
        <v>723.85</v>
      </c>
      <c r="I1683" s="7">
        <v>52117.2</v>
      </c>
      <c r="J1683" s="8">
        <v>45185</v>
      </c>
      <c r="K1683" s="6">
        <v>67</v>
      </c>
      <c r="L1683" s="6" t="s">
        <v>41</v>
      </c>
      <c r="M1683" s="6" t="b">
        <v>1</v>
      </c>
      <c r="N1683" s="6">
        <v>20.92</v>
      </c>
      <c r="O1683" s="6" t="s">
        <v>42</v>
      </c>
      <c r="P1683" s="6" t="b">
        <v>0</v>
      </c>
      <c r="Q1683" s="9" t="s">
        <v>36</v>
      </c>
    </row>
    <row r="1684" spans="1:17" x14ac:dyDescent="0.25">
      <c r="A1684" s="5" t="s">
        <v>1734</v>
      </c>
      <c r="B1684" s="6" t="s">
        <v>72</v>
      </c>
      <c r="C1684" s="6" t="s">
        <v>19</v>
      </c>
      <c r="D1684" s="6" t="s">
        <v>64</v>
      </c>
      <c r="E1684" s="6" t="s">
        <v>21</v>
      </c>
      <c r="F1684" s="6" t="s">
        <v>29</v>
      </c>
      <c r="G1684" s="6">
        <v>56</v>
      </c>
      <c r="H1684" s="7">
        <v>942.64</v>
      </c>
      <c r="I1684" s="7">
        <v>52787.839999999997</v>
      </c>
      <c r="J1684" s="8">
        <v>45352</v>
      </c>
      <c r="K1684" s="6">
        <v>67</v>
      </c>
      <c r="L1684" s="6" t="s">
        <v>23</v>
      </c>
      <c r="M1684" s="6" t="b">
        <v>1</v>
      </c>
      <c r="N1684" s="6">
        <v>20.21</v>
      </c>
      <c r="O1684" s="6" t="s">
        <v>30</v>
      </c>
      <c r="P1684" s="6" t="b">
        <v>1</v>
      </c>
      <c r="Q1684" s="9" t="s">
        <v>36</v>
      </c>
    </row>
    <row r="1685" spans="1:17" x14ac:dyDescent="0.25">
      <c r="A1685" s="5" t="s">
        <v>1735</v>
      </c>
      <c r="B1685" s="6" t="s">
        <v>18</v>
      </c>
      <c r="C1685" s="6" t="s">
        <v>19</v>
      </c>
      <c r="D1685" s="6" t="s">
        <v>64</v>
      </c>
      <c r="E1685" s="6" t="s">
        <v>35</v>
      </c>
      <c r="F1685" s="6" t="s">
        <v>22</v>
      </c>
      <c r="G1685" s="6">
        <v>5</v>
      </c>
      <c r="H1685" s="7">
        <v>187.82</v>
      </c>
      <c r="I1685" s="7">
        <v>939.1</v>
      </c>
      <c r="J1685" s="8">
        <v>44932</v>
      </c>
      <c r="K1685" s="6">
        <v>53</v>
      </c>
      <c r="L1685" s="6" t="s">
        <v>49</v>
      </c>
      <c r="M1685" s="6" t="b">
        <v>1</v>
      </c>
      <c r="N1685" s="6">
        <v>7.64</v>
      </c>
      <c r="O1685" s="6" t="s">
        <v>24</v>
      </c>
      <c r="P1685" s="6" t="b">
        <v>1</v>
      </c>
      <c r="Q1685" s="9" t="s">
        <v>36</v>
      </c>
    </row>
    <row r="1686" spans="1:17" x14ac:dyDescent="0.25">
      <c r="A1686" s="5" t="s">
        <v>1736</v>
      </c>
      <c r="B1686" s="6" t="s">
        <v>72</v>
      </c>
      <c r="C1686" s="6" t="s">
        <v>33</v>
      </c>
      <c r="D1686" s="6" t="s">
        <v>64</v>
      </c>
      <c r="E1686" s="6" t="s">
        <v>21</v>
      </c>
      <c r="F1686" s="6" t="s">
        <v>40</v>
      </c>
      <c r="G1686" s="6">
        <v>12</v>
      </c>
      <c r="H1686" s="7">
        <v>1428.27</v>
      </c>
      <c r="I1686" s="7">
        <v>17139.240000000002</v>
      </c>
      <c r="J1686" s="8">
        <v>44932</v>
      </c>
      <c r="K1686" s="6">
        <v>32</v>
      </c>
      <c r="L1686" s="6" t="s">
        <v>41</v>
      </c>
      <c r="M1686" s="6" t="b">
        <v>0</v>
      </c>
      <c r="N1686" s="6">
        <v>23.39</v>
      </c>
      <c r="O1686" s="6" t="s">
        <v>42</v>
      </c>
      <c r="P1686" s="6" t="b">
        <v>0</v>
      </c>
      <c r="Q1686" s="9" t="s">
        <v>36</v>
      </c>
    </row>
    <row r="1687" spans="1:17" x14ac:dyDescent="0.25">
      <c r="A1687" s="5" t="s">
        <v>1737</v>
      </c>
      <c r="B1687" s="6" t="s">
        <v>38</v>
      </c>
      <c r="C1687" s="6" t="s">
        <v>39</v>
      </c>
      <c r="D1687" s="6" t="s">
        <v>52</v>
      </c>
      <c r="E1687" s="6" t="s">
        <v>28</v>
      </c>
      <c r="F1687" s="6" t="s">
        <v>22</v>
      </c>
      <c r="G1687" s="6">
        <v>41</v>
      </c>
      <c r="H1687" s="7">
        <v>1471.6</v>
      </c>
      <c r="I1687" s="7">
        <v>60335.6</v>
      </c>
      <c r="J1687" s="8">
        <v>45117</v>
      </c>
      <c r="K1687" s="6">
        <v>36</v>
      </c>
      <c r="L1687" s="6" t="s">
        <v>41</v>
      </c>
      <c r="M1687" s="6" t="b">
        <v>0</v>
      </c>
      <c r="N1687" s="6">
        <v>7.68</v>
      </c>
      <c r="O1687" s="6" t="s">
        <v>42</v>
      </c>
      <c r="P1687" s="6" t="b">
        <v>1</v>
      </c>
      <c r="Q1687" s="9" t="s">
        <v>25</v>
      </c>
    </row>
    <row r="1688" spans="1:17" x14ac:dyDescent="0.25">
      <c r="A1688" s="5" t="s">
        <v>1738</v>
      </c>
      <c r="B1688" s="6" t="s">
        <v>46</v>
      </c>
      <c r="C1688" s="6" t="s">
        <v>39</v>
      </c>
      <c r="D1688" s="6" t="s">
        <v>34</v>
      </c>
      <c r="E1688" s="6" t="s">
        <v>21</v>
      </c>
      <c r="F1688" s="6" t="s">
        <v>22</v>
      </c>
      <c r="G1688" s="6">
        <v>3</v>
      </c>
      <c r="H1688" s="7">
        <v>840.91</v>
      </c>
      <c r="I1688" s="7">
        <v>2522.73</v>
      </c>
      <c r="J1688" s="8">
        <v>45074</v>
      </c>
      <c r="K1688" s="6">
        <v>68</v>
      </c>
      <c r="L1688" s="6" t="s">
        <v>41</v>
      </c>
      <c r="M1688" s="6" t="b">
        <v>1</v>
      </c>
      <c r="N1688" s="6">
        <v>4.51</v>
      </c>
      <c r="O1688" s="6" t="s">
        <v>42</v>
      </c>
      <c r="P1688" s="6" t="b">
        <v>0</v>
      </c>
      <c r="Q1688" s="9" t="s">
        <v>36</v>
      </c>
    </row>
    <row r="1689" spans="1:17" x14ac:dyDescent="0.25">
      <c r="A1689" s="5" t="s">
        <v>1739</v>
      </c>
      <c r="B1689" s="6" t="s">
        <v>32</v>
      </c>
      <c r="C1689" s="6" t="s">
        <v>19</v>
      </c>
      <c r="D1689" s="6" t="s">
        <v>47</v>
      </c>
      <c r="E1689" s="6" t="s">
        <v>21</v>
      </c>
      <c r="F1689" s="6" t="s">
        <v>22</v>
      </c>
      <c r="G1689" s="6">
        <v>99</v>
      </c>
      <c r="H1689" s="7">
        <v>1427.6</v>
      </c>
      <c r="I1689" s="7">
        <v>141332.4</v>
      </c>
      <c r="J1689" s="8">
        <v>45331</v>
      </c>
      <c r="K1689" s="6">
        <v>59</v>
      </c>
      <c r="L1689" s="6" t="s">
        <v>41</v>
      </c>
      <c r="M1689" s="6" t="b">
        <v>0</v>
      </c>
      <c r="N1689" s="6">
        <v>10.49</v>
      </c>
      <c r="O1689" s="6" t="s">
        <v>56</v>
      </c>
      <c r="P1689" s="6" t="b">
        <v>1</v>
      </c>
      <c r="Q1689" s="9" t="s">
        <v>36</v>
      </c>
    </row>
    <row r="1690" spans="1:17" x14ac:dyDescent="0.25">
      <c r="A1690" s="5" t="s">
        <v>1740</v>
      </c>
      <c r="B1690" s="6" t="s">
        <v>27</v>
      </c>
      <c r="C1690" s="6" t="s">
        <v>19</v>
      </c>
      <c r="D1690" s="6" t="s">
        <v>52</v>
      </c>
      <c r="E1690" s="6" t="s">
        <v>44</v>
      </c>
      <c r="F1690" s="6" t="s">
        <v>48</v>
      </c>
      <c r="G1690" s="6">
        <v>33</v>
      </c>
      <c r="H1690" s="7">
        <v>310.2</v>
      </c>
      <c r="I1690" s="7">
        <v>10236.6</v>
      </c>
      <c r="J1690" s="8">
        <v>45184</v>
      </c>
      <c r="K1690" s="6">
        <v>22</v>
      </c>
      <c r="L1690" s="6" t="s">
        <v>49</v>
      </c>
      <c r="M1690" s="6" t="b">
        <v>1</v>
      </c>
      <c r="N1690" s="6">
        <v>17.93</v>
      </c>
      <c r="O1690" s="6" t="s">
        <v>30</v>
      </c>
      <c r="P1690" s="6" t="b">
        <v>1</v>
      </c>
      <c r="Q1690" s="9" t="s">
        <v>36</v>
      </c>
    </row>
    <row r="1691" spans="1:17" x14ac:dyDescent="0.25">
      <c r="A1691" s="5" t="s">
        <v>1741</v>
      </c>
      <c r="B1691" s="6" t="s">
        <v>38</v>
      </c>
      <c r="C1691" s="6" t="s">
        <v>33</v>
      </c>
      <c r="D1691" s="6" t="s">
        <v>64</v>
      </c>
      <c r="E1691" s="6" t="s">
        <v>21</v>
      </c>
      <c r="F1691" s="6" t="s">
        <v>48</v>
      </c>
      <c r="G1691" s="6">
        <v>86</v>
      </c>
      <c r="H1691" s="7">
        <v>86.86</v>
      </c>
      <c r="I1691" s="7">
        <v>7469.96</v>
      </c>
      <c r="J1691" s="8">
        <v>45405</v>
      </c>
      <c r="K1691" s="6">
        <v>36</v>
      </c>
      <c r="L1691" s="6" t="s">
        <v>49</v>
      </c>
      <c r="M1691" s="6" t="b">
        <v>1</v>
      </c>
      <c r="N1691" s="6">
        <v>4.26</v>
      </c>
      <c r="O1691" s="6" t="s">
        <v>42</v>
      </c>
      <c r="P1691" s="6" t="b">
        <v>1</v>
      </c>
      <c r="Q1691" s="9" t="s">
        <v>25</v>
      </c>
    </row>
    <row r="1692" spans="1:17" x14ac:dyDescent="0.25">
      <c r="A1692" s="5" t="s">
        <v>1742</v>
      </c>
      <c r="B1692" s="6" t="s">
        <v>27</v>
      </c>
      <c r="C1692" s="6" t="s">
        <v>39</v>
      </c>
      <c r="D1692" s="6" t="s">
        <v>52</v>
      </c>
      <c r="E1692" s="6" t="s">
        <v>21</v>
      </c>
      <c r="F1692" s="6" t="s">
        <v>29</v>
      </c>
      <c r="G1692" s="6">
        <v>50</v>
      </c>
      <c r="H1692" s="7">
        <v>107.14</v>
      </c>
      <c r="I1692" s="7">
        <v>5357</v>
      </c>
      <c r="J1692" s="8">
        <v>45016</v>
      </c>
      <c r="K1692" s="6">
        <v>60</v>
      </c>
      <c r="L1692" s="6" t="s">
        <v>49</v>
      </c>
      <c r="M1692" s="6" t="b">
        <v>1</v>
      </c>
      <c r="N1692" s="6">
        <v>19.440000000000001</v>
      </c>
      <c r="O1692" s="6" t="s">
        <v>42</v>
      </c>
      <c r="P1692" s="6" t="b">
        <v>1</v>
      </c>
      <c r="Q1692" s="9" t="s">
        <v>25</v>
      </c>
    </row>
    <row r="1693" spans="1:17" x14ac:dyDescent="0.25">
      <c r="A1693" s="5" t="s">
        <v>1743</v>
      </c>
      <c r="B1693" s="6" t="s">
        <v>27</v>
      </c>
      <c r="C1693" s="6" t="s">
        <v>33</v>
      </c>
      <c r="D1693" s="6" t="s">
        <v>20</v>
      </c>
      <c r="E1693" s="6" t="s">
        <v>35</v>
      </c>
      <c r="F1693" s="6" t="s">
        <v>29</v>
      </c>
      <c r="G1693" s="6">
        <v>56</v>
      </c>
      <c r="H1693" s="7">
        <v>901.89</v>
      </c>
      <c r="I1693" s="7">
        <v>50505.84</v>
      </c>
      <c r="J1693" s="8">
        <v>44936</v>
      </c>
      <c r="K1693" s="6">
        <v>56</v>
      </c>
      <c r="L1693" s="6" t="s">
        <v>41</v>
      </c>
      <c r="M1693" s="6" t="b">
        <v>1</v>
      </c>
      <c r="N1693" s="6">
        <v>25.89</v>
      </c>
      <c r="O1693" s="6" t="s">
        <v>24</v>
      </c>
      <c r="P1693" s="6" t="b">
        <v>1</v>
      </c>
      <c r="Q1693" s="9" t="s">
        <v>36</v>
      </c>
    </row>
    <row r="1694" spans="1:17" x14ac:dyDescent="0.25">
      <c r="A1694" s="5" t="s">
        <v>1744</v>
      </c>
      <c r="B1694" s="6" t="s">
        <v>32</v>
      </c>
      <c r="C1694" s="6" t="s">
        <v>19</v>
      </c>
      <c r="D1694" s="6" t="s">
        <v>64</v>
      </c>
      <c r="E1694" s="6" t="s">
        <v>28</v>
      </c>
      <c r="F1694" s="6" t="s">
        <v>29</v>
      </c>
      <c r="G1694" s="6">
        <v>9</v>
      </c>
      <c r="H1694" s="7">
        <v>139.38</v>
      </c>
      <c r="I1694" s="7">
        <v>1254.42</v>
      </c>
      <c r="J1694" s="8">
        <v>45013</v>
      </c>
      <c r="K1694" s="6">
        <v>22</v>
      </c>
      <c r="L1694" s="6" t="s">
        <v>23</v>
      </c>
      <c r="M1694" s="6" t="b">
        <v>1</v>
      </c>
      <c r="N1694" s="6">
        <v>8.7899999999999991</v>
      </c>
      <c r="O1694" s="6" t="s">
        <v>30</v>
      </c>
      <c r="P1694" s="6" t="b">
        <v>1</v>
      </c>
      <c r="Q1694" s="9" t="s">
        <v>25</v>
      </c>
    </row>
    <row r="1695" spans="1:17" x14ac:dyDescent="0.25">
      <c r="A1695" s="5" t="s">
        <v>1745</v>
      </c>
      <c r="B1695" s="6" t="s">
        <v>66</v>
      </c>
      <c r="C1695" s="6" t="s">
        <v>39</v>
      </c>
      <c r="D1695" s="6" t="s">
        <v>20</v>
      </c>
      <c r="E1695" s="6" t="s">
        <v>35</v>
      </c>
      <c r="F1695" s="6" t="s">
        <v>22</v>
      </c>
      <c r="G1695" s="6">
        <v>82</v>
      </c>
      <c r="H1695" s="7">
        <v>1439.89</v>
      </c>
      <c r="I1695" s="7">
        <v>118070.98</v>
      </c>
      <c r="J1695" s="8">
        <v>45077</v>
      </c>
      <c r="K1695" s="6">
        <v>69</v>
      </c>
      <c r="L1695" s="6" t="s">
        <v>41</v>
      </c>
      <c r="M1695" s="6" t="b">
        <v>0</v>
      </c>
      <c r="N1695" s="6">
        <v>13.51</v>
      </c>
      <c r="O1695" s="6" t="s">
        <v>24</v>
      </c>
      <c r="P1695" s="6" t="b">
        <v>1</v>
      </c>
      <c r="Q1695" s="9" t="s">
        <v>25</v>
      </c>
    </row>
    <row r="1696" spans="1:17" x14ac:dyDescent="0.25">
      <c r="A1696" s="5" t="s">
        <v>1746</v>
      </c>
      <c r="B1696" s="6" t="s">
        <v>72</v>
      </c>
      <c r="C1696" s="6" t="s">
        <v>39</v>
      </c>
      <c r="D1696" s="6" t="s">
        <v>64</v>
      </c>
      <c r="E1696" s="6" t="s">
        <v>35</v>
      </c>
      <c r="F1696" s="6" t="s">
        <v>48</v>
      </c>
      <c r="G1696" s="6">
        <v>50</v>
      </c>
      <c r="H1696" s="7">
        <v>255.8</v>
      </c>
      <c r="I1696" s="7">
        <v>12790</v>
      </c>
      <c r="J1696" s="8">
        <v>45551</v>
      </c>
      <c r="K1696" s="6">
        <v>29</v>
      </c>
      <c r="L1696" s="6" t="s">
        <v>23</v>
      </c>
      <c r="M1696" s="6" t="b">
        <v>0</v>
      </c>
      <c r="N1696" s="6">
        <v>6.85</v>
      </c>
      <c r="O1696" s="6" t="s">
        <v>30</v>
      </c>
      <c r="P1696" s="6" t="b">
        <v>1</v>
      </c>
      <c r="Q1696" s="9" t="s">
        <v>36</v>
      </c>
    </row>
    <row r="1697" spans="1:17" x14ac:dyDescent="0.25">
      <c r="A1697" s="5" t="s">
        <v>1747</v>
      </c>
      <c r="B1697" s="6" t="s">
        <v>51</v>
      </c>
      <c r="C1697" s="6" t="s">
        <v>19</v>
      </c>
      <c r="D1697" s="6" t="s">
        <v>52</v>
      </c>
      <c r="E1697" s="6" t="s">
        <v>28</v>
      </c>
      <c r="F1697" s="6" t="s">
        <v>40</v>
      </c>
      <c r="G1697" s="6">
        <v>29</v>
      </c>
      <c r="H1697" s="7">
        <v>491.85</v>
      </c>
      <c r="I1697" s="7">
        <v>14263.65</v>
      </c>
      <c r="J1697" s="8">
        <v>44956</v>
      </c>
      <c r="K1697" s="6">
        <v>36</v>
      </c>
      <c r="L1697" s="6" t="s">
        <v>49</v>
      </c>
      <c r="M1697" s="6" t="b">
        <v>1</v>
      </c>
      <c r="N1697" s="6">
        <v>10.84</v>
      </c>
      <c r="O1697" s="6" t="s">
        <v>42</v>
      </c>
      <c r="P1697" s="6" t="b">
        <v>0</v>
      </c>
      <c r="Q1697" s="9" t="s">
        <v>36</v>
      </c>
    </row>
    <row r="1698" spans="1:17" x14ac:dyDescent="0.25">
      <c r="A1698" s="5" t="s">
        <v>1748</v>
      </c>
      <c r="B1698" s="6" t="s">
        <v>76</v>
      </c>
      <c r="C1698" s="6" t="s">
        <v>33</v>
      </c>
      <c r="D1698" s="6" t="s">
        <v>34</v>
      </c>
      <c r="E1698" s="6" t="s">
        <v>28</v>
      </c>
      <c r="F1698" s="6" t="s">
        <v>22</v>
      </c>
      <c r="G1698" s="6">
        <v>39</v>
      </c>
      <c r="H1698" s="7">
        <v>1242.6500000000001</v>
      </c>
      <c r="I1698" s="7">
        <v>48463.35</v>
      </c>
      <c r="J1698" s="8">
        <v>45054</v>
      </c>
      <c r="K1698" s="6">
        <v>64</v>
      </c>
      <c r="L1698" s="6" t="s">
        <v>41</v>
      </c>
      <c r="M1698" s="6" t="b">
        <v>0</v>
      </c>
      <c r="N1698" s="6">
        <v>0.66</v>
      </c>
      <c r="O1698" s="6" t="s">
        <v>56</v>
      </c>
      <c r="P1698" s="6" t="b">
        <v>0</v>
      </c>
      <c r="Q1698" s="9" t="s">
        <v>25</v>
      </c>
    </row>
    <row r="1699" spans="1:17" x14ac:dyDescent="0.25">
      <c r="A1699" s="5" t="s">
        <v>1749</v>
      </c>
      <c r="B1699" s="6" t="s">
        <v>27</v>
      </c>
      <c r="C1699" s="6" t="s">
        <v>33</v>
      </c>
      <c r="D1699" s="6" t="s">
        <v>47</v>
      </c>
      <c r="E1699" s="6" t="s">
        <v>21</v>
      </c>
      <c r="F1699" s="6" t="s">
        <v>22</v>
      </c>
      <c r="G1699" s="6">
        <v>91</v>
      </c>
      <c r="H1699" s="7">
        <v>367.17</v>
      </c>
      <c r="I1699" s="7">
        <v>33412.47</v>
      </c>
      <c r="J1699" s="8">
        <v>45004</v>
      </c>
      <c r="K1699" s="6">
        <v>29</v>
      </c>
      <c r="L1699" s="6" t="s">
        <v>41</v>
      </c>
      <c r="M1699" s="6" t="b">
        <v>1</v>
      </c>
      <c r="N1699" s="6">
        <v>28.61</v>
      </c>
      <c r="O1699" s="6" t="s">
        <v>24</v>
      </c>
      <c r="P1699" s="6" t="b">
        <v>0</v>
      </c>
      <c r="Q1699" s="9" t="s">
        <v>25</v>
      </c>
    </row>
    <row r="1700" spans="1:17" x14ac:dyDescent="0.25">
      <c r="A1700" s="5" t="s">
        <v>1750</v>
      </c>
      <c r="B1700" s="6" t="s">
        <v>46</v>
      </c>
      <c r="C1700" s="6" t="s">
        <v>39</v>
      </c>
      <c r="D1700" s="6" t="s">
        <v>20</v>
      </c>
      <c r="E1700" s="6" t="s">
        <v>21</v>
      </c>
      <c r="F1700" s="6" t="s">
        <v>22</v>
      </c>
      <c r="G1700" s="6">
        <v>45</v>
      </c>
      <c r="H1700" s="7">
        <v>402.3</v>
      </c>
      <c r="I1700" s="7">
        <v>18103.5</v>
      </c>
      <c r="J1700" s="8">
        <v>45347</v>
      </c>
      <c r="K1700" s="6">
        <v>53</v>
      </c>
      <c r="L1700" s="6" t="s">
        <v>49</v>
      </c>
      <c r="M1700" s="6" t="b">
        <v>0</v>
      </c>
      <c r="N1700" s="6">
        <v>12.48</v>
      </c>
      <c r="O1700" s="6" t="s">
        <v>56</v>
      </c>
      <c r="P1700" s="6" t="b">
        <v>1</v>
      </c>
      <c r="Q1700" s="9" t="s">
        <v>25</v>
      </c>
    </row>
    <row r="1701" spans="1:17" x14ac:dyDescent="0.25">
      <c r="A1701" s="5" t="s">
        <v>1751</v>
      </c>
      <c r="B1701" s="6" t="s">
        <v>38</v>
      </c>
      <c r="C1701" s="6" t="s">
        <v>19</v>
      </c>
      <c r="D1701" s="6" t="s">
        <v>52</v>
      </c>
      <c r="E1701" s="6" t="s">
        <v>44</v>
      </c>
      <c r="F1701" s="6" t="s">
        <v>40</v>
      </c>
      <c r="G1701" s="6">
        <v>17</v>
      </c>
      <c r="H1701" s="7">
        <v>981.35</v>
      </c>
      <c r="I1701" s="7">
        <v>16682.95</v>
      </c>
      <c r="J1701" s="8">
        <v>44981</v>
      </c>
      <c r="K1701" s="6">
        <v>29</v>
      </c>
      <c r="L1701" s="6" t="s">
        <v>41</v>
      </c>
      <c r="M1701" s="6" t="b">
        <v>0</v>
      </c>
      <c r="N1701" s="6">
        <v>23.67</v>
      </c>
      <c r="O1701" s="6" t="s">
        <v>56</v>
      </c>
      <c r="P1701" s="6" t="b">
        <v>0</v>
      </c>
      <c r="Q1701" s="9" t="s">
        <v>36</v>
      </c>
    </row>
    <row r="1702" spans="1:17" x14ac:dyDescent="0.25">
      <c r="A1702" s="5" t="s">
        <v>1752</v>
      </c>
      <c r="B1702" s="6" t="s">
        <v>66</v>
      </c>
      <c r="C1702" s="6" t="s">
        <v>39</v>
      </c>
      <c r="D1702" s="6" t="s">
        <v>34</v>
      </c>
      <c r="E1702" s="6" t="s">
        <v>35</v>
      </c>
      <c r="F1702" s="6" t="s">
        <v>29</v>
      </c>
      <c r="G1702" s="6">
        <v>56</v>
      </c>
      <c r="H1702" s="7">
        <v>450.32</v>
      </c>
      <c r="I1702" s="7">
        <v>25217.919999999998</v>
      </c>
      <c r="J1702" s="8">
        <v>45406</v>
      </c>
      <c r="K1702" s="6">
        <v>35</v>
      </c>
      <c r="L1702" s="6" t="s">
        <v>23</v>
      </c>
      <c r="M1702" s="6" t="b">
        <v>1</v>
      </c>
      <c r="N1702" s="6">
        <v>4.28</v>
      </c>
      <c r="O1702" s="6" t="s">
        <v>56</v>
      </c>
      <c r="P1702" s="6" t="b">
        <v>0</v>
      </c>
      <c r="Q1702" s="9" t="s">
        <v>25</v>
      </c>
    </row>
    <row r="1703" spans="1:17" x14ac:dyDescent="0.25">
      <c r="A1703" s="5" t="s">
        <v>1753</v>
      </c>
      <c r="B1703" s="6" t="s">
        <v>27</v>
      </c>
      <c r="C1703" s="6" t="s">
        <v>19</v>
      </c>
      <c r="D1703" s="6" t="s">
        <v>52</v>
      </c>
      <c r="E1703" s="6" t="s">
        <v>28</v>
      </c>
      <c r="F1703" s="6" t="s">
        <v>40</v>
      </c>
      <c r="G1703" s="6">
        <v>98</v>
      </c>
      <c r="H1703" s="7">
        <v>365.3</v>
      </c>
      <c r="I1703" s="7">
        <v>35799.4</v>
      </c>
      <c r="J1703" s="8">
        <v>45231</v>
      </c>
      <c r="K1703" s="6">
        <v>66</v>
      </c>
      <c r="L1703" s="6" t="s">
        <v>23</v>
      </c>
      <c r="M1703" s="6" t="b">
        <v>0</v>
      </c>
      <c r="N1703" s="6">
        <v>24.37</v>
      </c>
      <c r="O1703" s="6" t="s">
        <v>30</v>
      </c>
      <c r="P1703" s="6" t="b">
        <v>1</v>
      </c>
      <c r="Q1703" s="9" t="s">
        <v>25</v>
      </c>
    </row>
    <row r="1704" spans="1:17" x14ac:dyDescent="0.25">
      <c r="A1704" s="5" t="s">
        <v>1754</v>
      </c>
      <c r="B1704" s="6" t="s">
        <v>66</v>
      </c>
      <c r="C1704" s="6" t="s">
        <v>33</v>
      </c>
      <c r="D1704" s="6" t="s">
        <v>20</v>
      </c>
      <c r="E1704" s="6" t="s">
        <v>21</v>
      </c>
      <c r="F1704" s="6" t="s">
        <v>29</v>
      </c>
      <c r="G1704" s="6">
        <v>46</v>
      </c>
      <c r="H1704" s="7">
        <v>418.56</v>
      </c>
      <c r="I1704" s="7">
        <v>19253.759999999998</v>
      </c>
      <c r="J1704" s="8">
        <v>45472</v>
      </c>
      <c r="K1704" s="6">
        <v>68</v>
      </c>
      <c r="L1704" s="6" t="s">
        <v>23</v>
      </c>
      <c r="M1704" s="6" t="b">
        <v>1</v>
      </c>
      <c r="N1704" s="6">
        <v>25.8</v>
      </c>
      <c r="O1704" s="6" t="s">
        <v>30</v>
      </c>
      <c r="P1704" s="6" t="b">
        <v>0</v>
      </c>
      <c r="Q1704" s="9" t="s">
        <v>25</v>
      </c>
    </row>
    <row r="1705" spans="1:17" x14ac:dyDescent="0.25">
      <c r="A1705" s="5" t="s">
        <v>1755</v>
      </c>
      <c r="B1705" s="6" t="s">
        <v>66</v>
      </c>
      <c r="C1705" s="6" t="s">
        <v>19</v>
      </c>
      <c r="D1705" s="6" t="s">
        <v>47</v>
      </c>
      <c r="E1705" s="6" t="s">
        <v>28</v>
      </c>
      <c r="F1705" s="6" t="s">
        <v>40</v>
      </c>
      <c r="G1705" s="6">
        <v>67</v>
      </c>
      <c r="H1705" s="7">
        <v>761.44</v>
      </c>
      <c r="I1705" s="7">
        <v>51016.480000000003</v>
      </c>
      <c r="J1705" s="8">
        <v>45031</v>
      </c>
      <c r="K1705" s="6">
        <v>65</v>
      </c>
      <c r="L1705" s="6" t="s">
        <v>41</v>
      </c>
      <c r="M1705" s="6" t="b">
        <v>0</v>
      </c>
      <c r="N1705" s="6">
        <v>21.46</v>
      </c>
      <c r="O1705" s="6" t="s">
        <v>56</v>
      </c>
      <c r="P1705" s="6" t="b">
        <v>1</v>
      </c>
      <c r="Q1705" s="9" t="s">
        <v>25</v>
      </c>
    </row>
    <row r="1706" spans="1:17" x14ac:dyDescent="0.25">
      <c r="A1706" s="5" t="s">
        <v>1756</v>
      </c>
      <c r="B1706" s="6" t="s">
        <v>27</v>
      </c>
      <c r="C1706" s="6" t="s">
        <v>33</v>
      </c>
      <c r="D1706" s="6" t="s">
        <v>52</v>
      </c>
      <c r="E1706" s="6" t="s">
        <v>21</v>
      </c>
      <c r="F1706" s="6" t="s">
        <v>48</v>
      </c>
      <c r="G1706" s="6">
        <v>69</v>
      </c>
      <c r="H1706" s="7">
        <v>1450.84</v>
      </c>
      <c r="I1706" s="7">
        <v>100107.96</v>
      </c>
      <c r="J1706" s="8">
        <v>45098</v>
      </c>
      <c r="K1706" s="6">
        <v>60</v>
      </c>
      <c r="L1706" s="6" t="s">
        <v>41</v>
      </c>
      <c r="M1706" s="6" t="b">
        <v>1</v>
      </c>
      <c r="N1706" s="6">
        <v>27.1</v>
      </c>
      <c r="O1706" s="6" t="s">
        <v>42</v>
      </c>
      <c r="P1706" s="6" t="b">
        <v>0</v>
      </c>
      <c r="Q1706" s="9" t="s">
        <v>36</v>
      </c>
    </row>
    <row r="1707" spans="1:17" x14ac:dyDescent="0.25">
      <c r="A1707" s="5" t="s">
        <v>1757</v>
      </c>
      <c r="B1707" s="6" t="s">
        <v>62</v>
      </c>
      <c r="C1707" s="6" t="s">
        <v>19</v>
      </c>
      <c r="D1707" s="6" t="s">
        <v>64</v>
      </c>
      <c r="E1707" s="6" t="s">
        <v>44</v>
      </c>
      <c r="F1707" s="6" t="s">
        <v>22</v>
      </c>
      <c r="G1707" s="6">
        <v>14</v>
      </c>
      <c r="H1707" s="7">
        <v>1256.75</v>
      </c>
      <c r="I1707" s="7">
        <v>17594.5</v>
      </c>
      <c r="J1707" s="8">
        <v>45425</v>
      </c>
      <c r="K1707" s="6">
        <v>51</v>
      </c>
      <c r="L1707" s="6" t="s">
        <v>23</v>
      </c>
      <c r="M1707" s="6" t="b">
        <v>1</v>
      </c>
      <c r="N1707" s="6">
        <v>5.0199999999999996</v>
      </c>
      <c r="O1707" s="6" t="s">
        <v>42</v>
      </c>
      <c r="P1707" s="6" t="b">
        <v>0</v>
      </c>
      <c r="Q1707" s="9" t="s">
        <v>36</v>
      </c>
    </row>
    <row r="1708" spans="1:17" x14ac:dyDescent="0.25">
      <c r="A1708" s="5" t="s">
        <v>1758</v>
      </c>
      <c r="B1708" s="6" t="s">
        <v>18</v>
      </c>
      <c r="C1708" s="6" t="s">
        <v>39</v>
      </c>
      <c r="D1708" s="6" t="s">
        <v>34</v>
      </c>
      <c r="E1708" s="6" t="s">
        <v>44</v>
      </c>
      <c r="F1708" s="6" t="s">
        <v>22</v>
      </c>
      <c r="G1708" s="6">
        <v>67</v>
      </c>
      <c r="H1708" s="7">
        <v>462.68</v>
      </c>
      <c r="I1708" s="7">
        <v>30999.56</v>
      </c>
      <c r="J1708" s="8">
        <v>44948</v>
      </c>
      <c r="K1708" s="6">
        <v>65</v>
      </c>
      <c r="L1708" s="6" t="s">
        <v>41</v>
      </c>
      <c r="M1708" s="6" t="b">
        <v>1</v>
      </c>
      <c r="N1708" s="6">
        <v>14.29</v>
      </c>
      <c r="O1708" s="6" t="s">
        <v>56</v>
      </c>
      <c r="P1708" s="6" t="b">
        <v>0</v>
      </c>
      <c r="Q1708" s="9" t="s">
        <v>36</v>
      </c>
    </row>
    <row r="1709" spans="1:17" x14ac:dyDescent="0.25">
      <c r="A1709" s="5" t="s">
        <v>1759</v>
      </c>
      <c r="B1709" s="6" t="s">
        <v>46</v>
      </c>
      <c r="C1709" s="6" t="s">
        <v>33</v>
      </c>
      <c r="D1709" s="6" t="s">
        <v>52</v>
      </c>
      <c r="E1709" s="6" t="s">
        <v>28</v>
      </c>
      <c r="F1709" s="6" t="s">
        <v>22</v>
      </c>
      <c r="G1709" s="6">
        <v>23</v>
      </c>
      <c r="H1709" s="7">
        <v>576.89</v>
      </c>
      <c r="I1709" s="7">
        <v>13268.47</v>
      </c>
      <c r="J1709" s="8">
        <v>45213</v>
      </c>
      <c r="K1709" s="6">
        <v>50</v>
      </c>
      <c r="L1709" s="6" t="s">
        <v>23</v>
      </c>
      <c r="M1709" s="6" t="b">
        <v>1</v>
      </c>
      <c r="N1709" s="6">
        <v>18.600000000000001</v>
      </c>
      <c r="O1709" s="6" t="s">
        <v>24</v>
      </c>
      <c r="P1709" s="6" t="b">
        <v>0</v>
      </c>
      <c r="Q1709" s="9" t="s">
        <v>25</v>
      </c>
    </row>
    <row r="1710" spans="1:17" x14ac:dyDescent="0.25">
      <c r="A1710" s="5" t="s">
        <v>1760</v>
      </c>
      <c r="B1710" s="6" t="s">
        <v>51</v>
      </c>
      <c r="C1710" s="6" t="s">
        <v>39</v>
      </c>
      <c r="D1710" s="6" t="s">
        <v>34</v>
      </c>
      <c r="E1710" s="6" t="s">
        <v>44</v>
      </c>
      <c r="F1710" s="6" t="s">
        <v>29</v>
      </c>
      <c r="G1710" s="6">
        <v>94</v>
      </c>
      <c r="H1710" s="7">
        <v>723.54</v>
      </c>
      <c r="I1710" s="7">
        <v>68012.759999999995</v>
      </c>
      <c r="J1710" s="8">
        <v>45317</v>
      </c>
      <c r="K1710" s="6">
        <v>66</v>
      </c>
      <c r="L1710" s="6" t="s">
        <v>49</v>
      </c>
      <c r="M1710" s="6" t="b">
        <v>1</v>
      </c>
      <c r="N1710" s="6">
        <v>17.89</v>
      </c>
      <c r="O1710" s="6" t="s">
        <v>24</v>
      </c>
      <c r="P1710" s="6" t="b">
        <v>0</v>
      </c>
      <c r="Q1710" s="9" t="s">
        <v>36</v>
      </c>
    </row>
    <row r="1711" spans="1:17" x14ac:dyDescent="0.25">
      <c r="A1711" s="5" t="s">
        <v>1761</v>
      </c>
      <c r="B1711" s="6" t="s">
        <v>51</v>
      </c>
      <c r="C1711" s="6" t="s">
        <v>39</v>
      </c>
      <c r="D1711" s="6" t="s">
        <v>64</v>
      </c>
      <c r="E1711" s="6" t="s">
        <v>28</v>
      </c>
      <c r="F1711" s="6" t="s">
        <v>40</v>
      </c>
      <c r="G1711" s="6">
        <v>61</v>
      </c>
      <c r="H1711" s="7">
        <v>1469.45</v>
      </c>
      <c r="I1711" s="7">
        <v>89636.45</v>
      </c>
      <c r="J1711" s="8">
        <v>45543</v>
      </c>
      <c r="K1711" s="6">
        <v>35</v>
      </c>
      <c r="L1711" s="6" t="s">
        <v>23</v>
      </c>
      <c r="M1711" s="6" t="b">
        <v>1</v>
      </c>
      <c r="N1711" s="6">
        <v>25.83</v>
      </c>
      <c r="O1711" s="6" t="s">
        <v>30</v>
      </c>
      <c r="P1711" s="6" t="b">
        <v>1</v>
      </c>
      <c r="Q1711" s="9" t="s">
        <v>25</v>
      </c>
    </row>
    <row r="1712" spans="1:17" x14ac:dyDescent="0.25">
      <c r="A1712" s="5" t="s">
        <v>1762</v>
      </c>
      <c r="B1712" s="6" t="s">
        <v>46</v>
      </c>
      <c r="C1712" s="6" t="s">
        <v>33</v>
      </c>
      <c r="D1712" s="6" t="s">
        <v>47</v>
      </c>
      <c r="E1712" s="6" t="s">
        <v>21</v>
      </c>
      <c r="F1712" s="6" t="s">
        <v>48</v>
      </c>
      <c r="G1712" s="6">
        <v>23</v>
      </c>
      <c r="H1712" s="7">
        <v>299.97000000000003</v>
      </c>
      <c r="I1712" s="7">
        <v>6899.31</v>
      </c>
      <c r="J1712" s="8">
        <v>45075</v>
      </c>
      <c r="K1712" s="6">
        <v>46</v>
      </c>
      <c r="L1712" s="6" t="s">
        <v>49</v>
      </c>
      <c r="M1712" s="6" t="b">
        <v>0</v>
      </c>
      <c r="N1712" s="6">
        <v>6.47</v>
      </c>
      <c r="O1712" s="6" t="s">
        <v>24</v>
      </c>
      <c r="P1712" s="6" t="b">
        <v>0</v>
      </c>
      <c r="Q1712" s="9" t="s">
        <v>25</v>
      </c>
    </row>
    <row r="1713" spans="1:17" x14ac:dyDescent="0.25">
      <c r="A1713" s="5" t="s">
        <v>1763</v>
      </c>
      <c r="B1713" s="6" t="s">
        <v>62</v>
      </c>
      <c r="C1713" s="6" t="s">
        <v>33</v>
      </c>
      <c r="D1713" s="6" t="s">
        <v>47</v>
      </c>
      <c r="E1713" s="6" t="s">
        <v>35</v>
      </c>
      <c r="F1713" s="6" t="s">
        <v>40</v>
      </c>
      <c r="G1713" s="6">
        <v>27</v>
      </c>
      <c r="H1713" s="7">
        <v>568.35</v>
      </c>
      <c r="I1713" s="7">
        <v>15345.45</v>
      </c>
      <c r="J1713" s="8">
        <v>45198</v>
      </c>
      <c r="K1713" s="6">
        <v>62</v>
      </c>
      <c r="L1713" s="6" t="s">
        <v>49</v>
      </c>
      <c r="M1713" s="6" t="b">
        <v>1</v>
      </c>
      <c r="N1713" s="6">
        <v>5.27</v>
      </c>
      <c r="O1713" s="6" t="s">
        <v>42</v>
      </c>
      <c r="P1713" s="6" t="b">
        <v>1</v>
      </c>
      <c r="Q1713" s="9" t="s">
        <v>36</v>
      </c>
    </row>
    <row r="1714" spans="1:17" x14ac:dyDescent="0.25">
      <c r="A1714" s="5" t="s">
        <v>1764</v>
      </c>
      <c r="B1714" s="6" t="s">
        <v>51</v>
      </c>
      <c r="C1714" s="6" t="s">
        <v>39</v>
      </c>
      <c r="D1714" s="6" t="s">
        <v>64</v>
      </c>
      <c r="E1714" s="6" t="s">
        <v>44</v>
      </c>
      <c r="F1714" s="6" t="s">
        <v>22</v>
      </c>
      <c r="G1714" s="6">
        <v>54</v>
      </c>
      <c r="H1714" s="7">
        <v>1107.67</v>
      </c>
      <c r="I1714" s="7">
        <v>59814.18</v>
      </c>
      <c r="J1714" s="8">
        <v>45225</v>
      </c>
      <c r="K1714" s="6">
        <v>22</v>
      </c>
      <c r="L1714" s="6" t="s">
        <v>49</v>
      </c>
      <c r="M1714" s="6" t="b">
        <v>0</v>
      </c>
      <c r="N1714" s="6">
        <v>7.6</v>
      </c>
      <c r="O1714" s="6" t="s">
        <v>56</v>
      </c>
      <c r="P1714" s="6" t="b">
        <v>0</v>
      </c>
      <c r="Q1714" s="9" t="s">
        <v>25</v>
      </c>
    </row>
    <row r="1715" spans="1:17" x14ac:dyDescent="0.25">
      <c r="A1715" s="5" t="s">
        <v>1765</v>
      </c>
      <c r="B1715" s="6" t="s">
        <v>66</v>
      </c>
      <c r="C1715" s="6" t="s">
        <v>39</v>
      </c>
      <c r="D1715" s="6" t="s">
        <v>34</v>
      </c>
      <c r="E1715" s="6" t="s">
        <v>21</v>
      </c>
      <c r="F1715" s="6" t="s">
        <v>48</v>
      </c>
      <c r="G1715" s="6">
        <v>10</v>
      </c>
      <c r="H1715" s="7">
        <v>1447.72</v>
      </c>
      <c r="I1715" s="7">
        <v>14477.2</v>
      </c>
      <c r="J1715" s="8">
        <v>45098</v>
      </c>
      <c r="K1715" s="6">
        <v>42</v>
      </c>
      <c r="L1715" s="6" t="s">
        <v>23</v>
      </c>
      <c r="M1715" s="6" t="b">
        <v>1</v>
      </c>
      <c r="N1715" s="6">
        <v>26.75</v>
      </c>
      <c r="O1715" s="6" t="s">
        <v>24</v>
      </c>
      <c r="P1715" s="6" t="b">
        <v>1</v>
      </c>
      <c r="Q1715" s="9" t="s">
        <v>25</v>
      </c>
    </row>
    <row r="1716" spans="1:17" x14ac:dyDescent="0.25">
      <c r="A1716" s="5" t="s">
        <v>1766</v>
      </c>
      <c r="B1716" s="6" t="s">
        <v>32</v>
      </c>
      <c r="C1716" s="6" t="s">
        <v>39</v>
      </c>
      <c r="D1716" s="6" t="s">
        <v>52</v>
      </c>
      <c r="E1716" s="6" t="s">
        <v>35</v>
      </c>
      <c r="F1716" s="6" t="s">
        <v>48</v>
      </c>
      <c r="G1716" s="6">
        <v>89</v>
      </c>
      <c r="H1716" s="7">
        <v>275.73</v>
      </c>
      <c r="I1716" s="7">
        <v>24539.97</v>
      </c>
      <c r="J1716" s="8">
        <v>44973</v>
      </c>
      <c r="K1716" s="6">
        <v>41</v>
      </c>
      <c r="L1716" s="6" t="s">
        <v>23</v>
      </c>
      <c r="M1716" s="6" t="b">
        <v>0</v>
      </c>
      <c r="N1716" s="6">
        <v>28.23</v>
      </c>
      <c r="O1716" s="6" t="s">
        <v>56</v>
      </c>
      <c r="P1716" s="6" t="b">
        <v>0</v>
      </c>
      <c r="Q1716" s="9" t="s">
        <v>25</v>
      </c>
    </row>
    <row r="1717" spans="1:17" x14ac:dyDescent="0.25">
      <c r="A1717" s="5" t="s">
        <v>1767</v>
      </c>
      <c r="B1717" s="6" t="s">
        <v>38</v>
      </c>
      <c r="C1717" s="6" t="s">
        <v>39</v>
      </c>
      <c r="D1717" s="6" t="s">
        <v>64</v>
      </c>
      <c r="E1717" s="6" t="s">
        <v>35</v>
      </c>
      <c r="F1717" s="6" t="s">
        <v>22</v>
      </c>
      <c r="G1717" s="6">
        <v>77</v>
      </c>
      <c r="H1717" s="7">
        <v>379.7</v>
      </c>
      <c r="I1717" s="7">
        <v>29236.9</v>
      </c>
      <c r="J1717" s="8">
        <v>45552</v>
      </c>
      <c r="K1717" s="6">
        <v>46</v>
      </c>
      <c r="L1717" s="6" t="s">
        <v>41</v>
      </c>
      <c r="M1717" s="6" t="b">
        <v>1</v>
      </c>
      <c r="N1717" s="6">
        <v>17.09</v>
      </c>
      <c r="O1717" s="6" t="s">
        <v>24</v>
      </c>
      <c r="P1717" s="6" t="b">
        <v>0</v>
      </c>
      <c r="Q1717" s="9" t="s">
        <v>36</v>
      </c>
    </row>
    <row r="1718" spans="1:17" x14ac:dyDescent="0.25">
      <c r="A1718" s="5" t="s">
        <v>1768</v>
      </c>
      <c r="B1718" s="6" t="s">
        <v>72</v>
      </c>
      <c r="C1718" s="6" t="s">
        <v>33</v>
      </c>
      <c r="D1718" s="6" t="s">
        <v>20</v>
      </c>
      <c r="E1718" s="6" t="s">
        <v>35</v>
      </c>
      <c r="F1718" s="6" t="s">
        <v>40</v>
      </c>
      <c r="G1718" s="6">
        <v>16</v>
      </c>
      <c r="H1718" s="7">
        <v>377.26</v>
      </c>
      <c r="I1718" s="7">
        <v>6036.16</v>
      </c>
      <c r="J1718" s="8">
        <v>45133</v>
      </c>
      <c r="K1718" s="6">
        <v>55</v>
      </c>
      <c r="L1718" s="6" t="s">
        <v>41</v>
      </c>
      <c r="M1718" s="6" t="b">
        <v>1</v>
      </c>
      <c r="N1718" s="6">
        <v>15.04</v>
      </c>
      <c r="O1718" s="6" t="s">
        <v>30</v>
      </c>
      <c r="P1718" s="6" t="b">
        <v>0</v>
      </c>
      <c r="Q1718" s="9" t="s">
        <v>36</v>
      </c>
    </row>
    <row r="1719" spans="1:17" x14ac:dyDescent="0.25">
      <c r="A1719" s="5" t="s">
        <v>1769</v>
      </c>
      <c r="B1719" s="6" t="s">
        <v>51</v>
      </c>
      <c r="C1719" s="6" t="s">
        <v>33</v>
      </c>
      <c r="D1719" s="6" t="s">
        <v>34</v>
      </c>
      <c r="E1719" s="6" t="s">
        <v>21</v>
      </c>
      <c r="F1719" s="6" t="s">
        <v>22</v>
      </c>
      <c r="G1719" s="6">
        <v>41</v>
      </c>
      <c r="H1719" s="7">
        <v>80.349999999999994</v>
      </c>
      <c r="I1719" s="7">
        <v>3294.35</v>
      </c>
      <c r="J1719" s="8">
        <v>45379</v>
      </c>
      <c r="K1719" s="6">
        <v>50</v>
      </c>
      <c r="L1719" s="6" t="s">
        <v>49</v>
      </c>
      <c r="M1719" s="6" t="b">
        <v>0</v>
      </c>
      <c r="N1719" s="6">
        <v>18.16</v>
      </c>
      <c r="O1719" s="6" t="s">
        <v>42</v>
      </c>
      <c r="P1719" s="6" t="b">
        <v>0</v>
      </c>
      <c r="Q1719" s="9" t="s">
        <v>36</v>
      </c>
    </row>
    <row r="1720" spans="1:17" x14ac:dyDescent="0.25">
      <c r="A1720" s="5" t="s">
        <v>1770</v>
      </c>
      <c r="B1720" s="6" t="s">
        <v>46</v>
      </c>
      <c r="C1720" s="6" t="s">
        <v>39</v>
      </c>
      <c r="D1720" s="6" t="s">
        <v>47</v>
      </c>
      <c r="E1720" s="6" t="s">
        <v>21</v>
      </c>
      <c r="F1720" s="6" t="s">
        <v>40</v>
      </c>
      <c r="G1720" s="6">
        <v>98</v>
      </c>
      <c r="H1720" s="7">
        <v>925.97</v>
      </c>
      <c r="I1720" s="7">
        <v>90745.06</v>
      </c>
      <c r="J1720" s="8">
        <v>45321</v>
      </c>
      <c r="K1720" s="6">
        <v>27</v>
      </c>
      <c r="L1720" s="6" t="s">
        <v>23</v>
      </c>
      <c r="M1720" s="6" t="b">
        <v>1</v>
      </c>
      <c r="N1720" s="6">
        <v>18.489999999999998</v>
      </c>
      <c r="O1720" s="6" t="s">
        <v>30</v>
      </c>
      <c r="P1720" s="6" t="b">
        <v>0</v>
      </c>
      <c r="Q1720" s="9" t="s">
        <v>36</v>
      </c>
    </row>
    <row r="1721" spans="1:17" x14ac:dyDescent="0.25">
      <c r="A1721" s="5" t="s">
        <v>1771</v>
      </c>
      <c r="B1721" s="6" t="s">
        <v>32</v>
      </c>
      <c r="C1721" s="6" t="s">
        <v>19</v>
      </c>
      <c r="D1721" s="6" t="s">
        <v>64</v>
      </c>
      <c r="E1721" s="6" t="s">
        <v>28</v>
      </c>
      <c r="F1721" s="6" t="s">
        <v>48</v>
      </c>
      <c r="G1721" s="6">
        <v>55</v>
      </c>
      <c r="H1721" s="7">
        <v>1022.52</v>
      </c>
      <c r="I1721" s="7">
        <v>56238.6</v>
      </c>
      <c r="J1721" s="8">
        <v>45227</v>
      </c>
      <c r="K1721" s="6">
        <v>54</v>
      </c>
      <c r="L1721" s="6" t="s">
        <v>41</v>
      </c>
      <c r="M1721" s="6" t="b">
        <v>1</v>
      </c>
      <c r="N1721" s="6">
        <v>5.1100000000000003</v>
      </c>
      <c r="O1721" s="6" t="s">
        <v>56</v>
      </c>
      <c r="P1721" s="6" t="b">
        <v>1</v>
      </c>
      <c r="Q1721" s="9" t="s">
        <v>36</v>
      </c>
    </row>
    <row r="1722" spans="1:17" x14ac:dyDescent="0.25">
      <c r="A1722" s="5" t="s">
        <v>1772</v>
      </c>
      <c r="B1722" s="6" t="s">
        <v>27</v>
      </c>
      <c r="C1722" s="6" t="s">
        <v>19</v>
      </c>
      <c r="D1722" s="6" t="s">
        <v>47</v>
      </c>
      <c r="E1722" s="6" t="s">
        <v>35</v>
      </c>
      <c r="F1722" s="6" t="s">
        <v>48</v>
      </c>
      <c r="G1722" s="6">
        <v>61</v>
      </c>
      <c r="H1722" s="7">
        <v>923.66</v>
      </c>
      <c r="I1722" s="7">
        <v>56343.26</v>
      </c>
      <c r="J1722" s="8">
        <v>45102</v>
      </c>
      <c r="K1722" s="6">
        <v>50</v>
      </c>
      <c r="L1722" s="6" t="s">
        <v>41</v>
      </c>
      <c r="M1722" s="6" t="b">
        <v>1</v>
      </c>
      <c r="N1722" s="6">
        <v>20.59</v>
      </c>
      <c r="O1722" s="6" t="s">
        <v>42</v>
      </c>
      <c r="P1722" s="6" t="b">
        <v>0</v>
      </c>
      <c r="Q1722" s="9" t="s">
        <v>36</v>
      </c>
    </row>
    <row r="1723" spans="1:17" x14ac:dyDescent="0.25">
      <c r="A1723" s="5" t="s">
        <v>1773</v>
      </c>
      <c r="B1723" s="6" t="s">
        <v>18</v>
      </c>
      <c r="C1723" s="6" t="s">
        <v>33</v>
      </c>
      <c r="D1723" s="6" t="s">
        <v>34</v>
      </c>
      <c r="E1723" s="6" t="s">
        <v>35</v>
      </c>
      <c r="F1723" s="6" t="s">
        <v>22</v>
      </c>
      <c r="G1723" s="6">
        <v>86</v>
      </c>
      <c r="H1723" s="7">
        <v>153.41999999999999</v>
      </c>
      <c r="I1723" s="7">
        <v>13194.12</v>
      </c>
      <c r="J1723" s="8">
        <v>45036</v>
      </c>
      <c r="K1723" s="6">
        <v>40</v>
      </c>
      <c r="L1723" s="6" t="s">
        <v>41</v>
      </c>
      <c r="M1723" s="6" t="b">
        <v>1</v>
      </c>
      <c r="N1723" s="6">
        <v>13.57</v>
      </c>
      <c r="O1723" s="6" t="s">
        <v>42</v>
      </c>
      <c r="P1723" s="6" t="b">
        <v>0</v>
      </c>
      <c r="Q1723" s="9" t="s">
        <v>36</v>
      </c>
    </row>
    <row r="1724" spans="1:17" x14ac:dyDescent="0.25">
      <c r="A1724" s="5" t="s">
        <v>1774</v>
      </c>
      <c r="B1724" s="6" t="s">
        <v>46</v>
      </c>
      <c r="C1724" s="6" t="s">
        <v>39</v>
      </c>
      <c r="D1724" s="6" t="s">
        <v>47</v>
      </c>
      <c r="E1724" s="6" t="s">
        <v>35</v>
      </c>
      <c r="F1724" s="6" t="s">
        <v>48</v>
      </c>
      <c r="G1724" s="6">
        <v>81</v>
      </c>
      <c r="H1724" s="7">
        <v>150.38</v>
      </c>
      <c r="I1724" s="7">
        <v>12180.78</v>
      </c>
      <c r="J1724" s="8">
        <v>45128</v>
      </c>
      <c r="K1724" s="6">
        <v>28</v>
      </c>
      <c r="L1724" s="6" t="s">
        <v>23</v>
      </c>
      <c r="M1724" s="6" t="b">
        <v>0</v>
      </c>
      <c r="N1724" s="6">
        <v>15.52</v>
      </c>
      <c r="O1724" s="6" t="s">
        <v>30</v>
      </c>
      <c r="P1724" s="6" t="b">
        <v>1</v>
      </c>
      <c r="Q1724" s="9" t="s">
        <v>36</v>
      </c>
    </row>
    <row r="1725" spans="1:17" x14ac:dyDescent="0.25">
      <c r="A1725" s="5" t="s">
        <v>1775</v>
      </c>
      <c r="B1725" s="6" t="s">
        <v>66</v>
      </c>
      <c r="C1725" s="6" t="s">
        <v>39</v>
      </c>
      <c r="D1725" s="6" t="s">
        <v>64</v>
      </c>
      <c r="E1725" s="6" t="s">
        <v>28</v>
      </c>
      <c r="F1725" s="6" t="s">
        <v>29</v>
      </c>
      <c r="G1725" s="6">
        <v>87</v>
      </c>
      <c r="H1725" s="7">
        <v>355.06</v>
      </c>
      <c r="I1725" s="7">
        <v>30890.22</v>
      </c>
      <c r="J1725" s="8">
        <v>45094</v>
      </c>
      <c r="K1725" s="6">
        <v>41</v>
      </c>
      <c r="L1725" s="6" t="s">
        <v>41</v>
      </c>
      <c r="M1725" s="6" t="b">
        <v>1</v>
      </c>
      <c r="N1725" s="6">
        <v>0.91</v>
      </c>
      <c r="O1725" s="6" t="s">
        <v>24</v>
      </c>
      <c r="P1725" s="6" t="b">
        <v>0</v>
      </c>
      <c r="Q1725" s="9" t="s">
        <v>36</v>
      </c>
    </row>
    <row r="1726" spans="1:17" x14ac:dyDescent="0.25">
      <c r="A1726" s="5" t="s">
        <v>1776</v>
      </c>
      <c r="B1726" s="6" t="s">
        <v>18</v>
      </c>
      <c r="C1726" s="6" t="s">
        <v>33</v>
      </c>
      <c r="D1726" s="6" t="s">
        <v>34</v>
      </c>
      <c r="E1726" s="6" t="s">
        <v>35</v>
      </c>
      <c r="F1726" s="6" t="s">
        <v>48</v>
      </c>
      <c r="G1726" s="6">
        <v>49</v>
      </c>
      <c r="H1726" s="7">
        <v>470.93</v>
      </c>
      <c r="I1726" s="7">
        <v>23075.57</v>
      </c>
      <c r="J1726" s="8">
        <v>45540</v>
      </c>
      <c r="K1726" s="6">
        <v>41</v>
      </c>
      <c r="L1726" s="6" t="s">
        <v>49</v>
      </c>
      <c r="M1726" s="6" t="b">
        <v>0</v>
      </c>
      <c r="N1726" s="6">
        <v>22.94</v>
      </c>
      <c r="O1726" s="6" t="s">
        <v>30</v>
      </c>
      <c r="P1726" s="6" t="b">
        <v>0</v>
      </c>
      <c r="Q1726" s="9" t="s">
        <v>36</v>
      </c>
    </row>
    <row r="1727" spans="1:17" x14ac:dyDescent="0.25">
      <c r="A1727" s="5" t="s">
        <v>1777</v>
      </c>
      <c r="B1727" s="6" t="s">
        <v>38</v>
      </c>
      <c r="C1727" s="6" t="s">
        <v>19</v>
      </c>
      <c r="D1727" s="6" t="s">
        <v>20</v>
      </c>
      <c r="E1727" s="6" t="s">
        <v>21</v>
      </c>
      <c r="F1727" s="6" t="s">
        <v>29</v>
      </c>
      <c r="G1727" s="6">
        <v>73</v>
      </c>
      <c r="H1727" s="7">
        <v>1190.49</v>
      </c>
      <c r="I1727" s="7">
        <v>86905.77</v>
      </c>
      <c r="J1727" s="8">
        <v>45012</v>
      </c>
      <c r="K1727" s="6">
        <v>24</v>
      </c>
      <c r="L1727" s="6" t="s">
        <v>23</v>
      </c>
      <c r="M1727" s="6" t="b">
        <v>1</v>
      </c>
      <c r="N1727" s="6">
        <v>25.06</v>
      </c>
      <c r="O1727" s="6" t="s">
        <v>56</v>
      </c>
      <c r="P1727" s="6" t="b">
        <v>0</v>
      </c>
      <c r="Q1727" s="9" t="s">
        <v>25</v>
      </c>
    </row>
    <row r="1728" spans="1:17" x14ac:dyDescent="0.25">
      <c r="A1728" s="5" t="s">
        <v>1778</v>
      </c>
      <c r="B1728" s="6" t="s">
        <v>38</v>
      </c>
      <c r="C1728" s="6" t="s">
        <v>19</v>
      </c>
      <c r="D1728" s="6" t="s">
        <v>64</v>
      </c>
      <c r="E1728" s="6" t="s">
        <v>35</v>
      </c>
      <c r="F1728" s="6" t="s">
        <v>48</v>
      </c>
      <c r="G1728" s="6">
        <v>52</v>
      </c>
      <c r="H1728" s="7">
        <v>281.12</v>
      </c>
      <c r="I1728" s="7">
        <v>14618.24</v>
      </c>
      <c r="J1728" s="8">
        <v>45580</v>
      </c>
      <c r="K1728" s="6">
        <v>67</v>
      </c>
      <c r="L1728" s="6" t="s">
        <v>41</v>
      </c>
      <c r="M1728" s="6" t="b">
        <v>1</v>
      </c>
      <c r="N1728" s="6">
        <v>18.579999999999998</v>
      </c>
      <c r="O1728" s="6" t="s">
        <v>24</v>
      </c>
      <c r="P1728" s="6" t="b">
        <v>0</v>
      </c>
      <c r="Q1728" s="9" t="s">
        <v>36</v>
      </c>
    </row>
    <row r="1729" spans="1:17" x14ac:dyDescent="0.25">
      <c r="A1729" s="5" t="s">
        <v>1779</v>
      </c>
      <c r="B1729" s="6" t="s">
        <v>62</v>
      </c>
      <c r="C1729" s="6" t="s">
        <v>19</v>
      </c>
      <c r="D1729" s="6" t="s">
        <v>52</v>
      </c>
      <c r="E1729" s="6" t="s">
        <v>44</v>
      </c>
      <c r="F1729" s="6" t="s">
        <v>22</v>
      </c>
      <c r="G1729" s="6">
        <v>2</v>
      </c>
      <c r="H1729" s="7">
        <v>113.93</v>
      </c>
      <c r="I1729" s="7">
        <v>227.86</v>
      </c>
      <c r="J1729" s="8">
        <v>44977</v>
      </c>
      <c r="K1729" s="6">
        <v>38</v>
      </c>
      <c r="L1729" s="6" t="s">
        <v>41</v>
      </c>
      <c r="M1729" s="6" t="b">
        <v>1</v>
      </c>
      <c r="N1729" s="6">
        <v>22.46</v>
      </c>
      <c r="O1729" s="6" t="s">
        <v>30</v>
      </c>
      <c r="P1729" s="6" t="b">
        <v>0</v>
      </c>
      <c r="Q1729" s="9" t="s">
        <v>25</v>
      </c>
    </row>
    <row r="1730" spans="1:17" x14ac:dyDescent="0.25">
      <c r="A1730" s="5" t="s">
        <v>1780</v>
      </c>
      <c r="B1730" s="6" t="s">
        <v>76</v>
      </c>
      <c r="C1730" s="6" t="s">
        <v>33</v>
      </c>
      <c r="D1730" s="6" t="s">
        <v>64</v>
      </c>
      <c r="E1730" s="6" t="s">
        <v>21</v>
      </c>
      <c r="F1730" s="6" t="s">
        <v>22</v>
      </c>
      <c r="G1730" s="6">
        <v>96</v>
      </c>
      <c r="H1730" s="7">
        <v>621.28</v>
      </c>
      <c r="I1730" s="7">
        <v>59642.879999999997</v>
      </c>
      <c r="J1730" s="8">
        <v>45038</v>
      </c>
      <c r="K1730" s="6">
        <v>37</v>
      </c>
      <c r="L1730" s="6" t="s">
        <v>23</v>
      </c>
      <c r="M1730" s="6" t="b">
        <v>1</v>
      </c>
      <c r="N1730" s="6">
        <v>15.68</v>
      </c>
      <c r="O1730" s="6" t="s">
        <v>30</v>
      </c>
      <c r="P1730" s="6" t="b">
        <v>1</v>
      </c>
      <c r="Q1730" s="9" t="s">
        <v>25</v>
      </c>
    </row>
    <row r="1731" spans="1:17" x14ac:dyDescent="0.25">
      <c r="A1731" s="5" t="s">
        <v>1781</v>
      </c>
      <c r="B1731" s="6" t="s">
        <v>62</v>
      </c>
      <c r="C1731" s="6" t="s">
        <v>19</v>
      </c>
      <c r="D1731" s="6" t="s">
        <v>34</v>
      </c>
      <c r="E1731" s="6" t="s">
        <v>28</v>
      </c>
      <c r="F1731" s="6" t="s">
        <v>29</v>
      </c>
      <c r="G1731" s="6">
        <v>50</v>
      </c>
      <c r="H1731" s="7">
        <v>653.77</v>
      </c>
      <c r="I1731" s="7">
        <v>32688.5</v>
      </c>
      <c r="J1731" s="8">
        <v>45389</v>
      </c>
      <c r="K1731" s="6">
        <v>27</v>
      </c>
      <c r="L1731" s="6" t="s">
        <v>41</v>
      </c>
      <c r="M1731" s="6" t="b">
        <v>0</v>
      </c>
      <c r="N1731" s="6">
        <v>18.55</v>
      </c>
      <c r="O1731" s="6" t="s">
        <v>24</v>
      </c>
      <c r="P1731" s="6" t="b">
        <v>0</v>
      </c>
      <c r="Q1731" s="9" t="s">
        <v>36</v>
      </c>
    </row>
    <row r="1732" spans="1:17" x14ac:dyDescent="0.25">
      <c r="A1732" s="5" t="s">
        <v>1782</v>
      </c>
      <c r="B1732" s="6" t="s">
        <v>32</v>
      </c>
      <c r="C1732" s="6" t="s">
        <v>33</v>
      </c>
      <c r="D1732" s="6" t="s">
        <v>64</v>
      </c>
      <c r="E1732" s="6" t="s">
        <v>35</v>
      </c>
      <c r="F1732" s="6" t="s">
        <v>22</v>
      </c>
      <c r="G1732" s="6">
        <v>86</v>
      </c>
      <c r="H1732" s="7">
        <v>703.82</v>
      </c>
      <c r="I1732" s="7">
        <v>60528.52</v>
      </c>
      <c r="J1732" s="8">
        <v>45368</v>
      </c>
      <c r="K1732" s="6">
        <v>42</v>
      </c>
      <c r="L1732" s="6" t="s">
        <v>41</v>
      </c>
      <c r="M1732" s="6" t="b">
        <v>1</v>
      </c>
      <c r="N1732" s="6">
        <v>11.84</v>
      </c>
      <c r="O1732" s="6" t="s">
        <v>24</v>
      </c>
      <c r="P1732" s="6" t="b">
        <v>1</v>
      </c>
      <c r="Q1732" s="9" t="s">
        <v>36</v>
      </c>
    </row>
    <row r="1733" spans="1:17" x14ac:dyDescent="0.25">
      <c r="A1733" s="5" t="s">
        <v>1783</v>
      </c>
      <c r="B1733" s="6" t="s">
        <v>18</v>
      </c>
      <c r="C1733" s="6" t="s">
        <v>33</v>
      </c>
      <c r="D1733" s="6" t="s">
        <v>20</v>
      </c>
      <c r="E1733" s="6" t="s">
        <v>44</v>
      </c>
      <c r="F1733" s="6" t="s">
        <v>48</v>
      </c>
      <c r="G1733" s="6">
        <v>43</v>
      </c>
      <c r="H1733" s="7">
        <v>1249.01</v>
      </c>
      <c r="I1733" s="7">
        <v>53707.43</v>
      </c>
      <c r="J1733" s="8">
        <v>45197</v>
      </c>
      <c r="K1733" s="6">
        <v>64</v>
      </c>
      <c r="L1733" s="6" t="s">
        <v>49</v>
      </c>
      <c r="M1733" s="6" t="b">
        <v>1</v>
      </c>
      <c r="N1733" s="6">
        <v>23.76</v>
      </c>
      <c r="O1733" s="6" t="s">
        <v>24</v>
      </c>
      <c r="P1733" s="6" t="b">
        <v>0</v>
      </c>
      <c r="Q1733" s="9" t="s">
        <v>25</v>
      </c>
    </row>
    <row r="1734" spans="1:17" x14ac:dyDescent="0.25">
      <c r="A1734" s="5" t="s">
        <v>1784</v>
      </c>
      <c r="B1734" s="6" t="s">
        <v>76</v>
      </c>
      <c r="C1734" s="6" t="s">
        <v>39</v>
      </c>
      <c r="D1734" s="6" t="s">
        <v>20</v>
      </c>
      <c r="E1734" s="6" t="s">
        <v>28</v>
      </c>
      <c r="F1734" s="6" t="s">
        <v>48</v>
      </c>
      <c r="G1734" s="6">
        <v>77</v>
      </c>
      <c r="H1734" s="7">
        <v>192.11</v>
      </c>
      <c r="I1734" s="7">
        <v>14792.47</v>
      </c>
      <c r="J1734" s="8">
        <v>45503</v>
      </c>
      <c r="K1734" s="6">
        <v>53</v>
      </c>
      <c r="L1734" s="6" t="s">
        <v>23</v>
      </c>
      <c r="M1734" s="6" t="b">
        <v>1</v>
      </c>
      <c r="N1734" s="6">
        <v>14.05</v>
      </c>
      <c r="O1734" s="6" t="s">
        <v>30</v>
      </c>
      <c r="P1734" s="6" t="b">
        <v>0</v>
      </c>
      <c r="Q1734" s="9" t="s">
        <v>36</v>
      </c>
    </row>
    <row r="1735" spans="1:17" x14ac:dyDescent="0.25">
      <c r="A1735" s="5" t="s">
        <v>1785</v>
      </c>
      <c r="B1735" s="6" t="s">
        <v>27</v>
      </c>
      <c r="C1735" s="6" t="s">
        <v>19</v>
      </c>
      <c r="D1735" s="6" t="s">
        <v>52</v>
      </c>
      <c r="E1735" s="6" t="s">
        <v>28</v>
      </c>
      <c r="F1735" s="6" t="s">
        <v>22</v>
      </c>
      <c r="G1735" s="6">
        <v>8</v>
      </c>
      <c r="H1735" s="7">
        <v>1070.72</v>
      </c>
      <c r="I1735" s="7">
        <v>8565.76</v>
      </c>
      <c r="J1735" s="8">
        <v>45270</v>
      </c>
      <c r="K1735" s="6">
        <v>65</v>
      </c>
      <c r="L1735" s="6" t="s">
        <v>41</v>
      </c>
      <c r="M1735" s="6" t="b">
        <v>0</v>
      </c>
      <c r="N1735" s="6">
        <v>20.41</v>
      </c>
      <c r="O1735" s="6" t="s">
        <v>24</v>
      </c>
      <c r="P1735" s="6" t="b">
        <v>1</v>
      </c>
      <c r="Q1735" s="9" t="s">
        <v>36</v>
      </c>
    </row>
    <row r="1736" spans="1:17" x14ac:dyDescent="0.25">
      <c r="A1736" s="5" t="s">
        <v>1786</v>
      </c>
      <c r="B1736" s="6" t="s">
        <v>66</v>
      </c>
      <c r="C1736" s="6" t="s">
        <v>33</v>
      </c>
      <c r="D1736" s="6" t="s">
        <v>47</v>
      </c>
      <c r="E1736" s="6" t="s">
        <v>21</v>
      </c>
      <c r="F1736" s="6" t="s">
        <v>48</v>
      </c>
      <c r="G1736" s="6">
        <v>59</v>
      </c>
      <c r="H1736" s="7">
        <v>540.02</v>
      </c>
      <c r="I1736" s="7">
        <v>31861.18</v>
      </c>
      <c r="J1736" s="8">
        <v>45109</v>
      </c>
      <c r="K1736" s="6">
        <v>64</v>
      </c>
      <c r="L1736" s="6" t="s">
        <v>23</v>
      </c>
      <c r="M1736" s="6" t="b">
        <v>0</v>
      </c>
      <c r="N1736" s="6">
        <v>18.64</v>
      </c>
      <c r="O1736" s="6" t="s">
        <v>24</v>
      </c>
      <c r="P1736" s="6" t="b">
        <v>0</v>
      </c>
      <c r="Q1736" s="9" t="s">
        <v>25</v>
      </c>
    </row>
    <row r="1737" spans="1:17" x14ac:dyDescent="0.25">
      <c r="A1737" s="5" t="s">
        <v>1787</v>
      </c>
      <c r="B1737" s="6" t="s">
        <v>18</v>
      </c>
      <c r="C1737" s="6" t="s">
        <v>19</v>
      </c>
      <c r="D1737" s="6" t="s">
        <v>34</v>
      </c>
      <c r="E1737" s="6" t="s">
        <v>28</v>
      </c>
      <c r="F1737" s="6" t="s">
        <v>40</v>
      </c>
      <c r="G1737" s="6">
        <v>65</v>
      </c>
      <c r="H1737" s="7">
        <v>499.47</v>
      </c>
      <c r="I1737" s="7">
        <v>32465.55</v>
      </c>
      <c r="J1737" s="8">
        <v>45429</v>
      </c>
      <c r="K1737" s="6">
        <v>32</v>
      </c>
      <c r="L1737" s="6" t="s">
        <v>23</v>
      </c>
      <c r="M1737" s="6" t="b">
        <v>0</v>
      </c>
      <c r="N1737" s="6">
        <v>21.07</v>
      </c>
      <c r="O1737" s="6" t="s">
        <v>24</v>
      </c>
      <c r="P1737" s="6" t="b">
        <v>0</v>
      </c>
      <c r="Q1737" s="9" t="s">
        <v>36</v>
      </c>
    </row>
    <row r="1738" spans="1:17" x14ac:dyDescent="0.25">
      <c r="A1738" s="5" t="s">
        <v>1788</v>
      </c>
      <c r="B1738" s="6" t="s">
        <v>62</v>
      </c>
      <c r="C1738" s="6" t="s">
        <v>19</v>
      </c>
      <c r="D1738" s="6" t="s">
        <v>34</v>
      </c>
      <c r="E1738" s="6" t="s">
        <v>28</v>
      </c>
      <c r="F1738" s="6" t="s">
        <v>40</v>
      </c>
      <c r="G1738" s="6">
        <v>81</v>
      </c>
      <c r="H1738" s="7">
        <v>1402.19</v>
      </c>
      <c r="I1738" s="7">
        <v>113577.39</v>
      </c>
      <c r="J1738" s="8">
        <v>44936</v>
      </c>
      <c r="K1738" s="6">
        <v>61</v>
      </c>
      <c r="L1738" s="6" t="s">
        <v>49</v>
      </c>
      <c r="M1738" s="6" t="b">
        <v>0</v>
      </c>
      <c r="N1738" s="6">
        <v>23.56</v>
      </c>
      <c r="O1738" s="6" t="s">
        <v>42</v>
      </c>
      <c r="P1738" s="6" t="b">
        <v>1</v>
      </c>
      <c r="Q1738" s="9" t="s">
        <v>36</v>
      </c>
    </row>
    <row r="1739" spans="1:17" x14ac:dyDescent="0.25">
      <c r="A1739" s="5" t="s">
        <v>1789</v>
      </c>
      <c r="B1739" s="6" t="s">
        <v>72</v>
      </c>
      <c r="C1739" s="6" t="s">
        <v>39</v>
      </c>
      <c r="D1739" s="6" t="s">
        <v>47</v>
      </c>
      <c r="E1739" s="6" t="s">
        <v>28</v>
      </c>
      <c r="F1739" s="6" t="s">
        <v>48</v>
      </c>
      <c r="G1739" s="6">
        <v>12</v>
      </c>
      <c r="H1739" s="7">
        <v>410.28</v>
      </c>
      <c r="I1739" s="7">
        <v>4923.3599999999997</v>
      </c>
      <c r="J1739" s="8">
        <v>45420</v>
      </c>
      <c r="K1739" s="6">
        <v>57</v>
      </c>
      <c r="L1739" s="6" t="s">
        <v>49</v>
      </c>
      <c r="M1739" s="6" t="b">
        <v>1</v>
      </c>
      <c r="N1739" s="6">
        <v>15.38</v>
      </c>
      <c r="O1739" s="6" t="s">
        <v>56</v>
      </c>
      <c r="P1739" s="6" t="b">
        <v>0</v>
      </c>
      <c r="Q1739" s="9" t="s">
        <v>25</v>
      </c>
    </row>
    <row r="1740" spans="1:17" x14ac:dyDescent="0.25">
      <c r="A1740" s="5" t="s">
        <v>1790</v>
      </c>
      <c r="B1740" s="6" t="s">
        <v>76</v>
      </c>
      <c r="C1740" s="6" t="s">
        <v>19</v>
      </c>
      <c r="D1740" s="6" t="s">
        <v>20</v>
      </c>
      <c r="E1740" s="6" t="s">
        <v>28</v>
      </c>
      <c r="F1740" s="6" t="s">
        <v>22</v>
      </c>
      <c r="G1740" s="6">
        <v>4</v>
      </c>
      <c r="H1740" s="7">
        <v>981.67</v>
      </c>
      <c r="I1740" s="7">
        <v>3926.68</v>
      </c>
      <c r="J1740" s="8">
        <v>45160</v>
      </c>
      <c r="K1740" s="6">
        <v>57</v>
      </c>
      <c r="L1740" s="6" t="s">
        <v>23</v>
      </c>
      <c r="M1740" s="6" t="b">
        <v>1</v>
      </c>
      <c r="N1740" s="6">
        <v>24.39</v>
      </c>
      <c r="O1740" s="6" t="s">
        <v>24</v>
      </c>
      <c r="P1740" s="6" t="b">
        <v>0</v>
      </c>
      <c r="Q1740" s="9" t="s">
        <v>25</v>
      </c>
    </row>
    <row r="1741" spans="1:17" x14ac:dyDescent="0.25">
      <c r="A1741" s="5" t="s">
        <v>1791</v>
      </c>
      <c r="B1741" s="6" t="s">
        <v>76</v>
      </c>
      <c r="C1741" s="6" t="s">
        <v>39</v>
      </c>
      <c r="D1741" s="6" t="s">
        <v>20</v>
      </c>
      <c r="E1741" s="6" t="s">
        <v>35</v>
      </c>
      <c r="F1741" s="6" t="s">
        <v>29</v>
      </c>
      <c r="G1741" s="6">
        <v>77</v>
      </c>
      <c r="H1741" s="7">
        <v>448.94</v>
      </c>
      <c r="I1741" s="7">
        <v>34568.379999999997</v>
      </c>
      <c r="J1741" s="8">
        <v>45224</v>
      </c>
      <c r="K1741" s="6">
        <v>67</v>
      </c>
      <c r="L1741" s="6" t="s">
        <v>49</v>
      </c>
      <c r="M1741" s="6" t="b">
        <v>0</v>
      </c>
      <c r="N1741" s="6">
        <v>14.92</v>
      </c>
      <c r="O1741" s="6" t="s">
        <v>56</v>
      </c>
      <c r="P1741" s="6" t="b">
        <v>1</v>
      </c>
      <c r="Q1741" s="9" t="s">
        <v>25</v>
      </c>
    </row>
    <row r="1742" spans="1:17" x14ac:dyDescent="0.25">
      <c r="A1742" s="5" t="s">
        <v>1792</v>
      </c>
      <c r="B1742" s="6" t="s">
        <v>66</v>
      </c>
      <c r="C1742" s="6" t="s">
        <v>33</v>
      </c>
      <c r="D1742" s="6" t="s">
        <v>64</v>
      </c>
      <c r="E1742" s="6" t="s">
        <v>35</v>
      </c>
      <c r="F1742" s="6" t="s">
        <v>22</v>
      </c>
      <c r="G1742" s="6">
        <v>95</v>
      </c>
      <c r="H1742" s="7">
        <v>785.36</v>
      </c>
      <c r="I1742" s="7">
        <v>74609.2</v>
      </c>
      <c r="J1742" s="8">
        <v>45170</v>
      </c>
      <c r="K1742" s="6">
        <v>23</v>
      </c>
      <c r="L1742" s="6" t="s">
        <v>49</v>
      </c>
      <c r="M1742" s="6" t="b">
        <v>1</v>
      </c>
      <c r="N1742" s="6">
        <v>28.7</v>
      </c>
      <c r="O1742" s="6" t="s">
        <v>24</v>
      </c>
      <c r="P1742" s="6" t="b">
        <v>1</v>
      </c>
      <c r="Q1742" s="9" t="s">
        <v>36</v>
      </c>
    </row>
    <row r="1743" spans="1:17" x14ac:dyDescent="0.25">
      <c r="A1743" s="5" t="s">
        <v>1793</v>
      </c>
      <c r="B1743" s="6" t="s">
        <v>51</v>
      </c>
      <c r="C1743" s="6" t="s">
        <v>19</v>
      </c>
      <c r="D1743" s="6" t="s">
        <v>52</v>
      </c>
      <c r="E1743" s="6" t="s">
        <v>35</v>
      </c>
      <c r="F1743" s="6" t="s">
        <v>29</v>
      </c>
      <c r="G1743" s="6">
        <v>41</v>
      </c>
      <c r="H1743" s="7">
        <v>1190.1199999999999</v>
      </c>
      <c r="I1743" s="7">
        <v>48794.92</v>
      </c>
      <c r="J1743" s="8">
        <v>45435</v>
      </c>
      <c r="K1743" s="6">
        <v>54</v>
      </c>
      <c r="L1743" s="6" t="s">
        <v>41</v>
      </c>
      <c r="M1743" s="6" t="b">
        <v>1</v>
      </c>
      <c r="N1743" s="6">
        <v>22.58</v>
      </c>
      <c r="O1743" s="6" t="s">
        <v>24</v>
      </c>
      <c r="P1743" s="6" t="b">
        <v>0</v>
      </c>
      <c r="Q1743" s="9" t="s">
        <v>25</v>
      </c>
    </row>
    <row r="1744" spans="1:17" x14ac:dyDescent="0.25">
      <c r="A1744" s="5" t="s">
        <v>1794</v>
      </c>
      <c r="B1744" s="6" t="s">
        <v>38</v>
      </c>
      <c r="C1744" s="6" t="s">
        <v>33</v>
      </c>
      <c r="D1744" s="6" t="s">
        <v>52</v>
      </c>
      <c r="E1744" s="6" t="s">
        <v>35</v>
      </c>
      <c r="F1744" s="6" t="s">
        <v>22</v>
      </c>
      <c r="G1744" s="6">
        <v>7</v>
      </c>
      <c r="H1744" s="7">
        <v>1328.5</v>
      </c>
      <c r="I1744" s="7">
        <v>9299.5</v>
      </c>
      <c r="J1744" s="8">
        <v>45277</v>
      </c>
      <c r="K1744" s="6">
        <v>19</v>
      </c>
      <c r="L1744" s="6" t="s">
        <v>49</v>
      </c>
      <c r="M1744" s="6" t="b">
        <v>0</v>
      </c>
      <c r="N1744" s="6">
        <v>5.13</v>
      </c>
      <c r="O1744" s="6" t="s">
        <v>42</v>
      </c>
      <c r="P1744" s="6" t="b">
        <v>0</v>
      </c>
      <c r="Q1744" s="9" t="s">
        <v>36</v>
      </c>
    </row>
    <row r="1745" spans="1:17" x14ac:dyDescent="0.25">
      <c r="A1745" s="5" t="s">
        <v>1795</v>
      </c>
      <c r="B1745" s="6" t="s">
        <v>38</v>
      </c>
      <c r="C1745" s="6" t="s">
        <v>19</v>
      </c>
      <c r="D1745" s="6" t="s">
        <v>52</v>
      </c>
      <c r="E1745" s="6" t="s">
        <v>44</v>
      </c>
      <c r="F1745" s="6" t="s">
        <v>48</v>
      </c>
      <c r="G1745" s="6">
        <v>87</v>
      </c>
      <c r="H1745" s="7">
        <v>1266.1099999999999</v>
      </c>
      <c r="I1745" s="7">
        <v>110151.57</v>
      </c>
      <c r="J1745" s="8">
        <v>45193</v>
      </c>
      <c r="K1745" s="6">
        <v>29</v>
      </c>
      <c r="L1745" s="6" t="s">
        <v>49</v>
      </c>
      <c r="M1745" s="6" t="b">
        <v>1</v>
      </c>
      <c r="N1745" s="6">
        <v>24.89</v>
      </c>
      <c r="O1745" s="6" t="s">
        <v>42</v>
      </c>
      <c r="P1745" s="6" t="b">
        <v>0</v>
      </c>
      <c r="Q1745" s="9" t="s">
        <v>36</v>
      </c>
    </row>
    <row r="1746" spans="1:17" x14ac:dyDescent="0.25">
      <c r="A1746" s="5" t="s">
        <v>1796</v>
      </c>
      <c r="B1746" s="6" t="s">
        <v>72</v>
      </c>
      <c r="C1746" s="6" t="s">
        <v>33</v>
      </c>
      <c r="D1746" s="6" t="s">
        <v>64</v>
      </c>
      <c r="E1746" s="6" t="s">
        <v>35</v>
      </c>
      <c r="F1746" s="6" t="s">
        <v>40</v>
      </c>
      <c r="G1746" s="6">
        <v>88</v>
      </c>
      <c r="H1746" s="7">
        <v>894.16</v>
      </c>
      <c r="I1746" s="7">
        <v>78686.080000000002</v>
      </c>
      <c r="J1746" s="8">
        <v>45556</v>
      </c>
      <c r="K1746" s="6">
        <v>21</v>
      </c>
      <c r="L1746" s="6" t="s">
        <v>41</v>
      </c>
      <c r="M1746" s="6" t="b">
        <v>0</v>
      </c>
      <c r="N1746" s="6">
        <v>16.55</v>
      </c>
      <c r="O1746" s="6" t="s">
        <v>24</v>
      </c>
      <c r="P1746" s="6" t="b">
        <v>1</v>
      </c>
      <c r="Q1746" s="9" t="s">
        <v>36</v>
      </c>
    </row>
    <row r="1747" spans="1:17" x14ac:dyDescent="0.25">
      <c r="A1747" s="5" t="s">
        <v>1797</v>
      </c>
      <c r="B1747" s="6" t="s">
        <v>32</v>
      </c>
      <c r="C1747" s="6" t="s">
        <v>19</v>
      </c>
      <c r="D1747" s="6" t="s">
        <v>52</v>
      </c>
      <c r="E1747" s="6" t="s">
        <v>28</v>
      </c>
      <c r="F1747" s="6" t="s">
        <v>22</v>
      </c>
      <c r="G1747" s="6">
        <v>69</v>
      </c>
      <c r="H1747" s="7">
        <v>410.78</v>
      </c>
      <c r="I1747" s="7">
        <v>28343.82</v>
      </c>
      <c r="J1747" s="8">
        <v>45582</v>
      </c>
      <c r="K1747" s="6">
        <v>40</v>
      </c>
      <c r="L1747" s="6" t="s">
        <v>41</v>
      </c>
      <c r="M1747" s="6" t="b">
        <v>0</v>
      </c>
      <c r="N1747" s="6">
        <v>29.53</v>
      </c>
      <c r="O1747" s="6" t="s">
        <v>24</v>
      </c>
      <c r="P1747" s="6" t="b">
        <v>1</v>
      </c>
      <c r="Q1747" s="9" t="s">
        <v>25</v>
      </c>
    </row>
    <row r="1748" spans="1:17" x14ac:dyDescent="0.25">
      <c r="A1748" s="5" t="s">
        <v>1798</v>
      </c>
      <c r="B1748" s="6" t="s">
        <v>32</v>
      </c>
      <c r="C1748" s="6" t="s">
        <v>19</v>
      </c>
      <c r="D1748" s="6" t="s">
        <v>47</v>
      </c>
      <c r="E1748" s="6" t="s">
        <v>35</v>
      </c>
      <c r="F1748" s="6" t="s">
        <v>29</v>
      </c>
      <c r="G1748" s="6">
        <v>69</v>
      </c>
      <c r="H1748" s="7">
        <v>1008.79</v>
      </c>
      <c r="I1748" s="7">
        <v>69606.509999999995</v>
      </c>
      <c r="J1748" s="8">
        <v>45127</v>
      </c>
      <c r="K1748" s="6">
        <v>30</v>
      </c>
      <c r="L1748" s="6" t="s">
        <v>23</v>
      </c>
      <c r="M1748" s="6" t="b">
        <v>0</v>
      </c>
      <c r="N1748" s="6">
        <v>21.56</v>
      </c>
      <c r="O1748" s="6" t="s">
        <v>24</v>
      </c>
      <c r="P1748" s="6" t="b">
        <v>0</v>
      </c>
      <c r="Q1748" s="9" t="s">
        <v>36</v>
      </c>
    </row>
    <row r="1749" spans="1:17" x14ac:dyDescent="0.25">
      <c r="A1749" s="5" t="s">
        <v>1799</v>
      </c>
      <c r="B1749" s="6" t="s">
        <v>27</v>
      </c>
      <c r="C1749" s="6" t="s">
        <v>19</v>
      </c>
      <c r="D1749" s="6" t="s">
        <v>64</v>
      </c>
      <c r="E1749" s="6" t="s">
        <v>35</v>
      </c>
      <c r="F1749" s="6" t="s">
        <v>40</v>
      </c>
      <c r="G1749" s="6">
        <v>81</v>
      </c>
      <c r="H1749" s="7">
        <v>1079.3599999999999</v>
      </c>
      <c r="I1749" s="7">
        <v>87428.160000000003</v>
      </c>
      <c r="J1749" s="8">
        <v>45165</v>
      </c>
      <c r="K1749" s="6">
        <v>34</v>
      </c>
      <c r="L1749" s="6" t="s">
        <v>49</v>
      </c>
      <c r="M1749" s="6" t="b">
        <v>0</v>
      </c>
      <c r="N1749" s="6">
        <v>2.5299999999999998</v>
      </c>
      <c r="O1749" s="6" t="s">
        <v>56</v>
      </c>
      <c r="P1749" s="6" t="b">
        <v>0</v>
      </c>
      <c r="Q1749" s="9" t="s">
        <v>36</v>
      </c>
    </row>
    <row r="1750" spans="1:17" x14ac:dyDescent="0.25">
      <c r="A1750" s="5" t="s">
        <v>1800</v>
      </c>
      <c r="B1750" s="6" t="s">
        <v>18</v>
      </c>
      <c r="C1750" s="6" t="s">
        <v>19</v>
      </c>
      <c r="D1750" s="6" t="s">
        <v>47</v>
      </c>
      <c r="E1750" s="6" t="s">
        <v>21</v>
      </c>
      <c r="F1750" s="6" t="s">
        <v>29</v>
      </c>
      <c r="G1750" s="6">
        <v>30</v>
      </c>
      <c r="H1750" s="7">
        <v>65.5</v>
      </c>
      <c r="I1750" s="7">
        <v>1965</v>
      </c>
      <c r="J1750" s="8">
        <v>45260</v>
      </c>
      <c r="K1750" s="6">
        <v>48</v>
      </c>
      <c r="L1750" s="6" t="s">
        <v>41</v>
      </c>
      <c r="M1750" s="6" t="b">
        <v>0</v>
      </c>
      <c r="N1750" s="6">
        <v>11.85</v>
      </c>
      <c r="O1750" s="6" t="s">
        <v>24</v>
      </c>
      <c r="P1750" s="6" t="b">
        <v>0</v>
      </c>
      <c r="Q1750" s="9" t="s">
        <v>25</v>
      </c>
    </row>
    <row r="1751" spans="1:17" x14ac:dyDescent="0.25">
      <c r="A1751" s="5" t="s">
        <v>1801</v>
      </c>
      <c r="B1751" s="6" t="s">
        <v>46</v>
      </c>
      <c r="C1751" s="6" t="s">
        <v>19</v>
      </c>
      <c r="D1751" s="6" t="s">
        <v>64</v>
      </c>
      <c r="E1751" s="6" t="s">
        <v>28</v>
      </c>
      <c r="F1751" s="6" t="s">
        <v>48</v>
      </c>
      <c r="G1751" s="6">
        <v>73</v>
      </c>
      <c r="H1751" s="7">
        <v>686.86</v>
      </c>
      <c r="I1751" s="7">
        <v>50140.78</v>
      </c>
      <c r="J1751" s="8">
        <v>45341</v>
      </c>
      <c r="K1751" s="6">
        <v>33</v>
      </c>
      <c r="L1751" s="6" t="s">
        <v>49</v>
      </c>
      <c r="M1751" s="6" t="b">
        <v>0</v>
      </c>
      <c r="N1751" s="6">
        <v>15.52</v>
      </c>
      <c r="O1751" s="6" t="s">
        <v>56</v>
      </c>
      <c r="P1751" s="6" t="b">
        <v>1</v>
      </c>
      <c r="Q1751" s="9" t="s">
        <v>25</v>
      </c>
    </row>
    <row r="1752" spans="1:17" x14ac:dyDescent="0.25">
      <c r="A1752" s="5" t="s">
        <v>1802</v>
      </c>
      <c r="B1752" s="6" t="s">
        <v>51</v>
      </c>
      <c r="C1752" s="6" t="s">
        <v>19</v>
      </c>
      <c r="D1752" s="6" t="s">
        <v>52</v>
      </c>
      <c r="E1752" s="6" t="s">
        <v>35</v>
      </c>
      <c r="F1752" s="6" t="s">
        <v>40</v>
      </c>
      <c r="G1752" s="6">
        <v>6</v>
      </c>
      <c r="H1752" s="7">
        <v>1272.73</v>
      </c>
      <c r="I1752" s="7">
        <v>7636.38</v>
      </c>
      <c r="J1752" s="8">
        <v>45410</v>
      </c>
      <c r="K1752" s="6">
        <v>58</v>
      </c>
      <c r="L1752" s="6" t="s">
        <v>23</v>
      </c>
      <c r="M1752" s="6" t="b">
        <v>1</v>
      </c>
      <c r="N1752" s="6">
        <v>25.17</v>
      </c>
      <c r="O1752" s="6" t="s">
        <v>42</v>
      </c>
      <c r="P1752" s="6" t="b">
        <v>1</v>
      </c>
      <c r="Q1752" s="9" t="s">
        <v>36</v>
      </c>
    </row>
    <row r="1753" spans="1:17" x14ac:dyDescent="0.25">
      <c r="A1753" s="5" t="s">
        <v>1803</v>
      </c>
      <c r="B1753" s="6" t="s">
        <v>62</v>
      </c>
      <c r="C1753" s="6" t="s">
        <v>19</v>
      </c>
      <c r="D1753" s="6" t="s">
        <v>47</v>
      </c>
      <c r="E1753" s="6" t="s">
        <v>35</v>
      </c>
      <c r="F1753" s="6" t="s">
        <v>29</v>
      </c>
      <c r="G1753" s="6">
        <v>89</v>
      </c>
      <c r="H1753" s="7">
        <v>759.9</v>
      </c>
      <c r="I1753" s="7">
        <v>67631.100000000006</v>
      </c>
      <c r="J1753" s="8">
        <v>45363</v>
      </c>
      <c r="K1753" s="6">
        <v>43</v>
      </c>
      <c r="L1753" s="6" t="s">
        <v>49</v>
      </c>
      <c r="M1753" s="6" t="b">
        <v>1</v>
      </c>
      <c r="N1753" s="6">
        <v>21.88</v>
      </c>
      <c r="O1753" s="6" t="s">
        <v>56</v>
      </c>
      <c r="P1753" s="6" t="b">
        <v>1</v>
      </c>
      <c r="Q1753" s="9" t="s">
        <v>25</v>
      </c>
    </row>
    <row r="1754" spans="1:17" x14ac:dyDescent="0.25">
      <c r="A1754" s="5" t="s">
        <v>1804</v>
      </c>
      <c r="B1754" s="6" t="s">
        <v>46</v>
      </c>
      <c r="C1754" s="6" t="s">
        <v>19</v>
      </c>
      <c r="D1754" s="6" t="s">
        <v>47</v>
      </c>
      <c r="E1754" s="6" t="s">
        <v>35</v>
      </c>
      <c r="F1754" s="6" t="s">
        <v>22</v>
      </c>
      <c r="G1754" s="6">
        <v>19</v>
      </c>
      <c r="H1754" s="7">
        <v>501.49</v>
      </c>
      <c r="I1754" s="7">
        <v>9528.31</v>
      </c>
      <c r="J1754" s="8">
        <v>45172</v>
      </c>
      <c r="K1754" s="6">
        <v>45</v>
      </c>
      <c r="L1754" s="6" t="s">
        <v>49</v>
      </c>
      <c r="M1754" s="6" t="b">
        <v>1</v>
      </c>
      <c r="N1754" s="6">
        <v>11.08</v>
      </c>
      <c r="O1754" s="6" t="s">
        <v>24</v>
      </c>
      <c r="P1754" s="6" t="b">
        <v>0</v>
      </c>
      <c r="Q1754" s="9" t="s">
        <v>36</v>
      </c>
    </row>
    <row r="1755" spans="1:17" x14ac:dyDescent="0.25">
      <c r="A1755" s="5" t="s">
        <v>1805</v>
      </c>
      <c r="B1755" s="6" t="s">
        <v>46</v>
      </c>
      <c r="C1755" s="6" t="s">
        <v>19</v>
      </c>
      <c r="D1755" s="6" t="s">
        <v>47</v>
      </c>
      <c r="E1755" s="6" t="s">
        <v>44</v>
      </c>
      <c r="F1755" s="6" t="s">
        <v>48</v>
      </c>
      <c r="G1755" s="6">
        <v>80</v>
      </c>
      <c r="H1755" s="7">
        <v>1314.11</v>
      </c>
      <c r="I1755" s="7">
        <v>105128.8</v>
      </c>
      <c r="J1755" s="8">
        <v>44934</v>
      </c>
      <c r="K1755" s="6">
        <v>18</v>
      </c>
      <c r="L1755" s="6" t="s">
        <v>49</v>
      </c>
      <c r="M1755" s="6" t="b">
        <v>0</v>
      </c>
      <c r="N1755" s="6">
        <v>19.600000000000001</v>
      </c>
      <c r="O1755" s="6" t="s">
        <v>42</v>
      </c>
      <c r="P1755" s="6" t="b">
        <v>0</v>
      </c>
      <c r="Q1755" s="9" t="s">
        <v>36</v>
      </c>
    </row>
    <row r="1756" spans="1:17" x14ac:dyDescent="0.25">
      <c r="A1756" s="5" t="s">
        <v>1806</v>
      </c>
      <c r="B1756" s="6" t="s">
        <v>76</v>
      </c>
      <c r="C1756" s="6" t="s">
        <v>33</v>
      </c>
      <c r="D1756" s="6" t="s">
        <v>64</v>
      </c>
      <c r="E1756" s="6" t="s">
        <v>35</v>
      </c>
      <c r="F1756" s="6" t="s">
        <v>48</v>
      </c>
      <c r="G1756" s="6">
        <v>85</v>
      </c>
      <c r="H1756" s="7">
        <v>276.02999999999997</v>
      </c>
      <c r="I1756" s="7">
        <v>23462.55</v>
      </c>
      <c r="J1756" s="8">
        <v>45078</v>
      </c>
      <c r="K1756" s="6">
        <v>64</v>
      </c>
      <c r="L1756" s="6" t="s">
        <v>41</v>
      </c>
      <c r="M1756" s="6" t="b">
        <v>0</v>
      </c>
      <c r="N1756" s="6">
        <v>17.309999999999999</v>
      </c>
      <c r="O1756" s="6" t="s">
        <v>30</v>
      </c>
      <c r="P1756" s="6" t="b">
        <v>0</v>
      </c>
      <c r="Q1756" s="9" t="s">
        <v>36</v>
      </c>
    </row>
    <row r="1757" spans="1:17" x14ac:dyDescent="0.25">
      <c r="A1757" s="5" t="s">
        <v>1807</v>
      </c>
      <c r="B1757" s="6" t="s">
        <v>72</v>
      </c>
      <c r="C1757" s="6" t="s">
        <v>39</v>
      </c>
      <c r="D1757" s="6" t="s">
        <v>34</v>
      </c>
      <c r="E1757" s="6" t="s">
        <v>21</v>
      </c>
      <c r="F1757" s="6" t="s">
        <v>48</v>
      </c>
      <c r="G1757" s="6">
        <v>66</v>
      </c>
      <c r="H1757" s="7">
        <v>349.35</v>
      </c>
      <c r="I1757" s="7">
        <v>23057.1</v>
      </c>
      <c r="J1757" s="8">
        <v>45318</v>
      </c>
      <c r="K1757" s="6">
        <v>29</v>
      </c>
      <c r="L1757" s="6" t="s">
        <v>41</v>
      </c>
      <c r="M1757" s="6" t="b">
        <v>0</v>
      </c>
      <c r="N1757" s="6">
        <v>3.78</v>
      </c>
      <c r="O1757" s="6" t="s">
        <v>42</v>
      </c>
      <c r="P1757" s="6" t="b">
        <v>1</v>
      </c>
      <c r="Q1757" s="9" t="s">
        <v>25</v>
      </c>
    </row>
    <row r="1758" spans="1:17" x14ac:dyDescent="0.25">
      <c r="A1758" s="5" t="s">
        <v>1808</v>
      </c>
      <c r="B1758" s="6" t="s">
        <v>38</v>
      </c>
      <c r="C1758" s="6" t="s">
        <v>19</v>
      </c>
      <c r="D1758" s="6" t="s">
        <v>52</v>
      </c>
      <c r="E1758" s="6" t="s">
        <v>28</v>
      </c>
      <c r="F1758" s="6" t="s">
        <v>22</v>
      </c>
      <c r="G1758" s="6">
        <v>10</v>
      </c>
      <c r="H1758" s="7">
        <v>1046.69</v>
      </c>
      <c r="I1758" s="7">
        <v>10466.9</v>
      </c>
      <c r="J1758" s="8">
        <v>45137</v>
      </c>
      <c r="K1758" s="6">
        <v>54</v>
      </c>
      <c r="L1758" s="6" t="s">
        <v>23</v>
      </c>
      <c r="M1758" s="6" t="b">
        <v>1</v>
      </c>
      <c r="N1758" s="6">
        <v>7.05</v>
      </c>
      <c r="O1758" s="6" t="s">
        <v>30</v>
      </c>
      <c r="P1758" s="6" t="b">
        <v>0</v>
      </c>
      <c r="Q1758" s="9" t="s">
        <v>25</v>
      </c>
    </row>
    <row r="1759" spans="1:17" x14ac:dyDescent="0.25">
      <c r="A1759" s="5" t="s">
        <v>1809</v>
      </c>
      <c r="B1759" s="6" t="s">
        <v>27</v>
      </c>
      <c r="C1759" s="6" t="s">
        <v>39</v>
      </c>
      <c r="D1759" s="6" t="s">
        <v>47</v>
      </c>
      <c r="E1759" s="6" t="s">
        <v>28</v>
      </c>
      <c r="F1759" s="6" t="s">
        <v>22</v>
      </c>
      <c r="G1759" s="6">
        <v>16</v>
      </c>
      <c r="H1759" s="7">
        <v>561.03</v>
      </c>
      <c r="I1759" s="7">
        <v>8976.48</v>
      </c>
      <c r="J1759" s="8">
        <v>45293</v>
      </c>
      <c r="K1759" s="6">
        <v>67</v>
      </c>
      <c r="L1759" s="6" t="s">
        <v>49</v>
      </c>
      <c r="M1759" s="6" t="b">
        <v>1</v>
      </c>
      <c r="N1759" s="6">
        <v>10.23</v>
      </c>
      <c r="O1759" s="6" t="s">
        <v>56</v>
      </c>
      <c r="P1759" s="6" t="b">
        <v>1</v>
      </c>
      <c r="Q1759" s="9" t="s">
        <v>36</v>
      </c>
    </row>
    <row r="1760" spans="1:17" x14ac:dyDescent="0.25">
      <c r="A1760" s="5" t="s">
        <v>1810</v>
      </c>
      <c r="B1760" s="6" t="s">
        <v>32</v>
      </c>
      <c r="C1760" s="6" t="s">
        <v>19</v>
      </c>
      <c r="D1760" s="6" t="s">
        <v>34</v>
      </c>
      <c r="E1760" s="6" t="s">
        <v>35</v>
      </c>
      <c r="F1760" s="6" t="s">
        <v>40</v>
      </c>
      <c r="G1760" s="6">
        <v>37</v>
      </c>
      <c r="H1760" s="7">
        <v>1083.8699999999999</v>
      </c>
      <c r="I1760" s="7">
        <v>40103.19</v>
      </c>
      <c r="J1760" s="8">
        <v>45596</v>
      </c>
      <c r="K1760" s="6">
        <v>37</v>
      </c>
      <c r="L1760" s="6" t="s">
        <v>23</v>
      </c>
      <c r="M1760" s="6" t="b">
        <v>0</v>
      </c>
      <c r="N1760" s="6">
        <v>5.86</v>
      </c>
      <c r="O1760" s="6" t="s">
        <v>42</v>
      </c>
      <c r="P1760" s="6" t="b">
        <v>0</v>
      </c>
      <c r="Q1760" s="9" t="s">
        <v>36</v>
      </c>
    </row>
    <row r="1761" spans="1:17" x14ac:dyDescent="0.25">
      <c r="A1761" s="5" t="s">
        <v>1811</v>
      </c>
      <c r="B1761" s="6" t="s">
        <v>72</v>
      </c>
      <c r="C1761" s="6" t="s">
        <v>19</v>
      </c>
      <c r="D1761" s="6" t="s">
        <v>52</v>
      </c>
      <c r="E1761" s="6" t="s">
        <v>35</v>
      </c>
      <c r="F1761" s="6" t="s">
        <v>22</v>
      </c>
      <c r="G1761" s="6">
        <v>79</v>
      </c>
      <c r="H1761" s="7">
        <v>278.67</v>
      </c>
      <c r="I1761" s="7">
        <v>22014.93</v>
      </c>
      <c r="J1761" s="8">
        <v>45496</v>
      </c>
      <c r="K1761" s="6">
        <v>19</v>
      </c>
      <c r="L1761" s="6" t="s">
        <v>23</v>
      </c>
      <c r="M1761" s="6" t="b">
        <v>0</v>
      </c>
      <c r="N1761" s="6">
        <v>4.5</v>
      </c>
      <c r="O1761" s="6" t="s">
        <v>42</v>
      </c>
      <c r="P1761" s="6" t="b">
        <v>1</v>
      </c>
      <c r="Q1761" s="9" t="s">
        <v>36</v>
      </c>
    </row>
    <row r="1762" spans="1:17" x14ac:dyDescent="0.25">
      <c r="A1762" s="5" t="s">
        <v>1812</v>
      </c>
      <c r="B1762" s="6" t="s">
        <v>76</v>
      </c>
      <c r="C1762" s="6" t="s">
        <v>33</v>
      </c>
      <c r="D1762" s="6" t="s">
        <v>52</v>
      </c>
      <c r="E1762" s="6" t="s">
        <v>35</v>
      </c>
      <c r="F1762" s="6" t="s">
        <v>40</v>
      </c>
      <c r="G1762" s="6">
        <v>77</v>
      </c>
      <c r="H1762" s="7">
        <v>415.79</v>
      </c>
      <c r="I1762" s="7">
        <v>32015.83</v>
      </c>
      <c r="J1762" s="8">
        <v>45012</v>
      </c>
      <c r="K1762" s="6">
        <v>53</v>
      </c>
      <c r="L1762" s="6" t="s">
        <v>41</v>
      </c>
      <c r="M1762" s="6" t="b">
        <v>0</v>
      </c>
      <c r="N1762" s="6">
        <v>1.75</v>
      </c>
      <c r="O1762" s="6" t="s">
        <v>42</v>
      </c>
      <c r="P1762" s="6" t="b">
        <v>0</v>
      </c>
      <c r="Q1762" s="9" t="s">
        <v>36</v>
      </c>
    </row>
    <row r="1763" spans="1:17" x14ac:dyDescent="0.25">
      <c r="A1763" s="5" t="s">
        <v>1813</v>
      </c>
      <c r="B1763" s="6" t="s">
        <v>62</v>
      </c>
      <c r="C1763" s="6" t="s">
        <v>33</v>
      </c>
      <c r="D1763" s="6" t="s">
        <v>47</v>
      </c>
      <c r="E1763" s="6" t="s">
        <v>28</v>
      </c>
      <c r="F1763" s="6" t="s">
        <v>48</v>
      </c>
      <c r="G1763" s="6">
        <v>77</v>
      </c>
      <c r="H1763" s="7">
        <v>277.14</v>
      </c>
      <c r="I1763" s="7">
        <v>21339.78</v>
      </c>
      <c r="J1763" s="8">
        <v>44981</v>
      </c>
      <c r="K1763" s="6">
        <v>32</v>
      </c>
      <c r="L1763" s="6" t="s">
        <v>49</v>
      </c>
      <c r="M1763" s="6" t="b">
        <v>0</v>
      </c>
      <c r="N1763" s="6">
        <v>26.19</v>
      </c>
      <c r="O1763" s="6" t="s">
        <v>56</v>
      </c>
      <c r="P1763" s="6" t="b">
        <v>0</v>
      </c>
      <c r="Q1763" s="9" t="s">
        <v>25</v>
      </c>
    </row>
    <row r="1764" spans="1:17" x14ac:dyDescent="0.25">
      <c r="A1764" s="5" t="s">
        <v>1814</v>
      </c>
      <c r="B1764" s="6" t="s">
        <v>27</v>
      </c>
      <c r="C1764" s="6" t="s">
        <v>39</v>
      </c>
      <c r="D1764" s="6" t="s">
        <v>47</v>
      </c>
      <c r="E1764" s="6" t="s">
        <v>28</v>
      </c>
      <c r="F1764" s="6" t="s">
        <v>40</v>
      </c>
      <c r="G1764" s="6">
        <v>32</v>
      </c>
      <c r="H1764" s="7">
        <v>1431.72</v>
      </c>
      <c r="I1764" s="7">
        <v>45815.040000000001</v>
      </c>
      <c r="J1764" s="8">
        <v>45560</v>
      </c>
      <c r="K1764" s="6">
        <v>55</v>
      </c>
      <c r="L1764" s="6" t="s">
        <v>49</v>
      </c>
      <c r="M1764" s="6" t="b">
        <v>0</v>
      </c>
      <c r="N1764" s="6">
        <v>8.67</v>
      </c>
      <c r="O1764" s="6" t="s">
        <v>24</v>
      </c>
      <c r="P1764" s="6" t="b">
        <v>1</v>
      </c>
      <c r="Q1764" s="9" t="s">
        <v>25</v>
      </c>
    </row>
    <row r="1765" spans="1:17" x14ac:dyDescent="0.25">
      <c r="A1765" s="5" t="s">
        <v>1815</v>
      </c>
      <c r="B1765" s="6" t="s">
        <v>76</v>
      </c>
      <c r="C1765" s="6" t="s">
        <v>33</v>
      </c>
      <c r="D1765" s="6" t="s">
        <v>64</v>
      </c>
      <c r="E1765" s="6" t="s">
        <v>44</v>
      </c>
      <c r="F1765" s="6" t="s">
        <v>29</v>
      </c>
      <c r="G1765" s="6">
        <v>47</v>
      </c>
      <c r="H1765" s="7">
        <v>637.84</v>
      </c>
      <c r="I1765" s="7">
        <v>29978.48</v>
      </c>
      <c r="J1765" s="8">
        <v>45372</v>
      </c>
      <c r="K1765" s="6">
        <v>39</v>
      </c>
      <c r="L1765" s="6" t="s">
        <v>23</v>
      </c>
      <c r="M1765" s="6" t="b">
        <v>1</v>
      </c>
      <c r="N1765" s="6">
        <v>8.7100000000000009</v>
      </c>
      <c r="O1765" s="6" t="s">
        <v>56</v>
      </c>
      <c r="P1765" s="6" t="b">
        <v>0</v>
      </c>
      <c r="Q1765" s="9" t="s">
        <v>25</v>
      </c>
    </row>
    <row r="1766" spans="1:17" x14ac:dyDescent="0.25">
      <c r="A1766" s="5" t="s">
        <v>1816</v>
      </c>
      <c r="B1766" s="6" t="s">
        <v>38</v>
      </c>
      <c r="C1766" s="6" t="s">
        <v>33</v>
      </c>
      <c r="D1766" s="6" t="s">
        <v>34</v>
      </c>
      <c r="E1766" s="6" t="s">
        <v>21</v>
      </c>
      <c r="F1766" s="6" t="s">
        <v>48</v>
      </c>
      <c r="G1766" s="6">
        <v>72</v>
      </c>
      <c r="H1766" s="7">
        <v>538.97</v>
      </c>
      <c r="I1766" s="7">
        <v>38805.839999999997</v>
      </c>
      <c r="J1766" s="8">
        <v>45546</v>
      </c>
      <c r="K1766" s="6">
        <v>61</v>
      </c>
      <c r="L1766" s="6" t="s">
        <v>49</v>
      </c>
      <c r="M1766" s="6" t="b">
        <v>0</v>
      </c>
      <c r="N1766" s="6">
        <v>6.19</v>
      </c>
      <c r="O1766" s="6" t="s">
        <v>42</v>
      </c>
      <c r="P1766" s="6" t="b">
        <v>1</v>
      </c>
      <c r="Q1766" s="9" t="s">
        <v>25</v>
      </c>
    </row>
    <row r="1767" spans="1:17" x14ac:dyDescent="0.25">
      <c r="A1767" s="5" t="s">
        <v>1817</v>
      </c>
      <c r="B1767" s="6" t="s">
        <v>38</v>
      </c>
      <c r="C1767" s="6" t="s">
        <v>39</v>
      </c>
      <c r="D1767" s="6" t="s">
        <v>34</v>
      </c>
      <c r="E1767" s="6" t="s">
        <v>44</v>
      </c>
      <c r="F1767" s="6" t="s">
        <v>48</v>
      </c>
      <c r="G1767" s="6">
        <v>43</v>
      </c>
      <c r="H1767" s="7">
        <v>70.59</v>
      </c>
      <c r="I1767" s="7">
        <v>3035.37</v>
      </c>
      <c r="J1767" s="8">
        <v>45230</v>
      </c>
      <c r="K1767" s="6">
        <v>67</v>
      </c>
      <c r="L1767" s="6" t="s">
        <v>41</v>
      </c>
      <c r="M1767" s="6" t="b">
        <v>0</v>
      </c>
      <c r="N1767" s="6">
        <v>14.26</v>
      </c>
      <c r="O1767" s="6" t="s">
        <v>24</v>
      </c>
      <c r="P1767" s="6" t="b">
        <v>0</v>
      </c>
      <c r="Q1767" s="9" t="s">
        <v>25</v>
      </c>
    </row>
    <row r="1768" spans="1:17" x14ac:dyDescent="0.25">
      <c r="A1768" s="5" t="s">
        <v>1818</v>
      </c>
      <c r="B1768" s="6" t="s">
        <v>38</v>
      </c>
      <c r="C1768" s="6" t="s">
        <v>33</v>
      </c>
      <c r="D1768" s="6" t="s">
        <v>47</v>
      </c>
      <c r="E1768" s="6" t="s">
        <v>21</v>
      </c>
      <c r="F1768" s="6" t="s">
        <v>40</v>
      </c>
      <c r="G1768" s="6">
        <v>82</v>
      </c>
      <c r="H1768" s="7">
        <v>272.45999999999998</v>
      </c>
      <c r="I1768" s="7">
        <v>22341.72</v>
      </c>
      <c r="J1768" s="8">
        <v>45058</v>
      </c>
      <c r="K1768" s="6">
        <v>49</v>
      </c>
      <c r="L1768" s="6" t="s">
        <v>23</v>
      </c>
      <c r="M1768" s="6" t="b">
        <v>0</v>
      </c>
      <c r="N1768" s="6">
        <v>15.43</v>
      </c>
      <c r="O1768" s="6" t="s">
        <v>42</v>
      </c>
      <c r="P1768" s="6" t="b">
        <v>0</v>
      </c>
      <c r="Q1768" s="9" t="s">
        <v>36</v>
      </c>
    </row>
    <row r="1769" spans="1:17" x14ac:dyDescent="0.25">
      <c r="A1769" s="5" t="s">
        <v>1819</v>
      </c>
      <c r="B1769" s="6" t="s">
        <v>72</v>
      </c>
      <c r="C1769" s="6" t="s">
        <v>19</v>
      </c>
      <c r="D1769" s="6" t="s">
        <v>52</v>
      </c>
      <c r="E1769" s="6" t="s">
        <v>44</v>
      </c>
      <c r="F1769" s="6" t="s">
        <v>48</v>
      </c>
      <c r="G1769" s="6">
        <v>36</v>
      </c>
      <c r="H1769" s="7">
        <v>660.65</v>
      </c>
      <c r="I1769" s="7">
        <v>23783.4</v>
      </c>
      <c r="J1769" s="8">
        <v>45347</v>
      </c>
      <c r="K1769" s="6">
        <v>37</v>
      </c>
      <c r="L1769" s="6" t="s">
        <v>23</v>
      </c>
      <c r="M1769" s="6" t="b">
        <v>0</v>
      </c>
      <c r="N1769" s="6">
        <v>6.25</v>
      </c>
      <c r="O1769" s="6" t="s">
        <v>42</v>
      </c>
      <c r="P1769" s="6" t="b">
        <v>0</v>
      </c>
      <c r="Q1769" s="9" t="s">
        <v>25</v>
      </c>
    </row>
    <row r="1770" spans="1:17" x14ac:dyDescent="0.25">
      <c r="A1770" s="5" t="s">
        <v>1820</v>
      </c>
      <c r="B1770" s="6" t="s">
        <v>72</v>
      </c>
      <c r="C1770" s="6" t="s">
        <v>39</v>
      </c>
      <c r="D1770" s="6" t="s">
        <v>47</v>
      </c>
      <c r="E1770" s="6" t="s">
        <v>28</v>
      </c>
      <c r="F1770" s="6" t="s">
        <v>22</v>
      </c>
      <c r="G1770" s="6">
        <v>26</v>
      </c>
      <c r="H1770" s="7">
        <v>149.33000000000001</v>
      </c>
      <c r="I1770" s="7">
        <v>3882.58</v>
      </c>
      <c r="J1770" s="8">
        <v>45311</v>
      </c>
      <c r="K1770" s="6">
        <v>53</v>
      </c>
      <c r="L1770" s="6" t="s">
        <v>41</v>
      </c>
      <c r="M1770" s="6" t="b">
        <v>1</v>
      </c>
      <c r="N1770" s="6">
        <v>18.260000000000002</v>
      </c>
      <c r="O1770" s="6" t="s">
        <v>30</v>
      </c>
      <c r="P1770" s="6" t="b">
        <v>1</v>
      </c>
      <c r="Q1770" s="9" t="s">
        <v>36</v>
      </c>
    </row>
    <row r="1771" spans="1:17" x14ac:dyDescent="0.25">
      <c r="A1771" s="5" t="s">
        <v>1821</v>
      </c>
      <c r="B1771" s="6" t="s">
        <v>32</v>
      </c>
      <c r="C1771" s="6" t="s">
        <v>39</v>
      </c>
      <c r="D1771" s="6" t="s">
        <v>52</v>
      </c>
      <c r="E1771" s="6" t="s">
        <v>44</v>
      </c>
      <c r="F1771" s="6" t="s">
        <v>29</v>
      </c>
      <c r="G1771" s="6">
        <v>10</v>
      </c>
      <c r="H1771" s="7">
        <v>790.57</v>
      </c>
      <c r="I1771" s="7">
        <v>7905.7</v>
      </c>
      <c r="J1771" s="8">
        <v>45124</v>
      </c>
      <c r="K1771" s="6">
        <v>50</v>
      </c>
      <c r="L1771" s="6" t="s">
        <v>41</v>
      </c>
      <c r="M1771" s="6" t="b">
        <v>0</v>
      </c>
      <c r="N1771" s="6">
        <v>21.69</v>
      </c>
      <c r="O1771" s="6" t="s">
        <v>42</v>
      </c>
      <c r="P1771" s="6" t="b">
        <v>0</v>
      </c>
      <c r="Q1771" s="9" t="s">
        <v>36</v>
      </c>
    </row>
    <row r="1772" spans="1:17" x14ac:dyDescent="0.25">
      <c r="A1772" s="5" t="s">
        <v>1822</v>
      </c>
      <c r="B1772" s="6" t="s">
        <v>32</v>
      </c>
      <c r="C1772" s="6" t="s">
        <v>19</v>
      </c>
      <c r="D1772" s="6" t="s">
        <v>52</v>
      </c>
      <c r="E1772" s="6" t="s">
        <v>21</v>
      </c>
      <c r="F1772" s="6" t="s">
        <v>40</v>
      </c>
      <c r="G1772" s="6">
        <v>31</v>
      </c>
      <c r="H1772" s="7">
        <v>709.77</v>
      </c>
      <c r="I1772" s="7">
        <v>22002.87</v>
      </c>
      <c r="J1772" s="8">
        <v>44973</v>
      </c>
      <c r="K1772" s="6">
        <v>32</v>
      </c>
      <c r="L1772" s="6" t="s">
        <v>41</v>
      </c>
      <c r="M1772" s="6" t="b">
        <v>0</v>
      </c>
      <c r="N1772" s="6">
        <v>11.22</v>
      </c>
      <c r="O1772" s="6" t="s">
        <v>56</v>
      </c>
      <c r="P1772" s="6" t="b">
        <v>1</v>
      </c>
      <c r="Q1772" s="9" t="s">
        <v>25</v>
      </c>
    </row>
    <row r="1773" spans="1:17" x14ac:dyDescent="0.25">
      <c r="A1773" s="5" t="s">
        <v>1823</v>
      </c>
      <c r="B1773" s="6" t="s">
        <v>62</v>
      </c>
      <c r="C1773" s="6" t="s">
        <v>33</v>
      </c>
      <c r="D1773" s="6" t="s">
        <v>47</v>
      </c>
      <c r="E1773" s="6" t="s">
        <v>35</v>
      </c>
      <c r="F1773" s="6" t="s">
        <v>40</v>
      </c>
      <c r="G1773" s="6">
        <v>97</v>
      </c>
      <c r="H1773" s="7">
        <v>1162.3900000000001</v>
      </c>
      <c r="I1773" s="7">
        <v>112751.83</v>
      </c>
      <c r="J1773" s="8">
        <v>45129</v>
      </c>
      <c r="K1773" s="6">
        <v>67</v>
      </c>
      <c r="L1773" s="6" t="s">
        <v>41</v>
      </c>
      <c r="M1773" s="6" t="b">
        <v>0</v>
      </c>
      <c r="N1773" s="6">
        <v>17.559999999999999</v>
      </c>
      <c r="O1773" s="6" t="s">
        <v>56</v>
      </c>
      <c r="P1773" s="6" t="b">
        <v>0</v>
      </c>
      <c r="Q1773" s="9" t="s">
        <v>25</v>
      </c>
    </row>
    <row r="1774" spans="1:17" x14ac:dyDescent="0.25">
      <c r="A1774" s="5" t="s">
        <v>1824</v>
      </c>
      <c r="B1774" s="6" t="s">
        <v>27</v>
      </c>
      <c r="C1774" s="6" t="s">
        <v>39</v>
      </c>
      <c r="D1774" s="6" t="s">
        <v>20</v>
      </c>
      <c r="E1774" s="6" t="s">
        <v>21</v>
      </c>
      <c r="F1774" s="6" t="s">
        <v>48</v>
      </c>
      <c r="G1774" s="6">
        <v>29</v>
      </c>
      <c r="H1774" s="7">
        <v>1006.71</v>
      </c>
      <c r="I1774" s="7">
        <v>29194.59</v>
      </c>
      <c r="J1774" s="8">
        <v>45187</v>
      </c>
      <c r="K1774" s="6">
        <v>63</v>
      </c>
      <c r="L1774" s="6" t="s">
        <v>41</v>
      </c>
      <c r="M1774" s="6" t="b">
        <v>1</v>
      </c>
      <c r="N1774" s="6">
        <v>15.07</v>
      </c>
      <c r="O1774" s="6" t="s">
        <v>56</v>
      </c>
      <c r="P1774" s="6" t="b">
        <v>0</v>
      </c>
      <c r="Q1774" s="9" t="s">
        <v>36</v>
      </c>
    </row>
    <row r="1775" spans="1:17" x14ac:dyDescent="0.25">
      <c r="A1775" s="5" t="s">
        <v>1825</v>
      </c>
      <c r="B1775" s="6" t="s">
        <v>66</v>
      </c>
      <c r="C1775" s="6" t="s">
        <v>39</v>
      </c>
      <c r="D1775" s="6" t="s">
        <v>34</v>
      </c>
      <c r="E1775" s="6" t="s">
        <v>35</v>
      </c>
      <c r="F1775" s="6" t="s">
        <v>22</v>
      </c>
      <c r="G1775" s="6">
        <v>5</v>
      </c>
      <c r="H1775" s="7">
        <v>696.62</v>
      </c>
      <c r="I1775" s="7">
        <v>3483.1</v>
      </c>
      <c r="J1775" s="8">
        <v>44950</v>
      </c>
      <c r="K1775" s="6">
        <v>20</v>
      </c>
      <c r="L1775" s="6" t="s">
        <v>41</v>
      </c>
      <c r="M1775" s="6" t="b">
        <v>0</v>
      </c>
      <c r="N1775" s="6">
        <v>5.87</v>
      </c>
      <c r="O1775" s="6" t="s">
        <v>24</v>
      </c>
      <c r="P1775" s="6" t="b">
        <v>1</v>
      </c>
      <c r="Q1775" s="9" t="s">
        <v>36</v>
      </c>
    </row>
    <row r="1776" spans="1:17" x14ac:dyDescent="0.25">
      <c r="A1776" s="5" t="s">
        <v>1826</v>
      </c>
      <c r="B1776" s="6" t="s">
        <v>66</v>
      </c>
      <c r="C1776" s="6" t="s">
        <v>19</v>
      </c>
      <c r="D1776" s="6" t="s">
        <v>52</v>
      </c>
      <c r="E1776" s="6" t="s">
        <v>28</v>
      </c>
      <c r="F1776" s="6" t="s">
        <v>48</v>
      </c>
      <c r="G1776" s="6">
        <v>77</v>
      </c>
      <c r="H1776" s="7">
        <v>375.76</v>
      </c>
      <c r="I1776" s="7">
        <v>28933.52</v>
      </c>
      <c r="J1776" s="8">
        <v>45266</v>
      </c>
      <c r="K1776" s="6">
        <v>46</v>
      </c>
      <c r="L1776" s="6" t="s">
        <v>23</v>
      </c>
      <c r="M1776" s="6" t="b">
        <v>1</v>
      </c>
      <c r="N1776" s="6">
        <v>21.9</v>
      </c>
      <c r="O1776" s="6" t="s">
        <v>30</v>
      </c>
      <c r="P1776" s="6" t="b">
        <v>0</v>
      </c>
      <c r="Q1776" s="9" t="s">
        <v>36</v>
      </c>
    </row>
    <row r="1777" spans="1:17" x14ac:dyDescent="0.25">
      <c r="A1777" s="5" t="s">
        <v>1827</v>
      </c>
      <c r="B1777" s="6" t="s">
        <v>76</v>
      </c>
      <c r="C1777" s="6" t="s">
        <v>19</v>
      </c>
      <c r="D1777" s="6" t="s">
        <v>52</v>
      </c>
      <c r="E1777" s="6" t="s">
        <v>21</v>
      </c>
      <c r="F1777" s="6" t="s">
        <v>48</v>
      </c>
      <c r="G1777" s="6">
        <v>1</v>
      </c>
      <c r="H1777" s="7">
        <v>1103.95</v>
      </c>
      <c r="I1777" s="7">
        <v>1103.95</v>
      </c>
      <c r="J1777" s="8">
        <v>45338</v>
      </c>
      <c r="K1777" s="6">
        <v>64</v>
      </c>
      <c r="L1777" s="6" t="s">
        <v>49</v>
      </c>
      <c r="M1777" s="6" t="b">
        <v>0</v>
      </c>
      <c r="N1777" s="6">
        <v>24.04</v>
      </c>
      <c r="O1777" s="6" t="s">
        <v>30</v>
      </c>
      <c r="P1777" s="6" t="b">
        <v>0</v>
      </c>
      <c r="Q1777" s="9" t="s">
        <v>25</v>
      </c>
    </row>
    <row r="1778" spans="1:17" x14ac:dyDescent="0.25">
      <c r="A1778" s="5" t="s">
        <v>1828</v>
      </c>
      <c r="B1778" s="6" t="s">
        <v>38</v>
      </c>
      <c r="C1778" s="6" t="s">
        <v>33</v>
      </c>
      <c r="D1778" s="6" t="s">
        <v>20</v>
      </c>
      <c r="E1778" s="6" t="s">
        <v>44</v>
      </c>
      <c r="F1778" s="6" t="s">
        <v>40</v>
      </c>
      <c r="G1778" s="6">
        <v>87</v>
      </c>
      <c r="H1778" s="7">
        <v>1076.4000000000001</v>
      </c>
      <c r="I1778" s="7">
        <v>93646.8</v>
      </c>
      <c r="J1778" s="8">
        <v>45187</v>
      </c>
      <c r="K1778" s="6">
        <v>44</v>
      </c>
      <c r="L1778" s="6" t="s">
        <v>49</v>
      </c>
      <c r="M1778" s="6" t="b">
        <v>0</v>
      </c>
      <c r="N1778" s="6">
        <v>19.46</v>
      </c>
      <c r="O1778" s="6" t="s">
        <v>42</v>
      </c>
      <c r="P1778" s="6" t="b">
        <v>1</v>
      </c>
      <c r="Q1778" s="9" t="s">
        <v>25</v>
      </c>
    </row>
    <row r="1779" spans="1:17" x14ac:dyDescent="0.25">
      <c r="A1779" s="5" t="s">
        <v>1829</v>
      </c>
      <c r="B1779" s="6" t="s">
        <v>27</v>
      </c>
      <c r="C1779" s="6" t="s">
        <v>39</v>
      </c>
      <c r="D1779" s="6" t="s">
        <v>64</v>
      </c>
      <c r="E1779" s="6" t="s">
        <v>21</v>
      </c>
      <c r="F1779" s="6" t="s">
        <v>48</v>
      </c>
      <c r="G1779" s="6">
        <v>3</v>
      </c>
      <c r="H1779" s="7">
        <v>272.27999999999997</v>
      </c>
      <c r="I1779" s="7">
        <v>816.84</v>
      </c>
      <c r="J1779" s="8">
        <v>45212</v>
      </c>
      <c r="K1779" s="6">
        <v>22</v>
      </c>
      <c r="L1779" s="6" t="s">
        <v>23</v>
      </c>
      <c r="M1779" s="6" t="b">
        <v>0</v>
      </c>
      <c r="N1779" s="6">
        <v>9.7200000000000006</v>
      </c>
      <c r="O1779" s="6" t="s">
        <v>42</v>
      </c>
      <c r="P1779" s="6" t="b">
        <v>1</v>
      </c>
      <c r="Q1779" s="9" t="s">
        <v>25</v>
      </c>
    </row>
    <row r="1780" spans="1:17" x14ac:dyDescent="0.25">
      <c r="A1780" s="5" t="s">
        <v>1830</v>
      </c>
      <c r="B1780" s="6" t="s">
        <v>46</v>
      </c>
      <c r="C1780" s="6" t="s">
        <v>33</v>
      </c>
      <c r="D1780" s="6" t="s">
        <v>20</v>
      </c>
      <c r="E1780" s="6" t="s">
        <v>35</v>
      </c>
      <c r="F1780" s="6" t="s">
        <v>29</v>
      </c>
      <c r="G1780" s="6">
        <v>67</v>
      </c>
      <c r="H1780" s="7">
        <v>1376.39</v>
      </c>
      <c r="I1780" s="7">
        <v>92218.13</v>
      </c>
      <c r="J1780" s="8">
        <v>45439</v>
      </c>
      <c r="K1780" s="6">
        <v>48</v>
      </c>
      <c r="L1780" s="6" t="s">
        <v>49</v>
      </c>
      <c r="M1780" s="6" t="b">
        <v>0</v>
      </c>
      <c r="N1780" s="6">
        <v>27.8</v>
      </c>
      <c r="O1780" s="6" t="s">
        <v>30</v>
      </c>
      <c r="P1780" s="6" t="b">
        <v>0</v>
      </c>
      <c r="Q1780" s="9" t="s">
        <v>25</v>
      </c>
    </row>
    <row r="1781" spans="1:17" x14ac:dyDescent="0.25">
      <c r="A1781" s="5" t="s">
        <v>1831</v>
      </c>
      <c r="B1781" s="6" t="s">
        <v>72</v>
      </c>
      <c r="C1781" s="6" t="s">
        <v>33</v>
      </c>
      <c r="D1781" s="6" t="s">
        <v>20</v>
      </c>
      <c r="E1781" s="6" t="s">
        <v>28</v>
      </c>
      <c r="F1781" s="6" t="s">
        <v>48</v>
      </c>
      <c r="G1781" s="6">
        <v>71</v>
      </c>
      <c r="H1781" s="7">
        <v>143.38999999999999</v>
      </c>
      <c r="I1781" s="7">
        <v>10180.69</v>
      </c>
      <c r="J1781" s="8">
        <v>45012</v>
      </c>
      <c r="K1781" s="6">
        <v>39</v>
      </c>
      <c r="L1781" s="6" t="s">
        <v>49</v>
      </c>
      <c r="M1781" s="6" t="b">
        <v>0</v>
      </c>
      <c r="N1781" s="6">
        <v>13.66</v>
      </c>
      <c r="O1781" s="6" t="s">
        <v>24</v>
      </c>
      <c r="P1781" s="6" t="b">
        <v>1</v>
      </c>
      <c r="Q1781" s="9" t="s">
        <v>36</v>
      </c>
    </row>
    <row r="1782" spans="1:17" x14ac:dyDescent="0.25">
      <c r="A1782" s="5" t="s">
        <v>1832</v>
      </c>
      <c r="B1782" s="6" t="s">
        <v>18</v>
      </c>
      <c r="C1782" s="6" t="s">
        <v>19</v>
      </c>
      <c r="D1782" s="6" t="s">
        <v>52</v>
      </c>
      <c r="E1782" s="6" t="s">
        <v>44</v>
      </c>
      <c r="F1782" s="6" t="s">
        <v>48</v>
      </c>
      <c r="G1782" s="6">
        <v>35</v>
      </c>
      <c r="H1782" s="7">
        <v>129.80000000000001</v>
      </c>
      <c r="I1782" s="7">
        <v>4543</v>
      </c>
      <c r="J1782" s="8">
        <v>45356</v>
      </c>
      <c r="K1782" s="6">
        <v>52</v>
      </c>
      <c r="L1782" s="6" t="s">
        <v>23</v>
      </c>
      <c r="M1782" s="6" t="b">
        <v>0</v>
      </c>
      <c r="N1782" s="6">
        <v>7.98</v>
      </c>
      <c r="O1782" s="6" t="s">
        <v>56</v>
      </c>
      <c r="P1782" s="6" t="b">
        <v>1</v>
      </c>
      <c r="Q1782" s="9" t="s">
        <v>25</v>
      </c>
    </row>
    <row r="1783" spans="1:17" x14ac:dyDescent="0.25">
      <c r="A1783" s="5" t="s">
        <v>1833</v>
      </c>
      <c r="B1783" s="6" t="s">
        <v>51</v>
      </c>
      <c r="C1783" s="6" t="s">
        <v>39</v>
      </c>
      <c r="D1783" s="6" t="s">
        <v>34</v>
      </c>
      <c r="E1783" s="6" t="s">
        <v>21</v>
      </c>
      <c r="F1783" s="6" t="s">
        <v>40</v>
      </c>
      <c r="G1783" s="6">
        <v>15</v>
      </c>
      <c r="H1783" s="7">
        <v>321.66000000000003</v>
      </c>
      <c r="I1783" s="7">
        <v>4824.8999999999996</v>
      </c>
      <c r="J1783" s="8">
        <v>45507</v>
      </c>
      <c r="K1783" s="6">
        <v>24</v>
      </c>
      <c r="L1783" s="6" t="s">
        <v>49</v>
      </c>
      <c r="M1783" s="6" t="b">
        <v>0</v>
      </c>
      <c r="N1783" s="6">
        <v>12.25</v>
      </c>
      <c r="O1783" s="6" t="s">
        <v>42</v>
      </c>
      <c r="P1783" s="6" t="b">
        <v>0</v>
      </c>
      <c r="Q1783" s="9" t="s">
        <v>36</v>
      </c>
    </row>
    <row r="1784" spans="1:17" x14ac:dyDescent="0.25">
      <c r="A1784" s="5" t="s">
        <v>1834</v>
      </c>
      <c r="B1784" s="6" t="s">
        <v>62</v>
      </c>
      <c r="C1784" s="6" t="s">
        <v>39</v>
      </c>
      <c r="D1784" s="6" t="s">
        <v>20</v>
      </c>
      <c r="E1784" s="6" t="s">
        <v>35</v>
      </c>
      <c r="F1784" s="6" t="s">
        <v>48</v>
      </c>
      <c r="G1784" s="6">
        <v>67</v>
      </c>
      <c r="H1784" s="7">
        <v>1368.72</v>
      </c>
      <c r="I1784" s="7">
        <v>91704.24</v>
      </c>
      <c r="J1784" s="8">
        <v>44957</v>
      </c>
      <c r="K1784" s="6">
        <v>23</v>
      </c>
      <c r="L1784" s="6" t="s">
        <v>49</v>
      </c>
      <c r="M1784" s="6" t="b">
        <v>0</v>
      </c>
      <c r="N1784" s="6">
        <v>20.76</v>
      </c>
      <c r="O1784" s="6" t="s">
        <v>30</v>
      </c>
      <c r="P1784" s="6" t="b">
        <v>1</v>
      </c>
      <c r="Q1784" s="9" t="s">
        <v>25</v>
      </c>
    </row>
    <row r="1785" spans="1:17" x14ac:dyDescent="0.25">
      <c r="A1785" s="5" t="s">
        <v>1835</v>
      </c>
      <c r="B1785" s="6" t="s">
        <v>38</v>
      </c>
      <c r="C1785" s="6" t="s">
        <v>39</v>
      </c>
      <c r="D1785" s="6" t="s">
        <v>64</v>
      </c>
      <c r="E1785" s="6" t="s">
        <v>44</v>
      </c>
      <c r="F1785" s="6" t="s">
        <v>22</v>
      </c>
      <c r="G1785" s="6">
        <v>93</v>
      </c>
      <c r="H1785" s="7">
        <v>804</v>
      </c>
      <c r="I1785" s="7">
        <v>74772</v>
      </c>
      <c r="J1785" s="8">
        <v>45529</v>
      </c>
      <c r="K1785" s="6">
        <v>43</v>
      </c>
      <c r="L1785" s="6" t="s">
        <v>23</v>
      </c>
      <c r="M1785" s="6" t="b">
        <v>0</v>
      </c>
      <c r="N1785" s="6">
        <v>25.38</v>
      </c>
      <c r="O1785" s="6" t="s">
        <v>24</v>
      </c>
      <c r="P1785" s="6" t="b">
        <v>1</v>
      </c>
      <c r="Q1785" s="9" t="s">
        <v>25</v>
      </c>
    </row>
    <row r="1786" spans="1:17" x14ac:dyDescent="0.25">
      <c r="A1786" s="5" t="s">
        <v>1836</v>
      </c>
      <c r="B1786" s="6" t="s">
        <v>38</v>
      </c>
      <c r="C1786" s="6" t="s">
        <v>19</v>
      </c>
      <c r="D1786" s="6" t="s">
        <v>47</v>
      </c>
      <c r="E1786" s="6" t="s">
        <v>28</v>
      </c>
      <c r="F1786" s="6" t="s">
        <v>40</v>
      </c>
      <c r="G1786" s="6">
        <v>30</v>
      </c>
      <c r="H1786" s="7">
        <v>1192.51</v>
      </c>
      <c r="I1786" s="7">
        <v>35775.300000000003</v>
      </c>
      <c r="J1786" s="8">
        <v>45366</v>
      </c>
      <c r="K1786" s="6">
        <v>18</v>
      </c>
      <c r="L1786" s="6" t="s">
        <v>49</v>
      </c>
      <c r="M1786" s="6" t="b">
        <v>1</v>
      </c>
      <c r="N1786" s="6">
        <v>10.7</v>
      </c>
      <c r="O1786" s="6" t="s">
        <v>56</v>
      </c>
      <c r="P1786" s="6" t="b">
        <v>0</v>
      </c>
      <c r="Q1786" s="9" t="s">
        <v>25</v>
      </c>
    </row>
    <row r="1787" spans="1:17" x14ac:dyDescent="0.25">
      <c r="A1787" s="5" t="s">
        <v>1837</v>
      </c>
      <c r="B1787" s="6" t="s">
        <v>38</v>
      </c>
      <c r="C1787" s="6" t="s">
        <v>19</v>
      </c>
      <c r="D1787" s="6" t="s">
        <v>20</v>
      </c>
      <c r="E1787" s="6" t="s">
        <v>44</v>
      </c>
      <c r="F1787" s="6" t="s">
        <v>48</v>
      </c>
      <c r="G1787" s="6">
        <v>82</v>
      </c>
      <c r="H1787" s="7">
        <v>380.37</v>
      </c>
      <c r="I1787" s="7">
        <v>31190.34</v>
      </c>
      <c r="J1787" s="8">
        <v>45275</v>
      </c>
      <c r="K1787" s="6">
        <v>36</v>
      </c>
      <c r="L1787" s="6" t="s">
        <v>41</v>
      </c>
      <c r="M1787" s="6" t="b">
        <v>1</v>
      </c>
      <c r="N1787" s="6">
        <v>6.98</v>
      </c>
      <c r="O1787" s="6" t="s">
        <v>42</v>
      </c>
      <c r="P1787" s="6" t="b">
        <v>1</v>
      </c>
      <c r="Q1787" s="9" t="s">
        <v>36</v>
      </c>
    </row>
    <row r="1788" spans="1:17" x14ac:dyDescent="0.25">
      <c r="A1788" s="5" t="s">
        <v>1838</v>
      </c>
      <c r="B1788" s="6" t="s">
        <v>72</v>
      </c>
      <c r="C1788" s="6" t="s">
        <v>19</v>
      </c>
      <c r="D1788" s="6" t="s">
        <v>20</v>
      </c>
      <c r="E1788" s="6" t="s">
        <v>28</v>
      </c>
      <c r="F1788" s="6" t="s">
        <v>29</v>
      </c>
      <c r="G1788" s="6">
        <v>75</v>
      </c>
      <c r="H1788" s="7">
        <v>760.82</v>
      </c>
      <c r="I1788" s="7">
        <v>57061.5</v>
      </c>
      <c r="J1788" s="8">
        <v>45338</v>
      </c>
      <c r="K1788" s="6">
        <v>24</v>
      </c>
      <c r="L1788" s="6" t="s">
        <v>23</v>
      </c>
      <c r="M1788" s="6" t="b">
        <v>1</v>
      </c>
      <c r="N1788" s="6">
        <v>18.79</v>
      </c>
      <c r="O1788" s="6" t="s">
        <v>56</v>
      </c>
      <c r="P1788" s="6" t="b">
        <v>1</v>
      </c>
      <c r="Q1788" s="9" t="s">
        <v>36</v>
      </c>
    </row>
    <row r="1789" spans="1:17" x14ac:dyDescent="0.25">
      <c r="A1789" s="5" t="s">
        <v>1839</v>
      </c>
      <c r="B1789" s="6" t="s">
        <v>72</v>
      </c>
      <c r="C1789" s="6" t="s">
        <v>19</v>
      </c>
      <c r="D1789" s="6" t="s">
        <v>64</v>
      </c>
      <c r="E1789" s="6" t="s">
        <v>44</v>
      </c>
      <c r="F1789" s="6" t="s">
        <v>29</v>
      </c>
      <c r="G1789" s="6">
        <v>43</v>
      </c>
      <c r="H1789" s="7">
        <v>569.52</v>
      </c>
      <c r="I1789" s="7">
        <v>24489.360000000001</v>
      </c>
      <c r="J1789" s="8">
        <v>45454</v>
      </c>
      <c r="K1789" s="6">
        <v>53</v>
      </c>
      <c r="L1789" s="6" t="s">
        <v>49</v>
      </c>
      <c r="M1789" s="6" t="b">
        <v>1</v>
      </c>
      <c r="N1789" s="6">
        <v>27.64</v>
      </c>
      <c r="O1789" s="6" t="s">
        <v>56</v>
      </c>
      <c r="P1789" s="6" t="b">
        <v>0</v>
      </c>
      <c r="Q1789" s="9" t="s">
        <v>25</v>
      </c>
    </row>
    <row r="1790" spans="1:17" x14ac:dyDescent="0.25">
      <c r="A1790" s="5" t="s">
        <v>1840</v>
      </c>
      <c r="B1790" s="6" t="s">
        <v>51</v>
      </c>
      <c r="C1790" s="6" t="s">
        <v>19</v>
      </c>
      <c r="D1790" s="6" t="s">
        <v>34</v>
      </c>
      <c r="E1790" s="6" t="s">
        <v>21</v>
      </c>
      <c r="F1790" s="6" t="s">
        <v>40</v>
      </c>
      <c r="G1790" s="6">
        <v>60</v>
      </c>
      <c r="H1790" s="7">
        <v>1250.3499999999999</v>
      </c>
      <c r="I1790" s="7">
        <v>75021</v>
      </c>
      <c r="J1790" s="8">
        <v>45236</v>
      </c>
      <c r="K1790" s="6">
        <v>29</v>
      </c>
      <c r="L1790" s="6" t="s">
        <v>49</v>
      </c>
      <c r="M1790" s="6" t="b">
        <v>0</v>
      </c>
      <c r="N1790" s="6">
        <v>5.5</v>
      </c>
      <c r="O1790" s="6" t="s">
        <v>30</v>
      </c>
      <c r="P1790" s="6" t="b">
        <v>0</v>
      </c>
      <c r="Q1790" s="9" t="s">
        <v>36</v>
      </c>
    </row>
    <row r="1791" spans="1:17" x14ac:dyDescent="0.25">
      <c r="A1791" s="5" t="s">
        <v>1841</v>
      </c>
      <c r="B1791" s="6" t="s">
        <v>46</v>
      </c>
      <c r="C1791" s="6" t="s">
        <v>39</v>
      </c>
      <c r="D1791" s="6" t="s">
        <v>20</v>
      </c>
      <c r="E1791" s="6" t="s">
        <v>35</v>
      </c>
      <c r="F1791" s="6" t="s">
        <v>40</v>
      </c>
      <c r="G1791" s="6">
        <v>40</v>
      </c>
      <c r="H1791" s="7">
        <v>82.78</v>
      </c>
      <c r="I1791" s="7">
        <v>3311.2</v>
      </c>
      <c r="J1791" s="8">
        <v>45322</v>
      </c>
      <c r="K1791" s="6">
        <v>37</v>
      </c>
      <c r="L1791" s="6" t="s">
        <v>41</v>
      </c>
      <c r="M1791" s="6" t="b">
        <v>0</v>
      </c>
      <c r="N1791" s="6">
        <v>24.09</v>
      </c>
      <c r="O1791" s="6" t="s">
        <v>30</v>
      </c>
      <c r="P1791" s="6" t="b">
        <v>1</v>
      </c>
      <c r="Q1791" s="9" t="s">
        <v>36</v>
      </c>
    </row>
    <row r="1792" spans="1:17" x14ac:dyDescent="0.25">
      <c r="A1792" s="5" t="s">
        <v>1842</v>
      </c>
      <c r="B1792" s="6" t="s">
        <v>27</v>
      </c>
      <c r="C1792" s="6" t="s">
        <v>33</v>
      </c>
      <c r="D1792" s="6" t="s">
        <v>20</v>
      </c>
      <c r="E1792" s="6" t="s">
        <v>21</v>
      </c>
      <c r="F1792" s="6" t="s">
        <v>48</v>
      </c>
      <c r="G1792" s="6">
        <v>65</v>
      </c>
      <c r="H1792" s="7">
        <v>403.57</v>
      </c>
      <c r="I1792" s="7">
        <v>26232.05</v>
      </c>
      <c r="J1792" s="8">
        <v>45264</v>
      </c>
      <c r="K1792" s="6">
        <v>40</v>
      </c>
      <c r="L1792" s="6" t="s">
        <v>23</v>
      </c>
      <c r="M1792" s="6" t="b">
        <v>1</v>
      </c>
      <c r="N1792" s="6">
        <v>14.3</v>
      </c>
      <c r="O1792" s="6" t="s">
        <v>56</v>
      </c>
      <c r="P1792" s="6" t="b">
        <v>0</v>
      </c>
      <c r="Q1792" s="9" t="s">
        <v>25</v>
      </c>
    </row>
    <row r="1793" spans="1:17" x14ac:dyDescent="0.25">
      <c r="A1793" s="5" t="s">
        <v>1843</v>
      </c>
      <c r="B1793" s="6" t="s">
        <v>38</v>
      </c>
      <c r="C1793" s="6" t="s">
        <v>39</v>
      </c>
      <c r="D1793" s="6" t="s">
        <v>34</v>
      </c>
      <c r="E1793" s="6" t="s">
        <v>21</v>
      </c>
      <c r="F1793" s="6" t="s">
        <v>22</v>
      </c>
      <c r="G1793" s="6">
        <v>29</v>
      </c>
      <c r="H1793" s="7">
        <v>271.23</v>
      </c>
      <c r="I1793" s="7">
        <v>7865.67</v>
      </c>
      <c r="J1793" s="8">
        <v>45363</v>
      </c>
      <c r="K1793" s="6">
        <v>42</v>
      </c>
      <c r="L1793" s="6" t="s">
        <v>23</v>
      </c>
      <c r="M1793" s="6" t="b">
        <v>1</v>
      </c>
      <c r="N1793" s="6">
        <v>23.99</v>
      </c>
      <c r="O1793" s="6" t="s">
        <v>56</v>
      </c>
      <c r="P1793" s="6" t="b">
        <v>1</v>
      </c>
      <c r="Q1793" s="9" t="s">
        <v>25</v>
      </c>
    </row>
    <row r="1794" spans="1:17" x14ac:dyDescent="0.25">
      <c r="A1794" s="5" t="s">
        <v>1844</v>
      </c>
      <c r="B1794" s="6" t="s">
        <v>66</v>
      </c>
      <c r="C1794" s="6" t="s">
        <v>33</v>
      </c>
      <c r="D1794" s="6" t="s">
        <v>64</v>
      </c>
      <c r="E1794" s="6" t="s">
        <v>28</v>
      </c>
      <c r="F1794" s="6" t="s">
        <v>48</v>
      </c>
      <c r="G1794" s="6">
        <v>74</v>
      </c>
      <c r="H1794" s="7">
        <v>1295.82</v>
      </c>
      <c r="I1794" s="7">
        <v>95890.68</v>
      </c>
      <c r="J1794" s="8">
        <v>45589</v>
      </c>
      <c r="K1794" s="6">
        <v>47</v>
      </c>
      <c r="L1794" s="6" t="s">
        <v>49</v>
      </c>
      <c r="M1794" s="6" t="b">
        <v>1</v>
      </c>
      <c r="N1794" s="6">
        <v>15.17</v>
      </c>
      <c r="O1794" s="6" t="s">
        <v>42</v>
      </c>
      <c r="P1794" s="6" t="b">
        <v>1</v>
      </c>
      <c r="Q1794" s="9" t="s">
        <v>36</v>
      </c>
    </row>
    <row r="1795" spans="1:17" x14ac:dyDescent="0.25">
      <c r="A1795" s="5" t="s">
        <v>1845</v>
      </c>
      <c r="B1795" s="6" t="s">
        <v>32</v>
      </c>
      <c r="C1795" s="6" t="s">
        <v>19</v>
      </c>
      <c r="D1795" s="6" t="s">
        <v>20</v>
      </c>
      <c r="E1795" s="6" t="s">
        <v>28</v>
      </c>
      <c r="F1795" s="6" t="s">
        <v>29</v>
      </c>
      <c r="G1795" s="6">
        <v>92</v>
      </c>
      <c r="H1795" s="7">
        <v>727.94</v>
      </c>
      <c r="I1795" s="7">
        <v>66970.48</v>
      </c>
      <c r="J1795" s="8">
        <v>45291</v>
      </c>
      <c r="K1795" s="6">
        <v>46</v>
      </c>
      <c r="L1795" s="6" t="s">
        <v>41</v>
      </c>
      <c r="M1795" s="6" t="b">
        <v>1</v>
      </c>
      <c r="N1795" s="6">
        <v>11.32</v>
      </c>
      <c r="O1795" s="6" t="s">
        <v>24</v>
      </c>
      <c r="P1795" s="6" t="b">
        <v>1</v>
      </c>
      <c r="Q1795" s="9" t="s">
        <v>25</v>
      </c>
    </row>
    <row r="1796" spans="1:17" x14ac:dyDescent="0.25">
      <c r="A1796" s="5" t="s">
        <v>1846</v>
      </c>
      <c r="B1796" s="6" t="s">
        <v>66</v>
      </c>
      <c r="C1796" s="6" t="s">
        <v>33</v>
      </c>
      <c r="D1796" s="6" t="s">
        <v>34</v>
      </c>
      <c r="E1796" s="6" t="s">
        <v>28</v>
      </c>
      <c r="F1796" s="6" t="s">
        <v>22</v>
      </c>
      <c r="G1796" s="6">
        <v>95</v>
      </c>
      <c r="H1796" s="7">
        <v>636.12</v>
      </c>
      <c r="I1796" s="7">
        <v>60431.4</v>
      </c>
      <c r="J1796" s="8">
        <v>45039</v>
      </c>
      <c r="K1796" s="6">
        <v>48</v>
      </c>
      <c r="L1796" s="6" t="s">
        <v>41</v>
      </c>
      <c r="M1796" s="6" t="b">
        <v>0</v>
      </c>
      <c r="N1796" s="6">
        <v>20.9</v>
      </c>
      <c r="O1796" s="6" t="s">
        <v>24</v>
      </c>
      <c r="P1796" s="6" t="b">
        <v>1</v>
      </c>
      <c r="Q1796" s="9" t="s">
        <v>36</v>
      </c>
    </row>
    <row r="1797" spans="1:17" x14ac:dyDescent="0.25">
      <c r="A1797" s="5" t="s">
        <v>1847</v>
      </c>
      <c r="B1797" s="6" t="s">
        <v>76</v>
      </c>
      <c r="C1797" s="6" t="s">
        <v>39</v>
      </c>
      <c r="D1797" s="6" t="s">
        <v>20</v>
      </c>
      <c r="E1797" s="6" t="s">
        <v>21</v>
      </c>
      <c r="F1797" s="6" t="s">
        <v>22</v>
      </c>
      <c r="G1797" s="6">
        <v>19</v>
      </c>
      <c r="H1797" s="7">
        <v>701.75</v>
      </c>
      <c r="I1797" s="7">
        <v>13333.25</v>
      </c>
      <c r="J1797" s="8">
        <v>45102</v>
      </c>
      <c r="K1797" s="6">
        <v>35</v>
      </c>
      <c r="L1797" s="6" t="s">
        <v>41</v>
      </c>
      <c r="M1797" s="6" t="b">
        <v>1</v>
      </c>
      <c r="N1797" s="6">
        <v>27.02</v>
      </c>
      <c r="O1797" s="6" t="s">
        <v>56</v>
      </c>
      <c r="P1797" s="6" t="b">
        <v>0</v>
      </c>
      <c r="Q1797" s="9" t="s">
        <v>36</v>
      </c>
    </row>
    <row r="1798" spans="1:17" x14ac:dyDescent="0.25">
      <c r="A1798" s="5" t="s">
        <v>1848</v>
      </c>
      <c r="B1798" s="6" t="s">
        <v>66</v>
      </c>
      <c r="C1798" s="6" t="s">
        <v>39</v>
      </c>
      <c r="D1798" s="6" t="s">
        <v>47</v>
      </c>
      <c r="E1798" s="6" t="s">
        <v>44</v>
      </c>
      <c r="F1798" s="6" t="s">
        <v>22</v>
      </c>
      <c r="G1798" s="6">
        <v>3</v>
      </c>
      <c r="H1798" s="7">
        <v>1459.29</v>
      </c>
      <c r="I1798" s="7">
        <v>4377.87</v>
      </c>
      <c r="J1798" s="8">
        <v>45075</v>
      </c>
      <c r="K1798" s="6">
        <v>58</v>
      </c>
      <c r="L1798" s="6" t="s">
        <v>41</v>
      </c>
      <c r="M1798" s="6" t="b">
        <v>0</v>
      </c>
      <c r="N1798" s="6">
        <v>9.61</v>
      </c>
      <c r="O1798" s="6" t="s">
        <v>30</v>
      </c>
      <c r="P1798" s="6" t="b">
        <v>0</v>
      </c>
      <c r="Q1798" s="9" t="s">
        <v>25</v>
      </c>
    </row>
    <row r="1799" spans="1:17" x14ac:dyDescent="0.25">
      <c r="A1799" s="5" t="s">
        <v>1849</v>
      </c>
      <c r="B1799" s="6" t="s">
        <v>76</v>
      </c>
      <c r="C1799" s="6" t="s">
        <v>33</v>
      </c>
      <c r="D1799" s="6" t="s">
        <v>52</v>
      </c>
      <c r="E1799" s="6" t="s">
        <v>44</v>
      </c>
      <c r="F1799" s="6" t="s">
        <v>48</v>
      </c>
      <c r="G1799" s="6">
        <v>36</v>
      </c>
      <c r="H1799" s="7">
        <v>1282.8900000000001</v>
      </c>
      <c r="I1799" s="7">
        <v>46184.04</v>
      </c>
      <c r="J1799" s="8">
        <v>45104</v>
      </c>
      <c r="K1799" s="6">
        <v>36</v>
      </c>
      <c r="L1799" s="6" t="s">
        <v>41</v>
      </c>
      <c r="M1799" s="6" t="b">
        <v>0</v>
      </c>
      <c r="N1799" s="6">
        <v>13.82</v>
      </c>
      <c r="O1799" s="6" t="s">
        <v>24</v>
      </c>
      <c r="P1799" s="6" t="b">
        <v>1</v>
      </c>
      <c r="Q1799" s="9" t="s">
        <v>36</v>
      </c>
    </row>
    <row r="1800" spans="1:17" x14ac:dyDescent="0.25">
      <c r="A1800" s="5" t="s">
        <v>1850</v>
      </c>
      <c r="B1800" s="6" t="s">
        <v>18</v>
      </c>
      <c r="C1800" s="6" t="s">
        <v>19</v>
      </c>
      <c r="D1800" s="6" t="s">
        <v>47</v>
      </c>
      <c r="E1800" s="6" t="s">
        <v>21</v>
      </c>
      <c r="F1800" s="6" t="s">
        <v>29</v>
      </c>
      <c r="G1800" s="6">
        <v>43</v>
      </c>
      <c r="H1800" s="7">
        <v>1074.23</v>
      </c>
      <c r="I1800" s="7">
        <v>46191.89</v>
      </c>
      <c r="J1800" s="8">
        <v>45308</v>
      </c>
      <c r="K1800" s="6">
        <v>21</v>
      </c>
      <c r="L1800" s="6" t="s">
        <v>41</v>
      </c>
      <c r="M1800" s="6" t="b">
        <v>0</v>
      </c>
      <c r="N1800" s="6">
        <v>6.88</v>
      </c>
      <c r="O1800" s="6" t="s">
        <v>56</v>
      </c>
      <c r="P1800" s="6" t="b">
        <v>0</v>
      </c>
      <c r="Q1800" s="9" t="s">
        <v>25</v>
      </c>
    </row>
    <row r="1801" spans="1:17" x14ac:dyDescent="0.25">
      <c r="A1801" s="5" t="s">
        <v>1851</v>
      </c>
      <c r="B1801" s="6" t="s">
        <v>32</v>
      </c>
      <c r="C1801" s="6" t="s">
        <v>19</v>
      </c>
      <c r="D1801" s="6" t="s">
        <v>20</v>
      </c>
      <c r="E1801" s="6" t="s">
        <v>21</v>
      </c>
      <c r="F1801" s="6" t="s">
        <v>40</v>
      </c>
      <c r="G1801" s="6">
        <v>15</v>
      </c>
      <c r="H1801" s="7">
        <v>471.19</v>
      </c>
      <c r="I1801" s="7">
        <v>7067.85</v>
      </c>
      <c r="J1801" s="8">
        <v>45149</v>
      </c>
      <c r="K1801" s="6">
        <v>18</v>
      </c>
      <c r="L1801" s="6" t="s">
        <v>23</v>
      </c>
      <c r="M1801" s="6" t="b">
        <v>1</v>
      </c>
      <c r="N1801" s="6">
        <v>5.5</v>
      </c>
      <c r="O1801" s="6" t="s">
        <v>30</v>
      </c>
      <c r="P1801" s="6" t="b">
        <v>1</v>
      </c>
      <c r="Q1801" s="9" t="s">
        <v>36</v>
      </c>
    </row>
    <row r="1802" spans="1:17" x14ac:dyDescent="0.25">
      <c r="A1802" s="5" t="s">
        <v>1852</v>
      </c>
      <c r="B1802" s="6" t="s">
        <v>66</v>
      </c>
      <c r="C1802" s="6" t="s">
        <v>39</v>
      </c>
      <c r="D1802" s="6" t="s">
        <v>64</v>
      </c>
      <c r="E1802" s="6" t="s">
        <v>35</v>
      </c>
      <c r="F1802" s="6" t="s">
        <v>48</v>
      </c>
      <c r="G1802" s="6">
        <v>97</v>
      </c>
      <c r="H1802" s="7">
        <v>289.5</v>
      </c>
      <c r="I1802" s="7">
        <v>28081.5</v>
      </c>
      <c r="J1802" s="8">
        <v>45185</v>
      </c>
      <c r="K1802" s="6">
        <v>58</v>
      </c>
      <c r="L1802" s="6" t="s">
        <v>49</v>
      </c>
      <c r="M1802" s="6" t="b">
        <v>1</v>
      </c>
      <c r="N1802" s="6">
        <v>23.34</v>
      </c>
      <c r="O1802" s="6" t="s">
        <v>42</v>
      </c>
      <c r="P1802" s="6" t="b">
        <v>1</v>
      </c>
      <c r="Q1802" s="9" t="s">
        <v>36</v>
      </c>
    </row>
    <row r="1803" spans="1:17" x14ac:dyDescent="0.25">
      <c r="A1803" s="5" t="s">
        <v>1853</v>
      </c>
      <c r="B1803" s="6" t="s">
        <v>18</v>
      </c>
      <c r="C1803" s="6" t="s">
        <v>33</v>
      </c>
      <c r="D1803" s="6" t="s">
        <v>52</v>
      </c>
      <c r="E1803" s="6" t="s">
        <v>28</v>
      </c>
      <c r="F1803" s="6" t="s">
        <v>40</v>
      </c>
      <c r="G1803" s="6">
        <v>41</v>
      </c>
      <c r="H1803" s="7">
        <v>1386.08</v>
      </c>
      <c r="I1803" s="7">
        <v>56829.279999999999</v>
      </c>
      <c r="J1803" s="8">
        <v>45115</v>
      </c>
      <c r="K1803" s="6">
        <v>32</v>
      </c>
      <c r="L1803" s="6" t="s">
        <v>49</v>
      </c>
      <c r="M1803" s="6" t="b">
        <v>0</v>
      </c>
      <c r="N1803" s="6">
        <v>6.02</v>
      </c>
      <c r="O1803" s="6" t="s">
        <v>24</v>
      </c>
      <c r="P1803" s="6" t="b">
        <v>0</v>
      </c>
      <c r="Q1803" s="9" t="s">
        <v>36</v>
      </c>
    </row>
    <row r="1804" spans="1:17" x14ac:dyDescent="0.25">
      <c r="A1804" s="5" t="s">
        <v>1854</v>
      </c>
      <c r="B1804" s="6" t="s">
        <v>62</v>
      </c>
      <c r="C1804" s="6" t="s">
        <v>19</v>
      </c>
      <c r="D1804" s="6" t="s">
        <v>47</v>
      </c>
      <c r="E1804" s="6" t="s">
        <v>28</v>
      </c>
      <c r="F1804" s="6" t="s">
        <v>22</v>
      </c>
      <c r="G1804" s="6">
        <v>90</v>
      </c>
      <c r="H1804" s="7">
        <v>663.46</v>
      </c>
      <c r="I1804" s="7">
        <v>59711.4</v>
      </c>
      <c r="J1804" s="8">
        <v>45232</v>
      </c>
      <c r="K1804" s="6">
        <v>25</v>
      </c>
      <c r="L1804" s="6" t="s">
        <v>41</v>
      </c>
      <c r="M1804" s="6" t="b">
        <v>1</v>
      </c>
      <c r="N1804" s="6">
        <v>23.8</v>
      </c>
      <c r="O1804" s="6" t="s">
        <v>42</v>
      </c>
      <c r="P1804" s="6" t="b">
        <v>0</v>
      </c>
      <c r="Q1804" s="9" t="s">
        <v>36</v>
      </c>
    </row>
    <row r="1805" spans="1:17" x14ac:dyDescent="0.25">
      <c r="A1805" s="5" t="s">
        <v>1855</v>
      </c>
      <c r="B1805" s="6" t="s">
        <v>27</v>
      </c>
      <c r="C1805" s="6" t="s">
        <v>19</v>
      </c>
      <c r="D1805" s="6" t="s">
        <v>34</v>
      </c>
      <c r="E1805" s="6" t="s">
        <v>21</v>
      </c>
      <c r="F1805" s="6" t="s">
        <v>22</v>
      </c>
      <c r="G1805" s="6">
        <v>80</v>
      </c>
      <c r="H1805" s="7">
        <v>454.2</v>
      </c>
      <c r="I1805" s="7">
        <v>36336</v>
      </c>
      <c r="J1805" s="8">
        <v>45304</v>
      </c>
      <c r="K1805" s="6">
        <v>32</v>
      </c>
      <c r="L1805" s="6" t="s">
        <v>23</v>
      </c>
      <c r="M1805" s="6" t="b">
        <v>1</v>
      </c>
      <c r="N1805" s="6">
        <v>12.88</v>
      </c>
      <c r="O1805" s="6" t="s">
        <v>30</v>
      </c>
      <c r="P1805" s="6" t="b">
        <v>1</v>
      </c>
      <c r="Q1805" s="9" t="s">
        <v>36</v>
      </c>
    </row>
    <row r="1806" spans="1:17" x14ac:dyDescent="0.25">
      <c r="A1806" s="5" t="s">
        <v>1856</v>
      </c>
      <c r="B1806" s="6" t="s">
        <v>18</v>
      </c>
      <c r="C1806" s="6" t="s">
        <v>39</v>
      </c>
      <c r="D1806" s="6" t="s">
        <v>64</v>
      </c>
      <c r="E1806" s="6" t="s">
        <v>21</v>
      </c>
      <c r="F1806" s="6" t="s">
        <v>48</v>
      </c>
      <c r="G1806" s="6">
        <v>36</v>
      </c>
      <c r="H1806" s="7">
        <v>732.84</v>
      </c>
      <c r="I1806" s="7">
        <v>26382.240000000002</v>
      </c>
      <c r="J1806" s="8">
        <v>45528</v>
      </c>
      <c r="K1806" s="6">
        <v>32</v>
      </c>
      <c r="L1806" s="6" t="s">
        <v>23</v>
      </c>
      <c r="M1806" s="6" t="b">
        <v>0</v>
      </c>
      <c r="N1806" s="6">
        <v>29.85</v>
      </c>
      <c r="O1806" s="6" t="s">
        <v>56</v>
      </c>
      <c r="P1806" s="6" t="b">
        <v>0</v>
      </c>
      <c r="Q1806" s="9" t="s">
        <v>36</v>
      </c>
    </row>
    <row r="1807" spans="1:17" x14ac:dyDescent="0.25">
      <c r="A1807" s="5" t="s">
        <v>1857</v>
      </c>
      <c r="B1807" s="6" t="s">
        <v>27</v>
      </c>
      <c r="C1807" s="6" t="s">
        <v>19</v>
      </c>
      <c r="D1807" s="6" t="s">
        <v>47</v>
      </c>
      <c r="E1807" s="6" t="s">
        <v>44</v>
      </c>
      <c r="F1807" s="6" t="s">
        <v>29</v>
      </c>
      <c r="G1807" s="6">
        <v>97</v>
      </c>
      <c r="H1807" s="7">
        <v>1380.88</v>
      </c>
      <c r="I1807" s="7">
        <v>133945.35999999999</v>
      </c>
      <c r="J1807" s="8">
        <v>45269</v>
      </c>
      <c r="K1807" s="6">
        <v>67</v>
      </c>
      <c r="L1807" s="6" t="s">
        <v>41</v>
      </c>
      <c r="M1807" s="6" t="b">
        <v>0</v>
      </c>
      <c r="N1807" s="6">
        <v>5.92</v>
      </c>
      <c r="O1807" s="6" t="s">
        <v>42</v>
      </c>
      <c r="P1807" s="6" t="b">
        <v>1</v>
      </c>
      <c r="Q1807" s="9" t="s">
        <v>25</v>
      </c>
    </row>
    <row r="1808" spans="1:17" x14ac:dyDescent="0.25">
      <c r="A1808" s="5" t="s">
        <v>1858</v>
      </c>
      <c r="B1808" s="6" t="s">
        <v>66</v>
      </c>
      <c r="C1808" s="6" t="s">
        <v>33</v>
      </c>
      <c r="D1808" s="6" t="s">
        <v>34</v>
      </c>
      <c r="E1808" s="6" t="s">
        <v>21</v>
      </c>
      <c r="F1808" s="6" t="s">
        <v>22</v>
      </c>
      <c r="G1808" s="6">
        <v>84</v>
      </c>
      <c r="H1808" s="7">
        <v>611.25</v>
      </c>
      <c r="I1808" s="7">
        <v>51345</v>
      </c>
      <c r="J1808" s="8">
        <v>45082</v>
      </c>
      <c r="K1808" s="6">
        <v>56</v>
      </c>
      <c r="L1808" s="6" t="s">
        <v>49</v>
      </c>
      <c r="M1808" s="6" t="b">
        <v>1</v>
      </c>
      <c r="N1808" s="6">
        <v>2.79</v>
      </c>
      <c r="O1808" s="6" t="s">
        <v>56</v>
      </c>
      <c r="P1808" s="6" t="b">
        <v>0</v>
      </c>
      <c r="Q1808" s="9" t="s">
        <v>36</v>
      </c>
    </row>
    <row r="1809" spans="1:17" x14ac:dyDescent="0.25">
      <c r="A1809" s="5" t="s">
        <v>1859</v>
      </c>
      <c r="B1809" s="6" t="s">
        <v>46</v>
      </c>
      <c r="C1809" s="6" t="s">
        <v>39</v>
      </c>
      <c r="D1809" s="6" t="s">
        <v>20</v>
      </c>
      <c r="E1809" s="6" t="s">
        <v>44</v>
      </c>
      <c r="F1809" s="6" t="s">
        <v>40</v>
      </c>
      <c r="G1809" s="6">
        <v>77</v>
      </c>
      <c r="H1809" s="7">
        <v>865.83</v>
      </c>
      <c r="I1809" s="7">
        <v>66668.91</v>
      </c>
      <c r="J1809" s="8">
        <v>44981</v>
      </c>
      <c r="K1809" s="6">
        <v>39</v>
      </c>
      <c r="L1809" s="6" t="s">
        <v>41</v>
      </c>
      <c r="M1809" s="6" t="b">
        <v>0</v>
      </c>
      <c r="N1809" s="6">
        <v>2.2599999999999998</v>
      </c>
      <c r="O1809" s="6" t="s">
        <v>24</v>
      </c>
      <c r="P1809" s="6" t="b">
        <v>0</v>
      </c>
      <c r="Q1809" s="9" t="s">
        <v>36</v>
      </c>
    </row>
    <row r="1810" spans="1:17" x14ac:dyDescent="0.25">
      <c r="A1810" s="5" t="s">
        <v>1860</v>
      </c>
      <c r="B1810" s="6" t="s">
        <v>18</v>
      </c>
      <c r="C1810" s="6" t="s">
        <v>39</v>
      </c>
      <c r="D1810" s="6" t="s">
        <v>34</v>
      </c>
      <c r="E1810" s="6" t="s">
        <v>21</v>
      </c>
      <c r="F1810" s="6" t="s">
        <v>40</v>
      </c>
      <c r="G1810" s="6">
        <v>33</v>
      </c>
      <c r="H1810" s="7">
        <v>1214.3</v>
      </c>
      <c r="I1810" s="7">
        <v>40071.9</v>
      </c>
      <c r="J1810" s="8">
        <v>45368</v>
      </c>
      <c r="K1810" s="6">
        <v>35</v>
      </c>
      <c r="L1810" s="6" t="s">
        <v>23</v>
      </c>
      <c r="M1810" s="6" t="b">
        <v>1</v>
      </c>
      <c r="N1810" s="6">
        <v>25.06</v>
      </c>
      <c r="O1810" s="6" t="s">
        <v>42</v>
      </c>
      <c r="P1810" s="6" t="b">
        <v>1</v>
      </c>
      <c r="Q1810" s="9" t="s">
        <v>36</v>
      </c>
    </row>
    <row r="1811" spans="1:17" x14ac:dyDescent="0.25">
      <c r="A1811" s="5" t="s">
        <v>1861</v>
      </c>
      <c r="B1811" s="6" t="s">
        <v>32</v>
      </c>
      <c r="C1811" s="6" t="s">
        <v>33</v>
      </c>
      <c r="D1811" s="6" t="s">
        <v>47</v>
      </c>
      <c r="E1811" s="6" t="s">
        <v>35</v>
      </c>
      <c r="F1811" s="6" t="s">
        <v>48</v>
      </c>
      <c r="G1811" s="6">
        <v>5</v>
      </c>
      <c r="H1811" s="7">
        <v>669.34</v>
      </c>
      <c r="I1811" s="7">
        <v>3346.7</v>
      </c>
      <c r="J1811" s="8">
        <v>45126</v>
      </c>
      <c r="K1811" s="6">
        <v>33</v>
      </c>
      <c r="L1811" s="6" t="s">
        <v>41</v>
      </c>
      <c r="M1811" s="6" t="b">
        <v>1</v>
      </c>
      <c r="N1811" s="6">
        <v>13.13</v>
      </c>
      <c r="O1811" s="6" t="s">
        <v>24</v>
      </c>
      <c r="P1811" s="6" t="b">
        <v>0</v>
      </c>
      <c r="Q1811" s="9" t="s">
        <v>25</v>
      </c>
    </row>
    <row r="1812" spans="1:17" x14ac:dyDescent="0.25">
      <c r="A1812" s="5" t="s">
        <v>1862</v>
      </c>
      <c r="B1812" s="6" t="s">
        <v>66</v>
      </c>
      <c r="C1812" s="6" t="s">
        <v>39</v>
      </c>
      <c r="D1812" s="6" t="s">
        <v>47</v>
      </c>
      <c r="E1812" s="6" t="s">
        <v>35</v>
      </c>
      <c r="F1812" s="6" t="s">
        <v>40</v>
      </c>
      <c r="G1812" s="6">
        <v>78</v>
      </c>
      <c r="H1812" s="7">
        <v>388.64</v>
      </c>
      <c r="I1812" s="7">
        <v>30313.919999999998</v>
      </c>
      <c r="J1812" s="8">
        <v>45329</v>
      </c>
      <c r="K1812" s="6">
        <v>19</v>
      </c>
      <c r="L1812" s="6" t="s">
        <v>49</v>
      </c>
      <c r="M1812" s="6" t="b">
        <v>0</v>
      </c>
      <c r="N1812" s="6">
        <v>0.09</v>
      </c>
      <c r="O1812" s="6" t="s">
        <v>24</v>
      </c>
      <c r="P1812" s="6" t="b">
        <v>0</v>
      </c>
      <c r="Q1812" s="9" t="s">
        <v>36</v>
      </c>
    </row>
    <row r="1813" spans="1:17" x14ac:dyDescent="0.25">
      <c r="A1813" s="5" t="s">
        <v>1863</v>
      </c>
      <c r="B1813" s="6" t="s">
        <v>38</v>
      </c>
      <c r="C1813" s="6" t="s">
        <v>19</v>
      </c>
      <c r="D1813" s="6" t="s">
        <v>20</v>
      </c>
      <c r="E1813" s="6" t="s">
        <v>44</v>
      </c>
      <c r="F1813" s="6" t="s">
        <v>29</v>
      </c>
      <c r="G1813" s="6">
        <v>91</v>
      </c>
      <c r="H1813" s="7">
        <v>1492.06</v>
      </c>
      <c r="I1813" s="7">
        <v>135777.46</v>
      </c>
      <c r="J1813" s="8">
        <v>45540</v>
      </c>
      <c r="K1813" s="6">
        <v>53</v>
      </c>
      <c r="L1813" s="6" t="s">
        <v>49</v>
      </c>
      <c r="M1813" s="6" t="b">
        <v>0</v>
      </c>
      <c r="N1813" s="6">
        <v>26.24</v>
      </c>
      <c r="O1813" s="6" t="s">
        <v>24</v>
      </c>
      <c r="P1813" s="6" t="b">
        <v>1</v>
      </c>
      <c r="Q1813" s="9" t="s">
        <v>36</v>
      </c>
    </row>
    <row r="1814" spans="1:17" x14ac:dyDescent="0.25">
      <c r="A1814" s="5" t="s">
        <v>1864</v>
      </c>
      <c r="B1814" s="6" t="s">
        <v>72</v>
      </c>
      <c r="C1814" s="6" t="s">
        <v>19</v>
      </c>
      <c r="D1814" s="6" t="s">
        <v>34</v>
      </c>
      <c r="E1814" s="6" t="s">
        <v>28</v>
      </c>
      <c r="F1814" s="6" t="s">
        <v>22</v>
      </c>
      <c r="G1814" s="6">
        <v>87</v>
      </c>
      <c r="H1814" s="7">
        <v>1437.03</v>
      </c>
      <c r="I1814" s="7">
        <v>125021.61</v>
      </c>
      <c r="J1814" s="8">
        <v>45589</v>
      </c>
      <c r="K1814" s="6">
        <v>37</v>
      </c>
      <c r="L1814" s="6" t="s">
        <v>23</v>
      </c>
      <c r="M1814" s="6" t="b">
        <v>1</v>
      </c>
      <c r="N1814" s="6">
        <v>26.31</v>
      </c>
      <c r="O1814" s="6" t="s">
        <v>24</v>
      </c>
      <c r="P1814" s="6" t="b">
        <v>1</v>
      </c>
      <c r="Q1814" s="9" t="s">
        <v>36</v>
      </c>
    </row>
    <row r="1815" spans="1:17" x14ac:dyDescent="0.25">
      <c r="A1815" s="5" t="s">
        <v>1865</v>
      </c>
      <c r="B1815" s="6" t="s">
        <v>18</v>
      </c>
      <c r="C1815" s="6" t="s">
        <v>33</v>
      </c>
      <c r="D1815" s="6" t="s">
        <v>34</v>
      </c>
      <c r="E1815" s="6" t="s">
        <v>35</v>
      </c>
      <c r="F1815" s="6" t="s">
        <v>40</v>
      </c>
      <c r="G1815" s="6">
        <v>14</v>
      </c>
      <c r="H1815" s="7">
        <v>1273.04</v>
      </c>
      <c r="I1815" s="7">
        <v>17822.560000000001</v>
      </c>
      <c r="J1815" s="8">
        <v>45549</v>
      </c>
      <c r="K1815" s="6">
        <v>33</v>
      </c>
      <c r="L1815" s="6" t="s">
        <v>41</v>
      </c>
      <c r="M1815" s="6" t="b">
        <v>0</v>
      </c>
      <c r="N1815" s="6">
        <v>24.19</v>
      </c>
      <c r="O1815" s="6" t="s">
        <v>24</v>
      </c>
      <c r="P1815" s="6" t="b">
        <v>1</v>
      </c>
      <c r="Q1815" s="9" t="s">
        <v>25</v>
      </c>
    </row>
    <row r="1816" spans="1:17" x14ac:dyDescent="0.25">
      <c r="A1816" s="5" t="s">
        <v>1866</v>
      </c>
      <c r="B1816" s="6" t="s">
        <v>32</v>
      </c>
      <c r="C1816" s="6" t="s">
        <v>19</v>
      </c>
      <c r="D1816" s="6" t="s">
        <v>20</v>
      </c>
      <c r="E1816" s="6" t="s">
        <v>44</v>
      </c>
      <c r="F1816" s="6" t="s">
        <v>40</v>
      </c>
      <c r="G1816" s="6">
        <v>68</v>
      </c>
      <c r="H1816" s="7">
        <v>1048.1400000000001</v>
      </c>
      <c r="I1816" s="7">
        <v>71273.52</v>
      </c>
      <c r="J1816" s="8">
        <v>45529</v>
      </c>
      <c r="K1816" s="6">
        <v>20</v>
      </c>
      <c r="L1816" s="6" t="s">
        <v>41</v>
      </c>
      <c r="M1816" s="6" t="b">
        <v>1</v>
      </c>
      <c r="N1816" s="6">
        <v>7.45</v>
      </c>
      <c r="O1816" s="6" t="s">
        <v>30</v>
      </c>
      <c r="P1816" s="6" t="b">
        <v>1</v>
      </c>
      <c r="Q1816" s="9" t="s">
        <v>25</v>
      </c>
    </row>
    <row r="1817" spans="1:17" x14ac:dyDescent="0.25">
      <c r="A1817" s="5" t="s">
        <v>1867</v>
      </c>
      <c r="B1817" s="6" t="s">
        <v>62</v>
      </c>
      <c r="C1817" s="6" t="s">
        <v>33</v>
      </c>
      <c r="D1817" s="6" t="s">
        <v>34</v>
      </c>
      <c r="E1817" s="6" t="s">
        <v>21</v>
      </c>
      <c r="F1817" s="6" t="s">
        <v>22</v>
      </c>
      <c r="G1817" s="6">
        <v>83</v>
      </c>
      <c r="H1817" s="7">
        <v>477.56</v>
      </c>
      <c r="I1817" s="7">
        <v>39637.480000000003</v>
      </c>
      <c r="J1817" s="8">
        <v>45103</v>
      </c>
      <c r="K1817" s="6">
        <v>47</v>
      </c>
      <c r="L1817" s="6" t="s">
        <v>23</v>
      </c>
      <c r="M1817" s="6" t="b">
        <v>0</v>
      </c>
      <c r="N1817" s="6">
        <v>11.18</v>
      </c>
      <c r="O1817" s="6" t="s">
        <v>42</v>
      </c>
      <c r="P1817" s="6" t="b">
        <v>1</v>
      </c>
      <c r="Q1817" s="9" t="s">
        <v>25</v>
      </c>
    </row>
    <row r="1818" spans="1:17" x14ac:dyDescent="0.25">
      <c r="A1818" s="5" t="s">
        <v>1868</v>
      </c>
      <c r="B1818" s="6" t="s">
        <v>38</v>
      </c>
      <c r="C1818" s="6" t="s">
        <v>33</v>
      </c>
      <c r="D1818" s="6" t="s">
        <v>20</v>
      </c>
      <c r="E1818" s="6" t="s">
        <v>21</v>
      </c>
      <c r="F1818" s="6" t="s">
        <v>48</v>
      </c>
      <c r="G1818" s="6">
        <v>47</v>
      </c>
      <c r="H1818" s="7">
        <v>1374.45</v>
      </c>
      <c r="I1818" s="7">
        <v>64599.15</v>
      </c>
      <c r="J1818" s="8">
        <v>45375</v>
      </c>
      <c r="K1818" s="6">
        <v>19</v>
      </c>
      <c r="L1818" s="6" t="s">
        <v>41</v>
      </c>
      <c r="M1818" s="6" t="b">
        <v>1</v>
      </c>
      <c r="N1818" s="6">
        <v>22.35</v>
      </c>
      <c r="O1818" s="6" t="s">
        <v>56</v>
      </c>
      <c r="P1818" s="6" t="b">
        <v>1</v>
      </c>
      <c r="Q1818" s="9" t="s">
        <v>36</v>
      </c>
    </row>
    <row r="1819" spans="1:17" x14ac:dyDescent="0.25">
      <c r="A1819" s="5" t="s">
        <v>1869</v>
      </c>
      <c r="B1819" s="6" t="s">
        <v>62</v>
      </c>
      <c r="C1819" s="6" t="s">
        <v>19</v>
      </c>
      <c r="D1819" s="6" t="s">
        <v>64</v>
      </c>
      <c r="E1819" s="6" t="s">
        <v>44</v>
      </c>
      <c r="F1819" s="6" t="s">
        <v>40</v>
      </c>
      <c r="G1819" s="6">
        <v>54</v>
      </c>
      <c r="H1819" s="7">
        <v>449.56</v>
      </c>
      <c r="I1819" s="7">
        <v>24276.240000000002</v>
      </c>
      <c r="J1819" s="8">
        <v>45467</v>
      </c>
      <c r="K1819" s="6">
        <v>52</v>
      </c>
      <c r="L1819" s="6" t="s">
        <v>23</v>
      </c>
      <c r="M1819" s="6" t="b">
        <v>0</v>
      </c>
      <c r="N1819" s="6">
        <v>14.68</v>
      </c>
      <c r="O1819" s="6" t="s">
        <v>56</v>
      </c>
      <c r="P1819" s="6" t="b">
        <v>0</v>
      </c>
      <c r="Q1819" s="9" t="s">
        <v>36</v>
      </c>
    </row>
    <row r="1820" spans="1:17" x14ac:dyDescent="0.25">
      <c r="A1820" s="5" t="s">
        <v>1870</v>
      </c>
      <c r="B1820" s="6" t="s">
        <v>66</v>
      </c>
      <c r="C1820" s="6" t="s">
        <v>33</v>
      </c>
      <c r="D1820" s="6" t="s">
        <v>47</v>
      </c>
      <c r="E1820" s="6" t="s">
        <v>28</v>
      </c>
      <c r="F1820" s="6" t="s">
        <v>48</v>
      </c>
      <c r="G1820" s="6">
        <v>4</v>
      </c>
      <c r="H1820" s="7">
        <v>1211.17</v>
      </c>
      <c r="I1820" s="7">
        <v>4844.68</v>
      </c>
      <c r="J1820" s="8">
        <v>45227</v>
      </c>
      <c r="K1820" s="6">
        <v>43</v>
      </c>
      <c r="L1820" s="6" t="s">
        <v>41</v>
      </c>
      <c r="M1820" s="6" t="b">
        <v>1</v>
      </c>
      <c r="N1820" s="6">
        <v>4.6100000000000003</v>
      </c>
      <c r="O1820" s="6" t="s">
        <v>30</v>
      </c>
      <c r="P1820" s="6" t="b">
        <v>1</v>
      </c>
      <c r="Q1820" s="9" t="s">
        <v>36</v>
      </c>
    </row>
    <row r="1821" spans="1:17" x14ac:dyDescent="0.25">
      <c r="A1821" s="5" t="s">
        <v>1871</v>
      </c>
      <c r="B1821" s="6" t="s">
        <v>72</v>
      </c>
      <c r="C1821" s="6" t="s">
        <v>19</v>
      </c>
      <c r="D1821" s="6" t="s">
        <v>64</v>
      </c>
      <c r="E1821" s="6" t="s">
        <v>44</v>
      </c>
      <c r="F1821" s="6" t="s">
        <v>48</v>
      </c>
      <c r="G1821" s="6">
        <v>94</v>
      </c>
      <c r="H1821" s="7">
        <v>1381.47</v>
      </c>
      <c r="I1821" s="7">
        <v>129858.18</v>
      </c>
      <c r="J1821" s="8">
        <v>45233</v>
      </c>
      <c r="K1821" s="6">
        <v>22</v>
      </c>
      <c r="L1821" s="6" t="s">
        <v>49</v>
      </c>
      <c r="M1821" s="6" t="b">
        <v>1</v>
      </c>
      <c r="N1821" s="6">
        <v>7.28</v>
      </c>
      <c r="O1821" s="6" t="s">
        <v>56</v>
      </c>
      <c r="P1821" s="6" t="b">
        <v>1</v>
      </c>
      <c r="Q1821" s="9" t="s">
        <v>25</v>
      </c>
    </row>
    <row r="1822" spans="1:17" x14ac:dyDescent="0.25">
      <c r="A1822" s="5" t="s">
        <v>1872</v>
      </c>
      <c r="B1822" s="6" t="s">
        <v>18</v>
      </c>
      <c r="C1822" s="6" t="s">
        <v>39</v>
      </c>
      <c r="D1822" s="6" t="s">
        <v>52</v>
      </c>
      <c r="E1822" s="6" t="s">
        <v>44</v>
      </c>
      <c r="F1822" s="6" t="s">
        <v>40</v>
      </c>
      <c r="G1822" s="6">
        <v>83</v>
      </c>
      <c r="H1822" s="7">
        <v>924.36</v>
      </c>
      <c r="I1822" s="7">
        <v>76721.88</v>
      </c>
      <c r="J1822" s="8">
        <v>45193</v>
      </c>
      <c r="K1822" s="6">
        <v>19</v>
      </c>
      <c r="L1822" s="6" t="s">
        <v>23</v>
      </c>
      <c r="M1822" s="6" t="b">
        <v>0</v>
      </c>
      <c r="N1822" s="6">
        <v>29.18</v>
      </c>
      <c r="O1822" s="6" t="s">
        <v>56</v>
      </c>
      <c r="P1822" s="6" t="b">
        <v>1</v>
      </c>
      <c r="Q1822" s="9" t="s">
        <v>36</v>
      </c>
    </row>
    <row r="1823" spans="1:17" x14ac:dyDescent="0.25">
      <c r="A1823" s="5" t="s">
        <v>1873</v>
      </c>
      <c r="B1823" s="6" t="s">
        <v>18</v>
      </c>
      <c r="C1823" s="6" t="s">
        <v>39</v>
      </c>
      <c r="D1823" s="6" t="s">
        <v>52</v>
      </c>
      <c r="E1823" s="6" t="s">
        <v>35</v>
      </c>
      <c r="F1823" s="6" t="s">
        <v>29</v>
      </c>
      <c r="G1823" s="6">
        <v>95</v>
      </c>
      <c r="H1823" s="7">
        <v>1214.43</v>
      </c>
      <c r="I1823" s="7">
        <v>115370.85</v>
      </c>
      <c r="J1823" s="8">
        <v>45140</v>
      </c>
      <c r="K1823" s="6">
        <v>68</v>
      </c>
      <c r="L1823" s="6" t="s">
        <v>41</v>
      </c>
      <c r="M1823" s="6" t="b">
        <v>1</v>
      </c>
      <c r="N1823" s="6">
        <v>4.53</v>
      </c>
      <c r="O1823" s="6" t="s">
        <v>56</v>
      </c>
      <c r="P1823" s="6" t="b">
        <v>0</v>
      </c>
      <c r="Q1823" s="9" t="s">
        <v>25</v>
      </c>
    </row>
    <row r="1824" spans="1:17" x14ac:dyDescent="0.25">
      <c r="A1824" s="5" t="s">
        <v>1874</v>
      </c>
      <c r="B1824" s="6" t="s">
        <v>46</v>
      </c>
      <c r="C1824" s="6" t="s">
        <v>33</v>
      </c>
      <c r="D1824" s="6" t="s">
        <v>52</v>
      </c>
      <c r="E1824" s="6" t="s">
        <v>44</v>
      </c>
      <c r="F1824" s="6" t="s">
        <v>48</v>
      </c>
      <c r="G1824" s="6">
        <v>95</v>
      </c>
      <c r="H1824" s="7">
        <v>1197.96</v>
      </c>
      <c r="I1824" s="7">
        <v>113806.2</v>
      </c>
      <c r="J1824" s="8">
        <v>45520</v>
      </c>
      <c r="K1824" s="6">
        <v>37</v>
      </c>
      <c r="L1824" s="6" t="s">
        <v>41</v>
      </c>
      <c r="M1824" s="6" t="b">
        <v>1</v>
      </c>
      <c r="N1824" s="6">
        <v>21.78</v>
      </c>
      <c r="O1824" s="6" t="s">
        <v>42</v>
      </c>
      <c r="P1824" s="6" t="b">
        <v>1</v>
      </c>
      <c r="Q1824" s="9" t="s">
        <v>25</v>
      </c>
    </row>
    <row r="1825" spans="1:17" x14ac:dyDescent="0.25">
      <c r="A1825" s="5" t="s">
        <v>1875</v>
      </c>
      <c r="B1825" s="6" t="s">
        <v>46</v>
      </c>
      <c r="C1825" s="6" t="s">
        <v>19</v>
      </c>
      <c r="D1825" s="6" t="s">
        <v>20</v>
      </c>
      <c r="E1825" s="6" t="s">
        <v>44</v>
      </c>
      <c r="F1825" s="6" t="s">
        <v>40</v>
      </c>
      <c r="G1825" s="6">
        <v>9</v>
      </c>
      <c r="H1825" s="7">
        <v>330.08</v>
      </c>
      <c r="I1825" s="7">
        <v>2970.72</v>
      </c>
      <c r="J1825" s="8">
        <v>45566</v>
      </c>
      <c r="K1825" s="6">
        <v>51</v>
      </c>
      <c r="L1825" s="6" t="s">
        <v>41</v>
      </c>
      <c r="M1825" s="6" t="b">
        <v>1</v>
      </c>
      <c r="N1825" s="6">
        <v>14.34</v>
      </c>
      <c r="O1825" s="6" t="s">
        <v>56</v>
      </c>
      <c r="P1825" s="6" t="b">
        <v>1</v>
      </c>
      <c r="Q1825" s="9" t="s">
        <v>36</v>
      </c>
    </row>
    <row r="1826" spans="1:17" x14ac:dyDescent="0.25">
      <c r="A1826" s="5" t="s">
        <v>1876</v>
      </c>
      <c r="B1826" s="6" t="s">
        <v>66</v>
      </c>
      <c r="C1826" s="6" t="s">
        <v>19</v>
      </c>
      <c r="D1826" s="6" t="s">
        <v>34</v>
      </c>
      <c r="E1826" s="6" t="s">
        <v>21</v>
      </c>
      <c r="F1826" s="6" t="s">
        <v>48</v>
      </c>
      <c r="G1826" s="6">
        <v>53</v>
      </c>
      <c r="H1826" s="7">
        <v>1018.49</v>
      </c>
      <c r="I1826" s="7">
        <v>53979.97</v>
      </c>
      <c r="J1826" s="8">
        <v>45409</v>
      </c>
      <c r="K1826" s="6">
        <v>51</v>
      </c>
      <c r="L1826" s="6" t="s">
        <v>23</v>
      </c>
      <c r="M1826" s="6" t="b">
        <v>1</v>
      </c>
      <c r="N1826" s="6">
        <v>22.46</v>
      </c>
      <c r="O1826" s="6" t="s">
        <v>42</v>
      </c>
      <c r="P1826" s="6" t="b">
        <v>0</v>
      </c>
      <c r="Q1826" s="9" t="s">
        <v>36</v>
      </c>
    </row>
    <row r="1827" spans="1:17" x14ac:dyDescent="0.25">
      <c r="A1827" s="5" t="s">
        <v>1877</v>
      </c>
      <c r="B1827" s="6" t="s">
        <v>66</v>
      </c>
      <c r="C1827" s="6" t="s">
        <v>39</v>
      </c>
      <c r="D1827" s="6" t="s">
        <v>64</v>
      </c>
      <c r="E1827" s="6" t="s">
        <v>35</v>
      </c>
      <c r="F1827" s="6" t="s">
        <v>22</v>
      </c>
      <c r="G1827" s="6">
        <v>77</v>
      </c>
      <c r="H1827" s="7">
        <v>185.53</v>
      </c>
      <c r="I1827" s="7">
        <v>14285.81</v>
      </c>
      <c r="J1827" s="8">
        <v>45188</v>
      </c>
      <c r="K1827" s="6">
        <v>37</v>
      </c>
      <c r="L1827" s="6" t="s">
        <v>49</v>
      </c>
      <c r="M1827" s="6" t="b">
        <v>1</v>
      </c>
      <c r="N1827" s="6">
        <v>19.829999999999998</v>
      </c>
      <c r="O1827" s="6" t="s">
        <v>56</v>
      </c>
      <c r="P1827" s="6" t="b">
        <v>0</v>
      </c>
      <c r="Q1827" s="9" t="s">
        <v>25</v>
      </c>
    </row>
    <row r="1828" spans="1:17" x14ac:dyDescent="0.25">
      <c r="A1828" s="5" t="s">
        <v>1878</v>
      </c>
      <c r="B1828" s="6" t="s">
        <v>72</v>
      </c>
      <c r="C1828" s="6" t="s">
        <v>39</v>
      </c>
      <c r="D1828" s="6" t="s">
        <v>64</v>
      </c>
      <c r="E1828" s="6" t="s">
        <v>21</v>
      </c>
      <c r="F1828" s="6" t="s">
        <v>29</v>
      </c>
      <c r="G1828" s="6">
        <v>78</v>
      </c>
      <c r="H1828" s="7">
        <v>786.38</v>
      </c>
      <c r="I1828" s="7">
        <v>61337.64</v>
      </c>
      <c r="J1828" s="8">
        <v>44993</v>
      </c>
      <c r="K1828" s="6">
        <v>67</v>
      </c>
      <c r="L1828" s="6" t="s">
        <v>41</v>
      </c>
      <c r="M1828" s="6" t="b">
        <v>0</v>
      </c>
      <c r="N1828" s="6">
        <v>13.18</v>
      </c>
      <c r="O1828" s="6" t="s">
        <v>56</v>
      </c>
      <c r="P1828" s="6" t="b">
        <v>1</v>
      </c>
      <c r="Q1828" s="9" t="s">
        <v>36</v>
      </c>
    </row>
    <row r="1829" spans="1:17" x14ac:dyDescent="0.25">
      <c r="A1829" s="5" t="s">
        <v>1879</v>
      </c>
      <c r="B1829" s="6" t="s">
        <v>46</v>
      </c>
      <c r="C1829" s="6" t="s">
        <v>19</v>
      </c>
      <c r="D1829" s="6" t="s">
        <v>64</v>
      </c>
      <c r="E1829" s="6" t="s">
        <v>21</v>
      </c>
      <c r="F1829" s="6" t="s">
        <v>29</v>
      </c>
      <c r="G1829" s="6">
        <v>60</v>
      </c>
      <c r="H1829" s="7">
        <v>285.24</v>
      </c>
      <c r="I1829" s="7">
        <v>17114.400000000001</v>
      </c>
      <c r="J1829" s="8">
        <v>45500</v>
      </c>
      <c r="K1829" s="6">
        <v>42</v>
      </c>
      <c r="L1829" s="6" t="s">
        <v>23</v>
      </c>
      <c r="M1829" s="6" t="b">
        <v>1</v>
      </c>
      <c r="N1829" s="6">
        <v>10.62</v>
      </c>
      <c r="O1829" s="6" t="s">
        <v>42</v>
      </c>
      <c r="P1829" s="6" t="b">
        <v>0</v>
      </c>
      <c r="Q1829" s="9" t="s">
        <v>25</v>
      </c>
    </row>
    <row r="1830" spans="1:17" x14ac:dyDescent="0.25">
      <c r="A1830" s="5" t="s">
        <v>1880</v>
      </c>
      <c r="B1830" s="6" t="s">
        <v>32</v>
      </c>
      <c r="C1830" s="6" t="s">
        <v>33</v>
      </c>
      <c r="D1830" s="6" t="s">
        <v>64</v>
      </c>
      <c r="E1830" s="6" t="s">
        <v>28</v>
      </c>
      <c r="F1830" s="6" t="s">
        <v>22</v>
      </c>
      <c r="G1830" s="6">
        <v>46</v>
      </c>
      <c r="H1830" s="7">
        <v>653.71</v>
      </c>
      <c r="I1830" s="7">
        <v>30070.66</v>
      </c>
      <c r="J1830" s="8">
        <v>45059</v>
      </c>
      <c r="K1830" s="6">
        <v>37</v>
      </c>
      <c r="L1830" s="6" t="s">
        <v>41</v>
      </c>
      <c r="M1830" s="6" t="b">
        <v>1</v>
      </c>
      <c r="N1830" s="6">
        <v>22.63</v>
      </c>
      <c r="O1830" s="6" t="s">
        <v>30</v>
      </c>
      <c r="P1830" s="6" t="b">
        <v>0</v>
      </c>
      <c r="Q1830" s="9" t="s">
        <v>25</v>
      </c>
    </row>
    <row r="1831" spans="1:17" x14ac:dyDescent="0.25">
      <c r="A1831" s="5" t="s">
        <v>1881</v>
      </c>
      <c r="B1831" s="6" t="s">
        <v>32</v>
      </c>
      <c r="C1831" s="6" t="s">
        <v>39</v>
      </c>
      <c r="D1831" s="6" t="s">
        <v>52</v>
      </c>
      <c r="E1831" s="6" t="s">
        <v>28</v>
      </c>
      <c r="F1831" s="6" t="s">
        <v>22</v>
      </c>
      <c r="G1831" s="6">
        <v>54</v>
      </c>
      <c r="H1831" s="7">
        <v>1257.82</v>
      </c>
      <c r="I1831" s="7">
        <v>67922.28</v>
      </c>
      <c r="J1831" s="8">
        <v>45575</v>
      </c>
      <c r="K1831" s="6">
        <v>42</v>
      </c>
      <c r="L1831" s="6" t="s">
        <v>49</v>
      </c>
      <c r="M1831" s="6" t="b">
        <v>1</v>
      </c>
      <c r="N1831" s="6">
        <v>9.69</v>
      </c>
      <c r="O1831" s="6" t="s">
        <v>56</v>
      </c>
      <c r="P1831" s="6" t="b">
        <v>1</v>
      </c>
      <c r="Q1831" s="9" t="s">
        <v>36</v>
      </c>
    </row>
    <row r="1832" spans="1:17" x14ac:dyDescent="0.25">
      <c r="A1832" s="5" t="s">
        <v>1882</v>
      </c>
      <c r="B1832" s="6" t="s">
        <v>72</v>
      </c>
      <c r="C1832" s="6" t="s">
        <v>33</v>
      </c>
      <c r="D1832" s="6" t="s">
        <v>64</v>
      </c>
      <c r="E1832" s="6" t="s">
        <v>35</v>
      </c>
      <c r="F1832" s="6" t="s">
        <v>48</v>
      </c>
      <c r="G1832" s="6">
        <v>74</v>
      </c>
      <c r="H1832" s="7">
        <v>1481.39</v>
      </c>
      <c r="I1832" s="7">
        <v>109622.86</v>
      </c>
      <c r="J1832" s="8">
        <v>45466</v>
      </c>
      <c r="K1832" s="6">
        <v>31</v>
      </c>
      <c r="L1832" s="6" t="s">
        <v>49</v>
      </c>
      <c r="M1832" s="6" t="b">
        <v>0</v>
      </c>
      <c r="N1832" s="6">
        <v>23.63</v>
      </c>
      <c r="O1832" s="6" t="s">
        <v>24</v>
      </c>
      <c r="P1832" s="6" t="b">
        <v>1</v>
      </c>
      <c r="Q1832" s="9" t="s">
        <v>36</v>
      </c>
    </row>
    <row r="1833" spans="1:17" x14ac:dyDescent="0.25">
      <c r="A1833" s="5" t="s">
        <v>1883</v>
      </c>
      <c r="B1833" s="6" t="s">
        <v>32</v>
      </c>
      <c r="C1833" s="6" t="s">
        <v>33</v>
      </c>
      <c r="D1833" s="6" t="s">
        <v>34</v>
      </c>
      <c r="E1833" s="6" t="s">
        <v>35</v>
      </c>
      <c r="F1833" s="6" t="s">
        <v>22</v>
      </c>
      <c r="G1833" s="6">
        <v>95</v>
      </c>
      <c r="H1833" s="7">
        <v>511.04</v>
      </c>
      <c r="I1833" s="7">
        <v>48548.800000000003</v>
      </c>
      <c r="J1833" s="8">
        <v>45438</v>
      </c>
      <c r="K1833" s="6">
        <v>64</v>
      </c>
      <c r="L1833" s="6" t="s">
        <v>49</v>
      </c>
      <c r="M1833" s="6" t="b">
        <v>0</v>
      </c>
      <c r="N1833" s="6">
        <v>20.399999999999999</v>
      </c>
      <c r="O1833" s="6" t="s">
        <v>24</v>
      </c>
      <c r="P1833" s="6" t="b">
        <v>1</v>
      </c>
      <c r="Q1833" s="9" t="s">
        <v>36</v>
      </c>
    </row>
    <row r="1834" spans="1:17" x14ac:dyDescent="0.25">
      <c r="A1834" s="5" t="s">
        <v>1884</v>
      </c>
      <c r="B1834" s="6" t="s">
        <v>76</v>
      </c>
      <c r="C1834" s="6" t="s">
        <v>39</v>
      </c>
      <c r="D1834" s="6" t="s">
        <v>52</v>
      </c>
      <c r="E1834" s="6" t="s">
        <v>28</v>
      </c>
      <c r="F1834" s="6" t="s">
        <v>29</v>
      </c>
      <c r="G1834" s="6">
        <v>37</v>
      </c>
      <c r="H1834" s="7">
        <v>821.34</v>
      </c>
      <c r="I1834" s="7">
        <v>30389.58</v>
      </c>
      <c r="J1834" s="8">
        <v>45137</v>
      </c>
      <c r="K1834" s="6">
        <v>61</v>
      </c>
      <c r="L1834" s="6" t="s">
        <v>23</v>
      </c>
      <c r="M1834" s="6" t="b">
        <v>1</v>
      </c>
      <c r="N1834" s="6">
        <v>17.329999999999998</v>
      </c>
      <c r="O1834" s="6" t="s">
        <v>30</v>
      </c>
      <c r="P1834" s="6" t="b">
        <v>0</v>
      </c>
      <c r="Q1834" s="9" t="s">
        <v>36</v>
      </c>
    </row>
    <row r="1835" spans="1:17" x14ac:dyDescent="0.25">
      <c r="A1835" s="5" t="s">
        <v>1885</v>
      </c>
      <c r="B1835" s="6" t="s">
        <v>27</v>
      </c>
      <c r="C1835" s="6" t="s">
        <v>33</v>
      </c>
      <c r="D1835" s="6" t="s">
        <v>64</v>
      </c>
      <c r="E1835" s="6" t="s">
        <v>28</v>
      </c>
      <c r="F1835" s="6" t="s">
        <v>22</v>
      </c>
      <c r="G1835" s="6">
        <v>23</v>
      </c>
      <c r="H1835" s="7">
        <v>791.38</v>
      </c>
      <c r="I1835" s="7">
        <v>18201.740000000002</v>
      </c>
      <c r="J1835" s="8">
        <v>45179</v>
      </c>
      <c r="K1835" s="6">
        <v>60</v>
      </c>
      <c r="L1835" s="6" t="s">
        <v>41</v>
      </c>
      <c r="M1835" s="6" t="b">
        <v>1</v>
      </c>
      <c r="N1835" s="6">
        <v>11.06</v>
      </c>
      <c r="O1835" s="6" t="s">
        <v>24</v>
      </c>
      <c r="P1835" s="6" t="b">
        <v>1</v>
      </c>
      <c r="Q1835" s="9" t="s">
        <v>36</v>
      </c>
    </row>
    <row r="1836" spans="1:17" x14ac:dyDescent="0.25">
      <c r="A1836" s="5" t="s">
        <v>1886</v>
      </c>
      <c r="B1836" s="6" t="s">
        <v>72</v>
      </c>
      <c r="C1836" s="6" t="s">
        <v>33</v>
      </c>
      <c r="D1836" s="6" t="s">
        <v>20</v>
      </c>
      <c r="E1836" s="6" t="s">
        <v>28</v>
      </c>
      <c r="F1836" s="6" t="s">
        <v>40</v>
      </c>
      <c r="G1836" s="6">
        <v>27</v>
      </c>
      <c r="H1836" s="7">
        <v>1433.88</v>
      </c>
      <c r="I1836" s="7">
        <v>38714.76</v>
      </c>
      <c r="J1836" s="8">
        <v>44964</v>
      </c>
      <c r="K1836" s="6">
        <v>60</v>
      </c>
      <c r="L1836" s="6" t="s">
        <v>23</v>
      </c>
      <c r="M1836" s="6" t="b">
        <v>0</v>
      </c>
      <c r="N1836" s="6">
        <v>6.15</v>
      </c>
      <c r="O1836" s="6" t="s">
        <v>42</v>
      </c>
      <c r="P1836" s="6" t="b">
        <v>0</v>
      </c>
      <c r="Q1836" s="9" t="s">
        <v>36</v>
      </c>
    </row>
    <row r="1837" spans="1:17" x14ac:dyDescent="0.25">
      <c r="A1837" s="5" t="s">
        <v>1887</v>
      </c>
      <c r="B1837" s="6" t="s">
        <v>72</v>
      </c>
      <c r="C1837" s="6" t="s">
        <v>19</v>
      </c>
      <c r="D1837" s="6" t="s">
        <v>47</v>
      </c>
      <c r="E1837" s="6" t="s">
        <v>28</v>
      </c>
      <c r="F1837" s="6" t="s">
        <v>40</v>
      </c>
      <c r="G1837" s="6">
        <v>70</v>
      </c>
      <c r="H1837" s="7">
        <v>743.95</v>
      </c>
      <c r="I1837" s="7">
        <v>52076.5</v>
      </c>
      <c r="J1837" s="8">
        <v>44969</v>
      </c>
      <c r="K1837" s="6">
        <v>56</v>
      </c>
      <c r="L1837" s="6" t="s">
        <v>41</v>
      </c>
      <c r="M1837" s="6" t="b">
        <v>0</v>
      </c>
      <c r="N1837" s="6">
        <v>21.31</v>
      </c>
      <c r="O1837" s="6" t="s">
        <v>56</v>
      </c>
      <c r="P1837" s="6" t="b">
        <v>1</v>
      </c>
      <c r="Q1837" s="9" t="s">
        <v>36</v>
      </c>
    </row>
    <row r="1838" spans="1:17" x14ac:dyDescent="0.25">
      <c r="A1838" s="5" t="s">
        <v>1888</v>
      </c>
      <c r="B1838" s="6" t="s">
        <v>51</v>
      </c>
      <c r="C1838" s="6" t="s">
        <v>33</v>
      </c>
      <c r="D1838" s="6" t="s">
        <v>47</v>
      </c>
      <c r="E1838" s="6" t="s">
        <v>28</v>
      </c>
      <c r="F1838" s="6" t="s">
        <v>48</v>
      </c>
      <c r="G1838" s="6">
        <v>90</v>
      </c>
      <c r="H1838" s="7">
        <v>1063.7</v>
      </c>
      <c r="I1838" s="7">
        <v>95733</v>
      </c>
      <c r="J1838" s="8">
        <v>45555</v>
      </c>
      <c r="K1838" s="6">
        <v>29</v>
      </c>
      <c r="L1838" s="6" t="s">
        <v>23</v>
      </c>
      <c r="M1838" s="6" t="b">
        <v>1</v>
      </c>
      <c r="N1838" s="6">
        <v>2.74</v>
      </c>
      <c r="O1838" s="6" t="s">
        <v>56</v>
      </c>
      <c r="P1838" s="6" t="b">
        <v>0</v>
      </c>
      <c r="Q1838" s="9" t="s">
        <v>25</v>
      </c>
    </row>
    <row r="1839" spans="1:17" x14ac:dyDescent="0.25">
      <c r="A1839" s="5" t="s">
        <v>1889</v>
      </c>
      <c r="B1839" s="6" t="s">
        <v>38</v>
      </c>
      <c r="C1839" s="6" t="s">
        <v>19</v>
      </c>
      <c r="D1839" s="6" t="s">
        <v>47</v>
      </c>
      <c r="E1839" s="6" t="s">
        <v>21</v>
      </c>
      <c r="F1839" s="6" t="s">
        <v>29</v>
      </c>
      <c r="G1839" s="6">
        <v>66</v>
      </c>
      <c r="H1839" s="7">
        <v>1386.59</v>
      </c>
      <c r="I1839" s="7">
        <v>91514.94</v>
      </c>
      <c r="J1839" s="8">
        <v>45331</v>
      </c>
      <c r="K1839" s="6">
        <v>65</v>
      </c>
      <c r="L1839" s="6" t="s">
        <v>41</v>
      </c>
      <c r="M1839" s="6" t="b">
        <v>0</v>
      </c>
      <c r="N1839" s="6">
        <v>29.12</v>
      </c>
      <c r="O1839" s="6" t="s">
        <v>56</v>
      </c>
      <c r="P1839" s="6" t="b">
        <v>1</v>
      </c>
      <c r="Q1839" s="9" t="s">
        <v>36</v>
      </c>
    </row>
    <row r="1840" spans="1:17" x14ac:dyDescent="0.25">
      <c r="A1840" s="5" t="s">
        <v>1890</v>
      </c>
      <c r="B1840" s="6" t="s">
        <v>38</v>
      </c>
      <c r="C1840" s="6" t="s">
        <v>39</v>
      </c>
      <c r="D1840" s="6" t="s">
        <v>52</v>
      </c>
      <c r="E1840" s="6" t="s">
        <v>35</v>
      </c>
      <c r="F1840" s="6" t="s">
        <v>40</v>
      </c>
      <c r="G1840" s="6">
        <v>61</v>
      </c>
      <c r="H1840" s="7">
        <v>591.4</v>
      </c>
      <c r="I1840" s="7">
        <v>36075.4</v>
      </c>
      <c r="J1840" s="8">
        <v>44972</v>
      </c>
      <c r="K1840" s="6">
        <v>22</v>
      </c>
      <c r="L1840" s="6" t="s">
        <v>23</v>
      </c>
      <c r="M1840" s="6" t="b">
        <v>1</v>
      </c>
      <c r="N1840" s="6">
        <v>29.36</v>
      </c>
      <c r="O1840" s="6" t="s">
        <v>56</v>
      </c>
      <c r="P1840" s="6" t="b">
        <v>0</v>
      </c>
      <c r="Q1840" s="9" t="s">
        <v>36</v>
      </c>
    </row>
    <row r="1841" spans="1:17" x14ac:dyDescent="0.25">
      <c r="A1841" s="5" t="s">
        <v>1891</v>
      </c>
      <c r="B1841" s="6" t="s">
        <v>76</v>
      </c>
      <c r="C1841" s="6" t="s">
        <v>39</v>
      </c>
      <c r="D1841" s="6" t="s">
        <v>64</v>
      </c>
      <c r="E1841" s="6" t="s">
        <v>21</v>
      </c>
      <c r="F1841" s="6" t="s">
        <v>22</v>
      </c>
      <c r="G1841" s="6">
        <v>77</v>
      </c>
      <c r="H1841" s="7">
        <v>1358.08</v>
      </c>
      <c r="I1841" s="7">
        <v>104572.16</v>
      </c>
      <c r="J1841" s="8">
        <v>45380</v>
      </c>
      <c r="K1841" s="6">
        <v>19</v>
      </c>
      <c r="L1841" s="6" t="s">
        <v>41</v>
      </c>
      <c r="M1841" s="6" t="b">
        <v>1</v>
      </c>
      <c r="N1841" s="6">
        <v>3.91</v>
      </c>
      <c r="O1841" s="6" t="s">
        <v>24</v>
      </c>
      <c r="P1841" s="6" t="b">
        <v>1</v>
      </c>
      <c r="Q1841" s="9" t="s">
        <v>36</v>
      </c>
    </row>
    <row r="1842" spans="1:17" x14ac:dyDescent="0.25">
      <c r="A1842" s="5" t="s">
        <v>1892</v>
      </c>
      <c r="B1842" s="6" t="s">
        <v>46</v>
      </c>
      <c r="C1842" s="6" t="s">
        <v>19</v>
      </c>
      <c r="D1842" s="6" t="s">
        <v>52</v>
      </c>
      <c r="E1842" s="6" t="s">
        <v>21</v>
      </c>
      <c r="F1842" s="6" t="s">
        <v>40</v>
      </c>
      <c r="G1842" s="6">
        <v>51</v>
      </c>
      <c r="H1842" s="7">
        <v>1380.31</v>
      </c>
      <c r="I1842" s="7">
        <v>70395.81</v>
      </c>
      <c r="J1842" s="8">
        <v>45231</v>
      </c>
      <c r="K1842" s="6">
        <v>33</v>
      </c>
      <c r="L1842" s="6" t="s">
        <v>23</v>
      </c>
      <c r="M1842" s="6" t="b">
        <v>1</v>
      </c>
      <c r="N1842" s="6">
        <v>3.12</v>
      </c>
      <c r="O1842" s="6" t="s">
        <v>24</v>
      </c>
      <c r="P1842" s="6" t="b">
        <v>1</v>
      </c>
      <c r="Q1842" s="9" t="s">
        <v>36</v>
      </c>
    </row>
    <row r="1843" spans="1:17" x14ac:dyDescent="0.25">
      <c r="A1843" s="5" t="s">
        <v>1893</v>
      </c>
      <c r="B1843" s="6" t="s">
        <v>66</v>
      </c>
      <c r="C1843" s="6" t="s">
        <v>39</v>
      </c>
      <c r="D1843" s="6" t="s">
        <v>34</v>
      </c>
      <c r="E1843" s="6" t="s">
        <v>44</v>
      </c>
      <c r="F1843" s="6" t="s">
        <v>40</v>
      </c>
      <c r="G1843" s="6">
        <v>50</v>
      </c>
      <c r="H1843" s="7">
        <v>1399.46</v>
      </c>
      <c r="I1843" s="7">
        <v>69973</v>
      </c>
      <c r="J1843" s="8">
        <v>45159</v>
      </c>
      <c r="K1843" s="6">
        <v>47</v>
      </c>
      <c r="L1843" s="6" t="s">
        <v>49</v>
      </c>
      <c r="M1843" s="6" t="b">
        <v>0</v>
      </c>
      <c r="N1843" s="6">
        <v>12.38</v>
      </c>
      <c r="O1843" s="6" t="s">
        <v>24</v>
      </c>
      <c r="P1843" s="6" t="b">
        <v>1</v>
      </c>
      <c r="Q1843" s="9" t="s">
        <v>25</v>
      </c>
    </row>
    <row r="1844" spans="1:17" x14ac:dyDescent="0.25">
      <c r="A1844" s="5" t="s">
        <v>1894</v>
      </c>
      <c r="B1844" s="6" t="s">
        <v>66</v>
      </c>
      <c r="C1844" s="6" t="s">
        <v>33</v>
      </c>
      <c r="D1844" s="6" t="s">
        <v>20</v>
      </c>
      <c r="E1844" s="6" t="s">
        <v>21</v>
      </c>
      <c r="F1844" s="6" t="s">
        <v>48</v>
      </c>
      <c r="G1844" s="6">
        <v>19</v>
      </c>
      <c r="H1844" s="7">
        <v>442.15</v>
      </c>
      <c r="I1844" s="7">
        <v>8400.85</v>
      </c>
      <c r="J1844" s="8">
        <v>45171</v>
      </c>
      <c r="K1844" s="6">
        <v>64</v>
      </c>
      <c r="L1844" s="6" t="s">
        <v>23</v>
      </c>
      <c r="M1844" s="6" t="b">
        <v>1</v>
      </c>
      <c r="N1844" s="6">
        <v>28.91</v>
      </c>
      <c r="O1844" s="6" t="s">
        <v>42</v>
      </c>
      <c r="P1844" s="6" t="b">
        <v>0</v>
      </c>
      <c r="Q1844" s="9" t="s">
        <v>36</v>
      </c>
    </row>
    <row r="1845" spans="1:17" x14ac:dyDescent="0.25">
      <c r="A1845" s="5" t="s">
        <v>1895</v>
      </c>
      <c r="B1845" s="6" t="s">
        <v>62</v>
      </c>
      <c r="C1845" s="6" t="s">
        <v>33</v>
      </c>
      <c r="D1845" s="6" t="s">
        <v>20</v>
      </c>
      <c r="E1845" s="6" t="s">
        <v>28</v>
      </c>
      <c r="F1845" s="6" t="s">
        <v>22</v>
      </c>
      <c r="G1845" s="6">
        <v>1</v>
      </c>
      <c r="H1845" s="7">
        <v>630.52</v>
      </c>
      <c r="I1845" s="7">
        <v>630.52</v>
      </c>
      <c r="J1845" s="8">
        <v>45221</v>
      </c>
      <c r="K1845" s="6">
        <v>60</v>
      </c>
      <c r="L1845" s="6" t="s">
        <v>49</v>
      </c>
      <c r="M1845" s="6" t="b">
        <v>1</v>
      </c>
      <c r="N1845" s="6">
        <v>12.01</v>
      </c>
      <c r="O1845" s="6" t="s">
        <v>24</v>
      </c>
      <c r="P1845" s="6" t="b">
        <v>0</v>
      </c>
      <c r="Q1845" s="9" t="s">
        <v>25</v>
      </c>
    </row>
    <row r="1846" spans="1:17" x14ac:dyDescent="0.25">
      <c r="A1846" s="5" t="s">
        <v>1896</v>
      </c>
      <c r="B1846" s="6" t="s">
        <v>76</v>
      </c>
      <c r="C1846" s="6" t="s">
        <v>33</v>
      </c>
      <c r="D1846" s="6" t="s">
        <v>47</v>
      </c>
      <c r="E1846" s="6" t="s">
        <v>28</v>
      </c>
      <c r="F1846" s="6" t="s">
        <v>22</v>
      </c>
      <c r="G1846" s="6">
        <v>40</v>
      </c>
      <c r="H1846" s="7">
        <v>1312.07</v>
      </c>
      <c r="I1846" s="7">
        <v>52482.8</v>
      </c>
      <c r="J1846" s="8">
        <v>45309</v>
      </c>
      <c r="K1846" s="6">
        <v>55</v>
      </c>
      <c r="L1846" s="6" t="s">
        <v>49</v>
      </c>
      <c r="M1846" s="6" t="b">
        <v>0</v>
      </c>
      <c r="N1846" s="6">
        <v>10.91</v>
      </c>
      <c r="O1846" s="6" t="s">
        <v>24</v>
      </c>
      <c r="P1846" s="6" t="b">
        <v>1</v>
      </c>
      <c r="Q1846" s="9" t="s">
        <v>25</v>
      </c>
    </row>
    <row r="1847" spans="1:17" x14ac:dyDescent="0.25">
      <c r="A1847" s="5" t="s">
        <v>1897</v>
      </c>
      <c r="B1847" s="6" t="s">
        <v>72</v>
      </c>
      <c r="C1847" s="6" t="s">
        <v>39</v>
      </c>
      <c r="D1847" s="6" t="s">
        <v>47</v>
      </c>
      <c r="E1847" s="6" t="s">
        <v>44</v>
      </c>
      <c r="F1847" s="6" t="s">
        <v>22</v>
      </c>
      <c r="G1847" s="6">
        <v>32</v>
      </c>
      <c r="H1847" s="7">
        <v>570.78</v>
      </c>
      <c r="I1847" s="7">
        <v>18264.96</v>
      </c>
      <c r="J1847" s="8">
        <v>45084</v>
      </c>
      <c r="K1847" s="6">
        <v>62</v>
      </c>
      <c r="L1847" s="6" t="s">
        <v>41</v>
      </c>
      <c r="M1847" s="6" t="b">
        <v>1</v>
      </c>
      <c r="N1847" s="6">
        <v>21.11</v>
      </c>
      <c r="O1847" s="6" t="s">
        <v>56</v>
      </c>
      <c r="P1847" s="6" t="b">
        <v>0</v>
      </c>
      <c r="Q1847" s="9" t="s">
        <v>25</v>
      </c>
    </row>
    <row r="1848" spans="1:17" x14ac:dyDescent="0.25">
      <c r="A1848" s="5" t="s">
        <v>1898</v>
      </c>
      <c r="B1848" s="6" t="s">
        <v>76</v>
      </c>
      <c r="C1848" s="6" t="s">
        <v>33</v>
      </c>
      <c r="D1848" s="6" t="s">
        <v>47</v>
      </c>
      <c r="E1848" s="6" t="s">
        <v>44</v>
      </c>
      <c r="F1848" s="6" t="s">
        <v>48</v>
      </c>
      <c r="G1848" s="6">
        <v>22</v>
      </c>
      <c r="H1848" s="7">
        <v>920.37</v>
      </c>
      <c r="I1848" s="7">
        <v>20248.14</v>
      </c>
      <c r="J1848" s="8">
        <v>45331</v>
      </c>
      <c r="K1848" s="6">
        <v>68</v>
      </c>
      <c r="L1848" s="6" t="s">
        <v>49</v>
      </c>
      <c r="M1848" s="6" t="b">
        <v>1</v>
      </c>
      <c r="N1848" s="6">
        <v>5.36</v>
      </c>
      <c r="O1848" s="6" t="s">
        <v>24</v>
      </c>
      <c r="P1848" s="6" t="b">
        <v>1</v>
      </c>
      <c r="Q1848" s="9" t="s">
        <v>25</v>
      </c>
    </row>
    <row r="1849" spans="1:17" x14ac:dyDescent="0.25">
      <c r="A1849" s="5" t="s">
        <v>1899</v>
      </c>
      <c r="B1849" s="6" t="s">
        <v>76</v>
      </c>
      <c r="C1849" s="6" t="s">
        <v>39</v>
      </c>
      <c r="D1849" s="6" t="s">
        <v>64</v>
      </c>
      <c r="E1849" s="6" t="s">
        <v>44</v>
      </c>
      <c r="F1849" s="6" t="s">
        <v>22</v>
      </c>
      <c r="G1849" s="6">
        <v>93</v>
      </c>
      <c r="H1849" s="7">
        <v>221.18</v>
      </c>
      <c r="I1849" s="7">
        <v>20569.740000000002</v>
      </c>
      <c r="J1849" s="8">
        <v>44927</v>
      </c>
      <c r="K1849" s="6">
        <v>59</v>
      </c>
      <c r="L1849" s="6" t="s">
        <v>49</v>
      </c>
      <c r="M1849" s="6" t="b">
        <v>1</v>
      </c>
      <c r="N1849" s="6">
        <v>10.9</v>
      </c>
      <c r="O1849" s="6" t="s">
        <v>30</v>
      </c>
      <c r="P1849" s="6" t="b">
        <v>0</v>
      </c>
      <c r="Q1849" s="9" t="s">
        <v>25</v>
      </c>
    </row>
    <row r="1850" spans="1:17" x14ac:dyDescent="0.25">
      <c r="A1850" s="5" t="s">
        <v>1900</v>
      </c>
      <c r="B1850" s="6" t="s">
        <v>76</v>
      </c>
      <c r="C1850" s="6" t="s">
        <v>33</v>
      </c>
      <c r="D1850" s="6" t="s">
        <v>34</v>
      </c>
      <c r="E1850" s="6" t="s">
        <v>44</v>
      </c>
      <c r="F1850" s="6" t="s">
        <v>22</v>
      </c>
      <c r="G1850" s="6">
        <v>66</v>
      </c>
      <c r="H1850" s="7">
        <v>131.6</v>
      </c>
      <c r="I1850" s="7">
        <v>8685.6</v>
      </c>
      <c r="J1850" s="8">
        <v>45143</v>
      </c>
      <c r="K1850" s="6">
        <v>41</v>
      </c>
      <c r="L1850" s="6" t="s">
        <v>41</v>
      </c>
      <c r="M1850" s="6" t="b">
        <v>0</v>
      </c>
      <c r="N1850" s="6">
        <v>8.74</v>
      </c>
      <c r="O1850" s="6" t="s">
        <v>30</v>
      </c>
      <c r="P1850" s="6" t="b">
        <v>1</v>
      </c>
      <c r="Q1850" s="9" t="s">
        <v>36</v>
      </c>
    </row>
    <row r="1851" spans="1:17" x14ac:dyDescent="0.25">
      <c r="A1851" s="5" t="s">
        <v>1901</v>
      </c>
      <c r="B1851" s="6" t="s">
        <v>38</v>
      </c>
      <c r="C1851" s="6" t="s">
        <v>19</v>
      </c>
      <c r="D1851" s="6" t="s">
        <v>34</v>
      </c>
      <c r="E1851" s="6" t="s">
        <v>44</v>
      </c>
      <c r="F1851" s="6" t="s">
        <v>40</v>
      </c>
      <c r="G1851" s="6">
        <v>40</v>
      </c>
      <c r="H1851" s="7">
        <v>647.39</v>
      </c>
      <c r="I1851" s="7">
        <v>25895.599999999999</v>
      </c>
      <c r="J1851" s="8">
        <v>45433</v>
      </c>
      <c r="K1851" s="6">
        <v>68</v>
      </c>
      <c r="L1851" s="6" t="s">
        <v>23</v>
      </c>
      <c r="M1851" s="6" t="b">
        <v>0</v>
      </c>
      <c r="N1851" s="6">
        <v>18.05</v>
      </c>
      <c r="O1851" s="6" t="s">
        <v>56</v>
      </c>
      <c r="P1851" s="6" t="b">
        <v>0</v>
      </c>
      <c r="Q1851" s="9" t="s">
        <v>25</v>
      </c>
    </row>
    <row r="1852" spans="1:17" x14ac:dyDescent="0.25">
      <c r="A1852" s="5" t="s">
        <v>1902</v>
      </c>
      <c r="B1852" s="6" t="s">
        <v>76</v>
      </c>
      <c r="C1852" s="6" t="s">
        <v>39</v>
      </c>
      <c r="D1852" s="6" t="s">
        <v>34</v>
      </c>
      <c r="E1852" s="6" t="s">
        <v>21</v>
      </c>
      <c r="F1852" s="6" t="s">
        <v>40</v>
      </c>
      <c r="G1852" s="6">
        <v>38</v>
      </c>
      <c r="H1852" s="7">
        <v>889.43</v>
      </c>
      <c r="I1852" s="7">
        <v>33798.339999999997</v>
      </c>
      <c r="J1852" s="8">
        <v>45507</v>
      </c>
      <c r="K1852" s="6">
        <v>47</v>
      </c>
      <c r="L1852" s="6" t="s">
        <v>23</v>
      </c>
      <c r="M1852" s="6" t="b">
        <v>1</v>
      </c>
      <c r="N1852" s="6">
        <v>4.88</v>
      </c>
      <c r="O1852" s="6" t="s">
        <v>24</v>
      </c>
      <c r="P1852" s="6" t="b">
        <v>0</v>
      </c>
      <c r="Q1852" s="9" t="s">
        <v>25</v>
      </c>
    </row>
    <row r="1853" spans="1:17" x14ac:dyDescent="0.25">
      <c r="A1853" s="5" t="s">
        <v>1903</v>
      </c>
      <c r="B1853" s="6" t="s">
        <v>27</v>
      </c>
      <c r="C1853" s="6" t="s">
        <v>39</v>
      </c>
      <c r="D1853" s="6" t="s">
        <v>34</v>
      </c>
      <c r="E1853" s="6" t="s">
        <v>44</v>
      </c>
      <c r="F1853" s="6" t="s">
        <v>22</v>
      </c>
      <c r="G1853" s="6">
        <v>48</v>
      </c>
      <c r="H1853" s="7">
        <v>619.41</v>
      </c>
      <c r="I1853" s="7">
        <v>29731.68</v>
      </c>
      <c r="J1853" s="8">
        <v>44956</v>
      </c>
      <c r="K1853" s="6">
        <v>54</v>
      </c>
      <c r="L1853" s="6" t="s">
        <v>49</v>
      </c>
      <c r="M1853" s="6" t="b">
        <v>0</v>
      </c>
      <c r="N1853" s="6">
        <v>16.46</v>
      </c>
      <c r="O1853" s="6" t="s">
        <v>30</v>
      </c>
      <c r="P1853" s="6" t="b">
        <v>0</v>
      </c>
      <c r="Q1853" s="9" t="s">
        <v>36</v>
      </c>
    </row>
    <row r="1854" spans="1:17" x14ac:dyDescent="0.25">
      <c r="A1854" s="5" t="s">
        <v>1904</v>
      </c>
      <c r="B1854" s="6" t="s">
        <v>66</v>
      </c>
      <c r="C1854" s="6" t="s">
        <v>33</v>
      </c>
      <c r="D1854" s="6" t="s">
        <v>47</v>
      </c>
      <c r="E1854" s="6" t="s">
        <v>21</v>
      </c>
      <c r="F1854" s="6" t="s">
        <v>29</v>
      </c>
      <c r="G1854" s="6">
        <v>55</v>
      </c>
      <c r="H1854" s="7">
        <v>887.72</v>
      </c>
      <c r="I1854" s="7">
        <v>48824.6</v>
      </c>
      <c r="J1854" s="8">
        <v>45553</v>
      </c>
      <c r="K1854" s="6">
        <v>56</v>
      </c>
      <c r="L1854" s="6" t="s">
        <v>23</v>
      </c>
      <c r="M1854" s="6" t="b">
        <v>1</v>
      </c>
      <c r="N1854" s="6">
        <v>25.73</v>
      </c>
      <c r="O1854" s="6" t="s">
        <v>30</v>
      </c>
      <c r="P1854" s="6" t="b">
        <v>0</v>
      </c>
      <c r="Q1854" s="9" t="s">
        <v>25</v>
      </c>
    </row>
    <row r="1855" spans="1:17" x14ac:dyDescent="0.25">
      <c r="A1855" s="5" t="s">
        <v>1905</v>
      </c>
      <c r="B1855" s="6" t="s">
        <v>62</v>
      </c>
      <c r="C1855" s="6" t="s">
        <v>39</v>
      </c>
      <c r="D1855" s="6" t="s">
        <v>20</v>
      </c>
      <c r="E1855" s="6" t="s">
        <v>35</v>
      </c>
      <c r="F1855" s="6" t="s">
        <v>29</v>
      </c>
      <c r="G1855" s="6">
        <v>75</v>
      </c>
      <c r="H1855" s="7">
        <v>796.87</v>
      </c>
      <c r="I1855" s="7">
        <v>59765.25</v>
      </c>
      <c r="J1855" s="8">
        <v>45446</v>
      </c>
      <c r="K1855" s="6">
        <v>28</v>
      </c>
      <c r="L1855" s="6" t="s">
        <v>49</v>
      </c>
      <c r="M1855" s="6" t="b">
        <v>1</v>
      </c>
      <c r="N1855" s="6">
        <v>15.43</v>
      </c>
      <c r="O1855" s="6" t="s">
        <v>42</v>
      </c>
      <c r="P1855" s="6" t="b">
        <v>0</v>
      </c>
      <c r="Q1855" s="9" t="s">
        <v>36</v>
      </c>
    </row>
    <row r="1856" spans="1:17" x14ac:dyDescent="0.25">
      <c r="A1856" s="5" t="s">
        <v>1906</v>
      </c>
      <c r="B1856" s="6" t="s">
        <v>27</v>
      </c>
      <c r="C1856" s="6" t="s">
        <v>39</v>
      </c>
      <c r="D1856" s="6" t="s">
        <v>47</v>
      </c>
      <c r="E1856" s="6" t="s">
        <v>44</v>
      </c>
      <c r="F1856" s="6" t="s">
        <v>22</v>
      </c>
      <c r="G1856" s="6">
        <v>81</v>
      </c>
      <c r="H1856" s="7">
        <v>1044.28</v>
      </c>
      <c r="I1856" s="7">
        <v>84586.68</v>
      </c>
      <c r="J1856" s="8">
        <v>45201</v>
      </c>
      <c r="K1856" s="6">
        <v>31</v>
      </c>
      <c r="L1856" s="6" t="s">
        <v>23</v>
      </c>
      <c r="M1856" s="6" t="b">
        <v>0</v>
      </c>
      <c r="N1856" s="6">
        <v>20.5</v>
      </c>
      <c r="O1856" s="6" t="s">
        <v>56</v>
      </c>
      <c r="P1856" s="6" t="b">
        <v>1</v>
      </c>
      <c r="Q1856" s="9" t="s">
        <v>36</v>
      </c>
    </row>
    <row r="1857" spans="1:17" x14ac:dyDescent="0.25">
      <c r="A1857" s="5" t="s">
        <v>1907</v>
      </c>
      <c r="B1857" s="6" t="s">
        <v>62</v>
      </c>
      <c r="C1857" s="6" t="s">
        <v>19</v>
      </c>
      <c r="D1857" s="6" t="s">
        <v>34</v>
      </c>
      <c r="E1857" s="6" t="s">
        <v>44</v>
      </c>
      <c r="F1857" s="6" t="s">
        <v>29</v>
      </c>
      <c r="G1857" s="6">
        <v>55</v>
      </c>
      <c r="H1857" s="7">
        <v>991.82</v>
      </c>
      <c r="I1857" s="7">
        <v>54550.1</v>
      </c>
      <c r="J1857" s="8">
        <v>45418</v>
      </c>
      <c r="K1857" s="6">
        <v>40</v>
      </c>
      <c r="L1857" s="6" t="s">
        <v>23</v>
      </c>
      <c r="M1857" s="6" t="b">
        <v>0</v>
      </c>
      <c r="N1857" s="6">
        <v>2.2599999999999998</v>
      </c>
      <c r="O1857" s="6" t="s">
        <v>30</v>
      </c>
      <c r="P1857" s="6" t="b">
        <v>0</v>
      </c>
      <c r="Q1857" s="9" t="s">
        <v>36</v>
      </c>
    </row>
    <row r="1858" spans="1:17" x14ac:dyDescent="0.25">
      <c r="A1858" s="5" t="s">
        <v>1908</v>
      </c>
      <c r="B1858" s="6" t="s">
        <v>51</v>
      </c>
      <c r="C1858" s="6" t="s">
        <v>19</v>
      </c>
      <c r="D1858" s="6" t="s">
        <v>47</v>
      </c>
      <c r="E1858" s="6" t="s">
        <v>21</v>
      </c>
      <c r="F1858" s="6" t="s">
        <v>48</v>
      </c>
      <c r="G1858" s="6">
        <v>51</v>
      </c>
      <c r="H1858" s="7">
        <v>665.16</v>
      </c>
      <c r="I1858" s="7">
        <v>33923.160000000003</v>
      </c>
      <c r="J1858" s="8">
        <v>44962</v>
      </c>
      <c r="K1858" s="6">
        <v>33</v>
      </c>
      <c r="L1858" s="6" t="s">
        <v>23</v>
      </c>
      <c r="M1858" s="6" t="b">
        <v>1</v>
      </c>
      <c r="N1858" s="6">
        <v>13.47</v>
      </c>
      <c r="O1858" s="6" t="s">
        <v>30</v>
      </c>
      <c r="P1858" s="6" t="b">
        <v>0</v>
      </c>
      <c r="Q1858" s="9" t="s">
        <v>36</v>
      </c>
    </row>
    <row r="1859" spans="1:17" x14ac:dyDescent="0.25">
      <c r="A1859" s="5" t="s">
        <v>1909</v>
      </c>
      <c r="B1859" s="6" t="s">
        <v>62</v>
      </c>
      <c r="C1859" s="6" t="s">
        <v>33</v>
      </c>
      <c r="D1859" s="6" t="s">
        <v>34</v>
      </c>
      <c r="E1859" s="6" t="s">
        <v>35</v>
      </c>
      <c r="F1859" s="6" t="s">
        <v>40</v>
      </c>
      <c r="G1859" s="6">
        <v>60</v>
      </c>
      <c r="H1859" s="7">
        <v>666.24</v>
      </c>
      <c r="I1859" s="7">
        <v>39974.400000000001</v>
      </c>
      <c r="J1859" s="8">
        <v>45237</v>
      </c>
      <c r="K1859" s="6">
        <v>67</v>
      </c>
      <c r="L1859" s="6" t="s">
        <v>49</v>
      </c>
      <c r="M1859" s="6" t="b">
        <v>0</v>
      </c>
      <c r="N1859" s="6">
        <v>2.85</v>
      </c>
      <c r="O1859" s="6" t="s">
        <v>56</v>
      </c>
      <c r="P1859" s="6" t="b">
        <v>0</v>
      </c>
      <c r="Q1859" s="9" t="s">
        <v>25</v>
      </c>
    </row>
    <row r="1860" spans="1:17" x14ac:dyDescent="0.25">
      <c r="A1860" s="5" t="s">
        <v>1910</v>
      </c>
      <c r="B1860" s="6" t="s">
        <v>66</v>
      </c>
      <c r="C1860" s="6" t="s">
        <v>19</v>
      </c>
      <c r="D1860" s="6" t="s">
        <v>52</v>
      </c>
      <c r="E1860" s="6" t="s">
        <v>21</v>
      </c>
      <c r="F1860" s="6" t="s">
        <v>48</v>
      </c>
      <c r="G1860" s="6">
        <v>8</v>
      </c>
      <c r="H1860" s="7">
        <v>254.13</v>
      </c>
      <c r="I1860" s="7">
        <v>2033.04</v>
      </c>
      <c r="J1860" s="8">
        <v>44970</v>
      </c>
      <c r="K1860" s="6">
        <v>38</v>
      </c>
      <c r="L1860" s="6" t="s">
        <v>41</v>
      </c>
      <c r="M1860" s="6" t="b">
        <v>0</v>
      </c>
      <c r="N1860" s="6">
        <v>17.98</v>
      </c>
      <c r="O1860" s="6" t="s">
        <v>24</v>
      </c>
      <c r="P1860" s="6" t="b">
        <v>0</v>
      </c>
      <c r="Q1860" s="9" t="s">
        <v>25</v>
      </c>
    </row>
    <row r="1861" spans="1:17" x14ac:dyDescent="0.25">
      <c r="A1861" s="5" t="s">
        <v>1911</v>
      </c>
      <c r="B1861" s="6" t="s">
        <v>66</v>
      </c>
      <c r="C1861" s="6" t="s">
        <v>33</v>
      </c>
      <c r="D1861" s="6" t="s">
        <v>20</v>
      </c>
      <c r="E1861" s="6" t="s">
        <v>21</v>
      </c>
      <c r="F1861" s="6" t="s">
        <v>40</v>
      </c>
      <c r="G1861" s="6">
        <v>86</v>
      </c>
      <c r="H1861" s="7">
        <v>794.2</v>
      </c>
      <c r="I1861" s="7">
        <v>68301.2</v>
      </c>
      <c r="J1861" s="8">
        <v>45081</v>
      </c>
      <c r="K1861" s="6">
        <v>21</v>
      </c>
      <c r="L1861" s="6" t="s">
        <v>23</v>
      </c>
      <c r="M1861" s="6" t="b">
        <v>0</v>
      </c>
      <c r="N1861" s="6">
        <v>8.43</v>
      </c>
      <c r="O1861" s="6" t="s">
        <v>56</v>
      </c>
      <c r="P1861" s="6" t="b">
        <v>1</v>
      </c>
      <c r="Q1861" s="9" t="s">
        <v>25</v>
      </c>
    </row>
    <row r="1862" spans="1:17" x14ac:dyDescent="0.25">
      <c r="A1862" s="5" t="s">
        <v>1912</v>
      </c>
      <c r="B1862" s="6" t="s">
        <v>76</v>
      </c>
      <c r="C1862" s="6" t="s">
        <v>33</v>
      </c>
      <c r="D1862" s="6" t="s">
        <v>52</v>
      </c>
      <c r="E1862" s="6" t="s">
        <v>44</v>
      </c>
      <c r="F1862" s="6" t="s">
        <v>29</v>
      </c>
      <c r="G1862" s="6">
        <v>68</v>
      </c>
      <c r="H1862" s="7">
        <v>901.41</v>
      </c>
      <c r="I1862" s="7">
        <v>61295.88</v>
      </c>
      <c r="J1862" s="8">
        <v>45003</v>
      </c>
      <c r="K1862" s="6">
        <v>50</v>
      </c>
      <c r="L1862" s="6" t="s">
        <v>23</v>
      </c>
      <c r="M1862" s="6" t="b">
        <v>1</v>
      </c>
      <c r="N1862" s="6">
        <v>8.6199999999999992</v>
      </c>
      <c r="O1862" s="6" t="s">
        <v>42</v>
      </c>
      <c r="P1862" s="6" t="b">
        <v>0</v>
      </c>
      <c r="Q1862" s="9" t="s">
        <v>36</v>
      </c>
    </row>
    <row r="1863" spans="1:17" x14ac:dyDescent="0.25">
      <c r="A1863" s="5" t="s">
        <v>1913</v>
      </c>
      <c r="B1863" s="6" t="s">
        <v>18</v>
      </c>
      <c r="C1863" s="6" t="s">
        <v>33</v>
      </c>
      <c r="D1863" s="6" t="s">
        <v>64</v>
      </c>
      <c r="E1863" s="6" t="s">
        <v>28</v>
      </c>
      <c r="F1863" s="6" t="s">
        <v>29</v>
      </c>
      <c r="G1863" s="6">
        <v>75</v>
      </c>
      <c r="H1863" s="7">
        <v>740.91</v>
      </c>
      <c r="I1863" s="7">
        <v>55568.25</v>
      </c>
      <c r="J1863" s="8">
        <v>45516</v>
      </c>
      <c r="K1863" s="6">
        <v>64</v>
      </c>
      <c r="L1863" s="6" t="s">
        <v>23</v>
      </c>
      <c r="M1863" s="6" t="b">
        <v>1</v>
      </c>
      <c r="N1863" s="6">
        <v>2.2999999999999998</v>
      </c>
      <c r="O1863" s="6" t="s">
        <v>42</v>
      </c>
      <c r="P1863" s="6" t="b">
        <v>0</v>
      </c>
      <c r="Q1863" s="9" t="s">
        <v>36</v>
      </c>
    </row>
    <row r="1864" spans="1:17" x14ac:dyDescent="0.25">
      <c r="A1864" s="5" t="s">
        <v>1914</v>
      </c>
      <c r="B1864" s="6" t="s">
        <v>51</v>
      </c>
      <c r="C1864" s="6" t="s">
        <v>39</v>
      </c>
      <c r="D1864" s="6" t="s">
        <v>47</v>
      </c>
      <c r="E1864" s="6" t="s">
        <v>28</v>
      </c>
      <c r="F1864" s="6" t="s">
        <v>22</v>
      </c>
      <c r="G1864" s="6">
        <v>72</v>
      </c>
      <c r="H1864" s="7">
        <v>522.28</v>
      </c>
      <c r="I1864" s="7">
        <v>37604.160000000003</v>
      </c>
      <c r="J1864" s="8">
        <v>45539</v>
      </c>
      <c r="K1864" s="6">
        <v>31</v>
      </c>
      <c r="L1864" s="6" t="s">
        <v>49</v>
      </c>
      <c r="M1864" s="6" t="b">
        <v>0</v>
      </c>
      <c r="N1864" s="6">
        <v>9.31</v>
      </c>
      <c r="O1864" s="6" t="s">
        <v>42</v>
      </c>
      <c r="P1864" s="6" t="b">
        <v>1</v>
      </c>
      <c r="Q1864" s="9" t="s">
        <v>36</v>
      </c>
    </row>
    <row r="1865" spans="1:17" x14ac:dyDescent="0.25">
      <c r="A1865" s="5" t="s">
        <v>1915</v>
      </c>
      <c r="B1865" s="6" t="s">
        <v>72</v>
      </c>
      <c r="C1865" s="6" t="s">
        <v>19</v>
      </c>
      <c r="D1865" s="6" t="s">
        <v>64</v>
      </c>
      <c r="E1865" s="6" t="s">
        <v>21</v>
      </c>
      <c r="F1865" s="6" t="s">
        <v>29</v>
      </c>
      <c r="G1865" s="6">
        <v>9</v>
      </c>
      <c r="H1865" s="7">
        <v>1096.3900000000001</v>
      </c>
      <c r="I1865" s="7">
        <v>9867.51</v>
      </c>
      <c r="J1865" s="8">
        <v>45364</v>
      </c>
      <c r="K1865" s="6">
        <v>36</v>
      </c>
      <c r="L1865" s="6" t="s">
        <v>41</v>
      </c>
      <c r="M1865" s="6" t="b">
        <v>1</v>
      </c>
      <c r="N1865" s="6">
        <v>15.2</v>
      </c>
      <c r="O1865" s="6" t="s">
        <v>30</v>
      </c>
      <c r="P1865" s="6" t="b">
        <v>1</v>
      </c>
      <c r="Q1865" s="9" t="s">
        <v>25</v>
      </c>
    </row>
    <row r="1866" spans="1:17" x14ac:dyDescent="0.25">
      <c r="A1866" s="5" t="s">
        <v>1916</v>
      </c>
      <c r="B1866" s="6" t="s">
        <v>32</v>
      </c>
      <c r="C1866" s="6" t="s">
        <v>33</v>
      </c>
      <c r="D1866" s="6" t="s">
        <v>47</v>
      </c>
      <c r="E1866" s="6" t="s">
        <v>44</v>
      </c>
      <c r="F1866" s="6" t="s">
        <v>29</v>
      </c>
      <c r="G1866" s="6">
        <v>90</v>
      </c>
      <c r="H1866" s="7">
        <v>158.26</v>
      </c>
      <c r="I1866" s="7">
        <v>14243.4</v>
      </c>
      <c r="J1866" s="8">
        <v>45358</v>
      </c>
      <c r="K1866" s="6">
        <v>22</v>
      </c>
      <c r="L1866" s="6" t="s">
        <v>49</v>
      </c>
      <c r="M1866" s="6" t="b">
        <v>1</v>
      </c>
      <c r="N1866" s="6">
        <v>17.54</v>
      </c>
      <c r="O1866" s="6" t="s">
        <v>24</v>
      </c>
      <c r="P1866" s="6" t="b">
        <v>0</v>
      </c>
      <c r="Q1866" s="9" t="s">
        <v>36</v>
      </c>
    </row>
    <row r="1867" spans="1:17" x14ac:dyDescent="0.25">
      <c r="A1867" s="5" t="s">
        <v>1917</v>
      </c>
      <c r="B1867" s="6" t="s">
        <v>62</v>
      </c>
      <c r="C1867" s="6" t="s">
        <v>19</v>
      </c>
      <c r="D1867" s="6" t="s">
        <v>52</v>
      </c>
      <c r="E1867" s="6" t="s">
        <v>35</v>
      </c>
      <c r="F1867" s="6" t="s">
        <v>22</v>
      </c>
      <c r="G1867" s="6">
        <v>2</v>
      </c>
      <c r="H1867" s="7">
        <v>1375.94</v>
      </c>
      <c r="I1867" s="7">
        <v>2751.88</v>
      </c>
      <c r="J1867" s="8">
        <v>45468</v>
      </c>
      <c r="K1867" s="6">
        <v>53</v>
      </c>
      <c r="L1867" s="6" t="s">
        <v>23</v>
      </c>
      <c r="M1867" s="6" t="b">
        <v>0</v>
      </c>
      <c r="N1867" s="6">
        <v>2</v>
      </c>
      <c r="O1867" s="6" t="s">
        <v>42</v>
      </c>
      <c r="P1867" s="6" t="b">
        <v>1</v>
      </c>
      <c r="Q1867" s="9" t="s">
        <v>25</v>
      </c>
    </row>
    <row r="1868" spans="1:17" x14ac:dyDescent="0.25">
      <c r="A1868" s="5" t="s">
        <v>1918</v>
      </c>
      <c r="B1868" s="6" t="s">
        <v>18</v>
      </c>
      <c r="C1868" s="6" t="s">
        <v>33</v>
      </c>
      <c r="D1868" s="6" t="s">
        <v>34</v>
      </c>
      <c r="E1868" s="6" t="s">
        <v>28</v>
      </c>
      <c r="F1868" s="6" t="s">
        <v>22</v>
      </c>
      <c r="G1868" s="6">
        <v>80</v>
      </c>
      <c r="H1868" s="7">
        <v>79.930000000000007</v>
      </c>
      <c r="I1868" s="7">
        <v>6394.4</v>
      </c>
      <c r="J1868" s="8">
        <v>44965</v>
      </c>
      <c r="K1868" s="6">
        <v>48</v>
      </c>
      <c r="L1868" s="6" t="s">
        <v>49</v>
      </c>
      <c r="M1868" s="6" t="b">
        <v>1</v>
      </c>
      <c r="N1868" s="6">
        <v>19.54</v>
      </c>
      <c r="O1868" s="6" t="s">
        <v>56</v>
      </c>
      <c r="P1868" s="6" t="b">
        <v>0</v>
      </c>
      <c r="Q1868" s="9" t="s">
        <v>25</v>
      </c>
    </row>
    <row r="1869" spans="1:17" x14ac:dyDescent="0.25">
      <c r="A1869" s="5" t="s">
        <v>1919</v>
      </c>
      <c r="B1869" s="6" t="s">
        <v>76</v>
      </c>
      <c r="C1869" s="6" t="s">
        <v>19</v>
      </c>
      <c r="D1869" s="6" t="s">
        <v>34</v>
      </c>
      <c r="E1869" s="6" t="s">
        <v>35</v>
      </c>
      <c r="F1869" s="6" t="s">
        <v>40</v>
      </c>
      <c r="G1869" s="6">
        <v>95</v>
      </c>
      <c r="H1869" s="7">
        <v>1445.41</v>
      </c>
      <c r="I1869" s="7">
        <v>137313.95000000001</v>
      </c>
      <c r="J1869" s="8">
        <v>45165</v>
      </c>
      <c r="K1869" s="6">
        <v>62</v>
      </c>
      <c r="L1869" s="6" t="s">
        <v>23</v>
      </c>
      <c r="M1869" s="6" t="b">
        <v>0</v>
      </c>
      <c r="N1869" s="6">
        <v>14.67</v>
      </c>
      <c r="O1869" s="6" t="s">
        <v>42</v>
      </c>
      <c r="P1869" s="6" t="b">
        <v>0</v>
      </c>
      <c r="Q1869" s="9" t="s">
        <v>36</v>
      </c>
    </row>
    <row r="1870" spans="1:17" x14ac:dyDescent="0.25">
      <c r="A1870" s="5" t="s">
        <v>1920</v>
      </c>
      <c r="B1870" s="6" t="s">
        <v>38</v>
      </c>
      <c r="C1870" s="6" t="s">
        <v>19</v>
      </c>
      <c r="D1870" s="6" t="s">
        <v>47</v>
      </c>
      <c r="E1870" s="6" t="s">
        <v>28</v>
      </c>
      <c r="F1870" s="6" t="s">
        <v>29</v>
      </c>
      <c r="G1870" s="6">
        <v>70</v>
      </c>
      <c r="H1870" s="7">
        <v>720.42</v>
      </c>
      <c r="I1870" s="7">
        <v>50429.4</v>
      </c>
      <c r="J1870" s="8">
        <v>44939</v>
      </c>
      <c r="K1870" s="6">
        <v>35</v>
      </c>
      <c r="L1870" s="6" t="s">
        <v>23</v>
      </c>
      <c r="M1870" s="6" t="b">
        <v>1</v>
      </c>
      <c r="N1870" s="6">
        <v>16.11</v>
      </c>
      <c r="O1870" s="6" t="s">
        <v>30</v>
      </c>
      <c r="P1870" s="6" t="b">
        <v>1</v>
      </c>
      <c r="Q1870" s="9" t="s">
        <v>36</v>
      </c>
    </row>
    <row r="1871" spans="1:17" x14ac:dyDescent="0.25">
      <c r="A1871" s="5" t="s">
        <v>1921</v>
      </c>
      <c r="B1871" s="6" t="s">
        <v>72</v>
      </c>
      <c r="C1871" s="6" t="s">
        <v>33</v>
      </c>
      <c r="D1871" s="6" t="s">
        <v>34</v>
      </c>
      <c r="E1871" s="6" t="s">
        <v>44</v>
      </c>
      <c r="F1871" s="6" t="s">
        <v>40</v>
      </c>
      <c r="G1871" s="6">
        <v>85</v>
      </c>
      <c r="H1871" s="7">
        <v>648.37</v>
      </c>
      <c r="I1871" s="7">
        <v>55111.45</v>
      </c>
      <c r="J1871" s="8">
        <v>45048</v>
      </c>
      <c r="K1871" s="6">
        <v>61</v>
      </c>
      <c r="L1871" s="6" t="s">
        <v>49</v>
      </c>
      <c r="M1871" s="6" t="b">
        <v>1</v>
      </c>
      <c r="N1871" s="6">
        <v>24.98</v>
      </c>
      <c r="O1871" s="6" t="s">
        <v>42</v>
      </c>
      <c r="P1871" s="6" t="b">
        <v>0</v>
      </c>
      <c r="Q1871" s="9" t="s">
        <v>36</v>
      </c>
    </row>
    <row r="1872" spans="1:17" x14ac:dyDescent="0.25">
      <c r="A1872" s="5" t="s">
        <v>1922</v>
      </c>
      <c r="B1872" s="6" t="s">
        <v>46</v>
      </c>
      <c r="C1872" s="6" t="s">
        <v>39</v>
      </c>
      <c r="D1872" s="6" t="s">
        <v>52</v>
      </c>
      <c r="E1872" s="6" t="s">
        <v>21</v>
      </c>
      <c r="F1872" s="6" t="s">
        <v>40</v>
      </c>
      <c r="G1872" s="6">
        <v>90</v>
      </c>
      <c r="H1872" s="7">
        <v>421.84</v>
      </c>
      <c r="I1872" s="7">
        <v>37965.599999999999</v>
      </c>
      <c r="J1872" s="8">
        <v>45070</v>
      </c>
      <c r="K1872" s="6">
        <v>48</v>
      </c>
      <c r="L1872" s="6" t="s">
        <v>23</v>
      </c>
      <c r="M1872" s="6" t="b">
        <v>0</v>
      </c>
      <c r="N1872" s="6">
        <v>10.27</v>
      </c>
      <c r="O1872" s="6" t="s">
        <v>24</v>
      </c>
      <c r="P1872" s="6" t="b">
        <v>1</v>
      </c>
      <c r="Q1872" s="9" t="s">
        <v>36</v>
      </c>
    </row>
    <row r="1873" spans="1:17" x14ac:dyDescent="0.25">
      <c r="A1873" s="5" t="s">
        <v>1923</v>
      </c>
      <c r="B1873" s="6" t="s">
        <v>18</v>
      </c>
      <c r="C1873" s="6" t="s">
        <v>19</v>
      </c>
      <c r="D1873" s="6" t="s">
        <v>34</v>
      </c>
      <c r="E1873" s="6" t="s">
        <v>35</v>
      </c>
      <c r="F1873" s="6" t="s">
        <v>48</v>
      </c>
      <c r="G1873" s="6">
        <v>59</v>
      </c>
      <c r="H1873" s="7">
        <v>64.599999999999994</v>
      </c>
      <c r="I1873" s="7">
        <v>3811.4</v>
      </c>
      <c r="J1873" s="8">
        <v>45381</v>
      </c>
      <c r="K1873" s="6">
        <v>47</v>
      </c>
      <c r="L1873" s="6" t="s">
        <v>23</v>
      </c>
      <c r="M1873" s="6" t="b">
        <v>1</v>
      </c>
      <c r="N1873" s="6">
        <v>5.22</v>
      </c>
      <c r="O1873" s="6" t="s">
        <v>42</v>
      </c>
      <c r="P1873" s="6" t="b">
        <v>1</v>
      </c>
      <c r="Q1873" s="9" t="s">
        <v>36</v>
      </c>
    </row>
    <row r="1874" spans="1:17" x14ac:dyDescent="0.25">
      <c r="A1874" s="5" t="s">
        <v>1924</v>
      </c>
      <c r="B1874" s="6" t="s">
        <v>38</v>
      </c>
      <c r="C1874" s="6" t="s">
        <v>39</v>
      </c>
      <c r="D1874" s="6" t="s">
        <v>52</v>
      </c>
      <c r="E1874" s="6" t="s">
        <v>35</v>
      </c>
      <c r="F1874" s="6" t="s">
        <v>29</v>
      </c>
      <c r="G1874" s="6">
        <v>19</v>
      </c>
      <c r="H1874" s="7">
        <v>448.45</v>
      </c>
      <c r="I1874" s="7">
        <v>8520.5499999999993</v>
      </c>
      <c r="J1874" s="8">
        <v>45294</v>
      </c>
      <c r="K1874" s="6">
        <v>38</v>
      </c>
      <c r="L1874" s="6" t="s">
        <v>41</v>
      </c>
      <c r="M1874" s="6" t="b">
        <v>0</v>
      </c>
      <c r="N1874" s="6">
        <v>16.55</v>
      </c>
      <c r="O1874" s="6" t="s">
        <v>24</v>
      </c>
      <c r="P1874" s="6" t="b">
        <v>0</v>
      </c>
      <c r="Q1874" s="9" t="s">
        <v>25</v>
      </c>
    </row>
    <row r="1875" spans="1:17" x14ac:dyDescent="0.25">
      <c r="A1875" s="5" t="s">
        <v>1925</v>
      </c>
      <c r="B1875" s="6" t="s">
        <v>51</v>
      </c>
      <c r="C1875" s="6" t="s">
        <v>39</v>
      </c>
      <c r="D1875" s="6" t="s">
        <v>64</v>
      </c>
      <c r="E1875" s="6" t="s">
        <v>21</v>
      </c>
      <c r="F1875" s="6" t="s">
        <v>29</v>
      </c>
      <c r="G1875" s="6">
        <v>28</v>
      </c>
      <c r="H1875" s="7">
        <v>208.63</v>
      </c>
      <c r="I1875" s="7">
        <v>5841.64</v>
      </c>
      <c r="J1875" s="8">
        <v>45173</v>
      </c>
      <c r="K1875" s="6">
        <v>64</v>
      </c>
      <c r="L1875" s="6" t="s">
        <v>49</v>
      </c>
      <c r="M1875" s="6" t="b">
        <v>1</v>
      </c>
      <c r="N1875" s="6">
        <v>28.35</v>
      </c>
      <c r="O1875" s="6" t="s">
        <v>24</v>
      </c>
      <c r="P1875" s="6" t="b">
        <v>0</v>
      </c>
      <c r="Q1875" s="9" t="s">
        <v>25</v>
      </c>
    </row>
    <row r="1876" spans="1:17" x14ac:dyDescent="0.25">
      <c r="A1876" s="5" t="s">
        <v>1926</v>
      </c>
      <c r="B1876" s="6" t="s">
        <v>76</v>
      </c>
      <c r="C1876" s="6" t="s">
        <v>33</v>
      </c>
      <c r="D1876" s="6" t="s">
        <v>52</v>
      </c>
      <c r="E1876" s="6" t="s">
        <v>35</v>
      </c>
      <c r="F1876" s="6" t="s">
        <v>48</v>
      </c>
      <c r="G1876" s="6">
        <v>72</v>
      </c>
      <c r="H1876" s="7">
        <v>1006.74</v>
      </c>
      <c r="I1876" s="7">
        <v>72485.279999999999</v>
      </c>
      <c r="J1876" s="8">
        <v>44971</v>
      </c>
      <c r="K1876" s="6">
        <v>47</v>
      </c>
      <c r="L1876" s="6" t="s">
        <v>49</v>
      </c>
      <c r="M1876" s="6" t="b">
        <v>1</v>
      </c>
      <c r="N1876" s="6">
        <v>15.54</v>
      </c>
      <c r="O1876" s="6" t="s">
        <v>56</v>
      </c>
      <c r="P1876" s="6" t="b">
        <v>1</v>
      </c>
      <c r="Q1876" s="9" t="s">
        <v>36</v>
      </c>
    </row>
    <row r="1877" spans="1:17" x14ac:dyDescent="0.25">
      <c r="A1877" s="5" t="s">
        <v>1927</v>
      </c>
      <c r="B1877" s="6" t="s">
        <v>72</v>
      </c>
      <c r="C1877" s="6" t="s">
        <v>33</v>
      </c>
      <c r="D1877" s="6" t="s">
        <v>20</v>
      </c>
      <c r="E1877" s="6" t="s">
        <v>28</v>
      </c>
      <c r="F1877" s="6" t="s">
        <v>40</v>
      </c>
      <c r="G1877" s="6">
        <v>14</v>
      </c>
      <c r="H1877" s="7">
        <v>512.66</v>
      </c>
      <c r="I1877" s="7">
        <v>7177.24</v>
      </c>
      <c r="J1877" s="8">
        <v>45301</v>
      </c>
      <c r="K1877" s="6">
        <v>58</v>
      </c>
      <c r="L1877" s="6" t="s">
        <v>23</v>
      </c>
      <c r="M1877" s="6" t="b">
        <v>1</v>
      </c>
      <c r="N1877" s="6">
        <v>24.96</v>
      </c>
      <c r="O1877" s="6" t="s">
        <v>24</v>
      </c>
      <c r="P1877" s="6" t="b">
        <v>0</v>
      </c>
      <c r="Q1877" s="9" t="s">
        <v>36</v>
      </c>
    </row>
    <row r="1878" spans="1:17" x14ac:dyDescent="0.25">
      <c r="A1878" s="5" t="s">
        <v>1928</v>
      </c>
      <c r="B1878" s="6" t="s">
        <v>72</v>
      </c>
      <c r="C1878" s="6" t="s">
        <v>33</v>
      </c>
      <c r="D1878" s="6" t="s">
        <v>20</v>
      </c>
      <c r="E1878" s="6" t="s">
        <v>21</v>
      </c>
      <c r="F1878" s="6" t="s">
        <v>29</v>
      </c>
      <c r="G1878" s="6">
        <v>24</v>
      </c>
      <c r="H1878" s="7">
        <v>1162.4100000000001</v>
      </c>
      <c r="I1878" s="7">
        <v>27897.84</v>
      </c>
      <c r="J1878" s="8">
        <v>45217</v>
      </c>
      <c r="K1878" s="6">
        <v>21</v>
      </c>
      <c r="L1878" s="6" t="s">
        <v>23</v>
      </c>
      <c r="M1878" s="6" t="b">
        <v>0</v>
      </c>
      <c r="N1878" s="6">
        <v>22.71</v>
      </c>
      <c r="O1878" s="6" t="s">
        <v>30</v>
      </c>
      <c r="P1878" s="6" t="b">
        <v>1</v>
      </c>
      <c r="Q1878" s="9" t="s">
        <v>36</v>
      </c>
    </row>
    <row r="1879" spans="1:17" x14ac:dyDescent="0.25">
      <c r="A1879" s="5" t="s">
        <v>1929</v>
      </c>
      <c r="B1879" s="6" t="s">
        <v>72</v>
      </c>
      <c r="C1879" s="6" t="s">
        <v>19</v>
      </c>
      <c r="D1879" s="6" t="s">
        <v>20</v>
      </c>
      <c r="E1879" s="6" t="s">
        <v>28</v>
      </c>
      <c r="F1879" s="6" t="s">
        <v>40</v>
      </c>
      <c r="G1879" s="6">
        <v>44</v>
      </c>
      <c r="H1879" s="7">
        <v>350.03</v>
      </c>
      <c r="I1879" s="7">
        <v>15401.32</v>
      </c>
      <c r="J1879" s="8">
        <v>45133</v>
      </c>
      <c r="K1879" s="6">
        <v>22</v>
      </c>
      <c r="L1879" s="6" t="s">
        <v>49</v>
      </c>
      <c r="M1879" s="6" t="b">
        <v>1</v>
      </c>
      <c r="N1879" s="6">
        <v>15.55</v>
      </c>
      <c r="O1879" s="6" t="s">
        <v>30</v>
      </c>
      <c r="P1879" s="6" t="b">
        <v>1</v>
      </c>
      <c r="Q1879" s="9" t="s">
        <v>25</v>
      </c>
    </row>
    <row r="1880" spans="1:17" x14ac:dyDescent="0.25">
      <c r="A1880" s="5" t="s">
        <v>1930</v>
      </c>
      <c r="B1880" s="6" t="s">
        <v>51</v>
      </c>
      <c r="C1880" s="6" t="s">
        <v>33</v>
      </c>
      <c r="D1880" s="6" t="s">
        <v>47</v>
      </c>
      <c r="E1880" s="6" t="s">
        <v>28</v>
      </c>
      <c r="F1880" s="6" t="s">
        <v>48</v>
      </c>
      <c r="G1880" s="6">
        <v>56</v>
      </c>
      <c r="H1880" s="7">
        <v>1355.34</v>
      </c>
      <c r="I1880" s="7">
        <v>75899.039999999994</v>
      </c>
      <c r="J1880" s="8">
        <v>45445</v>
      </c>
      <c r="K1880" s="6">
        <v>58</v>
      </c>
      <c r="L1880" s="6" t="s">
        <v>49</v>
      </c>
      <c r="M1880" s="6" t="b">
        <v>1</v>
      </c>
      <c r="N1880" s="6">
        <v>19.43</v>
      </c>
      <c r="O1880" s="6" t="s">
        <v>24</v>
      </c>
      <c r="P1880" s="6" t="b">
        <v>1</v>
      </c>
      <c r="Q1880" s="9" t="s">
        <v>25</v>
      </c>
    </row>
    <row r="1881" spans="1:17" x14ac:dyDescent="0.25">
      <c r="A1881" s="5" t="s">
        <v>1931</v>
      </c>
      <c r="B1881" s="6" t="s">
        <v>62</v>
      </c>
      <c r="C1881" s="6" t="s">
        <v>33</v>
      </c>
      <c r="D1881" s="6" t="s">
        <v>47</v>
      </c>
      <c r="E1881" s="6" t="s">
        <v>44</v>
      </c>
      <c r="F1881" s="6" t="s">
        <v>22</v>
      </c>
      <c r="G1881" s="6">
        <v>90</v>
      </c>
      <c r="H1881" s="7">
        <v>808.32</v>
      </c>
      <c r="I1881" s="7">
        <v>72748.800000000003</v>
      </c>
      <c r="J1881" s="8">
        <v>45168</v>
      </c>
      <c r="K1881" s="6">
        <v>62</v>
      </c>
      <c r="L1881" s="6" t="s">
        <v>49</v>
      </c>
      <c r="M1881" s="6" t="b">
        <v>0</v>
      </c>
      <c r="N1881" s="6">
        <v>12.2</v>
      </c>
      <c r="O1881" s="6" t="s">
        <v>24</v>
      </c>
      <c r="P1881" s="6" t="b">
        <v>1</v>
      </c>
      <c r="Q1881" s="9" t="s">
        <v>25</v>
      </c>
    </row>
    <row r="1882" spans="1:17" x14ac:dyDescent="0.25">
      <c r="A1882" s="5" t="s">
        <v>1932</v>
      </c>
      <c r="B1882" s="6" t="s">
        <v>46</v>
      </c>
      <c r="C1882" s="6" t="s">
        <v>19</v>
      </c>
      <c r="D1882" s="6" t="s">
        <v>47</v>
      </c>
      <c r="E1882" s="6" t="s">
        <v>28</v>
      </c>
      <c r="F1882" s="6" t="s">
        <v>40</v>
      </c>
      <c r="G1882" s="6">
        <v>95</v>
      </c>
      <c r="H1882" s="7">
        <v>216.03</v>
      </c>
      <c r="I1882" s="7">
        <v>20522.849999999999</v>
      </c>
      <c r="J1882" s="8">
        <v>45548</v>
      </c>
      <c r="K1882" s="6">
        <v>27</v>
      </c>
      <c r="L1882" s="6" t="s">
        <v>23</v>
      </c>
      <c r="M1882" s="6" t="b">
        <v>0</v>
      </c>
      <c r="N1882" s="6">
        <v>15.92</v>
      </c>
      <c r="O1882" s="6" t="s">
        <v>42</v>
      </c>
      <c r="P1882" s="6" t="b">
        <v>0</v>
      </c>
      <c r="Q1882" s="9" t="s">
        <v>25</v>
      </c>
    </row>
    <row r="1883" spans="1:17" x14ac:dyDescent="0.25">
      <c r="A1883" s="5" t="s">
        <v>1933</v>
      </c>
      <c r="B1883" s="6" t="s">
        <v>51</v>
      </c>
      <c r="C1883" s="6" t="s">
        <v>19</v>
      </c>
      <c r="D1883" s="6" t="s">
        <v>52</v>
      </c>
      <c r="E1883" s="6" t="s">
        <v>44</v>
      </c>
      <c r="F1883" s="6" t="s">
        <v>29</v>
      </c>
      <c r="G1883" s="6">
        <v>51</v>
      </c>
      <c r="H1883" s="7">
        <v>631.23</v>
      </c>
      <c r="I1883" s="7">
        <v>32192.73</v>
      </c>
      <c r="J1883" s="8">
        <v>45040</v>
      </c>
      <c r="K1883" s="6">
        <v>44</v>
      </c>
      <c r="L1883" s="6" t="s">
        <v>41</v>
      </c>
      <c r="M1883" s="6" t="b">
        <v>1</v>
      </c>
      <c r="N1883" s="6">
        <v>15.22</v>
      </c>
      <c r="O1883" s="6" t="s">
        <v>42</v>
      </c>
      <c r="P1883" s="6" t="b">
        <v>0</v>
      </c>
      <c r="Q1883" s="9" t="s">
        <v>36</v>
      </c>
    </row>
    <row r="1884" spans="1:17" x14ac:dyDescent="0.25">
      <c r="A1884" s="5" t="s">
        <v>1934</v>
      </c>
      <c r="B1884" s="6" t="s">
        <v>32</v>
      </c>
      <c r="C1884" s="6" t="s">
        <v>33</v>
      </c>
      <c r="D1884" s="6" t="s">
        <v>47</v>
      </c>
      <c r="E1884" s="6" t="s">
        <v>35</v>
      </c>
      <c r="F1884" s="6" t="s">
        <v>22</v>
      </c>
      <c r="G1884" s="6">
        <v>32</v>
      </c>
      <c r="H1884" s="7">
        <v>349.8</v>
      </c>
      <c r="I1884" s="7">
        <v>11193.6</v>
      </c>
      <c r="J1884" s="8">
        <v>45228</v>
      </c>
      <c r="K1884" s="6">
        <v>33</v>
      </c>
      <c r="L1884" s="6" t="s">
        <v>41</v>
      </c>
      <c r="M1884" s="6" t="b">
        <v>0</v>
      </c>
      <c r="N1884" s="6">
        <v>21.27</v>
      </c>
      <c r="O1884" s="6" t="s">
        <v>56</v>
      </c>
      <c r="P1884" s="6" t="b">
        <v>0</v>
      </c>
      <c r="Q1884" s="9" t="s">
        <v>25</v>
      </c>
    </row>
    <row r="1885" spans="1:17" x14ac:dyDescent="0.25">
      <c r="A1885" s="5" t="s">
        <v>1935</v>
      </c>
      <c r="B1885" s="6" t="s">
        <v>46</v>
      </c>
      <c r="C1885" s="6" t="s">
        <v>33</v>
      </c>
      <c r="D1885" s="6" t="s">
        <v>64</v>
      </c>
      <c r="E1885" s="6" t="s">
        <v>35</v>
      </c>
      <c r="F1885" s="6" t="s">
        <v>40</v>
      </c>
      <c r="G1885" s="6">
        <v>50</v>
      </c>
      <c r="H1885" s="7">
        <v>339.54</v>
      </c>
      <c r="I1885" s="7">
        <v>16977</v>
      </c>
      <c r="J1885" s="8">
        <v>45202</v>
      </c>
      <c r="K1885" s="6">
        <v>47</v>
      </c>
      <c r="L1885" s="6" t="s">
        <v>23</v>
      </c>
      <c r="M1885" s="6" t="b">
        <v>0</v>
      </c>
      <c r="N1885" s="6">
        <v>12.3</v>
      </c>
      <c r="O1885" s="6" t="s">
        <v>42</v>
      </c>
      <c r="P1885" s="6" t="b">
        <v>0</v>
      </c>
      <c r="Q1885" s="9" t="s">
        <v>25</v>
      </c>
    </row>
    <row r="1886" spans="1:17" x14ac:dyDescent="0.25">
      <c r="A1886" s="5" t="s">
        <v>1936</v>
      </c>
      <c r="B1886" s="6" t="s">
        <v>66</v>
      </c>
      <c r="C1886" s="6" t="s">
        <v>33</v>
      </c>
      <c r="D1886" s="6" t="s">
        <v>20</v>
      </c>
      <c r="E1886" s="6" t="s">
        <v>44</v>
      </c>
      <c r="F1886" s="6" t="s">
        <v>40</v>
      </c>
      <c r="G1886" s="6">
        <v>41</v>
      </c>
      <c r="H1886" s="7">
        <v>784.24</v>
      </c>
      <c r="I1886" s="7">
        <v>32153.84</v>
      </c>
      <c r="J1886" s="8">
        <v>45022</v>
      </c>
      <c r="K1886" s="6">
        <v>30</v>
      </c>
      <c r="L1886" s="6" t="s">
        <v>23</v>
      </c>
      <c r="M1886" s="6" t="b">
        <v>0</v>
      </c>
      <c r="N1886" s="6">
        <v>2.99</v>
      </c>
      <c r="O1886" s="6" t="s">
        <v>30</v>
      </c>
      <c r="P1886" s="6" t="b">
        <v>0</v>
      </c>
      <c r="Q1886" s="9" t="s">
        <v>36</v>
      </c>
    </row>
    <row r="1887" spans="1:17" x14ac:dyDescent="0.25">
      <c r="A1887" s="5" t="s">
        <v>1937</v>
      </c>
      <c r="B1887" s="6" t="s">
        <v>76</v>
      </c>
      <c r="C1887" s="6" t="s">
        <v>33</v>
      </c>
      <c r="D1887" s="6" t="s">
        <v>52</v>
      </c>
      <c r="E1887" s="6" t="s">
        <v>28</v>
      </c>
      <c r="F1887" s="6" t="s">
        <v>22</v>
      </c>
      <c r="G1887" s="6">
        <v>66</v>
      </c>
      <c r="H1887" s="7">
        <v>1024.24</v>
      </c>
      <c r="I1887" s="7">
        <v>67599.839999999997</v>
      </c>
      <c r="J1887" s="8">
        <v>45220</v>
      </c>
      <c r="K1887" s="6">
        <v>53</v>
      </c>
      <c r="L1887" s="6" t="s">
        <v>23</v>
      </c>
      <c r="M1887" s="6" t="b">
        <v>0</v>
      </c>
      <c r="N1887" s="6">
        <v>23.66</v>
      </c>
      <c r="O1887" s="6" t="s">
        <v>42</v>
      </c>
      <c r="P1887" s="6" t="b">
        <v>0</v>
      </c>
      <c r="Q1887" s="9" t="s">
        <v>36</v>
      </c>
    </row>
    <row r="1888" spans="1:17" x14ac:dyDescent="0.25">
      <c r="A1888" s="5" t="s">
        <v>1938</v>
      </c>
      <c r="B1888" s="6" t="s">
        <v>51</v>
      </c>
      <c r="C1888" s="6" t="s">
        <v>39</v>
      </c>
      <c r="D1888" s="6" t="s">
        <v>20</v>
      </c>
      <c r="E1888" s="6" t="s">
        <v>21</v>
      </c>
      <c r="F1888" s="6" t="s">
        <v>22</v>
      </c>
      <c r="G1888" s="6">
        <v>25</v>
      </c>
      <c r="H1888" s="7">
        <v>1371.85</v>
      </c>
      <c r="I1888" s="7">
        <v>34296.25</v>
      </c>
      <c r="J1888" s="8">
        <v>45286</v>
      </c>
      <c r="K1888" s="6">
        <v>38</v>
      </c>
      <c r="L1888" s="6" t="s">
        <v>49</v>
      </c>
      <c r="M1888" s="6" t="b">
        <v>1</v>
      </c>
      <c r="N1888" s="6">
        <v>20.55</v>
      </c>
      <c r="O1888" s="6" t="s">
        <v>56</v>
      </c>
      <c r="P1888" s="6" t="b">
        <v>1</v>
      </c>
      <c r="Q1888" s="9" t="s">
        <v>25</v>
      </c>
    </row>
    <row r="1889" spans="1:17" x14ac:dyDescent="0.25">
      <c r="A1889" s="5" t="s">
        <v>1939</v>
      </c>
      <c r="B1889" s="6" t="s">
        <v>38</v>
      </c>
      <c r="C1889" s="6" t="s">
        <v>39</v>
      </c>
      <c r="D1889" s="6" t="s">
        <v>47</v>
      </c>
      <c r="E1889" s="6" t="s">
        <v>21</v>
      </c>
      <c r="F1889" s="6" t="s">
        <v>22</v>
      </c>
      <c r="G1889" s="6">
        <v>61</v>
      </c>
      <c r="H1889" s="7">
        <v>778.13</v>
      </c>
      <c r="I1889" s="7">
        <v>47465.93</v>
      </c>
      <c r="J1889" s="8">
        <v>45214</v>
      </c>
      <c r="K1889" s="6">
        <v>62</v>
      </c>
      <c r="L1889" s="6" t="s">
        <v>23</v>
      </c>
      <c r="M1889" s="6" t="b">
        <v>0</v>
      </c>
      <c r="N1889" s="6">
        <v>28.5</v>
      </c>
      <c r="O1889" s="6" t="s">
        <v>56</v>
      </c>
      <c r="P1889" s="6" t="b">
        <v>0</v>
      </c>
      <c r="Q1889" s="9" t="s">
        <v>36</v>
      </c>
    </row>
    <row r="1890" spans="1:17" x14ac:dyDescent="0.25">
      <c r="A1890" s="5" t="s">
        <v>1940</v>
      </c>
      <c r="B1890" s="6" t="s">
        <v>46</v>
      </c>
      <c r="C1890" s="6" t="s">
        <v>33</v>
      </c>
      <c r="D1890" s="6" t="s">
        <v>52</v>
      </c>
      <c r="E1890" s="6" t="s">
        <v>44</v>
      </c>
      <c r="F1890" s="6" t="s">
        <v>29</v>
      </c>
      <c r="G1890" s="6">
        <v>66</v>
      </c>
      <c r="H1890" s="7">
        <v>1450.47</v>
      </c>
      <c r="I1890" s="7">
        <v>95731.02</v>
      </c>
      <c r="J1890" s="8">
        <v>45080</v>
      </c>
      <c r="K1890" s="6">
        <v>57</v>
      </c>
      <c r="L1890" s="6" t="s">
        <v>49</v>
      </c>
      <c r="M1890" s="6" t="b">
        <v>1</v>
      </c>
      <c r="N1890" s="6">
        <v>12.86</v>
      </c>
      <c r="O1890" s="6" t="s">
        <v>24</v>
      </c>
      <c r="P1890" s="6" t="b">
        <v>1</v>
      </c>
      <c r="Q1890" s="9" t="s">
        <v>36</v>
      </c>
    </row>
    <row r="1891" spans="1:17" x14ac:dyDescent="0.25">
      <c r="A1891" s="5" t="s">
        <v>1941</v>
      </c>
      <c r="B1891" s="6" t="s">
        <v>32</v>
      </c>
      <c r="C1891" s="6" t="s">
        <v>39</v>
      </c>
      <c r="D1891" s="6" t="s">
        <v>34</v>
      </c>
      <c r="E1891" s="6" t="s">
        <v>35</v>
      </c>
      <c r="F1891" s="6" t="s">
        <v>29</v>
      </c>
      <c r="G1891" s="6">
        <v>42</v>
      </c>
      <c r="H1891" s="7">
        <v>1415.37</v>
      </c>
      <c r="I1891" s="7">
        <v>59445.54</v>
      </c>
      <c r="J1891" s="8">
        <v>45496</v>
      </c>
      <c r="K1891" s="6">
        <v>62</v>
      </c>
      <c r="L1891" s="6" t="s">
        <v>41</v>
      </c>
      <c r="M1891" s="6" t="b">
        <v>1</v>
      </c>
      <c r="N1891" s="6">
        <v>2.35</v>
      </c>
      <c r="O1891" s="6" t="s">
        <v>56</v>
      </c>
      <c r="P1891" s="6" t="b">
        <v>1</v>
      </c>
      <c r="Q1891" s="9" t="s">
        <v>36</v>
      </c>
    </row>
    <row r="1892" spans="1:17" x14ac:dyDescent="0.25">
      <c r="A1892" s="5" t="s">
        <v>1942</v>
      </c>
      <c r="B1892" s="6" t="s">
        <v>66</v>
      </c>
      <c r="C1892" s="6" t="s">
        <v>19</v>
      </c>
      <c r="D1892" s="6" t="s">
        <v>64</v>
      </c>
      <c r="E1892" s="6" t="s">
        <v>35</v>
      </c>
      <c r="F1892" s="6" t="s">
        <v>40</v>
      </c>
      <c r="G1892" s="6">
        <v>65</v>
      </c>
      <c r="H1892" s="7">
        <v>1304.3399999999999</v>
      </c>
      <c r="I1892" s="7">
        <v>84782.1</v>
      </c>
      <c r="J1892" s="8">
        <v>45349</v>
      </c>
      <c r="K1892" s="6">
        <v>32</v>
      </c>
      <c r="L1892" s="6" t="s">
        <v>23</v>
      </c>
      <c r="M1892" s="6" t="b">
        <v>1</v>
      </c>
      <c r="N1892" s="6">
        <v>3.65</v>
      </c>
      <c r="O1892" s="6" t="s">
        <v>24</v>
      </c>
      <c r="P1892" s="6" t="b">
        <v>1</v>
      </c>
      <c r="Q1892" s="9" t="s">
        <v>25</v>
      </c>
    </row>
    <row r="1893" spans="1:17" x14ac:dyDescent="0.25">
      <c r="A1893" s="5" t="s">
        <v>1943</v>
      </c>
      <c r="B1893" s="6" t="s">
        <v>62</v>
      </c>
      <c r="C1893" s="6" t="s">
        <v>39</v>
      </c>
      <c r="D1893" s="6" t="s">
        <v>47</v>
      </c>
      <c r="E1893" s="6" t="s">
        <v>21</v>
      </c>
      <c r="F1893" s="6" t="s">
        <v>40</v>
      </c>
      <c r="G1893" s="6">
        <v>36</v>
      </c>
      <c r="H1893" s="7">
        <v>774.97</v>
      </c>
      <c r="I1893" s="7">
        <v>27898.92</v>
      </c>
      <c r="J1893" s="8">
        <v>44976</v>
      </c>
      <c r="K1893" s="6">
        <v>37</v>
      </c>
      <c r="L1893" s="6" t="s">
        <v>23</v>
      </c>
      <c r="M1893" s="6" t="b">
        <v>0</v>
      </c>
      <c r="N1893" s="6">
        <v>23.2</v>
      </c>
      <c r="O1893" s="6" t="s">
        <v>30</v>
      </c>
      <c r="P1893" s="6" t="b">
        <v>0</v>
      </c>
      <c r="Q1893" s="9" t="s">
        <v>25</v>
      </c>
    </row>
    <row r="1894" spans="1:17" x14ac:dyDescent="0.25">
      <c r="A1894" s="5" t="s">
        <v>1944</v>
      </c>
      <c r="B1894" s="6" t="s">
        <v>38</v>
      </c>
      <c r="C1894" s="6" t="s">
        <v>39</v>
      </c>
      <c r="D1894" s="6" t="s">
        <v>47</v>
      </c>
      <c r="E1894" s="6" t="s">
        <v>44</v>
      </c>
      <c r="F1894" s="6" t="s">
        <v>48</v>
      </c>
      <c r="G1894" s="6">
        <v>76</v>
      </c>
      <c r="H1894" s="7">
        <v>254.31</v>
      </c>
      <c r="I1894" s="7">
        <v>19327.560000000001</v>
      </c>
      <c r="J1894" s="8">
        <v>45133</v>
      </c>
      <c r="K1894" s="6">
        <v>37</v>
      </c>
      <c r="L1894" s="6" t="s">
        <v>49</v>
      </c>
      <c r="M1894" s="6" t="b">
        <v>0</v>
      </c>
      <c r="N1894" s="6">
        <v>2.0299999999999998</v>
      </c>
      <c r="O1894" s="6" t="s">
        <v>30</v>
      </c>
      <c r="P1894" s="6" t="b">
        <v>1</v>
      </c>
      <c r="Q1894" s="9" t="s">
        <v>36</v>
      </c>
    </row>
    <row r="1895" spans="1:17" x14ac:dyDescent="0.25">
      <c r="A1895" s="5" t="s">
        <v>1945</v>
      </c>
      <c r="B1895" s="6" t="s">
        <v>46</v>
      </c>
      <c r="C1895" s="6" t="s">
        <v>33</v>
      </c>
      <c r="D1895" s="6" t="s">
        <v>64</v>
      </c>
      <c r="E1895" s="6" t="s">
        <v>21</v>
      </c>
      <c r="F1895" s="6" t="s">
        <v>29</v>
      </c>
      <c r="G1895" s="6">
        <v>9</v>
      </c>
      <c r="H1895" s="7">
        <v>365.96</v>
      </c>
      <c r="I1895" s="7">
        <v>3293.64</v>
      </c>
      <c r="J1895" s="8">
        <v>45490</v>
      </c>
      <c r="K1895" s="6">
        <v>62</v>
      </c>
      <c r="L1895" s="6" t="s">
        <v>49</v>
      </c>
      <c r="M1895" s="6" t="b">
        <v>1</v>
      </c>
      <c r="N1895" s="6">
        <v>27.23</v>
      </c>
      <c r="O1895" s="6" t="s">
        <v>42</v>
      </c>
      <c r="P1895" s="6" t="b">
        <v>0</v>
      </c>
      <c r="Q1895" s="9" t="s">
        <v>36</v>
      </c>
    </row>
    <row r="1896" spans="1:17" x14ac:dyDescent="0.25">
      <c r="A1896" s="5" t="s">
        <v>1946</v>
      </c>
      <c r="B1896" s="6" t="s">
        <v>76</v>
      </c>
      <c r="C1896" s="6" t="s">
        <v>39</v>
      </c>
      <c r="D1896" s="6" t="s">
        <v>64</v>
      </c>
      <c r="E1896" s="6" t="s">
        <v>28</v>
      </c>
      <c r="F1896" s="6" t="s">
        <v>40</v>
      </c>
      <c r="G1896" s="6">
        <v>36</v>
      </c>
      <c r="H1896" s="7">
        <v>989.12</v>
      </c>
      <c r="I1896" s="7">
        <v>35608.32</v>
      </c>
      <c r="J1896" s="8">
        <v>45588</v>
      </c>
      <c r="K1896" s="6">
        <v>22</v>
      </c>
      <c r="L1896" s="6" t="s">
        <v>49</v>
      </c>
      <c r="M1896" s="6" t="b">
        <v>1</v>
      </c>
      <c r="N1896" s="6">
        <v>8.4499999999999993</v>
      </c>
      <c r="O1896" s="6" t="s">
        <v>56</v>
      </c>
      <c r="P1896" s="6" t="b">
        <v>1</v>
      </c>
      <c r="Q1896" s="9" t="s">
        <v>25</v>
      </c>
    </row>
    <row r="1897" spans="1:17" x14ac:dyDescent="0.25">
      <c r="A1897" s="5" t="s">
        <v>1947</v>
      </c>
      <c r="B1897" s="6" t="s">
        <v>38</v>
      </c>
      <c r="C1897" s="6" t="s">
        <v>39</v>
      </c>
      <c r="D1897" s="6" t="s">
        <v>34</v>
      </c>
      <c r="E1897" s="6" t="s">
        <v>28</v>
      </c>
      <c r="F1897" s="6" t="s">
        <v>22</v>
      </c>
      <c r="G1897" s="6">
        <v>92</v>
      </c>
      <c r="H1897" s="7">
        <v>661.54</v>
      </c>
      <c r="I1897" s="7">
        <v>60861.68</v>
      </c>
      <c r="J1897" s="8">
        <v>45491</v>
      </c>
      <c r="K1897" s="6">
        <v>49</v>
      </c>
      <c r="L1897" s="6" t="s">
        <v>41</v>
      </c>
      <c r="M1897" s="6" t="b">
        <v>0</v>
      </c>
      <c r="N1897" s="6">
        <v>26.97</v>
      </c>
      <c r="O1897" s="6" t="s">
        <v>30</v>
      </c>
      <c r="P1897" s="6" t="b">
        <v>0</v>
      </c>
      <c r="Q1897" s="9" t="s">
        <v>25</v>
      </c>
    </row>
    <row r="1898" spans="1:17" x14ac:dyDescent="0.25">
      <c r="A1898" s="5" t="s">
        <v>1948</v>
      </c>
      <c r="B1898" s="6" t="s">
        <v>66</v>
      </c>
      <c r="C1898" s="6" t="s">
        <v>39</v>
      </c>
      <c r="D1898" s="6" t="s">
        <v>47</v>
      </c>
      <c r="E1898" s="6" t="s">
        <v>44</v>
      </c>
      <c r="F1898" s="6" t="s">
        <v>22</v>
      </c>
      <c r="G1898" s="6">
        <v>38</v>
      </c>
      <c r="H1898" s="7">
        <v>262.86</v>
      </c>
      <c r="I1898" s="7">
        <v>9988.68</v>
      </c>
      <c r="J1898" s="8">
        <v>45139</v>
      </c>
      <c r="K1898" s="6">
        <v>23</v>
      </c>
      <c r="L1898" s="6" t="s">
        <v>41</v>
      </c>
      <c r="M1898" s="6" t="b">
        <v>0</v>
      </c>
      <c r="N1898" s="6">
        <v>23.21</v>
      </c>
      <c r="O1898" s="6" t="s">
        <v>24</v>
      </c>
      <c r="P1898" s="6" t="b">
        <v>0</v>
      </c>
      <c r="Q1898" s="9" t="s">
        <v>36</v>
      </c>
    </row>
    <row r="1899" spans="1:17" x14ac:dyDescent="0.25">
      <c r="A1899" s="5" t="s">
        <v>1949</v>
      </c>
      <c r="B1899" s="6" t="s">
        <v>38</v>
      </c>
      <c r="C1899" s="6" t="s">
        <v>39</v>
      </c>
      <c r="D1899" s="6" t="s">
        <v>47</v>
      </c>
      <c r="E1899" s="6" t="s">
        <v>44</v>
      </c>
      <c r="F1899" s="6" t="s">
        <v>29</v>
      </c>
      <c r="G1899" s="6">
        <v>33</v>
      </c>
      <c r="H1899" s="7">
        <v>744.54</v>
      </c>
      <c r="I1899" s="7">
        <v>24569.82</v>
      </c>
      <c r="J1899" s="8">
        <v>44992</v>
      </c>
      <c r="K1899" s="6">
        <v>47</v>
      </c>
      <c r="L1899" s="6" t="s">
        <v>23</v>
      </c>
      <c r="M1899" s="6" t="b">
        <v>1</v>
      </c>
      <c r="N1899" s="6">
        <v>26.14</v>
      </c>
      <c r="O1899" s="6" t="s">
        <v>56</v>
      </c>
      <c r="P1899" s="6" t="b">
        <v>0</v>
      </c>
      <c r="Q1899" s="9" t="s">
        <v>36</v>
      </c>
    </row>
    <row r="1900" spans="1:17" x14ac:dyDescent="0.25">
      <c r="A1900" s="5" t="s">
        <v>1950</v>
      </c>
      <c r="B1900" s="6" t="s">
        <v>27</v>
      </c>
      <c r="C1900" s="6" t="s">
        <v>19</v>
      </c>
      <c r="D1900" s="6" t="s">
        <v>20</v>
      </c>
      <c r="E1900" s="6" t="s">
        <v>28</v>
      </c>
      <c r="F1900" s="6" t="s">
        <v>22</v>
      </c>
      <c r="G1900" s="6">
        <v>42</v>
      </c>
      <c r="H1900" s="7">
        <v>75.27</v>
      </c>
      <c r="I1900" s="7">
        <v>3161.34</v>
      </c>
      <c r="J1900" s="8">
        <v>45158</v>
      </c>
      <c r="K1900" s="6">
        <v>43</v>
      </c>
      <c r="L1900" s="6" t="s">
        <v>23</v>
      </c>
      <c r="M1900" s="6" t="b">
        <v>0</v>
      </c>
      <c r="N1900" s="6">
        <v>6.42</v>
      </c>
      <c r="O1900" s="6" t="s">
        <v>56</v>
      </c>
      <c r="P1900" s="6" t="b">
        <v>0</v>
      </c>
      <c r="Q1900" s="9" t="s">
        <v>25</v>
      </c>
    </row>
    <row r="1901" spans="1:17" x14ac:dyDescent="0.25">
      <c r="A1901" s="5" t="s">
        <v>1951</v>
      </c>
      <c r="B1901" s="6" t="s">
        <v>18</v>
      </c>
      <c r="C1901" s="6" t="s">
        <v>33</v>
      </c>
      <c r="D1901" s="6" t="s">
        <v>52</v>
      </c>
      <c r="E1901" s="6" t="s">
        <v>35</v>
      </c>
      <c r="F1901" s="6" t="s">
        <v>48</v>
      </c>
      <c r="G1901" s="6">
        <v>61</v>
      </c>
      <c r="H1901" s="7">
        <v>1114.1500000000001</v>
      </c>
      <c r="I1901" s="7">
        <v>67963.149999999994</v>
      </c>
      <c r="J1901" s="8">
        <v>45589</v>
      </c>
      <c r="K1901" s="6">
        <v>54</v>
      </c>
      <c r="L1901" s="6" t="s">
        <v>49</v>
      </c>
      <c r="M1901" s="6" t="b">
        <v>0</v>
      </c>
      <c r="N1901" s="6">
        <v>17.87</v>
      </c>
      <c r="O1901" s="6" t="s">
        <v>24</v>
      </c>
      <c r="P1901" s="6" t="b">
        <v>0</v>
      </c>
      <c r="Q1901" s="9" t="s">
        <v>36</v>
      </c>
    </row>
    <row r="1902" spans="1:17" x14ac:dyDescent="0.25">
      <c r="A1902" s="5" t="s">
        <v>1952</v>
      </c>
      <c r="B1902" s="6" t="s">
        <v>62</v>
      </c>
      <c r="C1902" s="6" t="s">
        <v>33</v>
      </c>
      <c r="D1902" s="6" t="s">
        <v>52</v>
      </c>
      <c r="E1902" s="6" t="s">
        <v>44</v>
      </c>
      <c r="F1902" s="6" t="s">
        <v>40</v>
      </c>
      <c r="G1902" s="6">
        <v>46</v>
      </c>
      <c r="H1902" s="7">
        <v>156.69</v>
      </c>
      <c r="I1902" s="7">
        <v>7207.74</v>
      </c>
      <c r="J1902" s="8">
        <v>45246</v>
      </c>
      <c r="K1902" s="6">
        <v>30</v>
      </c>
      <c r="L1902" s="6" t="s">
        <v>41</v>
      </c>
      <c r="M1902" s="6" t="b">
        <v>1</v>
      </c>
      <c r="N1902" s="6">
        <v>2.81</v>
      </c>
      <c r="O1902" s="6" t="s">
        <v>56</v>
      </c>
      <c r="P1902" s="6" t="b">
        <v>1</v>
      </c>
      <c r="Q1902" s="9" t="s">
        <v>25</v>
      </c>
    </row>
    <row r="1903" spans="1:17" x14ac:dyDescent="0.25">
      <c r="A1903" s="5" t="s">
        <v>1953</v>
      </c>
      <c r="B1903" s="6" t="s">
        <v>66</v>
      </c>
      <c r="C1903" s="6" t="s">
        <v>19</v>
      </c>
      <c r="D1903" s="6" t="s">
        <v>20</v>
      </c>
      <c r="E1903" s="6" t="s">
        <v>28</v>
      </c>
      <c r="F1903" s="6" t="s">
        <v>40</v>
      </c>
      <c r="G1903" s="6">
        <v>86</v>
      </c>
      <c r="H1903" s="7">
        <v>962.21</v>
      </c>
      <c r="I1903" s="7">
        <v>82750.06</v>
      </c>
      <c r="J1903" s="8">
        <v>45063</v>
      </c>
      <c r="K1903" s="6">
        <v>46</v>
      </c>
      <c r="L1903" s="6" t="s">
        <v>23</v>
      </c>
      <c r="M1903" s="6" t="b">
        <v>0</v>
      </c>
      <c r="N1903" s="6">
        <v>6.07</v>
      </c>
      <c r="O1903" s="6" t="s">
        <v>56</v>
      </c>
      <c r="P1903" s="6" t="b">
        <v>0</v>
      </c>
      <c r="Q1903" s="9" t="s">
        <v>36</v>
      </c>
    </row>
    <row r="1904" spans="1:17" x14ac:dyDescent="0.25">
      <c r="A1904" s="5" t="s">
        <v>1954</v>
      </c>
      <c r="B1904" s="6" t="s">
        <v>38</v>
      </c>
      <c r="C1904" s="6" t="s">
        <v>39</v>
      </c>
      <c r="D1904" s="6" t="s">
        <v>52</v>
      </c>
      <c r="E1904" s="6" t="s">
        <v>28</v>
      </c>
      <c r="F1904" s="6" t="s">
        <v>40</v>
      </c>
      <c r="G1904" s="6">
        <v>89</v>
      </c>
      <c r="H1904" s="7">
        <v>1199.8599999999999</v>
      </c>
      <c r="I1904" s="7">
        <v>106787.54</v>
      </c>
      <c r="J1904" s="8">
        <v>45573</v>
      </c>
      <c r="K1904" s="6">
        <v>22</v>
      </c>
      <c r="L1904" s="6" t="s">
        <v>49</v>
      </c>
      <c r="M1904" s="6" t="b">
        <v>0</v>
      </c>
      <c r="N1904" s="6">
        <v>9.3000000000000007</v>
      </c>
      <c r="O1904" s="6" t="s">
        <v>30</v>
      </c>
      <c r="P1904" s="6" t="b">
        <v>0</v>
      </c>
      <c r="Q1904" s="9" t="s">
        <v>25</v>
      </c>
    </row>
    <row r="1905" spans="1:17" x14ac:dyDescent="0.25">
      <c r="A1905" s="5" t="s">
        <v>1955</v>
      </c>
      <c r="B1905" s="6" t="s">
        <v>18</v>
      </c>
      <c r="C1905" s="6" t="s">
        <v>19</v>
      </c>
      <c r="D1905" s="6" t="s">
        <v>64</v>
      </c>
      <c r="E1905" s="6" t="s">
        <v>35</v>
      </c>
      <c r="F1905" s="6" t="s">
        <v>29</v>
      </c>
      <c r="G1905" s="6">
        <v>61</v>
      </c>
      <c r="H1905" s="7">
        <v>242.33</v>
      </c>
      <c r="I1905" s="7">
        <v>14782.13</v>
      </c>
      <c r="J1905" s="8">
        <v>45492</v>
      </c>
      <c r="K1905" s="6">
        <v>42</v>
      </c>
      <c r="L1905" s="6" t="s">
        <v>49</v>
      </c>
      <c r="M1905" s="6" t="b">
        <v>1</v>
      </c>
      <c r="N1905" s="6">
        <v>22.22</v>
      </c>
      <c r="O1905" s="6" t="s">
        <v>24</v>
      </c>
      <c r="P1905" s="6" t="b">
        <v>1</v>
      </c>
      <c r="Q1905" s="9" t="s">
        <v>36</v>
      </c>
    </row>
    <row r="1906" spans="1:17" x14ac:dyDescent="0.25">
      <c r="A1906" s="5" t="s">
        <v>1956</v>
      </c>
      <c r="B1906" s="6" t="s">
        <v>18</v>
      </c>
      <c r="C1906" s="6" t="s">
        <v>39</v>
      </c>
      <c r="D1906" s="6" t="s">
        <v>52</v>
      </c>
      <c r="E1906" s="6" t="s">
        <v>35</v>
      </c>
      <c r="F1906" s="6" t="s">
        <v>22</v>
      </c>
      <c r="G1906" s="6">
        <v>18</v>
      </c>
      <c r="H1906" s="7">
        <v>802.03</v>
      </c>
      <c r="I1906" s="7">
        <v>14436.54</v>
      </c>
      <c r="J1906" s="8">
        <v>44991</v>
      </c>
      <c r="K1906" s="6">
        <v>30</v>
      </c>
      <c r="L1906" s="6" t="s">
        <v>41</v>
      </c>
      <c r="M1906" s="6" t="b">
        <v>0</v>
      </c>
      <c r="N1906" s="6">
        <v>0.74</v>
      </c>
      <c r="O1906" s="6" t="s">
        <v>30</v>
      </c>
      <c r="P1906" s="6" t="b">
        <v>0</v>
      </c>
      <c r="Q1906" s="9" t="s">
        <v>25</v>
      </c>
    </row>
    <row r="1907" spans="1:17" x14ac:dyDescent="0.25">
      <c r="A1907" s="5" t="s">
        <v>1957</v>
      </c>
      <c r="B1907" s="6" t="s">
        <v>38</v>
      </c>
      <c r="C1907" s="6" t="s">
        <v>19</v>
      </c>
      <c r="D1907" s="6" t="s">
        <v>52</v>
      </c>
      <c r="E1907" s="6" t="s">
        <v>35</v>
      </c>
      <c r="F1907" s="6" t="s">
        <v>48</v>
      </c>
      <c r="G1907" s="6">
        <v>70</v>
      </c>
      <c r="H1907" s="7">
        <v>1179.6500000000001</v>
      </c>
      <c r="I1907" s="7">
        <v>82575.5</v>
      </c>
      <c r="J1907" s="8">
        <v>45440</v>
      </c>
      <c r="K1907" s="6">
        <v>41</v>
      </c>
      <c r="L1907" s="6" t="s">
        <v>41</v>
      </c>
      <c r="M1907" s="6" t="b">
        <v>1</v>
      </c>
      <c r="N1907" s="6">
        <v>27.09</v>
      </c>
      <c r="O1907" s="6" t="s">
        <v>24</v>
      </c>
      <c r="P1907" s="6" t="b">
        <v>0</v>
      </c>
      <c r="Q1907" s="9" t="s">
        <v>36</v>
      </c>
    </row>
    <row r="1908" spans="1:17" x14ac:dyDescent="0.25">
      <c r="A1908" s="5" t="s">
        <v>1958</v>
      </c>
      <c r="B1908" s="6" t="s">
        <v>76</v>
      </c>
      <c r="C1908" s="6" t="s">
        <v>33</v>
      </c>
      <c r="D1908" s="6" t="s">
        <v>20</v>
      </c>
      <c r="E1908" s="6" t="s">
        <v>35</v>
      </c>
      <c r="F1908" s="6" t="s">
        <v>29</v>
      </c>
      <c r="G1908" s="6">
        <v>82</v>
      </c>
      <c r="H1908" s="7">
        <v>427.92</v>
      </c>
      <c r="I1908" s="7">
        <v>35089.440000000002</v>
      </c>
      <c r="J1908" s="8">
        <v>45058</v>
      </c>
      <c r="K1908" s="6">
        <v>48</v>
      </c>
      <c r="L1908" s="6" t="s">
        <v>23</v>
      </c>
      <c r="M1908" s="6" t="b">
        <v>0</v>
      </c>
      <c r="N1908" s="6">
        <v>2.12</v>
      </c>
      <c r="O1908" s="6" t="s">
        <v>42</v>
      </c>
      <c r="P1908" s="6" t="b">
        <v>0</v>
      </c>
      <c r="Q1908" s="9" t="s">
        <v>36</v>
      </c>
    </row>
    <row r="1909" spans="1:17" x14ac:dyDescent="0.25">
      <c r="A1909" s="5" t="s">
        <v>1959</v>
      </c>
      <c r="B1909" s="6" t="s">
        <v>27</v>
      </c>
      <c r="C1909" s="6" t="s">
        <v>33</v>
      </c>
      <c r="D1909" s="6" t="s">
        <v>34</v>
      </c>
      <c r="E1909" s="6" t="s">
        <v>21</v>
      </c>
      <c r="F1909" s="6" t="s">
        <v>40</v>
      </c>
      <c r="G1909" s="6">
        <v>80</v>
      </c>
      <c r="H1909" s="7">
        <v>286.23</v>
      </c>
      <c r="I1909" s="7">
        <v>22898.400000000001</v>
      </c>
      <c r="J1909" s="8">
        <v>45260</v>
      </c>
      <c r="K1909" s="6">
        <v>37</v>
      </c>
      <c r="L1909" s="6" t="s">
        <v>23</v>
      </c>
      <c r="M1909" s="6" t="b">
        <v>1</v>
      </c>
      <c r="N1909" s="6">
        <v>11.29</v>
      </c>
      <c r="O1909" s="6" t="s">
        <v>56</v>
      </c>
      <c r="P1909" s="6" t="b">
        <v>0</v>
      </c>
      <c r="Q1909" s="9" t="s">
        <v>36</v>
      </c>
    </row>
    <row r="1910" spans="1:17" x14ac:dyDescent="0.25">
      <c r="A1910" s="5" t="s">
        <v>1960</v>
      </c>
      <c r="B1910" s="6" t="s">
        <v>51</v>
      </c>
      <c r="C1910" s="6" t="s">
        <v>33</v>
      </c>
      <c r="D1910" s="6" t="s">
        <v>52</v>
      </c>
      <c r="E1910" s="6" t="s">
        <v>35</v>
      </c>
      <c r="F1910" s="6" t="s">
        <v>48</v>
      </c>
      <c r="G1910" s="6">
        <v>15</v>
      </c>
      <c r="H1910" s="7">
        <v>538.39</v>
      </c>
      <c r="I1910" s="7">
        <v>8075.85</v>
      </c>
      <c r="J1910" s="8">
        <v>44958</v>
      </c>
      <c r="K1910" s="6">
        <v>25</v>
      </c>
      <c r="L1910" s="6" t="s">
        <v>49</v>
      </c>
      <c r="M1910" s="6" t="b">
        <v>0</v>
      </c>
      <c r="N1910" s="6">
        <v>2.4300000000000002</v>
      </c>
      <c r="O1910" s="6" t="s">
        <v>56</v>
      </c>
      <c r="P1910" s="6" t="b">
        <v>0</v>
      </c>
      <c r="Q1910" s="9" t="s">
        <v>36</v>
      </c>
    </row>
    <row r="1911" spans="1:17" x14ac:dyDescent="0.25">
      <c r="A1911" s="5" t="s">
        <v>1961</v>
      </c>
      <c r="B1911" s="6" t="s">
        <v>27</v>
      </c>
      <c r="C1911" s="6" t="s">
        <v>39</v>
      </c>
      <c r="D1911" s="6" t="s">
        <v>52</v>
      </c>
      <c r="E1911" s="6" t="s">
        <v>21</v>
      </c>
      <c r="F1911" s="6" t="s">
        <v>40</v>
      </c>
      <c r="G1911" s="6">
        <v>48</v>
      </c>
      <c r="H1911" s="7">
        <v>854.31</v>
      </c>
      <c r="I1911" s="7">
        <v>41006.879999999997</v>
      </c>
      <c r="J1911" s="8">
        <v>45424</v>
      </c>
      <c r="K1911" s="6">
        <v>26</v>
      </c>
      <c r="L1911" s="6" t="s">
        <v>49</v>
      </c>
      <c r="M1911" s="6" t="b">
        <v>1</v>
      </c>
      <c r="N1911" s="6">
        <v>23.07</v>
      </c>
      <c r="O1911" s="6" t="s">
        <v>30</v>
      </c>
      <c r="P1911" s="6" t="b">
        <v>1</v>
      </c>
      <c r="Q1911" s="9" t="s">
        <v>25</v>
      </c>
    </row>
    <row r="1912" spans="1:17" x14ac:dyDescent="0.25">
      <c r="A1912" s="5" t="s">
        <v>1962</v>
      </c>
      <c r="B1912" s="6" t="s">
        <v>38</v>
      </c>
      <c r="C1912" s="6" t="s">
        <v>39</v>
      </c>
      <c r="D1912" s="6" t="s">
        <v>34</v>
      </c>
      <c r="E1912" s="6" t="s">
        <v>44</v>
      </c>
      <c r="F1912" s="6" t="s">
        <v>40</v>
      </c>
      <c r="G1912" s="6">
        <v>72</v>
      </c>
      <c r="H1912" s="7">
        <v>884.16</v>
      </c>
      <c r="I1912" s="7">
        <v>63659.519999999997</v>
      </c>
      <c r="J1912" s="8">
        <v>45169</v>
      </c>
      <c r="K1912" s="6">
        <v>38</v>
      </c>
      <c r="L1912" s="6" t="s">
        <v>49</v>
      </c>
      <c r="M1912" s="6" t="b">
        <v>0</v>
      </c>
      <c r="N1912" s="6">
        <v>4.24</v>
      </c>
      <c r="O1912" s="6" t="s">
        <v>56</v>
      </c>
      <c r="P1912" s="6" t="b">
        <v>0</v>
      </c>
      <c r="Q1912" s="9" t="s">
        <v>36</v>
      </c>
    </row>
    <row r="1913" spans="1:17" x14ac:dyDescent="0.25">
      <c r="A1913" s="5" t="s">
        <v>1963</v>
      </c>
      <c r="B1913" s="6" t="s">
        <v>62</v>
      </c>
      <c r="C1913" s="6" t="s">
        <v>19</v>
      </c>
      <c r="D1913" s="6" t="s">
        <v>20</v>
      </c>
      <c r="E1913" s="6" t="s">
        <v>28</v>
      </c>
      <c r="F1913" s="6" t="s">
        <v>29</v>
      </c>
      <c r="G1913" s="6">
        <v>13</v>
      </c>
      <c r="H1913" s="7">
        <v>239.77</v>
      </c>
      <c r="I1913" s="7">
        <v>3117.01</v>
      </c>
      <c r="J1913" s="8">
        <v>45118</v>
      </c>
      <c r="K1913" s="6">
        <v>68</v>
      </c>
      <c r="L1913" s="6" t="s">
        <v>23</v>
      </c>
      <c r="M1913" s="6" t="b">
        <v>0</v>
      </c>
      <c r="N1913" s="6">
        <v>26.54</v>
      </c>
      <c r="O1913" s="6" t="s">
        <v>56</v>
      </c>
      <c r="P1913" s="6" t="b">
        <v>1</v>
      </c>
      <c r="Q1913" s="9" t="s">
        <v>25</v>
      </c>
    </row>
    <row r="1914" spans="1:17" x14ac:dyDescent="0.25">
      <c r="A1914" s="5" t="s">
        <v>1964</v>
      </c>
      <c r="B1914" s="6" t="s">
        <v>51</v>
      </c>
      <c r="C1914" s="6" t="s">
        <v>19</v>
      </c>
      <c r="D1914" s="6" t="s">
        <v>34</v>
      </c>
      <c r="E1914" s="6" t="s">
        <v>21</v>
      </c>
      <c r="F1914" s="6" t="s">
        <v>40</v>
      </c>
      <c r="G1914" s="6">
        <v>43</v>
      </c>
      <c r="H1914" s="7">
        <v>713.47</v>
      </c>
      <c r="I1914" s="7">
        <v>30679.21</v>
      </c>
      <c r="J1914" s="8">
        <v>45068</v>
      </c>
      <c r="K1914" s="6">
        <v>37</v>
      </c>
      <c r="L1914" s="6" t="s">
        <v>41</v>
      </c>
      <c r="M1914" s="6" t="b">
        <v>0</v>
      </c>
      <c r="N1914" s="6">
        <v>15.91</v>
      </c>
      <c r="O1914" s="6" t="s">
        <v>30</v>
      </c>
      <c r="P1914" s="6" t="b">
        <v>0</v>
      </c>
      <c r="Q1914" s="9" t="s">
        <v>25</v>
      </c>
    </row>
    <row r="1915" spans="1:17" x14ac:dyDescent="0.25">
      <c r="A1915" s="5" t="s">
        <v>1965</v>
      </c>
      <c r="B1915" s="6" t="s">
        <v>66</v>
      </c>
      <c r="C1915" s="6" t="s">
        <v>33</v>
      </c>
      <c r="D1915" s="6" t="s">
        <v>20</v>
      </c>
      <c r="E1915" s="6" t="s">
        <v>44</v>
      </c>
      <c r="F1915" s="6" t="s">
        <v>48</v>
      </c>
      <c r="G1915" s="6">
        <v>60</v>
      </c>
      <c r="H1915" s="7">
        <v>439.01</v>
      </c>
      <c r="I1915" s="7">
        <v>26340.6</v>
      </c>
      <c r="J1915" s="8">
        <v>45586</v>
      </c>
      <c r="K1915" s="6">
        <v>32</v>
      </c>
      <c r="L1915" s="6" t="s">
        <v>23</v>
      </c>
      <c r="M1915" s="6" t="b">
        <v>1</v>
      </c>
      <c r="N1915" s="6">
        <v>28.45</v>
      </c>
      <c r="O1915" s="6" t="s">
        <v>30</v>
      </c>
      <c r="P1915" s="6" t="b">
        <v>1</v>
      </c>
      <c r="Q1915" s="9" t="s">
        <v>36</v>
      </c>
    </row>
    <row r="1916" spans="1:17" x14ac:dyDescent="0.25">
      <c r="A1916" s="5" t="s">
        <v>1966</v>
      </c>
      <c r="B1916" s="6" t="s">
        <v>27</v>
      </c>
      <c r="C1916" s="6" t="s">
        <v>39</v>
      </c>
      <c r="D1916" s="6" t="s">
        <v>64</v>
      </c>
      <c r="E1916" s="6" t="s">
        <v>44</v>
      </c>
      <c r="F1916" s="6" t="s">
        <v>40</v>
      </c>
      <c r="G1916" s="6">
        <v>57</v>
      </c>
      <c r="H1916" s="7">
        <v>1270.94</v>
      </c>
      <c r="I1916" s="7">
        <v>72443.58</v>
      </c>
      <c r="J1916" s="8">
        <v>45527</v>
      </c>
      <c r="K1916" s="6">
        <v>43</v>
      </c>
      <c r="L1916" s="6" t="s">
        <v>41</v>
      </c>
      <c r="M1916" s="6" t="b">
        <v>0</v>
      </c>
      <c r="N1916" s="6">
        <v>8.7100000000000009</v>
      </c>
      <c r="O1916" s="6" t="s">
        <v>24</v>
      </c>
      <c r="P1916" s="6" t="b">
        <v>1</v>
      </c>
      <c r="Q1916" s="9" t="s">
        <v>25</v>
      </c>
    </row>
    <row r="1917" spans="1:17" x14ac:dyDescent="0.25">
      <c r="A1917" s="5" t="s">
        <v>1967</v>
      </c>
      <c r="B1917" s="6" t="s">
        <v>38</v>
      </c>
      <c r="C1917" s="6" t="s">
        <v>19</v>
      </c>
      <c r="D1917" s="6" t="s">
        <v>20</v>
      </c>
      <c r="E1917" s="6" t="s">
        <v>21</v>
      </c>
      <c r="F1917" s="6" t="s">
        <v>22</v>
      </c>
      <c r="G1917" s="6">
        <v>71</v>
      </c>
      <c r="H1917" s="7">
        <v>504.68</v>
      </c>
      <c r="I1917" s="7">
        <v>35832.28</v>
      </c>
      <c r="J1917" s="8">
        <v>45487</v>
      </c>
      <c r="K1917" s="6">
        <v>59</v>
      </c>
      <c r="L1917" s="6" t="s">
        <v>23</v>
      </c>
      <c r="M1917" s="6" t="b">
        <v>1</v>
      </c>
      <c r="N1917" s="6">
        <v>13.63</v>
      </c>
      <c r="O1917" s="6" t="s">
        <v>42</v>
      </c>
      <c r="P1917" s="6" t="b">
        <v>1</v>
      </c>
      <c r="Q1917" s="9" t="s">
        <v>36</v>
      </c>
    </row>
    <row r="1918" spans="1:17" x14ac:dyDescent="0.25">
      <c r="A1918" s="5" t="s">
        <v>1968</v>
      </c>
      <c r="B1918" s="6" t="s">
        <v>27</v>
      </c>
      <c r="C1918" s="6" t="s">
        <v>39</v>
      </c>
      <c r="D1918" s="6" t="s">
        <v>64</v>
      </c>
      <c r="E1918" s="6" t="s">
        <v>44</v>
      </c>
      <c r="F1918" s="6" t="s">
        <v>40</v>
      </c>
      <c r="G1918" s="6">
        <v>17</v>
      </c>
      <c r="H1918" s="7">
        <v>1266.1199999999999</v>
      </c>
      <c r="I1918" s="7">
        <v>21524.04</v>
      </c>
      <c r="J1918" s="8">
        <v>45574</v>
      </c>
      <c r="K1918" s="6">
        <v>28</v>
      </c>
      <c r="L1918" s="6" t="s">
        <v>23</v>
      </c>
      <c r="M1918" s="6" t="b">
        <v>0</v>
      </c>
      <c r="N1918" s="6">
        <v>20.83</v>
      </c>
      <c r="O1918" s="6" t="s">
        <v>30</v>
      </c>
      <c r="P1918" s="6" t="b">
        <v>0</v>
      </c>
      <c r="Q1918" s="9" t="s">
        <v>25</v>
      </c>
    </row>
    <row r="1919" spans="1:17" x14ac:dyDescent="0.25">
      <c r="A1919" s="5" t="s">
        <v>1969</v>
      </c>
      <c r="B1919" s="6" t="s">
        <v>51</v>
      </c>
      <c r="C1919" s="6" t="s">
        <v>39</v>
      </c>
      <c r="D1919" s="6" t="s">
        <v>64</v>
      </c>
      <c r="E1919" s="6" t="s">
        <v>44</v>
      </c>
      <c r="F1919" s="6" t="s">
        <v>29</v>
      </c>
      <c r="G1919" s="6">
        <v>50</v>
      </c>
      <c r="H1919" s="7">
        <v>671.42</v>
      </c>
      <c r="I1919" s="7">
        <v>33571</v>
      </c>
      <c r="J1919" s="8">
        <v>45117</v>
      </c>
      <c r="K1919" s="6">
        <v>54</v>
      </c>
      <c r="L1919" s="6" t="s">
        <v>41</v>
      </c>
      <c r="M1919" s="6" t="b">
        <v>0</v>
      </c>
      <c r="N1919" s="6">
        <v>24.96</v>
      </c>
      <c r="O1919" s="6" t="s">
        <v>24</v>
      </c>
      <c r="P1919" s="6" t="b">
        <v>0</v>
      </c>
      <c r="Q1919" s="9" t="s">
        <v>36</v>
      </c>
    </row>
    <row r="1920" spans="1:17" x14ac:dyDescent="0.25">
      <c r="A1920" s="5" t="s">
        <v>1970</v>
      </c>
      <c r="B1920" s="6" t="s">
        <v>32</v>
      </c>
      <c r="C1920" s="6" t="s">
        <v>33</v>
      </c>
      <c r="D1920" s="6" t="s">
        <v>20</v>
      </c>
      <c r="E1920" s="6" t="s">
        <v>21</v>
      </c>
      <c r="F1920" s="6" t="s">
        <v>48</v>
      </c>
      <c r="G1920" s="6">
        <v>32</v>
      </c>
      <c r="H1920" s="7">
        <v>1103.55</v>
      </c>
      <c r="I1920" s="7">
        <v>35313.599999999999</v>
      </c>
      <c r="J1920" s="8">
        <v>45075</v>
      </c>
      <c r="K1920" s="6">
        <v>58</v>
      </c>
      <c r="L1920" s="6" t="s">
        <v>23</v>
      </c>
      <c r="M1920" s="6" t="b">
        <v>0</v>
      </c>
      <c r="N1920" s="6">
        <v>12.64</v>
      </c>
      <c r="O1920" s="6" t="s">
        <v>30</v>
      </c>
      <c r="P1920" s="6" t="b">
        <v>1</v>
      </c>
      <c r="Q1920" s="9" t="s">
        <v>36</v>
      </c>
    </row>
    <row r="1921" spans="1:17" x14ac:dyDescent="0.25">
      <c r="A1921" s="5" t="s">
        <v>1971</v>
      </c>
      <c r="B1921" s="6" t="s">
        <v>46</v>
      </c>
      <c r="C1921" s="6" t="s">
        <v>33</v>
      </c>
      <c r="D1921" s="6" t="s">
        <v>47</v>
      </c>
      <c r="E1921" s="6" t="s">
        <v>44</v>
      </c>
      <c r="F1921" s="6" t="s">
        <v>29</v>
      </c>
      <c r="G1921" s="6">
        <v>22</v>
      </c>
      <c r="H1921" s="7">
        <v>789.59</v>
      </c>
      <c r="I1921" s="7">
        <v>17370.98</v>
      </c>
      <c r="J1921" s="8">
        <v>45525</v>
      </c>
      <c r="K1921" s="6">
        <v>28</v>
      </c>
      <c r="L1921" s="6" t="s">
        <v>23</v>
      </c>
      <c r="M1921" s="6" t="b">
        <v>0</v>
      </c>
      <c r="N1921" s="6">
        <v>26.77</v>
      </c>
      <c r="O1921" s="6" t="s">
        <v>24</v>
      </c>
      <c r="P1921" s="6" t="b">
        <v>0</v>
      </c>
      <c r="Q1921" s="9" t="s">
        <v>25</v>
      </c>
    </row>
    <row r="1922" spans="1:17" x14ac:dyDescent="0.25">
      <c r="A1922" s="5" t="s">
        <v>1972</v>
      </c>
      <c r="B1922" s="6" t="s">
        <v>27</v>
      </c>
      <c r="C1922" s="6" t="s">
        <v>39</v>
      </c>
      <c r="D1922" s="6" t="s">
        <v>20</v>
      </c>
      <c r="E1922" s="6" t="s">
        <v>35</v>
      </c>
      <c r="F1922" s="6" t="s">
        <v>22</v>
      </c>
      <c r="G1922" s="6">
        <v>55</v>
      </c>
      <c r="H1922" s="7">
        <v>951.85</v>
      </c>
      <c r="I1922" s="7">
        <v>52351.75</v>
      </c>
      <c r="J1922" s="8">
        <v>45342</v>
      </c>
      <c r="K1922" s="6">
        <v>44</v>
      </c>
      <c r="L1922" s="6" t="s">
        <v>49</v>
      </c>
      <c r="M1922" s="6" t="b">
        <v>0</v>
      </c>
      <c r="N1922" s="6">
        <v>3.54</v>
      </c>
      <c r="O1922" s="6" t="s">
        <v>42</v>
      </c>
      <c r="P1922" s="6" t="b">
        <v>0</v>
      </c>
      <c r="Q1922" s="9" t="s">
        <v>25</v>
      </c>
    </row>
    <row r="1923" spans="1:17" x14ac:dyDescent="0.25">
      <c r="A1923" s="5" t="s">
        <v>1973</v>
      </c>
      <c r="B1923" s="6" t="s">
        <v>66</v>
      </c>
      <c r="C1923" s="6" t="s">
        <v>39</v>
      </c>
      <c r="D1923" s="6" t="s">
        <v>52</v>
      </c>
      <c r="E1923" s="6" t="s">
        <v>35</v>
      </c>
      <c r="F1923" s="6" t="s">
        <v>40</v>
      </c>
      <c r="G1923" s="6">
        <v>57</v>
      </c>
      <c r="H1923" s="7">
        <v>623.27</v>
      </c>
      <c r="I1923" s="7">
        <v>35526.39</v>
      </c>
      <c r="J1923" s="8">
        <v>45446</v>
      </c>
      <c r="K1923" s="6">
        <v>47</v>
      </c>
      <c r="L1923" s="6" t="s">
        <v>41</v>
      </c>
      <c r="M1923" s="6" t="b">
        <v>0</v>
      </c>
      <c r="N1923" s="6">
        <v>21.26</v>
      </c>
      <c r="O1923" s="6" t="s">
        <v>24</v>
      </c>
      <c r="P1923" s="6" t="b">
        <v>1</v>
      </c>
      <c r="Q1923" s="9" t="s">
        <v>36</v>
      </c>
    </row>
    <row r="1924" spans="1:17" x14ac:dyDescent="0.25">
      <c r="A1924" s="5" t="s">
        <v>1974</v>
      </c>
      <c r="B1924" s="6" t="s">
        <v>66</v>
      </c>
      <c r="C1924" s="6" t="s">
        <v>39</v>
      </c>
      <c r="D1924" s="6" t="s">
        <v>52</v>
      </c>
      <c r="E1924" s="6" t="s">
        <v>28</v>
      </c>
      <c r="F1924" s="6" t="s">
        <v>29</v>
      </c>
      <c r="G1924" s="6">
        <v>13</v>
      </c>
      <c r="H1924" s="7">
        <v>1163.9000000000001</v>
      </c>
      <c r="I1924" s="7">
        <v>15130.7</v>
      </c>
      <c r="J1924" s="8">
        <v>44942</v>
      </c>
      <c r="K1924" s="6">
        <v>36</v>
      </c>
      <c r="L1924" s="6" t="s">
        <v>41</v>
      </c>
      <c r="M1924" s="6" t="b">
        <v>1</v>
      </c>
      <c r="N1924" s="6">
        <v>10.45</v>
      </c>
      <c r="O1924" s="6" t="s">
        <v>24</v>
      </c>
      <c r="P1924" s="6" t="b">
        <v>0</v>
      </c>
      <c r="Q1924" s="9" t="s">
        <v>25</v>
      </c>
    </row>
    <row r="1925" spans="1:17" x14ac:dyDescent="0.25">
      <c r="A1925" s="5" t="s">
        <v>1975</v>
      </c>
      <c r="B1925" s="6" t="s">
        <v>72</v>
      </c>
      <c r="C1925" s="6" t="s">
        <v>39</v>
      </c>
      <c r="D1925" s="6" t="s">
        <v>47</v>
      </c>
      <c r="E1925" s="6" t="s">
        <v>44</v>
      </c>
      <c r="F1925" s="6" t="s">
        <v>29</v>
      </c>
      <c r="G1925" s="6">
        <v>47</v>
      </c>
      <c r="H1925" s="7">
        <v>666.52</v>
      </c>
      <c r="I1925" s="7">
        <v>31326.44</v>
      </c>
      <c r="J1925" s="8">
        <v>45032</v>
      </c>
      <c r="K1925" s="6">
        <v>51</v>
      </c>
      <c r="L1925" s="6" t="s">
        <v>49</v>
      </c>
      <c r="M1925" s="6" t="b">
        <v>1</v>
      </c>
      <c r="N1925" s="6">
        <v>3.04</v>
      </c>
      <c r="O1925" s="6" t="s">
        <v>56</v>
      </c>
      <c r="P1925" s="6" t="b">
        <v>1</v>
      </c>
      <c r="Q1925" s="9" t="s">
        <v>36</v>
      </c>
    </row>
    <row r="1926" spans="1:17" x14ac:dyDescent="0.25">
      <c r="A1926" s="5" t="s">
        <v>1976</v>
      </c>
      <c r="B1926" s="6" t="s">
        <v>27</v>
      </c>
      <c r="C1926" s="6" t="s">
        <v>33</v>
      </c>
      <c r="D1926" s="6" t="s">
        <v>64</v>
      </c>
      <c r="E1926" s="6" t="s">
        <v>28</v>
      </c>
      <c r="F1926" s="6" t="s">
        <v>29</v>
      </c>
      <c r="G1926" s="6">
        <v>87</v>
      </c>
      <c r="H1926" s="7">
        <v>713.32</v>
      </c>
      <c r="I1926" s="7">
        <v>62058.84</v>
      </c>
      <c r="J1926" s="8">
        <v>45209</v>
      </c>
      <c r="K1926" s="6">
        <v>55</v>
      </c>
      <c r="L1926" s="6" t="s">
        <v>41</v>
      </c>
      <c r="M1926" s="6" t="b">
        <v>0</v>
      </c>
      <c r="N1926" s="6">
        <v>11.6</v>
      </c>
      <c r="O1926" s="6" t="s">
        <v>30</v>
      </c>
      <c r="P1926" s="6" t="b">
        <v>0</v>
      </c>
      <c r="Q1926" s="9" t="s">
        <v>36</v>
      </c>
    </row>
    <row r="1927" spans="1:17" x14ac:dyDescent="0.25">
      <c r="A1927" s="5" t="s">
        <v>1977</v>
      </c>
      <c r="B1927" s="6" t="s">
        <v>46</v>
      </c>
      <c r="C1927" s="6" t="s">
        <v>19</v>
      </c>
      <c r="D1927" s="6" t="s">
        <v>47</v>
      </c>
      <c r="E1927" s="6" t="s">
        <v>35</v>
      </c>
      <c r="F1927" s="6" t="s">
        <v>29</v>
      </c>
      <c r="G1927" s="6">
        <v>62</v>
      </c>
      <c r="H1927" s="7">
        <v>800.63</v>
      </c>
      <c r="I1927" s="7">
        <v>49639.06</v>
      </c>
      <c r="J1927" s="8">
        <v>45030</v>
      </c>
      <c r="K1927" s="6">
        <v>40</v>
      </c>
      <c r="L1927" s="6" t="s">
        <v>49</v>
      </c>
      <c r="M1927" s="6" t="b">
        <v>0</v>
      </c>
      <c r="N1927" s="6">
        <v>26.41</v>
      </c>
      <c r="O1927" s="6" t="s">
        <v>24</v>
      </c>
      <c r="P1927" s="6" t="b">
        <v>1</v>
      </c>
      <c r="Q1927" s="9" t="s">
        <v>25</v>
      </c>
    </row>
    <row r="1928" spans="1:17" x14ac:dyDescent="0.25">
      <c r="A1928" s="5" t="s">
        <v>1978</v>
      </c>
      <c r="B1928" s="6" t="s">
        <v>76</v>
      </c>
      <c r="C1928" s="6" t="s">
        <v>33</v>
      </c>
      <c r="D1928" s="6" t="s">
        <v>52</v>
      </c>
      <c r="E1928" s="6" t="s">
        <v>35</v>
      </c>
      <c r="F1928" s="6" t="s">
        <v>22</v>
      </c>
      <c r="G1928" s="6">
        <v>54</v>
      </c>
      <c r="H1928" s="7">
        <v>1256.1400000000001</v>
      </c>
      <c r="I1928" s="7">
        <v>67831.56</v>
      </c>
      <c r="J1928" s="8">
        <v>45287</v>
      </c>
      <c r="K1928" s="6">
        <v>18</v>
      </c>
      <c r="L1928" s="6" t="s">
        <v>41</v>
      </c>
      <c r="M1928" s="6" t="b">
        <v>0</v>
      </c>
      <c r="N1928" s="6">
        <v>29.42</v>
      </c>
      <c r="O1928" s="6" t="s">
        <v>30</v>
      </c>
      <c r="P1928" s="6" t="b">
        <v>0</v>
      </c>
      <c r="Q1928" s="9" t="s">
        <v>36</v>
      </c>
    </row>
    <row r="1929" spans="1:17" x14ac:dyDescent="0.25">
      <c r="A1929" s="5" t="s">
        <v>1979</v>
      </c>
      <c r="B1929" s="6" t="s">
        <v>18</v>
      </c>
      <c r="C1929" s="6" t="s">
        <v>19</v>
      </c>
      <c r="D1929" s="6" t="s">
        <v>47</v>
      </c>
      <c r="E1929" s="6" t="s">
        <v>35</v>
      </c>
      <c r="F1929" s="6" t="s">
        <v>22</v>
      </c>
      <c r="G1929" s="6">
        <v>29</v>
      </c>
      <c r="H1929" s="7">
        <v>1006.1</v>
      </c>
      <c r="I1929" s="7">
        <v>29176.9</v>
      </c>
      <c r="J1929" s="8">
        <v>45584</v>
      </c>
      <c r="K1929" s="6">
        <v>20</v>
      </c>
      <c r="L1929" s="6" t="s">
        <v>41</v>
      </c>
      <c r="M1929" s="6" t="b">
        <v>0</v>
      </c>
      <c r="N1929" s="6">
        <v>11.78</v>
      </c>
      <c r="O1929" s="6" t="s">
        <v>24</v>
      </c>
      <c r="P1929" s="6" t="b">
        <v>0</v>
      </c>
      <c r="Q1929" s="9" t="s">
        <v>25</v>
      </c>
    </row>
    <row r="1930" spans="1:17" x14ac:dyDescent="0.25">
      <c r="A1930" s="5" t="s">
        <v>1980</v>
      </c>
      <c r="B1930" s="6" t="s">
        <v>46</v>
      </c>
      <c r="C1930" s="6" t="s">
        <v>39</v>
      </c>
      <c r="D1930" s="6" t="s">
        <v>20</v>
      </c>
      <c r="E1930" s="6" t="s">
        <v>44</v>
      </c>
      <c r="F1930" s="6" t="s">
        <v>40</v>
      </c>
      <c r="G1930" s="6">
        <v>22</v>
      </c>
      <c r="H1930" s="7">
        <v>556.28</v>
      </c>
      <c r="I1930" s="7">
        <v>12238.16</v>
      </c>
      <c r="J1930" s="8">
        <v>44961</v>
      </c>
      <c r="K1930" s="6">
        <v>20</v>
      </c>
      <c r="L1930" s="6" t="s">
        <v>41</v>
      </c>
      <c r="M1930" s="6" t="b">
        <v>0</v>
      </c>
      <c r="N1930" s="6">
        <v>26.59</v>
      </c>
      <c r="O1930" s="6" t="s">
        <v>56</v>
      </c>
      <c r="P1930" s="6" t="b">
        <v>1</v>
      </c>
      <c r="Q1930" s="9" t="s">
        <v>36</v>
      </c>
    </row>
    <row r="1931" spans="1:17" x14ac:dyDescent="0.25">
      <c r="A1931" s="5" t="s">
        <v>1981</v>
      </c>
      <c r="B1931" s="6" t="s">
        <v>18</v>
      </c>
      <c r="C1931" s="6" t="s">
        <v>19</v>
      </c>
      <c r="D1931" s="6" t="s">
        <v>47</v>
      </c>
      <c r="E1931" s="6" t="s">
        <v>44</v>
      </c>
      <c r="F1931" s="6" t="s">
        <v>40</v>
      </c>
      <c r="G1931" s="6">
        <v>65</v>
      </c>
      <c r="H1931" s="7">
        <v>1021.96</v>
      </c>
      <c r="I1931" s="7">
        <v>66427.399999999994</v>
      </c>
      <c r="J1931" s="8">
        <v>45039</v>
      </c>
      <c r="K1931" s="6">
        <v>45</v>
      </c>
      <c r="L1931" s="6" t="s">
        <v>41</v>
      </c>
      <c r="M1931" s="6" t="b">
        <v>1</v>
      </c>
      <c r="N1931" s="6">
        <v>15.29</v>
      </c>
      <c r="O1931" s="6" t="s">
        <v>56</v>
      </c>
      <c r="P1931" s="6" t="b">
        <v>1</v>
      </c>
      <c r="Q1931" s="9" t="s">
        <v>36</v>
      </c>
    </row>
    <row r="1932" spans="1:17" x14ac:dyDescent="0.25">
      <c r="A1932" s="5" t="s">
        <v>1982</v>
      </c>
      <c r="B1932" s="6" t="s">
        <v>18</v>
      </c>
      <c r="C1932" s="6" t="s">
        <v>33</v>
      </c>
      <c r="D1932" s="6" t="s">
        <v>64</v>
      </c>
      <c r="E1932" s="6" t="s">
        <v>35</v>
      </c>
      <c r="F1932" s="6" t="s">
        <v>48</v>
      </c>
      <c r="G1932" s="6">
        <v>29</v>
      </c>
      <c r="H1932" s="7">
        <v>981.52</v>
      </c>
      <c r="I1932" s="7">
        <v>28464.080000000002</v>
      </c>
      <c r="J1932" s="8">
        <v>45234</v>
      </c>
      <c r="K1932" s="6">
        <v>31</v>
      </c>
      <c r="L1932" s="6" t="s">
        <v>49</v>
      </c>
      <c r="M1932" s="6" t="b">
        <v>0</v>
      </c>
      <c r="N1932" s="6">
        <v>21.51</v>
      </c>
      <c r="O1932" s="6" t="s">
        <v>42</v>
      </c>
      <c r="P1932" s="6" t="b">
        <v>0</v>
      </c>
      <c r="Q1932" s="9" t="s">
        <v>36</v>
      </c>
    </row>
    <row r="1933" spans="1:17" x14ac:dyDescent="0.25">
      <c r="A1933" s="5" t="s">
        <v>1983</v>
      </c>
      <c r="B1933" s="6" t="s">
        <v>32</v>
      </c>
      <c r="C1933" s="6" t="s">
        <v>33</v>
      </c>
      <c r="D1933" s="6" t="s">
        <v>20</v>
      </c>
      <c r="E1933" s="6" t="s">
        <v>28</v>
      </c>
      <c r="F1933" s="6" t="s">
        <v>22</v>
      </c>
      <c r="G1933" s="6">
        <v>48</v>
      </c>
      <c r="H1933" s="7">
        <v>1399.98</v>
      </c>
      <c r="I1933" s="7">
        <v>67199.039999999994</v>
      </c>
      <c r="J1933" s="8">
        <v>44979</v>
      </c>
      <c r="K1933" s="6">
        <v>69</v>
      </c>
      <c r="L1933" s="6" t="s">
        <v>49</v>
      </c>
      <c r="M1933" s="6" t="b">
        <v>0</v>
      </c>
      <c r="N1933" s="6">
        <v>1.36</v>
      </c>
      <c r="O1933" s="6" t="s">
        <v>24</v>
      </c>
      <c r="P1933" s="6" t="b">
        <v>1</v>
      </c>
      <c r="Q1933" s="9" t="s">
        <v>25</v>
      </c>
    </row>
    <row r="1934" spans="1:17" x14ac:dyDescent="0.25">
      <c r="A1934" s="5" t="s">
        <v>1984</v>
      </c>
      <c r="B1934" s="6" t="s">
        <v>72</v>
      </c>
      <c r="C1934" s="6" t="s">
        <v>39</v>
      </c>
      <c r="D1934" s="6" t="s">
        <v>34</v>
      </c>
      <c r="E1934" s="6" t="s">
        <v>28</v>
      </c>
      <c r="F1934" s="6" t="s">
        <v>29</v>
      </c>
      <c r="G1934" s="6">
        <v>5</v>
      </c>
      <c r="H1934" s="7">
        <v>1270.05</v>
      </c>
      <c r="I1934" s="7">
        <v>6350.25</v>
      </c>
      <c r="J1934" s="8">
        <v>45007</v>
      </c>
      <c r="K1934" s="6">
        <v>47</v>
      </c>
      <c r="L1934" s="6" t="s">
        <v>41</v>
      </c>
      <c r="M1934" s="6" t="b">
        <v>1</v>
      </c>
      <c r="N1934" s="6">
        <v>16.72</v>
      </c>
      <c r="O1934" s="6" t="s">
        <v>56</v>
      </c>
      <c r="P1934" s="6" t="b">
        <v>1</v>
      </c>
      <c r="Q1934" s="9" t="s">
        <v>36</v>
      </c>
    </row>
    <row r="1935" spans="1:17" x14ac:dyDescent="0.25">
      <c r="A1935" s="5" t="s">
        <v>1985</v>
      </c>
      <c r="B1935" s="6" t="s">
        <v>46</v>
      </c>
      <c r="C1935" s="6" t="s">
        <v>33</v>
      </c>
      <c r="D1935" s="6" t="s">
        <v>52</v>
      </c>
      <c r="E1935" s="6" t="s">
        <v>21</v>
      </c>
      <c r="F1935" s="6" t="s">
        <v>29</v>
      </c>
      <c r="G1935" s="6">
        <v>35</v>
      </c>
      <c r="H1935" s="7">
        <v>988.8</v>
      </c>
      <c r="I1935" s="7">
        <v>34608</v>
      </c>
      <c r="J1935" s="8">
        <v>45542</v>
      </c>
      <c r="K1935" s="6">
        <v>22</v>
      </c>
      <c r="L1935" s="6" t="s">
        <v>23</v>
      </c>
      <c r="M1935" s="6" t="b">
        <v>1</v>
      </c>
      <c r="N1935" s="6">
        <v>2.1</v>
      </c>
      <c r="O1935" s="6" t="s">
        <v>30</v>
      </c>
      <c r="P1935" s="6" t="b">
        <v>1</v>
      </c>
      <c r="Q1935" s="9" t="s">
        <v>36</v>
      </c>
    </row>
    <row r="1936" spans="1:17" x14ac:dyDescent="0.25">
      <c r="A1936" s="5" t="s">
        <v>1986</v>
      </c>
      <c r="B1936" s="6" t="s">
        <v>46</v>
      </c>
      <c r="C1936" s="6" t="s">
        <v>39</v>
      </c>
      <c r="D1936" s="6" t="s">
        <v>52</v>
      </c>
      <c r="E1936" s="6" t="s">
        <v>35</v>
      </c>
      <c r="F1936" s="6" t="s">
        <v>48</v>
      </c>
      <c r="G1936" s="6">
        <v>74</v>
      </c>
      <c r="H1936" s="7">
        <v>545.19000000000005</v>
      </c>
      <c r="I1936" s="7">
        <v>40344.06</v>
      </c>
      <c r="J1936" s="8">
        <v>45295</v>
      </c>
      <c r="K1936" s="6">
        <v>66</v>
      </c>
      <c r="L1936" s="6" t="s">
        <v>49</v>
      </c>
      <c r="M1936" s="6" t="b">
        <v>1</v>
      </c>
      <c r="N1936" s="6">
        <v>8.06</v>
      </c>
      <c r="O1936" s="6" t="s">
        <v>24</v>
      </c>
      <c r="P1936" s="6" t="b">
        <v>1</v>
      </c>
      <c r="Q1936" s="9" t="s">
        <v>25</v>
      </c>
    </row>
    <row r="1937" spans="1:17" x14ac:dyDescent="0.25">
      <c r="A1937" s="5" t="s">
        <v>1987</v>
      </c>
      <c r="B1937" s="6" t="s">
        <v>32</v>
      </c>
      <c r="C1937" s="6" t="s">
        <v>33</v>
      </c>
      <c r="D1937" s="6" t="s">
        <v>47</v>
      </c>
      <c r="E1937" s="6" t="s">
        <v>28</v>
      </c>
      <c r="F1937" s="6" t="s">
        <v>29</v>
      </c>
      <c r="G1937" s="6">
        <v>83</v>
      </c>
      <c r="H1937" s="7">
        <v>1180.3900000000001</v>
      </c>
      <c r="I1937" s="7">
        <v>97972.37</v>
      </c>
      <c r="J1937" s="8">
        <v>45168</v>
      </c>
      <c r="K1937" s="6">
        <v>32</v>
      </c>
      <c r="L1937" s="6" t="s">
        <v>41</v>
      </c>
      <c r="M1937" s="6" t="b">
        <v>0</v>
      </c>
      <c r="N1937" s="6">
        <v>17</v>
      </c>
      <c r="O1937" s="6" t="s">
        <v>24</v>
      </c>
      <c r="P1937" s="6" t="b">
        <v>1</v>
      </c>
      <c r="Q1937" s="9" t="s">
        <v>36</v>
      </c>
    </row>
    <row r="1938" spans="1:17" x14ac:dyDescent="0.25">
      <c r="A1938" s="5" t="s">
        <v>1988</v>
      </c>
      <c r="B1938" s="6" t="s">
        <v>27</v>
      </c>
      <c r="C1938" s="6" t="s">
        <v>33</v>
      </c>
      <c r="D1938" s="6" t="s">
        <v>20</v>
      </c>
      <c r="E1938" s="6" t="s">
        <v>35</v>
      </c>
      <c r="F1938" s="6" t="s">
        <v>48</v>
      </c>
      <c r="G1938" s="6">
        <v>71</v>
      </c>
      <c r="H1938" s="7">
        <v>884.05</v>
      </c>
      <c r="I1938" s="7">
        <v>62767.55</v>
      </c>
      <c r="J1938" s="8">
        <v>44957</v>
      </c>
      <c r="K1938" s="6">
        <v>55</v>
      </c>
      <c r="L1938" s="6" t="s">
        <v>49</v>
      </c>
      <c r="M1938" s="6" t="b">
        <v>0</v>
      </c>
      <c r="N1938" s="6">
        <v>24.21</v>
      </c>
      <c r="O1938" s="6" t="s">
        <v>42</v>
      </c>
      <c r="P1938" s="6" t="b">
        <v>0</v>
      </c>
      <c r="Q1938" s="9" t="s">
        <v>25</v>
      </c>
    </row>
    <row r="1939" spans="1:17" x14ac:dyDescent="0.25">
      <c r="A1939" s="5" t="s">
        <v>1989</v>
      </c>
      <c r="B1939" s="6" t="s">
        <v>27</v>
      </c>
      <c r="C1939" s="6" t="s">
        <v>39</v>
      </c>
      <c r="D1939" s="6" t="s">
        <v>34</v>
      </c>
      <c r="E1939" s="6" t="s">
        <v>28</v>
      </c>
      <c r="F1939" s="6" t="s">
        <v>40</v>
      </c>
      <c r="G1939" s="6">
        <v>46</v>
      </c>
      <c r="H1939" s="7">
        <v>1478.64</v>
      </c>
      <c r="I1939" s="7">
        <v>68017.440000000002</v>
      </c>
      <c r="J1939" s="8">
        <v>45287</v>
      </c>
      <c r="K1939" s="6">
        <v>31</v>
      </c>
      <c r="L1939" s="6" t="s">
        <v>23</v>
      </c>
      <c r="M1939" s="6" t="b">
        <v>0</v>
      </c>
      <c r="N1939" s="6">
        <v>16.829999999999998</v>
      </c>
      <c r="O1939" s="6" t="s">
        <v>30</v>
      </c>
      <c r="P1939" s="6" t="b">
        <v>1</v>
      </c>
      <c r="Q1939" s="9" t="s">
        <v>25</v>
      </c>
    </row>
    <row r="1940" spans="1:17" x14ac:dyDescent="0.25">
      <c r="A1940" s="5" t="s">
        <v>1990</v>
      </c>
      <c r="B1940" s="6" t="s">
        <v>27</v>
      </c>
      <c r="C1940" s="6" t="s">
        <v>19</v>
      </c>
      <c r="D1940" s="6" t="s">
        <v>20</v>
      </c>
      <c r="E1940" s="6" t="s">
        <v>21</v>
      </c>
      <c r="F1940" s="6" t="s">
        <v>22</v>
      </c>
      <c r="G1940" s="6">
        <v>35</v>
      </c>
      <c r="H1940" s="7">
        <v>408.88</v>
      </c>
      <c r="I1940" s="7">
        <v>14310.8</v>
      </c>
      <c r="J1940" s="8">
        <v>45159</v>
      </c>
      <c r="K1940" s="6">
        <v>31</v>
      </c>
      <c r="L1940" s="6" t="s">
        <v>23</v>
      </c>
      <c r="M1940" s="6" t="b">
        <v>0</v>
      </c>
      <c r="N1940" s="6">
        <v>28.09</v>
      </c>
      <c r="O1940" s="6" t="s">
        <v>42</v>
      </c>
      <c r="P1940" s="6" t="b">
        <v>1</v>
      </c>
      <c r="Q1940" s="9" t="s">
        <v>25</v>
      </c>
    </row>
    <row r="1941" spans="1:17" x14ac:dyDescent="0.25">
      <c r="A1941" s="5" t="s">
        <v>1991</v>
      </c>
      <c r="B1941" s="6" t="s">
        <v>62</v>
      </c>
      <c r="C1941" s="6" t="s">
        <v>33</v>
      </c>
      <c r="D1941" s="6" t="s">
        <v>52</v>
      </c>
      <c r="E1941" s="6" t="s">
        <v>21</v>
      </c>
      <c r="F1941" s="6" t="s">
        <v>48</v>
      </c>
      <c r="G1941" s="6">
        <v>45</v>
      </c>
      <c r="H1941" s="7">
        <v>165.5</v>
      </c>
      <c r="I1941" s="7">
        <v>7447.5</v>
      </c>
      <c r="J1941" s="8">
        <v>45536</v>
      </c>
      <c r="K1941" s="6">
        <v>66</v>
      </c>
      <c r="L1941" s="6" t="s">
        <v>23</v>
      </c>
      <c r="M1941" s="6" t="b">
        <v>0</v>
      </c>
      <c r="N1941" s="6">
        <v>24.31</v>
      </c>
      <c r="O1941" s="6" t="s">
        <v>24</v>
      </c>
      <c r="P1941" s="6" t="b">
        <v>1</v>
      </c>
      <c r="Q1941" s="9" t="s">
        <v>36</v>
      </c>
    </row>
    <row r="1942" spans="1:17" x14ac:dyDescent="0.25">
      <c r="A1942" s="5" t="s">
        <v>1992</v>
      </c>
      <c r="B1942" s="6" t="s">
        <v>18</v>
      </c>
      <c r="C1942" s="6" t="s">
        <v>19</v>
      </c>
      <c r="D1942" s="6" t="s">
        <v>20</v>
      </c>
      <c r="E1942" s="6" t="s">
        <v>35</v>
      </c>
      <c r="F1942" s="6" t="s">
        <v>29</v>
      </c>
      <c r="G1942" s="6">
        <v>13</v>
      </c>
      <c r="H1942" s="7">
        <v>151.34</v>
      </c>
      <c r="I1942" s="7">
        <v>1967.42</v>
      </c>
      <c r="J1942" s="8">
        <v>44960</v>
      </c>
      <c r="K1942" s="6">
        <v>25</v>
      </c>
      <c r="L1942" s="6" t="s">
        <v>41</v>
      </c>
      <c r="M1942" s="6" t="b">
        <v>1</v>
      </c>
      <c r="N1942" s="6">
        <v>4.6900000000000004</v>
      </c>
      <c r="O1942" s="6" t="s">
        <v>42</v>
      </c>
      <c r="P1942" s="6" t="b">
        <v>1</v>
      </c>
      <c r="Q1942" s="9" t="s">
        <v>25</v>
      </c>
    </row>
    <row r="1943" spans="1:17" x14ac:dyDescent="0.25">
      <c r="A1943" s="5" t="s">
        <v>1993</v>
      </c>
      <c r="B1943" s="6" t="s">
        <v>62</v>
      </c>
      <c r="C1943" s="6" t="s">
        <v>33</v>
      </c>
      <c r="D1943" s="6" t="s">
        <v>34</v>
      </c>
      <c r="E1943" s="6" t="s">
        <v>28</v>
      </c>
      <c r="F1943" s="6" t="s">
        <v>48</v>
      </c>
      <c r="G1943" s="6">
        <v>10</v>
      </c>
      <c r="H1943" s="7">
        <v>978.04</v>
      </c>
      <c r="I1943" s="7">
        <v>9780.4</v>
      </c>
      <c r="J1943" s="8">
        <v>45169</v>
      </c>
      <c r="K1943" s="6">
        <v>25</v>
      </c>
      <c r="L1943" s="6" t="s">
        <v>41</v>
      </c>
      <c r="M1943" s="6" t="b">
        <v>0</v>
      </c>
      <c r="N1943" s="6">
        <v>11.67</v>
      </c>
      <c r="O1943" s="6" t="s">
        <v>24</v>
      </c>
      <c r="P1943" s="6" t="b">
        <v>0</v>
      </c>
      <c r="Q1943" s="9" t="s">
        <v>36</v>
      </c>
    </row>
    <row r="1944" spans="1:17" x14ac:dyDescent="0.25">
      <c r="A1944" s="5" t="s">
        <v>1994</v>
      </c>
      <c r="B1944" s="6" t="s">
        <v>72</v>
      </c>
      <c r="C1944" s="6" t="s">
        <v>33</v>
      </c>
      <c r="D1944" s="6" t="s">
        <v>47</v>
      </c>
      <c r="E1944" s="6" t="s">
        <v>44</v>
      </c>
      <c r="F1944" s="6" t="s">
        <v>40</v>
      </c>
      <c r="G1944" s="6">
        <v>66</v>
      </c>
      <c r="H1944" s="7">
        <v>1411.93</v>
      </c>
      <c r="I1944" s="7">
        <v>93187.38</v>
      </c>
      <c r="J1944" s="8">
        <v>44985</v>
      </c>
      <c r="K1944" s="6">
        <v>36</v>
      </c>
      <c r="L1944" s="6" t="s">
        <v>23</v>
      </c>
      <c r="M1944" s="6" t="b">
        <v>0</v>
      </c>
      <c r="N1944" s="6">
        <v>20.05</v>
      </c>
      <c r="O1944" s="6" t="s">
        <v>24</v>
      </c>
      <c r="P1944" s="6" t="b">
        <v>1</v>
      </c>
      <c r="Q1944" s="9" t="s">
        <v>25</v>
      </c>
    </row>
    <row r="1945" spans="1:17" x14ac:dyDescent="0.25">
      <c r="A1945" s="5" t="s">
        <v>1995</v>
      </c>
      <c r="B1945" s="6" t="s">
        <v>32</v>
      </c>
      <c r="C1945" s="6" t="s">
        <v>33</v>
      </c>
      <c r="D1945" s="6" t="s">
        <v>64</v>
      </c>
      <c r="E1945" s="6" t="s">
        <v>21</v>
      </c>
      <c r="F1945" s="6" t="s">
        <v>29</v>
      </c>
      <c r="G1945" s="6">
        <v>70</v>
      </c>
      <c r="H1945" s="7">
        <v>52.8</v>
      </c>
      <c r="I1945" s="7">
        <v>3696</v>
      </c>
      <c r="J1945" s="8">
        <v>45455</v>
      </c>
      <c r="K1945" s="6">
        <v>49</v>
      </c>
      <c r="L1945" s="6" t="s">
        <v>49</v>
      </c>
      <c r="M1945" s="6" t="b">
        <v>0</v>
      </c>
      <c r="N1945" s="6">
        <v>28.15</v>
      </c>
      <c r="O1945" s="6" t="s">
        <v>42</v>
      </c>
      <c r="P1945" s="6" t="b">
        <v>0</v>
      </c>
      <c r="Q1945" s="9" t="s">
        <v>36</v>
      </c>
    </row>
    <row r="1946" spans="1:17" x14ac:dyDescent="0.25">
      <c r="A1946" s="5" t="s">
        <v>1996</v>
      </c>
      <c r="B1946" s="6" t="s">
        <v>46</v>
      </c>
      <c r="C1946" s="6" t="s">
        <v>33</v>
      </c>
      <c r="D1946" s="6" t="s">
        <v>20</v>
      </c>
      <c r="E1946" s="6" t="s">
        <v>35</v>
      </c>
      <c r="F1946" s="6" t="s">
        <v>40</v>
      </c>
      <c r="G1946" s="6">
        <v>72</v>
      </c>
      <c r="H1946" s="7">
        <v>1102.3699999999999</v>
      </c>
      <c r="I1946" s="7">
        <v>79370.64</v>
      </c>
      <c r="J1946" s="8">
        <v>45004</v>
      </c>
      <c r="K1946" s="6">
        <v>48</v>
      </c>
      <c r="L1946" s="6" t="s">
        <v>49</v>
      </c>
      <c r="M1946" s="6" t="b">
        <v>1</v>
      </c>
      <c r="N1946" s="6">
        <v>29.63</v>
      </c>
      <c r="O1946" s="6" t="s">
        <v>42</v>
      </c>
      <c r="P1946" s="6" t="b">
        <v>0</v>
      </c>
      <c r="Q1946" s="9" t="s">
        <v>25</v>
      </c>
    </row>
    <row r="1947" spans="1:17" x14ac:dyDescent="0.25">
      <c r="A1947" s="5" t="s">
        <v>1997</v>
      </c>
      <c r="B1947" s="6" t="s">
        <v>18</v>
      </c>
      <c r="C1947" s="6" t="s">
        <v>19</v>
      </c>
      <c r="D1947" s="6" t="s">
        <v>64</v>
      </c>
      <c r="E1947" s="6" t="s">
        <v>35</v>
      </c>
      <c r="F1947" s="6" t="s">
        <v>40</v>
      </c>
      <c r="G1947" s="6">
        <v>25</v>
      </c>
      <c r="H1947" s="7">
        <v>1002.74</v>
      </c>
      <c r="I1947" s="7">
        <v>25068.5</v>
      </c>
      <c r="J1947" s="8">
        <v>45228</v>
      </c>
      <c r="K1947" s="6">
        <v>46</v>
      </c>
      <c r="L1947" s="6" t="s">
        <v>23</v>
      </c>
      <c r="M1947" s="6" t="b">
        <v>0</v>
      </c>
      <c r="N1947" s="6">
        <v>22.9</v>
      </c>
      <c r="O1947" s="6" t="s">
        <v>24</v>
      </c>
      <c r="P1947" s="6" t="b">
        <v>1</v>
      </c>
      <c r="Q1947" s="9" t="s">
        <v>25</v>
      </c>
    </row>
    <row r="1948" spans="1:17" x14ac:dyDescent="0.25">
      <c r="A1948" s="5" t="s">
        <v>1998</v>
      </c>
      <c r="B1948" s="6" t="s">
        <v>62</v>
      </c>
      <c r="C1948" s="6" t="s">
        <v>19</v>
      </c>
      <c r="D1948" s="6" t="s">
        <v>52</v>
      </c>
      <c r="E1948" s="6" t="s">
        <v>28</v>
      </c>
      <c r="F1948" s="6" t="s">
        <v>48</v>
      </c>
      <c r="G1948" s="6">
        <v>44</v>
      </c>
      <c r="H1948" s="7">
        <v>1111.8399999999999</v>
      </c>
      <c r="I1948" s="7">
        <v>48920.959999999999</v>
      </c>
      <c r="J1948" s="8">
        <v>45038</v>
      </c>
      <c r="K1948" s="6">
        <v>58</v>
      </c>
      <c r="L1948" s="6" t="s">
        <v>41</v>
      </c>
      <c r="M1948" s="6" t="b">
        <v>0</v>
      </c>
      <c r="N1948" s="6">
        <v>17.21</v>
      </c>
      <c r="O1948" s="6" t="s">
        <v>42</v>
      </c>
      <c r="P1948" s="6" t="b">
        <v>1</v>
      </c>
      <c r="Q1948" s="9" t="s">
        <v>25</v>
      </c>
    </row>
    <row r="1949" spans="1:17" x14ac:dyDescent="0.25">
      <c r="A1949" s="5" t="s">
        <v>1999</v>
      </c>
      <c r="B1949" s="6" t="s">
        <v>62</v>
      </c>
      <c r="C1949" s="6" t="s">
        <v>33</v>
      </c>
      <c r="D1949" s="6" t="s">
        <v>47</v>
      </c>
      <c r="E1949" s="6" t="s">
        <v>35</v>
      </c>
      <c r="F1949" s="6" t="s">
        <v>40</v>
      </c>
      <c r="G1949" s="6">
        <v>60</v>
      </c>
      <c r="H1949" s="7">
        <v>565.34</v>
      </c>
      <c r="I1949" s="7">
        <v>33920.400000000001</v>
      </c>
      <c r="J1949" s="8">
        <v>45339</v>
      </c>
      <c r="K1949" s="6">
        <v>28</v>
      </c>
      <c r="L1949" s="6" t="s">
        <v>49</v>
      </c>
      <c r="M1949" s="6" t="b">
        <v>0</v>
      </c>
      <c r="N1949" s="6">
        <v>22.7</v>
      </c>
      <c r="O1949" s="6" t="s">
        <v>42</v>
      </c>
      <c r="P1949" s="6" t="b">
        <v>0</v>
      </c>
      <c r="Q1949" s="9" t="s">
        <v>36</v>
      </c>
    </row>
    <row r="1950" spans="1:17" x14ac:dyDescent="0.25">
      <c r="A1950" s="5" t="s">
        <v>2000</v>
      </c>
      <c r="B1950" s="6" t="s">
        <v>38</v>
      </c>
      <c r="C1950" s="6" t="s">
        <v>33</v>
      </c>
      <c r="D1950" s="6" t="s">
        <v>47</v>
      </c>
      <c r="E1950" s="6" t="s">
        <v>21</v>
      </c>
      <c r="F1950" s="6" t="s">
        <v>29</v>
      </c>
      <c r="G1950" s="6">
        <v>47</v>
      </c>
      <c r="H1950" s="7">
        <v>1239.72</v>
      </c>
      <c r="I1950" s="7">
        <v>58266.84</v>
      </c>
      <c r="J1950" s="8">
        <v>45243</v>
      </c>
      <c r="K1950" s="6">
        <v>62</v>
      </c>
      <c r="L1950" s="6" t="s">
        <v>49</v>
      </c>
      <c r="M1950" s="6" t="b">
        <v>0</v>
      </c>
      <c r="N1950" s="6">
        <v>8.1999999999999993</v>
      </c>
      <c r="O1950" s="6" t="s">
        <v>24</v>
      </c>
      <c r="P1950" s="6" t="b">
        <v>0</v>
      </c>
      <c r="Q1950" s="9" t="s">
        <v>25</v>
      </c>
    </row>
    <row r="1951" spans="1:17" x14ac:dyDescent="0.25">
      <c r="A1951" s="5" t="s">
        <v>2001</v>
      </c>
      <c r="B1951" s="6" t="s">
        <v>62</v>
      </c>
      <c r="C1951" s="6" t="s">
        <v>19</v>
      </c>
      <c r="D1951" s="6" t="s">
        <v>20</v>
      </c>
      <c r="E1951" s="6" t="s">
        <v>35</v>
      </c>
      <c r="F1951" s="6" t="s">
        <v>40</v>
      </c>
      <c r="G1951" s="6">
        <v>40</v>
      </c>
      <c r="H1951" s="7">
        <v>114.83</v>
      </c>
      <c r="I1951" s="7">
        <v>4593.2</v>
      </c>
      <c r="J1951" s="8">
        <v>45071</v>
      </c>
      <c r="K1951" s="6">
        <v>30</v>
      </c>
      <c r="L1951" s="6" t="s">
        <v>49</v>
      </c>
      <c r="M1951" s="6" t="b">
        <v>1</v>
      </c>
      <c r="N1951" s="6">
        <v>8.51</v>
      </c>
      <c r="O1951" s="6" t="s">
        <v>30</v>
      </c>
      <c r="P1951" s="6" t="b">
        <v>0</v>
      </c>
      <c r="Q1951" s="9" t="s">
        <v>36</v>
      </c>
    </row>
    <row r="1952" spans="1:17" x14ac:dyDescent="0.25">
      <c r="A1952" s="5" t="s">
        <v>2002</v>
      </c>
      <c r="B1952" s="6" t="s">
        <v>76</v>
      </c>
      <c r="C1952" s="6" t="s">
        <v>39</v>
      </c>
      <c r="D1952" s="6" t="s">
        <v>47</v>
      </c>
      <c r="E1952" s="6" t="s">
        <v>35</v>
      </c>
      <c r="F1952" s="6" t="s">
        <v>40</v>
      </c>
      <c r="G1952" s="6">
        <v>7</v>
      </c>
      <c r="H1952" s="7">
        <v>1145.3800000000001</v>
      </c>
      <c r="I1952" s="7">
        <v>8017.66</v>
      </c>
      <c r="J1952" s="8">
        <v>45594</v>
      </c>
      <c r="K1952" s="6">
        <v>44</v>
      </c>
      <c r="L1952" s="6" t="s">
        <v>41</v>
      </c>
      <c r="M1952" s="6" t="b">
        <v>1</v>
      </c>
      <c r="N1952" s="6">
        <v>19.63</v>
      </c>
      <c r="O1952" s="6" t="s">
        <v>42</v>
      </c>
      <c r="P1952" s="6" t="b">
        <v>1</v>
      </c>
      <c r="Q1952" s="9" t="s">
        <v>36</v>
      </c>
    </row>
    <row r="1953" spans="1:17" x14ac:dyDescent="0.25">
      <c r="A1953" s="5" t="s">
        <v>2003</v>
      </c>
      <c r="B1953" s="6" t="s">
        <v>46</v>
      </c>
      <c r="C1953" s="6" t="s">
        <v>39</v>
      </c>
      <c r="D1953" s="6" t="s">
        <v>20</v>
      </c>
      <c r="E1953" s="6" t="s">
        <v>44</v>
      </c>
      <c r="F1953" s="6" t="s">
        <v>48</v>
      </c>
      <c r="G1953" s="6">
        <v>46</v>
      </c>
      <c r="H1953" s="7">
        <v>437.25</v>
      </c>
      <c r="I1953" s="7">
        <v>20113.5</v>
      </c>
      <c r="J1953" s="8">
        <v>45574</v>
      </c>
      <c r="K1953" s="6">
        <v>36</v>
      </c>
      <c r="L1953" s="6" t="s">
        <v>23</v>
      </c>
      <c r="M1953" s="6" t="b">
        <v>1</v>
      </c>
      <c r="N1953" s="6">
        <v>26.16</v>
      </c>
      <c r="O1953" s="6" t="s">
        <v>42</v>
      </c>
      <c r="P1953" s="6" t="b">
        <v>0</v>
      </c>
      <c r="Q1953" s="9" t="s">
        <v>36</v>
      </c>
    </row>
    <row r="1954" spans="1:17" x14ac:dyDescent="0.25">
      <c r="A1954" s="5" t="s">
        <v>2004</v>
      </c>
      <c r="B1954" s="6" t="s">
        <v>76</v>
      </c>
      <c r="C1954" s="6" t="s">
        <v>19</v>
      </c>
      <c r="D1954" s="6" t="s">
        <v>20</v>
      </c>
      <c r="E1954" s="6" t="s">
        <v>44</v>
      </c>
      <c r="F1954" s="6" t="s">
        <v>40</v>
      </c>
      <c r="G1954" s="6">
        <v>23</v>
      </c>
      <c r="H1954" s="7">
        <v>741.41</v>
      </c>
      <c r="I1954" s="7">
        <v>17052.43</v>
      </c>
      <c r="J1954" s="8">
        <v>44944</v>
      </c>
      <c r="K1954" s="6">
        <v>43</v>
      </c>
      <c r="L1954" s="6" t="s">
        <v>41</v>
      </c>
      <c r="M1954" s="6" t="b">
        <v>0</v>
      </c>
      <c r="N1954" s="6">
        <v>29.09</v>
      </c>
      <c r="O1954" s="6" t="s">
        <v>56</v>
      </c>
      <c r="P1954" s="6" t="b">
        <v>1</v>
      </c>
      <c r="Q1954" s="9" t="s">
        <v>36</v>
      </c>
    </row>
    <row r="1955" spans="1:17" x14ac:dyDescent="0.25">
      <c r="A1955" s="5" t="s">
        <v>2005</v>
      </c>
      <c r="B1955" s="6" t="s">
        <v>46</v>
      </c>
      <c r="C1955" s="6" t="s">
        <v>33</v>
      </c>
      <c r="D1955" s="6" t="s">
        <v>64</v>
      </c>
      <c r="E1955" s="6" t="s">
        <v>21</v>
      </c>
      <c r="F1955" s="6" t="s">
        <v>22</v>
      </c>
      <c r="G1955" s="6">
        <v>83</v>
      </c>
      <c r="H1955" s="7">
        <v>1242.82</v>
      </c>
      <c r="I1955" s="7">
        <v>103154.06</v>
      </c>
      <c r="J1955" s="8">
        <v>45277</v>
      </c>
      <c r="K1955" s="6">
        <v>68</v>
      </c>
      <c r="L1955" s="6" t="s">
        <v>49</v>
      </c>
      <c r="M1955" s="6" t="b">
        <v>1</v>
      </c>
      <c r="N1955" s="6">
        <v>10.24</v>
      </c>
      <c r="O1955" s="6" t="s">
        <v>30</v>
      </c>
      <c r="P1955" s="6" t="b">
        <v>0</v>
      </c>
      <c r="Q1955" s="9" t="s">
        <v>36</v>
      </c>
    </row>
    <row r="1956" spans="1:17" x14ac:dyDescent="0.25">
      <c r="A1956" s="5" t="s">
        <v>2006</v>
      </c>
      <c r="B1956" s="6" t="s">
        <v>32</v>
      </c>
      <c r="C1956" s="6" t="s">
        <v>33</v>
      </c>
      <c r="D1956" s="6" t="s">
        <v>47</v>
      </c>
      <c r="E1956" s="6" t="s">
        <v>28</v>
      </c>
      <c r="F1956" s="6" t="s">
        <v>48</v>
      </c>
      <c r="G1956" s="6">
        <v>46</v>
      </c>
      <c r="H1956" s="7">
        <v>443.47</v>
      </c>
      <c r="I1956" s="7">
        <v>20399.62</v>
      </c>
      <c r="J1956" s="8">
        <v>45081</v>
      </c>
      <c r="K1956" s="6">
        <v>54</v>
      </c>
      <c r="L1956" s="6" t="s">
        <v>23</v>
      </c>
      <c r="M1956" s="6" t="b">
        <v>1</v>
      </c>
      <c r="N1956" s="6">
        <v>23.9</v>
      </c>
      <c r="O1956" s="6" t="s">
        <v>42</v>
      </c>
      <c r="P1956" s="6" t="b">
        <v>0</v>
      </c>
      <c r="Q1956" s="9" t="s">
        <v>36</v>
      </c>
    </row>
    <row r="1957" spans="1:17" x14ac:dyDescent="0.25">
      <c r="A1957" s="5" t="s">
        <v>2007</v>
      </c>
      <c r="B1957" s="6" t="s">
        <v>46</v>
      </c>
      <c r="C1957" s="6" t="s">
        <v>39</v>
      </c>
      <c r="D1957" s="6" t="s">
        <v>20</v>
      </c>
      <c r="E1957" s="6" t="s">
        <v>44</v>
      </c>
      <c r="F1957" s="6" t="s">
        <v>48</v>
      </c>
      <c r="G1957" s="6">
        <v>86</v>
      </c>
      <c r="H1957" s="7">
        <v>318.55</v>
      </c>
      <c r="I1957" s="7">
        <v>27395.3</v>
      </c>
      <c r="J1957" s="8">
        <v>45432</v>
      </c>
      <c r="K1957" s="6">
        <v>65</v>
      </c>
      <c r="L1957" s="6" t="s">
        <v>41</v>
      </c>
      <c r="M1957" s="6" t="b">
        <v>0</v>
      </c>
      <c r="N1957" s="6">
        <v>25.55</v>
      </c>
      <c r="O1957" s="6" t="s">
        <v>24</v>
      </c>
      <c r="P1957" s="6" t="b">
        <v>1</v>
      </c>
      <c r="Q1957" s="9" t="s">
        <v>25</v>
      </c>
    </row>
    <row r="1958" spans="1:17" x14ac:dyDescent="0.25">
      <c r="A1958" s="5" t="s">
        <v>2008</v>
      </c>
      <c r="B1958" s="6" t="s">
        <v>76</v>
      </c>
      <c r="C1958" s="6" t="s">
        <v>39</v>
      </c>
      <c r="D1958" s="6" t="s">
        <v>64</v>
      </c>
      <c r="E1958" s="6" t="s">
        <v>28</v>
      </c>
      <c r="F1958" s="6" t="s">
        <v>29</v>
      </c>
      <c r="G1958" s="6">
        <v>13</v>
      </c>
      <c r="H1958" s="7">
        <v>1037.9000000000001</v>
      </c>
      <c r="I1958" s="7">
        <v>13492.7</v>
      </c>
      <c r="J1958" s="8">
        <v>45286</v>
      </c>
      <c r="K1958" s="6">
        <v>26</v>
      </c>
      <c r="L1958" s="6" t="s">
        <v>23</v>
      </c>
      <c r="M1958" s="6" t="b">
        <v>0</v>
      </c>
      <c r="N1958" s="6">
        <v>18.7</v>
      </c>
      <c r="O1958" s="6" t="s">
        <v>56</v>
      </c>
      <c r="P1958" s="6" t="b">
        <v>1</v>
      </c>
      <c r="Q1958" s="9" t="s">
        <v>25</v>
      </c>
    </row>
    <row r="1959" spans="1:17" x14ac:dyDescent="0.25">
      <c r="A1959" s="5" t="s">
        <v>2009</v>
      </c>
      <c r="B1959" s="6" t="s">
        <v>46</v>
      </c>
      <c r="C1959" s="6" t="s">
        <v>19</v>
      </c>
      <c r="D1959" s="6" t="s">
        <v>34</v>
      </c>
      <c r="E1959" s="6" t="s">
        <v>21</v>
      </c>
      <c r="F1959" s="6" t="s">
        <v>29</v>
      </c>
      <c r="G1959" s="6">
        <v>21</v>
      </c>
      <c r="H1959" s="7">
        <v>823.42</v>
      </c>
      <c r="I1959" s="7">
        <v>17291.82</v>
      </c>
      <c r="J1959" s="8">
        <v>45258</v>
      </c>
      <c r="K1959" s="6">
        <v>45</v>
      </c>
      <c r="L1959" s="6" t="s">
        <v>49</v>
      </c>
      <c r="M1959" s="6" t="b">
        <v>1</v>
      </c>
      <c r="N1959" s="6">
        <v>10.43</v>
      </c>
      <c r="O1959" s="6" t="s">
        <v>56</v>
      </c>
      <c r="P1959" s="6" t="b">
        <v>0</v>
      </c>
      <c r="Q1959" s="9" t="s">
        <v>36</v>
      </c>
    </row>
    <row r="1960" spans="1:17" x14ac:dyDescent="0.25">
      <c r="A1960" s="5" t="s">
        <v>2010</v>
      </c>
      <c r="B1960" s="6" t="s">
        <v>32</v>
      </c>
      <c r="C1960" s="6" t="s">
        <v>39</v>
      </c>
      <c r="D1960" s="6" t="s">
        <v>64</v>
      </c>
      <c r="E1960" s="6" t="s">
        <v>44</v>
      </c>
      <c r="F1960" s="6" t="s">
        <v>29</v>
      </c>
      <c r="G1960" s="6">
        <v>1</v>
      </c>
      <c r="H1960" s="7">
        <v>795.89</v>
      </c>
      <c r="I1960" s="7">
        <v>795.89</v>
      </c>
      <c r="J1960" s="8">
        <v>45454</v>
      </c>
      <c r="K1960" s="6">
        <v>49</v>
      </c>
      <c r="L1960" s="6" t="s">
        <v>41</v>
      </c>
      <c r="M1960" s="6" t="b">
        <v>1</v>
      </c>
      <c r="N1960" s="6">
        <v>18.57</v>
      </c>
      <c r="O1960" s="6" t="s">
        <v>56</v>
      </c>
      <c r="P1960" s="6" t="b">
        <v>1</v>
      </c>
      <c r="Q1960" s="9" t="s">
        <v>36</v>
      </c>
    </row>
    <row r="1961" spans="1:17" x14ac:dyDescent="0.25">
      <c r="A1961" s="5" t="s">
        <v>2011</v>
      </c>
      <c r="B1961" s="6" t="s">
        <v>32</v>
      </c>
      <c r="C1961" s="6" t="s">
        <v>19</v>
      </c>
      <c r="D1961" s="6" t="s">
        <v>64</v>
      </c>
      <c r="E1961" s="6" t="s">
        <v>28</v>
      </c>
      <c r="F1961" s="6" t="s">
        <v>29</v>
      </c>
      <c r="G1961" s="6">
        <v>19</v>
      </c>
      <c r="H1961" s="7">
        <v>422.32</v>
      </c>
      <c r="I1961" s="7">
        <v>8024.08</v>
      </c>
      <c r="J1961" s="8">
        <v>44938</v>
      </c>
      <c r="K1961" s="6">
        <v>69</v>
      </c>
      <c r="L1961" s="6" t="s">
        <v>23</v>
      </c>
      <c r="M1961" s="6" t="b">
        <v>1</v>
      </c>
      <c r="N1961" s="6">
        <v>17.53</v>
      </c>
      <c r="O1961" s="6" t="s">
        <v>42</v>
      </c>
      <c r="P1961" s="6" t="b">
        <v>1</v>
      </c>
      <c r="Q1961" s="9" t="s">
        <v>25</v>
      </c>
    </row>
    <row r="1962" spans="1:17" x14ac:dyDescent="0.25">
      <c r="A1962" s="5" t="s">
        <v>2012</v>
      </c>
      <c r="B1962" s="6" t="s">
        <v>72</v>
      </c>
      <c r="C1962" s="6" t="s">
        <v>39</v>
      </c>
      <c r="D1962" s="6" t="s">
        <v>20</v>
      </c>
      <c r="E1962" s="6" t="s">
        <v>44</v>
      </c>
      <c r="F1962" s="6" t="s">
        <v>22</v>
      </c>
      <c r="G1962" s="6">
        <v>60</v>
      </c>
      <c r="H1962" s="7">
        <v>100.58</v>
      </c>
      <c r="I1962" s="7">
        <v>6034.8</v>
      </c>
      <c r="J1962" s="8">
        <v>45001</v>
      </c>
      <c r="K1962" s="6">
        <v>20</v>
      </c>
      <c r="L1962" s="6" t="s">
        <v>41</v>
      </c>
      <c r="M1962" s="6" t="b">
        <v>1</v>
      </c>
      <c r="N1962" s="6">
        <v>18.2</v>
      </c>
      <c r="O1962" s="6" t="s">
        <v>24</v>
      </c>
      <c r="P1962" s="6" t="b">
        <v>0</v>
      </c>
      <c r="Q1962" s="9" t="s">
        <v>25</v>
      </c>
    </row>
    <row r="1963" spans="1:17" x14ac:dyDescent="0.25">
      <c r="A1963" s="5" t="s">
        <v>2013</v>
      </c>
      <c r="B1963" s="6" t="s">
        <v>46</v>
      </c>
      <c r="C1963" s="6" t="s">
        <v>39</v>
      </c>
      <c r="D1963" s="6" t="s">
        <v>52</v>
      </c>
      <c r="E1963" s="6" t="s">
        <v>21</v>
      </c>
      <c r="F1963" s="6" t="s">
        <v>48</v>
      </c>
      <c r="G1963" s="6">
        <v>33</v>
      </c>
      <c r="H1963" s="7">
        <v>644.89</v>
      </c>
      <c r="I1963" s="7">
        <v>21281.37</v>
      </c>
      <c r="J1963" s="8">
        <v>45138</v>
      </c>
      <c r="K1963" s="6">
        <v>68</v>
      </c>
      <c r="L1963" s="6" t="s">
        <v>49</v>
      </c>
      <c r="M1963" s="6" t="b">
        <v>0</v>
      </c>
      <c r="N1963" s="6">
        <v>18.579999999999998</v>
      </c>
      <c r="O1963" s="6" t="s">
        <v>56</v>
      </c>
      <c r="P1963" s="6" t="b">
        <v>1</v>
      </c>
      <c r="Q1963" s="9" t="s">
        <v>36</v>
      </c>
    </row>
    <row r="1964" spans="1:17" x14ac:dyDescent="0.25">
      <c r="A1964" s="5" t="s">
        <v>2014</v>
      </c>
      <c r="B1964" s="6" t="s">
        <v>38</v>
      </c>
      <c r="C1964" s="6" t="s">
        <v>39</v>
      </c>
      <c r="D1964" s="6" t="s">
        <v>52</v>
      </c>
      <c r="E1964" s="6" t="s">
        <v>21</v>
      </c>
      <c r="F1964" s="6" t="s">
        <v>40</v>
      </c>
      <c r="G1964" s="6">
        <v>4</v>
      </c>
      <c r="H1964" s="7">
        <v>204.51</v>
      </c>
      <c r="I1964" s="7">
        <v>818.04</v>
      </c>
      <c r="J1964" s="8">
        <v>45567</v>
      </c>
      <c r="K1964" s="6">
        <v>49</v>
      </c>
      <c r="L1964" s="6" t="s">
        <v>23</v>
      </c>
      <c r="M1964" s="6" t="b">
        <v>0</v>
      </c>
      <c r="N1964" s="6">
        <v>25.41</v>
      </c>
      <c r="O1964" s="6" t="s">
        <v>30</v>
      </c>
      <c r="P1964" s="6" t="b">
        <v>1</v>
      </c>
      <c r="Q1964" s="9" t="s">
        <v>25</v>
      </c>
    </row>
    <row r="1965" spans="1:17" x14ac:dyDescent="0.25">
      <c r="A1965" s="5" t="s">
        <v>2015</v>
      </c>
      <c r="B1965" s="6" t="s">
        <v>27</v>
      </c>
      <c r="C1965" s="6" t="s">
        <v>33</v>
      </c>
      <c r="D1965" s="6" t="s">
        <v>52</v>
      </c>
      <c r="E1965" s="6" t="s">
        <v>44</v>
      </c>
      <c r="F1965" s="6" t="s">
        <v>29</v>
      </c>
      <c r="G1965" s="6">
        <v>3</v>
      </c>
      <c r="H1965" s="7">
        <v>1363.68</v>
      </c>
      <c r="I1965" s="7">
        <v>4091.04</v>
      </c>
      <c r="J1965" s="8">
        <v>45209</v>
      </c>
      <c r="K1965" s="6">
        <v>22</v>
      </c>
      <c r="L1965" s="6" t="s">
        <v>49</v>
      </c>
      <c r="M1965" s="6" t="b">
        <v>1</v>
      </c>
      <c r="N1965" s="6">
        <v>5.0999999999999996</v>
      </c>
      <c r="O1965" s="6" t="s">
        <v>56</v>
      </c>
      <c r="P1965" s="6" t="b">
        <v>0</v>
      </c>
      <c r="Q1965" s="9" t="s">
        <v>36</v>
      </c>
    </row>
    <row r="1966" spans="1:17" x14ac:dyDescent="0.25">
      <c r="A1966" s="5" t="s">
        <v>2016</v>
      </c>
      <c r="B1966" s="6" t="s">
        <v>66</v>
      </c>
      <c r="C1966" s="6" t="s">
        <v>33</v>
      </c>
      <c r="D1966" s="6" t="s">
        <v>64</v>
      </c>
      <c r="E1966" s="6" t="s">
        <v>28</v>
      </c>
      <c r="F1966" s="6" t="s">
        <v>29</v>
      </c>
      <c r="G1966" s="6">
        <v>91</v>
      </c>
      <c r="H1966" s="7">
        <v>109.81</v>
      </c>
      <c r="I1966" s="7">
        <v>9992.7099999999991</v>
      </c>
      <c r="J1966" s="8">
        <v>45121</v>
      </c>
      <c r="K1966" s="6">
        <v>25</v>
      </c>
      <c r="L1966" s="6" t="s">
        <v>23</v>
      </c>
      <c r="M1966" s="6" t="b">
        <v>1</v>
      </c>
      <c r="N1966" s="6">
        <v>11.02</v>
      </c>
      <c r="O1966" s="6" t="s">
        <v>56</v>
      </c>
      <c r="P1966" s="6" t="b">
        <v>0</v>
      </c>
      <c r="Q1966" s="9" t="s">
        <v>25</v>
      </c>
    </row>
    <row r="1967" spans="1:17" x14ac:dyDescent="0.25">
      <c r="A1967" s="5" t="s">
        <v>2017</v>
      </c>
      <c r="B1967" s="6" t="s">
        <v>32</v>
      </c>
      <c r="C1967" s="6" t="s">
        <v>33</v>
      </c>
      <c r="D1967" s="6" t="s">
        <v>20</v>
      </c>
      <c r="E1967" s="6" t="s">
        <v>35</v>
      </c>
      <c r="F1967" s="6" t="s">
        <v>29</v>
      </c>
      <c r="G1967" s="6">
        <v>52</v>
      </c>
      <c r="H1967" s="7">
        <v>675.89</v>
      </c>
      <c r="I1967" s="7">
        <v>35146.28</v>
      </c>
      <c r="J1967" s="8">
        <v>44956</v>
      </c>
      <c r="K1967" s="6">
        <v>31</v>
      </c>
      <c r="L1967" s="6" t="s">
        <v>49</v>
      </c>
      <c r="M1967" s="6" t="b">
        <v>1</v>
      </c>
      <c r="N1967" s="6">
        <v>17.579999999999998</v>
      </c>
      <c r="O1967" s="6" t="s">
        <v>30</v>
      </c>
      <c r="P1967" s="6" t="b">
        <v>1</v>
      </c>
      <c r="Q1967" s="9" t="s">
        <v>25</v>
      </c>
    </row>
    <row r="1968" spans="1:17" x14ac:dyDescent="0.25">
      <c r="A1968" s="5" t="s">
        <v>2018</v>
      </c>
      <c r="B1968" s="6" t="s">
        <v>51</v>
      </c>
      <c r="C1968" s="6" t="s">
        <v>39</v>
      </c>
      <c r="D1968" s="6" t="s">
        <v>47</v>
      </c>
      <c r="E1968" s="6" t="s">
        <v>35</v>
      </c>
      <c r="F1968" s="6" t="s">
        <v>40</v>
      </c>
      <c r="G1968" s="6">
        <v>99</v>
      </c>
      <c r="H1968" s="7">
        <v>125.76</v>
      </c>
      <c r="I1968" s="7">
        <v>12450.24</v>
      </c>
      <c r="J1968" s="8">
        <v>44935</v>
      </c>
      <c r="K1968" s="6">
        <v>20</v>
      </c>
      <c r="L1968" s="6" t="s">
        <v>49</v>
      </c>
      <c r="M1968" s="6" t="b">
        <v>0</v>
      </c>
      <c r="N1968" s="6">
        <v>8.5</v>
      </c>
      <c r="O1968" s="6" t="s">
        <v>56</v>
      </c>
      <c r="P1968" s="6" t="b">
        <v>1</v>
      </c>
      <c r="Q1968" s="9" t="s">
        <v>25</v>
      </c>
    </row>
    <row r="1969" spans="1:17" x14ac:dyDescent="0.25">
      <c r="A1969" s="5" t="s">
        <v>2019</v>
      </c>
      <c r="B1969" s="6" t="s">
        <v>27</v>
      </c>
      <c r="C1969" s="6" t="s">
        <v>19</v>
      </c>
      <c r="D1969" s="6" t="s">
        <v>64</v>
      </c>
      <c r="E1969" s="6" t="s">
        <v>44</v>
      </c>
      <c r="F1969" s="6" t="s">
        <v>29</v>
      </c>
      <c r="G1969" s="6">
        <v>28</v>
      </c>
      <c r="H1969" s="7">
        <v>188.54</v>
      </c>
      <c r="I1969" s="7">
        <v>5279.12</v>
      </c>
      <c r="J1969" s="8">
        <v>45235</v>
      </c>
      <c r="K1969" s="6">
        <v>41</v>
      </c>
      <c r="L1969" s="6" t="s">
        <v>41</v>
      </c>
      <c r="M1969" s="6" t="b">
        <v>0</v>
      </c>
      <c r="N1969" s="6">
        <v>29.34</v>
      </c>
      <c r="O1969" s="6" t="s">
        <v>56</v>
      </c>
      <c r="P1969" s="6" t="b">
        <v>1</v>
      </c>
      <c r="Q1969" s="9" t="s">
        <v>25</v>
      </c>
    </row>
    <row r="1970" spans="1:17" x14ac:dyDescent="0.25">
      <c r="A1970" s="5" t="s">
        <v>2020</v>
      </c>
      <c r="B1970" s="6" t="s">
        <v>18</v>
      </c>
      <c r="C1970" s="6" t="s">
        <v>19</v>
      </c>
      <c r="D1970" s="6" t="s">
        <v>64</v>
      </c>
      <c r="E1970" s="6" t="s">
        <v>28</v>
      </c>
      <c r="F1970" s="6" t="s">
        <v>40</v>
      </c>
      <c r="G1970" s="6">
        <v>70</v>
      </c>
      <c r="H1970" s="7">
        <v>1005.36</v>
      </c>
      <c r="I1970" s="7">
        <v>70375.199999999997</v>
      </c>
      <c r="J1970" s="8">
        <v>45371</v>
      </c>
      <c r="K1970" s="6">
        <v>30</v>
      </c>
      <c r="L1970" s="6" t="s">
        <v>49</v>
      </c>
      <c r="M1970" s="6" t="b">
        <v>0</v>
      </c>
      <c r="N1970" s="6">
        <v>7.89</v>
      </c>
      <c r="O1970" s="6" t="s">
        <v>30</v>
      </c>
      <c r="P1970" s="6" t="b">
        <v>0</v>
      </c>
      <c r="Q1970" s="9" t="s">
        <v>25</v>
      </c>
    </row>
    <row r="1971" spans="1:17" x14ac:dyDescent="0.25">
      <c r="A1971" s="5" t="s">
        <v>2021</v>
      </c>
      <c r="B1971" s="6" t="s">
        <v>46</v>
      </c>
      <c r="C1971" s="6" t="s">
        <v>19</v>
      </c>
      <c r="D1971" s="6" t="s">
        <v>20</v>
      </c>
      <c r="E1971" s="6" t="s">
        <v>35</v>
      </c>
      <c r="F1971" s="6" t="s">
        <v>48</v>
      </c>
      <c r="G1971" s="6">
        <v>70</v>
      </c>
      <c r="H1971" s="7">
        <v>988.31</v>
      </c>
      <c r="I1971" s="7">
        <v>69181.7</v>
      </c>
      <c r="J1971" s="8">
        <v>45236</v>
      </c>
      <c r="K1971" s="6">
        <v>60</v>
      </c>
      <c r="L1971" s="6" t="s">
        <v>41</v>
      </c>
      <c r="M1971" s="6" t="b">
        <v>1</v>
      </c>
      <c r="N1971" s="6">
        <v>14.09</v>
      </c>
      <c r="O1971" s="6" t="s">
        <v>42</v>
      </c>
      <c r="P1971" s="6" t="b">
        <v>0</v>
      </c>
      <c r="Q1971" s="9" t="s">
        <v>36</v>
      </c>
    </row>
    <row r="1972" spans="1:17" x14ac:dyDescent="0.25">
      <c r="A1972" s="5" t="s">
        <v>2022</v>
      </c>
      <c r="B1972" s="6" t="s">
        <v>76</v>
      </c>
      <c r="C1972" s="6" t="s">
        <v>19</v>
      </c>
      <c r="D1972" s="6" t="s">
        <v>34</v>
      </c>
      <c r="E1972" s="6" t="s">
        <v>21</v>
      </c>
      <c r="F1972" s="6" t="s">
        <v>48</v>
      </c>
      <c r="G1972" s="6">
        <v>55</v>
      </c>
      <c r="H1972" s="7">
        <v>97.93</v>
      </c>
      <c r="I1972" s="7">
        <v>5386.15</v>
      </c>
      <c r="J1972" s="8">
        <v>45352</v>
      </c>
      <c r="K1972" s="6">
        <v>46</v>
      </c>
      <c r="L1972" s="6" t="s">
        <v>49</v>
      </c>
      <c r="M1972" s="6" t="b">
        <v>0</v>
      </c>
      <c r="N1972" s="6">
        <v>26.32</v>
      </c>
      <c r="O1972" s="6" t="s">
        <v>30</v>
      </c>
      <c r="P1972" s="6" t="b">
        <v>1</v>
      </c>
      <c r="Q1972" s="9" t="s">
        <v>36</v>
      </c>
    </row>
    <row r="1973" spans="1:17" x14ac:dyDescent="0.25">
      <c r="A1973" s="5" t="s">
        <v>2023</v>
      </c>
      <c r="B1973" s="6" t="s">
        <v>66</v>
      </c>
      <c r="C1973" s="6" t="s">
        <v>33</v>
      </c>
      <c r="D1973" s="6" t="s">
        <v>64</v>
      </c>
      <c r="E1973" s="6" t="s">
        <v>28</v>
      </c>
      <c r="F1973" s="6" t="s">
        <v>48</v>
      </c>
      <c r="G1973" s="6">
        <v>57</v>
      </c>
      <c r="H1973" s="7">
        <v>51.64</v>
      </c>
      <c r="I1973" s="7">
        <v>2943.48</v>
      </c>
      <c r="J1973" s="8">
        <v>45517</v>
      </c>
      <c r="K1973" s="6">
        <v>25</v>
      </c>
      <c r="L1973" s="6" t="s">
        <v>49</v>
      </c>
      <c r="M1973" s="6" t="b">
        <v>1</v>
      </c>
      <c r="N1973" s="6">
        <v>2.4</v>
      </c>
      <c r="O1973" s="6" t="s">
        <v>42</v>
      </c>
      <c r="P1973" s="6" t="b">
        <v>1</v>
      </c>
      <c r="Q1973" s="9" t="s">
        <v>25</v>
      </c>
    </row>
    <row r="1974" spans="1:17" x14ac:dyDescent="0.25">
      <c r="A1974" s="5" t="s">
        <v>2024</v>
      </c>
      <c r="B1974" s="6" t="s">
        <v>51</v>
      </c>
      <c r="C1974" s="6" t="s">
        <v>33</v>
      </c>
      <c r="D1974" s="6" t="s">
        <v>34</v>
      </c>
      <c r="E1974" s="6" t="s">
        <v>35</v>
      </c>
      <c r="F1974" s="6" t="s">
        <v>22</v>
      </c>
      <c r="G1974" s="6">
        <v>87</v>
      </c>
      <c r="H1974" s="7">
        <v>164.29</v>
      </c>
      <c r="I1974" s="7">
        <v>14293.23</v>
      </c>
      <c r="J1974" s="8">
        <v>45017</v>
      </c>
      <c r="K1974" s="6">
        <v>68</v>
      </c>
      <c r="L1974" s="6" t="s">
        <v>49</v>
      </c>
      <c r="M1974" s="6" t="b">
        <v>1</v>
      </c>
      <c r="N1974" s="6">
        <v>24.62</v>
      </c>
      <c r="O1974" s="6" t="s">
        <v>42</v>
      </c>
      <c r="P1974" s="6" t="b">
        <v>1</v>
      </c>
      <c r="Q1974" s="9" t="s">
        <v>36</v>
      </c>
    </row>
    <row r="1975" spans="1:17" x14ac:dyDescent="0.25">
      <c r="A1975" s="5" t="s">
        <v>2025</v>
      </c>
      <c r="B1975" s="6" t="s">
        <v>27</v>
      </c>
      <c r="C1975" s="6" t="s">
        <v>39</v>
      </c>
      <c r="D1975" s="6" t="s">
        <v>34</v>
      </c>
      <c r="E1975" s="6" t="s">
        <v>28</v>
      </c>
      <c r="F1975" s="6" t="s">
        <v>40</v>
      </c>
      <c r="G1975" s="6">
        <v>97</v>
      </c>
      <c r="H1975" s="7">
        <v>1156.3499999999999</v>
      </c>
      <c r="I1975" s="7">
        <v>112165.95</v>
      </c>
      <c r="J1975" s="8">
        <v>45382</v>
      </c>
      <c r="K1975" s="6">
        <v>59</v>
      </c>
      <c r="L1975" s="6" t="s">
        <v>23</v>
      </c>
      <c r="M1975" s="6" t="b">
        <v>0</v>
      </c>
      <c r="N1975" s="6">
        <v>17.13</v>
      </c>
      <c r="O1975" s="6" t="s">
        <v>42</v>
      </c>
      <c r="P1975" s="6" t="b">
        <v>0</v>
      </c>
      <c r="Q1975" s="9" t="s">
        <v>36</v>
      </c>
    </row>
    <row r="1976" spans="1:17" x14ac:dyDescent="0.25">
      <c r="A1976" s="5" t="s">
        <v>2026</v>
      </c>
      <c r="B1976" s="6" t="s">
        <v>46</v>
      </c>
      <c r="C1976" s="6" t="s">
        <v>39</v>
      </c>
      <c r="D1976" s="6" t="s">
        <v>52</v>
      </c>
      <c r="E1976" s="6" t="s">
        <v>44</v>
      </c>
      <c r="F1976" s="6" t="s">
        <v>29</v>
      </c>
      <c r="G1976" s="6">
        <v>16</v>
      </c>
      <c r="H1976" s="7">
        <v>897.64</v>
      </c>
      <c r="I1976" s="7">
        <v>14362.24</v>
      </c>
      <c r="J1976" s="8">
        <v>45370</v>
      </c>
      <c r="K1976" s="6">
        <v>48</v>
      </c>
      <c r="L1976" s="6" t="s">
        <v>41</v>
      </c>
      <c r="M1976" s="6" t="b">
        <v>1</v>
      </c>
      <c r="N1976" s="6">
        <v>0.95</v>
      </c>
      <c r="O1976" s="6" t="s">
        <v>30</v>
      </c>
      <c r="P1976" s="6" t="b">
        <v>0</v>
      </c>
      <c r="Q1976" s="9" t="s">
        <v>25</v>
      </c>
    </row>
    <row r="1977" spans="1:17" x14ac:dyDescent="0.25">
      <c r="A1977" s="5" t="s">
        <v>2027</v>
      </c>
      <c r="B1977" s="6" t="s">
        <v>72</v>
      </c>
      <c r="C1977" s="6" t="s">
        <v>19</v>
      </c>
      <c r="D1977" s="6" t="s">
        <v>20</v>
      </c>
      <c r="E1977" s="6" t="s">
        <v>28</v>
      </c>
      <c r="F1977" s="6" t="s">
        <v>29</v>
      </c>
      <c r="G1977" s="6">
        <v>24</v>
      </c>
      <c r="H1977" s="7">
        <v>105.27</v>
      </c>
      <c r="I1977" s="7">
        <v>2526.48</v>
      </c>
      <c r="J1977" s="8">
        <v>45005</v>
      </c>
      <c r="K1977" s="6">
        <v>43</v>
      </c>
      <c r="L1977" s="6" t="s">
        <v>23</v>
      </c>
      <c r="M1977" s="6" t="b">
        <v>0</v>
      </c>
      <c r="N1977" s="6">
        <v>27.09</v>
      </c>
      <c r="O1977" s="6" t="s">
        <v>30</v>
      </c>
      <c r="P1977" s="6" t="b">
        <v>1</v>
      </c>
      <c r="Q1977" s="9" t="s">
        <v>36</v>
      </c>
    </row>
    <row r="1978" spans="1:17" x14ac:dyDescent="0.25">
      <c r="A1978" s="5" t="s">
        <v>2028</v>
      </c>
      <c r="B1978" s="6" t="s">
        <v>18</v>
      </c>
      <c r="C1978" s="6" t="s">
        <v>33</v>
      </c>
      <c r="D1978" s="6" t="s">
        <v>34</v>
      </c>
      <c r="E1978" s="6" t="s">
        <v>35</v>
      </c>
      <c r="F1978" s="6" t="s">
        <v>29</v>
      </c>
      <c r="G1978" s="6">
        <v>69</v>
      </c>
      <c r="H1978" s="7">
        <v>757.74</v>
      </c>
      <c r="I1978" s="7">
        <v>52284.06</v>
      </c>
      <c r="J1978" s="8">
        <v>45401</v>
      </c>
      <c r="K1978" s="6">
        <v>35</v>
      </c>
      <c r="L1978" s="6" t="s">
        <v>41</v>
      </c>
      <c r="M1978" s="6" t="b">
        <v>0</v>
      </c>
      <c r="N1978" s="6">
        <v>1.18</v>
      </c>
      <c r="O1978" s="6" t="s">
        <v>42</v>
      </c>
      <c r="P1978" s="6" t="b">
        <v>1</v>
      </c>
      <c r="Q1978" s="9" t="s">
        <v>36</v>
      </c>
    </row>
    <row r="1979" spans="1:17" x14ac:dyDescent="0.25">
      <c r="A1979" s="5" t="s">
        <v>2029</v>
      </c>
      <c r="B1979" s="6" t="s">
        <v>66</v>
      </c>
      <c r="C1979" s="6" t="s">
        <v>19</v>
      </c>
      <c r="D1979" s="6" t="s">
        <v>20</v>
      </c>
      <c r="E1979" s="6" t="s">
        <v>44</v>
      </c>
      <c r="F1979" s="6" t="s">
        <v>29</v>
      </c>
      <c r="G1979" s="6">
        <v>41</v>
      </c>
      <c r="H1979" s="7">
        <v>1082.44</v>
      </c>
      <c r="I1979" s="7">
        <v>44380.04</v>
      </c>
      <c r="J1979" s="8">
        <v>45029</v>
      </c>
      <c r="K1979" s="6">
        <v>35</v>
      </c>
      <c r="L1979" s="6" t="s">
        <v>49</v>
      </c>
      <c r="M1979" s="6" t="b">
        <v>1</v>
      </c>
      <c r="N1979" s="6">
        <v>15.46</v>
      </c>
      <c r="O1979" s="6" t="s">
        <v>30</v>
      </c>
      <c r="P1979" s="6" t="b">
        <v>1</v>
      </c>
      <c r="Q1979" s="9" t="s">
        <v>25</v>
      </c>
    </row>
    <row r="1980" spans="1:17" x14ac:dyDescent="0.25">
      <c r="A1980" s="5" t="s">
        <v>2030</v>
      </c>
      <c r="B1980" s="6" t="s">
        <v>38</v>
      </c>
      <c r="C1980" s="6" t="s">
        <v>39</v>
      </c>
      <c r="D1980" s="6" t="s">
        <v>52</v>
      </c>
      <c r="E1980" s="6" t="s">
        <v>28</v>
      </c>
      <c r="F1980" s="6" t="s">
        <v>22</v>
      </c>
      <c r="G1980" s="6">
        <v>77</v>
      </c>
      <c r="H1980" s="7">
        <v>1309.98</v>
      </c>
      <c r="I1980" s="7">
        <v>100868.46</v>
      </c>
      <c r="J1980" s="8">
        <v>45549</v>
      </c>
      <c r="K1980" s="6">
        <v>24</v>
      </c>
      <c r="L1980" s="6" t="s">
        <v>23</v>
      </c>
      <c r="M1980" s="6" t="b">
        <v>1</v>
      </c>
      <c r="N1980" s="6">
        <v>1.47</v>
      </c>
      <c r="O1980" s="6" t="s">
        <v>42</v>
      </c>
      <c r="P1980" s="6" t="b">
        <v>1</v>
      </c>
      <c r="Q1980" s="9" t="s">
        <v>36</v>
      </c>
    </row>
    <row r="1981" spans="1:17" x14ac:dyDescent="0.25">
      <c r="A1981" s="5" t="s">
        <v>2031</v>
      </c>
      <c r="B1981" s="6" t="s">
        <v>72</v>
      </c>
      <c r="C1981" s="6" t="s">
        <v>39</v>
      </c>
      <c r="D1981" s="6" t="s">
        <v>20</v>
      </c>
      <c r="E1981" s="6" t="s">
        <v>21</v>
      </c>
      <c r="F1981" s="6" t="s">
        <v>29</v>
      </c>
      <c r="G1981" s="6">
        <v>47</v>
      </c>
      <c r="H1981" s="7">
        <v>1404.35</v>
      </c>
      <c r="I1981" s="7">
        <v>66004.45</v>
      </c>
      <c r="J1981" s="8">
        <v>45382</v>
      </c>
      <c r="K1981" s="6">
        <v>65</v>
      </c>
      <c r="L1981" s="6" t="s">
        <v>41</v>
      </c>
      <c r="M1981" s="6" t="b">
        <v>0</v>
      </c>
      <c r="N1981" s="6">
        <v>2.14</v>
      </c>
      <c r="O1981" s="6" t="s">
        <v>30</v>
      </c>
      <c r="P1981" s="6" t="b">
        <v>0</v>
      </c>
      <c r="Q1981" s="9" t="s">
        <v>25</v>
      </c>
    </row>
    <row r="1982" spans="1:17" x14ac:dyDescent="0.25">
      <c r="A1982" s="5" t="s">
        <v>2032</v>
      </c>
      <c r="B1982" s="6" t="s">
        <v>51</v>
      </c>
      <c r="C1982" s="6" t="s">
        <v>19</v>
      </c>
      <c r="D1982" s="6" t="s">
        <v>64</v>
      </c>
      <c r="E1982" s="6" t="s">
        <v>35</v>
      </c>
      <c r="F1982" s="6" t="s">
        <v>22</v>
      </c>
      <c r="G1982" s="6">
        <v>76</v>
      </c>
      <c r="H1982" s="7">
        <v>524.79</v>
      </c>
      <c r="I1982" s="7">
        <v>39884.04</v>
      </c>
      <c r="J1982" s="8">
        <v>45240</v>
      </c>
      <c r="K1982" s="6">
        <v>55</v>
      </c>
      <c r="L1982" s="6" t="s">
        <v>49</v>
      </c>
      <c r="M1982" s="6" t="b">
        <v>0</v>
      </c>
      <c r="N1982" s="6">
        <v>26.62</v>
      </c>
      <c r="O1982" s="6" t="s">
        <v>24</v>
      </c>
      <c r="P1982" s="6" t="b">
        <v>1</v>
      </c>
      <c r="Q1982" s="9" t="s">
        <v>25</v>
      </c>
    </row>
    <row r="1983" spans="1:17" x14ac:dyDescent="0.25">
      <c r="A1983" s="5" t="s">
        <v>2033</v>
      </c>
      <c r="B1983" s="6" t="s">
        <v>66</v>
      </c>
      <c r="C1983" s="6" t="s">
        <v>39</v>
      </c>
      <c r="D1983" s="6" t="s">
        <v>34</v>
      </c>
      <c r="E1983" s="6" t="s">
        <v>44</v>
      </c>
      <c r="F1983" s="6" t="s">
        <v>40</v>
      </c>
      <c r="G1983" s="6">
        <v>69</v>
      </c>
      <c r="H1983" s="7">
        <v>246.96</v>
      </c>
      <c r="I1983" s="7">
        <v>17040.240000000002</v>
      </c>
      <c r="J1983" s="8">
        <v>45173</v>
      </c>
      <c r="K1983" s="6">
        <v>65</v>
      </c>
      <c r="L1983" s="6" t="s">
        <v>41</v>
      </c>
      <c r="M1983" s="6" t="b">
        <v>0</v>
      </c>
      <c r="N1983" s="6">
        <v>22.97</v>
      </c>
      <c r="O1983" s="6" t="s">
        <v>30</v>
      </c>
      <c r="P1983" s="6" t="b">
        <v>1</v>
      </c>
      <c r="Q1983" s="9" t="s">
        <v>36</v>
      </c>
    </row>
    <row r="1984" spans="1:17" x14ac:dyDescent="0.25">
      <c r="A1984" s="5" t="s">
        <v>2034</v>
      </c>
      <c r="B1984" s="6" t="s">
        <v>72</v>
      </c>
      <c r="C1984" s="6" t="s">
        <v>19</v>
      </c>
      <c r="D1984" s="6" t="s">
        <v>20</v>
      </c>
      <c r="E1984" s="6" t="s">
        <v>28</v>
      </c>
      <c r="F1984" s="6" t="s">
        <v>48</v>
      </c>
      <c r="G1984" s="6">
        <v>31</v>
      </c>
      <c r="H1984" s="7">
        <v>393.54</v>
      </c>
      <c r="I1984" s="7">
        <v>12199.74</v>
      </c>
      <c r="J1984" s="8">
        <v>45160</v>
      </c>
      <c r="K1984" s="6">
        <v>33</v>
      </c>
      <c r="L1984" s="6" t="s">
        <v>41</v>
      </c>
      <c r="M1984" s="6" t="b">
        <v>0</v>
      </c>
      <c r="N1984" s="6">
        <v>5.91</v>
      </c>
      <c r="O1984" s="6" t="s">
        <v>30</v>
      </c>
      <c r="P1984" s="6" t="b">
        <v>0</v>
      </c>
      <c r="Q1984" s="9" t="s">
        <v>25</v>
      </c>
    </row>
    <row r="1985" spans="1:17" x14ac:dyDescent="0.25">
      <c r="A1985" s="5" t="s">
        <v>2035</v>
      </c>
      <c r="B1985" s="6" t="s">
        <v>18</v>
      </c>
      <c r="C1985" s="6" t="s">
        <v>33</v>
      </c>
      <c r="D1985" s="6" t="s">
        <v>47</v>
      </c>
      <c r="E1985" s="6" t="s">
        <v>21</v>
      </c>
      <c r="F1985" s="6" t="s">
        <v>29</v>
      </c>
      <c r="G1985" s="6">
        <v>92</v>
      </c>
      <c r="H1985" s="7">
        <v>1175.45</v>
      </c>
      <c r="I1985" s="7">
        <v>108141.4</v>
      </c>
      <c r="J1985" s="8">
        <v>45520</v>
      </c>
      <c r="K1985" s="6">
        <v>50</v>
      </c>
      <c r="L1985" s="6" t="s">
        <v>49</v>
      </c>
      <c r="M1985" s="6" t="b">
        <v>0</v>
      </c>
      <c r="N1985" s="6">
        <v>18.61</v>
      </c>
      <c r="O1985" s="6" t="s">
        <v>30</v>
      </c>
      <c r="P1985" s="6" t="b">
        <v>1</v>
      </c>
      <c r="Q1985" s="9" t="s">
        <v>36</v>
      </c>
    </row>
    <row r="1986" spans="1:17" x14ac:dyDescent="0.25">
      <c r="A1986" s="5" t="s">
        <v>2036</v>
      </c>
      <c r="B1986" s="6" t="s">
        <v>38</v>
      </c>
      <c r="C1986" s="6" t="s">
        <v>19</v>
      </c>
      <c r="D1986" s="6" t="s">
        <v>20</v>
      </c>
      <c r="E1986" s="6" t="s">
        <v>35</v>
      </c>
      <c r="F1986" s="6" t="s">
        <v>48</v>
      </c>
      <c r="G1986" s="6">
        <v>92</v>
      </c>
      <c r="H1986" s="7">
        <v>1458.65</v>
      </c>
      <c r="I1986" s="7">
        <v>134195.79999999999</v>
      </c>
      <c r="J1986" s="8">
        <v>45570</v>
      </c>
      <c r="K1986" s="6">
        <v>68</v>
      </c>
      <c r="L1986" s="6" t="s">
        <v>23</v>
      </c>
      <c r="M1986" s="6" t="b">
        <v>0</v>
      </c>
      <c r="N1986" s="6">
        <v>23.84</v>
      </c>
      <c r="O1986" s="6" t="s">
        <v>42</v>
      </c>
      <c r="P1986" s="6" t="b">
        <v>1</v>
      </c>
      <c r="Q1986" s="9" t="s">
        <v>36</v>
      </c>
    </row>
    <row r="1987" spans="1:17" x14ac:dyDescent="0.25">
      <c r="A1987" s="5" t="s">
        <v>2037</v>
      </c>
      <c r="B1987" s="6" t="s">
        <v>72</v>
      </c>
      <c r="C1987" s="6" t="s">
        <v>33</v>
      </c>
      <c r="D1987" s="6" t="s">
        <v>34</v>
      </c>
      <c r="E1987" s="6" t="s">
        <v>21</v>
      </c>
      <c r="F1987" s="6" t="s">
        <v>40</v>
      </c>
      <c r="G1987" s="6">
        <v>30</v>
      </c>
      <c r="H1987" s="7">
        <v>726.27</v>
      </c>
      <c r="I1987" s="7">
        <v>21788.1</v>
      </c>
      <c r="J1987" s="8">
        <v>45161</v>
      </c>
      <c r="K1987" s="6">
        <v>20</v>
      </c>
      <c r="L1987" s="6" t="s">
        <v>49</v>
      </c>
      <c r="M1987" s="6" t="b">
        <v>0</v>
      </c>
      <c r="N1987" s="6">
        <v>26.69</v>
      </c>
      <c r="O1987" s="6" t="s">
        <v>42</v>
      </c>
      <c r="P1987" s="6" t="b">
        <v>1</v>
      </c>
      <c r="Q1987" s="9" t="s">
        <v>25</v>
      </c>
    </row>
    <row r="1988" spans="1:17" x14ac:dyDescent="0.25">
      <c r="A1988" s="5" t="s">
        <v>2038</v>
      </c>
      <c r="B1988" s="6" t="s">
        <v>62</v>
      </c>
      <c r="C1988" s="6" t="s">
        <v>33</v>
      </c>
      <c r="D1988" s="6" t="s">
        <v>52</v>
      </c>
      <c r="E1988" s="6" t="s">
        <v>28</v>
      </c>
      <c r="F1988" s="6" t="s">
        <v>40</v>
      </c>
      <c r="G1988" s="6">
        <v>18</v>
      </c>
      <c r="H1988" s="7">
        <v>492.76</v>
      </c>
      <c r="I1988" s="7">
        <v>8869.68</v>
      </c>
      <c r="J1988" s="8">
        <v>45313</v>
      </c>
      <c r="K1988" s="6">
        <v>55</v>
      </c>
      <c r="L1988" s="6" t="s">
        <v>23</v>
      </c>
      <c r="M1988" s="6" t="b">
        <v>1</v>
      </c>
      <c r="N1988" s="6">
        <v>14.05</v>
      </c>
      <c r="O1988" s="6" t="s">
        <v>24</v>
      </c>
      <c r="P1988" s="6" t="b">
        <v>1</v>
      </c>
      <c r="Q1988" s="9" t="s">
        <v>36</v>
      </c>
    </row>
    <row r="1989" spans="1:17" x14ac:dyDescent="0.25">
      <c r="A1989" s="5" t="s">
        <v>2039</v>
      </c>
      <c r="B1989" s="6" t="s">
        <v>38</v>
      </c>
      <c r="C1989" s="6" t="s">
        <v>39</v>
      </c>
      <c r="D1989" s="6" t="s">
        <v>52</v>
      </c>
      <c r="E1989" s="6" t="s">
        <v>28</v>
      </c>
      <c r="F1989" s="6" t="s">
        <v>29</v>
      </c>
      <c r="G1989" s="6">
        <v>44</v>
      </c>
      <c r="H1989" s="7">
        <v>672.33</v>
      </c>
      <c r="I1989" s="7">
        <v>29582.52</v>
      </c>
      <c r="J1989" s="8">
        <v>45537</v>
      </c>
      <c r="K1989" s="6">
        <v>21</v>
      </c>
      <c r="L1989" s="6" t="s">
        <v>41</v>
      </c>
      <c r="M1989" s="6" t="b">
        <v>0</v>
      </c>
      <c r="N1989" s="6">
        <v>26.92</v>
      </c>
      <c r="O1989" s="6" t="s">
        <v>24</v>
      </c>
      <c r="P1989" s="6" t="b">
        <v>1</v>
      </c>
      <c r="Q1989" s="9" t="s">
        <v>36</v>
      </c>
    </row>
    <row r="1990" spans="1:17" x14ac:dyDescent="0.25">
      <c r="A1990" s="5" t="s">
        <v>2040</v>
      </c>
      <c r="B1990" s="6" t="s">
        <v>51</v>
      </c>
      <c r="C1990" s="6" t="s">
        <v>39</v>
      </c>
      <c r="D1990" s="6" t="s">
        <v>34</v>
      </c>
      <c r="E1990" s="6" t="s">
        <v>44</v>
      </c>
      <c r="F1990" s="6" t="s">
        <v>40</v>
      </c>
      <c r="G1990" s="6">
        <v>27</v>
      </c>
      <c r="H1990" s="7">
        <v>491.98</v>
      </c>
      <c r="I1990" s="7">
        <v>13283.46</v>
      </c>
      <c r="J1990" s="8">
        <v>44964</v>
      </c>
      <c r="K1990" s="6">
        <v>53</v>
      </c>
      <c r="L1990" s="6" t="s">
        <v>41</v>
      </c>
      <c r="M1990" s="6" t="b">
        <v>1</v>
      </c>
      <c r="N1990" s="6">
        <v>15.24</v>
      </c>
      <c r="O1990" s="6" t="s">
        <v>56</v>
      </c>
      <c r="P1990" s="6" t="b">
        <v>1</v>
      </c>
      <c r="Q1990" s="9" t="s">
        <v>36</v>
      </c>
    </row>
    <row r="1991" spans="1:17" x14ac:dyDescent="0.25">
      <c r="A1991" s="5" t="s">
        <v>2041</v>
      </c>
      <c r="B1991" s="6" t="s">
        <v>18</v>
      </c>
      <c r="C1991" s="6" t="s">
        <v>39</v>
      </c>
      <c r="D1991" s="6" t="s">
        <v>64</v>
      </c>
      <c r="E1991" s="6" t="s">
        <v>21</v>
      </c>
      <c r="F1991" s="6" t="s">
        <v>48</v>
      </c>
      <c r="G1991" s="6">
        <v>99</v>
      </c>
      <c r="H1991" s="7">
        <v>421.91</v>
      </c>
      <c r="I1991" s="7">
        <v>41769.089999999997</v>
      </c>
      <c r="J1991" s="8">
        <v>45087</v>
      </c>
      <c r="K1991" s="6">
        <v>21</v>
      </c>
      <c r="L1991" s="6" t="s">
        <v>41</v>
      </c>
      <c r="M1991" s="6" t="b">
        <v>1</v>
      </c>
      <c r="N1991" s="6">
        <v>20.65</v>
      </c>
      <c r="O1991" s="6" t="s">
        <v>24</v>
      </c>
      <c r="P1991" s="6" t="b">
        <v>0</v>
      </c>
      <c r="Q1991" s="9" t="s">
        <v>36</v>
      </c>
    </row>
    <row r="1992" spans="1:17" x14ac:dyDescent="0.25">
      <c r="A1992" s="5" t="s">
        <v>2042</v>
      </c>
      <c r="B1992" s="6" t="s">
        <v>46</v>
      </c>
      <c r="C1992" s="6" t="s">
        <v>19</v>
      </c>
      <c r="D1992" s="6" t="s">
        <v>64</v>
      </c>
      <c r="E1992" s="6" t="s">
        <v>44</v>
      </c>
      <c r="F1992" s="6" t="s">
        <v>29</v>
      </c>
      <c r="G1992" s="6">
        <v>26</v>
      </c>
      <c r="H1992" s="7">
        <v>910.94</v>
      </c>
      <c r="I1992" s="7">
        <v>23684.44</v>
      </c>
      <c r="J1992" s="8">
        <v>45388</v>
      </c>
      <c r="K1992" s="6">
        <v>59</v>
      </c>
      <c r="L1992" s="6" t="s">
        <v>23</v>
      </c>
      <c r="M1992" s="6" t="b">
        <v>0</v>
      </c>
      <c r="N1992" s="6">
        <v>29.37</v>
      </c>
      <c r="O1992" s="6" t="s">
        <v>42</v>
      </c>
      <c r="P1992" s="6" t="b">
        <v>1</v>
      </c>
      <c r="Q1992" s="9" t="s">
        <v>36</v>
      </c>
    </row>
    <row r="1993" spans="1:17" x14ac:dyDescent="0.25">
      <c r="A1993" s="5" t="s">
        <v>2043</v>
      </c>
      <c r="B1993" s="6" t="s">
        <v>76</v>
      </c>
      <c r="C1993" s="6" t="s">
        <v>19</v>
      </c>
      <c r="D1993" s="6" t="s">
        <v>52</v>
      </c>
      <c r="E1993" s="6" t="s">
        <v>35</v>
      </c>
      <c r="F1993" s="6" t="s">
        <v>22</v>
      </c>
      <c r="G1993" s="6">
        <v>60</v>
      </c>
      <c r="H1993" s="7">
        <v>72.819999999999993</v>
      </c>
      <c r="I1993" s="7">
        <v>4369.2</v>
      </c>
      <c r="J1993" s="8">
        <v>45375</v>
      </c>
      <c r="K1993" s="6">
        <v>26</v>
      </c>
      <c r="L1993" s="6" t="s">
        <v>49</v>
      </c>
      <c r="M1993" s="6" t="b">
        <v>0</v>
      </c>
      <c r="N1993" s="6">
        <v>7.08</v>
      </c>
      <c r="O1993" s="6" t="s">
        <v>24</v>
      </c>
      <c r="P1993" s="6" t="b">
        <v>0</v>
      </c>
      <c r="Q1993" s="9" t="s">
        <v>36</v>
      </c>
    </row>
    <row r="1994" spans="1:17" x14ac:dyDescent="0.25">
      <c r="A1994" s="5" t="s">
        <v>2044</v>
      </c>
      <c r="B1994" s="6" t="s">
        <v>76</v>
      </c>
      <c r="C1994" s="6" t="s">
        <v>39</v>
      </c>
      <c r="D1994" s="6" t="s">
        <v>52</v>
      </c>
      <c r="E1994" s="6" t="s">
        <v>44</v>
      </c>
      <c r="F1994" s="6" t="s">
        <v>29</v>
      </c>
      <c r="G1994" s="6">
        <v>18</v>
      </c>
      <c r="H1994" s="7">
        <v>426.35</v>
      </c>
      <c r="I1994" s="7">
        <v>7674.3</v>
      </c>
      <c r="J1994" s="8">
        <v>45043</v>
      </c>
      <c r="K1994" s="6">
        <v>57</v>
      </c>
      <c r="L1994" s="6" t="s">
        <v>23</v>
      </c>
      <c r="M1994" s="6" t="b">
        <v>0</v>
      </c>
      <c r="N1994" s="6">
        <v>5.0599999999999996</v>
      </c>
      <c r="O1994" s="6" t="s">
        <v>24</v>
      </c>
      <c r="P1994" s="6" t="b">
        <v>0</v>
      </c>
      <c r="Q1994" s="9" t="s">
        <v>36</v>
      </c>
    </row>
    <row r="1995" spans="1:17" x14ac:dyDescent="0.25">
      <c r="A1995" s="5" t="s">
        <v>2045</v>
      </c>
      <c r="B1995" s="6" t="s">
        <v>76</v>
      </c>
      <c r="C1995" s="6" t="s">
        <v>19</v>
      </c>
      <c r="D1995" s="6" t="s">
        <v>34</v>
      </c>
      <c r="E1995" s="6" t="s">
        <v>35</v>
      </c>
      <c r="F1995" s="6" t="s">
        <v>48</v>
      </c>
      <c r="G1995" s="6">
        <v>97</v>
      </c>
      <c r="H1995" s="7">
        <v>1009</v>
      </c>
      <c r="I1995" s="7">
        <v>97873</v>
      </c>
      <c r="J1995" s="8">
        <v>45167</v>
      </c>
      <c r="K1995" s="6">
        <v>68</v>
      </c>
      <c r="L1995" s="6" t="s">
        <v>41</v>
      </c>
      <c r="M1995" s="6" t="b">
        <v>0</v>
      </c>
      <c r="N1995" s="6">
        <v>10.26</v>
      </c>
      <c r="O1995" s="6" t="s">
        <v>30</v>
      </c>
      <c r="P1995" s="6" t="b">
        <v>0</v>
      </c>
      <c r="Q1995" s="9" t="s">
        <v>25</v>
      </c>
    </row>
    <row r="1996" spans="1:17" x14ac:dyDescent="0.25">
      <c r="A1996" s="5" t="s">
        <v>2046</v>
      </c>
      <c r="B1996" s="6" t="s">
        <v>66</v>
      </c>
      <c r="C1996" s="6" t="s">
        <v>39</v>
      </c>
      <c r="D1996" s="6" t="s">
        <v>64</v>
      </c>
      <c r="E1996" s="6" t="s">
        <v>28</v>
      </c>
      <c r="F1996" s="6" t="s">
        <v>29</v>
      </c>
      <c r="G1996" s="6">
        <v>89</v>
      </c>
      <c r="H1996" s="7">
        <v>96.49</v>
      </c>
      <c r="I1996" s="7">
        <v>8587.61</v>
      </c>
      <c r="J1996" s="8">
        <v>44952</v>
      </c>
      <c r="K1996" s="6">
        <v>34</v>
      </c>
      <c r="L1996" s="6" t="s">
        <v>41</v>
      </c>
      <c r="M1996" s="6" t="b">
        <v>0</v>
      </c>
      <c r="N1996" s="6">
        <v>4.93</v>
      </c>
      <c r="O1996" s="6" t="s">
        <v>24</v>
      </c>
      <c r="P1996" s="6" t="b">
        <v>0</v>
      </c>
      <c r="Q1996" s="9" t="s">
        <v>36</v>
      </c>
    </row>
    <row r="1997" spans="1:17" x14ac:dyDescent="0.25">
      <c r="A1997" s="5" t="s">
        <v>2047</v>
      </c>
      <c r="B1997" s="6" t="s">
        <v>51</v>
      </c>
      <c r="C1997" s="6" t="s">
        <v>19</v>
      </c>
      <c r="D1997" s="6" t="s">
        <v>52</v>
      </c>
      <c r="E1997" s="6" t="s">
        <v>28</v>
      </c>
      <c r="F1997" s="6" t="s">
        <v>29</v>
      </c>
      <c r="G1997" s="6">
        <v>56</v>
      </c>
      <c r="H1997" s="7">
        <v>170.64</v>
      </c>
      <c r="I1997" s="7">
        <v>9555.84</v>
      </c>
      <c r="J1997" s="8">
        <v>45574</v>
      </c>
      <c r="K1997" s="6">
        <v>34</v>
      </c>
      <c r="L1997" s="6" t="s">
        <v>49</v>
      </c>
      <c r="M1997" s="6" t="b">
        <v>1</v>
      </c>
      <c r="N1997" s="6">
        <v>8.52</v>
      </c>
      <c r="O1997" s="6" t="s">
        <v>56</v>
      </c>
      <c r="P1997" s="6" t="b">
        <v>1</v>
      </c>
      <c r="Q1997" s="9" t="s">
        <v>25</v>
      </c>
    </row>
    <row r="1998" spans="1:17" x14ac:dyDescent="0.25">
      <c r="A1998" s="5" t="s">
        <v>2048</v>
      </c>
      <c r="B1998" s="6" t="s">
        <v>18</v>
      </c>
      <c r="C1998" s="6" t="s">
        <v>33</v>
      </c>
      <c r="D1998" s="6" t="s">
        <v>64</v>
      </c>
      <c r="E1998" s="6" t="s">
        <v>21</v>
      </c>
      <c r="F1998" s="6" t="s">
        <v>48</v>
      </c>
      <c r="G1998" s="6">
        <v>31</v>
      </c>
      <c r="H1998" s="7">
        <v>475.42</v>
      </c>
      <c r="I1998" s="7">
        <v>14738.02</v>
      </c>
      <c r="J1998" s="8">
        <v>45488</v>
      </c>
      <c r="K1998" s="6">
        <v>50</v>
      </c>
      <c r="L1998" s="6" t="s">
        <v>23</v>
      </c>
      <c r="M1998" s="6" t="b">
        <v>1</v>
      </c>
      <c r="N1998" s="6">
        <v>22.29</v>
      </c>
      <c r="O1998" s="6" t="s">
        <v>30</v>
      </c>
      <c r="P1998" s="6" t="b">
        <v>1</v>
      </c>
      <c r="Q1998" s="9" t="s">
        <v>25</v>
      </c>
    </row>
    <row r="1999" spans="1:17" x14ac:dyDescent="0.25">
      <c r="A1999" s="5" t="s">
        <v>2049</v>
      </c>
      <c r="B1999" s="6" t="s">
        <v>38</v>
      </c>
      <c r="C1999" s="6" t="s">
        <v>33</v>
      </c>
      <c r="D1999" s="6" t="s">
        <v>52</v>
      </c>
      <c r="E1999" s="6" t="s">
        <v>35</v>
      </c>
      <c r="F1999" s="6" t="s">
        <v>29</v>
      </c>
      <c r="G1999" s="6">
        <v>59</v>
      </c>
      <c r="H1999" s="7">
        <v>1322.82</v>
      </c>
      <c r="I1999" s="7">
        <v>78046.38</v>
      </c>
      <c r="J1999" s="8">
        <v>45224</v>
      </c>
      <c r="K1999" s="6">
        <v>37</v>
      </c>
      <c r="L1999" s="6" t="s">
        <v>41</v>
      </c>
      <c r="M1999" s="6" t="b">
        <v>0</v>
      </c>
      <c r="N1999" s="6">
        <v>14.33</v>
      </c>
      <c r="O1999" s="6" t="s">
        <v>42</v>
      </c>
      <c r="P1999" s="6" t="b">
        <v>1</v>
      </c>
      <c r="Q1999" s="9" t="s">
        <v>36</v>
      </c>
    </row>
    <row r="2000" spans="1:17" x14ac:dyDescent="0.25">
      <c r="A2000" s="5" t="s">
        <v>2050</v>
      </c>
      <c r="B2000" s="6" t="s">
        <v>66</v>
      </c>
      <c r="C2000" s="6" t="s">
        <v>39</v>
      </c>
      <c r="D2000" s="6" t="s">
        <v>20</v>
      </c>
      <c r="E2000" s="6" t="s">
        <v>28</v>
      </c>
      <c r="F2000" s="6" t="s">
        <v>29</v>
      </c>
      <c r="G2000" s="6">
        <v>2</v>
      </c>
      <c r="H2000" s="7">
        <v>1159.08</v>
      </c>
      <c r="I2000" s="7">
        <v>2318.16</v>
      </c>
      <c r="J2000" s="8">
        <v>45080</v>
      </c>
      <c r="K2000" s="6">
        <v>31</v>
      </c>
      <c r="L2000" s="6" t="s">
        <v>23</v>
      </c>
      <c r="M2000" s="6" t="b">
        <v>0</v>
      </c>
      <c r="N2000" s="6">
        <v>11.25</v>
      </c>
      <c r="O2000" s="6" t="s">
        <v>56</v>
      </c>
      <c r="P2000" s="6" t="b">
        <v>1</v>
      </c>
      <c r="Q2000" s="9" t="s">
        <v>25</v>
      </c>
    </row>
    <row r="2001" spans="1:17" x14ac:dyDescent="0.25">
      <c r="A2001" s="10" t="s">
        <v>2051</v>
      </c>
      <c r="B2001" s="11" t="s">
        <v>51</v>
      </c>
      <c r="C2001" s="11" t="s">
        <v>19</v>
      </c>
      <c r="D2001" s="11" t="s">
        <v>47</v>
      </c>
      <c r="E2001" s="11" t="s">
        <v>21</v>
      </c>
      <c r="F2001" s="11" t="s">
        <v>48</v>
      </c>
      <c r="G2001" s="11">
        <v>97</v>
      </c>
      <c r="H2001" s="12">
        <v>82.13</v>
      </c>
      <c r="I2001" s="12">
        <v>7966.61</v>
      </c>
      <c r="J2001" s="13">
        <v>45578</v>
      </c>
      <c r="K2001" s="11">
        <v>39</v>
      </c>
      <c r="L2001" s="11" t="s">
        <v>23</v>
      </c>
      <c r="M2001" s="11" t="b">
        <v>0</v>
      </c>
      <c r="N2001" s="11">
        <v>11.06</v>
      </c>
      <c r="O2001" s="11" t="s">
        <v>42</v>
      </c>
      <c r="P2001" s="11" t="b">
        <v>0</v>
      </c>
      <c r="Q2001" s="14"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F3F01-F50D-4E8E-8731-363AD4677F78}">
  <dimension ref="A1:AA2014"/>
  <sheetViews>
    <sheetView workbookViewId="0">
      <selection activeCell="P5" sqref="P5"/>
    </sheetView>
  </sheetViews>
  <sheetFormatPr defaultRowHeight="15" x14ac:dyDescent="0.25"/>
  <cols>
    <col min="1" max="1" width="22.28515625" style="15" customWidth="1"/>
    <col min="2" max="2" width="18.7109375" style="15" customWidth="1"/>
    <col min="3" max="3" width="14.85546875" bestFit="1" customWidth="1"/>
    <col min="4" max="4" width="17" style="15" hidden="1" customWidth="1"/>
    <col min="5" max="5" width="21.5703125" style="15" customWidth="1"/>
    <col min="6" max="6" width="17.28515625" style="15" customWidth="1"/>
    <col min="7" max="7" width="22" style="15" customWidth="1"/>
    <col min="8" max="8" width="10.7109375" customWidth="1"/>
    <col min="9" max="9" width="11.5703125" customWidth="1"/>
    <col min="10" max="10" width="11.7109375" customWidth="1"/>
    <col min="11" max="11" width="12.7109375" customWidth="1"/>
    <col min="12" max="12" width="19.85546875" style="15" customWidth="1"/>
    <col min="13" max="13" width="14.42578125" customWidth="1"/>
    <col min="14" max="14" width="17.42578125" style="16" customWidth="1"/>
    <col min="15" max="15" width="17.85546875" style="16" customWidth="1"/>
    <col min="16" max="16" width="20" customWidth="1"/>
    <col min="17" max="17" width="21.85546875" customWidth="1"/>
    <col min="18" max="18" width="15.5703125" style="15" customWidth="1"/>
    <col min="19" max="19" width="13.42578125" style="15" customWidth="1"/>
    <col min="20" max="20" width="16.42578125" style="15" customWidth="1"/>
    <col min="21" max="21" width="17" style="15" customWidth="1"/>
    <col min="22" max="22" width="12.5703125" customWidth="1"/>
    <col min="23" max="23" width="10.7109375" customWidth="1"/>
    <col min="24" max="24" width="12.85546875" style="15" customWidth="1"/>
    <col min="25" max="25" width="12" style="15" customWidth="1"/>
    <col min="26" max="26" width="20.140625" style="15" customWidth="1"/>
    <col min="27" max="27" width="18.7109375" style="15" customWidth="1"/>
  </cols>
  <sheetData>
    <row r="1" spans="1:27" ht="54.75" customHeight="1" x14ac:dyDescent="0.25">
      <c r="A1" s="1" t="s">
        <v>0</v>
      </c>
      <c r="B1" s="2" t="s">
        <v>1</v>
      </c>
      <c r="C1" s="62" t="s">
        <v>2052</v>
      </c>
      <c r="D1" s="2" t="s">
        <v>4</v>
      </c>
      <c r="E1" s="2" t="s">
        <v>2</v>
      </c>
      <c r="F1" s="2" t="s">
        <v>3</v>
      </c>
      <c r="G1" s="2" t="s">
        <v>5</v>
      </c>
      <c r="H1" s="56" t="s">
        <v>2053</v>
      </c>
      <c r="I1" s="56" t="s">
        <v>2054</v>
      </c>
      <c r="J1" s="56" t="s">
        <v>2055</v>
      </c>
      <c r="K1" s="56" t="s">
        <v>2056</v>
      </c>
      <c r="L1" s="2" t="s">
        <v>6</v>
      </c>
      <c r="M1" s="56" t="s">
        <v>2057</v>
      </c>
      <c r="N1" s="46" t="s">
        <v>2058</v>
      </c>
      <c r="O1" s="46" t="s">
        <v>2059</v>
      </c>
      <c r="P1" s="47" t="s">
        <v>2060</v>
      </c>
      <c r="Q1" s="56" t="s">
        <v>2061</v>
      </c>
      <c r="R1" s="48" t="s">
        <v>15</v>
      </c>
      <c r="S1" s="48" t="s">
        <v>13</v>
      </c>
      <c r="T1" s="48" t="s">
        <v>12</v>
      </c>
      <c r="U1" s="2" t="s">
        <v>9</v>
      </c>
      <c r="V1" s="56" t="s">
        <v>2062</v>
      </c>
      <c r="W1" s="56" t="s">
        <v>2063</v>
      </c>
      <c r="X1" s="48" t="s">
        <v>10</v>
      </c>
      <c r="Y1" s="48" t="s">
        <v>11</v>
      </c>
      <c r="Z1" s="2" t="s">
        <v>14</v>
      </c>
      <c r="AA1" s="4" t="s">
        <v>16</v>
      </c>
    </row>
    <row r="2" spans="1:27" x14ac:dyDescent="0.25">
      <c r="A2" s="17" t="s">
        <v>1668</v>
      </c>
      <c r="B2" s="18" t="s">
        <v>76</v>
      </c>
      <c r="C2" s="63" t="str" cm="1">
        <f t="array" ref="C2">_xlfn.SWITCH(Table22[[#This Row],[Country]],"USA","North America","Canada","North America","Brazil","South America","China","Asia","Japan","Asia","India","Asia","France","Europe","Germany","Europe","UK","Europe","Australia","Oceania","South America")</f>
        <v>Asia</v>
      </c>
      <c r="D2" s="18" t="s">
        <v>28</v>
      </c>
      <c r="E2" s="18" t="s">
        <v>19</v>
      </c>
      <c r="F2" s="18" t="s">
        <v>47</v>
      </c>
      <c r="G2" s="18" t="s">
        <v>29</v>
      </c>
      <c r="H2" s="64">
        <f>LEN(TRIM(Table22[[#This Row],[Country]]))</f>
        <v>5</v>
      </c>
      <c r="I2" s="64">
        <f>LEN(TRIM(Table22[[#This Row],[Continent]]))</f>
        <v>4</v>
      </c>
      <c r="J2" s="64">
        <f>LEN(TRIM(Table22[[#This Row],[Product]]))</f>
        <v>6</v>
      </c>
      <c r="K2" s="64">
        <f>LEN(TRIM(Table22[[#This Row],[Sales Team]]))</f>
        <v>10</v>
      </c>
      <c r="L2" s="23">
        <v>97</v>
      </c>
      <c r="M2" s="65" t="str" cm="1">
        <f t="array" ref="M2">_xlfn.IFS(Table22[[#This Row],[Units Sold]]&lt;40,"Critical",Table22[[#This Row],[Units Sold]]&lt;=50,"Poor",Table22[[#This Row],[Units Sold]]&lt;=60,"Low",Table22[[#This Row],[Units Sold]]&lt;=80,"Average",Table22[[#This Row],[Units Sold]]&lt;=90,"High",Table22[[#This Row],[Units Sold]]&lt;=95,"Excellent",Table22[[#This Row],[Units Sold]]&gt;95,"Outstanding")</f>
        <v>Outstanding</v>
      </c>
      <c r="N2" s="29">
        <v>1499.27</v>
      </c>
      <c r="O2" s="29">
        <v>145429.19</v>
      </c>
      <c r="P2" s="43">
        <f>IF(Table22[[#This Row],[Discount Applied]],Table22[[#This Row],[Total Sales (in USD)]]*(1-Table22[[#This Row],[Discount Percentage (%)]]/100),Table22[[#This Row],[Total Sales (in USD)]])</f>
        <v>115150.83264200001</v>
      </c>
      <c r="Q2" s="66">
        <f>SQRT(AVERAGE((Table22[[#This Row],[Net Sales (after discount) (in USD)]]-AVERAGE(Table22[Net Sales (after discount) (in USD)]))^2))</f>
        <v>78639.472078235471</v>
      </c>
      <c r="R2" s="18" t="b">
        <v>1</v>
      </c>
      <c r="S2" s="40">
        <v>20.82</v>
      </c>
      <c r="T2" s="18" t="b">
        <v>1</v>
      </c>
      <c r="U2" s="25">
        <v>45596</v>
      </c>
      <c r="V2" s="63" t="str">
        <f>IF(MONTH(Table22[[#This Row],[Sales Date]])&lt;=3,"Q1",IF(MONTH(Table22[[#This Row],[Sales Date]])&lt;=6,"Q2",IF(MONTH(Table22[[#This Row],[Sales Date]])&lt;=9,"Q3","Q4")))</f>
        <v>Q4</v>
      </c>
      <c r="W2" s="64">
        <f>YEAR(Table22[[#This Row],[Sales Date]])</f>
        <v>2024</v>
      </c>
      <c r="X2" s="23">
        <v>26</v>
      </c>
      <c r="Y2" s="18" t="s">
        <v>41</v>
      </c>
      <c r="Z2" s="18" t="s">
        <v>42</v>
      </c>
      <c r="AA2" s="19" t="s">
        <v>25</v>
      </c>
    </row>
    <row r="3" spans="1:27" x14ac:dyDescent="0.25">
      <c r="A3" s="17" t="s">
        <v>868</v>
      </c>
      <c r="B3" s="18" t="s">
        <v>32</v>
      </c>
      <c r="C3" s="63" t="str" cm="1">
        <f t="array" ref="C3">_xlfn.SWITCH(Table22[[#This Row],[Country]],"USA","North America","Canada","North America","Brazil","South America","China","Asia","Japan","Asia","India","Asia","France","Europe","Germany","Europe","UK","Europe","Australia","Oceania","South America")</f>
        <v>Asia</v>
      </c>
      <c r="D3" s="18" t="s">
        <v>21</v>
      </c>
      <c r="E3" s="18" t="s">
        <v>19</v>
      </c>
      <c r="F3" s="18" t="s">
        <v>47</v>
      </c>
      <c r="G3" s="18" t="s">
        <v>22</v>
      </c>
      <c r="H3" s="64">
        <f>LEN(TRIM(Table22[[#This Row],[Country]]))</f>
        <v>5</v>
      </c>
      <c r="I3" s="64">
        <f>LEN(TRIM(Table22[[#This Row],[Continent]]))</f>
        <v>4</v>
      </c>
      <c r="J3" s="64">
        <f>LEN(TRIM(Table22[[#This Row],[Product]]))</f>
        <v>6</v>
      </c>
      <c r="K3" s="64">
        <f>LEN(TRIM(Table22[[#This Row],[Sales Team]]))</f>
        <v>10</v>
      </c>
      <c r="L3" s="23">
        <v>99</v>
      </c>
      <c r="M3" s="65" t="str" cm="1">
        <f t="array" ref="M3">_xlfn.IFS(Table22[[#This Row],[Units Sold]]&lt;40,"Critical",Table22[[#This Row],[Units Sold]]&lt;=50,"Poor",Table22[[#This Row],[Units Sold]]&lt;=60,"Low",Table22[[#This Row],[Units Sold]]&lt;=80,"Average",Table22[[#This Row],[Units Sold]]&lt;=90,"High",Table22[[#This Row],[Units Sold]]&lt;=95,"Excellent",Table22[[#This Row],[Units Sold]]&gt;95,"Outstanding")</f>
        <v>Outstanding</v>
      </c>
      <c r="N3" s="29">
        <v>1468.74</v>
      </c>
      <c r="O3" s="29">
        <v>145405.26</v>
      </c>
      <c r="P3" s="43">
        <f>IF(Table22[[#This Row],[Discount Applied]],Table22[[#This Row],[Total Sales (in USD)]]*(1-Table22[[#This Row],[Discount Percentage (%)]]/100),Table22[[#This Row],[Total Sales (in USD)]])</f>
        <v>145405.26</v>
      </c>
      <c r="Q3" s="66">
        <f>SQRT(AVERAGE((Table22[[#This Row],[Net Sales (after discount) (in USD)]]-AVERAGE(Table22[Net Sales (after discount) (in USD)]))^2))</f>
        <v>108893.89943623547</v>
      </c>
      <c r="R3" s="18" t="b">
        <v>0</v>
      </c>
      <c r="S3" s="40">
        <v>19.96</v>
      </c>
      <c r="T3" s="18" t="b">
        <v>0</v>
      </c>
      <c r="U3" s="25">
        <v>45420</v>
      </c>
      <c r="V3" s="63" t="str">
        <f>IF(MONTH(Table22[[#This Row],[Sales Date]])&lt;=3,"Q1",IF(MONTH(Table22[[#This Row],[Sales Date]])&lt;=6,"Q2",IF(MONTH(Table22[[#This Row],[Sales Date]])&lt;=9,"Q3","Q4")))</f>
        <v>Q2</v>
      </c>
      <c r="W3" s="64">
        <f>YEAR(Table22[[#This Row],[Sales Date]])</f>
        <v>2024</v>
      </c>
      <c r="X3" s="23">
        <v>42</v>
      </c>
      <c r="Y3" s="18" t="s">
        <v>23</v>
      </c>
      <c r="Z3" s="18" t="s">
        <v>42</v>
      </c>
      <c r="AA3" s="19" t="s">
        <v>36</v>
      </c>
    </row>
    <row r="4" spans="1:27" x14ac:dyDescent="0.25">
      <c r="A4" s="17" t="s">
        <v>197</v>
      </c>
      <c r="B4" s="18" t="s">
        <v>72</v>
      </c>
      <c r="C4" s="63" t="str" cm="1">
        <f t="array" ref="C4">_xlfn.SWITCH(Table22[[#This Row],[Country]],"USA","North America","Canada","North America","Brazil","South America","China","Asia","Japan","Asia","India","Asia","France","Europe","Germany","Europe","UK","Europe","Australia","Oceania","South America")</f>
        <v>North America</v>
      </c>
      <c r="D4" s="18" t="s">
        <v>21</v>
      </c>
      <c r="E4" s="18" t="s">
        <v>39</v>
      </c>
      <c r="F4" s="18" t="s">
        <v>34</v>
      </c>
      <c r="G4" s="18" t="s">
        <v>40</v>
      </c>
      <c r="H4" s="64">
        <f>LEN(TRIM(Table22[[#This Row],[Country]]))</f>
        <v>3</v>
      </c>
      <c r="I4" s="64">
        <f>LEN(TRIM(Table22[[#This Row],[Continent]]))</f>
        <v>13</v>
      </c>
      <c r="J4" s="64">
        <f>LEN(TRIM(Table22[[#This Row],[Product]]))</f>
        <v>10</v>
      </c>
      <c r="K4" s="64">
        <f>LEN(TRIM(Table22[[#This Row],[Sales Team]]))</f>
        <v>10</v>
      </c>
      <c r="L4" s="23">
        <v>98</v>
      </c>
      <c r="M4" s="65" t="str" cm="1">
        <f t="array" ref="M4">_xlfn.IFS(Table22[[#This Row],[Units Sold]]&lt;40,"Critical",Table22[[#This Row],[Units Sold]]&lt;=50,"Poor",Table22[[#This Row],[Units Sold]]&lt;=60,"Low",Table22[[#This Row],[Units Sold]]&lt;=80,"Average",Table22[[#This Row],[Units Sold]]&lt;=90,"High",Table22[[#This Row],[Units Sold]]&lt;=95,"Excellent",Table22[[#This Row],[Units Sold]]&gt;95,"Outstanding")</f>
        <v>Outstanding</v>
      </c>
      <c r="N4" s="29">
        <v>1473.76</v>
      </c>
      <c r="O4" s="29">
        <v>144428.48000000001</v>
      </c>
      <c r="P4" s="43">
        <f>IF(Table22[[#This Row],[Discount Applied]],Table22[[#This Row],[Total Sales (in USD)]]*(1-Table22[[#This Row],[Discount Percentage (%)]]/100),Table22[[#This Row],[Total Sales (in USD)]])</f>
        <v>106848.18950400001</v>
      </c>
      <c r="Q4" s="66">
        <f>SQRT(AVERAGE((Table22[[#This Row],[Net Sales (after discount) (in USD)]]-AVERAGE(Table22[Net Sales (after discount) (in USD)]))^2))</f>
        <v>70336.828940235471</v>
      </c>
      <c r="R4" s="18" t="b">
        <v>0</v>
      </c>
      <c r="S4" s="40">
        <v>26.02</v>
      </c>
      <c r="T4" s="18" t="b">
        <v>1</v>
      </c>
      <c r="U4" s="25">
        <v>45346</v>
      </c>
      <c r="V4" s="63" t="str">
        <f>IF(MONTH(Table22[[#This Row],[Sales Date]])&lt;=3,"Q1",IF(MONTH(Table22[[#This Row],[Sales Date]])&lt;=6,"Q2",IF(MONTH(Table22[[#This Row],[Sales Date]])&lt;=9,"Q3","Q4")))</f>
        <v>Q1</v>
      </c>
      <c r="W4" s="64">
        <f>YEAR(Table22[[#This Row],[Sales Date]])</f>
        <v>2024</v>
      </c>
      <c r="X4" s="23">
        <v>26</v>
      </c>
      <c r="Y4" s="18" t="s">
        <v>41</v>
      </c>
      <c r="Z4" s="18" t="s">
        <v>56</v>
      </c>
      <c r="AA4" s="19" t="s">
        <v>25</v>
      </c>
    </row>
    <row r="5" spans="1:27" x14ac:dyDescent="0.25">
      <c r="A5" s="17" t="s">
        <v>1739</v>
      </c>
      <c r="B5" s="18" t="s">
        <v>32</v>
      </c>
      <c r="C5" s="63" t="str" cm="1">
        <f t="array" ref="C5">_xlfn.SWITCH(Table22[[#This Row],[Country]],"USA","North America","Canada","North America","Brazil","South America","China","Asia","Japan","Asia","India","Asia","France","Europe","Germany","Europe","UK","Europe","Australia","Oceania","South America")</f>
        <v>Asia</v>
      </c>
      <c r="D5" s="18" t="s">
        <v>21</v>
      </c>
      <c r="E5" s="18" t="s">
        <v>19</v>
      </c>
      <c r="F5" s="18" t="s">
        <v>47</v>
      </c>
      <c r="G5" s="18" t="s">
        <v>22</v>
      </c>
      <c r="H5" s="64">
        <f>LEN(TRIM(Table22[[#This Row],[Country]]))</f>
        <v>5</v>
      </c>
      <c r="I5" s="64">
        <f>LEN(TRIM(Table22[[#This Row],[Continent]]))</f>
        <v>4</v>
      </c>
      <c r="J5" s="64">
        <f>LEN(TRIM(Table22[[#This Row],[Product]]))</f>
        <v>6</v>
      </c>
      <c r="K5" s="64">
        <f>LEN(TRIM(Table22[[#This Row],[Sales Team]]))</f>
        <v>10</v>
      </c>
      <c r="L5" s="23">
        <v>99</v>
      </c>
      <c r="M5" s="65" t="str" cm="1">
        <f t="array" ref="M5">_xlfn.IFS(Table22[[#This Row],[Units Sold]]&lt;40,"Critical",Table22[[#This Row],[Units Sold]]&lt;=50,"Poor",Table22[[#This Row],[Units Sold]]&lt;=60,"Low",Table22[[#This Row],[Units Sold]]&lt;=80,"Average",Table22[[#This Row],[Units Sold]]&lt;=90,"High",Table22[[#This Row],[Units Sold]]&lt;=95,"Excellent",Table22[[#This Row],[Units Sold]]&gt;95,"Outstanding")</f>
        <v>Outstanding</v>
      </c>
      <c r="N5" s="29">
        <v>1427.6</v>
      </c>
      <c r="O5" s="29">
        <v>141332.4</v>
      </c>
      <c r="P5" s="43">
        <f>IF(Table22[[#This Row],[Discount Applied]],Table22[[#This Row],[Total Sales (in USD)]]*(1-Table22[[#This Row],[Discount Percentage (%)]]/100),Table22[[#This Row],[Total Sales (in USD)]])</f>
        <v>141332.4</v>
      </c>
      <c r="Q5" s="66">
        <f>SQRT(AVERAGE((Table22[[#This Row],[Net Sales (after discount) (in USD)]]-AVERAGE(Table22[Net Sales (after discount) (in USD)]))^2))</f>
        <v>104821.03943623546</v>
      </c>
      <c r="R5" s="18" t="b">
        <v>1</v>
      </c>
      <c r="S5" s="40">
        <v>10.49</v>
      </c>
      <c r="T5" s="18" t="b">
        <v>0</v>
      </c>
      <c r="U5" s="25">
        <v>45331</v>
      </c>
      <c r="V5" s="63" t="str">
        <f>IF(MONTH(Table22[[#This Row],[Sales Date]])&lt;=3,"Q1",IF(MONTH(Table22[[#This Row],[Sales Date]])&lt;=6,"Q2",IF(MONTH(Table22[[#This Row],[Sales Date]])&lt;=9,"Q3","Q4")))</f>
        <v>Q1</v>
      </c>
      <c r="W5" s="64">
        <f>YEAR(Table22[[#This Row],[Sales Date]])</f>
        <v>2024</v>
      </c>
      <c r="X5" s="23">
        <v>59</v>
      </c>
      <c r="Y5" s="18" t="s">
        <v>41</v>
      </c>
      <c r="Z5" s="18" t="s">
        <v>56</v>
      </c>
      <c r="AA5" s="19" t="s">
        <v>36</v>
      </c>
    </row>
    <row r="6" spans="1:27" x14ac:dyDescent="0.25">
      <c r="A6" s="17" t="s">
        <v>436</v>
      </c>
      <c r="B6" s="18" t="s">
        <v>18</v>
      </c>
      <c r="C6" s="63" t="str" cm="1">
        <f t="array" ref="C6">_xlfn.SWITCH(Table22[[#This Row],[Country]],"USA","North America","Canada","North America","Brazil","South America","China","Asia","Japan","Asia","India","Asia","France","Europe","Germany","Europe","UK","Europe","Australia","Oceania","South America")</f>
        <v>Asia</v>
      </c>
      <c r="D6" s="18" t="s">
        <v>28</v>
      </c>
      <c r="E6" s="18" t="s">
        <v>33</v>
      </c>
      <c r="F6" s="18" t="s">
        <v>20</v>
      </c>
      <c r="G6" s="18" t="s">
        <v>22</v>
      </c>
      <c r="H6" s="64">
        <f>LEN(TRIM(Table22[[#This Row],[Country]]))</f>
        <v>5</v>
      </c>
      <c r="I6" s="64">
        <f>LEN(TRIM(Table22[[#This Row],[Continent]]))</f>
        <v>4</v>
      </c>
      <c r="J6" s="64">
        <f>LEN(TRIM(Table22[[#This Row],[Product]]))</f>
        <v>10</v>
      </c>
      <c r="K6" s="64">
        <f>LEN(TRIM(Table22[[#This Row],[Sales Team]]))</f>
        <v>10</v>
      </c>
      <c r="L6" s="23">
        <v>99</v>
      </c>
      <c r="M6" s="65" t="str" cm="1">
        <f t="array" ref="M6">_xlfn.IFS(Table22[[#This Row],[Units Sold]]&lt;40,"Critical",Table22[[#This Row],[Units Sold]]&lt;=50,"Poor",Table22[[#This Row],[Units Sold]]&lt;=60,"Low",Table22[[#This Row],[Units Sold]]&lt;=80,"Average",Table22[[#This Row],[Units Sold]]&lt;=90,"High",Table22[[#This Row],[Units Sold]]&lt;=95,"Excellent",Table22[[#This Row],[Units Sold]]&gt;95,"Outstanding")</f>
        <v>Outstanding</v>
      </c>
      <c r="N6" s="29">
        <v>1399.8</v>
      </c>
      <c r="O6" s="29">
        <v>138580.20000000001</v>
      </c>
      <c r="P6" s="43">
        <f>IF(Table22[[#This Row],[Discount Applied]],Table22[[#This Row],[Total Sales (in USD)]]*(1-Table22[[#This Row],[Discount Percentage (%)]]/100),Table22[[#This Row],[Total Sales (in USD)]])</f>
        <v>110767.15386000001</v>
      </c>
      <c r="Q6" s="66">
        <f>SQRT(AVERAGE((Table22[[#This Row],[Net Sales (after discount) (in USD)]]-AVERAGE(Table22[Net Sales (after discount) (in USD)]))^2))</f>
        <v>74255.793296235468</v>
      </c>
      <c r="R6" s="18" t="b">
        <v>1</v>
      </c>
      <c r="S6" s="40">
        <v>20.07</v>
      </c>
      <c r="T6" s="18" t="b">
        <v>1</v>
      </c>
      <c r="U6" s="25">
        <v>45440</v>
      </c>
      <c r="V6" s="63" t="str">
        <f>IF(MONTH(Table22[[#This Row],[Sales Date]])&lt;=3,"Q1",IF(MONTH(Table22[[#This Row],[Sales Date]])&lt;=6,"Q2",IF(MONTH(Table22[[#This Row],[Sales Date]])&lt;=9,"Q3","Q4")))</f>
        <v>Q2</v>
      </c>
      <c r="W6" s="64">
        <f>YEAR(Table22[[#This Row],[Sales Date]])</f>
        <v>2024</v>
      </c>
      <c r="X6" s="23">
        <v>54</v>
      </c>
      <c r="Y6" s="18" t="s">
        <v>23</v>
      </c>
      <c r="Z6" s="18" t="s">
        <v>56</v>
      </c>
      <c r="AA6" s="19" t="s">
        <v>25</v>
      </c>
    </row>
    <row r="7" spans="1:27" x14ac:dyDescent="0.25">
      <c r="A7" s="17" t="s">
        <v>1518</v>
      </c>
      <c r="B7" s="18" t="s">
        <v>76</v>
      </c>
      <c r="C7" s="63" t="str" cm="1">
        <f t="array" ref="C7">_xlfn.SWITCH(Table22[[#This Row],[Country]],"USA","North America","Canada","North America","Brazil","South America","China","Asia","Japan","Asia","India","Asia","France","Europe","Germany","Europe","UK","Europe","Australia","Oceania","South America")</f>
        <v>Asia</v>
      </c>
      <c r="D7" s="18" t="s">
        <v>28</v>
      </c>
      <c r="E7" s="18" t="s">
        <v>33</v>
      </c>
      <c r="F7" s="18" t="s">
        <v>64</v>
      </c>
      <c r="G7" s="18" t="s">
        <v>22</v>
      </c>
      <c r="H7" s="64">
        <f>LEN(TRIM(Table22[[#This Row],[Country]]))</f>
        <v>5</v>
      </c>
      <c r="I7" s="64">
        <f>LEN(TRIM(Table22[[#This Row],[Continent]]))</f>
        <v>4</v>
      </c>
      <c r="J7" s="64">
        <f>LEN(TRIM(Table22[[#This Row],[Product]]))</f>
        <v>10</v>
      </c>
      <c r="K7" s="64">
        <f>LEN(TRIM(Table22[[#This Row],[Sales Team]]))</f>
        <v>10</v>
      </c>
      <c r="L7" s="23">
        <v>98</v>
      </c>
      <c r="M7" s="65" t="str" cm="1">
        <f t="array" ref="M7">_xlfn.IFS(Table22[[#This Row],[Units Sold]]&lt;40,"Critical",Table22[[#This Row],[Units Sold]]&lt;=50,"Poor",Table22[[#This Row],[Units Sold]]&lt;=60,"Low",Table22[[#This Row],[Units Sold]]&lt;=80,"Average",Table22[[#This Row],[Units Sold]]&lt;=90,"High",Table22[[#This Row],[Units Sold]]&lt;=95,"Excellent",Table22[[#This Row],[Units Sold]]&gt;95,"Outstanding")</f>
        <v>Outstanding</v>
      </c>
      <c r="N7" s="29">
        <v>1405.46</v>
      </c>
      <c r="O7" s="29">
        <v>137735.07999999999</v>
      </c>
      <c r="P7" s="43">
        <f>IF(Table22[[#This Row],[Discount Applied]],Table22[[#This Row],[Total Sales (in USD)]]*(1-Table22[[#This Row],[Discount Percentage (%)]]/100),Table22[[#This Row],[Total Sales (in USD)]])</f>
        <v>137735.07999999999</v>
      </c>
      <c r="Q7" s="66">
        <f>SQRT(AVERAGE((Table22[[#This Row],[Net Sales (after discount) (in USD)]]-AVERAGE(Table22[Net Sales (after discount) (in USD)]))^2))</f>
        <v>101223.71943623545</v>
      </c>
      <c r="R7" s="18" t="b">
        <v>0</v>
      </c>
      <c r="S7" s="40">
        <v>10.14</v>
      </c>
      <c r="T7" s="18" t="b">
        <v>0</v>
      </c>
      <c r="U7" s="25">
        <v>45315</v>
      </c>
      <c r="V7" s="63" t="str">
        <f>IF(MONTH(Table22[[#This Row],[Sales Date]])&lt;=3,"Q1",IF(MONTH(Table22[[#This Row],[Sales Date]])&lt;=6,"Q2",IF(MONTH(Table22[[#This Row],[Sales Date]])&lt;=9,"Q3","Q4")))</f>
        <v>Q1</v>
      </c>
      <c r="W7" s="64">
        <f>YEAR(Table22[[#This Row],[Sales Date]])</f>
        <v>2024</v>
      </c>
      <c r="X7" s="23">
        <v>43</v>
      </c>
      <c r="Y7" s="18" t="s">
        <v>23</v>
      </c>
      <c r="Z7" s="18" t="s">
        <v>56</v>
      </c>
      <c r="AA7" s="19" t="s">
        <v>25</v>
      </c>
    </row>
    <row r="8" spans="1:27" x14ac:dyDescent="0.25">
      <c r="A8" s="17" t="s">
        <v>1919</v>
      </c>
      <c r="B8" s="18" t="s">
        <v>76</v>
      </c>
      <c r="C8" s="63" t="str" cm="1">
        <f t="array" ref="C8">_xlfn.SWITCH(Table22[[#This Row],[Country]],"USA","North America","Canada","North America","Brazil","South America","China","Asia","Japan","Asia","India","Asia","France","Europe","Germany","Europe","UK","Europe","Australia","Oceania","South America")</f>
        <v>Asia</v>
      </c>
      <c r="D8" s="18" t="s">
        <v>35</v>
      </c>
      <c r="E8" s="18" t="s">
        <v>19</v>
      </c>
      <c r="F8" s="18" t="s">
        <v>34</v>
      </c>
      <c r="G8" s="18" t="s">
        <v>40</v>
      </c>
      <c r="H8" s="64">
        <f>LEN(TRIM(Table22[[#This Row],[Country]]))</f>
        <v>5</v>
      </c>
      <c r="I8" s="64">
        <f>LEN(TRIM(Table22[[#This Row],[Continent]]))</f>
        <v>4</v>
      </c>
      <c r="J8" s="64">
        <f>LEN(TRIM(Table22[[#This Row],[Product]]))</f>
        <v>6</v>
      </c>
      <c r="K8" s="64">
        <f>LEN(TRIM(Table22[[#This Row],[Sales Team]]))</f>
        <v>10</v>
      </c>
      <c r="L8" s="23">
        <v>95</v>
      </c>
      <c r="M8" s="65" t="str" cm="1">
        <f t="array" ref="M8">_xlfn.IFS(Table22[[#This Row],[Units Sold]]&lt;40,"Critical",Table22[[#This Row],[Units Sold]]&lt;=50,"Poor",Table22[[#This Row],[Units Sold]]&lt;=60,"Low",Table22[[#This Row],[Units Sold]]&lt;=80,"Average",Table22[[#This Row],[Units Sold]]&lt;=90,"High",Table22[[#This Row],[Units Sold]]&lt;=95,"Excellent",Table22[[#This Row],[Units Sold]]&gt;95,"Outstanding")</f>
        <v>Excellent</v>
      </c>
      <c r="N8" s="29">
        <v>1445.41</v>
      </c>
      <c r="O8" s="29">
        <v>137313.95000000001</v>
      </c>
      <c r="P8" s="43">
        <f>IF(Table22[[#This Row],[Discount Applied]],Table22[[#This Row],[Total Sales (in USD)]]*(1-Table22[[#This Row],[Discount Percentage (%)]]/100),Table22[[#This Row],[Total Sales (in USD)]])</f>
        <v>137313.95000000001</v>
      </c>
      <c r="Q8" s="66">
        <f>SQRT(AVERAGE((Table22[[#This Row],[Net Sales (after discount) (in USD)]]-AVERAGE(Table22[Net Sales (after discount) (in USD)]))^2))</f>
        <v>100802.58943623547</v>
      </c>
      <c r="R8" s="18" t="b">
        <v>0</v>
      </c>
      <c r="S8" s="40">
        <v>14.67</v>
      </c>
      <c r="T8" s="18" t="b">
        <v>0</v>
      </c>
      <c r="U8" s="25">
        <v>45165</v>
      </c>
      <c r="V8" s="63" t="str">
        <f>IF(MONTH(Table22[[#This Row],[Sales Date]])&lt;=3,"Q1",IF(MONTH(Table22[[#This Row],[Sales Date]])&lt;=6,"Q2",IF(MONTH(Table22[[#This Row],[Sales Date]])&lt;=9,"Q3","Q4")))</f>
        <v>Q3</v>
      </c>
      <c r="W8" s="64">
        <f>YEAR(Table22[[#This Row],[Sales Date]])</f>
        <v>2023</v>
      </c>
      <c r="X8" s="23">
        <v>62</v>
      </c>
      <c r="Y8" s="18" t="s">
        <v>23</v>
      </c>
      <c r="Z8" s="18" t="s">
        <v>42</v>
      </c>
      <c r="AA8" s="19" t="s">
        <v>36</v>
      </c>
    </row>
    <row r="9" spans="1:27" x14ac:dyDescent="0.25">
      <c r="A9" s="17" t="s">
        <v>1863</v>
      </c>
      <c r="B9" s="18" t="s">
        <v>38</v>
      </c>
      <c r="C9" s="63" t="str" cm="1">
        <f t="array" ref="C9">_xlfn.SWITCH(Table22[[#This Row],[Country]],"USA","North America","Canada","North America","Brazil","South America","China","Asia","Japan","Asia","India","Asia","France","Europe","Germany","Europe","UK","Europe","Australia","Oceania","South America")</f>
        <v>Europe</v>
      </c>
      <c r="D9" s="18" t="s">
        <v>44</v>
      </c>
      <c r="E9" s="18" t="s">
        <v>19</v>
      </c>
      <c r="F9" s="18" t="s">
        <v>20</v>
      </c>
      <c r="G9" s="18" t="s">
        <v>29</v>
      </c>
      <c r="H9" s="64">
        <f>LEN(TRIM(Table22[[#This Row],[Country]]))</f>
        <v>6</v>
      </c>
      <c r="I9" s="64">
        <f>LEN(TRIM(Table22[[#This Row],[Continent]]))</f>
        <v>6</v>
      </c>
      <c r="J9" s="64">
        <f>LEN(TRIM(Table22[[#This Row],[Product]]))</f>
        <v>6</v>
      </c>
      <c r="K9" s="64">
        <f>LEN(TRIM(Table22[[#This Row],[Sales Team]]))</f>
        <v>10</v>
      </c>
      <c r="L9" s="23">
        <v>91</v>
      </c>
      <c r="M9" s="65" t="str" cm="1">
        <f t="array" ref="M9">_xlfn.IFS(Table22[[#This Row],[Units Sold]]&lt;40,"Critical",Table22[[#This Row],[Units Sold]]&lt;=50,"Poor",Table22[[#This Row],[Units Sold]]&lt;=60,"Low",Table22[[#This Row],[Units Sold]]&lt;=80,"Average",Table22[[#This Row],[Units Sold]]&lt;=90,"High",Table22[[#This Row],[Units Sold]]&lt;=95,"Excellent",Table22[[#This Row],[Units Sold]]&gt;95,"Outstanding")</f>
        <v>Excellent</v>
      </c>
      <c r="N9" s="29">
        <v>1492.06</v>
      </c>
      <c r="O9" s="29">
        <v>135777.46</v>
      </c>
      <c r="P9" s="43">
        <f>IF(Table22[[#This Row],[Discount Applied]],Table22[[#This Row],[Total Sales (in USD)]]*(1-Table22[[#This Row],[Discount Percentage (%)]]/100),Table22[[#This Row],[Total Sales (in USD)]])</f>
        <v>135777.46</v>
      </c>
      <c r="Q9" s="66">
        <f>SQRT(AVERAGE((Table22[[#This Row],[Net Sales (after discount) (in USD)]]-AVERAGE(Table22[Net Sales (after discount) (in USD)]))^2))</f>
        <v>99266.099436235454</v>
      </c>
      <c r="R9" s="18" t="b">
        <v>1</v>
      </c>
      <c r="S9" s="40">
        <v>26.24</v>
      </c>
      <c r="T9" s="18" t="b">
        <v>0</v>
      </c>
      <c r="U9" s="25">
        <v>45540</v>
      </c>
      <c r="V9" s="63" t="str">
        <f>IF(MONTH(Table22[[#This Row],[Sales Date]])&lt;=3,"Q1",IF(MONTH(Table22[[#This Row],[Sales Date]])&lt;=6,"Q2",IF(MONTH(Table22[[#This Row],[Sales Date]])&lt;=9,"Q3","Q4")))</f>
        <v>Q3</v>
      </c>
      <c r="W9" s="64">
        <f>YEAR(Table22[[#This Row],[Sales Date]])</f>
        <v>2024</v>
      </c>
      <c r="X9" s="23">
        <v>53</v>
      </c>
      <c r="Y9" s="18" t="s">
        <v>49</v>
      </c>
      <c r="Z9" s="18" t="s">
        <v>24</v>
      </c>
      <c r="AA9" s="19" t="s">
        <v>36</v>
      </c>
    </row>
    <row r="10" spans="1:27" x14ac:dyDescent="0.25">
      <c r="A10" s="17" t="s">
        <v>881</v>
      </c>
      <c r="B10" s="18" t="s">
        <v>38</v>
      </c>
      <c r="C10" s="63" t="str" cm="1">
        <f t="array" ref="C10">_xlfn.SWITCH(Table22[[#This Row],[Country]],"USA","North America","Canada","North America","Brazil","South America","China","Asia","Japan","Asia","India","Asia","France","Europe","Germany","Europe","UK","Europe","Australia","Oceania","South America")</f>
        <v>Europe</v>
      </c>
      <c r="D10" s="18" t="s">
        <v>21</v>
      </c>
      <c r="E10" s="18" t="s">
        <v>19</v>
      </c>
      <c r="F10" s="18" t="s">
        <v>64</v>
      </c>
      <c r="G10" s="18" t="s">
        <v>48</v>
      </c>
      <c r="H10" s="64">
        <f>LEN(TRIM(Table22[[#This Row],[Country]]))</f>
        <v>6</v>
      </c>
      <c r="I10" s="64">
        <f>LEN(TRIM(Table22[[#This Row],[Continent]]))</f>
        <v>6</v>
      </c>
      <c r="J10" s="64">
        <f>LEN(TRIM(Table22[[#This Row],[Product]]))</f>
        <v>6</v>
      </c>
      <c r="K10" s="64">
        <f>LEN(TRIM(Table22[[#This Row],[Sales Team]]))</f>
        <v>9</v>
      </c>
      <c r="L10" s="23">
        <v>97</v>
      </c>
      <c r="M10" s="65" t="str" cm="1">
        <f t="array" ref="M10">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0" s="29">
        <v>1394.45</v>
      </c>
      <c r="O10" s="29">
        <v>135261.65</v>
      </c>
      <c r="P10" s="43">
        <f>IF(Table22[[#This Row],[Discount Applied]],Table22[[#This Row],[Total Sales (in USD)]]*(1-Table22[[#This Row],[Discount Percentage (%)]]/100),Table22[[#This Row],[Total Sales (in USD)]])</f>
        <v>117068.958075</v>
      </c>
      <c r="Q10" s="66">
        <f>SQRT(AVERAGE((Table22[[#This Row],[Net Sales (after discount) (in USD)]]-AVERAGE(Table22[Net Sales (after discount) (in USD)]))^2))</f>
        <v>80557.597511235464</v>
      </c>
      <c r="R10" s="18" t="b">
        <v>0</v>
      </c>
      <c r="S10" s="40">
        <v>13.45</v>
      </c>
      <c r="T10" s="18" t="b">
        <v>1</v>
      </c>
      <c r="U10" s="25">
        <v>45037</v>
      </c>
      <c r="V10" s="63" t="str">
        <f>IF(MONTH(Table22[[#This Row],[Sales Date]])&lt;=3,"Q1",IF(MONTH(Table22[[#This Row],[Sales Date]])&lt;=6,"Q2",IF(MONTH(Table22[[#This Row],[Sales Date]])&lt;=9,"Q3","Q4")))</f>
        <v>Q2</v>
      </c>
      <c r="W10" s="64">
        <f>YEAR(Table22[[#This Row],[Sales Date]])</f>
        <v>2023</v>
      </c>
      <c r="X10" s="23">
        <v>30</v>
      </c>
      <c r="Y10" s="18" t="s">
        <v>49</v>
      </c>
      <c r="Z10" s="18" t="s">
        <v>56</v>
      </c>
      <c r="AA10" s="19" t="s">
        <v>25</v>
      </c>
    </row>
    <row r="11" spans="1:27" x14ac:dyDescent="0.25">
      <c r="A11" s="17" t="s">
        <v>1274</v>
      </c>
      <c r="B11" s="18" t="s">
        <v>72</v>
      </c>
      <c r="C11" s="63" t="str" cm="1">
        <f t="array" ref="C11">_xlfn.SWITCH(Table22[[#This Row],[Country]],"USA","North America","Canada","North America","Brazil","South America","China","Asia","Japan","Asia","India","Asia","France","Europe","Germany","Europe","UK","Europe","Australia","Oceania","South America")</f>
        <v>North America</v>
      </c>
      <c r="D11" s="18" t="s">
        <v>21</v>
      </c>
      <c r="E11" s="18" t="s">
        <v>19</v>
      </c>
      <c r="F11" s="18" t="s">
        <v>47</v>
      </c>
      <c r="G11" s="18" t="s">
        <v>48</v>
      </c>
      <c r="H11" s="64">
        <f>LEN(TRIM(Table22[[#This Row],[Country]]))</f>
        <v>3</v>
      </c>
      <c r="I11" s="64">
        <f>LEN(TRIM(Table22[[#This Row],[Continent]]))</f>
        <v>13</v>
      </c>
      <c r="J11" s="64">
        <f>LEN(TRIM(Table22[[#This Row],[Product]]))</f>
        <v>6</v>
      </c>
      <c r="K11" s="64">
        <f>LEN(TRIM(Table22[[#This Row],[Sales Team]]))</f>
        <v>9</v>
      </c>
      <c r="L11" s="23">
        <v>91</v>
      </c>
      <c r="M11" s="65" t="str" cm="1">
        <f t="array" ref="M11">_xlfn.IFS(Table22[[#This Row],[Units Sold]]&lt;40,"Critical",Table22[[#This Row],[Units Sold]]&lt;=50,"Poor",Table22[[#This Row],[Units Sold]]&lt;=60,"Low",Table22[[#This Row],[Units Sold]]&lt;=80,"Average",Table22[[#This Row],[Units Sold]]&lt;=90,"High",Table22[[#This Row],[Units Sold]]&lt;=95,"Excellent",Table22[[#This Row],[Units Sold]]&gt;95,"Outstanding")</f>
        <v>Excellent</v>
      </c>
      <c r="N11" s="29">
        <v>1477.73</v>
      </c>
      <c r="O11" s="29">
        <v>134473.43</v>
      </c>
      <c r="P11" s="43">
        <f>IF(Table22[[#This Row],[Discount Applied]],Table22[[#This Row],[Total Sales (in USD)]]*(1-Table22[[#This Row],[Discount Percentage (%)]]/100),Table22[[#This Row],[Total Sales (in USD)]])</f>
        <v>103087.33143799999</v>
      </c>
      <c r="Q11" s="66">
        <f>SQRT(AVERAGE((Table22[[#This Row],[Net Sales (after discount) (in USD)]]-AVERAGE(Table22[Net Sales (after discount) (in USD)]))^2))</f>
        <v>66575.970874235456</v>
      </c>
      <c r="R11" s="18" t="b">
        <v>0</v>
      </c>
      <c r="S11" s="40">
        <v>23.34</v>
      </c>
      <c r="T11" s="18" t="b">
        <v>1</v>
      </c>
      <c r="U11" s="25">
        <v>45385</v>
      </c>
      <c r="V11" s="63" t="str">
        <f>IF(MONTH(Table22[[#This Row],[Sales Date]])&lt;=3,"Q1",IF(MONTH(Table22[[#This Row],[Sales Date]])&lt;=6,"Q2",IF(MONTH(Table22[[#This Row],[Sales Date]])&lt;=9,"Q3","Q4")))</f>
        <v>Q2</v>
      </c>
      <c r="W11" s="64">
        <f>YEAR(Table22[[#This Row],[Sales Date]])</f>
        <v>2024</v>
      </c>
      <c r="X11" s="23">
        <v>44</v>
      </c>
      <c r="Y11" s="18" t="s">
        <v>23</v>
      </c>
      <c r="Z11" s="18" t="s">
        <v>42</v>
      </c>
      <c r="AA11" s="19" t="s">
        <v>25</v>
      </c>
    </row>
    <row r="12" spans="1:27" x14ac:dyDescent="0.25">
      <c r="A12" s="17" t="s">
        <v>2036</v>
      </c>
      <c r="B12" s="18" t="s">
        <v>38</v>
      </c>
      <c r="C12" s="63" t="str" cm="1">
        <f t="array" ref="C12">_xlfn.SWITCH(Table22[[#This Row],[Country]],"USA","North America","Canada","North America","Brazil","South America","China","Asia","Japan","Asia","India","Asia","France","Europe","Germany","Europe","UK","Europe","Australia","Oceania","South America")</f>
        <v>Europe</v>
      </c>
      <c r="D12" s="18" t="s">
        <v>35</v>
      </c>
      <c r="E12" s="18" t="s">
        <v>19</v>
      </c>
      <c r="F12" s="18" t="s">
        <v>20</v>
      </c>
      <c r="G12" s="18" t="s">
        <v>48</v>
      </c>
      <c r="H12" s="64">
        <f>LEN(TRIM(Table22[[#This Row],[Country]]))</f>
        <v>6</v>
      </c>
      <c r="I12" s="64">
        <f>LEN(TRIM(Table22[[#This Row],[Continent]]))</f>
        <v>6</v>
      </c>
      <c r="J12" s="64">
        <f>LEN(TRIM(Table22[[#This Row],[Product]]))</f>
        <v>6</v>
      </c>
      <c r="K12" s="64">
        <f>LEN(TRIM(Table22[[#This Row],[Sales Team]]))</f>
        <v>9</v>
      </c>
      <c r="L12" s="23">
        <v>92</v>
      </c>
      <c r="M12" s="65" t="str" cm="1">
        <f t="array" ref="M12">_xlfn.IFS(Table22[[#This Row],[Units Sold]]&lt;40,"Critical",Table22[[#This Row],[Units Sold]]&lt;=50,"Poor",Table22[[#This Row],[Units Sold]]&lt;=60,"Low",Table22[[#This Row],[Units Sold]]&lt;=80,"Average",Table22[[#This Row],[Units Sold]]&lt;=90,"High",Table22[[#This Row],[Units Sold]]&lt;=95,"Excellent",Table22[[#This Row],[Units Sold]]&gt;95,"Outstanding")</f>
        <v>Excellent</v>
      </c>
      <c r="N12" s="29">
        <v>1458.65</v>
      </c>
      <c r="O12" s="29">
        <v>134195.79999999999</v>
      </c>
      <c r="P12" s="43">
        <f>IF(Table22[[#This Row],[Discount Applied]],Table22[[#This Row],[Total Sales (in USD)]]*(1-Table22[[#This Row],[Discount Percentage (%)]]/100),Table22[[#This Row],[Total Sales (in USD)]])</f>
        <v>134195.79999999999</v>
      </c>
      <c r="Q12" s="66">
        <f>SQRT(AVERAGE((Table22[[#This Row],[Net Sales (after discount) (in USD)]]-AVERAGE(Table22[Net Sales (after discount) (in USD)]))^2))</f>
        <v>97684.439436235451</v>
      </c>
      <c r="R12" s="18" t="b">
        <v>1</v>
      </c>
      <c r="S12" s="40">
        <v>23.84</v>
      </c>
      <c r="T12" s="18" t="b">
        <v>0</v>
      </c>
      <c r="U12" s="25">
        <v>45570</v>
      </c>
      <c r="V12" s="63" t="str">
        <f>IF(MONTH(Table22[[#This Row],[Sales Date]])&lt;=3,"Q1",IF(MONTH(Table22[[#This Row],[Sales Date]])&lt;=6,"Q2",IF(MONTH(Table22[[#This Row],[Sales Date]])&lt;=9,"Q3","Q4")))</f>
        <v>Q4</v>
      </c>
      <c r="W12" s="64">
        <f>YEAR(Table22[[#This Row],[Sales Date]])</f>
        <v>2024</v>
      </c>
      <c r="X12" s="23">
        <v>68</v>
      </c>
      <c r="Y12" s="18" t="s">
        <v>23</v>
      </c>
      <c r="Z12" s="18" t="s">
        <v>42</v>
      </c>
      <c r="AA12" s="19" t="s">
        <v>36</v>
      </c>
    </row>
    <row r="13" spans="1:27" x14ac:dyDescent="0.25">
      <c r="A13" s="17" t="s">
        <v>1857</v>
      </c>
      <c r="B13" s="18" t="s">
        <v>27</v>
      </c>
      <c r="C13" s="63" t="str" cm="1">
        <f t="array" ref="C13">_xlfn.SWITCH(Table22[[#This Row],[Country]],"USA","North America","Canada","North America","Brazil","South America","China","Asia","Japan","Asia","India","Asia","France","Europe","Germany","Europe","UK","Europe","Australia","Oceania","South America")</f>
        <v>Europe</v>
      </c>
      <c r="D13" s="18" t="s">
        <v>44</v>
      </c>
      <c r="E13" s="18" t="s">
        <v>19</v>
      </c>
      <c r="F13" s="18" t="s">
        <v>47</v>
      </c>
      <c r="G13" s="18" t="s">
        <v>29</v>
      </c>
      <c r="H13" s="64">
        <f>LEN(TRIM(Table22[[#This Row],[Country]]))</f>
        <v>7</v>
      </c>
      <c r="I13" s="64">
        <f>LEN(TRIM(Table22[[#This Row],[Continent]]))</f>
        <v>6</v>
      </c>
      <c r="J13" s="64">
        <f>LEN(TRIM(Table22[[#This Row],[Product]]))</f>
        <v>6</v>
      </c>
      <c r="K13" s="64">
        <f>LEN(TRIM(Table22[[#This Row],[Sales Team]]))</f>
        <v>10</v>
      </c>
      <c r="L13" s="23">
        <v>97</v>
      </c>
      <c r="M13" s="65" t="str" cm="1">
        <f t="array" ref="M13">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3" s="29">
        <v>1380.88</v>
      </c>
      <c r="O13" s="29">
        <v>133945.35999999999</v>
      </c>
      <c r="P13" s="43">
        <f>IF(Table22[[#This Row],[Discount Applied]],Table22[[#This Row],[Total Sales (in USD)]]*(1-Table22[[#This Row],[Discount Percentage (%)]]/100),Table22[[#This Row],[Total Sales (in USD)]])</f>
        <v>133945.35999999999</v>
      </c>
      <c r="Q13" s="66">
        <f>SQRT(AVERAGE((Table22[[#This Row],[Net Sales (after discount) (in USD)]]-AVERAGE(Table22[Net Sales (after discount) (in USD)]))^2))</f>
        <v>97433.999436235448</v>
      </c>
      <c r="R13" s="18" t="b">
        <v>1</v>
      </c>
      <c r="S13" s="40">
        <v>5.92</v>
      </c>
      <c r="T13" s="18" t="b">
        <v>0</v>
      </c>
      <c r="U13" s="25">
        <v>45269</v>
      </c>
      <c r="V13" s="63" t="str">
        <f>IF(MONTH(Table22[[#This Row],[Sales Date]])&lt;=3,"Q1",IF(MONTH(Table22[[#This Row],[Sales Date]])&lt;=6,"Q2",IF(MONTH(Table22[[#This Row],[Sales Date]])&lt;=9,"Q3","Q4")))</f>
        <v>Q4</v>
      </c>
      <c r="W13" s="64">
        <f>YEAR(Table22[[#This Row],[Sales Date]])</f>
        <v>2023</v>
      </c>
      <c r="X13" s="23">
        <v>67</v>
      </c>
      <c r="Y13" s="18" t="s">
        <v>41</v>
      </c>
      <c r="Z13" s="18" t="s">
        <v>42</v>
      </c>
      <c r="AA13" s="19" t="s">
        <v>25</v>
      </c>
    </row>
    <row r="14" spans="1:27" x14ac:dyDescent="0.25">
      <c r="A14" s="17" t="s">
        <v>601</v>
      </c>
      <c r="B14" s="18" t="s">
        <v>38</v>
      </c>
      <c r="C14" s="63" t="str" cm="1">
        <f t="array" ref="C14">_xlfn.SWITCH(Table22[[#This Row],[Country]],"USA","North America","Canada","North America","Brazil","South America","China","Asia","Japan","Asia","India","Asia","France","Europe","Germany","Europe","UK","Europe","Australia","Oceania","South America")</f>
        <v>Europe</v>
      </c>
      <c r="D14" s="18" t="s">
        <v>44</v>
      </c>
      <c r="E14" s="18" t="s">
        <v>33</v>
      </c>
      <c r="F14" s="18" t="s">
        <v>52</v>
      </c>
      <c r="G14" s="18" t="s">
        <v>22</v>
      </c>
      <c r="H14" s="64">
        <f>LEN(TRIM(Table22[[#This Row],[Country]]))</f>
        <v>6</v>
      </c>
      <c r="I14" s="64">
        <f>LEN(TRIM(Table22[[#This Row],[Continent]]))</f>
        <v>6</v>
      </c>
      <c r="J14" s="64">
        <f>LEN(TRIM(Table22[[#This Row],[Product]]))</f>
        <v>10</v>
      </c>
      <c r="K14" s="64">
        <f>LEN(TRIM(Table22[[#This Row],[Sales Team]]))</f>
        <v>10</v>
      </c>
      <c r="L14" s="23">
        <v>92</v>
      </c>
      <c r="M14" s="65" t="str" cm="1">
        <f t="array" ref="M14">_xlfn.IFS(Table22[[#This Row],[Units Sold]]&lt;40,"Critical",Table22[[#This Row],[Units Sold]]&lt;=50,"Poor",Table22[[#This Row],[Units Sold]]&lt;=60,"Low",Table22[[#This Row],[Units Sold]]&lt;=80,"Average",Table22[[#This Row],[Units Sold]]&lt;=90,"High",Table22[[#This Row],[Units Sold]]&lt;=95,"Excellent",Table22[[#This Row],[Units Sold]]&gt;95,"Outstanding")</f>
        <v>Excellent</v>
      </c>
      <c r="N14" s="29">
        <v>1453.4</v>
      </c>
      <c r="O14" s="29">
        <v>133712.79999999999</v>
      </c>
      <c r="P14" s="43">
        <f>IF(Table22[[#This Row],[Discount Applied]],Table22[[#This Row],[Total Sales (in USD)]]*(1-Table22[[#This Row],[Discount Percentage (%)]]/100),Table22[[#This Row],[Total Sales (in USD)]])</f>
        <v>126438.82367999999</v>
      </c>
      <c r="Q14" s="66">
        <f>SQRT(AVERAGE((Table22[[#This Row],[Net Sales (after discount) (in USD)]]-AVERAGE(Table22[Net Sales (after discount) (in USD)]))^2))</f>
        <v>89927.463116235449</v>
      </c>
      <c r="R14" s="18" t="b">
        <v>0</v>
      </c>
      <c r="S14" s="40">
        <v>5.44</v>
      </c>
      <c r="T14" s="18" t="b">
        <v>1</v>
      </c>
      <c r="U14" s="25">
        <v>45171</v>
      </c>
      <c r="V14" s="63" t="str">
        <f>IF(MONTH(Table22[[#This Row],[Sales Date]])&lt;=3,"Q1",IF(MONTH(Table22[[#This Row],[Sales Date]])&lt;=6,"Q2",IF(MONTH(Table22[[#This Row],[Sales Date]])&lt;=9,"Q3","Q4")))</f>
        <v>Q3</v>
      </c>
      <c r="W14" s="64">
        <f>YEAR(Table22[[#This Row],[Sales Date]])</f>
        <v>2023</v>
      </c>
      <c r="X14" s="23">
        <v>30</v>
      </c>
      <c r="Y14" s="18" t="s">
        <v>49</v>
      </c>
      <c r="Z14" s="18" t="s">
        <v>30</v>
      </c>
      <c r="AA14" s="19" t="s">
        <v>25</v>
      </c>
    </row>
    <row r="15" spans="1:27" x14ac:dyDescent="0.25">
      <c r="A15" s="17" t="s">
        <v>541</v>
      </c>
      <c r="B15" s="18" t="s">
        <v>66</v>
      </c>
      <c r="C15" s="63" t="str" cm="1">
        <f t="array" ref="C15">_xlfn.SWITCH(Table22[[#This Row],[Country]],"USA","North America","Canada","North America","Brazil","South America","China","Asia","Japan","Asia","India","Asia","France","Europe","Germany","Europe","UK","Europe","Australia","Oceania","South America")</f>
        <v>North America</v>
      </c>
      <c r="D15" s="18" t="s">
        <v>44</v>
      </c>
      <c r="E15" s="18" t="s">
        <v>19</v>
      </c>
      <c r="F15" s="18" t="s">
        <v>20</v>
      </c>
      <c r="G15" s="18" t="s">
        <v>40</v>
      </c>
      <c r="H15" s="64">
        <f>LEN(TRIM(Table22[[#This Row],[Country]]))</f>
        <v>6</v>
      </c>
      <c r="I15" s="64">
        <f>LEN(TRIM(Table22[[#This Row],[Continent]]))</f>
        <v>13</v>
      </c>
      <c r="J15" s="64">
        <f>LEN(TRIM(Table22[[#This Row],[Product]]))</f>
        <v>6</v>
      </c>
      <c r="K15" s="64">
        <f>LEN(TRIM(Table22[[#This Row],[Sales Team]]))</f>
        <v>10</v>
      </c>
      <c r="L15" s="23">
        <v>89</v>
      </c>
      <c r="M15" s="65" t="str" cm="1">
        <f t="array" ref="M15">_xlfn.IFS(Table22[[#This Row],[Units Sold]]&lt;40,"Critical",Table22[[#This Row],[Units Sold]]&lt;=50,"Poor",Table22[[#This Row],[Units Sold]]&lt;=60,"Low",Table22[[#This Row],[Units Sold]]&lt;=80,"Average",Table22[[#This Row],[Units Sold]]&lt;=90,"High",Table22[[#This Row],[Units Sold]]&lt;=95,"Excellent",Table22[[#This Row],[Units Sold]]&gt;95,"Outstanding")</f>
        <v>High</v>
      </c>
      <c r="N15" s="29">
        <v>1490.07</v>
      </c>
      <c r="O15" s="29">
        <v>132616.23000000001</v>
      </c>
      <c r="P15" s="43">
        <f>IF(Table22[[#This Row],[Discount Applied]],Table22[[#This Row],[Total Sales (in USD)]]*(1-Table22[[#This Row],[Discount Percentage (%)]]/100),Table22[[#This Row],[Total Sales (in USD)]])</f>
        <v>126104.773107</v>
      </c>
      <c r="Q15" s="66">
        <f>SQRT(AVERAGE((Table22[[#This Row],[Net Sales (after discount) (in USD)]]-AVERAGE(Table22[Net Sales (after discount) (in USD)]))^2))</f>
        <v>89593.412543235463</v>
      </c>
      <c r="R15" s="18" t="b">
        <v>0</v>
      </c>
      <c r="S15" s="40">
        <v>4.91</v>
      </c>
      <c r="T15" s="18" t="b">
        <v>1</v>
      </c>
      <c r="U15" s="25">
        <v>45510</v>
      </c>
      <c r="V15" s="63" t="str">
        <f>IF(MONTH(Table22[[#This Row],[Sales Date]])&lt;=3,"Q1",IF(MONTH(Table22[[#This Row],[Sales Date]])&lt;=6,"Q2",IF(MONTH(Table22[[#This Row],[Sales Date]])&lt;=9,"Q3","Q4")))</f>
        <v>Q3</v>
      </c>
      <c r="W15" s="64">
        <f>YEAR(Table22[[#This Row],[Sales Date]])</f>
        <v>2024</v>
      </c>
      <c r="X15" s="23">
        <v>51</v>
      </c>
      <c r="Y15" s="18" t="s">
        <v>49</v>
      </c>
      <c r="Z15" s="18" t="s">
        <v>24</v>
      </c>
      <c r="AA15" s="19" t="s">
        <v>25</v>
      </c>
    </row>
    <row r="16" spans="1:27" x14ac:dyDescent="0.25">
      <c r="A16" s="17" t="s">
        <v>649</v>
      </c>
      <c r="B16" s="18" t="s">
        <v>76</v>
      </c>
      <c r="C16" s="63" t="str" cm="1">
        <f t="array" ref="C16">_xlfn.SWITCH(Table22[[#This Row],[Country]],"USA","North America","Canada","North America","Brazil","South America","China","Asia","Japan","Asia","India","Asia","France","Europe","Germany","Europe","UK","Europe","Australia","Oceania","South America")</f>
        <v>Asia</v>
      </c>
      <c r="D16" s="18" t="s">
        <v>28</v>
      </c>
      <c r="E16" s="18" t="s">
        <v>33</v>
      </c>
      <c r="F16" s="18" t="s">
        <v>47</v>
      </c>
      <c r="G16" s="18" t="s">
        <v>48</v>
      </c>
      <c r="H16" s="64">
        <f>LEN(TRIM(Table22[[#This Row],[Country]]))</f>
        <v>5</v>
      </c>
      <c r="I16" s="64">
        <f>LEN(TRIM(Table22[[#This Row],[Continent]]))</f>
        <v>4</v>
      </c>
      <c r="J16" s="64">
        <f>LEN(TRIM(Table22[[#This Row],[Product]]))</f>
        <v>10</v>
      </c>
      <c r="K16" s="64">
        <f>LEN(TRIM(Table22[[#This Row],[Sales Team]]))</f>
        <v>9</v>
      </c>
      <c r="L16" s="23">
        <v>92</v>
      </c>
      <c r="M16" s="65" t="str" cm="1">
        <f t="array" ref="M16">_xlfn.IFS(Table22[[#This Row],[Units Sold]]&lt;40,"Critical",Table22[[#This Row],[Units Sold]]&lt;=50,"Poor",Table22[[#This Row],[Units Sold]]&lt;=60,"Low",Table22[[#This Row],[Units Sold]]&lt;=80,"Average",Table22[[#This Row],[Units Sold]]&lt;=90,"High",Table22[[#This Row],[Units Sold]]&lt;=95,"Excellent",Table22[[#This Row],[Units Sold]]&gt;95,"Outstanding")</f>
        <v>Excellent</v>
      </c>
      <c r="N16" s="29">
        <v>1435.1</v>
      </c>
      <c r="O16" s="29">
        <v>132029.20000000001</v>
      </c>
      <c r="P16" s="43">
        <f>IF(Table22[[#This Row],[Discount Applied]],Table22[[#This Row],[Total Sales (in USD)]]*(1-Table22[[#This Row],[Discount Percentage (%)]]/100),Table22[[#This Row],[Total Sales (in USD)]])</f>
        <v>123896.20128000001</v>
      </c>
      <c r="Q16" s="66">
        <f>SQRT(AVERAGE((Table22[[#This Row],[Net Sales (after discount) (in USD)]]-AVERAGE(Table22[Net Sales (after discount) (in USD)]))^2))</f>
        <v>87384.840716235471</v>
      </c>
      <c r="R16" s="18" t="b">
        <v>0</v>
      </c>
      <c r="S16" s="40">
        <v>6.16</v>
      </c>
      <c r="T16" s="18" t="b">
        <v>1</v>
      </c>
      <c r="U16" s="25">
        <v>45236</v>
      </c>
      <c r="V16" s="63" t="str">
        <f>IF(MONTH(Table22[[#This Row],[Sales Date]])&lt;=3,"Q1",IF(MONTH(Table22[[#This Row],[Sales Date]])&lt;=6,"Q2",IF(MONTH(Table22[[#This Row],[Sales Date]])&lt;=9,"Q3","Q4")))</f>
        <v>Q4</v>
      </c>
      <c r="W16" s="64">
        <f>YEAR(Table22[[#This Row],[Sales Date]])</f>
        <v>2023</v>
      </c>
      <c r="X16" s="23">
        <v>39</v>
      </c>
      <c r="Y16" s="18" t="s">
        <v>41</v>
      </c>
      <c r="Z16" s="18" t="s">
        <v>30</v>
      </c>
      <c r="AA16" s="19" t="s">
        <v>36</v>
      </c>
    </row>
    <row r="17" spans="1:27" x14ac:dyDescent="0.25">
      <c r="A17" s="17" t="s">
        <v>850</v>
      </c>
      <c r="B17" s="18" t="s">
        <v>18</v>
      </c>
      <c r="C17" s="63" t="str" cm="1">
        <f t="array" ref="C17">_xlfn.SWITCH(Table22[[#This Row],[Country]],"USA","North America","Canada","North America","Brazil","South America","China","Asia","Japan","Asia","India","Asia","France","Europe","Germany","Europe","UK","Europe","Australia","Oceania","South America")</f>
        <v>Asia</v>
      </c>
      <c r="D17" s="18" t="s">
        <v>28</v>
      </c>
      <c r="E17" s="18" t="s">
        <v>33</v>
      </c>
      <c r="F17" s="18" t="s">
        <v>52</v>
      </c>
      <c r="G17" s="18" t="s">
        <v>48</v>
      </c>
      <c r="H17" s="64">
        <f>LEN(TRIM(Table22[[#This Row],[Country]]))</f>
        <v>5</v>
      </c>
      <c r="I17" s="64">
        <f>LEN(TRIM(Table22[[#This Row],[Continent]]))</f>
        <v>4</v>
      </c>
      <c r="J17" s="64">
        <f>LEN(TRIM(Table22[[#This Row],[Product]]))</f>
        <v>10</v>
      </c>
      <c r="K17" s="64">
        <f>LEN(TRIM(Table22[[#This Row],[Sales Team]]))</f>
        <v>9</v>
      </c>
      <c r="L17" s="23">
        <v>89</v>
      </c>
      <c r="M17" s="65" t="str" cm="1">
        <f t="array" ref="M17">_xlfn.IFS(Table22[[#This Row],[Units Sold]]&lt;40,"Critical",Table22[[#This Row],[Units Sold]]&lt;=50,"Poor",Table22[[#This Row],[Units Sold]]&lt;=60,"Low",Table22[[#This Row],[Units Sold]]&lt;=80,"Average",Table22[[#This Row],[Units Sold]]&lt;=90,"High",Table22[[#This Row],[Units Sold]]&lt;=95,"Excellent",Table22[[#This Row],[Units Sold]]&gt;95,"Outstanding")</f>
        <v>High</v>
      </c>
      <c r="N17" s="29">
        <v>1472.64</v>
      </c>
      <c r="O17" s="29">
        <v>131064.96000000001</v>
      </c>
      <c r="P17" s="43">
        <f>IF(Table22[[#This Row],[Discount Applied]],Table22[[#This Row],[Total Sales (in USD)]]*(1-Table22[[#This Row],[Discount Percentage (%)]]/100),Table22[[#This Row],[Total Sales (in USD)]])</f>
        <v>131064.96000000001</v>
      </c>
      <c r="Q17" s="66">
        <f>SQRT(AVERAGE((Table22[[#This Row],[Net Sales (after discount) (in USD)]]-AVERAGE(Table22[Net Sales (after discount) (in USD)]))^2))</f>
        <v>94553.599436235469</v>
      </c>
      <c r="R17" s="18" t="b">
        <v>1</v>
      </c>
      <c r="S17" s="40">
        <v>18.010000000000002</v>
      </c>
      <c r="T17" s="18" t="b">
        <v>0</v>
      </c>
      <c r="U17" s="25">
        <v>44985</v>
      </c>
      <c r="V17" s="63" t="str">
        <f>IF(MONTH(Table22[[#This Row],[Sales Date]])&lt;=3,"Q1",IF(MONTH(Table22[[#This Row],[Sales Date]])&lt;=6,"Q2",IF(MONTH(Table22[[#This Row],[Sales Date]])&lt;=9,"Q3","Q4")))</f>
        <v>Q1</v>
      </c>
      <c r="W17" s="64">
        <f>YEAR(Table22[[#This Row],[Sales Date]])</f>
        <v>2023</v>
      </c>
      <c r="X17" s="23">
        <v>49</v>
      </c>
      <c r="Y17" s="18" t="s">
        <v>23</v>
      </c>
      <c r="Z17" s="18" t="s">
        <v>24</v>
      </c>
      <c r="AA17" s="19" t="s">
        <v>25</v>
      </c>
    </row>
    <row r="18" spans="1:27" x14ac:dyDescent="0.25">
      <c r="A18" s="17" t="s">
        <v>1082</v>
      </c>
      <c r="B18" s="18" t="s">
        <v>32</v>
      </c>
      <c r="C18" s="63" t="str" cm="1">
        <f t="array" ref="C18">_xlfn.SWITCH(Table22[[#This Row],[Country]],"USA","North America","Canada","North America","Brazil","South America","China","Asia","Japan","Asia","India","Asia","France","Europe","Germany","Europe","UK","Europe","Australia","Oceania","South America")</f>
        <v>Asia</v>
      </c>
      <c r="D18" s="18" t="s">
        <v>21</v>
      </c>
      <c r="E18" s="18" t="s">
        <v>33</v>
      </c>
      <c r="F18" s="18" t="s">
        <v>64</v>
      </c>
      <c r="G18" s="18" t="s">
        <v>22</v>
      </c>
      <c r="H18" s="64">
        <f>LEN(TRIM(Table22[[#This Row],[Country]]))</f>
        <v>5</v>
      </c>
      <c r="I18" s="64">
        <f>LEN(TRIM(Table22[[#This Row],[Continent]]))</f>
        <v>4</v>
      </c>
      <c r="J18" s="64">
        <f>LEN(TRIM(Table22[[#This Row],[Product]]))</f>
        <v>10</v>
      </c>
      <c r="K18" s="64">
        <f>LEN(TRIM(Table22[[#This Row],[Sales Team]]))</f>
        <v>10</v>
      </c>
      <c r="L18" s="23">
        <v>88</v>
      </c>
      <c r="M18" s="65" t="str" cm="1">
        <f t="array" ref="M18">_xlfn.IFS(Table22[[#This Row],[Units Sold]]&lt;40,"Critical",Table22[[#This Row],[Units Sold]]&lt;=50,"Poor",Table22[[#This Row],[Units Sold]]&lt;=60,"Low",Table22[[#This Row],[Units Sold]]&lt;=80,"Average",Table22[[#This Row],[Units Sold]]&lt;=90,"High",Table22[[#This Row],[Units Sold]]&lt;=95,"Excellent",Table22[[#This Row],[Units Sold]]&gt;95,"Outstanding")</f>
        <v>High</v>
      </c>
      <c r="N18" s="29">
        <v>1488.75</v>
      </c>
      <c r="O18" s="29">
        <v>131010</v>
      </c>
      <c r="P18" s="43">
        <f>IF(Table22[[#This Row],[Discount Applied]],Table22[[#This Row],[Total Sales (in USD)]]*(1-Table22[[#This Row],[Discount Percentage (%)]]/100),Table22[[#This Row],[Total Sales (in USD)]])</f>
        <v>120607.806</v>
      </c>
      <c r="Q18" s="66">
        <f>SQRT(AVERAGE((Table22[[#This Row],[Net Sales (after discount) (in USD)]]-AVERAGE(Table22[Net Sales (after discount) (in USD)]))^2))</f>
        <v>84096.445436235459</v>
      </c>
      <c r="R18" s="18" t="b">
        <v>0</v>
      </c>
      <c r="S18" s="40">
        <v>7.94</v>
      </c>
      <c r="T18" s="18" t="b">
        <v>1</v>
      </c>
      <c r="U18" s="25">
        <v>45004</v>
      </c>
      <c r="V18" s="63" t="str">
        <f>IF(MONTH(Table22[[#This Row],[Sales Date]])&lt;=3,"Q1",IF(MONTH(Table22[[#This Row],[Sales Date]])&lt;=6,"Q2",IF(MONTH(Table22[[#This Row],[Sales Date]])&lt;=9,"Q3","Q4")))</f>
        <v>Q1</v>
      </c>
      <c r="W18" s="64">
        <f>YEAR(Table22[[#This Row],[Sales Date]])</f>
        <v>2023</v>
      </c>
      <c r="X18" s="23">
        <v>20</v>
      </c>
      <c r="Y18" s="18" t="s">
        <v>41</v>
      </c>
      <c r="Z18" s="18" t="s">
        <v>56</v>
      </c>
      <c r="AA18" s="19" t="s">
        <v>25</v>
      </c>
    </row>
    <row r="19" spans="1:27" x14ac:dyDescent="0.25">
      <c r="A19" s="17" t="s">
        <v>871</v>
      </c>
      <c r="B19" s="18" t="s">
        <v>51</v>
      </c>
      <c r="C19" s="63" t="str" cm="1">
        <f t="array" ref="C19">_xlfn.SWITCH(Table22[[#This Row],[Country]],"USA","North America","Canada","North America","Brazil","South America","China","Asia","Japan","Asia","India","Asia","France","Europe","Germany","Europe","UK","Europe","Australia","Oceania","South America")</f>
        <v>Europe</v>
      </c>
      <c r="D19" s="18" t="s">
        <v>44</v>
      </c>
      <c r="E19" s="18" t="s">
        <v>19</v>
      </c>
      <c r="F19" s="18" t="s">
        <v>47</v>
      </c>
      <c r="G19" s="18" t="s">
        <v>40</v>
      </c>
      <c r="H19" s="64">
        <f>LEN(TRIM(Table22[[#This Row],[Country]]))</f>
        <v>2</v>
      </c>
      <c r="I19" s="64">
        <f>LEN(TRIM(Table22[[#This Row],[Continent]]))</f>
        <v>6</v>
      </c>
      <c r="J19" s="64">
        <f>LEN(TRIM(Table22[[#This Row],[Product]]))</f>
        <v>6</v>
      </c>
      <c r="K19" s="64">
        <f>LEN(TRIM(Table22[[#This Row],[Sales Team]]))</f>
        <v>10</v>
      </c>
      <c r="L19" s="23">
        <v>92</v>
      </c>
      <c r="M19" s="65" t="str" cm="1">
        <f t="array" ref="M19">_xlfn.IFS(Table22[[#This Row],[Units Sold]]&lt;40,"Critical",Table22[[#This Row],[Units Sold]]&lt;=50,"Poor",Table22[[#This Row],[Units Sold]]&lt;=60,"Low",Table22[[#This Row],[Units Sold]]&lt;=80,"Average",Table22[[#This Row],[Units Sold]]&lt;=90,"High",Table22[[#This Row],[Units Sold]]&lt;=95,"Excellent",Table22[[#This Row],[Units Sold]]&gt;95,"Outstanding")</f>
        <v>Excellent</v>
      </c>
      <c r="N19" s="29">
        <v>1423.21</v>
      </c>
      <c r="O19" s="29">
        <v>130935.32</v>
      </c>
      <c r="P19" s="43">
        <f>IF(Table22[[#This Row],[Discount Applied]],Table22[[#This Row],[Total Sales (in USD)]]*(1-Table22[[#This Row],[Discount Percentage (%)]]/100),Table22[[#This Row],[Total Sales (in USD)]])</f>
        <v>130935.32</v>
      </c>
      <c r="Q19" s="66">
        <f>SQRT(AVERAGE((Table22[[#This Row],[Net Sales (after discount) (in USD)]]-AVERAGE(Table22[Net Sales (after discount) (in USD)]))^2))</f>
        <v>94423.959436235469</v>
      </c>
      <c r="R19" s="18" t="b">
        <v>0</v>
      </c>
      <c r="S19" s="40">
        <v>29.57</v>
      </c>
      <c r="T19" s="18" t="b">
        <v>0</v>
      </c>
      <c r="U19" s="25">
        <v>45540</v>
      </c>
      <c r="V19" s="63" t="str">
        <f>IF(MONTH(Table22[[#This Row],[Sales Date]])&lt;=3,"Q1",IF(MONTH(Table22[[#This Row],[Sales Date]])&lt;=6,"Q2",IF(MONTH(Table22[[#This Row],[Sales Date]])&lt;=9,"Q3","Q4")))</f>
        <v>Q3</v>
      </c>
      <c r="W19" s="64">
        <f>YEAR(Table22[[#This Row],[Sales Date]])</f>
        <v>2024</v>
      </c>
      <c r="X19" s="23">
        <v>18</v>
      </c>
      <c r="Y19" s="18" t="s">
        <v>23</v>
      </c>
      <c r="Z19" s="18" t="s">
        <v>56</v>
      </c>
      <c r="AA19" s="19" t="s">
        <v>25</v>
      </c>
    </row>
    <row r="20" spans="1:27" x14ac:dyDescent="0.25">
      <c r="A20" s="17" t="s">
        <v>1871</v>
      </c>
      <c r="B20" s="18" t="s">
        <v>72</v>
      </c>
      <c r="C20" s="63" t="str" cm="1">
        <f t="array" ref="C20">_xlfn.SWITCH(Table22[[#This Row],[Country]],"USA","North America","Canada","North America","Brazil","South America","China","Asia","Japan","Asia","India","Asia","France","Europe","Germany","Europe","UK","Europe","Australia","Oceania","South America")</f>
        <v>North America</v>
      </c>
      <c r="D20" s="18" t="s">
        <v>44</v>
      </c>
      <c r="E20" s="18" t="s">
        <v>19</v>
      </c>
      <c r="F20" s="18" t="s">
        <v>64</v>
      </c>
      <c r="G20" s="18" t="s">
        <v>48</v>
      </c>
      <c r="H20" s="64">
        <f>LEN(TRIM(Table22[[#This Row],[Country]]))</f>
        <v>3</v>
      </c>
      <c r="I20" s="64">
        <f>LEN(TRIM(Table22[[#This Row],[Continent]]))</f>
        <v>13</v>
      </c>
      <c r="J20" s="64">
        <f>LEN(TRIM(Table22[[#This Row],[Product]]))</f>
        <v>6</v>
      </c>
      <c r="K20" s="64">
        <f>LEN(TRIM(Table22[[#This Row],[Sales Team]]))</f>
        <v>9</v>
      </c>
      <c r="L20" s="23">
        <v>94</v>
      </c>
      <c r="M20" s="65" t="str" cm="1">
        <f t="array" ref="M20">_xlfn.IFS(Table22[[#This Row],[Units Sold]]&lt;40,"Critical",Table22[[#This Row],[Units Sold]]&lt;=50,"Poor",Table22[[#This Row],[Units Sold]]&lt;=60,"Low",Table22[[#This Row],[Units Sold]]&lt;=80,"Average",Table22[[#This Row],[Units Sold]]&lt;=90,"High",Table22[[#This Row],[Units Sold]]&lt;=95,"Excellent",Table22[[#This Row],[Units Sold]]&gt;95,"Outstanding")</f>
        <v>Excellent</v>
      </c>
      <c r="N20" s="29">
        <v>1381.47</v>
      </c>
      <c r="O20" s="29">
        <v>129858.18</v>
      </c>
      <c r="P20" s="43">
        <f>IF(Table22[[#This Row],[Discount Applied]],Table22[[#This Row],[Total Sales (in USD)]]*(1-Table22[[#This Row],[Discount Percentage (%)]]/100),Table22[[#This Row],[Total Sales (in USD)]])</f>
        <v>120404.50449599999</v>
      </c>
      <c r="Q20" s="66">
        <f>SQRT(AVERAGE((Table22[[#This Row],[Net Sales (after discount) (in USD)]]-AVERAGE(Table22[Net Sales (after discount) (in USD)]))^2))</f>
        <v>83893.143932235456</v>
      </c>
      <c r="R20" s="18" t="b">
        <v>1</v>
      </c>
      <c r="S20" s="40">
        <v>7.28</v>
      </c>
      <c r="T20" s="18" t="b">
        <v>1</v>
      </c>
      <c r="U20" s="25">
        <v>45233</v>
      </c>
      <c r="V20" s="63" t="str">
        <f>IF(MONTH(Table22[[#This Row],[Sales Date]])&lt;=3,"Q1",IF(MONTH(Table22[[#This Row],[Sales Date]])&lt;=6,"Q2",IF(MONTH(Table22[[#This Row],[Sales Date]])&lt;=9,"Q3","Q4")))</f>
        <v>Q4</v>
      </c>
      <c r="W20" s="64">
        <f>YEAR(Table22[[#This Row],[Sales Date]])</f>
        <v>2023</v>
      </c>
      <c r="X20" s="23">
        <v>22</v>
      </c>
      <c r="Y20" s="18" t="s">
        <v>49</v>
      </c>
      <c r="Z20" s="18" t="s">
        <v>56</v>
      </c>
      <c r="AA20" s="19" t="s">
        <v>25</v>
      </c>
    </row>
    <row r="21" spans="1:27" x14ac:dyDescent="0.25">
      <c r="A21" s="17" t="s">
        <v>1616</v>
      </c>
      <c r="B21" s="18" t="s">
        <v>66</v>
      </c>
      <c r="C21" s="63" t="str" cm="1">
        <f t="array" ref="C21">_xlfn.SWITCH(Table22[[#This Row],[Country]],"USA","North America","Canada","North America","Brazil","South America","China","Asia","Japan","Asia","India","Asia","France","Europe","Germany","Europe","UK","Europe","Australia","Oceania","South America")</f>
        <v>North America</v>
      </c>
      <c r="D21" s="18" t="s">
        <v>21</v>
      </c>
      <c r="E21" s="18" t="s">
        <v>33</v>
      </c>
      <c r="F21" s="18" t="s">
        <v>64</v>
      </c>
      <c r="G21" s="18" t="s">
        <v>22</v>
      </c>
      <c r="H21" s="64">
        <f>LEN(TRIM(Table22[[#This Row],[Country]]))</f>
        <v>6</v>
      </c>
      <c r="I21" s="64">
        <f>LEN(TRIM(Table22[[#This Row],[Continent]]))</f>
        <v>13</v>
      </c>
      <c r="J21" s="64">
        <f>LEN(TRIM(Table22[[#This Row],[Product]]))</f>
        <v>10</v>
      </c>
      <c r="K21" s="64">
        <f>LEN(TRIM(Table22[[#This Row],[Sales Team]]))</f>
        <v>10</v>
      </c>
      <c r="L21" s="23">
        <v>87</v>
      </c>
      <c r="M21" s="65" t="str" cm="1">
        <f t="array" ref="M21">_xlfn.IFS(Table22[[#This Row],[Units Sold]]&lt;40,"Critical",Table22[[#This Row],[Units Sold]]&lt;=50,"Poor",Table22[[#This Row],[Units Sold]]&lt;=60,"Low",Table22[[#This Row],[Units Sold]]&lt;=80,"Average",Table22[[#This Row],[Units Sold]]&lt;=90,"High",Table22[[#This Row],[Units Sold]]&lt;=95,"Excellent",Table22[[#This Row],[Units Sold]]&gt;95,"Outstanding")</f>
        <v>High</v>
      </c>
      <c r="N21" s="29">
        <v>1480.35</v>
      </c>
      <c r="O21" s="29">
        <v>128790.45</v>
      </c>
      <c r="P21" s="43">
        <f>IF(Table22[[#This Row],[Discount Applied]],Table22[[#This Row],[Total Sales (in USD)]]*(1-Table22[[#This Row],[Discount Percentage (%)]]/100),Table22[[#This Row],[Total Sales (in USD)]])</f>
        <v>128790.45</v>
      </c>
      <c r="Q21" s="66">
        <f>SQRT(AVERAGE((Table22[[#This Row],[Net Sales (after discount) (in USD)]]-AVERAGE(Table22[Net Sales (after discount) (in USD)]))^2))</f>
        <v>92279.089436235459</v>
      </c>
      <c r="R21" s="18" t="b">
        <v>1</v>
      </c>
      <c r="S21" s="40">
        <v>14.13</v>
      </c>
      <c r="T21" s="18" t="b">
        <v>0</v>
      </c>
      <c r="U21" s="25">
        <v>45438</v>
      </c>
      <c r="V21" s="63" t="str">
        <f>IF(MONTH(Table22[[#This Row],[Sales Date]])&lt;=3,"Q1",IF(MONTH(Table22[[#This Row],[Sales Date]])&lt;=6,"Q2",IF(MONTH(Table22[[#This Row],[Sales Date]])&lt;=9,"Q3","Q4")))</f>
        <v>Q2</v>
      </c>
      <c r="W21" s="64">
        <f>YEAR(Table22[[#This Row],[Sales Date]])</f>
        <v>2024</v>
      </c>
      <c r="X21" s="23">
        <v>50</v>
      </c>
      <c r="Y21" s="18" t="s">
        <v>41</v>
      </c>
      <c r="Z21" s="18" t="s">
        <v>56</v>
      </c>
      <c r="AA21" s="19" t="s">
        <v>25</v>
      </c>
    </row>
    <row r="22" spans="1:27" x14ac:dyDescent="0.25">
      <c r="A22" s="17" t="s">
        <v>1581</v>
      </c>
      <c r="B22" s="18" t="s">
        <v>27</v>
      </c>
      <c r="C22" s="63" t="str" cm="1">
        <f t="array" ref="C22">_xlfn.SWITCH(Table22[[#This Row],[Country]],"USA","North America","Canada","North America","Brazil","South America","China","Asia","Japan","Asia","India","Asia","France","Europe","Germany","Europe","UK","Europe","Australia","Oceania","South America")</f>
        <v>Europe</v>
      </c>
      <c r="D22" s="18" t="s">
        <v>44</v>
      </c>
      <c r="E22" s="18" t="s">
        <v>33</v>
      </c>
      <c r="F22" s="18" t="s">
        <v>52</v>
      </c>
      <c r="G22" s="18" t="s">
        <v>40</v>
      </c>
      <c r="H22" s="64">
        <f>LEN(TRIM(Table22[[#This Row],[Country]]))</f>
        <v>7</v>
      </c>
      <c r="I22" s="64">
        <f>LEN(TRIM(Table22[[#This Row],[Continent]]))</f>
        <v>6</v>
      </c>
      <c r="J22" s="64">
        <f>LEN(TRIM(Table22[[#This Row],[Product]]))</f>
        <v>10</v>
      </c>
      <c r="K22" s="64">
        <f>LEN(TRIM(Table22[[#This Row],[Sales Team]]))</f>
        <v>10</v>
      </c>
      <c r="L22" s="23">
        <v>97</v>
      </c>
      <c r="M22" s="65" t="str" cm="1">
        <f t="array" ref="M22">_xlfn.IFS(Table22[[#This Row],[Units Sold]]&lt;40,"Critical",Table22[[#This Row],[Units Sold]]&lt;=50,"Poor",Table22[[#This Row],[Units Sold]]&lt;=60,"Low",Table22[[#This Row],[Units Sold]]&lt;=80,"Average",Table22[[#This Row],[Units Sold]]&lt;=90,"High",Table22[[#This Row],[Units Sold]]&lt;=95,"Excellent",Table22[[#This Row],[Units Sold]]&gt;95,"Outstanding")</f>
        <v>Outstanding</v>
      </c>
      <c r="N22" s="29">
        <v>1325.79</v>
      </c>
      <c r="O22" s="29">
        <v>128601.63</v>
      </c>
      <c r="P22" s="43">
        <f>IF(Table22[[#This Row],[Discount Applied]],Table22[[#This Row],[Total Sales (in USD)]]*(1-Table22[[#This Row],[Discount Percentage (%)]]/100),Table22[[#This Row],[Total Sales (in USD)]])</f>
        <v>128601.63</v>
      </c>
      <c r="Q22" s="66">
        <f>SQRT(AVERAGE((Table22[[#This Row],[Net Sales (after discount) (in USD)]]-AVERAGE(Table22[Net Sales (after discount) (in USD)]))^2))</f>
        <v>92090.269436235467</v>
      </c>
      <c r="R22" s="18" t="b">
        <v>0</v>
      </c>
      <c r="S22" s="40">
        <v>26.24</v>
      </c>
      <c r="T22" s="18" t="b">
        <v>0</v>
      </c>
      <c r="U22" s="25">
        <v>45587</v>
      </c>
      <c r="V22" s="63" t="str">
        <f>IF(MONTH(Table22[[#This Row],[Sales Date]])&lt;=3,"Q1",IF(MONTH(Table22[[#This Row],[Sales Date]])&lt;=6,"Q2",IF(MONTH(Table22[[#This Row],[Sales Date]])&lt;=9,"Q3","Q4")))</f>
        <v>Q4</v>
      </c>
      <c r="W22" s="64">
        <f>YEAR(Table22[[#This Row],[Sales Date]])</f>
        <v>2024</v>
      </c>
      <c r="X22" s="23">
        <v>25</v>
      </c>
      <c r="Y22" s="18" t="s">
        <v>41</v>
      </c>
      <c r="Z22" s="18" t="s">
        <v>42</v>
      </c>
      <c r="AA22" s="19" t="s">
        <v>36</v>
      </c>
    </row>
    <row r="23" spans="1:27" x14ac:dyDescent="0.25">
      <c r="A23" s="17" t="s">
        <v>734</v>
      </c>
      <c r="B23" s="18" t="s">
        <v>18</v>
      </c>
      <c r="C23" s="63" t="str" cm="1">
        <f t="array" ref="C23">_xlfn.SWITCH(Table22[[#This Row],[Country]],"USA","North America","Canada","North America","Brazil","South America","China","Asia","Japan","Asia","India","Asia","France","Europe","Germany","Europe","UK","Europe","Australia","Oceania","South America")</f>
        <v>Asia</v>
      </c>
      <c r="D23" s="18" t="s">
        <v>44</v>
      </c>
      <c r="E23" s="18" t="s">
        <v>33</v>
      </c>
      <c r="F23" s="18" t="s">
        <v>20</v>
      </c>
      <c r="G23" s="18" t="s">
        <v>48</v>
      </c>
      <c r="H23" s="64">
        <f>LEN(TRIM(Table22[[#This Row],[Country]]))</f>
        <v>5</v>
      </c>
      <c r="I23" s="64">
        <f>LEN(TRIM(Table22[[#This Row],[Continent]]))</f>
        <v>4</v>
      </c>
      <c r="J23" s="64">
        <f>LEN(TRIM(Table22[[#This Row],[Product]]))</f>
        <v>10</v>
      </c>
      <c r="K23" s="64">
        <f>LEN(TRIM(Table22[[#This Row],[Sales Team]]))</f>
        <v>9</v>
      </c>
      <c r="L23" s="23">
        <v>98</v>
      </c>
      <c r="M23" s="65" t="str" cm="1">
        <f t="array" ref="M23">_xlfn.IFS(Table22[[#This Row],[Units Sold]]&lt;40,"Critical",Table22[[#This Row],[Units Sold]]&lt;=50,"Poor",Table22[[#This Row],[Units Sold]]&lt;=60,"Low",Table22[[#This Row],[Units Sold]]&lt;=80,"Average",Table22[[#This Row],[Units Sold]]&lt;=90,"High",Table22[[#This Row],[Units Sold]]&lt;=95,"Excellent",Table22[[#This Row],[Units Sold]]&gt;95,"Outstanding")</f>
        <v>Outstanding</v>
      </c>
      <c r="N23" s="29">
        <v>1310.23</v>
      </c>
      <c r="O23" s="29">
        <v>128402.54</v>
      </c>
      <c r="P23" s="43">
        <f>IF(Table22[[#This Row],[Discount Applied]],Table22[[#This Row],[Total Sales (in USD)]]*(1-Table22[[#This Row],[Discount Percentage (%)]]/100),Table22[[#This Row],[Total Sales (in USD)]])</f>
        <v>111902.81360999998</v>
      </c>
      <c r="Q23" s="66">
        <f>SQRT(AVERAGE((Table22[[#This Row],[Net Sales (after discount) (in USD)]]-AVERAGE(Table22[Net Sales (after discount) (in USD)]))^2))</f>
        <v>75391.453046235445</v>
      </c>
      <c r="R23" s="18" t="b">
        <v>1</v>
      </c>
      <c r="S23" s="40">
        <v>12.85</v>
      </c>
      <c r="T23" s="18" t="b">
        <v>1</v>
      </c>
      <c r="U23" s="25">
        <v>45004</v>
      </c>
      <c r="V23" s="63" t="str">
        <f>IF(MONTH(Table22[[#This Row],[Sales Date]])&lt;=3,"Q1",IF(MONTH(Table22[[#This Row],[Sales Date]])&lt;=6,"Q2",IF(MONTH(Table22[[#This Row],[Sales Date]])&lt;=9,"Q3","Q4")))</f>
        <v>Q1</v>
      </c>
      <c r="W23" s="64">
        <f>YEAR(Table22[[#This Row],[Sales Date]])</f>
        <v>2023</v>
      </c>
      <c r="X23" s="23">
        <v>49</v>
      </c>
      <c r="Y23" s="18" t="s">
        <v>49</v>
      </c>
      <c r="Z23" s="18" t="s">
        <v>30</v>
      </c>
      <c r="AA23" s="19" t="s">
        <v>36</v>
      </c>
    </row>
    <row r="24" spans="1:27" x14ac:dyDescent="0.25">
      <c r="A24" s="17" t="s">
        <v>414</v>
      </c>
      <c r="B24" s="18" t="s">
        <v>62</v>
      </c>
      <c r="C24" s="63" t="str" cm="1">
        <f t="array" ref="C24">_xlfn.SWITCH(Table22[[#This Row],[Country]],"USA","North America","Canada","North America","Brazil","South America","China","Asia","Japan","Asia","India","Asia","France","Europe","Germany","Europe","UK","Europe","Australia","Oceania","South America")</f>
        <v>Oceania</v>
      </c>
      <c r="D24" s="18" t="s">
        <v>21</v>
      </c>
      <c r="E24" s="18" t="s">
        <v>33</v>
      </c>
      <c r="F24" s="18" t="s">
        <v>64</v>
      </c>
      <c r="G24" s="18" t="s">
        <v>29</v>
      </c>
      <c r="H24" s="64">
        <f>LEN(TRIM(Table22[[#This Row],[Country]]))</f>
        <v>9</v>
      </c>
      <c r="I24" s="64">
        <f>LEN(TRIM(Table22[[#This Row],[Continent]]))</f>
        <v>7</v>
      </c>
      <c r="J24" s="64">
        <f>LEN(TRIM(Table22[[#This Row],[Product]]))</f>
        <v>10</v>
      </c>
      <c r="K24" s="64">
        <f>LEN(TRIM(Table22[[#This Row],[Sales Team]]))</f>
        <v>10</v>
      </c>
      <c r="L24" s="23">
        <v>98</v>
      </c>
      <c r="M24" s="65" t="str" cm="1">
        <f t="array" ref="M24">_xlfn.IFS(Table22[[#This Row],[Units Sold]]&lt;40,"Critical",Table22[[#This Row],[Units Sold]]&lt;=50,"Poor",Table22[[#This Row],[Units Sold]]&lt;=60,"Low",Table22[[#This Row],[Units Sold]]&lt;=80,"Average",Table22[[#This Row],[Units Sold]]&lt;=90,"High",Table22[[#This Row],[Units Sold]]&lt;=95,"Excellent",Table22[[#This Row],[Units Sold]]&gt;95,"Outstanding")</f>
        <v>Outstanding</v>
      </c>
      <c r="N24" s="29">
        <v>1309.03</v>
      </c>
      <c r="O24" s="29">
        <v>128284.94</v>
      </c>
      <c r="P24" s="43">
        <f>IF(Table22[[#This Row],[Discount Applied]],Table22[[#This Row],[Total Sales (in USD)]]*(1-Table22[[#This Row],[Discount Percentage (%)]]/100),Table22[[#This Row],[Total Sales (in USD)]])</f>
        <v>114853.506782</v>
      </c>
      <c r="Q24" s="66">
        <f>SQRT(AVERAGE((Table22[[#This Row],[Net Sales (after discount) (in USD)]]-AVERAGE(Table22[Net Sales (after discount) (in USD)]))^2))</f>
        <v>78342.146218235459</v>
      </c>
      <c r="R24" s="18" t="b">
        <v>1</v>
      </c>
      <c r="S24" s="40">
        <v>10.47</v>
      </c>
      <c r="T24" s="18" t="b">
        <v>1</v>
      </c>
      <c r="U24" s="25">
        <v>45074</v>
      </c>
      <c r="V24" s="63" t="str">
        <f>IF(MONTH(Table22[[#This Row],[Sales Date]])&lt;=3,"Q1",IF(MONTH(Table22[[#This Row],[Sales Date]])&lt;=6,"Q2",IF(MONTH(Table22[[#This Row],[Sales Date]])&lt;=9,"Q3","Q4")))</f>
        <v>Q2</v>
      </c>
      <c r="W24" s="64">
        <f>YEAR(Table22[[#This Row],[Sales Date]])</f>
        <v>2023</v>
      </c>
      <c r="X24" s="23">
        <v>64</v>
      </c>
      <c r="Y24" s="18" t="s">
        <v>23</v>
      </c>
      <c r="Z24" s="18" t="s">
        <v>24</v>
      </c>
      <c r="AA24" s="19" t="s">
        <v>36</v>
      </c>
    </row>
    <row r="25" spans="1:27" x14ac:dyDescent="0.25">
      <c r="A25" s="17" t="s">
        <v>410</v>
      </c>
      <c r="B25" s="18" t="s">
        <v>62</v>
      </c>
      <c r="C25" s="63" t="str" cm="1">
        <f t="array" ref="C25">_xlfn.SWITCH(Table22[[#This Row],[Country]],"USA","North America","Canada","North America","Brazil","South America","China","Asia","Japan","Asia","India","Asia","France","Europe","Germany","Europe","UK","Europe","Australia","Oceania","South America")</f>
        <v>Oceania</v>
      </c>
      <c r="D25" s="18" t="s">
        <v>21</v>
      </c>
      <c r="E25" s="18" t="s">
        <v>19</v>
      </c>
      <c r="F25" s="18" t="s">
        <v>52</v>
      </c>
      <c r="G25" s="18" t="s">
        <v>29</v>
      </c>
      <c r="H25" s="64">
        <f>LEN(TRIM(Table22[[#This Row],[Country]]))</f>
        <v>9</v>
      </c>
      <c r="I25" s="64">
        <f>LEN(TRIM(Table22[[#This Row],[Continent]]))</f>
        <v>7</v>
      </c>
      <c r="J25" s="64">
        <f>LEN(TRIM(Table22[[#This Row],[Product]]))</f>
        <v>6</v>
      </c>
      <c r="K25" s="64">
        <f>LEN(TRIM(Table22[[#This Row],[Sales Team]]))</f>
        <v>10</v>
      </c>
      <c r="L25" s="23">
        <v>87</v>
      </c>
      <c r="M25" s="65" t="str" cm="1">
        <f t="array" ref="M25">_xlfn.IFS(Table22[[#This Row],[Units Sold]]&lt;40,"Critical",Table22[[#This Row],[Units Sold]]&lt;=50,"Poor",Table22[[#This Row],[Units Sold]]&lt;=60,"Low",Table22[[#This Row],[Units Sold]]&lt;=80,"Average",Table22[[#This Row],[Units Sold]]&lt;=90,"High",Table22[[#This Row],[Units Sold]]&lt;=95,"Excellent",Table22[[#This Row],[Units Sold]]&gt;95,"Outstanding")</f>
        <v>High</v>
      </c>
      <c r="N25" s="29">
        <v>1474.47</v>
      </c>
      <c r="O25" s="29">
        <v>128278.89</v>
      </c>
      <c r="P25" s="43">
        <f>IF(Table22[[#This Row],[Discount Applied]],Table22[[#This Row],[Total Sales (in USD)]]*(1-Table22[[#This Row],[Discount Percentage (%)]]/100),Table22[[#This Row],[Total Sales (in USD)]])</f>
        <v>118978.67047499999</v>
      </c>
      <c r="Q25" s="66">
        <f>SQRT(AVERAGE((Table22[[#This Row],[Net Sales (after discount) (in USD)]]-AVERAGE(Table22[Net Sales (after discount) (in USD)]))^2))</f>
        <v>82467.309911235454</v>
      </c>
      <c r="R25" s="18" t="b">
        <v>1</v>
      </c>
      <c r="S25" s="40">
        <v>7.25</v>
      </c>
      <c r="T25" s="18" t="b">
        <v>1</v>
      </c>
      <c r="U25" s="25">
        <v>45024</v>
      </c>
      <c r="V25" s="63" t="str">
        <f>IF(MONTH(Table22[[#This Row],[Sales Date]])&lt;=3,"Q1",IF(MONTH(Table22[[#This Row],[Sales Date]])&lt;=6,"Q2",IF(MONTH(Table22[[#This Row],[Sales Date]])&lt;=9,"Q3","Q4")))</f>
        <v>Q2</v>
      </c>
      <c r="W25" s="64">
        <f>YEAR(Table22[[#This Row],[Sales Date]])</f>
        <v>2023</v>
      </c>
      <c r="X25" s="23">
        <v>47</v>
      </c>
      <c r="Y25" s="18" t="s">
        <v>23</v>
      </c>
      <c r="Z25" s="18" t="s">
        <v>42</v>
      </c>
      <c r="AA25" s="19" t="s">
        <v>25</v>
      </c>
    </row>
    <row r="26" spans="1:27" x14ac:dyDescent="0.25">
      <c r="A26" s="17" t="s">
        <v>1502</v>
      </c>
      <c r="B26" s="18" t="s">
        <v>66</v>
      </c>
      <c r="C26" s="63" t="str" cm="1">
        <f t="array" ref="C26">_xlfn.SWITCH(Table22[[#This Row],[Country]],"USA","North America","Canada","North America","Brazil","South America","China","Asia","Japan","Asia","India","Asia","France","Europe","Germany","Europe","UK","Europe","Australia","Oceania","South America")</f>
        <v>North America</v>
      </c>
      <c r="D26" s="18" t="s">
        <v>21</v>
      </c>
      <c r="E26" s="18" t="s">
        <v>39</v>
      </c>
      <c r="F26" s="18" t="s">
        <v>47</v>
      </c>
      <c r="G26" s="18" t="s">
        <v>29</v>
      </c>
      <c r="H26" s="64">
        <f>LEN(TRIM(Table22[[#This Row],[Country]]))</f>
        <v>6</v>
      </c>
      <c r="I26" s="64">
        <f>LEN(TRIM(Table22[[#This Row],[Continent]]))</f>
        <v>13</v>
      </c>
      <c r="J26" s="64">
        <f>LEN(TRIM(Table22[[#This Row],[Product]]))</f>
        <v>10</v>
      </c>
      <c r="K26" s="64">
        <f>LEN(TRIM(Table22[[#This Row],[Sales Team]]))</f>
        <v>10</v>
      </c>
      <c r="L26" s="23">
        <v>88</v>
      </c>
      <c r="M26" s="65" t="str" cm="1">
        <f t="array" ref="M26">_xlfn.IFS(Table22[[#This Row],[Units Sold]]&lt;40,"Critical",Table22[[#This Row],[Units Sold]]&lt;=50,"Poor",Table22[[#This Row],[Units Sold]]&lt;=60,"Low",Table22[[#This Row],[Units Sold]]&lt;=80,"Average",Table22[[#This Row],[Units Sold]]&lt;=90,"High",Table22[[#This Row],[Units Sold]]&lt;=95,"Excellent",Table22[[#This Row],[Units Sold]]&gt;95,"Outstanding")</f>
        <v>High</v>
      </c>
      <c r="N26" s="29">
        <v>1438.1</v>
      </c>
      <c r="O26" s="29">
        <v>126552.8</v>
      </c>
      <c r="P26" s="43">
        <f>IF(Table22[[#This Row],[Discount Applied]],Table22[[#This Row],[Total Sales (in USD)]]*(1-Table22[[#This Row],[Discount Percentage (%)]]/100),Table22[[#This Row],[Total Sales (in USD)]])</f>
        <v>117238.51392</v>
      </c>
      <c r="Q26" s="66">
        <f>SQRT(AVERAGE((Table22[[#This Row],[Net Sales (after discount) (in USD)]]-AVERAGE(Table22[Net Sales (after discount) (in USD)]))^2))</f>
        <v>80727.15335623546</v>
      </c>
      <c r="R26" s="18" t="b">
        <v>0</v>
      </c>
      <c r="S26" s="40">
        <v>7.36</v>
      </c>
      <c r="T26" s="18" t="b">
        <v>1</v>
      </c>
      <c r="U26" s="25">
        <v>45257</v>
      </c>
      <c r="V26" s="63" t="str">
        <f>IF(MONTH(Table22[[#This Row],[Sales Date]])&lt;=3,"Q1",IF(MONTH(Table22[[#This Row],[Sales Date]])&lt;=6,"Q2",IF(MONTH(Table22[[#This Row],[Sales Date]])&lt;=9,"Q3","Q4")))</f>
        <v>Q4</v>
      </c>
      <c r="W26" s="64">
        <f>YEAR(Table22[[#This Row],[Sales Date]])</f>
        <v>2023</v>
      </c>
      <c r="X26" s="23">
        <v>27</v>
      </c>
      <c r="Y26" s="18" t="s">
        <v>23</v>
      </c>
      <c r="Z26" s="18" t="s">
        <v>24</v>
      </c>
      <c r="AA26" s="19" t="s">
        <v>36</v>
      </c>
    </row>
    <row r="27" spans="1:27" x14ac:dyDescent="0.25">
      <c r="A27" s="17" t="s">
        <v>1396</v>
      </c>
      <c r="B27" s="18" t="s">
        <v>18</v>
      </c>
      <c r="C27" s="63" t="str" cm="1">
        <f t="array" ref="C27">_xlfn.SWITCH(Table22[[#This Row],[Country]],"USA","North America","Canada","North America","Brazil","South America","China","Asia","Japan","Asia","India","Asia","France","Europe","Germany","Europe","UK","Europe","Australia","Oceania","South America")</f>
        <v>Asia</v>
      </c>
      <c r="D27" s="18" t="s">
        <v>35</v>
      </c>
      <c r="E27" s="18" t="s">
        <v>39</v>
      </c>
      <c r="F27" s="18" t="s">
        <v>34</v>
      </c>
      <c r="G27" s="18" t="s">
        <v>22</v>
      </c>
      <c r="H27" s="64">
        <f>LEN(TRIM(Table22[[#This Row],[Country]]))</f>
        <v>5</v>
      </c>
      <c r="I27" s="64">
        <f>LEN(TRIM(Table22[[#This Row],[Continent]]))</f>
        <v>4</v>
      </c>
      <c r="J27" s="64">
        <f>LEN(TRIM(Table22[[#This Row],[Product]]))</f>
        <v>10</v>
      </c>
      <c r="K27" s="64">
        <f>LEN(TRIM(Table22[[#This Row],[Sales Team]]))</f>
        <v>10</v>
      </c>
      <c r="L27" s="23">
        <v>90</v>
      </c>
      <c r="M27" s="65" t="str" cm="1">
        <f t="array" ref="M27">_xlfn.IFS(Table22[[#This Row],[Units Sold]]&lt;40,"Critical",Table22[[#This Row],[Units Sold]]&lt;=50,"Poor",Table22[[#This Row],[Units Sold]]&lt;=60,"Low",Table22[[#This Row],[Units Sold]]&lt;=80,"Average",Table22[[#This Row],[Units Sold]]&lt;=90,"High",Table22[[#This Row],[Units Sold]]&lt;=95,"Excellent",Table22[[#This Row],[Units Sold]]&gt;95,"Outstanding")</f>
        <v>High</v>
      </c>
      <c r="N27" s="29">
        <v>1403.3</v>
      </c>
      <c r="O27" s="29">
        <v>126297</v>
      </c>
      <c r="P27" s="43">
        <f>IF(Table22[[#This Row],[Discount Applied]],Table22[[#This Row],[Total Sales (in USD)]]*(1-Table22[[#This Row],[Discount Percentage (%)]]/100),Table22[[#This Row],[Total Sales (in USD)]])</f>
        <v>91906.3269</v>
      </c>
      <c r="Q27" s="66">
        <f>SQRT(AVERAGE((Table22[[#This Row],[Net Sales (after discount) (in USD)]]-AVERAGE(Table22[Net Sales (after discount) (in USD)]))^2))</f>
        <v>55394.966336235462</v>
      </c>
      <c r="R27" s="18" t="b">
        <v>1</v>
      </c>
      <c r="S27" s="40">
        <v>27.23</v>
      </c>
      <c r="T27" s="18" t="b">
        <v>1</v>
      </c>
      <c r="U27" s="25">
        <v>45009</v>
      </c>
      <c r="V27" s="63" t="str">
        <f>IF(MONTH(Table22[[#This Row],[Sales Date]])&lt;=3,"Q1",IF(MONTH(Table22[[#This Row],[Sales Date]])&lt;=6,"Q2",IF(MONTH(Table22[[#This Row],[Sales Date]])&lt;=9,"Q3","Q4")))</f>
        <v>Q1</v>
      </c>
      <c r="W27" s="64">
        <f>YEAR(Table22[[#This Row],[Sales Date]])</f>
        <v>2023</v>
      </c>
      <c r="X27" s="23">
        <v>21</v>
      </c>
      <c r="Y27" s="18" t="s">
        <v>49</v>
      </c>
      <c r="Z27" s="18" t="s">
        <v>30</v>
      </c>
      <c r="AA27" s="19" t="s">
        <v>36</v>
      </c>
    </row>
    <row r="28" spans="1:27" x14ac:dyDescent="0.25">
      <c r="A28" s="17" t="s">
        <v>1291</v>
      </c>
      <c r="B28" s="18" t="s">
        <v>62</v>
      </c>
      <c r="C28" s="63" t="str" cm="1">
        <f t="array" ref="C28">_xlfn.SWITCH(Table22[[#This Row],[Country]],"USA","North America","Canada","North America","Brazil","South America","China","Asia","Japan","Asia","India","Asia","France","Europe","Germany","Europe","UK","Europe","Australia","Oceania","South America")</f>
        <v>Oceania</v>
      </c>
      <c r="D28" s="18" t="s">
        <v>35</v>
      </c>
      <c r="E28" s="18" t="s">
        <v>33</v>
      </c>
      <c r="F28" s="18" t="s">
        <v>52</v>
      </c>
      <c r="G28" s="18" t="s">
        <v>48</v>
      </c>
      <c r="H28" s="64">
        <f>LEN(TRIM(Table22[[#This Row],[Country]]))</f>
        <v>9</v>
      </c>
      <c r="I28" s="64">
        <f>LEN(TRIM(Table22[[#This Row],[Continent]]))</f>
        <v>7</v>
      </c>
      <c r="J28" s="64">
        <f>LEN(TRIM(Table22[[#This Row],[Product]]))</f>
        <v>10</v>
      </c>
      <c r="K28" s="64">
        <f>LEN(TRIM(Table22[[#This Row],[Sales Team]]))</f>
        <v>9</v>
      </c>
      <c r="L28" s="23">
        <v>89</v>
      </c>
      <c r="M28" s="65" t="str" cm="1">
        <f t="array" ref="M28">_xlfn.IFS(Table22[[#This Row],[Units Sold]]&lt;40,"Critical",Table22[[#This Row],[Units Sold]]&lt;=50,"Poor",Table22[[#This Row],[Units Sold]]&lt;=60,"Low",Table22[[#This Row],[Units Sold]]&lt;=80,"Average",Table22[[#This Row],[Units Sold]]&lt;=90,"High",Table22[[#This Row],[Units Sold]]&lt;=95,"Excellent",Table22[[#This Row],[Units Sold]]&gt;95,"Outstanding")</f>
        <v>High</v>
      </c>
      <c r="N28" s="29">
        <v>1415.37</v>
      </c>
      <c r="O28" s="29">
        <v>125967.93</v>
      </c>
      <c r="P28" s="43">
        <f>IF(Table22[[#This Row],[Discount Applied]],Table22[[#This Row],[Total Sales (in USD)]]*(1-Table22[[#This Row],[Discount Percentage (%)]]/100),Table22[[#This Row],[Total Sales (in USD)]])</f>
        <v>125967.93</v>
      </c>
      <c r="Q28" s="66">
        <f>SQRT(AVERAGE((Table22[[#This Row],[Net Sales (after discount) (in USD)]]-AVERAGE(Table22[Net Sales (after discount) (in USD)]))^2))</f>
        <v>89456.569436235455</v>
      </c>
      <c r="R28" s="18" t="b">
        <v>0</v>
      </c>
      <c r="S28" s="40">
        <v>21.27</v>
      </c>
      <c r="T28" s="18" t="b">
        <v>0</v>
      </c>
      <c r="U28" s="25">
        <v>45244</v>
      </c>
      <c r="V28" s="63" t="str">
        <f>IF(MONTH(Table22[[#This Row],[Sales Date]])&lt;=3,"Q1",IF(MONTH(Table22[[#This Row],[Sales Date]])&lt;=6,"Q2",IF(MONTH(Table22[[#This Row],[Sales Date]])&lt;=9,"Q3","Q4")))</f>
        <v>Q4</v>
      </c>
      <c r="W28" s="64">
        <f>YEAR(Table22[[#This Row],[Sales Date]])</f>
        <v>2023</v>
      </c>
      <c r="X28" s="23">
        <v>36</v>
      </c>
      <c r="Y28" s="18" t="s">
        <v>41</v>
      </c>
      <c r="Z28" s="18" t="s">
        <v>24</v>
      </c>
      <c r="AA28" s="19" t="s">
        <v>36</v>
      </c>
    </row>
    <row r="29" spans="1:27" x14ac:dyDescent="0.25">
      <c r="A29" s="17" t="s">
        <v>895</v>
      </c>
      <c r="B29" s="18" t="s">
        <v>51</v>
      </c>
      <c r="C29" s="63" t="str" cm="1">
        <f t="array" ref="C29">_xlfn.SWITCH(Table22[[#This Row],[Country]],"USA","North America","Canada","North America","Brazil","South America","China","Asia","Japan","Asia","India","Asia","France","Europe","Germany","Europe","UK","Europe","Australia","Oceania","South America")</f>
        <v>Europe</v>
      </c>
      <c r="D29" s="18" t="s">
        <v>35</v>
      </c>
      <c r="E29" s="18" t="s">
        <v>19</v>
      </c>
      <c r="F29" s="18" t="s">
        <v>20</v>
      </c>
      <c r="G29" s="18" t="s">
        <v>29</v>
      </c>
      <c r="H29" s="64">
        <f>LEN(TRIM(Table22[[#This Row],[Country]]))</f>
        <v>2</v>
      </c>
      <c r="I29" s="64">
        <f>LEN(TRIM(Table22[[#This Row],[Continent]]))</f>
        <v>6</v>
      </c>
      <c r="J29" s="64">
        <f>LEN(TRIM(Table22[[#This Row],[Product]]))</f>
        <v>6</v>
      </c>
      <c r="K29" s="64">
        <f>LEN(TRIM(Table22[[#This Row],[Sales Team]]))</f>
        <v>10</v>
      </c>
      <c r="L29" s="23">
        <v>86</v>
      </c>
      <c r="M29" s="65" t="str" cm="1">
        <f t="array" ref="M29">_xlfn.IFS(Table22[[#This Row],[Units Sold]]&lt;40,"Critical",Table22[[#This Row],[Units Sold]]&lt;=50,"Poor",Table22[[#This Row],[Units Sold]]&lt;=60,"Low",Table22[[#This Row],[Units Sold]]&lt;=80,"Average",Table22[[#This Row],[Units Sold]]&lt;=90,"High",Table22[[#This Row],[Units Sold]]&lt;=95,"Excellent",Table22[[#This Row],[Units Sold]]&gt;95,"Outstanding")</f>
        <v>High</v>
      </c>
      <c r="N29" s="29">
        <v>1461.98</v>
      </c>
      <c r="O29" s="29">
        <v>125730.28</v>
      </c>
      <c r="P29" s="43">
        <f>IF(Table22[[#This Row],[Discount Applied]],Table22[[#This Row],[Total Sales (in USD)]]*(1-Table22[[#This Row],[Discount Percentage (%)]]/100),Table22[[#This Row],[Total Sales (in USD)]])</f>
        <v>106405.53596400001</v>
      </c>
      <c r="Q29" s="66">
        <f>SQRT(AVERAGE((Table22[[#This Row],[Net Sales (after discount) (in USD)]]-AVERAGE(Table22[Net Sales (after discount) (in USD)]))^2))</f>
        <v>69894.175400235472</v>
      </c>
      <c r="R29" s="18" t="b">
        <v>0</v>
      </c>
      <c r="S29" s="40">
        <v>15.37</v>
      </c>
      <c r="T29" s="18" t="b">
        <v>1</v>
      </c>
      <c r="U29" s="25">
        <v>45300</v>
      </c>
      <c r="V29" s="63" t="str">
        <f>IF(MONTH(Table22[[#This Row],[Sales Date]])&lt;=3,"Q1",IF(MONTH(Table22[[#This Row],[Sales Date]])&lt;=6,"Q2",IF(MONTH(Table22[[#This Row],[Sales Date]])&lt;=9,"Q3","Q4")))</f>
        <v>Q1</v>
      </c>
      <c r="W29" s="64">
        <f>YEAR(Table22[[#This Row],[Sales Date]])</f>
        <v>2024</v>
      </c>
      <c r="X29" s="23">
        <v>38</v>
      </c>
      <c r="Y29" s="18" t="s">
        <v>49</v>
      </c>
      <c r="Z29" s="18" t="s">
        <v>56</v>
      </c>
      <c r="AA29" s="19" t="s">
        <v>25</v>
      </c>
    </row>
    <row r="30" spans="1:27" x14ac:dyDescent="0.25">
      <c r="A30" s="17" t="s">
        <v>1005</v>
      </c>
      <c r="B30" s="18" t="s">
        <v>46</v>
      </c>
      <c r="C30" s="63" t="str" cm="1">
        <f t="array" ref="C30">_xlfn.SWITCH(Table22[[#This Row],[Country]],"USA","North America","Canada","North America","Brazil","South America","China","Asia","Japan","Asia","India","Asia","France","Europe","Germany","Europe","UK","Europe","Australia","Oceania","South America")</f>
        <v>South America</v>
      </c>
      <c r="D30" s="18" t="s">
        <v>21</v>
      </c>
      <c r="E30" s="18" t="s">
        <v>39</v>
      </c>
      <c r="F30" s="18" t="s">
        <v>20</v>
      </c>
      <c r="G30" s="18" t="s">
        <v>22</v>
      </c>
      <c r="H30" s="64">
        <f>LEN(TRIM(Table22[[#This Row],[Country]]))</f>
        <v>6</v>
      </c>
      <c r="I30" s="64">
        <f>LEN(TRIM(Table22[[#This Row],[Continent]]))</f>
        <v>13</v>
      </c>
      <c r="J30" s="64">
        <f>LEN(TRIM(Table22[[#This Row],[Product]]))</f>
        <v>10</v>
      </c>
      <c r="K30" s="64">
        <f>LEN(TRIM(Table22[[#This Row],[Sales Team]]))</f>
        <v>10</v>
      </c>
      <c r="L30" s="23">
        <v>98</v>
      </c>
      <c r="M30" s="65" t="str" cm="1">
        <f t="array" ref="M30">_xlfn.IFS(Table22[[#This Row],[Units Sold]]&lt;40,"Critical",Table22[[#This Row],[Units Sold]]&lt;=50,"Poor",Table22[[#This Row],[Units Sold]]&lt;=60,"Low",Table22[[#This Row],[Units Sold]]&lt;=80,"Average",Table22[[#This Row],[Units Sold]]&lt;=90,"High",Table22[[#This Row],[Units Sold]]&lt;=95,"Excellent",Table22[[#This Row],[Units Sold]]&gt;95,"Outstanding")</f>
        <v>Outstanding</v>
      </c>
      <c r="N30" s="29">
        <v>1277.33</v>
      </c>
      <c r="O30" s="29">
        <v>125178.34</v>
      </c>
      <c r="P30" s="43">
        <f>IF(Table22[[#This Row],[Discount Applied]],Table22[[#This Row],[Total Sales (in USD)]]*(1-Table22[[#This Row],[Discount Percentage (%)]]/100),Table22[[#This Row],[Total Sales (in USD)]])</f>
        <v>112297.488814</v>
      </c>
      <c r="Q30" s="66">
        <f>SQRT(AVERAGE((Table22[[#This Row],[Net Sales (after discount) (in USD)]]-AVERAGE(Table22[Net Sales (after discount) (in USD)]))^2))</f>
        <v>75786.128250235459</v>
      </c>
      <c r="R30" s="18" t="b">
        <v>0</v>
      </c>
      <c r="S30" s="40">
        <v>10.29</v>
      </c>
      <c r="T30" s="18" t="b">
        <v>1</v>
      </c>
      <c r="U30" s="25">
        <v>45074</v>
      </c>
      <c r="V30" s="63" t="str">
        <f>IF(MONTH(Table22[[#This Row],[Sales Date]])&lt;=3,"Q1",IF(MONTH(Table22[[#This Row],[Sales Date]])&lt;=6,"Q2",IF(MONTH(Table22[[#This Row],[Sales Date]])&lt;=9,"Q3","Q4")))</f>
        <v>Q2</v>
      </c>
      <c r="W30" s="64">
        <f>YEAR(Table22[[#This Row],[Sales Date]])</f>
        <v>2023</v>
      </c>
      <c r="X30" s="23">
        <v>49</v>
      </c>
      <c r="Y30" s="18" t="s">
        <v>49</v>
      </c>
      <c r="Z30" s="18" t="s">
        <v>30</v>
      </c>
      <c r="AA30" s="19" t="s">
        <v>36</v>
      </c>
    </row>
    <row r="31" spans="1:27" x14ac:dyDescent="0.25">
      <c r="A31" s="17" t="s">
        <v>1864</v>
      </c>
      <c r="B31" s="18" t="s">
        <v>72</v>
      </c>
      <c r="C31" s="63" t="str" cm="1">
        <f t="array" ref="C31">_xlfn.SWITCH(Table22[[#This Row],[Country]],"USA","North America","Canada","North America","Brazil","South America","China","Asia","Japan","Asia","India","Asia","France","Europe","Germany","Europe","UK","Europe","Australia","Oceania","South America")</f>
        <v>North America</v>
      </c>
      <c r="D31" s="18" t="s">
        <v>28</v>
      </c>
      <c r="E31" s="18" t="s">
        <v>19</v>
      </c>
      <c r="F31" s="18" t="s">
        <v>34</v>
      </c>
      <c r="G31" s="18" t="s">
        <v>22</v>
      </c>
      <c r="H31" s="64">
        <f>LEN(TRIM(Table22[[#This Row],[Country]]))</f>
        <v>3</v>
      </c>
      <c r="I31" s="64">
        <f>LEN(TRIM(Table22[[#This Row],[Continent]]))</f>
        <v>13</v>
      </c>
      <c r="J31" s="64">
        <f>LEN(TRIM(Table22[[#This Row],[Product]]))</f>
        <v>6</v>
      </c>
      <c r="K31" s="64">
        <f>LEN(TRIM(Table22[[#This Row],[Sales Team]]))</f>
        <v>10</v>
      </c>
      <c r="L31" s="23">
        <v>87</v>
      </c>
      <c r="M31" s="65" t="str" cm="1">
        <f t="array" ref="M31">_xlfn.IFS(Table22[[#This Row],[Units Sold]]&lt;40,"Critical",Table22[[#This Row],[Units Sold]]&lt;=50,"Poor",Table22[[#This Row],[Units Sold]]&lt;=60,"Low",Table22[[#This Row],[Units Sold]]&lt;=80,"Average",Table22[[#This Row],[Units Sold]]&lt;=90,"High",Table22[[#This Row],[Units Sold]]&lt;=95,"Excellent",Table22[[#This Row],[Units Sold]]&gt;95,"Outstanding")</f>
        <v>High</v>
      </c>
      <c r="N31" s="29">
        <v>1437.03</v>
      </c>
      <c r="O31" s="29">
        <v>125021.61</v>
      </c>
      <c r="P31" s="43">
        <f>IF(Table22[[#This Row],[Discount Applied]],Table22[[#This Row],[Total Sales (in USD)]]*(1-Table22[[#This Row],[Discount Percentage (%)]]/100),Table22[[#This Row],[Total Sales (in USD)]])</f>
        <v>92128.424408999999</v>
      </c>
      <c r="Q31" s="66">
        <f>SQRT(AVERAGE((Table22[[#This Row],[Net Sales (after discount) (in USD)]]-AVERAGE(Table22[Net Sales (after discount) (in USD)]))^2))</f>
        <v>55617.063845235461</v>
      </c>
      <c r="R31" s="18" t="b">
        <v>1</v>
      </c>
      <c r="S31" s="40">
        <v>26.31</v>
      </c>
      <c r="T31" s="18" t="b">
        <v>1</v>
      </c>
      <c r="U31" s="25">
        <v>45589</v>
      </c>
      <c r="V31" s="63" t="str">
        <f>IF(MONTH(Table22[[#This Row],[Sales Date]])&lt;=3,"Q1",IF(MONTH(Table22[[#This Row],[Sales Date]])&lt;=6,"Q2",IF(MONTH(Table22[[#This Row],[Sales Date]])&lt;=9,"Q3","Q4")))</f>
        <v>Q4</v>
      </c>
      <c r="W31" s="64">
        <f>YEAR(Table22[[#This Row],[Sales Date]])</f>
        <v>2024</v>
      </c>
      <c r="X31" s="23">
        <v>37</v>
      </c>
      <c r="Y31" s="18" t="s">
        <v>23</v>
      </c>
      <c r="Z31" s="18" t="s">
        <v>24</v>
      </c>
      <c r="AA31" s="19" t="s">
        <v>36</v>
      </c>
    </row>
    <row r="32" spans="1:27" x14ac:dyDescent="0.25">
      <c r="A32" s="17" t="s">
        <v>1513</v>
      </c>
      <c r="B32" s="18" t="s">
        <v>32</v>
      </c>
      <c r="C32" s="63" t="str" cm="1">
        <f t="array" ref="C32">_xlfn.SWITCH(Table22[[#This Row],[Country]],"USA","North America","Canada","North America","Brazil","South America","China","Asia","Japan","Asia","India","Asia","France","Europe","Germany","Europe","UK","Europe","Australia","Oceania","South America")</f>
        <v>Asia</v>
      </c>
      <c r="D32" s="18" t="s">
        <v>44</v>
      </c>
      <c r="E32" s="18" t="s">
        <v>33</v>
      </c>
      <c r="F32" s="18" t="s">
        <v>52</v>
      </c>
      <c r="G32" s="18" t="s">
        <v>48</v>
      </c>
      <c r="H32" s="64">
        <f>LEN(TRIM(Table22[[#This Row],[Country]]))</f>
        <v>5</v>
      </c>
      <c r="I32" s="64">
        <f>LEN(TRIM(Table22[[#This Row],[Continent]]))</f>
        <v>4</v>
      </c>
      <c r="J32" s="64">
        <f>LEN(TRIM(Table22[[#This Row],[Product]]))</f>
        <v>10</v>
      </c>
      <c r="K32" s="64">
        <f>LEN(TRIM(Table22[[#This Row],[Sales Team]]))</f>
        <v>9</v>
      </c>
      <c r="L32" s="23">
        <v>83</v>
      </c>
      <c r="M32" s="65" t="str" cm="1">
        <f t="array" ref="M32">_xlfn.IFS(Table22[[#This Row],[Units Sold]]&lt;40,"Critical",Table22[[#This Row],[Units Sold]]&lt;=50,"Poor",Table22[[#This Row],[Units Sold]]&lt;=60,"Low",Table22[[#This Row],[Units Sold]]&lt;=80,"Average",Table22[[#This Row],[Units Sold]]&lt;=90,"High",Table22[[#This Row],[Units Sold]]&lt;=95,"Excellent",Table22[[#This Row],[Units Sold]]&gt;95,"Outstanding")</f>
        <v>High</v>
      </c>
      <c r="N32" s="29">
        <v>1495.18</v>
      </c>
      <c r="O32" s="29">
        <v>124099.94</v>
      </c>
      <c r="P32" s="43">
        <f>IF(Table22[[#This Row],[Discount Applied]],Table22[[#This Row],[Total Sales (in USD)]]*(1-Table22[[#This Row],[Discount Percentage (%)]]/100),Table22[[#This Row],[Total Sales (in USD)]])</f>
        <v>124099.94</v>
      </c>
      <c r="Q32" s="66">
        <f>SQRT(AVERAGE((Table22[[#This Row],[Net Sales (after discount) (in USD)]]-AVERAGE(Table22[Net Sales (after discount) (in USD)]))^2))</f>
        <v>87588.579436235465</v>
      </c>
      <c r="R32" s="18" t="b">
        <v>1</v>
      </c>
      <c r="S32" s="40">
        <v>27.26</v>
      </c>
      <c r="T32" s="18" t="b">
        <v>0</v>
      </c>
      <c r="U32" s="25">
        <v>45480</v>
      </c>
      <c r="V32" s="63" t="str">
        <f>IF(MONTH(Table22[[#This Row],[Sales Date]])&lt;=3,"Q1",IF(MONTH(Table22[[#This Row],[Sales Date]])&lt;=6,"Q2",IF(MONTH(Table22[[#This Row],[Sales Date]])&lt;=9,"Q3","Q4")))</f>
        <v>Q3</v>
      </c>
      <c r="W32" s="64">
        <f>YEAR(Table22[[#This Row],[Sales Date]])</f>
        <v>2024</v>
      </c>
      <c r="X32" s="23">
        <v>19</v>
      </c>
      <c r="Y32" s="18" t="s">
        <v>23</v>
      </c>
      <c r="Z32" s="18" t="s">
        <v>42</v>
      </c>
      <c r="AA32" s="19" t="s">
        <v>25</v>
      </c>
    </row>
    <row r="33" spans="1:27" x14ac:dyDescent="0.25">
      <c r="A33" s="17" t="s">
        <v>1442</v>
      </c>
      <c r="B33" s="18" t="s">
        <v>38</v>
      </c>
      <c r="C33" s="63" t="str" cm="1">
        <f t="array" ref="C33">_xlfn.SWITCH(Table22[[#This Row],[Country]],"USA","North America","Canada","North America","Brazil","South America","China","Asia","Japan","Asia","India","Asia","France","Europe","Germany","Europe","UK","Europe","Australia","Oceania","South America")</f>
        <v>Europe</v>
      </c>
      <c r="D33" s="18" t="s">
        <v>21</v>
      </c>
      <c r="E33" s="18" t="s">
        <v>19</v>
      </c>
      <c r="F33" s="18" t="s">
        <v>64</v>
      </c>
      <c r="G33" s="18" t="s">
        <v>40</v>
      </c>
      <c r="H33" s="64">
        <f>LEN(TRIM(Table22[[#This Row],[Country]]))</f>
        <v>6</v>
      </c>
      <c r="I33" s="64">
        <f>LEN(TRIM(Table22[[#This Row],[Continent]]))</f>
        <v>6</v>
      </c>
      <c r="J33" s="64">
        <f>LEN(TRIM(Table22[[#This Row],[Product]]))</f>
        <v>6</v>
      </c>
      <c r="K33" s="64">
        <f>LEN(TRIM(Table22[[#This Row],[Sales Team]]))</f>
        <v>10</v>
      </c>
      <c r="L33" s="23">
        <v>89</v>
      </c>
      <c r="M33" s="65" t="str" cm="1">
        <f t="array" ref="M33">_xlfn.IFS(Table22[[#This Row],[Units Sold]]&lt;40,"Critical",Table22[[#This Row],[Units Sold]]&lt;=50,"Poor",Table22[[#This Row],[Units Sold]]&lt;=60,"Low",Table22[[#This Row],[Units Sold]]&lt;=80,"Average",Table22[[#This Row],[Units Sold]]&lt;=90,"High",Table22[[#This Row],[Units Sold]]&lt;=95,"Excellent",Table22[[#This Row],[Units Sold]]&gt;95,"Outstanding")</f>
        <v>High</v>
      </c>
      <c r="N33" s="29">
        <v>1393.87</v>
      </c>
      <c r="O33" s="29">
        <v>124054.43</v>
      </c>
      <c r="P33" s="43">
        <f>IF(Table22[[#This Row],[Discount Applied]],Table22[[#This Row],[Total Sales (in USD)]]*(1-Table22[[#This Row],[Discount Percentage (%)]]/100),Table22[[#This Row],[Total Sales (in USD)]])</f>
        <v>107431.13638</v>
      </c>
      <c r="Q33" s="66">
        <f>SQRT(AVERAGE((Table22[[#This Row],[Net Sales (after discount) (in USD)]]-AVERAGE(Table22[Net Sales (after discount) (in USD)]))^2))</f>
        <v>70919.775816235458</v>
      </c>
      <c r="R33" s="18" t="b">
        <v>0</v>
      </c>
      <c r="S33" s="40">
        <v>13.4</v>
      </c>
      <c r="T33" s="18" t="b">
        <v>1</v>
      </c>
      <c r="U33" s="25">
        <v>45580</v>
      </c>
      <c r="V33" s="63" t="str">
        <f>IF(MONTH(Table22[[#This Row],[Sales Date]])&lt;=3,"Q1",IF(MONTH(Table22[[#This Row],[Sales Date]])&lt;=6,"Q2",IF(MONTH(Table22[[#This Row],[Sales Date]])&lt;=9,"Q3","Q4")))</f>
        <v>Q4</v>
      </c>
      <c r="W33" s="64">
        <f>YEAR(Table22[[#This Row],[Sales Date]])</f>
        <v>2024</v>
      </c>
      <c r="X33" s="23">
        <v>34</v>
      </c>
      <c r="Y33" s="18" t="s">
        <v>41</v>
      </c>
      <c r="Z33" s="18" t="s">
        <v>42</v>
      </c>
      <c r="AA33" s="19" t="s">
        <v>36</v>
      </c>
    </row>
    <row r="34" spans="1:27" x14ac:dyDescent="0.25">
      <c r="A34" s="17" t="s">
        <v>723</v>
      </c>
      <c r="B34" s="18" t="s">
        <v>72</v>
      </c>
      <c r="C34" s="63" t="str" cm="1">
        <f t="array" ref="C34">_xlfn.SWITCH(Table22[[#This Row],[Country]],"USA","North America","Canada","North America","Brazil","South America","China","Asia","Japan","Asia","India","Asia","France","Europe","Germany","Europe","UK","Europe","Australia","Oceania","South America")</f>
        <v>North America</v>
      </c>
      <c r="D34" s="18" t="s">
        <v>21</v>
      </c>
      <c r="E34" s="18" t="s">
        <v>39</v>
      </c>
      <c r="F34" s="18" t="s">
        <v>47</v>
      </c>
      <c r="G34" s="18" t="s">
        <v>48</v>
      </c>
      <c r="H34" s="64">
        <f>LEN(TRIM(Table22[[#This Row],[Country]]))</f>
        <v>3</v>
      </c>
      <c r="I34" s="64">
        <f>LEN(TRIM(Table22[[#This Row],[Continent]]))</f>
        <v>13</v>
      </c>
      <c r="J34" s="64">
        <f>LEN(TRIM(Table22[[#This Row],[Product]]))</f>
        <v>10</v>
      </c>
      <c r="K34" s="64">
        <f>LEN(TRIM(Table22[[#This Row],[Sales Team]]))</f>
        <v>9</v>
      </c>
      <c r="L34" s="23">
        <v>88</v>
      </c>
      <c r="M34" s="65" t="str" cm="1">
        <f t="array" ref="M34">_xlfn.IFS(Table22[[#This Row],[Units Sold]]&lt;40,"Critical",Table22[[#This Row],[Units Sold]]&lt;=50,"Poor",Table22[[#This Row],[Units Sold]]&lt;=60,"Low",Table22[[#This Row],[Units Sold]]&lt;=80,"Average",Table22[[#This Row],[Units Sold]]&lt;=90,"High",Table22[[#This Row],[Units Sold]]&lt;=95,"Excellent",Table22[[#This Row],[Units Sold]]&gt;95,"Outstanding")</f>
        <v>High</v>
      </c>
      <c r="N34" s="29">
        <v>1404.67</v>
      </c>
      <c r="O34" s="29">
        <v>123610.96</v>
      </c>
      <c r="P34" s="43">
        <f>IF(Table22[[#This Row],[Discount Applied]],Table22[[#This Row],[Total Sales (in USD)]]*(1-Table22[[#This Row],[Discount Percentage (%)]]/100),Table22[[#This Row],[Total Sales (in USD)]])</f>
        <v>99914.738968000005</v>
      </c>
      <c r="Q34" s="66">
        <f>SQRT(AVERAGE((Table22[[#This Row],[Net Sales (after discount) (in USD)]]-AVERAGE(Table22[Net Sales (after discount) (in USD)]))^2))</f>
        <v>63403.378404235467</v>
      </c>
      <c r="R34" s="18" t="b">
        <v>1</v>
      </c>
      <c r="S34" s="40">
        <v>19.170000000000002</v>
      </c>
      <c r="T34" s="18" t="b">
        <v>1</v>
      </c>
      <c r="U34" s="25">
        <v>45212</v>
      </c>
      <c r="V34" s="63" t="str">
        <f>IF(MONTH(Table22[[#This Row],[Sales Date]])&lt;=3,"Q1",IF(MONTH(Table22[[#This Row],[Sales Date]])&lt;=6,"Q2",IF(MONTH(Table22[[#This Row],[Sales Date]])&lt;=9,"Q3","Q4")))</f>
        <v>Q4</v>
      </c>
      <c r="W34" s="64">
        <f>YEAR(Table22[[#This Row],[Sales Date]])</f>
        <v>2023</v>
      </c>
      <c r="X34" s="23">
        <v>26</v>
      </c>
      <c r="Y34" s="18" t="s">
        <v>41</v>
      </c>
      <c r="Z34" s="18" t="s">
        <v>30</v>
      </c>
      <c r="AA34" s="19" t="s">
        <v>36</v>
      </c>
    </row>
    <row r="35" spans="1:27" x14ac:dyDescent="0.25">
      <c r="A35" s="17" t="s">
        <v>837</v>
      </c>
      <c r="B35" s="18" t="s">
        <v>51</v>
      </c>
      <c r="C35" s="63" t="str" cm="1">
        <f t="array" ref="C35">_xlfn.SWITCH(Table22[[#This Row],[Country]],"USA","North America","Canada","North America","Brazil","South America","China","Asia","Japan","Asia","India","Asia","France","Europe","Germany","Europe","UK","Europe","Australia","Oceania","South America")</f>
        <v>Europe</v>
      </c>
      <c r="D35" s="18" t="s">
        <v>28</v>
      </c>
      <c r="E35" s="18" t="s">
        <v>39</v>
      </c>
      <c r="F35" s="18" t="s">
        <v>34</v>
      </c>
      <c r="G35" s="18" t="s">
        <v>48</v>
      </c>
      <c r="H35" s="64">
        <f>LEN(TRIM(Table22[[#This Row],[Country]]))</f>
        <v>2</v>
      </c>
      <c r="I35" s="64">
        <f>LEN(TRIM(Table22[[#This Row],[Continent]]))</f>
        <v>6</v>
      </c>
      <c r="J35" s="64">
        <f>LEN(TRIM(Table22[[#This Row],[Product]]))</f>
        <v>10</v>
      </c>
      <c r="K35" s="64">
        <f>LEN(TRIM(Table22[[#This Row],[Sales Team]]))</f>
        <v>9</v>
      </c>
      <c r="L35" s="23">
        <v>99</v>
      </c>
      <c r="M35" s="65" t="str" cm="1">
        <f t="array" ref="M35">_xlfn.IFS(Table22[[#This Row],[Units Sold]]&lt;40,"Critical",Table22[[#This Row],[Units Sold]]&lt;=50,"Poor",Table22[[#This Row],[Units Sold]]&lt;=60,"Low",Table22[[#This Row],[Units Sold]]&lt;=80,"Average",Table22[[#This Row],[Units Sold]]&lt;=90,"High",Table22[[#This Row],[Units Sold]]&lt;=95,"Excellent",Table22[[#This Row],[Units Sold]]&gt;95,"Outstanding")</f>
        <v>Outstanding</v>
      </c>
      <c r="N35" s="29">
        <v>1243.74</v>
      </c>
      <c r="O35" s="29">
        <v>123130.26</v>
      </c>
      <c r="P35" s="43">
        <f>IF(Table22[[#This Row],[Discount Applied]],Table22[[#This Row],[Total Sales (in USD)]]*(1-Table22[[#This Row],[Discount Percentage (%)]]/100),Table22[[#This Row],[Total Sales (in USD)]])</f>
        <v>114535.767852</v>
      </c>
      <c r="Q35" s="66">
        <f>SQRT(AVERAGE((Table22[[#This Row],[Net Sales (after discount) (in USD)]]-AVERAGE(Table22[Net Sales (after discount) (in USD)]))^2))</f>
        <v>78024.407288235467</v>
      </c>
      <c r="R35" s="18" t="b">
        <v>1</v>
      </c>
      <c r="S35" s="40">
        <v>6.98</v>
      </c>
      <c r="T35" s="18" t="b">
        <v>1</v>
      </c>
      <c r="U35" s="25">
        <v>44994</v>
      </c>
      <c r="V35" s="63" t="str">
        <f>IF(MONTH(Table22[[#This Row],[Sales Date]])&lt;=3,"Q1",IF(MONTH(Table22[[#This Row],[Sales Date]])&lt;=6,"Q2",IF(MONTH(Table22[[#This Row],[Sales Date]])&lt;=9,"Q3","Q4")))</f>
        <v>Q1</v>
      </c>
      <c r="W35" s="64">
        <f>YEAR(Table22[[#This Row],[Sales Date]])</f>
        <v>2023</v>
      </c>
      <c r="X35" s="23">
        <v>41</v>
      </c>
      <c r="Y35" s="18" t="s">
        <v>49</v>
      </c>
      <c r="Z35" s="18" t="s">
        <v>24</v>
      </c>
      <c r="AA35" s="19" t="s">
        <v>36</v>
      </c>
    </row>
    <row r="36" spans="1:27" x14ac:dyDescent="0.25">
      <c r="A36" s="17" t="s">
        <v>1519</v>
      </c>
      <c r="B36" s="18" t="s">
        <v>38</v>
      </c>
      <c r="C36" s="63" t="str" cm="1">
        <f t="array" ref="C36">_xlfn.SWITCH(Table22[[#This Row],[Country]],"USA","North America","Canada","North America","Brazil","South America","China","Asia","Japan","Asia","India","Asia","France","Europe","Germany","Europe","UK","Europe","Australia","Oceania","South America")</f>
        <v>Europe</v>
      </c>
      <c r="D36" s="18" t="s">
        <v>21</v>
      </c>
      <c r="E36" s="18" t="s">
        <v>33</v>
      </c>
      <c r="F36" s="18" t="s">
        <v>52</v>
      </c>
      <c r="G36" s="18" t="s">
        <v>48</v>
      </c>
      <c r="H36" s="64">
        <f>LEN(TRIM(Table22[[#This Row],[Country]]))</f>
        <v>6</v>
      </c>
      <c r="I36" s="64">
        <f>LEN(TRIM(Table22[[#This Row],[Continent]]))</f>
        <v>6</v>
      </c>
      <c r="J36" s="64">
        <f>LEN(TRIM(Table22[[#This Row],[Product]]))</f>
        <v>10</v>
      </c>
      <c r="K36" s="64">
        <f>LEN(TRIM(Table22[[#This Row],[Sales Team]]))</f>
        <v>9</v>
      </c>
      <c r="L36" s="23">
        <v>97</v>
      </c>
      <c r="M36" s="65" t="str" cm="1">
        <f t="array" ref="M36">_xlfn.IFS(Table22[[#This Row],[Units Sold]]&lt;40,"Critical",Table22[[#This Row],[Units Sold]]&lt;=50,"Poor",Table22[[#This Row],[Units Sold]]&lt;=60,"Low",Table22[[#This Row],[Units Sold]]&lt;=80,"Average",Table22[[#This Row],[Units Sold]]&lt;=90,"High",Table22[[#This Row],[Units Sold]]&lt;=95,"Excellent",Table22[[#This Row],[Units Sold]]&gt;95,"Outstanding")</f>
        <v>Outstanding</v>
      </c>
      <c r="N36" s="29">
        <v>1269.3399999999999</v>
      </c>
      <c r="O36" s="29">
        <v>123125.98</v>
      </c>
      <c r="P36" s="43">
        <f>IF(Table22[[#This Row],[Discount Applied]],Table22[[#This Row],[Total Sales (in USD)]]*(1-Table22[[#This Row],[Discount Percentage (%)]]/100),Table22[[#This Row],[Total Sales (in USD)]])</f>
        <v>123125.98</v>
      </c>
      <c r="Q36" s="66">
        <f>SQRT(AVERAGE((Table22[[#This Row],[Net Sales (after discount) (in USD)]]-AVERAGE(Table22[Net Sales (after discount) (in USD)]))^2))</f>
        <v>86614.619436235458</v>
      </c>
      <c r="R36" s="18" t="b">
        <v>1</v>
      </c>
      <c r="S36" s="40">
        <v>9.08</v>
      </c>
      <c r="T36" s="18" t="b">
        <v>0</v>
      </c>
      <c r="U36" s="25">
        <v>45202</v>
      </c>
      <c r="V36" s="63" t="str">
        <f>IF(MONTH(Table22[[#This Row],[Sales Date]])&lt;=3,"Q1",IF(MONTH(Table22[[#This Row],[Sales Date]])&lt;=6,"Q2",IF(MONTH(Table22[[#This Row],[Sales Date]])&lt;=9,"Q3","Q4")))</f>
        <v>Q4</v>
      </c>
      <c r="W36" s="64">
        <f>YEAR(Table22[[#This Row],[Sales Date]])</f>
        <v>2023</v>
      </c>
      <c r="X36" s="23">
        <v>43</v>
      </c>
      <c r="Y36" s="18" t="s">
        <v>41</v>
      </c>
      <c r="Z36" s="18" t="s">
        <v>42</v>
      </c>
      <c r="AA36" s="19" t="s">
        <v>36</v>
      </c>
    </row>
    <row r="37" spans="1:27" x14ac:dyDescent="0.25">
      <c r="A37" s="17" t="s">
        <v>1563</v>
      </c>
      <c r="B37" s="18" t="s">
        <v>72</v>
      </c>
      <c r="C37" s="63" t="str" cm="1">
        <f t="array" ref="C37">_xlfn.SWITCH(Table22[[#This Row],[Country]],"USA","North America","Canada","North America","Brazil","South America","China","Asia","Japan","Asia","India","Asia","France","Europe","Germany","Europe","UK","Europe","Australia","Oceania","South America")</f>
        <v>North America</v>
      </c>
      <c r="D37" s="18" t="s">
        <v>44</v>
      </c>
      <c r="E37" s="18" t="s">
        <v>39</v>
      </c>
      <c r="F37" s="18" t="s">
        <v>52</v>
      </c>
      <c r="G37" s="18" t="s">
        <v>29</v>
      </c>
      <c r="H37" s="64">
        <f>LEN(TRIM(Table22[[#This Row],[Country]]))</f>
        <v>3</v>
      </c>
      <c r="I37" s="64">
        <f>LEN(TRIM(Table22[[#This Row],[Continent]]))</f>
        <v>13</v>
      </c>
      <c r="J37" s="64">
        <f>LEN(TRIM(Table22[[#This Row],[Product]]))</f>
        <v>10</v>
      </c>
      <c r="K37" s="64">
        <f>LEN(TRIM(Table22[[#This Row],[Sales Team]]))</f>
        <v>10</v>
      </c>
      <c r="L37" s="23">
        <v>90</v>
      </c>
      <c r="M37" s="65" t="str" cm="1">
        <f t="array" ref="M37">_xlfn.IFS(Table22[[#This Row],[Units Sold]]&lt;40,"Critical",Table22[[#This Row],[Units Sold]]&lt;=50,"Poor",Table22[[#This Row],[Units Sold]]&lt;=60,"Low",Table22[[#This Row],[Units Sold]]&lt;=80,"Average",Table22[[#This Row],[Units Sold]]&lt;=90,"High",Table22[[#This Row],[Units Sold]]&lt;=95,"Excellent",Table22[[#This Row],[Units Sold]]&gt;95,"Outstanding")</f>
        <v>High</v>
      </c>
      <c r="N37" s="29">
        <v>1361.68</v>
      </c>
      <c r="O37" s="29">
        <v>122551.2</v>
      </c>
      <c r="P37" s="43">
        <f>IF(Table22[[#This Row],[Discount Applied]],Table22[[#This Row],[Total Sales (in USD)]]*(1-Table22[[#This Row],[Discount Percentage (%)]]/100),Table22[[#This Row],[Total Sales (in USD)]])</f>
        <v>116521.68096</v>
      </c>
      <c r="Q37" s="66">
        <f>SQRT(AVERAGE((Table22[[#This Row],[Net Sales (after discount) (in USD)]]-AVERAGE(Table22[Net Sales (after discount) (in USD)]))^2))</f>
        <v>80010.32039623546</v>
      </c>
      <c r="R37" s="18" t="b">
        <v>0</v>
      </c>
      <c r="S37" s="40">
        <v>4.92</v>
      </c>
      <c r="T37" s="18" t="b">
        <v>1</v>
      </c>
      <c r="U37" s="25">
        <v>45329</v>
      </c>
      <c r="V37" s="63" t="str">
        <f>IF(MONTH(Table22[[#This Row],[Sales Date]])&lt;=3,"Q1",IF(MONTH(Table22[[#This Row],[Sales Date]])&lt;=6,"Q2",IF(MONTH(Table22[[#This Row],[Sales Date]])&lt;=9,"Q3","Q4")))</f>
        <v>Q1</v>
      </c>
      <c r="W37" s="64">
        <f>YEAR(Table22[[#This Row],[Sales Date]])</f>
        <v>2024</v>
      </c>
      <c r="X37" s="23">
        <v>29</v>
      </c>
      <c r="Y37" s="18" t="s">
        <v>41</v>
      </c>
      <c r="Z37" s="18" t="s">
        <v>42</v>
      </c>
      <c r="AA37" s="19" t="s">
        <v>25</v>
      </c>
    </row>
    <row r="38" spans="1:27" x14ac:dyDescent="0.25">
      <c r="A38" s="17" t="s">
        <v>848</v>
      </c>
      <c r="B38" s="18" t="s">
        <v>38</v>
      </c>
      <c r="C38" s="63" t="str" cm="1">
        <f t="array" ref="C38">_xlfn.SWITCH(Table22[[#This Row],[Country]],"USA","North America","Canada","North America","Brazil","South America","China","Asia","Japan","Asia","India","Asia","France","Europe","Germany","Europe","UK","Europe","Australia","Oceania","South America")</f>
        <v>Europe</v>
      </c>
      <c r="D38" s="18" t="s">
        <v>35</v>
      </c>
      <c r="E38" s="18" t="s">
        <v>19</v>
      </c>
      <c r="F38" s="18" t="s">
        <v>52</v>
      </c>
      <c r="G38" s="18" t="s">
        <v>48</v>
      </c>
      <c r="H38" s="64">
        <f>LEN(TRIM(Table22[[#This Row],[Country]]))</f>
        <v>6</v>
      </c>
      <c r="I38" s="64">
        <f>LEN(TRIM(Table22[[#This Row],[Continent]]))</f>
        <v>6</v>
      </c>
      <c r="J38" s="64">
        <f>LEN(TRIM(Table22[[#This Row],[Product]]))</f>
        <v>6</v>
      </c>
      <c r="K38" s="64">
        <f>LEN(TRIM(Table22[[#This Row],[Sales Team]]))</f>
        <v>9</v>
      </c>
      <c r="L38" s="23">
        <v>90</v>
      </c>
      <c r="M38" s="65" t="str" cm="1">
        <f t="array" ref="M38">_xlfn.IFS(Table22[[#This Row],[Units Sold]]&lt;40,"Critical",Table22[[#This Row],[Units Sold]]&lt;=50,"Poor",Table22[[#This Row],[Units Sold]]&lt;=60,"Low",Table22[[#This Row],[Units Sold]]&lt;=80,"Average",Table22[[#This Row],[Units Sold]]&lt;=90,"High",Table22[[#This Row],[Units Sold]]&lt;=95,"Excellent",Table22[[#This Row],[Units Sold]]&gt;95,"Outstanding")</f>
        <v>High</v>
      </c>
      <c r="N38" s="29">
        <v>1359.17</v>
      </c>
      <c r="O38" s="29">
        <v>122325.3</v>
      </c>
      <c r="P38" s="43">
        <f>IF(Table22[[#This Row],[Discount Applied]],Table22[[#This Row],[Total Sales (in USD)]]*(1-Table22[[#This Row],[Discount Percentage (%)]]/100),Table22[[#This Row],[Total Sales (in USD)]])</f>
        <v>108257.89050000001</v>
      </c>
      <c r="Q38" s="66">
        <f>SQRT(AVERAGE((Table22[[#This Row],[Net Sales (after discount) (in USD)]]-AVERAGE(Table22[Net Sales (after discount) (in USD)]))^2))</f>
        <v>71746.529936235471</v>
      </c>
      <c r="R38" s="18" t="b">
        <v>1</v>
      </c>
      <c r="S38" s="40">
        <v>11.5</v>
      </c>
      <c r="T38" s="18" t="b">
        <v>1</v>
      </c>
      <c r="U38" s="25">
        <v>45560</v>
      </c>
      <c r="V38" s="63" t="str">
        <f>IF(MONTH(Table22[[#This Row],[Sales Date]])&lt;=3,"Q1",IF(MONTH(Table22[[#This Row],[Sales Date]])&lt;=6,"Q2",IF(MONTH(Table22[[#This Row],[Sales Date]])&lt;=9,"Q3","Q4")))</f>
        <v>Q3</v>
      </c>
      <c r="W38" s="64">
        <f>YEAR(Table22[[#This Row],[Sales Date]])</f>
        <v>2024</v>
      </c>
      <c r="X38" s="23">
        <v>30</v>
      </c>
      <c r="Y38" s="18" t="s">
        <v>23</v>
      </c>
      <c r="Z38" s="18" t="s">
        <v>30</v>
      </c>
      <c r="AA38" s="19" t="s">
        <v>36</v>
      </c>
    </row>
    <row r="39" spans="1:27" x14ac:dyDescent="0.25">
      <c r="A39" s="17" t="s">
        <v>1636</v>
      </c>
      <c r="B39" s="18" t="s">
        <v>38</v>
      </c>
      <c r="C39" s="63" t="str" cm="1">
        <f t="array" ref="C39">_xlfn.SWITCH(Table22[[#This Row],[Country]],"USA","North America","Canada","North America","Brazil","South America","China","Asia","Japan","Asia","India","Asia","France","Europe","Germany","Europe","UK","Europe","Australia","Oceania","South America")</f>
        <v>Europe</v>
      </c>
      <c r="D39" s="18" t="s">
        <v>21</v>
      </c>
      <c r="E39" s="18" t="s">
        <v>33</v>
      </c>
      <c r="F39" s="18" t="s">
        <v>20</v>
      </c>
      <c r="G39" s="18" t="s">
        <v>22</v>
      </c>
      <c r="H39" s="64">
        <f>LEN(TRIM(Table22[[#This Row],[Country]]))</f>
        <v>6</v>
      </c>
      <c r="I39" s="64">
        <f>LEN(TRIM(Table22[[#This Row],[Continent]]))</f>
        <v>6</v>
      </c>
      <c r="J39" s="64">
        <f>LEN(TRIM(Table22[[#This Row],[Product]]))</f>
        <v>10</v>
      </c>
      <c r="K39" s="64">
        <f>LEN(TRIM(Table22[[#This Row],[Sales Team]]))</f>
        <v>10</v>
      </c>
      <c r="L39" s="23">
        <v>96</v>
      </c>
      <c r="M39" s="65" t="str" cm="1">
        <f t="array" ref="M39">_xlfn.IFS(Table22[[#This Row],[Units Sold]]&lt;40,"Critical",Table22[[#This Row],[Units Sold]]&lt;=50,"Poor",Table22[[#This Row],[Units Sold]]&lt;=60,"Low",Table22[[#This Row],[Units Sold]]&lt;=80,"Average",Table22[[#This Row],[Units Sold]]&lt;=90,"High",Table22[[#This Row],[Units Sold]]&lt;=95,"Excellent",Table22[[#This Row],[Units Sold]]&gt;95,"Outstanding")</f>
        <v>Outstanding</v>
      </c>
      <c r="N39" s="29">
        <v>1270.2</v>
      </c>
      <c r="O39" s="29">
        <v>121939.2</v>
      </c>
      <c r="P39" s="43">
        <f>IF(Table22[[#This Row],[Discount Applied]],Table22[[#This Row],[Total Sales (in USD)]]*(1-Table22[[#This Row],[Discount Percentage (%)]]/100),Table22[[#This Row],[Total Sales (in USD)]])</f>
        <v>120573.48096</v>
      </c>
      <c r="Q39" s="66">
        <f>SQRT(AVERAGE((Table22[[#This Row],[Net Sales (after discount) (in USD)]]-AVERAGE(Table22[Net Sales (after discount) (in USD)]))^2))</f>
        <v>84062.120396235463</v>
      </c>
      <c r="R39" s="18" t="b">
        <v>0</v>
      </c>
      <c r="S39" s="40">
        <v>1.1200000000000001</v>
      </c>
      <c r="T39" s="18" t="b">
        <v>1</v>
      </c>
      <c r="U39" s="25">
        <v>45422</v>
      </c>
      <c r="V39" s="63" t="str">
        <f>IF(MONTH(Table22[[#This Row],[Sales Date]])&lt;=3,"Q1",IF(MONTH(Table22[[#This Row],[Sales Date]])&lt;=6,"Q2",IF(MONTH(Table22[[#This Row],[Sales Date]])&lt;=9,"Q3","Q4")))</f>
        <v>Q2</v>
      </c>
      <c r="W39" s="64">
        <f>YEAR(Table22[[#This Row],[Sales Date]])</f>
        <v>2024</v>
      </c>
      <c r="X39" s="23">
        <v>18</v>
      </c>
      <c r="Y39" s="18" t="s">
        <v>41</v>
      </c>
      <c r="Z39" s="18" t="s">
        <v>30</v>
      </c>
      <c r="AA39" s="19" t="s">
        <v>25</v>
      </c>
    </row>
    <row r="40" spans="1:27" x14ac:dyDescent="0.25">
      <c r="A40" s="17" t="s">
        <v>988</v>
      </c>
      <c r="B40" s="18" t="s">
        <v>76</v>
      </c>
      <c r="C40" s="63" t="str" cm="1">
        <f t="array" ref="C40">_xlfn.SWITCH(Table22[[#This Row],[Country]],"USA","North America","Canada","North America","Brazil","South America","China","Asia","Japan","Asia","India","Asia","France","Europe","Germany","Europe","UK","Europe","Australia","Oceania","South America")</f>
        <v>Asia</v>
      </c>
      <c r="D40" s="18" t="s">
        <v>28</v>
      </c>
      <c r="E40" s="18" t="s">
        <v>19</v>
      </c>
      <c r="F40" s="18" t="s">
        <v>64</v>
      </c>
      <c r="G40" s="18" t="s">
        <v>40</v>
      </c>
      <c r="H40" s="64">
        <f>LEN(TRIM(Table22[[#This Row],[Country]]))</f>
        <v>5</v>
      </c>
      <c r="I40" s="64">
        <f>LEN(TRIM(Table22[[#This Row],[Continent]]))</f>
        <v>4</v>
      </c>
      <c r="J40" s="64">
        <f>LEN(TRIM(Table22[[#This Row],[Product]]))</f>
        <v>6</v>
      </c>
      <c r="K40" s="64">
        <f>LEN(TRIM(Table22[[#This Row],[Sales Team]]))</f>
        <v>10</v>
      </c>
      <c r="L40" s="23">
        <v>97</v>
      </c>
      <c r="M40" s="65" t="str" cm="1">
        <f t="array" ref="M40">_xlfn.IFS(Table22[[#This Row],[Units Sold]]&lt;40,"Critical",Table22[[#This Row],[Units Sold]]&lt;=50,"Poor",Table22[[#This Row],[Units Sold]]&lt;=60,"Low",Table22[[#This Row],[Units Sold]]&lt;=80,"Average",Table22[[#This Row],[Units Sold]]&lt;=90,"High",Table22[[#This Row],[Units Sold]]&lt;=95,"Excellent",Table22[[#This Row],[Units Sold]]&gt;95,"Outstanding")</f>
        <v>Outstanding</v>
      </c>
      <c r="N40" s="29">
        <v>1256.54</v>
      </c>
      <c r="O40" s="29">
        <v>121884.38</v>
      </c>
      <c r="P40" s="43">
        <f>IF(Table22[[#This Row],[Discount Applied]],Table22[[#This Row],[Total Sales (in USD)]]*(1-Table22[[#This Row],[Discount Percentage (%)]]/100),Table22[[#This Row],[Total Sales (in USD)]])</f>
        <v>115912.04538</v>
      </c>
      <c r="Q40" s="66">
        <f>SQRT(AVERAGE((Table22[[#This Row],[Net Sales (after discount) (in USD)]]-AVERAGE(Table22[Net Sales (after discount) (in USD)]))^2))</f>
        <v>79400.684816235458</v>
      </c>
      <c r="R40" s="18" t="b">
        <v>0</v>
      </c>
      <c r="S40" s="40">
        <v>4.9000000000000004</v>
      </c>
      <c r="T40" s="18" t="b">
        <v>1</v>
      </c>
      <c r="U40" s="25">
        <v>45240</v>
      </c>
      <c r="V40" s="63" t="str">
        <f>IF(MONTH(Table22[[#This Row],[Sales Date]])&lt;=3,"Q1",IF(MONTH(Table22[[#This Row],[Sales Date]])&lt;=6,"Q2",IF(MONTH(Table22[[#This Row],[Sales Date]])&lt;=9,"Q3","Q4")))</f>
        <v>Q4</v>
      </c>
      <c r="W40" s="64">
        <f>YEAR(Table22[[#This Row],[Sales Date]])</f>
        <v>2023</v>
      </c>
      <c r="X40" s="23">
        <v>61</v>
      </c>
      <c r="Y40" s="18" t="s">
        <v>49</v>
      </c>
      <c r="Z40" s="18" t="s">
        <v>24</v>
      </c>
      <c r="AA40" s="19" t="s">
        <v>36</v>
      </c>
    </row>
    <row r="41" spans="1:27" x14ac:dyDescent="0.25">
      <c r="A41" s="17" t="s">
        <v>1693</v>
      </c>
      <c r="B41" s="18" t="s">
        <v>32</v>
      </c>
      <c r="C41" s="63" t="str" cm="1">
        <f t="array" ref="C41">_xlfn.SWITCH(Table22[[#This Row],[Country]],"USA","North America","Canada","North America","Brazil","South America","China","Asia","Japan","Asia","India","Asia","France","Europe","Germany","Europe","UK","Europe","Australia","Oceania","South America")</f>
        <v>Asia</v>
      </c>
      <c r="D41" s="18" t="s">
        <v>21</v>
      </c>
      <c r="E41" s="18" t="s">
        <v>39</v>
      </c>
      <c r="F41" s="18" t="s">
        <v>34</v>
      </c>
      <c r="G41" s="18" t="s">
        <v>40</v>
      </c>
      <c r="H41" s="64">
        <f>LEN(TRIM(Table22[[#This Row],[Country]]))</f>
        <v>5</v>
      </c>
      <c r="I41" s="64">
        <f>LEN(TRIM(Table22[[#This Row],[Continent]]))</f>
        <v>4</v>
      </c>
      <c r="J41" s="64">
        <f>LEN(TRIM(Table22[[#This Row],[Product]]))</f>
        <v>10</v>
      </c>
      <c r="K41" s="64">
        <f>LEN(TRIM(Table22[[#This Row],[Sales Team]]))</f>
        <v>10</v>
      </c>
      <c r="L41" s="23">
        <v>82</v>
      </c>
      <c r="M41" s="65" t="str" cm="1">
        <f t="array" ref="M41">_xlfn.IFS(Table22[[#This Row],[Units Sold]]&lt;40,"Critical",Table22[[#This Row],[Units Sold]]&lt;=50,"Poor",Table22[[#This Row],[Units Sold]]&lt;=60,"Low",Table22[[#This Row],[Units Sold]]&lt;=80,"Average",Table22[[#This Row],[Units Sold]]&lt;=90,"High",Table22[[#This Row],[Units Sold]]&lt;=95,"Excellent",Table22[[#This Row],[Units Sold]]&gt;95,"Outstanding")</f>
        <v>High</v>
      </c>
      <c r="N41" s="29">
        <v>1485.75</v>
      </c>
      <c r="O41" s="29">
        <v>121831.5</v>
      </c>
      <c r="P41" s="43">
        <f>IF(Table22[[#This Row],[Discount Applied]],Table22[[#This Row],[Total Sales (in USD)]]*(1-Table22[[#This Row],[Discount Percentage (%)]]/100),Table22[[#This Row],[Total Sales (in USD)]])</f>
        <v>121831.5</v>
      </c>
      <c r="Q41" s="66">
        <f>SQRT(AVERAGE((Table22[[#This Row],[Net Sales (after discount) (in USD)]]-AVERAGE(Table22[Net Sales (after discount) (in USD)]))^2))</f>
        <v>85320.139436235462</v>
      </c>
      <c r="R41" s="18" t="b">
        <v>1</v>
      </c>
      <c r="S41" s="40">
        <v>4.95</v>
      </c>
      <c r="T41" s="18" t="b">
        <v>0</v>
      </c>
      <c r="U41" s="25">
        <v>45045</v>
      </c>
      <c r="V41" s="63" t="str">
        <f>IF(MONTH(Table22[[#This Row],[Sales Date]])&lt;=3,"Q1",IF(MONTH(Table22[[#This Row],[Sales Date]])&lt;=6,"Q2",IF(MONTH(Table22[[#This Row],[Sales Date]])&lt;=9,"Q3","Q4")))</f>
        <v>Q2</v>
      </c>
      <c r="W41" s="64">
        <f>YEAR(Table22[[#This Row],[Sales Date]])</f>
        <v>2023</v>
      </c>
      <c r="X41" s="23">
        <v>38</v>
      </c>
      <c r="Y41" s="18" t="s">
        <v>23</v>
      </c>
      <c r="Z41" s="18" t="s">
        <v>24</v>
      </c>
      <c r="AA41" s="19" t="s">
        <v>25</v>
      </c>
    </row>
    <row r="42" spans="1:27" x14ac:dyDescent="0.25">
      <c r="A42" s="17" t="s">
        <v>764</v>
      </c>
      <c r="B42" s="18" t="s">
        <v>72</v>
      </c>
      <c r="C42" s="63" t="str" cm="1">
        <f t="array" ref="C42">_xlfn.SWITCH(Table22[[#This Row],[Country]],"USA","North America","Canada","North America","Brazil","South America","China","Asia","Japan","Asia","India","Asia","France","Europe","Germany","Europe","UK","Europe","Australia","Oceania","South America")</f>
        <v>North America</v>
      </c>
      <c r="D42" s="18" t="s">
        <v>28</v>
      </c>
      <c r="E42" s="18" t="s">
        <v>19</v>
      </c>
      <c r="F42" s="18" t="s">
        <v>34</v>
      </c>
      <c r="G42" s="18" t="s">
        <v>29</v>
      </c>
      <c r="H42" s="64">
        <f>LEN(TRIM(Table22[[#This Row],[Country]]))</f>
        <v>3</v>
      </c>
      <c r="I42" s="64">
        <f>LEN(TRIM(Table22[[#This Row],[Continent]]))</f>
        <v>13</v>
      </c>
      <c r="J42" s="64">
        <f>LEN(TRIM(Table22[[#This Row],[Product]]))</f>
        <v>6</v>
      </c>
      <c r="K42" s="64">
        <f>LEN(TRIM(Table22[[#This Row],[Sales Team]]))</f>
        <v>10</v>
      </c>
      <c r="L42" s="23">
        <v>83</v>
      </c>
      <c r="M42" s="65" t="str" cm="1">
        <f t="array" ref="M42">_xlfn.IFS(Table22[[#This Row],[Units Sold]]&lt;40,"Critical",Table22[[#This Row],[Units Sold]]&lt;=50,"Poor",Table22[[#This Row],[Units Sold]]&lt;=60,"Low",Table22[[#This Row],[Units Sold]]&lt;=80,"Average",Table22[[#This Row],[Units Sold]]&lt;=90,"High",Table22[[#This Row],[Units Sold]]&lt;=95,"Excellent",Table22[[#This Row],[Units Sold]]&gt;95,"Outstanding")</f>
        <v>High</v>
      </c>
      <c r="N42" s="29">
        <v>1454.53</v>
      </c>
      <c r="O42" s="29">
        <v>120725.99</v>
      </c>
      <c r="P42" s="43">
        <f>IF(Table22[[#This Row],[Discount Applied]],Table22[[#This Row],[Total Sales (in USD)]]*(1-Table22[[#This Row],[Discount Percentage (%)]]/100),Table22[[#This Row],[Total Sales (in USD)]])</f>
        <v>110886.821815</v>
      </c>
      <c r="Q42" s="66">
        <f>SQRT(AVERAGE((Table22[[#This Row],[Net Sales (after discount) (in USD)]]-AVERAGE(Table22[Net Sales (after discount) (in USD)]))^2))</f>
        <v>74375.461251235465</v>
      </c>
      <c r="R42" s="18" t="b">
        <v>0</v>
      </c>
      <c r="S42" s="40">
        <v>8.15</v>
      </c>
      <c r="T42" s="18" t="b">
        <v>1</v>
      </c>
      <c r="U42" s="25">
        <v>45326</v>
      </c>
      <c r="V42" s="63" t="str">
        <f>IF(MONTH(Table22[[#This Row],[Sales Date]])&lt;=3,"Q1",IF(MONTH(Table22[[#This Row],[Sales Date]])&lt;=6,"Q2",IF(MONTH(Table22[[#This Row],[Sales Date]])&lt;=9,"Q3","Q4")))</f>
        <v>Q1</v>
      </c>
      <c r="W42" s="64">
        <f>YEAR(Table22[[#This Row],[Sales Date]])</f>
        <v>2024</v>
      </c>
      <c r="X42" s="23">
        <v>65</v>
      </c>
      <c r="Y42" s="18" t="s">
        <v>23</v>
      </c>
      <c r="Z42" s="18" t="s">
        <v>24</v>
      </c>
      <c r="AA42" s="19" t="s">
        <v>36</v>
      </c>
    </row>
    <row r="43" spans="1:27" x14ac:dyDescent="0.25">
      <c r="A43" s="17" t="s">
        <v>144</v>
      </c>
      <c r="B43" s="18" t="s">
        <v>38</v>
      </c>
      <c r="C43" s="63" t="str" cm="1">
        <f t="array" ref="C43">_xlfn.SWITCH(Table22[[#This Row],[Country]],"USA","North America","Canada","North America","Brazil","South America","China","Asia","Japan","Asia","India","Asia","France","Europe","Germany","Europe","UK","Europe","Australia","Oceania","South America")</f>
        <v>Europe</v>
      </c>
      <c r="D43" s="18" t="s">
        <v>28</v>
      </c>
      <c r="E43" s="18" t="s">
        <v>19</v>
      </c>
      <c r="F43" s="18" t="s">
        <v>47</v>
      </c>
      <c r="G43" s="18" t="s">
        <v>40</v>
      </c>
      <c r="H43" s="64">
        <f>LEN(TRIM(Table22[[#This Row],[Country]]))</f>
        <v>6</v>
      </c>
      <c r="I43" s="64">
        <f>LEN(TRIM(Table22[[#This Row],[Continent]]))</f>
        <v>6</v>
      </c>
      <c r="J43" s="64">
        <f>LEN(TRIM(Table22[[#This Row],[Product]]))</f>
        <v>6</v>
      </c>
      <c r="K43" s="64">
        <f>LEN(TRIM(Table22[[#This Row],[Sales Team]]))</f>
        <v>10</v>
      </c>
      <c r="L43" s="23">
        <v>99</v>
      </c>
      <c r="M43" s="65" t="str" cm="1">
        <f t="array" ref="M43">_xlfn.IFS(Table22[[#This Row],[Units Sold]]&lt;40,"Critical",Table22[[#This Row],[Units Sold]]&lt;=50,"Poor",Table22[[#This Row],[Units Sold]]&lt;=60,"Low",Table22[[#This Row],[Units Sold]]&lt;=80,"Average",Table22[[#This Row],[Units Sold]]&lt;=90,"High",Table22[[#This Row],[Units Sold]]&lt;=95,"Excellent",Table22[[#This Row],[Units Sold]]&gt;95,"Outstanding")</f>
        <v>Outstanding</v>
      </c>
      <c r="N43" s="29">
        <v>1218.23</v>
      </c>
      <c r="O43" s="29">
        <v>120604.77</v>
      </c>
      <c r="P43" s="43">
        <f>IF(Table22[[#This Row],[Discount Applied]],Table22[[#This Row],[Total Sales (in USD)]]*(1-Table22[[#This Row],[Discount Percentage (%)]]/100),Table22[[#This Row],[Total Sales (in USD)]])</f>
        <v>120604.77</v>
      </c>
      <c r="Q43" s="66">
        <f>SQRT(AVERAGE((Table22[[#This Row],[Net Sales (after discount) (in USD)]]-AVERAGE(Table22[Net Sales (after discount) (in USD)]))^2))</f>
        <v>84093.409436235466</v>
      </c>
      <c r="R43" s="18" t="b">
        <v>1</v>
      </c>
      <c r="S43" s="40">
        <v>6.94</v>
      </c>
      <c r="T43" s="18" t="b">
        <v>0</v>
      </c>
      <c r="U43" s="25">
        <v>44987</v>
      </c>
      <c r="V43" s="63" t="str">
        <f>IF(MONTH(Table22[[#This Row],[Sales Date]])&lt;=3,"Q1",IF(MONTH(Table22[[#This Row],[Sales Date]])&lt;=6,"Q2",IF(MONTH(Table22[[#This Row],[Sales Date]])&lt;=9,"Q3","Q4")))</f>
        <v>Q1</v>
      </c>
      <c r="W43" s="64">
        <f>YEAR(Table22[[#This Row],[Sales Date]])</f>
        <v>2023</v>
      </c>
      <c r="X43" s="23">
        <v>40</v>
      </c>
      <c r="Y43" s="18" t="s">
        <v>41</v>
      </c>
      <c r="Z43" s="18" t="s">
        <v>24</v>
      </c>
      <c r="AA43" s="19" t="s">
        <v>25</v>
      </c>
    </row>
    <row r="44" spans="1:27" x14ac:dyDescent="0.25">
      <c r="A44" s="17" t="s">
        <v>313</v>
      </c>
      <c r="B44" s="18" t="s">
        <v>66</v>
      </c>
      <c r="C44" s="63" t="str" cm="1">
        <f t="array" ref="C44">_xlfn.SWITCH(Table22[[#This Row],[Country]],"USA","North America","Canada","North America","Brazil","South America","China","Asia","Japan","Asia","India","Asia","France","Europe","Germany","Europe","UK","Europe","Australia","Oceania","South America")</f>
        <v>North America</v>
      </c>
      <c r="D44" s="18" t="s">
        <v>35</v>
      </c>
      <c r="E44" s="18" t="s">
        <v>19</v>
      </c>
      <c r="F44" s="18" t="s">
        <v>52</v>
      </c>
      <c r="G44" s="18" t="s">
        <v>29</v>
      </c>
      <c r="H44" s="64">
        <f>LEN(TRIM(Table22[[#This Row],[Country]]))</f>
        <v>6</v>
      </c>
      <c r="I44" s="64">
        <f>LEN(TRIM(Table22[[#This Row],[Continent]]))</f>
        <v>13</v>
      </c>
      <c r="J44" s="64">
        <f>LEN(TRIM(Table22[[#This Row],[Product]]))</f>
        <v>6</v>
      </c>
      <c r="K44" s="64">
        <f>LEN(TRIM(Table22[[#This Row],[Sales Team]]))</f>
        <v>10</v>
      </c>
      <c r="L44" s="23">
        <v>86</v>
      </c>
      <c r="M44" s="65" t="str" cm="1">
        <f t="array" ref="M44">_xlfn.IFS(Table22[[#This Row],[Units Sold]]&lt;40,"Critical",Table22[[#This Row],[Units Sold]]&lt;=50,"Poor",Table22[[#This Row],[Units Sold]]&lt;=60,"Low",Table22[[#This Row],[Units Sold]]&lt;=80,"Average",Table22[[#This Row],[Units Sold]]&lt;=90,"High",Table22[[#This Row],[Units Sold]]&lt;=95,"Excellent",Table22[[#This Row],[Units Sold]]&gt;95,"Outstanding")</f>
        <v>High</v>
      </c>
      <c r="N44" s="29">
        <v>1399.99</v>
      </c>
      <c r="O44" s="29">
        <v>120399.14</v>
      </c>
      <c r="P44" s="43">
        <f>IF(Table22[[#This Row],[Discount Applied]],Table22[[#This Row],[Total Sales (in USD)]]*(1-Table22[[#This Row],[Discount Percentage (%)]]/100),Table22[[#This Row],[Total Sales (in USD)]])</f>
        <v>107684.99081599999</v>
      </c>
      <c r="Q44" s="66">
        <f>SQRT(AVERAGE((Table22[[#This Row],[Net Sales (after discount) (in USD)]]-AVERAGE(Table22[Net Sales (after discount) (in USD)]))^2))</f>
        <v>71173.630252235453</v>
      </c>
      <c r="R44" s="18" t="b">
        <v>0</v>
      </c>
      <c r="S44" s="40">
        <v>10.56</v>
      </c>
      <c r="T44" s="18" t="b">
        <v>1</v>
      </c>
      <c r="U44" s="25">
        <v>44934</v>
      </c>
      <c r="V44" s="63" t="str">
        <f>IF(MONTH(Table22[[#This Row],[Sales Date]])&lt;=3,"Q1",IF(MONTH(Table22[[#This Row],[Sales Date]])&lt;=6,"Q2",IF(MONTH(Table22[[#This Row],[Sales Date]])&lt;=9,"Q3","Q4")))</f>
        <v>Q1</v>
      </c>
      <c r="W44" s="64">
        <f>YEAR(Table22[[#This Row],[Sales Date]])</f>
        <v>2023</v>
      </c>
      <c r="X44" s="23">
        <v>67</v>
      </c>
      <c r="Y44" s="18" t="s">
        <v>49</v>
      </c>
      <c r="Z44" s="18" t="s">
        <v>42</v>
      </c>
      <c r="AA44" s="19" t="s">
        <v>25</v>
      </c>
    </row>
    <row r="45" spans="1:27" x14ac:dyDescent="0.25">
      <c r="A45" s="17" t="s">
        <v>1182</v>
      </c>
      <c r="B45" s="18" t="s">
        <v>27</v>
      </c>
      <c r="C45" s="63" t="str" cm="1">
        <f t="array" ref="C45">_xlfn.SWITCH(Table22[[#This Row],[Country]],"USA","North America","Canada","North America","Brazil","South America","China","Asia","Japan","Asia","India","Asia","France","Europe","Germany","Europe","UK","Europe","Australia","Oceania","South America")</f>
        <v>Europe</v>
      </c>
      <c r="D45" s="18" t="s">
        <v>44</v>
      </c>
      <c r="E45" s="18" t="s">
        <v>19</v>
      </c>
      <c r="F45" s="18" t="s">
        <v>47</v>
      </c>
      <c r="G45" s="18" t="s">
        <v>22</v>
      </c>
      <c r="H45" s="64">
        <f>LEN(TRIM(Table22[[#This Row],[Country]]))</f>
        <v>7</v>
      </c>
      <c r="I45" s="64">
        <f>LEN(TRIM(Table22[[#This Row],[Continent]]))</f>
        <v>6</v>
      </c>
      <c r="J45" s="64">
        <f>LEN(TRIM(Table22[[#This Row],[Product]]))</f>
        <v>6</v>
      </c>
      <c r="K45" s="64">
        <f>LEN(TRIM(Table22[[#This Row],[Sales Team]]))</f>
        <v>10</v>
      </c>
      <c r="L45" s="23">
        <v>81</v>
      </c>
      <c r="M45" s="65" t="str" cm="1">
        <f t="array" ref="M45">_xlfn.IFS(Table22[[#This Row],[Units Sold]]&lt;40,"Critical",Table22[[#This Row],[Units Sold]]&lt;=50,"Poor",Table22[[#This Row],[Units Sold]]&lt;=60,"Low",Table22[[#This Row],[Units Sold]]&lt;=80,"Average",Table22[[#This Row],[Units Sold]]&lt;=90,"High",Table22[[#This Row],[Units Sold]]&lt;=95,"Excellent",Table22[[#This Row],[Units Sold]]&gt;95,"Outstanding")</f>
        <v>High</v>
      </c>
      <c r="N45" s="29">
        <v>1481.27</v>
      </c>
      <c r="O45" s="29">
        <v>119982.87</v>
      </c>
      <c r="P45" s="43">
        <f>IF(Table22[[#This Row],[Discount Applied]],Table22[[#This Row],[Total Sales (in USD)]]*(1-Table22[[#This Row],[Discount Percentage (%)]]/100),Table22[[#This Row],[Total Sales (in USD)]])</f>
        <v>86327.674964999998</v>
      </c>
      <c r="Q45" s="66">
        <f>SQRT(AVERAGE((Table22[[#This Row],[Net Sales (after discount) (in USD)]]-AVERAGE(Table22[Net Sales (after discount) (in USD)]))^2))</f>
        <v>49816.314401235461</v>
      </c>
      <c r="R45" s="18" t="b">
        <v>1</v>
      </c>
      <c r="S45" s="40">
        <v>28.05</v>
      </c>
      <c r="T45" s="18" t="b">
        <v>1</v>
      </c>
      <c r="U45" s="25">
        <v>44995</v>
      </c>
      <c r="V45" s="63" t="str">
        <f>IF(MONTH(Table22[[#This Row],[Sales Date]])&lt;=3,"Q1",IF(MONTH(Table22[[#This Row],[Sales Date]])&lt;=6,"Q2",IF(MONTH(Table22[[#This Row],[Sales Date]])&lt;=9,"Q3","Q4")))</f>
        <v>Q1</v>
      </c>
      <c r="W45" s="64">
        <f>YEAR(Table22[[#This Row],[Sales Date]])</f>
        <v>2023</v>
      </c>
      <c r="X45" s="23">
        <v>19</v>
      </c>
      <c r="Y45" s="18" t="s">
        <v>49</v>
      </c>
      <c r="Z45" s="18" t="s">
        <v>24</v>
      </c>
      <c r="AA45" s="19" t="s">
        <v>36</v>
      </c>
    </row>
    <row r="46" spans="1:27" x14ac:dyDescent="0.25">
      <c r="A46" s="17" t="s">
        <v>941</v>
      </c>
      <c r="B46" s="18" t="s">
        <v>32</v>
      </c>
      <c r="C46" s="63" t="str" cm="1">
        <f t="array" ref="C46">_xlfn.SWITCH(Table22[[#This Row],[Country]],"USA","North America","Canada","North America","Brazil","South America","China","Asia","Japan","Asia","India","Asia","France","Europe","Germany","Europe","UK","Europe","Australia","Oceania","South America")</f>
        <v>Asia</v>
      </c>
      <c r="D46" s="18" t="s">
        <v>44</v>
      </c>
      <c r="E46" s="18" t="s">
        <v>39</v>
      </c>
      <c r="F46" s="18" t="s">
        <v>34</v>
      </c>
      <c r="G46" s="18" t="s">
        <v>48</v>
      </c>
      <c r="H46" s="64">
        <f>LEN(TRIM(Table22[[#This Row],[Country]]))</f>
        <v>5</v>
      </c>
      <c r="I46" s="64">
        <f>LEN(TRIM(Table22[[#This Row],[Continent]]))</f>
        <v>4</v>
      </c>
      <c r="J46" s="64">
        <f>LEN(TRIM(Table22[[#This Row],[Product]]))</f>
        <v>10</v>
      </c>
      <c r="K46" s="64">
        <f>LEN(TRIM(Table22[[#This Row],[Sales Team]]))</f>
        <v>9</v>
      </c>
      <c r="L46" s="23">
        <v>92</v>
      </c>
      <c r="M46" s="65" t="str" cm="1">
        <f t="array" ref="M46">_xlfn.IFS(Table22[[#This Row],[Units Sold]]&lt;40,"Critical",Table22[[#This Row],[Units Sold]]&lt;=50,"Poor",Table22[[#This Row],[Units Sold]]&lt;=60,"Low",Table22[[#This Row],[Units Sold]]&lt;=80,"Average",Table22[[#This Row],[Units Sold]]&lt;=90,"High",Table22[[#This Row],[Units Sold]]&lt;=95,"Excellent",Table22[[#This Row],[Units Sold]]&gt;95,"Outstanding")</f>
        <v>Excellent</v>
      </c>
      <c r="N46" s="29">
        <v>1302.1400000000001</v>
      </c>
      <c r="O46" s="29">
        <v>119796.88</v>
      </c>
      <c r="P46" s="43">
        <f>IF(Table22[[#This Row],[Discount Applied]],Table22[[#This Row],[Total Sales (in USD)]]*(1-Table22[[#This Row],[Discount Percentage (%)]]/100),Table22[[#This Row],[Total Sales (in USD)]])</f>
        <v>90590.400655999998</v>
      </c>
      <c r="Q46" s="66">
        <f>SQRT(AVERAGE((Table22[[#This Row],[Net Sales (after discount) (in USD)]]-AVERAGE(Table22[Net Sales (after discount) (in USD)]))^2))</f>
        <v>54079.04009223546</v>
      </c>
      <c r="R46" s="18" t="b">
        <v>1</v>
      </c>
      <c r="S46" s="40">
        <v>24.38</v>
      </c>
      <c r="T46" s="18" t="b">
        <v>1</v>
      </c>
      <c r="U46" s="25">
        <v>45464</v>
      </c>
      <c r="V46" s="63" t="str">
        <f>IF(MONTH(Table22[[#This Row],[Sales Date]])&lt;=3,"Q1",IF(MONTH(Table22[[#This Row],[Sales Date]])&lt;=6,"Q2",IF(MONTH(Table22[[#This Row],[Sales Date]])&lt;=9,"Q3","Q4")))</f>
        <v>Q2</v>
      </c>
      <c r="W46" s="64">
        <f>YEAR(Table22[[#This Row],[Sales Date]])</f>
        <v>2024</v>
      </c>
      <c r="X46" s="23">
        <v>29</v>
      </c>
      <c r="Y46" s="18" t="s">
        <v>23</v>
      </c>
      <c r="Z46" s="18" t="s">
        <v>24</v>
      </c>
      <c r="AA46" s="19" t="s">
        <v>25</v>
      </c>
    </row>
    <row r="47" spans="1:27" x14ac:dyDescent="0.25">
      <c r="A47" s="17" t="s">
        <v>1517</v>
      </c>
      <c r="B47" s="18" t="s">
        <v>76</v>
      </c>
      <c r="C47" s="63" t="str" cm="1">
        <f t="array" ref="C47">_xlfn.SWITCH(Table22[[#This Row],[Country]],"USA","North America","Canada","North America","Brazil","South America","China","Asia","Japan","Asia","India","Asia","France","Europe","Germany","Europe","UK","Europe","Australia","Oceania","South America")</f>
        <v>Asia</v>
      </c>
      <c r="D47" s="18" t="s">
        <v>35</v>
      </c>
      <c r="E47" s="18" t="s">
        <v>39</v>
      </c>
      <c r="F47" s="18" t="s">
        <v>34</v>
      </c>
      <c r="G47" s="18" t="s">
        <v>40</v>
      </c>
      <c r="H47" s="64">
        <f>LEN(TRIM(Table22[[#This Row],[Country]]))</f>
        <v>5</v>
      </c>
      <c r="I47" s="64">
        <f>LEN(TRIM(Table22[[#This Row],[Continent]]))</f>
        <v>4</v>
      </c>
      <c r="J47" s="64">
        <f>LEN(TRIM(Table22[[#This Row],[Product]]))</f>
        <v>10</v>
      </c>
      <c r="K47" s="64">
        <f>LEN(TRIM(Table22[[#This Row],[Sales Team]]))</f>
        <v>10</v>
      </c>
      <c r="L47" s="23">
        <v>97</v>
      </c>
      <c r="M47" s="65" t="str" cm="1">
        <f t="array" ref="M47">_xlfn.IFS(Table22[[#This Row],[Units Sold]]&lt;40,"Critical",Table22[[#This Row],[Units Sold]]&lt;=50,"Poor",Table22[[#This Row],[Units Sold]]&lt;=60,"Low",Table22[[#This Row],[Units Sold]]&lt;=80,"Average",Table22[[#This Row],[Units Sold]]&lt;=90,"High",Table22[[#This Row],[Units Sold]]&lt;=95,"Excellent",Table22[[#This Row],[Units Sold]]&gt;95,"Outstanding")</f>
        <v>Outstanding</v>
      </c>
      <c r="N47" s="29">
        <v>1232.94</v>
      </c>
      <c r="O47" s="29">
        <v>119595.18</v>
      </c>
      <c r="P47" s="43">
        <f>IF(Table22[[#This Row],[Discount Applied]],Table22[[#This Row],[Total Sales (in USD)]]*(1-Table22[[#This Row],[Discount Percentage (%)]]/100),Table22[[#This Row],[Total Sales (in USD)]])</f>
        <v>119236.39446</v>
      </c>
      <c r="Q47" s="66">
        <f>SQRT(AVERAGE((Table22[[#This Row],[Net Sales (after discount) (in USD)]]-AVERAGE(Table22[Net Sales (after discount) (in USD)]))^2))</f>
        <v>82725.033896235458</v>
      </c>
      <c r="R47" s="18" t="b">
        <v>1</v>
      </c>
      <c r="S47" s="40">
        <v>0.3</v>
      </c>
      <c r="T47" s="18" t="b">
        <v>1</v>
      </c>
      <c r="U47" s="25">
        <v>45169</v>
      </c>
      <c r="V47" s="63" t="str">
        <f>IF(MONTH(Table22[[#This Row],[Sales Date]])&lt;=3,"Q1",IF(MONTH(Table22[[#This Row],[Sales Date]])&lt;=6,"Q2",IF(MONTH(Table22[[#This Row],[Sales Date]])&lt;=9,"Q3","Q4")))</f>
        <v>Q3</v>
      </c>
      <c r="W47" s="64">
        <f>YEAR(Table22[[#This Row],[Sales Date]])</f>
        <v>2023</v>
      </c>
      <c r="X47" s="23">
        <v>39</v>
      </c>
      <c r="Y47" s="18" t="s">
        <v>49</v>
      </c>
      <c r="Z47" s="18" t="s">
        <v>56</v>
      </c>
      <c r="AA47" s="19" t="s">
        <v>25</v>
      </c>
    </row>
    <row r="48" spans="1:27" x14ac:dyDescent="0.25">
      <c r="A48" s="17" t="s">
        <v>996</v>
      </c>
      <c r="B48" s="18" t="s">
        <v>51</v>
      </c>
      <c r="C48" s="63" t="str" cm="1">
        <f t="array" ref="C48">_xlfn.SWITCH(Table22[[#This Row],[Country]],"USA","North America","Canada","North America","Brazil","South America","China","Asia","Japan","Asia","India","Asia","France","Europe","Germany","Europe","UK","Europe","Australia","Oceania","South America")</f>
        <v>Europe</v>
      </c>
      <c r="D48" s="18" t="s">
        <v>35</v>
      </c>
      <c r="E48" s="18" t="s">
        <v>33</v>
      </c>
      <c r="F48" s="18" t="s">
        <v>47</v>
      </c>
      <c r="G48" s="18" t="s">
        <v>48</v>
      </c>
      <c r="H48" s="64">
        <f>LEN(TRIM(Table22[[#This Row],[Country]]))</f>
        <v>2</v>
      </c>
      <c r="I48" s="64">
        <f>LEN(TRIM(Table22[[#This Row],[Continent]]))</f>
        <v>6</v>
      </c>
      <c r="J48" s="64">
        <f>LEN(TRIM(Table22[[#This Row],[Product]]))</f>
        <v>10</v>
      </c>
      <c r="K48" s="64">
        <f>LEN(TRIM(Table22[[#This Row],[Sales Team]]))</f>
        <v>9</v>
      </c>
      <c r="L48" s="23">
        <v>98</v>
      </c>
      <c r="M48" s="65" t="str" cm="1">
        <f t="array" ref="M48">_xlfn.IFS(Table22[[#This Row],[Units Sold]]&lt;40,"Critical",Table22[[#This Row],[Units Sold]]&lt;=50,"Poor",Table22[[#This Row],[Units Sold]]&lt;=60,"Low",Table22[[#This Row],[Units Sold]]&lt;=80,"Average",Table22[[#This Row],[Units Sold]]&lt;=90,"High",Table22[[#This Row],[Units Sold]]&lt;=95,"Excellent",Table22[[#This Row],[Units Sold]]&gt;95,"Outstanding")</f>
        <v>Outstanding</v>
      </c>
      <c r="N48" s="29">
        <v>1218.72</v>
      </c>
      <c r="O48" s="29">
        <v>119434.56</v>
      </c>
      <c r="P48" s="43">
        <f>IF(Table22[[#This Row],[Discount Applied]],Table22[[#This Row],[Total Sales (in USD)]]*(1-Table22[[#This Row],[Discount Percentage (%)]]/100),Table22[[#This Row],[Total Sales (in USD)]])</f>
        <v>119434.56</v>
      </c>
      <c r="Q48" s="66">
        <f>SQRT(AVERAGE((Table22[[#This Row],[Net Sales (after discount) (in USD)]]-AVERAGE(Table22[Net Sales (after discount) (in USD)]))^2))</f>
        <v>82923.19943623546</v>
      </c>
      <c r="R48" s="18" t="b">
        <v>1</v>
      </c>
      <c r="S48" s="40">
        <v>23.92</v>
      </c>
      <c r="T48" s="18" t="b">
        <v>0</v>
      </c>
      <c r="U48" s="25">
        <v>45525</v>
      </c>
      <c r="V48" s="63" t="str">
        <f>IF(MONTH(Table22[[#This Row],[Sales Date]])&lt;=3,"Q1",IF(MONTH(Table22[[#This Row],[Sales Date]])&lt;=6,"Q2",IF(MONTH(Table22[[#This Row],[Sales Date]])&lt;=9,"Q3","Q4")))</f>
        <v>Q3</v>
      </c>
      <c r="W48" s="64">
        <f>YEAR(Table22[[#This Row],[Sales Date]])</f>
        <v>2024</v>
      </c>
      <c r="X48" s="23">
        <v>63</v>
      </c>
      <c r="Y48" s="18" t="s">
        <v>41</v>
      </c>
      <c r="Z48" s="18" t="s">
        <v>56</v>
      </c>
      <c r="AA48" s="19" t="s">
        <v>25</v>
      </c>
    </row>
    <row r="49" spans="1:27" x14ac:dyDescent="0.25">
      <c r="A49" s="17" t="s">
        <v>1284</v>
      </c>
      <c r="B49" s="18" t="s">
        <v>18</v>
      </c>
      <c r="C49" s="63" t="str" cm="1">
        <f t="array" ref="C49">_xlfn.SWITCH(Table22[[#This Row],[Country]],"USA","North America","Canada","North America","Brazil","South America","China","Asia","Japan","Asia","India","Asia","France","Europe","Germany","Europe","UK","Europe","Australia","Oceania","South America")</f>
        <v>Asia</v>
      </c>
      <c r="D49" s="18" t="s">
        <v>35</v>
      </c>
      <c r="E49" s="18" t="s">
        <v>33</v>
      </c>
      <c r="F49" s="18" t="s">
        <v>64</v>
      </c>
      <c r="G49" s="18" t="s">
        <v>48</v>
      </c>
      <c r="H49" s="64">
        <f>LEN(TRIM(Table22[[#This Row],[Country]]))</f>
        <v>5</v>
      </c>
      <c r="I49" s="64">
        <f>LEN(TRIM(Table22[[#This Row],[Continent]]))</f>
        <v>4</v>
      </c>
      <c r="J49" s="64">
        <f>LEN(TRIM(Table22[[#This Row],[Product]]))</f>
        <v>10</v>
      </c>
      <c r="K49" s="64">
        <f>LEN(TRIM(Table22[[#This Row],[Sales Team]]))</f>
        <v>9</v>
      </c>
      <c r="L49" s="23">
        <v>85</v>
      </c>
      <c r="M49" s="65" t="str" cm="1">
        <f t="array" ref="M49">_xlfn.IFS(Table22[[#This Row],[Units Sold]]&lt;40,"Critical",Table22[[#This Row],[Units Sold]]&lt;=50,"Poor",Table22[[#This Row],[Units Sold]]&lt;=60,"Low",Table22[[#This Row],[Units Sold]]&lt;=80,"Average",Table22[[#This Row],[Units Sold]]&lt;=90,"High",Table22[[#This Row],[Units Sold]]&lt;=95,"Excellent",Table22[[#This Row],[Units Sold]]&gt;95,"Outstanding")</f>
        <v>High</v>
      </c>
      <c r="N49" s="29">
        <v>1394.96</v>
      </c>
      <c r="O49" s="29">
        <v>118571.6</v>
      </c>
      <c r="P49" s="43">
        <f>IF(Table22[[#This Row],[Discount Applied]],Table22[[#This Row],[Total Sales (in USD)]]*(1-Table22[[#This Row],[Discount Percentage (%)]]/100),Table22[[#This Row],[Total Sales (in USD)]])</f>
        <v>90066.987360000014</v>
      </c>
      <c r="Q49" s="66">
        <f>SQRT(AVERAGE((Table22[[#This Row],[Net Sales (after discount) (in USD)]]-AVERAGE(Table22[Net Sales (after discount) (in USD)]))^2))</f>
        <v>53555.626796235476</v>
      </c>
      <c r="R49" s="18" t="b">
        <v>0</v>
      </c>
      <c r="S49" s="40">
        <v>24.04</v>
      </c>
      <c r="T49" s="18" t="b">
        <v>1</v>
      </c>
      <c r="U49" s="25">
        <v>45255</v>
      </c>
      <c r="V49" s="63" t="str">
        <f>IF(MONTH(Table22[[#This Row],[Sales Date]])&lt;=3,"Q1",IF(MONTH(Table22[[#This Row],[Sales Date]])&lt;=6,"Q2",IF(MONTH(Table22[[#This Row],[Sales Date]])&lt;=9,"Q3","Q4")))</f>
        <v>Q4</v>
      </c>
      <c r="W49" s="64">
        <f>YEAR(Table22[[#This Row],[Sales Date]])</f>
        <v>2023</v>
      </c>
      <c r="X49" s="23">
        <v>56</v>
      </c>
      <c r="Y49" s="18" t="s">
        <v>23</v>
      </c>
      <c r="Z49" s="18" t="s">
        <v>24</v>
      </c>
      <c r="AA49" s="19" t="s">
        <v>25</v>
      </c>
    </row>
    <row r="50" spans="1:27" x14ac:dyDescent="0.25">
      <c r="A50" s="17" t="s">
        <v>83</v>
      </c>
      <c r="B50" s="18" t="s">
        <v>51</v>
      </c>
      <c r="C50" s="63" t="str" cm="1">
        <f t="array" ref="C50">_xlfn.SWITCH(Table22[[#This Row],[Country]],"USA","North America","Canada","North America","Brazil","South America","China","Asia","Japan","Asia","India","Asia","France","Europe","Germany","Europe","UK","Europe","Australia","Oceania","South America")</f>
        <v>Europe</v>
      </c>
      <c r="D50" s="18" t="s">
        <v>21</v>
      </c>
      <c r="E50" s="18" t="s">
        <v>19</v>
      </c>
      <c r="F50" s="18" t="s">
        <v>47</v>
      </c>
      <c r="G50" s="18" t="s">
        <v>40</v>
      </c>
      <c r="H50" s="64">
        <f>LEN(TRIM(Table22[[#This Row],[Country]]))</f>
        <v>2</v>
      </c>
      <c r="I50" s="64">
        <f>LEN(TRIM(Table22[[#This Row],[Continent]]))</f>
        <v>6</v>
      </c>
      <c r="J50" s="64">
        <f>LEN(TRIM(Table22[[#This Row],[Product]]))</f>
        <v>6</v>
      </c>
      <c r="K50" s="64">
        <f>LEN(TRIM(Table22[[#This Row],[Sales Team]]))</f>
        <v>10</v>
      </c>
      <c r="L50" s="23">
        <v>86</v>
      </c>
      <c r="M50" s="65" t="str" cm="1">
        <f t="array" ref="M50">_xlfn.IFS(Table22[[#This Row],[Units Sold]]&lt;40,"Critical",Table22[[#This Row],[Units Sold]]&lt;=50,"Poor",Table22[[#This Row],[Units Sold]]&lt;=60,"Low",Table22[[#This Row],[Units Sold]]&lt;=80,"Average",Table22[[#This Row],[Units Sold]]&lt;=90,"High",Table22[[#This Row],[Units Sold]]&lt;=95,"Excellent",Table22[[#This Row],[Units Sold]]&gt;95,"Outstanding")</f>
        <v>High</v>
      </c>
      <c r="N50" s="29">
        <v>1373.54</v>
      </c>
      <c r="O50" s="29">
        <v>118124.44</v>
      </c>
      <c r="P50" s="43">
        <f>IF(Table22[[#This Row],[Discount Applied]],Table22[[#This Row],[Total Sales (in USD)]]*(1-Table22[[#This Row],[Discount Percentage (%)]]/100),Table22[[#This Row],[Total Sales (in USD)]])</f>
        <v>118124.44</v>
      </c>
      <c r="Q50" s="66">
        <f>SQRT(AVERAGE((Table22[[#This Row],[Net Sales (after discount) (in USD)]]-AVERAGE(Table22[Net Sales (after discount) (in USD)]))^2))</f>
        <v>81613.079436235465</v>
      </c>
      <c r="R50" s="18" t="b">
        <v>0</v>
      </c>
      <c r="S50" s="40">
        <v>20.14</v>
      </c>
      <c r="T50" s="18" t="b">
        <v>0</v>
      </c>
      <c r="U50" s="25">
        <v>45005</v>
      </c>
      <c r="V50" s="63" t="str">
        <f>IF(MONTH(Table22[[#This Row],[Sales Date]])&lt;=3,"Q1",IF(MONTH(Table22[[#This Row],[Sales Date]])&lt;=6,"Q2",IF(MONTH(Table22[[#This Row],[Sales Date]])&lt;=9,"Q3","Q4")))</f>
        <v>Q1</v>
      </c>
      <c r="W50" s="64">
        <f>YEAR(Table22[[#This Row],[Sales Date]])</f>
        <v>2023</v>
      </c>
      <c r="X50" s="23">
        <v>40</v>
      </c>
      <c r="Y50" s="18" t="s">
        <v>49</v>
      </c>
      <c r="Z50" s="18" t="s">
        <v>42</v>
      </c>
      <c r="AA50" s="19" t="s">
        <v>36</v>
      </c>
    </row>
    <row r="51" spans="1:27" x14ac:dyDescent="0.25">
      <c r="A51" s="17" t="s">
        <v>1745</v>
      </c>
      <c r="B51" s="18" t="s">
        <v>66</v>
      </c>
      <c r="C51" s="63" t="str" cm="1">
        <f t="array" ref="C51">_xlfn.SWITCH(Table22[[#This Row],[Country]],"USA","North America","Canada","North America","Brazil","South America","China","Asia","Japan","Asia","India","Asia","France","Europe","Germany","Europe","UK","Europe","Australia","Oceania","South America")</f>
        <v>North America</v>
      </c>
      <c r="D51" s="18" t="s">
        <v>35</v>
      </c>
      <c r="E51" s="18" t="s">
        <v>39</v>
      </c>
      <c r="F51" s="18" t="s">
        <v>20</v>
      </c>
      <c r="G51" s="18" t="s">
        <v>22</v>
      </c>
      <c r="H51" s="64">
        <f>LEN(TRIM(Table22[[#This Row],[Country]]))</f>
        <v>6</v>
      </c>
      <c r="I51" s="64">
        <f>LEN(TRIM(Table22[[#This Row],[Continent]]))</f>
        <v>13</v>
      </c>
      <c r="J51" s="64">
        <f>LEN(TRIM(Table22[[#This Row],[Product]]))</f>
        <v>10</v>
      </c>
      <c r="K51" s="64">
        <f>LEN(TRIM(Table22[[#This Row],[Sales Team]]))</f>
        <v>10</v>
      </c>
      <c r="L51" s="23">
        <v>82</v>
      </c>
      <c r="M51" s="65" t="str" cm="1">
        <f t="array" ref="M51">_xlfn.IFS(Table22[[#This Row],[Units Sold]]&lt;40,"Critical",Table22[[#This Row],[Units Sold]]&lt;=50,"Poor",Table22[[#This Row],[Units Sold]]&lt;=60,"Low",Table22[[#This Row],[Units Sold]]&lt;=80,"Average",Table22[[#This Row],[Units Sold]]&lt;=90,"High",Table22[[#This Row],[Units Sold]]&lt;=95,"Excellent",Table22[[#This Row],[Units Sold]]&gt;95,"Outstanding")</f>
        <v>High</v>
      </c>
      <c r="N51" s="29">
        <v>1439.89</v>
      </c>
      <c r="O51" s="29">
        <v>118070.98</v>
      </c>
      <c r="P51" s="43">
        <f>IF(Table22[[#This Row],[Discount Applied]],Table22[[#This Row],[Total Sales (in USD)]]*(1-Table22[[#This Row],[Discount Percentage (%)]]/100),Table22[[#This Row],[Total Sales (in USD)]])</f>
        <v>118070.98</v>
      </c>
      <c r="Q51" s="66">
        <f>SQRT(AVERAGE((Table22[[#This Row],[Net Sales (after discount) (in USD)]]-AVERAGE(Table22[Net Sales (after discount) (in USD)]))^2))</f>
        <v>81559.619436235458</v>
      </c>
      <c r="R51" s="18" t="b">
        <v>1</v>
      </c>
      <c r="S51" s="40">
        <v>13.51</v>
      </c>
      <c r="T51" s="18" t="b">
        <v>0</v>
      </c>
      <c r="U51" s="25">
        <v>45077</v>
      </c>
      <c r="V51" s="63" t="str">
        <f>IF(MONTH(Table22[[#This Row],[Sales Date]])&lt;=3,"Q1",IF(MONTH(Table22[[#This Row],[Sales Date]])&lt;=6,"Q2",IF(MONTH(Table22[[#This Row],[Sales Date]])&lt;=9,"Q3","Q4")))</f>
        <v>Q2</v>
      </c>
      <c r="W51" s="64">
        <f>YEAR(Table22[[#This Row],[Sales Date]])</f>
        <v>2023</v>
      </c>
      <c r="X51" s="23">
        <v>69</v>
      </c>
      <c r="Y51" s="18" t="s">
        <v>41</v>
      </c>
      <c r="Z51" s="18" t="s">
        <v>24</v>
      </c>
      <c r="AA51" s="19" t="s">
        <v>25</v>
      </c>
    </row>
    <row r="52" spans="1:27" x14ac:dyDescent="0.25">
      <c r="A52" s="17" t="s">
        <v>1514</v>
      </c>
      <c r="B52" s="18" t="s">
        <v>51</v>
      </c>
      <c r="C52" s="63" t="str" cm="1">
        <f t="array" ref="C52">_xlfn.SWITCH(Table22[[#This Row],[Country]],"USA","North America","Canada","North America","Brazil","South America","China","Asia","Japan","Asia","India","Asia","France","Europe","Germany","Europe","UK","Europe","Australia","Oceania","South America")</f>
        <v>Europe</v>
      </c>
      <c r="D52" s="18" t="s">
        <v>44</v>
      </c>
      <c r="E52" s="18" t="s">
        <v>33</v>
      </c>
      <c r="F52" s="18" t="s">
        <v>34</v>
      </c>
      <c r="G52" s="18" t="s">
        <v>22</v>
      </c>
      <c r="H52" s="64">
        <f>LEN(TRIM(Table22[[#This Row],[Country]]))</f>
        <v>2</v>
      </c>
      <c r="I52" s="64">
        <f>LEN(TRIM(Table22[[#This Row],[Continent]]))</f>
        <v>6</v>
      </c>
      <c r="J52" s="64">
        <f>LEN(TRIM(Table22[[#This Row],[Product]]))</f>
        <v>10</v>
      </c>
      <c r="K52" s="64">
        <f>LEN(TRIM(Table22[[#This Row],[Sales Team]]))</f>
        <v>10</v>
      </c>
      <c r="L52" s="23">
        <v>87</v>
      </c>
      <c r="M52" s="65" t="str" cm="1">
        <f t="array" ref="M52">_xlfn.IFS(Table22[[#This Row],[Units Sold]]&lt;40,"Critical",Table22[[#This Row],[Units Sold]]&lt;=50,"Poor",Table22[[#This Row],[Units Sold]]&lt;=60,"Low",Table22[[#This Row],[Units Sold]]&lt;=80,"Average",Table22[[#This Row],[Units Sold]]&lt;=90,"High",Table22[[#This Row],[Units Sold]]&lt;=95,"Excellent",Table22[[#This Row],[Units Sold]]&gt;95,"Outstanding")</f>
        <v>High</v>
      </c>
      <c r="N52" s="29">
        <v>1345.24</v>
      </c>
      <c r="O52" s="29">
        <v>117035.88</v>
      </c>
      <c r="P52" s="43">
        <f>IF(Table22[[#This Row],[Discount Applied]],Table22[[#This Row],[Total Sales (in USD)]]*(1-Table22[[#This Row],[Discount Percentage (%)]]/100),Table22[[#This Row],[Total Sales (in USD)]])</f>
        <v>117035.88</v>
      </c>
      <c r="Q52" s="66">
        <f>SQRT(AVERAGE((Table22[[#This Row],[Net Sales (after discount) (in USD)]]-AVERAGE(Table22[Net Sales (after discount) (in USD)]))^2))</f>
        <v>80524.519436235467</v>
      </c>
      <c r="R52" s="18" t="b">
        <v>0</v>
      </c>
      <c r="S52" s="40">
        <v>12.32</v>
      </c>
      <c r="T52" s="18" t="b">
        <v>0</v>
      </c>
      <c r="U52" s="25">
        <v>45154</v>
      </c>
      <c r="V52" s="63" t="str">
        <f>IF(MONTH(Table22[[#This Row],[Sales Date]])&lt;=3,"Q1",IF(MONTH(Table22[[#This Row],[Sales Date]])&lt;=6,"Q2",IF(MONTH(Table22[[#This Row],[Sales Date]])&lt;=9,"Q3","Q4")))</f>
        <v>Q3</v>
      </c>
      <c r="W52" s="64">
        <f>YEAR(Table22[[#This Row],[Sales Date]])</f>
        <v>2023</v>
      </c>
      <c r="X52" s="23">
        <v>66</v>
      </c>
      <c r="Y52" s="18" t="s">
        <v>23</v>
      </c>
      <c r="Z52" s="18" t="s">
        <v>30</v>
      </c>
      <c r="AA52" s="19" t="s">
        <v>25</v>
      </c>
    </row>
    <row r="53" spans="1:27" x14ac:dyDescent="0.25">
      <c r="A53" s="17" t="s">
        <v>958</v>
      </c>
      <c r="B53" s="18" t="s">
        <v>76</v>
      </c>
      <c r="C53" s="63" t="str" cm="1">
        <f t="array" ref="C53">_xlfn.SWITCH(Table22[[#This Row],[Country]],"USA","North America","Canada","North America","Brazil","South America","China","Asia","Japan","Asia","India","Asia","France","Europe","Germany","Europe","UK","Europe","Australia","Oceania","South America")</f>
        <v>Asia</v>
      </c>
      <c r="D53" s="18" t="s">
        <v>44</v>
      </c>
      <c r="E53" s="18" t="s">
        <v>39</v>
      </c>
      <c r="F53" s="18" t="s">
        <v>52</v>
      </c>
      <c r="G53" s="18" t="s">
        <v>22</v>
      </c>
      <c r="H53" s="64">
        <f>LEN(TRIM(Table22[[#This Row],[Country]]))</f>
        <v>5</v>
      </c>
      <c r="I53" s="64">
        <f>LEN(TRIM(Table22[[#This Row],[Continent]]))</f>
        <v>4</v>
      </c>
      <c r="J53" s="64">
        <f>LEN(TRIM(Table22[[#This Row],[Product]]))</f>
        <v>10</v>
      </c>
      <c r="K53" s="64">
        <f>LEN(TRIM(Table22[[#This Row],[Sales Team]]))</f>
        <v>10</v>
      </c>
      <c r="L53" s="23">
        <v>82</v>
      </c>
      <c r="M53" s="65" t="str" cm="1">
        <f t="array" ref="M53">_xlfn.IFS(Table22[[#This Row],[Units Sold]]&lt;40,"Critical",Table22[[#This Row],[Units Sold]]&lt;=50,"Poor",Table22[[#This Row],[Units Sold]]&lt;=60,"Low",Table22[[#This Row],[Units Sold]]&lt;=80,"Average",Table22[[#This Row],[Units Sold]]&lt;=90,"High",Table22[[#This Row],[Units Sold]]&lt;=95,"Excellent",Table22[[#This Row],[Units Sold]]&gt;95,"Outstanding")</f>
        <v>High</v>
      </c>
      <c r="N53" s="29">
        <v>1416.77</v>
      </c>
      <c r="O53" s="29">
        <v>116175.14</v>
      </c>
      <c r="P53" s="43">
        <f>IF(Table22[[#This Row],[Discount Applied]],Table22[[#This Row],[Total Sales (in USD)]]*(1-Table22[[#This Row],[Discount Percentage (%)]]/100),Table22[[#This Row],[Total Sales (in USD)]])</f>
        <v>116175.14</v>
      </c>
      <c r="Q53" s="66">
        <f>SQRT(AVERAGE((Table22[[#This Row],[Net Sales (after discount) (in USD)]]-AVERAGE(Table22[Net Sales (after discount) (in USD)]))^2))</f>
        <v>79663.779436235462</v>
      </c>
      <c r="R53" s="18" t="b">
        <v>0</v>
      </c>
      <c r="S53" s="40">
        <v>18.13</v>
      </c>
      <c r="T53" s="18" t="b">
        <v>0</v>
      </c>
      <c r="U53" s="25">
        <v>45011</v>
      </c>
      <c r="V53" s="63" t="str">
        <f>IF(MONTH(Table22[[#This Row],[Sales Date]])&lt;=3,"Q1",IF(MONTH(Table22[[#This Row],[Sales Date]])&lt;=6,"Q2",IF(MONTH(Table22[[#This Row],[Sales Date]])&lt;=9,"Q3","Q4")))</f>
        <v>Q1</v>
      </c>
      <c r="W53" s="64">
        <f>YEAR(Table22[[#This Row],[Sales Date]])</f>
        <v>2023</v>
      </c>
      <c r="X53" s="23">
        <v>52</v>
      </c>
      <c r="Y53" s="18" t="s">
        <v>23</v>
      </c>
      <c r="Z53" s="18" t="s">
        <v>56</v>
      </c>
      <c r="AA53" s="19" t="s">
        <v>25</v>
      </c>
    </row>
    <row r="54" spans="1:27" x14ac:dyDescent="0.25">
      <c r="A54" s="17" t="s">
        <v>1649</v>
      </c>
      <c r="B54" s="18" t="s">
        <v>76</v>
      </c>
      <c r="C54" s="63" t="str" cm="1">
        <f t="array" ref="C54">_xlfn.SWITCH(Table22[[#This Row],[Country]],"USA","North America","Canada","North America","Brazil","South America","China","Asia","Japan","Asia","India","Asia","France","Europe","Germany","Europe","UK","Europe","Australia","Oceania","South America")</f>
        <v>Asia</v>
      </c>
      <c r="D54" s="18" t="s">
        <v>21</v>
      </c>
      <c r="E54" s="18" t="s">
        <v>19</v>
      </c>
      <c r="F54" s="18" t="s">
        <v>34</v>
      </c>
      <c r="G54" s="18" t="s">
        <v>22</v>
      </c>
      <c r="H54" s="64">
        <f>LEN(TRIM(Table22[[#This Row],[Country]]))</f>
        <v>5</v>
      </c>
      <c r="I54" s="64">
        <f>LEN(TRIM(Table22[[#This Row],[Continent]]))</f>
        <v>4</v>
      </c>
      <c r="J54" s="64">
        <f>LEN(TRIM(Table22[[#This Row],[Product]]))</f>
        <v>6</v>
      </c>
      <c r="K54" s="64">
        <f>LEN(TRIM(Table22[[#This Row],[Sales Team]]))</f>
        <v>10</v>
      </c>
      <c r="L54" s="23">
        <v>86</v>
      </c>
      <c r="M54" s="65" t="str" cm="1">
        <f t="array" ref="M54">_xlfn.IFS(Table22[[#This Row],[Units Sold]]&lt;40,"Critical",Table22[[#This Row],[Units Sold]]&lt;=50,"Poor",Table22[[#This Row],[Units Sold]]&lt;=60,"Low",Table22[[#This Row],[Units Sold]]&lt;=80,"Average",Table22[[#This Row],[Units Sold]]&lt;=90,"High",Table22[[#This Row],[Units Sold]]&lt;=95,"Excellent",Table22[[#This Row],[Units Sold]]&gt;95,"Outstanding")</f>
        <v>High</v>
      </c>
      <c r="N54" s="29">
        <v>1350.03</v>
      </c>
      <c r="O54" s="29">
        <v>116102.58</v>
      </c>
      <c r="P54" s="43">
        <f>IF(Table22[[#This Row],[Discount Applied]],Table22[[#This Row],[Total Sales (in USD)]]*(1-Table22[[#This Row],[Discount Percentage (%)]]/100),Table22[[#This Row],[Total Sales (in USD)]])</f>
        <v>116102.58</v>
      </c>
      <c r="Q54" s="66">
        <f>SQRT(AVERAGE((Table22[[#This Row],[Net Sales (after discount) (in USD)]]-AVERAGE(Table22[Net Sales (after discount) (in USD)]))^2))</f>
        <v>79591.219436235464</v>
      </c>
      <c r="R54" s="18" t="b">
        <v>0</v>
      </c>
      <c r="S54" s="40">
        <v>25.07</v>
      </c>
      <c r="T54" s="18" t="b">
        <v>0</v>
      </c>
      <c r="U54" s="25">
        <v>45453</v>
      </c>
      <c r="V54" s="63" t="str">
        <f>IF(MONTH(Table22[[#This Row],[Sales Date]])&lt;=3,"Q1",IF(MONTH(Table22[[#This Row],[Sales Date]])&lt;=6,"Q2",IF(MONTH(Table22[[#This Row],[Sales Date]])&lt;=9,"Q3","Q4")))</f>
        <v>Q2</v>
      </c>
      <c r="W54" s="64">
        <f>YEAR(Table22[[#This Row],[Sales Date]])</f>
        <v>2024</v>
      </c>
      <c r="X54" s="23">
        <v>36</v>
      </c>
      <c r="Y54" s="18" t="s">
        <v>23</v>
      </c>
      <c r="Z54" s="18" t="s">
        <v>30</v>
      </c>
      <c r="AA54" s="19" t="s">
        <v>36</v>
      </c>
    </row>
    <row r="55" spans="1:27" x14ac:dyDescent="0.25">
      <c r="A55" s="17" t="s">
        <v>1873</v>
      </c>
      <c r="B55" s="18" t="s">
        <v>18</v>
      </c>
      <c r="C55" s="63" t="str" cm="1">
        <f t="array" ref="C55">_xlfn.SWITCH(Table22[[#This Row],[Country]],"USA","North America","Canada","North America","Brazil","South America","China","Asia","Japan","Asia","India","Asia","France","Europe","Germany","Europe","UK","Europe","Australia","Oceania","South America")</f>
        <v>Asia</v>
      </c>
      <c r="D55" s="18" t="s">
        <v>35</v>
      </c>
      <c r="E55" s="18" t="s">
        <v>39</v>
      </c>
      <c r="F55" s="18" t="s">
        <v>52</v>
      </c>
      <c r="G55" s="18" t="s">
        <v>29</v>
      </c>
      <c r="H55" s="64">
        <f>LEN(TRIM(Table22[[#This Row],[Country]]))</f>
        <v>5</v>
      </c>
      <c r="I55" s="64">
        <f>LEN(TRIM(Table22[[#This Row],[Continent]]))</f>
        <v>4</v>
      </c>
      <c r="J55" s="64">
        <f>LEN(TRIM(Table22[[#This Row],[Product]]))</f>
        <v>10</v>
      </c>
      <c r="K55" s="64">
        <f>LEN(TRIM(Table22[[#This Row],[Sales Team]]))</f>
        <v>10</v>
      </c>
      <c r="L55" s="23">
        <v>95</v>
      </c>
      <c r="M55" s="65" t="str" cm="1">
        <f t="array" ref="M55">_xlfn.IFS(Table22[[#This Row],[Units Sold]]&lt;40,"Critical",Table22[[#This Row],[Units Sold]]&lt;=50,"Poor",Table22[[#This Row],[Units Sold]]&lt;=60,"Low",Table22[[#This Row],[Units Sold]]&lt;=80,"Average",Table22[[#This Row],[Units Sold]]&lt;=90,"High",Table22[[#This Row],[Units Sold]]&lt;=95,"Excellent",Table22[[#This Row],[Units Sold]]&gt;95,"Outstanding")</f>
        <v>Excellent</v>
      </c>
      <c r="N55" s="29">
        <v>1214.43</v>
      </c>
      <c r="O55" s="29">
        <v>115370.85</v>
      </c>
      <c r="P55" s="43">
        <f>IF(Table22[[#This Row],[Discount Applied]],Table22[[#This Row],[Total Sales (in USD)]]*(1-Table22[[#This Row],[Discount Percentage (%)]]/100),Table22[[#This Row],[Total Sales (in USD)]])</f>
        <v>110144.550495</v>
      </c>
      <c r="Q55" s="66">
        <f>SQRT(AVERAGE((Table22[[#This Row],[Net Sales (after discount) (in USD)]]-AVERAGE(Table22[Net Sales (after discount) (in USD)]))^2))</f>
        <v>73633.189931235465</v>
      </c>
      <c r="R55" s="18" t="b">
        <v>0</v>
      </c>
      <c r="S55" s="40">
        <v>4.53</v>
      </c>
      <c r="T55" s="18" t="b">
        <v>1</v>
      </c>
      <c r="U55" s="25">
        <v>45140</v>
      </c>
      <c r="V55" s="63" t="str">
        <f>IF(MONTH(Table22[[#This Row],[Sales Date]])&lt;=3,"Q1",IF(MONTH(Table22[[#This Row],[Sales Date]])&lt;=6,"Q2",IF(MONTH(Table22[[#This Row],[Sales Date]])&lt;=9,"Q3","Q4")))</f>
        <v>Q3</v>
      </c>
      <c r="W55" s="64">
        <f>YEAR(Table22[[#This Row],[Sales Date]])</f>
        <v>2023</v>
      </c>
      <c r="X55" s="23">
        <v>68</v>
      </c>
      <c r="Y55" s="18" t="s">
        <v>41</v>
      </c>
      <c r="Z55" s="18" t="s">
        <v>56</v>
      </c>
      <c r="AA55" s="19" t="s">
        <v>25</v>
      </c>
    </row>
    <row r="56" spans="1:27" x14ac:dyDescent="0.25">
      <c r="A56" s="17" t="s">
        <v>1096</v>
      </c>
      <c r="B56" s="18" t="s">
        <v>46</v>
      </c>
      <c r="C56" s="63" t="str" cm="1">
        <f t="array" ref="C56">_xlfn.SWITCH(Table22[[#This Row],[Country]],"USA","North America","Canada","North America","Brazil","South America","China","Asia","Japan","Asia","India","Asia","France","Europe","Germany","Europe","UK","Europe","Australia","Oceania","South America")</f>
        <v>South America</v>
      </c>
      <c r="D56" s="18" t="s">
        <v>35</v>
      </c>
      <c r="E56" s="18" t="s">
        <v>33</v>
      </c>
      <c r="F56" s="18" t="s">
        <v>47</v>
      </c>
      <c r="G56" s="18" t="s">
        <v>22</v>
      </c>
      <c r="H56" s="64">
        <f>LEN(TRIM(Table22[[#This Row],[Country]]))</f>
        <v>6</v>
      </c>
      <c r="I56" s="64">
        <f>LEN(TRIM(Table22[[#This Row],[Continent]]))</f>
        <v>13</v>
      </c>
      <c r="J56" s="64">
        <f>LEN(TRIM(Table22[[#This Row],[Product]]))</f>
        <v>10</v>
      </c>
      <c r="K56" s="64">
        <f>LEN(TRIM(Table22[[#This Row],[Sales Team]]))</f>
        <v>10</v>
      </c>
      <c r="L56" s="23">
        <v>91</v>
      </c>
      <c r="M56" s="65" t="str" cm="1">
        <f t="array" ref="M56">_xlfn.IFS(Table22[[#This Row],[Units Sold]]&lt;40,"Critical",Table22[[#This Row],[Units Sold]]&lt;=50,"Poor",Table22[[#This Row],[Units Sold]]&lt;=60,"Low",Table22[[#This Row],[Units Sold]]&lt;=80,"Average",Table22[[#This Row],[Units Sold]]&lt;=90,"High",Table22[[#This Row],[Units Sold]]&lt;=95,"Excellent",Table22[[#This Row],[Units Sold]]&gt;95,"Outstanding")</f>
        <v>Excellent</v>
      </c>
      <c r="N56" s="29">
        <v>1261.57</v>
      </c>
      <c r="O56" s="29">
        <v>114802.87</v>
      </c>
      <c r="P56" s="43">
        <f>IF(Table22[[#This Row],[Discount Applied]],Table22[[#This Row],[Total Sales (in USD)]]*(1-Table22[[#This Row],[Discount Percentage (%)]]/100),Table22[[#This Row],[Total Sales (in USD)]])</f>
        <v>114802.87</v>
      </c>
      <c r="Q56" s="66">
        <f>SQRT(AVERAGE((Table22[[#This Row],[Net Sales (after discount) (in USD)]]-AVERAGE(Table22[Net Sales (after discount) (in USD)]))^2))</f>
        <v>78291.509436235458</v>
      </c>
      <c r="R56" s="18" t="b">
        <v>0</v>
      </c>
      <c r="S56" s="40">
        <v>10.59</v>
      </c>
      <c r="T56" s="18" t="b">
        <v>0</v>
      </c>
      <c r="U56" s="25">
        <v>45357</v>
      </c>
      <c r="V56" s="63" t="str">
        <f>IF(MONTH(Table22[[#This Row],[Sales Date]])&lt;=3,"Q1",IF(MONTH(Table22[[#This Row],[Sales Date]])&lt;=6,"Q2",IF(MONTH(Table22[[#This Row],[Sales Date]])&lt;=9,"Q3","Q4")))</f>
        <v>Q1</v>
      </c>
      <c r="W56" s="64">
        <f>YEAR(Table22[[#This Row],[Sales Date]])</f>
        <v>2024</v>
      </c>
      <c r="X56" s="23">
        <v>32</v>
      </c>
      <c r="Y56" s="18" t="s">
        <v>49</v>
      </c>
      <c r="Z56" s="18" t="s">
        <v>24</v>
      </c>
      <c r="AA56" s="19" t="s">
        <v>36</v>
      </c>
    </row>
    <row r="57" spans="1:27" x14ac:dyDescent="0.25">
      <c r="A57" s="17" t="s">
        <v>53</v>
      </c>
      <c r="B57" s="18" t="s">
        <v>18</v>
      </c>
      <c r="C57" s="63" t="str" cm="1">
        <f t="array" ref="C57">_xlfn.SWITCH(Table22[[#This Row],[Country]],"USA","North America","Canada","North America","Brazil","South America","China","Asia","Japan","Asia","India","Asia","France","Europe","Germany","Europe","UK","Europe","Australia","Oceania","South America")</f>
        <v>Asia</v>
      </c>
      <c r="D57" s="18" t="s">
        <v>28</v>
      </c>
      <c r="E57" s="18" t="s">
        <v>39</v>
      </c>
      <c r="F57" s="18" t="s">
        <v>52</v>
      </c>
      <c r="G57" s="18" t="s">
        <v>40</v>
      </c>
      <c r="H57" s="64">
        <f>LEN(TRIM(Table22[[#This Row],[Country]]))</f>
        <v>5</v>
      </c>
      <c r="I57" s="64">
        <f>LEN(TRIM(Table22[[#This Row],[Continent]]))</f>
        <v>4</v>
      </c>
      <c r="J57" s="64">
        <f>LEN(TRIM(Table22[[#This Row],[Product]]))</f>
        <v>10</v>
      </c>
      <c r="K57" s="64">
        <f>LEN(TRIM(Table22[[#This Row],[Sales Team]]))</f>
        <v>10</v>
      </c>
      <c r="L57" s="23">
        <v>89</v>
      </c>
      <c r="M57" s="65" t="str" cm="1">
        <f t="array" ref="M57">_xlfn.IFS(Table22[[#This Row],[Units Sold]]&lt;40,"Critical",Table22[[#This Row],[Units Sold]]&lt;=50,"Poor",Table22[[#This Row],[Units Sold]]&lt;=60,"Low",Table22[[#This Row],[Units Sold]]&lt;=80,"Average",Table22[[#This Row],[Units Sold]]&lt;=90,"High",Table22[[#This Row],[Units Sold]]&lt;=95,"Excellent",Table22[[#This Row],[Units Sold]]&gt;95,"Outstanding")</f>
        <v>High</v>
      </c>
      <c r="N57" s="29">
        <v>1289.3699999999999</v>
      </c>
      <c r="O57" s="29">
        <v>114753.93</v>
      </c>
      <c r="P57" s="43">
        <f>IF(Table22[[#This Row],[Discount Applied]],Table22[[#This Row],[Total Sales (in USD)]]*(1-Table22[[#This Row],[Discount Percentage (%)]]/100),Table22[[#This Row],[Total Sales (in USD)]])</f>
        <v>89806.425617999994</v>
      </c>
      <c r="Q57" s="66">
        <f>SQRT(AVERAGE((Table22[[#This Row],[Net Sales (after discount) (in USD)]]-AVERAGE(Table22[Net Sales (after discount) (in USD)]))^2))</f>
        <v>53295.065054235456</v>
      </c>
      <c r="R57" s="18" t="b">
        <v>0</v>
      </c>
      <c r="S57" s="40">
        <v>21.74</v>
      </c>
      <c r="T57" s="18" t="b">
        <v>1</v>
      </c>
      <c r="U57" s="25">
        <v>45329</v>
      </c>
      <c r="V57" s="63" t="str">
        <f>IF(MONTH(Table22[[#This Row],[Sales Date]])&lt;=3,"Q1",IF(MONTH(Table22[[#This Row],[Sales Date]])&lt;=6,"Q2",IF(MONTH(Table22[[#This Row],[Sales Date]])&lt;=9,"Q3","Q4")))</f>
        <v>Q1</v>
      </c>
      <c r="W57" s="64">
        <f>YEAR(Table22[[#This Row],[Sales Date]])</f>
        <v>2024</v>
      </c>
      <c r="X57" s="23">
        <v>69</v>
      </c>
      <c r="Y57" s="18" t="s">
        <v>49</v>
      </c>
      <c r="Z57" s="18" t="s">
        <v>30</v>
      </c>
      <c r="AA57" s="19" t="s">
        <v>25</v>
      </c>
    </row>
    <row r="58" spans="1:27" x14ac:dyDescent="0.25">
      <c r="A58" s="17" t="s">
        <v>1004</v>
      </c>
      <c r="B58" s="18" t="s">
        <v>32</v>
      </c>
      <c r="C58" s="63" t="str" cm="1">
        <f t="array" ref="C58">_xlfn.SWITCH(Table22[[#This Row],[Country]],"USA","North America","Canada","North America","Brazil","South America","China","Asia","Japan","Asia","India","Asia","France","Europe","Germany","Europe","UK","Europe","Australia","Oceania","South America")</f>
        <v>Asia</v>
      </c>
      <c r="D58" s="18" t="s">
        <v>35</v>
      </c>
      <c r="E58" s="18" t="s">
        <v>39</v>
      </c>
      <c r="F58" s="18" t="s">
        <v>64</v>
      </c>
      <c r="G58" s="18" t="s">
        <v>40</v>
      </c>
      <c r="H58" s="64">
        <f>LEN(TRIM(Table22[[#This Row],[Country]]))</f>
        <v>5</v>
      </c>
      <c r="I58" s="64">
        <f>LEN(TRIM(Table22[[#This Row],[Continent]]))</f>
        <v>4</v>
      </c>
      <c r="J58" s="64">
        <f>LEN(TRIM(Table22[[#This Row],[Product]]))</f>
        <v>10</v>
      </c>
      <c r="K58" s="64">
        <f>LEN(TRIM(Table22[[#This Row],[Sales Team]]))</f>
        <v>10</v>
      </c>
      <c r="L58" s="23">
        <v>84</v>
      </c>
      <c r="M58" s="65" t="str" cm="1">
        <f t="array" ref="M58">_xlfn.IFS(Table22[[#This Row],[Units Sold]]&lt;40,"Critical",Table22[[#This Row],[Units Sold]]&lt;=50,"Poor",Table22[[#This Row],[Units Sold]]&lt;=60,"Low",Table22[[#This Row],[Units Sold]]&lt;=80,"Average",Table22[[#This Row],[Units Sold]]&lt;=90,"High",Table22[[#This Row],[Units Sold]]&lt;=95,"Excellent",Table22[[#This Row],[Units Sold]]&gt;95,"Outstanding")</f>
        <v>High</v>
      </c>
      <c r="N58" s="29">
        <v>1366.04</v>
      </c>
      <c r="O58" s="29">
        <v>114747.36</v>
      </c>
      <c r="P58" s="43">
        <f>IF(Table22[[#This Row],[Discount Applied]],Table22[[#This Row],[Total Sales (in USD)]]*(1-Table22[[#This Row],[Discount Percentage (%)]]/100),Table22[[#This Row],[Total Sales (in USD)]])</f>
        <v>109124.73935999999</v>
      </c>
      <c r="Q58" s="66">
        <f>SQRT(AVERAGE((Table22[[#This Row],[Net Sales (after discount) (in USD)]]-AVERAGE(Table22[Net Sales (after discount) (in USD)]))^2))</f>
        <v>72613.378796235455</v>
      </c>
      <c r="R58" s="18" t="b">
        <v>1</v>
      </c>
      <c r="S58" s="40">
        <v>4.9000000000000004</v>
      </c>
      <c r="T58" s="18" t="b">
        <v>1</v>
      </c>
      <c r="U58" s="25">
        <v>45149</v>
      </c>
      <c r="V58" s="63" t="str">
        <f>IF(MONTH(Table22[[#This Row],[Sales Date]])&lt;=3,"Q1",IF(MONTH(Table22[[#This Row],[Sales Date]])&lt;=6,"Q2",IF(MONTH(Table22[[#This Row],[Sales Date]])&lt;=9,"Q3","Q4")))</f>
        <v>Q3</v>
      </c>
      <c r="W58" s="64">
        <f>YEAR(Table22[[#This Row],[Sales Date]])</f>
        <v>2023</v>
      </c>
      <c r="X58" s="23">
        <v>46</v>
      </c>
      <c r="Y58" s="18" t="s">
        <v>49</v>
      </c>
      <c r="Z58" s="18" t="s">
        <v>30</v>
      </c>
      <c r="AA58" s="19" t="s">
        <v>25</v>
      </c>
    </row>
    <row r="59" spans="1:27" x14ac:dyDescent="0.25">
      <c r="A59" s="17" t="s">
        <v>237</v>
      </c>
      <c r="B59" s="18" t="s">
        <v>66</v>
      </c>
      <c r="C59" s="63" t="str" cm="1">
        <f t="array" ref="C59">_xlfn.SWITCH(Table22[[#This Row],[Country]],"USA","North America","Canada","North America","Brazil","South America","China","Asia","Japan","Asia","India","Asia","France","Europe","Germany","Europe","UK","Europe","Australia","Oceania","South America")</f>
        <v>North America</v>
      </c>
      <c r="D59" s="18" t="s">
        <v>28</v>
      </c>
      <c r="E59" s="18" t="s">
        <v>19</v>
      </c>
      <c r="F59" s="18" t="s">
        <v>34</v>
      </c>
      <c r="G59" s="18" t="s">
        <v>48</v>
      </c>
      <c r="H59" s="64">
        <f>LEN(TRIM(Table22[[#This Row],[Country]]))</f>
        <v>6</v>
      </c>
      <c r="I59" s="64">
        <f>LEN(TRIM(Table22[[#This Row],[Continent]]))</f>
        <v>13</v>
      </c>
      <c r="J59" s="64">
        <f>LEN(TRIM(Table22[[#This Row],[Product]]))</f>
        <v>6</v>
      </c>
      <c r="K59" s="64">
        <f>LEN(TRIM(Table22[[#This Row],[Sales Team]]))</f>
        <v>9</v>
      </c>
      <c r="L59" s="23">
        <v>77</v>
      </c>
      <c r="M59" s="65" t="str" cm="1">
        <f t="array" ref="M59">_xlfn.IFS(Table22[[#This Row],[Units Sold]]&lt;40,"Critical",Table22[[#This Row],[Units Sold]]&lt;=50,"Poor",Table22[[#This Row],[Units Sold]]&lt;=60,"Low",Table22[[#This Row],[Units Sold]]&lt;=80,"Average",Table22[[#This Row],[Units Sold]]&lt;=90,"High",Table22[[#This Row],[Units Sold]]&lt;=95,"Excellent",Table22[[#This Row],[Units Sold]]&gt;95,"Outstanding")</f>
        <v>Average</v>
      </c>
      <c r="N59" s="29">
        <v>1487.03</v>
      </c>
      <c r="O59" s="29">
        <v>114501.31</v>
      </c>
      <c r="P59" s="43">
        <f>IF(Table22[[#This Row],[Discount Applied]],Table22[[#This Row],[Total Sales (in USD)]]*(1-Table22[[#This Row],[Discount Percentage (%)]]/100),Table22[[#This Row],[Total Sales (in USD)]])</f>
        <v>110665.51611500001</v>
      </c>
      <c r="Q59" s="66">
        <f>SQRT(AVERAGE((Table22[[#This Row],[Net Sales (after discount) (in USD)]]-AVERAGE(Table22[Net Sales (after discount) (in USD)]))^2))</f>
        <v>74154.155551235468</v>
      </c>
      <c r="R59" s="18" t="b">
        <v>1</v>
      </c>
      <c r="S59" s="40">
        <v>3.35</v>
      </c>
      <c r="T59" s="18" t="b">
        <v>1</v>
      </c>
      <c r="U59" s="25">
        <v>45419</v>
      </c>
      <c r="V59" s="63" t="str">
        <f>IF(MONTH(Table22[[#This Row],[Sales Date]])&lt;=3,"Q1",IF(MONTH(Table22[[#This Row],[Sales Date]])&lt;=6,"Q2",IF(MONTH(Table22[[#This Row],[Sales Date]])&lt;=9,"Q3","Q4")))</f>
        <v>Q2</v>
      </c>
      <c r="W59" s="64">
        <f>YEAR(Table22[[#This Row],[Sales Date]])</f>
        <v>2024</v>
      </c>
      <c r="X59" s="23">
        <v>62</v>
      </c>
      <c r="Y59" s="18" t="s">
        <v>23</v>
      </c>
      <c r="Z59" s="18" t="s">
        <v>24</v>
      </c>
      <c r="AA59" s="19" t="s">
        <v>25</v>
      </c>
    </row>
    <row r="60" spans="1:27" x14ac:dyDescent="0.25">
      <c r="A60" s="17" t="s">
        <v>209</v>
      </c>
      <c r="B60" s="18" t="s">
        <v>51</v>
      </c>
      <c r="C60" s="63" t="str" cm="1">
        <f t="array" ref="C60">_xlfn.SWITCH(Table22[[#This Row],[Country]],"USA","North America","Canada","North America","Brazil","South America","China","Asia","Japan","Asia","India","Asia","France","Europe","Germany","Europe","UK","Europe","Australia","Oceania","South America")</f>
        <v>Europe</v>
      </c>
      <c r="D60" s="18" t="s">
        <v>35</v>
      </c>
      <c r="E60" s="18" t="s">
        <v>33</v>
      </c>
      <c r="F60" s="18" t="s">
        <v>34</v>
      </c>
      <c r="G60" s="18" t="s">
        <v>29</v>
      </c>
      <c r="H60" s="64">
        <f>LEN(TRIM(Table22[[#This Row],[Country]]))</f>
        <v>2</v>
      </c>
      <c r="I60" s="64">
        <f>LEN(TRIM(Table22[[#This Row],[Continent]]))</f>
        <v>6</v>
      </c>
      <c r="J60" s="64">
        <f>LEN(TRIM(Table22[[#This Row],[Product]]))</f>
        <v>10</v>
      </c>
      <c r="K60" s="64">
        <f>LEN(TRIM(Table22[[#This Row],[Sales Team]]))</f>
        <v>10</v>
      </c>
      <c r="L60" s="23">
        <v>83</v>
      </c>
      <c r="M60" s="65" t="str" cm="1">
        <f t="array" ref="M60">_xlfn.IFS(Table22[[#This Row],[Units Sold]]&lt;40,"Critical",Table22[[#This Row],[Units Sold]]&lt;=50,"Poor",Table22[[#This Row],[Units Sold]]&lt;=60,"Low",Table22[[#This Row],[Units Sold]]&lt;=80,"Average",Table22[[#This Row],[Units Sold]]&lt;=90,"High",Table22[[#This Row],[Units Sold]]&lt;=95,"Excellent",Table22[[#This Row],[Units Sold]]&gt;95,"Outstanding")</f>
        <v>High</v>
      </c>
      <c r="N60" s="29">
        <v>1376.54</v>
      </c>
      <c r="O60" s="29">
        <v>114252.82</v>
      </c>
      <c r="P60" s="43">
        <f>IF(Table22[[#This Row],[Discount Applied]],Table22[[#This Row],[Total Sales (in USD)]]*(1-Table22[[#This Row],[Discount Percentage (%)]]/100),Table22[[#This Row],[Total Sales (in USD)]])</f>
        <v>97514.781870000006</v>
      </c>
      <c r="Q60" s="66">
        <f>SQRT(AVERAGE((Table22[[#This Row],[Net Sales (after discount) (in USD)]]-AVERAGE(Table22[Net Sales (after discount) (in USD)]))^2))</f>
        <v>61003.421306235468</v>
      </c>
      <c r="R60" s="18" t="b">
        <v>1</v>
      </c>
      <c r="S60" s="40">
        <v>14.65</v>
      </c>
      <c r="T60" s="18" t="b">
        <v>1</v>
      </c>
      <c r="U60" s="25">
        <v>45006</v>
      </c>
      <c r="V60" s="63" t="str">
        <f>IF(MONTH(Table22[[#This Row],[Sales Date]])&lt;=3,"Q1",IF(MONTH(Table22[[#This Row],[Sales Date]])&lt;=6,"Q2",IF(MONTH(Table22[[#This Row],[Sales Date]])&lt;=9,"Q3","Q4")))</f>
        <v>Q1</v>
      </c>
      <c r="W60" s="64">
        <f>YEAR(Table22[[#This Row],[Sales Date]])</f>
        <v>2023</v>
      </c>
      <c r="X60" s="23">
        <v>20</v>
      </c>
      <c r="Y60" s="18" t="s">
        <v>23</v>
      </c>
      <c r="Z60" s="18" t="s">
        <v>24</v>
      </c>
      <c r="AA60" s="19" t="s">
        <v>25</v>
      </c>
    </row>
    <row r="61" spans="1:27" x14ac:dyDescent="0.25">
      <c r="A61" s="17" t="s">
        <v>1051</v>
      </c>
      <c r="B61" s="18" t="s">
        <v>76</v>
      </c>
      <c r="C61" s="63" t="str" cm="1">
        <f t="array" ref="C61">_xlfn.SWITCH(Table22[[#This Row],[Country]],"USA","North America","Canada","North America","Brazil","South America","China","Asia","Japan","Asia","India","Asia","France","Europe","Germany","Europe","UK","Europe","Australia","Oceania","South America")</f>
        <v>Asia</v>
      </c>
      <c r="D61" s="18" t="s">
        <v>44</v>
      </c>
      <c r="E61" s="18" t="s">
        <v>39</v>
      </c>
      <c r="F61" s="18" t="s">
        <v>52</v>
      </c>
      <c r="G61" s="18" t="s">
        <v>48</v>
      </c>
      <c r="H61" s="64">
        <f>LEN(TRIM(Table22[[#This Row],[Country]]))</f>
        <v>5</v>
      </c>
      <c r="I61" s="64">
        <f>LEN(TRIM(Table22[[#This Row],[Continent]]))</f>
        <v>4</v>
      </c>
      <c r="J61" s="64">
        <f>LEN(TRIM(Table22[[#This Row],[Product]]))</f>
        <v>10</v>
      </c>
      <c r="K61" s="64">
        <f>LEN(TRIM(Table22[[#This Row],[Sales Team]]))</f>
        <v>9</v>
      </c>
      <c r="L61" s="23">
        <v>99</v>
      </c>
      <c r="M61" s="65" t="str" cm="1">
        <f t="array" ref="M61">_xlfn.IFS(Table22[[#This Row],[Units Sold]]&lt;40,"Critical",Table22[[#This Row],[Units Sold]]&lt;=50,"Poor",Table22[[#This Row],[Units Sold]]&lt;=60,"Low",Table22[[#This Row],[Units Sold]]&lt;=80,"Average",Table22[[#This Row],[Units Sold]]&lt;=90,"High",Table22[[#This Row],[Units Sold]]&lt;=95,"Excellent",Table22[[#This Row],[Units Sold]]&gt;95,"Outstanding")</f>
        <v>Outstanding</v>
      </c>
      <c r="N61" s="29">
        <v>1151.17</v>
      </c>
      <c r="O61" s="29">
        <v>113965.83</v>
      </c>
      <c r="P61" s="43">
        <f>IF(Table22[[#This Row],[Discount Applied]],Table22[[#This Row],[Total Sales (in USD)]]*(1-Table22[[#This Row],[Discount Percentage (%)]]/100),Table22[[#This Row],[Total Sales (in USD)]])</f>
        <v>113965.83</v>
      </c>
      <c r="Q61" s="66">
        <f>SQRT(AVERAGE((Table22[[#This Row],[Net Sales (after discount) (in USD)]]-AVERAGE(Table22[Net Sales (after discount) (in USD)]))^2))</f>
        <v>77454.469436235464</v>
      </c>
      <c r="R61" s="18" t="b">
        <v>1</v>
      </c>
      <c r="S61" s="40">
        <v>29.21</v>
      </c>
      <c r="T61" s="18" t="b">
        <v>0</v>
      </c>
      <c r="U61" s="25">
        <v>45212</v>
      </c>
      <c r="V61" s="63" t="str">
        <f>IF(MONTH(Table22[[#This Row],[Sales Date]])&lt;=3,"Q1",IF(MONTH(Table22[[#This Row],[Sales Date]])&lt;=6,"Q2",IF(MONTH(Table22[[#This Row],[Sales Date]])&lt;=9,"Q3","Q4")))</f>
        <v>Q4</v>
      </c>
      <c r="W61" s="64">
        <f>YEAR(Table22[[#This Row],[Sales Date]])</f>
        <v>2023</v>
      </c>
      <c r="X61" s="23">
        <v>45</v>
      </c>
      <c r="Y61" s="18" t="s">
        <v>41</v>
      </c>
      <c r="Z61" s="18" t="s">
        <v>56</v>
      </c>
      <c r="AA61" s="19" t="s">
        <v>36</v>
      </c>
    </row>
    <row r="62" spans="1:27" x14ac:dyDescent="0.25">
      <c r="A62" s="17" t="s">
        <v>915</v>
      </c>
      <c r="B62" s="18" t="s">
        <v>51</v>
      </c>
      <c r="C62" s="63" t="str" cm="1">
        <f t="array" ref="C62">_xlfn.SWITCH(Table22[[#This Row],[Country]],"USA","North America","Canada","North America","Brazil","South America","China","Asia","Japan","Asia","India","Asia","France","Europe","Germany","Europe","UK","Europe","Australia","Oceania","South America")</f>
        <v>Europe</v>
      </c>
      <c r="D62" s="18" t="s">
        <v>44</v>
      </c>
      <c r="E62" s="18" t="s">
        <v>33</v>
      </c>
      <c r="F62" s="18" t="s">
        <v>64</v>
      </c>
      <c r="G62" s="18" t="s">
        <v>22</v>
      </c>
      <c r="H62" s="64">
        <f>LEN(TRIM(Table22[[#This Row],[Country]]))</f>
        <v>2</v>
      </c>
      <c r="I62" s="64">
        <f>LEN(TRIM(Table22[[#This Row],[Continent]]))</f>
        <v>6</v>
      </c>
      <c r="J62" s="64">
        <f>LEN(TRIM(Table22[[#This Row],[Product]]))</f>
        <v>10</v>
      </c>
      <c r="K62" s="64">
        <f>LEN(TRIM(Table22[[#This Row],[Sales Team]]))</f>
        <v>10</v>
      </c>
      <c r="L62" s="23">
        <v>76</v>
      </c>
      <c r="M62" s="65" t="str" cm="1">
        <f t="array" ref="M62">_xlfn.IFS(Table22[[#This Row],[Units Sold]]&lt;40,"Critical",Table22[[#This Row],[Units Sold]]&lt;=50,"Poor",Table22[[#This Row],[Units Sold]]&lt;=60,"Low",Table22[[#This Row],[Units Sold]]&lt;=80,"Average",Table22[[#This Row],[Units Sold]]&lt;=90,"High",Table22[[#This Row],[Units Sold]]&lt;=95,"Excellent",Table22[[#This Row],[Units Sold]]&gt;95,"Outstanding")</f>
        <v>Average</v>
      </c>
      <c r="N62" s="29">
        <v>1498.4</v>
      </c>
      <c r="O62" s="29">
        <v>113878.39999999999</v>
      </c>
      <c r="P62" s="43">
        <f>IF(Table22[[#This Row],[Discount Applied]],Table22[[#This Row],[Total Sales (in USD)]]*(1-Table22[[#This Row],[Discount Percentage (%)]]/100),Table22[[#This Row],[Total Sales (in USD)]])</f>
        <v>113878.39999999999</v>
      </c>
      <c r="Q62" s="66">
        <f>SQRT(AVERAGE((Table22[[#This Row],[Net Sales (after discount) (in USD)]]-AVERAGE(Table22[Net Sales (after discount) (in USD)]))^2))</f>
        <v>77367.039436235456</v>
      </c>
      <c r="R62" s="18" t="b">
        <v>0</v>
      </c>
      <c r="S62" s="40">
        <v>19.47</v>
      </c>
      <c r="T62" s="18" t="b">
        <v>0</v>
      </c>
      <c r="U62" s="25">
        <v>45295</v>
      </c>
      <c r="V62" s="63" t="str">
        <f>IF(MONTH(Table22[[#This Row],[Sales Date]])&lt;=3,"Q1",IF(MONTH(Table22[[#This Row],[Sales Date]])&lt;=6,"Q2",IF(MONTH(Table22[[#This Row],[Sales Date]])&lt;=9,"Q3","Q4")))</f>
        <v>Q1</v>
      </c>
      <c r="W62" s="64">
        <f>YEAR(Table22[[#This Row],[Sales Date]])</f>
        <v>2024</v>
      </c>
      <c r="X62" s="23">
        <v>54</v>
      </c>
      <c r="Y62" s="18" t="s">
        <v>41</v>
      </c>
      <c r="Z62" s="18" t="s">
        <v>24</v>
      </c>
      <c r="AA62" s="19" t="s">
        <v>36</v>
      </c>
    </row>
    <row r="63" spans="1:27" x14ac:dyDescent="0.25">
      <c r="A63" s="17" t="s">
        <v>1874</v>
      </c>
      <c r="B63" s="18" t="s">
        <v>46</v>
      </c>
      <c r="C63" s="63" t="str" cm="1">
        <f t="array" ref="C63">_xlfn.SWITCH(Table22[[#This Row],[Country]],"USA","North America","Canada","North America","Brazil","South America","China","Asia","Japan","Asia","India","Asia","France","Europe","Germany","Europe","UK","Europe","Australia","Oceania","South America")</f>
        <v>South America</v>
      </c>
      <c r="D63" s="18" t="s">
        <v>44</v>
      </c>
      <c r="E63" s="18" t="s">
        <v>33</v>
      </c>
      <c r="F63" s="18" t="s">
        <v>52</v>
      </c>
      <c r="G63" s="18" t="s">
        <v>48</v>
      </c>
      <c r="H63" s="64">
        <f>LEN(TRIM(Table22[[#This Row],[Country]]))</f>
        <v>6</v>
      </c>
      <c r="I63" s="64">
        <f>LEN(TRIM(Table22[[#This Row],[Continent]]))</f>
        <v>13</v>
      </c>
      <c r="J63" s="64">
        <f>LEN(TRIM(Table22[[#This Row],[Product]]))</f>
        <v>10</v>
      </c>
      <c r="K63" s="64">
        <f>LEN(TRIM(Table22[[#This Row],[Sales Team]]))</f>
        <v>9</v>
      </c>
      <c r="L63" s="23">
        <v>95</v>
      </c>
      <c r="M63" s="65" t="str" cm="1">
        <f t="array" ref="M63">_xlfn.IFS(Table22[[#This Row],[Units Sold]]&lt;40,"Critical",Table22[[#This Row],[Units Sold]]&lt;=50,"Poor",Table22[[#This Row],[Units Sold]]&lt;=60,"Low",Table22[[#This Row],[Units Sold]]&lt;=80,"Average",Table22[[#This Row],[Units Sold]]&lt;=90,"High",Table22[[#This Row],[Units Sold]]&lt;=95,"Excellent",Table22[[#This Row],[Units Sold]]&gt;95,"Outstanding")</f>
        <v>Excellent</v>
      </c>
      <c r="N63" s="29">
        <v>1197.96</v>
      </c>
      <c r="O63" s="29">
        <v>113806.2</v>
      </c>
      <c r="P63" s="43">
        <f>IF(Table22[[#This Row],[Discount Applied]],Table22[[#This Row],[Total Sales (in USD)]]*(1-Table22[[#This Row],[Discount Percentage (%)]]/100),Table22[[#This Row],[Total Sales (in USD)]])</f>
        <v>89019.209640000001</v>
      </c>
      <c r="Q63" s="66">
        <f>SQRT(AVERAGE((Table22[[#This Row],[Net Sales (after discount) (in USD)]]-AVERAGE(Table22[Net Sales (after discount) (in USD)]))^2))</f>
        <v>52507.849076235463</v>
      </c>
      <c r="R63" s="18" t="b">
        <v>1</v>
      </c>
      <c r="S63" s="40">
        <v>21.78</v>
      </c>
      <c r="T63" s="18" t="b">
        <v>1</v>
      </c>
      <c r="U63" s="25">
        <v>45520</v>
      </c>
      <c r="V63" s="63" t="str">
        <f>IF(MONTH(Table22[[#This Row],[Sales Date]])&lt;=3,"Q1",IF(MONTH(Table22[[#This Row],[Sales Date]])&lt;=6,"Q2",IF(MONTH(Table22[[#This Row],[Sales Date]])&lt;=9,"Q3","Q4")))</f>
        <v>Q3</v>
      </c>
      <c r="W63" s="64">
        <f>YEAR(Table22[[#This Row],[Sales Date]])</f>
        <v>2024</v>
      </c>
      <c r="X63" s="23">
        <v>37</v>
      </c>
      <c r="Y63" s="18" t="s">
        <v>41</v>
      </c>
      <c r="Z63" s="18" t="s">
        <v>42</v>
      </c>
      <c r="AA63" s="19" t="s">
        <v>25</v>
      </c>
    </row>
    <row r="64" spans="1:27" x14ac:dyDescent="0.25">
      <c r="A64" s="17" t="s">
        <v>1788</v>
      </c>
      <c r="B64" s="18" t="s">
        <v>62</v>
      </c>
      <c r="C64" s="63" t="str" cm="1">
        <f t="array" ref="C64">_xlfn.SWITCH(Table22[[#This Row],[Country]],"USA","North America","Canada","North America","Brazil","South America","China","Asia","Japan","Asia","India","Asia","France","Europe","Germany","Europe","UK","Europe","Australia","Oceania","South America")</f>
        <v>Oceania</v>
      </c>
      <c r="D64" s="18" t="s">
        <v>28</v>
      </c>
      <c r="E64" s="18" t="s">
        <v>19</v>
      </c>
      <c r="F64" s="18" t="s">
        <v>34</v>
      </c>
      <c r="G64" s="18" t="s">
        <v>40</v>
      </c>
      <c r="H64" s="64">
        <f>LEN(TRIM(Table22[[#This Row],[Country]]))</f>
        <v>9</v>
      </c>
      <c r="I64" s="64">
        <f>LEN(TRIM(Table22[[#This Row],[Continent]]))</f>
        <v>7</v>
      </c>
      <c r="J64" s="64">
        <f>LEN(TRIM(Table22[[#This Row],[Product]]))</f>
        <v>6</v>
      </c>
      <c r="K64" s="64">
        <f>LEN(TRIM(Table22[[#This Row],[Sales Team]]))</f>
        <v>10</v>
      </c>
      <c r="L64" s="23">
        <v>81</v>
      </c>
      <c r="M64" s="65" t="str" cm="1">
        <f t="array" ref="M64">_xlfn.IFS(Table22[[#This Row],[Units Sold]]&lt;40,"Critical",Table22[[#This Row],[Units Sold]]&lt;=50,"Poor",Table22[[#This Row],[Units Sold]]&lt;=60,"Low",Table22[[#This Row],[Units Sold]]&lt;=80,"Average",Table22[[#This Row],[Units Sold]]&lt;=90,"High",Table22[[#This Row],[Units Sold]]&lt;=95,"Excellent",Table22[[#This Row],[Units Sold]]&gt;95,"Outstanding")</f>
        <v>High</v>
      </c>
      <c r="N64" s="29">
        <v>1402.19</v>
      </c>
      <c r="O64" s="29">
        <v>113577.39</v>
      </c>
      <c r="P64" s="43">
        <f>IF(Table22[[#This Row],[Discount Applied]],Table22[[#This Row],[Total Sales (in USD)]]*(1-Table22[[#This Row],[Discount Percentage (%)]]/100),Table22[[#This Row],[Total Sales (in USD)]])</f>
        <v>113577.39</v>
      </c>
      <c r="Q64" s="66">
        <f>SQRT(AVERAGE((Table22[[#This Row],[Net Sales (after discount) (in USD)]]-AVERAGE(Table22[Net Sales (after discount) (in USD)]))^2))</f>
        <v>77066.029436235462</v>
      </c>
      <c r="R64" s="18" t="b">
        <v>1</v>
      </c>
      <c r="S64" s="40">
        <v>23.56</v>
      </c>
      <c r="T64" s="18" t="b">
        <v>0</v>
      </c>
      <c r="U64" s="25">
        <v>44936</v>
      </c>
      <c r="V64" s="63" t="str">
        <f>IF(MONTH(Table22[[#This Row],[Sales Date]])&lt;=3,"Q1",IF(MONTH(Table22[[#This Row],[Sales Date]])&lt;=6,"Q2",IF(MONTH(Table22[[#This Row],[Sales Date]])&lt;=9,"Q3","Q4")))</f>
        <v>Q1</v>
      </c>
      <c r="W64" s="64">
        <f>YEAR(Table22[[#This Row],[Sales Date]])</f>
        <v>2023</v>
      </c>
      <c r="X64" s="23">
        <v>61</v>
      </c>
      <c r="Y64" s="18" t="s">
        <v>49</v>
      </c>
      <c r="Z64" s="18" t="s">
        <v>42</v>
      </c>
      <c r="AA64" s="19" t="s">
        <v>36</v>
      </c>
    </row>
    <row r="65" spans="1:27" x14ac:dyDescent="0.25">
      <c r="A65" s="17" t="s">
        <v>685</v>
      </c>
      <c r="B65" s="18" t="s">
        <v>66</v>
      </c>
      <c r="C65" s="63" t="str" cm="1">
        <f t="array" ref="C65">_xlfn.SWITCH(Table22[[#This Row],[Country]],"USA","North America","Canada","North America","Brazil","South America","China","Asia","Japan","Asia","India","Asia","France","Europe","Germany","Europe","UK","Europe","Australia","Oceania","South America")</f>
        <v>North America</v>
      </c>
      <c r="D65" s="18" t="s">
        <v>21</v>
      </c>
      <c r="E65" s="18" t="s">
        <v>19</v>
      </c>
      <c r="F65" s="18" t="s">
        <v>47</v>
      </c>
      <c r="G65" s="18" t="s">
        <v>48</v>
      </c>
      <c r="H65" s="64">
        <f>LEN(TRIM(Table22[[#This Row],[Country]]))</f>
        <v>6</v>
      </c>
      <c r="I65" s="64">
        <f>LEN(TRIM(Table22[[#This Row],[Continent]]))</f>
        <v>13</v>
      </c>
      <c r="J65" s="64">
        <f>LEN(TRIM(Table22[[#This Row],[Product]]))</f>
        <v>6</v>
      </c>
      <c r="K65" s="64">
        <f>LEN(TRIM(Table22[[#This Row],[Sales Team]]))</f>
        <v>9</v>
      </c>
      <c r="L65" s="23">
        <v>84</v>
      </c>
      <c r="M65" s="65" t="str" cm="1">
        <f t="array" ref="M65">_xlfn.IFS(Table22[[#This Row],[Units Sold]]&lt;40,"Critical",Table22[[#This Row],[Units Sold]]&lt;=50,"Poor",Table22[[#This Row],[Units Sold]]&lt;=60,"Low",Table22[[#This Row],[Units Sold]]&lt;=80,"Average",Table22[[#This Row],[Units Sold]]&lt;=90,"High",Table22[[#This Row],[Units Sold]]&lt;=95,"Excellent",Table22[[#This Row],[Units Sold]]&gt;95,"Outstanding")</f>
        <v>High</v>
      </c>
      <c r="N65" s="29">
        <v>1349.89</v>
      </c>
      <c r="O65" s="29">
        <v>113390.76</v>
      </c>
      <c r="P65" s="43">
        <f>IF(Table22[[#This Row],[Discount Applied]],Table22[[#This Row],[Total Sales (in USD)]]*(1-Table22[[#This Row],[Discount Percentage (%)]]/100),Table22[[#This Row],[Total Sales (in USD)]])</f>
        <v>113390.76</v>
      </c>
      <c r="Q65" s="66">
        <f>SQRT(AVERAGE((Table22[[#This Row],[Net Sales (after discount) (in USD)]]-AVERAGE(Table22[Net Sales (after discount) (in USD)]))^2))</f>
        <v>76879.399436235457</v>
      </c>
      <c r="R65" s="18" t="b">
        <v>1</v>
      </c>
      <c r="S65" s="40">
        <v>22.03</v>
      </c>
      <c r="T65" s="18" t="b">
        <v>0</v>
      </c>
      <c r="U65" s="25">
        <v>45487</v>
      </c>
      <c r="V65" s="63" t="str">
        <f>IF(MONTH(Table22[[#This Row],[Sales Date]])&lt;=3,"Q1",IF(MONTH(Table22[[#This Row],[Sales Date]])&lt;=6,"Q2",IF(MONTH(Table22[[#This Row],[Sales Date]])&lt;=9,"Q3","Q4")))</f>
        <v>Q3</v>
      </c>
      <c r="W65" s="64">
        <f>YEAR(Table22[[#This Row],[Sales Date]])</f>
        <v>2024</v>
      </c>
      <c r="X65" s="23">
        <v>34</v>
      </c>
      <c r="Y65" s="18" t="s">
        <v>23</v>
      </c>
      <c r="Z65" s="18" t="s">
        <v>30</v>
      </c>
      <c r="AA65" s="19" t="s">
        <v>25</v>
      </c>
    </row>
    <row r="66" spans="1:27" x14ac:dyDescent="0.25">
      <c r="A66" s="17" t="s">
        <v>445</v>
      </c>
      <c r="B66" s="18" t="s">
        <v>46</v>
      </c>
      <c r="C66" s="63" t="str" cm="1">
        <f t="array" ref="C66">_xlfn.SWITCH(Table22[[#This Row],[Country]],"USA","North America","Canada","North America","Brazil","South America","China","Asia","Japan","Asia","India","Asia","France","Europe","Germany","Europe","UK","Europe","Australia","Oceania","South America")</f>
        <v>South America</v>
      </c>
      <c r="D66" s="18" t="s">
        <v>28</v>
      </c>
      <c r="E66" s="18" t="s">
        <v>19</v>
      </c>
      <c r="F66" s="18" t="s">
        <v>47</v>
      </c>
      <c r="G66" s="18" t="s">
        <v>29</v>
      </c>
      <c r="H66" s="64">
        <f>LEN(TRIM(Table22[[#This Row],[Country]]))</f>
        <v>6</v>
      </c>
      <c r="I66" s="64">
        <f>LEN(TRIM(Table22[[#This Row],[Continent]]))</f>
        <v>13</v>
      </c>
      <c r="J66" s="64">
        <f>LEN(TRIM(Table22[[#This Row],[Product]]))</f>
        <v>6</v>
      </c>
      <c r="K66" s="64">
        <f>LEN(TRIM(Table22[[#This Row],[Sales Team]]))</f>
        <v>10</v>
      </c>
      <c r="L66" s="23">
        <v>77</v>
      </c>
      <c r="M66" s="65" t="str" cm="1">
        <f t="array" ref="M66">_xlfn.IFS(Table22[[#This Row],[Units Sold]]&lt;40,"Critical",Table22[[#This Row],[Units Sold]]&lt;=50,"Poor",Table22[[#This Row],[Units Sold]]&lt;=60,"Low",Table22[[#This Row],[Units Sold]]&lt;=80,"Average",Table22[[#This Row],[Units Sold]]&lt;=90,"High",Table22[[#This Row],[Units Sold]]&lt;=95,"Excellent",Table22[[#This Row],[Units Sold]]&gt;95,"Outstanding")</f>
        <v>Average</v>
      </c>
      <c r="N66" s="29">
        <v>1472.43</v>
      </c>
      <c r="O66" s="29">
        <v>113377.11</v>
      </c>
      <c r="P66" s="43">
        <f>IF(Table22[[#This Row],[Discount Applied]],Table22[[#This Row],[Total Sales (in USD)]]*(1-Table22[[#This Row],[Discount Percentage (%)]]/100),Table22[[#This Row],[Total Sales (in USD)]])</f>
        <v>113377.11</v>
      </c>
      <c r="Q66" s="66">
        <f>SQRT(AVERAGE((Table22[[#This Row],[Net Sales (after discount) (in USD)]]-AVERAGE(Table22[Net Sales (after discount) (in USD)]))^2))</f>
        <v>76865.749436235463</v>
      </c>
      <c r="R66" s="18" t="b">
        <v>1</v>
      </c>
      <c r="S66" s="40">
        <v>10.07</v>
      </c>
      <c r="T66" s="18" t="b">
        <v>0</v>
      </c>
      <c r="U66" s="25">
        <v>44982</v>
      </c>
      <c r="V66" s="63" t="str">
        <f>IF(MONTH(Table22[[#This Row],[Sales Date]])&lt;=3,"Q1",IF(MONTH(Table22[[#This Row],[Sales Date]])&lt;=6,"Q2",IF(MONTH(Table22[[#This Row],[Sales Date]])&lt;=9,"Q3","Q4")))</f>
        <v>Q1</v>
      </c>
      <c r="W66" s="64">
        <f>YEAR(Table22[[#This Row],[Sales Date]])</f>
        <v>2023</v>
      </c>
      <c r="X66" s="23">
        <v>49</v>
      </c>
      <c r="Y66" s="18" t="s">
        <v>49</v>
      </c>
      <c r="Z66" s="18" t="s">
        <v>42</v>
      </c>
      <c r="AA66" s="19" t="s">
        <v>36</v>
      </c>
    </row>
    <row r="67" spans="1:27" x14ac:dyDescent="0.25">
      <c r="A67" s="17" t="s">
        <v>1259</v>
      </c>
      <c r="B67" s="18" t="s">
        <v>38</v>
      </c>
      <c r="C67" s="63" t="str" cm="1">
        <f t="array" ref="C67">_xlfn.SWITCH(Table22[[#This Row],[Country]],"USA","North America","Canada","North America","Brazil","South America","China","Asia","Japan","Asia","India","Asia","France","Europe","Germany","Europe","UK","Europe","Australia","Oceania","South America")</f>
        <v>Europe</v>
      </c>
      <c r="D67" s="18" t="s">
        <v>44</v>
      </c>
      <c r="E67" s="18" t="s">
        <v>33</v>
      </c>
      <c r="F67" s="18" t="s">
        <v>34</v>
      </c>
      <c r="G67" s="18" t="s">
        <v>29</v>
      </c>
      <c r="H67" s="64">
        <f>LEN(TRIM(Table22[[#This Row],[Country]]))</f>
        <v>6</v>
      </c>
      <c r="I67" s="64">
        <f>LEN(TRIM(Table22[[#This Row],[Continent]]))</f>
        <v>6</v>
      </c>
      <c r="J67" s="64">
        <f>LEN(TRIM(Table22[[#This Row],[Product]]))</f>
        <v>10</v>
      </c>
      <c r="K67" s="64">
        <f>LEN(TRIM(Table22[[#This Row],[Sales Team]]))</f>
        <v>10</v>
      </c>
      <c r="L67" s="23">
        <v>86</v>
      </c>
      <c r="M67" s="65" t="str" cm="1">
        <f t="array" ref="M67">_xlfn.IFS(Table22[[#This Row],[Units Sold]]&lt;40,"Critical",Table22[[#This Row],[Units Sold]]&lt;=50,"Poor",Table22[[#This Row],[Units Sold]]&lt;=60,"Low",Table22[[#This Row],[Units Sold]]&lt;=80,"Average",Table22[[#This Row],[Units Sold]]&lt;=90,"High",Table22[[#This Row],[Units Sold]]&lt;=95,"Excellent",Table22[[#This Row],[Units Sold]]&gt;95,"Outstanding")</f>
        <v>High</v>
      </c>
      <c r="N67" s="29">
        <v>1315.23</v>
      </c>
      <c r="O67" s="29">
        <v>113109.78</v>
      </c>
      <c r="P67" s="43">
        <f>IF(Table22[[#This Row],[Discount Applied]],Table22[[#This Row],[Total Sales (in USD)]]*(1-Table22[[#This Row],[Discount Percentage (%)]]/100),Table22[[#This Row],[Total Sales (in USD)]])</f>
        <v>112702.58479199999</v>
      </c>
      <c r="Q67" s="66">
        <f>SQRT(AVERAGE((Table22[[#This Row],[Net Sales (after discount) (in USD)]]-AVERAGE(Table22[Net Sales (after discount) (in USD)]))^2))</f>
        <v>76191.224228235456</v>
      </c>
      <c r="R67" s="18" t="b">
        <v>0</v>
      </c>
      <c r="S67" s="40">
        <v>0.36</v>
      </c>
      <c r="T67" s="18" t="b">
        <v>1</v>
      </c>
      <c r="U67" s="25">
        <v>45130</v>
      </c>
      <c r="V67" s="63" t="str">
        <f>IF(MONTH(Table22[[#This Row],[Sales Date]])&lt;=3,"Q1",IF(MONTH(Table22[[#This Row],[Sales Date]])&lt;=6,"Q2",IF(MONTH(Table22[[#This Row],[Sales Date]])&lt;=9,"Q3","Q4")))</f>
        <v>Q3</v>
      </c>
      <c r="W67" s="64">
        <f>YEAR(Table22[[#This Row],[Sales Date]])</f>
        <v>2023</v>
      </c>
      <c r="X67" s="23">
        <v>38</v>
      </c>
      <c r="Y67" s="18" t="s">
        <v>23</v>
      </c>
      <c r="Z67" s="18" t="s">
        <v>56</v>
      </c>
      <c r="AA67" s="19" t="s">
        <v>25</v>
      </c>
    </row>
    <row r="68" spans="1:27" x14ac:dyDescent="0.25">
      <c r="A68" s="17" t="s">
        <v>1363</v>
      </c>
      <c r="B68" s="18" t="s">
        <v>66</v>
      </c>
      <c r="C68" s="63" t="str" cm="1">
        <f t="array" ref="C68">_xlfn.SWITCH(Table22[[#This Row],[Country]],"USA","North America","Canada","North America","Brazil","South America","China","Asia","Japan","Asia","India","Asia","France","Europe","Germany","Europe","UK","Europe","Australia","Oceania","South America")</f>
        <v>North America</v>
      </c>
      <c r="D68" s="18" t="s">
        <v>21</v>
      </c>
      <c r="E68" s="18" t="s">
        <v>39</v>
      </c>
      <c r="F68" s="18" t="s">
        <v>34</v>
      </c>
      <c r="G68" s="18" t="s">
        <v>48</v>
      </c>
      <c r="H68" s="64">
        <f>LEN(TRIM(Table22[[#This Row],[Country]]))</f>
        <v>6</v>
      </c>
      <c r="I68" s="64">
        <f>LEN(TRIM(Table22[[#This Row],[Continent]]))</f>
        <v>13</v>
      </c>
      <c r="J68" s="64">
        <f>LEN(TRIM(Table22[[#This Row],[Product]]))</f>
        <v>10</v>
      </c>
      <c r="K68" s="64">
        <f>LEN(TRIM(Table22[[#This Row],[Sales Team]]))</f>
        <v>9</v>
      </c>
      <c r="L68" s="23">
        <v>80</v>
      </c>
      <c r="M68" s="65" t="str" cm="1">
        <f t="array" ref="M68">_xlfn.IFS(Table22[[#This Row],[Units Sold]]&lt;40,"Critical",Table22[[#This Row],[Units Sold]]&lt;=50,"Poor",Table22[[#This Row],[Units Sold]]&lt;=60,"Low",Table22[[#This Row],[Units Sold]]&lt;=80,"Average",Table22[[#This Row],[Units Sold]]&lt;=90,"High",Table22[[#This Row],[Units Sold]]&lt;=95,"Excellent",Table22[[#This Row],[Units Sold]]&gt;95,"Outstanding")</f>
        <v>Average</v>
      </c>
      <c r="N68" s="29">
        <v>1411.71</v>
      </c>
      <c r="O68" s="29">
        <v>112936.8</v>
      </c>
      <c r="P68" s="43">
        <f>IF(Table22[[#This Row],[Discount Applied]],Table22[[#This Row],[Total Sales (in USD)]]*(1-Table22[[#This Row],[Discount Percentage (%)]]/100),Table22[[#This Row],[Total Sales (in USD)]])</f>
        <v>112936.8</v>
      </c>
      <c r="Q68" s="66">
        <f>SQRT(AVERAGE((Table22[[#This Row],[Net Sales (after discount) (in USD)]]-AVERAGE(Table22[Net Sales (after discount) (in USD)]))^2))</f>
        <v>76425.439436235465</v>
      </c>
      <c r="R68" s="18" t="b">
        <v>0</v>
      </c>
      <c r="S68" s="40">
        <v>25.59</v>
      </c>
      <c r="T68" s="18" t="b">
        <v>0</v>
      </c>
      <c r="U68" s="25">
        <v>45488</v>
      </c>
      <c r="V68" s="63" t="str">
        <f>IF(MONTH(Table22[[#This Row],[Sales Date]])&lt;=3,"Q1",IF(MONTH(Table22[[#This Row],[Sales Date]])&lt;=6,"Q2",IF(MONTH(Table22[[#This Row],[Sales Date]])&lt;=9,"Q3","Q4")))</f>
        <v>Q3</v>
      </c>
      <c r="W68" s="64">
        <f>YEAR(Table22[[#This Row],[Sales Date]])</f>
        <v>2024</v>
      </c>
      <c r="X68" s="23">
        <v>56</v>
      </c>
      <c r="Y68" s="18" t="s">
        <v>49</v>
      </c>
      <c r="Z68" s="18" t="s">
        <v>42</v>
      </c>
      <c r="AA68" s="19" t="s">
        <v>25</v>
      </c>
    </row>
    <row r="69" spans="1:27" x14ac:dyDescent="0.25">
      <c r="A69" s="17" t="s">
        <v>703</v>
      </c>
      <c r="B69" s="18" t="s">
        <v>66</v>
      </c>
      <c r="C69" s="63" t="str" cm="1">
        <f t="array" ref="C69">_xlfn.SWITCH(Table22[[#This Row],[Country]],"USA","North America","Canada","North America","Brazil","South America","China","Asia","Japan","Asia","India","Asia","France","Europe","Germany","Europe","UK","Europe","Australia","Oceania","South America")</f>
        <v>North America</v>
      </c>
      <c r="D69" s="18" t="s">
        <v>21</v>
      </c>
      <c r="E69" s="18" t="s">
        <v>33</v>
      </c>
      <c r="F69" s="18" t="s">
        <v>52</v>
      </c>
      <c r="G69" s="18" t="s">
        <v>48</v>
      </c>
      <c r="H69" s="64">
        <f>LEN(TRIM(Table22[[#This Row],[Country]]))</f>
        <v>6</v>
      </c>
      <c r="I69" s="64">
        <f>LEN(TRIM(Table22[[#This Row],[Continent]]))</f>
        <v>13</v>
      </c>
      <c r="J69" s="64">
        <f>LEN(TRIM(Table22[[#This Row],[Product]]))</f>
        <v>10</v>
      </c>
      <c r="K69" s="64">
        <f>LEN(TRIM(Table22[[#This Row],[Sales Team]]))</f>
        <v>9</v>
      </c>
      <c r="L69" s="23">
        <v>78</v>
      </c>
      <c r="M69" s="65" t="str" cm="1">
        <f t="array" ref="M69">_xlfn.IFS(Table22[[#This Row],[Units Sold]]&lt;40,"Critical",Table22[[#This Row],[Units Sold]]&lt;=50,"Poor",Table22[[#This Row],[Units Sold]]&lt;=60,"Low",Table22[[#This Row],[Units Sold]]&lt;=80,"Average",Table22[[#This Row],[Units Sold]]&lt;=90,"High",Table22[[#This Row],[Units Sold]]&lt;=95,"Excellent",Table22[[#This Row],[Units Sold]]&gt;95,"Outstanding")</f>
        <v>Average</v>
      </c>
      <c r="N69" s="29">
        <v>1447.88</v>
      </c>
      <c r="O69" s="29">
        <v>112934.64</v>
      </c>
      <c r="P69" s="43">
        <f>IF(Table22[[#This Row],[Discount Applied]],Table22[[#This Row],[Total Sales (in USD)]]*(1-Table22[[#This Row],[Discount Percentage (%)]]/100),Table22[[#This Row],[Total Sales (in USD)]])</f>
        <v>110371.023672</v>
      </c>
      <c r="Q69" s="66">
        <f>SQRT(AVERAGE((Table22[[#This Row],[Net Sales (after discount) (in USD)]]-AVERAGE(Table22[Net Sales (after discount) (in USD)]))^2))</f>
        <v>73859.663108235458</v>
      </c>
      <c r="R69" s="18" t="b">
        <v>1</v>
      </c>
      <c r="S69" s="40">
        <v>2.27</v>
      </c>
      <c r="T69" s="18" t="b">
        <v>1</v>
      </c>
      <c r="U69" s="25">
        <v>45272</v>
      </c>
      <c r="V69" s="63" t="str">
        <f>IF(MONTH(Table22[[#This Row],[Sales Date]])&lt;=3,"Q1",IF(MONTH(Table22[[#This Row],[Sales Date]])&lt;=6,"Q2",IF(MONTH(Table22[[#This Row],[Sales Date]])&lt;=9,"Q3","Q4")))</f>
        <v>Q4</v>
      </c>
      <c r="W69" s="64">
        <f>YEAR(Table22[[#This Row],[Sales Date]])</f>
        <v>2023</v>
      </c>
      <c r="X69" s="23">
        <v>69</v>
      </c>
      <c r="Y69" s="18" t="s">
        <v>23</v>
      </c>
      <c r="Z69" s="18" t="s">
        <v>56</v>
      </c>
      <c r="AA69" s="19" t="s">
        <v>36</v>
      </c>
    </row>
    <row r="70" spans="1:27" x14ac:dyDescent="0.25">
      <c r="A70" s="17" t="s">
        <v>1823</v>
      </c>
      <c r="B70" s="18" t="s">
        <v>62</v>
      </c>
      <c r="C70" s="63" t="str" cm="1">
        <f t="array" ref="C70">_xlfn.SWITCH(Table22[[#This Row],[Country]],"USA","North America","Canada","North America","Brazil","South America","China","Asia","Japan","Asia","India","Asia","France","Europe","Germany","Europe","UK","Europe","Australia","Oceania","South America")</f>
        <v>Oceania</v>
      </c>
      <c r="D70" s="18" t="s">
        <v>35</v>
      </c>
      <c r="E70" s="18" t="s">
        <v>33</v>
      </c>
      <c r="F70" s="18" t="s">
        <v>47</v>
      </c>
      <c r="G70" s="18" t="s">
        <v>40</v>
      </c>
      <c r="H70" s="64">
        <f>LEN(TRIM(Table22[[#This Row],[Country]]))</f>
        <v>9</v>
      </c>
      <c r="I70" s="64">
        <f>LEN(TRIM(Table22[[#This Row],[Continent]]))</f>
        <v>7</v>
      </c>
      <c r="J70" s="64">
        <f>LEN(TRIM(Table22[[#This Row],[Product]]))</f>
        <v>10</v>
      </c>
      <c r="K70" s="64">
        <f>LEN(TRIM(Table22[[#This Row],[Sales Team]]))</f>
        <v>10</v>
      </c>
      <c r="L70" s="23">
        <v>97</v>
      </c>
      <c r="M70" s="65" t="str" cm="1">
        <f t="array" ref="M70">_xlfn.IFS(Table22[[#This Row],[Units Sold]]&lt;40,"Critical",Table22[[#This Row],[Units Sold]]&lt;=50,"Poor",Table22[[#This Row],[Units Sold]]&lt;=60,"Low",Table22[[#This Row],[Units Sold]]&lt;=80,"Average",Table22[[#This Row],[Units Sold]]&lt;=90,"High",Table22[[#This Row],[Units Sold]]&lt;=95,"Excellent",Table22[[#This Row],[Units Sold]]&gt;95,"Outstanding")</f>
        <v>Outstanding</v>
      </c>
      <c r="N70" s="29">
        <v>1162.3900000000001</v>
      </c>
      <c r="O70" s="29">
        <v>112751.83</v>
      </c>
      <c r="P70" s="43">
        <f>IF(Table22[[#This Row],[Discount Applied]],Table22[[#This Row],[Total Sales (in USD)]]*(1-Table22[[#This Row],[Discount Percentage (%)]]/100),Table22[[#This Row],[Total Sales (in USD)]])</f>
        <v>112751.83</v>
      </c>
      <c r="Q70" s="66">
        <f>SQRT(AVERAGE((Table22[[#This Row],[Net Sales (after discount) (in USD)]]-AVERAGE(Table22[Net Sales (after discount) (in USD)]))^2))</f>
        <v>76240.469436235464</v>
      </c>
      <c r="R70" s="18" t="b">
        <v>0</v>
      </c>
      <c r="S70" s="40">
        <v>17.559999999999999</v>
      </c>
      <c r="T70" s="18" t="b">
        <v>0</v>
      </c>
      <c r="U70" s="25">
        <v>45129</v>
      </c>
      <c r="V70" s="63" t="str">
        <f>IF(MONTH(Table22[[#This Row],[Sales Date]])&lt;=3,"Q1",IF(MONTH(Table22[[#This Row],[Sales Date]])&lt;=6,"Q2",IF(MONTH(Table22[[#This Row],[Sales Date]])&lt;=9,"Q3","Q4")))</f>
        <v>Q3</v>
      </c>
      <c r="W70" s="64">
        <f>YEAR(Table22[[#This Row],[Sales Date]])</f>
        <v>2023</v>
      </c>
      <c r="X70" s="23">
        <v>67</v>
      </c>
      <c r="Y70" s="18" t="s">
        <v>41</v>
      </c>
      <c r="Z70" s="18" t="s">
        <v>56</v>
      </c>
      <c r="AA70" s="19" t="s">
        <v>25</v>
      </c>
    </row>
    <row r="71" spans="1:27" x14ac:dyDescent="0.25">
      <c r="A71" s="17" t="s">
        <v>809</v>
      </c>
      <c r="B71" s="18" t="s">
        <v>38</v>
      </c>
      <c r="C71" s="63" t="str" cm="1">
        <f t="array" ref="C71">_xlfn.SWITCH(Table22[[#This Row],[Country]],"USA","North America","Canada","North America","Brazil","South America","China","Asia","Japan","Asia","India","Asia","France","Europe","Germany","Europe","UK","Europe","Australia","Oceania","South America")</f>
        <v>Europe</v>
      </c>
      <c r="D71" s="18" t="s">
        <v>44</v>
      </c>
      <c r="E71" s="18" t="s">
        <v>39</v>
      </c>
      <c r="F71" s="18" t="s">
        <v>20</v>
      </c>
      <c r="G71" s="18" t="s">
        <v>29</v>
      </c>
      <c r="H71" s="64">
        <f>LEN(TRIM(Table22[[#This Row],[Country]]))</f>
        <v>6</v>
      </c>
      <c r="I71" s="64">
        <f>LEN(TRIM(Table22[[#This Row],[Continent]]))</f>
        <v>6</v>
      </c>
      <c r="J71" s="64">
        <f>LEN(TRIM(Table22[[#This Row],[Product]]))</f>
        <v>10</v>
      </c>
      <c r="K71" s="64">
        <f>LEN(TRIM(Table22[[#This Row],[Sales Team]]))</f>
        <v>10</v>
      </c>
      <c r="L71" s="23">
        <v>75</v>
      </c>
      <c r="M71" s="65" t="str" cm="1">
        <f t="array" ref="M71">_xlfn.IFS(Table22[[#This Row],[Units Sold]]&lt;40,"Critical",Table22[[#This Row],[Units Sold]]&lt;=50,"Poor",Table22[[#This Row],[Units Sold]]&lt;=60,"Low",Table22[[#This Row],[Units Sold]]&lt;=80,"Average",Table22[[#This Row],[Units Sold]]&lt;=90,"High",Table22[[#This Row],[Units Sold]]&lt;=95,"Excellent",Table22[[#This Row],[Units Sold]]&gt;95,"Outstanding")</f>
        <v>Average</v>
      </c>
      <c r="N71" s="29">
        <v>1499.01</v>
      </c>
      <c r="O71" s="29">
        <v>112425.75</v>
      </c>
      <c r="P71" s="43">
        <f>IF(Table22[[#This Row],[Discount Applied]],Table22[[#This Row],[Total Sales (in USD)]]*(1-Table22[[#This Row],[Discount Percentage (%)]]/100),Table22[[#This Row],[Total Sales (in USD)]])</f>
        <v>102610.98202499999</v>
      </c>
      <c r="Q71" s="66">
        <f>SQRT(AVERAGE((Table22[[#This Row],[Net Sales (after discount) (in USD)]]-AVERAGE(Table22[Net Sales (after discount) (in USD)]))^2))</f>
        <v>66099.621461235452</v>
      </c>
      <c r="R71" s="18" t="b">
        <v>0</v>
      </c>
      <c r="S71" s="40">
        <v>8.73</v>
      </c>
      <c r="T71" s="18" t="b">
        <v>1</v>
      </c>
      <c r="U71" s="25">
        <v>44969</v>
      </c>
      <c r="V71" s="63" t="str">
        <f>IF(MONTH(Table22[[#This Row],[Sales Date]])&lt;=3,"Q1",IF(MONTH(Table22[[#This Row],[Sales Date]])&lt;=6,"Q2",IF(MONTH(Table22[[#This Row],[Sales Date]])&lt;=9,"Q3","Q4")))</f>
        <v>Q1</v>
      </c>
      <c r="W71" s="64">
        <f>YEAR(Table22[[#This Row],[Sales Date]])</f>
        <v>2023</v>
      </c>
      <c r="X71" s="23">
        <v>30</v>
      </c>
      <c r="Y71" s="18" t="s">
        <v>41</v>
      </c>
      <c r="Z71" s="18" t="s">
        <v>24</v>
      </c>
      <c r="AA71" s="19" t="s">
        <v>25</v>
      </c>
    </row>
    <row r="72" spans="1:27" x14ac:dyDescent="0.25">
      <c r="A72" s="17" t="s">
        <v>2025</v>
      </c>
      <c r="B72" s="18" t="s">
        <v>27</v>
      </c>
      <c r="C72" s="63" t="str" cm="1">
        <f t="array" ref="C72">_xlfn.SWITCH(Table22[[#This Row],[Country]],"USA","North America","Canada","North America","Brazil","South America","China","Asia","Japan","Asia","India","Asia","France","Europe","Germany","Europe","UK","Europe","Australia","Oceania","South America")</f>
        <v>Europe</v>
      </c>
      <c r="D72" s="18" t="s">
        <v>28</v>
      </c>
      <c r="E72" s="18" t="s">
        <v>39</v>
      </c>
      <c r="F72" s="18" t="s">
        <v>34</v>
      </c>
      <c r="G72" s="18" t="s">
        <v>40</v>
      </c>
      <c r="H72" s="64">
        <f>LEN(TRIM(Table22[[#This Row],[Country]]))</f>
        <v>7</v>
      </c>
      <c r="I72" s="64">
        <f>LEN(TRIM(Table22[[#This Row],[Continent]]))</f>
        <v>6</v>
      </c>
      <c r="J72" s="64">
        <f>LEN(TRIM(Table22[[#This Row],[Product]]))</f>
        <v>10</v>
      </c>
      <c r="K72" s="64">
        <f>LEN(TRIM(Table22[[#This Row],[Sales Team]]))</f>
        <v>10</v>
      </c>
      <c r="L72" s="23">
        <v>97</v>
      </c>
      <c r="M72" s="65" t="str" cm="1">
        <f t="array" ref="M72">_xlfn.IFS(Table22[[#This Row],[Units Sold]]&lt;40,"Critical",Table22[[#This Row],[Units Sold]]&lt;=50,"Poor",Table22[[#This Row],[Units Sold]]&lt;=60,"Low",Table22[[#This Row],[Units Sold]]&lt;=80,"Average",Table22[[#This Row],[Units Sold]]&lt;=90,"High",Table22[[#This Row],[Units Sold]]&lt;=95,"Excellent",Table22[[#This Row],[Units Sold]]&gt;95,"Outstanding")</f>
        <v>Outstanding</v>
      </c>
      <c r="N72" s="29">
        <v>1156.3499999999999</v>
      </c>
      <c r="O72" s="29">
        <v>112165.95</v>
      </c>
      <c r="P72" s="43">
        <f>IF(Table22[[#This Row],[Discount Applied]],Table22[[#This Row],[Total Sales (in USD)]]*(1-Table22[[#This Row],[Discount Percentage (%)]]/100),Table22[[#This Row],[Total Sales (in USD)]])</f>
        <v>112165.95</v>
      </c>
      <c r="Q72" s="66">
        <f>SQRT(AVERAGE((Table22[[#This Row],[Net Sales (after discount) (in USD)]]-AVERAGE(Table22[Net Sales (after discount) (in USD)]))^2))</f>
        <v>75654.589436235459</v>
      </c>
      <c r="R72" s="18" t="b">
        <v>0</v>
      </c>
      <c r="S72" s="40">
        <v>17.13</v>
      </c>
      <c r="T72" s="18" t="b">
        <v>0</v>
      </c>
      <c r="U72" s="25">
        <v>45382</v>
      </c>
      <c r="V72" s="63" t="str">
        <f>IF(MONTH(Table22[[#This Row],[Sales Date]])&lt;=3,"Q1",IF(MONTH(Table22[[#This Row],[Sales Date]])&lt;=6,"Q2",IF(MONTH(Table22[[#This Row],[Sales Date]])&lt;=9,"Q3","Q4")))</f>
        <v>Q1</v>
      </c>
      <c r="W72" s="64">
        <f>YEAR(Table22[[#This Row],[Sales Date]])</f>
        <v>2024</v>
      </c>
      <c r="X72" s="23">
        <v>59</v>
      </c>
      <c r="Y72" s="18" t="s">
        <v>23</v>
      </c>
      <c r="Z72" s="18" t="s">
        <v>42</v>
      </c>
      <c r="AA72" s="19" t="s">
        <v>36</v>
      </c>
    </row>
    <row r="73" spans="1:27" x14ac:dyDescent="0.25">
      <c r="A73" s="17" t="s">
        <v>1665</v>
      </c>
      <c r="B73" s="18" t="s">
        <v>66</v>
      </c>
      <c r="C73" s="63" t="str" cm="1">
        <f t="array" ref="C73">_xlfn.SWITCH(Table22[[#This Row],[Country]],"USA","North America","Canada","North America","Brazil","South America","China","Asia","Japan","Asia","India","Asia","France","Europe","Germany","Europe","UK","Europe","Australia","Oceania","South America")</f>
        <v>North America</v>
      </c>
      <c r="D73" s="18" t="s">
        <v>28</v>
      </c>
      <c r="E73" s="18" t="s">
        <v>33</v>
      </c>
      <c r="F73" s="18" t="s">
        <v>20</v>
      </c>
      <c r="G73" s="18" t="s">
        <v>48</v>
      </c>
      <c r="H73" s="64">
        <f>LEN(TRIM(Table22[[#This Row],[Country]]))</f>
        <v>6</v>
      </c>
      <c r="I73" s="64">
        <f>LEN(TRIM(Table22[[#This Row],[Continent]]))</f>
        <v>13</v>
      </c>
      <c r="J73" s="64">
        <f>LEN(TRIM(Table22[[#This Row],[Product]]))</f>
        <v>10</v>
      </c>
      <c r="K73" s="64">
        <f>LEN(TRIM(Table22[[#This Row],[Sales Team]]))</f>
        <v>9</v>
      </c>
      <c r="L73" s="23">
        <v>80</v>
      </c>
      <c r="M73" s="65" t="str" cm="1">
        <f t="array" ref="M73">_xlfn.IFS(Table22[[#This Row],[Units Sold]]&lt;40,"Critical",Table22[[#This Row],[Units Sold]]&lt;=50,"Poor",Table22[[#This Row],[Units Sold]]&lt;=60,"Low",Table22[[#This Row],[Units Sold]]&lt;=80,"Average",Table22[[#This Row],[Units Sold]]&lt;=90,"High",Table22[[#This Row],[Units Sold]]&lt;=95,"Excellent",Table22[[#This Row],[Units Sold]]&gt;95,"Outstanding")</f>
        <v>Average</v>
      </c>
      <c r="N73" s="29">
        <v>1390.76</v>
      </c>
      <c r="O73" s="29">
        <v>111260.8</v>
      </c>
      <c r="P73" s="43">
        <f>IF(Table22[[#This Row],[Discount Applied]],Table22[[#This Row],[Total Sales (in USD)]]*(1-Table22[[#This Row],[Discount Percentage (%)]]/100),Table22[[#This Row],[Total Sales (in USD)]])</f>
        <v>111260.8</v>
      </c>
      <c r="Q73" s="66">
        <f>SQRT(AVERAGE((Table22[[#This Row],[Net Sales (after discount) (in USD)]]-AVERAGE(Table22[Net Sales (after discount) (in USD)]))^2))</f>
        <v>74749.439436235465</v>
      </c>
      <c r="R73" s="18" t="b">
        <v>0</v>
      </c>
      <c r="S73" s="40">
        <v>15.71</v>
      </c>
      <c r="T73" s="18" t="b">
        <v>0</v>
      </c>
      <c r="U73" s="25">
        <v>45216</v>
      </c>
      <c r="V73" s="63" t="str">
        <f>IF(MONTH(Table22[[#This Row],[Sales Date]])&lt;=3,"Q1",IF(MONTH(Table22[[#This Row],[Sales Date]])&lt;=6,"Q2",IF(MONTH(Table22[[#This Row],[Sales Date]])&lt;=9,"Q3","Q4")))</f>
        <v>Q4</v>
      </c>
      <c r="W73" s="64">
        <f>YEAR(Table22[[#This Row],[Sales Date]])</f>
        <v>2023</v>
      </c>
      <c r="X73" s="23">
        <v>58</v>
      </c>
      <c r="Y73" s="18" t="s">
        <v>41</v>
      </c>
      <c r="Z73" s="18" t="s">
        <v>24</v>
      </c>
      <c r="AA73" s="19" t="s">
        <v>36</v>
      </c>
    </row>
    <row r="74" spans="1:27" x14ac:dyDescent="0.25">
      <c r="A74" s="17" t="s">
        <v>633</v>
      </c>
      <c r="B74" s="18" t="s">
        <v>32</v>
      </c>
      <c r="C74" s="63" t="str" cm="1">
        <f t="array" ref="C74">_xlfn.SWITCH(Table22[[#This Row],[Country]],"USA","North America","Canada","North America","Brazil","South America","China","Asia","Japan","Asia","India","Asia","France","Europe","Germany","Europe","UK","Europe","Australia","Oceania","South America")</f>
        <v>Asia</v>
      </c>
      <c r="D74" s="18" t="s">
        <v>28</v>
      </c>
      <c r="E74" s="18" t="s">
        <v>19</v>
      </c>
      <c r="F74" s="18" t="s">
        <v>34</v>
      </c>
      <c r="G74" s="18" t="s">
        <v>40</v>
      </c>
      <c r="H74" s="64">
        <f>LEN(TRIM(Table22[[#This Row],[Country]]))</f>
        <v>5</v>
      </c>
      <c r="I74" s="64">
        <f>LEN(TRIM(Table22[[#This Row],[Continent]]))</f>
        <v>4</v>
      </c>
      <c r="J74" s="64">
        <f>LEN(TRIM(Table22[[#This Row],[Product]]))</f>
        <v>6</v>
      </c>
      <c r="K74" s="64">
        <f>LEN(TRIM(Table22[[#This Row],[Sales Team]]))</f>
        <v>10</v>
      </c>
      <c r="L74" s="23">
        <v>91</v>
      </c>
      <c r="M74" s="65" t="str" cm="1">
        <f t="array" ref="M74">_xlfn.IFS(Table22[[#This Row],[Units Sold]]&lt;40,"Critical",Table22[[#This Row],[Units Sold]]&lt;=50,"Poor",Table22[[#This Row],[Units Sold]]&lt;=60,"Low",Table22[[#This Row],[Units Sold]]&lt;=80,"Average",Table22[[#This Row],[Units Sold]]&lt;=90,"High",Table22[[#This Row],[Units Sold]]&lt;=95,"Excellent",Table22[[#This Row],[Units Sold]]&gt;95,"Outstanding")</f>
        <v>Excellent</v>
      </c>
      <c r="N74" s="29">
        <v>1220.46</v>
      </c>
      <c r="O74" s="29">
        <v>111061.86</v>
      </c>
      <c r="P74" s="43">
        <f>IF(Table22[[#This Row],[Discount Applied]],Table22[[#This Row],[Total Sales (in USD)]]*(1-Table22[[#This Row],[Discount Percentage (%)]]/100),Table22[[#This Row],[Total Sales (in USD)]])</f>
        <v>111061.86</v>
      </c>
      <c r="Q74" s="66">
        <f>SQRT(AVERAGE((Table22[[#This Row],[Net Sales (after discount) (in USD)]]-AVERAGE(Table22[Net Sales (after discount) (in USD)]))^2))</f>
        <v>74550.499436235463</v>
      </c>
      <c r="R74" s="18" t="b">
        <v>1</v>
      </c>
      <c r="S74" s="40">
        <v>24.44</v>
      </c>
      <c r="T74" s="18" t="b">
        <v>0</v>
      </c>
      <c r="U74" s="25">
        <v>45554</v>
      </c>
      <c r="V74" s="63" t="str">
        <f>IF(MONTH(Table22[[#This Row],[Sales Date]])&lt;=3,"Q1",IF(MONTH(Table22[[#This Row],[Sales Date]])&lt;=6,"Q2",IF(MONTH(Table22[[#This Row],[Sales Date]])&lt;=9,"Q3","Q4")))</f>
        <v>Q3</v>
      </c>
      <c r="W74" s="64">
        <f>YEAR(Table22[[#This Row],[Sales Date]])</f>
        <v>2024</v>
      </c>
      <c r="X74" s="23">
        <v>35</v>
      </c>
      <c r="Y74" s="18" t="s">
        <v>41</v>
      </c>
      <c r="Z74" s="18" t="s">
        <v>30</v>
      </c>
      <c r="AA74" s="19" t="s">
        <v>25</v>
      </c>
    </row>
    <row r="75" spans="1:27" x14ac:dyDescent="0.25">
      <c r="A75" s="17" t="s">
        <v>826</v>
      </c>
      <c r="B75" s="18" t="s">
        <v>72</v>
      </c>
      <c r="C75" s="63" t="str" cm="1">
        <f t="array" ref="C75">_xlfn.SWITCH(Table22[[#This Row],[Country]],"USA","North America","Canada","North America","Brazil","South America","China","Asia","Japan","Asia","India","Asia","France","Europe","Germany","Europe","UK","Europe","Australia","Oceania","South America")</f>
        <v>North America</v>
      </c>
      <c r="D75" s="18" t="s">
        <v>35</v>
      </c>
      <c r="E75" s="18" t="s">
        <v>33</v>
      </c>
      <c r="F75" s="18" t="s">
        <v>20</v>
      </c>
      <c r="G75" s="18" t="s">
        <v>48</v>
      </c>
      <c r="H75" s="64">
        <f>LEN(TRIM(Table22[[#This Row],[Country]]))</f>
        <v>3</v>
      </c>
      <c r="I75" s="64">
        <f>LEN(TRIM(Table22[[#This Row],[Continent]]))</f>
        <v>13</v>
      </c>
      <c r="J75" s="64">
        <f>LEN(TRIM(Table22[[#This Row],[Product]]))</f>
        <v>10</v>
      </c>
      <c r="K75" s="64">
        <f>LEN(TRIM(Table22[[#This Row],[Sales Team]]))</f>
        <v>9</v>
      </c>
      <c r="L75" s="23">
        <v>99</v>
      </c>
      <c r="M75" s="65" t="str" cm="1">
        <f t="array" ref="M75">_xlfn.IFS(Table22[[#This Row],[Units Sold]]&lt;40,"Critical",Table22[[#This Row],[Units Sold]]&lt;=50,"Poor",Table22[[#This Row],[Units Sold]]&lt;=60,"Low",Table22[[#This Row],[Units Sold]]&lt;=80,"Average",Table22[[#This Row],[Units Sold]]&lt;=90,"High",Table22[[#This Row],[Units Sold]]&lt;=95,"Excellent",Table22[[#This Row],[Units Sold]]&gt;95,"Outstanding")</f>
        <v>Outstanding</v>
      </c>
      <c r="N75" s="29">
        <v>1118.3699999999999</v>
      </c>
      <c r="O75" s="29">
        <v>110718.63</v>
      </c>
      <c r="P75" s="43">
        <f>IF(Table22[[#This Row],[Discount Applied]],Table22[[#This Row],[Total Sales (in USD)]]*(1-Table22[[#This Row],[Discount Percentage (%)]]/100),Table22[[#This Row],[Total Sales (in USD)]])</f>
        <v>102990.46962600001</v>
      </c>
      <c r="Q75" s="66">
        <f>SQRT(AVERAGE((Table22[[#This Row],[Net Sales (after discount) (in USD)]]-AVERAGE(Table22[Net Sales (after discount) (in USD)]))^2))</f>
        <v>66479.109062235468</v>
      </c>
      <c r="R75" s="18" t="b">
        <v>1</v>
      </c>
      <c r="S75" s="40">
        <v>6.98</v>
      </c>
      <c r="T75" s="18" t="b">
        <v>1</v>
      </c>
      <c r="U75" s="25">
        <v>45316</v>
      </c>
      <c r="V75" s="63" t="str">
        <f>IF(MONTH(Table22[[#This Row],[Sales Date]])&lt;=3,"Q1",IF(MONTH(Table22[[#This Row],[Sales Date]])&lt;=6,"Q2",IF(MONTH(Table22[[#This Row],[Sales Date]])&lt;=9,"Q3","Q4")))</f>
        <v>Q1</v>
      </c>
      <c r="W75" s="64">
        <f>YEAR(Table22[[#This Row],[Sales Date]])</f>
        <v>2024</v>
      </c>
      <c r="X75" s="23">
        <v>47</v>
      </c>
      <c r="Y75" s="18" t="s">
        <v>23</v>
      </c>
      <c r="Z75" s="18" t="s">
        <v>24</v>
      </c>
      <c r="AA75" s="19" t="s">
        <v>36</v>
      </c>
    </row>
    <row r="76" spans="1:27" x14ac:dyDescent="0.25">
      <c r="A76" s="17" t="s">
        <v>688</v>
      </c>
      <c r="B76" s="18" t="s">
        <v>66</v>
      </c>
      <c r="C76" s="63" t="str" cm="1">
        <f t="array" ref="C76">_xlfn.SWITCH(Table22[[#This Row],[Country]],"USA","North America","Canada","North America","Brazil","South America","China","Asia","Japan","Asia","India","Asia","France","Europe","Germany","Europe","UK","Europe","Australia","Oceania","South America")</f>
        <v>North America</v>
      </c>
      <c r="D76" s="18" t="s">
        <v>35</v>
      </c>
      <c r="E76" s="18" t="s">
        <v>33</v>
      </c>
      <c r="F76" s="18" t="s">
        <v>52</v>
      </c>
      <c r="G76" s="18" t="s">
        <v>48</v>
      </c>
      <c r="H76" s="64">
        <f>LEN(TRIM(Table22[[#This Row],[Country]]))</f>
        <v>6</v>
      </c>
      <c r="I76" s="64">
        <f>LEN(TRIM(Table22[[#This Row],[Continent]]))</f>
        <v>13</v>
      </c>
      <c r="J76" s="64">
        <f>LEN(TRIM(Table22[[#This Row],[Product]]))</f>
        <v>10</v>
      </c>
      <c r="K76" s="64">
        <f>LEN(TRIM(Table22[[#This Row],[Sales Team]]))</f>
        <v>9</v>
      </c>
      <c r="L76" s="23">
        <v>80</v>
      </c>
      <c r="M76" s="65" t="str" cm="1">
        <f t="array" ref="M76">_xlfn.IFS(Table22[[#This Row],[Units Sold]]&lt;40,"Critical",Table22[[#This Row],[Units Sold]]&lt;=50,"Poor",Table22[[#This Row],[Units Sold]]&lt;=60,"Low",Table22[[#This Row],[Units Sold]]&lt;=80,"Average",Table22[[#This Row],[Units Sold]]&lt;=90,"High",Table22[[#This Row],[Units Sold]]&lt;=95,"Excellent",Table22[[#This Row],[Units Sold]]&gt;95,"Outstanding")</f>
        <v>Average</v>
      </c>
      <c r="N76" s="29">
        <v>1381.12</v>
      </c>
      <c r="O76" s="29">
        <v>110489.60000000001</v>
      </c>
      <c r="P76" s="43">
        <f>IF(Table22[[#This Row],[Discount Applied]],Table22[[#This Row],[Total Sales (in USD)]]*(1-Table22[[#This Row],[Discount Percentage (%)]]/100),Table22[[#This Row],[Total Sales (in USD)]])</f>
        <v>95783.434240000002</v>
      </c>
      <c r="Q76" s="66">
        <f>SQRT(AVERAGE((Table22[[#This Row],[Net Sales (after discount) (in USD)]]-AVERAGE(Table22[Net Sales (after discount) (in USD)]))^2))</f>
        <v>59272.073676235465</v>
      </c>
      <c r="R76" s="18" t="b">
        <v>1</v>
      </c>
      <c r="S76" s="40">
        <v>13.31</v>
      </c>
      <c r="T76" s="18" t="b">
        <v>1</v>
      </c>
      <c r="U76" s="25">
        <v>45034</v>
      </c>
      <c r="V76" s="63" t="str">
        <f>IF(MONTH(Table22[[#This Row],[Sales Date]])&lt;=3,"Q1",IF(MONTH(Table22[[#This Row],[Sales Date]])&lt;=6,"Q2",IF(MONTH(Table22[[#This Row],[Sales Date]])&lt;=9,"Q3","Q4")))</f>
        <v>Q2</v>
      </c>
      <c r="W76" s="64">
        <f>YEAR(Table22[[#This Row],[Sales Date]])</f>
        <v>2023</v>
      </c>
      <c r="X76" s="23">
        <v>32</v>
      </c>
      <c r="Y76" s="18" t="s">
        <v>41</v>
      </c>
      <c r="Z76" s="18" t="s">
        <v>56</v>
      </c>
      <c r="AA76" s="19" t="s">
        <v>25</v>
      </c>
    </row>
    <row r="77" spans="1:27" x14ac:dyDescent="0.25">
      <c r="A77" s="17" t="s">
        <v>1795</v>
      </c>
      <c r="B77" s="18" t="s">
        <v>38</v>
      </c>
      <c r="C77" s="63" t="str" cm="1">
        <f t="array" ref="C77">_xlfn.SWITCH(Table22[[#This Row],[Country]],"USA","North America","Canada","North America","Brazil","South America","China","Asia","Japan","Asia","India","Asia","France","Europe","Germany","Europe","UK","Europe","Australia","Oceania","South America")</f>
        <v>Europe</v>
      </c>
      <c r="D77" s="18" t="s">
        <v>44</v>
      </c>
      <c r="E77" s="18" t="s">
        <v>19</v>
      </c>
      <c r="F77" s="18" t="s">
        <v>52</v>
      </c>
      <c r="G77" s="18" t="s">
        <v>48</v>
      </c>
      <c r="H77" s="64">
        <f>LEN(TRIM(Table22[[#This Row],[Country]]))</f>
        <v>6</v>
      </c>
      <c r="I77" s="64">
        <f>LEN(TRIM(Table22[[#This Row],[Continent]]))</f>
        <v>6</v>
      </c>
      <c r="J77" s="64">
        <f>LEN(TRIM(Table22[[#This Row],[Product]]))</f>
        <v>6</v>
      </c>
      <c r="K77" s="64">
        <f>LEN(TRIM(Table22[[#This Row],[Sales Team]]))</f>
        <v>9</v>
      </c>
      <c r="L77" s="23">
        <v>87</v>
      </c>
      <c r="M77" s="65" t="str" cm="1">
        <f t="array" ref="M77">_xlfn.IFS(Table22[[#This Row],[Units Sold]]&lt;40,"Critical",Table22[[#This Row],[Units Sold]]&lt;=50,"Poor",Table22[[#This Row],[Units Sold]]&lt;=60,"Low",Table22[[#This Row],[Units Sold]]&lt;=80,"Average",Table22[[#This Row],[Units Sold]]&lt;=90,"High",Table22[[#This Row],[Units Sold]]&lt;=95,"Excellent",Table22[[#This Row],[Units Sold]]&gt;95,"Outstanding")</f>
        <v>High</v>
      </c>
      <c r="N77" s="29">
        <v>1266.1099999999999</v>
      </c>
      <c r="O77" s="29">
        <v>110151.57</v>
      </c>
      <c r="P77" s="43">
        <f>IF(Table22[[#This Row],[Discount Applied]],Table22[[#This Row],[Total Sales (in USD)]]*(1-Table22[[#This Row],[Discount Percentage (%)]]/100),Table22[[#This Row],[Total Sales (in USD)]])</f>
        <v>82734.844227000009</v>
      </c>
      <c r="Q77" s="66">
        <f>SQRT(AVERAGE((Table22[[#This Row],[Net Sales (after discount) (in USD)]]-AVERAGE(Table22[Net Sales (after discount) (in USD)]))^2))</f>
        <v>46223.483663235471</v>
      </c>
      <c r="R77" s="18" t="b">
        <v>0</v>
      </c>
      <c r="S77" s="40">
        <v>24.89</v>
      </c>
      <c r="T77" s="18" t="b">
        <v>1</v>
      </c>
      <c r="U77" s="25">
        <v>45193</v>
      </c>
      <c r="V77" s="63" t="str">
        <f>IF(MONTH(Table22[[#This Row],[Sales Date]])&lt;=3,"Q1",IF(MONTH(Table22[[#This Row],[Sales Date]])&lt;=6,"Q2",IF(MONTH(Table22[[#This Row],[Sales Date]])&lt;=9,"Q3","Q4")))</f>
        <v>Q3</v>
      </c>
      <c r="W77" s="64">
        <f>YEAR(Table22[[#This Row],[Sales Date]])</f>
        <v>2023</v>
      </c>
      <c r="X77" s="23">
        <v>29</v>
      </c>
      <c r="Y77" s="18" t="s">
        <v>49</v>
      </c>
      <c r="Z77" s="18" t="s">
        <v>42</v>
      </c>
      <c r="AA77" s="19" t="s">
        <v>36</v>
      </c>
    </row>
    <row r="78" spans="1:27" x14ac:dyDescent="0.25">
      <c r="A78" s="17" t="s">
        <v>1882</v>
      </c>
      <c r="B78" s="18" t="s">
        <v>72</v>
      </c>
      <c r="C78" s="63" t="str" cm="1">
        <f t="array" ref="C78">_xlfn.SWITCH(Table22[[#This Row],[Country]],"USA","North America","Canada","North America","Brazil","South America","China","Asia","Japan","Asia","India","Asia","France","Europe","Germany","Europe","UK","Europe","Australia","Oceania","South America")</f>
        <v>North America</v>
      </c>
      <c r="D78" s="18" t="s">
        <v>35</v>
      </c>
      <c r="E78" s="18" t="s">
        <v>33</v>
      </c>
      <c r="F78" s="18" t="s">
        <v>64</v>
      </c>
      <c r="G78" s="18" t="s">
        <v>48</v>
      </c>
      <c r="H78" s="64">
        <f>LEN(TRIM(Table22[[#This Row],[Country]]))</f>
        <v>3</v>
      </c>
      <c r="I78" s="64">
        <f>LEN(TRIM(Table22[[#This Row],[Continent]]))</f>
        <v>13</v>
      </c>
      <c r="J78" s="64">
        <f>LEN(TRIM(Table22[[#This Row],[Product]]))</f>
        <v>10</v>
      </c>
      <c r="K78" s="64">
        <f>LEN(TRIM(Table22[[#This Row],[Sales Team]]))</f>
        <v>9</v>
      </c>
      <c r="L78" s="23">
        <v>74</v>
      </c>
      <c r="M78" s="65" t="str" cm="1">
        <f t="array" ref="M78">_xlfn.IFS(Table22[[#This Row],[Units Sold]]&lt;40,"Critical",Table22[[#This Row],[Units Sold]]&lt;=50,"Poor",Table22[[#This Row],[Units Sold]]&lt;=60,"Low",Table22[[#This Row],[Units Sold]]&lt;=80,"Average",Table22[[#This Row],[Units Sold]]&lt;=90,"High",Table22[[#This Row],[Units Sold]]&lt;=95,"Excellent",Table22[[#This Row],[Units Sold]]&gt;95,"Outstanding")</f>
        <v>Average</v>
      </c>
      <c r="N78" s="29">
        <v>1481.39</v>
      </c>
      <c r="O78" s="29">
        <v>109622.86</v>
      </c>
      <c r="P78" s="43">
        <f>IF(Table22[[#This Row],[Discount Applied]],Table22[[#This Row],[Total Sales (in USD)]]*(1-Table22[[#This Row],[Discount Percentage (%)]]/100),Table22[[#This Row],[Total Sales (in USD)]])</f>
        <v>109622.86</v>
      </c>
      <c r="Q78" s="66">
        <f>SQRT(AVERAGE((Table22[[#This Row],[Net Sales (after discount) (in USD)]]-AVERAGE(Table22[Net Sales (after discount) (in USD)]))^2))</f>
        <v>73111.499436235463</v>
      </c>
      <c r="R78" s="18" t="b">
        <v>1</v>
      </c>
      <c r="S78" s="40">
        <v>23.63</v>
      </c>
      <c r="T78" s="18" t="b">
        <v>0</v>
      </c>
      <c r="U78" s="25">
        <v>45466</v>
      </c>
      <c r="V78" s="63" t="str">
        <f>IF(MONTH(Table22[[#This Row],[Sales Date]])&lt;=3,"Q1",IF(MONTH(Table22[[#This Row],[Sales Date]])&lt;=6,"Q2",IF(MONTH(Table22[[#This Row],[Sales Date]])&lt;=9,"Q3","Q4")))</f>
        <v>Q2</v>
      </c>
      <c r="W78" s="64">
        <f>YEAR(Table22[[#This Row],[Sales Date]])</f>
        <v>2024</v>
      </c>
      <c r="X78" s="23">
        <v>31</v>
      </c>
      <c r="Y78" s="18" t="s">
        <v>49</v>
      </c>
      <c r="Z78" s="18" t="s">
        <v>24</v>
      </c>
      <c r="AA78" s="19" t="s">
        <v>36</v>
      </c>
    </row>
    <row r="79" spans="1:27" x14ac:dyDescent="0.25">
      <c r="A79" s="17" t="s">
        <v>1608</v>
      </c>
      <c r="B79" s="18" t="s">
        <v>76</v>
      </c>
      <c r="C79" s="63" t="str" cm="1">
        <f t="array" ref="C79">_xlfn.SWITCH(Table22[[#This Row],[Country]],"USA","North America","Canada","North America","Brazil","South America","China","Asia","Japan","Asia","India","Asia","France","Europe","Germany","Europe","UK","Europe","Australia","Oceania","South America")</f>
        <v>Asia</v>
      </c>
      <c r="D79" s="18" t="s">
        <v>28</v>
      </c>
      <c r="E79" s="18" t="s">
        <v>33</v>
      </c>
      <c r="F79" s="18" t="s">
        <v>64</v>
      </c>
      <c r="G79" s="18" t="s">
        <v>29</v>
      </c>
      <c r="H79" s="64">
        <f>LEN(TRIM(Table22[[#This Row],[Country]]))</f>
        <v>5</v>
      </c>
      <c r="I79" s="64">
        <f>LEN(TRIM(Table22[[#This Row],[Continent]]))</f>
        <v>4</v>
      </c>
      <c r="J79" s="64">
        <f>LEN(TRIM(Table22[[#This Row],[Product]]))</f>
        <v>10</v>
      </c>
      <c r="K79" s="64">
        <f>LEN(TRIM(Table22[[#This Row],[Sales Team]]))</f>
        <v>10</v>
      </c>
      <c r="L79" s="23">
        <v>93</v>
      </c>
      <c r="M79" s="65" t="str" cm="1">
        <f t="array" ref="M79">_xlfn.IFS(Table22[[#This Row],[Units Sold]]&lt;40,"Critical",Table22[[#This Row],[Units Sold]]&lt;=50,"Poor",Table22[[#This Row],[Units Sold]]&lt;=60,"Low",Table22[[#This Row],[Units Sold]]&lt;=80,"Average",Table22[[#This Row],[Units Sold]]&lt;=90,"High",Table22[[#This Row],[Units Sold]]&lt;=95,"Excellent",Table22[[#This Row],[Units Sold]]&gt;95,"Outstanding")</f>
        <v>Excellent</v>
      </c>
      <c r="N79" s="29">
        <v>1178.08</v>
      </c>
      <c r="O79" s="29">
        <v>109561.44</v>
      </c>
      <c r="P79" s="43">
        <f>IF(Table22[[#This Row],[Discount Applied]],Table22[[#This Row],[Total Sales (in USD)]]*(1-Table22[[#This Row],[Discount Percentage (%)]]/100),Table22[[#This Row],[Total Sales (in USD)]])</f>
        <v>109561.44</v>
      </c>
      <c r="Q79" s="66">
        <f>SQRT(AVERAGE((Table22[[#This Row],[Net Sales (after discount) (in USD)]]-AVERAGE(Table22[Net Sales (after discount) (in USD)]))^2))</f>
        <v>73050.079436235465</v>
      </c>
      <c r="R79" s="18" t="b">
        <v>1</v>
      </c>
      <c r="S79" s="40">
        <v>9.32</v>
      </c>
      <c r="T79" s="18" t="b">
        <v>0</v>
      </c>
      <c r="U79" s="25">
        <v>45503</v>
      </c>
      <c r="V79" s="63" t="str">
        <f>IF(MONTH(Table22[[#This Row],[Sales Date]])&lt;=3,"Q1",IF(MONTH(Table22[[#This Row],[Sales Date]])&lt;=6,"Q2",IF(MONTH(Table22[[#This Row],[Sales Date]])&lt;=9,"Q3","Q4")))</f>
        <v>Q3</v>
      </c>
      <c r="W79" s="64">
        <f>YEAR(Table22[[#This Row],[Sales Date]])</f>
        <v>2024</v>
      </c>
      <c r="X79" s="23">
        <v>25</v>
      </c>
      <c r="Y79" s="18" t="s">
        <v>23</v>
      </c>
      <c r="Z79" s="18" t="s">
        <v>56</v>
      </c>
      <c r="AA79" s="19" t="s">
        <v>25</v>
      </c>
    </row>
    <row r="80" spans="1:27" x14ac:dyDescent="0.25">
      <c r="A80" s="17" t="s">
        <v>985</v>
      </c>
      <c r="B80" s="18" t="s">
        <v>72</v>
      </c>
      <c r="C80" s="63" t="str" cm="1">
        <f t="array" ref="C80">_xlfn.SWITCH(Table22[[#This Row],[Country]],"USA","North America","Canada","North America","Brazil","South America","China","Asia","Japan","Asia","India","Asia","France","Europe","Germany","Europe","UK","Europe","Australia","Oceania","South America")</f>
        <v>North America</v>
      </c>
      <c r="D80" s="18" t="s">
        <v>28</v>
      </c>
      <c r="E80" s="18" t="s">
        <v>33</v>
      </c>
      <c r="F80" s="18" t="s">
        <v>20</v>
      </c>
      <c r="G80" s="18" t="s">
        <v>48</v>
      </c>
      <c r="H80" s="64">
        <f>LEN(TRIM(Table22[[#This Row],[Country]]))</f>
        <v>3</v>
      </c>
      <c r="I80" s="64">
        <f>LEN(TRIM(Table22[[#This Row],[Continent]]))</f>
        <v>13</v>
      </c>
      <c r="J80" s="64">
        <f>LEN(TRIM(Table22[[#This Row],[Product]]))</f>
        <v>10</v>
      </c>
      <c r="K80" s="64">
        <f>LEN(TRIM(Table22[[#This Row],[Sales Team]]))</f>
        <v>9</v>
      </c>
      <c r="L80" s="23">
        <v>96</v>
      </c>
      <c r="M80" s="65" t="str" cm="1">
        <f t="array" ref="M80">_xlfn.IFS(Table22[[#This Row],[Units Sold]]&lt;40,"Critical",Table22[[#This Row],[Units Sold]]&lt;=50,"Poor",Table22[[#This Row],[Units Sold]]&lt;=60,"Low",Table22[[#This Row],[Units Sold]]&lt;=80,"Average",Table22[[#This Row],[Units Sold]]&lt;=90,"High",Table22[[#This Row],[Units Sold]]&lt;=95,"Excellent",Table22[[#This Row],[Units Sold]]&gt;95,"Outstanding")</f>
        <v>Outstanding</v>
      </c>
      <c r="N80" s="29">
        <v>1134.49</v>
      </c>
      <c r="O80" s="29">
        <v>108911.03999999999</v>
      </c>
      <c r="P80" s="43">
        <f>IF(Table22[[#This Row],[Discount Applied]],Table22[[#This Row],[Total Sales (in USD)]]*(1-Table22[[#This Row],[Discount Percentage (%)]]/100),Table22[[#This Row],[Total Sales (in USD)]])</f>
        <v>108911.03999999999</v>
      </c>
      <c r="Q80" s="66">
        <f>SQRT(AVERAGE((Table22[[#This Row],[Net Sales (after discount) (in USD)]]-AVERAGE(Table22[Net Sales (after discount) (in USD)]))^2))</f>
        <v>72399.679436235456</v>
      </c>
      <c r="R80" s="18" t="b">
        <v>0</v>
      </c>
      <c r="S80" s="40">
        <v>27.22</v>
      </c>
      <c r="T80" s="18" t="b">
        <v>0</v>
      </c>
      <c r="U80" s="25">
        <v>45551</v>
      </c>
      <c r="V80" s="63" t="str">
        <f>IF(MONTH(Table22[[#This Row],[Sales Date]])&lt;=3,"Q1",IF(MONTH(Table22[[#This Row],[Sales Date]])&lt;=6,"Q2",IF(MONTH(Table22[[#This Row],[Sales Date]])&lt;=9,"Q3","Q4")))</f>
        <v>Q3</v>
      </c>
      <c r="W80" s="64">
        <f>YEAR(Table22[[#This Row],[Sales Date]])</f>
        <v>2024</v>
      </c>
      <c r="X80" s="23">
        <v>57</v>
      </c>
      <c r="Y80" s="18" t="s">
        <v>41</v>
      </c>
      <c r="Z80" s="18" t="s">
        <v>56</v>
      </c>
      <c r="AA80" s="19" t="s">
        <v>25</v>
      </c>
    </row>
    <row r="81" spans="1:27" x14ac:dyDescent="0.25">
      <c r="A81" s="17" t="s">
        <v>992</v>
      </c>
      <c r="B81" s="18" t="s">
        <v>66</v>
      </c>
      <c r="C81" s="63" t="str" cm="1">
        <f t="array" ref="C81">_xlfn.SWITCH(Table22[[#This Row],[Country]],"USA","North America","Canada","North America","Brazil","South America","China","Asia","Japan","Asia","India","Asia","France","Europe","Germany","Europe","UK","Europe","Australia","Oceania","South America")</f>
        <v>North America</v>
      </c>
      <c r="D81" s="18" t="s">
        <v>21</v>
      </c>
      <c r="E81" s="18" t="s">
        <v>33</v>
      </c>
      <c r="F81" s="18" t="s">
        <v>20</v>
      </c>
      <c r="G81" s="18" t="s">
        <v>22</v>
      </c>
      <c r="H81" s="64">
        <f>LEN(TRIM(Table22[[#This Row],[Country]]))</f>
        <v>6</v>
      </c>
      <c r="I81" s="64">
        <f>LEN(TRIM(Table22[[#This Row],[Continent]]))</f>
        <v>13</v>
      </c>
      <c r="J81" s="64">
        <f>LEN(TRIM(Table22[[#This Row],[Product]]))</f>
        <v>10</v>
      </c>
      <c r="K81" s="64">
        <f>LEN(TRIM(Table22[[#This Row],[Sales Team]]))</f>
        <v>10</v>
      </c>
      <c r="L81" s="23">
        <v>97</v>
      </c>
      <c r="M81" s="65" t="str" cm="1">
        <f t="array" ref="M81">_xlfn.IFS(Table22[[#This Row],[Units Sold]]&lt;40,"Critical",Table22[[#This Row],[Units Sold]]&lt;=50,"Poor",Table22[[#This Row],[Units Sold]]&lt;=60,"Low",Table22[[#This Row],[Units Sold]]&lt;=80,"Average",Table22[[#This Row],[Units Sold]]&lt;=90,"High",Table22[[#This Row],[Units Sold]]&lt;=95,"Excellent",Table22[[#This Row],[Units Sold]]&gt;95,"Outstanding")</f>
        <v>Outstanding</v>
      </c>
      <c r="N81" s="29">
        <v>1122.43</v>
      </c>
      <c r="O81" s="29">
        <v>108875.71</v>
      </c>
      <c r="P81" s="43">
        <f>IF(Table22[[#This Row],[Discount Applied]],Table22[[#This Row],[Total Sales (in USD)]]*(1-Table22[[#This Row],[Discount Percentage (%)]]/100),Table22[[#This Row],[Total Sales (in USD)]])</f>
        <v>108875.71</v>
      </c>
      <c r="Q81" s="66">
        <f>SQRT(AVERAGE((Table22[[#This Row],[Net Sales (after discount) (in USD)]]-AVERAGE(Table22[Net Sales (after discount) (in USD)]))^2))</f>
        <v>72364.349436235469</v>
      </c>
      <c r="R81" s="18" t="b">
        <v>1</v>
      </c>
      <c r="S81" s="40">
        <v>20.47</v>
      </c>
      <c r="T81" s="18" t="b">
        <v>0</v>
      </c>
      <c r="U81" s="25">
        <v>45419</v>
      </c>
      <c r="V81" s="63" t="str">
        <f>IF(MONTH(Table22[[#This Row],[Sales Date]])&lt;=3,"Q1",IF(MONTH(Table22[[#This Row],[Sales Date]])&lt;=6,"Q2",IF(MONTH(Table22[[#This Row],[Sales Date]])&lt;=9,"Q3","Q4")))</f>
        <v>Q2</v>
      </c>
      <c r="W81" s="64">
        <f>YEAR(Table22[[#This Row],[Sales Date]])</f>
        <v>2024</v>
      </c>
      <c r="X81" s="23">
        <v>65</v>
      </c>
      <c r="Y81" s="18" t="s">
        <v>23</v>
      </c>
      <c r="Z81" s="18" t="s">
        <v>24</v>
      </c>
      <c r="AA81" s="19" t="s">
        <v>25</v>
      </c>
    </row>
    <row r="82" spans="1:27" x14ac:dyDescent="0.25">
      <c r="A82" s="17" t="s">
        <v>1446</v>
      </c>
      <c r="B82" s="18" t="s">
        <v>76</v>
      </c>
      <c r="C82" s="63" t="str" cm="1">
        <f t="array" ref="C82">_xlfn.SWITCH(Table22[[#This Row],[Country]],"USA","North America","Canada","North America","Brazil","South America","China","Asia","Japan","Asia","India","Asia","France","Europe","Germany","Europe","UK","Europe","Australia","Oceania","South America")</f>
        <v>Asia</v>
      </c>
      <c r="D82" s="18" t="s">
        <v>28</v>
      </c>
      <c r="E82" s="18" t="s">
        <v>19</v>
      </c>
      <c r="F82" s="18" t="s">
        <v>64</v>
      </c>
      <c r="G82" s="18" t="s">
        <v>48</v>
      </c>
      <c r="H82" s="64">
        <f>LEN(TRIM(Table22[[#This Row],[Country]]))</f>
        <v>5</v>
      </c>
      <c r="I82" s="64">
        <f>LEN(TRIM(Table22[[#This Row],[Continent]]))</f>
        <v>4</v>
      </c>
      <c r="J82" s="64">
        <f>LEN(TRIM(Table22[[#This Row],[Product]]))</f>
        <v>6</v>
      </c>
      <c r="K82" s="64">
        <f>LEN(TRIM(Table22[[#This Row],[Sales Team]]))</f>
        <v>9</v>
      </c>
      <c r="L82" s="23">
        <v>90</v>
      </c>
      <c r="M82" s="65" t="str" cm="1">
        <f t="array" ref="M82">_xlfn.IFS(Table22[[#This Row],[Units Sold]]&lt;40,"Critical",Table22[[#This Row],[Units Sold]]&lt;=50,"Poor",Table22[[#This Row],[Units Sold]]&lt;=60,"Low",Table22[[#This Row],[Units Sold]]&lt;=80,"Average",Table22[[#This Row],[Units Sold]]&lt;=90,"High",Table22[[#This Row],[Units Sold]]&lt;=95,"Excellent",Table22[[#This Row],[Units Sold]]&gt;95,"Outstanding")</f>
        <v>High</v>
      </c>
      <c r="N82" s="29">
        <v>1204.47</v>
      </c>
      <c r="O82" s="29">
        <v>108402.3</v>
      </c>
      <c r="P82" s="43">
        <f>IF(Table22[[#This Row],[Discount Applied]],Table22[[#This Row],[Total Sales (in USD)]]*(1-Table22[[#This Row],[Discount Percentage (%)]]/100),Table22[[#This Row],[Total Sales (in USD)]])</f>
        <v>98830.376909999992</v>
      </c>
      <c r="Q82" s="66">
        <f>SQRT(AVERAGE((Table22[[#This Row],[Net Sales (after discount) (in USD)]]-AVERAGE(Table22[Net Sales (after discount) (in USD)]))^2))</f>
        <v>62319.016346235454</v>
      </c>
      <c r="R82" s="18" t="b">
        <v>0</v>
      </c>
      <c r="S82" s="40">
        <v>8.83</v>
      </c>
      <c r="T82" s="18" t="b">
        <v>1</v>
      </c>
      <c r="U82" s="25">
        <v>45392</v>
      </c>
      <c r="V82" s="63" t="str">
        <f>IF(MONTH(Table22[[#This Row],[Sales Date]])&lt;=3,"Q1",IF(MONTH(Table22[[#This Row],[Sales Date]])&lt;=6,"Q2",IF(MONTH(Table22[[#This Row],[Sales Date]])&lt;=9,"Q3","Q4")))</f>
        <v>Q2</v>
      </c>
      <c r="W82" s="64">
        <f>YEAR(Table22[[#This Row],[Sales Date]])</f>
        <v>2024</v>
      </c>
      <c r="X82" s="23">
        <v>57</v>
      </c>
      <c r="Y82" s="18" t="s">
        <v>23</v>
      </c>
      <c r="Z82" s="18" t="s">
        <v>42</v>
      </c>
      <c r="AA82" s="19" t="s">
        <v>25</v>
      </c>
    </row>
    <row r="83" spans="1:27" x14ac:dyDescent="0.25">
      <c r="A83" s="17" t="s">
        <v>229</v>
      </c>
      <c r="B83" s="18" t="s">
        <v>66</v>
      </c>
      <c r="C83" s="63" t="str" cm="1">
        <f t="array" ref="C83">_xlfn.SWITCH(Table22[[#This Row],[Country]],"USA","North America","Canada","North America","Brazil","South America","China","Asia","Japan","Asia","India","Asia","France","Europe","Germany","Europe","UK","Europe","Australia","Oceania","South America")</f>
        <v>North America</v>
      </c>
      <c r="D83" s="18" t="s">
        <v>44</v>
      </c>
      <c r="E83" s="18" t="s">
        <v>39</v>
      </c>
      <c r="F83" s="18" t="s">
        <v>64</v>
      </c>
      <c r="G83" s="18" t="s">
        <v>48</v>
      </c>
      <c r="H83" s="64">
        <f>LEN(TRIM(Table22[[#This Row],[Country]]))</f>
        <v>6</v>
      </c>
      <c r="I83" s="64">
        <f>LEN(TRIM(Table22[[#This Row],[Continent]]))</f>
        <v>13</v>
      </c>
      <c r="J83" s="64">
        <f>LEN(TRIM(Table22[[#This Row],[Product]]))</f>
        <v>10</v>
      </c>
      <c r="K83" s="64">
        <f>LEN(TRIM(Table22[[#This Row],[Sales Team]]))</f>
        <v>9</v>
      </c>
      <c r="L83" s="23">
        <v>75</v>
      </c>
      <c r="M83" s="65" t="str" cm="1">
        <f t="array" ref="M83">_xlfn.IFS(Table22[[#This Row],[Units Sold]]&lt;40,"Critical",Table22[[#This Row],[Units Sold]]&lt;=50,"Poor",Table22[[#This Row],[Units Sold]]&lt;=60,"Low",Table22[[#This Row],[Units Sold]]&lt;=80,"Average",Table22[[#This Row],[Units Sold]]&lt;=90,"High",Table22[[#This Row],[Units Sold]]&lt;=95,"Excellent",Table22[[#This Row],[Units Sold]]&gt;95,"Outstanding")</f>
        <v>Average</v>
      </c>
      <c r="N83" s="29">
        <v>1443.62</v>
      </c>
      <c r="O83" s="29">
        <v>108271.5</v>
      </c>
      <c r="P83" s="43">
        <f>IF(Table22[[#This Row],[Discount Applied]],Table22[[#This Row],[Total Sales (in USD)]]*(1-Table22[[#This Row],[Discount Percentage (%)]]/100),Table22[[#This Row],[Total Sales (in USD)]])</f>
        <v>99772.187250000003</v>
      </c>
      <c r="Q83" s="66">
        <f>SQRT(AVERAGE((Table22[[#This Row],[Net Sales (after discount) (in USD)]]-AVERAGE(Table22[Net Sales (after discount) (in USD)]))^2))</f>
        <v>63260.826686235465</v>
      </c>
      <c r="R83" s="18" t="b">
        <v>1</v>
      </c>
      <c r="S83" s="40">
        <v>7.85</v>
      </c>
      <c r="T83" s="18" t="b">
        <v>1</v>
      </c>
      <c r="U83" s="25">
        <v>44973</v>
      </c>
      <c r="V83" s="63" t="str">
        <f>IF(MONTH(Table22[[#This Row],[Sales Date]])&lt;=3,"Q1",IF(MONTH(Table22[[#This Row],[Sales Date]])&lt;=6,"Q2",IF(MONTH(Table22[[#This Row],[Sales Date]])&lt;=9,"Q3","Q4")))</f>
        <v>Q1</v>
      </c>
      <c r="W83" s="64">
        <f>YEAR(Table22[[#This Row],[Sales Date]])</f>
        <v>2023</v>
      </c>
      <c r="X83" s="23">
        <v>48</v>
      </c>
      <c r="Y83" s="18" t="s">
        <v>23</v>
      </c>
      <c r="Z83" s="18" t="s">
        <v>56</v>
      </c>
      <c r="AA83" s="19" t="s">
        <v>25</v>
      </c>
    </row>
    <row r="84" spans="1:27" x14ac:dyDescent="0.25">
      <c r="A84" s="17" t="s">
        <v>947</v>
      </c>
      <c r="B84" s="18" t="s">
        <v>72</v>
      </c>
      <c r="C84" s="63" t="str" cm="1">
        <f t="array" ref="C84">_xlfn.SWITCH(Table22[[#This Row],[Country]],"USA","North America","Canada","North America","Brazil","South America","China","Asia","Japan","Asia","India","Asia","France","Europe","Germany","Europe","UK","Europe","Australia","Oceania","South America")</f>
        <v>North America</v>
      </c>
      <c r="D84" s="18" t="s">
        <v>44</v>
      </c>
      <c r="E84" s="18" t="s">
        <v>33</v>
      </c>
      <c r="F84" s="18" t="s">
        <v>34</v>
      </c>
      <c r="G84" s="18" t="s">
        <v>48</v>
      </c>
      <c r="H84" s="64">
        <f>LEN(TRIM(Table22[[#This Row],[Country]]))</f>
        <v>3</v>
      </c>
      <c r="I84" s="64">
        <f>LEN(TRIM(Table22[[#This Row],[Continent]]))</f>
        <v>13</v>
      </c>
      <c r="J84" s="64">
        <f>LEN(TRIM(Table22[[#This Row],[Product]]))</f>
        <v>10</v>
      </c>
      <c r="K84" s="64">
        <f>LEN(TRIM(Table22[[#This Row],[Sales Team]]))</f>
        <v>9</v>
      </c>
      <c r="L84" s="23">
        <v>86</v>
      </c>
      <c r="M84" s="65" t="str" cm="1">
        <f t="array" ref="M84">_xlfn.IFS(Table22[[#This Row],[Units Sold]]&lt;40,"Critical",Table22[[#This Row],[Units Sold]]&lt;=50,"Poor",Table22[[#This Row],[Units Sold]]&lt;=60,"Low",Table22[[#This Row],[Units Sold]]&lt;=80,"Average",Table22[[#This Row],[Units Sold]]&lt;=90,"High",Table22[[#This Row],[Units Sold]]&lt;=95,"Excellent",Table22[[#This Row],[Units Sold]]&gt;95,"Outstanding")</f>
        <v>High</v>
      </c>
      <c r="N84" s="29">
        <v>1257.75</v>
      </c>
      <c r="O84" s="29">
        <v>108166.5</v>
      </c>
      <c r="P84" s="43">
        <f>IF(Table22[[#This Row],[Discount Applied]],Table22[[#This Row],[Total Sales (in USD)]]*(1-Table22[[#This Row],[Discount Percentage (%)]]/100),Table22[[#This Row],[Total Sales (in USD)]])</f>
        <v>108166.5</v>
      </c>
      <c r="Q84" s="66">
        <f>SQRT(AVERAGE((Table22[[#This Row],[Net Sales (after discount) (in USD)]]-AVERAGE(Table22[Net Sales (after discount) (in USD)]))^2))</f>
        <v>71655.139436235462</v>
      </c>
      <c r="R84" s="18" t="b">
        <v>1</v>
      </c>
      <c r="S84" s="40">
        <v>14.94</v>
      </c>
      <c r="T84" s="18" t="b">
        <v>0</v>
      </c>
      <c r="U84" s="25">
        <v>45151</v>
      </c>
      <c r="V84" s="63" t="str">
        <f>IF(MONTH(Table22[[#This Row],[Sales Date]])&lt;=3,"Q1",IF(MONTH(Table22[[#This Row],[Sales Date]])&lt;=6,"Q2",IF(MONTH(Table22[[#This Row],[Sales Date]])&lt;=9,"Q3","Q4")))</f>
        <v>Q3</v>
      </c>
      <c r="W84" s="64">
        <f>YEAR(Table22[[#This Row],[Sales Date]])</f>
        <v>2023</v>
      </c>
      <c r="X84" s="23">
        <v>21</v>
      </c>
      <c r="Y84" s="18" t="s">
        <v>49</v>
      </c>
      <c r="Z84" s="18" t="s">
        <v>30</v>
      </c>
      <c r="AA84" s="19" t="s">
        <v>36</v>
      </c>
    </row>
    <row r="85" spans="1:27" x14ac:dyDescent="0.25">
      <c r="A85" s="17" t="s">
        <v>2035</v>
      </c>
      <c r="B85" s="18" t="s">
        <v>18</v>
      </c>
      <c r="C85" s="63" t="str" cm="1">
        <f t="array" ref="C85">_xlfn.SWITCH(Table22[[#This Row],[Country]],"USA","North America","Canada","North America","Brazil","South America","China","Asia","Japan","Asia","India","Asia","France","Europe","Germany","Europe","UK","Europe","Australia","Oceania","South America")</f>
        <v>Asia</v>
      </c>
      <c r="D85" s="18" t="s">
        <v>21</v>
      </c>
      <c r="E85" s="18" t="s">
        <v>33</v>
      </c>
      <c r="F85" s="18" t="s">
        <v>47</v>
      </c>
      <c r="G85" s="18" t="s">
        <v>29</v>
      </c>
      <c r="H85" s="64">
        <f>LEN(TRIM(Table22[[#This Row],[Country]]))</f>
        <v>5</v>
      </c>
      <c r="I85" s="64">
        <f>LEN(TRIM(Table22[[#This Row],[Continent]]))</f>
        <v>4</v>
      </c>
      <c r="J85" s="64">
        <f>LEN(TRIM(Table22[[#This Row],[Product]]))</f>
        <v>10</v>
      </c>
      <c r="K85" s="64">
        <f>LEN(TRIM(Table22[[#This Row],[Sales Team]]))</f>
        <v>10</v>
      </c>
      <c r="L85" s="23">
        <v>92</v>
      </c>
      <c r="M85" s="65" t="str" cm="1">
        <f t="array" ref="M85">_xlfn.IFS(Table22[[#This Row],[Units Sold]]&lt;40,"Critical",Table22[[#This Row],[Units Sold]]&lt;=50,"Poor",Table22[[#This Row],[Units Sold]]&lt;=60,"Low",Table22[[#This Row],[Units Sold]]&lt;=80,"Average",Table22[[#This Row],[Units Sold]]&lt;=90,"High",Table22[[#This Row],[Units Sold]]&lt;=95,"Excellent",Table22[[#This Row],[Units Sold]]&gt;95,"Outstanding")</f>
        <v>Excellent</v>
      </c>
      <c r="N85" s="29">
        <v>1175.45</v>
      </c>
      <c r="O85" s="29">
        <v>108141.4</v>
      </c>
      <c r="P85" s="43">
        <f>IF(Table22[[#This Row],[Discount Applied]],Table22[[#This Row],[Total Sales (in USD)]]*(1-Table22[[#This Row],[Discount Percentage (%)]]/100),Table22[[#This Row],[Total Sales (in USD)]])</f>
        <v>108141.4</v>
      </c>
      <c r="Q85" s="66">
        <f>SQRT(AVERAGE((Table22[[#This Row],[Net Sales (after discount) (in USD)]]-AVERAGE(Table22[Net Sales (after discount) (in USD)]))^2))</f>
        <v>71630.039436235456</v>
      </c>
      <c r="R85" s="18" t="b">
        <v>1</v>
      </c>
      <c r="S85" s="40">
        <v>18.61</v>
      </c>
      <c r="T85" s="18" t="b">
        <v>0</v>
      </c>
      <c r="U85" s="25">
        <v>45520</v>
      </c>
      <c r="V85" s="63" t="str">
        <f>IF(MONTH(Table22[[#This Row],[Sales Date]])&lt;=3,"Q1",IF(MONTH(Table22[[#This Row],[Sales Date]])&lt;=6,"Q2",IF(MONTH(Table22[[#This Row],[Sales Date]])&lt;=9,"Q3","Q4")))</f>
        <v>Q3</v>
      </c>
      <c r="W85" s="64">
        <f>YEAR(Table22[[#This Row],[Sales Date]])</f>
        <v>2024</v>
      </c>
      <c r="X85" s="23">
        <v>50</v>
      </c>
      <c r="Y85" s="18" t="s">
        <v>49</v>
      </c>
      <c r="Z85" s="18" t="s">
        <v>30</v>
      </c>
      <c r="AA85" s="19" t="s">
        <v>36</v>
      </c>
    </row>
    <row r="86" spans="1:27" x14ac:dyDescent="0.25">
      <c r="A86" s="17" t="s">
        <v>545</v>
      </c>
      <c r="B86" s="18" t="s">
        <v>18</v>
      </c>
      <c r="C86" s="63" t="str" cm="1">
        <f t="array" ref="C86">_xlfn.SWITCH(Table22[[#This Row],[Country]],"USA","North America","Canada","North America","Brazil","South America","China","Asia","Japan","Asia","India","Asia","France","Europe","Germany","Europe","UK","Europe","Australia","Oceania","South America")</f>
        <v>Asia</v>
      </c>
      <c r="D86" s="18" t="s">
        <v>21</v>
      </c>
      <c r="E86" s="18" t="s">
        <v>39</v>
      </c>
      <c r="F86" s="18" t="s">
        <v>52</v>
      </c>
      <c r="G86" s="18" t="s">
        <v>40</v>
      </c>
      <c r="H86" s="64">
        <f>LEN(TRIM(Table22[[#This Row],[Country]]))</f>
        <v>5</v>
      </c>
      <c r="I86" s="64">
        <f>LEN(TRIM(Table22[[#This Row],[Continent]]))</f>
        <v>4</v>
      </c>
      <c r="J86" s="64">
        <f>LEN(TRIM(Table22[[#This Row],[Product]]))</f>
        <v>10</v>
      </c>
      <c r="K86" s="64">
        <f>LEN(TRIM(Table22[[#This Row],[Sales Team]]))</f>
        <v>10</v>
      </c>
      <c r="L86" s="23">
        <v>73</v>
      </c>
      <c r="M86" s="65" t="str" cm="1">
        <f t="array" ref="M86">_xlfn.IFS(Table22[[#This Row],[Units Sold]]&lt;40,"Critical",Table22[[#This Row],[Units Sold]]&lt;=50,"Poor",Table22[[#This Row],[Units Sold]]&lt;=60,"Low",Table22[[#This Row],[Units Sold]]&lt;=80,"Average",Table22[[#This Row],[Units Sold]]&lt;=90,"High",Table22[[#This Row],[Units Sold]]&lt;=95,"Excellent",Table22[[#This Row],[Units Sold]]&gt;95,"Outstanding")</f>
        <v>Average</v>
      </c>
      <c r="N86" s="29">
        <v>1479.59</v>
      </c>
      <c r="O86" s="29">
        <v>108010.07</v>
      </c>
      <c r="P86" s="43">
        <f>IF(Table22[[#This Row],[Discount Applied]],Table22[[#This Row],[Total Sales (in USD)]]*(1-Table22[[#This Row],[Discount Percentage (%)]]/100),Table22[[#This Row],[Total Sales (in USD)]])</f>
        <v>108010.07</v>
      </c>
      <c r="Q86" s="66">
        <f>SQRT(AVERAGE((Table22[[#This Row],[Net Sales (after discount) (in USD)]]-AVERAGE(Table22[Net Sales (after discount) (in USD)]))^2))</f>
        <v>71498.709436235469</v>
      </c>
      <c r="R86" s="18" t="b">
        <v>1</v>
      </c>
      <c r="S86" s="40">
        <v>13.82</v>
      </c>
      <c r="T86" s="18" t="b">
        <v>0</v>
      </c>
      <c r="U86" s="25">
        <v>45179</v>
      </c>
      <c r="V86" s="63" t="str">
        <f>IF(MONTH(Table22[[#This Row],[Sales Date]])&lt;=3,"Q1",IF(MONTH(Table22[[#This Row],[Sales Date]])&lt;=6,"Q2",IF(MONTH(Table22[[#This Row],[Sales Date]])&lt;=9,"Q3","Q4")))</f>
        <v>Q3</v>
      </c>
      <c r="W86" s="64">
        <f>YEAR(Table22[[#This Row],[Sales Date]])</f>
        <v>2023</v>
      </c>
      <c r="X86" s="23">
        <v>47</v>
      </c>
      <c r="Y86" s="18" t="s">
        <v>23</v>
      </c>
      <c r="Z86" s="18" t="s">
        <v>24</v>
      </c>
      <c r="AA86" s="19" t="s">
        <v>25</v>
      </c>
    </row>
    <row r="87" spans="1:27" x14ac:dyDescent="0.25">
      <c r="A87" s="17" t="s">
        <v>708</v>
      </c>
      <c r="B87" s="18" t="s">
        <v>18</v>
      </c>
      <c r="C87" s="63" t="str" cm="1">
        <f t="array" ref="C87">_xlfn.SWITCH(Table22[[#This Row],[Country]],"USA","North America","Canada","North America","Brazil","South America","China","Asia","Japan","Asia","India","Asia","France","Europe","Germany","Europe","UK","Europe","Australia","Oceania","South America")</f>
        <v>Asia</v>
      </c>
      <c r="D87" s="18" t="s">
        <v>35</v>
      </c>
      <c r="E87" s="18" t="s">
        <v>33</v>
      </c>
      <c r="F87" s="18" t="s">
        <v>20</v>
      </c>
      <c r="G87" s="18" t="s">
        <v>40</v>
      </c>
      <c r="H87" s="64">
        <f>LEN(TRIM(Table22[[#This Row],[Country]]))</f>
        <v>5</v>
      </c>
      <c r="I87" s="64">
        <f>LEN(TRIM(Table22[[#This Row],[Continent]]))</f>
        <v>4</v>
      </c>
      <c r="J87" s="64">
        <f>LEN(TRIM(Table22[[#This Row],[Product]]))</f>
        <v>10</v>
      </c>
      <c r="K87" s="64">
        <f>LEN(TRIM(Table22[[#This Row],[Sales Team]]))</f>
        <v>10</v>
      </c>
      <c r="L87" s="23">
        <v>79</v>
      </c>
      <c r="M87" s="65" t="str" cm="1">
        <f t="array" ref="M87">_xlfn.IFS(Table22[[#This Row],[Units Sold]]&lt;40,"Critical",Table22[[#This Row],[Units Sold]]&lt;=50,"Poor",Table22[[#This Row],[Units Sold]]&lt;=60,"Low",Table22[[#This Row],[Units Sold]]&lt;=80,"Average",Table22[[#This Row],[Units Sold]]&lt;=90,"High",Table22[[#This Row],[Units Sold]]&lt;=95,"Excellent",Table22[[#This Row],[Units Sold]]&gt;95,"Outstanding")</f>
        <v>Average</v>
      </c>
      <c r="N87" s="29">
        <v>1366.33</v>
      </c>
      <c r="O87" s="29">
        <v>107940.07</v>
      </c>
      <c r="P87" s="43">
        <f>IF(Table22[[#This Row],[Discount Applied]],Table22[[#This Row],[Total Sales (in USD)]]*(1-Table22[[#This Row],[Discount Percentage (%)]]/100),Table22[[#This Row],[Total Sales (in USD)]])</f>
        <v>107821.33592300001</v>
      </c>
      <c r="Q87" s="66">
        <f>SQRT(AVERAGE((Table22[[#This Row],[Net Sales (after discount) (in USD)]]-AVERAGE(Table22[Net Sales (after discount) (in USD)]))^2))</f>
        <v>71309.975359235468</v>
      </c>
      <c r="R87" s="18" t="b">
        <v>1</v>
      </c>
      <c r="S87" s="40">
        <v>0.11</v>
      </c>
      <c r="T87" s="18" t="b">
        <v>1</v>
      </c>
      <c r="U87" s="25">
        <v>45587</v>
      </c>
      <c r="V87" s="63" t="str">
        <f>IF(MONTH(Table22[[#This Row],[Sales Date]])&lt;=3,"Q1",IF(MONTH(Table22[[#This Row],[Sales Date]])&lt;=6,"Q2",IF(MONTH(Table22[[#This Row],[Sales Date]])&lt;=9,"Q3","Q4")))</f>
        <v>Q4</v>
      </c>
      <c r="W87" s="64">
        <f>YEAR(Table22[[#This Row],[Sales Date]])</f>
        <v>2024</v>
      </c>
      <c r="X87" s="23">
        <v>40</v>
      </c>
      <c r="Y87" s="18" t="s">
        <v>23</v>
      </c>
      <c r="Z87" s="18" t="s">
        <v>42</v>
      </c>
      <c r="AA87" s="19" t="s">
        <v>36</v>
      </c>
    </row>
    <row r="88" spans="1:27" x14ac:dyDescent="0.25">
      <c r="A88" s="17" t="s">
        <v>636</v>
      </c>
      <c r="B88" s="18" t="s">
        <v>38</v>
      </c>
      <c r="C88" s="63" t="str" cm="1">
        <f t="array" ref="C88">_xlfn.SWITCH(Table22[[#This Row],[Country]],"USA","North America","Canada","North America","Brazil","South America","China","Asia","Japan","Asia","India","Asia","France","Europe","Germany","Europe","UK","Europe","Australia","Oceania","South America")</f>
        <v>Europe</v>
      </c>
      <c r="D88" s="18" t="s">
        <v>28</v>
      </c>
      <c r="E88" s="18" t="s">
        <v>39</v>
      </c>
      <c r="F88" s="18" t="s">
        <v>47</v>
      </c>
      <c r="G88" s="18" t="s">
        <v>40</v>
      </c>
      <c r="H88" s="64">
        <f>LEN(TRIM(Table22[[#This Row],[Country]]))</f>
        <v>6</v>
      </c>
      <c r="I88" s="64">
        <f>LEN(TRIM(Table22[[#This Row],[Continent]]))</f>
        <v>6</v>
      </c>
      <c r="J88" s="64">
        <f>LEN(TRIM(Table22[[#This Row],[Product]]))</f>
        <v>10</v>
      </c>
      <c r="K88" s="64">
        <f>LEN(TRIM(Table22[[#This Row],[Sales Team]]))</f>
        <v>10</v>
      </c>
      <c r="L88" s="23">
        <v>84</v>
      </c>
      <c r="M88" s="65" t="str" cm="1">
        <f t="array" ref="M88">_xlfn.IFS(Table22[[#This Row],[Units Sold]]&lt;40,"Critical",Table22[[#This Row],[Units Sold]]&lt;=50,"Poor",Table22[[#This Row],[Units Sold]]&lt;=60,"Low",Table22[[#This Row],[Units Sold]]&lt;=80,"Average",Table22[[#This Row],[Units Sold]]&lt;=90,"High",Table22[[#This Row],[Units Sold]]&lt;=95,"Excellent",Table22[[#This Row],[Units Sold]]&gt;95,"Outstanding")</f>
        <v>High</v>
      </c>
      <c r="N88" s="29">
        <v>1282.48</v>
      </c>
      <c r="O88" s="29">
        <v>107728.32000000001</v>
      </c>
      <c r="P88" s="43">
        <f>IF(Table22[[#This Row],[Discount Applied]],Table22[[#This Row],[Total Sales (in USD)]]*(1-Table22[[#This Row],[Discount Percentage (%)]]/100),Table22[[#This Row],[Total Sales (in USD)]])</f>
        <v>107728.32000000001</v>
      </c>
      <c r="Q88" s="66">
        <f>SQRT(AVERAGE((Table22[[#This Row],[Net Sales (after discount) (in USD)]]-AVERAGE(Table22[Net Sales (after discount) (in USD)]))^2))</f>
        <v>71216.959436235469</v>
      </c>
      <c r="R88" s="18" t="b">
        <v>0</v>
      </c>
      <c r="S88" s="40">
        <v>24.49</v>
      </c>
      <c r="T88" s="18" t="b">
        <v>0</v>
      </c>
      <c r="U88" s="25">
        <v>45439</v>
      </c>
      <c r="V88" s="63" t="str">
        <f>IF(MONTH(Table22[[#This Row],[Sales Date]])&lt;=3,"Q1",IF(MONTH(Table22[[#This Row],[Sales Date]])&lt;=6,"Q2",IF(MONTH(Table22[[#This Row],[Sales Date]])&lt;=9,"Q3","Q4")))</f>
        <v>Q2</v>
      </c>
      <c r="W88" s="64">
        <f>YEAR(Table22[[#This Row],[Sales Date]])</f>
        <v>2024</v>
      </c>
      <c r="X88" s="23">
        <v>42</v>
      </c>
      <c r="Y88" s="18" t="s">
        <v>49</v>
      </c>
      <c r="Z88" s="18" t="s">
        <v>24</v>
      </c>
      <c r="AA88" s="19" t="s">
        <v>25</v>
      </c>
    </row>
    <row r="89" spans="1:27" x14ac:dyDescent="0.25">
      <c r="A89" s="17" t="s">
        <v>1954</v>
      </c>
      <c r="B89" s="18" t="s">
        <v>38</v>
      </c>
      <c r="C89" s="63" t="str" cm="1">
        <f t="array" ref="C89">_xlfn.SWITCH(Table22[[#This Row],[Country]],"USA","North America","Canada","North America","Brazil","South America","China","Asia","Japan","Asia","India","Asia","France","Europe","Germany","Europe","UK","Europe","Australia","Oceania","South America")</f>
        <v>Europe</v>
      </c>
      <c r="D89" s="18" t="s">
        <v>28</v>
      </c>
      <c r="E89" s="18" t="s">
        <v>39</v>
      </c>
      <c r="F89" s="18" t="s">
        <v>52</v>
      </c>
      <c r="G89" s="18" t="s">
        <v>40</v>
      </c>
      <c r="H89" s="64">
        <f>LEN(TRIM(Table22[[#This Row],[Country]]))</f>
        <v>6</v>
      </c>
      <c r="I89" s="64">
        <f>LEN(TRIM(Table22[[#This Row],[Continent]]))</f>
        <v>6</v>
      </c>
      <c r="J89" s="64">
        <f>LEN(TRIM(Table22[[#This Row],[Product]]))</f>
        <v>10</v>
      </c>
      <c r="K89" s="64">
        <f>LEN(TRIM(Table22[[#This Row],[Sales Team]]))</f>
        <v>10</v>
      </c>
      <c r="L89" s="23">
        <v>89</v>
      </c>
      <c r="M89" s="65" t="str" cm="1">
        <f t="array" ref="M89">_xlfn.IFS(Table22[[#This Row],[Units Sold]]&lt;40,"Critical",Table22[[#This Row],[Units Sold]]&lt;=50,"Poor",Table22[[#This Row],[Units Sold]]&lt;=60,"Low",Table22[[#This Row],[Units Sold]]&lt;=80,"Average",Table22[[#This Row],[Units Sold]]&lt;=90,"High",Table22[[#This Row],[Units Sold]]&lt;=95,"Excellent",Table22[[#This Row],[Units Sold]]&gt;95,"Outstanding")</f>
        <v>High</v>
      </c>
      <c r="N89" s="29">
        <v>1199.8599999999999</v>
      </c>
      <c r="O89" s="29">
        <v>106787.54</v>
      </c>
      <c r="P89" s="43">
        <f>IF(Table22[[#This Row],[Discount Applied]],Table22[[#This Row],[Total Sales (in USD)]]*(1-Table22[[#This Row],[Discount Percentage (%)]]/100),Table22[[#This Row],[Total Sales (in USD)]])</f>
        <v>106787.54</v>
      </c>
      <c r="Q89" s="66">
        <f>SQRT(AVERAGE((Table22[[#This Row],[Net Sales (after discount) (in USD)]]-AVERAGE(Table22[Net Sales (after discount) (in USD)]))^2))</f>
        <v>70276.179436235456</v>
      </c>
      <c r="R89" s="18" t="b">
        <v>0</v>
      </c>
      <c r="S89" s="40">
        <v>9.3000000000000007</v>
      </c>
      <c r="T89" s="18" t="b">
        <v>0</v>
      </c>
      <c r="U89" s="25">
        <v>45573</v>
      </c>
      <c r="V89" s="63" t="str">
        <f>IF(MONTH(Table22[[#This Row],[Sales Date]])&lt;=3,"Q1",IF(MONTH(Table22[[#This Row],[Sales Date]])&lt;=6,"Q2",IF(MONTH(Table22[[#This Row],[Sales Date]])&lt;=9,"Q3","Q4")))</f>
        <v>Q4</v>
      </c>
      <c r="W89" s="64">
        <f>YEAR(Table22[[#This Row],[Sales Date]])</f>
        <v>2024</v>
      </c>
      <c r="X89" s="23">
        <v>22</v>
      </c>
      <c r="Y89" s="18" t="s">
        <v>49</v>
      </c>
      <c r="Z89" s="18" t="s">
        <v>30</v>
      </c>
      <c r="AA89" s="19" t="s">
        <v>25</v>
      </c>
    </row>
    <row r="90" spans="1:27" x14ac:dyDescent="0.25">
      <c r="A90" s="17" t="s">
        <v>869</v>
      </c>
      <c r="B90" s="18" t="s">
        <v>32</v>
      </c>
      <c r="C90" s="63" t="str" cm="1">
        <f t="array" ref="C90">_xlfn.SWITCH(Table22[[#This Row],[Country]],"USA","North America","Canada","North America","Brazil","South America","China","Asia","Japan","Asia","India","Asia","France","Europe","Germany","Europe","UK","Europe","Australia","Oceania","South America")</f>
        <v>Asia</v>
      </c>
      <c r="D90" s="18" t="s">
        <v>35</v>
      </c>
      <c r="E90" s="18" t="s">
        <v>19</v>
      </c>
      <c r="F90" s="18" t="s">
        <v>64</v>
      </c>
      <c r="G90" s="18" t="s">
        <v>48</v>
      </c>
      <c r="H90" s="64">
        <f>LEN(TRIM(Table22[[#This Row],[Country]]))</f>
        <v>5</v>
      </c>
      <c r="I90" s="64">
        <f>LEN(TRIM(Table22[[#This Row],[Continent]]))</f>
        <v>4</v>
      </c>
      <c r="J90" s="64">
        <f>LEN(TRIM(Table22[[#This Row],[Product]]))</f>
        <v>6</v>
      </c>
      <c r="K90" s="64">
        <f>LEN(TRIM(Table22[[#This Row],[Sales Team]]))</f>
        <v>9</v>
      </c>
      <c r="L90" s="23">
        <v>87</v>
      </c>
      <c r="M90" s="65" t="str" cm="1">
        <f t="array" ref="M90">_xlfn.IFS(Table22[[#This Row],[Units Sold]]&lt;40,"Critical",Table22[[#This Row],[Units Sold]]&lt;=50,"Poor",Table22[[#This Row],[Units Sold]]&lt;=60,"Low",Table22[[#This Row],[Units Sold]]&lt;=80,"Average",Table22[[#This Row],[Units Sold]]&lt;=90,"High",Table22[[#This Row],[Units Sold]]&lt;=95,"Excellent",Table22[[#This Row],[Units Sold]]&gt;95,"Outstanding")</f>
        <v>High</v>
      </c>
      <c r="N90" s="29">
        <v>1224.53</v>
      </c>
      <c r="O90" s="29">
        <v>106534.11</v>
      </c>
      <c r="P90" s="43">
        <f>IF(Table22[[#This Row],[Discount Applied]],Table22[[#This Row],[Total Sales (in USD)]]*(1-Table22[[#This Row],[Discount Percentage (%)]]/100),Table22[[#This Row],[Total Sales (in USD)]])</f>
        <v>106534.11</v>
      </c>
      <c r="Q90" s="66">
        <f>SQRT(AVERAGE((Table22[[#This Row],[Net Sales (after discount) (in USD)]]-AVERAGE(Table22[Net Sales (after discount) (in USD)]))^2))</f>
        <v>70022.749436235463</v>
      </c>
      <c r="R90" s="18" t="b">
        <v>1</v>
      </c>
      <c r="S90" s="40">
        <v>28.88</v>
      </c>
      <c r="T90" s="18" t="b">
        <v>0</v>
      </c>
      <c r="U90" s="25">
        <v>45259</v>
      </c>
      <c r="V90" s="63" t="str">
        <f>IF(MONTH(Table22[[#This Row],[Sales Date]])&lt;=3,"Q1",IF(MONTH(Table22[[#This Row],[Sales Date]])&lt;=6,"Q2",IF(MONTH(Table22[[#This Row],[Sales Date]])&lt;=9,"Q3","Q4")))</f>
        <v>Q4</v>
      </c>
      <c r="W90" s="64">
        <f>YEAR(Table22[[#This Row],[Sales Date]])</f>
        <v>2023</v>
      </c>
      <c r="X90" s="23">
        <v>40</v>
      </c>
      <c r="Y90" s="18" t="s">
        <v>49</v>
      </c>
      <c r="Z90" s="18" t="s">
        <v>24</v>
      </c>
      <c r="AA90" s="19" t="s">
        <v>36</v>
      </c>
    </row>
    <row r="91" spans="1:27" x14ac:dyDescent="0.25">
      <c r="A91" s="17" t="s">
        <v>70</v>
      </c>
      <c r="B91" s="18" t="s">
        <v>38</v>
      </c>
      <c r="C91" s="63" t="str" cm="1">
        <f t="array" ref="C91">_xlfn.SWITCH(Table22[[#This Row],[Country]],"USA","North America","Canada","North America","Brazil","South America","China","Asia","Japan","Asia","India","Asia","France","Europe","Germany","Europe","UK","Europe","Australia","Oceania","South America")</f>
        <v>Europe</v>
      </c>
      <c r="D91" s="18" t="s">
        <v>21</v>
      </c>
      <c r="E91" s="18" t="s">
        <v>33</v>
      </c>
      <c r="F91" s="18" t="s">
        <v>20</v>
      </c>
      <c r="G91" s="18" t="s">
        <v>48</v>
      </c>
      <c r="H91" s="64">
        <f>LEN(TRIM(Table22[[#This Row],[Country]]))</f>
        <v>6</v>
      </c>
      <c r="I91" s="64">
        <f>LEN(TRIM(Table22[[#This Row],[Continent]]))</f>
        <v>6</v>
      </c>
      <c r="J91" s="64">
        <f>LEN(TRIM(Table22[[#This Row],[Product]]))</f>
        <v>10</v>
      </c>
      <c r="K91" s="64">
        <f>LEN(TRIM(Table22[[#This Row],[Sales Team]]))</f>
        <v>9</v>
      </c>
      <c r="L91" s="23">
        <v>84</v>
      </c>
      <c r="M91" s="65" t="str" cm="1">
        <f t="array" ref="M91">_xlfn.IFS(Table22[[#This Row],[Units Sold]]&lt;40,"Critical",Table22[[#This Row],[Units Sold]]&lt;=50,"Poor",Table22[[#This Row],[Units Sold]]&lt;=60,"Low",Table22[[#This Row],[Units Sold]]&lt;=80,"Average",Table22[[#This Row],[Units Sold]]&lt;=90,"High",Table22[[#This Row],[Units Sold]]&lt;=95,"Excellent",Table22[[#This Row],[Units Sold]]&gt;95,"Outstanding")</f>
        <v>High</v>
      </c>
      <c r="N91" s="29">
        <v>1265.9000000000001</v>
      </c>
      <c r="O91" s="29">
        <v>106335.6</v>
      </c>
      <c r="P91" s="43">
        <f>IF(Table22[[#This Row],[Discount Applied]],Table22[[#This Row],[Total Sales (in USD)]]*(1-Table22[[#This Row],[Discount Percentage (%)]]/100),Table22[[#This Row],[Total Sales (in USD)]])</f>
        <v>102103.44312</v>
      </c>
      <c r="Q91" s="66">
        <f>SQRT(AVERAGE((Table22[[#This Row],[Net Sales (after discount) (in USD)]]-AVERAGE(Table22[Net Sales (after discount) (in USD)]))^2))</f>
        <v>65592.082556235458</v>
      </c>
      <c r="R91" s="18" t="b">
        <v>1</v>
      </c>
      <c r="S91" s="40">
        <v>3.98</v>
      </c>
      <c r="T91" s="18" t="b">
        <v>1</v>
      </c>
      <c r="U91" s="25">
        <v>45544</v>
      </c>
      <c r="V91" s="63" t="str">
        <f>IF(MONTH(Table22[[#This Row],[Sales Date]])&lt;=3,"Q1",IF(MONTH(Table22[[#This Row],[Sales Date]])&lt;=6,"Q2",IF(MONTH(Table22[[#This Row],[Sales Date]])&lt;=9,"Q3","Q4")))</f>
        <v>Q3</v>
      </c>
      <c r="W91" s="64">
        <f>YEAR(Table22[[#This Row],[Sales Date]])</f>
        <v>2024</v>
      </c>
      <c r="X91" s="23">
        <v>42</v>
      </c>
      <c r="Y91" s="18" t="s">
        <v>23</v>
      </c>
      <c r="Z91" s="18" t="s">
        <v>30</v>
      </c>
      <c r="AA91" s="19" t="s">
        <v>36</v>
      </c>
    </row>
    <row r="92" spans="1:27" x14ac:dyDescent="0.25">
      <c r="A92" s="17" t="s">
        <v>994</v>
      </c>
      <c r="B92" s="18" t="s">
        <v>32</v>
      </c>
      <c r="C92" s="63" t="str" cm="1">
        <f t="array" ref="C92">_xlfn.SWITCH(Table22[[#This Row],[Country]],"USA","North America","Canada","North America","Brazil","South America","China","Asia","Japan","Asia","India","Asia","France","Europe","Germany","Europe","UK","Europe","Australia","Oceania","South America")</f>
        <v>Asia</v>
      </c>
      <c r="D92" s="18" t="s">
        <v>44</v>
      </c>
      <c r="E92" s="18" t="s">
        <v>19</v>
      </c>
      <c r="F92" s="18" t="s">
        <v>34</v>
      </c>
      <c r="G92" s="18" t="s">
        <v>40</v>
      </c>
      <c r="H92" s="64">
        <f>LEN(TRIM(Table22[[#This Row],[Country]]))</f>
        <v>5</v>
      </c>
      <c r="I92" s="64">
        <f>LEN(TRIM(Table22[[#This Row],[Continent]]))</f>
        <v>4</v>
      </c>
      <c r="J92" s="64">
        <f>LEN(TRIM(Table22[[#This Row],[Product]]))</f>
        <v>6</v>
      </c>
      <c r="K92" s="64">
        <f>LEN(TRIM(Table22[[#This Row],[Sales Team]]))</f>
        <v>10</v>
      </c>
      <c r="L92" s="23">
        <v>95</v>
      </c>
      <c r="M92" s="65" t="str" cm="1">
        <f t="array" ref="M92">_xlfn.IFS(Table22[[#This Row],[Units Sold]]&lt;40,"Critical",Table22[[#This Row],[Units Sold]]&lt;=50,"Poor",Table22[[#This Row],[Units Sold]]&lt;=60,"Low",Table22[[#This Row],[Units Sold]]&lt;=80,"Average",Table22[[#This Row],[Units Sold]]&lt;=90,"High",Table22[[#This Row],[Units Sold]]&lt;=95,"Excellent",Table22[[#This Row],[Units Sold]]&gt;95,"Outstanding")</f>
        <v>Excellent</v>
      </c>
      <c r="N92" s="29">
        <v>1118.1500000000001</v>
      </c>
      <c r="O92" s="29">
        <v>106224.25</v>
      </c>
      <c r="P92" s="43">
        <f>IF(Table22[[#This Row],[Discount Applied]],Table22[[#This Row],[Total Sales (in USD)]]*(1-Table22[[#This Row],[Discount Percentage (%)]]/100),Table22[[#This Row],[Total Sales (in USD)]])</f>
        <v>86190.356450000007</v>
      </c>
      <c r="Q92" s="66">
        <f>SQRT(AVERAGE((Table22[[#This Row],[Net Sales (after discount) (in USD)]]-AVERAGE(Table22[Net Sales (after discount) (in USD)]))^2))</f>
        <v>49678.995886235469</v>
      </c>
      <c r="R92" s="18" t="b">
        <v>1</v>
      </c>
      <c r="S92" s="40">
        <v>18.86</v>
      </c>
      <c r="T92" s="18" t="b">
        <v>1</v>
      </c>
      <c r="U92" s="25">
        <v>45292</v>
      </c>
      <c r="V92" s="63" t="str">
        <f>IF(MONTH(Table22[[#This Row],[Sales Date]])&lt;=3,"Q1",IF(MONTH(Table22[[#This Row],[Sales Date]])&lt;=6,"Q2",IF(MONTH(Table22[[#This Row],[Sales Date]])&lt;=9,"Q3","Q4")))</f>
        <v>Q1</v>
      </c>
      <c r="W92" s="64">
        <f>YEAR(Table22[[#This Row],[Sales Date]])</f>
        <v>2024</v>
      </c>
      <c r="X92" s="23">
        <v>60</v>
      </c>
      <c r="Y92" s="18" t="s">
        <v>49</v>
      </c>
      <c r="Z92" s="18" t="s">
        <v>42</v>
      </c>
      <c r="AA92" s="19" t="s">
        <v>36</v>
      </c>
    </row>
    <row r="93" spans="1:27" x14ac:dyDescent="0.25">
      <c r="A93" s="17" t="s">
        <v>1039</v>
      </c>
      <c r="B93" s="18" t="s">
        <v>38</v>
      </c>
      <c r="C93" s="63" t="str" cm="1">
        <f t="array" ref="C93">_xlfn.SWITCH(Table22[[#This Row],[Country]],"USA","North America","Canada","North America","Brazil","South America","China","Asia","Japan","Asia","India","Asia","France","Europe","Germany","Europe","UK","Europe","Australia","Oceania","South America")</f>
        <v>Europe</v>
      </c>
      <c r="D93" s="18" t="s">
        <v>35</v>
      </c>
      <c r="E93" s="18" t="s">
        <v>33</v>
      </c>
      <c r="F93" s="18" t="s">
        <v>34</v>
      </c>
      <c r="G93" s="18" t="s">
        <v>48</v>
      </c>
      <c r="H93" s="64">
        <f>LEN(TRIM(Table22[[#This Row],[Country]]))</f>
        <v>6</v>
      </c>
      <c r="I93" s="64">
        <f>LEN(TRIM(Table22[[#This Row],[Continent]]))</f>
        <v>6</v>
      </c>
      <c r="J93" s="64">
        <f>LEN(TRIM(Table22[[#This Row],[Product]]))</f>
        <v>10</v>
      </c>
      <c r="K93" s="64">
        <f>LEN(TRIM(Table22[[#This Row],[Sales Team]]))</f>
        <v>9</v>
      </c>
      <c r="L93" s="23">
        <v>93</v>
      </c>
      <c r="M93" s="65" t="str" cm="1">
        <f t="array" ref="M93">_xlfn.IFS(Table22[[#This Row],[Units Sold]]&lt;40,"Critical",Table22[[#This Row],[Units Sold]]&lt;=50,"Poor",Table22[[#This Row],[Units Sold]]&lt;=60,"Low",Table22[[#This Row],[Units Sold]]&lt;=80,"Average",Table22[[#This Row],[Units Sold]]&lt;=90,"High",Table22[[#This Row],[Units Sold]]&lt;=95,"Excellent",Table22[[#This Row],[Units Sold]]&gt;95,"Outstanding")</f>
        <v>Excellent</v>
      </c>
      <c r="N93" s="29">
        <v>1141.58</v>
      </c>
      <c r="O93" s="29">
        <v>106166.94</v>
      </c>
      <c r="P93" s="43">
        <f>IF(Table22[[#This Row],[Discount Applied]],Table22[[#This Row],[Total Sales (in USD)]]*(1-Table22[[#This Row],[Discount Percentage (%)]]/100),Table22[[#This Row],[Total Sales (in USD)]])</f>
        <v>106166.94</v>
      </c>
      <c r="Q93" s="66">
        <f>SQRT(AVERAGE((Table22[[#This Row],[Net Sales (after discount) (in USD)]]-AVERAGE(Table22[Net Sales (after discount) (in USD)]))^2))</f>
        <v>69655.579436235465</v>
      </c>
      <c r="R93" s="18" t="b">
        <v>0</v>
      </c>
      <c r="S93" s="40">
        <v>16.510000000000002</v>
      </c>
      <c r="T93" s="18" t="b">
        <v>0</v>
      </c>
      <c r="U93" s="25">
        <v>45391</v>
      </c>
      <c r="V93" s="63" t="str">
        <f>IF(MONTH(Table22[[#This Row],[Sales Date]])&lt;=3,"Q1",IF(MONTH(Table22[[#This Row],[Sales Date]])&lt;=6,"Q2",IF(MONTH(Table22[[#This Row],[Sales Date]])&lt;=9,"Q3","Q4")))</f>
        <v>Q2</v>
      </c>
      <c r="W93" s="64">
        <f>YEAR(Table22[[#This Row],[Sales Date]])</f>
        <v>2024</v>
      </c>
      <c r="X93" s="23">
        <v>22</v>
      </c>
      <c r="Y93" s="18" t="s">
        <v>23</v>
      </c>
      <c r="Z93" s="18" t="s">
        <v>30</v>
      </c>
      <c r="AA93" s="19" t="s">
        <v>25</v>
      </c>
    </row>
    <row r="94" spans="1:27" x14ac:dyDescent="0.25">
      <c r="A94" s="17" t="s">
        <v>1626</v>
      </c>
      <c r="B94" s="18" t="s">
        <v>18</v>
      </c>
      <c r="C94" s="63" t="str" cm="1">
        <f t="array" ref="C94">_xlfn.SWITCH(Table22[[#This Row],[Country]],"USA","North America","Canada","North America","Brazil","South America","China","Asia","Japan","Asia","India","Asia","France","Europe","Germany","Europe","UK","Europe","Australia","Oceania","South America")</f>
        <v>Asia</v>
      </c>
      <c r="D94" s="18" t="s">
        <v>44</v>
      </c>
      <c r="E94" s="18" t="s">
        <v>33</v>
      </c>
      <c r="F94" s="18" t="s">
        <v>34</v>
      </c>
      <c r="G94" s="18" t="s">
        <v>40</v>
      </c>
      <c r="H94" s="64">
        <f>LEN(TRIM(Table22[[#This Row],[Country]]))</f>
        <v>5</v>
      </c>
      <c r="I94" s="64">
        <f>LEN(TRIM(Table22[[#This Row],[Continent]]))</f>
        <v>4</v>
      </c>
      <c r="J94" s="64">
        <f>LEN(TRIM(Table22[[#This Row],[Product]]))</f>
        <v>10</v>
      </c>
      <c r="K94" s="64">
        <f>LEN(TRIM(Table22[[#This Row],[Sales Team]]))</f>
        <v>10</v>
      </c>
      <c r="L94" s="23">
        <v>97</v>
      </c>
      <c r="M94" s="65" t="str" cm="1">
        <f t="array" ref="M94">_xlfn.IFS(Table22[[#This Row],[Units Sold]]&lt;40,"Critical",Table22[[#This Row],[Units Sold]]&lt;=50,"Poor",Table22[[#This Row],[Units Sold]]&lt;=60,"Low",Table22[[#This Row],[Units Sold]]&lt;=80,"Average",Table22[[#This Row],[Units Sold]]&lt;=90,"High",Table22[[#This Row],[Units Sold]]&lt;=95,"Excellent",Table22[[#This Row],[Units Sold]]&gt;95,"Outstanding")</f>
        <v>Outstanding</v>
      </c>
      <c r="N94" s="29">
        <v>1093.56</v>
      </c>
      <c r="O94" s="29">
        <v>106075.32</v>
      </c>
      <c r="P94" s="43">
        <f>IF(Table22[[#This Row],[Discount Applied]],Table22[[#This Row],[Total Sales (in USD)]]*(1-Table22[[#This Row],[Discount Percentage (%)]]/100),Table22[[#This Row],[Total Sales (in USD)]])</f>
        <v>87756.112236000015</v>
      </c>
      <c r="Q94" s="66">
        <f>SQRT(AVERAGE((Table22[[#This Row],[Net Sales (after discount) (in USD)]]-AVERAGE(Table22[Net Sales (after discount) (in USD)]))^2))</f>
        <v>51244.751672235478</v>
      </c>
      <c r="R94" s="18" t="b">
        <v>1</v>
      </c>
      <c r="S94" s="40">
        <v>17.27</v>
      </c>
      <c r="T94" s="18" t="b">
        <v>1</v>
      </c>
      <c r="U94" s="25">
        <v>44967</v>
      </c>
      <c r="V94" s="63" t="str">
        <f>IF(MONTH(Table22[[#This Row],[Sales Date]])&lt;=3,"Q1",IF(MONTH(Table22[[#This Row],[Sales Date]])&lt;=6,"Q2",IF(MONTH(Table22[[#This Row],[Sales Date]])&lt;=9,"Q3","Q4")))</f>
        <v>Q1</v>
      </c>
      <c r="W94" s="64">
        <f>YEAR(Table22[[#This Row],[Sales Date]])</f>
        <v>2023</v>
      </c>
      <c r="X94" s="23">
        <v>56</v>
      </c>
      <c r="Y94" s="18" t="s">
        <v>23</v>
      </c>
      <c r="Z94" s="18" t="s">
        <v>42</v>
      </c>
      <c r="AA94" s="19" t="s">
        <v>25</v>
      </c>
    </row>
    <row r="95" spans="1:27" x14ac:dyDescent="0.25">
      <c r="A95" s="17" t="s">
        <v>740</v>
      </c>
      <c r="B95" s="18" t="s">
        <v>51</v>
      </c>
      <c r="C95" s="63" t="str" cm="1">
        <f t="array" ref="C95">_xlfn.SWITCH(Table22[[#This Row],[Country]],"USA","North America","Canada","North America","Brazil","South America","China","Asia","Japan","Asia","India","Asia","France","Europe","Germany","Europe","UK","Europe","Australia","Oceania","South America")</f>
        <v>Europe</v>
      </c>
      <c r="D95" s="18" t="s">
        <v>21</v>
      </c>
      <c r="E95" s="18" t="s">
        <v>19</v>
      </c>
      <c r="F95" s="18" t="s">
        <v>47</v>
      </c>
      <c r="G95" s="18" t="s">
        <v>29</v>
      </c>
      <c r="H95" s="64">
        <f>LEN(TRIM(Table22[[#This Row],[Country]]))</f>
        <v>2</v>
      </c>
      <c r="I95" s="64">
        <f>LEN(TRIM(Table22[[#This Row],[Continent]]))</f>
        <v>6</v>
      </c>
      <c r="J95" s="64">
        <f>LEN(TRIM(Table22[[#This Row],[Product]]))</f>
        <v>6</v>
      </c>
      <c r="K95" s="64">
        <f>LEN(TRIM(Table22[[#This Row],[Sales Team]]))</f>
        <v>10</v>
      </c>
      <c r="L95" s="23">
        <v>89</v>
      </c>
      <c r="M95" s="65" t="str" cm="1">
        <f t="array" ref="M95">_xlfn.IFS(Table22[[#This Row],[Units Sold]]&lt;40,"Critical",Table22[[#This Row],[Units Sold]]&lt;=50,"Poor",Table22[[#This Row],[Units Sold]]&lt;=60,"Low",Table22[[#This Row],[Units Sold]]&lt;=80,"Average",Table22[[#This Row],[Units Sold]]&lt;=90,"High",Table22[[#This Row],[Units Sold]]&lt;=95,"Excellent",Table22[[#This Row],[Units Sold]]&gt;95,"Outstanding")</f>
        <v>High</v>
      </c>
      <c r="N95" s="29">
        <v>1191.0999999999999</v>
      </c>
      <c r="O95" s="29">
        <v>106007.9</v>
      </c>
      <c r="P95" s="43">
        <f>IF(Table22[[#This Row],[Discount Applied]],Table22[[#This Row],[Total Sales (in USD)]]*(1-Table22[[#This Row],[Discount Percentage (%)]]/100),Table22[[#This Row],[Total Sales (in USD)]])</f>
        <v>106007.9</v>
      </c>
      <c r="Q95" s="66">
        <f>SQRT(AVERAGE((Table22[[#This Row],[Net Sales (after discount) (in USD)]]-AVERAGE(Table22[Net Sales (after discount) (in USD)]))^2))</f>
        <v>69496.539436235456</v>
      </c>
      <c r="R95" s="18" t="b">
        <v>0</v>
      </c>
      <c r="S95" s="40">
        <v>14.26</v>
      </c>
      <c r="T95" s="18" t="b">
        <v>0</v>
      </c>
      <c r="U95" s="25">
        <v>44994</v>
      </c>
      <c r="V95" s="63" t="str">
        <f>IF(MONTH(Table22[[#This Row],[Sales Date]])&lt;=3,"Q1",IF(MONTH(Table22[[#This Row],[Sales Date]])&lt;=6,"Q2",IF(MONTH(Table22[[#This Row],[Sales Date]])&lt;=9,"Q3","Q4")))</f>
        <v>Q1</v>
      </c>
      <c r="W95" s="64">
        <f>YEAR(Table22[[#This Row],[Sales Date]])</f>
        <v>2023</v>
      </c>
      <c r="X95" s="23">
        <v>21</v>
      </c>
      <c r="Y95" s="18" t="s">
        <v>23</v>
      </c>
      <c r="Z95" s="18" t="s">
        <v>24</v>
      </c>
      <c r="AA95" s="19" t="s">
        <v>25</v>
      </c>
    </row>
    <row r="96" spans="1:27" x14ac:dyDescent="0.25">
      <c r="A96" s="17" t="s">
        <v>214</v>
      </c>
      <c r="B96" s="18" t="s">
        <v>76</v>
      </c>
      <c r="C96" s="63" t="str" cm="1">
        <f t="array" ref="C96">_xlfn.SWITCH(Table22[[#This Row],[Country]],"USA","North America","Canada","North America","Brazil","South America","China","Asia","Japan","Asia","India","Asia","France","Europe","Germany","Europe","UK","Europe","Australia","Oceania","South America")</f>
        <v>Asia</v>
      </c>
      <c r="D96" s="18" t="s">
        <v>44</v>
      </c>
      <c r="E96" s="18" t="s">
        <v>33</v>
      </c>
      <c r="F96" s="18" t="s">
        <v>47</v>
      </c>
      <c r="G96" s="18" t="s">
        <v>40</v>
      </c>
      <c r="H96" s="64">
        <f>LEN(TRIM(Table22[[#This Row],[Country]]))</f>
        <v>5</v>
      </c>
      <c r="I96" s="64">
        <f>LEN(TRIM(Table22[[#This Row],[Continent]]))</f>
        <v>4</v>
      </c>
      <c r="J96" s="64">
        <f>LEN(TRIM(Table22[[#This Row],[Product]]))</f>
        <v>10</v>
      </c>
      <c r="K96" s="64">
        <f>LEN(TRIM(Table22[[#This Row],[Sales Team]]))</f>
        <v>10</v>
      </c>
      <c r="L96" s="23">
        <v>87</v>
      </c>
      <c r="M96" s="65" t="str" cm="1">
        <f t="array" ref="M96">_xlfn.IFS(Table22[[#This Row],[Units Sold]]&lt;40,"Critical",Table22[[#This Row],[Units Sold]]&lt;=50,"Poor",Table22[[#This Row],[Units Sold]]&lt;=60,"Low",Table22[[#This Row],[Units Sold]]&lt;=80,"Average",Table22[[#This Row],[Units Sold]]&lt;=90,"High",Table22[[#This Row],[Units Sold]]&lt;=95,"Excellent",Table22[[#This Row],[Units Sold]]&gt;95,"Outstanding")</f>
        <v>High</v>
      </c>
      <c r="N96" s="29">
        <v>1216.8499999999999</v>
      </c>
      <c r="O96" s="29">
        <v>105865.95</v>
      </c>
      <c r="P96" s="43">
        <f>IF(Table22[[#This Row],[Discount Applied]],Table22[[#This Row],[Total Sales (in USD)]]*(1-Table22[[#This Row],[Discount Percentage (%)]]/100),Table22[[#This Row],[Total Sales (in USD)]])</f>
        <v>79060.691460000002</v>
      </c>
      <c r="Q96" s="66">
        <f>SQRT(AVERAGE((Table22[[#This Row],[Net Sales (after discount) (in USD)]]-AVERAGE(Table22[Net Sales (after discount) (in USD)]))^2))</f>
        <v>42549.330896235464</v>
      </c>
      <c r="R96" s="18" t="b">
        <v>0</v>
      </c>
      <c r="S96" s="40">
        <v>25.32</v>
      </c>
      <c r="T96" s="18" t="b">
        <v>1</v>
      </c>
      <c r="U96" s="25">
        <v>45263</v>
      </c>
      <c r="V96" s="63" t="str">
        <f>IF(MONTH(Table22[[#This Row],[Sales Date]])&lt;=3,"Q1",IF(MONTH(Table22[[#This Row],[Sales Date]])&lt;=6,"Q2",IF(MONTH(Table22[[#This Row],[Sales Date]])&lt;=9,"Q3","Q4")))</f>
        <v>Q4</v>
      </c>
      <c r="W96" s="64">
        <f>YEAR(Table22[[#This Row],[Sales Date]])</f>
        <v>2023</v>
      </c>
      <c r="X96" s="23">
        <v>59</v>
      </c>
      <c r="Y96" s="18" t="s">
        <v>49</v>
      </c>
      <c r="Z96" s="18" t="s">
        <v>56</v>
      </c>
      <c r="AA96" s="19" t="s">
        <v>36</v>
      </c>
    </row>
    <row r="97" spans="1:27" x14ac:dyDescent="0.25">
      <c r="A97" s="17" t="s">
        <v>330</v>
      </c>
      <c r="B97" s="18" t="s">
        <v>62</v>
      </c>
      <c r="C97" s="63" t="str" cm="1">
        <f t="array" ref="C97">_xlfn.SWITCH(Table22[[#This Row],[Country]],"USA","North America","Canada","North America","Brazil","South America","China","Asia","Japan","Asia","India","Asia","France","Europe","Germany","Europe","UK","Europe","Australia","Oceania","South America")</f>
        <v>Oceania</v>
      </c>
      <c r="D97" s="18" t="s">
        <v>35</v>
      </c>
      <c r="E97" s="18" t="s">
        <v>33</v>
      </c>
      <c r="F97" s="18" t="s">
        <v>34</v>
      </c>
      <c r="G97" s="18" t="s">
        <v>40</v>
      </c>
      <c r="H97" s="64">
        <f>LEN(TRIM(Table22[[#This Row],[Country]]))</f>
        <v>9</v>
      </c>
      <c r="I97" s="64">
        <f>LEN(TRIM(Table22[[#This Row],[Continent]]))</f>
        <v>7</v>
      </c>
      <c r="J97" s="64">
        <f>LEN(TRIM(Table22[[#This Row],[Product]]))</f>
        <v>10</v>
      </c>
      <c r="K97" s="64">
        <f>LEN(TRIM(Table22[[#This Row],[Sales Team]]))</f>
        <v>10</v>
      </c>
      <c r="L97" s="23">
        <v>77</v>
      </c>
      <c r="M97" s="65" t="str" cm="1">
        <f t="array" ref="M97">_xlfn.IFS(Table22[[#This Row],[Units Sold]]&lt;40,"Critical",Table22[[#This Row],[Units Sold]]&lt;=50,"Poor",Table22[[#This Row],[Units Sold]]&lt;=60,"Low",Table22[[#This Row],[Units Sold]]&lt;=80,"Average",Table22[[#This Row],[Units Sold]]&lt;=90,"High",Table22[[#This Row],[Units Sold]]&lt;=95,"Excellent",Table22[[#This Row],[Units Sold]]&gt;95,"Outstanding")</f>
        <v>Average</v>
      </c>
      <c r="N97" s="29">
        <v>1374.49</v>
      </c>
      <c r="O97" s="29">
        <v>105835.73</v>
      </c>
      <c r="P97" s="43">
        <f>IF(Table22[[#This Row],[Discount Applied]],Table22[[#This Row],[Total Sales (in USD)]]*(1-Table22[[#This Row],[Discount Percentage (%)]]/100),Table22[[#This Row],[Total Sales (in USD)]])</f>
        <v>105835.73</v>
      </c>
      <c r="Q97" s="66">
        <f>SQRT(AVERAGE((Table22[[#This Row],[Net Sales (after discount) (in USD)]]-AVERAGE(Table22[Net Sales (after discount) (in USD)]))^2))</f>
        <v>69324.369436235458</v>
      </c>
      <c r="R97" s="18" t="b">
        <v>0</v>
      </c>
      <c r="S97" s="40">
        <v>24.18</v>
      </c>
      <c r="T97" s="18" t="b">
        <v>0</v>
      </c>
      <c r="U97" s="25">
        <v>45115</v>
      </c>
      <c r="V97" s="63" t="str">
        <f>IF(MONTH(Table22[[#This Row],[Sales Date]])&lt;=3,"Q1",IF(MONTH(Table22[[#This Row],[Sales Date]])&lt;=6,"Q2",IF(MONTH(Table22[[#This Row],[Sales Date]])&lt;=9,"Q3","Q4")))</f>
        <v>Q3</v>
      </c>
      <c r="W97" s="64">
        <f>YEAR(Table22[[#This Row],[Sales Date]])</f>
        <v>2023</v>
      </c>
      <c r="X97" s="23">
        <v>22</v>
      </c>
      <c r="Y97" s="18" t="s">
        <v>41</v>
      </c>
      <c r="Z97" s="18" t="s">
        <v>56</v>
      </c>
      <c r="AA97" s="19" t="s">
        <v>36</v>
      </c>
    </row>
    <row r="98" spans="1:27" x14ac:dyDescent="0.25">
      <c r="A98" s="17" t="s">
        <v>355</v>
      </c>
      <c r="B98" s="18" t="s">
        <v>38</v>
      </c>
      <c r="C98" s="63" t="str" cm="1">
        <f t="array" ref="C98">_xlfn.SWITCH(Table22[[#This Row],[Country]],"USA","North America","Canada","North America","Brazil","South America","China","Asia","Japan","Asia","India","Asia","France","Europe","Germany","Europe","UK","Europe","Australia","Oceania","South America")</f>
        <v>Europe</v>
      </c>
      <c r="D98" s="18" t="s">
        <v>28</v>
      </c>
      <c r="E98" s="18" t="s">
        <v>33</v>
      </c>
      <c r="F98" s="18" t="s">
        <v>52</v>
      </c>
      <c r="G98" s="18" t="s">
        <v>29</v>
      </c>
      <c r="H98" s="64">
        <f>LEN(TRIM(Table22[[#This Row],[Country]]))</f>
        <v>6</v>
      </c>
      <c r="I98" s="64">
        <f>LEN(TRIM(Table22[[#This Row],[Continent]]))</f>
        <v>6</v>
      </c>
      <c r="J98" s="64">
        <f>LEN(TRIM(Table22[[#This Row],[Product]]))</f>
        <v>10</v>
      </c>
      <c r="K98" s="64">
        <f>LEN(TRIM(Table22[[#This Row],[Sales Team]]))</f>
        <v>10</v>
      </c>
      <c r="L98" s="23">
        <v>71</v>
      </c>
      <c r="M98" s="65" t="str" cm="1">
        <f t="array" ref="M98">_xlfn.IFS(Table22[[#This Row],[Units Sold]]&lt;40,"Critical",Table22[[#This Row],[Units Sold]]&lt;=50,"Poor",Table22[[#This Row],[Units Sold]]&lt;=60,"Low",Table22[[#This Row],[Units Sold]]&lt;=80,"Average",Table22[[#This Row],[Units Sold]]&lt;=90,"High",Table22[[#This Row],[Units Sold]]&lt;=95,"Excellent",Table22[[#This Row],[Units Sold]]&gt;95,"Outstanding")</f>
        <v>Average</v>
      </c>
      <c r="N98" s="29">
        <v>1484.54</v>
      </c>
      <c r="O98" s="29">
        <v>105402.34</v>
      </c>
      <c r="P98" s="43">
        <f>IF(Table22[[#This Row],[Discount Applied]],Table22[[#This Row],[Total Sales (in USD)]]*(1-Table22[[#This Row],[Discount Percentage (%)]]/100),Table22[[#This Row],[Total Sales (in USD)]])</f>
        <v>77186.133581999995</v>
      </c>
      <c r="Q98" s="66">
        <f>SQRT(AVERAGE((Table22[[#This Row],[Net Sales (after discount) (in USD)]]-AVERAGE(Table22[Net Sales (after discount) (in USD)]))^2))</f>
        <v>40674.773018235457</v>
      </c>
      <c r="R98" s="18" t="b">
        <v>1</v>
      </c>
      <c r="S98" s="40">
        <v>26.77</v>
      </c>
      <c r="T98" s="18" t="b">
        <v>1</v>
      </c>
      <c r="U98" s="25">
        <v>45564</v>
      </c>
      <c r="V98" s="63" t="str">
        <f>IF(MONTH(Table22[[#This Row],[Sales Date]])&lt;=3,"Q1",IF(MONTH(Table22[[#This Row],[Sales Date]])&lt;=6,"Q2",IF(MONTH(Table22[[#This Row],[Sales Date]])&lt;=9,"Q3","Q4")))</f>
        <v>Q3</v>
      </c>
      <c r="W98" s="64">
        <f>YEAR(Table22[[#This Row],[Sales Date]])</f>
        <v>2024</v>
      </c>
      <c r="X98" s="23">
        <v>48</v>
      </c>
      <c r="Y98" s="18" t="s">
        <v>41</v>
      </c>
      <c r="Z98" s="18" t="s">
        <v>56</v>
      </c>
      <c r="AA98" s="19" t="s">
        <v>25</v>
      </c>
    </row>
    <row r="99" spans="1:27" x14ac:dyDescent="0.25">
      <c r="A99" s="17" t="s">
        <v>322</v>
      </c>
      <c r="B99" s="18" t="s">
        <v>27</v>
      </c>
      <c r="C99" s="63" t="str" cm="1">
        <f t="array" ref="C99">_xlfn.SWITCH(Table22[[#This Row],[Country]],"USA","North America","Canada","North America","Brazil","South America","China","Asia","Japan","Asia","India","Asia","France","Europe","Germany","Europe","UK","Europe","Australia","Oceania","South America")</f>
        <v>Europe</v>
      </c>
      <c r="D99" s="18" t="s">
        <v>35</v>
      </c>
      <c r="E99" s="18" t="s">
        <v>19</v>
      </c>
      <c r="F99" s="18" t="s">
        <v>64</v>
      </c>
      <c r="G99" s="18" t="s">
        <v>48</v>
      </c>
      <c r="H99" s="64">
        <f>LEN(TRIM(Table22[[#This Row],[Country]]))</f>
        <v>7</v>
      </c>
      <c r="I99" s="64">
        <f>LEN(TRIM(Table22[[#This Row],[Continent]]))</f>
        <v>6</v>
      </c>
      <c r="J99" s="64">
        <f>LEN(TRIM(Table22[[#This Row],[Product]]))</f>
        <v>6</v>
      </c>
      <c r="K99" s="64">
        <f>LEN(TRIM(Table22[[#This Row],[Sales Team]]))</f>
        <v>9</v>
      </c>
      <c r="L99" s="23">
        <v>82</v>
      </c>
      <c r="M99" s="65" t="str" cm="1">
        <f t="array" ref="M99">_xlfn.IFS(Table22[[#This Row],[Units Sold]]&lt;40,"Critical",Table22[[#This Row],[Units Sold]]&lt;=50,"Poor",Table22[[#This Row],[Units Sold]]&lt;=60,"Low",Table22[[#This Row],[Units Sold]]&lt;=80,"Average",Table22[[#This Row],[Units Sold]]&lt;=90,"High",Table22[[#This Row],[Units Sold]]&lt;=95,"Excellent",Table22[[#This Row],[Units Sold]]&gt;95,"Outstanding")</f>
        <v>High</v>
      </c>
      <c r="N99" s="29">
        <v>1283.05</v>
      </c>
      <c r="O99" s="29">
        <v>105210.1</v>
      </c>
      <c r="P99" s="43">
        <f>IF(Table22[[#This Row],[Discount Applied]],Table22[[#This Row],[Total Sales (in USD)]]*(1-Table22[[#This Row],[Discount Percentage (%)]]/100),Table22[[#This Row],[Total Sales (in USD)]])</f>
        <v>73804.885150000002</v>
      </c>
      <c r="Q99" s="66">
        <f>SQRT(AVERAGE((Table22[[#This Row],[Net Sales (after discount) (in USD)]]-AVERAGE(Table22[Net Sales (after discount) (in USD)]))^2))</f>
        <v>37293.524586235464</v>
      </c>
      <c r="R99" s="18" t="b">
        <v>0</v>
      </c>
      <c r="S99" s="40">
        <v>29.85</v>
      </c>
      <c r="T99" s="18" t="b">
        <v>1</v>
      </c>
      <c r="U99" s="25">
        <v>45547</v>
      </c>
      <c r="V99" s="63" t="str">
        <f>IF(MONTH(Table22[[#This Row],[Sales Date]])&lt;=3,"Q1",IF(MONTH(Table22[[#This Row],[Sales Date]])&lt;=6,"Q2",IF(MONTH(Table22[[#This Row],[Sales Date]])&lt;=9,"Q3","Q4")))</f>
        <v>Q3</v>
      </c>
      <c r="W99" s="64">
        <f>YEAR(Table22[[#This Row],[Sales Date]])</f>
        <v>2024</v>
      </c>
      <c r="X99" s="23">
        <v>27</v>
      </c>
      <c r="Y99" s="18" t="s">
        <v>23</v>
      </c>
      <c r="Z99" s="18" t="s">
        <v>30</v>
      </c>
      <c r="AA99" s="19" t="s">
        <v>25</v>
      </c>
    </row>
    <row r="100" spans="1:27" x14ac:dyDescent="0.25">
      <c r="A100" s="17" t="s">
        <v>1805</v>
      </c>
      <c r="B100" s="18" t="s">
        <v>46</v>
      </c>
      <c r="C100" s="63" t="str" cm="1">
        <f t="array" ref="C100">_xlfn.SWITCH(Table22[[#This Row],[Country]],"USA","North America","Canada","North America","Brazil","South America","China","Asia","Japan","Asia","India","Asia","France","Europe","Germany","Europe","UK","Europe","Australia","Oceania","South America")</f>
        <v>South America</v>
      </c>
      <c r="D100" s="18" t="s">
        <v>44</v>
      </c>
      <c r="E100" s="18" t="s">
        <v>19</v>
      </c>
      <c r="F100" s="18" t="s">
        <v>47</v>
      </c>
      <c r="G100" s="18" t="s">
        <v>48</v>
      </c>
      <c r="H100" s="64">
        <f>LEN(TRIM(Table22[[#This Row],[Country]]))</f>
        <v>6</v>
      </c>
      <c r="I100" s="64">
        <f>LEN(TRIM(Table22[[#This Row],[Continent]]))</f>
        <v>13</v>
      </c>
      <c r="J100" s="64">
        <f>LEN(TRIM(Table22[[#This Row],[Product]]))</f>
        <v>6</v>
      </c>
      <c r="K100" s="64">
        <f>LEN(TRIM(Table22[[#This Row],[Sales Team]]))</f>
        <v>9</v>
      </c>
      <c r="L100" s="23">
        <v>80</v>
      </c>
      <c r="M100" s="65" t="str" cm="1">
        <f t="array" ref="M100">_xlfn.IFS(Table22[[#This Row],[Units Sold]]&lt;40,"Critical",Table22[[#This Row],[Units Sold]]&lt;=50,"Poor",Table22[[#This Row],[Units Sold]]&lt;=60,"Low",Table22[[#This Row],[Units Sold]]&lt;=80,"Average",Table22[[#This Row],[Units Sold]]&lt;=90,"High",Table22[[#This Row],[Units Sold]]&lt;=95,"Excellent",Table22[[#This Row],[Units Sold]]&gt;95,"Outstanding")</f>
        <v>Average</v>
      </c>
      <c r="N100" s="29">
        <v>1314.11</v>
      </c>
      <c r="O100" s="29">
        <v>105128.8</v>
      </c>
      <c r="P100" s="43">
        <f>IF(Table22[[#This Row],[Discount Applied]],Table22[[#This Row],[Total Sales (in USD)]]*(1-Table22[[#This Row],[Discount Percentage (%)]]/100),Table22[[#This Row],[Total Sales (in USD)]])</f>
        <v>105128.8</v>
      </c>
      <c r="Q100" s="66">
        <f>SQRT(AVERAGE((Table22[[#This Row],[Net Sales (after discount) (in USD)]]-AVERAGE(Table22[Net Sales (after discount) (in USD)]))^2))</f>
        <v>68617.439436235465</v>
      </c>
      <c r="R100" s="18" t="b">
        <v>0</v>
      </c>
      <c r="S100" s="40">
        <v>19.600000000000001</v>
      </c>
      <c r="T100" s="18" t="b">
        <v>0</v>
      </c>
      <c r="U100" s="25">
        <v>44934</v>
      </c>
      <c r="V100" s="63" t="str">
        <f>IF(MONTH(Table22[[#This Row],[Sales Date]])&lt;=3,"Q1",IF(MONTH(Table22[[#This Row],[Sales Date]])&lt;=6,"Q2",IF(MONTH(Table22[[#This Row],[Sales Date]])&lt;=9,"Q3","Q4")))</f>
        <v>Q1</v>
      </c>
      <c r="W100" s="64">
        <f>YEAR(Table22[[#This Row],[Sales Date]])</f>
        <v>2023</v>
      </c>
      <c r="X100" s="23">
        <v>18</v>
      </c>
      <c r="Y100" s="18" t="s">
        <v>49</v>
      </c>
      <c r="Z100" s="18" t="s">
        <v>42</v>
      </c>
      <c r="AA100" s="19" t="s">
        <v>36</v>
      </c>
    </row>
    <row r="101" spans="1:27" x14ac:dyDescent="0.25">
      <c r="A101" s="17" t="s">
        <v>966</v>
      </c>
      <c r="B101" s="18" t="s">
        <v>76</v>
      </c>
      <c r="C101" s="63" t="str" cm="1">
        <f t="array" ref="C101">_xlfn.SWITCH(Table22[[#This Row],[Country]],"USA","North America","Canada","North America","Brazil","South America","China","Asia","Japan","Asia","India","Asia","France","Europe","Germany","Europe","UK","Europe","Australia","Oceania","South America")</f>
        <v>Asia</v>
      </c>
      <c r="D101" s="18" t="s">
        <v>21</v>
      </c>
      <c r="E101" s="18" t="s">
        <v>33</v>
      </c>
      <c r="F101" s="18" t="s">
        <v>47</v>
      </c>
      <c r="G101" s="18" t="s">
        <v>22</v>
      </c>
      <c r="H101" s="64">
        <f>LEN(TRIM(Table22[[#This Row],[Country]]))</f>
        <v>5</v>
      </c>
      <c r="I101" s="64">
        <f>LEN(TRIM(Table22[[#This Row],[Continent]]))</f>
        <v>4</v>
      </c>
      <c r="J101" s="64">
        <f>LEN(TRIM(Table22[[#This Row],[Product]]))</f>
        <v>10</v>
      </c>
      <c r="K101" s="64">
        <f>LEN(TRIM(Table22[[#This Row],[Sales Team]]))</f>
        <v>10</v>
      </c>
      <c r="L101" s="23">
        <v>86</v>
      </c>
      <c r="M101" s="65" t="str" cm="1">
        <f t="array" ref="M101">_xlfn.IFS(Table22[[#This Row],[Units Sold]]&lt;40,"Critical",Table22[[#This Row],[Units Sold]]&lt;=50,"Poor",Table22[[#This Row],[Units Sold]]&lt;=60,"Low",Table22[[#This Row],[Units Sold]]&lt;=80,"Average",Table22[[#This Row],[Units Sold]]&lt;=90,"High",Table22[[#This Row],[Units Sold]]&lt;=95,"Excellent",Table22[[#This Row],[Units Sold]]&gt;95,"Outstanding")</f>
        <v>High</v>
      </c>
      <c r="N101" s="29">
        <v>1219.28</v>
      </c>
      <c r="O101" s="29">
        <v>104858.08</v>
      </c>
      <c r="P101" s="43">
        <f>IF(Table22[[#This Row],[Discount Applied]],Table22[[#This Row],[Total Sales (in USD)]]*(1-Table22[[#This Row],[Discount Percentage (%)]]/100),Table22[[#This Row],[Total Sales (in USD)]])</f>
        <v>104858.08</v>
      </c>
      <c r="Q101" s="66">
        <f>SQRT(AVERAGE((Table22[[#This Row],[Net Sales (after discount) (in USD)]]-AVERAGE(Table22[Net Sales (after discount) (in USD)]))^2))</f>
        <v>68346.719436235464</v>
      </c>
      <c r="R101" s="18" t="b">
        <v>0</v>
      </c>
      <c r="S101" s="40">
        <v>14.82</v>
      </c>
      <c r="T101" s="18" t="b">
        <v>0</v>
      </c>
      <c r="U101" s="25">
        <v>44964</v>
      </c>
      <c r="V101" s="63" t="str">
        <f>IF(MONTH(Table22[[#This Row],[Sales Date]])&lt;=3,"Q1",IF(MONTH(Table22[[#This Row],[Sales Date]])&lt;=6,"Q2",IF(MONTH(Table22[[#This Row],[Sales Date]])&lt;=9,"Q3","Q4")))</f>
        <v>Q1</v>
      </c>
      <c r="W101" s="64">
        <f>YEAR(Table22[[#This Row],[Sales Date]])</f>
        <v>2023</v>
      </c>
      <c r="X101" s="23">
        <v>65</v>
      </c>
      <c r="Y101" s="18" t="s">
        <v>23</v>
      </c>
      <c r="Z101" s="18" t="s">
        <v>30</v>
      </c>
      <c r="AA101" s="19" t="s">
        <v>25</v>
      </c>
    </row>
    <row r="102" spans="1:27" x14ac:dyDescent="0.25">
      <c r="A102" s="17" t="s">
        <v>338</v>
      </c>
      <c r="B102" s="18" t="s">
        <v>66</v>
      </c>
      <c r="C102" s="63" t="str" cm="1">
        <f t="array" ref="C102">_xlfn.SWITCH(Table22[[#This Row],[Country]],"USA","North America","Canada","North America","Brazil","South America","China","Asia","Japan","Asia","India","Asia","France","Europe","Germany","Europe","UK","Europe","Australia","Oceania","South America")</f>
        <v>North America</v>
      </c>
      <c r="D102" s="18" t="s">
        <v>44</v>
      </c>
      <c r="E102" s="18" t="s">
        <v>33</v>
      </c>
      <c r="F102" s="18" t="s">
        <v>64</v>
      </c>
      <c r="G102" s="18" t="s">
        <v>48</v>
      </c>
      <c r="H102" s="64">
        <f>LEN(TRIM(Table22[[#This Row],[Country]]))</f>
        <v>6</v>
      </c>
      <c r="I102" s="64">
        <f>LEN(TRIM(Table22[[#This Row],[Continent]]))</f>
        <v>13</v>
      </c>
      <c r="J102" s="64">
        <f>LEN(TRIM(Table22[[#This Row],[Product]]))</f>
        <v>10</v>
      </c>
      <c r="K102" s="64">
        <f>LEN(TRIM(Table22[[#This Row],[Sales Team]]))</f>
        <v>9</v>
      </c>
      <c r="L102" s="23">
        <v>73</v>
      </c>
      <c r="M102" s="65" t="str" cm="1">
        <f t="array" ref="M102">_xlfn.IFS(Table22[[#This Row],[Units Sold]]&lt;40,"Critical",Table22[[#This Row],[Units Sold]]&lt;=50,"Poor",Table22[[#This Row],[Units Sold]]&lt;=60,"Low",Table22[[#This Row],[Units Sold]]&lt;=80,"Average",Table22[[#This Row],[Units Sold]]&lt;=90,"High",Table22[[#This Row],[Units Sold]]&lt;=95,"Excellent",Table22[[#This Row],[Units Sold]]&gt;95,"Outstanding")</f>
        <v>Average</v>
      </c>
      <c r="N102" s="29">
        <v>1433.88</v>
      </c>
      <c r="O102" s="29">
        <v>104673.24</v>
      </c>
      <c r="P102" s="43">
        <f>IF(Table22[[#This Row],[Discount Applied]],Table22[[#This Row],[Total Sales (in USD)]]*(1-Table22[[#This Row],[Discount Percentage (%)]]/100),Table22[[#This Row],[Total Sales (in USD)]])</f>
        <v>104673.24</v>
      </c>
      <c r="Q102" s="66">
        <f>SQRT(AVERAGE((Table22[[#This Row],[Net Sales (after discount) (in USD)]]-AVERAGE(Table22[Net Sales (after discount) (in USD)]))^2))</f>
        <v>68161.879436235467</v>
      </c>
      <c r="R102" s="18" t="b">
        <v>1</v>
      </c>
      <c r="S102" s="40">
        <v>29.15</v>
      </c>
      <c r="T102" s="18" t="b">
        <v>0</v>
      </c>
      <c r="U102" s="25">
        <v>45228</v>
      </c>
      <c r="V102" s="63" t="str">
        <f>IF(MONTH(Table22[[#This Row],[Sales Date]])&lt;=3,"Q1",IF(MONTH(Table22[[#This Row],[Sales Date]])&lt;=6,"Q2",IF(MONTH(Table22[[#This Row],[Sales Date]])&lt;=9,"Q3","Q4")))</f>
        <v>Q4</v>
      </c>
      <c r="W102" s="64">
        <f>YEAR(Table22[[#This Row],[Sales Date]])</f>
        <v>2023</v>
      </c>
      <c r="X102" s="23">
        <v>26</v>
      </c>
      <c r="Y102" s="18" t="s">
        <v>49</v>
      </c>
      <c r="Z102" s="18" t="s">
        <v>42</v>
      </c>
      <c r="AA102" s="19" t="s">
        <v>25</v>
      </c>
    </row>
    <row r="103" spans="1:27" x14ac:dyDescent="0.25">
      <c r="A103" s="17" t="s">
        <v>1891</v>
      </c>
      <c r="B103" s="18" t="s">
        <v>76</v>
      </c>
      <c r="C103" s="63" t="str" cm="1">
        <f t="array" ref="C103">_xlfn.SWITCH(Table22[[#This Row],[Country]],"USA","North America","Canada","North America","Brazil","South America","China","Asia","Japan","Asia","India","Asia","France","Europe","Germany","Europe","UK","Europe","Australia","Oceania","South America")</f>
        <v>Asia</v>
      </c>
      <c r="D103" s="18" t="s">
        <v>21</v>
      </c>
      <c r="E103" s="18" t="s">
        <v>39</v>
      </c>
      <c r="F103" s="18" t="s">
        <v>64</v>
      </c>
      <c r="G103" s="18" t="s">
        <v>22</v>
      </c>
      <c r="H103" s="64">
        <f>LEN(TRIM(Table22[[#This Row],[Country]]))</f>
        <v>5</v>
      </c>
      <c r="I103" s="64">
        <f>LEN(TRIM(Table22[[#This Row],[Continent]]))</f>
        <v>4</v>
      </c>
      <c r="J103" s="64">
        <f>LEN(TRIM(Table22[[#This Row],[Product]]))</f>
        <v>10</v>
      </c>
      <c r="K103" s="64">
        <f>LEN(TRIM(Table22[[#This Row],[Sales Team]]))</f>
        <v>10</v>
      </c>
      <c r="L103" s="23">
        <v>77</v>
      </c>
      <c r="M103" s="65" t="str" cm="1">
        <f t="array" ref="M103">_xlfn.IFS(Table22[[#This Row],[Units Sold]]&lt;40,"Critical",Table22[[#This Row],[Units Sold]]&lt;=50,"Poor",Table22[[#This Row],[Units Sold]]&lt;=60,"Low",Table22[[#This Row],[Units Sold]]&lt;=80,"Average",Table22[[#This Row],[Units Sold]]&lt;=90,"High",Table22[[#This Row],[Units Sold]]&lt;=95,"Excellent",Table22[[#This Row],[Units Sold]]&gt;95,"Outstanding")</f>
        <v>Average</v>
      </c>
      <c r="N103" s="29">
        <v>1358.08</v>
      </c>
      <c r="O103" s="29">
        <v>104572.16</v>
      </c>
      <c r="P103" s="43">
        <f>IF(Table22[[#This Row],[Discount Applied]],Table22[[#This Row],[Total Sales (in USD)]]*(1-Table22[[#This Row],[Discount Percentage (%)]]/100),Table22[[#This Row],[Total Sales (in USD)]])</f>
        <v>100483.388544</v>
      </c>
      <c r="Q103" s="66">
        <f>SQRT(AVERAGE((Table22[[#This Row],[Net Sales (after discount) (in USD)]]-AVERAGE(Table22[Net Sales (after discount) (in USD)]))^2))</f>
        <v>63972.027980235463</v>
      </c>
      <c r="R103" s="18" t="b">
        <v>1</v>
      </c>
      <c r="S103" s="40">
        <v>3.91</v>
      </c>
      <c r="T103" s="18" t="b">
        <v>1</v>
      </c>
      <c r="U103" s="25">
        <v>45380</v>
      </c>
      <c r="V103" s="63" t="str">
        <f>IF(MONTH(Table22[[#This Row],[Sales Date]])&lt;=3,"Q1",IF(MONTH(Table22[[#This Row],[Sales Date]])&lt;=6,"Q2",IF(MONTH(Table22[[#This Row],[Sales Date]])&lt;=9,"Q3","Q4")))</f>
        <v>Q1</v>
      </c>
      <c r="W103" s="64">
        <f>YEAR(Table22[[#This Row],[Sales Date]])</f>
        <v>2024</v>
      </c>
      <c r="X103" s="23">
        <v>19</v>
      </c>
      <c r="Y103" s="18" t="s">
        <v>41</v>
      </c>
      <c r="Z103" s="18" t="s">
        <v>24</v>
      </c>
      <c r="AA103" s="19" t="s">
        <v>36</v>
      </c>
    </row>
    <row r="104" spans="1:27" x14ac:dyDescent="0.25">
      <c r="A104" s="17" t="s">
        <v>354</v>
      </c>
      <c r="B104" s="18" t="s">
        <v>72</v>
      </c>
      <c r="C104" s="63" t="str" cm="1">
        <f t="array" ref="C104">_xlfn.SWITCH(Table22[[#This Row],[Country]],"USA","North America","Canada","North America","Brazil","South America","China","Asia","Japan","Asia","India","Asia","France","Europe","Germany","Europe","UK","Europe","Australia","Oceania","South America")</f>
        <v>North America</v>
      </c>
      <c r="D104" s="18" t="s">
        <v>44</v>
      </c>
      <c r="E104" s="18" t="s">
        <v>33</v>
      </c>
      <c r="F104" s="18" t="s">
        <v>52</v>
      </c>
      <c r="G104" s="18" t="s">
        <v>22</v>
      </c>
      <c r="H104" s="64">
        <f>LEN(TRIM(Table22[[#This Row],[Country]]))</f>
        <v>3</v>
      </c>
      <c r="I104" s="64">
        <f>LEN(TRIM(Table22[[#This Row],[Continent]]))</f>
        <v>13</v>
      </c>
      <c r="J104" s="64">
        <f>LEN(TRIM(Table22[[#This Row],[Product]]))</f>
        <v>10</v>
      </c>
      <c r="K104" s="64">
        <f>LEN(TRIM(Table22[[#This Row],[Sales Team]]))</f>
        <v>10</v>
      </c>
      <c r="L104" s="23">
        <v>87</v>
      </c>
      <c r="M104" s="65" t="str" cm="1">
        <f t="array" ref="M104">_xlfn.IFS(Table22[[#This Row],[Units Sold]]&lt;40,"Critical",Table22[[#This Row],[Units Sold]]&lt;=50,"Poor",Table22[[#This Row],[Units Sold]]&lt;=60,"Low",Table22[[#This Row],[Units Sold]]&lt;=80,"Average",Table22[[#This Row],[Units Sold]]&lt;=90,"High",Table22[[#This Row],[Units Sold]]&lt;=95,"Excellent",Table22[[#This Row],[Units Sold]]&gt;95,"Outstanding")</f>
        <v>High</v>
      </c>
      <c r="N104" s="29">
        <v>1201.1500000000001</v>
      </c>
      <c r="O104" s="29">
        <v>104500.05</v>
      </c>
      <c r="P104" s="43">
        <f>IF(Table22[[#This Row],[Discount Applied]],Table22[[#This Row],[Total Sales (in USD)]]*(1-Table22[[#This Row],[Discount Percentage (%)]]/100),Table22[[#This Row],[Total Sales (in USD)]])</f>
        <v>73505.335170000006</v>
      </c>
      <c r="Q104" s="66">
        <f>SQRT(AVERAGE((Table22[[#This Row],[Net Sales (after discount) (in USD)]]-AVERAGE(Table22[Net Sales (after discount) (in USD)]))^2))</f>
        <v>36993.974606235468</v>
      </c>
      <c r="R104" s="18" t="b">
        <v>1</v>
      </c>
      <c r="S104" s="40">
        <v>29.66</v>
      </c>
      <c r="T104" s="18" t="b">
        <v>1</v>
      </c>
      <c r="U104" s="25">
        <v>45547</v>
      </c>
      <c r="V104" s="63" t="str">
        <f>IF(MONTH(Table22[[#This Row],[Sales Date]])&lt;=3,"Q1",IF(MONTH(Table22[[#This Row],[Sales Date]])&lt;=6,"Q2",IF(MONTH(Table22[[#This Row],[Sales Date]])&lt;=9,"Q3","Q4")))</f>
        <v>Q3</v>
      </c>
      <c r="W104" s="64">
        <f>YEAR(Table22[[#This Row],[Sales Date]])</f>
        <v>2024</v>
      </c>
      <c r="X104" s="23">
        <v>46</v>
      </c>
      <c r="Y104" s="18" t="s">
        <v>49</v>
      </c>
      <c r="Z104" s="18" t="s">
        <v>42</v>
      </c>
      <c r="AA104" s="19" t="s">
        <v>25</v>
      </c>
    </row>
    <row r="105" spans="1:27" x14ac:dyDescent="0.25">
      <c r="A105" s="17" t="s">
        <v>595</v>
      </c>
      <c r="B105" s="18" t="s">
        <v>46</v>
      </c>
      <c r="C105" s="63" t="str" cm="1">
        <f t="array" ref="C105">_xlfn.SWITCH(Table22[[#This Row],[Country]],"USA","North America","Canada","North America","Brazil","South America","China","Asia","Japan","Asia","India","Asia","France","Europe","Germany","Europe","UK","Europe","Australia","Oceania","South America")</f>
        <v>South America</v>
      </c>
      <c r="D105" s="18" t="s">
        <v>35</v>
      </c>
      <c r="E105" s="18" t="s">
        <v>39</v>
      </c>
      <c r="F105" s="18" t="s">
        <v>52</v>
      </c>
      <c r="G105" s="18" t="s">
        <v>22</v>
      </c>
      <c r="H105" s="64">
        <f>LEN(TRIM(Table22[[#This Row],[Country]]))</f>
        <v>6</v>
      </c>
      <c r="I105" s="64">
        <f>LEN(TRIM(Table22[[#This Row],[Continent]]))</f>
        <v>13</v>
      </c>
      <c r="J105" s="64">
        <f>LEN(TRIM(Table22[[#This Row],[Product]]))</f>
        <v>10</v>
      </c>
      <c r="K105" s="64">
        <f>LEN(TRIM(Table22[[#This Row],[Sales Team]]))</f>
        <v>10</v>
      </c>
      <c r="L105" s="23">
        <v>82</v>
      </c>
      <c r="M105" s="65" t="str" cm="1">
        <f t="array" ref="M105">_xlfn.IFS(Table22[[#This Row],[Units Sold]]&lt;40,"Critical",Table22[[#This Row],[Units Sold]]&lt;=50,"Poor",Table22[[#This Row],[Units Sold]]&lt;=60,"Low",Table22[[#This Row],[Units Sold]]&lt;=80,"Average",Table22[[#This Row],[Units Sold]]&lt;=90,"High",Table22[[#This Row],[Units Sold]]&lt;=95,"Excellent",Table22[[#This Row],[Units Sold]]&gt;95,"Outstanding")</f>
        <v>High</v>
      </c>
      <c r="N105" s="29">
        <v>1272.79</v>
      </c>
      <c r="O105" s="29">
        <v>104368.78</v>
      </c>
      <c r="P105" s="43">
        <f>IF(Table22[[#This Row],[Discount Applied]],Table22[[#This Row],[Total Sales (in USD)]]*(1-Table22[[#This Row],[Discount Percentage (%)]]/100),Table22[[#This Row],[Total Sales (in USD)]])</f>
        <v>89068.316851999989</v>
      </c>
      <c r="Q105" s="66">
        <f>SQRT(AVERAGE((Table22[[#This Row],[Net Sales (after discount) (in USD)]]-AVERAGE(Table22[Net Sales (after discount) (in USD)]))^2))</f>
        <v>52556.956288235451</v>
      </c>
      <c r="R105" s="18" t="b">
        <v>0</v>
      </c>
      <c r="S105" s="40">
        <v>14.66</v>
      </c>
      <c r="T105" s="18" t="b">
        <v>1</v>
      </c>
      <c r="U105" s="25">
        <v>45128</v>
      </c>
      <c r="V105" s="63" t="str">
        <f>IF(MONTH(Table22[[#This Row],[Sales Date]])&lt;=3,"Q1",IF(MONTH(Table22[[#This Row],[Sales Date]])&lt;=6,"Q2",IF(MONTH(Table22[[#This Row],[Sales Date]])&lt;=9,"Q3","Q4")))</f>
        <v>Q3</v>
      </c>
      <c r="W105" s="64">
        <f>YEAR(Table22[[#This Row],[Sales Date]])</f>
        <v>2023</v>
      </c>
      <c r="X105" s="23">
        <v>34</v>
      </c>
      <c r="Y105" s="18" t="s">
        <v>23</v>
      </c>
      <c r="Z105" s="18" t="s">
        <v>56</v>
      </c>
      <c r="AA105" s="19" t="s">
        <v>36</v>
      </c>
    </row>
    <row r="106" spans="1:27" x14ac:dyDescent="0.25">
      <c r="A106" s="17" t="s">
        <v>1492</v>
      </c>
      <c r="B106" s="18" t="s">
        <v>32</v>
      </c>
      <c r="C106" s="63" t="str" cm="1">
        <f t="array" ref="C106">_xlfn.SWITCH(Table22[[#This Row],[Country]],"USA","North America","Canada","North America","Brazil","South America","China","Asia","Japan","Asia","India","Asia","France","Europe","Germany","Europe","UK","Europe","Australia","Oceania","South America")</f>
        <v>Asia</v>
      </c>
      <c r="D106" s="18" t="s">
        <v>44</v>
      </c>
      <c r="E106" s="18" t="s">
        <v>33</v>
      </c>
      <c r="F106" s="18" t="s">
        <v>52</v>
      </c>
      <c r="G106" s="18" t="s">
        <v>40</v>
      </c>
      <c r="H106" s="64">
        <f>LEN(TRIM(Table22[[#This Row],[Country]]))</f>
        <v>5</v>
      </c>
      <c r="I106" s="64">
        <f>LEN(TRIM(Table22[[#This Row],[Continent]]))</f>
        <v>4</v>
      </c>
      <c r="J106" s="64">
        <f>LEN(TRIM(Table22[[#This Row],[Product]]))</f>
        <v>10</v>
      </c>
      <c r="K106" s="64">
        <f>LEN(TRIM(Table22[[#This Row],[Sales Team]]))</f>
        <v>10</v>
      </c>
      <c r="L106" s="23">
        <v>70</v>
      </c>
      <c r="M106" s="65" t="str" cm="1">
        <f t="array" ref="M106">_xlfn.IFS(Table22[[#This Row],[Units Sold]]&lt;40,"Critical",Table22[[#This Row],[Units Sold]]&lt;=50,"Poor",Table22[[#This Row],[Units Sold]]&lt;=60,"Low",Table22[[#This Row],[Units Sold]]&lt;=80,"Average",Table22[[#This Row],[Units Sold]]&lt;=90,"High",Table22[[#This Row],[Units Sold]]&lt;=95,"Excellent",Table22[[#This Row],[Units Sold]]&gt;95,"Outstanding")</f>
        <v>Average</v>
      </c>
      <c r="N106" s="29">
        <v>1484.8</v>
      </c>
      <c r="O106" s="29">
        <v>103936</v>
      </c>
      <c r="P106" s="43">
        <f>IF(Table22[[#This Row],[Discount Applied]],Table22[[#This Row],[Total Sales (in USD)]]*(1-Table22[[#This Row],[Discount Percentage (%)]]/100),Table22[[#This Row],[Total Sales (in USD)]])</f>
        <v>80124.262400000007</v>
      </c>
      <c r="Q106" s="66">
        <f>SQRT(AVERAGE((Table22[[#This Row],[Net Sales (after discount) (in USD)]]-AVERAGE(Table22[Net Sales (after discount) (in USD)]))^2))</f>
        <v>43612.901836235469</v>
      </c>
      <c r="R106" s="18" t="b">
        <v>0</v>
      </c>
      <c r="S106" s="40">
        <v>22.91</v>
      </c>
      <c r="T106" s="18" t="b">
        <v>1</v>
      </c>
      <c r="U106" s="25">
        <v>45385</v>
      </c>
      <c r="V106" s="63" t="str">
        <f>IF(MONTH(Table22[[#This Row],[Sales Date]])&lt;=3,"Q1",IF(MONTH(Table22[[#This Row],[Sales Date]])&lt;=6,"Q2",IF(MONTH(Table22[[#This Row],[Sales Date]])&lt;=9,"Q3","Q4")))</f>
        <v>Q2</v>
      </c>
      <c r="W106" s="64">
        <f>YEAR(Table22[[#This Row],[Sales Date]])</f>
        <v>2024</v>
      </c>
      <c r="X106" s="23">
        <v>39</v>
      </c>
      <c r="Y106" s="18" t="s">
        <v>49</v>
      </c>
      <c r="Z106" s="18" t="s">
        <v>24</v>
      </c>
      <c r="AA106" s="19" t="s">
        <v>36</v>
      </c>
    </row>
    <row r="107" spans="1:27" x14ac:dyDescent="0.25">
      <c r="A107" s="17" t="s">
        <v>441</v>
      </c>
      <c r="B107" s="18" t="s">
        <v>18</v>
      </c>
      <c r="C107" s="63" t="str" cm="1">
        <f t="array" ref="C107">_xlfn.SWITCH(Table22[[#This Row],[Country]],"USA","North America","Canada","North America","Brazil","South America","China","Asia","Japan","Asia","India","Asia","France","Europe","Germany","Europe","UK","Europe","Australia","Oceania","South America")</f>
        <v>Asia</v>
      </c>
      <c r="D107" s="18" t="s">
        <v>35</v>
      </c>
      <c r="E107" s="18" t="s">
        <v>33</v>
      </c>
      <c r="F107" s="18" t="s">
        <v>20</v>
      </c>
      <c r="G107" s="18" t="s">
        <v>48</v>
      </c>
      <c r="H107" s="64">
        <f>LEN(TRIM(Table22[[#This Row],[Country]]))</f>
        <v>5</v>
      </c>
      <c r="I107" s="64">
        <f>LEN(TRIM(Table22[[#This Row],[Continent]]))</f>
        <v>4</v>
      </c>
      <c r="J107" s="64">
        <f>LEN(TRIM(Table22[[#This Row],[Product]]))</f>
        <v>10</v>
      </c>
      <c r="K107" s="64">
        <f>LEN(TRIM(Table22[[#This Row],[Sales Team]]))</f>
        <v>9</v>
      </c>
      <c r="L107" s="23">
        <v>73</v>
      </c>
      <c r="M107" s="65" t="str" cm="1">
        <f t="array" ref="M107">_xlfn.IFS(Table22[[#This Row],[Units Sold]]&lt;40,"Critical",Table22[[#This Row],[Units Sold]]&lt;=50,"Poor",Table22[[#This Row],[Units Sold]]&lt;=60,"Low",Table22[[#This Row],[Units Sold]]&lt;=80,"Average",Table22[[#This Row],[Units Sold]]&lt;=90,"High",Table22[[#This Row],[Units Sold]]&lt;=95,"Excellent",Table22[[#This Row],[Units Sold]]&gt;95,"Outstanding")</f>
        <v>Average</v>
      </c>
      <c r="N107" s="29">
        <v>1422.92</v>
      </c>
      <c r="O107" s="29">
        <v>103873.16</v>
      </c>
      <c r="P107" s="43">
        <f>IF(Table22[[#This Row],[Discount Applied]],Table22[[#This Row],[Total Sales (in USD)]]*(1-Table22[[#This Row],[Discount Percentage (%)]]/100),Table22[[#This Row],[Total Sales (in USD)]])</f>
        <v>103249.92104</v>
      </c>
      <c r="Q107" s="66">
        <f>SQRT(AVERAGE((Table22[[#This Row],[Net Sales (after discount) (in USD)]]-AVERAGE(Table22[Net Sales (after discount) (in USD)]))^2))</f>
        <v>66738.560476235463</v>
      </c>
      <c r="R107" s="18" t="b">
        <v>1</v>
      </c>
      <c r="S107" s="40">
        <v>0.6</v>
      </c>
      <c r="T107" s="18" t="b">
        <v>1</v>
      </c>
      <c r="U107" s="25">
        <v>45308</v>
      </c>
      <c r="V107" s="63" t="str">
        <f>IF(MONTH(Table22[[#This Row],[Sales Date]])&lt;=3,"Q1",IF(MONTH(Table22[[#This Row],[Sales Date]])&lt;=6,"Q2",IF(MONTH(Table22[[#This Row],[Sales Date]])&lt;=9,"Q3","Q4")))</f>
        <v>Q1</v>
      </c>
      <c r="W107" s="64">
        <f>YEAR(Table22[[#This Row],[Sales Date]])</f>
        <v>2024</v>
      </c>
      <c r="X107" s="23">
        <v>41</v>
      </c>
      <c r="Y107" s="18" t="s">
        <v>49</v>
      </c>
      <c r="Z107" s="18" t="s">
        <v>56</v>
      </c>
      <c r="AA107" s="19" t="s">
        <v>25</v>
      </c>
    </row>
    <row r="108" spans="1:27" x14ac:dyDescent="0.25">
      <c r="A108" s="17" t="s">
        <v>221</v>
      </c>
      <c r="B108" s="18" t="s">
        <v>66</v>
      </c>
      <c r="C108" s="63" t="str" cm="1">
        <f t="array" ref="C108">_xlfn.SWITCH(Table22[[#This Row],[Country]],"USA","North America","Canada","North America","Brazil","South America","China","Asia","Japan","Asia","India","Asia","France","Europe","Germany","Europe","UK","Europe","Australia","Oceania","South America")</f>
        <v>North America</v>
      </c>
      <c r="D108" s="18" t="s">
        <v>28</v>
      </c>
      <c r="E108" s="18" t="s">
        <v>33</v>
      </c>
      <c r="F108" s="18" t="s">
        <v>34</v>
      </c>
      <c r="G108" s="18" t="s">
        <v>29</v>
      </c>
      <c r="H108" s="64">
        <f>LEN(TRIM(Table22[[#This Row],[Country]]))</f>
        <v>6</v>
      </c>
      <c r="I108" s="64">
        <f>LEN(TRIM(Table22[[#This Row],[Continent]]))</f>
        <v>13</v>
      </c>
      <c r="J108" s="64">
        <f>LEN(TRIM(Table22[[#This Row],[Product]]))</f>
        <v>10</v>
      </c>
      <c r="K108" s="64">
        <f>LEN(TRIM(Table22[[#This Row],[Sales Team]]))</f>
        <v>10</v>
      </c>
      <c r="L108" s="23">
        <v>82</v>
      </c>
      <c r="M108" s="65" t="str" cm="1">
        <f t="array" ref="M108">_xlfn.IFS(Table22[[#This Row],[Units Sold]]&lt;40,"Critical",Table22[[#This Row],[Units Sold]]&lt;=50,"Poor",Table22[[#This Row],[Units Sold]]&lt;=60,"Low",Table22[[#This Row],[Units Sold]]&lt;=80,"Average",Table22[[#This Row],[Units Sold]]&lt;=90,"High",Table22[[#This Row],[Units Sold]]&lt;=95,"Excellent",Table22[[#This Row],[Units Sold]]&gt;95,"Outstanding")</f>
        <v>High</v>
      </c>
      <c r="N108" s="29">
        <v>1266.51</v>
      </c>
      <c r="O108" s="29">
        <v>103853.82</v>
      </c>
      <c r="P108" s="43">
        <f>IF(Table22[[#This Row],[Discount Applied]],Table22[[#This Row],[Total Sales (in USD)]]*(1-Table22[[#This Row],[Discount Percentage (%)]]/100),Table22[[#This Row],[Total Sales (in USD)]])</f>
        <v>87455.301822000009</v>
      </c>
      <c r="Q108" s="66">
        <f>SQRT(AVERAGE((Table22[[#This Row],[Net Sales (after discount) (in USD)]]-AVERAGE(Table22[Net Sales (after discount) (in USD)]))^2))</f>
        <v>50943.941258235471</v>
      </c>
      <c r="R108" s="18" t="b">
        <v>0</v>
      </c>
      <c r="S108" s="40">
        <v>15.79</v>
      </c>
      <c r="T108" s="18" t="b">
        <v>1</v>
      </c>
      <c r="U108" s="25">
        <v>44994</v>
      </c>
      <c r="V108" s="63" t="str">
        <f>IF(MONTH(Table22[[#This Row],[Sales Date]])&lt;=3,"Q1",IF(MONTH(Table22[[#This Row],[Sales Date]])&lt;=6,"Q2",IF(MONTH(Table22[[#This Row],[Sales Date]])&lt;=9,"Q3","Q4")))</f>
        <v>Q1</v>
      </c>
      <c r="W108" s="64">
        <f>YEAR(Table22[[#This Row],[Sales Date]])</f>
        <v>2023</v>
      </c>
      <c r="X108" s="23">
        <v>30</v>
      </c>
      <c r="Y108" s="18" t="s">
        <v>23</v>
      </c>
      <c r="Z108" s="18" t="s">
        <v>42</v>
      </c>
      <c r="AA108" s="19" t="s">
        <v>36</v>
      </c>
    </row>
    <row r="109" spans="1:27" x14ac:dyDescent="0.25">
      <c r="A109" s="17" t="s">
        <v>917</v>
      </c>
      <c r="B109" s="18" t="s">
        <v>62</v>
      </c>
      <c r="C109" s="63" t="str" cm="1">
        <f t="array" ref="C109">_xlfn.SWITCH(Table22[[#This Row],[Country]],"USA","North America","Canada","North America","Brazil","South America","China","Asia","Japan","Asia","India","Asia","France","Europe","Germany","Europe","UK","Europe","Australia","Oceania","South America")</f>
        <v>Oceania</v>
      </c>
      <c r="D109" s="18" t="s">
        <v>21</v>
      </c>
      <c r="E109" s="18" t="s">
        <v>33</v>
      </c>
      <c r="F109" s="18" t="s">
        <v>64</v>
      </c>
      <c r="G109" s="18" t="s">
        <v>29</v>
      </c>
      <c r="H109" s="64">
        <f>LEN(TRIM(Table22[[#This Row],[Country]]))</f>
        <v>9</v>
      </c>
      <c r="I109" s="64">
        <f>LEN(TRIM(Table22[[#This Row],[Continent]]))</f>
        <v>7</v>
      </c>
      <c r="J109" s="64">
        <f>LEN(TRIM(Table22[[#This Row],[Product]]))</f>
        <v>10</v>
      </c>
      <c r="K109" s="64">
        <f>LEN(TRIM(Table22[[#This Row],[Sales Team]]))</f>
        <v>10</v>
      </c>
      <c r="L109" s="23">
        <v>78</v>
      </c>
      <c r="M109" s="65" t="str" cm="1">
        <f t="array" ref="M109">_xlfn.IFS(Table22[[#This Row],[Units Sold]]&lt;40,"Critical",Table22[[#This Row],[Units Sold]]&lt;=50,"Poor",Table22[[#This Row],[Units Sold]]&lt;=60,"Low",Table22[[#This Row],[Units Sold]]&lt;=80,"Average",Table22[[#This Row],[Units Sold]]&lt;=90,"High",Table22[[#This Row],[Units Sold]]&lt;=95,"Excellent",Table22[[#This Row],[Units Sold]]&gt;95,"Outstanding")</f>
        <v>Average</v>
      </c>
      <c r="N109" s="29">
        <v>1328.43</v>
      </c>
      <c r="O109" s="29">
        <v>103617.54</v>
      </c>
      <c r="P109" s="43">
        <f>IF(Table22[[#This Row],[Discount Applied]],Table22[[#This Row],[Total Sales (in USD)]]*(1-Table22[[#This Row],[Discount Percentage (%)]]/100),Table22[[#This Row],[Total Sales (in USD)]])</f>
        <v>78096.539898000003</v>
      </c>
      <c r="Q109" s="66">
        <f>SQRT(AVERAGE((Table22[[#This Row],[Net Sales (after discount) (in USD)]]-AVERAGE(Table22[Net Sales (after discount) (in USD)]))^2))</f>
        <v>41585.179334235465</v>
      </c>
      <c r="R109" s="18" t="b">
        <v>1</v>
      </c>
      <c r="S109" s="40">
        <v>24.63</v>
      </c>
      <c r="T109" s="18" t="b">
        <v>1</v>
      </c>
      <c r="U109" s="25">
        <v>45283</v>
      </c>
      <c r="V109" s="63" t="str">
        <f>IF(MONTH(Table22[[#This Row],[Sales Date]])&lt;=3,"Q1",IF(MONTH(Table22[[#This Row],[Sales Date]])&lt;=6,"Q2",IF(MONTH(Table22[[#This Row],[Sales Date]])&lt;=9,"Q3","Q4")))</f>
        <v>Q4</v>
      </c>
      <c r="W109" s="64">
        <f>YEAR(Table22[[#This Row],[Sales Date]])</f>
        <v>2023</v>
      </c>
      <c r="X109" s="23">
        <v>61</v>
      </c>
      <c r="Y109" s="18" t="s">
        <v>49</v>
      </c>
      <c r="Z109" s="18" t="s">
        <v>24</v>
      </c>
      <c r="AA109" s="19" t="s">
        <v>36</v>
      </c>
    </row>
    <row r="110" spans="1:27" x14ac:dyDescent="0.25">
      <c r="A110" s="17" t="s">
        <v>156</v>
      </c>
      <c r="B110" s="18" t="s">
        <v>32</v>
      </c>
      <c r="C110" s="63" t="str" cm="1">
        <f t="array" ref="C110">_xlfn.SWITCH(Table22[[#This Row],[Country]],"USA","North America","Canada","North America","Brazil","South America","China","Asia","Japan","Asia","India","Asia","France","Europe","Germany","Europe","UK","Europe","Australia","Oceania","South America")</f>
        <v>Asia</v>
      </c>
      <c r="D110" s="18" t="s">
        <v>21</v>
      </c>
      <c r="E110" s="18" t="s">
        <v>19</v>
      </c>
      <c r="F110" s="18" t="s">
        <v>47</v>
      </c>
      <c r="G110" s="18" t="s">
        <v>48</v>
      </c>
      <c r="H110" s="64">
        <f>LEN(TRIM(Table22[[#This Row],[Country]]))</f>
        <v>5</v>
      </c>
      <c r="I110" s="64">
        <f>LEN(TRIM(Table22[[#This Row],[Continent]]))</f>
        <v>4</v>
      </c>
      <c r="J110" s="64">
        <f>LEN(TRIM(Table22[[#This Row],[Product]]))</f>
        <v>6</v>
      </c>
      <c r="K110" s="64">
        <f>LEN(TRIM(Table22[[#This Row],[Sales Team]]))</f>
        <v>9</v>
      </c>
      <c r="L110" s="23">
        <v>71</v>
      </c>
      <c r="M110" s="65" t="str" cm="1">
        <f t="array" ref="M110">_xlfn.IFS(Table22[[#This Row],[Units Sold]]&lt;40,"Critical",Table22[[#This Row],[Units Sold]]&lt;=50,"Poor",Table22[[#This Row],[Units Sold]]&lt;=60,"Low",Table22[[#This Row],[Units Sold]]&lt;=80,"Average",Table22[[#This Row],[Units Sold]]&lt;=90,"High",Table22[[#This Row],[Units Sold]]&lt;=95,"Excellent",Table22[[#This Row],[Units Sold]]&gt;95,"Outstanding")</f>
        <v>Average</v>
      </c>
      <c r="N110" s="29">
        <v>1459.33</v>
      </c>
      <c r="O110" s="29">
        <v>103612.43</v>
      </c>
      <c r="P110" s="43">
        <f>IF(Table22[[#This Row],[Discount Applied]],Table22[[#This Row],[Total Sales (in USD)]]*(1-Table22[[#This Row],[Discount Percentage (%)]]/100),Table22[[#This Row],[Total Sales (in USD)]])</f>
        <v>94204.421355999992</v>
      </c>
      <c r="Q110" s="66">
        <f>SQRT(AVERAGE((Table22[[#This Row],[Net Sales (after discount) (in USD)]]-AVERAGE(Table22[Net Sales (after discount) (in USD)]))^2))</f>
        <v>57693.060792235454</v>
      </c>
      <c r="R110" s="18" t="b">
        <v>1</v>
      </c>
      <c r="S110" s="40">
        <v>9.08</v>
      </c>
      <c r="T110" s="18" t="b">
        <v>1</v>
      </c>
      <c r="U110" s="25">
        <v>45090</v>
      </c>
      <c r="V110" s="63" t="str">
        <f>IF(MONTH(Table22[[#This Row],[Sales Date]])&lt;=3,"Q1",IF(MONTH(Table22[[#This Row],[Sales Date]])&lt;=6,"Q2",IF(MONTH(Table22[[#This Row],[Sales Date]])&lt;=9,"Q3","Q4")))</f>
        <v>Q2</v>
      </c>
      <c r="W110" s="64">
        <f>YEAR(Table22[[#This Row],[Sales Date]])</f>
        <v>2023</v>
      </c>
      <c r="X110" s="23">
        <v>39</v>
      </c>
      <c r="Y110" s="18" t="s">
        <v>23</v>
      </c>
      <c r="Z110" s="18" t="s">
        <v>30</v>
      </c>
      <c r="AA110" s="19" t="s">
        <v>36</v>
      </c>
    </row>
    <row r="111" spans="1:27" x14ac:dyDescent="0.25">
      <c r="A111" s="17" t="s">
        <v>781</v>
      </c>
      <c r="B111" s="18" t="s">
        <v>62</v>
      </c>
      <c r="C111" s="63" t="str" cm="1">
        <f t="array" ref="C111">_xlfn.SWITCH(Table22[[#This Row],[Country]],"USA","North America","Canada","North America","Brazil","South America","China","Asia","Japan","Asia","India","Asia","France","Europe","Germany","Europe","UK","Europe","Australia","Oceania","South America")</f>
        <v>Oceania</v>
      </c>
      <c r="D111" s="18" t="s">
        <v>28</v>
      </c>
      <c r="E111" s="18" t="s">
        <v>39</v>
      </c>
      <c r="F111" s="18" t="s">
        <v>52</v>
      </c>
      <c r="G111" s="18" t="s">
        <v>22</v>
      </c>
      <c r="H111" s="64">
        <f>LEN(TRIM(Table22[[#This Row],[Country]]))</f>
        <v>9</v>
      </c>
      <c r="I111" s="64">
        <f>LEN(TRIM(Table22[[#This Row],[Continent]]))</f>
        <v>7</v>
      </c>
      <c r="J111" s="64">
        <f>LEN(TRIM(Table22[[#This Row],[Product]]))</f>
        <v>10</v>
      </c>
      <c r="K111" s="64">
        <f>LEN(TRIM(Table22[[#This Row],[Sales Team]]))</f>
        <v>10</v>
      </c>
      <c r="L111" s="23">
        <v>85</v>
      </c>
      <c r="M111" s="65" t="str" cm="1">
        <f t="array" ref="M111">_xlfn.IFS(Table22[[#This Row],[Units Sold]]&lt;40,"Critical",Table22[[#This Row],[Units Sold]]&lt;=50,"Poor",Table22[[#This Row],[Units Sold]]&lt;=60,"Low",Table22[[#This Row],[Units Sold]]&lt;=80,"Average",Table22[[#This Row],[Units Sold]]&lt;=90,"High",Table22[[#This Row],[Units Sold]]&lt;=95,"Excellent",Table22[[#This Row],[Units Sold]]&gt;95,"Outstanding")</f>
        <v>High</v>
      </c>
      <c r="N111" s="29">
        <v>1213.72</v>
      </c>
      <c r="O111" s="29">
        <v>103166.2</v>
      </c>
      <c r="P111" s="43">
        <f>IF(Table22[[#This Row],[Discount Applied]],Table22[[#This Row],[Total Sales (in USD)]]*(1-Table22[[#This Row],[Discount Percentage (%)]]/100),Table22[[#This Row],[Total Sales (in USD)]])</f>
        <v>103166.2</v>
      </c>
      <c r="Q111" s="66">
        <f>SQRT(AVERAGE((Table22[[#This Row],[Net Sales (after discount) (in USD)]]-AVERAGE(Table22[Net Sales (after discount) (in USD)]))^2))</f>
        <v>66654.839436235459</v>
      </c>
      <c r="R111" s="18" t="b">
        <v>0</v>
      </c>
      <c r="S111" s="40">
        <v>15.51</v>
      </c>
      <c r="T111" s="18" t="b">
        <v>0</v>
      </c>
      <c r="U111" s="25">
        <v>45140</v>
      </c>
      <c r="V111" s="63" t="str">
        <f>IF(MONTH(Table22[[#This Row],[Sales Date]])&lt;=3,"Q1",IF(MONTH(Table22[[#This Row],[Sales Date]])&lt;=6,"Q2",IF(MONTH(Table22[[#This Row],[Sales Date]])&lt;=9,"Q3","Q4")))</f>
        <v>Q3</v>
      </c>
      <c r="W111" s="64">
        <f>YEAR(Table22[[#This Row],[Sales Date]])</f>
        <v>2023</v>
      </c>
      <c r="X111" s="23">
        <v>40</v>
      </c>
      <c r="Y111" s="18" t="s">
        <v>49</v>
      </c>
      <c r="Z111" s="18" t="s">
        <v>42</v>
      </c>
      <c r="AA111" s="19" t="s">
        <v>25</v>
      </c>
    </row>
    <row r="112" spans="1:27" x14ac:dyDescent="0.25">
      <c r="A112" s="17" t="s">
        <v>2005</v>
      </c>
      <c r="B112" s="18" t="s">
        <v>46</v>
      </c>
      <c r="C112" s="63" t="str" cm="1">
        <f t="array" ref="C112">_xlfn.SWITCH(Table22[[#This Row],[Country]],"USA","North America","Canada","North America","Brazil","South America","China","Asia","Japan","Asia","India","Asia","France","Europe","Germany","Europe","UK","Europe","Australia","Oceania","South America")</f>
        <v>South America</v>
      </c>
      <c r="D112" s="18" t="s">
        <v>21</v>
      </c>
      <c r="E112" s="18" t="s">
        <v>33</v>
      </c>
      <c r="F112" s="18" t="s">
        <v>64</v>
      </c>
      <c r="G112" s="18" t="s">
        <v>22</v>
      </c>
      <c r="H112" s="64">
        <f>LEN(TRIM(Table22[[#This Row],[Country]]))</f>
        <v>6</v>
      </c>
      <c r="I112" s="64">
        <f>LEN(TRIM(Table22[[#This Row],[Continent]]))</f>
        <v>13</v>
      </c>
      <c r="J112" s="64">
        <f>LEN(TRIM(Table22[[#This Row],[Product]]))</f>
        <v>10</v>
      </c>
      <c r="K112" s="64">
        <f>LEN(TRIM(Table22[[#This Row],[Sales Team]]))</f>
        <v>10</v>
      </c>
      <c r="L112" s="23">
        <v>83</v>
      </c>
      <c r="M112" s="65" t="str" cm="1">
        <f t="array" ref="M112">_xlfn.IFS(Table22[[#This Row],[Units Sold]]&lt;40,"Critical",Table22[[#This Row],[Units Sold]]&lt;=50,"Poor",Table22[[#This Row],[Units Sold]]&lt;=60,"Low",Table22[[#This Row],[Units Sold]]&lt;=80,"Average",Table22[[#This Row],[Units Sold]]&lt;=90,"High",Table22[[#This Row],[Units Sold]]&lt;=95,"Excellent",Table22[[#This Row],[Units Sold]]&gt;95,"Outstanding")</f>
        <v>High</v>
      </c>
      <c r="N112" s="29">
        <v>1242.82</v>
      </c>
      <c r="O112" s="29">
        <v>103154.06</v>
      </c>
      <c r="P112" s="43">
        <f>IF(Table22[[#This Row],[Discount Applied]],Table22[[#This Row],[Total Sales (in USD)]]*(1-Table22[[#This Row],[Discount Percentage (%)]]/100),Table22[[#This Row],[Total Sales (in USD)]])</f>
        <v>92591.084255999987</v>
      </c>
      <c r="Q112" s="66">
        <f>SQRT(AVERAGE((Table22[[#This Row],[Net Sales (after discount) (in USD)]]-AVERAGE(Table22[Net Sales (after discount) (in USD)]))^2))</f>
        <v>56079.72369223545</v>
      </c>
      <c r="R112" s="18" t="b">
        <v>0</v>
      </c>
      <c r="S112" s="40">
        <v>10.24</v>
      </c>
      <c r="T112" s="18" t="b">
        <v>1</v>
      </c>
      <c r="U112" s="25">
        <v>45277</v>
      </c>
      <c r="V112" s="63" t="str">
        <f>IF(MONTH(Table22[[#This Row],[Sales Date]])&lt;=3,"Q1",IF(MONTH(Table22[[#This Row],[Sales Date]])&lt;=6,"Q2",IF(MONTH(Table22[[#This Row],[Sales Date]])&lt;=9,"Q3","Q4")))</f>
        <v>Q4</v>
      </c>
      <c r="W112" s="64">
        <f>YEAR(Table22[[#This Row],[Sales Date]])</f>
        <v>2023</v>
      </c>
      <c r="X112" s="23">
        <v>68</v>
      </c>
      <c r="Y112" s="18" t="s">
        <v>49</v>
      </c>
      <c r="Z112" s="18" t="s">
        <v>30</v>
      </c>
      <c r="AA112" s="19" t="s">
        <v>36</v>
      </c>
    </row>
    <row r="113" spans="1:27" x14ac:dyDescent="0.25">
      <c r="A113" s="17" t="s">
        <v>372</v>
      </c>
      <c r="B113" s="18" t="s">
        <v>62</v>
      </c>
      <c r="C113" s="63" t="str" cm="1">
        <f t="array" ref="C113">_xlfn.SWITCH(Table22[[#This Row],[Country]],"USA","North America","Canada","North America","Brazil","South America","China","Asia","Japan","Asia","India","Asia","France","Europe","Germany","Europe","UK","Europe","Australia","Oceania","South America")</f>
        <v>Oceania</v>
      </c>
      <c r="D113" s="18" t="s">
        <v>44</v>
      </c>
      <c r="E113" s="18" t="s">
        <v>39</v>
      </c>
      <c r="F113" s="18" t="s">
        <v>34</v>
      </c>
      <c r="G113" s="18" t="s">
        <v>22</v>
      </c>
      <c r="H113" s="64">
        <f>LEN(TRIM(Table22[[#This Row],[Country]]))</f>
        <v>9</v>
      </c>
      <c r="I113" s="64">
        <f>LEN(TRIM(Table22[[#This Row],[Continent]]))</f>
        <v>7</v>
      </c>
      <c r="J113" s="64">
        <f>LEN(TRIM(Table22[[#This Row],[Product]]))</f>
        <v>10</v>
      </c>
      <c r="K113" s="64">
        <f>LEN(TRIM(Table22[[#This Row],[Sales Team]]))</f>
        <v>10</v>
      </c>
      <c r="L113" s="23">
        <v>98</v>
      </c>
      <c r="M113" s="65" t="str" cm="1">
        <f t="array" ref="M113">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13" s="29">
        <v>1051.8800000000001</v>
      </c>
      <c r="O113" s="29">
        <v>103084.24</v>
      </c>
      <c r="P113" s="43">
        <f>IF(Table22[[#This Row],[Discount Applied]],Table22[[#This Row],[Total Sales (in USD)]]*(1-Table22[[#This Row],[Discount Percentage (%)]]/100),Table22[[#This Row],[Total Sales (in USD)]])</f>
        <v>91868.674687999999</v>
      </c>
      <c r="Q113" s="66">
        <f>SQRT(AVERAGE((Table22[[#This Row],[Net Sales (after discount) (in USD)]]-AVERAGE(Table22[Net Sales (after discount) (in USD)]))^2))</f>
        <v>55357.314124235461</v>
      </c>
      <c r="R113" s="18" t="b">
        <v>1</v>
      </c>
      <c r="S113" s="40">
        <v>10.88</v>
      </c>
      <c r="T113" s="18" t="b">
        <v>1</v>
      </c>
      <c r="U113" s="25">
        <v>45355</v>
      </c>
      <c r="V113" s="63" t="str">
        <f>IF(MONTH(Table22[[#This Row],[Sales Date]])&lt;=3,"Q1",IF(MONTH(Table22[[#This Row],[Sales Date]])&lt;=6,"Q2",IF(MONTH(Table22[[#This Row],[Sales Date]])&lt;=9,"Q3","Q4")))</f>
        <v>Q1</v>
      </c>
      <c r="W113" s="64">
        <f>YEAR(Table22[[#This Row],[Sales Date]])</f>
        <v>2024</v>
      </c>
      <c r="X113" s="23">
        <v>56</v>
      </c>
      <c r="Y113" s="18" t="s">
        <v>23</v>
      </c>
      <c r="Z113" s="18" t="s">
        <v>42</v>
      </c>
      <c r="AA113" s="19" t="s">
        <v>25</v>
      </c>
    </row>
    <row r="114" spans="1:27" x14ac:dyDescent="0.25">
      <c r="A114" s="17" t="s">
        <v>298</v>
      </c>
      <c r="B114" s="18" t="s">
        <v>72</v>
      </c>
      <c r="C114" s="63" t="str" cm="1">
        <f t="array" ref="C114">_xlfn.SWITCH(Table22[[#This Row],[Country]],"USA","North America","Canada","North America","Brazil","South America","China","Asia","Japan","Asia","India","Asia","France","Europe","Germany","Europe","UK","Europe","Australia","Oceania","South America")</f>
        <v>North America</v>
      </c>
      <c r="D114" s="18" t="s">
        <v>21</v>
      </c>
      <c r="E114" s="18" t="s">
        <v>19</v>
      </c>
      <c r="F114" s="18" t="s">
        <v>64</v>
      </c>
      <c r="G114" s="18" t="s">
        <v>22</v>
      </c>
      <c r="H114" s="64">
        <f>LEN(TRIM(Table22[[#This Row],[Country]]))</f>
        <v>3</v>
      </c>
      <c r="I114" s="64">
        <f>LEN(TRIM(Table22[[#This Row],[Continent]]))</f>
        <v>13</v>
      </c>
      <c r="J114" s="64">
        <f>LEN(TRIM(Table22[[#This Row],[Product]]))</f>
        <v>6</v>
      </c>
      <c r="K114" s="64">
        <f>LEN(TRIM(Table22[[#This Row],[Sales Team]]))</f>
        <v>10</v>
      </c>
      <c r="L114" s="23">
        <v>73</v>
      </c>
      <c r="M114" s="65" t="str" cm="1">
        <f t="array" ref="M114">_xlfn.IFS(Table22[[#This Row],[Units Sold]]&lt;40,"Critical",Table22[[#This Row],[Units Sold]]&lt;=50,"Poor",Table22[[#This Row],[Units Sold]]&lt;=60,"Low",Table22[[#This Row],[Units Sold]]&lt;=80,"Average",Table22[[#This Row],[Units Sold]]&lt;=90,"High",Table22[[#This Row],[Units Sold]]&lt;=95,"Excellent",Table22[[#This Row],[Units Sold]]&gt;95,"Outstanding")</f>
        <v>Average</v>
      </c>
      <c r="N114" s="29">
        <v>1410.18</v>
      </c>
      <c r="O114" s="29">
        <v>102943.14</v>
      </c>
      <c r="P114" s="43">
        <f>IF(Table22[[#This Row],[Discount Applied]],Table22[[#This Row],[Total Sales (in USD)]]*(1-Table22[[#This Row],[Discount Percentage (%)]]/100),Table22[[#This Row],[Total Sales (in USD)]])</f>
        <v>86842.832903999995</v>
      </c>
      <c r="Q114" s="66">
        <f>SQRT(AVERAGE((Table22[[#This Row],[Net Sales (after discount) (in USD)]]-AVERAGE(Table22[Net Sales (after discount) (in USD)]))^2))</f>
        <v>50331.472340235458</v>
      </c>
      <c r="R114" s="18" t="b">
        <v>1</v>
      </c>
      <c r="S114" s="40">
        <v>15.64</v>
      </c>
      <c r="T114" s="18" t="b">
        <v>1</v>
      </c>
      <c r="U114" s="25">
        <v>45382</v>
      </c>
      <c r="V114" s="63" t="str">
        <f>IF(MONTH(Table22[[#This Row],[Sales Date]])&lt;=3,"Q1",IF(MONTH(Table22[[#This Row],[Sales Date]])&lt;=6,"Q2",IF(MONTH(Table22[[#This Row],[Sales Date]])&lt;=9,"Q3","Q4")))</f>
        <v>Q1</v>
      </c>
      <c r="W114" s="64">
        <f>YEAR(Table22[[#This Row],[Sales Date]])</f>
        <v>2024</v>
      </c>
      <c r="X114" s="23">
        <v>65</v>
      </c>
      <c r="Y114" s="18" t="s">
        <v>49</v>
      </c>
      <c r="Z114" s="18" t="s">
        <v>42</v>
      </c>
      <c r="AA114" s="19" t="s">
        <v>25</v>
      </c>
    </row>
    <row r="115" spans="1:27" x14ac:dyDescent="0.25">
      <c r="A115" s="17" t="s">
        <v>279</v>
      </c>
      <c r="B115" s="18" t="s">
        <v>18</v>
      </c>
      <c r="C115" s="63" t="str" cm="1">
        <f t="array" ref="C115">_xlfn.SWITCH(Table22[[#This Row],[Country]],"USA","North America","Canada","North America","Brazil","South America","China","Asia","Japan","Asia","India","Asia","France","Europe","Germany","Europe","UK","Europe","Australia","Oceania","South America")</f>
        <v>Asia</v>
      </c>
      <c r="D115" s="18" t="s">
        <v>28</v>
      </c>
      <c r="E115" s="18" t="s">
        <v>19</v>
      </c>
      <c r="F115" s="18" t="s">
        <v>64</v>
      </c>
      <c r="G115" s="18" t="s">
        <v>29</v>
      </c>
      <c r="H115" s="64">
        <f>LEN(TRIM(Table22[[#This Row],[Country]]))</f>
        <v>5</v>
      </c>
      <c r="I115" s="64">
        <f>LEN(TRIM(Table22[[#This Row],[Continent]]))</f>
        <v>4</v>
      </c>
      <c r="J115" s="64">
        <f>LEN(TRIM(Table22[[#This Row],[Product]]))</f>
        <v>6</v>
      </c>
      <c r="K115" s="64">
        <f>LEN(TRIM(Table22[[#This Row],[Sales Team]]))</f>
        <v>10</v>
      </c>
      <c r="L115" s="23">
        <v>91</v>
      </c>
      <c r="M115" s="65" t="str" cm="1">
        <f t="array" ref="M115">_xlfn.IFS(Table22[[#This Row],[Units Sold]]&lt;40,"Critical",Table22[[#This Row],[Units Sold]]&lt;=50,"Poor",Table22[[#This Row],[Units Sold]]&lt;=60,"Low",Table22[[#This Row],[Units Sold]]&lt;=80,"Average",Table22[[#This Row],[Units Sold]]&lt;=90,"High",Table22[[#This Row],[Units Sold]]&lt;=95,"Excellent",Table22[[#This Row],[Units Sold]]&gt;95,"Outstanding")</f>
        <v>Excellent</v>
      </c>
      <c r="N115" s="29">
        <v>1128.98</v>
      </c>
      <c r="O115" s="29">
        <v>102737.18</v>
      </c>
      <c r="P115" s="43">
        <f>IF(Table22[[#This Row],[Discount Applied]],Table22[[#This Row],[Total Sales (in USD)]]*(1-Table22[[#This Row],[Discount Percentage (%)]]/100),Table22[[#This Row],[Total Sales (in USD)]])</f>
        <v>102737.18</v>
      </c>
      <c r="Q115" s="66">
        <f>SQRT(AVERAGE((Table22[[#This Row],[Net Sales (after discount) (in USD)]]-AVERAGE(Table22[Net Sales (after discount) (in USD)]))^2))</f>
        <v>66225.819436235455</v>
      </c>
      <c r="R115" s="18" t="b">
        <v>1</v>
      </c>
      <c r="S115" s="40">
        <v>3.77</v>
      </c>
      <c r="T115" s="18" t="b">
        <v>0</v>
      </c>
      <c r="U115" s="25">
        <v>45109</v>
      </c>
      <c r="V115" s="63" t="str">
        <f>IF(MONTH(Table22[[#This Row],[Sales Date]])&lt;=3,"Q1",IF(MONTH(Table22[[#This Row],[Sales Date]])&lt;=6,"Q2",IF(MONTH(Table22[[#This Row],[Sales Date]])&lt;=9,"Q3","Q4")))</f>
        <v>Q3</v>
      </c>
      <c r="W115" s="64">
        <f>YEAR(Table22[[#This Row],[Sales Date]])</f>
        <v>2023</v>
      </c>
      <c r="X115" s="23">
        <v>56</v>
      </c>
      <c r="Y115" s="18" t="s">
        <v>49</v>
      </c>
      <c r="Z115" s="18" t="s">
        <v>42</v>
      </c>
      <c r="AA115" s="19" t="s">
        <v>36</v>
      </c>
    </row>
    <row r="116" spans="1:27" x14ac:dyDescent="0.25">
      <c r="A116" s="17" t="s">
        <v>1115</v>
      </c>
      <c r="B116" s="18" t="s">
        <v>46</v>
      </c>
      <c r="C116" s="63" t="str" cm="1">
        <f t="array" ref="C116">_xlfn.SWITCH(Table22[[#This Row],[Country]],"USA","North America","Canada","North America","Brazil","South America","China","Asia","Japan","Asia","India","Asia","France","Europe","Germany","Europe","UK","Europe","Australia","Oceania","South America")</f>
        <v>South America</v>
      </c>
      <c r="D116" s="18" t="s">
        <v>28</v>
      </c>
      <c r="E116" s="18" t="s">
        <v>39</v>
      </c>
      <c r="F116" s="18" t="s">
        <v>52</v>
      </c>
      <c r="G116" s="18" t="s">
        <v>29</v>
      </c>
      <c r="H116" s="64">
        <f>LEN(TRIM(Table22[[#This Row],[Country]]))</f>
        <v>6</v>
      </c>
      <c r="I116" s="64">
        <f>LEN(TRIM(Table22[[#This Row],[Continent]]))</f>
        <v>13</v>
      </c>
      <c r="J116" s="64">
        <f>LEN(TRIM(Table22[[#This Row],[Product]]))</f>
        <v>10</v>
      </c>
      <c r="K116" s="64">
        <f>LEN(TRIM(Table22[[#This Row],[Sales Team]]))</f>
        <v>10</v>
      </c>
      <c r="L116" s="23">
        <v>73</v>
      </c>
      <c r="M116" s="65" t="str" cm="1">
        <f t="array" ref="M116">_xlfn.IFS(Table22[[#This Row],[Units Sold]]&lt;40,"Critical",Table22[[#This Row],[Units Sold]]&lt;=50,"Poor",Table22[[#This Row],[Units Sold]]&lt;=60,"Low",Table22[[#This Row],[Units Sold]]&lt;=80,"Average",Table22[[#This Row],[Units Sold]]&lt;=90,"High",Table22[[#This Row],[Units Sold]]&lt;=95,"Excellent",Table22[[#This Row],[Units Sold]]&gt;95,"Outstanding")</f>
        <v>Average</v>
      </c>
      <c r="N116" s="29">
        <v>1403.18</v>
      </c>
      <c r="O116" s="29">
        <v>102432.14</v>
      </c>
      <c r="P116" s="43">
        <f>IF(Table22[[#This Row],[Discount Applied]],Table22[[#This Row],[Total Sales (in USD)]]*(1-Table22[[#This Row],[Discount Percentage (%)]]/100),Table22[[#This Row],[Total Sales (in USD)]])</f>
        <v>72767.792255999986</v>
      </c>
      <c r="Q116" s="66">
        <f>SQRT(AVERAGE((Table22[[#This Row],[Net Sales (after discount) (in USD)]]-AVERAGE(Table22[Net Sales (after discount) (in USD)]))^2))</f>
        <v>36256.431692235448</v>
      </c>
      <c r="R116" s="18" t="b">
        <v>1</v>
      </c>
      <c r="S116" s="40">
        <v>28.96</v>
      </c>
      <c r="T116" s="18" t="b">
        <v>1</v>
      </c>
      <c r="U116" s="25">
        <v>45070</v>
      </c>
      <c r="V116" s="63" t="str">
        <f>IF(MONTH(Table22[[#This Row],[Sales Date]])&lt;=3,"Q1",IF(MONTH(Table22[[#This Row],[Sales Date]])&lt;=6,"Q2",IF(MONTH(Table22[[#This Row],[Sales Date]])&lt;=9,"Q3","Q4")))</f>
        <v>Q2</v>
      </c>
      <c r="W116" s="64">
        <f>YEAR(Table22[[#This Row],[Sales Date]])</f>
        <v>2023</v>
      </c>
      <c r="X116" s="23">
        <v>28</v>
      </c>
      <c r="Y116" s="18" t="s">
        <v>49</v>
      </c>
      <c r="Z116" s="18" t="s">
        <v>30</v>
      </c>
      <c r="AA116" s="19" t="s">
        <v>25</v>
      </c>
    </row>
    <row r="117" spans="1:27" x14ac:dyDescent="0.25">
      <c r="A117" s="17" t="s">
        <v>93</v>
      </c>
      <c r="B117" s="18" t="s">
        <v>66</v>
      </c>
      <c r="C117" s="63" t="str" cm="1">
        <f t="array" ref="C117">_xlfn.SWITCH(Table22[[#This Row],[Country]],"USA","North America","Canada","North America","Brazil","South America","China","Asia","Japan","Asia","India","Asia","France","Europe","Germany","Europe","UK","Europe","Australia","Oceania","South America")</f>
        <v>North America</v>
      </c>
      <c r="D117" s="18" t="s">
        <v>28</v>
      </c>
      <c r="E117" s="18" t="s">
        <v>39</v>
      </c>
      <c r="F117" s="18" t="s">
        <v>34</v>
      </c>
      <c r="G117" s="18" t="s">
        <v>29</v>
      </c>
      <c r="H117" s="64">
        <f>LEN(TRIM(Table22[[#This Row],[Country]]))</f>
        <v>6</v>
      </c>
      <c r="I117" s="64">
        <f>LEN(TRIM(Table22[[#This Row],[Continent]]))</f>
        <v>13</v>
      </c>
      <c r="J117" s="64">
        <f>LEN(TRIM(Table22[[#This Row],[Product]]))</f>
        <v>10</v>
      </c>
      <c r="K117" s="64">
        <f>LEN(TRIM(Table22[[#This Row],[Sales Team]]))</f>
        <v>10</v>
      </c>
      <c r="L117" s="23">
        <v>77</v>
      </c>
      <c r="M117" s="65" t="str" cm="1">
        <f t="array" ref="M117">_xlfn.IFS(Table22[[#This Row],[Units Sold]]&lt;40,"Critical",Table22[[#This Row],[Units Sold]]&lt;=50,"Poor",Table22[[#This Row],[Units Sold]]&lt;=60,"Low",Table22[[#This Row],[Units Sold]]&lt;=80,"Average",Table22[[#This Row],[Units Sold]]&lt;=90,"High",Table22[[#This Row],[Units Sold]]&lt;=95,"Excellent",Table22[[#This Row],[Units Sold]]&gt;95,"Outstanding")</f>
        <v>Average</v>
      </c>
      <c r="N117" s="29">
        <v>1328.76</v>
      </c>
      <c r="O117" s="29">
        <v>102314.52</v>
      </c>
      <c r="P117" s="43">
        <f>IF(Table22[[#This Row],[Discount Applied]],Table22[[#This Row],[Total Sales (in USD)]]*(1-Table22[[#This Row],[Discount Percentage (%)]]/100),Table22[[#This Row],[Total Sales (in USD)]])</f>
        <v>91233.857483999993</v>
      </c>
      <c r="Q117" s="66">
        <f>SQRT(AVERAGE((Table22[[#This Row],[Net Sales (after discount) (in USD)]]-AVERAGE(Table22[Net Sales (after discount) (in USD)]))^2))</f>
        <v>54722.496920235455</v>
      </c>
      <c r="R117" s="18" t="b">
        <v>0</v>
      </c>
      <c r="S117" s="40">
        <v>10.83</v>
      </c>
      <c r="T117" s="18" t="b">
        <v>1</v>
      </c>
      <c r="U117" s="25">
        <v>44997</v>
      </c>
      <c r="V117" s="63" t="str">
        <f>IF(MONTH(Table22[[#This Row],[Sales Date]])&lt;=3,"Q1",IF(MONTH(Table22[[#This Row],[Sales Date]])&lt;=6,"Q2",IF(MONTH(Table22[[#This Row],[Sales Date]])&lt;=9,"Q3","Q4")))</f>
        <v>Q1</v>
      </c>
      <c r="W117" s="64">
        <f>YEAR(Table22[[#This Row],[Sales Date]])</f>
        <v>2023</v>
      </c>
      <c r="X117" s="23">
        <v>56</v>
      </c>
      <c r="Y117" s="18" t="s">
        <v>49</v>
      </c>
      <c r="Z117" s="18" t="s">
        <v>30</v>
      </c>
      <c r="AA117" s="19" t="s">
        <v>25</v>
      </c>
    </row>
    <row r="118" spans="1:27" x14ac:dyDescent="0.25">
      <c r="A118" s="17" t="s">
        <v>1254</v>
      </c>
      <c r="B118" s="18" t="s">
        <v>46</v>
      </c>
      <c r="C118" s="63" t="str" cm="1">
        <f t="array" ref="C118">_xlfn.SWITCH(Table22[[#This Row],[Country]],"USA","North America","Canada","North America","Brazil","South America","China","Asia","Japan","Asia","India","Asia","France","Europe","Germany","Europe","UK","Europe","Australia","Oceania","South America")</f>
        <v>South America</v>
      </c>
      <c r="D118" s="18" t="s">
        <v>44</v>
      </c>
      <c r="E118" s="18" t="s">
        <v>33</v>
      </c>
      <c r="F118" s="18" t="s">
        <v>47</v>
      </c>
      <c r="G118" s="18" t="s">
        <v>22</v>
      </c>
      <c r="H118" s="64">
        <f>LEN(TRIM(Table22[[#This Row],[Country]]))</f>
        <v>6</v>
      </c>
      <c r="I118" s="64">
        <f>LEN(TRIM(Table22[[#This Row],[Continent]]))</f>
        <v>13</v>
      </c>
      <c r="J118" s="64">
        <f>LEN(TRIM(Table22[[#This Row],[Product]]))</f>
        <v>10</v>
      </c>
      <c r="K118" s="64">
        <f>LEN(TRIM(Table22[[#This Row],[Sales Team]]))</f>
        <v>10</v>
      </c>
      <c r="L118" s="23">
        <v>98</v>
      </c>
      <c r="M118" s="65" t="str" cm="1">
        <f t="array" ref="M118">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18" s="29">
        <v>1041.6500000000001</v>
      </c>
      <c r="O118" s="29">
        <v>102081.7</v>
      </c>
      <c r="P118" s="43">
        <f>IF(Table22[[#This Row],[Discount Applied]],Table22[[#This Row],[Total Sales (in USD)]]*(1-Table22[[#This Row],[Discount Percentage (%)]]/100),Table22[[#This Row],[Total Sales (in USD)]])</f>
        <v>102081.7</v>
      </c>
      <c r="Q118" s="66">
        <f>SQRT(AVERAGE((Table22[[#This Row],[Net Sales (after discount) (in USD)]]-AVERAGE(Table22[Net Sales (after discount) (in USD)]))^2))</f>
        <v>65570.339436235459</v>
      </c>
      <c r="R118" s="18" t="b">
        <v>1</v>
      </c>
      <c r="S118" s="40">
        <v>12.68</v>
      </c>
      <c r="T118" s="18" t="b">
        <v>0</v>
      </c>
      <c r="U118" s="25">
        <v>45080</v>
      </c>
      <c r="V118" s="63" t="str">
        <f>IF(MONTH(Table22[[#This Row],[Sales Date]])&lt;=3,"Q1",IF(MONTH(Table22[[#This Row],[Sales Date]])&lt;=6,"Q2",IF(MONTH(Table22[[#This Row],[Sales Date]])&lt;=9,"Q3","Q4")))</f>
        <v>Q2</v>
      </c>
      <c r="W118" s="64">
        <f>YEAR(Table22[[#This Row],[Sales Date]])</f>
        <v>2023</v>
      </c>
      <c r="X118" s="23">
        <v>32</v>
      </c>
      <c r="Y118" s="18" t="s">
        <v>41</v>
      </c>
      <c r="Z118" s="18" t="s">
        <v>30</v>
      </c>
      <c r="AA118" s="19" t="s">
        <v>36</v>
      </c>
    </row>
    <row r="119" spans="1:27" x14ac:dyDescent="0.25">
      <c r="A119" s="17" t="s">
        <v>194</v>
      </c>
      <c r="B119" s="18" t="s">
        <v>76</v>
      </c>
      <c r="C119" s="63" t="str" cm="1">
        <f t="array" ref="C119">_xlfn.SWITCH(Table22[[#This Row],[Country]],"USA","North America","Canada","North America","Brazil","South America","China","Asia","Japan","Asia","India","Asia","France","Europe","Germany","Europe","UK","Europe","Australia","Oceania","South America")</f>
        <v>Asia</v>
      </c>
      <c r="D119" s="18" t="s">
        <v>35</v>
      </c>
      <c r="E119" s="18" t="s">
        <v>33</v>
      </c>
      <c r="F119" s="18" t="s">
        <v>20</v>
      </c>
      <c r="G119" s="18" t="s">
        <v>48</v>
      </c>
      <c r="H119" s="64">
        <f>LEN(TRIM(Table22[[#This Row],[Country]]))</f>
        <v>5</v>
      </c>
      <c r="I119" s="64">
        <f>LEN(TRIM(Table22[[#This Row],[Continent]]))</f>
        <v>4</v>
      </c>
      <c r="J119" s="64">
        <f>LEN(TRIM(Table22[[#This Row],[Product]]))</f>
        <v>10</v>
      </c>
      <c r="K119" s="64">
        <f>LEN(TRIM(Table22[[#This Row],[Sales Team]]))</f>
        <v>9</v>
      </c>
      <c r="L119" s="23">
        <v>88</v>
      </c>
      <c r="M119" s="65" t="str" cm="1">
        <f t="array" ref="M119">_xlfn.IFS(Table22[[#This Row],[Units Sold]]&lt;40,"Critical",Table22[[#This Row],[Units Sold]]&lt;=50,"Poor",Table22[[#This Row],[Units Sold]]&lt;=60,"Low",Table22[[#This Row],[Units Sold]]&lt;=80,"Average",Table22[[#This Row],[Units Sold]]&lt;=90,"High",Table22[[#This Row],[Units Sold]]&lt;=95,"Excellent",Table22[[#This Row],[Units Sold]]&gt;95,"Outstanding")</f>
        <v>High</v>
      </c>
      <c r="N119" s="29">
        <v>1156.8</v>
      </c>
      <c r="O119" s="29">
        <v>101798.39999999999</v>
      </c>
      <c r="P119" s="43">
        <f>IF(Table22[[#This Row],[Discount Applied]],Table22[[#This Row],[Total Sales (in USD)]]*(1-Table22[[#This Row],[Discount Percentage (%)]]/100),Table22[[#This Row],[Total Sales (in USD)]])</f>
        <v>96637.221120000002</v>
      </c>
      <c r="Q119" s="66">
        <f>SQRT(AVERAGE((Table22[[#This Row],[Net Sales (after discount) (in USD)]]-AVERAGE(Table22[Net Sales (after discount) (in USD)]))^2))</f>
        <v>60125.860556235464</v>
      </c>
      <c r="R119" s="18" t="b">
        <v>1</v>
      </c>
      <c r="S119" s="40">
        <v>5.07</v>
      </c>
      <c r="T119" s="18" t="b">
        <v>1</v>
      </c>
      <c r="U119" s="25">
        <v>44927</v>
      </c>
      <c r="V119" s="63" t="str">
        <f>IF(MONTH(Table22[[#This Row],[Sales Date]])&lt;=3,"Q1",IF(MONTH(Table22[[#This Row],[Sales Date]])&lt;=6,"Q2",IF(MONTH(Table22[[#This Row],[Sales Date]])&lt;=9,"Q3","Q4")))</f>
        <v>Q1</v>
      </c>
      <c r="W119" s="64">
        <f>YEAR(Table22[[#This Row],[Sales Date]])</f>
        <v>2023</v>
      </c>
      <c r="X119" s="23">
        <v>45</v>
      </c>
      <c r="Y119" s="18" t="s">
        <v>23</v>
      </c>
      <c r="Z119" s="18" t="s">
        <v>24</v>
      </c>
      <c r="AA119" s="19" t="s">
        <v>36</v>
      </c>
    </row>
    <row r="120" spans="1:27" x14ac:dyDescent="0.25">
      <c r="A120" s="17" t="s">
        <v>523</v>
      </c>
      <c r="B120" s="18" t="s">
        <v>27</v>
      </c>
      <c r="C120" s="63" t="str" cm="1">
        <f t="array" ref="C120">_xlfn.SWITCH(Table22[[#This Row],[Country]],"USA","North America","Canada","North America","Brazil","South America","China","Asia","Japan","Asia","India","Asia","France","Europe","Germany","Europe","UK","Europe","Australia","Oceania","South America")</f>
        <v>Europe</v>
      </c>
      <c r="D120" s="18" t="s">
        <v>28</v>
      </c>
      <c r="E120" s="18" t="s">
        <v>19</v>
      </c>
      <c r="F120" s="18" t="s">
        <v>34</v>
      </c>
      <c r="G120" s="18" t="s">
        <v>48</v>
      </c>
      <c r="H120" s="64">
        <f>LEN(TRIM(Table22[[#This Row],[Country]]))</f>
        <v>7</v>
      </c>
      <c r="I120" s="64">
        <f>LEN(TRIM(Table22[[#This Row],[Continent]]))</f>
        <v>6</v>
      </c>
      <c r="J120" s="64">
        <f>LEN(TRIM(Table22[[#This Row],[Product]]))</f>
        <v>6</v>
      </c>
      <c r="K120" s="64">
        <f>LEN(TRIM(Table22[[#This Row],[Sales Team]]))</f>
        <v>9</v>
      </c>
      <c r="L120" s="23">
        <v>75</v>
      </c>
      <c r="M120" s="65" t="str" cm="1">
        <f t="array" ref="M120">_xlfn.IFS(Table22[[#This Row],[Units Sold]]&lt;40,"Critical",Table22[[#This Row],[Units Sold]]&lt;=50,"Poor",Table22[[#This Row],[Units Sold]]&lt;=60,"Low",Table22[[#This Row],[Units Sold]]&lt;=80,"Average",Table22[[#This Row],[Units Sold]]&lt;=90,"High",Table22[[#This Row],[Units Sold]]&lt;=95,"Excellent",Table22[[#This Row],[Units Sold]]&gt;95,"Outstanding")</f>
        <v>Average</v>
      </c>
      <c r="N120" s="29">
        <v>1351.42</v>
      </c>
      <c r="O120" s="29">
        <v>101356.5</v>
      </c>
      <c r="P120" s="43">
        <f>IF(Table22[[#This Row],[Discount Applied]],Table22[[#This Row],[Total Sales (in USD)]]*(1-Table22[[#This Row],[Discount Percentage (%)]]/100),Table22[[#This Row],[Total Sales (in USD)]])</f>
        <v>95954.198550000001</v>
      </c>
      <c r="Q120" s="66">
        <f>SQRT(AVERAGE((Table22[[#This Row],[Net Sales (after discount) (in USD)]]-AVERAGE(Table22[Net Sales (after discount) (in USD)]))^2))</f>
        <v>59442.837986235463</v>
      </c>
      <c r="R120" s="18" t="b">
        <v>0</v>
      </c>
      <c r="S120" s="40">
        <v>5.33</v>
      </c>
      <c r="T120" s="18" t="b">
        <v>1</v>
      </c>
      <c r="U120" s="25">
        <v>45154</v>
      </c>
      <c r="V120" s="63" t="str">
        <f>IF(MONTH(Table22[[#This Row],[Sales Date]])&lt;=3,"Q1",IF(MONTH(Table22[[#This Row],[Sales Date]])&lt;=6,"Q2",IF(MONTH(Table22[[#This Row],[Sales Date]])&lt;=9,"Q3","Q4")))</f>
        <v>Q3</v>
      </c>
      <c r="W120" s="64">
        <f>YEAR(Table22[[#This Row],[Sales Date]])</f>
        <v>2023</v>
      </c>
      <c r="X120" s="23">
        <v>20</v>
      </c>
      <c r="Y120" s="18" t="s">
        <v>23</v>
      </c>
      <c r="Z120" s="18" t="s">
        <v>30</v>
      </c>
      <c r="AA120" s="19" t="s">
        <v>25</v>
      </c>
    </row>
    <row r="121" spans="1:27" x14ac:dyDescent="0.25">
      <c r="A121" s="17" t="s">
        <v>471</v>
      </c>
      <c r="B121" s="18" t="s">
        <v>18</v>
      </c>
      <c r="C121" s="63" t="str" cm="1">
        <f t="array" ref="C121">_xlfn.SWITCH(Table22[[#This Row],[Country]],"USA","North America","Canada","North America","Brazil","South America","China","Asia","Japan","Asia","India","Asia","France","Europe","Germany","Europe","UK","Europe","Australia","Oceania","South America")</f>
        <v>Asia</v>
      </c>
      <c r="D121" s="18" t="s">
        <v>21</v>
      </c>
      <c r="E121" s="18" t="s">
        <v>33</v>
      </c>
      <c r="F121" s="18" t="s">
        <v>52</v>
      </c>
      <c r="G121" s="18" t="s">
        <v>48</v>
      </c>
      <c r="H121" s="64">
        <f>LEN(TRIM(Table22[[#This Row],[Country]]))</f>
        <v>5</v>
      </c>
      <c r="I121" s="64">
        <f>LEN(TRIM(Table22[[#This Row],[Continent]]))</f>
        <v>4</v>
      </c>
      <c r="J121" s="64">
        <f>LEN(TRIM(Table22[[#This Row],[Product]]))</f>
        <v>10</v>
      </c>
      <c r="K121" s="64">
        <f>LEN(TRIM(Table22[[#This Row],[Sales Team]]))</f>
        <v>9</v>
      </c>
      <c r="L121" s="23">
        <v>74</v>
      </c>
      <c r="M121" s="65" t="str" cm="1">
        <f t="array" ref="M121">_xlfn.IFS(Table22[[#This Row],[Units Sold]]&lt;40,"Critical",Table22[[#This Row],[Units Sold]]&lt;=50,"Poor",Table22[[#This Row],[Units Sold]]&lt;=60,"Low",Table22[[#This Row],[Units Sold]]&lt;=80,"Average",Table22[[#This Row],[Units Sold]]&lt;=90,"High",Table22[[#This Row],[Units Sold]]&lt;=95,"Excellent",Table22[[#This Row],[Units Sold]]&gt;95,"Outstanding")</f>
        <v>Average</v>
      </c>
      <c r="N121" s="29">
        <v>1368.39</v>
      </c>
      <c r="O121" s="29">
        <v>101260.86</v>
      </c>
      <c r="P121" s="43">
        <f>IF(Table22[[#This Row],[Discount Applied]],Table22[[#This Row],[Total Sales (in USD)]]*(1-Table22[[#This Row],[Discount Percentage (%)]]/100),Table22[[#This Row],[Total Sales (in USD)]])</f>
        <v>85099.626744000008</v>
      </c>
      <c r="Q121" s="66">
        <f>SQRT(AVERAGE((Table22[[#This Row],[Net Sales (after discount) (in USD)]]-AVERAGE(Table22[Net Sales (after discount) (in USD)]))^2))</f>
        <v>48588.266180235471</v>
      </c>
      <c r="R121" s="18" t="b">
        <v>0</v>
      </c>
      <c r="S121" s="40">
        <v>15.96</v>
      </c>
      <c r="T121" s="18" t="b">
        <v>1</v>
      </c>
      <c r="U121" s="25">
        <v>45203</v>
      </c>
      <c r="V121" s="63" t="str">
        <f>IF(MONTH(Table22[[#This Row],[Sales Date]])&lt;=3,"Q1",IF(MONTH(Table22[[#This Row],[Sales Date]])&lt;=6,"Q2",IF(MONTH(Table22[[#This Row],[Sales Date]])&lt;=9,"Q3","Q4")))</f>
        <v>Q4</v>
      </c>
      <c r="W121" s="64">
        <f>YEAR(Table22[[#This Row],[Sales Date]])</f>
        <v>2023</v>
      </c>
      <c r="X121" s="23">
        <v>23</v>
      </c>
      <c r="Y121" s="18" t="s">
        <v>23</v>
      </c>
      <c r="Z121" s="18" t="s">
        <v>42</v>
      </c>
      <c r="AA121" s="19" t="s">
        <v>25</v>
      </c>
    </row>
    <row r="122" spans="1:27" x14ac:dyDescent="0.25">
      <c r="A122" s="17" t="s">
        <v>1105</v>
      </c>
      <c r="B122" s="18" t="s">
        <v>32</v>
      </c>
      <c r="C122" s="63" t="str" cm="1">
        <f t="array" ref="C122">_xlfn.SWITCH(Table22[[#This Row],[Country]],"USA","North America","Canada","North America","Brazil","South America","China","Asia","Japan","Asia","India","Asia","France","Europe","Germany","Europe","UK","Europe","Australia","Oceania","South America")</f>
        <v>Asia</v>
      </c>
      <c r="D122" s="18" t="s">
        <v>28</v>
      </c>
      <c r="E122" s="18" t="s">
        <v>39</v>
      </c>
      <c r="F122" s="18" t="s">
        <v>34</v>
      </c>
      <c r="G122" s="18" t="s">
        <v>48</v>
      </c>
      <c r="H122" s="64">
        <f>LEN(TRIM(Table22[[#This Row],[Country]]))</f>
        <v>5</v>
      </c>
      <c r="I122" s="64">
        <f>LEN(TRIM(Table22[[#This Row],[Continent]]))</f>
        <v>4</v>
      </c>
      <c r="J122" s="64">
        <f>LEN(TRIM(Table22[[#This Row],[Product]]))</f>
        <v>10</v>
      </c>
      <c r="K122" s="64">
        <f>LEN(TRIM(Table22[[#This Row],[Sales Team]]))</f>
        <v>9</v>
      </c>
      <c r="L122" s="23">
        <v>93</v>
      </c>
      <c r="M122" s="65" t="str" cm="1">
        <f t="array" ref="M122">_xlfn.IFS(Table22[[#This Row],[Units Sold]]&lt;40,"Critical",Table22[[#This Row],[Units Sold]]&lt;=50,"Poor",Table22[[#This Row],[Units Sold]]&lt;=60,"Low",Table22[[#This Row],[Units Sold]]&lt;=80,"Average",Table22[[#This Row],[Units Sold]]&lt;=90,"High",Table22[[#This Row],[Units Sold]]&lt;=95,"Excellent",Table22[[#This Row],[Units Sold]]&gt;95,"Outstanding")</f>
        <v>Excellent</v>
      </c>
      <c r="N122" s="29">
        <v>1088.71</v>
      </c>
      <c r="O122" s="29">
        <v>101250.03</v>
      </c>
      <c r="P122" s="43">
        <f>IF(Table22[[#This Row],[Discount Applied]],Table22[[#This Row],[Total Sales (in USD)]]*(1-Table22[[#This Row],[Discount Percentage (%)]]/100),Table22[[#This Row],[Total Sales (in USD)]])</f>
        <v>85434.775313999999</v>
      </c>
      <c r="Q122" s="66">
        <f>SQRT(AVERAGE((Table22[[#This Row],[Net Sales (after discount) (in USD)]]-AVERAGE(Table22[Net Sales (after discount) (in USD)]))^2))</f>
        <v>48923.414750235461</v>
      </c>
      <c r="R122" s="18" t="b">
        <v>0</v>
      </c>
      <c r="S122" s="40">
        <v>15.62</v>
      </c>
      <c r="T122" s="18" t="b">
        <v>1</v>
      </c>
      <c r="U122" s="25">
        <v>45593</v>
      </c>
      <c r="V122" s="63" t="str">
        <f>IF(MONTH(Table22[[#This Row],[Sales Date]])&lt;=3,"Q1",IF(MONTH(Table22[[#This Row],[Sales Date]])&lt;=6,"Q2",IF(MONTH(Table22[[#This Row],[Sales Date]])&lt;=9,"Q3","Q4")))</f>
        <v>Q4</v>
      </c>
      <c r="W122" s="64">
        <f>YEAR(Table22[[#This Row],[Sales Date]])</f>
        <v>2024</v>
      </c>
      <c r="X122" s="23">
        <v>60</v>
      </c>
      <c r="Y122" s="18" t="s">
        <v>41</v>
      </c>
      <c r="Z122" s="18" t="s">
        <v>56</v>
      </c>
      <c r="AA122" s="19" t="s">
        <v>36</v>
      </c>
    </row>
    <row r="123" spans="1:27" x14ac:dyDescent="0.25">
      <c r="A123" s="17" t="s">
        <v>1466</v>
      </c>
      <c r="B123" s="18" t="s">
        <v>66</v>
      </c>
      <c r="C123" s="63" t="str" cm="1">
        <f t="array" ref="C123">_xlfn.SWITCH(Table22[[#This Row],[Country]],"USA","North America","Canada","North America","Brazil","South America","China","Asia","Japan","Asia","India","Asia","France","Europe","Germany","Europe","UK","Europe","Australia","Oceania","South America")</f>
        <v>North America</v>
      </c>
      <c r="D123" s="18" t="s">
        <v>35</v>
      </c>
      <c r="E123" s="18" t="s">
        <v>19</v>
      </c>
      <c r="F123" s="18" t="s">
        <v>64</v>
      </c>
      <c r="G123" s="18" t="s">
        <v>48</v>
      </c>
      <c r="H123" s="64">
        <f>LEN(TRIM(Table22[[#This Row],[Country]]))</f>
        <v>6</v>
      </c>
      <c r="I123" s="64">
        <f>LEN(TRIM(Table22[[#This Row],[Continent]]))</f>
        <v>13</v>
      </c>
      <c r="J123" s="64">
        <f>LEN(TRIM(Table22[[#This Row],[Product]]))</f>
        <v>6</v>
      </c>
      <c r="K123" s="64">
        <f>LEN(TRIM(Table22[[#This Row],[Sales Team]]))</f>
        <v>9</v>
      </c>
      <c r="L123" s="23">
        <v>88</v>
      </c>
      <c r="M123" s="65" t="str" cm="1">
        <f t="array" ref="M123">_xlfn.IFS(Table22[[#This Row],[Units Sold]]&lt;40,"Critical",Table22[[#This Row],[Units Sold]]&lt;=50,"Poor",Table22[[#This Row],[Units Sold]]&lt;=60,"Low",Table22[[#This Row],[Units Sold]]&lt;=80,"Average",Table22[[#This Row],[Units Sold]]&lt;=90,"High",Table22[[#This Row],[Units Sold]]&lt;=95,"Excellent",Table22[[#This Row],[Units Sold]]&gt;95,"Outstanding")</f>
        <v>High</v>
      </c>
      <c r="N123" s="29">
        <v>1148.32</v>
      </c>
      <c r="O123" s="29">
        <v>101052.16</v>
      </c>
      <c r="P123" s="43">
        <f>IF(Table22[[#This Row],[Discount Applied]],Table22[[#This Row],[Total Sales (in USD)]]*(1-Table22[[#This Row],[Discount Percentage (%)]]/100),Table22[[#This Row],[Total Sales (in USD)]])</f>
        <v>101052.16</v>
      </c>
      <c r="Q123" s="66">
        <f>SQRT(AVERAGE((Table22[[#This Row],[Net Sales (after discount) (in USD)]]-AVERAGE(Table22[Net Sales (after discount) (in USD)]))^2))</f>
        <v>64540.799436235466</v>
      </c>
      <c r="R123" s="18" t="b">
        <v>0</v>
      </c>
      <c r="S123" s="40">
        <v>19.97</v>
      </c>
      <c r="T123" s="18" t="b">
        <v>0</v>
      </c>
      <c r="U123" s="25">
        <v>45032</v>
      </c>
      <c r="V123" s="63" t="str">
        <f>IF(MONTH(Table22[[#This Row],[Sales Date]])&lt;=3,"Q1",IF(MONTH(Table22[[#This Row],[Sales Date]])&lt;=6,"Q2",IF(MONTH(Table22[[#This Row],[Sales Date]])&lt;=9,"Q3","Q4")))</f>
        <v>Q2</v>
      </c>
      <c r="W123" s="64">
        <f>YEAR(Table22[[#This Row],[Sales Date]])</f>
        <v>2023</v>
      </c>
      <c r="X123" s="23">
        <v>27</v>
      </c>
      <c r="Y123" s="18" t="s">
        <v>49</v>
      </c>
      <c r="Z123" s="18" t="s">
        <v>42</v>
      </c>
      <c r="AA123" s="19" t="s">
        <v>36</v>
      </c>
    </row>
    <row r="124" spans="1:27" x14ac:dyDescent="0.25">
      <c r="A124" s="17" t="s">
        <v>1309</v>
      </c>
      <c r="B124" s="18" t="s">
        <v>76</v>
      </c>
      <c r="C124" s="63" t="str" cm="1">
        <f t="array" ref="C124">_xlfn.SWITCH(Table22[[#This Row],[Country]],"USA","North America","Canada","North America","Brazil","South America","China","Asia","Japan","Asia","India","Asia","France","Europe","Germany","Europe","UK","Europe","Australia","Oceania","South America")</f>
        <v>Asia</v>
      </c>
      <c r="D124" s="18" t="s">
        <v>44</v>
      </c>
      <c r="E124" s="18" t="s">
        <v>33</v>
      </c>
      <c r="F124" s="18" t="s">
        <v>52</v>
      </c>
      <c r="G124" s="18" t="s">
        <v>48</v>
      </c>
      <c r="H124" s="64">
        <f>LEN(TRIM(Table22[[#This Row],[Country]]))</f>
        <v>5</v>
      </c>
      <c r="I124" s="64">
        <f>LEN(TRIM(Table22[[#This Row],[Continent]]))</f>
        <v>4</v>
      </c>
      <c r="J124" s="64">
        <f>LEN(TRIM(Table22[[#This Row],[Product]]))</f>
        <v>10</v>
      </c>
      <c r="K124" s="64">
        <f>LEN(TRIM(Table22[[#This Row],[Sales Team]]))</f>
        <v>9</v>
      </c>
      <c r="L124" s="23">
        <v>80</v>
      </c>
      <c r="M124" s="65" t="str" cm="1">
        <f t="array" ref="M124">_xlfn.IFS(Table22[[#This Row],[Units Sold]]&lt;40,"Critical",Table22[[#This Row],[Units Sold]]&lt;=50,"Poor",Table22[[#This Row],[Units Sold]]&lt;=60,"Low",Table22[[#This Row],[Units Sold]]&lt;=80,"Average",Table22[[#This Row],[Units Sold]]&lt;=90,"High",Table22[[#This Row],[Units Sold]]&lt;=95,"Excellent",Table22[[#This Row],[Units Sold]]&gt;95,"Outstanding")</f>
        <v>Average</v>
      </c>
      <c r="N124" s="29">
        <v>1262.31</v>
      </c>
      <c r="O124" s="29">
        <v>100984.8</v>
      </c>
      <c r="P124" s="43">
        <f>IF(Table22[[#This Row],[Discount Applied]],Table22[[#This Row],[Total Sales (in USD)]]*(1-Table22[[#This Row],[Discount Percentage (%)]]/100),Table22[[#This Row],[Total Sales (in USD)]])</f>
        <v>100984.8</v>
      </c>
      <c r="Q124" s="66">
        <f>SQRT(AVERAGE((Table22[[#This Row],[Net Sales (after discount) (in USD)]]-AVERAGE(Table22[Net Sales (after discount) (in USD)]))^2))</f>
        <v>64473.439436235465</v>
      </c>
      <c r="R124" s="18" t="b">
        <v>1</v>
      </c>
      <c r="S124" s="40">
        <v>20.3</v>
      </c>
      <c r="T124" s="18" t="b">
        <v>0</v>
      </c>
      <c r="U124" s="25">
        <v>45348</v>
      </c>
      <c r="V124" s="63" t="str">
        <f>IF(MONTH(Table22[[#This Row],[Sales Date]])&lt;=3,"Q1",IF(MONTH(Table22[[#This Row],[Sales Date]])&lt;=6,"Q2",IF(MONTH(Table22[[#This Row],[Sales Date]])&lt;=9,"Q3","Q4")))</f>
        <v>Q1</v>
      </c>
      <c r="W124" s="64">
        <f>YEAR(Table22[[#This Row],[Sales Date]])</f>
        <v>2024</v>
      </c>
      <c r="X124" s="23">
        <v>22</v>
      </c>
      <c r="Y124" s="18" t="s">
        <v>41</v>
      </c>
      <c r="Z124" s="18" t="s">
        <v>56</v>
      </c>
      <c r="AA124" s="19" t="s">
        <v>25</v>
      </c>
    </row>
    <row r="125" spans="1:27" x14ac:dyDescent="0.25">
      <c r="A125" s="17" t="s">
        <v>2030</v>
      </c>
      <c r="B125" s="18" t="s">
        <v>38</v>
      </c>
      <c r="C125" s="63" t="str" cm="1">
        <f t="array" ref="C125">_xlfn.SWITCH(Table22[[#This Row],[Country]],"USA","North America","Canada","North America","Brazil","South America","China","Asia","Japan","Asia","India","Asia","France","Europe","Germany","Europe","UK","Europe","Australia","Oceania","South America")</f>
        <v>Europe</v>
      </c>
      <c r="D125" s="18" t="s">
        <v>28</v>
      </c>
      <c r="E125" s="18" t="s">
        <v>39</v>
      </c>
      <c r="F125" s="18" t="s">
        <v>52</v>
      </c>
      <c r="G125" s="18" t="s">
        <v>22</v>
      </c>
      <c r="H125" s="64">
        <f>LEN(TRIM(Table22[[#This Row],[Country]]))</f>
        <v>6</v>
      </c>
      <c r="I125" s="64">
        <f>LEN(TRIM(Table22[[#This Row],[Continent]]))</f>
        <v>6</v>
      </c>
      <c r="J125" s="64">
        <f>LEN(TRIM(Table22[[#This Row],[Product]]))</f>
        <v>10</v>
      </c>
      <c r="K125" s="64">
        <f>LEN(TRIM(Table22[[#This Row],[Sales Team]]))</f>
        <v>10</v>
      </c>
      <c r="L125" s="23">
        <v>77</v>
      </c>
      <c r="M125" s="65" t="str" cm="1">
        <f t="array" ref="M125">_xlfn.IFS(Table22[[#This Row],[Units Sold]]&lt;40,"Critical",Table22[[#This Row],[Units Sold]]&lt;=50,"Poor",Table22[[#This Row],[Units Sold]]&lt;=60,"Low",Table22[[#This Row],[Units Sold]]&lt;=80,"Average",Table22[[#This Row],[Units Sold]]&lt;=90,"High",Table22[[#This Row],[Units Sold]]&lt;=95,"Excellent",Table22[[#This Row],[Units Sold]]&gt;95,"Outstanding")</f>
        <v>Average</v>
      </c>
      <c r="N125" s="29">
        <v>1309.98</v>
      </c>
      <c r="O125" s="29">
        <v>100868.46</v>
      </c>
      <c r="P125" s="43">
        <f>IF(Table22[[#This Row],[Discount Applied]],Table22[[#This Row],[Total Sales (in USD)]]*(1-Table22[[#This Row],[Discount Percentage (%)]]/100),Table22[[#This Row],[Total Sales (in USD)]])</f>
        <v>99385.693637999997</v>
      </c>
      <c r="Q125" s="66">
        <f>SQRT(AVERAGE((Table22[[#This Row],[Net Sales (after discount) (in USD)]]-AVERAGE(Table22[Net Sales (after discount) (in USD)]))^2))</f>
        <v>62874.333074235459</v>
      </c>
      <c r="R125" s="18" t="b">
        <v>1</v>
      </c>
      <c r="S125" s="40">
        <v>1.47</v>
      </c>
      <c r="T125" s="18" t="b">
        <v>1</v>
      </c>
      <c r="U125" s="25">
        <v>45549</v>
      </c>
      <c r="V125" s="63" t="str">
        <f>IF(MONTH(Table22[[#This Row],[Sales Date]])&lt;=3,"Q1",IF(MONTH(Table22[[#This Row],[Sales Date]])&lt;=6,"Q2",IF(MONTH(Table22[[#This Row],[Sales Date]])&lt;=9,"Q3","Q4")))</f>
        <v>Q3</v>
      </c>
      <c r="W125" s="64">
        <f>YEAR(Table22[[#This Row],[Sales Date]])</f>
        <v>2024</v>
      </c>
      <c r="X125" s="23">
        <v>24</v>
      </c>
      <c r="Y125" s="18" t="s">
        <v>23</v>
      </c>
      <c r="Z125" s="18" t="s">
        <v>42</v>
      </c>
      <c r="AA125" s="19" t="s">
        <v>36</v>
      </c>
    </row>
    <row r="126" spans="1:27" x14ac:dyDescent="0.25">
      <c r="A126" s="17" t="s">
        <v>1359</v>
      </c>
      <c r="B126" s="18" t="s">
        <v>18</v>
      </c>
      <c r="C126" s="63" t="str" cm="1">
        <f t="array" ref="C126">_xlfn.SWITCH(Table22[[#This Row],[Country]],"USA","North America","Canada","North America","Brazil","South America","China","Asia","Japan","Asia","India","Asia","France","Europe","Germany","Europe","UK","Europe","Australia","Oceania","South America")</f>
        <v>Asia</v>
      </c>
      <c r="D126" s="18" t="s">
        <v>35</v>
      </c>
      <c r="E126" s="18" t="s">
        <v>39</v>
      </c>
      <c r="F126" s="18" t="s">
        <v>47</v>
      </c>
      <c r="G126" s="18" t="s">
        <v>22</v>
      </c>
      <c r="H126" s="64">
        <f>LEN(TRIM(Table22[[#This Row],[Country]]))</f>
        <v>5</v>
      </c>
      <c r="I126" s="64">
        <f>LEN(TRIM(Table22[[#This Row],[Continent]]))</f>
        <v>4</v>
      </c>
      <c r="J126" s="64">
        <f>LEN(TRIM(Table22[[#This Row],[Product]]))</f>
        <v>10</v>
      </c>
      <c r="K126" s="64">
        <f>LEN(TRIM(Table22[[#This Row],[Sales Team]]))</f>
        <v>10</v>
      </c>
      <c r="L126" s="23">
        <v>75</v>
      </c>
      <c r="M126" s="65" t="str" cm="1">
        <f t="array" ref="M126">_xlfn.IFS(Table22[[#This Row],[Units Sold]]&lt;40,"Critical",Table22[[#This Row],[Units Sold]]&lt;=50,"Poor",Table22[[#This Row],[Units Sold]]&lt;=60,"Low",Table22[[#This Row],[Units Sold]]&lt;=80,"Average",Table22[[#This Row],[Units Sold]]&lt;=90,"High",Table22[[#This Row],[Units Sold]]&lt;=95,"Excellent",Table22[[#This Row],[Units Sold]]&gt;95,"Outstanding")</f>
        <v>Average</v>
      </c>
      <c r="N126" s="29">
        <v>1344.85</v>
      </c>
      <c r="O126" s="29">
        <v>100863.75</v>
      </c>
      <c r="P126" s="43">
        <f>IF(Table22[[#This Row],[Discount Applied]],Table22[[#This Row],[Total Sales (in USD)]]*(1-Table22[[#This Row],[Discount Percentage (%)]]/100),Table22[[#This Row],[Total Sales (in USD)]])</f>
        <v>100863.75</v>
      </c>
      <c r="Q126" s="66">
        <f>SQRT(AVERAGE((Table22[[#This Row],[Net Sales (after discount) (in USD)]]-AVERAGE(Table22[Net Sales (after discount) (in USD)]))^2))</f>
        <v>64352.389436235462</v>
      </c>
      <c r="R126" s="18" t="b">
        <v>0</v>
      </c>
      <c r="S126" s="40">
        <v>23.54</v>
      </c>
      <c r="T126" s="18" t="b">
        <v>0</v>
      </c>
      <c r="U126" s="25">
        <v>45061</v>
      </c>
      <c r="V126" s="63" t="str">
        <f>IF(MONTH(Table22[[#This Row],[Sales Date]])&lt;=3,"Q1",IF(MONTH(Table22[[#This Row],[Sales Date]])&lt;=6,"Q2",IF(MONTH(Table22[[#This Row],[Sales Date]])&lt;=9,"Q3","Q4")))</f>
        <v>Q2</v>
      </c>
      <c r="W126" s="64">
        <f>YEAR(Table22[[#This Row],[Sales Date]])</f>
        <v>2023</v>
      </c>
      <c r="X126" s="23">
        <v>55</v>
      </c>
      <c r="Y126" s="18" t="s">
        <v>49</v>
      </c>
      <c r="Z126" s="18" t="s">
        <v>42</v>
      </c>
      <c r="AA126" s="19" t="s">
        <v>25</v>
      </c>
    </row>
    <row r="127" spans="1:27" x14ac:dyDescent="0.25">
      <c r="A127" s="17" t="s">
        <v>216</v>
      </c>
      <c r="B127" s="18" t="s">
        <v>72</v>
      </c>
      <c r="C127" s="63" t="str" cm="1">
        <f t="array" ref="C127">_xlfn.SWITCH(Table22[[#This Row],[Country]],"USA","North America","Canada","North America","Brazil","South America","China","Asia","Japan","Asia","India","Asia","France","Europe","Germany","Europe","UK","Europe","Australia","Oceania","South America")</f>
        <v>North America</v>
      </c>
      <c r="D127" s="18" t="s">
        <v>28</v>
      </c>
      <c r="E127" s="18" t="s">
        <v>33</v>
      </c>
      <c r="F127" s="18" t="s">
        <v>64</v>
      </c>
      <c r="G127" s="18" t="s">
        <v>22</v>
      </c>
      <c r="H127" s="64">
        <f>LEN(TRIM(Table22[[#This Row],[Country]]))</f>
        <v>3</v>
      </c>
      <c r="I127" s="64">
        <f>LEN(TRIM(Table22[[#This Row],[Continent]]))</f>
        <v>13</v>
      </c>
      <c r="J127" s="64">
        <f>LEN(TRIM(Table22[[#This Row],[Product]]))</f>
        <v>10</v>
      </c>
      <c r="K127" s="64">
        <f>LEN(TRIM(Table22[[#This Row],[Sales Team]]))</f>
        <v>10</v>
      </c>
      <c r="L127" s="23">
        <v>88</v>
      </c>
      <c r="M127" s="65" t="str" cm="1">
        <f t="array" ref="M127">_xlfn.IFS(Table22[[#This Row],[Units Sold]]&lt;40,"Critical",Table22[[#This Row],[Units Sold]]&lt;=50,"Poor",Table22[[#This Row],[Units Sold]]&lt;=60,"Low",Table22[[#This Row],[Units Sold]]&lt;=80,"Average",Table22[[#This Row],[Units Sold]]&lt;=90,"High",Table22[[#This Row],[Units Sold]]&lt;=95,"Excellent",Table22[[#This Row],[Units Sold]]&gt;95,"Outstanding")</f>
        <v>High</v>
      </c>
      <c r="N127" s="29">
        <v>1142.98</v>
      </c>
      <c r="O127" s="29">
        <v>100582.24</v>
      </c>
      <c r="P127" s="43">
        <f>IF(Table22[[#This Row],[Discount Applied]],Table22[[#This Row],[Total Sales (in USD)]]*(1-Table22[[#This Row],[Discount Percentage (%)]]/100),Table22[[#This Row],[Total Sales (in USD)]])</f>
        <v>100582.24</v>
      </c>
      <c r="Q127" s="66">
        <f>SQRT(AVERAGE((Table22[[#This Row],[Net Sales (after discount) (in USD)]]-AVERAGE(Table22[Net Sales (after discount) (in USD)]))^2))</f>
        <v>64070.879436235467</v>
      </c>
      <c r="R127" s="18" t="b">
        <v>1</v>
      </c>
      <c r="S127" s="40">
        <v>29.8</v>
      </c>
      <c r="T127" s="18" t="b">
        <v>0</v>
      </c>
      <c r="U127" s="25">
        <v>45042</v>
      </c>
      <c r="V127" s="63" t="str">
        <f>IF(MONTH(Table22[[#This Row],[Sales Date]])&lt;=3,"Q1",IF(MONTH(Table22[[#This Row],[Sales Date]])&lt;=6,"Q2",IF(MONTH(Table22[[#This Row],[Sales Date]])&lt;=9,"Q3","Q4")))</f>
        <v>Q2</v>
      </c>
      <c r="W127" s="64">
        <f>YEAR(Table22[[#This Row],[Sales Date]])</f>
        <v>2023</v>
      </c>
      <c r="X127" s="23">
        <v>62</v>
      </c>
      <c r="Y127" s="18" t="s">
        <v>49</v>
      </c>
      <c r="Z127" s="18" t="s">
        <v>30</v>
      </c>
      <c r="AA127" s="19" t="s">
        <v>25</v>
      </c>
    </row>
    <row r="128" spans="1:27" x14ac:dyDescent="0.25">
      <c r="A128" s="17" t="s">
        <v>426</v>
      </c>
      <c r="B128" s="18" t="s">
        <v>18</v>
      </c>
      <c r="C128" s="63" t="str" cm="1">
        <f t="array" ref="C128">_xlfn.SWITCH(Table22[[#This Row],[Country]],"USA","North America","Canada","North America","Brazil","South America","China","Asia","Japan","Asia","India","Asia","France","Europe","Germany","Europe","UK","Europe","Australia","Oceania","South America")</f>
        <v>Asia</v>
      </c>
      <c r="D128" s="18" t="s">
        <v>44</v>
      </c>
      <c r="E128" s="18" t="s">
        <v>33</v>
      </c>
      <c r="F128" s="18" t="s">
        <v>20</v>
      </c>
      <c r="G128" s="18" t="s">
        <v>40</v>
      </c>
      <c r="H128" s="64">
        <f>LEN(TRIM(Table22[[#This Row],[Country]]))</f>
        <v>5</v>
      </c>
      <c r="I128" s="64">
        <f>LEN(TRIM(Table22[[#This Row],[Continent]]))</f>
        <v>4</v>
      </c>
      <c r="J128" s="64">
        <f>LEN(TRIM(Table22[[#This Row],[Product]]))</f>
        <v>10</v>
      </c>
      <c r="K128" s="64">
        <f>LEN(TRIM(Table22[[#This Row],[Sales Team]]))</f>
        <v>10</v>
      </c>
      <c r="L128" s="23">
        <v>95</v>
      </c>
      <c r="M128" s="65" t="str" cm="1">
        <f t="array" ref="M128">_xlfn.IFS(Table22[[#This Row],[Units Sold]]&lt;40,"Critical",Table22[[#This Row],[Units Sold]]&lt;=50,"Poor",Table22[[#This Row],[Units Sold]]&lt;=60,"Low",Table22[[#This Row],[Units Sold]]&lt;=80,"Average",Table22[[#This Row],[Units Sold]]&lt;=90,"High",Table22[[#This Row],[Units Sold]]&lt;=95,"Excellent",Table22[[#This Row],[Units Sold]]&gt;95,"Outstanding")</f>
        <v>Excellent</v>
      </c>
      <c r="N128" s="29">
        <v>1058.03</v>
      </c>
      <c r="O128" s="29">
        <v>100512.85</v>
      </c>
      <c r="P128" s="43">
        <f>IF(Table22[[#This Row],[Discount Applied]],Table22[[#This Row],[Total Sales (in USD)]]*(1-Table22[[#This Row],[Discount Percentage (%)]]/100),Table22[[#This Row],[Total Sales (in USD)]])</f>
        <v>100512.85</v>
      </c>
      <c r="Q128" s="66">
        <f>SQRT(AVERAGE((Table22[[#This Row],[Net Sales (after discount) (in USD)]]-AVERAGE(Table22[Net Sales (after discount) (in USD)]))^2))</f>
        <v>64001.489436235468</v>
      </c>
      <c r="R128" s="18" t="b">
        <v>1</v>
      </c>
      <c r="S128" s="40">
        <v>16.28</v>
      </c>
      <c r="T128" s="18" t="b">
        <v>0</v>
      </c>
      <c r="U128" s="25">
        <v>45004</v>
      </c>
      <c r="V128" s="63" t="str">
        <f>IF(MONTH(Table22[[#This Row],[Sales Date]])&lt;=3,"Q1",IF(MONTH(Table22[[#This Row],[Sales Date]])&lt;=6,"Q2",IF(MONTH(Table22[[#This Row],[Sales Date]])&lt;=9,"Q3","Q4")))</f>
        <v>Q1</v>
      </c>
      <c r="W128" s="64">
        <f>YEAR(Table22[[#This Row],[Sales Date]])</f>
        <v>2023</v>
      </c>
      <c r="X128" s="23">
        <v>39</v>
      </c>
      <c r="Y128" s="18" t="s">
        <v>23</v>
      </c>
      <c r="Z128" s="18" t="s">
        <v>56</v>
      </c>
      <c r="AA128" s="19" t="s">
        <v>25</v>
      </c>
    </row>
    <row r="129" spans="1:27" x14ac:dyDescent="0.25">
      <c r="A129" s="17" t="s">
        <v>1153</v>
      </c>
      <c r="B129" s="18" t="s">
        <v>51</v>
      </c>
      <c r="C129" s="63" t="str" cm="1">
        <f t="array" ref="C129">_xlfn.SWITCH(Table22[[#This Row],[Country]],"USA","North America","Canada","North America","Brazil","South America","China","Asia","Japan","Asia","India","Asia","France","Europe","Germany","Europe","UK","Europe","Australia","Oceania","South America")</f>
        <v>Europe</v>
      </c>
      <c r="D129" s="18" t="s">
        <v>44</v>
      </c>
      <c r="E129" s="18" t="s">
        <v>39</v>
      </c>
      <c r="F129" s="18" t="s">
        <v>34</v>
      </c>
      <c r="G129" s="18" t="s">
        <v>48</v>
      </c>
      <c r="H129" s="64">
        <f>LEN(TRIM(Table22[[#This Row],[Country]]))</f>
        <v>2</v>
      </c>
      <c r="I129" s="64">
        <f>LEN(TRIM(Table22[[#This Row],[Continent]]))</f>
        <v>6</v>
      </c>
      <c r="J129" s="64">
        <f>LEN(TRIM(Table22[[#This Row],[Product]]))</f>
        <v>10</v>
      </c>
      <c r="K129" s="64">
        <f>LEN(TRIM(Table22[[#This Row],[Sales Team]]))</f>
        <v>9</v>
      </c>
      <c r="L129" s="23">
        <v>90</v>
      </c>
      <c r="M129" s="65" t="str" cm="1">
        <f t="array" ref="M129">_xlfn.IFS(Table22[[#This Row],[Units Sold]]&lt;40,"Critical",Table22[[#This Row],[Units Sold]]&lt;=50,"Poor",Table22[[#This Row],[Units Sold]]&lt;=60,"Low",Table22[[#This Row],[Units Sold]]&lt;=80,"Average",Table22[[#This Row],[Units Sold]]&lt;=90,"High",Table22[[#This Row],[Units Sold]]&lt;=95,"Excellent",Table22[[#This Row],[Units Sold]]&gt;95,"Outstanding")</f>
        <v>High</v>
      </c>
      <c r="N129" s="29">
        <v>1115.73</v>
      </c>
      <c r="O129" s="29">
        <v>100415.7</v>
      </c>
      <c r="P129" s="43">
        <f>IF(Table22[[#This Row],[Discount Applied]],Table22[[#This Row],[Total Sales (in USD)]]*(1-Table22[[#This Row],[Discount Percentage (%)]]/100),Table22[[#This Row],[Total Sales (in USD)]])</f>
        <v>88747.395659999995</v>
      </c>
      <c r="Q129" s="66">
        <f>SQRT(AVERAGE((Table22[[#This Row],[Net Sales (after discount) (in USD)]]-AVERAGE(Table22[Net Sales (after discount) (in USD)]))^2))</f>
        <v>52236.035096235457</v>
      </c>
      <c r="R129" s="18" t="b">
        <v>1</v>
      </c>
      <c r="S129" s="40">
        <v>11.62</v>
      </c>
      <c r="T129" s="18" t="b">
        <v>1</v>
      </c>
      <c r="U129" s="25">
        <v>45222</v>
      </c>
      <c r="V129" s="63" t="str">
        <f>IF(MONTH(Table22[[#This Row],[Sales Date]])&lt;=3,"Q1",IF(MONTH(Table22[[#This Row],[Sales Date]])&lt;=6,"Q2",IF(MONTH(Table22[[#This Row],[Sales Date]])&lt;=9,"Q3","Q4")))</f>
        <v>Q4</v>
      </c>
      <c r="W129" s="64">
        <f>YEAR(Table22[[#This Row],[Sales Date]])</f>
        <v>2023</v>
      </c>
      <c r="X129" s="23">
        <v>63</v>
      </c>
      <c r="Y129" s="18" t="s">
        <v>49</v>
      </c>
      <c r="Z129" s="18" t="s">
        <v>24</v>
      </c>
      <c r="AA129" s="19" t="s">
        <v>36</v>
      </c>
    </row>
    <row r="130" spans="1:27" x14ac:dyDescent="0.25">
      <c r="A130" s="17" t="s">
        <v>725</v>
      </c>
      <c r="B130" s="18" t="s">
        <v>76</v>
      </c>
      <c r="C130" s="63" t="str" cm="1">
        <f t="array" ref="C130">_xlfn.SWITCH(Table22[[#This Row],[Country]],"USA","North America","Canada","North America","Brazil","South America","China","Asia","Japan","Asia","India","Asia","France","Europe","Germany","Europe","UK","Europe","Australia","Oceania","South America")</f>
        <v>Asia</v>
      </c>
      <c r="D130" s="18" t="s">
        <v>44</v>
      </c>
      <c r="E130" s="18" t="s">
        <v>33</v>
      </c>
      <c r="F130" s="18" t="s">
        <v>34</v>
      </c>
      <c r="G130" s="18" t="s">
        <v>22</v>
      </c>
      <c r="H130" s="64">
        <f>LEN(TRIM(Table22[[#This Row],[Country]]))</f>
        <v>5</v>
      </c>
      <c r="I130" s="64">
        <f>LEN(TRIM(Table22[[#This Row],[Continent]]))</f>
        <v>4</v>
      </c>
      <c r="J130" s="64">
        <f>LEN(TRIM(Table22[[#This Row],[Product]]))</f>
        <v>10</v>
      </c>
      <c r="K130" s="64">
        <f>LEN(TRIM(Table22[[#This Row],[Sales Team]]))</f>
        <v>10</v>
      </c>
      <c r="L130" s="23">
        <v>83</v>
      </c>
      <c r="M130" s="65" t="str" cm="1">
        <f t="array" ref="M130">_xlfn.IFS(Table22[[#This Row],[Units Sold]]&lt;40,"Critical",Table22[[#This Row],[Units Sold]]&lt;=50,"Poor",Table22[[#This Row],[Units Sold]]&lt;=60,"Low",Table22[[#This Row],[Units Sold]]&lt;=80,"Average",Table22[[#This Row],[Units Sold]]&lt;=90,"High",Table22[[#This Row],[Units Sold]]&lt;=95,"Excellent",Table22[[#This Row],[Units Sold]]&gt;95,"Outstanding")</f>
        <v>High</v>
      </c>
      <c r="N130" s="29">
        <v>1208.9000000000001</v>
      </c>
      <c r="O130" s="29">
        <v>100338.7</v>
      </c>
      <c r="P130" s="43">
        <f>IF(Table22[[#This Row],[Discount Applied]],Table22[[#This Row],[Total Sales (in USD)]]*(1-Table22[[#This Row],[Discount Percentage (%)]]/100),Table22[[#This Row],[Total Sales (in USD)]])</f>
        <v>70618.377059999999</v>
      </c>
      <c r="Q130" s="66">
        <f>SQRT(AVERAGE((Table22[[#This Row],[Net Sales (after discount) (in USD)]]-AVERAGE(Table22[Net Sales (after discount) (in USD)]))^2))</f>
        <v>34107.016496235461</v>
      </c>
      <c r="R130" s="18" t="b">
        <v>0</v>
      </c>
      <c r="S130" s="40">
        <v>29.62</v>
      </c>
      <c r="T130" s="18" t="b">
        <v>1</v>
      </c>
      <c r="U130" s="25">
        <v>45532</v>
      </c>
      <c r="V130" s="63" t="str">
        <f>IF(MONTH(Table22[[#This Row],[Sales Date]])&lt;=3,"Q1",IF(MONTH(Table22[[#This Row],[Sales Date]])&lt;=6,"Q2",IF(MONTH(Table22[[#This Row],[Sales Date]])&lt;=9,"Q3","Q4")))</f>
        <v>Q3</v>
      </c>
      <c r="W130" s="64">
        <f>YEAR(Table22[[#This Row],[Sales Date]])</f>
        <v>2024</v>
      </c>
      <c r="X130" s="23">
        <v>66</v>
      </c>
      <c r="Y130" s="18" t="s">
        <v>23</v>
      </c>
      <c r="Z130" s="18" t="s">
        <v>24</v>
      </c>
      <c r="AA130" s="19" t="s">
        <v>36</v>
      </c>
    </row>
    <row r="131" spans="1:27" x14ac:dyDescent="0.25">
      <c r="A131" s="17" t="s">
        <v>1756</v>
      </c>
      <c r="B131" s="18" t="s">
        <v>27</v>
      </c>
      <c r="C131" s="63" t="str" cm="1">
        <f t="array" ref="C131">_xlfn.SWITCH(Table22[[#This Row],[Country]],"USA","North America","Canada","North America","Brazil","South America","China","Asia","Japan","Asia","India","Asia","France","Europe","Germany","Europe","UK","Europe","Australia","Oceania","South America")</f>
        <v>Europe</v>
      </c>
      <c r="D131" s="18" t="s">
        <v>21</v>
      </c>
      <c r="E131" s="18" t="s">
        <v>33</v>
      </c>
      <c r="F131" s="18" t="s">
        <v>52</v>
      </c>
      <c r="G131" s="18" t="s">
        <v>48</v>
      </c>
      <c r="H131" s="64">
        <f>LEN(TRIM(Table22[[#This Row],[Country]]))</f>
        <v>7</v>
      </c>
      <c r="I131" s="64">
        <f>LEN(TRIM(Table22[[#This Row],[Continent]]))</f>
        <v>6</v>
      </c>
      <c r="J131" s="64">
        <f>LEN(TRIM(Table22[[#This Row],[Product]]))</f>
        <v>10</v>
      </c>
      <c r="K131" s="64">
        <f>LEN(TRIM(Table22[[#This Row],[Sales Team]]))</f>
        <v>9</v>
      </c>
      <c r="L131" s="23">
        <v>69</v>
      </c>
      <c r="M131" s="65" t="str" cm="1">
        <f t="array" ref="M131">_xlfn.IFS(Table22[[#This Row],[Units Sold]]&lt;40,"Critical",Table22[[#This Row],[Units Sold]]&lt;=50,"Poor",Table22[[#This Row],[Units Sold]]&lt;=60,"Low",Table22[[#This Row],[Units Sold]]&lt;=80,"Average",Table22[[#This Row],[Units Sold]]&lt;=90,"High",Table22[[#This Row],[Units Sold]]&lt;=95,"Excellent",Table22[[#This Row],[Units Sold]]&gt;95,"Outstanding")</f>
        <v>Average</v>
      </c>
      <c r="N131" s="29">
        <v>1450.84</v>
      </c>
      <c r="O131" s="29">
        <v>100107.96</v>
      </c>
      <c r="P131" s="43">
        <f>IF(Table22[[#This Row],[Discount Applied]],Table22[[#This Row],[Total Sales (in USD)]]*(1-Table22[[#This Row],[Discount Percentage (%)]]/100),Table22[[#This Row],[Total Sales (in USD)]])</f>
        <v>72978.702839999998</v>
      </c>
      <c r="Q131" s="66">
        <f>SQRT(AVERAGE((Table22[[#This Row],[Net Sales (after discount) (in USD)]]-AVERAGE(Table22[Net Sales (after discount) (in USD)]))^2))</f>
        <v>36467.34227623546</v>
      </c>
      <c r="R131" s="18" t="b">
        <v>0</v>
      </c>
      <c r="S131" s="40">
        <v>27.1</v>
      </c>
      <c r="T131" s="18" t="b">
        <v>1</v>
      </c>
      <c r="U131" s="25">
        <v>45098</v>
      </c>
      <c r="V131" s="63" t="str">
        <f>IF(MONTH(Table22[[#This Row],[Sales Date]])&lt;=3,"Q1",IF(MONTH(Table22[[#This Row],[Sales Date]])&lt;=6,"Q2",IF(MONTH(Table22[[#This Row],[Sales Date]])&lt;=9,"Q3","Q4")))</f>
        <v>Q2</v>
      </c>
      <c r="W131" s="64">
        <f>YEAR(Table22[[#This Row],[Sales Date]])</f>
        <v>2023</v>
      </c>
      <c r="X131" s="23">
        <v>60</v>
      </c>
      <c r="Y131" s="18" t="s">
        <v>41</v>
      </c>
      <c r="Z131" s="18" t="s">
        <v>42</v>
      </c>
      <c r="AA131" s="19" t="s">
        <v>36</v>
      </c>
    </row>
    <row r="132" spans="1:27" x14ac:dyDescent="0.25">
      <c r="A132" s="17" t="s">
        <v>987</v>
      </c>
      <c r="B132" s="18" t="s">
        <v>72</v>
      </c>
      <c r="C132" s="63" t="str" cm="1">
        <f t="array" ref="C132">_xlfn.SWITCH(Table22[[#This Row],[Country]],"USA","North America","Canada","North America","Brazil","South America","China","Asia","Japan","Asia","India","Asia","France","Europe","Germany","Europe","UK","Europe","Australia","Oceania","South America")</f>
        <v>North America</v>
      </c>
      <c r="D132" s="18" t="s">
        <v>28</v>
      </c>
      <c r="E132" s="18" t="s">
        <v>19</v>
      </c>
      <c r="F132" s="18" t="s">
        <v>34</v>
      </c>
      <c r="G132" s="18" t="s">
        <v>22</v>
      </c>
      <c r="H132" s="64">
        <f>LEN(TRIM(Table22[[#This Row],[Country]]))</f>
        <v>3</v>
      </c>
      <c r="I132" s="64">
        <f>LEN(TRIM(Table22[[#This Row],[Continent]]))</f>
        <v>13</v>
      </c>
      <c r="J132" s="64">
        <f>LEN(TRIM(Table22[[#This Row],[Product]]))</f>
        <v>6</v>
      </c>
      <c r="K132" s="64">
        <f>LEN(TRIM(Table22[[#This Row],[Sales Team]]))</f>
        <v>10</v>
      </c>
      <c r="L132" s="23">
        <v>85</v>
      </c>
      <c r="M132" s="65" t="str" cm="1">
        <f t="array" ref="M132">_xlfn.IFS(Table22[[#This Row],[Units Sold]]&lt;40,"Critical",Table22[[#This Row],[Units Sold]]&lt;=50,"Poor",Table22[[#This Row],[Units Sold]]&lt;=60,"Low",Table22[[#This Row],[Units Sold]]&lt;=80,"Average",Table22[[#This Row],[Units Sold]]&lt;=90,"High",Table22[[#This Row],[Units Sold]]&lt;=95,"Excellent",Table22[[#This Row],[Units Sold]]&gt;95,"Outstanding")</f>
        <v>High</v>
      </c>
      <c r="N132" s="29">
        <v>1177.08</v>
      </c>
      <c r="O132" s="29">
        <v>100051.8</v>
      </c>
      <c r="P132" s="43">
        <f>IF(Table22[[#This Row],[Discount Applied]],Table22[[#This Row],[Total Sales (in USD)]]*(1-Table22[[#This Row],[Discount Percentage (%)]]/100),Table22[[#This Row],[Total Sales (in USD)]])</f>
        <v>100051.8</v>
      </c>
      <c r="Q132" s="66">
        <f>SQRT(AVERAGE((Table22[[#This Row],[Net Sales (after discount) (in USD)]]-AVERAGE(Table22[Net Sales (after discount) (in USD)]))^2))</f>
        <v>63540.439436235465</v>
      </c>
      <c r="R132" s="18" t="b">
        <v>1</v>
      </c>
      <c r="S132" s="40">
        <v>13.75</v>
      </c>
      <c r="T132" s="18" t="b">
        <v>0</v>
      </c>
      <c r="U132" s="25">
        <v>45311</v>
      </c>
      <c r="V132" s="63" t="str">
        <f>IF(MONTH(Table22[[#This Row],[Sales Date]])&lt;=3,"Q1",IF(MONTH(Table22[[#This Row],[Sales Date]])&lt;=6,"Q2",IF(MONTH(Table22[[#This Row],[Sales Date]])&lt;=9,"Q3","Q4")))</f>
        <v>Q1</v>
      </c>
      <c r="W132" s="64">
        <f>YEAR(Table22[[#This Row],[Sales Date]])</f>
        <v>2024</v>
      </c>
      <c r="X132" s="23">
        <v>31</v>
      </c>
      <c r="Y132" s="18" t="s">
        <v>23</v>
      </c>
      <c r="Z132" s="18" t="s">
        <v>56</v>
      </c>
      <c r="AA132" s="19" t="s">
        <v>36</v>
      </c>
    </row>
    <row r="133" spans="1:27" x14ac:dyDescent="0.25">
      <c r="A133" s="17" t="s">
        <v>547</v>
      </c>
      <c r="B133" s="18" t="s">
        <v>72</v>
      </c>
      <c r="C133" s="63" t="str" cm="1">
        <f t="array" ref="C133">_xlfn.SWITCH(Table22[[#This Row],[Country]],"USA","North America","Canada","North America","Brazil","South America","China","Asia","Japan","Asia","India","Asia","France","Europe","Germany","Europe","UK","Europe","Australia","Oceania","South America")</f>
        <v>North America</v>
      </c>
      <c r="D133" s="18" t="s">
        <v>28</v>
      </c>
      <c r="E133" s="18" t="s">
        <v>33</v>
      </c>
      <c r="F133" s="18" t="s">
        <v>34</v>
      </c>
      <c r="G133" s="18" t="s">
        <v>40</v>
      </c>
      <c r="H133" s="64">
        <f>LEN(TRIM(Table22[[#This Row],[Country]]))</f>
        <v>3</v>
      </c>
      <c r="I133" s="64">
        <f>LEN(TRIM(Table22[[#This Row],[Continent]]))</f>
        <v>13</v>
      </c>
      <c r="J133" s="64">
        <f>LEN(TRIM(Table22[[#This Row],[Product]]))</f>
        <v>10</v>
      </c>
      <c r="K133" s="64">
        <f>LEN(TRIM(Table22[[#This Row],[Sales Team]]))</f>
        <v>10</v>
      </c>
      <c r="L133" s="23">
        <v>77</v>
      </c>
      <c r="M133" s="65" t="str" cm="1">
        <f t="array" ref="M133">_xlfn.IFS(Table22[[#This Row],[Units Sold]]&lt;40,"Critical",Table22[[#This Row],[Units Sold]]&lt;=50,"Poor",Table22[[#This Row],[Units Sold]]&lt;=60,"Low",Table22[[#This Row],[Units Sold]]&lt;=80,"Average",Table22[[#This Row],[Units Sold]]&lt;=90,"High",Table22[[#This Row],[Units Sold]]&lt;=95,"Excellent",Table22[[#This Row],[Units Sold]]&gt;95,"Outstanding")</f>
        <v>Average</v>
      </c>
      <c r="N133" s="29">
        <v>1297.3699999999999</v>
      </c>
      <c r="O133" s="29">
        <v>99897.49</v>
      </c>
      <c r="P133" s="43">
        <f>IF(Table22[[#This Row],[Discount Applied]],Table22[[#This Row],[Total Sales (in USD)]]*(1-Table22[[#This Row],[Discount Percentage (%)]]/100),Table22[[#This Row],[Total Sales (in USD)]])</f>
        <v>99897.49</v>
      </c>
      <c r="Q133" s="66">
        <f>SQRT(AVERAGE((Table22[[#This Row],[Net Sales (after discount) (in USD)]]-AVERAGE(Table22[Net Sales (after discount) (in USD)]))^2))</f>
        <v>63386.129436235467</v>
      </c>
      <c r="R133" s="18" t="b">
        <v>1</v>
      </c>
      <c r="S133" s="40">
        <v>26.41</v>
      </c>
      <c r="T133" s="18" t="b">
        <v>0</v>
      </c>
      <c r="U133" s="25">
        <v>45487</v>
      </c>
      <c r="V133" s="63" t="str">
        <f>IF(MONTH(Table22[[#This Row],[Sales Date]])&lt;=3,"Q1",IF(MONTH(Table22[[#This Row],[Sales Date]])&lt;=6,"Q2",IF(MONTH(Table22[[#This Row],[Sales Date]])&lt;=9,"Q3","Q4")))</f>
        <v>Q3</v>
      </c>
      <c r="W133" s="64">
        <f>YEAR(Table22[[#This Row],[Sales Date]])</f>
        <v>2024</v>
      </c>
      <c r="X133" s="23">
        <v>38</v>
      </c>
      <c r="Y133" s="18" t="s">
        <v>23</v>
      </c>
      <c r="Z133" s="18" t="s">
        <v>24</v>
      </c>
      <c r="AA133" s="19" t="s">
        <v>36</v>
      </c>
    </row>
    <row r="134" spans="1:27" x14ac:dyDescent="0.25">
      <c r="A134" s="17" t="s">
        <v>332</v>
      </c>
      <c r="B134" s="18" t="s">
        <v>62</v>
      </c>
      <c r="C134" s="63" t="str" cm="1">
        <f t="array" ref="C134">_xlfn.SWITCH(Table22[[#This Row],[Country]],"USA","North America","Canada","North America","Brazil","South America","China","Asia","Japan","Asia","India","Asia","France","Europe","Germany","Europe","UK","Europe","Australia","Oceania","South America")</f>
        <v>Oceania</v>
      </c>
      <c r="D134" s="18" t="s">
        <v>21</v>
      </c>
      <c r="E134" s="18" t="s">
        <v>19</v>
      </c>
      <c r="F134" s="18" t="s">
        <v>34</v>
      </c>
      <c r="G134" s="18" t="s">
        <v>40</v>
      </c>
      <c r="H134" s="64">
        <f>LEN(TRIM(Table22[[#This Row],[Country]]))</f>
        <v>9</v>
      </c>
      <c r="I134" s="64">
        <f>LEN(TRIM(Table22[[#This Row],[Continent]]))</f>
        <v>7</v>
      </c>
      <c r="J134" s="64">
        <f>LEN(TRIM(Table22[[#This Row],[Product]]))</f>
        <v>6</v>
      </c>
      <c r="K134" s="64">
        <f>LEN(TRIM(Table22[[#This Row],[Sales Team]]))</f>
        <v>10</v>
      </c>
      <c r="L134" s="23">
        <v>88</v>
      </c>
      <c r="M134" s="65" t="str" cm="1">
        <f t="array" ref="M134">_xlfn.IFS(Table22[[#This Row],[Units Sold]]&lt;40,"Critical",Table22[[#This Row],[Units Sold]]&lt;=50,"Poor",Table22[[#This Row],[Units Sold]]&lt;=60,"Low",Table22[[#This Row],[Units Sold]]&lt;=80,"Average",Table22[[#This Row],[Units Sold]]&lt;=90,"High",Table22[[#This Row],[Units Sold]]&lt;=95,"Excellent",Table22[[#This Row],[Units Sold]]&gt;95,"Outstanding")</f>
        <v>High</v>
      </c>
      <c r="N134" s="29">
        <v>1134.94</v>
      </c>
      <c r="O134" s="29">
        <v>99874.72</v>
      </c>
      <c r="P134" s="43">
        <f>IF(Table22[[#This Row],[Discount Applied]],Table22[[#This Row],[Total Sales (in USD)]]*(1-Table22[[#This Row],[Discount Percentage (%)]]/100),Table22[[#This Row],[Total Sales (in USD)]])</f>
        <v>91105.719584000006</v>
      </c>
      <c r="Q134" s="66">
        <f>SQRT(AVERAGE((Table22[[#This Row],[Net Sales (after discount) (in USD)]]-AVERAGE(Table22[Net Sales (after discount) (in USD)]))^2))</f>
        <v>54594.359020235468</v>
      </c>
      <c r="R134" s="18" t="b">
        <v>1</v>
      </c>
      <c r="S134" s="40">
        <v>8.7799999999999994</v>
      </c>
      <c r="T134" s="18" t="b">
        <v>1</v>
      </c>
      <c r="U134" s="25">
        <v>45034</v>
      </c>
      <c r="V134" s="63" t="str">
        <f>IF(MONTH(Table22[[#This Row],[Sales Date]])&lt;=3,"Q1",IF(MONTH(Table22[[#This Row],[Sales Date]])&lt;=6,"Q2",IF(MONTH(Table22[[#This Row],[Sales Date]])&lt;=9,"Q3","Q4")))</f>
        <v>Q2</v>
      </c>
      <c r="W134" s="64">
        <f>YEAR(Table22[[#This Row],[Sales Date]])</f>
        <v>2023</v>
      </c>
      <c r="X134" s="23">
        <v>21</v>
      </c>
      <c r="Y134" s="18" t="s">
        <v>23</v>
      </c>
      <c r="Z134" s="18" t="s">
        <v>56</v>
      </c>
      <c r="AA134" s="19" t="s">
        <v>25</v>
      </c>
    </row>
    <row r="135" spans="1:27" x14ac:dyDescent="0.25">
      <c r="A135" s="17" t="s">
        <v>391</v>
      </c>
      <c r="B135" s="18" t="s">
        <v>46</v>
      </c>
      <c r="C135" s="63" t="str" cm="1">
        <f t="array" ref="C135">_xlfn.SWITCH(Table22[[#This Row],[Country]],"USA","North America","Canada","North America","Brazil","South America","China","Asia","Japan","Asia","India","Asia","France","Europe","Germany","Europe","UK","Europe","Australia","Oceania","South America")</f>
        <v>South America</v>
      </c>
      <c r="D135" s="18" t="s">
        <v>28</v>
      </c>
      <c r="E135" s="18" t="s">
        <v>33</v>
      </c>
      <c r="F135" s="18" t="s">
        <v>52</v>
      </c>
      <c r="G135" s="18" t="s">
        <v>48</v>
      </c>
      <c r="H135" s="64">
        <f>LEN(TRIM(Table22[[#This Row],[Country]]))</f>
        <v>6</v>
      </c>
      <c r="I135" s="64">
        <f>LEN(TRIM(Table22[[#This Row],[Continent]]))</f>
        <v>13</v>
      </c>
      <c r="J135" s="64">
        <f>LEN(TRIM(Table22[[#This Row],[Product]]))</f>
        <v>10</v>
      </c>
      <c r="K135" s="64">
        <f>LEN(TRIM(Table22[[#This Row],[Sales Team]]))</f>
        <v>9</v>
      </c>
      <c r="L135" s="23">
        <v>76</v>
      </c>
      <c r="M135" s="65" t="str" cm="1">
        <f t="array" ref="M135">_xlfn.IFS(Table22[[#This Row],[Units Sold]]&lt;40,"Critical",Table22[[#This Row],[Units Sold]]&lt;=50,"Poor",Table22[[#This Row],[Units Sold]]&lt;=60,"Low",Table22[[#This Row],[Units Sold]]&lt;=80,"Average",Table22[[#This Row],[Units Sold]]&lt;=90,"High",Table22[[#This Row],[Units Sold]]&lt;=95,"Excellent",Table22[[#This Row],[Units Sold]]&gt;95,"Outstanding")</f>
        <v>Average</v>
      </c>
      <c r="N135" s="29">
        <v>1311.4</v>
      </c>
      <c r="O135" s="29">
        <v>99666.4</v>
      </c>
      <c r="P135" s="43">
        <f>IF(Table22[[#This Row],[Discount Applied]],Table22[[#This Row],[Total Sales (in USD)]]*(1-Table22[[#This Row],[Discount Percentage (%)]]/100),Table22[[#This Row],[Total Sales (in USD)]])</f>
        <v>81048.716480000003</v>
      </c>
      <c r="Q135" s="66">
        <f>SQRT(AVERAGE((Table22[[#This Row],[Net Sales (after discount) (in USD)]]-AVERAGE(Table22[Net Sales (after discount) (in USD)]))^2))</f>
        <v>44537.355916235465</v>
      </c>
      <c r="R135" s="18" t="b">
        <v>0</v>
      </c>
      <c r="S135" s="40">
        <v>18.68</v>
      </c>
      <c r="T135" s="18" t="b">
        <v>1</v>
      </c>
      <c r="U135" s="25">
        <v>45200</v>
      </c>
      <c r="V135" s="63" t="str">
        <f>IF(MONTH(Table22[[#This Row],[Sales Date]])&lt;=3,"Q1",IF(MONTH(Table22[[#This Row],[Sales Date]])&lt;=6,"Q2",IF(MONTH(Table22[[#This Row],[Sales Date]])&lt;=9,"Q3","Q4")))</f>
        <v>Q4</v>
      </c>
      <c r="W135" s="64">
        <f>YEAR(Table22[[#This Row],[Sales Date]])</f>
        <v>2023</v>
      </c>
      <c r="X135" s="23">
        <v>69</v>
      </c>
      <c r="Y135" s="18" t="s">
        <v>49</v>
      </c>
      <c r="Z135" s="18" t="s">
        <v>30</v>
      </c>
      <c r="AA135" s="19" t="s">
        <v>25</v>
      </c>
    </row>
    <row r="136" spans="1:27" x14ac:dyDescent="0.25">
      <c r="A136" s="17" t="s">
        <v>451</v>
      </c>
      <c r="B136" s="18" t="s">
        <v>32</v>
      </c>
      <c r="C136" s="63" t="str" cm="1">
        <f t="array" ref="C136">_xlfn.SWITCH(Table22[[#This Row],[Country]],"USA","North America","Canada","North America","Brazil","South America","China","Asia","Japan","Asia","India","Asia","France","Europe","Germany","Europe","UK","Europe","Australia","Oceania","South America")</f>
        <v>Asia</v>
      </c>
      <c r="D136" s="18" t="s">
        <v>35</v>
      </c>
      <c r="E136" s="18" t="s">
        <v>19</v>
      </c>
      <c r="F136" s="18" t="s">
        <v>20</v>
      </c>
      <c r="G136" s="18" t="s">
        <v>40</v>
      </c>
      <c r="H136" s="64">
        <f>LEN(TRIM(Table22[[#This Row],[Country]]))</f>
        <v>5</v>
      </c>
      <c r="I136" s="64">
        <f>LEN(TRIM(Table22[[#This Row],[Continent]]))</f>
        <v>4</v>
      </c>
      <c r="J136" s="64">
        <f>LEN(TRIM(Table22[[#This Row],[Product]]))</f>
        <v>6</v>
      </c>
      <c r="K136" s="64">
        <f>LEN(TRIM(Table22[[#This Row],[Sales Team]]))</f>
        <v>10</v>
      </c>
      <c r="L136" s="23">
        <v>95</v>
      </c>
      <c r="M136" s="65" t="str" cm="1">
        <f t="array" ref="M136">_xlfn.IFS(Table22[[#This Row],[Units Sold]]&lt;40,"Critical",Table22[[#This Row],[Units Sold]]&lt;=50,"Poor",Table22[[#This Row],[Units Sold]]&lt;=60,"Low",Table22[[#This Row],[Units Sold]]&lt;=80,"Average",Table22[[#This Row],[Units Sold]]&lt;=90,"High",Table22[[#This Row],[Units Sold]]&lt;=95,"Excellent",Table22[[#This Row],[Units Sold]]&gt;95,"Outstanding")</f>
        <v>Excellent</v>
      </c>
      <c r="N136" s="29">
        <v>1048.54</v>
      </c>
      <c r="O136" s="29">
        <v>99611.3</v>
      </c>
      <c r="P136" s="43">
        <f>IF(Table22[[#This Row],[Discount Applied]],Table22[[#This Row],[Total Sales (in USD)]]*(1-Table22[[#This Row],[Discount Percentage (%)]]/100),Table22[[#This Row],[Total Sales (in USD)]])</f>
        <v>99611.3</v>
      </c>
      <c r="Q136" s="66">
        <f>SQRT(AVERAGE((Table22[[#This Row],[Net Sales (after discount) (in USD)]]-AVERAGE(Table22[Net Sales (after discount) (in USD)]))^2))</f>
        <v>63099.939436235465</v>
      </c>
      <c r="R136" s="18" t="b">
        <v>0</v>
      </c>
      <c r="S136" s="40">
        <v>22.97</v>
      </c>
      <c r="T136" s="18" t="b">
        <v>0</v>
      </c>
      <c r="U136" s="25">
        <v>45351</v>
      </c>
      <c r="V136" s="63" t="str">
        <f>IF(MONTH(Table22[[#This Row],[Sales Date]])&lt;=3,"Q1",IF(MONTH(Table22[[#This Row],[Sales Date]])&lt;=6,"Q2",IF(MONTH(Table22[[#This Row],[Sales Date]])&lt;=9,"Q3","Q4")))</f>
        <v>Q1</v>
      </c>
      <c r="W136" s="64">
        <f>YEAR(Table22[[#This Row],[Sales Date]])</f>
        <v>2024</v>
      </c>
      <c r="X136" s="23">
        <v>53</v>
      </c>
      <c r="Y136" s="18" t="s">
        <v>23</v>
      </c>
      <c r="Z136" s="18" t="s">
        <v>24</v>
      </c>
      <c r="AA136" s="19" t="s">
        <v>36</v>
      </c>
    </row>
    <row r="137" spans="1:27" x14ac:dyDescent="0.25">
      <c r="A137" s="17" t="s">
        <v>1630</v>
      </c>
      <c r="B137" s="18" t="s">
        <v>76</v>
      </c>
      <c r="C137" s="63" t="str" cm="1">
        <f t="array" ref="C137">_xlfn.SWITCH(Table22[[#This Row],[Country]],"USA","North America","Canada","North America","Brazil","South America","China","Asia","Japan","Asia","India","Asia","France","Europe","Germany","Europe","UK","Europe","Australia","Oceania","South America")</f>
        <v>Asia</v>
      </c>
      <c r="D137" s="18" t="s">
        <v>44</v>
      </c>
      <c r="E137" s="18" t="s">
        <v>19</v>
      </c>
      <c r="F137" s="18" t="s">
        <v>47</v>
      </c>
      <c r="G137" s="18" t="s">
        <v>22</v>
      </c>
      <c r="H137" s="64">
        <f>LEN(TRIM(Table22[[#This Row],[Country]]))</f>
        <v>5</v>
      </c>
      <c r="I137" s="64">
        <f>LEN(TRIM(Table22[[#This Row],[Continent]]))</f>
        <v>4</v>
      </c>
      <c r="J137" s="64">
        <f>LEN(TRIM(Table22[[#This Row],[Product]]))</f>
        <v>6</v>
      </c>
      <c r="K137" s="64">
        <f>LEN(TRIM(Table22[[#This Row],[Sales Team]]))</f>
        <v>10</v>
      </c>
      <c r="L137" s="23">
        <v>86</v>
      </c>
      <c r="M137" s="65" t="str" cm="1">
        <f t="array" ref="M137">_xlfn.IFS(Table22[[#This Row],[Units Sold]]&lt;40,"Critical",Table22[[#This Row],[Units Sold]]&lt;=50,"Poor",Table22[[#This Row],[Units Sold]]&lt;=60,"Low",Table22[[#This Row],[Units Sold]]&lt;=80,"Average",Table22[[#This Row],[Units Sold]]&lt;=90,"High",Table22[[#This Row],[Units Sold]]&lt;=95,"Excellent",Table22[[#This Row],[Units Sold]]&gt;95,"Outstanding")</f>
        <v>High</v>
      </c>
      <c r="N137" s="29">
        <v>1158.1500000000001</v>
      </c>
      <c r="O137" s="29">
        <v>99600.9</v>
      </c>
      <c r="P137" s="43">
        <f>IF(Table22[[#This Row],[Discount Applied]],Table22[[#This Row],[Total Sales (in USD)]]*(1-Table22[[#This Row],[Discount Percentage (%)]]/100),Table22[[#This Row],[Total Sales (in USD)]])</f>
        <v>99600.9</v>
      </c>
      <c r="Q137" s="66">
        <f>SQRT(AVERAGE((Table22[[#This Row],[Net Sales (after discount) (in USD)]]-AVERAGE(Table22[Net Sales (after discount) (in USD)]))^2))</f>
        <v>63089.539436235456</v>
      </c>
      <c r="R137" s="18" t="b">
        <v>0</v>
      </c>
      <c r="S137" s="40">
        <v>18.690000000000001</v>
      </c>
      <c r="T137" s="18" t="b">
        <v>0</v>
      </c>
      <c r="U137" s="25">
        <v>45190</v>
      </c>
      <c r="V137" s="63" t="str">
        <f>IF(MONTH(Table22[[#This Row],[Sales Date]])&lt;=3,"Q1",IF(MONTH(Table22[[#This Row],[Sales Date]])&lt;=6,"Q2",IF(MONTH(Table22[[#This Row],[Sales Date]])&lt;=9,"Q3","Q4")))</f>
        <v>Q3</v>
      </c>
      <c r="W137" s="64">
        <f>YEAR(Table22[[#This Row],[Sales Date]])</f>
        <v>2023</v>
      </c>
      <c r="X137" s="23">
        <v>48</v>
      </c>
      <c r="Y137" s="18" t="s">
        <v>49</v>
      </c>
      <c r="Z137" s="18" t="s">
        <v>42</v>
      </c>
      <c r="AA137" s="19" t="s">
        <v>25</v>
      </c>
    </row>
    <row r="138" spans="1:27" x14ac:dyDescent="0.25">
      <c r="A138" s="17" t="s">
        <v>122</v>
      </c>
      <c r="B138" s="18" t="s">
        <v>32</v>
      </c>
      <c r="C138" s="63" t="str" cm="1">
        <f t="array" ref="C138">_xlfn.SWITCH(Table22[[#This Row],[Country]],"USA","North America","Canada","North America","Brazil","South America","China","Asia","Japan","Asia","India","Asia","France","Europe","Germany","Europe","UK","Europe","Australia","Oceania","South America")</f>
        <v>Asia</v>
      </c>
      <c r="D138" s="18" t="s">
        <v>28</v>
      </c>
      <c r="E138" s="18" t="s">
        <v>33</v>
      </c>
      <c r="F138" s="18" t="s">
        <v>64</v>
      </c>
      <c r="G138" s="18" t="s">
        <v>29</v>
      </c>
      <c r="H138" s="64">
        <f>LEN(TRIM(Table22[[#This Row],[Country]]))</f>
        <v>5</v>
      </c>
      <c r="I138" s="64">
        <f>LEN(TRIM(Table22[[#This Row],[Continent]]))</f>
        <v>4</v>
      </c>
      <c r="J138" s="64">
        <f>LEN(TRIM(Table22[[#This Row],[Product]]))</f>
        <v>10</v>
      </c>
      <c r="K138" s="64">
        <f>LEN(TRIM(Table22[[#This Row],[Sales Team]]))</f>
        <v>10</v>
      </c>
      <c r="L138" s="23">
        <v>70</v>
      </c>
      <c r="M138" s="65" t="str" cm="1">
        <f t="array" ref="M138">_xlfn.IFS(Table22[[#This Row],[Units Sold]]&lt;40,"Critical",Table22[[#This Row],[Units Sold]]&lt;=50,"Poor",Table22[[#This Row],[Units Sold]]&lt;=60,"Low",Table22[[#This Row],[Units Sold]]&lt;=80,"Average",Table22[[#This Row],[Units Sold]]&lt;=90,"High",Table22[[#This Row],[Units Sold]]&lt;=95,"Excellent",Table22[[#This Row],[Units Sold]]&gt;95,"Outstanding")</f>
        <v>Average</v>
      </c>
      <c r="N138" s="29">
        <v>1420.2</v>
      </c>
      <c r="O138" s="29">
        <v>99414</v>
      </c>
      <c r="P138" s="43">
        <f>IF(Table22[[#This Row],[Discount Applied]],Table22[[#This Row],[Total Sales (in USD)]]*(1-Table22[[#This Row],[Discount Percentage (%)]]/100),Table22[[#This Row],[Total Sales (in USD)]])</f>
        <v>99414</v>
      </c>
      <c r="Q138" s="66">
        <f>SQRT(AVERAGE((Table22[[#This Row],[Net Sales (after discount) (in USD)]]-AVERAGE(Table22[Net Sales (after discount) (in USD)]))^2))</f>
        <v>62902.639436235462</v>
      </c>
      <c r="R138" s="18" t="b">
        <v>1</v>
      </c>
      <c r="S138" s="40">
        <v>7.7</v>
      </c>
      <c r="T138" s="18" t="b">
        <v>0</v>
      </c>
      <c r="U138" s="25">
        <v>45214</v>
      </c>
      <c r="V138" s="63" t="str">
        <f>IF(MONTH(Table22[[#This Row],[Sales Date]])&lt;=3,"Q1",IF(MONTH(Table22[[#This Row],[Sales Date]])&lt;=6,"Q2",IF(MONTH(Table22[[#This Row],[Sales Date]])&lt;=9,"Q3","Q4")))</f>
        <v>Q4</v>
      </c>
      <c r="W138" s="64">
        <f>YEAR(Table22[[#This Row],[Sales Date]])</f>
        <v>2023</v>
      </c>
      <c r="X138" s="23">
        <v>60</v>
      </c>
      <c r="Y138" s="18" t="s">
        <v>23</v>
      </c>
      <c r="Z138" s="18" t="s">
        <v>24</v>
      </c>
      <c r="AA138" s="19" t="s">
        <v>25</v>
      </c>
    </row>
    <row r="139" spans="1:27" x14ac:dyDescent="0.25">
      <c r="A139" s="17" t="s">
        <v>1009</v>
      </c>
      <c r="B139" s="18" t="s">
        <v>18</v>
      </c>
      <c r="C139" s="63" t="str" cm="1">
        <f t="array" ref="C139">_xlfn.SWITCH(Table22[[#This Row],[Country]],"USA","North America","Canada","North America","Brazil","South America","China","Asia","Japan","Asia","India","Asia","France","Europe","Germany","Europe","UK","Europe","Australia","Oceania","South America")</f>
        <v>Asia</v>
      </c>
      <c r="D139" s="18" t="s">
        <v>35</v>
      </c>
      <c r="E139" s="18" t="s">
        <v>39</v>
      </c>
      <c r="F139" s="18" t="s">
        <v>34</v>
      </c>
      <c r="G139" s="18" t="s">
        <v>40</v>
      </c>
      <c r="H139" s="64">
        <f>LEN(TRIM(Table22[[#This Row],[Country]]))</f>
        <v>5</v>
      </c>
      <c r="I139" s="64">
        <f>LEN(TRIM(Table22[[#This Row],[Continent]]))</f>
        <v>4</v>
      </c>
      <c r="J139" s="64">
        <f>LEN(TRIM(Table22[[#This Row],[Product]]))</f>
        <v>10</v>
      </c>
      <c r="K139" s="64">
        <f>LEN(TRIM(Table22[[#This Row],[Sales Team]]))</f>
        <v>10</v>
      </c>
      <c r="L139" s="23">
        <v>92</v>
      </c>
      <c r="M139" s="65" t="str" cm="1">
        <f t="array" ref="M139">_xlfn.IFS(Table22[[#This Row],[Units Sold]]&lt;40,"Critical",Table22[[#This Row],[Units Sold]]&lt;=50,"Poor",Table22[[#This Row],[Units Sold]]&lt;=60,"Low",Table22[[#This Row],[Units Sold]]&lt;=80,"Average",Table22[[#This Row],[Units Sold]]&lt;=90,"High",Table22[[#This Row],[Units Sold]]&lt;=95,"Excellent",Table22[[#This Row],[Units Sold]]&gt;95,"Outstanding")</f>
        <v>Excellent</v>
      </c>
      <c r="N139" s="29">
        <v>1071.95</v>
      </c>
      <c r="O139" s="29">
        <v>98619.4</v>
      </c>
      <c r="P139" s="43">
        <f>IF(Table22[[#This Row],[Discount Applied]],Table22[[#This Row],[Total Sales (in USD)]]*(1-Table22[[#This Row],[Discount Percentage (%)]]/100),Table22[[#This Row],[Total Sales (in USD)]])</f>
        <v>76765.340959999987</v>
      </c>
      <c r="Q139" s="66">
        <f>SQRT(AVERAGE((Table22[[#This Row],[Net Sales (after discount) (in USD)]]-AVERAGE(Table22[Net Sales (after discount) (in USD)]))^2))</f>
        <v>40253.980396235449</v>
      </c>
      <c r="R139" s="18" t="b">
        <v>1</v>
      </c>
      <c r="S139" s="40">
        <v>22.16</v>
      </c>
      <c r="T139" s="18" t="b">
        <v>1</v>
      </c>
      <c r="U139" s="25">
        <v>45341</v>
      </c>
      <c r="V139" s="63" t="str">
        <f>IF(MONTH(Table22[[#This Row],[Sales Date]])&lt;=3,"Q1",IF(MONTH(Table22[[#This Row],[Sales Date]])&lt;=6,"Q2",IF(MONTH(Table22[[#This Row],[Sales Date]])&lt;=9,"Q3","Q4")))</f>
        <v>Q1</v>
      </c>
      <c r="W139" s="64">
        <f>YEAR(Table22[[#This Row],[Sales Date]])</f>
        <v>2024</v>
      </c>
      <c r="X139" s="23">
        <v>44</v>
      </c>
      <c r="Y139" s="18" t="s">
        <v>49</v>
      </c>
      <c r="Z139" s="18" t="s">
        <v>24</v>
      </c>
      <c r="AA139" s="19" t="s">
        <v>25</v>
      </c>
    </row>
    <row r="140" spans="1:27" x14ac:dyDescent="0.25">
      <c r="A140" s="17" t="s">
        <v>1162</v>
      </c>
      <c r="B140" s="18" t="s">
        <v>18</v>
      </c>
      <c r="C140" s="63" t="str" cm="1">
        <f t="array" ref="C140">_xlfn.SWITCH(Table22[[#This Row],[Country]],"USA","North America","Canada","North America","Brazil","South America","China","Asia","Japan","Asia","India","Asia","France","Europe","Germany","Europe","UK","Europe","Australia","Oceania","South America")</f>
        <v>Asia</v>
      </c>
      <c r="D140" s="18" t="s">
        <v>28</v>
      </c>
      <c r="E140" s="18" t="s">
        <v>19</v>
      </c>
      <c r="F140" s="18" t="s">
        <v>20</v>
      </c>
      <c r="G140" s="18" t="s">
        <v>22</v>
      </c>
      <c r="H140" s="64">
        <f>LEN(TRIM(Table22[[#This Row],[Country]]))</f>
        <v>5</v>
      </c>
      <c r="I140" s="64">
        <f>LEN(TRIM(Table22[[#This Row],[Continent]]))</f>
        <v>4</v>
      </c>
      <c r="J140" s="64">
        <f>LEN(TRIM(Table22[[#This Row],[Product]]))</f>
        <v>6</v>
      </c>
      <c r="K140" s="64">
        <f>LEN(TRIM(Table22[[#This Row],[Sales Team]]))</f>
        <v>10</v>
      </c>
      <c r="L140" s="23">
        <v>77</v>
      </c>
      <c r="M140" s="65" t="str" cm="1">
        <f t="array" ref="M140">_xlfn.IFS(Table22[[#This Row],[Units Sold]]&lt;40,"Critical",Table22[[#This Row],[Units Sold]]&lt;=50,"Poor",Table22[[#This Row],[Units Sold]]&lt;=60,"Low",Table22[[#This Row],[Units Sold]]&lt;=80,"Average",Table22[[#This Row],[Units Sold]]&lt;=90,"High",Table22[[#This Row],[Units Sold]]&lt;=95,"Excellent",Table22[[#This Row],[Units Sold]]&gt;95,"Outstanding")</f>
        <v>Average</v>
      </c>
      <c r="N140" s="29">
        <v>1278.74</v>
      </c>
      <c r="O140" s="29">
        <v>98462.98</v>
      </c>
      <c r="P140" s="43">
        <f>IF(Table22[[#This Row],[Discount Applied]],Table22[[#This Row],[Total Sales (in USD)]]*(1-Table22[[#This Row],[Discount Percentage (%)]]/100),Table22[[#This Row],[Total Sales (in USD)]])</f>
        <v>98462.98</v>
      </c>
      <c r="Q140" s="66">
        <f>SQRT(AVERAGE((Table22[[#This Row],[Net Sales (after discount) (in USD)]]-AVERAGE(Table22[Net Sales (after discount) (in USD)]))^2))</f>
        <v>61951.619436235458</v>
      </c>
      <c r="R140" s="18" t="b">
        <v>0</v>
      </c>
      <c r="S140" s="40">
        <v>20.86</v>
      </c>
      <c r="T140" s="18" t="b">
        <v>0</v>
      </c>
      <c r="U140" s="25">
        <v>44988</v>
      </c>
      <c r="V140" s="63" t="str">
        <f>IF(MONTH(Table22[[#This Row],[Sales Date]])&lt;=3,"Q1",IF(MONTH(Table22[[#This Row],[Sales Date]])&lt;=6,"Q2",IF(MONTH(Table22[[#This Row],[Sales Date]])&lt;=9,"Q3","Q4")))</f>
        <v>Q1</v>
      </c>
      <c r="W140" s="64">
        <f>YEAR(Table22[[#This Row],[Sales Date]])</f>
        <v>2023</v>
      </c>
      <c r="X140" s="23">
        <v>57</v>
      </c>
      <c r="Y140" s="18" t="s">
        <v>41</v>
      </c>
      <c r="Z140" s="18" t="s">
        <v>56</v>
      </c>
      <c r="AA140" s="19" t="s">
        <v>25</v>
      </c>
    </row>
    <row r="141" spans="1:27" x14ac:dyDescent="0.25">
      <c r="A141" s="17" t="s">
        <v>560</v>
      </c>
      <c r="B141" s="18" t="s">
        <v>27</v>
      </c>
      <c r="C141" s="63" t="str" cm="1">
        <f t="array" ref="C141">_xlfn.SWITCH(Table22[[#This Row],[Country]],"USA","North America","Canada","North America","Brazil","South America","China","Asia","Japan","Asia","India","Asia","France","Europe","Germany","Europe","UK","Europe","Australia","Oceania","South America")</f>
        <v>Europe</v>
      </c>
      <c r="D141" s="18" t="s">
        <v>44</v>
      </c>
      <c r="E141" s="18" t="s">
        <v>33</v>
      </c>
      <c r="F141" s="18" t="s">
        <v>20</v>
      </c>
      <c r="G141" s="18" t="s">
        <v>22</v>
      </c>
      <c r="H141" s="64">
        <f>LEN(TRIM(Table22[[#This Row],[Country]]))</f>
        <v>7</v>
      </c>
      <c r="I141" s="64">
        <f>LEN(TRIM(Table22[[#This Row],[Continent]]))</f>
        <v>6</v>
      </c>
      <c r="J141" s="64">
        <f>LEN(TRIM(Table22[[#This Row],[Product]]))</f>
        <v>10</v>
      </c>
      <c r="K141" s="64">
        <f>LEN(TRIM(Table22[[#This Row],[Sales Team]]))</f>
        <v>10</v>
      </c>
      <c r="L141" s="23">
        <v>96</v>
      </c>
      <c r="M141" s="65" t="str" cm="1">
        <f t="array" ref="M141">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41" s="29">
        <v>1025.1600000000001</v>
      </c>
      <c r="O141" s="29">
        <v>98415.360000000001</v>
      </c>
      <c r="P141" s="43">
        <f>IF(Table22[[#This Row],[Discount Applied]],Table22[[#This Row],[Total Sales (in USD)]]*(1-Table22[[#This Row],[Discount Percentage (%)]]/100),Table22[[#This Row],[Total Sales (in USD)]])</f>
        <v>97401.681792000003</v>
      </c>
      <c r="Q141" s="66">
        <f>SQRT(AVERAGE((Table22[[#This Row],[Net Sales (after discount) (in USD)]]-AVERAGE(Table22[Net Sales (after discount) (in USD)]))^2))</f>
        <v>60890.321228235465</v>
      </c>
      <c r="R141" s="18" t="b">
        <v>0</v>
      </c>
      <c r="S141" s="40">
        <v>1.03</v>
      </c>
      <c r="T141" s="18" t="b">
        <v>1</v>
      </c>
      <c r="U141" s="25">
        <v>45552</v>
      </c>
      <c r="V141" s="63" t="str">
        <f>IF(MONTH(Table22[[#This Row],[Sales Date]])&lt;=3,"Q1",IF(MONTH(Table22[[#This Row],[Sales Date]])&lt;=6,"Q2",IF(MONTH(Table22[[#This Row],[Sales Date]])&lt;=9,"Q3","Q4")))</f>
        <v>Q3</v>
      </c>
      <c r="W141" s="64">
        <f>YEAR(Table22[[#This Row],[Sales Date]])</f>
        <v>2024</v>
      </c>
      <c r="X141" s="23">
        <v>29</v>
      </c>
      <c r="Y141" s="18" t="s">
        <v>23</v>
      </c>
      <c r="Z141" s="18" t="s">
        <v>56</v>
      </c>
      <c r="AA141" s="19" t="s">
        <v>36</v>
      </c>
    </row>
    <row r="142" spans="1:27" x14ac:dyDescent="0.25">
      <c r="A142" s="17" t="s">
        <v>251</v>
      </c>
      <c r="B142" s="18" t="s">
        <v>62</v>
      </c>
      <c r="C142" s="63" t="str" cm="1">
        <f t="array" ref="C142">_xlfn.SWITCH(Table22[[#This Row],[Country]],"USA","North America","Canada","North America","Brazil","South America","China","Asia","Japan","Asia","India","Asia","France","Europe","Germany","Europe","UK","Europe","Australia","Oceania","South America")</f>
        <v>Oceania</v>
      </c>
      <c r="D142" s="18" t="s">
        <v>21</v>
      </c>
      <c r="E142" s="18" t="s">
        <v>19</v>
      </c>
      <c r="F142" s="18" t="s">
        <v>64</v>
      </c>
      <c r="G142" s="18" t="s">
        <v>48</v>
      </c>
      <c r="H142" s="64">
        <f>LEN(TRIM(Table22[[#This Row],[Country]]))</f>
        <v>9</v>
      </c>
      <c r="I142" s="64">
        <f>LEN(TRIM(Table22[[#This Row],[Continent]]))</f>
        <v>7</v>
      </c>
      <c r="J142" s="64">
        <f>LEN(TRIM(Table22[[#This Row],[Product]]))</f>
        <v>6</v>
      </c>
      <c r="K142" s="64">
        <f>LEN(TRIM(Table22[[#This Row],[Sales Team]]))</f>
        <v>9</v>
      </c>
      <c r="L142" s="23">
        <v>81</v>
      </c>
      <c r="M142" s="65" t="str" cm="1">
        <f t="array" ref="M142">_xlfn.IFS(Table22[[#This Row],[Units Sold]]&lt;40,"Critical",Table22[[#This Row],[Units Sold]]&lt;=50,"Poor",Table22[[#This Row],[Units Sold]]&lt;=60,"Low",Table22[[#This Row],[Units Sold]]&lt;=80,"Average",Table22[[#This Row],[Units Sold]]&lt;=90,"High",Table22[[#This Row],[Units Sold]]&lt;=95,"Excellent",Table22[[#This Row],[Units Sold]]&gt;95,"Outstanding")</f>
        <v>High</v>
      </c>
      <c r="N142" s="29">
        <v>1214.73</v>
      </c>
      <c r="O142" s="29">
        <v>98393.13</v>
      </c>
      <c r="P142" s="43">
        <f>IF(Table22[[#This Row],[Discount Applied]],Table22[[#This Row],[Total Sales (in USD)]]*(1-Table22[[#This Row],[Discount Percentage (%)]]/100),Table22[[#This Row],[Total Sales (in USD)]])</f>
        <v>98393.13</v>
      </c>
      <c r="Q142" s="66">
        <f>SQRT(AVERAGE((Table22[[#This Row],[Net Sales (after discount) (in USD)]]-AVERAGE(Table22[Net Sales (after discount) (in USD)]))^2))</f>
        <v>61881.769436235467</v>
      </c>
      <c r="R142" s="18" t="b">
        <v>0</v>
      </c>
      <c r="S142" s="40">
        <v>19.87</v>
      </c>
      <c r="T142" s="18" t="b">
        <v>0</v>
      </c>
      <c r="U142" s="25">
        <v>45157</v>
      </c>
      <c r="V142" s="63" t="str">
        <f>IF(MONTH(Table22[[#This Row],[Sales Date]])&lt;=3,"Q1",IF(MONTH(Table22[[#This Row],[Sales Date]])&lt;=6,"Q2",IF(MONTH(Table22[[#This Row],[Sales Date]])&lt;=9,"Q3","Q4")))</f>
        <v>Q3</v>
      </c>
      <c r="W142" s="64">
        <f>YEAR(Table22[[#This Row],[Sales Date]])</f>
        <v>2023</v>
      </c>
      <c r="X142" s="23">
        <v>50</v>
      </c>
      <c r="Y142" s="18" t="s">
        <v>49</v>
      </c>
      <c r="Z142" s="18" t="s">
        <v>24</v>
      </c>
      <c r="AA142" s="19" t="s">
        <v>25</v>
      </c>
    </row>
    <row r="143" spans="1:27" x14ac:dyDescent="0.25">
      <c r="A143" s="17" t="s">
        <v>1098</v>
      </c>
      <c r="B143" s="18" t="s">
        <v>66</v>
      </c>
      <c r="C143" s="63" t="str" cm="1">
        <f t="array" ref="C143">_xlfn.SWITCH(Table22[[#This Row],[Country]],"USA","North America","Canada","North America","Brazil","South America","China","Asia","Japan","Asia","India","Asia","France","Europe","Germany","Europe","UK","Europe","Australia","Oceania","South America")</f>
        <v>North America</v>
      </c>
      <c r="D143" s="18" t="s">
        <v>21</v>
      </c>
      <c r="E143" s="18" t="s">
        <v>33</v>
      </c>
      <c r="F143" s="18" t="s">
        <v>34</v>
      </c>
      <c r="G143" s="18" t="s">
        <v>22</v>
      </c>
      <c r="H143" s="64">
        <f>LEN(TRIM(Table22[[#This Row],[Country]]))</f>
        <v>6</v>
      </c>
      <c r="I143" s="64">
        <f>LEN(TRIM(Table22[[#This Row],[Continent]]))</f>
        <v>13</v>
      </c>
      <c r="J143" s="64">
        <f>LEN(TRIM(Table22[[#This Row],[Product]]))</f>
        <v>10</v>
      </c>
      <c r="K143" s="64">
        <f>LEN(TRIM(Table22[[#This Row],[Sales Team]]))</f>
        <v>10</v>
      </c>
      <c r="L143" s="23">
        <v>79</v>
      </c>
      <c r="M143" s="65" t="str" cm="1">
        <f t="array" ref="M143">_xlfn.IFS(Table22[[#This Row],[Units Sold]]&lt;40,"Critical",Table22[[#This Row],[Units Sold]]&lt;=50,"Poor",Table22[[#This Row],[Units Sold]]&lt;=60,"Low",Table22[[#This Row],[Units Sold]]&lt;=80,"Average",Table22[[#This Row],[Units Sold]]&lt;=90,"High",Table22[[#This Row],[Units Sold]]&lt;=95,"Excellent",Table22[[#This Row],[Units Sold]]&gt;95,"Outstanding")</f>
        <v>Average</v>
      </c>
      <c r="N143" s="29">
        <v>1245.06</v>
      </c>
      <c r="O143" s="29">
        <v>98359.74</v>
      </c>
      <c r="P143" s="43">
        <f>IF(Table22[[#This Row],[Discount Applied]],Table22[[#This Row],[Total Sales (in USD)]]*(1-Table22[[#This Row],[Discount Percentage (%)]]/100),Table22[[#This Row],[Total Sales (in USD)]])</f>
        <v>70130.494620000012</v>
      </c>
      <c r="Q143" s="66">
        <f>SQRT(AVERAGE((Table22[[#This Row],[Net Sales (after discount) (in USD)]]-AVERAGE(Table22[Net Sales (after discount) (in USD)]))^2))</f>
        <v>33619.134056235474</v>
      </c>
      <c r="R143" s="18" t="b">
        <v>0</v>
      </c>
      <c r="S143" s="40">
        <v>28.7</v>
      </c>
      <c r="T143" s="18" t="b">
        <v>1</v>
      </c>
      <c r="U143" s="25">
        <v>45027</v>
      </c>
      <c r="V143" s="63" t="str">
        <f>IF(MONTH(Table22[[#This Row],[Sales Date]])&lt;=3,"Q1",IF(MONTH(Table22[[#This Row],[Sales Date]])&lt;=6,"Q2",IF(MONTH(Table22[[#This Row],[Sales Date]])&lt;=9,"Q3","Q4")))</f>
        <v>Q2</v>
      </c>
      <c r="W143" s="64">
        <f>YEAR(Table22[[#This Row],[Sales Date]])</f>
        <v>2023</v>
      </c>
      <c r="X143" s="23">
        <v>35</v>
      </c>
      <c r="Y143" s="18" t="s">
        <v>49</v>
      </c>
      <c r="Z143" s="18" t="s">
        <v>24</v>
      </c>
      <c r="AA143" s="19" t="s">
        <v>25</v>
      </c>
    </row>
    <row r="144" spans="1:27" x14ac:dyDescent="0.25">
      <c r="A144" s="17" t="s">
        <v>1505</v>
      </c>
      <c r="B144" s="18" t="s">
        <v>46</v>
      </c>
      <c r="C144" s="63" t="str" cm="1">
        <f t="array" ref="C144">_xlfn.SWITCH(Table22[[#This Row],[Country]],"USA","North America","Canada","North America","Brazil","South America","China","Asia","Japan","Asia","India","Asia","France","Europe","Germany","Europe","UK","Europe","Australia","Oceania","South America")</f>
        <v>South America</v>
      </c>
      <c r="D144" s="18" t="s">
        <v>44</v>
      </c>
      <c r="E144" s="18" t="s">
        <v>39</v>
      </c>
      <c r="F144" s="18" t="s">
        <v>47</v>
      </c>
      <c r="G144" s="18" t="s">
        <v>29</v>
      </c>
      <c r="H144" s="64">
        <f>LEN(TRIM(Table22[[#This Row],[Country]]))</f>
        <v>6</v>
      </c>
      <c r="I144" s="64">
        <f>LEN(TRIM(Table22[[#This Row],[Continent]]))</f>
        <v>13</v>
      </c>
      <c r="J144" s="64">
        <f>LEN(TRIM(Table22[[#This Row],[Product]]))</f>
        <v>10</v>
      </c>
      <c r="K144" s="64">
        <f>LEN(TRIM(Table22[[#This Row],[Sales Team]]))</f>
        <v>10</v>
      </c>
      <c r="L144" s="23">
        <v>95</v>
      </c>
      <c r="M144" s="65" t="str" cm="1">
        <f t="array" ref="M144">_xlfn.IFS(Table22[[#This Row],[Units Sold]]&lt;40,"Critical",Table22[[#This Row],[Units Sold]]&lt;=50,"Poor",Table22[[#This Row],[Units Sold]]&lt;=60,"Low",Table22[[#This Row],[Units Sold]]&lt;=80,"Average",Table22[[#This Row],[Units Sold]]&lt;=90,"High",Table22[[#This Row],[Units Sold]]&lt;=95,"Excellent",Table22[[#This Row],[Units Sold]]&gt;95,"Outstanding")</f>
        <v>Excellent</v>
      </c>
      <c r="N144" s="29">
        <v>1032.33</v>
      </c>
      <c r="O144" s="29">
        <v>98071.35</v>
      </c>
      <c r="P144" s="43">
        <f>IF(Table22[[#This Row],[Discount Applied]],Table22[[#This Row],[Total Sales (in USD)]]*(1-Table22[[#This Row],[Discount Percentage (%)]]/100),Table22[[#This Row],[Total Sales (in USD)]])</f>
        <v>80722.528185000003</v>
      </c>
      <c r="Q144" s="66">
        <f>SQRT(AVERAGE((Table22[[#This Row],[Net Sales (after discount) (in USD)]]-AVERAGE(Table22[Net Sales (after discount) (in USD)]))^2))</f>
        <v>44211.167621235465</v>
      </c>
      <c r="R144" s="18" t="b">
        <v>0</v>
      </c>
      <c r="S144" s="40">
        <v>17.690000000000001</v>
      </c>
      <c r="T144" s="18" t="b">
        <v>1</v>
      </c>
      <c r="U144" s="25">
        <v>45338</v>
      </c>
      <c r="V144" s="63" t="str">
        <f>IF(MONTH(Table22[[#This Row],[Sales Date]])&lt;=3,"Q1",IF(MONTH(Table22[[#This Row],[Sales Date]])&lt;=6,"Q2",IF(MONTH(Table22[[#This Row],[Sales Date]])&lt;=9,"Q3","Q4")))</f>
        <v>Q1</v>
      </c>
      <c r="W144" s="64">
        <f>YEAR(Table22[[#This Row],[Sales Date]])</f>
        <v>2024</v>
      </c>
      <c r="X144" s="23">
        <v>69</v>
      </c>
      <c r="Y144" s="18" t="s">
        <v>41</v>
      </c>
      <c r="Z144" s="18" t="s">
        <v>42</v>
      </c>
      <c r="AA144" s="19" t="s">
        <v>36</v>
      </c>
    </row>
    <row r="145" spans="1:27" x14ac:dyDescent="0.25">
      <c r="A145" s="17" t="s">
        <v>1987</v>
      </c>
      <c r="B145" s="18" t="s">
        <v>32</v>
      </c>
      <c r="C145" s="63" t="str" cm="1">
        <f t="array" ref="C145">_xlfn.SWITCH(Table22[[#This Row],[Country]],"USA","North America","Canada","North America","Brazil","South America","China","Asia","Japan","Asia","India","Asia","France","Europe","Germany","Europe","UK","Europe","Australia","Oceania","South America")</f>
        <v>Asia</v>
      </c>
      <c r="D145" s="18" t="s">
        <v>28</v>
      </c>
      <c r="E145" s="18" t="s">
        <v>33</v>
      </c>
      <c r="F145" s="18" t="s">
        <v>47</v>
      </c>
      <c r="G145" s="18" t="s">
        <v>29</v>
      </c>
      <c r="H145" s="64">
        <f>LEN(TRIM(Table22[[#This Row],[Country]]))</f>
        <v>5</v>
      </c>
      <c r="I145" s="64">
        <f>LEN(TRIM(Table22[[#This Row],[Continent]]))</f>
        <v>4</v>
      </c>
      <c r="J145" s="64">
        <f>LEN(TRIM(Table22[[#This Row],[Product]]))</f>
        <v>10</v>
      </c>
      <c r="K145" s="64">
        <f>LEN(TRIM(Table22[[#This Row],[Sales Team]]))</f>
        <v>10</v>
      </c>
      <c r="L145" s="23">
        <v>83</v>
      </c>
      <c r="M145" s="65" t="str" cm="1">
        <f t="array" ref="M145">_xlfn.IFS(Table22[[#This Row],[Units Sold]]&lt;40,"Critical",Table22[[#This Row],[Units Sold]]&lt;=50,"Poor",Table22[[#This Row],[Units Sold]]&lt;=60,"Low",Table22[[#This Row],[Units Sold]]&lt;=80,"Average",Table22[[#This Row],[Units Sold]]&lt;=90,"High",Table22[[#This Row],[Units Sold]]&lt;=95,"Excellent",Table22[[#This Row],[Units Sold]]&gt;95,"Outstanding")</f>
        <v>High</v>
      </c>
      <c r="N145" s="29">
        <v>1180.3900000000001</v>
      </c>
      <c r="O145" s="29">
        <v>97972.37</v>
      </c>
      <c r="P145" s="43">
        <f>IF(Table22[[#This Row],[Discount Applied]],Table22[[#This Row],[Total Sales (in USD)]]*(1-Table22[[#This Row],[Discount Percentage (%)]]/100),Table22[[#This Row],[Total Sales (in USD)]])</f>
        <v>97972.37</v>
      </c>
      <c r="Q145" s="66">
        <f>SQRT(AVERAGE((Table22[[#This Row],[Net Sales (after discount) (in USD)]]-AVERAGE(Table22[Net Sales (after discount) (in USD)]))^2))</f>
        <v>61461.009436235458</v>
      </c>
      <c r="R145" s="18" t="b">
        <v>1</v>
      </c>
      <c r="S145" s="40">
        <v>17</v>
      </c>
      <c r="T145" s="18" t="b">
        <v>0</v>
      </c>
      <c r="U145" s="25">
        <v>45168</v>
      </c>
      <c r="V145" s="63" t="str">
        <f>IF(MONTH(Table22[[#This Row],[Sales Date]])&lt;=3,"Q1",IF(MONTH(Table22[[#This Row],[Sales Date]])&lt;=6,"Q2",IF(MONTH(Table22[[#This Row],[Sales Date]])&lt;=9,"Q3","Q4")))</f>
        <v>Q3</v>
      </c>
      <c r="W145" s="64">
        <f>YEAR(Table22[[#This Row],[Sales Date]])</f>
        <v>2023</v>
      </c>
      <c r="X145" s="23">
        <v>32</v>
      </c>
      <c r="Y145" s="18" t="s">
        <v>41</v>
      </c>
      <c r="Z145" s="18" t="s">
        <v>24</v>
      </c>
      <c r="AA145" s="19" t="s">
        <v>36</v>
      </c>
    </row>
    <row r="146" spans="1:27" x14ac:dyDescent="0.25">
      <c r="A146" s="17" t="s">
        <v>2045</v>
      </c>
      <c r="B146" s="18" t="s">
        <v>76</v>
      </c>
      <c r="C146" s="63" t="str" cm="1">
        <f t="array" ref="C146">_xlfn.SWITCH(Table22[[#This Row],[Country]],"USA","North America","Canada","North America","Brazil","South America","China","Asia","Japan","Asia","India","Asia","France","Europe","Germany","Europe","UK","Europe","Australia","Oceania","South America")</f>
        <v>Asia</v>
      </c>
      <c r="D146" s="18" t="s">
        <v>35</v>
      </c>
      <c r="E146" s="18" t="s">
        <v>19</v>
      </c>
      <c r="F146" s="18" t="s">
        <v>34</v>
      </c>
      <c r="G146" s="18" t="s">
        <v>48</v>
      </c>
      <c r="H146" s="64">
        <f>LEN(TRIM(Table22[[#This Row],[Country]]))</f>
        <v>5</v>
      </c>
      <c r="I146" s="64">
        <f>LEN(TRIM(Table22[[#This Row],[Continent]]))</f>
        <v>4</v>
      </c>
      <c r="J146" s="64">
        <f>LEN(TRIM(Table22[[#This Row],[Product]]))</f>
        <v>6</v>
      </c>
      <c r="K146" s="64">
        <f>LEN(TRIM(Table22[[#This Row],[Sales Team]]))</f>
        <v>9</v>
      </c>
      <c r="L146" s="23">
        <v>97</v>
      </c>
      <c r="M146" s="65" t="str" cm="1">
        <f t="array" ref="M146">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46" s="29">
        <v>1009</v>
      </c>
      <c r="O146" s="29">
        <v>97873</v>
      </c>
      <c r="P146" s="43">
        <f>IF(Table22[[#This Row],[Discount Applied]],Table22[[#This Row],[Total Sales (in USD)]]*(1-Table22[[#This Row],[Discount Percentage (%)]]/100),Table22[[#This Row],[Total Sales (in USD)]])</f>
        <v>97873</v>
      </c>
      <c r="Q146" s="66">
        <f>SQRT(AVERAGE((Table22[[#This Row],[Net Sales (after discount) (in USD)]]-AVERAGE(Table22[Net Sales (after discount) (in USD)]))^2))</f>
        <v>61361.639436235462</v>
      </c>
      <c r="R146" s="18" t="b">
        <v>0</v>
      </c>
      <c r="S146" s="40">
        <v>10.26</v>
      </c>
      <c r="T146" s="18" t="b">
        <v>0</v>
      </c>
      <c r="U146" s="25">
        <v>45167</v>
      </c>
      <c r="V146" s="63" t="str">
        <f>IF(MONTH(Table22[[#This Row],[Sales Date]])&lt;=3,"Q1",IF(MONTH(Table22[[#This Row],[Sales Date]])&lt;=6,"Q2",IF(MONTH(Table22[[#This Row],[Sales Date]])&lt;=9,"Q3","Q4")))</f>
        <v>Q3</v>
      </c>
      <c r="W146" s="64">
        <f>YEAR(Table22[[#This Row],[Sales Date]])</f>
        <v>2023</v>
      </c>
      <c r="X146" s="23">
        <v>68</v>
      </c>
      <c r="Y146" s="18" t="s">
        <v>41</v>
      </c>
      <c r="Z146" s="18" t="s">
        <v>30</v>
      </c>
      <c r="AA146" s="19" t="s">
        <v>25</v>
      </c>
    </row>
    <row r="147" spans="1:27" x14ac:dyDescent="0.25">
      <c r="A147" s="17" t="s">
        <v>1083</v>
      </c>
      <c r="B147" s="18" t="s">
        <v>38</v>
      </c>
      <c r="C147" s="63" t="str" cm="1">
        <f t="array" ref="C147">_xlfn.SWITCH(Table22[[#This Row],[Country]],"USA","North America","Canada","North America","Brazil","South America","China","Asia","Japan","Asia","India","Asia","France","Europe","Germany","Europe","UK","Europe","Australia","Oceania","South America")</f>
        <v>Europe</v>
      </c>
      <c r="D147" s="18" t="s">
        <v>44</v>
      </c>
      <c r="E147" s="18" t="s">
        <v>19</v>
      </c>
      <c r="F147" s="18" t="s">
        <v>52</v>
      </c>
      <c r="G147" s="18" t="s">
        <v>48</v>
      </c>
      <c r="H147" s="64">
        <f>LEN(TRIM(Table22[[#This Row],[Country]]))</f>
        <v>6</v>
      </c>
      <c r="I147" s="64">
        <f>LEN(TRIM(Table22[[#This Row],[Continent]]))</f>
        <v>6</v>
      </c>
      <c r="J147" s="64">
        <f>LEN(TRIM(Table22[[#This Row],[Product]]))</f>
        <v>6</v>
      </c>
      <c r="K147" s="64">
        <f>LEN(TRIM(Table22[[#This Row],[Sales Team]]))</f>
        <v>9</v>
      </c>
      <c r="L147" s="23">
        <v>98</v>
      </c>
      <c r="M147" s="65" t="str" cm="1">
        <f t="array" ref="M147">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47" s="29">
        <v>996.29</v>
      </c>
      <c r="O147" s="29">
        <v>97636.42</v>
      </c>
      <c r="P147" s="43">
        <f>IF(Table22[[#This Row],[Discount Applied]],Table22[[#This Row],[Total Sales (in USD)]]*(1-Table22[[#This Row],[Discount Percentage (%)]]/100),Table22[[#This Row],[Total Sales (in USD)]])</f>
        <v>97636.42</v>
      </c>
      <c r="Q147" s="66">
        <f>SQRT(AVERAGE((Table22[[#This Row],[Net Sales (after discount) (in USD)]]-AVERAGE(Table22[Net Sales (after discount) (in USD)]))^2))</f>
        <v>61125.05943623546</v>
      </c>
      <c r="R147" s="18" t="b">
        <v>1</v>
      </c>
      <c r="S147" s="40">
        <v>9.32</v>
      </c>
      <c r="T147" s="18" t="b">
        <v>0</v>
      </c>
      <c r="U147" s="25">
        <v>45093</v>
      </c>
      <c r="V147" s="63" t="str">
        <f>IF(MONTH(Table22[[#This Row],[Sales Date]])&lt;=3,"Q1",IF(MONTH(Table22[[#This Row],[Sales Date]])&lt;=6,"Q2",IF(MONTH(Table22[[#This Row],[Sales Date]])&lt;=9,"Q3","Q4")))</f>
        <v>Q2</v>
      </c>
      <c r="W147" s="64">
        <f>YEAR(Table22[[#This Row],[Sales Date]])</f>
        <v>2023</v>
      </c>
      <c r="X147" s="23">
        <v>57</v>
      </c>
      <c r="Y147" s="18" t="s">
        <v>41</v>
      </c>
      <c r="Z147" s="18" t="s">
        <v>42</v>
      </c>
      <c r="AA147" s="19" t="s">
        <v>36</v>
      </c>
    </row>
    <row r="148" spans="1:27" x14ac:dyDescent="0.25">
      <c r="A148" s="17" t="s">
        <v>190</v>
      </c>
      <c r="B148" s="18" t="s">
        <v>62</v>
      </c>
      <c r="C148" s="63" t="str" cm="1">
        <f t="array" ref="C148">_xlfn.SWITCH(Table22[[#This Row],[Country]],"USA","North America","Canada","North America","Brazil","South America","China","Asia","Japan","Asia","India","Asia","France","Europe","Germany","Europe","UK","Europe","Australia","Oceania","South America")</f>
        <v>Oceania</v>
      </c>
      <c r="D148" s="18" t="s">
        <v>28</v>
      </c>
      <c r="E148" s="18" t="s">
        <v>19</v>
      </c>
      <c r="F148" s="18" t="s">
        <v>47</v>
      </c>
      <c r="G148" s="18" t="s">
        <v>22</v>
      </c>
      <c r="H148" s="64">
        <f>LEN(TRIM(Table22[[#This Row],[Country]]))</f>
        <v>9</v>
      </c>
      <c r="I148" s="64">
        <f>LEN(TRIM(Table22[[#This Row],[Continent]]))</f>
        <v>7</v>
      </c>
      <c r="J148" s="64">
        <f>LEN(TRIM(Table22[[#This Row],[Product]]))</f>
        <v>6</v>
      </c>
      <c r="K148" s="64">
        <f>LEN(TRIM(Table22[[#This Row],[Sales Team]]))</f>
        <v>10</v>
      </c>
      <c r="L148" s="23">
        <v>71</v>
      </c>
      <c r="M148" s="65" t="str" cm="1">
        <f t="array" ref="M148">_xlfn.IFS(Table22[[#This Row],[Units Sold]]&lt;40,"Critical",Table22[[#This Row],[Units Sold]]&lt;=50,"Poor",Table22[[#This Row],[Units Sold]]&lt;=60,"Low",Table22[[#This Row],[Units Sold]]&lt;=80,"Average",Table22[[#This Row],[Units Sold]]&lt;=90,"High",Table22[[#This Row],[Units Sold]]&lt;=95,"Excellent",Table22[[#This Row],[Units Sold]]&gt;95,"Outstanding")</f>
        <v>Average</v>
      </c>
      <c r="N148" s="29">
        <v>1374.96</v>
      </c>
      <c r="O148" s="29">
        <v>97622.16</v>
      </c>
      <c r="P148" s="43">
        <f>IF(Table22[[#This Row],[Discount Applied]],Table22[[#This Row],[Total Sales (in USD)]]*(1-Table22[[#This Row],[Discount Percentage (%)]]/100),Table22[[#This Row],[Total Sales (in USD)]])</f>
        <v>91042.426416000002</v>
      </c>
      <c r="Q148" s="66">
        <f>SQRT(AVERAGE((Table22[[#This Row],[Net Sales (after discount) (in USD)]]-AVERAGE(Table22[Net Sales (after discount) (in USD)]))^2))</f>
        <v>54531.065852235464</v>
      </c>
      <c r="R148" s="18" t="b">
        <v>0</v>
      </c>
      <c r="S148" s="40">
        <v>6.74</v>
      </c>
      <c r="T148" s="18" t="b">
        <v>1</v>
      </c>
      <c r="U148" s="25">
        <v>45454</v>
      </c>
      <c r="V148" s="63" t="str">
        <f>IF(MONTH(Table22[[#This Row],[Sales Date]])&lt;=3,"Q1",IF(MONTH(Table22[[#This Row],[Sales Date]])&lt;=6,"Q2",IF(MONTH(Table22[[#This Row],[Sales Date]])&lt;=9,"Q3","Q4")))</f>
        <v>Q2</v>
      </c>
      <c r="W148" s="64">
        <f>YEAR(Table22[[#This Row],[Sales Date]])</f>
        <v>2024</v>
      </c>
      <c r="X148" s="23">
        <v>48</v>
      </c>
      <c r="Y148" s="18" t="s">
        <v>41</v>
      </c>
      <c r="Z148" s="18" t="s">
        <v>56</v>
      </c>
      <c r="AA148" s="19" t="s">
        <v>25</v>
      </c>
    </row>
    <row r="149" spans="1:27" x14ac:dyDescent="0.25">
      <c r="A149" s="17" t="s">
        <v>75</v>
      </c>
      <c r="B149" s="18" t="s">
        <v>76</v>
      </c>
      <c r="C149" s="63" t="str" cm="1">
        <f t="array" ref="C149">_xlfn.SWITCH(Table22[[#This Row],[Country]],"USA","North America","Canada","North America","Brazil","South America","China","Asia","Japan","Asia","India","Asia","France","Europe","Germany","Europe","UK","Europe","Australia","Oceania","South America")</f>
        <v>Asia</v>
      </c>
      <c r="D149" s="18" t="s">
        <v>35</v>
      </c>
      <c r="E149" s="18" t="s">
        <v>39</v>
      </c>
      <c r="F149" s="18" t="s">
        <v>20</v>
      </c>
      <c r="G149" s="18" t="s">
        <v>40</v>
      </c>
      <c r="H149" s="64">
        <f>LEN(TRIM(Table22[[#This Row],[Country]]))</f>
        <v>5</v>
      </c>
      <c r="I149" s="64">
        <f>LEN(TRIM(Table22[[#This Row],[Continent]]))</f>
        <v>4</v>
      </c>
      <c r="J149" s="64">
        <f>LEN(TRIM(Table22[[#This Row],[Product]]))</f>
        <v>10</v>
      </c>
      <c r="K149" s="64">
        <f>LEN(TRIM(Table22[[#This Row],[Sales Team]]))</f>
        <v>10</v>
      </c>
      <c r="L149" s="23">
        <v>88</v>
      </c>
      <c r="M149" s="65" t="str" cm="1">
        <f t="array" ref="M149">_xlfn.IFS(Table22[[#This Row],[Units Sold]]&lt;40,"Critical",Table22[[#This Row],[Units Sold]]&lt;=50,"Poor",Table22[[#This Row],[Units Sold]]&lt;=60,"Low",Table22[[#This Row],[Units Sold]]&lt;=80,"Average",Table22[[#This Row],[Units Sold]]&lt;=90,"High",Table22[[#This Row],[Units Sold]]&lt;=95,"Excellent",Table22[[#This Row],[Units Sold]]&gt;95,"Outstanding")</f>
        <v>High</v>
      </c>
      <c r="N149" s="29">
        <v>1108.49</v>
      </c>
      <c r="O149" s="29">
        <v>97547.12</v>
      </c>
      <c r="P149" s="43">
        <f>IF(Table22[[#This Row],[Discount Applied]],Table22[[#This Row],[Total Sales (in USD)]]*(1-Table22[[#This Row],[Discount Percentage (%)]]/100),Table22[[#This Row],[Total Sales (in USD)]])</f>
        <v>97547.12</v>
      </c>
      <c r="Q149" s="66">
        <f>SQRT(AVERAGE((Table22[[#This Row],[Net Sales (after discount) (in USD)]]-AVERAGE(Table22[Net Sales (after discount) (in USD)]))^2))</f>
        <v>61035.759436235458</v>
      </c>
      <c r="R149" s="18" t="b">
        <v>1</v>
      </c>
      <c r="S149" s="40">
        <v>16.09</v>
      </c>
      <c r="T149" s="18" t="b">
        <v>0</v>
      </c>
      <c r="U149" s="25">
        <v>45326</v>
      </c>
      <c r="V149" s="63" t="str">
        <f>IF(MONTH(Table22[[#This Row],[Sales Date]])&lt;=3,"Q1",IF(MONTH(Table22[[#This Row],[Sales Date]])&lt;=6,"Q2",IF(MONTH(Table22[[#This Row],[Sales Date]])&lt;=9,"Q3","Q4")))</f>
        <v>Q1</v>
      </c>
      <c r="W149" s="64">
        <f>YEAR(Table22[[#This Row],[Sales Date]])</f>
        <v>2024</v>
      </c>
      <c r="X149" s="23">
        <v>19</v>
      </c>
      <c r="Y149" s="18" t="s">
        <v>49</v>
      </c>
      <c r="Z149" s="18" t="s">
        <v>42</v>
      </c>
      <c r="AA149" s="19" t="s">
        <v>25</v>
      </c>
    </row>
    <row r="150" spans="1:27" x14ac:dyDescent="0.25">
      <c r="A150" s="17" t="s">
        <v>1103</v>
      </c>
      <c r="B150" s="18" t="s">
        <v>51</v>
      </c>
      <c r="C150" s="63" t="str" cm="1">
        <f t="array" ref="C150">_xlfn.SWITCH(Table22[[#This Row],[Country]],"USA","North America","Canada","North America","Brazil","South America","China","Asia","Japan","Asia","India","Asia","France","Europe","Germany","Europe","UK","Europe","Australia","Oceania","South America")</f>
        <v>Europe</v>
      </c>
      <c r="D150" s="18" t="s">
        <v>44</v>
      </c>
      <c r="E150" s="18" t="s">
        <v>39</v>
      </c>
      <c r="F150" s="18" t="s">
        <v>52</v>
      </c>
      <c r="G150" s="18" t="s">
        <v>29</v>
      </c>
      <c r="H150" s="64">
        <f>LEN(TRIM(Table22[[#This Row],[Country]]))</f>
        <v>2</v>
      </c>
      <c r="I150" s="64">
        <f>LEN(TRIM(Table22[[#This Row],[Continent]]))</f>
        <v>6</v>
      </c>
      <c r="J150" s="64">
        <f>LEN(TRIM(Table22[[#This Row],[Product]]))</f>
        <v>10</v>
      </c>
      <c r="K150" s="64">
        <f>LEN(TRIM(Table22[[#This Row],[Sales Team]]))</f>
        <v>10</v>
      </c>
      <c r="L150" s="23">
        <v>92</v>
      </c>
      <c r="M150" s="65" t="str" cm="1">
        <f t="array" ref="M150">_xlfn.IFS(Table22[[#This Row],[Units Sold]]&lt;40,"Critical",Table22[[#This Row],[Units Sold]]&lt;=50,"Poor",Table22[[#This Row],[Units Sold]]&lt;=60,"Low",Table22[[#This Row],[Units Sold]]&lt;=80,"Average",Table22[[#This Row],[Units Sold]]&lt;=90,"High",Table22[[#This Row],[Units Sold]]&lt;=95,"Excellent",Table22[[#This Row],[Units Sold]]&gt;95,"Outstanding")</f>
        <v>Excellent</v>
      </c>
      <c r="N150" s="29">
        <v>1053.18</v>
      </c>
      <c r="O150" s="29">
        <v>96892.56</v>
      </c>
      <c r="P150" s="43">
        <f>IF(Table22[[#This Row],[Discount Applied]],Table22[[#This Row],[Total Sales (in USD)]]*(1-Table22[[#This Row],[Discount Percentage (%)]]/100),Table22[[#This Row],[Total Sales (in USD)]])</f>
        <v>76089.727367999993</v>
      </c>
      <c r="Q150" s="66">
        <f>SQRT(AVERAGE((Table22[[#This Row],[Net Sales (after discount) (in USD)]]-AVERAGE(Table22[Net Sales (after discount) (in USD)]))^2))</f>
        <v>39578.366804235455</v>
      </c>
      <c r="R150" s="18" t="b">
        <v>0</v>
      </c>
      <c r="S150" s="40">
        <v>21.47</v>
      </c>
      <c r="T150" s="18" t="b">
        <v>1</v>
      </c>
      <c r="U150" s="25">
        <v>45175</v>
      </c>
      <c r="V150" s="63" t="str">
        <f>IF(MONTH(Table22[[#This Row],[Sales Date]])&lt;=3,"Q1",IF(MONTH(Table22[[#This Row],[Sales Date]])&lt;=6,"Q2",IF(MONTH(Table22[[#This Row],[Sales Date]])&lt;=9,"Q3","Q4")))</f>
        <v>Q3</v>
      </c>
      <c r="W150" s="64">
        <f>YEAR(Table22[[#This Row],[Sales Date]])</f>
        <v>2023</v>
      </c>
      <c r="X150" s="23">
        <v>26</v>
      </c>
      <c r="Y150" s="18" t="s">
        <v>49</v>
      </c>
      <c r="Z150" s="18" t="s">
        <v>56</v>
      </c>
      <c r="AA150" s="19" t="s">
        <v>36</v>
      </c>
    </row>
    <row r="151" spans="1:27" x14ac:dyDescent="0.25">
      <c r="A151" s="17" t="s">
        <v>639</v>
      </c>
      <c r="B151" s="18" t="s">
        <v>38</v>
      </c>
      <c r="C151" s="63" t="str" cm="1">
        <f t="array" ref="C151">_xlfn.SWITCH(Table22[[#This Row],[Country]],"USA","North America","Canada","North America","Brazil","South America","China","Asia","Japan","Asia","India","Asia","France","Europe","Germany","Europe","UK","Europe","Australia","Oceania","South America")</f>
        <v>Europe</v>
      </c>
      <c r="D151" s="18" t="s">
        <v>44</v>
      </c>
      <c r="E151" s="18" t="s">
        <v>39</v>
      </c>
      <c r="F151" s="18" t="s">
        <v>47</v>
      </c>
      <c r="G151" s="18" t="s">
        <v>40</v>
      </c>
      <c r="H151" s="64">
        <f>LEN(TRIM(Table22[[#This Row],[Country]]))</f>
        <v>6</v>
      </c>
      <c r="I151" s="64">
        <f>LEN(TRIM(Table22[[#This Row],[Continent]]))</f>
        <v>6</v>
      </c>
      <c r="J151" s="64">
        <f>LEN(TRIM(Table22[[#This Row],[Product]]))</f>
        <v>10</v>
      </c>
      <c r="K151" s="64">
        <f>LEN(TRIM(Table22[[#This Row],[Sales Team]]))</f>
        <v>10</v>
      </c>
      <c r="L151" s="23">
        <v>77</v>
      </c>
      <c r="M151" s="65" t="str" cm="1">
        <f t="array" ref="M151">_xlfn.IFS(Table22[[#This Row],[Units Sold]]&lt;40,"Critical",Table22[[#This Row],[Units Sold]]&lt;=50,"Poor",Table22[[#This Row],[Units Sold]]&lt;=60,"Low",Table22[[#This Row],[Units Sold]]&lt;=80,"Average",Table22[[#This Row],[Units Sold]]&lt;=90,"High",Table22[[#This Row],[Units Sold]]&lt;=95,"Excellent",Table22[[#This Row],[Units Sold]]&gt;95,"Outstanding")</f>
        <v>Average</v>
      </c>
      <c r="N151" s="29">
        <v>1257.1199999999999</v>
      </c>
      <c r="O151" s="29">
        <v>96798.24</v>
      </c>
      <c r="P151" s="43">
        <f>IF(Table22[[#This Row],[Discount Applied]],Table22[[#This Row],[Total Sales (in USD)]]*(1-Table22[[#This Row],[Discount Percentage (%)]]/100),Table22[[#This Row],[Total Sales (in USD)]])</f>
        <v>70536.877487999998</v>
      </c>
      <c r="Q151" s="66">
        <f>SQRT(AVERAGE((Table22[[#This Row],[Net Sales (after discount) (in USD)]]-AVERAGE(Table22[Net Sales (after discount) (in USD)]))^2))</f>
        <v>34025.51692423546</v>
      </c>
      <c r="R151" s="18" t="b">
        <v>0</v>
      </c>
      <c r="S151" s="40">
        <v>27.13</v>
      </c>
      <c r="T151" s="18" t="b">
        <v>1</v>
      </c>
      <c r="U151" s="25">
        <v>45166</v>
      </c>
      <c r="V151" s="63" t="str">
        <f>IF(MONTH(Table22[[#This Row],[Sales Date]])&lt;=3,"Q1",IF(MONTH(Table22[[#This Row],[Sales Date]])&lt;=6,"Q2",IF(MONTH(Table22[[#This Row],[Sales Date]])&lt;=9,"Q3","Q4")))</f>
        <v>Q3</v>
      </c>
      <c r="W151" s="64">
        <f>YEAR(Table22[[#This Row],[Sales Date]])</f>
        <v>2023</v>
      </c>
      <c r="X151" s="23">
        <v>36</v>
      </c>
      <c r="Y151" s="18" t="s">
        <v>23</v>
      </c>
      <c r="Z151" s="18" t="s">
        <v>56</v>
      </c>
      <c r="AA151" s="19" t="s">
        <v>25</v>
      </c>
    </row>
    <row r="152" spans="1:27" x14ac:dyDescent="0.25">
      <c r="A152" s="17" t="s">
        <v>419</v>
      </c>
      <c r="B152" s="18" t="s">
        <v>38</v>
      </c>
      <c r="C152" s="63" t="str" cm="1">
        <f t="array" ref="C152">_xlfn.SWITCH(Table22[[#This Row],[Country]],"USA","North America","Canada","North America","Brazil","South America","China","Asia","Japan","Asia","India","Asia","France","Europe","Germany","Europe","UK","Europe","Australia","Oceania","South America")</f>
        <v>Europe</v>
      </c>
      <c r="D152" s="18" t="s">
        <v>21</v>
      </c>
      <c r="E152" s="18" t="s">
        <v>39</v>
      </c>
      <c r="F152" s="18" t="s">
        <v>47</v>
      </c>
      <c r="G152" s="18" t="s">
        <v>48</v>
      </c>
      <c r="H152" s="64">
        <f>LEN(TRIM(Table22[[#This Row],[Country]]))</f>
        <v>6</v>
      </c>
      <c r="I152" s="64">
        <f>LEN(TRIM(Table22[[#This Row],[Continent]]))</f>
        <v>6</v>
      </c>
      <c r="J152" s="64">
        <f>LEN(TRIM(Table22[[#This Row],[Product]]))</f>
        <v>10</v>
      </c>
      <c r="K152" s="64">
        <f>LEN(TRIM(Table22[[#This Row],[Sales Team]]))</f>
        <v>9</v>
      </c>
      <c r="L152" s="23">
        <v>65</v>
      </c>
      <c r="M152" s="65" t="str" cm="1">
        <f t="array" ref="M152">_xlfn.IFS(Table22[[#This Row],[Units Sold]]&lt;40,"Critical",Table22[[#This Row],[Units Sold]]&lt;=50,"Poor",Table22[[#This Row],[Units Sold]]&lt;=60,"Low",Table22[[#This Row],[Units Sold]]&lt;=80,"Average",Table22[[#This Row],[Units Sold]]&lt;=90,"High",Table22[[#This Row],[Units Sold]]&lt;=95,"Excellent",Table22[[#This Row],[Units Sold]]&gt;95,"Outstanding")</f>
        <v>Average</v>
      </c>
      <c r="N152" s="29">
        <v>1486.93</v>
      </c>
      <c r="O152" s="29">
        <v>96650.45</v>
      </c>
      <c r="P152" s="43">
        <f>IF(Table22[[#This Row],[Discount Applied]],Table22[[#This Row],[Total Sales (in USD)]]*(1-Table22[[#This Row],[Discount Percentage (%)]]/100),Table22[[#This Row],[Total Sales (in USD)]])</f>
        <v>71231.381649999996</v>
      </c>
      <c r="Q152" s="66">
        <f>SQRT(AVERAGE((Table22[[#This Row],[Net Sales (after discount) (in USD)]]-AVERAGE(Table22[Net Sales (after discount) (in USD)]))^2))</f>
        <v>34720.021086235458</v>
      </c>
      <c r="R152" s="18" t="b">
        <v>0</v>
      </c>
      <c r="S152" s="40">
        <v>26.3</v>
      </c>
      <c r="T152" s="18" t="b">
        <v>1</v>
      </c>
      <c r="U152" s="25">
        <v>45505</v>
      </c>
      <c r="V152" s="63" t="str">
        <f>IF(MONTH(Table22[[#This Row],[Sales Date]])&lt;=3,"Q1",IF(MONTH(Table22[[#This Row],[Sales Date]])&lt;=6,"Q2",IF(MONTH(Table22[[#This Row],[Sales Date]])&lt;=9,"Q3","Q4")))</f>
        <v>Q3</v>
      </c>
      <c r="W152" s="64">
        <f>YEAR(Table22[[#This Row],[Sales Date]])</f>
        <v>2024</v>
      </c>
      <c r="X152" s="23">
        <v>44</v>
      </c>
      <c r="Y152" s="18" t="s">
        <v>49</v>
      </c>
      <c r="Z152" s="18" t="s">
        <v>56</v>
      </c>
      <c r="AA152" s="19" t="s">
        <v>36</v>
      </c>
    </row>
    <row r="153" spans="1:27" x14ac:dyDescent="0.25">
      <c r="A153" s="17" t="s">
        <v>403</v>
      </c>
      <c r="B153" s="18" t="s">
        <v>62</v>
      </c>
      <c r="C153" s="63" t="str" cm="1">
        <f t="array" ref="C153">_xlfn.SWITCH(Table22[[#This Row],[Country]],"USA","North America","Canada","North America","Brazil","South America","China","Asia","Japan","Asia","India","Asia","France","Europe","Germany","Europe","UK","Europe","Australia","Oceania","South America")</f>
        <v>Oceania</v>
      </c>
      <c r="D153" s="18" t="s">
        <v>28</v>
      </c>
      <c r="E153" s="18" t="s">
        <v>33</v>
      </c>
      <c r="F153" s="18" t="s">
        <v>20</v>
      </c>
      <c r="G153" s="18" t="s">
        <v>48</v>
      </c>
      <c r="H153" s="64">
        <f>LEN(TRIM(Table22[[#This Row],[Country]]))</f>
        <v>9</v>
      </c>
      <c r="I153" s="64">
        <f>LEN(TRIM(Table22[[#This Row],[Continent]]))</f>
        <v>7</v>
      </c>
      <c r="J153" s="64">
        <f>LEN(TRIM(Table22[[#This Row],[Product]]))</f>
        <v>10</v>
      </c>
      <c r="K153" s="64">
        <f>LEN(TRIM(Table22[[#This Row],[Sales Team]]))</f>
        <v>9</v>
      </c>
      <c r="L153" s="23">
        <v>65</v>
      </c>
      <c r="M153" s="65" t="str" cm="1">
        <f t="array" ref="M153">_xlfn.IFS(Table22[[#This Row],[Units Sold]]&lt;40,"Critical",Table22[[#This Row],[Units Sold]]&lt;=50,"Poor",Table22[[#This Row],[Units Sold]]&lt;=60,"Low",Table22[[#This Row],[Units Sold]]&lt;=80,"Average",Table22[[#This Row],[Units Sold]]&lt;=90,"High",Table22[[#This Row],[Units Sold]]&lt;=95,"Excellent",Table22[[#This Row],[Units Sold]]&gt;95,"Outstanding")</f>
        <v>Average</v>
      </c>
      <c r="N153" s="29">
        <v>1480.71</v>
      </c>
      <c r="O153" s="29">
        <v>96246.15</v>
      </c>
      <c r="P153" s="43">
        <f>IF(Table22[[#This Row],[Discount Applied]],Table22[[#This Row],[Total Sales (in USD)]]*(1-Table22[[#This Row],[Discount Percentage (%)]]/100),Table22[[#This Row],[Total Sales (in USD)]])</f>
        <v>96246.15</v>
      </c>
      <c r="Q153" s="66">
        <f>SQRT(AVERAGE((Table22[[#This Row],[Net Sales (after discount) (in USD)]]-AVERAGE(Table22[Net Sales (after discount) (in USD)]))^2))</f>
        <v>59734.789436235456</v>
      </c>
      <c r="R153" s="18" t="b">
        <v>1</v>
      </c>
      <c r="S153" s="40">
        <v>14.41</v>
      </c>
      <c r="T153" s="18" t="b">
        <v>0</v>
      </c>
      <c r="U153" s="25">
        <v>45000</v>
      </c>
      <c r="V153" s="63" t="str">
        <f>IF(MONTH(Table22[[#This Row],[Sales Date]])&lt;=3,"Q1",IF(MONTH(Table22[[#This Row],[Sales Date]])&lt;=6,"Q2",IF(MONTH(Table22[[#This Row],[Sales Date]])&lt;=9,"Q3","Q4")))</f>
        <v>Q1</v>
      </c>
      <c r="W153" s="64">
        <f>YEAR(Table22[[#This Row],[Sales Date]])</f>
        <v>2023</v>
      </c>
      <c r="X153" s="23">
        <v>22</v>
      </c>
      <c r="Y153" s="18" t="s">
        <v>41</v>
      </c>
      <c r="Z153" s="18" t="s">
        <v>30</v>
      </c>
      <c r="AA153" s="19" t="s">
        <v>25</v>
      </c>
    </row>
    <row r="154" spans="1:27" x14ac:dyDescent="0.25">
      <c r="A154" s="17" t="s">
        <v>1650</v>
      </c>
      <c r="B154" s="18" t="s">
        <v>32</v>
      </c>
      <c r="C154" s="63" t="str" cm="1">
        <f t="array" ref="C154">_xlfn.SWITCH(Table22[[#This Row],[Country]],"USA","North America","Canada","North America","Brazil","South America","China","Asia","Japan","Asia","India","Asia","France","Europe","Germany","Europe","UK","Europe","Australia","Oceania","South America")</f>
        <v>Asia</v>
      </c>
      <c r="D154" s="18" t="s">
        <v>28</v>
      </c>
      <c r="E154" s="18" t="s">
        <v>39</v>
      </c>
      <c r="F154" s="18" t="s">
        <v>47</v>
      </c>
      <c r="G154" s="18" t="s">
        <v>29</v>
      </c>
      <c r="H154" s="64">
        <f>LEN(TRIM(Table22[[#This Row],[Country]]))</f>
        <v>5</v>
      </c>
      <c r="I154" s="64">
        <f>LEN(TRIM(Table22[[#This Row],[Continent]]))</f>
        <v>4</v>
      </c>
      <c r="J154" s="64">
        <f>LEN(TRIM(Table22[[#This Row],[Product]]))</f>
        <v>10</v>
      </c>
      <c r="K154" s="64">
        <f>LEN(TRIM(Table22[[#This Row],[Sales Team]]))</f>
        <v>10</v>
      </c>
      <c r="L154" s="23">
        <v>98</v>
      </c>
      <c r="M154" s="65" t="str" cm="1">
        <f t="array" ref="M154">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54" s="29">
        <v>980.02</v>
      </c>
      <c r="O154" s="29">
        <v>96041.96</v>
      </c>
      <c r="P154" s="43">
        <f>IF(Table22[[#This Row],[Discount Applied]],Table22[[#This Row],[Total Sales (in USD)]]*(1-Table22[[#This Row],[Discount Percentage (%)]]/100),Table22[[#This Row],[Total Sales (in USD)]])</f>
        <v>79388.284136000002</v>
      </c>
      <c r="Q154" s="66">
        <f>SQRT(AVERAGE((Table22[[#This Row],[Net Sales (after discount) (in USD)]]-AVERAGE(Table22[Net Sales (after discount) (in USD)]))^2))</f>
        <v>42876.923572235464</v>
      </c>
      <c r="R154" s="18" t="b">
        <v>0</v>
      </c>
      <c r="S154" s="40">
        <v>17.34</v>
      </c>
      <c r="T154" s="18" t="b">
        <v>1</v>
      </c>
      <c r="U154" s="25">
        <v>45424</v>
      </c>
      <c r="V154" s="63" t="str">
        <f>IF(MONTH(Table22[[#This Row],[Sales Date]])&lt;=3,"Q1",IF(MONTH(Table22[[#This Row],[Sales Date]])&lt;=6,"Q2",IF(MONTH(Table22[[#This Row],[Sales Date]])&lt;=9,"Q3","Q4")))</f>
        <v>Q2</v>
      </c>
      <c r="W154" s="64">
        <f>YEAR(Table22[[#This Row],[Sales Date]])</f>
        <v>2024</v>
      </c>
      <c r="X154" s="23">
        <v>59</v>
      </c>
      <c r="Y154" s="18" t="s">
        <v>41</v>
      </c>
      <c r="Z154" s="18" t="s">
        <v>56</v>
      </c>
      <c r="AA154" s="19" t="s">
        <v>36</v>
      </c>
    </row>
    <row r="155" spans="1:27" x14ac:dyDescent="0.25">
      <c r="A155" s="17" t="s">
        <v>1111</v>
      </c>
      <c r="B155" s="18" t="s">
        <v>32</v>
      </c>
      <c r="C155" s="63" t="str" cm="1">
        <f t="array" ref="C155">_xlfn.SWITCH(Table22[[#This Row],[Country]],"USA","North America","Canada","North America","Brazil","South America","China","Asia","Japan","Asia","India","Asia","France","Europe","Germany","Europe","UK","Europe","Australia","Oceania","South America")</f>
        <v>Asia</v>
      </c>
      <c r="D155" s="18" t="s">
        <v>28</v>
      </c>
      <c r="E155" s="18" t="s">
        <v>19</v>
      </c>
      <c r="F155" s="18" t="s">
        <v>34</v>
      </c>
      <c r="G155" s="18" t="s">
        <v>40</v>
      </c>
      <c r="H155" s="64">
        <f>LEN(TRIM(Table22[[#This Row],[Country]]))</f>
        <v>5</v>
      </c>
      <c r="I155" s="64">
        <f>LEN(TRIM(Table22[[#This Row],[Continent]]))</f>
        <v>4</v>
      </c>
      <c r="J155" s="64">
        <f>LEN(TRIM(Table22[[#This Row],[Product]]))</f>
        <v>6</v>
      </c>
      <c r="K155" s="64">
        <f>LEN(TRIM(Table22[[#This Row],[Sales Team]]))</f>
        <v>10</v>
      </c>
      <c r="L155" s="23">
        <v>80</v>
      </c>
      <c r="M155" s="65" t="str" cm="1">
        <f t="array" ref="M155">_xlfn.IFS(Table22[[#This Row],[Units Sold]]&lt;40,"Critical",Table22[[#This Row],[Units Sold]]&lt;=50,"Poor",Table22[[#This Row],[Units Sold]]&lt;=60,"Low",Table22[[#This Row],[Units Sold]]&lt;=80,"Average",Table22[[#This Row],[Units Sold]]&lt;=90,"High",Table22[[#This Row],[Units Sold]]&lt;=95,"Excellent",Table22[[#This Row],[Units Sold]]&gt;95,"Outstanding")</f>
        <v>Average</v>
      </c>
      <c r="N155" s="29">
        <v>1200.48</v>
      </c>
      <c r="O155" s="29">
        <v>96038.399999999994</v>
      </c>
      <c r="P155" s="43">
        <f>IF(Table22[[#This Row],[Discount Applied]],Table22[[#This Row],[Total Sales (in USD)]]*(1-Table22[[#This Row],[Discount Percentage (%)]]/100),Table22[[#This Row],[Total Sales (in USD)]])</f>
        <v>77858.330879999994</v>
      </c>
      <c r="Q155" s="66">
        <f>SQRT(AVERAGE((Table22[[#This Row],[Net Sales (after discount) (in USD)]]-AVERAGE(Table22[Net Sales (after discount) (in USD)]))^2))</f>
        <v>41346.970316235456</v>
      </c>
      <c r="R155" s="18" t="b">
        <v>0</v>
      </c>
      <c r="S155" s="40">
        <v>18.93</v>
      </c>
      <c r="T155" s="18" t="b">
        <v>1</v>
      </c>
      <c r="U155" s="25">
        <v>45247</v>
      </c>
      <c r="V155" s="63" t="str">
        <f>IF(MONTH(Table22[[#This Row],[Sales Date]])&lt;=3,"Q1",IF(MONTH(Table22[[#This Row],[Sales Date]])&lt;=6,"Q2",IF(MONTH(Table22[[#This Row],[Sales Date]])&lt;=9,"Q3","Q4")))</f>
        <v>Q4</v>
      </c>
      <c r="W155" s="64">
        <f>YEAR(Table22[[#This Row],[Sales Date]])</f>
        <v>2023</v>
      </c>
      <c r="X155" s="23">
        <v>35</v>
      </c>
      <c r="Y155" s="18" t="s">
        <v>41</v>
      </c>
      <c r="Z155" s="18" t="s">
        <v>30</v>
      </c>
      <c r="AA155" s="19" t="s">
        <v>36</v>
      </c>
    </row>
    <row r="156" spans="1:27" x14ac:dyDescent="0.25">
      <c r="A156" s="17" t="s">
        <v>663</v>
      </c>
      <c r="B156" s="18" t="s">
        <v>32</v>
      </c>
      <c r="C156" s="63" t="str" cm="1">
        <f t="array" ref="C156">_xlfn.SWITCH(Table22[[#This Row],[Country]],"USA","North America","Canada","North America","Brazil","South America","China","Asia","Japan","Asia","India","Asia","France","Europe","Germany","Europe","UK","Europe","Australia","Oceania","South America")</f>
        <v>Asia</v>
      </c>
      <c r="D156" s="18" t="s">
        <v>35</v>
      </c>
      <c r="E156" s="18" t="s">
        <v>33</v>
      </c>
      <c r="F156" s="18" t="s">
        <v>52</v>
      </c>
      <c r="G156" s="18" t="s">
        <v>40</v>
      </c>
      <c r="H156" s="64">
        <f>LEN(TRIM(Table22[[#This Row],[Country]]))</f>
        <v>5</v>
      </c>
      <c r="I156" s="64">
        <f>LEN(TRIM(Table22[[#This Row],[Continent]]))</f>
        <v>4</v>
      </c>
      <c r="J156" s="64">
        <f>LEN(TRIM(Table22[[#This Row],[Product]]))</f>
        <v>10</v>
      </c>
      <c r="K156" s="64">
        <f>LEN(TRIM(Table22[[#This Row],[Sales Team]]))</f>
        <v>10</v>
      </c>
      <c r="L156" s="23">
        <v>73</v>
      </c>
      <c r="M156" s="65" t="str" cm="1">
        <f t="array" ref="M156">_xlfn.IFS(Table22[[#This Row],[Units Sold]]&lt;40,"Critical",Table22[[#This Row],[Units Sold]]&lt;=50,"Poor",Table22[[#This Row],[Units Sold]]&lt;=60,"Low",Table22[[#This Row],[Units Sold]]&lt;=80,"Average",Table22[[#This Row],[Units Sold]]&lt;=90,"High",Table22[[#This Row],[Units Sold]]&lt;=95,"Excellent",Table22[[#This Row],[Units Sold]]&gt;95,"Outstanding")</f>
        <v>Average</v>
      </c>
      <c r="N156" s="29">
        <v>1313.69</v>
      </c>
      <c r="O156" s="29">
        <v>95899.37</v>
      </c>
      <c r="P156" s="43">
        <f>IF(Table22[[#This Row],[Discount Applied]],Table22[[#This Row],[Total Sales (in USD)]]*(1-Table22[[#This Row],[Discount Percentage (%)]]/100),Table22[[#This Row],[Total Sales (in USD)]])</f>
        <v>95899.37</v>
      </c>
      <c r="Q156" s="66">
        <f>SQRT(AVERAGE((Table22[[#This Row],[Net Sales (after discount) (in USD)]]-AVERAGE(Table22[Net Sales (after discount) (in USD)]))^2))</f>
        <v>59388.009436235458</v>
      </c>
      <c r="R156" s="18" t="b">
        <v>1</v>
      </c>
      <c r="S156" s="40">
        <v>22.63</v>
      </c>
      <c r="T156" s="18" t="b">
        <v>0</v>
      </c>
      <c r="U156" s="25">
        <v>45146</v>
      </c>
      <c r="V156" s="63" t="str">
        <f>IF(MONTH(Table22[[#This Row],[Sales Date]])&lt;=3,"Q1",IF(MONTH(Table22[[#This Row],[Sales Date]])&lt;=6,"Q2",IF(MONTH(Table22[[#This Row],[Sales Date]])&lt;=9,"Q3","Q4")))</f>
        <v>Q3</v>
      </c>
      <c r="W156" s="64">
        <f>YEAR(Table22[[#This Row],[Sales Date]])</f>
        <v>2023</v>
      </c>
      <c r="X156" s="23">
        <v>50</v>
      </c>
      <c r="Y156" s="18" t="s">
        <v>49</v>
      </c>
      <c r="Z156" s="18" t="s">
        <v>42</v>
      </c>
      <c r="AA156" s="19" t="s">
        <v>25</v>
      </c>
    </row>
    <row r="157" spans="1:27" x14ac:dyDescent="0.25">
      <c r="A157" s="17" t="s">
        <v>1844</v>
      </c>
      <c r="B157" s="18" t="s">
        <v>66</v>
      </c>
      <c r="C157" s="63" t="str" cm="1">
        <f t="array" ref="C157">_xlfn.SWITCH(Table22[[#This Row],[Country]],"USA","North America","Canada","North America","Brazil","South America","China","Asia","Japan","Asia","India","Asia","France","Europe","Germany","Europe","UK","Europe","Australia","Oceania","South America")</f>
        <v>North America</v>
      </c>
      <c r="D157" s="18" t="s">
        <v>28</v>
      </c>
      <c r="E157" s="18" t="s">
        <v>33</v>
      </c>
      <c r="F157" s="18" t="s">
        <v>64</v>
      </c>
      <c r="G157" s="18" t="s">
        <v>48</v>
      </c>
      <c r="H157" s="64">
        <f>LEN(TRIM(Table22[[#This Row],[Country]]))</f>
        <v>6</v>
      </c>
      <c r="I157" s="64">
        <f>LEN(TRIM(Table22[[#This Row],[Continent]]))</f>
        <v>13</v>
      </c>
      <c r="J157" s="64">
        <f>LEN(TRIM(Table22[[#This Row],[Product]]))</f>
        <v>10</v>
      </c>
      <c r="K157" s="64">
        <f>LEN(TRIM(Table22[[#This Row],[Sales Team]]))</f>
        <v>9</v>
      </c>
      <c r="L157" s="23">
        <v>74</v>
      </c>
      <c r="M157" s="65" t="str" cm="1">
        <f t="array" ref="M157">_xlfn.IFS(Table22[[#This Row],[Units Sold]]&lt;40,"Critical",Table22[[#This Row],[Units Sold]]&lt;=50,"Poor",Table22[[#This Row],[Units Sold]]&lt;=60,"Low",Table22[[#This Row],[Units Sold]]&lt;=80,"Average",Table22[[#This Row],[Units Sold]]&lt;=90,"High",Table22[[#This Row],[Units Sold]]&lt;=95,"Excellent",Table22[[#This Row],[Units Sold]]&gt;95,"Outstanding")</f>
        <v>Average</v>
      </c>
      <c r="N157" s="29">
        <v>1295.82</v>
      </c>
      <c r="O157" s="29">
        <v>95890.68</v>
      </c>
      <c r="P157" s="43">
        <f>IF(Table22[[#This Row],[Discount Applied]],Table22[[#This Row],[Total Sales (in USD)]]*(1-Table22[[#This Row],[Discount Percentage (%)]]/100),Table22[[#This Row],[Total Sales (in USD)]])</f>
        <v>81344.063844000004</v>
      </c>
      <c r="Q157" s="66">
        <f>SQRT(AVERAGE((Table22[[#This Row],[Net Sales (after discount) (in USD)]]-AVERAGE(Table22[Net Sales (after discount) (in USD)]))^2))</f>
        <v>44832.703280235466</v>
      </c>
      <c r="R157" s="18" t="b">
        <v>1</v>
      </c>
      <c r="S157" s="40">
        <v>15.17</v>
      </c>
      <c r="T157" s="18" t="b">
        <v>1</v>
      </c>
      <c r="U157" s="25">
        <v>45589</v>
      </c>
      <c r="V157" s="63" t="str">
        <f>IF(MONTH(Table22[[#This Row],[Sales Date]])&lt;=3,"Q1",IF(MONTH(Table22[[#This Row],[Sales Date]])&lt;=6,"Q2",IF(MONTH(Table22[[#This Row],[Sales Date]])&lt;=9,"Q3","Q4")))</f>
        <v>Q4</v>
      </c>
      <c r="W157" s="64">
        <f>YEAR(Table22[[#This Row],[Sales Date]])</f>
        <v>2024</v>
      </c>
      <c r="X157" s="23">
        <v>47</v>
      </c>
      <c r="Y157" s="18" t="s">
        <v>49</v>
      </c>
      <c r="Z157" s="18" t="s">
        <v>42</v>
      </c>
      <c r="AA157" s="19" t="s">
        <v>36</v>
      </c>
    </row>
    <row r="158" spans="1:27" x14ac:dyDescent="0.25">
      <c r="A158" s="17" t="s">
        <v>131</v>
      </c>
      <c r="B158" s="18" t="s">
        <v>76</v>
      </c>
      <c r="C158" s="63" t="str" cm="1">
        <f t="array" ref="C158">_xlfn.SWITCH(Table22[[#This Row],[Country]],"USA","North America","Canada","North America","Brazil","South America","China","Asia","Japan","Asia","India","Asia","France","Europe","Germany","Europe","UK","Europe","Australia","Oceania","South America")</f>
        <v>Asia</v>
      </c>
      <c r="D158" s="18" t="s">
        <v>44</v>
      </c>
      <c r="E158" s="18" t="s">
        <v>33</v>
      </c>
      <c r="F158" s="18" t="s">
        <v>47</v>
      </c>
      <c r="G158" s="18" t="s">
        <v>40</v>
      </c>
      <c r="H158" s="64">
        <f>LEN(TRIM(Table22[[#This Row],[Country]]))</f>
        <v>5</v>
      </c>
      <c r="I158" s="64">
        <f>LEN(TRIM(Table22[[#This Row],[Continent]]))</f>
        <v>4</v>
      </c>
      <c r="J158" s="64">
        <f>LEN(TRIM(Table22[[#This Row],[Product]]))</f>
        <v>10</v>
      </c>
      <c r="K158" s="64">
        <f>LEN(TRIM(Table22[[#This Row],[Sales Team]]))</f>
        <v>10</v>
      </c>
      <c r="L158" s="23">
        <v>65</v>
      </c>
      <c r="M158" s="65" t="str" cm="1">
        <f t="array" ref="M158">_xlfn.IFS(Table22[[#This Row],[Units Sold]]&lt;40,"Critical",Table22[[#This Row],[Units Sold]]&lt;=50,"Poor",Table22[[#This Row],[Units Sold]]&lt;=60,"Low",Table22[[#This Row],[Units Sold]]&lt;=80,"Average",Table22[[#This Row],[Units Sold]]&lt;=90,"High",Table22[[#This Row],[Units Sold]]&lt;=95,"Excellent",Table22[[#This Row],[Units Sold]]&gt;95,"Outstanding")</f>
        <v>Average</v>
      </c>
      <c r="N158" s="29">
        <v>1474.89</v>
      </c>
      <c r="O158" s="29">
        <v>95867.85</v>
      </c>
      <c r="P158" s="43">
        <f>IF(Table22[[#This Row],[Discount Applied]],Table22[[#This Row],[Total Sales (in USD)]]*(1-Table22[[#This Row],[Discount Percentage (%)]]/100),Table22[[#This Row],[Total Sales (in USD)]])</f>
        <v>95867.85</v>
      </c>
      <c r="Q158" s="66">
        <f>SQRT(AVERAGE((Table22[[#This Row],[Net Sales (after discount) (in USD)]]-AVERAGE(Table22[Net Sales (after discount) (in USD)]))^2))</f>
        <v>59356.489436235468</v>
      </c>
      <c r="R158" s="18" t="b">
        <v>0</v>
      </c>
      <c r="S158" s="40">
        <v>21.32</v>
      </c>
      <c r="T158" s="18" t="b">
        <v>0</v>
      </c>
      <c r="U158" s="25">
        <v>45030</v>
      </c>
      <c r="V158" s="63" t="str">
        <f>IF(MONTH(Table22[[#This Row],[Sales Date]])&lt;=3,"Q1",IF(MONTH(Table22[[#This Row],[Sales Date]])&lt;=6,"Q2",IF(MONTH(Table22[[#This Row],[Sales Date]])&lt;=9,"Q3","Q4")))</f>
        <v>Q2</v>
      </c>
      <c r="W158" s="64">
        <f>YEAR(Table22[[#This Row],[Sales Date]])</f>
        <v>2023</v>
      </c>
      <c r="X158" s="23">
        <v>63</v>
      </c>
      <c r="Y158" s="18" t="s">
        <v>49</v>
      </c>
      <c r="Z158" s="18" t="s">
        <v>42</v>
      </c>
      <c r="AA158" s="19" t="s">
        <v>25</v>
      </c>
    </row>
    <row r="159" spans="1:27" x14ac:dyDescent="0.25">
      <c r="A159" s="17" t="s">
        <v>1888</v>
      </c>
      <c r="B159" s="18" t="s">
        <v>51</v>
      </c>
      <c r="C159" s="63" t="str" cm="1">
        <f t="array" ref="C159">_xlfn.SWITCH(Table22[[#This Row],[Country]],"USA","North America","Canada","North America","Brazil","South America","China","Asia","Japan","Asia","India","Asia","France","Europe","Germany","Europe","UK","Europe","Australia","Oceania","South America")</f>
        <v>Europe</v>
      </c>
      <c r="D159" s="18" t="s">
        <v>28</v>
      </c>
      <c r="E159" s="18" t="s">
        <v>33</v>
      </c>
      <c r="F159" s="18" t="s">
        <v>47</v>
      </c>
      <c r="G159" s="18" t="s">
        <v>48</v>
      </c>
      <c r="H159" s="64">
        <f>LEN(TRIM(Table22[[#This Row],[Country]]))</f>
        <v>2</v>
      </c>
      <c r="I159" s="64">
        <f>LEN(TRIM(Table22[[#This Row],[Continent]]))</f>
        <v>6</v>
      </c>
      <c r="J159" s="64">
        <f>LEN(TRIM(Table22[[#This Row],[Product]]))</f>
        <v>10</v>
      </c>
      <c r="K159" s="64">
        <f>LEN(TRIM(Table22[[#This Row],[Sales Team]]))</f>
        <v>9</v>
      </c>
      <c r="L159" s="23">
        <v>90</v>
      </c>
      <c r="M159" s="65" t="str" cm="1">
        <f t="array" ref="M159">_xlfn.IFS(Table22[[#This Row],[Units Sold]]&lt;40,"Critical",Table22[[#This Row],[Units Sold]]&lt;=50,"Poor",Table22[[#This Row],[Units Sold]]&lt;=60,"Low",Table22[[#This Row],[Units Sold]]&lt;=80,"Average",Table22[[#This Row],[Units Sold]]&lt;=90,"High",Table22[[#This Row],[Units Sold]]&lt;=95,"Excellent",Table22[[#This Row],[Units Sold]]&gt;95,"Outstanding")</f>
        <v>High</v>
      </c>
      <c r="N159" s="29">
        <v>1063.7</v>
      </c>
      <c r="O159" s="29">
        <v>95733</v>
      </c>
      <c r="P159" s="43">
        <f>IF(Table22[[#This Row],[Discount Applied]],Table22[[#This Row],[Total Sales (in USD)]]*(1-Table22[[#This Row],[Discount Percentage (%)]]/100),Table22[[#This Row],[Total Sales (in USD)]])</f>
        <v>93109.915800000002</v>
      </c>
      <c r="Q159" s="66">
        <f>SQRT(AVERAGE((Table22[[#This Row],[Net Sales (after discount) (in USD)]]-AVERAGE(Table22[Net Sales (after discount) (in USD)]))^2))</f>
        <v>56598.555236235465</v>
      </c>
      <c r="R159" s="18" t="b">
        <v>0</v>
      </c>
      <c r="S159" s="40">
        <v>2.74</v>
      </c>
      <c r="T159" s="18" t="b">
        <v>1</v>
      </c>
      <c r="U159" s="25">
        <v>45555</v>
      </c>
      <c r="V159" s="63" t="str">
        <f>IF(MONTH(Table22[[#This Row],[Sales Date]])&lt;=3,"Q1",IF(MONTH(Table22[[#This Row],[Sales Date]])&lt;=6,"Q2",IF(MONTH(Table22[[#This Row],[Sales Date]])&lt;=9,"Q3","Q4")))</f>
        <v>Q3</v>
      </c>
      <c r="W159" s="64">
        <f>YEAR(Table22[[#This Row],[Sales Date]])</f>
        <v>2024</v>
      </c>
      <c r="X159" s="23">
        <v>29</v>
      </c>
      <c r="Y159" s="18" t="s">
        <v>23</v>
      </c>
      <c r="Z159" s="18" t="s">
        <v>56</v>
      </c>
      <c r="AA159" s="19" t="s">
        <v>25</v>
      </c>
    </row>
    <row r="160" spans="1:27" x14ac:dyDescent="0.25">
      <c r="A160" s="17" t="s">
        <v>1940</v>
      </c>
      <c r="B160" s="18" t="s">
        <v>46</v>
      </c>
      <c r="C160" s="63" t="str" cm="1">
        <f t="array" ref="C160">_xlfn.SWITCH(Table22[[#This Row],[Country]],"USA","North America","Canada","North America","Brazil","South America","China","Asia","Japan","Asia","India","Asia","France","Europe","Germany","Europe","UK","Europe","Australia","Oceania","South America")</f>
        <v>South America</v>
      </c>
      <c r="D160" s="18" t="s">
        <v>44</v>
      </c>
      <c r="E160" s="18" t="s">
        <v>33</v>
      </c>
      <c r="F160" s="18" t="s">
        <v>52</v>
      </c>
      <c r="G160" s="18" t="s">
        <v>29</v>
      </c>
      <c r="H160" s="64">
        <f>LEN(TRIM(Table22[[#This Row],[Country]]))</f>
        <v>6</v>
      </c>
      <c r="I160" s="64">
        <f>LEN(TRIM(Table22[[#This Row],[Continent]]))</f>
        <v>13</v>
      </c>
      <c r="J160" s="64">
        <f>LEN(TRIM(Table22[[#This Row],[Product]]))</f>
        <v>10</v>
      </c>
      <c r="K160" s="64">
        <f>LEN(TRIM(Table22[[#This Row],[Sales Team]]))</f>
        <v>10</v>
      </c>
      <c r="L160" s="23">
        <v>66</v>
      </c>
      <c r="M160" s="65" t="str" cm="1">
        <f t="array" ref="M160">_xlfn.IFS(Table22[[#This Row],[Units Sold]]&lt;40,"Critical",Table22[[#This Row],[Units Sold]]&lt;=50,"Poor",Table22[[#This Row],[Units Sold]]&lt;=60,"Low",Table22[[#This Row],[Units Sold]]&lt;=80,"Average",Table22[[#This Row],[Units Sold]]&lt;=90,"High",Table22[[#This Row],[Units Sold]]&lt;=95,"Excellent",Table22[[#This Row],[Units Sold]]&gt;95,"Outstanding")</f>
        <v>Average</v>
      </c>
      <c r="N160" s="29">
        <v>1450.47</v>
      </c>
      <c r="O160" s="29">
        <v>95731.02</v>
      </c>
      <c r="P160" s="43">
        <f>IF(Table22[[#This Row],[Discount Applied]],Table22[[#This Row],[Total Sales (in USD)]]*(1-Table22[[#This Row],[Discount Percentage (%)]]/100),Table22[[#This Row],[Total Sales (in USD)]])</f>
        <v>83420.010827999999</v>
      </c>
      <c r="Q160" s="66">
        <f>SQRT(AVERAGE((Table22[[#This Row],[Net Sales (after discount) (in USD)]]-AVERAGE(Table22[Net Sales (after discount) (in USD)]))^2))</f>
        <v>46908.650264235461</v>
      </c>
      <c r="R160" s="18" t="b">
        <v>1</v>
      </c>
      <c r="S160" s="40">
        <v>12.86</v>
      </c>
      <c r="T160" s="18" t="b">
        <v>1</v>
      </c>
      <c r="U160" s="25">
        <v>45080</v>
      </c>
      <c r="V160" s="63" t="str">
        <f>IF(MONTH(Table22[[#This Row],[Sales Date]])&lt;=3,"Q1",IF(MONTH(Table22[[#This Row],[Sales Date]])&lt;=6,"Q2",IF(MONTH(Table22[[#This Row],[Sales Date]])&lt;=9,"Q3","Q4")))</f>
        <v>Q2</v>
      </c>
      <c r="W160" s="64">
        <f>YEAR(Table22[[#This Row],[Sales Date]])</f>
        <v>2023</v>
      </c>
      <c r="X160" s="23">
        <v>57</v>
      </c>
      <c r="Y160" s="18" t="s">
        <v>49</v>
      </c>
      <c r="Z160" s="18" t="s">
        <v>24</v>
      </c>
      <c r="AA160" s="19" t="s">
        <v>36</v>
      </c>
    </row>
    <row r="161" spans="1:27" x14ac:dyDescent="0.25">
      <c r="A161" s="17" t="s">
        <v>1589</v>
      </c>
      <c r="B161" s="18" t="s">
        <v>27</v>
      </c>
      <c r="C161" s="63" t="str" cm="1">
        <f t="array" ref="C161">_xlfn.SWITCH(Table22[[#This Row],[Country]],"USA","North America","Canada","North America","Brazil","South America","China","Asia","Japan","Asia","India","Asia","France","Europe","Germany","Europe","UK","Europe","Australia","Oceania","South America")</f>
        <v>Europe</v>
      </c>
      <c r="D161" s="18" t="s">
        <v>21</v>
      </c>
      <c r="E161" s="18" t="s">
        <v>39</v>
      </c>
      <c r="F161" s="18" t="s">
        <v>52</v>
      </c>
      <c r="G161" s="18" t="s">
        <v>48</v>
      </c>
      <c r="H161" s="64">
        <f>LEN(TRIM(Table22[[#This Row],[Country]]))</f>
        <v>7</v>
      </c>
      <c r="I161" s="64">
        <f>LEN(TRIM(Table22[[#This Row],[Continent]]))</f>
        <v>6</v>
      </c>
      <c r="J161" s="64">
        <f>LEN(TRIM(Table22[[#This Row],[Product]]))</f>
        <v>10</v>
      </c>
      <c r="K161" s="64">
        <f>LEN(TRIM(Table22[[#This Row],[Sales Team]]))</f>
        <v>9</v>
      </c>
      <c r="L161" s="23">
        <v>89</v>
      </c>
      <c r="M161" s="65" t="str" cm="1">
        <f t="array" ref="M161">_xlfn.IFS(Table22[[#This Row],[Units Sold]]&lt;40,"Critical",Table22[[#This Row],[Units Sold]]&lt;=50,"Poor",Table22[[#This Row],[Units Sold]]&lt;=60,"Low",Table22[[#This Row],[Units Sold]]&lt;=80,"Average",Table22[[#This Row],[Units Sold]]&lt;=90,"High",Table22[[#This Row],[Units Sold]]&lt;=95,"Excellent",Table22[[#This Row],[Units Sold]]&gt;95,"Outstanding")</f>
        <v>High</v>
      </c>
      <c r="N161" s="29">
        <v>1072.78</v>
      </c>
      <c r="O161" s="29">
        <v>95477.42</v>
      </c>
      <c r="P161" s="43">
        <f>IF(Table22[[#This Row],[Discount Applied]],Table22[[#This Row],[Total Sales (in USD)]]*(1-Table22[[#This Row],[Discount Percentage (%)]]/100),Table22[[#This Row],[Total Sales (in USD)]])</f>
        <v>90646.262547999999</v>
      </c>
      <c r="Q161" s="66">
        <f>SQRT(AVERAGE((Table22[[#This Row],[Net Sales (after discount) (in USD)]]-AVERAGE(Table22[Net Sales (after discount) (in USD)]))^2))</f>
        <v>54134.901984235461</v>
      </c>
      <c r="R161" s="18" t="b">
        <v>1</v>
      </c>
      <c r="S161" s="40">
        <v>5.0599999999999996</v>
      </c>
      <c r="T161" s="18" t="b">
        <v>1</v>
      </c>
      <c r="U161" s="25">
        <v>45485</v>
      </c>
      <c r="V161" s="63" t="str">
        <f>IF(MONTH(Table22[[#This Row],[Sales Date]])&lt;=3,"Q1",IF(MONTH(Table22[[#This Row],[Sales Date]])&lt;=6,"Q2",IF(MONTH(Table22[[#This Row],[Sales Date]])&lt;=9,"Q3","Q4")))</f>
        <v>Q3</v>
      </c>
      <c r="W161" s="64">
        <f>YEAR(Table22[[#This Row],[Sales Date]])</f>
        <v>2024</v>
      </c>
      <c r="X161" s="23">
        <v>33</v>
      </c>
      <c r="Y161" s="18" t="s">
        <v>41</v>
      </c>
      <c r="Z161" s="18" t="s">
        <v>56</v>
      </c>
      <c r="AA161" s="19" t="s">
        <v>25</v>
      </c>
    </row>
    <row r="162" spans="1:27" x14ac:dyDescent="0.25">
      <c r="A162" s="17" t="s">
        <v>522</v>
      </c>
      <c r="B162" s="18" t="s">
        <v>18</v>
      </c>
      <c r="C162" s="63" t="str" cm="1">
        <f t="array" ref="C162">_xlfn.SWITCH(Table22[[#This Row],[Country]],"USA","North America","Canada","North America","Brazil","South America","China","Asia","Japan","Asia","India","Asia","France","Europe","Germany","Europe","UK","Europe","Australia","Oceania","South America")</f>
        <v>Asia</v>
      </c>
      <c r="D162" s="18" t="s">
        <v>35</v>
      </c>
      <c r="E162" s="18" t="s">
        <v>39</v>
      </c>
      <c r="F162" s="18" t="s">
        <v>47</v>
      </c>
      <c r="G162" s="18" t="s">
        <v>29</v>
      </c>
      <c r="H162" s="64">
        <f>LEN(TRIM(Table22[[#This Row],[Country]]))</f>
        <v>5</v>
      </c>
      <c r="I162" s="64">
        <f>LEN(TRIM(Table22[[#This Row],[Continent]]))</f>
        <v>4</v>
      </c>
      <c r="J162" s="64">
        <f>LEN(TRIM(Table22[[#This Row],[Product]]))</f>
        <v>10</v>
      </c>
      <c r="K162" s="64">
        <f>LEN(TRIM(Table22[[#This Row],[Sales Team]]))</f>
        <v>10</v>
      </c>
      <c r="L162" s="23">
        <v>93</v>
      </c>
      <c r="M162" s="65" t="str" cm="1">
        <f t="array" ref="M162">_xlfn.IFS(Table22[[#This Row],[Units Sold]]&lt;40,"Critical",Table22[[#This Row],[Units Sold]]&lt;=50,"Poor",Table22[[#This Row],[Units Sold]]&lt;=60,"Low",Table22[[#This Row],[Units Sold]]&lt;=80,"Average",Table22[[#This Row],[Units Sold]]&lt;=90,"High",Table22[[#This Row],[Units Sold]]&lt;=95,"Excellent",Table22[[#This Row],[Units Sold]]&gt;95,"Outstanding")</f>
        <v>Excellent</v>
      </c>
      <c r="N162" s="29">
        <v>1024.8</v>
      </c>
      <c r="O162" s="29">
        <v>95306.4</v>
      </c>
      <c r="P162" s="43">
        <f>IF(Table22[[#This Row],[Discount Applied]],Table22[[#This Row],[Total Sales (in USD)]]*(1-Table22[[#This Row],[Discount Percentage (%)]]/100),Table22[[#This Row],[Total Sales (in USD)]])</f>
        <v>70850.777759999997</v>
      </c>
      <c r="Q162" s="66">
        <f>SQRT(AVERAGE((Table22[[#This Row],[Net Sales (after discount) (in USD)]]-AVERAGE(Table22[Net Sales (after discount) (in USD)]))^2))</f>
        <v>34339.417196235459</v>
      </c>
      <c r="R162" s="18" t="b">
        <v>1</v>
      </c>
      <c r="S162" s="40">
        <v>25.66</v>
      </c>
      <c r="T162" s="18" t="b">
        <v>1</v>
      </c>
      <c r="U162" s="25">
        <v>44991</v>
      </c>
      <c r="V162" s="63" t="str">
        <f>IF(MONTH(Table22[[#This Row],[Sales Date]])&lt;=3,"Q1",IF(MONTH(Table22[[#This Row],[Sales Date]])&lt;=6,"Q2",IF(MONTH(Table22[[#This Row],[Sales Date]])&lt;=9,"Q3","Q4")))</f>
        <v>Q1</v>
      </c>
      <c r="W162" s="64">
        <f>YEAR(Table22[[#This Row],[Sales Date]])</f>
        <v>2023</v>
      </c>
      <c r="X162" s="23">
        <v>68</v>
      </c>
      <c r="Y162" s="18" t="s">
        <v>23</v>
      </c>
      <c r="Z162" s="18" t="s">
        <v>30</v>
      </c>
      <c r="AA162" s="19" t="s">
        <v>36</v>
      </c>
    </row>
    <row r="163" spans="1:27" x14ac:dyDescent="0.25">
      <c r="A163" s="17" t="s">
        <v>914</v>
      </c>
      <c r="B163" s="18" t="s">
        <v>46</v>
      </c>
      <c r="C163" s="63" t="str" cm="1">
        <f t="array" ref="C163">_xlfn.SWITCH(Table22[[#This Row],[Country]],"USA","North America","Canada","North America","Brazil","South America","China","Asia","Japan","Asia","India","Asia","France","Europe","Germany","Europe","UK","Europe","Australia","Oceania","South America")</f>
        <v>South America</v>
      </c>
      <c r="D163" s="18" t="s">
        <v>35</v>
      </c>
      <c r="E163" s="18" t="s">
        <v>39</v>
      </c>
      <c r="F163" s="18" t="s">
        <v>52</v>
      </c>
      <c r="G163" s="18" t="s">
        <v>48</v>
      </c>
      <c r="H163" s="64">
        <f>LEN(TRIM(Table22[[#This Row],[Country]]))</f>
        <v>6</v>
      </c>
      <c r="I163" s="64">
        <f>LEN(TRIM(Table22[[#This Row],[Continent]]))</f>
        <v>13</v>
      </c>
      <c r="J163" s="64">
        <f>LEN(TRIM(Table22[[#This Row],[Product]]))</f>
        <v>10</v>
      </c>
      <c r="K163" s="64">
        <f>LEN(TRIM(Table22[[#This Row],[Sales Team]]))</f>
        <v>9</v>
      </c>
      <c r="L163" s="23">
        <v>70</v>
      </c>
      <c r="M163" s="65" t="str" cm="1">
        <f t="array" ref="M163">_xlfn.IFS(Table22[[#This Row],[Units Sold]]&lt;40,"Critical",Table22[[#This Row],[Units Sold]]&lt;=50,"Poor",Table22[[#This Row],[Units Sold]]&lt;=60,"Low",Table22[[#This Row],[Units Sold]]&lt;=80,"Average",Table22[[#This Row],[Units Sold]]&lt;=90,"High",Table22[[#This Row],[Units Sold]]&lt;=95,"Excellent",Table22[[#This Row],[Units Sold]]&gt;95,"Outstanding")</f>
        <v>Average</v>
      </c>
      <c r="N163" s="29">
        <v>1361.38</v>
      </c>
      <c r="O163" s="29">
        <v>95296.6</v>
      </c>
      <c r="P163" s="43">
        <f>IF(Table22[[#This Row],[Discount Applied]],Table22[[#This Row],[Total Sales (in USD)]]*(1-Table22[[#This Row],[Discount Percentage (%)]]/100),Table22[[#This Row],[Total Sales (in USD)]])</f>
        <v>88301.829559999998</v>
      </c>
      <c r="Q163" s="66">
        <f>SQRT(AVERAGE((Table22[[#This Row],[Net Sales (after discount) (in USD)]]-AVERAGE(Table22[Net Sales (after discount) (in USD)]))^2))</f>
        <v>51790.468996235461</v>
      </c>
      <c r="R163" s="18" t="b">
        <v>1</v>
      </c>
      <c r="S163" s="40">
        <v>7.34</v>
      </c>
      <c r="T163" s="18" t="b">
        <v>1</v>
      </c>
      <c r="U163" s="25">
        <v>45426</v>
      </c>
      <c r="V163" s="63" t="str">
        <f>IF(MONTH(Table22[[#This Row],[Sales Date]])&lt;=3,"Q1",IF(MONTH(Table22[[#This Row],[Sales Date]])&lt;=6,"Q2",IF(MONTH(Table22[[#This Row],[Sales Date]])&lt;=9,"Q3","Q4")))</f>
        <v>Q2</v>
      </c>
      <c r="W163" s="64">
        <f>YEAR(Table22[[#This Row],[Sales Date]])</f>
        <v>2024</v>
      </c>
      <c r="X163" s="23">
        <v>27</v>
      </c>
      <c r="Y163" s="18" t="s">
        <v>41</v>
      </c>
      <c r="Z163" s="18" t="s">
        <v>56</v>
      </c>
      <c r="AA163" s="19" t="s">
        <v>25</v>
      </c>
    </row>
    <row r="164" spans="1:27" x14ac:dyDescent="0.25">
      <c r="A164" s="17" t="s">
        <v>1573</v>
      </c>
      <c r="B164" s="18" t="s">
        <v>72</v>
      </c>
      <c r="C164" s="63" t="str" cm="1">
        <f t="array" ref="C164">_xlfn.SWITCH(Table22[[#This Row],[Country]],"USA","North America","Canada","North America","Brazil","South America","China","Asia","Japan","Asia","India","Asia","France","Europe","Germany","Europe","UK","Europe","Australia","Oceania","South America")</f>
        <v>North America</v>
      </c>
      <c r="D164" s="18" t="s">
        <v>44</v>
      </c>
      <c r="E164" s="18" t="s">
        <v>39</v>
      </c>
      <c r="F164" s="18" t="s">
        <v>34</v>
      </c>
      <c r="G164" s="18" t="s">
        <v>40</v>
      </c>
      <c r="H164" s="64">
        <f>LEN(TRIM(Table22[[#This Row],[Country]]))</f>
        <v>3</v>
      </c>
      <c r="I164" s="64">
        <f>LEN(TRIM(Table22[[#This Row],[Continent]]))</f>
        <v>13</v>
      </c>
      <c r="J164" s="64">
        <f>LEN(TRIM(Table22[[#This Row],[Product]]))</f>
        <v>10</v>
      </c>
      <c r="K164" s="64">
        <f>LEN(TRIM(Table22[[#This Row],[Sales Team]]))</f>
        <v>10</v>
      </c>
      <c r="L164" s="23">
        <v>90</v>
      </c>
      <c r="M164" s="65" t="str" cm="1">
        <f t="array" ref="M164">_xlfn.IFS(Table22[[#This Row],[Units Sold]]&lt;40,"Critical",Table22[[#This Row],[Units Sold]]&lt;=50,"Poor",Table22[[#This Row],[Units Sold]]&lt;=60,"Low",Table22[[#This Row],[Units Sold]]&lt;=80,"Average",Table22[[#This Row],[Units Sold]]&lt;=90,"High",Table22[[#This Row],[Units Sold]]&lt;=95,"Excellent",Table22[[#This Row],[Units Sold]]&gt;95,"Outstanding")</f>
        <v>High</v>
      </c>
      <c r="N164" s="29">
        <v>1058.1500000000001</v>
      </c>
      <c r="O164" s="29">
        <v>95233.5</v>
      </c>
      <c r="P164" s="43">
        <f>IF(Table22[[#This Row],[Discount Applied]],Table22[[#This Row],[Total Sales (in USD)]]*(1-Table22[[#This Row],[Discount Percentage (%)]]/100),Table22[[#This Row],[Total Sales (in USD)]])</f>
        <v>87491.016449999996</v>
      </c>
      <c r="Q164" s="66">
        <f>SQRT(AVERAGE((Table22[[#This Row],[Net Sales (after discount) (in USD)]]-AVERAGE(Table22[Net Sales (after discount) (in USD)]))^2))</f>
        <v>50979.655886235458</v>
      </c>
      <c r="R164" s="18" t="b">
        <v>0</v>
      </c>
      <c r="S164" s="40">
        <v>8.1300000000000008</v>
      </c>
      <c r="T164" s="18" t="b">
        <v>1</v>
      </c>
      <c r="U164" s="25">
        <v>45313</v>
      </c>
      <c r="V164" s="63" t="str">
        <f>IF(MONTH(Table22[[#This Row],[Sales Date]])&lt;=3,"Q1",IF(MONTH(Table22[[#This Row],[Sales Date]])&lt;=6,"Q2",IF(MONTH(Table22[[#This Row],[Sales Date]])&lt;=9,"Q3","Q4")))</f>
        <v>Q1</v>
      </c>
      <c r="W164" s="64">
        <f>YEAR(Table22[[#This Row],[Sales Date]])</f>
        <v>2024</v>
      </c>
      <c r="X164" s="23">
        <v>61</v>
      </c>
      <c r="Y164" s="18" t="s">
        <v>49</v>
      </c>
      <c r="Z164" s="18" t="s">
        <v>30</v>
      </c>
      <c r="AA164" s="19" t="s">
        <v>36</v>
      </c>
    </row>
    <row r="165" spans="1:27" x14ac:dyDescent="0.25">
      <c r="A165" s="17" t="s">
        <v>115</v>
      </c>
      <c r="B165" s="18" t="s">
        <v>46</v>
      </c>
      <c r="C165" s="63" t="str" cm="1">
        <f t="array" ref="C165">_xlfn.SWITCH(Table22[[#This Row],[Country]],"USA","North America","Canada","North America","Brazil","South America","China","Asia","Japan","Asia","India","Asia","France","Europe","Germany","Europe","UK","Europe","Australia","Oceania","South America")</f>
        <v>South America</v>
      </c>
      <c r="D165" s="18" t="s">
        <v>28</v>
      </c>
      <c r="E165" s="18" t="s">
        <v>33</v>
      </c>
      <c r="F165" s="18" t="s">
        <v>47</v>
      </c>
      <c r="G165" s="18" t="s">
        <v>40</v>
      </c>
      <c r="H165" s="64">
        <f>LEN(TRIM(Table22[[#This Row],[Country]]))</f>
        <v>6</v>
      </c>
      <c r="I165" s="64">
        <f>LEN(TRIM(Table22[[#This Row],[Continent]]))</f>
        <v>13</v>
      </c>
      <c r="J165" s="64">
        <f>LEN(TRIM(Table22[[#This Row],[Product]]))</f>
        <v>10</v>
      </c>
      <c r="K165" s="64">
        <f>LEN(TRIM(Table22[[#This Row],[Sales Team]]))</f>
        <v>10</v>
      </c>
      <c r="L165" s="23">
        <v>84</v>
      </c>
      <c r="M165" s="65" t="str" cm="1">
        <f t="array" ref="M165">_xlfn.IFS(Table22[[#This Row],[Units Sold]]&lt;40,"Critical",Table22[[#This Row],[Units Sold]]&lt;=50,"Poor",Table22[[#This Row],[Units Sold]]&lt;=60,"Low",Table22[[#This Row],[Units Sold]]&lt;=80,"Average",Table22[[#This Row],[Units Sold]]&lt;=90,"High",Table22[[#This Row],[Units Sold]]&lt;=95,"Excellent",Table22[[#This Row],[Units Sold]]&gt;95,"Outstanding")</f>
        <v>High</v>
      </c>
      <c r="N165" s="29">
        <v>1132.67</v>
      </c>
      <c r="O165" s="29">
        <v>95144.28</v>
      </c>
      <c r="P165" s="43">
        <f>IF(Table22[[#This Row],[Discount Applied]],Table22[[#This Row],[Total Sales (in USD)]]*(1-Table22[[#This Row],[Discount Percentage (%)]]/100),Table22[[#This Row],[Total Sales (in USD)]])</f>
        <v>90758.128691999998</v>
      </c>
      <c r="Q165" s="66">
        <f>SQRT(AVERAGE((Table22[[#This Row],[Net Sales (after discount) (in USD)]]-AVERAGE(Table22[Net Sales (after discount) (in USD)]))^2))</f>
        <v>54246.768128235461</v>
      </c>
      <c r="R165" s="18" t="b">
        <v>1</v>
      </c>
      <c r="S165" s="40">
        <v>4.6100000000000003</v>
      </c>
      <c r="T165" s="18" t="b">
        <v>1</v>
      </c>
      <c r="U165" s="25">
        <v>45446</v>
      </c>
      <c r="V165" s="63" t="str">
        <f>IF(MONTH(Table22[[#This Row],[Sales Date]])&lt;=3,"Q1",IF(MONTH(Table22[[#This Row],[Sales Date]])&lt;=6,"Q2",IF(MONTH(Table22[[#This Row],[Sales Date]])&lt;=9,"Q3","Q4")))</f>
        <v>Q2</v>
      </c>
      <c r="W165" s="64">
        <f>YEAR(Table22[[#This Row],[Sales Date]])</f>
        <v>2024</v>
      </c>
      <c r="X165" s="23">
        <v>18</v>
      </c>
      <c r="Y165" s="18" t="s">
        <v>23</v>
      </c>
      <c r="Z165" s="18" t="s">
        <v>56</v>
      </c>
      <c r="AA165" s="19" t="s">
        <v>36</v>
      </c>
    </row>
    <row r="166" spans="1:27" x14ac:dyDescent="0.25">
      <c r="A166" s="17" t="s">
        <v>1166</v>
      </c>
      <c r="B166" s="18" t="s">
        <v>18</v>
      </c>
      <c r="C166" s="63" t="str" cm="1">
        <f t="array" ref="C166">_xlfn.SWITCH(Table22[[#This Row],[Country]],"USA","North America","Canada","North America","Brazil","South America","China","Asia","Japan","Asia","India","Asia","France","Europe","Germany","Europe","UK","Europe","Australia","Oceania","South America")</f>
        <v>Asia</v>
      </c>
      <c r="D166" s="18" t="s">
        <v>44</v>
      </c>
      <c r="E166" s="18" t="s">
        <v>19</v>
      </c>
      <c r="F166" s="18" t="s">
        <v>34</v>
      </c>
      <c r="G166" s="18" t="s">
        <v>40</v>
      </c>
      <c r="H166" s="64">
        <f>LEN(TRIM(Table22[[#This Row],[Country]]))</f>
        <v>5</v>
      </c>
      <c r="I166" s="64">
        <f>LEN(TRIM(Table22[[#This Row],[Continent]]))</f>
        <v>4</v>
      </c>
      <c r="J166" s="64">
        <f>LEN(TRIM(Table22[[#This Row],[Product]]))</f>
        <v>6</v>
      </c>
      <c r="K166" s="64">
        <f>LEN(TRIM(Table22[[#This Row],[Sales Team]]))</f>
        <v>10</v>
      </c>
      <c r="L166" s="23">
        <v>86</v>
      </c>
      <c r="M166" s="65" t="str" cm="1">
        <f t="array" ref="M166">_xlfn.IFS(Table22[[#This Row],[Units Sold]]&lt;40,"Critical",Table22[[#This Row],[Units Sold]]&lt;=50,"Poor",Table22[[#This Row],[Units Sold]]&lt;=60,"Low",Table22[[#This Row],[Units Sold]]&lt;=80,"Average",Table22[[#This Row],[Units Sold]]&lt;=90,"High",Table22[[#This Row],[Units Sold]]&lt;=95,"Excellent",Table22[[#This Row],[Units Sold]]&gt;95,"Outstanding")</f>
        <v>High</v>
      </c>
      <c r="N166" s="29">
        <v>1104.3</v>
      </c>
      <c r="O166" s="29">
        <v>94969.8</v>
      </c>
      <c r="P166" s="43">
        <f>IF(Table22[[#This Row],[Discount Applied]],Table22[[#This Row],[Total Sales (in USD)]]*(1-Table22[[#This Row],[Discount Percentage (%)]]/100),Table22[[#This Row],[Total Sales (in USD)]])</f>
        <v>72262.520820000005</v>
      </c>
      <c r="Q166" s="66">
        <f>SQRT(AVERAGE((Table22[[#This Row],[Net Sales (after discount) (in USD)]]-AVERAGE(Table22[Net Sales (after discount) (in USD)]))^2))</f>
        <v>35751.160256235467</v>
      </c>
      <c r="R166" s="18" t="b">
        <v>0</v>
      </c>
      <c r="S166" s="40">
        <v>23.91</v>
      </c>
      <c r="T166" s="18" t="b">
        <v>1</v>
      </c>
      <c r="U166" s="25">
        <v>45182</v>
      </c>
      <c r="V166" s="63" t="str">
        <f>IF(MONTH(Table22[[#This Row],[Sales Date]])&lt;=3,"Q1",IF(MONTH(Table22[[#This Row],[Sales Date]])&lt;=6,"Q2",IF(MONTH(Table22[[#This Row],[Sales Date]])&lt;=9,"Q3","Q4")))</f>
        <v>Q3</v>
      </c>
      <c r="W166" s="64">
        <f>YEAR(Table22[[#This Row],[Sales Date]])</f>
        <v>2023</v>
      </c>
      <c r="X166" s="23">
        <v>27</v>
      </c>
      <c r="Y166" s="18" t="s">
        <v>23</v>
      </c>
      <c r="Z166" s="18" t="s">
        <v>56</v>
      </c>
      <c r="AA166" s="19" t="s">
        <v>25</v>
      </c>
    </row>
    <row r="167" spans="1:27" x14ac:dyDescent="0.25">
      <c r="A167" s="17" t="s">
        <v>277</v>
      </c>
      <c r="B167" s="18" t="s">
        <v>46</v>
      </c>
      <c r="C167" s="63" t="str" cm="1">
        <f t="array" ref="C167">_xlfn.SWITCH(Table22[[#This Row],[Country]],"USA","North America","Canada","North America","Brazil","South America","China","Asia","Japan","Asia","India","Asia","France","Europe","Germany","Europe","UK","Europe","Australia","Oceania","South America")</f>
        <v>South America</v>
      </c>
      <c r="D167" s="18" t="s">
        <v>35</v>
      </c>
      <c r="E167" s="18" t="s">
        <v>19</v>
      </c>
      <c r="F167" s="18" t="s">
        <v>20</v>
      </c>
      <c r="G167" s="18" t="s">
        <v>29</v>
      </c>
      <c r="H167" s="64">
        <f>LEN(TRIM(Table22[[#This Row],[Country]]))</f>
        <v>6</v>
      </c>
      <c r="I167" s="64">
        <f>LEN(TRIM(Table22[[#This Row],[Continent]]))</f>
        <v>13</v>
      </c>
      <c r="J167" s="64">
        <f>LEN(TRIM(Table22[[#This Row],[Product]]))</f>
        <v>6</v>
      </c>
      <c r="K167" s="64">
        <f>LEN(TRIM(Table22[[#This Row],[Sales Team]]))</f>
        <v>10</v>
      </c>
      <c r="L167" s="23">
        <v>71</v>
      </c>
      <c r="M167" s="65" t="str" cm="1">
        <f t="array" ref="M167">_xlfn.IFS(Table22[[#This Row],[Units Sold]]&lt;40,"Critical",Table22[[#This Row],[Units Sold]]&lt;=50,"Poor",Table22[[#This Row],[Units Sold]]&lt;=60,"Low",Table22[[#This Row],[Units Sold]]&lt;=80,"Average",Table22[[#This Row],[Units Sold]]&lt;=90,"High",Table22[[#This Row],[Units Sold]]&lt;=95,"Excellent",Table22[[#This Row],[Units Sold]]&gt;95,"Outstanding")</f>
        <v>Average</v>
      </c>
      <c r="N167" s="29">
        <v>1337.4</v>
      </c>
      <c r="O167" s="29">
        <v>94955.4</v>
      </c>
      <c r="P167" s="43">
        <f>IF(Table22[[#This Row],[Discount Applied]],Table22[[#This Row],[Total Sales (in USD)]]*(1-Table22[[#This Row],[Discount Percentage (%)]]/100),Table22[[#This Row],[Total Sales (in USD)]])</f>
        <v>94955.4</v>
      </c>
      <c r="Q167" s="66">
        <f>SQRT(AVERAGE((Table22[[#This Row],[Net Sales (after discount) (in USD)]]-AVERAGE(Table22[Net Sales (after discount) (in USD)]))^2))</f>
        <v>58444.039436235456</v>
      </c>
      <c r="R167" s="18" t="b">
        <v>0</v>
      </c>
      <c r="S167" s="40">
        <v>22.02</v>
      </c>
      <c r="T167" s="18" t="b">
        <v>0</v>
      </c>
      <c r="U167" s="25">
        <v>45115</v>
      </c>
      <c r="V167" s="63" t="str">
        <f>IF(MONTH(Table22[[#This Row],[Sales Date]])&lt;=3,"Q1",IF(MONTH(Table22[[#This Row],[Sales Date]])&lt;=6,"Q2",IF(MONTH(Table22[[#This Row],[Sales Date]])&lt;=9,"Q3","Q4")))</f>
        <v>Q3</v>
      </c>
      <c r="W167" s="64">
        <f>YEAR(Table22[[#This Row],[Sales Date]])</f>
        <v>2023</v>
      </c>
      <c r="X167" s="23">
        <v>63</v>
      </c>
      <c r="Y167" s="18" t="s">
        <v>23</v>
      </c>
      <c r="Z167" s="18" t="s">
        <v>56</v>
      </c>
      <c r="AA167" s="19" t="s">
        <v>25</v>
      </c>
    </row>
    <row r="168" spans="1:27" x14ac:dyDescent="0.25">
      <c r="A168" s="17" t="s">
        <v>1332</v>
      </c>
      <c r="B168" s="18" t="s">
        <v>72</v>
      </c>
      <c r="C168" s="63" t="str" cm="1">
        <f t="array" ref="C168">_xlfn.SWITCH(Table22[[#This Row],[Country]],"USA","North America","Canada","North America","Brazil","South America","China","Asia","Japan","Asia","India","Asia","France","Europe","Germany","Europe","UK","Europe","Australia","Oceania","South America")</f>
        <v>North America</v>
      </c>
      <c r="D168" s="18" t="s">
        <v>21</v>
      </c>
      <c r="E168" s="18" t="s">
        <v>39</v>
      </c>
      <c r="F168" s="18" t="s">
        <v>34</v>
      </c>
      <c r="G168" s="18" t="s">
        <v>48</v>
      </c>
      <c r="H168" s="64">
        <f>LEN(TRIM(Table22[[#This Row],[Country]]))</f>
        <v>3</v>
      </c>
      <c r="I168" s="64">
        <f>LEN(TRIM(Table22[[#This Row],[Continent]]))</f>
        <v>13</v>
      </c>
      <c r="J168" s="64">
        <f>LEN(TRIM(Table22[[#This Row],[Product]]))</f>
        <v>10</v>
      </c>
      <c r="K168" s="64">
        <f>LEN(TRIM(Table22[[#This Row],[Sales Team]]))</f>
        <v>9</v>
      </c>
      <c r="L168" s="23">
        <v>77</v>
      </c>
      <c r="M168" s="65" t="str" cm="1">
        <f t="array" ref="M168">_xlfn.IFS(Table22[[#This Row],[Units Sold]]&lt;40,"Critical",Table22[[#This Row],[Units Sold]]&lt;=50,"Poor",Table22[[#This Row],[Units Sold]]&lt;=60,"Low",Table22[[#This Row],[Units Sold]]&lt;=80,"Average",Table22[[#This Row],[Units Sold]]&lt;=90,"High",Table22[[#This Row],[Units Sold]]&lt;=95,"Excellent",Table22[[#This Row],[Units Sold]]&gt;95,"Outstanding")</f>
        <v>Average</v>
      </c>
      <c r="N168" s="29">
        <v>1230.74</v>
      </c>
      <c r="O168" s="29">
        <v>94766.98</v>
      </c>
      <c r="P168" s="43">
        <f>IF(Table22[[#This Row],[Discount Applied]],Table22[[#This Row],[Total Sales (in USD)]]*(1-Table22[[#This Row],[Discount Percentage (%)]]/100),Table22[[#This Row],[Total Sales (in USD)]])</f>
        <v>91260.601739999998</v>
      </c>
      <c r="Q168" s="66">
        <f>SQRT(AVERAGE((Table22[[#This Row],[Net Sales (after discount) (in USD)]]-AVERAGE(Table22[Net Sales (after discount) (in USD)]))^2))</f>
        <v>54749.24117623546</v>
      </c>
      <c r="R168" s="18" t="b">
        <v>1</v>
      </c>
      <c r="S168" s="40">
        <v>3.7</v>
      </c>
      <c r="T168" s="18" t="b">
        <v>1</v>
      </c>
      <c r="U168" s="25">
        <v>45095</v>
      </c>
      <c r="V168" s="63" t="str">
        <f>IF(MONTH(Table22[[#This Row],[Sales Date]])&lt;=3,"Q1",IF(MONTH(Table22[[#This Row],[Sales Date]])&lt;=6,"Q2",IF(MONTH(Table22[[#This Row],[Sales Date]])&lt;=9,"Q3","Q4")))</f>
        <v>Q2</v>
      </c>
      <c r="W168" s="64">
        <f>YEAR(Table22[[#This Row],[Sales Date]])</f>
        <v>2023</v>
      </c>
      <c r="X168" s="23">
        <v>56</v>
      </c>
      <c r="Y168" s="18" t="s">
        <v>23</v>
      </c>
      <c r="Z168" s="18" t="s">
        <v>24</v>
      </c>
      <c r="AA168" s="19" t="s">
        <v>25</v>
      </c>
    </row>
    <row r="169" spans="1:27" x14ac:dyDescent="0.25">
      <c r="A169" s="17" t="s">
        <v>476</v>
      </c>
      <c r="B169" s="18" t="s">
        <v>46</v>
      </c>
      <c r="C169" s="63" t="str" cm="1">
        <f t="array" ref="C169">_xlfn.SWITCH(Table22[[#This Row],[Country]],"USA","North America","Canada","North America","Brazil","South America","China","Asia","Japan","Asia","India","Asia","France","Europe","Germany","Europe","UK","Europe","Australia","Oceania","South America")</f>
        <v>South America</v>
      </c>
      <c r="D169" s="18" t="s">
        <v>21</v>
      </c>
      <c r="E169" s="18" t="s">
        <v>19</v>
      </c>
      <c r="F169" s="18" t="s">
        <v>64</v>
      </c>
      <c r="G169" s="18" t="s">
        <v>29</v>
      </c>
      <c r="H169" s="64">
        <f>LEN(TRIM(Table22[[#This Row],[Country]]))</f>
        <v>6</v>
      </c>
      <c r="I169" s="64">
        <f>LEN(TRIM(Table22[[#This Row],[Continent]]))</f>
        <v>13</v>
      </c>
      <c r="J169" s="64">
        <f>LEN(TRIM(Table22[[#This Row],[Product]]))</f>
        <v>6</v>
      </c>
      <c r="K169" s="64">
        <f>LEN(TRIM(Table22[[#This Row],[Sales Team]]))</f>
        <v>10</v>
      </c>
      <c r="L169" s="23">
        <v>94</v>
      </c>
      <c r="M169" s="65" t="str" cm="1">
        <f t="array" ref="M169">_xlfn.IFS(Table22[[#This Row],[Units Sold]]&lt;40,"Critical",Table22[[#This Row],[Units Sold]]&lt;=50,"Poor",Table22[[#This Row],[Units Sold]]&lt;=60,"Low",Table22[[#This Row],[Units Sold]]&lt;=80,"Average",Table22[[#This Row],[Units Sold]]&lt;=90,"High",Table22[[#This Row],[Units Sold]]&lt;=95,"Excellent",Table22[[#This Row],[Units Sold]]&gt;95,"Outstanding")</f>
        <v>Excellent</v>
      </c>
      <c r="N169" s="29">
        <v>1007.56</v>
      </c>
      <c r="O169" s="29">
        <v>94710.64</v>
      </c>
      <c r="P169" s="43">
        <f>IF(Table22[[#This Row],[Discount Applied]],Table22[[#This Row],[Total Sales (in USD)]]*(1-Table22[[#This Row],[Discount Percentage (%)]]/100),Table22[[#This Row],[Total Sales (in USD)]])</f>
        <v>94710.64</v>
      </c>
      <c r="Q169" s="66">
        <f>SQRT(AVERAGE((Table22[[#This Row],[Net Sales (after discount) (in USD)]]-AVERAGE(Table22[Net Sales (after discount) (in USD)]))^2))</f>
        <v>58199.279436235462</v>
      </c>
      <c r="R169" s="18" t="b">
        <v>0</v>
      </c>
      <c r="S169" s="40">
        <v>14.34</v>
      </c>
      <c r="T169" s="18" t="b">
        <v>0</v>
      </c>
      <c r="U169" s="25">
        <v>44978</v>
      </c>
      <c r="V169" s="63" t="str">
        <f>IF(MONTH(Table22[[#This Row],[Sales Date]])&lt;=3,"Q1",IF(MONTH(Table22[[#This Row],[Sales Date]])&lt;=6,"Q2",IF(MONTH(Table22[[#This Row],[Sales Date]])&lt;=9,"Q3","Q4")))</f>
        <v>Q1</v>
      </c>
      <c r="W169" s="64">
        <f>YEAR(Table22[[#This Row],[Sales Date]])</f>
        <v>2023</v>
      </c>
      <c r="X169" s="23">
        <v>62</v>
      </c>
      <c r="Y169" s="18" t="s">
        <v>23</v>
      </c>
      <c r="Z169" s="18" t="s">
        <v>24</v>
      </c>
      <c r="AA169" s="19" t="s">
        <v>25</v>
      </c>
    </row>
    <row r="170" spans="1:27" x14ac:dyDescent="0.25">
      <c r="A170" s="17" t="s">
        <v>532</v>
      </c>
      <c r="B170" s="18" t="s">
        <v>27</v>
      </c>
      <c r="C170" s="63" t="str" cm="1">
        <f t="array" ref="C170">_xlfn.SWITCH(Table22[[#This Row],[Country]],"USA","North America","Canada","North America","Brazil","South America","China","Asia","Japan","Asia","India","Asia","France","Europe","Germany","Europe","UK","Europe","Australia","Oceania","South America")</f>
        <v>Europe</v>
      </c>
      <c r="D170" s="18" t="s">
        <v>44</v>
      </c>
      <c r="E170" s="18" t="s">
        <v>19</v>
      </c>
      <c r="F170" s="18" t="s">
        <v>64</v>
      </c>
      <c r="G170" s="18" t="s">
        <v>40</v>
      </c>
      <c r="H170" s="64">
        <f>LEN(TRIM(Table22[[#This Row],[Country]]))</f>
        <v>7</v>
      </c>
      <c r="I170" s="64">
        <f>LEN(TRIM(Table22[[#This Row],[Continent]]))</f>
        <v>6</v>
      </c>
      <c r="J170" s="64">
        <f>LEN(TRIM(Table22[[#This Row],[Product]]))</f>
        <v>6</v>
      </c>
      <c r="K170" s="64">
        <f>LEN(TRIM(Table22[[#This Row],[Sales Team]]))</f>
        <v>10</v>
      </c>
      <c r="L170" s="23">
        <v>89</v>
      </c>
      <c r="M170" s="65" t="str" cm="1">
        <f t="array" ref="M170">_xlfn.IFS(Table22[[#This Row],[Units Sold]]&lt;40,"Critical",Table22[[#This Row],[Units Sold]]&lt;=50,"Poor",Table22[[#This Row],[Units Sold]]&lt;=60,"Low",Table22[[#This Row],[Units Sold]]&lt;=80,"Average",Table22[[#This Row],[Units Sold]]&lt;=90,"High",Table22[[#This Row],[Units Sold]]&lt;=95,"Excellent",Table22[[#This Row],[Units Sold]]&gt;95,"Outstanding")</f>
        <v>High</v>
      </c>
      <c r="N170" s="29">
        <v>1062.5</v>
      </c>
      <c r="O170" s="29">
        <v>94562.5</v>
      </c>
      <c r="P170" s="43">
        <f>IF(Table22[[#This Row],[Discount Applied]],Table22[[#This Row],[Total Sales (in USD)]]*(1-Table22[[#This Row],[Discount Percentage (%)]]/100),Table22[[#This Row],[Total Sales (in USD)]])</f>
        <v>93323.731249999997</v>
      </c>
      <c r="Q170" s="66">
        <f>SQRT(AVERAGE((Table22[[#This Row],[Net Sales (after discount) (in USD)]]-AVERAGE(Table22[Net Sales (after discount) (in USD)]))^2))</f>
        <v>56812.370686235459</v>
      </c>
      <c r="R170" s="18" t="b">
        <v>1</v>
      </c>
      <c r="S170" s="40">
        <v>1.31</v>
      </c>
      <c r="T170" s="18" t="b">
        <v>1</v>
      </c>
      <c r="U170" s="25">
        <v>45361</v>
      </c>
      <c r="V170" s="63" t="str">
        <f>IF(MONTH(Table22[[#This Row],[Sales Date]])&lt;=3,"Q1",IF(MONTH(Table22[[#This Row],[Sales Date]])&lt;=6,"Q2",IF(MONTH(Table22[[#This Row],[Sales Date]])&lt;=9,"Q3","Q4")))</f>
        <v>Q1</v>
      </c>
      <c r="W170" s="64">
        <f>YEAR(Table22[[#This Row],[Sales Date]])</f>
        <v>2024</v>
      </c>
      <c r="X170" s="23">
        <v>67</v>
      </c>
      <c r="Y170" s="18" t="s">
        <v>41</v>
      </c>
      <c r="Z170" s="18" t="s">
        <v>30</v>
      </c>
      <c r="AA170" s="19" t="s">
        <v>25</v>
      </c>
    </row>
    <row r="171" spans="1:27" x14ac:dyDescent="0.25">
      <c r="A171" s="17" t="s">
        <v>1658</v>
      </c>
      <c r="B171" s="18" t="s">
        <v>62</v>
      </c>
      <c r="C171" s="63" t="str" cm="1">
        <f t="array" ref="C171">_xlfn.SWITCH(Table22[[#This Row],[Country]],"USA","North America","Canada","North America","Brazil","South America","China","Asia","Japan","Asia","India","Asia","France","Europe","Germany","Europe","UK","Europe","Australia","Oceania","South America")</f>
        <v>Oceania</v>
      </c>
      <c r="D171" s="18" t="s">
        <v>21</v>
      </c>
      <c r="E171" s="18" t="s">
        <v>39</v>
      </c>
      <c r="F171" s="18" t="s">
        <v>47</v>
      </c>
      <c r="G171" s="18" t="s">
        <v>40</v>
      </c>
      <c r="H171" s="64">
        <f>LEN(TRIM(Table22[[#This Row],[Country]]))</f>
        <v>9</v>
      </c>
      <c r="I171" s="64">
        <f>LEN(TRIM(Table22[[#This Row],[Continent]]))</f>
        <v>7</v>
      </c>
      <c r="J171" s="64">
        <f>LEN(TRIM(Table22[[#This Row],[Product]]))</f>
        <v>10</v>
      </c>
      <c r="K171" s="64">
        <f>LEN(TRIM(Table22[[#This Row],[Sales Team]]))</f>
        <v>10</v>
      </c>
      <c r="L171" s="23">
        <v>64</v>
      </c>
      <c r="M171" s="65" t="str" cm="1">
        <f t="array" ref="M171">_xlfn.IFS(Table22[[#This Row],[Units Sold]]&lt;40,"Critical",Table22[[#This Row],[Units Sold]]&lt;=50,"Poor",Table22[[#This Row],[Units Sold]]&lt;=60,"Low",Table22[[#This Row],[Units Sold]]&lt;=80,"Average",Table22[[#This Row],[Units Sold]]&lt;=90,"High",Table22[[#This Row],[Units Sold]]&lt;=95,"Excellent",Table22[[#This Row],[Units Sold]]&gt;95,"Outstanding")</f>
        <v>Average</v>
      </c>
      <c r="N171" s="29">
        <v>1477.08</v>
      </c>
      <c r="O171" s="29">
        <v>94533.119999999995</v>
      </c>
      <c r="P171" s="43">
        <f>IF(Table22[[#This Row],[Discount Applied]],Table22[[#This Row],[Total Sales (in USD)]]*(1-Table22[[#This Row],[Discount Percentage (%)]]/100),Table22[[#This Row],[Total Sales (in USD)]])</f>
        <v>94533.119999999995</v>
      </c>
      <c r="Q171" s="66">
        <f>SQRT(AVERAGE((Table22[[#This Row],[Net Sales (after discount) (in USD)]]-AVERAGE(Table22[Net Sales (after discount) (in USD)]))^2))</f>
        <v>58021.759436235458</v>
      </c>
      <c r="R171" s="18" t="b">
        <v>0</v>
      </c>
      <c r="S171" s="40">
        <v>9.82</v>
      </c>
      <c r="T171" s="18" t="b">
        <v>0</v>
      </c>
      <c r="U171" s="25">
        <v>45203</v>
      </c>
      <c r="V171" s="63" t="str">
        <f>IF(MONTH(Table22[[#This Row],[Sales Date]])&lt;=3,"Q1",IF(MONTH(Table22[[#This Row],[Sales Date]])&lt;=6,"Q2",IF(MONTH(Table22[[#This Row],[Sales Date]])&lt;=9,"Q3","Q4")))</f>
        <v>Q4</v>
      </c>
      <c r="W171" s="64">
        <f>YEAR(Table22[[#This Row],[Sales Date]])</f>
        <v>2023</v>
      </c>
      <c r="X171" s="23">
        <v>49</v>
      </c>
      <c r="Y171" s="18" t="s">
        <v>41</v>
      </c>
      <c r="Z171" s="18" t="s">
        <v>56</v>
      </c>
      <c r="AA171" s="19" t="s">
        <v>36</v>
      </c>
    </row>
    <row r="172" spans="1:27" x14ac:dyDescent="0.25">
      <c r="A172" s="17" t="s">
        <v>1612</v>
      </c>
      <c r="B172" s="18" t="s">
        <v>76</v>
      </c>
      <c r="C172" s="63" t="str" cm="1">
        <f t="array" ref="C172">_xlfn.SWITCH(Table22[[#This Row],[Country]],"USA","North America","Canada","North America","Brazil","South America","China","Asia","Japan","Asia","India","Asia","France","Europe","Germany","Europe","UK","Europe","Australia","Oceania","South America")</f>
        <v>Asia</v>
      </c>
      <c r="D172" s="18" t="s">
        <v>28</v>
      </c>
      <c r="E172" s="18" t="s">
        <v>39</v>
      </c>
      <c r="F172" s="18" t="s">
        <v>47</v>
      </c>
      <c r="G172" s="18" t="s">
        <v>40</v>
      </c>
      <c r="H172" s="64">
        <f>LEN(TRIM(Table22[[#This Row],[Country]]))</f>
        <v>5</v>
      </c>
      <c r="I172" s="64">
        <f>LEN(TRIM(Table22[[#This Row],[Continent]]))</f>
        <v>4</v>
      </c>
      <c r="J172" s="64">
        <f>LEN(TRIM(Table22[[#This Row],[Product]]))</f>
        <v>10</v>
      </c>
      <c r="K172" s="64">
        <f>LEN(TRIM(Table22[[#This Row],[Sales Team]]))</f>
        <v>10</v>
      </c>
      <c r="L172" s="23">
        <v>68</v>
      </c>
      <c r="M172" s="65" t="str" cm="1">
        <f t="array" ref="M172">_xlfn.IFS(Table22[[#This Row],[Units Sold]]&lt;40,"Critical",Table22[[#This Row],[Units Sold]]&lt;=50,"Poor",Table22[[#This Row],[Units Sold]]&lt;=60,"Low",Table22[[#This Row],[Units Sold]]&lt;=80,"Average",Table22[[#This Row],[Units Sold]]&lt;=90,"High",Table22[[#This Row],[Units Sold]]&lt;=95,"Excellent",Table22[[#This Row],[Units Sold]]&gt;95,"Outstanding")</f>
        <v>Average</v>
      </c>
      <c r="N172" s="29">
        <v>1387.8</v>
      </c>
      <c r="O172" s="29">
        <v>94370.4</v>
      </c>
      <c r="P172" s="43">
        <f>IF(Table22[[#This Row],[Discount Applied]],Table22[[#This Row],[Total Sales (in USD)]]*(1-Table22[[#This Row],[Discount Percentage (%)]]/100),Table22[[#This Row],[Total Sales (in USD)]])</f>
        <v>75317.016239999997</v>
      </c>
      <c r="Q172" s="66">
        <f>SQRT(AVERAGE((Table22[[#This Row],[Net Sales (after discount) (in USD)]]-AVERAGE(Table22[Net Sales (after discount) (in USD)]))^2))</f>
        <v>38805.655676235459</v>
      </c>
      <c r="R172" s="18" t="b">
        <v>1</v>
      </c>
      <c r="S172" s="40">
        <v>20.190000000000001</v>
      </c>
      <c r="T172" s="18" t="b">
        <v>1</v>
      </c>
      <c r="U172" s="25">
        <v>45259</v>
      </c>
      <c r="V172" s="63" t="str">
        <f>IF(MONTH(Table22[[#This Row],[Sales Date]])&lt;=3,"Q1",IF(MONTH(Table22[[#This Row],[Sales Date]])&lt;=6,"Q2",IF(MONTH(Table22[[#This Row],[Sales Date]])&lt;=9,"Q3","Q4")))</f>
        <v>Q4</v>
      </c>
      <c r="W172" s="64">
        <f>YEAR(Table22[[#This Row],[Sales Date]])</f>
        <v>2023</v>
      </c>
      <c r="X172" s="23">
        <v>40</v>
      </c>
      <c r="Y172" s="18" t="s">
        <v>41</v>
      </c>
      <c r="Z172" s="18" t="s">
        <v>42</v>
      </c>
      <c r="AA172" s="19" t="s">
        <v>36</v>
      </c>
    </row>
    <row r="173" spans="1:27" x14ac:dyDescent="0.25">
      <c r="A173" s="17" t="s">
        <v>263</v>
      </c>
      <c r="B173" s="18" t="s">
        <v>27</v>
      </c>
      <c r="C173" s="63" t="str" cm="1">
        <f t="array" ref="C173">_xlfn.SWITCH(Table22[[#This Row],[Country]],"USA","North America","Canada","North America","Brazil","South America","China","Asia","Japan","Asia","India","Asia","France","Europe","Germany","Europe","UK","Europe","Australia","Oceania","South America")</f>
        <v>Europe</v>
      </c>
      <c r="D173" s="18" t="s">
        <v>21</v>
      </c>
      <c r="E173" s="18" t="s">
        <v>19</v>
      </c>
      <c r="F173" s="18" t="s">
        <v>47</v>
      </c>
      <c r="G173" s="18" t="s">
        <v>48</v>
      </c>
      <c r="H173" s="64">
        <f>LEN(TRIM(Table22[[#This Row],[Country]]))</f>
        <v>7</v>
      </c>
      <c r="I173" s="64">
        <f>LEN(TRIM(Table22[[#This Row],[Continent]]))</f>
        <v>6</v>
      </c>
      <c r="J173" s="64">
        <f>LEN(TRIM(Table22[[#This Row],[Product]]))</f>
        <v>6</v>
      </c>
      <c r="K173" s="64">
        <f>LEN(TRIM(Table22[[#This Row],[Sales Team]]))</f>
        <v>9</v>
      </c>
      <c r="L173" s="23">
        <v>76</v>
      </c>
      <c r="M173" s="65" t="str" cm="1">
        <f t="array" ref="M173">_xlfn.IFS(Table22[[#This Row],[Units Sold]]&lt;40,"Critical",Table22[[#This Row],[Units Sold]]&lt;=50,"Poor",Table22[[#This Row],[Units Sold]]&lt;=60,"Low",Table22[[#This Row],[Units Sold]]&lt;=80,"Average",Table22[[#This Row],[Units Sold]]&lt;=90,"High",Table22[[#This Row],[Units Sold]]&lt;=95,"Excellent",Table22[[#This Row],[Units Sold]]&gt;95,"Outstanding")</f>
        <v>Average</v>
      </c>
      <c r="N173" s="29">
        <v>1241.3900000000001</v>
      </c>
      <c r="O173" s="29">
        <v>94345.64</v>
      </c>
      <c r="P173" s="43">
        <f>IF(Table22[[#This Row],[Discount Applied]],Table22[[#This Row],[Total Sales (in USD)]]*(1-Table22[[#This Row],[Discount Percentage (%)]]/100),Table22[[#This Row],[Total Sales (in USD)]])</f>
        <v>92656.853044000003</v>
      </c>
      <c r="Q173" s="66">
        <f>SQRT(AVERAGE((Table22[[#This Row],[Net Sales (after discount) (in USD)]]-AVERAGE(Table22[Net Sales (after discount) (in USD)]))^2))</f>
        <v>56145.492480235465</v>
      </c>
      <c r="R173" s="18" t="b">
        <v>0</v>
      </c>
      <c r="S173" s="40">
        <v>1.79</v>
      </c>
      <c r="T173" s="18" t="b">
        <v>1</v>
      </c>
      <c r="U173" s="25">
        <v>45342</v>
      </c>
      <c r="V173" s="63" t="str">
        <f>IF(MONTH(Table22[[#This Row],[Sales Date]])&lt;=3,"Q1",IF(MONTH(Table22[[#This Row],[Sales Date]])&lt;=6,"Q2",IF(MONTH(Table22[[#This Row],[Sales Date]])&lt;=9,"Q3","Q4")))</f>
        <v>Q1</v>
      </c>
      <c r="W173" s="64">
        <f>YEAR(Table22[[#This Row],[Sales Date]])</f>
        <v>2024</v>
      </c>
      <c r="X173" s="23">
        <v>39</v>
      </c>
      <c r="Y173" s="18" t="s">
        <v>23</v>
      </c>
      <c r="Z173" s="18" t="s">
        <v>30</v>
      </c>
      <c r="AA173" s="19" t="s">
        <v>36</v>
      </c>
    </row>
    <row r="174" spans="1:27" x14ac:dyDescent="0.25">
      <c r="A174" s="17" t="s">
        <v>1170</v>
      </c>
      <c r="B174" s="18" t="s">
        <v>32</v>
      </c>
      <c r="C174" s="63" t="str" cm="1">
        <f t="array" ref="C174">_xlfn.SWITCH(Table22[[#This Row],[Country]],"USA","North America","Canada","North America","Brazil","South America","China","Asia","Japan","Asia","India","Asia","France","Europe","Germany","Europe","UK","Europe","Australia","Oceania","South America")</f>
        <v>Asia</v>
      </c>
      <c r="D174" s="18" t="s">
        <v>44</v>
      </c>
      <c r="E174" s="18" t="s">
        <v>19</v>
      </c>
      <c r="F174" s="18" t="s">
        <v>52</v>
      </c>
      <c r="G174" s="18" t="s">
        <v>40</v>
      </c>
      <c r="H174" s="64">
        <f>LEN(TRIM(Table22[[#This Row],[Country]]))</f>
        <v>5</v>
      </c>
      <c r="I174" s="64">
        <f>LEN(TRIM(Table22[[#This Row],[Continent]]))</f>
        <v>4</v>
      </c>
      <c r="J174" s="64">
        <f>LEN(TRIM(Table22[[#This Row],[Product]]))</f>
        <v>6</v>
      </c>
      <c r="K174" s="64">
        <f>LEN(TRIM(Table22[[#This Row],[Sales Team]]))</f>
        <v>10</v>
      </c>
      <c r="L174" s="23">
        <v>78</v>
      </c>
      <c r="M174" s="65" t="str" cm="1">
        <f t="array" ref="M174">_xlfn.IFS(Table22[[#This Row],[Units Sold]]&lt;40,"Critical",Table22[[#This Row],[Units Sold]]&lt;=50,"Poor",Table22[[#This Row],[Units Sold]]&lt;=60,"Low",Table22[[#This Row],[Units Sold]]&lt;=80,"Average",Table22[[#This Row],[Units Sold]]&lt;=90,"High",Table22[[#This Row],[Units Sold]]&lt;=95,"Excellent",Table22[[#This Row],[Units Sold]]&gt;95,"Outstanding")</f>
        <v>Average</v>
      </c>
      <c r="N174" s="29">
        <v>1205.57</v>
      </c>
      <c r="O174" s="29">
        <v>94034.46</v>
      </c>
      <c r="P174" s="43">
        <f>IF(Table22[[#This Row],[Discount Applied]],Table22[[#This Row],[Total Sales (in USD)]]*(1-Table22[[#This Row],[Discount Percentage (%)]]/100),Table22[[#This Row],[Total Sales (in USD)]])</f>
        <v>73581.964950000009</v>
      </c>
      <c r="Q174" s="66">
        <f>SQRT(AVERAGE((Table22[[#This Row],[Net Sales (after discount) (in USD)]]-AVERAGE(Table22[Net Sales (after discount) (in USD)]))^2))</f>
        <v>37070.604386235471</v>
      </c>
      <c r="R174" s="18" t="b">
        <v>1</v>
      </c>
      <c r="S174" s="40">
        <v>21.75</v>
      </c>
      <c r="T174" s="18" t="b">
        <v>1</v>
      </c>
      <c r="U174" s="25">
        <v>45541</v>
      </c>
      <c r="V174" s="63" t="str">
        <f>IF(MONTH(Table22[[#This Row],[Sales Date]])&lt;=3,"Q1",IF(MONTH(Table22[[#This Row],[Sales Date]])&lt;=6,"Q2",IF(MONTH(Table22[[#This Row],[Sales Date]])&lt;=9,"Q3","Q4")))</f>
        <v>Q3</v>
      </c>
      <c r="W174" s="64">
        <f>YEAR(Table22[[#This Row],[Sales Date]])</f>
        <v>2024</v>
      </c>
      <c r="X174" s="23">
        <v>63</v>
      </c>
      <c r="Y174" s="18" t="s">
        <v>49</v>
      </c>
      <c r="Z174" s="18" t="s">
        <v>30</v>
      </c>
      <c r="AA174" s="19" t="s">
        <v>36</v>
      </c>
    </row>
    <row r="175" spans="1:27" x14ac:dyDescent="0.25">
      <c r="A175" s="17" t="s">
        <v>653</v>
      </c>
      <c r="B175" s="18" t="s">
        <v>62</v>
      </c>
      <c r="C175" s="63" t="str" cm="1">
        <f t="array" ref="C175">_xlfn.SWITCH(Table22[[#This Row],[Country]],"USA","North America","Canada","North America","Brazil","South America","China","Asia","Japan","Asia","India","Asia","France","Europe","Germany","Europe","UK","Europe","Australia","Oceania","South America")</f>
        <v>Oceania</v>
      </c>
      <c r="D175" s="18" t="s">
        <v>44</v>
      </c>
      <c r="E175" s="18" t="s">
        <v>19</v>
      </c>
      <c r="F175" s="18" t="s">
        <v>34</v>
      </c>
      <c r="G175" s="18" t="s">
        <v>22</v>
      </c>
      <c r="H175" s="64">
        <f>LEN(TRIM(Table22[[#This Row],[Country]]))</f>
        <v>9</v>
      </c>
      <c r="I175" s="64">
        <f>LEN(TRIM(Table22[[#This Row],[Continent]]))</f>
        <v>7</v>
      </c>
      <c r="J175" s="64">
        <f>LEN(TRIM(Table22[[#This Row],[Product]]))</f>
        <v>6</v>
      </c>
      <c r="K175" s="64">
        <f>LEN(TRIM(Table22[[#This Row],[Sales Team]]))</f>
        <v>10</v>
      </c>
      <c r="L175" s="23">
        <v>83</v>
      </c>
      <c r="M175" s="65" t="str" cm="1">
        <f t="array" ref="M175">_xlfn.IFS(Table22[[#This Row],[Units Sold]]&lt;40,"Critical",Table22[[#This Row],[Units Sold]]&lt;=50,"Poor",Table22[[#This Row],[Units Sold]]&lt;=60,"Low",Table22[[#This Row],[Units Sold]]&lt;=80,"Average",Table22[[#This Row],[Units Sold]]&lt;=90,"High",Table22[[#This Row],[Units Sold]]&lt;=95,"Excellent",Table22[[#This Row],[Units Sold]]&gt;95,"Outstanding")</f>
        <v>High</v>
      </c>
      <c r="N175" s="29">
        <v>1131.54</v>
      </c>
      <c r="O175" s="29">
        <v>93917.82</v>
      </c>
      <c r="P175" s="43">
        <f>IF(Table22[[#This Row],[Discount Applied]],Table22[[#This Row],[Total Sales (in USD)]]*(1-Table22[[#This Row],[Discount Percentage (%)]]/100),Table22[[#This Row],[Total Sales (in USD)]])</f>
        <v>93917.82</v>
      </c>
      <c r="Q175" s="66">
        <f>SQRT(AVERAGE((Table22[[#This Row],[Net Sales (after discount) (in USD)]]-AVERAGE(Table22[Net Sales (after discount) (in USD)]))^2))</f>
        <v>57406.459436235469</v>
      </c>
      <c r="R175" s="18" t="b">
        <v>1</v>
      </c>
      <c r="S175" s="40">
        <v>27.6</v>
      </c>
      <c r="T175" s="18" t="b">
        <v>0</v>
      </c>
      <c r="U175" s="25">
        <v>45572</v>
      </c>
      <c r="V175" s="63" t="str">
        <f>IF(MONTH(Table22[[#This Row],[Sales Date]])&lt;=3,"Q1",IF(MONTH(Table22[[#This Row],[Sales Date]])&lt;=6,"Q2",IF(MONTH(Table22[[#This Row],[Sales Date]])&lt;=9,"Q3","Q4")))</f>
        <v>Q4</v>
      </c>
      <c r="W175" s="64">
        <f>YEAR(Table22[[#This Row],[Sales Date]])</f>
        <v>2024</v>
      </c>
      <c r="X175" s="23">
        <v>65</v>
      </c>
      <c r="Y175" s="18" t="s">
        <v>23</v>
      </c>
      <c r="Z175" s="18" t="s">
        <v>30</v>
      </c>
      <c r="AA175" s="19" t="s">
        <v>25</v>
      </c>
    </row>
    <row r="176" spans="1:27" x14ac:dyDescent="0.25">
      <c r="A176" s="17" t="s">
        <v>1370</v>
      </c>
      <c r="B176" s="18" t="s">
        <v>46</v>
      </c>
      <c r="C176" s="63" t="str" cm="1">
        <f t="array" ref="C176">_xlfn.SWITCH(Table22[[#This Row],[Country]],"USA","North America","Canada","North America","Brazil","South America","China","Asia","Japan","Asia","India","Asia","France","Europe","Germany","Europe","UK","Europe","Australia","Oceania","South America")</f>
        <v>South America</v>
      </c>
      <c r="D176" s="18" t="s">
        <v>28</v>
      </c>
      <c r="E176" s="18" t="s">
        <v>19</v>
      </c>
      <c r="F176" s="18" t="s">
        <v>47</v>
      </c>
      <c r="G176" s="18" t="s">
        <v>22</v>
      </c>
      <c r="H176" s="64">
        <f>LEN(TRIM(Table22[[#This Row],[Country]]))</f>
        <v>6</v>
      </c>
      <c r="I176" s="64">
        <f>LEN(TRIM(Table22[[#This Row],[Continent]]))</f>
        <v>13</v>
      </c>
      <c r="J176" s="64">
        <f>LEN(TRIM(Table22[[#This Row],[Product]]))</f>
        <v>6</v>
      </c>
      <c r="K176" s="64">
        <f>LEN(TRIM(Table22[[#This Row],[Sales Team]]))</f>
        <v>10</v>
      </c>
      <c r="L176" s="23">
        <v>78</v>
      </c>
      <c r="M176" s="65" t="str" cm="1">
        <f t="array" ref="M176">_xlfn.IFS(Table22[[#This Row],[Units Sold]]&lt;40,"Critical",Table22[[#This Row],[Units Sold]]&lt;=50,"Poor",Table22[[#This Row],[Units Sold]]&lt;=60,"Low",Table22[[#This Row],[Units Sold]]&lt;=80,"Average",Table22[[#This Row],[Units Sold]]&lt;=90,"High",Table22[[#This Row],[Units Sold]]&lt;=95,"Excellent",Table22[[#This Row],[Units Sold]]&gt;95,"Outstanding")</f>
        <v>Average</v>
      </c>
      <c r="N176" s="29">
        <v>1204.07</v>
      </c>
      <c r="O176" s="29">
        <v>93917.46</v>
      </c>
      <c r="P176" s="43">
        <f>IF(Table22[[#This Row],[Discount Applied]],Table22[[#This Row],[Total Sales (in USD)]]*(1-Table22[[#This Row],[Discount Percentage (%)]]/100),Table22[[#This Row],[Total Sales (in USD)]])</f>
        <v>93917.46</v>
      </c>
      <c r="Q176" s="66">
        <f>SQRT(AVERAGE((Table22[[#This Row],[Net Sales (after discount) (in USD)]]-AVERAGE(Table22[Net Sales (after discount) (in USD)]))^2))</f>
        <v>57406.099436235469</v>
      </c>
      <c r="R176" s="18" t="b">
        <v>0</v>
      </c>
      <c r="S176" s="40">
        <v>20.79</v>
      </c>
      <c r="T176" s="18" t="b">
        <v>0</v>
      </c>
      <c r="U176" s="25">
        <v>45039</v>
      </c>
      <c r="V176" s="63" t="str">
        <f>IF(MONTH(Table22[[#This Row],[Sales Date]])&lt;=3,"Q1",IF(MONTH(Table22[[#This Row],[Sales Date]])&lt;=6,"Q2",IF(MONTH(Table22[[#This Row],[Sales Date]])&lt;=9,"Q3","Q4")))</f>
        <v>Q2</v>
      </c>
      <c r="W176" s="64">
        <f>YEAR(Table22[[#This Row],[Sales Date]])</f>
        <v>2023</v>
      </c>
      <c r="X176" s="23">
        <v>43</v>
      </c>
      <c r="Y176" s="18" t="s">
        <v>41</v>
      </c>
      <c r="Z176" s="18" t="s">
        <v>56</v>
      </c>
      <c r="AA176" s="19" t="s">
        <v>25</v>
      </c>
    </row>
    <row r="177" spans="1:27" x14ac:dyDescent="0.25">
      <c r="A177" s="17" t="s">
        <v>181</v>
      </c>
      <c r="B177" s="18" t="s">
        <v>18</v>
      </c>
      <c r="C177" s="63" t="str" cm="1">
        <f t="array" ref="C177">_xlfn.SWITCH(Table22[[#This Row],[Country]],"USA","North America","Canada","North America","Brazil","South America","China","Asia","Japan","Asia","India","Asia","France","Europe","Germany","Europe","UK","Europe","Australia","Oceania","South America")</f>
        <v>Asia</v>
      </c>
      <c r="D177" s="18" t="s">
        <v>35</v>
      </c>
      <c r="E177" s="18" t="s">
        <v>33</v>
      </c>
      <c r="F177" s="18" t="s">
        <v>52</v>
      </c>
      <c r="G177" s="18" t="s">
        <v>29</v>
      </c>
      <c r="H177" s="64">
        <f>LEN(TRIM(Table22[[#This Row],[Country]]))</f>
        <v>5</v>
      </c>
      <c r="I177" s="64">
        <f>LEN(TRIM(Table22[[#This Row],[Continent]]))</f>
        <v>4</v>
      </c>
      <c r="J177" s="64">
        <f>LEN(TRIM(Table22[[#This Row],[Product]]))</f>
        <v>10</v>
      </c>
      <c r="K177" s="64">
        <f>LEN(TRIM(Table22[[#This Row],[Sales Team]]))</f>
        <v>10</v>
      </c>
      <c r="L177" s="23">
        <v>63</v>
      </c>
      <c r="M177" s="65" t="str" cm="1">
        <f t="array" ref="M177">_xlfn.IFS(Table22[[#This Row],[Units Sold]]&lt;40,"Critical",Table22[[#This Row],[Units Sold]]&lt;=50,"Poor",Table22[[#This Row],[Units Sold]]&lt;=60,"Low",Table22[[#This Row],[Units Sold]]&lt;=80,"Average",Table22[[#This Row],[Units Sold]]&lt;=90,"High",Table22[[#This Row],[Units Sold]]&lt;=95,"Excellent",Table22[[#This Row],[Units Sold]]&gt;95,"Outstanding")</f>
        <v>Average</v>
      </c>
      <c r="N177" s="29">
        <v>1488.24</v>
      </c>
      <c r="O177" s="29">
        <v>93759.12</v>
      </c>
      <c r="P177" s="43">
        <f>IF(Table22[[#This Row],[Discount Applied]],Table22[[#This Row],[Total Sales (in USD)]]*(1-Table22[[#This Row],[Discount Percentage (%)]]/100),Table22[[#This Row],[Total Sales (in USD)]])</f>
        <v>72569.558879999997</v>
      </c>
      <c r="Q177" s="66">
        <f>SQRT(AVERAGE((Table22[[#This Row],[Net Sales (after discount) (in USD)]]-AVERAGE(Table22[Net Sales (after discount) (in USD)]))^2))</f>
        <v>36058.198316235459</v>
      </c>
      <c r="R177" s="18" t="b">
        <v>1</v>
      </c>
      <c r="S177" s="40">
        <v>22.6</v>
      </c>
      <c r="T177" s="18" t="b">
        <v>1</v>
      </c>
      <c r="U177" s="25">
        <v>44941</v>
      </c>
      <c r="V177" s="63" t="str">
        <f>IF(MONTH(Table22[[#This Row],[Sales Date]])&lt;=3,"Q1",IF(MONTH(Table22[[#This Row],[Sales Date]])&lt;=6,"Q2",IF(MONTH(Table22[[#This Row],[Sales Date]])&lt;=9,"Q3","Q4")))</f>
        <v>Q1</v>
      </c>
      <c r="W177" s="64">
        <f>YEAR(Table22[[#This Row],[Sales Date]])</f>
        <v>2023</v>
      </c>
      <c r="X177" s="23">
        <v>57</v>
      </c>
      <c r="Y177" s="18" t="s">
        <v>23</v>
      </c>
      <c r="Z177" s="18" t="s">
        <v>24</v>
      </c>
      <c r="AA177" s="19" t="s">
        <v>25</v>
      </c>
    </row>
    <row r="178" spans="1:27" x14ac:dyDescent="0.25">
      <c r="A178" s="17" t="s">
        <v>640</v>
      </c>
      <c r="B178" s="18" t="s">
        <v>62</v>
      </c>
      <c r="C178" s="63" t="str" cm="1">
        <f t="array" ref="C178">_xlfn.SWITCH(Table22[[#This Row],[Country]],"USA","North America","Canada","North America","Brazil","South America","China","Asia","Japan","Asia","India","Asia","France","Europe","Germany","Europe","UK","Europe","Australia","Oceania","South America")</f>
        <v>Oceania</v>
      </c>
      <c r="D178" s="18" t="s">
        <v>44</v>
      </c>
      <c r="E178" s="18" t="s">
        <v>33</v>
      </c>
      <c r="F178" s="18" t="s">
        <v>52</v>
      </c>
      <c r="G178" s="18" t="s">
        <v>40</v>
      </c>
      <c r="H178" s="64">
        <f>LEN(TRIM(Table22[[#This Row],[Country]]))</f>
        <v>9</v>
      </c>
      <c r="I178" s="64">
        <f>LEN(TRIM(Table22[[#This Row],[Continent]]))</f>
        <v>7</v>
      </c>
      <c r="J178" s="64">
        <f>LEN(TRIM(Table22[[#This Row],[Product]]))</f>
        <v>10</v>
      </c>
      <c r="K178" s="64">
        <f>LEN(TRIM(Table22[[#This Row],[Sales Team]]))</f>
        <v>10</v>
      </c>
      <c r="L178" s="23">
        <v>73</v>
      </c>
      <c r="M178" s="65" t="str" cm="1">
        <f t="array" ref="M178">_xlfn.IFS(Table22[[#This Row],[Units Sold]]&lt;40,"Critical",Table22[[#This Row],[Units Sold]]&lt;=50,"Poor",Table22[[#This Row],[Units Sold]]&lt;=60,"Low",Table22[[#This Row],[Units Sold]]&lt;=80,"Average",Table22[[#This Row],[Units Sold]]&lt;=90,"High",Table22[[#This Row],[Units Sold]]&lt;=95,"Excellent",Table22[[#This Row],[Units Sold]]&gt;95,"Outstanding")</f>
        <v>Average</v>
      </c>
      <c r="N178" s="29">
        <v>1283.6300000000001</v>
      </c>
      <c r="O178" s="29">
        <v>93704.99</v>
      </c>
      <c r="P178" s="43">
        <f>IF(Table22[[#This Row],[Discount Applied]],Table22[[#This Row],[Total Sales (in USD)]]*(1-Table22[[#This Row],[Discount Percentage (%)]]/100),Table22[[#This Row],[Total Sales (in USD)]])</f>
        <v>71496.907370000001</v>
      </c>
      <c r="Q178" s="66">
        <f>SQRT(AVERAGE((Table22[[#This Row],[Net Sales (after discount) (in USD)]]-AVERAGE(Table22[Net Sales (after discount) (in USD)]))^2))</f>
        <v>34985.546806235463</v>
      </c>
      <c r="R178" s="18" t="b">
        <v>0</v>
      </c>
      <c r="S178" s="40">
        <v>23.7</v>
      </c>
      <c r="T178" s="18" t="b">
        <v>1</v>
      </c>
      <c r="U178" s="25">
        <v>45496</v>
      </c>
      <c r="V178" s="63" t="str">
        <f>IF(MONTH(Table22[[#This Row],[Sales Date]])&lt;=3,"Q1",IF(MONTH(Table22[[#This Row],[Sales Date]])&lt;=6,"Q2",IF(MONTH(Table22[[#This Row],[Sales Date]])&lt;=9,"Q3","Q4")))</f>
        <v>Q3</v>
      </c>
      <c r="W178" s="64">
        <f>YEAR(Table22[[#This Row],[Sales Date]])</f>
        <v>2024</v>
      </c>
      <c r="X178" s="23">
        <v>66</v>
      </c>
      <c r="Y178" s="18" t="s">
        <v>41</v>
      </c>
      <c r="Z178" s="18" t="s">
        <v>56</v>
      </c>
      <c r="AA178" s="19" t="s">
        <v>36</v>
      </c>
    </row>
    <row r="179" spans="1:27" x14ac:dyDescent="0.25">
      <c r="A179" s="17" t="s">
        <v>1828</v>
      </c>
      <c r="B179" s="18" t="s">
        <v>38</v>
      </c>
      <c r="C179" s="63" t="str" cm="1">
        <f t="array" ref="C179">_xlfn.SWITCH(Table22[[#This Row],[Country]],"USA","North America","Canada","North America","Brazil","South America","China","Asia","Japan","Asia","India","Asia","France","Europe","Germany","Europe","UK","Europe","Australia","Oceania","South America")</f>
        <v>Europe</v>
      </c>
      <c r="D179" s="18" t="s">
        <v>44</v>
      </c>
      <c r="E179" s="18" t="s">
        <v>33</v>
      </c>
      <c r="F179" s="18" t="s">
        <v>20</v>
      </c>
      <c r="G179" s="18" t="s">
        <v>40</v>
      </c>
      <c r="H179" s="64">
        <f>LEN(TRIM(Table22[[#This Row],[Country]]))</f>
        <v>6</v>
      </c>
      <c r="I179" s="64">
        <f>LEN(TRIM(Table22[[#This Row],[Continent]]))</f>
        <v>6</v>
      </c>
      <c r="J179" s="64">
        <f>LEN(TRIM(Table22[[#This Row],[Product]]))</f>
        <v>10</v>
      </c>
      <c r="K179" s="64">
        <f>LEN(TRIM(Table22[[#This Row],[Sales Team]]))</f>
        <v>10</v>
      </c>
      <c r="L179" s="23">
        <v>87</v>
      </c>
      <c r="M179" s="65" t="str" cm="1">
        <f t="array" ref="M179">_xlfn.IFS(Table22[[#This Row],[Units Sold]]&lt;40,"Critical",Table22[[#This Row],[Units Sold]]&lt;=50,"Poor",Table22[[#This Row],[Units Sold]]&lt;=60,"Low",Table22[[#This Row],[Units Sold]]&lt;=80,"Average",Table22[[#This Row],[Units Sold]]&lt;=90,"High",Table22[[#This Row],[Units Sold]]&lt;=95,"Excellent",Table22[[#This Row],[Units Sold]]&gt;95,"Outstanding")</f>
        <v>High</v>
      </c>
      <c r="N179" s="29">
        <v>1076.4000000000001</v>
      </c>
      <c r="O179" s="29">
        <v>93646.8</v>
      </c>
      <c r="P179" s="43">
        <f>IF(Table22[[#This Row],[Discount Applied]],Table22[[#This Row],[Total Sales (in USD)]]*(1-Table22[[#This Row],[Discount Percentage (%)]]/100),Table22[[#This Row],[Total Sales (in USD)]])</f>
        <v>93646.8</v>
      </c>
      <c r="Q179" s="66">
        <f>SQRT(AVERAGE((Table22[[#This Row],[Net Sales (after discount) (in USD)]]-AVERAGE(Table22[Net Sales (after discount) (in USD)]))^2))</f>
        <v>57135.439436235465</v>
      </c>
      <c r="R179" s="18" t="b">
        <v>1</v>
      </c>
      <c r="S179" s="40">
        <v>19.46</v>
      </c>
      <c r="T179" s="18" t="b">
        <v>0</v>
      </c>
      <c r="U179" s="25">
        <v>45187</v>
      </c>
      <c r="V179" s="63" t="str">
        <f>IF(MONTH(Table22[[#This Row],[Sales Date]])&lt;=3,"Q1",IF(MONTH(Table22[[#This Row],[Sales Date]])&lt;=6,"Q2",IF(MONTH(Table22[[#This Row],[Sales Date]])&lt;=9,"Q3","Q4")))</f>
        <v>Q3</v>
      </c>
      <c r="W179" s="64">
        <f>YEAR(Table22[[#This Row],[Sales Date]])</f>
        <v>2023</v>
      </c>
      <c r="X179" s="23">
        <v>44</v>
      </c>
      <c r="Y179" s="18" t="s">
        <v>49</v>
      </c>
      <c r="Z179" s="18" t="s">
        <v>42</v>
      </c>
      <c r="AA179" s="19" t="s">
        <v>25</v>
      </c>
    </row>
    <row r="180" spans="1:27" x14ac:dyDescent="0.25">
      <c r="A180" s="17" t="s">
        <v>1994</v>
      </c>
      <c r="B180" s="18" t="s">
        <v>72</v>
      </c>
      <c r="C180" s="63" t="str" cm="1">
        <f t="array" ref="C180">_xlfn.SWITCH(Table22[[#This Row],[Country]],"USA","North America","Canada","North America","Brazil","South America","China","Asia","Japan","Asia","India","Asia","France","Europe","Germany","Europe","UK","Europe","Australia","Oceania","South America")</f>
        <v>North America</v>
      </c>
      <c r="D180" s="18" t="s">
        <v>44</v>
      </c>
      <c r="E180" s="18" t="s">
        <v>33</v>
      </c>
      <c r="F180" s="18" t="s">
        <v>47</v>
      </c>
      <c r="G180" s="18" t="s">
        <v>40</v>
      </c>
      <c r="H180" s="64">
        <f>LEN(TRIM(Table22[[#This Row],[Country]]))</f>
        <v>3</v>
      </c>
      <c r="I180" s="64">
        <f>LEN(TRIM(Table22[[#This Row],[Continent]]))</f>
        <v>13</v>
      </c>
      <c r="J180" s="64">
        <f>LEN(TRIM(Table22[[#This Row],[Product]]))</f>
        <v>10</v>
      </c>
      <c r="K180" s="64">
        <f>LEN(TRIM(Table22[[#This Row],[Sales Team]]))</f>
        <v>10</v>
      </c>
      <c r="L180" s="23">
        <v>66</v>
      </c>
      <c r="M180" s="65" t="str" cm="1">
        <f t="array" ref="M180">_xlfn.IFS(Table22[[#This Row],[Units Sold]]&lt;40,"Critical",Table22[[#This Row],[Units Sold]]&lt;=50,"Poor",Table22[[#This Row],[Units Sold]]&lt;=60,"Low",Table22[[#This Row],[Units Sold]]&lt;=80,"Average",Table22[[#This Row],[Units Sold]]&lt;=90,"High",Table22[[#This Row],[Units Sold]]&lt;=95,"Excellent",Table22[[#This Row],[Units Sold]]&gt;95,"Outstanding")</f>
        <v>Average</v>
      </c>
      <c r="N180" s="29">
        <v>1411.93</v>
      </c>
      <c r="O180" s="29">
        <v>93187.38</v>
      </c>
      <c r="P180" s="43">
        <f>IF(Table22[[#This Row],[Discount Applied]],Table22[[#This Row],[Total Sales (in USD)]]*(1-Table22[[#This Row],[Discount Percentage (%)]]/100),Table22[[#This Row],[Total Sales (in USD)]])</f>
        <v>93187.38</v>
      </c>
      <c r="Q180" s="66">
        <f>SQRT(AVERAGE((Table22[[#This Row],[Net Sales (after discount) (in USD)]]-AVERAGE(Table22[Net Sales (after discount) (in USD)]))^2))</f>
        <v>56676.019436235467</v>
      </c>
      <c r="R180" s="18" t="b">
        <v>1</v>
      </c>
      <c r="S180" s="40">
        <v>20.05</v>
      </c>
      <c r="T180" s="18" t="b">
        <v>0</v>
      </c>
      <c r="U180" s="25">
        <v>44985</v>
      </c>
      <c r="V180" s="63" t="str">
        <f>IF(MONTH(Table22[[#This Row],[Sales Date]])&lt;=3,"Q1",IF(MONTH(Table22[[#This Row],[Sales Date]])&lt;=6,"Q2",IF(MONTH(Table22[[#This Row],[Sales Date]])&lt;=9,"Q3","Q4")))</f>
        <v>Q1</v>
      </c>
      <c r="W180" s="64">
        <f>YEAR(Table22[[#This Row],[Sales Date]])</f>
        <v>2023</v>
      </c>
      <c r="X180" s="23">
        <v>36</v>
      </c>
      <c r="Y180" s="18" t="s">
        <v>23</v>
      </c>
      <c r="Z180" s="18" t="s">
        <v>24</v>
      </c>
      <c r="AA180" s="19" t="s">
        <v>25</v>
      </c>
    </row>
    <row r="181" spans="1:27" x14ac:dyDescent="0.25">
      <c r="A181" s="17" t="s">
        <v>1341</v>
      </c>
      <c r="B181" s="18" t="s">
        <v>62</v>
      </c>
      <c r="C181" s="63" t="str" cm="1">
        <f t="array" ref="C181">_xlfn.SWITCH(Table22[[#This Row],[Country]],"USA","North America","Canada","North America","Brazil","South America","China","Asia","Japan","Asia","India","Asia","France","Europe","Germany","Europe","UK","Europe","Australia","Oceania","South America")</f>
        <v>Oceania</v>
      </c>
      <c r="D181" s="18" t="s">
        <v>44</v>
      </c>
      <c r="E181" s="18" t="s">
        <v>33</v>
      </c>
      <c r="F181" s="18" t="s">
        <v>34</v>
      </c>
      <c r="G181" s="18" t="s">
        <v>48</v>
      </c>
      <c r="H181" s="64">
        <f>LEN(TRIM(Table22[[#This Row],[Country]]))</f>
        <v>9</v>
      </c>
      <c r="I181" s="64">
        <f>LEN(TRIM(Table22[[#This Row],[Continent]]))</f>
        <v>7</v>
      </c>
      <c r="J181" s="64">
        <f>LEN(TRIM(Table22[[#This Row],[Product]]))</f>
        <v>10</v>
      </c>
      <c r="K181" s="64">
        <f>LEN(TRIM(Table22[[#This Row],[Sales Team]]))</f>
        <v>9</v>
      </c>
      <c r="L181" s="23">
        <v>77</v>
      </c>
      <c r="M181" s="65" t="str" cm="1">
        <f t="array" ref="M181">_xlfn.IFS(Table22[[#This Row],[Units Sold]]&lt;40,"Critical",Table22[[#This Row],[Units Sold]]&lt;=50,"Poor",Table22[[#This Row],[Units Sold]]&lt;=60,"Low",Table22[[#This Row],[Units Sold]]&lt;=80,"Average",Table22[[#This Row],[Units Sold]]&lt;=90,"High",Table22[[#This Row],[Units Sold]]&lt;=95,"Excellent",Table22[[#This Row],[Units Sold]]&gt;95,"Outstanding")</f>
        <v>Average</v>
      </c>
      <c r="N181" s="29">
        <v>1209.53</v>
      </c>
      <c r="O181" s="29">
        <v>93133.81</v>
      </c>
      <c r="P181" s="43">
        <f>IF(Table22[[#This Row],[Discount Applied]],Table22[[#This Row],[Total Sales (in USD)]]*(1-Table22[[#This Row],[Discount Percentage (%)]]/100),Table22[[#This Row],[Total Sales (in USD)]])</f>
        <v>93133.81</v>
      </c>
      <c r="Q181" s="66">
        <f>SQRT(AVERAGE((Table22[[#This Row],[Net Sales (after discount) (in USD)]]-AVERAGE(Table22[Net Sales (after discount) (in USD)]))^2))</f>
        <v>56622.44943623546</v>
      </c>
      <c r="R181" s="18" t="b">
        <v>0</v>
      </c>
      <c r="S181" s="40">
        <v>28.59</v>
      </c>
      <c r="T181" s="18" t="b">
        <v>0</v>
      </c>
      <c r="U181" s="25">
        <v>45441</v>
      </c>
      <c r="V181" s="63" t="str">
        <f>IF(MONTH(Table22[[#This Row],[Sales Date]])&lt;=3,"Q1",IF(MONTH(Table22[[#This Row],[Sales Date]])&lt;=6,"Q2",IF(MONTH(Table22[[#This Row],[Sales Date]])&lt;=9,"Q3","Q4")))</f>
        <v>Q2</v>
      </c>
      <c r="W181" s="64">
        <f>YEAR(Table22[[#This Row],[Sales Date]])</f>
        <v>2024</v>
      </c>
      <c r="X181" s="23">
        <v>35</v>
      </c>
      <c r="Y181" s="18" t="s">
        <v>23</v>
      </c>
      <c r="Z181" s="18" t="s">
        <v>30</v>
      </c>
      <c r="AA181" s="19" t="s">
        <v>36</v>
      </c>
    </row>
    <row r="182" spans="1:27" x14ac:dyDescent="0.25">
      <c r="A182" s="17" t="s">
        <v>102</v>
      </c>
      <c r="B182" s="18" t="s">
        <v>51</v>
      </c>
      <c r="C182" s="63" t="str" cm="1">
        <f t="array" ref="C182">_xlfn.SWITCH(Table22[[#This Row],[Country]],"USA","North America","Canada","North America","Brazil","South America","China","Asia","Japan","Asia","India","Asia","France","Europe","Germany","Europe","UK","Europe","Australia","Oceania","South America")</f>
        <v>Europe</v>
      </c>
      <c r="D182" s="18" t="s">
        <v>35</v>
      </c>
      <c r="E182" s="18" t="s">
        <v>19</v>
      </c>
      <c r="F182" s="18" t="s">
        <v>64</v>
      </c>
      <c r="G182" s="18" t="s">
        <v>29</v>
      </c>
      <c r="H182" s="64">
        <f>LEN(TRIM(Table22[[#This Row],[Country]]))</f>
        <v>2</v>
      </c>
      <c r="I182" s="64">
        <f>LEN(TRIM(Table22[[#This Row],[Continent]]))</f>
        <v>6</v>
      </c>
      <c r="J182" s="64">
        <f>LEN(TRIM(Table22[[#This Row],[Product]]))</f>
        <v>6</v>
      </c>
      <c r="K182" s="64">
        <f>LEN(TRIM(Table22[[#This Row],[Sales Team]]))</f>
        <v>10</v>
      </c>
      <c r="L182" s="23">
        <v>63</v>
      </c>
      <c r="M182" s="65" t="str" cm="1">
        <f t="array" ref="M182">_xlfn.IFS(Table22[[#This Row],[Units Sold]]&lt;40,"Critical",Table22[[#This Row],[Units Sold]]&lt;=50,"Poor",Table22[[#This Row],[Units Sold]]&lt;=60,"Low",Table22[[#This Row],[Units Sold]]&lt;=80,"Average",Table22[[#This Row],[Units Sold]]&lt;=90,"High",Table22[[#This Row],[Units Sold]]&lt;=95,"Excellent",Table22[[#This Row],[Units Sold]]&gt;95,"Outstanding")</f>
        <v>Average</v>
      </c>
      <c r="N182" s="29">
        <v>1477.44</v>
      </c>
      <c r="O182" s="29">
        <v>93078.720000000001</v>
      </c>
      <c r="P182" s="43">
        <f>IF(Table22[[#This Row],[Discount Applied]],Table22[[#This Row],[Total Sales (in USD)]]*(1-Table22[[#This Row],[Discount Percentage (%)]]/100),Table22[[#This Row],[Total Sales (in USD)]])</f>
        <v>93078.720000000001</v>
      </c>
      <c r="Q182" s="66">
        <f>SQRT(AVERAGE((Table22[[#This Row],[Net Sales (after discount) (in USD)]]-AVERAGE(Table22[Net Sales (after discount) (in USD)]))^2))</f>
        <v>56567.359436235463</v>
      </c>
      <c r="R182" s="18" t="b">
        <v>0</v>
      </c>
      <c r="S182" s="40">
        <v>9.48</v>
      </c>
      <c r="T182" s="18" t="b">
        <v>0</v>
      </c>
      <c r="U182" s="25">
        <v>45056</v>
      </c>
      <c r="V182" s="63" t="str">
        <f>IF(MONTH(Table22[[#This Row],[Sales Date]])&lt;=3,"Q1",IF(MONTH(Table22[[#This Row],[Sales Date]])&lt;=6,"Q2",IF(MONTH(Table22[[#This Row],[Sales Date]])&lt;=9,"Q3","Q4")))</f>
        <v>Q2</v>
      </c>
      <c r="W182" s="64">
        <f>YEAR(Table22[[#This Row],[Sales Date]])</f>
        <v>2023</v>
      </c>
      <c r="X182" s="23">
        <v>22</v>
      </c>
      <c r="Y182" s="18" t="s">
        <v>23</v>
      </c>
      <c r="Z182" s="18" t="s">
        <v>30</v>
      </c>
      <c r="AA182" s="19" t="s">
        <v>25</v>
      </c>
    </row>
    <row r="183" spans="1:27" x14ac:dyDescent="0.25">
      <c r="A183" s="17" t="s">
        <v>1660</v>
      </c>
      <c r="B183" s="18" t="s">
        <v>72</v>
      </c>
      <c r="C183" s="63" t="str" cm="1">
        <f t="array" ref="C183">_xlfn.SWITCH(Table22[[#This Row],[Country]],"USA","North America","Canada","North America","Brazil","South America","China","Asia","Japan","Asia","India","Asia","France","Europe","Germany","Europe","UK","Europe","Australia","Oceania","South America")</f>
        <v>North America</v>
      </c>
      <c r="D183" s="18" t="s">
        <v>44</v>
      </c>
      <c r="E183" s="18" t="s">
        <v>33</v>
      </c>
      <c r="F183" s="18" t="s">
        <v>20</v>
      </c>
      <c r="G183" s="18" t="s">
        <v>40</v>
      </c>
      <c r="H183" s="64">
        <f>LEN(TRIM(Table22[[#This Row],[Country]]))</f>
        <v>3</v>
      </c>
      <c r="I183" s="64">
        <f>LEN(TRIM(Table22[[#This Row],[Continent]]))</f>
        <v>13</v>
      </c>
      <c r="J183" s="64">
        <f>LEN(TRIM(Table22[[#This Row],[Product]]))</f>
        <v>10</v>
      </c>
      <c r="K183" s="64">
        <f>LEN(TRIM(Table22[[#This Row],[Sales Team]]))</f>
        <v>10</v>
      </c>
      <c r="L183" s="23">
        <v>62</v>
      </c>
      <c r="M183" s="65" t="str" cm="1">
        <f t="array" ref="M183">_xlfn.IFS(Table22[[#This Row],[Units Sold]]&lt;40,"Critical",Table22[[#This Row],[Units Sold]]&lt;=50,"Poor",Table22[[#This Row],[Units Sold]]&lt;=60,"Low",Table22[[#This Row],[Units Sold]]&lt;=80,"Average",Table22[[#This Row],[Units Sold]]&lt;=90,"High",Table22[[#This Row],[Units Sold]]&lt;=95,"Excellent",Table22[[#This Row],[Units Sold]]&gt;95,"Outstanding")</f>
        <v>Average</v>
      </c>
      <c r="N183" s="29">
        <v>1497.97</v>
      </c>
      <c r="O183" s="29">
        <v>92874.14</v>
      </c>
      <c r="P183" s="43">
        <f>IF(Table22[[#This Row],[Discount Applied]],Table22[[#This Row],[Total Sales (in USD)]]*(1-Table22[[#This Row],[Discount Percentage (%)]]/100),Table22[[#This Row],[Total Sales (in USD)]])</f>
        <v>82611.547529999996</v>
      </c>
      <c r="Q183" s="66">
        <f>SQRT(AVERAGE((Table22[[#This Row],[Net Sales (after discount) (in USD)]]-AVERAGE(Table22[Net Sales (after discount) (in USD)]))^2))</f>
        <v>46100.186966235458</v>
      </c>
      <c r="R183" s="18" t="b">
        <v>0</v>
      </c>
      <c r="S183" s="40">
        <v>11.05</v>
      </c>
      <c r="T183" s="18" t="b">
        <v>1</v>
      </c>
      <c r="U183" s="25">
        <v>45354</v>
      </c>
      <c r="V183" s="63" t="str">
        <f>IF(MONTH(Table22[[#This Row],[Sales Date]])&lt;=3,"Q1",IF(MONTH(Table22[[#This Row],[Sales Date]])&lt;=6,"Q2",IF(MONTH(Table22[[#This Row],[Sales Date]])&lt;=9,"Q3","Q4")))</f>
        <v>Q1</v>
      </c>
      <c r="W183" s="64">
        <f>YEAR(Table22[[#This Row],[Sales Date]])</f>
        <v>2024</v>
      </c>
      <c r="X183" s="23">
        <v>58</v>
      </c>
      <c r="Y183" s="18" t="s">
        <v>23</v>
      </c>
      <c r="Z183" s="18" t="s">
        <v>42</v>
      </c>
      <c r="AA183" s="19" t="s">
        <v>36</v>
      </c>
    </row>
    <row r="184" spans="1:27" x14ac:dyDescent="0.25">
      <c r="A184" s="17" t="s">
        <v>1181</v>
      </c>
      <c r="B184" s="18" t="s">
        <v>32</v>
      </c>
      <c r="C184" s="63" t="str" cm="1">
        <f t="array" ref="C184">_xlfn.SWITCH(Table22[[#This Row],[Country]],"USA","North America","Canada","North America","Brazil","South America","China","Asia","Japan","Asia","India","Asia","France","Europe","Germany","Europe","UK","Europe","Australia","Oceania","South America")</f>
        <v>Asia</v>
      </c>
      <c r="D184" s="18" t="s">
        <v>28</v>
      </c>
      <c r="E184" s="18" t="s">
        <v>39</v>
      </c>
      <c r="F184" s="18" t="s">
        <v>34</v>
      </c>
      <c r="G184" s="18" t="s">
        <v>40</v>
      </c>
      <c r="H184" s="64">
        <f>LEN(TRIM(Table22[[#This Row],[Country]]))</f>
        <v>5</v>
      </c>
      <c r="I184" s="64">
        <f>LEN(TRIM(Table22[[#This Row],[Continent]]))</f>
        <v>4</v>
      </c>
      <c r="J184" s="64">
        <f>LEN(TRIM(Table22[[#This Row],[Product]]))</f>
        <v>10</v>
      </c>
      <c r="K184" s="64">
        <f>LEN(TRIM(Table22[[#This Row],[Sales Team]]))</f>
        <v>10</v>
      </c>
      <c r="L184" s="23">
        <v>74</v>
      </c>
      <c r="M184" s="65" t="str" cm="1">
        <f t="array" ref="M184">_xlfn.IFS(Table22[[#This Row],[Units Sold]]&lt;40,"Critical",Table22[[#This Row],[Units Sold]]&lt;=50,"Poor",Table22[[#This Row],[Units Sold]]&lt;=60,"Low",Table22[[#This Row],[Units Sold]]&lt;=80,"Average",Table22[[#This Row],[Units Sold]]&lt;=90,"High",Table22[[#This Row],[Units Sold]]&lt;=95,"Excellent",Table22[[#This Row],[Units Sold]]&gt;95,"Outstanding")</f>
        <v>Average</v>
      </c>
      <c r="N184" s="29">
        <v>1246.8</v>
      </c>
      <c r="O184" s="29">
        <v>92263.2</v>
      </c>
      <c r="P184" s="43">
        <f>IF(Table22[[#This Row],[Discount Applied]],Table22[[#This Row],[Total Sales (in USD)]]*(1-Table22[[#This Row],[Discount Percentage (%)]]/100),Table22[[#This Row],[Total Sales (in USD)]])</f>
        <v>92263.2</v>
      </c>
      <c r="Q184" s="66">
        <f>SQRT(AVERAGE((Table22[[#This Row],[Net Sales (after discount) (in USD)]]-AVERAGE(Table22[Net Sales (after discount) (in USD)]))^2))</f>
        <v>55751.839436235459</v>
      </c>
      <c r="R184" s="18" t="b">
        <v>1</v>
      </c>
      <c r="S184" s="40">
        <v>18.86</v>
      </c>
      <c r="T184" s="18" t="b">
        <v>0</v>
      </c>
      <c r="U184" s="25">
        <v>44988</v>
      </c>
      <c r="V184" s="63" t="str">
        <f>IF(MONTH(Table22[[#This Row],[Sales Date]])&lt;=3,"Q1",IF(MONTH(Table22[[#This Row],[Sales Date]])&lt;=6,"Q2",IF(MONTH(Table22[[#This Row],[Sales Date]])&lt;=9,"Q3","Q4")))</f>
        <v>Q1</v>
      </c>
      <c r="W184" s="64">
        <f>YEAR(Table22[[#This Row],[Sales Date]])</f>
        <v>2023</v>
      </c>
      <c r="X184" s="23">
        <v>52</v>
      </c>
      <c r="Y184" s="18" t="s">
        <v>23</v>
      </c>
      <c r="Z184" s="18" t="s">
        <v>24</v>
      </c>
      <c r="AA184" s="19" t="s">
        <v>25</v>
      </c>
    </row>
    <row r="185" spans="1:27" x14ac:dyDescent="0.25">
      <c r="A185" s="17" t="s">
        <v>78</v>
      </c>
      <c r="B185" s="18" t="s">
        <v>46</v>
      </c>
      <c r="C185" s="63" t="str" cm="1">
        <f t="array" ref="C185">_xlfn.SWITCH(Table22[[#This Row],[Country]],"USA","North America","Canada","North America","Brazil","South America","China","Asia","Japan","Asia","India","Asia","France","Europe","Germany","Europe","UK","Europe","Australia","Oceania","South America")</f>
        <v>South America</v>
      </c>
      <c r="D185" s="18" t="s">
        <v>21</v>
      </c>
      <c r="E185" s="18" t="s">
        <v>33</v>
      </c>
      <c r="F185" s="18" t="s">
        <v>20</v>
      </c>
      <c r="G185" s="18" t="s">
        <v>40</v>
      </c>
      <c r="H185" s="64">
        <f>LEN(TRIM(Table22[[#This Row],[Country]]))</f>
        <v>6</v>
      </c>
      <c r="I185" s="64">
        <f>LEN(TRIM(Table22[[#This Row],[Continent]]))</f>
        <v>13</v>
      </c>
      <c r="J185" s="64">
        <f>LEN(TRIM(Table22[[#This Row],[Product]]))</f>
        <v>10</v>
      </c>
      <c r="K185" s="64">
        <f>LEN(TRIM(Table22[[#This Row],[Sales Team]]))</f>
        <v>10</v>
      </c>
      <c r="L185" s="23">
        <v>89</v>
      </c>
      <c r="M185" s="65" t="str" cm="1">
        <f t="array" ref="M185">_xlfn.IFS(Table22[[#This Row],[Units Sold]]&lt;40,"Critical",Table22[[#This Row],[Units Sold]]&lt;=50,"Poor",Table22[[#This Row],[Units Sold]]&lt;=60,"Low",Table22[[#This Row],[Units Sold]]&lt;=80,"Average",Table22[[#This Row],[Units Sold]]&lt;=90,"High",Table22[[#This Row],[Units Sold]]&lt;=95,"Excellent",Table22[[#This Row],[Units Sold]]&gt;95,"Outstanding")</f>
        <v>High</v>
      </c>
      <c r="N185" s="29">
        <v>1036.3399999999999</v>
      </c>
      <c r="O185" s="29">
        <v>92234.26</v>
      </c>
      <c r="P185" s="43">
        <f>IF(Table22[[#This Row],[Discount Applied]],Table22[[#This Row],[Total Sales (in USD)]]*(1-Table22[[#This Row],[Discount Percentage (%)]]/100),Table22[[#This Row],[Total Sales (in USD)]])</f>
        <v>92234.26</v>
      </c>
      <c r="Q185" s="66">
        <f>SQRT(AVERAGE((Table22[[#This Row],[Net Sales (after discount) (in USD)]]-AVERAGE(Table22[Net Sales (after discount) (in USD)]))^2))</f>
        <v>55722.899436235457</v>
      </c>
      <c r="R185" s="18" t="b">
        <v>0</v>
      </c>
      <c r="S185" s="40">
        <v>28.17</v>
      </c>
      <c r="T185" s="18" t="b">
        <v>0</v>
      </c>
      <c r="U185" s="25">
        <v>45012</v>
      </c>
      <c r="V185" s="63" t="str">
        <f>IF(MONTH(Table22[[#This Row],[Sales Date]])&lt;=3,"Q1",IF(MONTH(Table22[[#This Row],[Sales Date]])&lt;=6,"Q2",IF(MONTH(Table22[[#This Row],[Sales Date]])&lt;=9,"Q3","Q4")))</f>
        <v>Q1</v>
      </c>
      <c r="W185" s="64">
        <f>YEAR(Table22[[#This Row],[Sales Date]])</f>
        <v>2023</v>
      </c>
      <c r="X185" s="23">
        <v>29</v>
      </c>
      <c r="Y185" s="18" t="s">
        <v>49</v>
      </c>
      <c r="Z185" s="18" t="s">
        <v>30</v>
      </c>
      <c r="AA185" s="19" t="s">
        <v>25</v>
      </c>
    </row>
    <row r="186" spans="1:27" x14ac:dyDescent="0.25">
      <c r="A186" s="17" t="s">
        <v>1830</v>
      </c>
      <c r="B186" s="18" t="s">
        <v>46</v>
      </c>
      <c r="C186" s="63" t="str" cm="1">
        <f t="array" ref="C186">_xlfn.SWITCH(Table22[[#This Row],[Country]],"USA","North America","Canada","North America","Brazil","South America","China","Asia","Japan","Asia","India","Asia","France","Europe","Germany","Europe","UK","Europe","Australia","Oceania","South America")</f>
        <v>South America</v>
      </c>
      <c r="D186" s="18" t="s">
        <v>35</v>
      </c>
      <c r="E186" s="18" t="s">
        <v>33</v>
      </c>
      <c r="F186" s="18" t="s">
        <v>20</v>
      </c>
      <c r="G186" s="18" t="s">
        <v>29</v>
      </c>
      <c r="H186" s="64">
        <f>LEN(TRIM(Table22[[#This Row],[Country]]))</f>
        <v>6</v>
      </c>
      <c r="I186" s="64">
        <f>LEN(TRIM(Table22[[#This Row],[Continent]]))</f>
        <v>13</v>
      </c>
      <c r="J186" s="64">
        <f>LEN(TRIM(Table22[[#This Row],[Product]]))</f>
        <v>10</v>
      </c>
      <c r="K186" s="64">
        <f>LEN(TRIM(Table22[[#This Row],[Sales Team]]))</f>
        <v>10</v>
      </c>
      <c r="L186" s="23">
        <v>67</v>
      </c>
      <c r="M186" s="65" t="str" cm="1">
        <f t="array" ref="M186">_xlfn.IFS(Table22[[#This Row],[Units Sold]]&lt;40,"Critical",Table22[[#This Row],[Units Sold]]&lt;=50,"Poor",Table22[[#This Row],[Units Sold]]&lt;=60,"Low",Table22[[#This Row],[Units Sold]]&lt;=80,"Average",Table22[[#This Row],[Units Sold]]&lt;=90,"High",Table22[[#This Row],[Units Sold]]&lt;=95,"Excellent",Table22[[#This Row],[Units Sold]]&gt;95,"Outstanding")</f>
        <v>Average</v>
      </c>
      <c r="N186" s="29">
        <v>1376.39</v>
      </c>
      <c r="O186" s="29">
        <v>92218.13</v>
      </c>
      <c r="P186" s="43">
        <f>IF(Table22[[#This Row],[Discount Applied]],Table22[[#This Row],[Total Sales (in USD)]]*(1-Table22[[#This Row],[Discount Percentage (%)]]/100),Table22[[#This Row],[Total Sales (in USD)]])</f>
        <v>92218.13</v>
      </c>
      <c r="Q186" s="66">
        <f>SQRT(AVERAGE((Table22[[#This Row],[Net Sales (after discount) (in USD)]]-AVERAGE(Table22[Net Sales (after discount) (in USD)]))^2))</f>
        <v>55706.769436235467</v>
      </c>
      <c r="R186" s="18" t="b">
        <v>0</v>
      </c>
      <c r="S186" s="40">
        <v>27.8</v>
      </c>
      <c r="T186" s="18" t="b">
        <v>0</v>
      </c>
      <c r="U186" s="25">
        <v>45439</v>
      </c>
      <c r="V186" s="63" t="str">
        <f>IF(MONTH(Table22[[#This Row],[Sales Date]])&lt;=3,"Q1",IF(MONTH(Table22[[#This Row],[Sales Date]])&lt;=6,"Q2",IF(MONTH(Table22[[#This Row],[Sales Date]])&lt;=9,"Q3","Q4")))</f>
        <v>Q2</v>
      </c>
      <c r="W186" s="64">
        <f>YEAR(Table22[[#This Row],[Sales Date]])</f>
        <v>2024</v>
      </c>
      <c r="X186" s="23">
        <v>48</v>
      </c>
      <c r="Y186" s="18" t="s">
        <v>49</v>
      </c>
      <c r="Z186" s="18" t="s">
        <v>30</v>
      </c>
      <c r="AA186" s="19" t="s">
        <v>25</v>
      </c>
    </row>
    <row r="187" spans="1:27" x14ac:dyDescent="0.25">
      <c r="A187" s="17" t="s">
        <v>932</v>
      </c>
      <c r="B187" s="18" t="s">
        <v>72</v>
      </c>
      <c r="C187" s="63" t="str" cm="1">
        <f t="array" ref="C187">_xlfn.SWITCH(Table22[[#This Row],[Country]],"USA","North America","Canada","North America","Brazil","South America","China","Asia","Japan","Asia","India","Asia","France","Europe","Germany","Europe","UK","Europe","Australia","Oceania","South America")</f>
        <v>North America</v>
      </c>
      <c r="D187" s="18" t="s">
        <v>35</v>
      </c>
      <c r="E187" s="18" t="s">
        <v>39</v>
      </c>
      <c r="F187" s="18" t="s">
        <v>20</v>
      </c>
      <c r="G187" s="18" t="s">
        <v>22</v>
      </c>
      <c r="H187" s="64">
        <f>LEN(TRIM(Table22[[#This Row],[Country]]))</f>
        <v>3</v>
      </c>
      <c r="I187" s="64">
        <f>LEN(TRIM(Table22[[#This Row],[Continent]]))</f>
        <v>13</v>
      </c>
      <c r="J187" s="64">
        <f>LEN(TRIM(Table22[[#This Row],[Product]]))</f>
        <v>10</v>
      </c>
      <c r="K187" s="64">
        <f>LEN(TRIM(Table22[[#This Row],[Sales Team]]))</f>
        <v>10</v>
      </c>
      <c r="L187" s="23">
        <v>67</v>
      </c>
      <c r="M187" s="65" t="str" cm="1">
        <f t="array" ref="M187">_xlfn.IFS(Table22[[#This Row],[Units Sold]]&lt;40,"Critical",Table22[[#This Row],[Units Sold]]&lt;=50,"Poor",Table22[[#This Row],[Units Sold]]&lt;=60,"Low",Table22[[#This Row],[Units Sold]]&lt;=80,"Average",Table22[[#This Row],[Units Sold]]&lt;=90,"High",Table22[[#This Row],[Units Sold]]&lt;=95,"Excellent",Table22[[#This Row],[Units Sold]]&gt;95,"Outstanding")</f>
        <v>Average</v>
      </c>
      <c r="N187" s="29">
        <v>1374.59</v>
      </c>
      <c r="O187" s="29">
        <v>92097.53</v>
      </c>
      <c r="P187" s="43">
        <f>IF(Table22[[#This Row],[Discount Applied]],Table22[[#This Row],[Total Sales (in USD)]]*(1-Table22[[#This Row],[Discount Percentage (%)]]/100),Table22[[#This Row],[Total Sales (in USD)]])</f>
        <v>81543.153061999998</v>
      </c>
      <c r="Q187" s="66">
        <f>SQRT(AVERAGE((Table22[[#This Row],[Net Sales (after discount) (in USD)]]-AVERAGE(Table22[Net Sales (after discount) (in USD)]))^2))</f>
        <v>45031.79249823546</v>
      </c>
      <c r="R187" s="18" t="b">
        <v>1</v>
      </c>
      <c r="S187" s="40">
        <v>11.46</v>
      </c>
      <c r="T187" s="18" t="b">
        <v>1</v>
      </c>
      <c r="U187" s="25">
        <v>45333</v>
      </c>
      <c r="V187" s="63" t="str">
        <f>IF(MONTH(Table22[[#This Row],[Sales Date]])&lt;=3,"Q1",IF(MONTH(Table22[[#This Row],[Sales Date]])&lt;=6,"Q2",IF(MONTH(Table22[[#This Row],[Sales Date]])&lt;=9,"Q3","Q4")))</f>
        <v>Q1</v>
      </c>
      <c r="W187" s="64">
        <f>YEAR(Table22[[#This Row],[Sales Date]])</f>
        <v>2024</v>
      </c>
      <c r="X187" s="23">
        <v>38</v>
      </c>
      <c r="Y187" s="18" t="s">
        <v>23</v>
      </c>
      <c r="Z187" s="18" t="s">
        <v>24</v>
      </c>
      <c r="AA187" s="19" t="s">
        <v>36</v>
      </c>
    </row>
    <row r="188" spans="1:27" x14ac:dyDescent="0.25">
      <c r="A188" s="17" t="s">
        <v>387</v>
      </c>
      <c r="B188" s="18" t="s">
        <v>51</v>
      </c>
      <c r="C188" s="63" t="str" cm="1">
        <f t="array" ref="C188">_xlfn.SWITCH(Table22[[#This Row],[Country]],"USA","North America","Canada","North America","Brazil","South America","China","Asia","Japan","Asia","India","Asia","France","Europe","Germany","Europe","UK","Europe","Australia","Oceania","South America")</f>
        <v>Europe</v>
      </c>
      <c r="D188" s="18" t="s">
        <v>28</v>
      </c>
      <c r="E188" s="18" t="s">
        <v>19</v>
      </c>
      <c r="F188" s="18" t="s">
        <v>64</v>
      </c>
      <c r="G188" s="18" t="s">
        <v>48</v>
      </c>
      <c r="H188" s="64">
        <f>LEN(TRIM(Table22[[#This Row],[Country]]))</f>
        <v>2</v>
      </c>
      <c r="I188" s="64">
        <f>LEN(TRIM(Table22[[#This Row],[Continent]]))</f>
        <v>6</v>
      </c>
      <c r="J188" s="64">
        <f>LEN(TRIM(Table22[[#This Row],[Product]]))</f>
        <v>6</v>
      </c>
      <c r="K188" s="64">
        <f>LEN(TRIM(Table22[[#This Row],[Sales Team]]))</f>
        <v>9</v>
      </c>
      <c r="L188" s="23">
        <v>68</v>
      </c>
      <c r="M188" s="65" t="str" cm="1">
        <f t="array" ref="M188">_xlfn.IFS(Table22[[#This Row],[Units Sold]]&lt;40,"Critical",Table22[[#This Row],[Units Sold]]&lt;=50,"Poor",Table22[[#This Row],[Units Sold]]&lt;=60,"Low",Table22[[#This Row],[Units Sold]]&lt;=80,"Average",Table22[[#This Row],[Units Sold]]&lt;=90,"High",Table22[[#This Row],[Units Sold]]&lt;=95,"Excellent",Table22[[#This Row],[Units Sold]]&gt;95,"Outstanding")</f>
        <v>Average</v>
      </c>
      <c r="N188" s="29">
        <v>1348.7</v>
      </c>
      <c r="O188" s="29">
        <v>91711.6</v>
      </c>
      <c r="P188" s="43">
        <f>IF(Table22[[#This Row],[Discount Applied]],Table22[[#This Row],[Total Sales (in USD)]]*(1-Table22[[#This Row],[Discount Percentage (%)]]/100),Table22[[#This Row],[Total Sales (in USD)]])</f>
        <v>65454.568920000005</v>
      </c>
      <c r="Q188" s="66">
        <f>SQRT(AVERAGE((Table22[[#This Row],[Net Sales (after discount) (in USD)]]-AVERAGE(Table22[Net Sales (after discount) (in USD)]))^2))</f>
        <v>28943.208356235467</v>
      </c>
      <c r="R188" s="18" t="b">
        <v>0</v>
      </c>
      <c r="S188" s="40">
        <v>28.63</v>
      </c>
      <c r="T188" s="18" t="b">
        <v>1</v>
      </c>
      <c r="U188" s="25">
        <v>45197</v>
      </c>
      <c r="V188" s="63" t="str">
        <f>IF(MONTH(Table22[[#This Row],[Sales Date]])&lt;=3,"Q1",IF(MONTH(Table22[[#This Row],[Sales Date]])&lt;=6,"Q2",IF(MONTH(Table22[[#This Row],[Sales Date]])&lt;=9,"Q3","Q4")))</f>
        <v>Q3</v>
      </c>
      <c r="W188" s="64">
        <f>YEAR(Table22[[#This Row],[Sales Date]])</f>
        <v>2023</v>
      </c>
      <c r="X188" s="23">
        <v>22</v>
      </c>
      <c r="Y188" s="18" t="s">
        <v>41</v>
      </c>
      <c r="Z188" s="18" t="s">
        <v>56</v>
      </c>
      <c r="AA188" s="19" t="s">
        <v>36</v>
      </c>
    </row>
    <row r="189" spans="1:27" x14ac:dyDescent="0.25">
      <c r="A189" s="17" t="s">
        <v>1834</v>
      </c>
      <c r="B189" s="18" t="s">
        <v>62</v>
      </c>
      <c r="C189" s="63" t="str" cm="1">
        <f t="array" ref="C189">_xlfn.SWITCH(Table22[[#This Row],[Country]],"USA","North America","Canada","North America","Brazil","South America","China","Asia","Japan","Asia","India","Asia","France","Europe","Germany","Europe","UK","Europe","Australia","Oceania","South America")</f>
        <v>Oceania</v>
      </c>
      <c r="D189" s="18" t="s">
        <v>35</v>
      </c>
      <c r="E189" s="18" t="s">
        <v>39</v>
      </c>
      <c r="F189" s="18" t="s">
        <v>20</v>
      </c>
      <c r="G189" s="18" t="s">
        <v>48</v>
      </c>
      <c r="H189" s="64">
        <f>LEN(TRIM(Table22[[#This Row],[Country]]))</f>
        <v>9</v>
      </c>
      <c r="I189" s="64">
        <f>LEN(TRIM(Table22[[#This Row],[Continent]]))</f>
        <v>7</v>
      </c>
      <c r="J189" s="64">
        <f>LEN(TRIM(Table22[[#This Row],[Product]]))</f>
        <v>10</v>
      </c>
      <c r="K189" s="64">
        <f>LEN(TRIM(Table22[[#This Row],[Sales Team]]))</f>
        <v>9</v>
      </c>
      <c r="L189" s="23">
        <v>67</v>
      </c>
      <c r="M189" s="65" t="str" cm="1">
        <f t="array" ref="M189">_xlfn.IFS(Table22[[#This Row],[Units Sold]]&lt;40,"Critical",Table22[[#This Row],[Units Sold]]&lt;=50,"Poor",Table22[[#This Row],[Units Sold]]&lt;=60,"Low",Table22[[#This Row],[Units Sold]]&lt;=80,"Average",Table22[[#This Row],[Units Sold]]&lt;=90,"High",Table22[[#This Row],[Units Sold]]&lt;=95,"Excellent",Table22[[#This Row],[Units Sold]]&gt;95,"Outstanding")</f>
        <v>Average</v>
      </c>
      <c r="N189" s="29">
        <v>1368.72</v>
      </c>
      <c r="O189" s="29">
        <v>91704.24</v>
      </c>
      <c r="P189" s="43">
        <f>IF(Table22[[#This Row],[Discount Applied]],Table22[[#This Row],[Total Sales (in USD)]]*(1-Table22[[#This Row],[Discount Percentage (%)]]/100),Table22[[#This Row],[Total Sales (in USD)]])</f>
        <v>91704.24</v>
      </c>
      <c r="Q189" s="66">
        <f>SQRT(AVERAGE((Table22[[#This Row],[Net Sales (after discount) (in USD)]]-AVERAGE(Table22[Net Sales (after discount) (in USD)]))^2))</f>
        <v>55192.879436235467</v>
      </c>
      <c r="R189" s="18" t="b">
        <v>1</v>
      </c>
      <c r="S189" s="40">
        <v>20.76</v>
      </c>
      <c r="T189" s="18" t="b">
        <v>0</v>
      </c>
      <c r="U189" s="25">
        <v>44957</v>
      </c>
      <c r="V189" s="63" t="str">
        <f>IF(MONTH(Table22[[#This Row],[Sales Date]])&lt;=3,"Q1",IF(MONTH(Table22[[#This Row],[Sales Date]])&lt;=6,"Q2",IF(MONTH(Table22[[#This Row],[Sales Date]])&lt;=9,"Q3","Q4")))</f>
        <v>Q1</v>
      </c>
      <c r="W189" s="64">
        <f>YEAR(Table22[[#This Row],[Sales Date]])</f>
        <v>2023</v>
      </c>
      <c r="X189" s="23">
        <v>23</v>
      </c>
      <c r="Y189" s="18" t="s">
        <v>49</v>
      </c>
      <c r="Z189" s="18" t="s">
        <v>30</v>
      </c>
      <c r="AA189" s="19" t="s">
        <v>25</v>
      </c>
    </row>
    <row r="190" spans="1:27" x14ac:dyDescent="0.25">
      <c r="A190" s="17" t="s">
        <v>1889</v>
      </c>
      <c r="B190" s="18" t="s">
        <v>38</v>
      </c>
      <c r="C190" s="63" t="str" cm="1">
        <f t="array" ref="C190">_xlfn.SWITCH(Table22[[#This Row],[Country]],"USA","North America","Canada","North America","Brazil","South America","China","Asia","Japan","Asia","India","Asia","France","Europe","Germany","Europe","UK","Europe","Australia","Oceania","South America")</f>
        <v>Europe</v>
      </c>
      <c r="D190" s="18" t="s">
        <v>21</v>
      </c>
      <c r="E190" s="18" t="s">
        <v>19</v>
      </c>
      <c r="F190" s="18" t="s">
        <v>47</v>
      </c>
      <c r="G190" s="18" t="s">
        <v>29</v>
      </c>
      <c r="H190" s="64">
        <f>LEN(TRIM(Table22[[#This Row],[Country]]))</f>
        <v>6</v>
      </c>
      <c r="I190" s="64">
        <f>LEN(TRIM(Table22[[#This Row],[Continent]]))</f>
        <v>6</v>
      </c>
      <c r="J190" s="64">
        <f>LEN(TRIM(Table22[[#This Row],[Product]]))</f>
        <v>6</v>
      </c>
      <c r="K190" s="64">
        <f>LEN(TRIM(Table22[[#This Row],[Sales Team]]))</f>
        <v>10</v>
      </c>
      <c r="L190" s="23">
        <v>66</v>
      </c>
      <c r="M190" s="65" t="str" cm="1">
        <f t="array" ref="M190">_xlfn.IFS(Table22[[#This Row],[Units Sold]]&lt;40,"Critical",Table22[[#This Row],[Units Sold]]&lt;=50,"Poor",Table22[[#This Row],[Units Sold]]&lt;=60,"Low",Table22[[#This Row],[Units Sold]]&lt;=80,"Average",Table22[[#This Row],[Units Sold]]&lt;=90,"High",Table22[[#This Row],[Units Sold]]&lt;=95,"Excellent",Table22[[#This Row],[Units Sold]]&gt;95,"Outstanding")</f>
        <v>Average</v>
      </c>
      <c r="N190" s="29">
        <v>1386.59</v>
      </c>
      <c r="O190" s="29">
        <v>91514.94</v>
      </c>
      <c r="P190" s="43">
        <f>IF(Table22[[#This Row],[Discount Applied]],Table22[[#This Row],[Total Sales (in USD)]]*(1-Table22[[#This Row],[Discount Percentage (%)]]/100),Table22[[#This Row],[Total Sales (in USD)]])</f>
        <v>91514.94</v>
      </c>
      <c r="Q190" s="66">
        <f>SQRT(AVERAGE((Table22[[#This Row],[Net Sales (after discount) (in USD)]]-AVERAGE(Table22[Net Sales (after discount) (in USD)]))^2))</f>
        <v>55003.579436235465</v>
      </c>
      <c r="R190" s="18" t="b">
        <v>1</v>
      </c>
      <c r="S190" s="40">
        <v>29.12</v>
      </c>
      <c r="T190" s="18" t="b">
        <v>0</v>
      </c>
      <c r="U190" s="25">
        <v>45331</v>
      </c>
      <c r="V190" s="63" t="str">
        <f>IF(MONTH(Table22[[#This Row],[Sales Date]])&lt;=3,"Q1",IF(MONTH(Table22[[#This Row],[Sales Date]])&lt;=6,"Q2",IF(MONTH(Table22[[#This Row],[Sales Date]])&lt;=9,"Q3","Q4")))</f>
        <v>Q1</v>
      </c>
      <c r="W190" s="64">
        <f>YEAR(Table22[[#This Row],[Sales Date]])</f>
        <v>2024</v>
      </c>
      <c r="X190" s="23">
        <v>65</v>
      </c>
      <c r="Y190" s="18" t="s">
        <v>41</v>
      </c>
      <c r="Z190" s="18" t="s">
        <v>56</v>
      </c>
      <c r="AA190" s="19" t="s">
        <v>36</v>
      </c>
    </row>
    <row r="191" spans="1:27" x14ac:dyDescent="0.25">
      <c r="A191" s="17" t="s">
        <v>1069</v>
      </c>
      <c r="B191" s="18" t="s">
        <v>18</v>
      </c>
      <c r="C191" s="63" t="str" cm="1">
        <f t="array" ref="C191">_xlfn.SWITCH(Table22[[#This Row],[Country]],"USA","North America","Canada","North America","Brazil","South America","China","Asia","Japan","Asia","India","Asia","France","Europe","Germany","Europe","UK","Europe","Australia","Oceania","South America")</f>
        <v>Asia</v>
      </c>
      <c r="D191" s="18" t="s">
        <v>35</v>
      </c>
      <c r="E191" s="18" t="s">
        <v>33</v>
      </c>
      <c r="F191" s="18" t="s">
        <v>64</v>
      </c>
      <c r="G191" s="18" t="s">
        <v>22</v>
      </c>
      <c r="H191" s="64">
        <f>LEN(TRIM(Table22[[#This Row],[Country]]))</f>
        <v>5</v>
      </c>
      <c r="I191" s="64">
        <f>LEN(TRIM(Table22[[#This Row],[Continent]]))</f>
        <v>4</v>
      </c>
      <c r="J191" s="64">
        <f>LEN(TRIM(Table22[[#This Row],[Product]]))</f>
        <v>10</v>
      </c>
      <c r="K191" s="64">
        <f>LEN(TRIM(Table22[[#This Row],[Sales Team]]))</f>
        <v>10</v>
      </c>
      <c r="L191" s="23">
        <v>90</v>
      </c>
      <c r="M191" s="65" t="str" cm="1">
        <f t="array" ref="M191">_xlfn.IFS(Table22[[#This Row],[Units Sold]]&lt;40,"Critical",Table22[[#This Row],[Units Sold]]&lt;=50,"Poor",Table22[[#This Row],[Units Sold]]&lt;=60,"Low",Table22[[#This Row],[Units Sold]]&lt;=80,"Average",Table22[[#This Row],[Units Sold]]&lt;=90,"High",Table22[[#This Row],[Units Sold]]&lt;=95,"Excellent",Table22[[#This Row],[Units Sold]]&gt;95,"Outstanding")</f>
        <v>High</v>
      </c>
      <c r="N191" s="29">
        <v>1016.62</v>
      </c>
      <c r="O191" s="29">
        <v>91495.8</v>
      </c>
      <c r="P191" s="43">
        <f>IF(Table22[[#This Row],[Discount Applied]],Table22[[#This Row],[Total Sales (in USD)]]*(1-Table22[[#This Row],[Discount Percentage (%)]]/100),Table22[[#This Row],[Total Sales (in USD)]])</f>
        <v>85896.257039999997</v>
      </c>
      <c r="Q191" s="66">
        <f>SQRT(AVERAGE((Table22[[#This Row],[Net Sales (after discount) (in USD)]]-AVERAGE(Table22[Net Sales (after discount) (in USD)]))^2))</f>
        <v>49384.896476235459</v>
      </c>
      <c r="R191" s="18" t="b">
        <v>1</v>
      </c>
      <c r="S191" s="40">
        <v>6.12</v>
      </c>
      <c r="T191" s="18" t="b">
        <v>1</v>
      </c>
      <c r="U191" s="25">
        <v>45273</v>
      </c>
      <c r="V191" s="63" t="str">
        <f>IF(MONTH(Table22[[#This Row],[Sales Date]])&lt;=3,"Q1",IF(MONTH(Table22[[#This Row],[Sales Date]])&lt;=6,"Q2",IF(MONTH(Table22[[#This Row],[Sales Date]])&lt;=9,"Q3","Q4")))</f>
        <v>Q4</v>
      </c>
      <c r="W191" s="64">
        <f>YEAR(Table22[[#This Row],[Sales Date]])</f>
        <v>2023</v>
      </c>
      <c r="X191" s="23">
        <v>56</v>
      </c>
      <c r="Y191" s="18" t="s">
        <v>49</v>
      </c>
      <c r="Z191" s="18" t="s">
        <v>24</v>
      </c>
      <c r="AA191" s="19" t="s">
        <v>25</v>
      </c>
    </row>
    <row r="192" spans="1:27" x14ac:dyDescent="0.25">
      <c r="A192" s="17" t="s">
        <v>503</v>
      </c>
      <c r="B192" s="18" t="s">
        <v>51</v>
      </c>
      <c r="C192" s="63" t="str" cm="1">
        <f t="array" ref="C192">_xlfn.SWITCH(Table22[[#This Row],[Country]],"USA","North America","Canada","North America","Brazil","South America","China","Asia","Japan","Asia","India","Asia","France","Europe","Germany","Europe","UK","Europe","Australia","Oceania","South America")</f>
        <v>Europe</v>
      </c>
      <c r="D192" s="18" t="s">
        <v>28</v>
      </c>
      <c r="E192" s="18" t="s">
        <v>19</v>
      </c>
      <c r="F192" s="18" t="s">
        <v>20</v>
      </c>
      <c r="G192" s="18" t="s">
        <v>29</v>
      </c>
      <c r="H192" s="64">
        <f>LEN(TRIM(Table22[[#This Row],[Country]]))</f>
        <v>2</v>
      </c>
      <c r="I192" s="64">
        <f>LEN(TRIM(Table22[[#This Row],[Continent]]))</f>
        <v>6</v>
      </c>
      <c r="J192" s="64">
        <f>LEN(TRIM(Table22[[#This Row],[Product]]))</f>
        <v>6</v>
      </c>
      <c r="K192" s="64">
        <f>LEN(TRIM(Table22[[#This Row],[Sales Team]]))</f>
        <v>10</v>
      </c>
      <c r="L192" s="23">
        <v>74</v>
      </c>
      <c r="M192" s="65" t="str" cm="1">
        <f t="array" ref="M192">_xlfn.IFS(Table22[[#This Row],[Units Sold]]&lt;40,"Critical",Table22[[#This Row],[Units Sold]]&lt;=50,"Poor",Table22[[#This Row],[Units Sold]]&lt;=60,"Low",Table22[[#This Row],[Units Sold]]&lt;=80,"Average",Table22[[#This Row],[Units Sold]]&lt;=90,"High",Table22[[#This Row],[Units Sold]]&lt;=95,"Excellent",Table22[[#This Row],[Units Sold]]&gt;95,"Outstanding")</f>
        <v>Average</v>
      </c>
      <c r="N192" s="29">
        <v>1232.72</v>
      </c>
      <c r="O192" s="29">
        <v>91221.28</v>
      </c>
      <c r="P192" s="43">
        <f>IF(Table22[[#This Row],[Discount Applied]],Table22[[#This Row],[Total Sales (in USD)]]*(1-Table22[[#This Row],[Discount Percentage (%)]]/100),Table22[[#This Row],[Total Sales (in USD)]])</f>
        <v>91221.28</v>
      </c>
      <c r="Q192" s="66">
        <f>SQRT(AVERAGE((Table22[[#This Row],[Net Sales (after discount) (in USD)]]-AVERAGE(Table22[Net Sales (after discount) (in USD)]))^2))</f>
        <v>54709.919436235461</v>
      </c>
      <c r="R192" s="18" t="b">
        <v>0</v>
      </c>
      <c r="S192" s="40">
        <v>0.98</v>
      </c>
      <c r="T192" s="18" t="b">
        <v>0</v>
      </c>
      <c r="U192" s="25">
        <v>45453</v>
      </c>
      <c r="V192" s="63" t="str">
        <f>IF(MONTH(Table22[[#This Row],[Sales Date]])&lt;=3,"Q1",IF(MONTH(Table22[[#This Row],[Sales Date]])&lt;=6,"Q2",IF(MONTH(Table22[[#This Row],[Sales Date]])&lt;=9,"Q3","Q4")))</f>
        <v>Q2</v>
      </c>
      <c r="W192" s="64">
        <f>YEAR(Table22[[#This Row],[Sales Date]])</f>
        <v>2024</v>
      </c>
      <c r="X192" s="23">
        <v>46</v>
      </c>
      <c r="Y192" s="18" t="s">
        <v>41</v>
      </c>
      <c r="Z192" s="18" t="s">
        <v>30</v>
      </c>
      <c r="AA192" s="19" t="s">
        <v>36</v>
      </c>
    </row>
    <row r="193" spans="1:27" x14ac:dyDescent="0.25">
      <c r="A193" s="17" t="s">
        <v>179</v>
      </c>
      <c r="B193" s="18" t="s">
        <v>38</v>
      </c>
      <c r="C193" s="63" t="str" cm="1">
        <f t="array" ref="C193">_xlfn.SWITCH(Table22[[#This Row],[Country]],"USA","North America","Canada","North America","Brazil","South America","China","Asia","Japan","Asia","India","Asia","France","Europe","Germany","Europe","UK","Europe","Australia","Oceania","South America")</f>
        <v>Europe</v>
      </c>
      <c r="D193" s="18" t="s">
        <v>28</v>
      </c>
      <c r="E193" s="18" t="s">
        <v>33</v>
      </c>
      <c r="F193" s="18" t="s">
        <v>34</v>
      </c>
      <c r="G193" s="18" t="s">
        <v>48</v>
      </c>
      <c r="H193" s="64">
        <f>LEN(TRIM(Table22[[#This Row],[Country]]))</f>
        <v>6</v>
      </c>
      <c r="I193" s="64">
        <f>LEN(TRIM(Table22[[#This Row],[Continent]]))</f>
        <v>6</v>
      </c>
      <c r="J193" s="64">
        <f>LEN(TRIM(Table22[[#This Row],[Product]]))</f>
        <v>10</v>
      </c>
      <c r="K193" s="64">
        <f>LEN(TRIM(Table22[[#This Row],[Sales Team]]))</f>
        <v>9</v>
      </c>
      <c r="L193" s="23">
        <v>67</v>
      </c>
      <c r="M193" s="65" t="str" cm="1">
        <f t="array" ref="M193">_xlfn.IFS(Table22[[#This Row],[Units Sold]]&lt;40,"Critical",Table22[[#This Row],[Units Sold]]&lt;=50,"Poor",Table22[[#This Row],[Units Sold]]&lt;=60,"Low",Table22[[#This Row],[Units Sold]]&lt;=80,"Average",Table22[[#This Row],[Units Sold]]&lt;=90,"High",Table22[[#This Row],[Units Sold]]&lt;=95,"Excellent",Table22[[#This Row],[Units Sold]]&gt;95,"Outstanding")</f>
        <v>Average</v>
      </c>
      <c r="N193" s="29">
        <v>1361.35</v>
      </c>
      <c r="O193" s="29">
        <v>91210.45</v>
      </c>
      <c r="P193" s="43">
        <f>IF(Table22[[#This Row],[Discount Applied]],Table22[[#This Row],[Total Sales (in USD)]]*(1-Table22[[#This Row],[Discount Percentage (%)]]/100),Table22[[#This Row],[Total Sales (in USD)]])</f>
        <v>91210.45</v>
      </c>
      <c r="Q193" s="66">
        <f>SQRT(AVERAGE((Table22[[#This Row],[Net Sales (after discount) (in USD)]]-AVERAGE(Table22[Net Sales (after discount) (in USD)]))^2))</f>
        <v>54699.089436235459</v>
      </c>
      <c r="R193" s="18" t="b">
        <v>0</v>
      </c>
      <c r="S193" s="40">
        <v>5.79</v>
      </c>
      <c r="T193" s="18" t="b">
        <v>0</v>
      </c>
      <c r="U193" s="25">
        <v>45034</v>
      </c>
      <c r="V193" s="63" t="str">
        <f>IF(MONTH(Table22[[#This Row],[Sales Date]])&lt;=3,"Q1",IF(MONTH(Table22[[#This Row],[Sales Date]])&lt;=6,"Q2",IF(MONTH(Table22[[#This Row],[Sales Date]])&lt;=9,"Q3","Q4")))</f>
        <v>Q2</v>
      </c>
      <c r="W193" s="64">
        <f>YEAR(Table22[[#This Row],[Sales Date]])</f>
        <v>2023</v>
      </c>
      <c r="X193" s="23">
        <v>54</v>
      </c>
      <c r="Y193" s="18" t="s">
        <v>41</v>
      </c>
      <c r="Z193" s="18" t="s">
        <v>30</v>
      </c>
      <c r="AA193" s="19" t="s">
        <v>25</v>
      </c>
    </row>
    <row r="194" spans="1:27" x14ac:dyDescent="0.25">
      <c r="A194" s="17" t="s">
        <v>1684</v>
      </c>
      <c r="B194" s="18" t="s">
        <v>32</v>
      </c>
      <c r="C194" s="63" t="str" cm="1">
        <f t="array" ref="C194">_xlfn.SWITCH(Table22[[#This Row],[Country]],"USA","North America","Canada","North America","Brazil","South America","China","Asia","Japan","Asia","India","Asia","France","Europe","Germany","Europe","UK","Europe","Australia","Oceania","South America")</f>
        <v>Asia</v>
      </c>
      <c r="D194" s="18" t="s">
        <v>44</v>
      </c>
      <c r="E194" s="18" t="s">
        <v>19</v>
      </c>
      <c r="F194" s="18" t="s">
        <v>34</v>
      </c>
      <c r="G194" s="18" t="s">
        <v>40</v>
      </c>
      <c r="H194" s="64">
        <f>LEN(TRIM(Table22[[#This Row],[Country]]))</f>
        <v>5</v>
      </c>
      <c r="I194" s="64">
        <f>LEN(TRIM(Table22[[#This Row],[Continent]]))</f>
        <v>4</v>
      </c>
      <c r="J194" s="64">
        <f>LEN(TRIM(Table22[[#This Row],[Product]]))</f>
        <v>6</v>
      </c>
      <c r="K194" s="64">
        <f>LEN(TRIM(Table22[[#This Row],[Sales Team]]))</f>
        <v>10</v>
      </c>
      <c r="L194" s="23">
        <v>76</v>
      </c>
      <c r="M194" s="65" t="str" cm="1">
        <f t="array" ref="M194">_xlfn.IFS(Table22[[#This Row],[Units Sold]]&lt;40,"Critical",Table22[[#This Row],[Units Sold]]&lt;=50,"Poor",Table22[[#This Row],[Units Sold]]&lt;=60,"Low",Table22[[#This Row],[Units Sold]]&lt;=80,"Average",Table22[[#This Row],[Units Sold]]&lt;=90,"High",Table22[[#This Row],[Units Sold]]&lt;=95,"Excellent",Table22[[#This Row],[Units Sold]]&gt;95,"Outstanding")</f>
        <v>Average</v>
      </c>
      <c r="N194" s="29">
        <v>1199.3800000000001</v>
      </c>
      <c r="O194" s="29">
        <v>91152.88</v>
      </c>
      <c r="P194" s="43">
        <f>IF(Table22[[#This Row],[Discount Applied]],Table22[[#This Row],[Total Sales (in USD)]]*(1-Table22[[#This Row],[Discount Percentage (%)]]/100),Table22[[#This Row],[Total Sales (in USD)]])</f>
        <v>91152.88</v>
      </c>
      <c r="Q194" s="66">
        <f>SQRT(AVERAGE((Table22[[#This Row],[Net Sales (after discount) (in USD)]]-AVERAGE(Table22[Net Sales (after discount) (in USD)]))^2))</f>
        <v>54641.519436235467</v>
      </c>
      <c r="R194" s="18" t="b">
        <v>0</v>
      </c>
      <c r="S194" s="40">
        <v>11.87</v>
      </c>
      <c r="T194" s="18" t="b">
        <v>0</v>
      </c>
      <c r="U194" s="25">
        <v>45233</v>
      </c>
      <c r="V194" s="63" t="str">
        <f>IF(MONTH(Table22[[#This Row],[Sales Date]])&lt;=3,"Q1",IF(MONTH(Table22[[#This Row],[Sales Date]])&lt;=6,"Q2",IF(MONTH(Table22[[#This Row],[Sales Date]])&lt;=9,"Q3","Q4")))</f>
        <v>Q4</v>
      </c>
      <c r="W194" s="64">
        <f>YEAR(Table22[[#This Row],[Sales Date]])</f>
        <v>2023</v>
      </c>
      <c r="X194" s="23">
        <v>66</v>
      </c>
      <c r="Y194" s="18" t="s">
        <v>41</v>
      </c>
      <c r="Z194" s="18" t="s">
        <v>24</v>
      </c>
      <c r="AA194" s="19" t="s">
        <v>25</v>
      </c>
    </row>
    <row r="195" spans="1:27" x14ac:dyDescent="0.25">
      <c r="A195" s="17" t="s">
        <v>1231</v>
      </c>
      <c r="B195" s="18" t="s">
        <v>76</v>
      </c>
      <c r="C195" s="63" t="str" cm="1">
        <f t="array" ref="C195">_xlfn.SWITCH(Table22[[#This Row],[Country]],"USA","North America","Canada","North America","Brazil","South America","China","Asia","Japan","Asia","India","Asia","France","Europe","Germany","Europe","UK","Europe","Australia","Oceania","South America")</f>
        <v>Asia</v>
      </c>
      <c r="D195" s="18" t="s">
        <v>28</v>
      </c>
      <c r="E195" s="18" t="s">
        <v>33</v>
      </c>
      <c r="F195" s="18" t="s">
        <v>34</v>
      </c>
      <c r="G195" s="18" t="s">
        <v>40</v>
      </c>
      <c r="H195" s="64">
        <f>LEN(TRIM(Table22[[#This Row],[Country]]))</f>
        <v>5</v>
      </c>
      <c r="I195" s="64">
        <f>LEN(TRIM(Table22[[#This Row],[Continent]]))</f>
        <v>4</v>
      </c>
      <c r="J195" s="64">
        <f>LEN(TRIM(Table22[[#This Row],[Product]]))</f>
        <v>10</v>
      </c>
      <c r="K195" s="64">
        <f>LEN(TRIM(Table22[[#This Row],[Sales Team]]))</f>
        <v>10</v>
      </c>
      <c r="L195" s="23">
        <v>76</v>
      </c>
      <c r="M195" s="65" t="str" cm="1">
        <f t="array" ref="M195">_xlfn.IFS(Table22[[#This Row],[Units Sold]]&lt;40,"Critical",Table22[[#This Row],[Units Sold]]&lt;=50,"Poor",Table22[[#This Row],[Units Sold]]&lt;=60,"Low",Table22[[#This Row],[Units Sold]]&lt;=80,"Average",Table22[[#This Row],[Units Sold]]&lt;=90,"High",Table22[[#This Row],[Units Sold]]&lt;=95,"Excellent",Table22[[#This Row],[Units Sold]]&gt;95,"Outstanding")</f>
        <v>Average</v>
      </c>
      <c r="N195" s="29">
        <v>1196.6199999999999</v>
      </c>
      <c r="O195" s="29">
        <v>90943.12</v>
      </c>
      <c r="P195" s="43">
        <f>IF(Table22[[#This Row],[Discount Applied]],Table22[[#This Row],[Total Sales (in USD)]]*(1-Table22[[#This Row],[Discount Percentage (%)]]/100),Table22[[#This Row],[Total Sales (in USD)]])</f>
        <v>80602.887255999987</v>
      </c>
      <c r="Q195" s="66">
        <f>SQRT(AVERAGE((Table22[[#This Row],[Net Sales (after discount) (in USD)]]-AVERAGE(Table22[Net Sales (after discount) (in USD)]))^2))</f>
        <v>44091.526692235449</v>
      </c>
      <c r="R195" s="18" t="b">
        <v>1</v>
      </c>
      <c r="S195" s="40">
        <v>11.37</v>
      </c>
      <c r="T195" s="18" t="b">
        <v>1</v>
      </c>
      <c r="U195" s="25">
        <v>45294</v>
      </c>
      <c r="V195" s="63" t="str">
        <f>IF(MONTH(Table22[[#This Row],[Sales Date]])&lt;=3,"Q1",IF(MONTH(Table22[[#This Row],[Sales Date]])&lt;=6,"Q2",IF(MONTH(Table22[[#This Row],[Sales Date]])&lt;=9,"Q3","Q4")))</f>
        <v>Q1</v>
      </c>
      <c r="W195" s="64">
        <f>YEAR(Table22[[#This Row],[Sales Date]])</f>
        <v>2024</v>
      </c>
      <c r="X195" s="23">
        <v>23</v>
      </c>
      <c r="Y195" s="18" t="s">
        <v>41</v>
      </c>
      <c r="Z195" s="18" t="s">
        <v>42</v>
      </c>
      <c r="AA195" s="19" t="s">
        <v>36</v>
      </c>
    </row>
    <row r="196" spans="1:27" x14ac:dyDescent="0.25">
      <c r="A196" s="17" t="s">
        <v>137</v>
      </c>
      <c r="B196" s="18" t="s">
        <v>32</v>
      </c>
      <c r="C196" s="63" t="str" cm="1">
        <f t="array" ref="C196">_xlfn.SWITCH(Table22[[#This Row],[Country]],"USA","North America","Canada","North America","Brazil","South America","China","Asia","Japan","Asia","India","Asia","France","Europe","Germany","Europe","UK","Europe","Australia","Oceania","South America")</f>
        <v>Asia</v>
      </c>
      <c r="D196" s="18" t="s">
        <v>28</v>
      </c>
      <c r="E196" s="18" t="s">
        <v>33</v>
      </c>
      <c r="F196" s="18" t="s">
        <v>34</v>
      </c>
      <c r="G196" s="18" t="s">
        <v>40</v>
      </c>
      <c r="H196" s="64">
        <f>LEN(TRIM(Table22[[#This Row],[Country]]))</f>
        <v>5</v>
      </c>
      <c r="I196" s="64">
        <f>LEN(TRIM(Table22[[#This Row],[Continent]]))</f>
        <v>4</v>
      </c>
      <c r="J196" s="64">
        <f>LEN(TRIM(Table22[[#This Row],[Product]]))</f>
        <v>10</v>
      </c>
      <c r="K196" s="64">
        <f>LEN(TRIM(Table22[[#This Row],[Sales Team]]))</f>
        <v>10</v>
      </c>
      <c r="L196" s="23">
        <v>79</v>
      </c>
      <c r="M196" s="65" t="str" cm="1">
        <f t="array" ref="M196">_xlfn.IFS(Table22[[#This Row],[Units Sold]]&lt;40,"Critical",Table22[[#This Row],[Units Sold]]&lt;=50,"Poor",Table22[[#This Row],[Units Sold]]&lt;=60,"Low",Table22[[#This Row],[Units Sold]]&lt;=80,"Average",Table22[[#This Row],[Units Sold]]&lt;=90,"High",Table22[[#This Row],[Units Sold]]&lt;=95,"Excellent",Table22[[#This Row],[Units Sold]]&gt;95,"Outstanding")</f>
        <v>Average</v>
      </c>
      <c r="N196" s="29">
        <v>1150.54</v>
      </c>
      <c r="O196" s="29">
        <v>90892.66</v>
      </c>
      <c r="P196" s="43">
        <f>IF(Table22[[#This Row],[Discount Applied]],Table22[[#This Row],[Total Sales (in USD)]]*(1-Table22[[#This Row],[Discount Percentage (%)]]/100),Table22[[#This Row],[Total Sales (in USD)]])</f>
        <v>85948.099296</v>
      </c>
      <c r="Q196" s="66">
        <f>SQRT(AVERAGE((Table22[[#This Row],[Net Sales (after discount) (in USD)]]-AVERAGE(Table22[Net Sales (after discount) (in USD)]))^2))</f>
        <v>49436.738732235463</v>
      </c>
      <c r="R196" s="18" t="b">
        <v>0</v>
      </c>
      <c r="S196" s="40">
        <v>5.44</v>
      </c>
      <c r="T196" s="18" t="b">
        <v>1</v>
      </c>
      <c r="U196" s="25">
        <v>45067</v>
      </c>
      <c r="V196" s="63" t="str">
        <f>IF(MONTH(Table22[[#This Row],[Sales Date]])&lt;=3,"Q1",IF(MONTH(Table22[[#This Row],[Sales Date]])&lt;=6,"Q2",IF(MONTH(Table22[[#This Row],[Sales Date]])&lt;=9,"Q3","Q4")))</f>
        <v>Q2</v>
      </c>
      <c r="W196" s="64">
        <f>YEAR(Table22[[#This Row],[Sales Date]])</f>
        <v>2023</v>
      </c>
      <c r="X196" s="23">
        <v>50</v>
      </c>
      <c r="Y196" s="18" t="s">
        <v>23</v>
      </c>
      <c r="Z196" s="18" t="s">
        <v>24</v>
      </c>
      <c r="AA196" s="19" t="s">
        <v>25</v>
      </c>
    </row>
    <row r="197" spans="1:27" x14ac:dyDescent="0.25">
      <c r="A197" s="17" t="s">
        <v>873</v>
      </c>
      <c r="B197" s="18" t="s">
        <v>76</v>
      </c>
      <c r="C197" s="63" t="str" cm="1">
        <f t="array" ref="C197">_xlfn.SWITCH(Table22[[#This Row],[Country]],"USA","North America","Canada","North America","Brazil","South America","China","Asia","Japan","Asia","India","Asia","France","Europe","Germany","Europe","UK","Europe","Australia","Oceania","South America")</f>
        <v>Asia</v>
      </c>
      <c r="D197" s="18" t="s">
        <v>35</v>
      </c>
      <c r="E197" s="18" t="s">
        <v>33</v>
      </c>
      <c r="F197" s="18" t="s">
        <v>20</v>
      </c>
      <c r="G197" s="18" t="s">
        <v>29</v>
      </c>
      <c r="H197" s="64">
        <f>LEN(TRIM(Table22[[#This Row],[Country]]))</f>
        <v>5</v>
      </c>
      <c r="I197" s="64">
        <f>LEN(TRIM(Table22[[#This Row],[Continent]]))</f>
        <v>4</v>
      </c>
      <c r="J197" s="64">
        <f>LEN(TRIM(Table22[[#This Row],[Product]]))</f>
        <v>10</v>
      </c>
      <c r="K197" s="64">
        <f>LEN(TRIM(Table22[[#This Row],[Sales Team]]))</f>
        <v>10</v>
      </c>
      <c r="L197" s="23">
        <v>68</v>
      </c>
      <c r="M197" s="65" t="str" cm="1">
        <f t="array" ref="M197">_xlfn.IFS(Table22[[#This Row],[Units Sold]]&lt;40,"Critical",Table22[[#This Row],[Units Sold]]&lt;=50,"Poor",Table22[[#This Row],[Units Sold]]&lt;=60,"Low",Table22[[#This Row],[Units Sold]]&lt;=80,"Average",Table22[[#This Row],[Units Sold]]&lt;=90,"High",Table22[[#This Row],[Units Sold]]&lt;=95,"Excellent",Table22[[#This Row],[Units Sold]]&gt;95,"Outstanding")</f>
        <v>Average</v>
      </c>
      <c r="N197" s="29">
        <v>1336.3</v>
      </c>
      <c r="O197" s="29">
        <v>90868.4</v>
      </c>
      <c r="P197" s="43">
        <f>IF(Table22[[#This Row],[Discount Applied]],Table22[[#This Row],[Total Sales (in USD)]]*(1-Table22[[#This Row],[Discount Percentage (%)]]/100),Table22[[#This Row],[Total Sales (in USD)]])</f>
        <v>90868.4</v>
      </c>
      <c r="Q197" s="66">
        <f>SQRT(AVERAGE((Table22[[#This Row],[Net Sales (after discount) (in USD)]]-AVERAGE(Table22[Net Sales (after discount) (in USD)]))^2))</f>
        <v>54357.039436235456</v>
      </c>
      <c r="R197" s="18" t="b">
        <v>1</v>
      </c>
      <c r="S197" s="40">
        <v>13.63</v>
      </c>
      <c r="T197" s="18" t="b">
        <v>0</v>
      </c>
      <c r="U197" s="25">
        <v>45117</v>
      </c>
      <c r="V197" s="63" t="str">
        <f>IF(MONTH(Table22[[#This Row],[Sales Date]])&lt;=3,"Q1",IF(MONTH(Table22[[#This Row],[Sales Date]])&lt;=6,"Q2",IF(MONTH(Table22[[#This Row],[Sales Date]])&lt;=9,"Q3","Q4")))</f>
        <v>Q3</v>
      </c>
      <c r="W197" s="64">
        <f>YEAR(Table22[[#This Row],[Sales Date]])</f>
        <v>2023</v>
      </c>
      <c r="X197" s="23">
        <v>32</v>
      </c>
      <c r="Y197" s="18" t="s">
        <v>41</v>
      </c>
      <c r="Z197" s="18" t="s">
        <v>42</v>
      </c>
      <c r="AA197" s="19" t="s">
        <v>25</v>
      </c>
    </row>
    <row r="198" spans="1:27" x14ac:dyDescent="0.25">
      <c r="A198" s="17" t="s">
        <v>92</v>
      </c>
      <c r="B198" s="18" t="s">
        <v>76</v>
      </c>
      <c r="C198" s="63" t="str" cm="1">
        <f t="array" ref="C198">_xlfn.SWITCH(Table22[[#This Row],[Country]],"USA","North America","Canada","North America","Brazil","South America","China","Asia","Japan","Asia","India","Asia","France","Europe","Germany","Europe","UK","Europe","Australia","Oceania","South America")</f>
        <v>Asia</v>
      </c>
      <c r="D198" s="18" t="s">
        <v>28</v>
      </c>
      <c r="E198" s="18" t="s">
        <v>19</v>
      </c>
      <c r="F198" s="18" t="s">
        <v>34</v>
      </c>
      <c r="G198" s="18" t="s">
        <v>22</v>
      </c>
      <c r="H198" s="64">
        <f>LEN(TRIM(Table22[[#This Row],[Country]]))</f>
        <v>5</v>
      </c>
      <c r="I198" s="64">
        <f>LEN(TRIM(Table22[[#This Row],[Continent]]))</f>
        <v>4</v>
      </c>
      <c r="J198" s="64">
        <f>LEN(TRIM(Table22[[#This Row],[Product]]))</f>
        <v>6</v>
      </c>
      <c r="K198" s="64">
        <f>LEN(TRIM(Table22[[#This Row],[Sales Team]]))</f>
        <v>10</v>
      </c>
      <c r="L198" s="23">
        <v>90</v>
      </c>
      <c r="M198" s="65" t="str" cm="1">
        <f t="array" ref="M198">_xlfn.IFS(Table22[[#This Row],[Units Sold]]&lt;40,"Critical",Table22[[#This Row],[Units Sold]]&lt;=50,"Poor",Table22[[#This Row],[Units Sold]]&lt;=60,"Low",Table22[[#This Row],[Units Sold]]&lt;=80,"Average",Table22[[#This Row],[Units Sold]]&lt;=90,"High",Table22[[#This Row],[Units Sold]]&lt;=95,"Excellent",Table22[[#This Row],[Units Sold]]&gt;95,"Outstanding")</f>
        <v>High</v>
      </c>
      <c r="N198" s="29">
        <v>1009.1</v>
      </c>
      <c r="O198" s="29">
        <v>90819</v>
      </c>
      <c r="P198" s="43">
        <f>IF(Table22[[#This Row],[Discount Applied]],Table22[[#This Row],[Total Sales (in USD)]]*(1-Table22[[#This Row],[Discount Percentage (%)]]/100),Table22[[#This Row],[Total Sales (in USD)]])</f>
        <v>67605.6636</v>
      </c>
      <c r="Q198" s="66">
        <f>SQRT(AVERAGE((Table22[[#This Row],[Net Sales (after discount) (in USD)]]-AVERAGE(Table22[Net Sales (after discount) (in USD)]))^2))</f>
        <v>31094.303036235462</v>
      </c>
      <c r="R198" s="18" t="b">
        <v>0</v>
      </c>
      <c r="S198" s="40">
        <v>25.56</v>
      </c>
      <c r="T198" s="18" t="b">
        <v>1</v>
      </c>
      <c r="U198" s="25">
        <v>45566</v>
      </c>
      <c r="V198" s="63" t="str">
        <f>IF(MONTH(Table22[[#This Row],[Sales Date]])&lt;=3,"Q1",IF(MONTH(Table22[[#This Row],[Sales Date]])&lt;=6,"Q2",IF(MONTH(Table22[[#This Row],[Sales Date]])&lt;=9,"Q3","Q4")))</f>
        <v>Q4</v>
      </c>
      <c r="W198" s="64">
        <f>YEAR(Table22[[#This Row],[Sales Date]])</f>
        <v>2024</v>
      </c>
      <c r="X198" s="23">
        <v>57</v>
      </c>
      <c r="Y198" s="18" t="s">
        <v>49</v>
      </c>
      <c r="Z198" s="18" t="s">
        <v>30</v>
      </c>
      <c r="AA198" s="19" t="s">
        <v>36</v>
      </c>
    </row>
    <row r="199" spans="1:27" x14ac:dyDescent="0.25">
      <c r="A199" s="17" t="s">
        <v>1580</v>
      </c>
      <c r="B199" s="18" t="s">
        <v>66</v>
      </c>
      <c r="C199" s="63" t="str" cm="1">
        <f t="array" ref="C199">_xlfn.SWITCH(Table22[[#This Row],[Country]],"USA","North America","Canada","North America","Brazil","South America","China","Asia","Japan","Asia","India","Asia","France","Europe","Germany","Europe","UK","Europe","Australia","Oceania","South America")</f>
        <v>North America</v>
      </c>
      <c r="D199" s="18" t="s">
        <v>28</v>
      </c>
      <c r="E199" s="18" t="s">
        <v>39</v>
      </c>
      <c r="F199" s="18" t="s">
        <v>47</v>
      </c>
      <c r="G199" s="18" t="s">
        <v>40</v>
      </c>
      <c r="H199" s="64">
        <f>LEN(TRIM(Table22[[#This Row],[Country]]))</f>
        <v>6</v>
      </c>
      <c r="I199" s="64">
        <f>LEN(TRIM(Table22[[#This Row],[Continent]]))</f>
        <v>13</v>
      </c>
      <c r="J199" s="64">
        <f>LEN(TRIM(Table22[[#This Row],[Product]]))</f>
        <v>10</v>
      </c>
      <c r="K199" s="64">
        <f>LEN(TRIM(Table22[[#This Row],[Sales Team]]))</f>
        <v>10</v>
      </c>
      <c r="L199" s="23">
        <v>98</v>
      </c>
      <c r="M199" s="65" t="str" cm="1">
        <f t="array" ref="M199">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99" s="29">
        <v>926.1</v>
      </c>
      <c r="O199" s="29">
        <v>90757.8</v>
      </c>
      <c r="P199" s="43">
        <f>IF(Table22[[#This Row],[Discount Applied]],Table22[[#This Row],[Total Sales (in USD)]]*(1-Table22[[#This Row],[Discount Percentage (%)]]/100),Table22[[#This Row],[Total Sales (in USD)]])</f>
        <v>90757.8</v>
      </c>
      <c r="Q199" s="66">
        <f>SQRT(AVERAGE((Table22[[#This Row],[Net Sales (after discount) (in USD)]]-AVERAGE(Table22[Net Sales (after discount) (in USD)]))^2))</f>
        <v>54246.439436235465</v>
      </c>
      <c r="R199" s="18" t="b">
        <v>0</v>
      </c>
      <c r="S199" s="40">
        <v>25.67</v>
      </c>
      <c r="T199" s="18" t="b">
        <v>0</v>
      </c>
      <c r="U199" s="25">
        <v>45413</v>
      </c>
      <c r="V199" s="63" t="str">
        <f>IF(MONTH(Table22[[#This Row],[Sales Date]])&lt;=3,"Q1",IF(MONTH(Table22[[#This Row],[Sales Date]])&lt;=6,"Q2",IF(MONTH(Table22[[#This Row],[Sales Date]])&lt;=9,"Q3","Q4")))</f>
        <v>Q2</v>
      </c>
      <c r="W199" s="64">
        <f>YEAR(Table22[[#This Row],[Sales Date]])</f>
        <v>2024</v>
      </c>
      <c r="X199" s="23">
        <v>22</v>
      </c>
      <c r="Y199" s="18" t="s">
        <v>23</v>
      </c>
      <c r="Z199" s="18" t="s">
        <v>24</v>
      </c>
      <c r="AA199" s="19" t="s">
        <v>25</v>
      </c>
    </row>
    <row r="200" spans="1:27" x14ac:dyDescent="0.25">
      <c r="A200" s="17" t="s">
        <v>1770</v>
      </c>
      <c r="B200" s="18" t="s">
        <v>46</v>
      </c>
      <c r="C200" s="63" t="str" cm="1">
        <f t="array" ref="C200">_xlfn.SWITCH(Table22[[#This Row],[Country]],"USA","North America","Canada","North America","Brazil","South America","China","Asia","Japan","Asia","India","Asia","France","Europe","Germany","Europe","UK","Europe","Australia","Oceania","South America")</f>
        <v>South America</v>
      </c>
      <c r="D200" s="18" t="s">
        <v>21</v>
      </c>
      <c r="E200" s="18" t="s">
        <v>39</v>
      </c>
      <c r="F200" s="18" t="s">
        <v>47</v>
      </c>
      <c r="G200" s="18" t="s">
        <v>40</v>
      </c>
      <c r="H200" s="64">
        <f>LEN(TRIM(Table22[[#This Row],[Country]]))</f>
        <v>6</v>
      </c>
      <c r="I200" s="64">
        <f>LEN(TRIM(Table22[[#This Row],[Continent]]))</f>
        <v>13</v>
      </c>
      <c r="J200" s="64">
        <f>LEN(TRIM(Table22[[#This Row],[Product]]))</f>
        <v>10</v>
      </c>
      <c r="K200" s="64">
        <f>LEN(TRIM(Table22[[#This Row],[Sales Team]]))</f>
        <v>10</v>
      </c>
      <c r="L200" s="23">
        <v>98</v>
      </c>
      <c r="M200" s="65" t="str" cm="1">
        <f t="array" ref="M200">_xlfn.IFS(Table22[[#This Row],[Units Sold]]&lt;40,"Critical",Table22[[#This Row],[Units Sold]]&lt;=50,"Poor",Table22[[#This Row],[Units Sold]]&lt;=60,"Low",Table22[[#This Row],[Units Sold]]&lt;=80,"Average",Table22[[#This Row],[Units Sold]]&lt;=90,"High",Table22[[#This Row],[Units Sold]]&lt;=95,"Excellent",Table22[[#This Row],[Units Sold]]&gt;95,"Outstanding")</f>
        <v>Outstanding</v>
      </c>
      <c r="N200" s="29">
        <v>925.97</v>
      </c>
      <c r="O200" s="29">
        <v>90745.06</v>
      </c>
      <c r="P200" s="43">
        <f>IF(Table22[[#This Row],[Discount Applied]],Table22[[#This Row],[Total Sales (in USD)]]*(1-Table22[[#This Row],[Discount Percentage (%)]]/100),Table22[[#This Row],[Total Sales (in USD)]])</f>
        <v>73966.298406000002</v>
      </c>
      <c r="Q200" s="66">
        <f>SQRT(AVERAGE((Table22[[#This Row],[Net Sales (after discount) (in USD)]]-AVERAGE(Table22[Net Sales (after discount) (in USD)]))^2))</f>
        <v>37454.937842235464</v>
      </c>
      <c r="R200" s="18" t="b">
        <v>0</v>
      </c>
      <c r="S200" s="40">
        <v>18.489999999999998</v>
      </c>
      <c r="T200" s="18" t="b">
        <v>1</v>
      </c>
      <c r="U200" s="25">
        <v>45321</v>
      </c>
      <c r="V200" s="63" t="str">
        <f>IF(MONTH(Table22[[#This Row],[Sales Date]])&lt;=3,"Q1",IF(MONTH(Table22[[#This Row],[Sales Date]])&lt;=6,"Q2",IF(MONTH(Table22[[#This Row],[Sales Date]])&lt;=9,"Q3","Q4")))</f>
        <v>Q1</v>
      </c>
      <c r="W200" s="64">
        <f>YEAR(Table22[[#This Row],[Sales Date]])</f>
        <v>2024</v>
      </c>
      <c r="X200" s="23">
        <v>27</v>
      </c>
      <c r="Y200" s="18" t="s">
        <v>23</v>
      </c>
      <c r="Z200" s="18" t="s">
        <v>30</v>
      </c>
      <c r="AA200" s="19" t="s">
        <v>36</v>
      </c>
    </row>
    <row r="201" spans="1:27" x14ac:dyDescent="0.25">
      <c r="A201" s="17" t="s">
        <v>858</v>
      </c>
      <c r="B201" s="18" t="s">
        <v>27</v>
      </c>
      <c r="C201" s="63" t="str" cm="1">
        <f t="array" ref="C201">_xlfn.SWITCH(Table22[[#This Row],[Country]],"USA","North America","Canada","North America","Brazil","South America","China","Asia","Japan","Asia","India","Asia","France","Europe","Germany","Europe","UK","Europe","Australia","Oceania","South America")</f>
        <v>Europe</v>
      </c>
      <c r="D201" s="18" t="s">
        <v>21</v>
      </c>
      <c r="E201" s="18" t="s">
        <v>39</v>
      </c>
      <c r="F201" s="18" t="s">
        <v>47</v>
      </c>
      <c r="G201" s="18" t="s">
        <v>40</v>
      </c>
      <c r="H201" s="64">
        <f>LEN(TRIM(Table22[[#This Row],[Country]]))</f>
        <v>7</v>
      </c>
      <c r="I201" s="64">
        <f>LEN(TRIM(Table22[[#This Row],[Continent]]))</f>
        <v>6</v>
      </c>
      <c r="J201" s="64">
        <f>LEN(TRIM(Table22[[#This Row],[Product]]))</f>
        <v>10</v>
      </c>
      <c r="K201" s="64">
        <f>LEN(TRIM(Table22[[#This Row],[Sales Team]]))</f>
        <v>10</v>
      </c>
      <c r="L201" s="23">
        <v>93</v>
      </c>
      <c r="M201" s="65" t="str" cm="1">
        <f t="array" ref="M201">_xlfn.IFS(Table22[[#This Row],[Units Sold]]&lt;40,"Critical",Table22[[#This Row],[Units Sold]]&lt;=50,"Poor",Table22[[#This Row],[Units Sold]]&lt;=60,"Low",Table22[[#This Row],[Units Sold]]&lt;=80,"Average",Table22[[#This Row],[Units Sold]]&lt;=90,"High",Table22[[#This Row],[Units Sold]]&lt;=95,"Excellent",Table22[[#This Row],[Units Sold]]&gt;95,"Outstanding")</f>
        <v>Excellent</v>
      </c>
      <c r="N201" s="29">
        <v>972.82</v>
      </c>
      <c r="O201" s="29">
        <v>90472.26</v>
      </c>
      <c r="P201" s="43">
        <f>IF(Table22[[#This Row],[Discount Applied]],Table22[[#This Row],[Total Sales (in USD)]]*(1-Table22[[#This Row],[Discount Percentage (%)]]/100),Table22[[#This Row],[Total Sales (in USD)]])</f>
        <v>71337.377009999997</v>
      </c>
      <c r="Q201" s="66">
        <f>SQRT(AVERAGE((Table22[[#This Row],[Net Sales (after discount) (in USD)]]-AVERAGE(Table22[Net Sales (after discount) (in USD)]))^2))</f>
        <v>34826.016446235459</v>
      </c>
      <c r="R201" s="18" t="b">
        <v>1</v>
      </c>
      <c r="S201" s="40">
        <v>21.15</v>
      </c>
      <c r="T201" s="18" t="b">
        <v>1</v>
      </c>
      <c r="U201" s="25">
        <v>45356</v>
      </c>
      <c r="V201" s="63" t="str">
        <f>IF(MONTH(Table22[[#This Row],[Sales Date]])&lt;=3,"Q1",IF(MONTH(Table22[[#This Row],[Sales Date]])&lt;=6,"Q2",IF(MONTH(Table22[[#This Row],[Sales Date]])&lt;=9,"Q3","Q4")))</f>
        <v>Q1</v>
      </c>
      <c r="W201" s="64">
        <f>YEAR(Table22[[#This Row],[Sales Date]])</f>
        <v>2024</v>
      </c>
      <c r="X201" s="23">
        <v>38</v>
      </c>
      <c r="Y201" s="18" t="s">
        <v>41</v>
      </c>
      <c r="Z201" s="18" t="s">
        <v>24</v>
      </c>
      <c r="AA201" s="19" t="s">
        <v>25</v>
      </c>
    </row>
    <row r="202" spans="1:27" x14ac:dyDescent="0.25">
      <c r="A202" s="17" t="s">
        <v>1549</v>
      </c>
      <c r="B202" s="18" t="s">
        <v>76</v>
      </c>
      <c r="C202" s="63" t="str" cm="1">
        <f t="array" ref="C202">_xlfn.SWITCH(Table22[[#This Row],[Country]],"USA","North America","Canada","North America","Brazil","South America","China","Asia","Japan","Asia","India","Asia","France","Europe","Germany","Europe","UK","Europe","Australia","Oceania","South America")</f>
        <v>Asia</v>
      </c>
      <c r="D202" s="18" t="s">
        <v>21</v>
      </c>
      <c r="E202" s="18" t="s">
        <v>39</v>
      </c>
      <c r="F202" s="18" t="s">
        <v>47</v>
      </c>
      <c r="G202" s="18" t="s">
        <v>48</v>
      </c>
      <c r="H202" s="64">
        <f>LEN(TRIM(Table22[[#This Row],[Country]]))</f>
        <v>5</v>
      </c>
      <c r="I202" s="64">
        <f>LEN(TRIM(Table22[[#This Row],[Continent]]))</f>
        <v>4</v>
      </c>
      <c r="J202" s="64">
        <f>LEN(TRIM(Table22[[#This Row],[Product]]))</f>
        <v>10</v>
      </c>
      <c r="K202" s="64">
        <f>LEN(TRIM(Table22[[#This Row],[Sales Team]]))</f>
        <v>9</v>
      </c>
      <c r="L202" s="23">
        <v>98</v>
      </c>
      <c r="M202" s="65" t="str" cm="1">
        <f t="array" ref="M202">_xlfn.IFS(Table22[[#This Row],[Units Sold]]&lt;40,"Critical",Table22[[#This Row],[Units Sold]]&lt;=50,"Poor",Table22[[#This Row],[Units Sold]]&lt;=60,"Low",Table22[[#This Row],[Units Sold]]&lt;=80,"Average",Table22[[#This Row],[Units Sold]]&lt;=90,"High",Table22[[#This Row],[Units Sold]]&lt;=95,"Excellent",Table22[[#This Row],[Units Sold]]&gt;95,"Outstanding")</f>
        <v>Outstanding</v>
      </c>
      <c r="N202" s="29">
        <v>923.14</v>
      </c>
      <c r="O202" s="29">
        <v>90467.72</v>
      </c>
      <c r="P202" s="43">
        <f>IF(Table22[[#This Row],[Discount Applied]],Table22[[#This Row],[Total Sales (in USD)]]*(1-Table22[[#This Row],[Discount Percentage (%)]]/100),Table22[[#This Row],[Total Sales (in USD)]])</f>
        <v>74427.793244</v>
      </c>
      <c r="Q202" s="66">
        <f>SQRT(AVERAGE((Table22[[#This Row],[Net Sales (after discount) (in USD)]]-AVERAGE(Table22[Net Sales (after discount) (in USD)]))^2))</f>
        <v>37916.432680235463</v>
      </c>
      <c r="R202" s="18" t="b">
        <v>1</v>
      </c>
      <c r="S202" s="40">
        <v>17.73</v>
      </c>
      <c r="T202" s="18" t="b">
        <v>1</v>
      </c>
      <c r="U202" s="25">
        <v>44995</v>
      </c>
      <c r="V202" s="63" t="str">
        <f>IF(MONTH(Table22[[#This Row],[Sales Date]])&lt;=3,"Q1",IF(MONTH(Table22[[#This Row],[Sales Date]])&lt;=6,"Q2",IF(MONTH(Table22[[#This Row],[Sales Date]])&lt;=9,"Q3","Q4")))</f>
        <v>Q1</v>
      </c>
      <c r="W202" s="64">
        <f>YEAR(Table22[[#This Row],[Sales Date]])</f>
        <v>2023</v>
      </c>
      <c r="X202" s="23">
        <v>66</v>
      </c>
      <c r="Y202" s="18" t="s">
        <v>41</v>
      </c>
      <c r="Z202" s="18" t="s">
        <v>56</v>
      </c>
      <c r="AA202" s="19" t="s">
        <v>25</v>
      </c>
    </row>
    <row r="203" spans="1:27" x14ac:dyDescent="0.25">
      <c r="A203" s="17" t="s">
        <v>1705</v>
      </c>
      <c r="B203" s="18" t="s">
        <v>76</v>
      </c>
      <c r="C203" s="63" t="str" cm="1">
        <f t="array" ref="C203">_xlfn.SWITCH(Table22[[#This Row],[Country]],"USA","North America","Canada","North America","Brazil","South America","China","Asia","Japan","Asia","India","Asia","France","Europe","Germany","Europe","UK","Europe","Australia","Oceania","South America")</f>
        <v>Asia</v>
      </c>
      <c r="D203" s="18" t="s">
        <v>28</v>
      </c>
      <c r="E203" s="18" t="s">
        <v>33</v>
      </c>
      <c r="F203" s="18" t="s">
        <v>64</v>
      </c>
      <c r="G203" s="18" t="s">
        <v>48</v>
      </c>
      <c r="H203" s="64">
        <f>LEN(TRIM(Table22[[#This Row],[Country]]))</f>
        <v>5</v>
      </c>
      <c r="I203" s="64">
        <f>LEN(TRIM(Table22[[#This Row],[Continent]]))</f>
        <v>4</v>
      </c>
      <c r="J203" s="64">
        <f>LEN(TRIM(Table22[[#This Row],[Product]]))</f>
        <v>10</v>
      </c>
      <c r="K203" s="64">
        <f>LEN(TRIM(Table22[[#This Row],[Sales Team]]))</f>
        <v>9</v>
      </c>
      <c r="L203" s="23">
        <v>82</v>
      </c>
      <c r="M203" s="65" t="str" cm="1">
        <f t="array" ref="M203">_xlfn.IFS(Table22[[#This Row],[Units Sold]]&lt;40,"Critical",Table22[[#This Row],[Units Sold]]&lt;=50,"Poor",Table22[[#This Row],[Units Sold]]&lt;=60,"Low",Table22[[#This Row],[Units Sold]]&lt;=80,"Average",Table22[[#This Row],[Units Sold]]&lt;=90,"High",Table22[[#This Row],[Units Sold]]&lt;=95,"Excellent",Table22[[#This Row],[Units Sold]]&gt;95,"Outstanding")</f>
        <v>High</v>
      </c>
      <c r="N203" s="29">
        <v>1101.3900000000001</v>
      </c>
      <c r="O203" s="29">
        <v>90313.98</v>
      </c>
      <c r="P203" s="43">
        <f>IF(Table22[[#This Row],[Discount Applied]],Table22[[#This Row],[Total Sales (in USD)]]*(1-Table22[[#This Row],[Discount Percentage (%)]]/100),Table22[[#This Row],[Total Sales (in USD)]])</f>
        <v>90313.98</v>
      </c>
      <c r="Q203" s="66">
        <f>SQRT(AVERAGE((Table22[[#This Row],[Net Sales (after discount) (in USD)]]-AVERAGE(Table22[Net Sales (after discount) (in USD)]))^2))</f>
        <v>53802.619436235458</v>
      </c>
      <c r="R203" s="18" t="b">
        <v>0</v>
      </c>
      <c r="S203" s="40">
        <v>19.190000000000001</v>
      </c>
      <c r="T203" s="18" t="b">
        <v>0</v>
      </c>
      <c r="U203" s="25">
        <v>45215</v>
      </c>
      <c r="V203" s="63" t="str">
        <f>IF(MONTH(Table22[[#This Row],[Sales Date]])&lt;=3,"Q1",IF(MONTH(Table22[[#This Row],[Sales Date]])&lt;=6,"Q2",IF(MONTH(Table22[[#This Row],[Sales Date]])&lt;=9,"Q3","Q4")))</f>
        <v>Q4</v>
      </c>
      <c r="W203" s="64">
        <f>YEAR(Table22[[#This Row],[Sales Date]])</f>
        <v>2023</v>
      </c>
      <c r="X203" s="23">
        <v>18</v>
      </c>
      <c r="Y203" s="18" t="s">
        <v>41</v>
      </c>
      <c r="Z203" s="18" t="s">
        <v>24</v>
      </c>
      <c r="AA203" s="19" t="s">
        <v>36</v>
      </c>
    </row>
    <row r="204" spans="1:27" x14ac:dyDescent="0.25">
      <c r="A204" s="17" t="s">
        <v>606</v>
      </c>
      <c r="B204" s="18" t="s">
        <v>62</v>
      </c>
      <c r="C204" s="63" t="str" cm="1">
        <f t="array" ref="C204">_xlfn.SWITCH(Table22[[#This Row],[Country]],"USA","North America","Canada","North America","Brazil","South America","China","Asia","Japan","Asia","India","Asia","France","Europe","Germany","Europe","UK","Europe","Australia","Oceania","South America")</f>
        <v>Oceania</v>
      </c>
      <c r="D204" s="18" t="s">
        <v>28</v>
      </c>
      <c r="E204" s="18" t="s">
        <v>39</v>
      </c>
      <c r="F204" s="18" t="s">
        <v>34</v>
      </c>
      <c r="G204" s="18" t="s">
        <v>48</v>
      </c>
      <c r="H204" s="64">
        <f>LEN(TRIM(Table22[[#This Row],[Country]]))</f>
        <v>9</v>
      </c>
      <c r="I204" s="64">
        <f>LEN(TRIM(Table22[[#This Row],[Continent]]))</f>
        <v>7</v>
      </c>
      <c r="J204" s="64">
        <f>LEN(TRIM(Table22[[#This Row],[Product]]))</f>
        <v>10</v>
      </c>
      <c r="K204" s="64">
        <f>LEN(TRIM(Table22[[#This Row],[Sales Team]]))</f>
        <v>9</v>
      </c>
      <c r="L204" s="23">
        <v>86</v>
      </c>
      <c r="M204" s="65" t="str" cm="1">
        <f t="array" ref="M204">_xlfn.IFS(Table22[[#This Row],[Units Sold]]&lt;40,"Critical",Table22[[#This Row],[Units Sold]]&lt;=50,"Poor",Table22[[#This Row],[Units Sold]]&lt;=60,"Low",Table22[[#This Row],[Units Sold]]&lt;=80,"Average",Table22[[#This Row],[Units Sold]]&lt;=90,"High",Table22[[#This Row],[Units Sold]]&lt;=95,"Excellent",Table22[[#This Row],[Units Sold]]&gt;95,"Outstanding")</f>
        <v>High</v>
      </c>
      <c r="N204" s="29">
        <v>1049.4000000000001</v>
      </c>
      <c r="O204" s="29">
        <v>90248.4</v>
      </c>
      <c r="P204" s="43">
        <f>IF(Table22[[#This Row],[Discount Applied]],Table22[[#This Row],[Total Sales (in USD)]]*(1-Table22[[#This Row],[Discount Percentage (%)]]/100),Table22[[#This Row],[Total Sales (in USD)]])</f>
        <v>71142.813719999991</v>
      </c>
      <c r="Q204" s="66">
        <f>SQRT(AVERAGE((Table22[[#This Row],[Net Sales (after discount) (in USD)]]-AVERAGE(Table22[Net Sales (after discount) (in USD)]))^2))</f>
        <v>34631.453156235453</v>
      </c>
      <c r="R204" s="18" t="b">
        <v>0</v>
      </c>
      <c r="S204" s="40">
        <v>21.17</v>
      </c>
      <c r="T204" s="18" t="b">
        <v>1</v>
      </c>
      <c r="U204" s="25">
        <v>45312</v>
      </c>
      <c r="V204" s="63" t="str">
        <f>IF(MONTH(Table22[[#This Row],[Sales Date]])&lt;=3,"Q1",IF(MONTH(Table22[[#This Row],[Sales Date]])&lt;=6,"Q2",IF(MONTH(Table22[[#This Row],[Sales Date]])&lt;=9,"Q3","Q4")))</f>
        <v>Q1</v>
      </c>
      <c r="W204" s="64">
        <f>YEAR(Table22[[#This Row],[Sales Date]])</f>
        <v>2024</v>
      </c>
      <c r="X204" s="23">
        <v>54</v>
      </c>
      <c r="Y204" s="18" t="s">
        <v>41</v>
      </c>
      <c r="Z204" s="18" t="s">
        <v>30</v>
      </c>
      <c r="AA204" s="19" t="s">
        <v>25</v>
      </c>
    </row>
    <row r="205" spans="1:27" x14ac:dyDescent="0.25">
      <c r="A205" s="17" t="s">
        <v>286</v>
      </c>
      <c r="B205" s="18" t="s">
        <v>38</v>
      </c>
      <c r="C205" s="63" t="str" cm="1">
        <f t="array" ref="C205">_xlfn.SWITCH(Table22[[#This Row],[Country]],"USA","North America","Canada","North America","Brazil","South America","China","Asia","Japan","Asia","India","Asia","France","Europe","Germany","Europe","UK","Europe","Australia","Oceania","South America")</f>
        <v>Europe</v>
      </c>
      <c r="D205" s="18" t="s">
        <v>21</v>
      </c>
      <c r="E205" s="18" t="s">
        <v>19</v>
      </c>
      <c r="F205" s="18" t="s">
        <v>20</v>
      </c>
      <c r="G205" s="18" t="s">
        <v>48</v>
      </c>
      <c r="H205" s="64">
        <f>LEN(TRIM(Table22[[#This Row],[Country]]))</f>
        <v>6</v>
      </c>
      <c r="I205" s="64">
        <f>LEN(TRIM(Table22[[#This Row],[Continent]]))</f>
        <v>6</v>
      </c>
      <c r="J205" s="64">
        <f>LEN(TRIM(Table22[[#This Row],[Product]]))</f>
        <v>6</v>
      </c>
      <c r="K205" s="64">
        <f>LEN(TRIM(Table22[[#This Row],[Sales Team]]))</f>
        <v>9</v>
      </c>
      <c r="L205" s="23">
        <v>84</v>
      </c>
      <c r="M205" s="65" t="str" cm="1">
        <f t="array" ref="M205">_xlfn.IFS(Table22[[#This Row],[Units Sold]]&lt;40,"Critical",Table22[[#This Row],[Units Sold]]&lt;=50,"Poor",Table22[[#This Row],[Units Sold]]&lt;=60,"Low",Table22[[#This Row],[Units Sold]]&lt;=80,"Average",Table22[[#This Row],[Units Sold]]&lt;=90,"High",Table22[[#This Row],[Units Sold]]&lt;=95,"Excellent",Table22[[#This Row],[Units Sold]]&gt;95,"Outstanding")</f>
        <v>High</v>
      </c>
      <c r="N205" s="29">
        <v>1073.53</v>
      </c>
      <c r="O205" s="29">
        <v>90176.52</v>
      </c>
      <c r="P205" s="43">
        <f>IF(Table22[[#This Row],[Discount Applied]],Table22[[#This Row],[Total Sales (in USD)]]*(1-Table22[[#This Row],[Discount Percentage (%)]]/100),Table22[[#This Row],[Total Sales (in USD)]])</f>
        <v>63168.652260000003</v>
      </c>
      <c r="Q205" s="66">
        <f>SQRT(AVERAGE((Table22[[#This Row],[Net Sales (after discount) (in USD)]]-AVERAGE(Table22[Net Sales (after discount) (in USD)]))^2))</f>
        <v>26657.291696235465</v>
      </c>
      <c r="R205" s="18" t="b">
        <v>0</v>
      </c>
      <c r="S205" s="40">
        <v>29.95</v>
      </c>
      <c r="T205" s="18" t="b">
        <v>1</v>
      </c>
      <c r="U205" s="25">
        <v>45420</v>
      </c>
      <c r="V205" s="63" t="str">
        <f>IF(MONTH(Table22[[#This Row],[Sales Date]])&lt;=3,"Q1",IF(MONTH(Table22[[#This Row],[Sales Date]])&lt;=6,"Q2",IF(MONTH(Table22[[#This Row],[Sales Date]])&lt;=9,"Q3","Q4")))</f>
        <v>Q2</v>
      </c>
      <c r="W205" s="64">
        <f>YEAR(Table22[[#This Row],[Sales Date]])</f>
        <v>2024</v>
      </c>
      <c r="X205" s="23">
        <v>40</v>
      </c>
      <c r="Y205" s="18" t="s">
        <v>23</v>
      </c>
      <c r="Z205" s="18" t="s">
        <v>56</v>
      </c>
      <c r="AA205" s="19" t="s">
        <v>25</v>
      </c>
    </row>
    <row r="206" spans="1:27" x14ac:dyDescent="0.25">
      <c r="A206" s="17" t="s">
        <v>647</v>
      </c>
      <c r="B206" s="18" t="s">
        <v>76</v>
      </c>
      <c r="C206" s="63" t="str" cm="1">
        <f t="array" ref="C206">_xlfn.SWITCH(Table22[[#This Row],[Country]],"USA","North America","Canada","North America","Brazil","South America","China","Asia","Japan","Asia","India","Asia","France","Europe","Germany","Europe","UK","Europe","Australia","Oceania","South America")</f>
        <v>Asia</v>
      </c>
      <c r="D206" s="18" t="s">
        <v>28</v>
      </c>
      <c r="E206" s="18" t="s">
        <v>39</v>
      </c>
      <c r="F206" s="18" t="s">
        <v>34</v>
      </c>
      <c r="G206" s="18" t="s">
        <v>40</v>
      </c>
      <c r="H206" s="64">
        <f>LEN(TRIM(Table22[[#This Row],[Country]]))</f>
        <v>5</v>
      </c>
      <c r="I206" s="64">
        <f>LEN(TRIM(Table22[[#This Row],[Continent]]))</f>
        <v>4</v>
      </c>
      <c r="J206" s="64">
        <f>LEN(TRIM(Table22[[#This Row],[Product]]))</f>
        <v>10</v>
      </c>
      <c r="K206" s="64">
        <f>LEN(TRIM(Table22[[#This Row],[Sales Team]]))</f>
        <v>10</v>
      </c>
      <c r="L206" s="23">
        <v>77</v>
      </c>
      <c r="M206" s="65" t="str" cm="1">
        <f t="array" ref="M206">_xlfn.IFS(Table22[[#This Row],[Units Sold]]&lt;40,"Critical",Table22[[#This Row],[Units Sold]]&lt;=50,"Poor",Table22[[#This Row],[Units Sold]]&lt;=60,"Low",Table22[[#This Row],[Units Sold]]&lt;=80,"Average",Table22[[#This Row],[Units Sold]]&lt;=90,"High",Table22[[#This Row],[Units Sold]]&lt;=95,"Excellent",Table22[[#This Row],[Units Sold]]&gt;95,"Outstanding")</f>
        <v>Average</v>
      </c>
      <c r="N206" s="29">
        <v>1170</v>
      </c>
      <c r="O206" s="29">
        <v>90090</v>
      </c>
      <c r="P206" s="43">
        <f>IF(Table22[[#This Row],[Discount Applied]],Table22[[#This Row],[Total Sales (in USD)]]*(1-Table22[[#This Row],[Discount Percentage (%)]]/100),Table22[[#This Row],[Total Sales (in USD)]])</f>
        <v>68774.705999999991</v>
      </c>
      <c r="Q206" s="66">
        <f>SQRT(AVERAGE((Table22[[#This Row],[Net Sales (after discount) (in USD)]]-AVERAGE(Table22[Net Sales (after discount) (in USD)]))^2))</f>
        <v>32263.345436235453</v>
      </c>
      <c r="R206" s="18" t="b">
        <v>0</v>
      </c>
      <c r="S206" s="40">
        <v>23.66</v>
      </c>
      <c r="T206" s="18" t="b">
        <v>1</v>
      </c>
      <c r="U206" s="25">
        <v>44949</v>
      </c>
      <c r="V206" s="63" t="str">
        <f>IF(MONTH(Table22[[#This Row],[Sales Date]])&lt;=3,"Q1",IF(MONTH(Table22[[#This Row],[Sales Date]])&lt;=6,"Q2",IF(MONTH(Table22[[#This Row],[Sales Date]])&lt;=9,"Q3","Q4")))</f>
        <v>Q1</v>
      </c>
      <c r="W206" s="64">
        <f>YEAR(Table22[[#This Row],[Sales Date]])</f>
        <v>2023</v>
      </c>
      <c r="X206" s="23">
        <v>34</v>
      </c>
      <c r="Y206" s="18" t="s">
        <v>41</v>
      </c>
      <c r="Z206" s="18" t="s">
        <v>30</v>
      </c>
      <c r="AA206" s="19" t="s">
        <v>25</v>
      </c>
    </row>
    <row r="207" spans="1:27" x14ac:dyDescent="0.25">
      <c r="A207" s="17" t="s">
        <v>1147</v>
      </c>
      <c r="B207" s="18" t="s">
        <v>51</v>
      </c>
      <c r="C207" s="63" t="str" cm="1">
        <f t="array" ref="C207">_xlfn.SWITCH(Table22[[#This Row],[Country]],"USA","North America","Canada","North America","Brazil","South America","China","Asia","Japan","Asia","India","Asia","France","Europe","Germany","Europe","UK","Europe","Australia","Oceania","South America")</f>
        <v>Europe</v>
      </c>
      <c r="D207" s="18" t="s">
        <v>35</v>
      </c>
      <c r="E207" s="18" t="s">
        <v>33</v>
      </c>
      <c r="F207" s="18" t="s">
        <v>52</v>
      </c>
      <c r="G207" s="18" t="s">
        <v>40</v>
      </c>
      <c r="H207" s="64">
        <f>LEN(TRIM(Table22[[#This Row],[Country]]))</f>
        <v>2</v>
      </c>
      <c r="I207" s="64">
        <f>LEN(TRIM(Table22[[#This Row],[Continent]]))</f>
        <v>6</v>
      </c>
      <c r="J207" s="64">
        <f>LEN(TRIM(Table22[[#This Row],[Product]]))</f>
        <v>10</v>
      </c>
      <c r="K207" s="64">
        <f>LEN(TRIM(Table22[[#This Row],[Sales Team]]))</f>
        <v>10</v>
      </c>
      <c r="L207" s="23">
        <v>74</v>
      </c>
      <c r="M207" s="65" t="str" cm="1">
        <f t="array" ref="M207">_xlfn.IFS(Table22[[#This Row],[Units Sold]]&lt;40,"Critical",Table22[[#This Row],[Units Sold]]&lt;=50,"Poor",Table22[[#This Row],[Units Sold]]&lt;=60,"Low",Table22[[#This Row],[Units Sold]]&lt;=80,"Average",Table22[[#This Row],[Units Sold]]&lt;=90,"High",Table22[[#This Row],[Units Sold]]&lt;=95,"Excellent",Table22[[#This Row],[Units Sold]]&gt;95,"Outstanding")</f>
        <v>Average</v>
      </c>
      <c r="N207" s="29">
        <v>1217.27</v>
      </c>
      <c r="O207" s="29">
        <v>90077.98</v>
      </c>
      <c r="P207" s="43">
        <f>IF(Table22[[#This Row],[Discount Applied]],Table22[[#This Row],[Total Sales (in USD)]]*(1-Table22[[#This Row],[Discount Percentage (%)]]/100),Table22[[#This Row],[Total Sales (in USD)]])</f>
        <v>88249.397005999999</v>
      </c>
      <c r="Q207" s="66">
        <f>SQRT(AVERAGE((Table22[[#This Row],[Net Sales (after discount) (in USD)]]-AVERAGE(Table22[Net Sales (after discount) (in USD)]))^2))</f>
        <v>51738.036442235461</v>
      </c>
      <c r="R207" s="18" t="b">
        <v>1</v>
      </c>
      <c r="S207" s="40">
        <v>2.0299999999999998</v>
      </c>
      <c r="T207" s="18" t="b">
        <v>1</v>
      </c>
      <c r="U207" s="25">
        <v>45522</v>
      </c>
      <c r="V207" s="63" t="str">
        <f>IF(MONTH(Table22[[#This Row],[Sales Date]])&lt;=3,"Q1",IF(MONTH(Table22[[#This Row],[Sales Date]])&lt;=6,"Q2",IF(MONTH(Table22[[#This Row],[Sales Date]])&lt;=9,"Q3","Q4")))</f>
        <v>Q3</v>
      </c>
      <c r="W207" s="64">
        <f>YEAR(Table22[[#This Row],[Sales Date]])</f>
        <v>2024</v>
      </c>
      <c r="X207" s="23">
        <v>56</v>
      </c>
      <c r="Y207" s="18" t="s">
        <v>41</v>
      </c>
      <c r="Z207" s="18" t="s">
        <v>42</v>
      </c>
      <c r="AA207" s="19" t="s">
        <v>36</v>
      </c>
    </row>
    <row r="208" spans="1:27" x14ac:dyDescent="0.25">
      <c r="A208" s="17" t="s">
        <v>172</v>
      </c>
      <c r="B208" s="18" t="s">
        <v>46</v>
      </c>
      <c r="C208" s="63" t="str" cm="1">
        <f t="array" ref="C208">_xlfn.SWITCH(Table22[[#This Row],[Country]],"USA","North America","Canada","North America","Brazil","South America","China","Asia","Japan","Asia","India","Asia","France","Europe","Germany","Europe","UK","Europe","Australia","Oceania","South America")</f>
        <v>South America</v>
      </c>
      <c r="D208" s="18" t="s">
        <v>21</v>
      </c>
      <c r="E208" s="18" t="s">
        <v>19</v>
      </c>
      <c r="F208" s="18" t="s">
        <v>64</v>
      </c>
      <c r="G208" s="18" t="s">
        <v>22</v>
      </c>
      <c r="H208" s="64">
        <f>LEN(TRIM(Table22[[#This Row],[Country]]))</f>
        <v>6</v>
      </c>
      <c r="I208" s="64">
        <f>LEN(TRIM(Table22[[#This Row],[Continent]]))</f>
        <v>13</v>
      </c>
      <c r="J208" s="64">
        <f>LEN(TRIM(Table22[[#This Row],[Product]]))</f>
        <v>6</v>
      </c>
      <c r="K208" s="64">
        <f>LEN(TRIM(Table22[[#This Row],[Sales Team]]))</f>
        <v>10</v>
      </c>
      <c r="L208" s="23">
        <v>60</v>
      </c>
      <c r="M208" s="65" t="str" cm="1">
        <f t="array" ref="M208">_xlfn.IFS(Table22[[#This Row],[Units Sold]]&lt;40,"Critical",Table22[[#This Row],[Units Sold]]&lt;=50,"Poor",Table22[[#This Row],[Units Sold]]&lt;=60,"Low",Table22[[#This Row],[Units Sold]]&lt;=80,"Average",Table22[[#This Row],[Units Sold]]&lt;=90,"High",Table22[[#This Row],[Units Sold]]&lt;=95,"Excellent",Table22[[#This Row],[Units Sold]]&gt;95,"Outstanding")</f>
        <v>Low</v>
      </c>
      <c r="N208" s="29">
        <v>1497.42</v>
      </c>
      <c r="O208" s="29">
        <v>89845.2</v>
      </c>
      <c r="P208" s="43">
        <f>IF(Table22[[#This Row],[Discount Applied]],Table22[[#This Row],[Total Sales (in USD)]]*(1-Table22[[#This Row],[Discount Percentage (%)]]/100),Table22[[#This Row],[Total Sales (in USD)]])</f>
        <v>89845.2</v>
      </c>
      <c r="Q208" s="66">
        <f>SQRT(AVERAGE((Table22[[#This Row],[Net Sales (after discount) (in USD)]]-AVERAGE(Table22[Net Sales (after discount) (in USD)]))^2))</f>
        <v>53333.839436235459</v>
      </c>
      <c r="R208" s="18" t="b">
        <v>1</v>
      </c>
      <c r="S208" s="40">
        <v>13.54</v>
      </c>
      <c r="T208" s="18" t="b">
        <v>0</v>
      </c>
      <c r="U208" s="25">
        <v>45199</v>
      </c>
      <c r="V208" s="63" t="str">
        <f>IF(MONTH(Table22[[#This Row],[Sales Date]])&lt;=3,"Q1",IF(MONTH(Table22[[#This Row],[Sales Date]])&lt;=6,"Q2",IF(MONTH(Table22[[#This Row],[Sales Date]])&lt;=9,"Q3","Q4")))</f>
        <v>Q3</v>
      </c>
      <c r="W208" s="64">
        <f>YEAR(Table22[[#This Row],[Sales Date]])</f>
        <v>2023</v>
      </c>
      <c r="X208" s="23">
        <v>67</v>
      </c>
      <c r="Y208" s="18" t="s">
        <v>49</v>
      </c>
      <c r="Z208" s="18" t="s">
        <v>24</v>
      </c>
      <c r="AA208" s="19" t="s">
        <v>36</v>
      </c>
    </row>
    <row r="209" spans="1:27" x14ac:dyDescent="0.25">
      <c r="A209" s="17" t="s">
        <v>1761</v>
      </c>
      <c r="B209" s="18" t="s">
        <v>51</v>
      </c>
      <c r="C209" s="63" t="str" cm="1">
        <f t="array" ref="C209">_xlfn.SWITCH(Table22[[#This Row],[Country]],"USA","North America","Canada","North America","Brazil","South America","China","Asia","Japan","Asia","India","Asia","France","Europe","Germany","Europe","UK","Europe","Australia","Oceania","South America")</f>
        <v>Europe</v>
      </c>
      <c r="D209" s="18" t="s">
        <v>28</v>
      </c>
      <c r="E209" s="18" t="s">
        <v>39</v>
      </c>
      <c r="F209" s="18" t="s">
        <v>64</v>
      </c>
      <c r="G209" s="18" t="s">
        <v>40</v>
      </c>
      <c r="H209" s="64">
        <f>LEN(TRIM(Table22[[#This Row],[Country]]))</f>
        <v>2</v>
      </c>
      <c r="I209" s="64">
        <f>LEN(TRIM(Table22[[#This Row],[Continent]]))</f>
        <v>6</v>
      </c>
      <c r="J209" s="64">
        <f>LEN(TRIM(Table22[[#This Row],[Product]]))</f>
        <v>10</v>
      </c>
      <c r="K209" s="64">
        <f>LEN(TRIM(Table22[[#This Row],[Sales Team]]))</f>
        <v>10</v>
      </c>
      <c r="L209" s="23">
        <v>61</v>
      </c>
      <c r="M209" s="65" t="str" cm="1">
        <f t="array" ref="M209">_xlfn.IFS(Table22[[#This Row],[Units Sold]]&lt;40,"Critical",Table22[[#This Row],[Units Sold]]&lt;=50,"Poor",Table22[[#This Row],[Units Sold]]&lt;=60,"Low",Table22[[#This Row],[Units Sold]]&lt;=80,"Average",Table22[[#This Row],[Units Sold]]&lt;=90,"High",Table22[[#This Row],[Units Sold]]&lt;=95,"Excellent",Table22[[#This Row],[Units Sold]]&gt;95,"Outstanding")</f>
        <v>Average</v>
      </c>
      <c r="N209" s="29">
        <v>1469.45</v>
      </c>
      <c r="O209" s="29">
        <v>89636.45</v>
      </c>
      <c r="P209" s="43">
        <f>IF(Table22[[#This Row],[Discount Applied]],Table22[[#This Row],[Total Sales (in USD)]]*(1-Table22[[#This Row],[Discount Percentage (%)]]/100),Table22[[#This Row],[Total Sales (in USD)]])</f>
        <v>66483.354965000006</v>
      </c>
      <c r="Q209" s="66">
        <f>SQRT(AVERAGE((Table22[[#This Row],[Net Sales (after discount) (in USD)]]-AVERAGE(Table22[Net Sales (after discount) (in USD)]))^2))</f>
        <v>29971.994401235468</v>
      </c>
      <c r="R209" s="18" t="b">
        <v>1</v>
      </c>
      <c r="S209" s="40">
        <v>25.83</v>
      </c>
      <c r="T209" s="18" t="b">
        <v>1</v>
      </c>
      <c r="U209" s="25">
        <v>45543</v>
      </c>
      <c r="V209" s="63" t="str">
        <f>IF(MONTH(Table22[[#This Row],[Sales Date]])&lt;=3,"Q1",IF(MONTH(Table22[[#This Row],[Sales Date]])&lt;=6,"Q2",IF(MONTH(Table22[[#This Row],[Sales Date]])&lt;=9,"Q3","Q4")))</f>
        <v>Q3</v>
      </c>
      <c r="W209" s="64">
        <f>YEAR(Table22[[#This Row],[Sales Date]])</f>
        <v>2024</v>
      </c>
      <c r="X209" s="23">
        <v>35</v>
      </c>
      <c r="Y209" s="18" t="s">
        <v>23</v>
      </c>
      <c r="Z209" s="18" t="s">
        <v>30</v>
      </c>
      <c r="AA209" s="19" t="s">
        <v>25</v>
      </c>
    </row>
    <row r="210" spans="1:27" x14ac:dyDescent="0.25">
      <c r="A210" s="17" t="s">
        <v>182</v>
      </c>
      <c r="B210" s="18" t="s">
        <v>27</v>
      </c>
      <c r="C210" s="63" t="str" cm="1">
        <f t="array" ref="C210">_xlfn.SWITCH(Table22[[#This Row],[Country]],"USA","North America","Canada","North America","Brazil","South America","China","Asia","Japan","Asia","India","Asia","France","Europe","Germany","Europe","UK","Europe","Australia","Oceania","South America")</f>
        <v>Europe</v>
      </c>
      <c r="D210" s="18" t="s">
        <v>21</v>
      </c>
      <c r="E210" s="18" t="s">
        <v>39</v>
      </c>
      <c r="F210" s="18" t="s">
        <v>64</v>
      </c>
      <c r="G210" s="18" t="s">
        <v>22</v>
      </c>
      <c r="H210" s="64">
        <f>LEN(TRIM(Table22[[#This Row],[Country]]))</f>
        <v>7</v>
      </c>
      <c r="I210" s="64">
        <f>LEN(TRIM(Table22[[#This Row],[Continent]]))</f>
        <v>6</v>
      </c>
      <c r="J210" s="64">
        <f>LEN(TRIM(Table22[[#This Row],[Product]]))</f>
        <v>10</v>
      </c>
      <c r="K210" s="64">
        <f>LEN(TRIM(Table22[[#This Row],[Sales Team]]))</f>
        <v>10</v>
      </c>
      <c r="L210" s="23">
        <v>75</v>
      </c>
      <c r="M210" s="65" t="str" cm="1">
        <f t="array" ref="M210">_xlfn.IFS(Table22[[#This Row],[Units Sold]]&lt;40,"Critical",Table22[[#This Row],[Units Sold]]&lt;=50,"Poor",Table22[[#This Row],[Units Sold]]&lt;=60,"Low",Table22[[#This Row],[Units Sold]]&lt;=80,"Average",Table22[[#This Row],[Units Sold]]&lt;=90,"High",Table22[[#This Row],[Units Sold]]&lt;=95,"Excellent",Table22[[#This Row],[Units Sold]]&gt;95,"Outstanding")</f>
        <v>Average</v>
      </c>
      <c r="N210" s="29">
        <v>1195.1500000000001</v>
      </c>
      <c r="O210" s="29">
        <v>89636.25</v>
      </c>
      <c r="P210" s="43">
        <f>IF(Table22[[#This Row],[Discount Applied]],Table22[[#This Row],[Total Sales (in USD)]]*(1-Table22[[#This Row],[Discount Percentage (%)]]/100),Table22[[#This Row],[Total Sales (in USD)]])</f>
        <v>70920.201000000001</v>
      </c>
      <c r="Q210" s="66">
        <f>SQRT(AVERAGE((Table22[[#This Row],[Net Sales (after discount) (in USD)]]-AVERAGE(Table22[Net Sales (after discount) (in USD)]))^2))</f>
        <v>34408.840436235463</v>
      </c>
      <c r="R210" s="18" t="b">
        <v>1</v>
      </c>
      <c r="S210" s="40">
        <v>20.88</v>
      </c>
      <c r="T210" s="18" t="b">
        <v>1</v>
      </c>
      <c r="U210" s="25">
        <v>45296</v>
      </c>
      <c r="V210" s="63" t="str">
        <f>IF(MONTH(Table22[[#This Row],[Sales Date]])&lt;=3,"Q1",IF(MONTH(Table22[[#This Row],[Sales Date]])&lt;=6,"Q2",IF(MONTH(Table22[[#This Row],[Sales Date]])&lt;=9,"Q3","Q4")))</f>
        <v>Q1</v>
      </c>
      <c r="W210" s="64">
        <f>YEAR(Table22[[#This Row],[Sales Date]])</f>
        <v>2024</v>
      </c>
      <c r="X210" s="23">
        <v>31</v>
      </c>
      <c r="Y210" s="18" t="s">
        <v>49</v>
      </c>
      <c r="Z210" s="18" t="s">
        <v>24</v>
      </c>
      <c r="AA210" s="19" t="s">
        <v>25</v>
      </c>
    </row>
    <row r="211" spans="1:27" x14ac:dyDescent="0.25">
      <c r="A211" s="17" t="s">
        <v>1499</v>
      </c>
      <c r="B211" s="18" t="s">
        <v>38</v>
      </c>
      <c r="C211" s="63" t="str" cm="1">
        <f t="array" ref="C211">_xlfn.SWITCH(Table22[[#This Row],[Country]],"USA","North America","Canada","North America","Brazil","South America","China","Asia","Japan","Asia","India","Asia","France","Europe","Germany","Europe","UK","Europe","Australia","Oceania","South America")</f>
        <v>Europe</v>
      </c>
      <c r="D211" s="18" t="s">
        <v>21</v>
      </c>
      <c r="E211" s="18" t="s">
        <v>19</v>
      </c>
      <c r="F211" s="18" t="s">
        <v>34</v>
      </c>
      <c r="G211" s="18" t="s">
        <v>29</v>
      </c>
      <c r="H211" s="64">
        <f>LEN(TRIM(Table22[[#This Row],[Country]]))</f>
        <v>6</v>
      </c>
      <c r="I211" s="64">
        <f>LEN(TRIM(Table22[[#This Row],[Continent]]))</f>
        <v>6</v>
      </c>
      <c r="J211" s="64">
        <f>LEN(TRIM(Table22[[#This Row],[Product]]))</f>
        <v>6</v>
      </c>
      <c r="K211" s="64">
        <f>LEN(TRIM(Table22[[#This Row],[Sales Team]]))</f>
        <v>10</v>
      </c>
      <c r="L211" s="23">
        <v>77</v>
      </c>
      <c r="M211" s="65" t="str" cm="1">
        <f t="array" ref="M211">_xlfn.IFS(Table22[[#This Row],[Units Sold]]&lt;40,"Critical",Table22[[#This Row],[Units Sold]]&lt;=50,"Poor",Table22[[#This Row],[Units Sold]]&lt;=60,"Low",Table22[[#This Row],[Units Sold]]&lt;=80,"Average",Table22[[#This Row],[Units Sold]]&lt;=90,"High",Table22[[#This Row],[Units Sold]]&lt;=95,"Excellent",Table22[[#This Row],[Units Sold]]&gt;95,"Outstanding")</f>
        <v>Average</v>
      </c>
      <c r="N211" s="29">
        <v>1159.73</v>
      </c>
      <c r="O211" s="29">
        <v>89299.21</v>
      </c>
      <c r="P211" s="43">
        <f>IF(Table22[[#This Row],[Discount Applied]],Table22[[#This Row],[Total Sales (in USD)]]*(1-Table22[[#This Row],[Discount Percentage (%)]]/100),Table22[[#This Row],[Total Sales (in USD)]])</f>
        <v>89299.21</v>
      </c>
      <c r="Q211" s="66">
        <f>SQRT(AVERAGE((Table22[[#This Row],[Net Sales (after discount) (in USD)]]-AVERAGE(Table22[Net Sales (after discount) (in USD)]))^2))</f>
        <v>52787.849436235469</v>
      </c>
      <c r="R211" s="18" t="b">
        <v>0</v>
      </c>
      <c r="S211" s="40">
        <v>15.7</v>
      </c>
      <c r="T211" s="18" t="b">
        <v>0</v>
      </c>
      <c r="U211" s="25">
        <v>45345</v>
      </c>
      <c r="V211" s="63" t="str">
        <f>IF(MONTH(Table22[[#This Row],[Sales Date]])&lt;=3,"Q1",IF(MONTH(Table22[[#This Row],[Sales Date]])&lt;=6,"Q2",IF(MONTH(Table22[[#This Row],[Sales Date]])&lt;=9,"Q3","Q4")))</f>
        <v>Q1</v>
      </c>
      <c r="W211" s="64">
        <f>YEAR(Table22[[#This Row],[Sales Date]])</f>
        <v>2024</v>
      </c>
      <c r="X211" s="23">
        <v>29</v>
      </c>
      <c r="Y211" s="18" t="s">
        <v>23</v>
      </c>
      <c r="Z211" s="18" t="s">
        <v>30</v>
      </c>
      <c r="AA211" s="19" t="s">
        <v>25</v>
      </c>
    </row>
    <row r="212" spans="1:27" x14ac:dyDescent="0.25">
      <c r="A212" s="17" t="s">
        <v>726</v>
      </c>
      <c r="B212" s="18" t="s">
        <v>72</v>
      </c>
      <c r="C212" s="63" t="str" cm="1">
        <f t="array" ref="C212">_xlfn.SWITCH(Table22[[#This Row],[Country]],"USA","North America","Canada","North America","Brazil","South America","China","Asia","Japan","Asia","India","Asia","France","Europe","Germany","Europe","UK","Europe","Australia","Oceania","South America")</f>
        <v>North America</v>
      </c>
      <c r="D212" s="18" t="s">
        <v>35</v>
      </c>
      <c r="E212" s="18" t="s">
        <v>33</v>
      </c>
      <c r="F212" s="18" t="s">
        <v>34</v>
      </c>
      <c r="G212" s="18" t="s">
        <v>40</v>
      </c>
      <c r="H212" s="64">
        <f>LEN(TRIM(Table22[[#This Row],[Country]]))</f>
        <v>3</v>
      </c>
      <c r="I212" s="64">
        <f>LEN(TRIM(Table22[[#This Row],[Continent]]))</f>
        <v>13</v>
      </c>
      <c r="J212" s="64">
        <f>LEN(TRIM(Table22[[#This Row],[Product]]))</f>
        <v>10</v>
      </c>
      <c r="K212" s="64">
        <f>LEN(TRIM(Table22[[#This Row],[Sales Team]]))</f>
        <v>10</v>
      </c>
      <c r="L212" s="23">
        <v>66</v>
      </c>
      <c r="M212" s="65" t="str" cm="1">
        <f t="array" ref="M212">_xlfn.IFS(Table22[[#This Row],[Units Sold]]&lt;40,"Critical",Table22[[#This Row],[Units Sold]]&lt;=50,"Poor",Table22[[#This Row],[Units Sold]]&lt;=60,"Low",Table22[[#This Row],[Units Sold]]&lt;=80,"Average",Table22[[#This Row],[Units Sold]]&lt;=90,"High",Table22[[#This Row],[Units Sold]]&lt;=95,"Excellent",Table22[[#This Row],[Units Sold]]&gt;95,"Outstanding")</f>
        <v>Average</v>
      </c>
      <c r="N212" s="29">
        <v>1352.99</v>
      </c>
      <c r="O212" s="29">
        <v>89297.34</v>
      </c>
      <c r="P212" s="43">
        <f>IF(Table22[[#This Row],[Discount Applied]],Table22[[#This Row],[Total Sales (in USD)]]*(1-Table22[[#This Row],[Discount Percentage (%)]]/100),Table22[[#This Row],[Total Sales (in USD)]])</f>
        <v>70080.552431999997</v>
      </c>
      <c r="Q212" s="66">
        <f>SQRT(AVERAGE((Table22[[#This Row],[Net Sales (after discount) (in USD)]]-AVERAGE(Table22[Net Sales (after discount) (in USD)]))^2))</f>
        <v>33569.191868235459</v>
      </c>
      <c r="R212" s="18" t="b">
        <v>1</v>
      </c>
      <c r="S212" s="40">
        <v>21.52</v>
      </c>
      <c r="T212" s="18" t="b">
        <v>1</v>
      </c>
      <c r="U212" s="25">
        <v>45223</v>
      </c>
      <c r="V212" s="63" t="str">
        <f>IF(MONTH(Table22[[#This Row],[Sales Date]])&lt;=3,"Q1",IF(MONTH(Table22[[#This Row],[Sales Date]])&lt;=6,"Q2",IF(MONTH(Table22[[#This Row],[Sales Date]])&lt;=9,"Q3","Q4")))</f>
        <v>Q4</v>
      </c>
      <c r="W212" s="64">
        <f>YEAR(Table22[[#This Row],[Sales Date]])</f>
        <v>2023</v>
      </c>
      <c r="X212" s="23">
        <v>34</v>
      </c>
      <c r="Y212" s="18" t="s">
        <v>23</v>
      </c>
      <c r="Z212" s="18" t="s">
        <v>24</v>
      </c>
      <c r="AA212" s="19" t="s">
        <v>25</v>
      </c>
    </row>
    <row r="213" spans="1:27" x14ac:dyDescent="0.25">
      <c r="A213" s="17" t="s">
        <v>959</v>
      </c>
      <c r="B213" s="18" t="s">
        <v>66</v>
      </c>
      <c r="C213" s="63" t="str" cm="1">
        <f t="array" ref="C213">_xlfn.SWITCH(Table22[[#This Row],[Country]],"USA","North America","Canada","North America","Brazil","South America","China","Asia","Japan","Asia","India","Asia","France","Europe","Germany","Europe","UK","Europe","Australia","Oceania","South America")</f>
        <v>North America</v>
      </c>
      <c r="D213" s="18" t="s">
        <v>21</v>
      </c>
      <c r="E213" s="18" t="s">
        <v>19</v>
      </c>
      <c r="F213" s="18" t="s">
        <v>52</v>
      </c>
      <c r="G213" s="18" t="s">
        <v>22</v>
      </c>
      <c r="H213" s="64">
        <f>LEN(TRIM(Table22[[#This Row],[Country]]))</f>
        <v>6</v>
      </c>
      <c r="I213" s="64">
        <f>LEN(TRIM(Table22[[#This Row],[Continent]]))</f>
        <v>13</v>
      </c>
      <c r="J213" s="64">
        <f>LEN(TRIM(Table22[[#This Row],[Product]]))</f>
        <v>6</v>
      </c>
      <c r="K213" s="64">
        <f>LEN(TRIM(Table22[[#This Row],[Sales Team]]))</f>
        <v>10</v>
      </c>
      <c r="L213" s="23">
        <v>71</v>
      </c>
      <c r="M213" s="65" t="str" cm="1">
        <f t="array" ref="M213">_xlfn.IFS(Table22[[#This Row],[Units Sold]]&lt;40,"Critical",Table22[[#This Row],[Units Sold]]&lt;=50,"Poor",Table22[[#This Row],[Units Sold]]&lt;=60,"Low",Table22[[#This Row],[Units Sold]]&lt;=80,"Average",Table22[[#This Row],[Units Sold]]&lt;=90,"High",Table22[[#This Row],[Units Sold]]&lt;=95,"Excellent",Table22[[#This Row],[Units Sold]]&gt;95,"Outstanding")</f>
        <v>Average</v>
      </c>
      <c r="N213" s="29">
        <v>1256.68</v>
      </c>
      <c r="O213" s="29">
        <v>89224.28</v>
      </c>
      <c r="P213" s="43">
        <f>IF(Table22[[#This Row],[Discount Applied]],Table22[[#This Row],[Total Sales (in USD)]]*(1-Table22[[#This Row],[Discount Percentage (%)]]/100),Table22[[#This Row],[Total Sales (in USD)]])</f>
        <v>80150.170723999996</v>
      </c>
      <c r="Q213" s="66">
        <f>SQRT(AVERAGE((Table22[[#This Row],[Net Sales (after discount) (in USD)]]-AVERAGE(Table22[Net Sales (after discount) (in USD)]))^2))</f>
        <v>43638.810160235458</v>
      </c>
      <c r="R213" s="18" t="b">
        <v>0</v>
      </c>
      <c r="S213" s="40">
        <v>10.17</v>
      </c>
      <c r="T213" s="18" t="b">
        <v>1</v>
      </c>
      <c r="U213" s="25">
        <v>44956</v>
      </c>
      <c r="V213" s="63" t="str">
        <f>IF(MONTH(Table22[[#This Row],[Sales Date]])&lt;=3,"Q1",IF(MONTH(Table22[[#This Row],[Sales Date]])&lt;=6,"Q2",IF(MONTH(Table22[[#This Row],[Sales Date]])&lt;=9,"Q3","Q4")))</f>
        <v>Q1</v>
      </c>
      <c r="W213" s="64">
        <f>YEAR(Table22[[#This Row],[Sales Date]])</f>
        <v>2023</v>
      </c>
      <c r="X213" s="23">
        <v>42</v>
      </c>
      <c r="Y213" s="18" t="s">
        <v>41</v>
      </c>
      <c r="Z213" s="18" t="s">
        <v>42</v>
      </c>
      <c r="AA213" s="19" t="s">
        <v>25</v>
      </c>
    </row>
    <row r="214" spans="1:27" x14ac:dyDescent="0.25">
      <c r="A214" s="17" t="s">
        <v>1611</v>
      </c>
      <c r="B214" s="18" t="s">
        <v>32</v>
      </c>
      <c r="C214" s="63" t="str" cm="1">
        <f t="array" ref="C214">_xlfn.SWITCH(Table22[[#This Row],[Country]],"USA","North America","Canada","North America","Brazil","South America","China","Asia","Japan","Asia","India","Asia","France","Europe","Germany","Europe","UK","Europe","Australia","Oceania","South America")</f>
        <v>Asia</v>
      </c>
      <c r="D214" s="18" t="s">
        <v>35</v>
      </c>
      <c r="E214" s="18" t="s">
        <v>33</v>
      </c>
      <c r="F214" s="18" t="s">
        <v>64</v>
      </c>
      <c r="G214" s="18" t="s">
        <v>48</v>
      </c>
      <c r="H214" s="64">
        <f>LEN(TRIM(Table22[[#This Row],[Country]]))</f>
        <v>5</v>
      </c>
      <c r="I214" s="64">
        <f>LEN(TRIM(Table22[[#This Row],[Continent]]))</f>
        <v>4</v>
      </c>
      <c r="J214" s="64">
        <f>LEN(TRIM(Table22[[#This Row],[Product]]))</f>
        <v>10</v>
      </c>
      <c r="K214" s="64">
        <f>LEN(TRIM(Table22[[#This Row],[Sales Team]]))</f>
        <v>9</v>
      </c>
      <c r="L214" s="23">
        <v>89</v>
      </c>
      <c r="M214" s="65" t="str" cm="1">
        <f t="array" ref="M214">_xlfn.IFS(Table22[[#This Row],[Units Sold]]&lt;40,"Critical",Table22[[#This Row],[Units Sold]]&lt;=50,"Poor",Table22[[#This Row],[Units Sold]]&lt;=60,"Low",Table22[[#This Row],[Units Sold]]&lt;=80,"Average",Table22[[#This Row],[Units Sold]]&lt;=90,"High",Table22[[#This Row],[Units Sold]]&lt;=95,"Excellent",Table22[[#This Row],[Units Sold]]&gt;95,"Outstanding")</f>
        <v>High</v>
      </c>
      <c r="N214" s="29">
        <v>998.2</v>
      </c>
      <c r="O214" s="29">
        <v>88839.8</v>
      </c>
      <c r="P214" s="43">
        <f>IF(Table22[[#This Row],[Discount Applied]],Table22[[#This Row],[Total Sales (in USD)]]*(1-Table22[[#This Row],[Discount Percentage (%)]]/100),Table22[[#This Row],[Total Sales (in USD)]])</f>
        <v>88839.8</v>
      </c>
      <c r="Q214" s="66">
        <f>SQRT(AVERAGE((Table22[[#This Row],[Net Sales (after discount) (in USD)]]-AVERAGE(Table22[Net Sales (after discount) (in USD)]))^2))</f>
        <v>52328.439436235465</v>
      </c>
      <c r="R214" s="18" t="b">
        <v>1</v>
      </c>
      <c r="S214" s="40">
        <v>19.510000000000002</v>
      </c>
      <c r="T214" s="18" t="b">
        <v>0</v>
      </c>
      <c r="U214" s="25">
        <v>44938</v>
      </c>
      <c r="V214" s="63" t="str">
        <f>IF(MONTH(Table22[[#This Row],[Sales Date]])&lt;=3,"Q1",IF(MONTH(Table22[[#This Row],[Sales Date]])&lt;=6,"Q2",IF(MONTH(Table22[[#This Row],[Sales Date]])&lt;=9,"Q3","Q4")))</f>
        <v>Q1</v>
      </c>
      <c r="W214" s="64">
        <f>YEAR(Table22[[#This Row],[Sales Date]])</f>
        <v>2023</v>
      </c>
      <c r="X214" s="23">
        <v>36</v>
      </c>
      <c r="Y214" s="18" t="s">
        <v>41</v>
      </c>
      <c r="Z214" s="18" t="s">
        <v>30</v>
      </c>
      <c r="AA214" s="19" t="s">
        <v>36</v>
      </c>
    </row>
    <row r="215" spans="1:27" x14ac:dyDescent="0.25">
      <c r="A215" s="17" t="s">
        <v>318</v>
      </c>
      <c r="B215" s="18" t="s">
        <v>72</v>
      </c>
      <c r="C215" s="63" t="str" cm="1">
        <f t="array" ref="C215">_xlfn.SWITCH(Table22[[#This Row],[Country]],"USA","North America","Canada","North America","Brazil","South America","China","Asia","Japan","Asia","India","Asia","France","Europe","Germany","Europe","UK","Europe","Australia","Oceania","South America")</f>
        <v>North America</v>
      </c>
      <c r="D215" s="18" t="s">
        <v>28</v>
      </c>
      <c r="E215" s="18" t="s">
        <v>33</v>
      </c>
      <c r="F215" s="18" t="s">
        <v>34</v>
      </c>
      <c r="G215" s="18" t="s">
        <v>40</v>
      </c>
      <c r="H215" s="64">
        <f>LEN(TRIM(Table22[[#This Row],[Country]]))</f>
        <v>3</v>
      </c>
      <c r="I215" s="64">
        <f>LEN(TRIM(Table22[[#This Row],[Continent]]))</f>
        <v>13</v>
      </c>
      <c r="J215" s="64">
        <f>LEN(TRIM(Table22[[#This Row],[Product]]))</f>
        <v>10</v>
      </c>
      <c r="K215" s="64">
        <f>LEN(TRIM(Table22[[#This Row],[Sales Team]]))</f>
        <v>10</v>
      </c>
      <c r="L215" s="23">
        <v>66</v>
      </c>
      <c r="M215" s="65" t="str" cm="1">
        <f t="array" ref="M215">_xlfn.IFS(Table22[[#This Row],[Units Sold]]&lt;40,"Critical",Table22[[#This Row],[Units Sold]]&lt;=50,"Poor",Table22[[#This Row],[Units Sold]]&lt;=60,"Low",Table22[[#This Row],[Units Sold]]&lt;=80,"Average",Table22[[#This Row],[Units Sold]]&lt;=90,"High",Table22[[#This Row],[Units Sold]]&lt;=95,"Excellent",Table22[[#This Row],[Units Sold]]&gt;95,"Outstanding")</f>
        <v>Average</v>
      </c>
      <c r="N215" s="29">
        <v>1344.8</v>
      </c>
      <c r="O215" s="29">
        <v>88756.800000000003</v>
      </c>
      <c r="P215" s="43">
        <f>IF(Table22[[#This Row],[Discount Applied]],Table22[[#This Row],[Total Sales (in USD)]]*(1-Table22[[#This Row],[Discount Percentage (%)]]/100),Table22[[#This Row],[Total Sales (in USD)]])</f>
        <v>88756.800000000003</v>
      </c>
      <c r="Q215" s="66">
        <f>SQRT(AVERAGE((Table22[[#This Row],[Net Sales (after discount) (in USD)]]-AVERAGE(Table22[Net Sales (after discount) (in USD)]))^2))</f>
        <v>52245.439436235465</v>
      </c>
      <c r="R215" s="18" t="b">
        <v>1</v>
      </c>
      <c r="S215" s="40">
        <v>12.23</v>
      </c>
      <c r="T215" s="18" t="b">
        <v>0</v>
      </c>
      <c r="U215" s="25">
        <v>45287</v>
      </c>
      <c r="V215" s="63" t="str">
        <f>IF(MONTH(Table22[[#This Row],[Sales Date]])&lt;=3,"Q1",IF(MONTH(Table22[[#This Row],[Sales Date]])&lt;=6,"Q2",IF(MONTH(Table22[[#This Row],[Sales Date]])&lt;=9,"Q3","Q4")))</f>
        <v>Q4</v>
      </c>
      <c r="W215" s="64">
        <f>YEAR(Table22[[#This Row],[Sales Date]])</f>
        <v>2023</v>
      </c>
      <c r="X215" s="23">
        <v>43</v>
      </c>
      <c r="Y215" s="18" t="s">
        <v>23</v>
      </c>
      <c r="Z215" s="18" t="s">
        <v>42</v>
      </c>
      <c r="AA215" s="19" t="s">
        <v>36</v>
      </c>
    </row>
    <row r="216" spans="1:27" x14ac:dyDescent="0.25">
      <c r="A216" s="17" t="s">
        <v>1057</v>
      </c>
      <c r="B216" s="18" t="s">
        <v>32</v>
      </c>
      <c r="C216" s="63" t="str" cm="1">
        <f t="array" ref="C216">_xlfn.SWITCH(Table22[[#This Row],[Country]],"USA","North America","Canada","North America","Brazil","South America","China","Asia","Japan","Asia","India","Asia","France","Europe","Germany","Europe","UK","Europe","Australia","Oceania","South America")</f>
        <v>Asia</v>
      </c>
      <c r="D216" s="18" t="s">
        <v>44</v>
      </c>
      <c r="E216" s="18" t="s">
        <v>19</v>
      </c>
      <c r="F216" s="18" t="s">
        <v>64</v>
      </c>
      <c r="G216" s="18" t="s">
        <v>22</v>
      </c>
      <c r="H216" s="64">
        <f>LEN(TRIM(Table22[[#This Row],[Country]]))</f>
        <v>5</v>
      </c>
      <c r="I216" s="64">
        <f>LEN(TRIM(Table22[[#This Row],[Continent]]))</f>
        <v>4</v>
      </c>
      <c r="J216" s="64">
        <f>LEN(TRIM(Table22[[#This Row],[Product]]))</f>
        <v>6</v>
      </c>
      <c r="K216" s="64">
        <f>LEN(TRIM(Table22[[#This Row],[Sales Team]]))</f>
        <v>10</v>
      </c>
      <c r="L216" s="23">
        <v>61</v>
      </c>
      <c r="M216" s="65" t="str" cm="1">
        <f t="array" ref="M216">_xlfn.IFS(Table22[[#This Row],[Units Sold]]&lt;40,"Critical",Table22[[#This Row],[Units Sold]]&lt;=50,"Poor",Table22[[#This Row],[Units Sold]]&lt;=60,"Low",Table22[[#This Row],[Units Sold]]&lt;=80,"Average",Table22[[#This Row],[Units Sold]]&lt;=90,"High",Table22[[#This Row],[Units Sold]]&lt;=95,"Excellent",Table22[[#This Row],[Units Sold]]&gt;95,"Outstanding")</f>
        <v>Average</v>
      </c>
      <c r="N216" s="29">
        <v>1453.63</v>
      </c>
      <c r="O216" s="29">
        <v>88671.43</v>
      </c>
      <c r="P216" s="43">
        <f>IF(Table22[[#This Row],[Discount Applied]],Table22[[#This Row],[Total Sales (in USD)]]*(1-Table22[[#This Row],[Discount Percentage (%)]]/100),Table22[[#This Row],[Total Sales (in USD)]])</f>
        <v>79706.748426999999</v>
      </c>
      <c r="Q216" s="66">
        <f>SQRT(AVERAGE((Table22[[#This Row],[Net Sales (after discount) (in USD)]]-AVERAGE(Table22[Net Sales (after discount) (in USD)]))^2))</f>
        <v>43195.387863235461</v>
      </c>
      <c r="R216" s="18" t="b">
        <v>1</v>
      </c>
      <c r="S216" s="40">
        <v>10.11</v>
      </c>
      <c r="T216" s="18" t="b">
        <v>1</v>
      </c>
      <c r="U216" s="25">
        <v>45259</v>
      </c>
      <c r="V216" s="63" t="str">
        <f>IF(MONTH(Table22[[#This Row],[Sales Date]])&lt;=3,"Q1",IF(MONTH(Table22[[#This Row],[Sales Date]])&lt;=6,"Q2",IF(MONTH(Table22[[#This Row],[Sales Date]])&lt;=9,"Q3","Q4")))</f>
        <v>Q4</v>
      </c>
      <c r="W216" s="64">
        <f>YEAR(Table22[[#This Row],[Sales Date]])</f>
        <v>2023</v>
      </c>
      <c r="X216" s="23">
        <v>24</v>
      </c>
      <c r="Y216" s="18" t="s">
        <v>23</v>
      </c>
      <c r="Z216" s="18" t="s">
        <v>56</v>
      </c>
      <c r="AA216" s="19" t="s">
        <v>36</v>
      </c>
    </row>
    <row r="217" spans="1:27" x14ac:dyDescent="0.25">
      <c r="A217" s="17" t="s">
        <v>344</v>
      </c>
      <c r="B217" s="18" t="s">
        <v>27</v>
      </c>
      <c r="C217" s="63" t="str" cm="1">
        <f t="array" ref="C217">_xlfn.SWITCH(Table22[[#This Row],[Country]],"USA","North America","Canada","North America","Brazil","South America","China","Asia","Japan","Asia","India","Asia","France","Europe","Germany","Europe","UK","Europe","Australia","Oceania","South America")</f>
        <v>Europe</v>
      </c>
      <c r="D217" s="18" t="s">
        <v>35</v>
      </c>
      <c r="E217" s="18" t="s">
        <v>33</v>
      </c>
      <c r="F217" s="18" t="s">
        <v>34</v>
      </c>
      <c r="G217" s="18" t="s">
        <v>29</v>
      </c>
      <c r="H217" s="64">
        <f>LEN(TRIM(Table22[[#This Row],[Country]]))</f>
        <v>7</v>
      </c>
      <c r="I217" s="64">
        <f>LEN(TRIM(Table22[[#This Row],[Continent]]))</f>
        <v>6</v>
      </c>
      <c r="J217" s="64">
        <f>LEN(TRIM(Table22[[#This Row],[Product]]))</f>
        <v>10</v>
      </c>
      <c r="K217" s="64">
        <f>LEN(TRIM(Table22[[#This Row],[Sales Team]]))</f>
        <v>10</v>
      </c>
      <c r="L217" s="23">
        <v>85</v>
      </c>
      <c r="M217" s="65" t="str" cm="1">
        <f t="array" ref="M217">_xlfn.IFS(Table22[[#This Row],[Units Sold]]&lt;40,"Critical",Table22[[#This Row],[Units Sold]]&lt;=50,"Poor",Table22[[#This Row],[Units Sold]]&lt;=60,"Low",Table22[[#This Row],[Units Sold]]&lt;=80,"Average",Table22[[#This Row],[Units Sold]]&lt;=90,"High",Table22[[#This Row],[Units Sold]]&lt;=95,"Excellent",Table22[[#This Row],[Units Sold]]&gt;95,"Outstanding")</f>
        <v>High</v>
      </c>
      <c r="N217" s="29">
        <v>1042.92</v>
      </c>
      <c r="O217" s="29">
        <v>88648.2</v>
      </c>
      <c r="P217" s="43">
        <f>IF(Table22[[#This Row],[Discount Applied]],Table22[[#This Row],[Total Sales (in USD)]]*(1-Table22[[#This Row],[Discount Percentage (%)]]/100),Table22[[#This Row],[Total Sales (in USD)]])</f>
        <v>74145.354479999995</v>
      </c>
      <c r="Q217" s="66">
        <f>SQRT(AVERAGE((Table22[[#This Row],[Net Sales (after discount) (in USD)]]-AVERAGE(Table22[Net Sales (after discount) (in USD)]))^2))</f>
        <v>37633.993916235457</v>
      </c>
      <c r="R217" s="18" t="b">
        <v>1</v>
      </c>
      <c r="S217" s="40">
        <v>16.36</v>
      </c>
      <c r="T217" s="18" t="b">
        <v>1</v>
      </c>
      <c r="U217" s="25">
        <v>45559</v>
      </c>
      <c r="V217" s="63" t="str">
        <f>IF(MONTH(Table22[[#This Row],[Sales Date]])&lt;=3,"Q1",IF(MONTH(Table22[[#This Row],[Sales Date]])&lt;=6,"Q2",IF(MONTH(Table22[[#This Row],[Sales Date]])&lt;=9,"Q3","Q4")))</f>
        <v>Q3</v>
      </c>
      <c r="W217" s="64">
        <f>YEAR(Table22[[#This Row],[Sales Date]])</f>
        <v>2024</v>
      </c>
      <c r="X217" s="23">
        <v>32</v>
      </c>
      <c r="Y217" s="18" t="s">
        <v>49</v>
      </c>
      <c r="Z217" s="18" t="s">
        <v>24</v>
      </c>
      <c r="AA217" s="19" t="s">
        <v>25</v>
      </c>
    </row>
    <row r="218" spans="1:27" x14ac:dyDescent="0.25">
      <c r="A218" s="17" t="s">
        <v>314</v>
      </c>
      <c r="B218" s="18" t="s">
        <v>62</v>
      </c>
      <c r="C218" s="63" t="str" cm="1">
        <f t="array" ref="C218">_xlfn.SWITCH(Table22[[#This Row],[Country]],"USA","North America","Canada","North America","Brazil","South America","China","Asia","Japan","Asia","India","Asia","France","Europe","Germany","Europe","UK","Europe","Australia","Oceania","South America")</f>
        <v>Oceania</v>
      </c>
      <c r="D218" s="18" t="s">
        <v>35</v>
      </c>
      <c r="E218" s="18" t="s">
        <v>19</v>
      </c>
      <c r="F218" s="18" t="s">
        <v>47</v>
      </c>
      <c r="G218" s="18" t="s">
        <v>40</v>
      </c>
      <c r="H218" s="64">
        <f>LEN(TRIM(Table22[[#This Row],[Country]]))</f>
        <v>9</v>
      </c>
      <c r="I218" s="64">
        <f>LEN(TRIM(Table22[[#This Row],[Continent]]))</f>
        <v>7</v>
      </c>
      <c r="J218" s="64">
        <f>LEN(TRIM(Table22[[#This Row],[Product]]))</f>
        <v>6</v>
      </c>
      <c r="K218" s="64">
        <f>LEN(TRIM(Table22[[#This Row],[Sales Team]]))</f>
        <v>10</v>
      </c>
      <c r="L218" s="23">
        <v>62</v>
      </c>
      <c r="M218" s="65" t="str" cm="1">
        <f t="array" ref="M218">_xlfn.IFS(Table22[[#This Row],[Units Sold]]&lt;40,"Critical",Table22[[#This Row],[Units Sold]]&lt;=50,"Poor",Table22[[#This Row],[Units Sold]]&lt;=60,"Low",Table22[[#This Row],[Units Sold]]&lt;=80,"Average",Table22[[#This Row],[Units Sold]]&lt;=90,"High",Table22[[#This Row],[Units Sold]]&lt;=95,"Excellent",Table22[[#This Row],[Units Sold]]&gt;95,"Outstanding")</f>
        <v>Average</v>
      </c>
      <c r="N218" s="29">
        <v>1429.59</v>
      </c>
      <c r="O218" s="29">
        <v>88634.58</v>
      </c>
      <c r="P218" s="43">
        <f>IF(Table22[[#This Row],[Discount Applied]],Table22[[#This Row],[Total Sales (in USD)]]*(1-Table22[[#This Row],[Discount Percentage (%)]]/100),Table22[[#This Row],[Total Sales (in USD)]])</f>
        <v>72520.813355999999</v>
      </c>
      <c r="Q218" s="66">
        <f>SQRT(AVERAGE((Table22[[#This Row],[Net Sales (after discount) (in USD)]]-AVERAGE(Table22[Net Sales (after discount) (in USD)]))^2))</f>
        <v>36009.452792235461</v>
      </c>
      <c r="R218" s="18" t="b">
        <v>1</v>
      </c>
      <c r="S218" s="40">
        <v>18.18</v>
      </c>
      <c r="T218" s="18" t="b">
        <v>1</v>
      </c>
      <c r="U218" s="25">
        <v>45370</v>
      </c>
      <c r="V218" s="63" t="str">
        <f>IF(MONTH(Table22[[#This Row],[Sales Date]])&lt;=3,"Q1",IF(MONTH(Table22[[#This Row],[Sales Date]])&lt;=6,"Q2",IF(MONTH(Table22[[#This Row],[Sales Date]])&lt;=9,"Q3","Q4")))</f>
        <v>Q1</v>
      </c>
      <c r="W218" s="64">
        <f>YEAR(Table22[[#This Row],[Sales Date]])</f>
        <v>2024</v>
      </c>
      <c r="X218" s="23">
        <v>56</v>
      </c>
      <c r="Y218" s="18" t="s">
        <v>49</v>
      </c>
      <c r="Z218" s="18" t="s">
        <v>56</v>
      </c>
      <c r="AA218" s="19" t="s">
        <v>25</v>
      </c>
    </row>
    <row r="219" spans="1:27" x14ac:dyDescent="0.25">
      <c r="A219" s="17" t="s">
        <v>853</v>
      </c>
      <c r="B219" s="18" t="s">
        <v>18</v>
      </c>
      <c r="C219" s="63" t="str" cm="1">
        <f t="array" ref="C219">_xlfn.SWITCH(Table22[[#This Row],[Country]],"USA","North America","Canada","North America","Brazil","South America","China","Asia","Japan","Asia","India","Asia","France","Europe","Germany","Europe","UK","Europe","Australia","Oceania","South America")</f>
        <v>Asia</v>
      </c>
      <c r="D219" s="18" t="s">
        <v>44</v>
      </c>
      <c r="E219" s="18" t="s">
        <v>33</v>
      </c>
      <c r="F219" s="18" t="s">
        <v>64</v>
      </c>
      <c r="G219" s="18" t="s">
        <v>22</v>
      </c>
      <c r="H219" s="64">
        <f>LEN(TRIM(Table22[[#This Row],[Country]]))</f>
        <v>5</v>
      </c>
      <c r="I219" s="64">
        <f>LEN(TRIM(Table22[[#This Row],[Continent]]))</f>
        <v>4</v>
      </c>
      <c r="J219" s="64">
        <f>LEN(TRIM(Table22[[#This Row],[Product]]))</f>
        <v>10</v>
      </c>
      <c r="K219" s="64">
        <f>LEN(TRIM(Table22[[#This Row],[Sales Team]]))</f>
        <v>10</v>
      </c>
      <c r="L219" s="23">
        <v>90</v>
      </c>
      <c r="M219" s="65" t="str" cm="1">
        <f t="array" ref="M219">_xlfn.IFS(Table22[[#This Row],[Units Sold]]&lt;40,"Critical",Table22[[#This Row],[Units Sold]]&lt;=50,"Poor",Table22[[#This Row],[Units Sold]]&lt;=60,"Low",Table22[[#This Row],[Units Sold]]&lt;=80,"Average",Table22[[#This Row],[Units Sold]]&lt;=90,"High",Table22[[#This Row],[Units Sold]]&lt;=95,"Excellent",Table22[[#This Row],[Units Sold]]&gt;95,"Outstanding")</f>
        <v>High</v>
      </c>
      <c r="N219" s="29">
        <v>983.84</v>
      </c>
      <c r="O219" s="29">
        <v>88545.600000000006</v>
      </c>
      <c r="P219" s="43">
        <f>IF(Table22[[#This Row],[Discount Applied]],Table22[[#This Row],[Total Sales (in USD)]]*(1-Table22[[#This Row],[Discount Percentage (%)]]/100),Table22[[#This Row],[Total Sales (in USD)]])</f>
        <v>68605.130880000012</v>
      </c>
      <c r="Q219" s="66">
        <f>SQRT(AVERAGE((Table22[[#This Row],[Net Sales (after discount) (in USD)]]-AVERAGE(Table22[Net Sales (after discount) (in USD)]))^2))</f>
        <v>32093.770316235474</v>
      </c>
      <c r="R219" s="18" t="b">
        <v>1</v>
      </c>
      <c r="S219" s="40">
        <v>22.52</v>
      </c>
      <c r="T219" s="18" t="b">
        <v>1</v>
      </c>
      <c r="U219" s="25">
        <v>45280</v>
      </c>
      <c r="V219" s="63" t="str">
        <f>IF(MONTH(Table22[[#This Row],[Sales Date]])&lt;=3,"Q1",IF(MONTH(Table22[[#This Row],[Sales Date]])&lt;=6,"Q2",IF(MONTH(Table22[[#This Row],[Sales Date]])&lt;=9,"Q3","Q4")))</f>
        <v>Q4</v>
      </c>
      <c r="W219" s="64">
        <f>YEAR(Table22[[#This Row],[Sales Date]])</f>
        <v>2023</v>
      </c>
      <c r="X219" s="23">
        <v>21</v>
      </c>
      <c r="Y219" s="18" t="s">
        <v>23</v>
      </c>
      <c r="Z219" s="18" t="s">
        <v>42</v>
      </c>
      <c r="AA219" s="19" t="s">
        <v>25</v>
      </c>
    </row>
    <row r="220" spans="1:27" x14ac:dyDescent="0.25">
      <c r="A220" s="17" t="s">
        <v>150</v>
      </c>
      <c r="B220" s="18" t="s">
        <v>76</v>
      </c>
      <c r="C220" s="63" t="str" cm="1">
        <f t="array" ref="C220">_xlfn.SWITCH(Table22[[#This Row],[Country]],"USA","North America","Canada","North America","Brazil","South America","China","Asia","Japan","Asia","India","Asia","France","Europe","Germany","Europe","UK","Europe","Australia","Oceania","South America")</f>
        <v>Asia</v>
      </c>
      <c r="D220" s="18" t="s">
        <v>28</v>
      </c>
      <c r="E220" s="18" t="s">
        <v>39</v>
      </c>
      <c r="F220" s="18" t="s">
        <v>34</v>
      </c>
      <c r="G220" s="18" t="s">
        <v>48</v>
      </c>
      <c r="H220" s="64">
        <f>LEN(TRIM(Table22[[#This Row],[Country]]))</f>
        <v>5</v>
      </c>
      <c r="I220" s="64">
        <f>LEN(TRIM(Table22[[#This Row],[Continent]]))</f>
        <v>4</v>
      </c>
      <c r="J220" s="64">
        <f>LEN(TRIM(Table22[[#This Row],[Product]]))</f>
        <v>10</v>
      </c>
      <c r="K220" s="64">
        <f>LEN(TRIM(Table22[[#This Row],[Sales Team]]))</f>
        <v>9</v>
      </c>
      <c r="L220" s="23">
        <v>76</v>
      </c>
      <c r="M220" s="65" t="str" cm="1">
        <f t="array" ref="M220">_xlfn.IFS(Table22[[#This Row],[Units Sold]]&lt;40,"Critical",Table22[[#This Row],[Units Sold]]&lt;=50,"Poor",Table22[[#This Row],[Units Sold]]&lt;=60,"Low",Table22[[#This Row],[Units Sold]]&lt;=80,"Average",Table22[[#This Row],[Units Sold]]&lt;=90,"High",Table22[[#This Row],[Units Sold]]&lt;=95,"Excellent",Table22[[#This Row],[Units Sold]]&gt;95,"Outstanding")</f>
        <v>Average</v>
      </c>
      <c r="N220" s="29">
        <v>1165.02</v>
      </c>
      <c r="O220" s="29">
        <v>88541.52</v>
      </c>
      <c r="P220" s="43">
        <f>IF(Table22[[#This Row],[Discount Applied]],Table22[[#This Row],[Total Sales (in USD)]]*(1-Table22[[#This Row],[Discount Percentage (%)]]/100),Table22[[#This Row],[Total Sales (in USD)]])</f>
        <v>64546.768080000002</v>
      </c>
      <c r="Q220" s="66">
        <f>SQRT(AVERAGE((Table22[[#This Row],[Net Sales (after discount) (in USD)]]-AVERAGE(Table22[Net Sales (after discount) (in USD)]))^2))</f>
        <v>28035.407516235464</v>
      </c>
      <c r="R220" s="18" t="b">
        <v>1</v>
      </c>
      <c r="S220" s="40">
        <v>27.1</v>
      </c>
      <c r="T220" s="18" t="b">
        <v>1</v>
      </c>
      <c r="U220" s="25">
        <v>45006</v>
      </c>
      <c r="V220" s="63" t="str">
        <f>IF(MONTH(Table22[[#This Row],[Sales Date]])&lt;=3,"Q1",IF(MONTH(Table22[[#This Row],[Sales Date]])&lt;=6,"Q2",IF(MONTH(Table22[[#This Row],[Sales Date]])&lt;=9,"Q3","Q4")))</f>
        <v>Q1</v>
      </c>
      <c r="W220" s="64">
        <f>YEAR(Table22[[#This Row],[Sales Date]])</f>
        <v>2023</v>
      </c>
      <c r="X220" s="23">
        <v>32</v>
      </c>
      <c r="Y220" s="18" t="s">
        <v>49</v>
      </c>
      <c r="Z220" s="18" t="s">
        <v>24</v>
      </c>
      <c r="AA220" s="19" t="s">
        <v>36</v>
      </c>
    </row>
    <row r="221" spans="1:27" x14ac:dyDescent="0.25">
      <c r="A221" s="17" t="s">
        <v>1506</v>
      </c>
      <c r="B221" s="18" t="s">
        <v>51</v>
      </c>
      <c r="C221" s="63" t="str" cm="1">
        <f t="array" ref="C221">_xlfn.SWITCH(Table22[[#This Row],[Country]],"USA","North America","Canada","North America","Brazil","South America","China","Asia","Japan","Asia","India","Asia","France","Europe","Germany","Europe","UK","Europe","Australia","Oceania","South America")</f>
        <v>Europe</v>
      </c>
      <c r="D221" s="18" t="s">
        <v>28</v>
      </c>
      <c r="E221" s="18" t="s">
        <v>33</v>
      </c>
      <c r="F221" s="18" t="s">
        <v>52</v>
      </c>
      <c r="G221" s="18" t="s">
        <v>22</v>
      </c>
      <c r="H221" s="64">
        <f>LEN(TRIM(Table22[[#This Row],[Country]]))</f>
        <v>2</v>
      </c>
      <c r="I221" s="64">
        <f>LEN(TRIM(Table22[[#This Row],[Continent]]))</f>
        <v>6</v>
      </c>
      <c r="J221" s="64">
        <f>LEN(TRIM(Table22[[#This Row],[Product]]))</f>
        <v>10</v>
      </c>
      <c r="K221" s="64">
        <f>LEN(TRIM(Table22[[#This Row],[Sales Team]]))</f>
        <v>10</v>
      </c>
      <c r="L221" s="23">
        <v>77</v>
      </c>
      <c r="M221" s="65" t="str" cm="1">
        <f t="array" ref="M221">_xlfn.IFS(Table22[[#This Row],[Units Sold]]&lt;40,"Critical",Table22[[#This Row],[Units Sold]]&lt;=50,"Poor",Table22[[#This Row],[Units Sold]]&lt;=60,"Low",Table22[[#This Row],[Units Sold]]&lt;=80,"Average",Table22[[#This Row],[Units Sold]]&lt;=90,"High",Table22[[#This Row],[Units Sold]]&lt;=95,"Excellent",Table22[[#This Row],[Units Sold]]&gt;95,"Outstanding")</f>
        <v>Average</v>
      </c>
      <c r="N221" s="29">
        <v>1149.69</v>
      </c>
      <c r="O221" s="29">
        <v>88526.13</v>
      </c>
      <c r="P221" s="43">
        <f>IF(Table22[[#This Row],[Discount Applied]],Table22[[#This Row],[Total Sales (in USD)]]*(1-Table22[[#This Row],[Discount Percentage (%)]]/100),Table22[[#This Row],[Total Sales (in USD)]])</f>
        <v>84896.558669999999</v>
      </c>
      <c r="Q221" s="66">
        <f>SQRT(AVERAGE((Table22[[#This Row],[Net Sales (after discount) (in USD)]]-AVERAGE(Table22[Net Sales (after discount) (in USD)]))^2))</f>
        <v>48385.198106235461</v>
      </c>
      <c r="R221" s="18" t="b">
        <v>1</v>
      </c>
      <c r="S221" s="40">
        <v>4.0999999999999996</v>
      </c>
      <c r="T221" s="18" t="b">
        <v>1</v>
      </c>
      <c r="U221" s="25">
        <v>45150</v>
      </c>
      <c r="V221" s="63" t="str">
        <f>IF(MONTH(Table22[[#This Row],[Sales Date]])&lt;=3,"Q1",IF(MONTH(Table22[[#This Row],[Sales Date]])&lt;=6,"Q2",IF(MONTH(Table22[[#This Row],[Sales Date]])&lt;=9,"Q3","Q4")))</f>
        <v>Q3</v>
      </c>
      <c r="W221" s="64">
        <f>YEAR(Table22[[#This Row],[Sales Date]])</f>
        <v>2023</v>
      </c>
      <c r="X221" s="23">
        <v>46</v>
      </c>
      <c r="Y221" s="18" t="s">
        <v>23</v>
      </c>
      <c r="Z221" s="18" t="s">
        <v>24</v>
      </c>
      <c r="AA221" s="19" t="s">
        <v>25</v>
      </c>
    </row>
    <row r="222" spans="1:27" x14ac:dyDescent="0.25">
      <c r="A222" s="17" t="s">
        <v>827</v>
      </c>
      <c r="B222" s="18" t="s">
        <v>51</v>
      </c>
      <c r="C222" s="63" t="str" cm="1">
        <f t="array" ref="C222">_xlfn.SWITCH(Table22[[#This Row],[Country]],"USA","North America","Canada","North America","Brazil","South America","China","Asia","Japan","Asia","India","Asia","France","Europe","Germany","Europe","UK","Europe","Australia","Oceania","South America")</f>
        <v>Europe</v>
      </c>
      <c r="D222" s="18" t="s">
        <v>44</v>
      </c>
      <c r="E222" s="18" t="s">
        <v>39</v>
      </c>
      <c r="F222" s="18" t="s">
        <v>34</v>
      </c>
      <c r="G222" s="18" t="s">
        <v>29</v>
      </c>
      <c r="H222" s="64">
        <f>LEN(TRIM(Table22[[#This Row],[Country]]))</f>
        <v>2</v>
      </c>
      <c r="I222" s="64">
        <f>LEN(TRIM(Table22[[#This Row],[Continent]]))</f>
        <v>6</v>
      </c>
      <c r="J222" s="64">
        <f>LEN(TRIM(Table22[[#This Row],[Product]]))</f>
        <v>10</v>
      </c>
      <c r="K222" s="64">
        <f>LEN(TRIM(Table22[[#This Row],[Sales Team]]))</f>
        <v>10</v>
      </c>
      <c r="L222" s="23">
        <v>96</v>
      </c>
      <c r="M222" s="65" t="str" cm="1">
        <f t="array" ref="M222">_xlfn.IFS(Table22[[#This Row],[Units Sold]]&lt;40,"Critical",Table22[[#This Row],[Units Sold]]&lt;=50,"Poor",Table22[[#This Row],[Units Sold]]&lt;=60,"Low",Table22[[#This Row],[Units Sold]]&lt;=80,"Average",Table22[[#This Row],[Units Sold]]&lt;=90,"High",Table22[[#This Row],[Units Sold]]&lt;=95,"Excellent",Table22[[#This Row],[Units Sold]]&gt;95,"Outstanding")</f>
        <v>Outstanding</v>
      </c>
      <c r="N222" s="29">
        <v>922.01</v>
      </c>
      <c r="O222" s="29">
        <v>88512.960000000006</v>
      </c>
      <c r="P222" s="43">
        <f>IF(Table22[[#This Row],[Discount Applied]],Table22[[#This Row],[Total Sales (in USD)]]*(1-Table22[[#This Row],[Discount Percentage (%)]]/100),Table22[[#This Row],[Total Sales (in USD)]])</f>
        <v>87592.425216000003</v>
      </c>
      <c r="Q222" s="66">
        <f>SQRT(AVERAGE((Table22[[#This Row],[Net Sales (after discount) (in USD)]]-AVERAGE(Table22[Net Sales (after discount) (in USD)]))^2))</f>
        <v>51081.064652235465</v>
      </c>
      <c r="R222" s="18" t="b">
        <v>1</v>
      </c>
      <c r="S222" s="40">
        <v>1.04</v>
      </c>
      <c r="T222" s="18" t="b">
        <v>1</v>
      </c>
      <c r="U222" s="25">
        <v>45285</v>
      </c>
      <c r="V222" s="63" t="str">
        <f>IF(MONTH(Table22[[#This Row],[Sales Date]])&lt;=3,"Q1",IF(MONTH(Table22[[#This Row],[Sales Date]])&lt;=6,"Q2",IF(MONTH(Table22[[#This Row],[Sales Date]])&lt;=9,"Q3","Q4")))</f>
        <v>Q4</v>
      </c>
      <c r="W222" s="64">
        <f>YEAR(Table22[[#This Row],[Sales Date]])</f>
        <v>2023</v>
      </c>
      <c r="X222" s="23">
        <v>25</v>
      </c>
      <c r="Y222" s="18" t="s">
        <v>49</v>
      </c>
      <c r="Z222" s="18" t="s">
        <v>56</v>
      </c>
      <c r="AA222" s="19" t="s">
        <v>25</v>
      </c>
    </row>
    <row r="223" spans="1:27" x14ac:dyDescent="0.25">
      <c r="A223" s="17" t="s">
        <v>822</v>
      </c>
      <c r="B223" s="18" t="s">
        <v>46</v>
      </c>
      <c r="C223" s="63" t="str" cm="1">
        <f t="array" ref="C223">_xlfn.SWITCH(Table22[[#This Row],[Country]],"USA","North America","Canada","North America","Brazil","South America","China","Asia","Japan","Asia","India","Asia","France","Europe","Germany","Europe","UK","Europe","Australia","Oceania","South America")</f>
        <v>South America</v>
      </c>
      <c r="D223" s="18" t="s">
        <v>21</v>
      </c>
      <c r="E223" s="18" t="s">
        <v>33</v>
      </c>
      <c r="F223" s="18" t="s">
        <v>20</v>
      </c>
      <c r="G223" s="18" t="s">
        <v>48</v>
      </c>
      <c r="H223" s="64">
        <f>LEN(TRIM(Table22[[#This Row],[Country]]))</f>
        <v>6</v>
      </c>
      <c r="I223" s="64">
        <f>LEN(TRIM(Table22[[#This Row],[Continent]]))</f>
        <v>13</v>
      </c>
      <c r="J223" s="64">
        <f>LEN(TRIM(Table22[[#This Row],[Product]]))</f>
        <v>10</v>
      </c>
      <c r="K223" s="64">
        <f>LEN(TRIM(Table22[[#This Row],[Sales Team]]))</f>
        <v>9</v>
      </c>
      <c r="L223" s="23">
        <v>73</v>
      </c>
      <c r="M223" s="65" t="str" cm="1">
        <f t="array" ref="M223">_xlfn.IFS(Table22[[#This Row],[Units Sold]]&lt;40,"Critical",Table22[[#This Row],[Units Sold]]&lt;=50,"Poor",Table22[[#This Row],[Units Sold]]&lt;=60,"Low",Table22[[#This Row],[Units Sold]]&lt;=80,"Average",Table22[[#This Row],[Units Sold]]&lt;=90,"High",Table22[[#This Row],[Units Sold]]&lt;=95,"Excellent",Table22[[#This Row],[Units Sold]]&gt;95,"Outstanding")</f>
        <v>Average</v>
      </c>
      <c r="N223" s="29">
        <v>1206.44</v>
      </c>
      <c r="O223" s="29">
        <v>88070.12</v>
      </c>
      <c r="P223" s="43">
        <f>IF(Table22[[#This Row],[Discount Applied]],Table22[[#This Row],[Total Sales (in USD)]]*(1-Table22[[#This Row],[Discount Percentage (%)]]/100),Table22[[#This Row],[Total Sales (in USD)]])</f>
        <v>62970.135800000004</v>
      </c>
      <c r="Q223" s="66">
        <f>SQRT(AVERAGE((Table22[[#This Row],[Net Sales (after discount) (in USD)]]-AVERAGE(Table22[Net Sales (after discount) (in USD)]))^2))</f>
        <v>26458.775236235466</v>
      </c>
      <c r="R223" s="18" t="b">
        <v>0</v>
      </c>
      <c r="S223" s="40">
        <v>28.5</v>
      </c>
      <c r="T223" s="18" t="b">
        <v>1</v>
      </c>
      <c r="U223" s="25">
        <v>45466</v>
      </c>
      <c r="V223" s="63" t="str">
        <f>IF(MONTH(Table22[[#This Row],[Sales Date]])&lt;=3,"Q1",IF(MONTH(Table22[[#This Row],[Sales Date]])&lt;=6,"Q2",IF(MONTH(Table22[[#This Row],[Sales Date]])&lt;=9,"Q3","Q4")))</f>
        <v>Q2</v>
      </c>
      <c r="W223" s="64">
        <f>YEAR(Table22[[#This Row],[Sales Date]])</f>
        <v>2024</v>
      </c>
      <c r="X223" s="23">
        <v>37</v>
      </c>
      <c r="Y223" s="18" t="s">
        <v>23</v>
      </c>
      <c r="Z223" s="18" t="s">
        <v>30</v>
      </c>
      <c r="AA223" s="19" t="s">
        <v>25</v>
      </c>
    </row>
    <row r="224" spans="1:27" x14ac:dyDescent="0.25">
      <c r="A224" s="17" t="s">
        <v>768</v>
      </c>
      <c r="B224" s="18" t="s">
        <v>51</v>
      </c>
      <c r="C224" s="63" t="str" cm="1">
        <f t="array" ref="C224">_xlfn.SWITCH(Table22[[#This Row],[Country]],"USA","North America","Canada","North America","Brazil","South America","China","Asia","Japan","Asia","India","Asia","France","Europe","Germany","Europe","UK","Europe","Australia","Oceania","South America")</f>
        <v>Europe</v>
      </c>
      <c r="D224" s="18" t="s">
        <v>21</v>
      </c>
      <c r="E224" s="18" t="s">
        <v>19</v>
      </c>
      <c r="F224" s="18" t="s">
        <v>52</v>
      </c>
      <c r="G224" s="18" t="s">
        <v>40</v>
      </c>
      <c r="H224" s="64">
        <f>LEN(TRIM(Table22[[#This Row],[Country]]))</f>
        <v>2</v>
      </c>
      <c r="I224" s="64">
        <f>LEN(TRIM(Table22[[#This Row],[Continent]]))</f>
        <v>6</v>
      </c>
      <c r="J224" s="64">
        <f>LEN(TRIM(Table22[[#This Row],[Product]]))</f>
        <v>6</v>
      </c>
      <c r="K224" s="64">
        <f>LEN(TRIM(Table22[[#This Row],[Sales Team]]))</f>
        <v>10</v>
      </c>
      <c r="L224" s="23">
        <v>99</v>
      </c>
      <c r="M224" s="65" t="str" cm="1">
        <f t="array" ref="M224">_xlfn.IFS(Table22[[#This Row],[Units Sold]]&lt;40,"Critical",Table22[[#This Row],[Units Sold]]&lt;=50,"Poor",Table22[[#This Row],[Units Sold]]&lt;=60,"Low",Table22[[#This Row],[Units Sold]]&lt;=80,"Average",Table22[[#This Row],[Units Sold]]&lt;=90,"High",Table22[[#This Row],[Units Sold]]&lt;=95,"Excellent",Table22[[#This Row],[Units Sold]]&gt;95,"Outstanding")</f>
        <v>Outstanding</v>
      </c>
      <c r="N224" s="29">
        <v>886.6</v>
      </c>
      <c r="O224" s="29">
        <v>87773.4</v>
      </c>
      <c r="P224" s="43">
        <f>IF(Table22[[#This Row],[Discount Applied]],Table22[[#This Row],[Total Sales (in USD)]]*(1-Table22[[#This Row],[Discount Percentage (%)]]/100),Table22[[#This Row],[Total Sales (in USD)]])</f>
        <v>87773.4</v>
      </c>
      <c r="Q224" s="66">
        <f>SQRT(AVERAGE((Table22[[#This Row],[Net Sales (after discount) (in USD)]]-AVERAGE(Table22[Net Sales (after discount) (in USD)]))^2))</f>
        <v>51262.039436235456</v>
      </c>
      <c r="R224" s="18" t="b">
        <v>0</v>
      </c>
      <c r="S224" s="40">
        <v>25.11</v>
      </c>
      <c r="T224" s="18" t="b">
        <v>0</v>
      </c>
      <c r="U224" s="25">
        <v>44932</v>
      </c>
      <c r="V224" s="63" t="str">
        <f>IF(MONTH(Table22[[#This Row],[Sales Date]])&lt;=3,"Q1",IF(MONTH(Table22[[#This Row],[Sales Date]])&lt;=6,"Q2",IF(MONTH(Table22[[#This Row],[Sales Date]])&lt;=9,"Q3","Q4")))</f>
        <v>Q1</v>
      </c>
      <c r="W224" s="64">
        <f>YEAR(Table22[[#This Row],[Sales Date]])</f>
        <v>2023</v>
      </c>
      <c r="X224" s="23">
        <v>30</v>
      </c>
      <c r="Y224" s="18" t="s">
        <v>41</v>
      </c>
      <c r="Z224" s="18" t="s">
        <v>56</v>
      </c>
      <c r="AA224" s="19" t="s">
        <v>36</v>
      </c>
    </row>
    <row r="225" spans="1:27" x14ac:dyDescent="0.25">
      <c r="A225" s="17" t="s">
        <v>1211</v>
      </c>
      <c r="B225" s="18" t="s">
        <v>62</v>
      </c>
      <c r="C225" s="63" t="str" cm="1">
        <f t="array" ref="C225">_xlfn.SWITCH(Table22[[#This Row],[Country]],"USA","North America","Canada","North America","Brazil","South America","China","Asia","Japan","Asia","India","Asia","France","Europe","Germany","Europe","UK","Europe","Australia","Oceania","South America")</f>
        <v>Oceania</v>
      </c>
      <c r="D225" s="18" t="s">
        <v>35</v>
      </c>
      <c r="E225" s="18" t="s">
        <v>33</v>
      </c>
      <c r="F225" s="18" t="s">
        <v>52</v>
      </c>
      <c r="G225" s="18" t="s">
        <v>22</v>
      </c>
      <c r="H225" s="64">
        <f>LEN(TRIM(Table22[[#This Row],[Country]]))</f>
        <v>9</v>
      </c>
      <c r="I225" s="64">
        <f>LEN(TRIM(Table22[[#This Row],[Continent]]))</f>
        <v>7</v>
      </c>
      <c r="J225" s="64">
        <f>LEN(TRIM(Table22[[#This Row],[Product]]))</f>
        <v>10</v>
      </c>
      <c r="K225" s="64">
        <f>LEN(TRIM(Table22[[#This Row],[Sales Team]]))</f>
        <v>10</v>
      </c>
      <c r="L225" s="23">
        <v>89</v>
      </c>
      <c r="M225" s="65" t="str" cm="1">
        <f t="array" ref="M225">_xlfn.IFS(Table22[[#This Row],[Units Sold]]&lt;40,"Critical",Table22[[#This Row],[Units Sold]]&lt;=50,"Poor",Table22[[#This Row],[Units Sold]]&lt;=60,"Low",Table22[[#This Row],[Units Sold]]&lt;=80,"Average",Table22[[#This Row],[Units Sold]]&lt;=90,"High",Table22[[#This Row],[Units Sold]]&lt;=95,"Excellent",Table22[[#This Row],[Units Sold]]&gt;95,"Outstanding")</f>
        <v>High</v>
      </c>
      <c r="N225" s="29">
        <v>985.83</v>
      </c>
      <c r="O225" s="29">
        <v>87738.87</v>
      </c>
      <c r="P225" s="43">
        <f>IF(Table22[[#This Row],[Discount Applied]],Table22[[#This Row],[Total Sales (in USD)]]*(1-Table22[[#This Row],[Discount Percentage (%)]]/100),Table22[[#This Row],[Total Sales (in USD)]])</f>
        <v>76183.660820999998</v>
      </c>
      <c r="Q225" s="66">
        <f>SQRT(AVERAGE((Table22[[#This Row],[Net Sales (after discount) (in USD)]]-AVERAGE(Table22[Net Sales (after discount) (in USD)]))^2))</f>
        <v>39672.30025723546</v>
      </c>
      <c r="R225" s="18" t="b">
        <v>0</v>
      </c>
      <c r="S225" s="40">
        <v>13.17</v>
      </c>
      <c r="T225" s="18" t="b">
        <v>1</v>
      </c>
      <c r="U225" s="25">
        <v>45215</v>
      </c>
      <c r="V225" s="63" t="str">
        <f>IF(MONTH(Table22[[#This Row],[Sales Date]])&lt;=3,"Q1",IF(MONTH(Table22[[#This Row],[Sales Date]])&lt;=6,"Q2",IF(MONTH(Table22[[#This Row],[Sales Date]])&lt;=9,"Q3","Q4")))</f>
        <v>Q4</v>
      </c>
      <c r="W225" s="64">
        <f>YEAR(Table22[[#This Row],[Sales Date]])</f>
        <v>2023</v>
      </c>
      <c r="X225" s="23">
        <v>26</v>
      </c>
      <c r="Y225" s="18" t="s">
        <v>49</v>
      </c>
      <c r="Z225" s="18" t="s">
        <v>42</v>
      </c>
      <c r="AA225" s="19" t="s">
        <v>25</v>
      </c>
    </row>
    <row r="226" spans="1:27" x14ac:dyDescent="0.25">
      <c r="A226" s="17" t="s">
        <v>1799</v>
      </c>
      <c r="B226" s="18" t="s">
        <v>27</v>
      </c>
      <c r="C226" s="63" t="str" cm="1">
        <f t="array" ref="C226">_xlfn.SWITCH(Table22[[#This Row],[Country]],"USA","North America","Canada","North America","Brazil","South America","China","Asia","Japan","Asia","India","Asia","France","Europe","Germany","Europe","UK","Europe","Australia","Oceania","South America")</f>
        <v>Europe</v>
      </c>
      <c r="D226" s="18" t="s">
        <v>35</v>
      </c>
      <c r="E226" s="18" t="s">
        <v>19</v>
      </c>
      <c r="F226" s="18" t="s">
        <v>64</v>
      </c>
      <c r="G226" s="18" t="s">
        <v>40</v>
      </c>
      <c r="H226" s="64">
        <f>LEN(TRIM(Table22[[#This Row],[Country]]))</f>
        <v>7</v>
      </c>
      <c r="I226" s="64">
        <f>LEN(TRIM(Table22[[#This Row],[Continent]]))</f>
        <v>6</v>
      </c>
      <c r="J226" s="64">
        <f>LEN(TRIM(Table22[[#This Row],[Product]]))</f>
        <v>6</v>
      </c>
      <c r="K226" s="64">
        <f>LEN(TRIM(Table22[[#This Row],[Sales Team]]))</f>
        <v>10</v>
      </c>
      <c r="L226" s="23">
        <v>81</v>
      </c>
      <c r="M226" s="65" t="str" cm="1">
        <f t="array" ref="M226">_xlfn.IFS(Table22[[#This Row],[Units Sold]]&lt;40,"Critical",Table22[[#This Row],[Units Sold]]&lt;=50,"Poor",Table22[[#This Row],[Units Sold]]&lt;=60,"Low",Table22[[#This Row],[Units Sold]]&lt;=80,"Average",Table22[[#This Row],[Units Sold]]&lt;=90,"High",Table22[[#This Row],[Units Sold]]&lt;=95,"Excellent",Table22[[#This Row],[Units Sold]]&gt;95,"Outstanding")</f>
        <v>High</v>
      </c>
      <c r="N226" s="29">
        <v>1079.3599999999999</v>
      </c>
      <c r="O226" s="29">
        <v>87428.160000000003</v>
      </c>
      <c r="P226" s="43">
        <f>IF(Table22[[#This Row],[Discount Applied]],Table22[[#This Row],[Total Sales (in USD)]]*(1-Table22[[#This Row],[Discount Percentage (%)]]/100),Table22[[#This Row],[Total Sales (in USD)]])</f>
        <v>87428.160000000003</v>
      </c>
      <c r="Q226" s="66">
        <f>SQRT(AVERAGE((Table22[[#This Row],[Net Sales (after discount) (in USD)]]-AVERAGE(Table22[Net Sales (after discount) (in USD)]))^2))</f>
        <v>50916.799436235466</v>
      </c>
      <c r="R226" s="18" t="b">
        <v>0</v>
      </c>
      <c r="S226" s="40">
        <v>2.5299999999999998</v>
      </c>
      <c r="T226" s="18" t="b">
        <v>0</v>
      </c>
      <c r="U226" s="25">
        <v>45165</v>
      </c>
      <c r="V226" s="63" t="str">
        <f>IF(MONTH(Table22[[#This Row],[Sales Date]])&lt;=3,"Q1",IF(MONTH(Table22[[#This Row],[Sales Date]])&lt;=6,"Q2",IF(MONTH(Table22[[#This Row],[Sales Date]])&lt;=9,"Q3","Q4")))</f>
        <v>Q3</v>
      </c>
      <c r="W226" s="64">
        <f>YEAR(Table22[[#This Row],[Sales Date]])</f>
        <v>2023</v>
      </c>
      <c r="X226" s="23">
        <v>34</v>
      </c>
      <c r="Y226" s="18" t="s">
        <v>49</v>
      </c>
      <c r="Z226" s="18" t="s">
        <v>56</v>
      </c>
      <c r="AA226" s="19" t="s">
        <v>36</v>
      </c>
    </row>
    <row r="227" spans="1:27" x14ac:dyDescent="0.25">
      <c r="A227" s="17" t="s">
        <v>1027</v>
      </c>
      <c r="B227" s="18" t="s">
        <v>32</v>
      </c>
      <c r="C227" s="63" t="str" cm="1">
        <f t="array" ref="C227">_xlfn.SWITCH(Table22[[#This Row],[Country]],"USA","North America","Canada","North America","Brazil","South America","China","Asia","Japan","Asia","India","Asia","France","Europe","Germany","Europe","UK","Europe","Australia","Oceania","South America")</f>
        <v>Asia</v>
      </c>
      <c r="D227" s="18" t="s">
        <v>44</v>
      </c>
      <c r="E227" s="18" t="s">
        <v>19</v>
      </c>
      <c r="F227" s="18" t="s">
        <v>64</v>
      </c>
      <c r="G227" s="18" t="s">
        <v>40</v>
      </c>
      <c r="H227" s="64">
        <f>LEN(TRIM(Table22[[#This Row],[Country]]))</f>
        <v>5</v>
      </c>
      <c r="I227" s="64">
        <f>LEN(TRIM(Table22[[#This Row],[Continent]]))</f>
        <v>4</v>
      </c>
      <c r="J227" s="64">
        <f>LEN(TRIM(Table22[[#This Row],[Product]]))</f>
        <v>6</v>
      </c>
      <c r="K227" s="64">
        <f>LEN(TRIM(Table22[[#This Row],[Sales Team]]))</f>
        <v>10</v>
      </c>
      <c r="L227" s="23">
        <v>91</v>
      </c>
      <c r="M227" s="65" t="str" cm="1">
        <f t="array" ref="M227">_xlfn.IFS(Table22[[#This Row],[Units Sold]]&lt;40,"Critical",Table22[[#This Row],[Units Sold]]&lt;=50,"Poor",Table22[[#This Row],[Units Sold]]&lt;=60,"Low",Table22[[#This Row],[Units Sold]]&lt;=80,"Average",Table22[[#This Row],[Units Sold]]&lt;=90,"High",Table22[[#This Row],[Units Sold]]&lt;=95,"Excellent",Table22[[#This Row],[Units Sold]]&gt;95,"Outstanding")</f>
        <v>Excellent</v>
      </c>
      <c r="N227" s="29">
        <v>959.96</v>
      </c>
      <c r="O227" s="29">
        <v>87356.36</v>
      </c>
      <c r="P227" s="43">
        <f>IF(Table22[[#This Row],[Discount Applied]],Table22[[#This Row],[Total Sales (in USD)]]*(1-Table22[[#This Row],[Discount Percentage (%)]]/100),Table22[[#This Row],[Total Sales (in USD)]])</f>
        <v>86587.624031999992</v>
      </c>
      <c r="Q227" s="66">
        <f>SQRT(AVERAGE((Table22[[#This Row],[Net Sales (after discount) (in USD)]]-AVERAGE(Table22[Net Sales (after discount) (in USD)]))^2))</f>
        <v>50076.263468235455</v>
      </c>
      <c r="R227" s="18" t="b">
        <v>1</v>
      </c>
      <c r="S227" s="40">
        <v>0.88</v>
      </c>
      <c r="T227" s="18" t="b">
        <v>1</v>
      </c>
      <c r="U227" s="25">
        <v>45162</v>
      </c>
      <c r="V227" s="63" t="str">
        <f>IF(MONTH(Table22[[#This Row],[Sales Date]])&lt;=3,"Q1",IF(MONTH(Table22[[#This Row],[Sales Date]])&lt;=6,"Q2",IF(MONTH(Table22[[#This Row],[Sales Date]])&lt;=9,"Q3","Q4")))</f>
        <v>Q3</v>
      </c>
      <c r="W227" s="64">
        <f>YEAR(Table22[[#This Row],[Sales Date]])</f>
        <v>2023</v>
      </c>
      <c r="X227" s="23">
        <v>67</v>
      </c>
      <c r="Y227" s="18" t="s">
        <v>23</v>
      </c>
      <c r="Z227" s="18" t="s">
        <v>42</v>
      </c>
      <c r="AA227" s="19" t="s">
        <v>25</v>
      </c>
    </row>
    <row r="228" spans="1:27" x14ac:dyDescent="0.25">
      <c r="A228" s="17" t="s">
        <v>1310</v>
      </c>
      <c r="B228" s="18" t="s">
        <v>32</v>
      </c>
      <c r="C228" s="63" t="str" cm="1">
        <f t="array" ref="C228">_xlfn.SWITCH(Table22[[#This Row],[Country]],"USA","North America","Canada","North America","Brazil","South America","China","Asia","Japan","Asia","India","Asia","France","Europe","Germany","Europe","UK","Europe","Australia","Oceania","South America")</f>
        <v>Asia</v>
      </c>
      <c r="D228" s="18" t="s">
        <v>21</v>
      </c>
      <c r="E228" s="18" t="s">
        <v>39</v>
      </c>
      <c r="F228" s="18" t="s">
        <v>47</v>
      </c>
      <c r="G228" s="18" t="s">
        <v>48</v>
      </c>
      <c r="H228" s="64">
        <f>LEN(TRIM(Table22[[#This Row],[Country]]))</f>
        <v>5</v>
      </c>
      <c r="I228" s="64">
        <f>LEN(TRIM(Table22[[#This Row],[Continent]]))</f>
        <v>4</v>
      </c>
      <c r="J228" s="64">
        <f>LEN(TRIM(Table22[[#This Row],[Product]]))</f>
        <v>10</v>
      </c>
      <c r="K228" s="64">
        <f>LEN(TRIM(Table22[[#This Row],[Sales Team]]))</f>
        <v>9</v>
      </c>
      <c r="L228" s="23">
        <v>80</v>
      </c>
      <c r="M228" s="65" t="str" cm="1">
        <f t="array" ref="M228">_xlfn.IFS(Table22[[#This Row],[Units Sold]]&lt;40,"Critical",Table22[[#This Row],[Units Sold]]&lt;=50,"Poor",Table22[[#This Row],[Units Sold]]&lt;=60,"Low",Table22[[#This Row],[Units Sold]]&lt;=80,"Average",Table22[[#This Row],[Units Sold]]&lt;=90,"High",Table22[[#This Row],[Units Sold]]&lt;=95,"Excellent",Table22[[#This Row],[Units Sold]]&gt;95,"Outstanding")</f>
        <v>Average</v>
      </c>
      <c r="N228" s="29">
        <v>1091.75</v>
      </c>
      <c r="O228" s="29">
        <v>87340</v>
      </c>
      <c r="P228" s="43">
        <f>IF(Table22[[#This Row],[Discount Applied]],Table22[[#This Row],[Total Sales (in USD)]]*(1-Table22[[#This Row],[Discount Percentage (%)]]/100),Table22[[#This Row],[Total Sales (in USD)]])</f>
        <v>87340</v>
      </c>
      <c r="Q228" s="66">
        <f>SQRT(AVERAGE((Table22[[#This Row],[Net Sales (after discount) (in USD)]]-AVERAGE(Table22[Net Sales (after discount) (in USD)]))^2))</f>
        <v>50828.639436235462</v>
      </c>
      <c r="R228" s="18" t="b">
        <v>1</v>
      </c>
      <c r="S228" s="40">
        <v>27.03</v>
      </c>
      <c r="T228" s="18" t="b">
        <v>0</v>
      </c>
      <c r="U228" s="25">
        <v>45120</v>
      </c>
      <c r="V228" s="63" t="str">
        <f>IF(MONTH(Table22[[#This Row],[Sales Date]])&lt;=3,"Q1",IF(MONTH(Table22[[#This Row],[Sales Date]])&lt;=6,"Q2",IF(MONTH(Table22[[#This Row],[Sales Date]])&lt;=9,"Q3","Q4")))</f>
        <v>Q3</v>
      </c>
      <c r="W228" s="64">
        <f>YEAR(Table22[[#This Row],[Sales Date]])</f>
        <v>2023</v>
      </c>
      <c r="X228" s="23">
        <v>59</v>
      </c>
      <c r="Y228" s="18" t="s">
        <v>41</v>
      </c>
      <c r="Z228" s="18" t="s">
        <v>56</v>
      </c>
      <c r="AA228" s="19" t="s">
        <v>36</v>
      </c>
    </row>
    <row r="229" spans="1:27" x14ac:dyDescent="0.25">
      <c r="A229" s="17" t="s">
        <v>385</v>
      </c>
      <c r="B229" s="18" t="s">
        <v>18</v>
      </c>
      <c r="C229" s="63" t="str" cm="1">
        <f t="array" ref="C229">_xlfn.SWITCH(Table22[[#This Row],[Country]],"USA","North America","Canada","North America","Brazil","South America","China","Asia","Japan","Asia","India","Asia","France","Europe","Germany","Europe","UK","Europe","Australia","Oceania","South America")</f>
        <v>Asia</v>
      </c>
      <c r="D229" s="18" t="s">
        <v>44</v>
      </c>
      <c r="E229" s="18" t="s">
        <v>33</v>
      </c>
      <c r="F229" s="18" t="s">
        <v>20</v>
      </c>
      <c r="G229" s="18" t="s">
        <v>22</v>
      </c>
      <c r="H229" s="64">
        <f>LEN(TRIM(Table22[[#This Row],[Country]]))</f>
        <v>5</v>
      </c>
      <c r="I229" s="64">
        <f>LEN(TRIM(Table22[[#This Row],[Continent]]))</f>
        <v>4</v>
      </c>
      <c r="J229" s="64">
        <f>LEN(TRIM(Table22[[#This Row],[Product]]))</f>
        <v>10</v>
      </c>
      <c r="K229" s="64">
        <f>LEN(TRIM(Table22[[#This Row],[Sales Team]]))</f>
        <v>10</v>
      </c>
      <c r="L229" s="23">
        <v>85</v>
      </c>
      <c r="M229" s="65" t="str" cm="1">
        <f t="array" ref="M229">_xlfn.IFS(Table22[[#This Row],[Units Sold]]&lt;40,"Critical",Table22[[#This Row],[Units Sold]]&lt;=50,"Poor",Table22[[#This Row],[Units Sold]]&lt;=60,"Low",Table22[[#This Row],[Units Sold]]&lt;=80,"Average",Table22[[#This Row],[Units Sold]]&lt;=90,"High",Table22[[#This Row],[Units Sold]]&lt;=95,"Excellent",Table22[[#This Row],[Units Sold]]&gt;95,"Outstanding")</f>
        <v>High</v>
      </c>
      <c r="N229" s="29">
        <v>1024.69</v>
      </c>
      <c r="O229" s="29">
        <v>87098.65</v>
      </c>
      <c r="P229" s="43">
        <f>IF(Table22[[#This Row],[Discount Applied]],Table22[[#This Row],[Total Sales (in USD)]]*(1-Table22[[#This Row],[Discount Percentage (%)]]/100),Table22[[#This Row],[Total Sales (in USD)]])</f>
        <v>87098.65</v>
      </c>
      <c r="Q229" s="66">
        <f>SQRT(AVERAGE((Table22[[#This Row],[Net Sales (after discount) (in USD)]]-AVERAGE(Table22[Net Sales (after discount) (in USD)]))^2))</f>
        <v>50587.289436235456</v>
      </c>
      <c r="R229" s="18" t="b">
        <v>1</v>
      </c>
      <c r="S229" s="40">
        <v>12.28</v>
      </c>
      <c r="T229" s="18" t="b">
        <v>0</v>
      </c>
      <c r="U229" s="25">
        <v>45335</v>
      </c>
      <c r="V229" s="63" t="str">
        <f>IF(MONTH(Table22[[#This Row],[Sales Date]])&lt;=3,"Q1",IF(MONTH(Table22[[#This Row],[Sales Date]])&lt;=6,"Q2",IF(MONTH(Table22[[#This Row],[Sales Date]])&lt;=9,"Q3","Q4")))</f>
        <v>Q1</v>
      </c>
      <c r="W229" s="64">
        <f>YEAR(Table22[[#This Row],[Sales Date]])</f>
        <v>2024</v>
      </c>
      <c r="X229" s="23">
        <v>56</v>
      </c>
      <c r="Y229" s="18" t="s">
        <v>41</v>
      </c>
      <c r="Z229" s="18" t="s">
        <v>30</v>
      </c>
      <c r="AA229" s="19" t="s">
        <v>25</v>
      </c>
    </row>
    <row r="230" spans="1:27" x14ac:dyDescent="0.25">
      <c r="A230" s="17" t="s">
        <v>202</v>
      </c>
      <c r="B230" s="18" t="s">
        <v>51</v>
      </c>
      <c r="C230" s="63" t="str" cm="1">
        <f t="array" ref="C230">_xlfn.SWITCH(Table22[[#This Row],[Country]],"USA","North America","Canada","North America","Brazil","South America","China","Asia","Japan","Asia","India","Asia","France","Europe","Germany","Europe","UK","Europe","Australia","Oceania","South America")</f>
        <v>Europe</v>
      </c>
      <c r="D230" s="18" t="s">
        <v>35</v>
      </c>
      <c r="E230" s="18" t="s">
        <v>19</v>
      </c>
      <c r="F230" s="18" t="s">
        <v>52</v>
      </c>
      <c r="G230" s="18" t="s">
        <v>22</v>
      </c>
      <c r="H230" s="64">
        <f>LEN(TRIM(Table22[[#This Row],[Country]]))</f>
        <v>2</v>
      </c>
      <c r="I230" s="64">
        <f>LEN(TRIM(Table22[[#This Row],[Continent]]))</f>
        <v>6</v>
      </c>
      <c r="J230" s="64">
        <f>LEN(TRIM(Table22[[#This Row],[Product]]))</f>
        <v>6</v>
      </c>
      <c r="K230" s="64">
        <f>LEN(TRIM(Table22[[#This Row],[Sales Team]]))</f>
        <v>10</v>
      </c>
      <c r="L230" s="23">
        <v>94</v>
      </c>
      <c r="M230" s="65" t="str" cm="1">
        <f t="array" ref="M230">_xlfn.IFS(Table22[[#This Row],[Units Sold]]&lt;40,"Critical",Table22[[#This Row],[Units Sold]]&lt;=50,"Poor",Table22[[#This Row],[Units Sold]]&lt;=60,"Low",Table22[[#This Row],[Units Sold]]&lt;=80,"Average",Table22[[#This Row],[Units Sold]]&lt;=90,"High",Table22[[#This Row],[Units Sold]]&lt;=95,"Excellent",Table22[[#This Row],[Units Sold]]&gt;95,"Outstanding")</f>
        <v>Excellent</v>
      </c>
      <c r="N230" s="29">
        <v>925.99</v>
      </c>
      <c r="O230" s="29">
        <v>87043.06</v>
      </c>
      <c r="P230" s="43">
        <f>IF(Table22[[#This Row],[Discount Applied]],Table22[[#This Row],[Total Sales (in USD)]]*(1-Table22[[#This Row],[Discount Percentage (%)]]/100),Table22[[#This Row],[Total Sales (in USD)]])</f>
        <v>87043.06</v>
      </c>
      <c r="Q230" s="66">
        <f>SQRT(AVERAGE((Table22[[#This Row],[Net Sales (after discount) (in USD)]]-AVERAGE(Table22[Net Sales (after discount) (in USD)]))^2))</f>
        <v>50531.69943623546</v>
      </c>
      <c r="R230" s="18" t="b">
        <v>0</v>
      </c>
      <c r="S230" s="40">
        <v>3.78</v>
      </c>
      <c r="T230" s="18" t="b">
        <v>0</v>
      </c>
      <c r="U230" s="25">
        <v>45077</v>
      </c>
      <c r="V230" s="63" t="str">
        <f>IF(MONTH(Table22[[#This Row],[Sales Date]])&lt;=3,"Q1",IF(MONTH(Table22[[#This Row],[Sales Date]])&lt;=6,"Q2",IF(MONTH(Table22[[#This Row],[Sales Date]])&lt;=9,"Q3","Q4")))</f>
        <v>Q2</v>
      </c>
      <c r="W230" s="64">
        <f>YEAR(Table22[[#This Row],[Sales Date]])</f>
        <v>2023</v>
      </c>
      <c r="X230" s="23">
        <v>30</v>
      </c>
      <c r="Y230" s="18" t="s">
        <v>23</v>
      </c>
      <c r="Z230" s="18" t="s">
        <v>42</v>
      </c>
      <c r="AA230" s="19" t="s">
        <v>36</v>
      </c>
    </row>
    <row r="231" spans="1:27" x14ac:dyDescent="0.25">
      <c r="A231" s="17" t="s">
        <v>594</v>
      </c>
      <c r="B231" s="18" t="s">
        <v>32</v>
      </c>
      <c r="C231" s="63" t="str" cm="1">
        <f t="array" ref="C231">_xlfn.SWITCH(Table22[[#This Row],[Country]],"USA","North America","Canada","North America","Brazil","South America","China","Asia","Japan","Asia","India","Asia","France","Europe","Germany","Europe","UK","Europe","Australia","Oceania","South America")</f>
        <v>Asia</v>
      </c>
      <c r="D231" s="18" t="s">
        <v>44</v>
      </c>
      <c r="E231" s="18" t="s">
        <v>19</v>
      </c>
      <c r="F231" s="18" t="s">
        <v>47</v>
      </c>
      <c r="G231" s="18" t="s">
        <v>40</v>
      </c>
      <c r="H231" s="64">
        <f>LEN(TRIM(Table22[[#This Row],[Country]]))</f>
        <v>5</v>
      </c>
      <c r="I231" s="64">
        <f>LEN(TRIM(Table22[[#This Row],[Continent]]))</f>
        <v>4</v>
      </c>
      <c r="J231" s="64">
        <f>LEN(TRIM(Table22[[#This Row],[Product]]))</f>
        <v>6</v>
      </c>
      <c r="K231" s="64">
        <f>LEN(TRIM(Table22[[#This Row],[Sales Team]]))</f>
        <v>10</v>
      </c>
      <c r="L231" s="23">
        <v>58</v>
      </c>
      <c r="M231" s="65" t="str" cm="1">
        <f t="array" ref="M231">_xlfn.IFS(Table22[[#This Row],[Units Sold]]&lt;40,"Critical",Table22[[#This Row],[Units Sold]]&lt;=50,"Poor",Table22[[#This Row],[Units Sold]]&lt;=60,"Low",Table22[[#This Row],[Units Sold]]&lt;=80,"Average",Table22[[#This Row],[Units Sold]]&lt;=90,"High",Table22[[#This Row],[Units Sold]]&lt;=95,"Excellent",Table22[[#This Row],[Units Sold]]&gt;95,"Outstanding")</f>
        <v>Low</v>
      </c>
      <c r="N231" s="29">
        <v>1499.58</v>
      </c>
      <c r="O231" s="29">
        <v>86975.64</v>
      </c>
      <c r="P231" s="43">
        <f>IF(Table22[[#This Row],[Discount Applied]],Table22[[#This Row],[Total Sales (in USD)]]*(1-Table22[[#This Row],[Discount Percentage (%)]]/100),Table22[[#This Row],[Total Sales (in USD)]])</f>
        <v>69432.653412</v>
      </c>
      <c r="Q231" s="66">
        <f>SQRT(AVERAGE((Table22[[#This Row],[Net Sales (after discount) (in USD)]]-AVERAGE(Table22[Net Sales (after discount) (in USD)]))^2))</f>
        <v>32921.292848235462</v>
      </c>
      <c r="R231" s="18" t="b">
        <v>1</v>
      </c>
      <c r="S231" s="40">
        <v>20.170000000000002</v>
      </c>
      <c r="T231" s="18" t="b">
        <v>1</v>
      </c>
      <c r="U231" s="25">
        <v>45394</v>
      </c>
      <c r="V231" s="63" t="str">
        <f>IF(MONTH(Table22[[#This Row],[Sales Date]])&lt;=3,"Q1",IF(MONTH(Table22[[#This Row],[Sales Date]])&lt;=6,"Q2",IF(MONTH(Table22[[#This Row],[Sales Date]])&lt;=9,"Q3","Q4")))</f>
        <v>Q2</v>
      </c>
      <c r="W231" s="64">
        <f>YEAR(Table22[[#This Row],[Sales Date]])</f>
        <v>2024</v>
      </c>
      <c r="X231" s="23">
        <v>52</v>
      </c>
      <c r="Y231" s="18" t="s">
        <v>49</v>
      </c>
      <c r="Z231" s="18" t="s">
        <v>42</v>
      </c>
      <c r="AA231" s="19" t="s">
        <v>36</v>
      </c>
    </row>
    <row r="232" spans="1:27" x14ac:dyDescent="0.25">
      <c r="A232" s="17" t="s">
        <v>1178</v>
      </c>
      <c r="B232" s="18" t="s">
        <v>66</v>
      </c>
      <c r="C232" s="63" t="str" cm="1">
        <f t="array" ref="C232">_xlfn.SWITCH(Table22[[#This Row],[Country]],"USA","North America","Canada","North America","Brazil","South America","China","Asia","Japan","Asia","India","Asia","France","Europe","Germany","Europe","UK","Europe","Australia","Oceania","South America")</f>
        <v>North America</v>
      </c>
      <c r="D232" s="18" t="s">
        <v>35</v>
      </c>
      <c r="E232" s="18" t="s">
        <v>19</v>
      </c>
      <c r="F232" s="18" t="s">
        <v>52</v>
      </c>
      <c r="G232" s="18" t="s">
        <v>22</v>
      </c>
      <c r="H232" s="64">
        <f>LEN(TRIM(Table22[[#This Row],[Country]]))</f>
        <v>6</v>
      </c>
      <c r="I232" s="64">
        <f>LEN(TRIM(Table22[[#This Row],[Continent]]))</f>
        <v>13</v>
      </c>
      <c r="J232" s="64">
        <f>LEN(TRIM(Table22[[#This Row],[Product]]))</f>
        <v>6</v>
      </c>
      <c r="K232" s="64">
        <f>LEN(TRIM(Table22[[#This Row],[Sales Team]]))</f>
        <v>10</v>
      </c>
      <c r="L232" s="23">
        <v>71</v>
      </c>
      <c r="M232" s="65" t="str" cm="1">
        <f t="array" ref="M232">_xlfn.IFS(Table22[[#This Row],[Units Sold]]&lt;40,"Critical",Table22[[#This Row],[Units Sold]]&lt;=50,"Poor",Table22[[#This Row],[Units Sold]]&lt;=60,"Low",Table22[[#This Row],[Units Sold]]&lt;=80,"Average",Table22[[#This Row],[Units Sold]]&lt;=90,"High",Table22[[#This Row],[Units Sold]]&lt;=95,"Excellent",Table22[[#This Row],[Units Sold]]&gt;95,"Outstanding")</f>
        <v>Average</v>
      </c>
      <c r="N232" s="29">
        <v>1224.68</v>
      </c>
      <c r="O232" s="29">
        <v>86952.28</v>
      </c>
      <c r="P232" s="43">
        <f>IF(Table22[[#This Row],[Discount Applied]],Table22[[#This Row],[Total Sales (in USD)]]*(1-Table22[[#This Row],[Discount Percentage (%)]]/100),Table22[[#This Row],[Total Sales (in USD)]])</f>
        <v>86952.28</v>
      </c>
      <c r="Q232" s="66">
        <f>SQRT(AVERAGE((Table22[[#This Row],[Net Sales (after discount) (in USD)]]-AVERAGE(Table22[Net Sales (after discount) (in USD)]))^2))</f>
        <v>50440.919436235461</v>
      </c>
      <c r="R232" s="18" t="b">
        <v>0</v>
      </c>
      <c r="S232" s="40">
        <v>28.96</v>
      </c>
      <c r="T232" s="18" t="b">
        <v>0</v>
      </c>
      <c r="U232" s="25">
        <v>45313</v>
      </c>
      <c r="V232" s="63" t="str">
        <f>IF(MONTH(Table22[[#This Row],[Sales Date]])&lt;=3,"Q1",IF(MONTH(Table22[[#This Row],[Sales Date]])&lt;=6,"Q2",IF(MONTH(Table22[[#This Row],[Sales Date]])&lt;=9,"Q3","Q4")))</f>
        <v>Q1</v>
      </c>
      <c r="W232" s="64">
        <f>YEAR(Table22[[#This Row],[Sales Date]])</f>
        <v>2024</v>
      </c>
      <c r="X232" s="23">
        <v>43</v>
      </c>
      <c r="Y232" s="18" t="s">
        <v>49</v>
      </c>
      <c r="Z232" s="18" t="s">
        <v>42</v>
      </c>
      <c r="AA232" s="19" t="s">
        <v>36</v>
      </c>
    </row>
    <row r="233" spans="1:27" x14ac:dyDescent="0.25">
      <c r="A233" s="17" t="s">
        <v>1314</v>
      </c>
      <c r="B233" s="18" t="s">
        <v>32</v>
      </c>
      <c r="C233" s="63" t="str" cm="1">
        <f t="array" ref="C233">_xlfn.SWITCH(Table22[[#This Row],[Country]],"USA","North America","Canada","North America","Brazil","South America","China","Asia","Japan","Asia","India","Asia","France","Europe","Germany","Europe","UK","Europe","Australia","Oceania","South America")</f>
        <v>Asia</v>
      </c>
      <c r="D233" s="18" t="s">
        <v>35</v>
      </c>
      <c r="E233" s="18" t="s">
        <v>19</v>
      </c>
      <c r="F233" s="18" t="s">
        <v>34</v>
      </c>
      <c r="G233" s="18" t="s">
        <v>40</v>
      </c>
      <c r="H233" s="64">
        <f>LEN(TRIM(Table22[[#This Row],[Country]]))</f>
        <v>5</v>
      </c>
      <c r="I233" s="64">
        <f>LEN(TRIM(Table22[[#This Row],[Continent]]))</f>
        <v>4</v>
      </c>
      <c r="J233" s="64">
        <f>LEN(TRIM(Table22[[#This Row],[Product]]))</f>
        <v>6</v>
      </c>
      <c r="K233" s="64">
        <f>LEN(TRIM(Table22[[#This Row],[Sales Team]]))</f>
        <v>10</v>
      </c>
      <c r="L233" s="23">
        <v>81</v>
      </c>
      <c r="M233" s="65" t="str" cm="1">
        <f t="array" ref="M233">_xlfn.IFS(Table22[[#This Row],[Units Sold]]&lt;40,"Critical",Table22[[#This Row],[Units Sold]]&lt;=50,"Poor",Table22[[#This Row],[Units Sold]]&lt;=60,"Low",Table22[[#This Row],[Units Sold]]&lt;=80,"Average",Table22[[#This Row],[Units Sold]]&lt;=90,"High",Table22[[#This Row],[Units Sold]]&lt;=95,"Excellent",Table22[[#This Row],[Units Sold]]&gt;95,"Outstanding")</f>
        <v>High</v>
      </c>
      <c r="N233" s="29">
        <v>1072.96</v>
      </c>
      <c r="O233" s="29">
        <v>86909.759999999995</v>
      </c>
      <c r="P233" s="43">
        <f>IF(Table22[[#This Row],[Discount Applied]],Table22[[#This Row],[Total Sales (in USD)]]*(1-Table22[[#This Row],[Discount Percentage (%)]]/100),Table22[[#This Row],[Total Sales (in USD)]])</f>
        <v>77818.999103999988</v>
      </c>
      <c r="Q233" s="66">
        <f>SQRT(AVERAGE((Table22[[#This Row],[Net Sales (after discount) (in USD)]]-AVERAGE(Table22[Net Sales (after discount) (in USD)]))^2))</f>
        <v>41307.63854023545</v>
      </c>
      <c r="R233" s="18" t="b">
        <v>1</v>
      </c>
      <c r="S233" s="40">
        <v>10.46</v>
      </c>
      <c r="T233" s="18" t="b">
        <v>1</v>
      </c>
      <c r="U233" s="25">
        <v>45207</v>
      </c>
      <c r="V233" s="63" t="str">
        <f>IF(MONTH(Table22[[#This Row],[Sales Date]])&lt;=3,"Q1",IF(MONTH(Table22[[#This Row],[Sales Date]])&lt;=6,"Q2",IF(MONTH(Table22[[#This Row],[Sales Date]])&lt;=9,"Q3","Q4")))</f>
        <v>Q4</v>
      </c>
      <c r="W233" s="64">
        <f>YEAR(Table22[[#This Row],[Sales Date]])</f>
        <v>2023</v>
      </c>
      <c r="X233" s="23">
        <v>38</v>
      </c>
      <c r="Y233" s="18" t="s">
        <v>23</v>
      </c>
      <c r="Z233" s="18" t="s">
        <v>30</v>
      </c>
      <c r="AA233" s="19" t="s">
        <v>36</v>
      </c>
    </row>
    <row r="234" spans="1:27" x14ac:dyDescent="0.25">
      <c r="A234" s="17" t="s">
        <v>1777</v>
      </c>
      <c r="B234" s="18" t="s">
        <v>38</v>
      </c>
      <c r="C234" s="63" t="str" cm="1">
        <f t="array" ref="C234">_xlfn.SWITCH(Table22[[#This Row],[Country]],"USA","North America","Canada","North America","Brazil","South America","China","Asia","Japan","Asia","India","Asia","France","Europe","Germany","Europe","UK","Europe","Australia","Oceania","South America")</f>
        <v>Europe</v>
      </c>
      <c r="D234" s="18" t="s">
        <v>21</v>
      </c>
      <c r="E234" s="18" t="s">
        <v>19</v>
      </c>
      <c r="F234" s="18" t="s">
        <v>20</v>
      </c>
      <c r="G234" s="18" t="s">
        <v>29</v>
      </c>
      <c r="H234" s="64">
        <f>LEN(TRIM(Table22[[#This Row],[Country]]))</f>
        <v>6</v>
      </c>
      <c r="I234" s="64">
        <f>LEN(TRIM(Table22[[#This Row],[Continent]]))</f>
        <v>6</v>
      </c>
      <c r="J234" s="64">
        <f>LEN(TRIM(Table22[[#This Row],[Product]]))</f>
        <v>6</v>
      </c>
      <c r="K234" s="64">
        <f>LEN(TRIM(Table22[[#This Row],[Sales Team]]))</f>
        <v>10</v>
      </c>
      <c r="L234" s="23">
        <v>73</v>
      </c>
      <c r="M234" s="65" t="str" cm="1">
        <f t="array" ref="M234">_xlfn.IFS(Table22[[#This Row],[Units Sold]]&lt;40,"Critical",Table22[[#This Row],[Units Sold]]&lt;=50,"Poor",Table22[[#This Row],[Units Sold]]&lt;=60,"Low",Table22[[#This Row],[Units Sold]]&lt;=80,"Average",Table22[[#This Row],[Units Sold]]&lt;=90,"High",Table22[[#This Row],[Units Sold]]&lt;=95,"Excellent",Table22[[#This Row],[Units Sold]]&gt;95,"Outstanding")</f>
        <v>Average</v>
      </c>
      <c r="N234" s="29">
        <v>1190.49</v>
      </c>
      <c r="O234" s="29">
        <v>86905.77</v>
      </c>
      <c r="P234" s="43">
        <f>IF(Table22[[#This Row],[Discount Applied]],Table22[[#This Row],[Total Sales (in USD)]]*(1-Table22[[#This Row],[Discount Percentage (%)]]/100),Table22[[#This Row],[Total Sales (in USD)]])</f>
        <v>65127.184038000007</v>
      </c>
      <c r="Q234" s="66">
        <f>SQRT(AVERAGE((Table22[[#This Row],[Net Sales (after discount) (in USD)]]-AVERAGE(Table22[Net Sales (after discount) (in USD)]))^2))</f>
        <v>28615.823474235469</v>
      </c>
      <c r="R234" s="18" t="b">
        <v>0</v>
      </c>
      <c r="S234" s="40">
        <v>25.06</v>
      </c>
      <c r="T234" s="18" t="b">
        <v>1</v>
      </c>
      <c r="U234" s="25">
        <v>45012</v>
      </c>
      <c r="V234" s="63" t="str">
        <f>IF(MONTH(Table22[[#This Row],[Sales Date]])&lt;=3,"Q1",IF(MONTH(Table22[[#This Row],[Sales Date]])&lt;=6,"Q2",IF(MONTH(Table22[[#This Row],[Sales Date]])&lt;=9,"Q3","Q4")))</f>
        <v>Q1</v>
      </c>
      <c r="W234" s="64">
        <f>YEAR(Table22[[#This Row],[Sales Date]])</f>
        <v>2023</v>
      </c>
      <c r="X234" s="23">
        <v>24</v>
      </c>
      <c r="Y234" s="18" t="s">
        <v>23</v>
      </c>
      <c r="Z234" s="18" t="s">
        <v>56</v>
      </c>
      <c r="AA234" s="19" t="s">
        <v>25</v>
      </c>
    </row>
    <row r="235" spans="1:27" x14ac:dyDescent="0.25">
      <c r="A235" s="17" t="s">
        <v>637</v>
      </c>
      <c r="B235" s="18" t="s">
        <v>62</v>
      </c>
      <c r="C235" s="63" t="str" cm="1">
        <f t="array" ref="C235">_xlfn.SWITCH(Table22[[#This Row],[Country]],"USA","North America","Canada","North America","Brazil","South America","China","Asia","Japan","Asia","India","Asia","France","Europe","Germany","Europe","UK","Europe","Australia","Oceania","South America")</f>
        <v>Oceania</v>
      </c>
      <c r="D235" s="18" t="s">
        <v>44</v>
      </c>
      <c r="E235" s="18" t="s">
        <v>39</v>
      </c>
      <c r="F235" s="18" t="s">
        <v>52</v>
      </c>
      <c r="G235" s="18" t="s">
        <v>22</v>
      </c>
      <c r="H235" s="64">
        <f>LEN(TRIM(Table22[[#This Row],[Country]]))</f>
        <v>9</v>
      </c>
      <c r="I235" s="64">
        <f>LEN(TRIM(Table22[[#This Row],[Continent]]))</f>
        <v>7</v>
      </c>
      <c r="J235" s="64">
        <f>LEN(TRIM(Table22[[#This Row],[Product]]))</f>
        <v>10</v>
      </c>
      <c r="K235" s="64">
        <f>LEN(TRIM(Table22[[#This Row],[Sales Team]]))</f>
        <v>10</v>
      </c>
      <c r="L235" s="23">
        <v>68</v>
      </c>
      <c r="M235" s="65" t="str" cm="1">
        <f t="array" ref="M235">_xlfn.IFS(Table22[[#This Row],[Units Sold]]&lt;40,"Critical",Table22[[#This Row],[Units Sold]]&lt;=50,"Poor",Table22[[#This Row],[Units Sold]]&lt;=60,"Low",Table22[[#This Row],[Units Sold]]&lt;=80,"Average",Table22[[#This Row],[Units Sold]]&lt;=90,"High",Table22[[#This Row],[Units Sold]]&lt;=95,"Excellent",Table22[[#This Row],[Units Sold]]&gt;95,"Outstanding")</f>
        <v>Average</v>
      </c>
      <c r="N235" s="29">
        <v>1277.1199999999999</v>
      </c>
      <c r="O235" s="29">
        <v>86844.160000000003</v>
      </c>
      <c r="P235" s="43">
        <f>IF(Table22[[#This Row],[Discount Applied]],Table22[[#This Row],[Total Sales (in USD)]]*(1-Table22[[#This Row],[Discount Percentage (%)]]/100),Table22[[#This Row],[Total Sales (in USD)]])</f>
        <v>86844.160000000003</v>
      </c>
      <c r="Q235" s="66">
        <f>SQRT(AVERAGE((Table22[[#This Row],[Net Sales (after discount) (in USD)]]-AVERAGE(Table22[Net Sales (after discount) (in USD)]))^2))</f>
        <v>50332.799436235466</v>
      </c>
      <c r="R235" s="18" t="b">
        <v>1</v>
      </c>
      <c r="S235" s="40">
        <v>21.24</v>
      </c>
      <c r="T235" s="18" t="b">
        <v>0</v>
      </c>
      <c r="U235" s="25">
        <v>45428</v>
      </c>
      <c r="V235" s="63" t="str">
        <f>IF(MONTH(Table22[[#This Row],[Sales Date]])&lt;=3,"Q1",IF(MONTH(Table22[[#This Row],[Sales Date]])&lt;=6,"Q2",IF(MONTH(Table22[[#This Row],[Sales Date]])&lt;=9,"Q3","Q4")))</f>
        <v>Q2</v>
      </c>
      <c r="W235" s="64">
        <f>YEAR(Table22[[#This Row],[Sales Date]])</f>
        <v>2024</v>
      </c>
      <c r="X235" s="23">
        <v>30</v>
      </c>
      <c r="Y235" s="18" t="s">
        <v>49</v>
      </c>
      <c r="Z235" s="18" t="s">
        <v>42</v>
      </c>
      <c r="AA235" s="19" t="s">
        <v>36</v>
      </c>
    </row>
    <row r="236" spans="1:27" x14ac:dyDescent="0.25">
      <c r="A236" s="17" t="s">
        <v>687</v>
      </c>
      <c r="B236" s="18" t="s">
        <v>32</v>
      </c>
      <c r="C236" s="63" t="str" cm="1">
        <f t="array" ref="C236">_xlfn.SWITCH(Table22[[#This Row],[Country]],"USA","North America","Canada","North America","Brazil","South America","China","Asia","Japan","Asia","India","Asia","France","Europe","Germany","Europe","UK","Europe","Australia","Oceania","South America")</f>
        <v>Asia</v>
      </c>
      <c r="D236" s="18" t="s">
        <v>21</v>
      </c>
      <c r="E236" s="18" t="s">
        <v>19</v>
      </c>
      <c r="F236" s="18" t="s">
        <v>47</v>
      </c>
      <c r="G236" s="18" t="s">
        <v>29</v>
      </c>
      <c r="H236" s="64">
        <f>LEN(TRIM(Table22[[#This Row],[Country]]))</f>
        <v>5</v>
      </c>
      <c r="I236" s="64">
        <f>LEN(TRIM(Table22[[#This Row],[Continent]]))</f>
        <v>4</v>
      </c>
      <c r="J236" s="64">
        <f>LEN(TRIM(Table22[[#This Row],[Product]]))</f>
        <v>6</v>
      </c>
      <c r="K236" s="64">
        <f>LEN(TRIM(Table22[[#This Row],[Sales Team]]))</f>
        <v>10</v>
      </c>
      <c r="L236" s="23">
        <v>78</v>
      </c>
      <c r="M236" s="65" t="str" cm="1">
        <f t="array" ref="M236">_xlfn.IFS(Table22[[#This Row],[Units Sold]]&lt;40,"Critical",Table22[[#This Row],[Units Sold]]&lt;=50,"Poor",Table22[[#This Row],[Units Sold]]&lt;=60,"Low",Table22[[#This Row],[Units Sold]]&lt;=80,"Average",Table22[[#This Row],[Units Sold]]&lt;=90,"High",Table22[[#This Row],[Units Sold]]&lt;=95,"Excellent",Table22[[#This Row],[Units Sold]]&gt;95,"Outstanding")</f>
        <v>Average</v>
      </c>
      <c r="N236" s="29">
        <v>1109.49</v>
      </c>
      <c r="O236" s="29">
        <v>86540.22</v>
      </c>
      <c r="P236" s="43">
        <f>IF(Table22[[#This Row],[Discount Applied]],Table22[[#This Row],[Total Sales (in USD)]]*(1-Table22[[#This Row],[Discount Percentage (%)]]/100),Table22[[#This Row],[Total Sales (in USD)]])</f>
        <v>63295.516908000005</v>
      </c>
      <c r="Q236" s="66">
        <f>SQRT(AVERAGE((Table22[[#This Row],[Net Sales (after discount) (in USD)]]-AVERAGE(Table22[Net Sales (after discount) (in USD)]))^2))</f>
        <v>26784.156344235467</v>
      </c>
      <c r="R236" s="18" t="b">
        <v>1</v>
      </c>
      <c r="S236" s="40">
        <v>26.86</v>
      </c>
      <c r="T236" s="18" t="b">
        <v>1</v>
      </c>
      <c r="U236" s="25">
        <v>45478</v>
      </c>
      <c r="V236" s="63" t="str">
        <f>IF(MONTH(Table22[[#This Row],[Sales Date]])&lt;=3,"Q1",IF(MONTH(Table22[[#This Row],[Sales Date]])&lt;=6,"Q2",IF(MONTH(Table22[[#This Row],[Sales Date]])&lt;=9,"Q3","Q4")))</f>
        <v>Q3</v>
      </c>
      <c r="W236" s="64">
        <f>YEAR(Table22[[#This Row],[Sales Date]])</f>
        <v>2024</v>
      </c>
      <c r="X236" s="23">
        <v>44</v>
      </c>
      <c r="Y236" s="18" t="s">
        <v>23</v>
      </c>
      <c r="Z236" s="18" t="s">
        <v>24</v>
      </c>
      <c r="AA236" s="19" t="s">
        <v>25</v>
      </c>
    </row>
    <row r="237" spans="1:27" x14ac:dyDescent="0.25">
      <c r="A237" s="17" t="s">
        <v>616</v>
      </c>
      <c r="B237" s="18" t="s">
        <v>18</v>
      </c>
      <c r="C237" s="63" t="str" cm="1">
        <f t="array" ref="C237">_xlfn.SWITCH(Table22[[#This Row],[Country]],"USA","North America","Canada","North America","Brazil","South America","China","Asia","Japan","Asia","India","Asia","France","Europe","Germany","Europe","UK","Europe","Australia","Oceania","South America")</f>
        <v>Asia</v>
      </c>
      <c r="D237" s="18" t="s">
        <v>21</v>
      </c>
      <c r="E237" s="18" t="s">
        <v>39</v>
      </c>
      <c r="F237" s="18" t="s">
        <v>52</v>
      </c>
      <c r="G237" s="18" t="s">
        <v>40</v>
      </c>
      <c r="H237" s="64">
        <f>LEN(TRIM(Table22[[#This Row],[Country]]))</f>
        <v>5</v>
      </c>
      <c r="I237" s="64">
        <f>LEN(TRIM(Table22[[#This Row],[Continent]]))</f>
        <v>4</v>
      </c>
      <c r="J237" s="64">
        <f>LEN(TRIM(Table22[[#This Row],[Product]]))</f>
        <v>10</v>
      </c>
      <c r="K237" s="64">
        <f>LEN(TRIM(Table22[[#This Row],[Sales Team]]))</f>
        <v>10</v>
      </c>
      <c r="L237" s="23">
        <v>96</v>
      </c>
      <c r="M237" s="65" t="str" cm="1">
        <f t="array" ref="M237">_xlfn.IFS(Table22[[#This Row],[Units Sold]]&lt;40,"Critical",Table22[[#This Row],[Units Sold]]&lt;=50,"Poor",Table22[[#This Row],[Units Sold]]&lt;=60,"Low",Table22[[#This Row],[Units Sold]]&lt;=80,"Average",Table22[[#This Row],[Units Sold]]&lt;=90,"High",Table22[[#This Row],[Units Sold]]&lt;=95,"Excellent",Table22[[#This Row],[Units Sold]]&gt;95,"Outstanding")</f>
        <v>Outstanding</v>
      </c>
      <c r="N237" s="29">
        <v>901.34</v>
      </c>
      <c r="O237" s="29">
        <v>86528.639999999999</v>
      </c>
      <c r="P237" s="43">
        <f>IF(Table22[[#This Row],[Discount Applied]],Table22[[#This Row],[Total Sales (in USD)]]*(1-Table22[[#This Row],[Discount Percentage (%)]]/100),Table22[[#This Row],[Total Sales (in USD)]])</f>
        <v>80428.370880000002</v>
      </c>
      <c r="Q237" s="66">
        <f>SQRT(AVERAGE((Table22[[#This Row],[Net Sales (after discount) (in USD)]]-AVERAGE(Table22[Net Sales (after discount) (in USD)]))^2))</f>
        <v>43917.010316235464</v>
      </c>
      <c r="R237" s="18" t="b">
        <v>1</v>
      </c>
      <c r="S237" s="40">
        <v>7.05</v>
      </c>
      <c r="T237" s="18" t="b">
        <v>1</v>
      </c>
      <c r="U237" s="25">
        <v>45577</v>
      </c>
      <c r="V237" s="63" t="str">
        <f>IF(MONTH(Table22[[#This Row],[Sales Date]])&lt;=3,"Q1",IF(MONTH(Table22[[#This Row],[Sales Date]])&lt;=6,"Q2",IF(MONTH(Table22[[#This Row],[Sales Date]])&lt;=9,"Q3","Q4")))</f>
        <v>Q4</v>
      </c>
      <c r="W237" s="64">
        <f>YEAR(Table22[[#This Row],[Sales Date]])</f>
        <v>2024</v>
      </c>
      <c r="X237" s="23">
        <v>44</v>
      </c>
      <c r="Y237" s="18" t="s">
        <v>23</v>
      </c>
      <c r="Z237" s="18" t="s">
        <v>30</v>
      </c>
      <c r="AA237" s="19" t="s">
        <v>36</v>
      </c>
    </row>
    <row r="238" spans="1:27" x14ac:dyDescent="0.25">
      <c r="A238" s="17" t="s">
        <v>884</v>
      </c>
      <c r="B238" s="18" t="s">
        <v>38</v>
      </c>
      <c r="C238" s="63" t="str" cm="1">
        <f t="array" ref="C238">_xlfn.SWITCH(Table22[[#This Row],[Country]],"USA","North America","Canada","North America","Brazil","South America","China","Asia","Japan","Asia","India","Asia","France","Europe","Germany","Europe","UK","Europe","Australia","Oceania","South America")</f>
        <v>Europe</v>
      </c>
      <c r="D238" s="18" t="s">
        <v>35</v>
      </c>
      <c r="E238" s="18" t="s">
        <v>39</v>
      </c>
      <c r="F238" s="18" t="s">
        <v>52</v>
      </c>
      <c r="G238" s="18" t="s">
        <v>29</v>
      </c>
      <c r="H238" s="64">
        <f>LEN(TRIM(Table22[[#This Row],[Country]]))</f>
        <v>6</v>
      </c>
      <c r="I238" s="64">
        <f>LEN(TRIM(Table22[[#This Row],[Continent]]))</f>
        <v>6</v>
      </c>
      <c r="J238" s="64">
        <f>LEN(TRIM(Table22[[#This Row],[Product]]))</f>
        <v>10</v>
      </c>
      <c r="K238" s="64">
        <f>LEN(TRIM(Table22[[#This Row],[Sales Team]]))</f>
        <v>10</v>
      </c>
      <c r="L238" s="23">
        <v>87</v>
      </c>
      <c r="M238" s="65" t="str" cm="1">
        <f t="array" ref="M238">_xlfn.IFS(Table22[[#This Row],[Units Sold]]&lt;40,"Critical",Table22[[#This Row],[Units Sold]]&lt;=50,"Poor",Table22[[#This Row],[Units Sold]]&lt;=60,"Low",Table22[[#This Row],[Units Sold]]&lt;=80,"Average",Table22[[#This Row],[Units Sold]]&lt;=90,"High",Table22[[#This Row],[Units Sold]]&lt;=95,"Excellent",Table22[[#This Row],[Units Sold]]&gt;95,"Outstanding")</f>
        <v>High</v>
      </c>
      <c r="N238" s="29">
        <v>994.21</v>
      </c>
      <c r="O238" s="29">
        <v>86496.27</v>
      </c>
      <c r="P238" s="43">
        <f>IF(Table22[[#This Row],[Discount Applied]],Table22[[#This Row],[Total Sales (in USD)]]*(1-Table22[[#This Row],[Discount Percentage (%)]]/100),Table22[[#This Row],[Total Sales (in USD)]])</f>
        <v>86496.27</v>
      </c>
      <c r="Q238" s="66">
        <f>SQRT(AVERAGE((Table22[[#This Row],[Net Sales (after discount) (in USD)]]-AVERAGE(Table22[Net Sales (after discount) (in USD)]))^2))</f>
        <v>49984.909436235466</v>
      </c>
      <c r="R238" s="18" t="b">
        <v>1</v>
      </c>
      <c r="S238" s="40">
        <v>13.62</v>
      </c>
      <c r="T238" s="18" t="b">
        <v>0</v>
      </c>
      <c r="U238" s="25">
        <v>45488</v>
      </c>
      <c r="V238" s="63" t="str">
        <f>IF(MONTH(Table22[[#This Row],[Sales Date]])&lt;=3,"Q1",IF(MONTH(Table22[[#This Row],[Sales Date]])&lt;=6,"Q2",IF(MONTH(Table22[[#This Row],[Sales Date]])&lt;=9,"Q3","Q4")))</f>
        <v>Q3</v>
      </c>
      <c r="W238" s="64">
        <f>YEAR(Table22[[#This Row],[Sales Date]])</f>
        <v>2024</v>
      </c>
      <c r="X238" s="23">
        <v>63</v>
      </c>
      <c r="Y238" s="18" t="s">
        <v>23</v>
      </c>
      <c r="Z238" s="18" t="s">
        <v>56</v>
      </c>
      <c r="AA238" s="19" t="s">
        <v>36</v>
      </c>
    </row>
    <row r="239" spans="1:27" x14ac:dyDescent="0.25">
      <c r="A239" s="17" t="s">
        <v>81</v>
      </c>
      <c r="B239" s="18" t="s">
        <v>27</v>
      </c>
      <c r="C239" s="63" t="str" cm="1">
        <f t="array" ref="C239">_xlfn.SWITCH(Table22[[#This Row],[Country]],"USA","North America","Canada","North America","Brazil","South America","China","Asia","Japan","Asia","India","Asia","France","Europe","Germany","Europe","UK","Europe","Australia","Oceania","South America")</f>
        <v>Europe</v>
      </c>
      <c r="D239" s="18" t="s">
        <v>28</v>
      </c>
      <c r="E239" s="18" t="s">
        <v>39</v>
      </c>
      <c r="F239" s="18" t="s">
        <v>34</v>
      </c>
      <c r="G239" s="18" t="s">
        <v>29</v>
      </c>
      <c r="H239" s="64">
        <f>LEN(TRIM(Table22[[#This Row],[Country]]))</f>
        <v>7</v>
      </c>
      <c r="I239" s="64">
        <f>LEN(TRIM(Table22[[#This Row],[Continent]]))</f>
        <v>6</v>
      </c>
      <c r="J239" s="64">
        <f>LEN(TRIM(Table22[[#This Row],[Product]]))</f>
        <v>10</v>
      </c>
      <c r="K239" s="64">
        <f>LEN(TRIM(Table22[[#This Row],[Sales Team]]))</f>
        <v>10</v>
      </c>
      <c r="L239" s="23">
        <v>66</v>
      </c>
      <c r="M239" s="65" t="str" cm="1">
        <f t="array" ref="M239">_xlfn.IFS(Table22[[#This Row],[Units Sold]]&lt;40,"Critical",Table22[[#This Row],[Units Sold]]&lt;=50,"Poor",Table22[[#This Row],[Units Sold]]&lt;=60,"Low",Table22[[#This Row],[Units Sold]]&lt;=80,"Average",Table22[[#This Row],[Units Sold]]&lt;=90,"High",Table22[[#This Row],[Units Sold]]&lt;=95,"Excellent",Table22[[#This Row],[Units Sold]]&gt;95,"Outstanding")</f>
        <v>Average</v>
      </c>
      <c r="N239" s="29">
        <v>1306.32</v>
      </c>
      <c r="O239" s="29">
        <v>86217.12</v>
      </c>
      <c r="P239" s="43">
        <f>IF(Table22[[#This Row],[Discount Applied]],Table22[[#This Row],[Total Sales (in USD)]]*(1-Table22[[#This Row],[Discount Percentage (%)]]/100),Table22[[#This Row],[Total Sales (in USD)]])</f>
        <v>73232.821727999995</v>
      </c>
      <c r="Q239" s="66">
        <f>SQRT(AVERAGE((Table22[[#This Row],[Net Sales (after discount) (in USD)]]-AVERAGE(Table22[Net Sales (after discount) (in USD)]))^2))</f>
        <v>36721.461164235458</v>
      </c>
      <c r="R239" s="18" t="b">
        <v>1</v>
      </c>
      <c r="S239" s="40">
        <v>15.06</v>
      </c>
      <c r="T239" s="18" t="b">
        <v>1</v>
      </c>
      <c r="U239" s="25">
        <v>45262</v>
      </c>
      <c r="V239" s="63" t="str">
        <f>IF(MONTH(Table22[[#This Row],[Sales Date]])&lt;=3,"Q1",IF(MONTH(Table22[[#This Row],[Sales Date]])&lt;=6,"Q2",IF(MONTH(Table22[[#This Row],[Sales Date]])&lt;=9,"Q3","Q4")))</f>
        <v>Q4</v>
      </c>
      <c r="W239" s="64">
        <f>YEAR(Table22[[#This Row],[Sales Date]])</f>
        <v>2023</v>
      </c>
      <c r="X239" s="23">
        <v>62</v>
      </c>
      <c r="Y239" s="18" t="s">
        <v>41</v>
      </c>
      <c r="Z239" s="18" t="s">
        <v>30</v>
      </c>
      <c r="AA239" s="19" t="s">
        <v>25</v>
      </c>
    </row>
    <row r="240" spans="1:27" x14ac:dyDescent="0.25">
      <c r="A240" s="17" t="s">
        <v>234</v>
      </c>
      <c r="B240" s="18" t="s">
        <v>72</v>
      </c>
      <c r="C240" s="63" t="str" cm="1">
        <f t="array" ref="C240">_xlfn.SWITCH(Table22[[#This Row],[Country]],"USA","North America","Canada","North America","Brazil","South America","China","Asia","Japan","Asia","India","Asia","France","Europe","Germany","Europe","UK","Europe","Australia","Oceania","South America")</f>
        <v>North America</v>
      </c>
      <c r="D240" s="18" t="s">
        <v>21</v>
      </c>
      <c r="E240" s="18" t="s">
        <v>19</v>
      </c>
      <c r="F240" s="18" t="s">
        <v>47</v>
      </c>
      <c r="G240" s="18" t="s">
        <v>40</v>
      </c>
      <c r="H240" s="64">
        <f>LEN(TRIM(Table22[[#This Row],[Country]]))</f>
        <v>3</v>
      </c>
      <c r="I240" s="64">
        <f>LEN(TRIM(Table22[[#This Row],[Continent]]))</f>
        <v>13</v>
      </c>
      <c r="J240" s="64">
        <f>LEN(TRIM(Table22[[#This Row],[Product]]))</f>
        <v>6</v>
      </c>
      <c r="K240" s="64">
        <f>LEN(TRIM(Table22[[#This Row],[Sales Team]]))</f>
        <v>10</v>
      </c>
      <c r="L240" s="23">
        <v>77</v>
      </c>
      <c r="M240" s="65" t="str" cm="1">
        <f t="array" ref="M240">_xlfn.IFS(Table22[[#This Row],[Units Sold]]&lt;40,"Critical",Table22[[#This Row],[Units Sold]]&lt;=50,"Poor",Table22[[#This Row],[Units Sold]]&lt;=60,"Low",Table22[[#This Row],[Units Sold]]&lt;=80,"Average",Table22[[#This Row],[Units Sold]]&lt;=90,"High",Table22[[#This Row],[Units Sold]]&lt;=95,"Excellent",Table22[[#This Row],[Units Sold]]&gt;95,"Outstanding")</f>
        <v>Average</v>
      </c>
      <c r="N240" s="29">
        <v>1116.3800000000001</v>
      </c>
      <c r="O240" s="29">
        <v>85961.26</v>
      </c>
      <c r="P240" s="43">
        <f>IF(Table22[[#This Row],[Discount Applied]],Table22[[#This Row],[Total Sales (in USD)]]*(1-Table22[[#This Row],[Discount Percentage (%)]]/100),Table22[[#This Row],[Total Sales (in USD)]])</f>
        <v>85961.26</v>
      </c>
      <c r="Q240" s="66">
        <f>SQRT(AVERAGE((Table22[[#This Row],[Net Sales (after discount) (in USD)]]-AVERAGE(Table22[Net Sales (after discount) (in USD)]))^2))</f>
        <v>49449.899436235457</v>
      </c>
      <c r="R240" s="18" t="b">
        <v>0</v>
      </c>
      <c r="S240" s="40">
        <v>9.57</v>
      </c>
      <c r="T240" s="18" t="b">
        <v>0</v>
      </c>
      <c r="U240" s="25">
        <v>45371</v>
      </c>
      <c r="V240" s="63" t="str">
        <f>IF(MONTH(Table22[[#This Row],[Sales Date]])&lt;=3,"Q1",IF(MONTH(Table22[[#This Row],[Sales Date]])&lt;=6,"Q2",IF(MONTH(Table22[[#This Row],[Sales Date]])&lt;=9,"Q3","Q4")))</f>
        <v>Q1</v>
      </c>
      <c r="W240" s="64">
        <f>YEAR(Table22[[#This Row],[Sales Date]])</f>
        <v>2024</v>
      </c>
      <c r="X240" s="23">
        <v>44</v>
      </c>
      <c r="Y240" s="18" t="s">
        <v>49</v>
      </c>
      <c r="Z240" s="18" t="s">
        <v>42</v>
      </c>
      <c r="AA240" s="19" t="s">
        <v>36</v>
      </c>
    </row>
    <row r="241" spans="1:27" x14ac:dyDescent="0.25">
      <c r="A241" s="17" t="s">
        <v>389</v>
      </c>
      <c r="B241" s="18" t="s">
        <v>76</v>
      </c>
      <c r="C241" s="63" t="str" cm="1">
        <f t="array" ref="C241">_xlfn.SWITCH(Table22[[#This Row],[Country]],"USA","North America","Canada","North America","Brazil","South America","China","Asia","Japan","Asia","India","Asia","France","Europe","Germany","Europe","UK","Europe","Australia","Oceania","South America")</f>
        <v>Asia</v>
      </c>
      <c r="D241" s="18" t="s">
        <v>44</v>
      </c>
      <c r="E241" s="18" t="s">
        <v>19</v>
      </c>
      <c r="F241" s="18" t="s">
        <v>20</v>
      </c>
      <c r="G241" s="18" t="s">
        <v>22</v>
      </c>
      <c r="H241" s="64">
        <f>LEN(TRIM(Table22[[#This Row],[Country]]))</f>
        <v>5</v>
      </c>
      <c r="I241" s="64">
        <f>LEN(TRIM(Table22[[#This Row],[Continent]]))</f>
        <v>4</v>
      </c>
      <c r="J241" s="64">
        <f>LEN(TRIM(Table22[[#This Row],[Product]]))</f>
        <v>6</v>
      </c>
      <c r="K241" s="64">
        <f>LEN(TRIM(Table22[[#This Row],[Sales Team]]))</f>
        <v>10</v>
      </c>
      <c r="L241" s="23">
        <v>80</v>
      </c>
      <c r="M241" s="65" t="str" cm="1">
        <f t="array" ref="M241">_xlfn.IFS(Table22[[#This Row],[Units Sold]]&lt;40,"Critical",Table22[[#This Row],[Units Sold]]&lt;=50,"Poor",Table22[[#This Row],[Units Sold]]&lt;=60,"Low",Table22[[#This Row],[Units Sold]]&lt;=80,"Average",Table22[[#This Row],[Units Sold]]&lt;=90,"High",Table22[[#This Row],[Units Sold]]&lt;=95,"Excellent",Table22[[#This Row],[Units Sold]]&gt;95,"Outstanding")</f>
        <v>Average</v>
      </c>
      <c r="N241" s="29">
        <v>1074.5</v>
      </c>
      <c r="O241" s="29">
        <v>85960</v>
      </c>
      <c r="P241" s="43">
        <f>IF(Table22[[#This Row],[Discount Applied]],Table22[[#This Row],[Total Sales (in USD)]]*(1-Table22[[#This Row],[Discount Percentage (%)]]/100),Table22[[#This Row],[Total Sales (in USD)]])</f>
        <v>85960</v>
      </c>
      <c r="Q241" s="66">
        <f>SQRT(AVERAGE((Table22[[#This Row],[Net Sales (after discount) (in USD)]]-AVERAGE(Table22[Net Sales (after discount) (in USD)]))^2))</f>
        <v>49448.639436235462</v>
      </c>
      <c r="R241" s="18" t="b">
        <v>0</v>
      </c>
      <c r="S241" s="40">
        <v>7</v>
      </c>
      <c r="T241" s="18" t="b">
        <v>0</v>
      </c>
      <c r="U241" s="25">
        <v>45068</v>
      </c>
      <c r="V241" s="63" t="str">
        <f>IF(MONTH(Table22[[#This Row],[Sales Date]])&lt;=3,"Q1",IF(MONTH(Table22[[#This Row],[Sales Date]])&lt;=6,"Q2",IF(MONTH(Table22[[#This Row],[Sales Date]])&lt;=9,"Q3","Q4")))</f>
        <v>Q2</v>
      </c>
      <c r="W241" s="64">
        <f>YEAR(Table22[[#This Row],[Sales Date]])</f>
        <v>2023</v>
      </c>
      <c r="X241" s="23">
        <v>67</v>
      </c>
      <c r="Y241" s="18" t="s">
        <v>41</v>
      </c>
      <c r="Z241" s="18" t="s">
        <v>56</v>
      </c>
      <c r="AA241" s="19" t="s">
        <v>25</v>
      </c>
    </row>
    <row r="242" spans="1:27" x14ac:dyDescent="0.25">
      <c r="A242" s="17" t="s">
        <v>960</v>
      </c>
      <c r="B242" s="18" t="s">
        <v>51</v>
      </c>
      <c r="C242" s="63" t="str" cm="1">
        <f t="array" ref="C242">_xlfn.SWITCH(Table22[[#This Row],[Country]],"USA","North America","Canada","North America","Brazil","South America","China","Asia","Japan","Asia","India","Asia","France","Europe","Germany","Europe","UK","Europe","Australia","Oceania","South America")</f>
        <v>Europe</v>
      </c>
      <c r="D242" s="18" t="s">
        <v>44</v>
      </c>
      <c r="E242" s="18" t="s">
        <v>39</v>
      </c>
      <c r="F242" s="18" t="s">
        <v>64</v>
      </c>
      <c r="G242" s="18" t="s">
        <v>48</v>
      </c>
      <c r="H242" s="64">
        <f>LEN(TRIM(Table22[[#This Row],[Country]]))</f>
        <v>2</v>
      </c>
      <c r="I242" s="64">
        <f>LEN(TRIM(Table22[[#This Row],[Continent]]))</f>
        <v>6</v>
      </c>
      <c r="J242" s="64">
        <f>LEN(TRIM(Table22[[#This Row],[Product]]))</f>
        <v>10</v>
      </c>
      <c r="K242" s="64">
        <f>LEN(TRIM(Table22[[#This Row],[Sales Team]]))</f>
        <v>9</v>
      </c>
      <c r="L242" s="23">
        <v>90</v>
      </c>
      <c r="M242" s="65" t="str" cm="1">
        <f t="array" ref="M242">_xlfn.IFS(Table22[[#This Row],[Units Sold]]&lt;40,"Critical",Table22[[#This Row],[Units Sold]]&lt;=50,"Poor",Table22[[#This Row],[Units Sold]]&lt;=60,"Low",Table22[[#This Row],[Units Sold]]&lt;=80,"Average",Table22[[#This Row],[Units Sold]]&lt;=90,"High",Table22[[#This Row],[Units Sold]]&lt;=95,"Excellent",Table22[[#This Row],[Units Sold]]&gt;95,"Outstanding")</f>
        <v>High</v>
      </c>
      <c r="N242" s="29">
        <v>953.92</v>
      </c>
      <c r="O242" s="29">
        <v>85852.800000000003</v>
      </c>
      <c r="P242" s="43">
        <f>IF(Table22[[#This Row],[Discount Applied]],Table22[[#This Row],[Total Sales (in USD)]]*(1-Table22[[#This Row],[Discount Percentage (%)]]/100),Table22[[#This Row],[Total Sales (in USD)]])</f>
        <v>85852.800000000003</v>
      </c>
      <c r="Q242" s="66">
        <f>SQRT(AVERAGE((Table22[[#This Row],[Net Sales (after discount) (in USD)]]-AVERAGE(Table22[Net Sales (after discount) (in USD)]))^2))</f>
        <v>49341.439436235465</v>
      </c>
      <c r="R242" s="18" t="b">
        <v>1</v>
      </c>
      <c r="S242" s="40">
        <v>8.9499999999999993</v>
      </c>
      <c r="T242" s="18" t="b">
        <v>0</v>
      </c>
      <c r="U242" s="25">
        <v>45392</v>
      </c>
      <c r="V242" s="63" t="str">
        <f>IF(MONTH(Table22[[#This Row],[Sales Date]])&lt;=3,"Q1",IF(MONTH(Table22[[#This Row],[Sales Date]])&lt;=6,"Q2",IF(MONTH(Table22[[#This Row],[Sales Date]])&lt;=9,"Q3","Q4")))</f>
        <v>Q2</v>
      </c>
      <c r="W242" s="64">
        <f>YEAR(Table22[[#This Row],[Sales Date]])</f>
        <v>2024</v>
      </c>
      <c r="X242" s="23">
        <v>34</v>
      </c>
      <c r="Y242" s="18" t="s">
        <v>41</v>
      </c>
      <c r="Z242" s="18" t="s">
        <v>30</v>
      </c>
      <c r="AA242" s="19" t="s">
        <v>36</v>
      </c>
    </row>
    <row r="243" spans="1:27" x14ac:dyDescent="0.25">
      <c r="A243" s="17" t="s">
        <v>17</v>
      </c>
      <c r="B243" s="18" t="s">
        <v>18</v>
      </c>
      <c r="C243" s="63" t="str" cm="1">
        <f t="array" ref="C243">_xlfn.SWITCH(Table22[[#This Row],[Country]],"USA","North America","Canada","North America","Brazil","South America","China","Asia","Japan","Asia","India","Asia","France","Europe","Germany","Europe","UK","Europe","Australia","Oceania","South America")</f>
        <v>Asia</v>
      </c>
      <c r="D243" s="18" t="s">
        <v>21</v>
      </c>
      <c r="E243" s="18" t="s">
        <v>19</v>
      </c>
      <c r="F243" s="18" t="s">
        <v>20</v>
      </c>
      <c r="G243" s="18" t="s">
        <v>22</v>
      </c>
      <c r="H243" s="64">
        <f>LEN(TRIM(Table22[[#This Row],[Country]]))</f>
        <v>5</v>
      </c>
      <c r="I243" s="64">
        <f>LEN(TRIM(Table22[[#This Row],[Continent]]))</f>
        <v>4</v>
      </c>
      <c r="J243" s="64">
        <f>LEN(TRIM(Table22[[#This Row],[Product]]))</f>
        <v>6</v>
      </c>
      <c r="K243" s="64">
        <f>LEN(TRIM(Table22[[#This Row],[Sales Team]]))</f>
        <v>10</v>
      </c>
      <c r="L243" s="23">
        <v>86</v>
      </c>
      <c r="M243" s="65" t="str" cm="1">
        <f t="array" ref="M243">_xlfn.IFS(Table22[[#This Row],[Units Sold]]&lt;40,"Critical",Table22[[#This Row],[Units Sold]]&lt;=50,"Poor",Table22[[#This Row],[Units Sold]]&lt;=60,"Low",Table22[[#This Row],[Units Sold]]&lt;=80,"Average",Table22[[#This Row],[Units Sold]]&lt;=90,"High",Table22[[#This Row],[Units Sold]]&lt;=95,"Excellent",Table22[[#This Row],[Units Sold]]&gt;95,"Outstanding")</f>
        <v>High</v>
      </c>
      <c r="N243" s="29">
        <v>997.27</v>
      </c>
      <c r="O243" s="29">
        <v>85765.22</v>
      </c>
      <c r="P243" s="43">
        <f>IF(Table22[[#This Row],[Discount Applied]],Table22[[#This Row],[Total Sales (in USD)]]*(1-Table22[[#This Row],[Discount Percentage (%)]]/100),Table22[[#This Row],[Total Sales (in USD)]])</f>
        <v>85765.22</v>
      </c>
      <c r="Q243" s="66">
        <f>SQRT(AVERAGE((Table22[[#This Row],[Net Sales (after discount) (in USD)]]-AVERAGE(Table22[Net Sales (after discount) (in USD)]))^2))</f>
        <v>49253.859436235463</v>
      </c>
      <c r="R243" s="18" t="b">
        <v>0</v>
      </c>
      <c r="S243" s="40">
        <v>25</v>
      </c>
      <c r="T243" s="18" t="b">
        <v>0</v>
      </c>
      <c r="U243" s="25">
        <v>45016</v>
      </c>
      <c r="V243" s="63" t="str">
        <f>IF(MONTH(Table22[[#This Row],[Sales Date]])&lt;=3,"Q1",IF(MONTH(Table22[[#This Row],[Sales Date]])&lt;=6,"Q2",IF(MONTH(Table22[[#This Row],[Sales Date]])&lt;=9,"Q3","Q4")))</f>
        <v>Q1</v>
      </c>
      <c r="W243" s="64">
        <f>YEAR(Table22[[#This Row],[Sales Date]])</f>
        <v>2023</v>
      </c>
      <c r="X243" s="23">
        <v>37</v>
      </c>
      <c r="Y243" s="18" t="s">
        <v>23</v>
      </c>
      <c r="Z243" s="18" t="s">
        <v>24</v>
      </c>
      <c r="AA243" s="19" t="s">
        <v>25</v>
      </c>
    </row>
    <row r="244" spans="1:27" x14ac:dyDescent="0.25">
      <c r="A244" s="17" t="s">
        <v>521</v>
      </c>
      <c r="B244" s="18" t="s">
        <v>76</v>
      </c>
      <c r="C244" s="63" t="str" cm="1">
        <f t="array" ref="C244">_xlfn.SWITCH(Table22[[#This Row],[Country]],"USA","North America","Canada","North America","Brazil","South America","China","Asia","Japan","Asia","India","Asia","France","Europe","Germany","Europe","UK","Europe","Australia","Oceania","South America")</f>
        <v>Asia</v>
      </c>
      <c r="D244" s="18" t="s">
        <v>21</v>
      </c>
      <c r="E244" s="18" t="s">
        <v>39</v>
      </c>
      <c r="F244" s="18" t="s">
        <v>47</v>
      </c>
      <c r="G244" s="18" t="s">
        <v>29</v>
      </c>
      <c r="H244" s="64">
        <f>LEN(TRIM(Table22[[#This Row],[Country]]))</f>
        <v>5</v>
      </c>
      <c r="I244" s="64">
        <f>LEN(TRIM(Table22[[#This Row],[Continent]]))</f>
        <v>4</v>
      </c>
      <c r="J244" s="64">
        <f>LEN(TRIM(Table22[[#This Row],[Product]]))</f>
        <v>10</v>
      </c>
      <c r="K244" s="64">
        <f>LEN(TRIM(Table22[[#This Row],[Sales Team]]))</f>
        <v>10</v>
      </c>
      <c r="L244" s="23">
        <v>63</v>
      </c>
      <c r="M244" s="65" t="str" cm="1">
        <f t="array" ref="M244">_xlfn.IFS(Table22[[#This Row],[Units Sold]]&lt;40,"Critical",Table22[[#This Row],[Units Sold]]&lt;=50,"Poor",Table22[[#This Row],[Units Sold]]&lt;=60,"Low",Table22[[#This Row],[Units Sold]]&lt;=80,"Average",Table22[[#This Row],[Units Sold]]&lt;=90,"High",Table22[[#This Row],[Units Sold]]&lt;=95,"Excellent",Table22[[#This Row],[Units Sold]]&gt;95,"Outstanding")</f>
        <v>Average</v>
      </c>
      <c r="N244" s="29">
        <v>1359.79</v>
      </c>
      <c r="O244" s="29">
        <v>85666.77</v>
      </c>
      <c r="P244" s="43">
        <f>IF(Table22[[#This Row],[Discount Applied]],Table22[[#This Row],[Total Sales (in USD)]]*(1-Table22[[#This Row],[Discount Percentage (%)]]/100),Table22[[#This Row],[Total Sales (in USD)]])</f>
        <v>85666.77</v>
      </c>
      <c r="Q244" s="66">
        <f>SQRT(AVERAGE((Table22[[#This Row],[Net Sales (after discount) (in USD)]]-AVERAGE(Table22[Net Sales (after discount) (in USD)]))^2))</f>
        <v>49155.409436235466</v>
      </c>
      <c r="R244" s="18" t="b">
        <v>1</v>
      </c>
      <c r="S244" s="40">
        <v>13.1</v>
      </c>
      <c r="T244" s="18" t="b">
        <v>0</v>
      </c>
      <c r="U244" s="25">
        <v>45294</v>
      </c>
      <c r="V244" s="63" t="str">
        <f>IF(MONTH(Table22[[#This Row],[Sales Date]])&lt;=3,"Q1",IF(MONTH(Table22[[#This Row],[Sales Date]])&lt;=6,"Q2",IF(MONTH(Table22[[#This Row],[Sales Date]])&lt;=9,"Q3","Q4")))</f>
        <v>Q1</v>
      </c>
      <c r="W244" s="64">
        <f>YEAR(Table22[[#This Row],[Sales Date]])</f>
        <v>2024</v>
      </c>
      <c r="X244" s="23">
        <v>34</v>
      </c>
      <c r="Y244" s="18" t="s">
        <v>23</v>
      </c>
      <c r="Z244" s="18" t="s">
        <v>42</v>
      </c>
      <c r="AA244" s="19" t="s">
        <v>25</v>
      </c>
    </row>
    <row r="245" spans="1:27" x14ac:dyDescent="0.25">
      <c r="A245" s="17" t="s">
        <v>1140</v>
      </c>
      <c r="B245" s="18" t="s">
        <v>51</v>
      </c>
      <c r="C245" s="63" t="str" cm="1">
        <f t="array" ref="C245">_xlfn.SWITCH(Table22[[#This Row],[Country]],"USA","North America","Canada","North America","Brazil","South America","China","Asia","Japan","Asia","India","Asia","France","Europe","Germany","Europe","UK","Europe","Australia","Oceania","South America")</f>
        <v>Europe</v>
      </c>
      <c r="D245" s="18" t="s">
        <v>35</v>
      </c>
      <c r="E245" s="18" t="s">
        <v>19</v>
      </c>
      <c r="F245" s="18" t="s">
        <v>34</v>
      </c>
      <c r="G245" s="18" t="s">
        <v>22</v>
      </c>
      <c r="H245" s="64">
        <f>LEN(TRIM(Table22[[#This Row],[Country]]))</f>
        <v>2</v>
      </c>
      <c r="I245" s="64">
        <f>LEN(TRIM(Table22[[#This Row],[Continent]]))</f>
        <v>6</v>
      </c>
      <c r="J245" s="64">
        <f>LEN(TRIM(Table22[[#This Row],[Product]]))</f>
        <v>6</v>
      </c>
      <c r="K245" s="64">
        <f>LEN(TRIM(Table22[[#This Row],[Sales Team]]))</f>
        <v>10</v>
      </c>
      <c r="L245" s="23">
        <v>65</v>
      </c>
      <c r="M245" s="65" t="str" cm="1">
        <f t="array" ref="M245">_xlfn.IFS(Table22[[#This Row],[Units Sold]]&lt;40,"Critical",Table22[[#This Row],[Units Sold]]&lt;=50,"Poor",Table22[[#This Row],[Units Sold]]&lt;=60,"Low",Table22[[#This Row],[Units Sold]]&lt;=80,"Average",Table22[[#This Row],[Units Sold]]&lt;=90,"High",Table22[[#This Row],[Units Sold]]&lt;=95,"Excellent",Table22[[#This Row],[Units Sold]]&gt;95,"Outstanding")</f>
        <v>Average</v>
      </c>
      <c r="N245" s="29">
        <v>1314.21</v>
      </c>
      <c r="O245" s="29">
        <v>85423.65</v>
      </c>
      <c r="P245" s="43">
        <f>IF(Table22[[#This Row],[Discount Applied]],Table22[[#This Row],[Total Sales (in USD)]]*(1-Table22[[#This Row],[Discount Percentage (%)]]/100),Table22[[#This Row],[Total Sales (in USD)]])</f>
        <v>68689.156965000002</v>
      </c>
      <c r="Q245" s="66">
        <f>SQRT(AVERAGE((Table22[[#This Row],[Net Sales (after discount) (in USD)]]-AVERAGE(Table22[Net Sales (after discount) (in USD)]))^2))</f>
        <v>32177.796401235464</v>
      </c>
      <c r="R245" s="18" t="b">
        <v>1</v>
      </c>
      <c r="S245" s="40">
        <v>19.59</v>
      </c>
      <c r="T245" s="18" t="b">
        <v>1</v>
      </c>
      <c r="U245" s="25">
        <v>44935</v>
      </c>
      <c r="V245" s="63" t="str">
        <f>IF(MONTH(Table22[[#This Row],[Sales Date]])&lt;=3,"Q1",IF(MONTH(Table22[[#This Row],[Sales Date]])&lt;=6,"Q2",IF(MONTH(Table22[[#This Row],[Sales Date]])&lt;=9,"Q3","Q4")))</f>
        <v>Q1</v>
      </c>
      <c r="W245" s="64">
        <f>YEAR(Table22[[#This Row],[Sales Date]])</f>
        <v>2023</v>
      </c>
      <c r="X245" s="23">
        <v>47</v>
      </c>
      <c r="Y245" s="18" t="s">
        <v>23</v>
      </c>
      <c r="Z245" s="18" t="s">
        <v>30</v>
      </c>
      <c r="AA245" s="19" t="s">
        <v>36</v>
      </c>
    </row>
    <row r="246" spans="1:27" x14ac:dyDescent="0.25">
      <c r="A246" s="17" t="s">
        <v>1524</v>
      </c>
      <c r="B246" s="18" t="s">
        <v>38</v>
      </c>
      <c r="C246" s="63" t="str" cm="1">
        <f t="array" ref="C246">_xlfn.SWITCH(Table22[[#This Row],[Country]],"USA","North America","Canada","North America","Brazil","South America","China","Asia","Japan","Asia","India","Asia","France","Europe","Germany","Europe","UK","Europe","Australia","Oceania","South America")</f>
        <v>Europe</v>
      </c>
      <c r="D246" s="18" t="s">
        <v>28</v>
      </c>
      <c r="E246" s="18" t="s">
        <v>39</v>
      </c>
      <c r="F246" s="18" t="s">
        <v>47</v>
      </c>
      <c r="G246" s="18" t="s">
        <v>48</v>
      </c>
      <c r="H246" s="64">
        <f>LEN(TRIM(Table22[[#This Row],[Country]]))</f>
        <v>6</v>
      </c>
      <c r="I246" s="64">
        <f>LEN(TRIM(Table22[[#This Row],[Continent]]))</f>
        <v>6</v>
      </c>
      <c r="J246" s="64">
        <f>LEN(TRIM(Table22[[#This Row],[Product]]))</f>
        <v>10</v>
      </c>
      <c r="K246" s="64">
        <f>LEN(TRIM(Table22[[#This Row],[Sales Team]]))</f>
        <v>9</v>
      </c>
      <c r="L246" s="23">
        <v>71</v>
      </c>
      <c r="M246" s="65" t="str" cm="1">
        <f t="array" ref="M246">_xlfn.IFS(Table22[[#This Row],[Units Sold]]&lt;40,"Critical",Table22[[#This Row],[Units Sold]]&lt;=50,"Poor",Table22[[#This Row],[Units Sold]]&lt;=60,"Low",Table22[[#This Row],[Units Sold]]&lt;=80,"Average",Table22[[#This Row],[Units Sold]]&lt;=90,"High",Table22[[#This Row],[Units Sold]]&lt;=95,"Excellent",Table22[[#This Row],[Units Sold]]&gt;95,"Outstanding")</f>
        <v>Average</v>
      </c>
      <c r="N246" s="29">
        <v>1203.06</v>
      </c>
      <c r="O246" s="29">
        <v>85417.26</v>
      </c>
      <c r="P246" s="43">
        <f>IF(Table22[[#This Row],[Discount Applied]],Table22[[#This Row],[Total Sales (in USD)]]*(1-Table22[[#This Row],[Discount Percentage (%)]]/100),Table22[[#This Row],[Total Sales (in USD)]])</f>
        <v>70281.321528</v>
      </c>
      <c r="Q246" s="66">
        <f>SQRT(AVERAGE((Table22[[#This Row],[Net Sales (after discount) (in USD)]]-AVERAGE(Table22[Net Sales (after discount) (in USD)]))^2))</f>
        <v>33769.960964235463</v>
      </c>
      <c r="R246" s="18" t="b">
        <v>1</v>
      </c>
      <c r="S246" s="40">
        <v>17.72</v>
      </c>
      <c r="T246" s="18" t="b">
        <v>1</v>
      </c>
      <c r="U246" s="25">
        <v>45404</v>
      </c>
      <c r="V246" s="63" t="str">
        <f>IF(MONTH(Table22[[#This Row],[Sales Date]])&lt;=3,"Q1",IF(MONTH(Table22[[#This Row],[Sales Date]])&lt;=6,"Q2",IF(MONTH(Table22[[#This Row],[Sales Date]])&lt;=9,"Q3","Q4")))</f>
        <v>Q2</v>
      </c>
      <c r="W246" s="64">
        <f>YEAR(Table22[[#This Row],[Sales Date]])</f>
        <v>2024</v>
      </c>
      <c r="X246" s="23">
        <v>60</v>
      </c>
      <c r="Y246" s="18" t="s">
        <v>41</v>
      </c>
      <c r="Z246" s="18" t="s">
        <v>42</v>
      </c>
      <c r="AA246" s="19" t="s">
        <v>36</v>
      </c>
    </row>
    <row r="247" spans="1:27" x14ac:dyDescent="0.25">
      <c r="A247" s="17" t="s">
        <v>1555</v>
      </c>
      <c r="B247" s="18" t="s">
        <v>27</v>
      </c>
      <c r="C247" s="63" t="str" cm="1">
        <f t="array" ref="C247">_xlfn.SWITCH(Table22[[#This Row],[Country]],"USA","North America","Canada","North America","Brazil","South America","China","Asia","Japan","Asia","India","Asia","France","Europe","Germany","Europe","UK","Europe","Australia","Oceania","South America")</f>
        <v>Europe</v>
      </c>
      <c r="D247" s="18" t="s">
        <v>21</v>
      </c>
      <c r="E247" s="18" t="s">
        <v>33</v>
      </c>
      <c r="F247" s="18" t="s">
        <v>20</v>
      </c>
      <c r="G247" s="18" t="s">
        <v>29</v>
      </c>
      <c r="H247" s="64">
        <f>LEN(TRIM(Table22[[#This Row],[Country]]))</f>
        <v>7</v>
      </c>
      <c r="I247" s="64">
        <f>LEN(TRIM(Table22[[#This Row],[Continent]]))</f>
        <v>6</v>
      </c>
      <c r="J247" s="64">
        <f>LEN(TRIM(Table22[[#This Row],[Product]]))</f>
        <v>10</v>
      </c>
      <c r="K247" s="64">
        <f>LEN(TRIM(Table22[[#This Row],[Sales Team]]))</f>
        <v>10</v>
      </c>
      <c r="L247" s="23">
        <v>90</v>
      </c>
      <c r="M247" s="65" t="str" cm="1">
        <f t="array" ref="M247">_xlfn.IFS(Table22[[#This Row],[Units Sold]]&lt;40,"Critical",Table22[[#This Row],[Units Sold]]&lt;=50,"Poor",Table22[[#This Row],[Units Sold]]&lt;=60,"Low",Table22[[#This Row],[Units Sold]]&lt;=80,"Average",Table22[[#This Row],[Units Sold]]&lt;=90,"High",Table22[[#This Row],[Units Sold]]&lt;=95,"Excellent",Table22[[#This Row],[Units Sold]]&gt;95,"Outstanding")</f>
        <v>High</v>
      </c>
      <c r="N247" s="29">
        <v>943.52</v>
      </c>
      <c r="O247" s="29">
        <v>84916.800000000003</v>
      </c>
      <c r="P247" s="43">
        <f>IF(Table22[[#This Row],[Discount Applied]],Table22[[#This Row],[Total Sales (in USD)]]*(1-Table22[[#This Row],[Discount Percentage (%)]]/100),Table22[[#This Row],[Total Sales (in USD)]])</f>
        <v>77011.045920000004</v>
      </c>
      <c r="Q247" s="66">
        <f>SQRT(AVERAGE((Table22[[#This Row],[Net Sales (after discount) (in USD)]]-AVERAGE(Table22[Net Sales (after discount) (in USD)]))^2))</f>
        <v>40499.685356235466</v>
      </c>
      <c r="R247" s="18" t="b">
        <v>1</v>
      </c>
      <c r="S247" s="40">
        <v>9.31</v>
      </c>
      <c r="T247" s="18" t="b">
        <v>1</v>
      </c>
      <c r="U247" s="25">
        <v>45297</v>
      </c>
      <c r="V247" s="63" t="str">
        <f>IF(MONTH(Table22[[#This Row],[Sales Date]])&lt;=3,"Q1",IF(MONTH(Table22[[#This Row],[Sales Date]])&lt;=6,"Q2",IF(MONTH(Table22[[#This Row],[Sales Date]])&lt;=9,"Q3","Q4")))</f>
        <v>Q1</v>
      </c>
      <c r="W247" s="64">
        <f>YEAR(Table22[[#This Row],[Sales Date]])</f>
        <v>2024</v>
      </c>
      <c r="X247" s="23">
        <v>20</v>
      </c>
      <c r="Y247" s="18" t="s">
        <v>23</v>
      </c>
      <c r="Z247" s="18" t="s">
        <v>42</v>
      </c>
      <c r="AA247" s="19" t="s">
        <v>36</v>
      </c>
    </row>
    <row r="248" spans="1:27" x14ac:dyDescent="0.25">
      <c r="A248" s="17" t="s">
        <v>1942</v>
      </c>
      <c r="B248" s="18" t="s">
        <v>66</v>
      </c>
      <c r="C248" s="63" t="str" cm="1">
        <f t="array" ref="C248">_xlfn.SWITCH(Table22[[#This Row],[Country]],"USA","North America","Canada","North America","Brazil","South America","China","Asia","Japan","Asia","India","Asia","France","Europe","Germany","Europe","UK","Europe","Australia","Oceania","South America")</f>
        <v>North America</v>
      </c>
      <c r="D248" s="18" t="s">
        <v>35</v>
      </c>
      <c r="E248" s="18" t="s">
        <v>19</v>
      </c>
      <c r="F248" s="18" t="s">
        <v>64</v>
      </c>
      <c r="G248" s="18" t="s">
        <v>40</v>
      </c>
      <c r="H248" s="64">
        <f>LEN(TRIM(Table22[[#This Row],[Country]]))</f>
        <v>6</v>
      </c>
      <c r="I248" s="64">
        <f>LEN(TRIM(Table22[[#This Row],[Continent]]))</f>
        <v>13</v>
      </c>
      <c r="J248" s="64">
        <f>LEN(TRIM(Table22[[#This Row],[Product]]))</f>
        <v>6</v>
      </c>
      <c r="K248" s="64">
        <f>LEN(TRIM(Table22[[#This Row],[Sales Team]]))</f>
        <v>10</v>
      </c>
      <c r="L248" s="23">
        <v>65</v>
      </c>
      <c r="M248" s="65" t="str" cm="1">
        <f t="array" ref="M248">_xlfn.IFS(Table22[[#This Row],[Units Sold]]&lt;40,"Critical",Table22[[#This Row],[Units Sold]]&lt;=50,"Poor",Table22[[#This Row],[Units Sold]]&lt;=60,"Low",Table22[[#This Row],[Units Sold]]&lt;=80,"Average",Table22[[#This Row],[Units Sold]]&lt;=90,"High",Table22[[#This Row],[Units Sold]]&lt;=95,"Excellent",Table22[[#This Row],[Units Sold]]&gt;95,"Outstanding")</f>
        <v>Average</v>
      </c>
      <c r="N248" s="29">
        <v>1304.3399999999999</v>
      </c>
      <c r="O248" s="29">
        <v>84782.1</v>
      </c>
      <c r="P248" s="43">
        <f>IF(Table22[[#This Row],[Discount Applied]],Table22[[#This Row],[Total Sales (in USD)]]*(1-Table22[[#This Row],[Discount Percentage (%)]]/100),Table22[[#This Row],[Total Sales (in USD)]])</f>
        <v>81687.553350000002</v>
      </c>
      <c r="Q248" s="66">
        <f>SQRT(AVERAGE((Table22[[#This Row],[Net Sales (after discount) (in USD)]]-AVERAGE(Table22[Net Sales (after discount) (in USD)]))^2))</f>
        <v>45176.192786235464</v>
      </c>
      <c r="R248" s="18" t="b">
        <v>1</v>
      </c>
      <c r="S248" s="40">
        <v>3.65</v>
      </c>
      <c r="T248" s="18" t="b">
        <v>1</v>
      </c>
      <c r="U248" s="25">
        <v>45349</v>
      </c>
      <c r="V248" s="63" t="str">
        <f>IF(MONTH(Table22[[#This Row],[Sales Date]])&lt;=3,"Q1",IF(MONTH(Table22[[#This Row],[Sales Date]])&lt;=6,"Q2",IF(MONTH(Table22[[#This Row],[Sales Date]])&lt;=9,"Q3","Q4")))</f>
        <v>Q1</v>
      </c>
      <c r="W248" s="64">
        <f>YEAR(Table22[[#This Row],[Sales Date]])</f>
        <v>2024</v>
      </c>
      <c r="X248" s="23">
        <v>32</v>
      </c>
      <c r="Y248" s="18" t="s">
        <v>23</v>
      </c>
      <c r="Z248" s="18" t="s">
        <v>24</v>
      </c>
      <c r="AA248" s="19" t="s">
        <v>25</v>
      </c>
    </row>
    <row r="249" spans="1:27" x14ac:dyDescent="0.25">
      <c r="A249" s="17" t="s">
        <v>744</v>
      </c>
      <c r="B249" s="18" t="s">
        <v>38</v>
      </c>
      <c r="C249" s="63" t="str" cm="1">
        <f t="array" ref="C249">_xlfn.SWITCH(Table22[[#This Row],[Country]],"USA","North America","Canada","North America","Brazil","South America","China","Asia","Japan","Asia","India","Asia","France","Europe","Germany","Europe","UK","Europe","Australia","Oceania","South America")</f>
        <v>Europe</v>
      </c>
      <c r="D249" s="18" t="s">
        <v>44</v>
      </c>
      <c r="E249" s="18" t="s">
        <v>39</v>
      </c>
      <c r="F249" s="18" t="s">
        <v>20</v>
      </c>
      <c r="G249" s="18" t="s">
        <v>40</v>
      </c>
      <c r="H249" s="64">
        <f>LEN(TRIM(Table22[[#This Row],[Country]]))</f>
        <v>6</v>
      </c>
      <c r="I249" s="64">
        <f>LEN(TRIM(Table22[[#This Row],[Continent]]))</f>
        <v>6</v>
      </c>
      <c r="J249" s="64">
        <f>LEN(TRIM(Table22[[#This Row],[Product]]))</f>
        <v>10</v>
      </c>
      <c r="K249" s="64">
        <f>LEN(TRIM(Table22[[#This Row],[Sales Team]]))</f>
        <v>10</v>
      </c>
      <c r="L249" s="23">
        <v>61</v>
      </c>
      <c r="M249" s="65" t="str" cm="1">
        <f t="array" ref="M249">_xlfn.IFS(Table22[[#This Row],[Units Sold]]&lt;40,"Critical",Table22[[#This Row],[Units Sold]]&lt;=50,"Poor",Table22[[#This Row],[Units Sold]]&lt;=60,"Low",Table22[[#This Row],[Units Sold]]&lt;=80,"Average",Table22[[#This Row],[Units Sold]]&lt;=90,"High",Table22[[#This Row],[Units Sold]]&lt;=95,"Excellent",Table22[[#This Row],[Units Sold]]&gt;95,"Outstanding")</f>
        <v>Average</v>
      </c>
      <c r="N249" s="29">
        <v>1388.25</v>
      </c>
      <c r="O249" s="29">
        <v>84683.25</v>
      </c>
      <c r="P249" s="43">
        <f>IF(Table22[[#This Row],[Discount Applied]],Table22[[#This Row],[Total Sales (in USD)]]*(1-Table22[[#This Row],[Discount Percentage (%)]]/100),Table22[[#This Row],[Total Sales (in USD)]])</f>
        <v>72023.104124999998</v>
      </c>
      <c r="Q249" s="66">
        <f>SQRT(AVERAGE((Table22[[#This Row],[Net Sales (after discount) (in USD)]]-AVERAGE(Table22[Net Sales (after discount) (in USD)]))^2))</f>
        <v>35511.74356123546</v>
      </c>
      <c r="R249" s="18" t="b">
        <v>0</v>
      </c>
      <c r="S249" s="40">
        <v>14.95</v>
      </c>
      <c r="T249" s="18" t="b">
        <v>1</v>
      </c>
      <c r="U249" s="25">
        <v>45094</v>
      </c>
      <c r="V249" s="63" t="str">
        <f>IF(MONTH(Table22[[#This Row],[Sales Date]])&lt;=3,"Q1",IF(MONTH(Table22[[#This Row],[Sales Date]])&lt;=6,"Q2",IF(MONTH(Table22[[#This Row],[Sales Date]])&lt;=9,"Q3","Q4")))</f>
        <v>Q2</v>
      </c>
      <c r="W249" s="64">
        <f>YEAR(Table22[[#This Row],[Sales Date]])</f>
        <v>2023</v>
      </c>
      <c r="X249" s="23">
        <v>47</v>
      </c>
      <c r="Y249" s="18" t="s">
        <v>49</v>
      </c>
      <c r="Z249" s="18" t="s">
        <v>24</v>
      </c>
      <c r="AA249" s="19" t="s">
        <v>36</v>
      </c>
    </row>
    <row r="250" spans="1:27" x14ac:dyDescent="0.25">
      <c r="A250" s="17" t="s">
        <v>1906</v>
      </c>
      <c r="B250" s="18" t="s">
        <v>27</v>
      </c>
      <c r="C250" s="63" t="str" cm="1">
        <f t="array" ref="C250">_xlfn.SWITCH(Table22[[#This Row],[Country]],"USA","North America","Canada","North America","Brazil","South America","China","Asia","Japan","Asia","India","Asia","France","Europe","Germany","Europe","UK","Europe","Australia","Oceania","South America")</f>
        <v>Europe</v>
      </c>
      <c r="D250" s="18" t="s">
        <v>44</v>
      </c>
      <c r="E250" s="18" t="s">
        <v>39</v>
      </c>
      <c r="F250" s="18" t="s">
        <v>47</v>
      </c>
      <c r="G250" s="18" t="s">
        <v>22</v>
      </c>
      <c r="H250" s="64">
        <f>LEN(TRIM(Table22[[#This Row],[Country]]))</f>
        <v>7</v>
      </c>
      <c r="I250" s="64">
        <f>LEN(TRIM(Table22[[#This Row],[Continent]]))</f>
        <v>6</v>
      </c>
      <c r="J250" s="64">
        <f>LEN(TRIM(Table22[[#This Row],[Product]]))</f>
        <v>10</v>
      </c>
      <c r="K250" s="64">
        <f>LEN(TRIM(Table22[[#This Row],[Sales Team]]))</f>
        <v>10</v>
      </c>
      <c r="L250" s="23">
        <v>81</v>
      </c>
      <c r="M250" s="65" t="str" cm="1">
        <f t="array" ref="M250">_xlfn.IFS(Table22[[#This Row],[Units Sold]]&lt;40,"Critical",Table22[[#This Row],[Units Sold]]&lt;=50,"Poor",Table22[[#This Row],[Units Sold]]&lt;=60,"Low",Table22[[#This Row],[Units Sold]]&lt;=80,"Average",Table22[[#This Row],[Units Sold]]&lt;=90,"High",Table22[[#This Row],[Units Sold]]&lt;=95,"Excellent",Table22[[#This Row],[Units Sold]]&gt;95,"Outstanding")</f>
        <v>High</v>
      </c>
      <c r="N250" s="29">
        <v>1044.28</v>
      </c>
      <c r="O250" s="29">
        <v>84586.68</v>
      </c>
      <c r="P250" s="43">
        <f>IF(Table22[[#This Row],[Discount Applied]],Table22[[#This Row],[Total Sales (in USD)]]*(1-Table22[[#This Row],[Discount Percentage (%)]]/100),Table22[[#This Row],[Total Sales (in USD)]])</f>
        <v>84586.68</v>
      </c>
      <c r="Q250" s="66">
        <f>SQRT(AVERAGE((Table22[[#This Row],[Net Sales (after discount) (in USD)]]-AVERAGE(Table22[Net Sales (after discount) (in USD)]))^2))</f>
        <v>48075.319436235455</v>
      </c>
      <c r="R250" s="18" t="b">
        <v>1</v>
      </c>
      <c r="S250" s="40">
        <v>20.5</v>
      </c>
      <c r="T250" s="18" t="b">
        <v>0</v>
      </c>
      <c r="U250" s="25">
        <v>45201</v>
      </c>
      <c r="V250" s="63" t="str">
        <f>IF(MONTH(Table22[[#This Row],[Sales Date]])&lt;=3,"Q1",IF(MONTH(Table22[[#This Row],[Sales Date]])&lt;=6,"Q2",IF(MONTH(Table22[[#This Row],[Sales Date]])&lt;=9,"Q3","Q4")))</f>
        <v>Q4</v>
      </c>
      <c r="W250" s="64">
        <f>YEAR(Table22[[#This Row],[Sales Date]])</f>
        <v>2023</v>
      </c>
      <c r="X250" s="23">
        <v>31</v>
      </c>
      <c r="Y250" s="18" t="s">
        <v>23</v>
      </c>
      <c r="Z250" s="18" t="s">
        <v>56</v>
      </c>
      <c r="AA250" s="19" t="s">
        <v>36</v>
      </c>
    </row>
    <row r="251" spans="1:27" x14ac:dyDescent="0.25">
      <c r="A251" s="17" t="s">
        <v>1566</v>
      </c>
      <c r="B251" s="18" t="s">
        <v>32</v>
      </c>
      <c r="C251" s="63" t="str" cm="1">
        <f t="array" ref="C251">_xlfn.SWITCH(Table22[[#This Row],[Country]],"USA","North America","Canada","North America","Brazil","South America","China","Asia","Japan","Asia","India","Asia","France","Europe","Germany","Europe","UK","Europe","Australia","Oceania","South America")</f>
        <v>Asia</v>
      </c>
      <c r="D251" s="18" t="s">
        <v>35</v>
      </c>
      <c r="E251" s="18" t="s">
        <v>19</v>
      </c>
      <c r="F251" s="18" t="s">
        <v>47</v>
      </c>
      <c r="G251" s="18" t="s">
        <v>22</v>
      </c>
      <c r="H251" s="64">
        <f>LEN(TRIM(Table22[[#This Row],[Country]]))</f>
        <v>5</v>
      </c>
      <c r="I251" s="64">
        <f>LEN(TRIM(Table22[[#This Row],[Continent]]))</f>
        <v>4</v>
      </c>
      <c r="J251" s="64">
        <f>LEN(TRIM(Table22[[#This Row],[Product]]))</f>
        <v>6</v>
      </c>
      <c r="K251" s="64">
        <f>LEN(TRIM(Table22[[#This Row],[Sales Team]]))</f>
        <v>10</v>
      </c>
      <c r="L251" s="23">
        <v>62</v>
      </c>
      <c r="M251" s="65" t="str" cm="1">
        <f t="array" ref="M251">_xlfn.IFS(Table22[[#This Row],[Units Sold]]&lt;40,"Critical",Table22[[#This Row],[Units Sold]]&lt;=50,"Poor",Table22[[#This Row],[Units Sold]]&lt;=60,"Low",Table22[[#This Row],[Units Sold]]&lt;=80,"Average",Table22[[#This Row],[Units Sold]]&lt;=90,"High",Table22[[#This Row],[Units Sold]]&lt;=95,"Excellent",Table22[[#This Row],[Units Sold]]&gt;95,"Outstanding")</f>
        <v>Average</v>
      </c>
      <c r="N251" s="29">
        <v>1364.27</v>
      </c>
      <c r="O251" s="29">
        <v>84584.74</v>
      </c>
      <c r="P251" s="43">
        <f>IF(Table22[[#This Row],[Discount Applied]],Table22[[#This Row],[Total Sales (in USD)]]*(1-Table22[[#This Row],[Discount Percentage (%)]]/100),Table22[[#This Row],[Total Sales (in USD)]])</f>
        <v>74840.577952000007</v>
      </c>
      <c r="Q251" s="66">
        <f>SQRT(AVERAGE((Table22[[#This Row],[Net Sales (after discount) (in USD)]]-AVERAGE(Table22[Net Sales (after discount) (in USD)]))^2))</f>
        <v>38329.217388235469</v>
      </c>
      <c r="R251" s="18" t="b">
        <v>0</v>
      </c>
      <c r="S251" s="40">
        <v>11.52</v>
      </c>
      <c r="T251" s="18" t="b">
        <v>1</v>
      </c>
      <c r="U251" s="25">
        <v>45597</v>
      </c>
      <c r="V251" s="63" t="str">
        <f>IF(MONTH(Table22[[#This Row],[Sales Date]])&lt;=3,"Q1",IF(MONTH(Table22[[#This Row],[Sales Date]])&lt;=6,"Q2",IF(MONTH(Table22[[#This Row],[Sales Date]])&lt;=9,"Q3","Q4")))</f>
        <v>Q4</v>
      </c>
      <c r="W251" s="64">
        <f>YEAR(Table22[[#This Row],[Sales Date]])</f>
        <v>2024</v>
      </c>
      <c r="X251" s="23">
        <v>41</v>
      </c>
      <c r="Y251" s="18" t="s">
        <v>23</v>
      </c>
      <c r="Z251" s="18" t="s">
        <v>24</v>
      </c>
      <c r="AA251" s="19" t="s">
        <v>36</v>
      </c>
    </row>
    <row r="252" spans="1:27" x14ac:dyDescent="0.25">
      <c r="A252" s="17" t="s">
        <v>1454</v>
      </c>
      <c r="B252" s="18" t="s">
        <v>38</v>
      </c>
      <c r="C252" s="63" t="str" cm="1">
        <f t="array" ref="C252">_xlfn.SWITCH(Table22[[#This Row],[Country]],"USA","North America","Canada","North America","Brazil","South America","China","Asia","Japan","Asia","India","Asia","France","Europe","Germany","Europe","UK","Europe","Australia","Oceania","South America")</f>
        <v>Europe</v>
      </c>
      <c r="D252" s="18" t="s">
        <v>21</v>
      </c>
      <c r="E252" s="18" t="s">
        <v>33</v>
      </c>
      <c r="F252" s="18" t="s">
        <v>20</v>
      </c>
      <c r="G252" s="18" t="s">
        <v>40</v>
      </c>
      <c r="H252" s="64">
        <f>LEN(TRIM(Table22[[#This Row],[Country]]))</f>
        <v>6</v>
      </c>
      <c r="I252" s="64">
        <f>LEN(TRIM(Table22[[#This Row],[Continent]]))</f>
        <v>6</v>
      </c>
      <c r="J252" s="64">
        <f>LEN(TRIM(Table22[[#This Row],[Product]]))</f>
        <v>10</v>
      </c>
      <c r="K252" s="64">
        <f>LEN(TRIM(Table22[[#This Row],[Sales Team]]))</f>
        <v>10</v>
      </c>
      <c r="L252" s="23">
        <v>87</v>
      </c>
      <c r="M252" s="65" t="str" cm="1">
        <f t="array" ref="M252">_xlfn.IFS(Table22[[#This Row],[Units Sold]]&lt;40,"Critical",Table22[[#This Row],[Units Sold]]&lt;=50,"Poor",Table22[[#This Row],[Units Sold]]&lt;=60,"Low",Table22[[#This Row],[Units Sold]]&lt;=80,"Average",Table22[[#This Row],[Units Sold]]&lt;=90,"High",Table22[[#This Row],[Units Sold]]&lt;=95,"Excellent",Table22[[#This Row],[Units Sold]]&gt;95,"Outstanding")</f>
        <v>High</v>
      </c>
      <c r="N252" s="29">
        <v>970.08</v>
      </c>
      <c r="O252" s="29">
        <v>84396.96</v>
      </c>
      <c r="P252" s="43">
        <f>IF(Table22[[#This Row],[Discount Applied]],Table22[[#This Row],[Total Sales (in USD)]]*(1-Table22[[#This Row],[Discount Percentage (%)]]/100),Table22[[#This Row],[Total Sales (in USD)]])</f>
        <v>84396.96</v>
      </c>
      <c r="Q252" s="66">
        <f>SQRT(AVERAGE((Table22[[#This Row],[Net Sales (after discount) (in USD)]]-AVERAGE(Table22[Net Sales (after discount) (in USD)]))^2))</f>
        <v>47885.599436235469</v>
      </c>
      <c r="R252" s="18" t="b">
        <v>1</v>
      </c>
      <c r="S252" s="40">
        <v>11.09</v>
      </c>
      <c r="T252" s="18" t="b">
        <v>0</v>
      </c>
      <c r="U252" s="25">
        <v>45454</v>
      </c>
      <c r="V252" s="63" t="str">
        <f>IF(MONTH(Table22[[#This Row],[Sales Date]])&lt;=3,"Q1",IF(MONTH(Table22[[#This Row],[Sales Date]])&lt;=6,"Q2",IF(MONTH(Table22[[#This Row],[Sales Date]])&lt;=9,"Q3","Q4")))</f>
        <v>Q2</v>
      </c>
      <c r="W252" s="64">
        <f>YEAR(Table22[[#This Row],[Sales Date]])</f>
        <v>2024</v>
      </c>
      <c r="X252" s="23">
        <v>53</v>
      </c>
      <c r="Y252" s="18" t="s">
        <v>23</v>
      </c>
      <c r="Z252" s="18" t="s">
        <v>24</v>
      </c>
      <c r="AA252" s="19" t="s">
        <v>25</v>
      </c>
    </row>
    <row r="253" spans="1:27" x14ac:dyDescent="0.25">
      <c r="A253" s="17" t="s">
        <v>1424</v>
      </c>
      <c r="B253" s="18" t="s">
        <v>76</v>
      </c>
      <c r="C253" s="63" t="str" cm="1">
        <f t="array" ref="C253">_xlfn.SWITCH(Table22[[#This Row],[Country]],"USA","North America","Canada","North America","Brazil","South America","China","Asia","Japan","Asia","India","Asia","France","Europe","Germany","Europe","UK","Europe","Australia","Oceania","South America")</f>
        <v>Asia</v>
      </c>
      <c r="D253" s="18" t="s">
        <v>21</v>
      </c>
      <c r="E253" s="18" t="s">
        <v>33</v>
      </c>
      <c r="F253" s="18" t="s">
        <v>47</v>
      </c>
      <c r="G253" s="18" t="s">
        <v>22</v>
      </c>
      <c r="H253" s="64">
        <f>LEN(TRIM(Table22[[#This Row],[Country]]))</f>
        <v>5</v>
      </c>
      <c r="I253" s="64">
        <f>LEN(TRIM(Table22[[#This Row],[Continent]]))</f>
        <v>4</v>
      </c>
      <c r="J253" s="64">
        <f>LEN(TRIM(Table22[[#This Row],[Product]]))</f>
        <v>10</v>
      </c>
      <c r="K253" s="64">
        <f>LEN(TRIM(Table22[[#This Row],[Sales Team]]))</f>
        <v>10</v>
      </c>
      <c r="L253" s="23">
        <v>67</v>
      </c>
      <c r="M253" s="65" t="str" cm="1">
        <f t="array" ref="M253">_xlfn.IFS(Table22[[#This Row],[Units Sold]]&lt;40,"Critical",Table22[[#This Row],[Units Sold]]&lt;=50,"Poor",Table22[[#This Row],[Units Sold]]&lt;=60,"Low",Table22[[#This Row],[Units Sold]]&lt;=80,"Average",Table22[[#This Row],[Units Sold]]&lt;=90,"High",Table22[[#This Row],[Units Sold]]&lt;=95,"Excellent",Table22[[#This Row],[Units Sold]]&gt;95,"Outstanding")</f>
        <v>Average</v>
      </c>
      <c r="N253" s="29">
        <v>1256.05</v>
      </c>
      <c r="O253" s="29">
        <v>84155.35</v>
      </c>
      <c r="P253" s="43">
        <f>IF(Table22[[#This Row],[Discount Applied]],Table22[[#This Row],[Total Sales (in USD)]]*(1-Table22[[#This Row],[Discount Percentage (%)]]/100),Table22[[#This Row],[Total Sales (in USD)]])</f>
        <v>73030.012730000002</v>
      </c>
      <c r="Q253" s="66">
        <f>SQRT(AVERAGE((Table22[[#This Row],[Net Sales (after discount) (in USD)]]-AVERAGE(Table22[Net Sales (after discount) (in USD)]))^2))</f>
        <v>36518.652166235464</v>
      </c>
      <c r="R253" s="18" t="b">
        <v>1</v>
      </c>
      <c r="S253" s="40">
        <v>13.22</v>
      </c>
      <c r="T253" s="18" t="b">
        <v>1</v>
      </c>
      <c r="U253" s="25">
        <v>45438</v>
      </c>
      <c r="V253" s="63" t="str">
        <f>IF(MONTH(Table22[[#This Row],[Sales Date]])&lt;=3,"Q1",IF(MONTH(Table22[[#This Row],[Sales Date]])&lt;=6,"Q2",IF(MONTH(Table22[[#This Row],[Sales Date]])&lt;=9,"Q3","Q4")))</f>
        <v>Q2</v>
      </c>
      <c r="W253" s="64">
        <f>YEAR(Table22[[#This Row],[Sales Date]])</f>
        <v>2024</v>
      </c>
      <c r="X253" s="23">
        <v>20</v>
      </c>
      <c r="Y253" s="18" t="s">
        <v>23</v>
      </c>
      <c r="Z253" s="18" t="s">
        <v>42</v>
      </c>
      <c r="AA253" s="19" t="s">
        <v>25</v>
      </c>
    </row>
    <row r="254" spans="1:27" x14ac:dyDescent="0.25">
      <c r="A254" s="17" t="s">
        <v>1603</v>
      </c>
      <c r="B254" s="18" t="s">
        <v>46</v>
      </c>
      <c r="C254" s="63" t="str" cm="1">
        <f t="array" ref="C254">_xlfn.SWITCH(Table22[[#This Row],[Country]],"USA","North America","Canada","North America","Brazil","South America","China","Asia","Japan","Asia","India","Asia","France","Europe","Germany","Europe","UK","Europe","Australia","Oceania","South America")</f>
        <v>South America</v>
      </c>
      <c r="D254" s="18" t="s">
        <v>44</v>
      </c>
      <c r="E254" s="18" t="s">
        <v>33</v>
      </c>
      <c r="F254" s="18" t="s">
        <v>47</v>
      </c>
      <c r="G254" s="18" t="s">
        <v>29</v>
      </c>
      <c r="H254" s="64">
        <f>LEN(TRIM(Table22[[#This Row],[Country]]))</f>
        <v>6</v>
      </c>
      <c r="I254" s="64">
        <f>LEN(TRIM(Table22[[#This Row],[Continent]]))</f>
        <v>13</v>
      </c>
      <c r="J254" s="64">
        <f>LEN(TRIM(Table22[[#This Row],[Product]]))</f>
        <v>10</v>
      </c>
      <c r="K254" s="64">
        <f>LEN(TRIM(Table22[[#This Row],[Sales Team]]))</f>
        <v>10</v>
      </c>
      <c r="L254" s="23">
        <v>89</v>
      </c>
      <c r="M254" s="65" t="str" cm="1">
        <f t="array" ref="M254">_xlfn.IFS(Table22[[#This Row],[Units Sold]]&lt;40,"Critical",Table22[[#This Row],[Units Sold]]&lt;=50,"Poor",Table22[[#This Row],[Units Sold]]&lt;=60,"Low",Table22[[#This Row],[Units Sold]]&lt;=80,"Average",Table22[[#This Row],[Units Sold]]&lt;=90,"High",Table22[[#This Row],[Units Sold]]&lt;=95,"Excellent",Table22[[#This Row],[Units Sold]]&gt;95,"Outstanding")</f>
        <v>High</v>
      </c>
      <c r="N254" s="29">
        <v>942.08</v>
      </c>
      <c r="O254" s="29">
        <v>83845.119999999995</v>
      </c>
      <c r="P254" s="43">
        <f>IF(Table22[[#This Row],[Discount Applied]],Table22[[#This Row],[Total Sales (in USD)]]*(1-Table22[[#This Row],[Discount Percentage (%)]]/100),Table22[[#This Row],[Total Sales (in USD)]])</f>
        <v>71150.968831999999</v>
      </c>
      <c r="Q254" s="66">
        <f>SQRT(AVERAGE((Table22[[#This Row],[Net Sales (after discount) (in USD)]]-AVERAGE(Table22[Net Sales (after discount) (in USD)]))^2))</f>
        <v>34639.608268235461</v>
      </c>
      <c r="R254" s="18" t="b">
        <v>1</v>
      </c>
      <c r="S254" s="40">
        <v>15.14</v>
      </c>
      <c r="T254" s="18" t="b">
        <v>1</v>
      </c>
      <c r="U254" s="25">
        <v>45023</v>
      </c>
      <c r="V254" s="63" t="str">
        <f>IF(MONTH(Table22[[#This Row],[Sales Date]])&lt;=3,"Q1",IF(MONTH(Table22[[#This Row],[Sales Date]])&lt;=6,"Q2",IF(MONTH(Table22[[#This Row],[Sales Date]])&lt;=9,"Q3","Q4")))</f>
        <v>Q2</v>
      </c>
      <c r="W254" s="64">
        <f>YEAR(Table22[[#This Row],[Sales Date]])</f>
        <v>2023</v>
      </c>
      <c r="X254" s="23">
        <v>19</v>
      </c>
      <c r="Y254" s="18" t="s">
        <v>23</v>
      </c>
      <c r="Z254" s="18" t="s">
        <v>42</v>
      </c>
      <c r="AA254" s="19" t="s">
        <v>25</v>
      </c>
    </row>
    <row r="255" spans="1:27" x14ac:dyDescent="0.25">
      <c r="A255" s="17" t="s">
        <v>1695</v>
      </c>
      <c r="B255" s="18" t="s">
        <v>66</v>
      </c>
      <c r="C255" s="63" t="str" cm="1">
        <f t="array" ref="C255">_xlfn.SWITCH(Table22[[#This Row],[Country]],"USA","North America","Canada","North America","Brazil","South America","China","Asia","Japan","Asia","India","Asia","France","Europe","Germany","Europe","UK","Europe","Australia","Oceania","South America")</f>
        <v>North America</v>
      </c>
      <c r="D255" s="18" t="s">
        <v>28</v>
      </c>
      <c r="E255" s="18" t="s">
        <v>19</v>
      </c>
      <c r="F255" s="18" t="s">
        <v>64</v>
      </c>
      <c r="G255" s="18" t="s">
        <v>40</v>
      </c>
      <c r="H255" s="64">
        <f>LEN(TRIM(Table22[[#This Row],[Country]]))</f>
        <v>6</v>
      </c>
      <c r="I255" s="64">
        <f>LEN(TRIM(Table22[[#This Row],[Continent]]))</f>
        <v>13</v>
      </c>
      <c r="J255" s="64">
        <f>LEN(TRIM(Table22[[#This Row],[Product]]))</f>
        <v>6</v>
      </c>
      <c r="K255" s="64">
        <f>LEN(TRIM(Table22[[#This Row],[Sales Team]]))</f>
        <v>10</v>
      </c>
      <c r="L255" s="23">
        <v>83</v>
      </c>
      <c r="M255" s="65" t="str" cm="1">
        <f t="array" ref="M255">_xlfn.IFS(Table22[[#This Row],[Units Sold]]&lt;40,"Critical",Table22[[#This Row],[Units Sold]]&lt;=50,"Poor",Table22[[#This Row],[Units Sold]]&lt;=60,"Low",Table22[[#This Row],[Units Sold]]&lt;=80,"Average",Table22[[#This Row],[Units Sold]]&lt;=90,"High",Table22[[#This Row],[Units Sold]]&lt;=95,"Excellent",Table22[[#This Row],[Units Sold]]&gt;95,"Outstanding")</f>
        <v>High</v>
      </c>
      <c r="N255" s="29">
        <v>1009.6</v>
      </c>
      <c r="O255" s="29">
        <v>83796.800000000003</v>
      </c>
      <c r="P255" s="43">
        <f>IF(Table22[[#This Row],[Discount Applied]],Table22[[#This Row],[Total Sales (in USD)]]*(1-Table22[[#This Row],[Discount Percentage (%)]]/100),Table22[[#This Row],[Total Sales (in USD)]])</f>
        <v>77026.018560000011</v>
      </c>
      <c r="Q255" s="66">
        <f>SQRT(AVERAGE((Table22[[#This Row],[Net Sales (after discount) (in USD)]]-AVERAGE(Table22[Net Sales (after discount) (in USD)]))^2))</f>
        <v>40514.657996235474</v>
      </c>
      <c r="R255" s="18" t="b">
        <v>1</v>
      </c>
      <c r="S255" s="40">
        <v>8.08</v>
      </c>
      <c r="T255" s="18" t="b">
        <v>1</v>
      </c>
      <c r="U255" s="25">
        <v>45444</v>
      </c>
      <c r="V255" s="63" t="str">
        <f>IF(MONTH(Table22[[#This Row],[Sales Date]])&lt;=3,"Q1",IF(MONTH(Table22[[#This Row],[Sales Date]])&lt;=6,"Q2",IF(MONTH(Table22[[#This Row],[Sales Date]])&lt;=9,"Q3","Q4")))</f>
        <v>Q2</v>
      </c>
      <c r="W255" s="64">
        <f>YEAR(Table22[[#This Row],[Sales Date]])</f>
        <v>2024</v>
      </c>
      <c r="X255" s="23">
        <v>64</v>
      </c>
      <c r="Y255" s="18" t="s">
        <v>23</v>
      </c>
      <c r="Z255" s="18" t="s">
        <v>42</v>
      </c>
      <c r="AA255" s="19" t="s">
        <v>36</v>
      </c>
    </row>
    <row r="256" spans="1:27" x14ac:dyDescent="0.25">
      <c r="A256" s="17" t="s">
        <v>366</v>
      </c>
      <c r="B256" s="18" t="s">
        <v>62</v>
      </c>
      <c r="C256" s="63" t="str" cm="1">
        <f t="array" ref="C256">_xlfn.SWITCH(Table22[[#This Row],[Country]],"USA","North America","Canada","North America","Brazil","South America","China","Asia","Japan","Asia","India","Asia","France","Europe","Germany","Europe","UK","Europe","Australia","Oceania","South America")</f>
        <v>Oceania</v>
      </c>
      <c r="D256" s="18" t="s">
        <v>21</v>
      </c>
      <c r="E256" s="18" t="s">
        <v>39</v>
      </c>
      <c r="F256" s="18" t="s">
        <v>47</v>
      </c>
      <c r="G256" s="18" t="s">
        <v>29</v>
      </c>
      <c r="H256" s="64">
        <f>LEN(TRIM(Table22[[#This Row],[Country]]))</f>
        <v>9</v>
      </c>
      <c r="I256" s="64">
        <f>LEN(TRIM(Table22[[#This Row],[Continent]]))</f>
        <v>7</v>
      </c>
      <c r="J256" s="64">
        <f>LEN(TRIM(Table22[[#This Row],[Product]]))</f>
        <v>10</v>
      </c>
      <c r="K256" s="64">
        <f>LEN(TRIM(Table22[[#This Row],[Sales Team]]))</f>
        <v>10</v>
      </c>
      <c r="L256" s="23">
        <v>97</v>
      </c>
      <c r="M256" s="65" t="str" cm="1">
        <f t="array" ref="M256">_xlfn.IFS(Table22[[#This Row],[Units Sold]]&lt;40,"Critical",Table22[[#This Row],[Units Sold]]&lt;=50,"Poor",Table22[[#This Row],[Units Sold]]&lt;=60,"Low",Table22[[#This Row],[Units Sold]]&lt;=80,"Average",Table22[[#This Row],[Units Sold]]&lt;=90,"High",Table22[[#This Row],[Units Sold]]&lt;=95,"Excellent",Table22[[#This Row],[Units Sold]]&gt;95,"Outstanding")</f>
        <v>Outstanding</v>
      </c>
      <c r="N256" s="29">
        <v>863.67</v>
      </c>
      <c r="O256" s="29">
        <v>83775.990000000005</v>
      </c>
      <c r="P256" s="43">
        <f>IF(Table22[[#This Row],[Discount Applied]],Table22[[#This Row],[Total Sales (in USD)]]*(1-Table22[[#This Row],[Discount Percentage (%)]]/100),Table22[[#This Row],[Total Sales (in USD)]])</f>
        <v>83775.990000000005</v>
      </c>
      <c r="Q256" s="66">
        <f>SQRT(AVERAGE((Table22[[#This Row],[Net Sales (after discount) (in USD)]]-AVERAGE(Table22[Net Sales (after discount) (in USD)]))^2))</f>
        <v>47264.629436235467</v>
      </c>
      <c r="R256" s="18" t="b">
        <v>0</v>
      </c>
      <c r="S256" s="40">
        <v>9.8000000000000007</v>
      </c>
      <c r="T256" s="18" t="b">
        <v>0</v>
      </c>
      <c r="U256" s="25">
        <v>45394</v>
      </c>
      <c r="V256" s="63" t="str">
        <f>IF(MONTH(Table22[[#This Row],[Sales Date]])&lt;=3,"Q1",IF(MONTH(Table22[[#This Row],[Sales Date]])&lt;=6,"Q2",IF(MONTH(Table22[[#This Row],[Sales Date]])&lt;=9,"Q3","Q4")))</f>
        <v>Q2</v>
      </c>
      <c r="W256" s="64">
        <f>YEAR(Table22[[#This Row],[Sales Date]])</f>
        <v>2024</v>
      </c>
      <c r="X256" s="23">
        <v>38</v>
      </c>
      <c r="Y256" s="18" t="s">
        <v>49</v>
      </c>
      <c r="Z256" s="18" t="s">
        <v>24</v>
      </c>
      <c r="AA256" s="19" t="s">
        <v>25</v>
      </c>
    </row>
    <row r="257" spans="1:27" x14ac:dyDescent="0.25">
      <c r="A257" s="17" t="s">
        <v>1321</v>
      </c>
      <c r="B257" s="18" t="s">
        <v>38</v>
      </c>
      <c r="C257" s="63" t="str" cm="1">
        <f t="array" ref="C257">_xlfn.SWITCH(Table22[[#This Row],[Country]],"USA","North America","Canada","North America","Brazil","South America","China","Asia","Japan","Asia","India","Asia","France","Europe","Germany","Europe","UK","Europe","Australia","Oceania","South America")</f>
        <v>Europe</v>
      </c>
      <c r="D257" s="18" t="s">
        <v>44</v>
      </c>
      <c r="E257" s="18" t="s">
        <v>19</v>
      </c>
      <c r="F257" s="18" t="s">
        <v>34</v>
      </c>
      <c r="G257" s="18" t="s">
        <v>22</v>
      </c>
      <c r="H257" s="64">
        <f>LEN(TRIM(Table22[[#This Row],[Country]]))</f>
        <v>6</v>
      </c>
      <c r="I257" s="64">
        <f>LEN(TRIM(Table22[[#This Row],[Continent]]))</f>
        <v>6</v>
      </c>
      <c r="J257" s="64">
        <f>LEN(TRIM(Table22[[#This Row],[Product]]))</f>
        <v>6</v>
      </c>
      <c r="K257" s="64">
        <f>LEN(TRIM(Table22[[#This Row],[Sales Team]]))</f>
        <v>10</v>
      </c>
      <c r="L257" s="23">
        <v>65</v>
      </c>
      <c r="M257" s="65" t="str" cm="1">
        <f t="array" ref="M257">_xlfn.IFS(Table22[[#This Row],[Units Sold]]&lt;40,"Critical",Table22[[#This Row],[Units Sold]]&lt;=50,"Poor",Table22[[#This Row],[Units Sold]]&lt;=60,"Low",Table22[[#This Row],[Units Sold]]&lt;=80,"Average",Table22[[#This Row],[Units Sold]]&lt;=90,"High",Table22[[#This Row],[Units Sold]]&lt;=95,"Excellent",Table22[[#This Row],[Units Sold]]&gt;95,"Outstanding")</f>
        <v>Average</v>
      </c>
      <c r="N257" s="29">
        <v>1288.32</v>
      </c>
      <c r="O257" s="29">
        <v>83740.800000000003</v>
      </c>
      <c r="P257" s="43">
        <f>IF(Table22[[#This Row],[Discount Applied]],Table22[[#This Row],[Total Sales (in USD)]]*(1-Table22[[#This Row],[Discount Percentage (%)]]/100),Table22[[#This Row],[Total Sales (in USD)]])</f>
        <v>83740.800000000003</v>
      </c>
      <c r="Q257" s="66">
        <f>SQRT(AVERAGE((Table22[[#This Row],[Net Sales (after discount) (in USD)]]-AVERAGE(Table22[Net Sales (after discount) (in USD)]))^2))</f>
        <v>47229.439436235465</v>
      </c>
      <c r="R257" s="18" t="b">
        <v>1</v>
      </c>
      <c r="S257" s="40">
        <v>18.309999999999999</v>
      </c>
      <c r="T257" s="18" t="b">
        <v>0</v>
      </c>
      <c r="U257" s="25">
        <v>45544</v>
      </c>
      <c r="V257" s="63" t="str">
        <f>IF(MONTH(Table22[[#This Row],[Sales Date]])&lt;=3,"Q1",IF(MONTH(Table22[[#This Row],[Sales Date]])&lt;=6,"Q2",IF(MONTH(Table22[[#This Row],[Sales Date]])&lt;=9,"Q3","Q4")))</f>
        <v>Q3</v>
      </c>
      <c r="W257" s="64">
        <f>YEAR(Table22[[#This Row],[Sales Date]])</f>
        <v>2024</v>
      </c>
      <c r="X257" s="23">
        <v>25</v>
      </c>
      <c r="Y257" s="18" t="s">
        <v>41</v>
      </c>
      <c r="Z257" s="18" t="s">
        <v>56</v>
      </c>
      <c r="AA257" s="19" t="s">
        <v>36</v>
      </c>
    </row>
    <row r="258" spans="1:27" x14ac:dyDescent="0.25">
      <c r="A258" s="17" t="s">
        <v>1540</v>
      </c>
      <c r="B258" s="18" t="s">
        <v>72</v>
      </c>
      <c r="C258" s="63" t="str" cm="1">
        <f t="array" ref="C258">_xlfn.SWITCH(Table22[[#This Row],[Country]],"USA","North America","Canada","North America","Brazil","South America","China","Asia","Japan","Asia","India","Asia","France","Europe","Germany","Europe","UK","Europe","Australia","Oceania","South America")</f>
        <v>North America</v>
      </c>
      <c r="D258" s="18" t="s">
        <v>35</v>
      </c>
      <c r="E258" s="18" t="s">
        <v>39</v>
      </c>
      <c r="F258" s="18" t="s">
        <v>52</v>
      </c>
      <c r="G258" s="18" t="s">
        <v>22</v>
      </c>
      <c r="H258" s="64">
        <f>LEN(TRIM(Table22[[#This Row],[Country]]))</f>
        <v>3</v>
      </c>
      <c r="I258" s="64">
        <f>LEN(TRIM(Table22[[#This Row],[Continent]]))</f>
        <v>13</v>
      </c>
      <c r="J258" s="64">
        <f>LEN(TRIM(Table22[[#This Row],[Product]]))</f>
        <v>10</v>
      </c>
      <c r="K258" s="64">
        <f>LEN(TRIM(Table22[[#This Row],[Sales Team]]))</f>
        <v>10</v>
      </c>
      <c r="L258" s="23">
        <v>72</v>
      </c>
      <c r="M258" s="65" t="str" cm="1">
        <f t="array" ref="M258">_xlfn.IFS(Table22[[#This Row],[Units Sold]]&lt;40,"Critical",Table22[[#This Row],[Units Sold]]&lt;=50,"Poor",Table22[[#This Row],[Units Sold]]&lt;=60,"Low",Table22[[#This Row],[Units Sold]]&lt;=80,"Average",Table22[[#This Row],[Units Sold]]&lt;=90,"High",Table22[[#This Row],[Units Sold]]&lt;=95,"Excellent",Table22[[#This Row],[Units Sold]]&gt;95,"Outstanding")</f>
        <v>Average</v>
      </c>
      <c r="N258" s="29">
        <v>1160.1300000000001</v>
      </c>
      <c r="O258" s="29">
        <v>83529.36</v>
      </c>
      <c r="P258" s="43">
        <f>IF(Table22[[#This Row],[Discount Applied]],Table22[[#This Row],[Total Sales (in USD)]]*(1-Table22[[#This Row],[Discount Percentage (%)]]/100),Table22[[#This Row],[Total Sales (in USD)]])</f>
        <v>61168.550327999998</v>
      </c>
      <c r="Q258" s="66">
        <f>SQRT(AVERAGE((Table22[[#This Row],[Net Sales (after discount) (in USD)]]-AVERAGE(Table22[Net Sales (after discount) (in USD)]))^2))</f>
        <v>24657.18976423546</v>
      </c>
      <c r="R258" s="18" t="b">
        <v>1</v>
      </c>
      <c r="S258" s="40">
        <v>26.77</v>
      </c>
      <c r="T258" s="18" t="b">
        <v>1</v>
      </c>
      <c r="U258" s="25">
        <v>45499</v>
      </c>
      <c r="V258" s="63" t="str">
        <f>IF(MONTH(Table22[[#This Row],[Sales Date]])&lt;=3,"Q1",IF(MONTH(Table22[[#This Row],[Sales Date]])&lt;=6,"Q2",IF(MONTH(Table22[[#This Row],[Sales Date]])&lt;=9,"Q3","Q4")))</f>
        <v>Q3</v>
      </c>
      <c r="W258" s="64">
        <f>YEAR(Table22[[#This Row],[Sales Date]])</f>
        <v>2024</v>
      </c>
      <c r="X258" s="23">
        <v>45</v>
      </c>
      <c r="Y258" s="18" t="s">
        <v>41</v>
      </c>
      <c r="Z258" s="18" t="s">
        <v>42</v>
      </c>
      <c r="AA258" s="19" t="s">
        <v>25</v>
      </c>
    </row>
    <row r="259" spans="1:27" x14ac:dyDescent="0.25">
      <c r="A259" s="17" t="s">
        <v>630</v>
      </c>
      <c r="B259" s="18" t="s">
        <v>76</v>
      </c>
      <c r="C259" s="63" t="str" cm="1">
        <f t="array" ref="C259">_xlfn.SWITCH(Table22[[#This Row],[Country]],"USA","North America","Canada","North America","Brazil","South America","China","Asia","Japan","Asia","India","Asia","France","Europe","Germany","Europe","UK","Europe","Australia","Oceania","South America")</f>
        <v>Asia</v>
      </c>
      <c r="D259" s="18" t="s">
        <v>35</v>
      </c>
      <c r="E259" s="18" t="s">
        <v>33</v>
      </c>
      <c r="F259" s="18" t="s">
        <v>52</v>
      </c>
      <c r="G259" s="18" t="s">
        <v>22</v>
      </c>
      <c r="H259" s="64">
        <f>LEN(TRIM(Table22[[#This Row],[Country]]))</f>
        <v>5</v>
      </c>
      <c r="I259" s="64">
        <f>LEN(TRIM(Table22[[#This Row],[Continent]]))</f>
        <v>4</v>
      </c>
      <c r="J259" s="64">
        <f>LEN(TRIM(Table22[[#This Row],[Product]]))</f>
        <v>10</v>
      </c>
      <c r="K259" s="64">
        <f>LEN(TRIM(Table22[[#This Row],[Sales Team]]))</f>
        <v>10</v>
      </c>
      <c r="L259" s="23">
        <v>94</v>
      </c>
      <c r="M259" s="65" t="str" cm="1">
        <f t="array" ref="M259">_xlfn.IFS(Table22[[#This Row],[Units Sold]]&lt;40,"Critical",Table22[[#This Row],[Units Sold]]&lt;=50,"Poor",Table22[[#This Row],[Units Sold]]&lt;=60,"Low",Table22[[#This Row],[Units Sold]]&lt;=80,"Average",Table22[[#This Row],[Units Sold]]&lt;=90,"High",Table22[[#This Row],[Units Sold]]&lt;=95,"Excellent",Table22[[#This Row],[Units Sold]]&gt;95,"Outstanding")</f>
        <v>Excellent</v>
      </c>
      <c r="N259" s="29">
        <v>887.61</v>
      </c>
      <c r="O259" s="29">
        <v>83435.34</v>
      </c>
      <c r="P259" s="43">
        <f>IF(Table22[[#This Row],[Discount Applied]],Table22[[#This Row],[Total Sales (in USD)]]*(1-Table22[[#This Row],[Discount Percentage (%)]]/100),Table22[[#This Row],[Total Sales (in USD)]])</f>
        <v>66147.537551999994</v>
      </c>
      <c r="Q259" s="66">
        <f>SQRT(AVERAGE((Table22[[#This Row],[Net Sales (after discount) (in USD)]]-AVERAGE(Table22[Net Sales (after discount) (in USD)]))^2))</f>
        <v>29636.176988235457</v>
      </c>
      <c r="R259" s="18" t="b">
        <v>1</v>
      </c>
      <c r="S259" s="40">
        <v>20.72</v>
      </c>
      <c r="T259" s="18" t="b">
        <v>1</v>
      </c>
      <c r="U259" s="25">
        <v>45593</v>
      </c>
      <c r="V259" s="63" t="str">
        <f>IF(MONTH(Table22[[#This Row],[Sales Date]])&lt;=3,"Q1",IF(MONTH(Table22[[#This Row],[Sales Date]])&lt;=6,"Q2",IF(MONTH(Table22[[#This Row],[Sales Date]])&lt;=9,"Q3","Q4")))</f>
        <v>Q4</v>
      </c>
      <c r="W259" s="64">
        <f>YEAR(Table22[[#This Row],[Sales Date]])</f>
        <v>2024</v>
      </c>
      <c r="X259" s="23">
        <v>36</v>
      </c>
      <c r="Y259" s="18" t="s">
        <v>41</v>
      </c>
      <c r="Z259" s="18" t="s">
        <v>24</v>
      </c>
      <c r="AA259" s="19" t="s">
        <v>25</v>
      </c>
    </row>
    <row r="260" spans="1:27" x14ac:dyDescent="0.25">
      <c r="A260" s="17" t="s">
        <v>581</v>
      </c>
      <c r="B260" s="18" t="s">
        <v>46</v>
      </c>
      <c r="C260" s="63" t="str" cm="1">
        <f t="array" ref="C260">_xlfn.SWITCH(Table22[[#This Row],[Country]],"USA","North America","Canada","North America","Brazil","South America","China","Asia","Japan","Asia","India","Asia","France","Europe","Germany","Europe","UK","Europe","Australia","Oceania","South America")</f>
        <v>South America</v>
      </c>
      <c r="D260" s="18" t="s">
        <v>35</v>
      </c>
      <c r="E260" s="18" t="s">
        <v>39</v>
      </c>
      <c r="F260" s="18" t="s">
        <v>34</v>
      </c>
      <c r="G260" s="18" t="s">
        <v>40</v>
      </c>
      <c r="H260" s="64">
        <f>LEN(TRIM(Table22[[#This Row],[Country]]))</f>
        <v>6</v>
      </c>
      <c r="I260" s="64">
        <f>LEN(TRIM(Table22[[#This Row],[Continent]]))</f>
        <v>13</v>
      </c>
      <c r="J260" s="64">
        <f>LEN(TRIM(Table22[[#This Row],[Product]]))</f>
        <v>10</v>
      </c>
      <c r="K260" s="64">
        <f>LEN(TRIM(Table22[[#This Row],[Sales Team]]))</f>
        <v>10</v>
      </c>
      <c r="L260" s="23">
        <v>75</v>
      </c>
      <c r="M260" s="65" t="str" cm="1">
        <f t="array" ref="M260">_xlfn.IFS(Table22[[#This Row],[Units Sold]]&lt;40,"Critical",Table22[[#This Row],[Units Sold]]&lt;=50,"Poor",Table22[[#This Row],[Units Sold]]&lt;=60,"Low",Table22[[#This Row],[Units Sold]]&lt;=80,"Average",Table22[[#This Row],[Units Sold]]&lt;=90,"High",Table22[[#This Row],[Units Sold]]&lt;=95,"Excellent",Table22[[#This Row],[Units Sold]]&gt;95,"Outstanding")</f>
        <v>Average</v>
      </c>
      <c r="N260" s="29">
        <v>1110.27</v>
      </c>
      <c r="O260" s="29">
        <v>83270.25</v>
      </c>
      <c r="P260" s="43">
        <f>IF(Table22[[#This Row],[Discount Applied]],Table22[[#This Row],[Total Sales (in USD)]]*(1-Table22[[#This Row],[Discount Percentage (%)]]/100),Table22[[#This Row],[Total Sales (in USD)]])</f>
        <v>59013.626174999998</v>
      </c>
      <c r="Q260" s="66">
        <f>SQRT(AVERAGE((Table22[[#This Row],[Net Sales (after discount) (in USD)]]-AVERAGE(Table22[Net Sales (after discount) (in USD)]))^2))</f>
        <v>22502.26561123546</v>
      </c>
      <c r="R260" s="18" t="b">
        <v>0</v>
      </c>
      <c r="S260" s="40">
        <v>29.13</v>
      </c>
      <c r="T260" s="18" t="b">
        <v>1</v>
      </c>
      <c r="U260" s="25">
        <v>45584</v>
      </c>
      <c r="V260" s="63" t="str">
        <f>IF(MONTH(Table22[[#This Row],[Sales Date]])&lt;=3,"Q1",IF(MONTH(Table22[[#This Row],[Sales Date]])&lt;=6,"Q2",IF(MONTH(Table22[[#This Row],[Sales Date]])&lt;=9,"Q3","Q4")))</f>
        <v>Q4</v>
      </c>
      <c r="W260" s="64">
        <f>YEAR(Table22[[#This Row],[Sales Date]])</f>
        <v>2024</v>
      </c>
      <c r="X260" s="23">
        <v>27</v>
      </c>
      <c r="Y260" s="18" t="s">
        <v>49</v>
      </c>
      <c r="Z260" s="18" t="s">
        <v>56</v>
      </c>
      <c r="AA260" s="19" t="s">
        <v>36</v>
      </c>
    </row>
    <row r="261" spans="1:27" x14ac:dyDescent="0.25">
      <c r="A261" s="17" t="s">
        <v>1449</v>
      </c>
      <c r="B261" s="18" t="s">
        <v>72</v>
      </c>
      <c r="C261" s="63" t="str" cm="1">
        <f t="array" ref="C261">_xlfn.SWITCH(Table22[[#This Row],[Country]],"USA","North America","Canada","North America","Brazil","South America","China","Asia","Japan","Asia","India","Asia","France","Europe","Germany","Europe","UK","Europe","Australia","Oceania","South America")</f>
        <v>North America</v>
      </c>
      <c r="D261" s="18" t="s">
        <v>35</v>
      </c>
      <c r="E261" s="18" t="s">
        <v>33</v>
      </c>
      <c r="F261" s="18" t="s">
        <v>20</v>
      </c>
      <c r="G261" s="18" t="s">
        <v>48</v>
      </c>
      <c r="H261" s="64">
        <f>LEN(TRIM(Table22[[#This Row],[Country]]))</f>
        <v>3</v>
      </c>
      <c r="I261" s="64">
        <f>LEN(TRIM(Table22[[#This Row],[Continent]]))</f>
        <v>13</v>
      </c>
      <c r="J261" s="64">
        <f>LEN(TRIM(Table22[[#This Row],[Product]]))</f>
        <v>10</v>
      </c>
      <c r="K261" s="64">
        <f>LEN(TRIM(Table22[[#This Row],[Sales Team]]))</f>
        <v>9</v>
      </c>
      <c r="L261" s="23">
        <v>91</v>
      </c>
      <c r="M261" s="65" t="str" cm="1">
        <f t="array" ref="M261">_xlfn.IFS(Table22[[#This Row],[Units Sold]]&lt;40,"Critical",Table22[[#This Row],[Units Sold]]&lt;=50,"Poor",Table22[[#This Row],[Units Sold]]&lt;=60,"Low",Table22[[#This Row],[Units Sold]]&lt;=80,"Average",Table22[[#This Row],[Units Sold]]&lt;=90,"High",Table22[[#This Row],[Units Sold]]&lt;=95,"Excellent",Table22[[#This Row],[Units Sold]]&gt;95,"Outstanding")</f>
        <v>Excellent</v>
      </c>
      <c r="N261" s="29">
        <v>914.95</v>
      </c>
      <c r="O261" s="29">
        <v>83260.45</v>
      </c>
      <c r="P261" s="43">
        <f>IF(Table22[[#This Row],[Discount Applied]],Table22[[#This Row],[Total Sales (in USD)]]*(1-Table22[[#This Row],[Discount Percentage (%)]]/100),Table22[[#This Row],[Total Sales (in USD)]])</f>
        <v>83260.45</v>
      </c>
      <c r="Q261" s="66">
        <f>SQRT(AVERAGE((Table22[[#This Row],[Net Sales (after discount) (in USD)]]-AVERAGE(Table22[Net Sales (after discount) (in USD)]))^2))</f>
        <v>46749.089436235459</v>
      </c>
      <c r="R261" s="18" t="b">
        <v>1</v>
      </c>
      <c r="S261" s="40">
        <v>3.06</v>
      </c>
      <c r="T261" s="18" t="b">
        <v>0</v>
      </c>
      <c r="U261" s="25">
        <v>45264</v>
      </c>
      <c r="V261" s="63" t="str">
        <f>IF(MONTH(Table22[[#This Row],[Sales Date]])&lt;=3,"Q1",IF(MONTH(Table22[[#This Row],[Sales Date]])&lt;=6,"Q2",IF(MONTH(Table22[[#This Row],[Sales Date]])&lt;=9,"Q3","Q4")))</f>
        <v>Q4</v>
      </c>
      <c r="W261" s="64">
        <f>YEAR(Table22[[#This Row],[Sales Date]])</f>
        <v>2023</v>
      </c>
      <c r="X261" s="23">
        <v>58</v>
      </c>
      <c r="Y261" s="18" t="s">
        <v>23</v>
      </c>
      <c r="Z261" s="18" t="s">
        <v>24</v>
      </c>
      <c r="AA261" s="19" t="s">
        <v>36</v>
      </c>
    </row>
    <row r="262" spans="1:27" x14ac:dyDescent="0.25">
      <c r="A262" s="17" t="s">
        <v>1116</v>
      </c>
      <c r="B262" s="18" t="s">
        <v>66</v>
      </c>
      <c r="C262" s="63" t="str" cm="1">
        <f t="array" ref="C262">_xlfn.SWITCH(Table22[[#This Row],[Country]],"USA","North America","Canada","North America","Brazil","South America","China","Asia","Japan","Asia","India","Asia","France","Europe","Germany","Europe","UK","Europe","Australia","Oceania","South America")</f>
        <v>North America</v>
      </c>
      <c r="D262" s="18" t="s">
        <v>21</v>
      </c>
      <c r="E262" s="18" t="s">
        <v>19</v>
      </c>
      <c r="F262" s="18" t="s">
        <v>20</v>
      </c>
      <c r="G262" s="18" t="s">
        <v>48</v>
      </c>
      <c r="H262" s="64">
        <f>LEN(TRIM(Table22[[#This Row],[Country]]))</f>
        <v>6</v>
      </c>
      <c r="I262" s="64">
        <f>LEN(TRIM(Table22[[#This Row],[Continent]]))</f>
        <v>13</v>
      </c>
      <c r="J262" s="64">
        <f>LEN(TRIM(Table22[[#This Row],[Product]]))</f>
        <v>6</v>
      </c>
      <c r="K262" s="64">
        <f>LEN(TRIM(Table22[[#This Row],[Sales Team]]))</f>
        <v>9</v>
      </c>
      <c r="L262" s="23">
        <v>59</v>
      </c>
      <c r="M262" s="65" t="str" cm="1">
        <f t="array" ref="M262">_xlfn.IFS(Table22[[#This Row],[Units Sold]]&lt;40,"Critical",Table22[[#This Row],[Units Sold]]&lt;=50,"Poor",Table22[[#This Row],[Units Sold]]&lt;=60,"Low",Table22[[#This Row],[Units Sold]]&lt;=80,"Average",Table22[[#This Row],[Units Sold]]&lt;=90,"High",Table22[[#This Row],[Units Sold]]&lt;=95,"Excellent",Table22[[#This Row],[Units Sold]]&gt;95,"Outstanding")</f>
        <v>Low</v>
      </c>
      <c r="N262" s="29">
        <v>1410.62</v>
      </c>
      <c r="O262" s="29">
        <v>83226.58</v>
      </c>
      <c r="P262" s="43">
        <f>IF(Table22[[#This Row],[Discount Applied]],Table22[[#This Row],[Total Sales (in USD)]]*(1-Table22[[#This Row],[Discount Percentage (%)]]/100),Table22[[#This Row],[Total Sales (in USD)]])</f>
        <v>83226.58</v>
      </c>
      <c r="Q262" s="66">
        <f>SQRT(AVERAGE((Table22[[#This Row],[Net Sales (after discount) (in USD)]]-AVERAGE(Table22[Net Sales (after discount) (in USD)]))^2))</f>
        <v>46715.219436235464</v>
      </c>
      <c r="R262" s="18" t="b">
        <v>0</v>
      </c>
      <c r="S262" s="40">
        <v>28.8</v>
      </c>
      <c r="T262" s="18" t="b">
        <v>0</v>
      </c>
      <c r="U262" s="25">
        <v>44954</v>
      </c>
      <c r="V262" s="63" t="str">
        <f>IF(MONTH(Table22[[#This Row],[Sales Date]])&lt;=3,"Q1",IF(MONTH(Table22[[#This Row],[Sales Date]])&lt;=6,"Q2",IF(MONTH(Table22[[#This Row],[Sales Date]])&lt;=9,"Q3","Q4")))</f>
        <v>Q1</v>
      </c>
      <c r="W262" s="64">
        <f>YEAR(Table22[[#This Row],[Sales Date]])</f>
        <v>2023</v>
      </c>
      <c r="X262" s="23">
        <v>23</v>
      </c>
      <c r="Y262" s="18" t="s">
        <v>49</v>
      </c>
      <c r="Z262" s="18" t="s">
        <v>24</v>
      </c>
      <c r="AA262" s="19" t="s">
        <v>36</v>
      </c>
    </row>
    <row r="263" spans="1:27" x14ac:dyDescent="0.25">
      <c r="A263" s="17" t="s">
        <v>1066</v>
      </c>
      <c r="B263" s="18" t="s">
        <v>32</v>
      </c>
      <c r="C263" s="63" t="str" cm="1">
        <f t="array" ref="C263">_xlfn.SWITCH(Table22[[#This Row],[Country]],"USA","North America","Canada","North America","Brazil","South America","China","Asia","Japan","Asia","India","Asia","France","Europe","Germany","Europe","UK","Europe","Australia","Oceania","South America")</f>
        <v>Asia</v>
      </c>
      <c r="D263" s="18" t="s">
        <v>44</v>
      </c>
      <c r="E263" s="18" t="s">
        <v>19</v>
      </c>
      <c r="F263" s="18" t="s">
        <v>34</v>
      </c>
      <c r="G263" s="18" t="s">
        <v>29</v>
      </c>
      <c r="H263" s="64">
        <f>LEN(TRIM(Table22[[#This Row],[Country]]))</f>
        <v>5</v>
      </c>
      <c r="I263" s="64">
        <f>LEN(TRIM(Table22[[#This Row],[Continent]]))</f>
        <v>4</v>
      </c>
      <c r="J263" s="64">
        <f>LEN(TRIM(Table22[[#This Row],[Product]]))</f>
        <v>6</v>
      </c>
      <c r="K263" s="64">
        <f>LEN(TRIM(Table22[[#This Row],[Sales Team]]))</f>
        <v>10</v>
      </c>
      <c r="L263" s="23">
        <v>83</v>
      </c>
      <c r="M263" s="65" t="str" cm="1">
        <f t="array" ref="M263">_xlfn.IFS(Table22[[#This Row],[Units Sold]]&lt;40,"Critical",Table22[[#This Row],[Units Sold]]&lt;=50,"Poor",Table22[[#This Row],[Units Sold]]&lt;=60,"Low",Table22[[#This Row],[Units Sold]]&lt;=80,"Average",Table22[[#This Row],[Units Sold]]&lt;=90,"High",Table22[[#This Row],[Units Sold]]&lt;=95,"Excellent",Table22[[#This Row],[Units Sold]]&gt;95,"Outstanding")</f>
        <v>High</v>
      </c>
      <c r="N263" s="29">
        <v>1000.35</v>
      </c>
      <c r="O263" s="29">
        <v>83029.05</v>
      </c>
      <c r="P263" s="43">
        <f>IF(Table22[[#This Row],[Discount Applied]],Table22[[#This Row],[Total Sales (in USD)]]*(1-Table22[[#This Row],[Discount Percentage (%)]]/100),Table22[[#This Row],[Total Sales (in USD)]])</f>
        <v>83029.05</v>
      </c>
      <c r="Q263" s="66">
        <f>SQRT(AVERAGE((Table22[[#This Row],[Net Sales (after discount) (in USD)]]-AVERAGE(Table22[Net Sales (after discount) (in USD)]))^2))</f>
        <v>46517.689436235465</v>
      </c>
      <c r="R263" s="18" t="b">
        <v>0</v>
      </c>
      <c r="S263" s="40">
        <v>5.19</v>
      </c>
      <c r="T263" s="18" t="b">
        <v>0</v>
      </c>
      <c r="U263" s="25">
        <v>45339</v>
      </c>
      <c r="V263" s="63" t="str">
        <f>IF(MONTH(Table22[[#This Row],[Sales Date]])&lt;=3,"Q1",IF(MONTH(Table22[[#This Row],[Sales Date]])&lt;=6,"Q2",IF(MONTH(Table22[[#This Row],[Sales Date]])&lt;=9,"Q3","Q4")))</f>
        <v>Q1</v>
      </c>
      <c r="W263" s="64">
        <f>YEAR(Table22[[#This Row],[Sales Date]])</f>
        <v>2024</v>
      </c>
      <c r="X263" s="23">
        <v>24</v>
      </c>
      <c r="Y263" s="18" t="s">
        <v>49</v>
      </c>
      <c r="Z263" s="18" t="s">
        <v>30</v>
      </c>
      <c r="AA263" s="19" t="s">
        <v>25</v>
      </c>
    </row>
    <row r="264" spans="1:27" x14ac:dyDescent="0.25">
      <c r="A264" s="17" t="s">
        <v>453</v>
      </c>
      <c r="B264" s="18" t="s">
        <v>72</v>
      </c>
      <c r="C264" s="63" t="str" cm="1">
        <f t="array" ref="C264">_xlfn.SWITCH(Table22[[#This Row],[Country]],"USA","North America","Canada","North America","Brazil","South America","China","Asia","Japan","Asia","India","Asia","France","Europe","Germany","Europe","UK","Europe","Australia","Oceania","South America")</f>
        <v>North America</v>
      </c>
      <c r="D264" s="18" t="s">
        <v>35</v>
      </c>
      <c r="E264" s="18" t="s">
        <v>33</v>
      </c>
      <c r="F264" s="18" t="s">
        <v>52</v>
      </c>
      <c r="G264" s="18" t="s">
        <v>29</v>
      </c>
      <c r="H264" s="64">
        <f>LEN(TRIM(Table22[[#This Row],[Country]]))</f>
        <v>3</v>
      </c>
      <c r="I264" s="64">
        <f>LEN(TRIM(Table22[[#This Row],[Continent]]))</f>
        <v>13</v>
      </c>
      <c r="J264" s="64">
        <f>LEN(TRIM(Table22[[#This Row],[Product]]))</f>
        <v>10</v>
      </c>
      <c r="K264" s="64">
        <f>LEN(TRIM(Table22[[#This Row],[Sales Team]]))</f>
        <v>10</v>
      </c>
      <c r="L264" s="23">
        <v>75</v>
      </c>
      <c r="M264" s="65" t="str" cm="1">
        <f t="array" ref="M264">_xlfn.IFS(Table22[[#This Row],[Units Sold]]&lt;40,"Critical",Table22[[#This Row],[Units Sold]]&lt;=50,"Poor",Table22[[#This Row],[Units Sold]]&lt;=60,"Low",Table22[[#This Row],[Units Sold]]&lt;=80,"Average",Table22[[#This Row],[Units Sold]]&lt;=90,"High",Table22[[#This Row],[Units Sold]]&lt;=95,"Excellent",Table22[[#This Row],[Units Sold]]&gt;95,"Outstanding")</f>
        <v>Average</v>
      </c>
      <c r="N264" s="29">
        <v>1103.58</v>
      </c>
      <c r="O264" s="29">
        <v>82768.5</v>
      </c>
      <c r="P264" s="43">
        <f>IF(Table22[[#This Row],[Discount Applied]],Table22[[#This Row],[Total Sales (in USD)]]*(1-Table22[[#This Row],[Discount Percentage (%)]]/100),Table22[[#This Row],[Total Sales (in USD)]])</f>
        <v>82768.5</v>
      </c>
      <c r="Q264" s="66">
        <f>SQRT(AVERAGE((Table22[[#This Row],[Net Sales (after discount) (in USD)]]-AVERAGE(Table22[Net Sales (after discount) (in USD)]))^2))</f>
        <v>46257.139436235462</v>
      </c>
      <c r="R264" s="18" t="b">
        <v>0</v>
      </c>
      <c r="S264" s="40">
        <v>12.96</v>
      </c>
      <c r="T264" s="18" t="b">
        <v>0</v>
      </c>
      <c r="U264" s="25">
        <v>44967</v>
      </c>
      <c r="V264" s="63" t="str">
        <f>IF(MONTH(Table22[[#This Row],[Sales Date]])&lt;=3,"Q1",IF(MONTH(Table22[[#This Row],[Sales Date]])&lt;=6,"Q2",IF(MONTH(Table22[[#This Row],[Sales Date]])&lt;=9,"Q3","Q4")))</f>
        <v>Q1</v>
      </c>
      <c r="W264" s="64">
        <f>YEAR(Table22[[#This Row],[Sales Date]])</f>
        <v>2023</v>
      </c>
      <c r="X264" s="23">
        <v>48</v>
      </c>
      <c r="Y264" s="18" t="s">
        <v>41</v>
      </c>
      <c r="Z264" s="18" t="s">
        <v>42</v>
      </c>
      <c r="AA264" s="19" t="s">
        <v>25</v>
      </c>
    </row>
    <row r="265" spans="1:27" x14ac:dyDescent="0.25">
      <c r="A265" s="17" t="s">
        <v>1953</v>
      </c>
      <c r="B265" s="18" t="s">
        <v>66</v>
      </c>
      <c r="C265" s="63" t="str" cm="1">
        <f t="array" ref="C265">_xlfn.SWITCH(Table22[[#This Row],[Country]],"USA","North America","Canada","North America","Brazil","South America","China","Asia","Japan","Asia","India","Asia","France","Europe","Germany","Europe","UK","Europe","Australia","Oceania","South America")</f>
        <v>North America</v>
      </c>
      <c r="D265" s="18" t="s">
        <v>28</v>
      </c>
      <c r="E265" s="18" t="s">
        <v>19</v>
      </c>
      <c r="F265" s="18" t="s">
        <v>20</v>
      </c>
      <c r="G265" s="18" t="s">
        <v>40</v>
      </c>
      <c r="H265" s="64">
        <f>LEN(TRIM(Table22[[#This Row],[Country]]))</f>
        <v>6</v>
      </c>
      <c r="I265" s="64">
        <f>LEN(TRIM(Table22[[#This Row],[Continent]]))</f>
        <v>13</v>
      </c>
      <c r="J265" s="64">
        <f>LEN(TRIM(Table22[[#This Row],[Product]]))</f>
        <v>6</v>
      </c>
      <c r="K265" s="64">
        <f>LEN(TRIM(Table22[[#This Row],[Sales Team]]))</f>
        <v>10</v>
      </c>
      <c r="L265" s="23">
        <v>86</v>
      </c>
      <c r="M265" s="65" t="str" cm="1">
        <f t="array" ref="M265">_xlfn.IFS(Table22[[#This Row],[Units Sold]]&lt;40,"Critical",Table22[[#This Row],[Units Sold]]&lt;=50,"Poor",Table22[[#This Row],[Units Sold]]&lt;=60,"Low",Table22[[#This Row],[Units Sold]]&lt;=80,"Average",Table22[[#This Row],[Units Sold]]&lt;=90,"High",Table22[[#This Row],[Units Sold]]&lt;=95,"Excellent",Table22[[#This Row],[Units Sold]]&gt;95,"Outstanding")</f>
        <v>High</v>
      </c>
      <c r="N265" s="29">
        <v>962.21</v>
      </c>
      <c r="O265" s="29">
        <v>82750.06</v>
      </c>
      <c r="P265" s="43">
        <f>IF(Table22[[#This Row],[Discount Applied]],Table22[[#This Row],[Total Sales (in USD)]]*(1-Table22[[#This Row],[Discount Percentage (%)]]/100),Table22[[#This Row],[Total Sales (in USD)]])</f>
        <v>82750.06</v>
      </c>
      <c r="Q265" s="66">
        <f>SQRT(AVERAGE((Table22[[#This Row],[Net Sales (after discount) (in USD)]]-AVERAGE(Table22[Net Sales (after discount) (in USD)]))^2))</f>
        <v>46238.69943623546</v>
      </c>
      <c r="R265" s="18" t="b">
        <v>0</v>
      </c>
      <c r="S265" s="40">
        <v>6.07</v>
      </c>
      <c r="T265" s="18" t="b">
        <v>0</v>
      </c>
      <c r="U265" s="25">
        <v>45063</v>
      </c>
      <c r="V265" s="63" t="str">
        <f>IF(MONTH(Table22[[#This Row],[Sales Date]])&lt;=3,"Q1",IF(MONTH(Table22[[#This Row],[Sales Date]])&lt;=6,"Q2",IF(MONTH(Table22[[#This Row],[Sales Date]])&lt;=9,"Q3","Q4")))</f>
        <v>Q2</v>
      </c>
      <c r="W265" s="64">
        <f>YEAR(Table22[[#This Row],[Sales Date]])</f>
        <v>2023</v>
      </c>
      <c r="X265" s="23">
        <v>46</v>
      </c>
      <c r="Y265" s="18" t="s">
        <v>23</v>
      </c>
      <c r="Z265" s="18" t="s">
        <v>56</v>
      </c>
      <c r="AA265" s="19" t="s">
        <v>36</v>
      </c>
    </row>
    <row r="266" spans="1:27" x14ac:dyDescent="0.25">
      <c r="A266" s="17" t="s">
        <v>288</v>
      </c>
      <c r="B266" s="18" t="s">
        <v>18</v>
      </c>
      <c r="C266" s="63" t="str" cm="1">
        <f t="array" ref="C266">_xlfn.SWITCH(Table22[[#This Row],[Country]],"USA","North America","Canada","North America","Brazil","South America","China","Asia","Japan","Asia","India","Asia","France","Europe","Germany","Europe","UK","Europe","Australia","Oceania","South America")</f>
        <v>Asia</v>
      </c>
      <c r="D266" s="18" t="s">
        <v>28</v>
      </c>
      <c r="E266" s="18" t="s">
        <v>33</v>
      </c>
      <c r="F266" s="18" t="s">
        <v>52</v>
      </c>
      <c r="G266" s="18" t="s">
        <v>22</v>
      </c>
      <c r="H266" s="64">
        <f>LEN(TRIM(Table22[[#This Row],[Country]]))</f>
        <v>5</v>
      </c>
      <c r="I266" s="64">
        <f>LEN(TRIM(Table22[[#This Row],[Continent]]))</f>
        <v>4</v>
      </c>
      <c r="J266" s="64">
        <f>LEN(TRIM(Table22[[#This Row],[Product]]))</f>
        <v>10</v>
      </c>
      <c r="K266" s="64">
        <f>LEN(TRIM(Table22[[#This Row],[Sales Team]]))</f>
        <v>10</v>
      </c>
      <c r="L266" s="23">
        <v>83</v>
      </c>
      <c r="M266" s="65" t="str" cm="1">
        <f t="array" ref="M266">_xlfn.IFS(Table22[[#This Row],[Units Sold]]&lt;40,"Critical",Table22[[#This Row],[Units Sold]]&lt;=50,"Poor",Table22[[#This Row],[Units Sold]]&lt;=60,"Low",Table22[[#This Row],[Units Sold]]&lt;=80,"Average",Table22[[#This Row],[Units Sold]]&lt;=90,"High",Table22[[#This Row],[Units Sold]]&lt;=95,"Excellent",Table22[[#This Row],[Units Sold]]&gt;95,"Outstanding")</f>
        <v>High</v>
      </c>
      <c r="N266" s="29">
        <v>996.1</v>
      </c>
      <c r="O266" s="29">
        <v>82676.3</v>
      </c>
      <c r="P266" s="43">
        <f>IF(Table22[[#This Row],[Discount Applied]],Table22[[#This Row],[Total Sales (in USD)]]*(1-Table22[[#This Row],[Discount Percentage (%)]]/100),Table22[[#This Row],[Total Sales (in USD)]])</f>
        <v>82676.3</v>
      </c>
      <c r="Q266" s="66">
        <f>SQRT(AVERAGE((Table22[[#This Row],[Net Sales (after discount) (in USD)]]-AVERAGE(Table22[Net Sales (after discount) (in USD)]))^2))</f>
        <v>46164.939436235465</v>
      </c>
      <c r="R266" s="18" t="b">
        <v>0</v>
      </c>
      <c r="S266" s="40">
        <v>24.16</v>
      </c>
      <c r="T266" s="18" t="b">
        <v>0</v>
      </c>
      <c r="U266" s="25">
        <v>45540</v>
      </c>
      <c r="V266" s="63" t="str">
        <f>IF(MONTH(Table22[[#This Row],[Sales Date]])&lt;=3,"Q1",IF(MONTH(Table22[[#This Row],[Sales Date]])&lt;=6,"Q2",IF(MONTH(Table22[[#This Row],[Sales Date]])&lt;=9,"Q3","Q4")))</f>
        <v>Q3</v>
      </c>
      <c r="W266" s="64">
        <f>YEAR(Table22[[#This Row],[Sales Date]])</f>
        <v>2024</v>
      </c>
      <c r="X266" s="23">
        <v>33</v>
      </c>
      <c r="Y266" s="18" t="s">
        <v>23</v>
      </c>
      <c r="Z266" s="18" t="s">
        <v>42</v>
      </c>
      <c r="AA266" s="19" t="s">
        <v>36</v>
      </c>
    </row>
    <row r="267" spans="1:27" x14ac:dyDescent="0.25">
      <c r="A267" s="17" t="s">
        <v>1957</v>
      </c>
      <c r="B267" s="18" t="s">
        <v>38</v>
      </c>
      <c r="C267" s="63" t="str" cm="1">
        <f t="array" ref="C267">_xlfn.SWITCH(Table22[[#This Row],[Country]],"USA","North America","Canada","North America","Brazil","South America","China","Asia","Japan","Asia","India","Asia","France","Europe","Germany","Europe","UK","Europe","Australia","Oceania","South America")</f>
        <v>Europe</v>
      </c>
      <c r="D267" s="18" t="s">
        <v>35</v>
      </c>
      <c r="E267" s="18" t="s">
        <v>19</v>
      </c>
      <c r="F267" s="18" t="s">
        <v>52</v>
      </c>
      <c r="G267" s="18" t="s">
        <v>48</v>
      </c>
      <c r="H267" s="64">
        <f>LEN(TRIM(Table22[[#This Row],[Country]]))</f>
        <v>6</v>
      </c>
      <c r="I267" s="64">
        <f>LEN(TRIM(Table22[[#This Row],[Continent]]))</f>
        <v>6</v>
      </c>
      <c r="J267" s="64">
        <f>LEN(TRIM(Table22[[#This Row],[Product]]))</f>
        <v>6</v>
      </c>
      <c r="K267" s="64">
        <f>LEN(TRIM(Table22[[#This Row],[Sales Team]]))</f>
        <v>9</v>
      </c>
      <c r="L267" s="23">
        <v>70</v>
      </c>
      <c r="M267" s="65" t="str" cm="1">
        <f t="array" ref="M267">_xlfn.IFS(Table22[[#This Row],[Units Sold]]&lt;40,"Critical",Table22[[#This Row],[Units Sold]]&lt;=50,"Poor",Table22[[#This Row],[Units Sold]]&lt;=60,"Low",Table22[[#This Row],[Units Sold]]&lt;=80,"Average",Table22[[#This Row],[Units Sold]]&lt;=90,"High",Table22[[#This Row],[Units Sold]]&lt;=95,"Excellent",Table22[[#This Row],[Units Sold]]&gt;95,"Outstanding")</f>
        <v>Average</v>
      </c>
      <c r="N267" s="29">
        <v>1179.6500000000001</v>
      </c>
      <c r="O267" s="29">
        <v>82575.5</v>
      </c>
      <c r="P267" s="43">
        <f>IF(Table22[[#This Row],[Discount Applied]],Table22[[#This Row],[Total Sales (in USD)]]*(1-Table22[[#This Row],[Discount Percentage (%)]]/100),Table22[[#This Row],[Total Sales (in USD)]])</f>
        <v>60205.797050000008</v>
      </c>
      <c r="Q267" s="66">
        <f>SQRT(AVERAGE((Table22[[#This Row],[Net Sales (after discount) (in USD)]]-AVERAGE(Table22[Net Sales (after discount) (in USD)]))^2))</f>
        <v>23694.436486235471</v>
      </c>
      <c r="R267" s="18" t="b">
        <v>0</v>
      </c>
      <c r="S267" s="40">
        <v>27.09</v>
      </c>
      <c r="T267" s="18" t="b">
        <v>1</v>
      </c>
      <c r="U267" s="25">
        <v>45440</v>
      </c>
      <c r="V267" s="63" t="str">
        <f>IF(MONTH(Table22[[#This Row],[Sales Date]])&lt;=3,"Q1",IF(MONTH(Table22[[#This Row],[Sales Date]])&lt;=6,"Q2",IF(MONTH(Table22[[#This Row],[Sales Date]])&lt;=9,"Q3","Q4")))</f>
        <v>Q2</v>
      </c>
      <c r="W267" s="64">
        <f>YEAR(Table22[[#This Row],[Sales Date]])</f>
        <v>2024</v>
      </c>
      <c r="X267" s="23">
        <v>41</v>
      </c>
      <c r="Y267" s="18" t="s">
        <v>41</v>
      </c>
      <c r="Z267" s="18" t="s">
        <v>24</v>
      </c>
      <c r="AA267" s="19" t="s">
        <v>36</v>
      </c>
    </row>
    <row r="268" spans="1:27" x14ac:dyDescent="0.25">
      <c r="A268" s="17" t="s">
        <v>1376</v>
      </c>
      <c r="B268" s="18" t="s">
        <v>51</v>
      </c>
      <c r="C268" s="63" t="str" cm="1">
        <f t="array" ref="C268">_xlfn.SWITCH(Table22[[#This Row],[Country]],"USA","North America","Canada","North America","Brazil","South America","China","Asia","Japan","Asia","India","Asia","France","Europe","Germany","Europe","UK","Europe","Australia","Oceania","South America")</f>
        <v>Europe</v>
      </c>
      <c r="D268" s="18" t="s">
        <v>28</v>
      </c>
      <c r="E268" s="18" t="s">
        <v>39</v>
      </c>
      <c r="F268" s="18" t="s">
        <v>64</v>
      </c>
      <c r="G268" s="18" t="s">
        <v>48</v>
      </c>
      <c r="H268" s="64">
        <f>LEN(TRIM(Table22[[#This Row],[Country]]))</f>
        <v>2</v>
      </c>
      <c r="I268" s="64">
        <f>LEN(TRIM(Table22[[#This Row],[Continent]]))</f>
        <v>6</v>
      </c>
      <c r="J268" s="64">
        <f>LEN(TRIM(Table22[[#This Row],[Product]]))</f>
        <v>10</v>
      </c>
      <c r="K268" s="64">
        <f>LEN(TRIM(Table22[[#This Row],[Sales Team]]))</f>
        <v>9</v>
      </c>
      <c r="L268" s="23">
        <v>90</v>
      </c>
      <c r="M268" s="65" t="str" cm="1">
        <f t="array" ref="M268">_xlfn.IFS(Table22[[#This Row],[Units Sold]]&lt;40,"Critical",Table22[[#This Row],[Units Sold]]&lt;=50,"Poor",Table22[[#This Row],[Units Sold]]&lt;=60,"Low",Table22[[#This Row],[Units Sold]]&lt;=80,"Average",Table22[[#This Row],[Units Sold]]&lt;=90,"High",Table22[[#This Row],[Units Sold]]&lt;=95,"Excellent",Table22[[#This Row],[Units Sold]]&gt;95,"Outstanding")</f>
        <v>High</v>
      </c>
      <c r="N268" s="29">
        <v>914.12</v>
      </c>
      <c r="O268" s="29">
        <v>82270.8</v>
      </c>
      <c r="P268" s="43">
        <f>IF(Table22[[#This Row],[Discount Applied]],Table22[[#This Row],[Total Sales (in USD)]]*(1-Table22[[#This Row],[Discount Percentage (%)]]/100),Table22[[#This Row],[Total Sales (in USD)]])</f>
        <v>82270.8</v>
      </c>
      <c r="Q268" s="66">
        <f>SQRT(AVERAGE((Table22[[#This Row],[Net Sales (after discount) (in USD)]]-AVERAGE(Table22[Net Sales (after discount) (in USD)]))^2))</f>
        <v>45759.439436235465</v>
      </c>
      <c r="R268" s="18" t="b">
        <v>0</v>
      </c>
      <c r="S268" s="40">
        <v>19</v>
      </c>
      <c r="T268" s="18" t="b">
        <v>0</v>
      </c>
      <c r="U268" s="25">
        <v>45455</v>
      </c>
      <c r="V268" s="63" t="str">
        <f>IF(MONTH(Table22[[#This Row],[Sales Date]])&lt;=3,"Q1",IF(MONTH(Table22[[#This Row],[Sales Date]])&lt;=6,"Q2",IF(MONTH(Table22[[#This Row],[Sales Date]])&lt;=9,"Q3","Q4")))</f>
        <v>Q2</v>
      </c>
      <c r="W268" s="64">
        <f>YEAR(Table22[[#This Row],[Sales Date]])</f>
        <v>2024</v>
      </c>
      <c r="X268" s="23">
        <v>68</v>
      </c>
      <c r="Y268" s="18" t="s">
        <v>23</v>
      </c>
      <c r="Z268" s="18" t="s">
        <v>56</v>
      </c>
      <c r="AA268" s="19" t="s">
        <v>36</v>
      </c>
    </row>
    <row r="269" spans="1:27" x14ac:dyDescent="0.25">
      <c r="A269" s="17" t="s">
        <v>120</v>
      </c>
      <c r="B269" s="18" t="s">
        <v>18</v>
      </c>
      <c r="C269" s="63" t="str" cm="1">
        <f t="array" ref="C269">_xlfn.SWITCH(Table22[[#This Row],[Country]],"USA","North America","Canada","North America","Brazil","South America","China","Asia","Japan","Asia","India","Asia","France","Europe","Germany","Europe","UK","Europe","Australia","Oceania","South America")</f>
        <v>Asia</v>
      </c>
      <c r="D269" s="18" t="s">
        <v>28</v>
      </c>
      <c r="E269" s="18" t="s">
        <v>39</v>
      </c>
      <c r="F269" s="18" t="s">
        <v>47</v>
      </c>
      <c r="G269" s="18" t="s">
        <v>29</v>
      </c>
      <c r="H269" s="64">
        <f>LEN(TRIM(Table22[[#This Row],[Country]]))</f>
        <v>5</v>
      </c>
      <c r="I269" s="64">
        <f>LEN(TRIM(Table22[[#This Row],[Continent]]))</f>
        <v>4</v>
      </c>
      <c r="J269" s="64">
        <f>LEN(TRIM(Table22[[#This Row],[Product]]))</f>
        <v>10</v>
      </c>
      <c r="K269" s="64">
        <f>LEN(TRIM(Table22[[#This Row],[Sales Team]]))</f>
        <v>10</v>
      </c>
      <c r="L269" s="23">
        <v>74</v>
      </c>
      <c r="M269" s="65" t="str" cm="1">
        <f t="array" ref="M269">_xlfn.IFS(Table22[[#This Row],[Units Sold]]&lt;40,"Critical",Table22[[#This Row],[Units Sold]]&lt;=50,"Poor",Table22[[#This Row],[Units Sold]]&lt;=60,"Low",Table22[[#This Row],[Units Sold]]&lt;=80,"Average",Table22[[#This Row],[Units Sold]]&lt;=90,"High",Table22[[#This Row],[Units Sold]]&lt;=95,"Excellent",Table22[[#This Row],[Units Sold]]&gt;95,"Outstanding")</f>
        <v>Average</v>
      </c>
      <c r="N269" s="29">
        <v>1111.22</v>
      </c>
      <c r="O269" s="29">
        <v>82230.28</v>
      </c>
      <c r="P269" s="43">
        <f>IF(Table22[[#This Row],[Discount Applied]],Table22[[#This Row],[Total Sales (in USD)]]*(1-Table22[[#This Row],[Discount Percentage (%)]]/100),Table22[[#This Row],[Total Sales (in USD)]])</f>
        <v>63909.373615999997</v>
      </c>
      <c r="Q269" s="66">
        <f>SQRT(AVERAGE((Table22[[#This Row],[Net Sales (after discount) (in USD)]]-AVERAGE(Table22[Net Sales (after discount) (in USD)]))^2))</f>
        <v>27398.013052235459</v>
      </c>
      <c r="R269" s="18" t="b">
        <v>1</v>
      </c>
      <c r="S269" s="40">
        <v>22.28</v>
      </c>
      <c r="T269" s="18" t="b">
        <v>1</v>
      </c>
      <c r="U269" s="25">
        <v>45456</v>
      </c>
      <c r="V269" s="63" t="str">
        <f>IF(MONTH(Table22[[#This Row],[Sales Date]])&lt;=3,"Q1",IF(MONTH(Table22[[#This Row],[Sales Date]])&lt;=6,"Q2",IF(MONTH(Table22[[#This Row],[Sales Date]])&lt;=9,"Q3","Q4")))</f>
        <v>Q2</v>
      </c>
      <c r="W269" s="64">
        <f>YEAR(Table22[[#This Row],[Sales Date]])</f>
        <v>2024</v>
      </c>
      <c r="X269" s="23">
        <v>24</v>
      </c>
      <c r="Y269" s="18" t="s">
        <v>23</v>
      </c>
      <c r="Z269" s="18" t="s">
        <v>30</v>
      </c>
      <c r="AA269" s="19" t="s">
        <v>25</v>
      </c>
    </row>
    <row r="270" spans="1:27" x14ac:dyDescent="0.25">
      <c r="A270" s="17" t="s">
        <v>446</v>
      </c>
      <c r="B270" s="18" t="s">
        <v>46</v>
      </c>
      <c r="C270" s="63" t="str" cm="1">
        <f t="array" ref="C270">_xlfn.SWITCH(Table22[[#This Row],[Country]],"USA","North America","Canada","North America","Brazil","South America","China","Asia","Japan","Asia","India","Asia","France","Europe","Germany","Europe","UK","Europe","Australia","Oceania","South America")</f>
        <v>South America</v>
      </c>
      <c r="D270" s="18" t="s">
        <v>21</v>
      </c>
      <c r="E270" s="18" t="s">
        <v>19</v>
      </c>
      <c r="F270" s="18" t="s">
        <v>52</v>
      </c>
      <c r="G270" s="18" t="s">
        <v>29</v>
      </c>
      <c r="H270" s="64">
        <f>LEN(TRIM(Table22[[#This Row],[Country]]))</f>
        <v>6</v>
      </c>
      <c r="I270" s="64">
        <f>LEN(TRIM(Table22[[#This Row],[Continent]]))</f>
        <v>13</v>
      </c>
      <c r="J270" s="64">
        <f>LEN(TRIM(Table22[[#This Row],[Product]]))</f>
        <v>6</v>
      </c>
      <c r="K270" s="64">
        <f>LEN(TRIM(Table22[[#This Row],[Sales Team]]))</f>
        <v>10</v>
      </c>
      <c r="L270" s="23">
        <v>59</v>
      </c>
      <c r="M270" s="65" t="str" cm="1">
        <f t="array" ref="M270">_xlfn.IFS(Table22[[#This Row],[Units Sold]]&lt;40,"Critical",Table22[[#This Row],[Units Sold]]&lt;=50,"Poor",Table22[[#This Row],[Units Sold]]&lt;=60,"Low",Table22[[#This Row],[Units Sold]]&lt;=80,"Average",Table22[[#This Row],[Units Sold]]&lt;=90,"High",Table22[[#This Row],[Units Sold]]&lt;=95,"Excellent",Table22[[#This Row],[Units Sold]]&gt;95,"Outstanding")</f>
        <v>Low</v>
      </c>
      <c r="N270" s="29">
        <v>1393.49</v>
      </c>
      <c r="O270" s="29">
        <v>82215.91</v>
      </c>
      <c r="P270" s="43">
        <f>IF(Table22[[#This Row],[Discount Applied]],Table22[[#This Row],[Total Sales (in USD)]]*(1-Table22[[#This Row],[Discount Percentage (%)]]/100),Table22[[#This Row],[Total Sales (in USD)]])</f>
        <v>82215.91</v>
      </c>
      <c r="Q270" s="66">
        <f>SQRT(AVERAGE((Table22[[#This Row],[Net Sales (after discount) (in USD)]]-AVERAGE(Table22[Net Sales (after discount) (in USD)]))^2))</f>
        <v>45704.549436235466</v>
      </c>
      <c r="R270" s="18" t="b">
        <v>1</v>
      </c>
      <c r="S270" s="40">
        <v>19.170000000000002</v>
      </c>
      <c r="T270" s="18" t="b">
        <v>0</v>
      </c>
      <c r="U270" s="25">
        <v>45156</v>
      </c>
      <c r="V270" s="63" t="str">
        <f>IF(MONTH(Table22[[#This Row],[Sales Date]])&lt;=3,"Q1",IF(MONTH(Table22[[#This Row],[Sales Date]])&lt;=6,"Q2",IF(MONTH(Table22[[#This Row],[Sales Date]])&lt;=9,"Q3","Q4")))</f>
        <v>Q3</v>
      </c>
      <c r="W270" s="64">
        <f>YEAR(Table22[[#This Row],[Sales Date]])</f>
        <v>2023</v>
      </c>
      <c r="X270" s="23">
        <v>48</v>
      </c>
      <c r="Y270" s="18" t="s">
        <v>49</v>
      </c>
      <c r="Z270" s="18" t="s">
        <v>56</v>
      </c>
      <c r="AA270" s="19" t="s">
        <v>25</v>
      </c>
    </row>
    <row r="271" spans="1:27" x14ac:dyDescent="0.25">
      <c r="A271" s="17" t="s">
        <v>1690</v>
      </c>
      <c r="B271" s="18" t="s">
        <v>18</v>
      </c>
      <c r="C271" s="63" t="str" cm="1">
        <f t="array" ref="C271">_xlfn.SWITCH(Table22[[#This Row],[Country]],"USA","North America","Canada","North America","Brazil","South America","China","Asia","Japan","Asia","India","Asia","France","Europe","Germany","Europe","UK","Europe","Australia","Oceania","South America")</f>
        <v>Asia</v>
      </c>
      <c r="D271" s="18" t="s">
        <v>28</v>
      </c>
      <c r="E271" s="18" t="s">
        <v>19</v>
      </c>
      <c r="F271" s="18" t="s">
        <v>64</v>
      </c>
      <c r="G271" s="18" t="s">
        <v>29</v>
      </c>
      <c r="H271" s="64">
        <f>LEN(TRIM(Table22[[#This Row],[Country]]))</f>
        <v>5</v>
      </c>
      <c r="I271" s="64">
        <f>LEN(TRIM(Table22[[#This Row],[Continent]]))</f>
        <v>4</v>
      </c>
      <c r="J271" s="64">
        <f>LEN(TRIM(Table22[[#This Row],[Product]]))</f>
        <v>6</v>
      </c>
      <c r="K271" s="64">
        <f>LEN(TRIM(Table22[[#This Row],[Sales Team]]))</f>
        <v>10</v>
      </c>
      <c r="L271" s="23">
        <v>80</v>
      </c>
      <c r="M271" s="65" t="str" cm="1">
        <f t="array" ref="M271">_xlfn.IFS(Table22[[#This Row],[Units Sold]]&lt;40,"Critical",Table22[[#This Row],[Units Sold]]&lt;=50,"Poor",Table22[[#This Row],[Units Sold]]&lt;=60,"Low",Table22[[#This Row],[Units Sold]]&lt;=80,"Average",Table22[[#This Row],[Units Sold]]&lt;=90,"High",Table22[[#This Row],[Units Sold]]&lt;=95,"Excellent",Table22[[#This Row],[Units Sold]]&gt;95,"Outstanding")</f>
        <v>Average</v>
      </c>
      <c r="N271" s="29">
        <v>1026.1500000000001</v>
      </c>
      <c r="O271" s="29">
        <v>82092</v>
      </c>
      <c r="P271" s="43">
        <f>IF(Table22[[#This Row],[Discount Applied]],Table22[[#This Row],[Total Sales (in USD)]]*(1-Table22[[#This Row],[Discount Percentage (%)]]/100),Table22[[#This Row],[Total Sales (in USD)]])</f>
        <v>82092</v>
      </c>
      <c r="Q271" s="66">
        <f>SQRT(AVERAGE((Table22[[#This Row],[Net Sales (after discount) (in USD)]]-AVERAGE(Table22[Net Sales (after discount) (in USD)]))^2))</f>
        <v>45580.639436235462</v>
      </c>
      <c r="R271" s="18" t="b">
        <v>0</v>
      </c>
      <c r="S271" s="40">
        <v>4.6399999999999997</v>
      </c>
      <c r="T271" s="18" t="b">
        <v>0</v>
      </c>
      <c r="U271" s="25">
        <v>44994</v>
      </c>
      <c r="V271" s="63" t="str">
        <f>IF(MONTH(Table22[[#This Row],[Sales Date]])&lt;=3,"Q1",IF(MONTH(Table22[[#This Row],[Sales Date]])&lt;=6,"Q2",IF(MONTH(Table22[[#This Row],[Sales Date]])&lt;=9,"Q3","Q4")))</f>
        <v>Q1</v>
      </c>
      <c r="W271" s="64">
        <f>YEAR(Table22[[#This Row],[Sales Date]])</f>
        <v>2023</v>
      </c>
      <c r="X271" s="23">
        <v>52</v>
      </c>
      <c r="Y271" s="18" t="s">
        <v>41</v>
      </c>
      <c r="Z271" s="18" t="s">
        <v>30</v>
      </c>
      <c r="AA271" s="19" t="s">
        <v>36</v>
      </c>
    </row>
    <row r="272" spans="1:27" x14ac:dyDescent="0.25">
      <c r="A272" s="17" t="s">
        <v>241</v>
      </c>
      <c r="B272" s="18" t="s">
        <v>18</v>
      </c>
      <c r="C272" s="63" t="str" cm="1">
        <f t="array" ref="C272">_xlfn.SWITCH(Table22[[#This Row],[Country]],"USA","North America","Canada","North America","Brazil","South America","China","Asia","Japan","Asia","India","Asia","France","Europe","Germany","Europe","UK","Europe","Australia","Oceania","South America")</f>
        <v>Asia</v>
      </c>
      <c r="D272" s="18" t="s">
        <v>44</v>
      </c>
      <c r="E272" s="18" t="s">
        <v>33</v>
      </c>
      <c r="F272" s="18" t="s">
        <v>34</v>
      </c>
      <c r="G272" s="18" t="s">
        <v>40</v>
      </c>
      <c r="H272" s="64">
        <f>LEN(TRIM(Table22[[#This Row],[Country]]))</f>
        <v>5</v>
      </c>
      <c r="I272" s="64">
        <f>LEN(TRIM(Table22[[#This Row],[Continent]]))</f>
        <v>4</v>
      </c>
      <c r="J272" s="64">
        <f>LEN(TRIM(Table22[[#This Row],[Product]]))</f>
        <v>10</v>
      </c>
      <c r="K272" s="64">
        <f>LEN(TRIM(Table22[[#This Row],[Sales Team]]))</f>
        <v>10</v>
      </c>
      <c r="L272" s="23">
        <v>66</v>
      </c>
      <c r="M272" s="65" t="str" cm="1">
        <f t="array" ref="M272">_xlfn.IFS(Table22[[#This Row],[Units Sold]]&lt;40,"Critical",Table22[[#This Row],[Units Sold]]&lt;=50,"Poor",Table22[[#This Row],[Units Sold]]&lt;=60,"Low",Table22[[#This Row],[Units Sold]]&lt;=80,"Average",Table22[[#This Row],[Units Sold]]&lt;=90,"High",Table22[[#This Row],[Units Sold]]&lt;=95,"Excellent",Table22[[#This Row],[Units Sold]]&gt;95,"Outstanding")</f>
        <v>Average</v>
      </c>
      <c r="N272" s="29">
        <v>1240.56</v>
      </c>
      <c r="O272" s="29">
        <v>81876.960000000006</v>
      </c>
      <c r="P272" s="43">
        <f>IF(Table22[[#This Row],[Discount Applied]],Table22[[#This Row],[Total Sales (in USD)]]*(1-Table22[[#This Row],[Discount Percentage (%)]]/100),Table22[[#This Row],[Total Sales (in USD)]])</f>
        <v>66099.269808000012</v>
      </c>
      <c r="Q272" s="66">
        <f>SQRT(AVERAGE((Table22[[#This Row],[Net Sales (after discount) (in USD)]]-AVERAGE(Table22[Net Sales (after discount) (in USD)]))^2))</f>
        <v>29587.909244235474</v>
      </c>
      <c r="R272" s="18" t="b">
        <v>0</v>
      </c>
      <c r="S272" s="40">
        <v>19.27</v>
      </c>
      <c r="T272" s="18" t="b">
        <v>1</v>
      </c>
      <c r="U272" s="25">
        <v>45348</v>
      </c>
      <c r="V272" s="63" t="str">
        <f>IF(MONTH(Table22[[#This Row],[Sales Date]])&lt;=3,"Q1",IF(MONTH(Table22[[#This Row],[Sales Date]])&lt;=6,"Q2",IF(MONTH(Table22[[#This Row],[Sales Date]])&lt;=9,"Q3","Q4")))</f>
        <v>Q1</v>
      </c>
      <c r="W272" s="64">
        <f>YEAR(Table22[[#This Row],[Sales Date]])</f>
        <v>2024</v>
      </c>
      <c r="X272" s="23">
        <v>40</v>
      </c>
      <c r="Y272" s="18" t="s">
        <v>23</v>
      </c>
      <c r="Z272" s="18" t="s">
        <v>56</v>
      </c>
      <c r="AA272" s="19" t="s">
        <v>36</v>
      </c>
    </row>
    <row r="273" spans="1:27" x14ac:dyDescent="0.25">
      <c r="A273" s="17" t="s">
        <v>1362</v>
      </c>
      <c r="B273" s="18" t="s">
        <v>32</v>
      </c>
      <c r="C273" s="63" t="str" cm="1">
        <f t="array" ref="C273">_xlfn.SWITCH(Table22[[#This Row],[Country]],"USA","North America","Canada","North America","Brazil","South America","China","Asia","Japan","Asia","India","Asia","France","Europe","Germany","Europe","UK","Europe","Australia","Oceania","South America")</f>
        <v>Asia</v>
      </c>
      <c r="D273" s="18" t="s">
        <v>35</v>
      </c>
      <c r="E273" s="18" t="s">
        <v>19</v>
      </c>
      <c r="F273" s="18" t="s">
        <v>20</v>
      </c>
      <c r="G273" s="18" t="s">
        <v>40</v>
      </c>
      <c r="H273" s="64">
        <f>LEN(TRIM(Table22[[#This Row],[Country]]))</f>
        <v>5</v>
      </c>
      <c r="I273" s="64">
        <f>LEN(TRIM(Table22[[#This Row],[Continent]]))</f>
        <v>4</v>
      </c>
      <c r="J273" s="64">
        <f>LEN(TRIM(Table22[[#This Row],[Product]]))</f>
        <v>6</v>
      </c>
      <c r="K273" s="64">
        <f>LEN(TRIM(Table22[[#This Row],[Sales Team]]))</f>
        <v>10</v>
      </c>
      <c r="L273" s="23">
        <v>78</v>
      </c>
      <c r="M273" s="65" t="str" cm="1">
        <f t="array" ref="M273">_xlfn.IFS(Table22[[#This Row],[Units Sold]]&lt;40,"Critical",Table22[[#This Row],[Units Sold]]&lt;=50,"Poor",Table22[[#This Row],[Units Sold]]&lt;=60,"Low",Table22[[#This Row],[Units Sold]]&lt;=80,"Average",Table22[[#This Row],[Units Sold]]&lt;=90,"High",Table22[[#This Row],[Units Sold]]&lt;=95,"Excellent",Table22[[#This Row],[Units Sold]]&gt;95,"Outstanding")</f>
        <v>Average</v>
      </c>
      <c r="N273" s="29">
        <v>1049.43</v>
      </c>
      <c r="O273" s="29">
        <v>81855.539999999994</v>
      </c>
      <c r="P273" s="43">
        <f>IF(Table22[[#This Row],[Discount Applied]],Table22[[#This Row],[Total Sales (in USD)]]*(1-Table22[[#This Row],[Discount Percentage (%)]]/100),Table22[[#This Row],[Total Sales (in USD)]])</f>
        <v>81855.539999999994</v>
      </c>
      <c r="Q273" s="66">
        <f>SQRT(AVERAGE((Table22[[#This Row],[Net Sales (after discount) (in USD)]]-AVERAGE(Table22[Net Sales (after discount) (in USD)]))^2))</f>
        <v>45344.179436235456</v>
      </c>
      <c r="R273" s="18" t="b">
        <v>1</v>
      </c>
      <c r="S273" s="40">
        <v>5.0999999999999996</v>
      </c>
      <c r="T273" s="18" t="b">
        <v>0</v>
      </c>
      <c r="U273" s="25">
        <v>45213</v>
      </c>
      <c r="V273" s="63" t="str">
        <f>IF(MONTH(Table22[[#This Row],[Sales Date]])&lt;=3,"Q1",IF(MONTH(Table22[[#This Row],[Sales Date]])&lt;=6,"Q2",IF(MONTH(Table22[[#This Row],[Sales Date]])&lt;=9,"Q3","Q4")))</f>
        <v>Q4</v>
      </c>
      <c r="W273" s="64">
        <f>YEAR(Table22[[#This Row],[Sales Date]])</f>
        <v>2023</v>
      </c>
      <c r="X273" s="23">
        <v>55</v>
      </c>
      <c r="Y273" s="18" t="s">
        <v>49</v>
      </c>
      <c r="Z273" s="18" t="s">
        <v>56</v>
      </c>
      <c r="AA273" s="19" t="s">
        <v>36</v>
      </c>
    </row>
    <row r="274" spans="1:27" x14ac:dyDescent="0.25">
      <c r="A274" s="17" t="s">
        <v>374</v>
      </c>
      <c r="B274" s="18" t="s">
        <v>66</v>
      </c>
      <c r="C274" s="63" t="str" cm="1">
        <f t="array" ref="C274">_xlfn.SWITCH(Table22[[#This Row],[Country]],"USA","North America","Canada","North America","Brazil","South America","China","Asia","Japan","Asia","India","Asia","France","Europe","Germany","Europe","UK","Europe","Australia","Oceania","South America")</f>
        <v>North America</v>
      </c>
      <c r="D274" s="18" t="s">
        <v>44</v>
      </c>
      <c r="E274" s="18" t="s">
        <v>39</v>
      </c>
      <c r="F274" s="18" t="s">
        <v>64</v>
      </c>
      <c r="G274" s="18" t="s">
        <v>48</v>
      </c>
      <c r="H274" s="64">
        <f>LEN(TRIM(Table22[[#This Row],[Country]]))</f>
        <v>6</v>
      </c>
      <c r="I274" s="64">
        <f>LEN(TRIM(Table22[[#This Row],[Continent]]))</f>
        <v>13</v>
      </c>
      <c r="J274" s="64">
        <f>LEN(TRIM(Table22[[#This Row],[Product]]))</f>
        <v>10</v>
      </c>
      <c r="K274" s="64">
        <f>LEN(TRIM(Table22[[#This Row],[Sales Team]]))</f>
        <v>9</v>
      </c>
      <c r="L274" s="23">
        <v>62</v>
      </c>
      <c r="M274" s="65" t="str" cm="1">
        <f t="array" ref="M274">_xlfn.IFS(Table22[[#This Row],[Units Sold]]&lt;40,"Critical",Table22[[#This Row],[Units Sold]]&lt;=50,"Poor",Table22[[#This Row],[Units Sold]]&lt;=60,"Low",Table22[[#This Row],[Units Sold]]&lt;=80,"Average",Table22[[#This Row],[Units Sold]]&lt;=90,"High",Table22[[#This Row],[Units Sold]]&lt;=95,"Excellent",Table22[[#This Row],[Units Sold]]&gt;95,"Outstanding")</f>
        <v>Average</v>
      </c>
      <c r="N274" s="29">
        <v>1319.29</v>
      </c>
      <c r="O274" s="29">
        <v>81795.98</v>
      </c>
      <c r="P274" s="43">
        <f>IF(Table22[[#This Row],[Discount Applied]],Table22[[#This Row],[Total Sales (in USD)]]*(1-Table22[[#This Row],[Discount Percentage (%)]]/100),Table22[[#This Row],[Total Sales (in USD)]])</f>
        <v>81795.98</v>
      </c>
      <c r="Q274" s="66">
        <f>SQRT(AVERAGE((Table22[[#This Row],[Net Sales (after discount) (in USD)]]-AVERAGE(Table22[Net Sales (after discount) (in USD)]))^2))</f>
        <v>45284.619436235458</v>
      </c>
      <c r="R274" s="18" t="b">
        <v>0</v>
      </c>
      <c r="S274" s="40">
        <v>16.97</v>
      </c>
      <c r="T274" s="18" t="b">
        <v>0</v>
      </c>
      <c r="U274" s="25">
        <v>45236</v>
      </c>
      <c r="V274" s="63" t="str">
        <f>IF(MONTH(Table22[[#This Row],[Sales Date]])&lt;=3,"Q1",IF(MONTH(Table22[[#This Row],[Sales Date]])&lt;=6,"Q2",IF(MONTH(Table22[[#This Row],[Sales Date]])&lt;=9,"Q3","Q4")))</f>
        <v>Q4</v>
      </c>
      <c r="W274" s="64">
        <f>YEAR(Table22[[#This Row],[Sales Date]])</f>
        <v>2023</v>
      </c>
      <c r="X274" s="23">
        <v>47</v>
      </c>
      <c r="Y274" s="18" t="s">
        <v>41</v>
      </c>
      <c r="Z274" s="18" t="s">
        <v>30</v>
      </c>
      <c r="AA274" s="19" t="s">
        <v>36</v>
      </c>
    </row>
    <row r="275" spans="1:27" x14ac:dyDescent="0.25">
      <c r="A275" s="17" t="s">
        <v>661</v>
      </c>
      <c r="B275" s="18" t="s">
        <v>32</v>
      </c>
      <c r="C275" s="63" t="str" cm="1">
        <f t="array" ref="C275">_xlfn.SWITCH(Table22[[#This Row],[Country]],"USA","North America","Canada","North America","Brazil","South America","China","Asia","Japan","Asia","India","Asia","France","Europe","Germany","Europe","UK","Europe","Australia","Oceania","South America")</f>
        <v>Asia</v>
      </c>
      <c r="D275" s="18" t="s">
        <v>35</v>
      </c>
      <c r="E275" s="18" t="s">
        <v>19</v>
      </c>
      <c r="F275" s="18" t="s">
        <v>47</v>
      </c>
      <c r="G275" s="18" t="s">
        <v>22</v>
      </c>
      <c r="H275" s="64">
        <f>LEN(TRIM(Table22[[#This Row],[Country]]))</f>
        <v>5</v>
      </c>
      <c r="I275" s="64">
        <f>LEN(TRIM(Table22[[#This Row],[Continent]]))</f>
        <v>4</v>
      </c>
      <c r="J275" s="64">
        <f>LEN(TRIM(Table22[[#This Row],[Product]]))</f>
        <v>6</v>
      </c>
      <c r="K275" s="64">
        <f>LEN(TRIM(Table22[[#This Row],[Sales Team]]))</f>
        <v>10</v>
      </c>
      <c r="L275" s="23">
        <v>77</v>
      </c>
      <c r="M275" s="65" t="str" cm="1">
        <f t="array" ref="M275">_xlfn.IFS(Table22[[#This Row],[Units Sold]]&lt;40,"Critical",Table22[[#This Row],[Units Sold]]&lt;=50,"Poor",Table22[[#This Row],[Units Sold]]&lt;=60,"Low",Table22[[#This Row],[Units Sold]]&lt;=80,"Average",Table22[[#This Row],[Units Sold]]&lt;=90,"High",Table22[[#This Row],[Units Sold]]&lt;=95,"Excellent",Table22[[#This Row],[Units Sold]]&gt;95,"Outstanding")</f>
        <v>Average</v>
      </c>
      <c r="N275" s="29">
        <v>1062.06</v>
      </c>
      <c r="O275" s="29">
        <v>81778.62</v>
      </c>
      <c r="P275" s="43">
        <f>IF(Table22[[#This Row],[Discount Applied]],Table22[[#This Row],[Total Sales (in USD)]]*(1-Table22[[#This Row],[Discount Percentage (%)]]/100),Table22[[#This Row],[Total Sales (in USD)]])</f>
        <v>58610.736954</v>
      </c>
      <c r="Q275" s="66">
        <f>SQRT(AVERAGE((Table22[[#This Row],[Net Sales (after discount) (in USD)]]-AVERAGE(Table22[Net Sales (after discount) (in USD)]))^2))</f>
        <v>22099.376390235462</v>
      </c>
      <c r="R275" s="18" t="b">
        <v>1</v>
      </c>
      <c r="S275" s="40">
        <v>28.33</v>
      </c>
      <c r="T275" s="18" t="b">
        <v>1</v>
      </c>
      <c r="U275" s="25">
        <v>45327</v>
      </c>
      <c r="V275" s="63" t="str">
        <f>IF(MONTH(Table22[[#This Row],[Sales Date]])&lt;=3,"Q1",IF(MONTH(Table22[[#This Row],[Sales Date]])&lt;=6,"Q2",IF(MONTH(Table22[[#This Row],[Sales Date]])&lt;=9,"Q3","Q4")))</f>
        <v>Q1</v>
      </c>
      <c r="W275" s="64">
        <f>YEAR(Table22[[#This Row],[Sales Date]])</f>
        <v>2024</v>
      </c>
      <c r="X275" s="23">
        <v>21</v>
      </c>
      <c r="Y275" s="18" t="s">
        <v>49</v>
      </c>
      <c r="Z275" s="18" t="s">
        <v>42</v>
      </c>
      <c r="AA275" s="19" t="s">
        <v>25</v>
      </c>
    </row>
    <row r="276" spans="1:27" x14ac:dyDescent="0.25">
      <c r="A276" s="17" t="s">
        <v>1730</v>
      </c>
      <c r="B276" s="18" t="s">
        <v>46</v>
      </c>
      <c r="C276" s="63" t="str" cm="1">
        <f t="array" ref="C276">_xlfn.SWITCH(Table22[[#This Row],[Country]],"USA","North America","Canada","North America","Brazil","South America","China","Asia","Japan","Asia","India","Asia","France","Europe","Germany","Europe","UK","Europe","Australia","Oceania","South America")</f>
        <v>South America</v>
      </c>
      <c r="D276" s="18" t="s">
        <v>28</v>
      </c>
      <c r="E276" s="18" t="s">
        <v>39</v>
      </c>
      <c r="F276" s="18" t="s">
        <v>64</v>
      </c>
      <c r="G276" s="18" t="s">
        <v>29</v>
      </c>
      <c r="H276" s="64">
        <f>LEN(TRIM(Table22[[#This Row],[Country]]))</f>
        <v>6</v>
      </c>
      <c r="I276" s="64">
        <f>LEN(TRIM(Table22[[#This Row],[Continent]]))</f>
        <v>13</v>
      </c>
      <c r="J276" s="64">
        <f>LEN(TRIM(Table22[[#This Row],[Product]]))</f>
        <v>10</v>
      </c>
      <c r="K276" s="64">
        <f>LEN(TRIM(Table22[[#This Row],[Sales Team]]))</f>
        <v>10</v>
      </c>
      <c r="L276" s="23">
        <v>91</v>
      </c>
      <c r="M276" s="65" t="str" cm="1">
        <f t="array" ref="M276">_xlfn.IFS(Table22[[#This Row],[Units Sold]]&lt;40,"Critical",Table22[[#This Row],[Units Sold]]&lt;=50,"Poor",Table22[[#This Row],[Units Sold]]&lt;=60,"Low",Table22[[#This Row],[Units Sold]]&lt;=80,"Average",Table22[[#This Row],[Units Sold]]&lt;=90,"High",Table22[[#This Row],[Units Sold]]&lt;=95,"Excellent",Table22[[#This Row],[Units Sold]]&gt;95,"Outstanding")</f>
        <v>Excellent</v>
      </c>
      <c r="N276" s="29">
        <v>896.64</v>
      </c>
      <c r="O276" s="29">
        <v>81594.240000000005</v>
      </c>
      <c r="P276" s="43">
        <f>IF(Table22[[#This Row],[Discount Applied]],Table22[[#This Row],[Total Sales (in USD)]]*(1-Table22[[#This Row],[Discount Percentage (%)]]/100),Table22[[#This Row],[Total Sales (in USD)]])</f>
        <v>72945.25056</v>
      </c>
      <c r="Q276" s="66">
        <f>SQRT(AVERAGE((Table22[[#This Row],[Net Sales (after discount) (in USD)]]-AVERAGE(Table22[Net Sales (after discount) (in USD)]))^2))</f>
        <v>36433.889996235463</v>
      </c>
      <c r="R276" s="18" t="b">
        <v>1</v>
      </c>
      <c r="S276" s="40">
        <v>10.6</v>
      </c>
      <c r="T276" s="18" t="b">
        <v>1</v>
      </c>
      <c r="U276" s="25">
        <v>45216</v>
      </c>
      <c r="V276" s="63" t="str">
        <f>IF(MONTH(Table22[[#This Row],[Sales Date]])&lt;=3,"Q1",IF(MONTH(Table22[[#This Row],[Sales Date]])&lt;=6,"Q2",IF(MONTH(Table22[[#This Row],[Sales Date]])&lt;=9,"Q3","Q4")))</f>
        <v>Q4</v>
      </c>
      <c r="W276" s="64">
        <f>YEAR(Table22[[#This Row],[Sales Date]])</f>
        <v>2023</v>
      </c>
      <c r="X276" s="23">
        <v>34</v>
      </c>
      <c r="Y276" s="18" t="s">
        <v>49</v>
      </c>
      <c r="Z276" s="18" t="s">
        <v>56</v>
      </c>
      <c r="AA276" s="19" t="s">
        <v>25</v>
      </c>
    </row>
    <row r="277" spans="1:27" x14ac:dyDescent="0.25">
      <c r="A277" s="17" t="s">
        <v>180</v>
      </c>
      <c r="B277" s="18" t="s">
        <v>18</v>
      </c>
      <c r="C277" s="63" t="str" cm="1">
        <f t="array" ref="C277">_xlfn.SWITCH(Table22[[#This Row],[Country]],"USA","North America","Canada","North America","Brazil","South America","China","Asia","Japan","Asia","India","Asia","France","Europe","Germany","Europe","UK","Europe","Australia","Oceania","South America")</f>
        <v>Asia</v>
      </c>
      <c r="D277" s="18" t="s">
        <v>44</v>
      </c>
      <c r="E277" s="18" t="s">
        <v>39</v>
      </c>
      <c r="F277" s="18" t="s">
        <v>20</v>
      </c>
      <c r="G277" s="18" t="s">
        <v>29</v>
      </c>
      <c r="H277" s="64">
        <f>LEN(TRIM(Table22[[#This Row],[Country]]))</f>
        <v>5</v>
      </c>
      <c r="I277" s="64">
        <f>LEN(TRIM(Table22[[#This Row],[Continent]]))</f>
        <v>4</v>
      </c>
      <c r="J277" s="64">
        <f>LEN(TRIM(Table22[[#This Row],[Product]]))</f>
        <v>10</v>
      </c>
      <c r="K277" s="64">
        <f>LEN(TRIM(Table22[[#This Row],[Sales Team]]))</f>
        <v>10</v>
      </c>
      <c r="L277" s="23">
        <v>56</v>
      </c>
      <c r="M277" s="65" t="str" cm="1">
        <f t="array" ref="M277">_xlfn.IFS(Table22[[#This Row],[Units Sold]]&lt;40,"Critical",Table22[[#This Row],[Units Sold]]&lt;=50,"Poor",Table22[[#This Row],[Units Sold]]&lt;=60,"Low",Table22[[#This Row],[Units Sold]]&lt;=80,"Average",Table22[[#This Row],[Units Sold]]&lt;=90,"High",Table22[[#This Row],[Units Sold]]&lt;=95,"Excellent",Table22[[#This Row],[Units Sold]]&gt;95,"Outstanding")</f>
        <v>Low</v>
      </c>
      <c r="N277" s="29">
        <v>1454.78</v>
      </c>
      <c r="O277" s="29">
        <v>81467.679999999993</v>
      </c>
      <c r="P277" s="43">
        <f>IF(Table22[[#This Row],[Discount Applied]],Table22[[#This Row],[Total Sales (in USD)]]*(1-Table22[[#This Row],[Discount Percentage (%)]]/100),Table22[[#This Row],[Total Sales (in USD)]])</f>
        <v>81467.679999999993</v>
      </c>
      <c r="Q277" s="66">
        <f>SQRT(AVERAGE((Table22[[#This Row],[Net Sales (after discount) (in USD)]]-AVERAGE(Table22[Net Sales (after discount) (in USD)]))^2))</f>
        <v>44956.319436235455</v>
      </c>
      <c r="R277" s="18" t="b">
        <v>0</v>
      </c>
      <c r="S277" s="40">
        <v>24.06</v>
      </c>
      <c r="T277" s="18" t="b">
        <v>0</v>
      </c>
      <c r="U277" s="25">
        <v>45199</v>
      </c>
      <c r="V277" s="63" t="str">
        <f>IF(MONTH(Table22[[#This Row],[Sales Date]])&lt;=3,"Q1",IF(MONTH(Table22[[#This Row],[Sales Date]])&lt;=6,"Q2",IF(MONTH(Table22[[#This Row],[Sales Date]])&lt;=9,"Q3","Q4")))</f>
        <v>Q3</v>
      </c>
      <c r="W277" s="64">
        <f>YEAR(Table22[[#This Row],[Sales Date]])</f>
        <v>2023</v>
      </c>
      <c r="X277" s="23">
        <v>69</v>
      </c>
      <c r="Y277" s="18" t="s">
        <v>23</v>
      </c>
      <c r="Z277" s="18" t="s">
        <v>30</v>
      </c>
      <c r="AA277" s="19" t="s">
        <v>36</v>
      </c>
    </row>
    <row r="278" spans="1:27" x14ac:dyDescent="0.25">
      <c r="A278" s="17" t="s">
        <v>882</v>
      </c>
      <c r="B278" s="18" t="s">
        <v>76</v>
      </c>
      <c r="C278" s="63" t="str" cm="1">
        <f t="array" ref="C278">_xlfn.SWITCH(Table22[[#This Row],[Country]],"USA","North America","Canada","North America","Brazil","South America","China","Asia","Japan","Asia","India","Asia","France","Europe","Germany","Europe","UK","Europe","Australia","Oceania","South America")</f>
        <v>Asia</v>
      </c>
      <c r="D278" s="18" t="s">
        <v>21</v>
      </c>
      <c r="E278" s="18" t="s">
        <v>39</v>
      </c>
      <c r="F278" s="18" t="s">
        <v>34</v>
      </c>
      <c r="G278" s="18" t="s">
        <v>22</v>
      </c>
      <c r="H278" s="64">
        <f>LEN(TRIM(Table22[[#This Row],[Country]]))</f>
        <v>5</v>
      </c>
      <c r="I278" s="64">
        <f>LEN(TRIM(Table22[[#This Row],[Continent]]))</f>
        <v>4</v>
      </c>
      <c r="J278" s="64">
        <f>LEN(TRIM(Table22[[#This Row],[Product]]))</f>
        <v>10</v>
      </c>
      <c r="K278" s="64">
        <f>LEN(TRIM(Table22[[#This Row],[Sales Team]]))</f>
        <v>10</v>
      </c>
      <c r="L278" s="23">
        <v>90</v>
      </c>
      <c r="M278" s="65" t="str" cm="1">
        <f t="array" ref="M278">_xlfn.IFS(Table22[[#This Row],[Units Sold]]&lt;40,"Critical",Table22[[#This Row],[Units Sold]]&lt;=50,"Poor",Table22[[#This Row],[Units Sold]]&lt;=60,"Low",Table22[[#This Row],[Units Sold]]&lt;=80,"Average",Table22[[#This Row],[Units Sold]]&lt;=90,"High",Table22[[#This Row],[Units Sold]]&lt;=95,"Excellent",Table22[[#This Row],[Units Sold]]&gt;95,"Outstanding")</f>
        <v>High</v>
      </c>
      <c r="N278" s="29">
        <v>903.45</v>
      </c>
      <c r="O278" s="29">
        <v>81310.5</v>
      </c>
      <c r="P278" s="43">
        <f>IF(Table22[[#This Row],[Discount Applied]],Table22[[#This Row],[Total Sales (in USD)]]*(1-Table22[[#This Row],[Discount Percentage (%)]]/100),Table22[[#This Row],[Total Sales (in USD)]])</f>
        <v>65284.200449999997</v>
      </c>
      <c r="Q278" s="66">
        <f>SQRT(AVERAGE((Table22[[#This Row],[Net Sales (after discount) (in USD)]]-AVERAGE(Table22[Net Sales (after discount) (in USD)]))^2))</f>
        <v>28772.839886235459</v>
      </c>
      <c r="R278" s="18" t="b">
        <v>1</v>
      </c>
      <c r="S278" s="40">
        <v>19.71</v>
      </c>
      <c r="T278" s="18" t="b">
        <v>1</v>
      </c>
      <c r="U278" s="25">
        <v>45457</v>
      </c>
      <c r="V278" s="63" t="str">
        <f>IF(MONTH(Table22[[#This Row],[Sales Date]])&lt;=3,"Q1",IF(MONTH(Table22[[#This Row],[Sales Date]])&lt;=6,"Q2",IF(MONTH(Table22[[#This Row],[Sales Date]])&lt;=9,"Q3","Q4")))</f>
        <v>Q2</v>
      </c>
      <c r="W278" s="64">
        <f>YEAR(Table22[[#This Row],[Sales Date]])</f>
        <v>2024</v>
      </c>
      <c r="X278" s="23">
        <v>21</v>
      </c>
      <c r="Y278" s="18" t="s">
        <v>41</v>
      </c>
      <c r="Z278" s="18" t="s">
        <v>24</v>
      </c>
      <c r="AA278" s="19" t="s">
        <v>36</v>
      </c>
    </row>
    <row r="279" spans="1:27" x14ac:dyDescent="0.25">
      <c r="A279" s="17" t="s">
        <v>736</v>
      </c>
      <c r="B279" s="18" t="s">
        <v>46</v>
      </c>
      <c r="C279" s="63" t="str" cm="1">
        <f t="array" ref="C279">_xlfn.SWITCH(Table22[[#This Row],[Country]],"USA","North America","Canada","North America","Brazil","South America","China","Asia","Japan","Asia","India","Asia","France","Europe","Germany","Europe","UK","Europe","Australia","Oceania","South America")</f>
        <v>South America</v>
      </c>
      <c r="D279" s="18" t="s">
        <v>44</v>
      </c>
      <c r="E279" s="18" t="s">
        <v>19</v>
      </c>
      <c r="F279" s="18" t="s">
        <v>34</v>
      </c>
      <c r="G279" s="18" t="s">
        <v>29</v>
      </c>
      <c r="H279" s="64">
        <f>LEN(TRIM(Table22[[#This Row],[Country]]))</f>
        <v>6</v>
      </c>
      <c r="I279" s="64">
        <f>LEN(TRIM(Table22[[#This Row],[Continent]]))</f>
        <v>13</v>
      </c>
      <c r="J279" s="64">
        <f>LEN(TRIM(Table22[[#This Row],[Product]]))</f>
        <v>6</v>
      </c>
      <c r="K279" s="64">
        <f>LEN(TRIM(Table22[[#This Row],[Sales Team]]))</f>
        <v>10</v>
      </c>
      <c r="L279" s="23">
        <v>87</v>
      </c>
      <c r="M279" s="65" t="str" cm="1">
        <f t="array" ref="M279">_xlfn.IFS(Table22[[#This Row],[Units Sold]]&lt;40,"Critical",Table22[[#This Row],[Units Sold]]&lt;=50,"Poor",Table22[[#This Row],[Units Sold]]&lt;=60,"Low",Table22[[#This Row],[Units Sold]]&lt;=80,"Average",Table22[[#This Row],[Units Sold]]&lt;=90,"High",Table22[[#This Row],[Units Sold]]&lt;=95,"Excellent",Table22[[#This Row],[Units Sold]]&gt;95,"Outstanding")</f>
        <v>High</v>
      </c>
      <c r="N279" s="29">
        <v>932.65</v>
      </c>
      <c r="O279" s="29">
        <v>81140.55</v>
      </c>
      <c r="P279" s="43">
        <f>IF(Table22[[#This Row],[Discount Applied]],Table22[[#This Row],[Total Sales (in USD)]]*(1-Table22[[#This Row],[Discount Percentage (%)]]/100),Table22[[#This Row],[Total Sales (in USD)]])</f>
        <v>81140.55</v>
      </c>
      <c r="Q279" s="66">
        <f>SQRT(AVERAGE((Table22[[#This Row],[Net Sales (after discount) (in USD)]]-AVERAGE(Table22[Net Sales (after discount) (in USD)]))^2))</f>
        <v>44629.189436235465</v>
      </c>
      <c r="R279" s="18" t="b">
        <v>0</v>
      </c>
      <c r="S279" s="40">
        <v>8.2100000000000009</v>
      </c>
      <c r="T279" s="18" t="b">
        <v>0</v>
      </c>
      <c r="U279" s="25">
        <v>44998</v>
      </c>
      <c r="V279" s="63" t="str">
        <f>IF(MONTH(Table22[[#This Row],[Sales Date]])&lt;=3,"Q1",IF(MONTH(Table22[[#This Row],[Sales Date]])&lt;=6,"Q2",IF(MONTH(Table22[[#This Row],[Sales Date]])&lt;=9,"Q3","Q4")))</f>
        <v>Q1</v>
      </c>
      <c r="W279" s="64">
        <f>YEAR(Table22[[#This Row],[Sales Date]])</f>
        <v>2023</v>
      </c>
      <c r="X279" s="23">
        <v>28</v>
      </c>
      <c r="Y279" s="18" t="s">
        <v>41</v>
      </c>
      <c r="Z279" s="18" t="s">
        <v>42</v>
      </c>
      <c r="AA279" s="19" t="s">
        <v>25</v>
      </c>
    </row>
    <row r="280" spans="1:27" x14ac:dyDescent="0.25">
      <c r="A280" s="17" t="s">
        <v>689</v>
      </c>
      <c r="B280" s="18" t="s">
        <v>38</v>
      </c>
      <c r="C280" s="63" t="str" cm="1">
        <f t="array" ref="C280">_xlfn.SWITCH(Table22[[#This Row],[Country]],"USA","North America","Canada","North America","Brazil","South America","China","Asia","Japan","Asia","India","Asia","France","Europe","Germany","Europe","UK","Europe","Australia","Oceania","South America")</f>
        <v>Europe</v>
      </c>
      <c r="D280" s="18" t="s">
        <v>28</v>
      </c>
      <c r="E280" s="18" t="s">
        <v>33</v>
      </c>
      <c r="F280" s="18" t="s">
        <v>34</v>
      </c>
      <c r="G280" s="18" t="s">
        <v>48</v>
      </c>
      <c r="H280" s="64">
        <f>LEN(TRIM(Table22[[#This Row],[Country]]))</f>
        <v>6</v>
      </c>
      <c r="I280" s="64">
        <f>LEN(TRIM(Table22[[#This Row],[Continent]]))</f>
        <v>6</v>
      </c>
      <c r="J280" s="64">
        <f>LEN(TRIM(Table22[[#This Row],[Product]]))</f>
        <v>10</v>
      </c>
      <c r="K280" s="64">
        <f>LEN(TRIM(Table22[[#This Row],[Sales Team]]))</f>
        <v>9</v>
      </c>
      <c r="L280" s="23">
        <v>59</v>
      </c>
      <c r="M280" s="65" t="str" cm="1">
        <f t="array" ref="M280">_xlfn.IFS(Table22[[#This Row],[Units Sold]]&lt;40,"Critical",Table22[[#This Row],[Units Sold]]&lt;=50,"Poor",Table22[[#This Row],[Units Sold]]&lt;=60,"Low",Table22[[#This Row],[Units Sold]]&lt;=80,"Average",Table22[[#This Row],[Units Sold]]&lt;=90,"High",Table22[[#This Row],[Units Sold]]&lt;=95,"Excellent",Table22[[#This Row],[Units Sold]]&gt;95,"Outstanding")</f>
        <v>Low</v>
      </c>
      <c r="N280" s="29">
        <v>1372.22</v>
      </c>
      <c r="O280" s="29">
        <v>80960.98</v>
      </c>
      <c r="P280" s="43">
        <f>IF(Table22[[#This Row],[Discount Applied]],Table22[[#This Row],[Total Sales (in USD)]]*(1-Table22[[#This Row],[Discount Percentage (%)]]/100),Table22[[#This Row],[Total Sales (in USD)]])</f>
        <v>80960.98</v>
      </c>
      <c r="Q280" s="66">
        <f>SQRT(AVERAGE((Table22[[#This Row],[Net Sales (after discount) (in USD)]]-AVERAGE(Table22[Net Sales (after discount) (in USD)]))^2))</f>
        <v>44449.619436235458</v>
      </c>
      <c r="R280" s="18" t="b">
        <v>0</v>
      </c>
      <c r="S280" s="40">
        <v>19.79</v>
      </c>
      <c r="T280" s="18" t="b">
        <v>0</v>
      </c>
      <c r="U280" s="25">
        <v>45171</v>
      </c>
      <c r="V280" s="63" t="str">
        <f>IF(MONTH(Table22[[#This Row],[Sales Date]])&lt;=3,"Q1",IF(MONTH(Table22[[#This Row],[Sales Date]])&lt;=6,"Q2",IF(MONTH(Table22[[#This Row],[Sales Date]])&lt;=9,"Q3","Q4")))</f>
        <v>Q3</v>
      </c>
      <c r="W280" s="64">
        <f>YEAR(Table22[[#This Row],[Sales Date]])</f>
        <v>2023</v>
      </c>
      <c r="X280" s="23">
        <v>34</v>
      </c>
      <c r="Y280" s="18" t="s">
        <v>49</v>
      </c>
      <c r="Z280" s="18" t="s">
        <v>30</v>
      </c>
      <c r="AA280" s="19" t="s">
        <v>36</v>
      </c>
    </row>
    <row r="281" spans="1:27" x14ac:dyDescent="0.25">
      <c r="A281" s="17" t="s">
        <v>85</v>
      </c>
      <c r="B281" s="18" t="s">
        <v>51</v>
      </c>
      <c r="C281" s="63" t="str" cm="1">
        <f t="array" ref="C281">_xlfn.SWITCH(Table22[[#This Row],[Country]],"USA","North America","Canada","North America","Brazil","South America","China","Asia","Japan","Asia","India","Asia","France","Europe","Germany","Europe","UK","Europe","Australia","Oceania","South America")</f>
        <v>Europe</v>
      </c>
      <c r="D281" s="18" t="s">
        <v>44</v>
      </c>
      <c r="E281" s="18" t="s">
        <v>39</v>
      </c>
      <c r="F281" s="18" t="s">
        <v>20</v>
      </c>
      <c r="G281" s="18" t="s">
        <v>22</v>
      </c>
      <c r="H281" s="64">
        <f>LEN(TRIM(Table22[[#This Row],[Country]]))</f>
        <v>2</v>
      </c>
      <c r="I281" s="64">
        <f>LEN(TRIM(Table22[[#This Row],[Continent]]))</f>
        <v>6</v>
      </c>
      <c r="J281" s="64">
        <f>LEN(TRIM(Table22[[#This Row],[Product]]))</f>
        <v>10</v>
      </c>
      <c r="K281" s="64">
        <f>LEN(TRIM(Table22[[#This Row],[Sales Team]]))</f>
        <v>10</v>
      </c>
      <c r="L281" s="23">
        <v>82</v>
      </c>
      <c r="M281" s="65" t="str" cm="1">
        <f t="array" ref="M281">_xlfn.IFS(Table22[[#This Row],[Units Sold]]&lt;40,"Critical",Table22[[#This Row],[Units Sold]]&lt;=50,"Poor",Table22[[#This Row],[Units Sold]]&lt;=60,"Low",Table22[[#This Row],[Units Sold]]&lt;=80,"Average",Table22[[#This Row],[Units Sold]]&lt;=90,"High",Table22[[#This Row],[Units Sold]]&lt;=95,"Excellent",Table22[[#This Row],[Units Sold]]&gt;95,"Outstanding")</f>
        <v>High</v>
      </c>
      <c r="N281" s="29">
        <v>986.35</v>
      </c>
      <c r="O281" s="29">
        <v>80880.7</v>
      </c>
      <c r="P281" s="43">
        <f>IF(Table22[[#This Row],[Discount Applied]],Table22[[#This Row],[Total Sales (in USD)]]*(1-Table22[[#This Row],[Discount Percentage (%)]]/100),Table22[[#This Row],[Total Sales (in USD)]])</f>
        <v>74806.559430000008</v>
      </c>
      <c r="Q281" s="66">
        <f>SQRT(AVERAGE((Table22[[#This Row],[Net Sales (after discount) (in USD)]]-AVERAGE(Table22[Net Sales (after discount) (in USD)]))^2))</f>
        <v>38295.198866235471</v>
      </c>
      <c r="R281" s="18" t="b">
        <v>0</v>
      </c>
      <c r="S281" s="40">
        <v>7.51</v>
      </c>
      <c r="T281" s="18" t="b">
        <v>1</v>
      </c>
      <c r="U281" s="25">
        <v>45544</v>
      </c>
      <c r="V281" s="63" t="str">
        <f>IF(MONTH(Table22[[#This Row],[Sales Date]])&lt;=3,"Q1",IF(MONTH(Table22[[#This Row],[Sales Date]])&lt;=6,"Q2",IF(MONTH(Table22[[#This Row],[Sales Date]])&lt;=9,"Q3","Q4")))</f>
        <v>Q3</v>
      </c>
      <c r="W281" s="64">
        <f>YEAR(Table22[[#This Row],[Sales Date]])</f>
        <v>2024</v>
      </c>
      <c r="X281" s="23">
        <v>40</v>
      </c>
      <c r="Y281" s="18" t="s">
        <v>49</v>
      </c>
      <c r="Z281" s="18" t="s">
        <v>56</v>
      </c>
      <c r="AA281" s="19" t="s">
        <v>36</v>
      </c>
    </row>
    <row r="282" spans="1:27" x14ac:dyDescent="0.25">
      <c r="A282" s="17" t="s">
        <v>1643</v>
      </c>
      <c r="B282" s="18" t="s">
        <v>66</v>
      </c>
      <c r="C282" s="63" t="str" cm="1">
        <f t="array" ref="C282">_xlfn.SWITCH(Table22[[#This Row],[Country]],"USA","North America","Canada","North America","Brazil","South America","China","Asia","Japan","Asia","India","Asia","France","Europe","Germany","Europe","UK","Europe","Australia","Oceania","South America")</f>
        <v>North America</v>
      </c>
      <c r="D282" s="18" t="s">
        <v>35</v>
      </c>
      <c r="E282" s="18" t="s">
        <v>39</v>
      </c>
      <c r="F282" s="18" t="s">
        <v>64</v>
      </c>
      <c r="G282" s="18" t="s">
        <v>29</v>
      </c>
      <c r="H282" s="64">
        <f>LEN(TRIM(Table22[[#This Row],[Country]]))</f>
        <v>6</v>
      </c>
      <c r="I282" s="64">
        <f>LEN(TRIM(Table22[[#This Row],[Continent]]))</f>
        <v>13</v>
      </c>
      <c r="J282" s="64">
        <f>LEN(TRIM(Table22[[#This Row],[Product]]))</f>
        <v>10</v>
      </c>
      <c r="K282" s="64">
        <f>LEN(TRIM(Table22[[#This Row],[Sales Team]]))</f>
        <v>10</v>
      </c>
      <c r="L282" s="23">
        <v>88</v>
      </c>
      <c r="M282" s="65" t="str" cm="1">
        <f t="array" ref="M282">_xlfn.IFS(Table22[[#This Row],[Units Sold]]&lt;40,"Critical",Table22[[#This Row],[Units Sold]]&lt;=50,"Poor",Table22[[#This Row],[Units Sold]]&lt;=60,"Low",Table22[[#This Row],[Units Sold]]&lt;=80,"Average",Table22[[#This Row],[Units Sold]]&lt;=90,"High",Table22[[#This Row],[Units Sold]]&lt;=95,"Excellent",Table22[[#This Row],[Units Sold]]&gt;95,"Outstanding")</f>
        <v>High</v>
      </c>
      <c r="N282" s="29">
        <v>915.11</v>
      </c>
      <c r="O282" s="29">
        <v>80529.679999999993</v>
      </c>
      <c r="P282" s="43">
        <f>IF(Table22[[#This Row],[Discount Applied]],Table22[[#This Row],[Total Sales (in USD)]]*(1-Table22[[#This Row],[Discount Percentage (%)]]/100),Table22[[#This Row],[Total Sales (in USD)]])</f>
        <v>57780.045399999995</v>
      </c>
      <c r="Q282" s="66">
        <f>SQRT(AVERAGE((Table22[[#This Row],[Net Sales (after discount) (in USD)]]-AVERAGE(Table22[Net Sales (after discount) (in USD)]))^2))</f>
        <v>21268.684836235458</v>
      </c>
      <c r="R282" s="18" t="b">
        <v>0</v>
      </c>
      <c r="S282" s="40">
        <v>28.25</v>
      </c>
      <c r="T282" s="18" t="b">
        <v>1</v>
      </c>
      <c r="U282" s="25">
        <v>45509</v>
      </c>
      <c r="V282" s="63" t="str">
        <f>IF(MONTH(Table22[[#This Row],[Sales Date]])&lt;=3,"Q1",IF(MONTH(Table22[[#This Row],[Sales Date]])&lt;=6,"Q2",IF(MONTH(Table22[[#This Row],[Sales Date]])&lt;=9,"Q3","Q4")))</f>
        <v>Q3</v>
      </c>
      <c r="W282" s="64">
        <f>YEAR(Table22[[#This Row],[Sales Date]])</f>
        <v>2024</v>
      </c>
      <c r="X282" s="23">
        <v>58</v>
      </c>
      <c r="Y282" s="18" t="s">
        <v>49</v>
      </c>
      <c r="Z282" s="18" t="s">
        <v>30</v>
      </c>
      <c r="AA282" s="19" t="s">
        <v>25</v>
      </c>
    </row>
    <row r="283" spans="1:27" x14ac:dyDescent="0.25">
      <c r="A283" s="17" t="s">
        <v>1247</v>
      </c>
      <c r="B283" s="18" t="s">
        <v>76</v>
      </c>
      <c r="C283" s="63" t="str" cm="1">
        <f t="array" ref="C283">_xlfn.SWITCH(Table22[[#This Row],[Country]],"USA","North America","Canada","North America","Brazil","South America","China","Asia","Japan","Asia","India","Asia","France","Europe","Germany","Europe","UK","Europe","Australia","Oceania","South America")</f>
        <v>Asia</v>
      </c>
      <c r="D283" s="18" t="s">
        <v>44</v>
      </c>
      <c r="E283" s="18" t="s">
        <v>39</v>
      </c>
      <c r="F283" s="18" t="s">
        <v>20</v>
      </c>
      <c r="G283" s="18" t="s">
        <v>22</v>
      </c>
      <c r="H283" s="64">
        <f>LEN(TRIM(Table22[[#This Row],[Country]]))</f>
        <v>5</v>
      </c>
      <c r="I283" s="64">
        <f>LEN(TRIM(Table22[[#This Row],[Continent]]))</f>
        <v>4</v>
      </c>
      <c r="J283" s="64">
        <f>LEN(TRIM(Table22[[#This Row],[Product]]))</f>
        <v>10</v>
      </c>
      <c r="K283" s="64">
        <f>LEN(TRIM(Table22[[#This Row],[Sales Team]]))</f>
        <v>10</v>
      </c>
      <c r="L283" s="23">
        <v>80</v>
      </c>
      <c r="M283" s="65" t="str" cm="1">
        <f t="array" ref="M283">_xlfn.IFS(Table22[[#This Row],[Units Sold]]&lt;40,"Critical",Table22[[#This Row],[Units Sold]]&lt;=50,"Poor",Table22[[#This Row],[Units Sold]]&lt;=60,"Low",Table22[[#This Row],[Units Sold]]&lt;=80,"Average",Table22[[#This Row],[Units Sold]]&lt;=90,"High",Table22[[#This Row],[Units Sold]]&lt;=95,"Excellent",Table22[[#This Row],[Units Sold]]&gt;95,"Outstanding")</f>
        <v>Average</v>
      </c>
      <c r="N283" s="29">
        <v>1006.2</v>
      </c>
      <c r="O283" s="29">
        <v>80496</v>
      </c>
      <c r="P283" s="43">
        <f>IF(Table22[[#This Row],[Discount Applied]],Table22[[#This Row],[Total Sales (in USD)]]*(1-Table22[[#This Row],[Discount Percentage (%)]]/100),Table22[[#This Row],[Total Sales (in USD)]])</f>
        <v>73476.748800000001</v>
      </c>
      <c r="Q283" s="66">
        <f>SQRT(AVERAGE((Table22[[#This Row],[Net Sales (after discount) (in USD)]]-AVERAGE(Table22[Net Sales (after discount) (in USD)]))^2))</f>
        <v>36965.388236235463</v>
      </c>
      <c r="R283" s="18" t="b">
        <v>0</v>
      </c>
      <c r="S283" s="40">
        <v>8.7200000000000006</v>
      </c>
      <c r="T283" s="18" t="b">
        <v>1</v>
      </c>
      <c r="U283" s="25">
        <v>45030</v>
      </c>
      <c r="V283" s="63" t="str">
        <f>IF(MONTH(Table22[[#This Row],[Sales Date]])&lt;=3,"Q1",IF(MONTH(Table22[[#This Row],[Sales Date]])&lt;=6,"Q2",IF(MONTH(Table22[[#This Row],[Sales Date]])&lt;=9,"Q3","Q4")))</f>
        <v>Q2</v>
      </c>
      <c r="W283" s="64">
        <f>YEAR(Table22[[#This Row],[Sales Date]])</f>
        <v>2023</v>
      </c>
      <c r="X283" s="23">
        <v>35</v>
      </c>
      <c r="Y283" s="18" t="s">
        <v>23</v>
      </c>
      <c r="Z283" s="18" t="s">
        <v>56</v>
      </c>
      <c r="AA283" s="19" t="s">
        <v>25</v>
      </c>
    </row>
    <row r="284" spans="1:27" x14ac:dyDescent="0.25">
      <c r="A284" s="17" t="s">
        <v>352</v>
      </c>
      <c r="B284" s="18" t="s">
        <v>38</v>
      </c>
      <c r="C284" s="63" t="str" cm="1">
        <f t="array" ref="C284">_xlfn.SWITCH(Table22[[#This Row],[Country]],"USA","North America","Canada","North America","Brazil","South America","China","Asia","Japan","Asia","India","Asia","France","Europe","Germany","Europe","UK","Europe","Australia","Oceania","South America")</f>
        <v>Europe</v>
      </c>
      <c r="D284" s="18" t="s">
        <v>35</v>
      </c>
      <c r="E284" s="18" t="s">
        <v>39</v>
      </c>
      <c r="F284" s="18" t="s">
        <v>20</v>
      </c>
      <c r="G284" s="18" t="s">
        <v>22</v>
      </c>
      <c r="H284" s="64">
        <f>LEN(TRIM(Table22[[#This Row],[Country]]))</f>
        <v>6</v>
      </c>
      <c r="I284" s="64">
        <f>LEN(TRIM(Table22[[#This Row],[Continent]]))</f>
        <v>6</v>
      </c>
      <c r="J284" s="64">
        <f>LEN(TRIM(Table22[[#This Row],[Product]]))</f>
        <v>10</v>
      </c>
      <c r="K284" s="64">
        <f>LEN(TRIM(Table22[[#This Row],[Sales Team]]))</f>
        <v>10</v>
      </c>
      <c r="L284" s="23">
        <v>64</v>
      </c>
      <c r="M284" s="65" t="str" cm="1">
        <f t="array" ref="M284">_xlfn.IFS(Table22[[#This Row],[Units Sold]]&lt;40,"Critical",Table22[[#This Row],[Units Sold]]&lt;=50,"Poor",Table22[[#This Row],[Units Sold]]&lt;=60,"Low",Table22[[#This Row],[Units Sold]]&lt;=80,"Average",Table22[[#This Row],[Units Sold]]&lt;=90,"High",Table22[[#This Row],[Units Sold]]&lt;=95,"Excellent",Table22[[#This Row],[Units Sold]]&gt;95,"Outstanding")</f>
        <v>Average</v>
      </c>
      <c r="N284" s="29">
        <v>1248.8699999999999</v>
      </c>
      <c r="O284" s="29">
        <v>79927.679999999993</v>
      </c>
      <c r="P284" s="43">
        <f>IF(Table22[[#This Row],[Discount Applied]],Table22[[#This Row],[Total Sales (in USD)]]*(1-Table22[[#This Row],[Discount Percentage (%)]]/100),Table22[[#This Row],[Total Sales (in USD)]])</f>
        <v>56452.92038399999</v>
      </c>
      <c r="Q284" s="66">
        <f>SQRT(AVERAGE((Table22[[#This Row],[Net Sales (after discount) (in USD)]]-AVERAGE(Table22[Net Sales (after discount) (in USD)]))^2))</f>
        <v>19941.559820235452</v>
      </c>
      <c r="R284" s="18" t="b">
        <v>1</v>
      </c>
      <c r="S284" s="40">
        <v>29.37</v>
      </c>
      <c r="T284" s="18" t="b">
        <v>1</v>
      </c>
      <c r="U284" s="25">
        <v>45216</v>
      </c>
      <c r="V284" s="63" t="str">
        <f>IF(MONTH(Table22[[#This Row],[Sales Date]])&lt;=3,"Q1",IF(MONTH(Table22[[#This Row],[Sales Date]])&lt;=6,"Q2",IF(MONTH(Table22[[#This Row],[Sales Date]])&lt;=9,"Q3","Q4")))</f>
        <v>Q4</v>
      </c>
      <c r="W284" s="64">
        <f>YEAR(Table22[[#This Row],[Sales Date]])</f>
        <v>2023</v>
      </c>
      <c r="X284" s="23">
        <v>58</v>
      </c>
      <c r="Y284" s="18" t="s">
        <v>23</v>
      </c>
      <c r="Z284" s="18" t="s">
        <v>56</v>
      </c>
      <c r="AA284" s="19" t="s">
        <v>25</v>
      </c>
    </row>
    <row r="285" spans="1:27" x14ac:dyDescent="0.25">
      <c r="A285" s="17" t="s">
        <v>362</v>
      </c>
      <c r="B285" s="18" t="s">
        <v>51</v>
      </c>
      <c r="C285" s="63" t="str" cm="1">
        <f t="array" ref="C285">_xlfn.SWITCH(Table22[[#This Row],[Country]],"USA","North America","Canada","North America","Brazil","South America","China","Asia","Japan","Asia","India","Asia","France","Europe","Germany","Europe","UK","Europe","Australia","Oceania","South America")</f>
        <v>Europe</v>
      </c>
      <c r="D285" s="18" t="s">
        <v>44</v>
      </c>
      <c r="E285" s="18" t="s">
        <v>33</v>
      </c>
      <c r="F285" s="18" t="s">
        <v>47</v>
      </c>
      <c r="G285" s="18" t="s">
        <v>48</v>
      </c>
      <c r="H285" s="64">
        <f>LEN(TRIM(Table22[[#This Row],[Country]]))</f>
        <v>2</v>
      </c>
      <c r="I285" s="64">
        <f>LEN(TRIM(Table22[[#This Row],[Continent]]))</f>
        <v>6</v>
      </c>
      <c r="J285" s="64">
        <f>LEN(TRIM(Table22[[#This Row],[Product]]))</f>
        <v>10</v>
      </c>
      <c r="K285" s="64">
        <f>LEN(TRIM(Table22[[#This Row],[Sales Team]]))</f>
        <v>9</v>
      </c>
      <c r="L285" s="23">
        <v>63</v>
      </c>
      <c r="M285" s="65" t="str" cm="1">
        <f t="array" ref="M285">_xlfn.IFS(Table22[[#This Row],[Units Sold]]&lt;40,"Critical",Table22[[#This Row],[Units Sold]]&lt;=50,"Poor",Table22[[#This Row],[Units Sold]]&lt;=60,"Low",Table22[[#This Row],[Units Sold]]&lt;=80,"Average",Table22[[#This Row],[Units Sold]]&lt;=90,"High",Table22[[#This Row],[Units Sold]]&lt;=95,"Excellent",Table22[[#This Row],[Units Sold]]&gt;95,"Outstanding")</f>
        <v>Average</v>
      </c>
      <c r="N285" s="29">
        <v>1266.3900000000001</v>
      </c>
      <c r="O285" s="29">
        <v>79782.570000000007</v>
      </c>
      <c r="P285" s="43">
        <f>IF(Table22[[#This Row],[Discount Applied]],Table22[[#This Row],[Total Sales (in USD)]]*(1-Table22[[#This Row],[Discount Percentage (%)]]/100),Table22[[#This Row],[Total Sales (in USD)]])</f>
        <v>60403.383747000007</v>
      </c>
      <c r="Q285" s="66">
        <f>SQRT(AVERAGE((Table22[[#This Row],[Net Sales (after discount) (in USD)]]-AVERAGE(Table22[Net Sales (after discount) (in USD)]))^2))</f>
        <v>23892.023183235469</v>
      </c>
      <c r="R285" s="18" t="b">
        <v>0</v>
      </c>
      <c r="S285" s="40">
        <v>24.29</v>
      </c>
      <c r="T285" s="18" t="b">
        <v>1</v>
      </c>
      <c r="U285" s="25">
        <v>45145</v>
      </c>
      <c r="V285" s="63" t="str">
        <f>IF(MONTH(Table22[[#This Row],[Sales Date]])&lt;=3,"Q1",IF(MONTH(Table22[[#This Row],[Sales Date]])&lt;=6,"Q2",IF(MONTH(Table22[[#This Row],[Sales Date]])&lt;=9,"Q3","Q4")))</f>
        <v>Q3</v>
      </c>
      <c r="W285" s="64">
        <f>YEAR(Table22[[#This Row],[Sales Date]])</f>
        <v>2023</v>
      </c>
      <c r="X285" s="23">
        <v>18</v>
      </c>
      <c r="Y285" s="18" t="s">
        <v>41</v>
      </c>
      <c r="Z285" s="18" t="s">
        <v>30</v>
      </c>
      <c r="AA285" s="19" t="s">
        <v>36</v>
      </c>
    </row>
    <row r="286" spans="1:27" x14ac:dyDescent="0.25">
      <c r="A286" s="17" t="s">
        <v>1445</v>
      </c>
      <c r="B286" s="18" t="s">
        <v>66</v>
      </c>
      <c r="C286" s="63" t="str" cm="1">
        <f t="array" ref="C286">_xlfn.SWITCH(Table22[[#This Row],[Country]],"USA","North America","Canada","North America","Brazil","South America","China","Asia","Japan","Asia","India","Asia","France","Europe","Germany","Europe","UK","Europe","Australia","Oceania","South America")</f>
        <v>North America</v>
      </c>
      <c r="D286" s="18" t="s">
        <v>21</v>
      </c>
      <c r="E286" s="18" t="s">
        <v>39</v>
      </c>
      <c r="F286" s="18" t="s">
        <v>20</v>
      </c>
      <c r="G286" s="18" t="s">
        <v>22</v>
      </c>
      <c r="H286" s="64">
        <f>LEN(TRIM(Table22[[#This Row],[Country]]))</f>
        <v>6</v>
      </c>
      <c r="I286" s="64">
        <f>LEN(TRIM(Table22[[#This Row],[Continent]]))</f>
        <v>13</v>
      </c>
      <c r="J286" s="64">
        <f>LEN(TRIM(Table22[[#This Row],[Product]]))</f>
        <v>10</v>
      </c>
      <c r="K286" s="64">
        <f>LEN(TRIM(Table22[[#This Row],[Sales Team]]))</f>
        <v>10</v>
      </c>
      <c r="L286" s="23">
        <v>93</v>
      </c>
      <c r="M286" s="65" t="str" cm="1">
        <f t="array" ref="M286">_xlfn.IFS(Table22[[#This Row],[Units Sold]]&lt;40,"Critical",Table22[[#This Row],[Units Sold]]&lt;=50,"Poor",Table22[[#This Row],[Units Sold]]&lt;=60,"Low",Table22[[#This Row],[Units Sold]]&lt;=80,"Average",Table22[[#This Row],[Units Sold]]&lt;=90,"High",Table22[[#This Row],[Units Sold]]&lt;=95,"Excellent",Table22[[#This Row],[Units Sold]]&gt;95,"Outstanding")</f>
        <v>Excellent</v>
      </c>
      <c r="N286" s="29">
        <v>854.56</v>
      </c>
      <c r="O286" s="29">
        <v>79474.080000000002</v>
      </c>
      <c r="P286" s="43">
        <f>IF(Table22[[#This Row],[Discount Applied]],Table22[[#This Row],[Total Sales (in USD)]]*(1-Table22[[#This Row],[Discount Percentage (%)]]/100),Table22[[#This Row],[Total Sales (in USD)]])</f>
        <v>78925.708847999995</v>
      </c>
      <c r="Q286" s="66">
        <f>SQRT(AVERAGE((Table22[[#This Row],[Net Sales (after discount) (in USD)]]-AVERAGE(Table22[Net Sales (after discount) (in USD)]))^2))</f>
        <v>42414.348284235457</v>
      </c>
      <c r="R286" s="18" t="b">
        <v>0</v>
      </c>
      <c r="S286" s="40">
        <v>0.69</v>
      </c>
      <c r="T286" s="18" t="b">
        <v>1</v>
      </c>
      <c r="U286" s="25">
        <v>45437</v>
      </c>
      <c r="V286" s="63" t="str">
        <f>IF(MONTH(Table22[[#This Row],[Sales Date]])&lt;=3,"Q1",IF(MONTH(Table22[[#This Row],[Sales Date]])&lt;=6,"Q2",IF(MONTH(Table22[[#This Row],[Sales Date]])&lt;=9,"Q3","Q4")))</f>
        <v>Q2</v>
      </c>
      <c r="W286" s="64">
        <f>YEAR(Table22[[#This Row],[Sales Date]])</f>
        <v>2024</v>
      </c>
      <c r="X286" s="23">
        <v>66</v>
      </c>
      <c r="Y286" s="18" t="s">
        <v>49</v>
      </c>
      <c r="Z286" s="18" t="s">
        <v>42</v>
      </c>
      <c r="AA286" s="19" t="s">
        <v>36</v>
      </c>
    </row>
    <row r="287" spans="1:27" x14ac:dyDescent="0.25">
      <c r="A287" s="17" t="s">
        <v>1996</v>
      </c>
      <c r="B287" s="18" t="s">
        <v>46</v>
      </c>
      <c r="C287" s="63" t="str" cm="1">
        <f t="array" ref="C287">_xlfn.SWITCH(Table22[[#This Row],[Country]],"USA","North America","Canada","North America","Brazil","South America","China","Asia","Japan","Asia","India","Asia","France","Europe","Germany","Europe","UK","Europe","Australia","Oceania","South America")</f>
        <v>South America</v>
      </c>
      <c r="D287" s="18" t="s">
        <v>35</v>
      </c>
      <c r="E287" s="18" t="s">
        <v>33</v>
      </c>
      <c r="F287" s="18" t="s">
        <v>20</v>
      </c>
      <c r="G287" s="18" t="s">
        <v>40</v>
      </c>
      <c r="H287" s="64">
        <f>LEN(TRIM(Table22[[#This Row],[Country]]))</f>
        <v>6</v>
      </c>
      <c r="I287" s="64">
        <f>LEN(TRIM(Table22[[#This Row],[Continent]]))</f>
        <v>13</v>
      </c>
      <c r="J287" s="64">
        <f>LEN(TRIM(Table22[[#This Row],[Product]]))</f>
        <v>10</v>
      </c>
      <c r="K287" s="64">
        <f>LEN(TRIM(Table22[[#This Row],[Sales Team]]))</f>
        <v>10</v>
      </c>
      <c r="L287" s="23">
        <v>72</v>
      </c>
      <c r="M287" s="65" t="str" cm="1">
        <f t="array" ref="M287">_xlfn.IFS(Table22[[#This Row],[Units Sold]]&lt;40,"Critical",Table22[[#This Row],[Units Sold]]&lt;=50,"Poor",Table22[[#This Row],[Units Sold]]&lt;=60,"Low",Table22[[#This Row],[Units Sold]]&lt;=80,"Average",Table22[[#This Row],[Units Sold]]&lt;=90,"High",Table22[[#This Row],[Units Sold]]&lt;=95,"Excellent",Table22[[#This Row],[Units Sold]]&gt;95,"Outstanding")</f>
        <v>Average</v>
      </c>
      <c r="N287" s="29">
        <v>1102.3699999999999</v>
      </c>
      <c r="O287" s="29">
        <v>79370.64</v>
      </c>
      <c r="P287" s="43">
        <f>IF(Table22[[#This Row],[Discount Applied]],Table22[[#This Row],[Total Sales (in USD)]]*(1-Table22[[#This Row],[Discount Percentage (%)]]/100),Table22[[#This Row],[Total Sales (in USD)]])</f>
        <v>55853.119368</v>
      </c>
      <c r="Q287" s="66">
        <f>SQRT(AVERAGE((Table22[[#This Row],[Net Sales (after discount) (in USD)]]-AVERAGE(Table22[Net Sales (after discount) (in USD)]))^2))</f>
        <v>19341.758804235462</v>
      </c>
      <c r="R287" s="18" t="b">
        <v>0</v>
      </c>
      <c r="S287" s="40">
        <v>29.63</v>
      </c>
      <c r="T287" s="18" t="b">
        <v>1</v>
      </c>
      <c r="U287" s="25">
        <v>45004</v>
      </c>
      <c r="V287" s="63" t="str">
        <f>IF(MONTH(Table22[[#This Row],[Sales Date]])&lt;=3,"Q1",IF(MONTH(Table22[[#This Row],[Sales Date]])&lt;=6,"Q2",IF(MONTH(Table22[[#This Row],[Sales Date]])&lt;=9,"Q3","Q4")))</f>
        <v>Q1</v>
      </c>
      <c r="W287" s="64">
        <f>YEAR(Table22[[#This Row],[Sales Date]])</f>
        <v>2023</v>
      </c>
      <c r="X287" s="23">
        <v>48</v>
      </c>
      <c r="Y287" s="18" t="s">
        <v>49</v>
      </c>
      <c r="Z287" s="18" t="s">
        <v>42</v>
      </c>
      <c r="AA287" s="19" t="s">
        <v>25</v>
      </c>
    </row>
    <row r="288" spans="1:27" x14ac:dyDescent="0.25">
      <c r="A288" s="17" t="s">
        <v>543</v>
      </c>
      <c r="B288" s="18" t="s">
        <v>18</v>
      </c>
      <c r="C288" s="63" t="str" cm="1">
        <f t="array" ref="C288">_xlfn.SWITCH(Table22[[#This Row],[Country]],"USA","North America","Canada","North America","Brazil","South America","China","Asia","Japan","Asia","India","Asia","France","Europe","Germany","Europe","UK","Europe","Australia","Oceania","South America")</f>
        <v>Asia</v>
      </c>
      <c r="D288" s="18" t="s">
        <v>44</v>
      </c>
      <c r="E288" s="18" t="s">
        <v>33</v>
      </c>
      <c r="F288" s="18" t="s">
        <v>64</v>
      </c>
      <c r="G288" s="18" t="s">
        <v>22</v>
      </c>
      <c r="H288" s="64">
        <f>LEN(TRIM(Table22[[#This Row],[Country]]))</f>
        <v>5</v>
      </c>
      <c r="I288" s="64">
        <f>LEN(TRIM(Table22[[#This Row],[Continent]]))</f>
        <v>4</v>
      </c>
      <c r="J288" s="64">
        <f>LEN(TRIM(Table22[[#This Row],[Product]]))</f>
        <v>10</v>
      </c>
      <c r="K288" s="64">
        <f>LEN(TRIM(Table22[[#This Row],[Sales Team]]))</f>
        <v>10</v>
      </c>
      <c r="L288" s="23">
        <v>66</v>
      </c>
      <c r="M288" s="65" t="str" cm="1">
        <f t="array" ref="M288">_xlfn.IFS(Table22[[#This Row],[Units Sold]]&lt;40,"Critical",Table22[[#This Row],[Units Sold]]&lt;=50,"Poor",Table22[[#This Row],[Units Sold]]&lt;=60,"Low",Table22[[#This Row],[Units Sold]]&lt;=80,"Average",Table22[[#This Row],[Units Sold]]&lt;=90,"High",Table22[[#This Row],[Units Sold]]&lt;=95,"Excellent",Table22[[#This Row],[Units Sold]]&gt;95,"Outstanding")</f>
        <v>Average</v>
      </c>
      <c r="N288" s="29">
        <v>1200.77</v>
      </c>
      <c r="O288" s="29">
        <v>79250.820000000007</v>
      </c>
      <c r="P288" s="43">
        <f>IF(Table22[[#This Row],[Discount Applied]],Table22[[#This Row],[Total Sales (in USD)]]*(1-Table22[[#This Row],[Discount Percentage (%)]]/100),Table22[[#This Row],[Total Sales (in USD)]])</f>
        <v>79250.820000000007</v>
      </c>
      <c r="Q288" s="66">
        <f>SQRT(AVERAGE((Table22[[#This Row],[Net Sales (after discount) (in USD)]]-AVERAGE(Table22[Net Sales (after discount) (in USD)]))^2))</f>
        <v>42739.459436235469</v>
      </c>
      <c r="R288" s="18" t="b">
        <v>0</v>
      </c>
      <c r="S288" s="40">
        <v>19.920000000000002</v>
      </c>
      <c r="T288" s="18" t="b">
        <v>0</v>
      </c>
      <c r="U288" s="25">
        <v>45157</v>
      </c>
      <c r="V288" s="63" t="str">
        <f>IF(MONTH(Table22[[#This Row],[Sales Date]])&lt;=3,"Q1",IF(MONTH(Table22[[#This Row],[Sales Date]])&lt;=6,"Q2",IF(MONTH(Table22[[#This Row],[Sales Date]])&lt;=9,"Q3","Q4")))</f>
        <v>Q3</v>
      </c>
      <c r="W288" s="64">
        <f>YEAR(Table22[[#This Row],[Sales Date]])</f>
        <v>2023</v>
      </c>
      <c r="X288" s="23">
        <v>48</v>
      </c>
      <c r="Y288" s="18" t="s">
        <v>41</v>
      </c>
      <c r="Z288" s="18" t="s">
        <v>56</v>
      </c>
      <c r="AA288" s="19" t="s">
        <v>25</v>
      </c>
    </row>
    <row r="289" spans="1:27" x14ac:dyDescent="0.25">
      <c r="A289" s="17" t="s">
        <v>461</v>
      </c>
      <c r="B289" s="18" t="s">
        <v>38</v>
      </c>
      <c r="C289" s="63" t="str" cm="1">
        <f t="array" ref="C289">_xlfn.SWITCH(Table22[[#This Row],[Country]],"USA","North America","Canada","North America","Brazil","South America","China","Asia","Japan","Asia","India","Asia","France","Europe","Germany","Europe","UK","Europe","Australia","Oceania","South America")</f>
        <v>Europe</v>
      </c>
      <c r="D289" s="18" t="s">
        <v>44</v>
      </c>
      <c r="E289" s="18" t="s">
        <v>39</v>
      </c>
      <c r="F289" s="18" t="s">
        <v>47</v>
      </c>
      <c r="G289" s="18" t="s">
        <v>48</v>
      </c>
      <c r="H289" s="64">
        <f>LEN(TRIM(Table22[[#This Row],[Country]]))</f>
        <v>6</v>
      </c>
      <c r="I289" s="64">
        <f>LEN(TRIM(Table22[[#This Row],[Continent]]))</f>
        <v>6</v>
      </c>
      <c r="J289" s="64">
        <f>LEN(TRIM(Table22[[#This Row],[Product]]))</f>
        <v>10</v>
      </c>
      <c r="K289" s="64">
        <f>LEN(TRIM(Table22[[#This Row],[Sales Team]]))</f>
        <v>9</v>
      </c>
      <c r="L289" s="23">
        <v>54</v>
      </c>
      <c r="M289" s="65" t="str" cm="1">
        <f t="array" ref="M289">_xlfn.IFS(Table22[[#This Row],[Units Sold]]&lt;40,"Critical",Table22[[#This Row],[Units Sold]]&lt;=50,"Poor",Table22[[#This Row],[Units Sold]]&lt;=60,"Low",Table22[[#This Row],[Units Sold]]&lt;=80,"Average",Table22[[#This Row],[Units Sold]]&lt;=90,"High",Table22[[#This Row],[Units Sold]]&lt;=95,"Excellent",Table22[[#This Row],[Units Sold]]&gt;95,"Outstanding")</f>
        <v>Low</v>
      </c>
      <c r="N289" s="29">
        <v>1464.4</v>
      </c>
      <c r="O289" s="29">
        <v>79077.600000000006</v>
      </c>
      <c r="P289" s="43">
        <f>IF(Table22[[#This Row],[Discount Applied]],Table22[[#This Row],[Total Sales (in USD)]]*(1-Table22[[#This Row],[Discount Percentage (%)]]/100),Table22[[#This Row],[Total Sales (in USD)]])</f>
        <v>79077.600000000006</v>
      </c>
      <c r="Q289" s="66">
        <f>SQRT(AVERAGE((Table22[[#This Row],[Net Sales (after discount) (in USD)]]-AVERAGE(Table22[Net Sales (after discount) (in USD)]))^2))</f>
        <v>42566.239436235468</v>
      </c>
      <c r="R289" s="18" t="b">
        <v>0</v>
      </c>
      <c r="S289" s="40">
        <v>0.66</v>
      </c>
      <c r="T289" s="18" t="b">
        <v>0</v>
      </c>
      <c r="U289" s="25">
        <v>45445</v>
      </c>
      <c r="V289" s="63" t="str">
        <f>IF(MONTH(Table22[[#This Row],[Sales Date]])&lt;=3,"Q1",IF(MONTH(Table22[[#This Row],[Sales Date]])&lt;=6,"Q2",IF(MONTH(Table22[[#This Row],[Sales Date]])&lt;=9,"Q3","Q4")))</f>
        <v>Q2</v>
      </c>
      <c r="W289" s="64">
        <f>YEAR(Table22[[#This Row],[Sales Date]])</f>
        <v>2024</v>
      </c>
      <c r="X289" s="23">
        <v>50</v>
      </c>
      <c r="Y289" s="18" t="s">
        <v>23</v>
      </c>
      <c r="Z289" s="18" t="s">
        <v>30</v>
      </c>
      <c r="AA289" s="19" t="s">
        <v>25</v>
      </c>
    </row>
    <row r="290" spans="1:27" x14ac:dyDescent="0.25">
      <c r="A290" s="17" t="s">
        <v>692</v>
      </c>
      <c r="B290" s="18" t="s">
        <v>72</v>
      </c>
      <c r="C290" s="63" t="str" cm="1">
        <f t="array" ref="C290">_xlfn.SWITCH(Table22[[#This Row],[Country]],"USA","North America","Canada","North America","Brazil","South America","China","Asia","Japan","Asia","India","Asia","France","Europe","Germany","Europe","UK","Europe","Australia","Oceania","South America")</f>
        <v>North America</v>
      </c>
      <c r="D290" s="18" t="s">
        <v>35</v>
      </c>
      <c r="E290" s="18" t="s">
        <v>19</v>
      </c>
      <c r="F290" s="18" t="s">
        <v>20</v>
      </c>
      <c r="G290" s="18" t="s">
        <v>40</v>
      </c>
      <c r="H290" s="64">
        <f>LEN(TRIM(Table22[[#This Row],[Country]]))</f>
        <v>3</v>
      </c>
      <c r="I290" s="64">
        <f>LEN(TRIM(Table22[[#This Row],[Continent]]))</f>
        <v>13</v>
      </c>
      <c r="J290" s="64">
        <f>LEN(TRIM(Table22[[#This Row],[Product]]))</f>
        <v>6</v>
      </c>
      <c r="K290" s="64">
        <f>LEN(TRIM(Table22[[#This Row],[Sales Team]]))</f>
        <v>10</v>
      </c>
      <c r="L290" s="23">
        <v>62</v>
      </c>
      <c r="M290" s="65" t="str" cm="1">
        <f t="array" ref="M290">_xlfn.IFS(Table22[[#This Row],[Units Sold]]&lt;40,"Critical",Table22[[#This Row],[Units Sold]]&lt;=50,"Poor",Table22[[#This Row],[Units Sold]]&lt;=60,"Low",Table22[[#This Row],[Units Sold]]&lt;=80,"Average",Table22[[#This Row],[Units Sold]]&lt;=90,"High",Table22[[#This Row],[Units Sold]]&lt;=95,"Excellent",Table22[[#This Row],[Units Sold]]&gt;95,"Outstanding")</f>
        <v>Average</v>
      </c>
      <c r="N290" s="29">
        <v>1272.8900000000001</v>
      </c>
      <c r="O290" s="29">
        <v>78919.179999999993</v>
      </c>
      <c r="P290" s="43">
        <f>IF(Table22[[#This Row],[Discount Applied]],Table22[[#This Row],[Total Sales (in USD)]]*(1-Table22[[#This Row],[Discount Percentage (%)]]/100),Table22[[#This Row],[Total Sales (in USD)]])</f>
        <v>78919.179999999993</v>
      </c>
      <c r="Q290" s="66">
        <f>SQRT(AVERAGE((Table22[[#This Row],[Net Sales (after discount) (in USD)]]-AVERAGE(Table22[Net Sales (after discount) (in USD)]))^2))</f>
        <v>42407.819436235455</v>
      </c>
      <c r="R290" s="18" t="b">
        <v>0</v>
      </c>
      <c r="S290" s="40">
        <v>14.47</v>
      </c>
      <c r="T290" s="18" t="b">
        <v>0</v>
      </c>
      <c r="U290" s="25">
        <v>44949</v>
      </c>
      <c r="V290" s="63" t="str">
        <f>IF(MONTH(Table22[[#This Row],[Sales Date]])&lt;=3,"Q1",IF(MONTH(Table22[[#This Row],[Sales Date]])&lt;=6,"Q2",IF(MONTH(Table22[[#This Row],[Sales Date]])&lt;=9,"Q3","Q4")))</f>
        <v>Q1</v>
      </c>
      <c r="W290" s="64">
        <f>YEAR(Table22[[#This Row],[Sales Date]])</f>
        <v>2023</v>
      </c>
      <c r="X290" s="23">
        <v>33</v>
      </c>
      <c r="Y290" s="18" t="s">
        <v>23</v>
      </c>
      <c r="Z290" s="18" t="s">
        <v>42</v>
      </c>
      <c r="AA290" s="19" t="s">
        <v>36</v>
      </c>
    </row>
    <row r="291" spans="1:27" x14ac:dyDescent="0.25">
      <c r="A291" s="17" t="s">
        <v>1420</v>
      </c>
      <c r="B291" s="18" t="s">
        <v>72</v>
      </c>
      <c r="C291" s="63" t="str" cm="1">
        <f t="array" ref="C291">_xlfn.SWITCH(Table22[[#This Row],[Country]],"USA","North America","Canada","North America","Brazil","South America","China","Asia","Japan","Asia","India","Asia","France","Europe","Germany","Europe","UK","Europe","Australia","Oceania","South America")</f>
        <v>North America</v>
      </c>
      <c r="D291" s="18" t="s">
        <v>28</v>
      </c>
      <c r="E291" s="18" t="s">
        <v>39</v>
      </c>
      <c r="F291" s="18" t="s">
        <v>64</v>
      </c>
      <c r="G291" s="18" t="s">
        <v>48</v>
      </c>
      <c r="H291" s="64">
        <f>LEN(TRIM(Table22[[#This Row],[Country]]))</f>
        <v>3</v>
      </c>
      <c r="I291" s="64">
        <f>LEN(TRIM(Table22[[#This Row],[Continent]]))</f>
        <v>13</v>
      </c>
      <c r="J291" s="64">
        <f>LEN(TRIM(Table22[[#This Row],[Product]]))</f>
        <v>10</v>
      </c>
      <c r="K291" s="64">
        <f>LEN(TRIM(Table22[[#This Row],[Sales Team]]))</f>
        <v>9</v>
      </c>
      <c r="L291" s="23">
        <v>53</v>
      </c>
      <c r="M291" s="65" t="str" cm="1">
        <f t="array" ref="M291">_xlfn.IFS(Table22[[#This Row],[Units Sold]]&lt;40,"Critical",Table22[[#This Row],[Units Sold]]&lt;=50,"Poor",Table22[[#This Row],[Units Sold]]&lt;=60,"Low",Table22[[#This Row],[Units Sold]]&lt;=80,"Average",Table22[[#This Row],[Units Sold]]&lt;=90,"High",Table22[[#This Row],[Units Sold]]&lt;=95,"Excellent",Table22[[#This Row],[Units Sold]]&gt;95,"Outstanding")</f>
        <v>Low</v>
      </c>
      <c r="N291" s="29">
        <v>1488.08</v>
      </c>
      <c r="O291" s="29">
        <v>78868.240000000005</v>
      </c>
      <c r="P291" s="43">
        <f>IF(Table22[[#This Row],[Discount Applied]],Table22[[#This Row],[Total Sales (in USD)]]*(1-Table22[[#This Row],[Discount Percentage (%)]]/100),Table22[[#This Row],[Total Sales (in USD)]])</f>
        <v>57983.930048000009</v>
      </c>
      <c r="Q291" s="66">
        <f>SQRT(AVERAGE((Table22[[#This Row],[Net Sales (after discount) (in USD)]]-AVERAGE(Table22[Net Sales (after discount) (in USD)]))^2))</f>
        <v>21472.569484235471</v>
      </c>
      <c r="R291" s="18" t="b">
        <v>0</v>
      </c>
      <c r="S291" s="40">
        <v>26.48</v>
      </c>
      <c r="T291" s="18" t="b">
        <v>1</v>
      </c>
      <c r="U291" s="25">
        <v>45172</v>
      </c>
      <c r="V291" s="63" t="str">
        <f>IF(MONTH(Table22[[#This Row],[Sales Date]])&lt;=3,"Q1",IF(MONTH(Table22[[#This Row],[Sales Date]])&lt;=6,"Q2",IF(MONTH(Table22[[#This Row],[Sales Date]])&lt;=9,"Q3","Q4")))</f>
        <v>Q3</v>
      </c>
      <c r="W291" s="64">
        <f>YEAR(Table22[[#This Row],[Sales Date]])</f>
        <v>2023</v>
      </c>
      <c r="X291" s="23">
        <v>66</v>
      </c>
      <c r="Y291" s="18" t="s">
        <v>49</v>
      </c>
      <c r="Z291" s="18" t="s">
        <v>42</v>
      </c>
      <c r="AA291" s="19" t="s">
        <v>36</v>
      </c>
    </row>
    <row r="292" spans="1:27" x14ac:dyDescent="0.25">
      <c r="A292" s="17" t="s">
        <v>1796</v>
      </c>
      <c r="B292" s="18" t="s">
        <v>72</v>
      </c>
      <c r="C292" s="63" t="str" cm="1">
        <f t="array" ref="C292">_xlfn.SWITCH(Table22[[#This Row],[Country]],"USA","North America","Canada","North America","Brazil","South America","China","Asia","Japan","Asia","India","Asia","France","Europe","Germany","Europe","UK","Europe","Australia","Oceania","South America")</f>
        <v>North America</v>
      </c>
      <c r="D292" s="18" t="s">
        <v>35</v>
      </c>
      <c r="E292" s="18" t="s">
        <v>33</v>
      </c>
      <c r="F292" s="18" t="s">
        <v>64</v>
      </c>
      <c r="G292" s="18" t="s">
        <v>40</v>
      </c>
      <c r="H292" s="64">
        <f>LEN(TRIM(Table22[[#This Row],[Country]]))</f>
        <v>3</v>
      </c>
      <c r="I292" s="64">
        <f>LEN(TRIM(Table22[[#This Row],[Continent]]))</f>
        <v>13</v>
      </c>
      <c r="J292" s="64">
        <f>LEN(TRIM(Table22[[#This Row],[Product]]))</f>
        <v>10</v>
      </c>
      <c r="K292" s="64">
        <f>LEN(TRIM(Table22[[#This Row],[Sales Team]]))</f>
        <v>10</v>
      </c>
      <c r="L292" s="23">
        <v>88</v>
      </c>
      <c r="M292" s="65" t="str" cm="1">
        <f t="array" ref="M292">_xlfn.IFS(Table22[[#This Row],[Units Sold]]&lt;40,"Critical",Table22[[#This Row],[Units Sold]]&lt;=50,"Poor",Table22[[#This Row],[Units Sold]]&lt;=60,"Low",Table22[[#This Row],[Units Sold]]&lt;=80,"Average",Table22[[#This Row],[Units Sold]]&lt;=90,"High",Table22[[#This Row],[Units Sold]]&lt;=95,"Excellent",Table22[[#This Row],[Units Sold]]&gt;95,"Outstanding")</f>
        <v>High</v>
      </c>
      <c r="N292" s="29">
        <v>894.16</v>
      </c>
      <c r="O292" s="29">
        <v>78686.080000000002</v>
      </c>
      <c r="P292" s="43">
        <f>IF(Table22[[#This Row],[Discount Applied]],Table22[[#This Row],[Total Sales (in USD)]]*(1-Table22[[#This Row],[Discount Percentage (%)]]/100),Table22[[#This Row],[Total Sales (in USD)]])</f>
        <v>78686.080000000002</v>
      </c>
      <c r="Q292" s="66">
        <f>SQRT(AVERAGE((Table22[[#This Row],[Net Sales (after discount) (in USD)]]-AVERAGE(Table22[Net Sales (after discount) (in USD)]))^2))</f>
        <v>42174.719436235464</v>
      </c>
      <c r="R292" s="18" t="b">
        <v>1</v>
      </c>
      <c r="S292" s="40">
        <v>16.55</v>
      </c>
      <c r="T292" s="18" t="b">
        <v>0</v>
      </c>
      <c r="U292" s="25">
        <v>45556</v>
      </c>
      <c r="V292" s="63" t="str">
        <f>IF(MONTH(Table22[[#This Row],[Sales Date]])&lt;=3,"Q1",IF(MONTH(Table22[[#This Row],[Sales Date]])&lt;=6,"Q2",IF(MONTH(Table22[[#This Row],[Sales Date]])&lt;=9,"Q3","Q4")))</f>
        <v>Q3</v>
      </c>
      <c r="W292" s="64">
        <f>YEAR(Table22[[#This Row],[Sales Date]])</f>
        <v>2024</v>
      </c>
      <c r="X292" s="23">
        <v>21</v>
      </c>
      <c r="Y292" s="18" t="s">
        <v>41</v>
      </c>
      <c r="Z292" s="18" t="s">
        <v>24</v>
      </c>
      <c r="AA292" s="19" t="s">
        <v>36</v>
      </c>
    </row>
    <row r="293" spans="1:27" x14ac:dyDescent="0.25">
      <c r="A293" s="17" t="s">
        <v>1621</v>
      </c>
      <c r="B293" s="18" t="s">
        <v>32</v>
      </c>
      <c r="C293" s="63" t="str" cm="1">
        <f t="array" ref="C293">_xlfn.SWITCH(Table22[[#This Row],[Country]],"USA","North America","Canada","North America","Brazil","South America","China","Asia","Japan","Asia","India","Asia","France","Europe","Germany","Europe","UK","Europe","Australia","Oceania","South America")</f>
        <v>Asia</v>
      </c>
      <c r="D293" s="18" t="s">
        <v>35</v>
      </c>
      <c r="E293" s="18" t="s">
        <v>39</v>
      </c>
      <c r="F293" s="18" t="s">
        <v>34</v>
      </c>
      <c r="G293" s="18" t="s">
        <v>22</v>
      </c>
      <c r="H293" s="64">
        <f>LEN(TRIM(Table22[[#This Row],[Country]]))</f>
        <v>5</v>
      </c>
      <c r="I293" s="64">
        <f>LEN(TRIM(Table22[[#This Row],[Continent]]))</f>
        <v>4</v>
      </c>
      <c r="J293" s="64">
        <f>LEN(TRIM(Table22[[#This Row],[Product]]))</f>
        <v>10</v>
      </c>
      <c r="K293" s="64">
        <f>LEN(TRIM(Table22[[#This Row],[Sales Team]]))</f>
        <v>10</v>
      </c>
      <c r="L293" s="23">
        <v>64</v>
      </c>
      <c r="M293" s="65" t="str" cm="1">
        <f t="array" ref="M293">_xlfn.IFS(Table22[[#This Row],[Units Sold]]&lt;40,"Critical",Table22[[#This Row],[Units Sold]]&lt;=50,"Poor",Table22[[#This Row],[Units Sold]]&lt;=60,"Low",Table22[[#This Row],[Units Sold]]&lt;=80,"Average",Table22[[#This Row],[Units Sold]]&lt;=90,"High",Table22[[#This Row],[Units Sold]]&lt;=95,"Excellent",Table22[[#This Row],[Units Sold]]&gt;95,"Outstanding")</f>
        <v>Average</v>
      </c>
      <c r="N293" s="29">
        <v>1228.5</v>
      </c>
      <c r="O293" s="29">
        <v>78624</v>
      </c>
      <c r="P293" s="43">
        <f>IF(Table22[[#This Row],[Discount Applied]],Table22[[#This Row],[Total Sales (in USD)]]*(1-Table22[[#This Row],[Discount Percentage (%)]]/100),Table22[[#This Row],[Total Sales (in USD)]])</f>
        <v>78624</v>
      </c>
      <c r="Q293" s="66">
        <f>SQRT(AVERAGE((Table22[[#This Row],[Net Sales (after discount) (in USD)]]-AVERAGE(Table22[Net Sales (after discount) (in USD)]))^2))</f>
        <v>42112.639436235462</v>
      </c>
      <c r="R293" s="18" t="b">
        <v>0</v>
      </c>
      <c r="S293" s="40">
        <v>16.34</v>
      </c>
      <c r="T293" s="18" t="b">
        <v>0</v>
      </c>
      <c r="U293" s="25">
        <v>45490</v>
      </c>
      <c r="V293" s="63" t="str">
        <f>IF(MONTH(Table22[[#This Row],[Sales Date]])&lt;=3,"Q1",IF(MONTH(Table22[[#This Row],[Sales Date]])&lt;=6,"Q2",IF(MONTH(Table22[[#This Row],[Sales Date]])&lt;=9,"Q3","Q4")))</f>
        <v>Q3</v>
      </c>
      <c r="W293" s="64">
        <f>YEAR(Table22[[#This Row],[Sales Date]])</f>
        <v>2024</v>
      </c>
      <c r="X293" s="23">
        <v>50</v>
      </c>
      <c r="Y293" s="18" t="s">
        <v>49</v>
      </c>
      <c r="Z293" s="18" t="s">
        <v>42</v>
      </c>
      <c r="AA293" s="19" t="s">
        <v>36</v>
      </c>
    </row>
    <row r="294" spans="1:27" x14ac:dyDescent="0.25">
      <c r="A294" s="17" t="s">
        <v>916</v>
      </c>
      <c r="B294" s="18" t="s">
        <v>38</v>
      </c>
      <c r="C294" s="63" t="str" cm="1">
        <f t="array" ref="C294">_xlfn.SWITCH(Table22[[#This Row],[Country]],"USA","North America","Canada","North America","Brazil","South America","China","Asia","Japan","Asia","India","Asia","France","Europe","Germany","Europe","UK","Europe","Australia","Oceania","South America")</f>
        <v>Europe</v>
      </c>
      <c r="D294" s="18" t="s">
        <v>21</v>
      </c>
      <c r="E294" s="18" t="s">
        <v>33</v>
      </c>
      <c r="F294" s="18" t="s">
        <v>52</v>
      </c>
      <c r="G294" s="18" t="s">
        <v>48</v>
      </c>
      <c r="H294" s="64">
        <f>LEN(TRIM(Table22[[#This Row],[Country]]))</f>
        <v>6</v>
      </c>
      <c r="I294" s="64">
        <f>LEN(TRIM(Table22[[#This Row],[Continent]]))</f>
        <v>6</v>
      </c>
      <c r="J294" s="64">
        <f>LEN(TRIM(Table22[[#This Row],[Product]]))</f>
        <v>10</v>
      </c>
      <c r="K294" s="64">
        <f>LEN(TRIM(Table22[[#This Row],[Sales Team]]))</f>
        <v>9</v>
      </c>
      <c r="L294" s="23">
        <v>53</v>
      </c>
      <c r="M294" s="65" t="str" cm="1">
        <f t="array" ref="M294">_xlfn.IFS(Table22[[#This Row],[Units Sold]]&lt;40,"Critical",Table22[[#This Row],[Units Sold]]&lt;=50,"Poor",Table22[[#This Row],[Units Sold]]&lt;=60,"Low",Table22[[#This Row],[Units Sold]]&lt;=80,"Average",Table22[[#This Row],[Units Sold]]&lt;=90,"High",Table22[[#This Row],[Units Sold]]&lt;=95,"Excellent",Table22[[#This Row],[Units Sold]]&gt;95,"Outstanding")</f>
        <v>Low</v>
      </c>
      <c r="N294" s="29">
        <v>1481.46</v>
      </c>
      <c r="O294" s="29">
        <v>78517.38</v>
      </c>
      <c r="P294" s="43">
        <f>IF(Table22[[#This Row],[Discount Applied]],Table22[[#This Row],[Total Sales (in USD)]]*(1-Table22[[#This Row],[Discount Percentage (%)]]/100),Table22[[#This Row],[Total Sales (in USD)]])</f>
        <v>63936.702534000004</v>
      </c>
      <c r="Q294" s="66">
        <f>SQRT(AVERAGE((Table22[[#This Row],[Net Sales (after discount) (in USD)]]-AVERAGE(Table22[Net Sales (after discount) (in USD)]))^2))</f>
        <v>27425.341970235466</v>
      </c>
      <c r="R294" s="18" t="b">
        <v>0</v>
      </c>
      <c r="S294" s="40">
        <v>18.57</v>
      </c>
      <c r="T294" s="18" t="b">
        <v>1</v>
      </c>
      <c r="U294" s="25">
        <v>45582</v>
      </c>
      <c r="V294" s="63" t="str">
        <f>IF(MONTH(Table22[[#This Row],[Sales Date]])&lt;=3,"Q1",IF(MONTH(Table22[[#This Row],[Sales Date]])&lt;=6,"Q2",IF(MONTH(Table22[[#This Row],[Sales Date]])&lt;=9,"Q3","Q4")))</f>
        <v>Q4</v>
      </c>
      <c r="W294" s="64">
        <f>YEAR(Table22[[#This Row],[Sales Date]])</f>
        <v>2024</v>
      </c>
      <c r="X294" s="23">
        <v>30</v>
      </c>
      <c r="Y294" s="18" t="s">
        <v>41</v>
      </c>
      <c r="Z294" s="18" t="s">
        <v>42</v>
      </c>
      <c r="AA294" s="19" t="s">
        <v>25</v>
      </c>
    </row>
    <row r="295" spans="1:27" x14ac:dyDescent="0.25">
      <c r="A295" s="17" t="s">
        <v>1662</v>
      </c>
      <c r="B295" s="18" t="s">
        <v>32</v>
      </c>
      <c r="C295" s="63" t="str" cm="1">
        <f t="array" ref="C295">_xlfn.SWITCH(Table22[[#This Row],[Country]],"USA","North America","Canada","North America","Brazil","South America","China","Asia","Japan","Asia","India","Asia","France","Europe","Germany","Europe","UK","Europe","Australia","Oceania","South America")</f>
        <v>Asia</v>
      </c>
      <c r="D295" s="18" t="s">
        <v>21</v>
      </c>
      <c r="E295" s="18" t="s">
        <v>19</v>
      </c>
      <c r="F295" s="18" t="s">
        <v>34</v>
      </c>
      <c r="G295" s="18" t="s">
        <v>40</v>
      </c>
      <c r="H295" s="64">
        <f>LEN(TRIM(Table22[[#This Row],[Country]]))</f>
        <v>5</v>
      </c>
      <c r="I295" s="64">
        <f>LEN(TRIM(Table22[[#This Row],[Continent]]))</f>
        <v>4</v>
      </c>
      <c r="J295" s="64">
        <f>LEN(TRIM(Table22[[#This Row],[Product]]))</f>
        <v>6</v>
      </c>
      <c r="K295" s="64">
        <f>LEN(TRIM(Table22[[#This Row],[Sales Team]]))</f>
        <v>10</v>
      </c>
      <c r="L295" s="23">
        <v>91</v>
      </c>
      <c r="M295" s="65" t="str" cm="1">
        <f t="array" ref="M295">_xlfn.IFS(Table22[[#This Row],[Units Sold]]&lt;40,"Critical",Table22[[#This Row],[Units Sold]]&lt;=50,"Poor",Table22[[#This Row],[Units Sold]]&lt;=60,"Low",Table22[[#This Row],[Units Sold]]&lt;=80,"Average",Table22[[#This Row],[Units Sold]]&lt;=90,"High",Table22[[#This Row],[Units Sold]]&lt;=95,"Excellent",Table22[[#This Row],[Units Sold]]&gt;95,"Outstanding")</f>
        <v>Excellent</v>
      </c>
      <c r="N295" s="29">
        <v>860.13</v>
      </c>
      <c r="O295" s="29">
        <v>78271.83</v>
      </c>
      <c r="P295" s="43">
        <f>IF(Table22[[#This Row],[Discount Applied]],Table22[[#This Row],[Total Sales (in USD)]]*(1-Table22[[#This Row],[Discount Percentage (%)]]/100),Table22[[#This Row],[Total Sales (in USD)]])</f>
        <v>78271.83</v>
      </c>
      <c r="Q295" s="66">
        <f>SQRT(AVERAGE((Table22[[#This Row],[Net Sales (after discount) (in USD)]]-AVERAGE(Table22[Net Sales (after discount) (in USD)]))^2))</f>
        <v>41760.469436235464</v>
      </c>
      <c r="R295" s="18" t="b">
        <v>0</v>
      </c>
      <c r="S295" s="40">
        <v>25.45</v>
      </c>
      <c r="T295" s="18" t="b">
        <v>0</v>
      </c>
      <c r="U295" s="25">
        <v>45144</v>
      </c>
      <c r="V295" s="63" t="str">
        <f>IF(MONTH(Table22[[#This Row],[Sales Date]])&lt;=3,"Q1",IF(MONTH(Table22[[#This Row],[Sales Date]])&lt;=6,"Q2",IF(MONTH(Table22[[#This Row],[Sales Date]])&lt;=9,"Q3","Q4")))</f>
        <v>Q3</v>
      </c>
      <c r="W295" s="64">
        <f>YEAR(Table22[[#This Row],[Sales Date]])</f>
        <v>2023</v>
      </c>
      <c r="X295" s="23">
        <v>43</v>
      </c>
      <c r="Y295" s="18" t="s">
        <v>41</v>
      </c>
      <c r="Z295" s="18" t="s">
        <v>24</v>
      </c>
      <c r="AA295" s="19" t="s">
        <v>25</v>
      </c>
    </row>
    <row r="296" spans="1:27" x14ac:dyDescent="0.25">
      <c r="A296" s="17" t="s">
        <v>1255</v>
      </c>
      <c r="B296" s="18" t="s">
        <v>18</v>
      </c>
      <c r="C296" s="63" t="str" cm="1">
        <f t="array" ref="C296">_xlfn.SWITCH(Table22[[#This Row],[Country]],"USA","North America","Canada","North America","Brazil","South America","China","Asia","Japan","Asia","India","Asia","France","Europe","Germany","Europe","UK","Europe","Australia","Oceania","South America")</f>
        <v>Asia</v>
      </c>
      <c r="D296" s="18" t="s">
        <v>44</v>
      </c>
      <c r="E296" s="18" t="s">
        <v>39</v>
      </c>
      <c r="F296" s="18" t="s">
        <v>52</v>
      </c>
      <c r="G296" s="18" t="s">
        <v>22</v>
      </c>
      <c r="H296" s="64">
        <f>LEN(TRIM(Table22[[#This Row],[Country]]))</f>
        <v>5</v>
      </c>
      <c r="I296" s="64">
        <f>LEN(TRIM(Table22[[#This Row],[Continent]]))</f>
        <v>4</v>
      </c>
      <c r="J296" s="64">
        <f>LEN(TRIM(Table22[[#This Row],[Product]]))</f>
        <v>10</v>
      </c>
      <c r="K296" s="64">
        <f>LEN(TRIM(Table22[[#This Row],[Sales Team]]))</f>
        <v>10</v>
      </c>
      <c r="L296" s="23">
        <v>65</v>
      </c>
      <c r="M296" s="65" t="str" cm="1">
        <f t="array" ref="M296">_xlfn.IFS(Table22[[#This Row],[Units Sold]]&lt;40,"Critical",Table22[[#This Row],[Units Sold]]&lt;=50,"Poor",Table22[[#This Row],[Units Sold]]&lt;=60,"Low",Table22[[#This Row],[Units Sold]]&lt;=80,"Average",Table22[[#This Row],[Units Sold]]&lt;=90,"High",Table22[[#This Row],[Units Sold]]&lt;=95,"Excellent",Table22[[#This Row],[Units Sold]]&gt;95,"Outstanding")</f>
        <v>Average</v>
      </c>
      <c r="N296" s="29">
        <v>1202.46</v>
      </c>
      <c r="O296" s="29">
        <v>78159.899999999994</v>
      </c>
      <c r="P296" s="43">
        <f>IF(Table22[[#This Row],[Discount Applied]],Table22[[#This Row],[Total Sales (in USD)]]*(1-Table22[[#This Row],[Discount Percentage (%)]]/100),Table22[[#This Row],[Total Sales (in USD)]])</f>
        <v>55548.240929999993</v>
      </c>
      <c r="Q296" s="66">
        <f>SQRT(AVERAGE((Table22[[#This Row],[Net Sales (after discount) (in USD)]]-AVERAGE(Table22[Net Sales (after discount) (in USD)]))^2))</f>
        <v>19036.880366235455</v>
      </c>
      <c r="R296" s="18" t="b">
        <v>0</v>
      </c>
      <c r="S296" s="40">
        <v>28.93</v>
      </c>
      <c r="T296" s="18" t="b">
        <v>1</v>
      </c>
      <c r="U296" s="25">
        <v>45568</v>
      </c>
      <c r="V296" s="63" t="str">
        <f>IF(MONTH(Table22[[#This Row],[Sales Date]])&lt;=3,"Q1",IF(MONTH(Table22[[#This Row],[Sales Date]])&lt;=6,"Q2",IF(MONTH(Table22[[#This Row],[Sales Date]])&lt;=9,"Q3","Q4")))</f>
        <v>Q4</v>
      </c>
      <c r="W296" s="64">
        <f>YEAR(Table22[[#This Row],[Sales Date]])</f>
        <v>2024</v>
      </c>
      <c r="X296" s="23">
        <v>51</v>
      </c>
      <c r="Y296" s="18" t="s">
        <v>23</v>
      </c>
      <c r="Z296" s="18" t="s">
        <v>42</v>
      </c>
      <c r="AA296" s="19" t="s">
        <v>36</v>
      </c>
    </row>
    <row r="297" spans="1:27" x14ac:dyDescent="0.25">
      <c r="A297" s="17" t="s">
        <v>2049</v>
      </c>
      <c r="B297" s="18" t="s">
        <v>38</v>
      </c>
      <c r="C297" s="63" t="str" cm="1">
        <f t="array" ref="C297">_xlfn.SWITCH(Table22[[#This Row],[Country]],"USA","North America","Canada","North America","Brazil","South America","China","Asia","Japan","Asia","India","Asia","France","Europe","Germany","Europe","UK","Europe","Australia","Oceania","South America")</f>
        <v>Europe</v>
      </c>
      <c r="D297" s="18" t="s">
        <v>35</v>
      </c>
      <c r="E297" s="18" t="s">
        <v>33</v>
      </c>
      <c r="F297" s="18" t="s">
        <v>52</v>
      </c>
      <c r="G297" s="18" t="s">
        <v>29</v>
      </c>
      <c r="H297" s="64">
        <f>LEN(TRIM(Table22[[#This Row],[Country]]))</f>
        <v>6</v>
      </c>
      <c r="I297" s="64">
        <f>LEN(TRIM(Table22[[#This Row],[Continent]]))</f>
        <v>6</v>
      </c>
      <c r="J297" s="64">
        <f>LEN(TRIM(Table22[[#This Row],[Product]]))</f>
        <v>10</v>
      </c>
      <c r="K297" s="64">
        <f>LEN(TRIM(Table22[[#This Row],[Sales Team]]))</f>
        <v>10</v>
      </c>
      <c r="L297" s="23">
        <v>59</v>
      </c>
      <c r="M297" s="65" t="str" cm="1">
        <f t="array" ref="M297">_xlfn.IFS(Table22[[#This Row],[Units Sold]]&lt;40,"Critical",Table22[[#This Row],[Units Sold]]&lt;=50,"Poor",Table22[[#This Row],[Units Sold]]&lt;=60,"Low",Table22[[#This Row],[Units Sold]]&lt;=80,"Average",Table22[[#This Row],[Units Sold]]&lt;=90,"High",Table22[[#This Row],[Units Sold]]&lt;=95,"Excellent",Table22[[#This Row],[Units Sold]]&gt;95,"Outstanding")</f>
        <v>Low</v>
      </c>
      <c r="N297" s="29">
        <v>1322.82</v>
      </c>
      <c r="O297" s="29">
        <v>78046.38</v>
      </c>
      <c r="P297" s="43">
        <f>IF(Table22[[#This Row],[Discount Applied]],Table22[[#This Row],[Total Sales (in USD)]]*(1-Table22[[#This Row],[Discount Percentage (%)]]/100),Table22[[#This Row],[Total Sales (in USD)]])</f>
        <v>78046.38</v>
      </c>
      <c r="Q297" s="66">
        <f>SQRT(AVERAGE((Table22[[#This Row],[Net Sales (after discount) (in USD)]]-AVERAGE(Table22[Net Sales (after discount) (in USD)]))^2))</f>
        <v>41535.019436235467</v>
      </c>
      <c r="R297" s="18" t="b">
        <v>1</v>
      </c>
      <c r="S297" s="40">
        <v>14.33</v>
      </c>
      <c r="T297" s="18" t="b">
        <v>0</v>
      </c>
      <c r="U297" s="25">
        <v>45224</v>
      </c>
      <c r="V297" s="63" t="str">
        <f>IF(MONTH(Table22[[#This Row],[Sales Date]])&lt;=3,"Q1",IF(MONTH(Table22[[#This Row],[Sales Date]])&lt;=6,"Q2",IF(MONTH(Table22[[#This Row],[Sales Date]])&lt;=9,"Q3","Q4")))</f>
        <v>Q4</v>
      </c>
      <c r="W297" s="64">
        <f>YEAR(Table22[[#This Row],[Sales Date]])</f>
        <v>2023</v>
      </c>
      <c r="X297" s="23">
        <v>37</v>
      </c>
      <c r="Y297" s="18" t="s">
        <v>41</v>
      </c>
      <c r="Z297" s="18" t="s">
        <v>42</v>
      </c>
      <c r="AA297" s="19" t="s">
        <v>36</v>
      </c>
    </row>
    <row r="298" spans="1:27" x14ac:dyDescent="0.25">
      <c r="A298" s="17" t="s">
        <v>1435</v>
      </c>
      <c r="B298" s="18" t="s">
        <v>76</v>
      </c>
      <c r="C298" s="63" t="str" cm="1">
        <f t="array" ref="C298">_xlfn.SWITCH(Table22[[#This Row],[Country]],"USA","North America","Canada","North America","Brazil","South America","China","Asia","Japan","Asia","India","Asia","France","Europe","Germany","Europe","UK","Europe","Australia","Oceania","South America")</f>
        <v>Asia</v>
      </c>
      <c r="D298" s="18" t="s">
        <v>35</v>
      </c>
      <c r="E298" s="18" t="s">
        <v>39</v>
      </c>
      <c r="F298" s="18" t="s">
        <v>34</v>
      </c>
      <c r="G298" s="18" t="s">
        <v>22</v>
      </c>
      <c r="H298" s="64">
        <f>LEN(TRIM(Table22[[#This Row],[Country]]))</f>
        <v>5</v>
      </c>
      <c r="I298" s="64">
        <f>LEN(TRIM(Table22[[#This Row],[Continent]]))</f>
        <v>4</v>
      </c>
      <c r="J298" s="64">
        <f>LEN(TRIM(Table22[[#This Row],[Product]]))</f>
        <v>10</v>
      </c>
      <c r="K298" s="64">
        <f>LEN(TRIM(Table22[[#This Row],[Sales Team]]))</f>
        <v>10</v>
      </c>
      <c r="L298" s="23">
        <v>59</v>
      </c>
      <c r="M298" s="65" t="str" cm="1">
        <f t="array" ref="M298">_xlfn.IFS(Table22[[#This Row],[Units Sold]]&lt;40,"Critical",Table22[[#This Row],[Units Sold]]&lt;=50,"Poor",Table22[[#This Row],[Units Sold]]&lt;=60,"Low",Table22[[#This Row],[Units Sold]]&lt;=80,"Average",Table22[[#This Row],[Units Sold]]&lt;=90,"High",Table22[[#This Row],[Units Sold]]&lt;=95,"Excellent",Table22[[#This Row],[Units Sold]]&gt;95,"Outstanding")</f>
        <v>Low</v>
      </c>
      <c r="N298" s="29">
        <v>1321.42</v>
      </c>
      <c r="O298" s="29">
        <v>77963.78</v>
      </c>
      <c r="P298" s="43">
        <f>IF(Table22[[#This Row],[Discount Applied]],Table22[[#This Row],[Total Sales (in USD)]]*(1-Table22[[#This Row],[Discount Percentage (%)]]/100),Table22[[#This Row],[Total Sales (in USD)]])</f>
        <v>77963.78</v>
      </c>
      <c r="Q298" s="66">
        <f>SQRT(AVERAGE((Table22[[#This Row],[Net Sales (after discount) (in USD)]]-AVERAGE(Table22[Net Sales (after discount) (in USD)]))^2))</f>
        <v>41452.419436235461</v>
      </c>
      <c r="R298" s="18" t="b">
        <v>0</v>
      </c>
      <c r="S298" s="40">
        <v>28.52</v>
      </c>
      <c r="T298" s="18" t="b">
        <v>0</v>
      </c>
      <c r="U298" s="25">
        <v>45546</v>
      </c>
      <c r="V298" s="63" t="str">
        <f>IF(MONTH(Table22[[#This Row],[Sales Date]])&lt;=3,"Q1",IF(MONTH(Table22[[#This Row],[Sales Date]])&lt;=6,"Q2",IF(MONTH(Table22[[#This Row],[Sales Date]])&lt;=9,"Q3","Q4")))</f>
        <v>Q3</v>
      </c>
      <c r="W298" s="64">
        <f>YEAR(Table22[[#This Row],[Sales Date]])</f>
        <v>2024</v>
      </c>
      <c r="X298" s="23">
        <v>55</v>
      </c>
      <c r="Y298" s="18" t="s">
        <v>49</v>
      </c>
      <c r="Z298" s="18" t="s">
        <v>56</v>
      </c>
      <c r="AA298" s="19" t="s">
        <v>25</v>
      </c>
    </row>
    <row r="299" spans="1:27" x14ac:dyDescent="0.25">
      <c r="A299" s="17" t="s">
        <v>709</v>
      </c>
      <c r="B299" s="18" t="s">
        <v>62</v>
      </c>
      <c r="C299" s="63" t="str" cm="1">
        <f t="array" ref="C299">_xlfn.SWITCH(Table22[[#This Row],[Country]],"USA","North America","Canada","North America","Brazil","South America","China","Asia","Japan","Asia","India","Asia","France","Europe","Germany","Europe","UK","Europe","Australia","Oceania","South America")</f>
        <v>Oceania</v>
      </c>
      <c r="D299" s="18" t="s">
        <v>44</v>
      </c>
      <c r="E299" s="18" t="s">
        <v>39</v>
      </c>
      <c r="F299" s="18" t="s">
        <v>20</v>
      </c>
      <c r="G299" s="18" t="s">
        <v>29</v>
      </c>
      <c r="H299" s="64">
        <f>LEN(TRIM(Table22[[#This Row],[Country]]))</f>
        <v>9</v>
      </c>
      <c r="I299" s="64">
        <f>LEN(TRIM(Table22[[#This Row],[Continent]]))</f>
        <v>7</v>
      </c>
      <c r="J299" s="64">
        <f>LEN(TRIM(Table22[[#This Row],[Product]]))</f>
        <v>10</v>
      </c>
      <c r="K299" s="64">
        <f>LEN(TRIM(Table22[[#This Row],[Sales Team]]))</f>
        <v>10</v>
      </c>
      <c r="L299" s="23">
        <v>71</v>
      </c>
      <c r="M299" s="65" t="str" cm="1">
        <f t="array" ref="M299">_xlfn.IFS(Table22[[#This Row],[Units Sold]]&lt;40,"Critical",Table22[[#This Row],[Units Sold]]&lt;=50,"Poor",Table22[[#This Row],[Units Sold]]&lt;=60,"Low",Table22[[#This Row],[Units Sold]]&lt;=80,"Average",Table22[[#This Row],[Units Sold]]&lt;=90,"High",Table22[[#This Row],[Units Sold]]&lt;=95,"Excellent",Table22[[#This Row],[Units Sold]]&gt;95,"Outstanding")</f>
        <v>Average</v>
      </c>
      <c r="N299" s="29">
        <v>1095.82</v>
      </c>
      <c r="O299" s="29">
        <v>77803.22</v>
      </c>
      <c r="P299" s="43">
        <f>IF(Table22[[#This Row],[Discount Applied]],Table22[[#This Row],[Total Sales (in USD)]]*(1-Table22[[#This Row],[Discount Percentage (%)]]/100),Table22[[#This Row],[Total Sales (in USD)]])</f>
        <v>63440.745588000005</v>
      </c>
      <c r="Q299" s="66">
        <f>SQRT(AVERAGE((Table22[[#This Row],[Net Sales (after discount) (in USD)]]-AVERAGE(Table22[Net Sales (after discount) (in USD)]))^2))</f>
        <v>26929.385024235467</v>
      </c>
      <c r="R299" s="18" t="b">
        <v>1</v>
      </c>
      <c r="S299" s="40">
        <v>18.46</v>
      </c>
      <c r="T299" s="18" t="b">
        <v>1</v>
      </c>
      <c r="U299" s="25">
        <v>45072</v>
      </c>
      <c r="V299" s="63" t="str">
        <f>IF(MONTH(Table22[[#This Row],[Sales Date]])&lt;=3,"Q1",IF(MONTH(Table22[[#This Row],[Sales Date]])&lt;=6,"Q2",IF(MONTH(Table22[[#This Row],[Sales Date]])&lt;=9,"Q3","Q4")))</f>
        <v>Q2</v>
      </c>
      <c r="W299" s="64">
        <f>YEAR(Table22[[#This Row],[Sales Date]])</f>
        <v>2023</v>
      </c>
      <c r="X299" s="23">
        <v>30</v>
      </c>
      <c r="Y299" s="18" t="s">
        <v>49</v>
      </c>
      <c r="Z299" s="18" t="s">
        <v>30</v>
      </c>
      <c r="AA299" s="19" t="s">
        <v>25</v>
      </c>
    </row>
    <row r="300" spans="1:27" x14ac:dyDescent="0.25">
      <c r="A300" s="17" t="s">
        <v>1149</v>
      </c>
      <c r="B300" s="18" t="s">
        <v>72</v>
      </c>
      <c r="C300" s="63" t="str" cm="1">
        <f t="array" ref="C300">_xlfn.SWITCH(Table22[[#This Row],[Country]],"USA","North America","Canada","North America","Brazil","South America","China","Asia","Japan","Asia","India","Asia","France","Europe","Germany","Europe","UK","Europe","Australia","Oceania","South America")</f>
        <v>North America</v>
      </c>
      <c r="D300" s="18" t="s">
        <v>44</v>
      </c>
      <c r="E300" s="18" t="s">
        <v>39</v>
      </c>
      <c r="F300" s="18" t="s">
        <v>34</v>
      </c>
      <c r="G300" s="18" t="s">
        <v>40</v>
      </c>
      <c r="H300" s="64">
        <f>LEN(TRIM(Table22[[#This Row],[Country]]))</f>
        <v>3</v>
      </c>
      <c r="I300" s="64">
        <f>LEN(TRIM(Table22[[#This Row],[Continent]]))</f>
        <v>13</v>
      </c>
      <c r="J300" s="64">
        <f>LEN(TRIM(Table22[[#This Row],[Product]]))</f>
        <v>10</v>
      </c>
      <c r="K300" s="64">
        <f>LEN(TRIM(Table22[[#This Row],[Sales Team]]))</f>
        <v>10</v>
      </c>
      <c r="L300" s="23">
        <v>62</v>
      </c>
      <c r="M300" s="65" t="str" cm="1">
        <f t="array" ref="M300">_xlfn.IFS(Table22[[#This Row],[Units Sold]]&lt;40,"Critical",Table22[[#This Row],[Units Sold]]&lt;=50,"Poor",Table22[[#This Row],[Units Sold]]&lt;=60,"Low",Table22[[#This Row],[Units Sold]]&lt;=80,"Average",Table22[[#This Row],[Units Sold]]&lt;=90,"High",Table22[[#This Row],[Units Sold]]&lt;=95,"Excellent",Table22[[#This Row],[Units Sold]]&gt;95,"Outstanding")</f>
        <v>Average</v>
      </c>
      <c r="N300" s="29">
        <v>1254.5</v>
      </c>
      <c r="O300" s="29">
        <v>77779</v>
      </c>
      <c r="P300" s="43">
        <f>IF(Table22[[#This Row],[Discount Applied]],Table22[[#This Row],[Total Sales (in USD)]]*(1-Table22[[#This Row],[Discount Percentage (%)]]/100),Table22[[#This Row],[Total Sales (in USD)]])</f>
        <v>57447.569399999993</v>
      </c>
      <c r="Q300" s="66">
        <f>SQRT(AVERAGE((Table22[[#This Row],[Net Sales (after discount) (in USD)]]-AVERAGE(Table22[Net Sales (after discount) (in USD)]))^2))</f>
        <v>20936.208836235455</v>
      </c>
      <c r="R300" s="18" t="b">
        <v>0</v>
      </c>
      <c r="S300" s="40">
        <v>26.14</v>
      </c>
      <c r="T300" s="18" t="b">
        <v>1</v>
      </c>
      <c r="U300" s="25">
        <v>45481</v>
      </c>
      <c r="V300" s="63" t="str">
        <f>IF(MONTH(Table22[[#This Row],[Sales Date]])&lt;=3,"Q1",IF(MONTH(Table22[[#This Row],[Sales Date]])&lt;=6,"Q2",IF(MONTH(Table22[[#This Row],[Sales Date]])&lt;=9,"Q3","Q4")))</f>
        <v>Q3</v>
      </c>
      <c r="W300" s="64">
        <f>YEAR(Table22[[#This Row],[Sales Date]])</f>
        <v>2024</v>
      </c>
      <c r="X300" s="23">
        <v>60</v>
      </c>
      <c r="Y300" s="18" t="s">
        <v>49</v>
      </c>
      <c r="Z300" s="18" t="s">
        <v>30</v>
      </c>
      <c r="AA300" s="19" t="s">
        <v>25</v>
      </c>
    </row>
    <row r="301" spans="1:27" x14ac:dyDescent="0.25">
      <c r="A301" s="17" t="s">
        <v>650</v>
      </c>
      <c r="B301" s="18" t="s">
        <v>72</v>
      </c>
      <c r="C301" s="63" t="str" cm="1">
        <f t="array" ref="C301">_xlfn.SWITCH(Table22[[#This Row],[Country]],"USA","North America","Canada","North America","Brazil","South America","China","Asia","Japan","Asia","India","Asia","France","Europe","Germany","Europe","UK","Europe","Australia","Oceania","South America")</f>
        <v>North America</v>
      </c>
      <c r="D301" s="18" t="s">
        <v>28</v>
      </c>
      <c r="E301" s="18" t="s">
        <v>19</v>
      </c>
      <c r="F301" s="18" t="s">
        <v>52</v>
      </c>
      <c r="G301" s="18" t="s">
        <v>48</v>
      </c>
      <c r="H301" s="64">
        <f>LEN(TRIM(Table22[[#This Row],[Country]]))</f>
        <v>3</v>
      </c>
      <c r="I301" s="64">
        <f>LEN(TRIM(Table22[[#This Row],[Continent]]))</f>
        <v>13</v>
      </c>
      <c r="J301" s="64">
        <f>LEN(TRIM(Table22[[#This Row],[Product]]))</f>
        <v>6</v>
      </c>
      <c r="K301" s="64">
        <f>LEN(TRIM(Table22[[#This Row],[Sales Team]]))</f>
        <v>9</v>
      </c>
      <c r="L301" s="23">
        <v>58</v>
      </c>
      <c r="M301" s="65" t="str" cm="1">
        <f t="array" ref="M301">_xlfn.IFS(Table22[[#This Row],[Units Sold]]&lt;40,"Critical",Table22[[#This Row],[Units Sold]]&lt;=50,"Poor",Table22[[#This Row],[Units Sold]]&lt;=60,"Low",Table22[[#This Row],[Units Sold]]&lt;=80,"Average",Table22[[#This Row],[Units Sold]]&lt;=90,"High",Table22[[#This Row],[Units Sold]]&lt;=95,"Excellent",Table22[[#This Row],[Units Sold]]&gt;95,"Outstanding")</f>
        <v>Low</v>
      </c>
      <c r="N301" s="29">
        <v>1337.2</v>
      </c>
      <c r="O301" s="29">
        <v>77557.600000000006</v>
      </c>
      <c r="P301" s="43">
        <f>IF(Table22[[#This Row],[Discount Applied]],Table22[[#This Row],[Total Sales (in USD)]]*(1-Table22[[#This Row],[Discount Percentage (%)]]/100),Table22[[#This Row],[Total Sales (in USD)]])</f>
        <v>77557.600000000006</v>
      </c>
      <c r="Q301" s="66">
        <f>SQRT(AVERAGE((Table22[[#This Row],[Net Sales (after discount) (in USD)]]-AVERAGE(Table22[Net Sales (after discount) (in USD)]))^2))</f>
        <v>41046.239436235468</v>
      </c>
      <c r="R301" s="18" t="b">
        <v>1</v>
      </c>
      <c r="S301" s="40">
        <v>6.24</v>
      </c>
      <c r="T301" s="18" t="b">
        <v>0</v>
      </c>
      <c r="U301" s="25">
        <v>45525</v>
      </c>
      <c r="V301" s="63" t="str">
        <f>IF(MONTH(Table22[[#This Row],[Sales Date]])&lt;=3,"Q1",IF(MONTH(Table22[[#This Row],[Sales Date]])&lt;=6,"Q2",IF(MONTH(Table22[[#This Row],[Sales Date]])&lt;=9,"Q3","Q4")))</f>
        <v>Q3</v>
      </c>
      <c r="W301" s="64">
        <f>YEAR(Table22[[#This Row],[Sales Date]])</f>
        <v>2024</v>
      </c>
      <c r="X301" s="23">
        <v>32</v>
      </c>
      <c r="Y301" s="18" t="s">
        <v>41</v>
      </c>
      <c r="Z301" s="18" t="s">
        <v>42</v>
      </c>
      <c r="AA301" s="19" t="s">
        <v>36</v>
      </c>
    </row>
    <row r="302" spans="1:27" x14ac:dyDescent="0.25">
      <c r="A302" s="17" t="s">
        <v>350</v>
      </c>
      <c r="B302" s="18" t="s">
        <v>51</v>
      </c>
      <c r="C302" s="63" t="str" cm="1">
        <f t="array" ref="C302">_xlfn.SWITCH(Table22[[#This Row],[Country]],"USA","North America","Canada","North America","Brazil","South America","China","Asia","Japan","Asia","India","Asia","France","Europe","Germany","Europe","UK","Europe","Australia","Oceania","South America")</f>
        <v>Europe</v>
      </c>
      <c r="D302" s="18" t="s">
        <v>35</v>
      </c>
      <c r="E302" s="18" t="s">
        <v>33</v>
      </c>
      <c r="F302" s="18" t="s">
        <v>47</v>
      </c>
      <c r="G302" s="18" t="s">
        <v>48</v>
      </c>
      <c r="H302" s="64">
        <f>LEN(TRIM(Table22[[#This Row],[Country]]))</f>
        <v>2</v>
      </c>
      <c r="I302" s="64">
        <f>LEN(TRIM(Table22[[#This Row],[Continent]]))</f>
        <v>6</v>
      </c>
      <c r="J302" s="64">
        <f>LEN(TRIM(Table22[[#This Row],[Product]]))</f>
        <v>10</v>
      </c>
      <c r="K302" s="64">
        <f>LEN(TRIM(Table22[[#This Row],[Sales Team]]))</f>
        <v>9</v>
      </c>
      <c r="L302" s="23">
        <v>69</v>
      </c>
      <c r="M302" s="65" t="str" cm="1">
        <f t="array" ref="M302">_xlfn.IFS(Table22[[#This Row],[Units Sold]]&lt;40,"Critical",Table22[[#This Row],[Units Sold]]&lt;=50,"Poor",Table22[[#This Row],[Units Sold]]&lt;=60,"Low",Table22[[#This Row],[Units Sold]]&lt;=80,"Average",Table22[[#This Row],[Units Sold]]&lt;=90,"High",Table22[[#This Row],[Units Sold]]&lt;=95,"Excellent",Table22[[#This Row],[Units Sold]]&gt;95,"Outstanding")</f>
        <v>Average</v>
      </c>
      <c r="N302" s="29">
        <v>1123.44</v>
      </c>
      <c r="O302" s="29">
        <v>77517.36</v>
      </c>
      <c r="P302" s="43">
        <f>IF(Table22[[#This Row],[Discount Applied]],Table22[[#This Row],[Total Sales (in USD)]]*(1-Table22[[#This Row],[Discount Percentage (%)]]/100),Table22[[#This Row],[Total Sales (in USD)]])</f>
        <v>77517.36</v>
      </c>
      <c r="Q302" s="66">
        <f>SQRT(AVERAGE((Table22[[#This Row],[Net Sales (after discount) (in USD)]]-AVERAGE(Table22[Net Sales (after discount) (in USD)]))^2))</f>
        <v>41005.999436235463</v>
      </c>
      <c r="R302" s="18" t="b">
        <v>0</v>
      </c>
      <c r="S302" s="40">
        <v>29.3</v>
      </c>
      <c r="T302" s="18" t="b">
        <v>0</v>
      </c>
      <c r="U302" s="25">
        <v>45078</v>
      </c>
      <c r="V302" s="63" t="str">
        <f>IF(MONTH(Table22[[#This Row],[Sales Date]])&lt;=3,"Q1",IF(MONTH(Table22[[#This Row],[Sales Date]])&lt;=6,"Q2",IF(MONTH(Table22[[#This Row],[Sales Date]])&lt;=9,"Q3","Q4")))</f>
        <v>Q2</v>
      </c>
      <c r="W302" s="64">
        <f>YEAR(Table22[[#This Row],[Sales Date]])</f>
        <v>2023</v>
      </c>
      <c r="X302" s="23">
        <v>64</v>
      </c>
      <c r="Y302" s="18" t="s">
        <v>41</v>
      </c>
      <c r="Z302" s="18" t="s">
        <v>56</v>
      </c>
      <c r="AA302" s="19" t="s">
        <v>25</v>
      </c>
    </row>
    <row r="303" spans="1:27" x14ac:dyDescent="0.25">
      <c r="A303" s="17" t="s">
        <v>789</v>
      </c>
      <c r="B303" s="18" t="s">
        <v>32</v>
      </c>
      <c r="C303" s="63" t="str" cm="1">
        <f t="array" ref="C303">_xlfn.SWITCH(Table22[[#This Row],[Country]],"USA","North America","Canada","North America","Brazil","South America","China","Asia","Japan","Asia","India","Asia","France","Europe","Germany","Europe","UK","Europe","Australia","Oceania","South America")</f>
        <v>Asia</v>
      </c>
      <c r="D303" s="18" t="s">
        <v>35</v>
      </c>
      <c r="E303" s="18" t="s">
        <v>39</v>
      </c>
      <c r="F303" s="18" t="s">
        <v>34</v>
      </c>
      <c r="G303" s="18" t="s">
        <v>29</v>
      </c>
      <c r="H303" s="64">
        <f>LEN(TRIM(Table22[[#This Row],[Country]]))</f>
        <v>5</v>
      </c>
      <c r="I303" s="64">
        <f>LEN(TRIM(Table22[[#This Row],[Continent]]))</f>
        <v>4</v>
      </c>
      <c r="J303" s="64">
        <f>LEN(TRIM(Table22[[#This Row],[Product]]))</f>
        <v>10</v>
      </c>
      <c r="K303" s="64">
        <f>LEN(TRIM(Table22[[#This Row],[Sales Team]]))</f>
        <v>10</v>
      </c>
      <c r="L303" s="23">
        <v>52</v>
      </c>
      <c r="M303" s="65" t="str" cm="1">
        <f t="array" ref="M303">_xlfn.IFS(Table22[[#This Row],[Units Sold]]&lt;40,"Critical",Table22[[#This Row],[Units Sold]]&lt;=50,"Poor",Table22[[#This Row],[Units Sold]]&lt;=60,"Low",Table22[[#This Row],[Units Sold]]&lt;=80,"Average",Table22[[#This Row],[Units Sold]]&lt;=90,"High",Table22[[#This Row],[Units Sold]]&lt;=95,"Excellent",Table22[[#This Row],[Units Sold]]&gt;95,"Outstanding")</f>
        <v>Low</v>
      </c>
      <c r="N303" s="29">
        <v>1489.6</v>
      </c>
      <c r="O303" s="29">
        <v>77459.199999999997</v>
      </c>
      <c r="P303" s="43">
        <f>IF(Table22[[#This Row],[Discount Applied]],Table22[[#This Row],[Total Sales (in USD)]]*(1-Table22[[#This Row],[Discount Percentage (%)]]/100),Table22[[#This Row],[Total Sales (in USD)]])</f>
        <v>65212.900479999997</v>
      </c>
      <c r="Q303" s="66">
        <f>SQRT(AVERAGE((Table22[[#This Row],[Net Sales (after discount) (in USD)]]-AVERAGE(Table22[Net Sales (after discount) (in USD)]))^2))</f>
        <v>28701.539916235459</v>
      </c>
      <c r="R303" s="18" t="b">
        <v>1</v>
      </c>
      <c r="S303" s="40">
        <v>15.81</v>
      </c>
      <c r="T303" s="18" t="b">
        <v>1</v>
      </c>
      <c r="U303" s="25">
        <v>45157</v>
      </c>
      <c r="V303" s="63" t="str">
        <f>IF(MONTH(Table22[[#This Row],[Sales Date]])&lt;=3,"Q1",IF(MONTH(Table22[[#This Row],[Sales Date]])&lt;=6,"Q2",IF(MONTH(Table22[[#This Row],[Sales Date]])&lt;=9,"Q3","Q4")))</f>
        <v>Q3</v>
      </c>
      <c r="W303" s="64">
        <f>YEAR(Table22[[#This Row],[Sales Date]])</f>
        <v>2023</v>
      </c>
      <c r="X303" s="23">
        <v>63</v>
      </c>
      <c r="Y303" s="18" t="s">
        <v>41</v>
      </c>
      <c r="Z303" s="18" t="s">
        <v>24</v>
      </c>
      <c r="AA303" s="19" t="s">
        <v>25</v>
      </c>
    </row>
    <row r="304" spans="1:27" x14ac:dyDescent="0.25">
      <c r="A304" s="17" t="s">
        <v>919</v>
      </c>
      <c r="B304" s="18" t="s">
        <v>62</v>
      </c>
      <c r="C304" s="63" t="str" cm="1">
        <f t="array" ref="C304">_xlfn.SWITCH(Table22[[#This Row],[Country]],"USA","North America","Canada","North America","Brazil","South America","China","Asia","Japan","Asia","India","Asia","France","Europe","Germany","Europe","UK","Europe","Australia","Oceania","South America")</f>
        <v>Oceania</v>
      </c>
      <c r="D304" s="18" t="s">
        <v>35</v>
      </c>
      <c r="E304" s="18" t="s">
        <v>19</v>
      </c>
      <c r="F304" s="18" t="s">
        <v>47</v>
      </c>
      <c r="G304" s="18" t="s">
        <v>29</v>
      </c>
      <c r="H304" s="64">
        <f>LEN(TRIM(Table22[[#This Row],[Country]]))</f>
        <v>9</v>
      </c>
      <c r="I304" s="64">
        <f>LEN(TRIM(Table22[[#This Row],[Continent]]))</f>
        <v>7</v>
      </c>
      <c r="J304" s="64">
        <f>LEN(TRIM(Table22[[#This Row],[Product]]))</f>
        <v>6</v>
      </c>
      <c r="K304" s="64">
        <f>LEN(TRIM(Table22[[#This Row],[Sales Team]]))</f>
        <v>10</v>
      </c>
      <c r="L304" s="23">
        <v>74</v>
      </c>
      <c r="M304" s="65" t="str" cm="1">
        <f t="array" ref="M304">_xlfn.IFS(Table22[[#This Row],[Units Sold]]&lt;40,"Critical",Table22[[#This Row],[Units Sold]]&lt;=50,"Poor",Table22[[#This Row],[Units Sold]]&lt;=60,"Low",Table22[[#This Row],[Units Sold]]&lt;=80,"Average",Table22[[#This Row],[Units Sold]]&lt;=90,"High",Table22[[#This Row],[Units Sold]]&lt;=95,"Excellent",Table22[[#This Row],[Units Sold]]&gt;95,"Outstanding")</f>
        <v>Average</v>
      </c>
      <c r="N304" s="29">
        <v>1045.53</v>
      </c>
      <c r="O304" s="29">
        <v>77369.22</v>
      </c>
      <c r="P304" s="43">
        <f>IF(Table22[[#This Row],[Discount Applied]],Table22[[#This Row],[Total Sales (in USD)]]*(1-Table22[[#This Row],[Discount Percentage (%)]]/100),Table22[[#This Row],[Total Sales (in USD)]])</f>
        <v>77369.22</v>
      </c>
      <c r="Q304" s="66">
        <f>SQRT(AVERAGE((Table22[[#This Row],[Net Sales (after discount) (in USD)]]-AVERAGE(Table22[Net Sales (after discount) (in USD)]))^2))</f>
        <v>40857.859436235463</v>
      </c>
      <c r="R304" s="18" t="b">
        <v>0</v>
      </c>
      <c r="S304" s="40">
        <v>20.99</v>
      </c>
      <c r="T304" s="18" t="b">
        <v>0</v>
      </c>
      <c r="U304" s="25">
        <v>45180</v>
      </c>
      <c r="V304" s="63" t="str">
        <f>IF(MONTH(Table22[[#This Row],[Sales Date]])&lt;=3,"Q1",IF(MONTH(Table22[[#This Row],[Sales Date]])&lt;=6,"Q2",IF(MONTH(Table22[[#This Row],[Sales Date]])&lt;=9,"Q3","Q4")))</f>
        <v>Q3</v>
      </c>
      <c r="W304" s="64">
        <f>YEAR(Table22[[#This Row],[Sales Date]])</f>
        <v>2023</v>
      </c>
      <c r="X304" s="23">
        <v>56</v>
      </c>
      <c r="Y304" s="18" t="s">
        <v>41</v>
      </c>
      <c r="Z304" s="18" t="s">
        <v>56</v>
      </c>
      <c r="AA304" s="19" t="s">
        <v>25</v>
      </c>
    </row>
    <row r="305" spans="1:27" x14ac:dyDescent="0.25">
      <c r="A305" s="17" t="s">
        <v>1618</v>
      </c>
      <c r="B305" s="18" t="s">
        <v>18</v>
      </c>
      <c r="C305" s="63" t="str" cm="1">
        <f t="array" ref="C305">_xlfn.SWITCH(Table22[[#This Row],[Country]],"USA","North America","Canada","North America","Brazil","South America","China","Asia","Japan","Asia","India","Asia","France","Europe","Germany","Europe","UK","Europe","Australia","Oceania","South America")</f>
        <v>Asia</v>
      </c>
      <c r="D305" s="18" t="s">
        <v>44</v>
      </c>
      <c r="E305" s="18" t="s">
        <v>19</v>
      </c>
      <c r="F305" s="18" t="s">
        <v>20</v>
      </c>
      <c r="G305" s="18" t="s">
        <v>48</v>
      </c>
      <c r="H305" s="64">
        <f>LEN(TRIM(Table22[[#This Row],[Country]]))</f>
        <v>5</v>
      </c>
      <c r="I305" s="64">
        <f>LEN(TRIM(Table22[[#This Row],[Continent]]))</f>
        <v>4</v>
      </c>
      <c r="J305" s="64">
        <f>LEN(TRIM(Table22[[#This Row],[Product]]))</f>
        <v>6</v>
      </c>
      <c r="K305" s="64">
        <f>LEN(TRIM(Table22[[#This Row],[Sales Team]]))</f>
        <v>9</v>
      </c>
      <c r="L305" s="23">
        <v>82</v>
      </c>
      <c r="M305" s="65" t="str" cm="1">
        <f t="array" ref="M305">_xlfn.IFS(Table22[[#This Row],[Units Sold]]&lt;40,"Critical",Table22[[#This Row],[Units Sold]]&lt;=50,"Poor",Table22[[#This Row],[Units Sold]]&lt;=60,"Low",Table22[[#This Row],[Units Sold]]&lt;=80,"Average",Table22[[#This Row],[Units Sold]]&lt;=90,"High",Table22[[#This Row],[Units Sold]]&lt;=95,"Excellent",Table22[[#This Row],[Units Sold]]&gt;95,"Outstanding")</f>
        <v>High</v>
      </c>
      <c r="N305" s="29">
        <v>941.23</v>
      </c>
      <c r="O305" s="29">
        <v>77180.86</v>
      </c>
      <c r="P305" s="43">
        <f>IF(Table22[[#This Row],[Discount Applied]],Table22[[#This Row],[Total Sales (in USD)]]*(1-Table22[[#This Row],[Discount Percentage (%)]]/100),Table22[[#This Row],[Total Sales (in USD)]])</f>
        <v>66514.465148000003</v>
      </c>
      <c r="Q305" s="66">
        <f>SQRT(AVERAGE((Table22[[#This Row],[Net Sales (after discount) (in USD)]]-AVERAGE(Table22[Net Sales (after discount) (in USD)]))^2))</f>
        <v>30003.104584235465</v>
      </c>
      <c r="R305" s="18" t="b">
        <v>1</v>
      </c>
      <c r="S305" s="40">
        <v>13.82</v>
      </c>
      <c r="T305" s="18" t="b">
        <v>1</v>
      </c>
      <c r="U305" s="25">
        <v>45394</v>
      </c>
      <c r="V305" s="63" t="str">
        <f>IF(MONTH(Table22[[#This Row],[Sales Date]])&lt;=3,"Q1",IF(MONTH(Table22[[#This Row],[Sales Date]])&lt;=6,"Q2",IF(MONTH(Table22[[#This Row],[Sales Date]])&lt;=9,"Q3","Q4")))</f>
        <v>Q2</v>
      </c>
      <c r="W305" s="64">
        <f>YEAR(Table22[[#This Row],[Sales Date]])</f>
        <v>2024</v>
      </c>
      <c r="X305" s="23">
        <v>64</v>
      </c>
      <c r="Y305" s="18" t="s">
        <v>41</v>
      </c>
      <c r="Z305" s="18" t="s">
        <v>24</v>
      </c>
      <c r="AA305" s="19" t="s">
        <v>25</v>
      </c>
    </row>
    <row r="306" spans="1:27" x14ac:dyDescent="0.25">
      <c r="A306" s="17" t="s">
        <v>939</v>
      </c>
      <c r="B306" s="18" t="s">
        <v>46</v>
      </c>
      <c r="C306" s="63" t="str" cm="1">
        <f t="array" ref="C306">_xlfn.SWITCH(Table22[[#This Row],[Country]],"USA","North America","Canada","North America","Brazil","South America","China","Asia","Japan","Asia","India","Asia","France","Europe","Germany","Europe","UK","Europe","Australia","Oceania","South America")</f>
        <v>South America</v>
      </c>
      <c r="D306" s="18" t="s">
        <v>28</v>
      </c>
      <c r="E306" s="18" t="s">
        <v>33</v>
      </c>
      <c r="F306" s="18" t="s">
        <v>64</v>
      </c>
      <c r="G306" s="18" t="s">
        <v>48</v>
      </c>
      <c r="H306" s="64">
        <f>LEN(TRIM(Table22[[#This Row],[Country]]))</f>
        <v>6</v>
      </c>
      <c r="I306" s="64">
        <f>LEN(TRIM(Table22[[#This Row],[Continent]]))</f>
        <v>13</v>
      </c>
      <c r="J306" s="64">
        <f>LEN(TRIM(Table22[[#This Row],[Product]]))</f>
        <v>10</v>
      </c>
      <c r="K306" s="64">
        <f>LEN(TRIM(Table22[[#This Row],[Sales Team]]))</f>
        <v>9</v>
      </c>
      <c r="L306" s="23">
        <v>68</v>
      </c>
      <c r="M306" s="65" t="str" cm="1">
        <f t="array" ref="M306">_xlfn.IFS(Table22[[#This Row],[Units Sold]]&lt;40,"Critical",Table22[[#This Row],[Units Sold]]&lt;=50,"Poor",Table22[[#This Row],[Units Sold]]&lt;=60,"Low",Table22[[#This Row],[Units Sold]]&lt;=80,"Average",Table22[[#This Row],[Units Sold]]&lt;=90,"High",Table22[[#This Row],[Units Sold]]&lt;=95,"Excellent",Table22[[#This Row],[Units Sold]]&gt;95,"Outstanding")</f>
        <v>Average</v>
      </c>
      <c r="N306" s="29">
        <v>1134.9000000000001</v>
      </c>
      <c r="O306" s="29">
        <v>77173.2</v>
      </c>
      <c r="P306" s="43">
        <f>IF(Table22[[#This Row],[Discount Applied]],Table22[[#This Row],[Total Sales (in USD)]]*(1-Table22[[#This Row],[Discount Percentage (%)]]/100),Table22[[#This Row],[Total Sales (in USD)]])</f>
        <v>74117.141279999996</v>
      </c>
      <c r="Q306" s="66">
        <f>SQRT(AVERAGE((Table22[[#This Row],[Net Sales (after discount) (in USD)]]-AVERAGE(Table22[Net Sales (after discount) (in USD)]))^2))</f>
        <v>37605.780716235458</v>
      </c>
      <c r="R306" s="18" t="b">
        <v>0</v>
      </c>
      <c r="S306" s="40">
        <v>3.96</v>
      </c>
      <c r="T306" s="18" t="b">
        <v>1</v>
      </c>
      <c r="U306" s="25">
        <v>45110</v>
      </c>
      <c r="V306" s="63" t="str">
        <f>IF(MONTH(Table22[[#This Row],[Sales Date]])&lt;=3,"Q1",IF(MONTH(Table22[[#This Row],[Sales Date]])&lt;=6,"Q2",IF(MONTH(Table22[[#This Row],[Sales Date]])&lt;=9,"Q3","Q4")))</f>
        <v>Q3</v>
      </c>
      <c r="W306" s="64">
        <f>YEAR(Table22[[#This Row],[Sales Date]])</f>
        <v>2023</v>
      </c>
      <c r="X306" s="23">
        <v>54</v>
      </c>
      <c r="Y306" s="18" t="s">
        <v>49</v>
      </c>
      <c r="Z306" s="18" t="s">
        <v>56</v>
      </c>
      <c r="AA306" s="19" t="s">
        <v>25</v>
      </c>
    </row>
    <row r="307" spans="1:27" x14ac:dyDescent="0.25">
      <c r="A307" s="17" t="s">
        <v>245</v>
      </c>
      <c r="B307" s="18" t="s">
        <v>72</v>
      </c>
      <c r="C307" s="63" t="str" cm="1">
        <f t="array" ref="C307">_xlfn.SWITCH(Table22[[#This Row],[Country]],"USA","North America","Canada","North America","Brazil","South America","China","Asia","Japan","Asia","India","Asia","France","Europe","Germany","Europe","UK","Europe","Australia","Oceania","South America")</f>
        <v>North America</v>
      </c>
      <c r="D307" s="18" t="s">
        <v>44</v>
      </c>
      <c r="E307" s="18" t="s">
        <v>39</v>
      </c>
      <c r="F307" s="18" t="s">
        <v>34</v>
      </c>
      <c r="G307" s="18" t="s">
        <v>48</v>
      </c>
      <c r="H307" s="64">
        <f>LEN(TRIM(Table22[[#This Row],[Country]]))</f>
        <v>3</v>
      </c>
      <c r="I307" s="64">
        <f>LEN(TRIM(Table22[[#This Row],[Continent]]))</f>
        <v>13</v>
      </c>
      <c r="J307" s="64">
        <f>LEN(TRIM(Table22[[#This Row],[Product]]))</f>
        <v>10</v>
      </c>
      <c r="K307" s="64">
        <f>LEN(TRIM(Table22[[#This Row],[Sales Team]]))</f>
        <v>9</v>
      </c>
      <c r="L307" s="23">
        <v>75</v>
      </c>
      <c r="M307" s="65" t="str" cm="1">
        <f t="array" ref="M307">_xlfn.IFS(Table22[[#This Row],[Units Sold]]&lt;40,"Critical",Table22[[#This Row],[Units Sold]]&lt;=50,"Poor",Table22[[#This Row],[Units Sold]]&lt;=60,"Low",Table22[[#This Row],[Units Sold]]&lt;=80,"Average",Table22[[#This Row],[Units Sold]]&lt;=90,"High",Table22[[#This Row],[Units Sold]]&lt;=95,"Excellent",Table22[[#This Row],[Units Sold]]&gt;95,"Outstanding")</f>
        <v>Average</v>
      </c>
      <c r="N307" s="29">
        <v>1025.6400000000001</v>
      </c>
      <c r="O307" s="29">
        <v>76923</v>
      </c>
      <c r="P307" s="43">
        <f>IF(Table22[[#This Row],[Discount Applied]],Table22[[#This Row],[Total Sales (in USD)]]*(1-Table22[[#This Row],[Discount Percentage (%)]]/100),Table22[[#This Row],[Total Sales (in USD)]])</f>
        <v>76923</v>
      </c>
      <c r="Q307" s="66">
        <f>SQRT(AVERAGE((Table22[[#This Row],[Net Sales (after discount) (in USD)]]-AVERAGE(Table22[Net Sales (after discount) (in USD)]))^2))</f>
        <v>40411.639436235462</v>
      </c>
      <c r="R307" s="18" t="b">
        <v>1</v>
      </c>
      <c r="S307" s="40">
        <v>22.27</v>
      </c>
      <c r="T307" s="18" t="b">
        <v>0</v>
      </c>
      <c r="U307" s="25">
        <v>45243</v>
      </c>
      <c r="V307" s="63" t="str">
        <f>IF(MONTH(Table22[[#This Row],[Sales Date]])&lt;=3,"Q1",IF(MONTH(Table22[[#This Row],[Sales Date]])&lt;=6,"Q2",IF(MONTH(Table22[[#This Row],[Sales Date]])&lt;=9,"Q3","Q4")))</f>
        <v>Q4</v>
      </c>
      <c r="W307" s="64">
        <f>YEAR(Table22[[#This Row],[Sales Date]])</f>
        <v>2023</v>
      </c>
      <c r="X307" s="23">
        <v>60</v>
      </c>
      <c r="Y307" s="18" t="s">
        <v>23</v>
      </c>
      <c r="Z307" s="18" t="s">
        <v>30</v>
      </c>
      <c r="AA307" s="19" t="s">
        <v>25</v>
      </c>
    </row>
    <row r="308" spans="1:27" x14ac:dyDescent="0.25">
      <c r="A308" s="17" t="s">
        <v>1159</v>
      </c>
      <c r="B308" s="18" t="s">
        <v>18</v>
      </c>
      <c r="C308" s="63" t="str" cm="1">
        <f t="array" ref="C308">_xlfn.SWITCH(Table22[[#This Row],[Country]],"USA","North America","Canada","North America","Brazil","South America","China","Asia","Japan","Asia","India","Asia","France","Europe","Germany","Europe","UK","Europe","Australia","Oceania","South America")</f>
        <v>Asia</v>
      </c>
      <c r="D308" s="18" t="s">
        <v>35</v>
      </c>
      <c r="E308" s="18" t="s">
        <v>33</v>
      </c>
      <c r="F308" s="18" t="s">
        <v>47</v>
      </c>
      <c r="G308" s="18" t="s">
        <v>40</v>
      </c>
      <c r="H308" s="64">
        <f>LEN(TRIM(Table22[[#This Row],[Country]]))</f>
        <v>5</v>
      </c>
      <c r="I308" s="64">
        <f>LEN(TRIM(Table22[[#This Row],[Continent]]))</f>
        <v>4</v>
      </c>
      <c r="J308" s="64">
        <f>LEN(TRIM(Table22[[#This Row],[Product]]))</f>
        <v>10</v>
      </c>
      <c r="K308" s="64">
        <f>LEN(TRIM(Table22[[#This Row],[Sales Team]]))</f>
        <v>10</v>
      </c>
      <c r="L308" s="23">
        <v>70</v>
      </c>
      <c r="M308" s="65" t="str" cm="1">
        <f t="array" ref="M308">_xlfn.IFS(Table22[[#This Row],[Units Sold]]&lt;40,"Critical",Table22[[#This Row],[Units Sold]]&lt;=50,"Poor",Table22[[#This Row],[Units Sold]]&lt;=60,"Low",Table22[[#This Row],[Units Sold]]&lt;=80,"Average",Table22[[#This Row],[Units Sold]]&lt;=90,"High",Table22[[#This Row],[Units Sold]]&lt;=95,"Excellent",Table22[[#This Row],[Units Sold]]&gt;95,"Outstanding")</f>
        <v>Average</v>
      </c>
      <c r="N308" s="29">
        <v>1096.1600000000001</v>
      </c>
      <c r="O308" s="29">
        <v>76731.199999999997</v>
      </c>
      <c r="P308" s="43">
        <f>IF(Table22[[#This Row],[Discount Applied]],Table22[[#This Row],[Total Sales (in USD)]]*(1-Table22[[#This Row],[Discount Percentage (%)]]/100),Table22[[#This Row],[Total Sales (in USD)]])</f>
        <v>76731.199999999997</v>
      </c>
      <c r="Q308" s="66">
        <f>SQRT(AVERAGE((Table22[[#This Row],[Net Sales (after discount) (in USD)]]-AVERAGE(Table22[Net Sales (after discount) (in USD)]))^2))</f>
        <v>40219.839436235459</v>
      </c>
      <c r="R308" s="18" t="b">
        <v>1</v>
      </c>
      <c r="S308" s="40">
        <v>22.09</v>
      </c>
      <c r="T308" s="18" t="b">
        <v>0</v>
      </c>
      <c r="U308" s="25">
        <v>45391</v>
      </c>
      <c r="V308" s="63" t="str">
        <f>IF(MONTH(Table22[[#This Row],[Sales Date]])&lt;=3,"Q1",IF(MONTH(Table22[[#This Row],[Sales Date]])&lt;=6,"Q2",IF(MONTH(Table22[[#This Row],[Sales Date]])&lt;=9,"Q3","Q4")))</f>
        <v>Q2</v>
      </c>
      <c r="W308" s="64">
        <f>YEAR(Table22[[#This Row],[Sales Date]])</f>
        <v>2024</v>
      </c>
      <c r="X308" s="23">
        <v>20</v>
      </c>
      <c r="Y308" s="18" t="s">
        <v>41</v>
      </c>
      <c r="Z308" s="18" t="s">
        <v>56</v>
      </c>
      <c r="AA308" s="19" t="s">
        <v>36</v>
      </c>
    </row>
    <row r="309" spans="1:27" x14ac:dyDescent="0.25">
      <c r="A309" s="17" t="s">
        <v>1872</v>
      </c>
      <c r="B309" s="18" t="s">
        <v>18</v>
      </c>
      <c r="C309" s="63" t="str" cm="1">
        <f t="array" ref="C309">_xlfn.SWITCH(Table22[[#This Row],[Country]],"USA","North America","Canada","North America","Brazil","South America","China","Asia","Japan","Asia","India","Asia","France","Europe","Germany","Europe","UK","Europe","Australia","Oceania","South America")</f>
        <v>Asia</v>
      </c>
      <c r="D309" s="18" t="s">
        <v>44</v>
      </c>
      <c r="E309" s="18" t="s">
        <v>39</v>
      </c>
      <c r="F309" s="18" t="s">
        <v>52</v>
      </c>
      <c r="G309" s="18" t="s">
        <v>40</v>
      </c>
      <c r="H309" s="64">
        <f>LEN(TRIM(Table22[[#This Row],[Country]]))</f>
        <v>5</v>
      </c>
      <c r="I309" s="64">
        <f>LEN(TRIM(Table22[[#This Row],[Continent]]))</f>
        <v>4</v>
      </c>
      <c r="J309" s="64">
        <f>LEN(TRIM(Table22[[#This Row],[Product]]))</f>
        <v>10</v>
      </c>
      <c r="K309" s="64">
        <f>LEN(TRIM(Table22[[#This Row],[Sales Team]]))</f>
        <v>10</v>
      </c>
      <c r="L309" s="23">
        <v>83</v>
      </c>
      <c r="M309" s="65" t="str" cm="1">
        <f t="array" ref="M309">_xlfn.IFS(Table22[[#This Row],[Units Sold]]&lt;40,"Critical",Table22[[#This Row],[Units Sold]]&lt;=50,"Poor",Table22[[#This Row],[Units Sold]]&lt;=60,"Low",Table22[[#This Row],[Units Sold]]&lt;=80,"Average",Table22[[#This Row],[Units Sold]]&lt;=90,"High",Table22[[#This Row],[Units Sold]]&lt;=95,"Excellent",Table22[[#This Row],[Units Sold]]&gt;95,"Outstanding")</f>
        <v>High</v>
      </c>
      <c r="N309" s="29">
        <v>924.36</v>
      </c>
      <c r="O309" s="29">
        <v>76721.88</v>
      </c>
      <c r="P309" s="43">
        <f>IF(Table22[[#This Row],[Discount Applied]],Table22[[#This Row],[Total Sales (in USD)]]*(1-Table22[[#This Row],[Discount Percentage (%)]]/100),Table22[[#This Row],[Total Sales (in USD)]])</f>
        <v>76721.88</v>
      </c>
      <c r="Q309" s="66">
        <f>SQRT(AVERAGE((Table22[[#This Row],[Net Sales (after discount) (in USD)]]-AVERAGE(Table22[Net Sales (after discount) (in USD)]))^2))</f>
        <v>40210.519436235467</v>
      </c>
      <c r="R309" s="18" t="b">
        <v>1</v>
      </c>
      <c r="S309" s="40">
        <v>29.18</v>
      </c>
      <c r="T309" s="18" t="b">
        <v>0</v>
      </c>
      <c r="U309" s="25">
        <v>45193</v>
      </c>
      <c r="V309" s="63" t="str">
        <f>IF(MONTH(Table22[[#This Row],[Sales Date]])&lt;=3,"Q1",IF(MONTH(Table22[[#This Row],[Sales Date]])&lt;=6,"Q2",IF(MONTH(Table22[[#This Row],[Sales Date]])&lt;=9,"Q3","Q4")))</f>
        <v>Q3</v>
      </c>
      <c r="W309" s="64">
        <f>YEAR(Table22[[#This Row],[Sales Date]])</f>
        <v>2023</v>
      </c>
      <c r="X309" s="23">
        <v>19</v>
      </c>
      <c r="Y309" s="18" t="s">
        <v>23</v>
      </c>
      <c r="Z309" s="18" t="s">
        <v>56</v>
      </c>
      <c r="AA309" s="19" t="s">
        <v>36</v>
      </c>
    </row>
    <row r="310" spans="1:27" x14ac:dyDescent="0.25">
      <c r="A310" s="17" t="s">
        <v>448</v>
      </c>
      <c r="B310" s="18" t="s">
        <v>66</v>
      </c>
      <c r="C310" s="63" t="str" cm="1">
        <f t="array" ref="C310">_xlfn.SWITCH(Table22[[#This Row],[Country]],"USA","North America","Canada","North America","Brazil","South America","China","Asia","Japan","Asia","India","Asia","France","Europe","Germany","Europe","UK","Europe","Australia","Oceania","South America")</f>
        <v>North America</v>
      </c>
      <c r="D310" s="18" t="s">
        <v>35</v>
      </c>
      <c r="E310" s="18" t="s">
        <v>39</v>
      </c>
      <c r="F310" s="18" t="s">
        <v>64</v>
      </c>
      <c r="G310" s="18" t="s">
        <v>48</v>
      </c>
      <c r="H310" s="64">
        <f>LEN(TRIM(Table22[[#This Row],[Country]]))</f>
        <v>6</v>
      </c>
      <c r="I310" s="64">
        <f>LEN(TRIM(Table22[[#This Row],[Continent]]))</f>
        <v>13</v>
      </c>
      <c r="J310" s="64">
        <f>LEN(TRIM(Table22[[#This Row],[Product]]))</f>
        <v>10</v>
      </c>
      <c r="K310" s="64">
        <f>LEN(TRIM(Table22[[#This Row],[Sales Team]]))</f>
        <v>9</v>
      </c>
      <c r="L310" s="23">
        <v>69</v>
      </c>
      <c r="M310" s="65" t="str" cm="1">
        <f t="array" ref="M310">_xlfn.IFS(Table22[[#This Row],[Units Sold]]&lt;40,"Critical",Table22[[#This Row],[Units Sold]]&lt;=50,"Poor",Table22[[#This Row],[Units Sold]]&lt;=60,"Low",Table22[[#This Row],[Units Sold]]&lt;=80,"Average",Table22[[#This Row],[Units Sold]]&lt;=90,"High",Table22[[#This Row],[Units Sold]]&lt;=95,"Excellent",Table22[[#This Row],[Units Sold]]&gt;95,"Outstanding")</f>
        <v>Average</v>
      </c>
      <c r="N310" s="29">
        <v>1110.83</v>
      </c>
      <c r="O310" s="29">
        <v>76647.27</v>
      </c>
      <c r="P310" s="43">
        <f>IF(Table22[[#This Row],[Discount Applied]],Table22[[#This Row],[Total Sales (in USD)]]*(1-Table22[[#This Row],[Discount Percentage (%)]]/100),Table22[[#This Row],[Total Sales (in USD)]])</f>
        <v>55653.582747</v>
      </c>
      <c r="Q310" s="66">
        <f>SQRT(AVERAGE((Table22[[#This Row],[Net Sales (after discount) (in USD)]]-AVERAGE(Table22[Net Sales (after discount) (in USD)]))^2))</f>
        <v>19142.222183235463</v>
      </c>
      <c r="R310" s="18" t="b">
        <v>0</v>
      </c>
      <c r="S310" s="40">
        <v>27.39</v>
      </c>
      <c r="T310" s="18" t="b">
        <v>1</v>
      </c>
      <c r="U310" s="25">
        <v>44954</v>
      </c>
      <c r="V310" s="63" t="str">
        <f>IF(MONTH(Table22[[#This Row],[Sales Date]])&lt;=3,"Q1",IF(MONTH(Table22[[#This Row],[Sales Date]])&lt;=6,"Q2",IF(MONTH(Table22[[#This Row],[Sales Date]])&lt;=9,"Q3","Q4")))</f>
        <v>Q1</v>
      </c>
      <c r="W310" s="64">
        <f>YEAR(Table22[[#This Row],[Sales Date]])</f>
        <v>2023</v>
      </c>
      <c r="X310" s="23">
        <v>57</v>
      </c>
      <c r="Y310" s="18" t="s">
        <v>49</v>
      </c>
      <c r="Z310" s="18" t="s">
        <v>42</v>
      </c>
      <c r="AA310" s="19" t="s">
        <v>36</v>
      </c>
    </row>
    <row r="311" spans="1:27" x14ac:dyDescent="0.25">
      <c r="A311" s="17" t="s">
        <v>1515</v>
      </c>
      <c r="B311" s="18" t="s">
        <v>32</v>
      </c>
      <c r="C311" s="63" t="str" cm="1">
        <f t="array" ref="C311">_xlfn.SWITCH(Table22[[#This Row],[Country]],"USA","North America","Canada","North America","Brazil","South America","China","Asia","Japan","Asia","India","Asia","France","Europe","Germany","Europe","UK","Europe","Australia","Oceania","South America")</f>
        <v>Asia</v>
      </c>
      <c r="D311" s="18" t="s">
        <v>35</v>
      </c>
      <c r="E311" s="18" t="s">
        <v>39</v>
      </c>
      <c r="F311" s="18" t="s">
        <v>20</v>
      </c>
      <c r="G311" s="18" t="s">
        <v>48</v>
      </c>
      <c r="H311" s="64">
        <f>LEN(TRIM(Table22[[#This Row],[Country]]))</f>
        <v>5</v>
      </c>
      <c r="I311" s="64">
        <f>LEN(TRIM(Table22[[#This Row],[Continent]]))</f>
        <v>4</v>
      </c>
      <c r="J311" s="64">
        <f>LEN(TRIM(Table22[[#This Row],[Product]]))</f>
        <v>10</v>
      </c>
      <c r="K311" s="64">
        <f>LEN(TRIM(Table22[[#This Row],[Sales Team]]))</f>
        <v>9</v>
      </c>
      <c r="L311" s="23">
        <v>96</v>
      </c>
      <c r="M311" s="65" t="str" cm="1">
        <f t="array" ref="M311">_xlfn.IFS(Table22[[#This Row],[Units Sold]]&lt;40,"Critical",Table22[[#This Row],[Units Sold]]&lt;=50,"Poor",Table22[[#This Row],[Units Sold]]&lt;=60,"Low",Table22[[#This Row],[Units Sold]]&lt;=80,"Average",Table22[[#This Row],[Units Sold]]&lt;=90,"High",Table22[[#This Row],[Units Sold]]&lt;=95,"Excellent",Table22[[#This Row],[Units Sold]]&gt;95,"Outstanding")</f>
        <v>Outstanding</v>
      </c>
      <c r="N311" s="29">
        <v>794.4</v>
      </c>
      <c r="O311" s="29">
        <v>76262.399999999994</v>
      </c>
      <c r="P311" s="43">
        <f>IF(Table22[[#This Row],[Discount Applied]],Table22[[#This Row],[Total Sales (in USD)]]*(1-Table22[[#This Row],[Discount Percentage (%)]]/100),Table22[[#This Row],[Total Sales (in USD)]])</f>
        <v>76262.399999999994</v>
      </c>
      <c r="Q311" s="66">
        <f>SQRT(AVERAGE((Table22[[#This Row],[Net Sales (after discount) (in USD)]]-AVERAGE(Table22[Net Sales (after discount) (in USD)]))^2))</f>
        <v>39751.039436235456</v>
      </c>
      <c r="R311" s="18" t="b">
        <v>1</v>
      </c>
      <c r="S311" s="40">
        <v>11.58</v>
      </c>
      <c r="T311" s="18" t="b">
        <v>0</v>
      </c>
      <c r="U311" s="25">
        <v>45120</v>
      </c>
      <c r="V311" s="63" t="str">
        <f>IF(MONTH(Table22[[#This Row],[Sales Date]])&lt;=3,"Q1",IF(MONTH(Table22[[#This Row],[Sales Date]])&lt;=6,"Q2",IF(MONTH(Table22[[#This Row],[Sales Date]])&lt;=9,"Q3","Q4")))</f>
        <v>Q3</v>
      </c>
      <c r="W311" s="64">
        <f>YEAR(Table22[[#This Row],[Sales Date]])</f>
        <v>2023</v>
      </c>
      <c r="X311" s="23">
        <v>25</v>
      </c>
      <c r="Y311" s="18" t="s">
        <v>41</v>
      </c>
      <c r="Z311" s="18" t="s">
        <v>42</v>
      </c>
      <c r="AA311" s="19" t="s">
        <v>25</v>
      </c>
    </row>
    <row r="312" spans="1:27" x14ac:dyDescent="0.25">
      <c r="A312" s="17" t="s">
        <v>1188</v>
      </c>
      <c r="B312" s="18" t="s">
        <v>66</v>
      </c>
      <c r="C312" s="63" t="str" cm="1">
        <f t="array" ref="C312">_xlfn.SWITCH(Table22[[#This Row],[Country]],"USA","North America","Canada","North America","Brazil","South America","China","Asia","Japan","Asia","India","Asia","France","Europe","Germany","Europe","UK","Europe","Australia","Oceania","South America")</f>
        <v>North America</v>
      </c>
      <c r="D312" s="18" t="s">
        <v>35</v>
      </c>
      <c r="E312" s="18" t="s">
        <v>39</v>
      </c>
      <c r="F312" s="18" t="s">
        <v>52</v>
      </c>
      <c r="G312" s="18" t="s">
        <v>40</v>
      </c>
      <c r="H312" s="64">
        <f>LEN(TRIM(Table22[[#This Row],[Country]]))</f>
        <v>6</v>
      </c>
      <c r="I312" s="64">
        <f>LEN(TRIM(Table22[[#This Row],[Continent]]))</f>
        <v>13</v>
      </c>
      <c r="J312" s="64">
        <f>LEN(TRIM(Table22[[#This Row],[Product]]))</f>
        <v>10</v>
      </c>
      <c r="K312" s="64">
        <f>LEN(TRIM(Table22[[#This Row],[Sales Team]]))</f>
        <v>10</v>
      </c>
      <c r="L312" s="23">
        <v>65</v>
      </c>
      <c r="M312" s="65" t="str" cm="1">
        <f t="array" ref="M312">_xlfn.IFS(Table22[[#This Row],[Units Sold]]&lt;40,"Critical",Table22[[#This Row],[Units Sold]]&lt;=50,"Poor",Table22[[#This Row],[Units Sold]]&lt;=60,"Low",Table22[[#This Row],[Units Sold]]&lt;=80,"Average",Table22[[#This Row],[Units Sold]]&lt;=90,"High",Table22[[#This Row],[Units Sold]]&lt;=95,"Excellent",Table22[[#This Row],[Units Sold]]&gt;95,"Outstanding")</f>
        <v>Average</v>
      </c>
      <c r="N312" s="29">
        <v>1171.54</v>
      </c>
      <c r="O312" s="29">
        <v>76150.100000000006</v>
      </c>
      <c r="P312" s="43">
        <f>IF(Table22[[#This Row],[Discount Applied]],Table22[[#This Row],[Total Sales (in USD)]]*(1-Table22[[#This Row],[Discount Percentage (%)]]/100),Table22[[#This Row],[Total Sales (in USD)]])</f>
        <v>61970.951380000006</v>
      </c>
      <c r="Q312" s="66">
        <f>SQRT(AVERAGE((Table22[[#This Row],[Net Sales (after discount) (in USD)]]-AVERAGE(Table22[Net Sales (after discount) (in USD)]))^2))</f>
        <v>25459.590816235468</v>
      </c>
      <c r="R312" s="18" t="b">
        <v>1</v>
      </c>
      <c r="S312" s="40">
        <v>18.62</v>
      </c>
      <c r="T312" s="18" t="b">
        <v>1</v>
      </c>
      <c r="U312" s="25">
        <v>45415</v>
      </c>
      <c r="V312" s="63" t="str">
        <f>IF(MONTH(Table22[[#This Row],[Sales Date]])&lt;=3,"Q1",IF(MONTH(Table22[[#This Row],[Sales Date]])&lt;=6,"Q2",IF(MONTH(Table22[[#This Row],[Sales Date]])&lt;=9,"Q3","Q4")))</f>
        <v>Q2</v>
      </c>
      <c r="W312" s="64">
        <f>YEAR(Table22[[#This Row],[Sales Date]])</f>
        <v>2024</v>
      </c>
      <c r="X312" s="23">
        <v>35</v>
      </c>
      <c r="Y312" s="18" t="s">
        <v>41</v>
      </c>
      <c r="Z312" s="18" t="s">
        <v>30</v>
      </c>
      <c r="AA312" s="19" t="s">
        <v>25</v>
      </c>
    </row>
    <row r="313" spans="1:27" x14ac:dyDescent="0.25">
      <c r="A313" s="17" t="s">
        <v>1930</v>
      </c>
      <c r="B313" s="18" t="s">
        <v>51</v>
      </c>
      <c r="C313" s="63" t="str" cm="1">
        <f t="array" ref="C313">_xlfn.SWITCH(Table22[[#This Row],[Country]],"USA","North America","Canada","North America","Brazil","South America","China","Asia","Japan","Asia","India","Asia","France","Europe","Germany","Europe","UK","Europe","Australia","Oceania","South America")</f>
        <v>Europe</v>
      </c>
      <c r="D313" s="18" t="s">
        <v>28</v>
      </c>
      <c r="E313" s="18" t="s">
        <v>33</v>
      </c>
      <c r="F313" s="18" t="s">
        <v>47</v>
      </c>
      <c r="G313" s="18" t="s">
        <v>48</v>
      </c>
      <c r="H313" s="64">
        <f>LEN(TRIM(Table22[[#This Row],[Country]]))</f>
        <v>2</v>
      </c>
      <c r="I313" s="64">
        <f>LEN(TRIM(Table22[[#This Row],[Continent]]))</f>
        <v>6</v>
      </c>
      <c r="J313" s="64">
        <f>LEN(TRIM(Table22[[#This Row],[Product]]))</f>
        <v>10</v>
      </c>
      <c r="K313" s="64">
        <f>LEN(TRIM(Table22[[#This Row],[Sales Team]]))</f>
        <v>9</v>
      </c>
      <c r="L313" s="23">
        <v>56</v>
      </c>
      <c r="M313" s="65" t="str" cm="1">
        <f t="array" ref="M313">_xlfn.IFS(Table22[[#This Row],[Units Sold]]&lt;40,"Critical",Table22[[#This Row],[Units Sold]]&lt;=50,"Poor",Table22[[#This Row],[Units Sold]]&lt;=60,"Low",Table22[[#This Row],[Units Sold]]&lt;=80,"Average",Table22[[#This Row],[Units Sold]]&lt;=90,"High",Table22[[#This Row],[Units Sold]]&lt;=95,"Excellent",Table22[[#This Row],[Units Sold]]&gt;95,"Outstanding")</f>
        <v>Low</v>
      </c>
      <c r="N313" s="29">
        <v>1355.34</v>
      </c>
      <c r="O313" s="29">
        <v>75899.039999999994</v>
      </c>
      <c r="P313" s="43">
        <f>IF(Table22[[#This Row],[Discount Applied]],Table22[[#This Row],[Total Sales (in USD)]]*(1-Table22[[#This Row],[Discount Percentage (%)]]/100),Table22[[#This Row],[Total Sales (in USD)]])</f>
        <v>61151.856527999989</v>
      </c>
      <c r="Q313" s="66">
        <f>SQRT(AVERAGE((Table22[[#This Row],[Net Sales (after discount) (in USD)]]-AVERAGE(Table22[Net Sales (after discount) (in USD)]))^2))</f>
        <v>24640.495964235452</v>
      </c>
      <c r="R313" s="18" t="b">
        <v>1</v>
      </c>
      <c r="S313" s="40">
        <v>19.43</v>
      </c>
      <c r="T313" s="18" t="b">
        <v>1</v>
      </c>
      <c r="U313" s="25">
        <v>45445</v>
      </c>
      <c r="V313" s="63" t="str">
        <f>IF(MONTH(Table22[[#This Row],[Sales Date]])&lt;=3,"Q1",IF(MONTH(Table22[[#This Row],[Sales Date]])&lt;=6,"Q2",IF(MONTH(Table22[[#This Row],[Sales Date]])&lt;=9,"Q3","Q4")))</f>
        <v>Q2</v>
      </c>
      <c r="W313" s="64">
        <f>YEAR(Table22[[#This Row],[Sales Date]])</f>
        <v>2024</v>
      </c>
      <c r="X313" s="23">
        <v>58</v>
      </c>
      <c r="Y313" s="18" t="s">
        <v>49</v>
      </c>
      <c r="Z313" s="18" t="s">
        <v>24</v>
      </c>
      <c r="AA313" s="19" t="s">
        <v>25</v>
      </c>
    </row>
    <row r="314" spans="1:27" x14ac:dyDescent="0.25">
      <c r="A314" s="17" t="s">
        <v>542</v>
      </c>
      <c r="B314" s="18" t="s">
        <v>72</v>
      </c>
      <c r="C314" s="63" t="str" cm="1">
        <f t="array" ref="C314">_xlfn.SWITCH(Table22[[#This Row],[Country]],"USA","North America","Canada","North America","Brazil","South America","China","Asia","Japan","Asia","India","Asia","France","Europe","Germany","Europe","UK","Europe","Australia","Oceania","South America")</f>
        <v>North America</v>
      </c>
      <c r="D314" s="18" t="s">
        <v>28</v>
      </c>
      <c r="E314" s="18" t="s">
        <v>33</v>
      </c>
      <c r="F314" s="18" t="s">
        <v>64</v>
      </c>
      <c r="G314" s="18" t="s">
        <v>48</v>
      </c>
      <c r="H314" s="64">
        <f>LEN(TRIM(Table22[[#This Row],[Country]]))</f>
        <v>3</v>
      </c>
      <c r="I314" s="64">
        <f>LEN(TRIM(Table22[[#This Row],[Continent]]))</f>
        <v>13</v>
      </c>
      <c r="J314" s="64">
        <f>LEN(TRIM(Table22[[#This Row],[Product]]))</f>
        <v>10</v>
      </c>
      <c r="K314" s="64">
        <f>LEN(TRIM(Table22[[#This Row],[Sales Team]]))</f>
        <v>9</v>
      </c>
      <c r="L314" s="23">
        <v>66</v>
      </c>
      <c r="M314" s="65" t="str" cm="1">
        <f t="array" ref="M314">_xlfn.IFS(Table22[[#This Row],[Units Sold]]&lt;40,"Critical",Table22[[#This Row],[Units Sold]]&lt;=50,"Poor",Table22[[#This Row],[Units Sold]]&lt;=60,"Low",Table22[[#This Row],[Units Sold]]&lt;=80,"Average",Table22[[#This Row],[Units Sold]]&lt;=90,"High",Table22[[#This Row],[Units Sold]]&lt;=95,"Excellent",Table22[[#This Row],[Units Sold]]&gt;95,"Outstanding")</f>
        <v>Average</v>
      </c>
      <c r="N314" s="29">
        <v>1149.54</v>
      </c>
      <c r="O314" s="29">
        <v>75869.64</v>
      </c>
      <c r="P314" s="43">
        <f>IF(Table22[[#This Row],[Discount Applied]],Table22[[#This Row],[Total Sales (in USD)]]*(1-Table22[[#This Row],[Discount Percentage (%)]]/100),Table22[[#This Row],[Total Sales (in USD)]])</f>
        <v>75869.64</v>
      </c>
      <c r="Q314" s="66">
        <f>SQRT(AVERAGE((Table22[[#This Row],[Net Sales (after discount) (in USD)]]-AVERAGE(Table22[Net Sales (after discount) (in USD)]))^2))</f>
        <v>39358.279436235462</v>
      </c>
      <c r="R314" s="18" t="b">
        <v>1</v>
      </c>
      <c r="S314" s="40">
        <v>2.2999999999999998</v>
      </c>
      <c r="T314" s="18" t="b">
        <v>0</v>
      </c>
      <c r="U314" s="25">
        <v>45065</v>
      </c>
      <c r="V314" s="63" t="str">
        <f>IF(MONTH(Table22[[#This Row],[Sales Date]])&lt;=3,"Q1",IF(MONTH(Table22[[#This Row],[Sales Date]])&lt;=6,"Q2",IF(MONTH(Table22[[#This Row],[Sales Date]])&lt;=9,"Q3","Q4")))</f>
        <v>Q2</v>
      </c>
      <c r="W314" s="64">
        <f>YEAR(Table22[[#This Row],[Sales Date]])</f>
        <v>2023</v>
      </c>
      <c r="X314" s="23">
        <v>43</v>
      </c>
      <c r="Y314" s="18" t="s">
        <v>49</v>
      </c>
      <c r="Z314" s="18" t="s">
        <v>24</v>
      </c>
      <c r="AA314" s="19" t="s">
        <v>36</v>
      </c>
    </row>
    <row r="315" spans="1:27" x14ac:dyDescent="0.25">
      <c r="A315" s="17" t="s">
        <v>1527</v>
      </c>
      <c r="B315" s="18" t="s">
        <v>51</v>
      </c>
      <c r="C315" s="63" t="str" cm="1">
        <f t="array" ref="C315">_xlfn.SWITCH(Table22[[#This Row],[Country]],"USA","North America","Canada","North America","Brazil","South America","China","Asia","Japan","Asia","India","Asia","France","Europe","Germany","Europe","UK","Europe","Australia","Oceania","South America")</f>
        <v>Europe</v>
      </c>
      <c r="D315" s="18" t="s">
        <v>35</v>
      </c>
      <c r="E315" s="18" t="s">
        <v>19</v>
      </c>
      <c r="F315" s="18" t="s">
        <v>47</v>
      </c>
      <c r="G315" s="18" t="s">
        <v>22</v>
      </c>
      <c r="H315" s="64">
        <f>LEN(TRIM(Table22[[#This Row],[Country]]))</f>
        <v>2</v>
      </c>
      <c r="I315" s="64">
        <f>LEN(TRIM(Table22[[#This Row],[Continent]]))</f>
        <v>6</v>
      </c>
      <c r="J315" s="64">
        <f>LEN(TRIM(Table22[[#This Row],[Product]]))</f>
        <v>6</v>
      </c>
      <c r="K315" s="64">
        <f>LEN(TRIM(Table22[[#This Row],[Sales Team]]))</f>
        <v>10</v>
      </c>
      <c r="L315" s="23">
        <v>86</v>
      </c>
      <c r="M315" s="65" t="str" cm="1">
        <f t="array" ref="M315">_xlfn.IFS(Table22[[#This Row],[Units Sold]]&lt;40,"Critical",Table22[[#This Row],[Units Sold]]&lt;=50,"Poor",Table22[[#This Row],[Units Sold]]&lt;=60,"Low",Table22[[#This Row],[Units Sold]]&lt;=80,"Average",Table22[[#This Row],[Units Sold]]&lt;=90,"High",Table22[[#This Row],[Units Sold]]&lt;=95,"Excellent",Table22[[#This Row],[Units Sold]]&gt;95,"Outstanding")</f>
        <v>High</v>
      </c>
      <c r="N315" s="29">
        <v>881.8</v>
      </c>
      <c r="O315" s="29">
        <v>75834.8</v>
      </c>
      <c r="P315" s="43">
        <f>IF(Table22[[#This Row],[Discount Applied]],Table22[[#This Row],[Total Sales (in USD)]]*(1-Table22[[#This Row],[Discount Percentage (%)]]/100),Table22[[#This Row],[Total Sales (in USD)]])</f>
        <v>75834.8</v>
      </c>
      <c r="Q315" s="66">
        <f>SQRT(AVERAGE((Table22[[#This Row],[Net Sales (after discount) (in USD)]]-AVERAGE(Table22[Net Sales (after discount) (in USD)]))^2))</f>
        <v>39323.439436235465</v>
      </c>
      <c r="R315" s="18" t="b">
        <v>1</v>
      </c>
      <c r="S315" s="40">
        <v>8.81</v>
      </c>
      <c r="T315" s="18" t="b">
        <v>0</v>
      </c>
      <c r="U315" s="25">
        <v>45466</v>
      </c>
      <c r="V315" s="63" t="str">
        <f>IF(MONTH(Table22[[#This Row],[Sales Date]])&lt;=3,"Q1",IF(MONTH(Table22[[#This Row],[Sales Date]])&lt;=6,"Q2",IF(MONTH(Table22[[#This Row],[Sales Date]])&lt;=9,"Q3","Q4")))</f>
        <v>Q2</v>
      </c>
      <c r="W315" s="64">
        <f>YEAR(Table22[[#This Row],[Sales Date]])</f>
        <v>2024</v>
      </c>
      <c r="X315" s="23">
        <v>50</v>
      </c>
      <c r="Y315" s="18" t="s">
        <v>49</v>
      </c>
      <c r="Z315" s="18" t="s">
        <v>56</v>
      </c>
      <c r="AA315" s="19" t="s">
        <v>25</v>
      </c>
    </row>
    <row r="316" spans="1:27" x14ac:dyDescent="0.25">
      <c r="A316" s="17" t="s">
        <v>712</v>
      </c>
      <c r="B316" s="18" t="s">
        <v>38</v>
      </c>
      <c r="C316" s="63" t="str" cm="1">
        <f t="array" ref="C316">_xlfn.SWITCH(Table22[[#This Row],[Country]],"USA","North America","Canada","North America","Brazil","South America","China","Asia","Japan","Asia","India","Asia","France","Europe","Germany","Europe","UK","Europe","Australia","Oceania","South America")</f>
        <v>Europe</v>
      </c>
      <c r="D316" s="18" t="s">
        <v>28</v>
      </c>
      <c r="E316" s="18" t="s">
        <v>39</v>
      </c>
      <c r="F316" s="18" t="s">
        <v>20</v>
      </c>
      <c r="G316" s="18" t="s">
        <v>48</v>
      </c>
      <c r="H316" s="64">
        <f>LEN(TRIM(Table22[[#This Row],[Country]]))</f>
        <v>6</v>
      </c>
      <c r="I316" s="64">
        <f>LEN(TRIM(Table22[[#This Row],[Continent]]))</f>
        <v>6</v>
      </c>
      <c r="J316" s="64">
        <f>LEN(TRIM(Table22[[#This Row],[Product]]))</f>
        <v>10</v>
      </c>
      <c r="K316" s="64">
        <f>LEN(TRIM(Table22[[#This Row],[Sales Team]]))</f>
        <v>9</v>
      </c>
      <c r="L316" s="23">
        <v>64</v>
      </c>
      <c r="M316" s="65" t="str" cm="1">
        <f t="array" ref="M316">_xlfn.IFS(Table22[[#This Row],[Units Sold]]&lt;40,"Critical",Table22[[#This Row],[Units Sold]]&lt;=50,"Poor",Table22[[#This Row],[Units Sold]]&lt;=60,"Low",Table22[[#This Row],[Units Sold]]&lt;=80,"Average",Table22[[#This Row],[Units Sold]]&lt;=90,"High",Table22[[#This Row],[Units Sold]]&lt;=95,"Excellent",Table22[[#This Row],[Units Sold]]&gt;95,"Outstanding")</f>
        <v>Average</v>
      </c>
      <c r="N316" s="29">
        <v>1183.83</v>
      </c>
      <c r="O316" s="29">
        <v>75765.119999999995</v>
      </c>
      <c r="P316" s="43">
        <f>IF(Table22[[#This Row],[Discount Applied]],Table22[[#This Row],[Total Sales (in USD)]]*(1-Table22[[#This Row],[Discount Percentage (%)]]/100),Table22[[#This Row],[Total Sales (in USD)]])</f>
        <v>69029.600831999996</v>
      </c>
      <c r="Q316" s="66">
        <f>SQRT(AVERAGE((Table22[[#This Row],[Net Sales (after discount) (in USD)]]-AVERAGE(Table22[Net Sales (after discount) (in USD)]))^2))</f>
        <v>32518.240268235459</v>
      </c>
      <c r="R316" s="18" t="b">
        <v>0</v>
      </c>
      <c r="S316" s="40">
        <v>8.89</v>
      </c>
      <c r="T316" s="18" t="b">
        <v>1</v>
      </c>
      <c r="U316" s="25">
        <v>45334</v>
      </c>
      <c r="V316" s="63" t="str">
        <f>IF(MONTH(Table22[[#This Row],[Sales Date]])&lt;=3,"Q1",IF(MONTH(Table22[[#This Row],[Sales Date]])&lt;=6,"Q2",IF(MONTH(Table22[[#This Row],[Sales Date]])&lt;=9,"Q3","Q4")))</f>
        <v>Q1</v>
      </c>
      <c r="W316" s="64">
        <f>YEAR(Table22[[#This Row],[Sales Date]])</f>
        <v>2024</v>
      </c>
      <c r="X316" s="23">
        <v>37</v>
      </c>
      <c r="Y316" s="18" t="s">
        <v>41</v>
      </c>
      <c r="Z316" s="18" t="s">
        <v>30</v>
      </c>
      <c r="AA316" s="19" t="s">
        <v>25</v>
      </c>
    </row>
    <row r="317" spans="1:27" x14ac:dyDescent="0.25">
      <c r="A317" s="17" t="s">
        <v>1701</v>
      </c>
      <c r="B317" s="18" t="s">
        <v>46</v>
      </c>
      <c r="C317" s="63" t="str" cm="1">
        <f t="array" ref="C317">_xlfn.SWITCH(Table22[[#This Row],[Country]],"USA","North America","Canada","North America","Brazil","South America","China","Asia","Japan","Asia","India","Asia","France","Europe","Germany","Europe","UK","Europe","Australia","Oceania","South America")</f>
        <v>South America</v>
      </c>
      <c r="D317" s="18" t="s">
        <v>21</v>
      </c>
      <c r="E317" s="18" t="s">
        <v>39</v>
      </c>
      <c r="F317" s="18" t="s">
        <v>47</v>
      </c>
      <c r="G317" s="18" t="s">
        <v>40</v>
      </c>
      <c r="H317" s="64">
        <f>LEN(TRIM(Table22[[#This Row],[Country]]))</f>
        <v>6</v>
      </c>
      <c r="I317" s="64">
        <f>LEN(TRIM(Table22[[#This Row],[Continent]]))</f>
        <v>13</v>
      </c>
      <c r="J317" s="64">
        <f>LEN(TRIM(Table22[[#This Row],[Product]]))</f>
        <v>10</v>
      </c>
      <c r="K317" s="64">
        <f>LEN(TRIM(Table22[[#This Row],[Sales Team]]))</f>
        <v>10</v>
      </c>
      <c r="L317" s="23">
        <v>69</v>
      </c>
      <c r="M317" s="65" t="str" cm="1">
        <f t="array" ref="M317">_xlfn.IFS(Table22[[#This Row],[Units Sold]]&lt;40,"Critical",Table22[[#This Row],[Units Sold]]&lt;=50,"Poor",Table22[[#This Row],[Units Sold]]&lt;=60,"Low",Table22[[#This Row],[Units Sold]]&lt;=80,"Average",Table22[[#This Row],[Units Sold]]&lt;=90,"High",Table22[[#This Row],[Units Sold]]&lt;=95,"Excellent",Table22[[#This Row],[Units Sold]]&gt;95,"Outstanding")</f>
        <v>Average</v>
      </c>
      <c r="N317" s="29">
        <v>1096.29</v>
      </c>
      <c r="O317" s="29">
        <v>75644.009999999995</v>
      </c>
      <c r="P317" s="43">
        <f>IF(Table22[[#This Row],[Discount Applied]],Table22[[#This Row],[Total Sales (in USD)]]*(1-Table22[[#This Row],[Discount Percentage (%)]]/100),Table22[[#This Row],[Total Sales (in USD)]])</f>
        <v>65061.413000999994</v>
      </c>
      <c r="Q317" s="66">
        <f>SQRT(AVERAGE((Table22[[#This Row],[Net Sales (after discount) (in USD)]]-AVERAGE(Table22[Net Sales (after discount) (in USD)]))^2))</f>
        <v>28550.052437235456</v>
      </c>
      <c r="R317" s="18" t="b">
        <v>0</v>
      </c>
      <c r="S317" s="40">
        <v>13.99</v>
      </c>
      <c r="T317" s="18" t="b">
        <v>1</v>
      </c>
      <c r="U317" s="25">
        <v>45338</v>
      </c>
      <c r="V317" s="63" t="str">
        <f>IF(MONTH(Table22[[#This Row],[Sales Date]])&lt;=3,"Q1",IF(MONTH(Table22[[#This Row],[Sales Date]])&lt;=6,"Q2",IF(MONTH(Table22[[#This Row],[Sales Date]])&lt;=9,"Q3","Q4")))</f>
        <v>Q1</v>
      </c>
      <c r="W317" s="64">
        <f>YEAR(Table22[[#This Row],[Sales Date]])</f>
        <v>2024</v>
      </c>
      <c r="X317" s="23">
        <v>19</v>
      </c>
      <c r="Y317" s="18" t="s">
        <v>23</v>
      </c>
      <c r="Z317" s="18" t="s">
        <v>42</v>
      </c>
      <c r="AA317" s="19" t="s">
        <v>36</v>
      </c>
    </row>
    <row r="318" spans="1:27" x14ac:dyDescent="0.25">
      <c r="A318" s="17" t="s">
        <v>607</v>
      </c>
      <c r="B318" s="18" t="s">
        <v>27</v>
      </c>
      <c r="C318" s="63" t="str" cm="1">
        <f t="array" ref="C318">_xlfn.SWITCH(Table22[[#This Row],[Country]],"USA","North America","Canada","North America","Brazil","South America","China","Asia","Japan","Asia","India","Asia","France","Europe","Germany","Europe","UK","Europe","Australia","Oceania","South America")</f>
        <v>Europe</v>
      </c>
      <c r="D318" s="18" t="s">
        <v>28</v>
      </c>
      <c r="E318" s="18" t="s">
        <v>33</v>
      </c>
      <c r="F318" s="18" t="s">
        <v>34</v>
      </c>
      <c r="G318" s="18" t="s">
        <v>48</v>
      </c>
      <c r="H318" s="64">
        <f>LEN(TRIM(Table22[[#This Row],[Country]]))</f>
        <v>7</v>
      </c>
      <c r="I318" s="64">
        <f>LEN(TRIM(Table22[[#This Row],[Continent]]))</f>
        <v>6</v>
      </c>
      <c r="J318" s="64">
        <f>LEN(TRIM(Table22[[#This Row],[Product]]))</f>
        <v>10</v>
      </c>
      <c r="K318" s="64">
        <f>LEN(TRIM(Table22[[#This Row],[Sales Team]]))</f>
        <v>9</v>
      </c>
      <c r="L318" s="23">
        <v>81</v>
      </c>
      <c r="M318" s="65" t="str" cm="1">
        <f t="array" ref="M318">_xlfn.IFS(Table22[[#This Row],[Units Sold]]&lt;40,"Critical",Table22[[#This Row],[Units Sold]]&lt;=50,"Poor",Table22[[#This Row],[Units Sold]]&lt;=60,"Low",Table22[[#This Row],[Units Sold]]&lt;=80,"Average",Table22[[#This Row],[Units Sold]]&lt;=90,"High",Table22[[#This Row],[Units Sold]]&lt;=95,"Excellent",Table22[[#This Row],[Units Sold]]&gt;95,"Outstanding")</f>
        <v>High</v>
      </c>
      <c r="N318" s="29">
        <v>931.18</v>
      </c>
      <c r="O318" s="29">
        <v>75425.58</v>
      </c>
      <c r="P318" s="43">
        <f>IF(Table22[[#This Row],[Discount Applied]],Table22[[#This Row],[Total Sales (in USD)]]*(1-Table22[[#This Row],[Discount Percentage (%)]]/100),Table22[[#This Row],[Total Sales (in USD)]])</f>
        <v>75425.58</v>
      </c>
      <c r="Q318" s="66">
        <f>SQRT(AVERAGE((Table22[[#This Row],[Net Sales (after discount) (in USD)]]-AVERAGE(Table22[Net Sales (after discount) (in USD)]))^2))</f>
        <v>38914.219436235464</v>
      </c>
      <c r="R318" s="18" t="b">
        <v>1</v>
      </c>
      <c r="S318" s="40">
        <v>10.73</v>
      </c>
      <c r="T318" s="18" t="b">
        <v>0</v>
      </c>
      <c r="U318" s="25">
        <v>45238</v>
      </c>
      <c r="V318" s="63" t="str">
        <f>IF(MONTH(Table22[[#This Row],[Sales Date]])&lt;=3,"Q1",IF(MONTH(Table22[[#This Row],[Sales Date]])&lt;=6,"Q2",IF(MONTH(Table22[[#This Row],[Sales Date]])&lt;=9,"Q3","Q4")))</f>
        <v>Q4</v>
      </c>
      <c r="W318" s="64">
        <f>YEAR(Table22[[#This Row],[Sales Date]])</f>
        <v>2023</v>
      </c>
      <c r="X318" s="23">
        <v>21</v>
      </c>
      <c r="Y318" s="18" t="s">
        <v>49</v>
      </c>
      <c r="Z318" s="18" t="s">
        <v>30</v>
      </c>
      <c r="AA318" s="19" t="s">
        <v>36</v>
      </c>
    </row>
    <row r="319" spans="1:27" x14ac:dyDescent="0.25">
      <c r="A319" s="17" t="s">
        <v>906</v>
      </c>
      <c r="B319" s="18" t="s">
        <v>62</v>
      </c>
      <c r="C319" s="63" t="str" cm="1">
        <f t="array" ref="C319">_xlfn.SWITCH(Table22[[#This Row],[Country]],"USA","North America","Canada","North America","Brazil","South America","China","Asia","Japan","Asia","India","Asia","France","Europe","Germany","Europe","UK","Europe","Australia","Oceania","South America")</f>
        <v>Oceania</v>
      </c>
      <c r="D319" s="18" t="s">
        <v>21</v>
      </c>
      <c r="E319" s="18" t="s">
        <v>39</v>
      </c>
      <c r="F319" s="18" t="s">
        <v>52</v>
      </c>
      <c r="G319" s="18" t="s">
        <v>29</v>
      </c>
      <c r="H319" s="64">
        <f>LEN(TRIM(Table22[[#This Row],[Country]]))</f>
        <v>9</v>
      </c>
      <c r="I319" s="64">
        <f>LEN(TRIM(Table22[[#This Row],[Continent]]))</f>
        <v>7</v>
      </c>
      <c r="J319" s="64">
        <f>LEN(TRIM(Table22[[#This Row],[Product]]))</f>
        <v>10</v>
      </c>
      <c r="K319" s="64">
        <f>LEN(TRIM(Table22[[#This Row],[Sales Team]]))</f>
        <v>10</v>
      </c>
      <c r="L319" s="23">
        <v>95</v>
      </c>
      <c r="M319" s="65" t="str" cm="1">
        <f t="array" ref="M319">_xlfn.IFS(Table22[[#This Row],[Units Sold]]&lt;40,"Critical",Table22[[#This Row],[Units Sold]]&lt;=50,"Poor",Table22[[#This Row],[Units Sold]]&lt;=60,"Low",Table22[[#This Row],[Units Sold]]&lt;=80,"Average",Table22[[#This Row],[Units Sold]]&lt;=90,"High",Table22[[#This Row],[Units Sold]]&lt;=95,"Excellent",Table22[[#This Row],[Units Sold]]&gt;95,"Outstanding")</f>
        <v>Excellent</v>
      </c>
      <c r="N319" s="29">
        <v>793.04</v>
      </c>
      <c r="O319" s="29">
        <v>75338.8</v>
      </c>
      <c r="P319" s="43">
        <f>IF(Table22[[#This Row],[Discount Applied]],Table22[[#This Row],[Total Sales (in USD)]]*(1-Table22[[#This Row],[Discount Percentage (%)]]/100),Table22[[#This Row],[Total Sales (in USD)]])</f>
        <v>75338.8</v>
      </c>
      <c r="Q319" s="66">
        <f>SQRT(AVERAGE((Table22[[#This Row],[Net Sales (after discount) (in USD)]]-AVERAGE(Table22[Net Sales (after discount) (in USD)]))^2))</f>
        <v>38827.439436235465</v>
      </c>
      <c r="R319" s="18" t="b">
        <v>1</v>
      </c>
      <c r="S319" s="40">
        <v>16.45</v>
      </c>
      <c r="T319" s="18" t="b">
        <v>0</v>
      </c>
      <c r="U319" s="25">
        <v>45112</v>
      </c>
      <c r="V319" s="63" t="str">
        <f>IF(MONTH(Table22[[#This Row],[Sales Date]])&lt;=3,"Q1",IF(MONTH(Table22[[#This Row],[Sales Date]])&lt;=6,"Q2",IF(MONTH(Table22[[#This Row],[Sales Date]])&lt;=9,"Q3","Q4")))</f>
        <v>Q3</v>
      </c>
      <c r="W319" s="64">
        <f>YEAR(Table22[[#This Row],[Sales Date]])</f>
        <v>2023</v>
      </c>
      <c r="X319" s="23">
        <v>21</v>
      </c>
      <c r="Y319" s="18" t="s">
        <v>41</v>
      </c>
      <c r="Z319" s="18" t="s">
        <v>42</v>
      </c>
      <c r="AA319" s="19" t="s">
        <v>25</v>
      </c>
    </row>
    <row r="320" spans="1:27" x14ac:dyDescent="0.25">
      <c r="A320" s="17" t="s">
        <v>1280</v>
      </c>
      <c r="B320" s="18" t="s">
        <v>38</v>
      </c>
      <c r="C320" s="63" t="str" cm="1">
        <f t="array" ref="C320">_xlfn.SWITCH(Table22[[#This Row],[Country]],"USA","North America","Canada","North America","Brazil","South America","China","Asia","Japan","Asia","India","Asia","France","Europe","Germany","Europe","UK","Europe","Australia","Oceania","South America")</f>
        <v>Europe</v>
      </c>
      <c r="D320" s="18" t="s">
        <v>21</v>
      </c>
      <c r="E320" s="18" t="s">
        <v>19</v>
      </c>
      <c r="F320" s="18" t="s">
        <v>64</v>
      </c>
      <c r="G320" s="18" t="s">
        <v>22</v>
      </c>
      <c r="H320" s="64">
        <f>LEN(TRIM(Table22[[#This Row],[Country]]))</f>
        <v>6</v>
      </c>
      <c r="I320" s="64">
        <f>LEN(TRIM(Table22[[#This Row],[Continent]]))</f>
        <v>6</v>
      </c>
      <c r="J320" s="64">
        <f>LEN(TRIM(Table22[[#This Row],[Product]]))</f>
        <v>6</v>
      </c>
      <c r="K320" s="64">
        <f>LEN(TRIM(Table22[[#This Row],[Sales Team]]))</f>
        <v>10</v>
      </c>
      <c r="L320" s="23">
        <v>99</v>
      </c>
      <c r="M320" s="65" t="str" cm="1">
        <f t="array" ref="M320">_xlfn.IFS(Table22[[#This Row],[Units Sold]]&lt;40,"Critical",Table22[[#This Row],[Units Sold]]&lt;=50,"Poor",Table22[[#This Row],[Units Sold]]&lt;=60,"Low",Table22[[#This Row],[Units Sold]]&lt;=80,"Average",Table22[[#This Row],[Units Sold]]&lt;=90,"High",Table22[[#This Row],[Units Sold]]&lt;=95,"Excellent",Table22[[#This Row],[Units Sold]]&gt;95,"Outstanding")</f>
        <v>Outstanding</v>
      </c>
      <c r="N320" s="29">
        <v>760.25</v>
      </c>
      <c r="O320" s="29">
        <v>75264.75</v>
      </c>
      <c r="P320" s="43">
        <f>IF(Table22[[#This Row],[Discount Applied]],Table22[[#This Row],[Total Sales (in USD)]]*(1-Table22[[#This Row],[Discount Percentage (%)]]/100),Table22[[#This Row],[Total Sales (in USD)]])</f>
        <v>75264.75</v>
      </c>
      <c r="Q320" s="66">
        <f>SQRT(AVERAGE((Table22[[#This Row],[Net Sales (after discount) (in USD)]]-AVERAGE(Table22[Net Sales (after discount) (in USD)]))^2))</f>
        <v>38753.389436235462</v>
      </c>
      <c r="R320" s="18" t="b">
        <v>1</v>
      </c>
      <c r="S320" s="40">
        <v>24.64</v>
      </c>
      <c r="T320" s="18" t="b">
        <v>0</v>
      </c>
      <c r="U320" s="25">
        <v>44985</v>
      </c>
      <c r="V320" s="63" t="str">
        <f>IF(MONTH(Table22[[#This Row],[Sales Date]])&lt;=3,"Q1",IF(MONTH(Table22[[#This Row],[Sales Date]])&lt;=6,"Q2",IF(MONTH(Table22[[#This Row],[Sales Date]])&lt;=9,"Q3","Q4")))</f>
        <v>Q1</v>
      </c>
      <c r="W320" s="64">
        <f>YEAR(Table22[[#This Row],[Sales Date]])</f>
        <v>2023</v>
      </c>
      <c r="X320" s="23">
        <v>23</v>
      </c>
      <c r="Y320" s="18" t="s">
        <v>23</v>
      </c>
      <c r="Z320" s="18" t="s">
        <v>56</v>
      </c>
      <c r="AA320" s="19" t="s">
        <v>36</v>
      </c>
    </row>
    <row r="321" spans="1:27" x14ac:dyDescent="0.25">
      <c r="A321" s="17" t="s">
        <v>938</v>
      </c>
      <c r="B321" s="18" t="s">
        <v>18</v>
      </c>
      <c r="C321" s="63" t="str" cm="1">
        <f t="array" ref="C321">_xlfn.SWITCH(Table22[[#This Row],[Country]],"USA","North America","Canada","North America","Brazil","South America","China","Asia","Japan","Asia","India","Asia","France","Europe","Germany","Europe","UK","Europe","Australia","Oceania","South America")</f>
        <v>Asia</v>
      </c>
      <c r="D321" s="18" t="s">
        <v>21</v>
      </c>
      <c r="E321" s="18" t="s">
        <v>19</v>
      </c>
      <c r="F321" s="18" t="s">
        <v>47</v>
      </c>
      <c r="G321" s="18" t="s">
        <v>22</v>
      </c>
      <c r="H321" s="64">
        <f>LEN(TRIM(Table22[[#This Row],[Country]]))</f>
        <v>5</v>
      </c>
      <c r="I321" s="64">
        <f>LEN(TRIM(Table22[[#This Row],[Continent]]))</f>
        <v>4</v>
      </c>
      <c r="J321" s="64">
        <f>LEN(TRIM(Table22[[#This Row],[Product]]))</f>
        <v>6</v>
      </c>
      <c r="K321" s="64">
        <f>LEN(TRIM(Table22[[#This Row],[Sales Team]]))</f>
        <v>10</v>
      </c>
      <c r="L321" s="23">
        <v>76</v>
      </c>
      <c r="M321" s="65" t="str" cm="1">
        <f t="array" ref="M321">_xlfn.IFS(Table22[[#This Row],[Units Sold]]&lt;40,"Critical",Table22[[#This Row],[Units Sold]]&lt;=50,"Poor",Table22[[#This Row],[Units Sold]]&lt;=60,"Low",Table22[[#This Row],[Units Sold]]&lt;=80,"Average",Table22[[#This Row],[Units Sold]]&lt;=90,"High",Table22[[#This Row],[Units Sold]]&lt;=95,"Excellent",Table22[[#This Row],[Units Sold]]&gt;95,"Outstanding")</f>
        <v>Average</v>
      </c>
      <c r="N321" s="29">
        <v>989.81</v>
      </c>
      <c r="O321" s="29">
        <v>75225.56</v>
      </c>
      <c r="P321" s="43">
        <f>IF(Table22[[#This Row],[Discount Applied]],Table22[[#This Row],[Total Sales (in USD)]]*(1-Table22[[#This Row],[Discount Percentage (%)]]/100),Table22[[#This Row],[Total Sales (in USD)]])</f>
        <v>75225.56</v>
      </c>
      <c r="Q321" s="66">
        <f>SQRT(AVERAGE((Table22[[#This Row],[Net Sales (after discount) (in USD)]]-AVERAGE(Table22[Net Sales (after discount) (in USD)]))^2))</f>
        <v>38714.19943623546</v>
      </c>
      <c r="R321" s="18" t="b">
        <v>1</v>
      </c>
      <c r="S321" s="40">
        <v>25.85</v>
      </c>
      <c r="T321" s="18" t="b">
        <v>0</v>
      </c>
      <c r="U321" s="25">
        <v>44989</v>
      </c>
      <c r="V321" s="63" t="str">
        <f>IF(MONTH(Table22[[#This Row],[Sales Date]])&lt;=3,"Q1",IF(MONTH(Table22[[#This Row],[Sales Date]])&lt;=6,"Q2",IF(MONTH(Table22[[#This Row],[Sales Date]])&lt;=9,"Q3","Q4")))</f>
        <v>Q1</v>
      </c>
      <c r="W321" s="64">
        <f>YEAR(Table22[[#This Row],[Sales Date]])</f>
        <v>2023</v>
      </c>
      <c r="X321" s="23">
        <v>44</v>
      </c>
      <c r="Y321" s="18" t="s">
        <v>41</v>
      </c>
      <c r="Z321" s="18" t="s">
        <v>56</v>
      </c>
      <c r="AA321" s="19" t="s">
        <v>25</v>
      </c>
    </row>
    <row r="322" spans="1:27" x14ac:dyDescent="0.25">
      <c r="A322" s="17" t="s">
        <v>821</v>
      </c>
      <c r="B322" s="18" t="s">
        <v>72</v>
      </c>
      <c r="C322" s="63" t="str" cm="1">
        <f t="array" ref="C322">_xlfn.SWITCH(Table22[[#This Row],[Country]],"USA","North America","Canada","North America","Brazil","South America","China","Asia","Japan","Asia","India","Asia","France","Europe","Germany","Europe","UK","Europe","Australia","Oceania","South America")</f>
        <v>North America</v>
      </c>
      <c r="D322" s="18" t="s">
        <v>21</v>
      </c>
      <c r="E322" s="18" t="s">
        <v>39</v>
      </c>
      <c r="F322" s="18" t="s">
        <v>34</v>
      </c>
      <c r="G322" s="18" t="s">
        <v>48</v>
      </c>
      <c r="H322" s="64">
        <f>LEN(TRIM(Table22[[#This Row],[Country]]))</f>
        <v>3</v>
      </c>
      <c r="I322" s="64">
        <f>LEN(TRIM(Table22[[#This Row],[Continent]]))</f>
        <v>13</v>
      </c>
      <c r="J322" s="64">
        <f>LEN(TRIM(Table22[[#This Row],[Product]]))</f>
        <v>10</v>
      </c>
      <c r="K322" s="64">
        <f>LEN(TRIM(Table22[[#This Row],[Sales Team]]))</f>
        <v>9</v>
      </c>
      <c r="L322" s="23">
        <v>64</v>
      </c>
      <c r="M322" s="65" t="str" cm="1">
        <f t="array" ref="M322">_xlfn.IFS(Table22[[#This Row],[Units Sold]]&lt;40,"Critical",Table22[[#This Row],[Units Sold]]&lt;=50,"Poor",Table22[[#This Row],[Units Sold]]&lt;=60,"Low",Table22[[#This Row],[Units Sold]]&lt;=80,"Average",Table22[[#This Row],[Units Sold]]&lt;=90,"High",Table22[[#This Row],[Units Sold]]&lt;=95,"Excellent",Table22[[#This Row],[Units Sold]]&gt;95,"Outstanding")</f>
        <v>Average</v>
      </c>
      <c r="N322" s="29">
        <v>1175.17</v>
      </c>
      <c r="O322" s="29">
        <v>75210.880000000005</v>
      </c>
      <c r="P322" s="43">
        <f>IF(Table22[[#This Row],[Discount Applied]],Table22[[#This Row],[Total Sales (in USD)]]*(1-Table22[[#This Row],[Discount Percentage (%)]]/100),Table22[[#This Row],[Total Sales (in USD)]])</f>
        <v>75210.880000000005</v>
      </c>
      <c r="Q322" s="66">
        <f>SQRT(AVERAGE((Table22[[#This Row],[Net Sales (after discount) (in USD)]]-AVERAGE(Table22[Net Sales (after discount) (in USD)]))^2))</f>
        <v>38699.519436235467</v>
      </c>
      <c r="R322" s="18" t="b">
        <v>1</v>
      </c>
      <c r="S322" s="40">
        <v>3.22</v>
      </c>
      <c r="T322" s="18" t="b">
        <v>0</v>
      </c>
      <c r="U322" s="25">
        <v>45483</v>
      </c>
      <c r="V322" s="63" t="str">
        <f>IF(MONTH(Table22[[#This Row],[Sales Date]])&lt;=3,"Q1",IF(MONTH(Table22[[#This Row],[Sales Date]])&lt;=6,"Q2",IF(MONTH(Table22[[#This Row],[Sales Date]])&lt;=9,"Q3","Q4")))</f>
        <v>Q3</v>
      </c>
      <c r="W322" s="64">
        <f>YEAR(Table22[[#This Row],[Sales Date]])</f>
        <v>2024</v>
      </c>
      <c r="X322" s="23">
        <v>68</v>
      </c>
      <c r="Y322" s="18" t="s">
        <v>23</v>
      </c>
      <c r="Z322" s="18" t="s">
        <v>30</v>
      </c>
      <c r="AA322" s="19" t="s">
        <v>25</v>
      </c>
    </row>
    <row r="323" spans="1:27" x14ac:dyDescent="0.25">
      <c r="A323" s="17" t="s">
        <v>119</v>
      </c>
      <c r="B323" s="18" t="s">
        <v>32</v>
      </c>
      <c r="C323" s="63" t="str" cm="1">
        <f t="array" ref="C323">_xlfn.SWITCH(Table22[[#This Row],[Country]],"USA","North America","Canada","North America","Brazil","South America","China","Asia","Japan","Asia","India","Asia","France","Europe","Germany","Europe","UK","Europe","Australia","Oceania","South America")</f>
        <v>Asia</v>
      </c>
      <c r="D323" s="18" t="s">
        <v>44</v>
      </c>
      <c r="E323" s="18" t="s">
        <v>39</v>
      </c>
      <c r="F323" s="18" t="s">
        <v>34</v>
      </c>
      <c r="G323" s="18" t="s">
        <v>48</v>
      </c>
      <c r="H323" s="64">
        <f>LEN(TRIM(Table22[[#This Row],[Country]]))</f>
        <v>5</v>
      </c>
      <c r="I323" s="64">
        <f>LEN(TRIM(Table22[[#This Row],[Continent]]))</f>
        <v>4</v>
      </c>
      <c r="J323" s="64">
        <f>LEN(TRIM(Table22[[#This Row],[Product]]))</f>
        <v>10</v>
      </c>
      <c r="K323" s="64">
        <f>LEN(TRIM(Table22[[#This Row],[Sales Team]]))</f>
        <v>9</v>
      </c>
      <c r="L323" s="23">
        <v>98</v>
      </c>
      <c r="M323" s="65" t="str" cm="1">
        <f t="array" ref="M323">_xlfn.IFS(Table22[[#This Row],[Units Sold]]&lt;40,"Critical",Table22[[#This Row],[Units Sold]]&lt;=50,"Poor",Table22[[#This Row],[Units Sold]]&lt;=60,"Low",Table22[[#This Row],[Units Sold]]&lt;=80,"Average",Table22[[#This Row],[Units Sold]]&lt;=90,"High",Table22[[#This Row],[Units Sold]]&lt;=95,"Excellent",Table22[[#This Row],[Units Sold]]&gt;95,"Outstanding")</f>
        <v>Outstanding</v>
      </c>
      <c r="N323" s="29">
        <v>766.53</v>
      </c>
      <c r="O323" s="29">
        <v>75119.94</v>
      </c>
      <c r="P323" s="43">
        <f>IF(Table22[[#This Row],[Discount Applied]],Table22[[#This Row],[Total Sales (in USD)]]*(1-Table22[[#This Row],[Discount Percentage (%)]]/100),Table22[[#This Row],[Total Sales (in USD)]])</f>
        <v>75119.94</v>
      </c>
      <c r="Q323" s="66">
        <f>SQRT(AVERAGE((Table22[[#This Row],[Net Sales (after discount) (in USD)]]-AVERAGE(Table22[Net Sales (after discount) (in USD)]))^2))</f>
        <v>38608.579436235465</v>
      </c>
      <c r="R323" s="18" t="b">
        <v>1</v>
      </c>
      <c r="S323" s="40">
        <v>13.25</v>
      </c>
      <c r="T323" s="18" t="b">
        <v>0</v>
      </c>
      <c r="U323" s="25">
        <v>45033</v>
      </c>
      <c r="V323" s="63" t="str">
        <f>IF(MONTH(Table22[[#This Row],[Sales Date]])&lt;=3,"Q1",IF(MONTH(Table22[[#This Row],[Sales Date]])&lt;=6,"Q2",IF(MONTH(Table22[[#This Row],[Sales Date]])&lt;=9,"Q3","Q4")))</f>
        <v>Q2</v>
      </c>
      <c r="W323" s="64">
        <f>YEAR(Table22[[#This Row],[Sales Date]])</f>
        <v>2023</v>
      </c>
      <c r="X323" s="23">
        <v>44</v>
      </c>
      <c r="Y323" s="18" t="s">
        <v>41</v>
      </c>
      <c r="Z323" s="18" t="s">
        <v>42</v>
      </c>
      <c r="AA323" s="19" t="s">
        <v>36</v>
      </c>
    </row>
    <row r="324" spans="1:27" x14ac:dyDescent="0.25">
      <c r="A324" s="17" t="s">
        <v>500</v>
      </c>
      <c r="B324" s="18" t="s">
        <v>72</v>
      </c>
      <c r="C324" s="63" t="str" cm="1">
        <f t="array" ref="C324">_xlfn.SWITCH(Table22[[#This Row],[Country]],"USA","North America","Canada","North America","Brazil","South America","China","Asia","Japan","Asia","India","Asia","France","Europe","Germany","Europe","UK","Europe","Australia","Oceania","South America")</f>
        <v>North America</v>
      </c>
      <c r="D324" s="18" t="s">
        <v>21</v>
      </c>
      <c r="E324" s="18" t="s">
        <v>39</v>
      </c>
      <c r="F324" s="18" t="s">
        <v>47</v>
      </c>
      <c r="G324" s="18" t="s">
        <v>48</v>
      </c>
      <c r="H324" s="64">
        <f>LEN(TRIM(Table22[[#This Row],[Country]]))</f>
        <v>3</v>
      </c>
      <c r="I324" s="64">
        <f>LEN(TRIM(Table22[[#This Row],[Continent]]))</f>
        <v>13</v>
      </c>
      <c r="J324" s="64">
        <f>LEN(TRIM(Table22[[#This Row],[Product]]))</f>
        <v>10</v>
      </c>
      <c r="K324" s="64">
        <f>LEN(TRIM(Table22[[#This Row],[Sales Team]]))</f>
        <v>9</v>
      </c>
      <c r="L324" s="23">
        <v>82</v>
      </c>
      <c r="M324" s="65" t="str" cm="1">
        <f t="array" ref="M324">_xlfn.IFS(Table22[[#This Row],[Units Sold]]&lt;40,"Critical",Table22[[#This Row],[Units Sold]]&lt;=50,"Poor",Table22[[#This Row],[Units Sold]]&lt;=60,"Low",Table22[[#This Row],[Units Sold]]&lt;=80,"Average",Table22[[#This Row],[Units Sold]]&lt;=90,"High",Table22[[#This Row],[Units Sold]]&lt;=95,"Excellent",Table22[[#This Row],[Units Sold]]&gt;95,"Outstanding")</f>
        <v>High</v>
      </c>
      <c r="N324" s="29">
        <v>915.15</v>
      </c>
      <c r="O324" s="29">
        <v>75042.3</v>
      </c>
      <c r="P324" s="43">
        <f>IF(Table22[[#This Row],[Discount Applied]],Table22[[#This Row],[Total Sales (in USD)]]*(1-Table22[[#This Row],[Discount Percentage (%)]]/100),Table22[[#This Row],[Total Sales (in USD)]])</f>
        <v>75042.3</v>
      </c>
      <c r="Q324" s="66">
        <f>SQRT(AVERAGE((Table22[[#This Row],[Net Sales (after discount) (in USD)]]-AVERAGE(Table22[Net Sales (after discount) (in USD)]))^2))</f>
        <v>38530.939436235465</v>
      </c>
      <c r="R324" s="18" t="b">
        <v>1</v>
      </c>
      <c r="S324" s="40">
        <v>27.08</v>
      </c>
      <c r="T324" s="18" t="b">
        <v>0</v>
      </c>
      <c r="U324" s="25">
        <v>45124</v>
      </c>
      <c r="V324" s="63" t="str">
        <f>IF(MONTH(Table22[[#This Row],[Sales Date]])&lt;=3,"Q1",IF(MONTH(Table22[[#This Row],[Sales Date]])&lt;=6,"Q2",IF(MONTH(Table22[[#This Row],[Sales Date]])&lt;=9,"Q3","Q4")))</f>
        <v>Q3</v>
      </c>
      <c r="W324" s="64">
        <f>YEAR(Table22[[#This Row],[Sales Date]])</f>
        <v>2023</v>
      </c>
      <c r="X324" s="23">
        <v>46</v>
      </c>
      <c r="Y324" s="18" t="s">
        <v>23</v>
      </c>
      <c r="Z324" s="18" t="s">
        <v>42</v>
      </c>
      <c r="AA324" s="19" t="s">
        <v>36</v>
      </c>
    </row>
    <row r="325" spans="1:27" x14ac:dyDescent="0.25">
      <c r="A325" s="17" t="s">
        <v>1840</v>
      </c>
      <c r="B325" s="18" t="s">
        <v>51</v>
      </c>
      <c r="C325" s="63" t="str" cm="1">
        <f t="array" ref="C325">_xlfn.SWITCH(Table22[[#This Row],[Country]],"USA","North America","Canada","North America","Brazil","South America","China","Asia","Japan","Asia","India","Asia","France","Europe","Germany","Europe","UK","Europe","Australia","Oceania","South America")</f>
        <v>Europe</v>
      </c>
      <c r="D325" s="18" t="s">
        <v>21</v>
      </c>
      <c r="E325" s="18" t="s">
        <v>19</v>
      </c>
      <c r="F325" s="18" t="s">
        <v>34</v>
      </c>
      <c r="G325" s="18" t="s">
        <v>40</v>
      </c>
      <c r="H325" s="64">
        <f>LEN(TRIM(Table22[[#This Row],[Country]]))</f>
        <v>2</v>
      </c>
      <c r="I325" s="64">
        <f>LEN(TRIM(Table22[[#This Row],[Continent]]))</f>
        <v>6</v>
      </c>
      <c r="J325" s="64">
        <f>LEN(TRIM(Table22[[#This Row],[Product]]))</f>
        <v>6</v>
      </c>
      <c r="K325" s="64">
        <f>LEN(TRIM(Table22[[#This Row],[Sales Team]]))</f>
        <v>10</v>
      </c>
      <c r="L325" s="23">
        <v>60</v>
      </c>
      <c r="M325" s="65" t="str" cm="1">
        <f t="array" ref="M325">_xlfn.IFS(Table22[[#This Row],[Units Sold]]&lt;40,"Critical",Table22[[#This Row],[Units Sold]]&lt;=50,"Poor",Table22[[#This Row],[Units Sold]]&lt;=60,"Low",Table22[[#This Row],[Units Sold]]&lt;=80,"Average",Table22[[#This Row],[Units Sold]]&lt;=90,"High",Table22[[#This Row],[Units Sold]]&lt;=95,"Excellent",Table22[[#This Row],[Units Sold]]&gt;95,"Outstanding")</f>
        <v>Low</v>
      </c>
      <c r="N325" s="29">
        <v>1250.3499999999999</v>
      </c>
      <c r="O325" s="29">
        <v>75021</v>
      </c>
      <c r="P325" s="43">
        <f>IF(Table22[[#This Row],[Discount Applied]],Table22[[#This Row],[Total Sales (in USD)]]*(1-Table22[[#This Row],[Discount Percentage (%)]]/100),Table22[[#This Row],[Total Sales (in USD)]])</f>
        <v>75021</v>
      </c>
      <c r="Q325" s="66">
        <f>SQRT(AVERAGE((Table22[[#This Row],[Net Sales (after discount) (in USD)]]-AVERAGE(Table22[Net Sales (after discount) (in USD)]))^2))</f>
        <v>38509.639436235462</v>
      </c>
      <c r="R325" s="18" t="b">
        <v>0</v>
      </c>
      <c r="S325" s="40">
        <v>5.5</v>
      </c>
      <c r="T325" s="18" t="b">
        <v>0</v>
      </c>
      <c r="U325" s="25">
        <v>45236</v>
      </c>
      <c r="V325" s="63" t="str">
        <f>IF(MONTH(Table22[[#This Row],[Sales Date]])&lt;=3,"Q1",IF(MONTH(Table22[[#This Row],[Sales Date]])&lt;=6,"Q2",IF(MONTH(Table22[[#This Row],[Sales Date]])&lt;=9,"Q3","Q4")))</f>
        <v>Q4</v>
      </c>
      <c r="W325" s="64">
        <f>YEAR(Table22[[#This Row],[Sales Date]])</f>
        <v>2023</v>
      </c>
      <c r="X325" s="23">
        <v>29</v>
      </c>
      <c r="Y325" s="18" t="s">
        <v>49</v>
      </c>
      <c r="Z325" s="18" t="s">
        <v>30</v>
      </c>
      <c r="AA325" s="19" t="s">
        <v>36</v>
      </c>
    </row>
    <row r="326" spans="1:27" x14ac:dyDescent="0.25">
      <c r="A326" s="17" t="s">
        <v>1294</v>
      </c>
      <c r="B326" s="18" t="s">
        <v>32</v>
      </c>
      <c r="C326" s="63" t="str" cm="1">
        <f t="array" ref="C326">_xlfn.SWITCH(Table22[[#This Row],[Country]],"USA","North America","Canada","North America","Brazil","South America","China","Asia","Japan","Asia","India","Asia","France","Europe","Germany","Europe","UK","Europe","Australia","Oceania","South America")</f>
        <v>Asia</v>
      </c>
      <c r="D326" s="18" t="s">
        <v>44</v>
      </c>
      <c r="E326" s="18" t="s">
        <v>33</v>
      </c>
      <c r="F326" s="18" t="s">
        <v>20</v>
      </c>
      <c r="G326" s="18" t="s">
        <v>22</v>
      </c>
      <c r="H326" s="64">
        <f>LEN(TRIM(Table22[[#This Row],[Country]]))</f>
        <v>5</v>
      </c>
      <c r="I326" s="64">
        <f>LEN(TRIM(Table22[[#This Row],[Continent]]))</f>
        <v>4</v>
      </c>
      <c r="J326" s="64">
        <f>LEN(TRIM(Table22[[#This Row],[Product]]))</f>
        <v>10</v>
      </c>
      <c r="K326" s="64">
        <f>LEN(TRIM(Table22[[#This Row],[Sales Team]]))</f>
        <v>10</v>
      </c>
      <c r="L326" s="23">
        <v>84</v>
      </c>
      <c r="M326" s="65" t="str" cm="1">
        <f t="array" ref="M326">_xlfn.IFS(Table22[[#This Row],[Units Sold]]&lt;40,"Critical",Table22[[#This Row],[Units Sold]]&lt;=50,"Poor",Table22[[#This Row],[Units Sold]]&lt;=60,"Low",Table22[[#This Row],[Units Sold]]&lt;=80,"Average",Table22[[#This Row],[Units Sold]]&lt;=90,"High",Table22[[#This Row],[Units Sold]]&lt;=95,"Excellent",Table22[[#This Row],[Units Sold]]&gt;95,"Outstanding")</f>
        <v>High</v>
      </c>
      <c r="N326" s="29">
        <v>892.52</v>
      </c>
      <c r="O326" s="29">
        <v>74971.679999999993</v>
      </c>
      <c r="P326" s="43">
        <f>IF(Table22[[#This Row],[Discount Applied]],Table22[[#This Row],[Total Sales (in USD)]]*(1-Table22[[#This Row],[Discount Percentage (%)]]/100),Table22[[#This Row],[Total Sales (in USD)]])</f>
        <v>69363.798335999993</v>
      </c>
      <c r="Q326" s="66">
        <f>SQRT(AVERAGE((Table22[[#This Row],[Net Sales (after discount) (in USD)]]-AVERAGE(Table22[Net Sales (after discount) (in USD)]))^2))</f>
        <v>32852.437772235455</v>
      </c>
      <c r="R326" s="18" t="b">
        <v>1</v>
      </c>
      <c r="S326" s="40">
        <v>7.48</v>
      </c>
      <c r="T326" s="18" t="b">
        <v>1</v>
      </c>
      <c r="U326" s="25">
        <v>45242</v>
      </c>
      <c r="V326" s="63" t="str">
        <f>IF(MONTH(Table22[[#This Row],[Sales Date]])&lt;=3,"Q1",IF(MONTH(Table22[[#This Row],[Sales Date]])&lt;=6,"Q2",IF(MONTH(Table22[[#This Row],[Sales Date]])&lt;=9,"Q3","Q4")))</f>
        <v>Q4</v>
      </c>
      <c r="W326" s="64">
        <f>YEAR(Table22[[#This Row],[Sales Date]])</f>
        <v>2023</v>
      </c>
      <c r="X326" s="23">
        <v>39</v>
      </c>
      <c r="Y326" s="18" t="s">
        <v>41</v>
      </c>
      <c r="Z326" s="18" t="s">
        <v>56</v>
      </c>
      <c r="AA326" s="19" t="s">
        <v>36</v>
      </c>
    </row>
    <row r="327" spans="1:27" x14ac:dyDescent="0.25">
      <c r="A327" s="17" t="s">
        <v>1631</v>
      </c>
      <c r="B327" s="18" t="s">
        <v>62</v>
      </c>
      <c r="C327" s="63" t="str" cm="1">
        <f t="array" ref="C327">_xlfn.SWITCH(Table22[[#This Row],[Country]],"USA","North America","Canada","North America","Brazil","South America","China","Asia","Japan","Asia","India","Asia","France","Europe","Germany","Europe","UK","Europe","Australia","Oceania","South America")</f>
        <v>Oceania</v>
      </c>
      <c r="D327" s="18" t="s">
        <v>35</v>
      </c>
      <c r="E327" s="18" t="s">
        <v>33</v>
      </c>
      <c r="F327" s="18" t="s">
        <v>52</v>
      </c>
      <c r="G327" s="18" t="s">
        <v>40</v>
      </c>
      <c r="H327" s="64">
        <f>LEN(TRIM(Table22[[#This Row],[Country]]))</f>
        <v>9</v>
      </c>
      <c r="I327" s="64">
        <f>LEN(TRIM(Table22[[#This Row],[Continent]]))</f>
        <v>7</v>
      </c>
      <c r="J327" s="64">
        <f>LEN(TRIM(Table22[[#This Row],[Product]]))</f>
        <v>10</v>
      </c>
      <c r="K327" s="64">
        <f>LEN(TRIM(Table22[[#This Row],[Sales Team]]))</f>
        <v>10</v>
      </c>
      <c r="L327" s="23">
        <v>90</v>
      </c>
      <c r="M327" s="65" t="str" cm="1">
        <f t="array" ref="M327">_xlfn.IFS(Table22[[#This Row],[Units Sold]]&lt;40,"Critical",Table22[[#This Row],[Units Sold]]&lt;=50,"Poor",Table22[[#This Row],[Units Sold]]&lt;=60,"Low",Table22[[#This Row],[Units Sold]]&lt;=80,"Average",Table22[[#This Row],[Units Sold]]&lt;=90,"High",Table22[[#This Row],[Units Sold]]&lt;=95,"Excellent",Table22[[#This Row],[Units Sold]]&gt;95,"Outstanding")</f>
        <v>High</v>
      </c>
      <c r="N327" s="29">
        <v>832.44</v>
      </c>
      <c r="O327" s="29">
        <v>74919.600000000006</v>
      </c>
      <c r="P327" s="43">
        <f>IF(Table22[[#This Row],[Discount Applied]],Table22[[#This Row],[Total Sales (in USD)]]*(1-Table22[[#This Row],[Discount Percentage (%)]]/100),Table22[[#This Row],[Total Sales (in USD)]])</f>
        <v>74919.600000000006</v>
      </c>
      <c r="Q327" s="66">
        <f>SQRT(AVERAGE((Table22[[#This Row],[Net Sales (after discount) (in USD)]]-AVERAGE(Table22[Net Sales (after discount) (in USD)]))^2))</f>
        <v>38408.239436235468</v>
      </c>
      <c r="R327" s="18" t="b">
        <v>1</v>
      </c>
      <c r="S327" s="40">
        <v>7.79</v>
      </c>
      <c r="T327" s="18" t="b">
        <v>0</v>
      </c>
      <c r="U327" s="25">
        <v>45456</v>
      </c>
      <c r="V327" s="63" t="str">
        <f>IF(MONTH(Table22[[#This Row],[Sales Date]])&lt;=3,"Q1",IF(MONTH(Table22[[#This Row],[Sales Date]])&lt;=6,"Q2",IF(MONTH(Table22[[#This Row],[Sales Date]])&lt;=9,"Q3","Q4")))</f>
        <v>Q2</v>
      </c>
      <c r="W327" s="64">
        <f>YEAR(Table22[[#This Row],[Sales Date]])</f>
        <v>2024</v>
      </c>
      <c r="X327" s="23">
        <v>30</v>
      </c>
      <c r="Y327" s="18" t="s">
        <v>41</v>
      </c>
      <c r="Z327" s="18" t="s">
        <v>56</v>
      </c>
      <c r="AA327" s="19" t="s">
        <v>36</v>
      </c>
    </row>
    <row r="328" spans="1:27" x14ac:dyDescent="0.25">
      <c r="A328" s="17" t="s">
        <v>1835</v>
      </c>
      <c r="B328" s="18" t="s">
        <v>38</v>
      </c>
      <c r="C328" s="63" t="str" cm="1">
        <f t="array" ref="C328">_xlfn.SWITCH(Table22[[#This Row],[Country]],"USA","North America","Canada","North America","Brazil","South America","China","Asia","Japan","Asia","India","Asia","France","Europe","Germany","Europe","UK","Europe","Australia","Oceania","South America")</f>
        <v>Europe</v>
      </c>
      <c r="D328" s="18" t="s">
        <v>44</v>
      </c>
      <c r="E328" s="18" t="s">
        <v>39</v>
      </c>
      <c r="F328" s="18" t="s">
        <v>64</v>
      </c>
      <c r="G328" s="18" t="s">
        <v>22</v>
      </c>
      <c r="H328" s="64">
        <f>LEN(TRIM(Table22[[#This Row],[Country]]))</f>
        <v>6</v>
      </c>
      <c r="I328" s="64">
        <f>LEN(TRIM(Table22[[#This Row],[Continent]]))</f>
        <v>6</v>
      </c>
      <c r="J328" s="64">
        <f>LEN(TRIM(Table22[[#This Row],[Product]]))</f>
        <v>10</v>
      </c>
      <c r="K328" s="64">
        <f>LEN(TRIM(Table22[[#This Row],[Sales Team]]))</f>
        <v>10</v>
      </c>
      <c r="L328" s="23">
        <v>93</v>
      </c>
      <c r="M328" s="65" t="str" cm="1">
        <f t="array" ref="M328">_xlfn.IFS(Table22[[#This Row],[Units Sold]]&lt;40,"Critical",Table22[[#This Row],[Units Sold]]&lt;=50,"Poor",Table22[[#This Row],[Units Sold]]&lt;=60,"Low",Table22[[#This Row],[Units Sold]]&lt;=80,"Average",Table22[[#This Row],[Units Sold]]&lt;=90,"High",Table22[[#This Row],[Units Sold]]&lt;=95,"Excellent",Table22[[#This Row],[Units Sold]]&gt;95,"Outstanding")</f>
        <v>Excellent</v>
      </c>
      <c r="N328" s="29">
        <v>804</v>
      </c>
      <c r="O328" s="29">
        <v>74772</v>
      </c>
      <c r="P328" s="43">
        <f>IF(Table22[[#This Row],[Discount Applied]],Table22[[#This Row],[Total Sales (in USD)]]*(1-Table22[[#This Row],[Discount Percentage (%)]]/100),Table22[[#This Row],[Total Sales (in USD)]])</f>
        <v>74772</v>
      </c>
      <c r="Q328" s="66">
        <f>SQRT(AVERAGE((Table22[[#This Row],[Net Sales (after discount) (in USD)]]-AVERAGE(Table22[Net Sales (after discount) (in USD)]))^2))</f>
        <v>38260.639436235462</v>
      </c>
      <c r="R328" s="18" t="b">
        <v>1</v>
      </c>
      <c r="S328" s="40">
        <v>25.38</v>
      </c>
      <c r="T328" s="18" t="b">
        <v>0</v>
      </c>
      <c r="U328" s="25">
        <v>45529</v>
      </c>
      <c r="V328" s="63" t="str">
        <f>IF(MONTH(Table22[[#This Row],[Sales Date]])&lt;=3,"Q1",IF(MONTH(Table22[[#This Row],[Sales Date]])&lt;=6,"Q2",IF(MONTH(Table22[[#This Row],[Sales Date]])&lt;=9,"Q3","Q4")))</f>
        <v>Q3</v>
      </c>
      <c r="W328" s="64">
        <f>YEAR(Table22[[#This Row],[Sales Date]])</f>
        <v>2024</v>
      </c>
      <c r="X328" s="23">
        <v>43</v>
      </c>
      <c r="Y328" s="18" t="s">
        <v>23</v>
      </c>
      <c r="Z328" s="18" t="s">
        <v>24</v>
      </c>
      <c r="AA328" s="19" t="s">
        <v>25</v>
      </c>
    </row>
    <row r="329" spans="1:27" x14ac:dyDescent="0.25">
      <c r="A329" s="17" t="s">
        <v>911</v>
      </c>
      <c r="B329" s="18" t="s">
        <v>76</v>
      </c>
      <c r="C329" s="63" t="str" cm="1">
        <f t="array" ref="C329">_xlfn.SWITCH(Table22[[#This Row],[Country]],"USA","North America","Canada","North America","Brazil","South America","China","Asia","Japan","Asia","India","Asia","France","Europe","Germany","Europe","UK","Europe","Australia","Oceania","South America")</f>
        <v>Asia</v>
      </c>
      <c r="D329" s="18" t="s">
        <v>21</v>
      </c>
      <c r="E329" s="18" t="s">
        <v>39</v>
      </c>
      <c r="F329" s="18" t="s">
        <v>64</v>
      </c>
      <c r="G329" s="18" t="s">
        <v>22</v>
      </c>
      <c r="H329" s="64">
        <f>LEN(TRIM(Table22[[#This Row],[Country]]))</f>
        <v>5</v>
      </c>
      <c r="I329" s="64">
        <f>LEN(TRIM(Table22[[#This Row],[Continent]]))</f>
        <v>4</v>
      </c>
      <c r="J329" s="64">
        <f>LEN(TRIM(Table22[[#This Row],[Product]]))</f>
        <v>10</v>
      </c>
      <c r="K329" s="64">
        <f>LEN(TRIM(Table22[[#This Row],[Sales Team]]))</f>
        <v>10</v>
      </c>
      <c r="L329" s="23">
        <v>82</v>
      </c>
      <c r="M329" s="65" t="str" cm="1">
        <f t="array" ref="M329">_xlfn.IFS(Table22[[#This Row],[Units Sold]]&lt;40,"Critical",Table22[[#This Row],[Units Sold]]&lt;=50,"Poor",Table22[[#This Row],[Units Sold]]&lt;=60,"Low",Table22[[#This Row],[Units Sold]]&lt;=80,"Average",Table22[[#This Row],[Units Sold]]&lt;=90,"High",Table22[[#This Row],[Units Sold]]&lt;=95,"Excellent",Table22[[#This Row],[Units Sold]]&gt;95,"Outstanding")</f>
        <v>High</v>
      </c>
      <c r="N329" s="29">
        <v>911.21</v>
      </c>
      <c r="O329" s="29">
        <v>74719.22</v>
      </c>
      <c r="P329" s="43">
        <f>IF(Table22[[#This Row],[Discount Applied]],Table22[[#This Row],[Total Sales (in USD)]]*(1-Table22[[#This Row],[Discount Percentage (%)]]/100),Table22[[#This Row],[Total Sales (in USD)]])</f>
        <v>74719.22</v>
      </c>
      <c r="Q329" s="66">
        <f>SQRT(AVERAGE((Table22[[#This Row],[Net Sales (after discount) (in USD)]]-AVERAGE(Table22[Net Sales (after discount) (in USD)]))^2))</f>
        <v>38207.859436235463</v>
      </c>
      <c r="R329" s="18" t="b">
        <v>0</v>
      </c>
      <c r="S329" s="40">
        <v>18.440000000000001</v>
      </c>
      <c r="T329" s="18" t="b">
        <v>0</v>
      </c>
      <c r="U329" s="25">
        <v>45200</v>
      </c>
      <c r="V329" s="63" t="str">
        <f>IF(MONTH(Table22[[#This Row],[Sales Date]])&lt;=3,"Q1",IF(MONTH(Table22[[#This Row],[Sales Date]])&lt;=6,"Q2",IF(MONTH(Table22[[#This Row],[Sales Date]])&lt;=9,"Q3","Q4")))</f>
        <v>Q4</v>
      </c>
      <c r="W329" s="64">
        <f>YEAR(Table22[[#This Row],[Sales Date]])</f>
        <v>2023</v>
      </c>
      <c r="X329" s="23">
        <v>28</v>
      </c>
      <c r="Y329" s="18" t="s">
        <v>49</v>
      </c>
      <c r="Z329" s="18" t="s">
        <v>24</v>
      </c>
      <c r="AA329" s="19" t="s">
        <v>36</v>
      </c>
    </row>
    <row r="330" spans="1:27" x14ac:dyDescent="0.25">
      <c r="A330" s="17" t="s">
        <v>1792</v>
      </c>
      <c r="B330" s="18" t="s">
        <v>66</v>
      </c>
      <c r="C330" s="63" t="str" cm="1">
        <f t="array" ref="C330">_xlfn.SWITCH(Table22[[#This Row],[Country]],"USA","North America","Canada","North America","Brazil","South America","China","Asia","Japan","Asia","India","Asia","France","Europe","Germany","Europe","UK","Europe","Australia","Oceania","South America")</f>
        <v>North America</v>
      </c>
      <c r="D330" s="18" t="s">
        <v>35</v>
      </c>
      <c r="E330" s="18" t="s">
        <v>33</v>
      </c>
      <c r="F330" s="18" t="s">
        <v>64</v>
      </c>
      <c r="G330" s="18" t="s">
        <v>22</v>
      </c>
      <c r="H330" s="64">
        <f>LEN(TRIM(Table22[[#This Row],[Country]]))</f>
        <v>6</v>
      </c>
      <c r="I330" s="64">
        <f>LEN(TRIM(Table22[[#This Row],[Continent]]))</f>
        <v>13</v>
      </c>
      <c r="J330" s="64">
        <f>LEN(TRIM(Table22[[#This Row],[Product]]))</f>
        <v>10</v>
      </c>
      <c r="K330" s="64">
        <f>LEN(TRIM(Table22[[#This Row],[Sales Team]]))</f>
        <v>10</v>
      </c>
      <c r="L330" s="23">
        <v>95</v>
      </c>
      <c r="M330" s="65" t="str" cm="1">
        <f t="array" ref="M330">_xlfn.IFS(Table22[[#This Row],[Units Sold]]&lt;40,"Critical",Table22[[#This Row],[Units Sold]]&lt;=50,"Poor",Table22[[#This Row],[Units Sold]]&lt;=60,"Low",Table22[[#This Row],[Units Sold]]&lt;=80,"Average",Table22[[#This Row],[Units Sold]]&lt;=90,"High",Table22[[#This Row],[Units Sold]]&lt;=95,"Excellent",Table22[[#This Row],[Units Sold]]&gt;95,"Outstanding")</f>
        <v>Excellent</v>
      </c>
      <c r="N330" s="29">
        <v>785.36</v>
      </c>
      <c r="O330" s="29">
        <v>74609.2</v>
      </c>
      <c r="P330" s="43">
        <f>IF(Table22[[#This Row],[Discount Applied]],Table22[[#This Row],[Total Sales (in USD)]]*(1-Table22[[#This Row],[Discount Percentage (%)]]/100),Table22[[#This Row],[Total Sales (in USD)]])</f>
        <v>53196.359600000003</v>
      </c>
      <c r="Q330" s="66">
        <f>SQRT(AVERAGE((Table22[[#This Row],[Net Sales (after discount) (in USD)]]-AVERAGE(Table22[Net Sales (after discount) (in USD)]))^2))</f>
        <v>16684.999036235466</v>
      </c>
      <c r="R330" s="18" t="b">
        <v>1</v>
      </c>
      <c r="S330" s="40">
        <v>28.7</v>
      </c>
      <c r="T330" s="18" t="b">
        <v>1</v>
      </c>
      <c r="U330" s="25">
        <v>45170</v>
      </c>
      <c r="V330" s="63" t="str">
        <f>IF(MONTH(Table22[[#This Row],[Sales Date]])&lt;=3,"Q1",IF(MONTH(Table22[[#This Row],[Sales Date]])&lt;=6,"Q2",IF(MONTH(Table22[[#This Row],[Sales Date]])&lt;=9,"Q3","Q4")))</f>
        <v>Q3</v>
      </c>
      <c r="W330" s="64">
        <f>YEAR(Table22[[#This Row],[Sales Date]])</f>
        <v>2023</v>
      </c>
      <c r="X330" s="23">
        <v>23</v>
      </c>
      <c r="Y330" s="18" t="s">
        <v>49</v>
      </c>
      <c r="Z330" s="18" t="s">
        <v>24</v>
      </c>
      <c r="AA330" s="19" t="s">
        <v>36</v>
      </c>
    </row>
    <row r="331" spans="1:27" x14ac:dyDescent="0.25">
      <c r="A331" s="17" t="s">
        <v>885</v>
      </c>
      <c r="B331" s="18" t="s">
        <v>62</v>
      </c>
      <c r="C331" s="63" t="str" cm="1">
        <f t="array" ref="C331">_xlfn.SWITCH(Table22[[#This Row],[Country]],"USA","North America","Canada","North America","Brazil","South America","China","Asia","Japan","Asia","India","Asia","France","Europe","Germany","Europe","UK","Europe","Australia","Oceania","South America")</f>
        <v>Oceania</v>
      </c>
      <c r="D331" s="18" t="s">
        <v>35</v>
      </c>
      <c r="E331" s="18" t="s">
        <v>19</v>
      </c>
      <c r="F331" s="18" t="s">
        <v>52</v>
      </c>
      <c r="G331" s="18" t="s">
        <v>40</v>
      </c>
      <c r="H331" s="64">
        <f>LEN(TRIM(Table22[[#This Row],[Country]]))</f>
        <v>9</v>
      </c>
      <c r="I331" s="64">
        <f>LEN(TRIM(Table22[[#This Row],[Continent]]))</f>
        <v>7</v>
      </c>
      <c r="J331" s="64">
        <f>LEN(TRIM(Table22[[#This Row],[Product]]))</f>
        <v>6</v>
      </c>
      <c r="K331" s="64">
        <f>LEN(TRIM(Table22[[#This Row],[Sales Team]]))</f>
        <v>10</v>
      </c>
      <c r="L331" s="23">
        <v>64</v>
      </c>
      <c r="M331" s="65" t="str" cm="1">
        <f t="array" ref="M331">_xlfn.IFS(Table22[[#This Row],[Units Sold]]&lt;40,"Critical",Table22[[#This Row],[Units Sold]]&lt;=50,"Poor",Table22[[#This Row],[Units Sold]]&lt;=60,"Low",Table22[[#This Row],[Units Sold]]&lt;=80,"Average",Table22[[#This Row],[Units Sold]]&lt;=90,"High",Table22[[#This Row],[Units Sold]]&lt;=95,"Excellent",Table22[[#This Row],[Units Sold]]&gt;95,"Outstanding")</f>
        <v>Average</v>
      </c>
      <c r="N331" s="29">
        <v>1163.55</v>
      </c>
      <c r="O331" s="29">
        <v>74467.199999999997</v>
      </c>
      <c r="P331" s="43">
        <f>IF(Table22[[#This Row],[Discount Applied]],Table22[[#This Row],[Total Sales (in USD)]]*(1-Table22[[#This Row],[Discount Percentage (%)]]/100),Table22[[#This Row],[Total Sales (in USD)]])</f>
        <v>72605.51999999999</v>
      </c>
      <c r="Q331" s="66">
        <f>SQRT(AVERAGE((Table22[[#This Row],[Net Sales (after discount) (in USD)]]-AVERAGE(Table22[Net Sales (after discount) (in USD)]))^2))</f>
        <v>36094.159436235452</v>
      </c>
      <c r="R331" s="18" t="b">
        <v>1</v>
      </c>
      <c r="S331" s="40">
        <v>2.5</v>
      </c>
      <c r="T331" s="18" t="b">
        <v>1</v>
      </c>
      <c r="U331" s="25">
        <v>45436</v>
      </c>
      <c r="V331" s="63" t="str">
        <f>IF(MONTH(Table22[[#This Row],[Sales Date]])&lt;=3,"Q1",IF(MONTH(Table22[[#This Row],[Sales Date]])&lt;=6,"Q2",IF(MONTH(Table22[[#This Row],[Sales Date]])&lt;=9,"Q3","Q4")))</f>
        <v>Q2</v>
      </c>
      <c r="W331" s="64">
        <f>YEAR(Table22[[#This Row],[Sales Date]])</f>
        <v>2024</v>
      </c>
      <c r="X331" s="23">
        <v>26</v>
      </c>
      <c r="Y331" s="18" t="s">
        <v>41</v>
      </c>
      <c r="Z331" s="18" t="s">
        <v>56</v>
      </c>
      <c r="AA331" s="19" t="s">
        <v>36</v>
      </c>
    </row>
    <row r="332" spans="1:27" x14ac:dyDescent="0.25">
      <c r="A332" s="17" t="s">
        <v>348</v>
      </c>
      <c r="B332" s="18" t="s">
        <v>38</v>
      </c>
      <c r="C332" s="63" t="str" cm="1">
        <f t="array" ref="C332">_xlfn.SWITCH(Table22[[#This Row],[Country]],"USA","North America","Canada","North America","Brazil","South America","China","Asia","Japan","Asia","India","Asia","France","Europe","Germany","Europe","UK","Europe","Australia","Oceania","South America")</f>
        <v>Europe</v>
      </c>
      <c r="D332" s="18" t="s">
        <v>44</v>
      </c>
      <c r="E332" s="18" t="s">
        <v>33</v>
      </c>
      <c r="F332" s="18" t="s">
        <v>34</v>
      </c>
      <c r="G332" s="18" t="s">
        <v>22</v>
      </c>
      <c r="H332" s="64">
        <f>LEN(TRIM(Table22[[#This Row],[Country]]))</f>
        <v>6</v>
      </c>
      <c r="I332" s="64">
        <f>LEN(TRIM(Table22[[#This Row],[Continent]]))</f>
        <v>6</v>
      </c>
      <c r="J332" s="64">
        <f>LEN(TRIM(Table22[[#This Row],[Product]]))</f>
        <v>10</v>
      </c>
      <c r="K332" s="64">
        <f>LEN(TRIM(Table22[[#This Row],[Sales Team]]))</f>
        <v>10</v>
      </c>
      <c r="L332" s="23">
        <v>99</v>
      </c>
      <c r="M332" s="65" t="str" cm="1">
        <f t="array" ref="M332">_xlfn.IFS(Table22[[#This Row],[Units Sold]]&lt;40,"Critical",Table22[[#This Row],[Units Sold]]&lt;=50,"Poor",Table22[[#This Row],[Units Sold]]&lt;=60,"Low",Table22[[#This Row],[Units Sold]]&lt;=80,"Average",Table22[[#This Row],[Units Sold]]&lt;=90,"High",Table22[[#This Row],[Units Sold]]&lt;=95,"Excellent",Table22[[#This Row],[Units Sold]]&gt;95,"Outstanding")</f>
        <v>Outstanding</v>
      </c>
      <c r="N332" s="29">
        <v>749.96</v>
      </c>
      <c r="O332" s="29">
        <v>74246.039999999994</v>
      </c>
      <c r="P332" s="43">
        <f>IF(Table22[[#This Row],[Discount Applied]],Table22[[#This Row],[Total Sales (in USD)]]*(1-Table22[[#This Row],[Discount Percentage (%)]]/100),Table22[[#This Row],[Total Sales (in USD)]])</f>
        <v>74246.039999999994</v>
      </c>
      <c r="Q332" s="66">
        <f>SQRT(AVERAGE((Table22[[#This Row],[Net Sales (after discount) (in USD)]]-AVERAGE(Table22[Net Sales (after discount) (in USD)]))^2))</f>
        <v>37734.679436235456</v>
      </c>
      <c r="R332" s="18" t="b">
        <v>1</v>
      </c>
      <c r="S332" s="40">
        <v>11.67</v>
      </c>
      <c r="T332" s="18" t="b">
        <v>0</v>
      </c>
      <c r="U332" s="25">
        <v>45571</v>
      </c>
      <c r="V332" s="63" t="str">
        <f>IF(MONTH(Table22[[#This Row],[Sales Date]])&lt;=3,"Q1",IF(MONTH(Table22[[#This Row],[Sales Date]])&lt;=6,"Q2",IF(MONTH(Table22[[#This Row],[Sales Date]])&lt;=9,"Q3","Q4")))</f>
        <v>Q4</v>
      </c>
      <c r="W332" s="64">
        <f>YEAR(Table22[[#This Row],[Sales Date]])</f>
        <v>2024</v>
      </c>
      <c r="X332" s="23">
        <v>25</v>
      </c>
      <c r="Y332" s="18" t="s">
        <v>41</v>
      </c>
      <c r="Z332" s="18" t="s">
        <v>56</v>
      </c>
      <c r="AA332" s="19" t="s">
        <v>36</v>
      </c>
    </row>
    <row r="333" spans="1:27" x14ac:dyDescent="0.25">
      <c r="A333" s="17" t="s">
        <v>698</v>
      </c>
      <c r="B333" s="18" t="s">
        <v>46</v>
      </c>
      <c r="C333" s="63" t="str" cm="1">
        <f t="array" ref="C333">_xlfn.SWITCH(Table22[[#This Row],[Country]],"USA","North America","Canada","North America","Brazil","South America","China","Asia","Japan","Asia","India","Asia","France","Europe","Germany","Europe","UK","Europe","Australia","Oceania","South America")</f>
        <v>South America</v>
      </c>
      <c r="D333" s="18" t="s">
        <v>28</v>
      </c>
      <c r="E333" s="18" t="s">
        <v>33</v>
      </c>
      <c r="F333" s="18" t="s">
        <v>52</v>
      </c>
      <c r="G333" s="18" t="s">
        <v>48</v>
      </c>
      <c r="H333" s="64">
        <f>LEN(TRIM(Table22[[#This Row],[Country]]))</f>
        <v>6</v>
      </c>
      <c r="I333" s="64">
        <f>LEN(TRIM(Table22[[#This Row],[Continent]]))</f>
        <v>13</v>
      </c>
      <c r="J333" s="64">
        <f>LEN(TRIM(Table22[[#This Row],[Product]]))</f>
        <v>10</v>
      </c>
      <c r="K333" s="64">
        <f>LEN(TRIM(Table22[[#This Row],[Sales Team]]))</f>
        <v>9</v>
      </c>
      <c r="L333" s="23">
        <v>76</v>
      </c>
      <c r="M333" s="65" t="str" cm="1">
        <f t="array" ref="M333">_xlfn.IFS(Table22[[#This Row],[Units Sold]]&lt;40,"Critical",Table22[[#This Row],[Units Sold]]&lt;=50,"Poor",Table22[[#This Row],[Units Sold]]&lt;=60,"Low",Table22[[#This Row],[Units Sold]]&lt;=80,"Average",Table22[[#This Row],[Units Sold]]&lt;=90,"High",Table22[[#This Row],[Units Sold]]&lt;=95,"Excellent",Table22[[#This Row],[Units Sold]]&gt;95,"Outstanding")</f>
        <v>Average</v>
      </c>
      <c r="N333" s="29">
        <v>976.15</v>
      </c>
      <c r="O333" s="29">
        <v>74187.399999999994</v>
      </c>
      <c r="P333" s="43">
        <f>IF(Table22[[#This Row],[Discount Applied]],Table22[[#This Row],[Total Sales (in USD)]]*(1-Table22[[#This Row],[Discount Percentage (%)]]/100),Table22[[#This Row],[Total Sales (in USD)]])</f>
        <v>60076.956519999992</v>
      </c>
      <c r="Q333" s="66">
        <f>SQRT(AVERAGE((Table22[[#This Row],[Net Sales (after discount) (in USD)]]-AVERAGE(Table22[Net Sales (after discount) (in USD)]))^2))</f>
        <v>23565.595956235455</v>
      </c>
      <c r="R333" s="18" t="b">
        <v>0</v>
      </c>
      <c r="S333" s="40">
        <v>19.02</v>
      </c>
      <c r="T333" s="18" t="b">
        <v>1</v>
      </c>
      <c r="U333" s="25">
        <v>45284</v>
      </c>
      <c r="V333" s="63" t="str">
        <f>IF(MONTH(Table22[[#This Row],[Sales Date]])&lt;=3,"Q1",IF(MONTH(Table22[[#This Row],[Sales Date]])&lt;=6,"Q2",IF(MONTH(Table22[[#This Row],[Sales Date]])&lt;=9,"Q3","Q4")))</f>
        <v>Q4</v>
      </c>
      <c r="W333" s="64">
        <f>YEAR(Table22[[#This Row],[Sales Date]])</f>
        <v>2023</v>
      </c>
      <c r="X333" s="23">
        <v>36</v>
      </c>
      <c r="Y333" s="18" t="s">
        <v>23</v>
      </c>
      <c r="Z333" s="18" t="s">
        <v>30</v>
      </c>
      <c r="AA333" s="19" t="s">
        <v>36</v>
      </c>
    </row>
    <row r="334" spans="1:27" x14ac:dyDescent="0.25">
      <c r="A334" s="17" t="s">
        <v>1620</v>
      </c>
      <c r="B334" s="18" t="s">
        <v>38</v>
      </c>
      <c r="C334" s="63" t="str" cm="1">
        <f t="array" ref="C334">_xlfn.SWITCH(Table22[[#This Row],[Country]],"USA","North America","Canada","North America","Brazil","South America","China","Asia","Japan","Asia","India","Asia","France","Europe","Germany","Europe","UK","Europe","Australia","Oceania","South America")</f>
        <v>Europe</v>
      </c>
      <c r="D334" s="18" t="s">
        <v>28</v>
      </c>
      <c r="E334" s="18" t="s">
        <v>33</v>
      </c>
      <c r="F334" s="18" t="s">
        <v>47</v>
      </c>
      <c r="G334" s="18" t="s">
        <v>40</v>
      </c>
      <c r="H334" s="64">
        <f>LEN(TRIM(Table22[[#This Row],[Country]]))</f>
        <v>6</v>
      </c>
      <c r="I334" s="64">
        <f>LEN(TRIM(Table22[[#This Row],[Continent]]))</f>
        <v>6</v>
      </c>
      <c r="J334" s="64">
        <f>LEN(TRIM(Table22[[#This Row],[Product]]))</f>
        <v>10</v>
      </c>
      <c r="K334" s="64">
        <f>LEN(TRIM(Table22[[#This Row],[Sales Team]]))</f>
        <v>10</v>
      </c>
      <c r="L334" s="23">
        <v>56</v>
      </c>
      <c r="M334" s="65" t="str" cm="1">
        <f t="array" ref="M334">_xlfn.IFS(Table22[[#This Row],[Units Sold]]&lt;40,"Critical",Table22[[#This Row],[Units Sold]]&lt;=50,"Poor",Table22[[#This Row],[Units Sold]]&lt;=60,"Low",Table22[[#This Row],[Units Sold]]&lt;=80,"Average",Table22[[#This Row],[Units Sold]]&lt;=90,"High",Table22[[#This Row],[Units Sold]]&lt;=95,"Excellent",Table22[[#This Row],[Units Sold]]&gt;95,"Outstanding")</f>
        <v>Low</v>
      </c>
      <c r="N334" s="29">
        <v>1324.71</v>
      </c>
      <c r="O334" s="29">
        <v>74183.759999999995</v>
      </c>
      <c r="P334" s="43">
        <f>IF(Table22[[#This Row],[Discount Applied]],Table22[[#This Row],[Total Sales (in USD)]]*(1-Table22[[#This Row],[Discount Percentage (%)]]/100),Table22[[#This Row],[Total Sales (in USD)]])</f>
        <v>54028.032407999992</v>
      </c>
      <c r="Q334" s="66">
        <f>SQRT(AVERAGE((Table22[[#This Row],[Net Sales (after discount) (in USD)]]-AVERAGE(Table22[Net Sales (after discount) (in USD)]))^2))</f>
        <v>17516.671844235454</v>
      </c>
      <c r="R334" s="18" t="b">
        <v>0</v>
      </c>
      <c r="S334" s="40">
        <v>27.17</v>
      </c>
      <c r="T334" s="18" t="b">
        <v>1</v>
      </c>
      <c r="U334" s="25">
        <v>45096</v>
      </c>
      <c r="V334" s="63" t="str">
        <f>IF(MONTH(Table22[[#This Row],[Sales Date]])&lt;=3,"Q1",IF(MONTH(Table22[[#This Row],[Sales Date]])&lt;=6,"Q2",IF(MONTH(Table22[[#This Row],[Sales Date]])&lt;=9,"Q3","Q4")))</f>
        <v>Q2</v>
      </c>
      <c r="W334" s="64">
        <f>YEAR(Table22[[#This Row],[Sales Date]])</f>
        <v>2023</v>
      </c>
      <c r="X334" s="23">
        <v>61</v>
      </c>
      <c r="Y334" s="18" t="s">
        <v>49</v>
      </c>
      <c r="Z334" s="18" t="s">
        <v>56</v>
      </c>
      <c r="AA334" s="19" t="s">
        <v>25</v>
      </c>
    </row>
    <row r="335" spans="1:27" x14ac:dyDescent="0.25">
      <c r="A335" s="17" t="s">
        <v>312</v>
      </c>
      <c r="B335" s="18" t="s">
        <v>66</v>
      </c>
      <c r="C335" s="63" t="str" cm="1">
        <f t="array" ref="C335">_xlfn.SWITCH(Table22[[#This Row],[Country]],"USA","North America","Canada","North America","Brazil","South America","China","Asia","Japan","Asia","India","Asia","France","Europe","Germany","Europe","UK","Europe","Australia","Oceania","South America")</f>
        <v>North America</v>
      </c>
      <c r="D335" s="18" t="s">
        <v>35</v>
      </c>
      <c r="E335" s="18" t="s">
        <v>33</v>
      </c>
      <c r="F335" s="18" t="s">
        <v>20</v>
      </c>
      <c r="G335" s="18" t="s">
        <v>40</v>
      </c>
      <c r="H335" s="64">
        <f>LEN(TRIM(Table22[[#This Row],[Country]]))</f>
        <v>6</v>
      </c>
      <c r="I335" s="64">
        <f>LEN(TRIM(Table22[[#This Row],[Continent]]))</f>
        <v>13</v>
      </c>
      <c r="J335" s="64">
        <f>LEN(TRIM(Table22[[#This Row],[Product]]))</f>
        <v>10</v>
      </c>
      <c r="K335" s="64">
        <f>LEN(TRIM(Table22[[#This Row],[Sales Team]]))</f>
        <v>10</v>
      </c>
      <c r="L335" s="23">
        <v>90</v>
      </c>
      <c r="M335" s="65" t="str" cm="1">
        <f t="array" ref="M335">_xlfn.IFS(Table22[[#This Row],[Units Sold]]&lt;40,"Critical",Table22[[#This Row],[Units Sold]]&lt;=50,"Poor",Table22[[#This Row],[Units Sold]]&lt;=60,"Low",Table22[[#This Row],[Units Sold]]&lt;=80,"Average",Table22[[#This Row],[Units Sold]]&lt;=90,"High",Table22[[#This Row],[Units Sold]]&lt;=95,"Excellent",Table22[[#This Row],[Units Sold]]&gt;95,"Outstanding")</f>
        <v>High</v>
      </c>
      <c r="N335" s="29">
        <v>822.67</v>
      </c>
      <c r="O335" s="29">
        <v>74040.3</v>
      </c>
      <c r="P335" s="43">
        <f>IF(Table22[[#This Row],[Discount Applied]],Table22[[#This Row],[Total Sales (in USD)]]*(1-Table22[[#This Row],[Discount Percentage (%)]]/100),Table22[[#This Row],[Total Sales (in USD)]])</f>
        <v>61534.893329999999</v>
      </c>
      <c r="Q335" s="66">
        <f>SQRT(AVERAGE((Table22[[#This Row],[Net Sales (after discount) (in USD)]]-AVERAGE(Table22[Net Sales (after discount) (in USD)]))^2))</f>
        <v>25023.532766235461</v>
      </c>
      <c r="R335" s="18" t="b">
        <v>1</v>
      </c>
      <c r="S335" s="40">
        <v>16.89</v>
      </c>
      <c r="T335" s="18" t="b">
        <v>1</v>
      </c>
      <c r="U335" s="25">
        <v>45574</v>
      </c>
      <c r="V335" s="63" t="str">
        <f>IF(MONTH(Table22[[#This Row],[Sales Date]])&lt;=3,"Q1",IF(MONTH(Table22[[#This Row],[Sales Date]])&lt;=6,"Q2",IF(MONTH(Table22[[#This Row],[Sales Date]])&lt;=9,"Q3","Q4")))</f>
        <v>Q4</v>
      </c>
      <c r="W335" s="64">
        <f>YEAR(Table22[[#This Row],[Sales Date]])</f>
        <v>2024</v>
      </c>
      <c r="X335" s="23">
        <v>61</v>
      </c>
      <c r="Y335" s="18" t="s">
        <v>23</v>
      </c>
      <c r="Z335" s="18" t="s">
        <v>42</v>
      </c>
      <c r="AA335" s="19" t="s">
        <v>36</v>
      </c>
    </row>
    <row r="336" spans="1:27" x14ac:dyDescent="0.25">
      <c r="A336" s="17" t="s">
        <v>668</v>
      </c>
      <c r="B336" s="18" t="s">
        <v>46</v>
      </c>
      <c r="C336" s="63" t="str" cm="1">
        <f t="array" ref="C336">_xlfn.SWITCH(Table22[[#This Row],[Country]],"USA","North America","Canada","North America","Brazil","South America","China","Asia","Japan","Asia","India","Asia","France","Europe","Germany","Europe","UK","Europe","Australia","Oceania","South America")</f>
        <v>South America</v>
      </c>
      <c r="D336" s="18" t="s">
        <v>44</v>
      </c>
      <c r="E336" s="18" t="s">
        <v>19</v>
      </c>
      <c r="F336" s="18" t="s">
        <v>20</v>
      </c>
      <c r="G336" s="18" t="s">
        <v>29</v>
      </c>
      <c r="H336" s="64">
        <f>LEN(TRIM(Table22[[#This Row],[Country]]))</f>
        <v>6</v>
      </c>
      <c r="I336" s="64">
        <f>LEN(TRIM(Table22[[#This Row],[Continent]]))</f>
        <v>13</v>
      </c>
      <c r="J336" s="64">
        <f>LEN(TRIM(Table22[[#This Row],[Product]]))</f>
        <v>6</v>
      </c>
      <c r="K336" s="64">
        <f>LEN(TRIM(Table22[[#This Row],[Sales Team]]))</f>
        <v>10</v>
      </c>
      <c r="L336" s="23">
        <v>96</v>
      </c>
      <c r="M336" s="65" t="str" cm="1">
        <f t="array" ref="M336">_xlfn.IFS(Table22[[#This Row],[Units Sold]]&lt;40,"Critical",Table22[[#This Row],[Units Sold]]&lt;=50,"Poor",Table22[[#This Row],[Units Sold]]&lt;=60,"Low",Table22[[#This Row],[Units Sold]]&lt;=80,"Average",Table22[[#This Row],[Units Sold]]&lt;=90,"High",Table22[[#This Row],[Units Sold]]&lt;=95,"Excellent",Table22[[#This Row],[Units Sold]]&gt;95,"Outstanding")</f>
        <v>Outstanding</v>
      </c>
      <c r="N336" s="29">
        <v>770.94</v>
      </c>
      <c r="O336" s="29">
        <v>74010.240000000005</v>
      </c>
      <c r="P336" s="43">
        <f>IF(Table22[[#This Row],[Discount Applied]],Table22[[#This Row],[Total Sales (in USD)]]*(1-Table22[[#This Row],[Discount Percentage (%)]]/100),Table22[[#This Row],[Total Sales (in USD)]])</f>
        <v>74010.240000000005</v>
      </c>
      <c r="Q336" s="66">
        <f>SQRT(AVERAGE((Table22[[#This Row],[Net Sales (after discount) (in USD)]]-AVERAGE(Table22[Net Sales (after discount) (in USD)]))^2))</f>
        <v>37498.879436235467</v>
      </c>
      <c r="R336" s="18" t="b">
        <v>0</v>
      </c>
      <c r="S336" s="40">
        <v>28.16</v>
      </c>
      <c r="T336" s="18" t="b">
        <v>0</v>
      </c>
      <c r="U336" s="25">
        <v>45437</v>
      </c>
      <c r="V336" s="63" t="str">
        <f>IF(MONTH(Table22[[#This Row],[Sales Date]])&lt;=3,"Q1",IF(MONTH(Table22[[#This Row],[Sales Date]])&lt;=6,"Q2",IF(MONTH(Table22[[#This Row],[Sales Date]])&lt;=9,"Q3","Q4")))</f>
        <v>Q2</v>
      </c>
      <c r="W336" s="64">
        <f>YEAR(Table22[[#This Row],[Sales Date]])</f>
        <v>2024</v>
      </c>
      <c r="X336" s="23">
        <v>35</v>
      </c>
      <c r="Y336" s="18" t="s">
        <v>41</v>
      </c>
      <c r="Z336" s="18" t="s">
        <v>30</v>
      </c>
      <c r="AA336" s="19" t="s">
        <v>25</v>
      </c>
    </row>
    <row r="337" spans="1:27" x14ac:dyDescent="0.25">
      <c r="A337" s="17" t="s">
        <v>1460</v>
      </c>
      <c r="B337" s="18" t="s">
        <v>51</v>
      </c>
      <c r="C337" s="63" t="str" cm="1">
        <f t="array" ref="C337">_xlfn.SWITCH(Table22[[#This Row],[Country]],"USA","North America","Canada","North America","Brazil","South America","China","Asia","Japan","Asia","India","Asia","France","Europe","Germany","Europe","UK","Europe","Australia","Oceania","South America")</f>
        <v>Europe</v>
      </c>
      <c r="D337" s="18" t="s">
        <v>35</v>
      </c>
      <c r="E337" s="18" t="s">
        <v>39</v>
      </c>
      <c r="F337" s="18" t="s">
        <v>20</v>
      </c>
      <c r="G337" s="18" t="s">
        <v>40</v>
      </c>
      <c r="H337" s="64">
        <f>LEN(TRIM(Table22[[#This Row],[Country]]))</f>
        <v>2</v>
      </c>
      <c r="I337" s="64">
        <f>LEN(TRIM(Table22[[#This Row],[Continent]]))</f>
        <v>6</v>
      </c>
      <c r="J337" s="64">
        <f>LEN(TRIM(Table22[[#This Row],[Product]]))</f>
        <v>10</v>
      </c>
      <c r="K337" s="64">
        <f>LEN(TRIM(Table22[[#This Row],[Sales Team]]))</f>
        <v>10</v>
      </c>
      <c r="L337" s="23">
        <v>95</v>
      </c>
      <c r="M337" s="65" t="str" cm="1">
        <f t="array" ref="M337">_xlfn.IFS(Table22[[#This Row],[Units Sold]]&lt;40,"Critical",Table22[[#This Row],[Units Sold]]&lt;=50,"Poor",Table22[[#This Row],[Units Sold]]&lt;=60,"Low",Table22[[#This Row],[Units Sold]]&lt;=80,"Average",Table22[[#This Row],[Units Sold]]&lt;=90,"High",Table22[[#This Row],[Units Sold]]&lt;=95,"Excellent",Table22[[#This Row],[Units Sold]]&gt;95,"Outstanding")</f>
        <v>Excellent</v>
      </c>
      <c r="N337" s="29">
        <v>777.1</v>
      </c>
      <c r="O337" s="29">
        <v>73824.5</v>
      </c>
      <c r="P337" s="43">
        <f>IF(Table22[[#This Row],[Discount Applied]],Table22[[#This Row],[Total Sales (in USD)]]*(1-Table22[[#This Row],[Discount Percentage (%)]]/100),Table22[[#This Row],[Total Sales (in USD)]])</f>
        <v>51994.595349999996</v>
      </c>
      <c r="Q337" s="66">
        <f>SQRT(AVERAGE((Table22[[#This Row],[Net Sales (after discount) (in USD)]]-AVERAGE(Table22[Net Sales (after discount) (in USD)]))^2))</f>
        <v>15483.234786235458</v>
      </c>
      <c r="R337" s="18" t="b">
        <v>0</v>
      </c>
      <c r="S337" s="40">
        <v>29.57</v>
      </c>
      <c r="T337" s="18" t="b">
        <v>1</v>
      </c>
      <c r="U337" s="25">
        <v>45259</v>
      </c>
      <c r="V337" s="63" t="str">
        <f>IF(MONTH(Table22[[#This Row],[Sales Date]])&lt;=3,"Q1",IF(MONTH(Table22[[#This Row],[Sales Date]])&lt;=6,"Q2",IF(MONTH(Table22[[#This Row],[Sales Date]])&lt;=9,"Q3","Q4")))</f>
        <v>Q4</v>
      </c>
      <c r="W337" s="64">
        <f>YEAR(Table22[[#This Row],[Sales Date]])</f>
        <v>2023</v>
      </c>
      <c r="X337" s="23">
        <v>63</v>
      </c>
      <c r="Y337" s="18" t="s">
        <v>41</v>
      </c>
      <c r="Z337" s="18" t="s">
        <v>42</v>
      </c>
      <c r="AA337" s="19" t="s">
        <v>25</v>
      </c>
    </row>
    <row r="338" spans="1:27" x14ac:dyDescent="0.25">
      <c r="A338" s="17" t="s">
        <v>1680</v>
      </c>
      <c r="B338" s="18" t="s">
        <v>66</v>
      </c>
      <c r="C338" s="63" t="str" cm="1">
        <f t="array" ref="C338">_xlfn.SWITCH(Table22[[#This Row],[Country]],"USA","North America","Canada","North America","Brazil","South America","China","Asia","Japan","Asia","India","Asia","France","Europe","Germany","Europe","UK","Europe","Australia","Oceania","South America")</f>
        <v>North America</v>
      </c>
      <c r="D338" s="18" t="s">
        <v>28</v>
      </c>
      <c r="E338" s="18" t="s">
        <v>39</v>
      </c>
      <c r="F338" s="18" t="s">
        <v>20</v>
      </c>
      <c r="G338" s="18" t="s">
        <v>40</v>
      </c>
      <c r="H338" s="64">
        <f>LEN(TRIM(Table22[[#This Row],[Country]]))</f>
        <v>6</v>
      </c>
      <c r="I338" s="64">
        <f>LEN(TRIM(Table22[[#This Row],[Continent]]))</f>
        <v>13</v>
      </c>
      <c r="J338" s="64">
        <f>LEN(TRIM(Table22[[#This Row],[Product]]))</f>
        <v>10</v>
      </c>
      <c r="K338" s="64">
        <f>LEN(TRIM(Table22[[#This Row],[Sales Team]]))</f>
        <v>10</v>
      </c>
      <c r="L338" s="23">
        <v>80</v>
      </c>
      <c r="M338" s="65" t="str" cm="1">
        <f t="array" ref="M338">_xlfn.IFS(Table22[[#This Row],[Units Sold]]&lt;40,"Critical",Table22[[#This Row],[Units Sold]]&lt;=50,"Poor",Table22[[#This Row],[Units Sold]]&lt;=60,"Low",Table22[[#This Row],[Units Sold]]&lt;=80,"Average",Table22[[#This Row],[Units Sold]]&lt;=90,"High",Table22[[#This Row],[Units Sold]]&lt;=95,"Excellent",Table22[[#This Row],[Units Sold]]&gt;95,"Outstanding")</f>
        <v>Average</v>
      </c>
      <c r="N338" s="29">
        <v>921.91</v>
      </c>
      <c r="O338" s="29">
        <v>73752.800000000003</v>
      </c>
      <c r="P338" s="43">
        <f>IF(Table22[[#This Row],[Discount Applied]],Table22[[#This Row],[Total Sales (in USD)]]*(1-Table22[[#This Row],[Discount Percentage (%)]]/100),Table22[[#This Row],[Total Sales (in USD)]])</f>
        <v>70315.91952000001</v>
      </c>
      <c r="Q338" s="66">
        <f>SQRT(AVERAGE((Table22[[#This Row],[Net Sales (after discount) (in USD)]]-AVERAGE(Table22[Net Sales (after discount) (in USD)]))^2))</f>
        <v>33804.558956235473</v>
      </c>
      <c r="R338" s="18" t="b">
        <v>0</v>
      </c>
      <c r="S338" s="40">
        <v>4.66</v>
      </c>
      <c r="T338" s="18" t="b">
        <v>1</v>
      </c>
      <c r="U338" s="25">
        <v>45179</v>
      </c>
      <c r="V338" s="63" t="str">
        <f>IF(MONTH(Table22[[#This Row],[Sales Date]])&lt;=3,"Q1",IF(MONTH(Table22[[#This Row],[Sales Date]])&lt;=6,"Q2",IF(MONTH(Table22[[#This Row],[Sales Date]])&lt;=9,"Q3","Q4")))</f>
        <v>Q3</v>
      </c>
      <c r="W338" s="64">
        <f>YEAR(Table22[[#This Row],[Sales Date]])</f>
        <v>2023</v>
      </c>
      <c r="X338" s="23">
        <v>22</v>
      </c>
      <c r="Y338" s="18" t="s">
        <v>49</v>
      </c>
      <c r="Z338" s="18" t="s">
        <v>56</v>
      </c>
      <c r="AA338" s="19" t="s">
        <v>36</v>
      </c>
    </row>
    <row r="339" spans="1:27" x14ac:dyDescent="0.25">
      <c r="A339" s="17" t="s">
        <v>774</v>
      </c>
      <c r="B339" s="18" t="s">
        <v>72</v>
      </c>
      <c r="C339" s="63" t="str" cm="1">
        <f t="array" ref="C339">_xlfn.SWITCH(Table22[[#This Row],[Country]],"USA","North America","Canada","North America","Brazil","South America","China","Asia","Japan","Asia","India","Asia","France","Europe","Germany","Europe","UK","Europe","Australia","Oceania","South America")</f>
        <v>North America</v>
      </c>
      <c r="D339" s="18" t="s">
        <v>44</v>
      </c>
      <c r="E339" s="18" t="s">
        <v>19</v>
      </c>
      <c r="F339" s="18" t="s">
        <v>64</v>
      </c>
      <c r="G339" s="18" t="s">
        <v>40</v>
      </c>
      <c r="H339" s="64">
        <f>LEN(TRIM(Table22[[#This Row],[Country]]))</f>
        <v>3</v>
      </c>
      <c r="I339" s="64">
        <f>LEN(TRIM(Table22[[#This Row],[Continent]]))</f>
        <v>13</v>
      </c>
      <c r="J339" s="64">
        <f>LEN(TRIM(Table22[[#This Row],[Product]]))</f>
        <v>6</v>
      </c>
      <c r="K339" s="64">
        <f>LEN(TRIM(Table22[[#This Row],[Sales Team]]))</f>
        <v>10</v>
      </c>
      <c r="L339" s="23">
        <v>73</v>
      </c>
      <c r="M339" s="65" t="str" cm="1">
        <f t="array" ref="M339">_xlfn.IFS(Table22[[#This Row],[Units Sold]]&lt;40,"Critical",Table22[[#This Row],[Units Sold]]&lt;=50,"Poor",Table22[[#This Row],[Units Sold]]&lt;=60,"Low",Table22[[#This Row],[Units Sold]]&lt;=80,"Average",Table22[[#This Row],[Units Sold]]&lt;=90,"High",Table22[[#This Row],[Units Sold]]&lt;=95,"Excellent",Table22[[#This Row],[Units Sold]]&gt;95,"Outstanding")</f>
        <v>Average</v>
      </c>
      <c r="N339" s="29">
        <v>1009.46</v>
      </c>
      <c r="O339" s="29">
        <v>73690.58</v>
      </c>
      <c r="P339" s="43">
        <f>IF(Table22[[#This Row],[Discount Applied]],Table22[[#This Row],[Total Sales (in USD)]]*(1-Table22[[#This Row],[Discount Percentage (%)]]/100),Table22[[#This Row],[Total Sales (in USD)]])</f>
        <v>65717.259244000001</v>
      </c>
      <c r="Q339" s="66">
        <f>SQRT(AVERAGE((Table22[[#This Row],[Net Sales (after discount) (in USD)]]-AVERAGE(Table22[Net Sales (after discount) (in USD)]))^2))</f>
        <v>29205.898680235463</v>
      </c>
      <c r="R339" s="18" t="b">
        <v>1</v>
      </c>
      <c r="S339" s="40">
        <v>10.82</v>
      </c>
      <c r="T339" s="18" t="b">
        <v>1</v>
      </c>
      <c r="U339" s="25">
        <v>45120</v>
      </c>
      <c r="V339" s="63" t="str">
        <f>IF(MONTH(Table22[[#This Row],[Sales Date]])&lt;=3,"Q1",IF(MONTH(Table22[[#This Row],[Sales Date]])&lt;=6,"Q2",IF(MONTH(Table22[[#This Row],[Sales Date]])&lt;=9,"Q3","Q4")))</f>
        <v>Q3</v>
      </c>
      <c r="W339" s="64">
        <f>YEAR(Table22[[#This Row],[Sales Date]])</f>
        <v>2023</v>
      </c>
      <c r="X339" s="23">
        <v>53</v>
      </c>
      <c r="Y339" s="18" t="s">
        <v>49</v>
      </c>
      <c r="Z339" s="18" t="s">
        <v>24</v>
      </c>
      <c r="AA339" s="19" t="s">
        <v>36</v>
      </c>
    </row>
    <row r="340" spans="1:27" x14ac:dyDescent="0.25">
      <c r="A340" s="17" t="s">
        <v>1252</v>
      </c>
      <c r="B340" s="18" t="s">
        <v>76</v>
      </c>
      <c r="C340" s="63" t="str" cm="1">
        <f t="array" ref="C340">_xlfn.SWITCH(Table22[[#This Row],[Country]],"USA","North America","Canada","North America","Brazil","South America","China","Asia","Japan","Asia","India","Asia","France","Europe","Germany","Europe","UK","Europe","Australia","Oceania","South America")</f>
        <v>Asia</v>
      </c>
      <c r="D340" s="18" t="s">
        <v>21</v>
      </c>
      <c r="E340" s="18" t="s">
        <v>19</v>
      </c>
      <c r="F340" s="18" t="s">
        <v>20</v>
      </c>
      <c r="G340" s="18" t="s">
        <v>29</v>
      </c>
      <c r="H340" s="64">
        <f>LEN(TRIM(Table22[[#This Row],[Country]]))</f>
        <v>5</v>
      </c>
      <c r="I340" s="64">
        <f>LEN(TRIM(Table22[[#This Row],[Continent]]))</f>
        <v>4</v>
      </c>
      <c r="J340" s="64">
        <f>LEN(TRIM(Table22[[#This Row],[Product]]))</f>
        <v>6</v>
      </c>
      <c r="K340" s="64">
        <f>LEN(TRIM(Table22[[#This Row],[Sales Team]]))</f>
        <v>10</v>
      </c>
      <c r="L340" s="23">
        <v>80</v>
      </c>
      <c r="M340" s="65" t="str" cm="1">
        <f t="array" ref="M340">_xlfn.IFS(Table22[[#This Row],[Units Sold]]&lt;40,"Critical",Table22[[#This Row],[Units Sold]]&lt;=50,"Poor",Table22[[#This Row],[Units Sold]]&lt;=60,"Low",Table22[[#This Row],[Units Sold]]&lt;=80,"Average",Table22[[#This Row],[Units Sold]]&lt;=90,"High",Table22[[#This Row],[Units Sold]]&lt;=95,"Excellent",Table22[[#This Row],[Units Sold]]&gt;95,"Outstanding")</f>
        <v>Average</v>
      </c>
      <c r="N340" s="29">
        <v>918.02</v>
      </c>
      <c r="O340" s="29">
        <v>73441.600000000006</v>
      </c>
      <c r="P340" s="43">
        <f>IF(Table22[[#This Row],[Discount Applied]],Table22[[#This Row],[Total Sales (in USD)]]*(1-Table22[[#This Row],[Discount Percentage (%)]]/100),Table22[[#This Row],[Total Sales (in USD)]])</f>
        <v>66699.661120000004</v>
      </c>
      <c r="Q340" s="66">
        <f>SQRT(AVERAGE((Table22[[#This Row],[Net Sales (after discount) (in USD)]]-AVERAGE(Table22[Net Sales (after discount) (in USD)]))^2))</f>
        <v>30188.300556235467</v>
      </c>
      <c r="R340" s="18" t="b">
        <v>1</v>
      </c>
      <c r="S340" s="40">
        <v>9.18</v>
      </c>
      <c r="T340" s="18" t="b">
        <v>1</v>
      </c>
      <c r="U340" s="25">
        <v>45475</v>
      </c>
      <c r="V340" s="63" t="str">
        <f>IF(MONTH(Table22[[#This Row],[Sales Date]])&lt;=3,"Q1",IF(MONTH(Table22[[#This Row],[Sales Date]])&lt;=6,"Q2",IF(MONTH(Table22[[#This Row],[Sales Date]])&lt;=9,"Q3","Q4")))</f>
        <v>Q3</v>
      </c>
      <c r="W340" s="64">
        <f>YEAR(Table22[[#This Row],[Sales Date]])</f>
        <v>2024</v>
      </c>
      <c r="X340" s="23">
        <v>19</v>
      </c>
      <c r="Y340" s="18" t="s">
        <v>41</v>
      </c>
      <c r="Z340" s="18" t="s">
        <v>30</v>
      </c>
      <c r="AA340" s="19" t="s">
        <v>36</v>
      </c>
    </row>
    <row r="341" spans="1:27" x14ac:dyDescent="0.25">
      <c r="A341" s="17" t="s">
        <v>477</v>
      </c>
      <c r="B341" s="18" t="s">
        <v>46</v>
      </c>
      <c r="C341" s="63" t="str" cm="1">
        <f t="array" ref="C341">_xlfn.SWITCH(Table22[[#This Row],[Country]],"USA","North America","Canada","North America","Brazil","South America","China","Asia","Japan","Asia","India","Asia","France","Europe","Germany","Europe","UK","Europe","Australia","Oceania","South America")</f>
        <v>South America</v>
      </c>
      <c r="D341" s="18" t="s">
        <v>28</v>
      </c>
      <c r="E341" s="18" t="s">
        <v>39</v>
      </c>
      <c r="F341" s="18" t="s">
        <v>34</v>
      </c>
      <c r="G341" s="18" t="s">
        <v>22</v>
      </c>
      <c r="H341" s="64">
        <f>LEN(TRIM(Table22[[#This Row],[Country]]))</f>
        <v>6</v>
      </c>
      <c r="I341" s="64">
        <f>LEN(TRIM(Table22[[#This Row],[Continent]]))</f>
        <v>13</v>
      </c>
      <c r="J341" s="64">
        <f>LEN(TRIM(Table22[[#This Row],[Product]]))</f>
        <v>10</v>
      </c>
      <c r="K341" s="64">
        <f>LEN(TRIM(Table22[[#This Row],[Sales Team]]))</f>
        <v>10</v>
      </c>
      <c r="L341" s="23">
        <v>66</v>
      </c>
      <c r="M341" s="65" t="str" cm="1">
        <f t="array" ref="M341">_xlfn.IFS(Table22[[#This Row],[Units Sold]]&lt;40,"Critical",Table22[[#This Row],[Units Sold]]&lt;=50,"Poor",Table22[[#This Row],[Units Sold]]&lt;=60,"Low",Table22[[#This Row],[Units Sold]]&lt;=80,"Average",Table22[[#This Row],[Units Sold]]&lt;=90,"High",Table22[[#This Row],[Units Sold]]&lt;=95,"Excellent",Table22[[#This Row],[Units Sold]]&gt;95,"Outstanding")</f>
        <v>Average</v>
      </c>
      <c r="N341" s="29">
        <v>1109.0999999999999</v>
      </c>
      <c r="O341" s="29">
        <v>73200.600000000006</v>
      </c>
      <c r="P341" s="43">
        <f>IF(Table22[[#This Row],[Discount Applied]],Table22[[#This Row],[Total Sales (in USD)]]*(1-Table22[[#This Row],[Discount Percentage (%)]]/100),Table22[[#This Row],[Total Sales (in USD)]])</f>
        <v>58406.758740000012</v>
      </c>
      <c r="Q341" s="66">
        <f>SQRT(AVERAGE((Table22[[#This Row],[Net Sales (after discount) (in USD)]]-AVERAGE(Table22[Net Sales (after discount) (in USD)]))^2))</f>
        <v>21895.398176235474</v>
      </c>
      <c r="R341" s="18" t="b">
        <v>1</v>
      </c>
      <c r="S341" s="40">
        <v>20.21</v>
      </c>
      <c r="T341" s="18" t="b">
        <v>1</v>
      </c>
      <c r="U341" s="25">
        <v>44998</v>
      </c>
      <c r="V341" s="63" t="str">
        <f>IF(MONTH(Table22[[#This Row],[Sales Date]])&lt;=3,"Q1",IF(MONTH(Table22[[#This Row],[Sales Date]])&lt;=6,"Q2",IF(MONTH(Table22[[#This Row],[Sales Date]])&lt;=9,"Q3","Q4")))</f>
        <v>Q1</v>
      </c>
      <c r="W341" s="64">
        <f>YEAR(Table22[[#This Row],[Sales Date]])</f>
        <v>2023</v>
      </c>
      <c r="X341" s="23">
        <v>34</v>
      </c>
      <c r="Y341" s="18" t="s">
        <v>41</v>
      </c>
      <c r="Z341" s="18" t="s">
        <v>24</v>
      </c>
      <c r="AA341" s="19" t="s">
        <v>36</v>
      </c>
    </row>
    <row r="342" spans="1:27" x14ac:dyDescent="0.25">
      <c r="A342" s="17" t="s">
        <v>961</v>
      </c>
      <c r="B342" s="18" t="s">
        <v>51</v>
      </c>
      <c r="C342" s="63" t="str" cm="1">
        <f t="array" ref="C342">_xlfn.SWITCH(Table22[[#This Row],[Country]],"USA","North America","Canada","North America","Brazil","South America","China","Asia","Japan","Asia","India","Asia","France","Europe","Germany","Europe","UK","Europe","Australia","Oceania","South America")</f>
        <v>Europe</v>
      </c>
      <c r="D342" s="18" t="s">
        <v>44</v>
      </c>
      <c r="E342" s="18" t="s">
        <v>33</v>
      </c>
      <c r="F342" s="18" t="s">
        <v>52</v>
      </c>
      <c r="G342" s="18" t="s">
        <v>22</v>
      </c>
      <c r="H342" s="64">
        <f>LEN(TRIM(Table22[[#This Row],[Country]]))</f>
        <v>2</v>
      </c>
      <c r="I342" s="64">
        <f>LEN(TRIM(Table22[[#This Row],[Continent]]))</f>
        <v>6</v>
      </c>
      <c r="J342" s="64">
        <f>LEN(TRIM(Table22[[#This Row],[Product]]))</f>
        <v>10</v>
      </c>
      <c r="K342" s="64">
        <f>LEN(TRIM(Table22[[#This Row],[Sales Team]]))</f>
        <v>10</v>
      </c>
      <c r="L342" s="23">
        <v>72</v>
      </c>
      <c r="M342" s="65" t="str" cm="1">
        <f t="array" ref="M342">_xlfn.IFS(Table22[[#This Row],[Units Sold]]&lt;40,"Critical",Table22[[#This Row],[Units Sold]]&lt;=50,"Poor",Table22[[#This Row],[Units Sold]]&lt;=60,"Low",Table22[[#This Row],[Units Sold]]&lt;=80,"Average",Table22[[#This Row],[Units Sold]]&lt;=90,"High",Table22[[#This Row],[Units Sold]]&lt;=95,"Excellent",Table22[[#This Row],[Units Sold]]&gt;95,"Outstanding")</f>
        <v>Average</v>
      </c>
      <c r="N342" s="29">
        <v>1015.29</v>
      </c>
      <c r="O342" s="29">
        <v>73100.88</v>
      </c>
      <c r="P342" s="43">
        <f>IF(Table22[[#This Row],[Discount Applied]],Table22[[#This Row],[Total Sales (in USD)]]*(1-Table22[[#This Row],[Discount Percentage (%)]]/100),Table22[[#This Row],[Total Sales (in USD)]])</f>
        <v>73100.88</v>
      </c>
      <c r="Q342" s="66">
        <f>SQRT(AVERAGE((Table22[[#This Row],[Net Sales (after discount) (in USD)]]-AVERAGE(Table22[Net Sales (after discount) (in USD)]))^2))</f>
        <v>36589.519436235467</v>
      </c>
      <c r="R342" s="18" t="b">
        <v>1</v>
      </c>
      <c r="S342" s="40">
        <v>1.24</v>
      </c>
      <c r="T342" s="18" t="b">
        <v>0</v>
      </c>
      <c r="U342" s="25">
        <v>45025</v>
      </c>
      <c r="V342" s="63" t="str">
        <f>IF(MONTH(Table22[[#This Row],[Sales Date]])&lt;=3,"Q1",IF(MONTH(Table22[[#This Row],[Sales Date]])&lt;=6,"Q2",IF(MONTH(Table22[[#This Row],[Sales Date]])&lt;=9,"Q3","Q4")))</f>
        <v>Q2</v>
      </c>
      <c r="W342" s="64">
        <f>YEAR(Table22[[#This Row],[Sales Date]])</f>
        <v>2023</v>
      </c>
      <c r="X342" s="23">
        <v>49</v>
      </c>
      <c r="Y342" s="18" t="s">
        <v>23</v>
      </c>
      <c r="Z342" s="18" t="s">
        <v>24</v>
      </c>
      <c r="AA342" s="19" t="s">
        <v>36</v>
      </c>
    </row>
    <row r="343" spans="1:27" x14ac:dyDescent="0.25">
      <c r="A343" s="17" t="s">
        <v>679</v>
      </c>
      <c r="B343" s="18" t="s">
        <v>51</v>
      </c>
      <c r="C343" s="63" t="str" cm="1">
        <f t="array" ref="C343">_xlfn.SWITCH(Table22[[#This Row],[Country]],"USA","North America","Canada","North America","Brazil","South America","China","Asia","Japan","Asia","India","Asia","France","Europe","Germany","Europe","UK","Europe","Australia","Oceania","South America")</f>
        <v>Europe</v>
      </c>
      <c r="D343" s="18" t="s">
        <v>21</v>
      </c>
      <c r="E343" s="18" t="s">
        <v>39</v>
      </c>
      <c r="F343" s="18" t="s">
        <v>34</v>
      </c>
      <c r="G343" s="18" t="s">
        <v>22</v>
      </c>
      <c r="H343" s="64">
        <f>LEN(TRIM(Table22[[#This Row],[Country]]))</f>
        <v>2</v>
      </c>
      <c r="I343" s="64">
        <f>LEN(TRIM(Table22[[#This Row],[Continent]]))</f>
        <v>6</v>
      </c>
      <c r="J343" s="64">
        <f>LEN(TRIM(Table22[[#This Row],[Product]]))</f>
        <v>10</v>
      </c>
      <c r="K343" s="64">
        <f>LEN(TRIM(Table22[[#This Row],[Sales Team]]))</f>
        <v>10</v>
      </c>
      <c r="L343" s="23">
        <v>81</v>
      </c>
      <c r="M343" s="65" t="str" cm="1">
        <f t="array" ref="M343">_xlfn.IFS(Table22[[#This Row],[Units Sold]]&lt;40,"Critical",Table22[[#This Row],[Units Sold]]&lt;=50,"Poor",Table22[[#This Row],[Units Sold]]&lt;=60,"Low",Table22[[#This Row],[Units Sold]]&lt;=80,"Average",Table22[[#This Row],[Units Sold]]&lt;=90,"High",Table22[[#This Row],[Units Sold]]&lt;=95,"Excellent",Table22[[#This Row],[Units Sold]]&gt;95,"Outstanding")</f>
        <v>High</v>
      </c>
      <c r="N343" s="29">
        <v>902.15</v>
      </c>
      <c r="O343" s="29">
        <v>73074.149999999994</v>
      </c>
      <c r="P343" s="43">
        <f>IF(Table22[[#This Row],[Discount Applied]],Table22[[#This Row],[Total Sales (in USD)]]*(1-Table22[[#This Row],[Discount Percentage (%)]]/100),Table22[[#This Row],[Total Sales (in USD)]])</f>
        <v>73074.149999999994</v>
      </c>
      <c r="Q343" s="66">
        <f>SQRT(AVERAGE((Table22[[#This Row],[Net Sales (after discount) (in USD)]]-AVERAGE(Table22[Net Sales (after discount) (in USD)]))^2))</f>
        <v>36562.789436235456</v>
      </c>
      <c r="R343" s="18" t="b">
        <v>1</v>
      </c>
      <c r="S343" s="40">
        <v>27.87</v>
      </c>
      <c r="T343" s="18" t="b">
        <v>0</v>
      </c>
      <c r="U343" s="25">
        <v>45451</v>
      </c>
      <c r="V343" s="63" t="str">
        <f>IF(MONTH(Table22[[#This Row],[Sales Date]])&lt;=3,"Q1",IF(MONTH(Table22[[#This Row],[Sales Date]])&lt;=6,"Q2",IF(MONTH(Table22[[#This Row],[Sales Date]])&lt;=9,"Q3","Q4")))</f>
        <v>Q2</v>
      </c>
      <c r="W343" s="64">
        <f>YEAR(Table22[[#This Row],[Sales Date]])</f>
        <v>2024</v>
      </c>
      <c r="X343" s="23">
        <v>68</v>
      </c>
      <c r="Y343" s="18" t="s">
        <v>23</v>
      </c>
      <c r="Z343" s="18" t="s">
        <v>30</v>
      </c>
      <c r="AA343" s="19" t="s">
        <v>36</v>
      </c>
    </row>
    <row r="344" spans="1:27" x14ac:dyDescent="0.25">
      <c r="A344" s="17" t="s">
        <v>1353</v>
      </c>
      <c r="B344" s="18" t="s">
        <v>46</v>
      </c>
      <c r="C344" s="63" t="str" cm="1">
        <f t="array" ref="C344">_xlfn.SWITCH(Table22[[#This Row],[Country]],"USA","North America","Canada","North America","Brazil","South America","China","Asia","Japan","Asia","India","Asia","France","Europe","Germany","Europe","UK","Europe","Australia","Oceania","South America")</f>
        <v>South America</v>
      </c>
      <c r="D344" s="18" t="s">
        <v>35</v>
      </c>
      <c r="E344" s="18" t="s">
        <v>39</v>
      </c>
      <c r="F344" s="18" t="s">
        <v>52</v>
      </c>
      <c r="G344" s="18" t="s">
        <v>22</v>
      </c>
      <c r="H344" s="64">
        <f>LEN(TRIM(Table22[[#This Row],[Country]]))</f>
        <v>6</v>
      </c>
      <c r="I344" s="64">
        <f>LEN(TRIM(Table22[[#This Row],[Continent]]))</f>
        <v>13</v>
      </c>
      <c r="J344" s="64">
        <f>LEN(TRIM(Table22[[#This Row],[Product]]))</f>
        <v>10</v>
      </c>
      <c r="K344" s="64">
        <f>LEN(TRIM(Table22[[#This Row],[Sales Team]]))</f>
        <v>10</v>
      </c>
      <c r="L344" s="23">
        <v>86</v>
      </c>
      <c r="M344" s="65" t="str" cm="1">
        <f t="array" ref="M344">_xlfn.IFS(Table22[[#This Row],[Units Sold]]&lt;40,"Critical",Table22[[#This Row],[Units Sold]]&lt;=50,"Poor",Table22[[#This Row],[Units Sold]]&lt;=60,"Low",Table22[[#This Row],[Units Sold]]&lt;=80,"Average",Table22[[#This Row],[Units Sold]]&lt;=90,"High",Table22[[#This Row],[Units Sold]]&lt;=95,"Excellent",Table22[[#This Row],[Units Sold]]&gt;95,"Outstanding")</f>
        <v>High</v>
      </c>
      <c r="N344" s="29">
        <v>848.39</v>
      </c>
      <c r="O344" s="29">
        <v>72961.539999999994</v>
      </c>
      <c r="P344" s="43">
        <f>IF(Table22[[#This Row],[Discount Applied]],Table22[[#This Row],[Total Sales (in USD)]]*(1-Table22[[#This Row],[Discount Percentage (%)]]/100),Table22[[#This Row],[Total Sales (in USD)]])</f>
        <v>72961.539999999994</v>
      </c>
      <c r="Q344" s="66">
        <f>SQRT(AVERAGE((Table22[[#This Row],[Net Sales (after discount) (in USD)]]-AVERAGE(Table22[Net Sales (after discount) (in USD)]))^2))</f>
        <v>36450.179436235456</v>
      </c>
      <c r="R344" s="18" t="b">
        <v>1</v>
      </c>
      <c r="S344" s="40">
        <v>19.170000000000002</v>
      </c>
      <c r="T344" s="18" t="b">
        <v>0</v>
      </c>
      <c r="U344" s="25">
        <v>45560</v>
      </c>
      <c r="V344" s="63" t="str">
        <f>IF(MONTH(Table22[[#This Row],[Sales Date]])&lt;=3,"Q1",IF(MONTH(Table22[[#This Row],[Sales Date]])&lt;=6,"Q2",IF(MONTH(Table22[[#This Row],[Sales Date]])&lt;=9,"Q3","Q4")))</f>
        <v>Q3</v>
      </c>
      <c r="W344" s="64">
        <f>YEAR(Table22[[#This Row],[Sales Date]])</f>
        <v>2024</v>
      </c>
      <c r="X344" s="23">
        <v>30</v>
      </c>
      <c r="Y344" s="18" t="s">
        <v>49</v>
      </c>
      <c r="Z344" s="18" t="s">
        <v>56</v>
      </c>
      <c r="AA344" s="19" t="s">
        <v>25</v>
      </c>
    </row>
    <row r="345" spans="1:27" x14ac:dyDescent="0.25">
      <c r="A345" s="17" t="s">
        <v>1387</v>
      </c>
      <c r="B345" s="18" t="s">
        <v>76</v>
      </c>
      <c r="C345" s="63" t="str" cm="1">
        <f t="array" ref="C345">_xlfn.SWITCH(Table22[[#This Row],[Country]],"USA","North America","Canada","North America","Brazil","South America","China","Asia","Japan","Asia","India","Asia","France","Europe","Germany","Europe","UK","Europe","Australia","Oceania","South America")</f>
        <v>Asia</v>
      </c>
      <c r="D345" s="18" t="s">
        <v>28</v>
      </c>
      <c r="E345" s="18" t="s">
        <v>33</v>
      </c>
      <c r="F345" s="18" t="s">
        <v>52</v>
      </c>
      <c r="G345" s="18" t="s">
        <v>48</v>
      </c>
      <c r="H345" s="64">
        <f>LEN(TRIM(Table22[[#This Row],[Country]]))</f>
        <v>5</v>
      </c>
      <c r="I345" s="64">
        <f>LEN(TRIM(Table22[[#This Row],[Continent]]))</f>
        <v>4</v>
      </c>
      <c r="J345" s="64">
        <f>LEN(TRIM(Table22[[#This Row],[Product]]))</f>
        <v>10</v>
      </c>
      <c r="K345" s="64">
        <f>LEN(TRIM(Table22[[#This Row],[Sales Team]]))</f>
        <v>9</v>
      </c>
      <c r="L345" s="23">
        <v>59</v>
      </c>
      <c r="M345" s="65" t="str" cm="1">
        <f t="array" ref="M345">_xlfn.IFS(Table22[[#This Row],[Units Sold]]&lt;40,"Critical",Table22[[#This Row],[Units Sold]]&lt;=50,"Poor",Table22[[#This Row],[Units Sold]]&lt;=60,"Low",Table22[[#This Row],[Units Sold]]&lt;=80,"Average",Table22[[#This Row],[Units Sold]]&lt;=90,"High",Table22[[#This Row],[Units Sold]]&lt;=95,"Excellent",Table22[[#This Row],[Units Sold]]&gt;95,"Outstanding")</f>
        <v>Low</v>
      </c>
      <c r="N345" s="29">
        <v>1236.56</v>
      </c>
      <c r="O345" s="29">
        <v>72957.039999999994</v>
      </c>
      <c r="P345" s="43">
        <f>IF(Table22[[#This Row],[Discount Applied]],Table22[[#This Row],[Total Sales (in USD)]]*(1-Table22[[#This Row],[Discount Percentage (%)]]/100),Table22[[#This Row],[Total Sales (in USD)]])</f>
        <v>60554.343199999988</v>
      </c>
      <c r="Q345" s="66">
        <f>SQRT(AVERAGE((Table22[[#This Row],[Net Sales (after discount) (in USD)]]-AVERAGE(Table22[Net Sales (after discount) (in USD)]))^2))</f>
        <v>24042.982636235451</v>
      </c>
      <c r="R345" s="18" t="b">
        <v>1</v>
      </c>
      <c r="S345" s="40">
        <v>17</v>
      </c>
      <c r="T345" s="18" t="b">
        <v>1</v>
      </c>
      <c r="U345" s="25">
        <v>45006</v>
      </c>
      <c r="V345" s="63" t="str">
        <f>IF(MONTH(Table22[[#This Row],[Sales Date]])&lt;=3,"Q1",IF(MONTH(Table22[[#This Row],[Sales Date]])&lt;=6,"Q2",IF(MONTH(Table22[[#This Row],[Sales Date]])&lt;=9,"Q3","Q4")))</f>
        <v>Q1</v>
      </c>
      <c r="W345" s="64">
        <f>YEAR(Table22[[#This Row],[Sales Date]])</f>
        <v>2023</v>
      </c>
      <c r="X345" s="23">
        <v>40</v>
      </c>
      <c r="Y345" s="18" t="s">
        <v>41</v>
      </c>
      <c r="Z345" s="18" t="s">
        <v>24</v>
      </c>
      <c r="AA345" s="19" t="s">
        <v>25</v>
      </c>
    </row>
    <row r="346" spans="1:27" x14ac:dyDescent="0.25">
      <c r="A346" s="17" t="s">
        <v>612</v>
      </c>
      <c r="B346" s="18" t="s">
        <v>27</v>
      </c>
      <c r="C346" s="63" t="str" cm="1">
        <f t="array" ref="C346">_xlfn.SWITCH(Table22[[#This Row],[Country]],"USA","North America","Canada","North America","Brazil","South America","China","Asia","Japan","Asia","India","Asia","France","Europe","Germany","Europe","UK","Europe","Australia","Oceania","South America")</f>
        <v>Europe</v>
      </c>
      <c r="D346" s="18" t="s">
        <v>28</v>
      </c>
      <c r="E346" s="18" t="s">
        <v>19</v>
      </c>
      <c r="F346" s="18" t="s">
        <v>20</v>
      </c>
      <c r="G346" s="18" t="s">
        <v>48</v>
      </c>
      <c r="H346" s="64">
        <f>LEN(TRIM(Table22[[#This Row],[Country]]))</f>
        <v>7</v>
      </c>
      <c r="I346" s="64">
        <f>LEN(TRIM(Table22[[#This Row],[Continent]]))</f>
        <v>6</v>
      </c>
      <c r="J346" s="64">
        <f>LEN(TRIM(Table22[[#This Row],[Product]]))</f>
        <v>6</v>
      </c>
      <c r="K346" s="64">
        <f>LEN(TRIM(Table22[[#This Row],[Sales Team]]))</f>
        <v>9</v>
      </c>
      <c r="L346" s="23">
        <v>94</v>
      </c>
      <c r="M346" s="65" t="str" cm="1">
        <f t="array" ref="M346">_xlfn.IFS(Table22[[#This Row],[Units Sold]]&lt;40,"Critical",Table22[[#This Row],[Units Sold]]&lt;=50,"Poor",Table22[[#This Row],[Units Sold]]&lt;=60,"Low",Table22[[#This Row],[Units Sold]]&lt;=80,"Average",Table22[[#This Row],[Units Sold]]&lt;=90,"High",Table22[[#This Row],[Units Sold]]&lt;=95,"Excellent",Table22[[#This Row],[Units Sold]]&gt;95,"Outstanding")</f>
        <v>Excellent</v>
      </c>
      <c r="N346" s="29">
        <v>775.34</v>
      </c>
      <c r="O346" s="29">
        <v>72881.960000000006</v>
      </c>
      <c r="P346" s="43">
        <f>IF(Table22[[#This Row],[Discount Applied]],Table22[[#This Row],[Total Sales (in USD)]]*(1-Table22[[#This Row],[Discount Percentage (%)]]/100),Table22[[#This Row],[Total Sales (in USD)]])</f>
        <v>66242.413444000005</v>
      </c>
      <c r="Q346" s="66">
        <f>SQRT(AVERAGE((Table22[[#This Row],[Net Sales (after discount) (in USD)]]-AVERAGE(Table22[Net Sales (after discount) (in USD)]))^2))</f>
        <v>29731.052880235467</v>
      </c>
      <c r="R346" s="18" t="b">
        <v>0</v>
      </c>
      <c r="S346" s="40">
        <v>9.11</v>
      </c>
      <c r="T346" s="18" t="b">
        <v>1</v>
      </c>
      <c r="U346" s="25">
        <v>45451</v>
      </c>
      <c r="V346" s="63" t="str">
        <f>IF(MONTH(Table22[[#This Row],[Sales Date]])&lt;=3,"Q1",IF(MONTH(Table22[[#This Row],[Sales Date]])&lt;=6,"Q2",IF(MONTH(Table22[[#This Row],[Sales Date]])&lt;=9,"Q3","Q4")))</f>
        <v>Q2</v>
      </c>
      <c r="W346" s="64">
        <f>YEAR(Table22[[#This Row],[Sales Date]])</f>
        <v>2024</v>
      </c>
      <c r="X346" s="23">
        <v>37</v>
      </c>
      <c r="Y346" s="18" t="s">
        <v>41</v>
      </c>
      <c r="Z346" s="18" t="s">
        <v>30</v>
      </c>
      <c r="AA346" s="19" t="s">
        <v>25</v>
      </c>
    </row>
    <row r="347" spans="1:27" x14ac:dyDescent="0.25">
      <c r="A347" s="17" t="s">
        <v>1931</v>
      </c>
      <c r="B347" s="18" t="s">
        <v>62</v>
      </c>
      <c r="C347" s="63" t="str" cm="1">
        <f t="array" ref="C347">_xlfn.SWITCH(Table22[[#This Row],[Country]],"USA","North America","Canada","North America","Brazil","South America","China","Asia","Japan","Asia","India","Asia","France","Europe","Germany","Europe","UK","Europe","Australia","Oceania","South America")</f>
        <v>Oceania</v>
      </c>
      <c r="D347" s="18" t="s">
        <v>44</v>
      </c>
      <c r="E347" s="18" t="s">
        <v>33</v>
      </c>
      <c r="F347" s="18" t="s">
        <v>47</v>
      </c>
      <c r="G347" s="18" t="s">
        <v>22</v>
      </c>
      <c r="H347" s="64">
        <f>LEN(TRIM(Table22[[#This Row],[Country]]))</f>
        <v>9</v>
      </c>
      <c r="I347" s="64">
        <f>LEN(TRIM(Table22[[#This Row],[Continent]]))</f>
        <v>7</v>
      </c>
      <c r="J347" s="64">
        <f>LEN(TRIM(Table22[[#This Row],[Product]]))</f>
        <v>10</v>
      </c>
      <c r="K347" s="64">
        <f>LEN(TRIM(Table22[[#This Row],[Sales Team]]))</f>
        <v>10</v>
      </c>
      <c r="L347" s="23">
        <v>90</v>
      </c>
      <c r="M347" s="65" t="str" cm="1">
        <f t="array" ref="M347">_xlfn.IFS(Table22[[#This Row],[Units Sold]]&lt;40,"Critical",Table22[[#This Row],[Units Sold]]&lt;=50,"Poor",Table22[[#This Row],[Units Sold]]&lt;=60,"Low",Table22[[#This Row],[Units Sold]]&lt;=80,"Average",Table22[[#This Row],[Units Sold]]&lt;=90,"High",Table22[[#This Row],[Units Sold]]&lt;=95,"Excellent",Table22[[#This Row],[Units Sold]]&gt;95,"Outstanding")</f>
        <v>High</v>
      </c>
      <c r="N347" s="29">
        <v>808.32</v>
      </c>
      <c r="O347" s="29">
        <v>72748.800000000003</v>
      </c>
      <c r="P347" s="43">
        <f>IF(Table22[[#This Row],[Discount Applied]],Table22[[#This Row],[Total Sales (in USD)]]*(1-Table22[[#This Row],[Discount Percentage (%)]]/100),Table22[[#This Row],[Total Sales (in USD)]])</f>
        <v>72748.800000000003</v>
      </c>
      <c r="Q347" s="66">
        <f>SQRT(AVERAGE((Table22[[#This Row],[Net Sales (after discount) (in USD)]]-AVERAGE(Table22[Net Sales (after discount) (in USD)]))^2))</f>
        <v>36237.439436235465</v>
      </c>
      <c r="R347" s="18" t="b">
        <v>1</v>
      </c>
      <c r="S347" s="40">
        <v>12.2</v>
      </c>
      <c r="T347" s="18" t="b">
        <v>0</v>
      </c>
      <c r="U347" s="25">
        <v>45168</v>
      </c>
      <c r="V347" s="63" t="str">
        <f>IF(MONTH(Table22[[#This Row],[Sales Date]])&lt;=3,"Q1",IF(MONTH(Table22[[#This Row],[Sales Date]])&lt;=6,"Q2",IF(MONTH(Table22[[#This Row],[Sales Date]])&lt;=9,"Q3","Q4")))</f>
        <v>Q3</v>
      </c>
      <c r="W347" s="64">
        <f>YEAR(Table22[[#This Row],[Sales Date]])</f>
        <v>2023</v>
      </c>
      <c r="X347" s="23">
        <v>62</v>
      </c>
      <c r="Y347" s="18" t="s">
        <v>49</v>
      </c>
      <c r="Z347" s="18" t="s">
        <v>24</v>
      </c>
      <c r="AA347" s="19" t="s">
        <v>25</v>
      </c>
    </row>
    <row r="348" spans="1:27" x14ac:dyDescent="0.25">
      <c r="A348" s="17" t="s">
        <v>287</v>
      </c>
      <c r="B348" s="18" t="s">
        <v>38</v>
      </c>
      <c r="C348" s="63" t="str" cm="1">
        <f t="array" ref="C348">_xlfn.SWITCH(Table22[[#This Row],[Country]],"USA","North America","Canada","North America","Brazil","South America","China","Asia","Japan","Asia","India","Asia","France","Europe","Germany","Europe","UK","Europe","Australia","Oceania","South America")</f>
        <v>Europe</v>
      </c>
      <c r="D348" s="18" t="s">
        <v>28</v>
      </c>
      <c r="E348" s="18" t="s">
        <v>39</v>
      </c>
      <c r="F348" s="18" t="s">
        <v>20</v>
      </c>
      <c r="G348" s="18" t="s">
        <v>22</v>
      </c>
      <c r="H348" s="64">
        <f>LEN(TRIM(Table22[[#This Row],[Country]]))</f>
        <v>6</v>
      </c>
      <c r="I348" s="64">
        <f>LEN(TRIM(Table22[[#This Row],[Continent]]))</f>
        <v>6</v>
      </c>
      <c r="J348" s="64">
        <f>LEN(TRIM(Table22[[#This Row],[Product]]))</f>
        <v>10</v>
      </c>
      <c r="K348" s="64">
        <f>LEN(TRIM(Table22[[#This Row],[Sales Team]]))</f>
        <v>10</v>
      </c>
      <c r="L348" s="23">
        <v>53</v>
      </c>
      <c r="M348" s="65" t="str" cm="1">
        <f t="array" ref="M348">_xlfn.IFS(Table22[[#This Row],[Units Sold]]&lt;40,"Critical",Table22[[#This Row],[Units Sold]]&lt;=50,"Poor",Table22[[#This Row],[Units Sold]]&lt;=60,"Low",Table22[[#This Row],[Units Sold]]&lt;=80,"Average",Table22[[#This Row],[Units Sold]]&lt;=90,"High",Table22[[#This Row],[Units Sold]]&lt;=95,"Excellent",Table22[[#This Row],[Units Sold]]&gt;95,"Outstanding")</f>
        <v>Low</v>
      </c>
      <c r="N348" s="29">
        <v>1371.88</v>
      </c>
      <c r="O348" s="29">
        <v>72709.64</v>
      </c>
      <c r="P348" s="43">
        <f>IF(Table22[[#This Row],[Discount Applied]],Table22[[#This Row],[Total Sales (in USD)]]*(1-Table22[[#This Row],[Discount Percentage (%)]]/100),Table22[[#This Row],[Total Sales (in USD)]])</f>
        <v>62188.555091999995</v>
      </c>
      <c r="Q348" s="66">
        <f>SQRT(AVERAGE((Table22[[#This Row],[Net Sales (after discount) (in USD)]]-AVERAGE(Table22[Net Sales (after discount) (in USD)]))^2))</f>
        <v>25677.194528235457</v>
      </c>
      <c r="R348" s="18" t="b">
        <v>1</v>
      </c>
      <c r="S348" s="40">
        <v>14.47</v>
      </c>
      <c r="T348" s="18" t="b">
        <v>1</v>
      </c>
      <c r="U348" s="25">
        <v>45255</v>
      </c>
      <c r="V348" s="63" t="str">
        <f>IF(MONTH(Table22[[#This Row],[Sales Date]])&lt;=3,"Q1",IF(MONTH(Table22[[#This Row],[Sales Date]])&lt;=6,"Q2",IF(MONTH(Table22[[#This Row],[Sales Date]])&lt;=9,"Q3","Q4")))</f>
        <v>Q4</v>
      </c>
      <c r="W348" s="64">
        <f>YEAR(Table22[[#This Row],[Sales Date]])</f>
        <v>2023</v>
      </c>
      <c r="X348" s="23">
        <v>62</v>
      </c>
      <c r="Y348" s="18" t="s">
        <v>41</v>
      </c>
      <c r="Z348" s="18" t="s">
        <v>56</v>
      </c>
      <c r="AA348" s="19" t="s">
        <v>25</v>
      </c>
    </row>
    <row r="349" spans="1:27" x14ac:dyDescent="0.25">
      <c r="A349" s="17" t="s">
        <v>1926</v>
      </c>
      <c r="B349" s="18" t="s">
        <v>76</v>
      </c>
      <c r="C349" s="63" t="str" cm="1">
        <f t="array" ref="C349">_xlfn.SWITCH(Table22[[#This Row],[Country]],"USA","North America","Canada","North America","Brazil","South America","China","Asia","Japan","Asia","India","Asia","France","Europe","Germany","Europe","UK","Europe","Australia","Oceania","South America")</f>
        <v>Asia</v>
      </c>
      <c r="D349" s="18" t="s">
        <v>35</v>
      </c>
      <c r="E349" s="18" t="s">
        <v>33</v>
      </c>
      <c r="F349" s="18" t="s">
        <v>52</v>
      </c>
      <c r="G349" s="18" t="s">
        <v>48</v>
      </c>
      <c r="H349" s="64">
        <f>LEN(TRIM(Table22[[#This Row],[Country]]))</f>
        <v>5</v>
      </c>
      <c r="I349" s="64">
        <f>LEN(TRIM(Table22[[#This Row],[Continent]]))</f>
        <v>4</v>
      </c>
      <c r="J349" s="64">
        <f>LEN(TRIM(Table22[[#This Row],[Product]]))</f>
        <v>10</v>
      </c>
      <c r="K349" s="64">
        <f>LEN(TRIM(Table22[[#This Row],[Sales Team]]))</f>
        <v>9</v>
      </c>
      <c r="L349" s="23">
        <v>72</v>
      </c>
      <c r="M349" s="65" t="str" cm="1">
        <f t="array" ref="M349">_xlfn.IFS(Table22[[#This Row],[Units Sold]]&lt;40,"Critical",Table22[[#This Row],[Units Sold]]&lt;=50,"Poor",Table22[[#This Row],[Units Sold]]&lt;=60,"Low",Table22[[#This Row],[Units Sold]]&lt;=80,"Average",Table22[[#This Row],[Units Sold]]&lt;=90,"High",Table22[[#This Row],[Units Sold]]&lt;=95,"Excellent",Table22[[#This Row],[Units Sold]]&gt;95,"Outstanding")</f>
        <v>Average</v>
      </c>
      <c r="N349" s="29">
        <v>1006.74</v>
      </c>
      <c r="O349" s="29">
        <v>72485.279999999999</v>
      </c>
      <c r="P349" s="43">
        <f>IF(Table22[[#This Row],[Discount Applied]],Table22[[#This Row],[Total Sales (in USD)]]*(1-Table22[[#This Row],[Discount Percentage (%)]]/100),Table22[[#This Row],[Total Sales (in USD)]])</f>
        <v>61221.067488000001</v>
      </c>
      <c r="Q349" s="66">
        <f>SQRT(AVERAGE((Table22[[#This Row],[Net Sales (after discount) (in USD)]]-AVERAGE(Table22[Net Sales (after discount) (in USD)]))^2))</f>
        <v>24709.706924235463</v>
      </c>
      <c r="R349" s="18" t="b">
        <v>1</v>
      </c>
      <c r="S349" s="40">
        <v>15.54</v>
      </c>
      <c r="T349" s="18" t="b">
        <v>1</v>
      </c>
      <c r="U349" s="25">
        <v>44971</v>
      </c>
      <c r="V349" s="63" t="str">
        <f>IF(MONTH(Table22[[#This Row],[Sales Date]])&lt;=3,"Q1",IF(MONTH(Table22[[#This Row],[Sales Date]])&lt;=6,"Q2",IF(MONTH(Table22[[#This Row],[Sales Date]])&lt;=9,"Q3","Q4")))</f>
        <v>Q1</v>
      </c>
      <c r="W349" s="64">
        <f>YEAR(Table22[[#This Row],[Sales Date]])</f>
        <v>2023</v>
      </c>
      <c r="X349" s="23">
        <v>47</v>
      </c>
      <c r="Y349" s="18" t="s">
        <v>49</v>
      </c>
      <c r="Z349" s="18" t="s">
        <v>56</v>
      </c>
      <c r="AA349" s="19" t="s">
        <v>36</v>
      </c>
    </row>
    <row r="350" spans="1:27" x14ac:dyDescent="0.25">
      <c r="A350" s="17" t="s">
        <v>1257</v>
      </c>
      <c r="B350" s="18" t="s">
        <v>46</v>
      </c>
      <c r="C350" s="63" t="str" cm="1">
        <f t="array" ref="C350">_xlfn.SWITCH(Table22[[#This Row],[Country]],"USA","North America","Canada","North America","Brazil","South America","China","Asia","Japan","Asia","India","Asia","France","Europe","Germany","Europe","UK","Europe","Australia","Oceania","South America")</f>
        <v>South America</v>
      </c>
      <c r="D350" s="18" t="s">
        <v>28</v>
      </c>
      <c r="E350" s="18" t="s">
        <v>33</v>
      </c>
      <c r="F350" s="18" t="s">
        <v>34</v>
      </c>
      <c r="G350" s="18" t="s">
        <v>22</v>
      </c>
      <c r="H350" s="64">
        <f>LEN(TRIM(Table22[[#This Row],[Country]]))</f>
        <v>6</v>
      </c>
      <c r="I350" s="64">
        <f>LEN(TRIM(Table22[[#This Row],[Continent]]))</f>
        <v>13</v>
      </c>
      <c r="J350" s="64">
        <f>LEN(TRIM(Table22[[#This Row],[Product]]))</f>
        <v>10</v>
      </c>
      <c r="K350" s="64">
        <f>LEN(TRIM(Table22[[#This Row],[Sales Team]]))</f>
        <v>10</v>
      </c>
      <c r="L350" s="23">
        <v>88</v>
      </c>
      <c r="M350" s="65" t="str" cm="1">
        <f t="array" ref="M350">_xlfn.IFS(Table22[[#This Row],[Units Sold]]&lt;40,"Critical",Table22[[#This Row],[Units Sold]]&lt;=50,"Poor",Table22[[#This Row],[Units Sold]]&lt;=60,"Low",Table22[[#This Row],[Units Sold]]&lt;=80,"Average",Table22[[#This Row],[Units Sold]]&lt;=90,"High",Table22[[#This Row],[Units Sold]]&lt;=95,"Excellent",Table22[[#This Row],[Units Sold]]&gt;95,"Outstanding")</f>
        <v>High</v>
      </c>
      <c r="N350" s="29">
        <v>823.61</v>
      </c>
      <c r="O350" s="29">
        <v>72477.679999999993</v>
      </c>
      <c r="P350" s="43">
        <f>IF(Table22[[#This Row],[Discount Applied]],Table22[[#This Row],[Total Sales (in USD)]]*(1-Table22[[#This Row],[Discount Percentage (%)]]/100),Table22[[#This Row],[Total Sales (in USD)]])</f>
        <v>64925.505743999995</v>
      </c>
      <c r="Q350" s="66">
        <f>SQRT(AVERAGE((Table22[[#This Row],[Net Sales (after discount) (in USD)]]-AVERAGE(Table22[Net Sales (after discount) (in USD)]))^2))</f>
        <v>28414.145180235457</v>
      </c>
      <c r="R350" s="18" t="b">
        <v>0</v>
      </c>
      <c r="S350" s="40">
        <v>10.42</v>
      </c>
      <c r="T350" s="18" t="b">
        <v>1</v>
      </c>
      <c r="U350" s="25">
        <v>45166</v>
      </c>
      <c r="V350" s="63" t="str">
        <f>IF(MONTH(Table22[[#This Row],[Sales Date]])&lt;=3,"Q1",IF(MONTH(Table22[[#This Row],[Sales Date]])&lt;=6,"Q2",IF(MONTH(Table22[[#This Row],[Sales Date]])&lt;=9,"Q3","Q4")))</f>
        <v>Q3</v>
      </c>
      <c r="W350" s="64">
        <f>YEAR(Table22[[#This Row],[Sales Date]])</f>
        <v>2023</v>
      </c>
      <c r="X350" s="23">
        <v>18</v>
      </c>
      <c r="Y350" s="18" t="s">
        <v>23</v>
      </c>
      <c r="Z350" s="18" t="s">
        <v>42</v>
      </c>
      <c r="AA350" s="19" t="s">
        <v>36</v>
      </c>
    </row>
    <row r="351" spans="1:27" x14ac:dyDescent="0.25">
      <c r="A351" s="17" t="s">
        <v>1966</v>
      </c>
      <c r="B351" s="18" t="s">
        <v>27</v>
      </c>
      <c r="C351" s="63" t="str" cm="1">
        <f t="array" ref="C351">_xlfn.SWITCH(Table22[[#This Row],[Country]],"USA","North America","Canada","North America","Brazil","South America","China","Asia","Japan","Asia","India","Asia","France","Europe","Germany","Europe","UK","Europe","Australia","Oceania","South America")</f>
        <v>Europe</v>
      </c>
      <c r="D351" s="18" t="s">
        <v>44</v>
      </c>
      <c r="E351" s="18" t="s">
        <v>39</v>
      </c>
      <c r="F351" s="18" t="s">
        <v>64</v>
      </c>
      <c r="G351" s="18" t="s">
        <v>40</v>
      </c>
      <c r="H351" s="64">
        <f>LEN(TRIM(Table22[[#This Row],[Country]]))</f>
        <v>7</v>
      </c>
      <c r="I351" s="64">
        <f>LEN(TRIM(Table22[[#This Row],[Continent]]))</f>
        <v>6</v>
      </c>
      <c r="J351" s="64">
        <f>LEN(TRIM(Table22[[#This Row],[Product]]))</f>
        <v>10</v>
      </c>
      <c r="K351" s="64">
        <f>LEN(TRIM(Table22[[#This Row],[Sales Team]]))</f>
        <v>10</v>
      </c>
      <c r="L351" s="23">
        <v>57</v>
      </c>
      <c r="M351" s="65" t="str" cm="1">
        <f t="array" ref="M351">_xlfn.IFS(Table22[[#This Row],[Units Sold]]&lt;40,"Critical",Table22[[#This Row],[Units Sold]]&lt;=50,"Poor",Table22[[#This Row],[Units Sold]]&lt;=60,"Low",Table22[[#This Row],[Units Sold]]&lt;=80,"Average",Table22[[#This Row],[Units Sold]]&lt;=90,"High",Table22[[#This Row],[Units Sold]]&lt;=95,"Excellent",Table22[[#This Row],[Units Sold]]&gt;95,"Outstanding")</f>
        <v>Low</v>
      </c>
      <c r="N351" s="29">
        <v>1270.94</v>
      </c>
      <c r="O351" s="29">
        <v>72443.58</v>
      </c>
      <c r="P351" s="43">
        <f>IF(Table22[[#This Row],[Discount Applied]],Table22[[#This Row],[Total Sales (in USD)]]*(1-Table22[[#This Row],[Discount Percentage (%)]]/100),Table22[[#This Row],[Total Sales (in USD)]])</f>
        <v>72443.58</v>
      </c>
      <c r="Q351" s="66">
        <f>SQRT(AVERAGE((Table22[[#This Row],[Net Sales (after discount) (in USD)]]-AVERAGE(Table22[Net Sales (after discount) (in USD)]))^2))</f>
        <v>35932.219436235464</v>
      </c>
      <c r="R351" s="18" t="b">
        <v>1</v>
      </c>
      <c r="S351" s="40">
        <v>8.7100000000000009</v>
      </c>
      <c r="T351" s="18" t="b">
        <v>0</v>
      </c>
      <c r="U351" s="25">
        <v>45527</v>
      </c>
      <c r="V351" s="63" t="str">
        <f>IF(MONTH(Table22[[#This Row],[Sales Date]])&lt;=3,"Q1",IF(MONTH(Table22[[#This Row],[Sales Date]])&lt;=6,"Q2",IF(MONTH(Table22[[#This Row],[Sales Date]])&lt;=9,"Q3","Q4")))</f>
        <v>Q3</v>
      </c>
      <c r="W351" s="64">
        <f>YEAR(Table22[[#This Row],[Sales Date]])</f>
        <v>2024</v>
      </c>
      <c r="X351" s="23">
        <v>43</v>
      </c>
      <c r="Y351" s="18" t="s">
        <v>41</v>
      </c>
      <c r="Z351" s="18" t="s">
        <v>24</v>
      </c>
      <c r="AA351" s="19" t="s">
        <v>25</v>
      </c>
    </row>
    <row r="352" spans="1:27" x14ac:dyDescent="0.25">
      <c r="A352" s="17" t="s">
        <v>1015</v>
      </c>
      <c r="B352" s="18" t="s">
        <v>18</v>
      </c>
      <c r="C352" s="63" t="str" cm="1">
        <f t="array" ref="C352">_xlfn.SWITCH(Table22[[#This Row],[Country]],"USA","North America","Canada","North America","Brazil","South America","China","Asia","Japan","Asia","India","Asia","France","Europe","Germany","Europe","UK","Europe","Australia","Oceania","South America")</f>
        <v>Asia</v>
      </c>
      <c r="D352" s="18" t="s">
        <v>44</v>
      </c>
      <c r="E352" s="18" t="s">
        <v>33</v>
      </c>
      <c r="F352" s="18" t="s">
        <v>64</v>
      </c>
      <c r="G352" s="18" t="s">
        <v>29</v>
      </c>
      <c r="H352" s="64">
        <f>LEN(TRIM(Table22[[#This Row],[Country]]))</f>
        <v>5</v>
      </c>
      <c r="I352" s="64">
        <f>LEN(TRIM(Table22[[#This Row],[Continent]]))</f>
        <v>4</v>
      </c>
      <c r="J352" s="64">
        <f>LEN(TRIM(Table22[[#This Row],[Product]]))</f>
        <v>10</v>
      </c>
      <c r="K352" s="64">
        <f>LEN(TRIM(Table22[[#This Row],[Sales Team]]))</f>
        <v>10</v>
      </c>
      <c r="L352" s="23">
        <v>59</v>
      </c>
      <c r="M352" s="65" t="str" cm="1">
        <f t="array" ref="M352">_xlfn.IFS(Table22[[#This Row],[Units Sold]]&lt;40,"Critical",Table22[[#This Row],[Units Sold]]&lt;=50,"Poor",Table22[[#This Row],[Units Sold]]&lt;=60,"Low",Table22[[#This Row],[Units Sold]]&lt;=80,"Average",Table22[[#This Row],[Units Sold]]&lt;=90,"High",Table22[[#This Row],[Units Sold]]&lt;=95,"Excellent",Table22[[#This Row],[Units Sold]]&gt;95,"Outstanding")</f>
        <v>Low</v>
      </c>
      <c r="N352" s="29">
        <v>1227.3699999999999</v>
      </c>
      <c r="O352" s="29">
        <v>72414.83</v>
      </c>
      <c r="P352" s="43">
        <f>IF(Table22[[#This Row],[Discount Applied]],Table22[[#This Row],[Total Sales (in USD)]]*(1-Table22[[#This Row],[Discount Percentage (%)]]/100),Table22[[#This Row],[Total Sales (in USD)]])</f>
        <v>72414.83</v>
      </c>
      <c r="Q352" s="66">
        <f>SQRT(AVERAGE((Table22[[#This Row],[Net Sales (after discount) (in USD)]]-AVERAGE(Table22[Net Sales (after discount) (in USD)]))^2))</f>
        <v>35903.469436235464</v>
      </c>
      <c r="R352" s="18" t="b">
        <v>0</v>
      </c>
      <c r="S352" s="40">
        <v>4.1399999999999997</v>
      </c>
      <c r="T352" s="18" t="b">
        <v>0</v>
      </c>
      <c r="U352" s="25">
        <v>45376</v>
      </c>
      <c r="V352" s="63" t="str">
        <f>IF(MONTH(Table22[[#This Row],[Sales Date]])&lt;=3,"Q1",IF(MONTH(Table22[[#This Row],[Sales Date]])&lt;=6,"Q2",IF(MONTH(Table22[[#This Row],[Sales Date]])&lt;=9,"Q3","Q4")))</f>
        <v>Q1</v>
      </c>
      <c r="W352" s="64">
        <f>YEAR(Table22[[#This Row],[Sales Date]])</f>
        <v>2024</v>
      </c>
      <c r="X352" s="23">
        <v>21</v>
      </c>
      <c r="Y352" s="18" t="s">
        <v>49</v>
      </c>
      <c r="Z352" s="18" t="s">
        <v>42</v>
      </c>
      <c r="AA352" s="19" t="s">
        <v>25</v>
      </c>
    </row>
    <row r="353" spans="1:27" x14ac:dyDescent="0.25">
      <c r="A353" s="17" t="s">
        <v>1469</v>
      </c>
      <c r="B353" s="18" t="s">
        <v>32</v>
      </c>
      <c r="C353" s="63" t="str" cm="1">
        <f t="array" ref="C353">_xlfn.SWITCH(Table22[[#This Row],[Country]],"USA","North America","Canada","North America","Brazil","South America","China","Asia","Japan","Asia","India","Asia","France","Europe","Germany","Europe","UK","Europe","Australia","Oceania","South America")</f>
        <v>Asia</v>
      </c>
      <c r="D353" s="18" t="s">
        <v>21</v>
      </c>
      <c r="E353" s="18" t="s">
        <v>39</v>
      </c>
      <c r="F353" s="18" t="s">
        <v>64</v>
      </c>
      <c r="G353" s="18" t="s">
        <v>40</v>
      </c>
      <c r="H353" s="64">
        <f>LEN(TRIM(Table22[[#This Row],[Country]]))</f>
        <v>5</v>
      </c>
      <c r="I353" s="64">
        <f>LEN(TRIM(Table22[[#This Row],[Continent]]))</f>
        <v>4</v>
      </c>
      <c r="J353" s="64">
        <f>LEN(TRIM(Table22[[#This Row],[Product]]))</f>
        <v>10</v>
      </c>
      <c r="K353" s="64">
        <f>LEN(TRIM(Table22[[#This Row],[Sales Team]]))</f>
        <v>10</v>
      </c>
      <c r="L353" s="23">
        <v>60</v>
      </c>
      <c r="M353" s="65" t="str" cm="1">
        <f t="array" ref="M353">_xlfn.IFS(Table22[[#This Row],[Units Sold]]&lt;40,"Critical",Table22[[#This Row],[Units Sold]]&lt;=50,"Poor",Table22[[#This Row],[Units Sold]]&lt;=60,"Low",Table22[[#This Row],[Units Sold]]&lt;=80,"Average",Table22[[#This Row],[Units Sold]]&lt;=90,"High",Table22[[#This Row],[Units Sold]]&lt;=95,"Excellent",Table22[[#This Row],[Units Sold]]&gt;95,"Outstanding")</f>
        <v>Low</v>
      </c>
      <c r="N353" s="29">
        <v>1206.4000000000001</v>
      </c>
      <c r="O353" s="29">
        <v>72384</v>
      </c>
      <c r="P353" s="43">
        <f>IF(Table22[[#This Row],[Discount Applied]],Table22[[#This Row],[Total Sales (in USD)]]*(1-Table22[[#This Row],[Discount Percentage (%)]]/100),Table22[[#This Row],[Total Sales (in USD)]])</f>
        <v>72384</v>
      </c>
      <c r="Q353" s="66">
        <f>SQRT(AVERAGE((Table22[[#This Row],[Net Sales (after discount) (in USD)]]-AVERAGE(Table22[Net Sales (after discount) (in USD)]))^2))</f>
        <v>35872.639436235462</v>
      </c>
      <c r="R353" s="18" t="b">
        <v>0</v>
      </c>
      <c r="S353" s="40">
        <v>13.02</v>
      </c>
      <c r="T353" s="18" t="b">
        <v>0</v>
      </c>
      <c r="U353" s="25">
        <v>45153</v>
      </c>
      <c r="V353" s="63" t="str">
        <f>IF(MONTH(Table22[[#This Row],[Sales Date]])&lt;=3,"Q1",IF(MONTH(Table22[[#This Row],[Sales Date]])&lt;=6,"Q2",IF(MONTH(Table22[[#This Row],[Sales Date]])&lt;=9,"Q3","Q4")))</f>
        <v>Q3</v>
      </c>
      <c r="W353" s="64">
        <f>YEAR(Table22[[#This Row],[Sales Date]])</f>
        <v>2023</v>
      </c>
      <c r="X353" s="23">
        <v>33</v>
      </c>
      <c r="Y353" s="18" t="s">
        <v>41</v>
      </c>
      <c r="Z353" s="18" t="s">
        <v>56</v>
      </c>
      <c r="AA353" s="19" t="s">
        <v>36</v>
      </c>
    </row>
    <row r="354" spans="1:27" x14ac:dyDescent="0.25">
      <c r="A354" s="17" t="s">
        <v>1358</v>
      </c>
      <c r="B354" s="18" t="s">
        <v>38</v>
      </c>
      <c r="C354" s="63" t="str" cm="1">
        <f t="array" ref="C354">_xlfn.SWITCH(Table22[[#This Row],[Country]],"USA","North America","Canada","North America","Brazil","South America","China","Asia","Japan","Asia","India","Asia","France","Europe","Germany","Europe","UK","Europe","Australia","Oceania","South America")</f>
        <v>Europe</v>
      </c>
      <c r="D354" s="18" t="s">
        <v>44</v>
      </c>
      <c r="E354" s="18" t="s">
        <v>33</v>
      </c>
      <c r="F354" s="18" t="s">
        <v>20</v>
      </c>
      <c r="G354" s="18" t="s">
        <v>48</v>
      </c>
      <c r="H354" s="64">
        <f>LEN(TRIM(Table22[[#This Row],[Country]]))</f>
        <v>6</v>
      </c>
      <c r="I354" s="64">
        <f>LEN(TRIM(Table22[[#This Row],[Continent]]))</f>
        <v>6</v>
      </c>
      <c r="J354" s="64">
        <f>LEN(TRIM(Table22[[#This Row],[Product]]))</f>
        <v>10</v>
      </c>
      <c r="K354" s="64">
        <f>LEN(TRIM(Table22[[#This Row],[Sales Team]]))</f>
        <v>9</v>
      </c>
      <c r="L354" s="23">
        <v>50</v>
      </c>
      <c r="M354" s="65" t="str" cm="1">
        <f t="array" ref="M354">_xlfn.IFS(Table22[[#This Row],[Units Sold]]&lt;40,"Critical",Table22[[#This Row],[Units Sold]]&lt;=50,"Poor",Table22[[#This Row],[Units Sold]]&lt;=60,"Low",Table22[[#This Row],[Units Sold]]&lt;=80,"Average",Table22[[#This Row],[Units Sold]]&lt;=90,"High",Table22[[#This Row],[Units Sold]]&lt;=95,"Excellent",Table22[[#This Row],[Units Sold]]&gt;95,"Outstanding")</f>
        <v>Poor</v>
      </c>
      <c r="N354" s="29">
        <v>1443.31</v>
      </c>
      <c r="O354" s="29">
        <v>72165.5</v>
      </c>
      <c r="P354" s="43">
        <f>IF(Table22[[#This Row],[Discount Applied]],Table22[[#This Row],[Total Sales (in USD)]]*(1-Table22[[#This Row],[Discount Percentage (%)]]/100),Table22[[#This Row],[Total Sales (in USD)]])</f>
        <v>57775.6993</v>
      </c>
      <c r="Q354" s="66">
        <f>SQRT(AVERAGE((Table22[[#This Row],[Net Sales (after discount) (in USD)]]-AVERAGE(Table22[Net Sales (after discount) (in USD)]))^2))</f>
        <v>21264.338736235462</v>
      </c>
      <c r="R354" s="18" t="b">
        <v>1</v>
      </c>
      <c r="S354" s="40">
        <v>19.940000000000001</v>
      </c>
      <c r="T354" s="18" t="b">
        <v>1</v>
      </c>
      <c r="U354" s="25">
        <v>45518</v>
      </c>
      <c r="V354" s="63" t="str">
        <f>IF(MONTH(Table22[[#This Row],[Sales Date]])&lt;=3,"Q1",IF(MONTH(Table22[[#This Row],[Sales Date]])&lt;=6,"Q2",IF(MONTH(Table22[[#This Row],[Sales Date]])&lt;=9,"Q3","Q4")))</f>
        <v>Q3</v>
      </c>
      <c r="W354" s="64">
        <f>YEAR(Table22[[#This Row],[Sales Date]])</f>
        <v>2024</v>
      </c>
      <c r="X354" s="23">
        <v>42</v>
      </c>
      <c r="Y354" s="18" t="s">
        <v>23</v>
      </c>
      <c r="Z354" s="18" t="s">
        <v>56</v>
      </c>
      <c r="AA354" s="19" t="s">
        <v>36</v>
      </c>
    </row>
    <row r="355" spans="1:27" x14ac:dyDescent="0.25">
      <c r="A355" s="17" t="s">
        <v>88</v>
      </c>
      <c r="B355" s="18" t="s">
        <v>76</v>
      </c>
      <c r="C355" s="63" t="str" cm="1">
        <f t="array" ref="C355">_xlfn.SWITCH(Table22[[#This Row],[Country]],"USA","North America","Canada","North America","Brazil","South America","China","Asia","Japan","Asia","India","Asia","France","Europe","Germany","Europe","UK","Europe","Australia","Oceania","South America")</f>
        <v>Asia</v>
      </c>
      <c r="D355" s="18" t="s">
        <v>35</v>
      </c>
      <c r="E355" s="18" t="s">
        <v>19</v>
      </c>
      <c r="F355" s="18" t="s">
        <v>20</v>
      </c>
      <c r="G355" s="18" t="s">
        <v>40</v>
      </c>
      <c r="H355" s="64">
        <f>LEN(TRIM(Table22[[#This Row],[Country]]))</f>
        <v>5</v>
      </c>
      <c r="I355" s="64">
        <f>LEN(TRIM(Table22[[#This Row],[Continent]]))</f>
        <v>4</v>
      </c>
      <c r="J355" s="64">
        <f>LEN(TRIM(Table22[[#This Row],[Product]]))</f>
        <v>6</v>
      </c>
      <c r="K355" s="64">
        <f>LEN(TRIM(Table22[[#This Row],[Sales Team]]))</f>
        <v>10</v>
      </c>
      <c r="L355" s="23">
        <v>91</v>
      </c>
      <c r="M355" s="65" t="str" cm="1">
        <f t="array" ref="M355">_xlfn.IFS(Table22[[#This Row],[Units Sold]]&lt;40,"Critical",Table22[[#This Row],[Units Sold]]&lt;=50,"Poor",Table22[[#This Row],[Units Sold]]&lt;=60,"Low",Table22[[#This Row],[Units Sold]]&lt;=80,"Average",Table22[[#This Row],[Units Sold]]&lt;=90,"High",Table22[[#This Row],[Units Sold]]&lt;=95,"Excellent",Table22[[#This Row],[Units Sold]]&gt;95,"Outstanding")</f>
        <v>Excellent</v>
      </c>
      <c r="N355" s="29">
        <v>792.84</v>
      </c>
      <c r="O355" s="29">
        <v>72148.44</v>
      </c>
      <c r="P355" s="43">
        <f>IF(Table22[[#This Row],[Discount Applied]],Table22[[#This Row],[Total Sales (in USD)]]*(1-Table22[[#This Row],[Discount Percentage (%)]]/100),Table22[[#This Row],[Total Sales (in USD)]])</f>
        <v>72148.44</v>
      </c>
      <c r="Q355" s="66">
        <f>SQRT(AVERAGE((Table22[[#This Row],[Net Sales (after discount) (in USD)]]-AVERAGE(Table22[Net Sales (after discount) (in USD)]))^2))</f>
        <v>35637.079436235465</v>
      </c>
      <c r="R355" s="18" t="b">
        <v>1</v>
      </c>
      <c r="S355" s="40">
        <v>21.87</v>
      </c>
      <c r="T355" s="18" t="b">
        <v>0</v>
      </c>
      <c r="U355" s="25">
        <v>45002</v>
      </c>
      <c r="V355" s="63" t="str">
        <f>IF(MONTH(Table22[[#This Row],[Sales Date]])&lt;=3,"Q1",IF(MONTH(Table22[[#This Row],[Sales Date]])&lt;=6,"Q2",IF(MONTH(Table22[[#This Row],[Sales Date]])&lt;=9,"Q3","Q4")))</f>
        <v>Q1</v>
      </c>
      <c r="W355" s="64">
        <f>YEAR(Table22[[#This Row],[Sales Date]])</f>
        <v>2023</v>
      </c>
      <c r="X355" s="23">
        <v>20</v>
      </c>
      <c r="Y355" s="18" t="s">
        <v>23</v>
      </c>
      <c r="Z355" s="18" t="s">
        <v>30</v>
      </c>
      <c r="AA355" s="19" t="s">
        <v>25</v>
      </c>
    </row>
    <row r="356" spans="1:27" x14ac:dyDescent="0.25">
      <c r="A356" s="17" t="s">
        <v>1172</v>
      </c>
      <c r="B356" s="18" t="s">
        <v>76</v>
      </c>
      <c r="C356" s="63" t="str" cm="1">
        <f t="array" ref="C356">_xlfn.SWITCH(Table22[[#This Row],[Country]],"USA","North America","Canada","North America","Brazil","South America","China","Asia","Japan","Asia","India","Asia","France","Europe","Germany","Europe","UK","Europe","Australia","Oceania","South America")</f>
        <v>Asia</v>
      </c>
      <c r="D356" s="18" t="s">
        <v>21</v>
      </c>
      <c r="E356" s="18" t="s">
        <v>33</v>
      </c>
      <c r="F356" s="18" t="s">
        <v>20</v>
      </c>
      <c r="G356" s="18" t="s">
        <v>40</v>
      </c>
      <c r="H356" s="64">
        <f>LEN(TRIM(Table22[[#This Row],[Country]]))</f>
        <v>5</v>
      </c>
      <c r="I356" s="64">
        <f>LEN(TRIM(Table22[[#This Row],[Continent]]))</f>
        <v>4</v>
      </c>
      <c r="J356" s="64">
        <f>LEN(TRIM(Table22[[#This Row],[Product]]))</f>
        <v>10</v>
      </c>
      <c r="K356" s="64">
        <f>LEN(TRIM(Table22[[#This Row],[Sales Team]]))</f>
        <v>10</v>
      </c>
      <c r="L356" s="23">
        <v>69</v>
      </c>
      <c r="M356" s="65" t="str" cm="1">
        <f t="array" ref="M356">_xlfn.IFS(Table22[[#This Row],[Units Sold]]&lt;40,"Critical",Table22[[#This Row],[Units Sold]]&lt;=50,"Poor",Table22[[#This Row],[Units Sold]]&lt;=60,"Low",Table22[[#This Row],[Units Sold]]&lt;=80,"Average",Table22[[#This Row],[Units Sold]]&lt;=90,"High",Table22[[#This Row],[Units Sold]]&lt;=95,"Excellent",Table22[[#This Row],[Units Sold]]&gt;95,"Outstanding")</f>
        <v>Average</v>
      </c>
      <c r="N356" s="29">
        <v>1045.55</v>
      </c>
      <c r="O356" s="29">
        <v>72142.95</v>
      </c>
      <c r="P356" s="43">
        <f>IF(Table22[[#This Row],[Discount Applied]],Table22[[#This Row],[Total Sales (in USD)]]*(1-Table22[[#This Row],[Discount Percentage (%)]]/100),Table22[[#This Row],[Total Sales (in USD)]])</f>
        <v>68362.659419999996</v>
      </c>
      <c r="Q356" s="66">
        <f>SQRT(AVERAGE((Table22[[#This Row],[Net Sales (after discount) (in USD)]]-AVERAGE(Table22[Net Sales (after discount) (in USD)]))^2))</f>
        <v>31851.298856235459</v>
      </c>
      <c r="R356" s="18" t="b">
        <v>0</v>
      </c>
      <c r="S356" s="40">
        <v>5.24</v>
      </c>
      <c r="T356" s="18" t="b">
        <v>1</v>
      </c>
      <c r="U356" s="25">
        <v>45338</v>
      </c>
      <c r="V356" s="63" t="str">
        <f>IF(MONTH(Table22[[#This Row],[Sales Date]])&lt;=3,"Q1",IF(MONTH(Table22[[#This Row],[Sales Date]])&lt;=6,"Q2",IF(MONTH(Table22[[#This Row],[Sales Date]])&lt;=9,"Q3","Q4")))</f>
        <v>Q1</v>
      </c>
      <c r="W356" s="64">
        <f>YEAR(Table22[[#This Row],[Sales Date]])</f>
        <v>2024</v>
      </c>
      <c r="X356" s="23">
        <v>50</v>
      </c>
      <c r="Y356" s="18" t="s">
        <v>41</v>
      </c>
      <c r="Z356" s="18" t="s">
        <v>42</v>
      </c>
      <c r="AA356" s="19" t="s">
        <v>36</v>
      </c>
    </row>
    <row r="357" spans="1:27" x14ac:dyDescent="0.25">
      <c r="A357" s="17" t="s">
        <v>910</v>
      </c>
      <c r="B357" s="18" t="s">
        <v>51</v>
      </c>
      <c r="C357" s="63" t="str" cm="1">
        <f t="array" ref="C357">_xlfn.SWITCH(Table22[[#This Row],[Country]],"USA","North America","Canada","North America","Brazil","South America","China","Asia","Japan","Asia","India","Asia","France","Europe","Germany","Europe","UK","Europe","Australia","Oceania","South America")</f>
        <v>Europe</v>
      </c>
      <c r="D357" s="18" t="s">
        <v>35</v>
      </c>
      <c r="E357" s="18" t="s">
        <v>19</v>
      </c>
      <c r="F357" s="18" t="s">
        <v>52</v>
      </c>
      <c r="G357" s="18" t="s">
        <v>29</v>
      </c>
      <c r="H357" s="64">
        <f>LEN(TRIM(Table22[[#This Row],[Country]]))</f>
        <v>2</v>
      </c>
      <c r="I357" s="64">
        <f>LEN(TRIM(Table22[[#This Row],[Continent]]))</f>
        <v>6</v>
      </c>
      <c r="J357" s="64">
        <f>LEN(TRIM(Table22[[#This Row],[Product]]))</f>
        <v>6</v>
      </c>
      <c r="K357" s="64">
        <f>LEN(TRIM(Table22[[#This Row],[Sales Team]]))</f>
        <v>10</v>
      </c>
      <c r="L357" s="23">
        <v>93</v>
      </c>
      <c r="M357" s="65" t="str" cm="1">
        <f t="array" ref="M357">_xlfn.IFS(Table22[[#This Row],[Units Sold]]&lt;40,"Critical",Table22[[#This Row],[Units Sold]]&lt;=50,"Poor",Table22[[#This Row],[Units Sold]]&lt;=60,"Low",Table22[[#This Row],[Units Sold]]&lt;=80,"Average",Table22[[#This Row],[Units Sold]]&lt;=90,"High",Table22[[#This Row],[Units Sold]]&lt;=95,"Excellent",Table22[[#This Row],[Units Sold]]&gt;95,"Outstanding")</f>
        <v>Excellent</v>
      </c>
      <c r="N357" s="29">
        <v>774.57</v>
      </c>
      <c r="O357" s="29">
        <v>72035.009999999995</v>
      </c>
      <c r="P357" s="43">
        <f>IF(Table22[[#This Row],[Discount Applied]],Table22[[#This Row],[Total Sales (in USD)]]*(1-Table22[[#This Row],[Discount Percentage (%)]]/100),Table22[[#This Row],[Total Sales (in USD)]])</f>
        <v>67266.292337999999</v>
      </c>
      <c r="Q357" s="66">
        <f>SQRT(AVERAGE((Table22[[#This Row],[Net Sales (after discount) (in USD)]]-AVERAGE(Table22[Net Sales (after discount) (in USD)]))^2))</f>
        <v>30754.931774235461</v>
      </c>
      <c r="R357" s="18" t="b">
        <v>1</v>
      </c>
      <c r="S357" s="40">
        <v>6.62</v>
      </c>
      <c r="T357" s="18" t="b">
        <v>1</v>
      </c>
      <c r="U357" s="25">
        <v>45592</v>
      </c>
      <c r="V357" s="63" t="str">
        <f>IF(MONTH(Table22[[#This Row],[Sales Date]])&lt;=3,"Q1",IF(MONTH(Table22[[#This Row],[Sales Date]])&lt;=6,"Q2",IF(MONTH(Table22[[#This Row],[Sales Date]])&lt;=9,"Q3","Q4")))</f>
        <v>Q4</v>
      </c>
      <c r="W357" s="64">
        <f>YEAR(Table22[[#This Row],[Sales Date]])</f>
        <v>2024</v>
      </c>
      <c r="X357" s="23">
        <v>43</v>
      </c>
      <c r="Y357" s="18" t="s">
        <v>23</v>
      </c>
      <c r="Z357" s="18" t="s">
        <v>42</v>
      </c>
      <c r="AA357" s="19" t="s">
        <v>36</v>
      </c>
    </row>
    <row r="358" spans="1:27" x14ac:dyDescent="0.25">
      <c r="A358" s="17" t="s">
        <v>1718</v>
      </c>
      <c r="B358" s="18" t="s">
        <v>38</v>
      </c>
      <c r="C358" s="63" t="str" cm="1">
        <f t="array" ref="C358">_xlfn.SWITCH(Table22[[#This Row],[Country]],"USA","North America","Canada","North America","Brazil","South America","China","Asia","Japan","Asia","India","Asia","France","Europe","Germany","Europe","UK","Europe","Australia","Oceania","South America")</f>
        <v>Europe</v>
      </c>
      <c r="D358" s="18" t="s">
        <v>35</v>
      </c>
      <c r="E358" s="18" t="s">
        <v>33</v>
      </c>
      <c r="F358" s="18" t="s">
        <v>34</v>
      </c>
      <c r="G358" s="18" t="s">
        <v>48</v>
      </c>
      <c r="H358" s="64">
        <f>LEN(TRIM(Table22[[#This Row],[Country]]))</f>
        <v>6</v>
      </c>
      <c r="I358" s="64">
        <f>LEN(TRIM(Table22[[#This Row],[Continent]]))</f>
        <v>6</v>
      </c>
      <c r="J358" s="64">
        <f>LEN(TRIM(Table22[[#This Row],[Product]]))</f>
        <v>10</v>
      </c>
      <c r="K358" s="64">
        <f>LEN(TRIM(Table22[[#This Row],[Sales Team]]))</f>
        <v>9</v>
      </c>
      <c r="L358" s="23">
        <v>63</v>
      </c>
      <c r="M358" s="65" t="str" cm="1">
        <f t="array" ref="M358">_xlfn.IFS(Table22[[#This Row],[Units Sold]]&lt;40,"Critical",Table22[[#This Row],[Units Sold]]&lt;=50,"Poor",Table22[[#This Row],[Units Sold]]&lt;=60,"Low",Table22[[#This Row],[Units Sold]]&lt;=80,"Average",Table22[[#This Row],[Units Sold]]&lt;=90,"High",Table22[[#This Row],[Units Sold]]&lt;=95,"Excellent",Table22[[#This Row],[Units Sold]]&gt;95,"Outstanding")</f>
        <v>Average</v>
      </c>
      <c r="N358" s="29">
        <v>1141.82</v>
      </c>
      <c r="O358" s="29">
        <v>71934.66</v>
      </c>
      <c r="P358" s="43">
        <f>IF(Table22[[#This Row],[Discount Applied]],Table22[[#This Row],[Total Sales (in USD)]]*(1-Table22[[#This Row],[Discount Percentage (%)]]/100),Table22[[#This Row],[Total Sales (in USD)]])</f>
        <v>71934.66</v>
      </c>
      <c r="Q358" s="66">
        <f>SQRT(AVERAGE((Table22[[#This Row],[Net Sales (after discount) (in USD)]]-AVERAGE(Table22[Net Sales (after discount) (in USD)]))^2))</f>
        <v>35423.299436235466</v>
      </c>
      <c r="R358" s="18" t="b">
        <v>1</v>
      </c>
      <c r="S358" s="40">
        <v>6.99</v>
      </c>
      <c r="T358" s="18" t="b">
        <v>0</v>
      </c>
      <c r="U358" s="25">
        <v>44986</v>
      </c>
      <c r="V358" s="63" t="str">
        <f>IF(MONTH(Table22[[#This Row],[Sales Date]])&lt;=3,"Q1",IF(MONTH(Table22[[#This Row],[Sales Date]])&lt;=6,"Q2",IF(MONTH(Table22[[#This Row],[Sales Date]])&lt;=9,"Q3","Q4")))</f>
        <v>Q1</v>
      </c>
      <c r="W358" s="64">
        <f>YEAR(Table22[[#This Row],[Sales Date]])</f>
        <v>2023</v>
      </c>
      <c r="X358" s="23">
        <v>27</v>
      </c>
      <c r="Y358" s="18" t="s">
        <v>49</v>
      </c>
      <c r="Z358" s="18" t="s">
        <v>42</v>
      </c>
      <c r="AA358" s="19" t="s">
        <v>36</v>
      </c>
    </row>
    <row r="359" spans="1:27" x14ac:dyDescent="0.25">
      <c r="A359" s="17" t="s">
        <v>316</v>
      </c>
      <c r="B359" s="18" t="s">
        <v>76</v>
      </c>
      <c r="C359" s="63" t="str" cm="1">
        <f t="array" ref="C359">_xlfn.SWITCH(Table22[[#This Row],[Country]],"USA","North America","Canada","North America","Brazil","South America","China","Asia","Japan","Asia","India","Asia","France","Europe","Germany","Europe","UK","Europe","Australia","Oceania","South America")</f>
        <v>Asia</v>
      </c>
      <c r="D359" s="18" t="s">
        <v>44</v>
      </c>
      <c r="E359" s="18" t="s">
        <v>19</v>
      </c>
      <c r="F359" s="18" t="s">
        <v>20</v>
      </c>
      <c r="G359" s="18" t="s">
        <v>40</v>
      </c>
      <c r="H359" s="64">
        <f>LEN(TRIM(Table22[[#This Row],[Country]]))</f>
        <v>5</v>
      </c>
      <c r="I359" s="64">
        <f>LEN(TRIM(Table22[[#This Row],[Continent]]))</f>
        <v>4</v>
      </c>
      <c r="J359" s="64">
        <f>LEN(TRIM(Table22[[#This Row],[Product]]))</f>
        <v>6</v>
      </c>
      <c r="K359" s="64">
        <f>LEN(TRIM(Table22[[#This Row],[Sales Team]]))</f>
        <v>10</v>
      </c>
      <c r="L359" s="23">
        <v>61</v>
      </c>
      <c r="M359" s="65" t="str" cm="1">
        <f t="array" ref="M359">_xlfn.IFS(Table22[[#This Row],[Units Sold]]&lt;40,"Critical",Table22[[#This Row],[Units Sold]]&lt;=50,"Poor",Table22[[#This Row],[Units Sold]]&lt;=60,"Low",Table22[[#This Row],[Units Sold]]&lt;=80,"Average",Table22[[#This Row],[Units Sold]]&lt;=90,"High",Table22[[#This Row],[Units Sold]]&lt;=95,"Excellent",Table22[[#This Row],[Units Sold]]&gt;95,"Outstanding")</f>
        <v>Average</v>
      </c>
      <c r="N359" s="29">
        <v>1177.6400000000001</v>
      </c>
      <c r="O359" s="29">
        <v>71836.039999999994</v>
      </c>
      <c r="P359" s="43">
        <f>IF(Table22[[#This Row],[Discount Applied]],Table22[[#This Row],[Total Sales (in USD)]]*(1-Table22[[#This Row],[Discount Percentage (%)]]/100),Table22[[#This Row],[Total Sales (in USD)]])</f>
        <v>71627.715483999986</v>
      </c>
      <c r="Q359" s="66">
        <f>SQRT(AVERAGE((Table22[[#This Row],[Net Sales (after discount) (in USD)]]-AVERAGE(Table22[Net Sales (after discount) (in USD)]))^2))</f>
        <v>35116.354920235448</v>
      </c>
      <c r="R359" s="18" t="b">
        <v>0</v>
      </c>
      <c r="S359" s="40">
        <v>0.28999999999999998</v>
      </c>
      <c r="T359" s="18" t="b">
        <v>1</v>
      </c>
      <c r="U359" s="25">
        <v>45216</v>
      </c>
      <c r="V359" s="63" t="str">
        <f>IF(MONTH(Table22[[#This Row],[Sales Date]])&lt;=3,"Q1",IF(MONTH(Table22[[#This Row],[Sales Date]])&lt;=6,"Q2",IF(MONTH(Table22[[#This Row],[Sales Date]])&lt;=9,"Q3","Q4")))</f>
        <v>Q4</v>
      </c>
      <c r="W359" s="64">
        <f>YEAR(Table22[[#This Row],[Sales Date]])</f>
        <v>2023</v>
      </c>
      <c r="X359" s="23">
        <v>41</v>
      </c>
      <c r="Y359" s="18" t="s">
        <v>23</v>
      </c>
      <c r="Z359" s="18" t="s">
        <v>24</v>
      </c>
      <c r="AA359" s="19" t="s">
        <v>25</v>
      </c>
    </row>
    <row r="360" spans="1:27" x14ac:dyDescent="0.25">
      <c r="A360" s="17" t="s">
        <v>368</v>
      </c>
      <c r="B360" s="18" t="s">
        <v>51</v>
      </c>
      <c r="C360" s="63" t="str" cm="1">
        <f t="array" ref="C360">_xlfn.SWITCH(Table22[[#This Row],[Country]],"USA","North America","Canada","North America","Brazil","South America","China","Asia","Japan","Asia","India","Asia","France","Europe","Germany","Europe","UK","Europe","Australia","Oceania","South America")</f>
        <v>Europe</v>
      </c>
      <c r="D360" s="18" t="s">
        <v>44</v>
      </c>
      <c r="E360" s="18" t="s">
        <v>39</v>
      </c>
      <c r="F360" s="18" t="s">
        <v>52</v>
      </c>
      <c r="G360" s="18" t="s">
        <v>48</v>
      </c>
      <c r="H360" s="64">
        <f>LEN(TRIM(Table22[[#This Row],[Country]]))</f>
        <v>2</v>
      </c>
      <c r="I360" s="64">
        <f>LEN(TRIM(Table22[[#This Row],[Continent]]))</f>
        <v>6</v>
      </c>
      <c r="J360" s="64">
        <f>LEN(TRIM(Table22[[#This Row],[Product]]))</f>
        <v>10</v>
      </c>
      <c r="K360" s="64">
        <f>LEN(TRIM(Table22[[#This Row],[Sales Team]]))</f>
        <v>9</v>
      </c>
      <c r="L360" s="23">
        <v>60</v>
      </c>
      <c r="M360" s="65" t="str" cm="1">
        <f t="array" ref="M360">_xlfn.IFS(Table22[[#This Row],[Units Sold]]&lt;40,"Critical",Table22[[#This Row],[Units Sold]]&lt;=50,"Poor",Table22[[#This Row],[Units Sold]]&lt;=60,"Low",Table22[[#This Row],[Units Sold]]&lt;=80,"Average",Table22[[#This Row],[Units Sold]]&lt;=90,"High",Table22[[#This Row],[Units Sold]]&lt;=95,"Excellent",Table22[[#This Row],[Units Sold]]&gt;95,"Outstanding")</f>
        <v>Low</v>
      </c>
      <c r="N360" s="29">
        <v>1196.3699999999999</v>
      </c>
      <c r="O360" s="29">
        <v>71782.2</v>
      </c>
      <c r="P360" s="43">
        <f>IF(Table22[[#This Row],[Discount Applied]],Table22[[#This Row],[Total Sales (in USD)]]*(1-Table22[[#This Row],[Discount Percentage (%)]]/100),Table22[[#This Row],[Total Sales (in USD)]])</f>
        <v>71782.2</v>
      </c>
      <c r="Q360" s="66">
        <f>SQRT(AVERAGE((Table22[[#This Row],[Net Sales (after discount) (in USD)]]-AVERAGE(Table22[Net Sales (after discount) (in USD)]))^2))</f>
        <v>35270.839436235459</v>
      </c>
      <c r="R360" s="18" t="b">
        <v>1</v>
      </c>
      <c r="S360" s="40">
        <v>9.51</v>
      </c>
      <c r="T360" s="18" t="b">
        <v>0</v>
      </c>
      <c r="U360" s="25">
        <v>44946</v>
      </c>
      <c r="V360" s="63" t="str">
        <f>IF(MONTH(Table22[[#This Row],[Sales Date]])&lt;=3,"Q1",IF(MONTH(Table22[[#This Row],[Sales Date]])&lt;=6,"Q2",IF(MONTH(Table22[[#This Row],[Sales Date]])&lt;=9,"Q3","Q4")))</f>
        <v>Q1</v>
      </c>
      <c r="W360" s="64">
        <f>YEAR(Table22[[#This Row],[Sales Date]])</f>
        <v>2023</v>
      </c>
      <c r="X360" s="23">
        <v>48</v>
      </c>
      <c r="Y360" s="18" t="s">
        <v>23</v>
      </c>
      <c r="Z360" s="18" t="s">
        <v>42</v>
      </c>
      <c r="AA360" s="19" t="s">
        <v>36</v>
      </c>
    </row>
    <row r="361" spans="1:27" x14ac:dyDescent="0.25">
      <c r="A361" s="17" t="s">
        <v>1345</v>
      </c>
      <c r="B361" s="18" t="s">
        <v>76</v>
      </c>
      <c r="C361" s="63" t="str" cm="1">
        <f t="array" ref="C361">_xlfn.SWITCH(Table22[[#This Row],[Country]],"USA","North America","Canada","North America","Brazil","South America","China","Asia","Japan","Asia","India","Asia","France","Europe","Germany","Europe","UK","Europe","Australia","Oceania","South America")</f>
        <v>Asia</v>
      </c>
      <c r="D361" s="18" t="s">
        <v>28</v>
      </c>
      <c r="E361" s="18" t="s">
        <v>39</v>
      </c>
      <c r="F361" s="18" t="s">
        <v>64</v>
      </c>
      <c r="G361" s="18" t="s">
        <v>22</v>
      </c>
      <c r="H361" s="64">
        <f>LEN(TRIM(Table22[[#This Row],[Country]]))</f>
        <v>5</v>
      </c>
      <c r="I361" s="64">
        <f>LEN(TRIM(Table22[[#This Row],[Continent]]))</f>
        <v>4</v>
      </c>
      <c r="J361" s="64">
        <f>LEN(TRIM(Table22[[#This Row],[Product]]))</f>
        <v>10</v>
      </c>
      <c r="K361" s="64">
        <f>LEN(TRIM(Table22[[#This Row],[Sales Team]]))</f>
        <v>10</v>
      </c>
      <c r="L361" s="23">
        <v>67</v>
      </c>
      <c r="M361" s="65" t="str" cm="1">
        <f t="array" ref="M361">_xlfn.IFS(Table22[[#This Row],[Units Sold]]&lt;40,"Critical",Table22[[#This Row],[Units Sold]]&lt;=50,"Poor",Table22[[#This Row],[Units Sold]]&lt;=60,"Low",Table22[[#This Row],[Units Sold]]&lt;=80,"Average",Table22[[#This Row],[Units Sold]]&lt;=90,"High",Table22[[#This Row],[Units Sold]]&lt;=95,"Excellent",Table22[[#This Row],[Units Sold]]&gt;95,"Outstanding")</f>
        <v>Average</v>
      </c>
      <c r="N361" s="29">
        <v>1071.31</v>
      </c>
      <c r="O361" s="29">
        <v>71777.77</v>
      </c>
      <c r="P361" s="43">
        <f>IF(Table22[[#This Row],[Discount Applied]],Table22[[#This Row],[Total Sales (in USD)]]*(1-Table22[[#This Row],[Discount Percentage (%)]]/100),Table22[[#This Row],[Total Sales (in USD)]])</f>
        <v>71777.77</v>
      </c>
      <c r="Q361" s="66">
        <f>SQRT(AVERAGE((Table22[[#This Row],[Net Sales (after discount) (in USD)]]-AVERAGE(Table22[Net Sales (after discount) (in USD)]))^2))</f>
        <v>35266.409436235466</v>
      </c>
      <c r="R361" s="18" t="b">
        <v>1</v>
      </c>
      <c r="S361" s="40">
        <v>23.68</v>
      </c>
      <c r="T361" s="18" t="b">
        <v>0</v>
      </c>
      <c r="U361" s="25">
        <v>45191</v>
      </c>
      <c r="V361" s="63" t="str">
        <f>IF(MONTH(Table22[[#This Row],[Sales Date]])&lt;=3,"Q1",IF(MONTH(Table22[[#This Row],[Sales Date]])&lt;=6,"Q2",IF(MONTH(Table22[[#This Row],[Sales Date]])&lt;=9,"Q3","Q4")))</f>
        <v>Q3</v>
      </c>
      <c r="W361" s="64">
        <f>YEAR(Table22[[#This Row],[Sales Date]])</f>
        <v>2023</v>
      </c>
      <c r="X361" s="23">
        <v>67</v>
      </c>
      <c r="Y361" s="18" t="s">
        <v>23</v>
      </c>
      <c r="Z361" s="18" t="s">
        <v>42</v>
      </c>
      <c r="AA361" s="19" t="s">
        <v>36</v>
      </c>
    </row>
    <row r="362" spans="1:27" x14ac:dyDescent="0.25">
      <c r="A362" s="17" t="s">
        <v>982</v>
      </c>
      <c r="B362" s="18" t="s">
        <v>32</v>
      </c>
      <c r="C362" s="63" t="str" cm="1">
        <f t="array" ref="C362">_xlfn.SWITCH(Table22[[#This Row],[Country]],"USA","North America","Canada","North America","Brazil","South America","China","Asia","Japan","Asia","India","Asia","France","Europe","Germany","Europe","UK","Europe","Australia","Oceania","South America")</f>
        <v>Asia</v>
      </c>
      <c r="D362" s="18" t="s">
        <v>35</v>
      </c>
      <c r="E362" s="18" t="s">
        <v>39</v>
      </c>
      <c r="F362" s="18" t="s">
        <v>34</v>
      </c>
      <c r="G362" s="18" t="s">
        <v>48</v>
      </c>
      <c r="H362" s="64">
        <f>LEN(TRIM(Table22[[#This Row],[Country]]))</f>
        <v>5</v>
      </c>
      <c r="I362" s="64">
        <f>LEN(TRIM(Table22[[#This Row],[Continent]]))</f>
        <v>4</v>
      </c>
      <c r="J362" s="64">
        <f>LEN(TRIM(Table22[[#This Row],[Product]]))</f>
        <v>10</v>
      </c>
      <c r="K362" s="64">
        <f>LEN(TRIM(Table22[[#This Row],[Sales Team]]))</f>
        <v>9</v>
      </c>
      <c r="L362" s="23">
        <v>96</v>
      </c>
      <c r="M362" s="65" t="str" cm="1">
        <f t="array" ref="M362">_xlfn.IFS(Table22[[#This Row],[Units Sold]]&lt;40,"Critical",Table22[[#This Row],[Units Sold]]&lt;=50,"Poor",Table22[[#This Row],[Units Sold]]&lt;=60,"Low",Table22[[#This Row],[Units Sold]]&lt;=80,"Average",Table22[[#This Row],[Units Sold]]&lt;=90,"High",Table22[[#This Row],[Units Sold]]&lt;=95,"Excellent",Table22[[#This Row],[Units Sold]]&gt;95,"Outstanding")</f>
        <v>Outstanding</v>
      </c>
      <c r="N362" s="29">
        <v>747.05</v>
      </c>
      <c r="O362" s="29">
        <v>71716.800000000003</v>
      </c>
      <c r="P362" s="43">
        <f>IF(Table22[[#This Row],[Discount Applied]],Table22[[#This Row],[Total Sales (in USD)]]*(1-Table22[[#This Row],[Discount Percentage (%)]]/100),Table22[[#This Row],[Total Sales (in USD)]])</f>
        <v>71716.800000000003</v>
      </c>
      <c r="Q362" s="66">
        <f>SQRT(AVERAGE((Table22[[#This Row],[Net Sales (after discount) (in USD)]]-AVERAGE(Table22[Net Sales (after discount) (in USD)]))^2))</f>
        <v>35205.439436235465</v>
      </c>
      <c r="R362" s="18" t="b">
        <v>1</v>
      </c>
      <c r="S362" s="40">
        <v>15.18</v>
      </c>
      <c r="T362" s="18" t="b">
        <v>0</v>
      </c>
      <c r="U362" s="25">
        <v>45578</v>
      </c>
      <c r="V362" s="63" t="str">
        <f>IF(MONTH(Table22[[#This Row],[Sales Date]])&lt;=3,"Q1",IF(MONTH(Table22[[#This Row],[Sales Date]])&lt;=6,"Q2",IF(MONTH(Table22[[#This Row],[Sales Date]])&lt;=9,"Q3","Q4")))</f>
        <v>Q4</v>
      </c>
      <c r="W362" s="64">
        <f>YEAR(Table22[[#This Row],[Sales Date]])</f>
        <v>2024</v>
      </c>
      <c r="X362" s="23">
        <v>37</v>
      </c>
      <c r="Y362" s="18" t="s">
        <v>41</v>
      </c>
      <c r="Z362" s="18" t="s">
        <v>24</v>
      </c>
      <c r="AA362" s="19" t="s">
        <v>25</v>
      </c>
    </row>
    <row r="363" spans="1:27" x14ac:dyDescent="0.25">
      <c r="A363" s="17" t="s">
        <v>1596</v>
      </c>
      <c r="B363" s="18" t="s">
        <v>27</v>
      </c>
      <c r="C363" s="63" t="str" cm="1">
        <f t="array" ref="C363">_xlfn.SWITCH(Table22[[#This Row],[Country]],"USA","North America","Canada","North America","Brazil","South America","China","Asia","Japan","Asia","India","Asia","France","Europe","Germany","Europe","UK","Europe","Australia","Oceania","South America")</f>
        <v>Europe</v>
      </c>
      <c r="D363" s="18" t="s">
        <v>28</v>
      </c>
      <c r="E363" s="18" t="s">
        <v>19</v>
      </c>
      <c r="F363" s="18" t="s">
        <v>47</v>
      </c>
      <c r="G363" s="18" t="s">
        <v>40</v>
      </c>
      <c r="H363" s="64">
        <f>LEN(TRIM(Table22[[#This Row],[Country]]))</f>
        <v>7</v>
      </c>
      <c r="I363" s="64">
        <f>LEN(TRIM(Table22[[#This Row],[Continent]]))</f>
        <v>6</v>
      </c>
      <c r="J363" s="64">
        <f>LEN(TRIM(Table22[[#This Row],[Product]]))</f>
        <v>6</v>
      </c>
      <c r="K363" s="64">
        <f>LEN(TRIM(Table22[[#This Row],[Sales Team]]))</f>
        <v>10</v>
      </c>
      <c r="L363" s="23">
        <v>85</v>
      </c>
      <c r="M363" s="65" t="str" cm="1">
        <f t="array" ref="M363">_xlfn.IFS(Table22[[#This Row],[Units Sold]]&lt;40,"Critical",Table22[[#This Row],[Units Sold]]&lt;=50,"Poor",Table22[[#This Row],[Units Sold]]&lt;=60,"Low",Table22[[#This Row],[Units Sold]]&lt;=80,"Average",Table22[[#This Row],[Units Sold]]&lt;=90,"High",Table22[[#This Row],[Units Sold]]&lt;=95,"Excellent",Table22[[#This Row],[Units Sold]]&gt;95,"Outstanding")</f>
        <v>High</v>
      </c>
      <c r="N363" s="29">
        <v>842.69</v>
      </c>
      <c r="O363" s="29">
        <v>71628.649999999994</v>
      </c>
      <c r="P363" s="43">
        <f>IF(Table22[[#This Row],[Discount Applied]],Table22[[#This Row],[Total Sales (in USD)]]*(1-Table22[[#This Row],[Discount Percentage (%)]]/100),Table22[[#This Row],[Total Sales (in USD)]])</f>
        <v>71628.649999999994</v>
      </c>
      <c r="Q363" s="66">
        <f>SQRT(AVERAGE((Table22[[#This Row],[Net Sales (after discount) (in USD)]]-AVERAGE(Table22[Net Sales (after discount) (in USD)]))^2))</f>
        <v>35117.289436235456</v>
      </c>
      <c r="R363" s="18" t="b">
        <v>1</v>
      </c>
      <c r="S363" s="40">
        <v>10.62</v>
      </c>
      <c r="T363" s="18" t="b">
        <v>0</v>
      </c>
      <c r="U363" s="25">
        <v>45178</v>
      </c>
      <c r="V363" s="63" t="str">
        <f>IF(MONTH(Table22[[#This Row],[Sales Date]])&lt;=3,"Q1",IF(MONTH(Table22[[#This Row],[Sales Date]])&lt;=6,"Q2",IF(MONTH(Table22[[#This Row],[Sales Date]])&lt;=9,"Q3","Q4")))</f>
        <v>Q3</v>
      </c>
      <c r="W363" s="64">
        <f>YEAR(Table22[[#This Row],[Sales Date]])</f>
        <v>2023</v>
      </c>
      <c r="X363" s="23">
        <v>40</v>
      </c>
      <c r="Y363" s="18" t="s">
        <v>49</v>
      </c>
      <c r="Z363" s="18" t="s">
        <v>42</v>
      </c>
      <c r="AA363" s="19" t="s">
        <v>25</v>
      </c>
    </row>
    <row r="364" spans="1:27" x14ac:dyDescent="0.25">
      <c r="A364" s="17" t="s">
        <v>1633</v>
      </c>
      <c r="B364" s="18" t="s">
        <v>62</v>
      </c>
      <c r="C364" s="63" t="str" cm="1">
        <f t="array" ref="C364">_xlfn.SWITCH(Table22[[#This Row],[Country]],"USA","North America","Canada","North America","Brazil","South America","China","Asia","Japan","Asia","India","Asia","France","Europe","Germany","Europe","UK","Europe","Australia","Oceania","South America")</f>
        <v>Oceania</v>
      </c>
      <c r="D364" s="18" t="s">
        <v>28</v>
      </c>
      <c r="E364" s="18" t="s">
        <v>39</v>
      </c>
      <c r="F364" s="18" t="s">
        <v>52</v>
      </c>
      <c r="G364" s="18" t="s">
        <v>40</v>
      </c>
      <c r="H364" s="64">
        <f>LEN(TRIM(Table22[[#This Row],[Country]]))</f>
        <v>9</v>
      </c>
      <c r="I364" s="64">
        <f>LEN(TRIM(Table22[[#This Row],[Continent]]))</f>
        <v>7</v>
      </c>
      <c r="J364" s="64">
        <f>LEN(TRIM(Table22[[#This Row],[Product]]))</f>
        <v>10</v>
      </c>
      <c r="K364" s="64">
        <f>LEN(TRIM(Table22[[#This Row],[Sales Team]]))</f>
        <v>10</v>
      </c>
      <c r="L364" s="23">
        <v>88</v>
      </c>
      <c r="M364" s="65" t="str" cm="1">
        <f t="array" ref="M364">_xlfn.IFS(Table22[[#This Row],[Units Sold]]&lt;40,"Critical",Table22[[#This Row],[Units Sold]]&lt;=50,"Poor",Table22[[#This Row],[Units Sold]]&lt;=60,"Low",Table22[[#This Row],[Units Sold]]&lt;=80,"Average",Table22[[#This Row],[Units Sold]]&lt;=90,"High",Table22[[#This Row],[Units Sold]]&lt;=95,"Excellent",Table22[[#This Row],[Units Sold]]&gt;95,"Outstanding")</f>
        <v>High</v>
      </c>
      <c r="N364" s="29">
        <v>813.45</v>
      </c>
      <c r="O364" s="29">
        <v>71583.600000000006</v>
      </c>
      <c r="P364" s="43">
        <f>IF(Table22[[#This Row],[Discount Applied]],Table22[[#This Row],[Total Sales (in USD)]]*(1-Table22[[#This Row],[Discount Percentage (%)]]/100),Table22[[#This Row],[Total Sales (in USD)]])</f>
        <v>71583.600000000006</v>
      </c>
      <c r="Q364" s="66">
        <f>SQRT(AVERAGE((Table22[[#This Row],[Net Sales (after discount) (in USD)]]-AVERAGE(Table22[Net Sales (after discount) (in USD)]))^2))</f>
        <v>35072.239436235468</v>
      </c>
      <c r="R364" s="18" t="b">
        <v>1</v>
      </c>
      <c r="S364" s="40">
        <v>7.23</v>
      </c>
      <c r="T364" s="18" t="b">
        <v>0</v>
      </c>
      <c r="U364" s="25">
        <v>45278</v>
      </c>
      <c r="V364" s="63" t="str">
        <f>IF(MONTH(Table22[[#This Row],[Sales Date]])&lt;=3,"Q1",IF(MONTH(Table22[[#This Row],[Sales Date]])&lt;=6,"Q2",IF(MONTH(Table22[[#This Row],[Sales Date]])&lt;=9,"Q3","Q4")))</f>
        <v>Q4</v>
      </c>
      <c r="W364" s="64">
        <f>YEAR(Table22[[#This Row],[Sales Date]])</f>
        <v>2023</v>
      </c>
      <c r="X364" s="23">
        <v>22</v>
      </c>
      <c r="Y364" s="18" t="s">
        <v>41</v>
      </c>
      <c r="Z364" s="18" t="s">
        <v>56</v>
      </c>
      <c r="AA364" s="19" t="s">
        <v>25</v>
      </c>
    </row>
    <row r="365" spans="1:27" x14ac:dyDescent="0.25">
      <c r="A365" s="17" t="s">
        <v>856</v>
      </c>
      <c r="B365" s="18" t="s">
        <v>76</v>
      </c>
      <c r="C365" s="63" t="str" cm="1">
        <f t="array" ref="C365">_xlfn.SWITCH(Table22[[#This Row],[Country]],"USA","North America","Canada","North America","Brazil","South America","China","Asia","Japan","Asia","India","Asia","France","Europe","Germany","Europe","UK","Europe","Australia","Oceania","South America")</f>
        <v>Asia</v>
      </c>
      <c r="D365" s="18" t="s">
        <v>28</v>
      </c>
      <c r="E365" s="18" t="s">
        <v>19</v>
      </c>
      <c r="F365" s="18" t="s">
        <v>20</v>
      </c>
      <c r="G365" s="18" t="s">
        <v>29</v>
      </c>
      <c r="H365" s="64">
        <f>LEN(TRIM(Table22[[#This Row],[Country]]))</f>
        <v>5</v>
      </c>
      <c r="I365" s="64">
        <f>LEN(TRIM(Table22[[#This Row],[Continent]]))</f>
        <v>4</v>
      </c>
      <c r="J365" s="64">
        <f>LEN(TRIM(Table22[[#This Row],[Product]]))</f>
        <v>6</v>
      </c>
      <c r="K365" s="64">
        <f>LEN(TRIM(Table22[[#This Row],[Sales Team]]))</f>
        <v>10</v>
      </c>
      <c r="L365" s="23">
        <v>80</v>
      </c>
      <c r="M365" s="65" t="str" cm="1">
        <f t="array" ref="M365">_xlfn.IFS(Table22[[#This Row],[Units Sold]]&lt;40,"Critical",Table22[[#This Row],[Units Sold]]&lt;=50,"Poor",Table22[[#This Row],[Units Sold]]&lt;=60,"Low",Table22[[#This Row],[Units Sold]]&lt;=80,"Average",Table22[[#This Row],[Units Sold]]&lt;=90,"High",Table22[[#This Row],[Units Sold]]&lt;=95,"Excellent",Table22[[#This Row],[Units Sold]]&gt;95,"Outstanding")</f>
        <v>Average</v>
      </c>
      <c r="N365" s="29">
        <v>894.42</v>
      </c>
      <c r="O365" s="29">
        <v>71553.600000000006</v>
      </c>
      <c r="P365" s="43">
        <f>IF(Table22[[#This Row],[Discount Applied]],Table22[[#This Row],[Total Sales (in USD)]]*(1-Table22[[#This Row],[Discount Percentage (%)]]/100),Table22[[#This Row],[Total Sales (in USD)]])</f>
        <v>71553.600000000006</v>
      </c>
      <c r="Q365" s="66">
        <f>SQRT(AVERAGE((Table22[[#This Row],[Net Sales (after discount) (in USD)]]-AVERAGE(Table22[Net Sales (after discount) (in USD)]))^2))</f>
        <v>35042.239436235468</v>
      </c>
      <c r="R365" s="18" t="b">
        <v>0</v>
      </c>
      <c r="S365" s="40">
        <v>5.39</v>
      </c>
      <c r="T365" s="18" t="b">
        <v>0</v>
      </c>
      <c r="U365" s="25">
        <v>45399</v>
      </c>
      <c r="V365" s="63" t="str">
        <f>IF(MONTH(Table22[[#This Row],[Sales Date]])&lt;=3,"Q1",IF(MONTH(Table22[[#This Row],[Sales Date]])&lt;=6,"Q2",IF(MONTH(Table22[[#This Row],[Sales Date]])&lt;=9,"Q3","Q4")))</f>
        <v>Q2</v>
      </c>
      <c r="W365" s="64">
        <f>YEAR(Table22[[#This Row],[Sales Date]])</f>
        <v>2024</v>
      </c>
      <c r="X365" s="23">
        <v>46</v>
      </c>
      <c r="Y365" s="18" t="s">
        <v>41</v>
      </c>
      <c r="Z365" s="18" t="s">
        <v>42</v>
      </c>
      <c r="AA365" s="19" t="s">
        <v>25</v>
      </c>
    </row>
    <row r="366" spans="1:27" x14ac:dyDescent="0.25">
      <c r="A366" s="17" t="s">
        <v>600</v>
      </c>
      <c r="B366" s="18" t="s">
        <v>38</v>
      </c>
      <c r="C366" s="63" t="str" cm="1">
        <f t="array" ref="C366">_xlfn.SWITCH(Table22[[#This Row],[Country]],"USA","North America","Canada","North America","Brazil","South America","China","Asia","Japan","Asia","India","Asia","France","Europe","Germany","Europe","UK","Europe","Australia","Oceania","South America")</f>
        <v>Europe</v>
      </c>
      <c r="D366" s="18" t="s">
        <v>44</v>
      </c>
      <c r="E366" s="18" t="s">
        <v>19</v>
      </c>
      <c r="F366" s="18" t="s">
        <v>64</v>
      </c>
      <c r="G366" s="18" t="s">
        <v>29</v>
      </c>
      <c r="H366" s="64">
        <f>LEN(TRIM(Table22[[#This Row],[Country]]))</f>
        <v>6</v>
      </c>
      <c r="I366" s="64">
        <f>LEN(TRIM(Table22[[#This Row],[Continent]]))</f>
        <v>6</v>
      </c>
      <c r="J366" s="64">
        <f>LEN(TRIM(Table22[[#This Row],[Product]]))</f>
        <v>6</v>
      </c>
      <c r="K366" s="64">
        <f>LEN(TRIM(Table22[[#This Row],[Sales Team]]))</f>
        <v>10</v>
      </c>
      <c r="L366" s="23">
        <v>72</v>
      </c>
      <c r="M366" s="65" t="str" cm="1">
        <f t="array" ref="M366">_xlfn.IFS(Table22[[#This Row],[Units Sold]]&lt;40,"Critical",Table22[[#This Row],[Units Sold]]&lt;=50,"Poor",Table22[[#This Row],[Units Sold]]&lt;=60,"Low",Table22[[#This Row],[Units Sold]]&lt;=80,"Average",Table22[[#This Row],[Units Sold]]&lt;=90,"High",Table22[[#This Row],[Units Sold]]&lt;=95,"Excellent",Table22[[#This Row],[Units Sold]]&gt;95,"Outstanding")</f>
        <v>Average</v>
      </c>
      <c r="N366" s="29">
        <v>993.66</v>
      </c>
      <c r="O366" s="29">
        <v>71543.520000000004</v>
      </c>
      <c r="P366" s="43">
        <f>IF(Table22[[#This Row],[Discount Applied]],Table22[[#This Row],[Total Sales (in USD)]]*(1-Table22[[#This Row],[Discount Percentage (%)]]/100),Table22[[#This Row],[Total Sales (in USD)]])</f>
        <v>71543.520000000004</v>
      </c>
      <c r="Q366" s="66">
        <f>SQRT(AVERAGE((Table22[[#This Row],[Net Sales (after discount) (in USD)]]-AVERAGE(Table22[Net Sales (after discount) (in USD)]))^2))</f>
        <v>35032.159436235466</v>
      </c>
      <c r="R366" s="18" t="b">
        <v>1</v>
      </c>
      <c r="S366" s="40">
        <v>0.22</v>
      </c>
      <c r="T366" s="18" t="b">
        <v>0</v>
      </c>
      <c r="U366" s="25">
        <v>45523</v>
      </c>
      <c r="V366" s="63" t="str">
        <f>IF(MONTH(Table22[[#This Row],[Sales Date]])&lt;=3,"Q1",IF(MONTH(Table22[[#This Row],[Sales Date]])&lt;=6,"Q2",IF(MONTH(Table22[[#This Row],[Sales Date]])&lt;=9,"Q3","Q4")))</f>
        <v>Q3</v>
      </c>
      <c r="W366" s="64">
        <f>YEAR(Table22[[#This Row],[Sales Date]])</f>
        <v>2024</v>
      </c>
      <c r="X366" s="23">
        <v>28</v>
      </c>
      <c r="Y366" s="18" t="s">
        <v>41</v>
      </c>
      <c r="Z366" s="18" t="s">
        <v>24</v>
      </c>
      <c r="AA366" s="19" t="s">
        <v>25</v>
      </c>
    </row>
    <row r="367" spans="1:27" x14ac:dyDescent="0.25">
      <c r="A367" s="17" t="s">
        <v>346</v>
      </c>
      <c r="B367" s="18" t="s">
        <v>72</v>
      </c>
      <c r="C367" s="63" t="str" cm="1">
        <f t="array" ref="C367">_xlfn.SWITCH(Table22[[#This Row],[Country]],"USA","North America","Canada","North America","Brazil","South America","China","Asia","Japan","Asia","India","Asia","France","Europe","Germany","Europe","UK","Europe","Australia","Oceania","South America")</f>
        <v>North America</v>
      </c>
      <c r="D367" s="18" t="s">
        <v>44</v>
      </c>
      <c r="E367" s="18" t="s">
        <v>33</v>
      </c>
      <c r="F367" s="18" t="s">
        <v>47</v>
      </c>
      <c r="G367" s="18" t="s">
        <v>40</v>
      </c>
      <c r="H367" s="64">
        <f>LEN(TRIM(Table22[[#This Row],[Country]]))</f>
        <v>3</v>
      </c>
      <c r="I367" s="64">
        <f>LEN(TRIM(Table22[[#This Row],[Continent]]))</f>
        <v>13</v>
      </c>
      <c r="J367" s="64">
        <f>LEN(TRIM(Table22[[#This Row],[Product]]))</f>
        <v>10</v>
      </c>
      <c r="K367" s="64">
        <f>LEN(TRIM(Table22[[#This Row],[Sales Team]]))</f>
        <v>10</v>
      </c>
      <c r="L367" s="23">
        <v>60</v>
      </c>
      <c r="M367" s="65" t="str" cm="1">
        <f t="array" ref="M367">_xlfn.IFS(Table22[[#This Row],[Units Sold]]&lt;40,"Critical",Table22[[#This Row],[Units Sold]]&lt;=50,"Poor",Table22[[#This Row],[Units Sold]]&lt;=60,"Low",Table22[[#This Row],[Units Sold]]&lt;=80,"Average",Table22[[#This Row],[Units Sold]]&lt;=90,"High",Table22[[#This Row],[Units Sold]]&lt;=95,"Excellent",Table22[[#This Row],[Units Sold]]&gt;95,"Outstanding")</f>
        <v>Low</v>
      </c>
      <c r="N367" s="29">
        <v>1190.4000000000001</v>
      </c>
      <c r="O367" s="29">
        <v>71424</v>
      </c>
      <c r="P367" s="43">
        <f>IF(Table22[[#This Row],[Discount Applied]],Table22[[#This Row],[Total Sales (in USD)]]*(1-Table22[[#This Row],[Discount Percentage (%)]]/100),Table22[[#This Row],[Total Sales (in USD)]])</f>
        <v>71424</v>
      </c>
      <c r="Q367" s="66">
        <f>SQRT(AVERAGE((Table22[[#This Row],[Net Sales (after discount) (in USD)]]-AVERAGE(Table22[Net Sales (after discount) (in USD)]))^2))</f>
        <v>34912.639436235462</v>
      </c>
      <c r="R367" s="18" t="b">
        <v>0</v>
      </c>
      <c r="S367" s="40">
        <v>15.75</v>
      </c>
      <c r="T367" s="18" t="b">
        <v>0</v>
      </c>
      <c r="U367" s="25">
        <v>45394</v>
      </c>
      <c r="V367" s="63" t="str">
        <f>IF(MONTH(Table22[[#This Row],[Sales Date]])&lt;=3,"Q1",IF(MONTH(Table22[[#This Row],[Sales Date]])&lt;=6,"Q2",IF(MONTH(Table22[[#This Row],[Sales Date]])&lt;=9,"Q3","Q4")))</f>
        <v>Q2</v>
      </c>
      <c r="W367" s="64">
        <f>YEAR(Table22[[#This Row],[Sales Date]])</f>
        <v>2024</v>
      </c>
      <c r="X367" s="23">
        <v>67</v>
      </c>
      <c r="Y367" s="18" t="s">
        <v>49</v>
      </c>
      <c r="Z367" s="18" t="s">
        <v>56</v>
      </c>
      <c r="AA367" s="19" t="s">
        <v>25</v>
      </c>
    </row>
    <row r="368" spans="1:27" x14ac:dyDescent="0.25">
      <c r="A368" s="17" t="s">
        <v>978</v>
      </c>
      <c r="B368" s="18" t="s">
        <v>66</v>
      </c>
      <c r="C368" s="63" t="str" cm="1">
        <f t="array" ref="C368">_xlfn.SWITCH(Table22[[#This Row],[Country]],"USA","North America","Canada","North America","Brazil","South America","China","Asia","Japan","Asia","India","Asia","France","Europe","Germany","Europe","UK","Europe","Australia","Oceania","South America")</f>
        <v>North America</v>
      </c>
      <c r="D368" s="18" t="s">
        <v>35</v>
      </c>
      <c r="E368" s="18" t="s">
        <v>33</v>
      </c>
      <c r="F368" s="18" t="s">
        <v>34</v>
      </c>
      <c r="G368" s="18" t="s">
        <v>40</v>
      </c>
      <c r="H368" s="64">
        <f>LEN(TRIM(Table22[[#This Row],[Country]]))</f>
        <v>6</v>
      </c>
      <c r="I368" s="64">
        <f>LEN(TRIM(Table22[[#This Row],[Continent]]))</f>
        <v>13</v>
      </c>
      <c r="J368" s="64">
        <f>LEN(TRIM(Table22[[#This Row],[Product]]))</f>
        <v>10</v>
      </c>
      <c r="K368" s="64">
        <f>LEN(TRIM(Table22[[#This Row],[Sales Team]]))</f>
        <v>10</v>
      </c>
      <c r="L368" s="23">
        <v>64</v>
      </c>
      <c r="M368" s="65" t="str" cm="1">
        <f t="array" ref="M368">_xlfn.IFS(Table22[[#This Row],[Units Sold]]&lt;40,"Critical",Table22[[#This Row],[Units Sold]]&lt;=50,"Poor",Table22[[#This Row],[Units Sold]]&lt;=60,"Low",Table22[[#This Row],[Units Sold]]&lt;=80,"Average",Table22[[#This Row],[Units Sold]]&lt;=90,"High",Table22[[#This Row],[Units Sold]]&lt;=95,"Excellent",Table22[[#This Row],[Units Sold]]&gt;95,"Outstanding")</f>
        <v>Average</v>
      </c>
      <c r="N368" s="29">
        <v>1114.4100000000001</v>
      </c>
      <c r="O368" s="29">
        <v>71322.240000000005</v>
      </c>
      <c r="P368" s="43">
        <f>IF(Table22[[#This Row],[Discount Applied]],Table22[[#This Row],[Total Sales (in USD)]]*(1-Table22[[#This Row],[Discount Percentage (%)]]/100),Table22[[#This Row],[Total Sales (in USD)]])</f>
        <v>54269.092416000007</v>
      </c>
      <c r="Q368" s="66">
        <f>SQRT(AVERAGE((Table22[[#This Row],[Net Sales (after discount) (in USD)]]-AVERAGE(Table22[Net Sales (after discount) (in USD)]))^2))</f>
        <v>17757.731852235469</v>
      </c>
      <c r="R368" s="18" t="b">
        <v>0</v>
      </c>
      <c r="S368" s="40">
        <v>23.91</v>
      </c>
      <c r="T368" s="18" t="b">
        <v>1</v>
      </c>
      <c r="U368" s="25">
        <v>45367</v>
      </c>
      <c r="V368" s="63" t="str">
        <f>IF(MONTH(Table22[[#This Row],[Sales Date]])&lt;=3,"Q1",IF(MONTH(Table22[[#This Row],[Sales Date]])&lt;=6,"Q2",IF(MONTH(Table22[[#This Row],[Sales Date]])&lt;=9,"Q3","Q4")))</f>
        <v>Q1</v>
      </c>
      <c r="W368" s="64">
        <f>YEAR(Table22[[#This Row],[Sales Date]])</f>
        <v>2024</v>
      </c>
      <c r="X368" s="23">
        <v>49</v>
      </c>
      <c r="Y368" s="18" t="s">
        <v>41</v>
      </c>
      <c r="Z368" s="18" t="s">
        <v>56</v>
      </c>
      <c r="AA368" s="19" t="s">
        <v>25</v>
      </c>
    </row>
    <row r="369" spans="1:27" x14ac:dyDescent="0.25">
      <c r="A369" s="17" t="s">
        <v>1570</v>
      </c>
      <c r="B369" s="18" t="s">
        <v>51</v>
      </c>
      <c r="C369" s="63" t="str" cm="1">
        <f t="array" ref="C369">_xlfn.SWITCH(Table22[[#This Row],[Country]],"USA","North America","Canada","North America","Brazil","South America","China","Asia","Japan","Asia","India","Asia","France","Europe","Germany","Europe","UK","Europe","Australia","Oceania","South America")</f>
        <v>Europe</v>
      </c>
      <c r="D369" s="18" t="s">
        <v>21</v>
      </c>
      <c r="E369" s="18" t="s">
        <v>39</v>
      </c>
      <c r="F369" s="18" t="s">
        <v>47</v>
      </c>
      <c r="G369" s="18" t="s">
        <v>29</v>
      </c>
      <c r="H369" s="64">
        <f>LEN(TRIM(Table22[[#This Row],[Country]]))</f>
        <v>2</v>
      </c>
      <c r="I369" s="64">
        <f>LEN(TRIM(Table22[[#This Row],[Continent]]))</f>
        <v>6</v>
      </c>
      <c r="J369" s="64">
        <f>LEN(TRIM(Table22[[#This Row],[Product]]))</f>
        <v>10</v>
      </c>
      <c r="K369" s="64">
        <f>LEN(TRIM(Table22[[#This Row],[Sales Team]]))</f>
        <v>10</v>
      </c>
      <c r="L369" s="23">
        <v>65</v>
      </c>
      <c r="M369" s="65" t="str" cm="1">
        <f t="array" ref="M369">_xlfn.IFS(Table22[[#This Row],[Units Sold]]&lt;40,"Critical",Table22[[#This Row],[Units Sold]]&lt;=50,"Poor",Table22[[#This Row],[Units Sold]]&lt;=60,"Low",Table22[[#This Row],[Units Sold]]&lt;=80,"Average",Table22[[#This Row],[Units Sold]]&lt;=90,"High",Table22[[#This Row],[Units Sold]]&lt;=95,"Excellent",Table22[[#This Row],[Units Sold]]&gt;95,"Outstanding")</f>
        <v>Average</v>
      </c>
      <c r="N369" s="29">
        <v>1097.04</v>
      </c>
      <c r="O369" s="29">
        <v>71307.600000000006</v>
      </c>
      <c r="P369" s="43">
        <f>IF(Table22[[#This Row],[Discount Applied]],Table22[[#This Row],[Total Sales (in USD)]]*(1-Table22[[#This Row],[Discount Percentage (%)]]/100),Table22[[#This Row],[Total Sales (in USD)]])</f>
        <v>71307.600000000006</v>
      </c>
      <c r="Q369" s="66">
        <f>SQRT(AVERAGE((Table22[[#This Row],[Net Sales (after discount) (in USD)]]-AVERAGE(Table22[Net Sales (after discount) (in USD)]))^2))</f>
        <v>34796.239436235468</v>
      </c>
      <c r="R369" s="18" t="b">
        <v>1</v>
      </c>
      <c r="S369" s="40">
        <v>4.68</v>
      </c>
      <c r="T369" s="18" t="b">
        <v>0</v>
      </c>
      <c r="U369" s="25">
        <v>45013</v>
      </c>
      <c r="V369" s="63" t="str">
        <f>IF(MONTH(Table22[[#This Row],[Sales Date]])&lt;=3,"Q1",IF(MONTH(Table22[[#This Row],[Sales Date]])&lt;=6,"Q2",IF(MONTH(Table22[[#This Row],[Sales Date]])&lt;=9,"Q3","Q4")))</f>
        <v>Q1</v>
      </c>
      <c r="W369" s="64">
        <f>YEAR(Table22[[#This Row],[Sales Date]])</f>
        <v>2023</v>
      </c>
      <c r="X369" s="23">
        <v>32</v>
      </c>
      <c r="Y369" s="18" t="s">
        <v>41</v>
      </c>
      <c r="Z369" s="18" t="s">
        <v>56</v>
      </c>
      <c r="AA369" s="19" t="s">
        <v>36</v>
      </c>
    </row>
    <row r="370" spans="1:27" x14ac:dyDescent="0.25">
      <c r="A370" s="17" t="s">
        <v>1334</v>
      </c>
      <c r="B370" s="18" t="s">
        <v>51</v>
      </c>
      <c r="C370" s="63" t="str" cm="1">
        <f t="array" ref="C370">_xlfn.SWITCH(Table22[[#This Row],[Country]],"USA","North America","Canada","North America","Brazil","South America","China","Asia","Japan","Asia","India","Asia","France","Europe","Germany","Europe","UK","Europe","Australia","Oceania","South America")</f>
        <v>Europe</v>
      </c>
      <c r="D370" s="18" t="s">
        <v>44</v>
      </c>
      <c r="E370" s="18" t="s">
        <v>39</v>
      </c>
      <c r="F370" s="18" t="s">
        <v>52</v>
      </c>
      <c r="G370" s="18" t="s">
        <v>40</v>
      </c>
      <c r="H370" s="64">
        <f>LEN(TRIM(Table22[[#This Row],[Country]]))</f>
        <v>2</v>
      </c>
      <c r="I370" s="64">
        <f>LEN(TRIM(Table22[[#This Row],[Continent]]))</f>
        <v>6</v>
      </c>
      <c r="J370" s="64">
        <f>LEN(TRIM(Table22[[#This Row],[Product]]))</f>
        <v>10</v>
      </c>
      <c r="K370" s="64">
        <f>LEN(TRIM(Table22[[#This Row],[Sales Team]]))</f>
        <v>10</v>
      </c>
      <c r="L370" s="23">
        <v>61</v>
      </c>
      <c r="M370" s="65" t="str" cm="1">
        <f t="array" ref="M370">_xlfn.IFS(Table22[[#This Row],[Units Sold]]&lt;40,"Critical",Table22[[#This Row],[Units Sold]]&lt;=50,"Poor",Table22[[#This Row],[Units Sold]]&lt;=60,"Low",Table22[[#This Row],[Units Sold]]&lt;=80,"Average",Table22[[#This Row],[Units Sold]]&lt;=90,"High",Table22[[#This Row],[Units Sold]]&lt;=95,"Excellent",Table22[[#This Row],[Units Sold]]&gt;95,"Outstanding")</f>
        <v>Average</v>
      </c>
      <c r="N370" s="29">
        <v>1168.78</v>
      </c>
      <c r="O370" s="29">
        <v>71295.58</v>
      </c>
      <c r="P370" s="43">
        <f>IF(Table22[[#This Row],[Discount Applied]],Table22[[#This Row],[Total Sales (in USD)]]*(1-Table22[[#This Row],[Discount Percentage (%)]]/100),Table22[[#This Row],[Total Sales (in USD)]])</f>
        <v>50940.691909999994</v>
      </c>
      <c r="Q370" s="66">
        <f>SQRT(AVERAGE((Table22[[#This Row],[Net Sales (after discount) (in USD)]]-AVERAGE(Table22[Net Sales (after discount) (in USD)]))^2))</f>
        <v>14429.331346235456</v>
      </c>
      <c r="R370" s="18" t="b">
        <v>1</v>
      </c>
      <c r="S370" s="40">
        <v>28.55</v>
      </c>
      <c r="T370" s="18" t="b">
        <v>1</v>
      </c>
      <c r="U370" s="25">
        <v>45227</v>
      </c>
      <c r="V370" s="63" t="str">
        <f>IF(MONTH(Table22[[#This Row],[Sales Date]])&lt;=3,"Q1",IF(MONTH(Table22[[#This Row],[Sales Date]])&lt;=6,"Q2",IF(MONTH(Table22[[#This Row],[Sales Date]])&lt;=9,"Q3","Q4")))</f>
        <v>Q4</v>
      </c>
      <c r="W370" s="64">
        <f>YEAR(Table22[[#This Row],[Sales Date]])</f>
        <v>2023</v>
      </c>
      <c r="X370" s="23">
        <v>25</v>
      </c>
      <c r="Y370" s="18" t="s">
        <v>23</v>
      </c>
      <c r="Z370" s="18" t="s">
        <v>24</v>
      </c>
      <c r="AA370" s="19" t="s">
        <v>25</v>
      </c>
    </row>
    <row r="371" spans="1:27" x14ac:dyDescent="0.25">
      <c r="A371" s="17" t="s">
        <v>1866</v>
      </c>
      <c r="B371" s="18" t="s">
        <v>32</v>
      </c>
      <c r="C371" s="63" t="str" cm="1">
        <f t="array" ref="C371">_xlfn.SWITCH(Table22[[#This Row],[Country]],"USA","North America","Canada","North America","Brazil","South America","China","Asia","Japan","Asia","India","Asia","France","Europe","Germany","Europe","UK","Europe","Australia","Oceania","South America")</f>
        <v>Asia</v>
      </c>
      <c r="D371" s="18" t="s">
        <v>44</v>
      </c>
      <c r="E371" s="18" t="s">
        <v>19</v>
      </c>
      <c r="F371" s="18" t="s">
        <v>20</v>
      </c>
      <c r="G371" s="18" t="s">
        <v>40</v>
      </c>
      <c r="H371" s="64">
        <f>LEN(TRIM(Table22[[#This Row],[Country]]))</f>
        <v>5</v>
      </c>
      <c r="I371" s="64">
        <f>LEN(TRIM(Table22[[#This Row],[Continent]]))</f>
        <v>4</v>
      </c>
      <c r="J371" s="64">
        <f>LEN(TRIM(Table22[[#This Row],[Product]]))</f>
        <v>6</v>
      </c>
      <c r="K371" s="64">
        <f>LEN(TRIM(Table22[[#This Row],[Sales Team]]))</f>
        <v>10</v>
      </c>
      <c r="L371" s="23">
        <v>68</v>
      </c>
      <c r="M371" s="65" t="str" cm="1">
        <f t="array" ref="M371">_xlfn.IFS(Table22[[#This Row],[Units Sold]]&lt;40,"Critical",Table22[[#This Row],[Units Sold]]&lt;=50,"Poor",Table22[[#This Row],[Units Sold]]&lt;=60,"Low",Table22[[#This Row],[Units Sold]]&lt;=80,"Average",Table22[[#This Row],[Units Sold]]&lt;=90,"High",Table22[[#This Row],[Units Sold]]&lt;=95,"Excellent",Table22[[#This Row],[Units Sold]]&gt;95,"Outstanding")</f>
        <v>Average</v>
      </c>
      <c r="N371" s="29">
        <v>1048.1400000000001</v>
      </c>
      <c r="O371" s="29">
        <v>71273.52</v>
      </c>
      <c r="P371" s="43">
        <f>IF(Table22[[#This Row],[Discount Applied]],Table22[[#This Row],[Total Sales (in USD)]]*(1-Table22[[#This Row],[Discount Percentage (%)]]/100),Table22[[#This Row],[Total Sales (in USD)]])</f>
        <v>65963.642760000002</v>
      </c>
      <c r="Q371" s="66">
        <f>SQRT(AVERAGE((Table22[[#This Row],[Net Sales (after discount) (in USD)]]-AVERAGE(Table22[Net Sales (after discount) (in USD)]))^2))</f>
        <v>29452.282196235465</v>
      </c>
      <c r="R371" s="18" t="b">
        <v>1</v>
      </c>
      <c r="S371" s="40">
        <v>7.45</v>
      </c>
      <c r="T371" s="18" t="b">
        <v>1</v>
      </c>
      <c r="U371" s="25">
        <v>45529</v>
      </c>
      <c r="V371" s="63" t="str">
        <f>IF(MONTH(Table22[[#This Row],[Sales Date]])&lt;=3,"Q1",IF(MONTH(Table22[[#This Row],[Sales Date]])&lt;=6,"Q2",IF(MONTH(Table22[[#This Row],[Sales Date]])&lt;=9,"Q3","Q4")))</f>
        <v>Q3</v>
      </c>
      <c r="W371" s="64">
        <f>YEAR(Table22[[#This Row],[Sales Date]])</f>
        <v>2024</v>
      </c>
      <c r="X371" s="23">
        <v>20</v>
      </c>
      <c r="Y371" s="18" t="s">
        <v>41</v>
      </c>
      <c r="Z371" s="18" t="s">
        <v>30</v>
      </c>
      <c r="AA371" s="19" t="s">
        <v>25</v>
      </c>
    </row>
    <row r="372" spans="1:27" x14ac:dyDescent="0.25">
      <c r="A372" s="17" t="s">
        <v>1427</v>
      </c>
      <c r="B372" s="18" t="s">
        <v>46</v>
      </c>
      <c r="C372" s="63" t="str" cm="1">
        <f t="array" ref="C372">_xlfn.SWITCH(Table22[[#This Row],[Country]],"USA","North America","Canada","North America","Brazil","South America","China","Asia","Japan","Asia","India","Asia","France","Europe","Germany","Europe","UK","Europe","Australia","Oceania","South America")</f>
        <v>South America</v>
      </c>
      <c r="D372" s="18" t="s">
        <v>35</v>
      </c>
      <c r="E372" s="18" t="s">
        <v>39</v>
      </c>
      <c r="F372" s="18" t="s">
        <v>34</v>
      </c>
      <c r="G372" s="18" t="s">
        <v>40</v>
      </c>
      <c r="H372" s="64">
        <f>LEN(TRIM(Table22[[#This Row],[Country]]))</f>
        <v>6</v>
      </c>
      <c r="I372" s="64">
        <f>LEN(TRIM(Table22[[#This Row],[Continent]]))</f>
        <v>13</v>
      </c>
      <c r="J372" s="64">
        <f>LEN(TRIM(Table22[[#This Row],[Product]]))</f>
        <v>10</v>
      </c>
      <c r="K372" s="64">
        <f>LEN(TRIM(Table22[[#This Row],[Sales Team]]))</f>
        <v>10</v>
      </c>
      <c r="L372" s="23">
        <v>56</v>
      </c>
      <c r="M372" s="65" t="str" cm="1">
        <f t="array" ref="M372">_xlfn.IFS(Table22[[#This Row],[Units Sold]]&lt;40,"Critical",Table22[[#This Row],[Units Sold]]&lt;=50,"Poor",Table22[[#This Row],[Units Sold]]&lt;=60,"Low",Table22[[#This Row],[Units Sold]]&lt;=80,"Average",Table22[[#This Row],[Units Sold]]&lt;=90,"High",Table22[[#This Row],[Units Sold]]&lt;=95,"Excellent",Table22[[#This Row],[Units Sold]]&gt;95,"Outstanding")</f>
        <v>Low</v>
      </c>
      <c r="N372" s="29">
        <v>1272.6099999999999</v>
      </c>
      <c r="O372" s="29">
        <v>71266.16</v>
      </c>
      <c r="P372" s="43">
        <f>IF(Table22[[#This Row],[Discount Applied]],Table22[[#This Row],[Total Sales (in USD)]]*(1-Table22[[#This Row],[Discount Percentage (%)]]/100),Table22[[#This Row],[Total Sales (in USD)]])</f>
        <v>53178.808592000001</v>
      </c>
      <c r="Q372" s="66">
        <f>SQRT(AVERAGE((Table22[[#This Row],[Net Sales (after discount) (in USD)]]-AVERAGE(Table22[Net Sales (after discount) (in USD)]))^2))</f>
        <v>16667.448028235463</v>
      </c>
      <c r="R372" s="18" t="b">
        <v>1</v>
      </c>
      <c r="S372" s="40">
        <v>25.38</v>
      </c>
      <c r="T372" s="18" t="b">
        <v>1</v>
      </c>
      <c r="U372" s="25">
        <v>45005</v>
      </c>
      <c r="V372" s="63" t="str">
        <f>IF(MONTH(Table22[[#This Row],[Sales Date]])&lt;=3,"Q1",IF(MONTH(Table22[[#This Row],[Sales Date]])&lt;=6,"Q2",IF(MONTH(Table22[[#This Row],[Sales Date]])&lt;=9,"Q3","Q4")))</f>
        <v>Q1</v>
      </c>
      <c r="W372" s="64">
        <f>YEAR(Table22[[#This Row],[Sales Date]])</f>
        <v>2023</v>
      </c>
      <c r="X372" s="23">
        <v>26</v>
      </c>
      <c r="Y372" s="18" t="s">
        <v>23</v>
      </c>
      <c r="Z372" s="18" t="s">
        <v>30</v>
      </c>
      <c r="AA372" s="19" t="s">
        <v>36</v>
      </c>
    </row>
    <row r="373" spans="1:27" x14ac:dyDescent="0.25">
      <c r="A373" s="17" t="s">
        <v>311</v>
      </c>
      <c r="B373" s="18" t="s">
        <v>66</v>
      </c>
      <c r="C373" s="63" t="str" cm="1">
        <f t="array" ref="C373">_xlfn.SWITCH(Table22[[#This Row],[Country]],"USA","North America","Canada","North America","Brazil","South America","China","Asia","Japan","Asia","India","Asia","France","Europe","Germany","Europe","UK","Europe","Australia","Oceania","South America")</f>
        <v>North America</v>
      </c>
      <c r="D373" s="18" t="s">
        <v>44</v>
      </c>
      <c r="E373" s="18" t="s">
        <v>39</v>
      </c>
      <c r="F373" s="18" t="s">
        <v>20</v>
      </c>
      <c r="G373" s="18" t="s">
        <v>48</v>
      </c>
      <c r="H373" s="64">
        <f>LEN(TRIM(Table22[[#This Row],[Country]]))</f>
        <v>6</v>
      </c>
      <c r="I373" s="64">
        <f>LEN(TRIM(Table22[[#This Row],[Continent]]))</f>
        <v>13</v>
      </c>
      <c r="J373" s="64">
        <f>LEN(TRIM(Table22[[#This Row],[Product]]))</f>
        <v>10</v>
      </c>
      <c r="K373" s="64">
        <f>LEN(TRIM(Table22[[#This Row],[Sales Team]]))</f>
        <v>9</v>
      </c>
      <c r="L373" s="23">
        <v>64</v>
      </c>
      <c r="M373" s="65" t="str" cm="1">
        <f t="array" ref="M373">_xlfn.IFS(Table22[[#This Row],[Units Sold]]&lt;40,"Critical",Table22[[#This Row],[Units Sold]]&lt;=50,"Poor",Table22[[#This Row],[Units Sold]]&lt;=60,"Low",Table22[[#This Row],[Units Sold]]&lt;=80,"Average",Table22[[#This Row],[Units Sold]]&lt;=90,"High",Table22[[#This Row],[Units Sold]]&lt;=95,"Excellent",Table22[[#This Row],[Units Sold]]&gt;95,"Outstanding")</f>
        <v>Average</v>
      </c>
      <c r="N373" s="29">
        <v>1109.0999999999999</v>
      </c>
      <c r="O373" s="29">
        <v>70982.399999999994</v>
      </c>
      <c r="P373" s="43">
        <f>IF(Table22[[#This Row],[Discount Applied]],Table22[[#This Row],[Total Sales (in USD)]]*(1-Table22[[#This Row],[Discount Percentage (%)]]/100),Table22[[#This Row],[Total Sales (in USD)]])</f>
        <v>70982.399999999994</v>
      </c>
      <c r="Q373" s="66">
        <f>SQRT(AVERAGE((Table22[[#This Row],[Net Sales (after discount) (in USD)]]-AVERAGE(Table22[Net Sales (after discount) (in USD)]))^2))</f>
        <v>34471.039436235456</v>
      </c>
      <c r="R373" s="18" t="b">
        <v>0</v>
      </c>
      <c r="S373" s="40">
        <v>26.75</v>
      </c>
      <c r="T373" s="18" t="b">
        <v>0</v>
      </c>
      <c r="U373" s="25">
        <v>45336</v>
      </c>
      <c r="V373" s="63" t="str">
        <f>IF(MONTH(Table22[[#This Row],[Sales Date]])&lt;=3,"Q1",IF(MONTH(Table22[[#This Row],[Sales Date]])&lt;=6,"Q2",IF(MONTH(Table22[[#This Row],[Sales Date]])&lt;=9,"Q3","Q4")))</f>
        <v>Q1</v>
      </c>
      <c r="W373" s="64">
        <f>YEAR(Table22[[#This Row],[Sales Date]])</f>
        <v>2024</v>
      </c>
      <c r="X373" s="23">
        <v>21</v>
      </c>
      <c r="Y373" s="18" t="s">
        <v>49</v>
      </c>
      <c r="Z373" s="18" t="s">
        <v>30</v>
      </c>
      <c r="AA373" s="19" t="s">
        <v>36</v>
      </c>
    </row>
    <row r="374" spans="1:27" x14ac:dyDescent="0.25">
      <c r="A374" s="17" t="s">
        <v>466</v>
      </c>
      <c r="B374" s="18" t="s">
        <v>27</v>
      </c>
      <c r="C374" s="63" t="str" cm="1">
        <f t="array" ref="C374">_xlfn.SWITCH(Table22[[#This Row],[Country]],"USA","North America","Canada","North America","Brazil","South America","China","Asia","Japan","Asia","India","Asia","France","Europe","Germany","Europe","UK","Europe","Australia","Oceania","South America")</f>
        <v>Europe</v>
      </c>
      <c r="D374" s="18" t="s">
        <v>28</v>
      </c>
      <c r="E374" s="18" t="s">
        <v>39</v>
      </c>
      <c r="F374" s="18" t="s">
        <v>20</v>
      </c>
      <c r="G374" s="18" t="s">
        <v>29</v>
      </c>
      <c r="H374" s="64">
        <f>LEN(TRIM(Table22[[#This Row],[Country]]))</f>
        <v>7</v>
      </c>
      <c r="I374" s="64">
        <f>LEN(TRIM(Table22[[#This Row],[Continent]]))</f>
        <v>6</v>
      </c>
      <c r="J374" s="64">
        <f>LEN(TRIM(Table22[[#This Row],[Product]]))</f>
        <v>10</v>
      </c>
      <c r="K374" s="64">
        <f>LEN(TRIM(Table22[[#This Row],[Sales Team]]))</f>
        <v>10</v>
      </c>
      <c r="L374" s="23">
        <v>87</v>
      </c>
      <c r="M374" s="65" t="str" cm="1">
        <f t="array" ref="M374">_xlfn.IFS(Table22[[#This Row],[Units Sold]]&lt;40,"Critical",Table22[[#This Row],[Units Sold]]&lt;=50,"Poor",Table22[[#This Row],[Units Sold]]&lt;=60,"Low",Table22[[#This Row],[Units Sold]]&lt;=80,"Average",Table22[[#This Row],[Units Sold]]&lt;=90,"High",Table22[[#This Row],[Units Sold]]&lt;=95,"Excellent",Table22[[#This Row],[Units Sold]]&gt;95,"Outstanding")</f>
        <v>High</v>
      </c>
      <c r="N374" s="29">
        <v>813.8</v>
      </c>
      <c r="O374" s="29">
        <v>70800.600000000006</v>
      </c>
      <c r="P374" s="43">
        <f>IF(Table22[[#This Row],[Discount Applied]],Table22[[#This Row],[Total Sales (in USD)]]*(1-Table22[[#This Row],[Discount Percentage (%)]]/100),Table22[[#This Row],[Total Sales (in USD)]])</f>
        <v>69129.70584000001</v>
      </c>
      <c r="Q374" s="66">
        <f>SQRT(AVERAGE((Table22[[#This Row],[Net Sales (after discount) (in USD)]]-AVERAGE(Table22[Net Sales (after discount) (in USD)]))^2))</f>
        <v>32618.345276235472</v>
      </c>
      <c r="R374" s="18" t="b">
        <v>1</v>
      </c>
      <c r="S374" s="40">
        <v>2.36</v>
      </c>
      <c r="T374" s="18" t="b">
        <v>1</v>
      </c>
      <c r="U374" s="25">
        <v>45516</v>
      </c>
      <c r="V374" s="63" t="str">
        <f>IF(MONTH(Table22[[#This Row],[Sales Date]])&lt;=3,"Q1",IF(MONTH(Table22[[#This Row],[Sales Date]])&lt;=6,"Q2",IF(MONTH(Table22[[#This Row],[Sales Date]])&lt;=9,"Q3","Q4")))</f>
        <v>Q3</v>
      </c>
      <c r="W374" s="64">
        <f>YEAR(Table22[[#This Row],[Sales Date]])</f>
        <v>2024</v>
      </c>
      <c r="X374" s="23">
        <v>35</v>
      </c>
      <c r="Y374" s="18" t="s">
        <v>41</v>
      </c>
      <c r="Z374" s="18" t="s">
        <v>56</v>
      </c>
      <c r="AA374" s="19" t="s">
        <v>25</v>
      </c>
    </row>
    <row r="375" spans="1:27" x14ac:dyDescent="0.25">
      <c r="A375" s="17" t="s">
        <v>999</v>
      </c>
      <c r="B375" s="18" t="s">
        <v>62</v>
      </c>
      <c r="C375" s="63" t="str" cm="1">
        <f t="array" ref="C375">_xlfn.SWITCH(Table22[[#This Row],[Country]],"USA","North America","Canada","North America","Brazil","South America","China","Asia","Japan","Asia","India","Asia","France","Europe","Germany","Europe","UK","Europe","Australia","Oceania","South America")</f>
        <v>Oceania</v>
      </c>
      <c r="D375" s="18" t="s">
        <v>44</v>
      </c>
      <c r="E375" s="18" t="s">
        <v>39</v>
      </c>
      <c r="F375" s="18" t="s">
        <v>47</v>
      </c>
      <c r="G375" s="18" t="s">
        <v>48</v>
      </c>
      <c r="H375" s="64">
        <f>LEN(TRIM(Table22[[#This Row],[Country]]))</f>
        <v>9</v>
      </c>
      <c r="I375" s="64">
        <f>LEN(TRIM(Table22[[#This Row],[Continent]]))</f>
        <v>7</v>
      </c>
      <c r="J375" s="64">
        <f>LEN(TRIM(Table22[[#This Row],[Product]]))</f>
        <v>10</v>
      </c>
      <c r="K375" s="64">
        <f>LEN(TRIM(Table22[[#This Row],[Sales Team]]))</f>
        <v>9</v>
      </c>
      <c r="L375" s="23">
        <v>78</v>
      </c>
      <c r="M375" s="65" t="str" cm="1">
        <f t="array" ref="M375">_xlfn.IFS(Table22[[#This Row],[Units Sold]]&lt;40,"Critical",Table22[[#This Row],[Units Sold]]&lt;=50,"Poor",Table22[[#This Row],[Units Sold]]&lt;=60,"Low",Table22[[#This Row],[Units Sold]]&lt;=80,"Average",Table22[[#This Row],[Units Sold]]&lt;=90,"High",Table22[[#This Row],[Units Sold]]&lt;=95,"Excellent",Table22[[#This Row],[Units Sold]]&gt;95,"Outstanding")</f>
        <v>Average</v>
      </c>
      <c r="N375" s="29">
        <v>906.05</v>
      </c>
      <c r="O375" s="29">
        <v>70671.899999999994</v>
      </c>
      <c r="P375" s="43">
        <f>IF(Table22[[#This Row],[Discount Applied]],Table22[[#This Row],[Total Sales (in USD)]]*(1-Table22[[#This Row],[Discount Percentage (%)]]/100),Table22[[#This Row],[Total Sales (in USD)]])</f>
        <v>70671.899999999994</v>
      </c>
      <c r="Q375" s="66">
        <f>SQRT(AVERAGE((Table22[[#This Row],[Net Sales (after discount) (in USD)]]-AVERAGE(Table22[Net Sales (after discount) (in USD)]))^2))</f>
        <v>34160.539436235456</v>
      </c>
      <c r="R375" s="18" t="b">
        <v>0</v>
      </c>
      <c r="S375" s="40">
        <v>8.57</v>
      </c>
      <c r="T375" s="18" t="b">
        <v>0</v>
      </c>
      <c r="U375" s="25">
        <v>45349</v>
      </c>
      <c r="V375" s="63" t="str">
        <f>IF(MONTH(Table22[[#This Row],[Sales Date]])&lt;=3,"Q1",IF(MONTH(Table22[[#This Row],[Sales Date]])&lt;=6,"Q2",IF(MONTH(Table22[[#This Row],[Sales Date]])&lt;=9,"Q3","Q4")))</f>
        <v>Q1</v>
      </c>
      <c r="W375" s="64">
        <f>YEAR(Table22[[#This Row],[Sales Date]])</f>
        <v>2024</v>
      </c>
      <c r="X375" s="23">
        <v>20</v>
      </c>
      <c r="Y375" s="18" t="s">
        <v>49</v>
      </c>
      <c r="Z375" s="18" t="s">
        <v>56</v>
      </c>
      <c r="AA375" s="19" t="s">
        <v>25</v>
      </c>
    </row>
    <row r="376" spans="1:27" x14ac:dyDescent="0.25">
      <c r="A376" s="17" t="s">
        <v>1379</v>
      </c>
      <c r="B376" s="18" t="s">
        <v>46</v>
      </c>
      <c r="C376" s="63" t="str" cm="1">
        <f t="array" ref="C376">_xlfn.SWITCH(Table22[[#This Row],[Country]],"USA","North America","Canada","North America","Brazil","South America","China","Asia","Japan","Asia","India","Asia","France","Europe","Germany","Europe","UK","Europe","Australia","Oceania","South America")</f>
        <v>South America</v>
      </c>
      <c r="D376" s="18" t="s">
        <v>35</v>
      </c>
      <c r="E376" s="18" t="s">
        <v>19</v>
      </c>
      <c r="F376" s="18" t="s">
        <v>20</v>
      </c>
      <c r="G376" s="18" t="s">
        <v>48</v>
      </c>
      <c r="H376" s="64">
        <f>LEN(TRIM(Table22[[#This Row],[Country]]))</f>
        <v>6</v>
      </c>
      <c r="I376" s="64">
        <f>LEN(TRIM(Table22[[#This Row],[Continent]]))</f>
        <v>13</v>
      </c>
      <c r="J376" s="64">
        <f>LEN(TRIM(Table22[[#This Row],[Product]]))</f>
        <v>6</v>
      </c>
      <c r="K376" s="64">
        <f>LEN(TRIM(Table22[[#This Row],[Sales Team]]))</f>
        <v>9</v>
      </c>
      <c r="L376" s="23">
        <v>73</v>
      </c>
      <c r="M376" s="65" t="str" cm="1">
        <f t="array" ref="M376">_xlfn.IFS(Table22[[#This Row],[Units Sold]]&lt;40,"Critical",Table22[[#This Row],[Units Sold]]&lt;=50,"Poor",Table22[[#This Row],[Units Sold]]&lt;=60,"Low",Table22[[#This Row],[Units Sold]]&lt;=80,"Average",Table22[[#This Row],[Units Sold]]&lt;=90,"High",Table22[[#This Row],[Units Sold]]&lt;=95,"Excellent",Table22[[#This Row],[Units Sold]]&gt;95,"Outstanding")</f>
        <v>Average</v>
      </c>
      <c r="N376" s="29">
        <v>967.75</v>
      </c>
      <c r="O376" s="29">
        <v>70645.75</v>
      </c>
      <c r="P376" s="43">
        <f>IF(Table22[[#This Row],[Discount Applied]],Table22[[#This Row],[Total Sales (in USD)]]*(1-Table22[[#This Row],[Discount Percentage (%)]]/100),Table22[[#This Row],[Total Sales (in USD)]])</f>
        <v>57858.869249999996</v>
      </c>
      <c r="Q376" s="66">
        <f>SQRT(AVERAGE((Table22[[#This Row],[Net Sales (after discount) (in USD)]]-AVERAGE(Table22[Net Sales (after discount) (in USD)]))^2))</f>
        <v>21347.508686235458</v>
      </c>
      <c r="R376" s="18" t="b">
        <v>1</v>
      </c>
      <c r="S376" s="40">
        <v>18.100000000000001</v>
      </c>
      <c r="T376" s="18" t="b">
        <v>1</v>
      </c>
      <c r="U376" s="25">
        <v>45402</v>
      </c>
      <c r="V376" s="63" t="str">
        <f>IF(MONTH(Table22[[#This Row],[Sales Date]])&lt;=3,"Q1",IF(MONTH(Table22[[#This Row],[Sales Date]])&lt;=6,"Q2",IF(MONTH(Table22[[#This Row],[Sales Date]])&lt;=9,"Q3","Q4")))</f>
        <v>Q2</v>
      </c>
      <c r="W376" s="64">
        <f>YEAR(Table22[[#This Row],[Sales Date]])</f>
        <v>2024</v>
      </c>
      <c r="X376" s="23">
        <v>20</v>
      </c>
      <c r="Y376" s="18" t="s">
        <v>23</v>
      </c>
      <c r="Z376" s="18" t="s">
        <v>30</v>
      </c>
      <c r="AA376" s="19" t="s">
        <v>36</v>
      </c>
    </row>
    <row r="377" spans="1:27" x14ac:dyDescent="0.25">
      <c r="A377" s="17" t="s">
        <v>1653</v>
      </c>
      <c r="B377" s="18" t="s">
        <v>32</v>
      </c>
      <c r="C377" s="63" t="str" cm="1">
        <f t="array" ref="C377">_xlfn.SWITCH(Table22[[#This Row],[Country]],"USA","North America","Canada","North America","Brazil","South America","China","Asia","Japan","Asia","India","Asia","France","Europe","Germany","Europe","UK","Europe","Australia","Oceania","South America")</f>
        <v>Asia</v>
      </c>
      <c r="D377" s="18" t="s">
        <v>44</v>
      </c>
      <c r="E377" s="18" t="s">
        <v>19</v>
      </c>
      <c r="F377" s="18" t="s">
        <v>20</v>
      </c>
      <c r="G377" s="18" t="s">
        <v>40</v>
      </c>
      <c r="H377" s="64">
        <f>LEN(TRIM(Table22[[#This Row],[Country]]))</f>
        <v>5</v>
      </c>
      <c r="I377" s="64">
        <f>LEN(TRIM(Table22[[#This Row],[Continent]]))</f>
        <v>4</v>
      </c>
      <c r="J377" s="64">
        <f>LEN(TRIM(Table22[[#This Row],[Product]]))</f>
        <v>6</v>
      </c>
      <c r="K377" s="64">
        <f>LEN(TRIM(Table22[[#This Row],[Sales Team]]))</f>
        <v>10</v>
      </c>
      <c r="L377" s="23">
        <v>56</v>
      </c>
      <c r="M377" s="65" t="str" cm="1">
        <f t="array" ref="M377">_xlfn.IFS(Table22[[#This Row],[Units Sold]]&lt;40,"Critical",Table22[[#This Row],[Units Sold]]&lt;=50,"Poor",Table22[[#This Row],[Units Sold]]&lt;=60,"Low",Table22[[#This Row],[Units Sold]]&lt;=80,"Average",Table22[[#This Row],[Units Sold]]&lt;=90,"High",Table22[[#This Row],[Units Sold]]&lt;=95,"Excellent",Table22[[#This Row],[Units Sold]]&gt;95,"Outstanding")</f>
        <v>Low</v>
      </c>
      <c r="N377" s="29">
        <v>1259.48</v>
      </c>
      <c r="O377" s="29">
        <v>70530.880000000005</v>
      </c>
      <c r="P377" s="43">
        <f>IF(Table22[[#This Row],[Discount Applied]],Table22[[#This Row],[Total Sales (in USD)]]*(1-Table22[[#This Row],[Discount Percentage (%)]]/100),Table22[[#This Row],[Total Sales (in USD)]])</f>
        <v>60536.654304000011</v>
      </c>
      <c r="Q377" s="66">
        <f>SQRT(AVERAGE((Table22[[#This Row],[Net Sales (after discount) (in USD)]]-AVERAGE(Table22[Net Sales (after discount) (in USD)]))^2))</f>
        <v>24025.293740235473</v>
      </c>
      <c r="R377" s="18" t="b">
        <v>0</v>
      </c>
      <c r="S377" s="40">
        <v>14.17</v>
      </c>
      <c r="T377" s="18" t="b">
        <v>1</v>
      </c>
      <c r="U377" s="25">
        <v>45075</v>
      </c>
      <c r="V377" s="63" t="str">
        <f>IF(MONTH(Table22[[#This Row],[Sales Date]])&lt;=3,"Q1",IF(MONTH(Table22[[#This Row],[Sales Date]])&lt;=6,"Q2",IF(MONTH(Table22[[#This Row],[Sales Date]])&lt;=9,"Q3","Q4")))</f>
        <v>Q2</v>
      </c>
      <c r="W377" s="64">
        <f>YEAR(Table22[[#This Row],[Sales Date]])</f>
        <v>2023</v>
      </c>
      <c r="X377" s="23">
        <v>48</v>
      </c>
      <c r="Y377" s="18" t="s">
        <v>41</v>
      </c>
      <c r="Z377" s="18" t="s">
        <v>56</v>
      </c>
      <c r="AA377" s="19" t="s">
        <v>25</v>
      </c>
    </row>
    <row r="378" spans="1:27" x14ac:dyDescent="0.25">
      <c r="A378" s="17" t="s">
        <v>1892</v>
      </c>
      <c r="B378" s="18" t="s">
        <v>46</v>
      </c>
      <c r="C378" s="63" t="str" cm="1">
        <f t="array" ref="C378">_xlfn.SWITCH(Table22[[#This Row],[Country]],"USA","North America","Canada","North America","Brazil","South America","China","Asia","Japan","Asia","India","Asia","France","Europe","Germany","Europe","UK","Europe","Australia","Oceania","South America")</f>
        <v>South America</v>
      </c>
      <c r="D378" s="18" t="s">
        <v>21</v>
      </c>
      <c r="E378" s="18" t="s">
        <v>19</v>
      </c>
      <c r="F378" s="18" t="s">
        <v>52</v>
      </c>
      <c r="G378" s="18" t="s">
        <v>40</v>
      </c>
      <c r="H378" s="64">
        <f>LEN(TRIM(Table22[[#This Row],[Country]]))</f>
        <v>6</v>
      </c>
      <c r="I378" s="64">
        <f>LEN(TRIM(Table22[[#This Row],[Continent]]))</f>
        <v>13</v>
      </c>
      <c r="J378" s="64">
        <f>LEN(TRIM(Table22[[#This Row],[Product]]))</f>
        <v>6</v>
      </c>
      <c r="K378" s="64">
        <f>LEN(TRIM(Table22[[#This Row],[Sales Team]]))</f>
        <v>10</v>
      </c>
      <c r="L378" s="23">
        <v>51</v>
      </c>
      <c r="M378" s="65" t="str" cm="1">
        <f t="array" ref="M378">_xlfn.IFS(Table22[[#This Row],[Units Sold]]&lt;40,"Critical",Table22[[#This Row],[Units Sold]]&lt;=50,"Poor",Table22[[#This Row],[Units Sold]]&lt;=60,"Low",Table22[[#This Row],[Units Sold]]&lt;=80,"Average",Table22[[#This Row],[Units Sold]]&lt;=90,"High",Table22[[#This Row],[Units Sold]]&lt;=95,"Excellent",Table22[[#This Row],[Units Sold]]&gt;95,"Outstanding")</f>
        <v>Low</v>
      </c>
      <c r="N378" s="29">
        <v>1380.31</v>
      </c>
      <c r="O378" s="29">
        <v>70395.81</v>
      </c>
      <c r="P378" s="43">
        <f>IF(Table22[[#This Row],[Discount Applied]],Table22[[#This Row],[Total Sales (in USD)]]*(1-Table22[[#This Row],[Discount Percentage (%)]]/100),Table22[[#This Row],[Total Sales (in USD)]])</f>
        <v>68199.460727999991</v>
      </c>
      <c r="Q378" s="66">
        <f>SQRT(AVERAGE((Table22[[#This Row],[Net Sales (after discount) (in USD)]]-AVERAGE(Table22[Net Sales (after discount) (in USD)]))^2))</f>
        <v>31688.100164235453</v>
      </c>
      <c r="R378" s="18" t="b">
        <v>1</v>
      </c>
      <c r="S378" s="40">
        <v>3.12</v>
      </c>
      <c r="T378" s="18" t="b">
        <v>1</v>
      </c>
      <c r="U378" s="25">
        <v>45231</v>
      </c>
      <c r="V378" s="63" t="str">
        <f>IF(MONTH(Table22[[#This Row],[Sales Date]])&lt;=3,"Q1",IF(MONTH(Table22[[#This Row],[Sales Date]])&lt;=6,"Q2",IF(MONTH(Table22[[#This Row],[Sales Date]])&lt;=9,"Q3","Q4")))</f>
        <v>Q4</v>
      </c>
      <c r="W378" s="64">
        <f>YEAR(Table22[[#This Row],[Sales Date]])</f>
        <v>2023</v>
      </c>
      <c r="X378" s="23">
        <v>33</v>
      </c>
      <c r="Y378" s="18" t="s">
        <v>23</v>
      </c>
      <c r="Z378" s="18" t="s">
        <v>24</v>
      </c>
      <c r="AA378" s="19" t="s">
        <v>36</v>
      </c>
    </row>
    <row r="379" spans="1:27" x14ac:dyDescent="0.25">
      <c r="A379" s="17" t="s">
        <v>2020</v>
      </c>
      <c r="B379" s="18" t="s">
        <v>18</v>
      </c>
      <c r="C379" s="63" t="str" cm="1">
        <f t="array" ref="C379">_xlfn.SWITCH(Table22[[#This Row],[Country]],"USA","North America","Canada","North America","Brazil","South America","China","Asia","Japan","Asia","India","Asia","France","Europe","Germany","Europe","UK","Europe","Australia","Oceania","South America")</f>
        <v>Asia</v>
      </c>
      <c r="D379" s="18" t="s">
        <v>28</v>
      </c>
      <c r="E379" s="18" t="s">
        <v>19</v>
      </c>
      <c r="F379" s="18" t="s">
        <v>64</v>
      </c>
      <c r="G379" s="18" t="s">
        <v>40</v>
      </c>
      <c r="H379" s="64">
        <f>LEN(TRIM(Table22[[#This Row],[Country]]))</f>
        <v>5</v>
      </c>
      <c r="I379" s="64">
        <f>LEN(TRIM(Table22[[#This Row],[Continent]]))</f>
        <v>4</v>
      </c>
      <c r="J379" s="64">
        <f>LEN(TRIM(Table22[[#This Row],[Product]]))</f>
        <v>6</v>
      </c>
      <c r="K379" s="64">
        <f>LEN(TRIM(Table22[[#This Row],[Sales Team]]))</f>
        <v>10</v>
      </c>
      <c r="L379" s="23">
        <v>70</v>
      </c>
      <c r="M379" s="65" t="str" cm="1">
        <f t="array" ref="M379">_xlfn.IFS(Table22[[#This Row],[Units Sold]]&lt;40,"Critical",Table22[[#This Row],[Units Sold]]&lt;=50,"Poor",Table22[[#This Row],[Units Sold]]&lt;=60,"Low",Table22[[#This Row],[Units Sold]]&lt;=80,"Average",Table22[[#This Row],[Units Sold]]&lt;=90,"High",Table22[[#This Row],[Units Sold]]&lt;=95,"Excellent",Table22[[#This Row],[Units Sold]]&gt;95,"Outstanding")</f>
        <v>Average</v>
      </c>
      <c r="N379" s="29">
        <v>1005.36</v>
      </c>
      <c r="O379" s="29">
        <v>70375.199999999997</v>
      </c>
      <c r="P379" s="43">
        <f>IF(Table22[[#This Row],[Discount Applied]],Table22[[#This Row],[Total Sales (in USD)]]*(1-Table22[[#This Row],[Discount Percentage (%)]]/100),Table22[[#This Row],[Total Sales (in USD)]])</f>
        <v>70375.199999999997</v>
      </c>
      <c r="Q379" s="66">
        <f>SQRT(AVERAGE((Table22[[#This Row],[Net Sales (after discount) (in USD)]]-AVERAGE(Table22[Net Sales (after discount) (in USD)]))^2))</f>
        <v>33863.839436235459</v>
      </c>
      <c r="R379" s="18" t="b">
        <v>0</v>
      </c>
      <c r="S379" s="40">
        <v>7.89</v>
      </c>
      <c r="T379" s="18" t="b">
        <v>0</v>
      </c>
      <c r="U379" s="25">
        <v>45371</v>
      </c>
      <c r="V379" s="63" t="str">
        <f>IF(MONTH(Table22[[#This Row],[Sales Date]])&lt;=3,"Q1",IF(MONTH(Table22[[#This Row],[Sales Date]])&lt;=6,"Q2",IF(MONTH(Table22[[#This Row],[Sales Date]])&lt;=9,"Q3","Q4")))</f>
        <v>Q1</v>
      </c>
      <c r="W379" s="64">
        <f>YEAR(Table22[[#This Row],[Sales Date]])</f>
        <v>2024</v>
      </c>
      <c r="X379" s="23">
        <v>30</v>
      </c>
      <c r="Y379" s="18" t="s">
        <v>49</v>
      </c>
      <c r="Z379" s="18" t="s">
        <v>30</v>
      </c>
      <c r="AA379" s="19" t="s">
        <v>25</v>
      </c>
    </row>
    <row r="380" spans="1:27" x14ac:dyDescent="0.25">
      <c r="A380" s="17" t="s">
        <v>675</v>
      </c>
      <c r="B380" s="18" t="s">
        <v>76</v>
      </c>
      <c r="C380" s="63" t="str" cm="1">
        <f t="array" ref="C380">_xlfn.SWITCH(Table22[[#This Row],[Country]],"USA","North America","Canada","North America","Brazil","South America","China","Asia","Japan","Asia","India","Asia","France","Europe","Germany","Europe","UK","Europe","Australia","Oceania","South America")</f>
        <v>Asia</v>
      </c>
      <c r="D380" s="18" t="s">
        <v>28</v>
      </c>
      <c r="E380" s="18" t="s">
        <v>39</v>
      </c>
      <c r="F380" s="18" t="s">
        <v>64</v>
      </c>
      <c r="G380" s="18" t="s">
        <v>29</v>
      </c>
      <c r="H380" s="64">
        <f>LEN(TRIM(Table22[[#This Row],[Country]]))</f>
        <v>5</v>
      </c>
      <c r="I380" s="64">
        <f>LEN(TRIM(Table22[[#This Row],[Continent]]))</f>
        <v>4</v>
      </c>
      <c r="J380" s="64">
        <f>LEN(TRIM(Table22[[#This Row],[Product]]))</f>
        <v>10</v>
      </c>
      <c r="K380" s="64">
        <f>LEN(TRIM(Table22[[#This Row],[Sales Team]]))</f>
        <v>10</v>
      </c>
      <c r="L380" s="23">
        <v>62</v>
      </c>
      <c r="M380" s="65" t="str" cm="1">
        <f t="array" ref="M380">_xlfn.IFS(Table22[[#This Row],[Units Sold]]&lt;40,"Critical",Table22[[#This Row],[Units Sold]]&lt;=50,"Poor",Table22[[#This Row],[Units Sold]]&lt;=60,"Low",Table22[[#This Row],[Units Sold]]&lt;=80,"Average",Table22[[#This Row],[Units Sold]]&lt;=90,"High",Table22[[#This Row],[Units Sold]]&lt;=95,"Excellent",Table22[[#This Row],[Units Sold]]&gt;95,"Outstanding")</f>
        <v>Average</v>
      </c>
      <c r="N380" s="29">
        <v>1133.6099999999999</v>
      </c>
      <c r="O380" s="29">
        <v>70283.820000000007</v>
      </c>
      <c r="P380" s="43">
        <f>IF(Table22[[#This Row],[Discount Applied]],Table22[[#This Row],[Total Sales (in USD)]]*(1-Table22[[#This Row],[Discount Percentage (%)]]/100),Table22[[#This Row],[Total Sales (in USD)]])</f>
        <v>66003.53536200001</v>
      </c>
      <c r="Q380" s="66">
        <f>SQRT(AVERAGE((Table22[[#This Row],[Net Sales (after discount) (in USD)]]-AVERAGE(Table22[Net Sales (after discount) (in USD)]))^2))</f>
        <v>29492.174798235472</v>
      </c>
      <c r="R380" s="18" t="b">
        <v>1</v>
      </c>
      <c r="S380" s="40">
        <v>6.09</v>
      </c>
      <c r="T380" s="18" t="b">
        <v>1</v>
      </c>
      <c r="U380" s="25">
        <v>45233</v>
      </c>
      <c r="V380" s="63" t="str">
        <f>IF(MONTH(Table22[[#This Row],[Sales Date]])&lt;=3,"Q1",IF(MONTH(Table22[[#This Row],[Sales Date]])&lt;=6,"Q2",IF(MONTH(Table22[[#This Row],[Sales Date]])&lt;=9,"Q3","Q4")))</f>
        <v>Q4</v>
      </c>
      <c r="W380" s="64">
        <f>YEAR(Table22[[#This Row],[Sales Date]])</f>
        <v>2023</v>
      </c>
      <c r="X380" s="23">
        <v>40</v>
      </c>
      <c r="Y380" s="18" t="s">
        <v>23</v>
      </c>
      <c r="Z380" s="18" t="s">
        <v>30</v>
      </c>
      <c r="AA380" s="19" t="s">
        <v>36</v>
      </c>
    </row>
    <row r="381" spans="1:27" x14ac:dyDescent="0.25">
      <c r="A381" s="17" t="s">
        <v>530</v>
      </c>
      <c r="B381" s="18" t="s">
        <v>38</v>
      </c>
      <c r="C381" s="63" t="str" cm="1">
        <f t="array" ref="C381">_xlfn.SWITCH(Table22[[#This Row],[Country]],"USA","North America","Canada","North America","Brazil","South America","China","Asia","Japan","Asia","India","Asia","France","Europe","Germany","Europe","UK","Europe","Australia","Oceania","South America")</f>
        <v>Europe</v>
      </c>
      <c r="D381" s="18" t="s">
        <v>28</v>
      </c>
      <c r="E381" s="18" t="s">
        <v>19</v>
      </c>
      <c r="F381" s="18" t="s">
        <v>47</v>
      </c>
      <c r="G381" s="18" t="s">
        <v>22</v>
      </c>
      <c r="H381" s="64">
        <f>LEN(TRIM(Table22[[#This Row],[Country]]))</f>
        <v>6</v>
      </c>
      <c r="I381" s="64">
        <f>LEN(TRIM(Table22[[#This Row],[Continent]]))</f>
        <v>6</v>
      </c>
      <c r="J381" s="64">
        <f>LEN(TRIM(Table22[[#This Row],[Product]]))</f>
        <v>6</v>
      </c>
      <c r="K381" s="64">
        <f>LEN(TRIM(Table22[[#This Row],[Sales Team]]))</f>
        <v>10</v>
      </c>
      <c r="L381" s="23">
        <v>56</v>
      </c>
      <c r="M381" s="65" t="str" cm="1">
        <f t="array" ref="M381">_xlfn.IFS(Table22[[#This Row],[Units Sold]]&lt;40,"Critical",Table22[[#This Row],[Units Sold]]&lt;=50,"Poor",Table22[[#This Row],[Units Sold]]&lt;=60,"Low",Table22[[#This Row],[Units Sold]]&lt;=80,"Average",Table22[[#This Row],[Units Sold]]&lt;=90,"High",Table22[[#This Row],[Units Sold]]&lt;=95,"Excellent",Table22[[#This Row],[Units Sold]]&gt;95,"Outstanding")</f>
        <v>Low</v>
      </c>
      <c r="N381" s="29">
        <v>1253.78</v>
      </c>
      <c r="O381" s="29">
        <v>70211.679999999993</v>
      </c>
      <c r="P381" s="43">
        <f>IF(Table22[[#This Row],[Discount Applied]],Table22[[#This Row],[Total Sales (in USD)]]*(1-Table22[[#This Row],[Discount Percentage (%)]]/100),Table22[[#This Row],[Total Sales (in USD)]])</f>
        <v>70211.679999999993</v>
      </c>
      <c r="Q381" s="66">
        <f>SQRT(AVERAGE((Table22[[#This Row],[Net Sales (after discount) (in USD)]]-AVERAGE(Table22[Net Sales (after discount) (in USD)]))^2))</f>
        <v>33700.319436235455</v>
      </c>
      <c r="R381" s="18" t="b">
        <v>0</v>
      </c>
      <c r="S381" s="40">
        <v>3.1</v>
      </c>
      <c r="T381" s="18" t="b">
        <v>0</v>
      </c>
      <c r="U381" s="25">
        <v>45461</v>
      </c>
      <c r="V381" s="63" t="str">
        <f>IF(MONTH(Table22[[#This Row],[Sales Date]])&lt;=3,"Q1",IF(MONTH(Table22[[#This Row],[Sales Date]])&lt;=6,"Q2",IF(MONTH(Table22[[#This Row],[Sales Date]])&lt;=9,"Q3","Q4")))</f>
        <v>Q2</v>
      </c>
      <c r="W381" s="64">
        <f>YEAR(Table22[[#This Row],[Sales Date]])</f>
        <v>2024</v>
      </c>
      <c r="X381" s="23">
        <v>34</v>
      </c>
      <c r="Y381" s="18" t="s">
        <v>41</v>
      </c>
      <c r="Z381" s="18" t="s">
        <v>24</v>
      </c>
      <c r="AA381" s="19" t="s">
        <v>36</v>
      </c>
    </row>
    <row r="382" spans="1:27" x14ac:dyDescent="0.25">
      <c r="A382" s="17" t="s">
        <v>790</v>
      </c>
      <c r="B382" s="18" t="s">
        <v>27</v>
      </c>
      <c r="C382" s="63" t="str" cm="1">
        <f t="array" ref="C382">_xlfn.SWITCH(Table22[[#This Row],[Country]],"USA","North America","Canada","North America","Brazil","South America","China","Asia","Japan","Asia","India","Asia","France","Europe","Germany","Europe","UK","Europe","Australia","Oceania","South America")</f>
        <v>Europe</v>
      </c>
      <c r="D382" s="18" t="s">
        <v>21</v>
      </c>
      <c r="E382" s="18" t="s">
        <v>19</v>
      </c>
      <c r="F382" s="18" t="s">
        <v>64</v>
      </c>
      <c r="G382" s="18" t="s">
        <v>29</v>
      </c>
      <c r="H382" s="64">
        <f>LEN(TRIM(Table22[[#This Row],[Country]]))</f>
        <v>7</v>
      </c>
      <c r="I382" s="64">
        <f>LEN(TRIM(Table22[[#This Row],[Continent]]))</f>
        <v>6</v>
      </c>
      <c r="J382" s="64">
        <f>LEN(TRIM(Table22[[#This Row],[Product]]))</f>
        <v>6</v>
      </c>
      <c r="K382" s="64">
        <f>LEN(TRIM(Table22[[#This Row],[Sales Team]]))</f>
        <v>10</v>
      </c>
      <c r="L382" s="23">
        <v>81</v>
      </c>
      <c r="M382" s="65" t="str" cm="1">
        <f t="array" ref="M382">_xlfn.IFS(Table22[[#This Row],[Units Sold]]&lt;40,"Critical",Table22[[#This Row],[Units Sold]]&lt;=50,"Poor",Table22[[#This Row],[Units Sold]]&lt;=60,"Low",Table22[[#This Row],[Units Sold]]&lt;=80,"Average",Table22[[#This Row],[Units Sold]]&lt;=90,"High",Table22[[#This Row],[Units Sold]]&lt;=95,"Excellent",Table22[[#This Row],[Units Sold]]&gt;95,"Outstanding")</f>
        <v>High</v>
      </c>
      <c r="N382" s="29">
        <v>866.37</v>
      </c>
      <c r="O382" s="29">
        <v>70175.97</v>
      </c>
      <c r="P382" s="43">
        <f>IF(Table22[[#This Row],[Discount Applied]],Table22[[#This Row],[Total Sales (in USD)]]*(1-Table22[[#This Row],[Discount Percentage (%)]]/100),Table22[[#This Row],[Total Sales (in USD)]])</f>
        <v>70175.97</v>
      </c>
      <c r="Q382" s="66">
        <f>SQRT(AVERAGE((Table22[[#This Row],[Net Sales (after discount) (in USD)]]-AVERAGE(Table22[Net Sales (after discount) (in USD)]))^2))</f>
        <v>33664.609436235463</v>
      </c>
      <c r="R382" s="18" t="b">
        <v>0</v>
      </c>
      <c r="S382" s="40">
        <v>11.23</v>
      </c>
      <c r="T382" s="18" t="b">
        <v>0</v>
      </c>
      <c r="U382" s="25">
        <v>45127</v>
      </c>
      <c r="V382" s="63" t="str">
        <f>IF(MONTH(Table22[[#This Row],[Sales Date]])&lt;=3,"Q1",IF(MONTH(Table22[[#This Row],[Sales Date]])&lt;=6,"Q2",IF(MONTH(Table22[[#This Row],[Sales Date]])&lt;=9,"Q3","Q4")))</f>
        <v>Q3</v>
      </c>
      <c r="W382" s="64">
        <f>YEAR(Table22[[#This Row],[Sales Date]])</f>
        <v>2023</v>
      </c>
      <c r="X382" s="23">
        <v>56</v>
      </c>
      <c r="Y382" s="18" t="s">
        <v>41</v>
      </c>
      <c r="Z382" s="18" t="s">
        <v>30</v>
      </c>
      <c r="AA382" s="19" t="s">
        <v>36</v>
      </c>
    </row>
    <row r="383" spans="1:27" x14ac:dyDescent="0.25">
      <c r="A383" s="17" t="s">
        <v>1319</v>
      </c>
      <c r="B383" s="18" t="s">
        <v>51</v>
      </c>
      <c r="C383" s="63" t="str" cm="1">
        <f t="array" ref="C383">_xlfn.SWITCH(Table22[[#This Row],[Country]],"USA","North America","Canada","North America","Brazil","South America","China","Asia","Japan","Asia","India","Asia","France","Europe","Germany","Europe","UK","Europe","Australia","Oceania","South America")</f>
        <v>Europe</v>
      </c>
      <c r="D383" s="18" t="s">
        <v>28</v>
      </c>
      <c r="E383" s="18" t="s">
        <v>33</v>
      </c>
      <c r="F383" s="18" t="s">
        <v>34</v>
      </c>
      <c r="G383" s="18" t="s">
        <v>48</v>
      </c>
      <c r="H383" s="64">
        <f>LEN(TRIM(Table22[[#This Row],[Country]]))</f>
        <v>2</v>
      </c>
      <c r="I383" s="64">
        <f>LEN(TRIM(Table22[[#This Row],[Continent]]))</f>
        <v>6</v>
      </c>
      <c r="J383" s="64">
        <f>LEN(TRIM(Table22[[#This Row],[Product]]))</f>
        <v>10</v>
      </c>
      <c r="K383" s="64">
        <f>LEN(TRIM(Table22[[#This Row],[Sales Team]]))</f>
        <v>9</v>
      </c>
      <c r="L383" s="23">
        <v>63</v>
      </c>
      <c r="M383" s="65" t="str" cm="1">
        <f t="array" ref="M383">_xlfn.IFS(Table22[[#This Row],[Units Sold]]&lt;40,"Critical",Table22[[#This Row],[Units Sold]]&lt;=50,"Poor",Table22[[#This Row],[Units Sold]]&lt;=60,"Low",Table22[[#This Row],[Units Sold]]&lt;=80,"Average",Table22[[#This Row],[Units Sold]]&lt;=90,"High",Table22[[#This Row],[Units Sold]]&lt;=95,"Excellent",Table22[[#This Row],[Units Sold]]&gt;95,"Outstanding")</f>
        <v>Average</v>
      </c>
      <c r="N383" s="29">
        <v>1113.75</v>
      </c>
      <c r="O383" s="29">
        <v>70166.25</v>
      </c>
      <c r="P383" s="43">
        <f>IF(Table22[[#This Row],[Discount Applied]],Table22[[#This Row],[Total Sales (in USD)]]*(1-Table22[[#This Row],[Discount Percentage (%)]]/100),Table22[[#This Row],[Total Sales (in USD)]])</f>
        <v>70166.25</v>
      </c>
      <c r="Q383" s="66">
        <f>SQRT(AVERAGE((Table22[[#This Row],[Net Sales (after discount) (in USD)]]-AVERAGE(Table22[Net Sales (after discount) (in USD)]))^2))</f>
        <v>33654.889436235462</v>
      </c>
      <c r="R383" s="18" t="b">
        <v>1</v>
      </c>
      <c r="S383" s="40">
        <v>16.760000000000002</v>
      </c>
      <c r="T383" s="18" t="b">
        <v>0</v>
      </c>
      <c r="U383" s="25">
        <v>45043</v>
      </c>
      <c r="V383" s="63" t="str">
        <f>IF(MONTH(Table22[[#This Row],[Sales Date]])&lt;=3,"Q1",IF(MONTH(Table22[[#This Row],[Sales Date]])&lt;=6,"Q2",IF(MONTH(Table22[[#This Row],[Sales Date]])&lt;=9,"Q3","Q4")))</f>
        <v>Q2</v>
      </c>
      <c r="W383" s="64">
        <f>YEAR(Table22[[#This Row],[Sales Date]])</f>
        <v>2023</v>
      </c>
      <c r="X383" s="23">
        <v>42</v>
      </c>
      <c r="Y383" s="18" t="s">
        <v>49</v>
      </c>
      <c r="Z383" s="18" t="s">
        <v>30</v>
      </c>
      <c r="AA383" s="19" t="s">
        <v>36</v>
      </c>
    </row>
    <row r="384" spans="1:27" x14ac:dyDescent="0.25">
      <c r="A384" s="17" t="s">
        <v>1194</v>
      </c>
      <c r="B384" s="18" t="s">
        <v>38</v>
      </c>
      <c r="C384" s="63" t="str" cm="1">
        <f t="array" ref="C384">_xlfn.SWITCH(Table22[[#This Row],[Country]],"USA","North America","Canada","North America","Brazil","South America","China","Asia","Japan","Asia","India","Asia","France","Europe","Germany","Europe","UK","Europe","Australia","Oceania","South America")</f>
        <v>Europe</v>
      </c>
      <c r="D384" s="18" t="s">
        <v>21</v>
      </c>
      <c r="E384" s="18" t="s">
        <v>33</v>
      </c>
      <c r="F384" s="18" t="s">
        <v>64</v>
      </c>
      <c r="G384" s="18" t="s">
        <v>48</v>
      </c>
      <c r="H384" s="64">
        <f>LEN(TRIM(Table22[[#This Row],[Country]]))</f>
        <v>6</v>
      </c>
      <c r="I384" s="64">
        <f>LEN(TRIM(Table22[[#This Row],[Continent]]))</f>
        <v>6</v>
      </c>
      <c r="J384" s="64">
        <f>LEN(TRIM(Table22[[#This Row],[Product]]))</f>
        <v>10</v>
      </c>
      <c r="K384" s="64">
        <f>LEN(TRIM(Table22[[#This Row],[Sales Team]]))</f>
        <v>9</v>
      </c>
      <c r="L384" s="23">
        <v>59</v>
      </c>
      <c r="M384" s="65" t="str" cm="1">
        <f t="array" ref="M384">_xlfn.IFS(Table22[[#This Row],[Units Sold]]&lt;40,"Critical",Table22[[#This Row],[Units Sold]]&lt;=50,"Poor",Table22[[#This Row],[Units Sold]]&lt;=60,"Low",Table22[[#This Row],[Units Sold]]&lt;=80,"Average",Table22[[#This Row],[Units Sold]]&lt;=90,"High",Table22[[#This Row],[Units Sold]]&lt;=95,"Excellent",Table22[[#This Row],[Units Sold]]&gt;95,"Outstanding")</f>
        <v>Low</v>
      </c>
      <c r="N384" s="29">
        <v>1188.19</v>
      </c>
      <c r="O384" s="29">
        <v>70103.210000000006</v>
      </c>
      <c r="P384" s="43">
        <f>IF(Table22[[#This Row],[Discount Applied]],Table22[[#This Row],[Total Sales (in USD)]]*(1-Table22[[#This Row],[Discount Percentage (%)]]/100),Table22[[#This Row],[Total Sales (in USD)]])</f>
        <v>70103.210000000006</v>
      </c>
      <c r="Q384" s="66">
        <f>SQRT(AVERAGE((Table22[[#This Row],[Net Sales (after discount) (in USD)]]-AVERAGE(Table22[Net Sales (after discount) (in USD)]))^2))</f>
        <v>33591.849436235469</v>
      </c>
      <c r="R384" s="18" t="b">
        <v>0</v>
      </c>
      <c r="S384" s="40">
        <v>27.1</v>
      </c>
      <c r="T384" s="18" t="b">
        <v>0</v>
      </c>
      <c r="U384" s="25">
        <v>45516</v>
      </c>
      <c r="V384" s="63" t="str">
        <f>IF(MONTH(Table22[[#This Row],[Sales Date]])&lt;=3,"Q1",IF(MONTH(Table22[[#This Row],[Sales Date]])&lt;=6,"Q2",IF(MONTH(Table22[[#This Row],[Sales Date]])&lt;=9,"Q3","Q4")))</f>
        <v>Q3</v>
      </c>
      <c r="W384" s="64">
        <f>YEAR(Table22[[#This Row],[Sales Date]])</f>
        <v>2024</v>
      </c>
      <c r="X384" s="23">
        <v>24</v>
      </c>
      <c r="Y384" s="18" t="s">
        <v>41</v>
      </c>
      <c r="Z384" s="18" t="s">
        <v>56</v>
      </c>
      <c r="AA384" s="19" t="s">
        <v>36</v>
      </c>
    </row>
    <row r="385" spans="1:27" x14ac:dyDescent="0.25">
      <c r="A385" s="17" t="s">
        <v>1230</v>
      </c>
      <c r="B385" s="18" t="s">
        <v>66</v>
      </c>
      <c r="C385" s="63" t="str" cm="1">
        <f t="array" ref="C385">_xlfn.SWITCH(Table22[[#This Row],[Country]],"USA","North America","Canada","North America","Brazil","South America","China","Asia","Japan","Asia","India","Asia","France","Europe","Germany","Europe","UK","Europe","Australia","Oceania","South America")</f>
        <v>North America</v>
      </c>
      <c r="D385" s="18" t="s">
        <v>28</v>
      </c>
      <c r="E385" s="18" t="s">
        <v>19</v>
      </c>
      <c r="F385" s="18" t="s">
        <v>34</v>
      </c>
      <c r="G385" s="18" t="s">
        <v>29</v>
      </c>
      <c r="H385" s="64">
        <f>LEN(TRIM(Table22[[#This Row],[Country]]))</f>
        <v>6</v>
      </c>
      <c r="I385" s="64">
        <f>LEN(TRIM(Table22[[#This Row],[Continent]]))</f>
        <v>13</v>
      </c>
      <c r="J385" s="64">
        <f>LEN(TRIM(Table22[[#This Row],[Product]]))</f>
        <v>6</v>
      </c>
      <c r="K385" s="64">
        <f>LEN(TRIM(Table22[[#This Row],[Sales Team]]))</f>
        <v>10</v>
      </c>
      <c r="L385" s="23">
        <v>49</v>
      </c>
      <c r="M385" s="65" t="str" cm="1">
        <f t="array" ref="M385">_xlfn.IFS(Table22[[#This Row],[Units Sold]]&lt;40,"Critical",Table22[[#This Row],[Units Sold]]&lt;=50,"Poor",Table22[[#This Row],[Units Sold]]&lt;=60,"Low",Table22[[#This Row],[Units Sold]]&lt;=80,"Average",Table22[[#This Row],[Units Sold]]&lt;=90,"High",Table22[[#This Row],[Units Sold]]&lt;=95,"Excellent",Table22[[#This Row],[Units Sold]]&gt;95,"Outstanding")</f>
        <v>Poor</v>
      </c>
      <c r="N385" s="29">
        <v>1430.06</v>
      </c>
      <c r="O385" s="29">
        <v>70072.94</v>
      </c>
      <c r="P385" s="43">
        <f>IF(Table22[[#This Row],[Discount Applied]],Table22[[#This Row],[Total Sales (in USD)]]*(1-Table22[[#This Row],[Discount Percentage (%)]]/100),Table22[[#This Row],[Total Sales (in USD)]])</f>
        <v>70072.94</v>
      </c>
      <c r="Q385" s="66">
        <f>SQRT(AVERAGE((Table22[[#This Row],[Net Sales (after discount) (in USD)]]-AVERAGE(Table22[Net Sales (after discount) (in USD)]))^2))</f>
        <v>33561.579436235465</v>
      </c>
      <c r="R385" s="18" t="b">
        <v>1</v>
      </c>
      <c r="S385" s="40">
        <v>14.09</v>
      </c>
      <c r="T385" s="18" t="b">
        <v>0</v>
      </c>
      <c r="U385" s="25">
        <v>45285</v>
      </c>
      <c r="V385" s="63" t="str">
        <f>IF(MONTH(Table22[[#This Row],[Sales Date]])&lt;=3,"Q1",IF(MONTH(Table22[[#This Row],[Sales Date]])&lt;=6,"Q2",IF(MONTH(Table22[[#This Row],[Sales Date]])&lt;=9,"Q3","Q4")))</f>
        <v>Q4</v>
      </c>
      <c r="W385" s="64">
        <f>YEAR(Table22[[#This Row],[Sales Date]])</f>
        <v>2023</v>
      </c>
      <c r="X385" s="23">
        <v>55</v>
      </c>
      <c r="Y385" s="18" t="s">
        <v>49</v>
      </c>
      <c r="Z385" s="18" t="s">
        <v>30</v>
      </c>
      <c r="AA385" s="19" t="s">
        <v>25</v>
      </c>
    </row>
    <row r="386" spans="1:27" x14ac:dyDescent="0.25">
      <c r="A386" s="17" t="s">
        <v>1893</v>
      </c>
      <c r="B386" s="18" t="s">
        <v>66</v>
      </c>
      <c r="C386" s="63" t="str" cm="1">
        <f t="array" ref="C386">_xlfn.SWITCH(Table22[[#This Row],[Country]],"USA","North America","Canada","North America","Brazil","South America","China","Asia","Japan","Asia","India","Asia","France","Europe","Germany","Europe","UK","Europe","Australia","Oceania","South America")</f>
        <v>North America</v>
      </c>
      <c r="D386" s="18" t="s">
        <v>44</v>
      </c>
      <c r="E386" s="18" t="s">
        <v>39</v>
      </c>
      <c r="F386" s="18" t="s">
        <v>34</v>
      </c>
      <c r="G386" s="18" t="s">
        <v>40</v>
      </c>
      <c r="H386" s="64">
        <f>LEN(TRIM(Table22[[#This Row],[Country]]))</f>
        <v>6</v>
      </c>
      <c r="I386" s="64">
        <f>LEN(TRIM(Table22[[#This Row],[Continent]]))</f>
        <v>13</v>
      </c>
      <c r="J386" s="64">
        <f>LEN(TRIM(Table22[[#This Row],[Product]]))</f>
        <v>10</v>
      </c>
      <c r="K386" s="64">
        <f>LEN(TRIM(Table22[[#This Row],[Sales Team]]))</f>
        <v>10</v>
      </c>
      <c r="L386" s="23">
        <v>50</v>
      </c>
      <c r="M386" s="65" t="str" cm="1">
        <f t="array" ref="M386">_xlfn.IFS(Table22[[#This Row],[Units Sold]]&lt;40,"Critical",Table22[[#This Row],[Units Sold]]&lt;=50,"Poor",Table22[[#This Row],[Units Sold]]&lt;=60,"Low",Table22[[#This Row],[Units Sold]]&lt;=80,"Average",Table22[[#This Row],[Units Sold]]&lt;=90,"High",Table22[[#This Row],[Units Sold]]&lt;=95,"Excellent",Table22[[#This Row],[Units Sold]]&gt;95,"Outstanding")</f>
        <v>Poor</v>
      </c>
      <c r="N386" s="29">
        <v>1399.46</v>
      </c>
      <c r="O386" s="29">
        <v>69973</v>
      </c>
      <c r="P386" s="43">
        <f>IF(Table22[[#This Row],[Discount Applied]],Table22[[#This Row],[Total Sales (in USD)]]*(1-Table22[[#This Row],[Discount Percentage (%)]]/100),Table22[[#This Row],[Total Sales (in USD)]])</f>
        <v>69973</v>
      </c>
      <c r="Q386" s="66">
        <f>SQRT(AVERAGE((Table22[[#This Row],[Net Sales (after discount) (in USD)]]-AVERAGE(Table22[Net Sales (after discount) (in USD)]))^2))</f>
        <v>33461.639436235462</v>
      </c>
      <c r="R386" s="18" t="b">
        <v>1</v>
      </c>
      <c r="S386" s="40">
        <v>12.38</v>
      </c>
      <c r="T386" s="18" t="b">
        <v>0</v>
      </c>
      <c r="U386" s="25">
        <v>45159</v>
      </c>
      <c r="V386" s="63" t="str">
        <f>IF(MONTH(Table22[[#This Row],[Sales Date]])&lt;=3,"Q1",IF(MONTH(Table22[[#This Row],[Sales Date]])&lt;=6,"Q2",IF(MONTH(Table22[[#This Row],[Sales Date]])&lt;=9,"Q3","Q4")))</f>
        <v>Q3</v>
      </c>
      <c r="W386" s="64">
        <f>YEAR(Table22[[#This Row],[Sales Date]])</f>
        <v>2023</v>
      </c>
      <c r="X386" s="23">
        <v>47</v>
      </c>
      <c r="Y386" s="18" t="s">
        <v>49</v>
      </c>
      <c r="Z386" s="18" t="s">
        <v>24</v>
      </c>
      <c r="AA386" s="19" t="s">
        <v>25</v>
      </c>
    </row>
    <row r="387" spans="1:27" x14ac:dyDescent="0.25">
      <c r="A387" s="17" t="s">
        <v>1455</v>
      </c>
      <c r="B387" s="18" t="s">
        <v>38</v>
      </c>
      <c r="C387" s="63" t="str" cm="1">
        <f t="array" ref="C387">_xlfn.SWITCH(Table22[[#This Row],[Country]],"USA","North America","Canada","North America","Brazil","South America","China","Asia","Japan","Asia","India","Asia","France","Europe","Germany","Europe","UK","Europe","Australia","Oceania","South America")</f>
        <v>Europe</v>
      </c>
      <c r="D387" s="18" t="s">
        <v>21</v>
      </c>
      <c r="E387" s="18" t="s">
        <v>33</v>
      </c>
      <c r="F387" s="18" t="s">
        <v>64</v>
      </c>
      <c r="G387" s="18" t="s">
        <v>22</v>
      </c>
      <c r="H387" s="64">
        <f>LEN(TRIM(Table22[[#This Row],[Country]]))</f>
        <v>6</v>
      </c>
      <c r="I387" s="64">
        <f>LEN(TRIM(Table22[[#This Row],[Continent]]))</f>
        <v>6</v>
      </c>
      <c r="J387" s="64">
        <f>LEN(TRIM(Table22[[#This Row],[Product]]))</f>
        <v>10</v>
      </c>
      <c r="K387" s="64">
        <f>LEN(TRIM(Table22[[#This Row],[Sales Team]]))</f>
        <v>10</v>
      </c>
      <c r="L387" s="23">
        <v>85</v>
      </c>
      <c r="M387" s="65" t="str" cm="1">
        <f t="array" ref="M387">_xlfn.IFS(Table22[[#This Row],[Units Sold]]&lt;40,"Critical",Table22[[#This Row],[Units Sold]]&lt;=50,"Poor",Table22[[#This Row],[Units Sold]]&lt;=60,"Low",Table22[[#This Row],[Units Sold]]&lt;=80,"Average",Table22[[#This Row],[Units Sold]]&lt;=90,"High",Table22[[#This Row],[Units Sold]]&lt;=95,"Excellent",Table22[[#This Row],[Units Sold]]&gt;95,"Outstanding")</f>
        <v>High</v>
      </c>
      <c r="N387" s="29">
        <v>822.43</v>
      </c>
      <c r="O387" s="29">
        <v>69906.55</v>
      </c>
      <c r="P387" s="43">
        <f>IF(Table22[[#This Row],[Discount Applied]],Table22[[#This Row],[Total Sales (in USD)]]*(1-Table22[[#This Row],[Discount Percentage (%)]]/100),Table22[[#This Row],[Total Sales (in USD)]])</f>
        <v>66404.231845000002</v>
      </c>
      <c r="Q387" s="66">
        <f>SQRT(AVERAGE((Table22[[#This Row],[Net Sales (after discount) (in USD)]]-AVERAGE(Table22[Net Sales (after discount) (in USD)]))^2))</f>
        <v>29892.871281235464</v>
      </c>
      <c r="R387" s="18" t="b">
        <v>0</v>
      </c>
      <c r="S387" s="40">
        <v>5.01</v>
      </c>
      <c r="T387" s="18" t="b">
        <v>1</v>
      </c>
      <c r="U387" s="25">
        <v>45440</v>
      </c>
      <c r="V387" s="63" t="str">
        <f>IF(MONTH(Table22[[#This Row],[Sales Date]])&lt;=3,"Q1",IF(MONTH(Table22[[#This Row],[Sales Date]])&lt;=6,"Q2",IF(MONTH(Table22[[#This Row],[Sales Date]])&lt;=9,"Q3","Q4")))</f>
        <v>Q2</v>
      </c>
      <c r="W387" s="64">
        <f>YEAR(Table22[[#This Row],[Sales Date]])</f>
        <v>2024</v>
      </c>
      <c r="X387" s="23">
        <v>42</v>
      </c>
      <c r="Y387" s="18" t="s">
        <v>23</v>
      </c>
      <c r="Z387" s="18" t="s">
        <v>56</v>
      </c>
      <c r="AA387" s="19" t="s">
        <v>36</v>
      </c>
    </row>
    <row r="388" spans="1:27" x14ac:dyDescent="0.25">
      <c r="A388" s="17" t="s">
        <v>743</v>
      </c>
      <c r="B388" s="18" t="s">
        <v>62</v>
      </c>
      <c r="C388" s="63" t="str" cm="1">
        <f t="array" ref="C388">_xlfn.SWITCH(Table22[[#This Row],[Country]],"USA","North America","Canada","North America","Brazil","South America","China","Asia","Japan","Asia","India","Asia","France","Europe","Germany","Europe","UK","Europe","Australia","Oceania","South America")</f>
        <v>Oceania</v>
      </c>
      <c r="D388" s="18" t="s">
        <v>44</v>
      </c>
      <c r="E388" s="18" t="s">
        <v>33</v>
      </c>
      <c r="F388" s="18" t="s">
        <v>64</v>
      </c>
      <c r="G388" s="18" t="s">
        <v>29</v>
      </c>
      <c r="H388" s="64">
        <f>LEN(TRIM(Table22[[#This Row],[Country]]))</f>
        <v>9</v>
      </c>
      <c r="I388" s="64">
        <f>LEN(TRIM(Table22[[#This Row],[Continent]]))</f>
        <v>7</v>
      </c>
      <c r="J388" s="64">
        <f>LEN(TRIM(Table22[[#This Row],[Product]]))</f>
        <v>10</v>
      </c>
      <c r="K388" s="64">
        <f>LEN(TRIM(Table22[[#This Row],[Sales Team]]))</f>
        <v>10</v>
      </c>
      <c r="L388" s="23">
        <v>48</v>
      </c>
      <c r="M388" s="65" t="str" cm="1">
        <f t="array" ref="M388">_xlfn.IFS(Table22[[#This Row],[Units Sold]]&lt;40,"Critical",Table22[[#This Row],[Units Sold]]&lt;=50,"Poor",Table22[[#This Row],[Units Sold]]&lt;=60,"Low",Table22[[#This Row],[Units Sold]]&lt;=80,"Average",Table22[[#This Row],[Units Sold]]&lt;=90,"High",Table22[[#This Row],[Units Sold]]&lt;=95,"Excellent",Table22[[#This Row],[Units Sold]]&gt;95,"Outstanding")</f>
        <v>Poor</v>
      </c>
      <c r="N388" s="29">
        <v>1453.9</v>
      </c>
      <c r="O388" s="29">
        <v>69787.199999999997</v>
      </c>
      <c r="P388" s="43">
        <f>IF(Table22[[#This Row],[Discount Applied]],Table22[[#This Row],[Total Sales (in USD)]]*(1-Table22[[#This Row],[Discount Percentage (%)]]/100),Table22[[#This Row],[Total Sales (in USD)]])</f>
        <v>56709.078719999998</v>
      </c>
      <c r="Q388" s="66">
        <f>SQRT(AVERAGE((Table22[[#This Row],[Net Sales (after discount) (in USD)]]-AVERAGE(Table22[Net Sales (after discount) (in USD)]))^2))</f>
        <v>20197.71815623546</v>
      </c>
      <c r="R388" s="18" t="b">
        <v>1</v>
      </c>
      <c r="S388" s="40">
        <v>18.739999999999998</v>
      </c>
      <c r="T388" s="18" t="b">
        <v>1</v>
      </c>
      <c r="U388" s="25">
        <v>45305</v>
      </c>
      <c r="V388" s="63" t="str">
        <f>IF(MONTH(Table22[[#This Row],[Sales Date]])&lt;=3,"Q1",IF(MONTH(Table22[[#This Row],[Sales Date]])&lt;=6,"Q2",IF(MONTH(Table22[[#This Row],[Sales Date]])&lt;=9,"Q3","Q4")))</f>
        <v>Q1</v>
      </c>
      <c r="W388" s="64">
        <f>YEAR(Table22[[#This Row],[Sales Date]])</f>
        <v>2024</v>
      </c>
      <c r="X388" s="23">
        <v>45</v>
      </c>
      <c r="Y388" s="18" t="s">
        <v>23</v>
      </c>
      <c r="Z388" s="18" t="s">
        <v>56</v>
      </c>
      <c r="AA388" s="19" t="s">
        <v>36</v>
      </c>
    </row>
    <row r="389" spans="1:27" x14ac:dyDescent="0.25">
      <c r="A389" s="17" t="s">
        <v>1798</v>
      </c>
      <c r="B389" s="18" t="s">
        <v>32</v>
      </c>
      <c r="C389" s="63" t="str" cm="1">
        <f t="array" ref="C389">_xlfn.SWITCH(Table22[[#This Row],[Country]],"USA","North America","Canada","North America","Brazil","South America","China","Asia","Japan","Asia","India","Asia","France","Europe","Germany","Europe","UK","Europe","Australia","Oceania","South America")</f>
        <v>Asia</v>
      </c>
      <c r="D389" s="18" t="s">
        <v>35</v>
      </c>
      <c r="E389" s="18" t="s">
        <v>19</v>
      </c>
      <c r="F389" s="18" t="s">
        <v>47</v>
      </c>
      <c r="G389" s="18" t="s">
        <v>29</v>
      </c>
      <c r="H389" s="64">
        <f>LEN(TRIM(Table22[[#This Row],[Country]]))</f>
        <v>5</v>
      </c>
      <c r="I389" s="64">
        <f>LEN(TRIM(Table22[[#This Row],[Continent]]))</f>
        <v>4</v>
      </c>
      <c r="J389" s="64">
        <f>LEN(TRIM(Table22[[#This Row],[Product]]))</f>
        <v>6</v>
      </c>
      <c r="K389" s="64">
        <f>LEN(TRIM(Table22[[#This Row],[Sales Team]]))</f>
        <v>10</v>
      </c>
      <c r="L389" s="23">
        <v>69</v>
      </c>
      <c r="M389" s="65" t="str" cm="1">
        <f t="array" ref="M389">_xlfn.IFS(Table22[[#This Row],[Units Sold]]&lt;40,"Critical",Table22[[#This Row],[Units Sold]]&lt;=50,"Poor",Table22[[#This Row],[Units Sold]]&lt;=60,"Low",Table22[[#This Row],[Units Sold]]&lt;=80,"Average",Table22[[#This Row],[Units Sold]]&lt;=90,"High",Table22[[#This Row],[Units Sold]]&lt;=95,"Excellent",Table22[[#This Row],[Units Sold]]&gt;95,"Outstanding")</f>
        <v>Average</v>
      </c>
      <c r="N389" s="29">
        <v>1008.79</v>
      </c>
      <c r="O389" s="29">
        <v>69606.509999999995</v>
      </c>
      <c r="P389" s="43">
        <f>IF(Table22[[#This Row],[Discount Applied]],Table22[[#This Row],[Total Sales (in USD)]]*(1-Table22[[#This Row],[Discount Percentage (%)]]/100),Table22[[#This Row],[Total Sales (in USD)]])</f>
        <v>69606.509999999995</v>
      </c>
      <c r="Q389" s="66">
        <f>SQRT(AVERAGE((Table22[[#This Row],[Net Sales (after discount) (in USD)]]-AVERAGE(Table22[Net Sales (after discount) (in USD)]))^2))</f>
        <v>33095.149436235457</v>
      </c>
      <c r="R389" s="18" t="b">
        <v>0</v>
      </c>
      <c r="S389" s="40">
        <v>21.56</v>
      </c>
      <c r="T389" s="18" t="b">
        <v>0</v>
      </c>
      <c r="U389" s="25">
        <v>45127</v>
      </c>
      <c r="V389" s="63" t="str">
        <f>IF(MONTH(Table22[[#This Row],[Sales Date]])&lt;=3,"Q1",IF(MONTH(Table22[[#This Row],[Sales Date]])&lt;=6,"Q2",IF(MONTH(Table22[[#This Row],[Sales Date]])&lt;=9,"Q3","Q4")))</f>
        <v>Q3</v>
      </c>
      <c r="W389" s="64">
        <f>YEAR(Table22[[#This Row],[Sales Date]])</f>
        <v>2023</v>
      </c>
      <c r="X389" s="23">
        <v>30</v>
      </c>
      <c r="Y389" s="18" t="s">
        <v>23</v>
      </c>
      <c r="Z389" s="18" t="s">
        <v>24</v>
      </c>
      <c r="AA389" s="19" t="s">
        <v>36</v>
      </c>
    </row>
    <row r="390" spans="1:27" x14ac:dyDescent="0.25">
      <c r="A390" s="17" t="s">
        <v>310</v>
      </c>
      <c r="B390" s="18" t="s">
        <v>76</v>
      </c>
      <c r="C390" s="63" t="str" cm="1">
        <f t="array" ref="C390">_xlfn.SWITCH(Table22[[#This Row],[Country]],"USA","North America","Canada","North America","Brazil","South America","China","Asia","Japan","Asia","India","Asia","France","Europe","Germany","Europe","UK","Europe","Australia","Oceania","South America")</f>
        <v>Asia</v>
      </c>
      <c r="D390" s="18" t="s">
        <v>44</v>
      </c>
      <c r="E390" s="18" t="s">
        <v>33</v>
      </c>
      <c r="F390" s="18" t="s">
        <v>64</v>
      </c>
      <c r="G390" s="18" t="s">
        <v>29</v>
      </c>
      <c r="H390" s="64">
        <f>LEN(TRIM(Table22[[#This Row],[Country]]))</f>
        <v>5</v>
      </c>
      <c r="I390" s="64">
        <f>LEN(TRIM(Table22[[#This Row],[Continent]]))</f>
        <v>4</v>
      </c>
      <c r="J390" s="64">
        <f>LEN(TRIM(Table22[[#This Row],[Product]]))</f>
        <v>10</v>
      </c>
      <c r="K390" s="64">
        <f>LEN(TRIM(Table22[[#This Row],[Sales Team]]))</f>
        <v>10</v>
      </c>
      <c r="L390" s="23">
        <v>81</v>
      </c>
      <c r="M390" s="65" t="str" cm="1">
        <f t="array" ref="M390">_xlfn.IFS(Table22[[#This Row],[Units Sold]]&lt;40,"Critical",Table22[[#This Row],[Units Sold]]&lt;=50,"Poor",Table22[[#This Row],[Units Sold]]&lt;=60,"Low",Table22[[#This Row],[Units Sold]]&lt;=80,"Average",Table22[[#This Row],[Units Sold]]&lt;=90,"High",Table22[[#This Row],[Units Sold]]&lt;=95,"Excellent",Table22[[#This Row],[Units Sold]]&gt;95,"Outstanding")</f>
        <v>High</v>
      </c>
      <c r="N390" s="29">
        <v>854.98</v>
      </c>
      <c r="O390" s="29">
        <v>69253.38</v>
      </c>
      <c r="P390" s="43">
        <f>IF(Table22[[#This Row],[Discount Applied]],Table22[[#This Row],[Total Sales (in USD)]]*(1-Table22[[#This Row],[Discount Percentage (%)]]/100),Table22[[#This Row],[Total Sales (in USD)]])</f>
        <v>69253.38</v>
      </c>
      <c r="Q390" s="66">
        <f>SQRT(AVERAGE((Table22[[#This Row],[Net Sales (after discount) (in USD)]]-AVERAGE(Table22[Net Sales (after discount) (in USD)]))^2))</f>
        <v>32742.019436235467</v>
      </c>
      <c r="R390" s="18" t="b">
        <v>0</v>
      </c>
      <c r="S390" s="40">
        <v>23.55</v>
      </c>
      <c r="T390" s="18" t="b">
        <v>0</v>
      </c>
      <c r="U390" s="25">
        <v>45320</v>
      </c>
      <c r="V390" s="63" t="str">
        <f>IF(MONTH(Table22[[#This Row],[Sales Date]])&lt;=3,"Q1",IF(MONTH(Table22[[#This Row],[Sales Date]])&lt;=6,"Q2",IF(MONTH(Table22[[#This Row],[Sales Date]])&lt;=9,"Q3","Q4")))</f>
        <v>Q1</v>
      </c>
      <c r="W390" s="64">
        <f>YEAR(Table22[[#This Row],[Sales Date]])</f>
        <v>2024</v>
      </c>
      <c r="X390" s="23">
        <v>59</v>
      </c>
      <c r="Y390" s="18" t="s">
        <v>23</v>
      </c>
      <c r="Z390" s="18" t="s">
        <v>56</v>
      </c>
      <c r="AA390" s="19" t="s">
        <v>25</v>
      </c>
    </row>
    <row r="391" spans="1:27" x14ac:dyDescent="0.25">
      <c r="A391" s="17" t="s">
        <v>1269</v>
      </c>
      <c r="B391" s="18" t="s">
        <v>46</v>
      </c>
      <c r="C391" s="63" t="str" cm="1">
        <f t="array" ref="C391">_xlfn.SWITCH(Table22[[#This Row],[Country]],"USA","North America","Canada","North America","Brazil","South America","China","Asia","Japan","Asia","India","Asia","France","Europe","Germany","Europe","UK","Europe","Australia","Oceania","South America")</f>
        <v>South America</v>
      </c>
      <c r="D391" s="18" t="s">
        <v>28</v>
      </c>
      <c r="E391" s="18" t="s">
        <v>39</v>
      </c>
      <c r="F391" s="18" t="s">
        <v>47</v>
      </c>
      <c r="G391" s="18" t="s">
        <v>29</v>
      </c>
      <c r="H391" s="64">
        <f>LEN(TRIM(Table22[[#This Row],[Country]]))</f>
        <v>6</v>
      </c>
      <c r="I391" s="64">
        <f>LEN(TRIM(Table22[[#This Row],[Continent]]))</f>
        <v>13</v>
      </c>
      <c r="J391" s="64">
        <f>LEN(TRIM(Table22[[#This Row],[Product]]))</f>
        <v>10</v>
      </c>
      <c r="K391" s="64">
        <f>LEN(TRIM(Table22[[#This Row],[Sales Team]]))</f>
        <v>10</v>
      </c>
      <c r="L391" s="23">
        <v>86</v>
      </c>
      <c r="M391" s="65" t="str" cm="1">
        <f t="array" ref="M391">_xlfn.IFS(Table22[[#This Row],[Units Sold]]&lt;40,"Critical",Table22[[#This Row],[Units Sold]]&lt;=50,"Poor",Table22[[#This Row],[Units Sold]]&lt;=60,"Low",Table22[[#This Row],[Units Sold]]&lt;=80,"Average",Table22[[#This Row],[Units Sold]]&lt;=90,"High",Table22[[#This Row],[Units Sold]]&lt;=95,"Excellent",Table22[[#This Row],[Units Sold]]&gt;95,"Outstanding")</f>
        <v>High</v>
      </c>
      <c r="N391" s="29">
        <v>804.83</v>
      </c>
      <c r="O391" s="29">
        <v>69215.38</v>
      </c>
      <c r="P391" s="43">
        <f>IF(Table22[[#This Row],[Discount Applied]],Table22[[#This Row],[Total Sales (in USD)]]*(1-Table22[[#This Row],[Discount Percentage (%)]]/100),Table22[[#This Row],[Total Sales (in USD)]])</f>
        <v>69215.38</v>
      </c>
      <c r="Q391" s="66">
        <f>SQRT(AVERAGE((Table22[[#This Row],[Net Sales (after discount) (in USD)]]-AVERAGE(Table22[Net Sales (after discount) (in USD)]))^2))</f>
        <v>32704.019436235467</v>
      </c>
      <c r="R391" s="18" t="b">
        <v>1</v>
      </c>
      <c r="S391" s="40">
        <v>21.17</v>
      </c>
      <c r="T391" s="18" t="b">
        <v>0</v>
      </c>
      <c r="U391" s="25">
        <v>45021</v>
      </c>
      <c r="V391" s="63" t="str">
        <f>IF(MONTH(Table22[[#This Row],[Sales Date]])&lt;=3,"Q1",IF(MONTH(Table22[[#This Row],[Sales Date]])&lt;=6,"Q2",IF(MONTH(Table22[[#This Row],[Sales Date]])&lt;=9,"Q3","Q4")))</f>
        <v>Q2</v>
      </c>
      <c r="W391" s="64">
        <f>YEAR(Table22[[#This Row],[Sales Date]])</f>
        <v>2023</v>
      </c>
      <c r="X391" s="23">
        <v>39</v>
      </c>
      <c r="Y391" s="18" t="s">
        <v>49</v>
      </c>
      <c r="Z391" s="18" t="s">
        <v>24</v>
      </c>
      <c r="AA391" s="19" t="s">
        <v>36</v>
      </c>
    </row>
    <row r="392" spans="1:27" x14ac:dyDescent="0.25">
      <c r="A392" s="17" t="s">
        <v>2021</v>
      </c>
      <c r="B392" s="18" t="s">
        <v>46</v>
      </c>
      <c r="C392" s="63" t="str" cm="1">
        <f t="array" ref="C392">_xlfn.SWITCH(Table22[[#This Row],[Country]],"USA","North America","Canada","North America","Brazil","South America","China","Asia","Japan","Asia","India","Asia","France","Europe","Germany","Europe","UK","Europe","Australia","Oceania","South America")</f>
        <v>South America</v>
      </c>
      <c r="D392" s="18" t="s">
        <v>35</v>
      </c>
      <c r="E392" s="18" t="s">
        <v>19</v>
      </c>
      <c r="F392" s="18" t="s">
        <v>20</v>
      </c>
      <c r="G392" s="18" t="s">
        <v>48</v>
      </c>
      <c r="H392" s="64">
        <f>LEN(TRIM(Table22[[#This Row],[Country]]))</f>
        <v>6</v>
      </c>
      <c r="I392" s="64">
        <f>LEN(TRIM(Table22[[#This Row],[Continent]]))</f>
        <v>13</v>
      </c>
      <c r="J392" s="64">
        <f>LEN(TRIM(Table22[[#This Row],[Product]]))</f>
        <v>6</v>
      </c>
      <c r="K392" s="64">
        <f>LEN(TRIM(Table22[[#This Row],[Sales Team]]))</f>
        <v>9</v>
      </c>
      <c r="L392" s="23">
        <v>70</v>
      </c>
      <c r="M392" s="65" t="str" cm="1">
        <f t="array" ref="M392">_xlfn.IFS(Table22[[#This Row],[Units Sold]]&lt;40,"Critical",Table22[[#This Row],[Units Sold]]&lt;=50,"Poor",Table22[[#This Row],[Units Sold]]&lt;=60,"Low",Table22[[#This Row],[Units Sold]]&lt;=80,"Average",Table22[[#This Row],[Units Sold]]&lt;=90,"High",Table22[[#This Row],[Units Sold]]&lt;=95,"Excellent",Table22[[#This Row],[Units Sold]]&gt;95,"Outstanding")</f>
        <v>Average</v>
      </c>
      <c r="N392" s="29">
        <v>988.31</v>
      </c>
      <c r="O392" s="29">
        <v>69181.7</v>
      </c>
      <c r="P392" s="43">
        <f>IF(Table22[[#This Row],[Discount Applied]],Table22[[#This Row],[Total Sales (in USD)]]*(1-Table22[[#This Row],[Discount Percentage (%)]]/100),Table22[[#This Row],[Total Sales (in USD)]])</f>
        <v>59433.998469999999</v>
      </c>
      <c r="Q392" s="66">
        <f>SQRT(AVERAGE((Table22[[#This Row],[Net Sales (after discount) (in USD)]]-AVERAGE(Table22[Net Sales (after discount) (in USD)]))^2))</f>
        <v>22922.637906235461</v>
      </c>
      <c r="R392" s="18" t="b">
        <v>0</v>
      </c>
      <c r="S392" s="40">
        <v>14.09</v>
      </c>
      <c r="T392" s="18" t="b">
        <v>1</v>
      </c>
      <c r="U392" s="25">
        <v>45236</v>
      </c>
      <c r="V392" s="63" t="str">
        <f>IF(MONTH(Table22[[#This Row],[Sales Date]])&lt;=3,"Q1",IF(MONTH(Table22[[#This Row],[Sales Date]])&lt;=6,"Q2",IF(MONTH(Table22[[#This Row],[Sales Date]])&lt;=9,"Q3","Q4")))</f>
        <v>Q4</v>
      </c>
      <c r="W392" s="64">
        <f>YEAR(Table22[[#This Row],[Sales Date]])</f>
        <v>2023</v>
      </c>
      <c r="X392" s="23">
        <v>60</v>
      </c>
      <c r="Y392" s="18" t="s">
        <v>41</v>
      </c>
      <c r="Z392" s="18" t="s">
        <v>42</v>
      </c>
      <c r="AA392" s="19" t="s">
        <v>36</v>
      </c>
    </row>
    <row r="393" spans="1:27" x14ac:dyDescent="0.25">
      <c r="A393" s="17" t="s">
        <v>1542</v>
      </c>
      <c r="B393" s="18" t="s">
        <v>66</v>
      </c>
      <c r="C393" s="63" t="str" cm="1">
        <f t="array" ref="C393">_xlfn.SWITCH(Table22[[#This Row],[Country]],"USA","North America","Canada","North America","Brazil","South America","China","Asia","Japan","Asia","India","Asia","France","Europe","Germany","Europe","UK","Europe","Australia","Oceania","South America")</f>
        <v>North America</v>
      </c>
      <c r="D393" s="18" t="s">
        <v>35</v>
      </c>
      <c r="E393" s="18" t="s">
        <v>39</v>
      </c>
      <c r="F393" s="18" t="s">
        <v>34</v>
      </c>
      <c r="G393" s="18" t="s">
        <v>22</v>
      </c>
      <c r="H393" s="64">
        <f>LEN(TRIM(Table22[[#This Row],[Country]]))</f>
        <v>6</v>
      </c>
      <c r="I393" s="64">
        <f>LEN(TRIM(Table22[[#This Row],[Continent]]))</f>
        <v>13</v>
      </c>
      <c r="J393" s="64">
        <f>LEN(TRIM(Table22[[#This Row],[Product]]))</f>
        <v>10</v>
      </c>
      <c r="K393" s="64">
        <f>LEN(TRIM(Table22[[#This Row],[Sales Team]]))</f>
        <v>10</v>
      </c>
      <c r="L393" s="23">
        <v>52</v>
      </c>
      <c r="M393" s="65" t="str" cm="1">
        <f t="array" ref="M393">_xlfn.IFS(Table22[[#This Row],[Units Sold]]&lt;40,"Critical",Table22[[#This Row],[Units Sold]]&lt;=50,"Poor",Table22[[#This Row],[Units Sold]]&lt;=60,"Low",Table22[[#This Row],[Units Sold]]&lt;=80,"Average",Table22[[#This Row],[Units Sold]]&lt;=90,"High",Table22[[#This Row],[Units Sold]]&lt;=95,"Excellent",Table22[[#This Row],[Units Sold]]&gt;95,"Outstanding")</f>
        <v>Low</v>
      </c>
      <c r="N393" s="29">
        <v>1326.97</v>
      </c>
      <c r="O393" s="29">
        <v>69002.44</v>
      </c>
      <c r="P393" s="43">
        <f>IF(Table22[[#This Row],[Discount Applied]],Table22[[#This Row],[Total Sales (in USD)]]*(1-Table22[[#This Row],[Discount Percentage (%)]]/100),Table22[[#This Row],[Total Sales (in USD)]])</f>
        <v>69002.44</v>
      </c>
      <c r="Q393" s="66">
        <f>SQRT(AVERAGE((Table22[[#This Row],[Net Sales (after discount) (in USD)]]-AVERAGE(Table22[Net Sales (after discount) (in USD)]))^2))</f>
        <v>32491.079436235465</v>
      </c>
      <c r="R393" s="18" t="b">
        <v>1</v>
      </c>
      <c r="S393" s="40">
        <v>1.92</v>
      </c>
      <c r="T393" s="18" t="b">
        <v>0</v>
      </c>
      <c r="U393" s="25">
        <v>45021</v>
      </c>
      <c r="V393" s="63" t="str">
        <f>IF(MONTH(Table22[[#This Row],[Sales Date]])&lt;=3,"Q1",IF(MONTH(Table22[[#This Row],[Sales Date]])&lt;=6,"Q2",IF(MONTH(Table22[[#This Row],[Sales Date]])&lt;=9,"Q3","Q4")))</f>
        <v>Q2</v>
      </c>
      <c r="W393" s="64">
        <f>YEAR(Table22[[#This Row],[Sales Date]])</f>
        <v>2023</v>
      </c>
      <c r="X393" s="23">
        <v>61</v>
      </c>
      <c r="Y393" s="18" t="s">
        <v>23</v>
      </c>
      <c r="Z393" s="18" t="s">
        <v>42</v>
      </c>
      <c r="AA393" s="19" t="s">
        <v>36</v>
      </c>
    </row>
    <row r="394" spans="1:27" x14ac:dyDescent="0.25">
      <c r="A394" s="17" t="s">
        <v>61</v>
      </c>
      <c r="B394" s="18" t="s">
        <v>62</v>
      </c>
      <c r="C394" s="63" t="str" cm="1">
        <f t="array" ref="C394">_xlfn.SWITCH(Table22[[#This Row],[Country]],"USA","North America","Canada","North America","Brazil","South America","China","Asia","Japan","Asia","India","Asia","France","Europe","Germany","Europe","UK","Europe","Australia","Oceania","South America")</f>
        <v>Oceania</v>
      </c>
      <c r="D394" s="18" t="s">
        <v>21</v>
      </c>
      <c r="E394" s="18" t="s">
        <v>33</v>
      </c>
      <c r="F394" s="18" t="s">
        <v>20</v>
      </c>
      <c r="G394" s="18" t="s">
        <v>48</v>
      </c>
      <c r="H394" s="64">
        <f>LEN(TRIM(Table22[[#This Row],[Country]]))</f>
        <v>9</v>
      </c>
      <c r="I394" s="64">
        <f>LEN(TRIM(Table22[[#This Row],[Continent]]))</f>
        <v>7</v>
      </c>
      <c r="J394" s="64">
        <f>LEN(TRIM(Table22[[#This Row],[Product]]))</f>
        <v>10</v>
      </c>
      <c r="K394" s="64">
        <f>LEN(TRIM(Table22[[#This Row],[Sales Team]]))</f>
        <v>9</v>
      </c>
      <c r="L394" s="23">
        <v>56</v>
      </c>
      <c r="M394" s="65" t="str" cm="1">
        <f t="array" ref="M394">_xlfn.IFS(Table22[[#This Row],[Units Sold]]&lt;40,"Critical",Table22[[#This Row],[Units Sold]]&lt;=50,"Poor",Table22[[#This Row],[Units Sold]]&lt;=60,"Low",Table22[[#This Row],[Units Sold]]&lt;=80,"Average",Table22[[#This Row],[Units Sold]]&lt;=90,"High",Table22[[#This Row],[Units Sold]]&lt;=95,"Excellent",Table22[[#This Row],[Units Sold]]&gt;95,"Outstanding")</f>
        <v>Low</v>
      </c>
      <c r="N394" s="29">
        <v>1229.74</v>
      </c>
      <c r="O394" s="29">
        <v>68865.440000000002</v>
      </c>
      <c r="P394" s="43">
        <f>IF(Table22[[#This Row],[Discount Applied]],Table22[[#This Row],[Total Sales (in USD)]]*(1-Table22[[#This Row],[Discount Percentage (%)]]/100),Table22[[#This Row],[Total Sales (in USD)]])</f>
        <v>68865.440000000002</v>
      </c>
      <c r="Q394" s="66">
        <f>SQRT(AVERAGE((Table22[[#This Row],[Net Sales (after discount) (in USD)]]-AVERAGE(Table22[Net Sales (after discount) (in USD)]))^2))</f>
        <v>32354.079436235465</v>
      </c>
      <c r="R394" s="18" t="b">
        <v>0</v>
      </c>
      <c r="S394" s="40">
        <v>1.1499999999999999</v>
      </c>
      <c r="T394" s="18" t="b">
        <v>0</v>
      </c>
      <c r="U394" s="25">
        <v>44942</v>
      </c>
      <c r="V394" s="63" t="str">
        <f>IF(MONTH(Table22[[#This Row],[Sales Date]])&lt;=3,"Q1",IF(MONTH(Table22[[#This Row],[Sales Date]])&lt;=6,"Q2",IF(MONTH(Table22[[#This Row],[Sales Date]])&lt;=9,"Q3","Q4")))</f>
        <v>Q1</v>
      </c>
      <c r="W394" s="64">
        <f>YEAR(Table22[[#This Row],[Sales Date]])</f>
        <v>2023</v>
      </c>
      <c r="X394" s="23">
        <v>35</v>
      </c>
      <c r="Y394" s="18" t="s">
        <v>41</v>
      </c>
      <c r="Z394" s="18" t="s">
        <v>24</v>
      </c>
      <c r="AA394" s="19" t="s">
        <v>25</v>
      </c>
    </row>
    <row r="395" spans="1:27" x14ac:dyDescent="0.25">
      <c r="A395" s="17" t="s">
        <v>1311</v>
      </c>
      <c r="B395" s="18" t="s">
        <v>72</v>
      </c>
      <c r="C395" s="63" t="str" cm="1">
        <f t="array" ref="C395">_xlfn.SWITCH(Table22[[#This Row],[Country]],"USA","North America","Canada","North America","Brazil","South America","China","Asia","Japan","Asia","India","Asia","France","Europe","Germany","Europe","UK","Europe","Australia","Oceania","South America")</f>
        <v>North America</v>
      </c>
      <c r="D395" s="18" t="s">
        <v>44</v>
      </c>
      <c r="E395" s="18" t="s">
        <v>39</v>
      </c>
      <c r="F395" s="18" t="s">
        <v>20</v>
      </c>
      <c r="G395" s="18" t="s">
        <v>22</v>
      </c>
      <c r="H395" s="64">
        <f>LEN(TRIM(Table22[[#This Row],[Country]]))</f>
        <v>3</v>
      </c>
      <c r="I395" s="64">
        <f>LEN(TRIM(Table22[[#This Row],[Continent]]))</f>
        <v>13</v>
      </c>
      <c r="J395" s="64">
        <f>LEN(TRIM(Table22[[#This Row],[Product]]))</f>
        <v>10</v>
      </c>
      <c r="K395" s="64">
        <f>LEN(TRIM(Table22[[#This Row],[Sales Team]]))</f>
        <v>10</v>
      </c>
      <c r="L395" s="23">
        <v>85</v>
      </c>
      <c r="M395" s="65" t="str" cm="1">
        <f t="array" ref="M395">_xlfn.IFS(Table22[[#This Row],[Units Sold]]&lt;40,"Critical",Table22[[#This Row],[Units Sold]]&lt;=50,"Poor",Table22[[#This Row],[Units Sold]]&lt;=60,"Low",Table22[[#This Row],[Units Sold]]&lt;=80,"Average",Table22[[#This Row],[Units Sold]]&lt;=90,"High",Table22[[#This Row],[Units Sold]]&lt;=95,"Excellent",Table22[[#This Row],[Units Sold]]&gt;95,"Outstanding")</f>
        <v>High</v>
      </c>
      <c r="N395" s="29">
        <v>808.72</v>
      </c>
      <c r="O395" s="29">
        <v>68741.2</v>
      </c>
      <c r="P395" s="43">
        <f>IF(Table22[[#This Row],[Discount Applied]],Table22[[#This Row],[Total Sales (in USD)]]*(1-Table22[[#This Row],[Discount Percentage (%)]]/100),Table22[[#This Row],[Total Sales (in USD)]])</f>
        <v>68741.2</v>
      </c>
      <c r="Q395" s="66">
        <f>SQRT(AVERAGE((Table22[[#This Row],[Net Sales (after discount) (in USD)]]-AVERAGE(Table22[Net Sales (after discount) (in USD)]))^2))</f>
        <v>32229.839436235459</v>
      </c>
      <c r="R395" s="18" t="b">
        <v>1</v>
      </c>
      <c r="S395" s="40">
        <v>23.25</v>
      </c>
      <c r="T395" s="18" t="b">
        <v>0</v>
      </c>
      <c r="U395" s="25">
        <v>45234</v>
      </c>
      <c r="V395" s="63" t="str">
        <f>IF(MONTH(Table22[[#This Row],[Sales Date]])&lt;=3,"Q1",IF(MONTH(Table22[[#This Row],[Sales Date]])&lt;=6,"Q2",IF(MONTH(Table22[[#This Row],[Sales Date]])&lt;=9,"Q3","Q4")))</f>
        <v>Q4</v>
      </c>
      <c r="W395" s="64">
        <f>YEAR(Table22[[#This Row],[Sales Date]])</f>
        <v>2023</v>
      </c>
      <c r="X395" s="23">
        <v>27</v>
      </c>
      <c r="Y395" s="18" t="s">
        <v>41</v>
      </c>
      <c r="Z395" s="18" t="s">
        <v>30</v>
      </c>
      <c r="AA395" s="19" t="s">
        <v>25</v>
      </c>
    </row>
    <row r="396" spans="1:27" x14ac:dyDescent="0.25">
      <c r="A396" s="17" t="s">
        <v>1283</v>
      </c>
      <c r="B396" s="18" t="s">
        <v>72</v>
      </c>
      <c r="C396" s="63" t="str" cm="1">
        <f t="array" ref="C396">_xlfn.SWITCH(Table22[[#This Row],[Country]],"USA","North America","Canada","North America","Brazil","South America","China","Asia","Japan","Asia","India","Asia","France","Europe","Germany","Europe","UK","Europe","Australia","Oceania","South America")</f>
        <v>North America</v>
      </c>
      <c r="D396" s="18" t="s">
        <v>44</v>
      </c>
      <c r="E396" s="18" t="s">
        <v>33</v>
      </c>
      <c r="F396" s="18" t="s">
        <v>64</v>
      </c>
      <c r="G396" s="18" t="s">
        <v>48</v>
      </c>
      <c r="H396" s="64">
        <f>LEN(TRIM(Table22[[#This Row],[Country]]))</f>
        <v>3</v>
      </c>
      <c r="I396" s="64">
        <f>LEN(TRIM(Table22[[#This Row],[Continent]]))</f>
        <v>13</v>
      </c>
      <c r="J396" s="64">
        <f>LEN(TRIM(Table22[[#This Row],[Product]]))</f>
        <v>10</v>
      </c>
      <c r="K396" s="64">
        <f>LEN(TRIM(Table22[[#This Row],[Sales Team]]))</f>
        <v>9</v>
      </c>
      <c r="L396" s="23">
        <v>46</v>
      </c>
      <c r="M396" s="65" t="str" cm="1">
        <f t="array" ref="M396">_xlfn.IFS(Table22[[#This Row],[Units Sold]]&lt;40,"Critical",Table22[[#This Row],[Units Sold]]&lt;=50,"Poor",Table22[[#This Row],[Units Sold]]&lt;=60,"Low",Table22[[#This Row],[Units Sold]]&lt;=80,"Average",Table22[[#This Row],[Units Sold]]&lt;=90,"High",Table22[[#This Row],[Units Sold]]&lt;=95,"Excellent",Table22[[#This Row],[Units Sold]]&gt;95,"Outstanding")</f>
        <v>Poor</v>
      </c>
      <c r="N396" s="29">
        <v>1487.96</v>
      </c>
      <c r="O396" s="29">
        <v>68446.16</v>
      </c>
      <c r="P396" s="43">
        <f>IF(Table22[[#This Row],[Discount Applied]],Table22[[#This Row],[Total Sales (in USD)]]*(1-Table22[[#This Row],[Discount Percentage (%)]]/100),Table22[[#This Row],[Total Sales (in USD)]])</f>
        <v>59856.166920000003</v>
      </c>
      <c r="Q396" s="66">
        <f>SQRT(AVERAGE((Table22[[#This Row],[Net Sales (after discount) (in USD)]]-AVERAGE(Table22[Net Sales (after discount) (in USD)]))^2))</f>
        <v>23344.806356235466</v>
      </c>
      <c r="R396" s="18" t="b">
        <v>1</v>
      </c>
      <c r="S396" s="40">
        <v>12.55</v>
      </c>
      <c r="T396" s="18" t="b">
        <v>1</v>
      </c>
      <c r="U396" s="25">
        <v>45083</v>
      </c>
      <c r="V396" s="63" t="str">
        <f>IF(MONTH(Table22[[#This Row],[Sales Date]])&lt;=3,"Q1",IF(MONTH(Table22[[#This Row],[Sales Date]])&lt;=6,"Q2",IF(MONTH(Table22[[#This Row],[Sales Date]])&lt;=9,"Q3","Q4")))</f>
        <v>Q2</v>
      </c>
      <c r="W396" s="64">
        <f>YEAR(Table22[[#This Row],[Sales Date]])</f>
        <v>2023</v>
      </c>
      <c r="X396" s="23">
        <v>36</v>
      </c>
      <c r="Y396" s="18" t="s">
        <v>41</v>
      </c>
      <c r="Z396" s="18" t="s">
        <v>24</v>
      </c>
      <c r="AA396" s="19" t="s">
        <v>36</v>
      </c>
    </row>
    <row r="397" spans="1:27" x14ac:dyDescent="0.25">
      <c r="A397" s="17" t="s">
        <v>1461</v>
      </c>
      <c r="B397" s="18" t="s">
        <v>27</v>
      </c>
      <c r="C397" s="63" t="str" cm="1">
        <f t="array" ref="C397">_xlfn.SWITCH(Table22[[#This Row],[Country]],"USA","North America","Canada","North America","Brazil","South America","China","Asia","Japan","Asia","India","Asia","France","Europe","Germany","Europe","UK","Europe","Australia","Oceania","South America")</f>
        <v>Europe</v>
      </c>
      <c r="D397" s="18" t="s">
        <v>44</v>
      </c>
      <c r="E397" s="18" t="s">
        <v>19</v>
      </c>
      <c r="F397" s="18" t="s">
        <v>34</v>
      </c>
      <c r="G397" s="18" t="s">
        <v>40</v>
      </c>
      <c r="H397" s="64">
        <f>LEN(TRIM(Table22[[#This Row],[Country]]))</f>
        <v>7</v>
      </c>
      <c r="I397" s="64">
        <f>LEN(TRIM(Table22[[#This Row],[Continent]]))</f>
        <v>6</v>
      </c>
      <c r="J397" s="64">
        <f>LEN(TRIM(Table22[[#This Row],[Product]]))</f>
        <v>6</v>
      </c>
      <c r="K397" s="64">
        <f>LEN(TRIM(Table22[[#This Row],[Sales Team]]))</f>
        <v>10</v>
      </c>
      <c r="L397" s="23">
        <v>85</v>
      </c>
      <c r="M397" s="65" t="str" cm="1">
        <f t="array" ref="M397">_xlfn.IFS(Table22[[#This Row],[Units Sold]]&lt;40,"Critical",Table22[[#This Row],[Units Sold]]&lt;=50,"Poor",Table22[[#This Row],[Units Sold]]&lt;=60,"Low",Table22[[#This Row],[Units Sold]]&lt;=80,"Average",Table22[[#This Row],[Units Sold]]&lt;=90,"High",Table22[[#This Row],[Units Sold]]&lt;=95,"Excellent",Table22[[#This Row],[Units Sold]]&gt;95,"Outstanding")</f>
        <v>High</v>
      </c>
      <c r="N397" s="29">
        <v>805.2</v>
      </c>
      <c r="O397" s="29">
        <v>68442</v>
      </c>
      <c r="P397" s="43">
        <f>IF(Table22[[#This Row],[Discount Applied]],Table22[[#This Row],[Total Sales (in USD)]]*(1-Table22[[#This Row],[Discount Percentage (%)]]/100),Table22[[#This Row],[Total Sales (in USD)]])</f>
        <v>68442</v>
      </c>
      <c r="Q397" s="66">
        <f>SQRT(AVERAGE((Table22[[#This Row],[Net Sales (after discount) (in USD)]]-AVERAGE(Table22[Net Sales (after discount) (in USD)]))^2))</f>
        <v>31930.639436235462</v>
      </c>
      <c r="R397" s="18" t="b">
        <v>1</v>
      </c>
      <c r="S397" s="40">
        <v>13.98</v>
      </c>
      <c r="T397" s="18" t="b">
        <v>0</v>
      </c>
      <c r="U397" s="25">
        <v>45586</v>
      </c>
      <c r="V397" s="63" t="str">
        <f>IF(MONTH(Table22[[#This Row],[Sales Date]])&lt;=3,"Q1",IF(MONTH(Table22[[#This Row],[Sales Date]])&lt;=6,"Q2",IF(MONTH(Table22[[#This Row],[Sales Date]])&lt;=9,"Q3","Q4")))</f>
        <v>Q4</v>
      </c>
      <c r="W397" s="64">
        <f>YEAR(Table22[[#This Row],[Sales Date]])</f>
        <v>2024</v>
      </c>
      <c r="X397" s="23">
        <v>55</v>
      </c>
      <c r="Y397" s="18" t="s">
        <v>49</v>
      </c>
      <c r="Z397" s="18" t="s">
        <v>30</v>
      </c>
      <c r="AA397" s="19" t="s">
        <v>36</v>
      </c>
    </row>
    <row r="398" spans="1:27" x14ac:dyDescent="0.25">
      <c r="A398" s="17" t="s">
        <v>957</v>
      </c>
      <c r="B398" s="18" t="s">
        <v>32</v>
      </c>
      <c r="C398" s="63" t="str" cm="1">
        <f t="array" ref="C398">_xlfn.SWITCH(Table22[[#This Row],[Country]],"USA","North America","Canada","North America","Brazil","South America","China","Asia","Japan","Asia","India","Asia","France","Europe","Germany","Europe","UK","Europe","Australia","Oceania","South America")</f>
        <v>Asia</v>
      </c>
      <c r="D398" s="18" t="s">
        <v>35</v>
      </c>
      <c r="E398" s="18" t="s">
        <v>39</v>
      </c>
      <c r="F398" s="18" t="s">
        <v>52</v>
      </c>
      <c r="G398" s="18" t="s">
        <v>29</v>
      </c>
      <c r="H398" s="64">
        <f>LEN(TRIM(Table22[[#This Row],[Country]]))</f>
        <v>5</v>
      </c>
      <c r="I398" s="64">
        <f>LEN(TRIM(Table22[[#This Row],[Continent]]))</f>
        <v>4</v>
      </c>
      <c r="J398" s="64">
        <f>LEN(TRIM(Table22[[#This Row],[Product]]))</f>
        <v>10</v>
      </c>
      <c r="K398" s="64">
        <f>LEN(TRIM(Table22[[#This Row],[Sales Team]]))</f>
        <v>10</v>
      </c>
      <c r="L398" s="23">
        <v>62</v>
      </c>
      <c r="M398" s="65" t="str" cm="1">
        <f t="array" ref="M398">_xlfn.IFS(Table22[[#This Row],[Units Sold]]&lt;40,"Critical",Table22[[#This Row],[Units Sold]]&lt;=50,"Poor",Table22[[#This Row],[Units Sold]]&lt;=60,"Low",Table22[[#This Row],[Units Sold]]&lt;=80,"Average",Table22[[#This Row],[Units Sold]]&lt;=90,"High",Table22[[#This Row],[Units Sold]]&lt;=95,"Excellent",Table22[[#This Row],[Units Sold]]&gt;95,"Outstanding")</f>
        <v>Average</v>
      </c>
      <c r="N398" s="29">
        <v>1103.67</v>
      </c>
      <c r="O398" s="29">
        <v>68427.539999999994</v>
      </c>
      <c r="P398" s="43">
        <f>IF(Table22[[#This Row],[Discount Applied]],Table22[[#This Row],[Total Sales (in USD)]]*(1-Table22[[#This Row],[Discount Percentage (%)]]/100),Table22[[#This Row],[Total Sales (in USD)]])</f>
        <v>68427.539999999994</v>
      </c>
      <c r="Q398" s="66">
        <f>SQRT(AVERAGE((Table22[[#This Row],[Net Sales (after discount) (in USD)]]-AVERAGE(Table22[Net Sales (after discount) (in USD)]))^2))</f>
        <v>31916.179436235456</v>
      </c>
      <c r="R398" s="18" t="b">
        <v>1</v>
      </c>
      <c r="S398" s="40">
        <v>13.88</v>
      </c>
      <c r="T398" s="18" t="b">
        <v>0</v>
      </c>
      <c r="U398" s="25">
        <v>45129</v>
      </c>
      <c r="V398" s="63" t="str">
        <f>IF(MONTH(Table22[[#This Row],[Sales Date]])&lt;=3,"Q1",IF(MONTH(Table22[[#This Row],[Sales Date]])&lt;=6,"Q2",IF(MONTH(Table22[[#This Row],[Sales Date]])&lt;=9,"Q3","Q4")))</f>
        <v>Q3</v>
      </c>
      <c r="W398" s="64">
        <f>YEAR(Table22[[#This Row],[Sales Date]])</f>
        <v>2023</v>
      </c>
      <c r="X398" s="23">
        <v>35</v>
      </c>
      <c r="Y398" s="18" t="s">
        <v>23</v>
      </c>
      <c r="Z398" s="18" t="s">
        <v>30</v>
      </c>
      <c r="AA398" s="19" t="s">
        <v>36</v>
      </c>
    </row>
    <row r="399" spans="1:27" x14ac:dyDescent="0.25">
      <c r="A399" s="17" t="s">
        <v>1911</v>
      </c>
      <c r="B399" s="18" t="s">
        <v>66</v>
      </c>
      <c r="C399" s="63" t="str" cm="1">
        <f t="array" ref="C399">_xlfn.SWITCH(Table22[[#This Row],[Country]],"USA","North America","Canada","North America","Brazil","South America","China","Asia","Japan","Asia","India","Asia","France","Europe","Germany","Europe","UK","Europe","Australia","Oceania","South America")</f>
        <v>North America</v>
      </c>
      <c r="D399" s="18" t="s">
        <v>21</v>
      </c>
      <c r="E399" s="18" t="s">
        <v>33</v>
      </c>
      <c r="F399" s="18" t="s">
        <v>20</v>
      </c>
      <c r="G399" s="18" t="s">
        <v>40</v>
      </c>
      <c r="H399" s="64">
        <f>LEN(TRIM(Table22[[#This Row],[Country]]))</f>
        <v>6</v>
      </c>
      <c r="I399" s="64">
        <f>LEN(TRIM(Table22[[#This Row],[Continent]]))</f>
        <v>13</v>
      </c>
      <c r="J399" s="64">
        <f>LEN(TRIM(Table22[[#This Row],[Product]]))</f>
        <v>10</v>
      </c>
      <c r="K399" s="64">
        <f>LEN(TRIM(Table22[[#This Row],[Sales Team]]))</f>
        <v>10</v>
      </c>
      <c r="L399" s="23">
        <v>86</v>
      </c>
      <c r="M399" s="65" t="str" cm="1">
        <f t="array" ref="M399">_xlfn.IFS(Table22[[#This Row],[Units Sold]]&lt;40,"Critical",Table22[[#This Row],[Units Sold]]&lt;=50,"Poor",Table22[[#This Row],[Units Sold]]&lt;=60,"Low",Table22[[#This Row],[Units Sold]]&lt;=80,"Average",Table22[[#This Row],[Units Sold]]&lt;=90,"High",Table22[[#This Row],[Units Sold]]&lt;=95,"Excellent",Table22[[#This Row],[Units Sold]]&gt;95,"Outstanding")</f>
        <v>High</v>
      </c>
      <c r="N399" s="29">
        <v>794.2</v>
      </c>
      <c r="O399" s="29">
        <v>68301.2</v>
      </c>
      <c r="P399" s="43">
        <f>IF(Table22[[#This Row],[Discount Applied]],Table22[[#This Row],[Total Sales (in USD)]]*(1-Table22[[#This Row],[Discount Percentage (%)]]/100),Table22[[#This Row],[Total Sales (in USD)]])</f>
        <v>68301.2</v>
      </c>
      <c r="Q399" s="66">
        <f>SQRT(AVERAGE((Table22[[#This Row],[Net Sales (after discount) (in USD)]]-AVERAGE(Table22[Net Sales (after discount) (in USD)]))^2))</f>
        <v>31789.839436235459</v>
      </c>
      <c r="R399" s="18" t="b">
        <v>1</v>
      </c>
      <c r="S399" s="40">
        <v>8.43</v>
      </c>
      <c r="T399" s="18" t="b">
        <v>0</v>
      </c>
      <c r="U399" s="25">
        <v>45081</v>
      </c>
      <c r="V399" s="63" t="str">
        <f>IF(MONTH(Table22[[#This Row],[Sales Date]])&lt;=3,"Q1",IF(MONTH(Table22[[#This Row],[Sales Date]])&lt;=6,"Q2",IF(MONTH(Table22[[#This Row],[Sales Date]])&lt;=9,"Q3","Q4")))</f>
        <v>Q2</v>
      </c>
      <c r="W399" s="64">
        <f>YEAR(Table22[[#This Row],[Sales Date]])</f>
        <v>2023</v>
      </c>
      <c r="X399" s="23">
        <v>21</v>
      </c>
      <c r="Y399" s="18" t="s">
        <v>23</v>
      </c>
      <c r="Z399" s="18" t="s">
        <v>56</v>
      </c>
      <c r="AA399" s="19" t="s">
        <v>25</v>
      </c>
    </row>
    <row r="400" spans="1:27" x14ac:dyDescent="0.25">
      <c r="A400" s="17" t="s">
        <v>1044</v>
      </c>
      <c r="B400" s="18" t="s">
        <v>62</v>
      </c>
      <c r="C400" s="63" t="str" cm="1">
        <f t="array" ref="C400">_xlfn.SWITCH(Table22[[#This Row],[Country]],"USA","North America","Canada","North America","Brazil","South America","China","Asia","Japan","Asia","India","Asia","France","Europe","Germany","Europe","UK","Europe","Australia","Oceania","South America")</f>
        <v>Oceania</v>
      </c>
      <c r="D400" s="18" t="s">
        <v>35</v>
      </c>
      <c r="E400" s="18" t="s">
        <v>19</v>
      </c>
      <c r="F400" s="18" t="s">
        <v>47</v>
      </c>
      <c r="G400" s="18" t="s">
        <v>40</v>
      </c>
      <c r="H400" s="64">
        <f>LEN(TRIM(Table22[[#This Row],[Country]]))</f>
        <v>9</v>
      </c>
      <c r="I400" s="64">
        <f>LEN(TRIM(Table22[[#This Row],[Continent]]))</f>
        <v>7</v>
      </c>
      <c r="J400" s="64">
        <f>LEN(TRIM(Table22[[#This Row],[Product]]))</f>
        <v>6</v>
      </c>
      <c r="K400" s="64">
        <f>LEN(TRIM(Table22[[#This Row],[Sales Team]]))</f>
        <v>10</v>
      </c>
      <c r="L400" s="23">
        <v>67</v>
      </c>
      <c r="M400" s="65" t="str" cm="1">
        <f t="array" ref="M400">_xlfn.IFS(Table22[[#This Row],[Units Sold]]&lt;40,"Critical",Table22[[#This Row],[Units Sold]]&lt;=50,"Poor",Table22[[#This Row],[Units Sold]]&lt;=60,"Low",Table22[[#This Row],[Units Sold]]&lt;=80,"Average",Table22[[#This Row],[Units Sold]]&lt;=90,"High",Table22[[#This Row],[Units Sold]]&lt;=95,"Excellent",Table22[[#This Row],[Units Sold]]&gt;95,"Outstanding")</f>
        <v>Average</v>
      </c>
      <c r="N400" s="29">
        <v>1016.59</v>
      </c>
      <c r="O400" s="29">
        <v>68111.53</v>
      </c>
      <c r="P400" s="43">
        <f>IF(Table22[[#This Row],[Discount Applied]],Table22[[#This Row],[Total Sales (in USD)]]*(1-Table22[[#This Row],[Discount Percentage (%)]]/100),Table22[[#This Row],[Total Sales (in USD)]])</f>
        <v>47902.839049000002</v>
      </c>
      <c r="Q400" s="66">
        <f>SQRT(AVERAGE((Table22[[#This Row],[Net Sales (after discount) (in USD)]]-AVERAGE(Table22[Net Sales (after discount) (in USD)]))^2))</f>
        <v>11391.478485235464</v>
      </c>
      <c r="R400" s="18" t="b">
        <v>0</v>
      </c>
      <c r="S400" s="40">
        <v>29.67</v>
      </c>
      <c r="T400" s="18" t="b">
        <v>1</v>
      </c>
      <c r="U400" s="25">
        <v>45506</v>
      </c>
      <c r="V400" s="63" t="str">
        <f>IF(MONTH(Table22[[#This Row],[Sales Date]])&lt;=3,"Q1",IF(MONTH(Table22[[#This Row],[Sales Date]])&lt;=6,"Q2",IF(MONTH(Table22[[#This Row],[Sales Date]])&lt;=9,"Q3","Q4")))</f>
        <v>Q3</v>
      </c>
      <c r="W400" s="64">
        <f>YEAR(Table22[[#This Row],[Sales Date]])</f>
        <v>2024</v>
      </c>
      <c r="X400" s="23">
        <v>45</v>
      </c>
      <c r="Y400" s="18" t="s">
        <v>41</v>
      </c>
      <c r="Z400" s="18" t="s">
        <v>24</v>
      </c>
      <c r="AA400" s="19" t="s">
        <v>36</v>
      </c>
    </row>
    <row r="401" spans="1:27" x14ac:dyDescent="0.25">
      <c r="A401" s="17" t="s">
        <v>1212</v>
      </c>
      <c r="B401" s="18" t="s">
        <v>76</v>
      </c>
      <c r="C401" s="63" t="str" cm="1">
        <f t="array" ref="C401">_xlfn.SWITCH(Table22[[#This Row],[Country]],"USA","North America","Canada","North America","Brazil","South America","China","Asia","Japan","Asia","India","Asia","France","Europe","Germany","Europe","UK","Europe","Australia","Oceania","South America")</f>
        <v>Asia</v>
      </c>
      <c r="D401" s="18" t="s">
        <v>21</v>
      </c>
      <c r="E401" s="18" t="s">
        <v>33</v>
      </c>
      <c r="F401" s="18" t="s">
        <v>64</v>
      </c>
      <c r="G401" s="18" t="s">
        <v>29</v>
      </c>
      <c r="H401" s="64">
        <f>LEN(TRIM(Table22[[#This Row],[Country]]))</f>
        <v>5</v>
      </c>
      <c r="I401" s="64">
        <f>LEN(TRIM(Table22[[#This Row],[Continent]]))</f>
        <v>4</v>
      </c>
      <c r="J401" s="64">
        <f>LEN(TRIM(Table22[[#This Row],[Product]]))</f>
        <v>10</v>
      </c>
      <c r="K401" s="64">
        <f>LEN(TRIM(Table22[[#This Row],[Sales Team]]))</f>
        <v>10</v>
      </c>
      <c r="L401" s="23">
        <v>65</v>
      </c>
      <c r="M401" s="65" t="str" cm="1">
        <f t="array" ref="M401">_xlfn.IFS(Table22[[#This Row],[Units Sold]]&lt;40,"Critical",Table22[[#This Row],[Units Sold]]&lt;=50,"Poor",Table22[[#This Row],[Units Sold]]&lt;=60,"Low",Table22[[#This Row],[Units Sold]]&lt;=80,"Average",Table22[[#This Row],[Units Sold]]&lt;=90,"High",Table22[[#This Row],[Units Sold]]&lt;=95,"Excellent",Table22[[#This Row],[Units Sold]]&gt;95,"Outstanding")</f>
        <v>Average</v>
      </c>
      <c r="N401" s="29">
        <v>1046.69</v>
      </c>
      <c r="O401" s="29">
        <v>68034.850000000006</v>
      </c>
      <c r="P401" s="43">
        <f>IF(Table22[[#This Row],[Discount Applied]],Table22[[#This Row],[Total Sales (in USD)]]*(1-Table22[[#This Row],[Discount Percentage (%)]]/100),Table22[[#This Row],[Total Sales (in USD)]])</f>
        <v>62163.442445000001</v>
      </c>
      <c r="Q401" s="66">
        <f>SQRT(AVERAGE((Table22[[#This Row],[Net Sales (after discount) (in USD)]]-AVERAGE(Table22[Net Sales (after discount) (in USD)]))^2))</f>
        <v>25652.081881235463</v>
      </c>
      <c r="R401" s="18" t="b">
        <v>1</v>
      </c>
      <c r="S401" s="40">
        <v>8.6300000000000008</v>
      </c>
      <c r="T401" s="18" t="b">
        <v>1</v>
      </c>
      <c r="U401" s="25">
        <v>45509</v>
      </c>
      <c r="V401" s="63" t="str">
        <f>IF(MONTH(Table22[[#This Row],[Sales Date]])&lt;=3,"Q1",IF(MONTH(Table22[[#This Row],[Sales Date]])&lt;=6,"Q2",IF(MONTH(Table22[[#This Row],[Sales Date]])&lt;=9,"Q3","Q4")))</f>
        <v>Q3</v>
      </c>
      <c r="W401" s="64">
        <f>YEAR(Table22[[#This Row],[Sales Date]])</f>
        <v>2024</v>
      </c>
      <c r="X401" s="23">
        <v>30</v>
      </c>
      <c r="Y401" s="18" t="s">
        <v>23</v>
      </c>
      <c r="Z401" s="18" t="s">
        <v>30</v>
      </c>
      <c r="AA401" s="19" t="s">
        <v>36</v>
      </c>
    </row>
    <row r="402" spans="1:27" x14ac:dyDescent="0.25">
      <c r="A402" s="17" t="s">
        <v>1989</v>
      </c>
      <c r="B402" s="18" t="s">
        <v>27</v>
      </c>
      <c r="C402" s="63" t="str" cm="1">
        <f t="array" ref="C402">_xlfn.SWITCH(Table22[[#This Row],[Country]],"USA","North America","Canada","North America","Brazil","South America","China","Asia","Japan","Asia","India","Asia","France","Europe","Germany","Europe","UK","Europe","Australia","Oceania","South America")</f>
        <v>Europe</v>
      </c>
      <c r="D402" s="18" t="s">
        <v>28</v>
      </c>
      <c r="E402" s="18" t="s">
        <v>39</v>
      </c>
      <c r="F402" s="18" t="s">
        <v>34</v>
      </c>
      <c r="G402" s="18" t="s">
        <v>40</v>
      </c>
      <c r="H402" s="64">
        <f>LEN(TRIM(Table22[[#This Row],[Country]]))</f>
        <v>7</v>
      </c>
      <c r="I402" s="64">
        <f>LEN(TRIM(Table22[[#This Row],[Continent]]))</f>
        <v>6</v>
      </c>
      <c r="J402" s="64">
        <f>LEN(TRIM(Table22[[#This Row],[Product]]))</f>
        <v>10</v>
      </c>
      <c r="K402" s="64">
        <f>LEN(TRIM(Table22[[#This Row],[Sales Team]]))</f>
        <v>10</v>
      </c>
      <c r="L402" s="23">
        <v>46</v>
      </c>
      <c r="M402" s="65" t="str" cm="1">
        <f t="array" ref="M402">_xlfn.IFS(Table22[[#This Row],[Units Sold]]&lt;40,"Critical",Table22[[#This Row],[Units Sold]]&lt;=50,"Poor",Table22[[#This Row],[Units Sold]]&lt;=60,"Low",Table22[[#This Row],[Units Sold]]&lt;=80,"Average",Table22[[#This Row],[Units Sold]]&lt;=90,"High",Table22[[#This Row],[Units Sold]]&lt;=95,"Excellent",Table22[[#This Row],[Units Sold]]&gt;95,"Outstanding")</f>
        <v>Poor</v>
      </c>
      <c r="N402" s="29">
        <v>1478.64</v>
      </c>
      <c r="O402" s="29">
        <v>68017.440000000002</v>
      </c>
      <c r="P402" s="43">
        <f>IF(Table22[[#This Row],[Discount Applied]],Table22[[#This Row],[Total Sales (in USD)]]*(1-Table22[[#This Row],[Discount Percentage (%)]]/100),Table22[[#This Row],[Total Sales (in USD)]])</f>
        <v>68017.440000000002</v>
      </c>
      <c r="Q402" s="66">
        <f>SQRT(AVERAGE((Table22[[#This Row],[Net Sales (after discount) (in USD)]]-AVERAGE(Table22[Net Sales (after discount) (in USD)]))^2))</f>
        <v>31506.079436235465</v>
      </c>
      <c r="R402" s="18" t="b">
        <v>1</v>
      </c>
      <c r="S402" s="40">
        <v>16.829999999999998</v>
      </c>
      <c r="T402" s="18" t="b">
        <v>0</v>
      </c>
      <c r="U402" s="25">
        <v>45287</v>
      </c>
      <c r="V402" s="63" t="str">
        <f>IF(MONTH(Table22[[#This Row],[Sales Date]])&lt;=3,"Q1",IF(MONTH(Table22[[#This Row],[Sales Date]])&lt;=6,"Q2",IF(MONTH(Table22[[#This Row],[Sales Date]])&lt;=9,"Q3","Q4")))</f>
        <v>Q4</v>
      </c>
      <c r="W402" s="64">
        <f>YEAR(Table22[[#This Row],[Sales Date]])</f>
        <v>2023</v>
      </c>
      <c r="X402" s="23">
        <v>31</v>
      </c>
      <c r="Y402" s="18" t="s">
        <v>23</v>
      </c>
      <c r="Z402" s="18" t="s">
        <v>30</v>
      </c>
      <c r="AA402" s="19" t="s">
        <v>25</v>
      </c>
    </row>
    <row r="403" spans="1:27" x14ac:dyDescent="0.25">
      <c r="A403" s="17" t="s">
        <v>1760</v>
      </c>
      <c r="B403" s="18" t="s">
        <v>51</v>
      </c>
      <c r="C403" s="63" t="str" cm="1">
        <f t="array" ref="C403">_xlfn.SWITCH(Table22[[#This Row],[Country]],"USA","North America","Canada","North America","Brazil","South America","China","Asia","Japan","Asia","India","Asia","France","Europe","Germany","Europe","UK","Europe","Australia","Oceania","South America")</f>
        <v>Europe</v>
      </c>
      <c r="D403" s="18" t="s">
        <v>44</v>
      </c>
      <c r="E403" s="18" t="s">
        <v>39</v>
      </c>
      <c r="F403" s="18" t="s">
        <v>34</v>
      </c>
      <c r="G403" s="18" t="s">
        <v>29</v>
      </c>
      <c r="H403" s="64">
        <f>LEN(TRIM(Table22[[#This Row],[Country]]))</f>
        <v>2</v>
      </c>
      <c r="I403" s="64">
        <f>LEN(TRIM(Table22[[#This Row],[Continent]]))</f>
        <v>6</v>
      </c>
      <c r="J403" s="64">
        <f>LEN(TRIM(Table22[[#This Row],[Product]]))</f>
        <v>10</v>
      </c>
      <c r="K403" s="64">
        <f>LEN(TRIM(Table22[[#This Row],[Sales Team]]))</f>
        <v>10</v>
      </c>
      <c r="L403" s="23">
        <v>94</v>
      </c>
      <c r="M403" s="65" t="str" cm="1">
        <f t="array" ref="M403">_xlfn.IFS(Table22[[#This Row],[Units Sold]]&lt;40,"Critical",Table22[[#This Row],[Units Sold]]&lt;=50,"Poor",Table22[[#This Row],[Units Sold]]&lt;=60,"Low",Table22[[#This Row],[Units Sold]]&lt;=80,"Average",Table22[[#This Row],[Units Sold]]&lt;=90,"High",Table22[[#This Row],[Units Sold]]&lt;=95,"Excellent",Table22[[#This Row],[Units Sold]]&gt;95,"Outstanding")</f>
        <v>Excellent</v>
      </c>
      <c r="N403" s="29">
        <v>723.54</v>
      </c>
      <c r="O403" s="29">
        <v>68012.759999999995</v>
      </c>
      <c r="P403" s="43">
        <f>IF(Table22[[#This Row],[Discount Applied]],Table22[[#This Row],[Total Sales (in USD)]]*(1-Table22[[#This Row],[Discount Percentage (%)]]/100),Table22[[#This Row],[Total Sales (in USD)]])</f>
        <v>55845.277235999994</v>
      </c>
      <c r="Q403" s="66">
        <f>SQRT(AVERAGE((Table22[[#This Row],[Net Sales (after discount) (in USD)]]-AVERAGE(Table22[Net Sales (after discount) (in USD)]))^2))</f>
        <v>19333.916672235457</v>
      </c>
      <c r="R403" s="18" t="b">
        <v>0</v>
      </c>
      <c r="S403" s="40">
        <v>17.89</v>
      </c>
      <c r="T403" s="18" t="b">
        <v>1</v>
      </c>
      <c r="U403" s="25">
        <v>45317</v>
      </c>
      <c r="V403" s="63" t="str">
        <f>IF(MONTH(Table22[[#This Row],[Sales Date]])&lt;=3,"Q1",IF(MONTH(Table22[[#This Row],[Sales Date]])&lt;=6,"Q2",IF(MONTH(Table22[[#This Row],[Sales Date]])&lt;=9,"Q3","Q4")))</f>
        <v>Q1</v>
      </c>
      <c r="W403" s="64">
        <f>YEAR(Table22[[#This Row],[Sales Date]])</f>
        <v>2024</v>
      </c>
      <c r="X403" s="23">
        <v>66</v>
      </c>
      <c r="Y403" s="18" t="s">
        <v>49</v>
      </c>
      <c r="Z403" s="18" t="s">
        <v>24</v>
      </c>
      <c r="AA403" s="19" t="s">
        <v>36</v>
      </c>
    </row>
    <row r="404" spans="1:27" x14ac:dyDescent="0.25">
      <c r="A404" s="17" t="s">
        <v>1371</v>
      </c>
      <c r="B404" s="18" t="s">
        <v>18</v>
      </c>
      <c r="C404" s="63" t="str" cm="1">
        <f t="array" ref="C404">_xlfn.SWITCH(Table22[[#This Row],[Country]],"USA","North America","Canada","North America","Brazil","South America","China","Asia","Japan","Asia","India","Asia","France","Europe","Germany","Europe","UK","Europe","Australia","Oceania","South America")</f>
        <v>Asia</v>
      </c>
      <c r="D404" s="18" t="s">
        <v>21</v>
      </c>
      <c r="E404" s="18" t="s">
        <v>33</v>
      </c>
      <c r="F404" s="18" t="s">
        <v>52</v>
      </c>
      <c r="G404" s="18" t="s">
        <v>40</v>
      </c>
      <c r="H404" s="64">
        <f>LEN(TRIM(Table22[[#This Row],[Country]]))</f>
        <v>5</v>
      </c>
      <c r="I404" s="64">
        <f>LEN(TRIM(Table22[[#This Row],[Continent]]))</f>
        <v>4</v>
      </c>
      <c r="J404" s="64">
        <f>LEN(TRIM(Table22[[#This Row],[Product]]))</f>
        <v>10</v>
      </c>
      <c r="K404" s="64">
        <f>LEN(TRIM(Table22[[#This Row],[Sales Team]]))</f>
        <v>10</v>
      </c>
      <c r="L404" s="23">
        <v>92</v>
      </c>
      <c r="M404" s="65" t="str" cm="1">
        <f t="array" ref="M404">_xlfn.IFS(Table22[[#This Row],[Units Sold]]&lt;40,"Critical",Table22[[#This Row],[Units Sold]]&lt;=50,"Poor",Table22[[#This Row],[Units Sold]]&lt;=60,"Low",Table22[[#This Row],[Units Sold]]&lt;=80,"Average",Table22[[#This Row],[Units Sold]]&lt;=90,"High",Table22[[#This Row],[Units Sold]]&lt;=95,"Excellent",Table22[[#This Row],[Units Sold]]&gt;95,"Outstanding")</f>
        <v>Excellent</v>
      </c>
      <c r="N404" s="29">
        <v>738.86</v>
      </c>
      <c r="O404" s="29">
        <v>67975.12</v>
      </c>
      <c r="P404" s="43">
        <f>IF(Table22[[#This Row],[Discount Applied]],Table22[[#This Row],[Total Sales (in USD)]]*(1-Table22[[#This Row],[Discount Percentage (%)]]/100),Table22[[#This Row],[Total Sales (in USD)]])</f>
        <v>67975.12</v>
      </c>
      <c r="Q404" s="66">
        <f>SQRT(AVERAGE((Table22[[#This Row],[Net Sales (after discount) (in USD)]]-AVERAGE(Table22[Net Sales (after discount) (in USD)]))^2))</f>
        <v>31463.759436235458</v>
      </c>
      <c r="R404" s="18" t="b">
        <v>1</v>
      </c>
      <c r="S404" s="40">
        <v>0.43</v>
      </c>
      <c r="T404" s="18" t="b">
        <v>0</v>
      </c>
      <c r="U404" s="25">
        <v>44962</v>
      </c>
      <c r="V404" s="63" t="str">
        <f>IF(MONTH(Table22[[#This Row],[Sales Date]])&lt;=3,"Q1",IF(MONTH(Table22[[#This Row],[Sales Date]])&lt;=6,"Q2",IF(MONTH(Table22[[#This Row],[Sales Date]])&lt;=9,"Q3","Q4")))</f>
        <v>Q1</v>
      </c>
      <c r="W404" s="64">
        <f>YEAR(Table22[[#This Row],[Sales Date]])</f>
        <v>2023</v>
      </c>
      <c r="X404" s="23">
        <v>18</v>
      </c>
      <c r="Y404" s="18" t="s">
        <v>23</v>
      </c>
      <c r="Z404" s="18" t="s">
        <v>24</v>
      </c>
      <c r="AA404" s="19" t="s">
        <v>36</v>
      </c>
    </row>
    <row r="405" spans="1:27" x14ac:dyDescent="0.25">
      <c r="A405" s="17" t="s">
        <v>1951</v>
      </c>
      <c r="B405" s="18" t="s">
        <v>18</v>
      </c>
      <c r="C405" s="63" t="str" cm="1">
        <f t="array" ref="C405">_xlfn.SWITCH(Table22[[#This Row],[Country]],"USA","North America","Canada","North America","Brazil","South America","China","Asia","Japan","Asia","India","Asia","France","Europe","Germany","Europe","UK","Europe","Australia","Oceania","South America")</f>
        <v>Asia</v>
      </c>
      <c r="D405" s="18" t="s">
        <v>35</v>
      </c>
      <c r="E405" s="18" t="s">
        <v>33</v>
      </c>
      <c r="F405" s="18" t="s">
        <v>52</v>
      </c>
      <c r="G405" s="18" t="s">
        <v>48</v>
      </c>
      <c r="H405" s="64">
        <f>LEN(TRIM(Table22[[#This Row],[Country]]))</f>
        <v>5</v>
      </c>
      <c r="I405" s="64">
        <f>LEN(TRIM(Table22[[#This Row],[Continent]]))</f>
        <v>4</v>
      </c>
      <c r="J405" s="64">
        <f>LEN(TRIM(Table22[[#This Row],[Product]]))</f>
        <v>10</v>
      </c>
      <c r="K405" s="64">
        <f>LEN(TRIM(Table22[[#This Row],[Sales Team]]))</f>
        <v>9</v>
      </c>
      <c r="L405" s="23">
        <v>61</v>
      </c>
      <c r="M405" s="65" t="str" cm="1">
        <f t="array" ref="M405">_xlfn.IFS(Table22[[#This Row],[Units Sold]]&lt;40,"Critical",Table22[[#This Row],[Units Sold]]&lt;=50,"Poor",Table22[[#This Row],[Units Sold]]&lt;=60,"Low",Table22[[#This Row],[Units Sold]]&lt;=80,"Average",Table22[[#This Row],[Units Sold]]&lt;=90,"High",Table22[[#This Row],[Units Sold]]&lt;=95,"Excellent",Table22[[#This Row],[Units Sold]]&gt;95,"Outstanding")</f>
        <v>Average</v>
      </c>
      <c r="N405" s="29">
        <v>1114.1500000000001</v>
      </c>
      <c r="O405" s="29">
        <v>67963.149999999994</v>
      </c>
      <c r="P405" s="43">
        <f>IF(Table22[[#This Row],[Discount Applied]],Table22[[#This Row],[Total Sales (in USD)]]*(1-Table22[[#This Row],[Discount Percentage (%)]]/100),Table22[[#This Row],[Total Sales (in USD)]])</f>
        <v>67963.149999999994</v>
      </c>
      <c r="Q405" s="66">
        <f>SQRT(AVERAGE((Table22[[#This Row],[Net Sales (after discount) (in USD)]]-AVERAGE(Table22[Net Sales (after discount) (in USD)]))^2))</f>
        <v>31451.789436235456</v>
      </c>
      <c r="R405" s="18" t="b">
        <v>0</v>
      </c>
      <c r="S405" s="40">
        <v>17.87</v>
      </c>
      <c r="T405" s="18" t="b">
        <v>0</v>
      </c>
      <c r="U405" s="25">
        <v>45589</v>
      </c>
      <c r="V405" s="63" t="str">
        <f>IF(MONTH(Table22[[#This Row],[Sales Date]])&lt;=3,"Q1",IF(MONTH(Table22[[#This Row],[Sales Date]])&lt;=6,"Q2",IF(MONTH(Table22[[#This Row],[Sales Date]])&lt;=9,"Q3","Q4")))</f>
        <v>Q4</v>
      </c>
      <c r="W405" s="64">
        <f>YEAR(Table22[[#This Row],[Sales Date]])</f>
        <v>2024</v>
      </c>
      <c r="X405" s="23">
        <v>54</v>
      </c>
      <c r="Y405" s="18" t="s">
        <v>49</v>
      </c>
      <c r="Z405" s="18" t="s">
        <v>24</v>
      </c>
      <c r="AA405" s="19" t="s">
        <v>36</v>
      </c>
    </row>
    <row r="406" spans="1:27" x14ac:dyDescent="0.25">
      <c r="A406" s="17" t="s">
        <v>1881</v>
      </c>
      <c r="B406" s="18" t="s">
        <v>32</v>
      </c>
      <c r="C406" s="63" t="str" cm="1">
        <f t="array" ref="C406">_xlfn.SWITCH(Table22[[#This Row],[Country]],"USA","North America","Canada","North America","Brazil","South America","China","Asia","Japan","Asia","India","Asia","France","Europe","Germany","Europe","UK","Europe","Australia","Oceania","South America")</f>
        <v>Asia</v>
      </c>
      <c r="D406" s="18" t="s">
        <v>28</v>
      </c>
      <c r="E406" s="18" t="s">
        <v>39</v>
      </c>
      <c r="F406" s="18" t="s">
        <v>52</v>
      </c>
      <c r="G406" s="18" t="s">
        <v>22</v>
      </c>
      <c r="H406" s="64">
        <f>LEN(TRIM(Table22[[#This Row],[Country]]))</f>
        <v>5</v>
      </c>
      <c r="I406" s="64">
        <f>LEN(TRIM(Table22[[#This Row],[Continent]]))</f>
        <v>4</v>
      </c>
      <c r="J406" s="64">
        <f>LEN(TRIM(Table22[[#This Row],[Product]]))</f>
        <v>10</v>
      </c>
      <c r="K406" s="64">
        <f>LEN(TRIM(Table22[[#This Row],[Sales Team]]))</f>
        <v>10</v>
      </c>
      <c r="L406" s="23">
        <v>54</v>
      </c>
      <c r="M406" s="65" t="str" cm="1">
        <f t="array" ref="M406">_xlfn.IFS(Table22[[#This Row],[Units Sold]]&lt;40,"Critical",Table22[[#This Row],[Units Sold]]&lt;=50,"Poor",Table22[[#This Row],[Units Sold]]&lt;=60,"Low",Table22[[#This Row],[Units Sold]]&lt;=80,"Average",Table22[[#This Row],[Units Sold]]&lt;=90,"High",Table22[[#This Row],[Units Sold]]&lt;=95,"Excellent",Table22[[#This Row],[Units Sold]]&gt;95,"Outstanding")</f>
        <v>Low</v>
      </c>
      <c r="N406" s="29">
        <v>1257.82</v>
      </c>
      <c r="O406" s="29">
        <v>67922.28</v>
      </c>
      <c r="P406" s="43">
        <f>IF(Table22[[#This Row],[Discount Applied]],Table22[[#This Row],[Total Sales (in USD)]]*(1-Table22[[#This Row],[Discount Percentage (%)]]/100),Table22[[#This Row],[Total Sales (in USD)]])</f>
        <v>61340.611067999998</v>
      </c>
      <c r="Q406" s="66">
        <f>SQRT(AVERAGE((Table22[[#This Row],[Net Sales (after discount) (in USD)]]-AVERAGE(Table22[Net Sales (after discount) (in USD)]))^2))</f>
        <v>24829.250504235461</v>
      </c>
      <c r="R406" s="18" t="b">
        <v>1</v>
      </c>
      <c r="S406" s="40">
        <v>9.69</v>
      </c>
      <c r="T406" s="18" t="b">
        <v>1</v>
      </c>
      <c r="U406" s="25">
        <v>45575</v>
      </c>
      <c r="V406" s="63" t="str">
        <f>IF(MONTH(Table22[[#This Row],[Sales Date]])&lt;=3,"Q1",IF(MONTH(Table22[[#This Row],[Sales Date]])&lt;=6,"Q2",IF(MONTH(Table22[[#This Row],[Sales Date]])&lt;=9,"Q3","Q4")))</f>
        <v>Q4</v>
      </c>
      <c r="W406" s="64">
        <f>YEAR(Table22[[#This Row],[Sales Date]])</f>
        <v>2024</v>
      </c>
      <c r="X406" s="23">
        <v>42</v>
      </c>
      <c r="Y406" s="18" t="s">
        <v>49</v>
      </c>
      <c r="Z406" s="18" t="s">
        <v>56</v>
      </c>
      <c r="AA406" s="19" t="s">
        <v>36</v>
      </c>
    </row>
    <row r="407" spans="1:27" x14ac:dyDescent="0.25">
      <c r="A407" s="17" t="s">
        <v>1520</v>
      </c>
      <c r="B407" s="18" t="s">
        <v>46</v>
      </c>
      <c r="C407" s="63" t="str" cm="1">
        <f t="array" ref="C407">_xlfn.SWITCH(Table22[[#This Row],[Country]],"USA","North America","Canada","North America","Brazil","South America","China","Asia","Japan","Asia","India","Asia","France","Europe","Germany","Europe","UK","Europe","Australia","Oceania","South America")</f>
        <v>South America</v>
      </c>
      <c r="D407" s="18" t="s">
        <v>44</v>
      </c>
      <c r="E407" s="18" t="s">
        <v>19</v>
      </c>
      <c r="F407" s="18" t="s">
        <v>52</v>
      </c>
      <c r="G407" s="18" t="s">
        <v>40</v>
      </c>
      <c r="H407" s="64">
        <f>LEN(TRIM(Table22[[#This Row],[Country]]))</f>
        <v>6</v>
      </c>
      <c r="I407" s="64">
        <f>LEN(TRIM(Table22[[#This Row],[Continent]]))</f>
        <v>13</v>
      </c>
      <c r="J407" s="64">
        <f>LEN(TRIM(Table22[[#This Row],[Product]]))</f>
        <v>6</v>
      </c>
      <c r="K407" s="64">
        <f>LEN(TRIM(Table22[[#This Row],[Sales Team]]))</f>
        <v>10</v>
      </c>
      <c r="L407" s="23">
        <v>69</v>
      </c>
      <c r="M407" s="65" t="str" cm="1">
        <f t="array" ref="M407">_xlfn.IFS(Table22[[#This Row],[Units Sold]]&lt;40,"Critical",Table22[[#This Row],[Units Sold]]&lt;=50,"Poor",Table22[[#This Row],[Units Sold]]&lt;=60,"Low",Table22[[#This Row],[Units Sold]]&lt;=80,"Average",Table22[[#This Row],[Units Sold]]&lt;=90,"High",Table22[[#This Row],[Units Sold]]&lt;=95,"Excellent",Table22[[#This Row],[Units Sold]]&gt;95,"Outstanding")</f>
        <v>Average</v>
      </c>
      <c r="N407" s="29">
        <v>983.33</v>
      </c>
      <c r="O407" s="29">
        <v>67849.77</v>
      </c>
      <c r="P407" s="43">
        <f>IF(Table22[[#This Row],[Discount Applied]],Table22[[#This Row],[Total Sales (in USD)]]*(1-Table22[[#This Row],[Discount Percentage (%)]]/100),Table22[[#This Row],[Total Sales (in USD)]])</f>
        <v>67849.77</v>
      </c>
      <c r="Q407" s="66">
        <f>SQRT(AVERAGE((Table22[[#This Row],[Net Sales (after discount) (in USD)]]-AVERAGE(Table22[Net Sales (after discount) (in USD)]))^2))</f>
        <v>31338.409436235466</v>
      </c>
      <c r="R407" s="18" t="b">
        <v>1</v>
      </c>
      <c r="S407" s="40">
        <v>26.04</v>
      </c>
      <c r="T407" s="18" t="b">
        <v>0</v>
      </c>
      <c r="U407" s="25">
        <v>45376</v>
      </c>
      <c r="V407" s="63" t="str">
        <f>IF(MONTH(Table22[[#This Row],[Sales Date]])&lt;=3,"Q1",IF(MONTH(Table22[[#This Row],[Sales Date]])&lt;=6,"Q2",IF(MONTH(Table22[[#This Row],[Sales Date]])&lt;=9,"Q3","Q4")))</f>
        <v>Q1</v>
      </c>
      <c r="W407" s="64">
        <f>YEAR(Table22[[#This Row],[Sales Date]])</f>
        <v>2024</v>
      </c>
      <c r="X407" s="23">
        <v>26</v>
      </c>
      <c r="Y407" s="18" t="s">
        <v>41</v>
      </c>
      <c r="Z407" s="18" t="s">
        <v>24</v>
      </c>
      <c r="AA407" s="19" t="s">
        <v>25</v>
      </c>
    </row>
    <row r="408" spans="1:27" x14ac:dyDescent="0.25">
      <c r="A408" s="17" t="s">
        <v>1978</v>
      </c>
      <c r="B408" s="18" t="s">
        <v>76</v>
      </c>
      <c r="C408" s="63" t="str" cm="1">
        <f t="array" ref="C408">_xlfn.SWITCH(Table22[[#This Row],[Country]],"USA","North America","Canada","North America","Brazil","South America","China","Asia","Japan","Asia","India","Asia","France","Europe","Germany","Europe","UK","Europe","Australia","Oceania","South America")</f>
        <v>Asia</v>
      </c>
      <c r="D408" s="18" t="s">
        <v>35</v>
      </c>
      <c r="E408" s="18" t="s">
        <v>33</v>
      </c>
      <c r="F408" s="18" t="s">
        <v>52</v>
      </c>
      <c r="G408" s="18" t="s">
        <v>22</v>
      </c>
      <c r="H408" s="64">
        <f>LEN(TRIM(Table22[[#This Row],[Country]]))</f>
        <v>5</v>
      </c>
      <c r="I408" s="64">
        <f>LEN(TRIM(Table22[[#This Row],[Continent]]))</f>
        <v>4</v>
      </c>
      <c r="J408" s="64">
        <f>LEN(TRIM(Table22[[#This Row],[Product]]))</f>
        <v>10</v>
      </c>
      <c r="K408" s="64">
        <f>LEN(TRIM(Table22[[#This Row],[Sales Team]]))</f>
        <v>10</v>
      </c>
      <c r="L408" s="23">
        <v>54</v>
      </c>
      <c r="M408" s="65" t="str" cm="1">
        <f t="array" ref="M408">_xlfn.IFS(Table22[[#This Row],[Units Sold]]&lt;40,"Critical",Table22[[#This Row],[Units Sold]]&lt;=50,"Poor",Table22[[#This Row],[Units Sold]]&lt;=60,"Low",Table22[[#This Row],[Units Sold]]&lt;=80,"Average",Table22[[#This Row],[Units Sold]]&lt;=90,"High",Table22[[#This Row],[Units Sold]]&lt;=95,"Excellent",Table22[[#This Row],[Units Sold]]&gt;95,"Outstanding")</f>
        <v>Low</v>
      </c>
      <c r="N408" s="29">
        <v>1256.1400000000001</v>
      </c>
      <c r="O408" s="29">
        <v>67831.56</v>
      </c>
      <c r="P408" s="43">
        <f>IF(Table22[[#This Row],[Discount Applied]],Table22[[#This Row],[Total Sales (in USD)]]*(1-Table22[[#This Row],[Discount Percentage (%)]]/100),Table22[[#This Row],[Total Sales (in USD)]])</f>
        <v>67831.56</v>
      </c>
      <c r="Q408" s="66">
        <f>SQRT(AVERAGE((Table22[[#This Row],[Net Sales (after discount) (in USD)]]-AVERAGE(Table22[Net Sales (after discount) (in USD)]))^2))</f>
        <v>31320.19943623546</v>
      </c>
      <c r="R408" s="18" t="b">
        <v>0</v>
      </c>
      <c r="S408" s="40">
        <v>29.42</v>
      </c>
      <c r="T408" s="18" t="b">
        <v>0</v>
      </c>
      <c r="U408" s="25">
        <v>45287</v>
      </c>
      <c r="V408" s="63" t="str">
        <f>IF(MONTH(Table22[[#This Row],[Sales Date]])&lt;=3,"Q1",IF(MONTH(Table22[[#This Row],[Sales Date]])&lt;=6,"Q2",IF(MONTH(Table22[[#This Row],[Sales Date]])&lt;=9,"Q3","Q4")))</f>
        <v>Q4</v>
      </c>
      <c r="W408" s="64">
        <f>YEAR(Table22[[#This Row],[Sales Date]])</f>
        <v>2023</v>
      </c>
      <c r="X408" s="23">
        <v>18</v>
      </c>
      <c r="Y408" s="18" t="s">
        <v>41</v>
      </c>
      <c r="Z408" s="18" t="s">
        <v>30</v>
      </c>
      <c r="AA408" s="19" t="s">
        <v>36</v>
      </c>
    </row>
    <row r="409" spans="1:27" x14ac:dyDescent="0.25">
      <c r="A409" s="17" t="s">
        <v>1008</v>
      </c>
      <c r="B409" s="18" t="s">
        <v>27</v>
      </c>
      <c r="C409" s="63" t="str" cm="1">
        <f t="array" ref="C409">_xlfn.SWITCH(Table22[[#This Row],[Country]],"USA","North America","Canada","North America","Brazil","South America","China","Asia","Japan","Asia","India","Asia","France","Europe","Germany","Europe","UK","Europe","Australia","Oceania","South America")</f>
        <v>Europe</v>
      </c>
      <c r="D409" s="18" t="s">
        <v>35</v>
      </c>
      <c r="E409" s="18" t="s">
        <v>33</v>
      </c>
      <c r="F409" s="18" t="s">
        <v>34</v>
      </c>
      <c r="G409" s="18" t="s">
        <v>22</v>
      </c>
      <c r="H409" s="64">
        <f>LEN(TRIM(Table22[[#This Row],[Country]]))</f>
        <v>7</v>
      </c>
      <c r="I409" s="64">
        <f>LEN(TRIM(Table22[[#This Row],[Continent]]))</f>
        <v>6</v>
      </c>
      <c r="J409" s="64">
        <f>LEN(TRIM(Table22[[#This Row],[Product]]))</f>
        <v>10</v>
      </c>
      <c r="K409" s="64">
        <f>LEN(TRIM(Table22[[#This Row],[Sales Team]]))</f>
        <v>10</v>
      </c>
      <c r="L409" s="23">
        <v>82</v>
      </c>
      <c r="M409" s="65" t="str" cm="1">
        <f t="array" ref="M409">_xlfn.IFS(Table22[[#This Row],[Units Sold]]&lt;40,"Critical",Table22[[#This Row],[Units Sold]]&lt;=50,"Poor",Table22[[#This Row],[Units Sold]]&lt;=60,"Low",Table22[[#This Row],[Units Sold]]&lt;=80,"Average",Table22[[#This Row],[Units Sold]]&lt;=90,"High",Table22[[#This Row],[Units Sold]]&lt;=95,"Excellent",Table22[[#This Row],[Units Sold]]&gt;95,"Outstanding")</f>
        <v>High</v>
      </c>
      <c r="N409" s="29">
        <v>826.12</v>
      </c>
      <c r="O409" s="29">
        <v>67741.84</v>
      </c>
      <c r="P409" s="43">
        <f>IF(Table22[[#This Row],[Discount Applied]],Table22[[#This Row],[Total Sales (in USD)]]*(1-Table22[[#This Row],[Discount Percentage (%)]]/100),Table22[[#This Row],[Total Sales (in USD)]])</f>
        <v>57858.305543999995</v>
      </c>
      <c r="Q409" s="66">
        <f>SQRT(AVERAGE((Table22[[#This Row],[Net Sales (after discount) (in USD)]]-AVERAGE(Table22[Net Sales (after discount) (in USD)]))^2))</f>
        <v>21346.944980235457</v>
      </c>
      <c r="R409" s="18" t="b">
        <v>1</v>
      </c>
      <c r="S409" s="40">
        <v>14.59</v>
      </c>
      <c r="T409" s="18" t="b">
        <v>1</v>
      </c>
      <c r="U409" s="25">
        <v>45112</v>
      </c>
      <c r="V409" s="63" t="str">
        <f>IF(MONTH(Table22[[#This Row],[Sales Date]])&lt;=3,"Q1",IF(MONTH(Table22[[#This Row],[Sales Date]])&lt;=6,"Q2",IF(MONTH(Table22[[#This Row],[Sales Date]])&lt;=9,"Q3","Q4")))</f>
        <v>Q3</v>
      </c>
      <c r="W409" s="64">
        <f>YEAR(Table22[[#This Row],[Sales Date]])</f>
        <v>2023</v>
      </c>
      <c r="X409" s="23">
        <v>29</v>
      </c>
      <c r="Y409" s="18" t="s">
        <v>49</v>
      </c>
      <c r="Z409" s="18" t="s">
        <v>56</v>
      </c>
      <c r="AA409" s="19" t="s">
        <v>25</v>
      </c>
    </row>
    <row r="410" spans="1:27" x14ac:dyDescent="0.25">
      <c r="A410" s="17" t="s">
        <v>188</v>
      </c>
      <c r="B410" s="18" t="s">
        <v>76</v>
      </c>
      <c r="C410" s="63" t="str" cm="1">
        <f t="array" ref="C410">_xlfn.SWITCH(Table22[[#This Row],[Country]],"USA","North America","Canada","North America","Brazil","South America","China","Asia","Japan","Asia","India","Asia","France","Europe","Germany","Europe","UK","Europe","Australia","Oceania","South America")</f>
        <v>Asia</v>
      </c>
      <c r="D410" s="18" t="s">
        <v>35</v>
      </c>
      <c r="E410" s="18" t="s">
        <v>19</v>
      </c>
      <c r="F410" s="18" t="s">
        <v>20</v>
      </c>
      <c r="G410" s="18" t="s">
        <v>29</v>
      </c>
      <c r="H410" s="64">
        <f>LEN(TRIM(Table22[[#This Row],[Country]]))</f>
        <v>5</v>
      </c>
      <c r="I410" s="64">
        <f>LEN(TRIM(Table22[[#This Row],[Continent]]))</f>
        <v>4</v>
      </c>
      <c r="J410" s="64">
        <f>LEN(TRIM(Table22[[#This Row],[Product]]))</f>
        <v>6</v>
      </c>
      <c r="K410" s="64">
        <f>LEN(TRIM(Table22[[#This Row],[Sales Team]]))</f>
        <v>10</v>
      </c>
      <c r="L410" s="23">
        <v>57</v>
      </c>
      <c r="M410" s="65" t="str" cm="1">
        <f t="array" ref="M410">_xlfn.IFS(Table22[[#This Row],[Units Sold]]&lt;40,"Critical",Table22[[#This Row],[Units Sold]]&lt;=50,"Poor",Table22[[#This Row],[Units Sold]]&lt;=60,"Low",Table22[[#This Row],[Units Sold]]&lt;=80,"Average",Table22[[#This Row],[Units Sold]]&lt;=90,"High",Table22[[#This Row],[Units Sold]]&lt;=95,"Excellent",Table22[[#This Row],[Units Sold]]&gt;95,"Outstanding")</f>
        <v>Low</v>
      </c>
      <c r="N410" s="29">
        <v>1187.8499999999999</v>
      </c>
      <c r="O410" s="29">
        <v>67707.45</v>
      </c>
      <c r="P410" s="43">
        <f>IF(Table22[[#This Row],[Discount Applied]],Table22[[#This Row],[Total Sales (in USD)]]*(1-Table22[[#This Row],[Discount Percentage (%)]]/100),Table22[[#This Row],[Total Sales (in USD)]])</f>
        <v>53847.734984999996</v>
      </c>
      <c r="Q410" s="66">
        <f>SQRT(AVERAGE((Table22[[#This Row],[Net Sales (after discount) (in USD)]]-AVERAGE(Table22[Net Sales (after discount) (in USD)]))^2))</f>
        <v>17336.374421235458</v>
      </c>
      <c r="R410" s="18" t="b">
        <v>1</v>
      </c>
      <c r="S410" s="40">
        <v>20.47</v>
      </c>
      <c r="T410" s="18" t="b">
        <v>1</v>
      </c>
      <c r="U410" s="25">
        <v>45112</v>
      </c>
      <c r="V410" s="63" t="str">
        <f>IF(MONTH(Table22[[#This Row],[Sales Date]])&lt;=3,"Q1",IF(MONTH(Table22[[#This Row],[Sales Date]])&lt;=6,"Q2",IF(MONTH(Table22[[#This Row],[Sales Date]])&lt;=9,"Q3","Q4")))</f>
        <v>Q3</v>
      </c>
      <c r="W410" s="64">
        <f>YEAR(Table22[[#This Row],[Sales Date]])</f>
        <v>2023</v>
      </c>
      <c r="X410" s="23">
        <v>51</v>
      </c>
      <c r="Y410" s="18" t="s">
        <v>41</v>
      </c>
      <c r="Z410" s="18" t="s">
        <v>56</v>
      </c>
      <c r="AA410" s="19" t="s">
        <v>25</v>
      </c>
    </row>
    <row r="411" spans="1:27" x14ac:dyDescent="0.25">
      <c r="A411" s="17" t="s">
        <v>1803</v>
      </c>
      <c r="B411" s="18" t="s">
        <v>62</v>
      </c>
      <c r="C411" s="63" t="str" cm="1">
        <f t="array" ref="C411">_xlfn.SWITCH(Table22[[#This Row],[Country]],"USA","North America","Canada","North America","Brazil","South America","China","Asia","Japan","Asia","India","Asia","France","Europe","Germany","Europe","UK","Europe","Australia","Oceania","South America")</f>
        <v>Oceania</v>
      </c>
      <c r="D411" s="18" t="s">
        <v>35</v>
      </c>
      <c r="E411" s="18" t="s">
        <v>19</v>
      </c>
      <c r="F411" s="18" t="s">
        <v>47</v>
      </c>
      <c r="G411" s="18" t="s">
        <v>29</v>
      </c>
      <c r="H411" s="64">
        <f>LEN(TRIM(Table22[[#This Row],[Country]]))</f>
        <v>9</v>
      </c>
      <c r="I411" s="64">
        <f>LEN(TRIM(Table22[[#This Row],[Continent]]))</f>
        <v>7</v>
      </c>
      <c r="J411" s="64">
        <f>LEN(TRIM(Table22[[#This Row],[Product]]))</f>
        <v>6</v>
      </c>
      <c r="K411" s="64">
        <f>LEN(TRIM(Table22[[#This Row],[Sales Team]]))</f>
        <v>10</v>
      </c>
      <c r="L411" s="23">
        <v>89</v>
      </c>
      <c r="M411" s="65" t="str" cm="1">
        <f t="array" ref="M411">_xlfn.IFS(Table22[[#This Row],[Units Sold]]&lt;40,"Critical",Table22[[#This Row],[Units Sold]]&lt;=50,"Poor",Table22[[#This Row],[Units Sold]]&lt;=60,"Low",Table22[[#This Row],[Units Sold]]&lt;=80,"Average",Table22[[#This Row],[Units Sold]]&lt;=90,"High",Table22[[#This Row],[Units Sold]]&lt;=95,"Excellent",Table22[[#This Row],[Units Sold]]&gt;95,"Outstanding")</f>
        <v>High</v>
      </c>
      <c r="N411" s="29">
        <v>759.9</v>
      </c>
      <c r="O411" s="29">
        <v>67631.100000000006</v>
      </c>
      <c r="P411" s="43">
        <f>IF(Table22[[#This Row],[Discount Applied]],Table22[[#This Row],[Total Sales (in USD)]]*(1-Table22[[#This Row],[Discount Percentage (%)]]/100),Table22[[#This Row],[Total Sales (in USD)]])</f>
        <v>52833.415320000007</v>
      </c>
      <c r="Q411" s="66">
        <f>SQRT(AVERAGE((Table22[[#This Row],[Net Sales (after discount) (in USD)]]-AVERAGE(Table22[Net Sales (after discount) (in USD)]))^2))</f>
        <v>16322.05475623547</v>
      </c>
      <c r="R411" s="18" t="b">
        <v>1</v>
      </c>
      <c r="S411" s="40">
        <v>21.88</v>
      </c>
      <c r="T411" s="18" t="b">
        <v>1</v>
      </c>
      <c r="U411" s="25">
        <v>45363</v>
      </c>
      <c r="V411" s="63" t="str">
        <f>IF(MONTH(Table22[[#This Row],[Sales Date]])&lt;=3,"Q1",IF(MONTH(Table22[[#This Row],[Sales Date]])&lt;=6,"Q2",IF(MONTH(Table22[[#This Row],[Sales Date]])&lt;=9,"Q3","Q4")))</f>
        <v>Q1</v>
      </c>
      <c r="W411" s="64">
        <f>YEAR(Table22[[#This Row],[Sales Date]])</f>
        <v>2024</v>
      </c>
      <c r="X411" s="23">
        <v>43</v>
      </c>
      <c r="Y411" s="18" t="s">
        <v>49</v>
      </c>
      <c r="Z411" s="18" t="s">
        <v>56</v>
      </c>
      <c r="AA411" s="19" t="s">
        <v>25</v>
      </c>
    </row>
    <row r="412" spans="1:27" x14ac:dyDescent="0.25">
      <c r="A412" s="17" t="s">
        <v>447</v>
      </c>
      <c r="B412" s="18" t="s">
        <v>72</v>
      </c>
      <c r="C412" s="63" t="str" cm="1">
        <f t="array" ref="C412">_xlfn.SWITCH(Table22[[#This Row],[Country]],"USA","North America","Canada","North America","Brazil","South America","China","Asia","Japan","Asia","India","Asia","France","Europe","Germany","Europe","UK","Europe","Australia","Oceania","South America")</f>
        <v>North America</v>
      </c>
      <c r="D412" s="18" t="s">
        <v>35</v>
      </c>
      <c r="E412" s="18" t="s">
        <v>39</v>
      </c>
      <c r="F412" s="18" t="s">
        <v>20</v>
      </c>
      <c r="G412" s="18" t="s">
        <v>48</v>
      </c>
      <c r="H412" s="64">
        <f>LEN(TRIM(Table22[[#This Row],[Country]]))</f>
        <v>3</v>
      </c>
      <c r="I412" s="64">
        <f>LEN(TRIM(Table22[[#This Row],[Continent]]))</f>
        <v>13</v>
      </c>
      <c r="J412" s="64">
        <f>LEN(TRIM(Table22[[#This Row],[Product]]))</f>
        <v>10</v>
      </c>
      <c r="K412" s="64">
        <f>LEN(TRIM(Table22[[#This Row],[Sales Team]]))</f>
        <v>9</v>
      </c>
      <c r="L412" s="23">
        <v>50</v>
      </c>
      <c r="M412" s="65" t="str" cm="1">
        <f t="array" ref="M412">_xlfn.IFS(Table22[[#This Row],[Units Sold]]&lt;40,"Critical",Table22[[#This Row],[Units Sold]]&lt;=50,"Poor",Table22[[#This Row],[Units Sold]]&lt;=60,"Low",Table22[[#This Row],[Units Sold]]&lt;=80,"Average",Table22[[#This Row],[Units Sold]]&lt;=90,"High",Table22[[#This Row],[Units Sold]]&lt;=95,"Excellent",Table22[[#This Row],[Units Sold]]&gt;95,"Outstanding")</f>
        <v>Poor</v>
      </c>
      <c r="N412" s="29">
        <v>1352.28</v>
      </c>
      <c r="O412" s="29">
        <v>67614</v>
      </c>
      <c r="P412" s="43">
        <f>IF(Table22[[#This Row],[Discount Applied]],Table22[[#This Row],[Total Sales (in USD)]]*(1-Table22[[#This Row],[Discount Percentage (%)]]/100),Table22[[#This Row],[Total Sales (in USD)]])</f>
        <v>67614</v>
      </c>
      <c r="Q412" s="66">
        <f>SQRT(AVERAGE((Table22[[#This Row],[Net Sales (after discount) (in USD)]]-AVERAGE(Table22[Net Sales (after discount) (in USD)]))^2))</f>
        <v>31102.639436235462</v>
      </c>
      <c r="R412" s="18" t="b">
        <v>1</v>
      </c>
      <c r="S412" s="40">
        <v>5.72</v>
      </c>
      <c r="T412" s="18" t="b">
        <v>0</v>
      </c>
      <c r="U412" s="25">
        <v>45415</v>
      </c>
      <c r="V412" s="63" t="str">
        <f>IF(MONTH(Table22[[#This Row],[Sales Date]])&lt;=3,"Q1",IF(MONTH(Table22[[#This Row],[Sales Date]])&lt;=6,"Q2",IF(MONTH(Table22[[#This Row],[Sales Date]])&lt;=9,"Q3","Q4")))</f>
        <v>Q2</v>
      </c>
      <c r="W412" s="64">
        <f>YEAR(Table22[[#This Row],[Sales Date]])</f>
        <v>2024</v>
      </c>
      <c r="X412" s="23">
        <v>40</v>
      </c>
      <c r="Y412" s="18" t="s">
        <v>23</v>
      </c>
      <c r="Z412" s="18" t="s">
        <v>30</v>
      </c>
      <c r="AA412" s="19" t="s">
        <v>36</v>
      </c>
    </row>
    <row r="413" spans="1:27" x14ac:dyDescent="0.25">
      <c r="A413" s="17" t="s">
        <v>1937</v>
      </c>
      <c r="B413" s="18" t="s">
        <v>76</v>
      </c>
      <c r="C413" s="63" t="str" cm="1">
        <f t="array" ref="C413">_xlfn.SWITCH(Table22[[#This Row],[Country]],"USA","North America","Canada","North America","Brazil","South America","China","Asia","Japan","Asia","India","Asia","France","Europe","Germany","Europe","UK","Europe","Australia","Oceania","South America")</f>
        <v>Asia</v>
      </c>
      <c r="D413" s="18" t="s">
        <v>28</v>
      </c>
      <c r="E413" s="18" t="s">
        <v>33</v>
      </c>
      <c r="F413" s="18" t="s">
        <v>52</v>
      </c>
      <c r="G413" s="18" t="s">
        <v>22</v>
      </c>
      <c r="H413" s="64">
        <f>LEN(TRIM(Table22[[#This Row],[Country]]))</f>
        <v>5</v>
      </c>
      <c r="I413" s="64">
        <f>LEN(TRIM(Table22[[#This Row],[Continent]]))</f>
        <v>4</v>
      </c>
      <c r="J413" s="64">
        <f>LEN(TRIM(Table22[[#This Row],[Product]]))</f>
        <v>10</v>
      </c>
      <c r="K413" s="64">
        <f>LEN(TRIM(Table22[[#This Row],[Sales Team]]))</f>
        <v>10</v>
      </c>
      <c r="L413" s="23">
        <v>66</v>
      </c>
      <c r="M413" s="65" t="str" cm="1">
        <f t="array" ref="M413">_xlfn.IFS(Table22[[#This Row],[Units Sold]]&lt;40,"Critical",Table22[[#This Row],[Units Sold]]&lt;=50,"Poor",Table22[[#This Row],[Units Sold]]&lt;=60,"Low",Table22[[#This Row],[Units Sold]]&lt;=80,"Average",Table22[[#This Row],[Units Sold]]&lt;=90,"High",Table22[[#This Row],[Units Sold]]&lt;=95,"Excellent",Table22[[#This Row],[Units Sold]]&gt;95,"Outstanding")</f>
        <v>Average</v>
      </c>
      <c r="N413" s="29">
        <v>1024.24</v>
      </c>
      <c r="O413" s="29">
        <v>67599.839999999997</v>
      </c>
      <c r="P413" s="43">
        <f>IF(Table22[[#This Row],[Discount Applied]],Table22[[#This Row],[Total Sales (in USD)]]*(1-Table22[[#This Row],[Discount Percentage (%)]]/100),Table22[[#This Row],[Total Sales (in USD)]])</f>
        <v>67599.839999999997</v>
      </c>
      <c r="Q413" s="66">
        <f>SQRT(AVERAGE((Table22[[#This Row],[Net Sales (after discount) (in USD)]]-AVERAGE(Table22[Net Sales (after discount) (in USD)]))^2))</f>
        <v>31088.479436235459</v>
      </c>
      <c r="R413" s="18" t="b">
        <v>0</v>
      </c>
      <c r="S413" s="40">
        <v>23.66</v>
      </c>
      <c r="T413" s="18" t="b">
        <v>0</v>
      </c>
      <c r="U413" s="25">
        <v>45220</v>
      </c>
      <c r="V413" s="63" t="str">
        <f>IF(MONTH(Table22[[#This Row],[Sales Date]])&lt;=3,"Q1",IF(MONTH(Table22[[#This Row],[Sales Date]])&lt;=6,"Q2",IF(MONTH(Table22[[#This Row],[Sales Date]])&lt;=9,"Q3","Q4")))</f>
        <v>Q4</v>
      </c>
      <c r="W413" s="64">
        <f>YEAR(Table22[[#This Row],[Sales Date]])</f>
        <v>2023</v>
      </c>
      <c r="X413" s="23">
        <v>53</v>
      </c>
      <c r="Y413" s="18" t="s">
        <v>23</v>
      </c>
      <c r="Z413" s="18" t="s">
        <v>42</v>
      </c>
      <c r="AA413" s="19" t="s">
        <v>36</v>
      </c>
    </row>
    <row r="414" spans="1:27" x14ac:dyDescent="0.25">
      <c r="A414" s="17" t="s">
        <v>763</v>
      </c>
      <c r="B414" s="18" t="s">
        <v>62</v>
      </c>
      <c r="C414" s="63" t="str" cm="1">
        <f t="array" ref="C414">_xlfn.SWITCH(Table22[[#This Row],[Country]],"USA","North America","Canada","North America","Brazil","South America","China","Asia","Japan","Asia","India","Asia","France","Europe","Germany","Europe","UK","Europe","Australia","Oceania","South America")</f>
        <v>Oceania</v>
      </c>
      <c r="D414" s="18" t="s">
        <v>44</v>
      </c>
      <c r="E414" s="18" t="s">
        <v>19</v>
      </c>
      <c r="F414" s="18" t="s">
        <v>52</v>
      </c>
      <c r="G414" s="18" t="s">
        <v>22</v>
      </c>
      <c r="H414" s="64">
        <f>LEN(TRIM(Table22[[#This Row],[Country]]))</f>
        <v>9</v>
      </c>
      <c r="I414" s="64">
        <f>LEN(TRIM(Table22[[#This Row],[Continent]]))</f>
        <v>7</v>
      </c>
      <c r="J414" s="64">
        <f>LEN(TRIM(Table22[[#This Row],[Product]]))</f>
        <v>6</v>
      </c>
      <c r="K414" s="64">
        <f>LEN(TRIM(Table22[[#This Row],[Sales Team]]))</f>
        <v>10</v>
      </c>
      <c r="L414" s="23">
        <v>71</v>
      </c>
      <c r="M414" s="65" t="str" cm="1">
        <f t="array" ref="M414">_xlfn.IFS(Table22[[#This Row],[Units Sold]]&lt;40,"Critical",Table22[[#This Row],[Units Sold]]&lt;=50,"Poor",Table22[[#This Row],[Units Sold]]&lt;=60,"Low",Table22[[#This Row],[Units Sold]]&lt;=80,"Average",Table22[[#This Row],[Units Sold]]&lt;=90,"High",Table22[[#This Row],[Units Sold]]&lt;=95,"Excellent",Table22[[#This Row],[Units Sold]]&gt;95,"Outstanding")</f>
        <v>Average</v>
      </c>
      <c r="N414" s="29">
        <v>951.78</v>
      </c>
      <c r="O414" s="29">
        <v>67576.38</v>
      </c>
      <c r="P414" s="43">
        <f>IF(Table22[[#This Row],[Discount Applied]],Table22[[#This Row],[Total Sales (in USD)]]*(1-Table22[[#This Row],[Discount Percentage (%)]]/100),Table22[[#This Row],[Total Sales (in USD)]])</f>
        <v>54601.71504000001</v>
      </c>
      <c r="Q414" s="66">
        <f>SQRT(AVERAGE((Table22[[#This Row],[Net Sales (after discount) (in USD)]]-AVERAGE(Table22[Net Sales (after discount) (in USD)]))^2))</f>
        <v>18090.354476235472</v>
      </c>
      <c r="R414" s="18" t="b">
        <v>0</v>
      </c>
      <c r="S414" s="40">
        <v>19.2</v>
      </c>
      <c r="T414" s="18" t="b">
        <v>1</v>
      </c>
      <c r="U414" s="25">
        <v>45220</v>
      </c>
      <c r="V414" s="63" t="str">
        <f>IF(MONTH(Table22[[#This Row],[Sales Date]])&lt;=3,"Q1",IF(MONTH(Table22[[#This Row],[Sales Date]])&lt;=6,"Q2",IF(MONTH(Table22[[#This Row],[Sales Date]])&lt;=9,"Q3","Q4")))</f>
        <v>Q4</v>
      </c>
      <c r="W414" s="64">
        <f>YEAR(Table22[[#This Row],[Sales Date]])</f>
        <v>2023</v>
      </c>
      <c r="X414" s="23">
        <v>61</v>
      </c>
      <c r="Y414" s="18" t="s">
        <v>41</v>
      </c>
      <c r="Z414" s="18" t="s">
        <v>24</v>
      </c>
      <c r="AA414" s="19" t="s">
        <v>25</v>
      </c>
    </row>
    <row r="415" spans="1:27" x14ac:dyDescent="0.25">
      <c r="A415" s="17" t="s">
        <v>1983</v>
      </c>
      <c r="B415" s="18" t="s">
        <v>32</v>
      </c>
      <c r="C415" s="63" t="str" cm="1">
        <f t="array" ref="C415">_xlfn.SWITCH(Table22[[#This Row],[Country]],"USA","North America","Canada","North America","Brazil","South America","China","Asia","Japan","Asia","India","Asia","France","Europe","Germany","Europe","UK","Europe","Australia","Oceania","South America")</f>
        <v>Asia</v>
      </c>
      <c r="D415" s="18" t="s">
        <v>28</v>
      </c>
      <c r="E415" s="18" t="s">
        <v>33</v>
      </c>
      <c r="F415" s="18" t="s">
        <v>20</v>
      </c>
      <c r="G415" s="18" t="s">
        <v>22</v>
      </c>
      <c r="H415" s="64">
        <f>LEN(TRIM(Table22[[#This Row],[Country]]))</f>
        <v>5</v>
      </c>
      <c r="I415" s="64">
        <f>LEN(TRIM(Table22[[#This Row],[Continent]]))</f>
        <v>4</v>
      </c>
      <c r="J415" s="64">
        <f>LEN(TRIM(Table22[[#This Row],[Product]]))</f>
        <v>10</v>
      </c>
      <c r="K415" s="64">
        <f>LEN(TRIM(Table22[[#This Row],[Sales Team]]))</f>
        <v>10</v>
      </c>
      <c r="L415" s="23">
        <v>48</v>
      </c>
      <c r="M415" s="65" t="str" cm="1">
        <f t="array" ref="M415">_xlfn.IFS(Table22[[#This Row],[Units Sold]]&lt;40,"Critical",Table22[[#This Row],[Units Sold]]&lt;=50,"Poor",Table22[[#This Row],[Units Sold]]&lt;=60,"Low",Table22[[#This Row],[Units Sold]]&lt;=80,"Average",Table22[[#This Row],[Units Sold]]&lt;=90,"High",Table22[[#This Row],[Units Sold]]&lt;=95,"Excellent",Table22[[#This Row],[Units Sold]]&gt;95,"Outstanding")</f>
        <v>Poor</v>
      </c>
      <c r="N415" s="29">
        <v>1399.98</v>
      </c>
      <c r="O415" s="29">
        <v>67199.039999999994</v>
      </c>
      <c r="P415" s="43">
        <f>IF(Table22[[#This Row],[Discount Applied]],Table22[[#This Row],[Total Sales (in USD)]]*(1-Table22[[#This Row],[Discount Percentage (%)]]/100),Table22[[#This Row],[Total Sales (in USD)]])</f>
        <v>67199.039999999994</v>
      </c>
      <c r="Q415" s="66">
        <f>SQRT(AVERAGE((Table22[[#This Row],[Net Sales (after discount) (in USD)]]-AVERAGE(Table22[Net Sales (after discount) (in USD)]))^2))</f>
        <v>30687.679436235456</v>
      </c>
      <c r="R415" s="18" t="b">
        <v>1</v>
      </c>
      <c r="S415" s="40">
        <v>1.36</v>
      </c>
      <c r="T415" s="18" t="b">
        <v>0</v>
      </c>
      <c r="U415" s="25">
        <v>44979</v>
      </c>
      <c r="V415" s="63" t="str">
        <f>IF(MONTH(Table22[[#This Row],[Sales Date]])&lt;=3,"Q1",IF(MONTH(Table22[[#This Row],[Sales Date]])&lt;=6,"Q2",IF(MONTH(Table22[[#This Row],[Sales Date]])&lt;=9,"Q3","Q4")))</f>
        <v>Q1</v>
      </c>
      <c r="W415" s="64">
        <f>YEAR(Table22[[#This Row],[Sales Date]])</f>
        <v>2023</v>
      </c>
      <c r="X415" s="23">
        <v>69</v>
      </c>
      <c r="Y415" s="18" t="s">
        <v>49</v>
      </c>
      <c r="Z415" s="18" t="s">
        <v>24</v>
      </c>
      <c r="AA415" s="19" t="s">
        <v>25</v>
      </c>
    </row>
    <row r="416" spans="1:27" x14ac:dyDescent="0.25">
      <c r="A416" s="17" t="s">
        <v>1604</v>
      </c>
      <c r="B416" s="18" t="s">
        <v>62</v>
      </c>
      <c r="C416" s="63" t="str" cm="1">
        <f t="array" ref="C416">_xlfn.SWITCH(Table22[[#This Row],[Country]],"USA","North America","Canada","North America","Brazil","South America","China","Asia","Japan","Asia","India","Asia","France","Europe","Germany","Europe","UK","Europe","Australia","Oceania","South America")</f>
        <v>Oceania</v>
      </c>
      <c r="D416" s="18" t="s">
        <v>44</v>
      </c>
      <c r="E416" s="18" t="s">
        <v>33</v>
      </c>
      <c r="F416" s="18" t="s">
        <v>47</v>
      </c>
      <c r="G416" s="18" t="s">
        <v>48</v>
      </c>
      <c r="H416" s="64">
        <f>LEN(TRIM(Table22[[#This Row],[Country]]))</f>
        <v>9</v>
      </c>
      <c r="I416" s="64">
        <f>LEN(TRIM(Table22[[#This Row],[Continent]]))</f>
        <v>7</v>
      </c>
      <c r="J416" s="64">
        <f>LEN(TRIM(Table22[[#This Row],[Product]]))</f>
        <v>10</v>
      </c>
      <c r="K416" s="64">
        <f>LEN(TRIM(Table22[[#This Row],[Sales Team]]))</f>
        <v>9</v>
      </c>
      <c r="L416" s="23">
        <v>97</v>
      </c>
      <c r="M416" s="65" t="str" cm="1">
        <f t="array" ref="M416">_xlfn.IFS(Table22[[#This Row],[Units Sold]]&lt;40,"Critical",Table22[[#This Row],[Units Sold]]&lt;=50,"Poor",Table22[[#This Row],[Units Sold]]&lt;=60,"Low",Table22[[#This Row],[Units Sold]]&lt;=80,"Average",Table22[[#This Row],[Units Sold]]&lt;=90,"High",Table22[[#This Row],[Units Sold]]&lt;=95,"Excellent",Table22[[#This Row],[Units Sold]]&gt;95,"Outstanding")</f>
        <v>Outstanding</v>
      </c>
      <c r="N416" s="29">
        <v>692.61</v>
      </c>
      <c r="O416" s="29">
        <v>67183.17</v>
      </c>
      <c r="P416" s="43">
        <f>IF(Table22[[#This Row],[Discount Applied]],Table22[[#This Row],[Total Sales (in USD)]]*(1-Table22[[#This Row],[Discount Percentage (%)]]/100),Table22[[#This Row],[Total Sales (in USD)]])</f>
        <v>67183.17</v>
      </c>
      <c r="Q416" s="66">
        <f>SQRT(AVERAGE((Table22[[#This Row],[Net Sales (after discount) (in USD)]]-AVERAGE(Table22[Net Sales (after discount) (in USD)]))^2))</f>
        <v>30671.80943623546</v>
      </c>
      <c r="R416" s="18" t="b">
        <v>1</v>
      </c>
      <c r="S416" s="40">
        <v>6.37</v>
      </c>
      <c r="T416" s="18" t="b">
        <v>0</v>
      </c>
      <c r="U416" s="25">
        <v>45124</v>
      </c>
      <c r="V416" s="63" t="str">
        <f>IF(MONTH(Table22[[#This Row],[Sales Date]])&lt;=3,"Q1",IF(MONTH(Table22[[#This Row],[Sales Date]])&lt;=6,"Q2",IF(MONTH(Table22[[#This Row],[Sales Date]])&lt;=9,"Q3","Q4")))</f>
        <v>Q3</v>
      </c>
      <c r="W416" s="64">
        <f>YEAR(Table22[[#This Row],[Sales Date]])</f>
        <v>2023</v>
      </c>
      <c r="X416" s="23">
        <v>39</v>
      </c>
      <c r="Y416" s="18" t="s">
        <v>49</v>
      </c>
      <c r="Z416" s="18" t="s">
        <v>30</v>
      </c>
      <c r="AA416" s="19" t="s">
        <v>25</v>
      </c>
    </row>
    <row r="417" spans="1:27" x14ac:dyDescent="0.25">
      <c r="A417" s="17" t="s">
        <v>336</v>
      </c>
      <c r="B417" s="18" t="s">
        <v>62</v>
      </c>
      <c r="C417" s="63" t="str" cm="1">
        <f t="array" ref="C417">_xlfn.SWITCH(Table22[[#This Row],[Country]],"USA","North America","Canada","North America","Brazil","South America","China","Asia","Japan","Asia","India","Asia","France","Europe","Germany","Europe","UK","Europe","Australia","Oceania","South America")</f>
        <v>Oceania</v>
      </c>
      <c r="D417" s="18" t="s">
        <v>44</v>
      </c>
      <c r="E417" s="18" t="s">
        <v>19</v>
      </c>
      <c r="F417" s="18" t="s">
        <v>52</v>
      </c>
      <c r="G417" s="18" t="s">
        <v>40</v>
      </c>
      <c r="H417" s="64">
        <f>LEN(TRIM(Table22[[#This Row],[Country]]))</f>
        <v>9</v>
      </c>
      <c r="I417" s="64">
        <f>LEN(TRIM(Table22[[#This Row],[Continent]]))</f>
        <v>7</v>
      </c>
      <c r="J417" s="64">
        <f>LEN(TRIM(Table22[[#This Row],[Product]]))</f>
        <v>6</v>
      </c>
      <c r="K417" s="64">
        <f>LEN(TRIM(Table22[[#This Row],[Sales Team]]))</f>
        <v>10</v>
      </c>
      <c r="L417" s="23">
        <v>58</v>
      </c>
      <c r="M417" s="65" t="str" cm="1">
        <f t="array" ref="M417">_xlfn.IFS(Table22[[#This Row],[Units Sold]]&lt;40,"Critical",Table22[[#This Row],[Units Sold]]&lt;=50,"Poor",Table22[[#This Row],[Units Sold]]&lt;=60,"Low",Table22[[#This Row],[Units Sold]]&lt;=80,"Average",Table22[[#This Row],[Units Sold]]&lt;=90,"High",Table22[[#This Row],[Units Sold]]&lt;=95,"Excellent",Table22[[#This Row],[Units Sold]]&gt;95,"Outstanding")</f>
        <v>Low</v>
      </c>
      <c r="N417" s="29">
        <v>1156.3399999999999</v>
      </c>
      <c r="O417" s="29">
        <v>67067.72</v>
      </c>
      <c r="P417" s="43">
        <f>IF(Table22[[#This Row],[Discount Applied]],Table22[[#This Row],[Total Sales (in USD)]]*(1-Table22[[#This Row],[Discount Percentage (%)]]/100),Table22[[#This Row],[Total Sales (in USD)]])</f>
        <v>67067.72</v>
      </c>
      <c r="Q417" s="66">
        <f>SQRT(AVERAGE((Table22[[#This Row],[Net Sales (after discount) (in USD)]]-AVERAGE(Table22[Net Sales (after discount) (in USD)]))^2))</f>
        <v>30556.359436235463</v>
      </c>
      <c r="R417" s="18" t="b">
        <v>1</v>
      </c>
      <c r="S417" s="40">
        <v>19.170000000000002</v>
      </c>
      <c r="T417" s="18" t="b">
        <v>0</v>
      </c>
      <c r="U417" s="25">
        <v>45254</v>
      </c>
      <c r="V417" s="63" t="str">
        <f>IF(MONTH(Table22[[#This Row],[Sales Date]])&lt;=3,"Q1",IF(MONTH(Table22[[#This Row],[Sales Date]])&lt;=6,"Q2",IF(MONTH(Table22[[#This Row],[Sales Date]])&lt;=9,"Q3","Q4")))</f>
        <v>Q4</v>
      </c>
      <c r="W417" s="64">
        <f>YEAR(Table22[[#This Row],[Sales Date]])</f>
        <v>2023</v>
      </c>
      <c r="X417" s="23">
        <v>56</v>
      </c>
      <c r="Y417" s="18" t="s">
        <v>41</v>
      </c>
      <c r="Z417" s="18" t="s">
        <v>42</v>
      </c>
      <c r="AA417" s="19" t="s">
        <v>25</v>
      </c>
    </row>
    <row r="418" spans="1:27" x14ac:dyDescent="0.25">
      <c r="A418" s="17" t="s">
        <v>1845</v>
      </c>
      <c r="B418" s="18" t="s">
        <v>32</v>
      </c>
      <c r="C418" s="63" t="str" cm="1">
        <f t="array" ref="C418">_xlfn.SWITCH(Table22[[#This Row],[Country]],"USA","North America","Canada","North America","Brazil","South America","China","Asia","Japan","Asia","India","Asia","France","Europe","Germany","Europe","UK","Europe","Australia","Oceania","South America")</f>
        <v>Asia</v>
      </c>
      <c r="D418" s="18" t="s">
        <v>28</v>
      </c>
      <c r="E418" s="18" t="s">
        <v>19</v>
      </c>
      <c r="F418" s="18" t="s">
        <v>20</v>
      </c>
      <c r="G418" s="18" t="s">
        <v>29</v>
      </c>
      <c r="H418" s="64">
        <f>LEN(TRIM(Table22[[#This Row],[Country]]))</f>
        <v>5</v>
      </c>
      <c r="I418" s="64">
        <f>LEN(TRIM(Table22[[#This Row],[Continent]]))</f>
        <v>4</v>
      </c>
      <c r="J418" s="64">
        <f>LEN(TRIM(Table22[[#This Row],[Product]]))</f>
        <v>6</v>
      </c>
      <c r="K418" s="64">
        <f>LEN(TRIM(Table22[[#This Row],[Sales Team]]))</f>
        <v>10</v>
      </c>
      <c r="L418" s="23">
        <v>92</v>
      </c>
      <c r="M418" s="65" t="str" cm="1">
        <f t="array" ref="M418">_xlfn.IFS(Table22[[#This Row],[Units Sold]]&lt;40,"Critical",Table22[[#This Row],[Units Sold]]&lt;=50,"Poor",Table22[[#This Row],[Units Sold]]&lt;=60,"Low",Table22[[#This Row],[Units Sold]]&lt;=80,"Average",Table22[[#This Row],[Units Sold]]&lt;=90,"High",Table22[[#This Row],[Units Sold]]&lt;=95,"Excellent",Table22[[#This Row],[Units Sold]]&gt;95,"Outstanding")</f>
        <v>Excellent</v>
      </c>
      <c r="N418" s="29">
        <v>727.94</v>
      </c>
      <c r="O418" s="29">
        <v>66970.48</v>
      </c>
      <c r="P418" s="43">
        <f>IF(Table22[[#This Row],[Discount Applied]],Table22[[#This Row],[Total Sales (in USD)]]*(1-Table22[[#This Row],[Discount Percentage (%)]]/100),Table22[[#This Row],[Total Sales (in USD)]])</f>
        <v>59389.421664000001</v>
      </c>
      <c r="Q418" s="66">
        <f>SQRT(AVERAGE((Table22[[#This Row],[Net Sales (after discount) (in USD)]]-AVERAGE(Table22[Net Sales (after discount) (in USD)]))^2))</f>
        <v>22878.061100235464</v>
      </c>
      <c r="R418" s="18" t="b">
        <v>1</v>
      </c>
      <c r="S418" s="40">
        <v>11.32</v>
      </c>
      <c r="T418" s="18" t="b">
        <v>1</v>
      </c>
      <c r="U418" s="25">
        <v>45291</v>
      </c>
      <c r="V418" s="63" t="str">
        <f>IF(MONTH(Table22[[#This Row],[Sales Date]])&lt;=3,"Q1",IF(MONTH(Table22[[#This Row],[Sales Date]])&lt;=6,"Q2",IF(MONTH(Table22[[#This Row],[Sales Date]])&lt;=9,"Q3","Q4")))</f>
        <v>Q4</v>
      </c>
      <c r="W418" s="64">
        <f>YEAR(Table22[[#This Row],[Sales Date]])</f>
        <v>2023</v>
      </c>
      <c r="X418" s="23">
        <v>46</v>
      </c>
      <c r="Y418" s="18" t="s">
        <v>41</v>
      </c>
      <c r="Z418" s="18" t="s">
        <v>24</v>
      </c>
      <c r="AA418" s="19" t="s">
        <v>25</v>
      </c>
    </row>
    <row r="419" spans="1:27" x14ac:dyDescent="0.25">
      <c r="A419" s="17" t="s">
        <v>138</v>
      </c>
      <c r="B419" s="18" t="s">
        <v>51</v>
      </c>
      <c r="C419" s="63" t="str" cm="1">
        <f t="array" ref="C419">_xlfn.SWITCH(Table22[[#This Row],[Country]],"USA","North America","Canada","North America","Brazil","South America","China","Asia","Japan","Asia","India","Asia","France","Europe","Germany","Europe","UK","Europe","Australia","Oceania","South America")</f>
        <v>Europe</v>
      </c>
      <c r="D419" s="18" t="s">
        <v>28</v>
      </c>
      <c r="E419" s="18" t="s">
        <v>39</v>
      </c>
      <c r="F419" s="18" t="s">
        <v>20</v>
      </c>
      <c r="G419" s="18" t="s">
        <v>22</v>
      </c>
      <c r="H419" s="64">
        <f>LEN(TRIM(Table22[[#This Row],[Country]]))</f>
        <v>2</v>
      </c>
      <c r="I419" s="64">
        <f>LEN(TRIM(Table22[[#This Row],[Continent]]))</f>
        <v>6</v>
      </c>
      <c r="J419" s="64">
        <f>LEN(TRIM(Table22[[#This Row],[Product]]))</f>
        <v>10</v>
      </c>
      <c r="K419" s="64">
        <f>LEN(TRIM(Table22[[#This Row],[Sales Team]]))</f>
        <v>10</v>
      </c>
      <c r="L419" s="23">
        <v>90</v>
      </c>
      <c r="M419" s="65" t="str" cm="1">
        <f t="array" ref="M419">_xlfn.IFS(Table22[[#This Row],[Units Sold]]&lt;40,"Critical",Table22[[#This Row],[Units Sold]]&lt;=50,"Poor",Table22[[#This Row],[Units Sold]]&lt;=60,"Low",Table22[[#This Row],[Units Sold]]&lt;=80,"Average",Table22[[#This Row],[Units Sold]]&lt;=90,"High",Table22[[#This Row],[Units Sold]]&lt;=95,"Excellent",Table22[[#This Row],[Units Sold]]&gt;95,"Outstanding")</f>
        <v>High</v>
      </c>
      <c r="N419" s="29">
        <v>744.04</v>
      </c>
      <c r="O419" s="29">
        <v>66963.600000000006</v>
      </c>
      <c r="P419" s="43">
        <f>IF(Table22[[#This Row],[Discount Applied]],Table22[[#This Row],[Total Sales (in USD)]]*(1-Table22[[#This Row],[Discount Percentage (%)]]/100),Table22[[#This Row],[Total Sales (in USD)]])</f>
        <v>48387.897360000003</v>
      </c>
      <c r="Q419" s="66">
        <f>SQRT(AVERAGE((Table22[[#This Row],[Net Sales (after discount) (in USD)]]-AVERAGE(Table22[Net Sales (after discount) (in USD)]))^2))</f>
        <v>11876.536796235465</v>
      </c>
      <c r="R419" s="18" t="b">
        <v>0</v>
      </c>
      <c r="S419" s="40">
        <v>27.74</v>
      </c>
      <c r="T419" s="18" t="b">
        <v>1</v>
      </c>
      <c r="U419" s="25">
        <v>45400</v>
      </c>
      <c r="V419" s="63" t="str">
        <f>IF(MONTH(Table22[[#This Row],[Sales Date]])&lt;=3,"Q1",IF(MONTH(Table22[[#This Row],[Sales Date]])&lt;=6,"Q2",IF(MONTH(Table22[[#This Row],[Sales Date]])&lt;=9,"Q3","Q4")))</f>
        <v>Q2</v>
      </c>
      <c r="W419" s="64">
        <f>YEAR(Table22[[#This Row],[Sales Date]])</f>
        <v>2024</v>
      </c>
      <c r="X419" s="23">
        <v>21</v>
      </c>
      <c r="Y419" s="18" t="s">
        <v>49</v>
      </c>
      <c r="Z419" s="18" t="s">
        <v>56</v>
      </c>
      <c r="AA419" s="19" t="s">
        <v>25</v>
      </c>
    </row>
    <row r="420" spans="1:27" x14ac:dyDescent="0.25">
      <c r="A420" s="17" t="s">
        <v>1199</v>
      </c>
      <c r="B420" s="18" t="s">
        <v>66</v>
      </c>
      <c r="C420" s="63" t="str" cm="1">
        <f t="array" ref="C420">_xlfn.SWITCH(Table22[[#This Row],[Country]],"USA","North America","Canada","North America","Brazil","South America","China","Asia","Japan","Asia","India","Asia","France","Europe","Germany","Europe","UK","Europe","Australia","Oceania","South America")</f>
        <v>North America</v>
      </c>
      <c r="D420" s="18" t="s">
        <v>21</v>
      </c>
      <c r="E420" s="18" t="s">
        <v>39</v>
      </c>
      <c r="F420" s="18" t="s">
        <v>20</v>
      </c>
      <c r="G420" s="18" t="s">
        <v>48</v>
      </c>
      <c r="H420" s="64">
        <f>LEN(TRIM(Table22[[#This Row],[Country]]))</f>
        <v>6</v>
      </c>
      <c r="I420" s="64">
        <f>LEN(TRIM(Table22[[#This Row],[Continent]]))</f>
        <v>13</v>
      </c>
      <c r="J420" s="64">
        <f>LEN(TRIM(Table22[[#This Row],[Product]]))</f>
        <v>10</v>
      </c>
      <c r="K420" s="64">
        <f>LEN(TRIM(Table22[[#This Row],[Sales Team]]))</f>
        <v>9</v>
      </c>
      <c r="L420" s="23">
        <v>57</v>
      </c>
      <c r="M420" s="65" t="str" cm="1">
        <f t="array" ref="M420">_xlfn.IFS(Table22[[#This Row],[Units Sold]]&lt;40,"Critical",Table22[[#This Row],[Units Sold]]&lt;=50,"Poor",Table22[[#This Row],[Units Sold]]&lt;=60,"Low",Table22[[#This Row],[Units Sold]]&lt;=80,"Average",Table22[[#This Row],[Units Sold]]&lt;=90,"High",Table22[[#This Row],[Units Sold]]&lt;=95,"Excellent",Table22[[#This Row],[Units Sold]]&gt;95,"Outstanding")</f>
        <v>Low</v>
      </c>
      <c r="N420" s="29">
        <v>1173.98</v>
      </c>
      <c r="O420" s="29">
        <v>66916.86</v>
      </c>
      <c r="P420" s="43">
        <f>IF(Table22[[#This Row],[Discount Applied]],Table22[[#This Row],[Total Sales (in USD)]]*(1-Table22[[#This Row],[Discount Percentage (%)]]/100),Table22[[#This Row],[Total Sales (in USD)]])</f>
        <v>47082.702696</v>
      </c>
      <c r="Q420" s="66">
        <f>SQRT(AVERAGE((Table22[[#This Row],[Net Sales (after discount) (in USD)]]-AVERAGE(Table22[Net Sales (after discount) (in USD)]))^2))</f>
        <v>10571.342132235462</v>
      </c>
      <c r="R420" s="18" t="b">
        <v>1</v>
      </c>
      <c r="S420" s="40">
        <v>29.64</v>
      </c>
      <c r="T420" s="18" t="b">
        <v>1</v>
      </c>
      <c r="U420" s="25">
        <v>45544</v>
      </c>
      <c r="V420" s="63" t="str">
        <f>IF(MONTH(Table22[[#This Row],[Sales Date]])&lt;=3,"Q1",IF(MONTH(Table22[[#This Row],[Sales Date]])&lt;=6,"Q2",IF(MONTH(Table22[[#This Row],[Sales Date]])&lt;=9,"Q3","Q4")))</f>
        <v>Q3</v>
      </c>
      <c r="W420" s="64">
        <f>YEAR(Table22[[#This Row],[Sales Date]])</f>
        <v>2024</v>
      </c>
      <c r="X420" s="23">
        <v>39</v>
      </c>
      <c r="Y420" s="18" t="s">
        <v>49</v>
      </c>
      <c r="Z420" s="18" t="s">
        <v>24</v>
      </c>
      <c r="AA420" s="19" t="s">
        <v>25</v>
      </c>
    </row>
    <row r="421" spans="1:27" x14ac:dyDescent="0.25">
      <c r="A421" s="17" t="s">
        <v>1386</v>
      </c>
      <c r="B421" s="18" t="s">
        <v>62</v>
      </c>
      <c r="C421" s="63" t="str" cm="1">
        <f t="array" ref="C421">_xlfn.SWITCH(Table22[[#This Row],[Country]],"USA","North America","Canada","North America","Brazil","South America","China","Asia","Japan","Asia","India","Asia","France","Europe","Germany","Europe","UK","Europe","Australia","Oceania","South America")</f>
        <v>Oceania</v>
      </c>
      <c r="D421" s="18" t="s">
        <v>35</v>
      </c>
      <c r="E421" s="18" t="s">
        <v>39</v>
      </c>
      <c r="F421" s="18" t="s">
        <v>52</v>
      </c>
      <c r="G421" s="18" t="s">
        <v>40</v>
      </c>
      <c r="H421" s="64">
        <f>LEN(TRIM(Table22[[#This Row],[Country]]))</f>
        <v>9</v>
      </c>
      <c r="I421" s="64">
        <f>LEN(TRIM(Table22[[#This Row],[Continent]]))</f>
        <v>7</v>
      </c>
      <c r="J421" s="64">
        <f>LEN(TRIM(Table22[[#This Row],[Product]]))</f>
        <v>10</v>
      </c>
      <c r="K421" s="64">
        <f>LEN(TRIM(Table22[[#This Row],[Sales Team]]))</f>
        <v>10</v>
      </c>
      <c r="L421" s="23">
        <v>69</v>
      </c>
      <c r="M421" s="65" t="str" cm="1">
        <f t="array" ref="M421">_xlfn.IFS(Table22[[#This Row],[Units Sold]]&lt;40,"Critical",Table22[[#This Row],[Units Sold]]&lt;=50,"Poor",Table22[[#This Row],[Units Sold]]&lt;=60,"Low",Table22[[#This Row],[Units Sold]]&lt;=80,"Average",Table22[[#This Row],[Units Sold]]&lt;=90,"High",Table22[[#This Row],[Units Sold]]&lt;=95,"Excellent",Table22[[#This Row],[Units Sold]]&gt;95,"Outstanding")</f>
        <v>Average</v>
      </c>
      <c r="N421" s="29">
        <v>969.78</v>
      </c>
      <c r="O421" s="29">
        <v>66914.820000000007</v>
      </c>
      <c r="P421" s="43">
        <f>IF(Table22[[#This Row],[Discount Applied]],Table22[[#This Row],[Total Sales (in USD)]]*(1-Table22[[#This Row],[Discount Percentage (%)]]/100),Table22[[#This Row],[Total Sales (in USD)]])</f>
        <v>59962.370202000006</v>
      </c>
      <c r="Q421" s="66">
        <f>SQRT(AVERAGE((Table22[[#This Row],[Net Sales (after discount) (in USD)]]-AVERAGE(Table22[Net Sales (after discount) (in USD)]))^2))</f>
        <v>23451.009638235468</v>
      </c>
      <c r="R421" s="18" t="b">
        <v>1</v>
      </c>
      <c r="S421" s="40">
        <v>10.39</v>
      </c>
      <c r="T421" s="18" t="b">
        <v>1</v>
      </c>
      <c r="U421" s="25">
        <v>45494</v>
      </c>
      <c r="V421" s="63" t="str">
        <f>IF(MONTH(Table22[[#This Row],[Sales Date]])&lt;=3,"Q1",IF(MONTH(Table22[[#This Row],[Sales Date]])&lt;=6,"Q2",IF(MONTH(Table22[[#This Row],[Sales Date]])&lt;=9,"Q3","Q4")))</f>
        <v>Q3</v>
      </c>
      <c r="W421" s="64">
        <f>YEAR(Table22[[#This Row],[Sales Date]])</f>
        <v>2024</v>
      </c>
      <c r="X421" s="23">
        <v>58</v>
      </c>
      <c r="Y421" s="18" t="s">
        <v>23</v>
      </c>
      <c r="Z421" s="18" t="s">
        <v>24</v>
      </c>
      <c r="AA421" s="19" t="s">
        <v>25</v>
      </c>
    </row>
    <row r="422" spans="1:27" x14ac:dyDescent="0.25">
      <c r="A422" s="17" t="s">
        <v>1375</v>
      </c>
      <c r="B422" s="18" t="s">
        <v>66</v>
      </c>
      <c r="C422" s="63" t="str" cm="1">
        <f t="array" ref="C422">_xlfn.SWITCH(Table22[[#This Row],[Country]],"USA","North America","Canada","North America","Brazil","South America","China","Asia","Japan","Asia","India","Asia","France","Europe","Germany","Europe","UK","Europe","Australia","Oceania","South America")</f>
        <v>North America</v>
      </c>
      <c r="D422" s="18" t="s">
        <v>28</v>
      </c>
      <c r="E422" s="18" t="s">
        <v>19</v>
      </c>
      <c r="F422" s="18" t="s">
        <v>34</v>
      </c>
      <c r="G422" s="18" t="s">
        <v>40</v>
      </c>
      <c r="H422" s="64">
        <f>LEN(TRIM(Table22[[#This Row],[Country]]))</f>
        <v>6</v>
      </c>
      <c r="I422" s="64">
        <f>LEN(TRIM(Table22[[#This Row],[Continent]]))</f>
        <v>13</v>
      </c>
      <c r="J422" s="64">
        <f>LEN(TRIM(Table22[[#This Row],[Product]]))</f>
        <v>6</v>
      </c>
      <c r="K422" s="64">
        <f>LEN(TRIM(Table22[[#This Row],[Sales Team]]))</f>
        <v>10</v>
      </c>
      <c r="L422" s="23">
        <v>81</v>
      </c>
      <c r="M422" s="65" t="str" cm="1">
        <f t="array" ref="M422">_xlfn.IFS(Table22[[#This Row],[Units Sold]]&lt;40,"Critical",Table22[[#This Row],[Units Sold]]&lt;=50,"Poor",Table22[[#This Row],[Units Sold]]&lt;=60,"Low",Table22[[#This Row],[Units Sold]]&lt;=80,"Average",Table22[[#This Row],[Units Sold]]&lt;=90,"High",Table22[[#This Row],[Units Sold]]&lt;=95,"Excellent",Table22[[#This Row],[Units Sold]]&gt;95,"Outstanding")</f>
        <v>High</v>
      </c>
      <c r="N422" s="29">
        <v>824.2</v>
      </c>
      <c r="O422" s="29">
        <v>66760.2</v>
      </c>
      <c r="P422" s="43">
        <f>IF(Table22[[#This Row],[Discount Applied]],Table22[[#This Row],[Total Sales (in USD)]]*(1-Table22[[#This Row],[Discount Percentage (%)]]/100),Table22[[#This Row],[Total Sales (in USD)]])</f>
        <v>60458.037119999994</v>
      </c>
      <c r="Q422" s="66">
        <f>SQRT(AVERAGE((Table22[[#This Row],[Net Sales (after discount) (in USD)]]-AVERAGE(Table22[Net Sales (after discount) (in USD)]))^2))</f>
        <v>23946.676556235456</v>
      </c>
      <c r="R422" s="18" t="b">
        <v>1</v>
      </c>
      <c r="S422" s="40">
        <v>9.44</v>
      </c>
      <c r="T422" s="18" t="b">
        <v>1</v>
      </c>
      <c r="U422" s="25">
        <v>45238</v>
      </c>
      <c r="V422" s="63" t="str">
        <f>IF(MONTH(Table22[[#This Row],[Sales Date]])&lt;=3,"Q1",IF(MONTH(Table22[[#This Row],[Sales Date]])&lt;=6,"Q2",IF(MONTH(Table22[[#This Row],[Sales Date]])&lt;=9,"Q3","Q4")))</f>
        <v>Q4</v>
      </c>
      <c r="W422" s="64">
        <f>YEAR(Table22[[#This Row],[Sales Date]])</f>
        <v>2023</v>
      </c>
      <c r="X422" s="23">
        <v>39</v>
      </c>
      <c r="Y422" s="18" t="s">
        <v>41</v>
      </c>
      <c r="Z422" s="18" t="s">
        <v>24</v>
      </c>
      <c r="AA422" s="19" t="s">
        <v>25</v>
      </c>
    </row>
    <row r="423" spans="1:27" x14ac:dyDescent="0.25">
      <c r="A423" s="17" t="s">
        <v>124</v>
      </c>
      <c r="B423" s="18" t="s">
        <v>66</v>
      </c>
      <c r="C423" s="63" t="str" cm="1">
        <f t="array" ref="C423">_xlfn.SWITCH(Table22[[#This Row],[Country]],"USA","North America","Canada","North America","Brazil","South America","China","Asia","Japan","Asia","India","Asia","France","Europe","Germany","Europe","UK","Europe","Australia","Oceania","South America")</f>
        <v>North America</v>
      </c>
      <c r="D423" s="18" t="s">
        <v>28</v>
      </c>
      <c r="E423" s="18" t="s">
        <v>33</v>
      </c>
      <c r="F423" s="18" t="s">
        <v>34</v>
      </c>
      <c r="G423" s="18" t="s">
        <v>48</v>
      </c>
      <c r="H423" s="64">
        <f>LEN(TRIM(Table22[[#This Row],[Country]]))</f>
        <v>6</v>
      </c>
      <c r="I423" s="64">
        <f>LEN(TRIM(Table22[[#This Row],[Continent]]))</f>
        <v>13</v>
      </c>
      <c r="J423" s="64">
        <f>LEN(TRIM(Table22[[#This Row],[Product]]))</f>
        <v>10</v>
      </c>
      <c r="K423" s="64">
        <f>LEN(TRIM(Table22[[#This Row],[Sales Team]]))</f>
        <v>9</v>
      </c>
      <c r="L423" s="23">
        <v>76</v>
      </c>
      <c r="M423" s="65" t="str" cm="1">
        <f t="array" ref="M423">_xlfn.IFS(Table22[[#This Row],[Units Sold]]&lt;40,"Critical",Table22[[#This Row],[Units Sold]]&lt;=50,"Poor",Table22[[#This Row],[Units Sold]]&lt;=60,"Low",Table22[[#This Row],[Units Sold]]&lt;=80,"Average",Table22[[#This Row],[Units Sold]]&lt;=90,"High",Table22[[#This Row],[Units Sold]]&lt;=95,"Excellent",Table22[[#This Row],[Units Sold]]&gt;95,"Outstanding")</f>
        <v>Average</v>
      </c>
      <c r="N423" s="29">
        <v>878.26</v>
      </c>
      <c r="O423" s="29">
        <v>66747.759999999995</v>
      </c>
      <c r="P423" s="43">
        <f>IF(Table22[[#This Row],[Discount Applied]],Table22[[#This Row],[Total Sales (in USD)]]*(1-Table22[[#This Row],[Discount Percentage (%)]]/100),Table22[[#This Row],[Total Sales (in USD)]])</f>
        <v>47564.453775999995</v>
      </c>
      <c r="Q423" s="66">
        <f>SQRT(AVERAGE((Table22[[#This Row],[Net Sales (after discount) (in USD)]]-AVERAGE(Table22[Net Sales (after discount) (in USD)]))^2))</f>
        <v>11053.093212235457</v>
      </c>
      <c r="R423" s="18" t="b">
        <v>1</v>
      </c>
      <c r="S423" s="40">
        <v>28.74</v>
      </c>
      <c r="T423" s="18" t="b">
        <v>1</v>
      </c>
      <c r="U423" s="25">
        <v>45141</v>
      </c>
      <c r="V423" s="63" t="str">
        <f>IF(MONTH(Table22[[#This Row],[Sales Date]])&lt;=3,"Q1",IF(MONTH(Table22[[#This Row],[Sales Date]])&lt;=6,"Q2",IF(MONTH(Table22[[#This Row],[Sales Date]])&lt;=9,"Q3","Q4")))</f>
        <v>Q3</v>
      </c>
      <c r="W423" s="64">
        <f>YEAR(Table22[[#This Row],[Sales Date]])</f>
        <v>2023</v>
      </c>
      <c r="X423" s="23">
        <v>29</v>
      </c>
      <c r="Y423" s="18" t="s">
        <v>41</v>
      </c>
      <c r="Z423" s="18" t="s">
        <v>24</v>
      </c>
      <c r="AA423" s="19" t="s">
        <v>36</v>
      </c>
    </row>
    <row r="424" spans="1:27" x14ac:dyDescent="0.25">
      <c r="A424" s="17" t="s">
        <v>146</v>
      </c>
      <c r="B424" s="18" t="s">
        <v>18</v>
      </c>
      <c r="C424" s="63" t="str" cm="1">
        <f t="array" ref="C424">_xlfn.SWITCH(Table22[[#This Row],[Country]],"USA","North America","Canada","North America","Brazil","South America","China","Asia","Japan","Asia","India","Asia","France","Europe","Germany","Europe","UK","Europe","Australia","Oceania","South America")</f>
        <v>Asia</v>
      </c>
      <c r="D424" s="18" t="s">
        <v>28</v>
      </c>
      <c r="E424" s="18" t="s">
        <v>33</v>
      </c>
      <c r="F424" s="18" t="s">
        <v>20</v>
      </c>
      <c r="G424" s="18" t="s">
        <v>29</v>
      </c>
      <c r="H424" s="64">
        <f>LEN(TRIM(Table22[[#This Row],[Country]]))</f>
        <v>5</v>
      </c>
      <c r="I424" s="64">
        <f>LEN(TRIM(Table22[[#This Row],[Continent]]))</f>
        <v>4</v>
      </c>
      <c r="J424" s="64">
        <f>LEN(TRIM(Table22[[#This Row],[Product]]))</f>
        <v>10</v>
      </c>
      <c r="K424" s="64">
        <f>LEN(TRIM(Table22[[#This Row],[Sales Team]]))</f>
        <v>10</v>
      </c>
      <c r="L424" s="23">
        <v>60</v>
      </c>
      <c r="M424" s="65" t="str" cm="1">
        <f t="array" ref="M424">_xlfn.IFS(Table22[[#This Row],[Units Sold]]&lt;40,"Critical",Table22[[#This Row],[Units Sold]]&lt;=50,"Poor",Table22[[#This Row],[Units Sold]]&lt;=60,"Low",Table22[[#This Row],[Units Sold]]&lt;=80,"Average",Table22[[#This Row],[Units Sold]]&lt;=90,"High",Table22[[#This Row],[Units Sold]]&lt;=95,"Excellent",Table22[[#This Row],[Units Sold]]&gt;95,"Outstanding")</f>
        <v>Low</v>
      </c>
      <c r="N424" s="29">
        <v>1112.04</v>
      </c>
      <c r="O424" s="29">
        <v>66722.399999999994</v>
      </c>
      <c r="P424" s="43">
        <f>IF(Table22[[#This Row],[Discount Applied]],Table22[[#This Row],[Total Sales (in USD)]]*(1-Table22[[#This Row],[Discount Percentage (%)]]/100),Table22[[#This Row],[Total Sales (in USD)]])</f>
        <v>58595.611679999995</v>
      </c>
      <c r="Q424" s="66">
        <f>SQRT(AVERAGE((Table22[[#This Row],[Net Sales (after discount) (in USD)]]-AVERAGE(Table22[Net Sales (after discount) (in USD)]))^2))</f>
        <v>22084.251116235457</v>
      </c>
      <c r="R424" s="18" t="b">
        <v>0</v>
      </c>
      <c r="S424" s="40">
        <v>12.18</v>
      </c>
      <c r="T424" s="18" t="b">
        <v>1</v>
      </c>
      <c r="U424" s="25">
        <v>45260</v>
      </c>
      <c r="V424" s="63" t="str">
        <f>IF(MONTH(Table22[[#This Row],[Sales Date]])&lt;=3,"Q1",IF(MONTH(Table22[[#This Row],[Sales Date]])&lt;=6,"Q2",IF(MONTH(Table22[[#This Row],[Sales Date]])&lt;=9,"Q3","Q4")))</f>
        <v>Q4</v>
      </c>
      <c r="W424" s="64">
        <f>YEAR(Table22[[#This Row],[Sales Date]])</f>
        <v>2023</v>
      </c>
      <c r="X424" s="23">
        <v>35</v>
      </c>
      <c r="Y424" s="18" t="s">
        <v>23</v>
      </c>
      <c r="Z424" s="18" t="s">
        <v>56</v>
      </c>
      <c r="AA424" s="19" t="s">
        <v>36</v>
      </c>
    </row>
    <row r="425" spans="1:27" x14ac:dyDescent="0.25">
      <c r="A425" s="17" t="s">
        <v>1859</v>
      </c>
      <c r="B425" s="18" t="s">
        <v>46</v>
      </c>
      <c r="C425" s="63" t="str" cm="1">
        <f t="array" ref="C425">_xlfn.SWITCH(Table22[[#This Row],[Country]],"USA","North America","Canada","North America","Brazil","South America","China","Asia","Japan","Asia","India","Asia","France","Europe","Germany","Europe","UK","Europe","Australia","Oceania","South America")</f>
        <v>South America</v>
      </c>
      <c r="D425" s="18" t="s">
        <v>44</v>
      </c>
      <c r="E425" s="18" t="s">
        <v>39</v>
      </c>
      <c r="F425" s="18" t="s">
        <v>20</v>
      </c>
      <c r="G425" s="18" t="s">
        <v>40</v>
      </c>
      <c r="H425" s="64">
        <f>LEN(TRIM(Table22[[#This Row],[Country]]))</f>
        <v>6</v>
      </c>
      <c r="I425" s="64">
        <f>LEN(TRIM(Table22[[#This Row],[Continent]]))</f>
        <v>13</v>
      </c>
      <c r="J425" s="64">
        <f>LEN(TRIM(Table22[[#This Row],[Product]]))</f>
        <v>10</v>
      </c>
      <c r="K425" s="64">
        <f>LEN(TRIM(Table22[[#This Row],[Sales Team]]))</f>
        <v>10</v>
      </c>
      <c r="L425" s="23">
        <v>77</v>
      </c>
      <c r="M425" s="65" t="str" cm="1">
        <f t="array" ref="M425">_xlfn.IFS(Table22[[#This Row],[Units Sold]]&lt;40,"Critical",Table22[[#This Row],[Units Sold]]&lt;=50,"Poor",Table22[[#This Row],[Units Sold]]&lt;=60,"Low",Table22[[#This Row],[Units Sold]]&lt;=80,"Average",Table22[[#This Row],[Units Sold]]&lt;=90,"High",Table22[[#This Row],[Units Sold]]&lt;=95,"Excellent",Table22[[#This Row],[Units Sold]]&gt;95,"Outstanding")</f>
        <v>Average</v>
      </c>
      <c r="N425" s="29">
        <v>865.83</v>
      </c>
      <c r="O425" s="29">
        <v>66668.91</v>
      </c>
      <c r="P425" s="43">
        <f>IF(Table22[[#This Row],[Discount Applied]],Table22[[#This Row],[Total Sales (in USD)]]*(1-Table22[[#This Row],[Discount Percentage (%)]]/100),Table22[[#This Row],[Total Sales (in USD)]])</f>
        <v>66668.91</v>
      </c>
      <c r="Q425" s="66">
        <f>SQRT(AVERAGE((Table22[[#This Row],[Net Sales (after discount) (in USD)]]-AVERAGE(Table22[Net Sales (after discount) (in USD)]))^2))</f>
        <v>30157.549436235466</v>
      </c>
      <c r="R425" s="18" t="b">
        <v>0</v>
      </c>
      <c r="S425" s="40">
        <v>2.2599999999999998</v>
      </c>
      <c r="T425" s="18" t="b">
        <v>0</v>
      </c>
      <c r="U425" s="25">
        <v>44981</v>
      </c>
      <c r="V425" s="63" t="str">
        <f>IF(MONTH(Table22[[#This Row],[Sales Date]])&lt;=3,"Q1",IF(MONTH(Table22[[#This Row],[Sales Date]])&lt;=6,"Q2",IF(MONTH(Table22[[#This Row],[Sales Date]])&lt;=9,"Q3","Q4")))</f>
        <v>Q1</v>
      </c>
      <c r="W425" s="64">
        <f>YEAR(Table22[[#This Row],[Sales Date]])</f>
        <v>2023</v>
      </c>
      <c r="X425" s="23">
        <v>39</v>
      </c>
      <c r="Y425" s="18" t="s">
        <v>41</v>
      </c>
      <c r="Z425" s="18" t="s">
        <v>24</v>
      </c>
      <c r="AA425" s="19" t="s">
        <v>36</v>
      </c>
    </row>
    <row r="426" spans="1:27" x14ac:dyDescent="0.25">
      <c r="A426" s="17" t="s">
        <v>390</v>
      </c>
      <c r="B426" s="18" t="s">
        <v>32</v>
      </c>
      <c r="C426" s="63" t="str" cm="1">
        <f t="array" ref="C426">_xlfn.SWITCH(Table22[[#This Row],[Country]],"USA","North America","Canada","North America","Brazil","South America","China","Asia","Japan","Asia","India","Asia","France","Europe","Germany","Europe","UK","Europe","Australia","Oceania","South America")</f>
        <v>Asia</v>
      </c>
      <c r="D426" s="18" t="s">
        <v>35</v>
      </c>
      <c r="E426" s="18" t="s">
        <v>39</v>
      </c>
      <c r="F426" s="18" t="s">
        <v>52</v>
      </c>
      <c r="G426" s="18" t="s">
        <v>29</v>
      </c>
      <c r="H426" s="64">
        <f>LEN(TRIM(Table22[[#This Row],[Country]]))</f>
        <v>5</v>
      </c>
      <c r="I426" s="64">
        <f>LEN(TRIM(Table22[[#This Row],[Continent]]))</f>
        <v>4</v>
      </c>
      <c r="J426" s="64">
        <f>LEN(TRIM(Table22[[#This Row],[Product]]))</f>
        <v>10</v>
      </c>
      <c r="K426" s="64">
        <f>LEN(TRIM(Table22[[#This Row],[Sales Team]]))</f>
        <v>10</v>
      </c>
      <c r="L426" s="23">
        <v>86</v>
      </c>
      <c r="M426" s="65" t="str" cm="1">
        <f t="array" ref="M426">_xlfn.IFS(Table22[[#This Row],[Units Sold]]&lt;40,"Critical",Table22[[#This Row],[Units Sold]]&lt;=50,"Poor",Table22[[#This Row],[Units Sold]]&lt;=60,"Low",Table22[[#This Row],[Units Sold]]&lt;=80,"Average",Table22[[#This Row],[Units Sold]]&lt;=90,"High",Table22[[#This Row],[Units Sold]]&lt;=95,"Excellent",Table22[[#This Row],[Units Sold]]&gt;95,"Outstanding")</f>
        <v>High</v>
      </c>
      <c r="N426" s="29">
        <v>774.35</v>
      </c>
      <c r="O426" s="29">
        <v>66594.100000000006</v>
      </c>
      <c r="P426" s="43">
        <f>IF(Table22[[#This Row],[Discount Applied]],Table22[[#This Row],[Total Sales (in USD)]]*(1-Table22[[#This Row],[Discount Percentage (%)]]/100),Table22[[#This Row],[Total Sales (in USD)]])</f>
        <v>50997.761780000008</v>
      </c>
      <c r="Q426" s="66">
        <f>SQRT(AVERAGE((Table22[[#This Row],[Net Sales (after discount) (in USD)]]-AVERAGE(Table22[Net Sales (after discount) (in USD)]))^2))</f>
        <v>14486.40121623547</v>
      </c>
      <c r="R426" s="18" t="b">
        <v>1</v>
      </c>
      <c r="S426" s="40">
        <v>23.42</v>
      </c>
      <c r="T426" s="18" t="b">
        <v>1</v>
      </c>
      <c r="U426" s="25">
        <v>45007</v>
      </c>
      <c r="V426" s="63" t="str">
        <f>IF(MONTH(Table22[[#This Row],[Sales Date]])&lt;=3,"Q1",IF(MONTH(Table22[[#This Row],[Sales Date]])&lt;=6,"Q2",IF(MONTH(Table22[[#This Row],[Sales Date]])&lt;=9,"Q3","Q4")))</f>
        <v>Q1</v>
      </c>
      <c r="W426" s="64">
        <f>YEAR(Table22[[#This Row],[Sales Date]])</f>
        <v>2023</v>
      </c>
      <c r="X426" s="23">
        <v>64</v>
      </c>
      <c r="Y426" s="18" t="s">
        <v>23</v>
      </c>
      <c r="Z426" s="18" t="s">
        <v>24</v>
      </c>
      <c r="AA426" s="19" t="s">
        <v>25</v>
      </c>
    </row>
    <row r="427" spans="1:27" x14ac:dyDescent="0.25">
      <c r="A427" s="17" t="s">
        <v>603</v>
      </c>
      <c r="B427" s="18" t="s">
        <v>51</v>
      </c>
      <c r="C427" s="63" t="str" cm="1">
        <f t="array" ref="C427">_xlfn.SWITCH(Table22[[#This Row],[Country]],"USA","North America","Canada","North America","Brazil","South America","China","Asia","Japan","Asia","India","Asia","France","Europe","Germany","Europe","UK","Europe","Australia","Oceania","South America")</f>
        <v>Europe</v>
      </c>
      <c r="D427" s="18" t="s">
        <v>28</v>
      </c>
      <c r="E427" s="18" t="s">
        <v>33</v>
      </c>
      <c r="F427" s="18" t="s">
        <v>34</v>
      </c>
      <c r="G427" s="18" t="s">
        <v>40</v>
      </c>
      <c r="H427" s="64">
        <f>LEN(TRIM(Table22[[#This Row],[Country]]))</f>
        <v>2</v>
      </c>
      <c r="I427" s="64">
        <f>LEN(TRIM(Table22[[#This Row],[Continent]]))</f>
        <v>6</v>
      </c>
      <c r="J427" s="64">
        <f>LEN(TRIM(Table22[[#This Row],[Product]]))</f>
        <v>10</v>
      </c>
      <c r="K427" s="64">
        <f>LEN(TRIM(Table22[[#This Row],[Sales Team]]))</f>
        <v>10</v>
      </c>
      <c r="L427" s="23">
        <v>95</v>
      </c>
      <c r="M427" s="65" t="str" cm="1">
        <f t="array" ref="M427">_xlfn.IFS(Table22[[#This Row],[Units Sold]]&lt;40,"Critical",Table22[[#This Row],[Units Sold]]&lt;=50,"Poor",Table22[[#This Row],[Units Sold]]&lt;=60,"Low",Table22[[#This Row],[Units Sold]]&lt;=80,"Average",Table22[[#This Row],[Units Sold]]&lt;=90,"High",Table22[[#This Row],[Units Sold]]&lt;=95,"Excellent",Table22[[#This Row],[Units Sold]]&gt;95,"Outstanding")</f>
        <v>Excellent</v>
      </c>
      <c r="N427" s="29">
        <v>700.81</v>
      </c>
      <c r="O427" s="29">
        <v>66576.95</v>
      </c>
      <c r="P427" s="43">
        <f>IF(Table22[[#This Row],[Discount Applied]],Table22[[#This Row],[Total Sales (in USD)]]*(1-Table22[[#This Row],[Discount Percentage (%)]]/100),Table22[[#This Row],[Total Sales (in USD)]])</f>
        <v>66576.95</v>
      </c>
      <c r="Q427" s="66">
        <f>SQRT(AVERAGE((Table22[[#This Row],[Net Sales (after discount) (in USD)]]-AVERAGE(Table22[Net Sales (after discount) (in USD)]))^2))</f>
        <v>30065.589436235459</v>
      </c>
      <c r="R427" s="18" t="b">
        <v>0</v>
      </c>
      <c r="S427" s="40">
        <v>16.149999999999999</v>
      </c>
      <c r="T427" s="18" t="b">
        <v>0</v>
      </c>
      <c r="U427" s="25">
        <v>45288</v>
      </c>
      <c r="V427" s="63" t="str">
        <f>IF(MONTH(Table22[[#This Row],[Sales Date]])&lt;=3,"Q1",IF(MONTH(Table22[[#This Row],[Sales Date]])&lt;=6,"Q2",IF(MONTH(Table22[[#This Row],[Sales Date]])&lt;=9,"Q3","Q4")))</f>
        <v>Q4</v>
      </c>
      <c r="W427" s="64">
        <f>YEAR(Table22[[#This Row],[Sales Date]])</f>
        <v>2023</v>
      </c>
      <c r="X427" s="23">
        <v>19</v>
      </c>
      <c r="Y427" s="18" t="s">
        <v>49</v>
      </c>
      <c r="Z427" s="18" t="s">
        <v>56</v>
      </c>
      <c r="AA427" s="19" t="s">
        <v>36</v>
      </c>
    </row>
    <row r="428" spans="1:27" x14ac:dyDescent="0.25">
      <c r="A428" s="17" t="s">
        <v>1240</v>
      </c>
      <c r="B428" s="18" t="s">
        <v>18</v>
      </c>
      <c r="C428" s="63" t="str" cm="1">
        <f t="array" ref="C428">_xlfn.SWITCH(Table22[[#This Row],[Country]],"USA","North America","Canada","North America","Brazil","South America","China","Asia","Japan","Asia","India","Asia","France","Europe","Germany","Europe","UK","Europe","Australia","Oceania","South America")</f>
        <v>Asia</v>
      </c>
      <c r="D428" s="18" t="s">
        <v>44</v>
      </c>
      <c r="E428" s="18" t="s">
        <v>19</v>
      </c>
      <c r="F428" s="18" t="s">
        <v>52</v>
      </c>
      <c r="G428" s="18" t="s">
        <v>40</v>
      </c>
      <c r="H428" s="64">
        <f>LEN(TRIM(Table22[[#This Row],[Country]]))</f>
        <v>5</v>
      </c>
      <c r="I428" s="64">
        <f>LEN(TRIM(Table22[[#This Row],[Continent]]))</f>
        <v>4</v>
      </c>
      <c r="J428" s="64">
        <f>LEN(TRIM(Table22[[#This Row],[Product]]))</f>
        <v>6</v>
      </c>
      <c r="K428" s="64">
        <f>LEN(TRIM(Table22[[#This Row],[Sales Team]]))</f>
        <v>10</v>
      </c>
      <c r="L428" s="23">
        <v>81</v>
      </c>
      <c r="M428" s="65" t="str" cm="1">
        <f t="array" ref="M428">_xlfn.IFS(Table22[[#This Row],[Units Sold]]&lt;40,"Critical",Table22[[#This Row],[Units Sold]]&lt;=50,"Poor",Table22[[#This Row],[Units Sold]]&lt;=60,"Low",Table22[[#This Row],[Units Sold]]&lt;=80,"Average",Table22[[#This Row],[Units Sold]]&lt;=90,"High",Table22[[#This Row],[Units Sold]]&lt;=95,"Excellent",Table22[[#This Row],[Units Sold]]&gt;95,"Outstanding")</f>
        <v>High</v>
      </c>
      <c r="N428" s="29">
        <v>821.59</v>
      </c>
      <c r="O428" s="29">
        <v>66548.789999999994</v>
      </c>
      <c r="P428" s="43">
        <f>IF(Table22[[#This Row],[Discount Applied]],Table22[[#This Row],[Total Sales (in USD)]]*(1-Table22[[#This Row],[Discount Percentage (%)]]/100),Table22[[#This Row],[Total Sales (in USD)]])</f>
        <v>52453.756277999993</v>
      </c>
      <c r="Q428" s="66">
        <f>SQRT(AVERAGE((Table22[[#This Row],[Net Sales (after discount) (in USD)]]-AVERAGE(Table22[Net Sales (after discount) (in USD)]))^2))</f>
        <v>15942.395714235456</v>
      </c>
      <c r="R428" s="18" t="b">
        <v>0</v>
      </c>
      <c r="S428" s="40">
        <v>21.18</v>
      </c>
      <c r="T428" s="18" t="b">
        <v>1</v>
      </c>
      <c r="U428" s="25">
        <v>45363</v>
      </c>
      <c r="V428" s="63" t="str">
        <f>IF(MONTH(Table22[[#This Row],[Sales Date]])&lt;=3,"Q1",IF(MONTH(Table22[[#This Row],[Sales Date]])&lt;=6,"Q2",IF(MONTH(Table22[[#This Row],[Sales Date]])&lt;=9,"Q3","Q4")))</f>
        <v>Q1</v>
      </c>
      <c r="W428" s="64">
        <f>YEAR(Table22[[#This Row],[Sales Date]])</f>
        <v>2024</v>
      </c>
      <c r="X428" s="23">
        <v>27</v>
      </c>
      <c r="Y428" s="18" t="s">
        <v>49</v>
      </c>
      <c r="Z428" s="18" t="s">
        <v>42</v>
      </c>
      <c r="AA428" s="19" t="s">
        <v>25</v>
      </c>
    </row>
    <row r="429" spans="1:27" x14ac:dyDescent="0.25">
      <c r="A429" s="17" t="s">
        <v>860</v>
      </c>
      <c r="B429" s="18" t="s">
        <v>27</v>
      </c>
      <c r="C429" s="63" t="str" cm="1">
        <f t="array" ref="C429">_xlfn.SWITCH(Table22[[#This Row],[Country]],"USA","North America","Canada","North America","Brazil","South America","China","Asia","Japan","Asia","India","Asia","France","Europe","Germany","Europe","UK","Europe","Australia","Oceania","South America")</f>
        <v>Europe</v>
      </c>
      <c r="D429" s="18" t="s">
        <v>44</v>
      </c>
      <c r="E429" s="18" t="s">
        <v>39</v>
      </c>
      <c r="F429" s="18" t="s">
        <v>52</v>
      </c>
      <c r="G429" s="18" t="s">
        <v>22</v>
      </c>
      <c r="H429" s="64">
        <f>LEN(TRIM(Table22[[#This Row],[Country]]))</f>
        <v>7</v>
      </c>
      <c r="I429" s="64">
        <f>LEN(TRIM(Table22[[#This Row],[Continent]]))</f>
        <v>6</v>
      </c>
      <c r="J429" s="64">
        <f>LEN(TRIM(Table22[[#This Row],[Product]]))</f>
        <v>10</v>
      </c>
      <c r="K429" s="64">
        <f>LEN(TRIM(Table22[[#This Row],[Sales Team]]))</f>
        <v>10</v>
      </c>
      <c r="L429" s="23">
        <v>55</v>
      </c>
      <c r="M429" s="65" t="str" cm="1">
        <f t="array" ref="M429">_xlfn.IFS(Table22[[#This Row],[Units Sold]]&lt;40,"Critical",Table22[[#This Row],[Units Sold]]&lt;=50,"Poor",Table22[[#This Row],[Units Sold]]&lt;=60,"Low",Table22[[#This Row],[Units Sold]]&lt;=80,"Average",Table22[[#This Row],[Units Sold]]&lt;=90,"High",Table22[[#This Row],[Units Sold]]&lt;=95,"Excellent",Table22[[#This Row],[Units Sold]]&gt;95,"Outstanding")</f>
        <v>Low</v>
      </c>
      <c r="N429" s="29">
        <v>1209.6600000000001</v>
      </c>
      <c r="O429" s="29">
        <v>66531.3</v>
      </c>
      <c r="P429" s="43">
        <f>IF(Table22[[#This Row],[Discount Applied]],Table22[[#This Row],[Total Sales (in USD)]]*(1-Table22[[#This Row],[Discount Percentage (%)]]/100),Table22[[#This Row],[Total Sales (in USD)]])</f>
        <v>66531.3</v>
      </c>
      <c r="Q429" s="66">
        <f>SQRT(AVERAGE((Table22[[#This Row],[Net Sales (after discount) (in USD)]]-AVERAGE(Table22[Net Sales (after discount) (in USD)]))^2))</f>
        <v>30019.939436235465</v>
      </c>
      <c r="R429" s="18" t="b">
        <v>0</v>
      </c>
      <c r="S429" s="40">
        <v>18.36</v>
      </c>
      <c r="T429" s="18" t="b">
        <v>0</v>
      </c>
      <c r="U429" s="25">
        <v>45072</v>
      </c>
      <c r="V429" s="63" t="str">
        <f>IF(MONTH(Table22[[#This Row],[Sales Date]])&lt;=3,"Q1",IF(MONTH(Table22[[#This Row],[Sales Date]])&lt;=6,"Q2",IF(MONTH(Table22[[#This Row],[Sales Date]])&lt;=9,"Q3","Q4")))</f>
        <v>Q2</v>
      </c>
      <c r="W429" s="64">
        <f>YEAR(Table22[[#This Row],[Sales Date]])</f>
        <v>2023</v>
      </c>
      <c r="X429" s="23">
        <v>43</v>
      </c>
      <c r="Y429" s="18" t="s">
        <v>23</v>
      </c>
      <c r="Z429" s="18" t="s">
        <v>42</v>
      </c>
      <c r="AA429" s="19" t="s">
        <v>36</v>
      </c>
    </row>
    <row r="430" spans="1:27" x14ac:dyDescent="0.25">
      <c r="A430" s="17" t="s">
        <v>937</v>
      </c>
      <c r="B430" s="18" t="s">
        <v>38</v>
      </c>
      <c r="C430" s="63" t="str" cm="1">
        <f t="array" ref="C430">_xlfn.SWITCH(Table22[[#This Row],[Country]],"USA","North America","Canada","North America","Brazil","South America","China","Asia","Japan","Asia","India","Asia","France","Europe","Germany","Europe","UK","Europe","Australia","Oceania","South America")</f>
        <v>Europe</v>
      </c>
      <c r="D430" s="18" t="s">
        <v>44</v>
      </c>
      <c r="E430" s="18" t="s">
        <v>19</v>
      </c>
      <c r="F430" s="18" t="s">
        <v>47</v>
      </c>
      <c r="G430" s="18" t="s">
        <v>40</v>
      </c>
      <c r="H430" s="64">
        <f>LEN(TRIM(Table22[[#This Row],[Country]]))</f>
        <v>6</v>
      </c>
      <c r="I430" s="64">
        <f>LEN(TRIM(Table22[[#This Row],[Continent]]))</f>
        <v>6</v>
      </c>
      <c r="J430" s="64">
        <f>LEN(TRIM(Table22[[#This Row],[Product]]))</f>
        <v>6</v>
      </c>
      <c r="K430" s="64">
        <f>LEN(TRIM(Table22[[#This Row],[Sales Team]]))</f>
        <v>10</v>
      </c>
      <c r="L430" s="23">
        <v>56</v>
      </c>
      <c r="M430" s="65" t="str" cm="1">
        <f t="array" ref="M430">_xlfn.IFS(Table22[[#This Row],[Units Sold]]&lt;40,"Critical",Table22[[#This Row],[Units Sold]]&lt;=50,"Poor",Table22[[#This Row],[Units Sold]]&lt;=60,"Low",Table22[[#This Row],[Units Sold]]&lt;=80,"Average",Table22[[#This Row],[Units Sold]]&lt;=90,"High",Table22[[#This Row],[Units Sold]]&lt;=95,"Excellent",Table22[[#This Row],[Units Sold]]&gt;95,"Outstanding")</f>
        <v>Low</v>
      </c>
      <c r="N430" s="29">
        <v>1187.3900000000001</v>
      </c>
      <c r="O430" s="29">
        <v>66493.84</v>
      </c>
      <c r="P430" s="43">
        <f>IF(Table22[[#This Row],[Discount Applied]],Table22[[#This Row],[Total Sales (in USD)]]*(1-Table22[[#This Row],[Discount Percentage (%)]]/100),Table22[[#This Row],[Total Sales (in USD)]])</f>
        <v>53527.541199999992</v>
      </c>
      <c r="Q430" s="66">
        <f>SQRT(AVERAGE((Table22[[#This Row],[Net Sales (after discount) (in USD)]]-AVERAGE(Table22[Net Sales (after discount) (in USD)]))^2))</f>
        <v>17016.180636235455</v>
      </c>
      <c r="R430" s="18" t="b">
        <v>1</v>
      </c>
      <c r="S430" s="40">
        <v>19.5</v>
      </c>
      <c r="T430" s="18" t="b">
        <v>1</v>
      </c>
      <c r="U430" s="25">
        <v>45493</v>
      </c>
      <c r="V430" s="63" t="str">
        <f>IF(MONTH(Table22[[#This Row],[Sales Date]])&lt;=3,"Q1",IF(MONTH(Table22[[#This Row],[Sales Date]])&lt;=6,"Q2",IF(MONTH(Table22[[#This Row],[Sales Date]])&lt;=9,"Q3","Q4")))</f>
        <v>Q3</v>
      </c>
      <c r="W430" s="64">
        <f>YEAR(Table22[[#This Row],[Sales Date]])</f>
        <v>2024</v>
      </c>
      <c r="X430" s="23">
        <v>61</v>
      </c>
      <c r="Y430" s="18" t="s">
        <v>49</v>
      </c>
      <c r="Z430" s="18" t="s">
        <v>56</v>
      </c>
      <c r="AA430" s="19" t="s">
        <v>25</v>
      </c>
    </row>
    <row r="431" spans="1:27" x14ac:dyDescent="0.25">
      <c r="A431" s="17" t="s">
        <v>1048</v>
      </c>
      <c r="B431" s="18" t="s">
        <v>46</v>
      </c>
      <c r="C431" s="63" t="str" cm="1">
        <f t="array" ref="C431">_xlfn.SWITCH(Table22[[#This Row],[Country]],"USA","North America","Canada","North America","Brazil","South America","China","Asia","Japan","Asia","India","Asia","France","Europe","Germany","Europe","UK","Europe","Australia","Oceania","South America")</f>
        <v>South America</v>
      </c>
      <c r="D431" s="18" t="s">
        <v>21</v>
      </c>
      <c r="E431" s="18" t="s">
        <v>19</v>
      </c>
      <c r="F431" s="18" t="s">
        <v>34</v>
      </c>
      <c r="G431" s="18" t="s">
        <v>29</v>
      </c>
      <c r="H431" s="64">
        <f>LEN(TRIM(Table22[[#This Row],[Country]]))</f>
        <v>6</v>
      </c>
      <c r="I431" s="64">
        <f>LEN(TRIM(Table22[[#This Row],[Continent]]))</f>
        <v>13</v>
      </c>
      <c r="J431" s="64">
        <f>LEN(TRIM(Table22[[#This Row],[Product]]))</f>
        <v>6</v>
      </c>
      <c r="K431" s="64">
        <f>LEN(TRIM(Table22[[#This Row],[Sales Team]]))</f>
        <v>10</v>
      </c>
      <c r="L431" s="23">
        <v>70</v>
      </c>
      <c r="M431" s="65" t="str" cm="1">
        <f t="array" ref="M431">_xlfn.IFS(Table22[[#This Row],[Units Sold]]&lt;40,"Critical",Table22[[#This Row],[Units Sold]]&lt;=50,"Poor",Table22[[#This Row],[Units Sold]]&lt;=60,"Low",Table22[[#This Row],[Units Sold]]&lt;=80,"Average",Table22[[#This Row],[Units Sold]]&lt;=90,"High",Table22[[#This Row],[Units Sold]]&lt;=95,"Excellent",Table22[[#This Row],[Units Sold]]&gt;95,"Outstanding")</f>
        <v>Average</v>
      </c>
      <c r="N431" s="29">
        <v>949.42</v>
      </c>
      <c r="O431" s="29">
        <v>66459.399999999994</v>
      </c>
      <c r="P431" s="43">
        <f>IF(Table22[[#This Row],[Discount Applied]],Table22[[#This Row],[Total Sales (in USD)]]*(1-Table22[[#This Row],[Discount Percentage (%)]]/100),Table22[[#This Row],[Total Sales (in USD)]])</f>
        <v>63601.645799999991</v>
      </c>
      <c r="Q431" s="66">
        <f>SQRT(AVERAGE((Table22[[#This Row],[Net Sales (after discount) (in USD)]]-AVERAGE(Table22[Net Sales (after discount) (in USD)]))^2))</f>
        <v>27090.285236235453</v>
      </c>
      <c r="R431" s="18" t="b">
        <v>1</v>
      </c>
      <c r="S431" s="40">
        <v>4.3</v>
      </c>
      <c r="T431" s="18" t="b">
        <v>1</v>
      </c>
      <c r="U431" s="25">
        <v>45127</v>
      </c>
      <c r="V431" s="63" t="str">
        <f>IF(MONTH(Table22[[#This Row],[Sales Date]])&lt;=3,"Q1",IF(MONTH(Table22[[#This Row],[Sales Date]])&lt;=6,"Q2",IF(MONTH(Table22[[#This Row],[Sales Date]])&lt;=9,"Q3","Q4")))</f>
        <v>Q3</v>
      </c>
      <c r="W431" s="64">
        <f>YEAR(Table22[[#This Row],[Sales Date]])</f>
        <v>2023</v>
      </c>
      <c r="X431" s="23">
        <v>44</v>
      </c>
      <c r="Y431" s="18" t="s">
        <v>23</v>
      </c>
      <c r="Z431" s="18" t="s">
        <v>56</v>
      </c>
      <c r="AA431" s="19" t="s">
        <v>25</v>
      </c>
    </row>
    <row r="432" spans="1:27" x14ac:dyDescent="0.25">
      <c r="A432" s="17" t="s">
        <v>1981</v>
      </c>
      <c r="B432" s="18" t="s">
        <v>18</v>
      </c>
      <c r="C432" s="63" t="str" cm="1">
        <f t="array" ref="C432">_xlfn.SWITCH(Table22[[#This Row],[Country]],"USA","North America","Canada","North America","Brazil","South America","China","Asia","Japan","Asia","India","Asia","France","Europe","Germany","Europe","UK","Europe","Australia","Oceania","South America")</f>
        <v>Asia</v>
      </c>
      <c r="D432" s="18" t="s">
        <v>44</v>
      </c>
      <c r="E432" s="18" t="s">
        <v>19</v>
      </c>
      <c r="F432" s="18" t="s">
        <v>47</v>
      </c>
      <c r="G432" s="18" t="s">
        <v>40</v>
      </c>
      <c r="H432" s="64">
        <f>LEN(TRIM(Table22[[#This Row],[Country]]))</f>
        <v>5</v>
      </c>
      <c r="I432" s="64">
        <f>LEN(TRIM(Table22[[#This Row],[Continent]]))</f>
        <v>4</v>
      </c>
      <c r="J432" s="64">
        <f>LEN(TRIM(Table22[[#This Row],[Product]]))</f>
        <v>6</v>
      </c>
      <c r="K432" s="64">
        <f>LEN(TRIM(Table22[[#This Row],[Sales Team]]))</f>
        <v>10</v>
      </c>
      <c r="L432" s="23">
        <v>65</v>
      </c>
      <c r="M432" s="65" t="str" cm="1">
        <f t="array" ref="M432">_xlfn.IFS(Table22[[#This Row],[Units Sold]]&lt;40,"Critical",Table22[[#This Row],[Units Sold]]&lt;=50,"Poor",Table22[[#This Row],[Units Sold]]&lt;=60,"Low",Table22[[#This Row],[Units Sold]]&lt;=80,"Average",Table22[[#This Row],[Units Sold]]&lt;=90,"High",Table22[[#This Row],[Units Sold]]&lt;=95,"Excellent",Table22[[#This Row],[Units Sold]]&gt;95,"Outstanding")</f>
        <v>Average</v>
      </c>
      <c r="N432" s="29">
        <v>1021.96</v>
      </c>
      <c r="O432" s="29">
        <v>66427.399999999994</v>
      </c>
      <c r="P432" s="43">
        <f>IF(Table22[[#This Row],[Discount Applied]],Table22[[#This Row],[Total Sales (in USD)]]*(1-Table22[[#This Row],[Discount Percentage (%)]]/100),Table22[[#This Row],[Total Sales (in USD)]])</f>
        <v>56270.650539999995</v>
      </c>
      <c r="Q432" s="66">
        <f>SQRT(AVERAGE((Table22[[#This Row],[Net Sales (after discount) (in USD)]]-AVERAGE(Table22[Net Sales (after discount) (in USD)]))^2))</f>
        <v>19759.289976235457</v>
      </c>
      <c r="R432" s="18" t="b">
        <v>1</v>
      </c>
      <c r="S432" s="40">
        <v>15.29</v>
      </c>
      <c r="T432" s="18" t="b">
        <v>1</v>
      </c>
      <c r="U432" s="25">
        <v>45039</v>
      </c>
      <c r="V432" s="63" t="str">
        <f>IF(MONTH(Table22[[#This Row],[Sales Date]])&lt;=3,"Q1",IF(MONTH(Table22[[#This Row],[Sales Date]])&lt;=6,"Q2",IF(MONTH(Table22[[#This Row],[Sales Date]])&lt;=9,"Q3","Q4")))</f>
        <v>Q2</v>
      </c>
      <c r="W432" s="64">
        <f>YEAR(Table22[[#This Row],[Sales Date]])</f>
        <v>2023</v>
      </c>
      <c r="X432" s="23">
        <v>45</v>
      </c>
      <c r="Y432" s="18" t="s">
        <v>41</v>
      </c>
      <c r="Z432" s="18" t="s">
        <v>56</v>
      </c>
      <c r="AA432" s="19" t="s">
        <v>36</v>
      </c>
    </row>
    <row r="433" spans="1:27" x14ac:dyDescent="0.25">
      <c r="A433" s="17" t="s">
        <v>145</v>
      </c>
      <c r="B433" s="18" t="s">
        <v>46</v>
      </c>
      <c r="C433" s="63" t="str" cm="1">
        <f t="array" ref="C433">_xlfn.SWITCH(Table22[[#This Row],[Country]],"USA","North America","Canada","North America","Brazil","South America","China","Asia","Japan","Asia","India","Asia","France","Europe","Germany","Europe","UK","Europe","Australia","Oceania","South America")</f>
        <v>South America</v>
      </c>
      <c r="D433" s="18" t="s">
        <v>35</v>
      </c>
      <c r="E433" s="18" t="s">
        <v>39</v>
      </c>
      <c r="F433" s="18" t="s">
        <v>34</v>
      </c>
      <c r="G433" s="18" t="s">
        <v>40</v>
      </c>
      <c r="H433" s="64">
        <f>LEN(TRIM(Table22[[#This Row],[Country]]))</f>
        <v>6</v>
      </c>
      <c r="I433" s="64">
        <f>LEN(TRIM(Table22[[#This Row],[Continent]]))</f>
        <v>13</v>
      </c>
      <c r="J433" s="64">
        <f>LEN(TRIM(Table22[[#This Row],[Product]]))</f>
        <v>10</v>
      </c>
      <c r="K433" s="64">
        <f>LEN(TRIM(Table22[[#This Row],[Sales Team]]))</f>
        <v>10</v>
      </c>
      <c r="L433" s="23">
        <v>65</v>
      </c>
      <c r="M433" s="65" t="str" cm="1">
        <f t="array" ref="M433">_xlfn.IFS(Table22[[#This Row],[Units Sold]]&lt;40,"Critical",Table22[[#This Row],[Units Sold]]&lt;=50,"Poor",Table22[[#This Row],[Units Sold]]&lt;=60,"Low",Table22[[#This Row],[Units Sold]]&lt;=80,"Average",Table22[[#This Row],[Units Sold]]&lt;=90,"High",Table22[[#This Row],[Units Sold]]&lt;=95,"Excellent",Table22[[#This Row],[Units Sold]]&gt;95,"Outstanding")</f>
        <v>Average</v>
      </c>
      <c r="N433" s="29">
        <v>1020.32</v>
      </c>
      <c r="O433" s="29">
        <v>66320.800000000003</v>
      </c>
      <c r="P433" s="43">
        <f>IF(Table22[[#This Row],[Discount Applied]],Table22[[#This Row],[Total Sales (in USD)]]*(1-Table22[[#This Row],[Discount Percentage (%)]]/100),Table22[[#This Row],[Total Sales (in USD)]])</f>
        <v>66320.800000000003</v>
      </c>
      <c r="Q433" s="66">
        <f>SQRT(AVERAGE((Table22[[#This Row],[Net Sales (after discount) (in USD)]]-AVERAGE(Table22[Net Sales (after discount) (in USD)]))^2))</f>
        <v>29809.439436235465</v>
      </c>
      <c r="R433" s="18" t="b">
        <v>1</v>
      </c>
      <c r="S433" s="40">
        <v>27.49</v>
      </c>
      <c r="T433" s="18" t="b">
        <v>0</v>
      </c>
      <c r="U433" s="25">
        <v>45322</v>
      </c>
      <c r="V433" s="63" t="str">
        <f>IF(MONTH(Table22[[#This Row],[Sales Date]])&lt;=3,"Q1",IF(MONTH(Table22[[#This Row],[Sales Date]])&lt;=6,"Q2",IF(MONTH(Table22[[#This Row],[Sales Date]])&lt;=9,"Q3","Q4")))</f>
        <v>Q1</v>
      </c>
      <c r="W433" s="64">
        <f>YEAR(Table22[[#This Row],[Sales Date]])</f>
        <v>2024</v>
      </c>
      <c r="X433" s="23">
        <v>62</v>
      </c>
      <c r="Y433" s="18" t="s">
        <v>41</v>
      </c>
      <c r="Z433" s="18" t="s">
        <v>42</v>
      </c>
      <c r="AA433" s="19" t="s">
        <v>36</v>
      </c>
    </row>
    <row r="434" spans="1:27" x14ac:dyDescent="0.25">
      <c r="A434" s="17" t="s">
        <v>1296</v>
      </c>
      <c r="B434" s="18" t="s">
        <v>46</v>
      </c>
      <c r="C434" s="63" t="str" cm="1">
        <f t="array" ref="C434">_xlfn.SWITCH(Table22[[#This Row],[Country]],"USA","North America","Canada","North America","Brazil","South America","China","Asia","Japan","Asia","India","Asia","France","Europe","Germany","Europe","UK","Europe","Australia","Oceania","South America")</f>
        <v>South America</v>
      </c>
      <c r="D434" s="18" t="s">
        <v>35</v>
      </c>
      <c r="E434" s="18" t="s">
        <v>39</v>
      </c>
      <c r="F434" s="18" t="s">
        <v>47</v>
      </c>
      <c r="G434" s="18" t="s">
        <v>29</v>
      </c>
      <c r="H434" s="64">
        <f>LEN(TRIM(Table22[[#This Row],[Country]]))</f>
        <v>6</v>
      </c>
      <c r="I434" s="64">
        <f>LEN(TRIM(Table22[[#This Row],[Continent]]))</f>
        <v>13</v>
      </c>
      <c r="J434" s="64">
        <f>LEN(TRIM(Table22[[#This Row],[Product]]))</f>
        <v>10</v>
      </c>
      <c r="K434" s="64">
        <f>LEN(TRIM(Table22[[#This Row],[Sales Team]]))</f>
        <v>10</v>
      </c>
      <c r="L434" s="23">
        <v>54</v>
      </c>
      <c r="M434" s="65" t="str" cm="1">
        <f t="array" ref="M434">_xlfn.IFS(Table22[[#This Row],[Units Sold]]&lt;40,"Critical",Table22[[#This Row],[Units Sold]]&lt;=50,"Poor",Table22[[#This Row],[Units Sold]]&lt;=60,"Low",Table22[[#This Row],[Units Sold]]&lt;=80,"Average",Table22[[#This Row],[Units Sold]]&lt;=90,"High",Table22[[#This Row],[Units Sold]]&lt;=95,"Excellent",Table22[[#This Row],[Units Sold]]&gt;95,"Outstanding")</f>
        <v>Low</v>
      </c>
      <c r="N434" s="29">
        <v>1227.1300000000001</v>
      </c>
      <c r="O434" s="29">
        <v>66265.02</v>
      </c>
      <c r="P434" s="43">
        <f>IF(Table22[[#This Row],[Discount Applied]],Table22[[#This Row],[Total Sales (in USD)]]*(1-Table22[[#This Row],[Discount Percentage (%)]]/100),Table22[[#This Row],[Total Sales (in USD)]])</f>
        <v>66265.02</v>
      </c>
      <c r="Q434" s="66">
        <f>SQRT(AVERAGE((Table22[[#This Row],[Net Sales (after discount) (in USD)]]-AVERAGE(Table22[Net Sales (after discount) (in USD)]))^2))</f>
        <v>29753.659436235466</v>
      </c>
      <c r="R434" s="18" t="b">
        <v>1</v>
      </c>
      <c r="S434" s="40">
        <v>13.86</v>
      </c>
      <c r="T434" s="18" t="b">
        <v>0</v>
      </c>
      <c r="U434" s="25">
        <v>45332</v>
      </c>
      <c r="V434" s="63" t="str">
        <f>IF(MONTH(Table22[[#This Row],[Sales Date]])&lt;=3,"Q1",IF(MONTH(Table22[[#This Row],[Sales Date]])&lt;=6,"Q2",IF(MONTH(Table22[[#This Row],[Sales Date]])&lt;=9,"Q3","Q4")))</f>
        <v>Q1</v>
      </c>
      <c r="W434" s="64">
        <f>YEAR(Table22[[#This Row],[Sales Date]])</f>
        <v>2024</v>
      </c>
      <c r="X434" s="23">
        <v>27</v>
      </c>
      <c r="Y434" s="18" t="s">
        <v>41</v>
      </c>
      <c r="Z434" s="18" t="s">
        <v>24</v>
      </c>
      <c r="AA434" s="19" t="s">
        <v>25</v>
      </c>
    </row>
    <row r="435" spans="1:27" x14ac:dyDescent="0.25">
      <c r="A435" s="17" t="s">
        <v>50</v>
      </c>
      <c r="B435" s="18" t="s">
        <v>51</v>
      </c>
      <c r="C435" s="63" t="str" cm="1">
        <f t="array" ref="C435">_xlfn.SWITCH(Table22[[#This Row],[Country]],"USA","North America","Canada","North America","Brazil","South America","China","Asia","Japan","Asia","India","Asia","France","Europe","Germany","Europe","UK","Europe","Australia","Oceania","South America")</f>
        <v>Europe</v>
      </c>
      <c r="D435" s="18" t="s">
        <v>44</v>
      </c>
      <c r="E435" s="18" t="s">
        <v>39</v>
      </c>
      <c r="F435" s="18" t="s">
        <v>52</v>
      </c>
      <c r="G435" s="18" t="s">
        <v>48</v>
      </c>
      <c r="H435" s="64">
        <f>LEN(TRIM(Table22[[#This Row],[Country]]))</f>
        <v>2</v>
      </c>
      <c r="I435" s="64">
        <f>LEN(TRIM(Table22[[#This Row],[Continent]]))</f>
        <v>6</v>
      </c>
      <c r="J435" s="64">
        <f>LEN(TRIM(Table22[[#This Row],[Product]]))</f>
        <v>10</v>
      </c>
      <c r="K435" s="64">
        <f>LEN(TRIM(Table22[[#This Row],[Sales Team]]))</f>
        <v>9</v>
      </c>
      <c r="L435" s="23">
        <v>77</v>
      </c>
      <c r="M435" s="65" t="str" cm="1">
        <f t="array" ref="M435">_xlfn.IFS(Table22[[#This Row],[Units Sold]]&lt;40,"Critical",Table22[[#This Row],[Units Sold]]&lt;=50,"Poor",Table22[[#This Row],[Units Sold]]&lt;=60,"Low",Table22[[#This Row],[Units Sold]]&lt;=80,"Average",Table22[[#This Row],[Units Sold]]&lt;=90,"High",Table22[[#This Row],[Units Sold]]&lt;=95,"Excellent",Table22[[#This Row],[Units Sold]]&gt;95,"Outstanding")</f>
        <v>Average</v>
      </c>
      <c r="N435" s="29">
        <v>857.26</v>
      </c>
      <c r="O435" s="29">
        <v>66009.02</v>
      </c>
      <c r="P435" s="43">
        <f>IF(Table22[[#This Row],[Discount Applied]],Table22[[#This Row],[Total Sales (in USD)]]*(1-Table22[[#This Row],[Discount Percentage (%)]]/100),Table22[[#This Row],[Total Sales (in USD)]])</f>
        <v>47024.825848</v>
      </c>
      <c r="Q435" s="66">
        <f>SQRT(AVERAGE((Table22[[#This Row],[Net Sales (after discount) (in USD)]]-AVERAGE(Table22[Net Sales (after discount) (in USD)]))^2))</f>
        <v>10513.465284235463</v>
      </c>
      <c r="R435" s="18" t="b">
        <v>1</v>
      </c>
      <c r="S435" s="40">
        <v>28.76</v>
      </c>
      <c r="T435" s="18" t="b">
        <v>1</v>
      </c>
      <c r="U435" s="25">
        <v>45198</v>
      </c>
      <c r="V435" s="63" t="str">
        <f>IF(MONTH(Table22[[#This Row],[Sales Date]])&lt;=3,"Q1",IF(MONTH(Table22[[#This Row],[Sales Date]])&lt;=6,"Q2",IF(MONTH(Table22[[#This Row],[Sales Date]])&lt;=9,"Q3","Q4")))</f>
        <v>Q3</v>
      </c>
      <c r="W435" s="64">
        <f>YEAR(Table22[[#This Row],[Sales Date]])</f>
        <v>2023</v>
      </c>
      <c r="X435" s="23">
        <v>29</v>
      </c>
      <c r="Y435" s="18" t="s">
        <v>41</v>
      </c>
      <c r="Z435" s="18" t="s">
        <v>42</v>
      </c>
      <c r="AA435" s="19" t="s">
        <v>36</v>
      </c>
    </row>
    <row r="436" spans="1:27" x14ac:dyDescent="0.25">
      <c r="A436" s="17" t="s">
        <v>2031</v>
      </c>
      <c r="B436" s="18" t="s">
        <v>72</v>
      </c>
      <c r="C436" s="63" t="str" cm="1">
        <f t="array" ref="C436">_xlfn.SWITCH(Table22[[#This Row],[Country]],"USA","North America","Canada","North America","Brazil","South America","China","Asia","Japan","Asia","India","Asia","France","Europe","Germany","Europe","UK","Europe","Australia","Oceania","South America")</f>
        <v>North America</v>
      </c>
      <c r="D436" s="18" t="s">
        <v>21</v>
      </c>
      <c r="E436" s="18" t="s">
        <v>39</v>
      </c>
      <c r="F436" s="18" t="s">
        <v>20</v>
      </c>
      <c r="G436" s="18" t="s">
        <v>29</v>
      </c>
      <c r="H436" s="64">
        <f>LEN(TRIM(Table22[[#This Row],[Country]]))</f>
        <v>3</v>
      </c>
      <c r="I436" s="64">
        <f>LEN(TRIM(Table22[[#This Row],[Continent]]))</f>
        <v>13</v>
      </c>
      <c r="J436" s="64">
        <f>LEN(TRIM(Table22[[#This Row],[Product]]))</f>
        <v>10</v>
      </c>
      <c r="K436" s="64">
        <f>LEN(TRIM(Table22[[#This Row],[Sales Team]]))</f>
        <v>10</v>
      </c>
      <c r="L436" s="23">
        <v>47</v>
      </c>
      <c r="M436" s="65" t="str" cm="1">
        <f t="array" ref="M436">_xlfn.IFS(Table22[[#This Row],[Units Sold]]&lt;40,"Critical",Table22[[#This Row],[Units Sold]]&lt;=50,"Poor",Table22[[#This Row],[Units Sold]]&lt;=60,"Low",Table22[[#This Row],[Units Sold]]&lt;=80,"Average",Table22[[#This Row],[Units Sold]]&lt;=90,"High",Table22[[#This Row],[Units Sold]]&lt;=95,"Excellent",Table22[[#This Row],[Units Sold]]&gt;95,"Outstanding")</f>
        <v>Poor</v>
      </c>
      <c r="N436" s="29">
        <v>1404.35</v>
      </c>
      <c r="O436" s="29">
        <v>66004.45</v>
      </c>
      <c r="P436" s="43">
        <f>IF(Table22[[#This Row],[Discount Applied]],Table22[[#This Row],[Total Sales (in USD)]]*(1-Table22[[#This Row],[Discount Percentage (%)]]/100),Table22[[#This Row],[Total Sales (in USD)]])</f>
        <v>66004.45</v>
      </c>
      <c r="Q436" s="66">
        <f>SQRT(AVERAGE((Table22[[#This Row],[Net Sales (after discount) (in USD)]]-AVERAGE(Table22[Net Sales (after discount) (in USD)]))^2))</f>
        <v>29493.089436235459</v>
      </c>
      <c r="R436" s="18" t="b">
        <v>0</v>
      </c>
      <c r="S436" s="40">
        <v>2.14</v>
      </c>
      <c r="T436" s="18" t="b">
        <v>0</v>
      </c>
      <c r="U436" s="25">
        <v>45382</v>
      </c>
      <c r="V436" s="63" t="str">
        <f>IF(MONTH(Table22[[#This Row],[Sales Date]])&lt;=3,"Q1",IF(MONTH(Table22[[#This Row],[Sales Date]])&lt;=6,"Q2",IF(MONTH(Table22[[#This Row],[Sales Date]])&lt;=9,"Q3","Q4")))</f>
        <v>Q1</v>
      </c>
      <c r="W436" s="64">
        <f>YEAR(Table22[[#This Row],[Sales Date]])</f>
        <v>2024</v>
      </c>
      <c r="X436" s="23">
        <v>65</v>
      </c>
      <c r="Y436" s="18" t="s">
        <v>41</v>
      </c>
      <c r="Z436" s="18" t="s">
        <v>30</v>
      </c>
      <c r="AA436" s="19" t="s">
        <v>25</v>
      </c>
    </row>
    <row r="437" spans="1:27" x14ac:dyDescent="0.25">
      <c r="A437" s="17" t="s">
        <v>123</v>
      </c>
      <c r="B437" s="18" t="s">
        <v>38</v>
      </c>
      <c r="C437" s="63" t="str" cm="1">
        <f t="array" ref="C437">_xlfn.SWITCH(Table22[[#This Row],[Country]],"USA","North America","Canada","North America","Brazil","South America","China","Asia","Japan","Asia","India","Asia","France","Europe","Germany","Europe","UK","Europe","Australia","Oceania","South America")</f>
        <v>Europe</v>
      </c>
      <c r="D437" s="18" t="s">
        <v>21</v>
      </c>
      <c r="E437" s="18" t="s">
        <v>33</v>
      </c>
      <c r="F437" s="18" t="s">
        <v>20</v>
      </c>
      <c r="G437" s="18" t="s">
        <v>48</v>
      </c>
      <c r="H437" s="64">
        <f>LEN(TRIM(Table22[[#This Row],[Country]]))</f>
        <v>6</v>
      </c>
      <c r="I437" s="64">
        <f>LEN(TRIM(Table22[[#This Row],[Continent]]))</f>
        <v>6</v>
      </c>
      <c r="J437" s="64">
        <f>LEN(TRIM(Table22[[#This Row],[Product]]))</f>
        <v>10</v>
      </c>
      <c r="K437" s="64">
        <f>LEN(TRIM(Table22[[#This Row],[Sales Team]]))</f>
        <v>9</v>
      </c>
      <c r="L437" s="23">
        <v>88</v>
      </c>
      <c r="M437" s="65" t="str" cm="1">
        <f t="array" ref="M437">_xlfn.IFS(Table22[[#This Row],[Units Sold]]&lt;40,"Critical",Table22[[#This Row],[Units Sold]]&lt;=50,"Poor",Table22[[#This Row],[Units Sold]]&lt;=60,"Low",Table22[[#This Row],[Units Sold]]&lt;=80,"Average",Table22[[#This Row],[Units Sold]]&lt;=90,"High",Table22[[#This Row],[Units Sold]]&lt;=95,"Excellent",Table22[[#This Row],[Units Sold]]&gt;95,"Outstanding")</f>
        <v>High</v>
      </c>
      <c r="N437" s="29">
        <v>748.61</v>
      </c>
      <c r="O437" s="29">
        <v>65877.679999999993</v>
      </c>
      <c r="P437" s="43">
        <f>IF(Table22[[#This Row],[Discount Applied]],Table22[[#This Row],[Total Sales (in USD)]]*(1-Table22[[#This Row],[Discount Percentage (%)]]/100),Table22[[#This Row],[Total Sales (in USD)]])</f>
        <v>65877.679999999993</v>
      </c>
      <c r="Q437" s="66">
        <f>SQRT(AVERAGE((Table22[[#This Row],[Net Sales (after discount) (in USD)]]-AVERAGE(Table22[Net Sales (after discount) (in USD)]))^2))</f>
        <v>29366.319436235455</v>
      </c>
      <c r="R437" s="18" t="b">
        <v>0</v>
      </c>
      <c r="S437" s="40">
        <v>20.13</v>
      </c>
      <c r="T437" s="18" t="b">
        <v>0</v>
      </c>
      <c r="U437" s="25">
        <v>45387</v>
      </c>
      <c r="V437" s="63" t="str">
        <f>IF(MONTH(Table22[[#This Row],[Sales Date]])&lt;=3,"Q1",IF(MONTH(Table22[[#This Row],[Sales Date]])&lt;=6,"Q2",IF(MONTH(Table22[[#This Row],[Sales Date]])&lt;=9,"Q3","Q4")))</f>
        <v>Q2</v>
      </c>
      <c r="W437" s="64">
        <f>YEAR(Table22[[#This Row],[Sales Date]])</f>
        <v>2024</v>
      </c>
      <c r="X437" s="23">
        <v>52</v>
      </c>
      <c r="Y437" s="18" t="s">
        <v>23</v>
      </c>
      <c r="Z437" s="18" t="s">
        <v>56</v>
      </c>
      <c r="AA437" s="19" t="s">
        <v>36</v>
      </c>
    </row>
    <row r="438" spans="1:27" x14ac:dyDescent="0.25">
      <c r="A438" s="17" t="s">
        <v>1678</v>
      </c>
      <c r="B438" s="18" t="s">
        <v>46</v>
      </c>
      <c r="C438" s="63" t="str" cm="1">
        <f t="array" ref="C438">_xlfn.SWITCH(Table22[[#This Row],[Country]],"USA","North America","Canada","North America","Brazil","South America","China","Asia","Japan","Asia","India","Asia","France","Europe","Germany","Europe","UK","Europe","Australia","Oceania","South America")</f>
        <v>South America</v>
      </c>
      <c r="D438" s="18" t="s">
        <v>35</v>
      </c>
      <c r="E438" s="18" t="s">
        <v>39</v>
      </c>
      <c r="F438" s="18" t="s">
        <v>64</v>
      </c>
      <c r="G438" s="18" t="s">
        <v>29</v>
      </c>
      <c r="H438" s="64">
        <f>LEN(TRIM(Table22[[#This Row],[Country]]))</f>
        <v>6</v>
      </c>
      <c r="I438" s="64">
        <f>LEN(TRIM(Table22[[#This Row],[Continent]]))</f>
        <v>13</v>
      </c>
      <c r="J438" s="64">
        <f>LEN(TRIM(Table22[[#This Row],[Product]]))</f>
        <v>10</v>
      </c>
      <c r="K438" s="64">
        <f>LEN(TRIM(Table22[[#This Row],[Sales Team]]))</f>
        <v>10</v>
      </c>
      <c r="L438" s="23">
        <v>45</v>
      </c>
      <c r="M438" s="65" t="str" cm="1">
        <f t="array" ref="M438">_xlfn.IFS(Table22[[#This Row],[Units Sold]]&lt;40,"Critical",Table22[[#This Row],[Units Sold]]&lt;=50,"Poor",Table22[[#This Row],[Units Sold]]&lt;=60,"Low",Table22[[#This Row],[Units Sold]]&lt;=80,"Average",Table22[[#This Row],[Units Sold]]&lt;=90,"High",Table22[[#This Row],[Units Sold]]&lt;=95,"Excellent",Table22[[#This Row],[Units Sold]]&gt;95,"Outstanding")</f>
        <v>Poor</v>
      </c>
      <c r="N438" s="29">
        <v>1459.64</v>
      </c>
      <c r="O438" s="29">
        <v>65683.8</v>
      </c>
      <c r="P438" s="43">
        <f>IF(Table22[[#This Row],[Discount Applied]],Table22[[#This Row],[Total Sales (in USD)]]*(1-Table22[[#This Row],[Discount Percentage (%)]]/100),Table22[[#This Row],[Total Sales (in USD)]])</f>
        <v>65683.8</v>
      </c>
      <c r="Q438" s="66">
        <f>SQRT(AVERAGE((Table22[[#This Row],[Net Sales (after discount) (in USD)]]-AVERAGE(Table22[Net Sales (after discount) (in USD)]))^2))</f>
        <v>29172.439436235465</v>
      </c>
      <c r="R438" s="18" t="b">
        <v>0</v>
      </c>
      <c r="S438" s="40">
        <v>0.04</v>
      </c>
      <c r="T438" s="18" t="b">
        <v>0</v>
      </c>
      <c r="U438" s="25">
        <v>45030</v>
      </c>
      <c r="V438" s="63" t="str">
        <f>IF(MONTH(Table22[[#This Row],[Sales Date]])&lt;=3,"Q1",IF(MONTH(Table22[[#This Row],[Sales Date]])&lt;=6,"Q2",IF(MONTH(Table22[[#This Row],[Sales Date]])&lt;=9,"Q3","Q4")))</f>
        <v>Q2</v>
      </c>
      <c r="W438" s="64">
        <f>YEAR(Table22[[#This Row],[Sales Date]])</f>
        <v>2023</v>
      </c>
      <c r="X438" s="23">
        <v>44</v>
      </c>
      <c r="Y438" s="18" t="s">
        <v>49</v>
      </c>
      <c r="Z438" s="18" t="s">
        <v>56</v>
      </c>
      <c r="AA438" s="19" t="s">
        <v>36</v>
      </c>
    </row>
    <row r="439" spans="1:27" x14ac:dyDescent="0.25">
      <c r="A439" s="17" t="s">
        <v>757</v>
      </c>
      <c r="B439" s="18" t="s">
        <v>66</v>
      </c>
      <c r="C439" s="63" t="str" cm="1">
        <f t="array" ref="C439">_xlfn.SWITCH(Table22[[#This Row],[Country]],"USA","North America","Canada","North America","Brazil","South America","China","Asia","Japan","Asia","India","Asia","France","Europe","Germany","Europe","UK","Europe","Australia","Oceania","South America")</f>
        <v>North America</v>
      </c>
      <c r="D439" s="18" t="s">
        <v>44</v>
      </c>
      <c r="E439" s="18" t="s">
        <v>39</v>
      </c>
      <c r="F439" s="18" t="s">
        <v>64</v>
      </c>
      <c r="G439" s="18" t="s">
        <v>48</v>
      </c>
      <c r="H439" s="64">
        <f>LEN(TRIM(Table22[[#This Row],[Country]]))</f>
        <v>6</v>
      </c>
      <c r="I439" s="64">
        <f>LEN(TRIM(Table22[[#This Row],[Continent]]))</f>
        <v>13</v>
      </c>
      <c r="J439" s="64">
        <f>LEN(TRIM(Table22[[#This Row],[Product]]))</f>
        <v>10</v>
      </c>
      <c r="K439" s="64">
        <f>LEN(TRIM(Table22[[#This Row],[Sales Team]]))</f>
        <v>9</v>
      </c>
      <c r="L439" s="23">
        <v>65</v>
      </c>
      <c r="M439" s="65" t="str" cm="1">
        <f t="array" ref="M439">_xlfn.IFS(Table22[[#This Row],[Units Sold]]&lt;40,"Critical",Table22[[#This Row],[Units Sold]]&lt;=50,"Poor",Table22[[#This Row],[Units Sold]]&lt;=60,"Low",Table22[[#This Row],[Units Sold]]&lt;=80,"Average",Table22[[#This Row],[Units Sold]]&lt;=90,"High",Table22[[#This Row],[Units Sold]]&lt;=95,"Excellent",Table22[[#This Row],[Units Sold]]&gt;95,"Outstanding")</f>
        <v>Average</v>
      </c>
      <c r="N439" s="29">
        <v>1008.97</v>
      </c>
      <c r="O439" s="29">
        <v>65583.05</v>
      </c>
      <c r="P439" s="43">
        <f>IF(Table22[[#This Row],[Discount Applied]],Table22[[#This Row],[Total Sales (in USD)]]*(1-Table22[[#This Row],[Discount Percentage (%)]]/100),Table22[[#This Row],[Total Sales (in USD)]])</f>
        <v>65583.05</v>
      </c>
      <c r="Q439" s="66">
        <f>SQRT(AVERAGE((Table22[[#This Row],[Net Sales (after discount) (in USD)]]-AVERAGE(Table22[Net Sales (after discount) (in USD)]))^2))</f>
        <v>29071.689436235465</v>
      </c>
      <c r="R439" s="18" t="b">
        <v>0</v>
      </c>
      <c r="S439" s="40">
        <v>19.899999999999999</v>
      </c>
      <c r="T439" s="18" t="b">
        <v>0</v>
      </c>
      <c r="U439" s="25">
        <v>44964</v>
      </c>
      <c r="V439" s="63" t="str">
        <f>IF(MONTH(Table22[[#This Row],[Sales Date]])&lt;=3,"Q1",IF(MONTH(Table22[[#This Row],[Sales Date]])&lt;=6,"Q2",IF(MONTH(Table22[[#This Row],[Sales Date]])&lt;=9,"Q3","Q4")))</f>
        <v>Q1</v>
      </c>
      <c r="W439" s="64">
        <f>YEAR(Table22[[#This Row],[Sales Date]])</f>
        <v>2023</v>
      </c>
      <c r="X439" s="23">
        <v>52</v>
      </c>
      <c r="Y439" s="18" t="s">
        <v>23</v>
      </c>
      <c r="Z439" s="18" t="s">
        <v>24</v>
      </c>
      <c r="AA439" s="19" t="s">
        <v>25</v>
      </c>
    </row>
    <row r="440" spans="1:27" x14ac:dyDescent="0.25">
      <c r="A440" s="17" t="s">
        <v>513</v>
      </c>
      <c r="B440" s="18" t="s">
        <v>72</v>
      </c>
      <c r="C440" s="63" t="str" cm="1">
        <f t="array" ref="C440">_xlfn.SWITCH(Table22[[#This Row],[Country]],"USA","North America","Canada","North America","Brazil","South America","China","Asia","Japan","Asia","India","Asia","France","Europe","Germany","Europe","UK","Europe","Australia","Oceania","South America")</f>
        <v>North America</v>
      </c>
      <c r="D440" s="18" t="s">
        <v>35</v>
      </c>
      <c r="E440" s="18" t="s">
        <v>19</v>
      </c>
      <c r="F440" s="18" t="s">
        <v>52</v>
      </c>
      <c r="G440" s="18" t="s">
        <v>22</v>
      </c>
      <c r="H440" s="64">
        <f>LEN(TRIM(Table22[[#This Row],[Country]]))</f>
        <v>3</v>
      </c>
      <c r="I440" s="64">
        <f>LEN(TRIM(Table22[[#This Row],[Continent]]))</f>
        <v>13</v>
      </c>
      <c r="J440" s="64">
        <f>LEN(TRIM(Table22[[#This Row],[Product]]))</f>
        <v>6</v>
      </c>
      <c r="K440" s="64">
        <f>LEN(TRIM(Table22[[#This Row],[Sales Team]]))</f>
        <v>10</v>
      </c>
      <c r="L440" s="23">
        <v>70</v>
      </c>
      <c r="M440" s="65" t="str" cm="1">
        <f t="array" ref="M440">_xlfn.IFS(Table22[[#This Row],[Units Sold]]&lt;40,"Critical",Table22[[#This Row],[Units Sold]]&lt;=50,"Poor",Table22[[#This Row],[Units Sold]]&lt;=60,"Low",Table22[[#This Row],[Units Sold]]&lt;=80,"Average",Table22[[#This Row],[Units Sold]]&lt;=90,"High",Table22[[#This Row],[Units Sold]]&lt;=95,"Excellent",Table22[[#This Row],[Units Sold]]&gt;95,"Outstanding")</f>
        <v>Average</v>
      </c>
      <c r="N440" s="29">
        <v>932.76</v>
      </c>
      <c r="O440" s="29">
        <v>65293.2</v>
      </c>
      <c r="P440" s="43">
        <f>IF(Table22[[#This Row],[Discount Applied]],Table22[[#This Row],[Total Sales (in USD)]]*(1-Table22[[#This Row],[Discount Percentage (%)]]/100),Table22[[#This Row],[Total Sales (in USD)]])</f>
        <v>65293.2</v>
      </c>
      <c r="Q440" s="66">
        <f>SQRT(AVERAGE((Table22[[#This Row],[Net Sales (after discount) (in USD)]]-AVERAGE(Table22[Net Sales (after discount) (in USD)]))^2))</f>
        <v>28781.839436235459</v>
      </c>
      <c r="R440" s="18" t="b">
        <v>0</v>
      </c>
      <c r="S440" s="40">
        <v>23.56</v>
      </c>
      <c r="T440" s="18" t="b">
        <v>0</v>
      </c>
      <c r="U440" s="25">
        <v>45158</v>
      </c>
      <c r="V440" s="63" t="str">
        <f>IF(MONTH(Table22[[#This Row],[Sales Date]])&lt;=3,"Q1",IF(MONTH(Table22[[#This Row],[Sales Date]])&lt;=6,"Q2",IF(MONTH(Table22[[#This Row],[Sales Date]])&lt;=9,"Q3","Q4")))</f>
        <v>Q3</v>
      </c>
      <c r="W440" s="64">
        <f>YEAR(Table22[[#This Row],[Sales Date]])</f>
        <v>2023</v>
      </c>
      <c r="X440" s="23">
        <v>58</v>
      </c>
      <c r="Y440" s="18" t="s">
        <v>49</v>
      </c>
      <c r="Z440" s="18" t="s">
        <v>56</v>
      </c>
      <c r="AA440" s="19" t="s">
        <v>36</v>
      </c>
    </row>
    <row r="441" spans="1:27" x14ac:dyDescent="0.25">
      <c r="A441" s="17" t="s">
        <v>949</v>
      </c>
      <c r="B441" s="18" t="s">
        <v>32</v>
      </c>
      <c r="C441" s="63" t="str" cm="1">
        <f t="array" ref="C441">_xlfn.SWITCH(Table22[[#This Row],[Country]],"USA","North America","Canada","North America","Brazil","South America","China","Asia","Japan","Asia","India","Asia","France","Europe","Germany","Europe","UK","Europe","Australia","Oceania","South America")</f>
        <v>Asia</v>
      </c>
      <c r="D441" s="18" t="s">
        <v>44</v>
      </c>
      <c r="E441" s="18" t="s">
        <v>19</v>
      </c>
      <c r="F441" s="18" t="s">
        <v>47</v>
      </c>
      <c r="G441" s="18" t="s">
        <v>22</v>
      </c>
      <c r="H441" s="64">
        <f>LEN(TRIM(Table22[[#This Row],[Country]]))</f>
        <v>5</v>
      </c>
      <c r="I441" s="64">
        <f>LEN(TRIM(Table22[[#This Row],[Continent]]))</f>
        <v>4</v>
      </c>
      <c r="J441" s="64">
        <f>LEN(TRIM(Table22[[#This Row],[Product]]))</f>
        <v>6</v>
      </c>
      <c r="K441" s="64">
        <f>LEN(TRIM(Table22[[#This Row],[Sales Team]]))</f>
        <v>10</v>
      </c>
      <c r="L441" s="23">
        <v>51</v>
      </c>
      <c r="M441" s="65" t="str" cm="1">
        <f t="array" ref="M441">_xlfn.IFS(Table22[[#This Row],[Units Sold]]&lt;40,"Critical",Table22[[#This Row],[Units Sold]]&lt;=50,"Poor",Table22[[#This Row],[Units Sold]]&lt;=60,"Low",Table22[[#This Row],[Units Sold]]&lt;=80,"Average",Table22[[#This Row],[Units Sold]]&lt;=90,"High",Table22[[#This Row],[Units Sold]]&lt;=95,"Excellent",Table22[[#This Row],[Units Sold]]&gt;95,"Outstanding")</f>
        <v>Low</v>
      </c>
      <c r="N441" s="29">
        <v>1277.51</v>
      </c>
      <c r="O441" s="29">
        <v>65153.01</v>
      </c>
      <c r="P441" s="43">
        <f>IF(Table22[[#This Row],[Discount Applied]],Table22[[#This Row],[Total Sales (in USD)]]*(1-Table22[[#This Row],[Discount Percentage (%)]]/100),Table22[[#This Row],[Total Sales (in USD)]])</f>
        <v>51692.398134000003</v>
      </c>
      <c r="Q441" s="66">
        <f>SQRT(AVERAGE((Table22[[#This Row],[Net Sales (after discount) (in USD)]]-AVERAGE(Table22[Net Sales (after discount) (in USD)]))^2))</f>
        <v>15181.037570235465</v>
      </c>
      <c r="R441" s="18" t="b">
        <v>0</v>
      </c>
      <c r="S441" s="40">
        <v>20.66</v>
      </c>
      <c r="T441" s="18" t="b">
        <v>1</v>
      </c>
      <c r="U441" s="25">
        <v>45507</v>
      </c>
      <c r="V441" s="63" t="str">
        <f>IF(MONTH(Table22[[#This Row],[Sales Date]])&lt;=3,"Q1",IF(MONTH(Table22[[#This Row],[Sales Date]])&lt;=6,"Q2",IF(MONTH(Table22[[#This Row],[Sales Date]])&lt;=9,"Q3","Q4")))</f>
        <v>Q3</v>
      </c>
      <c r="W441" s="64">
        <f>YEAR(Table22[[#This Row],[Sales Date]])</f>
        <v>2024</v>
      </c>
      <c r="X441" s="23">
        <v>47</v>
      </c>
      <c r="Y441" s="18" t="s">
        <v>49</v>
      </c>
      <c r="Z441" s="18" t="s">
        <v>42</v>
      </c>
      <c r="AA441" s="19" t="s">
        <v>25</v>
      </c>
    </row>
    <row r="442" spans="1:27" x14ac:dyDescent="0.25">
      <c r="A442" s="17" t="s">
        <v>246</v>
      </c>
      <c r="B442" s="18" t="s">
        <v>62</v>
      </c>
      <c r="C442" s="63" t="str" cm="1">
        <f t="array" ref="C442">_xlfn.SWITCH(Table22[[#This Row],[Country]],"USA","North America","Canada","North America","Brazil","South America","China","Asia","Japan","Asia","India","Asia","France","Europe","Germany","Europe","UK","Europe","Australia","Oceania","South America")</f>
        <v>Oceania</v>
      </c>
      <c r="D442" s="18" t="s">
        <v>44</v>
      </c>
      <c r="E442" s="18" t="s">
        <v>39</v>
      </c>
      <c r="F442" s="18" t="s">
        <v>20</v>
      </c>
      <c r="G442" s="18" t="s">
        <v>22</v>
      </c>
      <c r="H442" s="64">
        <f>LEN(TRIM(Table22[[#This Row],[Country]]))</f>
        <v>9</v>
      </c>
      <c r="I442" s="64">
        <f>LEN(TRIM(Table22[[#This Row],[Continent]]))</f>
        <v>7</v>
      </c>
      <c r="J442" s="64">
        <f>LEN(TRIM(Table22[[#This Row],[Product]]))</f>
        <v>10</v>
      </c>
      <c r="K442" s="64">
        <f>LEN(TRIM(Table22[[#This Row],[Sales Team]]))</f>
        <v>10</v>
      </c>
      <c r="L442" s="23">
        <v>51</v>
      </c>
      <c r="M442" s="65" t="str" cm="1">
        <f t="array" ref="M442">_xlfn.IFS(Table22[[#This Row],[Units Sold]]&lt;40,"Critical",Table22[[#This Row],[Units Sold]]&lt;=50,"Poor",Table22[[#This Row],[Units Sold]]&lt;=60,"Low",Table22[[#This Row],[Units Sold]]&lt;=80,"Average",Table22[[#This Row],[Units Sold]]&lt;=90,"High",Table22[[#This Row],[Units Sold]]&lt;=95,"Excellent",Table22[[#This Row],[Units Sold]]&gt;95,"Outstanding")</f>
        <v>Low</v>
      </c>
      <c r="N442" s="29">
        <v>1272.4000000000001</v>
      </c>
      <c r="O442" s="29">
        <v>64892.4</v>
      </c>
      <c r="P442" s="43">
        <f>IF(Table22[[#This Row],[Discount Applied]],Table22[[#This Row],[Total Sales (in USD)]]*(1-Table22[[#This Row],[Discount Percentage (%)]]/100),Table22[[#This Row],[Total Sales (in USD)]])</f>
        <v>55197.475440000002</v>
      </c>
      <c r="Q442" s="66">
        <f>SQRT(AVERAGE((Table22[[#This Row],[Net Sales (after discount) (in USD)]]-AVERAGE(Table22[Net Sales (after discount) (in USD)]))^2))</f>
        <v>18686.114876235464</v>
      </c>
      <c r="R442" s="18" t="b">
        <v>1</v>
      </c>
      <c r="S442" s="40">
        <v>14.94</v>
      </c>
      <c r="T442" s="18" t="b">
        <v>1</v>
      </c>
      <c r="U442" s="25">
        <v>45552</v>
      </c>
      <c r="V442" s="63" t="str">
        <f>IF(MONTH(Table22[[#This Row],[Sales Date]])&lt;=3,"Q1",IF(MONTH(Table22[[#This Row],[Sales Date]])&lt;=6,"Q2",IF(MONTH(Table22[[#This Row],[Sales Date]])&lt;=9,"Q3","Q4")))</f>
        <v>Q3</v>
      </c>
      <c r="W442" s="64">
        <f>YEAR(Table22[[#This Row],[Sales Date]])</f>
        <v>2024</v>
      </c>
      <c r="X442" s="23">
        <v>27</v>
      </c>
      <c r="Y442" s="18" t="s">
        <v>41</v>
      </c>
      <c r="Z442" s="18" t="s">
        <v>42</v>
      </c>
      <c r="AA442" s="19" t="s">
        <v>36</v>
      </c>
    </row>
    <row r="443" spans="1:27" x14ac:dyDescent="0.25">
      <c r="A443" s="17" t="s">
        <v>1661</v>
      </c>
      <c r="B443" s="18" t="s">
        <v>46</v>
      </c>
      <c r="C443" s="63" t="str" cm="1">
        <f t="array" ref="C443">_xlfn.SWITCH(Table22[[#This Row],[Country]],"USA","North America","Canada","North America","Brazil","South America","China","Asia","Japan","Asia","India","Asia","France","Europe","Germany","Europe","UK","Europe","Australia","Oceania","South America")</f>
        <v>South America</v>
      </c>
      <c r="D443" s="18" t="s">
        <v>35</v>
      </c>
      <c r="E443" s="18" t="s">
        <v>33</v>
      </c>
      <c r="F443" s="18" t="s">
        <v>47</v>
      </c>
      <c r="G443" s="18" t="s">
        <v>22</v>
      </c>
      <c r="H443" s="64">
        <f>LEN(TRIM(Table22[[#This Row],[Country]]))</f>
        <v>6</v>
      </c>
      <c r="I443" s="64">
        <f>LEN(TRIM(Table22[[#This Row],[Continent]]))</f>
        <v>13</v>
      </c>
      <c r="J443" s="64">
        <f>LEN(TRIM(Table22[[#This Row],[Product]]))</f>
        <v>10</v>
      </c>
      <c r="K443" s="64">
        <f>LEN(TRIM(Table22[[#This Row],[Sales Team]]))</f>
        <v>10</v>
      </c>
      <c r="L443" s="23">
        <v>68</v>
      </c>
      <c r="M443" s="65" t="str" cm="1">
        <f t="array" ref="M443">_xlfn.IFS(Table22[[#This Row],[Units Sold]]&lt;40,"Critical",Table22[[#This Row],[Units Sold]]&lt;=50,"Poor",Table22[[#This Row],[Units Sold]]&lt;=60,"Low",Table22[[#This Row],[Units Sold]]&lt;=80,"Average",Table22[[#This Row],[Units Sold]]&lt;=90,"High",Table22[[#This Row],[Units Sold]]&lt;=95,"Excellent",Table22[[#This Row],[Units Sold]]&gt;95,"Outstanding")</f>
        <v>Average</v>
      </c>
      <c r="N443" s="29">
        <v>954.26</v>
      </c>
      <c r="O443" s="29">
        <v>64889.68</v>
      </c>
      <c r="P443" s="43">
        <f>IF(Table22[[#This Row],[Discount Applied]],Table22[[#This Row],[Total Sales (in USD)]]*(1-Table22[[#This Row],[Discount Percentage (%)]]/100),Table22[[#This Row],[Total Sales (in USD)]])</f>
        <v>54637.110560000001</v>
      </c>
      <c r="Q443" s="66">
        <f>SQRT(AVERAGE((Table22[[#This Row],[Net Sales (after discount) (in USD)]]-AVERAGE(Table22[Net Sales (after discount) (in USD)]))^2))</f>
        <v>18125.749996235463</v>
      </c>
      <c r="R443" s="18" t="b">
        <v>1</v>
      </c>
      <c r="S443" s="40">
        <v>15.8</v>
      </c>
      <c r="T443" s="18" t="b">
        <v>1</v>
      </c>
      <c r="U443" s="25">
        <v>45009</v>
      </c>
      <c r="V443" s="63" t="str">
        <f>IF(MONTH(Table22[[#This Row],[Sales Date]])&lt;=3,"Q1",IF(MONTH(Table22[[#This Row],[Sales Date]])&lt;=6,"Q2",IF(MONTH(Table22[[#This Row],[Sales Date]])&lt;=9,"Q3","Q4")))</f>
        <v>Q1</v>
      </c>
      <c r="W443" s="64">
        <f>YEAR(Table22[[#This Row],[Sales Date]])</f>
        <v>2023</v>
      </c>
      <c r="X443" s="23">
        <v>25</v>
      </c>
      <c r="Y443" s="18" t="s">
        <v>41</v>
      </c>
      <c r="Z443" s="18" t="s">
        <v>56</v>
      </c>
      <c r="AA443" s="19" t="s">
        <v>36</v>
      </c>
    </row>
    <row r="444" spans="1:27" x14ac:dyDescent="0.25">
      <c r="A444" s="17" t="s">
        <v>1577</v>
      </c>
      <c r="B444" s="18" t="s">
        <v>18</v>
      </c>
      <c r="C444" s="63" t="str" cm="1">
        <f t="array" ref="C444">_xlfn.SWITCH(Table22[[#This Row],[Country]],"USA","North America","Canada","North America","Brazil","South America","China","Asia","Japan","Asia","India","Asia","France","Europe","Germany","Europe","UK","Europe","Australia","Oceania","South America")</f>
        <v>Asia</v>
      </c>
      <c r="D444" s="18" t="s">
        <v>28</v>
      </c>
      <c r="E444" s="18" t="s">
        <v>19</v>
      </c>
      <c r="F444" s="18" t="s">
        <v>34</v>
      </c>
      <c r="G444" s="18" t="s">
        <v>29</v>
      </c>
      <c r="H444" s="64">
        <f>LEN(TRIM(Table22[[#This Row],[Country]]))</f>
        <v>5</v>
      </c>
      <c r="I444" s="64">
        <f>LEN(TRIM(Table22[[#This Row],[Continent]]))</f>
        <v>4</v>
      </c>
      <c r="J444" s="64">
        <f>LEN(TRIM(Table22[[#This Row],[Product]]))</f>
        <v>6</v>
      </c>
      <c r="K444" s="64">
        <f>LEN(TRIM(Table22[[#This Row],[Sales Team]]))</f>
        <v>10</v>
      </c>
      <c r="L444" s="23">
        <v>88</v>
      </c>
      <c r="M444" s="65" t="str" cm="1">
        <f t="array" ref="M444">_xlfn.IFS(Table22[[#This Row],[Units Sold]]&lt;40,"Critical",Table22[[#This Row],[Units Sold]]&lt;=50,"Poor",Table22[[#This Row],[Units Sold]]&lt;=60,"Low",Table22[[#This Row],[Units Sold]]&lt;=80,"Average",Table22[[#This Row],[Units Sold]]&lt;=90,"High",Table22[[#This Row],[Units Sold]]&lt;=95,"Excellent",Table22[[#This Row],[Units Sold]]&gt;95,"Outstanding")</f>
        <v>High</v>
      </c>
      <c r="N444" s="29">
        <v>734.57</v>
      </c>
      <c r="O444" s="29">
        <v>64642.16</v>
      </c>
      <c r="P444" s="43">
        <f>IF(Table22[[#This Row],[Discount Applied]],Table22[[#This Row],[Total Sales (in USD)]]*(1-Table22[[#This Row],[Discount Percentage (%)]]/100),Table22[[#This Row],[Total Sales (in USD)]])</f>
        <v>64642.16</v>
      </c>
      <c r="Q444" s="66">
        <f>SQRT(AVERAGE((Table22[[#This Row],[Net Sales (after discount) (in USD)]]-AVERAGE(Table22[Net Sales (after discount) (in USD)]))^2))</f>
        <v>28130.799436235466</v>
      </c>
      <c r="R444" s="18" t="b">
        <v>0</v>
      </c>
      <c r="S444" s="40">
        <v>17.64</v>
      </c>
      <c r="T444" s="18" t="b">
        <v>0</v>
      </c>
      <c r="U444" s="25">
        <v>45586</v>
      </c>
      <c r="V444" s="63" t="str">
        <f>IF(MONTH(Table22[[#This Row],[Sales Date]])&lt;=3,"Q1",IF(MONTH(Table22[[#This Row],[Sales Date]])&lt;=6,"Q2",IF(MONTH(Table22[[#This Row],[Sales Date]])&lt;=9,"Q3","Q4")))</f>
        <v>Q4</v>
      </c>
      <c r="W444" s="64">
        <f>YEAR(Table22[[#This Row],[Sales Date]])</f>
        <v>2024</v>
      </c>
      <c r="X444" s="23">
        <v>58</v>
      </c>
      <c r="Y444" s="18" t="s">
        <v>23</v>
      </c>
      <c r="Z444" s="18" t="s">
        <v>30</v>
      </c>
      <c r="AA444" s="19" t="s">
        <v>25</v>
      </c>
    </row>
    <row r="445" spans="1:27" x14ac:dyDescent="0.25">
      <c r="A445" s="17" t="s">
        <v>1335</v>
      </c>
      <c r="B445" s="18" t="s">
        <v>32</v>
      </c>
      <c r="C445" s="63" t="str" cm="1">
        <f t="array" ref="C445">_xlfn.SWITCH(Table22[[#This Row],[Country]],"USA","North America","Canada","North America","Brazil","South America","China","Asia","Japan","Asia","India","Asia","France","Europe","Germany","Europe","UK","Europe","Australia","Oceania","South America")</f>
        <v>Asia</v>
      </c>
      <c r="D445" s="18" t="s">
        <v>28</v>
      </c>
      <c r="E445" s="18" t="s">
        <v>39</v>
      </c>
      <c r="F445" s="18" t="s">
        <v>64</v>
      </c>
      <c r="G445" s="18" t="s">
        <v>22</v>
      </c>
      <c r="H445" s="64">
        <f>LEN(TRIM(Table22[[#This Row],[Country]]))</f>
        <v>5</v>
      </c>
      <c r="I445" s="64">
        <f>LEN(TRIM(Table22[[#This Row],[Continent]]))</f>
        <v>4</v>
      </c>
      <c r="J445" s="64">
        <f>LEN(TRIM(Table22[[#This Row],[Product]]))</f>
        <v>10</v>
      </c>
      <c r="K445" s="64">
        <f>LEN(TRIM(Table22[[#This Row],[Sales Team]]))</f>
        <v>10</v>
      </c>
      <c r="L445" s="23">
        <v>80</v>
      </c>
      <c r="M445" s="65" t="str" cm="1">
        <f t="array" ref="M445">_xlfn.IFS(Table22[[#This Row],[Units Sold]]&lt;40,"Critical",Table22[[#This Row],[Units Sold]]&lt;=50,"Poor",Table22[[#This Row],[Units Sold]]&lt;=60,"Low",Table22[[#This Row],[Units Sold]]&lt;=80,"Average",Table22[[#This Row],[Units Sold]]&lt;=90,"High",Table22[[#This Row],[Units Sold]]&lt;=95,"Excellent",Table22[[#This Row],[Units Sold]]&gt;95,"Outstanding")</f>
        <v>Average</v>
      </c>
      <c r="N445" s="29">
        <v>807.91</v>
      </c>
      <c r="O445" s="29">
        <v>64632.800000000003</v>
      </c>
      <c r="P445" s="43">
        <f>IF(Table22[[#This Row],[Discount Applied]],Table22[[#This Row],[Total Sales (in USD)]]*(1-Table22[[#This Row],[Discount Percentage (%)]]/100),Table22[[#This Row],[Total Sales (in USD)]])</f>
        <v>51085.765120000004</v>
      </c>
      <c r="Q445" s="66">
        <f>SQRT(AVERAGE((Table22[[#This Row],[Net Sales (after discount) (in USD)]]-AVERAGE(Table22[Net Sales (after discount) (in USD)]))^2))</f>
        <v>14574.404556235466</v>
      </c>
      <c r="R445" s="18" t="b">
        <v>1</v>
      </c>
      <c r="S445" s="40">
        <v>20.96</v>
      </c>
      <c r="T445" s="18" t="b">
        <v>1</v>
      </c>
      <c r="U445" s="25">
        <v>45479</v>
      </c>
      <c r="V445" s="63" t="str">
        <f>IF(MONTH(Table22[[#This Row],[Sales Date]])&lt;=3,"Q1",IF(MONTH(Table22[[#This Row],[Sales Date]])&lt;=6,"Q2",IF(MONTH(Table22[[#This Row],[Sales Date]])&lt;=9,"Q3","Q4")))</f>
        <v>Q3</v>
      </c>
      <c r="W445" s="64">
        <f>YEAR(Table22[[#This Row],[Sales Date]])</f>
        <v>2024</v>
      </c>
      <c r="X445" s="23">
        <v>26</v>
      </c>
      <c r="Y445" s="18" t="s">
        <v>41</v>
      </c>
      <c r="Z445" s="18" t="s">
        <v>56</v>
      </c>
      <c r="AA445" s="19" t="s">
        <v>25</v>
      </c>
    </row>
    <row r="446" spans="1:27" x14ac:dyDescent="0.25">
      <c r="A446" s="17" t="s">
        <v>1868</v>
      </c>
      <c r="B446" s="18" t="s">
        <v>38</v>
      </c>
      <c r="C446" s="63" t="str" cm="1">
        <f t="array" ref="C446">_xlfn.SWITCH(Table22[[#This Row],[Country]],"USA","North America","Canada","North America","Brazil","South America","China","Asia","Japan","Asia","India","Asia","France","Europe","Germany","Europe","UK","Europe","Australia","Oceania","South America")</f>
        <v>Europe</v>
      </c>
      <c r="D446" s="18" t="s">
        <v>21</v>
      </c>
      <c r="E446" s="18" t="s">
        <v>33</v>
      </c>
      <c r="F446" s="18" t="s">
        <v>20</v>
      </c>
      <c r="G446" s="18" t="s">
        <v>48</v>
      </c>
      <c r="H446" s="64">
        <f>LEN(TRIM(Table22[[#This Row],[Country]]))</f>
        <v>6</v>
      </c>
      <c r="I446" s="64">
        <f>LEN(TRIM(Table22[[#This Row],[Continent]]))</f>
        <v>6</v>
      </c>
      <c r="J446" s="64">
        <f>LEN(TRIM(Table22[[#This Row],[Product]]))</f>
        <v>10</v>
      </c>
      <c r="K446" s="64">
        <f>LEN(TRIM(Table22[[#This Row],[Sales Team]]))</f>
        <v>9</v>
      </c>
      <c r="L446" s="23">
        <v>47</v>
      </c>
      <c r="M446" s="65" t="str" cm="1">
        <f t="array" ref="M446">_xlfn.IFS(Table22[[#This Row],[Units Sold]]&lt;40,"Critical",Table22[[#This Row],[Units Sold]]&lt;=50,"Poor",Table22[[#This Row],[Units Sold]]&lt;=60,"Low",Table22[[#This Row],[Units Sold]]&lt;=80,"Average",Table22[[#This Row],[Units Sold]]&lt;=90,"High",Table22[[#This Row],[Units Sold]]&lt;=95,"Excellent",Table22[[#This Row],[Units Sold]]&gt;95,"Outstanding")</f>
        <v>Poor</v>
      </c>
      <c r="N446" s="29">
        <v>1374.45</v>
      </c>
      <c r="O446" s="29">
        <v>64599.15</v>
      </c>
      <c r="P446" s="43">
        <f>IF(Table22[[#This Row],[Discount Applied]],Table22[[#This Row],[Total Sales (in USD)]]*(1-Table22[[#This Row],[Discount Percentage (%)]]/100),Table22[[#This Row],[Total Sales (in USD)]])</f>
        <v>50161.239974999997</v>
      </c>
      <c r="Q446" s="66">
        <f>SQRT(AVERAGE((Table22[[#This Row],[Net Sales (after discount) (in USD)]]-AVERAGE(Table22[Net Sales (after discount) (in USD)]))^2))</f>
        <v>13649.879411235459</v>
      </c>
      <c r="R446" s="18" t="b">
        <v>1</v>
      </c>
      <c r="S446" s="40">
        <v>22.35</v>
      </c>
      <c r="T446" s="18" t="b">
        <v>1</v>
      </c>
      <c r="U446" s="25">
        <v>45375</v>
      </c>
      <c r="V446" s="63" t="str">
        <f>IF(MONTH(Table22[[#This Row],[Sales Date]])&lt;=3,"Q1",IF(MONTH(Table22[[#This Row],[Sales Date]])&lt;=6,"Q2",IF(MONTH(Table22[[#This Row],[Sales Date]])&lt;=9,"Q3","Q4")))</f>
        <v>Q1</v>
      </c>
      <c r="W446" s="64">
        <f>YEAR(Table22[[#This Row],[Sales Date]])</f>
        <v>2024</v>
      </c>
      <c r="X446" s="23">
        <v>19</v>
      </c>
      <c r="Y446" s="18" t="s">
        <v>41</v>
      </c>
      <c r="Z446" s="18" t="s">
        <v>56</v>
      </c>
      <c r="AA446" s="19" t="s">
        <v>36</v>
      </c>
    </row>
    <row r="447" spans="1:27" x14ac:dyDescent="0.25">
      <c r="A447" s="17" t="s">
        <v>1238</v>
      </c>
      <c r="B447" s="18" t="s">
        <v>46</v>
      </c>
      <c r="C447" s="63" t="str" cm="1">
        <f t="array" ref="C447">_xlfn.SWITCH(Table22[[#This Row],[Country]],"USA","North America","Canada","North America","Brazil","South America","China","Asia","Japan","Asia","India","Asia","France","Europe","Germany","Europe","UK","Europe","Australia","Oceania","South America")</f>
        <v>South America</v>
      </c>
      <c r="D447" s="18" t="s">
        <v>21</v>
      </c>
      <c r="E447" s="18" t="s">
        <v>33</v>
      </c>
      <c r="F447" s="18" t="s">
        <v>34</v>
      </c>
      <c r="G447" s="18" t="s">
        <v>29</v>
      </c>
      <c r="H447" s="64">
        <f>LEN(TRIM(Table22[[#This Row],[Country]]))</f>
        <v>6</v>
      </c>
      <c r="I447" s="64">
        <f>LEN(TRIM(Table22[[#This Row],[Continent]]))</f>
        <v>13</v>
      </c>
      <c r="J447" s="64">
        <f>LEN(TRIM(Table22[[#This Row],[Product]]))</f>
        <v>10</v>
      </c>
      <c r="K447" s="64">
        <f>LEN(TRIM(Table22[[#This Row],[Sales Team]]))</f>
        <v>10</v>
      </c>
      <c r="L447" s="23">
        <v>50</v>
      </c>
      <c r="M447" s="65" t="str" cm="1">
        <f t="array" ref="M447">_xlfn.IFS(Table22[[#This Row],[Units Sold]]&lt;40,"Critical",Table22[[#This Row],[Units Sold]]&lt;=50,"Poor",Table22[[#This Row],[Units Sold]]&lt;=60,"Low",Table22[[#This Row],[Units Sold]]&lt;=80,"Average",Table22[[#This Row],[Units Sold]]&lt;=90,"High",Table22[[#This Row],[Units Sold]]&lt;=95,"Excellent",Table22[[#This Row],[Units Sold]]&gt;95,"Outstanding")</f>
        <v>Poor</v>
      </c>
      <c r="N447" s="29">
        <v>1285.6099999999999</v>
      </c>
      <c r="O447" s="29">
        <v>64280.5</v>
      </c>
      <c r="P447" s="43">
        <f>IF(Table22[[#This Row],[Discount Applied]],Table22[[#This Row],[Total Sales (in USD)]]*(1-Table22[[#This Row],[Discount Percentage (%)]]/100),Table22[[#This Row],[Total Sales (in USD)]])</f>
        <v>46809.060099999995</v>
      </c>
      <c r="Q447" s="66">
        <f>SQRT(AVERAGE((Table22[[#This Row],[Net Sales (after discount) (in USD)]]-AVERAGE(Table22[Net Sales (after discount) (in USD)]))^2))</f>
        <v>10297.699536235457</v>
      </c>
      <c r="R447" s="18" t="b">
        <v>1</v>
      </c>
      <c r="S447" s="40">
        <v>27.18</v>
      </c>
      <c r="T447" s="18" t="b">
        <v>1</v>
      </c>
      <c r="U447" s="25">
        <v>45390</v>
      </c>
      <c r="V447" s="63" t="str">
        <f>IF(MONTH(Table22[[#This Row],[Sales Date]])&lt;=3,"Q1",IF(MONTH(Table22[[#This Row],[Sales Date]])&lt;=6,"Q2",IF(MONTH(Table22[[#This Row],[Sales Date]])&lt;=9,"Q3","Q4")))</f>
        <v>Q2</v>
      </c>
      <c r="W447" s="64">
        <f>YEAR(Table22[[#This Row],[Sales Date]])</f>
        <v>2024</v>
      </c>
      <c r="X447" s="23">
        <v>42</v>
      </c>
      <c r="Y447" s="18" t="s">
        <v>49</v>
      </c>
      <c r="Z447" s="18" t="s">
        <v>42</v>
      </c>
      <c r="AA447" s="19" t="s">
        <v>36</v>
      </c>
    </row>
    <row r="448" spans="1:27" x14ac:dyDescent="0.25">
      <c r="A448" s="17" t="s">
        <v>1092</v>
      </c>
      <c r="B448" s="18" t="s">
        <v>76</v>
      </c>
      <c r="C448" s="63" t="str" cm="1">
        <f t="array" ref="C448">_xlfn.SWITCH(Table22[[#This Row],[Country]],"USA","North America","Canada","North America","Brazil","South America","China","Asia","Japan","Asia","India","Asia","France","Europe","Germany","Europe","UK","Europe","Australia","Oceania","South America")</f>
        <v>Asia</v>
      </c>
      <c r="D448" s="18" t="s">
        <v>21</v>
      </c>
      <c r="E448" s="18" t="s">
        <v>19</v>
      </c>
      <c r="F448" s="18" t="s">
        <v>64</v>
      </c>
      <c r="G448" s="18" t="s">
        <v>29</v>
      </c>
      <c r="H448" s="64">
        <f>LEN(TRIM(Table22[[#This Row],[Country]]))</f>
        <v>5</v>
      </c>
      <c r="I448" s="64">
        <f>LEN(TRIM(Table22[[#This Row],[Continent]]))</f>
        <v>4</v>
      </c>
      <c r="J448" s="64">
        <f>LEN(TRIM(Table22[[#This Row],[Product]]))</f>
        <v>6</v>
      </c>
      <c r="K448" s="64">
        <f>LEN(TRIM(Table22[[#This Row],[Sales Team]]))</f>
        <v>10</v>
      </c>
      <c r="L448" s="23">
        <v>69</v>
      </c>
      <c r="M448" s="65" t="str" cm="1">
        <f t="array" ref="M448">_xlfn.IFS(Table22[[#This Row],[Units Sold]]&lt;40,"Critical",Table22[[#This Row],[Units Sold]]&lt;=50,"Poor",Table22[[#This Row],[Units Sold]]&lt;=60,"Low",Table22[[#This Row],[Units Sold]]&lt;=80,"Average",Table22[[#This Row],[Units Sold]]&lt;=90,"High",Table22[[#This Row],[Units Sold]]&lt;=95,"Excellent",Table22[[#This Row],[Units Sold]]&gt;95,"Outstanding")</f>
        <v>Average</v>
      </c>
      <c r="N448" s="29">
        <v>931.54</v>
      </c>
      <c r="O448" s="29">
        <v>64276.26</v>
      </c>
      <c r="P448" s="43">
        <f>IF(Table22[[#This Row],[Discount Applied]],Table22[[#This Row],[Total Sales (in USD)]]*(1-Table22[[#This Row],[Discount Percentage (%)]]/100),Table22[[#This Row],[Total Sales (in USD)]])</f>
        <v>58054.318032000003</v>
      </c>
      <c r="Q448" s="66">
        <f>SQRT(AVERAGE((Table22[[#This Row],[Net Sales (after discount) (in USD)]]-AVERAGE(Table22[Net Sales (after discount) (in USD)]))^2))</f>
        <v>21542.957468235465</v>
      </c>
      <c r="R448" s="18" t="b">
        <v>0</v>
      </c>
      <c r="S448" s="40">
        <v>9.68</v>
      </c>
      <c r="T448" s="18" t="b">
        <v>1</v>
      </c>
      <c r="U448" s="25">
        <v>45502</v>
      </c>
      <c r="V448" s="63" t="str">
        <f>IF(MONTH(Table22[[#This Row],[Sales Date]])&lt;=3,"Q1",IF(MONTH(Table22[[#This Row],[Sales Date]])&lt;=6,"Q2",IF(MONTH(Table22[[#This Row],[Sales Date]])&lt;=9,"Q3","Q4")))</f>
        <v>Q3</v>
      </c>
      <c r="W448" s="64">
        <f>YEAR(Table22[[#This Row],[Sales Date]])</f>
        <v>2024</v>
      </c>
      <c r="X448" s="23">
        <v>30</v>
      </c>
      <c r="Y448" s="18" t="s">
        <v>49</v>
      </c>
      <c r="Z448" s="18" t="s">
        <v>42</v>
      </c>
      <c r="AA448" s="19" t="s">
        <v>36</v>
      </c>
    </row>
    <row r="449" spans="1:27" x14ac:dyDescent="0.25">
      <c r="A449" s="17" t="s">
        <v>739</v>
      </c>
      <c r="B449" s="18" t="s">
        <v>62</v>
      </c>
      <c r="C449" s="63" t="str" cm="1">
        <f t="array" ref="C449">_xlfn.SWITCH(Table22[[#This Row],[Country]],"USA","North America","Canada","North America","Brazil","South America","China","Asia","Japan","Asia","India","Asia","France","Europe","Germany","Europe","UK","Europe","Australia","Oceania","South America")</f>
        <v>Oceania</v>
      </c>
      <c r="D449" s="18" t="s">
        <v>35</v>
      </c>
      <c r="E449" s="18" t="s">
        <v>19</v>
      </c>
      <c r="F449" s="18" t="s">
        <v>34</v>
      </c>
      <c r="G449" s="18" t="s">
        <v>48</v>
      </c>
      <c r="H449" s="64">
        <f>LEN(TRIM(Table22[[#This Row],[Country]]))</f>
        <v>9</v>
      </c>
      <c r="I449" s="64">
        <f>LEN(TRIM(Table22[[#This Row],[Continent]]))</f>
        <v>7</v>
      </c>
      <c r="J449" s="64">
        <f>LEN(TRIM(Table22[[#This Row],[Product]]))</f>
        <v>6</v>
      </c>
      <c r="K449" s="64">
        <f>LEN(TRIM(Table22[[#This Row],[Sales Team]]))</f>
        <v>9</v>
      </c>
      <c r="L449" s="23">
        <v>61</v>
      </c>
      <c r="M449" s="65" t="str" cm="1">
        <f t="array" ref="M449">_xlfn.IFS(Table22[[#This Row],[Units Sold]]&lt;40,"Critical",Table22[[#This Row],[Units Sold]]&lt;=50,"Poor",Table22[[#This Row],[Units Sold]]&lt;=60,"Low",Table22[[#This Row],[Units Sold]]&lt;=80,"Average",Table22[[#This Row],[Units Sold]]&lt;=90,"High",Table22[[#This Row],[Units Sold]]&lt;=95,"Excellent",Table22[[#This Row],[Units Sold]]&gt;95,"Outstanding")</f>
        <v>Average</v>
      </c>
      <c r="N449" s="29">
        <v>1051.74</v>
      </c>
      <c r="O449" s="29">
        <v>64156.14</v>
      </c>
      <c r="P449" s="43">
        <f>IF(Table22[[#This Row],[Discount Applied]],Table22[[#This Row],[Total Sales (in USD)]]*(1-Table22[[#This Row],[Discount Percentage (%)]]/100),Table22[[#This Row],[Total Sales (in USD)]])</f>
        <v>64156.14</v>
      </c>
      <c r="Q449" s="66">
        <f>SQRT(AVERAGE((Table22[[#This Row],[Net Sales (after discount) (in USD)]]-AVERAGE(Table22[Net Sales (after discount) (in USD)]))^2))</f>
        <v>27644.779436235462</v>
      </c>
      <c r="R449" s="18" t="b">
        <v>0</v>
      </c>
      <c r="S449" s="40">
        <v>25.26</v>
      </c>
      <c r="T449" s="18" t="b">
        <v>0</v>
      </c>
      <c r="U449" s="25">
        <v>44992</v>
      </c>
      <c r="V449" s="63" t="str">
        <f>IF(MONTH(Table22[[#This Row],[Sales Date]])&lt;=3,"Q1",IF(MONTH(Table22[[#This Row],[Sales Date]])&lt;=6,"Q2",IF(MONTH(Table22[[#This Row],[Sales Date]])&lt;=9,"Q3","Q4")))</f>
        <v>Q1</v>
      </c>
      <c r="W449" s="64">
        <f>YEAR(Table22[[#This Row],[Sales Date]])</f>
        <v>2023</v>
      </c>
      <c r="X449" s="23">
        <v>43</v>
      </c>
      <c r="Y449" s="18" t="s">
        <v>23</v>
      </c>
      <c r="Z449" s="18" t="s">
        <v>42</v>
      </c>
      <c r="AA449" s="19" t="s">
        <v>36</v>
      </c>
    </row>
    <row r="450" spans="1:27" x14ac:dyDescent="0.25">
      <c r="A450" s="17" t="s">
        <v>165</v>
      </c>
      <c r="B450" s="18" t="s">
        <v>51</v>
      </c>
      <c r="C450" s="63" t="str" cm="1">
        <f t="array" ref="C450">_xlfn.SWITCH(Table22[[#This Row],[Country]],"USA","North America","Canada","North America","Brazil","South America","China","Asia","Japan","Asia","India","Asia","France","Europe","Germany","Europe","UK","Europe","Australia","Oceania","South America")</f>
        <v>Europe</v>
      </c>
      <c r="D450" s="18" t="s">
        <v>28</v>
      </c>
      <c r="E450" s="18" t="s">
        <v>33</v>
      </c>
      <c r="F450" s="18" t="s">
        <v>52</v>
      </c>
      <c r="G450" s="18" t="s">
        <v>48</v>
      </c>
      <c r="H450" s="64">
        <f>LEN(TRIM(Table22[[#This Row],[Country]]))</f>
        <v>2</v>
      </c>
      <c r="I450" s="64">
        <f>LEN(TRIM(Table22[[#This Row],[Continent]]))</f>
        <v>6</v>
      </c>
      <c r="J450" s="64">
        <f>LEN(TRIM(Table22[[#This Row],[Product]]))</f>
        <v>10</v>
      </c>
      <c r="K450" s="64">
        <f>LEN(TRIM(Table22[[#This Row],[Sales Team]]))</f>
        <v>9</v>
      </c>
      <c r="L450" s="23">
        <v>58</v>
      </c>
      <c r="M450" s="65" t="str" cm="1">
        <f t="array" ref="M450">_xlfn.IFS(Table22[[#This Row],[Units Sold]]&lt;40,"Critical",Table22[[#This Row],[Units Sold]]&lt;=50,"Poor",Table22[[#This Row],[Units Sold]]&lt;=60,"Low",Table22[[#This Row],[Units Sold]]&lt;=80,"Average",Table22[[#This Row],[Units Sold]]&lt;=90,"High",Table22[[#This Row],[Units Sold]]&lt;=95,"Excellent",Table22[[#This Row],[Units Sold]]&gt;95,"Outstanding")</f>
        <v>Low</v>
      </c>
      <c r="N450" s="29">
        <v>1105.8699999999999</v>
      </c>
      <c r="O450" s="29">
        <v>64140.46</v>
      </c>
      <c r="P450" s="43">
        <f>IF(Table22[[#This Row],[Discount Applied]],Table22[[#This Row],[Total Sales (in USD)]]*(1-Table22[[#This Row],[Discount Percentage (%)]]/100),Table22[[#This Row],[Total Sales (in USD)]])</f>
        <v>64140.46</v>
      </c>
      <c r="Q450" s="66">
        <f>SQRT(AVERAGE((Table22[[#This Row],[Net Sales (after discount) (in USD)]]-AVERAGE(Table22[Net Sales (after discount) (in USD)]))^2))</f>
        <v>27629.099436235461</v>
      </c>
      <c r="R450" s="18" t="b">
        <v>0</v>
      </c>
      <c r="S450" s="40">
        <v>13.61</v>
      </c>
      <c r="T450" s="18" t="b">
        <v>0</v>
      </c>
      <c r="U450" s="25">
        <v>44958</v>
      </c>
      <c r="V450" s="63" t="str">
        <f>IF(MONTH(Table22[[#This Row],[Sales Date]])&lt;=3,"Q1",IF(MONTH(Table22[[#This Row],[Sales Date]])&lt;=6,"Q2",IF(MONTH(Table22[[#This Row],[Sales Date]])&lt;=9,"Q3","Q4")))</f>
        <v>Q1</v>
      </c>
      <c r="W450" s="64">
        <f>YEAR(Table22[[#This Row],[Sales Date]])</f>
        <v>2023</v>
      </c>
      <c r="X450" s="23">
        <v>20</v>
      </c>
      <c r="Y450" s="18" t="s">
        <v>23</v>
      </c>
      <c r="Z450" s="18" t="s">
        <v>42</v>
      </c>
      <c r="AA450" s="19" t="s">
        <v>25</v>
      </c>
    </row>
    <row r="451" spans="1:27" x14ac:dyDescent="0.25">
      <c r="A451" s="17" t="s">
        <v>794</v>
      </c>
      <c r="B451" s="18" t="s">
        <v>76</v>
      </c>
      <c r="C451" s="63" t="str" cm="1">
        <f t="array" ref="C451">_xlfn.SWITCH(Table22[[#This Row],[Country]],"USA","North America","Canada","North America","Brazil","South America","China","Asia","Japan","Asia","India","Asia","France","Europe","Germany","Europe","UK","Europe","Australia","Oceania","South America")</f>
        <v>Asia</v>
      </c>
      <c r="D451" s="18" t="s">
        <v>44</v>
      </c>
      <c r="E451" s="18" t="s">
        <v>39</v>
      </c>
      <c r="F451" s="18" t="s">
        <v>52</v>
      </c>
      <c r="G451" s="18" t="s">
        <v>40</v>
      </c>
      <c r="H451" s="64">
        <f>LEN(TRIM(Table22[[#This Row],[Country]]))</f>
        <v>5</v>
      </c>
      <c r="I451" s="64">
        <f>LEN(TRIM(Table22[[#This Row],[Continent]]))</f>
        <v>4</v>
      </c>
      <c r="J451" s="64">
        <f>LEN(TRIM(Table22[[#This Row],[Product]]))</f>
        <v>10</v>
      </c>
      <c r="K451" s="64">
        <f>LEN(TRIM(Table22[[#This Row],[Sales Team]]))</f>
        <v>10</v>
      </c>
      <c r="L451" s="23">
        <v>63</v>
      </c>
      <c r="M451" s="65" t="str" cm="1">
        <f t="array" ref="M451">_xlfn.IFS(Table22[[#This Row],[Units Sold]]&lt;40,"Critical",Table22[[#This Row],[Units Sold]]&lt;=50,"Poor",Table22[[#This Row],[Units Sold]]&lt;=60,"Low",Table22[[#This Row],[Units Sold]]&lt;=80,"Average",Table22[[#This Row],[Units Sold]]&lt;=90,"High",Table22[[#This Row],[Units Sold]]&lt;=95,"Excellent",Table22[[#This Row],[Units Sold]]&gt;95,"Outstanding")</f>
        <v>Average</v>
      </c>
      <c r="N451" s="29">
        <v>1013.02</v>
      </c>
      <c r="O451" s="29">
        <v>63820.26</v>
      </c>
      <c r="P451" s="43">
        <f>IF(Table22[[#This Row],[Discount Applied]],Table22[[#This Row],[Total Sales (in USD)]]*(1-Table22[[#This Row],[Discount Percentage (%)]]/100),Table22[[#This Row],[Total Sales (in USD)]])</f>
        <v>63820.26</v>
      </c>
      <c r="Q451" s="66">
        <f>SQRT(AVERAGE((Table22[[#This Row],[Net Sales (after discount) (in USD)]]-AVERAGE(Table22[Net Sales (after discount) (in USD)]))^2))</f>
        <v>27308.899436235464</v>
      </c>
      <c r="R451" s="18" t="b">
        <v>1</v>
      </c>
      <c r="S451" s="40">
        <v>25.93</v>
      </c>
      <c r="T451" s="18" t="b">
        <v>0</v>
      </c>
      <c r="U451" s="25">
        <v>45418</v>
      </c>
      <c r="V451" s="63" t="str">
        <f>IF(MONTH(Table22[[#This Row],[Sales Date]])&lt;=3,"Q1",IF(MONTH(Table22[[#This Row],[Sales Date]])&lt;=6,"Q2",IF(MONTH(Table22[[#This Row],[Sales Date]])&lt;=9,"Q3","Q4")))</f>
        <v>Q2</v>
      </c>
      <c r="W451" s="64">
        <f>YEAR(Table22[[#This Row],[Sales Date]])</f>
        <v>2024</v>
      </c>
      <c r="X451" s="23">
        <v>47</v>
      </c>
      <c r="Y451" s="18" t="s">
        <v>49</v>
      </c>
      <c r="Z451" s="18" t="s">
        <v>24</v>
      </c>
      <c r="AA451" s="19" t="s">
        <v>36</v>
      </c>
    </row>
    <row r="452" spans="1:27" x14ac:dyDescent="0.25">
      <c r="A452" s="17" t="s">
        <v>1053</v>
      </c>
      <c r="B452" s="18" t="s">
        <v>32</v>
      </c>
      <c r="C452" s="63" t="str" cm="1">
        <f t="array" ref="C452">_xlfn.SWITCH(Table22[[#This Row],[Country]],"USA","North America","Canada","North America","Brazil","South America","China","Asia","Japan","Asia","India","Asia","France","Europe","Germany","Europe","UK","Europe","Australia","Oceania","South America")</f>
        <v>Asia</v>
      </c>
      <c r="D452" s="18" t="s">
        <v>35</v>
      </c>
      <c r="E452" s="18" t="s">
        <v>33</v>
      </c>
      <c r="F452" s="18" t="s">
        <v>20</v>
      </c>
      <c r="G452" s="18" t="s">
        <v>40</v>
      </c>
      <c r="H452" s="64">
        <f>LEN(TRIM(Table22[[#This Row],[Country]]))</f>
        <v>5</v>
      </c>
      <c r="I452" s="64">
        <f>LEN(TRIM(Table22[[#This Row],[Continent]]))</f>
        <v>4</v>
      </c>
      <c r="J452" s="64">
        <f>LEN(TRIM(Table22[[#This Row],[Product]]))</f>
        <v>10</v>
      </c>
      <c r="K452" s="64">
        <f>LEN(TRIM(Table22[[#This Row],[Sales Team]]))</f>
        <v>10</v>
      </c>
      <c r="L452" s="23">
        <v>89</v>
      </c>
      <c r="M452" s="65" t="str" cm="1">
        <f t="array" ref="M452">_xlfn.IFS(Table22[[#This Row],[Units Sold]]&lt;40,"Critical",Table22[[#This Row],[Units Sold]]&lt;=50,"Poor",Table22[[#This Row],[Units Sold]]&lt;=60,"Low",Table22[[#This Row],[Units Sold]]&lt;=80,"Average",Table22[[#This Row],[Units Sold]]&lt;=90,"High",Table22[[#This Row],[Units Sold]]&lt;=95,"Excellent",Table22[[#This Row],[Units Sold]]&gt;95,"Outstanding")</f>
        <v>High</v>
      </c>
      <c r="N452" s="29">
        <v>716.42</v>
      </c>
      <c r="O452" s="29">
        <v>63761.38</v>
      </c>
      <c r="P452" s="43">
        <f>IF(Table22[[#This Row],[Discount Applied]],Table22[[#This Row],[Total Sales (in USD)]]*(1-Table22[[#This Row],[Discount Percentage (%)]]/100),Table22[[#This Row],[Total Sales (in USD)]])</f>
        <v>52934.697676000003</v>
      </c>
      <c r="Q452" s="66">
        <f>SQRT(AVERAGE((Table22[[#This Row],[Net Sales (after discount) (in USD)]]-AVERAGE(Table22[Net Sales (after discount) (in USD)]))^2))</f>
        <v>16423.337112235466</v>
      </c>
      <c r="R452" s="18" t="b">
        <v>1</v>
      </c>
      <c r="S452" s="40">
        <v>16.98</v>
      </c>
      <c r="T452" s="18" t="b">
        <v>1</v>
      </c>
      <c r="U452" s="25">
        <v>45496</v>
      </c>
      <c r="V452" s="63" t="str">
        <f>IF(MONTH(Table22[[#This Row],[Sales Date]])&lt;=3,"Q1",IF(MONTH(Table22[[#This Row],[Sales Date]])&lt;=6,"Q2",IF(MONTH(Table22[[#This Row],[Sales Date]])&lt;=9,"Q3","Q4")))</f>
        <v>Q3</v>
      </c>
      <c r="W452" s="64">
        <f>YEAR(Table22[[#This Row],[Sales Date]])</f>
        <v>2024</v>
      </c>
      <c r="X452" s="23">
        <v>23</v>
      </c>
      <c r="Y452" s="18" t="s">
        <v>41</v>
      </c>
      <c r="Z452" s="18" t="s">
        <v>30</v>
      </c>
      <c r="AA452" s="19" t="s">
        <v>36</v>
      </c>
    </row>
    <row r="453" spans="1:27" x14ac:dyDescent="0.25">
      <c r="A453" s="17" t="s">
        <v>1381</v>
      </c>
      <c r="B453" s="18" t="s">
        <v>18</v>
      </c>
      <c r="C453" s="63" t="str" cm="1">
        <f t="array" ref="C453">_xlfn.SWITCH(Table22[[#This Row],[Country]],"USA","North America","Canada","North America","Brazil","South America","China","Asia","Japan","Asia","India","Asia","France","Europe","Germany","Europe","UK","Europe","Australia","Oceania","South America")</f>
        <v>Asia</v>
      </c>
      <c r="D453" s="18" t="s">
        <v>35</v>
      </c>
      <c r="E453" s="18" t="s">
        <v>33</v>
      </c>
      <c r="F453" s="18" t="s">
        <v>34</v>
      </c>
      <c r="G453" s="18" t="s">
        <v>48</v>
      </c>
      <c r="H453" s="64">
        <f>LEN(TRIM(Table22[[#This Row],[Country]]))</f>
        <v>5</v>
      </c>
      <c r="I453" s="64">
        <f>LEN(TRIM(Table22[[#This Row],[Continent]]))</f>
        <v>4</v>
      </c>
      <c r="J453" s="64">
        <f>LEN(TRIM(Table22[[#This Row],[Product]]))</f>
        <v>10</v>
      </c>
      <c r="K453" s="64">
        <f>LEN(TRIM(Table22[[#This Row],[Sales Team]]))</f>
        <v>9</v>
      </c>
      <c r="L453" s="23">
        <v>81</v>
      </c>
      <c r="M453" s="65" t="str" cm="1">
        <f t="array" ref="M453">_xlfn.IFS(Table22[[#This Row],[Units Sold]]&lt;40,"Critical",Table22[[#This Row],[Units Sold]]&lt;=50,"Poor",Table22[[#This Row],[Units Sold]]&lt;=60,"Low",Table22[[#This Row],[Units Sold]]&lt;=80,"Average",Table22[[#This Row],[Units Sold]]&lt;=90,"High",Table22[[#This Row],[Units Sold]]&lt;=95,"Excellent",Table22[[#This Row],[Units Sold]]&gt;95,"Outstanding")</f>
        <v>High</v>
      </c>
      <c r="N453" s="29">
        <v>786.84</v>
      </c>
      <c r="O453" s="29">
        <v>63734.04</v>
      </c>
      <c r="P453" s="43">
        <f>IF(Table22[[#This Row],[Discount Applied]],Table22[[#This Row],[Total Sales (in USD)]]*(1-Table22[[#This Row],[Discount Percentage (%)]]/100),Table22[[#This Row],[Total Sales (in USD)]])</f>
        <v>63734.04</v>
      </c>
      <c r="Q453" s="66">
        <f>SQRT(AVERAGE((Table22[[#This Row],[Net Sales (after discount) (in USD)]]-AVERAGE(Table22[Net Sales (after discount) (in USD)]))^2))</f>
        <v>27222.679436235463</v>
      </c>
      <c r="R453" s="18" t="b">
        <v>1</v>
      </c>
      <c r="S453" s="40">
        <v>11.2</v>
      </c>
      <c r="T453" s="18" t="b">
        <v>0</v>
      </c>
      <c r="U453" s="25">
        <v>45136</v>
      </c>
      <c r="V453" s="63" t="str">
        <f>IF(MONTH(Table22[[#This Row],[Sales Date]])&lt;=3,"Q1",IF(MONTH(Table22[[#This Row],[Sales Date]])&lt;=6,"Q2",IF(MONTH(Table22[[#This Row],[Sales Date]])&lt;=9,"Q3","Q4")))</f>
        <v>Q3</v>
      </c>
      <c r="W453" s="64">
        <f>YEAR(Table22[[#This Row],[Sales Date]])</f>
        <v>2023</v>
      </c>
      <c r="X453" s="23">
        <v>18</v>
      </c>
      <c r="Y453" s="18" t="s">
        <v>41</v>
      </c>
      <c r="Z453" s="18" t="s">
        <v>42</v>
      </c>
      <c r="AA453" s="19" t="s">
        <v>36</v>
      </c>
    </row>
    <row r="454" spans="1:27" x14ac:dyDescent="0.25">
      <c r="A454" s="17" t="s">
        <v>1509</v>
      </c>
      <c r="B454" s="18" t="s">
        <v>66</v>
      </c>
      <c r="C454" s="63" t="str" cm="1">
        <f t="array" ref="C454">_xlfn.SWITCH(Table22[[#This Row],[Country]],"USA","North America","Canada","North America","Brazil","South America","China","Asia","Japan","Asia","India","Asia","France","Europe","Germany","Europe","UK","Europe","Australia","Oceania","South America")</f>
        <v>North America</v>
      </c>
      <c r="D454" s="18" t="s">
        <v>35</v>
      </c>
      <c r="E454" s="18" t="s">
        <v>33</v>
      </c>
      <c r="F454" s="18" t="s">
        <v>47</v>
      </c>
      <c r="G454" s="18" t="s">
        <v>48</v>
      </c>
      <c r="H454" s="64">
        <f>LEN(TRIM(Table22[[#This Row],[Country]]))</f>
        <v>6</v>
      </c>
      <c r="I454" s="64">
        <f>LEN(TRIM(Table22[[#This Row],[Continent]]))</f>
        <v>13</v>
      </c>
      <c r="J454" s="64">
        <f>LEN(TRIM(Table22[[#This Row],[Product]]))</f>
        <v>10</v>
      </c>
      <c r="K454" s="64">
        <f>LEN(TRIM(Table22[[#This Row],[Sales Team]]))</f>
        <v>9</v>
      </c>
      <c r="L454" s="23">
        <v>52</v>
      </c>
      <c r="M454" s="65" t="str" cm="1">
        <f t="array" ref="M454">_xlfn.IFS(Table22[[#This Row],[Units Sold]]&lt;40,"Critical",Table22[[#This Row],[Units Sold]]&lt;=50,"Poor",Table22[[#This Row],[Units Sold]]&lt;=60,"Low",Table22[[#This Row],[Units Sold]]&lt;=80,"Average",Table22[[#This Row],[Units Sold]]&lt;=90,"High",Table22[[#This Row],[Units Sold]]&lt;=95,"Excellent",Table22[[#This Row],[Units Sold]]&gt;95,"Outstanding")</f>
        <v>Low</v>
      </c>
      <c r="N454" s="29">
        <v>1225.25</v>
      </c>
      <c r="O454" s="29">
        <v>63713</v>
      </c>
      <c r="P454" s="43">
        <f>IF(Table22[[#This Row],[Discount Applied]],Table22[[#This Row],[Total Sales (in USD)]]*(1-Table22[[#This Row],[Discount Percentage (%)]]/100),Table22[[#This Row],[Total Sales (in USD)]])</f>
        <v>63713</v>
      </c>
      <c r="Q454" s="66">
        <f>SQRT(AVERAGE((Table22[[#This Row],[Net Sales (after discount) (in USD)]]-AVERAGE(Table22[Net Sales (after discount) (in USD)]))^2))</f>
        <v>27201.639436235462</v>
      </c>
      <c r="R454" s="18" t="b">
        <v>0</v>
      </c>
      <c r="S454" s="40">
        <v>4.87</v>
      </c>
      <c r="T454" s="18" t="b">
        <v>0</v>
      </c>
      <c r="U454" s="25">
        <v>45018</v>
      </c>
      <c r="V454" s="63" t="str">
        <f>IF(MONTH(Table22[[#This Row],[Sales Date]])&lt;=3,"Q1",IF(MONTH(Table22[[#This Row],[Sales Date]])&lt;=6,"Q2",IF(MONTH(Table22[[#This Row],[Sales Date]])&lt;=9,"Q3","Q4")))</f>
        <v>Q2</v>
      </c>
      <c r="W454" s="64">
        <f>YEAR(Table22[[#This Row],[Sales Date]])</f>
        <v>2023</v>
      </c>
      <c r="X454" s="23">
        <v>18</v>
      </c>
      <c r="Y454" s="18" t="s">
        <v>23</v>
      </c>
      <c r="Z454" s="18" t="s">
        <v>56</v>
      </c>
      <c r="AA454" s="19" t="s">
        <v>36</v>
      </c>
    </row>
    <row r="455" spans="1:27" x14ac:dyDescent="0.25">
      <c r="A455" s="17" t="s">
        <v>1962</v>
      </c>
      <c r="B455" s="18" t="s">
        <v>38</v>
      </c>
      <c r="C455" s="63" t="str" cm="1">
        <f t="array" ref="C455">_xlfn.SWITCH(Table22[[#This Row],[Country]],"USA","North America","Canada","North America","Brazil","South America","China","Asia","Japan","Asia","India","Asia","France","Europe","Germany","Europe","UK","Europe","Australia","Oceania","South America")</f>
        <v>Europe</v>
      </c>
      <c r="D455" s="18" t="s">
        <v>44</v>
      </c>
      <c r="E455" s="18" t="s">
        <v>39</v>
      </c>
      <c r="F455" s="18" t="s">
        <v>34</v>
      </c>
      <c r="G455" s="18" t="s">
        <v>40</v>
      </c>
      <c r="H455" s="64">
        <f>LEN(TRIM(Table22[[#This Row],[Country]]))</f>
        <v>6</v>
      </c>
      <c r="I455" s="64">
        <f>LEN(TRIM(Table22[[#This Row],[Continent]]))</f>
        <v>6</v>
      </c>
      <c r="J455" s="64">
        <f>LEN(TRIM(Table22[[#This Row],[Product]]))</f>
        <v>10</v>
      </c>
      <c r="K455" s="64">
        <f>LEN(TRIM(Table22[[#This Row],[Sales Team]]))</f>
        <v>10</v>
      </c>
      <c r="L455" s="23">
        <v>72</v>
      </c>
      <c r="M455" s="65" t="str" cm="1">
        <f t="array" ref="M455">_xlfn.IFS(Table22[[#This Row],[Units Sold]]&lt;40,"Critical",Table22[[#This Row],[Units Sold]]&lt;=50,"Poor",Table22[[#This Row],[Units Sold]]&lt;=60,"Low",Table22[[#This Row],[Units Sold]]&lt;=80,"Average",Table22[[#This Row],[Units Sold]]&lt;=90,"High",Table22[[#This Row],[Units Sold]]&lt;=95,"Excellent",Table22[[#This Row],[Units Sold]]&gt;95,"Outstanding")</f>
        <v>Average</v>
      </c>
      <c r="N455" s="29">
        <v>884.16</v>
      </c>
      <c r="O455" s="29">
        <v>63659.519999999997</v>
      </c>
      <c r="P455" s="43">
        <f>IF(Table22[[#This Row],[Discount Applied]],Table22[[#This Row],[Total Sales (in USD)]]*(1-Table22[[#This Row],[Discount Percentage (%)]]/100),Table22[[#This Row],[Total Sales (in USD)]])</f>
        <v>63659.519999999997</v>
      </c>
      <c r="Q455" s="66">
        <f>SQRT(AVERAGE((Table22[[#This Row],[Net Sales (after discount) (in USD)]]-AVERAGE(Table22[Net Sales (after discount) (in USD)]))^2))</f>
        <v>27148.159436235459</v>
      </c>
      <c r="R455" s="18" t="b">
        <v>0</v>
      </c>
      <c r="S455" s="40">
        <v>4.24</v>
      </c>
      <c r="T455" s="18" t="b">
        <v>0</v>
      </c>
      <c r="U455" s="25">
        <v>45169</v>
      </c>
      <c r="V455" s="63" t="str">
        <f>IF(MONTH(Table22[[#This Row],[Sales Date]])&lt;=3,"Q1",IF(MONTH(Table22[[#This Row],[Sales Date]])&lt;=6,"Q2",IF(MONTH(Table22[[#This Row],[Sales Date]])&lt;=9,"Q3","Q4")))</f>
        <v>Q3</v>
      </c>
      <c r="W455" s="64">
        <f>YEAR(Table22[[#This Row],[Sales Date]])</f>
        <v>2023</v>
      </c>
      <c r="X455" s="23">
        <v>38</v>
      </c>
      <c r="Y455" s="18" t="s">
        <v>49</v>
      </c>
      <c r="Z455" s="18" t="s">
        <v>56</v>
      </c>
      <c r="AA455" s="19" t="s">
        <v>36</v>
      </c>
    </row>
    <row r="456" spans="1:27" x14ac:dyDescent="0.25">
      <c r="A456" s="17" t="s">
        <v>1161</v>
      </c>
      <c r="B456" s="18" t="s">
        <v>66</v>
      </c>
      <c r="C456" s="63" t="str" cm="1">
        <f t="array" ref="C456">_xlfn.SWITCH(Table22[[#This Row],[Country]],"USA","North America","Canada","North America","Brazil","South America","China","Asia","Japan","Asia","India","Asia","France","Europe","Germany","Europe","UK","Europe","Australia","Oceania","South America")</f>
        <v>North America</v>
      </c>
      <c r="D456" s="18" t="s">
        <v>35</v>
      </c>
      <c r="E456" s="18" t="s">
        <v>19</v>
      </c>
      <c r="F456" s="18" t="s">
        <v>47</v>
      </c>
      <c r="G456" s="18" t="s">
        <v>22</v>
      </c>
      <c r="H456" s="64">
        <f>LEN(TRIM(Table22[[#This Row],[Country]]))</f>
        <v>6</v>
      </c>
      <c r="I456" s="64">
        <f>LEN(TRIM(Table22[[#This Row],[Continent]]))</f>
        <v>13</v>
      </c>
      <c r="J456" s="64">
        <f>LEN(TRIM(Table22[[#This Row],[Product]]))</f>
        <v>6</v>
      </c>
      <c r="K456" s="64">
        <f>LEN(TRIM(Table22[[#This Row],[Sales Team]]))</f>
        <v>10</v>
      </c>
      <c r="L456" s="23">
        <v>70</v>
      </c>
      <c r="M456" s="65" t="str" cm="1">
        <f t="array" ref="M456">_xlfn.IFS(Table22[[#This Row],[Units Sold]]&lt;40,"Critical",Table22[[#This Row],[Units Sold]]&lt;=50,"Poor",Table22[[#This Row],[Units Sold]]&lt;=60,"Low",Table22[[#This Row],[Units Sold]]&lt;=80,"Average",Table22[[#This Row],[Units Sold]]&lt;=90,"High",Table22[[#This Row],[Units Sold]]&lt;=95,"Excellent",Table22[[#This Row],[Units Sold]]&gt;95,"Outstanding")</f>
        <v>Average</v>
      </c>
      <c r="N456" s="29">
        <v>909.04</v>
      </c>
      <c r="O456" s="29">
        <v>63632.800000000003</v>
      </c>
      <c r="P456" s="43">
        <f>IF(Table22[[#This Row],[Discount Applied]],Table22[[#This Row],[Total Sales (in USD)]]*(1-Table22[[#This Row],[Discount Percentage (%)]]/100),Table22[[#This Row],[Total Sales (in USD)]])</f>
        <v>63632.800000000003</v>
      </c>
      <c r="Q456" s="66">
        <f>SQRT(AVERAGE((Table22[[#This Row],[Net Sales (after discount) (in USD)]]-AVERAGE(Table22[Net Sales (after discount) (in USD)]))^2))</f>
        <v>27121.439436235465</v>
      </c>
      <c r="R456" s="18" t="b">
        <v>0</v>
      </c>
      <c r="S456" s="40">
        <v>7.78</v>
      </c>
      <c r="T456" s="18" t="b">
        <v>0</v>
      </c>
      <c r="U456" s="25">
        <v>45536</v>
      </c>
      <c r="V456" s="63" t="str">
        <f>IF(MONTH(Table22[[#This Row],[Sales Date]])&lt;=3,"Q1",IF(MONTH(Table22[[#This Row],[Sales Date]])&lt;=6,"Q2",IF(MONTH(Table22[[#This Row],[Sales Date]])&lt;=9,"Q3","Q4")))</f>
        <v>Q3</v>
      </c>
      <c r="W456" s="64">
        <f>YEAR(Table22[[#This Row],[Sales Date]])</f>
        <v>2024</v>
      </c>
      <c r="X456" s="23">
        <v>64</v>
      </c>
      <c r="Y456" s="18" t="s">
        <v>49</v>
      </c>
      <c r="Z456" s="18" t="s">
        <v>56</v>
      </c>
      <c r="AA456" s="19" t="s">
        <v>36</v>
      </c>
    </row>
    <row r="457" spans="1:27" x14ac:dyDescent="0.25">
      <c r="A457" s="17" t="s">
        <v>1372</v>
      </c>
      <c r="B457" s="18" t="s">
        <v>72</v>
      </c>
      <c r="C457" s="63" t="str" cm="1">
        <f t="array" ref="C457">_xlfn.SWITCH(Table22[[#This Row],[Country]],"USA","North America","Canada","North America","Brazil","South America","China","Asia","Japan","Asia","India","Asia","France","Europe","Germany","Europe","UK","Europe","Australia","Oceania","South America")</f>
        <v>North America</v>
      </c>
      <c r="D457" s="18" t="s">
        <v>35</v>
      </c>
      <c r="E457" s="18" t="s">
        <v>39</v>
      </c>
      <c r="F457" s="18" t="s">
        <v>64</v>
      </c>
      <c r="G457" s="18" t="s">
        <v>48</v>
      </c>
      <c r="H457" s="64">
        <f>LEN(TRIM(Table22[[#This Row],[Country]]))</f>
        <v>3</v>
      </c>
      <c r="I457" s="64">
        <f>LEN(TRIM(Table22[[#This Row],[Continent]]))</f>
        <v>13</v>
      </c>
      <c r="J457" s="64">
        <f>LEN(TRIM(Table22[[#This Row],[Product]]))</f>
        <v>10</v>
      </c>
      <c r="K457" s="64">
        <f>LEN(TRIM(Table22[[#This Row],[Sales Team]]))</f>
        <v>9</v>
      </c>
      <c r="L457" s="23">
        <v>53</v>
      </c>
      <c r="M457" s="65" t="str" cm="1">
        <f t="array" ref="M457">_xlfn.IFS(Table22[[#This Row],[Units Sold]]&lt;40,"Critical",Table22[[#This Row],[Units Sold]]&lt;=50,"Poor",Table22[[#This Row],[Units Sold]]&lt;=60,"Low",Table22[[#This Row],[Units Sold]]&lt;=80,"Average",Table22[[#This Row],[Units Sold]]&lt;=90,"High",Table22[[#This Row],[Units Sold]]&lt;=95,"Excellent",Table22[[#This Row],[Units Sold]]&gt;95,"Outstanding")</f>
        <v>Low</v>
      </c>
      <c r="N457" s="29">
        <v>1200.28</v>
      </c>
      <c r="O457" s="29">
        <v>63614.84</v>
      </c>
      <c r="P457" s="43">
        <f>IF(Table22[[#This Row],[Discount Applied]],Table22[[#This Row],[Total Sales (in USD)]]*(1-Table22[[#This Row],[Discount Percentage (%)]]/100),Table22[[#This Row],[Total Sales (in USD)]])</f>
        <v>57418.754583999995</v>
      </c>
      <c r="Q457" s="66">
        <f>SQRT(AVERAGE((Table22[[#This Row],[Net Sales (after discount) (in USD)]]-AVERAGE(Table22[Net Sales (after discount) (in USD)]))^2))</f>
        <v>20907.394020235457</v>
      </c>
      <c r="R457" s="18" t="b">
        <v>1</v>
      </c>
      <c r="S457" s="40">
        <v>9.74</v>
      </c>
      <c r="T457" s="18" t="b">
        <v>1</v>
      </c>
      <c r="U457" s="25">
        <v>45005</v>
      </c>
      <c r="V457" s="63" t="str">
        <f>IF(MONTH(Table22[[#This Row],[Sales Date]])&lt;=3,"Q1",IF(MONTH(Table22[[#This Row],[Sales Date]])&lt;=6,"Q2",IF(MONTH(Table22[[#This Row],[Sales Date]])&lt;=9,"Q3","Q4")))</f>
        <v>Q1</v>
      </c>
      <c r="W457" s="64">
        <f>YEAR(Table22[[#This Row],[Sales Date]])</f>
        <v>2023</v>
      </c>
      <c r="X457" s="23">
        <v>25</v>
      </c>
      <c r="Y457" s="18" t="s">
        <v>23</v>
      </c>
      <c r="Z457" s="18" t="s">
        <v>56</v>
      </c>
      <c r="AA457" s="19" t="s">
        <v>36</v>
      </c>
    </row>
    <row r="458" spans="1:27" x14ac:dyDescent="0.25">
      <c r="A458" s="17" t="s">
        <v>681</v>
      </c>
      <c r="B458" s="18" t="s">
        <v>66</v>
      </c>
      <c r="C458" s="63" t="str" cm="1">
        <f t="array" ref="C458">_xlfn.SWITCH(Table22[[#This Row],[Country]],"USA","North America","Canada","North America","Brazil","South America","China","Asia","Japan","Asia","India","Asia","France","Europe","Germany","Europe","UK","Europe","Australia","Oceania","South America")</f>
        <v>North America</v>
      </c>
      <c r="D458" s="18" t="s">
        <v>21</v>
      </c>
      <c r="E458" s="18" t="s">
        <v>39</v>
      </c>
      <c r="F458" s="18" t="s">
        <v>47</v>
      </c>
      <c r="G458" s="18" t="s">
        <v>40</v>
      </c>
      <c r="H458" s="64">
        <f>LEN(TRIM(Table22[[#This Row],[Country]]))</f>
        <v>6</v>
      </c>
      <c r="I458" s="64">
        <f>LEN(TRIM(Table22[[#This Row],[Continent]]))</f>
        <v>13</v>
      </c>
      <c r="J458" s="64">
        <f>LEN(TRIM(Table22[[#This Row],[Product]]))</f>
        <v>10</v>
      </c>
      <c r="K458" s="64">
        <f>LEN(TRIM(Table22[[#This Row],[Sales Team]]))</f>
        <v>10</v>
      </c>
      <c r="L458" s="23">
        <v>43</v>
      </c>
      <c r="M458" s="65" t="str" cm="1">
        <f t="array" ref="M458">_xlfn.IFS(Table22[[#This Row],[Units Sold]]&lt;40,"Critical",Table22[[#This Row],[Units Sold]]&lt;=50,"Poor",Table22[[#This Row],[Units Sold]]&lt;=60,"Low",Table22[[#This Row],[Units Sold]]&lt;=80,"Average",Table22[[#This Row],[Units Sold]]&lt;=90,"High",Table22[[#This Row],[Units Sold]]&lt;=95,"Excellent",Table22[[#This Row],[Units Sold]]&gt;95,"Outstanding")</f>
        <v>Poor</v>
      </c>
      <c r="N458" s="29">
        <v>1478.19</v>
      </c>
      <c r="O458" s="29">
        <v>63562.17</v>
      </c>
      <c r="P458" s="43">
        <f>IF(Table22[[#This Row],[Discount Applied]],Table22[[#This Row],[Total Sales (in USD)]]*(1-Table22[[#This Row],[Discount Percentage (%)]]/100),Table22[[#This Row],[Total Sales (in USD)]])</f>
        <v>61248.507012000002</v>
      </c>
      <c r="Q458" s="66">
        <f>SQRT(AVERAGE((Table22[[#This Row],[Net Sales (after discount) (in USD)]]-AVERAGE(Table22[Net Sales (after discount) (in USD)]))^2))</f>
        <v>24737.146448235464</v>
      </c>
      <c r="R458" s="18" t="b">
        <v>0</v>
      </c>
      <c r="S458" s="40">
        <v>3.64</v>
      </c>
      <c r="T458" s="18" t="b">
        <v>1</v>
      </c>
      <c r="U458" s="25">
        <v>45520</v>
      </c>
      <c r="V458" s="63" t="str">
        <f>IF(MONTH(Table22[[#This Row],[Sales Date]])&lt;=3,"Q1",IF(MONTH(Table22[[#This Row],[Sales Date]])&lt;=6,"Q2",IF(MONTH(Table22[[#This Row],[Sales Date]])&lt;=9,"Q3","Q4")))</f>
        <v>Q3</v>
      </c>
      <c r="W458" s="64">
        <f>YEAR(Table22[[#This Row],[Sales Date]])</f>
        <v>2024</v>
      </c>
      <c r="X458" s="23">
        <v>56</v>
      </c>
      <c r="Y458" s="18" t="s">
        <v>23</v>
      </c>
      <c r="Z458" s="18" t="s">
        <v>24</v>
      </c>
      <c r="AA458" s="19" t="s">
        <v>36</v>
      </c>
    </row>
    <row r="459" spans="1:27" x14ac:dyDescent="0.25">
      <c r="A459" s="17" t="s">
        <v>1483</v>
      </c>
      <c r="B459" s="18" t="s">
        <v>51</v>
      </c>
      <c r="C459" s="63" t="str" cm="1">
        <f t="array" ref="C459">_xlfn.SWITCH(Table22[[#This Row],[Country]],"USA","North America","Canada","North America","Brazil","South America","China","Asia","Japan","Asia","India","Asia","France","Europe","Germany","Europe","UK","Europe","Australia","Oceania","South America")</f>
        <v>Europe</v>
      </c>
      <c r="D459" s="18" t="s">
        <v>35</v>
      </c>
      <c r="E459" s="18" t="s">
        <v>19</v>
      </c>
      <c r="F459" s="18" t="s">
        <v>52</v>
      </c>
      <c r="G459" s="18" t="s">
        <v>48</v>
      </c>
      <c r="H459" s="64">
        <f>LEN(TRIM(Table22[[#This Row],[Country]]))</f>
        <v>2</v>
      </c>
      <c r="I459" s="64">
        <f>LEN(TRIM(Table22[[#This Row],[Continent]]))</f>
        <v>6</v>
      </c>
      <c r="J459" s="64">
        <f>LEN(TRIM(Table22[[#This Row],[Product]]))</f>
        <v>6</v>
      </c>
      <c r="K459" s="64">
        <f>LEN(TRIM(Table22[[#This Row],[Sales Team]]))</f>
        <v>9</v>
      </c>
      <c r="L459" s="23">
        <v>77</v>
      </c>
      <c r="M459" s="65" t="str" cm="1">
        <f t="array" ref="M459">_xlfn.IFS(Table22[[#This Row],[Units Sold]]&lt;40,"Critical",Table22[[#This Row],[Units Sold]]&lt;=50,"Poor",Table22[[#This Row],[Units Sold]]&lt;=60,"Low",Table22[[#This Row],[Units Sold]]&lt;=80,"Average",Table22[[#This Row],[Units Sold]]&lt;=90,"High",Table22[[#This Row],[Units Sold]]&lt;=95,"Excellent",Table22[[#This Row],[Units Sold]]&gt;95,"Outstanding")</f>
        <v>Average</v>
      </c>
      <c r="N459" s="29">
        <v>824.86</v>
      </c>
      <c r="O459" s="29">
        <v>63514.22</v>
      </c>
      <c r="P459" s="43">
        <f>IF(Table22[[#This Row],[Discount Applied]],Table22[[#This Row],[Total Sales (in USD)]]*(1-Table22[[#This Row],[Discount Percentage (%)]]/100),Table22[[#This Row],[Total Sales (in USD)]])</f>
        <v>63514.22</v>
      </c>
      <c r="Q459" s="66">
        <f>SQRT(AVERAGE((Table22[[#This Row],[Net Sales (after discount) (in USD)]]-AVERAGE(Table22[Net Sales (after discount) (in USD)]))^2))</f>
        <v>27002.859436235463</v>
      </c>
      <c r="R459" s="18" t="b">
        <v>1</v>
      </c>
      <c r="S459" s="40">
        <v>11.81</v>
      </c>
      <c r="T459" s="18" t="b">
        <v>0</v>
      </c>
      <c r="U459" s="25">
        <v>45184</v>
      </c>
      <c r="V459" s="63" t="str">
        <f>IF(MONTH(Table22[[#This Row],[Sales Date]])&lt;=3,"Q1",IF(MONTH(Table22[[#This Row],[Sales Date]])&lt;=6,"Q2",IF(MONTH(Table22[[#This Row],[Sales Date]])&lt;=9,"Q3","Q4")))</f>
        <v>Q3</v>
      </c>
      <c r="W459" s="64">
        <f>YEAR(Table22[[#This Row],[Sales Date]])</f>
        <v>2023</v>
      </c>
      <c r="X459" s="23">
        <v>18</v>
      </c>
      <c r="Y459" s="18" t="s">
        <v>41</v>
      </c>
      <c r="Z459" s="18" t="s">
        <v>56</v>
      </c>
      <c r="AA459" s="19" t="s">
        <v>36</v>
      </c>
    </row>
    <row r="460" spans="1:27" x14ac:dyDescent="0.25">
      <c r="A460" s="17" t="s">
        <v>1535</v>
      </c>
      <c r="B460" s="18" t="s">
        <v>66</v>
      </c>
      <c r="C460" s="63" t="str" cm="1">
        <f t="array" ref="C460">_xlfn.SWITCH(Table22[[#This Row],[Country]],"USA","North America","Canada","North America","Brazil","South America","China","Asia","Japan","Asia","India","Asia","France","Europe","Germany","Europe","UK","Europe","Australia","Oceania","South America")</f>
        <v>North America</v>
      </c>
      <c r="D460" s="18" t="s">
        <v>28</v>
      </c>
      <c r="E460" s="18" t="s">
        <v>19</v>
      </c>
      <c r="F460" s="18" t="s">
        <v>52</v>
      </c>
      <c r="G460" s="18" t="s">
        <v>22</v>
      </c>
      <c r="H460" s="64">
        <f>LEN(TRIM(Table22[[#This Row],[Country]]))</f>
        <v>6</v>
      </c>
      <c r="I460" s="64">
        <f>LEN(TRIM(Table22[[#This Row],[Continent]]))</f>
        <v>13</v>
      </c>
      <c r="J460" s="64">
        <f>LEN(TRIM(Table22[[#This Row],[Product]]))</f>
        <v>6</v>
      </c>
      <c r="K460" s="64">
        <f>LEN(TRIM(Table22[[#This Row],[Sales Team]]))</f>
        <v>10</v>
      </c>
      <c r="L460" s="23">
        <v>53</v>
      </c>
      <c r="M460" s="65" t="str" cm="1">
        <f t="array" ref="M460">_xlfn.IFS(Table22[[#This Row],[Units Sold]]&lt;40,"Critical",Table22[[#This Row],[Units Sold]]&lt;=50,"Poor",Table22[[#This Row],[Units Sold]]&lt;=60,"Low",Table22[[#This Row],[Units Sold]]&lt;=80,"Average",Table22[[#This Row],[Units Sold]]&lt;=90,"High",Table22[[#This Row],[Units Sold]]&lt;=95,"Excellent",Table22[[#This Row],[Units Sold]]&gt;95,"Outstanding")</f>
        <v>Low</v>
      </c>
      <c r="N460" s="29">
        <v>1197.24</v>
      </c>
      <c r="O460" s="29">
        <v>63453.72</v>
      </c>
      <c r="P460" s="43">
        <f>IF(Table22[[#This Row],[Discount Applied]],Table22[[#This Row],[Total Sales (in USD)]]*(1-Table22[[#This Row],[Discount Percentage (%)]]/100),Table22[[#This Row],[Total Sales (in USD)]])</f>
        <v>63453.72</v>
      </c>
      <c r="Q460" s="66">
        <f>SQRT(AVERAGE((Table22[[#This Row],[Net Sales (after discount) (in USD)]]-AVERAGE(Table22[Net Sales (after discount) (in USD)]))^2))</f>
        <v>26942.359436235463</v>
      </c>
      <c r="R460" s="18" t="b">
        <v>0</v>
      </c>
      <c r="S460" s="40">
        <v>22.45</v>
      </c>
      <c r="T460" s="18" t="b">
        <v>0</v>
      </c>
      <c r="U460" s="25">
        <v>45234</v>
      </c>
      <c r="V460" s="63" t="str">
        <f>IF(MONTH(Table22[[#This Row],[Sales Date]])&lt;=3,"Q1",IF(MONTH(Table22[[#This Row],[Sales Date]])&lt;=6,"Q2",IF(MONTH(Table22[[#This Row],[Sales Date]])&lt;=9,"Q3","Q4")))</f>
        <v>Q4</v>
      </c>
      <c r="W460" s="64">
        <f>YEAR(Table22[[#This Row],[Sales Date]])</f>
        <v>2023</v>
      </c>
      <c r="X460" s="23">
        <v>19</v>
      </c>
      <c r="Y460" s="18" t="s">
        <v>41</v>
      </c>
      <c r="Z460" s="18" t="s">
        <v>24</v>
      </c>
      <c r="AA460" s="19" t="s">
        <v>25</v>
      </c>
    </row>
    <row r="461" spans="1:27" x14ac:dyDescent="0.25">
      <c r="A461" s="17" t="s">
        <v>1108</v>
      </c>
      <c r="B461" s="18" t="s">
        <v>27</v>
      </c>
      <c r="C461" s="63" t="str" cm="1">
        <f t="array" ref="C461">_xlfn.SWITCH(Table22[[#This Row],[Country]],"USA","North America","Canada","North America","Brazil","South America","China","Asia","Japan","Asia","India","Asia","France","Europe","Germany","Europe","UK","Europe","Australia","Oceania","South America")</f>
        <v>Europe</v>
      </c>
      <c r="D461" s="18" t="s">
        <v>21</v>
      </c>
      <c r="E461" s="18" t="s">
        <v>39</v>
      </c>
      <c r="F461" s="18" t="s">
        <v>64</v>
      </c>
      <c r="G461" s="18" t="s">
        <v>48</v>
      </c>
      <c r="H461" s="64">
        <f>LEN(TRIM(Table22[[#This Row],[Country]]))</f>
        <v>7</v>
      </c>
      <c r="I461" s="64">
        <f>LEN(TRIM(Table22[[#This Row],[Continent]]))</f>
        <v>6</v>
      </c>
      <c r="J461" s="64">
        <f>LEN(TRIM(Table22[[#This Row],[Product]]))</f>
        <v>10</v>
      </c>
      <c r="K461" s="64">
        <f>LEN(TRIM(Table22[[#This Row],[Sales Team]]))</f>
        <v>9</v>
      </c>
      <c r="L461" s="23">
        <v>46</v>
      </c>
      <c r="M461" s="65" t="str" cm="1">
        <f t="array" ref="M461">_xlfn.IFS(Table22[[#This Row],[Units Sold]]&lt;40,"Critical",Table22[[#This Row],[Units Sold]]&lt;=50,"Poor",Table22[[#This Row],[Units Sold]]&lt;=60,"Low",Table22[[#This Row],[Units Sold]]&lt;=80,"Average",Table22[[#This Row],[Units Sold]]&lt;=90,"High",Table22[[#This Row],[Units Sold]]&lt;=95,"Excellent",Table22[[#This Row],[Units Sold]]&gt;95,"Outstanding")</f>
        <v>Poor</v>
      </c>
      <c r="N461" s="29">
        <v>1379.37</v>
      </c>
      <c r="O461" s="29">
        <v>63451.02</v>
      </c>
      <c r="P461" s="43">
        <f>IF(Table22[[#This Row],[Discount Applied]],Table22[[#This Row],[Total Sales (in USD)]]*(1-Table22[[#This Row],[Discount Percentage (%)]]/100),Table22[[#This Row],[Total Sales (in USD)]])</f>
        <v>63451.02</v>
      </c>
      <c r="Q461" s="66">
        <f>SQRT(AVERAGE((Table22[[#This Row],[Net Sales (after discount) (in USD)]]-AVERAGE(Table22[Net Sales (after discount) (in USD)]))^2))</f>
        <v>26939.659436235459</v>
      </c>
      <c r="R461" s="18" t="b">
        <v>0</v>
      </c>
      <c r="S461" s="40">
        <v>24.68</v>
      </c>
      <c r="T461" s="18" t="b">
        <v>0</v>
      </c>
      <c r="U461" s="25">
        <v>45346</v>
      </c>
      <c r="V461" s="63" t="str">
        <f>IF(MONTH(Table22[[#This Row],[Sales Date]])&lt;=3,"Q1",IF(MONTH(Table22[[#This Row],[Sales Date]])&lt;=6,"Q2",IF(MONTH(Table22[[#This Row],[Sales Date]])&lt;=9,"Q3","Q4")))</f>
        <v>Q1</v>
      </c>
      <c r="W461" s="64">
        <f>YEAR(Table22[[#This Row],[Sales Date]])</f>
        <v>2024</v>
      </c>
      <c r="X461" s="23">
        <v>31</v>
      </c>
      <c r="Y461" s="18" t="s">
        <v>41</v>
      </c>
      <c r="Z461" s="18" t="s">
        <v>30</v>
      </c>
      <c r="AA461" s="19" t="s">
        <v>25</v>
      </c>
    </row>
    <row r="462" spans="1:27" x14ac:dyDescent="0.25">
      <c r="A462" s="17" t="s">
        <v>673</v>
      </c>
      <c r="B462" s="18" t="s">
        <v>62</v>
      </c>
      <c r="C462" s="63" t="str" cm="1">
        <f t="array" ref="C462">_xlfn.SWITCH(Table22[[#This Row],[Country]],"USA","North America","Canada","North America","Brazil","South America","China","Asia","Japan","Asia","India","Asia","France","Europe","Germany","Europe","UK","Europe","Australia","Oceania","South America")</f>
        <v>Oceania</v>
      </c>
      <c r="D462" s="18" t="s">
        <v>28</v>
      </c>
      <c r="E462" s="18" t="s">
        <v>19</v>
      </c>
      <c r="F462" s="18" t="s">
        <v>47</v>
      </c>
      <c r="G462" s="18" t="s">
        <v>29</v>
      </c>
      <c r="H462" s="64">
        <f>LEN(TRIM(Table22[[#This Row],[Country]]))</f>
        <v>9</v>
      </c>
      <c r="I462" s="64">
        <f>LEN(TRIM(Table22[[#This Row],[Continent]]))</f>
        <v>7</v>
      </c>
      <c r="J462" s="64">
        <f>LEN(TRIM(Table22[[#This Row],[Product]]))</f>
        <v>6</v>
      </c>
      <c r="K462" s="64">
        <f>LEN(TRIM(Table22[[#This Row],[Sales Team]]))</f>
        <v>10</v>
      </c>
      <c r="L462" s="23">
        <v>62</v>
      </c>
      <c r="M462" s="65" t="str" cm="1">
        <f t="array" ref="M462">_xlfn.IFS(Table22[[#This Row],[Units Sold]]&lt;40,"Critical",Table22[[#This Row],[Units Sold]]&lt;=50,"Poor",Table22[[#This Row],[Units Sold]]&lt;=60,"Low",Table22[[#This Row],[Units Sold]]&lt;=80,"Average",Table22[[#This Row],[Units Sold]]&lt;=90,"High",Table22[[#This Row],[Units Sold]]&lt;=95,"Excellent",Table22[[#This Row],[Units Sold]]&gt;95,"Outstanding")</f>
        <v>Average</v>
      </c>
      <c r="N462" s="29">
        <v>1020.42</v>
      </c>
      <c r="O462" s="29">
        <v>63266.04</v>
      </c>
      <c r="P462" s="43">
        <f>IF(Table22[[#This Row],[Discount Applied]],Table22[[#This Row],[Total Sales (in USD)]]*(1-Table22[[#This Row],[Discount Percentage (%)]]/100),Table22[[#This Row],[Total Sales (in USD)]])</f>
        <v>49233.632328</v>
      </c>
      <c r="Q462" s="66">
        <f>SQRT(AVERAGE((Table22[[#This Row],[Net Sales (after discount) (in USD)]]-AVERAGE(Table22[Net Sales (after discount) (in USD)]))^2))</f>
        <v>12722.271764235462</v>
      </c>
      <c r="R462" s="18" t="b">
        <v>1</v>
      </c>
      <c r="S462" s="40">
        <v>22.18</v>
      </c>
      <c r="T462" s="18" t="b">
        <v>1</v>
      </c>
      <c r="U462" s="25">
        <v>45223</v>
      </c>
      <c r="V462" s="63" t="str">
        <f>IF(MONTH(Table22[[#This Row],[Sales Date]])&lt;=3,"Q1",IF(MONTH(Table22[[#This Row],[Sales Date]])&lt;=6,"Q2",IF(MONTH(Table22[[#This Row],[Sales Date]])&lt;=9,"Q3","Q4")))</f>
        <v>Q4</v>
      </c>
      <c r="W462" s="64">
        <f>YEAR(Table22[[#This Row],[Sales Date]])</f>
        <v>2023</v>
      </c>
      <c r="X462" s="23">
        <v>21</v>
      </c>
      <c r="Y462" s="18" t="s">
        <v>41</v>
      </c>
      <c r="Z462" s="18" t="s">
        <v>42</v>
      </c>
      <c r="AA462" s="19" t="s">
        <v>25</v>
      </c>
    </row>
    <row r="463" spans="1:27" x14ac:dyDescent="0.25">
      <c r="A463" s="17" t="s">
        <v>1221</v>
      </c>
      <c r="B463" s="18" t="s">
        <v>46</v>
      </c>
      <c r="C463" s="63" t="str" cm="1">
        <f t="array" ref="C463">_xlfn.SWITCH(Table22[[#This Row],[Country]],"USA","North America","Canada","North America","Brazil","South America","China","Asia","Japan","Asia","India","Asia","France","Europe","Germany","Europe","UK","Europe","Australia","Oceania","South America")</f>
        <v>South America</v>
      </c>
      <c r="D463" s="18" t="s">
        <v>21</v>
      </c>
      <c r="E463" s="18" t="s">
        <v>39</v>
      </c>
      <c r="F463" s="18" t="s">
        <v>52</v>
      </c>
      <c r="G463" s="18" t="s">
        <v>48</v>
      </c>
      <c r="H463" s="64">
        <f>LEN(TRIM(Table22[[#This Row],[Country]]))</f>
        <v>6</v>
      </c>
      <c r="I463" s="64">
        <f>LEN(TRIM(Table22[[#This Row],[Continent]]))</f>
        <v>13</v>
      </c>
      <c r="J463" s="64">
        <f>LEN(TRIM(Table22[[#This Row],[Product]]))</f>
        <v>10</v>
      </c>
      <c r="K463" s="64">
        <f>LEN(TRIM(Table22[[#This Row],[Sales Team]]))</f>
        <v>9</v>
      </c>
      <c r="L463" s="23">
        <v>50</v>
      </c>
      <c r="M463" s="65" t="str" cm="1">
        <f t="array" ref="M463">_xlfn.IFS(Table22[[#This Row],[Units Sold]]&lt;40,"Critical",Table22[[#This Row],[Units Sold]]&lt;=50,"Poor",Table22[[#This Row],[Units Sold]]&lt;=60,"Low",Table22[[#This Row],[Units Sold]]&lt;=80,"Average",Table22[[#This Row],[Units Sold]]&lt;=90,"High",Table22[[#This Row],[Units Sold]]&lt;=95,"Excellent",Table22[[#This Row],[Units Sold]]&gt;95,"Outstanding")</f>
        <v>Poor</v>
      </c>
      <c r="N463" s="29">
        <v>1261.8</v>
      </c>
      <c r="O463" s="29">
        <v>63090</v>
      </c>
      <c r="P463" s="43">
        <f>IF(Table22[[#This Row],[Discount Applied]],Table22[[#This Row],[Total Sales (in USD)]]*(1-Table22[[#This Row],[Discount Percentage (%)]]/100),Table22[[#This Row],[Total Sales (in USD)]])</f>
        <v>54964.008000000002</v>
      </c>
      <c r="Q463" s="66">
        <f>SQRT(AVERAGE((Table22[[#This Row],[Net Sales (after discount) (in USD)]]-AVERAGE(Table22[Net Sales (after discount) (in USD)]))^2))</f>
        <v>18452.647436235464</v>
      </c>
      <c r="R463" s="18" t="b">
        <v>1</v>
      </c>
      <c r="S463" s="40">
        <v>12.88</v>
      </c>
      <c r="T463" s="18" t="b">
        <v>1</v>
      </c>
      <c r="U463" s="25">
        <v>45455</v>
      </c>
      <c r="V463" s="63" t="str">
        <f>IF(MONTH(Table22[[#This Row],[Sales Date]])&lt;=3,"Q1",IF(MONTH(Table22[[#This Row],[Sales Date]])&lt;=6,"Q2",IF(MONTH(Table22[[#This Row],[Sales Date]])&lt;=9,"Q3","Q4")))</f>
        <v>Q2</v>
      </c>
      <c r="W463" s="64">
        <f>YEAR(Table22[[#This Row],[Sales Date]])</f>
        <v>2024</v>
      </c>
      <c r="X463" s="23">
        <v>52</v>
      </c>
      <c r="Y463" s="18" t="s">
        <v>41</v>
      </c>
      <c r="Z463" s="18" t="s">
        <v>24</v>
      </c>
      <c r="AA463" s="19" t="s">
        <v>25</v>
      </c>
    </row>
    <row r="464" spans="1:27" x14ac:dyDescent="0.25">
      <c r="A464" s="17" t="s">
        <v>1988</v>
      </c>
      <c r="B464" s="18" t="s">
        <v>27</v>
      </c>
      <c r="C464" s="63" t="str" cm="1">
        <f t="array" ref="C464">_xlfn.SWITCH(Table22[[#This Row],[Country]],"USA","North America","Canada","North America","Brazil","South America","China","Asia","Japan","Asia","India","Asia","France","Europe","Germany","Europe","UK","Europe","Australia","Oceania","South America")</f>
        <v>Europe</v>
      </c>
      <c r="D464" s="18" t="s">
        <v>35</v>
      </c>
      <c r="E464" s="18" t="s">
        <v>33</v>
      </c>
      <c r="F464" s="18" t="s">
        <v>20</v>
      </c>
      <c r="G464" s="18" t="s">
        <v>48</v>
      </c>
      <c r="H464" s="64">
        <f>LEN(TRIM(Table22[[#This Row],[Country]]))</f>
        <v>7</v>
      </c>
      <c r="I464" s="64">
        <f>LEN(TRIM(Table22[[#This Row],[Continent]]))</f>
        <v>6</v>
      </c>
      <c r="J464" s="64">
        <f>LEN(TRIM(Table22[[#This Row],[Product]]))</f>
        <v>10</v>
      </c>
      <c r="K464" s="64">
        <f>LEN(TRIM(Table22[[#This Row],[Sales Team]]))</f>
        <v>9</v>
      </c>
      <c r="L464" s="23">
        <v>71</v>
      </c>
      <c r="M464" s="65" t="str" cm="1">
        <f t="array" ref="M464">_xlfn.IFS(Table22[[#This Row],[Units Sold]]&lt;40,"Critical",Table22[[#This Row],[Units Sold]]&lt;=50,"Poor",Table22[[#This Row],[Units Sold]]&lt;=60,"Low",Table22[[#This Row],[Units Sold]]&lt;=80,"Average",Table22[[#This Row],[Units Sold]]&lt;=90,"High",Table22[[#This Row],[Units Sold]]&lt;=95,"Excellent",Table22[[#This Row],[Units Sold]]&gt;95,"Outstanding")</f>
        <v>Average</v>
      </c>
      <c r="N464" s="29">
        <v>884.05</v>
      </c>
      <c r="O464" s="29">
        <v>62767.55</v>
      </c>
      <c r="P464" s="43">
        <f>IF(Table22[[#This Row],[Discount Applied]],Table22[[#This Row],[Total Sales (in USD)]]*(1-Table22[[#This Row],[Discount Percentage (%)]]/100),Table22[[#This Row],[Total Sales (in USD)]])</f>
        <v>62767.55</v>
      </c>
      <c r="Q464" s="66">
        <f>SQRT(AVERAGE((Table22[[#This Row],[Net Sales (after discount) (in USD)]]-AVERAGE(Table22[Net Sales (after discount) (in USD)]))^2))</f>
        <v>26256.189436235465</v>
      </c>
      <c r="R464" s="18" t="b">
        <v>0</v>
      </c>
      <c r="S464" s="40">
        <v>24.21</v>
      </c>
      <c r="T464" s="18" t="b">
        <v>0</v>
      </c>
      <c r="U464" s="25">
        <v>44957</v>
      </c>
      <c r="V464" s="63" t="str">
        <f>IF(MONTH(Table22[[#This Row],[Sales Date]])&lt;=3,"Q1",IF(MONTH(Table22[[#This Row],[Sales Date]])&lt;=6,"Q2",IF(MONTH(Table22[[#This Row],[Sales Date]])&lt;=9,"Q3","Q4")))</f>
        <v>Q1</v>
      </c>
      <c r="W464" s="64">
        <f>YEAR(Table22[[#This Row],[Sales Date]])</f>
        <v>2023</v>
      </c>
      <c r="X464" s="23">
        <v>55</v>
      </c>
      <c r="Y464" s="18" t="s">
        <v>49</v>
      </c>
      <c r="Z464" s="18" t="s">
        <v>42</v>
      </c>
      <c r="AA464" s="19" t="s">
        <v>25</v>
      </c>
    </row>
    <row r="465" spans="1:27" x14ac:dyDescent="0.25">
      <c r="A465" s="17" t="s">
        <v>1018</v>
      </c>
      <c r="B465" s="18" t="s">
        <v>62</v>
      </c>
      <c r="C465" s="63" t="str" cm="1">
        <f t="array" ref="C465">_xlfn.SWITCH(Table22[[#This Row],[Country]],"USA","North America","Canada","North America","Brazil","South America","China","Asia","Japan","Asia","India","Asia","France","Europe","Germany","Europe","UK","Europe","Australia","Oceania","South America")</f>
        <v>Oceania</v>
      </c>
      <c r="D465" s="18" t="s">
        <v>44</v>
      </c>
      <c r="E465" s="18" t="s">
        <v>33</v>
      </c>
      <c r="F465" s="18" t="s">
        <v>64</v>
      </c>
      <c r="G465" s="18" t="s">
        <v>48</v>
      </c>
      <c r="H465" s="64">
        <f>LEN(TRIM(Table22[[#This Row],[Country]]))</f>
        <v>9</v>
      </c>
      <c r="I465" s="64">
        <f>LEN(TRIM(Table22[[#This Row],[Continent]]))</f>
        <v>7</v>
      </c>
      <c r="J465" s="64">
        <f>LEN(TRIM(Table22[[#This Row],[Product]]))</f>
        <v>10</v>
      </c>
      <c r="K465" s="64">
        <f>LEN(TRIM(Table22[[#This Row],[Sales Team]]))</f>
        <v>9</v>
      </c>
      <c r="L465" s="23">
        <v>92</v>
      </c>
      <c r="M465" s="65" t="str" cm="1">
        <f t="array" ref="M465">_xlfn.IFS(Table22[[#This Row],[Units Sold]]&lt;40,"Critical",Table22[[#This Row],[Units Sold]]&lt;=50,"Poor",Table22[[#This Row],[Units Sold]]&lt;=60,"Low",Table22[[#This Row],[Units Sold]]&lt;=80,"Average",Table22[[#This Row],[Units Sold]]&lt;=90,"High",Table22[[#This Row],[Units Sold]]&lt;=95,"Excellent",Table22[[#This Row],[Units Sold]]&gt;95,"Outstanding")</f>
        <v>Excellent</v>
      </c>
      <c r="N465" s="29">
        <v>681.98</v>
      </c>
      <c r="O465" s="29">
        <v>62742.16</v>
      </c>
      <c r="P465" s="43">
        <f>IF(Table22[[#This Row],[Discount Applied]],Table22[[#This Row],[Total Sales (in USD)]]*(1-Table22[[#This Row],[Discount Percentage (%)]]/100),Table22[[#This Row],[Total Sales (in USD)]])</f>
        <v>50965.456568000001</v>
      </c>
      <c r="Q465" s="66">
        <f>SQRT(AVERAGE((Table22[[#This Row],[Net Sales (after discount) (in USD)]]-AVERAGE(Table22[Net Sales (after discount) (in USD)]))^2))</f>
        <v>14454.096004235464</v>
      </c>
      <c r="R465" s="18" t="b">
        <v>1</v>
      </c>
      <c r="S465" s="40">
        <v>18.77</v>
      </c>
      <c r="T465" s="18" t="b">
        <v>1</v>
      </c>
      <c r="U465" s="25">
        <v>45177</v>
      </c>
      <c r="V465" s="63" t="str">
        <f>IF(MONTH(Table22[[#This Row],[Sales Date]])&lt;=3,"Q1",IF(MONTH(Table22[[#This Row],[Sales Date]])&lt;=6,"Q2",IF(MONTH(Table22[[#This Row],[Sales Date]])&lt;=9,"Q3","Q4")))</f>
        <v>Q3</v>
      </c>
      <c r="W465" s="64">
        <f>YEAR(Table22[[#This Row],[Sales Date]])</f>
        <v>2023</v>
      </c>
      <c r="X465" s="23">
        <v>61</v>
      </c>
      <c r="Y465" s="18" t="s">
        <v>23</v>
      </c>
      <c r="Z465" s="18" t="s">
        <v>56</v>
      </c>
      <c r="AA465" s="19" t="s">
        <v>36</v>
      </c>
    </row>
    <row r="466" spans="1:27" x14ac:dyDescent="0.25">
      <c r="A466" s="17" t="s">
        <v>1521</v>
      </c>
      <c r="B466" s="18" t="s">
        <v>27</v>
      </c>
      <c r="C466" s="63" t="str" cm="1">
        <f t="array" ref="C466">_xlfn.SWITCH(Table22[[#This Row],[Country]],"USA","North America","Canada","North America","Brazil","South America","China","Asia","Japan","Asia","India","Asia","France","Europe","Germany","Europe","UK","Europe","Australia","Oceania","South America")</f>
        <v>Europe</v>
      </c>
      <c r="D466" s="18" t="s">
        <v>21</v>
      </c>
      <c r="E466" s="18" t="s">
        <v>39</v>
      </c>
      <c r="F466" s="18" t="s">
        <v>47</v>
      </c>
      <c r="G466" s="18" t="s">
        <v>48</v>
      </c>
      <c r="H466" s="64">
        <f>LEN(TRIM(Table22[[#This Row],[Country]]))</f>
        <v>7</v>
      </c>
      <c r="I466" s="64">
        <f>LEN(TRIM(Table22[[#This Row],[Continent]]))</f>
        <v>6</v>
      </c>
      <c r="J466" s="64">
        <f>LEN(TRIM(Table22[[#This Row],[Product]]))</f>
        <v>10</v>
      </c>
      <c r="K466" s="64">
        <f>LEN(TRIM(Table22[[#This Row],[Sales Team]]))</f>
        <v>9</v>
      </c>
      <c r="L466" s="23">
        <v>67</v>
      </c>
      <c r="M466" s="65" t="str" cm="1">
        <f t="array" ref="M466">_xlfn.IFS(Table22[[#This Row],[Units Sold]]&lt;40,"Critical",Table22[[#This Row],[Units Sold]]&lt;=50,"Poor",Table22[[#This Row],[Units Sold]]&lt;=60,"Low",Table22[[#This Row],[Units Sold]]&lt;=80,"Average",Table22[[#This Row],[Units Sold]]&lt;=90,"High",Table22[[#This Row],[Units Sold]]&lt;=95,"Excellent",Table22[[#This Row],[Units Sold]]&gt;95,"Outstanding")</f>
        <v>Average</v>
      </c>
      <c r="N466" s="29">
        <v>933.49</v>
      </c>
      <c r="O466" s="29">
        <v>62543.83</v>
      </c>
      <c r="P466" s="43">
        <f>IF(Table22[[#This Row],[Discount Applied]],Table22[[#This Row],[Total Sales (in USD)]]*(1-Table22[[#This Row],[Discount Percentage (%)]]/100),Table22[[#This Row],[Total Sales (in USD)]])</f>
        <v>62543.83</v>
      </c>
      <c r="Q466" s="66">
        <f>SQRT(AVERAGE((Table22[[#This Row],[Net Sales (after discount) (in USD)]]-AVERAGE(Table22[Net Sales (after discount) (in USD)]))^2))</f>
        <v>26032.469436235464</v>
      </c>
      <c r="R466" s="18" t="b">
        <v>0</v>
      </c>
      <c r="S466" s="40">
        <v>15.87</v>
      </c>
      <c r="T466" s="18" t="b">
        <v>0</v>
      </c>
      <c r="U466" s="25">
        <v>45565</v>
      </c>
      <c r="V466" s="63" t="str">
        <f>IF(MONTH(Table22[[#This Row],[Sales Date]])&lt;=3,"Q1",IF(MONTH(Table22[[#This Row],[Sales Date]])&lt;=6,"Q2",IF(MONTH(Table22[[#This Row],[Sales Date]])&lt;=9,"Q3","Q4")))</f>
        <v>Q3</v>
      </c>
      <c r="W466" s="64">
        <f>YEAR(Table22[[#This Row],[Sales Date]])</f>
        <v>2024</v>
      </c>
      <c r="X466" s="23">
        <v>38</v>
      </c>
      <c r="Y466" s="18" t="s">
        <v>41</v>
      </c>
      <c r="Z466" s="18" t="s">
        <v>42</v>
      </c>
      <c r="AA466" s="19" t="s">
        <v>25</v>
      </c>
    </row>
    <row r="467" spans="1:27" x14ac:dyDescent="0.25">
      <c r="A467" s="17" t="s">
        <v>852</v>
      </c>
      <c r="B467" s="18" t="s">
        <v>72</v>
      </c>
      <c r="C467" s="63" t="str" cm="1">
        <f t="array" ref="C467">_xlfn.SWITCH(Table22[[#This Row],[Country]],"USA","North America","Canada","North America","Brazil","South America","China","Asia","Japan","Asia","India","Asia","France","Europe","Germany","Europe","UK","Europe","Australia","Oceania","South America")</f>
        <v>North America</v>
      </c>
      <c r="D467" s="18" t="s">
        <v>35</v>
      </c>
      <c r="E467" s="18" t="s">
        <v>33</v>
      </c>
      <c r="F467" s="18" t="s">
        <v>34</v>
      </c>
      <c r="G467" s="18" t="s">
        <v>22</v>
      </c>
      <c r="H467" s="64">
        <f>LEN(TRIM(Table22[[#This Row],[Country]]))</f>
        <v>3</v>
      </c>
      <c r="I467" s="64">
        <f>LEN(TRIM(Table22[[#This Row],[Continent]]))</f>
        <v>13</v>
      </c>
      <c r="J467" s="64">
        <f>LEN(TRIM(Table22[[#This Row],[Product]]))</f>
        <v>10</v>
      </c>
      <c r="K467" s="64">
        <f>LEN(TRIM(Table22[[#This Row],[Sales Team]]))</f>
        <v>10</v>
      </c>
      <c r="L467" s="23">
        <v>79</v>
      </c>
      <c r="M467" s="65" t="str" cm="1">
        <f t="array" ref="M467">_xlfn.IFS(Table22[[#This Row],[Units Sold]]&lt;40,"Critical",Table22[[#This Row],[Units Sold]]&lt;=50,"Poor",Table22[[#This Row],[Units Sold]]&lt;=60,"Low",Table22[[#This Row],[Units Sold]]&lt;=80,"Average",Table22[[#This Row],[Units Sold]]&lt;=90,"High",Table22[[#This Row],[Units Sold]]&lt;=95,"Excellent",Table22[[#This Row],[Units Sold]]&gt;95,"Outstanding")</f>
        <v>Average</v>
      </c>
      <c r="N467" s="29">
        <v>791.65</v>
      </c>
      <c r="O467" s="29">
        <v>62540.35</v>
      </c>
      <c r="P467" s="43">
        <f>IF(Table22[[#This Row],[Discount Applied]],Table22[[#This Row],[Total Sales (in USD)]]*(1-Table22[[#This Row],[Discount Percentage (%)]]/100),Table22[[#This Row],[Total Sales (in USD)]])</f>
        <v>62540.35</v>
      </c>
      <c r="Q467" s="66">
        <f>SQRT(AVERAGE((Table22[[#This Row],[Net Sales (after discount) (in USD)]]-AVERAGE(Table22[Net Sales (after discount) (in USD)]))^2))</f>
        <v>26028.989436235461</v>
      </c>
      <c r="R467" s="18" t="b">
        <v>1</v>
      </c>
      <c r="S467" s="40">
        <v>1.17</v>
      </c>
      <c r="T467" s="18" t="b">
        <v>0</v>
      </c>
      <c r="U467" s="25">
        <v>45188</v>
      </c>
      <c r="V467" s="63" t="str">
        <f>IF(MONTH(Table22[[#This Row],[Sales Date]])&lt;=3,"Q1",IF(MONTH(Table22[[#This Row],[Sales Date]])&lt;=6,"Q2",IF(MONTH(Table22[[#This Row],[Sales Date]])&lt;=9,"Q3","Q4")))</f>
        <v>Q3</v>
      </c>
      <c r="W467" s="64">
        <f>YEAR(Table22[[#This Row],[Sales Date]])</f>
        <v>2023</v>
      </c>
      <c r="X467" s="23">
        <v>44</v>
      </c>
      <c r="Y467" s="18" t="s">
        <v>49</v>
      </c>
      <c r="Z467" s="18" t="s">
        <v>42</v>
      </c>
      <c r="AA467" s="19" t="s">
        <v>36</v>
      </c>
    </row>
    <row r="468" spans="1:27" x14ac:dyDescent="0.25">
      <c r="A468" s="17" t="s">
        <v>396</v>
      </c>
      <c r="B468" s="18" t="s">
        <v>72</v>
      </c>
      <c r="C468" s="63" t="str" cm="1">
        <f t="array" ref="C468">_xlfn.SWITCH(Table22[[#This Row],[Country]],"USA","North America","Canada","North America","Brazil","South America","China","Asia","Japan","Asia","India","Asia","France","Europe","Germany","Europe","UK","Europe","Australia","Oceania","South America")</f>
        <v>North America</v>
      </c>
      <c r="D468" s="18" t="s">
        <v>21</v>
      </c>
      <c r="E468" s="18" t="s">
        <v>33</v>
      </c>
      <c r="F468" s="18" t="s">
        <v>20</v>
      </c>
      <c r="G468" s="18" t="s">
        <v>22</v>
      </c>
      <c r="H468" s="64">
        <f>LEN(TRIM(Table22[[#This Row],[Country]]))</f>
        <v>3</v>
      </c>
      <c r="I468" s="64">
        <f>LEN(TRIM(Table22[[#This Row],[Continent]]))</f>
        <v>13</v>
      </c>
      <c r="J468" s="64">
        <f>LEN(TRIM(Table22[[#This Row],[Product]]))</f>
        <v>10</v>
      </c>
      <c r="K468" s="64">
        <f>LEN(TRIM(Table22[[#This Row],[Sales Team]]))</f>
        <v>10</v>
      </c>
      <c r="L468" s="23">
        <v>82</v>
      </c>
      <c r="M468" s="65" t="str" cm="1">
        <f t="array" ref="M468">_xlfn.IFS(Table22[[#This Row],[Units Sold]]&lt;40,"Critical",Table22[[#This Row],[Units Sold]]&lt;=50,"Poor",Table22[[#This Row],[Units Sold]]&lt;=60,"Low",Table22[[#This Row],[Units Sold]]&lt;=80,"Average",Table22[[#This Row],[Units Sold]]&lt;=90,"High",Table22[[#This Row],[Units Sold]]&lt;=95,"Excellent",Table22[[#This Row],[Units Sold]]&gt;95,"Outstanding")</f>
        <v>High</v>
      </c>
      <c r="N468" s="29">
        <v>762.54</v>
      </c>
      <c r="O468" s="29">
        <v>62528.28</v>
      </c>
      <c r="P468" s="43">
        <f>IF(Table22[[#This Row],[Discount Applied]],Table22[[#This Row],[Total Sales (in USD)]]*(1-Table22[[#This Row],[Discount Percentage (%)]]/100),Table22[[#This Row],[Total Sales (in USD)]])</f>
        <v>50985.559512</v>
      </c>
      <c r="Q468" s="66">
        <f>SQRT(AVERAGE((Table22[[#This Row],[Net Sales (after discount) (in USD)]]-AVERAGE(Table22[Net Sales (after discount) (in USD)]))^2))</f>
        <v>14474.198948235462</v>
      </c>
      <c r="R468" s="18" t="b">
        <v>1</v>
      </c>
      <c r="S468" s="40">
        <v>18.46</v>
      </c>
      <c r="T468" s="18" t="b">
        <v>1</v>
      </c>
      <c r="U468" s="25">
        <v>44965</v>
      </c>
      <c r="V468" s="63" t="str">
        <f>IF(MONTH(Table22[[#This Row],[Sales Date]])&lt;=3,"Q1",IF(MONTH(Table22[[#This Row],[Sales Date]])&lt;=6,"Q2",IF(MONTH(Table22[[#This Row],[Sales Date]])&lt;=9,"Q3","Q4")))</f>
        <v>Q1</v>
      </c>
      <c r="W468" s="64">
        <f>YEAR(Table22[[#This Row],[Sales Date]])</f>
        <v>2023</v>
      </c>
      <c r="X468" s="23">
        <v>57</v>
      </c>
      <c r="Y468" s="18" t="s">
        <v>23</v>
      </c>
      <c r="Z468" s="18" t="s">
        <v>24</v>
      </c>
      <c r="AA468" s="19" t="s">
        <v>36</v>
      </c>
    </row>
    <row r="469" spans="1:27" x14ac:dyDescent="0.25">
      <c r="A469" s="17" t="s">
        <v>128</v>
      </c>
      <c r="B469" s="18" t="s">
        <v>76</v>
      </c>
      <c r="C469" s="63" t="str" cm="1">
        <f t="array" ref="C469">_xlfn.SWITCH(Table22[[#This Row],[Country]],"USA","North America","Canada","North America","Brazil","South America","China","Asia","Japan","Asia","India","Asia","France","Europe","Germany","Europe","UK","Europe","Australia","Oceania","South America")</f>
        <v>Asia</v>
      </c>
      <c r="D469" s="18" t="s">
        <v>21</v>
      </c>
      <c r="E469" s="18" t="s">
        <v>19</v>
      </c>
      <c r="F469" s="18" t="s">
        <v>47</v>
      </c>
      <c r="G469" s="18" t="s">
        <v>22</v>
      </c>
      <c r="H469" s="64">
        <f>LEN(TRIM(Table22[[#This Row],[Country]]))</f>
        <v>5</v>
      </c>
      <c r="I469" s="64">
        <f>LEN(TRIM(Table22[[#This Row],[Continent]]))</f>
        <v>4</v>
      </c>
      <c r="J469" s="64">
        <f>LEN(TRIM(Table22[[#This Row],[Product]]))</f>
        <v>6</v>
      </c>
      <c r="K469" s="64">
        <f>LEN(TRIM(Table22[[#This Row],[Sales Team]]))</f>
        <v>10</v>
      </c>
      <c r="L469" s="23">
        <v>58</v>
      </c>
      <c r="M469" s="65" t="str" cm="1">
        <f t="array" ref="M469">_xlfn.IFS(Table22[[#This Row],[Units Sold]]&lt;40,"Critical",Table22[[#This Row],[Units Sold]]&lt;=50,"Poor",Table22[[#This Row],[Units Sold]]&lt;=60,"Low",Table22[[#This Row],[Units Sold]]&lt;=80,"Average",Table22[[#This Row],[Units Sold]]&lt;=90,"High",Table22[[#This Row],[Units Sold]]&lt;=95,"Excellent",Table22[[#This Row],[Units Sold]]&gt;95,"Outstanding")</f>
        <v>Low</v>
      </c>
      <c r="N469" s="29">
        <v>1076.29</v>
      </c>
      <c r="O469" s="29">
        <v>62424.82</v>
      </c>
      <c r="P469" s="43">
        <f>IF(Table22[[#This Row],[Discount Applied]],Table22[[#This Row],[Total Sales (in USD)]]*(1-Table22[[#This Row],[Discount Percentage (%)]]/100),Table22[[#This Row],[Total Sales (in USD)]])</f>
        <v>57455.804327999998</v>
      </c>
      <c r="Q469" s="66">
        <f>SQRT(AVERAGE((Table22[[#This Row],[Net Sales (after discount) (in USD)]]-AVERAGE(Table22[Net Sales (after discount) (in USD)]))^2))</f>
        <v>20944.443764235461</v>
      </c>
      <c r="R469" s="18" t="b">
        <v>0</v>
      </c>
      <c r="S469" s="40">
        <v>7.96</v>
      </c>
      <c r="T469" s="18" t="b">
        <v>1</v>
      </c>
      <c r="U469" s="25">
        <v>45120</v>
      </c>
      <c r="V469" s="63" t="str">
        <f>IF(MONTH(Table22[[#This Row],[Sales Date]])&lt;=3,"Q1",IF(MONTH(Table22[[#This Row],[Sales Date]])&lt;=6,"Q2",IF(MONTH(Table22[[#This Row],[Sales Date]])&lt;=9,"Q3","Q4")))</f>
        <v>Q3</v>
      </c>
      <c r="W469" s="64">
        <f>YEAR(Table22[[#This Row],[Sales Date]])</f>
        <v>2023</v>
      </c>
      <c r="X469" s="23">
        <v>38</v>
      </c>
      <c r="Y469" s="18" t="s">
        <v>49</v>
      </c>
      <c r="Z469" s="18" t="s">
        <v>56</v>
      </c>
      <c r="AA469" s="19" t="s">
        <v>25</v>
      </c>
    </row>
    <row r="470" spans="1:27" x14ac:dyDescent="0.25">
      <c r="A470" s="17" t="s">
        <v>189</v>
      </c>
      <c r="B470" s="18" t="s">
        <v>38</v>
      </c>
      <c r="C470" s="63" t="str" cm="1">
        <f t="array" ref="C470">_xlfn.SWITCH(Table22[[#This Row],[Country]],"USA","North America","Canada","North America","Brazil","South America","China","Asia","Japan","Asia","India","Asia","France","Europe","Germany","Europe","UK","Europe","Australia","Oceania","South America")</f>
        <v>Europe</v>
      </c>
      <c r="D470" s="18" t="s">
        <v>21</v>
      </c>
      <c r="E470" s="18" t="s">
        <v>19</v>
      </c>
      <c r="F470" s="18" t="s">
        <v>34</v>
      </c>
      <c r="G470" s="18" t="s">
        <v>48</v>
      </c>
      <c r="H470" s="64">
        <f>LEN(TRIM(Table22[[#This Row],[Country]]))</f>
        <v>6</v>
      </c>
      <c r="I470" s="64">
        <f>LEN(TRIM(Table22[[#This Row],[Continent]]))</f>
        <v>6</v>
      </c>
      <c r="J470" s="64">
        <f>LEN(TRIM(Table22[[#This Row],[Product]]))</f>
        <v>6</v>
      </c>
      <c r="K470" s="64">
        <f>LEN(TRIM(Table22[[#This Row],[Sales Team]]))</f>
        <v>9</v>
      </c>
      <c r="L470" s="23">
        <v>50</v>
      </c>
      <c r="M470" s="65" t="str" cm="1">
        <f t="array" ref="M470">_xlfn.IFS(Table22[[#This Row],[Units Sold]]&lt;40,"Critical",Table22[[#This Row],[Units Sold]]&lt;=50,"Poor",Table22[[#This Row],[Units Sold]]&lt;=60,"Low",Table22[[#This Row],[Units Sold]]&lt;=80,"Average",Table22[[#This Row],[Units Sold]]&lt;=90,"High",Table22[[#This Row],[Units Sold]]&lt;=95,"Excellent",Table22[[#This Row],[Units Sold]]&gt;95,"Outstanding")</f>
        <v>Poor</v>
      </c>
      <c r="N470" s="29">
        <v>1248.3599999999999</v>
      </c>
      <c r="O470" s="29">
        <v>62418</v>
      </c>
      <c r="P470" s="43">
        <f>IF(Table22[[#This Row],[Discount Applied]],Table22[[#This Row],[Total Sales (in USD)]]*(1-Table22[[#This Row],[Discount Percentage (%)]]/100),Table22[[#This Row],[Total Sales (in USD)]])</f>
        <v>62418</v>
      </c>
      <c r="Q470" s="66">
        <f>SQRT(AVERAGE((Table22[[#This Row],[Net Sales (after discount) (in USD)]]-AVERAGE(Table22[Net Sales (after discount) (in USD)]))^2))</f>
        <v>25906.639436235462</v>
      </c>
      <c r="R470" s="18" t="b">
        <v>0</v>
      </c>
      <c r="S470" s="40">
        <v>10.55</v>
      </c>
      <c r="T470" s="18" t="b">
        <v>0</v>
      </c>
      <c r="U470" s="25">
        <v>45153</v>
      </c>
      <c r="V470" s="63" t="str">
        <f>IF(MONTH(Table22[[#This Row],[Sales Date]])&lt;=3,"Q1",IF(MONTH(Table22[[#This Row],[Sales Date]])&lt;=6,"Q2",IF(MONTH(Table22[[#This Row],[Sales Date]])&lt;=9,"Q3","Q4")))</f>
        <v>Q3</v>
      </c>
      <c r="W470" s="64">
        <f>YEAR(Table22[[#This Row],[Sales Date]])</f>
        <v>2023</v>
      </c>
      <c r="X470" s="23">
        <v>30</v>
      </c>
      <c r="Y470" s="18" t="s">
        <v>23</v>
      </c>
      <c r="Z470" s="18" t="s">
        <v>56</v>
      </c>
      <c r="AA470" s="19" t="s">
        <v>25</v>
      </c>
    </row>
    <row r="471" spans="1:27" x14ac:dyDescent="0.25">
      <c r="A471" s="17" t="s">
        <v>420</v>
      </c>
      <c r="B471" s="18" t="s">
        <v>38</v>
      </c>
      <c r="C471" s="63" t="str" cm="1">
        <f t="array" ref="C471">_xlfn.SWITCH(Table22[[#This Row],[Country]],"USA","North America","Canada","North America","Brazil","South America","China","Asia","Japan","Asia","India","Asia","France","Europe","Germany","Europe","UK","Europe","Australia","Oceania","South America")</f>
        <v>Europe</v>
      </c>
      <c r="D471" s="18" t="s">
        <v>21</v>
      </c>
      <c r="E471" s="18" t="s">
        <v>19</v>
      </c>
      <c r="F471" s="18" t="s">
        <v>64</v>
      </c>
      <c r="G471" s="18" t="s">
        <v>40</v>
      </c>
      <c r="H471" s="64">
        <f>LEN(TRIM(Table22[[#This Row],[Country]]))</f>
        <v>6</v>
      </c>
      <c r="I471" s="64">
        <f>LEN(TRIM(Table22[[#This Row],[Continent]]))</f>
        <v>6</v>
      </c>
      <c r="J471" s="64">
        <f>LEN(TRIM(Table22[[#This Row],[Product]]))</f>
        <v>6</v>
      </c>
      <c r="K471" s="64">
        <f>LEN(TRIM(Table22[[#This Row],[Sales Team]]))</f>
        <v>10</v>
      </c>
      <c r="L471" s="23">
        <v>77</v>
      </c>
      <c r="M471" s="65" t="str" cm="1">
        <f t="array" ref="M471">_xlfn.IFS(Table22[[#This Row],[Units Sold]]&lt;40,"Critical",Table22[[#This Row],[Units Sold]]&lt;=50,"Poor",Table22[[#This Row],[Units Sold]]&lt;=60,"Low",Table22[[#This Row],[Units Sold]]&lt;=80,"Average",Table22[[#This Row],[Units Sold]]&lt;=90,"High",Table22[[#This Row],[Units Sold]]&lt;=95,"Excellent",Table22[[#This Row],[Units Sold]]&gt;95,"Outstanding")</f>
        <v>Average</v>
      </c>
      <c r="N471" s="29">
        <v>809.14</v>
      </c>
      <c r="O471" s="29">
        <v>62303.78</v>
      </c>
      <c r="P471" s="43">
        <f>IF(Table22[[#This Row],[Discount Applied]],Table22[[#This Row],[Total Sales (in USD)]]*(1-Table22[[#This Row],[Discount Percentage (%)]]/100),Table22[[#This Row],[Total Sales (in USD)]])</f>
        <v>59306.968181999997</v>
      </c>
      <c r="Q471" s="66">
        <f>SQRT(AVERAGE((Table22[[#This Row],[Net Sales (after discount) (in USD)]]-AVERAGE(Table22[Net Sales (after discount) (in USD)]))^2))</f>
        <v>22795.607618235459</v>
      </c>
      <c r="R471" s="18" t="b">
        <v>0</v>
      </c>
      <c r="S471" s="40">
        <v>4.8099999999999996</v>
      </c>
      <c r="T471" s="18" t="b">
        <v>1</v>
      </c>
      <c r="U471" s="25">
        <v>45484</v>
      </c>
      <c r="V471" s="63" t="str">
        <f>IF(MONTH(Table22[[#This Row],[Sales Date]])&lt;=3,"Q1",IF(MONTH(Table22[[#This Row],[Sales Date]])&lt;=6,"Q2",IF(MONTH(Table22[[#This Row],[Sales Date]])&lt;=9,"Q3","Q4")))</f>
        <v>Q3</v>
      </c>
      <c r="W471" s="64">
        <f>YEAR(Table22[[#This Row],[Sales Date]])</f>
        <v>2024</v>
      </c>
      <c r="X471" s="23">
        <v>30</v>
      </c>
      <c r="Y471" s="18" t="s">
        <v>23</v>
      </c>
      <c r="Z471" s="18" t="s">
        <v>56</v>
      </c>
      <c r="AA471" s="19" t="s">
        <v>25</v>
      </c>
    </row>
    <row r="472" spans="1:27" x14ac:dyDescent="0.25">
      <c r="A472" s="17" t="s">
        <v>644</v>
      </c>
      <c r="B472" s="18" t="s">
        <v>51</v>
      </c>
      <c r="C472" s="63" t="str" cm="1">
        <f t="array" ref="C472">_xlfn.SWITCH(Table22[[#This Row],[Country]],"USA","North America","Canada","North America","Brazil","South America","China","Asia","Japan","Asia","India","Asia","France","Europe","Germany","Europe","UK","Europe","Australia","Oceania","South America")</f>
        <v>Europe</v>
      </c>
      <c r="D472" s="18" t="s">
        <v>28</v>
      </c>
      <c r="E472" s="18" t="s">
        <v>19</v>
      </c>
      <c r="F472" s="18" t="s">
        <v>52</v>
      </c>
      <c r="G472" s="18" t="s">
        <v>48</v>
      </c>
      <c r="H472" s="64">
        <f>LEN(TRIM(Table22[[#This Row],[Country]]))</f>
        <v>2</v>
      </c>
      <c r="I472" s="64">
        <f>LEN(TRIM(Table22[[#This Row],[Continent]]))</f>
        <v>6</v>
      </c>
      <c r="J472" s="64">
        <f>LEN(TRIM(Table22[[#This Row],[Product]]))</f>
        <v>6</v>
      </c>
      <c r="K472" s="64">
        <f>LEN(TRIM(Table22[[#This Row],[Sales Team]]))</f>
        <v>9</v>
      </c>
      <c r="L472" s="23">
        <v>77</v>
      </c>
      <c r="M472" s="65" t="str" cm="1">
        <f t="array" ref="M472">_xlfn.IFS(Table22[[#This Row],[Units Sold]]&lt;40,"Critical",Table22[[#This Row],[Units Sold]]&lt;=50,"Poor",Table22[[#This Row],[Units Sold]]&lt;=60,"Low",Table22[[#This Row],[Units Sold]]&lt;=80,"Average",Table22[[#This Row],[Units Sold]]&lt;=90,"High",Table22[[#This Row],[Units Sold]]&lt;=95,"Excellent",Table22[[#This Row],[Units Sold]]&gt;95,"Outstanding")</f>
        <v>Average</v>
      </c>
      <c r="N472" s="29">
        <v>808.77</v>
      </c>
      <c r="O472" s="29">
        <v>62275.29</v>
      </c>
      <c r="P472" s="43">
        <f>IF(Table22[[#This Row],[Discount Applied]],Table22[[#This Row],[Total Sales (in USD)]]*(1-Table22[[#This Row],[Discount Percentage (%)]]/100),Table22[[#This Row],[Total Sales (in USD)]])</f>
        <v>43885.396863000002</v>
      </c>
      <c r="Q472" s="66">
        <f>SQRT(AVERAGE((Table22[[#This Row],[Net Sales (after discount) (in USD)]]-AVERAGE(Table22[Net Sales (after discount) (in USD)]))^2))</f>
        <v>7374.036299235464</v>
      </c>
      <c r="R472" s="18" t="b">
        <v>0</v>
      </c>
      <c r="S472" s="40">
        <v>29.53</v>
      </c>
      <c r="T472" s="18" t="b">
        <v>1</v>
      </c>
      <c r="U472" s="25">
        <v>45003</v>
      </c>
      <c r="V472" s="63" t="str">
        <f>IF(MONTH(Table22[[#This Row],[Sales Date]])&lt;=3,"Q1",IF(MONTH(Table22[[#This Row],[Sales Date]])&lt;=6,"Q2",IF(MONTH(Table22[[#This Row],[Sales Date]])&lt;=9,"Q3","Q4")))</f>
        <v>Q1</v>
      </c>
      <c r="W472" s="64">
        <f>YEAR(Table22[[#This Row],[Sales Date]])</f>
        <v>2023</v>
      </c>
      <c r="X472" s="23">
        <v>69</v>
      </c>
      <c r="Y472" s="18" t="s">
        <v>23</v>
      </c>
      <c r="Z472" s="18" t="s">
        <v>42</v>
      </c>
      <c r="AA472" s="19" t="s">
        <v>25</v>
      </c>
    </row>
    <row r="473" spans="1:27" x14ac:dyDescent="0.25">
      <c r="A473" s="17" t="s">
        <v>1471</v>
      </c>
      <c r="B473" s="18" t="s">
        <v>51</v>
      </c>
      <c r="C473" s="63" t="str" cm="1">
        <f t="array" ref="C473">_xlfn.SWITCH(Table22[[#This Row],[Country]],"USA","North America","Canada","North America","Brazil","South America","China","Asia","Japan","Asia","India","Asia","France","Europe","Germany","Europe","UK","Europe","Australia","Oceania","South America")</f>
        <v>Europe</v>
      </c>
      <c r="D473" s="18" t="s">
        <v>21</v>
      </c>
      <c r="E473" s="18" t="s">
        <v>39</v>
      </c>
      <c r="F473" s="18" t="s">
        <v>47</v>
      </c>
      <c r="G473" s="18" t="s">
        <v>29</v>
      </c>
      <c r="H473" s="64">
        <f>LEN(TRIM(Table22[[#This Row],[Country]]))</f>
        <v>2</v>
      </c>
      <c r="I473" s="64">
        <f>LEN(TRIM(Table22[[#This Row],[Continent]]))</f>
        <v>6</v>
      </c>
      <c r="J473" s="64">
        <f>LEN(TRIM(Table22[[#This Row],[Product]]))</f>
        <v>10</v>
      </c>
      <c r="K473" s="64">
        <f>LEN(TRIM(Table22[[#This Row],[Sales Team]]))</f>
        <v>10</v>
      </c>
      <c r="L473" s="23">
        <v>65</v>
      </c>
      <c r="M473" s="65" t="str" cm="1">
        <f t="array" ref="M473">_xlfn.IFS(Table22[[#This Row],[Units Sold]]&lt;40,"Critical",Table22[[#This Row],[Units Sold]]&lt;=50,"Poor",Table22[[#This Row],[Units Sold]]&lt;=60,"Low",Table22[[#This Row],[Units Sold]]&lt;=80,"Average",Table22[[#This Row],[Units Sold]]&lt;=90,"High",Table22[[#This Row],[Units Sold]]&lt;=95,"Excellent",Table22[[#This Row],[Units Sold]]&gt;95,"Outstanding")</f>
        <v>Average</v>
      </c>
      <c r="N473" s="29">
        <v>956.46</v>
      </c>
      <c r="O473" s="29">
        <v>62169.9</v>
      </c>
      <c r="P473" s="43">
        <f>IF(Table22[[#This Row],[Discount Applied]],Table22[[#This Row],[Total Sales (in USD)]]*(1-Table22[[#This Row],[Discount Percentage (%)]]/100),Table22[[#This Row],[Total Sales (in USD)]])</f>
        <v>45085.611480000007</v>
      </c>
      <c r="Q473" s="66">
        <f>SQRT(AVERAGE((Table22[[#This Row],[Net Sales (after discount) (in USD)]]-AVERAGE(Table22[Net Sales (after discount) (in USD)]))^2))</f>
        <v>8574.250916235469</v>
      </c>
      <c r="R473" s="18" t="b">
        <v>1</v>
      </c>
      <c r="S473" s="40">
        <v>27.48</v>
      </c>
      <c r="T473" s="18" t="b">
        <v>1</v>
      </c>
      <c r="U473" s="25">
        <v>45026</v>
      </c>
      <c r="V473" s="63" t="str">
        <f>IF(MONTH(Table22[[#This Row],[Sales Date]])&lt;=3,"Q1",IF(MONTH(Table22[[#This Row],[Sales Date]])&lt;=6,"Q2",IF(MONTH(Table22[[#This Row],[Sales Date]])&lt;=9,"Q3","Q4")))</f>
        <v>Q2</v>
      </c>
      <c r="W473" s="64">
        <f>YEAR(Table22[[#This Row],[Sales Date]])</f>
        <v>2023</v>
      </c>
      <c r="X473" s="23">
        <v>33</v>
      </c>
      <c r="Y473" s="18" t="s">
        <v>49</v>
      </c>
      <c r="Z473" s="18" t="s">
        <v>30</v>
      </c>
      <c r="AA473" s="19" t="s">
        <v>25</v>
      </c>
    </row>
    <row r="474" spans="1:27" x14ac:dyDescent="0.25">
      <c r="A474" s="17" t="s">
        <v>1226</v>
      </c>
      <c r="B474" s="18" t="s">
        <v>51</v>
      </c>
      <c r="C474" s="63" t="str" cm="1">
        <f t="array" ref="C474">_xlfn.SWITCH(Table22[[#This Row],[Country]],"USA","North America","Canada","North America","Brazil","South America","China","Asia","Japan","Asia","India","Asia","France","Europe","Germany","Europe","UK","Europe","Australia","Oceania","South America")</f>
        <v>Europe</v>
      </c>
      <c r="D474" s="18" t="s">
        <v>35</v>
      </c>
      <c r="E474" s="18" t="s">
        <v>33</v>
      </c>
      <c r="F474" s="18" t="s">
        <v>64</v>
      </c>
      <c r="G474" s="18" t="s">
        <v>40</v>
      </c>
      <c r="H474" s="64">
        <f>LEN(TRIM(Table22[[#This Row],[Country]]))</f>
        <v>2</v>
      </c>
      <c r="I474" s="64">
        <f>LEN(TRIM(Table22[[#This Row],[Continent]]))</f>
        <v>6</v>
      </c>
      <c r="J474" s="64">
        <f>LEN(TRIM(Table22[[#This Row],[Product]]))</f>
        <v>10</v>
      </c>
      <c r="K474" s="64">
        <f>LEN(TRIM(Table22[[#This Row],[Sales Team]]))</f>
        <v>10</v>
      </c>
      <c r="L474" s="23">
        <v>60</v>
      </c>
      <c r="M474" s="65" t="str" cm="1">
        <f t="array" ref="M474">_xlfn.IFS(Table22[[#This Row],[Units Sold]]&lt;40,"Critical",Table22[[#This Row],[Units Sold]]&lt;=50,"Poor",Table22[[#This Row],[Units Sold]]&lt;=60,"Low",Table22[[#This Row],[Units Sold]]&lt;=80,"Average",Table22[[#This Row],[Units Sold]]&lt;=90,"High",Table22[[#This Row],[Units Sold]]&lt;=95,"Excellent",Table22[[#This Row],[Units Sold]]&gt;95,"Outstanding")</f>
        <v>Low</v>
      </c>
      <c r="N474" s="29">
        <v>1035.73</v>
      </c>
      <c r="O474" s="29">
        <v>62143.8</v>
      </c>
      <c r="P474" s="43">
        <f>IF(Table22[[#This Row],[Discount Applied]],Table22[[#This Row],[Total Sales (in USD)]]*(1-Table22[[#This Row],[Discount Percentage (%)]]/100),Table22[[#This Row],[Total Sales (in USD)]])</f>
        <v>51697.427219999998</v>
      </c>
      <c r="Q474" s="66">
        <f>SQRT(AVERAGE((Table22[[#This Row],[Net Sales (after discount) (in USD)]]-AVERAGE(Table22[Net Sales (after discount) (in USD)]))^2))</f>
        <v>15186.06665623546</v>
      </c>
      <c r="R474" s="18" t="b">
        <v>1</v>
      </c>
      <c r="S474" s="40">
        <v>16.809999999999999</v>
      </c>
      <c r="T474" s="18" t="b">
        <v>1</v>
      </c>
      <c r="U474" s="25">
        <v>45265</v>
      </c>
      <c r="V474" s="63" t="str">
        <f>IF(MONTH(Table22[[#This Row],[Sales Date]])&lt;=3,"Q1",IF(MONTH(Table22[[#This Row],[Sales Date]])&lt;=6,"Q2",IF(MONTH(Table22[[#This Row],[Sales Date]])&lt;=9,"Q3","Q4")))</f>
        <v>Q4</v>
      </c>
      <c r="W474" s="64">
        <f>YEAR(Table22[[#This Row],[Sales Date]])</f>
        <v>2023</v>
      </c>
      <c r="X474" s="23">
        <v>27</v>
      </c>
      <c r="Y474" s="18" t="s">
        <v>23</v>
      </c>
      <c r="Z474" s="18" t="s">
        <v>30</v>
      </c>
      <c r="AA474" s="19" t="s">
        <v>36</v>
      </c>
    </row>
    <row r="475" spans="1:27" x14ac:dyDescent="0.25">
      <c r="A475" s="17" t="s">
        <v>569</v>
      </c>
      <c r="B475" s="18" t="s">
        <v>38</v>
      </c>
      <c r="C475" s="63" t="str" cm="1">
        <f t="array" ref="C475">_xlfn.SWITCH(Table22[[#This Row],[Country]],"USA","North America","Canada","North America","Brazil","South America","China","Asia","Japan","Asia","India","Asia","France","Europe","Germany","Europe","UK","Europe","Australia","Oceania","South America")</f>
        <v>Europe</v>
      </c>
      <c r="D475" s="18" t="s">
        <v>35</v>
      </c>
      <c r="E475" s="18" t="s">
        <v>33</v>
      </c>
      <c r="F475" s="18" t="s">
        <v>34</v>
      </c>
      <c r="G475" s="18" t="s">
        <v>48</v>
      </c>
      <c r="H475" s="64">
        <f>LEN(TRIM(Table22[[#This Row],[Country]]))</f>
        <v>6</v>
      </c>
      <c r="I475" s="64">
        <f>LEN(TRIM(Table22[[#This Row],[Continent]]))</f>
        <v>6</v>
      </c>
      <c r="J475" s="64">
        <f>LEN(TRIM(Table22[[#This Row],[Product]]))</f>
        <v>10</v>
      </c>
      <c r="K475" s="64">
        <f>LEN(TRIM(Table22[[#This Row],[Sales Team]]))</f>
        <v>9</v>
      </c>
      <c r="L475" s="23">
        <v>99</v>
      </c>
      <c r="M475" s="65" t="str" cm="1">
        <f t="array" ref="M475">_xlfn.IFS(Table22[[#This Row],[Units Sold]]&lt;40,"Critical",Table22[[#This Row],[Units Sold]]&lt;=50,"Poor",Table22[[#This Row],[Units Sold]]&lt;=60,"Low",Table22[[#This Row],[Units Sold]]&lt;=80,"Average",Table22[[#This Row],[Units Sold]]&lt;=90,"High",Table22[[#This Row],[Units Sold]]&lt;=95,"Excellent",Table22[[#This Row],[Units Sold]]&gt;95,"Outstanding")</f>
        <v>Outstanding</v>
      </c>
      <c r="N475" s="29">
        <v>627.67999999999995</v>
      </c>
      <c r="O475" s="29">
        <v>62140.32</v>
      </c>
      <c r="P475" s="43">
        <f>IF(Table22[[#This Row],[Discount Applied]],Table22[[#This Row],[Total Sales (in USD)]]*(1-Table22[[#This Row],[Discount Percentage (%)]]/100),Table22[[#This Row],[Total Sales (in USD)]])</f>
        <v>59039.518031999993</v>
      </c>
      <c r="Q475" s="66">
        <f>SQRT(AVERAGE((Table22[[#This Row],[Net Sales (after discount) (in USD)]]-AVERAGE(Table22[Net Sales (after discount) (in USD)]))^2))</f>
        <v>22528.157468235455</v>
      </c>
      <c r="R475" s="18" t="b">
        <v>0</v>
      </c>
      <c r="S475" s="40">
        <v>4.99</v>
      </c>
      <c r="T475" s="18" t="b">
        <v>1</v>
      </c>
      <c r="U475" s="25">
        <v>45177</v>
      </c>
      <c r="V475" s="63" t="str">
        <f>IF(MONTH(Table22[[#This Row],[Sales Date]])&lt;=3,"Q1",IF(MONTH(Table22[[#This Row],[Sales Date]])&lt;=6,"Q2",IF(MONTH(Table22[[#This Row],[Sales Date]])&lt;=9,"Q3","Q4")))</f>
        <v>Q3</v>
      </c>
      <c r="W475" s="64">
        <f>YEAR(Table22[[#This Row],[Sales Date]])</f>
        <v>2023</v>
      </c>
      <c r="X475" s="23">
        <v>36</v>
      </c>
      <c r="Y475" s="18" t="s">
        <v>41</v>
      </c>
      <c r="Z475" s="18" t="s">
        <v>42</v>
      </c>
      <c r="AA475" s="19" t="s">
        <v>36</v>
      </c>
    </row>
    <row r="476" spans="1:27" x14ac:dyDescent="0.25">
      <c r="A476" s="17" t="s">
        <v>1976</v>
      </c>
      <c r="B476" s="18" t="s">
        <v>27</v>
      </c>
      <c r="C476" s="63" t="str" cm="1">
        <f t="array" ref="C476">_xlfn.SWITCH(Table22[[#This Row],[Country]],"USA","North America","Canada","North America","Brazil","South America","China","Asia","Japan","Asia","India","Asia","France","Europe","Germany","Europe","UK","Europe","Australia","Oceania","South America")</f>
        <v>Europe</v>
      </c>
      <c r="D476" s="18" t="s">
        <v>28</v>
      </c>
      <c r="E476" s="18" t="s">
        <v>33</v>
      </c>
      <c r="F476" s="18" t="s">
        <v>64</v>
      </c>
      <c r="G476" s="18" t="s">
        <v>29</v>
      </c>
      <c r="H476" s="64">
        <f>LEN(TRIM(Table22[[#This Row],[Country]]))</f>
        <v>7</v>
      </c>
      <c r="I476" s="64">
        <f>LEN(TRIM(Table22[[#This Row],[Continent]]))</f>
        <v>6</v>
      </c>
      <c r="J476" s="64">
        <f>LEN(TRIM(Table22[[#This Row],[Product]]))</f>
        <v>10</v>
      </c>
      <c r="K476" s="64">
        <f>LEN(TRIM(Table22[[#This Row],[Sales Team]]))</f>
        <v>10</v>
      </c>
      <c r="L476" s="23">
        <v>87</v>
      </c>
      <c r="M476" s="65" t="str" cm="1">
        <f t="array" ref="M476">_xlfn.IFS(Table22[[#This Row],[Units Sold]]&lt;40,"Critical",Table22[[#This Row],[Units Sold]]&lt;=50,"Poor",Table22[[#This Row],[Units Sold]]&lt;=60,"Low",Table22[[#This Row],[Units Sold]]&lt;=80,"Average",Table22[[#This Row],[Units Sold]]&lt;=90,"High",Table22[[#This Row],[Units Sold]]&lt;=95,"Excellent",Table22[[#This Row],[Units Sold]]&gt;95,"Outstanding")</f>
        <v>High</v>
      </c>
      <c r="N476" s="29">
        <v>713.32</v>
      </c>
      <c r="O476" s="29">
        <v>62058.84</v>
      </c>
      <c r="P476" s="43">
        <f>IF(Table22[[#This Row],[Discount Applied]],Table22[[#This Row],[Total Sales (in USD)]]*(1-Table22[[#This Row],[Discount Percentage (%)]]/100),Table22[[#This Row],[Total Sales (in USD)]])</f>
        <v>62058.84</v>
      </c>
      <c r="Q476" s="66">
        <f>SQRT(AVERAGE((Table22[[#This Row],[Net Sales (after discount) (in USD)]]-AVERAGE(Table22[Net Sales (after discount) (in USD)]))^2))</f>
        <v>25547.479436235459</v>
      </c>
      <c r="R476" s="18" t="b">
        <v>0</v>
      </c>
      <c r="S476" s="40">
        <v>11.6</v>
      </c>
      <c r="T476" s="18" t="b">
        <v>0</v>
      </c>
      <c r="U476" s="25">
        <v>45209</v>
      </c>
      <c r="V476" s="63" t="str">
        <f>IF(MONTH(Table22[[#This Row],[Sales Date]])&lt;=3,"Q1",IF(MONTH(Table22[[#This Row],[Sales Date]])&lt;=6,"Q2",IF(MONTH(Table22[[#This Row],[Sales Date]])&lt;=9,"Q3","Q4")))</f>
        <v>Q4</v>
      </c>
      <c r="W476" s="64">
        <f>YEAR(Table22[[#This Row],[Sales Date]])</f>
        <v>2023</v>
      </c>
      <c r="X476" s="23">
        <v>55</v>
      </c>
      <c r="Y476" s="18" t="s">
        <v>41</v>
      </c>
      <c r="Z476" s="18" t="s">
        <v>30</v>
      </c>
      <c r="AA476" s="19" t="s">
        <v>36</v>
      </c>
    </row>
    <row r="477" spans="1:27" x14ac:dyDescent="0.25">
      <c r="A477" s="17" t="s">
        <v>1477</v>
      </c>
      <c r="B477" s="18" t="s">
        <v>38</v>
      </c>
      <c r="C477" s="63" t="str" cm="1">
        <f t="array" ref="C477">_xlfn.SWITCH(Table22[[#This Row],[Country]],"USA","North America","Canada","North America","Brazil","South America","China","Asia","Japan","Asia","India","Asia","France","Europe","Germany","Europe","UK","Europe","Australia","Oceania","South America")</f>
        <v>Europe</v>
      </c>
      <c r="D477" s="18" t="s">
        <v>44</v>
      </c>
      <c r="E477" s="18" t="s">
        <v>19</v>
      </c>
      <c r="F477" s="18" t="s">
        <v>64</v>
      </c>
      <c r="G477" s="18" t="s">
        <v>22</v>
      </c>
      <c r="H477" s="64">
        <f>LEN(TRIM(Table22[[#This Row],[Country]]))</f>
        <v>6</v>
      </c>
      <c r="I477" s="64">
        <f>LEN(TRIM(Table22[[#This Row],[Continent]]))</f>
        <v>6</v>
      </c>
      <c r="J477" s="64">
        <f>LEN(TRIM(Table22[[#This Row],[Product]]))</f>
        <v>6</v>
      </c>
      <c r="K477" s="64">
        <f>LEN(TRIM(Table22[[#This Row],[Sales Team]]))</f>
        <v>10</v>
      </c>
      <c r="L477" s="23">
        <v>78</v>
      </c>
      <c r="M477" s="65" t="str" cm="1">
        <f t="array" ref="M477">_xlfn.IFS(Table22[[#This Row],[Units Sold]]&lt;40,"Critical",Table22[[#This Row],[Units Sold]]&lt;=50,"Poor",Table22[[#This Row],[Units Sold]]&lt;=60,"Low",Table22[[#This Row],[Units Sold]]&lt;=80,"Average",Table22[[#This Row],[Units Sold]]&lt;=90,"High",Table22[[#This Row],[Units Sold]]&lt;=95,"Excellent",Table22[[#This Row],[Units Sold]]&gt;95,"Outstanding")</f>
        <v>Average</v>
      </c>
      <c r="N477" s="29">
        <v>794.57</v>
      </c>
      <c r="O477" s="29">
        <v>61976.46</v>
      </c>
      <c r="P477" s="43">
        <f>IF(Table22[[#This Row],[Discount Applied]],Table22[[#This Row],[Total Sales (in USD)]]*(1-Table22[[#This Row],[Discount Percentage (%)]]/100),Table22[[#This Row],[Total Sales (in USD)]])</f>
        <v>61356.695399999997</v>
      </c>
      <c r="Q477" s="66">
        <f>SQRT(AVERAGE((Table22[[#This Row],[Net Sales (after discount) (in USD)]]-AVERAGE(Table22[Net Sales (after discount) (in USD)]))^2))</f>
        <v>24845.334836235459</v>
      </c>
      <c r="R477" s="18" t="b">
        <v>1</v>
      </c>
      <c r="S477" s="40">
        <v>1</v>
      </c>
      <c r="T477" s="18" t="b">
        <v>1</v>
      </c>
      <c r="U477" s="25">
        <v>45350</v>
      </c>
      <c r="V477" s="63" t="str">
        <f>IF(MONTH(Table22[[#This Row],[Sales Date]])&lt;=3,"Q1",IF(MONTH(Table22[[#This Row],[Sales Date]])&lt;=6,"Q2",IF(MONTH(Table22[[#This Row],[Sales Date]])&lt;=9,"Q3","Q4")))</f>
        <v>Q1</v>
      </c>
      <c r="W477" s="64">
        <f>YEAR(Table22[[#This Row],[Sales Date]])</f>
        <v>2024</v>
      </c>
      <c r="X477" s="23">
        <v>18</v>
      </c>
      <c r="Y477" s="18" t="s">
        <v>41</v>
      </c>
      <c r="Z477" s="18" t="s">
        <v>30</v>
      </c>
      <c r="AA477" s="19" t="s">
        <v>36</v>
      </c>
    </row>
    <row r="478" spans="1:27" x14ac:dyDescent="0.25">
      <c r="A478" s="17" t="s">
        <v>1272</v>
      </c>
      <c r="B478" s="18" t="s">
        <v>66</v>
      </c>
      <c r="C478" s="63" t="str" cm="1">
        <f t="array" ref="C478">_xlfn.SWITCH(Table22[[#This Row],[Country]],"USA","North America","Canada","North America","Brazil","South America","China","Asia","Japan","Asia","India","Asia","France","Europe","Germany","Europe","UK","Europe","Australia","Oceania","South America")</f>
        <v>North America</v>
      </c>
      <c r="D478" s="18" t="s">
        <v>44</v>
      </c>
      <c r="E478" s="18" t="s">
        <v>39</v>
      </c>
      <c r="F478" s="18" t="s">
        <v>64</v>
      </c>
      <c r="G478" s="18" t="s">
        <v>40</v>
      </c>
      <c r="H478" s="64">
        <f>LEN(TRIM(Table22[[#This Row],[Country]]))</f>
        <v>6</v>
      </c>
      <c r="I478" s="64">
        <f>LEN(TRIM(Table22[[#This Row],[Continent]]))</f>
        <v>13</v>
      </c>
      <c r="J478" s="64">
        <f>LEN(TRIM(Table22[[#This Row],[Product]]))</f>
        <v>10</v>
      </c>
      <c r="K478" s="64">
        <f>LEN(TRIM(Table22[[#This Row],[Sales Team]]))</f>
        <v>10</v>
      </c>
      <c r="L478" s="23">
        <v>58</v>
      </c>
      <c r="M478" s="65" t="str" cm="1">
        <f t="array" ref="M478">_xlfn.IFS(Table22[[#This Row],[Units Sold]]&lt;40,"Critical",Table22[[#This Row],[Units Sold]]&lt;=50,"Poor",Table22[[#This Row],[Units Sold]]&lt;=60,"Low",Table22[[#This Row],[Units Sold]]&lt;=80,"Average",Table22[[#This Row],[Units Sold]]&lt;=90,"High",Table22[[#This Row],[Units Sold]]&lt;=95,"Excellent",Table22[[#This Row],[Units Sold]]&gt;95,"Outstanding")</f>
        <v>Low</v>
      </c>
      <c r="N478" s="29">
        <v>1068.51</v>
      </c>
      <c r="O478" s="29">
        <v>61973.58</v>
      </c>
      <c r="P478" s="43">
        <f>IF(Table22[[#This Row],[Discount Applied]],Table22[[#This Row],[Total Sales (in USD)]]*(1-Table22[[#This Row],[Discount Percentage (%)]]/100),Table22[[#This Row],[Total Sales (in USD)]])</f>
        <v>61973.58</v>
      </c>
      <c r="Q478" s="66">
        <f>SQRT(AVERAGE((Table22[[#This Row],[Net Sales (after discount) (in USD)]]-AVERAGE(Table22[Net Sales (after discount) (in USD)]))^2))</f>
        <v>25462.219436235464</v>
      </c>
      <c r="R478" s="18" t="b">
        <v>0</v>
      </c>
      <c r="S478" s="40">
        <v>1.69</v>
      </c>
      <c r="T478" s="18" t="b">
        <v>0</v>
      </c>
      <c r="U478" s="25">
        <v>45569</v>
      </c>
      <c r="V478" s="63" t="str">
        <f>IF(MONTH(Table22[[#This Row],[Sales Date]])&lt;=3,"Q1",IF(MONTH(Table22[[#This Row],[Sales Date]])&lt;=6,"Q2",IF(MONTH(Table22[[#This Row],[Sales Date]])&lt;=9,"Q3","Q4")))</f>
        <v>Q4</v>
      </c>
      <c r="W478" s="64">
        <f>YEAR(Table22[[#This Row],[Sales Date]])</f>
        <v>2024</v>
      </c>
      <c r="X478" s="23">
        <v>27</v>
      </c>
      <c r="Y478" s="18" t="s">
        <v>49</v>
      </c>
      <c r="Z478" s="18" t="s">
        <v>42</v>
      </c>
      <c r="AA478" s="19" t="s">
        <v>36</v>
      </c>
    </row>
    <row r="479" spans="1:27" x14ac:dyDescent="0.25">
      <c r="A479" s="17" t="s">
        <v>1343</v>
      </c>
      <c r="B479" s="18" t="s">
        <v>76</v>
      </c>
      <c r="C479" s="63" t="str" cm="1">
        <f t="array" ref="C479">_xlfn.SWITCH(Table22[[#This Row],[Country]],"USA","North America","Canada","North America","Brazil","South America","China","Asia","Japan","Asia","India","Asia","France","Europe","Germany","Europe","UK","Europe","Australia","Oceania","South America")</f>
        <v>Asia</v>
      </c>
      <c r="D479" s="18" t="s">
        <v>44</v>
      </c>
      <c r="E479" s="18" t="s">
        <v>39</v>
      </c>
      <c r="F479" s="18" t="s">
        <v>34</v>
      </c>
      <c r="G479" s="18" t="s">
        <v>22</v>
      </c>
      <c r="H479" s="64">
        <f>LEN(TRIM(Table22[[#This Row],[Country]]))</f>
        <v>5</v>
      </c>
      <c r="I479" s="64">
        <f>LEN(TRIM(Table22[[#This Row],[Continent]]))</f>
        <v>4</v>
      </c>
      <c r="J479" s="64">
        <f>LEN(TRIM(Table22[[#This Row],[Product]]))</f>
        <v>10</v>
      </c>
      <c r="K479" s="64">
        <f>LEN(TRIM(Table22[[#This Row],[Sales Team]]))</f>
        <v>10</v>
      </c>
      <c r="L479" s="23">
        <v>81</v>
      </c>
      <c r="M479" s="65" t="str" cm="1">
        <f t="array" ref="M479">_xlfn.IFS(Table22[[#This Row],[Units Sold]]&lt;40,"Critical",Table22[[#This Row],[Units Sold]]&lt;=50,"Poor",Table22[[#This Row],[Units Sold]]&lt;=60,"Low",Table22[[#This Row],[Units Sold]]&lt;=80,"Average",Table22[[#This Row],[Units Sold]]&lt;=90,"High",Table22[[#This Row],[Units Sold]]&lt;=95,"Excellent",Table22[[#This Row],[Units Sold]]&gt;95,"Outstanding")</f>
        <v>High</v>
      </c>
      <c r="N479" s="29">
        <v>764.96</v>
      </c>
      <c r="O479" s="29">
        <v>61961.760000000002</v>
      </c>
      <c r="P479" s="43">
        <f>IF(Table22[[#This Row],[Discount Applied]],Table22[[#This Row],[Total Sales (in USD)]]*(1-Table22[[#This Row],[Discount Percentage (%)]]/100),Table22[[#This Row],[Total Sales (in USD)]])</f>
        <v>53194.170960000003</v>
      </c>
      <c r="Q479" s="66">
        <f>SQRT(AVERAGE((Table22[[#This Row],[Net Sales (after discount) (in USD)]]-AVERAGE(Table22[Net Sales (after discount) (in USD)]))^2))</f>
        <v>16682.810396235465</v>
      </c>
      <c r="R479" s="18" t="b">
        <v>1</v>
      </c>
      <c r="S479" s="40">
        <v>14.15</v>
      </c>
      <c r="T479" s="18" t="b">
        <v>1</v>
      </c>
      <c r="U479" s="25">
        <v>45454</v>
      </c>
      <c r="V479" s="63" t="str">
        <f>IF(MONTH(Table22[[#This Row],[Sales Date]])&lt;=3,"Q1",IF(MONTH(Table22[[#This Row],[Sales Date]])&lt;=6,"Q2",IF(MONTH(Table22[[#This Row],[Sales Date]])&lt;=9,"Q3","Q4")))</f>
        <v>Q2</v>
      </c>
      <c r="W479" s="64">
        <f>YEAR(Table22[[#This Row],[Sales Date]])</f>
        <v>2024</v>
      </c>
      <c r="X479" s="23">
        <v>67</v>
      </c>
      <c r="Y479" s="18" t="s">
        <v>49</v>
      </c>
      <c r="Z479" s="18" t="s">
        <v>42</v>
      </c>
      <c r="AA479" s="19" t="s">
        <v>25</v>
      </c>
    </row>
    <row r="480" spans="1:27" x14ac:dyDescent="0.25">
      <c r="A480" s="17" t="s">
        <v>1013</v>
      </c>
      <c r="B480" s="18" t="s">
        <v>72</v>
      </c>
      <c r="C480" s="63" t="str" cm="1">
        <f t="array" ref="C480">_xlfn.SWITCH(Table22[[#This Row],[Country]],"USA","North America","Canada","North America","Brazil","South America","China","Asia","Japan","Asia","India","Asia","France","Europe","Germany","Europe","UK","Europe","Australia","Oceania","South America")</f>
        <v>North America</v>
      </c>
      <c r="D480" s="18" t="s">
        <v>28</v>
      </c>
      <c r="E480" s="18" t="s">
        <v>39</v>
      </c>
      <c r="F480" s="18" t="s">
        <v>52</v>
      </c>
      <c r="G480" s="18" t="s">
        <v>48</v>
      </c>
      <c r="H480" s="64">
        <f>LEN(TRIM(Table22[[#This Row],[Country]]))</f>
        <v>3</v>
      </c>
      <c r="I480" s="64">
        <f>LEN(TRIM(Table22[[#This Row],[Continent]]))</f>
        <v>13</v>
      </c>
      <c r="J480" s="64">
        <f>LEN(TRIM(Table22[[#This Row],[Product]]))</f>
        <v>10</v>
      </c>
      <c r="K480" s="64">
        <f>LEN(TRIM(Table22[[#This Row],[Sales Team]]))</f>
        <v>9</v>
      </c>
      <c r="L480" s="23">
        <v>53</v>
      </c>
      <c r="M480" s="65" t="str" cm="1">
        <f t="array" ref="M480">_xlfn.IFS(Table22[[#This Row],[Units Sold]]&lt;40,"Critical",Table22[[#This Row],[Units Sold]]&lt;=50,"Poor",Table22[[#This Row],[Units Sold]]&lt;=60,"Low",Table22[[#This Row],[Units Sold]]&lt;=80,"Average",Table22[[#This Row],[Units Sold]]&lt;=90,"High",Table22[[#This Row],[Units Sold]]&lt;=95,"Excellent",Table22[[#This Row],[Units Sold]]&gt;95,"Outstanding")</f>
        <v>Low</v>
      </c>
      <c r="N480" s="29">
        <v>1168.8</v>
      </c>
      <c r="O480" s="29">
        <v>61946.400000000001</v>
      </c>
      <c r="P480" s="43">
        <f>IF(Table22[[#This Row],[Discount Applied]],Table22[[#This Row],[Total Sales (in USD)]]*(1-Table22[[#This Row],[Discount Percentage (%)]]/100),Table22[[#This Row],[Total Sales (in USD)]])</f>
        <v>61946.400000000001</v>
      </c>
      <c r="Q480" s="66">
        <f>SQRT(AVERAGE((Table22[[#This Row],[Net Sales (after discount) (in USD)]]-AVERAGE(Table22[Net Sales (after discount) (in USD)]))^2))</f>
        <v>25435.039436235464</v>
      </c>
      <c r="R480" s="18" t="b">
        <v>0</v>
      </c>
      <c r="S480" s="40">
        <v>15.91</v>
      </c>
      <c r="T480" s="18" t="b">
        <v>0</v>
      </c>
      <c r="U480" s="25">
        <v>45005</v>
      </c>
      <c r="V480" s="63" t="str">
        <f>IF(MONTH(Table22[[#This Row],[Sales Date]])&lt;=3,"Q1",IF(MONTH(Table22[[#This Row],[Sales Date]])&lt;=6,"Q2",IF(MONTH(Table22[[#This Row],[Sales Date]])&lt;=9,"Q3","Q4")))</f>
        <v>Q1</v>
      </c>
      <c r="W480" s="64">
        <f>YEAR(Table22[[#This Row],[Sales Date]])</f>
        <v>2023</v>
      </c>
      <c r="X480" s="23">
        <v>40</v>
      </c>
      <c r="Y480" s="18" t="s">
        <v>41</v>
      </c>
      <c r="Z480" s="18" t="s">
        <v>30</v>
      </c>
      <c r="AA480" s="19" t="s">
        <v>36</v>
      </c>
    </row>
    <row r="481" spans="1:27" x14ac:dyDescent="0.25">
      <c r="A481" s="17" t="s">
        <v>867</v>
      </c>
      <c r="B481" s="18" t="s">
        <v>66</v>
      </c>
      <c r="C481" s="63" t="str" cm="1">
        <f t="array" ref="C481">_xlfn.SWITCH(Table22[[#This Row],[Country]],"USA","North America","Canada","North America","Brazil","South America","China","Asia","Japan","Asia","India","Asia","France","Europe","Germany","Europe","UK","Europe","Australia","Oceania","South America")</f>
        <v>North America</v>
      </c>
      <c r="D481" s="18" t="s">
        <v>44</v>
      </c>
      <c r="E481" s="18" t="s">
        <v>39</v>
      </c>
      <c r="F481" s="18" t="s">
        <v>20</v>
      </c>
      <c r="G481" s="18" t="s">
        <v>48</v>
      </c>
      <c r="H481" s="64">
        <f>LEN(TRIM(Table22[[#This Row],[Country]]))</f>
        <v>6</v>
      </c>
      <c r="I481" s="64">
        <f>LEN(TRIM(Table22[[#This Row],[Continent]]))</f>
        <v>13</v>
      </c>
      <c r="J481" s="64">
        <f>LEN(TRIM(Table22[[#This Row],[Product]]))</f>
        <v>10</v>
      </c>
      <c r="K481" s="64">
        <f>LEN(TRIM(Table22[[#This Row],[Sales Team]]))</f>
        <v>9</v>
      </c>
      <c r="L481" s="23">
        <v>74</v>
      </c>
      <c r="M481" s="65" t="str" cm="1">
        <f t="array" ref="M481">_xlfn.IFS(Table22[[#This Row],[Units Sold]]&lt;40,"Critical",Table22[[#This Row],[Units Sold]]&lt;=50,"Poor",Table22[[#This Row],[Units Sold]]&lt;=60,"Low",Table22[[#This Row],[Units Sold]]&lt;=80,"Average",Table22[[#This Row],[Units Sold]]&lt;=90,"High",Table22[[#This Row],[Units Sold]]&lt;=95,"Excellent",Table22[[#This Row],[Units Sold]]&gt;95,"Outstanding")</f>
        <v>Average</v>
      </c>
      <c r="N481" s="29">
        <v>836.69</v>
      </c>
      <c r="O481" s="29">
        <v>61915.06</v>
      </c>
      <c r="P481" s="43">
        <f>IF(Table22[[#This Row],[Discount Applied]],Table22[[#This Row],[Total Sales (in USD)]]*(1-Table22[[#This Row],[Discount Percentage (%)]]/100),Table22[[#This Row],[Total Sales (in USD)]])</f>
        <v>50436.007875999996</v>
      </c>
      <c r="Q481" s="66">
        <f>SQRT(AVERAGE((Table22[[#This Row],[Net Sales (after discount) (in USD)]]-AVERAGE(Table22[Net Sales (after discount) (in USD)]))^2))</f>
        <v>13924.647312235458</v>
      </c>
      <c r="R481" s="18" t="b">
        <v>1</v>
      </c>
      <c r="S481" s="40">
        <v>18.54</v>
      </c>
      <c r="T481" s="18" t="b">
        <v>1</v>
      </c>
      <c r="U481" s="25">
        <v>45512</v>
      </c>
      <c r="V481" s="63" t="str">
        <f>IF(MONTH(Table22[[#This Row],[Sales Date]])&lt;=3,"Q1",IF(MONTH(Table22[[#This Row],[Sales Date]])&lt;=6,"Q2",IF(MONTH(Table22[[#This Row],[Sales Date]])&lt;=9,"Q3","Q4")))</f>
        <v>Q3</v>
      </c>
      <c r="W481" s="64">
        <f>YEAR(Table22[[#This Row],[Sales Date]])</f>
        <v>2024</v>
      </c>
      <c r="X481" s="23">
        <v>61</v>
      </c>
      <c r="Y481" s="18" t="s">
        <v>23</v>
      </c>
      <c r="Z481" s="18" t="s">
        <v>56</v>
      </c>
      <c r="AA481" s="19" t="s">
        <v>36</v>
      </c>
    </row>
    <row r="482" spans="1:27" x14ac:dyDescent="0.25">
      <c r="A482" s="17" t="s">
        <v>1500</v>
      </c>
      <c r="B482" s="18" t="s">
        <v>38</v>
      </c>
      <c r="C482" s="63" t="str" cm="1">
        <f t="array" ref="C482">_xlfn.SWITCH(Table22[[#This Row],[Country]],"USA","North America","Canada","North America","Brazil","South America","China","Asia","Japan","Asia","India","Asia","France","Europe","Germany","Europe","UK","Europe","Australia","Oceania","South America")</f>
        <v>Europe</v>
      </c>
      <c r="D482" s="18" t="s">
        <v>28</v>
      </c>
      <c r="E482" s="18" t="s">
        <v>19</v>
      </c>
      <c r="F482" s="18" t="s">
        <v>34</v>
      </c>
      <c r="G482" s="18" t="s">
        <v>48</v>
      </c>
      <c r="H482" s="64">
        <f>LEN(TRIM(Table22[[#This Row],[Country]]))</f>
        <v>6</v>
      </c>
      <c r="I482" s="64">
        <f>LEN(TRIM(Table22[[#This Row],[Continent]]))</f>
        <v>6</v>
      </c>
      <c r="J482" s="64">
        <f>LEN(TRIM(Table22[[#This Row],[Product]]))</f>
        <v>6</v>
      </c>
      <c r="K482" s="64">
        <f>LEN(TRIM(Table22[[#This Row],[Sales Team]]))</f>
        <v>9</v>
      </c>
      <c r="L482" s="23">
        <v>52</v>
      </c>
      <c r="M482" s="65" t="str" cm="1">
        <f t="array" ref="M482">_xlfn.IFS(Table22[[#This Row],[Units Sold]]&lt;40,"Critical",Table22[[#This Row],[Units Sold]]&lt;=50,"Poor",Table22[[#This Row],[Units Sold]]&lt;=60,"Low",Table22[[#This Row],[Units Sold]]&lt;=80,"Average",Table22[[#This Row],[Units Sold]]&lt;=90,"High",Table22[[#This Row],[Units Sold]]&lt;=95,"Excellent",Table22[[#This Row],[Units Sold]]&gt;95,"Outstanding")</f>
        <v>Low</v>
      </c>
      <c r="N482" s="29">
        <v>1190.17</v>
      </c>
      <c r="O482" s="29">
        <v>61888.84</v>
      </c>
      <c r="P482" s="43">
        <f>IF(Table22[[#This Row],[Discount Applied]],Table22[[#This Row],[Total Sales (in USD)]]*(1-Table22[[#This Row],[Discount Percentage (%)]]/100),Table22[[#This Row],[Total Sales (in USD)]])</f>
        <v>48248.539664000004</v>
      </c>
      <c r="Q482" s="66">
        <f>SQRT(AVERAGE((Table22[[#This Row],[Net Sales (after discount) (in USD)]]-AVERAGE(Table22[Net Sales (after discount) (in USD)]))^2))</f>
        <v>11737.179100235466</v>
      </c>
      <c r="R482" s="18" t="b">
        <v>1</v>
      </c>
      <c r="S482" s="40">
        <v>22.04</v>
      </c>
      <c r="T482" s="18" t="b">
        <v>1</v>
      </c>
      <c r="U482" s="25">
        <v>45048</v>
      </c>
      <c r="V482" s="63" t="str">
        <f>IF(MONTH(Table22[[#This Row],[Sales Date]])&lt;=3,"Q1",IF(MONTH(Table22[[#This Row],[Sales Date]])&lt;=6,"Q2",IF(MONTH(Table22[[#This Row],[Sales Date]])&lt;=9,"Q3","Q4")))</f>
        <v>Q2</v>
      </c>
      <c r="W482" s="64">
        <f>YEAR(Table22[[#This Row],[Sales Date]])</f>
        <v>2023</v>
      </c>
      <c r="X482" s="23">
        <v>34</v>
      </c>
      <c r="Y482" s="18" t="s">
        <v>49</v>
      </c>
      <c r="Z482" s="18" t="s">
        <v>30</v>
      </c>
      <c r="AA482" s="19" t="s">
        <v>36</v>
      </c>
    </row>
    <row r="483" spans="1:27" x14ac:dyDescent="0.25">
      <c r="A483" s="17" t="s">
        <v>1409</v>
      </c>
      <c r="B483" s="18" t="s">
        <v>27</v>
      </c>
      <c r="C483" s="63" t="str" cm="1">
        <f t="array" ref="C483">_xlfn.SWITCH(Table22[[#This Row],[Country]],"USA","North America","Canada","North America","Brazil","South America","China","Asia","Japan","Asia","India","Asia","France","Europe","Germany","Europe","UK","Europe","Australia","Oceania","South America")</f>
        <v>Europe</v>
      </c>
      <c r="D483" s="18" t="s">
        <v>28</v>
      </c>
      <c r="E483" s="18" t="s">
        <v>33</v>
      </c>
      <c r="F483" s="18" t="s">
        <v>47</v>
      </c>
      <c r="G483" s="18" t="s">
        <v>48</v>
      </c>
      <c r="H483" s="64">
        <f>LEN(TRIM(Table22[[#This Row],[Country]]))</f>
        <v>7</v>
      </c>
      <c r="I483" s="64">
        <f>LEN(TRIM(Table22[[#This Row],[Continent]]))</f>
        <v>6</v>
      </c>
      <c r="J483" s="64">
        <f>LEN(TRIM(Table22[[#This Row],[Product]]))</f>
        <v>10</v>
      </c>
      <c r="K483" s="64">
        <f>LEN(TRIM(Table22[[#This Row],[Sales Team]]))</f>
        <v>9</v>
      </c>
      <c r="L483" s="23">
        <v>67</v>
      </c>
      <c r="M483" s="65" t="str" cm="1">
        <f t="array" ref="M483">_xlfn.IFS(Table22[[#This Row],[Units Sold]]&lt;40,"Critical",Table22[[#This Row],[Units Sold]]&lt;=50,"Poor",Table22[[#This Row],[Units Sold]]&lt;=60,"Low",Table22[[#This Row],[Units Sold]]&lt;=80,"Average",Table22[[#This Row],[Units Sold]]&lt;=90,"High",Table22[[#This Row],[Units Sold]]&lt;=95,"Excellent",Table22[[#This Row],[Units Sold]]&gt;95,"Outstanding")</f>
        <v>Average</v>
      </c>
      <c r="N483" s="29">
        <v>921.97</v>
      </c>
      <c r="O483" s="29">
        <v>61771.99</v>
      </c>
      <c r="P483" s="43">
        <f>IF(Table22[[#This Row],[Discount Applied]],Table22[[#This Row],[Total Sales (in USD)]]*(1-Table22[[#This Row],[Discount Percentage (%)]]/100),Table22[[#This Row],[Total Sales (in USD)]])</f>
        <v>57491.191092999994</v>
      </c>
      <c r="Q483" s="66">
        <f>SQRT(AVERAGE((Table22[[#This Row],[Net Sales (after discount) (in USD)]]-AVERAGE(Table22[Net Sales (after discount) (in USD)]))^2))</f>
        <v>20979.830529235456</v>
      </c>
      <c r="R483" s="18" t="b">
        <v>1</v>
      </c>
      <c r="S483" s="40">
        <v>6.93</v>
      </c>
      <c r="T483" s="18" t="b">
        <v>1</v>
      </c>
      <c r="U483" s="25">
        <v>45489</v>
      </c>
      <c r="V483" s="63" t="str">
        <f>IF(MONTH(Table22[[#This Row],[Sales Date]])&lt;=3,"Q1",IF(MONTH(Table22[[#This Row],[Sales Date]])&lt;=6,"Q2",IF(MONTH(Table22[[#This Row],[Sales Date]])&lt;=9,"Q3","Q4")))</f>
        <v>Q3</v>
      </c>
      <c r="W483" s="64">
        <f>YEAR(Table22[[#This Row],[Sales Date]])</f>
        <v>2024</v>
      </c>
      <c r="X483" s="23">
        <v>22</v>
      </c>
      <c r="Y483" s="18" t="s">
        <v>41</v>
      </c>
      <c r="Z483" s="18" t="s">
        <v>30</v>
      </c>
      <c r="AA483" s="19" t="s">
        <v>36</v>
      </c>
    </row>
    <row r="484" spans="1:27" x14ac:dyDescent="0.25">
      <c r="A484" s="17" t="s">
        <v>1634</v>
      </c>
      <c r="B484" s="18" t="s">
        <v>62</v>
      </c>
      <c r="C484" s="63" t="str" cm="1">
        <f t="array" ref="C484">_xlfn.SWITCH(Table22[[#This Row],[Country]],"USA","North America","Canada","North America","Brazil","South America","China","Asia","Japan","Asia","India","Asia","France","Europe","Germany","Europe","UK","Europe","Australia","Oceania","South America")</f>
        <v>Oceania</v>
      </c>
      <c r="D484" s="18" t="s">
        <v>44</v>
      </c>
      <c r="E484" s="18" t="s">
        <v>19</v>
      </c>
      <c r="F484" s="18" t="s">
        <v>20</v>
      </c>
      <c r="G484" s="18" t="s">
        <v>48</v>
      </c>
      <c r="H484" s="64">
        <f>LEN(TRIM(Table22[[#This Row],[Country]]))</f>
        <v>9</v>
      </c>
      <c r="I484" s="64">
        <f>LEN(TRIM(Table22[[#This Row],[Continent]]))</f>
        <v>7</v>
      </c>
      <c r="J484" s="64">
        <f>LEN(TRIM(Table22[[#This Row],[Product]]))</f>
        <v>6</v>
      </c>
      <c r="K484" s="64">
        <f>LEN(TRIM(Table22[[#This Row],[Sales Team]]))</f>
        <v>9</v>
      </c>
      <c r="L484" s="23">
        <v>99</v>
      </c>
      <c r="M484" s="65" t="str" cm="1">
        <f t="array" ref="M484">_xlfn.IFS(Table22[[#This Row],[Units Sold]]&lt;40,"Critical",Table22[[#This Row],[Units Sold]]&lt;=50,"Poor",Table22[[#This Row],[Units Sold]]&lt;=60,"Low",Table22[[#This Row],[Units Sold]]&lt;=80,"Average",Table22[[#This Row],[Units Sold]]&lt;=90,"High",Table22[[#This Row],[Units Sold]]&lt;=95,"Excellent",Table22[[#This Row],[Units Sold]]&gt;95,"Outstanding")</f>
        <v>Outstanding</v>
      </c>
      <c r="N484" s="29">
        <v>623.82000000000005</v>
      </c>
      <c r="O484" s="29">
        <v>61758.18</v>
      </c>
      <c r="P484" s="43">
        <f>IF(Table22[[#This Row],[Discount Applied]],Table22[[#This Row],[Total Sales (in USD)]]*(1-Table22[[#This Row],[Discount Percentage (%)]]/100),Table22[[#This Row],[Total Sales (in USD)]])</f>
        <v>53488.759698000002</v>
      </c>
      <c r="Q484" s="66">
        <f>SQRT(AVERAGE((Table22[[#This Row],[Net Sales (after discount) (in USD)]]-AVERAGE(Table22[Net Sales (after discount) (in USD)]))^2))</f>
        <v>16977.399134235464</v>
      </c>
      <c r="R484" s="18" t="b">
        <v>1</v>
      </c>
      <c r="S484" s="40">
        <v>13.39</v>
      </c>
      <c r="T484" s="18" t="b">
        <v>1</v>
      </c>
      <c r="U484" s="25">
        <v>45471</v>
      </c>
      <c r="V484" s="63" t="str">
        <f>IF(MONTH(Table22[[#This Row],[Sales Date]])&lt;=3,"Q1",IF(MONTH(Table22[[#This Row],[Sales Date]])&lt;=6,"Q2",IF(MONTH(Table22[[#This Row],[Sales Date]])&lt;=9,"Q3","Q4")))</f>
        <v>Q2</v>
      </c>
      <c r="W484" s="64">
        <f>YEAR(Table22[[#This Row],[Sales Date]])</f>
        <v>2024</v>
      </c>
      <c r="X484" s="23">
        <v>40</v>
      </c>
      <c r="Y484" s="18" t="s">
        <v>41</v>
      </c>
      <c r="Z484" s="18" t="s">
        <v>42</v>
      </c>
      <c r="AA484" s="19" t="s">
        <v>25</v>
      </c>
    </row>
    <row r="485" spans="1:27" x14ac:dyDescent="0.25">
      <c r="A485" s="17" t="s">
        <v>1434</v>
      </c>
      <c r="B485" s="18" t="s">
        <v>66</v>
      </c>
      <c r="C485" s="63" t="str" cm="1">
        <f t="array" ref="C485">_xlfn.SWITCH(Table22[[#This Row],[Country]],"USA","North America","Canada","North America","Brazil","South America","China","Asia","Japan","Asia","India","Asia","France","Europe","Germany","Europe","UK","Europe","Australia","Oceania","South America")</f>
        <v>North America</v>
      </c>
      <c r="D485" s="18" t="s">
        <v>44</v>
      </c>
      <c r="E485" s="18" t="s">
        <v>33</v>
      </c>
      <c r="F485" s="18" t="s">
        <v>64</v>
      </c>
      <c r="G485" s="18" t="s">
        <v>40</v>
      </c>
      <c r="H485" s="64">
        <f>LEN(TRIM(Table22[[#This Row],[Country]]))</f>
        <v>6</v>
      </c>
      <c r="I485" s="64">
        <f>LEN(TRIM(Table22[[#This Row],[Continent]]))</f>
        <v>13</v>
      </c>
      <c r="J485" s="64">
        <f>LEN(TRIM(Table22[[#This Row],[Product]]))</f>
        <v>10</v>
      </c>
      <c r="K485" s="64">
        <f>LEN(TRIM(Table22[[#This Row],[Sales Team]]))</f>
        <v>10</v>
      </c>
      <c r="L485" s="23">
        <v>95</v>
      </c>
      <c r="M485" s="65" t="str" cm="1">
        <f t="array" ref="M485">_xlfn.IFS(Table22[[#This Row],[Units Sold]]&lt;40,"Critical",Table22[[#This Row],[Units Sold]]&lt;=50,"Poor",Table22[[#This Row],[Units Sold]]&lt;=60,"Low",Table22[[#This Row],[Units Sold]]&lt;=80,"Average",Table22[[#This Row],[Units Sold]]&lt;=90,"High",Table22[[#This Row],[Units Sold]]&lt;=95,"Excellent",Table22[[#This Row],[Units Sold]]&gt;95,"Outstanding")</f>
        <v>Excellent</v>
      </c>
      <c r="N485" s="29">
        <v>649.14</v>
      </c>
      <c r="O485" s="29">
        <v>61668.3</v>
      </c>
      <c r="P485" s="43">
        <f>IF(Table22[[#This Row],[Discount Applied]],Table22[[#This Row],[Total Sales (in USD)]]*(1-Table22[[#This Row],[Discount Percentage (%)]]/100),Table22[[#This Row],[Total Sales (in USD)]])</f>
        <v>61433.960460000002</v>
      </c>
      <c r="Q485" s="66">
        <f>SQRT(AVERAGE((Table22[[#This Row],[Net Sales (after discount) (in USD)]]-AVERAGE(Table22[Net Sales (after discount) (in USD)]))^2))</f>
        <v>24922.599896235464</v>
      </c>
      <c r="R485" s="18" t="b">
        <v>1</v>
      </c>
      <c r="S485" s="40">
        <v>0.38</v>
      </c>
      <c r="T485" s="18" t="b">
        <v>1</v>
      </c>
      <c r="U485" s="25">
        <v>45223</v>
      </c>
      <c r="V485" s="63" t="str">
        <f>IF(MONTH(Table22[[#This Row],[Sales Date]])&lt;=3,"Q1",IF(MONTH(Table22[[#This Row],[Sales Date]])&lt;=6,"Q2",IF(MONTH(Table22[[#This Row],[Sales Date]])&lt;=9,"Q3","Q4")))</f>
        <v>Q4</v>
      </c>
      <c r="W485" s="64">
        <f>YEAR(Table22[[#This Row],[Sales Date]])</f>
        <v>2023</v>
      </c>
      <c r="X485" s="23">
        <v>47</v>
      </c>
      <c r="Y485" s="18" t="s">
        <v>41</v>
      </c>
      <c r="Z485" s="18" t="s">
        <v>30</v>
      </c>
      <c r="AA485" s="19" t="s">
        <v>25</v>
      </c>
    </row>
    <row r="486" spans="1:27" x14ac:dyDescent="0.25">
      <c r="A486" s="17" t="s">
        <v>589</v>
      </c>
      <c r="B486" s="18" t="s">
        <v>46</v>
      </c>
      <c r="C486" s="63" t="str" cm="1">
        <f t="array" ref="C486">_xlfn.SWITCH(Table22[[#This Row],[Country]],"USA","North America","Canada","North America","Brazil","South America","China","Asia","Japan","Asia","India","Asia","France","Europe","Germany","Europe","UK","Europe","Australia","Oceania","South America")</f>
        <v>South America</v>
      </c>
      <c r="D486" s="18" t="s">
        <v>44</v>
      </c>
      <c r="E486" s="18" t="s">
        <v>33</v>
      </c>
      <c r="F486" s="18" t="s">
        <v>64</v>
      </c>
      <c r="G486" s="18" t="s">
        <v>29</v>
      </c>
      <c r="H486" s="64">
        <f>LEN(TRIM(Table22[[#This Row],[Country]]))</f>
        <v>6</v>
      </c>
      <c r="I486" s="64">
        <f>LEN(TRIM(Table22[[#This Row],[Continent]]))</f>
        <v>13</v>
      </c>
      <c r="J486" s="64">
        <f>LEN(TRIM(Table22[[#This Row],[Product]]))</f>
        <v>10</v>
      </c>
      <c r="K486" s="64">
        <f>LEN(TRIM(Table22[[#This Row],[Sales Team]]))</f>
        <v>10</v>
      </c>
      <c r="L486" s="23">
        <v>49</v>
      </c>
      <c r="M486" s="65" t="str" cm="1">
        <f t="array" ref="M486">_xlfn.IFS(Table22[[#This Row],[Units Sold]]&lt;40,"Critical",Table22[[#This Row],[Units Sold]]&lt;=50,"Poor",Table22[[#This Row],[Units Sold]]&lt;=60,"Low",Table22[[#This Row],[Units Sold]]&lt;=80,"Average",Table22[[#This Row],[Units Sold]]&lt;=90,"High",Table22[[#This Row],[Units Sold]]&lt;=95,"Excellent",Table22[[#This Row],[Units Sold]]&gt;95,"Outstanding")</f>
        <v>Poor</v>
      </c>
      <c r="N486" s="29">
        <v>1258.4000000000001</v>
      </c>
      <c r="O486" s="29">
        <v>61661.599999999999</v>
      </c>
      <c r="P486" s="43">
        <f>IF(Table22[[#This Row],[Discount Applied]],Table22[[#This Row],[Total Sales (in USD)]]*(1-Table22[[#This Row],[Discount Percentage (%)]]/100),Table22[[#This Row],[Total Sales (in USD)]])</f>
        <v>61661.599999999999</v>
      </c>
      <c r="Q486" s="66">
        <f>SQRT(AVERAGE((Table22[[#This Row],[Net Sales (after discount) (in USD)]]-AVERAGE(Table22[Net Sales (after discount) (in USD)]))^2))</f>
        <v>25150.239436235461</v>
      </c>
      <c r="R486" s="18" t="b">
        <v>1</v>
      </c>
      <c r="S486" s="40">
        <v>15.8</v>
      </c>
      <c r="T486" s="18" t="b">
        <v>0</v>
      </c>
      <c r="U486" s="25">
        <v>45474</v>
      </c>
      <c r="V486" s="63" t="str">
        <f>IF(MONTH(Table22[[#This Row],[Sales Date]])&lt;=3,"Q1",IF(MONTH(Table22[[#This Row],[Sales Date]])&lt;=6,"Q2",IF(MONTH(Table22[[#This Row],[Sales Date]])&lt;=9,"Q3","Q4")))</f>
        <v>Q3</v>
      </c>
      <c r="W486" s="64">
        <f>YEAR(Table22[[#This Row],[Sales Date]])</f>
        <v>2024</v>
      </c>
      <c r="X486" s="23">
        <v>40</v>
      </c>
      <c r="Y486" s="18" t="s">
        <v>23</v>
      </c>
      <c r="Z486" s="18" t="s">
        <v>30</v>
      </c>
      <c r="AA486" s="19" t="s">
        <v>25</v>
      </c>
    </row>
    <row r="487" spans="1:27" x14ac:dyDescent="0.25">
      <c r="A487" s="17" t="s">
        <v>870</v>
      </c>
      <c r="B487" s="18" t="s">
        <v>72</v>
      </c>
      <c r="C487" s="63" t="str" cm="1">
        <f t="array" ref="C487">_xlfn.SWITCH(Table22[[#This Row],[Country]],"USA","North America","Canada","North America","Brazil","South America","China","Asia","Japan","Asia","India","Asia","France","Europe","Germany","Europe","UK","Europe","Australia","Oceania","South America")</f>
        <v>North America</v>
      </c>
      <c r="D487" s="18" t="s">
        <v>21</v>
      </c>
      <c r="E487" s="18" t="s">
        <v>33</v>
      </c>
      <c r="F487" s="18" t="s">
        <v>47</v>
      </c>
      <c r="G487" s="18" t="s">
        <v>48</v>
      </c>
      <c r="H487" s="64">
        <f>LEN(TRIM(Table22[[#This Row],[Country]]))</f>
        <v>3</v>
      </c>
      <c r="I487" s="64">
        <f>LEN(TRIM(Table22[[#This Row],[Continent]]))</f>
        <v>13</v>
      </c>
      <c r="J487" s="64">
        <f>LEN(TRIM(Table22[[#This Row],[Product]]))</f>
        <v>10</v>
      </c>
      <c r="K487" s="64">
        <f>LEN(TRIM(Table22[[#This Row],[Sales Team]]))</f>
        <v>9</v>
      </c>
      <c r="L487" s="23">
        <v>72</v>
      </c>
      <c r="M487" s="65" t="str" cm="1">
        <f t="array" ref="M487">_xlfn.IFS(Table22[[#This Row],[Units Sold]]&lt;40,"Critical",Table22[[#This Row],[Units Sold]]&lt;=50,"Poor",Table22[[#This Row],[Units Sold]]&lt;=60,"Low",Table22[[#This Row],[Units Sold]]&lt;=80,"Average",Table22[[#This Row],[Units Sold]]&lt;=90,"High",Table22[[#This Row],[Units Sold]]&lt;=95,"Excellent",Table22[[#This Row],[Units Sold]]&gt;95,"Outstanding")</f>
        <v>Average</v>
      </c>
      <c r="N487" s="29">
        <v>855.77</v>
      </c>
      <c r="O487" s="29">
        <v>61615.44</v>
      </c>
      <c r="P487" s="43">
        <f>IF(Table22[[#This Row],[Discount Applied]],Table22[[#This Row],[Total Sales (in USD)]]*(1-Table22[[#This Row],[Discount Percentage (%)]]/100),Table22[[#This Row],[Total Sales (in USD)]])</f>
        <v>61615.44</v>
      </c>
      <c r="Q487" s="66">
        <f>SQRT(AVERAGE((Table22[[#This Row],[Net Sales (after discount) (in USD)]]-AVERAGE(Table22[Net Sales (after discount) (in USD)]))^2))</f>
        <v>25104.079436235465</v>
      </c>
      <c r="R487" s="18" t="b">
        <v>1</v>
      </c>
      <c r="S487" s="40">
        <v>4.59</v>
      </c>
      <c r="T487" s="18" t="b">
        <v>0</v>
      </c>
      <c r="U487" s="25">
        <v>45339</v>
      </c>
      <c r="V487" s="63" t="str">
        <f>IF(MONTH(Table22[[#This Row],[Sales Date]])&lt;=3,"Q1",IF(MONTH(Table22[[#This Row],[Sales Date]])&lt;=6,"Q2",IF(MONTH(Table22[[#This Row],[Sales Date]])&lt;=9,"Q3","Q4")))</f>
        <v>Q1</v>
      </c>
      <c r="W487" s="64">
        <f>YEAR(Table22[[#This Row],[Sales Date]])</f>
        <v>2024</v>
      </c>
      <c r="X487" s="23">
        <v>61</v>
      </c>
      <c r="Y487" s="18" t="s">
        <v>49</v>
      </c>
      <c r="Z487" s="18" t="s">
        <v>42</v>
      </c>
      <c r="AA487" s="19" t="s">
        <v>25</v>
      </c>
    </row>
    <row r="488" spans="1:27" x14ac:dyDescent="0.25">
      <c r="A488" s="17" t="s">
        <v>519</v>
      </c>
      <c r="B488" s="18" t="s">
        <v>66</v>
      </c>
      <c r="C488" s="63" t="str" cm="1">
        <f t="array" ref="C488">_xlfn.SWITCH(Table22[[#This Row],[Country]],"USA","North America","Canada","North America","Brazil","South America","China","Asia","Japan","Asia","India","Asia","France","Europe","Germany","Europe","UK","Europe","Australia","Oceania","South America")</f>
        <v>North America</v>
      </c>
      <c r="D488" s="18" t="s">
        <v>28</v>
      </c>
      <c r="E488" s="18" t="s">
        <v>39</v>
      </c>
      <c r="F488" s="18" t="s">
        <v>47</v>
      </c>
      <c r="G488" s="18" t="s">
        <v>29</v>
      </c>
      <c r="H488" s="64">
        <f>LEN(TRIM(Table22[[#This Row],[Country]]))</f>
        <v>6</v>
      </c>
      <c r="I488" s="64">
        <f>LEN(TRIM(Table22[[#This Row],[Continent]]))</f>
        <v>13</v>
      </c>
      <c r="J488" s="64">
        <f>LEN(TRIM(Table22[[#This Row],[Product]]))</f>
        <v>10</v>
      </c>
      <c r="K488" s="64">
        <f>LEN(TRIM(Table22[[#This Row],[Sales Team]]))</f>
        <v>10</v>
      </c>
      <c r="L488" s="23">
        <v>51</v>
      </c>
      <c r="M488" s="65" t="str" cm="1">
        <f t="array" ref="M488">_xlfn.IFS(Table22[[#This Row],[Units Sold]]&lt;40,"Critical",Table22[[#This Row],[Units Sold]]&lt;=50,"Poor",Table22[[#This Row],[Units Sold]]&lt;=60,"Low",Table22[[#This Row],[Units Sold]]&lt;=80,"Average",Table22[[#This Row],[Units Sold]]&lt;=90,"High",Table22[[#This Row],[Units Sold]]&lt;=95,"Excellent",Table22[[#This Row],[Units Sold]]&gt;95,"Outstanding")</f>
        <v>Low</v>
      </c>
      <c r="N488" s="29">
        <v>1205.43</v>
      </c>
      <c r="O488" s="29">
        <v>61476.93</v>
      </c>
      <c r="P488" s="43">
        <f>IF(Table22[[#This Row],[Discount Applied]],Table22[[#This Row],[Total Sales (in USD)]]*(1-Table22[[#This Row],[Discount Percentage (%)]]/100),Table22[[#This Row],[Total Sales (in USD)]])</f>
        <v>49439.747106000003</v>
      </c>
      <c r="Q488" s="66">
        <f>SQRT(AVERAGE((Table22[[#This Row],[Net Sales (after discount) (in USD)]]-AVERAGE(Table22[Net Sales (after discount) (in USD)]))^2))</f>
        <v>12928.386542235465</v>
      </c>
      <c r="R488" s="18" t="b">
        <v>0</v>
      </c>
      <c r="S488" s="40">
        <v>19.579999999999998</v>
      </c>
      <c r="T488" s="18" t="b">
        <v>1</v>
      </c>
      <c r="U488" s="25">
        <v>45451</v>
      </c>
      <c r="V488" s="63" t="str">
        <f>IF(MONTH(Table22[[#This Row],[Sales Date]])&lt;=3,"Q1",IF(MONTH(Table22[[#This Row],[Sales Date]])&lt;=6,"Q2",IF(MONTH(Table22[[#This Row],[Sales Date]])&lt;=9,"Q3","Q4")))</f>
        <v>Q2</v>
      </c>
      <c r="W488" s="64">
        <f>YEAR(Table22[[#This Row],[Sales Date]])</f>
        <v>2024</v>
      </c>
      <c r="X488" s="23">
        <v>53</v>
      </c>
      <c r="Y488" s="18" t="s">
        <v>23</v>
      </c>
      <c r="Z488" s="18" t="s">
        <v>30</v>
      </c>
      <c r="AA488" s="19" t="s">
        <v>25</v>
      </c>
    </row>
    <row r="489" spans="1:27" x14ac:dyDescent="0.25">
      <c r="A489" s="17" t="s">
        <v>761</v>
      </c>
      <c r="B489" s="18" t="s">
        <v>27</v>
      </c>
      <c r="C489" s="63" t="str" cm="1">
        <f t="array" ref="C489">_xlfn.SWITCH(Table22[[#This Row],[Country]],"USA","North America","Canada","North America","Brazil","South America","China","Asia","Japan","Asia","India","Asia","France","Europe","Germany","Europe","UK","Europe","Australia","Oceania","South America")</f>
        <v>Europe</v>
      </c>
      <c r="D489" s="18" t="s">
        <v>35</v>
      </c>
      <c r="E489" s="18" t="s">
        <v>33</v>
      </c>
      <c r="F489" s="18" t="s">
        <v>34</v>
      </c>
      <c r="G489" s="18" t="s">
        <v>40</v>
      </c>
      <c r="H489" s="64">
        <f>LEN(TRIM(Table22[[#This Row],[Country]]))</f>
        <v>7</v>
      </c>
      <c r="I489" s="64">
        <f>LEN(TRIM(Table22[[#This Row],[Continent]]))</f>
        <v>6</v>
      </c>
      <c r="J489" s="64">
        <f>LEN(TRIM(Table22[[#This Row],[Product]]))</f>
        <v>10</v>
      </c>
      <c r="K489" s="64">
        <f>LEN(TRIM(Table22[[#This Row],[Sales Team]]))</f>
        <v>10</v>
      </c>
      <c r="L489" s="23">
        <v>75</v>
      </c>
      <c r="M489" s="65" t="str" cm="1">
        <f t="array" ref="M489">_xlfn.IFS(Table22[[#This Row],[Units Sold]]&lt;40,"Critical",Table22[[#This Row],[Units Sold]]&lt;=50,"Poor",Table22[[#This Row],[Units Sold]]&lt;=60,"Low",Table22[[#This Row],[Units Sold]]&lt;=80,"Average",Table22[[#This Row],[Units Sold]]&lt;=90,"High",Table22[[#This Row],[Units Sold]]&lt;=95,"Excellent",Table22[[#This Row],[Units Sold]]&gt;95,"Outstanding")</f>
        <v>Average</v>
      </c>
      <c r="N489" s="29">
        <v>818.35</v>
      </c>
      <c r="O489" s="29">
        <v>61376.25</v>
      </c>
      <c r="P489" s="43">
        <f>IF(Table22[[#This Row],[Discount Applied]],Table22[[#This Row],[Total Sales (in USD)]]*(1-Table22[[#This Row],[Discount Percentage (%)]]/100),Table22[[#This Row],[Total Sales (in USD)]])</f>
        <v>61376.25</v>
      </c>
      <c r="Q489" s="66">
        <f>SQRT(AVERAGE((Table22[[#This Row],[Net Sales (after discount) (in USD)]]-AVERAGE(Table22[Net Sales (after discount) (in USD)]))^2))</f>
        <v>24864.889436235462</v>
      </c>
      <c r="R489" s="18" t="b">
        <v>1</v>
      </c>
      <c r="S489" s="40">
        <v>17.32</v>
      </c>
      <c r="T489" s="18" t="b">
        <v>0</v>
      </c>
      <c r="U489" s="25">
        <v>45388</v>
      </c>
      <c r="V489" s="63" t="str">
        <f>IF(MONTH(Table22[[#This Row],[Sales Date]])&lt;=3,"Q1",IF(MONTH(Table22[[#This Row],[Sales Date]])&lt;=6,"Q2",IF(MONTH(Table22[[#This Row],[Sales Date]])&lt;=9,"Q3","Q4")))</f>
        <v>Q2</v>
      </c>
      <c r="W489" s="64">
        <f>YEAR(Table22[[#This Row],[Sales Date]])</f>
        <v>2024</v>
      </c>
      <c r="X489" s="23">
        <v>56</v>
      </c>
      <c r="Y489" s="18" t="s">
        <v>23</v>
      </c>
      <c r="Z489" s="18" t="s">
        <v>24</v>
      </c>
      <c r="AA489" s="19" t="s">
        <v>25</v>
      </c>
    </row>
    <row r="490" spans="1:27" x14ac:dyDescent="0.25">
      <c r="A490" s="17" t="s">
        <v>1878</v>
      </c>
      <c r="B490" s="18" t="s">
        <v>72</v>
      </c>
      <c r="C490" s="63" t="str" cm="1">
        <f t="array" ref="C490">_xlfn.SWITCH(Table22[[#This Row],[Country]],"USA","North America","Canada","North America","Brazil","South America","China","Asia","Japan","Asia","India","Asia","France","Europe","Germany","Europe","UK","Europe","Australia","Oceania","South America")</f>
        <v>North America</v>
      </c>
      <c r="D490" s="18" t="s">
        <v>21</v>
      </c>
      <c r="E490" s="18" t="s">
        <v>39</v>
      </c>
      <c r="F490" s="18" t="s">
        <v>64</v>
      </c>
      <c r="G490" s="18" t="s">
        <v>29</v>
      </c>
      <c r="H490" s="64">
        <f>LEN(TRIM(Table22[[#This Row],[Country]]))</f>
        <v>3</v>
      </c>
      <c r="I490" s="64">
        <f>LEN(TRIM(Table22[[#This Row],[Continent]]))</f>
        <v>13</v>
      </c>
      <c r="J490" s="64">
        <f>LEN(TRIM(Table22[[#This Row],[Product]]))</f>
        <v>10</v>
      </c>
      <c r="K490" s="64">
        <f>LEN(TRIM(Table22[[#This Row],[Sales Team]]))</f>
        <v>10</v>
      </c>
      <c r="L490" s="23">
        <v>78</v>
      </c>
      <c r="M490" s="65" t="str" cm="1">
        <f t="array" ref="M490">_xlfn.IFS(Table22[[#This Row],[Units Sold]]&lt;40,"Critical",Table22[[#This Row],[Units Sold]]&lt;=50,"Poor",Table22[[#This Row],[Units Sold]]&lt;=60,"Low",Table22[[#This Row],[Units Sold]]&lt;=80,"Average",Table22[[#This Row],[Units Sold]]&lt;=90,"High",Table22[[#This Row],[Units Sold]]&lt;=95,"Excellent",Table22[[#This Row],[Units Sold]]&gt;95,"Outstanding")</f>
        <v>Average</v>
      </c>
      <c r="N490" s="29">
        <v>786.38</v>
      </c>
      <c r="O490" s="29">
        <v>61337.64</v>
      </c>
      <c r="P490" s="43">
        <f>IF(Table22[[#This Row],[Discount Applied]],Table22[[#This Row],[Total Sales (in USD)]]*(1-Table22[[#This Row],[Discount Percentage (%)]]/100),Table22[[#This Row],[Total Sales (in USD)]])</f>
        <v>61337.64</v>
      </c>
      <c r="Q490" s="66">
        <f>SQRT(AVERAGE((Table22[[#This Row],[Net Sales (after discount) (in USD)]]-AVERAGE(Table22[Net Sales (after discount) (in USD)]))^2))</f>
        <v>24826.279436235462</v>
      </c>
      <c r="R490" s="18" t="b">
        <v>1</v>
      </c>
      <c r="S490" s="40">
        <v>13.18</v>
      </c>
      <c r="T490" s="18" t="b">
        <v>0</v>
      </c>
      <c r="U490" s="25">
        <v>44993</v>
      </c>
      <c r="V490" s="63" t="str">
        <f>IF(MONTH(Table22[[#This Row],[Sales Date]])&lt;=3,"Q1",IF(MONTH(Table22[[#This Row],[Sales Date]])&lt;=6,"Q2",IF(MONTH(Table22[[#This Row],[Sales Date]])&lt;=9,"Q3","Q4")))</f>
        <v>Q1</v>
      </c>
      <c r="W490" s="64">
        <f>YEAR(Table22[[#This Row],[Sales Date]])</f>
        <v>2023</v>
      </c>
      <c r="X490" s="23">
        <v>67</v>
      </c>
      <c r="Y490" s="18" t="s">
        <v>41</v>
      </c>
      <c r="Z490" s="18" t="s">
        <v>56</v>
      </c>
      <c r="AA490" s="19" t="s">
        <v>36</v>
      </c>
    </row>
    <row r="491" spans="1:27" x14ac:dyDescent="0.25">
      <c r="A491" s="17" t="s">
        <v>1912</v>
      </c>
      <c r="B491" s="18" t="s">
        <v>76</v>
      </c>
      <c r="C491" s="63" t="str" cm="1">
        <f t="array" ref="C491">_xlfn.SWITCH(Table22[[#This Row],[Country]],"USA","North America","Canada","North America","Brazil","South America","China","Asia","Japan","Asia","India","Asia","France","Europe","Germany","Europe","UK","Europe","Australia","Oceania","South America")</f>
        <v>Asia</v>
      </c>
      <c r="D491" s="18" t="s">
        <v>44</v>
      </c>
      <c r="E491" s="18" t="s">
        <v>33</v>
      </c>
      <c r="F491" s="18" t="s">
        <v>52</v>
      </c>
      <c r="G491" s="18" t="s">
        <v>29</v>
      </c>
      <c r="H491" s="64">
        <f>LEN(TRIM(Table22[[#This Row],[Country]]))</f>
        <v>5</v>
      </c>
      <c r="I491" s="64">
        <f>LEN(TRIM(Table22[[#This Row],[Continent]]))</f>
        <v>4</v>
      </c>
      <c r="J491" s="64">
        <f>LEN(TRIM(Table22[[#This Row],[Product]]))</f>
        <v>10</v>
      </c>
      <c r="K491" s="64">
        <f>LEN(TRIM(Table22[[#This Row],[Sales Team]]))</f>
        <v>10</v>
      </c>
      <c r="L491" s="23">
        <v>68</v>
      </c>
      <c r="M491" s="65" t="str" cm="1">
        <f t="array" ref="M491">_xlfn.IFS(Table22[[#This Row],[Units Sold]]&lt;40,"Critical",Table22[[#This Row],[Units Sold]]&lt;=50,"Poor",Table22[[#This Row],[Units Sold]]&lt;=60,"Low",Table22[[#This Row],[Units Sold]]&lt;=80,"Average",Table22[[#This Row],[Units Sold]]&lt;=90,"High",Table22[[#This Row],[Units Sold]]&lt;=95,"Excellent",Table22[[#This Row],[Units Sold]]&gt;95,"Outstanding")</f>
        <v>Average</v>
      </c>
      <c r="N491" s="29">
        <v>901.41</v>
      </c>
      <c r="O491" s="29">
        <v>61295.88</v>
      </c>
      <c r="P491" s="43">
        <f>IF(Table22[[#This Row],[Discount Applied]],Table22[[#This Row],[Total Sales (in USD)]]*(1-Table22[[#This Row],[Discount Percentage (%)]]/100),Table22[[#This Row],[Total Sales (in USD)]])</f>
        <v>56012.175143999993</v>
      </c>
      <c r="Q491" s="66">
        <f>SQRT(AVERAGE((Table22[[#This Row],[Net Sales (after discount) (in USD)]]-AVERAGE(Table22[Net Sales (after discount) (in USD)]))^2))</f>
        <v>19500.814580235456</v>
      </c>
      <c r="R491" s="18" t="b">
        <v>0</v>
      </c>
      <c r="S491" s="40">
        <v>8.6199999999999992</v>
      </c>
      <c r="T491" s="18" t="b">
        <v>1</v>
      </c>
      <c r="U491" s="25">
        <v>45003</v>
      </c>
      <c r="V491" s="63" t="str">
        <f>IF(MONTH(Table22[[#This Row],[Sales Date]])&lt;=3,"Q1",IF(MONTH(Table22[[#This Row],[Sales Date]])&lt;=6,"Q2",IF(MONTH(Table22[[#This Row],[Sales Date]])&lt;=9,"Q3","Q4")))</f>
        <v>Q1</v>
      </c>
      <c r="W491" s="64">
        <f>YEAR(Table22[[#This Row],[Sales Date]])</f>
        <v>2023</v>
      </c>
      <c r="X491" s="23">
        <v>50</v>
      </c>
      <c r="Y491" s="18" t="s">
        <v>23</v>
      </c>
      <c r="Z491" s="18" t="s">
        <v>42</v>
      </c>
      <c r="AA491" s="19" t="s">
        <v>36</v>
      </c>
    </row>
    <row r="492" spans="1:27" x14ac:dyDescent="0.25">
      <c r="A492" s="17" t="s">
        <v>887</v>
      </c>
      <c r="B492" s="18" t="s">
        <v>62</v>
      </c>
      <c r="C492" s="63" t="str" cm="1">
        <f t="array" ref="C492">_xlfn.SWITCH(Table22[[#This Row],[Country]],"USA","North America","Canada","North America","Brazil","South America","China","Asia","Japan","Asia","India","Asia","France","Europe","Germany","Europe","UK","Europe","Australia","Oceania","South America")</f>
        <v>Oceania</v>
      </c>
      <c r="D492" s="18" t="s">
        <v>28</v>
      </c>
      <c r="E492" s="18" t="s">
        <v>33</v>
      </c>
      <c r="F492" s="18" t="s">
        <v>64</v>
      </c>
      <c r="G492" s="18" t="s">
        <v>48</v>
      </c>
      <c r="H492" s="64">
        <f>LEN(TRIM(Table22[[#This Row],[Country]]))</f>
        <v>9</v>
      </c>
      <c r="I492" s="64">
        <f>LEN(TRIM(Table22[[#This Row],[Continent]]))</f>
        <v>7</v>
      </c>
      <c r="J492" s="64">
        <f>LEN(TRIM(Table22[[#This Row],[Product]]))</f>
        <v>10</v>
      </c>
      <c r="K492" s="64">
        <f>LEN(TRIM(Table22[[#This Row],[Sales Team]]))</f>
        <v>9</v>
      </c>
      <c r="L492" s="23">
        <v>79</v>
      </c>
      <c r="M492" s="65" t="str" cm="1">
        <f t="array" ref="M492">_xlfn.IFS(Table22[[#This Row],[Units Sold]]&lt;40,"Critical",Table22[[#This Row],[Units Sold]]&lt;=50,"Poor",Table22[[#This Row],[Units Sold]]&lt;=60,"Low",Table22[[#This Row],[Units Sold]]&lt;=80,"Average",Table22[[#This Row],[Units Sold]]&lt;=90,"High",Table22[[#This Row],[Units Sold]]&lt;=95,"Excellent",Table22[[#This Row],[Units Sold]]&gt;95,"Outstanding")</f>
        <v>Average</v>
      </c>
      <c r="N492" s="29">
        <v>774.35</v>
      </c>
      <c r="O492" s="29">
        <v>61173.65</v>
      </c>
      <c r="P492" s="43">
        <f>IF(Table22[[#This Row],[Discount Applied]],Table22[[#This Row],[Total Sales (in USD)]]*(1-Table22[[#This Row],[Discount Percentage (%)]]/100),Table22[[#This Row],[Total Sales (in USD)]])</f>
        <v>61173.65</v>
      </c>
      <c r="Q492" s="66">
        <f>SQRT(AVERAGE((Table22[[#This Row],[Net Sales (after discount) (in USD)]]-AVERAGE(Table22[Net Sales (after discount) (in USD)]))^2))</f>
        <v>24662.289436235464</v>
      </c>
      <c r="R492" s="18" t="b">
        <v>0</v>
      </c>
      <c r="S492" s="40">
        <v>1.43</v>
      </c>
      <c r="T492" s="18" t="b">
        <v>0</v>
      </c>
      <c r="U492" s="25">
        <v>45228</v>
      </c>
      <c r="V492" s="63" t="str">
        <f>IF(MONTH(Table22[[#This Row],[Sales Date]])&lt;=3,"Q1",IF(MONTH(Table22[[#This Row],[Sales Date]])&lt;=6,"Q2",IF(MONTH(Table22[[#This Row],[Sales Date]])&lt;=9,"Q3","Q4")))</f>
        <v>Q4</v>
      </c>
      <c r="W492" s="64">
        <f>YEAR(Table22[[#This Row],[Sales Date]])</f>
        <v>2023</v>
      </c>
      <c r="X492" s="23">
        <v>50</v>
      </c>
      <c r="Y492" s="18" t="s">
        <v>49</v>
      </c>
      <c r="Z492" s="18" t="s">
        <v>42</v>
      </c>
      <c r="AA492" s="19" t="s">
        <v>36</v>
      </c>
    </row>
    <row r="493" spans="1:27" x14ac:dyDescent="0.25">
      <c r="A493" s="17" t="s">
        <v>876</v>
      </c>
      <c r="B493" s="18" t="s">
        <v>27</v>
      </c>
      <c r="C493" s="63" t="str" cm="1">
        <f t="array" ref="C493">_xlfn.SWITCH(Table22[[#This Row],[Country]],"USA","North America","Canada","North America","Brazil","South America","China","Asia","Japan","Asia","India","Asia","France","Europe","Germany","Europe","UK","Europe","Australia","Oceania","South America")</f>
        <v>Europe</v>
      </c>
      <c r="D493" s="18" t="s">
        <v>35</v>
      </c>
      <c r="E493" s="18" t="s">
        <v>19</v>
      </c>
      <c r="F493" s="18" t="s">
        <v>52</v>
      </c>
      <c r="G493" s="18" t="s">
        <v>40</v>
      </c>
      <c r="H493" s="64">
        <f>LEN(TRIM(Table22[[#This Row],[Country]]))</f>
        <v>7</v>
      </c>
      <c r="I493" s="64">
        <f>LEN(TRIM(Table22[[#This Row],[Continent]]))</f>
        <v>6</v>
      </c>
      <c r="J493" s="64">
        <f>LEN(TRIM(Table22[[#This Row],[Product]]))</f>
        <v>6</v>
      </c>
      <c r="K493" s="64">
        <f>LEN(TRIM(Table22[[#This Row],[Sales Team]]))</f>
        <v>10</v>
      </c>
      <c r="L493" s="23">
        <v>93</v>
      </c>
      <c r="M493" s="65" t="str" cm="1">
        <f t="array" ref="M493">_xlfn.IFS(Table22[[#This Row],[Units Sold]]&lt;40,"Critical",Table22[[#This Row],[Units Sold]]&lt;=50,"Poor",Table22[[#This Row],[Units Sold]]&lt;=60,"Low",Table22[[#This Row],[Units Sold]]&lt;=80,"Average",Table22[[#This Row],[Units Sold]]&lt;=90,"High",Table22[[#This Row],[Units Sold]]&lt;=95,"Excellent",Table22[[#This Row],[Units Sold]]&gt;95,"Outstanding")</f>
        <v>Excellent</v>
      </c>
      <c r="N493" s="29">
        <v>656.29</v>
      </c>
      <c r="O493" s="29">
        <v>61034.97</v>
      </c>
      <c r="P493" s="43">
        <f>IF(Table22[[#This Row],[Discount Applied]],Table22[[#This Row],[Total Sales (in USD)]]*(1-Table22[[#This Row],[Discount Percentage (%)]]/100),Table22[[#This Row],[Total Sales (in USD)]])</f>
        <v>54650.712138000003</v>
      </c>
      <c r="Q493" s="66">
        <f>SQRT(AVERAGE((Table22[[#This Row],[Net Sales (after discount) (in USD)]]-AVERAGE(Table22[Net Sales (after discount) (in USD)]))^2))</f>
        <v>18139.351574235465</v>
      </c>
      <c r="R493" s="18" t="b">
        <v>0</v>
      </c>
      <c r="S493" s="40">
        <v>10.46</v>
      </c>
      <c r="T493" s="18" t="b">
        <v>1</v>
      </c>
      <c r="U493" s="25">
        <v>45093</v>
      </c>
      <c r="V493" s="63" t="str">
        <f>IF(MONTH(Table22[[#This Row],[Sales Date]])&lt;=3,"Q1",IF(MONTH(Table22[[#This Row],[Sales Date]])&lt;=6,"Q2",IF(MONTH(Table22[[#This Row],[Sales Date]])&lt;=9,"Q3","Q4")))</f>
        <v>Q2</v>
      </c>
      <c r="W493" s="64">
        <f>YEAR(Table22[[#This Row],[Sales Date]])</f>
        <v>2023</v>
      </c>
      <c r="X493" s="23">
        <v>34</v>
      </c>
      <c r="Y493" s="18" t="s">
        <v>23</v>
      </c>
      <c r="Z493" s="18" t="s">
        <v>24</v>
      </c>
      <c r="AA493" s="19" t="s">
        <v>25</v>
      </c>
    </row>
    <row r="494" spans="1:27" x14ac:dyDescent="0.25">
      <c r="A494" s="17" t="s">
        <v>1947</v>
      </c>
      <c r="B494" s="18" t="s">
        <v>38</v>
      </c>
      <c r="C494" s="63" t="str" cm="1">
        <f t="array" ref="C494">_xlfn.SWITCH(Table22[[#This Row],[Country]],"USA","North America","Canada","North America","Brazil","South America","China","Asia","Japan","Asia","India","Asia","France","Europe","Germany","Europe","UK","Europe","Australia","Oceania","South America")</f>
        <v>Europe</v>
      </c>
      <c r="D494" s="18" t="s">
        <v>28</v>
      </c>
      <c r="E494" s="18" t="s">
        <v>39</v>
      </c>
      <c r="F494" s="18" t="s">
        <v>34</v>
      </c>
      <c r="G494" s="18" t="s">
        <v>22</v>
      </c>
      <c r="H494" s="64">
        <f>LEN(TRIM(Table22[[#This Row],[Country]]))</f>
        <v>6</v>
      </c>
      <c r="I494" s="64">
        <f>LEN(TRIM(Table22[[#This Row],[Continent]]))</f>
        <v>6</v>
      </c>
      <c r="J494" s="64">
        <f>LEN(TRIM(Table22[[#This Row],[Product]]))</f>
        <v>10</v>
      </c>
      <c r="K494" s="64">
        <f>LEN(TRIM(Table22[[#This Row],[Sales Team]]))</f>
        <v>10</v>
      </c>
      <c r="L494" s="23">
        <v>92</v>
      </c>
      <c r="M494" s="65" t="str" cm="1">
        <f t="array" ref="M494">_xlfn.IFS(Table22[[#This Row],[Units Sold]]&lt;40,"Critical",Table22[[#This Row],[Units Sold]]&lt;=50,"Poor",Table22[[#This Row],[Units Sold]]&lt;=60,"Low",Table22[[#This Row],[Units Sold]]&lt;=80,"Average",Table22[[#This Row],[Units Sold]]&lt;=90,"High",Table22[[#This Row],[Units Sold]]&lt;=95,"Excellent",Table22[[#This Row],[Units Sold]]&gt;95,"Outstanding")</f>
        <v>Excellent</v>
      </c>
      <c r="N494" s="29">
        <v>661.54</v>
      </c>
      <c r="O494" s="29">
        <v>60861.68</v>
      </c>
      <c r="P494" s="43">
        <f>IF(Table22[[#This Row],[Discount Applied]],Table22[[#This Row],[Total Sales (in USD)]]*(1-Table22[[#This Row],[Discount Percentage (%)]]/100),Table22[[#This Row],[Total Sales (in USD)]])</f>
        <v>60861.68</v>
      </c>
      <c r="Q494" s="66">
        <f>SQRT(AVERAGE((Table22[[#This Row],[Net Sales (after discount) (in USD)]]-AVERAGE(Table22[Net Sales (after discount) (in USD)]))^2))</f>
        <v>24350.319436235462</v>
      </c>
      <c r="R494" s="18" t="b">
        <v>0</v>
      </c>
      <c r="S494" s="40">
        <v>26.97</v>
      </c>
      <c r="T494" s="18" t="b">
        <v>0</v>
      </c>
      <c r="U494" s="25">
        <v>45491</v>
      </c>
      <c r="V494" s="63" t="str">
        <f>IF(MONTH(Table22[[#This Row],[Sales Date]])&lt;=3,"Q1",IF(MONTH(Table22[[#This Row],[Sales Date]])&lt;=6,"Q2",IF(MONTH(Table22[[#This Row],[Sales Date]])&lt;=9,"Q3","Q4")))</f>
        <v>Q3</v>
      </c>
      <c r="W494" s="64">
        <f>YEAR(Table22[[#This Row],[Sales Date]])</f>
        <v>2024</v>
      </c>
      <c r="X494" s="23">
        <v>49</v>
      </c>
      <c r="Y494" s="18" t="s">
        <v>41</v>
      </c>
      <c r="Z494" s="18" t="s">
        <v>30</v>
      </c>
      <c r="AA494" s="19" t="s">
        <v>25</v>
      </c>
    </row>
    <row r="495" spans="1:27" x14ac:dyDescent="0.25">
      <c r="A495" s="17" t="s">
        <v>1297</v>
      </c>
      <c r="B495" s="18" t="s">
        <v>27</v>
      </c>
      <c r="C495" s="63" t="str" cm="1">
        <f t="array" ref="C495">_xlfn.SWITCH(Table22[[#This Row],[Country]],"USA","North America","Canada","North America","Brazil","South America","China","Asia","Japan","Asia","India","Asia","France","Europe","Germany","Europe","UK","Europe","Australia","Oceania","South America")</f>
        <v>Europe</v>
      </c>
      <c r="D495" s="18" t="s">
        <v>44</v>
      </c>
      <c r="E495" s="18" t="s">
        <v>19</v>
      </c>
      <c r="F495" s="18" t="s">
        <v>64</v>
      </c>
      <c r="G495" s="18" t="s">
        <v>22</v>
      </c>
      <c r="H495" s="64">
        <f>LEN(TRIM(Table22[[#This Row],[Country]]))</f>
        <v>7</v>
      </c>
      <c r="I495" s="64">
        <f>LEN(TRIM(Table22[[#This Row],[Continent]]))</f>
        <v>6</v>
      </c>
      <c r="J495" s="64">
        <f>LEN(TRIM(Table22[[#This Row],[Product]]))</f>
        <v>6</v>
      </c>
      <c r="K495" s="64">
        <f>LEN(TRIM(Table22[[#This Row],[Sales Team]]))</f>
        <v>10</v>
      </c>
      <c r="L495" s="23">
        <v>54</v>
      </c>
      <c r="M495" s="65" t="str" cm="1">
        <f t="array" ref="M495">_xlfn.IFS(Table22[[#This Row],[Units Sold]]&lt;40,"Critical",Table22[[#This Row],[Units Sold]]&lt;=50,"Poor",Table22[[#This Row],[Units Sold]]&lt;=60,"Low",Table22[[#This Row],[Units Sold]]&lt;=80,"Average",Table22[[#This Row],[Units Sold]]&lt;=90,"High",Table22[[#This Row],[Units Sold]]&lt;=95,"Excellent",Table22[[#This Row],[Units Sold]]&gt;95,"Outstanding")</f>
        <v>Low</v>
      </c>
      <c r="N495" s="29">
        <v>1125.6600000000001</v>
      </c>
      <c r="O495" s="29">
        <v>60785.64</v>
      </c>
      <c r="P495" s="43">
        <f>IF(Table22[[#This Row],[Discount Applied]],Table22[[#This Row],[Total Sales (in USD)]]*(1-Table22[[#This Row],[Discount Percentage (%)]]/100),Table22[[#This Row],[Total Sales (in USD)]])</f>
        <v>60147.390780000002</v>
      </c>
      <c r="Q495" s="66">
        <f>SQRT(AVERAGE((Table22[[#This Row],[Net Sales (after discount) (in USD)]]-AVERAGE(Table22[Net Sales (after discount) (in USD)]))^2))</f>
        <v>23636.030216235464</v>
      </c>
      <c r="R495" s="18" t="b">
        <v>0</v>
      </c>
      <c r="S495" s="40">
        <v>1.05</v>
      </c>
      <c r="T495" s="18" t="b">
        <v>1</v>
      </c>
      <c r="U495" s="25">
        <v>44996</v>
      </c>
      <c r="V495" s="63" t="str">
        <f>IF(MONTH(Table22[[#This Row],[Sales Date]])&lt;=3,"Q1",IF(MONTH(Table22[[#This Row],[Sales Date]])&lt;=6,"Q2",IF(MONTH(Table22[[#This Row],[Sales Date]])&lt;=9,"Q3","Q4")))</f>
        <v>Q1</v>
      </c>
      <c r="W495" s="64">
        <f>YEAR(Table22[[#This Row],[Sales Date]])</f>
        <v>2023</v>
      </c>
      <c r="X495" s="23">
        <v>19</v>
      </c>
      <c r="Y495" s="18" t="s">
        <v>41</v>
      </c>
      <c r="Z495" s="18" t="s">
        <v>30</v>
      </c>
      <c r="AA495" s="19" t="s">
        <v>36</v>
      </c>
    </row>
    <row r="496" spans="1:27" x14ac:dyDescent="0.25">
      <c r="A496" s="17" t="s">
        <v>956</v>
      </c>
      <c r="B496" s="18" t="s">
        <v>38</v>
      </c>
      <c r="C496" s="63" t="str" cm="1">
        <f t="array" ref="C496">_xlfn.SWITCH(Table22[[#This Row],[Country]],"USA","North America","Canada","North America","Brazil","South America","China","Asia","Japan","Asia","India","Asia","France","Europe","Germany","Europe","UK","Europe","Australia","Oceania","South America")</f>
        <v>Europe</v>
      </c>
      <c r="D496" s="18" t="s">
        <v>44</v>
      </c>
      <c r="E496" s="18" t="s">
        <v>19</v>
      </c>
      <c r="F496" s="18" t="s">
        <v>64</v>
      </c>
      <c r="G496" s="18" t="s">
        <v>48</v>
      </c>
      <c r="H496" s="64">
        <f>LEN(TRIM(Table22[[#This Row],[Country]]))</f>
        <v>6</v>
      </c>
      <c r="I496" s="64">
        <f>LEN(TRIM(Table22[[#This Row],[Continent]]))</f>
        <v>6</v>
      </c>
      <c r="J496" s="64">
        <f>LEN(TRIM(Table22[[#This Row],[Product]]))</f>
        <v>6</v>
      </c>
      <c r="K496" s="64">
        <f>LEN(TRIM(Table22[[#This Row],[Sales Team]]))</f>
        <v>9</v>
      </c>
      <c r="L496" s="23">
        <v>57</v>
      </c>
      <c r="M496" s="65" t="str" cm="1">
        <f t="array" ref="M496">_xlfn.IFS(Table22[[#This Row],[Units Sold]]&lt;40,"Critical",Table22[[#This Row],[Units Sold]]&lt;=50,"Poor",Table22[[#This Row],[Units Sold]]&lt;=60,"Low",Table22[[#This Row],[Units Sold]]&lt;=80,"Average",Table22[[#This Row],[Units Sold]]&lt;=90,"High",Table22[[#This Row],[Units Sold]]&lt;=95,"Excellent",Table22[[#This Row],[Units Sold]]&gt;95,"Outstanding")</f>
        <v>Low</v>
      </c>
      <c r="N496" s="29">
        <v>1066.0999999999999</v>
      </c>
      <c r="O496" s="29">
        <v>60767.7</v>
      </c>
      <c r="P496" s="43">
        <f>IF(Table22[[#This Row],[Discount Applied]],Table22[[#This Row],[Total Sales (in USD)]]*(1-Table22[[#This Row],[Discount Percentage (%)]]/100),Table22[[#This Row],[Total Sales (in USD)]])</f>
        <v>56811.722730000001</v>
      </c>
      <c r="Q496" s="66">
        <f>SQRT(AVERAGE((Table22[[#This Row],[Net Sales (after discount) (in USD)]]-AVERAGE(Table22[Net Sales (after discount) (in USD)]))^2))</f>
        <v>20300.362166235464</v>
      </c>
      <c r="R496" s="18" t="b">
        <v>1</v>
      </c>
      <c r="S496" s="40">
        <v>6.51</v>
      </c>
      <c r="T496" s="18" t="b">
        <v>1</v>
      </c>
      <c r="U496" s="25">
        <v>45122</v>
      </c>
      <c r="V496" s="63" t="str">
        <f>IF(MONTH(Table22[[#This Row],[Sales Date]])&lt;=3,"Q1",IF(MONTH(Table22[[#This Row],[Sales Date]])&lt;=6,"Q2",IF(MONTH(Table22[[#This Row],[Sales Date]])&lt;=9,"Q3","Q4")))</f>
        <v>Q3</v>
      </c>
      <c r="W496" s="64">
        <f>YEAR(Table22[[#This Row],[Sales Date]])</f>
        <v>2023</v>
      </c>
      <c r="X496" s="23">
        <v>41</v>
      </c>
      <c r="Y496" s="18" t="s">
        <v>23</v>
      </c>
      <c r="Z496" s="18" t="s">
        <v>42</v>
      </c>
      <c r="AA496" s="19" t="s">
        <v>36</v>
      </c>
    </row>
    <row r="497" spans="1:27" x14ac:dyDescent="0.25">
      <c r="A497" s="17" t="s">
        <v>375</v>
      </c>
      <c r="B497" s="18" t="s">
        <v>46</v>
      </c>
      <c r="C497" s="63" t="str" cm="1">
        <f t="array" ref="C497">_xlfn.SWITCH(Table22[[#This Row],[Country]],"USA","North America","Canada","North America","Brazil","South America","China","Asia","Japan","Asia","India","Asia","France","Europe","Germany","Europe","UK","Europe","Australia","Oceania","South America")</f>
        <v>South America</v>
      </c>
      <c r="D497" s="18" t="s">
        <v>35</v>
      </c>
      <c r="E497" s="18" t="s">
        <v>19</v>
      </c>
      <c r="F497" s="18" t="s">
        <v>20</v>
      </c>
      <c r="G497" s="18" t="s">
        <v>22</v>
      </c>
      <c r="H497" s="64">
        <f>LEN(TRIM(Table22[[#This Row],[Country]]))</f>
        <v>6</v>
      </c>
      <c r="I497" s="64">
        <f>LEN(TRIM(Table22[[#This Row],[Continent]]))</f>
        <v>13</v>
      </c>
      <c r="J497" s="64">
        <f>LEN(TRIM(Table22[[#This Row],[Product]]))</f>
        <v>6</v>
      </c>
      <c r="K497" s="64">
        <f>LEN(TRIM(Table22[[#This Row],[Sales Team]]))</f>
        <v>10</v>
      </c>
      <c r="L497" s="23">
        <v>93</v>
      </c>
      <c r="M497" s="65" t="str" cm="1">
        <f t="array" ref="M497">_xlfn.IFS(Table22[[#This Row],[Units Sold]]&lt;40,"Critical",Table22[[#This Row],[Units Sold]]&lt;=50,"Poor",Table22[[#This Row],[Units Sold]]&lt;=60,"Low",Table22[[#This Row],[Units Sold]]&lt;=80,"Average",Table22[[#This Row],[Units Sold]]&lt;=90,"High",Table22[[#This Row],[Units Sold]]&lt;=95,"Excellent",Table22[[#This Row],[Units Sold]]&gt;95,"Outstanding")</f>
        <v>Excellent</v>
      </c>
      <c r="N497" s="29">
        <v>652.47</v>
      </c>
      <c r="O497" s="29">
        <v>60679.71</v>
      </c>
      <c r="P497" s="43">
        <f>IF(Table22[[#This Row],[Discount Applied]],Table22[[#This Row],[Total Sales (in USD)]]*(1-Table22[[#This Row],[Discount Percentage (%)]]/100),Table22[[#This Row],[Total Sales (in USD)]])</f>
        <v>58343.541165000002</v>
      </c>
      <c r="Q497" s="66">
        <f>SQRT(AVERAGE((Table22[[#This Row],[Net Sales (after discount) (in USD)]]-AVERAGE(Table22[Net Sales (after discount) (in USD)]))^2))</f>
        <v>21832.180601235465</v>
      </c>
      <c r="R497" s="18" t="b">
        <v>1</v>
      </c>
      <c r="S497" s="40">
        <v>3.85</v>
      </c>
      <c r="T497" s="18" t="b">
        <v>1</v>
      </c>
      <c r="U497" s="25">
        <v>45444</v>
      </c>
      <c r="V497" s="63" t="str">
        <f>IF(MONTH(Table22[[#This Row],[Sales Date]])&lt;=3,"Q1",IF(MONTH(Table22[[#This Row],[Sales Date]])&lt;=6,"Q2",IF(MONTH(Table22[[#This Row],[Sales Date]])&lt;=9,"Q3","Q4")))</f>
        <v>Q2</v>
      </c>
      <c r="W497" s="64">
        <f>YEAR(Table22[[#This Row],[Sales Date]])</f>
        <v>2024</v>
      </c>
      <c r="X497" s="23">
        <v>52</v>
      </c>
      <c r="Y497" s="18" t="s">
        <v>23</v>
      </c>
      <c r="Z497" s="18" t="s">
        <v>24</v>
      </c>
      <c r="AA497" s="19" t="s">
        <v>36</v>
      </c>
    </row>
    <row r="498" spans="1:27" x14ac:dyDescent="0.25">
      <c r="A498" s="17" t="s">
        <v>1102</v>
      </c>
      <c r="B498" s="18" t="s">
        <v>72</v>
      </c>
      <c r="C498" s="63" t="str" cm="1">
        <f t="array" ref="C498">_xlfn.SWITCH(Table22[[#This Row],[Country]],"USA","North America","Canada","North America","Brazil","South America","China","Asia","Japan","Asia","India","Asia","France","Europe","Germany","Europe","UK","Europe","Australia","Oceania","South America")</f>
        <v>North America</v>
      </c>
      <c r="D498" s="18" t="s">
        <v>35</v>
      </c>
      <c r="E498" s="18" t="s">
        <v>33</v>
      </c>
      <c r="F498" s="18" t="s">
        <v>47</v>
      </c>
      <c r="G498" s="18" t="s">
        <v>22</v>
      </c>
      <c r="H498" s="64">
        <f>LEN(TRIM(Table22[[#This Row],[Country]]))</f>
        <v>3</v>
      </c>
      <c r="I498" s="64">
        <f>LEN(TRIM(Table22[[#This Row],[Continent]]))</f>
        <v>13</v>
      </c>
      <c r="J498" s="64">
        <f>LEN(TRIM(Table22[[#This Row],[Product]]))</f>
        <v>10</v>
      </c>
      <c r="K498" s="64">
        <f>LEN(TRIM(Table22[[#This Row],[Sales Team]]))</f>
        <v>10</v>
      </c>
      <c r="L498" s="23">
        <v>86</v>
      </c>
      <c r="M498" s="65" t="str" cm="1">
        <f t="array" ref="M498">_xlfn.IFS(Table22[[#This Row],[Units Sold]]&lt;40,"Critical",Table22[[#This Row],[Units Sold]]&lt;=50,"Poor",Table22[[#This Row],[Units Sold]]&lt;=60,"Low",Table22[[#This Row],[Units Sold]]&lt;=80,"Average",Table22[[#This Row],[Units Sold]]&lt;=90,"High",Table22[[#This Row],[Units Sold]]&lt;=95,"Excellent",Table22[[#This Row],[Units Sold]]&gt;95,"Outstanding")</f>
        <v>High</v>
      </c>
      <c r="N498" s="29">
        <v>705.46</v>
      </c>
      <c r="O498" s="29">
        <v>60669.56</v>
      </c>
      <c r="P498" s="43">
        <f>IF(Table22[[#This Row],[Discount Applied]],Table22[[#This Row],[Total Sales (in USD)]]*(1-Table22[[#This Row],[Discount Percentage (%)]]/100),Table22[[#This Row],[Total Sales (in USD)]])</f>
        <v>56653.235127999993</v>
      </c>
      <c r="Q498" s="66">
        <f>SQRT(AVERAGE((Table22[[#This Row],[Net Sales (after discount) (in USD)]]-AVERAGE(Table22[Net Sales (after discount) (in USD)]))^2))</f>
        <v>20141.874564235455</v>
      </c>
      <c r="R498" s="18" t="b">
        <v>0</v>
      </c>
      <c r="S498" s="40">
        <v>6.62</v>
      </c>
      <c r="T498" s="18" t="b">
        <v>1</v>
      </c>
      <c r="U498" s="25">
        <v>45274</v>
      </c>
      <c r="V498" s="63" t="str">
        <f>IF(MONTH(Table22[[#This Row],[Sales Date]])&lt;=3,"Q1",IF(MONTH(Table22[[#This Row],[Sales Date]])&lt;=6,"Q2",IF(MONTH(Table22[[#This Row],[Sales Date]])&lt;=9,"Q3","Q4")))</f>
        <v>Q4</v>
      </c>
      <c r="W498" s="64">
        <f>YEAR(Table22[[#This Row],[Sales Date]])</f>
        <v>2023</v>
      </c>
      <c r="X498" s="23">
        <v>60</v>
      </c>
      <c r="Y498" s="18" t="s">
        <v>49</v>
      </c>
      <c r="Z498" s="18" t="s">
        <v>42</v>
      </c>
      <c r="AA498" s="19" t="s">
        <v>25</v>
      </c>
    </row>
    <row r="499" spans="1:27" x14ac:dyDescent="0.25">
      <c r="A499" s="17" t="s">
        <v>1003</v>
      </c>
      <c r="B499" s="18" t="s">
        <v>51</v>
      </c>
      <c r="C499" s="63" t="str" cm="1">
        <f t="array" ref="C499">_xlfn.SWITCH(Table22[[#This Row],[Country]],"USA","North America","Canada","North America","Brazil","South America","China","Asia","Japan","Asia","India","Asia","France","Europe","Germany","Europe","UK","Europe","Australia","Oceania","South America")</f>
        <v>Europe</v>
      </c>
      <c r="D499" s="18" t="s">
        <v>28</v>
      </c>
      <c r="E499" s="18" t="s">
        <v>19</v>
      </c>
      <c r="F499" s="18" t="s">
        <v>64</v>
      </c>
      <c r="G499" s="18" t="s">
        <v>48</v>
      </c>
      <c r="H499" s="64">
        <f>LEN(TRIM(Table22[[#This Row],[Country]]))</f>
        <v>2</v>
      </c>
      <c r="I499" s="64">
        <f>LEN(TRIM(Table22[[#This Row],[Continent]]))</f>
        <v>6</v>
      </c>
      <c r="J499" s="64">
        <f>LEN(TRIM(Table22[[#This Row],[Product]]))</f>
        <v>6</v>
      </c>
      <c r="K499" s="64">
        <f>LEN(TRIM(Table22[[#This Row],[Sales Team]]))</f>
        <v>9</v>
      </c>
      <c r="L499" s="23">
        <v>73</v>
      </c>
      <c r="M499" s="65" t="str" cm="1">
        <f t="array" ref="M499">_xlfn.IFS(Table22[[#This Row],[Units Sold]]&lt;40,"Critical",Table22[[#This Row],[Units Sold]]&lt;=50,"Poor",Table22[[#This Row],[Units Sold]]&lt;=60,"Low",Table22[[#This Row],[Units Sold]]&lt;=80,"Average",Table22[[#This Row],[Units Sold]]&lt;=90,"High",Table22[[#This Row],[Units Sold]]&lt;=95,"Excellent",Table22[[#This Row],[Units Sold]]&gt;95,"Outstanding")</f>
        <v>Average</v>
      </c>
      <c r="N499" s="29">
        <v>830.2</v>
      </c>
      <c r="O499" s="29">
        <v>60604.6</v>
      </c>
      <c r="P499" s="43">
        <f>IF(Table22[[#This Row],[Discount Applied]],Table22[[#This Row],[Total Sales (in USD)]]*(1-Table22[[#This Row],[Discount Percentage (%)]]/100),Table22[[#This Row],[Total Sales (in USD)]])</f>
        <v>60604.6</v>
      </c>
      <c r="Q499" s="66">
        <f>SQRT(AVERAGE((Table22[[#This Row],[Net Sales (after discount) (in USD)]]-AVERAGE(Table22[Net Sales (after discount) (in USD)]))^2))</f>
        <v>24093.239436235461</v>
      </c>
      <c r="R499" s="18" t="b">
        <v>0</v>
      </c>
      <c r="S499" s="40">
        <v>3.99</v>
      </c>
      <c r="T499" s="18" t="b">
        <v>0</v>
      </c>
      <c r="U499" s="25">
        <v>44953</v>
      </c>
      <c r="V499" s="63" t="str">
        <f>IF(MONTH(Table22[[#This Row],[Sales Date]])&lt;=3,"Q1",IF(MONTH(Table22[[#This Row],[Sales Date]])&lt;=6,"Q2",IF(MONTH(Table22[[#This Row],[Sales Date]])&lt;=9,"Q3","Q4")))</f>
        <v>Q1</v>
      </c>
      <c r="W499" s="64">
        <f>YEAR(Table22[[#This Row],[Sales Date]])</f>
        <v>2023</v>
      </c>
      <c r="X499" s="23">
        <v>69</v>
      </c>
      <c r="Y499" s="18" t="s">
        <v>49</v>
      </c>
      <c r="Z499" s="18" t="s">
        <v>24</v>
      </c>
      <c r="AA499" s="19" t="s">
        <v>36</v>
      </c>
    </row>
    <row r="500" spans="1:27" x14ac:dyDescent="0.25">
      <c r="A500" s="17" t="s">
        <v>1496</v>
      </c>
      <c r="B500" s="18" t="s">
        <v>46</v>
      </c>
      <c r="C500" s="63" t="str" cm="1">
        <f t="array" ref="C500">_xlfn.SWITCH(Table22[[#This Row],[Country]],"USA","North America","Canada","North America","Brazil","South America","China","Asia","Japan","Asia","India","Asia","France","Europe","Germany","Europe","UK","Europe","Australia","Oceania","South America")</f>
        <v>South America</v>
      </c>
      <c r="D500" s="18" t="s">
        <v>35</v>
      </c>
      <c r="E500" s="18" t="s">
        <v>39</v>
      </c>
      <c r="F500" s="18" t="s">
        <v>20</v>
      </c>
      <c r="G500" s="18" t="s">
        <v>22</v>
      </c>
      <c r="H500" s="64">
        <f>LEN(TRIM(Table22[[#This Row],[Country]]))</f>
        <v>6</v>
      </c>
      <c r="I500" s="64">
        <f>LEN(TRIM(Table22[[#This Row],[Continent]]))</f>
        <v>13</v>
      </c>
      <c r="J500" s="64">
        <f>LEN(TRIM(Table22[[#This Row],[Product]]))</f>
        <v>10</v>
      </c>
      <c r="K500" s="64">
        <f>LEN(TRIM(Table22[[#This Row],[Sales Team]]))</f>
        <v>10</v>
      </c>
      <c r="L500" s="23">
        <v>89</v>
      </c>
      <c r="M500" s="65" t="str" cm="1">
        <f t="array" ref="M500">_xlfn.IFS(Table22[[#This Row],[Units Sold]]&lt;40,"Critical",Table22[[#This Row],[Units Sold]]&lt;=50,"Poor",Table22[[#This Row],[Units Sold]]&lt;=60,"Low",Table22[[#This Row],[Units Sold]]&lt;=80,"Average",Table22[[#This Row],[Units Sold]]&lt;=90,"High",Table22[[#This Row],[Units Sold]]&lt;=95,"Excellent",Table22[[#This Row],[Units Sold]]&gt;95,"Outstanding")</f>
        <v>High</v>
      </c>
      <c r="N500" s="29">
        <v>680.25</v>
      </c>
      <c r="O500" s="29">
        <v>60542.25</v>
      </c>
      <c r="P500" s="43">
        <f>IF(Table22[[#This Row],[Discount Applied]],Table22[[#This Row],[Total Sales (in USD)]]*(1-Table22[[#This Row],[Discount Percentage (%)]]/100),Table22[[#This Row],[Total Sales (in USD)]])</f>
        <v>58326.40365</v>
      </c>
      <c r="Q500" s="66">
        <f>SQRT(AVERAGE((Table22[[#This Row],[Net Sales (after discount) (in USD)]]-AVERAGE(Table22[Net Sales (after discount) (in USD)]))^2))</f>
        <v>21815.043086235462</v>
      </c>
      <c r="R500" s="18" t="b">
        <v>1</v>
      </c>
      <c r="S500" s="40">
        <v>3.66</v>
      </c>
      <c r="T500" s="18" t="b">
        <v>1</v>
      </c>
      <c r="U500" s="25">
        <v>45568</v>
      </c>
      <c r="V500" s="63" t="str">
        <f>IF(MONTH(Table22[[#This Row],[Sales Date]])&lt;=3,"Q1",IF(MONTH(Table22[[#This Row],[Sales Date]])&lt;=6,"Q2",IF(MONTH(Table22[[#This Row],[Sales Date]])&lt;=9,"Q3","Q4")))</f>
        <v>Q4</v>
      </c>
      <c r="W500" s="64">
        <f>YEAR(Table22[[#This Row],[Sales Date]])</f>
        <v>2024</v>
      </c>
      <c r="X500" s="23">
        <v>40</v>
      </c>
      <c r="Y500" s="18" t="s">
        <v>41</v>
      </c>
      <c r="Z500" s="18" t="s">
        <v>24</v>
      </c>
      <c r="AA500" s="19" t="s">
        <v>25</v>
      </c>
    </row>
    <row r="501" spans="1:27" x14ac:dyDescent="0.25">
      <c r="A501" s="17" t="s">
        <v>1782</v>
      </c>
      <c r="B501" s="18" t="s">
        <v>32</v>
      </c>
      <c r="C501" s="63" t="str" cm="1">
        <f t="array" ref="C501">_xlfn.SWITCH(Table22[[#This Row],[Country]],"USA","North America","Canada","North America","Brazil","South America","China","Asia","Japan","Asia","India","Asia","France","Europe","Germany","Europe","UK","Europe","Australia","Oceania","South America")</f>
        <v>Asia</v>
      </c>
      <c r="D501" s="18" t="s">
        <v>35</v>
      </c>
      <c r="E501" s="18" t="s">
        <v>33</v>
      </c>
      <c r="F501" s="18" t="s">
        <v>64</v>
      </c>
      <c r="G501" s="18" t="s">
        <v>22</v>
      </c>
      <c r="H501" s="64">
        <f>LEN(TRIM(Table22[[#This Row],[Country]]))</f>
        <v>5</v>
      </c>
      <c r="I501" s="64">
        <f>LEN(TRIM(Table22[[#This Row],[Continent]]))</f>
        <v>4</v>
      </c>
      <c r="J501" s="64">
        <f>LEN(TRIM(Table22[[#This Row],[Product]]))</f>
        <v>10</v>
      </c>
      <c r="K501" s="64">
        <f>LEN(TRIM(Table22[[#This Row],[Sales Team]]))</f>
        <v>10</v>
      </c>
      <c r="L501" s="23">
        <v>86</v>
      </c>
      <c r="M501" s="65" t="str" cm="1">
        <f t="array" ref="M501">_xlfn.IFS(Table22[[#This Row],[Units Sold]]&lt;40,"Critical",Table22[[#This Row],[Units Sold]]&lt;=50,"Poor",Table22[[#This Row],[Units Sold]]&lt;=60,"Low",Table22[[#This Row],[Units Sold]]&lt;=80,"Average",Table22[[#This Row],[Units Sold]]&lt;=90,"High",Table22[[#This Row],[Units Sold]]&lt;=95,"Excellent",Table22[[#This Row],[Units Sold]]&gt;95,"Outstanding")</f>
        <v>High</v>
      </c>
      <c r="N501" s="29">
        <v>703.82</v>
      </c>
      <c r="O501" s="29">
        <v>60528.52</v>
      </c>
      <c r="P501" s="43">
        <f>IF(Table22[[#This Row],[Discount Applied]],Table22[[#This Row],[Total Sales (in USD)]]*(1-Table22[[#This Row],[Discount Percentage (%)]]/100),Table22[[#This Row],[Total Sales (in USD)]])</f>
        <v>53361.943231999991</v>
      </c>
      <c r="Q501" s="66">
        <f>SQRT(AVERAGE((Table22[[#This Row],[Net Sales (after discount) (in USD)]]-AVERAGE(Table22[Net Sales (after discount) (in USD)]))^2))</f>
        <v>16850.582668235453</v>
      </c>
      <c r="R501" s="18" t="b">
        <v>1</v>
      </c>
      <c r="S501" s="40">
        <v>11.84</v>
      </c>
      <c r="T501" s="18" t="b">
        <v>1</v>
      </c>
      <c r="U501" s="25">
        <v>45368</v>
      </c>
      <c r="V501" s="63" t="str">
        <f>IF(MONTH(Table22[[#This Row],[Sales Date]])&lt;=3,"Q1",IF(MONTH(Table22[[#This Row],[Sales Date]])&lt;=6,"Q2",IF(MONTH(Table22[[#This Row],[Sales Date]])&lt;=9,"Q3","Q4")))</f>
        <v>Q1</v>
      </c>
      <c r="W501" s="64">
        <f>YEAR(Table22[[#This Row],[Sales Date]])</f>
        <v>2024</v>
      </c>
      <c r="X501" s="23">
        <v>42</v>
      </c>
      <c r="Y501" s="18" t="s">
        <v>41</v>
      </c>
      <c r="Z501" s="18" t="s">
        <v>24</v>
      </c>
      <c r="AA501" s="19" t="s">
        <v>36</v>
      </c>
    </row>
    <row r="502" spans="1:27" x14ac:dyDescent="0.25">
      <c r="A502" s="17" t="s">
        <v>1206</v>
      </c>
      <c r="B502" s="18" t="s">
        <v>18</v>
      </c>
      <c r="C502" s="63" t="str" cm="1">
        <f t="array" ref="C502">_xlfn.SWITCH(Table22[[#This Row],[Country]],"USA","North America","Canada","North America","Brazil","South America","China","Asia","Japan","Asia","India","Asia","France","Europe","Germany","Europe","UK","Europe","Australia","Oceania","South America")</f>
        <v>Asia</v>
      </c>
      <c r="D502" s="18" t="s">
        <v>21</v>
      </c>
      <c r="E502" s="18" t="s">
        <v>39</v>
      </c>
      <c r="F502" s="18" t="s">
        <v>52</v>
      </c>
      <c r="G502" s="18" t="s">
        <v>40</v>
      </c>
      <c r="H502" s="64">
        <f>LEN(TRIM(Table22[[#This Row],[Country]]))</f>
        <v>5</v>
      </c>
      <c r="I502" s="64">
        <f>LEN(TRIM(Table22[[#This Row],[Continent]]))</f>
        <v>4</v>
      </c>
      <c r="J502" s="64">
        <f>LEN(TRIM(Table22[[#This Row],[Product]]))</f>
        <v>10</v>
      </c>
      <c r="K502" s="64">
        <f>LEN(TRIM(Table22[[#This Row],[Sales Team]]))</f>
        <v>10</v>
      </c>
      <c r="L502" s="23">
        <v>65</v>
      </c>
      <c r="M502" s="65" t="str" cm="1">
        <f t="array" ref="M502">_xlfn.IFS(Table22[[#This Row],[Units Sold]]&lt;40,"Critical",Table22[[#This Row],[Units Sold]]&lt;=50,"Poor",Table22[[#This Row],[Units Sold]]&lt;=60,"Low",Table22[[#This Row],[Units Sold]]&lt;=80,"Average",Table22[[#This Row],[Units Sold]]&lt;=90,"High",Table22[[#This Row],[Units Sold]]&lt;=95,"Excellent",Table22[[#This Row],[Units Sold]]&gt;95,"Outstanding")</f>
        <v>Average</v>
      </c>
      <c r="N502" s="29">
        <v>931.18</v>
      </c>
      <c r="O502" s="29">
        <v>60526.7</v>
      </c>
      <c r="P502" s="43">
        <f>IF(Table22[[#This Row],[Discount Applied]],Table22[[#This Row],[Total Sales (in USD)]]*(1-Table22[[#This Row],[Discount Percentage (%)]]/100),Table22[[#This Row],[Total Sales (in USD)]])</f>
        <v>60526.7</v>
      </c>
      <c r="Q502" s="66">
        <f>SQRT(AVERAGE((Table22[[#This Row],[Net Sales (after discount) (in USD)]]-AVERAGE(Table22[Net Sales (after discount) (in USD)]))^2))</f>
        <v>24015.339436235459</v>
      </c>
      <c r="R502" s="18" t="b">
        <v>0</v>
      </c>
      <c r="S502" s="40">
        <v>24.53</v>
      </c>
      <c r="T502" s="18" t="b">
        <v>0</v>
      </c>
      <c r="U502" s="25">
        <v>45216</v>
      </c>
      <c r="V502" s="63" t="str">
        <f>IF(MONTH(Table22[[#This Row],[Sales Date]])&lt;=3,"Q1",IF(MONTH(Table22[[#This Row],[Sales Date]])&lt;=6,"Q2",IF(MONTH(Table22[[#This Row],[Sales Date]])&lt;=9,"Q3","Q4")))</f>
        <v>Q4</v>
      </c>
      <c r="W502" s="64">
        <f>YEAR(Table22[[#This Row],[Sales Date]])</f>
        <v>2023</v>
      </c>
      <c r="X502" s="23">
        <v>29</v>
      </c>
      <c r="Y502" s="18" t="s">
        <v>41</v>
      </c>
      <c r="Z502" s="18" t="s">
        <v>56</v>
      </c>
      <c r="AA502" s="19" t="s">
        <v>25</v>
      </c>
    </row>
    <row r="503" spans="1:27" x14ac:dyDescent="0.25">
      <c r="A503" s="17" t="s">
        <v>1541</v>
      </c>
      <c r="B503" s="18" t="s">
        <v>32</v>
      </c>
      <c r="C503" s="63" t="str" cm="1">
        <f t="array" ref="C503">_xlfn.SWITCH(Table22[[#This Row],[Country]],"USA","North America","Canada","North America","Brazil","South America","China","Asia","Japan","Asia","India","Asia","France","Europe","Germany","Europe","UK","Europe","Australia","Oceania","South America")</f>
        <v>Asia</v>
      </c>
      <c r="D503" s="18" t="s">
        <v>28</v>
      </c>
      <c r="E503" s="18" t="s">
        <v>19</v>
      </c>
      <c r="F503" s="18" t="s">
        <v>52</v>
      </c>
      <c r="G503" s="18" t="s">
        <v>48</v>
      </c>
      <c r="H503" s="64">
        <f>LEN(TRIM(Table22[[#This Row],[Country]]))</f>
        <v>5</v>
      </c>
      <c r="I503" s="64">
        <f>LEN(TRIM(Table22[[#This Row],[Continent]]))</f>
        <v>4</v>
      </c>
      <c r="J503" s="64">
        <f>LEN(TRIM(Table22[[#This Row],[Product]]))</f>
        <v>6</v>
      </c>
      <c r="K503" s="64">
        <f>LEN(TRIM(Table22[[#This Row],[Sales Team]]))</f>
        <v>9</v>
      </c>
      <c r="L503" s="23">
        <v>79</v>
      </c>
      <c r="M503" s="65" t="str" cm="1">
        <f t="array" ref="M503">_xlfn.IFS(Table22[[#This Row],[Units Sold]]&lt;40,"Critical",Table22[[#This Row],[Units Sold]]&lt;=50,"Poor",Table22[[#This Row],[Units Sold]]&lt;=60,"Low",Table22[[#This Row],[Units Sold]]&lt;=80,"Average",Table22[[#This Row],[Units Sold]]&lt;=90,"High",Table22[[#This Row],[Units Sold]]&lt;=95,"Excellent",Table22[[#This Row],[Units Sold]]&gt;95,"Outstanding")</f>
        <v>Average</v>
      </c>
      <c r="N503" s="29">
        <v>765.62</v>
      </c>
      <c r="O503" s="29">
        <v>60483.98</v>
      </c>
      <c r="P503" s="43">
        <f>IF(Table22[[#This Row],[Discount Applied]],Table22[[#This Row],[Total Sales (in USD)]]*(1-Table22[[#This Row],[Discount Percentage (%)]]/100),Table22[[#This Row],[Total Sales (in USD)]])</f>
        <v>60483.98</v>
      </c>
      <c r="Q503" s="66">
        <f>SQRT(AVERAGE((Table22[[#This Row],[Net Sales (after discount) (in USD)]]-AVERAGE(Table22[Net Sales (after discount) (in USD)]))^2))</f>
        <v>23972.619436235465</v>
      </c>
      <c r="R503" s="18" t="b">
        <v>0</v>
      </c>
      <c r="S503" s="40">
        <v>7.39</v>
      </c>
      <c r="T503" s="18" t="b">
        <v>0</v>
      </c>
      <c r="U503" s="25">
        <v>45176</v>
      </c>
      <c r="V503" s="63" t="str">
        <f>IF(MONTH(Table22[[#This Row],[Sales Date]])&lt;=3,"Q1",IF(MONTH(Table22[[#This Row],[Sales Date]])&lt;=6,"Q2",IF(MONTH(Table22[[#This Row],[Sales Date]])&lt;=9,"Q3","Q4")))</f>
        <v>Q3</v>
      </c>
      <c r="W503" s="64">
        <f>YEAR(Table22[[#This Row],[Sales Date]])</f>
        <v>2023</v>
      </c>
      <c r="X503" s="23">
        <v>56</v>
      </c>
      <c r="Y503" s="18" t="s">
        <v>41</v>
      </c>
      <c r="Z503" s="18" t="s">
        <v>30</v>
      </c>
      <c r="AA503" s="19" t="s">
        <v>36</v>
      </c>
    </row>
    <row r="504" spans="1:27" x14ac:dyDescent="0.25">
      <c r="A504" s="17" t="s">
        <v>1251</v>
      </c>
      <c r="B504" s="18" t="s">
        <v>38</v>
      </c>
      <c r="C504" s="63" t="str" cm="1">
        <f t="array" ref="C504">_xlfn.SWITCH(Table22[[#This Row],[Country]],"USA","North America","Canada","North America","Brazil","South America","China","Asia","Japan","Asia","India","Asia","France","Europe","Germany","Europe","UK","Europe","Australia","Oceania","South America")</f>
        <v>Europe</v>
      </c>
      <c r="D504" s="18" t="s">
        <v>44</v>
      </c>
      <c r="E504" s="18" t="s">
        <v>33</v>
      </c>
      <c r="F504" s="18" t="s">
        <v>20</v>
      </c>
      <c r="G504" s="18" t="s">
        <v>40</v>
      </c>
      <c r="H504" s="64">
        <f>LEN(TRIM(Table22[[#This Row],[Country]]))</f>
        <v>6</v>
      </c>
      <c r="I504" s="64">
        <f>LEN(TRIM(Table22[[#This Row],[Continent]]))</f>
        <v>6</v>
      </c>
      <c r="J504" s="64">
        <f>LEN(TRIM(Table22[[#This Row],[Product]]))</f>
        <v>10</v>
      </c>
      <c r="K504" s="64">
        <f>LEN(TRIM(Table22[[#This Row],[Sales Team]]))</f>
        <v>10</v>
      </c>
      <c r="L504" s="23">
        <v>64</v>
      </c>
      <c r="M504" s="65" t="str" cm="1">
        <f t="array" ref="M504">_xlfn.IFS(Table22[[#This Row],[Units Sold]]&lt;40,"Critical",Table22[[#This Row],[Units Sold]]&lt;=50,"Poor",Table22[[#This Row],[Units Sold]]&lt;=60,"Low",Table22[[#This Row],[Units Sold]]&lt;=80,"Average",Table22[[#This Row],[Units Sold]]&lt;=90,"High",Table22[[#This Row],[Units Sold]]&lt;=95,"Excellent",Table22[[#This Row],[Units Sold]]&gt;95,"Outstanding")</f>
        <v>Average</v>
      </c>
      <c r="N504" s="29">
        <v>944.38</v>
      </c>
      <c r="O504" s="29">
        <v>60440.32</v>
      </c>
      <c r="P504" s="43">
        <f>IF(Table22[[#This Row],[Discount Applied]],Table22[[#This Row],[Total Sales (in USD)]]*(1-Table22[[#This Row],[Discount Percentage (%)]]/100),Table22[[#This Row],[Total Sales (in USD)]])</f>
        <v>60440.32</v>
      </c>
      <c r="Q504" s="66">
        <f>SQRT(AVERAGE((Table22[[#This Row],[Net Sales (after discount) (in USD)]]-AVERAGE(Table22[Net Sales (after discount) (in USD)]))^2))</f>
        <v>23928.959436235462</v>
      </c>
      <c r="R504" s="18" t="b">
        <v>0</v>
      </c>
      <c r="S504" s="40">
        <v>20.57</v>
      </c>
      <c r="T504" s="18" t="b">
        <v>0</v>
      </c>
      <c r="U504" s="25">
        <v>45007</v>
      </c>
      <c r="V504" s="63" t="str">
        <f>IF(MONTH(Table22[[#This Row],[Sales Date]])&lt;=3,"Q1",IF(MONTH(Table22[[#This Row],[Sales Date]])&lt;=6,"Q2",IF(MONTH(Table22[[#This Row],[Sales Date]])&lt;=9,"Q3","Q4")))</f>
        <v>Q1</v>
      </c>
      <c r="W504" s="64">
        <f>YEAR(Table22[[#This Row],[Sales Date]])</f>
        <v>2023</v>
      </c>
      <c r="X504" s="23">
        <v>25</v>
      </c>
      <c r="Y504" s="18" t="s">
        <v>49</v>
      </c>
      <c r="Z504" s="18" t="s">
        <v>30</v>
      </c>
      <c r="AA504" s="19" t="s">
        <v>36</v>
      </c>
    </row>
    <row r="505" spans="1:27" x14ac:dyDescent="0.25">
      <c r="A505" s="17" t="s">
        <v>1846</v>
      </c>
      <c r="B505" s="18" t="s">
        <v>66</v>
      </c>
      <c r="C505" s="63" t="str" cm="1">
        <f t="array" ref="C505">_xlfn.SWITCH(Table22[[#This Row],[Country]],"USA","North America","Canada","North America","Brazil","South America","China","Asia","Japan","Asia","India","Asia","France","Europe","Germany","Europe","UK","Europe","Australia","Oceania","South America")</f>
        <v>North America</v>
      </c>
      <c r="D505" s="18" t="s">
        <v>28</v>
      </c>
      <c r="E505" s="18" t="s">
        <v>33</v>
      </c>
      <c r="F505" s="18" t="s">
        <v>34</v>
      </c>
      <c r="G505" s="18" t="s">
        <v>22</v>
      </c>
      <c r="H505" s="64">
        <f>LEN(TRIM(Table22[[#This Row],[Country]]))</f>
        <v>6</v>
      </c>
      <c r="I505" s="64">
        <f>LEN(TRIM(Table22[[#This Row],[Continent]]))</f>
        <v>13</v>
      </c>
      <c r="J505" s="64">
        <f>LEN(TRIM(Table22[[#This Row],[Product]]))</f>
        <v>10</v>
      </c>
      <c r="K505" s="64">
        <f>LEN(TRIM(Table22[[#This Row],[Sales Team]]))</f>
        <v>10</v>
      </c>
      <c r="L505" s="23">
        <v>95</v>
      </c>
      <c r="M505" s="65" t="str" cm="1">
        <f t="array" ref="M505">_xlfn.IFS(Table22[[#This Row],[Units Sold]]&lt;40,"Critical",Table22[[#This Row],[Units Sold]]&lt;=50,"Poor",Table22[[#This Row],[Units Sold]]&lt;=60,"Low",Table22[[#This Row],[Units Sold]]&lt;=80,"Average",Table22[[#This Row],[Units Sold]]&lt;=90,"High",Table22[[#This Row],[Units Sold]]&lt;=95,"Excellent",Table22[[#This Row],[Units Sold]]&gt;95,"Outstanding")</f>
        <v>Excellent</v>
      </c>
      <c r="N505" s="29">
        <v>636.12</v>
      </c>
      <c r="O505" s="29">
        <v>60431.4</v>
      </c>
      <c r="P505" s="43">
        <f>IF(Table22[[#This Row],[Discount Applied]],Table22[[#This Row],[Total Sales (in USD)]]*(1-Table22[[#This Row],[Discount Percentage (%)]]/100),Table22[[#This Row],[Total Sales (in USD)]])</f>
        <v>60431.4</v>
      </c>
      <c r="Q505" s="66">
        <f>SQRT(AVERAGE((Table22[[#This Row],[Net Sales (after discount) (in USD)]]-AVERAGE(Table22[Net Sales (after discount) (in USD)]))^2))</f>
        <v>23920.039436235464</v>
      </c>
      <c r="R505" s="18" t="b">
        <v>1</v>
      </c>
      <c r="S505" s="40">
        <v>20.9</v>
      </c>
      <c r="T505" s="18" t="b">
        <v>0</v>
      </c>
      <c r="U505" s="25">
        <v>45039</v>
      </c>
      <c r="V505" s="63" t="str">
        <f>IF(MONTH(Table22[[#This Row],[Sales Date]])&lt;=3,"Q1",IF(MONTH(Table22[[#This Row],[Sales Date]])&lt;=6,"Q2",IF(MONTH(Table22[[#This Row],[Sales Date]])&lt;=9,"Q3","Q4")))</f>
        <v>Q2</v>
      </c>
      <c r="W505" s="64">
        <f>YEAR(Table22[[#This Row],[Sales Date]])</f>
        <v>2023</v>
      </c>
      <c r="X505" s="23">
        <v>48</v>
      </c>
      <c r="Y505" s="18" t="s">
        <v>41</v>
      </c>
      <c r="Z505" s="18" t="s">
        <v>24</v>
      </c>
      <c r="AA505" s="19" t="s">
        <v>36</v>
      </c>
    </row>
    <row r="506" spans="1:27" x14ac:dyDescent="0.25">
      <c r="A506" s="17" t="s">
        <v>598</v>
      </c>
      <c r="B506" s="18" t="s">
        <v>46</v>
      </c>
      <c r="C506" s="63" t="str" cm="1">
        <f t="array" ref="C506">_xlfn.SWITCH(Table22[[#This Row],[Country]],"USA","North America","Canada","North America","Brazil","South America","China","Asia","Japan","Asia","India","Asia","France","Europe","Germany","Europe","UK","Europe","Australia","Oceania","South America")</f>
        <v>South America</v>
      </c>
      <c r="D506" s="18" t="s">
        <v>35</v>
      </c>
      <c r="E506" s="18" t="s">
        <v>39</v>
      </c>
      <c r="F506" s="18" t="s">
        <v>34</v>
      </c>
      <c r="G506" s="18" t="s">
        <v>48</v>
      </c>
      <c r="H506" s="64">
        <f>LEN(TRIM(Table22[[#This Row],[Country]]))</f>
        <v>6</v>
      </c>
      <c r="I506" s="64">
        <f>LEN(TRIM(Table22[[#This Row],[Continent]]))</f>
        <v>13</v>
      </c>
      <c r="J506" s="64">
        <f>LEN(TRIM(Table22[[#This Row],[Product]]))</f>
        <v>10</v>
      </c>
      <c r="K506" s="64">
        <f>LEN(TRIM(Table22[[#This Row],[Sales Team]]))</f>
        <v>9</v>
      </c>
      <c r="L506" s="23">
        <v>63</v>
      </c>
      <c r="M506" s="65" t="str" cm="1">
        <f t="array" ref="M506">_xlfn.IFS(Table22[[#This Row],[Units Sold]]&lt;40,"Critical",Table22[[#This Row],[Units Sold]]&lt;=50,"Poor",Table22[[#This Row],[Units Sold]]&lt;=60,"Low",Table22[[#This Row],[Units Sold]]&lt;=80,"Average",Table22[[#This Row],[Units Sold]]&lt;=90,"High",Table22[[#This Row],[Units Sold]]&lt;=95,"Excellent",Table22[[#This Row],[Units Sold]]&gt;95,"Outstanding")</f>
        <v>Average</v>
      </c>
      <c r="N506" s="29">
        <v>957.95</v>
      </c>
      <c r="O506" s="29">
        <v>60350.85</v>
      </c>
      <c r="P506" s="43">
        <f>IF(Table22[[#This Row],[Discount Applied]],Table22[[#This Row],[Total Sales (in USD)]]*(1-Table22[[#This Row],[Discount Percentage (%)]]/100),Table22[[#This Row],[Total Sales (in USD)]])</f>
        <v>60350.85</v>
      </c>
      <c r="Q506" s="66">
        <f>SQRT(AVERAGE((Table22[[#This Row],[Net Sales (after discount) (in USD)]]-AVERAGE(Table22[Net Sales (after discount) (in USD)]))^2))</f>
        <v>23839.489436235461</v>
      </c>
      <c r="R506" s="18" t="b">
        <v>0</v>
      </c>
      <c r="S506" s="40">
        <v>2.83</v>
      </c>
      <c r="T506" s="18" t="b">
        <v>0</v>
      </c>
      <c r="U506" s="25">
        <v>45223</v>
      </c>
      <c r="V506" s="63" t="str">
        <f>IF(MONTH(Table22[[#This Row],[Sales Date]])&lt;=3,"Q1",IF(MONTH(Table22[[#This Row],[Sales Date]])&lt;=6,"Q2",IF(MONTH(Table22[[#This Row],[Sales Date]])&lt;=9,"Q3","Q4")))</f>
        <v>Q4</v>
      </c>
      <c r="W506" s="64">
        <f>YEAR(Table22[[#This Row],[Sales Date]])</f>
        <v>2023</v>
      </c>
      <c r="X506" s="23">
        <v>51</v>
      </c>
      <c r="Y506" s="18" t="s">
        <v>49</v>
      </c>
      <c r="Z506" s="18" t="s">
        <v>42</v>
      </c>
      <c r="AA506" s="19" t="s">
        <v>36</v>
      </c>
    </row>
    <row r="507" spans="1:27" x14ac:dyDescent="0.25">
      <c r="A507" s="17" t="s">
        <v>1737</v>
      </c>
      <c r="B507" s="18" t="s">
        <v>38</v>
      </c>
      <c r="C507" s="63" t="str" cm="1">
        <f t="array" ref="C507">_xlfn.SWITCH(Table22[[#This Row],[Country]],"USA","North America","Canada","North America","Brazil","South America","China","Asia","Japan","Asia","India","Asia","France","Europe","Germany","Europe","UK","Europe","Australia","Oceania","South America")</f>
        <v>Europe</v>
      </c>
      <c r="D507" s="18" t="s">
        <v>28</v>
      </c>
      <c r="E507" s="18" t="s">
        <v>39</v>
      </c>
      <c r="F507" s="18" t="s">
        <v>52</v>
      </c>
      <c r="G507" s="18" t="s">
        <v>22</v>
      </c>
      <c r="H507" s="64">
        <f>LEN(TRIM(Table22[[#This Row],[Country]]))</f>
        <v>6</v>
      </c>
      <c r="I507" s="64">
        <f>LEN(TRIM(Table22[[#This Row],[Continent]]))</f>
        <v>6</v>
      </c>
      <c r="J507" s="64">
        <f>LEN(TRIM(Table22[[#This Row],[Product]]))</f>
        <v>10</v>
      </c>
      <c r="K507" s="64">
        <f>LEN(TRIM(Table22[[#This Row],[Sales Team]]))</f>
        <v>10</v>
      </c>
      <c r="L507" s="23">
        <v>41</v>
      </c>
      <c r="M507" s="65" t="str" cm="1">
        <f t="array" ref="M507">_xlfn.IFS(Table22[[#This Row],[Units Sold]]&lt;40,"Critical",Table22[[#This Row],[Units Sold]]&lt;=50,"Poor",Table22[[#This Row],[Units Sold]]&lt;=60,"Low",Table22[[#This Row],[Units Sold]]&lt;=80,"Average",Table22[[#This Row],[Units Sold]]&lt;=90,"High",Table22[[#This Row],[Units Sold]]&lt;=95,"Excellent",Table22[[#This Row],[Units Sold]]&gt;95,"Outstanding")</f>
        <v>Poor</v>
      </c>
      <c r="N507" s="29">
        <v>1471.6</v>
      </c>
      <c r="O507" s="29">
        <v>60335.6</v>
      </c>
      <c r="P507" s="43">
        <f>IF(Table22[[#This Row],[Discount Applied]],Table22[[#This Row],[Total Sales (in USD)]]*(1-Table22[[#This Row],[Discount Percentage (%)]]/100),Table22[[#This Row],[Total Sales (in USD)]])</f>
        <v>60335.6</v>
      </c>
      <c r="Q507" s="66">
        <f>SQRT(AVERAGE((Table22[[#This Row],[Net Sales (after discount) (in USD)]]-AVERAGE(Table22[Net Sales (after discount) (in USD)]))^2))</f>
        <v>23824.239436235461</v>
      </c>
      <c r="R507" s="18" t="b">
        <v>1</v>
      </c>
      <c r="S507" s="40">
        <v>7.68</v>
      </c>
      <c r="T507" s="18" t="b">
        <v>0</v>
      </c>
      <c r="U507" s="25">
        <v>45117</v>
      </c>
      <c r="V507" s="63" t="str">
        <f>IF(MONTH(Table22[[#This Row],[Sales Date]])&lt;=3,"Q1",IF(MONTH(Table22[[#This Row],[Sales Date]])&lt;=6,"Q2",IF(MONTH(Table22[[#This Row],[Sales Date]])&lt;=9,"Q3","Q4")))</f>
        <v>Q3</v>
      </c>
      <c r="W507" s="64">
        <f>YEAR(Table22[[#This Row],[Sales Date]])</f>
        <v>2023</v>
      </c>
      <c r="X507" s="23">
        <v>36</v>
      </c>
      <c r="Y507" s="18" t="s">
        <v>41</v>
      </c>
      <c r="Z507" s="18" t="s">
        <v>42</v>
      </c>
      <c r="AA507" s="19" t="s">
        <v>25</v>
      </c>
    </row>
    <row r="508" spans="1:27" x14ac:dyDescent="0.25">
      <c r="A508" s="17" t="s">
        <v>1333</v>
      </c>
      <c r="B508" s="18" t="s">
        <v>32</v>
      </c>
      <c r="C508" s="63" t="str" cm="1">
        <f t="array" ref="C508">_xlfn.SWITCH(Table22[[#This Row],[Country]],"USA","North America","Canada","North America","Brazil","South America","China","Asia","Japan","Asia","India","Asia","France","Europe","Germany","Europe","UK","Europe","Australia","Oceania","South America")</f>
        <v>Asia</v>
      </c>
      <c r="D508" s="18" t="s">
        <v>21</v>
      </c>
      <c r="E508" s="18" t="s">
        <v>19</v>
      </c>
      <c r="F508" s="18" t="s">
        <v>47</v>
      </c>
      <c r="G508" s="18" t="s">
        <v>48</v>
      </c>
      <c r="H508" s="64">
        <f>LEN(TRIM(Table22[[#This Row],[Country]]))</f>
        <v>5</v>
      </c>
      <c r="I508" s="64">
        <f>LEN(TRIM(Table22[[#This Row],[Continent]]))</f>
        <v>4</v>
      </c>
      <c r="J508" s="64">
        <f>LEN(TRIM(Table22[[#This Row],[Product]]))</f>
        <v>6</v>
      </c>
      <c r="K508" s="64">
        <f>LEN(TRIM(Table22[[#This Row],[Sales Team]]))</f>
        <v>9</v>
      </c>
      <c r="L508" s="23">
        <v>75</v>
      </c>
      <c r="M508" s="65" t="str" cm="1">
        <f t="array" ref="M508">_xlfn.IFS(Table22[[#This Row],[Units Sold]]&lt;40,"Critical",Table22[[#This Row],[Units Sold]]&lt;=50,"Poor",Table22[[#This Row],[Units Sold]]&lt;=60,"Low",Table22[[#This Row],[Units Sold]]&lt;=80,"Average",Table22[[#This Row],[Units Sold]]&lt;=90,"High",Table22[[#This Row],[Units Sold]]&lt;=95,"Excellent",Table22[[#This Row],[Units Sold]]&gt;95,"Outstanding")</f>
        <v>Average</v>
      </c>
      <c r="N508" s="29">
        <v>803.52</v>
      </c>
      <c r="O508" s="29">
        <v>60264</v>
      </c>
      <c r="P508" s="43">
        <f>IF(Table22[[#This Row],[Discount Applied]],Table22[[#This Row],[Total Sales (in USD)]]*(1-Table22[[#This Row],[Discount Percentage (%)]]/100),Table22[[#This Row],[Total Sales (in USD)]])</f>
        <v>60264</v>
      </c>
      <c r="Q508" s="66">
        <f>SQRT(AVERAGE((Table22[[#This Row],[Net Sales (after discount) (in USD)]]-AVERAGE(Table22[Net Sales (after discount) (in USD)]))^2))</f>
        <v>23752.639436235462</v>
      </c>
      <c r="R508" s="18" t="b">
        <v>1</v>
      </c>
      <c r="S508" s="40">
        <v>15.15</v>
      </c>
      <c r="T508" s="18" t="b">
        <v>0</v>
      </c>
      <c r="U508" s="25">
        <v>44985</v>
      </c>
      <c r="V508" s="63" t="str">
        <f>IF(MONTH(Table22[[#This Row],[Sales Date]])&lt;=3,"Q1",IF(MONTH(Table22[[#This Row],[Sales Date]])&lt;=6,"Q2",IF(MONTH(Table22[[#This Row],[Sales Date]])&lt;=9,"Q3","Q4")))</f>
        <v>Q1</v>
      </c>
      <c r="W508" s="64">
        <f>YEAR(Table22[[#This Row],[Sales Date]])</f>
        <v>2023</v>
      </c>
      <c r="X508" s="23">
        <v>44</v>
      </c>
      <c r="Y508" s="18" t="s">
        <v>49</v>
      </c>
      <c r="Z508" s="18" t="s">
        <v>24</v>
      </c>
      <c r="AA508" s="19" t="s">
        <v>25</v>
      </c>
    </row>
    <row r="509" spans="1:27" x14ac:dyDescent="0.25">
      <c r="A509" s="17" t="s">
        <v>721</v>
      </c>
      <c r="B509" s="18" t="s">
        <v>46</v>
      </c>
      <c r="C509" s="63" t="str" cm="1">
        <f t="array" ref="C509">_xlfn.SWITCH(Table22[[#This Row],[Country]],"USA","North America","Canada","North America","Brazil","South America","China","Asia","Japan","Asia","India","Asia","France","Europe","Germany","Europe","UK","Europe","Australia","Oceania","South America")</f>
        <v>South America</v>
      </c>
      <c r="D509" s="18" t="s">
        <v>44</v>
      </c>
      <c r="E509" s="18" t="s">
        <v>39</v>
      </c>
      <c r="F509" s="18" t="s">
        <v>64</v>
      </c>
      <c r="G509" s="18" t="s">
        <v>48</v>
      </c>
      <c r="H509" s="64">
        <f>LEN(TRIM(Table22[[#This Row],[Country]]))</f>
        <v>6</v>
      </c>
      <c r="I509" s="64">
        <f>LEN(TRIM(Table22[[#This Row],[Continent]]))</f>
        <v>13</v>
      </c>
      <c r="J509" s="64">
        <f>LEN(TRIM(Table22[[#This Row],[Product]]))</f>
        <v>10</v>
      </c>
      <c r="K509" s="64">
        <f>LEN(TRIM(Table22[[#This Row],[Sales Team]]))</f>
        <v>9</v>
      </c>
      <c r="L509" s="23">
        <v>52</v>
      </c>
      <c r="M509" s="65" t="str" cm="1">
        <f t="array" ref="M509">_xlfn.IFS(Table22[[#This Row],[Units Sold]]&lt;40,"Critical",Table22[[#This Row],[Units Sold]]&lt;=50,"Poor",Table22[[#This Row],[Units Sold]]&lt;=60,"Low",Table22[[#This Row],[Units Sold]]&lt;=80,"Average",Table22[[#This Row],[Units Sold]]&lt;=90,"High",Table22[[#This Row],[Units Sold]]&lt;=95,"Excellent",Table22[[#This Row],[Units Sold]]&gt;95,"Outstanding")</f>
        <v>Low</v>
      </c>
      <c r="N509" s="29">
        <v>1157.8499999999999</v>
      </c>
      <c r="O509" s="29">
        <v>60208.2</v>
      </c>
      <c r="P509" s="43">
        <f>IF(Table22[[#This Row],[Discount Applied]],Table22[[#This Row],[Total Sales (in USD)]]*(1-Table22[[#This Row],[Discount Percentage (%)]]/100),Table22[[#This Row],[Total Sales (in USD)]])</f>
        <v>60208.2</v>
      </c>
      <c r="Q509" s="66">
        <f>SQRT(AVERAGE((Table22[[#This Row],[Net Sales (after discount) (in USD)]]-AVERAGE(Table22[Net Sales (after discount) (in USD)]))^2))</f>
        <v>23696.839436235459</v>
      </c>
      <c r="R509" s="18" t="b">
        <v>1</v>
      </c>
      <c r="S509" s="40">
        <v>21.19</v>
      </c>
      <c r="T509" s="18" t="b">
        <v>0</v>
      </c>
      <c r="U509" s="25">
        <v>45269</v>
      </c>
      <c r="V509" s="63" t="str">
        <f>IF(MONTH(Table22[[#This Row],[Sales Date]])&lt;=3,"Q1",IF(MONTH(Table22[[#This Row],[Sales Date]])&lt;=6,"Q2",IF(MONTH(Table22[[#This Row],[Sales Date]])&lt;=9,"Q3","Q4")))</f>
        <v>Q4</v>
      </c>
      <c r="W509" s="64">
        <f>YEAR(Table22[[#This Row],[Sales Date]])</f>
        <v>2023</v>
      </c>
      <c r="X509" s="23">
        <v>47</v>
      </c>
      <c r="Y509" s="18" t="s">
        <v>23</v>
      </c>
      <c r="Z509" s="18" t="s">
        <v>30</v>
      </c>
      <c r="AA509" s="19" t="s">
        <v>25</v>
      </c>
    </row>
    <row r="510" spans="1:27" x14ac:dyDescent="0.25">
      <c r="A510" s="17" t="s">
        <v>1237</v>
      </c>
      <c r="B510" s="18" t="s">
        <v>46</v>
      </c>
      <c r="C510" s="63" t="str" cm="1">
        <f t="array" ref="C510">_xlfn.SWITCH(Table22[[#This Row],[Country]],"USA","North America","Canada","North America","Brazil","South America","China","Asia","Japan","Asia","India","Asia","France","Europe","Germany","Europe","UK","Europe","Australia","Oceania","South America")</f>
        <v>South America</v>
      </c>
      <c r="D510" s="18" t="s">
        <v>28</v>
      </c>
      <c r="E510" s="18" t="s">
        <v>39</v>
      </c>
      <c r="F510" s="18" t="s">
        <v>20</v>
      </c>
      <c r="G510" s="18" t="s">
        <v>29</v>
      </c>
      <c r="H510" s="64">
        <f>LEN(TRIM(Table22[[#This Row],[Country]]))</f>
        <v>6</v>
      </c>
      <c r="I510" s="64">
        <f>LEN(TRIM(Table22[[#This Row],[Continent]]))</f>
        <v>13</v>
      </c>
      <c r="J510" s="64">
        <f>LEN(TRIM(Table22[[#This Row],[Product]]))</f>
        <v>10</v>
      </c>
      <c r="K510" s="64">
        <f>LEN(TRIM(Table22[[#This Row],[Sales Team]]))</f>
        <v>10</v>
      </c>
      <c r="L510" s="23">
        <v>57</v>
      </c>
      <c r="M510" s="65" t="str" cm="1">
        <f t="array" ref="M510">_xlfn.IFS(Table22[[#This Row],[Units Sold]]&lt;40,"Critical",Table22[[#This Row],[Units Sold]]&lt;=50,"Poor",Table22[[#This Row],[Units Sold]]&lt;=60,"Low",Table22[[#This Row],[Units Sold]]&lt;=80,"Average",Table22[[#This Row],[Units Sold]]&lt;=90,"High",Table22[[#This Row],[Units Sold]]&lt;=95,"Excellent",Table22[[#This Row],[Units Sold]]&gt;95,"Outstanding")</f>
        <v>Low</v>
      </c>
      <c r="N510" s="29">
        <v>1050.07</v>
      </c>
      <c r="O510" s="29">
        <v>59853.99</v>
      </c>
      <c r="P510" s="43">
        <f>IF(Table22[[#This Row],[Discount Applied]],Table22[[#This Row],[Total Sales (in USD)]]*(1-Table22[[#This Row],[Discount Percentage (%)]]/100),Table22[[#This Row],[Total Sales (in USD)]])</f>
        <v>59602.603241999997</v>
      </c>
      <c r="Q510" s="66">
        <f>SQRT(AVERAGE((Table22[[#This Row],[Net Sales (after discount) (in USD)]]-AVERAGE(Table22[Net Sales (after discount) (in USD)]))^2))</f>
        <v>23091.24267823546</v>
      </c>
      <c r="R510" s="18" t="b">
        <v>0</v>
      </c>
      <c r="S510" s="40">
        <v>0.42</v>
      </c>
      <c r="T510" s="18" t="b">
        <v>1</v>
      </c>
      <c r="U510" s="25">
        <v>45595</v>
      </c>
      <c r="V510" s="63" t="str">
        <f>IF(MONTH(Table22[[#This Row],[Sales Date]])&lt;=3,"Q1",IF(MONTH(Table22[[#This Row],[Sales Date]])&lt;=6,"Q2",IF(MONTH(Table22[[#This Row],[Sales Date]])&lt;=9,"Q3","Q4")))</f>
        <v>Q4</v>
      </c>
      <c r="W510" s="64">
        <f>YEAR(Table22[[#This Row],[Sales Date]])</f>
        <v>2024</v>
      </c>
      <c r="X510" s="23">
        <v>22</v>
      </c>
      <c r="Y510" s="18" t="s">
        <v>49</v>
      </c>
      <c r="Z510" s="18" t="s">
        <v>24</v>
      </c>
      <c r="AA510" s="19" t="s">
        <v>25</v>
      </c>
    </row>
    <row r="511" spans="1:27" x14ac:dyDescent="0.25">
      <c r="A511" s="17" t="s">
        <v>484</v>
      </c>
      <c r="B511" s="18" t="s">
        <v>46</v>
      </c>
      <c r="C511" s="63" t="str" cm="1">
        <f t="array" ref="C511">_xlfn.SWITCH(Table22[[#This Row],[Country]],"USA","North America","Canada","North America","Brazil","South America","China","Asia","Japan","Asia","India","Asia","France","Europe","Germany","Europe","UK","Europe","Australia","Oceania","South America")</f>
        <v>South America</v>
      </c>
      <c r="D511" s="18" t="s">
        <v>21</v>
      </c>
      <c r="E511" s="18" t="s">
        <v>33</v>
      </c>
      <c r="F511" s="18" t="s">
        <v>20</v>
      </c>
      <c r="G511" s="18" t="s">
        <v>22</v>
      </c>
      <c r="H511" s="64">
        <f>LEN(TRIM(Table22[[#This Row],[Country]]))</f>
        <v>6</v>
      </c>
      <c r="I511" s="64">
        <f>LEN(TRIM(Table22[[#This Row],[Continent]]))</f>
        <v>13</v>
      </c>
      <c r="J511" s="64">
        <f>LEN(TRIM(Table22[[#This Row],[Product]]))</f>
        <v>10</v>
      </c>
      <c r="K511" s="64">
        <f>LEN(TRIM(Table22[[#This Row],[Sales Team]]))</f>
        <v>10</v>
      </c>
      <c r="L511" s="23">
        <v>50</v>
      </c>
      <c r="M511" s="65" t="str" cm="1">
        <f t="array" ref="M511">_xlfn.IFS(Table22[[#This Row],[Units Sold]]&lt;40,"Critical",Table22[[#This Row],[Units Sold]]&lt;=50,"Poor",Table22[[#This Row],[Units Sold]]&lt;=60,"Low",Table22[[#This Row],[Units Sold]]&lt;=80,"Average",Table22[[#This Row],[Units Sold]]&lt;=90,"High",Table22[[#This Row],[Units Sold]]&lt;=95,"Excellent",Table22[[#This Row],[Units Sold]]&gt;95,"Outstanding")</f>
        <v>Poor</v>
      </c>
      <c r="N511" s="29">
        <v>1196.73</v>
      </c>
      <c r="O511" s="29">
        <v>59836.5</v>
      </c>
      <c r="P511" s="43">
        <f>IF(Table22[[#This Row],[Discount Applied]],Table22[[#This Row],[Total Sales (in USD)]]*(1-Table22[[#This Row],[Discount Percentage (%)]]/100),Table22[[#This Row],[Total Sales (in USD)]])</f>
        <v>59836.5</v>
      </c>
      <c r="Q511" s="66">
        <f>SQRT(AVERAGE((Table22[[#This Row],[Net Sales (after discount) (in USD)]]-AVERAGE(Table22[Net Sales (after discount) (in USD)]))^2))</f>
        <v>23325.139436235462</v>
      </c>
      <c r="R511" s="18" t="b">
        <v>0</v>
      </c>
      <c r="S511" s="40">
        <v>23.47</v>
      </c>
      <c r="T511" s="18" t="b">
        <v>0</v>
      </c>
      <c r="U511" s="25">
        <v>45392</v>
      </c>
      <c r="V511" s="63" t="str">
        <f>IF(MONTH(Table22[[#This Row],[Sales Date]])&lt;=3,"Q1",IF(MONTH(Table22[[#This Row],[Sales Date]])&lt;=6,"Q2",IF(MONTH(Table22[[#This Row],[Sales Date]])&lt;=9,"Q3","Q4")))</f>
        <v>Q2</v>
      </c>
      <c r="W511" s="64">
        <f>YEAR(Table22[[#This Row],[Sales Date]])</f>
        <v>2024</v>
      </c>
      <c r="X511" s="23">
        <v>41</v>
      </c>
      <c r="Y511" s="18" t="s">
        <v>23</v>
      </c>
      <c r="Z511" s="18" t="s">
        <v>30</v>
      </c>
      <c r="AA511" s="19" t="s">
        <v>36</v>
      </c>
    </row>
    <row r="512" spans="1:27" x14ac:dyDescent="0.25">
      <c r="A512" s="17" t="s">
        <v>1764</v>
      </c>
      <c r="B512" s="18" t="s">
        <v>51</v>
      </c>
      <c r="C512" s="63" t="str" cm="1">
        <f t="array" ref="C512">_xlfn.SWITCH(Table22[[#This Row],[Country]],"USA","North America","Canada","North America","Brazil","South America","China","Asia","Japan","Asia","India","Asia","France","Europe","Germany","Europe","UK","Europe","Australia","Oceania","South America")</f>
        <v>Europe</v>
      </c>
      <c r="D512" s="18" t="s">
        <v>44</v>
      </c>
      <c r="E512" s="18" t="s">
        <v>39</v>
      </c>
      <c r="F512" s="18" t="s">
        <v>64</v>
      </c>
      <c r="G512" s="18" t="s">
        <v>22</v>
      </c>
      <c r="H512" s="64">
        <f>LEN(TRIM(Table22[[#This Row],[Country]]))</f>
        <v>2</v>
      </c>
      <c r="I512" s="64">
        <f>LEN(TRIM(Table22[[#This Row],[Continent]]))</f>
        <v>6</v>
      </c>
      <c r="J512" s="64">
        <f>LEN(TRIM(Table22[[#This Row],[Product]]))</f>
        <v>10</v>
      </c>
      <c r="K512" s="64">
        <f>LEN(TRIM(Table22[[#This Row],[Sales Team]]))</f>
        <v>10</v>
      </c>
      <c r="L512" s="23">
        <v>54</v>
      </c>
      <c r="M512" s="65" t="str" cm="1">
        <f t="array" ref="M512">_xlfn.IFS(Table22[[#This Row],[Units Sold]]&lt;40,"Critical",Table22[[#This Row],[Units Sold]]&lt;=50,"Poor",Table22[[#This Row],[Units Sold]]&lt;=60,"Low",Table22[[#This Row],[Units Sold]]&lt;=80,"Average",Table22[[#This Row],[Units Sold]]&lt;=90,"High",Table22[[#This Row],[Units Sold]]&lt;=95,"Excellent",Table22[[#This Row],[Units Sold]]&gt;95,"Outstanding")</f>
        <v>Low</v>
      </c>
      <c r="N512" s="29">
        <v>1107.67</v>
      </c>
      <c r="O512" s="29">
        <v>59814.18</v>
      </c>
      <c r="P512" s="43">
        <f>IF(Table22[[#This Row],[Discount Applied]],Table22[[#This Row],[Total Sales (in USD)]]*(1-Table22[[#This Row],[Discount Percentage (%)]]/100),Table22[[#This Row],[Total Sales (in USD)]])</f>
        <v>59814.18</v>
      </c>
      <c r="Q512" s="66">
        <f>SQRT(AVERAGE((Table22[[#This Row],[Net Sales (after discount) (in USD)]]-AVERAGE(Table22[Net Sales (after discount) (in USD)]))^2))</f>
        <v>23302.819436235462</v>
      </c>
      <c r="R512" s="18" t="b">
        <v>0</v>
      </c>
      <c r="S512" s="40">
        <v>7.6</v>
      </c>
      <c r="T512" s="18" t="b">
        <v>0</v>
      </c>
      <c r="U512" s="25">
        <v>45225</v>
      </c>
      <c r="V512" s="63" t="str">
        <f>IF(MONTH(Table22[[#This Row],[Sales Date]])&lt;=3,"Q1",IF(MONTH(Table22[[#This Row],[Sales Date]])&lt;=6,"Q2",IF(MONTH(Table22[[#This Row],[Sales Date]])&lt;=9,"Q3","Q4")))</f>
        <v>Q4</v>
      </c>
      <c r="W512" s="64">
        <f>YEAR(Table22[[#This Row],[Sales Date]])</f>
        <v>2023</v>
      </c>
      <c r="X512" s="23">
        <v>22</v>
      </c>
      <c r="Y512" s="18" t="s">
        <v>49</v>
      </c>
      <c r="Z512" s="18" t="s">
        <v>56</v>
      </c>
      <c r="AA512" s="19" t="s">
        <v>25</v>
      </c>
    </row>
    <row r="513" spans="1:27" x14ac:dyDescent="0.25">
      <c r="A513" s="17" t="s">
        <v>1905</v>
      </c>
      <c r="B513" s="18" t="s">
        <v>62</v>
      </c>
      <c r="C513" s="63" t="str" cm="1">
        <f t="array" ref="C513">_xlfn.SWITCH(Table22[[#This Row],[Country]],"USA","North America","Canada","North America","Brazil","South America","China","Asia","Japan","Asia","India","Asia","France","Europe","Germany","Europe","UK","Europe","Australia","Oceania","South America")</f>
        <v>Oceania</v>
      </c>
      <c r="D513" s="18" t="s">
        <v>35</v>
      </c>
      <c r="E513" s="18" t="s">
        <v>39</v>
      </c>
      <c r="F513" s="18" t="s">
        <v>20</v>
      </c>
      <c r="G513" s="18" t="s">
        <v>29</v>
      </c>
      <c r="H513" s="64">
        <f>LEN(TRIM(Table22[[#This Row],[Country]]))</f>
        <v>9</v>
      </c>
      <c r="I513" s="64">
        <f>LEN(TRIM(Table22[[#This Row],[Continent]]))</f>
        <v>7</v>
      </c>
      <c r="J513" s="64">
        <f>LEN(TRIM(Table22[[#This Row],[Product]]))</f>
        <v>10</v>
      </c>
      <c r="K513" s="64">
        <f>LEN(TRIM(Table22[[#This Row],[Sales Team]]))</f>
        <v>10</v>
      </c>
      <c r="L513" s="23">
        <v>75</v>
      </c>
      <c r="M513" s="65" t="str" cm="1">
        <f t="array" ref="M513">_xlfn.IFS(Table22[[#This Row],[Units Sold]]&lt;40,"Critical",Table22[[#This Row],[Units Sold]]&lt;=50,"Poor",Table22[[#This Row],[Units Sold]]&lt;=60,"Low",Table22[[#This Row],[Units Sold]]&lt;=80,"Average",Table22[[#This Row],[Units Sold]]&lt;=90,"High",Table22[[#This Row],[Units Sold]]&lt;=95,"Excellent",Table22[[#This Row],[Units Sold]]&gt;95,"Outstanding")</f>
        <v>Average</v>
      </c>
      <c r="N513" s="29">
        <v>796.87</v>
      </c>
      <c r="O513" s="29">
        <v>59765.25</v>
      </c>
      <c r="P513" s="43">
        <f>IF(Table22[[#This Row],[Discount Applied]],Table22[[#This Row],[Total Sales (in USD)]]*(1-Table22[[#This Row],[Discount Percentage (%)]]/100),Table22[[#This Row],[Total Sales (in USD)]])</f>
        <v>50543.471924999998</v>
      </c>
      <c r="Q513" s="66">
        <f>SQRT(AVERAGE((Table22[[#This Row],[Net Sales (after discount) (in USD)]]-AVERAGE(Table22[Net Sales (after discount) (in USD)]))^2))</f>
        <v>14032.11136123546</v>
      </c>
      <c r="R513" s="18" t="b">
        <v>0</v>
      </c>
      <c r="S513" s="40">
        <v>15.43</v>
      </c>
      <c r="T513" s="18" t="b">
        <v>1</v>
      </c>
      <c r="U513" s="25">
        <v>45446</v>
      </c>
      <c r="V513" s="63" t="str">
        <f>IF(MONTH(Table22[[#This Row],[Sales Date]])&lt;=3,"Q1",IF(MONTH(Table22[[#This Row],[Sales Date]])&lt;=6,"Q2",IF(MONTH(Table22[[#This Row],[Sales Date]])&lt;=9,"Q3","Q4")))</f>
        <v>Q2</v>
      </c>
      <c r="W513" s="64">
        <f>YEAR(Table22[[#This Row],[Sales Date]])</f>
        <v>2024</v>
      </c>
      <c r="X513" s="23">
        <v>28</v>
      </c>
      <c r="Y513" s="18" t="s">
        <v>49</v>
      </c>
      <c r="Z513" s="18" t="s">
        <v>42</v>
      </c>
      <c r="AA513" s="19" t="s">
        <v>36</v>
      </c>
    </row>
    <row r="514" spans="1:27" x14ac:dyDescent="0.25">
      <c r="A514" s="17" t="s">
        <v>1260</v>
      </c>
      <c r="B514" s="18" t="s">
        <v>76</v>
      </c>
      <c r="C514" s="63" t="str" cm="1">
        <f t="array" ref="C514">_xlfn.SWITCH(Table22[[#This Row],[Country]],"USA","North America","Canada","North America","Brazil","South America","China","Asia","Japan","Asia","India","Asia","France","Europe","Germany","Europe","UK","Europe","Australia","Oceania","South America")</f>
        <v>Asia</v>
      </c>
      <c r="D514" s="18" t="s">
        <v>28</v>
      </c>
      <c r="E514" s="18" t="s">
        <v>19</v>
      </c>
      <c r="F514" s="18" t="s">
        <v>64</v>
      </c>
      <c r="G514" s="18" t="s">
        <v>40</v>
      </c>
      <c r="H514" s="64">
        <f>LEN(TRIM(Table22[[#This Row],[Country]]))</f>
        <v>5</v>
      </c>
      <c r="I514" s="64">
        <f>LEN(TRIM(Table22[[#This Row],[Continent]]))</f>
        <v>4</v>
      </c>
      <c r="J514" s="64">
        <f>LEN(TRIM(Table22[[#This Row],[Product]]))</f>
        <v>6</v>
      </c>
      <c r="K514" s="64">
        <f>LEN(TRIM(Table22[[#This Row],[Sales Team]]))</f>
        <v>10</v>
      </c>
      <c r="L514" s="23">
        <v>76</v>
      </c>
      <c r="M514" s="65" t="str" cm="1">
        <f t="array" ref="M514">_xlfn.IFS(Table22[[#This Row],[Units Sold]]&lt;40,"Critical",Table22[[#This Row],[Units Sold]]&lt;=50,"Poor",Table22[[#This Row],[Units Sold]]&lt;=60,"Low",Table22[[#This Row],[Units Sold]]&lt;=80,"Average",Table22[[#This Row],[Units Sold]]&lt;=90,"High",Table22[[#This Row],[Units Sold]]&lt;=95,"Excellent",Table22[[#This Row],[Units Sold]]&gt;95,"Outstanding")</f>
        <v>Average</v>
      </c>
      <c r="N514" s="29">
        <v>786.07</v>
      </c>
      <c r="O514" s="29">
        <v>59741.32</v>
      </c>
      <c r="P514" s="43">
        <f>IF(Table22[[#This Row],[Discount Applied]],Table22[[#This Row],[Total Sales (in USD)]]*(1-Table22[[#This Row],[Discount Percentage (%)]]/100),Table22[[#This Row],[Total Sales (in USD)]])</f>
        <v>57357.641331999999</v>
      </c>
      <c r="Q514" s="66">
        <f>SQRT(AVERAGE((Table22[[#This Row],[Net Sales (after discount) (in USD)]]-AVERAGE(Table22[Net Sales (after discount) (in USD)]))^2))</f>
        <v>20846.280768235461</v>
      </c>
      <c r="R514" s="18" t="b">
        <v>1</v>
      </c>
      <c r="S514" s="40">
        <v>3.99</v>
      </c>
      <c r="T514" s="18" t="b">
        <v>1</v>
      </c>
      <c r="U514" s="25">
        <v>45537</v>
      </c>
      <c r="V514" s="63" t="str">
        <f>IF(MONTH(Table22[[#This Row],[Sales Date]])&lt;=3,"Q1",IF(MONTH(Table22[[#This Row],[Sales Date]])&lt;=6,"Q2",IF(MONTH(Table22[[#This Row],[Sales Date]])&lt;=9,"Q3","Q4")))</f>
        <v>Q3</v>
      </c>
      <c r="W514" s="64">
        <f>YEAR(Table22[[#This Row],[Sales Date]])</f>
        <v>2024</v>
      </c>
      <c r="X514" s="23">
        <v>59</v>
      </c>
      <c r="Y514" s="18" t="s">
        <v>49</v>
      </c>
      <c r="Z514" s="18" t="s">
        <v>56</v>
      </c>
      <c r="AA514" s="19" t="s">
        <v>25</v>
      </c>
    </row>
    <row r="515" spans="1:27" x14ac:dyDescent="0.25">
      <c r="A515" s="17" t="s">
        <v>1854</v>
      </c>
      <c r="B515" s="18" t="s">
        <v>62</v>
      </c>
      <c r="C515" s="63" t="str" cm="1">
        <f t="array" ref="C515">_xlfn.SWITCH(Table22[[#This Row],[Country]],"USA","North America","Canada","North America","Brazil","South America","China","Asia","Japan","Asia","India","Asia","France","Europe","Germany","Europe","UK","Europe","Australia","Oceania","South America")</f>
        <v>Oceania</v>
      </c>
      <c r="D515" s="18" t="s">
        <v>28</v>
      </c>
      <c r="E515" s="18" t="s">
        <v>19</v>
      </c>
      <c r="F515" s="18" t="s">
        <v>47</v>
      </c>
      <c r="G515" s="18" t="s">
        <v>22</v>
      </c>
      <c r="H515" s="64">
        <f>LEN(TRIM(Table22[[#This Row],[Country]]))</f>
        <v>9</v>
      </c>
      <c r="I515" s="64">
        <f>LEN(TRIM(Table22[[#This Row],[Continent]]))</f>
        <v>7</v>
      </c>
      <c r="J515" s="64">
        <f>LEN(TRIM(Table22[[#This Row],[Product]]))</f>
        <v>6</v>
      </c>
      <c r="K515" s="64">
        <f>LEN(TRIM(Table22[[#This Row],[Sales Team]]))</f>
        <v>10</v>
      </c>
      <c r="L515" s="23">
        <v>90</v>
      </c>
      <c r="M515" s="65" t="str" cm="1">
        <f t="array" ref="M515">_xlfn.IFS(Table22[[#This Row],[Units Sold]]&lt;40,"Critical",Table22[[#This Row],[Units Sold]]&lt;=50,"Poor",Table22[[#This Row],[Units Sold]]&lt;=60,"Low",Table22[[#This Row],[Units Sold]]&lt;=80,"Average",Table22[[#This Row],[Units Sold]]&lt;=90,"High",Table22[[#This Row],[Units Sold]]&lt;=95,"Excellent",Table22[[#This Row],[Units Sold]]&gt;95,"Outstanding")</f>
        <v>High</v>
      </c>
      <c r="N515" s="29">
        <v>663.46</v>
      </c>
      <c r="O515" s="29">
        <v>59711.4</v>
      </c>
      <c r="P515" s="43">
        <f>IF(Table22[[#This Row],[Discount Applied]],Table22[[#This Row],[Total Sales (in USD)]]*(1-Table22[[#This Row],[Discount Percentage (%)]]/100),Table22[[#This Row],[Total Sales (in USD)]])</f>
        <v>45500.086800000005</v>
      </c>
      <c r="Q515" s="66">
        <f>SQRT(AVERAGE((Table22[[#This Row],[Net Sales (after discount) (in USD)]]-AVERAGE(Table22[Net Sales (after discount) (in USD)]))^2))</f>
        <v>8988.7262362354668</v>
      </c>
      <c r="R515" s="18" t="b">
        <v>0</v>
      </c>
      <c r="S515" s="40">
        <v>23.8</v>
      </c>
      <c r="T515" s="18" t="b">
        <v>1</v>
      </c>
      <c r="U515" s="25">
        <v>45232</v>
      </c>
      <c r="V515" s="63" t="str">
        <f>IF(MONTH(Table22[[#This Row],[Sales Date]])&lt;=3,"Q1",IF(MONTH(Table22[[#This Row],[Sales Date]])&lt;=6,"Q2",IF(MONTH(Table22[[#This Row],[Sales Date]])&lt;=9,"Q3","Q4")))</f>
        <v>Q4</v>
      </c>
      <c r="W515" s="64">
        <f>YEAR(Table22[[#This Row],[Sales Date]])</f>
        <v>2023</v>
      </c>
      <c r="X515" s="23">
        <v>25</v>
      </c>
      <c r="Y515" s="18" t="s">
        <v>41</v>
      </c>
      <c r="Z515" s="18" t="s">
        <v>42</v>
      </c>
      <c r="AA515" s="19" t="s">
        <v>36</v>
      </c>
    </row>
    <row r="516" spans="1:27" x14ac:dyDescent="0.25">
      <c r="A516" s="17" t="s">
        <v>1780</v>
      </c>
      <c r="B516" s="18" t="s">
        <v>76</v>
      </c>
      <c r="C516" s="63" t="str" cm="1">
        <f t="array" ref="C516">_xlfn.SWITCH(Table22[[#This Row],[Country]],"USA","North America","Canada","North America","Brazil","South America","China","Asia","Japan","Asia","India","Asia","France","Europe","Germany","Europe","UK","Europe","Australia","Oceania","South America")</f>
        <v>Asia</v>
      </c>
      <c r="D516" s="18" t="s">
        <v>21</v>
      </c>
      <c r="E516" s="18" t="s">
        <v>33</v>
      </c>
      <c r="F516" s="18" t="s">
        <v>64</v>
      </c>
      <c r="G516" s="18" t="s">
        <v>22</v>
      </c>
      <c r="H516" s="64">
        <f>LEN(TRIM(Table22[[#This Row],[Country]]))</f>
        <v>5</v>
      </c>
      <c r="I516" s="64">
        <f>LEN(TRIM(Table22[[#This Row],[Continent]]))</f>
        <v>4</v>
      </c>
      <c r="J516" s="64">
        <f>LEN(TRIM(Table22[[#This Row],[Product]]))</f>
        <v>10</v>
      </c>
      <c r="K516" s="64">
        <f>LEN(TRIM(Table22[[#This Row],[Sales Team]]))</f>
        <v>10</v>
      </c>
      <c r="L516" s="23">
        <v>96</v>
      </c>
      <c r="M516" s="65" t="str" cm="1">
        <f t="array" ref="M516">_xlfn.IFS(Table22[[#This Row],[Units Sold]]&lt;40,"Critical",Table22[[#This Row],[Units Sold]]&lt;=50,"Poor",Table22[[#This Row],[Units Sold]]&lt;=60,"Low",Table22[[#This Row],[Units Sold]]&lt;=80,"Average",Table22[[#This Row],[Units Sold]]&lt;=90,"High",Table22[[#This Row],[Units Sold]]&lt;=95,"Excellent",Table22[[#This Row],[Units Sold]]&gt;95,"Outstanding")</f>
        <v>Outstanding</v>
      </c>
      <c r="N516" s="29">
        <v>621.28</v>
      </c>
      <c r="O516" s="29">
        <v>59642.879999999997</v>
      </c>
      <c r="P516" s="43">
        <f>IF(Table22[[#This Row],[Discount Applied]],Table22[[#This Row],[Total Sales (in USD)]]*(1-Table22[[#This Row],[Discount Percentage (%)]]/100),Table22[[#This Row],[Total Sales (in USD)]])</f>
        <v>50290.876415999992</v>
      </c>
      <c r="Q516" s="66">
        <f>SQRT(AVERAGE((Table22[[#This Row],[Net Sales (after discount) (in USD)]]-AVERAGE(Table22[Net Sales (after discount) (in USD)]))^2))</f>
        <v>13779.515852235454</v>
      </c>
      <c r="R516" s="18" t="b">
        <v>1</v>
      </c>
      <c r="S516" s="40">
        <v>15.68</v>
      </c>
      <c r="T516" s="18" t="b">
        <v>1</v>
      </c>
      <c r="U516" s="25">
        <v>45038</v>
      </c>
      <c r="V516" s="63" t="str">
        <f>IF(MONTH(Table22[[#This Row],[Sales Date]])&lt;=3,"Q1",IF(MONTH(Table22[[#This Row],[Sales Date]])&lt;=6,"Q2",IF(MONTH(Table22[[#This Row],[Sales Date]])&lt;=9,"Q3","Q4")))</f>
        <v>Q2</v>
      </c>
      <c r="W516" s="64">
        <f>YEAR(Table22[[#This Row],[Sales Date]])</f>
        <v>2023</v>
      </c>
      <c r="X516" s="23">
        <v>37</v>
      </c>
      <c r="Y516" s="18" t="s">
        <v>23</v>
      </c>
      <c r="Z516" s="18" t="s">
        <v>30</v>
      </c>
      <c r="AA516" s="19" t="s">
        <v>25</v>
      </c>
    </row>
    <row r="517" spans="1:27" x14ac:dyDescent="0.25">
      <c r="A517" s="17" t="s">
        <v>1200</v>
      </c>
      <c r="B517" s="18" t="s">
        <v>72</v>
      </c>
      <c r="C517" s="63" t="str" cm="1">
        <f t="array" ref="C517">_xlfn.SWITCH(Table22[[#This Row],[Country]],"USA","North America","Canada","North America","Brazil","South America","China","Asia","Japan","Asia","India","Asia","France","Europe","Germany","Europe","UK","Europe","Australia","Oceania","South America")</f>
        <v>North America</v>
      </c>
      <c r="D517" s="18" t="s">
        <v>35</v>
      </c>
      <c r="E517" s="18" t="s">
        <v>33</v>
      </c>
      <c r="F517" s="18" t="s">
        <v>47</v>
      </c>
      <c r="G517" s="18" t="s">
        <v>48</v>
      </c>
      <c r="H517" s="64">
        <f>LEN(TRIM(Table22[[#This Row],[Country]]))</f>
        <v>3</v>
      </c>
      <c r="I517" s="64">
        <f>LEN(TRIM(Table22[[#This Row],[Continent]]))</f>
        <v>13</v>
      </c>
      <c r="J517" s="64">
        <f>LEN(TRIM(Table22[[#This Row],[Product]]))</f>
        <v>10</v>
      </c>
      <c r="K517" s="64">
        <f>LEN(TRIM(Table22[[#This Row],[Sales Team]]))</f>
        <v>9</v>
      </c>
      <c r="L517" s="23">
        <v>49</v>
      </c>
      <c r="M517" s="65" t="str" cm="1">
        <f t="array" ref="M517">_xlfn.IFS(Table22[[#This Row],[Units Sold]]&lt;40,"Critical",Table22[[#This Row],[Units Sold]]&lt;=50,"Poor",Table22[[#This Row],[Units Sold]]&lt;=60,"Low",Table22[[#This Row],[Units Sold]]&lt;=80,"Average",Table22[[#This Row],[Units Sold]]&lt;=90,"High",Table22[[#This Row],[Units Sold]]&lt;=95,"Excellent",Table22[[#This Row],[Units Sold]]&gt;95,"Outstanding")</f>
        <v>Poor</v>
      </c>
      <c r="N517" s="29">
        <v>1215.27</v>
      </c>
      <c r="O517" s="29">
        <v>59548.23</v>
      </c>
      <c r="P517" s="43">
        <f>IF(Table22[[#This Row],[Discount Applied]],Table22[[#This Row],[Total Sales (in USD)]]*(1-Table22[[#This Row],[Discount Percentage (%)]]/100),Table22[[#This Row],[Total Sales (in USD)]])</f>
        <v>54385.398459000004</v>
      </c>
      <c r="Q517" s="66">
        <f>SQRT(AVERAGE((Table22[[#This Row],[Net Sales (after discount) (in USD)]]-AVERAGE(Table22[Net Sales (after discount) (in USD)]))^2))</f>
        <v>17874.037895235466</v>
      </c>
      <c r="R517" s="18" t="b">
        <v>1</v>
      </c>
      <c r="S517" s="40">
        <v>8.67</v>
      </c>
      <c r="T517" s="18" t="b">
        <v>1</v>
      </c>
      <c r="U517" s="25">
        <v>45115</v>
      </c>
      <c r="V517" s="63" t="str">
        <f>IF(MONTH(Table22[[#This Row],[Sales Date]])&lt;=3,"Q1",IF(MONTH(Table22[[#This Row],[Sales Date]])&lt;=6,"Q2",IF(MONTH(Table22[[#This Row],[Sales Date]])&lt;=9,"Q3","Q4")))</f>
        <v>Q3</v>
      </c>
      <c r="W517" s="64">
        <f>YEAR(Table22[[#This Row],[Sales Date]])</f>
        <v>2023</v>
      </c>
      <c r="X517" s="23">
        <v>68</v>
      </c>
      <c r="Y517" s="18" t="s">
        <v>23</v>
      </c>
      <c r="Z517" s="18" t="s">
        <v>56</v>
      </c>
      <c r="AA517" s="19" t="s">
        <v>25</v>
      </c>
    </row>
    <row r="518" spans="1:27" x14ac:dyDescent="0.25">
      <c r="A518" s="17" t="s">
        <v>117</v>
      </c>
      <c r="B518" s="18" t="s">
        <v>46</v>
      </c>
      <c r="C518" s="63" t="str" cm="1">
        <f t="array" ref="C518">_xlfn.SWITCH(Table22[[#This Row],[Country]],"USA","North America","Canada","North America","Brazil","South America","China","Asia","Japan","Asia","India","Asia","France","Europe","Germany","Europe","UK","Europe","Australia","Oceania","South America")</f>
        <v>South America</v>
      </c>
      <c r="D518" s="18" t="s">
        <v>21</v>
      </c>
      <c r="E518" s="18" t="s">
        <v>19</v>
      </c>
      <c r="F518" s="18" t="s">
        <v>47</v>
      </c>
      <c r="G518" s="18" t="s">
        <v>29</v>
      </c>
      <c r="H518" s="64">
        <f>LEN(TRIM(Table22[[#This Row],[Country]]))</f>
        <v>6</v>
      </c>
      <c r="I518" s="64">
        <f>LEN(TRIM(Table22[[#This Row],[Continent]]))</f>
        <v>13</v>
      </c>
      <c r="J518" s="64">
        <f>LEN(TRIM(Table22[[#This Row],[Product]]))</f>
        <v>6</v>
      </c>
      <c r="K518" s="64">
        <f>LEN(TRIM(Table22[[#This Row],[Sales Team]]))</f>
        <v>10</v>
      </c>
      <c r="L518" s="23">
        <v>75</v>
      </c>
      <c r="M518" s="65" t="str" cm="1">
        <f t="array" ref="M518">_xlfn.IFS(Table22[[#This Row],[Units Sold]]&lt;40,"Critical",Table22[[#This Row],[Units Sold]]&lt;=50,"Poor",Table22[[#This Row],[Units Sold]]&lt;=60,"Low",Table22[[#This Row],[Units Sold]]&lt;=80,"Average",Table22[[#This Row],[Units Sold]]&lt;=90,"High",Table22[[#This Row],[Units Sold]]&lt;=95,"Excellent",Table22[[#This Row],[Units Sold]]&gt;95,"Outstanding")</f>
        <v>Average</v>
      </c>
      <c r="N518" s="29">
        <v>793.25</v>
      </c>
      <c r="O518" s="29">
        <v>59493.75</v>
      </c>
      <c r="P518" s="43">
        <f>IF(Table22[[#This Row],[Discount Applied]],Table22[[#This Row],[Total Sales (in USD)]]*(1-Table22[[#This Row],[Discount Percentage (%)]]/100),Table22[[#This Row],[Total Sales (in USD)]])</f>
        <v>55959.821250000001</v>
      </c>
      <c r="Q518" s="66">
        <f>SQRT(AVERAGE((Table22[[#This Row],[Net Sales (after discount) (in USD)]]-AVERAGE(Table22[Net Sales (after discount) (in USD)]))^2))</f>
        <v>19448.460686235463</v>
      </c>
      <c r="R518" s="18" t="b">
        <v>1</v>
      </c>
      <c r="S518" s="40">
        <v>5.94</v>
      </c>
      <c r="T518" s="18" t="b">
        <v>1</v>
      </c>
      <c r="U518" s="25">
        <v>45323</v>
      </c>
      <c r="V518" s="63" t="str">
        <f>IF(MONTH(Table22[[#This Row],[Sales Date]])&lt;=3,"Q1",IF(MONTH(Table22[[#This Row],[Sales Date]])&lt;=6,"Q2",IF(MONTH(Table22[[#This Row],[Sales Date]])&lt;=9,"Q3","Q4")))</f>
        <v>Q1</v>
      </c>
      <c r="W518" s="64">
        <f>YEAR(Table22[[#This Row],[Sales Date]])</f>
        <v>2024</v>
      </c>
      <c r="X518" s="23">
        <v>62</v>
      </c>
      <c r="Y518" s="18" t="s">
        <v>49</v>
      </c>
      <c r="Z518" s="18" t="s">
        <v>30</v>
      </c>
      <c r="AA518" s="19" t="s">
        <v>25</v>
      </c>
    </row>
    <row r="519" spans="1:27" x14ac:dyDescent="0.25">
      <c r="A519" s="17" t="s">
        <v>228</v>
      </c>
      <c r="B519" s="18" t="s">
        <v>72</v>
      </c>
      <c r="C519" s="63" t="str" cm="1">
        <f t="array" ref="C519">_xlfn.SWITCH(Table22[[#This Row],[Country]],"USA","North America","Canada","North America","Brazil","South America","China","Asia","Japan","Asia","India","Asia","France","Europe","Germany","Europe","UK","Europe","Australia","Oceania","South America")</f>
        <v>North America</v>
      </c>
      <c r="D519" s="18" t="s">
        <v>28</v>
      </c>
      <c r="E519" s="18" t="s">
        <v>39</v>
      </c>
      <c r="F519" s="18" t="s">
        <v>47</v>
      </c>
      <c r="G519" s="18" t="s">
        <v>29</v>
      </c>
      <c r="H519" s="64">
        <f>LEN(TRIM(Table22[[#This Row],[Country]]))</f>
        <v>3</v>
      </c>
      <c r="I519" s="64">
        <f>LEN(TRIM(Table22[[#This Row],[Continent]]))</f>
        <v>13</v>
      </c>
      <c r="J519" s="64">
        <f>LEN(TRIM(Table22[[#This Row],[Product]]))</f>
        <v>10</v>
      </c>
      <c r="K519" s="64">
        <f>LEN(TRIM(Table22[[#This Row],[Sales Team]]))</f>
        <v>10</v>
      </c>
      <c r="L519" s="23">
        <v>69</v>
      </c>
      <c r="M519" s="65" t="str" cm="1">
        <f t="array" ref="M519">_xlfn.IFS(Table22[[#This Row],[Units Sold]]&lt;40,"Critical",Table22[[#This Row],[Units Sold]]&lt;=50,"Poor",Table22[[#This Row],[Units Sold]]&lt;=60,"Low",Table22[[#This Row],[Units Sold]]&lt;=80,"Average",Table22[[#This Row],[Units Sold]]&lt;=90,"High",Table22[[#This Row],[Units Sold]]&lt;=95,"Excellent",Table22[[#This Row],[Units Sold]]&gt;95,"Outstanding")</f>
        <v>Average</v>
      </c>
      <c r="N519" s="29">
        <v>861.79</v>
      </c>
      <c r="O519" s="29">
        <v>59463.51</v>
      </c>
      <c r="P519" s="43">
        <f>IF(Table22[[#This Row],[Discount Applied]],Table22[[#This Row],[Total Sales (in USD)]]*(1-Table22[[#This Row],[Discount Percentage (%)]]/100),Table22[[#This Row],[Total Sales (in USD)]])</f>
        <v>59463.51</v>
      </c>
      <c r="Q519" s="66">
        <f>SQRT(AVERAGE((Table22[[#This Row],[Net Sales (after discount) (in USD)]]-AVERAGE(Table22[Net Sales (after discount) (in USD)]))^2))</f>
        <v>22952.149436235464</v>
      </c>
      <c r="R519" s="18" t="b">
        <v>1</v>
      </c>
      <c r="S519" s="40">
        <v>14.07</v>
      </c>
      <c r="T519" s="18" t="b">
        <v>0</v>
      </c>
      <c r="U519" s="25">
        <v>45105</v>
      </c>
      <c r="V519" s="63" t="str">
        <f>IF(MONTH(Table22[[#This Row],[Sales Date]])&lt;=3,"Q1",IF(MONTH(Table22[[#This Row],[Sales Date]])&lt;=6,"Q2",IF(MONTH(Table22[[#This Row],[Sales Date]])&lt;=9,"Q3","Q4")))</f>
        <v>Q2</v>
      </c>
      <c r="W519" s="64">
        <f>YEAR(Table22[[#This Row],[Sales Date]])</f>
        <v>2023</v>
      </c>
      <c r="X519" s="23">
        <v>28</v>
      </c>
      <c r="Y519" s="18" t="s">
        <v>41</v>
      </c>
      <c r="Z519" s="18" t="s">
        <v>42</v>
      </c>
      <c r="AA519" s="19" t="s">
        <v>25</v>
      </c>
    </row>
    <row r="520" spans="1:27" x14ac:dyDescent="0.25">
      <c r="A520" s="17" t="s">
        <v>944</v>
      </c>
      <c r="B520" s="18" t="s">
        <v>72</v>
      </c>
      <c r="C520" s="63" t="str" cm="1">
        <f t="array" ref="C520">_xlfn.SWITCH(Table22[[#This Row],[Country]],"USA","North America","Canada","North America","Brazil","South America","China","Asia","Japan","Asia","India","Asia","France","Europe","Germany","Europe","UK","Europe","Australia","Oceania","South America")</f>
        <v>North America</v>
      </c>
      <c r="D520" s="18" t="s">
        <v>21</v>
      </c>
      <c r="E520" s="18" t="s">
        <v>39</v>
      </c>
      <c r="F520" s="18" t="s">
        <v>20</v>
      </c>
      <c r="G520" s="18" t="s">
        <v>29</v>
      </c>
      <c r="H520" s="64">
        <f>LEN(TRIM(Table22[[#This Row],[Country]]))</f>
        <v>3</v>
      </c>
      <c r="I520" s="64">
        <f>LEN(TRIM(Table22[[#This Row],[Continent]]))</f>
        <v>13</v>
      </c>
      <c r="J520" s="64">
        <f>LEN(TRIM(Table22[[#This Row],[Product]]))</f>
        <v>10</v>
      </c>
      <c r="K520" s="64">
        <f>LEN(TRIM(Table22[[#This Row],[Sales Team]]))</f>
        <v>10</v>
      </c>
      <c r="L520" s="23">
        <v>61</v>
      </c>
      <c r="M520" s="65" t="str" cm="1">
        <f t="array" ref="M520">_xlfn.IFS(Table22[[#This Row],[Units Sold]]&lt;40,"Critical",Table22[[#This Row],[Units Sold]]&lt;=50,"Poor",Table22[[#This Row],[Units Sold]]&lt;=60,"Low",Table22[[#This Row],[Units Sold]]&lt;=80,"Average",Table22[[#This Row],[Units Sold]]&lt;=90,"High",Table22[[#This Row],[Units Sold]]&lt;=95,"Excellent",Table22[[#This Row],[Units Sold]]&gt;95,"Outstanding")</f>
        <v>Average</v>
      </c>
      <c r="N520" s="29">
        <v>974.67</v>
      </c>
      <c r="O520" s="29">
        <v>59454.87</v>
      </c>
      <c r="P520" s="43">
        <f>IF(Table22[[#This Row],[Discount Applied]],Table22[[#This Row],[Total Sales (in USD)]]*(1-Table22[[#This Row],[Discount Percentage (%)]]/100),Table22[[#This Row],[Total Sales (in USD)]])</f>
        <v>56208.634098000002</v>
      </c>
      <c r="Q520" s="66">
        <f>SQRT(AVERAGE((Table22[[#This Row],[Net Sales (after discount) (in USD)]]-AVERAGE(Table22[Net Sales (after discount) (in USD)]))^2))</f>
        <v>19697.273534235464</v>
      </c>
      <c r="R520" s="18" t="b">
        <v>1</v>
      </c>
      <c r="S520" s="40">
        <v>5.46</v>
      </c>
      <c r="T520" s="18" t="b">
        <v>1</v>
      </c>
      <c r="U520" s="25">
        <v>45355</v>
      </c>
      <c r="V520" s="63" t="str">
        <f>IF(MONTH(Table22[[#This Row],[Sales Date]])&lt;=3,"Q1",IF(MONTH(Table22[[#This Row],[Sales Date]])&lt;=6,"Q2",IF(MONTH(Table22[[#This Row],[Sales Date]])&lt;=9,"Q3","Q4")))</f>
        <v>Q1</v>
      </c>
      <c r="W520" s="64">
        <f>YEAR(Table22[[#This Row],[Sales Date]])</f>
        <v>2024</v>
      </c>
      <c r="X520" s="23">
        <v>55</v>
      </c>
      <c r="Y520" s="18" t="s">
        <v>23</v>
      </c>
      <c r="Z520" s="18" t="s">
        <v>42</v>
      </c>
      <c r="AA520" s="19" t="s">
        <v>25</v>
      </c>
    </row>
    <row r="521" spans="1:27" x14ac:dyDescent="0.25">
      <c r="A521" s="17" t="s">
        <v>73</v>
      </c>
      <c r="B521" s="18" t="s">
        <v>46</v>
      </c>
      <c r="C521" s="63" t="str" cm="1">
        <f t="array" ref="C521">_xlfn.SWITCH(Table22[[#This Row],[Country]],"USA","North America","Canada","North America","Brazil","South America","China","Asia","Japan","Asia","India","Asia","France","Europe","Germany","Europe","UK","Europe","Australia","Oceania","South America")</f>
        <v>South America</v>
      </c>
      <c r="D521" s="18" t="s">
        <v>21</v>
      </c>
      <c r="E521" s="18" t="s">
        <v>19</v>
      </c>
      <c r="F521" s="18" t="s">
        <v>64</v>
      </c>
      <c r="G521" s="18" t="s">
        <v>29</v>
      </c>
      <c r="H521" s="64">
        <f>LEN(TRIM(Table22[[#This Row],[Country]]))</f>
        <v>6</v>
      </c>
      <c r="I521" s="64">
        <f>LEN(TRIM(Table22[[#This Row],[Continent]]))</f>
        <v>13</v>
      </c>
      <c r="J521" s="64">
        <f>LEN(TRIM(Table22[[#This Row],[Product]]))</f>
        <v>6</v>
      </c>
      <c r="K521" s="64">
        <f>LEN(TRIM(Table22[[#This Row],[Sales Team]]))</f>
        <v>10</v>
      </c>
      <c r="L521" s="23">
        <v>92</v>
      </c>
      <c r="M521" s="65" t="str" cm="1">
        <f t="array" ref="M521">_xlfn.IFS(Table22[[#This Row],[Units Sold]]&lt;40,"Critical",Table22[[#This Row],[Units Sold]]&lt;=50,"Poor",Table22[[#This Row],[Units Sold]]&lt;=60,"Low",Table22[[#This Row],[Units Sold]]&lt;=80,"Average",Table22[[#This Row],[Units Sold]]&lt;=90,"High",Table22[[#This Row],[Units Sold]]&lt;=95,"Excellent",Table22[[#This Row],[Units Sold]]&gt;95,"Outstanding")</f>
        <v>Excellent</v>
      </c>
      <c r="N521" s="29">
        <v>646.16999999999996</v>
      </c>
      <c r="O521" s="29">
        <v>59447.64</v>
      </c>
      <c r="P521" s="43">
        <f>IF(Table22[[#This Row],[Discount Applied]],Table22[[#This Row],[Total Sales (in USD)]]*(1-Table22[[#This Row],[Discount Percentage (%)]]/100),Table22[[#This Row],[Total Sales (in USD)]])</f>
        <v>59447.64</v>
      </c>
      <c r="Q521" s="66">
        <f>SQRT(AVERAGE((Table22[[#This Row],[Net Sales (after discount) (in USD)]]-AVERAGE(Table22[Net Sales (after discount) (in USD)]))^2))</f>
        <v>22936.279436235462</v>
      </c>
      <c r="R521" s="18" t="b">
        <v>1</v>
      </c>
      <c r="S521" s="40">
        <v>20.22</v>
      </c>
      <c r="T521" s="18" t="b">
        <v>0</v>
      </c>
      <c r="U521" s="25">
        <v>45538</v>
      </c>
      <c r="V521" s="63" t="str">
        <f>IF(MONTH(Table22[[#This Row],[Sales Date]])&lt;=3,"Q1",IF(MONTH(Table22[[#This Row],[Sales Date]])&lt;=6,"Q2",IF(MONTH(Table22[[#This Row],[Sales Date]])&lt;=9,"Q3","Q4")))</f>
        <v>Q3</v>
      </c>
      <c r="W521" s="64">
        <f>YEAR(Table22[[#This Row],[Sales Date]])</f>
        <v>2024</v>
      </c>
      <c r="X521" s="23">
        <v>48</v>
      </c>
      <c r="Y521" s="18" t="s">
        <v>41</v>
      </c>
      <c r="Z521" s="18" t="s">
        <v>24</v>
      </c>
      <c r="AA521" s="19" t="s">
        <v>36</v>
      </c>
    </row>
    <row r="522" spans="1:27" x14ac:dyDescent="0.25">
      <c r="A522" s="17" t="s">
        <v>1941</v>
      </c>
      <c r="B522" s="18" t="s">
        <v>32</v>
      </c>
      <c r="C522" s="63" t="str" cm="1">
        <f t="array" ref="C522">_xlfn.SWITCH(Table22[[#This Row],[Country]],"USA","North America","Canada","North America","Brazil","South America","China","Asia","Japan","Asia","India","Asia","France","Europe","Germany","Europe","UK","Europe","Australia","Oceania","South America")</f>
        <v>Asia</v>
      </c>
      <c r="D522" s="18" t="s">
        <v>35</v>
      </c>
      <c r="E522" s="18" t="s">
        <v>39</v>
      </c>
      <c r="F522" s="18" t="s">
        <v>34</v>
      </c>
      <c r="G522" s="18" t="s">
        <v>29</v>
      </c>
      <c r="H522" s="64">
        <f>LEN(TRIM(Table22[[#This Row],[Country]]))</f>
        <v>5</v>
      </c>
      <c r="I522" s="64">
        <f>LEN(TRIM(Table22[[#This Row],[Continent]]))</f>
        <v>4</v>
      </c>
      <c r="J522" s="64">
        <f>LEN(TRIM(Table22[[#This Row],[Product]]))</f>
        <v>10</v>
      </c>
      <c r="K522" s="64">
        <f>LEN(TRIM(Table22[[#This Row],[Sales Team]]))</f>
        <v>10</v>
      </c>
      <c r="L522" s="23">
        <v>42</v>
      </c>
      <c r="M522" s="65" t="str" cm="1">
        <f t="array" ref="M522">_xlfn.IFS(Table22[[#This Row],[Units Sold]]&lt;40,"Critical",Table22[[#This Row],[Units Sold]]&lt;=50,"Poor",Table22[[#This Row],[Units Sold]]&lt;=60,"Low",Table22[[#This Row],[Units Sold]]&lt;=80,"Average",Table22[[#This Row],[Units Sold]]&lt;=90,"High",Table22[[#This Row],[Units Sold]]&lt;=95,"Excellent",Table22[[#This Row],[Units Sold]]&gt;95,"Outstanding")</f>
        <v>Poor</v>
      </c>
      <c r="N522" s="29">
        <v>1415.37</v>
      </c>
      <c r="O522" s="29">
        <v>59445.54</v>
      </c>
      <c r="P522" s="43">
        <f>IF(Table22[[#This Row],[Discount Applied]],Table22[[#This Row],[Total Sales (in USD)]]*(1-Table22[[#This Row],[Discount Percentage (%)]]/100),Table22[[#This Row],[Total Sales (in USD)]])</f>
        <v>58048.569810000001</v>
      </c>
      <c r="Q522" s="66">
        <f>SQRT(AVERAGE((Table22[[#This Row],[Net Sales (after discount) (in USD)]]-AVERAGE(Table22[Net Sales (after discount) (in USD)]))^2))</f>
        <v>21537.209246235463</v>
      </c>
      <c r="R522" s="18" t="b">
        <v>1</v>
      </c>
      <c r="S522" s="40">
        <v>2.35</v>
      </c>
      <c r="T522" s="18" t="b">
        <v>1</v>
      </c>
      <c r="U522" s="25">
        <v>45496</v>
      </c>
      <c r="V522" s="63" t="str">
        <f>IF(MONTH(Table22[[#This Row],[Sales Date]])&lt;=3,"Q1",IF(MONTH(Table22[[#This Row],[Sales Date]])&lt;=6,"Q2",IF(MONTH(Table22[[#This Row],[Sales Date]])&lt;=9,"Q3","Q4")))</f>
        <v>Q3</v>
      </c>
      <c r="W522" s="64">
        <f>YEAR(Table22[[#This Row],[Sales Date]])</f>
        <v>2024</v>
      </c>
      <c r="X522" s="23">
        <v>62</v>
      </c>
      <c r="Y522" s="18" t="s">
        <v>41</v>
      </c>
      <c r="Z522" s="18" t="s">
        <v>56</v>
      </c>
      <c r="AA522" s="19" t="s">
        <v>36</v>
      </c>
    </row>
    <row r="523" spans="1:27" x14ac:dyDescent="0.25">
      <c r="A523" s="17" t="s">
        <v>253</v>
      </c>
      <c r="B523" s="18" t="s">
        <v>72</v>
      </c>
      <c r="C523" s="63" t="str" cm="1">
        <f t="array" ref="C523">_xlfn.SWITCH(Table22[[#This Row],[Country]],"USA","North America","Canada","North America","Brazil","South America","China","Asia","Japan","Asia","India","Asia","France","Europe","Germany","Europe","UK","Europe","Australia","Oceania","South America")</f>
        <v>North America</v>
      </c>
      <c r="D523" s="18" t="s">
        <v>21</v>
      </c>
      <c r="E523" s="18" t="s">
        <v>39</v>
      </c>
      <c r="F523" s="18" t="s">
        <v>20</v>
      </c>
      <c r="G523" s="18" t="s">
        <v>48</v>
      </c>
      <c r="H523" s="64">
        <f>LEN(TRIM(Table22[[#This Row],[Country]]))</f>
        <v>3</v>
      </c>
      <c r="I523" s="64">
        <f>LEN(TRIM(Table22[[#This Row],[Continent]]))</f>
        <v>13</v>
      </c>
      <c r="J523" s="64">
        <f>LEN(TRIM(Table22[[#This Row],[Product]]))</f>
        <v>10</v>
      </c>
      <c r="K523" s="64">
        <f>LEN(TRIM(Table22[[#This Row],[Sales Team]]))</f>
        <v>9</v>
      </c>
      <c r="L523" s="23">
        <v>54</v>
      </c>
      <c r="M523" s="65" t="str" cm="1">
        <f t="array" ref="M523">_xlfn.IFS(Table22[[#This Row],[Units Sold]]&lt;40,"Critical",Table22[[#This Row],[Units Sold]]&lt;=50,"Poor",Table22[[#This Row],[Units Sold]]&lt;=60,"Low",Table22[[#This Row],[Units Sold]]&lt;=80,"Average",Table22[[#This Row],[Units Sold]]&lt;=90,"High",Table22[[#This Row],[Units Sold]]&lt;=95,"Excellent",Table22[[#This Row],[Units Sold]]&gt;95,"Outstanding")</f>
        <v>Low</v>
      </c>
      <c r="N523" s="29">
        <v>1098.27</v>
      </c>
      <c r="O523" s="29">
        <v>59306.58</v>
      </c>
      <c r="P523" s="43">
        <f>IF(Table22[[#This Row],[Discount Applied]],Table22[[#This Row],[Total Sales (in USD)]]*(1-Table22[[#This Row],[Discount Percentage (%)]]/100),Table22[[#This Row],[Total Sales (in USD)]])</f>
        <v>53672.454900000004</v>
      </c>
      <c r="Q523" s="66">
        <f>SQRT(AVERAGE((Table22[[#This Row],[Net Sales (after discount) (in USD)]]-AVERAGE(Table22[Net Sales (after discount) (in USD)]))^2))</f>
        <v>17161.094336235466</v>
      </c>
      <c r="R523" s="18" t="b">
        <v>0</v>
      </c>
      <c r="S523" s="40">
        <v>9.5</v>
      </c>
      <c r="T523" s="18" t="b">
        <v>1</v>
      </c>
      <c r="U523" s="25">
        <v>45125</v>
      </c>
      <c r="V523" s="63" t="str">
        <f>IF(MONTH(Table22[[#This Row],[Sales Date]])&lt;=3,"Q1",IF(MONTH(Table22[[#This Row],[Sales Date]])&lt;=6,"Q2",IF(MONTH(Table22[[#This Row],[Sales Date]])&lt;=9,"Q3","Q4")))</f>
        <v>Q3</v>
      </c>
      <c r="W523" s="64">
        <f>YEAR(Table22[[#This Row],[Sales Date]])</f>
        <v>2023</v>
      </c>
      <c r="X523" s="23">
        <v>31</v>
      </c>
      <c r="Y523" s="18" t="s">
        <v>41</v>
      </c>
      <c r="Z523" s="18" t="s">
        <v>56</v>
      </c>
      <c r="AA523" s="19" t="s">
        <v>25</v>
      </c>
    </row>
    <row r="524" spans="1:27" x14ac:dyDescent="0.25">
      <c r="A524" s="17" t="s">
        <v>97</v>
      </c>
      <c r="B524" s="18" t="s">
        <v>38</v>
      </c>
      <c r="C524" s="63" t="str" cm="1">
        <f t="array" ref="C524">_xlfn.SWITCH(Table22[[#This Row],[Country]],"USA","North America","Canada","North America","Brazil","South America","China","Asia","Japan","Asia","India","Asia","France","Europe","Germany","Europe","UK","Europe","Australia","Oceania","South America")</f>
        <v>Europe</v>
      </c>
      <c r="D524" s="18" t="s">
        <v>21</v>
      </c>
      <c r="E524" s="18" t="s">
        <v>39</v>
      </c>
      <c r="F524" s="18" t="s">
        <v>47</v>
      </c>
      <c r="G524" s="18" t="s">
        <v>29</v>
      </c>
      <c r="H524" s="64">
        <f>LEN(TRIM(Table22[[#This Row],[Country]]))</f>
        <v>6</v>
      </c>
      <c r="I524" s="64">
        <f>LEN(TRIM(Table22[[#This Row],[Continent]]))</f>
        <v>6</v>
      </c>
      <c r="J524" s="64">
        <f>LEN(TRIM(Table22[[#This Row],[Product]]))</f>
        <v>10</v>
      </c>
      <c r="K524" s="64">
        <f>LEN(TRIM(Table22[[#This Row],[Sales Team]]))</f>
        <v>10</v>
      </c>
      <c r="L524" s="23">
        <v>67</v>
      </c>
      <c r="M524" s="65" t="str" cm="1">
        <f t="array" ref="M524">_xlfn.IFS(Table22[[#This Row],[Units Sold]]&lt;40,"Critical",Table22[[#This Row],[Units Sold]]&lt;=50,"Poor",Table22[[#This Row],[Units Sold]]&lt;=60,"Low",Table22[[#This Row],[Units Sold]]&lt;=80,"Average",Table22[[#This Row],[Units Sold]]&lt;=90,"High",Table22[[#This Row],[Units Sold]]&lt;=95,"Excellent",Table22[[#This Row],[Units Sold]]&gt;95,"Outstanding")</f>
        <v>Average</v>
      </c>
      <c r="N524" s="29">
        <v>883.52</v>
      </c>
      <c r="O524" s="29">
        <v>59195.839999999997</v>
      </c>
      <c r="P524" s="43">
        <f>IF(Table22[[#This Row],[Discount Applied]],Table22[[#This Row],[Total Sales (in USD)]]*(1-Table22[[#This Row],[Discount Percentage (%)]]/100),Table22[[#This Row],[Total Sales (in USD)]])</f>
        <v>59195.839999999997</v>
      </c>
      <c r="Q524" s="66">
        <f>SQRT(AVERAGE((Table22[[#This Row],[Net Sales (after discount) (in USD)]]-AVERAGE(Table22[Net Sales (after discount) (in USD)]))^2))</f>
        <v>22684.479436235459</v>
      </c>
      <c r="R524" s="18" t="b">
        <v>1</v>
      </c>
      <c r="S524" s="40">
        <v>16</v>
      </c>
      <c r="T524" s="18" t="b">
        <v>0</v>
      </c>
      <c r="U524" s="25">
        <v>44972</v>
      </c>
      <c r="V524" s="63" t="str">
        <f>IF(MONTH(Table22[[#This Row],[Sales Date]])&lt;=3,"Q1",IF(MONTH(Table22[[#This Row],[Sales Date]])&lt;=6,"Q2",IF(MONTH(Table22[[#This Row],[Sales Date]])&lt;=9,"Q3","Q4")))</f>
        <v>Q1</v>
      </c>
      <c r="W524" s="64">
        <f>YEAR(Table22[[#This Row],[Sales Date]])</f>
        <v>2023</v>
      </c>
      <c r="X524" s="23">
        <v>23</v>
      </c>
      <c r="Y524" s="18" t="s">
        <v>41</v>
      </c>
      <c r="Z524" s="18" t="s">
        <v>30</v>
      </c>
      <c r="AA524" s="19" t="s">
        <v>36</v>
      </c>
    </row>
    <row r="525" spans="1:27" x14ac:dyDescent="0.25">
      <c r="A525" s="17" t="s">
        <v>1072</v>
      </c>
      <c r="B525" s="18" t="s">
        <v>38</v>
      </c>
      <c r="C525" s="63" t="str" cm="1">
        <f t="array" ref="C525">_xlfn.SWITCH(Table22[[#This Row],[Country]],"USA","North America","Canada","North America","Brazil","South America","China","Asia","Japan","Asia","India","Asia","France","Europe","Germany","Europe","UK","Europe","Australia","Oceania","South America")</f>
        <v>Europe</v>
      </c>
      <c r="D525" s="18" t="s">
        <v>35</v>
      </c>
      <c r="E525" s="18" t="s">
        <v>39</v>
      </c>
      <c r="F525" s="18" t="s">
        <v>47</v>
      </c>
      <c r="G525" s="18" t="s">
        <v>29</v>
      </c>
      <c r="H525" s="64">
        <f>LEN(TRIM(Table22[[#This Row],[Country]]))</f>
        <v>6</v>
      </c>
      <c r="I525" s="64">
        <f>LEN(TRIM(Table22[[#This Row],[Continent]]))</f>
        <v>6</v>
      </c>
      <c r="J525" s="64">
        <f>LEN(TRIM(Table22[[#This Row],[Product]]))</f>
        <v>10</v>
      </c>
      <c r="K525" s="64">
        <f>LEN(TRIM(Table22[[#This Row],[Sales Team]]))</f>
        <v>10</v>
      </c>
      <c r="L525" s="23">
        <v>49</v>
      </c>
      <c r="M525" s="65" t="str" cm="1">
        <f t="array" ref="M525">_xlfn.IFS(Table22[[#This Row],[Units Sold]]&lt;40,"Critical",Table22[[#This Row],[Units Sold]]&lt;=50,"Poor",Table22[[#This Row],[Units Sold]]&lt;=60,"Low",Table22[[#This Row],[Units Sold]]&lt;=80,"Average",Table22[[#This Row],[Units Sold]]&lt;=90,"High",Table22[[#This Row],[Units Sold]]&lt;=95,"Excellent",Table22[[#This Row],[Units Sold]]&gt;95,"Outstanding")</f>
        <v>Poor</v>
      </c>
      <c r="N525" s="29">
        <v>1207.5</v>
      </c>
      <c r="O525" s="29">
        <v>59167.5</v>
      </c>
      <c r="P525" s="43">
        <f>IF(Table22[[#This Row],[Discount Applied]],Table22[[#This Row],[Total Sales (in USD)]]*(1-Table22[[#This Row],[Discount Percentage (%)]]/100),Table22[[#This Row],[Total Sales (in USD)]])</f>
        <v>59167.5</v>
      </c>
      <c r="Q525" s="66">
        <f>SQRT(AVERAGE((Table22[[#This Row],[Net Sales (after discount) (in USD)]]-AVERAGE(Table22[Net Sales (after discount) (in USD)]))^2))</f>
        <v>22656.139436235462</v>
      </c>
      <c r="R525" s="18" t="b">
        <v>1</v>
      </c>
      <c r="S525" s="40">
        <v>6.35</v>
      </c>
      <c r="T525" s="18" t="b">
        <v>0</v>
      </c>
      <c r="U525" s="25">
        <v>45545</v>
      </c>
      <c r="V525" s="63" t="str">
        <f>IF(MONTH(Table22[[#This Row],[Sales Date]])&lt;=3,"Q1",IF(MONTH(Table22[[#This Row],[Sales Date]])&lt;=6,"Q2",IF(MONTH(Table22[[#This Row],[Sales Date]])&lt;=9,"Q3","Q4")))</f>
        <v>Q3</v>
      </c>
      <c r="W525" s="64">
        <f>YEAR(Table22[[#This Row],[Sales Date]])</f>
        <v>2024</v>
      </c>
      <c r="X525" s="23">
        <v>39</v>
      </c>
      <c r="Y525" s="18" t="s">
        <v>41</v>
      </c>
      <c r="Z525" s="18" t="s">
        <v>56</v>
      </c>
      <c r="AA525" s="19" t="s">
        <v>25</v>
      </c>
    </row>
    <row r="526" spans="1:27" x14ac:dyDescent="0.25">
      <c r="A526" s="17" t="s">
        <v>203</v>
      </c>
      <c r="B526" s="18" t="s">
        <v>18</v>
      </c>
      <c r="C526" s="63" t="str" cm="1">
        <f t="array" ref="C526">_xlfn.SWITCH(Table22[[#This Row],[Country]],"USA","North America","Canada","North America","Brazil","South America","China","Asia","Japan","Asia","India","Asia","France","Europe","Germany","Europe","UK","Europe","Australia","Oceania","South America")</f>
        <v>Asia</v>
      </c>
      <c r="D526" s="18" t="s">
        <v>28</v>
      </c>
      <c r="E526" s="18" t="s">
        <v>33</v>
      </c>
      <c r="F526" s="18" t="s">
        <v>34</v>
      </c>
      <c r="G526" s="18" t="s">
        <v>48</v>
      </c>
      <c r="H526" s="64">
        <f>LEN(TRIM(Table22[[#This Row],[Country]]))</f>
        <v>5</v>
      </c>
      <c r="I526" s="64">
        <f>LEN(TRIM(Table22[[#This Row],[Continent]]))</f>
        <v>4</v>
      </c>
      <c r="J526" s="64">
        <f>LEN(TRIM(Table22[[#This Row],[Product]]))</f>
        <v>10</v>
      </c>
      <c r="K526" s="64">
        <f>LEN(TRIM(Table22[[#This Row],[Sales Team]]))</f>
        <v>9</v>
      </c>
      <c r="L526" s="23">
        <v>42</v>
      </c>
      <c r="M526" s="65" t="str" cm="1">
        <f t="array" ref="M526">_xlfn.IFS(Table22[[#This Row],[Units Sold]]&lt;40,"Critical",Table22[[#This Row],[Units Sold]]&lt;=50,"Poor",Table22[[#This Row],[Units Sold]]&lt;=60,"Low",Table22[[#This Row],[Units Sold]]&lt;=80,"Average",Table22[[#This Row],[Units Sold]]&lt;=90,"High",Table22[[#This Row],[Units Sold]]&lt;=95,"Excellent",Table22[[#This Row],[Units Sold]]&gt;95,"Outstanding")</f>
        <v>Poor</v>
      </c>
      <c r="N526" s="29">
        <v>1406.93</v>
      </c>
      <c r="O526" s="29">
        <v>59091.06</v>
      </c>
      <c r="P526" s="43">
        <f>IF(Table22[[#This Row],[Discount Applied]],Table22[[#This Row],[Total Sales (in USD)]]*(1-Table22[[#This Row],[Discount Percentage (%)]]/100),Table22[[#This Row],[Total Sales (in USD)]])</f>
        <v>51161.039747999996</v>
      </c>
      <c r="Q526" s="66">
        <f>SQRT(AVERAGE((Table22[[#This Row],[Net Sales (after discount) (in USD)]]-AVERAGE(Table22[Net Sales (after discount) (in USD)]))^2))</f>
        <v>14649.679184235458</v>
      </c>
      <c r="R526" s="18" t="b">
        <v>1</v>
      </c>
      <c r="S526" s="40">
        <v>13.42</v>
      </c>
      <c r="T526" s="18" t="b">
        <v>1</v>
      </c>
      <c r="U526" s="25">
        <v>45370</v>
      </c>
      <c r="V526" s="63" t="str">
        <f>IF(MONTH(Table22[[#This Row],[Sales Date]])&lt;=3,"Q1",IF(MONTH(Table22[[#This Row],[Sales Date]])&lt;=6,"Q2",IF(MONTH(Table22[[#This Row],[Sales Date]])&lt;=9,"Q3","Q4")))</f>
        <v>Q1</v>
      </c>
      <c r="W526" s="64">
        <f>YEAR(Table22[[#This Row],[Sales Date]])</f>
        <v>2024</v>
      </c>
      <c r="X526" s="23">
        <v>27</v>
      </c>
      <c r="Y526" s="18" t="s">
        <v>23</v>
      </c>
      <c r="Z526" s="18" t="s">
        <v>42</v>
      </c>
      <c r="AA526" s="19" t="s">
        <v>25</v>
      </c>
    </row>
    <row r="527" spans="1:27" x14ac:dyDescent="0.25">
      <c r="A527" s="17" t="s">
        <v>233</v>
      </c>
      <c r="B527" s="18" t="s">
        <v>38</v>
      </c>
      <c r="C527" s="63" t="str" cm="1">
        <f t="array" ref="C527">_xlfn.SWITCH(Table22[[#This Row],[Country]],"USA","North America","Canada","North America","Brazil","South America","China","Asia","Japan","Asia","India","Asia","France","Europe","Germany","Europe","UK","Europe","Australia","Oceania","South America")</f>
        <v>Europe</v>
      </c>
      <c r="D527" s="18" t="s">
        <v>28</v>
      </c>
      <c r="E527" s="18" t="s">
        <v>39</v>
      </c>
      <c r="F527" s="18" t="s">
        <v>47</v>
      </c>
      <c r="G527" s="18" t="s">
        <v>29</v>
      </c>
      <c r="H527" s="64">
        <f>LEN(TRIM(Table22[[#This Row],[Country]]))</f>
        <v>6</v>
      </c>
      <c r="I527" s="64">
        <f>LEN(TRIM(Table22[[#This Row],[Continent]]))</f>
        <v>6</v>
      </c>
      <c r="J527" s="64">
        <f>LEN(TRIM(Table22[[#This Row],[Product]]))</f>
        <v>10</v>
      </c>
      <c r="K527" s="64">
        <f>LEN(TRIM(Table22[[#This Row],[Sales Team]]))</f>
        <v>10</v>
      </c>
      <c r="L527" s="23">
        <v>55</v>
      </c>
      <c r="M527" s="65" t="str" cm="1">
        <f t="array" ref="M527">_xlfn.IFS(Table22[[#This Row],[Units Sold]]&lt;40,"Critical",Table22[[#This Row],[Units Sold]]&lt;=50,"Poor",Table22[[#This Row],[Units Sold]]&lt;=60,"Low",Table22[[#This Row],[Units Sold]]&lt;=80,"Average",Table22[[#This Row],[Units Sold]]&lt;=90,"High",Table22[[#This Row],[Units Sold]]&lt;=95,"Excellent",Table22[[#This Row],[Units Sold]]&gt;95,"Outstanding")</f>
        <v>Low</v>
      </c>
      <c r="N527" s="29">
        <v>1072.69</v>
      </c>
      <c r="O527" s="29">
        <v>58997.95</v>
      </c>
      <c r="P527" s="43">
        <f>IF(Table22[[#This Row],[Discount Applied]],Table22[[#This Row],[Total Sales (in USD)]]*(1-Table22[[#This Row],[Discount Percentage (%)]]/100),Table22[[#This Row],[Total Sales (in USD)]])</f>
        <v>57056.917444999992</v>
      </c>
      <c r="Q527" s="66">
        <f>SQRT(AVERAGE((Table22[[#This Row],[Net Sales (after discount) (in USD)]]-AVERAGE(Table22[Net Sales (after discount) (in USD)]))^2))</f>
        <v>20545.556881235454</v>
      </c>
      <c r="R527" s="18" t="b">
        <v>0</v>
      </c>
      <c r="S527" s="40">
        <v>3.29</v>
      </c>
      <c r="T527" s="18" t="b">
        <v>1</v>
      </c>
      <c r="U527" s="25">
        <v>45128</v>
      </c>
      <c r="V527" s="63" t="str">
        <f>IF(MONTH(Table22[[#This Row],[Sales Date]])&lt;=3,"Q1",IF(MONTH(Table22[[#This Row],[Sales Date]])&lt;=6,"Q2",IF(MONTH(Table22[[#This Row],[Sales Date]])&lt;=9,"Q3","Q4")))</f>
        <v>Q3</v>
      </c>
      <c r="W527" s="64">
        <f>YEAR(Table22[[#This Row],[Sales Date]])</f>
        <v>2023</v>
      </c>
      <c r="X527" s="23">
        <v>69</v>
      </c>
      <c r="Y527" s="18" t="s">
        <v>41</v>
      </c>
      <c r="Z527" s="18" t="s">
        <v>56</v>
      </c>
      <c r="AA527" s="19" t="s">
        <v>25</v>
      </c>
    </row>
    <row r="528" spans="1:27" x14ac:dyDescent="0.25">
      <c r="A528" s="17" t="s">
        <v>1547</v>
      </c>
      <c r="B528" s="18" t="s">
        <v>18</v>
      </c>
      <c r="C528" s="63" t="str" cm="1">
        <f t="array" ref="C528">_xlfn.SWITCH(Table22[[#This Row],[Country]],"USA","North America","Canada","North America","Brazil","South America","China","Asia","Japan","Asia","India","Asia","France","Europe","Germany","Europe","UK","Europe","Australia","Oceania","South America")</f>
        <v>Asia</v>
      </c>
      <c r="D528" s="18" t="s">
        <v>28</v>
      </c>
      <c r="E528" s="18" t="s">
        <v>19</v>
      </c>
      <c r="F528" s="18" t="s">
        <v>34</v>
      </c>
      <c r="G528" s="18" t="s">
        <v>29</v>
      </c>
      <c r="H528" s="64">
        <f>LEN(TRIM(Table22[[#This Row],[Country]]))</f>
        <v>5</v>
      </c>
      <c r="I528" s="64">
        <f>LEN(TRIM(Table22[[#This Row],[Continent]]))</f>
        <v>4</v>
      </c>
      <c r="J528" s="64">
        <f>LEN(TRIM(Table22[[#This Row],[Product]]))</f>
        <v>6</v>
      </c>
      <c r="K528" s="64">
        <f>LEN(TRIM(Table22[[#This Row],[Sales Team]]))</f>
        <v>10</v>
      </c>
      <c r="L528" s="23">
        <v>69</v>
      </c>
      <c r="M528" s="65" t="str" cm="1">
        <f t="array" ref="M528">_xlfn.IFS(Table22[[#This Row],[Units Sold]]&lt;40,"Critical",Table22[[#This Row],[Units Sold]]&lt;=50,"Poor",Table22[[#This Row],[Units Sold]]&lt;=60,"Low",Table22[[#This Row],[Units Sold]]&lt;=80,"Average",Table22[[#This Row],[Units Sold]]&lt;=90,"High",Table22[[#This Row],[Units Sold]]&lt;=95,"Excellent",Table22[[#This Row],[Units Sold]]&gt;95,"Outstanding")</f>
        <v>Average</v>
      </c>
      <c r="N528" s="29">
        <v>854.76</v>
      </c>
      <c r="O528" s="29">
        <v>58978.44</v>
      </c>
      <c r="P528" s="43">
        <f>IF(Table22[[#This Row],[Discount Applied]],Table22[[#This Row],[Total Sales (in USD)]]*(1-Table22[[#This Row],[Discount Percentage (%)]]/100),Table22[[#This Row],[Total Sales (in USD)]])</f>
        <v>58978.44</v>
      </c>
      <c r="Q528" s="66">
        <f>SQRT(AVERAGE((Table22[[#This Row],[Net Sales (after discount) (in USD)]]-AVERAGE(Table22[Net Sales (after discount) (in USD)]))^2))</f>
        <v>22467.079436235465</v>
      </c>
      <c r="R528" s="18" t="b">
        <v>1</v>
      </c>
      <c r="S528" s="40">
        <v>25.09</v>
      </c>
      <c r="T528" s="18" t="b">
        <v>0</v>
      </c>
      <c r="U528" s="25">
        <v>45112</v>
      </c>
      <c r="V528" s="63" t="str">
        <f>IF(MONTH(Table22[[#This Row],[Sales Date]])&lt;=3,"Q1",IF(MONTH(Table22[[#This Row],[Sales Date]])&lt;=6,"Q2",IF(MONTH(Table22[[#This Row],[Sales Date]])&lt;=9,"Q3","Q4")))</f>
        <v>Q3</v>
      </c>
      <c r="W528" s="64">
        <f>YEAR(Table22[[#This Row],[Sales Date]])</f>
        <v>2023</v>
      </c>
      <c r="X528" s="23">
        <v>63</v>
      </c>
      <c r="Y528" s="18" t="s">
        <v>23</v>
      </c>
      <c r="Z528" s="18" t="s">
        <v>24</v>
      </c>
      <c r="AA528" s="19" t="s">
        <v>25</v>
      </c>
    </row>
    <row r="529" spans="1:27" x14ac:dyDescent="0.25">
      <c r="A529" s="17" t="s">
        <v>756</v>
      </c>
      <c r="B529" s="18" t="s">
        <v>66</v>
      </c>
      <c r="C529" s="63" t="str" cm="1">
        <f t="array" ref="C529">_xlfn.SWITCH(Table22[[#This Row],[Country]],"USA","North America","Canada","North America","Brazil","South America","China","Asia","Japan","Asia","India","Asia","France","Europe","Germany","Europe","UK","Europe","Australia","Oceania","South America")</f>
        <v>North America</v>
      </c>
      <c r="D529" s="18" t="s">
        <v>44</v>
      </c>
      <c r="E529" s="18" t="s">
        <v>19</v>
      </c>
      <c r="F529" s="18" t="s">
        <v>52</v>
      </c>
      <c r="G529" s="18" t="s">
        <v>40</v>
      </c>
      <c r="H529" s="64">
        <f>LEN(TRIM(Table22[[#This Row],[Country]]))</f>
        <v>6</v>
      </c>
      <c r="I529" s="64">
        <f>LEN(TRIM(Table22[[#This Row],[Continent]]))</f>
        <v>13</v>
      </c>
      <c r="J529" s="64">
        <f>LEN(TRIM(Table22[[#This Row],[Product]]))</f>
        <v>6</v>
      </c>
      <c r="K529" s="64">
        <f>LEN(TRIM(Table22[[#This Row],[Sales Team]]))</f>
        <v>10</v>
      </c>
      <c r="L529" s="23">
        <v>49</v>
      </c>
      <c r="M529" s="65" t="str" cm="1">
        <f t="array" ref="M529">_xlfn.IFS(Table22[[#This Row],[Units Sold]]&lt;40,"Critical",Table22[[#This Row],[Units Sold]]&lt;=50,"Poor",Table22[[#This Row],[Units Sold]]&lt;=60,"Low",Table22[[#This Row],[Units Sold]]&lt;=80,"Average",Table22[[#This Row],[Units Sold]]&lt;=90,"High",Table22[[#This Row],[Units Sold]]&lt;=95,"Excellent",Table22[[#This Row],[Units Sold]]&gt;95,"Outstanding")</f>
        <v>Poor</v>
      </c>
      <c r="N529" s="29">
        <v>1201.07</v>
      </c>
      <c r="O529" s="29">
        <v>58852.43</v>
      </c>
      <c r="P529" s="43">
        <f>IF(Table22[[#This Row],[Discount Applied]],Table22[[#This Row],[Total Sales (in USD)]]*(1-Table22[[#This Row],[Discount Percentage (%)]]/100),Table22[[#This Row],[Total Sales (in USD)]])</f>
        <v>55921.578986</v>
      </c>
      <c r="Q529" s="66">
        <f>SQRT(AVERAGE((Table22[[#This Row],[Net Sales (after discount) (in USD)]]-AVERAGE(Table22[Net Sales (after discount) (in USD)]))^2))</f>
        <v>19410.218422235463</v>
      </c>
      <c r="R529" s="18" t="b">
        <v>1</v>
      </c>
      <c r="S529" s="40">
        <v>4.9800000000000004</v>
      </c>
      <c r="T529" s="18" t="b">
        <v>1</v>
      </c>
      <c r="U529" s="25">
        <v>45004</v>
      </c>
      <c r="V529" s="63" t="str">
        <f>IF(MONTH(Table22[[#This Row],[Sales Date]])&lt;=3,"Q1",IF(MONTH(Table22[[#This Row],[Sales Date]])&lt;=6,"Q2",IF(MONTH(Table22[[#This Row],[Sales Date]])&lt;=9,"Q3","Q4")))</f>
        <v>Q1</v>
      </c>
      <c r="W529" s="64">
        <f>YEAR(Table22[[#This Row],[Sales Date]])</f>
        <v>2023</v>
      </c>
      <c r="X529" s="23">
        <v>53</v>
      </c>
      <c r="Y529" s="18" t="s">
        <v>41</v>
      </c>
      <c r="Z529" s="18" t="s">
        <v>56</v>
      </c>
      <c r="AA529" s="19" t="s">
        <v>25</v>
      </c>
    </row>
    <row r="530" spans="1:27" x14ac:dyDescent="0.25">
      <c r="A530" s="17" t="s">
        <v>142</v>
      </c>
      <c r="B530" s="18" t="s">
        <v>51</v>
      </c>
      <c r="C530" s="63" t="str" cm="1">
        <f t="array" ref="C530">_xlfn.SWITCH(Table22[[#This Row],[Country]],"USA","North America","Canada","North America","Brazil","South America","China","Asia","Japan","Asia","India","Asia","France","Europe","Germany","Europe","UK","Europe","Australia","Oceania","South America")</f>
        <v>Europe</v>
      </c>
      <c r="D530" s="18" t="s">
        <v>35</v>
      </c>
      <c r="E530" s="18" t="s">
        <v>33</v>
      </c>
      <c r="F530" s="18" t="s">
        <v>47</v>
      </c>
      <c r="G530" s="18" t="s">
        <v>22</v>
      </c>
      <c r="H530" s="64">
        <f>LEN(TRIM(Table22[[#This Row],[Country]]))</f>
        <v>2</v>
      </c>
      <c r="I530" s="64">
        <f>LEN(TRIM(Table22[[#This Row],[Continent]]))</f>
        <v>6</v>
      </c>
      <c r="J530" s="64">
        <f>LEN(TRIM(Table22[[#This Row],[Product]]))</f>
        <v>10</v>
      </c>
      <c r="K530" s="64">
        <f>LEN(TRIM(Table22[[#This Row],[Sales Team]]))</f>
        <v>10</v>
      </c>
      <c r="L530" s="23">
        <v>48</v>
      </c>
      <c r="M530" s="65" t="str" cm="1">
        <f t="array" ref="M530">_xlfn.IFS(Table22[[#This Row],[Units Sold]]&lt;40,"Critical",Table22[[#This Row],[Units Sold]]&lt;=50,"Poor",Table22[[#This Row],[Units Sold]]&lt;=60,"Low",Table22[[#This Row],[Units Sold]]&lt;=80,"Average",Table22[[#This Row],[Units Sold]]&lt;=90,"High",Table22[[#This Row],[Units Sold]]&lt;=95,"Excellent",Table22[[#This Row],[Units Sold]]&gt;95,"Outstanding")</f>
        <v>Poor</v>
      </c>
      <c r="N530" s="29">
        <v>1226.08</v>
      </c>
      <c r="O530" s="29">
        <v>58851.839999999997</v>
      </c>
      <c r="P530" s="43">
        <f>IF(Table22[[#This Row],[Discount Applied]],Table22[[#This Row],[Total Sales (in USD)]]*(1-Table22[[#This Row],[Discount Percentage (%)]]/100),Table22[[#This Row],[Total Sales (in USD)]])</f>
        <v>54061.300223999999</v>
      </c>
      <c r="Q530" s="66">
        <f>SQRT(AVERAGE((Table22[[#This Row],[Net Sales (after discount) (in USD)]]-AVERAGE(Table22[Net Sales (after discount) (in USD)]))^2))</f>
        <v>17549.939660235461</v>
      </c>
      <c r="R530" s="18" t="b">
        <v>1</v>
      </c>
      <c r="S530" s="40">
        <v>8.14</v>
      </c>
      <c r="T530" s="18" t="b">
        <v>1</v>
      </c>
      <c r="U530" s="25">
        <v>45013</v>
      </c>
      <c r="V530" s="63" t="str">
        <f>IF(MONTH(Table22[[#This Row],[Sales Date]])&lt;=3,"Q1",IF(MONTH(Table22[[#This Row],[Sales Date]])&lt;=6,"Q2",IF(MONTH(Table22[[#This Row],[Sales Date]])&lt;=9,"Q3","Q4")))</f>
        <v>Q1</v>
      </c>
      <c r="W530" s="64">
        <f>YEAR(Table22[[#This Row],[Sales Date]])</f>
        <v>2023</v>
      </c>
      <c r="X530" s="23">
        <v>37</v>
      </c>
      <c r="Y530" s="18" t="s">
        <v>49</v>
      </c>
      <c r="Z530" s="18" t="s">
        <v>56</v>
      </c>
      <c r="AA530" s="19" t="s">
        <v>25</v>
      </c>
    </row>
    <row r="531" spans="1:27" x14ac:dyDescent="0.25">
      <c r="A531" s="17" t="s">
        <v>1340</v>
      </c>
      <c r="B531" s="18" t="s">
        <v>62</v>
      </c>
      <c r="C531" s="63" t="str" cm="1">
        <f t="array" ref="C531">_xlfn.SWITCH(Table22[[#This Row],[Country]],"USA","North America","Canada","North America","Brazil","South America","China","Asia","Japan","Asia","India","Asia","France","Europe","Germany","Europe","UK","Europe","Australia","Oceania","South America")</f>
        <v>Oceania</v>
      </c>
      <c r="D531" s="18" t="s">
        <v>28</v>
      </c>
      <c r="E531" s="18" t="s">
        <v>19</v>
      </c>
      <c r="F531" s="18" t="s">
        <v>52</v>
      </c>
      <c r="G531" s="18" t="s">
        <v>48</v>
      </c>
      <c r="H531" s="64">
        <f>LEN(TRIM(Table22[[#This Row],[Country]]))</f>
        <v>9</v>
      </c>
      <c r="I531" s="64">
        <f>LEN(TRIM(Table22[[#This Row],[Continent]]))</f>
        <v>7</v>
      </c>
      <c r="J531" s="64">
        <f>LEN(TRIM(Table22[[#This Row],[Product]]))</f>
        <v>6</v>
      </c>
      <c r="K531" s="64">
        <f>LEN(TRIM(Table22[[#This Row],[Sales Team]]))</f>
        <v>9</v>
      </c>
      <c r="L531" s="23">
        <v>42</v>
      </c>
      <c r="M531" s="65" t="str" cm="1">
        <f t="array" ref="M531">_xlfn.IFS(Table22[[#This Row],[Units Sold]]&lt;40,"Critical",Table22[[#This Row],[Units Sold]]&lt;=50,"Poor",Table22[[#This Row],[Units Sold]]&lt;=60,"Low",Table22[[#This Row],[Units Sold]]&lt;=80,"Average",Table22[[#This Row],[Units Sold]]&lt;=90,"High",Table22[[#This Row],[Units Sold]]&lt;=95,"Excellent",Table22[[#This Row],[Units Sold]]&gt;95,"Outstanding")</f>
        <v>Poor</v>
      </c>
      <c r="N531" s="29">
        <v>1399.27</v>
      </c>
      <c r="O531" s="29">
        <v>58769.34</v>
      </c>
      <c r="P531" s="43">
        <f>IF(Table22[[#This Row],[Discount Applied]],Table22[[#This Row],[Total Sales (in USD)]]*(1-Table22[[#This Row],[Discount Percentage (%)]]/100),Table22[[#This Row],[Total Sales (in USD)]])</f>
        <v>58769.34</v>
      </c>
      <c r="Q531" s="66">
        <f>SQRT(AVERAGE((Table22[[#This Row],[Net Sales (after discount) (in USD)]]-AVERAGE(Table22[Net Sales (after discount) (in USD)]))^2))</f>
        <v>22257.979436235459</v>
      </c>
      <c r="R531" s="18" t="b">
        <v>1</v>
      </c>
      <c r="S531" s="40">
        <v>10.28</v>
      </c>
      <c r="T531" s="18" t="b">
        <v>0</v>
      </c>
      <c r="U531" s="25">
        <v>45325</v>
      </c>
      <c r="V531" s="63" t="str">
        <f>IF(MONTH(Table22[[#This Row],[Sales Date]])&lt;=3,"Q1",IF(MONTH(Table22[[#This Row],[Sales Date]])&lt;=6,"Q2",IF(MONTH(Table22[[#This Row],[Sales Date]])&lt;=9,"Q3","Q4")))</f>
        <v>Q1</v>
      </c>
      <c r="W531" s="64">
        <f>YEAR(Table22[[#This Row],[Sales Date]])</f>
        <v>2024</v>
      </c>
      <c r="X531" s="23">
        <v>64</v>
      </c>
      <c r="Y531" s="18" t="s">
        <v>49</v>
      </c>
      <c r="Z531" s="18" t="s">
        <v>24</v>
      </c>
      <c r="AA531" s="19" t="s">
        <v>25</v>
      </c>
    </row>
    <row r="532" spans="1:27" x14ac:dyDescent="0.25">
      <c r="A532" s="17" t="s">
        <v>1129</v>
      </c>
      <c r="B532" s="18" t="s">
        <v>18</v>
      </c>
      <c r="C532" s="63" t="str" cm="1">
        <f t="array" ref="C532">_xlfn.SWITCH(Table22[[#This Row],[Country]],"USA","North America","Canada","North America","Brazil","South America","China","Asia","Japan","Asia","India","Asia","France","Europe","Germany","Europe","UK","Europe","Australia","Oceania","South America")</f>
        <v>Asia</v>
      </c>
      <c r="D532" s="18" t="s">
        <v>44</v>
      </c>
      <c r="E532" s="18" t="s">
        <v>33</v>
      </c>
      <c r="F532" s="18" t="s">
        <v>20</v>
      </c>
      <c r="G532" s="18" t="s">
        <v>40</v>
      </c>
      <c r="H532" s="64">
        <f>LEN(TRIM(Table22[[#This Row],[Country]]))</f>
        <v>5</v>
      </c>
      <c r="I532" s="64">
        <f>LEN(TRIM(Table22[[#This Row],[Continent]]))</f>
        <v>4</v>
      </c>
      <c r="J532" s="64">
        <f>LEN(TRIM(Table22[[#This Row],[Product]]))</f>
        <v>10</v>
      </c>
      <c r="K532" s="64">
        <f>LEN(TRIM(Table22[[#This Row],[Sales Team]]))</f>
        <v>10</v>
      </c>
      <c r="L532" s="23">
        <v>64</v>
      </c>
      <c r="M532" s="65" t="str" cm="1">
        <f t="array" ref="M532">_xlfn.IFS(Table22[[#This Row],[Units Sold]]&lt;40,"Critical",Table22[[#This Row],[Units Sold]]&lt;=50,"Poor",Table22[[#This Row],[Units Sold]]&lt;=60,"Low",Table22[[#This Row],[Units Sold]]&lt;=80,"Average",Table22[[#This Row],[Units Sold]]&lt;=90,"High",Table22[[#This Row],[Units Sold]]&lt;=95,"Excellent",Table22[[#This Row],[Units Sold]]&gt;95,"Outstanding")</f>
        <v>Average</v>
      </c>
      <c r="N532" s="29">
        <v>917.92</v>
      </c>
      <c r="O532" s="29">
        <v>58746.879999999997</v>
      </c>
      <c r="P532" s="43">
        <f>IF(Table22[[#This Row],[Discount Applied]],Table22[[#This Row],[Total Sales (in USD)]]*(1-Table22[[#This Row],[Discount Percentage (%)]]/100),Table22[[#This Row],[Total Sales (in USD)]])</f>
        <v>58746.879999999997</v>
      </c>
      <c r="Q532" s="66">
        <f>SQRT(AVERAGE((Table22[[#This Row],[Net Sales (after discount) (in USD)]]-AVERAGE(Table22[Net Sales (after discount) (in USD)]))^2))</f>
        <v>22235.51943623546</v>
      </c>
      <c r="R532" s="18" t="b">
        <v>1</v>
      </c>
      <c r="S532" s="40">
        <v>13.72</v>
      </c>
      <c r="T532" s="18" t="b">
        <v>0</v>
      </c>
      <c r="U532" s="25">
        <v>45272</v>
      </c>
      <c r="V532" s="63" t="str">
        <f>IF(MONTH(Table22[[#This Row],[Sales Date]])&lt;=3,"Q1",IF(MONTH(Table22[[#This Row],[Sales Date]])&lt;=6,"Q2",IF(MONTH(Table22[[#This Row],[Sales Date]])&lt;=9,"Q3","Q4")))</f>
        <v>Q4</v>
      </c>
      <c r="W532" s="64">
        <f>YEAR(Table22[[#This Row],[Sales Date]])</f>
        <v>2023</v>
      </c>
      <c r="X532" s="23">
        <v>18</v>
      </c>
      <c r="Y532" s="18" t="s">
        <v>23</v>
      </c>
      <c r="Z532" s="18" t="s">
        <v>56</v>
      </c>
      <c r="AA532" s="19" t="s">
        <v>36</v>
      </c>
    </row>
    <row r="533" spans="1:27" x14ac:dyDescent="0.25">
      <c r="A533" s="17" t="s">
        <v>1239</v>
      </c>
      <c r="B533" s="18" t="s">
        <v>66</v>
      </c>
      <c r="C533" s="63" t="str" cm="1">
        <f t="array" ref="C533">_xlfn.SWITCH(Table22[[#This Row],[Country]],"USA","North America","Canada","North America","Brazil","South America","China","Asia","Japan","Asia","India","Asia","France","Europe","Germany","Europe","UK","Europe","Australia","Oceania","South America")</f>
        <v>North America</v>
      </c>
      <c r="D533" s="18" t="s">
        <v>21</v>
      </c>
      <c r="E533" s="18" t="s">
        <v>19</v>
      </c>
      <c r="F533" s="18" t="s">
        <v>47</v>
      </c>
      <c r="G533" s="18" t="s">
        <v>48</v>
      </c>
      <c r="H533" s="64">
        <f>LEN(TRIM(Table22[[#This Row],[Country]]))</f>
        <v>6</v>
      </c>
      <c r="I533" s="64">
        <f>LEN(TRIM(Table22[[#This Row],[Continent]]))</f>
        <v>13</v>
      </c>
      <c r="J533" s="64">
        <f>LEN(TRIM(Table22[[#This Row],[Product]]))</f>
        <v>6</v>
      </c>
      <c r="K533" s="64">
        <f>LEN(TRIM(Table22[[#This Row],[Sales Team]]))</f>
        <v>9</v>
      </c>
      <c r="L533" s="23">
        <v>68</v>
      </c>
      <c r="M533" s="65" t="str" cm="1">
        <f t="array" ref="M533">_xlfn.IFS(Table22[[#This Row],[Units Sold]]&lt;40,"Critical",Table22[[#This Row],[Units Sold]]&lt;=50,"Poor",Table22[[#This Row],[Units Sold]]&lt;=60,"Low",Table22[[#This Row],[Units Sold]]&lt;=80,"Average",Table22[[#This Row],[Units Sold]]&lt;=90,"High",Table22[[#This Row],[Units Sold]]&lt;=95,"Excellent",Table22[[#This Row],[Units Sold]]&gt;95,"Outstanding")</f>
        <v>Average</v>
      </c>
      <c r="N533" s="29">
        <v>860.82</v>
      </c>
      <c r="O533" s="29">
        <v>58535.76</v>
      </c>
      <c r="P533" s="43">
        <f>IF(Table22[[#This Row],[Discount Applied]],Table22[[#This Row],[Total Sales (in USD)]]*(1-Table22[[#This Row],[Discount Percentage (%)]]/100),Table22[[#This Row],[Total Sales (in USD)]])</f>
        <v>58535.76</v>
      </c>
      <c r="Q533" s="66">
        <f>SQRT(AVERAGE((Table22[[#This Row],[Net Sales (after discount) (in USD)]]-AVERAGE(Table22[Net Sales (after discount) (in USD)]))^2))</f>
        <v>22024.399436235464</v>
      </c>
      <c r="R533" s="18" t="b">
        <v>1</v>
      </c>
      <c r="S533" s="40">
        <v>6.8</v>
      </c>
      <c r="T533" s="18" t="b">
        <v>0</v>
      </c>
      <c r="U533" s="25">
        <v>45375</v>
      </c>
      <c r="V533" s="63" t="str">
        <f>IF(MONTH(Table22[[#This Row],[Sales Date]])&lt;=3,"Q1",IF(MONTH(Table22[[#This Row],[Sales Date]])&lt;=6,"Q2",IF(MONTH(Table22[[#This Row],[Sales Date]])&lt;=9,"Q3","Q4")))</f>
        <v>Q1</v>
      </c>
      <c r="W533" s="64">
        <f>YEAR(Table22[[#This Row],[Sales Date]])</f>
        <v>2024</v>
      </c>
      <c r="X533" s="23">
        <v>28</v>
      </c>
      <c r="Y533" s="18" t="s">
        <v>23</v>
      </c>
      <c r="Z533" s="18" t="s">
        <v>56</v>
      </c>
      <c r="AA533" s="19" t="s">
        <v>36</v>
      </c>
    </row>
    <row r="534" spans="1:27" x14ac:dyDescent="0.25">
      <c r="A534" s="17" t="s">
        <v>455</v>
      </c>
      <c r="B534" s="18" t="s">
        <v>38</v>
      </c>
      <c r="C534" s="63" t="str" cm="1">
        <f t="array" ref="C534">_xlfn.SWITCH(Table22[[#This Row],[Country]],"USA","North America","Canada","North America","Brazil","South America","China","Asia","Japan","Asia","India","Asia","France","Europe","Germany","Europe","UK","Europe","Australia","Oceania","South America")</f>
        <v>Europe</v>
      </c>
      <c r="D534" s="18" t="s">
        <v>21</v>
      </c>
      <c r="E534" s="18" t="s">
        <v>33</v>
      </c>
      <c r="F534" s="18" t="s">
        <v>64</v>
      </c>
      <c r="G534" s="18" t="s">
        <v>48</v>
      </c>
      <c r="H534" s="64">
        <f>LEN(TRIM(Table22[[#This Row],[Country]]))</f>
        <v>6</v>
      </c>
      <c r="I534" s="64">
        <f>LEN(TRIM(Table22[[#This Row],[Continent]]))</f>
        <v>6</v>
      </c>
      <c r="J534" s="64">
        <f>LEN(TRIM(Table22[[#This Row],[Product]]))</f>
        <v>10</v>
      </c>
      <c r="K534" s="64">
        <f>LEN(TRIM(Table22[[#This Row],[Sales Team]]))</f>
        <v>9</v>
      </c>
      <c r="L534" s="23">
        <v>48</v>
      </c>
      <c r="M534" s="65" t="str" cm="1">
        <f t="array" ref="M534">_xlfn.IFS(Table22[[#This Row],[Units Sold]]&lt;40,"Critical",Table22[[#This Row],[Units Sold]]&lt;=50,"Poor",Table22[[#This Row],[Units Sold]]&lt;=60,"Low",Table22[[#This Row],[Units Sold]]&lt;=80,"Average",Table22[[#This Row],[Units Sold]]&lt;=90,"High",Table22[[#This Row],[Units Sold]]&lt;=95,"Excellent",Table22[[#This Row],[Units Sold]]&gt;95,"Outstanding")</f>
        <v>Poor</v>
      </c>
      <c r="N534" s="29">
        <v>1216.24</v>
      </c>
      <c r="O534" s="29">
        <v>58379.519999999997</v>
      </c>
      <c r="P534" s="43">
        <f>IF(Table22[[#This Row],[Discount Applied]],Table22[[#This Row],[Total Sales (in USD)]]*(1-Table22[[#This Row],[Discount Percentage (%)]]/100),Table22[[#This Row],[Total Sales (in USD)]])</f>
        <v>58379.519999999997</v>
      </c>
      <c r="Q534" s="66">
        <f>SQRT(AVERAGE((Table22[[#This Row],[Net Sales (after discount) (in USD)]]-AVERAGE(Table22[Net Sales (after discount) (in USD)]))^2))</f>
        <v>21868.159436235459</v>
      </c>
      <c r="R534" s="18" t="b">
        <v>0</v>
      </c>
      <c r="S534" s="40">
        <v>10.15</v>
      </c>
      <c r="T534" s="18" t="b">
        <v>0</v>
      </c>
      <c r="U534" s="25">
        <v>45186</v>
      </c>
      <c r="V534" s="63" t="str">
        <f>IF(MONTH(Table22[[#This Row],[Sales Date]])&lt;=3,"Q1",IF(MONTH(Table22[[#This Row],[Sales Date]])&lt;=6,"Q2",IF(MONTH(Table22[[#This Row],[Sales Date]])&lt;=9,"Q3","Q4")))</f>
        <v>Q3</v>
      </c>
      <c r="W534" s="64">
        <f>YEAR(Table22[[#This Row],[Sales Date]])</f>
        <v>2023</v>
      </c>
      <c r="X534" s="23">
        <v>63</v>
      </c>
      <c r="Y534" s="18" t="s">
        <v>49</v>
      </c>
      <c r="Z534" s="18" t="s">
        <v>42</v>
      </c>
      <c r="AA534" s="19" t="s">
        <v>36</v>
      </c>
    </row>
    <row r="535" spans="1:27" x14ac:dyDescent="0.25">
      <c r="A535" s="17" t="s">
        <v>1158</v>
      </c>
      <c r="B535" s="18" t="s">
        <v>72</v>
      </c>
      <c r="C535" s="63" t="str" cm="1">
        <f t="array" ref="C535">_xlfn.SWITCH(Table22[[#This Row],[Country]],"USA","North America","Canada","North America","Brazil","South America","China","Asia","Japan","Asia","India","Asia","France","Europe","Germany","Europe","UK","Europe","Australia","Oceania","South America")</f>
        <v>North America</v>
      </c>
      <c r="D535" s="18" t="s">
        <v>44</v>
      </c>
      <c r="E535" s="18" t="s">
        <v>39</v>
      </c>
      <c r="F535" s="18" t="s">
        <v>47</v>
      </c>
      <c r="G535" s="18" t="s">
        <v>22</v>
      </c>
      <c r="H535" s="64">
        <f>LEN(TRIM(Table22[[#This Row],[Country]]))</f>
        <v>3</v>
      </c>
      <c r="I535" s="64">
        <f>LEN(TRIM(Table22[[#This Row],[Continent]]))</f>
        <v>13</v>
      </c>
      <c r="J535" s="64">
        <f>LEN(TRIM(Table22[[#This Row],[Product]]))</f>
        <v>10</v>
      </c>
      <c r="K535" s="64">
        <f>LEN(TRIM(Table22[[#This Row],[Sales Team]]))</f>
        <v>10</v>
      </c>
      <c r="L535" s="23">
        <v>75</v>
      </c>
      <c r="M535" s="65" t="str" cm="1">
        <f t="array" ref="M535">_xlfn.IFS(Table22[[#This Row],[Units Sold]]&lt;40,"Critical",Table22[[#This Row],[Units Sold]]&lt;=50,"Poor",Table22[[#This Row],[Units Sold]]&lt;=60,"Low",Table22[[#This Row],[Units Sold]]&lt;=80,"Average",Table22[[#This Row],[Units Sold]]&lt;=90,"High",Table22[[#This Row],[Units Sold]]&lt;=95,"Excellent",Table22[[#This Row],[Units Sold]]&gt;95,"Outstanding")</f>
        <v>Average</v>
      </c>
      <c r="N535" s="29">
        <v>778.3</v>
      </c>
      <c r="O535" s="29">
        <v>58372.5</v>
      </c>
      <c r="P535" s="43">
        <f>IF(Table22[[#This Row],[Discount Applied]],Table22[[#This Row],[Total Sales (in USD)]]*(1-Table22[[#This Row],[Discount Percentage (%)]]/100),Table22[[#This Row],[Total Sales (in USD)]])</f>
        <v>55611.480750000002</v>
      </c>
      <c r="Q535" s="66">
        <f>SQRT(AVERAGE((Table22[[#This Row],[Net Sales (after discount) (in USD)]]-AVERAGE(Table22[Net Sales (after discount) (in USD)]))^2))</f>
        <v>19100.120186235465</v>
      </c>
      <c r="R535" s="18" t="b">
        <v>0</v>
      </c>
      <c r="S535" s="40">
        <v>4.7300000000000004</v>
      </c>
      <c r="T535" s="18" t="b">
        <v>1</v>
      </c>
      <c r="U535" s="25">
        <v>45268</v>
      </c>
      <c r="V535" s="63" t="str">
        <f>IF(MONTH(Table22[[#This Row],[Sales Date]])&lt;=3,"Q1",IF(MONTH(Table22[[#This Row],[Sales Date]])&lt;=6,"Q2",IF(MONTH(Table22[[#This Row],[Sales Date]])&lt;=9,"Q3","Q4")))</f>
        <v>Q4</v>
      </c>
      <c r="W535" s="64">
        <f>YEAR(Table22[[#This Row],[Sales Date]])</f>
        <v>2023</v>
      </c>
      <c r="X535" s="23">
        <v>65</v>
      </c>
      <c r="Y535" s="18" t="s">
        <v>49</v>
      </c>
      <c r="Z535" s="18" t="s">
        <v>24</v>
      </c>
      <c r="AA535" s="19" t="s">
        <v>25</v>
      </c>
    </row>
    <row r="536" spans="1:27" x14ac:dyDescent="0.25">
      <c r="A536" s="17" t="s">
        <v>1356</v>
      </c>
      <c r="B536" s="18" t="s">
        <v>46</v>
      </c>
      <c r="C536" s="63" t="str" cm="1">
        <f t="array" ref="C536">_xlfn.SWITCH(Table22[[#This Row],[Country]],"USA","North America","Canada","North America","Brazil","South America","China","Asia","Japan","Asia","India","Asia","France","Europe","Germany","Europe","UK","Europe","Australia","Oceania","South America")</f>
        <v>South America</v>
      </c>
      <c r="D536" s="18" t="s">
        <v>44</v>
      </c>
      <c r="E536" s="18" t="s">
        <v>39</v>
      </c>
      <c r="F536" s="18" t="s">
        <v>34</v>
      </c>
      <c r="G536" s="18" t="s">
        <v>29</v>
      </c>
      <c r="H536" s="64">
        <f>LEN(TRIM(Table22[[#This Row],[Country]]))</f>
        <v>6</v>
      </c>
      <c r="I536" s="64">
        <f>LEN(TRIM(Table22[[#This Row],[Continent]]))</f>
        <v>13</v>
      </c>
      <c r="J536" s="64">
        <f>LEN(TRIM(Table22[[#This Row],[Product]]))</f>
        <v>10</v>
      </c>
      <c r="K536" s="64">
        <f>LEN(TRIM(Table22[[#This Row],[Sales Team]]))</f>
        <v>10</v>
      </c>
      <c r="L536" s="23">
        <v>87</v>
      </c>
      <c r="M536" s="65" t="str" cm="1">
        <f t="array" ref="M536">_xlfn.IFS(Table22[[#This Row],[Units Sold]]&lt;40,"Critical",Table22[[#This Row],[Units Sold]]&lt;=50,"Poor",Table22[[#This Row],[Units Sold]]&lt;=60,"Low",Table22[[#This Row],[Units Sold]]&lt;=80,"Average",Table22[[#This Row],[Units Sold]]&lt;=90,"High",Table22[[#This Row],[Units Sold]]&lt;=95,"Excellent",Table22[[#This Row],[Units Sold]]&gt;95,"Outstanding")</f>
        <v>High</v>
      </c>
      <c r="N536" s="29">
        <v>670.76</v>
      </c>
      <c r="O536" s="29">
        <v>58356.12</v>
      </c>
      <c r="P536" s="43">
        <f>IF(Table22[[#This Row],[Discount Applied]],Table22[[#This Row],[Total Sales (in USD)]]*(1-Table22[[#This Row],[Discount Percentage (%)]]/100),Table22[[#This Row],[Total Sales (in USD)]])</f>
        <v>58356.12</v>
      </c>
      <c r="Q536" s="66">
        <f>SQRT(AVERAGE((Table22[[#This Row],[Net Sales (after discount) (in USD)]]-AVERAGE(Table22[Net Sales (after discount) (in USD)]))^2))</f>
        <v>21844.759436235465</v>
      </c>
      <c r="R536" s="18" t="b">
        <v>1</v>
      </c>
      <c r="S536" s="40">
        <v>25.72</v>
      </c>
      <c r="T536" s="18" t="b">
        <v>0</v>
      </c>
      <c r="U536" s="25">
        <v>45148</v>
      </c>
      <c r="V536" s="63" t="str">
        <f>IF(MONTH(Table22[[#This Row],[Sales Date]])&lt;=3,"Q1",IF(MONTH(Table22[[#This Row],[Sales Date]])&lt;=6,"Q2",IF(MONTH(Table22[[#This Row],[Sales Date]])&lt;=9,"Q3","Q4")))</f>
        <v>Q3</v>
      </c>
      <c r="W536" s="64">
        <f>YEAR(Table22[[#This Row],[Sales Date]])</f>
        <v>2023</v>
      </c>
      <c r="X536" s="23">
        <v>22</v>
      </c>
      <c r="Y536" s="18" t="s">
        <v>23</v>
      </c>
      <c r="Z536" s="18" t="s">
        <v>42</v>
      </c>
      <c r="AA536" s="19" t="s">
        <v>36</v>
      </c>
    </row>
    <row r="537" spans="1:27" x14ac:dyDescent="0.25">
      <c r="A537" s="17" t="s">
        <v>1228</v>
      </c>
      <c r="B537" s="18" t="s">
        <v>76</v>
      </c>
      <c r="C537" s="63" t="str" cm="1">
        <f t="array" ref="C537">_xlfn.SWITCH(Table22[[#This Row],[Country]],"USA","North America","Canada","North America","Brazil","South America","China","Asia","Japan","Asia","India","Asia","France","Europe","Germany","Europe","UK","Europe","Australia","Oceania","South America")</f>
        <v>Asia</v>
      </c>
      <c r="D537" s="18" t="s">
        <v>35</v>
      </c>
      <c r="E537" s="18" t="s">
        <v>33</v>
      </c>
      <c r="F537" s="18" t="s">
        <v>47</v>
      </c>
      <c r="G537" s="18" t="s">
        <v>22</v>
      </c>
      <c r="H537" s="64">
        <f>LEN(TRIM(Table22[[#This Row],[Country]]))</f>
        <v>5</v>
      </c>
      <c r="I537" s="64">
        <f>LEN(TRIM(Table22[[#This Row],[Continent]]))</f>
        <v>4</v>
      </c>
      <c r="J537" s="64">
        <f>LEN(TRIM(Table22[[#This Row],[Product]]))</f>
        <v>10</v>
      </c>
      <c r="K537" s="64">
        <f>LEN(TRIM(Table22[[#This Row],[Sales Team]]))</f>
        <v>10</v>
      </c>
      <c r="L537" s="23">
        <v>61</v>
      </c>
      <c r="M537" s="65" t="str" cm="1">
        <f t="array" ref="M537">_xlfn.IFS(Table22[[#This Row],[Units Sold]]&lt;40,"Critical",Table22[[#This Row],[Units Sold]]&lt;=50,"Poor",Table22[[#This Row],[Units Sold]]&lt;=60,"Low",Table22[[#This Row],[Units Sold]]&lt;=80,"Average",Table22[[#This Row],[Units Sold]]&lt;=90,"High",Table22[[#This Row],[Units Sold]]&lt;=95,"Excellent",Table22[[#This Row],[Units Sold]]&gt;95,"Outstanding")</f>
        <v>Average</v>
      </c>
      <c r="N537" s="29">
        <v>956.17</v>
      </c>
      <c r="O537" s="29">
        <v>58326.37</v>
      </c>
      <c r="P537" s="43">
        <f>IF(Table22[[#This Row],[Discount Applied]],Table22[[#This Row],[Total Sales (in USD)]]*(1-Table22[[#This Row],[Discount Percentage (%)]]/100),Table22[[#This Row],[Total Sales (in USD)]])</f>
        <v>46859.405658000003</v>
      </c>
      <c r="Q537" s="66">
        <f>SQRT(AVERAGE((Table22[[#This Row],[Net Sales (after discount) (in USD)]]-AVERAGE(Table22[Net Sales (after discount) (in USD)]))^2))</f>
        <v>10348.045094235466</v>
      </c>
      <c r="R537" s="18" t="b">
        <v>0</v>
      </c>
      <c r="S537" s="40">
        <v>19.66</v>
      </c>
      <c r="T537" s="18" t="b">
        <v>1</v>
      </c>
      <c r="U537" s="25">
        <v>45226</v>
      </c>
      <c r="V537" s="63" t="str">
        <f>IF(MONTH(Table22[[#This Row],[Sales Date]])&lt;=3,"Q1",IF(MONTH(Table22[[#This Row],[Sales Date]])&lt;=6,"Q2",IF(MONTH(Table22[[#This Row],[Sales Date]])&lt;=9,"Q3","Q4")))</f>
        <v>Q4</v>
      </c>
      <c r="W537" s="64">
        <f>YEAR(Table22[[#This Row],[Sales Date]])</f>
        <v>2023</v>
      </c>
      <c r="X537" s="23">
        <v>62</v>
      </c>
      <c r="Y537" s="18" t="s">
        <v>41</v>
      </c>
      <c r="Z537" s="18" t="s">
        <v>56</v>
      </c>
      <c r="AA537" s="19" t="s">
        <v>25</v>
      </c>
    </row>
    <row r="538" spans="1:27" x14ac:dyDescent="0.25">
      <c r="A538" s="17" t="s">
        <v>2000</v>
      </c>
      <c r="B538" s="18" t="s">
        <v>38</v>
      </c>
      <c r="C538" s="63" t="str" cm="1">
        <f t="array" ref="C538">_xlfn.SWITCH(Table22[[#This Row],[Country]],"USA","North America","Canada","North America","Brazil","South America","China","Asia","Japan","Asia","India","Asia","France","Europe","Germany","Europe","UK","Europe","Australia","Oceania","South America")</f>
        <v>Europe</v>
      </c>
      <c r="D538" s="18" t="s">
        <v>21</v>
      </c>
      <c r="E538" s="18" t="s">
        <v>33</v>
      </c>
      <c r="F538" s="18" t="s">
        <v>47</v>
      </c>
      <c r="G538" s="18" t="s">
        <v>29</v>
      </c>
      <c r="H538" s="64">
        <f>LEN(TRIM(Table22[[#This Row],[Country]]))</f>
        <v>6</v>
      </c>
      <c r="I538" s="64">
        <f>LEN(TRIM(Table22[[#This Row],[Continent]]))</f>
        <v>6</v>
      </c>
      <c r="J538" s="64">
        <f>LEN(TRIM(Table22[[#This Row],[Product]]))</f>
        <v>10</v>
      </c>
      <c r="K538" s="64">
        <f>LEN(TRIM(Table22[[#This Row],[Sales Team]]))</f>
        <v>10</v>
      </c>
      <c r="L538" s="23">
        <v>47</v>
      </c>
      <c r="M538" s="65" t="str" cm="1">
        <f t="array" ref="M538">_xlfn.IFS(Table22[[#This Row],[Units Sold]]&lt;40,"Critical",Table22[[#This Row],[Units Sold]]&lt;=50,"Poor",Table22[[#This Row],[Units Sold]]&lt;=60,"Low",Table22[[#This Row],[Units Sold]]&lt;=80,"Average",Table22[[#This Row],[Units Sold]]&lt;=90,"High",Table22[[#This Row],[Units Sold]]&lt;=95,"Excellent",Table22[[#This Row],[Units Sold]]&gt;95,"Outstanding")</f>
        <v>Poor</v>
      </c>
      <c r="N538" s="29">
        <v>1239.72</v>
      </c>
      <c r="O538" s="29">
        <v>58266.84</v>
      </c>
      <c r="P538" s="43">
        <f>IF(Table22[[#This Row],[Discount Applied]],Table22[[#This Row],[Total Sales (in USD)]]*(1-Table22[[#This Row],[Discount Percentage (%)]]/100),Table22[[#This Row],[Total Sales (in USD)]])</f>
        <v>58266.84</v>
      </c>
      <c r="Q538" s="66">
        <f>SQRT(AVERAGE((Table22[[#This Row],[Net Sales (after discount) (in USD)]]-AVERAGE(Table22[Net Sales (after discount) (in USD)]))^2))</f>
        <v>21755.479436235459</v>
      </c>
      <c r="R538" s="18" t="b">
        <v>0</v>
      </c>
      <c r="S538" s="40">
        <v>8.1999999999999993</v>
      </c>
      <c r="T538" s="18" t="b">
        <v>0</v>
      </c>
      <c r="U538" s="25">
        <v>45243</v>
      </c>
      <c r="V538" s="63" t="str">
        <f>IF(MONTH(Table22[[#This Row],[Sales Date]])&lt;=3,"Q1",IF(MONTH(Table22[[#This Row],[Sales Date]])&lt;=6,"Q2",IF(MONTH(Table22[[#This Row],[Sales Date]])&lt;=9,"Q3","Q4")))</f>
        <v>Q4</v>
      </c>
      <c r="W538" s="64">
        <f>YEAR(Table22[[#This Row],[Sales Date]])</f>
        <v>2023</v>
      </c>
      <c r="X538" s="23">
        <v>62</v>
      </c>
      <c r="Y538" s="18" t="s">
        <v>49</v>
      </c>
      <c r="Z538" s="18" t="s">
        <v>24</v>
      </c>
      <c r="AA538" s="19" t="s">
        <v>25</v>
      </c>
    </row>
    <row r="539" spans="1:27" x14ac:dyDescent="0.25">
      <c r="A539" s="17" t="s">
        <v>198</v>
      </c>
      <c r="B539" s="18" t="s">
        <v>76</v>
      </c>
      <c r="C539" s="63" t="str" cm="1">
        <f t="array" ref="C539">_xlfn.SWITCH(Table22[[#This Row],[Country]],"USA","North America","Canada","North America","Brazil","South America","China","Asia","Japan","Asia","India","Asia","France","Europe","Germany","Europe","UK","Europe","Australia","Oceania","South America")</f>
        <v>Asia</v>
      </c>
      <c r="D539" s="18" t="s">
        <v>44</v>
      </c>
      <c r="E539" s="18" t="s">
        <v>19</v>
      </c>
      <c r="F539" s="18" t="s">
        <v>64</v>
      </c>
      <c r="G539" s="18" t="s">
        <v>40</v>
      </c>
      <c r="H539" s="64">
        <f>LEN(TRIM(Table22[[#This Row],[Country]]))</f>
        <v>5</v>
      </c>
      <c r="I539" s="64">
        <f>LEN(TRIM(Table22[[#This Row],[Continent]]))</f>
        <v>4</v>
      </c>
      <c r="J539" s="64">
        <f>LEN(TRIM(Table22[[#This Row],[Product]]))</f>
        <v>6</v>
      </c>
      <c r="K539" s="64">
        <f>LEN(TRIM(Table22[[#This Row],[Sales Team]]))</f>
        <v>10</v>
      </c>
      <c r="L539" s="23">
        <v>43</v>
      </c>
      <c r="M539" s="65" t="str" cm="1">
        <f t="array" ref="M539">_xlfn.IFS(Table22[[#This Row],[Units Sold]]&lt;40,"Critical",Table22[[#This Row],[Units Sold]]&lt;=50,"Poor",Table22[[#This Row],[Units Sold]]&lt;=60,"Low",Table22[[#This Row],[Units Sold]]&lt;=80,"Average",Table22[[#This Row],[Units Sold]]&lt;=90,"High",Table22[[#This Row],[Units Sold]]&lt;=95,"Excellent",Table22[[#This Row],[Units Sold]]&gt;95,"Outstanding")</f>
        <v>Poor</v>
      </c>
      <c r="N539" s="29">
        <v>1351.95</v>
      </c>
      <c r="O539" s="29">
        <v>58133.85</v>
      </c>
      <c r="P539" s="43">
        <f>IF(Table22[[#This Row],[Discount Applied]],Table22[[#This Row],[Total Sales (in USD)]]*(1-Table22[[#This Row],[Discount Percentage (%)]]/100),Table22[[#This Row],[Total Sales (in USD)]])</f>
        <v>58133.85</v>
      </c>
      <c r="Q539" s="66">
        <f>SQRT(AVERAGE((Table22[[#This Row],[Net Sales (after discount) (in USD)]]-AVERAGE(Table22[Net Sales (after discount) (in USD)]))^2))</f>
        <v>21622.489436235461</v>
      </c>
      <c r="R539" s="18" t="b">
        <v>0</v>
      </c>
      <c r="S539" s="40">
        <v>14.22</v>
      </c>
      <c r="T539" s="18" t="b">
        <v>0</v>
      </c>
      <c r="U539" s="25">
        <v>45546</v>
      </c>
      <c r="V539" s="63" t="str">
        <f>IF(MONTH(Table22[[#This Row],[Sales Date]])&lt;=3,"Q1",IF(MONTH(Table22[[#This Row],[Sales Date]])&lt;=6,"Q2",IF(MONTH(Table22[[#This Row],[Sales Date]])&lt;=9,"Q3","Q4")))</f>
        <v>Q3</v>
      </c>
      <c r="W539" s="64">
        <f>YEAR(Table22[[#This Row],[Sales Date]])</f>
        <v>2024</v>
      </c>
      <c r="X539" s="23">
        <v>45</v>
      </c>
      <c r="Y539" s="18" t="s">
        <v>23</v>
      </c>
      <c r="Z539" s="18" t="s">
        <v>30</v>
      </c>
      <c r="AA539" s="19" t="s">
        <v>36</v>
      </c>
    </row>
    <row r="540" spans="1:27" x14ac:dyDescent="0.25">
      <c r="A540" s="17" t="s">
        <v>87</v>
      </c>
      <c r="B540" s="18" t="s">
        <v>38</v>
      </c>
      <c r="C540" s="63" t="str" cm="1">
        <f t="array" ref="C540">_xlfn.SWITCH(Table22[[#This Row],[Country]],"USA","North America","Canada","North America","Brazil","South America","China","Asia","Japan","Asia","India","Asia","France","Europe","Germany","Europe","UK","Europe","Australia","Oceania","South America")</f>
        <v>Europe</v>
      </c>
      <c r="D540" s="18" t="s">
        <v>44</v>
      </c>
      <c r="E540" s="18" t="s">
        <v>33</v>
      </c>
      <c r="F540" s="18" t="s">
        <v>52</v>
      </c>
      <c r="G540" s="18" t="s">
        <v>40</v>
      </c>
      <c r="H540" s="64">
        <f>LEN(TRIM(Table22[[#This Row],[Country]]))</f>
        <v>6</v>
      </c>
      <c r="I540" s="64">
        <f>LEN(TRIM(Table22[[#This Row],[Continent]]))</f>
        <v>6</v>
      </c>
      <c r="J540" s="64">
        <f>LEN(TRIM(Table22[[#This Row],[Product]]))</f>
        <v>10</v>
      </c>
      <c r="K540" s="64">
        <f>LEN(TRIM(Table22[[#This Row],[Sales Team]]))</f>
        <v>10</v>
      </c>
      <c r="L540" s="23">
        <v>46</v>
      </c>
      <c r="M540" s="65" t="str" cm="1">
        <f t="array" ref="M540">_xlfn.IFS(Table22[[#This Row],[Units Sold]]&lt;40,"Critical",Table22[[#This Row],[Units Sold]]&lt;=50,"Poor",Table22[[#This Row],[Units Sold]]&lt;=60,"Low",Table22[[#This Row],[Units Sold]]&lt;=80,"Average",Table22[[#This Row],[Units Sold]]&lt;=90,"High",Table22[[#This Row],[Units Sold]]&lt;=95,"Excellent",Table22[[#This Row],[Units Sold]]&gt;95,"Outstanding")</f>
        <v>Poor</v>
      </c>
      <c r="N540" s="29">
        <v>1263</v>
      </c>
      <c r="O540" s="29">
        <v>58098</v>
      </c>
      <c r="P540" s="43">
        <f>IF(Table22[[#This Row],[Discount Applied]],Table22[[#This Row],[Total Sales (in USD)]]*(1-Table22[[#This Row],[Discount Percentage (%)]]/100),Table22[[#This Row],[Total Sales (in USD)]])</f>
        <v>44927.183400000002</v>
      </c>
      <c r="Q540" s="66">
        <f>SQRT(AVERAGE((Table22[[#This Row],[Net Sales (after discount) (in USD)]]-AVERAGE(Table22[Net Sales (after discount) (in USD)]))^2))</f>
        <v>8415.8228362354639</v>
      </c>
      <c r="R540" s="18" t="b">
        <v>1</v>
      </c>
      <c r="S540" s="40">
        <v>22.67</v>
      </c>
      <c r="T540" s="18" t="b">
        <v>1</v>
      </c>
      <c r="U540" s="25">
        <v>45501</v>
      </c>
      <c r="V540" s="63" t="str">
        <f>IF(MONTH(Table22[[#This Row],[Sales Date]])&lt;=3,"Q1",IF(MONTH(Table22[[#This Row],[Sales Date]])&lt;=6,"Q2",IF(MONTH(Table22[[#This Row],[Sales Date]])&lt;=9,"Q3","Q4")))</f>
        <v>Q3</v>
      </c>
      <c r="W540" s="64">
        <f>YEAR(Table22[[#This Row],[Sales Date]])</f>
        <v>2024</v>
      </c>
      <c r="X540" s="23">
        <v>43</v>
      </c>
      <c r="Y540" s="18" t="s">
        <v>41</v>
      </c>
      <c r="Z540" s="18" t="s">
        <v>30</v>
      </c>
      <c r="AA540" s="19" t="s">
        <v>25</v>
      </c>
    </row>
    <row r="541" spans="1:27" x14ac:dyDescent="0.25">
      <c r="A541" s="17" t="s">
        <v>1390</v>
      </c>
      <c r="B541" s="18" t="s">
        <v>46</v>
      </c>
      <c r="C541" s="63" t="str" cm="1">
        <f t="array" ref="C541">_xlfn.SWITCH(Table22[[#This Row],[Country]],"USA","North America","Canada","North America","Brazil","South America","China","Asia","Japan","Asia","India","Asia","France","Europe","Germany","Europe","UK","Europe","Australia","Oceania","South America")</f>
        <v>South America</v>
      </c>
      <c r="D541" s="18" t="s">
        <v>44</v>
      </c>
      <c r="E541" s="18" t="s">
        <v>33</v>
      </c>
      <c r="F541" s="18" t="s">
        <v>64</v>
      </c>
      <c r="G541" s="18" t="s">
        <v>40</v>
      </c>
      <c r="H541" s="64">
        <f>LEN(TRIM(Table22[[#This Row],[Country]]))</f>
        <v>6</v>
      </c>
      <c r="I541" s="64">
        <f>LEN(TRIM(Table22[[#This Row],[Continent]]))</f>
        <v>13</v>
      </c>
      <c r="J541" s="64">
        <f>LEN(TRIM(Table22[[#This Row],[Product]]))</f>
        <v>10</v>
      </c>
      <c r="K541" s="64">
        <f>LEN(TRIM(Table22[[#This Row],[Sales Team]]))</f>
        <v>10</v>
      </c>
      <c r="L541" s="23">
        <v>58</v>
      </c>
      <c r="M541" s="65" t="str" cm="1">
        <f t="array" ref="M541">_xlfn.IFS(Table22[[#This Row],[Units Sold]]&lt;40,"Critical",Table22[[#This Row],[Units Sold]]&lt;=50,"Poor",Table22[[#This Row],[Units Sold]]&lt;=60,"Low",Table22[[#This Row],[Units Sold]]&lt;=80,"Average",Table22[[#This Row],[Units Sold]]&lt;=90,"High",Table22[[#This Row],[Units Sold]]&lt;=95,"Excellent",Table22[[#This Row],[Units Sold]]&gt;95,"Outstanding")</f>
        <v>Low</v>
      </c>
      <c r="N541" s="29">
        <v>1001.36</v>
      </c>
      <c r="O541" s="29">
        <v>58078.879999999997</v>
      </c>
      <c r="P541" s="43">
        <f>IF(Table22[[#This Row],[Discount Applied]],Table22[[#This Row],[Total Sales (in USD)]]*(1-Table22[[#This Row],[Discount Percentage (%)]]/100),Table22[[#This Row],[Total Sales (in USD)]])</f>
        <v>58078.879999999997</v>
      </c>
      <c r="Q541" s="66">
        <f>SQRT(AVERAGE((Table22[[#This Row],[Net Sales (after discount) (in USD)]]-AVERAGE(Table22[Net Sales (after discount) (in USD)]))^2))</f>
        <v>21567.51943623546</v>
      </c>
      <c r="R541" s="18" t="b">
        <v>0</v>
      </c>
      <c r="S541" s="40">
        <v>22.27</v>
      </c>
      <c r="T541" s="18" t="b">
        <v>0</v>
      </c>
      <c r="U541" s="25">
        <v>45456</v>
      </c>
      <c r="V541" s="63" t="str">
        <f>IF(MONTH(Table22[[#This Row],[Sales Date]])&lt;=3,"Q1",IF(MONTH(Table22[[#This Row],[Sales Date]])&lt;=6,"Q2",IF(MONTH(Table22[[#This Row],[Sales Date]])&lt;=9,"Q3","Q4")))</f>
        <v>Q2</v>
      </c>
      <c r="W541" s="64">
        <f>YEAR(Table22[[#This Row],[Sales Date]])</f>
        <v>2024</v>
      </c>
      <c r="X541" s="23">
        <v>23</v>
      </c>
      <c r="Y541" s="18" t="s">
        <v>23</v>
      </c>
      <c r="Z541" s="18" t="s">
        <v>42</v>
      </c>
      <c r="AA541" s="19" t="s">
        <v>36</v>
      </c>
    </row>
    <row r="542" spans="1:27" x14ac:dyDescent="0.25">
      <c r="A542" s="17" t="s">
        <v>878</v>
      </c>
      <c r="B542" s="18" t="s">
        <v>66</v>
      </c>
      <c r="C542" s="63" t="str" cm="1">
        <f t="array" ref="C542">_xlfn.SWITCH(Table22[[#This Row],[Country]],"USA","North America","Canada","North America","Brazil","South America","China","Asia","Japan","Asia","India","Asia","France","Europe","Germany","Europe","UK","Europe","Australia","Oceania","South America")</f>
        <v>North America</v>
      </c>
      <c r="D542" s="18" t="s">
        <v>35</v>
      </c>
      <c r="E542" s="18" t="s">
        <v>39</v>
      </c>
      <c r="F542" s="18" t="s">
        <v>20</v>
      </c>
      <c r="G542" s="18" t="s">
        <v>40</v>
      </c>
      <c r="H542" s="64">
        <f>LEN(TRIM(Table22[[#This Row],[Country]]))</f>
        <v>6</v>
      </c>
      <c r="I542" s="64">
        <f>LEN(TRIM(Table22[[#This Row],[Continent]]))</f>
        <v>13</v>
      </c>
      <c r="J542" s="64">
        <f>LEN(TRIM(Table22[[#This Row],[Product]]))</f>
        <v>10</v>
      </c>
      <c r="K542" s="64">
        <f>LEN(TRIM(Table22[[#This Row],[Sales Team]]))</f>
        <v>10</v>
      </c>
      <c r="L542" s="23">
        <v>68</v>
      </c>
      <c r="M542" s="65" t="str" cm="1">
        <f t="array" ref="M542">_xlfn.IFS(Table22[[#This Row],[Units Sold]]&lt;40,"Critical",Table22[[#This Row],[Units Sold]]&lt;=50,"Poor",Table22[[#This Row],[Units Sold]]&lt;=60,"Low",Table22[[#This Row],[Units Sold]]&lt;=80,"Average",Table22[[#This Row],[Units Sold]]&lt;=90,"High",Table22[[#This Row],[Units Sold]]&lt;=95,"Excellent",Table22[[#This Row],[Units Sold]]&gt;95,"Outstanding")</f>
        <v>Average</v>
      </c>
      <c r="N542" s="29">
        <v>852.56</v>
      </c>
      <c r="O542" s="29">
        <v>57974.080000000002</v>
      </c>
      <c r="P542" s="43">
        <f>IF(Table22[[#This Row],[Discount Applied]],Table22[[#This Row],[Total Sales (in USD)]]*(1-Table22[[#This Row],[Discount Percentage (%)]]/100),Table22[[#This Row],[Total Sales (in USD)]])</f>
        <v>57974.080000000002</v>
      </c>
      <c r="Q542" s="66">
        <f>SQRT(AVERAGE((Table22[[#This Row],[Net Sales (after discount) (in USD)]]-AVERAGE(Table22[Net Sales (after discount) (in USD)]))^2))</f>
        <v>21462.719436235464</v>
      </c>
      <c r="R542" s="18" t="b">
        <v>1</v>
      </c>
      <c r="S542" s="40">
        <v>20</v>
      </c>
      <c r="T542" s="18" t="b">
        <v>0</v>
      </c>
      <c r="U542" s="25">
        <v>45492</v>
      </c>
      <c r="V542" s="63" t="str">
        <f>IF(MONTH(Table22[[#This Row],[Sales Date]])&lt;=3,"Q1",IF(MONTH(Table22[[#This Row],[Sales Date]])&lt;=6,"Q2",IF(MONTH(Table22[[#This Row],[Sales Date]])&lt;=9,"Q3","Q4")))</f>
        <v>Q3</v>
      </c>
      <c r="W542" s="64">
        <f>YEAR(Table22[[#This Row],[Sales Date]])</f>
        <v>2024</v>
      </c>
      <c r="X542" s="23">
        <v>58</v>
      </c>
      <c r="Y542" s="18" t="s">
        <v>41</v>
      </c>
      <c r="Z542" s="18" t="s">
        <v>24</v>
      </c>
      <c r="AA542" s="19" t="s">
        <v>36</v>
      </c>
    </row>
    <row r="543" spans="1:27" x14ac:dyDescent="0.25">
      <c r="A543" s="17" t="s">
        <v>356</v>
      </c>
      <c r="B543" s="18" t="s">
        <v>51</v>
      </c>
      <c r="C543" s="63" t="str" cm="1">
        <f t="array" ref="C543">_xlfn.SWITCH(Table22[[#This Row],[Country]],"USA","North America","Canada","North America","Brazil","South America","China","Asia","Japan","Asia","India","Asia","France","Europe","Germany","Europe","UK","Europe","Australia","Oceania","South America")</f>
        <v>Europe</v>
      </c>
      <c r="D543" s="18" t="s">
        <v>35</v>
      </c>
      <c r="E543" s="18" t="s">
        <v>39</v>
      </c>
      <c r="F543" s="18" t="s">
        <v>52</v>
      </c>
      <c r="G543" s="18" t="s">
        <v>29</v>
      </c>
      <c r="H543" s="64">
        <f>LEN(TRIM(Table22[[#This Row],[Country]]))</f>
        <v>2</v>
      </c>
      <c r="I543" s="64">
        <f>LEN(TRIM(Table22[[#This Row],[Continent]]))</f>
        <v>6</v>
      </c>
      <c r="J543" s="64">
        <f>LEN(TRIM(Table22[[#This Row],[Product]]))</f>
        <v>10</v>
      </c>
      <c r="K543" s="64">
        <f>LEN(TRIM(Table22[[#This Row],[Sales Team]]))</f>
        <v>10</v>
      </c>
      <c r="L543" s="23">
        <v>56</v>
      </c>
      <c r="M543" s="65" t="str" cm="1">
        <f t="array" ref="M543">_xlfn.IFS(Table22[[#This Row],[Units Sold]]&lt;40,"Critical",Table22[[#This Row],[Units Sold]]&lt;=50,"Poor",Table22[[#This Row],[Units Sold]]&lt;=60,"Low",Table22[[#This Row],[Units Sold]]&lt;=80,"Average",Table22[[#This Row],[Units Sold]]&lt;=90,"High",Table22[[#This Row],[Units Sold]]&lt;=95,"Excellent",Table22[[#This Row],[Units Sold]]&gt;95,"Outstanding")</f>
        <v>Low</v>
      </c>
      <c r="N543" s="29">
        <v>1034.78</v>
      </c>
      <c r="O543" s="29">
        <v>57947.68</v>
      </c>
      <c r="P543" s="43">
        <f>IF(Table22[[#This Row],[Discount Applied]],Table22[[#This Row],[Total Sales (in USD)]]*(1-Table22[[#This Row],[Discount Percentage (%)]]/100),Table22[[#This Row],[Total Sales (in USD)]])</f>
        <v>57947.68</v>
      </c>
      <c r="Q543" s="66">
        <f>SQRT(AVERAGE((Table22[[#This Row],[Net Sales (after discount) (in USD)]]-AVERAGE(Table22[Net Sales (after discount) (in USD)]))^2))</f>
        <v>21436.319436235462</v>
      </c>
      <c r="R543" s="18" t="b">
        <v>1</v>
      </c>
      <c r="S543" s="40">
        <v>12.48</v>
      </c>
      <c r="T543" s="18" t="b">
        <v>0</v>
      </c>
      <c r="U543" s="25">
        <v>45236</v>
      </c>
      <c r="V543" s="63" t="str">
        <f>IF(MONTH(Table22[[#This Row],[Sales Date]])&lt;=3,"Q1",IF(MONTH(Table22[[#This Row],[Sales Date]])&lt;=6,"Q2",IF(MONTH(Table22[[#This Row],[Sales Date]])&lt;=9,"Q3","Q4")))</f>
        <v>Q4</v>
      </c>
      <c r="W543" s="64">
        <f>YEAR(Table22[[#This Row],[Sales Date]])</f>
        <v>2023</v>
      </c>
      <c r="X543" s="23">
        <v>23</v>
      </c>
      <c r="Y543" s="18" t="s">
        <v>23</v>
      </c>
      <c r="Z543" s="18" t="s">
        <v>42</v>
      </c>
      <c r="AA543" s="19" t="s">
        <v>25</v>
      </c>
    </row>
    <row r="544" spans="1:27" x14ac:dyDescent="0.25">
      <c r="A544" s="17" t="s">
        <v>1223</v>
      </c>
      <c r="B544" s="18" t="s">
        <v>18</v>
      </c>
      <c r="C544" s="63" t="str" cm="1">
        <f t="array" ref="C544">_xlfn.SWITCH(Table22[[#This Row],[Country]],"USA","North America","Canada","North America","Brazil","South America","China","Asia","Japan","Asia","India","Asia","France","Europe","Germany","Europe","UK","Europe","Australia","Oceania","South America")</f>
        <v>Asia</v>
      </c>
      <c r="D544" s="18" t="s">
        <v>44</v>
      </c>
      <c r="E544" s="18" t="s">
        <v>39</v>
      </c>
      <c r="F544" s="18" t="s">
        <v>34</v>
      </c>
      <c r="G544" s="18" t="s">
        <v>29</v>
      </c>
      <c r="H544" s="64">
        <f>LEN(TRIM(Table22[[#This Row],[Country]]))</f>
        <v>5</v>
      </c>
      <c r="I544" s="64">
        <f>LEN(TRIM(Table22[[#This Row],[Continent]]))</f>
        <v>4</v>
      </c>
      <c r="J544" s="64">
        <f>LEN(TRIM(Table22[[#This Row],[Product]]))</f>
        <v>10</v>
      </c>
      <c r="K544" s="64">
        <f>LEN(TRIM(Table22[[#This Row],[Sales Team]]))</f>
        <v>10</v>
      </c>
      <c r="L544" s="23">
        <v>73</v>
      </c>
      <c r="M544" s="65" t="str" cm="1">
        <f t="array" ref="M544">_xlfn.IFS(Table22[[#This Row],[Units Sold]]&lt;40,"Critical",Table22[[#This Row],[Units Sold]]&lt;=50,"Poor",Table22[[#This Row],[Units Sold]]&lt;=60,"Low",Table22[[#This Row],[Units Sold]]&lt;=80,"Average",Table22[[#This Row],[Units Sold]]&lt;=90,"High",Table22[[#This Row],[Units Sold]]&lt;=95,"Excellent",Table22[[#This Row],[Units Sold]]&gt;95,"Outstanding")</f>
        <v>Average</v>
      </c>
      <c r="N544" s="29">
        <v>793.24</v>
      </c>
      <c r="O544" s="29">
        <v>57906.52</v>
      </c>
      <c r="P544" s="43">
        <f>IF(Table22[[#This Row],[Discount Applied]],Table22[[#This Row],[Total Sales (in USD)]]*(1-Table22[[#This Row],[Discount Percentage (%)]]/100),Table22[[#This Row],[Total Sales (in USD)]])</f>
        <v>44385.347579999994</v>
      </c>
      <c r="Q544" s="66">
        <f>SQRT(AVERAGE((Table22[[#This Row],[Net Sales (after discount) (in USD)]]-AVERAGE(Table22[Net Sales (after discount) (in USD)]))^2))</f>
        <v>7873.9870162354564</v>
      </c>
      <c r="R544" s="18" t="b">
        <v>0</v>
      </c>
      <c r="S544" s="40">
        <v>23.35</v>
      </c>
      <c r="T544" s="18" t="b">
        <v>1</v>
      </c>
      <c r="U544" s="25">
        <v>45266</v>
      </c>
      <c r="V544" s="63" t="str">
        <f>IF(MONTH(Table22[[#This Row],[Sales Date]])&lt;=3,"Q1",IF(MONTH(Table22[[#This Row],[Sales Date]])&lt;=6,"Q2",IF(MONTH(Table22[[#This Row],[Sales Date]])&lt;=9,"Q3","Q4")))</f>
        <v>Q4</v>
      </c>
      <c r="W544" s="64">
        <f>YEAR(Table22[[#This Row],[Sales Date]])</f>
        <v>2023</v>
      </c>
      <c r="X544" s="23">
        <v>36</v>
      </c>
      <c r="Y544" s="18" t="s">
        <v>41</v>
      </c>
      <c r="Z544" s="18" t="s">
        <v>24</v>
      </c>
      <c r="AA544" s="19" t="s">
        <v>25</v>
      </c>
    </row>
    <row r="545" spans="1:27" x14ac:dyDescent="0.25">
      <c r="A545" s="17" t="s">
        <v>1205</v>
      </c>
      <c r="B545" s="18" t="s">
        <v>51</v>
      </c>
      <c r="C545" s="63" t="str" cm="1">
        <f t="array" ref="C545">_xlfn.SWITCH(Table22[[#This Row],[Country]],"USA","North America","Canada","North America","Brazil","South America","China","Asia","Japan","Asia","India","Asia","France","Europe","Germany","Europe","UK","Europe","Australia","Oceania","South America")</f>
        <v>Europe</v>
      </c>
      <c r="D545" s="18" t="s">
        <v>35</v>
      </c>
      <c r="E545" s="18" t="s">
        <v>19</v>
      </c>
      <c r="F545" s="18" t="s">
        <v>52</v>
      </c>
      <c r="G545" s="18" t="s">
        <v>40</v>
      </c>
      <c r="H545" s="64">
        <f>LEN(TRIM(Table22[[#This Row],[Country]]))</f>
        <v>2</v>
      </c>
      <c r="I545" s="64">
        <f>LEN(TRIM(Table22[[#This Row],[Continent]]))</f>
        <v>6</v>
      </c>
      <c r="J545" s="64">
        <f>LEN(TRIM(Table22[[#This Row],[Product]]))</f>
        <v>6</v>
      </c>
      <c r="K545" s="64">
        <f>LEN(TRIM(Table22[[#This Row],[Sales Team]]))</f>
        <v>10</v>
      </c>
      <c r="L545" s="23">
        <v>56</v>
      </c>
      <c r="M545" s="65" t="str" cm="1">
        <f t="array" ref="M545">_xlfn.IFS(Table22[[#This Row],[Units Sold]]&lt;40,"Critical",Table22[[#This Row],[Units Sold]]&lt;=50,"Poor",Table22[[#This Row],[Units Sold]]&lt;=60,"Low",Table22[[#This Row],[Units Sold]]&lt;=80,"Average",Table22[[#This Row],[Units Sold]]&lt;=90,"High",Table22[[#This Row],[Units Sold]]&lt;=95,"Excellent",Table22[[#This Row],[Units Sold]]&gt;95,"Outstanding")</f>
        <v>Low</v>
      </c>
      <c r="N545" s="29">
        <v>1033.71</v>
      </c>
      <c r="O545" s="29">
        <v>57887.76</v>
      </c>
      <c r="P545" s="43">
        <f>IF(Table22[[#This Row],[Discount Applied]],Table22[[#This Row],[Total Sales (in USD)]]*(1-Table22[[#This Row],[Discount Percentage (%)]]/100),Table22[[#This Row],[Total Sales (in USD)]])</f>
        <v>57887.76</v>
      </c>
      <c r="Q545" s="66">
        <f>SQRT(AVERAGE((Table22[[#This Row],[Net Sales (after discount) (in USD)]]-AVERAGE(Table22[Net Sales (after discount) (in USD)]))^2))</f>
        <v>21376.399436235464</v>
      </c>
      <c r="R545" s="18" t="b">
        <v>1</v>
      </c>
      <c r="S545" s="40">
        <v>28.53</v>
      </c>
      <c r="T545" s="18" t="b">
        <v>0</v>
      </c>
      <c r="U545" s="25">
        <v>45142</v>
      </c>
      <c r="V545" s="63" t="str">
        <f>IF(MONTH(Table22[[#This Row],[Sales Date]])&lt;=3,"Q1",IF(MONTH(Table22[[#This Row],[Sales Date]])&lt;=6,"Q2",IF(MONTH(Table22[[#This Row],[Sales Date]])&lt;=9,"Q3","Q4")))</f>
        <v>Q3</v>
      </c>
      <c r="W545" s="64">
        <f>YEAR(Table22[[#This Row],[Sales Date]])</f>
        <v>2023</v>
      </c>
      <c r="X545" s="23">
        <v>40</v>
      </c>
      <c r="Y545" s="18" t="s">
        <v>49</v>
      </c>
      <c r="Z545" s="18" t="s">
        <v>42</v>
      </c>
      <c r="AA545" s="19" t="s">
        <v>36</v>
      </c>
    </row>
    <row r="546" spans="1:27" x14ac:dyDescent="0.25">
      <c r="A546" s="17" t="s">
        <v>561</v>
      </c>
      <c r="B546" s="18" t="s">
        <v>76</v>
      </c>
      <c r="C546" s="63" t="str" cm="1">
        <f t="array" ref="C546">_xlfn.SWITCH(Table22[[#This Row],[Country]],"USA","North America","Canada","North America","Brazil","South America","China","Asia","Japan","Asia","India","Asia","France","Europe","Germany","Europe","UK","Europe","Australia","Oceania","South America")</f>
        <v>Asia</v>
      </c>
      <c r="D546" s="18" t="s">
        <v>28</v>
      </c>
      <c r="E546" s="18" t="s">
        <v>39</v>
      </c>
      <c r="F546" s="18" t="s">
        <v>47</v>
      </c>
      <c r="G546" s="18" t="s">
        <v>40</v>
      </c>
      <c r="H546" s="64">
        <f>LEN(TRIM(Table22[[#This Row],[Country]]))</f>
        <v>5</v>
      </c>
      <c r="I546" s="64">
        <f>LEN(TRIM(Table22[[#This Row],[Continent]]))</f>
        <v>4</v>
      </c>
      <c r="J546" s="64">
        <f>LEN(TRIM(Table22[[#This Row],[Product]]))</f>
        <v>10</v>
      </c>
      <c r="K546" s="64">
        <f>LEN(TRIM(Table22[[#This Row],[Sales Team]]))</f>
        <v>10</v>
      </c>
      <c r="L546" s="23">
        <v>54</v>
      </c>
      <c r="M546" s="65" t="str" cm="1">
        <f t="array" ref="M546">_xlfn.IFS(Table22[[#This Row],[Units Sold]]&lt;40,"Critical",Table22[[#This Row],[Units Sold]]&lt;=50,"Poor",Table22[[#This Row],[Units Sold]]&lt;=60,"Low",Table22[[#This Row],[Units Sold]]&lt;=80,"Average",Table22[[#This Row],[Units Sold]]&lt;=90,"High",Table22[[#This Row],[Units Sold]]&lt;=95,"Excellent",Table22[[#This Row],[Units Sold]]&gt;95,"Outstanding")</f>
        <v>Low</v>
      </c>
      <c r="N546" s="29">
        <v>1071.18</v>
      </c>
      <c r="O546" s="29">
        <v>57843.72</v>
      </c>
      <c r="P546" s="43">
        <f>IF(Table22[[#This Row],[Discount Applied]],Table22[[#This Row],[Total Sales (in USD)]]*(1-Table22[[#This Row],[Discount Percentage (%)]]/100),Table22[[#This Row],[Total Sales (in USD)]])</f>
        <v>52192.388555999998</v>
      </c>
      <c r="Q546" s="66">
        <f>SQRT(AVERAGE((Table22[[#This Row],[Net Sales (after discount) (in USD)]]-AVERAGE(Table22[Net Sales (after discount) (in USD)]))^2))</f>
        <v>15681.02799223546</v>
      </c>
      <c r="R546" s="18" t="b">
        <v>1</v>
      </c>
      <c r="S546" s="40">
        <v>9.77</v>
      </c>
      <c r="T546" s="18" t="b">
        <v>1</v>
      </c>
      <c r="U546" s="25">
        <v>45517</v>
      </c>
      <c r="V546" s="63" t="str">
        <f>IF(MONTH(Table22[[#This Row],[Sales Date]])&lt;=3,"Q1",IF(MONTH(Table22[[#This Row],[Sales Date]])&lt;=6,"Q2",IF(MONTH(Table22[[#This Row],[Sales Date]])&lt;=9,"Q3","Q4")))</f>
        <v>Q3</v>
      </c>
      <c r="W546" s="64">
        <f>YEAR(Table22[[#This Row],[Sales Date]])</f>
        <v>2024</v>
      </c>
      <c r="X546" s="23">
        <v>41</v>
      </c>
      <c r="Y546" s="18" t="s">
        <v>49</v>
      </c>
      <c r="Z546" s="18" t="s">
        <v>42</v>
      </c>
      <c r="AA546" s="19" t="s">
        <v>36</v>
      </c>
    </row>
    <row r="547" spans="1:27" x14ac:dyDescent="0.25">
      <c r="A547" s="17" t="s">
        <v>275</v>
      </c>
      <c r="B547" s="18" t="s">
        <v>66</v>
      </c>
      <c r="C547" s="63" t="str" cm="1">
        <f t="array" ref="C547">_xlfn.SWITCH(Table22[[#This Row],[Country]],"USA","North America","Canada","North America","Brazil","South America","China","Asia","Japan","Asia","India","Asia","France","Europe","Germany","Europe","UK","Europe","Australia","Oceania","South America")</f>
        <v>North America</v>
      </c>
      <c r="D547" s="18" t="s">
        <v>35</v>
      </c>
      <c r="E547" s="18" t="s">
        <v>33</v>
      </c>
      <c r="F547" s="18" t="s">
        <v>20</v>
      </c>
      <c r="G547" s="18" t="s">
        <v>29</v>
      </c>
      <c r="H547" s="64">
        <f>LEN(TRIM(Table22[[#This Row],[Country]]))</f>
        <v>6</v>
      </c>
      <c r="I547" s="64">
        <f>LEN(TRIM(Table22[[#This Row],[Continent]]))</f>
        <v>13</v>
      </c>
      <c r="J547" s="64">
        <f>LEN(TRIM(Table22[[#This Row],[Product]]))</f>
        <v>10</v>
      </c>
      <c r="K547" s="64">
        <f>LEN(TRIM(Table22[[#This Row],[Sales Team]]))</f>
        <v>10</v>
      </c>
      <c r="L547" s="23">
        <v>81</v>
      </c>
      <c r="M547" s="65" t="str" cm="1">
        <f t="array" ref="M547">_xlfn.IFS(Table22[[#This Row],[Units Sold]]&lt;40,"Critical",Table22[[#This Row],[Units Sold]]&lt;=50,"Poor",Table22[[#This Row],[Units Sold]]&lt;=60,"Low",Table22[[#This Row],[Units Sold]]&lt;=80,"Average",Table22[[#This Row],[Units Sold]]&lt;=90,"High",Table22[[#This Row],[Units Sold]]&lt;=95,"Excellent",Table22[[#This Row],[Units Sold]]&gt;95,"Outstanding")</f>
        <v>High</v>
      </c>
      <c r="N547" s="29">
        <v>712.56</v>
      </c>
      <c r="O547" s="29">
        <v>57717.36</v>
      </c>
      <c r="P547" s="43">
        <f>IF(Table22[[#This Row],[Discount Applied]],Table22[[#This Row],[Total Sales (in USD)]]*(1-Table22[[#This Row],[Discount Percentage (%)]]/100),Table22[[#This Row],[Total Sales (in USD)]])</f>
        <v>45919.931616000002</v>
      </c>
      <c r="Q547" s="66">
        <f>SQRT(AVERAGE((Table22[[#This Row],[Net Sales (after discount) (in USD)]]-AVERAGE(Table22[Net Sales (after discount) (in USD)]))^2))</f>
        <v>9408.5710522354639</v>
      </c>
      <c r="R547" s="18" t="b">
        <v>0</v>
      </c>
      <c r="S547" s="40">
        <v>20.440000000000001</v>
      </c>
      <c r="T547" s="18" t="b">
        <v>1</v>
      </c>
      <c r="U547" s="25">
        <v>44940</v>
      </c>
      <c r="V547" s="63" t="str">
        <f>IF(MONTH(Table22[[#This Row],[Sales Date]])&lt;=3,"Q1",IF(MONTH(Table22[[#This Row],[Sales Date]])&lt;=6,"Q2",IF(MONTH(Table22[[#This Row],[Sales Date]])&lt;=9,"Q3","Q4")))</f>
        <v>Q1</v>
      </c>
      <c r="W547" s="64">
        <f>YEAR(Table22[[#This Row],[Sales Date]])</f>
        <v>2023</v>
      </c>
      <c r="X547" s="23">
        <v>46</v>
      </c>
      <c r="Y547" s="18" t="s">
        <v>49</v>
      </c>
      <c r="Z547" s="18" t="s">
        <v>42</v>
      </c>
      <c r="AA547" s="19" t="s">
        <v>25</v>
      </c>
    </row>
    <row r="548" spans="1:27" x14ac:dyDescent="0.25">
      <c r="A548" s="17" t="s">
        <v>1523</v>
      </c>
      <c r="B548" s="18" t="s">
        <v>18</v>
      </c>
      <c r="C548" s="63" t="str" cm="1">
        <f t="array" ref="C548">_xlfn.SWITCH(Table22[[#This Row],[Country]],"USA","North America","Canada","North America","Brazil","South America","China","Asia","Japan","Asia","India","Asia","France","Europe","Germany","Europe","UK","Europe","Australia","Oceania","South America")</f>
        <v>Asia</v>
      </c>
      <c r="D548" s="18" t="s">
        <v>28</v>
      </c>
      <c r="E548" s="18" t="s">
        <v>39</v>
      </c>
      <c r="F548" s="18" t="s">
        <v>47</v>
      </c>
      <c r="G548" s="18" t="s">
        <v>48</v>
      </c>
      <c r="H548" s="64">
        <f>LEN(TRIM(Table22[[#This Row],[Country]]))</f>
        <v>5</v>
      </c>
      <c r="I548" s="64">
        <f>LEN(TRIM(Table22[[#This Row],[Continent]]))</f>
        <v>4</v>
      </c>
      <c r="J548" s="64">
        <f>LEN(TRIM(Table22[[#This Row],[Product]]))</f>
        <v>10</v>
      </c>
      <c r="K548" s="64">
        <f>LEN(TRIM(Table22[[#This Row],[Sales Team]]))</f>
        <v>9</v>
      </c>
      <c r="L548" s="23">
        <v>60</v>
      </c>
      <c r="M548" s="65" t="str" cm="1">
        <f t="array" ref="M548">_xlfn.IFS(Table22[[#This Row],[Units Sold]]&lt;40,"Critical",Table22[[#This Row],[Units Sold]]&lt;=50,"Poor",Table22[[#This Row],[Units Sold]]&lt;=60,"Low",Table22[[#This Row],[Units Sold]]&lt;=80,"Average",Table22[[#This Row],[Units Sold]]&lt;=90,"High",Table22[[#This Row],[Units Sold]]&lt;=95,"Excellent",Table22[[#This Row],[Units Sold]]&gt;95,"Outstanding")</f>
        <v>Low</v>
      </c>
      <c r="N548" s="29">
        <v>958.4</v>
      </c>
      <c r="O548" s="29">
        <v>57504</v>
      </c>
      <c r="P548" s="43">
        <f>IF(Table22[[#This Row],[Discount Applied]],Table22[[#This Row],[Total Sales (in USD)]]*(1-Table22[[#This Row],[Discount Percentage (%)]]/100),Table22[[#This Row],[Total Sales (in USD)]])</f>
        <v>57504</v>
      </c>
      <c r="Q548" s="66">
        <f>SQRT(AVERAGE((Table22[[#This Row],[Net Sales (after discount) (in USD)]]-AVERAGE(Table22[Net Sales (after discount) (in USD)]))^2))</f>
        <v>20992.639436235462</v>
      </c>
      <c r="R548" s="18" t="b">
        <v>0</v>
      </c>
      <c r="S548" s="40">
        <v>7.98</v>
      </c>
      <c r="T548" s="18" t="b">
        <v>0</v>
      </c>
      <c r="U548" s="25">
        <v>45500</v>
      </c>
      <c r="V548" s="63" t="str">
        <f>IF(MONTH(Table22[[#This Row],[Sales Date]])&lt;=3,"Q1",IF(MONTH(Table22[[#This Row],[Sales Date]])&lt;=6,"Q2",IF(MONTH(Table22[[#This Row],[Sales Date]])&lt;=9,"Q3","Q4")))</f>
        <v>Q3</v>
      </c>
      <c r="W548" s="64">
        <f>YEAR(Table22[[#This Row],[Sales Date]])</f>
        <v>2024</v>
      </c>
      <c r="X548" s="23">
        <v>69</v>
      </c>
      <c r="Y548" s="18" t="s">
        <v>41</v>
      </c>
      <c r="Z548" s="18" t="s">
        <v>30</v>
      </c>
      <c r="AA548" s="19" t="s">
        <v>25</v>
      </c>
    </row>
    <row r="549" spans="1:27" x14ac:dyDescent="0.25">
      <c r="A549" s="17" t="s">
        <v>694</v>
      </c>
      <c r="B549" s="18" t="s">
        <v>72</v>
      </c>
      <c r="C549" s="63" t="str" cm="1">
        <f t="array" ref="C549">_xlfn.SWITCH(Table22[[#This Row],[Country]],"USA","North America","Canada","North America","Brazil","South America","China","Asia","Japan","Asia","India","Asia","France","Europe","Germany","Europe","UK","Europe","Australia","Oceania","South America")</f>
        <v>North America</v>
      </c>
      <c r="D549" s="18" t="s">
        <v>21</v>
      </c>
      <c r="E549" s="18" t="s">
        <v>39</v>
      </c>
      <c r="F549" s="18" t="s">
        <v>34</v>
      </c>
      <c r="G549" s="18" t="s">
        <v>48</v>
      </c>
      <c r="H549" s="64">
        <f>LEN(TRIM(Table22[[#This Row],[Country]]))</f>
        <v>3</v>
      </c>
      <c r="I549" s="64">
        <f>LEN(TRIM(Table22[[#This Row],[Continent]]))</f>
        <v>13</v>
      </c>
      <c r="J549" s="64">
        <f>LEN(TRIM(Table22[[#This Row],[Product]]))</f>
        <v>10</v>
      </c>
      <c r="K549" s="64">
        <f>LEN(TRIM(Table22[[#This Row],[Sales Team]]))</f>
        <v>9</v>
      </c>
      <c r="L549" s="23">
        <v>51</v>
      </c>
      <c r="M549" s="65" t="str" cm="1">
        <f t="array" ref="M549">_xlfn.IFS(Table22[[#This Row],[Units Sold]]&lt;40,"Critical",Table22[[#This Row],[Units Sold]]&lt;=50,"Poor",Table22[[#This Row],[Units Sold]]&lt;=60,"Low",Table22[[#This Row],[Units Sold]]&lt;=80,"Average",Table22[[#This Row],[Units Sold]]&lt;=90,"High",Table22[[#This Row],[Units Sold]]&lt;=95,"Excellent",Table22[[#This Row],[Units Sold]]&gt;95,"Outstanding")</f>
        <v>Low</v>
      </c>
      <c r="N549" s="29">
        <v>1127.2</v>
      </c>
      <c r="O549" s="29">
        <v>57487.199999999997</v>
      </c>
      <c r="P549" s="43">
        <f>IF(Table22[[#This Row],[Discount Applied]],Table22[[#This Row],[Total Sales (in USD)]]*(1-Table22[[#This Row],[Discount Percentage (%)]]/100),Table22[[#This Row],[Total Sales (in USD)]])</f>
        <v>57487.199999999997</v>
      </c>
      <c r="Q549" s="66">
        <f>SQRT(AVERAGE((Table22[[#This Row],[Net Sales (after discount) (in USD)]]-AVERAGE(Table22[Net Sales (after discount) (in USD)]))^2))</f>
        <v>20975.839436235459</v>
      </c>
      <c r="R549" s="18" t="b">
        <v>0</v>
      </c>
      <c r="S549" s="40">
        <v>14.99</v>
      </c>
      <c r="T549" s="18" t="b">
        <v>0</v>
      </c>
      <c r="U549" s="25">
        <v>44975</v>
      </c>
      <c r="V549" s="63" t="str">
        <f>IF(MONTH(Table22[[#This Row],[Sales Date]])&lt;=3,"Q1",IF(MONTH(Table22[[#This Row],[Sales Date]])&lt;=6,"Q2",IF(MONTH(Table22[[#This Row],[Sales Date]])&lt;=9,"Q3","Q4")))</f>
        <v>Q1</v>
      </c>
      <c r="W549" s="64">
        <f>YEAR(Table22[[#This Row],[Sales Date]])</f>
        <v>2023</v>
      </c>
      <c r="X549" s="23">
        <v>59</v>
      </c>
      <c r="Y549" s="18" t="s">
        <v>49</v>
      </c>
      <c r="Z549" s="18" t="s">
        <v>24</v>
      </c>
      <c r="AA549" s="19" t="s">
        <v>36</v>
      </c>
    </row>
    <row r="550" spans="1:27" x14ac:dyDescent="0.25">
      <c r="A550" s="17" t="s">
        <v>898</v>
      </c>
      <c r="B550" s="18" t="s">
        <v>38</v>
      </c>
      <c r="C550" s="63" t="str" cm="1">
        <f t="array" ref="C550">_xlfn.SWITCH(Table22[[#This Row],[Country]],"USA","North America","Canada","North America","Brazil","South America","China","Asia","Japan","Asia","India","Asia","France","Europe","Germany","Europe","UK","Europe","Australia","Oceania","South America")</f>
        <v>Europe</v>
      </c>
      <c r="D550" s="18" t="s">
        <v>28</v>
      </c>
      <c r="E550" s="18" t="s">
        <v>39</v>
      </c>
      <c r="F550" s="18" t="s">
        <v>64</v>
      </c>
      <c r="G550" s="18" t="s">
        <v>29</v>
      </c>
      <c r="H550" s="64">
        <f>LEN(TRIM(Table22[[#This Row],[Country]]))</f>
        <v>6</v>
      </c>
      <c r="I550" s="64">
        <f>LEN(TRIM(Table22[[#This Row],[Continent]]))</f>
        <v>6</v>
      </c>
      <c r="J550" s="64">
        <f>LEN(TRIM(Table22[[#This Row],[Product]]))</f>
        <v>10</v>
      </c>
      <c r="K550" s="64">
        <f>LEN(TRIM(Table22[[#This Row],[Sales Team]]))</f>
        <v>10</v>
      </c>
      <c r="L550" s="23">
        <v>41</v>
      </c>
      <c r="M550" s="65" t="str" cm="1">
        <f t="array" ref="M550">_xlfn.IFS(Table22[[#This Row],[Units Sold]]&lt;40,"Critical",Table22[[#This Row],[Units Sold]]&lt;=50,"Poor",Table22[[#This Row],[Units Sold]]&lt;=60,"Low",Table22[[#This Row],[Units Sold]]&lt;=80,"Average",Table22[[#This Row],[Units Sold]]&lt;=90,"High",Table22[[#This Row],[Units Sold]]&lt;=95,"Excellent",Table22[[#This Row],[Units Sold]]&gt;95,"Outstanding")</f>
        <v>Poor</v>
      </c>
      <c r="N550" s="29">
        <v>1400.12</v>
      </c>
      <c r="O550" s="29">
        <v>57404.92</v>
      </c>
      <c r="P550" s="43">
        <f>IF(Table22[[#This Row],[Discount Applied]],Table22[[#This Row],[Total Sales (in USD)]]*(1-Table22[[#This Row],[Discount Percentage (%)]]/100),Table22[[#This Row],[Total Sales (in USD)]])</f>
        <v>44781.578091999996</v>
      </c>
      <c r="Q550" s="66">
        <f>SQRT(AVERAGE((Table22[[#This Row],[Net Sales (after discount) (in USD)]]-AVERAGE(Table22[Net Sales (after discount) (in USD)]))^2))</f>
        <v>8270.2175282354583</v>
      </c>
      <c r="R550" s="18" t="b">
        <v>1</v>
      </c>
      <c r="S550" s="40">
        <v>21.99</v>
      </c>
      <c r="T550" s="18" t="b">
        <v>1</v>
      </c>
      <c r="U550" s="25">
        <v>45426</v>
      </c>
      <c r="V550" s="63" t="str">
        <f>IF(MONTH(Table22[[#This Row],[Sales Date]])&lt;=3,"Q1",IF(MONTH(Table22[[#This Row],[Sales Date]])&lt;=6,"Q2",IF(MONTH(Table22[[#This Row],[Sales Date]])&lt;=9,"Q3","Q4")))</f>
        <v>Q2</v>
      </c>
      <c r="W550" s="64">
        <f>YEAR(Table22[[#This Row],[Sales Date]])</f>
        <v>2024</v>
      </c>
      <c r="X550" s="23">
        <v>52</v>
      </c>
      <c r="Y550" s="18" t="s">
        <v>23</v>
      </c>
      <c r="Z550" s="18" t="s">
        <v>42</v>
      </c>
      <c r="AA550" s="19" t="s">
        <v>25</v>
      </c>
    </row>
    <row r="551" spans="1:27" x14ac:dyDescent="0.25">
      <c r="A551" s="17" t="s">
        <v>549</v>
      </c>
      <c r="B551" s="18" t="s">
        <v>18</v>
      </c>
      <c r="C551" s="63" t="str" cm="1">
        <f t="array" ref="C551">_xlfn.SWITCH(Table22[[#This Row],[Country]],"USA","North America","Canada","North America","Brazil","South America","China","Asia","Japan","Asia","India","Asia","France","Europe","Germany","Europe","UK","Europe","Australia","Oceania","South America")</f>
        <v>Asia</v>
      </c>
      <c r="D551" s="18" t="s">
        <v>35</v>
      </c>
      <c r="E551" s="18" t="s">
        <v>39</v>
      </c>
      <c r="F551" s="18" t="s">
        <v>47</v>
      </c>
      <c r="G551" s="18" t="s">
        <v>40</v>
      </c>
      <c r="H551" s="64">
        <f>LEN(TRIM(Table22[[#This Row],[Country]]))</f>
        <v>5</v>
      </c>
      <c r="I551" s="64">
        <f>LEN(TRIM(Table22[[#This Row],[Continent]]))</f>
        <v>4</v>
      </c>
      <c r="J551" s="64">
        <f>LEN(TRIM(Table22[[#This Row],[Product]]))</f>
        <v>10</v>
      </c>
      <c r="K551" s="64">
        <f>LEN(TRIM(Table22[[#This Row],[Sales Team]]))</f>
        <v>10</v>
      </c>
      <c r="L551" s="23">
        <v>41</v>
      </c>
      <c r="M551" s="65" t="str" cm="1">
        <f t="array" ref="M551">_xlfn.IFS(Table22[[#This Row],[Units Sold]]&lt;40,"Critical",Table22[[#This Row],[Units Sold]]&lt;=50,"Poor",Table22[[#This Row],[Units Sold]]&lt;=60,"Low",Table22[[#This Row],[Units Sold]]&lt;=80,"Average",Table22[[#This Row],[Units Sold]]&lt;=90,"High",Table22[[#This Row],[Units Sold]]&lt;=95,"Excellent",Table22[[#This Row],[Units Sold]]&gt;95,"Outstanding")</f>
        <v>Poor</v>
      </c>
      <c r="N551" s="29">
        <v>1398.29</v>
      </c>
      <c r="O551" s="29">
        <v>57329.89</v>
      </c>
      <c r="P551" s="43">
        <f>IF(Table22[[#This Row],[Discount Applied]],Table22[[#This Row],[Total Sales (in USD)]]*(1-Table22[[#This Row],[Discount Percentage (%)]]/100),Table22[[#This Row],[Total Sales (in USD)]])</f>
        <v>42406.919632999998</v>
      </c>
      <c r="Q551" s="66">
        <f>SQRT(AVERAGE((Table22[[#This Row],[Net Sales (after discount) (in USD)]]-AVERAGE(Table22[Net Sales (after discount) (in USD)]))^2))</f>
        <v>5895.5590692354599</v>
      </c>
      <c r="R551" s="18" t="b">
        <v>0</v>
      </c>
      <c r="S551" s="40">
        <v>26.03</v>
      </c>
      <c r="T551" s="18" t="b">
        <v>1</v>
      </c>
      <c r="U551" s="25">
        <v>45229</v>
      </c>
      <c r="V551" s="63" t="str">
        <f>IF(MONTH(Table22[[#This Row],[Sales Date]])&lt;=3,"Q1",IF(MONTH(Table22[[#This Row],[Sales Date]])&lt;=6,"Q2",IF(MONTH(Table22[[#This Row],[Sales Date]])&lt;=9,"Q3","Q4")))</f>
        <v>Q4</v>
      </c>
      <c r="W551" s="64">
        <f>YEAR(Table22[[#This Row],[Sales Date]])</f>
        <v>2023</v>
      </c>
      <c r="X551" s="23">
        <v>42</v>
      </c>
      <c r="Y551" s="18" t="s">
        <v>23</v>
      </c>
      <c r="Z551" s="18" t="s">
        <v>30</v>
      </c>
      <c r="AA551" s="19" t="s">
        <v>25</v>
      </c>
    </row>
    <row r="552" spans="1:27" x14ac:dyDescent="0.25">
      <c r="A552" s="17" t="s">
        <v>766</v>
      </c>
      <c r="B552" s="18" t="s">
        <v>18</v>
      </c>
      <c r="C552" s="63" t="str" cm="1">
        <f t="array" ref="C552">_xlfn.SWITCH(Table22[[#This Row],[Country]],"USA","North America","Canada","North America","Brazil","South America","China","Asia","Japan","Asia","India","Asia","France","Europe","Germany","Europe","UK","Europe","Australia","Oceania","South America")</f>
        <v>Asia</v>
      </c>
      <c r="D552" s="18" t="s">
        <v>35</v>
      </c>
      <c r="E552" s="18" t="s">
        <v>33</v>
      </c>
      <c r="F552" s="18" t="s">
        <v>20</v>
      </c>
      <c r="G552" s="18" t="s">
        <v>40</v>
      </c>
      <c r="H552" s="64">
        <f>LEN(TRIM(Table22[[#This Row],[Country]]))</f>
        <v>5</v>
      </c>
      <c r="I552" s="64">
        <f>LEN(TRIM(Table22[[#This Row],[Continent]]))</f>
        <v>4</v>
      </c>
      <c r="J552" s="64">
        <f>LEN(TRIM(Table22[[#This Row],[Product]]))</f>
        <v>10</v>
      </c>
      <c r="K552" s="64">
        <f>LEN(TRIM(Table22[[#This Row],[Sales Team]]))</f>
        <v>10</v>
      </c>
      <c r="L552" s="23">
        <v>93</v>
      </c>
      <c r="M552" s="65" t="str" cm="1">
        <f t="array" ref="M552">_xlfn.IFS(Table22[[#This Row],[Units Sold]]&lt;40,"Critical",Table22[[#This Row],[Units Sold]]&lt;=50,"Poor",Table22[[#This Row],[Units Sold]]&lt;=60,"Low",Table22[[#This Row],[Units Sold]]&lt;=80,"Average",Table22[[#This Row],[Units Sold]]&lt;=90,"High",Table22[[#This Row],[Units Sold]]&lt;=95,"Excellent",Table22[[#This Row],[Units Sold]]&gt;95,"Outstanding")</f>
        <v>Excellent</v>
      </c>
      <c r="N552" s="29">
        <v>615.52</v>
      </c>
      <c r="O552" s="29">
        <v>57243.360000000001</v>
      </c>
      <c r="P552" s="43">
        <f>IF(Table22[[#This Row],[Discount Applied]],Table22[[#This Row],[Total Sales (in USD)]]*(1-Table22[[#This Row],[Discount Percentage (%)]]/100),Table22[[#This Row],[Total Sales (in USD)]])</f>
        <v>56602.234368000005</v>
      </c>
      <c r="Q552" s="66">
        <f>SQRT(AVERAGE((Table22[[#This Row],[Net Sales (after discount) (in USD)]]-AVERAGE(Table22[Net Sales (after discount) (in USD)]))^2))</f>
        <v>20090.873804235467</v>
      </c>
      <c r="R552" s="18" t="b">
        <v>0</v>
      </c>
      <c r="S552" s="40">
        <v>1.1200000000000001</v>
      </c>
      <c r="T552" s="18" t="b">
        <v>1</v>
      </c>
      <c r="U552" s="25">
        <v>45018</v>
      </c>
      <c r="V552" s="63" t="str">
        <f>IF(MONTH(Table22[[#This Row],[Sales Date]])&lt;=3,"Q1",IF(MONTH(Table22[[#This Row],[Sales Date]])&lt;=6,"Q2",IF(MONTH(Table22[[#This Row],[Sales Date]])&lt;=9,"Q3","Q4")))</f>
        <v>Q2</v>
      </c>
      <c r="W552" s="64">
        <f>YEAR(Table22[[#This Row],[Sales Date]])</f>
        <v>2023</v>
      </c>
      <c r="X552" s="23">
        <v>25</v>
      </c>
      <c r="Y552" s="18" t="s">
        <v>49</v>
      </c>
      <c r="Z552" s="18" t="s">
        <v>56</v>
      </c>
      <c r="AA552" s="19" t="s">
        <v>36</v>
      </c>
    </row>
    <row r="553" spans="1:27" x14ac:dyDescent="0.25">
      <c r="A553" s="17" t="s">
        <v>528</v>
      </c>
      <c r="B553" s="18" t="s">
        <v>27</v>
      </c>
      <c r="C553" s="63" t="str" cm="1">
        <f t="array" ref="C553">_xlfn.SWITCH(Table22[[#This Row],[Country]],"USA","North America","Canada","North America","Brazil","South America","China","Asia","Japan","Asia","India","Asia","France","Europe","Germany","Europe","UK","Europe","Australia","Oceania","South America")</f>
        <v>Europe</v>
      </c>
      <c r="D553" s="18" t="s">
        <v>21</v>
      </c>
      <c r="E553" s="18" t="s">
        <v>33</v>
      </c>
      <c r="F553" s="18" t="s">
        <v>64</v>
      </c>
      <c r="G553" s="18" t="s">
        <v>48</v>
      </c>
      <c r="H553" s="64">
        <f>LEN(TRIM(Table22[[#This Row],[Country]]))</f>
        <v>7</v>
      </c>
      <c r="I553" s="64">
        <f>LEN(TRIM(Table22[[#This Row],[Continent]]))</f>
        <v>6</v>
      </c>
      <c r="J553" s="64">
        <f>LEN(TRIM(Table22[[#This Row],[Product]]))</f>
        <v>10</v>
      </c>
      <c r="K553" s="64">
        <f>LEN(TRIM(Table22[[#This Row],[Sales Team]]))</f>
        <v>9</v>
      </c>
      <c r="L553" s="23">
        <v>71</v>
      </c>
      <c r="M553" s="65" t="str" cm="1">
        <f t="array" ref="M553">_xlfn.IFS(Table22[[#This Row],[Units Sold]]&lt;40,"Critical",Table22[[#This Row],[Units Sold]]&lt;=50,"Poor",Table22[[#This Row],[Units Sold]]&lt;=60,"Low",Table22[[#This Row],[Units Sold]]&lt;=80,"Average",Table22[[#This Row],[Units Sold]]&lt;=90,"High",Table22[[#This Row],[Units Sold]]&lt;=95,"Excellent",Table22[[#This Row],[Units Sold]]&gt;95,"Outstanding")</f>
        <v>Average</v>
      </c>
      <c r="N553" s="29">
        <v>805.27</v>
      </c>
      <c r="O553" s="29">
        <v>57174.17</v>
      </c>
      <c r="P553" s="43">
        <f>IF(Table22[[#This Row],[Discount Applied]],Table22[[#This Row],[Total Sales (in USD)]]*(1-Table22[[#This Row],[Discount Percentage (%)]]/100),Table22[[#This Row],[Total Sales (in USD)]])</f>
        <v>57174.17</v>
      </c>
      <c r="Q553" s="66">
        <f>SQRT(AVERAGE((Table22[[#This Row],[Net Sales (after discount) (in USD)]]-AVERAGE(Table22[Net Sales (after discount) (in USD)]))^2))</f>
        <v>20662.80943623546</v>
      </c>
      <c r="R553" s="18" t="b">
        <v>0</v>
      </c>
      <c r="S553" s="40">
        <v>16.68</v>
      </c>
      <c r="T553" s="18" t="b">
        <v>0</v>
      </c>
      <c r="U553" s="25">
        <v>45523</v>
      </c>
      <c r="V553" s="63" t="str">
        <f>IF(MONTH(Table22[[#This Row],[Sales Date]])&lt;=3,"Q1",IF(MONTH(Table22[[#This Row],[Sales Date]])&lt;=6,"Q2",IF(MONTH(Table22[[#This Row],[Sales Date]])&lt;=9,"Q3","Q4")))</f>
        <v>Q3</v>
      </c>
      <c r="W553" s="64">
        <f>YEAR(Table22[[#This Row],[Sales Date]])</f>
        <v>2024</v>
      </c>
      <c r="X553" s="23">
        <v>44</v>
      </c>
      <c r="Y553" s="18" t="s">
        <v>23</v>
      </c>
      <c r="Z553" s="18" t="s">
        <v>56</v>
      </c>
      <c r="AA553" s="19" t="s">
        <v>36</v>
      </c>
    </row>
    <row r="554" spans="1:27" x14ac:dyDescent="0.25">
      <c r="A554" s="17" t="s">
        <v>1838</v>
      </c>
      <c r="B554" s="18" t="s">
        <v>72</v>
      </c>
      <c r="C554" s="63" t="str" cm="1">
        <f t="array" ref="C554">_xlfn.SWITCH(Table22[[#This Row],[Country]],"USA","North America","Canada","North America","Brazil","South America","China","Asia","Japan","Asia","India","Asia","France","Europe","Germany","Europe","UK","Europe","Australia","Oceania","South America")</f>
        <v>North America</v>
      </c>
      <c r="D554" s="18" t="s">
        <v>28</v>
      </c>
      <c r="E554" s="18" t="s">
        <v>19</v>
      </c>
      <c r="F554" s="18" t="s">
        <v>20</v>
      </c>
      <c r="G554" s="18" t="s">
        <v>29</v>
      </c>
      <c r="H554" s="64">
        <f>LEN(TRIM(Table22[[#This Row],[Country]]))</f>
        <v>3</v>
      </c>
      <c r="I554" s="64">
        <f>LEN(TRIM(Table22[[#This Row],[Continent]]))</f>
        <v>13</v>
      </c>
      <c r="J554" s="64">
        <f>LEN(TRIM(Table22[[#This Row],[Product]]))</f>
        <v>6</v>
      </c>
      <c r="K554" s="64">
        <f>LEN(TRIM(Table22[[#This Row],[Sales Team]]))</f>
        <v>10</v>
      </c>
      <c r="L554" s="23">
        <v>75</v>
      </c>
      <c r="M554" s="65" t="str" cm="1">
        <f t="array" ref="M554">_xlfn.IFS(Table22[[#This Row],[Units Sold]]&lt;40,"Critical",Table22[[#This Row],[Units Sold]]&lt;=50,"Poor",Table22[[#This Row],[Units Sold]]&lt;=60,"Low",Table22[[#This Row],[Units Sold]]&lt;=80,"Average",Table22[[#This Row],[Units Sold]]&lt;=90,"High",Table22[[#This Row],[Units Sold]]&lt;=95,"Excellent",Table22[[#This Row],[Units Sold]]&gt;95,"Outstanding")</f>
        <v>Average</v>
      </c>
      <c r="N554" s="29">
        <v>760.82</v>
      </c>
      <c r="O554" s="29">
        <v>57061.5</v>
      </c>
      <c r="P554" s="43">
        <f>IF(Table22[[#This Row],[Discount Applied]],Table22[[#This Row],[Total Sales (in USD)]]*(1-Table22[[#This Row],[Discount Percentage (%)]]/100),Table22[[#This Row],[Total Sales (in USD)]])</f>
        <v>46339.64415</v>
      </c>
      <c r="Q554" s="66">
        <f>SQRT(AVERAGE((Table22[[#This Row],[Net Sales (after discount) (in USD)]]-AVERAGE(Table22[Net Sales (after discount) (in USD)]))^2))</f>
        <v>9828.2835862354623</v>
      </c>
      <c r="R554" s="18" t="b">
        <v>1</v>
      </c>
      <c r="S554" s="40">
        <v>18.79</v>
      </c>
      <c r="T554" s="18" t="b">
        <v>1</v>
      </c>
      <c r="U554" s="25">
        <v>45338</v>
      </c>
      <c r="V554" s="63" t="str">
        <f>IF(MONTH(Table22[[#This Row],[Sales Date]])&lt;=3,"Q1",IF(MONTH(Table22[[#This Row],[Sales Date]])&lt;=6,"Q2",IF(MONTH(Table22[[#This Row],[Sales Date]])&lt;=9,"Q3","Q4")))</f>
        <v>Q1</v>
      </c>
      <c r="W554" s="64">
        <f>YEAR(Table22[[#This Row],[Sales Date]])</f>
        <v>2024</v>
      </c>
      <c r="X554" s="23">
        <v>24</v>
      </c>
      <c r="Y554" s="18" t="s">
        <v>23</v>
      </c>
      <c r="Z554" s="18" t="s">
        <v>56</v>
      </c>
      <c r="AA554" s="19" t="s">
        <v>36</v>
      </c>
    </row>
    <row r="555" spans="1:27" x14ac:dyDescent="0.25">
      <c r="A555" s="17" t="s">
        <v>1853</v>
      </c>
      <c r="B555" s="18" t="s">
        <v>18</v>
      </c>
      <c r="C555" s="63" t="str" cm="1">
        <f t="array" ref="C555">_xlfn.SWITCH(Table22[[#This Row],[Country]],"USA","North America","Canada","North America","Brazil","South America","China","Asia","Japan","Asia","India","Asia","France","Europe","Germany","Europe","UK","Europe","Australia","Oceania","South America")</f>
        <v>Asia</v>
      </c>
      <c r="D555" s="18" t="s">
        <v>28</v>
      </c>
      <c r="E555" s="18" t="s">
        <v>33</v>
      </c>
      <c r="F555" s="18" t="s">
        <v>52</v>
      </c>
      <c r="G555" s="18" t="s">
        <v>40</v>
      </c>
      <c r="H555" s="64">
        <f>LEN(TRIM(Table22[[#This Row],[Country]]))</f>
        <v>5</v>
      </c>
      <c r="I555" s="64">
        <f>LEN(TRIM(Table22[[#This Row],[Continent]]))</f>
        <v>4</v>
      </c>
      <c r="J555" s="64">
        <f>LEN(TRIM(Table22[[#This Row],[Product]]))</f>
        <v>10</v>
      </c>
      <c r="K555" s="64">
        <f>LEN(TRIM(Table22[[#This Row],[Sales Team]]))</f>
        <v>10</v>
      </c>
      <c r="L555" s="23">
        <v>41</v>
      </c>
      <c r="M555" s="65" t="str" cm="1">
        <f t="array" ref="M555">_xlfn.IFS(Table22[[#This Row],[Units Sold]]&lt;40,"Critical",Table22[[#This Row],[Units Sold]]&lt;=50,"Poor",Table22[[#This Row],[Units Sold]]&lt;=60,"Low",Table22[[#This Row],[Units Sold]]&lt;=80,"Average",Table22[[#This Row],[Units Sold]]&lt;=90,"High",Table22[[#This Row],[Units Sold]]&lt;=95,"Excellent",Table22[[#This Row],[Units Sold]]&gt;95,"Outstanding")</f>
        <v>Poor</v>
      </c>
      <c r="N555" s="29">
        <v>1386.08</v>
      </c>
      <c r="O555" s="29">
        <v>56829.279999999999</v>
      </c>
      <c r="P555" s="43">
        <f>IF(Table22[[#This Row],[Discount Applied]],Table22[[#This Row],[Total Sales (in USD)]]*(1-Table22[[#This Row],[Discount Percentage (%)]]/100),Table22[[#This Row],[Total Sales (in USD)]])</f>
        <v>56829.279999999999</v>
      </c>
      <c r="Q555" s="66">
        <f>SQRT(AVERAGE((Table22[[#This Row],[Net Sales (after discount) (in USD)]]-AVERAGE(Table22[Net Sales (after discount) (in USD)]))^2))</f>
        <v>20317.919436235461</v>
      </c>
      <c r="R555" s="18" t="b">
        <v>0</v>
      </c>
      <c r="S555" s="40">
        <v>6.02</v>
      </c>
      <c r="T555" s="18" t="b">
        <v>0</v>
      </c>
      <c r="U555" s="25">
        <v>45115</v>
      </c>
      <c r="V555" s="63" t="str">
        <f>IF(MONTH(Table22[[#This Row],[Sales Date]])&lt;=3,"Q1",IF(MONTH(Table22[[#This Row],[Sales Date]])&lt;=6,"Q2",IF(MONTH(Table22[[#This Row],[Sales Date]])&lt;=9,"Q3","Q4")))</f>
        <v>Q3</v>
      </c>
      <c r="W555" s="64">
        <f>YEAR(Table22[[#This Row],[Sales Date]])</f>
        <v>2023</v>
      </c>
      <c r="X555" s="23">
        <v>32</v>
      </c>
      <c r="Y555" s="18" t="s">
        <v>49</v>
      </c>
      <c r="Z555" s="18" t="s">
        <v>24</v>
      </c>
      <c r="AA555" s="19" t="s">
        <v>36</v>
      </c>
    </row>
    <row r="556" spans="1:27" x14ac:dyDescent="0.25">
      <c r="A556" s="17" t="s">
        <v>114</v>
      </c>
      <c r="B556" s="18" t="s">
        <v>66</v>
      </c>
      <c r="C556" s="63" t="str" cm="1">
        <f t="array" ref="C556">_xlfn.SWITCH(Table22[[#This Row],[Country]],"USA","North America","Canada","North America","Brazil","South America","China","Asia","Japan","Asia","India","Asia","France","Europe","Germany","Europe","UK","Europe","Australia","Oceania","South America")</f>
        <v>North America</v>
      </c>
      <c r="D556" s="18" t="s">
        <v>35</v>
      </c>
      <c r="E556" s="18" t="s">
        <v>39</v>
      </c>
      <c r="F556" s="18" t="s">
        <v>52</v>
      </c>
      <c r="G556" s="18" t="s">
        <v>29</v>
      </c>
      <c r="H556" s="64">
        <f>LEN(TRIM(Table22[[#This Row],[Country]]))</f>
        <v>6</v>
      </c>
      <c r="I556" s="64">
        <f>LEN(TRIM(Table22[[#This Row],[Continent]]))</f>
        <v>13</v>
      </c>
      <c r="J556" s="64">
        <f>LEN(TRIM(Table22[[#This Row],[Product]]))</f>
        <v>10</v>
      </c>
      <c r="K556" s="64">
        <f>LEN(TRIM(Table22[[#This Row],[Sales Team]]))</f>
        <v>10</v>
      </c>
      <c r="L556" s="23">
        <v>87</v>
      </c>
      <c r="M556" s="65" t="str" cm="1">
        <f t="array" ref="M556">_xlfn.IFS(Table22[[#This Row],[Units Sold]]&lt;40,"Critical",Table22[[#This Row],[Units Sold]]&lt;=50,"Poor",Table22[[#This Row],[Units Sold]]&lt;=60,"Low",Table22[[#This Row],[Units Sold]]&lt;=80,"Average",Table22[[#This Row],[Units Sold]]&lt;=90,"High",Table22[[#This Row],[Units Sold]]&lt;=95,"Excellent",Table22[[#This Row],[Units Sold]]&gt;95,"Outstanding")</f>
        <v>High</v>
      </c>
      <c r="N556" s="29">
        <v>653.17999999999995</v>
      </c>
      <c r="O556" s="29">
        <v>56826.66</v>
      </c>
      <c r="P556" s="43">
        <f>IF(Table22[[#This Row],[Discount Applied]],Table22[[#This Row],[Total Sales (in USD)]]*(1-Table22[[#This Row],[Discount Percentage (%)]]/100),Table22[[#This Row],[Total Sales (in USD)]])</f>
        <v>56826.66</v>
      </c>
      <c r="Q556" s="66">
        <f>SQRT(AVERAGE((Table22[[#This Row],[Net Sales (after discount) (in USD)]]-AVERAGE(Table22[Net Sales (after discount) (in USD)]))^2))</f>
        <v>20315.299436235466</v>
      </c>
      <c r="R556" s="18" t="b">
        <v>0</v>
      </c>
      <c r="S556" s="40">
        <v>11.89</v>
      </c>
      <c r="T556" s="18" t="b">
        <v>0</v>
      </c>
      <c r="U556" s="25">
        <v>45475</v>
      </c>
      <c r="V556" s="63" t="str">
        <f>IF(MONTH(Table22[[#This Row],[Sales Date]])&lt;=3,"Q1",IF(MONTH(Table22[[#This Row],[Sales Date]])&lt;=6,"Q2",IF(MONTH(Table22[[#This Row],[Sales Date]])&lt;=9,"Q3","Q4")))</f>
        <v>Q3</v>
      </c>
      <c r="W556" s="64">
        <f>YEAR(Table22[[#This Row],[Sales Date]])</f>
        <v>2024</v>
      </c>
      <c r="X556" s="23">
        <v>58</v>
      </c>
      <c r="Y556" s="18" t="s">
        <v>23</v>
      </c>
      <c r="Z556" s="18" t="s">
        <v>56</v>
      </c>
      <c r="AA556" s="19" t="s">
        <v>25</v>
      </c>
    </row>
    <row r="557" spans="1:27" x14ac:dyDescent="0.25">
      <c r="A557" s="17" t="s">
        <v>655</v>
      </c>
      <c r="B557" s="18" t="s">
        <v>51</v>
      </c>
      <c r="C557" s="63" t="str" cm="1">
        <f t="array" ref="C557">_xlfn.SWITCH(Table22[[#This Row],[Country]],"USA","North America","Canada","North America","Brazil","South America","China","Asia","Japan","Asia","India","Asia","France","Europe","Germany","Europe","UK","Europe","Australia","Oceania","South America")</f>
        <v>Europe</v>
      </c>
      <c r="D557" s="18" t="s">
        <v>21</v>
      </c>
      <c r="E557" s="18" t="s">
        <v>39</v>
      </c>
      <c r="F557" s="18" t="s">
        <v>47</v>
      </c>
      <c r="G557" s="18" t="s">
        <v>29</v>
      </c>
      <c r="H557" s="64">
        <f>LEN(TRIM(Table22[[#This Row],[Country]]))</f>
        <v>2</v>
      </c>
      <c r="I557" s="64">
        <f>LEN(TRIM(Table22[[#This Row],[Continent]]))</f>
        <v>6</v>
      </c>
      <c r="J557" s="64">
        <f>LEN(TRIM(Table22[[#This Row],[Product]]))</f>
        <v>10</v>
      </c>
      <c r="K557" s="64">
        <f>LEN(TRIM(Table22[[#This Row],[Sales Team]]))</f>
        <v>10</v>
      </c>
      <c r="L557" s="23">
        <v>77</v>
      </c>
      <c r="M557" s="65" t="str" cm="1">
        <f t="array" ref="M557">_xlfn.IFS(Table22[[#This Row],[Units Sold]]&lt;40,"Critical",Table22[[#This Row],[Units Sold]]&lt;=50,"Poor",Table22[[#This Row],[Units Sold]]&lt;=60,"Low",Table22[[#This Row],[Units Sold]]&lt;=80,"Average",Table22[[#This Row],[Units Sold]]&lt;=90,"High",Table22[[#This Row],[Units Sold]]&lt;=95,"Excellent",Table22[[#This Row],[Units Sold]]&gt;95,"Outstanding")</f>
        <v>Average</v>
      </c>
      <c r="N557" s="29">
        <v>736.1</v>
      </c>
      <c r="O557" s="29">
        <v>56679.7</v>
      </c>
      <c r="P557" s="43">
        <f>IF(Table22[[#This Row],[Discount Applied]],Table22[[#This Row],[Total Sales (in USD)]]*(1-Table22[[#This Row],[Discount Percentage (%)]]/100),Table22[[#This Row],[Total Sales (in USD)]])</f>
        <v>56679.7</v>
      </c>
      <c r="Q557" s="66">
        <f>SQRT(AVERAGE((Table22[[#This Row],[Net Sales (after discount) (in USD)]]-AVERAGE(Table22[Net Sales (after discount) (in USD)]))^2))</f>
        <v>20168.339436235459</v>
      </c>
      <c r="R557" s="18" t="b">
        <v>1</v>
      </c>
      <c r="S557" s="40">
        <v>8.6199999999999992</v>
      </c>
      <c r="T557" s="18" t="b">
        <v>0</v>
      </c>
      <c r="U557" s="25">
        <v>45259</v>
      </c>
      <c r="V557" s="63" t="str">
        <f>IF(MONTH(Table22[[#This Row],[Sales Date]])&lt;=3,"Q1",IF(MONTH(Table22[[#This Row],[Sales Date]])&lt;=6,"Q2",IF(MONTH(Table22[[#This Row],[Sales Date]])&lt;=9,"Q3","Q4")))</f>
        <v>Q4</v>
      </c>
      <c r="W557" s="64">
        <f>YEAR(Table22[[#This Row],[Sales Date]])</f>
        <v>2023</v>
      </c>
      <c r="X557" s="23">
        <v>49</v>
      </c>
      <c r="Y557" s="18" t="s">
        <v>41</v>
      </c>
      <c r="Z557" s="18" t="s">
        <v>30</v>
      </c>
      <c r="AA557" s="19" t="s">
        <v>25</v>
      </c>
    </row>
    <row r="558" spans="1:27" x14ac:dyDescent="0.25">
      <c r="A558" s="17" t="s">
        <v>934</v>
      </c>
      <c r="B558" s="18" t="s">
        <v>66</v>
      </c>
      <c r="C558" s="63" t="str" cm="1">
        <f t="array" ref="C558">_xlfn.SWITCH(Table22[[#This Row],[Country]],"USA","North America","Canada","North America","Brazil","South America","China","Asia","Japan","Asia","India","Asia","France","Europe","Germany","Europe","UK","Europe","Australia","Oceania","South America")</f>
        <v>North America</v>
      </c>
      <c r="D558" s="18" t="s">
        <v>28</v>
      </c>
      <c r="E558" s="18" t="s">
        <v>39</v>
      </c>
      <c r="F558" s="18" t="s">
        <v>20</v>
      </c>
      <c r="G558" s="18" t="s">
        <v>29</v>
      </c>
      <c r="H558" s="64">
        <f>LEN(TRIM(Table22[[#This Row],[Country]]))</f>
        <v>6</v>
      </c>
      <c r="I558" s="64">
        <f>LEN(TRIM(Table22[[#This Row],[Continent]]))</f>
        <v>13</v>
      </c>
      <c r="J558" s="64">
        <f>LEN(TRIM(Table22[[#This Row],[Product]]))</f>
        <v>10</v>
      </c>
      <c r="K558" s="64">
        <f>LEN(TRIM(Table22[[#This Row],[Sales Team]]))</f>
        <v>10</v>
      </c>
      <c r="L558" s="23">
        <v>79</v>
      </c>
      <c r="M558" s="65" t="str" cm="1">
        <f t="array" ref="M558">_xlfn.IFS(Table22[[#This Row],[Units Sold]]&lt;40,"Critical",Table22[[#This Row],[Units Sold]]&lt;=50,"Poor",Table22[[#This Row],[Units Sold]]&lt;=60,"Low",Table22[[#This Row],[Units Sold]]&lt;=80,"Average",Table22[[#This Row],[Units Sold]]&lt;=90,"High",Table22[[#This Row],[Units Sold]]&lt;=95,"Excellent",Table22[[#This Row],[Units Sold]]&gt;95,"Outstanding")</f>
        <v>Average</v>
      </c>
      <c r="N558" s="29">
        <v>716.27</v>
      </c>
      <c r="O558" s="29">
        <v>56585.33</v>
      </c>
      <c r="P558" s="43">
        <f>IF(Table22[[#This Row],[Discount Applied]],Table22[[#This Row],[Total Sales (in USD)]]*(1-Table22[[#This Row],[Discount Percentage (%)]]/100),Table22[[#This Row],[Total Sales (in USD)]])</f>
        <v>51877.430544000003</v>
      </c>
      <c r="Q558" s="66">
        <f>SQRT(AVERAGE((Table22[[#This Row],[Net Sales (after discount) (in USD)]]-AVERAGE(Table22[Net Sales (after discount) (in USD)]))^2))</f>
        <v>15366.069980235465</v>
      </c>
      <c r="R558" s="18" t="b">
        <v>1</v>
      </c>
      <c r="S558" s="40">
        <v>8.32</v>
      </c>
      <c r="T558" s="18" t="b">
        <v>1</v>
      </c>
      <c r="U558" s="25">
        <v>44986</v>
      </c>
      <c r="V558" s="63" t="str">
        <f>IF(MONTH(Table22[[#This Row],[Sales Date]])&lt;=3,"Q1",IF(MONTH(Table22[[#This Row],[Sales Date]])&lt;=6,"Q2",IF(MONTH(Table22[[#This Row],[Sales Date]])&lt;=9,"Q3","Q4")))</f>
        <v>Q1</v>
      </c>
      <c r="W558" s="64">
        <f>YEAR(Table22[[#This Row],[Sales Date]])</f>
        <v>2023</v>
      </c>
      <c r="X558" s="23">
        <v>54</v>
      </c>
      <c r="Y558" s="18" t="s">
        <v>49</v>
      </c>
      <c r="Z558" s="18" t="s">
        <v>42</v>
      </c>
      <c r="AA558" s="19" t="s">
        <v>36</v>
      </c>
    </row>
    <row r="559" spans="1:27" x14ac:dyDescent="0.25">
      <c r="A559" s="17" t="s">
        <v>1772</v>
      </c>
      <c r="B559" s="18" t="s">
        <v>27</v>
      </c>
      <c r="C559" s="63" t="str" cm="1">
        <f t="array" ref="C559">_xlfn.SWITCH(Table22[[#This Row],[Country]],"USA","North America","Canada","North America","Brazil","South America","China","Asia","Japan","Asia","India","Asia","France","Europe","Germany","Europe","UK","Europe","Australia","Oceania","South America")</f>
        <v>Europe</v>
      </c>
      <c r="D559" s="18" t="s">
        <v>35</v>
      </c>
      <c r="E559" s="18" t="s">
        <v>19</v>
      </c>
      <c r="F559" s="18" t="s">
        <v>47</v>
      </c>
      <c r="G559" s="18" t="s">
        <v>48</v>
      </c>
      <c r="H559" s="64">
        <f>LEN(TRIM(Table22[[#This Row],[Country]]))</f>
        <v>7</v>
      </c>
      <c r="I559" s="64">
        <f>LEN(TRIM(Table22[[#This Row],[Continent]]))</f>
        <v>6</v>
      </c>
      <c r="J559" s="64">
        <f>LEN(TRIM(Table22[[#This Row],[Product]]))</f>
        <v>6</v>
      </c>
      <c r="K559" s="64">
        <f>LEN(TRIM(Table22[[#This Row],[Sales Team]]))</f>
        <v>9</v>
      </c>
      <c r="L559" s="23">
        <v>61</v>
      </c>
      <c r="M559" s="65" t="str" cm="1">
        <f t="array" ref="M559">_xlfn.IFS(Table22[[#This Row],[Units Sold]]&lt;40,"Critical",Table22[[#This Row],[Units Sold]]&lt;=50,"Poor",Table22[[#This Row],[Units Sold]]&lt;=60,"Low",Table22[[#This Row],[Units Sold]]&lt;=80,"Average",Table22[[#This Row],[Units Sold]]&lt;=90,"High",Table22[[#This Row],[Units Sold]]&lt;=95,"Excellent",Table22[[#This Row],[Units Sold]]&gt;95,"Outstanding")</f>
        <v>Average</v>
      </c>
      <c r="N559" s="29">
        <v>923.66</v>
      </c>
      <c r="O559" s="29">
        <v>56343.26</v>
      </c>
      <c r="P559" s="43">
        <f>IF(Table22[[#This Row],[Discount Applied]],Table22[[#This Row],[Total Sales (in USD)]]*(1-Table22[[#This Row],[Discount Percentage (%)]]/100),Table22[[#This Row],[Total Sales (in USD)]])</f>
        <v>44742.182766000005</v>
      </c>
      <c r="Q559" s="66">
        <f>SQRT(AVERAGE((Table22[[#This Row],[Net Sales (after discount) (in USD)]]-AVERAGE(Table22[Net Sales (after discount) (in USD)]))^2))</f>
        <v>8230.8222022354676</v>
      </c>
      <c r="R559" s="18" t="b">
        <v>0</v>
      </c>
      <c r="S559" s="40">
        <v>20.59</v>
      </c>
      <c r="T559" s="18" t="b">
        <v>1</v>
      </c>
      <c r="U559" s="25">
        <v>45102</v>
      </c>
      <c r="V559" s="63" t="str">
        <f>IF(MONTH(Table22[[#This Row],[Sales Date]])&lt;=3,"Q1",IF(MONTH(Table22[[#This Row],[Sales Date]])&lt;=6,"Q2",IF(MONTH(Table22[[#This Row],[Sales Date]])&lt;=9,"Q3","Q4")))</f>
        <v>Q2</v>
      </c>
      <c r="W559" s="64">
        <f>YEAR(Table22[[#This Row],[Sales Date]])</f>
        <v>2023</v>
      </c>
      <c r="X559" s="23">
        <v>50</v>
      </c>
      <c r="Y559" s="18" t="s">
        <v>41</v>
      </c>
      <c r="Z559" s="18" t="s">
        <v>42</v>
      </c>
      <c r="AA559" s="19" t="s">
        <v>36</v>
      </c>
    </row>
    <row r="560" spans="1:27" x14ac:dyDescent="0.25">
      <c r="A560" s="17" t="s">
        <v>1729</v>
      </c>
      <c r="B560" s="18" t="s">
        <v>51</v>
      </c>
      <c r="C560" s="63" t="str" cm="1">
        <f t="array" ref="C560">_xlfn.SWITCH(Table22[[#This Row],[Country]],"USA","North America","Canada","North America","Brazil","South America","China","Asia","Japan","Asia","India","Asia","France","Europe","Germany","Europe","UK","Europe","Australia","Oceania","South America")</f>
        <v>Europe</v>
      </c>
      <c r="D560" s="18" t="s">
        <v>28</v>
      </c>
      <c r="E560" s="18" t="s">
        <v>39</v>
      </c>
      <c r="F560" s="18" t="s">
        <v>64</v>
      </c>
      <c r="G560" s="18" t="s">
        <v>48</v>
      </c>
      <c r="H560" s="64">
        <f>LEN(TRIM(Table22[[#This Row],[Country]]))</f>
        <v>2</v>
      </c>
      <c r="I560" s="64">
        <f>LEN(TRIM(Table22[[#This Row],[Continent]]))</f>
        <v>6</v>
      </c>
      <c r="J560" s="64">
        <f>LEN(TRIM(Table22[[#This Row],[Product]]))</f>
        <v>10</v>
      </c>
      <c r="K560" s="64">
        <f>LEN(TRIM(Table22[[#This Row],[Sales Team]]))</f>
        <v>9</v>
      </c>
      <c r="L560" s="23">
        <v>64</v>
      </c>
      <c r="M560" s="65" t="str" cm="1">
        <f t="array" ref="M560">_xlfn.IFS(Table22[[#This Row],[Units Sold]]&lt;40,"Critical",Table22[[#This Row],[Units Sold]]&lt;=50,"Poor",Table22[[#This Row],[Units Sold]]&lt;=60,"Low",Table22[[#This Row],[Units Sold]]&lt;=80,"Average",Table22[[#This Row],[Units Sold]]&lt;=90,"High",Table22[[#This Row],[Units Sold]]&lt;=95,"Excellent",Table22[[#This Row],[Units Sold]]&gt;95,"Outstanding")</f>
        <v>Average</v>
      </c>
      <c r="N560" s="29">
        <v>879.18</v>
      </c>
      <c r="O560" s="29">
        <v>56267.519999999997</v>
      </c>
      <c r="P560" s="43">
        <f>IF(Table22[[#This Row],[Discount Applied]],Table22[[#This Row],[Total Sales (in USD)]]*(1-Table22[[#This Row],[Discount Percentage (%)]]/100),Table22[[#This Row],[Total Sales (in USD)]])</f>
        <v>56267.519999999997</v>
      </c>
      <c r="Q560" s="66">
        <f>SQRT(AVERAGE((Table22[[#This Row],[Net Sales (after discount) (in USD)]]-AVERAGE(Table22[Net Sales (after discount) (in USD)]))^2))</f>
        <v>19756.159436235459</v>
      </c>
      <c r="R560" s="18" t="b">
        <v>1</v>
      </c>
      <c r="S560" s="40">
        <v>7.72</v>
      </c>
      <c r="T560" s="18" t="b">
        <v>0</v>
      </c>
      <c r="U560" s="25">
        <v>45268</v>
      </c>
      <c r="V560" s="63" t="str">
        <f>IF(MONTH(Table22[[#This Row],[Sales Date]])&lt;=3,"Q1",IF(MONTH(Table22[[#This Row],[Sales Date]])&lt;=6,"Q2",IF(MONTH(Table22[[#This Row],[Sales Date]])&lt;=9,"Q3","Q4")))</f>
        <v>Q4</v>
      </c>
      <c r="W560" s="64">
        <f>YEAR(Table22[[#This Row],[Sales Date]])</f>
        <v>2023</v>
      </c>
      <c r="X560" s="23">
        <v>65</v>
      </c>
      <c r="Y560" s="18" t="s">
        <v>49</v>
      </c>
      <c r="Z560" s="18" t="s">
        <v>30</v>
      </c>
      <c r="AA560" s="19" t="s">
        <v>25</v>
      </c>
    </row>
    <row r="561" spans="1:27" x14ac:dyDescent="0.25">
      <c r="A561" s="17" t="s">
        <v>266</v>
      </c>
      <c r="B561" s="18" t="s">
        <v>76</v>
      </c>
      <c r="C561" s="63" t="str" cm="1">
        <f t="array" ref="C561">_xlfn.SWITCH(Table22[[#This Row],[Country]],"USA","North America","Canada","North America","Brazil","South America","China","Asia","Japan","Asia","India","Asia","France","Europe","Germany","Europe","UK","Europe","Australia","Oceania","South America")</f>
        <v>Asia</v>
      </c>
      <c r="D561" s="18" t="s">
        <v>28</v>
      </c>
      <c r="E561" s="18" t="s">
        <v>39</v>
      </c>
      <c r="F561" s="18" t="s">
        <v>34</v>
      </c>
      <c r="G561" s="18" t="s">
        <v>40</v>
      </c>
      <c r="H561" s="64">
        <f>LEN(TRIM(Table22[[#This Row],[Country]]))</f>
        <v>5</v>
      </c>
      <c r="I561" s="64">
        <f>LEN(TRIM(Table22[[#This Row],[Continent]]))</f>
        <v>4</v>
      </c>
      <c r="J561" s="64">
        <f>LEN(TRIM(Table22[[#This Row],[Product]]))</f>
        <v>10</v>
      </c>
      <c r="K561" s="64">
        <f>LEN(TRIM(Table22[[#This Row],[Sales Team]]))</f>
        <v>10</v>
      </c>
      <c r="L561" s="23">
        <v>94</v>
      </c>
      <c r="M561" s="65" t="str" cm="1">
        <f t="array" ref="M561">_xlfn.IFS(Table22[[#This Row],[Units Sold]]&lt;40,"Critical",Table22[[#This Row],[Units Sold]]&lt;=50,"Poor",Table22[[#This Row],[Units Sold]]&lt;=60,"Low",Table22[[#This Row],[Units Sold]]&lt;=80,"Average",Table22[[#This Row],[Units Sold]]&lt;=90,"High",Table22[[#This Row],[Units Sold]]&lt;=95,"Excellent",Table22[[#This Row],[Units Sold]]&gt;95,"Outstanding")</f>
        <v>Excellent</v>
      </c>
      <c r="N561" s="29">
        <v>598.4</v>
      </c>
      <c r="O561" s="29">
        <v>56249.599999999999</v>
      </c>
      <c r="P561" s="43">
        <f>IF(Table22[[#This Row],[Discount Applied]],Table22[[#This Row],[Total Sales (in USD)]]*(1-Table22[[#This Row],[Discount Percentage (%)]]/100),Table22[[#This Row],[Total Sales (in USD)]])</f>
        <v>46180.921599999994</v>
      </c>
      <c r="Q561" s="66">
        <f>SQRT(AVERAGE((Table22[[#This Row],[Net Sales (after discount) (in USD)]]-AVERAGE(Table22[Net Sales (after discount) (in USD)]))^2))</f>
        <v>9669.5610362354564</v>
      </c>
      <c r="R561" s="18" t="b">
        <v>1</v>
      </c>
      <c r="S561" s="40">
        <v>17.899999999999999</v>
      </c>
      <c r="T561" s="18" t="b">
        <v>1</v>
      </c>
      <c r="U561" s="25">
        <v>45182</v>
      </c>
      <c r="V561" s="63" t="str">
        <f>IF(MONTH(Table22[[#This Row],[Sales Date]])&lt;=3,"Q1",IF(MONTH(Table22[[#This Row],[Sales Date]])&lt;=6,"Q2",IF(MONTH(Table22[[#This Row],[Sales Date]])&lt;=9,"Q3","Q4")))</f>
        <v>Q3</v>
      </c>
      <c r="W561" s="64">
        <f>YEAR(Table22[[#This Row],[Sales Date]])</f>
        <v>2023</v>
      </c>
      <c r="X561" s="23">
        <v>50</v>
      </c>
      <c r="Y561" s="18" t="s">
        <v>23</v>
      </c>
      <c r="Z561" s="18" t="s">
        <v>24</v>
      </c>
      <c r="AA561" s="19" t="s">
        <v>25</v>
      </c>
    </row>
    <row r="562" spans="1:27" x14ac:dyDescent="0.25">
      <c r="A562" s="17" t="s">
        <v>1771</v>
      </c>
      <c r="B562" s="18" t="s">
        <v>32</v>
      </c>
      <c r="C562" s="63" t="str" cm="1">
        <f t="array" ref="C562">_xlfn.SWITCH(Table22[[#This Row],[Country]],"USA","North America","Canada","North America","Brazil","South America","China","Asia","Japan","Asia","India","Asia","France","Europe","Germany","Europe","UK","Europe","Australia","Oceania","South America")</f>
        <v>Asia</v>
      </c>
      <c r="D562" s="18" t="s">
        <v>28</v>
      </c>
      <c r="E562" s="18" t="s">
        <v>19</v>
      </c>
      <c r="F562" s="18" t="s">
        <v>64</v>
      </c>
      <c r="G562" s="18" t="s">
        <v>48</v>
      </c>
      <c r="H562" s="64">
        <f>LEN(TRIM(Table22[[#This Row],[Country]]))</f>
        <v>5</v>
      </c>
      <c r="I562" s="64">
        <f>LEN(TRIM(Table22[[#This Row],[Continent]]))</f>
        <v>4</v>
      </c>
      <c r="J562" s="64">
        <f>LEN(TRIM(Table22[[#This Row],[Product]]))</f>
        <v>6</v>
      </c>
      <c r="K562" s="64">
        <f>LEN(TRIM(Table22[[#This Row],[Sales Team]]))</f>
        <v>9</v>
      </c>
      <c r="L562" s="23">
        <v>55</v>
      </c>
      <c r="M562" s="65" t="str" cm="1">
        <f t="array" ref="M562">_xlfn.IFS(Table22[[#This Row],[Units Sold]]&lt;40,"Critical",Table22[[#This Row],[Units Sold]]&lt;=50,"Poor",Table22[[#This Row],[Units Sold]]&lt;=60,"Low",Table22[[#This Row],[Units Sold]]&lt;=80,"Average",Table22[[#This Row],[Units Sold]]&lt;=90,"High",Table22[[#This Row],[Units Sold]]&lt;=95,"Excellent",Table22[[#This Row],[Units Sold]]&gt;95,"Outstanding")</f>
        <v>Low</v>
      </c>
      <c r="N562" s="29">
        <v>1022.52</v>
      </c>
      <c r="O562" s="29">
        <v>56238.6</v>
      </c>
      <c r="P562" s="43">
        <f>IF(Table22[[#This Row],[Discount Applied]],Table22[[#This Row],[Total Sales (in USD)]]*(1-Table22[[#This Row],[Discount Percentage (%)]]/100),Table22[[#This Row],[Total Sales (in USD)]])</f>
        <v>53364.807539999994</v>
      </c>
      <c r="Q562" s="66">
        <f>SQRT(AVERAGE((Table22[[#This Row],[Net Sales (after discount) (in USD)]]-AVERAGE(Table22[Net Sales (after discount) (in USD)]))^2))</f>
        <v>16853.446976235457</v>
      </c>
      <c r="R562" s="18" t="b">
        <v>1</v>
      </c>
      <c r="S562" s="40">
        <v>5.1100000000000003</v>
      </c>
      <c r="T562" s="18" t="b">
        <v>1</v>
      </c>
      <c r="U562" s="25">
        <v>45227</v>
      </c>
      <c r="V562" s="63" t="str">
        <f>IF(MONTH(Table22[[#This Row],[Sales Date]])&lt;=3,"Q1",IF(MONTH(Table22[[#This Row],[Sales Date]])&lt;=6,"Q2",IF(MONTH(Table22[[#This Row],[Sales Date]])&lt;=9,"Q3","Q4")))</f>
        <v>Q4</v>
      </c>
      <c r="W562" s="64">
        <f>YEAR(Table22[[#This Row],[Sales Date]])</f>
        <v>2023</v>
      </c>
      <c r="X562" s="23">
        <v>54</v>
      </c>
      <c r="Y562" s="18" t="s">
        <v>41</v>
      </c>
      <c r="Z562" s="18" t="s">
        <v>56</v>
      </c>
      <c r="AA562" s="19" t="s">
        <v>36</v>
      </c>
    </row>
    <row r="563" spans="1:27" x14ac:dyDescent="0.25">
      <c r="A563" s="17" t="s">
        <v>1710</v>
      </c>
      <c r="B563" s="18" t="s">
        <v>76</v>
      </c>
      <c r="C563" s="63" t="str" cm="1">
        <f t="array" ref="C563">_xlfn.SWITCH(Table22[[#This Row],[Country]],"USA","North America","Canada","North America","Brazil","South America","China","Asia","Japan","Asia","India","Asia","France","Europe","Germany","Europe","UK","Europe","Australia","Oceania","South America")</f>
        <v>Asia</v>
      </c>
      <c r="D563" s="18" t="s">
        <v>21</v>
      </c>
      <c r="E563" s="18" t="s">
        <v>33</v>
      </c>
      <c r="F563" s="18" t="s">
        <v>20</v>
      </c>
      <c r="G563" s="18" t="s">
        <v>40</v>
      </c>
      <c r="H563" s="64">
        <f>LEN(TRIM(Table22[[#This Row],[Country]]))</f>
        <v>5</v>
      </c>
      <c r="I563" s="64">
        <f>LEN(TRIM(Table22[[#This Row],[Continent]]))</f>
        <v>4</v>
      </c>
      <c r="J563" s="64">
        <f>LEN(TRIM(Table22[[#This Row],[Product]]))</f>
        <v>10</v>
      </c>
      <c r="K563" s="64">
        <f>LEN(TRIM(Table22[[#This Row],[Sales Team]]))</f>
        <v>10</v>
      </c>
      <c r="L563" s="23">
        <v>57</v>
      </c>
      <c r="M563" s="65" t="str" cm="1">
        <f t="array" ref="M563">_xlfn.IFS(Table22[[#This Row],[Units Sold]]&lt;40,"Critical",Table22[[#This Row],[Units Sold]]&lt;=50,"Poor",Table22[[#This Row],[Units Sold]]&lt;=60,"Low",Table22[[#This Row],[Units Sold]]&lt;=80,"Average",Table22[[#This Row],[Units Sold]]&lt;=90,"High",Table22[[#This Row],[Units Sold]]&lt;=95,"Excellent",Table22[[#This Row],[Units Sold]]&gt;95,"Outstanding")</f>
        <v>Low</v>
      </c>
      <c r="N563" s="29">
        <v>985.99</v>
      </c>
      <c r="O563" s="29">
        <v>56201.43</v>
      </c>
      <c r="P563" s="43">
        <f>IF(Table22[[#This Row],[Discount Applied]],Table22[[#This Row],[Total Sales (in USD)]]*(1-Table22[[#This Row],[Discount Percentage (%)]]/100),Table22[[#This Row],[Total Sales (in USD)]])</f>
        <v>45950.289168000003</v>
      </c>
      <c r="Q563" s="66">
        <f>SQRT(AVERAGE((Table22[[#This Row],[Net Sales (after discount) (in USD)]]-AVERAGE(Table22[Net Sales (after discount) (in USD)]))^2))</f>
        <v>9438.9286042354652</v>
      </c>
      <c r="R563" s="18" t="b">
        <v>1</v>
      </c>
      <c r="S563" s="40">
        <v>18.239999999999998</v>
      </c>
      <c r="T563" s="18" t="b">
        <v>1</v>
      </c>
      <c r="U563" s="25">
        <v>45354</v>
      </c>
      <c r="V563" s="63" t="str">
        <f>IF(MONTH(Table22[[#This Row],[Sales Date]])&lt;=3,"Q1",IF(MONTH(Table22[[#This Row],[Sales Date]])&lt;=6,"Q2",IF(MONTH(Table22[[#This Row],[Sales Date]])&lt;=9,"Q3","Q4")))</f>
        <v>Q1</v>
      </c>
      <c r="W563" s="64">
        <f>YEAR(Table22[[#This Row],[Sales Date]])</f>
        <v>2024</v>
      </c>
      <c r="X563" s="23">
        <v>65</v>
      </c>
      <c r="Y563" s="18" t="s">
        <v>49</v>
      </c>
      <c r="Z563" s="18" t="s">
        <v>56</v>
      </c>
      <c r="AA563" s="19" t="s">
        <v>36</v>
      </c>
    </row>
    <row r="564" spans="1:27" x14ac:dyDescent="0.25">
      <c r="A564" s="17" t="s">
        <v>855</v>
      </c>
      <c r="B564" s="18" t="s">
        <v>46</v>
      </c>
      <c r="C564" s="63" t="str" cm="1">
        <f t="array" ref="C564">_xlfn.SWITCH(Table22[[#This Row],[Country]],"USA","North America","Canada","North America","Brazil","South America","China","Asia","Japan","Asia","India","Asia","France","Europe","Germany","Europe","UK","Europe","Australia","Oceania","South America")</f>
        <v>South America</v>
      </c>
      <c r="D564" s="18" t="s">
        <v>21</v>
      </c>
      <c r="E564" s="18" t="s">
        <v>19</v>
      </c>
      <c r="F564" s="18" t="s">
        <v>34</v>
      </c>
      <c r="G564" s="18" t="s">
        <v>22</v>
      </c>
      <c r="H564" s="64">
        <f>LEN(TRIM(Table22[[#This Row],[Country]]))</f>
        <v>6</v>
      </c>
      <c r="I564" s="64">
        <f>LEN(TRIM(Table22[[#This Row],[Continent]]))</f>
        <v>13</v>
      </c>
      <c r="J564" s="64">
        <f>LEN(TRIM(Table22[[#This Row],[Product]]))</f>
        <v>6</v>
      </c>
      <c r="K564" s="64">
        <f>LEN(TRIM(Table22[[#This Row],[Sales Team]]))</f>
        <v>10</v>
      </c>
      <c r="L564" s="23">
        <v>44</v>
      </c>
      <c r="M564" s="65" t="str" cm="1">
        <f t="array" ref="M564">_xlfn.IFS(Table22[[#This Row],[Units Sold]]&lt;40,"Critical",Table22[[#This Row],[Units Sold]]&lt;=50,"Poor",Table22[[#This Row],[Units Sold]]&lt;=60,"Low",Table22[[#This Row],[Units Sold]]&lt;=80,"Average",Table22[[#This Row],[Units Sold]]&lt;=90,"High",Table22[[#This Row],[Units Sold]]&lt;=95,"Excellent",Table22[[#This Row],[Units Sold]]&gt;95,"Outstanding")</f>
        <v>Poor</v>
      </c>
      <c r="N564" s="29">
        <v>1274.56</v>
      </c>
      <c r="O564" s="29">
        <v>56080.639999999999</v>
      </c>
      <c r="P564" s="43">
        <f>IF(Table22[[#This Row],[Discount Applied]],Table22[[#This Row],[Total Sales (in USD)]]*(1-Table22[[#This Row],[Discount Percentage (%)]]/100),Table22[[#This Row],[Total Sales (in USD)]])</f>
        <v>56080.639999999999</v>
      </c>
      <c r="Q564" s="66">
        <f>SQRT(AVERAGE((Table22[[#This Row],[Net Sales (after discount) (in USD)]]-AVERAGE(Table22[Net Sales (after discount) (in USD)]))^2))</f>
        <v>19569.279436235462</v>
      </c>
      <c r="R564" s="18" t="b">
        <v>1</v>
      </c>
      <c r="S564" s="40">
        <v>10.46</v>
      </c>
      <c r="T564" s="18" t="b">
        <v>0</v>
      </c>
      <c r="U564" s="25">
        <v>45062</v>
      </c>
      <c r="V564" s="63" t="str">
        <f>IF(MONTH(Table22[[#This Row],[Sales Date]])&lt;=3,"Q1",IF(MONTH(Table22[[#This Row],[Sales Date]])&lt;=6,"Q2",IF(MONTH(Table22[[#This Row],[Sales Date]])&lt;=9,"Q3","Q4")))</f>
        <v>Q2</v>
      </c>
      <c r="W564" s="64">
        <f>YEAR(Table22[[#This Row],[Sales Date]])</f>
        <v>2023</v>
      </c>
      <c r="X564" s="23">
        <v>40</v>
      </c>
      <c r="Y564" s="18" t="s">
        <v>49</v>
      </c>
      <c r="Z564" s="18" t="s">
        <v>24</v>
      </c>
      <c r="AA564" s="19" t="s">
        <v>36</v>
      </c>
    </row>
    <row r="565" spans="1:27" x14ac:dyDescent="0.25">
      <c r="A565" s="17" t="s">
        <v>656</v>
      </c>
      <c r="B565" s="18" t="s">
        <v>18</v>
      </c>
      <c r="C565" s="63" t="str" cm="1">
        <f t="array" ref="C565">_xlfn.SWITCH(Table22[[#This Row],[Country]],"USA","North America","Canada","North America","Brazil","South America","China","Asia","Japan","Asia","India","Asia","France","Europe","Germany","Europe","UK","Europe","Australia","Oceania","South America")</f>
        <v>Asia</v>
      </c>
      <c r="D565" s="18" t="s">
        <v>21</v>
      </c>
      <c r="E565" s="18" t="s">
        <v>39</v>
      </c>
      <c r="F565" s="18" t="s">
        <v>64</v>
      </c>
      <c r="G565" s="18" t="s">
        <v>40</v>
      </c>
      <c r="H565" s="64">
        <f>LEN(TRIM(Table22[[#This Row],[Country]]))</f>
        <v>5</v>
      </c>
      <c r="I565" s="64">
        <f>LEN(TRIM(Table22[[#This Row],[Continent]]))</f>
        <v>4</v>
      </c>
      <c r="J565" s="64">
        <f>LEN(TRIM(Table22[[#This Row],[Product]]))</f>
        <v>10</v>
      </c>
      <c r="K565" s="64">
        <f>LEN(TRIM(Table22[[#This Row],[Sales Team]]))</f>
        <v>10</v>
      </c>
      <c r="L565" s="23">
        <v>58</v>
      </c>
      <c r="M565" s="65" t="str" cm="1">
        <f t="array" ref="M565">_xlfn.IFS(Table22[[#This Row],[Units Sold]]&lt;40,"Critical",Table22[[#This Row],[Units Sold]]&lt;=50,"Poor",Table22[[#This Row],[Units Sold]]&lt;=60,"Low",Table22[[#This Row],[Units Sold]]&lt;=80,"Average",Table22[[#This Row],[Units Sold]]&lt;=90,"High",Table22[[#This Row],[Units Sold]]&lt;=95,"Excellent",Table22[[#This Row],[Units Sold]]&gt;95,"Outstanding")</f>
        <v>Low</v>
      </c>
      <c r="N565" s="29">
        <v>964.08</v>
      </c>
      <c r="O565" s="29">
        <v>55916.639999999999</v>
      </c>
      <c r="P565" s="43">
        <f>IF(Table22[[#This Row],[Discount Applied]],Table22[[#This Row],[Total Sales (in USD)]]*(1-Table22[[#This Row],[Discount Percentage (%)]]/100),Table22[[#This Row],[Total Sales (in USD)]])</f>
        <v>55916.639999999999</v>
      </c>
      <c r="Q565" s="66">
        <f>SQRT(AVERAGE((Table22[[#This Row],[Net Sales (after discount) (in USD)]]-AVERAGE(Table22[Net Sales (after discount) (in USD)]))^2))</f>
        <v>19405.279436235462</v>
      </c>
      <c r="R565" s="18" t="b">
        <v>0</v>
      </c>
      <c r="S565" s="40">
        <v>20.92</v>
      </c>
      <c r="T565" s="18" t="b">
        <v>0</v>
      </c>
      <c r="U565" s="25">
        <v>45376</v>
      </c>
      <c r="V565" s="63" t="str">
        <f>IF(MONTH(Table22[[#This Row],[Sales Date]])&lt;=3,"Q1",IF(MONTH(Table22[[#This Row],[Sales Date]])&lt;=6,"Q2",IF(MONTH(Table22[[#This Row],[Sales Date]])&lt;=9,"Q3","Q4")))</f>
        <v>Q1</v>
      </c>
      <c r="W565" s="64">
        <f>YEAR(Table22[[#This Row],[Sales Date]])</f>
        <v>2024</v>
      </c>
      <c r="X565" s="23">
        <v>66</v>
      </c>
      <c r="Y565" s="18" t="s">
        <v>49</v>
      </c>
      <c r="Z565" s="18" t="s">
        <v>24</v>
      </c>
      <c r="AA565" s="19" t="s">
        <v>25</v>
      </c>
    </row>
    <row r="566" spans="1:27" x14ac:dyDescent="0.25">
      <c r="A566" s="17" t="s">
        <v>524</v>
      </c>
      <c r="B566" s="18" t="s">
        <v>46</v>
      </c>
      <c r="C566" s="63" t="str" cm="1">
        <f t="array" ref="C566">_xlfn.SWITCH(Table22[[#This Row],[Country]],"USA","North America","Canada","North America","Brazil","South America","China","Asia","Japan","Asia","India","Asia","France","Europe","Germany","Europe","UK","Europe","Australia","Oceania","South America")</f>
        <v>South America</v>
      </c>
      <c r="D566" s="18" t="s">
        <v>21</v>
      </c>
      <c r="E566" s="18" t="s">
        <v>39</v>
      </c>
      <c r="F566" s="18" t="s">
        <v>47</v>
      </c>
      <c r="G566" s="18" t="s">
        <v>22</v>
      </c>
      <c r="H566" s="64">
        <f>LEN(TRIM(Table22[[#This Row],[Country]]))</f>
        <v>6</v>
      </c>
      <c r="I566" s="64">
        <f>LEN(TRIM(Table22[[#This Row],[Continent]]))</f>
        <v>13</v>
      </c>
      <c r="J566" s="64">
        <f>LEN(TRIM(Table22[[#This Row],[Product]]))</f>
        <v>10</v>
      </c>
      <c r="K566" s="64">
        <f>LEN(TRIM(Table22[[#This Row],[Sales Team]]))</f>
        <v>10</v>
      </c>
      <c r="L566" s="23">
        <v>80</v>
      </c>
      <c r="M566" s="65" t="str" cm="1">
        <f t="array" ref="M566">_xlfn.IFS(Table22[[#This Row],[Units Sold]]&lt;40,"Critical",Table22[[#This Row],[Units Sold]]&lt;=50,"Poor",Table22[[#This Row],[Units Sold]]&lt;=60,"Low",Table22[[#This Row],[Units Sold]]&lt;=80,"Average",Table22[[#This Row],[Units Sold]]&lt;=90,"High",Table22[[#This Row],[Units Sold]]&lt;=95,"Excellent",Table22[[#This Row],[Units Sold]]&gt;95,"Outstanding")</f>
        <v>Average</v>
      </c>
      <c r="N566" s="29">
        <v>698.38</v>
      </c>
      <c r="O566" s="29">
        <v>55870.400000000001</v>
      </c>
      <c r="P566" s="43">
        <f>IF(Table22[[#This Row],[Discount Applied]],Table22[[#This Row],[Total Sales (in USD)]]*(1-Table22[[#This Row],[Discount Percentage (%)]]/100),Table22[[#This Row],[Total Sales (in USD)]])</f>
        <v>55870.400000000001</v>
      </c>
      <c r="Q566" s="66">
        <f>SQRT(AVERAGE((Table22[[#This Row],[Net Sales (after discount) (in USD)]]-AVERAGE(Table22[Net Sales (after discount) (in USD)]))^2))</f>
        <v>19359.039436235464</v>
      </c>
      <c r="R566" s="18" t="b">
        <v>0</v>
      </c>
      <c r="S566" s="40">
        <v>15.96</v>
      </c>
      <c r="T566" s="18" t="b">
        <v>0</v>
      </c>
      <c r="U566" s="25">
        <v>45446</v>
      </c>
      <c r="V566" s="63" t="str">
        <f>IF(MONTH(Table22[[#This Row],[Sales Date]])&lt;=3,"Q1",IF(MONTH(Table22[[#This Row],[Sales Date]])&lt;=6,"Q2",IF(MONTH(Table22[[#This Row],[Sales Date]])&lt;=9,"Q3","Q4")))</f>
        <v>Q2</v>
      </c>
      <c r="W566" s="64">
        <f>YEAR(Table22[[#This Row],[Sales Date]])</f>
        <v>2024</v>
      </c>
      <c r="X566" s="23">
        <v>31</v>
      </c>
      <c r="Y566" s="18" t="s">
        <v>41</v>
      </c>
      <c r="Z566" s="18" t="s">
        <v>30</v>
      </c>
      <c r="AA566" s="19" t="s">
        <v>36</v>
      </c>
    </row>
    <row r="567" spans="1:27" x14ac:dyDescent="0.25">
      <c r="A567" s="17" t="s">
        <v>738</v>
      </c>
      <c r="B567" s="18" t="s">
        <v>62</v>
      </c>
      <c r="C567" s="63" t="str" cm="1">
        <f t="array" ref="C567">_xlfn.SWITCH(Table22[[#This Row],[Country]],"USA","North America","Canada","North America","Brazil","South America","China","Asia","Japan","Asia","India","Asia","France","Europe","Germany","Europe","UK","Europe","Australia","Oceania","South America")</f>
        <v>Oceania</v>
      </c>
      <c r="D567" s="18" t="s">
        <v>21</v>
      </c>
      <c r="E567" s="18" t="s">
        <v>33</v>
      </c>
      <c r="F567" s="18" t="s">
        <v>47</v>
      </c>
      <c r="G567" s="18" t="s">
        <v>29</v>
      </c>
      <c r="H567" s="64">
        <f>LEN(TRIM(Table22[[#This Row],[Country]]))</f>
        <v>9</v>
      </c>
      <c r="I567" s="64">
        <f>LEN(TRIM(Table22[[#This Row],[Continent]]))</f>
        <v>7</v>
      </c>
      <c r="J567" s="64">
        <f>LEN(TRIM(Table22[[#This Row],[Product]]))</f>
        <v>10</v>
      </c>
      <c r="K567" s="64">
        <f>LEN(TRIM(Table22[[#This Row],[Sales Team]]))</f>
        <v>10</v>
      </c>
      <c r="L567" s="23">
        <v>55</v>
      </c>
      <c r="M567" s="65" t="str" cm="1">
        <f t="array" ref="M567">_xlfn.IFS(Table22[[#This Row],[Units Sold]]&lt;40,"Critical",Table22[[#This Row],[Units Sold]]&lt;=50,"Poor",Table22[[#This Row],[Units Sold]]&lt;=60,"Low",Table22[[#This Row],[Units Sold]]&lt;=80,"Average",Table22[[#This Row],[Units Sold]]&lt;=90,"High",Table22[[#This Row],[Units Sold]]&lt;=95,"Excellent",Table22[[#This Row],[Units Sold]]&gt;95,"Outstanding")</f>
        <v>Low</v>
      </c>
      <c r="N567" s="29">
        <v>1014.42</v>
      </c>
      <c r="O567" s="29">
        <v>55793.1</v>
      </c>
      <c r="P567" s="43">
        <f>IF(Table22[[#This Row],[Discount Applied]],Table22[[#This Row],[Total Sales (in USD)]]*(1-Table22[[#This Row],[Discount Percentage (%)]]/100),Table22[[#This Row],[Total Sales (in USD)]])</f>
        <v>47585.934990000002</v>
      </c>
      <c r="Q567" s="66">
        <f>SQRT(AVERAGE((Table22[[#This Row],[Net Sales (after discount) (in USD)]]-AVERAGE(Table22[Net Sales (after discount) (in USD)]))^2))</f>
        <v>11074.574426235464</v>
      </c>
      <c r="R567" s="18" t="b">
        <v>0</v>
      </c>
      <c r="S567" s="40">
        <v>14.71</v>
      </c>
      <c r="T567" s="18" t="b">
        <v>1</v>
      </c>
      <c r="U567" s="25">
        <v>45213</v>
      </c>
      <c r="V567" s="63" t="str">
        <f>IF(MONTH(Table22[[#This Row],[Sales Date]])&lt;=3,"Q1",IF(MONTH(Table22[[#This Row],[Sales Date]])&lt;=6,"Q2",IF(MONTH(Table22[[#This Row],[Sales Date]])&lt;=9,"Q3","Q4")))</f>
        <v>Q4</v>
      </c>
      <c r="W567" s="64">
        <f>YEAR(Table22[[#This Row],[Sales Date]])</f>
        <v>2023</v>
      </c>
      <c r="X567" s="23">
        <v>19</v>
      </c>
      <c r="Y567" s="18" t="s">
        <v>41</v>
      </c>
      <c r="Z567" s="18" t="s">
        <v>42</v>
      </c>
      <c r="AA567" s="19" t="s">
        <v>25</v>
      </c>
    </row>
    <row r="568" spans="1:27" x14ac:dyDescent="0.25">
      <c r="A568" s="17" t="s">
        <v>1097</v>
      </c>
      <c r="B568" s="18" t="s">
        <v>62</v>
      </c>
      <c r="C568" s="63" t="str" cm="1">
        <f t="array" ref="C568">_xlfn.SWITCH(Table22[[#This Row],[Country]],"USA","North America","Canada","North America","Brazil","South America","China","Asia","Japan","Asia","India","Asia","France","Europe","Germany","Europe","UK","Europe","Australia","Oceania","South America")</f>
        <v>Oceania</v>
      </c>
      <c r="D568" s="18" t="s">
        <v>44</v>
      </c>
      <c r="E568" s="18" t="s">
        <v>33</v>
      </c>
      <c r="F568" s="18" t="s">
        <v>34</v>
      </c>
      <c r="G568" s="18" t="s">
        <v>40</v>
      </c>
      <c r="H568" s="64">
        <f>LEN(TRIM(Table22[[#This Row],[Country]]))</f>
        <v>9</v>
      </c>
      <c r="I568" s="64">
        <f>LEN(TRIM(Table22[[#This Row],[Continent]]))</f>
        <v>7</v>
      </c>
      <c r="J568" s="64">
        <f>LEN(TRIM(Table22[[#This Row],[Product]]))</f>
        <v>10</v>
      </c>
      <c r="K568" s="64">
        <f>LEN(TRIM(Table22[[#This Row],[Sales Team]]))</f>
        <v>10</v>
      </c>
      <c r="L568" s="23">
        <v>47</v>
      </c>
      <c r="M568" s="65" t="str" cm="1">
        <f t="array" ref="M568">_xlfn.IFS(Table22[[#This Row],[Units Sold]]&lt;40,"Critical",Table22[[#This Row],[Units Sold]]&lt;=50,"Poor",Table22[[#This Row],[Units Sold]]&lt;=60,"Low",Table22[[#This Row],[Units Sold]]&lt;=80,"Average",Table22[[#This Row],[Units Sold]]&lt;=90,"High",Table22[[#This Row],[Units Sold]]&lt;=95,"Excellent",Table22[[#This Row],[Units Sold]]&gt;95,"Outstanding")</f>
        <v>Poor</v>
      </c>
      <c r="N568" s="29">
        <v>1186.68</v>
      </c>
      <c r="O568" s="29">
        <v>55773.96</v>
      </c>
      <c r="P568" s="43">
        <f>IF(Table22[[#This Row],[Discount Applied]],Table22[[#This Row],[Total Sales (in USD)]]*(1-Table22[[#This Row],[Discount Percentage (%)]]/100),Table22[[#This Row],[Total Sales (in USD)]])</f>
        <v>51752.657483999996</v>
      </c>
      <c r="Q568" s="66">
        <f>SQRT(AVERAGE((Table22[[#This Row],[Net Sales (after discount) (in USD)]]-AVERAGE(Table22[Net Sales (after discount) (in USD)]))^2))</f>
        <v>15241.296920235458</v>
      </c>
      <c r="R568" s="18" t="b">
        <v>0</v>
      </c>
      <c r="S568" s="40">
        <v>7.21</v>
      </c>
      <c r="T568" s="18" t="b">
        <v>1</v>
      </c>
      <c r="U568" s="25">
        <v>45389</v>
      </c>
      <c r="V568" s="63" t="str">
        <f>IF(MONTH(Table22[[#This Row],[Sales Date]])&lt;=3,"Q1",IF(MONTH(Table22[[#This Row],[Sales Date]])&lt;=6,"Q2",IF(MONTH(Table22[[#This Row],[Sales Date]])&lt;=9,"Q3","Q4")))</f>
        <v>Q2</v>
      </c>
      <c r="W568" s="64">
        <f>YEAR(Table22[[#This Row],[Sales Date]])</f>
        <v>2024</v>
      </c>
      <c r="X568" s="23">
        <v>43</v>
      </c>
      <c r="Y568" s="18" t="s">
        <v>41</v>
      </c>
      <c r="Z568" s="18" t="s">
        <v>24</v>
      </c>
      <c r="AA568" s="19" t="s">
        <v>36</v>
      </c>
    </row>
    <row r="569" spans="1:27" x14ac:dyDescent="0.25">
      <c r="A569" s="17" t="s">
        <v>99</v>
      </c>
      <c r="B569" s="18" t="s">
        <v>27</v>
      </c>
      <c r="C569" s="63" t="str" cm="1">
        <f t="array" ref="C569">_xlfn.SWITCH(Table22[[#This Row],[Country]],"USA","North America","Canada","North America","Brazil","South America","China","Asia","Japan","Asia","India","Asia","France","Europe","Germany","Europe","UK","Europe","Australia","Oceania","South America")</f>
        <v>Europe</v>
      </c>
      <c r="D569" s="18" t="s">
        <v>28</v>
      </c>
      <c r="E569" s="18" t="s">
        <v>39</v>
      </c>
      <c r="F569" s="18" t="s">
        <v>47</v>
      </c>
      <c r="G569" s="18" t="s">
        <v>48</v>
      </c>
      <c r="H569" s="64">
        <f>LEN(TRIM(Table22[[#This Row],[Country]]))</f>
        <v>7</v>
      </c>
      <c r="I569" s="64">
        <f>LEN(TRIM(Table22[[#This Row],[Continent]]))</f>
        <v>6</v>
      </c>
      <c r="J569" s="64">
        <f>LEN(TRIM(Table22[[#This Row],[Product]]))</f>
        <v>10</v>
      </c>
      <c r="K569" s="64">
        <f>LEN(TRIM(Table22[[#This Row],[Sales Team]]))</f>
        <v>9</v>
      </c>
      <c r="L569" s="23">
        <v>94</v>
      </c>
      <c r="M569" s="65" t="str" cm="1">
        <f t="array" ref="M569">_xlfn.IFS(Table22[[#This Row],[Units Sold]]&lt;40,"Critical",Table22[[#This Row],[Units Sold]]&lt;=50,"Poor",Table22[[#This Row],[Units Sold]]&lt;=60,"Low",Table22[[#This Row],[Units Sold]]&lt;=80,"Average",Table22[[#This Row],[Units Sold]]&lt;=90,"High",Table22[[#This Row],[Units Sold]]&lt;=95,"Excellent",Table22[[#This Row],[Units Sold]]&gt;95,"Outstanding")</f>
        <v>Excellent</v>
      </c>
      <c r="N569" s="29">
        <v>593.24</v>
      </c>
      <c r="O569" s="29">
        <v>55764.56</v>
      </c>
      <c r="P569" s="43">
        <f>IF(Table22[[#This Row],[Discount Applied]],Table22[[#This Row],[Total Sales (in USD)]]*(1-Table22[[#This Row],[Discount Percentage (%)]]/100),Table22[[#This Row],[Total Sales (in USD)]])</f>
        <v>46630.325072</v>
      </c>
      <c r="Q569" s="66">
        <f>SQRT(AVERAGE((Table22[[#This Row],[Net Sales (after discount) (in USD)]]-AVERAGE(Table22[Net Sales (after discount) (in USD)]))^2))</f>
        <v>10118.964508235462</v>
      </c>
      <c r="R569" s="18" t="b">
        <v>1</v>
      </c>
      <c r="S569" s="40">
        <v>16.38</v>
      </c>
      <c r="T569" s="18" t="b">
        <v>1</v>
      </c>
      <c r="U569" s="25">
        <v>45517</v>
      </c>
      <c r="V569" s="63" t="str">
        <f>IF(MONTH(Table22[[#This Row],[Sales Date]])&lt;=3,"Q1",IF(MONTH(Table22[[#This Row],[Sales Date]])&lt;=6,"Q2",IF(MONTH(Table22[[#This Row],[Sales Date]])&lt;=9,"Q3","Q4")))</f>
        <v>Q3</v>
      </c>
      <c r="W569" s="64">
        <f>YEAR(Table22[[#This Row],[Sales Date]])</f>
        <v>2024</v>
      </c>
      <c r="X569" s="23">
        <v>53</v>
      </c>
      <c r="Y569" s="18" t="s">
        <v>41</v>
      </c>
      <c r="Z569" s="18" t="s">
        <v>24</v>
      </c>
      <c r="AA569" s="19" t="s">
        <v>36</v>
      </c>
    </row>
    <row r="570" spans="1:27" x14ac:dyDescent="0.25">
      <c r="A570" s="17" t="s">
        <v>1486</v>
      </c>
      <c r="B570" s="18" t="s">
        <v>46</v>
      </c>
      <c r="C570" s="63" t="str" cm="1">
        <f t="array" ref="C570">_xlfn.SWITCH(Table22[[#This Row],[Country]],"USA","North America","Canada","North America","Brazil","South America","China","Asia","Japan","Asia","India","Asia","France","Europe","Germany","Europe","UK","Europe","Australia","Oceania","South America")</f>
        <v>South America</v>
      </c>
      <c r="D570" s="18" t="s">
        <v>35</v>
      </c>
      <c r="E570" s="18" t="s">
        <v>19</v>
      </c>
      <c r="F570" s="18" t="s">
        <v>52</v>
      </c>
      <c r="G570" s="18" t="s">
        <v>22</v>
      </c>
      <c r="H570" s="64">
        <f>LEN(TRIM(Table22[[#This Row],[Country]]))</f>
        <v>6</v>
      </c>
      <c r="I570" s="64">
        <f>LEN(TRIM(Table22[[#This Row],[Continent]]))</f>
        <v>13</v>
      </c>
      <c r="J570" s="64">
        <f>LEN(TRIM(Table22[[#This Row],[Product]]))</f>
        <v>6</v>
      </c>
      <c r="K570" s="64">
        <f>LEN(TRIM(Table22[[#This Row],[Sales Team]]))</f>
        <v>10</v>
      </c>
      <c r="L570" s="23">
        <v>51</v>
      </c>
      <c r="M570" s="65" t="str" cm="1">
        <f t="array" ref="M570">_xlfn.IFS(Table22[[#This Row],[Units Sold]]&lt;40,"Critical",Table22[[#This Row],[Units Sold]]&lt;=50,"Poor",Table22[[#This Row],[Units Sold]]&lt;=60,"Low",Table22[[#This Row],[Units Sold]]&lt;=80,"Average",Table22[[#This Row],[Units Sold]]&lt;=90,"High",Table22[[#This Row],[Units Sold]]&lt;=95,"Excellent",Table22[[#This Row],[Units Sold]]&gt;95,"Outstanding")</f>
        <v>Low</v>
      </c>
      <c r="N570" s="29">
        <v>1089.6099999999999</v>
      </c>
      <c r="O570" s="29">
        <v>55570.11</v>
      </c>
      <c r="P570" s="43">
        <f>IF(Table22[[#This Row],[Discount Applied]],Table22[[#This Row],[Total Sales (in USD)]]*(1-Table22[[#This Row],[Discount Percentage (%)]]/100),Table22[[#This Row],[Total Sales (in USD)]])</f>
        <v>55570.11</v>
      </c>
      <c r="Q570" s="66">
        <f>SQRT(AVERAGE((Table22[[#This Row],[Net Sales (after discount) (in USD)]]-AVERAGE(Table22[Net Sales (after discount) (in USD)]))^2))</f>
        <v>19058.749436235463</v>
      </c>
      <c r="R570" s="18" t="b">
        <v>1</v>
      </c>
      <c r="S570" s="40">
        <v>9.91</v>
      </c>
      <c r="T570" s="18" t="b">
        <v>0</v>
      </c>
      <c r="U570" s="25">
        <v>45474</v>
      </c>
      <c r="V570" s="63" t="str">
        <f>IF(MONTH(Table22[[#This Row],[Sales Date]])&lt;=3,"Q1",IF(MONTH(Table22[[#This Row],[Sales Date]])&lt;=6,"Q2",IF(MONTH(Table22[[#This Row],[Sales Date]])&lt;=9,"Q3","Q4")))</f>
        <v>Q3</v>
      </c>
      <c r="W570" s="64">
        <f>YEAR(Table22[[#This Row],[Sales Date]])</f>
        <v>2024</v>
      </c>
      <c r="X570" s="23">
        <v>38</v>
      </c>
      <c r="Y570" s="18" t="s">
        <v>23</v>
      </c>
      <c r="Z570" s="18" t="s">
        <v>42</v>
      </c>
      <c r="AA570" s="19" t="s">
        <v>36</v>
      </c>
    </row>
    <row r="571" spans="1:27" x14ac:dyDescent="0.25">
      <c r="A571" s="17" t="s">
        <v>1913</v>
      </c>
      <c r="B571" s="18" t="s">
        <v>18</v>
      </c>
      <c r="C571" s="63" t="str" cm="1">
        <f t="array" ref="C571">_xlfn.SWITCH(Table22[[#This Row],[Country]],"USA","North America","Canada","North America","Brazil","South America","China","Asia","Japan","Asia","India","Asia","France","Europe","Germany","Europe","UK","Europe","Australia","Oceania","South America")</f>
        <v>Asia</v>
      </c>
      <c r="D571" s="18" t="s">
        <v>28</v>
      </c>
      <c r="E571" s="18" t="s">
        <v>33</v>
      </c>
      <c r="F571" s="18" t="s">
        <v>64</v>
      </c>
      <c r="G571" s="18" t="s">
        <v>29</v>
      </c>
      <c r="H571" s="64">
        <f>LEN(TRIM(Table22[[#This Row],[Country]]))</f>
        <v>5</v>
      </c>
      <c r="I571" s="64">
        <f>LEN(TRIM(Table22[[#This Row],[Continent]]))</f>
        <v>4</v>
      </c>
      <c r="J571" s="64">
        <f>LEN(TRIM(Table22[[#This Row],[Product]]))</f>
        <v>10</v>
      </c>
      <c r="K571" s="64">
        <f>LEN(TRIM(Table22[[#This Row],[Sales Team]]))</f>
        <v>10</v>
      </c>
      <c r="L571" s="23">
        <v>75</v>
      </c>
      <c r="M571" s="65" t="str" cm="1">
        <f t="array" ref="M571">_xlfn.IFS(Table22[[#This Row],[Units Sold]]&lt;40,"Critical",Table22[[#This Row],[Units Sold]]&lt;=50,"Poor",Table22[[#This Row],[Units Sold]]&lt;=60,"Low",Table22[[#This Row],[Units Sold]]&lt;=80,"Average",Table22[[#This Row],[Units Sold]]&lt;=90,"High",Table22[[#This Row],[Units Sold]]&lt;=95,"Excellent",Table22[[#This Row],[Units Sold]]&gt;95,"Outstanding")</f>
        <v>Average</v>
      </c>
      <c r="N571" s="29">
        <v>740.91</v>
      </c>
      <c r="O571" s="29">
        <v>55568.25</v>
      </c>
      <c r="P571" s="43">
        <f>IF(Table22[[#This Row],[Discount Applied]],Table22[[#This Row],[Total Sales (in USD)]]*(1-Table22[[#This Row],[Discount Percentage (%)]]/100),Table22[[#This Row],[Total Sales (in USD)]])</f>
        <v>54290.180249999998</v>
      </c>
      <c r="Q571" s="66">
        <f>SQRT(AVERAGE((Table22[[#This Row],[Net Sales (after discount) (in USD)]]-AVERAGE(Table22[Net Sales (after discount) (in USD)]))^2))</f>
        <v>17778.81968623546</v>
      </c>
      <c r="R571" s="18" t="b">
        <v>0</v>
      </c>
      <c r="S571" s="40">
        <v>2.2999999999999998</v>
      </c>
      <c r="T571" s="18" t="b">
        <v>1</v>
      </c>
      <c r="U571" s="25">
        <v>45516</v>
      </c>
      <c r="V571" s="63" t="str">
        <f>IF(MONTH(Table22[[#This Row],[Sales Date]])&lt;=3,"Q1",IF(MONTH(Table22[[#This Row],[Sales Date]])&lt;=6,"Q2",IF(MONTH(Table22[[#This Row],[Sales Date]])&lt;=9,"Q3","Q4")))</f>
        <v>Q3</v>
      </c>
      <c r="W571" s="64">
        <f>YEAR(Table22[[#This Row],[Sales Date]])</f>
        <v>2024</v>
      </c>
      <c r="X571" s="23">
        <v>64</v>
      </c>
      <c r="Y571" s="18" t="s">
        <v>23</v>
      </c>
      <c r="Z571" s="18" t="s">
        <v>42</v>
      </c>
      <c r="AA571" s="19" t="s">
        <v>36</v>
      </c>
    </row>
    <row r="572" spans="1:27" x14ac:dyDescent="0.25">
      <c r="A572" s="17" t="s">
        <v>1068</v>
      </c>
      <c r="B572" s="18" t="s">
        <v>62</v>
      </c>
      <c r="C572" s="63" t="str" cm="1">
        <f t="array" ref="C572">_xlfn.SWITCH(Table22[[#This Row],[Country]],"USA","North America","Canada","North America","Brazil","South America","China","Asia","Japan","Asia","India","Asia","France","Europe","Germany","Europe","UK","Europe","Australia","Oceania","South America")</f>
        <v>Oceania</v>
      </c>
      <c r="D572" s="18" t="s">
        <v>35</v>
      </c>
      <c r="E572" s="18" t="s">
        <v>33</v>
      </c>
      <c r="F572" s="18" t="s">
        <v>47</v>
      </c>
      <c r="G572" s="18" t="s">
        <v>40</v>
      </c>
      <c r="H572" s="64">
        <f>LEN(TRIM(Table22[[#This Row],[Country]]))</f>
        <v>9</v>
      </c>
      <c r="I572" s="64">
        <f>LEN(TRIM(Table22[[#This Row],[Continent]]))</f>
        <v>7</v>
      </c>
      <c r="J572" s="64">
        <f>LEN(TRIM(Table22[[#This Row],[Product]]))</f>
        <v>10</v>
      </c>
      <c r="K572" s="64">
        <f>LEN(TRIM(Table22[[#This Row],[Sales Team]]))</f>
        <v>10</v>
      </c>
      <c r="L572" s="23">
        <v>47</v>
      </c>
      <c r="M572" s="65" t="str" cm="1">
        <f t="array" ref="M572">_xlfn.IFS(Table22[[#This Row],[Units Sold]]&lt;40,"Critical",Table22[[#This Row],[Units Sold]]&lt;=50,"Poor",Table22[[#This Row],[Units Sold]]&lt;=60,"Low",Table22[[#This Row],[Units Sold]]&lt;=80,"Average",Table22[[#This Row],[Units Sold]]&lt;=90,"High",Table22[[#This Row],[Units Sold]]&lt;=95,"Excellent",Table22[[#This Row],[Units Sold]]&gt;95,"Outstanding")</f>
        <v>Poor</v>
      </c>
      <c r="N572" s="29">
        <v>1180.94</v>
      </c>
      <c r="O572" s="29">
        <v>55504.18</v>
      </c>
      <c r="P572" s="43">
        <f>IF(Table22[[#This Row],[Discount Applied]],Table22[[#This Row],[Total Sales (in USD)]]*(1-Table22[[#This Row],[Discount Percentage (%)]]/100),Table22[[#This Row],[Total Sales (in USD)]])</f>
        <v>55504.18</v>
      </c>
      <c r="Q572" s="66">
        <f>SQRT(AVERAGE((Table22[[#This Row],[Net Sales (after discount) (in USD)]]-AVERAGE(Table22[Net Sales (after discount) (in USD)]))^2))</f>
        <v>18992.819436235462</v>
      </c>
      <c r="R572" s="18" t="b">
        <v>0</v>
      </c>
      <c r="S572" s="40">
        <v>8.44</v>
      </c>
      <c r="T572" s="18" t="b">
        <v>0</v>
      </c>
      <c r="U572" s="25">
        <v>44945</v>
      </c>
      <c r="V572" s="63" t="str">
        <f>IF(MONTH(Table22[[#This Row],[Sales Date]])&lt;=3,"Q1",IF(MONTH(Table22[[#This Row],[Sales Date]])&lt;=6,"Q2",IF(MONTH(Table22[[#This Row],[Sales Date]])&lt;=9,"Q3","Q4")))</f>
        <v>Q1</v>
      </c>
      <c r="W572" s="64">
        <f>YEAR(Table22[[#This Row],[Sales Date]])</f>
        <v>2023</v>
      </c>
      <c r="X572" s="23">
        <v>23</v>
      </c>
      <c r="Y572" s="18" t="s">
        <v>23</v>
      </c>
      <c r="Z572" s="18" t="s">
        <v>56</v>
      </c>
      <c r="AA572" s="19" t="s">
        <v>25</v>
      </c>
    </row>
    <row r="573" spans="1:27" x14ac:dyDescent="0.25">
      <c r="A573" s="17" t="s">
        <v>1617</v>
      </c>
      <c r="B573" s="18" t="s">
        <v>27</v>
      </c>
      <c r="C573" s="63" t="str" cm="1">
        <f t="array" ref="C573">_xlfn.SWITCH(Table22[[#This Row],[Country]],"USA","North America","Canada","North America","Brazil","South America","China","Asia","Japan","Asia","India","Asia","France","Europe","Germany","Europe","UK","Europe","Australia","Oceania","South America")</f>
        <v>Europe</v>
      </c>
      <c r="D573" s="18" t="s">
        <v>44</v>
      </c>
      <c r="E573" s="18" t="s">
        <v>33</v>
      </c>
      <c r="F573" s="18" t="s">
        <v>34</v>
      </c>
      <c r="G573" s="18" t="s">
        <v>40</v>
      </c>
      <c r="H573" s="64">
        <f>LEN(TRIM(Table22[[#This Row],[Country]]))</f>
        <v>7</v>
      </c>
      <c r="I573" s="64">
        <f>LEN(TRIM(Table22[[#This Row],[Continent]]))</f>
        <v>6</v>
      </c>
      <c r="J573" s="64">
        <f>LEN(TRIM(Table22[[#This Row],[Product]]))</f>
        <v>10</v>
      </c>
      <c r="K573" s="64">
        <f>LEN(TRIM(Table22[[#This Row],[Sales Team]]))</f>
        <v>10</v>
      </c>
      <c r="L573" s="23">
        <v>51</v>
      </c>
      <c r="M573" s="65" t="str" cm="1">
        <f t="array" ref="M573">_xlfn.IFS(Table22[[#This Row],[Units Sold]]&lt;40,"Critical",Table22[[#This Row],[Units Sold]]&lt;=50,"Poor",Table22[[#This Row],[Units Sold]]&lt;=60,"Low",Table22[[#This Row],[Units Sold]]&lt;=80,"Average",Table22[[#This Row],[Units Sold]]&lt;=90,"High",Table22[[#This Row],[Units Sold]]&lt;=95,"Excellent",Table22[[#This Row],[Units Sold]]&gt;95,"Outstanding")</f>
        <v>Low</v>
      </c>
      <c r="N573" s="29">
        <v>1086.8599999999999</v>
      </c>
      <c r="O573" s="29">
        <v>55429.86</v>
      </c>
      <c r="P573" s="43">
        <f>IF(Table22[[#This Row],[Discount Applied]],Table22[[#This Row],[Total Sales (in USD)]]*(1-Table22[[#This Row],[Discount Percentage (%)]]/100),Table22[[#This Row],[Total Sales (in USD)]])</f>
        <v>42115.607628000005</v>
      </c>
      <c r="Q573" s="66">
        <f>SQRT(AVERAGE((Table22[[#This Row],[Net Sales (after discount) (in USD)]]-AVERAGE(Table22[Net Sales (after discount) (in USD)]))^2))</f>
        <v>5604.2470642354674</v>
      </c>
      <c r="R573" s="18" t="b">
        <v>1</v>
      </c>
      <c r="S573" s="40">
        <v>24.02</v>
      </c>
      <c r="T573" s="18" t="b">
        <v>1</v>
      </c>
      <c r="U573" s="25">
        <v>45098</v>
      </c>
      <c r="V573" s="63" t="str">
        <f>IF(MONTH(Table22[[#This Row],[Sales Date]])&lt;=3,"Q1",IF(MONTH(Table22[[#This Row],[Sales Date]])&lt;=6,"Q2",IF(MONTH(Table22[[#This Row],[Sales Date]])&lt;=9,"Q3","Q4")))</f>
        <v>Q2</v>
      </c>
      <c r="W573" s="64">
        <f>YEAR(Table22[[#This Row],[Sales Date]])</f>
        <v>2023</v>
      </c>
      <c r="X573" s="23">
        <v>69</v>
      </c>
      <c r="Y573" s="18" t="s">
        <v>49</v>
      </c>
      <c r="Z573" s="18" t="s">
        <v>24</v>
      </c>
      <c r="AA573" s="19" t="s">
        <v>36</v>
      </c>
    </row>
    <row r="574" spans="1:27" x14ac:dyDescent="0.25">
      <c r="A574" s="17" t="s">
        <v>1130</v>
      </c>
      <c r="B574" s="18" t="s">
        <v>72</v>
      </c>
      <c r="C574" s="63" t="str" cm="1">
        <f t="array" ref="C574">_xlfn.SWITCH(Table22[[#This Row],[Country]],"USA","North America","Canada","North America","Brazil","South America","China","Asia","Japan","Asia","India","Asia","France","Europe","Germany","Europe","UK","Europe","Australia","Oceania","South America")</f>
        <v>North America</v>
      </c>
      <c r="D574" s="18" t="s">
        <v>35</v>
      </c>
      <c r="E574" s="18" t="s">
        <v>33</v>
      </c>
      <c r="F574" s="18" t="s">
        <v>20</v>
      </c>
      <c r="G574" s="18" t="s">
        <v>22</v>
      </c>
      <c r="H574" s="64">
        <f>LEN(TRIM(Table22[[#This Row],[Country]]))</f>
        <v>3</v>
      </c>
      <c r="I574" s="64">
        <f>LEN(TRIM(Table22[[#This Row],[Continent]]))</f>
        <v>13</v>
      </c>
      <c r="J574" s="64">
        <f>LEN(TRIM(Table22[[#This Row],[Product]]))</f>
        <v>10</v>
      </c>
      <c r="K574" s="64">
        <f>LEN(TRIM(Table22[[#This Row],[Sales Team]]))</f>
        <v>10</v>
      </c>
      <c r="L574" s="23">
        <v>71</v>
      </c>
      <c r="M574" s="65" t="str" cm="1">
        <f t="array" ref="M574">_xlfn.IFS(Table22[[#This Row],[Units Sold]]&lt;40,"Critical",Table22[[#This Row],[Units Sold]]&lt;=50,"Poor",Table22[[#This Row],[Units Sold]]&lt;=60,"Low",Table22[[#This Row],[Units Sold]]&lt;=80,"Average",Table22[[#This Row],[Units Sold]]&lt;=90,"High",Table22[[#This Row],[Units Sold]]&lt;=95,"Excellent",Table22[[#This Row],[Units Sold]]&gt;95,"Outstanding")</f>
        <v>Average</v>
      </c>
      <c r="N574" s="29">
        <v>779.12</v>
      </c>
      <c r="O574" s="29">
        <v>55317.52</v>
      </c>
      <c r="P574" s="43">
        <f>IF(Table22[[#This Row],[Discount Applied]],Table22[[#This Row],[Total Sales (in USD)]]*(1-Table22[[#This Row],[Discount Percentage (%)]]/100),Table22[[#This Row],[Total Sales (in USD)]])</f>
        <v>48474.742775999992</v>
      </c>
      <c r="Q574" s="66">
        <f>SQRT(AVERAGE((Table22[[#This Row],[Net Sales (after discount) (in USD)]]-AVERAGE(Table22[Net Sales (after discount) (in USD)]))^2))</f>
        <v>11963.382212235454</v>
      </c>
      <c r="R574" s="18" t="b">
        <v>1</v>
      </c>
      <c r="S574" s="40">
        <v>12.37</v>
      </c>
      <c r="T574" s="18" t="b">
        <v>1</v>
      </c>
      <c r="U574" s="25">
        <v>45304</v>
      </c>
      <c r="V574" s="63" t="str">
        <f>IF(MONTH(Table22[[#This Row],[Sales Date]])&lt;=3,"Q1",IF(MONTH(Table22[[#This Row],[Sales Date]])&lt;=6,"Q2",IF(MONTH(Table22[[#This Row],[Sales Date]])&lt;=9,"Q3","Q4")))</f>
        <v>Q1</v>
      </c>
      <c r="W574" s="64">
        <f>YEAR(Table22[[#This Row],[Sales Date]])</f>
        <v>2024</v>
      </c>
      <c r="X574" s="23">
        <v>61</v>
      </c>
      <c r="Y574" s="18" t="s">
        <v>49</v>
      </c>
      <c r="Z574" s="18" t="s">
        <v>56</v>
      </c>
      <c r="AA574" s="19" t="s">
        <v>36</v>
      </c>
    </row>
    <row r="575" spans="1:27" x14ac:dyDescent="0.25">
      <c r="A575" s="17" t="s">
        <v>440</v>
      </c>
      <c r="B575" s="18" t="s">
        <v>38</v>
      </c>
      <c r="C575" s="63" t="str" cm="1">
        <f t="array" ref="C575">_xlfn.SWITCH(Table22[[#This Row],[Country]],"USA","North America","Canada","North America","Brazil","South America","China","Asia","Japan","Asia","India","Asia","France","Europe","Germany","Europe","UK","Europe","Australia","Oceania","South America")</f>
        <v>Europe</v>
      </c>
      <c r="D575" s="18" t="s">
        <v>35</v>
      </c>
      <c r="E575" s="18" t="s">
        <v>33</v>
      </c>
      <c r="F575" s="18" t="s">
        <v>64</v>
      </c>
      <c r="G575" s="18" t="s">
        <v>40</v>
      </c>
      <c r="H575" s="64">
        <f>LEN(TRIM(Table22[[#This Row],[Country]]))</f>
        <v>6</v>
      </c>
      <c r="I575" s="64">
        <f>LEN(TRIM(Table22[[#This Row],[Continent]]))</f>
        <v>6</v>
      </c>
      <c r="J575" s="64">
        <f>LEN(TRIM(Table22[[#This Row],[Product]]))</f>
        <v>10</v>
      </c>
      <c r="K575" s="64">
        <f>LEN(TRIM(Table22[[#This Row],[Sales Team]]))</f>
        <v>10</v>
      </c>
      <c r="L575" s="23">
        <v>81</v>
      </c>
      <c r="M575" s="65" t="str" cm="1">
        <f t="array" ref="M575">_xlfn.IFS(Table22[[#This Row],[Units Sold]]&lt;40,"Critical",Table22[[#This Row],[Units Sold]]&lt;=50,"Poor",Table22[[#This Row],[Units Sold]]&lt;=60,"Low",Table22[[#This Row],[Units Sold]]&lt;=80,"Average",Table22[[#This Row],[Units Sold]]&lt;=90,"High",Table22[[#This Row],[Units Sold]]&lt;=95,"Excellent",Table22[[#This Row],[Units Sold]]&gt;95,"Outstanding")</f>
        <v>High</v>
      </c>
      <c r="N575" s="29">
        <v>681.08</v>
      </c>
      <c r="O575" s="29">
        <v>55167.48</v>
      </c>
      <c r="P575" s="43">
        <f>IF(Table22[[#This Row],[Discount Applied]],Table22[[#This Row],[Total Sales (in USD)]]*(1-Table22[[#This Row],[Discount Percentage (%)]]/100),Table22[[#This Row],[Total Sales (in USD)]])</f>
        <v>55167.48</v>
      </c>
      <c r="Q575" s="66">
        <f>SQRT(AVERAGE((Table22[[#This Row],[Net Sales (after discount) (in USD)]]-AVERAGE(Table22[Net Sales (after discount) (in USD)]))^2))</f>
        <v>18656.119436235465</v>
      </c>
      <c r="R575" s="18" t="b">
        <v>1</v>
      </c>
      <c r="S575" s="40">
        <v>29.43</v>
      </c>
      <c r="T575" s="18" t="b">
        <v>0</v>
      </c>
      <c r="U575" s="25">
        <v>45451</v>
      </c>
      <c r="V575" s="63" t="str">
        <f>IF(MONTH(Table22[[#This Row],[Sales Date]])&lt;=3,"Q1",IF(MONTH(Table22[[#This Row],[Sales Date]])&lt;=6,"Q2",IF(MONTH(Table22[[#This Row],[Sales Date]])&lt;=9,"Q3","Q4")))</f>
        <v>Q2</v>
      </c>
      <c r="W575" s="64">
        <f>YEAR(Table22[[#This Row],[Sales Date]])</f>
        <v>2024</v>
      </c>
      <c r="X575" s="23">
        <v>39</v>
      </c>
      <c r="Y575" s="18" t="s">
        <v>49</v>
      </c>
      <c r="Z575" s="18" t="s">
        <v>42</v>
      </c>
      <c r="AA575" s="19" t="s">
        <v>36</v>
      </c>
    </row>
    <row r="576" spans="1:27" x14ac:dyDescent="0.25">
      <c r="A576" s="17" t="s">
        <v>1921</v>
      </c>
      <c r="B576" s="18" t="s">
        <v>72</v>
      </c>
      <c r="C576" s="63" t="str" cm="1">
        <f t="array" ref="C576">_xlfn.SWITCH(Table22[[#This Row],[Country]],"USA","North America","Canada","North America","Brazil","South America","China","Asia","Japan","Asia","India","Asia","France","Europe","Germany","Europe","UK","Europe","Australia","Oceania","South America")</f>
        <v>North America</v>
      </c>
      <c r="D576" s="18" t="s">
        <v>44</v>
      </c>
      <c r="E576" s="18" t="s">
        <v>33</v>
      </c>
      <c r="F576" s="18" t="s">
        <v>34</v>
      </c>
      <c r="G576" s="18" t="s">
        <v>40</v>
      </c>
      <c r="H576" s="64">
        <f>LEN(TRIM(Table22[[#This Row],[Country]]))</f>
        <v>3</v>
      </c>
      <c r="I576" s="64">
        <f>LEN(TRIM(Table22[[#This Row],[Continent]]))</f>
        <v>13</v>
      </c>
      <c r="J576" s="64">
        <f>LEN(TRIM(Table22[[#This Row],[Product]]))</f>
        <v>10</v>
      </c>
      <c r="K576" s="64">
        <f>LEN(TRIM(Table22[[#This Row],[Sales Team]]))</f>
        <v>10</v>
      </c>
      <c r="L576" s="23">
        <v>85</v>
      </c>
      <c r="M576" s="65" t="str" cm="1">
        <f t="array" ref="M576">_xlfn.IFS(Table22[[#This Row],[Units Sold]]&lt;40,"Critical",Table22[[#This Row],[Units Sold]]&lt;=50,"Poor",Table22[[#This Row],[Units Sold]]&lt;=60,"Low",Table22[[#This Row],[Units Sold]]&lt;=80,"Average",Table22[[#This Row],[Units Sold]]&lt;=90,"High",Table22[[#This Row],[Units Sold]]&lt;=95,"Excellent",Table22[[#This Row],[Units Sold]]&gt;95,"Outstanding")</f>
        <v>High</v>
      </c>
      <c r="N576" s="29">
        <v>648.37</v>
      </c>
      <c r="O576" s="29">
        <v>55111.45</v>
      </c>
      <c r="P576" s="43">
        <f>IF(Table22[[#This Row],[Discount Applied]],Table22[[#This Row],[Total Sales (in USD)]]*(1-Table22[[#This Row],[Discount Percentage (%)]]/100),Table22[[#This Row],[Total Sales (in USD)]])</f>
        <v>41344.609789999995</v>
      </c>
      <c r="Q576" s="66">
        <f>SQRT(AVERAGE((Table22[[#This Row],[Net Sales (after discount) (in USD)]]-AVERAGE(Table22[Net Sales (after discount) (in USD)]))^2))</f>
        <v>4833.2492262354572</v>
      </c>
      <c r="R576" s="18" t="b">
        <v>0</v>
      </c>
      <c r="S576" s="40">
        <v>24.98</v>
      </c>
      <c r="T576" s="18" t="b">
        <v>1</v>
      </c>
      <c r="U576" s="25">
        <v>45048</v>
      </c>
      <c r="V576" s="63" t="str">
        <f>IF(MONTH(Table22[[#This Row],[Sales Date]])&lt;=3,"Q1",IF(MONTH(Table22[[#This Row],[Sales Date]])&lt;=6,"Q2",IF(MONTH(Table22[[#This Row],[Sales Date]])&lt;=9,"Q3","Q4")))</f>
        <v>Q2</v>
      </c>
      <c r="W576" s="64">
        <f>YEAR(Table22[[#This Row],[Sales Date]])</f>
        <v>2023</v>
      </c>
      <c r="X576" s="23">
        <v>61</v>
      </c>
      <c r="Y576" s="18" t="s">
        <v>49</v>
      </c>
      <c r="Z576" s="18" t="s">
        <v>42</v>
      </c>
      <c r="AA576" s="19" t="s">
        <v>36</v>
      </c>
    </row>
    <row r="577" spans="1:27" x14ac:dyDescent="0.25">
      <c r="A577" s="17" t="s">
        <v>398</v>
      </c>
      <c r="B577" s="18" t="s">
        <v>51</v>
      </c>
      <c r="C577" s="63" t="str" cm="1">
        <f t="array" ref="C577">_xlfn.SWITCH(Table22[[#This Row],[Country]],"USA","North America","Canada","North America","Brazil","South America","China","Asia","Japan","Asia","India","Asia","France","Europe","Germany","Europe","UK","Europe","Australia","Oceania","South America")</f>
        <v>Europe</v>
      </c>
      <c r="D577" s="18" t="s">
        <v>21</v>
      </c>
      <c r="E577" s="18" t="s">
        <v>39</v>
      </c>
      <c r="F577" s="18" t="s">
        <v>64</v>
      </c>
      <c r="G577" s="18" t="s">
        <v>40</v>
      </c>
      <c r="H577" s="64">
        <f>LEN(TRIM(Table22[[#This Row],[Country]]))</f>
        <v>2</v>
      </c>
      <c r="I577" s="64">
        <f>LEN(TRIM(Table22[[#This Row],[Continent]]))</f>
        <v>6</v>
      </c>
      <c r="J577" s="64">
        <f>LEN(TRIM(Table22[[#This Row],[Product]]))</f>
        <v>10</v>
      </c>
      <c r="K577" s="64">
        <f>LEN(TRIM(Table22[[#This Row],[Sales Team]]))</f>
        <v>10</v>
      </c>
      <c r="L577" s="23">
        <v>39</v>
      </c>
      <c r="M577" s="65" t="str" cm="1">
        <f t="array" ref="M577">_xlfn.IFS(Table22[[#This Row],[Units Sold]]&lt;40,"Critical",Table22[[#This Row],[Units Sold]]&lt;=50,"Poor",Table22[[#This Row],[Units Sold]]&lt;=60,"Low",Table22[[#This Row],[Units Sold]]&lt;=80,"Average",Table22[[#This Row],[Units Sold]]&lt;=90,"High",Table22[[#This Row],[Units Sold]]&lt;=95,"Excellent",Table22[[#This Row],[Units Sold]]&gt;95,"Outstanding")</f>
        <v>Critical</v>
      </c>
      <c r="N577" s="29">
        <v>1409.73</v>
      </c>
      <c r="O577" s="29">
        <v>54979.47</v>
      </c>
      <c r="P577" s="43">
        <f>IF(Table22[[#This Row],[Discount Applied]],Table22[[#This Row],[Total Sales (in USD)]]*(1-Table22[[#This Row],[Discount Percentage (%)]]/100),Table22[[#This Row],[Total Sales (in USD)]])</f>
        <v>48480.896646000001</v>
      </c>
      <c r="Q577" s="66">
        <f>SQRT(AVERAGE((Table22[[#This Row],[Net Sales (after discount) (in USD)]]-AVERAGE(Table22[Net Sales (after discount) (in USD)]))^2))</f>
        <v>11969.536082235463</v>
      </c>
      <c r="R577" s="18" t="b">
        <v>1</v>
      </c>
      <c r="S577" s="40">
        <v>11.82</v>
      </c>
      <c r="T577" s="18" t="b">
        <v>1</v>
      </c>
      <c r="U577" s="25">
        <v>45050</v>
      </c>
      <c r="V577" s="63" t="str">
        <f>IF(MONTH(Table22[[#This Row],[Sales Date]])&lt;=3,"Q1",IF(MONTH(Table22[[#This Row],[Sales Date]])&lt;=6,"Q2",IF(MONTH(Table22[[#This Row],[Sales Date]])&lt;=9,"Q3","Q4")))</f>
        <v>Q2</v>
      </c>
      <c r="W577" s="64">
        <f>YEAR(Table22[[#This Row],[Sales Date]])</f>
        <v>2023</v>
      </c>
      <c r="X577" s="23">
        <v>62</v>
      </c>
      <c r="Y577" s="18" t="s">
        <v>41</v>
      </c>
      <c r="Z577" s="18" t="s">
        <v>24</v>
      </c>
      <c r="AA577" s="19" t="s">
        <v>25</v>
      </c>
    </row>
    <row r="578" spans="1:27" x14ac:dyDescent="0.25">
      <c r="A578" s="17" t="s">
        <v>690</v>
      </c>
      <c r="B578" s="18" t="s">
        <v>18</v>
      </c>
      <c r="C578" s="63" t="str" cm="1">
        <f t="array" ref="C578">_xlfn.SWITCH(Table22[[#This Row],[Country]],"USA","North America","Canada","North America","Brazil","South America","China","Asia","Japan","Asia","India","Asia","France","Europe","Germany","Europe","UK","Europe","Australia","Oceania","South America")</f>
        <v>Asia</v>
      </c>
      <c r="D578" s="18" t="s">
        <v>35</v>
      </c>
      <c r="E578" s="18" t="s">
        <v>19</v>
      </c>
      <c r="F578" s="18" t="s">
        <v>64</v>
      </c>
      <c r="G578" s="18" t="s">
        <v>22</v>
      </c>
      <c r="H578" s="64">
        <f>LEN(TRIM(Table22[[#This Row],[Country]]))</f>
        <v>5</v>
      </c>
      <c r="I578" s="64">
        <f>LEN(TRIM(Table22[[#This Row],[Continent]]))</f>
        <v>4</v>
      </c>
      <c r="J578" s="64">
        <f>LEN(TRIM(Table22[[#This Row],[Product]]))</f>
        <v>6</v>
      </c>
      <c r="K578" s="64">
        <f>LEN(TRIM(Table22[[#This Row],[Sales Team]]))</f>
        <v>10</v>
      </c>
      <c r="L578" s="23">
        <v>49</v>
      </c>
      <c r="M578" s="65" t="str" cm="1">
        <f t="array" ref="M578">_xlfn.IFS(Table22[[#This Row],[Units Sold]]&lt;40,"Critical",Table22[[#This Row],[Units Sold]]&lt;=50,"Poor",Table22[[#This Row],[Units Sold]]&lt;=60,"Low",Table22[[#This Row],[Units Sold]]&lt;=80,"Average",Table22[[#This Row],[Units Sold]]&lt;=90,"High",Table22[[#This Row],[Units Sold]]&lt;=95,"Excellent",Table22[[#This Row],[Units Sold]]&gt;95,"Outstanding")</f>
        <v>Poor</v>
      </c>
      <c r="N578" s="29">
        <v>1121.47</v>
      </c>
      <c r="O578" s="29">
        <v>54952.03</v>
      </c>
      <c r="P578" s="43">
        <f>IF(Table22[[#This Row],[Discount Applied]],Table22[[#This Row],[Total Sales (in USD)]]*(1-Table22[[#This Row],[Discount Percentage (%)]]/100),Table22[[#This Row],[Total Sales (in USD)]])</f>
        <v>54952.03</v>
      </c>
      <c r="Q578" s="66">
        <f>SQRT(AVERAGE((Table22[[#This Row],[Net Sales (after discount) (in USD)]]-AVERAGE(Table22[Net Sales (after discount) (in USD)]))^2))</f>
        <v>18440.669436235461</v>
      </c>
      <c r="R578" s="18" t="b">
        <v>0</v>
      </c>
      <c r="S578" s="40">
        <v>28.79</v>
      </c>
      <c r="T578" s="18" t="b">
        <v>0</v>
      </c>
      <c r="U578" s="25">
        <v>45181</v>
      </c>
      <c r="V578" s="63" t="str">
        <f>IF(MONTH(Table22[[#This Row],[Sales Date]])&lt;=3,"Q1",IF(MONTH(Table22[[#This Row],[Sales Date]])&lt;=6,"Q2",IF(MONTH(Table22[[#This Row],[Sales Date]])&lt;=9,"Q3","Q4")))</f>
        <v>Q3</v>
      </c>
      <c r="W578" s="64">
        <f>YEAR(Table22[[#This Row],[Sales Date]])</f>
        <v>2023</v>
      </c>
      <c r="X578" s="23">
        <v>60</v>
      </c>
      <c r="Y578" s="18" t="s">
        <v>49</v>
      </c>
      <c r="Z578" s="18" t="s">
        <v>42</v>
      </c>
      <c r="AA578" s="19" t="s">
        <v>36</v>
      </c>
    </row>
    <row r="579" spans="1:27" x14ac:dyDescent="0.25">
      <c r="A579" s="17" t="s">
        <v>211</v>
      </c>
      <c r="B579" s="18" t="s">
        <v>32</v>
      </c>
      <c r="C579" s="63" t="str" cm="1">
        <f t="array" ref="C579">_xlfn.SWITCH(Table22[[#This Row],[Country]],"USA","North America","Canada","North America","Brazil","South America","China","Asia","Japan","Asia","India","Asia","France","Europe","Germany","Europe","UK","Europe","Australia","Oceania","South America")</f>
        <v>Asia</v>
      </c>
      <c r="D579" s="18" t="s">
        <v>28</v>
      </c>
      <c r="E579" s="18" t="s">
        <v>19</v>
      </c>
      <c r="F579" s="18" t="s">
        <v>64</v>
      </c>
      <c r="G579" s="18" t="s">
        <v>29</v>
      </c>
      <c r="H579" s="64">
        <f>LEN(TRIM(Table22[[#This Row],[Country]]))</f>
        <v>5</v>
      </c>
      <c r="I579" s="64">
        <f>LEN(TRIM(Table22[[#This Row],[Continent]]))</f>
        <v>4</v>
      </c>
      <c r="J579" s="64">
        <f>LEN(TRIM(Table22[[#This Row],[Product]]))</f>
        <v>6</v>
      </c>
      <c r="K579" s="64">
        <f>LEN(TRIM(Table22[[#This Row],[Sales Team]]))</f>
        <v>10</v>
      </c>
      <c r="L579" s="23">
        <v>85</v>
      </c>
      <c r="M579" s="65" t="str" cm="1">
        <f t="array" ref="M579">_xlfn.IFS(Table22[[#This Row],[Units Sold]]&lt;40,"Critical",Table22[[#This Row],[Units Sold]]&lt;=50,"Poor",Table22[[#This Row],[Units Sold]]&lt;=60,"Low",Table22[[#This Row],[Units Sold]]&lt;=80,"Average",Table22[[#This Row],[Units Sold]]&lt;=90,"High",Table22[[#This Row],[Units Sold]]&lt;=95,"Excellent",Table22[[#This Row],[Units Sold]]&gt;95,"Outstanding")</f>
        <v>High</v>
      </c>
      <c r="N579" s="29">
        <v>645.66999999999996</v>
      </c>
      <c r="O579" s="29">
        <v>54881.95</v>
      </c>
      <c r="P579" s="43">
        <f>IF(Table22[[#This Row],[Discount Applied]],Table22[[#This Row],[Total Sales (in USD)]]*(1-Table22[[#This Row],[Discount Percentage (%)]]/100),Table22[[#This Row],[Total Sales (in USD)]])</f>
        <v>54881.95</v>
      </c>
      <c r="Q579" s="66">
        <f>SQRT(AVERAGE((Table22[[#This Row],[Net Sales (after discount) (in USD)]]-AVERAGE(Table22[Net Sales (after discount) (in USD)]))^2))</f>
        <v>18370.589436235459</v>
      </c>
      <c r="R579" s="18" t="b">
        <v>0</v>
      </c>
      <c r="S579" s="40">
        <v>28.08</v>
      </c>
      <c r="T579" s="18" t="b">
        <v>0</v>
      </c>
      <c r="U579" s="25">
        <v>45166</v>
      </c>
      <c r="V579" s="63" t="str">
        <f>IF(MONTH(Table22[[#This Row],[Sales Date]])&lt;=3,"Q1",IF(MONTH(Table22[[#This Row],[Sales Date]])&lt;=6,"Q2",IF(MONTH(Table22[[#This Row],[Sales Date]])&lt;=9,"Q3","Q4")))</f>
        <v>Q3</v>
      </c>
      <c r="W579" s="64">
        <f>YEAR(Table22[[#This Row],[Sales Date]])</f>
        <v>2023</v>
      </c>
      <c r="X579" s="23">
        <v>58</v>
      </c>
      <c r="Y579" s="18" t="s">
        <v>49</v>
      </c>
      <c r="Z579" s="18" t="s">
        <v>56</v>
      </c>
      <c r="AA579" s="19" t="s">
        <v>25</v>
      </c>
    </row>
    <row r="580" spans="1:27" x14ac:dyDescent="0.25">
      <c r="A580" s="17" t="s">
        <v>892</v>
      </c>
      <c r="B580" s="18" t="s">
        <v>18</v>
      </c>
      <c r="C580" s="63" t="str" cm="1">
        <f t="array" ref="C580">_xlfn.SWITCH(Table22[[#This Row],[Country]],"USA","North America","Canada","North America","Brazil","South America","China","Asia","Japan","Asia","India","Asia","France","Europe","Germany","Europe","UK","Europe","Australia","Oceania","South America")</f>
        <v>Asia</v>
      </c>
      <c r="D580" s="18" t="s">
        <v>35</v>
      </c>
      <c r="E580" s="18" t="s">
        <v>39</v>
      </c>
      <c r="F580" s="18" t="s">
        <v>20</v>
      </c>
      <c r="G580" s="18" t="s">
        <v>40</v>
      </c>
      <c r="H580" s="64">
        <f>LEN(TRIM(Table22[[#This Row],[Country]]))</f>
        <v>5</v>
      </c>
      <c r="I580" s="64">
        <f>LEN(TRIM(Table22[[#This Row],[Continent]]))</f>
        <v>4</v>
      </c>
      <c r="J580" s="64">
        <f>LEN(TRIM(Table22[[#This Row],[Product]]))</f>
        <v>10</v>
      </c>
      <c r="K580" s="64">
        <f>LEN(TRIM(Table22[[#This Row],[Sales Team]]))</f>
        <v>10</v>
      </c>
      <c r="L580" s="23">
        <v>88</v>
      </c>
      <c r="M580" s="65" t="str" cm="1">
        <f t="array" ref="M580">_xlfn.IFS(Table22[[#This Row],[Units Sold]]&lt;40,"Critical",Table22[[#This Row],[Units Sold]]&lt;=50,"Poor",Table22[[#This Row],[Units Sold]]&lt;=60,"Low",Table22[[#This Row],[Units Sold]]&lt;=80,"Average",Table22[[#This Row],[Units Sold]]&lt;=90,"High",Table22[[#This Row],[Units Sold]]&lt;=95,"Excellent",Table22[[#This Row],[Units Sold]]&gt;95,"Outstanding")</f>
        <v>High</v>
      </c>
      <c r="N580" s="29">
        <v>622.46</v>
      </c>
      <c r="O580" s="29">
        <v>54776.480000000003</v>
      </c>
      <c r="P580" s="43">
        <f>IF(Table22[[#This Row],[Discount Applied]],Table22[[#This Row],[Total Sales (in USD)]]*(1-Table22[[#This Row],[Discount Percentage (%)]]/100),Table22[[#This Row],[Total Sales (in USD)]])</f>
        <v>54776.480000000003</v>
      </c>
      <c r="Q580" s="66">
        <f>SQRT(AVERAGE((Table22[[#This Row],[Net Sales (after discount) (in USD)]]-AVERAGE(Table22[Net Sales (after discount) (in USD)]))^2))</f>
        <v>18265.119436235465</v>
      </c>
      <c r="R580" s="18" t="b">
        <v>1</v>
      </c>
      <c r="S580" s="40">
        <v>6.99</v>
      </c>
      <c r="T580" s="18" t="b">
        <v>0</v>
      </c>
      <c r="U580" s="25">
        <v>45433</v>
      </c>
      <c r="V580" s="63" t="str">
        <f>IF(MONTH(Table22[[#This Row],[Sales Date]])&lt;=3,"Q1",IF(MONTH(Table22[[#This Row],[Sales Date]])&lt;=6,"Q2",IF(MONTH(Table22[[#This Row],[Sales Date]])&lt;=9,"Q3","Q4")))</f>
        <v>Q2</v>
      </c>
      <c r="W580" s="64">
        <f>YEAR(Table22[[#This Row],[Sales Date]])</f>
        <v>2024</v>
      </c>
      <c r="X580" s="23">
        <v>59</v>
      </c>
      <c r="Y580" s="18" t="s">
        <v>23</v>
      </c>
      <c r="Z580" s="18" t="s">
        <v>42</v>
      </c>
      <c r="AA580" s="19" t="s">
        <v>36</v>
      </c>
    </row>
    <row r="581" spans="1:27" x14ac:dyDescent="0.25">
      <c r="A581" s="17" t="s">
        <v>877</v>
      </c>
      <c r="B581" s="18" t="s">
        <v>46</v>
      </c>
      <c r="C581" s="63" t="str" cm="1">
        <f t="array" ref="C581">_xlfn.SWITCH(Table22[[#This Row],[Country]],"USA","North America","Canada","North America","Brazil","South America","China","Asia","Japan","Asia","India","Asia","France","Europe","Germany","Europe","UK","Europe","Australia","Oceania","South America")</f>
        <v>South America</v>
      </c>
      <c r="D581" s="18" t="s">
        <v>21</v>
      </c>
      <c r="E581" s="18" t="s">
        <v>33</v>
      </c>
      <c r="F581" s="18" t="s">
        <v>34</v>
      </c>
      <c r="G581" s="18" t="s">
        <v>29</v>
      </c>
      <c r="H581" s="64">
        <f>LEN(TRIM(Table22[[#This Row],[Country]]))</f>
        <v>6</v>
      </c>
      <c r="I581" s="64">
        <f>LEN(TRIM(Table22[[#This Row],[Continent]]))</f>
        <v>13</v>
      </c>
      <c r="J581" s="64">
        <f>LEN(TRIM(Table22[[#This Row],[Product]]))</f>
        <v>10</v>
      </c>
      <c r="K581" s="64">
        <f>LEN(TRIM(Table22[[#This Row],[Sales Team]]))</f>
        <v>10</v>
      </c>
      <c r="L581" s="23">
        <v>65</v>
      </c>
      <c r="M581" s="65" t="str" cm="1">
        <f t="array" ref="M581">_xlfn.IFS(Table22[[#This Row],[Units Sold]]&lt;40,"Critical",Table22[[#This Row],[Units Sold]]&lt;=50,"Poor",Table22[[#This Row],[Units Sold]]&lt;=60,"Low",Table22[[#This Row],[Units Sold]]&lt;=80,"Average",Table22[[#This Row],[Units Sold]]&lt;=90,"High",Table22[[#This Row],[Units Sold]]&lt;=95,"Excellent",Table22[[#This Row],[Units Sold]]&gt;95,"Outstanding")</f>
        <v>Average</v>
      </c>
      <c r="N581" s="29">
        <v>842.61</v>
      </c>
      <c r="O581" s="29">
        <v>54769.65</v>
      </c>
      <c r="P581" s="43">
        <f>IF(Table22[[#This Row],[Discount Applied]],Table22[[#This Row],[Total Sales (in USD)]]*(1-Table22[[#This Row],[Discount Percentage (%)]]/100),Table22[[#This Row],[Total Sales (in USD)]])</f>
        <v>54769.65</v>
      </c>
      <c r="Q581" s="66">
        <f>SQRT(AVERAGE((Table22[[#This Row],[Net Sales (after discount) (in USD)]]-AVERAGE(Table22[Net Sales (after discount) (in USD)]))^2))</f>
        <v>18258.289436235464</v>
      </c>
      <c r="R581" s="18" t="b">
        <v>1</v>
      </c>
      <c r="S581" s="40">
        <v>26.52</v>
      </c>
      <c r="T581" s="18" t="b">
        <v>0</v>
      </c>
      <c r="U581" s="25">
        <v>45094</v>
      </c>
      <c r="V581" s="63" t="str">
        <f>IF(MONTH(Table22[[#This Row],[Sales Date]])&lt;=3,"Q1",IF(MONTH(Table22[[#This Row],[Sales Date]])&lt;=6,"Q2",IF(MONTH(Table22[[#This Row],[Sales Date]])&lt;=9,"Q3","Q4")))</f>
        <v>Q2</v>
      </c>
      <c r="W581" s="64">
        <f>YEAR(Table22[[#This Row],[Sales Date]])</f>
        <v>2023</v>
      </c>
      <c r="X581" s="23">
        <v>69</v>
      </c>
      <c r="Y581" s="18" t="s">
        <v>41</v>
      </c>
      <c r="Z581" s="18" t="s">
        <v>30</v>
      </c>
      <c r="AA581" s="19" t="s">
        <v>25</v>
      </c>
    </row>
    <row r="582" spans="1:27" x14ac:dyDescent="0.25">
      <c r="A582" s="17" t="s">
        <v>429</v>
      </c>
      <c r="B582" s="18" t="s">
        <v>66</v>
      </c>
      <c r="C582" s="63" t="str" cm="1">
        <f t="array" ref="C582">_xlfn.SWITCH(Table22[[#This Row],[Country]],"USA","North America","Canada","North America","Brazil","South America","China","Asia","Japan","Asia","India","Asia","France","Europe","Germany","Europe","UK","Europe","Australia","Oceania","South America")</f>
        <v>North America</v>
      </c>
      <c r="D582" s="18" t="s">
        <v>28</v>
      </c>
      <c r="E582" s="18" t="s">
        <v>33</v>
      </c>
      <c r="F582" s="18" t="s">
        <v>47</v>
      </c>
      <c r="G582" s="18" t="s">
        <v>48</v>
      </c>
      <c r="H582" s="64">
        <f>LEN(TRIM(Table22[[#This Row],[Country]]))</f>
        <v>6</v>
      </c>
      <c r="I582" s="64">
        <f>LEN(TRIM(Table22[[#This Row],[Continent]]))</f>
        <v>13</v>
      </c>
      <c r="J582" s="64">
        <f>LEN(TRIM(Table22[[#This Row],[Product]]))</f>
        <v>10</v>
      </c>
      <c r="K582" s="64">
        <f>LEN(TRIM(Table22[[#This Row],[Sales Team]]))</f>
        <v>9</v>
      </c>
      <c r="L582" s="23">
        <v>98</v>
      </c>
      <c r="M582" s="65" t="str" cm="1">
        <f t="array" ref="M582">_xlfn.IFS(Table22[[#This Row],[Units Sold]]&lt;40,"Critical",Table22[[#This Row],[Units Sold]]&lt;=50,"Poor",Table22[[#This Row],[Units Sold]]&lt;=60,"Low",Table22[[#This Row],[Units Sold]]&lt;=80,"Average",Table22[[#This Row],[Units Sold]]&lt;=90,"High",Table22[[#This Row],[Units Sold]]&lt;=95,"Excellent",Table22[[#This Row],[Units Sold]]&gt;95,"Outstanding")</f>
        <v>Outstanding</v>
      </c>
      <c r="N582" s="29">
        <v>558.57000000000005</v>
      </c>
      <c r="O582" s="29">
        <v>54739.86</v>
      </c>
      <c r="P582" s="43">
        <f>IF(Table22[[#This Row],[Discount Applied]],Table22[[#This Row],[Total Sales (in USD)]]*(1-Table22[[#This Row],[Discount Percentage (%)]]/100),Table22[[#This Row],[Total Sales (in USD)]])</f>
        <v>54739.86</v>
      </c>
      <c r="Q582" s="66">
        <f>SQRT(AVERAGE((Table22[[#This Row],[Net Sales (after discount) (in USD)]]-AVERAGE(Table22[Net Sales (after discount) (in USD)]))^2))</f>
        <v>18228.499436235463</v>
      </c>
      <c r="R582" s="18" t="b">
        <v>0</v>
      </c>
      <c r="S582" s="40">
        <v>8.3699999999999992</v>
      </c>
      <c r="T582" s="18" t="b">
        <v>0</v>
      </c>
      <c r="U582" s="25">
        <v>44944</v>
      </c>
      <c r="V582" s="63" t="str">
        <f>IF(MONTH(Table22[[#This Row],[Sales Date]])&lt;=3,"Q1",IF(MONTH(Table22[[#This Row],[Sales Date]])&lt;=6,"Q2",IF(MONTH(Table22[[#This Row],[Sales Date]])&lt;=9,"Q3","Q4")))</f>
        <v>Q1</v>
      </c>
      <c r="W582" s="64">
        <f>YEAR(Table22[[#This Row],[Sales Date]])</f>
        <v>2023</v>
      </c>
      <c r="X582" s="23">
        <v>47</v>
      </c>
      <c r="Y582" s="18" t="s">
        <v>41</v>
      </c>
      <c r="Z582" s="18" t="s">
        <v>24</v>
      </c>
      <c r="AA582" s="19" t="s">
        <v>36</v>
      </c>
    </row>
    <row r="583" spans="1:27" x14ac:dyDescent="0.25">
      <c r="A583" s="17" t="s">
        <v>1907</v>
      </c>
      <c r="B583" s="18" t="s">
        <v>62</v>
      </c>
      <c r="C583" s="63" t="str" cm="1">
        <f t="array" ref="C583">_xlfn.SWITCH(Table22[[#This Row],[Country]],"USA","North America","Canada","North America","Brazil","South America","China","Asia","Japan","Asia","India","Asia","France","Europe","Germany","Europe","UK","Europe","Australia","Oceania","South America")</f>
        <v>Oceania</v>
      </c>
      <c r="D583" s="18" t="s">
        <v>44</v>
      </c>
      <c r="E583" s="18" t="s">
        <v>19</v>
      </c>
      <c r="F583" s="18" t="s">
        <v>34</v>
      </c>
      <c r="G583" s="18" t="s">
        <v>29</v>
      </c>
      <c r="H583" s="64">
        <f>LEN(TRIM(Table22[[#This Row],[Country]]))</f>
        <v>9</v>
      </c>
      <c r="I583" s="64">
        <f>LEN(TRIM(Table22[[#This Row],[Continent]]))</f>
        <v>7</v>
      </c>
      <c r="J583" s="64">
        <f>LEN(TRIM(Table22[[#This Row],[Product]]))</f>
        <v>6</v>
      </c>
      <c r="K583" s="64">
        <f>LEN(TRIM(Table22[[#This Row],[Sales Team]]))</f>
        <v>10</v>
      </c>
      <c r="L583" s="23">
        <v>55</v>
      </c>
      <c r="M583" s="65" t="str" cm="1">
        <f t="array" ref="M583">_xlfn.IFS(Table22[[#This Row],[Units Sold]]&lt;40,"Critical",Table22[[#This Row],[Units Sold]]&lt;=50,"Poor",Table22[[#This Row],[Units Sold]]&lt;=60,"Low",Table22[[#This Row],[Units Sold]]&lt;=80,"Average",Table22[[#This Row],[Units Sold]]&lt;=90,"High",Table22[[#This Row],[Units Sold]]&lt;=95,"Excellent",Table22[[#This Row],[Units Sold]]&gt;95,"Outstanding")</f>
        <v>Low</v>
      </c>
      <c r="N583" s="29">
        <v>991.82</v>
      </c>
      <c r="O583" s="29">
        <v>54550.1</v>
      </c>
      <c r="P583" s="43">
        <f>IF(Table22[[#This Row],[Discount Applied]],Table22[[#This Row],[Total Sales (in USD)]]*(1-Table22[[#This Row],[Discount Percentage (%)]]/100),Table22[[#This Row],[Total Sales (in USD)]])</f>
        <v>54550.1</v>
      </c>
      <c r="Q583" s="66">
        <f>SQRT(AVERAGE((Table22[[#This Row],[Net Sales (after discount) (in USD)]]-AVERAGE(Table22[Net Sales (after discount) (in USD)]))^2))</f>
        <v>18038.739436235461</v>
      </c>
      <c r="R583" s="18" t="b">
        <v>0</v>
      </c>
      <c r="S583" s="40">
        <v>2.2599999999999998</v>
      </c>
      <c r="T583" s="18" t="b">
        <v>0</v>
      </c>
      <c r="U583" s="25">
        <v>45418</v>
      </c>
      <c r="V583" s="63" t="str">
        <f>IF(MONTH(Table22[[#This Row],[Sales Date]])&lt;=3,"Q1",IF(MONTH(Table22[[#This Row],[Sales Date]])&lt;=6,"Q2",IF(MONTH(Table22[[#This Row],[Sales Date]])&lt;=9,"Q3","Q4")))</f>
        <v>Q2</v>
      </c>
      <c r="W583" s="64">
        <f>YEAR(Table22[[#This Row],[Sales Date]])</f>
        <v>2024</v>
      </c>
      <c r="X583" s="23">
        <v>40</v>
      </c>
      <c r="Y583" s="18" t="s">
        <v>23</v>
      </c>
      <c r="Z583" s="18" t="s">
        <v>30</v>
      </c>
      <c r="AA583" s="19" t="s">
        <v>36</v>
      </c>
    </row>
    <row r="584" spans="1:27" x14ac:dyDescent="0.25">
      <c r="A584" s="17" t="s">
        <v>1418</v>
      </c>
      <c r="B584" s="18" t="s">
        <v>38</v>
      </c>
      <c r="C584" s="63" t="str" cm="1">
        <f t="array" ref="C584">_xlfn.SWITCH(Table22[[#This Row],[Country]],"USA","North America","Canada","North America","Brazil","South America","China","Asia","Japan","Asia","India","Asia","France","Europe","Germany","Europe","UK","Europe","Australia","Oceania","South America")</f>
        <v>Europe</v>
      </c>
      <c r="D584" s="18" t="s">
        <v>28</v>
      </c>
      <c r="E584" s="18" t="s">
        <v>19</v>
      </c>
      <c r="F584" s="18" t="s">
        <v>34</v>
      </c>
      <c r="G584" s="18" t="s">
        <v>22</v>
      </c>
      <c r="H584" s="64">
        <f>LEN(TRIM(Table22[[#This Row],[Country]]))</f>
        <v>6</v>
      </c>
      <c r="I584" s="64">
        <f>LEN(TRIM(Table22[[#This Row],[Continent]]))</f>
        <v>6</v>
      </c>
      <c r="J584" s="64">
        <f>LEN(TRIM(Table22[[#This Row],[Product]]))</f>
        <v>6</v>
      </c>
      <c r="K584" s="64">
        <f>LEN(TRIM(Table22[[#This Row],[Sales Team]]))</f>
        <v>10</v>
      </c>
      <c r="L584" s="23">
        <v>53</v>
      </c>
      <c r="M584" s="65" t="str" cm="1">
        <f t="array" ref="M584">_xlfn.IFS(Table22[[#This Row],[Units Sold]]&lt;40,"Critical",Table22[[#This Row],[Units Sold]]&lt;=50,"Poor",Table22[[#This Row],[Units Sold]]&lt;=60,"Low",Table22[[#This Row],[Units Sold]]&lt;=80,"Average",Table22[[#This Row],[Units Sold]]&lt;=90,"High",Table22[[#This Row],[Units Sold]]&lt;=95,"Excellent",Table22[[#This Row],[Units Sold]]&gt;95,"Outstanding")</f>
        <v>Low</v>
      </c>
      <c r="N584" s="29">
        <v>1024.32</v>
      </c>
      <c r="O584" s="29">
        <v>54288.959999999999</v>
      </c>
      <c r="P584" s="43">
        <f>IF(Table22[[#This Row],[Discount Applied]],Table22[[#This Row],[Total Sales (in USD)]]*(1-Table22[[#This Row],[Discount Percentage (%)]]/100),Table22[[#This Row],[Total Sales (in USD)]])</f>
        <v>54283.531104000002</v>
      </c>
      <c r="Q584" s="66">
        <f>SQRT(AVERAGE((Table22[[#This Row],[Net Sales (after discount) (in USD)]]-AVERAGE(Table22[Net Sales (after discount) (in USD)]))^2))</f>
        <v>17772.170540235464</v>
      </c>
      <c r="R584" s="18" t="b">
        <v>0</v>
      </c>
      <c r="S584" s="40">
        <v>0.01</v>
      </c>
      <c r="T584" s="18" t="b">
        <v>1</v>
      </c>
      <c r="U584" s="25">
        <v>45536</v>
      </c>
      <c r="V584" s="63" t="str">
        <f>IF(MONTH(Table22[[#This Row],[Sales Date]])&lt;=3,"Q1",IF(MONTH(Table22[[#This Row],[Sales Date]])&lt;=6,"Q2",IF(MONTH(Table22[[#This Row],[Sales Date]])&lt;=9,"Q3","Q4")))</f>
        <v>Q3</v>
      </c>
      <c r="W584" s="64">
        <f>YEAR(Table22[[#This Row],[Sales Date]])</f>
        <v>2024</v>
      </c>
      <c r="X584" s="23">
        <v>68</v>
      </c>
      <c r="Y584" s="18" t="s">
        <v>23</v>
      </c>
      <c r="Z584" s="18" t="s">
        <v>24</v>
      </c>
      <c r="AA584" s="19" t="s">
        <v>25</v>
      </c>
    </row>
    <row r="585" spans="1:27" x14ac:dyDescent="0.25">
      <c r="A585" s="17" t="s">
        <v>620</v>
      </c>
      <c r="B585" s="18" t="s">
        <v>18</v>
      </c>
      <c r="C585" s="63" t="str" cm="1">
        <f t="array" ref="C585">_xlfn.SWITCH(Table22[[#This Row],[Country]],"USA","North America","Canada","North America","Brazil","South America","China","Asia","Japan","Asia","India","Asia","France","Europe","Germany","Europe","UK","Europe","Australia","Oceania","South America")</f>
        <v>Asia</v>
      </c>
      <c r="D585" s="18" t="s">
        <v>44</v>
      </c>
      <c r="E585" s="18" t="s">
        <v>39</v>
      </c>
      <c r="F585" s="18" t="s">
        <v>34</v>
      </c>
      <c r="G585" s="18" t="s">
        <v>40</v>
      </c>
      <c r="H585" s="64">
        <f>LEN(TRIM(Table22[[#This Row],[Country]]))</f>
        <v>5</v>
      </c>
      <c r="I585" s="64">
        <f>LEN(TRIM(Table22[[#This Row],[Continent]]))</f>
        <v>4</v>
      </c>
      <c r="J585" s="64">
        <f>LEN(TRIM(Table22[[#This Row],[Product]]))</f>
        <v>10</v>
      </c>
      <c r="K585" s="64">
        <f>LEN(TRIM(Table22[[#This Row],[Sales Team]]))</f>
        <v>10</v>
      </c>
      <c r="L585" s="23">
        <v>53</v>
      </c>
      <c r="M585" s="65" t="str" cm="1">
        <f t="array" ref="M585">_xlfn.IFS(Table22[[#This Row],[Units Sold]]&lt;40,"Critical",Table22[[#This Row],[Units Sold]]&lt;=50,"Poor",Table22[[#This Row],[Units Sold]]&lt;=60,"Low",Table22[[#This Row],[Units Sold]]&lt;=80,"Average",Table22[[#This Row],[Units Sold]]&lt;=90,"High",Table22[[#This Row],[Units Sold]]&lt;=95,"Excellent",Table22[[#This Row],[Units Sold]]&gt;95,"Outstanding")</f>
        <v>Low</v>
      </c>
      <c r="N585" s="29">
        <v>1022.7</v>
      </c>
      <c r="O585" s="29">
        <v>54203.1</v>
      </c>
      <c r="P585" s="43">
        <f>IF(Table22[[#This Row],[Discount Applied]],Table22[[#This Row],[Total Sales (in USD)]]*(1-Table22[[#This Row],[Discount Percentage (%)]]/100),Table22[[#This Row],[Total Sales (in USD)]])</f>
        <v>48273.280859999999</v>
      </c>
      <c r="Q585" s="66">
        <f>SQRT(AVERAGE((Table22[[#This Row],[Net Sales (after discount) (in USD)]]-AVERAGE(Table22[Net Sales (after discount) (in USD)]))^2))</f>
        <v>11761.920296235461</v>
      </c>
      <c r="R585" s="18" t="b">
        <v>1</v>
      </c>
      <c r="S585" s="40">
        <v>10.94</v>
      </c>
      <c r="T585" s="18" t="b">
        <v>1</v>
      </c>
      <c r="U585" s="25">
        <v>45162</v>
      </c>
      <c r="V585" s="63" t="str">
        <f>IF(MONTH(Table22[[#This Row],[Sales Date]])&lt;=3,"Q1",IF(MONTH(Table22[[#This Row],[Sales Date]])&lt;=6,"Q2",IF(MONTH(Table22[[#This Row],[Sales Date]])&lt;=9,"Q3","Q4")))</f>
        <v>Q3</v>
      </c>
      <c r="W585" s="64">
        <f>YEAR(Table22[[#This Row],[Sales Date]])</f>
        <v>2023</v>
      </c>
      <c r="X585" s="23">
        <v>18</v>
      </c>
      <c r="Y585" s="18" t="s">
        <v>49</v>
      </c>
      <c r="Z585" s="18" t="s">
        <v>56</v>
      </c>
      <c r="AA585" s="19" t="s">
        <v>36</v>
      </c>
    </row>
    <row r="586" spans="1:27" x14ac:dyDescent="0.25">
      <c r="A586" s="17" t="s">
        <v>149</v>
      </c>
      <c r="B586" s="18" t="s">
        <v>18</v>
      </c>
      <c r="C586" s="63" t="str" cm="1">
        <f t="array" ref="C586">_xlfn.SWITCH(Table22[[#This Row],[Country]],"USA","North America","Canada","North America","Brazil","South America","China","Asia","Japan","Asia","India","Asia","France","Europe","Germany","Europe","UK","Europe","Australia","Oceania","South America")</f>
        <v>Asia</v>
      </c>
      <c r="D586" s="18" t="s">
        <v>21</v>
      </c>
      <c r="E586" s="18" t="s">
        <v>39</v>
      </c>
      <c r="F586" s="18" t="s">
        <v>20</v>
      </c>
      <c r="G586" s="18" t="s">
        <v>40</v>
      </c>
      <c r="H586" s="64">
        <f>LEN(TRIM(Table22[[#This Row],[Country]]))</f>
        <v>5</v>
      </c>
      <c r="I586" s="64">
        <f>LEN(TRIM(Table22[[#This Row],[Continent]]))</f>
        <v>4</v>
      </c>
      <c r="J586" s="64">
        <f>LEN(TRIM(Table22[[#This Row],[Product]]))</f>
        <v>10</v>
      </c>
      <c r="K586" s="64">
        <f>LEN(TRIM(Table22[[#This Row],[Sales Team]]))</f>
        <v>10</v>
      </c>
      <c r="L586" s="23">
        <v>58</v>
      </c>
      <c r="M586" s="65" t="str" cm="1">
        <f t="array" ref="M586">_xlfn.IFS(Table22[[#This Row],[Units Sold]]&lt;40,"Critical",Table22[[#This Row],[Units Sold]]&lt;=50,"Poor",Table22[[#This Row],[Units Sold]]&lt;=60,"Low",Table22[[#This Row],[Units Sold]]&lt;=80,"Average",Table22[[#This Row],[Units Sold]]&lt;=90,"High",Table22[[#This Row],[Units Sold]]&lt;=95,"Excellent",Table22[[#This Row],[Units Sold]]&gt;95,"Outstanding")</f>
        <v>Low</v>
      </c>
      <c r="N586" s="29">
        <v>933.09</v>
      </c>
      <c r="O586" s="29">
        <v>54119.22</v>
      </c>
      <c r="P586" s="43">
        <f>IF(Table22[[#This Row],[Discount Applied]],Table22[[#This Row],[Total Sales (in USD)]]*(1-Table22[[#This Row],[Discount Percentage (%)]]/100),Table22[[#This Row],[Total Sales (in USD)]])</f>
        <v>43030.191822000001</v>
      </c>
      <c r="Q586" s="66">
        <f>SQRT(AVERAGE((Table22[[#This Row],[Net Sales (after discount) (in USD)]]-AVERAGE(Table22[Net Sales (after discount) (in USD)]))^2))</f>
        <v>6518.8312582354629</v>
      </c>
      <c r="R586" s="18" t="b">
        <v>0</v>
      </c>
      <c r="S586" s="40">
        <v>20.49</v>
      </c>
      <c r="T586" s="18" t="b">
        <v>1</v>
      </c>
      <c r="U586" s="25">
        <v>45392</v>
      </c>
      <c r="V586" s="63" t="str">
        <f>IF(MONTH(Table22[[#This Row],[Sales Date]])&lt;=3,"Q1",IF(MONTH(Table22[[#This Row],[Sales Date]])&lt;=6,"Q2",IF(MONTH(Table22[[#This Row],[Sales Date]])&lt;=9,"Q3","Q4")))</f>
        <v>Q2</v>
      </c>
      <c r="W586" s="64">
        <f>YEAR(Table22[[#This Row],[Sales Date]])</f>
        <v>2024</v>
      </c>
      <c r="X586" s="23">
        <v>18</v>
      </c>
      <c r="Y586" s="18" t="s">
        <v>49</v>
      </c>
      <c r="Z586" s="18" t="s">
        <v>56</v>
      </c>
      <c r="AA586" s="19" t="s">
        <v>36</v>
      </c>
    </row>
    <row r="587" spans="1:27" x14ac:dyDescent="0.25">
      <c r="A587" s="17" t="s">
        <v>1425</v>
      </c>
      <c r="B587" s="18" t="s">
        <v>32</v>
      </c>
      <c r="C587" s="63" t="str" cm="1">
        <f t="array" ref="C587">_xlfn.SWITCH(Table22[[#This Row],[Country]],"USA","North America","Canada","North America","Brazil","South America","China","Asia","Japan","Asia","India","Asia","France","Europe","Germany","Europe","UK","Europe","Australia","Oceania","South America")</f>
        <v>Asia</v>
      </c>
      <c r="D587" s="18" t="s">
        <v>35</v>
      </c>
      <c r="E587" s="18" t="s">
        <v>19</v>
      </c>
      <c r="F587" s="18" t="s">
        <v>52</v>
      </c>
      <c r="G587" s="18" t="s">
        <v>29</v>
      </c>
      <c r="H587" s="64">
        <f>LEN(TRIM(Table22[[#This Row],[Country]]))</f>
        <v>5</v>
      </c>
      <c r="I587" s="64">
        <f>LEN(TRIM(Table22[[#This Row],[Continent]]))</f>
        <v>4</v>
      </c>
      <c r="J587" s="64">
        <f>LEN(TRIM(Table22[[#This Row],[Product]]))</f>
        <v>6</v>
      </c>
      <c r="K587" s="64">
        <f>LEN(TRIM(Table22[[#This Row],[Sales Team]]))</f>
        <v>10</v>
      </c>
      <c r="L587" s="23">
        <v>74</v>
      </c>
      <c r="M587" s="65" t="str" cm="1">
        <f t="array" ref="M587">_xlfn.IFS(Table22[[#This Row],[Units Sold]]&lt;40,"Critical",Table22[[#This Row],[Units Sold]]&lt;=50,"Poor",Table22[[#This Row],[Units Sold]]&lt;=60,"Low",Table22[[#This Row],[Units Sold]]&lt;=80,"Average",Table22[[#This Row],[Units Sold]]&lt;=90,"High",Table22[[#This Row],[Units Sold]]&lt;=95,"Excellent",Table22[[#This Row],[Units Sold]]&gt;95,"Outstanding")</f>
        <v>Average</v>
      </c>
      <c r="N587" s="29">
        <v>731.21</v>
      </c>
      <c r="O587" s="29">
        <v>54109.54</v>
      </c>
      <c r="P587" s="43">
        <f>IF(Table22[[#This Row],[Discount Applied]],Table22[[#This Row],[Total Sales (in USD)]]*(1-Table22[[#This Row],[Discount Percentage (%)]]/100),Table22[[#This Row],[Total Sales (in USD)]])</f>
        <v>54109.54</v>
      </c>
      <c r="Q587" s="66">
        <f>SQRT(AVERAGE((Table22[[#This Row],[Net Sales (after discount) (in USD)]]-AVERAGE(Table22[Net Sales (after discount) (in USD)]))^2))</f>
        <v>17598.179436235463</v>
      </c>
      <c r="R587" s="18" t="b">
        <v>1</v>
      </c>
      <c r="S587" s="40">
        <v>23.9</v>
      </c>
      <c r="T587" s="18" t="b">
        <v>0</v>
      </c>
      <c r="U587" s="25">
        <v>44997</v>
      </c>
      <c r="V587" s="63" t="str">
        <f>IF(MONTH(Table22[[#This Row],[Sales Date]])&lt;=3,"Q1",IF(MONTH(Table22[[#This Row],[Sales Date]])&lt;=6,"Q2",IF(MONTH(Table22[[#This Row],[Sales Date]])&lt;=9,"Q3","Q4")))</f>
        <v>Q1</v>
      </c>
      <c r="W587" s="64">
        <f>YEAR(Table22[[#This Row],[Sales Date]])</f>
        <v>2023</v>
      </c>
      <c r="X587" s="23">
        <v>68</v>
      </c>
      <c r="Y587" s="18" t="s">
        <v>23</v>
      </c>
      <c r="Z587" s="18" t="s">
        <v>42</v>
      </c>
      <c r="AA587" s="19" t="s">
        <v>36</v>
      </c>
    </row>
    <row r="588" spans="1:27" x14ac:dyDescent="0.25">
      <c r="A588" s="17" t="s">
        <v>1271</v>
      </c>
      <c r="B588" s="18" t="s">
        <v>46</v>
      </c>
      <c r="C588" s="63" t="str" cm="1">
        <f t="array" ref="C588">_xlfn.SWITCH(Table22[[#This Row],[Country]],"USA","North America","Canada","North America","Brazil","South America","China","Asia","Japan","Asia","India","Asia","France","Europe","Germany","Europe","UK","Europe","Australia","Oceania","South America")</f>
        <v>South America</v>
      </c>
      <c r="D588" s="18" t="s">
        <v>35</v>
      </c>
      <c r="E588" s="18" t="s">
        <v>19</v>
      </c>
      <c r="F588" s="18" t="s">
        <v>64</v>
      </c>
      <c r="G588" s="18" t="s">
        <v>29</v>
      </c>
      <c r="H588" s="64">
        <f>LEN(TRIM(Table22[[#This Row],[Country]]))</f>
        <v>6</v>
      </c>
      <c r="I588" s="64">
        <f>LEN(TRIM(Table22[[#This Row],[Continent]]))</f>
        <v>13</v>
      </c>
      <c r="J588" s="64">
        <f>LEN(TRIM(Table22[[#This Row],[Product]]))</f>
        <v>6</v>
      </c>
      <c r="K588" s="64">
        <f>LEN(TRIM(Table22[[#This Row],[Sales Team]]))</f>
        <v>10</v>
      </c>
      <c r="L588" s="23">
        <v>61</v>
      </c>
      <c r="M588" s="65" t="str" cm="1">
        <f t="array" ref="M588">_xlfn.IFS(Table22[[#This Row],[Units Sold]]&lt;40,"Critical",Table22[[#This Row],[Units Sold]]&lt;=50,"Poor",Table22[[#This Row],[Units Sold]]&lt;=60,"Low",Table22[[#This Row],[Units Sold]]&lt;=80,"Average",Table22[[#This Row],[Units Sold]]&lt;=90,"High",Table22[[#This Row],[Units Sold]]&lt;=95,"Excellent",Table22[[#This Row],[Units Sold]]&gt;95,"Outstanding")</f>
        <v>Average</v>
      </c>
      <c r="N588" s="29">
        <v>886.83</v>
      </c>
      <c r="O588" s="29">
        <v>54096.63</v>
      </c>
      <c r="P588" s="43">
        <f>IF(Table22[[#This Row],[Discount Applied]],Table22[[#This Row],[Total Sales (in USD)]]*(1-Table22[[#This Row],[Discount Percentage (%)]]/100),Table22[[#This Row],[Total Sales (in USD)]])</f>
        <v>47713.227659999997</v>
      </c>
      <c r="Q588" s="66">
        <f>SQRT(AVERAGE((Table22[[#This Row],[Net Sales (after discount) (in USD)]]-AVERAGE(Table22[Net Sales (after discount) (in USD)]))^2))</f>
        <v>11201.867096235459</v>
      </c>
      <c r="R588" s="18" t="b">
        <v>1</v>
      </c>
      <c r="S588" s="40">
        <v>11.8</v>
      </c>
      <c r="T588" s="18" t="b">
        <v>1</v>
      </c>
      <c r="U588" s="25">
        <v>45339</v>
      </c>
      <c r="V588" s="63" t="str">
        <f>IF(MONTH(Table22[[#This Row],[Sales Date]])&lt;=3,"Q1",IF(MONTH(Table22[[#This Row],[Sales Date]])&lt;=6,"Q2",IF(MONTH(Table22[[#This Row],[Sales Date]])&lt;=9,"Q3","Q4")))</f>
        <v>Q1</v>
      </c>
      <c r="W588" s="64">
        <f>YEAR(Table22[[#This Row],[Sales Date]])</f>
        <v>2024</v>
      </c>
      <c r="X588" s="23">
        <v>62</v>
      </c>
      <c r="Y588" s="18" t="s">
        <v>49</v>
      </c>
      <c r="Z588" s="18" t="s">
        <v>42</v>
      </c>
      <c r="AA588" s="19" t="s">
        <v>36</v>
      </c>
    </row>
    <row r="589" spans="1:27" x14ac:dyDescent="0.25">
      <c r="A589" s="17" t="s">
        <v>1876</v>
      </c>
      <c r="B589" s="18" t="s">
        <v>66</v>
      </c>
      <c r="C589" s="63" t="str" cm="1">
        <f t="array" ref="C589">_xlfn.SWITCH(Table22[[#This Row],[Country]],"USA","North America","Canada","North America","Brazil","South America","China","Asia","Japan","Asia","India","Asia","France","Europe","Germany","Europe","UK","Europe","Australia","Oceania","South America")</f>
        <v>North America</v>
      </c>
      <c r="D589" s="18" t="s">
        <v>21</v>
      </c>
      <c r="E589" s="18" t="s">
        <v>19</v>
      </c>
      <c r="F589" s="18" t="s">
        <v>34</v>
      </c>
      <c r="G589" s="18" t="s">
        <v>48</v>
      </c>
      <c r="H589" s="64">
        <f>LEN(TRIM(Table22[[#This Row],[Country]]))</f>
        <v>6</v>
      </c>
      <c r="I589" s="64">
        <f>LEN(TRIM(Table22[[#This Row],[Continent]]))</f>
        <v>13</v>
      </c>
      <c r="J589" s="64">
        <f>LEN(TRIM(Table22[[#This Row],[Product]]))</f>
        <v>6</v>
      </c>
      <c r="K589" s="64">
        <f>LEN(TRIM(Table22[[#This Row],[Sales Team]]))</f>
        <v>9</v>
      </c>
      <c r="L589" s="23">
        <v>53</v>
      </c>
      <c r="M589" s="65" t="str" cm="1">
        <f t="array" ref="M589">_xlfn.IFS(Table22[[#This Row],[Units Sold]]&lt;40,"Critical",Table22[[#This Row],[Units Sold]]&lt;=50,"Poor",Table22[[#This Row],[Units Sold]]&lt;=60,"Low",Table22[[#This Row],[Units Sold]]&lt;=80,"Average",Table22[[#This Row],[Units Sold]]&lt;=90,"High",Table22[[#This Row],[Units Sold]]&lt;=95,"Excellent",Table22[[#This Row],[Units Sold]]&gt;95,"Outstanding")</f>
        <v>Low</v>
      </c>
      <c r="N589" s="29">
        <v>1018.49</v>
      </c>
      <c r="O589" s="29">
        <v>53979.97</v>
      </c>
      <c r="P589" s="43">
        <f>IF(Table22[[#This Row],[Discount Applied]],Table22[[#This Row],[Total Sales (in USD)]]*(1-Table22[[#This Row],[Discount Percentage (%)]]/100),Table22[[#This Row],[Total Sales (in USD)]])</f>
        <v>41856.068738000002</v>
      </c>
      <c r="Q589" s="66">
        <f>SQRT(AVERAGE((Table22[[#This Row],[Net Sales (after discount) (in USD)]]-AVERAGE(Table22[Net Sales (after discount) (in USD)]))^2))</f>
        <v>5344.708174235464</v>
      </c>
      <c r="R589" s="18" t="b">
        <v>0</v>
      </c>
      <c r="S589" s="40">
        <v>22.46</v>
      </c>
      <c r="T589" s="18" t="b">
        <v>1</v>
      </c>
      <c r="U589" s="25">
        <v>45409</v>
      </c>
      <c r="V589" s="63" t="str">
        <f>IF(MONTH(Table22[[#This Row],[Sales Date]])&lt;=3,"Q1",IF(MONTH(Table22[[#This Row],[Sales Date]])&lt;=6,"Q2",IF(MONTH(Table22[[#This Row],[Sales Date]])&lt;=9,"Q3","Q4")))</f>
        <v>Q2</v>
      </c>
      <c r="W589" s="64">
        <f>YEAR(Table22[[#This Row],[Sales Date]])</f>
        <v>2024</v>
      </c>
      <c r="X589" s="23">
        <v>51</v>
      </c>
      <c r="Y589" s="18" t="s">
        <v>23</v>
      </c>
      <c r="Z589" s="18" t="s">
        <v>42</v>
      </c>
      <c r="AA589" s="19" t="s">
        <v>36</v>
      </c>
    </row>
    <row r="590" spans="1:27" x14ac:dyDescent="0.25">
      <c r="A590" s="17" t="s">
        <v>269</v>
      </c>
      <c r="B590" s="18" t="s">
        <v>18</v>
      </c>
      <c r="C590" s="63" t="str" cm="1">
        <f t="array" ref="C590">_xlfn.SWITCH(Table22[[#This Row],[Country]],"USA","North America","Canada","North America","Brazil","South America","China","Asia","Japan","Asia","India","Asia","France","Europe","Germany","Europe","UK","Europe","Australia","Oceania","South America")</f>
        <v>Asia</v>
      </c>
      <c r="D590" s="18" t="s">
        <v>21</v>
      </c>
      <c r="E590" s="18" t="s">
        <v>39</v>
      </c>
      <c r="F590" s="18" t="s">
        <v>47</v>
      </c>
      <c r="G590" s="18" t="s">
        <v>22</v>
      </c>
      <c r="H590" s="64">
        <f>LEN(TRIM(Table22[[#This Row],[Country]]))</f>
        <v>5</v>
      </c>
      <c r="I590" s="64">
        <f>LEN(TRIM(Table22[[#This Row],[Continent]]))</f>
        <v>4</v>
      </c>
      <c r="J590" s="64">
        <f>LEN(TRIM(Table22[[#This Row],[Product]]))</f>
        <v>10</v>
      </c>
      <c r="K590" s="64">
        <f>LEN(TRIM(Table22[[#This Row],[Sales Team]]))</f>
        <v>10</v>
      </c>
      <c r="L590" s="23">
        <v>42</v>
      </c>
      <c r="M590" s="65" t="str" cm="1">
        <f t="array" ref="M590">_xlfn.IFS(Table22[[#This Row],[Units Sold]]&lt;40,"Critical",Table22[[#This Row],[Units Sold]]&lt;=50,"Poor",Table22[[#This Row],[Units Sold]]&lt;=60,"Low",Table22[[#This Row],[Units Sold]]&lt;=80,"Average",Table22[[#This Row],[Units Sold]]&lt;=90,"High",Table22[[#This Row],[Units Sold]]&lt;=95,"Excellent",Table22[[#This Row],[Units Sold]]&gt;95,"Outstanding")</f>
        <v>Poor</v>
      </c>
      <c r="N590" s="29">
        <v>1283.96</v>
      </c>
      <c r="O590" s="29">
        <v>53926.32</v>
      </c>
      <c r="P590" s="43">
        <f>IF(Table22[[#This Row],[Discount Applied]],Table22[[#This Row],[Total Sales (in USD)]]*(1-Table22[[#This Row],[Discount Percentage (%)]]/100),Table22[[#This Row],[Total Sales (in USD)]])</f>
        <v>41906.143272000001</v>
      </c>
      <c r="Q590" s="66">
        <f>SQRT(AVERAGE((Table22[[#This Row],[Net Sales (after discount) (in USD)]]-AVERAGE(Table22[Net Sales (after discount) (in USD)]))^2))</f>
        <v>5394.7827082354634</v>
      </c>
      <c r="R590" s="18" t="b">
        <v>0</v>
      </c>
      <c r="S590" s="40">
        <v>22.29</v>
      </c>
      <c r="T590" s="18" t="b">
        <v>1</v>
      </c>
      <c r="U590" s="25">
        <v>45345</v>
      </c>
      <c r="V590" s="63" t="str">
        <f>IF(MONTH(Table22[[#This Row],[Sales Date]])&lt;=3,"Q1",IF(MONTH(Table22[[#This Row],[Sales Date]])&lt;=6,"Q2",IF(MONTH(Table22[[#This Row],[Sales Date]])&lt;=9,"Q3","Q4")))</f>
        <v>Q1</v>
      </c>
      <c r="W590" s="64">
        <f>YEAR(Table22[[#This Row],[Sales Date]])</f>
        <v>2024</v>
      </c>
      <c r="X590" s="23">
        <v>40</v>
      </c>
      <c r="Y590" s="18" t="s">
        <v>49</v>
      </c>
      <c r="Z590" s="18" t="s">
        <v>30</v>
      </c>
      <c r="AA590" s="19" t="s">
        <v>36</v>
      </c>
    </row>
    <row r="591" spans="1:27" x14ac:dyDescent="0.25">
      <c r="A591" s="17" t="s">
        <v>582</v>
      </c>
      <c r="B591" s="18" t="s">
        <v>18</v>
      </c>
      <c r="C591" s="63" t="str" cm="1">
        <f t="array" ref="C591">_xlfn.SWITCH(Table22[[#This Row],[Country]],"USA","North America","Canada","North America","Brazil","South America","China","Asia","Japan","Asia","India","Asia","France","Europe","Germany","Europe","UK","Europe","Australia","Oceania","South America")</f>
        <v>Asia</v>
      </c>
      <c r="D591" s="18" t="s">
        <v>44</v>
      </c>
      <c r="E591" s="18" t="s">
        <v>39</v>
      </c>
      <c r="F591" s="18" t="s">
        <v>47</v>
      </c>
      <c r="G591" s="18" t="s">
        <v>48</v>
      </c>
      <c r="H591" s="64">
        <f>LEN(TRIM(Table22[[#This Row],[Country]]))</f>
        <v>5</v>
      </c>
      <c r="I591" s="64">
        <f>LEN(TRIM(Table22[[#This Row],[Continent]]))</f>
        <v>4</v>
      </c>
      <c r="J591" s="64">
        <f>LEN(TRIM(Table22[[#This Row],[Product]]))</f>
        <v>10</v>
      </c>
      <c r="K591" s="64">
        <f>LEN(TRIM(Table22[[#This Row],[Sales Team]]))</f>
        <v>9</v>
      </c>
      <c r="L591" s="23">
        <v>41</v>
      </c>
      <c r="M591" s="65" t="str" cm="1">
        <f t="array" ref="M591">_xlfn.IFS(Table22[[#This Row],[Units Sold]]&lt;40,"Critical",Table22[[#This Row],[Units Sold]]&lt;=50,"Poor",Table22[[#This Row],[Units Sold]]&lt;=60,"Low",Table22[[#This Row],[Units Sold]]&lt;=80,"Average",Table22[[#This Row],[Units Sold]]&lt;=90,"High",Table22[[#This Row],[Units Sold]]&lt;=95,"Excellent",Table22[[#This Row],[Units Sold]]&gt;95,"Outstanding")</f>
        <v>Poor</v>
      </c>
      <c r="N591" s="29">
        <v>1314.38</v>
      </c>
      <c r="O591" s="29">
        <v>53889.58</v>
      </c>
      <c r="P591" s="43">
        <f>IF(Table22[[#This Row],[Discount Applied]],Table22[[#This Row],[Total Sales (in USD)]]*(1-Table22[[#This Row],[Discount Percentage (%)]]/100),Table22[[#This Row],[Total Sales (in USD)]])</f>
        <v>53889.58</v>
      </c>
      <c r="Q591" s="66">
        <f>SQRT(AVERAGE((Table22[[#This Row],[Net Sales (after discount) (in USD)]]-AVERAGE(Table22[Net Sales (after discount) (in USD)]))^2))</f>
        <v>17378.219436235464</v>
      </c>
      <c r="R591" s="18" t="b">
        <v>1</v>
      </c>
      <c r="S591" s="40">
        <v>10.99</v>
      </c>
      <c r="T591" s="18" t="b">
        <v>0</v>
      </c>
      <c r="U591" s="25">
        <v>45558</v>
      </c>
      <c r="V591" s="63" t="str">
        <f>IF(MONTH(Table22[[#This Row],[Sales Date]])&lt;=3,"Q1",IF(MONTH(Table22[[#This Row],[Sales Date]])&lt;=6,"Q2",IF(MONTH(Table22[[#This Row],[Sales Date]])&lt;=9,"Q3","Q4")))</f>
        <v>Q3</v>
      </c>
      <c r="W591" s="64">
        <f>YEAR(Table22[[#This Row],[Sales Date]])</f>
        <v>2024</v>
      </c>
      <c r="X591" s="23">
        <v>40</v>
      </c>
      <c r="Y591" s="18" t="s">
        <v>23</v>
      </c>
      <c r="Z591" s="18" t="s">
        <v>24</v>
      </c>
      <c r="AA591" s="19" t="s">
        <v>36</v>
      </c>
    </row>
    <row r="592" spans="1:27" x14ac:dyDescent="0.25">
      <c r="A592" s="17" t="s">
        <v>1575</v>
      </c>
      <c r="B592" s="18" t="s">
        <v>51</v>
      </c>
      <c r="C592" s="63" t="str" cm="1">
        <f t="array" ref="C592">_xlfn.SWITCH(Table22[[#This Row],[Country]],"USA","North America","Canada","North America","Brazil","South America","China","Asia","Japan","Asia","India","Asia","France","Europe","Germany","Europe","UK","Europe","Australia","Oceania","South America")</f>
        <v>Europe</v>
      </c>
      <c r="D592" s="18" t="s">
        <v>35</v>
      </c>
      <c r="E592" s="18" t="s">
        <v>33</v>
      </c>
      <c r="F592" s="18" t="s">
        <v>34</v>
      </c>
      <c r="G592" s="18" t="s">
        <v>22</v>
      </c>
      <c r="H592" s="64">
        <f>LEN(TRIM(Table22[[#This Row],[Country]]))</f>
        <v>2</v>
      </c>
      <c r="I592" s="64">
        <f>LEN(TRIM(Table22[[#This Row],[Continent]]))</f>
        <v>6</v>
      </c>
      <c r="J592" s="64">
        <f>LEN(TRIM(Table22[[#This Row],[Product]]))</f>
        <v>10</v>
      </c>
      <c r="K592" s="64">
        <f>LEN(TRIM(Table22[[#This Row],[Sales Team]]))</f>
        <v>10</v>
      </c>
      <c r="L592" s="23">
        <v>51</v>
      </c>
      <c r="M592" s="65" t="str" cm="1">
        <f t="array" ref="M592">_xlfn.IFS(Table22[[#This Row],[Units Sold]]&lt;40,"Critical",Table22[[#This Row],[Units Sold]]&lt;=50,"Poor",Table22[[#This Row],[Units Sold]]&lt;=60,"Low",Table22[[#This Row],[Units Sold]]&lt;=80,"Average",Table22[[#This Row],[Units Sold]]&lt;=90,"High",Table22[[#This Row],[Units Sold]]&lt;=95,"Excellent",Table22[[#This Row],[Units Sold]]&gt;95,"Outstanding")</f>
        <v>Low</v>
      </c>
      <c r="N592" s="29">
        <v>1056.1300000000001</v>
      </c>
      <c r="O592" s="29">
        <v>53862.63</v>
      </c>
      <c r="P592" s="43">
        <f>IF(Table22[[#This Row],[Discount Applied]],Table22[[#This Row],[Total Sales (in USD)]]*(1-Table22[[#This Row],[Discount Percentage (%)]]/100),Table22[[#This Row],[Total Sales (in USD)]])</f>
        <v>53862.63</v>
      </c>
      <c r="Q592" s="66">
        <f>SQRT(AVERAGE((Table22[[#This Row],[Net Sales (after discount) (in USD)]]-AVERAGE(Table22[Net Sales (after discount) (in USD)]))^2))</f>
        <v>17351.26943623546</v>
      </c>
      <c r="R592" s="18" t="b">
        <v>0</v>
      </c>
      <c r="S592" s="40">
        <v>4.49</v>
      </c>
      <c r="T592" s="18" t="b">
        <v>0</v>
      </c>
      <c r="U592" s="25">
        <v>45079</v>
      </c>
      <c r="V592" s="63" t="str">
        <f>IF(MONTH(Table22[[#This Row],[Sales Date]])&lt;=3,"Q1",IF(MONTH(Table22[[#This Row],[Sales Date]])&lt;=6,"Q2",IF(MONTH(Table22[[#This Row],[Sales Date]])&lt;=9,"Q3","Q4")))</f>
        <v>Q2</v>
      </c>
      <c r="W592" s="64">
        <f>YEAR(Table22[[#This Row],[Sales Date]])</f>
        <v>2023</v>
      </c>
      <c r="X592" s="23">
        <v>44</v>
      </c>
      <c r="Y592" s="18" t="s">
        <v>49</v>
      </c>
      <c r="Z592" s="18" t="s">
        <v>42</v>
      </c>
      <c r="AA592" s="19" t="s">
        <v>36</v>
      </c>
    </row>
    <row r="593" spans="1:27" x14ac:dyDescent="0.25">
      <c r="A593" s="17" t="s">
        <v>1783</v>
      </c>
      <c r="B593" s="18" t="s">
        <v>18</v>
      </c>
      <c r="C593" s="63" t="str" cm="1">
        <f t="array" ref="C593">_xlfn.SWITCH(Table22[[#This Row],[Country]],"USA","North America","Canada","North America","Brazil","South America","China","Asia","Japan","Asia","India","Asia","France","Europe","Germany","Europe","UK","Europe","Australia","Oceania","South America")</f>
        <v>Asia</v>
      </c>
      <c r="D593" s="18" t="s">
        <v>44</v>
      </c>
      <c r="E593" s="18" t="s">
        <v>33</v>
      </c>
      <c r="F593" s="18" t="s">
        <v>20</v>
      </c>
      <c r="G593" s="18" t="s">
        <v>48</v>
      </c>
      <c r="H593" s="64">
        <f>LEN(TRIM(Table22[[#This Row],[Country]]))</f>
        <v>5</v>
      </c>
      <c r="I593" s="64">
        <f>LEN(TRIM(Table22[[#This Row],[Continent]]))</f>
        <v>4</v>
      </c>
      <c r="J593" s="64">
        <f>LEN(TRIM(Table22[[#This Row],[Product]]))</f>
        <v>10</v>
      </c>
      <c r="K593" s="64">
        <f>LEN(TRIM(Table22[[#This Row],[Sales Team]]))</f>
        <v>9</v>
      </c>
      <c r="L593" s="23">
        <v>43</v>
      </c>
      <c r="M593" s="65" t="str" cm="1">
        <f t="array" ref="M593">_xlfn.IFS(Table22[[#This Row],[Units Sold]]&lt;40,"Critical",Table22[[#This Row],[Units Sold]]&lt;=50,"Poor",Table22[[#This Row],[Units Sold]]&lt;=60,"Low",Table22[[#This Row],[Units Sold]]&lt;=80,"Average",Table22[[#This Row],[Units Sold]]&lt;=90,"High",Table22[[#This Row],[Units Sold]]&lt;=95,"Excellent",Table22[[#This Row],[Units Sold]]&gt;95,"Outstanding")</f>
        <v>Poor</v>
      </c>
      <c r="N593" s="29">
        <v>1249.01</v>
      </c>
      <c r="O593" s="29">
        <v>53707.43</v>
      </c>
      <c r="P593" s="43">
        <f>IF(Table22[[#This Row],[Discount Applied]],Table22[[#This Row],[Total Sales (in USD)]]*(1-Table22[[#This Row],[Discount Percentage (%)]]/100),Table22[[#This Row],[Total Sales (in USD)]])</f>
        <v>40946.544631999997</v>
      </c>
      <c r="Q593" s="66">
        <f>SQRT(AVERAGE((Table22[[#This Row],[Net Sales (after discount) (in USD)]]-AVERAGE(Table22[Net Sales (after discount) (in USD)]))^2))</f>
        <v>4435.1840682354596</v>
      </c>
      <c r="R593" s="18" t="b">
        <v>0</v>
      </c>
      <c r="S593" s="40">
        <v>23.76</v>
      </c>
      <c r="T593" s="18" t="b">
        <v>1</v>
      </c>
      <c r="U593" s="25">
        <v>45197</v>
      </c>
      <c r="V593" s="63" t="str">
        <f>IF(MONTH(Table22[[#This Row],[Sales Date]])&lt;=3,"Q1",IF(MONTH(Table22[[#This Row],[Sales Date]])&lt;=6,"Q2",IF(MONTH(Table22[[#This Row],[Sales Date]])&lt;=9,"Q3","Q4")))</f>
        <v>Q3</v>
      </c>
      <c r="W593" s="64">
        <f>YEAR(Table22[[#This Row],[Sales Date]])</f>
        <v>2023</v>
      </c>
      <c r="X593" s="23">
        <v>64</v>
      </c>
      <c r="Y593" s="18" t="s">
        <v>49</v>
      </c>
      <c r="Z593" s="18" t="s">
        <v>24</v>
      </c>
      <c r="AA593" s="19" t="s">
        <v>25</v>
      </c>
    </row>
    <row r="594" spans="1:27" x14ac:dyDescent="0.25">
      <c r="A594" s="17" t="s">
        <v>125</v>
      </c>
      <c r="B594" s="18" t="s">
        <v>38</v>
      </c>
      <c r="C594" s="63" t="str" cm="1">
        <f t="array" ref="C594">_xlfn.SWITCH(Table22[[#This Row],[Country]],"USA","North America","Canada","North America","Brazil","South America","China","Asia","Japan","Asia","India","Asia","France","Europe","Germany","Europe","UK","Europe","Australia","Oceania","South America")</f>
        <v>Europe</v>
      </c>
      <c r="D594" s="18" t="s">
        <v>35</v>
      </c>
      <c r="E594" s="18" t="s">
        <v>19</v>
      </c>
      <c r="F594" s="18" t="s">
        <v>34</v>
      </c>
      <c r="G594" s="18" t="s">
        <v>40</v>
      </c>
      <c r="H594" s="64">
        <f>LEN(TRIM(Table22[[#This Row],[Country]]))</f>
        <v>6</v>
      </c>
      <c r="I594" s="64">
        <f>LEN(TRIM(Table22[[#This Row],[Continent]]))</f>
        <v>6</v>
      </c>
      <c r="J594" s="64">
        <f>LEN(TRIM(Table22[[#This Row],[Product]]))</f>
        <v>6</v>
      </c>
      <c r="K594" s="64">
        <f>LEN(TRIM(Table22[[#This Row],[Sales Team]]))</f>
        <v>10</v>
      </c>
      <c r="L594" s="23">
        <v>43</v>
      </c>
      <c r="M594" s="65" t="str" cm="1">
        <f t="array" ref="M594">_xlfn.IFS(Table22[[#This Row],[Units Sold]]&lt;40,"Critical",Table22[[#This Row],[Units Sold]]&lt;=50,"Poor",Table22[[#This Row],[Units Sold]]&lt;=60,"Low",Table22[[#This Row],[Units Sold]]&lt;=80,"Average",Table22[[#This Row],[Units Sold]]&lt;=90,"High",Table22[[#This Row],[Units Sold]]&lt;=95,"Excellent",Table22[[#This Row],[Units Sold]]&gt;95,"Outstanding")</f>
        <v>Poor</v>
      </c>
      <c r="N594" s="29">
        <v>1247.02</v>
      </c>
      <c r="O594" s="29">
        <v>53621.86</v>
      </c>
      <c r="P594" s="43">
        <f>IF(Table22[[#This Row],[Discount Applied]],Table22[[#This Row],[Total Sales (in USD)]]*(1-Table22[[#This Row],[Discount Percentage (%)]]/100),Table22[[#This Row],[Total Sales (in USD)]])</f>
        <v>53621.86</v>
      </c>
      <c r="Q594" s="66">
        <f>SQRT(AVERAGE((Table22[[#This Row],[Net Sales (after discount) (in USD)]]-AVERAGE(Table22[Net Sales (after discount) (in USD)]))^2))</f>
        <v>17110.499436235463</v>
      </c>
      <c r="R594" s="18" t="b">
        <v>1</v>
      </c>
      <c r="S594" s="40">
        <v>23.09</v>
      </c>
      <c r="T594" s="18" t="b">
        <v>0</v>
      </c>
      <c r="U594" s="25">
        <v>45207</v>
      </c>
      <c r="V594" s="63" t="str">
        <f>IF(MONTH(Table22[[#This Row],[Sales Date]])&lt;=3,"Q1",IF(MONTH(Table22[[#This Row],[Sales Date]])&lt;=6,"Q2",IF(MONTH(Table22[[#This Row],[Sales Date]])&lt;=9,"Q3","Q4")))</f>
        <v>Q4</v>
      </c>
      <c r="W594" s="64">
        <f>YEAR(Table22[[#This Row],[Sales Date]])</f>
        <v>2023</v>
      </c>
      <c r="X594" s="23">
        <v>38</v>
      </c>
      <c r="Y594" s="18" t="s">
        <v>23</v>
      </c>
      <c r="Z594" s="18" t="s">
        <v>56</v>
      </c>
      <c r="AA594" s="19" t="s">
        <v>36</v>
      </c>
    </row>
    <row r="595" spans="1:27" x14ac:dyDescent="0.25">
      <c r="A595" s="17" t="s">
        <v>1609</v>
      </c>
      <c r="B595" s="18" t="s">
        <v>32</v>
      </c>
      <c r="C595" s="63" t="str" cm="1">
        <f t="array" ref="C595">_xlfn.SWITCH(Table22[[#This Row],[Country]],"USA","North America","Canada","North America","Brazil","South America","China","Asia","Japan","Asia","India","Asia","France","Europe","Germany","Europe","UK","Europe","Australia","Oceania","South America")</f>
        <v>Asia</v>
      </c>
      <c r="D595" s="18" t="s">
        <v>21</v>
      </c>
      <c r="E595" s="18" t="s">
        <v>19</v>
      </c>
      <c r="F595" s="18" t="s">
        <v>47</v>
      </c>
      <c r="G595" s="18" t="s">
        <v>22</v>
      </c>
      <c r="H595" s="64">
        <f>LEN(TRIM(Table22[[#This Row],[Country]]))</f>
        <v>5</v>
      </c>
      <c r="I595" s="64">
        <f>LEN(TRIM(Table22[[#This Row],[Continent]]))</f>
        <v>4</v>
      </c>
      <c r="J595" s="64">
        <f>LEN(TRIM(Table22[[#This Row],[Product]]))</f>
        <v>6</v>
      </c>
      <c r="K595" s="64">
        <f>LEN(TRIM(Table22[[#This Row],[Sales Team]]))</f>
        <v>10</v>
      </c>
      <c r="L595" s="23">
        <v>70</v>
      </c>
      <c r="M595" s="65" t="str" cm="1">
        <f t="array" ref="M595">_xlfn.IFS(Table22[[#This Row],[Units Sold]]&lt;40,"Critical",Table22[[#This Row],[Units Sold]]&lt;=50,"Poor",Table22[[#This Row],[Units Sold]]&lt;=60,"Low",Table22[[#This Row],[Units Sold]]&lt;=80,"Average",Table22[[#This Row],[Units Sold]]&lt;=90,"High",Table22[[#This Row],[Units Sold]]&lt;=95,"Excellent",Table22[[#This Row],[Units Sold]]&gt;95,"Outstanding")</f>
        <v>Average</v>
      </c>
      <c r="N595" s="29">
        <v>764.89</v>
      </c>
      <c r="O595" s="29">
        <v>53542.3</v>
      </c>
      <c r="P595" s="43">
        <f>IF(Table22[[#This Row],[Discount Applied]],Table22[[#This Row],[Total Sales (in USD)]]*(1-Table22[[#This Row],[Discount Percentage (%)]]/100),Table22[[#This Row],[Total Sales (in USD)]])</f>
        <v>53542.3</v>
      </c>
      <c r="Q595" s="66">
        <f>SQRT(AVERAGE((Table22[[#This Row],[Net Sales (after discount) (in USD)]]-AVERAGE(Table22[Net Sales (after discount) (in USD)]))^2))</f>
        <v>17030.939436235465</v>
      </c>
      <c r="R595" s="18" t="b">
        <v>1</v>
      </c>
      <c r="S595" s="40">
        <v>17.420000000000002</v>
      </c>
      <c r="T595" s="18" t="b">
        <v>0</v>
      </c>
      <c r="U595" s="25">
        <v>45221</v>
      </c>
      <c r="V595" s="63" t="str">
        <f>IF(MONTH(Table22[[#This Row],[Sales Date]])&lt;=3,"Q1",IF(MONTH(Table22[[#This Row],[Sales Date]])&lt;=6,"Q2",IF(MONTH(Table22[[#This Row],[Sales Date]])&lt;=9,"Q3","Q4")))</f>
        <v>Q4</v>
      </c>
      <c r="W595" s="64">
        <f>YEAR(Table22[[#This Row],[Sales Date]])</f>
        <v>2023</v>
      </c>
      <c r="X595" s="23">
        <v>21</v>
      </c>
      <c r="Y595" s="18" t="s">
        <v>23</v>
      </c>
      <c r="Z595" s="18" t="s">
        <v>56</v>
      </c>
      <c r="AA595" s="19" t="s">
        <v>36</v>
      </c>
    </row>
    <row r="596" spans="1:27" x14ac:dyDescent="0.25">
      <c r="A596" s="17" t="s">
        <v>1322</v>
      </c>
      <c r="B596" s="18" t="s">
        <v>51</v>
      </c>
      <c r="C596" s="63" t="str" cm="1">
        <f t="array" ref="C596">_xlfn.SWITCH(Table22[[#This Row],[Country]],"USA","North America","Canada","North America","Brazil","South America","China","Asia","Japan","Asia","India","Asia","France","Europe","Germany","Europe","UK","Europe","Australia","Oceania","South America")</f>
        <v>Europe</v>
      </c>
      <c r="D596" s="18" t="s">
        <v>28</v>
      </c>
      <c r="E596" s="18" t="s">
        <v>39</v>
      </c>
      <c r="F596" s="18" t="s">
        <v>52</v>
      </c>
      <c r="G596" s="18" t="s">
        <v>29</v>
      </c>
      <c r="H596" s="64">
        <f>LEN(TRIM(Table22[[#This Row],[Country]]))</f>
        <v>2</v>
      </c>
      <c r="I596" s="64">
        <f>LEN(TRIM(Table22[[#This Row],[Continent]]))</f>
        <v>6</v>
      </c>
      <c r="J596" s="64">
        <f>LEN(TRIM(Table22[[#This Row],[Product]]))</f>
        <v>10</v>
      </c>
      <c r="K596" s="64">
        <f>LEN(TRIM(Table22[[#This Row],[Sales Team]]))</f>
        <v>10</v>
      </c>
      <c r="L596" s="23">
        <v>44</v>
      </c>
      <c r="M596" s="65" t="str" cm="1">
        <f t="array" ref="M596">_xlfn.IFS(Table22[[#This Row],[Units Sold]]&lt;40,"Critical",Table22[[#This Row],[Units Sold]]&lt;=50,"Poor",Table22[[#This Row],[Units Sold]]&lt;=60,"Low",Table22[[#This Row],[Units Sold]]&lt;=80,"Average",Table22[[#This Row],[Units Sold]]&lt;=90,"High",Table22[[#This Row],[Units Sold]]&lt;=95,"Excellent",Table22[[#This Row],[Units Sold]]&gt;95,"Outstanding")</f>
        <v>Poor</v>
      </c>
      <c r="N596" s="29">
        <v>1213.57</v>
      </c>
      <c r="O596" s="29">
        <v>53397.08</v>
      </c>
      <c r="P596" s="43">
        <f>IF(Table22[[#This Row],[Discount Applied]],Table22[[#This Row],[Total Sales (in USD)]]*(1-Table22[[#This Row],[Discount Percentage (%)]]/100),Table22[[#This Row],[Total Sales (in USD)]])</f>
        <v>53397.08</v>
      </c>
      <c r="Q596" s="66">
        <f>SQRT(AVERAGE((Table22[[#This Row],[Net Sales (after discount) (in USD)]]-AVERAGE(Table22[Net Sales (after discount) (in USD)]))^2))</f>
        <v>16885.719436235464</v>
      </c>
      <c r="R596" s="18" t="b">
        <v>0</v>
      </c>
      <c r="S596" s="40">
        <v>7.91</v>
      </c>
      <c r="T596" s="18" t="b">
        <v>0</v>
      </c>
      <c r="U596" s="25">
        <v>45442</v>
      </c>
      <c r="V596" s="63" t="str">
        <f>IF(MONTH(Table22[[#This Row],[Sales Date]])&lt;=3,"Q1",IF(MONTH(Table22[[#This Row],[Sales Date]])&lt;=6,"Q2",IF(MONTH(Table22[[#This Row],[Sales Date]])&lt;=9,"Q3","Q4")))</f>
        <v>Q2</v>
      </c>
      <c r="W596" s="64">
        <f>YEAR(Table22[[#This Row],[Sales Date]])</f>
        <v>2024</v>
      </c>
      <c r="X596" s="23">
        <v>34</v>
      </c>
      <c r="Y596" s="18" t="s">
        <v>23</v>
      </c>
      <c r="Z596" s="18" t="s">
        <v>42</v>
      </c>
      <c r="AA596" s="19" t="s">
        <v>25</v>
      </c>
    </row>
    <row r="597" spans="1:27" x14ac:dyDescent="0.25">
      <c r="A597" s="17" t="s">
        <v>835</v>
      </c>
      <c r="B597" s="18" t="s">
        <v>46</v>
      </c>
      <c r="C597" s="63" t="str" cm="1">
        <f t="array" ref="C597">_xlfn.SWITCH(Table22[[#This Row],[Country]],"USA","North America","Canada","North America","Brazil","South America","China","Asia","Japan","Asia","India","Asia","France","Europe","Germany","Europe","UK","Europe","Australia","Oceania","South America")</f>
        <v>South America</v>
      </c>
      <c r="D597" s="18" t="s">
        <v>21</v>
      </c>
      <c r="E597" s="18" t="s">
        <v>19</v>
      </c>
      <c r="F597" s="18" t="s">
        <v>34</v>
      </c>
      <c r="G597" s="18" t="s">
        <v>29</v>
      </c>
      <c r="H597" s="64">
        <f>LEN(TRIM(Table22[[#This Row],[Country]]))</f>
        <v>6</v>
      </c>
      <c r="I597" s="64">
        <f>LEN(TRIM(Table22[[#This Row],[Continent]]))</f>
        <v>13</v>
      </c>
      <c r="J597" s="64">
        <f>LEN(TRIM(Table22[[#This Row],[Product]]))</f>
        <v>6</v>
      </c>
      <c r="K597" s="64">
        <f>LEN(TRIM(Table22[[#This Row],[Sales Team]]))</f>
        <v>10</v>
      </c>
      <c r="L597" s="23">
        <v>69</v>
      </c>
      <c r="M597" s="65" t="str" cm="1">
        <f t="array" ref="M597">_xlfn.IFS(Table22[[#This Row],[Units Sold]]&lt;40,"Critical",Table22[[#This Row],[Units Sold]]&lt;=50,"Poor",Table22[[#This Row],[Units Sold]]&lt;=60,"Low",Table22[[#This Row],[Units Sold]]&lt;=80,"Average",Table22[[#This Row],[Units Sold]]&lt;=90,"High",Table22[[#This Row],[Units Sold]]&lt;=95,"Excellent",Table22[[#This Row],[Units Sold]]&gt;95,"Outstanding")</f>
        <v>Average</v>
      </c>
      <c r="N597" s="29">
        <v>770.78</v>
      </c>
      <c r="O597" s="29">
        <v>53183.82</v>
      </c>
      <c r="P597" s="43">
        <f>IF(Table22[[#This Row],[Discount Applied]],Table22[[#This Row],[Total Sales (in USD)]]*(1-Table22[[#This Row],[Discount Percentage (%)]]/100),Table22[[#This Row],[Total Sales (in USD)]])</f>
        <v>53183.82</v>
      </c>
      <c r="Q597" s="66">
        <f>SQRT(AVERAGE((Table22[[#This Row],[Net Sales (after discount) (in USD)]]-AVERAGE(Table22[Net Sales (after discount) (in USD)]))^2))</f>
        <v>16672.459436235462</v>
      </c>
      <c r="R597" s="18" t="b">
        <v>0</v>
      </c>
      <c r="S597" s="40">
        <v>20.57</v>
      </c>
      <c r="T597" s="18" t="b">
        <v>0</v>
      </c>
      <c r="U597" s="25">
        <v>45552</v>
      </c>
      <c r="V597" s="63" t="str">
        <f>IF(MONTH(Table22[[#This Row],[Sales Date]])&lt;=3,"Q1",IF(MONTH(Table22[[#This Row],[Sales Date]])&lt;=6,"Q2",IF(MONTH(Table22[[#This Row],[Sales Date]])&lt;=9,"Q3","Q4")))</f>
        <v>Q3</v>
      </c>
      <c r="W597" s="64">
        <f>YEAR(Table22[[#This Row],[Sales Date]])</f>
        <v>2024</v>
      </c>
      <c r="X597" s="23">
        <v>35</v>
      </c>
      <c r="Y597" s="18" t="s">
        <v>23</v>
      </c>
      <c r="Z597" s="18" t="s">
        <v>56</v>
      </c>
      <c r="AA597" s="19" t="s">
        <v>36</v>
      </c>
    </row>
    <row r="598" spans="1:27" x14ac:dyDescent="0.25">
      <c r="A598" s="17" t="s">
        <v>772</v>
      </c>
      <c r="B598" s="18" t="s">
        <v>46</v>
      </c>
      <c r="C598" s="63" t="str" cm="1">
        <f t="array" ref="C598">_xlfn.SWITCH(Table22[[#This Row],[Country]],"USA","North America","Canada","North America","Brazil","South America","China","Asia","Japan","Asia","India","Asia","France","Europe","Germany","Europe","UK","Europe","Australia","Oceania","South America")</f>
        <v>South America</v>
      </c>
      <c r="D598" s="18" t="s">
        <v>28</v>
      </c>
      <c r="E598" s="18" t="s">
        <v>19</v>
      </c>
      <c r="F598" s="18" t="s">
        <v>64</v>
      </c>
      <c r="G598" s="18" t="s">
        <v>29</v>
      </c>
      <c r="H598" s="64">
        <f>LEN(TRIM(Table22[[#This Row],[Country]]))</f>
        <v>6</v>
      </c>
      <c r="I598" s="64">
        <f>LEN(TRIM(Table22[[#This Row],[Continent]]))</f>
        <v>13</v>
      </c>
      <c r="J598" s="64">
        <f>LEN(TRIM(Table22[[#This Row],[Product]]))</f>
        <v>6</v>
      </c>
      <c r="K598" s="64">
        <f>LEN(TRIM(Table22[[#This Row],[Sales Team]]))</f>
        <v>10</v>
      </c>
      <c r="L598" s="23">
        <v>37</v>
      </c>
      <c r="M598" s="65" t="str" cm="1">
        <f t="array" ref="M598">_xlfn.IFS(Table22[[#This Row],[Units Sold]]&lt;40,"Critical",Table22[[#This Row],[Units Sold]]&lt;=50,"Poor",Table22[[#This Row],[Units Sold]]&lt;=60,"Low",Table22[[#This Row],[Units Sold]]&lt;=80,"Average",Table22[[#This Row],[Units Sold]]&lt;=90,"High",Table22[[#This Row],[Units Sold]]&lt;=95,"Excellent",Table22[[#This Row],[Units Sold]]&gt;95,"Outstanding")</f>
        <v>Critical</v>
      </c>
      <c r="N598" s="29">
        <v>1436.01</v>
      </c>
      <c r="O598" s="29">
        <v>53132.37</v>
      </c>
      <c r="P598" s="43">
        <f>IF(Table22[[#This Row],[Discount Applied]],Table22[[#This Row],[Total Sales (in USD)]]*(1-Table22[[#This Row],[Discount Percentage (%)]]/100),Table22[[#This Row],[Total Sales (in USD)]])</f>
        <v>37665.537093000006</v>
      </c>
      <c r="Q598" s="66">
        <f>SQRT(AVERAGE((Table22[[#This Row],[Net Sales (after discount) (in USD)]]-AVERAGE(Table22[Net Sales (after discount) (in USD)]))^2))</f>
        <v>1154.1765292354685</v>
      </c>
      <c r="R598" s="18" t="b">
        <v>1</v>
      </c>
      <c r="S598" s="40">
        <v>29.11</v>
      </c>
      <c r="T598" s="18" t="b">
        <v>1</v>
      </c>
      <c r="U598" s="25">
        <v>45025</v>
      </c>
      <c r="V598" s="63" t="str">
        <f>IF(MONTH(Table22[[#This Row],[Sales Date]])&lt;=3,"Q1",IF(MONTH(Table22[[#This Row],[Sales Date]])&lt;=6,"Q2",IF(MONTH(Table22[[#This Row],[Sales Date]])&lt;=9,"Q3","Q4")))</f>
        <v>Q2</v>
      </c>
      <c r="W598" s="64">
        <f>YEAR(Table22[[#This Row],[Sales Date]])</f>
        <v>2023</v>
      </c>
      <c r="X598" s="23">
        <v>69</v>
      </c>
      <c r="Y598" s="18" t="s">
        <v>41</v>
      </c>
      <c r="Z598" s="18" t="s">
        <v>30</v>
      </c>
      <c r="AA598" s="19" t="s">
        <v>36</v>
      </c>
    </row>
    <row r="599" spans="1:27" x14ac:dyDescent="0.25">
      <c r="A599" s="17" t="s">
        <v>1352</v>
      </c>
      <c r="B599" s="18" t="s">
        <v>18</v>
      </c>
      <c r="C599" s="63" t="str" cm="1">
        <f t="array" ref="C599">_xlfn.SWITCH(Table22[[#This Row],[Country]],"USA","North America","Canada","North America","Brazil","South America","China","Asia","Japan","Asia","India","Asia","France","Europe","Germany","Europe","UK","Europe","Australia","Oceania","South America")</f>
        <v>Asia</v>
      </c>
      <c r="D599" s="18" t="s">
        <v>44</v>
      </c>
      <c r="E599" s="18" t="s">
        <v>39</v>
      </c>
      <c r="F599" s="18" t="s">
        <v>47</v>
      </c>
      <c r="G599" s="18" t="s">
        <v>40</v>
      </c>
      <c r="H599" s="64">
        <f>LEN(TRIM(Table22[[#This Row],[Country]]))</f>
        <v>5</v>
      </c>
      <c r="I599" s="64">
        <f>LEN(TRIM(Table22[[#This Row],[Continent]]))</f>
        <v>4</v>
      </c>
      <c r="J599" s="64">
        <f>LEN(TRIM(Table22[[#This Row],[Product]]))</f>
        <v>10</v>
      </c>
      <c r="K599" s="64">
        <f>LEN(TRIM(Table22[[#This Row],[Sales Team]]))</f>
        <v>10</v>
      </c>
      <c r="L599" s="23">
        <v>54</v>
      </c>
      <c r="M599" s="65" t="str" cm="1">
        <f t="array" ref="M599">_xlfn.IFS(Table22[[#This Row],[Units Sold]]&lt;40,"Critical",Table22[[#This Row],[Units Sold]]&lt;=50,"Poor",Table22[[#This Row],[Units Sold]]&lt;=60,"Low",Table22[[#This Row],[Units Sold]]&lt;=80,"Average",Table22[[#This Row],[Units Sold]]&lt;=90,"High",Table22[[#This Row],[Units Sold]]&lt;=95,"Excellent",Table22[[#This Row],[Units Sold]]&gt;95,"Outstanding")</f>
        <v>Low</v>
      </c>
      <c r="N599" s="29">
        <v>983.65</v>
      </c>
      <c r="O599" s="29">
        <v>53117.1</v>
      </c>
      <c r="P599" s="43">
        <f>IF(Table22[[#This Row],[Discount Applied]],Table22[[#This Row],[Total Sales (in USD)]]*(1-Table22[[#This Row],[Discount Percentage (%)]]/100),Table22[[#This Row],[Total Sales (in USD)]])</f>
        <v>53117.1</v>
      </c>
      <c r="Q599" s="66">
        <f>SQRT(AVERAGE((Table22[[#This Row],[Net Sales (after discount) (in USD)]]-AVERAGE(Table22[Net Sales (after discount) (in USD)]))^2))</f>
        <v>16605.739436235461</v>
      </c>
      <c r="R599" s="18" t="b">
        <v>0</v>
      </c>
      <c r="S599" s="40">
        <v>21.19</v>
      </c>
      <c r="T599" s="18" t="b">
        <v>0</v>
      </c>
      <c r="U599" s="25">
        <v>45055</v>
      </c>
      <c r="V599" s="63" t="str">
        <f>IF(MONTH(Table22[[#This Row],[Sales Date]])&lt;=3,"Q1",IF(MONTH(Table22[[#This Row],[Sales Date]])&lt;=6,"Q2",IF(MONTH(Table22[[#This Row],[Sales Date]])&lt;=9,"Q3","Q4")))</f>
        <v>Q2</v>
      </c>
      <c r="W599" s="64">
        <f>YEAR(Table22[[#This Row],[Sales Date]])</f>
        <v>2023</v>
      </c>
      <c r="X599" s="23">
        <v>53</v>
      </c>
      <c r="Y599" s="18" t="s">
        <v>41</v>
      </c>
      <c r="Z599" s="18" t="s">
        <v>30</v>
      </c>
      <c r="AA599" s="19" t="s">
        <v>25</v>
      </c>
    </row>
    <row r="600" spans="1:27" x14ac:dyDescent="0.25">
      <c r="A600" s="17" t="s">
        <v>1438</v>
      </c>
      <c r="B600" s="18" t="s">
        <v>27</v>
      </c>
      <c r="C600" s="63" t="str" cm="1">
        <f t="array" ref="C600">_xlfn.SWITCH(Table22[[#This Row],[Country]],"USA","North America","Canada","North America","Brazil","South America","China","Asia","Japan","Asia","India","Asia","France","Europe","Germany","Europe","UK","Europe","Australia","Oceania","South America")</f>
        <v>Europe</v>
      </c>
      <c r="D600" s="18" t="s">
        <v>44</v>
      </c>
      <c r="E600" s="18" t="s">
        <v>19</v>
      </c>
      <c r="F600" s="18" t="s">
        <v>20</v>
      </c>
      <c r="G600" s="18" t="s">
        <v>40</v>
      </c>
      <c r="H600" s="64">
        <f>LEN(TRIM(Table22[[#This Row],[Country]]))</f>
        <v>7</v>
      </c>
      <c r="I600" s="64">
        <f>LEN(TRIM(Table22[[#This Row],[Continent]]))</f>
        <v>6</v>
      </c>
      <c r="J600" s="64">
        <f>LEN(TRIM(Table22[[#This Row],[Product]]))</f>
        <v>6</v>
      </c>
      <c r="K600" s="64">
        <f>LEN(TRIM(Table22[[#This Row],[Sales Team]]))</f>
        <v>10</v>
      </c>
      <c r="L600" s="23">
        <v>67</v>
      </c>
      <c r="M600" s="65" t="str" cm="1">
        <f t="array" ref="M600">_xlfn.IFS(Table22[[#This Row],[Units Sold]]&lt;40,"Critical",Table22[[#This Row],[Units Sold]]&lt;=50,"Poor",Table22[[#This Row],[Units Sold]]&lt;=60,"Low",Table22[[#This Row],[Units Sold]]&lt;=80,"Average",Table22[[#This Row],[Units Sold]]&lt;=90,"High",Table22[[#This Row],[Units Sold]]&lt;=95,"Excellent",Table22[[#This Row],[Units Sold]]&gt;95,"Outstanding")</f>
        <v>Average</v>
      </c>
      <c r="N600" s="29">
        <v>792.71</v>
      </c>
      <c r="O600" s="29">
        <v>53111.57</v>
      </c>
      <c r="P600" s="43">
        <f>IF(Table22[[#This Row],[Discount Applied]],Table22[[#This Row],[Total Sales (in USD)]]*(1-Table22[[#This Row],[Discount Percentage (%)]]/100),Table22[[#This Row],[Total Sales (in USD)]])</f>
        <v>48528.041508999995</v>
      </c>
      <c r="Q600" s="66">
        <f>SQRT(AVERAGE((Table22[[#This Row],[Net Sales (after discount) (in USD)]]-AVERAGE(Table22[Net Sales (after discount) (in USD)]))^2))</f>
        <v>12016.680945235457</v>
      </c>
      <c r="R600" s="18" t="b">
        <v>0</v>
      </c>
      <c r="S600" s="40">
        <v>8.6300000000000008</v>
      </c>
      <c r="T600" s="18" t="b">
        <v>1</v>
      </c>
      <c r="U600" s="25">
        <v>45283</v>
      </c>
      <c r="V600" s="63" t="str">
        <f>IF(MONTH(Table22[[#This Row],[Sales Date]])&lt;=3,"Q1",IF(MONTH(Table22[[#This Row],[Sales Date]])&lt;=6,"Q2",IF(MONTH(Table22[[#This Row],[Sales Date]])&lt;=9,"Q3","Q4")))</f>
        <v>Q4</v>
      </c>
      <c r="W600" s="64">
        <f>YEAR(Table22[[#This Row],[Sales Date]])</f>
        <v>2023</v>
      </c>
      <c r="X600" s="23">
        <v>23</v>
      </c>
      <c r="Y600" s="18" t="s">
        <v>23</v>
      </c>
      <c r="Z600" s="18" t="s">
        <v>56</v>
      </c>
      <c r="AA600" s="19" t="s">
        <v>25</v>
      </c>
    </row>
    <row r="601" spans="1:27" x14ac:dyDescent="0.25">
      <c r="A601" s="17" t="s">
        <v>970</v>
      </c>
      <c r="B601" s="18" t="s">
        <v>38</v>
      </c>
      <c r="C601" s="63" t="str" cm="1">
        <f t="array" ref="C601">_xlfn.SWITCH(Table22[[#This Row],[Country]],"USA","North America","Canada","North America","Brazil","South America","China","Asia","Japan","Asia","India","Asia","France","Europe","Germany","Europe","UK","Europe","Australia","Oceania","South America")</f>
        <v>Europe</v>
      </c>
      <c r="D601" s="18" t="s">
        <v>35</v>
      </c>
      <c r="E601" s="18" t="s">
        <v>39</v>
      </c>
      <c r="F601" s="18" t="s">
        <v>52</v>
      </c>
      <c r="G601" s="18" t="s">
        <v>40</v>
      </c>
      <c r="H601" s="64">
        <f>LEN(TRIM(Table22[[#This Row],[Country]]))</f>
        <v>6</v>
      </c>
      <c r="I601" s="64">
        <f>LEN(TRIM(Table22[[#This Row],[Continent]]))</f>
        <v>6</v>
      </c>
      <c r="J601" s="64">
        <f>LEN(TRIM(Table22[[#This Row],[Product]]))</f>
        <v>10</v>
      </c>
      <c r="K601" s="64">
        <f>LEN(TRIM(Table22[[#This Row],[Sales Team]]))</f>
        <v>10</v>
      </c>
      <c r="L601" s="23">
        <v>71</v>
      </c>
      <c r="M601" s="65" t="str" cm="1">
        <f t="array" ref="M601">_xlfn.IFS(Table22[[#This Row],[Units Sold]]&lt;40,"Critical",Table22[[#This Row],[Units Sold]]&lt;=50,"Poor",Table22[[#This Row],[Units Sold]]&lt;=60,"Low",Table22[[#This Row],[Units Sold]]&lt;=80,"Average",Table22[[#This Row],[Units Sold]]&lt;=90,"High",Table22[[#This Row],[Units Sold]]&lt;=95,"Excellent",Table22[[#This Row],[Units Sold]]&gt;95,"Outstanding")</f>
        <v>Average</v>
      </c>
      <c r="N601" s="29">
        <v>746.97</v>
      </c>
      <c r="O601" s="29">
        <v>53034.87</v>
      </c>
      <c r="P601" s="43">
        <f>IF(Table22[[#This Row],[Discount Applied]],Table22[[#This Row],[Total Sales (in USD)]]*(1-Table22[[#This Row],[Discount Percentage (%)]]/100),Table22[[#This Row],[Total Sales (in USD)]])</f>
        <v>53034.87</v>
      </c>
      <c r="Q601" s="66">
        <f>SQRT(AVERAGE((Table22[[#This Row],[Net Sales (after discount) (in USD)]]-AVERAGE(Table22[Net Sales (after discount) (in USD)]))^2))</f>
        <v>16523.509436235465</v>
      </c>
      <c r="R601" s="18" t="b">
        <v>0</v>
      </c>
      <c r="S601" s="40">
        <v>4.16</v>
      </c>
      <c r="T601" s="18" t="b">
        <v>0</v>
      </c>
      <c r="U601" s="25">
        <v>45581</v>
      </c>
      <c r="V601" s="63" t="str">
        <f>IF(MONTH(Table22[[#This Row],[Sales Date]])&lt;=3,"Q1",IF(MONTH(Table22[[#This Row],[Sales Date]])&lt;=6,"Q2",IF(MONTH(Table22[[#This Row],[Sales Date]])&lt;=9,"Q3","Q4")))</f>
        <v>Q4</v>
      </c>
      <c r="W601" s="64">
        <f>YEAR(Table22[[#This Row],[Sales Date]])</f>
        <v>2024</v>
      </c>
      <c r="X601" s="23">
        <v>59</v>
      </c>
      <c r="Y601" s="18" t="s">
        <v>41</v>
      </c>
      <c r="Z601" s="18" t="s">
        <v>42</v>
      </c>
      <c r="AA601" s="19" t="s">
        <v>25</v>
      </c>
    </row>
    <row r="602" spans="1:27" x14ac:dyDescent="0.25">
      <c r="A602" s="17" t="s">
        <v>283</v>
      </c>
      <c r="B602" s="18" t="s">
        <v>72</v>
      </c>
      <c r="C602" s="63" t="str" cm="1">
        <f t="array" ref="C602">_xlfn.SWITCH(Table22[[#This Row],[Country]],"USA","North America","Canada","North America","Brazil","South America","China","Asia","Japan","Asia","India","Asia","France","Europe","Germany","Europe","UK","Europe","Australia","Oceania","South America")</f>
        <v>North America</v>
      </c>
      <c r="D602" s="18" t="s">
        <v>35</v>
      </c>
      <c r="E602" s="18" t="s">
        <v>39</v>
      </c>
      <c r="F602" s="18" t="s">
        <v>20</v>
      </c>
      <c r="G602" s="18" t="s">
        <v>40</v>
      </c>
      <c r="H602" s="64">
        <f>LEN(TRIM(Table22[[#This Row],[Country]]))</f>
        <v>3</v>
      </c>
      <c r="I602" s="64">
        <f>LEN(TRIM(Table22[[#This Row],[Continent]]))</f>
        <v>13</v>
      </c>
      <c r="J602" s="64">
        <f>LEN(TRIM(Table22[[#This Row],[Product]]))</f>
        <v>10</v>
      </c>
      <c r="K602" s="64">
        <f>LEN(TRIM(Table22[[#This Row],[Sales Team]]))</f>
        <v>10</v>
      </c>
      <c r="L602" s="23">
        <v>49</v>
      </c>
      <c r="M602" s="65" t="str" cm="1">
        <f t="array" ref="M602">_xlfn.IFS(Table22[[#This Row],[Units Sold]]&lt;40,"Critical",Table22[[#This Row],[Units Sold]]&lt;=50,"Poor",Table22[[#This Row],[Units Sold]]&lt;=60,"Low",Table22[[#This Row],[Units Sold]]&lt;=80,"Average",Table22[[#This Row],[Units Sold]]&lt;=90,"High",Table22[[#This Row],[Units Sold]]&lt;=95,"Excellent",Table22[[#This Row],[Units Sold]]&gt;95,"Outstanding")</f>
        <v>Poor</v>
      </c>
      <c r="N602" s="29">
        <v>1080.93</v>
      </c>
      <c r="O602" s="29">
        <v>52965.57</v>
      </c>
      <c r="P602" s="43">
        <f>IF(Table22[[#This Row],[Discount Applied]],Table22[[#This Row],[Total Sales (in USD)]]*(1-Table22[[#This Row],[Discount Percentage (%)]]/100),Table22[[#This Row],[Total Sales (in USD)]])</f>
        <v>39152.149344000005</v>
      </c>
      <c r="Q602" s="66">
        <f>SQRT(AVERAGE((Table22[[#This Row],[Net Sales (after discount) (in USD)]]-AVERAGE(Table22[Net Sales (after discount) (in USD)]))^2))</f>
        <v>2640.7887802354671</v>
      </c>
      <c r="R602" s="18" t="b">
        <v>0</v>
      </c>
      <c r="S602" s="40">
        <v>26.08</v>
      </c>
      <c r="T602" s="18" t="b">
        <v>1</v>
      </c>
      <c r="U602" s="25">
        <v>45561</v>
      </c>
      <c r="V602" s="63" t="str">
        <f>IF(MONTH(Table22[[#This Row],[Sales Date]])&lt;=3,"Q1",IF(MONTH(Table22[[#This Row],[Sales Date]])&lt;=6,"Q2",IF(MONTH(Table22[[#This Row],[Sales Date]])&lt;=9,"Q3","Q4")))</f>
        <v>Q3</v>
      </c>
      <c r="W602" s="64">
        <f>YEAR(Table22[[#This Row],[Sales Date]])</f>
        <v>2024</v>
      </c>
      <c r="X602" s="23">
        <v>54</v>
      </c>
      <c r="Y602" s="18" t="s">
        <v>49</v>
      </c>
      <c r="Z602" s="18" t="s">
        <v>24</v>
      </c>
      <c r="AA602" s="19" t="s">
        <v>36</v>
      </c>
    </row>
    <row r="603" spans="1:27" x14ac:dyDescent="0.25">
      <c r="A603" s="17" t="s">
        <v>501</v>
      </c>
      <c r="B603" s="18" t="s">
        <v>51</v>
      </c>
      <c r="C603" s="63" t="str" cm="1">
        <f t="array" ref="C603">_xlfn.SWITCH(Table22[[#This Row],[Country]],"USA","North America","Canada","North America","Brazil","South America","China","Asia","Japan","Asia","India","Asia","France","Europe","Germany","Europe","UK","Europe","Australia","Oceania","South America")</f>
        <v>Europe</v>
      </c>
      <c r="D603" s="18" t="s">
        <v>35</v>
      </c>
      <c r="E603" s="18" t="s">
        <v>39</v>
      </c>
      <c r="F603" s="18" t="s">
        <v>64</v>
      </c>
      <c r="G603" s="18" t="s">
        <v>22</v>
      </c>
      <c r="H603" s="64">
        <f>LEN(TRIM(Table22[[#This Row],[Country]]))</f>
        <v>2</v>
      </c>
      <c r="I603" s="64">
        <f>LEN(TRIM(Table22[[#This Row],[Continent]]))</f>
        <v>6</v>
      </c>
      <c r="J603" s="64">
        <f>LEN(TRIM(Table22[[#This Row],[Product]]))</f>
        <v>10</v>
      </c>
      <c r="K603" s="64">
        <f>LEN(TRIM(Table22[[#This Row],[Sales Team]]))</f>
        <v>10</v>
      </c>
      <c r="L603" s="23">
        <v>57</v>
      </c>
      <c r="M603" s="65" t="str" cm="1">
        <f t="array" ref="M603">_xlfn.IFS(Table22[[#This Row],[Units Sold]]&lt;40,"Critical",Table22[[#This Row],[Units Sold]]&lt;=50,"Poor",Table22[[#This Row],[Units Sold]]&lt;=60,"Low",Table22[[#This Row],[Units Sold]]&lt;=80,"Average",Table22[[#This Row],[Units Sold]]&lt;=90,"High",Table22[[#This Row],[Units Sold]]&lt;=95,"Excellent",Table22[[#This Row],[Units Sold]]&gt;95,"Outstanding")</f>
        <v>Low</v>
      </c>
      <c r="N603" s="29">
        <v>926.96</v>
      </c>
      <c r="O603" s="29">
        <v>52836.72</v>
      </c>
      <c r="P603" s="43">
        <f>IF(Table22[[#This Row],[Discount Applied]],Table22[[#This Row],[Total Sales (in USD)]]*(1-Table22[[#This Row],[Discount Percentage (%)]]/100),Table22[[#This Row],[Total Sales (in USD)]])</f>
        <v>52836.72</v>
      </c>
      <c r="Q603" s="66">
        <f>SQRT(AVERAGE((Table22[[#This Row],[Net Sales (after discount) (in USD)]]-AVERAGE(Table22[Net Sales (after discount) (in USD)]))^2))</f>
        <v>16325.359436235463</v>
      </c>
      <c r="R603" s="18" t="b">
        <v>1</v>
      </c>
      <c r="S603" s="40">
        <v>24.87</v>
      </c>
      <c r="T603" s="18" t="b">
        <v>0</v>
      </c>
      <c r="U603" s="25">
        <v>45020</v>
      </c>
      <c r="V603" s="63" t="str">
        <f>IF(MONTH(Table22[[#This Row],[Sales Date]])&lt;=3,"Q1",IF(MONTH(Table22[[#This Row],[Sales Date]])&lt;=6,"Q2",IF(MONTH(Table22[[#This Row],[Sales Date]])&lt;=9,"Q3","Q4")))</f>
        <v>Q2</v>
      </c>
      <c r="W603" s="64">
        <f>YEAR(Table22[[#This Row],[Sales Date]])</f>
        <v>2023</v>
      </c>
      <c r="X603" s="23">
        <v>21</v>
      </c>
      <c r="Y603" s="18" t="s">
        <v>41</v>
      </c>
      <c r="Z603" s="18" t="s">
        <v>56</v>
      </c>
      <c r="AA603" s="19" t="s">
        <v>25</v>
      </c>
    </row>
    <row r="604" spans="1:27" x14ac:dyDescent="0.25">
      <c r="A604" s="17" t="s">
        <v>1734</v>
      </c>
      <c r="B604" s="18" t="s">
        <v>72</v>
      </c>
      <c r="C604" s="63" t="str" cm="1">
        <f t="array" ref="C604">_xlfn.SWITCH(Table22[[#This Row],[Country]],"USA","North America","Canada","North America","Brazil","South America","China","Asia","Japan","Asia","India","Asia","France","Europe","Germany","Europe","UK","Europe","Australia","Oceania","South America")</f>
        <v>North America</v>
      </c>
      <c r="D604" s="18" t="s">
        <v>21</v>
      </c>
      <c r="E604" s="18" t="s">
        <v>19</v>
      </c>
      <c r="F604" s="18" t="s">
        <v>64</v>
      </c>
      <c r="G604" s="18" t="s">
        <v>29</v>
      </c>
      <c r="H604" s="64">
        <f>LEN(TRIM(Table22[[#This Row],[Country]]))</f>
        <v>3</v>
      </c>
      <c r="I604" s="64">
        <f>LEN(TRIM(Table22[[#This Row],[Continent]]))</f>
        <v>13</v>
      </c>
      <c r="J604" s="64">
        <f>LEN(TRIM(Table22[[#This Row],[Product]]))</f>
        <v>6</v>
      </c>
      <c r="K604" s="64">
        <f>LEN(TRIM(Table22[[#This Row],[Sales Team]]))</f>
        <v>10</v>
      </c>
      <c r="L604" s="23">
        <v>56</v>
      </c>
      <c r="M604" s="65" t="str" cm="1">
        <f t="array" ref="M604">_xlfn.IFS(Table22[[#This Row],[Units Sold]]&lt;40,"Critical",Table22[[#This Row],[Units Sold]]&lt;=50,"Poor",Table22[[#This Row],[Units Sold]]&lt;=60,"Low",Table22[[#This Row],[Units Sold]]&lt;=80,"Average",Table22[[#This Row],[Units Sold]]&lt;=90,"High",Table22[[#This Row],[Units Sold]]&lt;=95,"Excellent",Table22[[#This Row],[Units Sold]]&gt;95,"Outstanding")</f>
        <v>Low</v>
      </c>
      <c r="N604" s="29">
        <v>942.64</v>
      </c>
      <c r="O604" s="29">
        <v>52787.839999999997</v>
      </c>
      <c r="P604" s="43">
        <f>IF(Table22[[#This Row],[Discount Applied]],Table22[[#This Row],[Total Sales (in USD)]]*(1-Table22[[#This Row],[Discount Percentage (%)]]/100),Table22[[#This Row],[Total Sales (in USD)]])</f>
        <v>42119.417536000001</v>
      </c>
      <c r="Q604" s="66">
        <f>SQRT(AVERAGE((Table22[[#This Row],[Net Sales (after discount) (in USD)]]-AVERAGE(Table22[Net Sales (after discount) (in USD)]))^2))</f>
        <v>5608.056972235463</v>
      </c>
      <c r="R604" s="18" t="b">
        <v>1</v>
      </c>
      <c r="S604" s="40">
        <v>20.21</v>
      </c>
      <c r="T604" s="18" t="b">
        <v>1</v>
      </c>
      <c r="U604" s="25">
        <v>45352</v>
      </c>
      <c r="V604" s="63" t="str">
        <f>IF(MONTH(Table22[[#This Row],[Sales Date]])&lt;=3,"Q1",IF(MONTH(Table22[[#This Row],[Sales Date]])&lt;=6,"Q2",IF(MONTH(Table22[[#This Row],[Sales Date]])&lt;=9,"Q3","Q4")))</f>
        <v>Q1</v>
      </c>
      <c r="W604" s="64">
        <f>YEAR(Table22[[#This Row],[Sales Date]])</f>
        <v>2024</v>
      </c>
      <c r="X604" s="23">
        <v>67</v>
      </c>
      <c r="Y604" s="18" t="s">
        <v>23</v>
      </c>
      <c r="Z604" s="18" t="s">
        <v>30</v>
      </c>
      <c r="AA604" s="19" t="s">
        <v>36</v>
      </c>
    </row>
    <row r="605" spans="1:27" x14ac:dyDescent="0.25">
      <c r="A605" s="17" t="s">
        <v>1537</v>
      </c>
      <c r="B605" s="18" t="s">
        <v>66</v>
      </c>
      <c r="C605" s="63" t="str" cm="1">
        <f t="array" ref="C605">_xlfn.SWITCH(Table22[[#This Row],[Country]],"USA","North America","Canada","North America","Brazil","South America","China","Asia","Japan","Asia","India","Asia","France","Europe","Germany","Europe","UK","Europe","Australia","Oceania","South America")</f>
        <v>North America</v>
      </c>
      <c r="D605" s="18" t="s">
        <v>21</v>
      </c>
      <c r="E605" s="18" t="s">
        <v>39</v>
      </c>
      <c r="F605" s="18" t="s">
        <v>52</v>
      </c>
      <c r="G605" s="18" t="s">
        <v>29</v>
      </c>
      <c r="H605" s="64">
        <f>LEN(TRIM(Table22[[#This Row],[Country]]))</f>
        <v>6</v>
      </c>
      <c r="I605" s="64">
        <f>LEN(TRIM(Table22[[#This Row],[Continent]]))</f>
        <v>13</v>
      </c>
      <c r="J605" s="64">
        <f>LEN(TRIM(Table22[[#This Row],[Product]]))</f>
        <v>10</v>
      </c>
      <c r="K605" s="64">
        <f>LEN(TRIM(Table22[[#This Row],[Sales Team]]))</f>
        <v>10</v>
      </c>
      <c r="L605" s="23">
        <v>97</v>
      </c>
      <c r="M605" s="65" t="str" cm="1">
        <f t="array" ref="M605">_xlfn.IFS(Table22[[#This Row],[Units Sold]]&lt;40,"Critical",Table22[[#This Row],[Units Sold]]&lt;=50,"Poor",Table22[[#This Row],[Units Sold]]&lt;=60,"Low",Table22[[#This Row],[Units Sold]]&lt;=80,"Average",Table22[[#This Row],[Units Sold]]&lt;=90,"High",Table22[[#This Row],[Units Sold]]&lt;=95,"Excellent",Table22[[#This Row],[Units Sold]]&gt;95,"Outstanding")</f>
        <v>Outstanding</v>
      </c>
      <c r="N605" s="29">
        <v>543.95000000000005</v>
      </c>
      <c r="O605" s="29">
        <v>52763.15</v>
      </c>
      <c r="P605" s="43">
        <f>IF(Table22[[#This Row],[Discount Applied]],Table22[[#This Row],[Total Sales (in USD)]]*(1-Table22[[#This Row],[Discount Percentage (%)]]/100),Table22[[#This Row],[Total Sales (in USD)]])</f>
        <v>44859.230129999996</v>
      </c>
      <c r="Q605" s="66">
        <f>SQRT(AVERAGE((Table22[[#This Row],[Net Sales (after discount) (in USD)]]-AVERAGE(Table22[Net Sales (after discount) (in USD)]))^2))</f>
        <v>8347.8695662354585</v>
      </c>
      <c r="R605" s="18" t="b">
        <v>1</v>
      </c>
      <c r="S605" s="40">
        <v>14.98</v>
      </c>
      <c r="T605" s="18" t="b">
        <v>1</v>
      </c>
      <c r="U605" s="25">
        <v>45346</v>
      </c>
      <c r="V605" s="63" t="str">
        <f>IF(MONTH(Table22[[#This Row],[Sales Date]])&lt;=3,"Q1",IF(MONTH(Table22[[#This Row],[Sales Date]])&lt;=6,"Q2",IF(MONTH(Table22[[#This Row],[Sales Date]])&lt;=9,"Q3","Q4")))</f>
        <v>Q1</v>
      </c>
      <c r="W605" s="64">
        <f>YEAR(Table22[[#This Row],[Sales Date]])</f>
        <v>2024</v>
      </c>
      <c r="X605" s="23">
        <v>52</v>
      </c>
      <c r="Y605" s="18" t="s">
        <v>23</v>
      </c>
      <c r="Z605" s="18" t="s">
        <v>42</v>
      </c>
      <c r="AA605" s="19" t="s">
        <v>36</v>
      </c>
    </row>
    <row r="606" spans="1:27" x14ac:dyDescent="0.25">
      <c r="A606" s="17" t="s">
        <v>393</v>
      </c>
      <c r="B606" s="18" t="s">
        <v>76</v>
      </c>
      <c r="C606" s="63" t="str" cm="1">
        <f t="array" ref="C606">_xlfn.SWITCH(Table22[[#This Row],[Country]],"USA","North America","Canada","North America","Brazil","South America","China","Asia","Japan","Asia","India","Asia","France","Europe","Germany","Europe","UK","Europe","Australia","Oceania","South America")</f>
        <v>Asia</v>
      </c>
      <c r="D606" s="18" t="s">
        <v>28</v>
      </c>
      <c r="E606" s="18" t="s">
        <v>19</v>
      </c>
      <c r="F606" s="18" t="s">
        <v>47</v>
      </c>
      <c r="G606" s="18" t="s">
        <v>48</v>
      </c>
      <c r="H606" s="64">
        <f>LEN(TRIM(Table22[[#This Row],[Country]]))</f>
        <v>5</v>
      </c>
      <c r="I606" s="64">
        <f>LEN(TRIM(Table22[[#This Row],[Continent]]))</f>
        <v>4</v>
      </c>
      <c r="J606" s="64">
        <f>LEN(TRIM(Table22[[#This Row],[Product]]))</f>
        <v>6</v>
      </c>
      <c r="K606" s="64">
        <f>LEN(TRIM(Table22[[#This Row],[Sales Team]]))</f>
        <v>9</v>
      </c>
      <c r="L606" s="23">
        <v>51</v>
      </c>
      <c r="M606" s="65" t="str" cm="1">
        <f t="array" ref="M606">_xlfn.IFS(Table22[[#This Row],[Units Sold]]&lt;40,"Critical",Table22[[#This Row],[Units Sold]]&lt;=50,"Poor",Table22[[#This Row],[Units Sold]]&lt;=60,"Low",Table22[[#This Row],[Units Sold]]&lt;=80,"Average",Table22[[#This Row],[Units Sold]]&lt;=90,"High",Table22[[#This Row],[Units Sold]]&lt;=95,"Excellent",Table22[[#This Row],[Units Sold]]&gt;95,"Outstanding")</f>
        <v>Low</v>
      </c>
      <c r="N606" s="29">
        <v>1032.95</v>
      </c>
      <c r="O606" s="29">
        <v>52680.45</v>
      </c>
      <c r="P606" s="43">
        <f>IF(Table22[[#This Row],[Discount Applied]],Table22[[#This Row],[Total Sales (in USD)]]*(1-Table22[[#This Row],[Discount Percentage (%)]]/100),Table22[[#This Row],[Total Sales (in USD)]])</f>
        <v>47043.64185</v>
      </c>
      <c r="Q606" s="66">
        <f>SQRT(AVERAGE((Table22[[#This Row],[Net Sales (after discount) (in USD)]]-AVERAGE(Table22[Net Sales (after discount) (in USD)]))^2))</f>
        <v>10532.281286235462</v>
      </c>
      <c r="R606" s="18" t="b">
        <v>0</v>
      </c>
      <c r="S606" s="40">
        <v>10.7</v>
      </c>
      <c r="T606" s="18" t="b">
        <v>1</v>
      </c>
      <c r="U606" s="25">
        <v>45391</v>
      </c>
      <c r="V606" s="63" t="str">
        <f>IF(MONTH(Table22[[#This Row],[Sales Date]])&lt;=3,"Q1",IF(MONTH(Table22[[#This Row],[Sales Date]])&lt;=6,"Q2",IF(MONTH(Table22[[#This Row],[Sales Date]])&lt;=9,"Q3","Q4")))</f>
        <v>Q2</v>
      </c>
      <c r="W606" s="64">
        <f>YEAR(Table22[[#This Row],[Sales Date]])</f>
        <v>2024</v>
      </c>
      <c r="X606" s="23">
        <v>53</v>
      </c>
      <c r="Y606" s="18" t="s">
        <v>41</v>
      </c>
      <c r="Z606" s="18" t="s">
        <v>30</v>
      </c>
      <c r="AA606" s="19" t="s">
        <v>25</v>
      </c>
    </row>
    <row r="607" spans="1:27" x14ac:dyDescent="0.25">
      <c r="A607" s="17" t="s">
        <v>1151</v>
      </c>
      <c r="B607" s="18" t="s">
        <v>18</v>
      </c>
      <c r="C607" s="63" t="str" cm="1">
        <f t="array" ref="C607">_xlfn.SWITCH(Table22[[#This Row],[Country]],"USA","North America","Canada","North America","Brazil","South America","China","Asia","Japan","Asia","India","Asia","France","Europe","Germany","Europe","UK","Europe","Australia","Oceania","South America")</f>
        <v>Asia</v>
      </c>
      <c r="D607" s="18" t="s">
        <v>44</v>
      </c>
      <c r="E607" s="18" t="s">
        <v>33</v>
      </c>
      <c r="F607" s="18" t="s">
        <v>64</v>
      </c>
      <c r="G607" s="18" t="s">
        <v>22</v>
      </c>
      <c r="H607" s="64">
        <f>LEN(TRIM(Table22[[#This Row],[Country]]))</f>
        <v>5</v>
      </c>
      <c r="I607" s="64">
        <f>LEN(TRIM(Table22[[#This Row],[Continent]]))</f>
        <v>4</v>
      </c>
      <c r="J607" s="64">
        <f>LEN(TRIM(Table22[[#This Row],[Product]]))</f>
        <v>10</v>
      </c>
      <c r="K607" s="64">
        <f>LEN(TRIM(Table22[[#This Row],[Sales Team]]))</f>
        <v>10</v>
      </c>
      <c r="L607" s="23">
        <v>36</v>
      </c>
      <c r="M607" s="65" t="str" cm="1">
        <f t="array" ref="M607">_xlfn.IFS(Table22[[#This Row],[Units Sold]]&lt;40,"Critical",Table22[[#This Row],[Units Sold]]&lt;=50,"Poor",Table22[[#This Row],[Units Sold]]&lt;=60,"Low",Table22[[#This Row],[Units Sold]]&lt;=80,"Average",Table22[[#This Row],[Units Sold]]&lt;=90,"High",Table22[[#This Row],[Units Sold]]&lt;=95,"Excellent",Table22[[#This Row],[Units Sold]]&gt;95,"Outstanding")</f>
        <v>Critical</v>
      </c>
      <c r="N607" s="29">
        <v>1463.28</v>
      </c>
      <c r="O607" s="29">
        <v>52678.080000000002</v>
      </c>
      <c r="P607" s="43">
        <f>IF(Table22[[#This Row],[Discount Applied]],Table22[[#This Row],[Total Sales (in USD)]]*(1-Table22[[#This Row],[Discount Percentage (%)]]/100),Table22[[#This Row],[Total Sales (in USD)]])</f>
        <v>39682.397663999996</v>
      </c>
      <c r="Q607" s="66">
        <f>SQRT(AVERAGE((Table22[[#This Row],[Net Sales (after discount) (in USD)]]-AVERAGE(Table22[Net Sales (after discount) (in USD)]))^2))</f>
        <v>3171.0371002354586</v>
      </c>
      <c r="R607" s="18" t="b">
        <v>0</v>
      </c>
      <c r="S607" s="40">
        <v>24.67</v>
      </c>
      <c r="T607" s="18" t="b">
        <v>1</v>
      </c>
      <c r="U607" s="25">
        <v>45010</v>
      </c>
      <c r="V607" s="63" t="str">
        <f>IF(MONTH(Table22[[#This Row],[Sales Date]])&lt;=3,"Q1",IF(MONTH(Table22[[#This Row],[Sales Date]])&lt;=6,"Q2",IF(MONTH(Table22[[#This Row],[Sales Date]])&lt;=9,"Q3","Q4")))</f>
        <v>Q1</v>
      </c>
      <c r="W607" s="64">
        <f>YEAR(Table22[[#This Row],[Sales Date]])</f>
        <v>2023</v>
      </c>
      <c r="X607" s="23">
        <v>31</v>
      </c>
      <c r="Y607" s="18" t="s">
        <v>49</v>
      </c>
      <c r="Z607" s="18" t="s">
        <v>56</v>
      </c>
      <c r="AA607" s="19" t="s">
        <v>25</v>
      </c>
    </row>
    <row r="608" spans="1:27" x14ac:dyDescent="0.25">
      <c r="A608" s="17" t="s">
        <v>1088</v>
      </c>
      <c r="B608" s="18" t="s">
        <v>27</v>
      </c>
      <c r="C608" s="63" t="str" cm="1">
        <f t="array" ref="C608">_xlfn.SWITCH(Table22[[#This Row],[Country]],"USA","North America","Canada","North America","Brazil","South America","China","Asia","Japan","Asia","India","Asia","France","Europe","Germany","Europe","UK","Europe","Australia","Oceania","South America")</f>
        <v>Europe</v>
      </c>
      <c r="D608" s="18" t="s">
        <v>44</v>
      </c>
      <c r="E608" s="18" t="s">
        <v>33</v>
      </c>
      <c r="F608" s="18" t="s">
        <v>52</v>
      </c>
      <c r="G608" s="18" t="s">
        <v>48</v>
      </c>
      <c r="H608" s="64">
        <f>LEN(TRIM(Table22[[#This Row],[Country]]))</f>
        <v>7</v>
      </c>
      <c r="I608" s="64">
        <f>LEN(TRIM(Table22[[#This Row],[Continent]]))</f>
        <v>6</v>
      </c>
      <c r="J608" s="64">
        <f>LEN(TRIM(Table22[[#This Row],[Product]]))</f>
        <v>10</v>
      </c>
      <c r="K608" s="64">
        <f>LEN(TRIM(Table22[[#This Row],[Sales Team]]))</f>
        <v>9</v>
      </c>
      <c r="L608" s="23">
        <v>38</v>
      </c>
      <c r="M608" s="65" t="str" cm="1">
        <f t="array" ref="M608">_xlfn.IFS(Table22[[#This Row],[Units Sold]]&lt;40,"Critical",Table22[[#This Row],[Units Sold]]&lt;=50,"Poor",Table22[[#This Row],[Units Sold]]&lt;=60,"Low",Table22[[#This Row],[Units Sold]]&lt;=80,"Average",Table22[[#This Row],[Units Sold]]&lt;=90,"High",Table22[[#This Row],[Units Sold]]&lt;=95,"Excellent",Table22[[#This Row],[Units Sold]]&gt;95,"Outstanding")</f>
        <v>Critical</v>
      </c>
      <c r="N608" s="29">
        <v>1384.39</v>
      </c>
      <c r="O608" s="29">
        <v>52606.82</v>
      </c>
      <c r="P608" s="43">
        <f>IF(Table22[[#This Row],[Discount Applied]],Table22[[#This Row],[Total Sales (in USD)]]*(1-Table22[[#This Row],[Discount Percentage (%)]]/100),Table22[[#This Row],[Total Sales (in USD)]])</f>
        <v>52606.82</v>
      </c>
      <c r="Q608" s="66">
        <f>SQRT(AVERAGE((Table22[[#This Row],[Net Sales (after discount) (in USD)]]-AVERAGE(Table22[Net Sales (after discount) (in USD)]))^2))</f>
        <v>16095.459436235462</v>
      </c>
      <c r="R608" s="18" t="b">
        <v>1</v>
      </c>
      <c r="S608" s="40">
        <v>1.03</v>
      </c>
      <c r="T608" s="18" t="b">
        <v>0</v>
      </c>
      <c r="U608" s="25">
        <v>45197</v>
      </c>
      <c r="V608" s="63" t="str">
        <f>IF(MONTH(Table22[[#This Row],[Sales Date]])&lt;=3,"Q1",IF(MONTH(Table22[[#This Row],[Sales Date]])&lt;=6,"Q2",IF(MONTH(Table22[[#This Row],[Sales Date]])&lt;=9,"Q3","Q4")))</f>
        <v>Q3</v>
      </c>
      <c r="W608" s="64">
        <f>YEAR(Table22[[#This Row],[Sales Date]])</f>
        <v>2023</v>
      </c>
      <c r="X608" s="23">
        <v>69</v>
      </c>
      <c r="Y608" s="18" t="s">
        <v>41</v>
      </c>
      <c r="Z608" s="18" t="s">
        <v>56</v>
      </c>
      <c r="AA608" s="19" t="s">
        <v>36</v>
      </c>
    </row>
    <row r="609" spans="1:27" x14ac:dyDescent="0.25">
      <c r="A609" s="17" t="s">
        <v>1351</v>
      </c>
      <c r="B609" s="18" t="s">
        <v>72</v>
      </c>
      <c r="C609" s="63" t="str" cm="1">
        <f t="array" ref="C609">_xlfn.SWITCH(Table22[[#This Row],[Country]],"USA","North America","Canada","North America","Brazil","South America","China","Asia","Japan","Asia","India","Asia","France","Europe","Germany","Europe","UK","Europe","Australia","Oceania","South America")</f>
        <v>North America</v>
      </c>
      <c r="D609" s="18" t="s">
        <v>35</v>
      </c>
      <c r="E609" s="18" t="s">
        <v>39</v>
      </c>
      <c r="F609" s="18" t="s">
        <v>52</v>
      </c>
      <c r="G609" s="18" t="s">
        <v>22</v>
      </c>
      <c r="H609" s="64">
        <f>LEN(TRIM(Table22[[#This Row],[Country]]))</f>
        <v>3</v>
      </c>
      <c r="I609" s="64">
        <f>LEN(TRIM(Table22[[#This Row],[Continent]]))</f>
        <v>13</v>
      </c>
      <c r="J609" s="64">
        <f>LEN(TRIM(Table22[[#This Row],[Product]]))</f>
        <v>10</v>
      </c>
      <c r="K609" s="64">
        <f>LEN(TRIM(Table22[[#This Row],[Sales Team]]))</f>
        <v>10</v>
      </c>
      <c r="L609" s="23">
        <v>83</v>
      </c>
      <c r="M609" s="65" t="str" cm="1">
        <f t="array" ref="M609">_xlfn.IFS(Table22[[#This Row],[Units Sold]]&lt;40,"Critical",Table22[[#This Row],[Units Sold]]&lt;=50,"Poor",Table22[[#This Row],[Units Sold]]&lt;=60,"Low",Table22[[#This Row],[Units Sold]]&lt;=80,"Average",Table22[[#This Row],[Units Sold]]&lt;=90,"High",Table22[[#This Row],[Units Sold]]&lt;=95,"Excellent",Table22[[#This Row],[Units Sold]]&gt;95,"Outstanding")</f>
        <v>High</v>
      </c>
      <c r="N609" s="29">
        <v>633.09</v>
      </c>
      <c r="O609" s="29">
        <v>52546.47</v>
      </c>
      <c r="P609" s="43">
        <f>IF(Table22[[#This Row],[Discount Applied]],Table22[[#This Row],[Total Sales (in USD)]]*(1-Table22[[#This Row],[Discount Percentage (%)]]/100),Table22[[#This Row],[Total Sales (in USD)]])</f>
        <v>52546.47</v>
      </c>
      <c r="Q609" s="66">
        <f>SQRT(AVERAGE((Table22[[#This Row],[Net Sales (after discount) (in USD)]]-AVERAGE(Table22[Net Sales (after discount) (in USD)]))^2))</f>
        <v>16035.109436235463</v>
      </c>
      <c r="R609" s="18" t="b">
        <v>0</v>
      </c>
      <c r="S609" s="40">
        <v>4.9400000000000004</v>
      </c>
      <c r="T609" s="18" t="b">
        <v>0</v>
      </c>
      <c r="U609" s="25">
        <v>45286</v>
      </c>
      <c r="V609" s="63" t="str">
        <f>IF(MONTH(Table22[[#This Row],[Sales Date]])&lt;=3,"Q1",IF(MONTH(Table22[[#This Row],[Sales Date]])&lt;=6,"Q2",IF(MONTH(Table22[[#This Row],[Sales Date]])&lt;=9,"Q3","Q4")))</f>
        <v>Q4</v>
      </c>
      <c r="W609" s="64">
        <f>YEAR(Table22[[#This Row],[Sales Date]])</f>
        <v>2023</v>
      </c>
      <c r="X609" s="23">
        <v>63</v>
      </c>
      <c r="Y609" s="18" t="s">
        <v>41</v>
      </c>
      <c r="Z609" s="18" t="s">
        <v>56</v>
      </c>
      <c r="AA609" s="19" t="s">
        <v>25</v>
      </c>
    </row>
    <row r="610" spans="1:27" x14ac:dyDescent="0.25">
      <c r="A610" s="17" t="s">
        <v>1667</v>
      </c>
      <c r="B610" s="18" t="s">
        <v>72</v>
      </c>
      <c r="C610" s="63" t="str" cm="1">
        <f t="array" ref="C610">_xlfn.SWITCH(Table22[[#This Row],[Country]],"USA","North America","Canada","North America","Brazil","South America","China","Asia","Japan","Asia","India","Asia","France","Europe","Germany","Europe","UK","Europe","Australia","Oceania","South America")</f>
        <v>North America</v>
      </c>
      <c r="D610" s="18" t="s">
        <v>44</v>
      </c>
      <c r="E610" s="18" t="s">
        <v>33</v>
      </c>
      <c r="F610" s="18" t="s">
        <v>64</v>
      </c>
      <c r="G610" s="18" t="s">
        <v>29</v>
      </c>
      <c r="H610" s="64">
        <f>LEN(TRIM(Table22[[#This Row],[Country]]))</f>
        <v>3</v>
      </c>
      <c r="I610" s="64">
        <f>LEN(TRIM(Table22[[#This Row],[Continent]]))</f>
        <v>13</v>
      </c>
      <c r="J610" s="64">
        <f>LEN(TRIM(Table22[[#This Row],[Product]]))</f>
        <v>10</v>
      </c>
      <c r="K610" s="64">
        <f>LEN(TRIM(Table22[[#This Row],[Sales Team]]))</f>
        <v>10</v>
      </c>
      <c r="L610" s="23">
        <v>52</v>
      </c>
      <c r="M610" s="65" t="str" cm="1">
        <f t="array" ref="M610">_xlfn.IFS(Table22[[#This Row],[Units Sold]]&lt;40,"Critical",Table22[[#This Row],[Units Sold]]&lt;=50,"Poor",Table22[[#This Row],[Units Sold]]&lt;=60,"Low",Table22[[#This Row],[Units Sold]]&lt;=80,"Average",Table22[[#This Row],[Units Sold]]&lt;=90,"High",Table22[[#This Row],[Units Sold]]&lt;=95,"Excellent",Table22[[#This Row],[Units Sold]]&gt;95,"Outstanding")</f>
        <v>Low</v>
      </c>
      <c r="N610" s="29">
        <v>1009.4</v>
      </c>
      <c r="O610" s="29">
        <v>52488.800000000003</v>
      </c>
      <c r="P610" s="43">
        <f>IF(Table22[[#This Row],[Discount Applied]],Table22[[#This Row],[Total Sales (in USD)]]*(1-Table22[[#This Row],[Discount Percentage (%)]]/100),Table22[[#This Row],[Total Sales (in USD)]])</f>
        <v>52488.800000000003</v>
      </c>
      <c r="Q610" s="66">
        <f>SQRT(AVERAGE((Table22[[#This Row],[Net Sales (after discount) (in USD)]]-AVERAGE(Table22[Net Sales (after discount) (in USD)]))^2))</f>
        <v>15977.439436235465</v>
      </c>
      <c r="R610" s="18" t="b">
        <v>1</v>
      </c>
      <c r="S610" s="40">
        <v>3.9</v>
      </c>
      <c r="T610" s="18" t="b">
        <v>0</v>
      </c>
      <c r="U610" s="25">
        <v>45265</v>
      </c>
      <c r="V610" s="63" t="str">
        <f>IF(MONTH(Table22[[#This Row],[Sales Date]])&lt;=3,"Q1",IF(MONTH(Table22[[#This Row],[Sales Date]])&lt;=6,"Q2",IF(MONTH(Table22[[#This Row],[Sales Date]])&lt;=9,"Q3","Q4")))</f>
        <v>Q4</v>
      </c>
      <c r="W610" s="64">
        <f>YEAR(Table22[[#This Row],[Sales Date]])</f>
        <v>2023</v>
      </c>
      <c r="X610" s="23">
        <v>37</v>
      </c>
      <c r="Y610" s="18" t="s">
        <v>23</v>
      </c>
      <c r="Z610" s="18" t="s">
        <v>42</v>
      </c>
      <c r="AA610" s="19" t="s">
        <v>25</v>
      </c>
    </row>
    <row r="611" spans="1:27" x14ac:dyDescent="0.25">
      <c r="A611" s="17" t="s">
        <v>1896</v>
      </c>
      <c r="B611" s="18" t="s">
        <v>76</v>
      </c>
      <c r="C611" s="63" t="str" cm="1">
        <f t="array" ref="C611">_xlfn.SWITCH(Table22[[#This Row],[Country]],"USA","North America","Canada","North America","Brazil","South America","China","Asia","Japan","Asia","India","Asia","France","Europe","Germany","Europe","UK","Europe","Australia","Oceania","South America")</f>
        <v>Asia</v>
      </c>
      <c r="D611" s="18" t="s">
        <v>28</v>
      </c>
      <c r="E611" s="18" t="s">
        <v>33</v>
      </c>
      <c r="F611" s="18" t="s">
        <v>47</v>
      </c>
      <c r="G611" s="18" t="s">
        <v>22</v>
      </c>
      <c r="H611" s="64">
        <f>LEN(TRIM(Table22[[#This Row],[Country]]))</f>
        <v>5</v>
      </c>
      <c r="I611" s="64">
        <f>LEN(TRIM(Table22[[#This Row],[Continent]]))</f>
        <v>4</v>
      </c>
      <c r="J611" s="64">
        <f>LEN(TRIM(Table22[[#This Row],[Product]]))</f>
        <v>10</v>
      </c>
      <c r="K611" s="64">
        <f>LEN(TRIM(Table22[[#This Row],[Sales Team]]))</f>
        <v>10</v>
      </c>
      <c r="L611" s="23">
        <v>40</v>
      </c>
      <c r="M611" s="65" t="str" cm="1">
        <f t="array" ref="M611">_xlfn.IFS(Table22[[#This Row],[Units Sold]]&lt;40,"Critical",Table22[[#This Row],[Units Sold]]&lt;=50,"Poor",Table22[[#This Row],[Units Sold]]&lt;=60,"Low",Table22[[#This Row],[Units Sold]]&lt;=80,"Average",Table22[[#This Row],[Units Sold]]&lt;=90,"High",Table22[[#This Row],[Units Sold]]&lt;=95,"Excellent",Table22[[#This Row],[Units Sold]]&gt;95,"Outstanding")</f>
        <v>Poor</v>
      </c>
      <c r="N611" s="29">
        <v>1312.07</v>
      </c>
      <c r="O611" s="29">
        <v>52482.8</v>
      </c>
      <c r="P611" s="43">
        <f>IF(Table22[[#This Row],[Discount Applied]],Table22[[#This Row],[Total Sales (in USD)]]*(1-Table22[[#This Row],[Discount Percentage (%)]]/100),Table22[[#This Row],[Total Sales (in USD)]])</f>
        <v>52482.8</v>
      </c>
      <c r="Q611" s="66">
        <f>SQRT(AVERAGE((Table22[[#This Row],[Net Sales (after discount) (in USD)]]-AVERAGE(Table22[Net Sales (after discount) (in USD)]))^2))</f>
        <v>15971.439436235465</v>
      </c>
      <c r="R611" s="18" t="b">
        <v>1</v>
      </c>
      <c r="S611" s="40">
        <v>10.91</v>
      </c>
      <c r="T611" s="18" t="b">
        <v>0</v>
      </c>
      <c r="U611" s="25">
        <v>45309</v>
      </c>
      <c r="V611" s="63" t="str">
        <f>IF(MONTH(Table22[[#This Row],[Sales Date]])&lt;=3,"Q1",IF(MONTH(Table22[[#This Row],[Sales Date]])&lt;=6,"Q2",IF(MONTH(Table22[[#This Row],[Sales Date]])&lt;=9,"Q3","Q4")))</f>
        <v>Q1</v>
      </c>
      <c r="W611" s="64">
        <f>YEAR(Table22[[#This Row],[Sales Date]])</f>
        <v>2024</v>
      </c>
      <c r="X611" s="23">
        <v>55</v>
      </c>
      <c r="Y611" s="18" t="s">
        <v>49</v>
      </c>
      <c r="Z611" s="18" t="s">
        <v>24</v>
      </c>
      <c r="AA611" s="19" t="s">
        <v>25</v>
      </c>
    </row>
    <row r="612" spans="1:27" x14ac:dyDescent="0.25">
      <c r="A612" s="17" t="s">
        <v>1972</v>
      </c>
      <c r="B612" s="18" t="s">
        <v>27</v>
      </c>
      <c r="C612" s="63" t="str" cm="1">
        <f t="array" ref="C612">_xlfn.SWITCH(Table22[[#This Row],[Country]],"USA","North America","Canada","North America","Brazil","South America","China","Asia","Japan","Asia","India","Asia","France","Europe","Germany","Europe","UK","Europe","Australia","Oceania","South America")</f>
        <v>Europe</v>
      </c>
      <c r="D612" s="18" t="s">
        <v>35</v>
      </c>
      <c r="E612" s="18" t="s">
        <v>39</v>
      </c>
      <c r="F612" s="18" t="s">
        <v>20</v>
      </c>
      <c r="G612" s="18" t="s">
        <v>22</v>
      </c>
      <c r="H612" s="64">
        <f>LEN(TRIM(Table22[[#This Row],[Country]]))</f>
        <v>7</v>
      </c>
      <c r="I612" s="64">
        <f>LEN(TRIM(Table22[[#This Row],[Continent]]))</f>
        <v>6</v>
      </c>
      <c r="J612" s="64">
        <f>LEN(TRIM(Table22[[#This Row],[Product]]))</f>
        <v>10</v>
      </c>
      <c r="K612" s="64">
        <f>LEN(TRIM(Table22[[#This Row],[Sales Team]]))</f>
        <v>10</v>
      </c>
      <c r="L612" s="23">
        <v>55</v>
      </c>
      <c r="M612" s="65" t="str" cm="1">
        <f t="array" ref="M612">_xlfn.IFS(Table22[[#This Row],[Units Sold]]&lt;40,"Critical",Table22[[#This Row],[Units Sold]]&lt;=50,"Poor",Table22[[#This Row],[Units Sold]]&lt;=60,"Low",Table22[[#This Row],[Units Sold]]&lt;=80,"Average",Table22[[#This Row],[Units Sold]]&lt;=90,"High",Table22[[#This Row],[Units Sold]]&lt;=95,"Excellent",Table22[[#This Row],[Units Sold]]&gt;95,"Outstanding")</f>
        <v>Low</v>
      </c>
      <c r="N612" s="29">
        <v>951.85</v>
      </c>
      <c r="O612" s="29">
        <v>52351.75</v>
      </c>
      <c r="P612" s="43">
        <f>IF(Table22[[#This Row],[Discount Applied]],Table22[[#This Row],[Total Sales (in USD)]]*(1-Table22[[#This Row],[Discount Percentage (%)]]/100),Table22[[#This Row],[Total Sales (in USD)]])</f>
        <v>52351.75</v>
      </c>
      <c r="Q612" s="66">
        <f>SQRT(AVERAGE((Table22[[#This Row],[Net Sales (after discount) (in USD)]]-AVERAGE(Table22[Net Sales (after discount) (in USD)]))^2))</f>
        <v>15840.389436235462</v>
      </c>
      <c r="R612" s="18" t="b">
        <v>0</v>
      </c>
      <c r="S612" s="40">
        <v>3.54</v>
      </c>
      <c r="T612" s="18" t="b">
        <v>0</v>
      </c>
      <c r="U612" s="25">
        <v>45342</v>
      </c>
      <c r="V612" s="63" t="str">
        <f>IF(MONTH(Table22[[#This Row],[Sales Date]])&lt;=3,"Q1",IF(MONTH(Table22[[#This Row],[Sales Date]])&lt;=6,"Q2",IF(MONTH(Table22[[#This Row],[Sales Date]])&lt;=9,"Q3","Q4")))</f>
        <v>Q1</v>
      </c>
      <c r="W612" s="64">
        <f>YEAR(Table22[[#This Row],[Sales Date]])</f>
        <v>2024</v>
      </c>
      <c r="X612" s="23">
        <v>44</v>
      </c>
      <c r="Y612" s="18" t="s">
        <v>49</v>
      </c>
      <c r="Z612" s="18" t="s">
        <v>42</v>
      </c>
      <c r="AA612" s="19" t="s">
        <v>25</v>
      </c>
    </row>
    <row r="613" spans="1:27" x14ac:dyDescent="0.25">
      <c r="A613" s="17" t="s">
        <v>2028</v>
      </c>
      <c r="B613" s="18" t="s">
        <v>18</v>
      </c>
      <c r="C613" s="63" t="str" cm="1">
        <f t="array" ref="C613">_xlfn.SWITCH(Table22[[#This Row],[Country]],"USA","North America","Canada","North America","Brazil","South America","China","Asia","Japan","Asia","India","Asia","France","Europe","Germany","Europe","UK","Europe","Australia","Oceania","South America")</f>
        <v>Asia</v>
      </c>
      <c r="D613" s="18" t="s">
        <v>35</v>
      </c>
      <c r="E613" s="18" t="s">
        <v>33</v>
      </c>
      <c r="F613" s="18" t="s">
        <v>34</v>
      </c>
      <c r="G613" s="18" t="s">
        <v>29</v>
      </c>
      <c r="H613" s="64">
        <f>LEN(TRIM(Table22[[#This Row],[Country]]))</f>
        <v>5</v>
      </c>
      <c r="I613" s="64">
        <f>LEN(TRIM(Table22[[#This Row],[Continent]]))</f>
        <v>4</v>
      </c>
      <c r="J613" s="64">
        <f>LEN(TRIM(Table22[[#This Row],[Product]]))</f>
        <v>10</v>
      </c>
      <c r="K613" s="64">
        <f>LEN(TRIM(Table22[[#This Row],[Sales Team]]))</f>
        <v>10</v>
      </c>
      <c r="L613" s="23">
        <v>69</v>
      </c>
      <c r="M613" s="65" t="str" cm="1">
        <f t="array" ref="M613">_xlfn.IFS(Table22[[#This Row],[Units Sold]]&lt;40,"Critical",Table22[[#This Row],[Units Sold]]&lt;=50,"Poor",Table22[[#This Row],[Units Sold]]&lt;=60,"Low",Table22[[#This Row],[Units Sold]]&lt;=80,"Average",Table22[[#This Row],[Units Sold]]&lt;=90,"High",Table22[[#This Row],[Units Sold]]&lt;=95,"Excellent",Table22[[#This Row],[Units Sold]]&gt;95,"Outstanding")</f>
        <v>Average</v>
      </c>
      <c r="N613" s="29">
        <v>757.74</v>
      </c>
      <c r="O613" s="29">
        <v>52284.06</v>
      </c>
      <c r="P613" s="43">
        <f>IF(Table22[[#This Row],[Discount Applied]],Table22[[#This Row],[Total Sales (in USD)]]*(1-Table22[[#This Row],[Discount Percentage (%)]]/100),Table22[[#This Row],[Total Sales (in USD)]])</f>
        <v>52284.06</v>
      </c>
      <c r="Q613" s="66">
        <f>SQRT(AVERAGE((Table22[[#This Row],[Net Sales (after discount) (in USD)]]-AVERAGE(Table22[Net Sales (after discount) (in USD)]))^2))</f>
        <v>15772.69943623546</v>
      </c>
      <c r="R613" s="18" t="b">
        <v>1</v>
      </c>
      <c r="S613" s="40">
        <v>1.18</v>
      </c>
      <c r="T613" s="18" t="b">
        <v>0</v>
      </c>
      <c r="U613" s="25">
        <v>45401</v>
      </c>
      <c r="V613" s="63" t="str">
        <f>IF(MONTH(Table22[[#This Row],[Sales Date]])&lt;=3,"Q1",IF(MONTH(Table22[[#This Row],[Sales Date]])&lt;=6,"Q2",IF(MONTH(Table22[[#This Row],[Sales Date]])&lt;=9,"Q3","Q4")))</f>
        <v>Q2</v>
      </c>
      <c r="W613" s="64">
        <f>YEAR(Table22[[#This Row],[Sales Date]])</f>
        <v>2024</v>
      </c>
      <c r="X613" s="23">
        <v>35</v>
      </c>
      <c r="Y613" s="18" t="s">
        <v>41</v>
      </c>
      <c r="Z613" s="18" t="s">
        <v>42</v>
      </c>
      <c r="AA613" s="19" t="s">
        <v>36</v>
      </c>
    </row>
    <row r="614" spans="1:27" x14ac:dyDescent="0.25">
      <c r="A614" s="17" t="s">
        <v>1733</v>
      </c>
      <c r="B614" s="18" t="s">
        <v>62</v>
      </c>
      <c r="C614" s="63" t="str" cm="1">
        <f t="array" ref="C614">_xlfn.SWITCH(Table22[[#This Row],[Country]],"USA","North America","Canada","North America","Brazil","South America","China","Asia","Japan","Asia","India","Asia","France","Europe","Germany","Europe","UK","Europe","Australia","Oceania","South America")</f>
        <v>Oceania</v>
      </c>
      <c r="D614" s="18" t="s">
        <v>35</v>
      </c>
      <c r="E614" s="18" t="s">
        <v>33</v>
      </c>
      <c r="F614" s="18" t="s">
        <v>20</v>
      </c>
      <c r="G614" s="18" t="s">
        <v>22</v>
      </c>
      <c r="H614" s="64">
        <f>LEN(TRIM(Table22[[#This Row],[Country]]))</f>
        <v>9</v>
      </c>
      <c r="I614" s="64">
        <f>LEN(TRIM(Table22[[#This Row],[Continent]]))</f>
        <v>7</v>
      </c>
      <c r="J614" s="64">
        <f>LEN(TRIM(Table22[[#This Row],[Product]]))</f>
        <v>10</v>
      </c>
      <c r="K614" s="64">
        <f>LEN(TRIM(Table22[[#This Row],[Sales Team]]))</f>
        <v>10</v>
      </c>
      <c r="L614" s="23">
        <v>72</v>
      </c>
      <c r="M614" s="65" t="str" cm="1">
        <f t="array" ref="M614">_xlfn.IFS(Table22[[#This Row],[Units Sold]]&lt;40,"Critical",Table22[[#This Row],[Units Sold]]&lt;=50,"Poor",Table22[[#This Row],[Units Sold]]&lt;=60,"Low",Table22[[#This Row],[Units Sold]]&lt;=80,"Average",Table22[[#This Row],[Units Sold]]&lt;=90,"High",Table22[[#This Row],[Units Sold]]&lt;=95,"Excellent",Table22[[#This Row],[Units Sold]]&gt;95,"Outstanding")</f>
        <v>Average</v>
      </c>
      <c r="N614" s="29">
        <v>723.85</v>
      </c>
      <c r="O614" s="29">
        <v>52117.2</v>
      </c>
      <c r="P614" s="43">
        <f>IF(Table22[[#This Row],[Discount Applied]],Table22[[#This Row],[Total Sales (in USD)]]*(1-Table22[[#This Row],[Discount Percentage (%)]]/100),Table22[[#This Row],[Total Sales (in USD)]])</f>
        <v>41214.281759999998</v>
      </c>
      <c r="Q614" s="66">
        <f>SQRT(AVERAGE((Table22[[#This Row],[Net Sales (after discount) (in USD)]]-AVERAGE(Table22[Net Sales (after discount) (in USD)]))^2))</f>
        <v>4702.9211962354602</v>
      </c>
      <c r="R614" s="18" t="b">
        <v>0</v>
      </c>
      <c r="S614" s="40">
        <v>20.92</v>
      </c>
      <c r="T614" s="18" t="b">
        <v>1</v>
      </c>
      <c r="U614" s="25">
        <v>45185</v>
      </c>
      <c r="V614" s="63" t="str">
        <f>IF(MONTH(Table22[[#This Row],[Sales Date]])&lt;=3,"Q1",IF(MONTH(Table22[[#This Row],[Sales Date]])&lt;=6,"Q2",IF(MONTH(Table22[[#This Row],[Sales Date]])&lt;=9,"Q3","Q4")))</f>
        <v>Q3</v>
      </c>
      <c r="W614" s="64">
        <f>YEAR(Table22[[#This Row],[Sales Date]])</f>
        <v>2023</v>
      </c>
      <c r="X614" s="23">
        <v>67</v>
      </c>
      <c r="Y614" s="18" t="s">
        <v>41</v>
      </c>
      <c r="Z614" s="18" t="s">
        <v>42</v>
      </c>
      <c r="AA614" s="19" t="s">
        <v>36</v>
      </c>
    </row>
    <row r="615" spans="1:27" x14ac:dyDescent="0.25">
      <c r="A615" s="17" t="s">
        <v>1887</v>
      </c>
      <c r="B615" s="18" t="s">
        <v>72</v>
      </c>
      <c r="C615" s="63" t="str" cm="1">
        <f t="array" ref="C615">_xlfn.SWITCH(Table22[[#This Row],[Country]],"USA","North America","Canada","North America","Brazil","South America","China","Asia","Japan","Asia","India","Asia","France","Europe","Germany","Europe","UK","Europe","Australia","Oceania","South America")</f>
        <v>North America</v>
      </c>
      <c r="D615" s="18" t="s">
        <v>28</v>
      </c>
      <c r="E615" s="18" t="s">
        <v>19</v>
      </c>
      <c r="F615" s="18" t="s">
        <v>47</v>
      </c>
      <c r="G615" s="18" t="s">
        <v>40</v>
      </c>
      <c r="H615" s="64">
        <f>LEN(TRIM(Table22[[#This Row],[Country]]))</f>
        <v>3</v>
      </c>
      <c r="I615" s="64">
        <f>LEN(TRIM(Table22[[#This Row],[Continent]]))</f>
        <v>13</v>
      </c>
      <c r="J615" s="64">
        <f>LEN(TRIM(Table22[[#This Row],[Product]]))</f>
        <v>6</v>
      </c>
      <c r="K615" s="64">
        <f>LEN(TRIM(Table22[[#This Row],[Sales Team]]))</f>
        <v>10</v>
      </c>
      <c r="L615" s="23">
        <v>70</v>
      </c>
      <c r="M615" s="65" t="str" cm="1">
        <f t="array" ref="M615">_xlfn.IFS(Table22[[#This Row],[Units Sold]]&lt;40,"Critical",Table22[[#This Row],[Units Sold]]&lt;=50,"Poor",Table22[[#This Row],[Units Sold]]&lt;=60,"Low",Table22[[#This Row],[Units Sold]]&lt;=80,"Average",Table22[[#This Row],[Units Sold]]&lt;=90,"High",Table22[[#This Row],[Units Sold]]&lt;=95,"Excellent",Table22[[#This Row],[Units Sold]]&gt;95,"Outstanding")</f>
        <v>Average</v>
      </c>
      <c r="N615" s="29">
        <v>743.95</v>
      </c>
      <c r="O615" s="29">
        <v>52076.5</v>
      </c>
      <c r="P615" s="43">
        <f>IF(Table22[[#This Row],[Discount Applied]],Table22[[#This Row],[Total Sales (in USD)]]*(1-Table22[[#This Row],[Discount Percentage (%)]]/100),Table22[[#This Row],[Total Sales (in USD)]])</f>
        <v>52076.5</v>
      </c>
      <c r="Q615" s="66">
        <f>SQRT(AVERAGE((Table22[[#This Row],[Net Sales (after discount) (in USD)]]-AVERAGE(Table22[Net Sales (after discount) (in USD)]))^2))</f>
        <v>15565.139436235462</v>
      </c>
      <c r="R615" s="18" t="b">
        <v>1</v>
      </c>
      <c r="S615" s="40">
        <v>21.31</v>
      </c>
      <c r="T615" s="18" t="b">
        <v>0</v>
      </c>
      <c r="U615" s="25">
        <v>44969</v>
      </c>
      <c r="V615" s="63" t="str">
        <f>IF(MONTH(Table22[[#This Row],[Sales Date]])&lt;=3,"Q1",IF(MONTH(Table22[[#This Row],[Sales Date]])&lt;=6,"Q2",IF(MONTH(Table22[[#This Row],[Sales Date]])&lt;=9,"Q3","Q4")))</f>
        <v>Q1</v>
      </c>
      <c r="W615" s="64">
        <f>YEAR(Table22[[#This Row],[Sales Date]])</f>
        <v>2023</v>
      </c>
      <c r="X615" s="23">
        <v>56</v>
      </c>
      <c r="Y615" s="18" t="s">
        <v>41</v>
      </c>
      <c r="Z615" s="18" t="s">
        <v>56</v>
      </c>
      <c r="AA615" s="19" t="s">
        <v>36</v>
      </c>
    </row>
    <row r="616" spans="1:27" x14ac:dyDescent="0.25">
      <c r="A616" s="17" t="s">
        <v>58</v>
      </c>
      <c r="B616" s="18" t="s">
        <v>32</v>
      </c>
      <c r="C616" s="63" t="str" cm="1">
        <f t="array" ref="C616">_xlfn.SWITCH(Table22[[#This Row],[Country]],"USA","North America","Canada","North America","Brazil","South America","China","Asia","Japan","Asia","India","Asia","France","Europe","Germany","Europe","UK","Europe","Australia","Oceania","South America")</f>
        <v>Asia</v>
      </c>
      <c r="D616" s="18" t="s">
        <v>35</v>
      </c>
      <c r="E616" s="18" t="s">
        <v>19</v>
      </c>
      <c r="F616" s="18" t="s">
        <v>47</v>
      </c>
      <c r="G616" s="18" t="s">
        <v>40</v>
      </c>
      <c r="H616" s="64">
        <f>LEN(TRIM(Table22[[#This Row],[Country]]))</f>
        <v>5</v>
      </c>
      <c r="I616" s="64">
        <f>LEN(TRIM(Table22[[#This Row],[Continent]]))</f>
        <v>4</v>
      </c>
      <c r="J616" s="64">
        <f>LEN(TRIM(Table22[[#This Row],[Product]]))</f>
        <v>6</v>
      </c>
      <c r="K616" s="64">
        <f>LEN(TRIM(Table22[[#This Row],[Sales Team]]))</f>
        <v>10</v>
      </c>
      <c r="L616" s="23">
        <v>84</v>
      </c>
      <c r="M616" s="65" t="str" cm="1">
        <f t="array" ref="M616">_xlfn.IFS(Table22[[#This Row],[Units Sold]]&lt;40,"Critical",Table22[[#This Row],[Units Sold]]&lt;=50,"Poor",Table22[[#This Row],[Units Sold]]&lt;=60,"Low",Table22[[#This Row],[Units Sold]]&lt;=80,"Average",Table22[[#This Row],[Units Sold]]&lt;=90,"High",Table22[[#This Row],[Units Sold]]&lt;=95,"Excellent",Table22[[#This Row],[Units Sold]]&gt;95,"Outstanding")</f>
        <v>High</v>
      </c>
      <c r="N616" s="29">
        <v>618.95000000000005</v>
      </c>
      <c r="O616" s="29">
        <v>51991.8</v>
      </c>
      <c r="P616" s="43">
        <f>IF(Table22[[#This Row],[Discount Applied]],Table22[[#This Row],[Total Sales (in USD)]]*(1-Table22[[#This Row],[Discount Percentage (%)]]/100),Table22[[#This Row],[Total Sales (in USD)]])</f>
        <v>42180.947340000006</v>
      </c>
      <c r="Q616" s="66">
        <f>SQRT(AVERAGE((Table22[[#This Row],[Net Sales (after discount) (in USD)]]-AVERAGE(Table22[Net Sales (after discount) (in USD)]))^2))</f>
        <v>5669.5867762354683</v>
      </c>
      <c r="R616" s="18" t="b">
        <v>1</v>
      </c>
      <c r="S616" s="40">
        <v>18.87</v>
      </c>
      <c r="T616" s="18" t="b">
        <v>1</v>
      </c>
      <c r="U616" s="25">
        <v>45456</v>
      </c>
      <c r="V616" s="63" t="str">
        <f>IF(MONTH(Table22[[#This Row],[Sales Date]])&lt;=3,"Q1",IF(MONTH(Table22[[#This Row],[Sales Date]])&lt;=6,"Q2",IF(MONTH(Table22[[#This Row],[Sales Date]])&lt;=9,"Q3","Q4")))</f>
        <v>Q2</v>
      </c>
      <c r="W616" s="64">
        <f>YEAR(Table22[[#This Row],[Sales Date]])</f>
        <v>2024</v>
      </c>
      <c r="X616" s="23">
        <v>19</v>
      </c>
      <c r="Y616" s="18" t="s">
        <v>49</v>
      </c>
      <c r="Z616" s="18" t="s">
        <v>24</v>
      </c>
      <c r="AA616" s="19" t="s">
        <v>25</v>
      </c>
    </row>
    <row r="617" spans="1:27" x14ac:dyDescent="0.25">
      <c r="A617" s="17" t="s">
        <v>1262</v>
      </c>
      <c r="B617" s="18" t="s">
        <v>32</v>
      </c>
      <c r="C617" s="63" t="str" cm="1">
        <f t="array" ref="C617">_xlfn.SWITCH(Table22[[#This Row],[Country]],"USA","North America","Canada","North America","Brazil","South America","China","Asia","Japan","Asia","India","Asia","France","Europe","Germany","Europe","UK","Europe","Australia","Oceania","South America")</f>
        <v>Asia</v>
      </c>
      <c r="D617" s="18" t="s">
        <v>21</v>
      </c>
      <c r="E617" s="18" t="s">
        <v>39</v>
      </c>
      <c r="F617" s="18" t="s">
        <v>20</v>
      </c>
      <c r="G617" s="18" t="s">
        <v>29</v>
      </c>
      <c r="H617" s="64">
        <f>LEN(TRIM(Table22[[#This Row],[Country]]))</f>
        <v>5</v>
      </c>
      <c r="I617" s="64">
        <f>LEN(TRIM(Table22[[#This Row],[Continent]]))</f>
        <v>4</v>
      </c>
      <c r="J617" s="64">
        <f>LEN(TRIM(Table22[[#This Row],[Product]]))</f>
        <v>10</v>
      </c>
      <c r="K617" s="64">
        <f>LEN(TRIM(Table22[[#This Row],[Sales Team]]))</f>
        <v>10</v>
      </c>
      <c r="L617" s="23">
        <v>89</v>
      </c>
      <c r="M617" s="65" t="str" cm="1">
        <f t="array" ref="M617">_xlfn.IFS(Table22[[#This Row],[Units Sold]]&lt;40,"Critical",Table22[[#This Row],[Units Sold]]&lt;=50,"Poor",Table22[[#This Row],[Units Sold]]&lt;=60,"Low",Table22[[#This Row],[Units Sold]]&lt;=80,"Average",Table22[[#This Row],[Units Sold]]&lt;=90,"High",Table22[[#This Row],[Units Sold]]&lt;=95,"Excellent",Table22[[#This Row],[Units Sold]]&gt;95,"Outstanding")</f>
        <v>High</v>
      </c>
      <c r="N617" s="29">
        <v>583.72</v>
      </c>
      <c r="O617" s="29">
        <v>51951.08</v>
      </c>
      <c r="P617" s="43">
        <f>IF(Table22[[#This Row],[Discount Applied]],Table22[[#This Row],[Total Sales (in USD)]]*(1-Table22[[#This Row],[Discount Percentage (%)]]/100),Table22[[#This Row],[Total Sales (in USD)]])</f>
        <v>36708.633128000001</v>
      </c>
      <c r="Q617" s="66">
        <f>SQRT(AVERAGE((Table22[[#This Row],[Net Sales (after discount) (in USD)]]-AVERAGE(Table22[Net Sales (after discount) (in USD)]))^2))</f>
        <v>197.27256423546351</v>
      </c>
      <c r="R617" s="18" t="b">
        <v>1</v>
      </c>
      <c r="S617" s="40">
        <v>29.34</v>
      </c>
      <c r="T617" s="18" t="b">
        <v>1</v>
      </c>
      <c r="U617" s="25">
        <v>45069</v>
      </c>
      <c r="V617" s="63" t="str">
        <f>IF(MONTH(Table22[[#This Row],[Sales Date]])&lt;=3,"Q1",IF(MONTH(Table22[[#This Row],[Sales Date]])&lt;=6,"Q2",IF(MONTH(Table22[[#This Row],[Sales Date]])&lt;=9,"Q3","Q4")))</f>
        <v>Q2</v>
      </c>
      <c r="W617" s="64">
        <f>YEAR(Table22[[#This Row],[Sales Date]])</f>
        <v>2023</v>
      </c>
      <c r="X617" s="23">
        <v>49</v>
      </c>
      <c r="Y617" s="18" t="s">
        <v>41</v>
      </c>
      <c r="Z617" s="18" t="s">
        <v>56</v>
      </c>
      <c r="AA617" s="19" t="s">
        <v>25</v>
      </c>
    </row>
    <row r="618" spans="1:27" x14ac:dyDescent="0.25">
      <c r="A618" s="17" t="s">
        <v>1674</v>
      </c>
      <c r="B618" s="18" t="s">
        <v>66</v>
      </c>
      <c r="C618" s="63" t="str" cm="1">
        <f t="array" ref="C618">_xlfn.SWITCH(Table22[[#This Row],[Country]],"USA","North America","Canada","North America","Brazil","South America","China","Asia","Japan","Asia","India","Asia","France","Europe","Germany","Europe","UK","Europe","Australia","Oceania","South America")</f>
        <v>North America</v>
      </c>
      <c r="D618" s="18" t="s">
        <v>21</v>
      </c>
      <c r="E618" s="18" t="s">
        <v>19</v>
      </c>
      <c r="F618" s="18" t="s">
        <v>20</v>
      </c>
      <c r="G618" s="18" t="s">
        <v>40</v>
      </c>
      <c r="H618" s="64">
        <f>LEN(TRIM(Table22[[#This Row],[Country]]))</f>
        <v>6</v>
      </c>
      <c r="I618" s="64">
        <f>LEN(TRIM(Table22[[#This Row],[Continent]]))</f>
        <v>13</v>
      </c>
      <c r="J618" s="64">
        <f>LEN(TRIM(Table22[[#This Row],[Product]]))</f>
        <v>6</v>
      </c>
      <c r="K618" s="64">
        <f>LEN(TRIM(Table22[[#This Row],[Sales Team]]))</f>
        <v>10</v>
      </c>
      <c r="L618" s="23">
        <v>73</v>
      </c>
      <c r="M618" s="65" t="str" cm="1">
        <f t="array" ref="M618">_xlfn.IFS(Table22[[#This Row],[Units Sold]]&lt;40,"Critical",Table22[[#This Row],[Units Sold]]&lt;=50,"Poor",Table22[[#This Row],[Units Sold]]&lt;=60,"Low",Table22[[#This Row],[Units Sold]]&lt;=80,"Average",Table22[[#This Row],[Units Sold]]&lt;=90,"High",Table22[[#This Row],[Units Sold]]&lt;=95,"Excellent",Table22[[#This Row],[Units Sold]]&gt;95,"Outstanding")</f>
        <v>Average</v>
      </c>
      <c r="N618" s="29">
        <v>711.65</v>
      </c>
      <c r="O618" s="29">
        <v>51950.45</v>
      </c>
      <c r="P618" s="43">
        <f>IF(Table22[[#This Row],[Discount Applied]],Table22[[#This Row],[Total Sales (in USD)]]*(1-Table22[[#This Row],[Discount Percentage (%)]]/100),Table22[[#This Row],[Total Sales (in USD)]])</f>
        <v>43981.250970000001</v>
      </c>
      <c r="Q618" s="66">
        <f>SQRT(AVERAGE((Table22[[#This Row],[Net Sales (after discount) (in USD)]]-AVERAGE(Table22[Net Sales (after discount) (in USD)]))^2))</f>
        <v>7469.8904062354632</v>
      </c>
      <c r="R618" s="18" t="b">
        <v>0</v>
      </c>
      <c r="S618" s="40">
        <v>15.34</v>
      </c>
      <c r="T618" s="18" t="b">
        <v>1</v>
      </c>
      <c r="U618" s="25">
        <v>45414</v>
      </c>
      <c r="V618" s="63" t="str">
        <f>IF(MONTH(Table22[[#This Row],[Sales Date]])&lt;=3,"Q1",IF(MONTH(Table22[[#This Row],[Sales Date]])&lt;=6,"Q2",IF(MONTH(Table22[[#This Row],[Sales Date]])&lt;=9,"Q3","Q4")))</f>
        <v>Q2</v>
      </c>
      <c r="W618" s="64">
        <f>YEAR(Table22[[#This Row],[Sales Date]])</f>
        <v>2024</v>
      </c>
      <c r="X618" s="23">
        <v>58</v>
      </c>
      <c r="Y618" s="18" t="s">
        <v>49</v>
      </c>
      <c r="Z618" s="18" t="s">
        <v>42</v>
      </c>
      <c r="AA618" s="19" t="s">
        <v>25</v>
      </c>
    </row>
    <row r="619" spans="1:27" x14ac:dyDescent="0.25">
      <c r="A619" s="17" t="s">
        <v>883</v>
      </c>
      <c r="B619" s="18" t="s">
        <v>72</v>
      </c>
      <c r="C619" s="63" t="str" cm="1">
        <f t="array" ref="C619">_xlfn.SWITCH(Table22[[#This Row],[Country]],"USA","North America","Canada","North America","Brazil","South America","China","Asia","Japan","Asia","India","Asia","France","Europe","Germany","Europe","UK","Europe","Australia","Oceania","South America")</f>
        <v>North America</v>
      </c>
      <c r="D619" s="18" t="s">
        <v>21</v>
      </c>
      <c r="E619" s="18" t="s">
        <v>33</v>
      </c>
      <c r="F619" s="18" t="s">
        <v>34</v>
      </c>
      <c r="G619" s="18" t="s">
        <v>40</v>
      </c>
      <c r="H619" s="64">
        <f>LEN(TRIM(Table22[[#This Row],[Country]]))</f>
        <v>3</v>
      </c>
      <c r="I619" s="64">
        <f>LEN(TRIM(Table22[[#This Row],[Continent]]))</f>
        <v>13</v>
      </c>
      <c r="J619" s="64">
        <f>LEN(TRIM(Table22[[#This Row],[Product]]))</f>
        <v>10</v>
      </c>
      <c r="K619" s="64">
        <f>LEN(TRIM(Table22[[#This Row],[Sales Team]]))</f>
        <v>10</v>
      </c>
      <c r="L619" s="23">
        <v>81</v>
      </c>
      <c r="M619" s="65" t="str" cm="1">
        <f t="array" ref="M619">_xlfn.IFS(Table22[[#This Row],[Units Sold]]&lt;40,"Critical",Table22[[#This Row],[Units Sold]]&lt;=50,"Poor",Table22[[#This Row],[Units Sold]]&lt;=60,"Low",Table22[[#This Row],[Units Sold]]&lt;=80,"Average",Table22[[#This Row],[Units Sold]]&lt;=90,"High",Table22[[#This Row],[Units Sold]]&lt;=95,"Excellent",Table22[[#This Row],[Units Sold]]&gt;95,"Outstanding")</f>
        <v>High</v>
      </c>
      <c r="N619" s="29">
        <v>641.22</v>
      </c>
      <c r="O619" s="29">
        <v>51938.82</v>
      </c>
      <c r="P619" s="43">
        <f>IF(Table22[[#This Row],[Discount Applied]],Table22[[#This Row],[Total Sales (in USD)]]*(1-Table22[[#This Row],[Discount Percentage (%)]]/100),Table22[[#This Row],[Total Sales (in USD)]])</f>
        <v>51938.82</v>
      </c>
      <c r="Q619" s="66">
        <f>SQRT(AVERAGE((Table22[[#This Row],[Net Sales (after discount) (in USD)]]-AVERAGE(Table22[Net Sales (after discount) (in USD)]))^2))</f>
        <v>15427.459436235462</v>
      </c>
      <c r="R619" s="18" t="b">
        <v>1</v>
      </c>
      <c r="S619" s="40">
        <v>22.34</v>
      </c>
      <c r="T619" s="18" t="b">
        <v>0</v>
      </c>
      <c r="U619" s="25">
        <v>45216</v>
      </c>
      <c r="V619" s="63" t="str">
        <f>IF(MONTH(Table22[[#This Row],[Sales Date]])&lt;=3,"Q1",IF(MONTH(Table22[[#This Row],[Sales Date]])&lt;=6,"Q2",IF(MONTH(Table22[[#This Row],[Sales Date]])&lt;=9,"Q3","Q4")))</f>
        <v>Q4</v>
      </c>
      <c r="W619" s="64">
        <f>YEAR(Table22[[#This Row],[Sales Date]])</f>
        <v>2023</v>
      </c>
      <c r="X619" s="23">
        <v>24</v>
      </c>
      <c r="Y619" s="18" t="s">
        <v>23</v>
      </c>
      <c r="Z619" s="18" t="s">
        <v>42</v>
      </c>
      <c r="AA619" s="19" t="s">
        <v>36</v>
      </c>
    </row>
    <row r="620" spans="1:27" x14ac:dyDescent="0.25">
      <c r="A620" s="17" t="s">
        <v>902</v>
      </c>
      <c r="B620" s="18" t="s">
        <v>66</v>
      </c>
      <c r="C620" s="63" t="str" cm="1">
        <f t="array" ref="C620">_xlfn.SWITCH(Table22[[#This Row],[Country]],"USA","North America","Canada","North America","Brazil","South America","China","Asia","Japan","Asia","India","Asia","France","Europe","Germany","Europe","UK","Europe","Australia","Oceania","South America")</f>
        <v>North America</v>
      </c>
      <c r="D620" s="18" t="s">
        <v>21</v>
      </c>
      <c r="E620" s="18" t="s">
        <v>33</v>
      </c>
      <c r="F620" s="18" t="s">
        <v>47</v>
      </c>
      <c r="G620" s="18" t="s">
        <v>40</v>
      </c>
      <c r="H620" s="64">
        <f>LEN(TRIM(Table22[[#This Row],[Country]]))</f>
        <v>6</v>
      </c>
      <c r="I620" s="64">
        <f>LEN(TRIM(Table22[[#This Row],[Continent]]))</f>
        <v>13</v>
      </c>
      <c r="J620" s="64">
        <f>LEN(TRIM(Table22[[#This Row],[Product]]))</f>
        <v>10</v>
      </c>
      <c r="K620" s="64">
        <f>LEN(TRIM(Table22[[#This Row],[Sales Team]]))</f>
        <v>10</v>
      </c>
      <c r="L620" s="23">
        <v>52</v>
      </c>
      <c r="M620" s="65" t="str" cm="1">
        <f t="array" ref="M620">_xlfn.IFS(Table22[[#This Row],[Units Sold]]&lt;40,"Critical",Table22[[#This Row],[Units Sold]]&lt;=50,"Poor",Table22[[#This Row],[Units Sold]]&lt;=60,"Low",Table22[[#This Row],[Units Sold]]&lt;=80,"Average",Table22[[#This Row],[Units Sold]]&lt;=90,"High",Table22[[#This Row],[Units Sold]]&lt;=95,"Excellent",Table22[[#This Row],[Units Sold]]&gt;95,"Outstanding")</f>
        <v>Low</v>
      </c>
      <c r="N620" s="29">
        <v>997.96</v>
      </c>
      <c r="O620" s="29">
        <v>51893.919999999998</v>
      </c>
      <c r="P620" s="43">
        <f>IF(Table22[[#This Row],[Discount Applied]],Table22[[#This Row],[Total Sales (in USD)]]*(1-Table22[[#This Row],[Discount Percentage (%)]]/100),Table22[[#This Row],[Total Sales (in USD)]])</f>
        <v>39610.629135999996</v>
      </c>
      <c r="Q620" s="66">
        <f>SQRT(AVERAGE((Table22[[#This Row],[Net Sales (after discount) (in USD)]]-AVERAGE(Table22[Net Sales (after discount) (in USD)]))^2))</f>
        <v>3099.2685722354581</v>
      </c>
      <c r="R620" s="18" t="b">
        <v>1</v>
      </c>
      <c r="S620" s="40">
        <v>23.67</v>
      </c>
      <c r="T620" s="18" t="b">
        <v>1</v>
      </c>
      <c r="U620" s="25">
        <v>45445</v>
      </c>
      <c r="V620" s="63" t="str">
        <f>IF(MONTH(Table22[[#This Row],[Sales Date]])&lt;=3,"Q1",IF(MONTH(Table22[[#This Row],[Sales Date]])&lt;=6,"Q2",IF(MONTH(Table22[[#This Row],[Sales Date]])&lt;=9,"Q3","Q4")))</f>
        <v>Q2</v>
      </c>
      <c r="W620" s="64">
        <f>YEAR(Table22[[#This Row],[Sales Date]])</f>
        <v>2024</v>
      </c>
      <c r="X620" s="23">
        <v>38</v>
      </c>
      <c r="Y620" s="18" t="s">
        <v>49</v>
      </c>
      <c r="Z620" s="18" t="s">
        <v>42</v>
      </c>
      <c r="AA620" s="19" t="s">
        <v>36</v>
      </c>
    </row>
    <row r="621" spans="1:27" x14ac:dyDescent="0.25">
      <c r="A621" s="17" t="s">
        <v>1038</v>
      </c>
      <c r="B621" s="18" t="s">
        <v>46</v>
      </c>
      <c r="C621" s="63" t="str" cm="1">
        <f t="array" ref="C621">_xlfn.SWITCH(Table22[[#This Row],[Country]],"USA","North America","Canada","North America","Brazil","South America","China","Asia","Japan","Asia","India","Asia","France","Europe","Germany","Europe","UK","Europe","Australia","Oceania","South America")</f>
        <v>South America</v>
      </c>
      <c r="D621" s="18" t="s">
        <v>35</v>
      </c>
      <c r="E621" s="18" t="s">
        <v>19</v>
      </c>
      <c r="F621" s="18" t="s">
        <v>34</v>
      </c>
      <c r="G621" s="18" t="s">
        <v>29</v>
      </c>
      <c r="H621" s="64">
        <f>LEN(TRIM(Table22[[#This Row],[Country]]))</f>
        <v>6</v>
      </c>
      <c r="I621" s="64">
        <f>LEN(TRIM(Table22[[#This Row],[Continent]]))</f>
        <v>13</v>
      </c>
      <c r="J621" s="64">
        <f>LEN(TRIM(Table22[[#This Row],[Product]]))</f>
        <v>6</v>
      </c>
      <c r="K621" s="64">
        <f>LEN(TRIM(Table22[[#This Row],[Sales Team]]))</f>
        <v>10</v>
      </c>
      <c r="L621" s="23">
        <v>61</v>
      </c>
      <c r="M621" s="65" t="str" cm="1">
        <f t="array" ref="M621">_xlfn.IFS(Table22[[#This Row],[Units Sold]]&lt;40,"Critical",Table22[[#This Row],[Units Sold]]&lt;=50,"Poor",Table22[[#This Row],[Units Sold]]&lt;=60,"Low",Table22[[#This Row],[Units Sold]]&lt;=80,"Average",Table22[[#This Row],[Units Sold]]&lt;=90,"High",Table22[[#This Row],[Units Sold]]&lt;=95,"Excellent",Table22[[#This Row],[Units Sold]]&gt;95,"Outstanding")</f>
        <v>Average</v>
      </c>
      <c r="N621" s="29">
        <v>850.63</v>
      </c>
      <c r="O621" s="29">
        <v>51888.43</v>
      </c>
      <c r="P621" s="43">
        <f>IF(Table22[[#This Row],[Discount Applied]],Table22[[#This Row],[Total Sales (in USD)]]*(1-Table22[[#This Row],[Discount Percentage (%)]]/100),Table22[[#This Row],[Total Sales (in USD)]])</f>
        <v>51888.43</v>
      </c>
      <c r="Q621" s="66">
        <f>SQRT(AVERAGE((Table22[[#This Row],[Net Sales (after discount) (in USD)]]-AVERAGE(Table22[Net Sales (after discount) (in USD)]))^2))</f>
        <v>15377.069436235462</v>
      </c>
      <c r="R621" s="18" t="b">
        <v>1</v>
      </c>
      <c r="S621" s="40">
        <v>12.41</v>
      </c>
      <c r="T621" s="18" t="b">
        <v>0</v>
      </c>
      <c r="U621" s="25">
        <v>45219</v>
      </c>
      <c r="V621" s="63" t="str">
        <f>IF(MONTH(Table22[[#This Row],[Sales Date]])&lt;=3,"Q1",IF(MONTH(Table22[[#This Row],[Sales Date]])&lt;=6,"Q2",IF(MONTH(Table22[[#This Row],[Sales Date]])&lt;=9,"Q3","Q4")))</f>
        <v>Q4</v>
      </c>
      <c r="W621" s="64">
        <f>YEAR(Table22[[#This Row],[Sales Date]])</f>
        <v>2023</v>
      </c>
      <c r="X621" s="23">
        <v>26</v>
      </c>
      <c r="Y621" s="18" t="s">
        <v>41</v>
      </c>
      <c r="Z621" s="18" t="s">
        <v>30</v>
      </c>
      <c r="AA621" s="19" t="s">
        <v>36</v>
      </c>
    </row>
    <row r="622" spans="1:27" x14ac:dyDescent="0.25">
      <c r="A622" s="17" t="s">
        <v>1558</v>
      </c>
      <c r="B622" s="18" t="s">
        <v>72</v>
      </c>
      <c r="C622" s="63" t="str" cm="1">
        <f t="array" ref="C622">_xlfn.SWITCH(Table22[[#This Row],[Country]],"USA","North America","Canada","North America","Brazil","South America","China","Asia","Japan","Asia","India","Asia","France","Europe","Germany","Europe","UK","Europe","Australia","Oceania","South America")</f>
        <v>North America</v>
      </c>
      <c r="D622" s="18" t="s">
        <v>35</v>
      </c>
      <c r="E622" s="18" t="s">
        <v>19</v>
      </c>
      <c r="F622" s="18" t="s">
        <v>20</v>
      </c>
      <c r="G622" s="18" t="s">
        <v>29</v>
      </c>
      <c r="H622" s="64">
        <f>LEN(TRIM(Table22[[#This Row],[Country]]))</f>
        <v>3</v>
      </c>
      <c r="I622" s="64">
        <f>LEN(TRIM(Table22[[#This Row],[Continent]]))</f>
        <v>13</v>
      </c>
      <c r="J622" s="64">
        <f>LEN(TRIM(Table22[[#This Row],[Product]]))</f>
        <v>6</v>
      </c>
      <c r="K622" s="64">
        <f>LEN(TRIM(Table22[[#This Row],[Sales Team]]))</f>
        <v>10</v>
      </c>
      <c r="L622" s="23">
        <v>72</v>
      </c>
      <c r="M622" s="65" t="str" cm="1">
        <f t="array" ref="M622">_xlfn.IFS(Table22[[#This Row],[Units Sold]]&lt;40,"Critical",Table22[[#This Row],[Units Sold]]&lt;=50,"Poor",Table22[[#This Row],[Units Sold]]&lt;=60,"Low",Table22[[#This Row],[Units Sold]]&lt;=80,"Average",Table22[[#This Row],[Units Sold]]&lt;=90,"High",Table22[[#This Row],[Units Sold]]&lt;=95,"Excellent",Table22[[#This Row],[Units Sold]]&gt;95,"Outstanding")</f>
        <v>Average</v>
      </c>
      <c r="N622" s="29">
        <v>720.42</v>
      </c>
      <c r="O622" s="29">
        <v>51870.239999999998</v>
      </c>
      <c r="P622" s="43">
        <f>IF(Table22[[#This Row],[Discount Applied]],Table22[[#This Row],[Total Sales (in USD)]]*(1-Table22[[#This Row],[Discount Percentage (%)]]/100),Table22[[#This Row],[Total Sales (in USD)]])</f>
        <v>38269.863072</v>
      </c>
      <c r="Q622" s="66">
        <f>SQRT(AVERAGE((Table22[[#This Row],[Net Sales (after discount) (in USD)]]-AVERAGE(Table22[Net Sales (after discount) (in USD)]))^2))</f>
        <v>1758.5025082354623</v>
      </c>
      <c r="R622" s="18" t="b">
        <v>0</v>
      </c>
      <c r="S622" s="40">
        <v>26.22</v>
      </c>
      <c r="T622" s="18" t="b">
        <v>1</v>
      </c>
      <c r="U622" s="25">
        <v>45137</v>
      </c>
      <c r="V622" s="63" t="str">
        <f>IF(MONTH(Table22[[#This Row],[Sales Date]])&lt;=3,"Q1",IF(MONTH(Table22[[#This Row],[Sales Date]])&lt;=6,"Q2",IF(MONTH(Table22[[#This Row],[Sales Date]])&lt;=9,"Q3","Q4")))</f>
        <v>Q3</v>
      </c>
      <c r="W622" s="64">
        <f>YEAR(Table22[[#This Row],[Sales Date]])</f>
        <v>2023</v>
      </c>
      <c r="X622" s="23">
        <v>34</v>
      </c>
      <c r="Y622" s="18" t="s">
        <v>49</v>
      </c>
      <c r="Z622" s="18" t="s">
        <v>42</v>
      </c>
      <c r="AA622" s="19" t="s">
        <v>25</v>
      </c>
    </row>
    <row r="623" spans="1:27" x14ac:dyDescent="0.25">
      <c r="A623" s="17" t="s">
        <v>1152</v>
      </c>
      <c r="B623" s="18" t="s">
        <v>18</v>
      </c>
      <c r="C623" s="63" t="str" cm="1">
        <f t="array" ref="C623">_xlfn.SWITCH(Table22[[#This Row],[Country]],"USA","North America","Canada","North America","Brazil","South America","China","Asia","Japan","Asia","India","Asia","France","Europe","Germany","Europe","UK","Europe","Australia","Oceania","South America")</f>
        <v>Asia</v>
      </c>
      <c r="D623" s="18" t="s">
        <v>21</v>
      </c>
      <c r="E623" s="18" t="s">
        <v>19</v>
      </c>
      <c r="F623" s="18" t="s">
        <v>64</v>
      </c>
      <c r="G623" s="18" t="s">
        <v>48</v>
      </c>
      <c r="H623" s="64">
        <f>LEN(TRIM(Table22[[#This Row],[Country]]))</f>
        <v>5</v>
      </c>
      <c r="I623" s="64">
        <f>LEN(TRIM(Table22[[#This Row],[Continent]]))</f>
        <v>4</v>
      </c>
      <c r="J623" s="64">
        <f>LEN(TRIM(Table22[[#This Row],[Product]]))</f>
        <v>6</v>
      </c>
      <c r="K623" s="64">
        <f>LEN(TRIM(Table22[[#This Row],[Sales Team]]))</f>
        <v>9</v>
      </c>
      <c r="L623" s="23">
        <v>56</v>
      </c>
      <c r="M623" s="65" t="str" cm="1">
        <f t="array" ref="M623">_xlfn.IFS(Table22[[#This Row],[Units Sold]]&lt;40,"Critical",Table22[[#This Row],[Units Sold]]&lt;=50,"Poor",Table22[[#This Row],[Units Sold]]&lt;=60,"Low",Table22[[#This Row],[Units Sold]]&lt;=80,"Average",Table22[[#This Row],[Units Sold]]&lt;=90,"High",Table22[[#This Row],[Units Sold]]&lt;=95,"Excellent",Table22[[#This Row],[Units Sold]]&gt;95,"Outstanding")</f>
        <v>Low</v>
      </c>
      <c r="N623" s="29">
        <v>925.62</v>
      </c>
      <c r="O623" s="29">
        <v>51834.720000000001</v>
      </c>
      <c r="P623" s="43">
        <f>IF(Table22[[#This Row],[Discount Applied]],Table22[[#This Row],[Total Sales (in USD)]]*(1-Table22[[#This Row],[Discount Percentage (%)]]/100),Table22[[#This Row],[Total Sales (in USD)]])</f>
        <v>36714.532176000001</v>
      </c>
      <c r="Q623" s="66">
        <f>SQRT(AVERAGE((Table22[[#This Row],[Net Sales (after discount) (in USD)]]-AVERAGE(Table22[Net Sales (after discount) (in USD)]))^2))</f>
        <v>203.17161223546282</v>
      </c>
      <c r="R623" s="18" t="b">
        <v>1</v>
      </c>
      <c r="S623" s="40">
        <v>29.17</v>
      </c>
      <c r="T623" s="18" t="b">
        <v>1</v>
      </c>
      <c r="U623" s="25">
        <v>45226</v>
      </c>
      <c r="V623" s="63" t="str">
        <f>IF(MONTH(Table22[[#This Row],[Sales Date]])&lt;=3,"Q1",IF(MONTH(Table22[[#This Row],[Sales Date]])&lt;=6,"Q2",IF(MONTH(Table22[[#This Row],[Sales Date]])&lt;=9,"Q3","Q4")))</f>
        <v>Q4</v>
      </c>
      <c r="W623" s="64">
        <f>YEAR(Table22[[#This Row],[Sales Date]])</f>
        <v>2023</v>
      </c>
      <c r="X623" s="23">
        <v>20</v>
      </c>
      <c r="Y623" s="18" t="s">
        <v>41</v>
      </c>
      <c r="Z623" s="18" t="s">
        <v>56</v>
      </c>
      <c r="AA623" s="19" t="s">
        <v>36</v>
      </c>
    </row>
    <row r="624" spans="1:27" x14ac:dyDescent="0.25">
      <c r="A624" s="17" t="s">
        <v>1055</v>
      </c>
      <c r="B624" s="18" t="s">
        <v>27</v>
      </c>
      <c r="C624" s="63" t="str" cm="1">
        <f t="array" ref="C624">_xlfn.SWITCH(Table22[[#This Row],[Country]],"USA","North America","Canada","North America","Brazil","South America","China","Asia","Japan","Asia","India","Asia","France","Europe","Germany","Europe","UK","Europe","Australia","Oceania","South America")</f>
        <v>Europe</v>
      </c>
      <c r="D624" s="18" t="s">
        <v>35</v>
      </c>
      <c r="E624" s="18" t="s">
        <v>19</v>
      </c>
      <c r="F624" s="18" t="s">
        <v>52</v>
      </c>
      <c r="G624" s="18" t="s">
        <v>48</v>
      </c>
      <c r="H624" s="64">
        <f>LEN(TRIM(Table22[[#This Row],[Country]]))</f>
        <v>7</v>
      </c>
      <c r="I624" s="64">
        <f>LEN(TRIM(Table22[[#This Row],[Continent]]))</f>
        <v>6</v>
      </c>
      <c r="J624" s="64">
        <f>LEN(TRIM(Table22[[#This Row],[Product]]))</f>
        <v>6</v>
      </c>
      <c r="K624" s="64">
        <f>LEN(TRIM(Table22[[#This Row],[Sales Team]]))</f>
        <v>9</v>
      </c>
      <c r="L624" s="23">
        <v>54</v>
      </c>
      <c r="M624" s="65" t="str" cm="1">
        <f t="array" ref="M624">_xlfn.IFS(Table22[[#This Row],[Units Sold]]&lt;40,"Critical",Table22[[#This Row],[Units Sold]]&lt;=50,"Poor",Table22[[#This Row],[Units Sold]]&lt;=60,"Low",Table22[[#This Row],[Units Sold]]&lt;=80,"Average",Table22[[#This Row],[Units Sold]]&lt;=90,"High",Table22[[#This Row],[Units Sold]]&lt;=95,"Excellent",Table22[[#This Row],[Units Sold]]&gt;95,"Outstanding")</f>
        <v>Low</v>
      </c>
      <c r="N624" s="29">
        <v>959.61</v>
      </c>
      <c r="O624" s="29">
        <v>51818.94</v>
      </c>
      <c r="P624" s="43">
        <f>IF(Table22[[#This Row],[Discount Applied]],Table22[[#This Row],[Total Sales (in USD)]]*(1-Table22[[#This Row],[Discount Percentage (%)]]/100),Table22[[#This Row],[Total Sales (in USD)]])</f>
        <v>51818.94</v>
      </c>
      <c r="Q624" s="66">
        <f>SQRT(AVERAGE((Table22[[#This Row],[Net Sales (after discount) (in USD)]]-AVERAGE(Table22[Net Sales (after discount) (in USD)]))^2))</f>
        <v>15307.579436235465</v>
      </c>
      <c r="R624" s="18" t="b">
        <v>0</v>
      </c>
      <c r="S624" s="40">
        <v>22.27</v>
      </c>
      <c r="T624" s="18" t="b">
        <v>0</v>
      </c>
      <c r="U624" s="25">
        <v>45416</v>
      </c>
      <c r="V624" s="63" t="str">
        <f>IF(MONTH(Table22[[#This Row],[Sales Date]])&lt;=3,"Q1",IF(MONTH(Table22[[#This Row],[Sales Date]])&lt;=6,"Q2",IF(MONTH(Table22[[#This Row],[Sales Date]])&lt;=9,"Q3","Q4")))</f>
        <v>Q2</v>
      </c>
      <c r="W624" s="64">
        <f>YEAR(Table22[[#This Row],[Sales Date]])</f>
        <v>2024</v>
      </c>
      <c r="X624" s="23">
        <v>22</v>
      </c>
      <c r="Y624" s="18" t="s">
        <v>49</v>
      </c>
      <c r="Z624" s="18" t="s">
        <v>24</v>
      </c>
      <c r="AA624" s="19" t="s">
        <v>25</v>
      </c>
    </row>
    <row r="625" spans="1:27" x14ac:dyDescent="0.25">
      <c r="A625" s="17" t="s">
        <v>1548</v>
      </c>
      <c r="B625" s="18" t="s">
        <v>46</v>
      </c>
      <c r="C625" s="63" t="str" cm="1">
        <f t="array" ref="C625">_xlfn.SWITCH(Table22[[#This Row],[Country]],"USA","North America","Canada","North America","Brazil","South America","China","Asia","Japan","Asia","India","Asia","France","Europe","Germany","Europe","UK","Europe","Australia","Oceania","South America")</f>
        <v>South America</v>
      </c>
      <c r="D625" s="18" t="s">
        <v>44</v>
      </c>
      <c r="E625" s="18" t="s">
        <v>39</v>
      </c>
      <c r="F625" s="18" t="s">
        <v>47</v>
      </c>
      <c r="G625" s="18" t="s">
        <v>40</v>
      </c>
      <c r="H625" s="64">
        <f>LEN(TRIM(Table22[[#This Row],[Country]]))</f>
        <v>6</v>
      </c>
      <c r="I625" s="64">
        <f>LEN(TRIM(Table22[[#This Row],[Continent]]))</f>
        <v>13</v>
      </c>
      <c r="J625" s="64">
        <f>LEN(TRIM(Table22[[#This Row],[Product]]))</f>
        <v>10</v>
      </c>
      <c r="K625" s="64">
        <f>LEN(TRIM(Table22[[#This Row],[Sales Team]]))</f>
        <v>10</v>
      </c>
      <c r="L625" s="23">
        <v>38</v>
      </c>
      <c r="M625" s="65" t="str" cm="1">
        <f t="array" ref="M625">_xlfn.IFS(Table22[[#This Row],[Units Sold]]&lt;40,"Critical",Table22[[#This Row],[Units Sold]]&lt;=50,"Poor",Table22[[#This Row],[Units Sold]]&lt;=60,"Low",Table22[[#This Row],[Units Sold]]&lt;=80,"Average",Table22[[#This Row],[Units Sold]]&lt;=90,"High",Table22[[#This Row],[Units Sold]]&lt;=95,"Excellent",Table22[[#This Row],[Units Sold]]&gt;95,"Outstanding")</f>
        <v>Critical</v>
      </c>
      <c r="N625" s="29">
        <v>1361.08</v>
      </c>
      <c r="O625" s="29">
        <v>51721.04</v>
      </c>
      <c r="P625" s="43">
        <f>IF(Table22[[#This Row],[Discount Applied]],Table22[[#This Row],[Total Sales (in USD)]]*(1-Table22[[#This Row],[Discount Percentage (%)]]/100),Table22[[#This Row],[Total Sales (in USD)]])</f>
        <v>51721.04</v>
      </c>
      <c r="Q625" s="66">
        <f>SQRT(AVERAGE((Table22[[#This Row],[Net Sales (after discount) (in USD)]]-AVERAGE(Table22[Net Sales (after discount) (in USD)]))^2))</f>
        <v>15209.679436235463</v>
      </c>
      <c r="R625" s="18" t="b">
        <v>1</v>
      </c>
      <c r="S625" s="40">
        <v>13.63</v>
      </c>
      <c r="T625" s="18" t="b">
        <v>0</v>
      </c>
      <c r="U625" s="25">
        <v>45335</v>
      </c>
      <c r="V625" s="63" t="str">
        <f>IF(MONTH(Table22[[#This Row],[Sales Date]])&lt;=3,"Q1",IF(MONTH(Table22[[#This Row],[Sales Date]])&lt;=6,"Q2",IF(MONTH(Table22[[#This Row],[Sales Date]])&lt;=9,"Q3","Q4")))</f>
        <v>Q1</v>
      </c>
      <c r="W625" s="64">
        <f>YEAR(Table22[[#This Row],[Sales Date]])</f>
        <v>2024</v>
      </c>
      <c r="X625" s="23">
        <v>52</v>
      </c>
      <c r="Y625" s="18" t="s">
        <v>49</v>
      </c>
      <c r="Z625" s="18" t="s">
        <v>30</v>
      </c>
      <c r="AA625" s="19" t="s">
        <v>25</v>
      </c>
    </row>
    <row r="626" spans="1:27" x14ac:dyDescent="0.25">
      <c r="A626" s="17" t="s">
        <v>37</v>
      </c>
      <c r="B626" s="18" t="s">
        <v>38</v>
      </c>
      <c r="C626" s="63" t="str" cm="1">
        <f t="array" ref="C626">_xlfn.SWITCH(Table22[[#This Row],[Country]],"USA","North America","Canada","North America","Brazil","South America","China","Asia","Japan","Asia","India","Asia","France","Europe","Germany","Europe","UK","Europe","Australia","Oceania","South America")</f>
        <v>Europe</v>
      </c>
      <c r="D626" s="18" t="s">
        <v>21</v>
      </c>
      <c r="E626" s="18" t="s">
        <v>39</v>
      </c>
      <c r="F626" s="18" t="s">
        <v>34</v>
      </c>
      <c r="G626" s="18" t="s">
        <v>40</v>
      </c>
      <c r="H626" s="64">
        <f>LEN(TRIM(Table22[[#This Row],[Country]]))</f>
        <v>6</v>
      </c>
      <c r="I626" s="64">
        <f>LEN(TRIM(Table22[[#This Row],[Continent]]))</f>
        <v>6</v>
      </c>
      <c r="J626" s="64">
        <f>LEN(TRIM(Table22[[#This Row],[Product]]))</f>
        <v>10</v>
      </c>
      <c r="K626" s="64">
        <f>LEN(TRIM(Table22[[#This Row],[Sales Team]]))</f>
        <v>10</v>
      </c>
      <c r="L626" s="23">
        <v>36</v>
      </c>
      <c r="M626" s="65" t="str" cm="1">
        <f t="array" ref="M626">_xlfn.IFS(Table22[[#This Row],[Units Sold]]&lt;40,"Critical",Table22[[#This Row],[Units Sold]]&lt;=50,"Poor",Table22[[#This Row],[Units Sold]]&lt;=60,"Low",Table22[[#This Row],[Units Sold]]&lt;=80,"Average",Table22[[#This Row],[Units Sold]]&lt;=90,"High",Table22[[#This Row],[Units Sold]]&lt;=95,"Excellent",Table22[[#This Row],[Units Sold]]&gt;95,"Outstanding")</f>
        <v>Critical</v>
      </c>
      <c r="N626" s="29">
        <v>1432.19</v>
      </c>
      <c r="O626" s="29">
        <v>51558.84</v>
      </c>
      <c r="P626" s="43">
        <f>IF(Table22[[#This Row],[Discount Applied]],Table22[[#This Row],[Total Sales (in USD)]]*(1-Table22[[#This Row],[Discount Percentage (%)]]/100),Table22[[#This Row],[Total Sales (in USD)]])</f>
        <v>51558.84</v>
      </c>
      <c r="Q626" s="66">
        <f>SQRT(AVERAGE((Table22[[#This Row],[Net Sales (after discount) (in USD)]]-AVERAGE(Table22[Net Sales (after discount) (in USD)]))^2))</f>
        <v>15047.479436235459</v>
      </c>
      <c r="R626" s="18" t="b">
        <v>0</v>
      </c>
      <c r="S626" s="40">
        <v>7.23</v>
      </c>
      <c r="T626" s="18" t="b">
        <v>0</v>
      </c>
      <c r="U626" s="25">
        <v>45534</v>
      </c>
      <c r="V626" s="63" t="str">
        <f>IF(MONTH(Table22[[#This Row],[Sales Date]])&lt;=3,"Q1",IF(MONTH(Table22[[#This Row],[Sales Date]])&lt;=6,"Q2",IF(MONTH(Table22[[#This Row],[Sales Date]])&lt;=9,"Q3","Q4")))</f>
        <v>Q3</v>
      </c>
      <c r="W626" s="64">
        <f>YEAR(Table22[[#This Row],[Sales Date]])</f>
        <v>2024</v>
      </c>
      <c r="X626" s="23">
        <v>63</v>
      </c>
      <c r="Y626" s="18" t="s">
        <v>41</v>
      </c>
      <c r="Z626" s="18" t="s">
        <v>42</v>
      </c>
      <c r="AA626" s="19" t="s">
        <v>25</v>
      </c>
    </row>
    <row r="627" spans="1:27" x14ac:dyDescent="0.25">
      <c r="A627" s="17" t="s">
        <v>1487</v>
      </c>
      <c r="B627" s="18" t="s">
        <v>76</v>
      </c>
      <c r="C627" s="63" t="str" cm="1">
        <f t="array" ref="C627">_xlfn.SWITCH(Table22[[#This Row],[Country]],"USA","North America","Canada","North America","Brazil","South America","China","Asia","Japan","Asia","India","Asia","France","Europe","Germany","Europe","UK","Europe","Australia","Oceania","South America")</f>
        <v>Asia</v>
      </c>
      <c r="D627" s="18" t="s">
        <v>21</v>
      </c>
      <c r="E627" s="18" t="s">
        <v>19</v>
      </c>
      <c r="F627" s="18" t="s">
        <v>64</v>
      </c>
      <c r="G627" s="18" t="s">
        <v>29</v>
      </c>
      <c r="H627" s="64">
        <f>LEN(TRIM(Table22[[#This Row],[Country]]))</f>
        <v>5</v>
      </c>
      <c r="I627" s="64">
        <f>LEN(TRIM(Table22[[#This Row],[Continent]]))</f>
        <v>4</v>
      </c>
      <c r="J627" s="64">
        <f>LEN(TRIM(Table22[[#This Row],[Product]]))</f>
        <v>6</v>
      </c>
      <c r="K627" s="64">
        <f>LEN(TRIM(Table22[[#This Row],[Sales Team]]))</f>
        <v>10</v>
      </c>
      <c r="L627" s="23">
        <v>39</v>
      </c>
      <c r="M627" s="65" t="str" cm="1">
        <f t="array" ref="M627">_xlfn.IFS(Table22[[#This Row],[Units Sold]]&lt;40,"Critical",Table22[[#This Row],[Units Sold]]&lt;=50,"Poor",Table22[[#This Row],[Units Sold]]&lt;=60,"Low",Table22[[#This Row],[Units Sold]]&lt;=80,"Average",Table22[[#This Row],[Units Sold]]&lt;=90,"High",Table22[[#This Row],[Units Sold]]&lt;=95,"Excellent",Table22[[#This Row],[Units Sold]]&gt;95,"Outstanding")</f>
        <v>Critical</v>
      </c>
      <c r="N627" s="29">
        <v>1321.19</v>
      </c>
      <c r="O627" s="29">
        <v>51526.41</v>
      </c>
      <c r="P627" s="43">
        <f>IF(Table22[[#This Row],[Discount Applied]],Table22[[#This Row],[Total Sales (in USD)]]*(1-Table22[[#This Row],[Discount Percentage (%)]]/100),Table22[[#This Row],[Total Sales (in USD)]])</f>
        <v>51526.41</v>
      </c>
      <c r="Q627" s="66">
        <f>SQRT(AVERAGE((Table22[[#This Row],[Net Sales (after discount) (in USD)]]-AVERAGE(Table22[Net Sales (after discount) (in USD)]))^2))</f>
        <v>15015.049436235466</v>
      </c>
      <c r="R627" s="18" t="b">
        <v>1</v>
      </c>
      <c r="S627" s="40">
        <v>11.35</v>
      </c>
      <c r="T627" s="18" t="b">
        <v>0</v>
      </c>
      <c r="U627" s="25">
        <v>45342</v>
      </c>
      <c r="V627" s="63" t="str">
        <f>IF(MONTH(Table22[[#This Row],[Sales Date]])&lt;=3,"Q1",IF(MONTH(Table22[[#This Row],[Sales Date]])&lt;=6,"Q2",IF(MONTH(Table22[[#This Row],[Sales Date]])&lt;=9,"Q3","Q4")))</f>
        <v>Q1</v>
      </c>
      <c r="W627" s="64">
        <f>YEAR(Table22[[#This Row],[Sales Date]])</f>
        <v>2024</v>
      </c>
      <c r="X627" s="23">
        <v>62</v>
      </c>
      <c r="Y627" s="18" t="s">
        <v>49</v>
      </c>
      <c r="Z627" s="18" t="s">
        <v>42</v>
      </c>
      <c r="AA627" s="19" t="s">
        <v>25</v>
      </c>
    </row>
    <row r="628" spans="1:27" x14ac:dyDescent="0.25">
      <c r="A628" s="17" t="s">
        <v>1858</v>
      </c>
      <c r="B628" s="18" t="s">
        <v>66</v>
      </c>
      <c r="C628" s="63" t="str" cm="1">
        <f t="array" ref="C628">_xlfn.SWITCH(Table22[[#This Row],[Country]],"USA","North America","Canada","North America","Brazil","South America","China","Asia","Japan","Asia","India","Asia","France","Europe","Germany","Europe","UK","Europe","Australia","Oceania","South America")</f>
        <v>North America</v>
      </c>
      <c r="D628" s="18" t="s">
        <v>21</v>
      </c>
      <c r="E628" s="18" t="s">
        <v>33</v>
      </c>
      <c r="F628" s="18" t="s">
        <v>34</v>
      </c>
      <c r="G628" s="18" t="s">
        <v>22</v>
      </c>
      <c r="H628" s="64">
        <f>LEN(TRIM(Table22[[#This Row],[Country]]))</f>
        <v>6</v>
      </c>
      <c r="I628" s="64">
        <f>LEN(TRIM(Table22[[#This Row],[Continent]]))</f>
        <v>13</v>
      </c>
      <c r="J628" s="64">
        <f>LEN(TRIM(Table22[[#This Row],[Product]]))</f>
        <v>10</v>
      </c>
      <c r="K628" s="64">
        <f>LEN(TRIM(Table22[[#This Row],[Sales Team]]))</f>
        <v>10</v>
      </c>
      <c r="L628" s="23">
        <v>84</v>
      </c>
      <c r="M628" s="65" t="str" cm="1">
        <f t="array" ref="M628">_xlfn.IFS(Table22[[#This Row],[Units Sold]]&lt;40,"Critical",Table22[[#This Row],[Units Sold]]&lt;=50,"Poor",Table22[[#This Row],[Units Sold]]&lt;=60,"Low",Table22[[#This Row],[Units Sold]]&lt;=80,"Average",Table22[[#This Row],[Units Sold]]&lt;=90,"High",Table22[[#This Row],[Units Sold]]&lt;=95,"Excellent",Table22[[#This Row],[Units Sold]]&gt;95,"Outstanding")</f>
        <v>High</v>
      </c>
      <c r="N628" s="29">
        <v>611.25</v>
      </c>
      <c r="O628" s="29">
        <v>51345</v>
      </c>
      <c r="P628" s="43">
        <f>IF(Table22[[#This Row],[Discount Applied]],Table22[[#This Row],[Total Sales (in USD)]]*(1-Table22[[#This Row],[Discount Percentage (%)]]/100),Table22[[#This Row],[Total Sales (in USD)]])</f>
        <v>49912.474499999997</v>
      </c>
      <c r="Q628" s="66">
        <f>SQRT(AVERAGE((Table22[[#This Row],[Net Sales (after discount) (in USD)]]-AVERAGE(Table22[Net Sales (after discount) (in USD)]))^2))</f>
        <v>13401.113936235459</v>
      </c>
      <c r="R628" s="18" t="b">
        <v>0</v>
      </c>
      <c r="S628" s="40">
        <v>2.79</v>
      </c>
      <c r="T628" s="18" t="b">
        <v>1</v>
      </c>
      <c r="U628" s="25">
        <v>45082</v>
      </c>
      <c r="V628" s="63" t="str">
        <f>IF(MONTH(Table22[[#This Row],[Sales Date]])&lt;=3,"Q1",IF(MONTH(Table22[[#This Row],[Sales Date]])&lt;=6,"Q2",IF(MONTH(Table22[[#This Row],[Sales Date]])&lt;=9,"Q3","Q4")))</f>
        <v>Q2</v>
      </c>
      <c r="W628" s="64">
        <f>YEAR(Table22[[#This Row],[Sales Date]])</f>
        <v>2023</v>
      </c>
      <c r="X628" s="23">
        <v>56</v>
      </c>
      <c r="Y628" s="18" t="s">
        <v>49</v>
      </c>
      <c r="Z628" s="18" t="s">
        <v>56</v>
      </c>
      <c r="AA628" s="19" t="s">
        <v>36</v>
      </c>
    </row>
    <row r="629" spans="1:27" x14ac:dyDescent="0.25">
      <c r="A629" s="17" t="s">
        <v>1295</v>
      </c>
      <c r="B629" s="18" t="s">
        <v>72</v>
      </c>
      <c r="C629" s="63" t="str" cm="1">
        <f t="array" ref="C629">_xlfn.SWITCH(Table22[[#This Row],[Country]],"USA","North America","Canada","North America","Brazil","South America","China","Asia","Japan","Asia","India","Asia","France","Europe","Germany","Europe","UK","Europe","Australia","Oceania","South America")</f>
        <v>North America</v>
      </c>
      <c r="D629" s="18" t="s">
        <v>28</v>
      </c>
      <c r="E629" s="18" t="s">
        <v>39</v>
      </c>
      <c r="F629" s="18" t="s">
        <v>34</v>
      </c>
      <c r="G629" s="18" t="s">
        <v>48</v>
      </c>
      <c r="H629" s="64">
        <f>LEN(TRIM(Table22[[#This Row],[Country]]))</f>
        <v>3</v>
      </c>
      <c r="I629" s="64">
        <f>LEN(TRIM(Table22[[#This Row],[Continent]]))</f>
        <v>13</v>
      </c>
      <c r="J629" s="64">
        <f>LEN(TRIM(Table22[[#This Row],[Product]]))</f>
        <v>10</v>
      </c>
      <c r="K629" s="64">
        <f>LEN(TRIM(Table22[[#This Row],[Sales Team]]))</f>
        <v>9</v>
      </c>
      <c r="L629" s="23">
        <v>36</v>
      </c>
      <c r="M629" s="65" t="str" cm="1">
        <f t="array" ref="M629">_xlfn.IFS(Table22[[#This Row],[Units Sold]]&lt;40,"Critical",Table22[[#This Row],[Units Sold]]&lt;=50,"Poor",Table22[[#This Row],[Units Sold]]&lt;=60,"Low",Table22[[#This Row],[Units Sold]]&lt;=80,"Average",Table22[[#This Row],[Units Sold]]&lt;=90,"High",Table22[[#This Row],[Units Sold]]&lt;=95,"Excellent",Table22[[#This Row],[Units Sold]]&gt;95,"Outstanding")</f>
        <v>Critical</v>
      </c>
      <c r="N629" s="29">
        <v>1419.13</v>
      </c>
      <c r="O629" s="29">
        <v>51088.68</v>
      </c>
      <c r="P629" s="43">
        <f>IF(Table22[[#This Row],[Discount Applied]],Table22[[#This Row],[Total Sales (in USD)]]*(1-Table22[[#This Row],[Discount Percentage (%)]]/100),Table22[[#This Row],[Total Sales (in USD)]])</f>
        <v>51088.68</v>
      </c>
      <c r="Q629" s="66">
        <f>SQRT(AVERAGE((Table22[[#This Row],[Net Sales (after discount) (in USD)]]-AVERAGE(Table22[Net Sales (after discount) (in USD)]))^2))</f>
        <v>14577.319436235462</v>
      </c>
      <c r="R629" s="18" t="b">
        <v>1</v>
      </c>
      <c r="S629" s="40">
        <v>5.43</v>
      </c>
      <c r="T629" s="18" t="b">
        <v>0</v>
      </c>
      <c r="U629" s="25">
        <v>45551</v>
      </c>
      <c r="V629" s="63" t="str">
        <f>IF(MONTH(Table22[[#This Row],[Sales Date]])&lt;=3,"Q1",IF(MONTH(Table22[[#This Row],[Sales Date]])&lt;=6,"Q2",IF(MONTH(Table22[[#This Row],[Sales Date]])&lt;=9,"Q3","Q4")))</f>
        <v>Q3</v>
      </c>
      <c r="W629" s="64">
        <f>YEAR(Table22[[#This Row],[Sales Date]])</f>
        <v>2024</v>
      </c>
      <c r="X629" s="23">
        <v>21</v>
      </c>
      <c r="Y629" s="18" t="s">
        <v>49</v>
      </c>
      <c r="Z629" s="18" t="s">
        <v>56</v>
      </c>
      <c r="AA629" s="19" t="s">
        <v>36</v>
      </c>
    </row>
    <row r="630" spans="1:27" x14ac:dyDescent="0.25">
      <c r="A630" s="17" t="s">
        <v>1755</v>
      </c>
      <c r="B630" s="18" t="s">
        <v>66</v>
      </c>
      <c r="C630" s="63" t="str" cm="1">
        <f t="array" ref="C630">_xlfn.SWITCH(Table22[[#This Row],[Country]],"USA","North America","Canada","North America","Brazil","South America","China","Asia","Japan","Asia","India","Asia","France","Europe","Germany","Europe","UK","Europe","Australia","Oceania","South America")</f>
        <v>North America</v>
      </c>
      <c r="D630" s="18" t="s">
        <v>28</v>
      </c>
      <c r="E630" s="18" t="s">
        <v>19</v>
      </c>
      <c r="F630" s="18" t="s">
        <v>47</v>
      </c>
      <c r="G630" s="18" t="s">
        <v>40</v>
      </c>
      <c r="H630" s="64">
        <f>LEN(TRIM(Table22[[#This Row],[Country]]))</f>
        <v>6</v>
      </c>
      <c r="I630" s="64">
        <f>LEN(TRIM(Table22[[#This Row],[Continent]]))</f>
        <v>13</v>
      </c>
      <c r="J630" s="64">
        <f>LEN(TRIM(Table22[[#This Row],[Product]]))</f>
        <v>6</v>
      </c>
      <c r="K630" s="64">
        <f>LEN(TRIM(Table22[[#This Row],[Sales Team]]))</f>
        <v>10</v>
      </c>
      <c r="L630" s="23">
        <v>67</v>
      </c>
      <c r="M630" s="65" t="str" cm="1">
        <f t="array" ref="M630">_xlfn.IFS(Table22[[#This Row],[Units Sold]]&lt;40,"Critical",Table22[[#This Row],[Units Sold]]&lt;=50,"Poor",Table22[[#This Row],[Units Sold]]&lt;=60,"Low",Table22[[#This Row],[Units Sold]]&lt;=80,"Average",Table22[[#This Row],[Units Sold]]&lt;=90,"High",Table22[[#This Row],[Units Sold]]&lt;=95,"Excellent",Table22[[#This Row],[Units Sold]]&gt;95,"Outstanding")</f>
        <v>Average</v>
      </c>
      <c r="N630" s="29">
        <v>761.44</v>
      </c>
      <c r="O630" s="29">
        <v>51016.480000000003</v>
      </c>
      <c r="P630" s="43">
        <f>IF(Table22[[#This Row],[Discount Applied]],Table22[[#This Row],[Total Sales (in USD)]]*(1-Table22[[#This Row],[Discount Percentage (%)]]/100),Table22[[#This Row],[Total Sales (in USD)]])</f>
        <v>51016.480000000003</v>
      </c>
      <c r="Q630" s="66">
        <f>SQRT(AVERAGE((Table22[[#This Row],[Net Sales (after discount) (in USD)]]-AVERAGE(Table22[Net Sales (after discount) (in USD)]))^2))</f>
        <v>14505.119436235465</v>
      </c>
      <c r="R630" s="18" t="b">
        <v>1</v>
      </c>
      <c r="S630" s="40">
        <v>21.46</v>
      </c>
      <c r="T630" s="18" t="b">
        <v>0</v>
      </c>
      <c r="U630" s="25">
        <v>45031</v>
      </c>
      <c r="V630" s="63" t="str">
        <f>IF(MONTH(Table22[[#This Row],[Sales Date]])&lt;=3,"Q1",IF(MONTH(Table22[[#This Row],[Sales Date]])&lt;=6,"Q2",IF(MONTH(Table22[[#This Row],[Sales Date]])&lt;=9,"Q3","Q4")))</f>
        <v>Q2</v>
      </c>
      <c r="W630" s="64">
        <f>YEAR(Table22[[#This Row],[Sales Date]])</f>
        <v>2023</v>
      </c>
      <c r="X630" s="23">
        <v>65</v>
      </c>
      <c r="Y630" s="18" t="s">
        <v>41</v>
      </c>
      <c r="Z630" s="18" t="s">
        <v>56</v>
      </c>
      <c r="AA630" s="19" t="s">
        <v>25</v>
      </c>
    </row>
    <row r="631" spans="1:27" x14ac:dyDescent="0.25">
      <c r="A631" s="17" t="s">
        <v>1600</v>
      </c>
      <c r="B631" s="18" t="s">
        <v>38</v>
      </c>
      <c r="C631" s="63" t="str" cm="1">
        <f t="array" ref="C631">_xlfn.SWITCH(Table22[[#This Row],[Country]],"USA","North America","Canada","North America","Brazil","South America","China","Asia","Japan","Asia","India","Asia","France","Europe","Germany","Europe","UK","Europe","Australia","Oceania","South America")</f>
        <v>Europe</v>
      </c>
      <c r="D631" s="18" t="s">
        <v>44</v>
      </c>
      <c r="E631" s="18" t="s">
        <v>33</v>
      </c>
      <c r="F631" s="18" t="s">
        <v>34</v>
      </c>
      <c r="G631" s="18" t="s">
        <v>22</v>
      </c>
      <c r="H631" s="64">
        <f>LEN(TRIM(Table22[[#This Row],[Country]]))</f>
        <v>6</v>
      </c>
      <c r="I631" s="64">
        <f>LEN(TRIM(Table22[[#This Row],[Continent]]))</f>
        <v>6</v>
      </c>
      <c r="J631" s="64">
        <f>LEN(TRIM(Table22[[#This Row],[Product]]))</f>
        <v>10</v>
      </c>
      <c r="K631" s="64">
        <f>LEN(TRIM(Table22[[#This Row],[Sales Team]]))</f>
        <v>10</v>
      </c>
      <c r="L631" s="23">
        <v>42</v>
      </c>
      <c r="M631" s="65" t="str" cm="1">
        <f t="array" ref="M631">_xlfn.IFS(Table22[[#This Row],[Units Sold]]&lt;40,"Critical",Table22[[#This Row],[Units Sold]]&lt;=50,"Poor",Table22[[#This Row],[Units Sold]]&lt;=60,"Low",Table22[[#This Row],[Units Sold]]&lt;=80,"Average",Table22[[#This Row],[Units Sold]]&lt;=90,"High",Table22[[#This Row],[Units Sold]]&lt;=95,"Excellent",Table22[[#This Row],[Units Sold]]&gt;95,"Outstanding")</f>
        <v>Poor</v>
      </c>
      <c r="N631" s="29">
        <v>1213.8800000000001</v>
      </c>
      <c r="O631" s="29">
        <v>50982.96</v>
      </c>
      <c r="P631" s="43">
        <f>IF(Table22[[#This Row],[Discount Applied]],Table22[[#This Row],[Total Sales (in USD)]]*(1-Table22[[#This Row],[Discount Percentage (%)]]/100),Table22[[#This Row],[Total Sales (in USD)]])</f>
        <v>45176.000855999999</v>
      </c>
      <c r="Q631" s="66">
        <f>SQRT(AVERAGE((Table22[[#This Row],[Net Sales (after discount) (in USD)]]-AVERAGE(Table22[Net Sales (after discount) (in USD)]))^2))</f>
        <v>8664.6402922354609</v>
      </c>
      <c r="R631" s="18" t="b">
        <v>1</v>
      </c>
      <c r="S631" s="40">
        <v>11.39</v>
      </c>
      <c r="T631" s="18" t="b">
        <v>1</v>
      </c>
      <c r="U631" s="25">
        <v>45119</v>
      </c>
      <c r="V631" s="63" t="str">
        <f>IF(MONTH(Table22[[#This Row],[Sales Date]])&lt;=3,"Q1",IF(MONTH(Table22[[#This Row],[Sales Date]])&lt;=6,"Q2",IF(MONTH(Table22[[#This Row],[Sales Date]])&lt;=9,"Q3","Q4")))</f>
        <v>Q3</v>
      </c>
      <c r="W631" s="64">
        <f>YEAR(Table22[[#This Row],[Sales Date]])</f>
        <v>2023</v>
      </c>
      <c r="X631" s="23">
        <v>25</v>
      </c>
      <c r="Y631" s="18" t="s">
        <v>41</v>
      </c>
      <c r="Z631" s="18" t="s">
        <v>30</v>
      </c>
      <c r="AA631" s="19" t="s">
        <v>25</v>
      </c>
    </row>
    <row r="632" spans="1:27" x14ac:dyDescent="0.25">
      <c r="A632" s="17" t="s">
        <v>1315</v>
      </c>
      <c r="B632" s="18" t="s">
        <v>46</v>
      </c>
      <c r="C632" s="63" t="str" cm="1">
        <f t="array" ref="C632">_xlfn.SWITCH(Table22[[#This Row],[Country]],"USA","North America","Canada","North America","Brazil","South America","China","Asia","Japan","Asia","India","Asia","France","Europe","Germany","Europe","UK","Europe","Australia","Oceania","South America")</f>
        <v>South America</v>
      </c>
      <c r="D632" s="18" t="s">
        <v>28</v>
      </c>
      <c r="E632" s="18" t="s">
        <v>19</v>
      </c>
      <c r="F632" s="18" t="s">
        <v>52</v>
      </c>
      <c r="G632" s="18" t="s">
        <v>48</v>
      </c>
      <c r="H632" s="64">
        <f>LEN(TRIM(Table22[[#This Row],[Country]]))</f>
        <v>6</v>
      </c>
      <c r="I632" s="64">
        <f>LEN(TRIM(Table22[[#This Row],[Continent]]))</f>
        <v>13</v>
      </c>
      <c r="J632" s="64">
        <f>LEN(TRIM(Table22[[#This Row],[Product]]))</f>
        <v>6</v>
      </c>
      <c r="K632" s="64">
        <f>LEN(TRIM(Table22[[#This Row],[Sales Team]]))</f>
        <v>9</v>
      </c>
      <c r="L632" s="23">
        <v>45</v>
      </c>
      <c r="M632" s="65" t="str" cm="1">
        <f t="array" ref="M632">_xlfn.IFS(Table22[[#This Row],[Units Sold]]&lt;40,"Critical",Table22[[#This Row],[Units Sold]]&lt;=50,"Poor",Table22[[#This Row],[Units Sold]]&lt;=60,"Low",Table22[[#This Row],[Units Sold]]&lt;=80,"Average",Table22[[#This Row],[Units Sold]]&lt;=90,"High",Table22[[#This Row],[Units Sold]]&lt;=95,"Excellent",Table22[[#This Row],[Units Sold]]&gt;95,"Outstanding")</f>
        <v>Poor</v>
      </c>
      <c r="N632" s="29">
        <v>1131.5</v>
      </c>
      <c r="O632" s="29">
        <v>50917.5</v>
      </c>
      <c r="P632" s="43">
        <f>IF(Table22[[#This Row],[Discount Applied]],Table22[[#This Row],[Total Sales (in USD)]]*(1-Table22[[#This Row],[Discount Percentage (%)]]/100),Table22[[#This Row],[Total Sales (in USD)]])</f>
        <v>50917.5</v>
      </c>
      <c r="Q632" s="66">
        <f>SQRT(AVERAGE((Table22[[#This Row],[Net Sales (after discount) (in USD)]]-AVERAGE(Table22[Net Sales (after discount) (in USD)]))^2))</f>
        <v>14406.139436235462</v>
      </c>
      <c r="R632" s="18" t="b">
        <v>0</v>
      </c>
      <c r="S632" s="40">
        <v>17.510000000000002</v>
      </c>
      <c r="T632" s="18" t="b">
        <v>0</v>
      </c>
      <c r="U632" s="25">
        <v>45365</v>
      </c>
      <c r="V632" s="63" t="str">
        <f>IF(MONTH(Table22[[#This Row],[Sales Date]])&lt;=3,"Q1",IF(MONTH(Table22[[#This Row],[Sales Date]])&lt;=6,"Q2",IF(MONTH(Table22[[#This Row],[Sales Date]])&lt;=9,"Q3","Q4")))</f>
        <v>Q1</v>
      </c>
      <c r="W632" s="64">
        <f>YEAR(Table22[[#This Row],[Sales Date]])</f>
        <v>2024</v>
      </c>
      <c r="X632" s="23">
        <v>38</v>
      </c>
      <c r="Y632" s="18" t="s">
        <v>41</v>
      </c>
      <c r="Z632" s="18" t="s">
        <v>30</v>
      </c>
      <c r="AA632" s="19" t="s">
        <v>25</v>
      </c>
    </row>
    <row r="633" spans="1:27" x14ac:dyDescent="0.25">
      <c r="A633" s="17" t="s">
        <v>184</v>
      </c>
      <c r="B633" s="18" t="s">
        <v>51</v>
      </c>
      <c r="C633" s="63" t="str" cm="1">
        <f t="array" ref="C633">_xlfn.SWITCH(Table22[[#This Row],[Country]],"USA","North America","Canada","North America","Brazil","South America","China","Asia","Japan","Asia","India","Asia","France","Europe","Germany","Europe","UK","Europe","Australia","Oceania","South America")</f>
        <v>Europe</v>
      </c>
      <c r="D633" s="18" t="s">
        <v>35</v>
      </c>
      <c r="E633" s="18" t="s">
        <v>39</v>
      </c>
      <c r="F633" s="18" t="s">
        <v>34</v>
      </c>
      <c r="G633" s="18" t="s">
        <v>40</v>
      </c>
      <c r="H633" s="64">
        <f>LEN(TRIM(Table22[[#This Row],[Country]]))</f>
        <v>2</v>
      </c>
      <c r="I633" s="64">
        <f>LEN(TRIM(Table22[[#This Row],[Continent]]))</f>
        <v>6</v>
      </c>
      <c r="J633" s="64">
        <f>LEN(TRIM(Table22[[#This Row],[Product]]))</f>
        <v>10</v>
      </c>
      <c r="K633" s="64">
        <f>LEN(TRIM(Table22[[#This Row],[Sales Team]]))</f>
        <v>10</v>
      </c>
      <c r="L633" s="23">
        <v>92</v>
      </c>
      <c r="M633" s="65" t="str" cm="1">
        <f t="array" ref="M633">_xlfn.IFS(Table22[[#This Row],[Units Sold]]&lt;40,"Critical",Table22[[#This Row],[Units Sold]]&lt;=50,"Poor",Table22[[#This Row],[Units Sold]]&lt;=60,"Low",Table22[[#This Row],[Units Sold]]&lt;=80,"Average",Table22[[#This Row],[Units Sold]]&lt;=90,"High",Table22[[#This Row],[Units Sold]]&lt;=95,"Excellent",Table22[[#This Row],[Units Sold]]&gt;95,"Outstanding")</f>
        <v>Excellent</v>
      </c>
      <c r="N633" s="29">
        <v>551.30999999999995</v>
      </c>
      <c r="O633" s="29">
        <v>50720.52</v>
      </c>
      <c r="P633" s="43">
        <f>IF(Table22[[#This Row],[Discount Applied]],Table22[[#This Row],[Total Sales (in USD)]]*(1-Table22[[#This Row],[Discount Percentage (%)]]/100),Table22[[#This Row],[Total Sales (in USD)]])</f>
        <v>50720.52</v>
      </c>
      <c r="Q633" s="66">
        <f>SQRT(AVERAGE((Table22[[#This Row],[Net Sales (after discount) (in USD)]]-AVERAGE(Table22[Net Sales (after discount) (in USD)]))^2))</f>
        <v>14209.159436235459</v>
      </c>
      <c r="R633" s="18" t="b">
        <v>1</v>
      </c>
      <c r="S633" s="40">
        <v>10.96</v>
      </c>
      <c r="T633" s="18" t="b">
        <v>0</v>
      </c>
      <c r="U633" s="25">
        <v>45131</v>
      </c>
      <c r="V633" s="63" t="str">
        <f>IF(MONTH(Table22[[#This Row],[Sales Date]])&lt;=3,"Q1",IF(MONTH(Table22[[#This Row],[Sales Date]])&lt;=6,"Q2",IF(MONTH(Table22[[#This Row],[Sales Date]])&lt;=9,"Q3","Q4")))</f>
        <v>Q3</v>
      </c>
      <c r="W633" s="64">
        <f>YEAR(Table22[[#This Row],[Sales Date]])</f>
        <v>2023</v>
      </c>
      <c r="X633" s="23">
        <v>37</v>
      </c>
      <c r="Y633" s="18" t="s">
        <v>41</v>
      </c>
      <c r="Z633" s="18" t="s">
        <v>42</v>
      </c>
      <c r="AA633" s="19" t="s">
        <v>36</v>
      </c>
    </row>
    <row r="634" spans="1:27" x14ac:dyDescent="0.25">
      <c r="A634" s="17" t="s">
        <v>1724</v>
      </c>
      <c r="B634" s="18" t="s">
        <v>51</v>
      </c>
      <c r="C634" s="63" t="str" cm="1">
        <f t="array" ref="C634">_xlfn.SWITCH(Table22[[#This Row],[Country]],"USA","North America","Canada","North America","Brazil","South America","China","Asia","Japan","Asia","India","Asia","France","Europe","Germany","Europe","UK","Europe","Australia","Oceania","South America")</f>
        <v>Europe</v>
      </c>
      <c r="D634" s="18" t="s">
        <v>28</v>
      </c>
      <c r="E634" s="18" t="s">
        <v>33</v>
      </c>
      <c r="F634" s="18" t="s">
        <v>47</v>
      </c>
      <c r="G634" s="18" t="s">
        <v>48</v>
      </c>
      <c r="H634" s="64">
        <f>LEN(TRIM(Table22[[#This Row],[Country]]))</f>
        <v>2</v>
      </c>
      <c r="I634" s="64">
        <f>LEN(TRIM(Table22[[#This Row],[Continent]]))</f>
        <v>6</v>
      </c>
      <c r="J634" s="64">
        <f>LEN(TRIM(Table22[[#This Row],[Product]]))</f>
        <v>10</v>
      </c>
      <c r="K634" s="64">
        <f>LEN(TRIM(Table22[[#This Row],[Sales Team]]))</f>
        <v>9</v>
      </c>
      <c r="L634" s="23">
        <v>52</v>
      </c>
      <c r="M634" s="65" t="str" cm="1">
        <f t="array" ref="M634">_xlfn.IFS(Table22[[#This Row],[Units Sold]]&lt;40,"Critical",Table22[[#This Row],[Units Sold]]&lt;=50,"Poor",Table22[[#This Row],[Units Sold]]&lt;=60,"Low",Table22[[#This Row],[Units Sold]]&lt;=80,"Average",Table22[[#This Row],[Units Sold]]&lt;=90,"High",Table22[[#This Row],[Units Sold]]&lt;=95,"Excellent",Table22[[#This Row],[Units Sold]]&gt;95,"Outstanding")</f>
        <v>Low</v>
      </c>
      <c r="N634" s="29">
        <v>974.61</v>
      </c>
      <c r="O634" s="29">
        <v>50679.72</v>
      </c>
      <c r="P634" s="43">
        <f>IF(Table22[[#This Row],[Discount Applied]],Table22[[#This Row],[Total Sales (in USD)]]*(1-Table22[[#This Row],[Discount Percentage (%)]]/100),Table22[[#This Row],[Total Sales (in USD)]])</f>
        <v>43513.607592</v>
      </c>
      <c r="Q634" s="66">
        <f>SQRT(AVERAGE((Table22[[#This Row],[Net Sales (after discount) (in USD)]]-AVERAGE(Table22[Net Sales (after discount) (in USD)]))^2))</f>
        <v>7002.2470282354625</v>
      </c>
      <c r="R634" s="18" t="b">
        <v>0</v>
      </c>
      <c r="S634" s="40">
        <v>14.14</v>
      </c>
      <c r="T634" s="18" t="b">
        <v>1</v>
      </c>
      <c r="U634" s="25">
        <v>45375</v>
      </c>
      <c r="V634" s="63" t="str">
        <f>IF(MONTH(Table22[[#This Row],[Sales Date]])&lt;=3,"Q1",IF(MONTH(Table22[[#This Row],[Sales Date]])&lt;=6,"Q2",IF(MONTH(Table22[[#This Row],[Sales Date]])&lt;=9,"Q3","Q4")))</f>
        <v>Q1</v>
      </c>
      <c r="W634" s="64">
        <f>YEAR(Table22[[#This Row],[Sales Date]])</f>
        <v>2024</v>
      </c>
      <c r="X634" s="23">
        <v>57</v>
      </c>
      <c r="Y634" s="18" t="s">
        <v>41</v>
      </c>
      <c r="Z634" s="18" t="s">
        <v>24</v>
      </c>
      <c r="AA634" s="19" t="s">
        <v>25</v>
      </c>
    </row>
    <row r="635" spans="1:27" x14ac:dyDescent="0.25">
      <c r="A635" s="17" t="s">
        <v>337</v>
      </c>
      <c r="B635" s="18" t="s">
        <v>32</v>
      </c>
      <c r="C635" s="63" t="str" cm="1">
        <f t="array" ref="C635">_xlfn.SWITCH(Table22[[#This Row],[Country]],"USA","North America","Canada","North America","Brazil","South America","China","Asia","Japan","Asia","India","Asia","France","Europe","Germany","Europe","UK","Europe","Australia","Oceania","South America")</f>
        <v>Asia</v>
      </c>
      <c r="D635" s="18" t="s">
        <v>44</v>
      </c>
      <c r="E635" s="18" t="s">
        <v>19</v>
      </c>
      <c r="F635" s="18" t="s">
        <v>34</v>
      </c>
      <c r="G635" s="18" t="s">
        <v>29</v>
      </c>
      <c r="H635" s="64">
        <f>LEN(TRIM(Table22[[#This Row],[Country]]))</f>
        <v>5</v>
      </c>
      <c r="I635" s="64">
        <f>LEN(TRIM(Table22[[#This Row],[Continent]]))</f>
        <v>4</v>
      </c>
      <c r="J635" s="64">
        <f>LEN(TRIM(Table22[[#This Row],[Product]]))</f>
        <v>6</v>
      </c>
      <c r="K635" s="64">
        <f>LEN(TRIM(Table22[[#This Row],[Sales Team]]))</f>
        <v>10</v>
      </c>
      <c r="L635" s="23">
        <v>83</v>
      </c>
      <c r="M635" s="65" t="str" cm="1">
        <f t="array" ref="M635">_xlfn.IFS(Table22[[#This Row],[Units Sold]]&lt;40,"Critical",Table22[[#This Row],[Units Sold]]&lt;=50,"Poor",Table22[[#This Row],[Units Sold]]&lt;=60,"Low",Table22[[#This Row],[Units Sold]]&lt;=80,"Average",Table22[[#This Row],[Units Sold]]&lt;=90,"High",Table22[[#This Row],[Units Sold]]&lt;=95,"Excellent",Table22[[#This Row],[Units Sold]]&gt;95,"Outstanding")</f>
        <v>High</v>
      </c>
      <c r="N635" s="29">
        <v>609.92999999999995</v>
      </c>
      <c r="O635" s="29">
        <v>50624.19</v>
      </c>
      <c r="P635" s="43">
        <f>IF(Table22[[#This Row],[Discount Applied]],Table22[[#This Row],[Total Sales (in USD)]]*(1-Table22[[#This Row],[Discount Percentage (%)]]/100),Table22[[#This Row],[Total Sales (in USD)]])</f>
        <v>50624.19</v>
      </c>
      <c r="Q635" s="66">
        <f>SQRT(AVERAGE((Table22[[#This Row],[Net Sales (after discount) (in USD)]]-AVERAGE(Table22[Net Sales (after discount) (in USD)]))^2))</f>
        <v>14112.829436235465</v>
      </c>
      <c r="R635" s="18" t="b">
        <v>1</v>
      </c>
      <c r="S635" s="40">
        <v>12.18</v>
      </c>
      <c r="T635" s="18" t="b">
        <v>0</v>
      </c>
      <c r="U635" s="25">
        <v>45481</v>
      </c>
      <c r="V635" s="63" t="str">
        <f>IF(MONTH(Table22[[#This Row],[Sales Date]])&lt;=3,"Q1",IF(MONTH(Table22[[#This Row],[Sales Date]])&lt;=6,"Q2",IF(MONTH(Table22[[#This Row],[Sales Date]])&lt;=9,"Q3","Q4")))</f>
        <v>Q3</v>
      </c>
      <c r="W635" s="64">
        <f>YEAR(Table22[[#This Row],[Sales Date]])</f>
        <v>2024</v>
      </c>
      <c r="X635" s="23">
        <v>56</v>
      </c>
      <c r="Y635" s="18" t="s">
        <v>49</v>
      </c>
      <c r="Z635" s="18" t="s">
        <v>56</v>
      </c>
      <c r="AA635" s="19" t="s">
        <v>36</v>
      </c>
    </row>
    <row r="636" spans="1:27" x14ac:dyDescent="0.25">
      <c r="A636" s="17" t="s">
        <v>775</v>
      </c>
      <c r="B636" s="18" t="s">
        <v>46</v>
      </c>
      <c r="C636" s="63" t="str" cm="1">
        <f t="array" ref="C636">_xlfn.SWITCH(Table22[[#This Row],[Country]],"USA","North America","Canada","North America","Brazil","South America","China","Asia","Japan","Asia","India","Asia","France","Europe","Germany","Europe","UK","Europe","Australia","Oceania","South America")</f>
        <v>South America</v>
      </c>
      <c r="D636" s="18" t="s">
        <v>44</v>
      </c>
      <c r="E636" s="18" t="s">
        <v>39</v>
      </c>
      <c r="F636" s="18" t="s">
        <v>64</v>
      </c>
      <c r="G636" s="18" t="s">
        <v>29</v>
      </c>
      <c r="H636" s="64">
        <f>LEN(TRIM(Table22[[#This Row],[Country]]))</f>
        <v>6</v>
      </c>
      <c r="I636" s="64">
        <f>LEN(TRIM(Table22[[#This Row],[Continent]]))</f>
        <v>13</v>
      </c>
      <c r="J636" s="64">
        <f>LEN(TRIM(Table22[[#This Row],[Product]]))</f>
        <v>10</v>
      </c>
      <c r="K636" s="64">
        <f>LEN(TRIM(Table22[[#This Row],[Sales Team]]))</f>
        <v>10</v>
      </c>
      <c r="L636" s="23">
        <v>41</v>
      </c>
      <c r="M636" s="65" t="str" cm="1">
        <f t="array" ref="M636">_xlfn.IFS(Table22[[#This Row],[Units Sold]]&lt;40,"Critical",Table22[[#This Row],[Units Sold]]&lt;=50,"Poor",Table22[[#This Row],[Units Sold]]&lt;=60,"Low",Table22[[#This Row],[Units Sold]]&lt;=80,"Average",Table22[[#This Row],[Units Sold]]&lt;=90,"High",Table22[[#This Row],[Units Sold]]&lt;=95,"Excellent",Table22[[#This Row],[Units Sold]]&gt;95,"Outstanding")</f>
        <v>Poor</v>
      </c>
      <c r="N636" s="29">
        <v>1234.5899999999999</v>
      </c>
      <c r="O636" s="29">
        <v>50618.19</v>
      </c>
      <c r="P636" s="43">
        <f>IF(Table22[[#This Row],[Discount Applied]],Table22[[#This Row],[Total Sales (in USD)]]*(1-Table22[[#This Row],[Discount Percentage (%)]]/100),Table22[[#This Row],[Total Sales (in USD)]])</f>
        <v>43298.799725999997</v>
      </c>
      <c r="Q636" s="66">
        <f>SQRT(AVERAGE((Table22[[#This Row],[Net Sales (after discount) (in USD)]]-AVERAGE(Table22[Net Sales (after discount) (in USD)]))^2))</f>
        <v>6787.4391622354597</v>
      </c>
      <c r="R636" s="18" t="b">
        <v>1</v>
      </c>
      <c r="S636" s="40">
        <v>14.46</v>
      </c>
      <c r="T636" s="18" t="b">
        <v>1</v>
      </c>
      <c r="U636" s="25">
        <v>45083</v>
      </c>
      <c r="V636" s="63" t="str">
        <f>IF(MONTH(Table22[[#This Row],[Sales Date]])&lt;=3,"Q1",IF(MONTH(Table22[[#This Row],[Sales Date]])&lt;=6,"Q2",IF(MONTH(Table22[[#This Row],[Sales Date]])&lt;=9,"Q3","Q4")))</f>
        <v>Q2</v>
      </c>
      <c r="W636" s="64">
        <f>YEAR(Table22[[#This Row],[Sales Date]])</f>
        <v>2023</v>
      </c>
      <c r="X636" s="23">
        <v>65</v>
      </c>
      <c r="Y636" s="18" t="s">
        <v>23</v>
      </c>
      <c r="Z636" s="18" t="s">
        <v>42</v>
      </c>
      <c r="AA636" s="19" t="s">
        <v>25</v>
      </c>
    </row>
    <row r="637" spans="1:27" x14ac:dyDescent="0.25">
      <c r="A637" s="17" t="s">
        <v>340</v>
      </c>
      <c r="B637" s="18" t="s">
        <v>72</v>
      </c>
      <c r="C637" s="63" t="str" cm="1">
        <f t="array" ref="C637">_xlfn.SWITCH(Table22[[#This Row],[Country]],"USA","North America","Canada","North America","Brazil","South America","China","Asia","Japan","Asia","India","Asia","France","Europe","Germany","Europe","UK","Europe","Australia","Oceania","South America")</f>
        <v>North America</v>
      </c>
      <c r="D637" s="18" t="s">
        <v>28</v>
      </c>
      <c r="E637" s="18" t="s">
        <v>39</v>
      </c>
      <c r="F637" s="18" t="s">
        <v>47</v>
      </c>
      <c r="G637" s="18" t="s">
        <v>29</v>
      </c>
      <c r="H637" s="64">
        <f>LEN(TRIM(Table22[[#This Row],[Country]]))</f>
        <v>3</v>
      </c>
      <c r="I637" s="64">
        <f>LEN(TRIM(Table22[[#This Row],[Continent]]))</f>
        <v>13</v>
      </c>
      <c r="J637" s="64">
        <f>LEN(TRIM(Table22[[#This Row],[Product]]))</f>
        <v>10</v>
      </c>
      <c r="K637" s="64">
        <f>LEN(TRIM(Table22[[#This Row],[Sales Team]]))</f>
        <v>10</v>
      </c>
      <c r="L637" s="23">
        <v>35</v>
      </c>
      <c r="M637" s="65" t="str" cm="1">
        <f t="array" ref="M637">_xlfn.IFS(Table22[[#This Row],[Units Sold]]&lt;40,"Critical",Table22[[#This Row],[Units Sold]]&lt;=50,"Poor",Table22[[#This Row],[Units Sold]]&lt;=60,"Low",Table22[[#This Row],[Units Sold]]&lt;=80,"Average",Table22[[#This Row],[Units Sold]]&lt;=90,"High",Table22[[#This Row],[Units Sold]]&lt;=95,"Excellent",Table22[[#This Row],[Units Sold]]&gt;95,"Outstanding")</f>
        <v>Critical</v>
      </c>
      <c r="N637" s="29">
        <v>1445.34</v>
      </c>
      <c r="O637" s="29">
        <v>50586.9</v>
      </c>
      <c r="P637" s="43">
        <f>IF(Table22[[#This Row],[Discount Applied]],Table22[[#This Row],[Total Sales (in USD)]]*(1-Table22[[#This Row],[Discount Percentage (%)]]/100),Table22[[#This Row],[Total Sales (in USD)]])</f>
        <v>35871.170790000004</v>
      </c>
      <c r="Q637" s="66">
        <f>SQRT(AVERAGE((Table22[[#This Row],[Net Sales (after discount) (in USD)]]-AVERAGE(Table22[Net Sales (after discount) (in USD)]))^2))</f>
        <v>640.18977376453404</v>
      </c>
      <c r="R637" s="18" t="b">
        <v>1</v>
      </c>
      <c r="S637" s="40">
        <v>29.09</v>
      </c>
      <c r="T637" s="18" t="b">
        <v>1</v>
      </c>
      <c r="U637" s="25">
        <v>45345</v>
      </c>
      <c r="V637" s="63" t="str">
        <f>IF(MONTH(Table22[[#This Row],[Sales Date]])&lt;=3,"Q1",IF(MONTH(Table22[[#This Row],[Sales Date]])&lt;=6,"Q2",IF(MONTH(Table22[[#This Row],[Sales Date]])&lt;=9,"Q3","Q4")))</f>
        <v>Q1</v>
      </c>
      <c r="W637" s="64">
        <f>YEAR(Table22[[#This Row],[Sales Date]])</f>
        <v>2024</v>
      </c>
      <c r="X637" s="23">
        <v>69</v>
      </c>
      <c r="Y637" s="18" t="s">
        <v>23</v>
      </c>
      <c r="Z637" s="18" t="s">
        <v>24</v>
      </c>
      <c r="AA637" s="19" t="s">
        <v>25</v>
      </c>
    </row>
    <row r="638" spans="1:27" x14ac:dyDescent="0.25">
      <c r="A638" s="17" t="s">
        <v>1743</v>
      </c>
      <c r="B638" s="18" t="s">
        <v>27</v>
      </c>
      <c r="C638" s="63" t="str" cm="1">
        <f t="array" ref="C638">_xlfn.SWITCH(Table22[[#This Row],[Country]],"USA","North America","Canada","North America","Brazil","South America","China","Asia","Japan","Asia","India","Asia","France","Europe","Germany","Europe","UK","Europe","Australia","Oceania","South America")</f>
        <v>Europe</v>
      </c>
      <c r="D638" s="18" t="s">
        <v>35</v>
      </c>
      <c r="E638" s="18" t="s">
        <v>33</v>
      </c>
      <c r="F638" s="18" t="s">
        <v>20</v>
      </c>
      <c r="G638" s="18" t="s">
        <v>29</v>
      </c>
      <c r="H638" s="64">
        <f>LEN(TRIM(Table22[[#This Row],[Country]]))</f>
        <v>7</v>
      </c>
      <c r="I638" s="64">
        <f>LEN(TRIM(Table22[[#This Row],[Continent]]))</f>
        <v>6</v>
      </c>
      <c r="J638" s="64">
        <f>LEN(TRIM(Table22[[#This Row],[Product]]))</f>
        <v>10</v>
      </c>
      <c r="K638" s="64">
        <f>LEN(TRIM(Table22[[#This Row],[Sales Team]]))</f>
        <v>10</v>
      </c>
      <c r="L638" s="23">
        <v>56</v>
      </c>
      <c r="M638" s="65" t="str" cm="1">
        <f t="array" ref="M638">_xlfn.IFS(Table22[[#This Row],[Units Sold]]&lt;40,"Critical",Table22[[#This Row],[Units Sold]]&lt;=50,"Poor",Table22[[#This Row],[Units Sold]]&lt;=60,"Low",Table22[[#This Row],[Units Sold]]&lt;=80,"Average",Table22[[#This Row],[Units Sold]]&lt;=90,"High",Table22[[#This Row],[Units Sold]]&lt;=95,"Excellent",Table22[[#This Row],[Units Sold]]&gt;95,"Outstanding")</f>
        <v>Low</v>
      </c>
      <c r="N638" s="29">
        <v>901.89</v>
      </c>
      <c r="O638" s="29">
        <v>50505.84</v>
      </c>
      <c r="P638" s="43">
        <f>IF(Table22[[#This Row],[Discount Applied]],Table22[[#This Row],[Total Sales (in USD)]]*(1-Table22[[#This Row],[Discount Percentage (%)]]/100),Table22[[#This Row],[Total Sales (in USD)]])</f>
        <v>37429.878023999998</v>
      </c>
      <c r="Q638" s="66">
        <f>SQRT(AVERAGE((Table22[[#This Row],[Net Sales (after discount) (in USD)]]-AVERAGE(Table22[Net Sales (after discount) (in USD)]))^2))</f>
        <v>918.51746023546002</v>
      </c>
      <c r="R638" s="18" t="b">
        <v>1</v>
      </c>
      <c r="S638" s="40">
        <v>25.89</v>
      </c>
      <c r="T638" s="18" t="b">
        <v>1</v>
      </c>
      <c r="U638" s="25">
        <v>44936</v>
      </c>
      <c r="V638" s="63" t="str">
        <f>IF(MONTH(Table22[[#This Row],[Sales Date]])&lt;=3,"Q1",IF(MONTH(Table22[[#This Row],[Sales Date]])&lt;=6,"Q2",IF(MONTH(Table22[[#This Row],[Sales Date]])&lt;=9,"Q3","Q4")))</f>
        <v>Q1</v>
      </c>
      <c r="W638" s="64">
        <f>YEAR(Table22[[#This Row],[Sales Date]])</f>
        <v>2023</v>
      </c>
      <c r="X638" s="23">
        <v>56</v>
      </c>
      <c r="Y638" s="18" t="s">
        <v>41</v>
      </c>
      <c r="Z638" s="18" t="s">
        <v>24</v>
      </c>
      <c r="AA638" s="19" t="s">
        <v>36</v>
      </c>
    </row>
    <row r="639" spans="1:27" x14ac:dyDescent="0.25">
      <c r="A639" s="17" t="s">
        <v>991</v>
      </c>
      <c r="B639" s="18" t="s">
        <v>18</v>
      </c>
      <c r="C639" s="63" t="str" cm="1">
        <f t="array" ref="C639">_xlfn.SWITCH(Table22[[#This Row],[Country]],"USA","North America","Canada","North America","Brazil","South America","China","Asia","Japan","Asia","India","Asia","France","Europe","Germany","Europe","UK","Europe","Australia","Oceania","South America")</f>
        <v>Asia</v>
      </c>
      <c r="D639" s="18" t="s">
        <v>28</v>
      </c>
      <c r="E639" s="18" t="s">
        <v>19</v>
      </c>
      <c r="F639" s="18" t="s">
        <v>64</v>
      </c>
      <c r="G639" s="18" t="s">
        <v>40</v>
      </c>
      <c r="H639" s="64">
        <f>LEN(TRIM(Table22[[#This Row],[Country]]))</f>
        <v>5</v>
      </c>
      <c r="I639" s="64">
        <f>LEN(TRIM(Table22[[#This Row],[Continent]]))</f>
        <v>4</v>
      </c>
      <c r="J639" s="64">
        <f>LEN(TRIM(Table22[[#This Row],[Product]]))</f>
        <v>6</v>
      </c>
      <c r="K639" s="64">
        <f>LEN(TRIM(Table22[[#This Row],[Sales Team]]))</f>
        <v>10</v>
      </c>
      <c r="L639" s="23">
        <v>83</v>
      </c>
      <c r="M639" s="65" t="str" cm="1">
        <f t="array" ref="M639">_xlfn.IFS(Table22[[#This Row],[Units Sold]]&lt;40,"Critical",Table22[[#This Row],[Units Sold]]&lt;=50,"Poor",Table22[[#This Row],[Units Sold]]&lt;=60,"Low",Table22[[#This Row],[Units Sold]]&lt;=80,"Average",Table22[[#This Row],[Units Sold]]&lt;=90,"High",Table22[[#This Row],[Units Sold]]&lt;=95,"Excellent",Table22[[#This Row],[Units Sold]]&gt;95,"Outstanding")</f>
        <v>High</v>
      </c>
      <c r="N639" s="29">
        <v>608.32000000000005</v>
      </c>
      <c r="O639" s="29">
        <v>50490.559999999998</v>
      </c>
      <c r="P639" s="43">
        <f>IF(Table22[[#This Row],[Discount Applied]],Table22[[#This Row],[Total Sales (in USD)]]*(1-Table22[[#This Row],[Discount Percentage (%)]]/100),Table22[[#This Row],[Total Sales (in USD)]])</f>
        <v>50490.559999999998</v>
      </c>
      <c r="Q639" s="66">
        <f>SQRT(AVERAGE((Table22[[#This Row],[Net Sales (after discount) (in USD)]]-AVERAGE(Table22[Net Sales (after discount) (in USD)]))^2))</f>
        <v>13979.19943623546</v>
      </c>
      <c r="R639" s="18" t="b">
        <v>1</v>
      </c>
      <c r="S639" s="40">
        <v>12.57</v>
      </c>
      <c r="T639" s="18" t="b">
        <v>0</v>
      </c>
      <c r="U639" s="25">
        <v>45265</v>
      </c>
      <c r="V639" s="63" t="str">
        <f>IF(MONTH(Table22[[#This Row],[Sales Date]])&lt;=3,"Q1",IF(MONTH(Table22[[#This Row],[Sales Date]])&lt;=6,"Q2",IF(MONTH(Table22[[#This Row],[Sales Date]])&lt;=9,"Q3","Q4")))</f>
        <v>Q4</v>
      </c>
      <c r="W639" s="64">
        <f>YEAR(Table22[[#This Row],[Sales Date]])</f>
        <v>2023</v>
      </c>
      <c r="X639" s="23">
        <v>35</v>
      </c>
      <c r="Y639" s="18" t="s">
        <v>41</v>
      </c>
      <c r="Z639" s="18" t="s">
        <v>42</v>
      </c>
      <c r="AA639" s="19" t="s">
        <v>36</v>
      </c>
    </row>
    <row r="640" spans="1:27" x14ac:dyDescent="0.25">
      <c r="A640" s="17" t="s">
        <v>1703</v>
      </c>
      <c r="B640" s="18" t="s">
        <v>46</v>
      </c>
      <c r="C640" s="63" t="str" cm="1">
        <f t="array" ref="C640">_xlfn.SWITCH(Table22[[#This Row],[Country]],"USA","North America","Canada","North America","Brazil","South America","China","Asia","Japan","Asia","India","Asia","France","Europe","Germany","Europe","UK","Europe","Australia","Oceania","South America")</f>
        <v>South America</v>
      </c>
      <c r="D640" s="18" t="s">
        <v>21</v>
      </c>
      <c r="E640" s="18" t="s">
        <v>33</v>
      </c>
      <c r="F640" s="18" t="s">
        <v>47</v>
      </c>
      <c r="G640" s="18" t="s">
        <v>40</v>
      </c>
      <c r="H640" s="64">
        <f>LEN(TRIM(Table22[[#This Row],[Country]]))</f>
        <v>6</v>
      </c>
      <c r="I640" s="64">
        <f>LEN(TRIM(Table22[[#This Row],[Continent]]))</f>
        <v>13</v>
      </c>
      <c r="J640" s="64">
        <f>LEN(TRIM(Table22[[#This Row],[Product]]))</f>
        <v>10</v>
      </c>
      <c r="K640" s="64">
        <f>LEN(TRIM(Table22[[#This Row],[Sales Team]]))</f>
        <v>10</v>
      </c>
      <c r="L640" s="23">
        <v>40</v>
      </c>
      <c r="M640" s="65" t="str" cm="1">
        <f t="array" ref="M640">_xlfn.IFS(Table22[[#This Row],[Units Sold]]&lt;40,"Critical",Table22[[#This Row],[Units Sold]]&lt;=50,"Poor",Table22[[#This Row],[Units Sold]]&lt;=60,"Low",Table22[[#This Row],[Units Sold]]&lt;=80,"Average",Table22[[#This Row],[Units Sold]]&lt;=90,"High",Table22[[#This Row],[Units Sold]]&lt;=95,"Excellent",Table22[[#This Row],[Units Sold]]&gt;95,"Outstanding")</f>
        <v>Poor</v>
      </c>
      <c r="N640" s="29">
        <v>1261.19</v>
      </c>
      <c r="O640" s="29">
        <v>50447.6</v>
      </c>
      <c r="P640" s="43">
        <f>IF(Table22[[#This Row],[Discount Applied]],Table22[[#This Row],[Total Sales (in USD)]]*(1-Table22[[#This Row],[Discount Percentage (%)]]/100),Table22[[#This Row],[Total Sales (in USD)]])</f>
        <v>50447.6</v>
      </c>
      <c r="Q640" s="66">
        <f>SQRT(AVERAGE((Table22[[#This Row],[Net Sales (after discount) (in USD)]]-AVERAGE(Table22[Net Sales (after discount) (in USD)]))^2))</f>
        <v>13936.239436235461</v>
      </c>
      <c r="R640" s="18" t="b">
        <v>1</v>
      </c>
      <c r="S640" s="40">
        <v>25.58</v>
      </c>
      <c r="T640" s="18" t="b">
        <v>0</v>
      </c>
      <c r="U640" s="25">
        <v>45279</v>
      </c>
      <c r="V640" s="63" t="str">
        <f>IF(MONTH(Table22[[#This Row],[Sales Date]])&lt;=3,"Q1",IF(MONTH(Table22[[#This Row],[Sales Date]])&lt;=6,"Q2",IF(MONTH(Table22[[#This Row],[Sales Date]])&lt;=9,"Q3","Q4")))</f>
        <v>Q4</v>
      </c>
      <c r="W640" s="64">
        <f>YEAR(Table22[[#This Row],[Sales Date]])</f>
        <v>2023</v>
      </c>
      <c r="X640" s="23">
        <v>66</v>
      </c>
      <c r="Y640" s="18" t="s">
        <v>23</v>
      </c>
      <c r="Z640" s="18" t="s">
        <v>56</v>
      </c>
      <c r="AA640" s="19" t="s">
        <v>36</v>
      </c>
    </row>
    <row r="641" spans="1:27" x14ac:dyDescent="0.25">
      <c r="A641" s="17" t="s">
        <v>1920</v>
      </c>
      <c r="B641" s="18" t="s">
        <v>38</v>
      </c>
      <c r="C641" s="63" t="str" cm="1">
        <f t="array" ref="C641">_xlfn.SWITCH(Table22[[#This Row],[Country]],"USA","North America","Canada","North America","Brazil","South America","China","Asia","Japan","Asia","India","Asia","France","Europe","Germany","Europe","UK","Europe","Australia","Oceania","South America")</f>
        <v>Europe</v>
      </c>
      <c r="D641" s="18" t="s">
        <v>28</v>
      </c>
      <c r="E641" s="18" t="s">
        <v>19</v>
      </c>
      <c r="F641" s="18" t="s">
        <v>47</v>
      </c>
      <c r="G641" s="18" t="s">
        <v>29</v>
      </c>
      <c r="H641" s="64">
        <f>LEN(TRIM(Table22[[#This Row],[Country]]))</f>
        <v>6</v>
      </c>
      <c r="I641" s="64">
        <f>LEN(TRIM(Table22[[#This Row],[Continent]]))</f>
        <v>6</v>
      </c>
      <c r="J641" s="64">
        <f>LEN(TRIM(Table22[[#This Row],[Product]]))</f>
        <v>6</v>
      </c>
      <c r="K641" s="64">
        <f>LEN(TRIM(Table22[[#This Row],[Sales Team]]))</f>
        <v>10</v>
      </c>
      <c r="L641" s="23">
        <v>70</v>
      </c>
      <c r="M641" s="65" t="str" cm="1">
        <f t="array" ref="M641">_xlfn.IFS(Table22[[#This Row],[Units Sold]]&lt;40,"Critical",Table22[[#This Row],[Units Sold]]&lt;=50,"Poor",Table22[[#This Row],[Units Sold]]&lt;=60,"Low",Table22[[#This Row],[Units Sold]]&lt;=80,"Average",Table22[[#This Row],[Units Sold]]&lt;=90,"High",Table22[[#This Row],[Units Sold]]&lt;=95,"Excellent",Table22[[#This Row],[Units Sold]]&gt;95,"Outstanding")</f>
        <v>Average</v>
      </c>
      <c r="N641" s="29">
        <v>720.42</v>
      </c>
      <c r="O641" s="29">
        <v>50429.4</v>
      </c>
      <c r="P641" s="43">
        <f>IF(Table22[[#This Row],[Discount Applied]],Table22[[#This Row],[Total Sales (in USD)]]*(1-Table22[[#This Row],[Discount Percentage (%)]]/100),Table22[[#This Row],[Total Sales (in USD)]])</f>
        <v>42305.223660000003</v>
      </c>
      <c r="Q641" s="66">
        <f>SQRT(AVERAGE((Table22[[#This Row],[Net Sales (after discount) (in USD)]]-AVERAGE(Table22[Net Sales (after discount) (in USD)]))^2))</f>
        <v>5793.8630962354655</v>
      </c>
      <c r="R641" s="18" t="b">
        <v>1</v>
      </c>
      <c r="S641" s="40">
        <v>16.11</v>
      </c>
      <c r="T641" s="18" t="b">
        <v>1</v>
      </c>
      <c r="U641" s="25">
        <v>44939</v>
      </c>
      <c r="V641" s="63" t="str">
        <f>IF(MONTH(Table22[[#This Row],[Sales Date]])&lt;=3,"Q1",IF(MONTH(Table22[[#This Row],[Sales Date]])&lt;=6,"Q2",IF(MONTH(Table22[[#This Row],[Sales Date]])&lt;=9,"Q3","Q4")))</f>
        <v>Q1</v>
      </c>
      <c r="W641" s="64">
        <f>YEAR(Table22[[#This Row],[Sales Date]])</f>
        <v>2023</v>
      </c>
      <c r="X641" s="23">
        <v>35</v>
      </c>
      <c r="Y641" s="18" t="s">
        <v>23</v>
      </c>
      <c r="Z641" s="18" t="s">
        <v>30</v>
      </c>
      <c r="AA641" s="19" t="s">
        <v>36</v>
      </c>
    </row>
    <row r="642" spans="1:27" x14ac:dyDescent="0.25">
      <c r="A642" s="17" t="s">
        <v>621</v>
      </c>
      <c r="B642" s="18" t="s">
        <v>51</v>
      </c>
      <c r="C642" s="63" t="str" cm="1">
        <f t="array" ref="C642">_xlfn.SWITCH(Table22[[#This Row],[Country]],"USA","North America","Canada","North America","Brazil","South America","China","Asia","Japan","Asia","India","Asia","France","Europe","Germany","Europe","UK","Europe","Australia","Oceania","South America")</f>
        <v>Europe</v>
      </c>
      <c r="D642" s="18" t="s">
        <v>35</v>
      </c>
      <c r="E642" s="18" t="s">
        <v>19</v>
      </c>
      <c r="F642" s="18" t="s">
        <v>64</v>
      </c>
      <c r="G642" s="18" t="s">
        <v>29</v>
      </c>
      <c r="H642" s="64">
        <f>LEN(TRIM(Table22[[#This Row],[Country]]))</f>
        <v>2</v>
      </c>
      <c r="I642" s="64">
        <f>LEN(TRIM(Table22[[#This Row],[Continent]]))</f>
        <v>6</v>
      </c>
      <c r="J642" s="64">
        <f>LEN(TRIM(Table22[[#This Row],[Product]]))</f>
        <v>6</v>
      </c>
      <c r="K642" s="64">
        <f>LEN(TRIM(Table22[[#This Row],[Sales Team]]))</f>
        <v>10</v>
      </c>
      <c r="L642" s="23">
        <v>47</v>
      </c>
      <c r="M642" s="65" t="str" cm="1">
        <f t="array" ref="M642">_xlfn.IFS(Table22[[#This Row],[Units Sold]]&lt;40,"Critical",Table22[[#This Row],[Units Sold]]&lt;=50,"Poor",Table22[[#This Row],[Units Sold]]&lt;=60,"Low",Table22[[#This Row],[Units Sold]]&lt;=80,"Average",Table22[[#This Row],[Units Sold]]&lt;=90,"High",Table22[[#This Row],[Units Sold]]&lt;=95,"Excellent",Table22[[#This Row],[Units Sold]]&gt;95,"Outstanding")</f>
        <v>Poor</v>
      </c>
      <c r="N642" s="29">
        <v>1069.49</v>
      </c>
      <c r="O642" s="29">
        <v>50266.03</v>
      </c>
      <c r="P642" s="43">
        <f>IF(Table22[[#This Row],[Discount Applied]],Table22[[#This Row],[Total Sales (in USD)]]*(1-Table22[[#This Row],[Discount Percentage (%)]]/100),Table22[[#This Row],[Total Sales (in USD)]])</f>
        <v>50266.03</v>
      </c>
      <c r="Q642" s="66">
        <f>SQRT(AVERAGE((Table22[[#This Row],[Net Sales (after discount) (in USD)]]-AVERAGE(Table22[Net Sales (after discount) (in USD)]))^2))</f>
        <v>13754.669436235461</v>
      </c>
      <c r="R642" s="18" t="b">
        <v>0</v>
      </c>
      <c r="S642" s="40">
        <v>19.43</v>
      </c>
      <c r="T642" s="18" t="b">
        <v>0</v>
      </c>
      <c r="U642" s="25">
        <v>45539</v>
      </c>
      <c r="V642" s="63" t="str">
        <f>IF(MONTH(Table22[[#This Row],[Sales Date]])&lt;=3,"Q1",IF(MONTH(Table22[[#This Row],[Sales Date]])&lt;=6,"Q2",IF(MONTH(Table22[[#This Row],[Sales Date]])&lt;=9,"Q3","Q4")))</f>
        <v>Q3</v>
      </c>
      <c r="W642" s="64">
        <f>YEAR(Table22[[#This Row],[Sales Date]])</f>
        <v>2024</v>
      </c>
      <c r="X642" s="23">
        <v>23</v>
      </c>
      <c r="Y642" s="18" t="s">
        <v>23</v>
      </c>
      <c r="Z642" s="18" t="s">
        <v>42</v>
      </c>
      <c r="AA642" s="19" t="s">
        <v>25</v>
      </c>
    </row>
    <row r="643" spans="1:27" x14ac:dyDescent="0.25">
      <c r="A643" s="17" t="s">
        <v>1407</v>
      </c>
      <c r="B643" s="18" t="s">
        <v>76</v>
      </c>
      <c r="C643" s="63" t="str" cm="1">
        <f t="array" ref="C643">_xlfn.SWITCH(Table22[[#This Row],[Country]],"USA","North America","Canada","North America","Brazil","South America","China","Asia","Japan","Asia","India","Asia","France","Europe","Germany","Europe","UK","Europe","Australia","Oceania","South America")</f>
        <v>Asia</v>
      </c>
      <c r="D643" s="18" t="s">
        <v>21</v>
      </c>
      <c r="E643" s="18" t="s">
        <v>33</v>
      </c>
      <c r="F643" s="18" t="s">
        <v>20</v>
      </c>
      <c r="G643" s="18" t="s">
        <v>40</v>
      </c>
      <c r="H643" s="64">
        <f>LEN(TRIM(Table22[[#This Row],[Country]]))</f>
        <v>5</v>
      </c>
      <c r="I643" s="64">
        <f>LEN(TRIM(Table22[[#This Row],[Continent]]))</f>
        <v>4</v>
      </c>
      <c r="J643" s="64">
        <f>LEN(TRIM(Table22[[#This Row],[Product]]))</f>
        <v>10</v>
      </c>
      <c r="K643" s="64">
        <f>LEN(TRIM(Table22[[#This Row],[Sales Team]]))</f>
        <v>10</v>
      </c>
      <c r="L643" s="23">
        <v>43</v>
      </c>
      <c r="M643" s="65" t="str" cm="1">
        <f t="array" ref="M643">_xlfn.IFS(Table22[[#This Row],[Units Sold]]&lt;40,"Critical",Table22[[#This Row],[Units Sold]]&lt;=50,"Poor",Table22[[#This Row],[Units Sold]]&lt;=60,"Low",Table22[[#This Row],[Units Sold]]&lt;=80,"Average",Table22[[#This Row],[Units Sold]]&lt;=90,"High",Table22[[#This Row],[Units Sold]]&lt;=95,"Excellent",Table22[[#This Row],[Units Sold]]&gt;95,"Outstanding")</f>
        <v>Poor</v>
      </c>
      <c r="N643" s="29">
        <v>1167.43</v>
      </c>
      <c r="O643" s="29">
        <v>50199.49</v>
      </c>
      <c r="P643" s="43">
        <f>IF(Table22[[#This Row],[Discount Applied]],Table22[[#This Row],[Total Sales (in USD)]]*(1-Table22[[#This Row],[Discount Percentage (%)]]/100),Table22[[#This Row],[Total Sales (in USD)]])</f>
        <v>50199.49</v>
      </c>
      <c r="Q643" s="66">
        <f>SQRT(AVERAGE((Table22[[#This Row],[Net Sales (after discount) (in USD)]]-AVERAGE(Table22[Net Sales (after discount) (in USD)]))^2))</f>
        <v>13688.12943623546</v>
      </c>
      <c r="R643" s="18" t="b">
        <v>0</v>
      </c>
      <c r="S643" s="40">
        <v>22.08</v>
      </c>
      <c r="T643" s="18" t="b">
        <v>0</v>
      </c>
      <c r="U643" s="25">
        <v>45398</v>
      </c>
      <c r="V643" s="63" t="str">
        <f>IF(MONTH(Table22[[#This Row],[Sales Date]])&lt;=3,"Q1",IF(MONTH(Table22[[#This Row],[Sales Date]])&lt;=6,"Q2",IF(MONTH(Table22[[#This Row],[Sales Date]])&lt;=9,"Q3","Q4")))</f>
        <v>Q2</v>
      </c>
      <c r="W643" s="64">
        <f>YEAR(Table22[[#This Row],[Sales Date]])</f>
        <v>2024</v>
      </c>
      <c r="X643" s="23">
        <v>62</v>
      </c>
      <c r="Y643" s="18" t="s">
        <v>41</v>
      </c>
      <c r="Z643" s="18" t="s">
        <v>42</v>
      </c>
      <c r="AA643" s="19" t="s">
        <v>25</v>
      </c>
    </row>
    <row r="644" spans="1:27" x14ac:dyDescent="0.25">
      <c r="A644" s="17" t="s">
        <v>1801</v>
      </c>
      <c r="B644" s="18" t="s">
        <v>46</v>
      </c>
      <c r="C644" s="63" t="str" cm="1">
        <f t="array" ref="C644">_xlfn.SWITCH(Table22[[#This Row],[Country]],"USA","North America","Canada","North America","Brazil","South America","China","Asia","Japan","Asia","India","Asia","France","Europe","Germany","Europe","UK","Europe","Australia","Oceania","South America")</f>
        <v>South America</v>
      </c>
      <c r="D644" s="18" t="s">
        <v>28</v>
      </c>
      <c r="E644" s="18" t="s">
        <v>19</v>
      </c>
      <c r="F644" s="18" t="s">
        <v>64</v>
      </c>
      <c r="G644" s="18" t="s">
        <v>48</v>
      </c>
      <c r="H644" s="64">
        <f>LEN(TRIM(Table22[[#This Row],[Country]]))</f>
        <v>6</v>
      </c>
      <c r="I644" s="64">
        <f>LEN(TRIM(Table22[[#This Row],[Continent]]))</f>
        <v>13</v>
      </c>
      <c r="J644" s="64">
        <f>LEN(TRIM(Table22[[#This Row],[Product]]))</f>
        <v>6</v>
      </c>
      <c r="K644" s="64">
        <f>LEN(TRIM(Table22[[#This Row],[Sales Team]]))</f>
        <v>9</v>
      </c>
      <c r="L644" s="23">
        <v>73</v>
      </c>
      <c r="M644" s="65" t="str" cm="1">
        <f t="array" ref="M644">_xlfn.IFS(Table22[[#This Row],[Units Sold]]&lt;40,"Critical",Table22[[#This Row],[Units Sold]]&lt;=50,"Poor",Table22[[#This Row],[Units Sold]]&lt;=60,"Low",Table22[[#This Row],[Units Sold]]&lt;=80,"Average",Table22[[#This Row],[Units Sold]]&lt;=90,"High",Table22[[#This Row],[Units Sold]]&lt;=95,"Excellent",Table22[[#This Row],[Units Sold]]&gt;95,"Outstanding")</f>
        <v>Average</v>
      </c>
      <c r="N644" s="29">
        <v>686.86</v>
      </c>
      <c r="O644" s="29">
        <v>50140.78</v>
      </c>
      <c r="P644" s="43">
        <f>IF(Table22[[#This Row],[Discount Applied]],Table22[[#This Row],[Total Sales (in USD)]]*(1-Table22[[#This Row],[Discount Percentage (%)]]/100),Table22[[#This Row],[Total Sales (in USD)]])</f>
        <v>50140.78</v>
      </c>
      <c r="Q644" s="66">
        <f>SQRT(AVERAGE((Table22[[#This Row],[Net Sales (after discount) (in USD)]]-AVERAGE(Table22[Net Sales (after discount) (in USD)]))^2))</f>
        <v>13629.419436235461</v>
      </c>
      <c r="R644" s="18" t="b">
        <v>1</v>
      </c>
      <c r="S644" s="40">
        <v>15.52</v>
      </c>
      <c r="T644" s="18" t="b">
        <v>0</v>
      </c>
      <c r="U644" s="25">
        <v>45341</v>
      </c>
      <c r="V644" s="63" t="str">
        <f>IF(MONTH(Table22[[#This Row],[Sales Date]])&lt;=3,"Q1",IF(MONTH(Table22[[#This Row],[Sales Date]])&lt;=6,"Q2",IF(MONTH(Table22[[#This Row],[Sales Date]])&lt;=9,"Q3","Q4")))</f>
        <v>Q1</v>
      </c>
      <c r="W644" s="64">
        <f>YEAR(Table22[[#This Row],[Sales Date]])</f>
        <v>2024</v>
      </c>
      <c r="X644" s="23">
        <v>33</v>
      </c>
      <c r="Y644" s="18" t="s">
        <v>49</v>
      </c>
      <c r="Z644" s="18" t="s">
        <v>56</v>
      </c>
      <c r="AA644" s="19" t="s">
        <v>25</v>
      </c>
    </row>
    <row r="645" spans="1:27" x14ac:dyDescent="0.25">
      <c r="A645" s="17" t="s">
        <v>1328</v>
      </c>
      <c r="B645" s="18" t="s">
        <v>72</v>
      </c>
      <c r="C645" s="63" t="str" cm="1">
        <f t="array" ref="C645">_xlfn.SWITCH(Table22[[#This Row],[Country]],"USA","North America","Canada","North America","Brazil","South America","China","Asia","Japan","Asia","India","Asia","France","Europe","Germany","Europe","UK","Europe","Australia","Oceania","South America")</f>
        <v>North America</v>
      </c>
      <c r="D645" s="18" t="s">
        <v>21</v>
      </c>
      <c r="E645" s="18" t="s">
        <v>39</v>
      </c>
      <c r="F645" s="18" t="s">
        <v>52</v>
      </c>
      <c r="G645" s="18" t="s">
        <v>40</v>
      </c>
      <c r="H645" s="64">
        <f>LEN(TRIM(Table22[[#This Row],[Country]]))</f>
        <v>3</v>
      </c>
      <c r="I645" s="64">
        <f>LEN(TRIM(Table22[[#This Row],[Continent]]))</f>
        <v>13</v>
      </c>
      <c r="J645" s="64">
        <f>LEN(TRIM(Table22[[#This Row],[Product]]))</f>
        <v>10</v>
      </c>
      <c r="K645" s="64">
        <f>LEN(TRIM(Table22[[#This Row],[Sales Team]]))</f>
        <v>10</v>
      </c>
      <c r="L645" s="23">
        <v>38</v>
      </c>
      <c r="M645" s="65" t="str" cm="1">
        <f t="array" ref="M645">_xlfn.IFS(Table22[[#This Row],[Units Sold]]&lt;40,"Critical",Table22[[#This Row],[Units Sold]]&lt;=50,"Poor",Table22[[#This Row],[Units Sold]]&lt;=60,"Low",Table22[[#This Row],[Units Sold]]&lt;=80,"Average",Table22[[#This Row],[Units Sold]]&lt;=90,"High",Table22[[#This Row],[Units Sold]]&lt;=95,"Excellent",Table22[[#This Row],[Units Sold]]&gt;95,"Outstanding")</f>
        <v>Critical</v>
      </c>
      <c r="N645" s="29">
        <v>1317.04</v>
      </c>
      <c r="O645" s="29">
        <v>50047.519999999997</v>
      </c>
      <c r="P645" s="43">
        <f>IF(Table22[[#This Row],[Discount Applied]],Table22[[#This Row],[Total Sales (in USD)]]*(1-Table22[[#This Row],[Discount Percentage (%)]]/100),Table22[[#This Row],[Total Sales (in USD)]])</f>
        <v>50047.519999999997</v>
      </c>
      <c r="Q645" s="66">
        <f>SQRT(AVERAGE((Table22[[#This Row],[Net Sales (after discount) (in USD)]]-AVERAGE(Table22[Net Sales (after discount) (in USD)]))^2))</f>
        <v>13536.159436235459</v>
      </c>
      <c r="R645" s="18" t="b">
        <v>0</v>
      </c>
      <c r="S645" s="40">
        <v>26.73</v>
      </c>
      <c r="T645" s="18" t="b">
        <v>0</v>
      </c>
      <c r="U645" s="25">
        <v>45518</v>
      </c>
      <c r="V645" s="63" t="str">
        <f>IF(MONTH(Table22[[#This Row],[Sales Date]])&lt;=3,"Q1",IF(MONTH(Table22[[#This Row],[Sales Date]])&lt;=6,"Q2",IF(MONTH(Table22[[#This Row],[Sales Date]])&lt;=9,"Q3","Q4")))</f>
        <v>Q3</v>
      </c>
      <c r="W645" s="64">
        <f>YEAR(Table22[[#This Row],[Sales Date]])</f>
        <v>2024</v>
      </c>
      <c r="X645" s="23">
        <v>38</v>
      </c>
      <c r="Y645" s="18" t="s">
        <v>41</v>
      </c>
      <c r="Z645" s="18" t="s">
        <v>24</v>
      </c>
      <c r="AA645" s="19" t="s">
        <v>25</v>
      </c>
    </row>
    <row r="646" spans="1:27" x14ac:dyDescent="0.25">
      <c r="A646" s="17" t="s">
        <v>106</v>
      </c>
      <c r="B646" s="18" t="s">
        <v>32</v>
      </c>
      <c r="C646" s="63" t="str" cm="1">
        <f t="array" ref="C646">_xlfn.SWITCH(Table22[[#This Row],[Country]],"USA","North America","Canada","North America","Brazil","South America","China","Asia","Japan","Asia","India","Asia","France","Europe","Germany","Europe","UK","Europe","Australia","Oceania","South America")</f>
        <v>Asia</v>
      </c>
      <c r="D646" s="18" t="s">
        <v>28</v>
      </c>
      <c r="E646" s="18" t="s">
        <v>39</v>
      </c>
      <c r="F646" s="18" t="s">
        <v>52</v>
      </c>
      <c r="G646" s="18" t="s">
        <v>22</v>
      </c>
      <c r="H646" s="64">
        <f>LEN(TRIM(Table22[[#This Row],[Country]]))</f>
        <v>5</v>
      </c>
      <c r="I646" s="64">
        <f>LEN(TRIM(Table22[[#This Row],[Continent]]))</f>
        <v>4</v>
      </c>
      <c r="J646" s="64">
        <f>LEN(TRIM(Table22[[#This Row],[Product]]))</f>
        <v>10</v>
      </c>
      <c r="K646" s="64">
        <f>LEN(TRIM(Table22[[#This Row],[Sales Team]]))</f>
        <v>10</v>
      </c>
      <c r="L646" s="23">
        <v>44</v>
      </c>
      <c r="M646" s="65" t="str" cm="1">
        <f t="array" ref="M646">_xlfn.IFS(Table22[[#This Row],[Units Sold]]&lt;40,"Critical",Table22[[#This Row],[Units Sold]]&lt;=50,"Poor",Table22[[#This Row],[Units Sold]]&lt;=60,"Low",Table22[[#This Row],[Units Sold]]&lt;=80,"Average",Table22[[#This Row],[Units Sold]]&lt;=90,"High",Table22[[#This Row],[Units Sold]]&lt;=95,"Excellent",Table22[[#This Row],[Units Sold]]&gt;95,"Outstanding")</f>
        <v>Poor</v>
      </c>
      <c r="N646" s="29">
        <v>1136.28</v>
      </c>
      <c r="O646" s="29">
        <v>49996.32</v>
      </c>
      <c r="P646" s="43">
        <f>IF(Table22[[#This Row],[Discount Applied]],Table22[[#This Row],[Total Sales (in USD)]]*(1-Table22[[#This Row],[Discount Percentage (%)]]/100),Table22[[#This Row],[Total Sales (in USD)]])</f>
        <v>49996.32</v>
      </c>
      <c r="Q646" s="66">
        <f>SQRT(AVERAGE((Table22[[#This Row],[Net Sales (after discount) (in USD)]]-AVERAGE(Table22[Net Sales (after discount) (in USD)]))^2))</f>
        <v>13484.959436235462</v>
      </c>
      <c r="R646" s="18" t="b">
        <v>0</v>
      </c>
      <c r="S646" s="40">
        <v>14.34</v>
      </c>
      <c r="T646" s="18" t="b">
        <v>0</v>
      </c>
      <c r="U646" s="25">
        <v>45431</v>
      </c>
      <c r="V646" s="63" t="str">
        <f>IF(MONTH(Table22[[#This Row],[Sales Date]])&lt;=3,"Q1",IF(MONTH(Table22[[#This Row],[Sales Date]])&lt;=6,"Q2",IF(MONTH(Table22[[#This Row],[Sales Date]])&lt;=9,"Q3","Q4")))</f>
        <v>Q2</v>
      </c>
      <c r="W646" s="64">
        <f>YEAR(Table22[[#This Row],[Sales Date]])</f>
        <v>2024</v>
      </c>
      <c r="X646" s="23">
        <v>58</v>
      </c>
      <c r="Y646" s="18" t="s">
        <v>49</v>
      </c>
      <c r="Z646" s="18" t="s">
        <v>24</v>
      </c>
      <c r="AA646" s="19" t="s">
        <v>25</v>
      </c>
    </row>
    <row r="647" spans="1:27" x14ac:dyDescent="0.25">
      <c r="A647" s="17" t="s">
        <v>936</v>
      </c>
      <c r="B647" s="18" t="s">
        <v>46</v>
      </c>
      <c r="C647" s="63" t="str" cm="1">
        <f t="array" ref="C647">_xlfn.SWITCH(Table22[[#This Row],[Country]],"USA","North America","Canada","North America","Brazil","South America","China","Asia","Japan","Asia","India","Asia","France","Europe","Germany","Europe","UK","Europe","Australia","Oceania","South America")</f>
        <v>South America</v>
      </c>
      <c r="D647" s="18" t="s">
        <v>28</v>
      </c>
      <c r="E647" s="18" t="s">
        <v>19</v>
      </c>
      <c r="F647" s="18" t="s">
        <v>34</v>
      </c>
      <c r="G647" s="18" t="s">
        <v>40</v>
      </c>
      <c r="H647" s="64">
        <f>LEN(TRIM(Table22[[#This Row],[Country]]))</f>
        <v>6</v>
      </c>
      <c r="I647" s="64">
        <f>LEN(TRIM(Table22[[#This Row],[Continent]]))</f>
        <v>13</v>
      </c>
      <c r="J647" s="64">
        <f>LEN(TRIM(Table22[[#This Row],[Product]]))</f>
        <v>6</v>
      </c>
      <c r="K647" s="64">
        <f>LEN(TRIM(Table22[[#This Row],[Sales Team]]))</f>
        <v>10</v>
      </c>
      <c r="L647" s="23">
        <v>52</v>
      </c>
      <c r="M647" s="65" t="str" cm="1">
        <f t="array" ref="M647">_xlfn.IFS(Table22[[#This Row],[Units Sold]]&lt;40,"Critical",Table22[[#This Row],[Units Sold]]&lt;=50,"Poor",Table22[[#This Row],[Units Sold]]&lt;=60,"Low",Table22[[#This Row],[Units Sold]]&lt;=80,"Average",Table22[[#This Row],[Units Sold]]&lt;=90,"High",Table22[[#This Row],[Units Sold]]&lt;=95,"Excellent",Table22[[#This Row],[Units Sold]]&gt;95,"Outstanding")</f>
        <v>Low</v>
      </c>
      <c r="N647" s="29">
        <v>959.88</v>
      </c>
      <c r="O647" s="29">
        <v>49913.760000000002</v>
      </c>
      <c r="P647" s="43">
        <f>IF(Table22[[#This Row],[Discount Applied]],Table22[[#This Row],[Total Sales (in USD)]]*(1-Table22[[#This Row],[Discount Percentage (%)]]/100),Table22[[#This Row],[Total Sales (in USD)]])</f>
        <v>44458.186032000005</v>
      </c>
      <c r="Q647" s="66">
        <f>SQRT(AVERAGE((Table22[[#This Row],[Net Sales (after discount) (in USD)]]-AVERAGE(Table22[Net Sales (after discount) (in USD)]))^2))</f>
        <v>7946.8254682354673</v>
      </c>
      <c r="R647" s="18" t="b">
        <v>1</v>
      </c>
      <c r="S647" s="40">
        <v>10.93</v>
      </c>
      <c r="T647" s="18" t="b">
        <v>1</v>
      </c>
      <c r="U647" s="25">
        <v>45395</v>
      </c>
      <c r="V647" s="63" t="str">
        <f>IF(MONTH(Table22[[#This Row],[Sales Date]])&lt;=3,"Q1",IF(MONTH(Table22[[#This Row],[Sales Date]])&lt;=6,"Q2",IF(MONTH(Table22[[#This Row],[Sales Date]])&lt;=9,"Q3","Q4")))</f>
        <v>Q2</v>
      </c>
      <c r="W647" s="64">
        <f>YEAR(Table22[[#This Row],[Sales Date]])</f>
        <v>2024</v>
      </c>
      <c r="X647" s="23">
        <v>35</v>
      </c>
      <c r="Y647" s="18" t="s">
        <v>23</v>
      </c>
      <c r="Z647" s="18" t="s">
        <v>24</v>
      </c>
      <c r="AA647" s="19" t="s">
        <v>36</v>
      </c>
    </row>
    <row r="648" spans="1:27" x14ac:dyDescent="0.25">
      <c r="A648" s="17" t="s">
        <v>1510</v>
      </c>
      <c r="B648" s="18" t="s">
        <v>32</v>
      </c>
      <c r="C648" s="63" t="str" cm="1">
        <f t="array" ref="C648">_xlfn.SWITCH(Table22[[#This Row],[Country]],"USA","North America","Canada","North America","Brazil","South America","China","Asia","Japan","Asia","India","Asia","France","Europe","Germany","Europe","UK","Europe","Australia","Oceania","South America")</f>
        <v>Asia</v>
      </c>
      <c r="D648" s="18" t="s">
        <v>44</v>
      </c>
      <c r="E648" s="18" t="s">
        <v>33</v>
      </c>
      <c r="F648" s="18" t="s">
        <v>34</v>
      </c>
      <c r="G648" s="18" t="s">
        <v>40</v>
      </c>
      <c r="H648" s="64">
        <f>LEN(TRIM(Table22[[#This Row],[Country]]))</f>
        <v>5</v>
      </c>
      <c r="I648" s="64">
        <f>LEN(TRIM(Table22[[#This Row],[Continent]]))</f>
        <v>4</v>
      </c>
      <c r="J648" s="64">
        <f>LEN(TRIM(Table22[[#This Row],[Product]]))</f>
        <v>10</v>
      </c>
      <c r="K648" s="64">
        <f>LEN(TRIM(Table22[[#This Row],[Sales Team]]))</f>
        <v>10</v>
      </c>
      <c r="L648" s="23">
        <v>34</v>
      </c>
      <c r="M648" s="65" t="str" cm="1">
        <f t="array" ref="M648">_xlfn.IFS(Table22[[#This Row],[Units Sold]]&lt;40,"Critical",Table22[[#This Row],[Units Sold]]&lt;=50,"Poor",Table22[[#This Row],[Units Sold]]&lt;=60,"Low",Table22[[#This Row],[Units Sold]]&lt;=80,"Average",Table22[[#This Row],[Units Sold]]&lt;=90,"High",Table22[[#This Row],[Units Sold]]&lt;=95,"Excellent",Table22[[#This Row],[Units Sold]]&gt;95,"Outstanding")</f>
        <v>Critical</v>
      </c>
      <c r="N648" s="29">
        <v>1465.93</v>
      </c>
      <c r="O648" s="29">
        <v>49841.62</v>
      </c>
      <c r="P648" s="43">
        <f>IF(Table22[[#This Row],[Discount Applied]],Table22[[#This Row],[Total Sales (in USD)]]*(1-Table22[[#This Row],[Discount Percentage (%)]]/100),Table22[[#This Row],[Total Sales (in USD)]])</f>
        <v>49841.62</v>
      </c>
      <c r="Q648" s="66">
        <f>SQRT(AVERAGE((Table22[[#This Row],[Net Sales (after discount) (in USD)]]-AVERAGE(Table22[Net Sales (after discount) (in USD)]))^2))</f>
        <v>13330.259436235465</v>
      </c>
      <c r="R648" s="18" t="b">
        <v>1</v>
      </c>
      <c r="S648" s="40">
        <v>3.68</v>
      </c>
      <c r="T648" s="18" t="b">
        <v>0</v>
      </c>
      <c r="U648" s="25">
        <v>45257</v>
      </c>
      <c r="V648" s="63" t="str">
        <f>IF(MONTH(Table22[[#This Row],[Sales Date]])&lt;=3,"Q1",IF(MONTH(Table22[[#This Row],[Sales Date]])&lt;=6,"Q2",IF(MONTH(Table22[[#This Row],[Sales Date]])&lt;=9,"Q3","Q4")))</f>
        <v>Q4</v>
      </c>
      <c r="W648" s="64">
        <f>YEAR(Table22[[#This Row],[Sales Date]])</f>
        <v>2023</v>
      </c>
      <c r="X648" s="23">
        <v>27</v>
      </c>
      <c r="Y648" s="18" t="s">
        <v>23</v>
      </c>
      <c r="Z648" s="18" t="s">
        <v>42</v>
      </c>
      <c r="AA648" s="19" t="s">
        <v>25</v>
      </c>
    </row>
    <row r="649" spans="1:27" x14ac:dyDescent="0.25">
      <c r="A649" s="17" t="s">
        <v>627</v>
      </c>
      <c r="B649" s="18" t="s">
        <v>18</v>
      </c>
      <c r="C649" s="63" t="str" cm="1">
        <f t="array" ref="C649">_xlfn.SWITCH(Table22[[#This Row],[Country]],"USA","North America","Canada","North America","Brazil","South America","China","Asia","Japan","Asia","India","Asia","France","Europe","Germany","Europe","UK","Europe","Australia","Oceania","South America")</f>
        <v>Asia</v>
      </c>
      <c r="D649" s="18" t="s">
        <v>35</v>
      </c>
      <c r="E649" s="18" t="s">
        <v>33</v>
      </c>
      <c r="F649" s="18" t="s">
        <v>64</v>
      </c>
      <c r="G649" s="18" t="s">
        <v>40</v>
      </c>
      <c r="H649" s="64">
        <f>LEN(TRIM(Table22[[#This Row],[Country]]))</f>
        <v>5</v>
      </c>
      <c r="I649" s="64">
        <f>LEN(TRIM(Table22[[#This Row],[Continent]]))</f>
        <v>4</v>
      </c>
      <c r="J649" s="64">
        <f>LEN(TRIM(Table22[[#This Row],[Product]]))</f>
        <v>10</v>
      </c>
      <c r="K649" s="64">
        <f>LEN(TRIM(Table22[[#This Row],[Sales Team]]))</f>
        <v>10</v>
      </c>
      <c r="L649" s="23">
        <v>44</v>
      </c>
      <c r="M649" s="65" t="str" cm="1">
        <f t="array" ref="M649">_xlfn.IFS(Table22[[#This Row],[Units Sold]]&lt;40,"Critical",Table22[[#This Row],[Units Sold]]&lt;=50,"Poor",Table22[[#This Row],[Units Sold]]&lt;=60,"Low",Table22[[#This Row],[Units Sold]]&lt;=80,"Average",Table22[[#This Row],[Units Sold]]&lt;=90,"High",Table22[[#This Row],[Units Sold]]&lt;=95,"Excellent",Table22[[#This Row],[Units Sold]]&gt;95,"Outstanding")</f>
        <v>Poor</v>
      </c>
      <c r="N649" s="29">
        <v>1132.07</v>
      </c>
      <c r="O649" s="29">
        <v>49811.08</v>
      </c>
      <c r="P649" s="43">
        <f>IF(Table22[[#This Row],[Discount Applied]],Table22[[#This Row],[Total Sales (in USD)]]*(1-Table22[[#This Row],[Discount Percentage (%)]]/100),Table22[[#This Row],[Total Sales (in USD)]])</f>
        <v>44486.275548000005</v>
      </c>
      <c r="Q649" s="66">
        <f>SQRT(AVERAGE((Table22[[#This Row],[Net Sales (after discount) (in USD)]]-AVERAGE(Table22[Net Sales (after discount) (in USD)]))^2))</f>
        <v>7974.9149842354673</v>
      </c>
      <c r="R649" s="18" t="b">
        <v>0</v>
      </c>
      <c r="S649" s="40">
        <v>10.69</v>
      </c>
      <c r="T649" s="18" t="b">
        <v>1</v>
      </c>
      <c r="U649" s="25">
        <v>45146</v>
      </c>
      <c r="V649" s="63" t="str">
        <f>IF(MONTH(Table22[[#This Row],[Sales Date]])&lt;=3,"Q1",IF(MONTH(Table22[[#This Row],[Sales Date]])&lt;=6,"Q2",IF(MONTH(Table22[[#This Row],[Sales Date]])&lt;=9,"Q3","Q4")))</f>
        <v>Q3</v>
      </c>
      <c r="W649" s="64">
        <f>YEAR(Table22[[#This Row],[Sales Date]])</f>
        <v>2023</v>
      </c>
      <c r="X649" s="23">
        <v>38</v>
      </c>
      <c r="Y649" s="18" t="s">
        <v>23</v>
      </c>
      <c r="Z649" s="18" t="s">
        <v>24</v>
      </c>
      <c r="AA649" s="19" t="s">
        <v>25</v>
      </c>
    </row>
    <row r="650" spans="1:27" x14ac:dyDescent="0.25">
      <c r="A650" s="17" t="s">
        <v>548</v>
      </c>
      <c r="B650" s="18" t="s">
        <v>18</v>
      </c>
      <c r="C650" s="63" t="str" cm="1">
        <f t="array" ref="C650">_xlfn.SWITCH(Table22[[#This Row],[Country]],"USA","North America","Canada","North America","Brazil","South America","China","Asia","Japan","Asia","India","Asia","France","Europe","Germany","Europe","UK","Europe","Australia","Oceania","South America")</f>
        <v>Asia</v>
      </c>
      <c r="D650" s="18" t="s">
        <v>44</v>
      </c>
      <c r="E650" s="18" t="s">
        <v>19</v>
      </c>
      <c r="F650" s="18" t="s">
        <v>20</v>
      </c>
      <c r="G650" s="18" t="s">
        <v>22</v>
      </c>
      <c r="H650" s="64">
        <f>LEN(TRIM(Table22[[#This Row],[Country]]))</f>
        <v>5</v>
      </c>
      <c r="I650" s="64">
        <f>LEN(TRIM(Table22[[#This Row],[Continent]]))</f>
        <v>4</v>
      </c>
      <c r="J650" s="64">
        <f>LEN(TRIM(Table22[[#This Row],[Product]]))</f>
        <v>6</v>
      </c>
      <c r="K650" s="64">
        <f>LEN(TRIM(Table22[[#This Row],[Sales Team]]))</f>
        <v>10</v>
      </c>
      <c r="L650" s="23">
        <v>35</v>
      </c>
      <c r="M650" s="65" t="str" cm="1">
        <f t="array" ref="M650">_xlfn.IFS(Table22[[#This Row],[Units Sold]]&lt;40,"Critical",Table22[[#This Row],[Units Sold]]&lt;=50,"Poor",Table22[[#This Row],[Units Sold]]&lt;=60,"Low",Table22[[#This Row],[Units Sold]]&lt;=80,"Average",Table22[[#This Row],[Units Sold]]&lt;=90,"High",Table22[[#This Row],[Units Sold]]&lt;=95,"Excellent",Table22[[#This Row],[Units Sold]]&gt;95,"Outstanding")</f>
        <v>Critical</v>
      </c>
      <c r="N650" s="29">
        <v>1421.39</v>
      </c>
      <c r="O650" s="29">
        <v>49748.65</v>
      </c>
      <c r="P650" s="43">
        <f>IF(Table22[[#This Row],[Discount Applied]],Table22[[#This Row],[Total Sales (in USD)]]*(1-Table22[[#This Row],[Discount Percentage (%)]]/100),Table22[[#This Row],[Total Sales (in USD)]])</f>
        <v>48748.702135</v>
      </c>
      <c r="Q650" s="66">
        <f>SQRT(AVERAGE((Table22[[#This Row],[Net Sales (after discount) (in USD)]]-AVERAGE(Table22[Net Sales (after discount) (in USD)]))^2))</f>
        <v>12237.341571235462</v>
      </c>
      <c r="R650" s="18" t="b">
        <v>1</v>
      </c>
      <c r="S650" s="40">
        <v>2.0099999999999998</v>
      </c>
      <c r="T650" s="18" t="b">
        <v>1</v>
      </c>
      <c r="U650" s="25">
        <v>45348</v>
      </c>
      <c r="V650" s="63" t="str">
        <f>IF(MONTH(Table22[[#This Row],[Sales Date]])&lt;=3,"Q1",IF(MONTH(Table22[[#This Row],[Sales Date]])&lt;=6,"Q2",IF(MONTH(Table22[[#This Row],[Sales Date]])&lt;=9,"Q3","Q4")))</f>
        <v>Q1</v>
      </c>
      <c r="W650" s="64">
        <f>YEAR(Table22[[#This Row],[Sales Date]])</f>
        <v>2024</v>
      </c>
      <c r="X650" s="23">
        <v>46</v>
      </c>
      <c r="Y650" s="18" t="s">
        <v>41</v>
      </c>
      <c r="Z650" s="18" t="s">
        <v>56</v>
      </c>
      <c r="AA650" s="19" t="s">
        <v>25</v>
      </c>
    </row>
    <row r="651" spans="1:27" x14ac:dyDescent="0.25">
      <c r="A651" s="17" t="s">
        <v>566</v>
      </c>
      <c r="B651" s="18" t="s">
        <v>51</v>
      </c>
      <c r="C651" s="63" t="str" cm="1">
        <f t="array" ref="C651">_xlfn.SWITCH(Table22[[#This Row],[Country]],"USA","North America","Canada","North America","Brazil","South America","China","Asia","Japan","Asia","India","Asia","France","Europe","Germany","Europe","UK","Europe","Australia","Oceania","South America")</f>
        <v>Europe</v>
      </c>
      <c r="D651" s="18" t="s">
        <v>28</v>
      </c>
      <c r="E651" s="18" t="s">
        <v>19</v>
      </c>
      <c r="F651" s="18" t="s">
        <v>52</v>
      </c>
      <c r="G651" s="18" t="s">
        <v>48</v>
      </c>
      <c r="H651" s="64">
        <f>LEN(TRIM(Table22[[#This Row],[Country]]))</f>
        <v>2</v>
      </c>
      <c r="I651" s="64">
        <f>LEN(TRIM(Table22[[#This Row],[Continent]]))</f>
        <v>6</v>
      </c>
      <c r="J651" s="64">
        <f>LEN(TRIM(Table22[[#This Row],[Product]]))</f>
        <v>6</v>
      </c>
      <c r="K651" s="64">
        <f>LEN(TRIM(Table22[[#This Row],[Sales Team]]))</f>
        <v>9</v>
      </c>
      <c r="L651" s="23">
        <v>74</v>
      </c>
      <c r="M651" s="65" t="str" cm="1">
        <f t="array" ref="M651">_xlfn.IFS(Table22[[#This Row],[Units Sold]]&lt;40,"Critical",Table22[[#This Row],[Units Sold]]&lt;=50,"Poor",Table22[[#This Row],[Units Sold]]&lt;=60,"Low",Table22[[#This Row],[Units Sold]]&lt;=80,"Average",Table22[[#This Row],[Units Sold]]&lt;=90,"High",Table22[[#This Row],[Units Sold]]&lt;=95,"Excellent",Table22[[#This Row],[Units Sold]]&gt;95,"Outstanding")</f>
        <v>Average</v>
      </c>
      <c r="N651" s="29">
        <v>671.56</v>
      </c>
      <c r="O651" s="29">
        <v>49695.44</v>
      </c>
      <c r="P651" s="43">
        <f>IF(Table22[[#This Row],[Discount Applied]],Table22[[#This Row],[Total Sales (in USD)]]*(1-Table22[[#This Row],[Discount Percentage (%)]]/100),Table22[[#This Row],[Total Sales (in USD)]])</f>
        <v>49695.44</v>
      </c>
      <c r="Q651" s="66">
        <f>SQRT(AVERAGE((Table22[[#This Row],[Net Sales (after discount) (in USD)]]-AVERAGE(Table22[Net Sales (after discount) (in USD)]))^2))</f>
        <v>13184.079436235465</v>
      </c>
      <c r="R651" s="18" t="b">
        <v>1</v>
      </c>
      <c r="S651" s="40">
        <v>29.81</v>
      </c>
      <c r="T651" s="18" t="b">
        <v>0</v>
      </c>
      <c r="U651" s="25">
        <v>44928</v>
      </c>
      <c r="V651" s="63" t="str">
        <f>IF(MONTH(Table22[[#This Row],[Sales Date]])&lt;=3,"Q1",IF(MONTH(Table22[[#This Row],[Sales Date]])&lt;=6,"Q2",IF(MONTH(Table22[[#This Row],[Sales Date]])&lt;=9,"Q3","Q4")))</f>
        <v>Q1</v>
      </c>
      <c r="W651" s="64">
        <f>YEAR(Table22[[#This Row],[Sales Date]])</f>
        <v>2023</v>
      </c>
      <c r="X651" s="23">
        <v>56</v>
      </c>
      <c r="Y651" s="18" t="s">
        <v>49</v>
      </c>
      <c r="Z651" s="18" t="s">
        <v>42</v>
      </c>
      <c r="AA651" s="19" t="s">
        <v>36</v>
      </c>
    </row>
    <row r="652" spans="1:27" x14ac:dyDescent="0.25">
      <c r="A652" s="17" t="s">
        <v>1977</v>
      </c>
      <c r="B652" s="18" t="s">
        <v>46</v>
      </c>
      <c r="C652" s="63" t="str" cm="1">
        <f t="array" ref="C652">_xlfn.SWITCH(Table22[[#This Row],[Country]],"USA","North America","Canada","North America","Brazil","South America","China","Asia","Japan","Asia","India","Asia","France","Europe","Germany","Europe","UK","Europe","Australia","Oceania","South America")</f>
        <v>South America</v>
      </c>
      <c r="D652" s="18" t="s">
        <v>35</v>
      </c>
      <c r="E652" s="18" t="s">
        <v>19</v>
      </c>
      <c r="F652" s="18" t="s">
        <v>47</v>
      </c>
      <c r="G652" s="18" t="s">
        <v>29</v>
      </c>
      <c r="H652" s="64">
        <f>LEN(TRIM(Table22[[#This Row],[Country]]))</f>
        <v>6</v>
      </c>
      <c r="I652" s="64">
        <f>LEN(TRIM(Table22[[#This Row],[Continent]]))</f>
        <v>13</v>
      </c>
      <c r="J652" s="64">
        <f>LEN(TRIM(Table22[[#This Row],[Product]]))</f>
        <v>6</v>
      </c>
      <c r="K652" s="64">
        <f>LEN(TRIM(Table22[[#This Row],[Sales Team]]))</f>
        <v>10</v>
      </c>
      <c r="L652" s="23">
        <v>62</v>
      </c>
      <c r="M652" s="65" t="str" cm="1">
        <f t="array" ref="M652">_xlfn.IFS(Table22[[#This Row],[Units Sold]]&lt;40,"Critical",Table22[[#This Row],[Units Sold]]&lt;=50,"Poor",Table22[[#This Row],[Units Sold]]&lt;=60,"Low",Table22[[#This Row],[Units Sold]]&lt;=80,"Average",Table22[[#This Row],[Units Sold]]&lt;=90,"High",Table22[[#This Row],[Units Sold]]&lt;=95,"Excellent",Table22[[#This Row],[Units Sold]]&gt;95,"Outstanding")</f>
        <v>Average</v>
      </c>
      <c r="N652" s="29">
        <v>800.63</v>
      </c>
      <c r="O652" s="29">
        <v>49639.06</v>
      </c>
      <c r="P652" s="43">
        <f>IF(Table22[[#This Row],[Discount Applied]],Table22[[#This Row],[Total Sales (in USD)]]*(1-Table22[[#This Row],[Discount Percentage (%)]]/100),Table22[[#This Row],[Total Sales (in USD)]])</f>
        <v>49639.06</v>
      </c>
      <c r="Q652" s="66">
        <f>SQRT(AVERAGE((Table22[[#This Row],[Net Sales (after discount) (in USD)]]-AVERAGE(Table22[Net Sales (after discount) (in USD)]))^2))</f>
        <v>13127.69943623546</v>
      </c>
      <c r="R652" s="18" t="b">
        <v>1</v>
      </c>
      <c r="S652" s="40">
        <v>26.41</v>
      </c>
      <c r="T652" s="18" t="b">
        <v>0</v>
      </c>
      <c r="U652" s="25">
        <v>45030</v>
      </c>
      <c r="V652" s="63" t="str">
        <f>IF(MONTH(Table22[[#This Row],[Sales Date]])&lt;=3,"Q1",IF(MONTH(Table22[[#This Row],[Sales Date]])&lt;=6,"Q2",IF(MONTH(Table22[[#This Row],[Sales Date]])&lt;=9,"Q3","Q4")))</f>
        <v>Q2</v>
      </c>
      <c r="W652" s="64">
        <f>YEAR(Table22[[#This Row],[Sales Date]])</f>
        <v>2023</v>
      </c>
      <c r="X652" s="23">
        <v>40</v>
      </c>
      <c r="Y652" s="18" t="s">
        <v>49</v>
      </c>
      <c r="Z652" s="18" t="s">
        <v>24</v>
      </c>
      <c r="AA652" s="19" t="s">
        <v>25</v>
      </c>
    </row>
    <row r="653" spans="1:27" x14ac:dyDescent="0.25">
      <c r="A653" s="17" t="s">
        <v>605</v>
      </c>
      <c r="B653" s="18" t="s">
        <v>72</v>
      </c>
      <c r="C653" s="63" t="str" cm="1">
        <f t="array" ref="C653">_xlfn.SWITCH(Table22[[#This Row],[Country]],"USA","North America","Canada","North America","Brazil","South America","China","Asia","Japan","Asia","India","Asia","France","Europe","Germany","Europe","UK","Europe","Australia","Oceania","South America")</f>
        <v>North America</v>
      </c>
      <c r="D653" s="18" t="s">
        <v>44</v>
      </c>
      <c r="E653" s="18" t="s">
        <v>19</v>
      </c>
      <c r="F653" s="18" t="s">
        <v>52</v>
      </c>
      <c r="G653" s="18" t="s">
        <v>48</v>
      </c>
      <c r="H653" s="64">
        <f>LEN(TRIM(Table22[[#This Row],[Country]]))</f>
        <v>3</v>
      </c>
      <c r="I653" s="64">
        <f>LEN(TRIM(Table22[[#This Row],[Continent]]))</f>
        <v>13</v>
      </c>
      <c r="J653" s="64">
        <f>LEN(TRIM(Table22[[#This Row],[Product]]))</f>
        <v>6</v>
      </c>
      <c r="K653" s="64">
        <f>LEN(TRIM(Table22[[#This Row],[Sales Team]]))</f>
        <v>9</v>
      </c>
      <c r="L653" s="23">
        <v>67</v>
      </c>
      <c r="M653" s="65" t="str" cm="1">
        <f t="array" ref="M653">_xlfn.IFS(Table22[[#This Row],[Units Sold]]&lt;40,"Critical",Table22[[#This Row],[Units Sold]]&lt;=50,"Poor",Table22[[#This Row],[Units Sold]]&lt;=60,"Low",Table22[[#This Row],[Units Sold]]&lt;=80,"Average",Table22[[#This Row],[Units Sold]]&lt;=90,"High",Table22[[#This Row],[Units Sold]]&lt;=95,"Excellent",Table22[[#This Row],[Units Sold]]&gt;95,"Outstanding")</f>
        <v>Average</v>
      </c>
      <c r="N653" s="29">
        <v>740.29</v>
      </c>
      <c r="O653" s="29">
        <v>49599.43</v>
      </c>
      <c r="P653" s="43">
        <f>IF(Table22[[#This Row],[Discount Applied]],Table22[[#This Row],[Total Sales (in USD)]]*(1-Table22[[#This Row],[Discount Percentage (%)]]/100),Table22[[#This Row],[Total Sales (in USD)]])</f>
        <v>49599.43</v>
      </c>
      <c r="Q653" s="66">
        <f>SQRT(AVERAGE((Table22[[#This Row],[Net Sales (after discount) (in USD)]]-AVERAGE(Table22[Net Sales (after discount) (in USD)]))^2))</f>
        <v>13088.069436235462</v>
      </c>
      <c r="R653" s="18" t="b">
        <v>0</v>
      </c>
      <c r="S653" s="40">
        <v>16.21</v>
      </c>
      <c r="T653" s="18" t="b">
        <v>0</v>
      </c>
      <c r="U653" s="25">
        <v>45447</v>
      </c>
      <c r="V653" s="63" t="str">
        <f>IF(MONTH(Table22[[#This Row],[Sales Date]])&lt;=3,"Q1",IF(MONTH(Table22[[#This Row],[Sales Date]])&lt;=6,"Q2",IF(MONTH(Table22[[#This Row],[Sales Date]])&lt;=9,"Q3","Q4")))</f>
        <v>Q2</v>
      </c>
      <c r="W653" s="64">
        <f>YEAR(Table22[[#This Row],[Sales Date]])</f>
        <v>2024</v>
      </c>
      <c r="X653" s="23">
        <v>46</v>
      </c>
      <c r="Y653" s="18" t="s">
        <v>41</v>
      </c>
      <c r="Z653" s="18" t="s">
        <v>30</v>
      </c>
      <c r="AA653" s="19" t="s">
        <v>25</v>
      </c>
    </row>
    <row r="654" spans="1:27" x14ac:dyDescent="0.25">
      <c r="A654" s="17" t="s">
        <v>187</v>
      </c>
      <c r="B654" s="18" t="s">
        <v>46</v>
      </c>
      <c r="C654" s="63" t="str" cm="1">
        <f t="array" ref="C654">_xlfn.SWITCH(Table22[[#This Row],[Country]],"USA","North America","Canada","North America","Brazil","South America","China","Asia","Japan","Asia","India","Asia","France","Europe","Germany","Europe","UK","Europe","Australia","Oceania","South America")</f>
        <v>South America</v>
      </c>
      <c r="D654" s="18" t="s">
        <v>35</v>
      </c>
      <c r="E654" s="18" t="s">
        <v>19</v>
      </c>
      <c r="F654" s="18" t="s">
        <v>47</v>
      </c>
      <c r="G654" s="18" t="s">
        <v>48</v>
      </c>
      <c r="H654" s="64">
        <f>LEN(TRIM(Table22[[#This Row],[Country]]))</f>
        <v>6</v>
      </c>
      <c r="I654" s="64">
        <f>LEN(TRIM(Table22[[#This Row],[Continent]]))</f>
        <v>13</v>
      </c>
      <c r="J654" s="64">
        <f>LEN(TRIM(Table22[[#This Row],[Product]]))</f>
        <v>6</v>
      </c>
      <c r="K654" s="64">
        <f>LEN(TRIM(Table22[[#This Row],[Sales Team]]))</f>
        <v>9</v>
      </c>
      <c r="L654" s="23">
        <v>47</v>
      </c>
      <c r="M654" s="65" t="str" cm="1">
        <f t="array" ref="M654">_xlfn.IFS(Table22[[#This Row],[Units Sold]]&lt;40,"Critical",Table22[[#This Row],[Units Sold]]&lt;=50,"Poor",Table22[[#This Row],[Units Sold]]&lt;=60,"Low",Table22[[#This Row],[Units Sold]]&lt;=80,"Average",Table22[[#This Row],[Units Sold]]&lt;=90,"High",Table22[[#This Row],[Units Sold]]&lt;=95,"Excellent",Table22[[#This Row],[Units Sold]]&gt;95,"Outstanding")</f>
        <v>Poor</v>
      </c>
      <c r="N654" s="29">
        <v>1055.28</v>
      </c>
      <c r="O654" s="29">
        <v>49598.16</v>
      </c>
      <c r="P654" s="43">
        <f>IF(Table22[[#This Row],[Discount Applied]],Table22[[#This Row],[Total Sales (in USD)]]*(1-Table22[[#This Row],[Discount Percentage (%)]]/100),Table22[[#This Row],[Total Sales (in USD)]])</f>
        <v>49598.16</v>
      </c>
      <c r="Q654" s="66">
        <f>SQRT(AVERAGE((Table22[[#This Row],[Net Sales (after discount) (in USD)]]-AVERAGE(Table22[Net Sales (after discount) (in USD)]))^2))</f>
        <v>13086.799436235466</v>
      </c>
      <c r="R654" s="18" t="b">
        <v>1</v>
      </c>
      <c r="S654" s="40">
        <v>2.3199999999999998</v>
      </c>
      <c r="T654" s="18" t="b">
        <v>0</v>
      </c>
      <c r="U654" s="25">
        <v>45367</v>
      </c>
      <c r="V654" s="63" t="str">
        <f>IF(MONTH(Table22[[#This Row],[Sales Date]])&lt;=3,"Q1",IF(MONTH(Table22[[#This Row],[Sales Date]])&lt;=6,"Q2",IF(MONTH(Table22[[#This Row],[Sales Date]])&lt;=9,"Q3","Q4")))</f>
        <v>Q1</v>
      </c>
      <c r="W654" s="64">
        <f>YEAR(Table22[[#This Row],[Sales Date]])</f>
        <v>2024</v>
      </c>
      <c r="X654" s="23">
        <v>61</v>
      </c>
      <c r="Y654" s="18" t="s">
        <v>41</v>
      </c>
      <c r="Z654" s="18" t="s">
        <v>30</v>
      </c>
      <c r="AA654" s="19" t="s">
        <v>36</v>
      </c>
    </row>
    <row r="655" spans="1:27" x14ac:dyDescent="0.25">
      <c r="A655" s="17" t="s">
        <v>1408</v>
      </c>
      <c r="B655" s="18" t="s">
        <v>18</v>
      </c>
      <c r="C655" s="63" t="str" cm="1">
        <f t="array" ref="C655">_xlfn.SWITCH(Table22[[#This Row],[Country]],"USA","North America","Canada","North America","Brazil","South America","China","Asia","Japan","Asia","India","Asia","France","Europe","Germany","Europe","UK","Europe","Australia","Oceania","South America")</f>
        <v>Asia</v>
      </c>
      <c r="D655" s="18" t="s">
        <v>28</v>
      </c>
      <c r="E655" s="18" t="s">
        <v>33</v>
      </c>
      <c r="F655" s="18" t="s">
        <v>20</v>
      </c>
      <c r="G655" s="18" t="s">
        <v>48</v>
      </c>
      <c r="H655" s="64">
        <f>LEN(TRIM(Table22[[#This Row],[Country]]))</f>
        <v>5</v>
      </c>
      <c r="I655" s="64">
        <f>LEN(TRIM(Table22[[#This Row],[Continent]]))</f>
        <v>4</v>
      </c>
      <c r="J655" s="64">
        <f>LEN(TRIM(Table22[[#This Row],[Product]]))</f>
        <v>10</v>
      </c>
      <c r="K655" s="64">
        <f>LEN(TRIM(Table22[[#This Row],[Sales Team]]))</f>
        <v>9</v>
      </c>
      <c r="L655" s="23">
        <v>52</v>
      </c>
      <c r="M655" s="65" t="str" cm="1">
        <f t="array" ref="M655">_xlfn.IFS(Table22[[#This Row],[Units Sold]]&lt;40,"Critical",Table22[[#This Row],[Units Sold]]&lt;=50,"Poor",Table22[[#This Row],[Units Sold]]&lt;=60,"Low",Table22[[#This Row],[Units Sold]]&lt;=80,"Average",Table22[[#This Row],[Units Sold]]&lt;=90,"High",Table22[[#This Row],[Units Sold]]&lt;=95,"Excellent",Table22[[#This Row],[Units Sold]]&gt;95,"Outstanding")</f>
        <v>Low</v>
      </c>
      <c r="N655" s="29">
        <v>951.65</v>
      </c>
      <c r="O655" s="29">
        <v>49485.8</v>
      </c>
      <c r="P655" s="43">
        <f>IF(Table22[[#This Row],[Discount Applied]],Table22[[#This Row],[Total Sales (in USD)]]*(1-Table22[[#This Row],[Discount Percentage (%)]]/100),Table22[[#This Row],[Total Sales (in USD)]])</f>
        <v>49485.8</v>
      </c>
      <c r="Q655" s="66">
        <f>SQRT(AVERAGE((Table22[[#This Row],[Net Sales (after discount) (in USD)]]-AVERAGE(Table22[Net Sales (after discount) (in USD)]))^2))</f>
        <v>12974.439436235465</v>
      </c>
      <c r="R655" s="18" t="b">
        <v>0</v>
      </c>
      <c r="S655" s="40">
        <v>23.11</v>
      </c>
      <c r="T655" s="18" t="b">
        <v>0</v>
      </c>
      <c r="U655" s="25">
        <v>45098</v>
      </c>
      <c r="V655" s="63" t="str">
        <f>IF(MONTH(Table22[[#This Row],[Sales Date]])&lt;=3,"Q1",IF(MONTH(Table22[[#This Row],[Sales Date]])&lt;=6,"Q2",IF(MONTH(Table22[[#This Row],[Sales Date]])&lt;=9,"Q3","Q4")))</f>
        <v>Q2</v>
      </c>
      <c r="W655" s="64">
        <f>YEAR(Table22[[#This Row],[Sales Date]])</f>
        <v>2023</v>
      </c>
      <c r="X655" s="23">
        <v>46</v>
      </c>
      <c r="Y655" s="18" t="s">
        <v>49</v>
      </c>
      <c r="Z655" s="18" t="s">
        <v>30</v>
      </c>
      <c r="AA655" s="19" t="s">
        <v>25</v>
      </c>
    </row>
    <row r="656" spans="1:27" x14ac:dyDescent="0.25">
      <c r="A656" s="17" t="s">
        <v>634</v>
      </c>
      <c r="B656" s="18" t="s">
        <v>72</v>
      </c>
      <c r="C656" s="63" t="str" cm="1">
        <f t="array" ref="C656">_xlfn.SWITCH(Table22[[#This Row],[Country]],"USA","North America","Canada","North America","Brazil","South America","China","Asia","Japan","Asia","India","Asia","France","Europe","Germany","Europe","UK","Europe","Australia","Oceania","South America")</f>
        <v>North America</v>
      </c>
      <c r="D656" s="18" t="s">
        <v>28</v>
      </c>
      <c r="E656" s="18" t="s">
        <v>19</v>
      </c>
      <c r="F656" s="18" t="s">
        <v>47</v>
      </c>
      <c r="G656" s="18" t="s">
        <v>29</v>
      </c>
      <c r="H656" s="64">
        <f>LEN(TRIM(Table22[[#This Row],[Country]]))</f>
        <v>3</v>
      </c>
      <c r="I656" s="64">
        <f>LEN(TRIM(Table22[[#This Row],[Continent]]))</f>
        <v>13</v>
      </c>
      <c r="J656" s="64">
        <f>LEN(TRIM(Table22[[#This Row],[Product]]))</f>
        <v>6</v>
      </c>
      <c r="K656" s="64">
        <f>LEN(TRIM(Table22[[#This Row],[Sales Team]]))</f>
        <v>10</v>
      </c>
      <c r="L656" s="23">
        <v>85</v>
      </c>
      <c r="M656" s="65" t="str" cm="1">
        <f t="array" ref="M656">_xlfn.IFS(Table22[[#This Row],[Units Sold]]&lt;40,"Critical",Table22[[#This Row],[Units Sold]]&lt;=50,"Poor",Table22[[#This Row],[Units Sold]]&lt;=60,"Low",Table22[[#This Row],[Units Sold]]&lt;=80,"Average",Table22[[#This Row],[Units Sold]]&lt;=90,"High",Table22[[#This Row],[Units Sold]]&lt;=95,"Excellent",Table22[[#This Row],[Units Sold]]&gt;95,"Outstanding")</f>
        <v>High</v>
      </c>
      <c r="N656" s="29">
        <v>582.14</v>
      </c>
      <c r="O656" s="29">
        <v>49481.9</v>
      </c>
      <c r="P656" s="43">
        <f>IF(Table22[[#This Row],[Discount Applied]],Table22[[#This Row],[Total Sales (in USD)]]*(1-Table22[[#This Row],[Discount Percentage (%)]]/100),Table22[[#This Row],[Total Sales (in USD)]])</f>
        <v>45176.974700000006</v>
      </c>
      <c r="Q656" s="66">
        <f>SQRT(AVERAGE((Table22[[#This Row],[Net Sales (after discount) (in USD)]]-AVERAGE(Table22[Net Sales (after discount) (in USD)]))^2))</f>
        <v>8665.6141362354683</v>
      </c>
      <c r="R656" s="18" t="b">
        <v>1</v>
      </c>
      <c r="S656" s="40">
        <v>8.6999999999999993</v>
      </c>
      <c r="T656" s="18" t="b">
        <v>1</v>
      </c>
      <c r="U656" s="25">
        <v>45231</v>
      </c>
      <c r="V656" s="63" t="str">
        <f>IF(MONTH(Table22[[#This Row],[Sales Date]])&lt;=3,"Q1",IF(MONTH(Table22[[#This Row],[Sales Date]])&lt;=6,"Q2",IF(MONTH(Table22[[#This Row],[Sales Date]])&lt;=9,"Q3","Q4")))</f>
        <v>Q4</v>
      </c>
      <c r="W656" s="64">
        <f>YEAR(Table22[[#This Row],[Sales Date]])</f>
        <v>2023</v>
      </c>
      <c r="X656" s="23">
        <v>69</v>
      </c>
      <c r="Y656" s="18" t="s">
        <v>41</v>
      </c>
      <c r="Z656" s="18" t="s">
        <v>30</v>
      </c>
      <c r="AA656" s="19" t="s">
        <v>25</v>
      </c>
    </row>
    <row r="657" spans="1:27" x14ac:dyDescent="0.25">
      <c r="A657" s="17" t="s">
        <v>118</v>
      </c>
      <c r="B657" s="18" t="s">
        <v>27</v>
      </c>
      <c r="C657" s="63" t="str" cm="1">
        <f t="array" ref="C657">_xlfn.SWITCH(Table22[[#This Row],[Country]],"USA","North America","Canada","North America","Brazil","South America","China","Asia","Japan","Asia","India","Asia","France","Europe","Germany","Europe","UK","Europe","Australia","Oceania","South America")</f>
        <v>Europe</v>
      </c>
      <c r="D657" s="18" t="s">
        <v>21</v>
      </c>
      <c r="E657" s="18" t="s">
        <v>33</v>
      </c>
      <c r="F657" s="18" t="s">
        <v>47</v>
      </c>
      <c r="G657" s="18" t="s">
        <v>48</v>
      </c>
      <c r="H657" s="64">
        <f>LEN(TRIM(Table22[[#This Row],[Country]]))</f>
        <v>7</v>
      </c>
      <c r="I657" s="64">
        <f>LEN(TRIM(Table22[[#This Row],[Continent]]))</f>
        <v>6</v>
      </c>
      <c r="J657" s="64">
        <f>LEN(TRIM(Table22[[#This Row],[Product]]))</f>
        <v>10</v>
      </c>
      <c r="K657" s="64">
        <f>LEN(TRIM(Table22[[#This Row],[Sales Team]]))</f>
        <v>9</v>
      </c>
      <c r="L657" s="23">
        <v>57</v>
      </c>
      <c r="M657" s="65" t="str" cm="1">
        <f t="array" ref="M657">_xlfn.IFS(Table22[[#This Row],[Units Sold]]&lt;40,"Critical",Table22[[#This Row],[Units Sold]]&lt;=50,"Poor",Table22[[#This Row],[Units Sold]]&lt;=60,"Low",Table22[[#This Row],[Units Sold]]&lt;=80,"Average",Table22[[#This Row],[Units Sold]]&lt;=90,"High",Table22[[#This Row],[Units Sold]]&lt;=95,"Excellent",Table22[[#This Row],[Units Sold]]&gt;95,"Outstanding")</f>
        <v>Low</v>
      </c>
      <c r="N657" s="29">
        <v>868.08</v>
      </c>
      <c r="O657" s="29">
        <v>49480.56</v>
      </c>
      <c r="P657" s="43">
        <f>IF(Table22[[#This Row],[Discount Applied]],Table22[[#This Row],[Total Sales (in USD)]]*(1-Table22[[#This Row],[Discount Percentage (%)]]/100),Table22[[#This Row],[Total Sales (in USD)]])</f>
        <v>49480.56</v>
      </c>
      <c r="Q657" s="66">
        <f>SQRT(AVERAGE((Table22[[#This Row],[Net Sales (after discount) (in USD)]]-AVERAGE(Table22[Net Sales (after discount) (in USD)]))^2))</f>
        <v>12969.19943623546</v>
      </c>
      <c r="R657" s="18" t="b">
        <v>0</v>
      </c>
      <c r="S657" s="40">
        <v>27.62</v>
      </c>
      <c r="T657" s="18" t="b">
        <v>0</v>
      </c>
      <c r="U657" s="25">
        <v>45222</v>
      </c>
      <c r="V657" s="63" t="str">
        <f>IF(MONTH(Table22[[#This Row],[Sales Date]])&lt;=3,"Q1",IF(MONTH(Table22[[#This Row],[Sales Date]])&lt;=6,"Q2",IF(MONTH(Table22[[#This Row],[Sales Date]])&lt;=9,"Q3","Q4")))</f>
        <v>Q4</v>
      </c>
      <c r="W657" s="64">
        <f>YEAR(Table22[[#This Row],[Sales Date]])</f>
        <v>2023</v>
      </c>
      <c r="X657" s="23">
        <v>41</v>
      </c>
      <c r="Y657" s="18" t="s">
        <v>23</v>
      </c>
      <c r="Z657" s="18" t="s">
        <v>30</v>
      </c>
      <c r="AA657" s="19" t="s">
        <v>36</v>
      </c>
    </row>
    <row r="658" spans="1:27" x14ac:dyDescent="0.25">
      <c r="A658" s="17" t="s">
        <v>557</v>
      </c>
      <c r="B658" s="18" t="s">
        <v>62</v>
      </c>
      <c r="C658" s="63" t="str" cm="1">
        <f t="array" ref="C658">_xlfn.SWITCH(Table22[[#This Row],[Country]],"USA","North America","Canada","North America","Brazil","South America","China","Asia","Japan","Asia","India","Asia","France","Europe","Germany","Europe","UK","Europe","Australia","Oceania","South America")</f>
        <v>Oceania</v>
      </c>
      <c r="D658" s="18" t="s">
        <v>21</v>
      </c>
      <c r="E658" s="18" t="s">
        <v>39</v>
      </c>
      <c r="F658" s="18" t="s">
        <v>34</v>
      </c>
      <c r="G658" s="18" t="s">
        <v>22</v>
      </c>
      <c r="H658" s="64">
        <f>LEN(TRIM(Table22[[#This Row],[Country]]))</f>
        <v>9</v>
      </c>
      <c r="I658" s="64">
        <f>LEN(TRIM(Table22[[#This Row],[Continent]]))</f>
        <v>7</v>
      </c>
      <c r="J658" s="64">
        <f>LEN(TRIM(Table22[[#This Row],[Product]]))</f>
        <v>10</v>
      </c>
      <c r="K658" s="64">
        <f>LEN(TRIM(Table22[[#This Row],[Sales Team]]))</f>
        <v>10</v>
      </c>
      <c r="L658" s="23">
        <v>59</v>
      </c>
      <c r="M658" s="65" t="str" cm="1">
        <f t="array" ref="M658">_xlfn.IFS(Table22[[#This Row],[Units Sold]]&lt;40,"Critical",Table22[[#This Row],[Units Sold]]&lt;=50,"Poor",Table22[[#This Row],[Units Sold]]&lt;=60,"Low",Table22[[#This Row],[Units Sold]]&lt;=80,"Average",Table22[[#This Row],[Units Sold]]&lt;=90,"High",Table22[[#This Row],[Units Sold]]&lt;=95,"Excellent",Table22[[#This Row],[Units Sold]]&gt;95,"Outstanding")</f>
        <v>Low</v>
      </c>
      <c r="N658" s="29">
        <v>838.13</v>
      </c>
      <c r="O658" s="29">
        <v>49449.67</v>
      </c>
      <c r="P658" s="43">
        <f>IF(Table22[[#This Row],[Discount Applied]],Table22[[#This Row],[Total Sales (in USD)]]*(1-Table22[[#This Row],[Discount Percentage (%)]]/100),Table22[[#This Row],[Total Sales (in USD)]])</f>
        <v>40840.482452999997</v>
      </c>
      <c r="Q658" s="66">
        <f>SQRT(AVERAGE((Table22[[#This Row],[Net Sales (after discount) (in USD)]]-AVERAGE(Table22[Net Sales (after discount) (in USD)]))^2))</f>
        <v>4329.1218892354591</v>
      </c>
      <c r="R658" s="18" t="b">
        <v>1</v>
      </c>
      <c r="S658" s="40">
        <v>17.41</v>
      </c>
      <c r="T658" s="18" t="b">
        <v>1</v>
      </c>
      <c r="U658" s="25">
        <v>45051</v>
      </c>
      <c r="V658" s="63" t="str">
        <f>IF(MONTH(Table22[[#This Row],[Sales Date]])&lt;=3,"Q1",IF(MONTH(Table22[[#This Row],[Sales Date]])&lt;=6,"Q2",IF(MONTH(Table22[[#This Row],[Sales Date]])&lt;=9,"Q3","Q4")))</f>
        <v>Q2</v>
      </c>
      <c r="W658" s="64">
        <f>YEAR(Table22[[#This Row],[Sales Date]])</f>
        <v>2023</v>
      </c>
      <c r="X658" s="23">
        <v>54</v>
      </c>
      <c r="Y658" s="18" t="s">
        <v>49</v>
      </c>
      <c r="Z658" s="18" t="s">
        <v>30</v>
      </c>
      <c r="AA658" s="19" t="s">
        <v>25</v>
      </c>
    </row>
    <row r="659" spans="1:27" x14ac:dyDescent="0.25">
      <c r="A659" s="17" t="s">
        <v>1091</v>
      </c>
      <c r="B659" s="18" t="s">
        <v>46</v>
      </c>
      <c r="C659" s="63" t="str" cm="1">
        <f t="array" ref="C659">_xlfn.SWITCH(Table22[[#This Row],[Country]],"USA","North America","Canada","North America","Brazil","South America","China","Asia","Japan","Asia","India","Asia","France","Europe","Germany","Europe","UK","Europe","Australia","Oceania","South America")</f>
        <v>South America</v>
      </c>
      <c r="D659" s="18" t="s">
        <v>21</v>
      </c>
      <c r="E659" s="18" t="s">
        <v>19</v>
      </c>
      <c r="F659" s="18" t="s">
        <v>47</v>
      </c>
      <c r="G659" s="18" t="s">
        <v>22</v>
      </c>
      <c r="H659" s="64">
        <f>LEN(TRIM(Table22[[#This Row],[Country]]))</f>
        <v>6</v>
      </c>
      <c r="I659" s="64">
        <f>LEN(TRIM(Table22[[#This Row],[Continent]]))</f>
        <v>13</v>
      </c>
      <c r="J659" s="64">
        <f>LEN(TRIM(Table22[[#This Row],[Product]]))</f>
        <v>6</v>
      </c>
      <c r="K659" s="64">
        <f>LEN(TRIM(Table22[[#This Row],[Sales Team]]))</f>
        <v>10</v>
      </c>
      <c r="L659" s="23">
        <v>75</v>
      </c>
      <c r="M659" s="65" t="str" cm="1">
        <f t="array" ref="M659">_xlfn.IFS(Table22[[#This Row],[Units Sold]]&lt;40,"Critical",Table22[[#This Row],[Units Sold]]&lt;=50,"Poor",Table22[[#This Row],[Units Sold]]&lt;=60,"Low",Table22[[#This Row],[Units Sold]]&lt;=80,"Average",Table22[[#This Row],[Units Sold]]&lt;=90,"High",Table22[[#This Row],[Units Sold]]&lt;=95,"Excellent",Table22[[#This Row],[Units Sold]]&gt;95,"Outstanding")</f>
        <v>Average</v>
      </c>
      <c r="N659" s="29">
        <v>659.1</v>
      </c>
      <c r="O659" s="29">
        <v>49432.5</v>
      </c>
      <c r="P659" s="43">
        <f>IF(Table22[[#This Row],[Discount Applied]],Table22[[#This Row],[Total Sales (in USD)]]*(1-Table22[[#This Row],[Discount Percentage (%)]]/100),Table22[[#This Row],[Total Sales (in USD)]])</f>
        <v>49432.5</v>
      </c>
      <c r="Q659" s="66">
        <f>SQRT(AVERAGE((Table22[[#This Row],[Net Sales (after discount) (in USD)]]-AVERAGE(Table22[Net Sales (after discount) (in USD)]))^2))</f>
        <v>12921.139436235462</v>
      </c>
      <c r="R659" s="18" t="b">
        <v>1</v>
      </c>
      <c r="S659" s="40">
        <v>8.7899999999999991</v>
      </c>
      <c r="T659" s="18" t="b">
        <v>0</v>
      </c>
      <c r="U659" s="25">
        <v>45438</v>
      </c>
      <c r="V659" s="63" t="str">
        <f>IF(MONTH(Table22[[#This Row],[Sales Date]])&lt;=3,"Q1",IF(MONTH(Table22[[#This Row],[Sales Date]])&lt;=6,"Q2",IF(MONTH(Table22[[#This Row],[Sales Date]])&lt;=9,"Q3","Q4")))</f>
        <v>Q2</v>
      </c>
      <c r="W659" s="64">
        <f>YEAR(Table22[[#This Row],[Sales Date]])</f>
        <v>2024</v>
      </c>
      <c r="X659" s="23">
        <v>68</v>
      </c>
      <c r="Y659" s="18" t="s">
        <v>49</v>
      </c>
      <c r="Z659" s="18" t="s">
        <v>42</v>
      </c>
      <c r="AA659" s="19" t="s">
        <v>36</v>
      </c>
    </row>
    <row r="660" spans="1:27" x14ac:dyDescent="0.25">
      <c r="A660" s="17" t="s">
        <v>359</v>
      </c>
      <c r="B660" s="18" t="s">
        <v>38</v>
      </c>
      <c r="C660" s="63" t="str" cm="1">
        <f t="array" ref="C660">_xlfn.SWITCH(Table22[[#This Row],[Country]],"USA","North America","Canada","North America","Brazil","South America","China","Asia","Japan","Asia","India","Asia","France","Europe","Germany","Europe","UK","Europe","Australia","Oceania","South America")</f>
        <v>Europe</v>
      </c>
      <c r="D660" s="18" t="s">
        <v>44</v>
      </c>
      <c r="E660" s="18" t="s">
        <v>33</v>
      </c>
      <c r="F660" s="18" t="s">
        <v>34</v>
      </c>
      <c r="G660" s="18" t="s">
        <v>40</v>
      </c>
      <c r="H660" s="64">
        <f>LEN(TRIM(Table22[[#This Row],[Country]]))</f>
        <v>6</v>
      </c>
      <c r="I660" s="64">
        <f>LEN(TRIM(Table22[[#This Row],[Continent]]))</f>
        <v>6</v>
      </c>
      <c r="J660" s="64">
        <f>LEN(TRIM(Table22[[#This Row],[Product]]))</f>
        <v>10</v>
      </c>
      <c r="K660" s="64">
        <f>LEN(TRIM(Table22[[#This Row],[Sales Team]]))</f>
        <v>10</v>
      </c>
      <c r="L660" s="23">
        <v>91</v>
      </c>
      <c r="M660" s="65" t="str" cm="1">
        <f t="array" ref="M660">_xlfn.IFS(Table22[[#This Row],[Units Sold]]&lt;40,"Critical",Table22[[#This Row],[Units Sold]]&lt;=50,"Poor",Table22[[#This Row],[Units Sold]]&lt;=60,"Low",Table22[[#This Row],[Units Sold]]&lt;=80,"Average",Table22[[#This Row],[Units Sold]]&lt;=90,"High",Table22[[#This Row],[Units Sold]]&lt;=95,"Excellent",Table22[[#This Row],[Units Sold]]&gt;95,"Outstanding")</f>
        <v>Excellent</v>
      </c>
      <c r="N660" s="29">
        <v>540.29999999999995</v>
      </c>
      <c r="O660" s="29">
        <v>49167.3</v>
      </c>
      <c r="P660" s="43">
        <f>IF(Table22[[#This Row],[Discount Applied]],Table22[[#This Row],[Total Sales (in USD)]]*(1-Table22[[#This Row],[Discount Percentage (%)]]/100),Table22[[#This Row],[Total Sales (in USD)]])</f>
        <v>49167.3</v>
      </c>
      <c r="Q660" s="66">
        <f>SQRT(AVERAGE((Table22[[#This Row],[Net Sales (after discount) (in USD)]]-AVERAGE(Table22[Net Sales (after discount) (in USD)]))^2))</f>
        <v>12655.939436235465</v>
      </c>
      <c r="R660" s="18" t="b">
        <v>0</v>
      </c>
      <c r="S660" s="40">
        <v>21.38</v>
      </c>
      <c r="T660" s="18" t="b">
        <v>0</v>
      </c>
      <c r="U660" s="25">
        <v>45109</v>
      </c>
      <c r="V660" s="63" t="str">
        <f>IF(MONTH(Table22[[#This Row],[Sales Date]])&lt;=3,"Q1",IF(MONTH(Table22[[#This Row],[Sales Date]])&lt;=6,"Q2",IF(MONTH(Table22[[#This Row],[Sales Date]])&lt;=9,"Q3","Q4")))</f>
        <v>Q3</v>
      </c>
      <c r="W660" s="64">
        <f>YEAR(Table22[[#This Row],[Sales Date]])</f>
        <v>2023</v>
      </c>
      <c r="X660" s="23">
        <v>46</v>
      </c>
      <c r="Y660" s="18" t="s">
        <v>41</v>
      </c>
      <c r="Z660" s="18" t="s">
        <v>30</v>
      </c>
      <c r="AA660" s="19" t="s">
        <v>36</v>
      </c>
    </row>
    <row r="661" spans="1:27" x14ac:dyDescent="0.25">
      <c r="A661" s="17" t="s">
        <v>980</v>
      </c>
      <c r="B661" s="18" t="s">
        <v>32</v>
      </c>
      <c r="C661" s="63" t="str" cm="1">
        <f t="array" ref="C661">_xlfn.SWITCH(Table22[[#This Row],[Country]],"USA","North America","Canada","North America","Brazil","South America","China","Asia","Japan","Asia","India","Asia","France","Europe","Germany","Europe","UK","Europe","Australia","Oceania","South America")</f>
        <v>Asia</v>
      </c>
      <c r="D661" s="18" t="s">
        <v>44</v>
      </c>
      <c r="E661" s="18" t="s">
        <v>33</v>
      </c>
      <c r="F661" s="18" t="s">
        <v>52</v>
      </c>
      <c r="G661" s="18" t="s">
        <v>29</v>
      </c>
      <c r="H661" s="64">
        <f>LEN(TRIM(Table22[[#This Row],[Country]]))</f>
        <v>5</v>
      </c>
      <c r="I661" s="64">
        <f>LEN(TRIM(Table22[[#This Row],[Continent]]))</f>
        <v>4</v>
      </c>
      <c r="J661" s="64">
        <f>LEN(TRIM(Table22[[#This Row],[Product]]))</f>
        <v>10</v>
      </c>
      <c r="K661" s="64">
        <f>LEN(TRIM(Table22[[#This Row],[Sales Team]]))</f>
        <v>10</v>
      </c>
      <c r="L661" s="23">
        <v>52</v>
      </c>
      <c r="M661" s="65" t="str" cm="1">
        <f t="array" ref="M661">_xlfn.IFS(Table22[[#This Row],[Units Sold]]&lt;40,"Critical",Table22[[#This Row],[Units Sold]]&lt;=50,"Poor",Table22[[#This Row],[Units Sold]]&lt;=60,"Low",Table22[[#This Row],[Units Sold]]&lt;=80,"Average",Table22[[#This Row],[Units Sold]]&lt;=90,"High",Table22[[#This Row],[Units Sold]]&lt;=95,"Excellent",Table22[[#This Row],[Units Sold]]&gt;95,"Outstanding")</f>
        <v>Low</v>
      </c>
      <c r="N661" s="29">
        <v>945.32</v>
      </c>
      <c r="O661" s="29">
        <v>49156.639999999999</v>
      </c>
      <c r="P661" s="43">
        <f>IF(Table22[[#This Row],[Discount Applied]],Table22[[#This Row],[Total Sales (in USD)]]*(1-Table22[[#This Row],[Discount Percentage (%)]]/100),Table22[[#This Row],[Total Sales (in USD)]])</f>
        <v>46467.771792</v>
      </c>
      <c r="Q661" s="66">
        <f>SQRT(AVERAGE((Table22[[#This Row],[Net Sales (after discount) (in USD)]]-AVERAGE(Table22[Net Sales (after discount) (in USD)]))^2))</f>
        <v>9956.4112282354617</v>
      </c>
      <c r="R661" s="18" t="b">
        <v>0</v>
      </c>
      <c r="S661" s="40">
        <v>5.47</v>
      </c>
      <c r="T661" s="18" t="b">
        <v>1</v>
      </c>
      <c r="U661" s="25">
        <v>45242</v>
      </c>
      <c r="V661" s="63" t="str">
        <f>IF(MONTH(Table22[[#This Row],[Sales Date]])&lt;=3,"Q1",IF(MONTH(Table22[[#This Row],[Sales Date]])&lt;=6,"Q2",IF(MONTH(Table22[[#This Row],[Sales Date]])&lt;=9,"Q3","Q4")))</f>
        <v>Q4</v>
      </c>
      <c r="W661" s="64">
        <f>YEAR(Table22[[#This Row],[Sales Date]])</f>
        <v>2023</v>
      </c>
      <c r="X661" s="23">
        <v>50</v>
      </c>
      <c r="Y661" s="18" t="s">
        <v>49</v>
      </c>
      <c r="Z661" s="18" t="s">
        <v>24</v>
      </c>
      <c r="AA661" s="19" t="s">
        <v>36</v>
      </c>
    </row>
    <row r="662" spans="1:27" x14ac:dyDescent="0.25">
      <c r="A662" s="17" t="s">
        <v>983</v>
      </c>
      <c r="B662" s="18" t="s">
        <v>51</v>
      </c>
      <c r="C662" s="63" t="str" cm="1">
        <f t="array" ref="C662">_xlfn.SWITCH(Table22[[#This Row],[Country]],"USA","North America","Canada","North America","Brazil","South America","China","Asia","Japan","Asia","India","Asia","France","Europe","Germany","Europe","UK","Europe","Australia","Oceania","South America")</f>
        <v>Europe</v>
      </c>
      <c r="D662" s="18" t="s">
        <v>44</v>
      </c>
      <c r="E662" s="18" t="s">
        <v>33</v>
      </c>
      <c r="F662" s="18" t="s">
        <v>34</v>
      </c>
      <c r="G662" s="18" t="s">
        <v>40</v>
      </c>
      <c r="H662" s="64">
        <f>LEN(TRIM(Table22[[#This Row],[Country]]))</f>
        <v>2</v>
      </c>
      <c r="I662" s="64">
        <f>LEN(TRIM(Table22[[#This Row],[Continent]]))</f>
        <v>6</v>
      </c>
      <c r="J662" s="64">
        <f>LEN(TRIM(Table22[[#This Row],[Product]]))</f>
        <v>10</v>
      </c>
      <c r="K662" s="64">
        <f>LEN(TRIM(Table22[[#This Row],[Sales Team]]))</f>
        <v>10</v>
      </c>
      <c r="L662" s="23">
        <v>35</v>
      </c>
      <c r="M662" s="65" t="str" cm="1">
        <f t="array" ref="M662">_xlfn.IFS(Table22[[#This Row],[Units Sold]]&lt;40,"Critical",Table22[[#This Row],[Units Sold]]&lt;=50,"Poor",Table22[[#This Row],[Units Sold]]&lt;=60,"Low",Table22[[#This Row],[Units Sold]]&lt;=80,"Average",Table22[[#This Row],[Units Sold]]&lt;=90,"High",Table22[[#This Row],[Units Sold]]&lt;=95,"Excellent",Table22[[#This Row],[Units Sold]]&gt;95,"Outstanding")</f>
        <v>Critical</v>
      </c>
      <c r="N662" s="29">
        <v>1400.77</v>
      </c>
      <c r="O662" s="29">
        <v>49026.95</v>
      </c>
      <c r="P662" s="43">
        <f>IF(Table22[[#This Row],[Discount Applied]],Table22[[#This Row],[Total Sales (in USD)]]*(1-Table22[[#This Row],[Discount Percentage (%)]]/100),Table22[[#This Row],[Total Sales (in USD)]])</f>
        <v>48374.891564999998</v>
      </c>
      <c r="Q662" s="66">
        <f>SQRT(AVERAGE((Table22[[#This Row],[Net Sales (after discount) (in USD)]]-AVERAGE(Table22[Net Sales (after discount) (in USD)]))^2))</f>
        <v>11863.53100123546</v>
      </c>
      <c r="R662" s="18" t="b">
        <v>0</v>
      </c>
      <c r="S662" s="40">
        <v>1.33</v>
      </c>
      <c r="T662" s="18" t="b">
        <v>1</v>
      </c>
      <c r="U662" s="25">
        <v>45129</v>
      </c>
      <c r="V662" s="63" t="str">
        <f>IF(MONTH(Table22[[#This Row],[Sales Date]])&lt;=3,"Q1",IF(MONTH(Table22[[#This Row],[Sales Date]])&lt;=6,"Q2",IF(MONTH(Table22[[#This Row],[Sales Date]])&lt;=9,"Q3","Q4")))</f>
        <v>Q3</v>
      </c>
      <c r="W662" s="64">
        <f>YEAR(Table22[[#This Row],[Sales Date]])</f>
        <v>2023</v>
      </c>
      <c r="X662" s="23">
        <v>56</v>
      </c>
      <c r="Y662" s="18" t="s">
        <v>41</v>
      </c>
      <c r="Z662" s="18" t="s">
        <v>30</v>
      </c>
      <c r="AA662" s="19" t="s">
        <v>36</v>
      </c>
    </row>
    <row r="663" spans="1:27" x14ac:dyDescent="0.25">
      <c r="A663" s="17" t="s">
        <v>828</v>
      </c>
      <c r="B663" s="18" t="s">
        <v>27</v>
      </c>
      <c r="C663" s="63" t="str" cm="1">
        <f t="array" ref="C663">_xlfn.SWITCH(Table22[[#This Row],[Country]],"USA","North America","Canada","North America","Brazil","South America","China","Asia","Japan","Asia","India","Asia","France","Europe","Germany","Europe","UK","Europe","Australia","Oceania","South America")</f>
        <v>Europe</v>
      </c>
      <c r="D663" s="18" t="s">
        <v>44</v>
      </c>
      <c r="E663" s="18" t="s">
        <v>33</v>
      </c>
      <c r="F663" s="18" t="s">
        <v>64</v>
      </c>
      <c r="G663" s="18" t="s">
        <v>40</v>
      </c>
      <c r="H663" s="64">
        <f>LEN(TRIM(Table22[[#This Row],[Country]]))</f>
        <v>7</v>
      </c>
      <c r="I663" s="64">
        <f>LEN(TRIM(Table22[[#This Row],[Continent]]))</f>
        <v>6</v>
      </c>
      <c r="J663" s="64">
        <f>LEN(TRIM(Table22[[#This Row],[Product]]))</f>
        <v>10</v>
      </c>
      <c r="K663" s="64">
        <f>LEN(TRIM(Table22[[#This Row],[Sales Team]]))</f>
        <v>10</v>
      </c>
      <c r="L663" s="23">
        <v>49</v>
      </c>
      <c r="M663" s="65" t="str" cm="1">
        <f t="array" ref="M663">_xlfn.IFS(Table22[[#This Row],[Units Sold]]&lt;40,"Critical",Table22[[#This Row],[Units Sold]]&lt;=50,"Poor",Table22[[#This Row],[Units Sold]]&lt;=60,"Low",Table22[[#This Row],[Units Sold]]&lt;=80,"Average",Table22[[#This Row],[Units Sold]]&lt;=90,"High",Table22[[#This Row],[Units Sold]]&lt;=95,"Excellent",Table22[[#This Row],[Units Sold]]&gt;95,"Outstanding")</f>
        <v>Poor</v>
      </c>
      <c r="N663" s="29">
        <v>1000.41</v>
      </c>
      <c r="O663" s="29">
        <v>49020.09</v>
      </c>
      <c r="P663" s="43">
        <f>IF(Table22[[#This Row],[Discount Applied]],Table22[[#This Row],[Total Sales (in USD)]]*(1-Table22[[#This Row],[Discount Percentage (%)]]/100),Table22[[#This Row],[Total Sales (in USD)]])</f>
        <v>49020.09</v>
      </c>
      <c r="Q663" s="66">
        <f>SQRT(AVERAGE((Table22[[#This Row],[Net Sales (after discount) (in USD)]]-AVERAGE(Table22[Net Sales (after discount) (in USD)]))^2))</f>
        <v>12508.729436235459</v>
      </c>
      <c r="R663" s="18" t="b">
        <v>0</v>
      </c>
      <c r="S663" s="40">
        <v>23.79</v>
      </c>
      <c r="T663" s="18" t="b">
        <v>0</v>
      </c>
      <c r="U663" s="25">
        <v>45476</v>
      </c>
      <c r="V663" s="63" t="str">
        <f>IF(MONTH(Table22[[#This Row],[Sales Date]])&lt;=3,"Q1",IF(MONTH(Table22[[#This Row],[Sales Date]])&lt;=6,"Q2",IF(MONTH(Table22[[#This Row],[Sales Date]])&lt;=9,"Q3","Q4")))</f>
        <v>Q3</v>
      </c>
      <c r="W663" s="64">
        <f>YEAR(Table22[[#This Row],[Sales Date]])</f>
        <v>2024</v>
      </c>
      <c r="X663" s="23">
        <v>48</v>
      </c>
      <c r="Y663" s="18" t="s">
        <v>23</v>
      </c>
      <c r="Z663" s="18" t="s">
        <v>24</v>
      </c>
      <c r="AA663" s="19" t="s">
        <v>36</v>
      </c>
    </row>
    <row r="664" spans="1:27" x14ac:dyDescent="0.25">
      <c r="A664" s="17" t="s">
        <v>1134</v>
      </c>
      <c r="B664" s="18" t="s">
        <v>51</v>
      </c>
      <c r="C664" s="63" t="str" cm="1">
        <f t="array" ref="C664">_xlfn.SWITCH(Table22[[#This Row],[Country]],"USA","North America","Canada","North America","Brazil","South America","China","Asia","Japan","Asia","India","Asia","France","Europe","Germany","Europe","UK","Europe","Australia","Oceania","South America")</f>
        <v>Europe</v>
      </c>
      <c r="D664" s="18" t="s">
        <v>21</v>
      </c>
      <c r="E664" s="18" t="s">
        <v>19</v>
      </c>
      <c r="F664" s="18" t="s">
        <v>52</v>
      </c>
      <c r="G664" s="18" t="s">
        <v>48</v>
      </c>
      <c r="H664" s="64">
        <f>LEN(TRIM(Table22[[#This Row],[Country]]))</f>
        <v>2</v>
      </c>
      <c r="I664" s="64">
        <f>LEN(TRIM(Table22[[#This Row],[Continent]]))</f>
        <v>6</v>
      </c>
      <c r="J664" s="64">
        <f>LEN(TRIM(Table22[[#This Row],[Product]]))</f>
        <v>6</v>
      </c>
      <c r="K664" s="64">
        <f>LEN(TRIM(Table22[[#This Row],[Sales Team]]))</f>
        <v>9</v>
      </c>
      <c r="L664" s="23">
        <v>94</v>
      </c>
      <c r="M664" s="65" t="str" cm="1">
        <f t="array" ref="M664">_xlfn.IFS(Table22[[#This Row],[Units Sold]]&lt;40,"Critical",Table22[[#This Row],[Units Sold]]&lt;=50,"Poor",Table22[[#This Row],[Units Sold]]&lt;=60,"Low",Table22[[#This Row],[Units Sold]]&lt;=80,"Average",Table22[[#This Row],[Units Sold]]&lt;=90,"High",Table22[[#This Row],[Units Sold]]&lt;=95,"Excellent",Table22[[#This Row],[Units Sold]]&gt;95,"Outstanding")</f>
        <v>Excellent</v>
      </c>
      <c r="N664" s="29">
        <v>521.33000000000004</v>
      </c>
      <c r="O664" s="29">
        <v>49005.02</v>
      </c>
      <c r="P664" s="43">
        <f>IF(Table22[[#This Row],[Discount Applied]],Table22[[#This Row],[Total Sales (in USD)]]*(1-Table22[[#This Row],[Discount Percentage (%)]]/100),Table22[[#This Row],[Total Sales (in USD)]])</f>
        <v>48456.163775999994</v>
      </c>
      <c r="Q664" s="66">
        <f>SQRT(AVERAGE((Table22[[#This Row],[Net Sales (after discount) (in USD)]]-AVERAGE(Table22[Net Sales (after discount) (in USD)]))^2))</f>
        <v>11944.803212235456</v>
      </c>
      <c r="R664" s="18" t="b">
        <v>1</v>
      </c>
      <c r="S664" s="40">
        <v>1.1200000000000001</v>
      </c>
      <c r="T664" s="18" t="b">
        <v>1</v>
      </c>
      <c r="U664" s="25">
        <v>45550</v>
      </c>
      <c r="V664" s="63" t="str">
        <f>IF(MONTH(Table22[[#This Row],[Sales Date]])&lt;=3,"Q1",IF(MONTH(Table22[[#This Row],[Sales Date]])&lt;=6,"Q2",IF(MONTH(Table22[[#This Row],[Sales Date]])&lt;=9,"Q3","Q4")))</f>
        <v>Q3</v>
      </c>
      <c r="W664" s="64">
        <f>YEAR(Table22[[#This Row],[Sales Date]])</f>
        <v>2024</v>
      </c>
      <c r="X664" s="23">
        <v>55</v>
      </c>
      <c r="Y664" s="18" t="s">
        <v>41</v>
      </c>
      <c r="Z664" s="18" t="s">
        <v>24</v>
      </c>
      <c r="AA664" s="19" t="s">
        <v>36</v>
      </c>
    </row>
    <row r="665" spans="1:27" x14ac:dyDescent="0.25">
      <c r="A665" s="17" t="s">
        <v>107</v>
      </c>
      <c r="B665" s="18" t="s">
        <v>27</v>
      </c>
      <c r="C665" s="63" t="str" cm="1">
        <f t="array" ref="C665">_xlfn.SWITCH(Table22[[#This Row],[Country]],"USA","North America","Canada","North America","Brazil","South America","China","Asia","Japan","Asia","India","Asia","France","Europe","Germany","Europe","UK","Europe","Australia","Oceania","South America")</f>
        <v>Europe</v>
      </c>
      <c r="D665" s="18" t="s">
        <v>21</v>
      </c>
      <c r="E665" s="18" t="s">
        <v>39</v>
      </c>
      <c r="F665" s="18" t="s">
        <v>47</v>
      </c>
      <c r="G665" s="18" t="s">
        <v>22</v>
      </c>
      <c r="H665" s="64">
        <f>LEN(TRIM(Table22[[#This Row],[Country]]))</f>
        <v>7</v>
      </c>
      <c r="I665" s="64">
        <f>LEN(TRIM(Table22[[#This Row],[Continent]]))</f>
        <v>6</v>
      </c>
      <c r="J665" s="64">
        <f>LEN(TRIM(Table22[[#This Row],[Product]]))</f>
        <v>10</v>
      </c>
      <c r="K665" s="64">
        <f>LEN(TRIM(Table22[[#This Row],[Sales Team]]))</f>
        <v>10</v>
      </c>
      <c r="L665" s="23">
        <v>93</v>
      </c>
      <c r="M665" s="65" t="str" cm="1">
        <f t="array" ref="M665">_xlfn.IFS(Table22[[#This Row],[Units Sold]]&lt;40,"Critical",Table22[[#This Row],[Units Sold]]&lt;=50,"Poor",Table22[[#This Row],[Units Sold]]&lt;=60,"Low",Table22[[#This Row],[Units Sold]]&lt;=80,"Average",Table22[[#This Row],[Units Sold]]&lt;=90,"High",Table22[[#This Row],[Units Sold]]&lt;=95,"Excellent",Table22[[#This Row],[Units Sold]]&gt;95,"Outstanding")</f>
        <v>Excellent</v>
      </c>
      <c r="N665" s="29">
        <v>526.72</v>
      </c>
      <c r="O665" s="29">
        <v>48984.959999999999</v>
      </c>
      <c r="P665" s="43">
        <f>IF(Table22[[#This Row],[Discount Applied]],Table22[[#This Row],[Total Sales (in USD)]]*(1-Table22[[#This Row],[Discount Percentage (%)]]/100),Table22[[#This Row],[Total Sales (in USD)]])</f>
        <v>48984.959999999999</v>
      </c>
      <c r="Q665" s="66">
        <f>SQRT(AVERAGE((Table22[[#This Row],[Net Sales (after discount) (in USD)]]-AVERAGE(Table22[Net Sales (after discount) (in USD)]))^2))</f>
        <v>12473.599436235461</v>
      </c>
      <c r="R665" s="18" t="b">
        <v>0</v>
      </c>
      <c r="S665" s="40">
        <v>16.47</v>
      </c>
      <c r="T665" s="18" t="b">
        <v>0</v>
      </c>
      <c r="U665" s="25">
        <v>45170</v>
      </c>
      <c r="V665" s="63" t="str">
        <f>IF(MONTH(Table22[[#This Row],[Sales Date]])&lt;=3,"Q1",IF(MONTH(Table22[[#This Row],[Sales Date]])&lt;=6,"Q2",IF(MONTH(Table22[[#This Row],[Sales Date]])&lt;=9,"Q3","Q4")))</f>
        <v>Q3</v>
      </c>
      <c r="W665" s="64">
        <f>YEAR(Table22[[#This Row],[Sales Date]])</f>
        <v>2023</v>
      </c>
      <c r="X665" s="23">
        <v>37</v>
      </c>
      <c r="Y665" s="18" t="s">
        <v>41</v>
      </c>
      <c r="Z665" s="18" t="s">
        <v>30</v>
      </c>
      <c r="AA665" s="19" t="s">
        <v>25</v>
      </c>
    </row>
    <row r="666" spans="1:27" x14ac:dyDescent="0.25">
      <c r="A666" s="17" t="s">
        <v>1557</v>
      </c>
      <c r="B666" s="18" t="s">
        <v>27</v>
      </c>
      <c r="C666" s="63" t="str" cm="1">
        <f t="array" ref="C666">_xlfn.SWITCH(Table22[[#This Row],[Country]],"USA","North America","Canada","North America","Brazil","South America","China","Asia","Japan","Asia","India","Asia","France","Europe","Germany","Europe","UK","Europe","Australia","Oceania","South America")</f>
        <v>Europe</v>
      </c>
      <c r="D666" s="18" t="s">
        <v>35</v>
      </c>
      <c r="E666" s="18" t="s">
        <v>33</v>
      </c>
      <c r="F666" s="18" t="s">
        <v>52</v>
      </c>
      <c r="G666" s="18" t="s">
        <v>29</v>
      </c>
      <c r="H666" s="64">
        <f>LEN(TRIM(Table22[[#This Row],[Country]]))</f>
        <v>7</v>
      </c>
      <c r="I666" s="64">
        <f>LEN(TRIM(Table22[[#This Row],[Continent]]))</f>
        <v>6</v>
      </c>
      <c r="J666" s="64">
        <f>LEN(TRIM(Table22[[#This Row],[Product]]))</f>
        <v>10</v>
      </c>
      <c r="K666" s="64">
        <f>LEN(TRIM(Table22[[#This Row],[Sales Team]]))</f>
        <v>10</v>
      </c>
      <c r="L666" s="23">
        <v>33</v>
      </c>
      <c r="M666" s="65" t="str" cm="1">
        <f t="array" ref="M666">_xlfn.IFS(Table22[[#This Row],[Units Sold]]&lt;40,"Critical",Table22[[#This Row],[Units Sold]]&lt;=50,"Poor",Table22[[#This Row],[Units Sold]]&lt;=60,"Low",Table22[[#This Row],[Units Sold]]&lt;=80,"Average",Table22[[#This Row],[Units Sold]]&lt;=90,"High",Table22[[#This Row],[Units Sold]]&lt;=95,"Excellent",Table22[[#This Row],[Units Sold]]&gt;95,"Outstanding")</f>
        <v>Critical</v>
      </c>
      <c r="N666" s="29">
        <v>1484.32</v>
      </c>
      <c r="O666" s="29">
        <v>48982.559999999998</v>
      </c>
      <c r="P666" s="43">
        <f>IF(Table22[[#This Row],[Discount Applied]],Table22[[#This Row],[Total Sales (in USD)]]*(1-Table22[[#This Row],[Discount Percentage (%)]]/100),Table22[[#This Row],[Total Sales (in USD)]])</f>
        <v>48982.559999999998</v>
      </c>
      <c r="Q666" s="66">
        <f>SQRT(AVERAGE((Table22[[#This Row],[Net Sales (after discount) (in USD)]]-AVERAGE(Table22[Net Sales (after discount) (in USD)]))^2))</f>
        <v>12471.19943623546</v>
      </c>
      <c r="R666" s="18" t="b">
        <v>1</v>
      </c>
      <c r="S666" s="40">
        <v>15</v>
      </c>
      <c r="T666" s="18" t="b">
        <v>0</v>
      </c>
      <c r="U666" s="25">
        <v>45572</v>
      </c>
      <c r="V666" s="63" t="str">
        <f>IF(MONTH(Table22[[#This Row],[Sales Date]])&lt;=3,"Q1",IF(MONTH(Table22[[#This Row],[Sales Date]])&lt;=6,"Q2",IF(MONTH(Table22[[#This Row],[Sales Date]])&lt;=9,"Q3","Q4")))</f>
        <v>Q4</v>
      </c>
      <c r="W666" s="64">
        <f>YEAR(Table22[[#This Row],[Sales Date]])</f>
        <v>2024</v>
      </c>
      <c r="X666" s="23">
        <v>32</v>
      </c>
      <c r="Y666" s="18" t="s">
        <v>23</v>
      </c>
      <c r="Z666" s="18" t="s">
        <v>56</v>
      </c>
      <c r="AA666" s="19" t="s">
        <v>36</v>
      </c>
    </row>
    <row r="667" spans="1:27" x14ac:dyDescent="0.25">
      <c r="A667" s="17" t="s">
        <v>1565</v>
      </c>
      <c r="B667" s="18" t="s">
        <v>46</v>
      </c>
      <c r="C667" s="63" t="str" cm="1">
        <f t="array" ref="C667">_xlfn.SWITCH(Table22[[#This Row],[Country]],"USA","North America","Canada","North America","Brazil","South America","China","Asia","Japan","Asia","India","Asia","France","Europe","Germany","Europe","UK","Europe","Australia","Oceania","South America")</f>
        <v>South America</v>
      </c>
      <c r="D667" s="18" t="s">
        <v>28</v>
      </c>
      <c r="E667" s="18" t="s">
        <v>33</v>
      </c>
      <c r="F667" s="18" t="s">
        <v>20</v>
      </c>
      <c r="G667" s="18" t="s">
        <v>48</v>
      </c>
      <c r="H667" s="64">
        <f>LEN(TRIM(Table22[[#This Row],[Country]]))</f>
        <v>6</v>
      </c>
      <c r="I667" s="64">
        <f>LEN(TRIM(Table22[[#This Row],[Continent]]))</f>
        <v>13</v>
      </c>
      <c r="J667" s="64">
        <f>LEN(TRIM(Table22[[#This Row],[Product]]))</f>
        <v>10</v>
      </c>
      <c r="K667" s="64">
        <f>LEN(TRIM(Table22[[#This Row],[Sales Team]]))</f>
        <v>9</v>
      </c>
      <c r="L667" s="23">
        <v>82</v>
      </c>
      <c r="M667" s="65" t="str" cm="1">
        <f t="array" ref="M667">_xlfn.IFS(Table22[[#This Row],[Units Sold]]&lt;40,"Critical",Table22[[#This Row],[Units Sold]]&lt;=50,"Poor",Table22[[#This Row],[Units Sold]]&lt;=60,"Low",Table22[[#This Row],[Units Sold]]&lt;=80,"Average",Table22[[#This Row],[Units Sold]]&lt;=90,"High",Table22[[#This Row],[Units Sold]]&lt;=95,"Excellent",Table22[[#This Row],[Units Sold]]&gt;95,"Outstanding")</f>
        <v>High</v>
      </c>
      <c r="N667" s="29">
        <v>596.80999999999995</v>
      </c>
      <c r="O667" s="29">
        <v>48938.42</v>
      </c>
      <c r="P667" s="43">
        <f>IF(Table22[[#This Row],[Discount Applied]],Table22[[#This Row],[Total Sales (in USD)]]*(1-Table22[[#This Row],[Discount Percentage (%)]]/100),Table22[[#This Row],[Total Sales (in USD)]])</f>
        <v>36899.568679999997</v>
      </c>
      <c r="Q667" s="66">
        <f>SQRT(AVERAGE((Table22[[#This Row],[Net Sales (after discount) (in USD)]]-AVERAGE(Table22[Net Sales (after discount) (in USD)]))^2))</f>
        <v>388.20811623545887</v>
      </c>
      <c r="R667" s="18" t="b">
        <v>1</v>
      </c>
      <c r="S667" s="40">
        <v>24.6</v>
      </c>
      <c r="T667" s="18" t="b">
        <v>1</v>
      </c>
      <c r="U667" s="25">
        <v>45117</v>
      </c>
      <c r="V667" s="63" t="str">
        <f>IF(MONTH(Table22[[#This Row],[Sales Date]])&lt;=3,"Q1",IF(MONTH(Table22[[#This Row],[Sales Date]])&lt;=6,"Q2",IF(MONTH(Table22[[#This Row],[Sales Date]])&lt;=9,"Q3","Q4")))</f>
        <v>Q3</v>
      </c>
      <c r="W667" s="64">
        <f>YEAR(Table22[[#This Row],[Sales Date]])</f>
        <v>2023</v>
      </c>
      <c r="X667" s="23">
        <v>22</v>
      </c>
      <c r="Y667" s="18" t="s">
        <v>49</v>
      </c>
      <c r="Z667" s="18" t="s">
        <v>30</v>
      </c>
      <c r="AA667" s="19" t="s">
        <v>36</v>
      </c>
    </row>
    <row r="668" spans="1:27" x14ac:dyDescent="0.25">
      <c r="A668" s="17" t="s">
        <v>1998</v>
      </c>
      <c r="B668" s="18" t="s">
        <v>62</v>
      </c>
      <c r="C668" s="63" t="str" cm="1">
        <f t="array" ref="C668">_xlfn.SWITCH(Table22[[#This Row],[Country]],"USA","North America","Canada","North America","Brazil","South America","China","Asia","Japan","Asia","India","Asia","France","Europe","Germany","Europe","UK","Europe","Australia","Oceania","South America")</f>
        <v>Oceania</v>
      </c>
      <c r="D668" s="18" t="s">
        <v>28</v>
      </c>
      <c r="E668" s="18" t="s">
        <v>19</v>
      </c>
      <c r="F668" s="18" t="s">
        <v>52</v>
      </c>
      <c r="G668" s="18" t="s">
        <v>48</v>
      </c>
      <c r="H668" s="64">
        <f>LEN(TRIM(Table22[[#This Row],[Country]]))</f>
        <v>9</v>
      </c>
      <c r="I668" s="64">
        <f>LEN(TRIM(Table22[[#This Row],[Continent]]))</f>
        <v>7</v>
      </c>
      <c r="J668" s="64">
        <f>LEN(TRIM(Table22[[#This Row],[Product]]))</f>
        <v>6</v>
      </c>
      <c r="K668" s="64">
        <f>LEN(TRIM(Table22[[#This Row],[Sales Team]]))</f>
        <v>9</v>
      </c>
      <c r="L668" s="23">
        <v>44</v>
      </c>
      <c r="M668" s="65" t="str" cm="1">
        <f t="array" ref="M668">_xlfn.IFS(Table22[[#This Row],[Units Sold]]&lt;40,"Critical",Table22[[#This Row],[Units Sold]]&lt;=50,"Poor",Table22[[#This Row],[Units Sold]]&lt;=60,"Low",Table22[[#This Row],[Units Sold]]&lt;=80,"Average",Table22[[#This Row],[Units Sold]]&lt;=90,"High",Table22[[#This Row],[Units Sold]]&lt;=95,"Excellent",Table22[[#This Row],[Units Sold]]&gt;95,"Outstanding")</f>
        <v>Poor</v>
      </c>
      <c r="N668" s="29">
        <v>1111.8399999999999</v>
      </c>
      <c r="O668" s="29">
        <v>48920.959999999999</v>
      </c>
      <c r="P668" s="43">
        <f>IF(Table22[[#This Row],[Discount Applied]],Table22[[#This Row],[Total Sales (in USD)]]*(1-Table22[[#This Row],[Discount Percentage (%)]]/100),Table22[[#This Row],[Total Sales (in USD)]])</f>
        <v>48920.959999999999</v>
      </c>
      <c r="Q668" s="66">
        <f>SQRT(AVERAGE((Table22[[#This Row],[Net Sales (after discount) (in USD)]]-AVERAGE(Table22[Net Sales (after discount) (in USD)]))^2))</f>
        <v>12409.599436235461</v>
      </c>
      <c r="R668" s="18" t="b">
        <v>1</v>
      </c>
      <c r="S668" s="40">
        <v>17.21</v>
      </c>
      <c r="T668" s="18" t="b">
        <v>0</v>
      </c>
      <c r="U668" s="25">
        <v>45038</v>
      </c>
      <c r="V668" s="63" t="str">
        <f>IF(MONTH(Table22[[#This Row],[Sales Date]])&lt;=3,"Q1",IF(MONTH(Table22[[#This Row],[Sales Date]])&lt;=6,"Q2",IF(MONTH(Table22[[#This Row],[Sales Date]])&lt;=9,"Q3","Q4")))</f>
        <v>Q2</v>
      </c>
      <c r="W668" s="64">
        <f>YEAR(Table22[[#This Row],[Sales Date]])</f>
        <v>2023</v>
      </c>
      <c r="X668" s="23">
        <v>58</v>
      </c>
      <c r="Y668" s="18" t="s">
        <v>41</v>
      </c>
      <c r="Z668" s="18" t="s">
        <v>42</v>
      </c>
      <c r="AA668" s="19" t="s">
        <v>25</v>
      </c>
    </row>
    <row r="669" spans="1:27" x14ac:dyDescent="0.25">
      <c r="A669" s="17" t="s">
        <v>1904</v>
      </c>
      <c r="B669" s="18" t="s">
        <v>66</v>
      </c>
      <c r="C669" s="63" t="str" cm="1">
        <f t="array" ref="C669">_xlfn.SWITCH(Table22[[#This Row],[Country]],"USA","North America","Canada","North America","Brazil","South America","China","Asia","Japan","Asia","India","Asia","France","Europe","Germany","Europe","UK","Europe","Australia","Oceania","South America")</f>
        <v>North America</v>
      </c>
      <c r="D669" s="18" t="s">
        <v>21</v>
      </c>
      <c r="E669" s="18" t="s">
        <v>33</v>
      </c>
      <c r="F669" s="18" t="s">
        <v>47</v>
      </c>
      <c r="G669" s="18" t="s">
        <v>29</v>
      </c>
      <c r="H669" s="64">
        <f>LEN(TRIM(Table22[[#This Row],[Country]]))</f>
        <v>6</v>
      </c>
      <c r="I669" s="64">
        <f>LEN(TRIM(Table22[[#This Row],[Continent]]))</f>
        <v>13</v>
      </c>
      <c r="J669" s="64">
        <f>LEN(TRIM(Table22[[#This Row],[Product]]))</f>
        <v>10</v>
      </c>
      <c r="K669" s="64">
        <f>LEN(TRIM(Table22[[#This Row],[Sales Team]]))</f>
        <v>10</v>
      </c>
      <c r="L669" s="23">
        <v>55</v>
      </c>
      <c r="M669" s="65" t="str" cm="1">
        <f t="array" ref="M669">_xlfn.IFS(Table22[[#This Row],[Units Sold]]&lt;40,"Critical",Table22[[#This Row],[Units Sold]]&lt;=50,"Poor",Table22[[#This Row],[Units Sold]]&lt;=60,"Low",Table22[[#This Row],[Units Sold]]&lt;=80,"Average",Table22[[#This Row],[Units Sold]]&lt;=90,"High",Table22[[#This Row],[Units Sold]]&lt;=95,"Excellent",Table22[[#This Row],[Units Sold]]&gt;95,"Outstanding")</f>
        <v>Low</v>
      </c>
      <c r="N669" s="29">
        <v>887.72</v>
      </c>
      <c r="O669" s="29">
        <v>48824.6</v>
      </c>
      <c r="P669" s="43">
        <f>IF(Table22[[#This Row],[Discount Applied]],Table22[[#This Row],[Total Sales (in USD)]]*(1-Table22[[#This Row],[Discount Percentage (%)]]/100),Table22[[#This Row],[Total Sales (in USD)]])</f>
        <v>36262.030419999996</v>
      </c>
      <c r="Q669" s="66">
        <f>SQRT(AVERAGE((Table22[[#This Row],[Net Sales (after discount) (in USD)]]-AVERAGE(Table22[Net Sales (after discount) (in USD)]))^2))</f>
        <v>249.3301437645423</v>
      </c>
      <c r="R669" s="18" t="b">
        <v>0</v>
      </c>
      <c r="S669" s="40">
        <v>25.73</v>
      </c>
      <c r="T669" s="18" t="b">
        <v>1</v>
      </c>
      <c r="U669" s="25">
        <v>45553</v>
      </c>
      <c r="V669" s="63" t="str">
        <f>IF(MONTH(Table22[[#This Row],[Sales Date]])&lt;=3,"Q1",IF(MONTH(Table22[[#This Row],[Sales Date]])&lt;=6,"Q2",IF(MONTH(Table22[[#This Row],[Sales Date]])&lt;=9,"Q3","Q4")))</f>
        <v>Q3</v>
      </c>
      <c r="W669" s="64">
        <f>YEAR(Table22[[#This Row],[Sales Date]])</f>
        <v>2024</v>
      </c>
      <c r="X669" s="23">
        <v>56</v>
      </c>
      <c r="Y669" s="18" t="s">
        <v>23</v>
      </c>
      <c r="Z669" s="18" t="s">
        <v>30</v>
      </c>
      <c r="AA669" s="19" t="s">
        <v>25</v>
      </c>
    </row>
    <row r="670" spans="1:27" x14ac:dyDescent="0.25">
      <c r="A670" s="17" t="s">
        <v>1163</v>
      </c>
      <c r="B670" s="18" t="s">
        <v>32</v>
      </c>
      <c r="C670" s="63" t="str" cm="1">
        <f t="array" ref="C670">_xlfn.SWITCH(Table22[[#This Row],[Country]],"USA","North America","Canada","North America","Brazil","South America","China","Asia","Japan","Asia","India","Asia","France","Europe","Germany","Europe","UK","Europe","Australia","Oceania","South America")</f>
        <v>Asia</v>
      </c>
      <c r="D670" s="18" t="s">
        <v>28</v>
      </c>
      <c r="E670" s="18" t="s">
        <v>39</v>
      </c>
      <c r="F670" s="18" t="s">
        <v>47</v>
      </c>
      <c r="G670" s="18" t="s">
        <v>48</v>
      </c>
      <c r="H670" s="64">
        <f>LEN(TRIM(Table22[[#This Row],[Country]]))</f>
        <v>5</v>
      </c>
      <c r="I670" s="64">
        <f>LEN(TRIM(Table22[[#This Row],[Continent]]))</f>
        <v>4</v>
      </c>
      <c r="J670" s="64">
        <f>LEN(TRIM(Table22[[#This Row],[Product]]))</f>
        <v>10</v>
      </c>
      <c r="K670" s="64">
        <f>LEN(TRIM(Table22[[#This Row],[Sales Team]]))</f>
        <v>9</v>
      </c>
      <c r="L670" s="23">
        <v>86</v>
      </c>
      <c r="M670" s="65" t="str" cm="1">
        <f t="array" ref="M670">_xlfn.IFS(Table22[[#This Row],[Units Sold]]&lt;40,"Critical",Table22[[#This Row],[Units Sold]]&lt;=50,"Poor",Table22[[#This Row],[Units Sold]]&lt;=60,"Low",Table22[[#This Row],[Units Sold]]&lt;=80,"Average",Table22[[#This Row],[Units Sold]]&lt;=90,"High",Table22[[#This Row],[Units Sold]]&lt;=95,"Excellent",Table22[[#This Row],[Units Sold]]&gt;95,"Outstanding")</f>
        <v>High</v>
      </c>
      <c r="N670" s="29">
        <v>567.5</v>
      </c>
      <c r="O670" s="29">
        <v>48805</v>
      </c>
      <c r="P670" s="43">
        <f>IF(Table22[[#This Row],[Discount Applied]],Table22[[#This Row],[Total Sales (in USD)]]*(1-Table22[[#This Row],[Discount Percentage (%)]]/100),Table22[[#This Row],[Total Sales (in USD)]])</f>
        <v>48805</v>
      </c>
      <c r="Q670" s="66">
        <f>SQRT(AVERAGE((Table22[[#This Row],[Net Sales (after discount) (in USD)]]-AVERAGE(Table22[Net Sales (after discount) (in USD)]))^2))</f>
        <v>12293.639436235462</v>
      </c>
      <c r="R670" s="18" t="b">
        <v>1</v>
      </c>
      <c r="S670" s="40">
        <v>7.67</v>
      </c>
      <c r="T670" s="18" t="b">
        <v>0</v>
      </c>
      <c r="U670" s="25">
        <v>45551</v>
      </c>
      <c r="V670" s="63" t="str">
        <f>IF(MONTH(Table22[[#This Row],[Sales Date]])&lt;=3,"Q1",IF(MONTH(Table22[[#This Row],[Sales Date]])&lt;=6,"Q2",IF(MONTH(Table22[[#This Row],[Sales Date]])&lt;=9,"Q3","Q4")))</f>
        <v>Q3</v>
      </c>
      <c r="W670" s="64">
        <f>YEAR(Table22[[#This Row],[Sales Date]])</f>
        <v>2024</v>
      </c>
      <c r="X670" s="23">
        <v>35</v>
      </c>
      <c r="Y670" s="18" t="s">
        <v>49</v>
      </c>
      <c r="Z670" s="18" t="s">
        <v>30</v>
      </c>
      <c r="AA670" s="19" t="s">
        <v>25</v>
      </c>
    </row>
    <row r="671" spans="1:27" x14ac:dyDescent="0.25">
      <c r="A671" s="17" t="s">
        <v>1793</v>
      </c>
      <c r="B671" s="18" t="s">
        <v>51</v>
      </c>
      <c r="C671" s="63" t="str" cm="1">
        <f t="array" ref="C671">_xlfn.SWITCH(Table22[[#This Row],[Country]],"USA","North America","Canada","North America","Brazil","South America","China","Asia","Japan","Asia","India","Asia","France","Europe","Germany","Europe","UK","Europe","Australia","Oceania","South America")</f>
        <v>Europe</v>
      </c>
      <c r="D671" s="18" t="s">
        <v>35</v>
      </c>
      <c r="E671" s="18" t="s">
        <v>19</v>
      </c>
      <c r="F671" s="18" t="s">
        <v>52</v>
      </c>
      <c r="G671" s="18" t="s">
        <v>29</v>
      </c>
      <c r="H671" s="64">
        <f>LEN(TRIM(Table22[[#This Row],[Country]]))</f>
        <v>2</v>
      </c>
      <c r="I671" s="64">
        <f>LEN(TRIM(Table22[[#This Row],[Continent]]))</f>
        <v>6</v>
      </c>
      <c r="J671" s="64">
        <f>LEN(TRIM(Table22[[#This Row],[Product]]))</f>
        <v>6</v>
      </c>
      <c r="K671" s="64">
        <f>LEN(TRIM(Table22[[#This Row],[Sales Team]]))</f>
        <v>10</v>
      </c>
      <c r="L671" s="23">
        <v>41</v>
      </c>
      <c r="M671" s="65" t="str" cm="1">
        <f t="array" ref="M671">_xlfn.IFS(Table22[[#This Row],[Units Sold]]&lt;40,"Critical",Table22[[#This Row],[Units Sold]]&lt;=50,"Poor",Table22[[#This Row],[Units Sold]]&lt;=60,"Low",Table22[[#This Row],[Units Sold]]&lt;=80,"Average",Table22[[#This Row],[Units Sold]]&lt;=90,"High",Table22[[#This Row],[Units Sold]]&lt;=95,"Excellent",Table22[[#This Row],[Units Sold]]&gt;95,"Outstanding")</f>
        <v>Poor</v>
      </c>
      <c r="N671" s="29">
        <v>1190.1199999999999</v>
      </c>
      <c r="O671" s="29">
        <v>48794.92</v>
      </c>
      <c r="P671" s="43">
        <f>IF(Table22[[#This Row],[Discount Applied]],Table22[[#This Row],[Total Sales (in USD)]]*(1-Table22[[#This Row],[Discount Percentage (%)]]/100),Table22[[#This Row],[Total Sales (in USD)]])</f>
        <v>37777.027064000002</v>
      </c>
      <c r="Q671" s="66">
        <f>SQRT(AVERAGE((Table22[[#This Row],[Net Sales (after discount) (in USD)]]-AVERAGE(Table22[Net Sales (after discount) (in USD)]))^2))</f>
        <v>1265.6665002354639</v>
      </c>
      <c r="R671" s="18" t="b">
        <v>0</v>
      </c>
      <c r="S671" s="40">
        <v>22.58</v>
      </c>
      <c r="T671" s="18" t="b">
        <v>1</v>
      </c>
      <c r="U671" s="25">
        <v>45435</v>
      </c>
      <c r="V671" s="63" t="str">
        <f>IF(MONTH(Table22[[#This Row],[Sales Date]])&lt;=3,"Q1",IF(MONTH(Table22[[#This Row],[Sales Date]])&lt;=6,"Q2",IF(MONTH(Table22[[#This Row],[Sales Date]])&lt;=9,"Q3","Q4")))</f>
        <v>Q2</v>
      </c>
      <c r="W671" s="64">
        <f>YEAR(Table22[[#This Row],[Sales Date]])</f>
        <v>2024</v>
      </c>
      <c r="X671" s="23">
        <v>54</v>
      </c>
      <c r="Y671" s="18" t="s">
        <v>41</v>
      </c>
      <c r="Z671" s="18" t="s">
        <v>24</v>
      </c>
      <c r="AA671" s="19" t="s">
        <v>25</v>
      </c>
    </row>
    <row r="672" spans="1:27" x14ac:dyDescent="0.25">
      <c r="A672" s="17" t="s">
        <v>735</v>
      </c>
      <c r="B672" s="18" t="s">
        <v>46</v>
      </c>
      <c r="C672" s="63" t="str" cm="1">
        <f t="array" ref="C672">_xlfn.SWITCH(Table22[[#This Row],[Country]],"USA","North America","Canada","North America","Brazil","South America","China","Asia","Japan","Asia","India","Asia","France","Europe","Germany","Europe","UK","Europe","Australia","Oceania","South America")</f>
        <v>South America</v>
      </c>
      <c r="D672" s="18" t="s">
        <v>44</v>
      </c>
      <c r="E672" s="18" t="s">
        <v>33</v>
      </c>
      <c r="F672" s="18" t="s">
        <v>64</v>
      </c>
      <c r="G672" s="18" t="s">
        <v>29</v>
      </c>
      <c r="H672" s="64">
        <f>LEN(TRIM(Table22[[#This Row],[Country]]))</f>
        <v>6</v>
      </c>
      <c r="I672" s="64">
        <f>LEN(TRIM(Table22[[#This Row],[Continent]]))</f>
        <v>13</v>
      </c>
      <c r="J672" s="64">
        <f>LEN(TRIM(Table22[[#This Row],[Product]]))</f>
        <v>10</v>
      </c>
      <c r="K672" s="64">
        <f>LEN(TRIM(Table22[[#This Row],[Sales Team]]))</f>
        <v>10</v>
      </c>
      <c r="L672" s="23">
        <v>57</v>
      </c>
      <c r="M672" s="65" t="str" cm="1">
        <f t="array" ref="M672">_xlfn.IFS(Table22[[#This Row],[Units Sold]]&lt;40,"Critical",Table22[[#This Row],[Units Sold]]&lt;=50,"Poor",Table22[[#This Row],[Units Sold]]&lt;=60,"Low",Table22[[#This Row],[Units Sold]]&lt;=80,"Average",Table22[[#This Row],[Units Sold]]&lt;=90,"High",Table22[[#This Row],[Units Sold]]&lt;=95,"Excellent",Table22[[#This Row],[Units Sold]]&gt;95,"Outstanding")</f>
        <v>Low</v>
      </c>
      <c r="N672" s="29">
        <v>853.49</v>
      </c>
      <c r="O672" s="29">
        <v>48648.93</v>
      </c>
      <c r="P672" s="43">
        <f>IF(Table22[[#This Row],[Discount Applied]],Table22[[#This Row],[Total Sales (in USD)]]*(1-Table22[[#This Row],[Discount Percentage (%)]]/100),Table22[[#This Row],[Total Sales (in USD)]])</f>
        <v>48648.93</v>
      </c>
      <c r="Q672" s="66">
        <f>SQRT(AVERAGE((Table22[[#This Row],[Net Sales (after discount) (in USD)]]-AVERAGE(Table22[Net Sales (after discount) (in USD)]))^2))</f>
        <v>12137.569436235462</v>
      </c>
      <c r="R672" s="18" t="b">
        <v>0</v>
      </c>
      <c r="S672" s="40">
        <v>15.94</v>
      </c>
      <c r="T672" s="18" t="b">
        <v>0</v>
      </c>
      <c r="U672" s="25">
        <v>45272</v>
      </c>
      <c r="V672" s="63" t="str">
        <f>IF(MONTH(Table22[[#This Row],[Sales Date]])&lt;=3,"Q1",IF(MONTH(Table22[[#This Row],[Sales Date]])&lt;=6,"Q2",IF(MONTH(Table22[[#This Row],[Sales Date]])&lt;=9,"Q3","Q4")))</f>
        <v>Q4</v>
      </c>
      <c r="W672" s="64">
        <f>YEAR(Table22[[#This Row],[Sales Date]])</f>
        <v>2023</v>
      </c>
      <c r="X672" s="23">
        <v>64</v>
      </c>
      <c r="Y672" s="18" t="s">
        <v>49</v>
      </c>
      <c r="Z672" s="18" t="s">
        <v>42</v>
      </c>
      <c r="AA672" s="19" t="s">
        <v>25</v>
      </c>
    </row>
    <row r="673" spans="1:27" x14ac:dyDescent="0.25">
      <c r="A673" s="17" t="s">
        <v>1073</v>
      </c>
      <c r="B673" s="18" t="s">
        <v>46</v>
      </c>
      <c r="C673" s="63" t="str" cm="1">
        <f t="array" ref="C673">_xlfn.SWITCH(Table22[[#This Row],[Country]],"USA","North America","Canada","North America","Brazil","South America","China","Asia","Japan","Asia","India","Asia","France","Europe","Germany","Europe","UK","Europe","Australia","Oceania","South America")</f>
        <v>South America</v>
      </c>
      <c r="D673" s="18" t="s">
        <v>21</v>
      </c>
      <c r="E673" s="18" t="s">
        <v>19</v>
      </c>
      <c r="F673" s="18" t="s">
        <v>47</v>
      </c>
      <c r="G673" s="18" t="s">
        <v>48</v>
      </c>
      <c r="H673" s="64">
        <f>LEN(TRIM(Table22[[#This Row],[Country]]))</f>
        <v>6</v>
      </c>
      <c r="I673" s="64">
        <f>LEN(TRIM(Table22[[#This Row],[Continent]]))</f>
        <v>13</v>
      </c>
      <c r="J673" s="64">
        <f>LEN(TRIM(Table22[[#This Row],[Product]]))</f>
        <v>6</v>
      </c>
      <c r="K673" s="64">
        <f>LEN(TRIM(Table22[[#This Row],[Sales Team]]))</f>
        <v>9</v>
      </c>
      <c r="L673" s="23">
        <v>41</v>
      </c>
      <c r="M673" s="65" t="str" cm="1">
        <f t="array" ref="M673">_xlfn.IFS(Table22[[#This Row],[Units Sold]]&lt;40,"Critical",Table22[[#This Row],[Units Sold]]&lt;=50,"Poor",Table22[[#This Row],[Units Sold]]&lt;=60,"Low",Table22[[#This Row],[Units Sold]]&lt;=80,"Average",Table22[[#This Row],[Units Sold]]&lt;=90,"High",Table22[[#This Row],[Units Sold]]&lt;=95,"Excellent",Table22[[#This Row],[Units Sold]]&gt;95,"Outstanding")</f>
        <v>Poor</v>
      </c>
      <c r="N673" s="29">
        <v>1185.8399999999999</v>
      </c>
      <c r="O673" s="29">
        <v>48619.44</v>
      </c>
      <c r="P673" s="43">
        <f>IF(Table22[[#This Row],[Discount Applied]],Table22[[#This Row],[Total Sales (in USD)]]*(1-Table22[[#This Row],[Discount Percentage (%)]]/100),Table22[[#This Row],[Total Sales (in USD)]])</f>
        <v>48619.44</v>
      </c>
      <c r="Q673" s="66">
        <f>SQRT(AVERAGE((Table22[[#This Row],[Net Sales (after discount) (in USD)]]-AVERAGE(Table22[Net Sales (after discount) (in USD)]))^2))</f>
        <v>12108.079436235465</v>
      </c>
      <c r="R673" s="18" t="b">
        <v>1</v>
      </c>
      <c r="S673" s="40">
        <v>2.42</v>
      </c>
      <c r="T673" s="18" t="b">
        <v>0</v>
      </c>
      <c r="U673" s="25">
        <v>45018</v>
      </c>
      <c r="V673" s="63" t="str">
        <f>IF(MONTH(Table22[[#This Row],[Sales Date]])&lt;=3,"Q1",IF(MONTH(Table22[[#This Row],[Sales Date]])&lt;=6,"Q2",IF(MONTH(Table22[[#This Row],[Sales Date]])&lt;=9,"Q3","Q4")))</f>
        <v>Q2</v>
      </c>
      <c r="W673" s="64">
        <f>YEAR(Table22[[#This Row],[Sales Date]])</f>
        <v>2023</v>
      </c>
      <c r="X673" s="23">
        <v>42</v>
      </c>
      <c r="Y673" s="18" t="s">
        <v>49</v>
      </c>
      <c r="Z673" s="18" t="s">
        <v>56</v>
      </c>
      <c r="AA673" s="19" t="s">
        <v>25</v>
      </c>
    </row>
    <row r="674" spans="1:27" x14ac:dyDescent="0.25">
      <c r="A674" s="17" t="s">
        <v>1883</v>
      </c>
      <c r="B674" s="18" t="s">
        <v>32</v>
      </c>
      <c r="C674" s="63" t="str" cm="1">
        <f t="array" ref="C674">_xlfn.SWITCH(Table22[[#This Row],[Country]],"USA","North America","Canada","North America","Brazil","South America","China","Asia","Japan","Asia","India","Asia","France","Europe","Germany","Europe","UK","Europe","Australia","Oceania","South America")</f>
        <v>Asia</v>
      </c>
      <c r="D674" s="18" t="s">
        <v>35</v>
      </c>
      <c r="E674" s="18" t="s">
        <v>33</v>
      </c>
      <c r="F674" s="18" t="s">
        <v>34</v>
      </c>
      <c r="G674" s="18" t="s">
        <v>22</v>
      </c>
      <c r="H674" s="64">
        <f>LEN(TRIM(Table22[[#This Row],[Country]]))</f>
        <v>5</v>
      </c>
      <c r="I674" s="64">
        <f>LEN(TRIM(Table22[[#This Row],[Continent]]))</f>
        <v>4</v>
      </c>
      <c r="J674" s="64">
        <f>LEN(TRIM(Table22[[#This Row],[Product]]))</f>
        <v>10</v>
      </c>
      <c r="K674" s="64">
        <f>LEN(TRIM(Table22[[#This Row],[Sales Team]]))</f>
        <v>10</v>
      </c>
      <c r="L674" s="23">
        <v>95</v>
      </c>
      <c r="M674" s="65" t="str" cm="1">
        <f t="array" ref="M674">_xlfn.IFS(Table22[[#This Row],[Units Sold]]&lt;40,"Critical",Table22[[#This Row],[Units Sold]]&lt;=50,"Poor",Table22[[#This Row],[Units Sold]]&lt;=60,"Low",Table22[[#This Row],[Units Sold]]&lt;=80,"Average",Table22[[#This Row],[Units Sold]]&lt;=90,"High",Table22[[#This Row],[Units Sold]]&lt;=95,"Excellent",Table22[[#This Row],[Units Sold]]&gt;95,"Outstanding")</f>
        <v>Excellent</v>
      </c>
      <c r="N674" s="29">
        <v>511.04</v>
      </c>
      <c r="O674" s="29">
        <v>48548.800000000003</v>
      </c>
      <c r="P674" s="43">
        <f>IF(Table22[[#This Row],[Discount Applied]],Table22[[#This Row],[Total Sales (in USD)]]*(1-Table22[[#This Row],[Discount Percentage (%)]]/100),Table22[[#This Row],[Total Sales (in USD)]])</f>
        <v>48548.800000000003</v>
      </c>
      <c r="Q674" s="66">
        <f>SQRT(AVERAGE((Table22[[#This Row],[Net Sales (after discount) (in USD)]]-AVERAGE(Table22[Net Sales (after discount) (in USD)]))^2))</f>
        <v>12037.439436235465</v>
      </c>
      <c r="R674" s="18" t="b">
        <v>1</v>
      </c>
      <c r="S674" s="40">
        <v>20.399999999999999</v>
      </c>
      <c r="T674" s="18" t="b">
        <v>0</v>
      </c>
      <c r="U674" s="25">
        <v>45438</v>
      </c>
      <c r="V674" s="63" t="str">
        <f>IF(MONTH(Table22[[#This Row],[Sales Date]])&lt;=3,"Q1",IF(MONTH(Table22[[#This Row],[Sales Date]])&lt;=6,"Q2",IF(MONTH(Table22[[#This Row],[Sales Date]])&lt;=9,"Q3","Q4")))</f>
        <v>Q2</v>
      </c>
      <c r="W674" s="64">
        <f>YEAR(Table22[[#This Row],[Sales Date]])</f>
        <v>2024</v>
      </c>
      <c r="X674" s="23">
        <v>64</v>
      </c>
      <c r="Y674" s="18" t="s">
        <v>49</v>
      </c>
      <c r="Z674" s="18" t="s">
        <v>24</v>
      </c>
      <c r="AA674" s="19" t="s">
        <v>36</v>
      </c>
    </row>
    <row r="675" spans="1:27" x14ac:dyDescent="0.25">
      <c r="A675" s="17" t="s">
        <v>863</v>
      </c>
      <c r="B675" s="18" t="s">
        <v>76</v>
      </c>
      <c r="C675" s="63" t="str" cm="1">
        <f t="array" ref="C675">_xlfn.SWITCH(Table22[[#This Row],[Country]],"USA","North America","Canada","North America","Brazil","South America","China","Asia","Japan","Asia","India","Asia","France","Europe","Germany","Europe","UK","Europe","Australia","Oceania","South America")</f>
        <v>Asia</v>
      </c>
      <c r="D675" s="18" t="s">
        <v>35</v>
      </c>
      <c r="E675" s="18" t="s">
        <v>33</v>
      </c>
      <c r="F675" s="18" t="s">
        <v>47</v>
      </c>
      <c r="G675" s="18" t="s">
        <v>40</v>
      </c>
      <c r="H675" s="64">
        <f>LEN(TRIM(Table22[[#This Row],[Country]]))</f>
        <v>5</v>
      </c>
      <c r="I675" s="64">
        <f>LEN(TRIM(Table22[[#This Row],[Continent]]))</f>
        <v>4</v>
      </c>
      <c r="J675" s="64">
        <f>LEN(TRIM(Table22[[#This Row],[Product]]))</f>
        <v>10</v>
      </c>
      <c r="K675" s="64">
        <f>LEN(TRIM(Table22[[#This Row],[Sales Team]]))</f>
        <v>10</v>
      </c>
      <c r="L675" s="23">
        <v>72</v>
      </c>
      <c r="M675" s="65" t="str" cm="1">
        <f t="array" ref="M675">_xlfn.IFS(Table22[[#This Row],[Units Sold]]&lt;40,"Critical",Table22[[#This Row],[Units Sold]]&lt;=50,"Poor",Table22[[#This Row],[Units Sold]]&lt;=60,"Low",Table22[[#This Row],[Units Sold]]&lt;=80,"Average",Table22[[#This Row],[Units Sold]]&lt;=90,"High",Table22[[#This Row],[Units Sold]]&lt;=95,"Excellent",Table22[[#This Row],[Units Sold]]&gt;95,"Outstanding")</f>
        <v>Average</v>
      </c>
      <c r="N675" s="29">
        <v>674.22</v>
      </c>
      <c r="O675" s="29">
        <v>48543.839999999997</v>
      </c>
      <c r="P675" s="43">
        <f>IF(Table22[[#This Row],[Discount Applied]],Table22[[#This Row],[Total Sales (in USD)]]*(1-Table22[[#This Row],[Discount Percentage (%)]]/100),Table22[[#This Row],[Total Sales (in USD)]])</f>
        <v>48543.839999999997</v>
      </c>
      <c r="Q675" s="66">
        <f>SQRT(AVERAGE((Table22[[#This Row],[Net Sales (after discount) (in USD)]]-AVERAGE(Table22[Net Sales (after discount) (in USD)]))^2))</f>
        <v>12032.479436235459</v>
      </c>
      <c r="R675" s="18" t="b">
        <v>1</v>
      </c>
      <c r="S675" s="40">
        <v>12.77</v>
      </c>
      <c r="T675" s="18" t="b">
        <v>0</v>
      </c>
      <c r="U675" s="25">
        <v>45035</v>
      </c>
      <c r="V675" s="63" t="str">
        <f>IF(MONTH(Table22[[#This Row],[Sales Date]])&lt;=3,"Q1",IF(MONTH(Table22[[#This Row],[Sales Date]])&lt;=6,"Q2",IF(MONTH(Table22[[#This Row],[Sales Date]])&lt;=9,"Q3","Q4")))</f>
        <v>Q2</v>
      </c>
      <c r="W675" s="64">
        <f>YEAR(Table22[[#This Row],[Sales Date]])</f>
        <v>2023</v>
      </c>
      <c r="X675" s="23">
        <v>20</v>
      </c>
      <c r="Y675" s="18" t="s">
        <v>41</v>
      </c>
      <c r="Z675" s="18" t="s">
        <v>42</v>
      </c>
      <c r="AA675" s="19" t="s">
        <v>25</v>
      </c>
    </row>
    <row r="676" spans="1:27" x14ac:dyDescent="0.25">
      <c r="A676" s="17" t="s">
        <v>697</v>
      </c>
      <c r="B676" s="18" t="s">
        <v>38</v>
      </c>
      <c r="C676" s="63" t="str" cm="1">
        <f t="array" ref="C676">_xlfn.SWITCH(Table22[[#This Row],[Country]],"USA","North America","Canada","North America","Brazil","South America","China","Asia","Japan","Asia","India","Asia","France","Europe","Germany","Europe","UK","Europe","Australia","Oceania","South America")</f>
        <v>Europe</v>
      </c>
      <c r="D676" s="18" t="s">
        <v>44</v>
      </c>
      <c r="E676" s="18" t="s">
        <v>33</v>
      </c>
      <c r="F676" s="18" t="s">
        <v>47</v>
      </c>
      <c r="G676" s="18" t="s">
        <v>29</v>
      </c>
      <c r="H676" s="64">
        <f>LEN(TRIM(Table22[[#This Row],[Country]]))</f>
        <v>6</v>
      </c>
      <c r="I676" s="64">
        <f>LEN(TRIM(Table22[[#This Row],[Continent]]))</f>
        <v>6</v>
      </c>
      <c r="J676" s="64">
        <f>LEN(TRIM(Table22[[#This Row],[Product]]))</f>
        <v>10</v>
      </c>
      <c r="K676" s="64">
        <f>LEN(TRIM(Table22[[#This Row],[Sales Team]]))</f>
        <v>10</v>
      </c>
      <c r="L676" s="23">
        <v>59</v>
      </c>
      <c r="M676" s="65" t="str" cm="1">
        <f t="array" ref="M676">_xlfn.IFS(Table22[[#This Row],[Units Sold]]&lt;40,"Critical",Table22[[#This Row],[Units Sold]]&lt;=50,"Poor",Table22[[#This Row],[Units Sold]]&lt;=60,"Low",Table22[[#This Row],[Units Sold]]&lt;=80,"Average",Table22[[#This Row],[Units Sold]]&lt;=90,"High",Table22[[#This Row],[Units Sold]]&lt;=95,"Excellent",Table22[[#This Row],[Units Sold]]&gt;95,"Outstanding")</f>
        <v>Low</v>
      </c>
      <c r="N676" s="29">
        <v>822.39</v>
      </c>
      <c r="O676" s="29">
        <v>48521.01</v>
      </c>
      <c r="P676" s="43">
        <f>IF(Table22[[#This Row],[Discount Applied]],Table22[[#This Row],[Total Sales (in USD)]]*(1-Table22[[#This Row],[Discount Percentage (%)]]/100),Table22[[#This Row],[Total Sales (in USD)]])</f>
        <v>42722.749305000005</v>
      </c>
      <c r="Q676" s="66">
        <f>SQRT(AVERAGE((Table22[[#This Row],[Net Sales (after discount) (in USD)]]-AVERAGE(Table22[Net Sales (after discount) (in USD)]))^2))</f>
        <v>6211.388741235467</v>
      </c>
      <c r="R676" s="18" t="b">
        <v>1</v>
      </c>
      <c r="S676" s="40">
        <v>11.95</v>
      </c>
      <c r="T676" s="18" t="b">
        <v>1</v>
      </c>
      <c r="U676" s="25">
        <v>45262</v>
      </c>
      <c r="V676" s="63" t="str">
        <f>IF(MONTH(Table22[[#This Row],[Sales Date]])&lt;=3,"Q1",IF(MONTH(Table22[[#This Row],[Sales Date]])&lt;=6,"Q2",IF(MONTH(Table22[[#This Row],[Sales Date]])&lt;=9,"Q3","Q4")))</f>
        <v>Q4</v>
      </c>
      <c r="W676" s="64">
        <f>YEAR(Table22[[#This Row],[Sales Date]])</f>
        <v>2023</v>
      </c>
      <c r="X676" s="23">
        <v>65</v>
      </c>
      <c r="Y676" s="18" t="s">
        <v>49</v>
      </c>
      <c r="Z676" s="18" t="s">
        <v>24</v>
      </c>
      <c r="AA676" s="19" t="s">
        <v>25</v>
      </c>
    </row>
    <row r="677" spans="1:27" x14ac:dyDescent="0.25">
      <c r="A677" s="17" t="s">
        <v>879</v>
      </c>
      <c r="B677" s="18" t="s">
        <v>32</v>
      </c>
      <c r="C677" s="63" t="str" cm="1">
        <f t="array" ref="C677">_xlfn.SWITCH(Table22[[#This Row],[Country]],"USA","North America","Canada","North America","Brazil","South America","China","Asia","Japan","Asia","India","Asia","France","Europe","Germany","Europe","UK","Europe","Australia","Oceania","South America")</f>
        <v>Asia</v>
      </c>
      <c r="D677" s="18" t="s">
        <v>44</v>
      </c>
      <c r="E677" s="18" t="s">
        <v>39</v>
      </c>
      <c r="F677" s="18" t="s">
        <v>20</v>
      </c>
      <c r="G677" s="18" t="s">
        <v>40</v>
      </c>
      <c r="H677" s="64">
        <f>LEN(TRIM(Table22[[#This Row],[Country]]))</f>
        <v>5</v>
      </c>
      <c r="I677" s="64">
        <f>LEN(TRIM(Table22[[#This Row],[Continent]]))</f>
        <v>4</v>
      </c>
      <c r="J677" s="64">
        <f>LEN(TRIM(Table22[[#This Row],[Product]]))</f>
        <v>10</v>
      </c>
      <c r="K677" s="64">
        <f>LEN(TRIM(Table22[[#This Row],[Sales Team]]))</f>
        <v>10</v>
      </c>
      <c r="L677" s="23">
        <v>63</v>
      </c>
      <c r="M677" s="65" t="str" cm="1">
        <f t="array" ref="M677">_xlfn.IFS(Table22[[#This Row],[Units Sold]]&lt;40,"Critical",Table22[[#This Row],[Units Sold]]&lt;=50,"Poor",Table22[[#This Row],[Units Sold]]&lt;=60,"Low",Table22[[#This Row],[Units Sold]]&lt;=80,"Average",Table22[[#This Row],[Units Sold]]&lt;=90,"High",Table22[[#This Row],[Units Sold]]&lt;=95,"Excellent",Table22[[#This Row],[Units Sold]]&gt;95,"Outstanding")</f>
        <v>Average</v>
      </c>
      <c r="N677" s="29">
        <v>769.78</v>
      </c>
      <c r="O677" s="29">
        <v>48496.14</v>
      </c>
      <c r="P677" s="43">
        <f>IF(Table22[[#This Row],[Discount Applied]],Table22[[#This Row],[Total Sales (in USD)]]*(1-Table22[[#This Row],[Discount Percentage (%)]]/100),Table22[[#This Row],[Total Sales (in USD)]])</f>
        <v>38326.499442</v>
      </c>
      <c r="Q677" s="66">
        <f>SQRT(AVERAGE((Table22[[#This Row],[Net Sales (after discount) (in USD)]]-AVERAGE(Table22[Net Sales (after discount) (in USD)]))^2))</f>
        <v>1815.1388782354625</v>
      </c>
      <c r="R677" s="18" t="b">
        <v>1</v>
      </c>
      <c r="S677" s="40">
        <v>20.97</v>
      </c>
      <c r="T677" s="18" t="b">
        <v>1</v>
      </c>
      <c r="U677" s="25">
        <v>45185</v>
      </c>
      <c r="V677" s="63" t="str">
        <f>IF(MONTH(Table22[[#This Row],[Sales Date]])&lt;=3,"Q1",IF(MONTH(Table22[[#This Row],[Sales Date]])&lt;=6,"Q2",IF(MONTH(Table22[[#This Row],[Sales Date]])&lt;=9,"Q3","Q4")))</f>
        <v>Q3</v>
      </c>
      <c r="W677" s="64">
        <f>YEAR(Table22[[#This Row],[Sales Date]])</f>
        <v>2023</v>
      </c>
      <c r="X677" s="23">
        <v>61</v>
      </c>
      <c r="Y677" s="18" t="s">
        <v>41</v>
      </c>
      <c r="Z677" s="18" t="s">
        <v>24</v>
      </c>
      <c r="AA677" s="19" t="s">
        <v>36</v>
      </c>
    </row>
    <row r="678" spans="1:27" x14ac:dyDescent="0.25">
      <c r="A678" s="17" t="s">
        <v>1748</v>
      </c>
      <c r="B678" s="18" t="s">
        <v>76</v>
      </c>
      <c r="C678" s="63" t="str" cm="1">
        <f t="array" ref="C678">_xlfn.SWITCH(Table22[[#This Row],[Country]],"USA","North America","Canada","North America","Brazil","South America","China","Asia","Japan","Asia","India","Asia","France","Europe","Germany","Europe","UK","Europe","Australia","Oceania","South America")</f>
        <v>Asia</v>
      </c>
      <c r="D678" s="18" t="s">
        <v>28</v>
      </c>
      <c r="E678" s="18" t="s">
        <v>33</v>
      </c>
      <c r="F678" s="18" t="s">
        <v>34</v>
      </c>
      <c r="G678" s="18" t="s">
        <v>22</v>
      </c>
      <c r="H678" s="64">
        <f>LEN(TRIM(Table22[[#This Row],[Country]]))</f>
        <v>5</v>
      </c>
      <c r="I678" s="64">
        <f>LEN(TRIM(Table22[[#This Row],[Continent]]))</f>
        <v>4</v>
      </c>
      <c r="J678" s="64">
        <f>LEN(TRIM(Table22[[#This Row],[Product]]))</f>
        <v>10</v>
      </c>
      <c r="K678" s="64">
        <f>LEN(TRIM(Table22[[#This Row],[Sales Team]]))</f>
        <v>10</v>
      </c>
      <c r="L678" s="23">
        <v>39</v>
      </c>
      <c r="M678" s="65" t="str" cm="1">
        <f t="array" ref="M678">_xlfn.IFS(Table22[[#This Row],[Units Sold]]&lt;40,"Critical",Table22[[#This Row],[Units Sold]]&lt;=50,"Poor",Table22[[#This Row],[Units Sold]]&lt;=60,"Low",Table22[[#This Row],[Units Sold]]&lt;=80,"Average",Table22[[#This Row],[Units Sold]]&lt;=90,"High",Table22[[#This Row],[Units Sold]]&lt;=95,"Excellent",Table22[[#This Row],[Units Sold]]&gt;95,"Outstanding")</f>
        <v>Critical</v>
      </c>
      <c r="N678" s="29">
        <v>1242.6500000000001</v>
      </c>
      <c r="O678" s="29">
        <v>48463.35</v>
      </c>
      <c r="P678" s="43">
        <f>IF(Table22[[#This Row],[Discount Applied]],Table22[[#This Row],[Total Sales (in USD)]]*(1-Table22[[#This Row],[Discount Percentage (%)]]/100),Table22[[#This Row],[Total Sales (in USD)]])</f>
        <v>48463.35</v>
      </c>
      <c r="Q678" s="66">
        <f>SQRT(AVERAGE((Table22[[#This Row],[Net Sales (after discount) (in USD)]]-AVERAGE(Table22[Net Sales (after discount) (in USD)]))^2))</f>
        <v>11951.989436235461</v>
      </c>
      <c r="R678" s="18" t="b">
        <v>0</v>
      </c>
      <c r="S678" s="40">
        <v>0.66</v>
      </c>
      <c r="T678" s="18" t="b">
        <v>0</v>
      </c>
      <c r="U678" s="25">
        <v>45054</v>
      </c>
      <c r="V678" s="63" t="str">
        <f>IF(MONTH(Table22[[#This Row],[Sales Date]])&lt;=3,"Q1",IF(MONTH(Table22[[#This Row],[Sales Date]])&lt;=6,"Q2",IF(MONTH(Table22[[#This Row],[Sales Date]])&lt;=9,"Q3","Q4")))</f>
        <v>Q2</v>
      </c>
      <c r="W678" s="64">
        <f>YEAR(Table22[[#This Row],[Sales Date]])</f>
        <v>2023</v>
      </c>
      <c r="X678" s="23">
        <v>64</v>
      </c>
      <c r="Y678" s="18" t="s">
        <v>41</v>
      </c>
      <c r="Z678" s="18" t="s">
        <v>56</v>
      </c>
      <c r="AA678" s="19" t="s">
        <v>25</v>
      </c>
    </row>
    <row r="679" spans="1:27" x14ac:dyDescent="0.25">
      <c r="A679" s="17" t="s">
        <v>1244</v>
      </c>
      <c r="B679" s="18" t="s">
        <v>38</v>
      </c>
      <c r="C679" s="63" t="str" cm="1">
        <f t="array" ref="C679">_xlfn.SWITCH(Table22[[#This Row],[Country]],"USA","North America","Canada","North America","Brazil","South America","China","Asia","Japan","Asia","India","Asia","France","Europe","Germany","Europe","UK","Europe","Australia","Oceania","South America")</f>
        <v>Europe</v>
      </c>
      <c r="D679" s="18" t="s">
        <v>28</v>
      </c>
      <c r="E679" s="18" t="s">
        <v>39</v>
      </c>
      <c r="F679" s="18" t="s">
        <v>20</v>
      </c>
      <c r="G679" s="18" t="s">
        <v>48</v>
      </c>
      <c r="H679" s="64">
        <f>LEN(TRIM(Table22[[#This Row],[Country]]))</f>
        <v>6</v>
      </c>
      <c r="I679" s="64">
        <f>LEN(TRIM(Table22[[#This Row],[Continent]]))</f>
        <v>6</v>
      </c>
      <c r="J679" s="64">
        <f>LEN(TRIM(Table22[[#This Row],[Product]]))</f>
        <v>10</v>
      </c>
      <c r="K679" s="64">
        <f>LEN(TRIM(Table22[[#This Row],[Sales Team]]))</f>
        <v>9</v>
      </c>
      <c r="L679" s="23">
        <v>42</v>
      </c>
      <c r="M679" s="65" t="str" cm="1">
        <f t="array" ref="M679">_xlfn.IFS(Table22[[#This Row],[Units Sold]]&lt;40,"Critical",Table22[[#This Row],[Units Sold]]&lt;=50,"Poor",Table22[[#This Row],[Units Sold]]&lt;=60,"Low",Table22[[#This Row],[Units Sold]]&lt;=80,"Average",Table22[[#This Row],[Units Sold]]&lt;=90,"High",Table22[[#This Row],[Units Sold]]&lt;=95,"Excellent",Table22[[#This Row],[Units Sold]]&gt;95,"Outstanding")</f>
        <v>Poor</v>
      </c>
      <c r="N679" s="29">
        <v>1152.99</v>
      </c>
      <c r="O679" s="29">
        <v>48425.58</v>
      </c>
      <c r="P679" s="43">
        <f>IF(Table22[[#This Row],[Discount Applied]],Table22[[#This Row],[Total Sales (in USD)]]*(1-Table22[[#This Row],[Discount Percentage (%)]]/100),Table22[[#This Row],[Total Sales (in USD)]])</f>
        <v>48425.58</v>
      </c>
      <c r="Q679" s="66">
        <f>SQRT(AVERAGE((Table22[[#This Row],[Net Sales (after discount) (in USD)]]-AVERAGE(Table22[Net Sales (after discount) (in USD)]))^2))</f>
        <v>11914.219436235464</v>
      </c>
      <c r="R679" s="18" t="b">
        <v>1</v>
      </c>
      <c r="S679" s="40">
        <v>6.22</v>
      </c>
      <c r="T679" s="18" t="b">
        <v>0</v>
      </c>
      <c r="U679" s="25">
        <v>45199</v>
      </c>
      <c r="V679" s="63" t="str">
        <f>IF(MONTH(Table22[[#This Row],[Sales Date]])&lt;=3,"Q1",IF(MONTH(Table22[[#This Row],[Sales Date]])&lt;=6,"Q2",IF(MONTH(Table22[[#This Row],[Sales Date]])&lt;=9,"Q3","Q4")))</f>
        <v>Q3</v>
      </c>
      <c r="W679" s="64">
        <f>YEAR(Table22[[#This Row],[Sales Date]])</f>
        <v>2023</v>
      </c>
      <c r="X679" s="23">
        <v>48</v>
      </c>
      <c r="Y679" s="18" t="s">
        <v>23</v>
      </c>
      <c r="Z679" s="18" t="s">
        <v>42</v>
      </c>
      <c r="AA679" s="19" t="s">
        <v>25</v>
      </c>
    </row>
    <row r="680" spans="1:27" x14ac:dyDescent="0.25">
      <c r="A680" s="17" t="s">
        <v>718</v>
      </c>
      <c r="B680" s="18" t="s">
        <v>38</v>
      </c>
      <c r="C680" s="63" t="str" cm="1">
        <f t="array" ref="C680">_xlfn.SWITCH(Table22[[#This Row],[Country]],"USA","North America","Canada","North America","Brazil","South America","China","Asia","Japan","Asia","India","Asia","France","Europe","Germany","Europe","UK","Europe","Australia","Oceania","South America")</f>
        <v>Europe</v>
      </c>
      <c r="D680" s="18" t="s">
        <v>21</v>
      </c>
      <c r="E680" s="18" t="s">
        <v>33</v>
      </c>
      <c r="F680" s="18" t="s">
        <v>52</v>
      </c>
      <c r="G680" s="18" t="s">
        <v>48</v>
      </c>
      <c r="H680" s="64">
        <f>LEN(TRIM(Table22[[#This Row],[Country]]))</f>
        <v>6</v>
      </c>
      <c r="I680" s="64">
        <f>LEN(TRIM(Table22[[#This Row],[Continent]]))</f>
        <v>6</v>
      </c>
      <c r="J680" s="64">
        <f>LEN(TRIM(Table22[[#This Row],[Product]]))</f>
        <v>10</v>
      </c>
      <c r="K680" s="64">
        <f>LEN(TRIM(Table22[[#This Row],[Sales Team]]))</f>
        <v>9</v>
      </c>
      <c r="L680" s="23">
        <v>95</v>
      </c>
      <c r="M680" s="65" t="str" cm="1">
        <f t="array" ref="M680">_xlfn.IFS(Table22[[#This Row],[Units Sold]]&lt;40,"Critical",Table22[[#This Row],[Units Sold]]&lt;=50,"Poor",Table22[[#This Row],[Units Sold]]&lt;=60,"Low",Table22[[#This Row],[Units Sold]]&lt;=80,"Average",Table22[[#This Row],[Units Sold]]&lt;=90,"High",Table22[[#This Row],[Units Sold]]&lt;=95,"Excellent",Table22[[#This Row],[Units Sold]]&gt;95,"Outstanding")</f>
        <v>Excellent</v>
      </c>
      <c r="N680" s="29">
        <v>508.93</v>
      </c>
      <c r="O680" s="29">
        <v>48348.35</v>
      </c>
      <c r="P680" s="43">
        <f>IF(Table22[[#This Row],[Discount Applied]],Table22[[#This Row],[Total Sales (in USD)]]*(1-Table22[[#This Row],[Discount Percentage (%)]]/100),Table22[[#This Row],[Total Sales (in USD)]])</f>
        <v>48348.35</v>
      </c>
      <c r="Q680" s="66">
        <f>SQRT(AVERAGE((Table22[[#This Row],[Net Sales (after discount) (in USD)]]-AVERAGE(Table22[Net Sales (after discount) (in USD)]))^2))</f>
        <v>11836.989436235461</v>
      </c>
      <c r="R680" s="18" t="b">
        <v>0</v>
      </c>
      <c r="S680" s="40">
        <v>2.54</v>
      </c>
      <c r="T680" s="18" t="b">
        <v>0</v>
      </c>
      <c r="U680" s="25">
        <v>45060</v>
      </c>
      <c r="V680" s="63" t="str">
        <f>IF(MONTH(Table22[[#This Row],[Sales Date]])&lt;=3,"Q1",IF(MONTH(Table22[[#This Row],[Sales Date]])&lt;=6,"Q2",IF(MONTH(Table22[[#This Row],[Sales Date]])&lt;=9,"Q3","Q4")))</f>
        <v>Q2</v>
      </c>
      <c r="W680" s="64">
        <f>YEAR(Table22[[#This Row],[Sales Date]])</f>
        <v>2023</v>
      </c>
      <c r="X680" s="23">
        <v>50</v>
      </c>
      <c r="Y680" s="18" t="s">
        <v>49</v>
      </c>
      <c r="Z680" s="18" t="s">
        <v>56</v>
      </c>
      <c r="AA680" s="19" t="s">
        <v>36</v>
      </c>
    </row>
    <row r="681" spans="1:27" x14ac:dyDescent="0.25">
      <c r="A681" s="17" t="s">
        <v>364</v>
      </c>
      <c r="B681" s="18" t="s">
        <v>76</v>
      </c>
      <c r="C681" s="63" t="str" cm="1">
        <f t="array" ref="C681">_xlfn.SWITCH(Table22[[#This Row],[Country]],"USA","North America","Canada","North America","Brazil","South America","China","Asia","Japan","Asia","India","Asia","France","Europe","Germany","Europe","UK","Europe","Australia","Oceania","South America")</f>
        <v>Asia</v>
      </c>
      <c r="D681" s="18" t="s">
        <v>21</v>
      </c>
      <c r="E681" s="18" t="s">
        <v>33</v>
      </c>
      <c r="F681" s="18" t="s">
        <v>34</v>
      </c>
      <c r="G681" s="18" t="s">
        <v>29</v>
      </c>
      <c r="H681" s="64">
        <f>LEN(TRIM(Table22[[#This Row],[Country]]))</f>
        <v>5</v>
      </c>
      <c r="I681" s="64">
        <f>LEN(TRIM(Table22[[#This Row],[Continent]]))</f>
        <v>4</v>
      </c>
      <c r="J681" s="64">
        <f>LEN(TRIM(Table22[[#This Row],[Product]]))</f>
        <v>10</v>
      </c>
      <c r="K681" s="64">
        <f>LEN(TRIM(Table22[[#This Row],[Sales Team]]))</f>
        <v>10</v>
      </c>
      <c r="L681" s="23">
        <v>60</v>
      </c>
      <c r="M681" s="65" t="str" cm="1">
        <f t="array" ref="M681">_xlfn.IFS(Table22[[#This Row],[Units Sold]]&lt;40,"Critical",Table22[[#This Row],[Units Sold]]&lt;=50,"Poor",Table22[[#This Row],[Units Sold]]&lt;=60,"Low",Table22[[#This Row],[Units Sold]]&lt;=80,"Average",Table22[[#This Row],[Units Sold]]&lt;=90,"High",Table22[[#This Row],[Units Sold]]&lt;=95,"Excellent",Table22[[#This Row],[Units Sold]]&gt;95,"Outstanding")</f>
        <v>Low</v>
      </c>
      <c r="N681" s="29">
        <v>804.27</v>
      </c>
      <c r="O681" s="29">
        <v>48256.2</v>
      </c>
      <c r="P681" s="43">
        <f>IF(Table22[[#This Row],[Discount Applied]],Table22[[#This Row],[Total Sales (in USD)]]*(1-Table22[[#This Row],[Discount Percentage (%)]]/100),Table22[[#This Row],[Total Sales (in USD)]])</f>
        <v>43010.751059999995</v>
      </c>
      <c r="Q681" s="66">
        <f>SQRT(AVERAGE((Table22[[#This Row],[Net Sales (after discount) (in USD)]]-AVERAGE(Table22[Net Sales (after discount) (in USD)]))^2))</f>
        <v>6499.3904962354572</v>
      </c>
      <c r="R681" s="18" t="b">
        <v>0</v>
      </c>
      <c r="S681" s="40">
        <v>10.87</v>
      </c>
      <c r="T681" s="18" t="b">
        <v>1</v>
      </c>
      <c r="U681" s="25">
        <v>45579</v>
      </c>
      <c r="V681" s="63" t="str">
        <f>IF(MONTH(Table22[[#This Row],[Sales Date]])&lt;=3,"Q1",IF(MONTH(Table22[[#This Row],[Sales Date]])&lt;=6,"Q2",IF(MONTH(Table22[[#This Row],[Sales Date]])&lt;=9,"Q3","Q4")))</f>
        <v>Q4</v>
      </c>
      <c r="W681" s="64">
        <f>YEAR(Table22[[#This Row],[Sales Date]])</f>
        <v>2024</v>
      </c>
      <c r="X681" s="23">
        <v>32</v>
      </c>
      <c r="Y681" s="18" t="s">
        <v>23</v>
      </c>
      <c r="Z681" s="18" t="s">
        <v>30</v>
      </c>
      <c r="AA681" s="19" t="s">
        <v>36</v>
      </c>
    </row>
    <row r="682" spans="1:27" x14ac:dyDescent="0.25">
      <c r="A682" s="17" t="s">
        <v>1511</v>
      </c>
      <c r="B682" s="18" t="s">
        <v>72</v>
      </c>
      <c r="C682" s="63" t="str" cm="1">
        <f t="array" ref="C682">_xlfn.SWITCH(Table22[[#This Row],[Country]],"USA","North America","Canada","North America","Brazil","South America","China","Asia","Japan","Asia","India","Asia","France","Europe","Germany","Europe","UK","Europe","Australia","Oceania","South America")</f>
        <v>North America</v>
      </c>
      <c r="D682" s="18" t="s">
        <v>44</v>
      </c>
      <c r="E682" s="18" t="s">
        <v>19</v>
      </c>
      <c r="F682" s="18" t="s">
        <v>20</v>
      </c>
      <c r="G682" s="18" t="s">
        <v>40</v>
      </c>
      <c r="H682" s="64">
        <f>LEN(TRIM(Table22[[#This Row],[Country]]))</f>
        <v>3</v>
      </c>
      <c r="I682" s="64">
        <f>LEN(TRIM(Table22[[#This Row],[Continent]]))</f>
        <v>13</v>
      </c>
      <c r="J682" s="64">
        <f>LEN(TRIM(Table22[[#This Row],[Product]]))</f>
        <v>6</v>
      </c>
      <c r="K682" s="64">
        <f>LEN(TRIM(Table22[[#This Row],[Sales Team]]))</f>
        <v>10</v>
      </c>
      <c r="L682" s="23">
        <v>49</v>
      </c>
      <c r="M682" s="65" t="str" cm="1">
        <f t="array" ref="M682">_xlfn.IFS(Table22[[#This Row],[Units Sold]]&lt;40,"Critical",Table22[[#This Row],[Units Sold]]&lt;=50,"Poor",Table22[[#This Row],[Units Sold]]&lt;=60,"Low",Table22[[#This Row],[Units Sold]]&lt;=80,"Average",Table22[[#This Row],[Units Sold]]&lt;=90,"High",Table22[[#This Row],[Units Sold]]&lt;=95,"Excellent",Table22[[#This Row],[Units Sold]]&gt;95,"Outstanding")</f>
        <v>Poor</v>
      </c>
      <c r="N682" s="29">
        <v>984.77</v>
      </c>
      <c r="O682" s="29">
        <v>48253.73</v>
      </c>
      <c r="P682" s="43">
        <f>IF(Table22[[#This Row],[Discount Applied]],Table22[[#This Row],[Total Sales (in USD)]]*(1-Table22[[#This Row],[Discount Percentage (%)]]/100),Table22[[#This Row],[Total Sales (in USD)]])</f>
        <v>34274.624419</v>
      </c>
      <c r="Q682" s="66">
        <f>SQRT(AVERAGE((Table22[[#This Row],[Net Sales (after discount) (in USD)]]-AVERAGE(Table22[Net Sales (after discount) (in USD)]))^2))</f>
        <v>2236.736144764538</v>
      </c>
      <c r="R682" s="18" t="b">
        <v>0</v>
      </c>
      <c r="S682" s="40">
        <v>28.97</v>
      </c>
      <c r="T682" s="18" t="b">
        <v>1</v>
      </c>
      <c r="U682" s="25">
        <v>45393</v>
      </c>
      <c r="V682" s="63" t="str">
        <f>IF(MONTH(Table22[[#This Row],[Sales Date]])&lt;=3,"Q1",IF(MONTH(Table22[[#This Row],[Sales Date]])&lt;=6,"Q2",IF(MONTH(Table22[[#This Row],[Sales Date]])&lt;=9,"Q3","Q4")))</f>
        <v>Q2</v>
      </c>
      <c r="W682" s="64">
        <f>YEAR(Table22[[#This Row],[Sales Date]])</f>
        <v>2024</v>
      </c>
      <c r="X682" s="23">
        <v>35</v>
      </c>
      <c r="Y682" s="18" t="s">
        <v>23</v>
      </c>
      <c r="Z682" s="18" t="s">
        <v>56</v>
      </c>
      <c r="AA682" s="19" t="s">
        <v>25</v>
      </c>
    </row>
    <row r="683" spans="1:27" x14ac:dyDescent="0.25">
      <c r="A683" s="17" t="s">
        <v>946</v>
      </c>
      <c r="B683" s="18" t="s">
        <v>76</v>
      </c>
      <c r="C683" s="63" t="str" cm="1">
        <f t="array" ref="C683">_xlfn.SWITCH(Table22[[#This Row],[Country]],"USA","North America","Canada","North America","Brazil","South America","China","Asia","Japan","Asia","India","Asia","France","Europe","Germany","Europe","UK","Europe","Australia","Oceania","South America")</f>
        <v>Asia</v>
      </c>
      <c r="D683" s="18" t="s">
        <v>35</v>
      </c>
      <c r="E683" s="18" t="s">
        <v>39</v>
      </c>
      <c r="F683" s="18" t="s">
        <v>47</v>
      </c>
      <c r="G683" s="18" t="s">
        <v>40</v>
      </c>
      <c r="H683" s="64">
        <f>LEN(TRIM(Table22[[#This Row],[Country]]))</f>
        <v>5</v>
      </c>
      <c r="I683" s="64">
        <f>LEN(TRIM(Table22[[#This Row],[Continent]]))</f>
        <v>4</v>
      </c>
      <c r="J683" s="64">
        <f>LEN(TRIM(Table22[[#This Row],[Product]]))</f>
        <v>10</v>
      </c>
      <c r="K683" s="64">
        <f>LEN(TRIM(Table22[[#This Row],[Sales Team]]))</f>
        <v>10</v>
      </c>
      <c r="L683" s="23">
        <v>44</v>
      </c>
      <c r="M683" s="65" t="str" cm="1">
        <f t="array" ref="M683">_xlfn.IFS(Table22[[#This Row],[Units Sold]]&lt;40,"Critical",Table22[[#This Row],[Units Sold]]&lt;=50,"Poor",Table22[[#This Row],[Units Sold]]&lt;=60,"Low",Table22[[#This Row],[Units Sold]]&lt;=80,"Average",Table22[[#This Row],[Units Sold]]&lt;=90,"High",Table22[[#This Row],[Units Sold]]&lt;=95,"Excellent",Table22[[#This Row],[Units Sold]]&gt;95,"Outstanding")</f>
        <v>Poor</v>
      </c>
      <c r="N683" s="29">
        <v>1089.97</v>
      </c>
      <c r="O683" s="29">
        <v>47958.68</v>
      </c>
      <c r="P683" s="43">
        <f>IF(Table22[[#This Row],[Discount Applied]],Table22[[#This Row],[Total Sales (in USD)]]*(1-Table22[[#This Row],[Discount Percentage (%)]]/100),Table22[[#This Row],[Total Sales (in USD)]])</f>
        <v>47958.68</v>
      </c>
      <c r="Q683" s="66">
        <f>SQRT(AVERAGE((Table22[[#This Row],[Net Sales (after discount) (in USD)]]-AVERAGE(Table22[Net Sales (after discount) (in USD)]))^2))</f>
        <v>11447.319436235462</v>
      </c>
      <c r="R683" s="18" t="b">
        <v>0</v>
      </c>
      <c r="S683" s="40">
        <v>25.88</v>
      </c>
      <c r="T683" s="18" t="b">
        <v>0</v>
      </c>
      <c r="U683" s="25">
        <v>45093</v>
      </c>
      <c r="V683" s="63" t="str">
        <f>IF(MONTH(Table22[[#This Row],[Sales Date]])&lt;=3,"Q1",IF(MONTH(Table22[[#This Row],[Sales Date]])&lt;=6,"Q2",IF(MONTH(Table22[[#This Row],[Sales Date]])&lt;=9,"Q3","Q4")))</f>
        <v>Q2</v>
      </c>
      <c r="W683" s="64">
        <f>YEAR(Table22[[#This Row],[Sales Date]])</f>
        <v>2023</v>
      </c>
      <c r="X683" s="23">
        <v>42</v>
      </c>
      <c r="Y683" s="18" t="s">
        <v>49</v>
      </c>
      <c r="Z683" s="18" t="s">
        <v>24</v>
      </c>
      <c r="AA683" s="19" t="s">
        <v>25</v>
      </c>
    </row>
    <row r="684" spans="1:27" x14ac:dyDescent="0.25">
      <c r="A684" s="17" t="s">
        <v>798</v>
      </c>
      <c r="B684" s="18" t="s">
        <v>46</v>
      </c>
      <c r="C684" s="63" t="str" cm="1">
        <f t="array" ref="C684">_xlfn.SWITCH(Table22[[#This Row],[Country]],"USA","North America","Canada","North America","Brazil","South America","China","Asia","Japan","Asia","India","Asia","France","Europe","Germany","Europe","UK","Europe","Australia","Oceania","South America")</f>
        <v>South America</v>
      </c>
      <c r="D684" s="18" t="s">
        <v>35</v>
      </c>
      <c r="E684" s="18" t="s">
        <v>19</v>
      </c>
      <c r="F684" s="18" t="s">
        <v>64</v>
      </c>
      <c r="G684" s="18" t="s">
        <v>40</v>
      </c>
      <c r="H684" s="64">
        <f>LEN(TRIM(Table22[[#This Row],[Country]]))</f>
        <v>6</v>
      </c>
      <c r="I684" s="64">
        <f>LEN(TRIM(Table22[[#This Row],[Continent]]))</f>
        <v>13</v>
      </c>
      <c r="J684" s="64">
        <f>LEN(TRIM(Table22[[#This Row],[Product]]))</f>
        <v>6</v>
      </c>
      <c r="K684" s="64">
        <f>LEN(TRIM(Table22[[#This Row],[Sales Team]]))</f>
        <v>10</v>
      </c>
      <c r="L684" s="23">
        <v>40</v>
      </c>
      <c r="M684" s="65" t="str" cm="1">
        <f t="array" ref="M684">_xlfn.IFS(Table22[[#This Row],[Units Sold]]&lt;40,"Critical",Table22[[#This Row],[Units Sold]]&lt;=50,"Poor",Table22[[#This Row],[Units Sold]]&lt;=60,"Low",Table22[[#This Row],[Units Sold]]&lt;=80,"Average",Table22[[#This Row],[Units Sold]]&lt;=90,"High",Table22[[#This Row],[Units Sold]]&lt;=95,"Excellent",Table22[[#This Row],[Units Sold]]&gt;95,"Outstanding")</f>
        <v>Poor</v>
      </c>
      <c r="N684" s="29">
        <v>1198.46</v>
      </c>
      <c r="O684" s="29">
        <v>47938.400000000001</v>
      </c>
      <c r="P684" s="43">
        <f>IF(Table22[[#This Row],[Discount Applied]],Table22[[#This Row],[Total Sales (in USD)]]*(1-Table22[[#This Row],[Discount Percentage (%)]]/100),Table22[[#This Row],[Total Sales (in USD)]])</f>
        <v>45603.799920000005</v>
      </c>
      <c r="Q684" s="66">
        <f>SQRT(AVERAGE((Table22[[#This Row],[Net Sales (after discount) (in USD)]]-AVERAGE(Table22[Net Sales (after discount) (in USD)]))^2))</f>
        <v>9092.4393562354671</v>
      </c>
      <c r="R684" s="18" t="b">
        <v>0</v>
      </c>
      <c r="S684" s="40">
        <v>4.87</v>
      </c>
      <c r="T684" s="18" t="b">
        <v>1</v>
      </c>
      <c r="U684" s="25">
        <v>45078</v>
      </c>
      <c r="V684" s="63" t="str">
        <f>IF(MONTH(Table22[[#This Row],[Sales Date]])&lt;=3,"Q1",IF(MONTH(Table22[[#This Row],[Sales Date]])&lt;=6,"Q2",IF(MONTH(Table22[[#This Row],[Sales Date]])&lt;=9,"Q3","Q4")))</f>
        <v>Q2</v>
      </c>
      <c r="W684" s="64">
        <f>YEAR(Table22[[#This Row],[Sales Date]])</f>
        <v>2023</v>
      </c>
      <c r="X684" s="23">
        <v>63</v>
      </c>
      <c r="Y684" s="18" t="s">
        <v>23</v>
      </c>
      <c r="Z684" s="18" t="s">
        <v>24</v>
      </c>
      <c r="AA684" s="19" t="s">
        <v>25</v>
      </c>
    </row>
    <row r="685" spans="1:27" x14ac:dyDescent="0.25">
      <c r="A685" s="17" t="s">
        <v>1657</v>
      </c>
      <c r="B685" s="18" t="s">
        <v>62</v>
      </c>
      <c r="C685" s="63" t="str" cm="1">
        <f t="array" ref="C685">_xlfn.SWITCH(Table22[[#This Row],[Country]],"USA","North America","Canada","North America","Brazil","South America","China","Asia","Japan","Asia","India","Asia","France","Europe","Germany","Europe","UK","Europe","Australia","Oceania","South America")</f>
        <v>Oceania</v>
      </c>
      <c r="D685" s="18" t="s">
        <v>28</v>
      </c>
      <c r="E685" s="18" t="s">
        <v>39</v>
      </c>
      <c r="F685" s="18" t="s">
        <v>34</v>
      </c>
      <c r="G685" s="18" t="s">
        <v>22</v>
      </c>
      <c r="H685" s="64">
        <f>LEN(TRIM(Table22[[#This Row],[Country]]))</f>
        <v>9</v>
      </c>
      <c r="I685" s="64">
        <f>LEN(TRIM(Table22[[#This Row],[Continent]]))</f>
        <v>7</v>
      </c>
      <c r="J685" s="64">
        <f>LEN(TRIM(Table22[[#This Row],[Product]]))</f>
        <v>10</v>
      </c>
      <c r="K685" s="64">
        <f>LEN(TRIM(Table22[[#This Row],[Sales Team]]))</f>
        <v>10</v>
      </c>
      <c r="L685" s="23">
        <v>80</v>
      </c>
      <c r="M685" s="65" t="str" cm="1">
        <f t="array" ref="M685">_xlfn.IFS(Table22[[#This Row],[Units Sold]]&lt;40,"Critical",Table22[[#This Row],[Units Sold]]&lt;=50,"Poor",Table22[[#This Row],[Units Sold]]&lt;=60,"Low",Table22[[#This Row],[Units Sold]]&lt;=80,"Average",Table22[[#This Row],[Units Sold]]&lt;=90,"High",Table22[[#This Row],[Units Sold]]&lt;=95,"Excellent",Table22[[#This Row],[Units Sold]]&gt;95,"Outstanding")</f>
        <v>Average</v>
      </c>
      <c r="N685" s="29">
        <v>594.11</v>
      </c>
      <c r="O685" s="29">
        <v>47528.800000000003</v>
      </c>
      <c r="P685" s="43">
        <f>IF(Table22[[#This Row],[Discount Applied]],Table22[[#This Row],[Total Sales (in USD)]]*(1-Table22[[#This Row],[Discount Percentage (%)]]/100),Table22[[#This Row],[Total Sales (in USD)]])</f>
        <v>47528.800000000003</v>
      </c>
      <c r="Q685" s="66">
        <f>SQRT(AVERAGE((Table22[[#This Row],[Net Sales (after discount) (in USD)]]-AVERAGE(Table22[Net Sales (after discount) (in USD)]))^2))</f>
        <v>11017.439436235465</v>
      </c>
      <c r="R685" s="18" t="b">
        <v>1</v>
      </c>
      <c r="S685" s="40">
        <v>7.27</v>
      </c>
      <c r="T685" s="18" t="b">
        <v>0</v>
      </c>
      <c r="U685" s="25">
        <v>45551</v>
      </c>
      <c r="V685" s="63" t="str">
        <f>IF(MONTH(Table22[[#This Row],[Sales Date]])&lt;=3,"Q1",IF(MONTH(Table22[[#This Row],[Sales Date]])&lt;=6,"Q2",IF(MONTH(Table22[[#This Row],[Sales Date]])&lt;=9,"Q3","Q4")))</f>
        <v>Q3</v>
      </c>
      <c r="W685" s="64">
        <f>YEAR(Table22[[#This Row],[Sales Date]])</f>
        <v>2024</v>
      </c>
      <c r="X685" s="23">
        <v>55</v>
      </c>
      <c r="Y685" s="18" t="s">
        <v>49</v>
      </c>
      <c r="Z685" s="18" t="s">
        <v>56</v>
      </c>
      <c r="AA685" s="19" t="s">
        <v>36</v>
      </c>
    </row>
    <row r="686" spans="1:27" x14ac:dyDescent="0.25">
      <c r="A686" s="17" t="s">
        <v>401</v>
      </c>
      <c r="B686" s="18" t="s">
        <v>66</v>
      </c>
      <c r="C686" s="63" t="str" cm="1">
        <f t="array" ref="C686">_xlfn.SWITCH(Table22[[#This Row],[Country]],"USA","North America","Canada","North America","Brazil","South America","China","Asia","Japan","Asia","India","Asia","France","Europe","Germany","Europe","UK","Europe","Australia","Oceania","South America")</f>
        <v>North America</v>
      </c>
      <c r="D686" s="18" t="s">
        <v>28</v>
      </c>
      <c r="E686" s="18" t="s">
        <v>19</v>
      </c>
      <c r="F686" s="18" t="s">
        <v>47</v>
      </c>
      <c r="G686" s="18" t="s">
        <v>29</v>
      </c>
      <c r="H686" s="64">
        <f>LEN(TRIM(Table22[[#This Row],[Country]]))</f>
        <v>6</v>
      </c>
      <c r="I686" s="64">
        <f>LEN(TRIM(Table22[[#This Row],[Continent]]))</f>
        <v>13</v>
      </c>
      <c r="J686" s="64">
        <f>LEN(TRIM(Table22[[#This Row],[Product]]))</f>
        <v>6</v>
      </c>
      <c r="K686" s="64">
        <f>LEN(TRIM(Table22[[#This Row],[Sales Team]]))</f>
        <v>10</v>
      </c>
      <c r="L686" s="23">
        <v>39</v>
      </c>
      <c r="M686" s="65" t="str" cm="1">
        <f t="array" ref="M686">_xlfn.IFS(Table22[[#This Row],[Units Sold]]&lt;40,"Critical",Table22[[#This Row],[Units Sold]]&lt;=50,"Poor",Table22[[#This Row],[Units Sold]]&lt;=60,"Low",Table22[[#This Row],[Units Sold]]&lt;=80,"Average",Table22[[#This Row],[Units Sold]]&lt;=90,"High",Table22[[#This Row],[Units Sold]]&lt;=95,"Excellent",Table22[[#This Row],[Units Sold]]&gt;95,"Outstanding")</f>
        <v>Critical</v>
      </c>
      <c r="N686" s="29">
        <v>1218.27</v>
      </c>
      <c r="O686" s="29">
        <v>47512.53</v>
      </c>
      <c r="P686" s="43">
        <f>IF(Table22[[#This Row],[Discount Applied]],Table22[[#This Row],[Total Sales (in USD)]]*(1-Table22[[#This Row],[Discount Percentage (%)]]/100),Table22[[#This Row],[Total Sales (in USD)]])</f>
        <v>47512.53</v>
      </c>
      <c r="Q686" s="66">
        <f>SQRT(AVERAGE((Table22[[#This Row],[Net Sales (after discount) (in USD)]]-AVERAGE(Table22[Net Sales (after discount) (in USD)]))^2))</f>
        <v>11001.169436235461</v>
      </c>
      <c r="R686" s="18" t="b">
        <v>1</v>
      </c>
      <c r="S686" s="40">
        <v>22.16</v>
      </c>
      <c r="T686" s="18" t="b">
        <v>0</v>
      </c>
      <c r="U686" s="25">
        <v>45023</v>
      </c>
      <c r="V686" s="63" t="str">
        <f>IF(MONTH(Table22[[#This Row],[Sales Date]])&lt;=3,"Q1",IF(MONTH(Table22[[#This Row],[Sales Date]])&lt;=6,"Q2",IF(MONTH(Table22[[#This Row],[Sales Date]])&lt;=9,"Q3","Q4")))</f>
        <v>Q2</v>
      </c>
      <c r="W686" s="64">
        <f>YEAR(Table22[[#This Row],[Sales Date]])</f>
        <v>2023</v>
      </c>
      <c r="X686" s="23">
        <v>32</v>
      </c>
      <c r="Y686" s="18" t="s">
        <v>23</v>
      </c>
      <c r="Z686" s="18" t="s">
        <v>30</v>
      </c>
      <c r="AA686" s="19" t="s">
        <v>36</v>
      </c>
    </row>
    <row r="687" spans="1:27" x14ac:dyDescent="0.25">
      <c r="A687" s="17" t="s">
        <v>217</v>
      </c>
      <c r="B687" s="18" t="s">
        <v>72</v>
      </c>
      <c r="C687" s="63" t="str" cm="1">
        <f t="array" ref="C687">_xlfn.SWITCH(Table22[[#This Row],[Country]],"USA","North America","Canada","North America","Brazil","South America","China","Asia","Japan","Asia","India","Asia","France","Europe","Germany","Europe","UK","Europe","Australia","Oceania","South America")</f>
        <v>North America</v>
      </c>
      <c r="D687" s="18" t="s">
        <v>21</v>
      </c>
      <c r="E687" s="18" t="s">
        <v>33</v>
      </c>
      <c r="F687" s="18" t="s">
        <v>20</v>
      </c>
      <c r="G687" s="18" t="s">
        <v>29</v>
      </c>
      <c r="H687" s="64">
        <f>LEN(TRIM(Table22[[#This Row],[Country]]))</f>
        <v>3</v>
      </c>
      <c r="I687" s="64">
        <f>LEN(TRIM(Table22[[#This Row],[Continent]]))</f>
        <v>13</v>
      </c>
      <c r="J687" s="64">
        <f>LEN(TRIM(Table22[[#This Row],[Product]]))</f>
        <v>10</v>
      </c>
      <c r="K687" s="64">
        <f>LEN(TRIM(Table22[[#This Row],[Sales Team]]))</f>
        <v>10</v>
      </c>
      <c r="L687" s="23">
        <v>68</v>
      </c>
      <c r="M687" s="65" t="str" cm="1">
        <f t="array" ref="M687">_xlfn.IFS(Table22[[#This Row],[Units Sold]]&lt;40,"Critical",Table22[[#This Row],[Units Sold]]&lt;=50,"Poor",Table22[[#This Row],[Units Sold]]&lt;=60,"Low",Table22[[#This Row],[Units Sold]]&lt;=80,"Average",Table22[[#This Row],[Units Sold]]&lt;=90,"High",Table22[[#This Row],[Units Sold]]&lt;=95,"Excellent",Table22[[#This Row],[Units Sold]]&gt;95,"Outstanding")</f>
        <v>Average</v>
      </c>
      <c r="N687" s="29">
        <v>698.46</v>
      </c>
      <c r="O687" s="29">
        <v>47495.28</v>
      </c>
      <c r="P687" s="43">
        <f>IF(Table22[[#This Row],[Discount Applied]],Table22[[#This Row],[Total Sales (in USD)]]*(1-Table22[[#This Row],[Discount Percentage (%)]]/100),Table22[[#This Row],[Total Sales (in USD)]])</f>
        <v>47495.28</v>
      </c>
      <c r="Q687" s="66">
        <f>SQRT(AVERAGE((Table22[[#This Row],[Net Sales (after discount) (in USD)]]-AVERAGE(Table22[Net Sales (after discount) (in USD)]))^2))</f>
        <v>10983.919436235461</v>
      </c>
      <c r="R687" s="18" t="b">
        <v>0</v>
      </c>
      <c r="S687" s="40">
        <v>12.01</v>
      </c>
      <c r="T687" s="18" t="b">
        <v>0</v>
      </c>
      <c r="U687" s="25">
        <v>45195</v>
      </c>
      <c r="V687" s="63" t="str">
        <f>IF(MONTH(Table22[[#This Row],[Sales Date]])&lt;=3,"Q1",IF(MONTH(Table22[[#This Row],[Sales Date]])&lt;=6,"Q2",IF(MONTH(Table22[[#This Row],[Sales Date]])&lt;=9,"Q3","Q4")))</f>
        <v>Q3</v>
      </c>
      <c r="W687" s="64">
        <f>YEAR(Table22[[#This Row],[Sales Date]])</f>
        <v>2023</v>
      </c>
      <c r="X687" s="23">
        <v>34</v>
      </c>
      <c r="Y687" s="18" t="s">
        <v>49</v>
      </c>
      <c r="Z687" s="18" t="s">
        <v>56</v>
      </c>
      <c r="AA687" s="19" t="s">
        <v>25</v>
      </c>
    </row>
    <row r="688" spans="1:27" x14ac:dyDescent="0.25">
      <c r="A688" s="17" t="s">
        <v>1939</v>
      </c>
      <c r="B688" s="18" t="s">
        <v>38</v>
      </c>
      <c r="C688" s="63" t="str" cm="1">
        <f t="array" ref="C688">_xlfn.SWITCH(Table22[[#This Row],[Country]],"USA","North America","Canada","North America","Brazil","South America","China","Asia","Japan","Asia","India","Asia","France","Europe","Germany","Europe","UK","Europe","Australia","Oceania","South America")</f>
        <v>Europe</v>
      </c>
      <c r="D688" s="18" t="s">
        <v>21</v>
      </c>
      <c r="E688" s="18" t="s">
        <v>39</v>
      </c>
      <c r="F688" s="18" t="s">
        <v>47</v>
      </c>
      <c r="G688" s="18" t="s">
        <v>22</v>
      </c>
      <c r="H688" s="64">
        <f>LEN(TRIM(Table22[[#This Row],[Country]]))</f>
        <v>6</v>
      </c>
      <c r="I688" s="64">
        <f>LEN(TRIM(Table22[[#This Row],[Continent]]))</f>
        <v>6</v>
      </c>
      <c r="J688" s="64">
        <f>LEN(TRIM(Table22[[#This Row],[Product]]))</f>
        <v>10</v>
      </c>
      <c r="K688" s="64">
        <f>LEN(TRIM(Table22[[#This Row],[Sales Team]]))</f>
        <v>10</v>
      </c>
      <c r="L688" s="23">
        <v>61</v>
      </c>
      <c r="M688" s="65" t="str" cm="1">
        <f t="array" ref="M688">_xlfn.IFS(Table22[[#This Row],[Units Sold]]&lt;40,"Critical",Table22[[#This Row],[Units Sold]]&lt;=50,"Poor",Table22[[#This Row],[Units Sold]]&lt;=60,"Low",Table22[[#This Row],[Units Sold]]&lt;=80,"Average",Table22[[#This Row],[Units Sold]]&lt;=90,"High",Table22[[#This Row],[Units Sold]]&lt;=95,"Excellent",Table22[[#This Row],[Units Sold]]&gt;95,"Outstanding")</f>
        <v>Average</v>
      </c>
      <c r="N688" s="29">
        <v>778.13</v>
      </c>
      <c r="O688" s="29">
        <v>47465.93</v>
      </c>
      <c r="P688" s="43">
        <f>IF(Table22[[#This Row],[Discount Applied]],Table22[[#This Row],[Total Sales (in USD)]]*(1-Table22[[#This Row],[Discount Percentage (%)]]/100),Table22[[#This Row],[Total Sales (in USD)]])</f>
        <v>47465.93</v>
      </c>
      <c r="Q688" s="66">
        <f>SQRT(AVERAGE((Table22[[#This Row],[Net Sales (after discount) (in USD)]]-AVERAGE(Table22[Net Sales (after discount) (in USD)]))^2))</f>
        <v>10954.569436235462</v>
      </c>
      <c r="R688" s="18" t="b">
        <v>0</v>
      </c>
      <c r="S688" s="40">
        <v>28.5</v>
      </c>
      <c r="T688" s="18" t="b">
        <v>0</v>
      </c>
      <c r="U688" s="25">
        <v>45214</v>
      </c>
      <c r="V688" s="63" t="str">
        <f>IF(MONTH(Table22[[#This Row],[Sales Date]])&lt;=3,"Q1",IF(MONTH(Table22[[#This Row],[Sales Date]])&lt;=6,"Q2",IF(MONTH(Table22[[#This Row],[Sales Date]])&lt;=9,"Q3","Q4")))</f>
        <v>Q4</v>
      </c>
      <c r="W688" s="64">
        <f>YEAR(Table22[[#This Row],[Sales Date]])</f>
        <v>2023</v>
      </c>
      <c r="X688" s="23">
        <v>62</v>
      </c>
      <c r="Y688" s="18" t="s">
        <v>23</v>
      </c>
      <c r="Z688" s="18" t="s">
        <v>56</v>
      </c>
      <c r="AA688" s="19" t="s">
        <v>36</v>
      </c>
    </row>
    <row r="689" spans="1:27" x14ac:dyDescent="0.25">
      <c r="A689" s="17" t="s">
        <v>880</v>
      </c>
      <c r="B689" s="18" t="s">
        <v>62</v>
      </c>
      <c r="C689" s="63" t="str" cm="1">
        <f t="array" ref="C689">_xlfn.SWITCH(Table22[[#This Row],[Country]],"USA","North America","Canada","North America","Brazil","South America","China","Asia","Japan","Asia","India","Asia","France","Europe","Germany","Europe","UK","Europe","Australia","Oceania","South America")</f>
        <v>Oceania</v>
      </c>
      <c r="D689" s="18" t="s">
        <v>21</v>
      </c>
      <c r="E689" s="18" t="s">
        <v>19</v>
      </c>
      <c r="F689" s="18" t="s">
        <v>52</v>
      </c>
      <c r="G689" s="18" t="s">
        <v>29</v>
      </c>
      <c r="H689" s="64">
        <f>LEN(TRIM(Table22[[#This Row],[Country]]))</f>
        <v>9</v>
      </c>
      <c r="I689" s="64">
        <f>LEN(TRIM(Table22[[#This Row],[Continent]]))</f>
        <v>7</v>
      </c>
      <c r="J689" s="64">
        <f>LEN(TRIM(Table22[[#This Row],[Product]]))</f>
        <v>6</v>
      </c>
      <c r="K689" s="64">
        <f>LEN(TRIM(Table22[[#This Row],[Sales Team]]))</f>
        <v>10</v>
      </c>
      <c r="L689" s="23">
        <v>96</v>
      </c>
      <c r="M689" s="65" t="str" cm="1">
        <f t="array" ref="M689">_xlfn.IFS(Table22[[#This Row],[Units Sold]]&lt;40,"Critical",Table22[[#This Row],[Units Sold]]&lt;=50,"Poor",Table22[[#This Row],[Units Sold]]&lt;=60,"Low",Table22[[#This Row],[Units Sold]]&lt;=80,"Average",Table22[[#This Row],[Units Sold]]&lt;=90,"High",Table22[[#This Row],[Units Sold]]&lt;=95,"Excellent",Table22[[#This Row],[Units Sold]]&gt;95,"Outstanding")</f>
        <v>Outstanding</v>
      </c>
      <c r="N689" s="29">
        <v>493.7</v>
      </c>
      <c r="O689" s="29">
        <v>47395.199999999997</v>
      </c>
      <c r="P689" s="43">
        <f>IF(Table22[[#This Row],[Discount Applied]],Table22[[#This Row],[Total Sales (in USD)]]*(1-Table22[[#This Row],[Discount Percentage (%)]]/100),Table22[[#This Row],[Total Sales (in USD)]])</f>
        <v>47395.199999999997</v>
      </c>
      <c r="Q689" s="66">
        <f>SQRT(AVERAGE((Table22[[#This Row],[Net Sales (after discount) (in USD)]]-AVERAGE(Table22[Net Sales (after discount) (in USD)]))^2))</f>
        <v>10883.839436235459</v>
      </c>
      <c r="R689" s="18" t="b">
        <v>0</v>
      </c>
      <c r="S689" s="40">
        <v>26.89</v>
      </c>
      <c r="T689" s="18" t="b">
        <v>0</v>
      </c>
      <c r="U689" s="25">
        <v>45365</v>
      </c>
      <c r="V689" s="63" t="str">
        <f>IF(MONTH(Table22[[#This Row],[Sales Date]])&lt;=3,"Q1",IF(MONTH(Table22[[#This Row],[Sales Date]])&lt;=6,"Q2",IF(MONTH(Table22[[#This Row],[Sales Date]])&lt;=9,"Q3","Q4")))</f>
        <v>Q1</v>
      </c>
      <c r="W689" s="64">
        <f>YEAR(Table22[[#This Row],[Sales Date]])</f>
        <v>2024</v>
      </c>
      <c r="X689" s="23">
        <v>21</v>
      </c>
      <c r="Y689" s="18" t="s">
        <v>23</v>
      </c>
      <c r="Z689" s="18" t="s">
        <v>30</v>
      </c>
      <c r="AA689" s="19" t="s">
        <v>36</v>
      </c>
    </row>
    <row r="690" spans="1:27" x14ac:dyDescent="0.25">
      <c r="A690" s="17" t="s">
        <v>935</v>
      </c>
      <c r="B690" s="18" t="s">
        <v>32</v>
      </c>
      <c r="C690" s="63" t="str" cm="1">
        <f t="array" ref="C690">_xlfn.SWITCH(Table22[[#This Row],[Country]],"USA","North America","Canada","North America","Brazil","South America","China","Asia","Japan","Asia","India","Asia","France","Europe","Germany","Europe","UK","Europe","Australia","Oceania","South America")</f>
        <v>Asia</v>
      </c>
      <c r="D690" s="18" t="s">
        <v>44</v>
      </c>
      <c r="E690" s="18" t="s">
        <v>19</v>
      </c>
      <c r="F690" s="18" t="s">
        <v>20</v>
      </c>
      <c r="G690" s="18" t="s">
        <v>29</v>
      </c>
      <c r="H690" s="64">
        <f>LEN(TRIM(Table22[[#This Row],[Country]]))</f>
        <v>5</v>
      </c>
      <c r="I690" s="64">
        <f>LEN(TRIM(Table22[[#This Row],[Continent]]))</f>
        <v>4</v>
      </c>
      <c r="J690" s="64">
        <f>LEN(TRIM(Table22[[#This Row],[Product]]))</f>
        <v>6</v>
      </c>
      <c r="K690" s="64">
        <f>LEN(TRIM(Table22[[#This Row],[Sales Team]]))</f>
        <v>10</v>
      </c>
      <c r="L690" s="23">
        <v>85</v>
      </c>
      <c r="M690" s="65" t="str" cm="1">
        <f t="array" ref="M690">_xlfn.IFS(Table22[[#This Row],[Units Sold]]&lt;40,"Critical",Table22[[#This Row],[Units Sold]]&lt;=50,"Poor",Table22[[#This Row],[Units Sold]]&lt;=60,"Low",Table22[[#This Row],[Units Sold]]&lt;=80,"Average",Table22[[#This Row],[Units Sold]]&lt;=90,"High",Table22[[#This Row],[Units Sold]]&lt;=95,"Excellent",Table22[[#This Row],[Units Sold]]&gt;95,"Outstanding")</f>
        <v>High</v>
      </c>
      <c r="N690" s="29">
        <v>557.28</v>
      </c>
      <c r="O690" s="29">
        <v>47368.800000000003</v>
      </c>
      <c r="P690" s="43">
        <f>IF(Table22[[#This Row],[Discount Applied]],Table22[[#This Row],[Total Sales (in USD)]]*(1-Table22[[#This Row],[Discount Percentage (%)]]/100),Table22[[#This Row],[Total Sales (in USD)]])</f>
        <v>47368.800000000003</v>
      </c>
      <c r="Q690" s="66">
        <f>SQRT(AVERAGE((Table22[[#This Row],[Net Sales (after discount) (in USD)]]-AVERAGE(Table22[Net Sales (after discount) (in USD)]))^2))</f>
        <v>10857.439436235465</v>
      </c>
      <c r="R690" s="18" t="b">
        <v>1</v>
      </c>
      <c r="S690" s="40">
        <v>6.16</v>
      </c>
      <c r="T690" s="18" t="b">
        <v>0</v>
      </c>
      <c r="U690" s="25">
        <v>45255</v>
      </c>
      <c r="V690" s="63" t="str">
        <f>IF(MONTH(Table22[[#This Row],[Sales Date]])&lt;=3,"Q1",IF(MONTH(Table22[[#This Row],[Sales Date]])&lt;=6,"Q2",IF(MONTH(Table22[[#This Row],[Sales Date]])&lt;=9,"Q3","Q4")))</f>
        <v>Q4</v>
      </c>
      <c r="W690" s="64">
        <f>YEAR(Table22[[#This Row],[Sales Date]])</f>
        <v>2023</v>
      </c>
      <c r="X690" s="23">
        <v>65</v>
      </c>
      <c r="Y690" s="18" t="s">
        <v>41</v>
      </c>
      <c r="Z690" s="18" t="s">
        <v>24</v>
      </c>
      <c r="AA690" s="19" t="s">
        <v>36</v>
      </c>
    </row>
    <row r="691" spans="1:27" x14ac:dyDescent="0.25">
      <c r="A691" s="17" t="s">
        <v>1564</v>
      </c>
      <c r="B691" s="18" t="s">
        <v>62</v>
      </c>
      <c r="C691" s="63" t="str" cm="1">
        <f t="array" ref="C691">_xlfn.SWITCH(Table22[[#This Row],[Country]],"USA","North America","Canada","North America","Brazil","South America","China","Asia","Japan","Asia","India","Asia","France","Europe","Germany","Europe","UK","Europe","Australia","Oceania","South America")</f>
        <v>Oceania</v>
      </c>
      <c r="D691" s="18" t="s">
        <v>35</v>
      </c>
      <c r="E691" s="18" t="s">
        <v>19</v>
      </c>
      <c r="F691" s="18" t="s">
        <v>47</v>
      </c>
      <c r="G691" s="18" t="s">
        <v>48</v>
      </c>
      <c r="H691" s="64">
        <f>LEN(TRIM(Table22[[#This Row],[Country]]))</f>
        <v>9</v>
      </c>
      <c r="I691" s="64">
        <f>LEN(TRIM(Table22[[#This Row],[Continent]]))</f>
        <v>7</v>
      </c>
      <c r="J691" s="64">
        <f>LEN(TRIM(Table22[[#This Row],[Product]]))</f>
        <v>6</v>
      </c>
      <c r="K691" s="64">
        <f>LEN(TRIM(Table22[[#This Row],[Sales Team]]))</f>
        <v>9</v>
      </c>
      <c r="L691" s="23">
        <v>87</v>
      </c>
      <c r="M691" s="65" t="str" cm="1">
        <f t="array" ref="M691">_xlfn.IFS(Table22[[#This Row],[Units Sold]]&lt;40,"Critical",Table22[[#This Row],[Units Sold]]&lt;=50,"Poor",Table22[[#This Row],[Units Sold]]&lt;=60,"Low",Table22[[#This Row],[Units Sold]]&lt;=80,"Average",Table22[[#This Row],[Units Sold]]&lt;=90,"High",Table22[[#This Row],[Units Sold]]&lt;=95,"Excellent",Table22[[#This Row],[Units Sold]]&gt;95,"Outstanding")</f>
        <v>High</v>
      </c>
      <c r="N691" s="29">
        <v>543.97</v>
      </c>
      <c r="O691" s="29">
        <v>47325.39</v>
      </c>
      <c r="P691" s="43">
        <f>IF(Table22[[#This Row],[Discount Applied]],Table22[[#This Row],[Total Sales (in USD)]]*(1-Table22[[#This Row],[Discount Percentage (%)]]/100),Table22[[#This Row],[Total Sales (in USD)]])</f>
        <v>47325.39</v>
      </c>
      <c r="Q691" s="66">
        <f>SQRT(AVERAGE((Table22[[#This Row],[Net Sales (after discount) (in USD)]]-AVERAGE(Table22[Net Sales (after discount) (in USD)]))^2))</f>
        <v>10814.029436235462</v>
      </c>
      <c r="R691" s="18" t="b">
        <v>1</v>
      </c>
      <c r="S691" s="40">
        <v>10.38</v>
      </c>
      <c r="T691" s="18" t="b">
        <v>0</v>
      </c>
      <c r="U691" s="25">
        <v>45565</v>
      </c>
      <c r="V691" s="63" t="str">
        <f>IF(MONTH(Table22[[#This Row],[Sales Date]])&lt;=3,"Q1",IF(MONTH(Table22[[#This Row],[Sales Date]])&lt;=6,"Q2",IF(MONTH(Table22[[#This Row],[Sales Date]])&lt;=9,"Q3","Q4")))</f>
        <v>Q3</v>
      </c>
      <c r="W691" s="64">
        <f>YEAR(Table22[[#This Row],[Sales Date]])</f>
        <v>2024</v>
      </c>
      <c r="X691" s="23">
        <v>41</v>
      </c>
      <c r="Y691" s="18" t="s">
        <v>23</v>
      </c>
      <c r="Z691" s="18" t="s">
        <v>24</v>
      </c>
      <c r="AA691" s="19" t="s">
        <v>36</v>
      </c>
    </row>
    <row r="692" spans="1:27" x14ac:dyDescent="0.25">
      <c r="A692" s="17" t="s">
        <v>804</v>
      </c>
      <c r="B692" s="18" t="s">
        <v>46</v>
      </c>
      <c r="C692" s="63" t="str" cm="1">
        <f t="array" ref="C692">_xlfn.SWITCH(Table22[[#This Row],[Country]],"USA","North America","Canada","North America","Brazil","South America","China","Asia","Japan","Asia","India","Asia","France","Europe","Germany","Europe","UK","Europe","Australia","Oceania","South America")</f>
        <v>South America</v>
      </c>
      <c r="D692" s="18" t="s">
        <v>44</v>
      </c>
      <c r="E692" s="18" t="s">
        <v>39</v>
      </c>
      <c r="F692" s="18" t="s">
        <v>52</v>
      </c>
      <c r="G692" s="18" t="s">
        <v>48</v>
      </c>
      <c r="H692" s="64">
        <f>LEN(TRIM(Table22[[#This Row],[Country]]))</f>
        <v>6</v>
      </c>
      <c r="I692" s="64">
        <f>LEN(TRIM(Table22[[#This Row],[Continent]]))</f>
        <v>13</v>
      </c>
      <c r="J692" s="64">
        <f>LEN(TRIM(Table22[[#This Row],[Product]]))</f>
        <v>10</v>
      </c>
      <c r="K692" s="64">
        <f>LEN(TRIM(Table22[[#This Row],[Sales Team]]))</f>
        <v>9</v>
      </c>
      <c r="L692" s="23">
        <v>33</v>
      </c>
      <c r="M692" s="65" t="str" cm="1">
        <f t="array" ref="M692">_xlfn.IFS(Table22[[#This Row],[Units Sold]]&lt;40,"Critical",Table22[[#This Row],[Units Sold]]&lt;=50,"Poor",Table22[[#This Row],[Units Sold]]&lt;=60,"Low",Table22[[#This Row],[Units Sold]]&lt;=80,"Average",Table22[[#This Row],[Units Sold]]&lt;=90,"High",Table22[[#This Row],[Units Sold]]&lt;=95,"Excellent",Table22[[#This Row],[Units Sold]]&gt;95,"Outstanding")</f>
        <v>Critical</v>
      </c>
      <c r="N692" s="29">
        <v>1431.33</v>
      </c>
      <c r="O692" s="29">
        <v>47233.89</v>
      </c>
      <c r="P692" s="43">
        <f>IF(Table22[[#This Row],[Discount Applied]],Table22[[#This Row],[Total Sales (in USD)]]*(1-Table22[[#This Row],[Discount Percentage (%)]]/100),Table22[[#This Row],[Total Sales (in USD)]])</f>
        <v>47233.89</v>
      </c>
      <c r="Q692" s="66">
        <f>SQRT(AVERAGE((Table22[[#This Row],[Net Sales (after discount) (in USD)]]-AVERAGE(Table22[Net Sales (after discount) (in USD)]))^2))</f>
        <v>10722.529436235462</v>
      </c>
      <c r="R692" s="18" t="b">
        <v>0</v>
      </c>
      <c r="S692" s="40">
        <v>18.440000000000001</v>
      </c>
      <c r="T692" s="18" t="b">
        <v>0</v>
      </c>
      <c r="U692" s="25">
        <v>45167</v>
      </c>
      <c r="V692" s="63" t="str">
        <f>IF(MONTH(Table22[[#This Row],[Sales Date]])&lt;=3,"Q1",IF(MONTH(Table22[[#This Row],[Sales Date]])&lt;=6,"Q2",IF(MONTH(Table22[[#This Row],[Sales Date]])&lt;=9,"Q3","Q4")))</f>
        <v>Q3</v>
      </c>
      <c r="W692" s="64">
        <f>YEAR(Table22[[#This Row],[Sales Date]])</f>
        <v>2023</v>
      </c>
      <c r="X692" s="23">
        <v>24</v>
      </c>
      <c r="Y692" s="18" t="s">
        <v>49</v>
      </c>
      <c r="Z692" s="18" t="s">
        <v>56</v>
      </c>
      <c r="AA692" s="19" t="s">
        <v>36</v>
      </c>
    </row>
    <row r="693" spans="1:27" x14ac:dyDescent="0.25">
      <c r="A693" s="17" t="s">
        <v>1578</v>
      </c>
      <c r="B693" s="18" t="s">
        <v>46</v>
      </c>
      <c r="C693" s="63" t="str" cm="1">
        <f t="array" ref="C693">_xlfn.SWITCH(Table22[[#This Row],[Country]],"USA","North America","Canada","North America","Brazil","South America","China","Asia","Japan","Asia","India","Asia","France","Europe","Germany","Europe","UK","Europe","Australia","Oceania","South America")</f>
        <v>South America</v>
      </c>
      <c r="D693" s="18" t="s">
        <v>44</v>
      </c>
      <c r="E693" s="18" t="s">
        <v>19</v>
      </c>
      <c r="F693" s="18" t="s">
        <v>47</v>
      </c>
      <c r="G693" s="18" t="s">
        <v>29</v>
      </c>
      <c r="H693" s="64">
        <f>LEN(TRIM(Table22[[#This Row],[Country]]))</f>
        <v>6</v>
      </c>
      <c r="I693" s="64">
        <f>LEN(TRIM(Table22[[#This Row],[Continent]]))</f>
        <v>13</v>
      </c>
      <c r="J693" s="64">
        <f>LEN(TRIM(Table22[[#This Row],[Product]]))</f>
        <v>6</v>
      </c>
      <c r="K693" s="64">
        <f>LEN(TRIM(Table22[[#This Row],[Sales Team]]))</f>
        <v>10</v>
      </c>
      <c r="L693" s="23">
        <v>78</v>
      </c>
      <c r="M693" s="65" t="str" cm="1">
        <f t="array" ref="M693">_xlfn.IFS(Table22[[#This Row],[Units Sold]]&lt;40,"Critical",Table22[[#This Row],[Units Sold]]&lt;=50,"Poor",Table22[[#This Row],[Units Sold]]&lt;=60,"Low",Table22[[#This Row],[Units Sold]]&lt;=80,"Average",Table22[[#This Row],[Units Sold]]&lt;=90,"High",Table22[[#This Row],[Units Sold]]&lt;=95,"Excellent",Table22[[#This Row],[Units Sold]]&gt;95,"Outstanding")</f>
        <v>Average</v>
      </c>
      <c r="N693" s="29">
        <v>605.22</v>
      </c>
      <c r="O693" s="29">
        <v>47207.16</v>
      </c>
      <c r="P693" s="43">
        <f>IF(Table22[[#This Row],[Discount Applied]],Table22[[#This Row],[Total Sales (in USD)]]*(1-Table22[[#This Row],[Discount Percentage (%)]]/100),Table22[[#This Row],[Total Sales (in USD)]])</f>
        <v>47207.16</v>
      </c>
      <c r="Q693" s="66">
        <f>SQRT(AVERAGE((Table22[[#This Row],[Net Sales (after discount) (in USD)]]-AVERAGE(Table22[Net Sales (after discount) (in USD)]))^2))</f>
        <v>10695.799436235466</v>
      </c>
      <c r="R693" s="18" t="b">
        <v>1</v>
      </c>
      <c r="S693" s="40">
        <v>11.42</v>
      </c>
      <c r="T693" s="18" t="b">
        <v>0</v>
      </c>
      <c r="U693" s="25">
        <v>45275</v>
      </c>
      <c r="V693" s="63" t="str">
        <f>IF(MONTH(Table22[[#This Row],[Sales Date]])&lt;=3,"Q1",IF(MONTH(Table22[[#This Row],[Sales Date]])&lt;=6,"Q2",IF(MONTH(Table22[[#This Row],[Sales Date]])&lt;=9,"Q3","Q4")))</f>
        <v>Q4</v>
      </c>
      <c r="W693" s="64">
        <f>YEAR(Table22[[#This Row],[Sales Date]])</f>
        <v>2023</v>
      </c>
      <c r="X693" s="23">
        <v>49</v>
      </c>
      <c r="Y693" s="18" t="s">
        <v>49</v>
      </c>
      <c r="Z693" s="18" t="s">
        <v>56</v>
      </c>
      <c r="AA693" s="19" t="s">
        <v>25</v>
      </c>
    </row>
    <row r="694" spans="1:27" x14ac:dyDescent="0.25">
      <c r="A694" s="17" t="s">
        <v>1028</v>
      </c>
      <c r="B694" s="18" t="s">
        <v>27</v>
      </c>
      <c r="C694" s="63" t="str" cm="1">
        <f t="array" ref="C694">_xlfn.SWITCH(Table22[[#This Row],[Country]],"USA","North America","Canada","North America","Brazil","South America","China","Asia","Japan","Asia","India","Asia","France","Europe","Germany","Europe","UK","Europe","Australia","Oceania","South America")</f>
        <v>Europe</v>
      </c>
      <c r="D694" s="18" t="s">
        <v>21</v>
      </c>
      <c r="E694" s="18" t="s">
        <v>19</v>
      </c>
      <c r="F694" s="18" t="s">
        <v>47</v>
      </c>
      <c r="G694" s="18" t="s">
        <v>29</v>
      </c>
      <c r="H694" s="64">
        <f>LEN(TRIM(Table22[[#This Row],[Country]]))</f>
        <v>7</v>
      </c>
      <c r="I694" s="64">
        <f>LEN(TRIM(Table22[[#This Row],[Continent]]))</f>
        <v>6</v>
      </c>
      <c r="J694" s="64">
        <f>LEN(TRIM(Table22[[#This Row],[Product]]))</f>
        <v>6</v>
      </c>
      <c r="K694" s="64">
        <f>LEN(TRIM(Table22[[#This Row],[Sales Team]]))</f>
        <v>10</v>
      </c>
      <c r="L694" s="23">
        <v>83</v>
      </c>
      <c r="M694" s="65" t="str" cm="1">
        <f t="array" ref="M694">_xlfn.IFS(Table22[[#This Row],[Units Sold]]&lt;40,"Critical",Table22[[#This Row],[Units Sold]]&lt;=50,"Poor",Table22[[#This Row],[Units Sold]]&lt;=60,"Low",Table22[[#This Row],[Units Sold]]&lt;=80,"Average",Table22[[#This Row],[Units Sold]]&lt;=90,"High",Table22[[#This Row],[Units Sold]]&lt;=95,"Excellent",Table22[[#This Row],[Units Sold]]&gt;95,"Outstanding")</f>
        <v>High</v>
      </c>
      <c r="N694" s="29">
        <v>566.76</v>
      </c>
      <c r="O694" s="29">
        <v>47041.08</v>
      </c>
      <c r="P694" s="43">
        <f>IF(Table22[[#This Row],[Discount Applied]],Table22[[#This Row],[Total Sales (in USD)]]*(1-Table22[[#This Row],[Discount Percentage (%)]]/100),Table22[[#This Row],[Total Sales (in USD)]])</f>
        <v>42242.889840000003</v>
      </c>
      <c r="Q694" s="66">
        <f>SQRT(AVERAGE((Table22[[#This Row],[Net Sales (after discount) (in USD)]]-AVERAGE(Table22[Net Sales (after discount) (in USD)]))^2))</f>
        <v>5731.5292762354657</v>
      </c>
      <c r="R694" s="18" t="b">
        <v>0</v>
      </c>
      <c r="S694" s="40">
        <v>10.199999999999999</v>
      </c>
      <c r="T694" s="18" t="b">
        <v>1</v>
      </c>
      <c r="U694" s="25">
        <v>44974</v>
      </c>
      <c r="V694" s="63" t="str">
        <f>IF(MONTH(Table22[[#This Row],[Sales Date]])&lt;=3,"Q1",IF(MONTH(Table22[[#This Row],[Sales Date]])&lt;=6,"Q2",IF(MONTH(Table22[[#This Row],[Sales Date]])&lt;=9,"Q3","Q4")))</f>
        <v>Q1</v>
      </c>
      <c r="W694" s="64">
        <f>YEAR(Table22[[#This Row],[Sales Date]])</f>
        <v>2023</v>
      </c>
      <c r="X694" s="23">
        <v>19</v>
      </c>
      <c r="Y694" s="18" t="s">
        <v>23</v>
      </c>
      <c r="Z694" s="18" t="s">
        <v>24</v>
      </c>
      <c r="AA694" s="19" t="s">
        <v>25</v>
      </c>
    </row>
    <row r="695" spans="1:27" x14ac:dyDescent="0.25">
      <c r="A695" s="17" t="s">
        <v>289</v>
      </c>
      <c r="B695" s="18" t="s">
        <v>76</v>
      </c>
      <c r="C695" s="63" t="str" cm="1">
        <f t="array" ref="C695">_xlfn.SWITCH(Table22[[#This Row],[Country]],"USA","North America","Canada","North America","Brazil","South America","China","Asia","Japan","Asia","India","Asia","France","Europe","Germany","Europe","UK","Europe","Australia","Oceania","South America")</f>
        <v>Asia</v>
      </c>
      <c r="D695" s="18" t="s">
        <v>35</v>
      </c>
      <c r="E695" s="18" t="s">
        <v>19</v>
      </c>
      <c r="F695" s="18" t="s">
        <v>47</v>
      </c>
      <c r="G695" s="18" t="s">
        <v>29</v>
      </c>
      <c r="H695" s="64">
        <f>LEN(TRIM(Table22[[#This Row],[Country]]))</f>
        <v>5</v>
      </c>
      <c r="I695" s="64">
        <f>LEN(TRIM(Table22[[#This Row],[Continent]]))</f>
        <v>4</v>
      </c>
      <c r="J695" s="64">
        <f>LEN(TRIM(Table22[[#This Row],[Product]]))</f>
        <v>6</v>
      </c>
      <c r="K695" s="64">
        <f>LEN(TRIM(Table22[[#This Row],[Sales Team]]))</f>
        <v>10</v>
      </c>
      <c r="L695" s="23">
        <v>40</v>
      </c>
      <c r="M695" s="65" t="str" cm="1">
        <f t="array" ref="M695">_xlfn.IFS(Table22[[#This Row],[Units Sold]]&lt;40,"Critical",Table22[[#This Row],[Units Sold]]&lt;=50,"Poor",Table22[[#This Row],[Units Sold]]&lt;=60,"Low",Table22[[#This Row],[Units Sold]]&lt;=80,"Average",Table22[[#This Row],[Units Sold]]&lt;=90,"High",Table22[[#This Row],[Units Sold]]&lt;=95,"Excellent",Table22[[#This Row],[Units Sold]]&gt;95,"Outstanding")</f>
        <v>Poor</v>
      </c>
      <c r="N695" s="29">
        <v>1172.01</v>
      </c>
      <c r="O695" s="29">
        <v>46880.4</v>
      </c>
      <c r="P695" s="43">
        <f>IF(Table22[[#This Row],[Discount Applied]],Table22[[#This Row],[Total Sales (in USD)]]*(1-Table22[[#This Row],[Discount Percentage (%)]]/100),Table22[[#This Row],[Total Sales (in USD)]])</f>
        <v>35558.7834</v>
      </c>
      <c r="Q695" s="66">
        <f>SQRT(AVERAGE((Table22[[#This Row],[Net Sales (after discount) (in USD)]]-AVERAGE(Table22[Net Sales (after discount) (in USD)]))^2))</f>
        <v>952.57716376453754</v>
      </c>
      <c r="R695" s="18" t="b">
        <v>0</v>
      </c>
      <c r="S695" s="40">
        <v>24.15</v>
      </c>
      <c r="T695" s="18" t="b">
        <v>1</v>
      </c>
      <c r="U695" s="25">
        <v>45009</v>
      </c>
      <c r="V695" s="63" t="str">
        <f>IF(MONTH(Table22[[#This Row],[Sales Date]])&lt;=3,"Q1",IF(MONTH(Table22[[#This Row],[Sales Date]])&lt;=6,"Q2",IF(MONTH(Table22[[#This Row],[Sales Date]])&lt;=9,"Q3","Q4")))</f>
        <v>Q1</v>
      </c>
      <c r="W695" s="64">
        <f>YEAR(Table22[[#This Row],[Sales Date]])</f>
        <v>2023</v>
      </c>
      <c r="X695" s="23">
        <v>65</v>
      </c>
      <c r="Y695" s="18" t="s">
        <v>23</v>
      </c>
      <c r="Z695" s="18" t="s">
        <v>24</v>
      </c>
      <c r="AA695" s="19" t="s">
        <v>25</v>
      </c>
    </row>
    <row r="696" spans="1:27" x14ac:dyDescent="0.25">
      <c r="A696" s="17" t="s">
        <v>1074</v>
      </c>
      <c r="B696" s="18" t="s">
        <v>27</v>
      </c>
      <c r="C696" s="63" t="str" cm="1">
        <f t="array" ref="C696">_xlfn.SWITCH(Table22[[#This Row],[Country]],"USA","North America","Canada","North America","Brazil","South America","China","Asia","Japan","Asia","India","Asia","France","Europe","Germany","Europe","UK","Europe","Australia","Oceania","South America")</f>
        <v>Europe</v>
      </c>
      <c r="D696" s="18" t="s">
        <v>21</v>
      </c>
      <c r="E696" s="18" t="s">
        <v>39</v>
      </c>
      <c r="F696" s="18" t="s">
        <v>64</v>
      </c>
      <c r="G696" s="18" t="s">
        <v>40</v>
      </c>
      <c r="H696" s="64">
        <f>LEN(TRIM(Table22[[#This Row],[Country]]))</f>
        <v>7</v>
      </c>
      <c r="I696" s="64">
        <f>LEN(TRIM(Table22[[#This Row],[Continent]]))</f>
        <v>6</v>
      </c>
      <c r="J696" s="64">
        <f>LEN(TRIM(Table22[[#This Row],[Product]]))</f>
        <v>10</v>
      </c>
      <c r="K696" s="64">
        <f>LEN(TRIM(Table22[[#This Row],[Sales Team]]))</f>
        <v>10</v>
      </c>
      <c r="L696" s="23">
        <v>83</v>
      </c>
      <c r="M696" s="65" t="str" cm="1">
        <f t="array" ref="M696">_xlfn.IFS(Table22[[#This Row],[Units Sold]]&lt;40,"Critical",Table22[[#This Row],[Units Sold]]&lt;=50,"Poor",Table22[[#This Row],[Units Sold]]&lt;=60,"Low",Table22[[#This Row],[Units Sold]]&lt;=80,"Average",Table22[[#This Row],[Units Sold]]&lt;=90,"High",Table22[[#This Row],[Units Sold]]&lt;=95,"Excellent",Table22[[#This Row],[Units Sold]]&gt;95,"Outstanding")</f>
        <v>High</v>
      </c>
      <c r="N696" s="29">
        <v>560.84</v>
      </c>
      <c r="O696" s="29">
        <v>46549.72</v>
      </c>
      <c r="P696" s="43">
        <f>IF(Table22[[#This Row],[Discount Applied]],Table22[[#This Row],[Total Sales (in USD)]]*(1-Table22[[#This Row],[Discount Percentage (%)]]/100),Table22[[#This Row],[Total Sales (in USD)]])</f>
        <v>46549.72</v>
      </c>
      <c r="Q696" s="66">
        <f>SQRT(AVERAGE((Table22[[#This Row],[Net Sales (after discount) (in USD)]]-AVERAGE(Table22[Net Sales (after discount) (in USD)]))^2))</f>
        <v>10038.359436235463</v>
      </c>
      <c r="R696" s="18" t="b">
        <v>1</v>
      </c>
      <c r="S696" s="40">
        <v>29.41</v>
      </c>
      <c r="T696" s="18" t="b">
        <v>0</v>
      </c>
      <c r="U696" s="25">
        <v>45111</v>
      </c>
      <c r="V696" s="63" t="str">
        <f>IF(MONTH(Table22[[#This Row],[Sales Date]])&lt;=3,"Q1",IF(MONTH(Table22[[#This Row],[Sales Date]])&lt;=6,"Q2",IF(MONTH(Table22[[#This Row],[Sales Date]])&lt;=9,"Q3","Q4")))</f>
        <v>Q3</v>
      </c>
      <c r="W696" s="64">
        <f>YEAR(Table22[[#This Row],[Sales Date]])</f>
        <v>2023</v>
      </c>
      <c r="X696" s="23">
        <v>45</v>
      </c>
      <c r="Y696" s="18" t="s">
        <v>41</v>
      </c>
      <c r="Z696" s="18" t="s">
        <v>30</v>
      </c>
      <c r="AA696" s="19" t="s">
        <v>36</v>
      </c>
    </row>
    <row r="697" spans="1:27" x14ac:dyDescent="0.25">
      <c r="A697" s="17" t="s">
        <v>753</v>
      </c>
      <c r="B697" s="18" t="s">
        <v>62</v>
      </c>
      <c r="C697" s="63" t="str" cm="1">
        <f t="array" ref="C697">_xlfn.SWITCH(Table22[[#This Row],[Country]],"USA","North America","Canada","North America","Brazil","South America","China","Asia","Japan","Asia","India","Asia","France","Europe","Germany","Europe","UK","Europe","Australia","Oceania","South America")</f>
        <v>Oceania</v>
      </c>
      <c r="D697" s="18" t="s">
        <v>35</v>
      </c>
      <c r="E697" s="18" t="s">
        <v>33</v>
      </c>
      <c r="F697" s="18" t="s">
        <v>47</v>
      </c>
      <c r="G697" s="18" t="s">
        <v>40</v>
      </c>
      <c r="H697" s="64">
        <f>LEN(TRIM(Table22[[#This Row],[Country]]))</f>
        <v>9</v>
      </c>
      <c r="I697" s="64">
        <f>LEN(TRIM(Table22[[#This Row],[Continent]]))</f>
        <v>7</v>
      </c>
      <c r="J697" s="64">
        <f>LEN(TRIM(Table22[[#This Row],[Product]]))</f>
        <v>10</v>
      </c>
      <c r="K697" s="64">
        <f>LEN(TRIM(Table22[[#This Row],[Sales Team]]))</f>
        <v>10</v>
      </c>
      <c r="L697" s="23">
        <v>82</v>
      </c>
      <c r="M697" s="65" t="str" cm="1">
        <f t="array" ref="M697">_xlfn.IFS(Table22[[#This Row],[Units Sold]]&lt;40,"Critical",Table22[[#This Row],[Units Sold]]&lt;=50,"Poor",Table22[[#This Row],[Units Sold]]&lt;=60,"Low",Table22[[#This Row],[Units Sold]]&lt;=80,"Average",Table22[[#This Row],[Units Sold]]&lt;=90,"High",Table22[[#This Row],[Units Sold]]&lt;=95,"Excellent",Table22[[#This Row],[Units Sold]]&gt;95,"Outstanding")</f>
        <v>High</v>
      </c>
      <c r="N697" s="29">
        <v>566.89</v>
      </c>
      <c r="O697" s="29">
        <v>46484.98</v>
      </c>
      <c r="P697" s="43">
        <f>IF(Table22[[#This Row],[Discount Applied]],Table22[[#This Row],[Total Sales (in USD)]]*(1-Table22[[#This Row],[Discount Percentage (%)]]/100),Table22[[#This Row],[Total Sales (in USD)]])</f>
        <v>44174.676494000007</v>
      </c>
      <c r="Q697" s="66">
        <f>SQRT(AVERAGE((Table22[[#This Row],[Net Sales (after discount) (in USD)]]-AVERAGE(Table22[Net Sales (after discount) (in USD)]))^2))</f>
        <v>7663.3159302354688</v>
      </c>
      <c r="R697" s="18" t="b">
        <v>1</v>
      </c>
      <c r="S697" s="40">
        <v>4.97</v>
      </c>
      <c r="T697" s="18" t="b">
        <v>1</v>
      </c>
      <c r="U697" s="25">
        <v>45217</v>
      </c>
      <c r="V697" s="63" t="str">
        <f>IF(MONTH(Table22[[#This Row],[Sales Date]])&lt;=3,"Q1",IF(MONTH(Table22[[#This Row],[Sales Date]])&lt;=6,"Q2",IF(MONTH(Table22[[#This Row],[Sales Date]])&lt;=9,"Q3","Q4")))</f>
        <v>Q4</v>
      </c>
      <c r="W697" s="64">
        <f>YEAR(Table22[[#This Row],[Sales Date]])</f>
        <v>2023</v>
      </c>
      <c r="X697" s="23">
        <v>36</v>
      </c>
      <c r="Y697" s="18" t="s">
        <v>23</v>
      </c>
      <c r="Z697" s="18" t="s">
        <v>30</v>
      </c>
      <c r="AA697" s="19" t="s">
        <v>36</v>
      </c>
    </row>
    <row r="698" spans="1:27" x14ac:dyDescent="0.25">
      <c r="A698" s="17" t="s">
        <v>67</v>
      </c>
      <c r="B698" s="18" t="s">
        <v>32</v>
      </c>
      <c r="C698" s="63" t="str" cm="1">
        <f t="array" ref="C698">_xlfn.SWITCH(Table22[[#This Row],[Country]],"USA","North America","Canada","North America","Brazil","South America","China","Asia","Japan","Asia","India","Asia","France","Europe","Germany","Europe","UK","Europe","Australia","Oceania","South America")</f>
        <v>Asia</v>
      </c>
      <c r="D698" s="18" t="s">
        <v>44</v>
      </c>
      <c r="E698" s="18" t="s">
        <v>33</v>
      </c>
      <c r="F698" s="18" t="s">
        <v>20</v>
      </c>
      <c r="G698" s="18" t="s">
        <v>22</v>
      </c>
      <c r="H698" s="64">
        <f>LEN(TRIM(Table22[[#This Row],[Country]]))</f>
        <v>5</v>
      </c>
      <c r="I698" s="64">
        <f>LEN(TRIM(Table22[[#This Row],[Continent]]))</f>
        <v>4</v>
      </c>
      <c r="J698" s="64">
        <f>LEN(TRIM(Table22[[#This Row],[Product]]))</f>
        <v>10</v>
      </c>
      <c r="K698" s="64">
        <f>LEN(TRIM(Table22[[#This Row],[Sales Team]]))</f>
        <v>10</v>
      </c>
      <c r="L698" s="23">
        <v>46</v>
      </c>
      <c r="M698" s="65" t="str" cm="1">
        <f t="array" ref="M698">_xlfn.IFS(Table22[[#This Row],[Units Sold]]&lt;40,"Critical",Table22[[#This Row],[Units Sold]]&lt;=50,"Poor",Table22[[#This Row],[Units Sold]]&lt;=60,"Low",Table22[[#This Row],[Units Sold]]&lt;=80,"Average",Table22[[#This Row],[Units Sold]]&lt;=90,"High",Table22[[#This Row],[Units Sold]]&lt;=95,"Excellent",Table22[[#This Row],[Units Sold]]&gt;95,"Outstanding")</f>
        <v>Poor</v>
      </c>
      <c r="N698" s="29">
        <v>1009.72</v>
      </c>
      <c r="O698" s="29">
        <v>46447.12</v>
      </c>
      <c r="P698" s="43">
        <f>IF(Table22[[#This Row],[Discount Applied]],Table22[[#This Row],[Total Sales (in USD)]]*(1-Table22[[#This Row],[Discount Percentage (%)]]/100),Table22[[#This Row],[Total Sales (in USD)]])</f>
        <v>46447.12</v>
      </c>
      <c r="Q698" s="66">
        <f>SQRT(AVERAGE((Table22[[#This Row],[Net Sales (after discount) (in USD)]]-AVERAGE(Table22[Net Sales (after discount) (in USD)]))^2))</f>
        <v>9935.7594362354648</v>
      </c>
      <c r="R698" s="18" t="b">
        <v>1</v>
      </c>
      <c r="S698" s="40">
        <v>12.66</v>
      </c>
      <c r="T698" s="18" t="b">
        <v>0</v>
      </c>
      <c r="U698" s="25">
        <v>45029</v>
      </c>
      <c r="V698" s="63" t="str">
        <f>IF(MONTH(Table22[[#This Row],[Sales Date]])&lt;=3,"Q1",IF(MONTH(Table22[[#This Row],[Sales Date]])&lt;=6,"Q2",IF(MONTH(Table22[[#This Row],[Sales Date]])&lt;=9,"Q3","Q4")))</f>
        <v>Q2</v>
      </c>
      <c r="W698" s="64">
        <f>YEAR(Table22[[#This Row],[Sales Date]])</f>
        <v>2023</v>
      </c>
      <c r="X698" s="23">
        <v>18</v>
      </c>
      <c r="Y698" s="18" t="s">
        <v>23</v>
      </c>
      <c r="Z698" s="18" t="s">
        <v>30</v>
      </c>
      <c r="AA698" s="19" t="s">
        <v>36</v>
      </c>
    </row>
    <row r="699" spans="1:27" x14ac:dyDescent="0.25">
      <c r="A699" s="17" t="s">
        <v>550</v>
      </c>
      <c r="B699" s="18" t="s">
        <v>76</v>
      </c>
      <c r="C699" s="63" t="str" cm="1">
        <f t="array" ref="C699">_xlfn.SWITCH(Table22[[#This Row],[Country]],"USA","North America","Canada","North America","Brazil","South America","China","Asia","Japan","Asia","India","Asia","France","Europe","Germany","Europe","UK","Europe","Australia","Oceania","South America")</f>
        <v>Asia</v>
      </c>
      <c r="D699" s="18" t="s">
        <v>21</v>
      </c>
      <c r="E699" s="18" t="s">
        <v>33</v>
      </c>
      <c r="F699" s="18" t="s">
        <v>52</v>
      </c>
      <c r="G699" s="18" t="s">
        <v>40</v>
      </c>
      <c r="H699" s="64">
        <f>LEN(TRIM(Table22[[#This Row],[Country]]))</f>
        <v>5</v>
      </c>
      <c r="I699" s="64">
        <f>LEN(TRIM(Table22[[#This Row],[Continent]]))</f>
        <v>4</v>
      </c>
      <c r="J699" s="64">
        <f>LEN(TRIM(Table22[[#This Row],[Product]]))</f>
        <v>10</v>
      </c>
      <c r="K699" s="64">
        <f>LEN(TRIM(Table22[[#This Row],[Sales Team]]))</f>
        <v>10</v>
      </c>
      <c r="L699" s="23">
        <v>77</v>
      </c>
      <c r="M699" s="65" t="str" cm="1">
        <f t="array" ref="M699">_xlfn.IFS(Table22[[#This Row],[Units Sold]]&lt;40,"Critical",Table22[[#This Row],[Units Sold]]&lt;=50,"Poor",Table22[[#This Row],[Units Sold]]&lt;=60,"Low",Table22[[#This Row],[Units Sold]]&lt;=80,"Average",Table22[[#This Row],[Units Sold]]&lt;=90,"High",Table22[[#This Row],[Units Sold]]&lt;=95,"Excellent",Table22[[#This Row],[Units Sold]]&gt;95,"Outstanding")</f>
        <v>Average</v>
      </c>
      <c r="N699" s="29">
        <v>603.04999999999995</v>
      </c>
      <c r="O699" s="29">
        <v>46434.85</v>
      </c>
      <c r="P699" s="43">
        <f>IF(Table22[[#This Row],[Discount Applied]],Table22[[#This Row],[Total Sales (in USD)]]*(1-Table22[[#This Row],[Discount Percentage (%)]]/100),Table22[[#This Row],[Total Sales (in USD)]])</f>
        <v>46434.85</v>
      </c>
      <c r="Q699" s="66">
        <f>SQRT(AVERAGE((Table22[[#This Row],[Net Sales (after discount) (in USD)]]-AVERAGE(Table22[Net Sales (after discount) (in USD)]))^2))</f>
        <v>9923.4894362354607</v>
      </c>
      <c r="R699" s="18" t="b">
        <v>1</v>
      </c>
      <c r="S699" s="40">
        <v>11.75</v>
      </c>
      <c r="T699" s="18" t="b">
        <v>0</v>
      </c>
      <c r="U699" s="25">
        <v>44998</v>
      </c>
      <c r="V699" s="63" t="str">
        <f>IF(MONTH(Table22[[#This Row],[Sales Date]])&lt;=3,"Q1",IF(MONTH(Table22[[#This Row],[Sales Date]])&lt;=6,"Q2",IF(MONTH(Table22[[#This Row],[Sales Date]])&lt;=9,"Q3","Q4")))</f>
        <v>Q1</v>
      </c>
      <c r="W699" s="64">
        <f>YEAR(Table22[[#This Row],[Sales Date]])</f>
        <v>2023</v>
      </c>
      <c r="X699" s="23">
        <v>55</v>
      </c>
      <c r="Y699" s="18" t="s">
        <v>49</v>
      </c>
      <c r="Z699" s="18" t="s">
        <v>30</v>
      </c>
      <c r="AA699" s="19" t="s">
        <v>36</v>
      </c>
    </row>
    <row r="700" spans="1:27" x14ac:dyDescent="0.25">
      <c r="A700" s="17" t="s">
        <v>579</v>
      </c>
      <c r="B700" s="18" t="s">
        <v>38</v>
      </c>
      <c r="C700" s="63" t="str" cm="1">
        <f t="array" ref="C700">_xlfn.SWITCH(Table22[[#This Row],[Country]],"USA","North America","Canada","North America","Brazil","South America","China","Asia","Japan","Asia","India","Asia","France","Europe","Germany","Europe","UK","Europe","Australia","Oceania","South America")</f>
        <v>Europe</v>
      </c>
      <c r="D700" s="18" t="s">
        <v>35</v>
      </c>
      <c r="E700" s="18" t="s">
        <v>39</v>
      </c>
      <c r="F700" s="18" t="s">
        <v>34</v>
      </c>
      <c r="G700" s="18" t="s">
        <v>48</v>
      </c>
      <c r="H700" s="64">
        <f>LEN(TRIM(Table22[[#This Row],[Country]]))</f>
        <v>6</v>
      </c>
      <c r="I700" s="64">
        <f>LEN(TRIM(Table22[[#This Row],[Continent]]))</f>
        <v>6</v>
      </c>
      <c r="J700" s="64">
        <f>LEN(TRIM(Table22[[#This Row],[Product]]))</f>
        <v>10</v>
      </c>
      <c r="K700" s="64">
        <f>LEN(TRIM(Table22[[#This Row],[Sales Team]]))</f>
        <v>9</v>
      </c>
      <c r="L700" s="23">
        <v>35</v>
      </c>
      <c r="M700" s="65" t="str" cm="1">
        <f t="array" ref="M700">_xlfn.IFS(Table22[[#This Row],[Units Sold]]&lt;40,"Critical",Table22[[#This Row],[Units Sold]]&lt;=50,"Poor",Table22[[#This Row],[Units Sold]]&lt;=60,"Low",Table22[[#This Row],[Units Sold]]&lt;=80,"Average",Table22[[#This Row],[Units Sold]]&lt;=90,"High",Table22[[#This Row],[Units Sold]]&lt;=95,"Excellent",Table22[[#This Row],[Units Sold]]&gt;95,"Outstanding")</f>
        <v>Critical</v>
      </c>
      <c r="N700" s="29">
        <v>1325.73</v>
      </c>
      <c r="O700" s="29">
        <v>46400.55</v>
      </c>
      <c r="P700" s="43">
        <f>IF(Table22[[#This Row],[Discount Applied]],Table22[[#This Row],[Total Sales (in USD)]]*(1-Table22[[#This Row],[Discount Percentage (%)]]/100),Table22[[#This Row],[Total Sales (in USD)]])</f>
        <v>35412.89976</v>
      </c>
      <c r="Q700" s="66">
        <f>SQRT(AVERAGE((Table22[[#This Row],[Net Sales (after discount) (in USD)]]-AVERAGE(Table22[Net Sales (after discount) (in USD)]))^2))</f>
        <v>1098.4608037645376</v>
      </c>
      <c r="R700" s="18" t="b">
        <v>0</v>
      </c>
      <c r="S700" s="40">
        <v>23.68</v>
      </c>
      <c r="T700" s="18" t="b">
        <v>1</v>
      </c>
      <c r="U700" s="25">
        <v>45354</v>
      </c>
      <c r="V700" s="63" t="str">
        <f>IF(MONTH(Table22[[#This Row],[Sales Date]])&lt;=3,"Q1",IF(MONTH(Table22[[#This Row],[Sales Date]])&lt;=6,"Q2",IF(MONTH(Table22[[#This Row],[Sales Date]])&lt;=9,"Q3","Q4")))</f>
        <v>Q1</v>
      </c>
      <c r="W700" s="64">
        <f>YEAR(Table22[[#This Row],[Sales Date]])</f>
        <v>2024</v>
      </c>
      <c r="X700" s="23">
        <v>24</v>
      </c>
      <c r="Y700" s="18" t="s">
        <v>23</v>
      </c>
      <c r="Z700" s="18" t="s">
        <v>24</v>
      </c>
      <c r="AA700" s="19" t="s">
        <v>36</v>
      </c>
    </row>
    <row r="701" spans="1:27" x14ac:dyDescent="0.25">
      <c r="A701" s="17" t="s">
        <v>1175</v>
      </c>
      <c r="B701" s="18" t="s">
        <v>51</v>
      </c>
      <c r="C701" s="63" t="str" cm="1">
        <f t="array" ref="C701">_xlfn.SWITCH(Table22[[#This Row],[Country]],"USA","North America","Canada","North America","Brazil","South America","China","Asia","Japan","Asia","India","Asia","France","Europe","Germany","Europe","UK","Europe","Australia","Oceania","South America")</f>
        <v>Europe</v>
      </c>
      <c r="D701" s="18" t="s">
        <v>21</v>
      </c>
      <c r="E701" s="18" t="s">
        <v>19</v>
      </c>
      <c r="F701" s="18" t="s">
        <v>20</v>
      </c>
      <c r="G701" s="18" t="s">
        <v>29</v>
      </c>
      <c r="H701" s="64">
        <f>LEN(TRIM(Table22[[#This Row],[Country]]))</f>
        <v>2</v>
      </c>
      <c r="I701" s="64">
        <f>LEN(TRIM(Table22[[#This Row],[Continent]]))</f>
        <v>6</v>
      </c>
      <c r="J701" s="64">
        <f>LEN(TRIM(Table22[[#This Row],[Product]]))</f>
        <v>6</v>
      </c>
      <c r="K701" s="64">
        <f>LEN(TRIM(Table22[[#This Row],[Sales Team]]))</f>
        <v>10</v>
      </c>
      <c r="L701" s="23">
        <v>32</v>
      </c>
      <c r="M701" s="65" t="str" cm="1">
        <f t="array" ref="M701">_xlfn.IFS(Table22[[#This Row],[Units Sold]]&lt;40,"Critical",Table22[[#This Row],[Units Sold]]&lt;=50,"Poor",Table22[[#This Row],[Units Sold]]&lt;=60,"Low",Table22[[#This Row],[Units Sold]]&lt;=80,"Average",Table22[[#This Row],[Units Sold]]&lt;=90,"High",Table22[[#This Row],[Units Sold]]&lt;=95,"Excellent",Table22[[#This Row],[Units Sold]]&gt;95,"Outstanding")</f>
        <v>Critical</v>
      </c>
      <c r="N701" s="29">
        <v>1448.36</v>
      </c>
      <c r="O701" s="29">
        <v>46347.519999999997</v>
      </c>
      <c r="P701" s="43">
        <f>IF(Table22[[#This Row],[Discount Applied]],Table22[[#This Row],[Total Sales (in USD)]]*(1-Table22[[#This Row],[Discount Percentage (%)]]/100),Table22[[#This Row],[Total Sales (in USD)]])</f>
        <v>46347.519999999997</v>
      </c>
      <c r="Q701" s="66">
        <f>SQRT(AVERAGE((Table22[[#This Row],[Net Sales (after discount) (in USD)]]-AVERAGE(Table22[Net Sales (after discount) (in USD)]))^2))</f>
        <v>9836.159436235459</v>
      </c>
      <c r="R701" s="18" t="b">
        <v>0</v>
      </c>
      <c r="S701" s="40">
        <v>24.61</v>
      </c>
      <c r="T701" s="18" t="b">
        <v>0</v>
      </c>
      <c r="U701" s="25">
        <v>45400</v>
      </c>
      <c r="V701" s="63" t="str">
        <f>IF(MONTH(Table22[[#This Row],[Sales Date]])&lt;=3,"Q1",IF(MONTH(Table22[[#This Row],[Sales Date]])&lt;=6,"Q2",IF(MONTH(Table22[[#This Row],[Sales Date]])&lt;=9,"Q3","Q4")))</f>
        <v>Q2</v>
      </c>
      <c r="W701" s="64">
        <f>YEAR(Table22[[#This Row],[Sales Date]])</f>
        <v>2024</v>
      </c>
      <c r="X701" s="23">
        <v>44</v>
      </c>
      <c r="Y701" s="18" t="s">
        <v>49</v>
      </c>
      <c r="Z701" s="18" t="s">
        <v>30</v>
      </c>
      <c r="AA701" s="19" t="s">
        <v>36</v>
      </c>
    </row>
    <row r="702" spans="1:27" x14ac:dyDescent="0.25">
      <c r="A702" s="17" t="s">
        <v>1850</v>
      </c>
      <c r="B702" s="18" t="s">
        <v>18</v>
      </c>
      <c r="C702" s="63" t="str" cm="1">
        <f t="array" ref="C702">_xlfn.SWITCH(Table22[[#This Row],[Country]],"USA","North America","Canada","North America","Brazil","South America","China","Asia","Japan","Asia","India","Asia","France","Europe","Germany","Europe","UK","Europe","Australia","Oceania","South America")</f>
        <v>Asia</v>
      </c>
      <c r="D702" s="18" t="s">
        <v>21</v>
      </c>
      <c r="E702" s="18" t="s">
        <v>19</v>
      </c>
      <c r="F702" s="18" t="s">
        <v>47</v>
      </c>
      <c r="G702" s="18" t="s">
        <v>29</v>
      </c>
      <c r="H702" s="64">
        <f>LEN(TRIM(Table22[[#This Row],[Country]]))</f>
        <v>5</v>
      </c>
      <c r="I702" s="64">
        <f>LEN(TRIM(Table22[[#This Row],[Continent]]))</f>
        <v>4</v>
      </c>
      <c r="J702" s="64">
        <f>LEN(TRIM(Table22[[#This Row],[Product]]))</f>
        <v>6</v>
      </c>
      <c r="K702" s="64">
        <f>LEN(TRIM(Table22[[#This Row],[Sales Team]]))</f>
        <v>10</v>
      </c>
      <c r="L702" s="23">
        <v>43</v>
      </c>
      <c r="M702" s="65" t="str" cm="1">
        <f t="array" ref="M702">_xlfn.IFS(Table22[[#This Row],[Units Sold]]&lt;40,"Critical",Table22[[#This Row],[Units Sold]]&lt;=50,"Poor",Table22[[#This Row],[Units Sold]]&lt;=60,"Low",Table22[[#This Row],[Units Sold]]&lt;=80,"Average",Table22[[#This Row],[Units Sold]]&lt;=90,"High",Table22[[#This Row],[Units Sold]]&lt;=95,"Excellent",Table22[[#This Row],[Units Sold]]&gt;95,"Outstanding")</f>
        <v>Poor</v>
      </c>
      <c r="N702" s="29">
        <v>1074.23</v>
      </c>
      <c r="O702" s="29">
        <v>46191.89</v>
      </c>
      <c r="P702" s="43">
        <f>IF(Table22[[#This Row],[Discount Applied]],Table22[[#This Row],[Total Sales (in USD)]]*(1-Table22[[#This Row],[Discount Percentage (%)]]/100),Table22[[#This Row],[Total Sales (in USD)]])</f>
        <v>46191.89</v>
      </c>
      <c r="Q702" s="66">
        <f>SQRT(AVERAGE((Table22[[#This Row],[Net Sales (after discount) (in USD)]]-AVERAGE(Table22[Net Sales (after discount) (in USD)]))^2))</f>
        <v>9680.5294362354616</v>
      </c>
      <c r="R702" s="18" t="b">
        <v>0</v>
      </c>
      <c r="S702" s="40">
        <v>6.88</v>
      </c>
      <c r="T702" s="18" t="b">
        <v>0</v>
      </c>
      <c r="U702" s="25">
        <v>45308</v>
      </c>
      <c r="V702" s="63" t="str">
        <f>IF(MONTH(Table22[[#This Row],[Sales Date]])&lt;=3,"Q1",IF(MONTH(Table22[[#This Row],[Sales Date]])&lt;=6,"Q2",IF(MONTH(Table22[[#This Row],[Sales Date]])&lt;=9,"Q3","Q4")))</f>
        <v>Q1</v>
      </c>
      <c r="W702" s="64">
        <f>YEAR(Table22[[#This Row],[Sales Date]])</f>
        <v>2024</v>
      </c>
      <c r="X702" s="23">
        <v>21</v>
      </c>
      <c r="Y702" s="18" t="s">
        <v>41</v>
      </c>
      <c r="Z702" s="18" t="s">
        <v>56</v>
      </c>
      <c r="AA702" s="19" t="s">
        <v>25</v>
      </c>
    </row>
    <row r="703" spans="1:27" x14ac:dyDescent="0.25">
      <c r="A703" s="17" t="s">
        <v>1849</v>
      </c>
      <c r="B703" s="18" t="s">
        <v>76</v>
      </c>
      <c r="C703" s="63" t="str" cm="1">
        <f t="array" ref="C703">_xlfn.SWITCH(Table22[[#This Row],[Country]],"USA","North America","Canada","North America","Brazil","South America","China","Asia","Japan","Asia","India","Asia","France","Europe","Germany","Europe","UK","Europe","Australia","Oceania","South America")</f>
        <v>Asia</v>
      </c>
      <c r="D703" s="18" t="s">
        <v>44</v>
      </c>
      <c r="E703" s="18" t="s">
        <v>33</v>
      </c>
      <c r="F703" s="18" t="s">
        <v>52</v>
      </c>
      <c r="G703" s="18" t="s">
        <v>48</v>
      </c>
      <c r="H703" s="64">
        <f>LEN(TRIM(Table22[[#This Row],[Country]]))</f>
        <v>5</v>
      </c>
      <c r="I703" s="64">
        <f>LEN(TRIM(Table22[[#This Row],[Continent]]))</f>
        <v>4</v>
      </c>
      <c r="J703" s="64">
        <f>LEN(TRIM(Table22[[#This Row],[Product]]))</f>
        <v>10</v>
      </c>
      <c r="K703" s="64">
        <f>LEN(TRIM(Table22[[#This Row],[Sales Team]]))</f>
        <v>9</v>
      </c>
      <c r="L703" s="23">
        <v>36</v>
      </c>
      <c r="M703" s="65" t="str" cm="1">
        <f t="array" ref="M703">_xlfn.IFS(Table22[[#This Row],[Units Sold]]&lt;40,"Critical",Table22[[#This Row],[Units Sold]]&lt;=50,"Poor",Table22[[#This Row],[Units Sold]]&lt;=60,"Low",Table22[[#This Row],[Units Sold]]&lt;=80,"Average",Table22[[#This Row],[Units Sold]]&lt;=90,"High",Table22[[#This Row],[Units Sold]]&lt;=95,"Excellent",Table22[[#This Row],[Units Sold]]&gt;95,"Outstanding")</f>
        <v>Critical</v>
      </c>
      <c r="N703" s="29">
        <v>1282.8900000000001</v>
      </c>
      <c r="O703" s="29">
        <v>46184.04</v>
      </c>
      <c r="P703" s="43">
        <f>IF(Table22[[#This Row],[Discount Applied]],Table22[[#This Row],[Total Sales (in USD)]]*(1-Table22[[#This Row],[Discount Percentage (%)]]/100),Table22[[#This Row],[Total Sales (in USD)]])</f>
        <v>46184.04</v>
      </c>
      <c r="Q703" s="66">
        <f>SQRT(AVERAGE((Table22[[#This Row],[Net Sales (after discount) (in USD)]]-AVERAGE(Table22[Net Sales (after discount) (in USD)]))^2))</f>
        <v>9672.6794362354631</v>
      </c>
      <c r="R703" s="18" t="b">
        <v>1</v>
      </c>
      <c r="S703" s="40">
        <v>13.82</v>
      </c>
      <c r="T703" s="18" t="b">
        <v>0</v>
      </c>
      <c r="U703" s="25">
        <v>45104</v>
      </c>
      <c r="V703" s="63" t="str">
        <f>IF(MONTH(Table22[[#This Row],[Sales Date]])&lt;=3,"Q1",IF(MONTH(Table22[[#This Row],[Sales Date]])&lt;=6,"Q2",IF(MONTH(Table22[[#This Row],[Sales Date]])&lt;=9,"Q3","Q4")))</f>
        <v>Q2</v>
      </c>
      <c r="W703" s="64">
        <f>YEAR(Table22[[#This Row],[Sales Date]])</f>
        <v>2023</v>
      </c>
      <c r="X703" s="23">
        <v>36</v>
      </c>
      <c r="Y703" s="18" t="s">
        <v>41</v>
      </c>
      <c r="Z703" s="18" t="s">
        <v>24</v>
      </c>
      <c r="AA703" s="19" t="s">
        <v>36</v>
      </c>
    </row>
    <row r="704" spans="1:27" x14ac:dyDescent="0.25">
      <c r="A704" s="17" t="s">
        <v>886</v>
      </c>
      <c r="B704" s="18" t="s">
        <v>38</v>
      </c>
      <c r="C704" s="63" t="str" cm="1">
        <f t="array" ref="C704">_xlfn.SWITCH(Table22[[#This Row],[Country]],"USA","North America","Canada","North America","Brazil","South America","China","Asia","Japan","Asia","India","Asia","France","Europe","Germany","Europe","UK","Europe","Australia","Oceania","South America")</f>
        <v>Europe</v>
      </c>
      <c r="D704" s="18" t="s">
        <v>44</v>
      </c>
      <c r="E704" s="18" t="s">
        <v>33</v>
      </c>
      <c r="F704" s="18" t="s">
        <v>64</v>
      </c>
      <c r="G704" s="18" t="s">
        <v>48</v>
      </c>
      <c r="H704" s="64">
        <f>LEN(TRIM(Table22[[#This Row],[Country]]))</f>
        <v>6</v>
      </c>
      <c r="I704" s="64">
        <f>LEN(TRIM(Table22[[#This Row],[Continent]]))</f>
        <v>6</v>
      </c>
      <c r="J704" s="64">
        <f>LEN(TRIM(Table22[[#This Row],[Product]]))</f>
        <v>10</v>
      </c>
      <c r="K704" s="64">
        <f>LEN(TRIM(Table22[[#This Row],[Sales Team]]))</f>
        <v>9</v>
      </c>
      <c r="L704" s="23">
        <v>32</v>
      </c>
      <c r="M704" s="65" t="str" cm="1">
        <f t="array" ref="M704">_xlfn.IFS(Table22[[#This Row],[Units Sold]]&lt;40,"Critical",Table22[[#This Row],[Units Sold]]&lt;=50,"Poor",Table22[[#This Row],[Units Sold]]&lt;=60,"Low",Table22[[#This Row],[Units Sold]]&lt;=80,"Average",Table22[[#This Row],[Units Sold]]&lt;=90,"High",Table22[[#This Row],[Units Sold]]&lt;=95,"Excellent",Table22[[#This Row],[Units Sold]]&gt;95,"Outstanding")</f>
        <v>Critical</v>
      </c>
      <c r="N704" s="29">
        <v>1443.06</v>
      </c>
      <c r="O704" s="29">
        <v>46177.919999999998</v>
      </c>
      <c r="P704" s="43">
        <f>IF(Table22[[#This Row],[Discount Applied]],Table22[[#This Row],[Total Sales (in USD)]]*(1-Table22[[#This Row],[Discount Percentage (%)]]/100),Table22[[#This Row],[Total Sales (in USD)]])</f>
        <v>35492.349311999998</v>
      </c>
      <c r="Q704" s="66">
        <f>SQRT(AVERAGE((Table22[[#This Row],[Net Sales (after discount) (in USD)]]-AVERAGE(Table22[Net Sales (after discount) (in USD)]))^2))</f>
        <v>1019.0112517645393</v>
      </c>
      <c r="R704" s="18" t="b">
        <v>0</v>
      </c>
      <c r="S704" s="40">
        <v>23.14</v>
      </c>
      <c r="T704" s="18" t="b">
        <v>1</v>
      </c>
      <c r="U704" s="25">
        <v>45101</v>
      </c>
      <c r="V704" s="63" t="str">
        <f>IF(MONTH(Table22[[#This Row],[Sales Date]])&lt;=3,"Q1",IF(MONTH(Table22[[#This Row],[Sales Date]])&lt;=6,"Q2",IF(MONTH(Table22[[#This Row],[Sales Date]])&lt;=9,"Q3","Q4")))</f>
        <v>Q2</v>
      </c>
      <c r="W704" s="64">
        <f>YEAR(Table22[[#This Row],[Sales Date]])</f>
        <v>2023</v>
      </c>
      <c r="X704" s="23">
        <v>40</v>
      </c>
      <c r="Y704" s="18" t="s">
        <v>49</v>
      </c>
      <c r="Z704" s="18" t="s">
        <v>30</v>
      </c>
      <c r="AA704" s="19" t="s">
        <v>36</v>
      </c>
    </row>
    <row r="705" spans="1:27" x14ac:dyDescent="0.25">
      <c r="A705" s="17" t="s">
        <v>273</v>
      </c>
      <c r="B705" s="18" t="s">
        <v>76</v>
      </c>
      <c r="C705" s="63" t="str" cm="1">
        <f t="array" ref="C705">_xlfn.SWITCH(Table22[[#This Row],[Country]],"USA","North America","Canada","North America","Brazil","South America","China","Asia","Japan","Asia","India","Asia","France","Europe","Germany","Europe","UK","Europe","Australia","Oceania","South America")</f>
        <v>Asia</v>
      </c>
      <c r="D705" s="18" t="s">
        <v>35</v>
      </c>
      <c r="E705" s="18" t="s">
        <v>19</v>
      </c>
      <c r="F705" s="18" t="s">
        <v>47</v>
      </c>
      <c r="G705" s="18" t="s">
        <v>40</v>
      </c>
      <c r="H705" s="64">
        <f>LEN(TRIM(Table22[[#This Row],[Country]]))</f>
        <v>5</v>
      </c>
      <c r="I705" s="64">
        <f>LEN(TRIM(Table22[[#This Row],[Continent]]))</f>
        <v>4</v>
      </c>
      <c r="J705" s="64">
        <f>LEN(TRIM(Table22[[#This Row],[Product]]))</f>
        <v>6</v>
      </c>
      <c r="K705" s="64">
        <f>LEN(TRIM(Table22[[#This Row],[Sales Team]]))</f>
        <v>10</v>
      </c>
      <c r="L705" s="23">
        <v>56</v>
      </c>
      <c r="M705" s="65" t="str" cm="1">
        <f t="array" ref="M705">_xlfn.IFS(Table22[[#This Row],[Units Sold]]&lt;40,"Critical",Table22[[#This Row],[Units Sold]]&lt;=50,"Poor",Table22[[#This Row],[Units Sold]]&lt;=60,"Low",Table22[[#This Row],[Units Sold]]&lt;=80,"Average",Table22[[#This Row],[Units Sold]]&lt;=90,"High",Table22[[#This Row],[Units Sold]]&lt;=95,"Excellent",Table22[[#This Row],[Units Sold]]&gt;95,"Outstanding")</f>
        <v>Low</v>
      </c>
      <c r="N705" s="29">
        <v>823.54</v>
      </c>
      <c r="O705" s="29">
        <v>46118.239999999998</v>
      </c>
      <c r="P705" s="43">
        <f>IF(Table22[[#This Row],[Discount Applied]],Table22[[#This Row],[Total Sales (in USD)]]*(1-Table22[[#This Row],[Discount Percentage (%)]]/100),Table22[[#This Row],[Total Sales (in USD)]])</f>
        <v>46118.239999999998</v>
      </c>
      <c r="Q705" s="66">
        <f>SQRT(AVERAGE((Table22[[#This Row],[Net Sales (after discount) (in USD)]]-AVERAGE(Table22[Net Sales (after discount) (in USD)]))^2))</f>
        <v>9606.8794362354602</v>
      </c>
      <c r="R705" s="18" t="b">
        <v>1</v>
      </c>
      <c r="S705" s="40">
        <v>12.93</v>
      </c>
      <c r="T705" s="18" t="b">
        <v>0</v>
      </c>
      <c r="U705" s="25">
        <v>45293</v>
      </c>
      <c r="V705" s="63" t="str">
        <f>IF(MONTH(Table22[[#This Row],[Sales Date]])&lt;=3,"Q1",IF(MONTH(Table22[[#This Row],[Sales Date]])&lt;=6,"Q2",IF(MONTH(Table22[[#This Row],[Sales Date]])&lt;=9,"Q3","Q4")))</f>
        <v>Q1</v>
      </c>
      <c r="W705" s="64">
        <f>YEAR(Table22[[#This Row],[Sales Date]])</f>
        <v>2024</v>
      </c>
      <c r="X705" s="23">
        <v>55</v>
      </c>
      <c r="Y705" s="18" t="s">
        <v>49</v>
      </c>
      <c r="Z705" s="18" t="s">
        <v>24</v>
      </c>
      <c r="AA705" s="19" t="s">
        <v>36</v>
      </c>
    </row>
    <row r="706" spans="1:27" x14ac:dyDescent="0.25">
      <c r="A706" s="17" t="s">
        <v>654</v>
      </c>
      <c r="B706" s="18" t="s">
        <v>62</v>
      </c>
      <c r="C706" s="63" t="str" cm="1">
        <f t="array" ref="C706">_xlfn.SWITCH(Table22[[#This Row],[Country]],"USA","North America","Canada","North America","Brazil","South America","China","Asia","Japan","Asia","India","Asia","France","Europe","Germany","Europe","UK","Europe","Australia","Oceania","South America")</f>
        <v>Oceania</v>
      </c>
      <c r="D706" s="18" t="s">
        <v>35</v>
      </c>
      <c r="E706" s="18" t="s">
        <v>39</v>
      </c>
      <c r="F706" s="18" t="s">
        <v>52</v>
      </c>
      <c r="G706" s="18" t="s">
        <v>29</v>
      </c>
      <c r="H706" s="64">
        <f>LEN(TRIM(Table22[[#This Row],[Country]]))</f>
        <v>9</v>
      </c>
      <c r="I706" s="64">
        <f>LEN(TRIM(Table22[[#This Row],[Continent]]))</f>
        <v>7</v>
      </c>
      <c r="J706" s="64">
        <f>LEN(TRIM(Table22[[#This Row],[Product]]))</f>
        <v>10</v>
      </c>
      <c r="K706" s="64">
        <f>LEN(TRIM(Table22[[#This Row],[Sales Team]]))</f>
        <v>10</v>
      </c>
      <c r="L706" s="23">
        <v>77</v>
      </c>
      <c r="M706" s="65" t="str" cm="1">
        <f t="array" ref="M706">_xlfn.IFS(Table22[[#This Row],[Units Sold]]&lt;40,"Critical",Table22[[#This Row],[Units Sold]]&lt;=50,"Poor",Table22[[#This Row],[Units Sold]]&lt;=60,"Low",Table22[[#This Row],[Units Sold]]&lt;=80,"Average",Table22[[#This Row],[Units Sold]]&lt;=90,"High",Table22[[#This Row],[Units Sold]]&lt;=95,"Excellent",Table22[[#This Row],[Units Sold]]&gt;95,"Outstanding")</f>
        <v>Average</v>
      </c>
      <c r="N706" s="29">
        <v>598.5</v>
      </c>
      <c r="O706" s="29">
        <v>46084.5</v>
      </c>
      <c r="P706" s="43">
        <f>IF(Table22[[#This Row],[Discount Applied]],Table22[[#This Row],[Total Sales (in USD)]]*(1-Table22[[#This Row],[Discount Percentage (%)]]/100),Table22[[#This Row],[Total Sales (in USD)]])</f>
        <v>32374.361250000002</v>
      </c>
      <c r="Q706" s="66">
        <f>SQRT(AVERAGE((Table22[[#This Row],[Net Sales (after discount) (in USD)]]-AVERAGE(Table22[Net Sales (after discount) (in USD)]))^2))</f>
        <v>4136.9993137645361</v>
      </c>
      <c r="R706" s="18" t="b">
        <v>0</v>
      </c>
      <c r="S706" s="40">
        <v>29.75</v>
      </c>
      <c r="T706" s="18" t="b">
        <v>1</v>
      </c>
      <c r="U706" s="25">
        <v>45193</v>
      </c>
      <c r="V706" s="63" t="str">
        <f>IF(MONTH(Table22[[#This Row],[Sales Date]])&lt;=3,"Q1",IF(MONTH(Table22[[#This Row],[Sales Date]])&lt;=6,"Q2",IF(MONTH(Table22[[#This Row],[Sales Date]])&lt;=9,"Q3","Q4")))</f>
        <v>Q3</v>
      </c>
      <c r="W706" s="64">
        <f>YEAR(Table22[[#This Row],[Sales Date]])</f>
        <v>2023</v>
      </c>
      <c r="X706" s="23">
        <v>56</v>
      </c>
      <c r="Y706" s="18" t="s">
        <v>49</v>
      </c>
      <c r="Z706" s="18" t="s">
        <v>56</v>
      </c>
      <c r="AA706" s="19" t="s">
        <v>36</v>
      </c>
    </row>
    <row r="707" spans="1:27" x14ac:dyDescent="0.25">
      <c r="A707" s="17" t="s">
        <v>746</v>
      </c>
      <c r="B707" s="18" t="s">
        <v>72</v>
      </c>
      <c r="C707" s="63" t="str" cm="1">
        <f t="array" ref="C707">_xlfn.SWITCH(Table22[[#This Row],[Country]],"USA","North America","Canada","North America","Brazil","South America","China","Asia","Japan","Asia","India","Asia","France","Europe","Germany","Europe","UK","Europe","Australia","Oceania","South America")</f>
        <v>North America</v>
      </c>
      <c r="D707" s="18" t="s">
        <v>28</v>
      </c>
      <c r="E707" s="18" t="s">
        <v>39</v>
      </c>
      <c r="F707" s="18" t="s">
        <v>34</v>
      </c>
      <c r="G707" s="18" t="s">
        <v>48</v>
      </c>
      <c r="H707" s="64">
        <f>LEN(TRIM(Table22[[#This Row],[Country]]))</f>
        <v>3</v>
      </c>
      <c r="I707" s="64">
        <f>LEN(TRIM(Table22[[#This Row],[Continent]]))</f>
        <v>13</v>
      </c>
      <c r="J707" s="64">
        <f>LEN(TRIM(Table22[[#This Row],[Product]]))</f>
        <v>10</v>
      </c>
      <c r="K707" s="64">
        <f>LEN(TRIM(Table22[[#This Row],[Sales Team]]))</f>
        <v>9</v>
      </c>
      <c r="L707" s="23">
        <v>65</v>
      </c>
      <c r="M707" s="65" t="str" cm="1">
        <f t="array" ref="M707">_xlfn.IFS(Table22[[#This Row],[Units Sold]]&lt;40,"Critical",Table22[[#This Row],[Units Sold]]&lt;=50,"Poor",Table22[[#This Row],[Units Sold]]&lt;=60,"Low",Table22[[#This Row],[Units Sold]]&lt;=80,"Average",Table22[[#This Row],[Units Sold]]&lt;=90,"High",Table22[[#This Row],[Units Sold]]&lt;=95,"Excellent",Table22[[#This Row],[Units Sold]]&gt;95,"Outstanding")</f>
        <v>Average</v>
      </c>
      <c r="N707" s="29">
        <v>705.53</v>
      </c>
      <c r="O707" s="29">
        <v>45859.45</v>
      </c>
      <c r="P707" s="43">
        <f>IF(Table22[[#This Row],[Discount Applied]],Table22[[#This Row],[Total Sales (in USD)]]*(1-Table22[[#This Row],[Discount Percentage (%)]]/100),Table22[[#This Row],[Total Sales (in USD)]])</f>
        <v>45859.45</v>
      </c>
      <c r="Q707" s="66">
        <f>SQRT(AVERAGE((Table22[[#This Row],[Net Sales (after discount) (in USD)]]-AVERAGE(Table22[Net Sales (after discount) (in USD)]))^2))</f>
        <v>9348.0894362354593</v>
      </c>
      <c r="R707" s="18" t="b">
        <v>0</v>
      </c>
      <c r="S707" s="40">
        <v>26.45</v>
      </c>
      <c r="T707" s="18" t="b">
        <v>0</v>
      </c>
      <c r="U707" s="25">
        <v>45434</v>
      </c>
      <c r="V707" s="63" t="str">
        <f>IF(MONTH(Table22[[#This Row],[Sales Date]])&lt;=3,"Q1",IF(MONTH(Table22[[#This Row],[Sales Date]])&lt;=6,"Q2",IF(MONTH(Table22[[#This Row],[Sales Date]])&lt;=9,"Q3","Q4")))</f>
        <v>Q2</v>
      </c>
      <c r="W707" s="64">
        <f>YEAR(Table22[[#This Row],[Sales Date]])</f>
        <v>2024</v>
      </c>
      <c r="X707" s="23">
        <v>40</v>
      </c>
      <c r="Y707" s="18" t="s">
        <v>49</v>
      </c>
      <c r="Z707" s="18" t="s">
        <v>56</v>
      </c>
      <c r="AA707" s="19" t="s">
        <v>25</v>
      </c>
    </row>
    <row r="708" spans="1:27" x14ac:dyDescent="0.25">
      <c r="A708" s="17" t="s">
        <v>1526</v>
      </c>
      <c r="B708" s="18" t="s">
        <v>76</v>
      </c>
      <c r="C708" s="63" t="str" cm="1">
        <f t="array" ref="C708">_xlfn.SWITCH(Table22[[#This Row],[Country]],"USA","North America","Canada","North America","Brazil","South America","China","Asia","Japan","Asia","India","Asia","France","Europe","Germany","Europe","UK","Europe","Australia","Oceania","South America")</f>
        <v>Asia</v>
      </c>
      <c r="D708" s="18" t="s">
        <v>21</v>
      </c>
      <c r="E708" s="18" t="s">
        <v>19</v>
      </c>
      <c r="F708" s="18" t="s">
        <v>52</v>
      </c>
      <c r="G708" s="18" t="s">
        <v>40</v>
      </c>
      <c r="H708" s="64">
        <f>LEN(TRIM(Table22[[#This Row],[Country]]))</f>
        <v>5</v>
      </c>
      <c r="I708" s="64">
        <f>LEN(TRIM(Table22[[#This Row],[Continent]]))</f>
        <v>4</v>
      </c>
      <c r="J708" s="64">
        <f>LEN(TRIM(Table22[[#This Row],[Product]]))</f>
        <v>6</v>
      </c>
      <c r="K708" s="64">
        <f>LEN(TRIM(Table22[[#This Row],[Sales Team]]))</f>
        <v>10</v>
      </c>
      <c r="L708" s="23">
        <v>63</v>
      </c>
      <c r="M708" s="65" t="str" cm="1">
        <f t="array" ref="M708">_xlfn.IFS(Table22[[#This Row],[Units Sold]]&lt;40,"Critical",Table22[[#This Row],[Units Sold]]&lt;=50,"Poor",Table22[[#This Row],[Units Sold]]&lt;=60,"Low",Table22[[#This Row],[Units Sold]]&lt;=80,"Average",Table22[[#This Row],[Units Sold]]&lt;=90,"High",Table22[[#This Row],[Units Sold]]&lt;=95,"Excellent",Table22[[#This Row],[Units Sold]]&gt;95,"Outstanding")</f>
        <v>Average</v>
      </c>
      <c r="N708" s="29">
        <v>727.57</v>
      </c>
      <c r="O708" s="29">
        <v>45836.91</v>
      </c>
      <c r="P708" s="43">
        <f>IF(Table22[[#This Row],[Discount Applied]],Table22[[#This Row],[Total Sales (in USD)]]*(1-Table22[[#This Row],[Discount Percentage (%)]]/100),Table22[[#This Row],[Total Sales (in USD)]])</f>
        <v>42449.562351000008</v>
      </c>
      <c r="Q708" s="66">
        <f>SQRT(AVERAGE((Table22[[#This Row],[Net Sales (after discount) (in USD)]]-AVERAGE(Table22[Net Sales (after discount) (in USD)]))^2))</f>
        <v>5938.20178723547</v>
      </c>
      <c r="R708" s="18" t="b">
        <v>0</v>
      </c>
      <c r="S708" s="40">
        <v>7.39</v>
      </c>
      <c r="T708" s="18" t="b">
        <v>1</v>
      </c>
      <c r="U708" s="25">
        <v>45214</v>
      </c>
      <c r="V708" s="63" t="str">
        <f>IF(MONTH(Table22[[#This Row],[Sales Date]])&lt;=3,"Q1",IF(MONTH(Table22[[#This Row],[Sales Date]])&lt;=6,"Q2",IF(MONTH(Table22[[#This Row],[Sales Date]])&lt;=9,"Q3","Q4")))</f>
        <v>Q4</v>
      </c>
      <c r="W708" s="64">
        <f>YEAR(Table22[[#This Row],[Sales Date]])</f>
        <v>2023</v>
      </c>
      <c r="X708" s="23">
        <v>31</v>
      </c>
      <c r="Y708" s="18" t="s">
        <v>41</v>
      </c>
      <c r="Z708" s="18" t="s">
        <v>56</v>
      </c>
      <c r="AA708" s="19" t="s">
        <v>36</v>
      </c>
    </row>
    <row r="709" spans="1:27" x14ac:dyDescent="0.25">
      <c r="A709" s="17" t="s">
        <v>1814</v>
      </c>
      <c r="B709" s="18" t="s">
        <v>27</v>
      </c>
      <c r="C709" s="63" t="str" cm="1">
        <f t="array" ref="C709">_xlfn.SWITCH(Table22[[#This Row],[Country]],"USA","North America","Canada","North America","Brazil","South America","China","Asia","Japan","Asia","India","Asia","France","Europe","Germany","Europe","UK","Europe","Australia","Oceania","South America")</f>
        <v>Europe</v>
      </c>
      <c r="D709" s="18" t="s">
        <v>28</v>
      </c>
      <c r="E709" s="18" t="s">
        <v>39</v>
      </c>
      <c r="F709" s="18" t="s">
        <v>47</v>
      </c>
      <c r="G709" s="18" t="s">
        <v>40</v>
      </c>
      <c r="H709" s="64">
        <f>LEN(TRIM(Table22[[#This Row],[Country]]))</f>
        <v>7</v>
      </c>
      <c r="I709" s="64">
        <f>LEN(TRIM(Table22[[#This Row],[Continent]]))</f>
        <v>6</v>
      </c>
      <c r="J709" s="64">
        <f>LEN(TRIM(Table22[[#This Row],[Product]]))</f>
        <v>10</v>
      </c>
      <c r="K709" s="64">
        <f>LEN(TRIM(Table22[[#This Row],[Sales Team]]))</f>
        <v>10</v>
      </c>
      <c r="L709" s="23">
        <v>32</v>
      </c>
      <c r="M709" s="65" t="str" cm="1">
        <f t="array" ref="M709">_xlfn.IFS(Table22[[#This Row],[Units Sold]]&lt;40,"Critical",Table22[[#This Row],[Units Sold]]&lt;=50,"Poor",Table22[[#This Row],[Units Sold]]&lt;=60,"Low",Table22[[#This Row],[Units Sold]]&lt;=80,"Average",Table22[[#This Row],[Units Sold]]&lt;=90,"High",Table22[[#This Row],[Units Sold]]&lt;=95,"Excellent",Table22[[#This Row],[Units Sold]]&gt;95,"Outstanding")</f>
        <v>Critical</v>
      </c>
      <c r="N709" s="29">
        <v>1431.72</v>
      </c>
      <c r="O709" s="29">
        <v>45815.040000000001</v>
      </c>
      <c r="P709" s="43">
        <f>IF(Table22[[#This Row],[Discount Applied]],Table22[[#This Row],[Total Sales (in USD)]]*(1-Table22[[#This Row],[Discount Percentage (%)]]/100),Table22[[#This Row],[Total Sales (in USD)]])</f>
        <v>45815.040000000001</v>
      </c>
      <c r="Q709" s="66">
        <f>SQRT(AVERAGE((Table22[[#This Row],[Net Sales (after discount) (in USD)]]-AVERAGE(Table22[Net Sales (after discount) (in USD)]))^2))</f>
        <v>9303.6794362354631</v>
      </c>
      <c r="R709" s="18" t="b">
        <v>1</v>
      </c>
      <c r="S709" s="40">
        <v>8.67</v>
      </c>
      <c r="T709" s="18" t="b">
        <v>0</v>
      </c>
      <c r="U709" s="25">
        <v>45560</v>
      </c>
      <c r="V709" s="63" t="str">
        <f>IF(MONTH(Table22[[#This Row],[Sales Date]])&lt;=3,"Q1",IF(MONTH(Table22[[#This Row],[Sales Date]])&lt;=6,"Q2",IF(MONTH(Table22[[#This Row],[Sales Date]])&lt;=9,"Q3","Q4")))</f>
        <v>Q3</v>
      </c>
      <c r="W709" s="64">
        <f>YEAR(Table22[[#This Row],[Sales Date]])</f>
        <v>2024</v>
      </c>
      <c r="X709" s="23">
        <v>55</v>
      </c>
      <c r="Y709" s="18" t="s">
        <v>49</v>
      </c>
      <c r="Z709" s="18" t="s">
        <v>24</v>
      </c>
      <c r="AA709" s="19" t="s">
        <v>25</v>
      </c>
    </row>
    <row r="710" spans="1:27" x14ac:dyDescent="0.25">
      <c r="A710" s="17" t="s">
        <v>135</v>
      </c>
      <c r="B710" s="18" t="s">
        <v>72</v>
      </c>
      <c r="C710" s="63" t="str" cm="1">
        <f t="array" ref="C710">_xlfn.SWITCH(Table22[[#This Row],[Country]],"USA","North America","Canada","North America","Brazil","South America","China","Asia","Japan","Asia","India","Asia","France","Europe","Germany","Europe","UK","Europe","Australia","Oceania","South America")</f>
        <v>North America</v>
      </c>
      <c r="D710" s="18" t="s">
        <v>21</v>
      </c>
      <c r="E710" s="18" t="s">
        <v>33</v>
      </c>
      <c r="F710" s="18" t="s">
        <v>64</v>
      </c>
      <c r="G710" s="18" t="s">
        <v>22</v>
      </c>
      <c r="H710" s="64">
        <f>LEN(TRIM(Table22[[#This Row],[Country]]))</f>
        <v>3</v>
      </c>
      <c r="I710" s="64">
        <f>LEN(TRIM(Table22[[#This Row],[Continent]]))</f>
        <v>13</v>
      </c>
      <c r="J710" s="64">
        <f>LEN(TRIM(Table22[[#This Row],[Product]]))</f>
        <v>10</v>
      </c>
      <c r="K710" s="64">
        <f>LEN(TRIM(Table22[[#This Row],[Sales Team]]))</f>
        <v>10</v>
      </c>
      <c r="L710" s="23">
        <v>88</v>
      </c>
      <c r="M710" s="65" t="str" cm="1">
        <f t="array" ref="M710">_xlfn.IFS(Table22[[#This Row],[Units Sold]]&lt;40,"Critical",Table22[[#This Row],[Units Sold]]&lt;=50,"Poor",Table22[[#This Row],[Units Sold]]&lt;=60,"Low",Table22[[#This Row],[Units Sold]]&lt;=80,"Average",Table22[[#This Row],[Units Sold]]&lt;=90,"High",Table22[[#This Row],[Units Sold]]&lt;=95,"Excellent",Table22[[#This Row],[Units Sold]]&gt;95,"Outstanding")</f>
        <v>High</v>
      </c>
      <c r="N710" s="29">
        <v>520.6</v>
      </c>
      <c r="O710" s="29">
        <v>45812.800000000003</v>
      </c>
      <c r="P710" s="43">
        <f>IF(Table22[[#This Row],[Discount Applied]],Table22[[#This Row],[Total Sales (in USD)]]*(1-Table22[[#This Row],[Discount Percentage (%)]]/100),Table22[[#This Row],[Total Sales (in USD)]])</f>
        <v>36219.599679999999</v>
      </c>
      <c r="Q710" s="66">
        <f>SQRT(AVERAGE((Table22[[#This Row],[Net Sales (after discount) (in USD)]]-AVERAGE(Table22[Net Sales (after discount) (in USD)]))^2))</f>
        <v>291.76088376453845</v>
      </c>
      <c r="R710" s="18" t="b">
        <v>1</v>
      </c>
      <c r="S710" s="40">
        <v>20.94</v>
      </c>
      <c r="T710" s="18" t="b">
        <v>1</v>
      </c>
      <c r="U710" s="25">
        <v>45251</v>
      </c>
      <c r="V710" s="63" t="str">
        <f>IF(MONTH(Table22[[#This Row],[Sales Date]])&lt;=3,"Q1",IF(MONTH(Table22[[#This Row],[Sales Date]])&lt;=6,"Q2",IF(MONTH(Table22[[#This Row],[Sales Date]])&lt;=9,"Q3","Q4")))</f>
        <v>Q4</v>
      </c>
      <c r="W710" s="64">
        <f>YEAR(Table22[[#This Row],[Sales Date]])</f>
        <v>2023</v>
      </c>
      <c r="X710" s="23">
        <v>46</v>
      </c>
      <c r="Y710" s="18" t="s">
        <v>41</v>
      </c>
      <c r="Z710" s="18" t="s">
        <v>30</v>
      </c>
      <c r="AA710" s="19" t="s">
        <v>25</v>
      </c>
    </row>
    <row r="711" spans="1:27" x14ac:dyDescent="0.25">
      <c r="A711" s="17" t="s">
        <v>701</v>
      </c>
      <c r="B711" s="18" t="s">
        <v>72</v>
      </c>
      <c r="C711" s="63" t="str" cm="1">
        <f t="array" ref="C711">_xlfn.SWITCH(Table22[[#This Row],[Country]],"USA","North America","Canada","North America","Brazil","South America","China","Asia","Japan","Asia","India","Asia","France","Europe","Germany","Europe","UK","Europe","Australia","Oceania","South America")</f>
        <v>North America</v>
      </c>
      <c r="D711" s="18" t="s">
        <v>21</v>
      </c>
      <c r="E711" s="18" t="s">
        <v>33</v>
      </c>
      <c r="F711" s="18" t="s">
        <v>64</v>
      </c>
      <c r="G711" s="18" t="s">
        <v>48</v>
      </c>
      <c r="H711" s="64">
        <f>LEN(TRIM(Table22[[#This Row],[Country]]))</f>
        <v>3</v>
      </c>
      <c r="I711" s="64">
        <f>LEN(TRIM(Table22[[#This Row],[Continent]]))</f>
        <v>13</v>
      </c>
      <c r="J711" s="64">
        <f>LEN(TRIM(Table22[[#This Row],[Product]]))</f>
        <v>10</v>
      </c>
      <c r="K711" s="64">
        <f>LEN(TRIM(Table22[[#This Row],[Sales Team]]))</f>
        <v>9</v>
      </c>
      <c r="L711" s="23">
        <v>92</v>
      </c>
      <c r="M711" s="65" t="str" cm="1">
        <f t="array" ref="M711">_xlfn.IFS(Table22[[#This Row],[Units Sold]]&lt;40,"Critical",Table22[[#This Row],[Units Sold]]&lt;=50,"Poor",Table22[[#This Row],[Units Sold]]&lt;=60,"Low",Table22[[#This Row],[Units Sold]]&lt;=80,"Average",Table22[[#This Row],[Units Sold]]&lt;=90,"High",Table22[[#This Row],[Units Sold]]&lt;=95,"Excellent",Table22[[#This Row],[Units Sold]]&gt;95,"Outstanding")</f>
        <v>Excellent</v>
      </c>
      <c r="N711" s="29">
        <v>497.83</v>
      </c>
      <c r="O711" s="29">
        <v>45800.36</v>
      </c>
      <c r="P711" s="43">
        <f>IF(Table22[[#This Row],[Discount Applied]],Table22[[#This Row],[Total Sales (in USD)]]*(1-Table22[[#This Row],[Discount Percentage (%)]]/100),Table22[[#This Row],[Total Sales (in USD)]])</f>
        <v>38879.925603999996</v>
      </c>
      <c r="Q711" s="66">
        <f>SQRT(AVERAGE((Table22[[#This Row],[Net Sales (after discount) (in USD)]]-AVERAGE(Table22[Net Sales (after discount) (in USD)]))^2))</f>
        <v>2368.5650402354586</v>
      </c>
      <c r="R711" s="18" t="b">
        <v>1</v>
      </c>
      <c r="S711" s="40">
        <v>15.11</v>
      </c>
      <c r="T711" s="18" t="b">
        <v>1</v>
      </c>
      <c r="U711" s="25">
        <v>45285</v>
      </c>
      <c r="V711" s="63" t="str">
        <f>IF(MONTH(Table22[[#This Row],[Sales Date]])&lt;=3,"Q1",IF(MONTH(Table22[[#This Row],[Sales Date]])&lt;=6,"Q2",IF(MONTH(Table22[[#This Row],[Sales Date]])&lt;=9,"Q3","Q4")))</f>
        <v>Q4</v>
      </c>
      <c r="W711" s="64">
        <f>YEAR(Table22[[#This Row],[Sales Date]])</f>
        <v>2023</v>
      </c>
      <c r="X711" s="23">
        <v>27</v>
      </c>
      <c r="Y711" s="18" t="s">
        <v>23</v>
      </c>
      <c r="Z711" s="18" t="s">
        <v>56</v>
      </c>
      <c r="AA711" s="19" t="s">
        <v>36</v>
      </c>
    </row>
    <row r="712" spans="1:27" x14ac:dyDescent="0.25">
      <c r="A712" s="17" t="s">
        <v>329</v>
      </c>
      <c r="B712" s="18" t="s">
        <v>51</v>
      </c>
      <c r="C712" s="63" t="str" cm="1">
        <f t="array" ref="C712">_xlfn.SWITCH(Table22[[#This Row],[Country]],"USA","North America","Canada","North America","Brazil","South America","China","Asia","Japan","Asia","India","Asia","France","Europe","Germany","Europe","UK","Europe","Australia","Oceania","South America")</f>
        <v>Europe</v>
      </c>
      <c r="D712" s="18" t="s">
        <v>44</v>
      </c>
      <c r="E712" s="18" t="s">
        <v>33</v>
      </c>
      <c r="F712" s="18" t="s">
        <v>47</v>
      </c>
      <c r="G712" s="18" t="s">
        <v>48</v>
      </c>
      <c r="H712" s="64">
        <f>LEN(TRIM(Table22[[#This Row],[Country]]))</f>
        <v>2</v>
      </c>
      <c r="I712" s="64">
        <f>LEN(TRIM(Table22[[#This Row],[Continent]]))</f>
        <v>6</v>
      </c>
      <c r="J712" s="64">
        <f>LEN(TRIM(Table22[[#This Row],[Product]]))</f>
        <v>10</v>
      </c>
      <c r="K712" s="64">
        <f>LEN(TRIM(Table22[[#This Row],[Sales Team]]))</f>
        <v>9</v>
      </c>
      <c r="L712" s="23">
        <v>89</v>
      </c>
      <c r="M712" s="65" t="str" cm="1">
        <f t="array" ref="M712">_xlfn.IFS(Table22[[#This Row],[Units Sold]]&lt;40,"Critical",Table22[[#This Row],[Units Sold]]&lt;=50,"Poor",Table22[[#This Row],[Units Sold]]&lt;=60,"Low",Table22[[#This Row],[Units Sold]]&lt;=80,"Average",Table22[[#This Row],[Units Sold]]&lt;=90,"High",Table22[[#This Row],[Units Sold]]&lt;=95,"Excellent",Table22[[#This Row],[Units Sold]]&gt;95,"Outstanding")</f>
        <v>High</v>
      </c>
      <c r="N712" s="29">
        <v>514.27</v>
      </c>
      <c r="O712" s="29">
        <v>45770.03</v>
      </c>
      <c r="P712" s="43">
        <f>IF(Table22[[#This Row],[Discount Applied]],Table22[[#This Row],[Total Sales (in USD)]]*(1-Table22[[#This Row],[Discount Percentage (%)]]/100),Table22[[#This Row],[Total Sales (in USD)]])</f>
        <v>41884.154453000003</v>
      </c>
      <c r="Q712" s="66">
        <f>SQRT(AVERAGE((Table22[[#This Row],[Net Sales (after discount) (in USD)]]-AVERAGE(Table22[Net Sales (after discount) (in USD)]))^2))</f>
        <v>5372.793889235465</v>
      </c>
      <c r="R712" s="18" t="b">
        <v>0</v>
      </c>
      <c r="S712" s="40">
        <v>8.49</v>
      </c>
      <c r="T712" s="18" t="b">
        <v>1</v>
      </c>
      <c r="U712" s="25">
        <v>44934</v>
      </c>
      <c r="V712" s="63" t="str">
        <f>IF(MONTH(Table22[[#This Row],[Sales Date]])&lt;=3,"Q1",IF(MONTH(Table22[[#This Row],[Sales Date]])&lt;=6,"Q2",IF(MONTH(Table22[[#This Row],[Sales Date]])&lt;=9,"Q3","Q4")))</f>
        <v>Q1</v>
      </c>
      <c r="W712" s="64">
        <f>YEAR(Table22[[#This Row],[Sales Date]])</f>
        <v>2023</v>
      </c>
      <c r="X712" s="23">
        <v>33</v>
      </c>
      <c r="Y712" s="18" t="s">
        <v>49</v>
      </c>
      <c r="Z712" s="18" t="s">
        <v>56</v>
      </c>
      <c r="AA712" s="19" t="s">
        <v>25</v>
      </c>
    </row>
    <row r="713" spans="1:27" x14ac:dyDescent="0.25">
      <c r="A713" s="17" t="s">
        <v>1373</v>
      </c>
      <c r="B713" s="18" t="s">
        <v>32</v>
      </c>
      <c r="C713" s="63" t="str" cm="1">
        <f t="array" ref="C713">_xlfn.SWITCH(Table22[[#This Row],[Country]],"USA","North America","Canada","North America","Brazil","South America","China","Asia","Japan","Asia","India","Asia","France","Europe","Germany","Europe","UK","Europe","Australia","Oceania","South America")</f>
        <v>Asia</v>
      </c>
      <c r="D713" s="18" t="s">
        <v>44</v>
      </c>
      <c r="E713" s="18" t="s">
        <v>39</v>
      </c>
      <c r="F713" s="18" t="s">
        <v>34</v>
      </c>
      <c r="G713" s="18" t="s">
        <v>40</v>
      </c>
      <c r="H713" s="64">
        <f>LEN(TRIM(Table22[[#This Row],[Country]]))</f>
        <v>5</v>
      </c>
      <c r="I713" s="64">
        <f>LEN(TRIM(Table22[[#This Row],[Continent]]))</f>
        <v>4</v>
      </c>
      <c r="J713" s="64">
        <f>LEN(TRIM(Table22[[#This Row],[Product]]))</f>
        <v>10</v>
      </c>
      <c r="K713" s="64">
        <f>LEN(TRIM(Table22[[#This Row],[Sales Team]]))</f>
        <v>10</v>
      </c>
      <c r="L713" s="23">
        <v>80</v>
      </c>
      <c r="M713" s="65" t="str" cm="1">
        <f t="array" ref="M713">_xlfn.IFS(Table22[[#This Row],[Units Sold]]&lt;40,"Critical",Table22[[#This Row],[Units Sold]]&lt;=50,"Poor",Table22[[#This Row],[Units Sold]]&lt;=60,"Low",Table22[[#This Row],[Units Sold]]&lt;=80,"Average",Table22[[#This Row],[Units Sold]]&lt;=90,"High",Table22[[#This Row],[Units Sold]]&lt;=95,"Excellent",Table22[[#This Row],[Units Sold]]&gt;95,"Outstanding")</f>
        <v>Average</v>
      </c>
      <c r="N713" s="29">
        <v>571.83000000000004</v>
      </c>
      <c r="O713" s="29">
        <v>45746.400000000001</v>
      </c>
      <c r="P713" s="43">
        <f>IF(Table22[[#This Row],[Discount Applied]],Table22[[#This Row],[Total Sales (in USD)]]*(1-Table22[[#This Row],[Discount Percentage (%)]]/100),Table22[[#This Row],[Total Sales (in USD)]])</f>
        <v>41368.469519999999</v>
      </c>
      <c r="Q713" s="66">
        <f>SQRT(AVERAGE((Table22[[#This Row],[Net Sales (after discount) (in USD)]]-AVERAGE(Table22[Net Sales (after discount) (in USD)]))^2))</f>
        <v>4857.1089562354609</v>
      </c>
      <c r="R713" s="18" t="b">
        <v>0</v>
      </c>
      <c r="S713" s="40">
        <v>9.57</v>
      </c>
      <c r="T713" s="18" t="b">
        <v>1</v>
      </c>
      <c r="U713" s="25">
        <v>45201</v>
      </c>
      <c r="V713" s="63" t="str">
        <f>IF(MONTH(Table22[[#This Row],[Sales Date]])&lt;=3,"Q1",IF(MONTH(Table22[[#This Row],[Sales Date]])&lt;=6,"Q2",IF(MONTH(Table22[[#This Row],[Sales Date]])&lt;=9,"Q3","Q4")))</f>
        <v>Q4</v>
      </c>
      <c r="W713" s="64">
        <f>YEAR(Table22[[#This Row],[Sales Date]])</f>
        <v>2023</v>
      </c>
      <c r="X713" s="23">
        <v>21</v>
      </c>
      <c r="Y713" s="18" t="s">
        <v>41</v>
      </c>
      <c r="Z713" s="18" t="s">
        <v>56</v>
      </c>
      <c r="AA713" s="19" t="s">
        <v>25</v>
      </c>
    </row>
    <row r="714" spans="1:27" x14ac:dyDescent="0.25">
      <c r="A714" s="17" t="s">
        <v>1270</v>
      </c>
      <c r="B714" s="18" t="s">
        <v>38</v>
      </c>
      <c r="C714" s="63" t="str" cm="1">
        <f t="array" ref="C714">_xlfn.SWITCH(Table22[[#This Row],[Country]],"USA","North America","Canada","North America","Brazil","South America","China","Asia","Japan","Asia","India","Asia","France","Europe","Germany","Europe","UK","Europe","Australia","Oceania","South America")</f>
        <v>Europe</v>
      </c>
      <c r="D714" s="18" t="s">
        <v>44</v>
      </c>
      <c r="E714" s="18" t="s">
        <v>39</v>
      </c>
      <c r="F714" s="18" t="s">
        <v>34</v>
      </c>
      <c r="G714" s="18" t="s">
        <v>22</v>
      </c>
      <c r="H714" s="64">
        <f>LEN(TRIM(Table22[[#This Row],[Country]]))</f>
        <v>6</v>
      </c>
      <c r="I714" s="64">
        <f>LEN(TRIM(Table22[[#This Row],[Continent]]))</f>
        <v>6</v>
      </c>
      <c r="J714" s="64">
        <f>LEN(TRIM(Table22[[#This Row],[Product]]))</f>
        <v>10</v>
      </c>
      <c r="K714" s="64">
        <f>LEN(TRIM(Table22[[#This Row],[Sales Team]]))</f>
        <v>10</v>
      </c>
      <c r="L714" s="23">
        <v>74</v>
      </c>
      <c r="M714" s="65" t="str" cm="1">
        <f t="array" ref="M714">_xlfn.IFS(Table22[[#This Row],[Units Sold]]&lt;40,"Critical",Table22[[#This Row],[Units Sold]]&lt;=50,"Poor",Table22[[#This Row],[Units Sold]]&lt;=60,"Low",Table22[[#This Row],[Units Sold]]&lt;=80,"Average",Table22[[#This Row],[Units Sold]]&lt;=90,"High",Table22[[#This Row],[Units Sold]]&lt;=95,"Excellent",Table22[[#This Row],[Units Sold]]&gt;95,"Outstanding")</f>
        <v>Average</v>
      </c>
      <c r="N714" s="29">
        <v>618.07000000000005</v>
      </c>
      <c r="O714" s="29">
        <v>45737.18</v>
      </c>
      <c r="P714" s="43">
        <f>IF(Table22[[#This Row],[Discount Applied]],Table22[[#This Row],[Total Sales (in USD)]]*(1-Table22[[#This Row],[Discount Percentage (%)]]/100),Table22[[#This Row],[Total Sales (in USD)]])</f>
        <v>43651.564592000002</v>
      </c>
      <c r="Q714" s="66">
        <f>SQRT(AVERAGE((Table22[[#This Row],[Net Sales (after discount) (in USD)]]-AVERAGE(Table22[Net Sales (after discount) (in USD)]))^2))</f>
        <v>7140.2040282354646</v>
      </c>
      <c r="R714" s="18" t="b">
        <v>1</v>
      </c>
      <c r="S714" s="40">
        <v>4.5599999999999996</v>
      </c>
      <c r="T714" s="18" t="b">
        <v>1</v>
      </c>
      <c r="U714" s="25">
        <v>44990</v>
      </c>
      <c r="V714" s="63" t="str">
        <f>IF(MONTH(Table22[[#This Row],[Sales Date]])&lt;=3,"Q1",IF(MONTH(Table22[[#This Row],[Sales Date]])&lt;=6,"Q2",IF(MONTH(Table22[[#This Row],[Sales Date]])&lt;=9,"Q3","Q4")))</f>
        <v>Q1</v>
      </c>
      <c r="W714" s="64">
        <f>YEAR(Table22[[#This Row],[Sales Date]])</f>
        <v>2023</v>
      </c>
      <c r="X714" s="23">
        <v>67</v>
      </c>
      <c r="Y714" s="18" t="s">
        <v>41</v>
      </c>
      <c r="Z714" s="18" t="s">
        <v>56</v>
      </c>
      <c r="AA714" s="19" t="s">
        <v>25</v>
      </c>
    </row>
    <row r="715" spans="1:27" x14ac:dyDescent="0.25">
      <c r="A715" s="17" t="s">
        <v>418</v>
      </c>
      <c r="B715" s="18" t="s">
        <v>32</v>
      </c>
      <c r="C715" s="63" t="str" cm="1">
        <f t="array" ref="C715">_xlfn.SWITCH(Table22[[#This Row],[Country]],"USA","North America","Canada","North America","Brazil","South America","China","Asia","Japan","Asia","India","Asia","France","Europe","Germany","Europe","UK","Europe","Australia","Oceania","South America")</f>
        <v>Asia</v>
      </c>
      <c r="D715" s="18" t="s">
        <v>35</v>
      </c>
      <c r="E715" s="18" t="s">
        <v>33</v>
      </c>
      <c r="F715" s="18" t="s">
        <v>64</v>
      </c>
      <c r="G715" s="18" t="s">
        <v>48</v>
      </c>
      <c r="H715" s="64">
        <f>LEN(TRIM(Table22[[#This Row],[Country]]))</f>
        <v>5</v>
      </c>
      <c r="I715" s="64">
        <f>LEN(TRIM(Table22[[#This Row],[Continent]]))</f>
        <v>4</v>
      </c>
      <c r="J715" s="64">
        <f>LEN(TRIM(Table22[[#This Row],[Product]]))</f>
        <v>10</v>
      </c>
      <c r="K715" s="64">
        <f>LEN(TRIM(Table22[[#This Row],[Sales Team]]))</f>
        <v>9</v>
      </c>
      <c r="L715" s="23">
        <v>84</v>
      </c>
      <c r="M715" s="65" t="str" cm="1">
        <f t="array" ref="M715">_xlfn.IFS(Table22[[#This Row],[Units Sold]]&lt;40,"Critical",Table22[[#This Row],[Units Sold]]&lt;=50,"Poor",Table22[[#This Row],[Units Sold]]&lt;=60,"Low",Table22[[#This Row],[Units Sold]]&lt;=80,"Average",Table22[[#This Row],[Units Sold]]&lt;=90,"High",Table22[[#This Row],[Units Sold]]&lt;=95,"Excellent",Table22[[#This Row],[Units Sold]]&gt;95,"Outstanding")</f>
        <v>High</v>
      </c>
      <c r="N715" s="29">
        <v>543.64</v>
      </c>
      <c r="O715" s="29">
        <v>45665.760000000002</v>
      </c>
      <c r="P715" s="43">
        <f>IF(Table22[[#This Row],[Discount Applied]],Table22[[#This Row],[Total Sales (in USD)]]*(1-Table22[[#This Row],[Discount Percentage (%)]]/100),Table22[[#This Row],[Total Sales (in USD)]])</f>
        <v>32189.794224000001</v>
      </c>
      <c r="Q715" s="66">
        <f>SQRT(AVERAGE((Table22[[#This Row],[Net Sales (after discount) (in USD)]]-AVERAGE(Table22[Net Sales (after discount) (in USD)]))^2))</f>
        <v>4321.5663397645367</v>
      </c>
      <c r="R715" s="18" t="b">
        <v>0</v>
      </c>
      <c r="S715" s="40">
        <v>29.51</v>
      </c>
      <c r="T715" s="18" t="b">
        <v>1</v>
      </c>
      <c r="U715" s="25">
        <v>45031</v>
      </c>
      <c r="V715" s="63" t="str">
        <f>IF(MONTH(Table22[[#This Row],[Sales Date]])&lt;=3,"Q1",IF(MONTH(Table22[[#This Row],[Sales Date]])&lt;=6,"Q2",IF(MONTH(Table22[[#This Row],[Sales Date]])&lt;=9,"Q3","Q4")))</f>
        <v>Q2</v>
      </c>
      <c r="W715" s="64">
        <f>YEAR(Table22[[#This Row],[Sales Date]])</f>
        <v>2023</v>
      </c>
      <c r="X715" s="23">
        <v>51</v>
      </c>
      <c r="Y715" s="18" t="s">
        <v>41</v>
      </c>
      <c r="Z715" s="18" t="s">
        <v>30</v>
      </c>
      <c r="AA715" s="19" t="s">
        <v>25</v>
      </c>
    </row>
    <row r="716" spans="1:27" x14ac:dyDescent="0.25">
      <c r="A716" s="17" t="s">
        <v>1138</v>
      </c>
      <c r="B716" s="18" t="s">
        <v>66</v>
      </c>
      <c r="C716" s="63" t="str" cm="1">
        <f t="array" ref="C716">_xlfn.SWITCH(Table22[[#This Row],[Country]],"USA","North America","Canada","North America","Brazil","South America","China","Asia","Japan","Asia","India","Asia","France","Europe","Germany","Europe","UK","Europe","Australia","Oceania","South America")</f>
        <v>North America</v>
      </c>
      <c r="D716" s="18" t="s">
        <v>21</v>
      </c>
      <c r="E716" s="18" t="s">
        <v>33</v>
      </c>
      <c r="F716" s="18" t="s">
        <v>52</v>
      </c>
      <c r="G716" s="18" t="s">
        <v>22</v>
      </c>
      <c r="H716" s="64">
        <f>LEN(TRIM(Table22[[#This Row],[Country]]))</f>
        <v>6</v>
      </c>
      <c r="I716" s="64">
        <f>LEN(TRIM(Table22[[#This Row],[Continent]]))</f>
        <v>13</v>
      </c>
      <c r="J716" s="64">
        <f>LEN(TRIM(Table22[[#This Row],[Product]]))</f>
        <v>10</v>
      </c>
      <c r="K716" s="64">
        <f>LEN(TRIM(Table22[[#This Row],[Sales Team]]))</f>
        <v>10</v>
      </c>
      <c r="L716" s="23">
        <v>79</v>
      </c>
      <c r="M716" s="65" t="str" cm="1">
        <f t="array" ref="M716">_xlfn.IFS(Table22[[#This Row],[Units Sold]]&lt;40,"Critical",Table22[[#This Row],[Units Sold]]&lt;=50,"Poor",Table22[[#This Row],[Units Sold]]&lt;=60,"Low",Table22[[#This Row],[Units Sold]]&lt;=80,"Average",Table22[[#This Row],[Units Sold]]&lt;=90,"High",Table22[[#This Row],[Units Sold]]&lt;=95,"Excellent",Table22[[#This Row],[Units Sold]]&gt;95,"Outstanding")</f>
        <v>Average</v>
      </c>
      <c r="N716" s="29">
        <v>577.16</v>
      </c>
      <c r="O716" s="29">
        <v>45595.64</v>
      </c>
      <c r="P716" s="43">
        <f>IF(Table22[[#This Row],[Discount Applied]],Table22[[#This Row],[Total Sales (in USD)]]*(1-Table22[[#This Row],[Discount Percentage (%)]]/100),Table22[[#This Row],[Total Sales (in USD)]])</f>
        <v>37780.547304</v>
      </c>
      <c r="Q716" s="66">
        <f>SQRT(AVERAGE((Table22[[#This Row],[Net Sales (after discount) (in USD)]]-AVERAGE(Table22[Net Sales (after discount) (in USD)]))^2))</f>
        <v>1269.1867402354619</v>
      </c>
      <c r="R716" s="18" t="b">
        <v>0</v>
      </c>
      <c r="S716" s="40">
        <v>17.14</v>
      </c>
      <c r="T716" s="18" t="b">
        <v>1</v>
      </c>
      <c r="U716" s="25">
        <v>45174</v>
      </c>
      <c r="V716" s="63" t="str">
        <f>IF(MONTH(Table22[[#This Row],[Sales Date]])&lt;=3,"Q1",IF(MONTH(Table22[[#This Row],[Sales Date]])&lt;=6,"Q2",IF(MONTH(Table22[[#This Row],[Sales Date]])&lt;=9,"Q3","Q4")))</f>
        <v>Q3</v>
      </c>
      <c r="W716" s="64">
        <f>YEAR(Table22[[#This Row],[Sales Date]])</f>
        <v>2023</v>
      </c>
      <c r="X716" s="23">
        <v>29</v>
      </c>
      <c r="Y716" s="18" t="s">
        <v>23</v>
      </c>
      <c r="Z716" s="18" t="s">
        <v>24</v>
      </c>
      <c r="AA716" s="19" t="s">
        <v>36</v>
      </c>
    </row>
    <row r="717" spans="1:27" x14ac:dyDescent="0.25">
      <c r="A717" s="17" t="s">
        <v>1583</v>
      </c>
      <c r="B717" s="18" t="s">
        <v>51</v>
      </c>
      <c r="C717" s="63" t="str" cm="1">
        <f t="array" ref="C717">_xlfn.SWITCH(Table22[[#This Row],[Country]],"USA","North America","Canada","North America","Brazil","South America","China","Asia","Japan","Asia","India","Asia","France","Europe","Germany","Europe","UK","Europe","Australia","Oceania","South America")</f>
        <v>Europe</v>
      </c>
      <c r="D717" s="18" t="s">
        <v>44</v>
      </c>
      <c r="E717" s="18" t="s">
        <v>33</v>
      </c>
      <c r="F717" s="18" t="s">
        <v>52</v>
      </c>
      <c r="G717" s="18" t="s">
        <v>48</v>
      </c>
      <c r="H717" s="64">
        <f>LEN(TRIM(Table22[[#This Row],[Country]]))</f>
        <v>2</v>
      </c>
      <c r="I717" s="64">
        <f>LEN(TRIM(Table22[[#This Row],[Continent]]))</f>
        <v>6</v>
      </c>
      <c r="J717" s="64">
        <f>LEN(TRIM(Table22[[#This Row],[Product]]))</f>
        <v>10</v>
      </c>
      <c r="K717" s="64">
        <f>LEN(TRIM(Table22[[#This Row],[Sales Team]]))</f>
        <v>9</v>
      </c>
      <c r="L717" s="23">
        <v>73</v>
      </c>
      <c r="M717" s="65" t="str" cm="1">
        <f t="array" ref="M717">_xlfn.IFS(Table22[[#This Row],[Units Sold]]&lt;40,"Critical",Table22[[#This Row],[Units Sold]]&lt;=50,"Poor",Table22[[#This Row],[Units Sold]]&lt;=60,"Low",Table22[[#This Row],[Units Sold]]&lt;=80,"Average",Table22[[#This Row],[Units Sold]]&lt;=90,"High",Table22[[#This Row],[Units Sold]]&lt;=95,"Excellent",Table22[[#This Row],[Units Sold]]&gt;95,"Outstanding")</f>
        <v>Average</v>
      </c>
      <c r="N717" s="29">
        <v>624.54</v>
      </c>
      <c r="O717" s="29">
        <v>45591.42</v>
      </c>
      <c r="P717" s="43">
        <f>IF(Table22[[#This Row],[Discount Applied]],Table22[[#This Row],[Total Sales (in USD)]]*(1-Table22[[#This Row],[Discount Percentage (%)]]/100),Table22[[#This Row],[Total Sales (in USD)]])</f>
        <v>45591.42</v>
      </c>
      <c r="Q717" s="66">
        <f>SQRT(AVERAGE((Table22[[#This Row],[Net Sales (after discount) (in USD)]]-AVERAGE(Table22[Net Sales (after discount) (in USD)]))^2))</f>
        <v>9080.0594362354605</v>
      </c>
      <c r="R717" s="18" t="b">
        <v>0</v>
      </c>
      <c r="S717" s="40">
        <v>15.74</v>
      </c>
      <c r="T717" s="18" t="b">
        <v>0</v>
      </c>
      <c r="U717" s="25">
        <v>45180</v>
      </c>
      <c r="V717" s="63" t="str">
        <f>IF(MONTH(Table22[[#This Row],[Sales Date]])&lt;=3,"Q1",IF(MONTH(Table22[[#This Row],[Sales Date]])&lt;=6,"Q2",IF(MONTH(Table22[[#This Row],[Sales Date]])&lt;=9,"Q3","Q4")))</f>
        <v>Q3</v>
      </c>
      <c r="W717" s="64">
        <f>YEAR(Table22[[#This Row],[Sales Date]])</f>
        <v>2023</v>
      </c>
      <c r="X717" s="23">
        <v>59</v>
      </c>
      <c r="Y717" s="18" t="s">
        <v>41</v>
      </c>
      <c r="Z717" s="18" t="s">
        <v>24</v>
      </c>
      <c r="AA717" s="19" t="s">
        <v>25</v>
      </c>
    </row>
    <row r="718" spans="1:27" x14ac:dyDescent="0.25">
      <c r="A718" s="17" t="s">
        <v>889</v>
      </c>
      <c r="B718" s="18" t="s">
        <v>18</v>
      </c>
      <c r="C718" s="63" t="str" cm="1">
        <f t="array" ref="C718">_xlfn.SWITCH(Table22[[#This Row],[Country]],"USA","North America","Canada","North America","Brazil","South America","China","Asia","Japan","Asia","India","Asia","France","Europe","Germany","Europe","UK","Europe","Australia","Oceania","South America")</f>
        <v>Asia</v>
      </c>
      <c r="D718" s="18" t="s">
        <v>44</v>
      </c>
      <c r="E718" s="18" t="s">
        <v>19</v>
      </c>
      <c r="F718" s="18" t="s">
        <v>34</v>
      </c>
      <c r="G718" s="18" t="s">
        <v>40</v>
      </c>
      <c r="H718" s="64">
        <f>LEN(TRIM(Table22[[#This Row],[Country]]))</f>
        <v>5</v>
      </c>
      <c r="I718" s="64">
        <f>LEN(TRIM(Table22[[#This Row],[Continent]]))</f>
        <v>4</v>
      </c>
      <c r="J718" s="64">
        <f>LEN(TRIM(Table22[[#This Row],[Product]]))</f>
        <v>6</v>
      </c>
      <c r="K718" s="64">
        <f>LEN(TRIM(Table22[[#This Row],[Sales Team]]))</f>
        <v>10</v>
      </c>
      <c r="L718" s="23">
        <v>66</v>
      </c>
      <c r="M718" s="65" t="str" cm="1">
        <f t="array" ref="M718">_xlfn.IFS(Table22[[#This Row],[Units Sold]]&lt;40,"Critical",Table22[[#This Row],[Units Sold]]&lt;=50,"Poor",Table22[[#This Row],[Units Sold]]&lt;=60,"Low",Table22[[#This Row],[Units Sold]]&lt;=80,"Average",Table22[[#This Row],[Units Sold]]&lt;=90,"High",Table22[[#This Row],[Units Sold]]&lt;=95,"Excellent",Table22[[#This Row],[Units Sold]]&gt;95,"Outstanding")</f>
        <v>Average</v>
      </c>
      <c r="N718" s="29">
        <v>689.11</v>
      </c>
      <c r="O718" s="29">
        <v>45481.26</v>
      </c>
      <c r="P718" s="43">
        <f>IF(Table22[[#This Row],[Discount Applied]],Table22[[#This Row],[Total Sales (in USD)]]*(1-Table22[[#This Row],[Discount Percentage (%)]]/100),Table22[[#This Row],[Total Sales (in USD)]])</f>
        <v>33051.231641999999</v>
      </c>
      <c r="Q718" s="66">
        <f>SQRT(AVERAGE((Table22[[#This Row],[Net Sales (after discount) (in USD)]]-AVERAGE(Table22[Net Sales (after discount) (in USD)]))^2))</f>
        <v>3460.128921764539</v>
      </c>
      <c r="R718" s="18" t="b">
        <v>0</v>
      </c>
      <c r="S718" s="40">
        <v>27.33</v>
      </c>
      <c r="T718" s="18" t="b">
        <v>1</v>
      </c>
      <c r="U718" s="25">
        <v>45265</v>
      </c>
      <c r="V718" s="63" t="str">
        <f>IF(MONTH(Table22[[#This Row],[Sales Date]])&lt;=3,"Q1",IF(MONTH(Table22[[#This Row],[Sales Date]])&lt;=6,"Q2",IF(MONTH(Table22[[#This Row],[Sales Date]])&lt;=9,"Q3","Q4")))</f>
        <v>Q4</v>
      </c>
      <c r="W718" s="64">
        <f>YEAR(Table22[[#This Row],[Sales Date]])</f>
        <v>2023</v>
      </c>
      <c r="X718" s="23">
        <v>37</v>
      </c>
      <c r="Y718" s="18" t="s">
        <v>23</v>
      </c>
      <c r="Z718" s="18" t="s">
        <v>56</v>
      </c>
      <c r="AA718" s="19" t="s">
        <v>25</v>
      </c>
    </row>
    <row r="719" spans="1:27" x14ac:dyDescent="0.25">
      <c r="A719" s="17" t="s">
        <v>1112</v>
      </c>
      <c r="B719" s="18" t="s">
        <v>72</v>
      </c>
      <c r="C719" s="63" t="str" cm="1">
        <f t="array" ref="C719">_xlfn.SWITCH(Table22[[#This Row],[Country]],"USA","North America","Canada","North America","Brazil","South America","China","Asia","Japan","Asia","India","Asia","France","Europe","Germany","Europe","UK","Europe","Australia","Oceania","South America")</f>
        <v>North America</v>
      </c>
      <c r="D719" s="18" t="s">
        <v>44</v>
      </c>
      <c r="E719" s="18" t="s">
        <v>39</v>
      </c>
      <c r="F719" s="18" t="s">
        <v>20</v>
      </c>
      <c r="G719" s="18" t="s">
        <v>29</v>
      </c>
      <c r="H719" s="64">
        <f>LEN(TRIM(Table22[[#This Row],[Country]]))</f>
        <v>3</v>
      </c>
      <c r="I719" s="64">
        <f>LEN(TRIM(Table22[[#This Row],[Continent]]))</f>
        <v>13</v>
      </c>
      <c r="J719" s="64">
        <f>LEN(TRIM(Table22[[#This Row],[Product]]))</f>
        <v>10</v>
      </c>
      <c r="K719" s="64">
        <f>LEN(TRIM(Table22[[#This Row],[Sales Team]]))</f>
        <v>10</v>
      </c>
      <c r="L719" s="23">
        <v>33</v>
      </c>
      <c r="M719" s="65" t="str" cm="1">
        <f t="array" ref="M719">_xlfn.IFS(Table22[[#This Row],[Units Sold]]&lt;40,"Critical",Table22[[#This Row],[Units Sold]]&lt;=50,"Poor",Table22[[#This Row],[Units Sold]]&lt;=60,"Low",Table22[[#This Row],[Units Sold]]&lt;=80,"Average",Table22[[#This Row],[Units Sold]]&lt;=90,"High",Table22[[#This Row],[Units Sold]]&lt;=95,"Excellent",Table22[[#This Row],[Units Sold]]&gt;95,"Outstanding")</f>
        <v>Critical</v>
      </c>
      <c r="N719" s="29">
        <v>1376.65</v>
      </c>
      <c r="O719" s="29">
        <v>45429.45</v>
      </c>
      <c r="P719" s="43">
        <f>IF(Table22[[#This Row],[Discount Applied]],Table22[[#This Row],[Total Sales (in USD)]]*(1-Table22[[#This Row],[Discount Percentage (%)]]/100),Table22[[#This Row],[Total Sales (in USD)]])</f>
        <v>37683.728774999996</v>
      </c>
      <c r="Q719" s="66">
        <f>SQRT(AVERAGE((Table22[[#This Row],[Net Sales (after discount) (in USD)]]-AVERAGE(Table22[Net Sales (after discount) (in USD)]))^2))</f>
        <v>1172.3682112354581</v>
      </c>
      <c r="R719" s="18" t="b">
        <v>1</v>
      </c>
      <c r="S719" s="40">
        <v>17.05</v>
      </c>
      <c r="T719" s="18" t="b">
        <v>1</v>
      </c>
      <c r="U719" s="25">
        <v>45147</v>
      </c>
      <c r="V719" s="63" t="str">
        <f>IF(MONTH(Table22[[#This Row],[Sales Date]])&lt;=3,"Q1",IF(MONTH(Table22[[#This Row],[Sales Date]])&lt;=6,"Q2",IF(MONTH(Table22[[#This Row],[Sales Date]])&lt;=9,"Q3","Q4")))</f>
        <v>Q3</v>
      </c>
      <c r="W719" s="64">
        <f>YEAR(Table22[[#This Row],[Sales Date]])</f>
        <v>2023</v>
      </c>
      <c r="X719" s="23">
        <v>33</v>
      </c>
      <c r="Y719" s="18" t="s">
        <v>49</v>
      </c>
      <c r="Z719" s="18" t="s">
        <v>42</v>
      </c>
      <c r="AA719" s="19" t="s">
        <v>36</v>
      </c>
    </row>
    <row r="720" spans="1:27" x14ac:dyDescent="0.25">
      <c r="A720" s="17" t="s">
        <v>1433</v>
      </c>
      <c r="B720" s="18" t="s">
        <v>32</v>
      </c>
      <c r="C720" s="63" t="str" cm="1">
        <f t="array" ref="C720">_xlfn.SWITCH(Table22[[#This Row],[Country]],"USA","North America","Canada","North America","Brazil","South America","China","Asia","Japan","Asia","India","Asia","France","Europe","Germany","Europe","UK","Europe","Australia","Oceania","South America")</f>
        <v>Asia</v>
      </c>
      <c r="D720" s="18" t="s">
        <v>35</v>
      </c>
      <c r="E720" s="18" t="s">
        <v>19</v>
      </c>
      <c r="F720" s="18" t="s">
        <v>20</v>
      </c>
      <c r="G720" s="18" t="s">
        <v>48</v>
      </c>
      <c r="H720" s="64">
        <f>LEN(TRIM(Table22[[#This Row],[Country]]))</f>
        <v>5</v>
      </c>
      <c r="I720" s="64">
        <f>LEN(TRIM(Table22[[#This Row],[Continent]]))</f>
        <v>4</v>
      </c>
      <c r="J720" s="64">
        <f>LEN(TRIM(Table22[[#This Row],[Product]]))</f>
        <v>6</v>
      </c>
      <c r="K720" s="64">
        <f>LEN(TRIM(Table22[[#This Row],[Sales Team]]))</f>
        <v>9</v>
      </c>
      <c r="L720" s="23">
        <v>58</v>
      </c>
      <c r="M720" s="65" t="str" cm="1">
        <f t="array" ref="M720">_xlfn.IFS(Table22[[#This Row],[Units Sold]]&lt;40,"Critical",Table22[[#This Row],[Units Sold]]&lt;=50,"Poor",Table22[[#This Row],[Units Sold]]&lt;=60,"Low",Table22[[#This Row],[Units Sold]]&lt;=80,"Average",Table22[[#This Row],[Units Sold]]&lt;=90,"High",Table22[[#This Row],[Units Sold]]&lt;=95,"Excellent",Table22[[#This Row],[Units Sold]]&gt;95,"Outstanding")</f>
        <v>Low</v>
      </c>
      <c r="N720" s="29">
        <v>783.1</v>
      </c>
      <c r="O720" s="29">
        <v>45419.8</v>
      </c>
      <c r="P720" s="43">
        <f>IF(Table22[[#This Row],[Discount Applied]],Table22[[#This Row],[Total Sales (in USD)]]*(1-Table22[[#This Row],[Discount Percentage (%)]]/100),Table22[[#This Row],[Total Sales (in USD)]])</f>
        <v>38665.875740000003</v>
      </c>
      <c r="Q720" s="66">
        <f>SQRT(AVERAGE((Table22[[#This Row],[Net Sales (after discount) (in USD)]]-AVERAGE(Table22[Net Sales (after discount) (in USD)]))^2))</f>
        <v>2154.5151762354653</v>
      </c>
      <c r="R720" s="18" t="b">
        <v>0</v>
      </c>
      <c r="S720" s="40">
        <v>14.87</v>
      </c>
      <c r="T720" s="18" t="b">
        <v>1</v>
      </c>
      <c r="U720" s="25">
        <v>44931</v>
      </c>
      <c r="V720" s="63" t="str">
        <f>IF(MONTH(Table22[[#This Row],[Sales Date]])&lt;=3,"Q1",IF(MONTH(Table22[[#This Row],[Sales Date]])&lt;=6,"Q2",IF(MONTH(Table22[[#This Row],[Sales Date]])&lt;=9,"Q3","Q4")))</f>
        <v>Q1</v>
      </c>
      <c r="W720" s="64">
        <f>YEAR(Table22[[#This Row],[Sales Date]])</f>
        <v>2023</v>
      </c>
      <c r="X720" s="23">
        <v>18</v>
      </c>
      <c r="Y720" s="18" t="s">
        <v>41</v>
      </c>
      <c r="Z720" s="18" t="s">
        <v>24</v>
      </c>
      <c r="AA720" s="19" t="s">
        <v>25</v>
      </c>
    </row>
    <row r="721" spans="1:27" x14ac:dyDescent="0.25">
      <c r="A721" s="17" t="s">
        <v>232</v>
      </c>
      <c r="B721" s="18" t="s">
        <v>18</v>
      </c>
      <c r="C721" s="63" t="str" cm="1">
        <f t="array" ref="C721">_xlfn.SWITCH(Table22[[#This Row],[Country]],"USA","North America","Canada","North America","Brazil","South America","China","Asia","Japan","Asia","India","Asia","France","Europe","Germany","Europe","UK","Europe","Australia","Oceania","South America")</f>
        <v>Asia</v>
      </c>
      <c r="D721" s="18" t="s">
        <v>35</v>
      </c>
      <c r="E721" s="18" t="s">
        <v>33</v>
      </c>
      <c r="F721" s="18" t="s">
        <v>52</v>
      </c>
      <c r="G721" s="18" t="s">
        <v>22</v>
      </c>
      <c r="H721" s="64">
        <f>LEN(TRIM(Table22[[#This Row],[Country]]))</f>
        <v>5</v>
      </c>
      <c r="I721" s="64">
        <f>LEN(TRIM(Table22[[#This Row],[Continent]]))</f>
        <v>4</v>
      </c>
      <c r="J721" s="64">
        <f>LEN(TRIM(Table22[[#This Row],[Product]]))</f>
        <v>10</v>
      </c>
      <c r="K721" s="64">
        <f>LEN(TRIM(Table22[[#This Row],[Sales Team]]))</f>
        <v>10</v>
      </c>
      <c r="L721" s="23">
        <v>95</v>
      </c>
      <c r="M721" s="65" t="str" cm="1">
        <f t="array" ref="M721">_xlfn.IFS(Table22[[#This Row],[Units Sold]]&lt;40,"Critical",Table22[[#This Row],[Units Sold]]&lt;=50,"Poor",Table22[[#This Row],[Units Sold]]&lt;=60,"Low",Table22[[#This Row],[Units Sold]]&lt;=80,"Average",Table22[[#This Row],[Units Sold]]&lt;=90,"High",Table22[[#This Row],[Units Sold]]&lt;=95,"Excellent",Table22[[#This Row],[Units Sold]]&gt;95,"Outstanding")</f>
        <v>Excellent</v>
      </c>
      <c r="N721" s="29">
        <v>473.97</v>
      </c>
      <c r="O721" s="29">
        <v>45027.15</v>
      </c>
      <c r="P721" s="43">
        <f>IF(Table22[[#This Row],[Discount Applied]],Table22[[#This Row],[Total Sales (in USD)]]*(1-Table22[[#This Row],[Discount Percentage (%)]]/100),Table22[[#This Row],[Total Sales (in USD)]])</f>
        <v>45027.15</v>
      </c>
      <c r="Q721" s="66">
        <f>SQRT(AVERAGE((Table22[[#This Row],[Net Sales (after discount) (in USD)]]-AVERAGE(Table22[Net Sales (after discount) (in USD)]))^2))</f>
        <v>8515.7894362354637</v>
      </c>
      <c r="R721" s="18" t="b">
        <v>1</v>
      </c>
      <c r="S721" s="40">
        <v>25.92</v>
      </c>
      <c r="T721" s="18" t="b">
        <v>0</v>
      </c>
      <c r="U721" s="25">
        <v>45513</v>
      </c>
      <c r="V721" s="63" t="str">
        <f>IF(MONTH(Table22[[#This Row],[Sales Date]])&lt;=3,"Q1",IF(MONTH(Table22[[#This Row],[Sales Date]])&lt;=6,"Q2",IF(MONTH(Table22[[#This Row],[Sales Date]])&lt;=9,"Q3","Q4")))</f>
        <v>Q3</v>
      </c>
      <c r="W721" s="64">
        <f>YEAR(Table22[[#This Row],[Sales Date]])</f>
        <v>2024</v>
      </c>
      <c r="X721" s="23">
        <v>51</v>
      </c>
      <c r="Y721" s="18" t="s">
        <v>23</v>
      </c>
      <c r="Z721" s="18" t="s">
        <v>42</v>
      </c>
      <c r="AA721" s="19" t="s">
        <v>25</v>
      </c>
    </row>
    <row r="722" spans="1:27" x14ac:dyDescent="0.25">
      <c r="A722" s="17" t="s">
        <v>967</v>
      </c>
      <c r="B722" s="18" t="s">
        <v>38</v>
      </c>
      <c r="C722" s="63" t="str" cm="1">
        <f t="array" ref="C722">_xlfn.SWITCH(Table22[[#This Row],[Country]],"USA","North America","Canada","North America","Brazil","South America","China","Asia","Japan","Asia","India","Asia","France","Europe","Germany","Europe","UK","Europe","Australia","Oceania","South America")</f>
        <v>Europe</v>
      </c>
      <c r="D722" s="18" t="s">
        <v>44</v>
      </c>
      <c r="E722" s="18" t="s">
        <v>39</v>
      </c>
      <c r="F722" s="18" t="s">
        <v>47</v>
      </c>
      <c r="G722" s="18" t="s">
        <v>29</v>
      </c>
      <c r="H722" s="64">
        <f>LEN(TRIM(Table22[[#This Row],[Country]]))</f>
        <v>6</v>
      </c>
      <c r="I722" s="64">
        <f>LEN(TRIM(Table22[[#This Row],[Continent]]))</f>
        <v>6</v>
      </c>
      <c r="J722" s="64">
        <f>LEN(TRIM(Table22[[#This Row],[Product]]))</f>
        <v>10</v>
      </c>
      <c r="K722" s="64">
        <f>LEN(TRIM(Table22[[#This Row],[Sales Team]]))</f>
        <v>10</v>
      </c>
      <c r="L722" s="23">
        <v>57</v>
      </c>
      <c r="M722" s="65" t="str" cm="1">
        <f t="array" ref="M722">_xlfn.IFS(Table22[[#This Row],[Units Sold]]&lt;40,"Critical",Table22[[#This Row],[Units Sold]]&lt;=50,"Poor",Table22[[#This Row],[Units Sold]]&lt;=60,"Low",Table22[[#This Row],[Units Sold]]&lt;=80,"Average",Table22[[#This Row],[Units Sold]]&lt;=90,"High",Table22[[#This Row],[Units Sold]]&lt;=95,"Excellent",Table22[[#This Row],[Units Sold]]&gt;95,"Outstanding")</f>
        <v>Low</v>
      </c>
      <c r="N722" s="29">
        <v>789.86</v>
      </c>
      <c r="O722" s="29">
        <v>45022.02</v>
      </c>
      <c r="P722" s="43">
        <f>IF(Table22[[#This Row],[Discount Applied]],Table22[[#This Row],[Total Sales (in USD)]]*(1-Table22[[#This Row],[Discount Percentage (%)]]/100),Table22[[#This Row],[Total Sales (in USD)]])</f>
        <v>39484.311539999995</v>
      </c>
      <c r="Q722" s="66">
        <f>SQRT(AVERAGE((Table22[[#This Row],[Net Sales (after discount) (in USD)]]-AVERAGE(Table22[Net Sales (after discount) (in USD)]))^2))</f>
        <v>2972.9509762354573</v>
      </c>
      <c r="R722" s="18" t="b">
        <v>0</v>
      </c>
      <c r="S722" s="40">
        <v>12.3</v>
      </c>
      <c r="T722" s="18" t="b">
        <v>1</v>
      </c>
      <c r="U722" s="25">
        <v>45498</v>
      </c>
      <c r="V722" s="63" t="str">
        <f>IF(MONTH(Table22[[#This Row],[Sales Date]])&lt;=3,"Q1",IF(MONTH(Table22[[#This Row],[Sales Date]])&lt;=6,"Q2",IF(MONTH(Table22[[#This Row],[Sales Date]])&lt;=9,"Q3","Q4")))</f>
        <v>Q3</v>
      </c>
      <c r="W722" s="64">
        <f>YEAR(Table22[[#This Row],[Sales Date]])</f>
        <v>2024</v>
      </c>
      <c r="X722" s="23">
        <v>22</v>
      </c>
      <c r="Y722" s="18" t="s">
        <v>49</v>
      </c>
      <c r="Z722" s="18" t="s">
        <v>42</v>
      </c>
      <c r="AA722" s="19" t="s">
        <v>25</v>
      </c>
    </row>
    <row r="723" spans="1:27" x14ac:dyDescent="0.25">
      <c r="A723" s="17" t="s">
        <v>648</v>
      </c>
      <c r="B723" s="18" t="s">
        <v>66</v>
      </c>
      <c r="C723" s="63" t="str" cm="1">
        <f t="array" ref="C723">_xlfn.SWITCH(Table22[[#This Row],[Country]],"USA","North America","Canada","North America","Brazil","South America","China","Asia","Japan","Asia","India","Asia","France","Europe","Germany","Europe","UK","Europe","Australia","Oceania","South America")</f>
        <v>North America</v>
      </c>
      <c r="D723" s="18" t="s">
        <v>35</v>
      </c>
      <c r="E723" s="18" t="s">
        <v>33</v>
      </c>
      <c r="F723" s="18" t="s">
        <v>47</v>
      </c>
      <c r="G723" s="18" t="s">
        <v>22</v>
      </c>
      <c r="H723" s="64">
        <f>LEN(TRIM(Table22[[#This Row],[Country]]))</f>
        <v>6</v>
      </c>
      <c r="I723" s="64">
        <f>LEN(TRIM(Table22[[#This Row],[Continent]]))</f>
        <v>13</v>
      </c>
      <c r="J723" s="64">
        <f>LEN(TRIM(Table22[[#This Row],[Product]]))</f>
        <v>10</v>
      </c>
      <c r="K723" s="64">
        <f>LEN(TRIM(Table22[[#This Row],[Sales Team]]))</f>
        <v>10</v>
      </c>
      <c r="L723" s="23">
        <v>39</v>
      </c>
      <c r="M723" s="65" t="str" cm="1">
        <f t="array" ref="M723">_xlfn.IFS(Table22[[#This Row],[Units Sold]]&lt;40,"Critical",Table22[[#This Row],[Units Sold]]&lt;=50,"Poor",Table22[[#This Row],[Units Sold]]&lt;=60,"Low",Table22[[#This Row],[Units Sold]]&lt;=80,"Average",Table22[[#This Row],[Units Sold]]&lt;=90,"High",Table22[[#This Row],[Units Sold]]&lt;=95,"Excellent",Table22[[#This Row],[Units Sold]]&gt;95,"Outstanding")</f>
        <v>Critical</v>
      </c>
      <c r="N723" s="29">
        <v>1153.8499999999999</v>
      </c>
      <c r="O723" s="29">
        <v>45000.15</v>
      </c>
      <c r="P723" s="43">
        <f>IF(Table22[[#This Row],[Discount Applied]],Table22[[#This Row],[Total Sales (in USD)]]*(1-Table22[[#This Row],[Discount Percentage (%)]]/100),Table22[[#This Row],[Total Sales (in USD)]])</f>
        <v>38839.629464999998</v>
      </c>
      <c r="Q723" s="66">
        <f>SQRT(AVERAGE((Table22[[#This Row],[Net Sales (after discount) (in USD)]]-AVERAGE(Table22[Net Sales (after discount) (in USD)]))^2))</f>
        <v>2328.2689012354604</v>
      </c>
      <c r="R723" s="18" t="b">
        <v>1</v>
      </c>
      <c r="S723" s="40">
        <v>13.69</v>
      </c>
      <c r="T723" s="18" t="b">
        <v>1</v>
      </c>
      <c r="U723" s="25">
        <v>45596</v>
      </c>
      <c r="V723" s="63" t="str">
        <f>IF(MONTH(Table22[[#This Row],[Sales Date]])&lt;=3,"Q1",IF(MONTH(Table22[[#This Row],[Sales Date]])&lt;=6,"Q2",IF(MONTH(Table22[[#This Row],[Sales Date]])&lt;=9,"Q3","Q4")))</f>
        <v>Q4</v>
      </c>
      <c r="W723" s="64">
        <f>YEAR(Table22[[#This Row],[Sales Date]])</f>
        <v>2024</v>
      </c>
      <c r="X723" s="23">
        <v>38</v>
      </c>
      <c r="Y723" s="18" t="s">
        <v>41</v>
      </c>
      <c r="Z723" s="18" t="s">
        <v>56</v>
      </c>
      <c r="AA723" s="19" t="s">
        <v>36</v>
      </c>
    </row>
    <row r="724" spans="1:27" x14ac:dyDescent="0.25">
      <c r="A724" s="17" t="s">
        <v>121</v>
      </c>
      <c r="B724" s="18" t="s">
        <v>76</v>
      </c>
      <c r="C724" s="63" t="str" cm="1">
        <f t="array" ref="C724">_xlfn.SWITCH(Table22[[#This Row],[Country]],"USA","North America","Canada","North America","Brazil","South America","China","Asia","Japan","Asia","India","Asia","France","Europe","Germany","Europe","UK","Europe","Australia","Oceania","South America")</f>
        <v>Asia</v>
      </c>
      <c r="D724" s="18" t="s">
        <v>35</v>
      </c>
      <c r="E724" s="18" t="s">
        <v>19</v>
      </c>
      <c r="F724" s="18" t="s">
        <v>47</v>
      </c>
      <c r="G724" s="18" t="s">
        <v>29</v>
      </c>
      <c r="H724" s="64">
        <f>LEN(TRIM(Table22[[#This Row],[Country]]))</f>
        <v>5</v>
      </c>
      <c r="I724" s="64">
        <f>LEN(TRIM(Table22[[#This Row],[Continent]]))</f>
        <v>4</v>
      </c>
      <c r="J724" s="64">
        <f>LEN(TRIM(Table22[[#This Row],[Product]]))</f>
        <v>6</v>
      </c>
      <c r="K724" s="64">
        <f>LEN(TRIM(Table22[[#This Row],[Sales Team]]))</f>
        <v>10</v>
      </c>
      <c r="L724" s="23">
        <v>74</v>
      </c>
      <c r="M724" s="65" t="str" cm="1">
        <f t="array" ref="M724">_xlfn.IFS(Table22[[#This Row],[Units Sold]]&lt;40,"Critical",Table22[[#This Row],[Units Sold]]&lt;=50,"Poor",Table22[[#This Row],[Units Sold]]&lt;=60,"Low",Table22[[#This Row],[Units Sold]]&lt;=80,"Average",Table22[[#This Row],[Units Sold]]&lt;=90,"High",Table22[[#This Row],[Units Sold]]&lt;=95,"Excellent",Table22[[#This Row],[Units Sold]]&gt;95,"Outstanding")</f>
        <v>Average</v>
      </c>
      <c r="N724" s="29">
        <v>606.5</v>
      </c>
      <c r="O724" s="29">
        <v>44881</v>
      </c>
      <c r="P724" s="43">
        <f>IF(Table22[[#This Row],[Discount Applied]],Table22[[#This Row],[Total Sales (in USD)]]*(1-Table22[[#This Row],[Discount Percentage (%)]]/100),Table22[[#This Row],[Total Sales (in USD)]])</f>
        <v>37516.027900000001</v>
      </c>
      <c r="Q724" s="66">
        <f>SQRT(AVERAGE((Table22[[#This Row],[Net Sales (after discount) (in USD)]]-AVERAGE(Table22[Net Sales (after discount) (in USD)]))^2))</f>
        <v>1004.6673362354632</v>
      </c>
      <c r="R724" s="18" t="b">
        <v>1</v>
      </c>
      <c r="S724" s="40">
        <v>16.41</v>
      </c>
      <c r="T724" s="18" t="b">
        <v>1</v>
      </c>
      <c r="U724" s="25">
        <v>45009</v>
      </c>
      <c r="V724" s="63" t="str">
        <f>IF(MONTH(Table22[[#This Row],[Sales Date]])&lt;=3,"Q1",IF(MONTH(Table22[[#This Row],[Sales Date]])&lt;=6,"Q2",IF(MONTH(Table22[[#This Row],[Sales Date]])&lt;=9,"Q3","Q4")))</f>
        <v>Q1</v>
      </c>
      <c r="W724" s="64">
        <f>YEAR(Table22[[#This Row],[Sales Date]])</f>
        <v>2023</v>
      </c>
      <c r="X724" s="23">
        <v>26</v>
      </c>
      <c r="Y724" s="18" t="s">
        <v>41</v>
      </c>
      <c r="Z724" s="18" t="s">
        <v>56</v>
      </c>
      <c r="AA724" s="19" t="s">
        <v>36</v>
      </c>
    </row>
    <row r="725" spans="1:27" x14ac:dyDescent="0.25">
      <c r="A725" s="17" t="s">
        <v>813</v>
      </c>
      <c r="B725" s="18" t="s">
        <v>72</v>
      </c>
      <c r="C725" s="63" t="str" cm="1">
        <f t="array" ref="C725">_xlfn.SWITCH(Table22[[#This Row],[Country]],"USA","North America","Canada","North America","Brazil","South America","China","Asia","Japan","Asia","India","Asia","France","Europe","Germany","Europe","UK","Europe","Australia","Oceania","South America")</f>
        <v>North America</v>
      </c>
      <c r="D725" s="18" t="s">
        <v>21</v>
      </c>
      <c r="E725" s="18" t="s">
        <v>39</v>
      </c>
      <c r="F725" s="18" t="s">
        <v>64</v>
      </c>
      <c r="G725" s="18" t="s">
        <v>29</v>
      </c>
      <c r="H725" s="64">
        <f>LEN(TRIM(Table22[[#This Row],[Country]]))</f>
        <v>3</v>
      </c>
      <c r="I725" s="64">
        <f>LEN(TRIM(Table22[[#This Row],[Continent]]))</f>
        <v>13</v>
      </c>
      <c r="J725" s="64">
        <f>LEN(TRIM(Table22[[#This Row],[Product]]))</f>
        <v>10</v>
      </c>
      <c r="K725" s="64">
        <f>LEN(TRIM(Table22[[#This Row],[Sales Team]]))</f>
        <v>10</v>
      </c>
      <c r="L725" s="23">
        <v>94</v>
      </c>
      <c r="M725" s="65" t="str" cm="1">
        <f t="array" ref="M725">_xlfn.IFS(Table22[[#This Row],[Units Sold]]&lt;40,"Critical",Table22[[#This Row],[Units Sold]]&lt;=50,"Poor",Table22[[#This Row],[Units Sold]]&lt;=60,"Low",Table22[[#This Row],[Units Sold]]&lt;=80,"Average",Table22[[#This Row],[Units Sold]]&lt;=90,"High",Table22[[#This Row],[Units Sold]]&lt;=95,"Excellent",Table22[[#This Row],[Units Sold]]&gt;95,"Outstanding")</f>
        <v>Excellent</v>
      </c>
      <c r="N725" s="29">
        <v>476.24</v>
      </c>
      <c r="O725" s="29">
        <v>44766.559999999998</v>
      </c>
      <c r="P725" s="43">
        <f>IF(Table22[[#This Row],[Discount Applied]],Table22[[#This Row],[Total Sales (in USD)]]*(1-Table22[[#This Row],[Discount Percentage (%)]]/100),Table22[[#This Row],[Total Sales (in USD)]])</f>
        <v>44766.559999999998</v>
      </c>
      <c r="Q725" s="66">
        <f>SQRT(AVERAGE((Table22[[#This Row],[Net Sales (after discount) (in USD)]]-AVERAGE(Table22[Net Sales (after discount) (in USD)]))^2))</f>
        <v>8255.1994362354599</v>
      </c>
      <c r="R725" s="18" t="b">
        <v>1</v>
      </c>
      <c r="S725" s="40">
        <v>16.46</v>
      </c>
      <c r="T725" s="18" t="b">
        <v>0</v>
      </c>
      <c r="U725" s="25">
        <v>45101</v>
      </c>
      <c r="V725" s="63" t="str">
        <f>IF(MONTH(Table22[[#This Row],[Sales Date]])&lt;=3,"Q1",IF(MONTH(Table22[[#This Row],[Sales Date]])&lt;=6,"Q2",IF(MONTH(Table22[[#This Row],[Sales Date]])&lt;=9,"Q3","Q4")))</f>
        <v>Q2</v>
      </c>
      <c r="W725" s="64">
        <f>YEAR(Table22[[#This Row],[Sales Date]])</f>
        <v>2023</v>
      </c>
      <c r="X725" s="23">
        <v>27</v>
      </c>
      <c r="Y725" s="18" t="s">
        <v>41</v>
      </c>
      <c r="Z725" s="18" t="s">
        <v>56</v>
      </c>
      <c r="AA725" s="19" t="s">
        <v>25</v>
      </c>
    </row>
    <row r="726" spans="1:27" x14ac:dyDescent="0.25">
      <c r="A726" s="17" t="s">
        <v>953</v>
      </c>
      <c r="B726" s="18" t="s">
        <v>72</v>
      </c>
      <c r="C726" s="63" t="str" cm="1">
        <f t="array" ref="C726">_xlfn.SWITCH(Table22[[#This Row],[Country]],"USA","North America","Canada","North America","Brazil","South America","China","Asia","Japan","Asia","India","Asia","France","Europe","Germany","Europe","UK","Europe","Australia","Oceania","South America")</f>
        <v>North America</v>
      </c>
      <c r="D726" s="18" t="s">
        <v>28</v>
      </c>
      <c r="E726" s="18" t="s">
        <v>19</v>
      </c>
      <c r="F726" s="18" t="s">
        <v>47</v>
      </c>
      <c r="G726" s="18" t="s">
        <v>29</v>
      </c>
      <c r="H726" s="64">
        <f>LEN(TRIM(Table22[[#This Row],[Country]]))</f>
        <v>3</v>
      </c>
      <c r="I726" s="64">
        <f>LEN(TRIM(Table22[[#This Row],[Continent]]))</f>
        <v>13</v>
      </c>
      <c r="J726" s="64">
        <f>LEN(TRIM(Table22[[#This Row],[Product]]))</f>
        <v>6</v>
      </c>
      <c r="K726" s="64">
        <f>LEN(TRIM(Table22[[#This Row],[Sales Team]]))</f>
        <v>10</v>
      </c>
      <c r="L726" s="23">
        <v>33</v>
      </c>
      <c r="M726" s="65" t="str" cm="1">
        <f t="array" ref="M726">_xlfn.IFS(Table22[[#This Row],[Units Sold]]&lt;40,"Critical",Table22[[#This Row],[Units Sold]]&lt;=50,"Poor",Table22[[#This Row],[Units Sold]]&lt;=60,"Low",Table22[[#This Row],[Units Sold]]&lt;=80,"Average",Table22[[#This Row],[Units Sold]]&lt;=90,"High",Table22[[#This Row],[Units Sold]]&lt;=95,"Excellent",Table22[[#This Row],[Units Sold]]&gt;95,"Outstanding")</f>
        <v>Critical</v>
      </c>
      <c r="N726" s="29">
        <v>1355.97</v>
      </c>
      <c r="O726" s="29">
        <v>44747.01</v>
      </c>
      <c r="P726" s="43">
        <f>IF(Table22[[#This Row],[Discount Applied]],Table22[[#This Row],[Total Sales (in USD)]]*(1-Table22[[#This Row],[Discount Percentage (%)]]/100),Table22[[#This Row],[Total Sales (in USD)]])</f>
        <v>38258.693550000004</v>
      </c>
      <c r="Q726" s="66">
        <f>SQRT(AVERAGE((Table22[[#This Row],[Net Sales (after discount) (in USD)]]-AVERAGE(Table22[Net Sales (after discount) (in USD)]))^2))</f>
        <v>1747.3329862354658</v>
      </c>
      <c r="R726" s="18" t="b">
        <v>1</v>
      </c>
      <c r="S726" s="40">
        <v>14.5</v>
      </c>
      <c r="T726" s="18" t="b">
        <v>1</v>
      </c>
      <c r="U726" s="25">
        <v>45572</v>
      </c>
      <c r="V726" s="63" t="str">
        <f>IF(MONTH(Table22[[#This Row],[Sales Date]])&lt;=3,"Q1",IF(MONTH(Table22[[#This Row],[Sales Date]])&lt;=6,"Q2",IF(MONTH(Table22[[#This Row],[Sales Date]])&lt;=9,"Q3","Q4")))</f>
        <v>Q4</v>
      </c>
      <c r="W726" s="64">
        <f>YEAR(Table22[[#This Row],[Sales Date]])</f>
        <v>2024</v>
      </c>
      <c r="X726" s="23">
        <v>31</v>
      </c>
      <c r="Y726" s="18" t="s">
        <v>49</v>
      </c>
      <c r="Z726" s="18" t="s">
        <v>24</v>
      </c>
      <c r="AA726" s="19" t="s">
        <v>36</v>
      </c>
    </row>
    <row r="727" spans="1:27" x14ac:dyDescent="0.25">
      <c r="A727" s="17" t="s">
        <v>1301</v>
      </c>
      <c r="B727" s="18" t="s">
        <v>27</v>
      </c>
      <c r="C727" s="63" t="str" cm="1">
        <f t="array" ref="C727">_xlfn.SWITCH(Table22[[#This Row],[Country]],"USA","North America","Canada","North America","Brazil","South America","China","Asia","Japan","Asia","India","Asia","France","Europe","Germany","Europe","UK","Europe","Australia","Oceania","South America")</f>
        <v>Europe</v>
      </c>
      <c r="D727" s="18" t="s">
        <v>28</v>
      </c>
      <c r="E727" s="18" t="s">
        <v>33</v>
      </c>
      <c r="F727" s="18" t="s">
        <v>34</v>
      </c>
      <c r="G727" s="18" t="s">
        <v>22</v>
      </c>
      <c r="H727" s="64">
        <f>LEN(TRIM(Table22[[#This Row],[Country]]))</f>
        <v>7</v>
      </c>
      <c r="I727" s="64">
        <f>LEN(TRIM(Table22[[#This Row],[Continent]]))</f>
        <v>6</v>
      </c>
      <c r="J727" s="64">
        <f>LEN(TRIM(Table22[[#This Row],[Product]]))</f>
        <v>10</v>
      </c>
      <c r="K727" s="64">
        <f>LEN(TRIM(Table22[[#This Row],[Sales Team]]))</f>
        <v>10</v>
      </c>
      <c r="L727" s="23">
        <v>99</v>
      </c>
      <c r="M727" s="65" t="str" cm="1">
        <f t="array" ref="M727">_xlfn.IFS(Table22[[#This Row],[Units Sold]]&lt;40,"Critical",Table22[[#This Row],[Units Sold]]&lt;=50,"Poor",Table22[[#This Row],[Units Sold]]&lt;=60,"Low",Table22[[#This Row],[Units Sold]]&lt;=80,"Average",Table22[[#This Row],[Units Sold]]&lt;=90,"High",Table22[[#This Row],[Units Sold]]&lt;=95,"Excellent",Table22[[#This Row],[Units Sold]]&gt;95,"Outstanding")</f>
        <v>Outstanding</v>
      </c>
      <c r="N727" s="29">
        <v>450.37</v>
      </c>
      <c r="O727" s="29">
        <v>44586.63</v>
      </c>
      <c r="P727" s="43">
        <f>IF(Table22[[#This Row],[Discount Applied]],Table22[[#This Row],[Total Sales (in USD)]]*(1-Table22[[#This Row],[Discount Percentage (%)]]/100),Table22[[#This Row],[Total Sales (in USD)]])</f>
        <v>44586.63</v>
      </c>
      <c r="Q727" s="66">
        <f>SQRT(AVERAGE((Table22[[#This Row],[Net Sales (after discount) (in USD)]]-AVERAGE(Table22[Net Sales (after discount) (in USD)]))^2))</f>
        <v>8075.2694362354596</v>
      </c>
      <c r="R727" s="18" t="b">
        <v>0</v>
      </c>
      <c r="S727" s="40">
        <v>8.0399999999999991</v>
      </c>
      <c r="T727" s="18" t="b">
        <v>0</v>
      </c>
      <c r="U727" s="25">
        <v>45064</v>
      </c>
      <c r="V727" s="63" t="str">
        <f>IF(MONTH(Table22[[#This Row],[Sales Date]])&lt;=3,"Q1",IF(MONTH(Table22[[#This Row],[Sales Date]])&lt;=6,"Q2",IF(MONTH(Table22[[#This Row],[Sales Date]])&lt;=9,"Q3","Q4")))</f>
        <v>Q2</v>
      </c>
      <c r="W727" s="64">
        <f>YEAR(Table22[[#This Row],[Sales Date]])</f>
        <v>2023</v>
      </c>
      <c r="X727" s="23">
        <v>60</v>
      </c>
      <c r="Y727" s="18" t="s">
        <v>49</v>
      </c>
      <c r="Z727" s="18" t="s">
        <v>42</v>
      </c>
      <c r="AA727" s="19" t="s">
        <v>25</v>
      </c>
    </row>
    <row r="728" spans="1:27" x14ac:dyDescent="0.25">
      <c r="A728" s="17" t="s">
        <v>1253</v>
      </c>
      <c r="B728" s="18" t="s">
        <v>62</v>
      </c>
      <c r="C728" s="63" t="str" cm="1">
        <f t="array" ref="C728">_xlfn.SWITCH(Table22[[#This Row],[Country]],"USA","North America","Canada","North America","Brazil","South America","China","Asia","Japan","Asia","India","Asia","France","Europe","Germany","Europe","UK","Europe","Australia","Oceania","South America")</f>
        <v>Oceania</v>
      </c>
      <c r="D728" s="18" t="s">
        <v>44</v>
      </c>
      <c r="E728" s="18" t="s">
        <v>19</v>
      </c>
      <c r="F728" s="18" t="s">
        <v>64</v>
      </c>
      <c r="G728" s="18" t="s">
        <v>29</v>
      </c>
      <c r="H728" s="64">
        <f>LEN(TRIM(Table22[[#This Row],[Country]]))</f>
        <v>9</v>
      </c>
      <c r="I728" s="64">
        <f>LEN(TRIM(Table22[[#This Row],[Continent]]))</f>
        <v>7</v>
      </c>
      <c r="J728" s="64">
        <f>LEN(TRIM(Table22[[#This Row],[Product]]))</f>
        <v>6</v>
      </c>
      <c r="K728" s="64">
        <f>LEN(TRIM(Table22[[#This Row],[Sales Team]]))</f>
        <v>10</v>
      </c>
      <c r="L728" s="23">
        <v>94</v>
      </c>
      <c r="M728" s="65" t="str" cm="1">
        <f t="array" ref="M728">_xlfn.IFS(Table22[[#This Row],[Units Sold]]&lt;40,"Critical",Table22[[#This Row],[Units Sold]]&lt;=50,"Poor",Table22[[#This Row],[Units Sold]]&lt;=60,"Low",Table22[[#This Row],[Units Sold]]&lt;=80,"Average",Table22[[#This Row],[Units Sold]]&lt;=90,"High",Table22[[#This Row],[Units Sold]]&lt;=95,"Excellent",Table22[[#This Row],[Units Sold]]&gt;95,"Outstanding")</f>
        <v>Excellent</v>
      </c>
      <c r="N728" s="29">
        <v>474.18</v>
      </c>
      <c r="O728" s="29">
        <v>44572.92</v>
      </c>
      <c r="P728" s="43">
        <f>IF(Table22[[#This Row],[Discount Applied]],Table22[[#This Row],[Total Sales (in USD)]]*(1-Table22[[#This Row],[Discount Percentage (%)]]/100),Table22[[#This Row],[Total Sales (in USD)]])</f>
        <v>42584.967768000002</v>
      </c>
      <c r="Q728" s="66">
        <f>SQRT(AVERAGE((Table22[[#This Row],[Net Sales (after discount) (in USD)]]-AVERAGE(Table22[Net Sales (after discount) (in USD)]))^2))</f>
        <v>6073.6072042354645</v>
      </c>
      <c r="R728" s="18" t="b">
        <v>0</v>
      </c>
      <c r="S728" s="40">
        <v>4.46</v>
      </c>
      <c r="T728" s="18" t="b">
        <v>1</v>
      </c>
      <c r="U728" s="25">
        <v>45303</v>
      </c>
      <c r="V728" s="63" t="str">
        <f>IF(MONTH(Table22[[#This Row],[Sales Date]])&lt;=3,"Q1",IF(MONTH(Table22[[#This Row],[Sales Date]])&lt;=6,"Q2",IF(MONTH(Table22[[#This Row],[Sales Date]])&lt;=9,"Q3","Q4")))</f>
        <v>Q1</v>
      </c>
      <c r="W728" s="64">
        <f>YEAR(Table22[[#This Row],[Sales Date]])</f>
        <v>2024</v>
      </c>
      <c r="X728" s="23">
        <v>68</v>
      </c>
      <c r="Y728" s="18" t="s">
        <v>49</v>
      </c>
      <c r="Z728" s="18" t="s">
        <v>42</v>
      </c>
      <c r="AA728" s="19" t="s">
        <v>25</v>
      </c>
    </row>
    <row r="729" spans="1:27" x14ac:dyDescent="0.25">
      <c r="A729" s="17" t="s">
        <v>976</v>
      </c>
      <c r="B729" s="18" t="s">
        <v>46</v>
      </c>
      <c r="C729" s="63" t="str" cm="1">
        <f t="array" ref="C729">_xlfn.SWITCH(Table22[[#This Row],[Country]],"USA","North America","Canada","North America","Brazil","South America","China","Asia","Japan","Asia","India","Asia","France","Europe","Germany","Europe","UK","Europe","Australia","Oceania","South America")</f>
        <v>South America</v>
      </c>
      <c r="D729" s="18" t="s">
        <v>21</v>
      </c>
      <c r="E729" s="18" t="s">
        <v>33</v>
      </c>
      <c r="F729" s="18" t="s">
        <v>20</v>
      </c>
      <c r="G729" s="18" t="s">
        <v>22</v>
      </c>
      <c r="H729" s="64">
        <f>LEN(TRIM(Table22[[#This Row],[Country]]))</f>
        <v>6</v>
      </c>
      <c r="I729" s="64">
        <f>LEN(TRIM(Table22[[#This Row],[Continent]]))</f>
        <v>13</v>
      </c>
      <c r="J729" s="64">
        <f>LEN(TRIM(Table22[[#This Row],[Product]]))</f>
        <v>10</v>
      </c>
      <c r="K729" s="64">
        <f>LEN(TRIM(Table22[[#This Row],[Sales Team]]))</f>
        <v>10</v>
      </c>
      <c r="L729" s="23">
        <v>97</v>
      </c>
      <c r="M729" s="65" t="str" cm="1">
        <f t="array" ref="M729">_xlfn.IFS(Table22[[#This Row],[Units Sold]]&lt;40,"Critical",Table22[[#This Row],[Units Sold]]&lt;=50,"Poor",Table22[[#This Row],[Units Sold]]&lt;=60,"Low",Table22[[#This Row],[Units Sold]]&lt;=80,"Average",Table22[[#This Row],[Units Sold]]&lt;=90,"High",Table22[[#This Row],[Units Sold]]&lt;=95,"Excellent",Table22[[#This Row],[Units Sold]]&gt;95,"Outstanding")</f>
        <v>Outstanding</v>
      </c>
      <c r="N729" s="29">
        <v>459.13</v>
      </c>
      <c r="O729" s="29">
        <v>44535.61</v>
      </c>
      <c r="P729" s="43">
        <f>IF(Table22[[#This Row],[Discount Applied]],Table22[[#This Row],[Total Sales (in USD)]]*(1-Table22[[#This Row],[Discount Percentage (%)]]/100),Table22[[#This Row],[Total Sales (in USD)]])</f>
        <v>39293.768703000002</v>
      </c>
      <c r="Q729" s="66">
        <f>SQRT(AVERAGE((Table22[[#This Row],[Net Sales (after discount) (in USD)]]-AVERAGE(Table22[Net Sales (after discount) (in USD)]))^2))</f>
        <v>2782.4081392354638</v>
      </c>
      <c r="R729" s="18" t="b">
        <v>0</v>
      </c>
      <c r="S729" s="40">
        <v>11.77</v>
      </c>
      <c r="T729" s="18" t="b">
        <v>1</v>
      </c>
      <c r="U729" s="25">
        <v>45425</v>
      </c>
      <c r="V729" s="63" t="str">
        <f>IF(MONTH(Table22[[#This Row],[Sales Date]])&lt;=3,"Q1",IF(MONTH(Table22[[#This Row],[Sales Date]])&lt;=6,"Q2",IF(MONTH(Table22[[#This Row],[Sales Date]])&lt;=9,"Q3","Q4")))</f>
        <v>Q2</v>
      </c>
      <c r="W729" s="64">
        <f>YEAR(Table22[[#This Row],[Sales Date]])</f>
        <v>2024</v>
      </c>
      <c r="X729" s="23">
        <v>39</v>
      </c>
      <c r="Y729" s="18" t="s">
        <v>23</v>
      </c>
      <c r="Z729" s="18" t="s">
        <v>56</v>
      </c>
      <c r="AA729" s="19" t="s">
        <v>25</v>
      </c>
    </row>
    <row r="730" spans="1:27" x14ac:dyDescent="0.25">
      <c r="A730" s="17" t="s">
        <v>894</v>
      </c>
      <c r="B730" s="18" t="s">
        <v>18</v>
      </c>
      <c r="C730" s="63" t="str" cm="1">
        <f t="array" ref="C730">_xlfn.SWITCH(Table22[[#This Row],[Country]],"USA","North America","Canada","North America","Brazil","South America","China","Asia","Japan","Asia","India","Asia","France","Europe","Germany","Europe","UK","Europe","Australia","Oceania","South America")</f>
        <v>Asia</v>
      </c>
      <c r="D730" s="18" t="s">
        <v>21</v>
      </c>
      <c r="E730" s="18" t="s">
        <v>33</v>
      </c>
      <c r="F730" s="18" t="s">
        <v>20</v>
      </c>
      <c r="G730" s="18" t="s">
        <v>40</v>
      </c>
      <c r="H730" s="64">
        <f>LEN(TRIM(Table22[[#This Row],[Country]]))</f>
        <v>5</v>
      </c>
      <c r="I730" s="64">
        <f>LEN(TRIM(Table22[[#This Row],[Continent]]))</f>
        <v>4</v>
      </c>
      <c r="J730" s="64">
        <f>LEN(TRIM(Table22[[#This Row],[Product]]))</f>
        <v>10</v>
      </c>
      <c r="K730" s="64">
        <f>LEN(TRIM(Table22[[#This Row],[Sales Team]]))</f>
        <v>10</v>
      </c>
      <c r="L730" s="23">
        <v>59</v>
      </c>
      <c r="M730" s="65" t="str" cm="1">
        <f t="array" ref="M730">_xlfn.IFS(Table22[[#This Row],[Units Sold]]&lt;40,"Critical",Table22[[#This Row],[Units Sold]]&lt;=50,"Poor",Table22[[#This Row],[Units Sold]]&lt;=60,"Low",Table22[[#This Row],[Units Sold]]&lt;=80,"Average",Table22[[#This Row],[Units Sold]]&lt;=90,"High",Table22[[#This Row],[Units Sold]]&lt;=95,"Excellent",Table22[[#This Row],[Units Sold]]&gt;95,"Outstanding")</f>
        <v>Low</v>
      </c>
      <c r="N730" s="29">
        <v>753.44</v>
      </c>
      <c r="O730" s="29">
        <v>44452.959999999999</v>
      </c>
      <c r="P730" s="43">
        <f>IF(Table22[[#This Row],[Discount Applied]],Table22[[#This Row],[Total Sales (in USD)]]*(1-Table22[[#This Row],[Discount Percentage (%)]]/100),Table22[[#This Row],[Total Sales (in USD)]])</f>
        <v>44452.959999999999</v>
      </c>
      <c r="Q730" s="66">
        <f>SQRT(AVERAGE((Table22[[#This Row],[Net Sales (after discount) (in USD)]]-AVERAGE(Table22[Net Sales (after discount) (in USD)]))^2))</f>
        <v>7941.5994362354613</v>
      </c>
      <c r="R730" s="18" t="b">
        <v>1</v>
      </c>
      <c r="S730" s="40">
        <v>28.28</v>
      </c>
      <c r="T730" s="18" t="b">
        <v>0</v>
      </c>
      <c r="U730" s="25">
        <v>45007</v>
      </c>
      <c r="V730" s="63" t="str">
        <f>IF(MONTH(Table22[[#This Row],[Sales Date]])&lt;=3,"Q1",IF(MONTH(Table22[[#This Row],[Sales Date]])&lt;=6,"Q2",IF(MONTH(Table22[[#This Row],[Sales Date]])&lt;=9,"Q3","Q4")))</f>
        <v>Q1</v>
      </c>
      <c r="W730" s="64">
        <f>YEAR(Table22[[#This Row],[Sales Date]])</f>
        <v>2023</v>
      </c>
      <c r="X730" s="23">
        <v>44</v>
      </c>
      <c r="Y730" s="18" t="s">
        <v>41</v>
      </c>
      <c r="Z730" s="18" t="s">
        <v>56</v>
      </c>
      <c r="AA730" s="19" t="s">
        <v>36</v>
      </c>
    </row>
    <row r="731" spans="1:27" x14ac:dyDescent="0.25">
      <c r="A731" s="17" t="s">
        <v>1522</v>
      </c>
      <c r="B731" s="18" t="s">
        <v>62</v>
      </c>
      <c r="C731" s="63" t="str" cm="1">
        <f t="array" ref="C731">_xlfn.SWITCH(Table22[[#This Row],[Country]],"USA","North America","Canada","North America","Brazil","South America","China","Asia","Japan","Asia","India","Asia","France","Europe","Germany","Europe","UK","Europe","Australia","Oceania","South America")</f>
        <v>Oceania</v>
      </c>
      <c r="D731" s="18" t="s">
        <v>35</v>
      </c>
      <c r="E731" s="18" t="s">
        <v>33</v>
      </c>
      <c r="F731" s="18" t="s">
        <v>34</v>
      </c>
      <c r="G731" s="18" t="s">
        <v>22</v>
      </c>
      <c r="H731" s="64">
        <f>LEN(TRIM(Table22[[#This Row],[Country]]))</f>
        <v>9</v>
      </c>
      <c r="I731" s="64">
        <f>LEN(TRIM(Table22[[#This Row],[Continent]]))</f>
        <v>7</v>
      </c>
      <c r="J731" s="64">
        <f>LEN(TRIM(Table22[[#This Row],[Product]]))</f>
        <v>10</v>
      </c>
      <c r="K731" s="64">
        <f>LEN(TRIM(Table22[[#This Row],[Sales Team]]))</f>
        <v>10</v>
      </c>
      <c r="L731" s="23">
        <v>61</v>
      </c>
      <c r="M731" s="65" t="str" cm="1">
        <f t="array" ref="M731">_xlfn.IFS(Table22[[#This Row],[Units Sold]]&lt;40,"Critical",Table22[[#This Row],[Units Sold]]&lt;=50,"Poor",Table22[[#This Row],[Units Sold]]&lt;=60,"Low",Table22[[#This Row],[Units Sold]]&lt;=80,"Average",Table22[[#This Row],[Units Sold]]&lt;=90,"High",Table22[[#This Row],[Units Sold]]&lt;=95,"Excellent",Table22[[#This Row],[Units Sold]]&gt;95,"Outstanding")</f>
        <v>Average</v>
      </c>
      <c r="N731" s="29">
        <v>727.67</v>
      </c>
      <c r="O731" s="29">
        <v>44387.87</v>
      </c>
      <c r="P731" s="43">
        <f>IF(Table22[[#This Row],[Discount Applied]],Table22[[#This Row],[Total Sales (in USD)]]*(1-Table22[[#This Row],[Discount Percentage (%)]]/100),Table22[[#This Row],[Total Sales (in USD)]])</f>
        <v>44387.87</v>
      </c>
      <c r="Q731" s="66">
        <f>SQRT(AVERAGE((Table22[[#This Row],[Net Sales (after discount) (in USD)]]-AVERAGE(Table22[Net Sales (after discount) (in USD)]))^2))</f>
        <v>7876.5094362354648</v>
      </c>
      <c r="R731" s="18" t="b">
        <v>0</v>
      </c>
      <c r="S731" s="40">
        <v>10.94</v>
      </c>
      <c r="T731" s="18" t="b">
        <v>0</v>
      </c>
      <c r="U731" s="25">
        <v>45513</v>
      </c>
      <c r="V731" s="63" t="str">
        <f>IF(MONTH(Table22[[#This Row],[Sales Date]])&lt;=3,"Q1",IF(MONTH(Table22[[#This Row],[Sales Date]])&lt;=6,"Q2",IF(MONTH(Table22[[#This Row],[Sales Date]])&lt;=9,"Q3","Q4")))</f>
        <v>Q3</v>
      </c>
      <c r="W731" s="64">
        <f>YEAR(Table22[[#This Row],[Sales Date]])</f>
        <v>2024</v>
      </c>
      <c r="X731" s="23">
        <v>48</v>
      </c>
      <c r="Y731" s="18" t="s">
        <v>41</v>
      </c>
      <c r="Z731" s="18" t="s">
        <v>42</v>
      </c>
      <c r="AA731" s="19" t="s">
        <v>25</v>
      </c>
    </row>
    <row r="732" spans="1:27" x14ac:dyDescent="0.25">
      <c r="A732" s="17" t="s">
        <v>2029</v>
      </c>
      <c r="B732" s="18" t="s">
        <v>66</v>
      </c>
      <c r="C732" s="63" t="str" cm="1">
        <f t="array" ref="C732">_xlfn.SWITCH(Table22[[#This Row],[Country]],"USA","North America","Canada","North America","Brazil","South America","China","Asia","Japan","Asia","India","Asia","France","Europe","Germany","Europe","UK","Europe","Australia","Oceania","South America")</f>
        <v>North America</v>
      </c>
      <c r="D732" s="18" t="s">
        <v>44</v>
      </c>
      <c r="E732" s="18" t="s">
        <v>19</v>
      </c>
      <c r="F732" s="18" t="s">
        <v>20</v>
      </c>
      <c r="G732" s="18" t="s">
        <v>29</v>
      </c>
      <c r="H732" s="64">
        <f>LEN(TRIM(Table22[[#This Row],[Country]]))</f>
        <v>6</v>
      </c>
      <c r="I732" s="64">
        <f>LEN(TRIM(Table22[[#This Row],[Continent]]))</f>
        <v>13</v>
      </c>
      <c r="J732" s="64">
        <f>LEN(TRIM(Table22[[#This Row],[Product]]))</f>
        <v>6</v>
      </c>
      <c r="K732" s="64">
        <f>LEN(TRIM(Table22[[#This Row],[Sales Team]]))</f>
        <v>10</v>
      </c>
      <c r="L732" s="23">
        <v>41</v>
      </c>
      <c r="M732" s="65" t="str" cm="1">
        <f t="array" ref="M732">_xlfn.IFS(Table22[[#This Row],[Units Sold]]&lt;40,"Critical",Table22[[#This Row],[Units Sold]]&lt;=50,"Poor",Table22[[#This Row],[Units Sold]]&lt;=60,"Low",Table22[[#This Row],[Units Sold]]&lt;=80,"Average",Table22[[#This Row],[Units Sold]]&lt;=90,"High",Table22[[#This Row],[Units Sold]]&lt;=95,"Excellent",Table22[[#This Row],[Units Sold]]&gt;95,"Outstanding")</f>
        <v>Poor</v>
      </c>
      <c r="N732" s="29">
        <v>1082.44</v>
      </c>
      <c r="O732" s="29">
        <v>44380.04</v>
      </c>
      <c r="P732" s="43">
        <f>IF(Table22[[#This Row],[Discount Applied]],Table22[[#This Row],[Total Sales (in USD)]]*(1-Table22[[#This Row],[Discount Percentage (%)]]/100),Table22[[#This Row],[Total Sales (in USD)]])</f>
        <v>37518.885815999995</v>
      </c>
      <c r="Q732" s="66">
        <f>SQRT(AVERAGE((Table22[[#This Row],[Net Sales (after discount) (in USD)]]-AVERAGE(Table22[Net Sales (after discount) (in USD)]))^2))</f>
        <v>1007.5252522354567</v>
      </c>
      <c r="R732" s="18" t="b">
        <v>1</v>
      </c>
      <c r="S732" s="40">
        <v>15.46</v>
      </c>
      <c r="T732" s="18" t="b">
        <v>1</v>
      </c>
      <c r="U732" s="25">
        <v>45029</v>
      </c>
      <c r="V732" s="63" t="str">
        <f>IF(MONTH(Table22[[#This Row],[Sales Date]])&lt;=3,"Q1",IF(MONTH(Table22[[#This Row],[Sales Date]])&lt;=6,"Q2",IF(MONTH(Table22[[#This Row],[Sales Date]])&lt;=9,"Q3","Q4")))</f>
        <v>Q2</v>
      </c>
      <c r="W732" s="64">
        <f>YEAR(Table22[[#This Row],[Sales Date]])</f>
        <v>2023</v>
      </c>
      <c r="X732" s="23">
        <v>35</v>
      </c>
      <c r="Y732" s="18" t="s">
        <v>49</v>
      </c>
      <c r="Z732" s="18" t="s">
        <v>30</v>
      </c>
      <c r="AA732" s="19" t="s">
        <v>25</v>
      </c>
    </row>
    <row r="733" spans="1:27" x14ac:dyDescent="0.25">
      <c r="A733" s="17" t="s">
        <v>558</v>
      </c>
      <c r="B733" s="18" t="s">
        <v>51</v>
      </c>
      <c r="C733" s="63" t="str" cm="1">
        <f t="array" ref="C733">_xlfn.SWITCH(Table22[[#This Row],[Country]],"USA","North America","Canada","North America","Brazil","South America","China","Asia","Japan","Asia","India","Asia","France","Europe","Germany","Europe","UK","Europe","Australia","Oceania","South America")</f>
        <v>Europe</v>
      </c>
      <c r="D733" s="18" t="s">
        <v>28</v>
      </c>
      <c r="E733" s="18" t="s">
        <v>39</v>
      </c>
      <c r="F733" s="18" t="s">
        <v>52</v>
      </c>
      <c r="G733" s="18" t="s">
        <v>22</v>
      </c>
      <c r="H733" s="64">
        <f>LEN(TRIM(Table22[[#This Row],[Country]]))</f>
        <v>2</v>
      </c>
      <c r="I733" s="64">
        <f>LEN(TRIM(Table22[[#This Row],[Continent]]))</f>
        <v>6</v>
      </c>
      <c r="J733" s="64">
        <f>LEN(TRIM(Table22[[#This Row],[Product]]))</f>
        <v>10</v>
      </c>
      <c r="K733" s="64">
        <f>LEN(TRIM(Table22[[#This Row],[Sales Team]]))</f>
        <v>10</v>
      </c>
      <c r="L733" s="23">
        <v>41</v>
      </c>
      <c r="M733" s="65" t="str" cm="1">
        <f t="array" ref="M733">_xlfn.IFS(Table22[[#This Row],[Units Sold]]&lt;40,"Critical",Table22[[#This Row],[Units Sold]]&lt;=50,"Poor",Table22[[#This Row],[Units Sold]]&lt;=60,"Low",Table22[[#This Row],[Units Sold]]&lt;=80,"Average",Table22[[#This Row],[Units Sold]]&lt;=90,"High",Table22[[#This Row],[Units Sold]]&lt;=95,"Excellent",Table22[[#This Row],[Units Sold]]&gt;95,"Outstanding")</f>
        <v>Poor</v>
      </c>
      <c r="N733" s="29">
        <v>1081.94</v>
      </c>
      <c r="O733" s="29">
        <v>44359.54</v>
      </c>
      <c r="P733" s="43">
        <f>IF(Table22[[#This Row],[Discount Applied]],Table22[[#This Row],[Total Sales (in USD)]]*(1-Table22[[#This Row],[Discount Percentage (%)]]/100),Table22[[#This Row],[Total Sales (in USD)]])</f>
        <v>44359.54</v>
      </c>
      <c r="Q733" s="66">
        <f>SQRT(AVERAGE((Table22[[#This Row],[Net Sales (after discount) (in USD)]]-AVERAGE(Table22[Net Sales (after discount) (in USD)]))^2))</f>
        <v>7848.1794362354631</v>
      </c>
      <c r="R733" s="18" t="b">
        <v>1</v>
      </c>
      <c r="S733" s="40">
        <v>20.8</v>
      </c>
      <c r="T733" s="18" t="b">
        <v>0</v>
      </c>
      <c r="U733" s="25">
        <v>45087</v>
      </c>
      <c r="V733" s="63" t="str">
        <f>IF(MONTH(Table22[[#This Row],[Sales Date]])&lt;=3,"Q1",IF(MONTH(Table22[[#This Row],[Sales Date]])&lt;=6,"Q2",IF(MONTH(Table22[[#This Row],[Sales Date]])&lt;=9,"Q3","Q4")))</f>
        <v>Q2</v>
      </c>
      <c r="W733" s="64">
        <f>YEAR(Table22[[#This Row],[Sales Date]])</f>
        <v>2023</v>
      </c>
      <c r="X733" s="23">
        <v>33</v>
      </c>
      <c r="Y733" s="18" t="s">
        <v>49</v>
      </c>
      <c r="Z733" s="18" t="s">
        <v>56</v>
      </c>
      <c r="AA733" s="19" t="s">
        <v>36</v>
      </c>
    </row>
    <row r="734" spans="1:27" x14ac:dyDescent="0.25">
      <c r="A734" s="17" t="s">
        <v>308</v>
      </c>
      <c r="B734" s="18" t="s">
        <v>76</v>
      </c>
      <c r="C734" s="63" t="str" cm="1">
        <f t="array" ref="C734">_xlfn.SWITCH(Table22[[#This Row],[Country]],"USA","North America","Canada","North America","Brazil","South America","China","Asia","Japan","Asia","India","Asia","France","Europe","Germany","Europe","UK","Europe","Australia","Oceania","South America")</f>
        <v>Asia</v>
      </c>
      <c r="D734" s="18" t="s">
        <v>21</v>
      </c>
      <c r="E734" s="18" t="s">
        <v>39</v>
      </c>
      <c r="F734" s="18" t="s">
        <v>47</v>
      </c>
      <c r="G734" s="18" t="s">
        <v>22</v>
      </c>
      <c r="H734" s="64">
        <f>LEN(TRIM(Table22[[#This Row],[Country]]))</f>
        <v>5</v>
      </c>
      <c r="I734" s="64">
        <f>LEN(TRIM(Table22[[#This Row],[Continent]]))</f>
        <v>4</v>
      </c>
      <c r="J734" s="64">
        <f>LEN(TRIM(Table22[[#This Row],[Product]]))</f>
        <v>10</v>
      </c>
      <c r="K734" s="64">
        <f>LEN(TRIM(Table22[[#This Row],[Sales Team]]))</f>
        <v>10</v>
      </c>
      <c r="L734" s="23">
        <v>83</v>
      </c>
      <c r="M734" s="65" t="str" cm="1">
        <f t="array" ref="M734">_xlfn.IFS(Table22[[#This Row],[Units Sold]]&lt;40,"Critical",Table22[[#This Row],[Units Sold]]&lt;=50,"Poor",Table22[[#This Row],[Units Sold]]&lt;=60,"Low",Table22[[#This Row],[Units Sold]]&lt;=80,"Average",Table22[[#This Row],[Units Sold]]&lt;=90,"High",Table22[[#This Row],[Units Sold]]&lt;=95,"Excellent",Table22[[#This Row],[Units Sold]]&gt;95,"Outstanding")</f>
        <v>High</v>
      </c>
      <c r="N734" s="29">
        <v>530.25</v>
      </c>
      <c r="O734" s="29">
        <v>44010.75</v>
      </c>
      <c r="P734" s="43">
        <f>IF(Table22[[#This Row],[Discount Applied]],Table22[[#This Row],[Total Sales (in USD)]]*(1-Table22[[#This Row],[Discount Percentage (%)]]/100),Table22[[#This Row],[Total Sales (in USD)]])</f>
        <v>39750.509400000003</v>
      </c>
      <c r="Q734" s="66">
        <f>SQRT(AVERAGE((Table22[[#This Row],[Net Sales (after discount) (in USD)]]-AVERAGE(Table22[Net Sales (after discount) (in USD)]))^2))</f>
        <v>3239.1488362354648</v>
      </c>
      <c r="R734" s="18" t="b">
        <v>0</v>
      </c>
      <c r="S734" s="40">
        <v>9.68</v>
      </c>
      <c r="T734" s="18" t="b">
        <v>1</v>
      </c>
      <c r="U734" s="25">
        <v>45036</v>
      </c>
      <c r="V734" s="63" t="str">
        <f>IF(MONTH(Table22[[#This Row],[Sales Date]])&lt;=3,"Q1",IF(MONTH(Table22[[#This Row],[Sales Date]])&lt;=6,"Q2",IF(MONTH(Table22[[#This Row],[Sales Date]])&lt;=9,"Q3","Q4")))</f>
        <v>Q2</v>
      </c>
      <c r="W734" s="64">
        <f>YEAR(Table22[[#This Row],[Sales Date]])</f>
        <v>2023</v>
      </c>
      <c r="X734" s="23">
        <v>49</v>
      </c>
      <c r="Y734" s="18" t="s">
        <v>41</v>
      </c>
      <c r="Z734" s="18" t="s">
        <v>42</v>
      </c>
      <c r="AA734" s="19" t="s">
        <v>25</v>
      </c>
    </row>
    <row r="735" spans="1:27" x14ac:dyDescent="0.25">
      <c r="A735" s="17" t="s">
        <v>1267</v>
      </c>
      <c r="B735" s="18" t="s">
        <v>46</v>
      </c>
      <c r="C735" s="63" t="str" cm="1">
        <f t="array" ref="C735">_xlfn.SWITCH(Table22[[#This Row],[Country]],"USA","North America","Canada","North America","Brazil","South America","China","Asia","Japan","Asia","India","Asia","France","Europe","Germany","Europe","UK","Europe","Australia","Oceania","South America")</f>
        <v>South America</v>
      </c>
      <c r="D735" s="18" t="s">
        <v>21</v>
      </c>
      <c r="E735" s="18" t="s">
        <v>19</v>
      </c>
      <c r="F735" s="18" t="s">
        <v>20</v>
      </c>
      <c r="G735" s="18" t="s">
        <v>22</v>
      </c>
      <c r="H735" s="64">
        <f>LEN(TRIM(Table22[[#This Row],[Country]]))</f>
        <v>6</v>
      </c>
      <c r="I735" s="64">
        <f>LEN(TRIM(Table22[[#This Row],[Continent]]))</f>
        <v>13</v>
      </c>
      <c r="J735" s="64">
        <f>LEN(TRIM(Table22[[#This Row],[Product]]))</f>
        <v>6</v>
      </c>
      <c r="K735" s="64">
        <f>LEN(TRIM(Table22[[#This Row],[Sales Team]]))</f>
        <v>10</v>
      </c>
      <c r="L735" s="23">
        <v>51</v>
      </c>
      <c r="M735" s="65" t="str" cm="1">
        <f t="array" ref="M735">_xlfn.IFS(Table22[[#This Row],[Units Sold]]&lt;40,"Critical",Table22[[#This Row],[Units Sold]]&lt;=50,"Poor",Table22[[#This Row],[Units Sold]]&lt;=60,"Low",Table22[[#This Row],[Units Sold]]&lt;=80,"Average",Table22[[#This Row],[Units Sold]]&lt;=90,"High",Table22[[#This Row],[Units Sold]]&lt;=95,"Excellent",Table22[[#This Row],[Units Sold]]&gt;95,"Outstanding")</f>
        <v>Low</v>
      </c>
      <c r="N735" s="29">
        <v>862.51</v>
      </c>
      <c r="O735" s="29">
        <v>43988.01</v>
      </c>
      <c r="P735" s="43">
        <f>IF(Table22[[#This Row],[Discount Applied]],Table22[[#This Row],[Total Sales (in USD)]]*(1-Table22[[#This Row],[Discount Percentage (%)]]/100),Table22[[#This Row],[Total Sales (in USD)]])</f>
        <v>43988.01</v>
      </c>
      <c r="Q735" s="66">
        <f>SQRT(AVERAGE((Table22[[#This Row],[Net Sales (after discount) (in USD)]]-AVERAGE(Table22[Net Sales (after discount) (in USD)]))^2))</f>
        <v>7476.6494362354642</v>
      </c>
      <c r="R735" s="18" t="b">
        <v>0</v>
      </c>
      <c r="S735" s="40">
        <v>5.59</v>
      </c>
      <c r="T735" s="18" t="b">
        <v>0</v>
      </c>
      <c r="U735" s="25">
        <v>45352</v>
      </c>
      <c r="V735" s="63" t="str">
        <f>IF(MONTH(Table22[[#This Row],[Sales Date]])&lt;=3,"Q1",IF(MONTH(Table22[[#This Row],[Sales Date]])&lt;=6,"Q2",IF(MONTH(Table22[[#This Row],[Sales Date]])&lt;=9,"Q3","Q4")))</f>
        <v>Q1</v>
      </c>
      <c r="W735" s="64">
        <f>YEAR(Table22[[#This Row],[Sales Date]])</f>
        <v>2024</v>
      </c>
      <c r="X735" s="23">
        <v>47</v>
      </c>
      <c r="Y735" s="18" t="s">
        <v>49</v>
      </c>
      <c r="Z735" s="18" t="s">
        <v>42</v>
      </c>
      <c r="AA735" s="19" t="s">
        <v>25</v>
      </c>
    </row>
    <row r="736" spans="1:27" x14ac:dyDescent="0.25">
      <c r="A736" s="17" t="s">
        <v>1623</v>
      </c>
      <c r="B736" s="18" t="s">
        <v>51</v>
      </c>
      <c r="C736" s="63" t="str" cm="1">
        <f t="array" ref="C736">_xlfn.SWITCH(Table22[[#This Row],[Country]],"USA","North America","Canada","North America","Brazil","South America","China","Asia","Japan","Asia","India","Asia","France","Europe","Germany","Europe","UK","Europe","Australia","Oceania","South America")</f>
        <v>Europe</v>
      </c>
      <c r="D736" s="18" t="s">
        <v>35</v>
      </c>
      <c r="E736" s="18" t="s">
        <v>19</v>
      </c>
      <c r="F736" s="18" t="s">
        <v>52</v>
      </c>
      <c r="G736" s="18" t="s">
        <v>48</v>
      </c>
      <c r="H736" s="64">
        <f>LEN(TRIM(Table22[[#This Row],[Country]]))</f>
        <v>2</v>
      </c>
      <c r="I736" s="64">
        <f>LEN(TRIM(Table22[[#This Row],[Continent]]))</f>
        <v>6</v>
      </c>
      <c r="J736" s="64">
        <f>LEN(TRIM(Table22[[#This Row],[Product]]))</f>
        <v>6</v>
      </c>
      <c r="K736" s="64">
        <f>LEN(TRIM(Table22[[#This Row],[Sales Team]]))</f>
        <v>9</v>
      </c>
      <c r="L736" s="23">
        <v>81</v>
      </c>
      <c r="M736" s="65" t="str" cm="1">
        <f t="array" ref="M736">_xlfn.IFS(Table22[[#This Row],[Units Sold]]&lt;40,"Critical",Table22[[#This Row],[Units Sold]]&lt;=50,"Poor",Table22[[#This Row],[Units Sold]]&lt;=60,"Low",Table22[[#This Row],[Units Sold]]&lt;=80,"Average",Table22[[#This Row],[Units Sold]]&lt;=90,"High",Table22[[#This Row],[Units Sold]]&lt;=95,"Excellent",Table22[[#This Row],[Units Sold]]&gt;95,"Outstanding")</f>
        <v>High</v>
      </c>
      <c r="N736" s="29">
        <v>541.74</v>
      </c>
      <c r="O736" s="29">
        <v>43880.94</v>
      </c>
      <c r="P736" s="43">
        <f>IF(Table22[[#This Row],[Discount Applied]],Table22[[#This Row],[Total Sales (in USD)]]*(1-Table22[[#This Row],[Discount Percentage (%)]]/100),Table22[[#This Row],[Total Sales (in USD)]])</f>
        <v>43880.94</v>
      </c>
      <c r="Q736" s="66">
        <f>SQRT(AVERAGE((Table22[[#This Row],[Net Sales (after discount) (in USD)]]-AVERAGE(Table22[Net Sales (after discount) (in USD)]))^2))</f>
        <v>7369.5794362354645</v>
      </c>
      <c r="R736" s="18" t="b">
        <v>1</v>
      </c>
      <c r="S736" s="40">
        <v>17.170000000000002</v>
      </c>
      <c r="T736" s="18" t="b">
        <v>0</v>
      </c>
      <c r="U736" s="25">
        <v>45115</v>
      </c>
      <c r="V736" s="63" t="str">
        <f>IF(MONTH(Table22[[#This Row],[Sales Date]])&lt;=3,"Q1",IF(MONTH(Table22[[#This Row],[Sales Date]])&lt;=6,"Q2",IF(MONTH(Table22[[#This Row],[Sales Date]])&lt;=9,"Q3","Q4")))</f>
        <v>Q3</v>
      </c>
      <c r="W736" s="64">
        <f>YEAR(Table22[[#This Row],[Sales Date]])</f>
        <v>2023</v>
      </c>
      <c r="X736" s="23">
        <v>68</v>
      </c>
      <c r="Y736" s="18" t="s">
        <v>49</v>
      </c>
      <c r="Z736" s="18" t="s">
        <v>24</v>
      </c>
      <c r="AA736" s="19" t="s">
        <v>25</v>
      </c>
    </row>
    <row r="737" spans="1:27" x14ac:dyDescent="0.25">
      <c r="A737" s="17" t="s">
        <v>434</v>
      </c>
      <c r="B737" s="18" t="s">
        <v>51</v>
      </c>
      <c r="C737" s="63" t="str" cm="1">
        <f t="array" ref="C737">_xlfn.SWITCH(Table22[[#This Row],[Country]],"USA","North America","Canada","North America","Brazil","South America","China","Asia","Japan","Asia","India","Asia","France","Europe","Germany","Europe","UK","Europe","Australia","Oceania","South America")</f>
        <v>Europe</v>
      </c>
      <c r="D737" s="18" t="s">
        <v>28</v>
      </c>
      <c r="E737" s="18" t="s">
        <v>39</v>
      </c>
      <c r="F737" s="18" t="s">
        <v>20</v>
      </c>
      <c r="G737" s="18" t="s">
        <v>29</v>
      </c>
      <c r="H737" s="64">
        <f>LEN(TRIM(Table22[[#This Row],[Country]]))</f>
        <v>2</v>
      </c>
      <c r="I737" s="64">
        <f>LEN(TRIM(Table22[[#This Row],[Continent]]))</f>
        <v>6</v>
      </c>
      <c r="J737" s="64">
        <f>LEN(TRIM(Table22[[#This Row],[Product]]))</f>
        <v>10</v>
      </c>
      <c r="K737" s="64">
        <f>LEN(TRIM(Table22[[#This Row],[Sales Team]]))</f>
        <v>10</v>
      </c>
      <c r="L737" s="23">
        <v>42</v>
      </c>
      <c r="M737" s="65" t="str" cm="1">
        <f t="array" ref="M737">_xlfn.IFS(Table22[[#This Row],[Units Sold]]&lt;40,"Critical",Table22[[#This Row],[Units Sold]]&lt;=50,"Poor",Table22[[#This Row],[Units Sold]]&lt;=60,"Low",Table22[[#This Row],[Units Sold]]&lt;=80,"Average",Table22[[#This Row],[Units Sold]]&lt;=90,"High",Table22[[#This Row],[Units Sold]]&lt;=95,"Excellent",Table22[[#This Row],[Units Sold]]&gt;95,"Outstanding")</f>
        <v>Poor</v>
      </c>
      <c r="N737" s="29">
        <v>1041.21</v>
      </c>
      <c r="O737" s="29">
        <v>43730.82</v>
      </c>
      <c r="P737" s="43">
        <f>IF(Table22[[#This Row],[Discount Applied]],Table22[[#This Row],[Total Sales (in USD)]]*(1-Table22[[#This Row],[Discount Percentage (%)]]/100),Table22[[#This Row],[Total Sales (in USD)]])</f>
        <v>38382.540714000002</v>
      </c>
      <c r="Q737" s="66">
        <f>SQRT(AVERAGE((Table22[[#This Row],[Net Sales (after discount) (in USD)]]-AVERAGE(Table22[Net Sales (after discount) (in USD)]))^2))</f>
        <v>1871.1801502354647</v>
      </c>
      <c r="R737" s="18" t="b">
        <v>1</v>
      </c>
      <c r="S737" s="40">
        <v>12.23</v>
      </c>
      <c r="T737" s="18" t="b">
        <v>1</v>
      </c>
      <c r="U737" s="25">
        <v>45402</v>
      </c>
      <c r="V737" s="63" t="str">
        <f>IF(MONTH(Table22[[#This Row],[Sales Date]])&lt;=3,"Q1",IF(MONTH(Table22[[#This Row],[Sales Date]])&lt;=6,"Q2",IF(MONTH(Table22[[#This Row],[Sales Date]])&lt;=9,"Q3","Q4")))</f>
        <v>Q2</v>
      </c>
      <c r="W737" s="64">
        <f>YEAR(Table22[[#This Row],[Sales Date]])</f>
        <v>2024</v>
      </c>
      <c r="X737" s="23">
        <v>49</v>
      </c>
      <c r="Y737" s="18" t="s">
        <v>23</v>
      </c>
      <c r="Z737" s="18" t="s">
        <v>30</v>
      </c>
      <c r="AA737" s="19" t="s">
        <v>36</v>
      </c>
    </row>
    <row r="738" spans="1:27" x14ac:dyDescent="0.25">
      <c r="A738" s="17" t="s">
        <v>1628</v>
      </c>
      <c r="B738" s="18" t="s">
        <v>27</v>
      </c>
      <c r="C738" s="63" t="str" cm="1">
        <f t="array" ref="C738">_xlfn.SWITCH(Table22[[#This Row],[Country]],"USA","North America","Canada","North America","Brazil","South America","China","Asia","Japan","Asia","India","Asia","France","Europe","Germany","Europe","UK","Europe","Australia","Oceania","South America")</f>
        <v>Europe</v>
      </c>
      <c r="D738" s="18" t="s">
        <v>28</v>
      </c>
      <c r="E738" s="18" t="s">
        <v>33</v>
      </c>
      <c r="F738" s="18" t="s">
        <v>34</v>
      </c>
      <c r="G738" s="18" t="s">
        <v>22</v>
      </c>
      <c r="H738" s="64">
        <f>LEN(TRIM(Table22[[#This Row],[Country]]))</f>
        <v>7</v>
      </c>
      <c r="I738" s="64">
        <f>LEN(TRIM(Table22[[#This Row],[Continent]]))</f>
        <v>6</v>
      </c>
      <c r="J738" s="64">
        <f>LEN(TRIM(Table22[[#This Row],[Product]]))</f>
        <v>10</v>
      </c>
      <c r="K738" s="64">
        <f>LEN(TRIM(Table22[[#This Row],[Sales Team]]))</f>
        <v>10</v>
      </c>
      <c r="L738" s="23">
        <v>45</v>
      </c>
      <c r="M738" s="65" t="str" cm="1">
        <f t="array" ref="M738">_xlfn.IFS(Table22[[#This Row],[Units Sold]]&lt;40,"Critical",Table22[[#This Row],[Units Sold]]&lt;=50,"Poor",Table22[[#This Row],[Units Sold]]&lt;=60,"Low",Table22[[#This Row],[Units Sold]]&lt;=80,"Average",Table22[[#This Row],[Units Sold]]&lt;=90,"High",Table22[[#This Row],[Units Sold]]&lt;=95,"Excellent",Table22[[#This Row],[Units Sold]]&gt;95,"Outstanding")</f>
        <v>Poor</v>
      </c>
      <c r="N738" s="29">
        <v>968.96</v>
      </c>
      <c r="O738" s="29">
        <v>43603.199999999997</v>
      </c>
      <c r="P738" s="43">
        <f>IF(Table22[[#This Row],[Discount Applied]],Table22[[#This Row],[Total Sales (in USD)]]*(1-Table22[[#This Row],[Discount Percentage (%)]]/100),Table22[[#This Row],[Total Sales (in USD)]])</f>
        <v>43603.199999999997</v>
      </c>
      <c r="Q738" s="66">
        <f>SQRT(AVERAGE((Table22[[#This Row],[Net Sales (after discount) (in USD)]]-AVERAGE(Table22[Net Sales (after discount) (in USD)]))^2))</f>
        <v>7091.8394362354593</v>
      </c>
      <c r="R738" s="18" t="b">
        <v>0</v>
      </c>
      <c r="S738" s="40">
        <v>14.13</v>
      </c>
      <c r="T738" s="18" t="b">
        <v>0</v>
      </c>
      <c r="U738" s="25">
        <v>45261</v>
      </c>
      <c r="V738" s="63" t="str">
        <f>IF(MONTH(Table22[[#This Row],[Sales Date]])&lt;=3,"Q1",IF(MONTH(Table22[[#This Row],[Sales Date]])&lt;=6,"Q2",IF(MONTH(Table22[[#This Row],[Sales Date]])&lt;=9,"Q3","Q4")))</f>
        <v>Q4</v>
      </c>
      <c r="W738" s="64">
        <f>YEAR(Table22[[#This Row],[Sales Date]])</f>
        <v>2023</v>
      </c>
      <c r="X738" s="23">
        <v>56</v>
      </c>
      <c r="Y738" s="18" t="s">
        <v>23</v>
      </c>
      <c r="Z738" s="18" t="s">
        <v>42</v>
      </c>
      <c r="AA738" s="19" t="s">
        <v>36</v>
      </c>
    </row>
    <row r="739" spans="1:27" x14ac:dyDescent="0.25">
      <c r="A739" s="17" t="s">
        <v>1012</v>
      </c>
      <c r="B739" s="18" t="s">
        <v>76</v>
      </c>
      <c r="C739" s="63" t="str" cm="1">
        <f t="array" ref="C739">_xlfn.SWITCH(Table22[[#This Row],[Country]],"USA","North America","Canada","North America","Brazil","South America","China","Asia","Japan","Asia","India","Asia","France","Europe","Germany","Europe","UK","Europe","Australia","Oceania","South America")</f>
        <v>Asia</v>
      </c>
      <c r="D739" s="18" t="s">
        <v>28</v>
      </c>
      <c r="E739" s="18" t="s">
        <v>33</v>
      </c>
      <c r="F739" s="18" t="s">
        <v>34</v>
      </c>
      <c r="G739" s="18" t="s">
        <v>22</v>
      </c>
      <c r="H739" s="64">
        <f>LEN(TRIM(Table22[[#This Row],[Country]]))</f>
        <v>5</v>
      </c>
      <c r="I739" s="64">
        <f>LEN(TRIM(Table22[[#This Row],[Continent]]))</f>
        <v>4</v>
      </c>
      <c r="J739" s="64">
        <f>LEN(TRIM(Table22[[#This Row],[Product]]))</f>
        <v>10</v>
      </c>
      <c r="K739" s="64">
        <f>LEN(TRIM(Table22[[#This Row],[Sales Team]]))</f>
        <v>10</v>
      </c>
      <c r="L739" s="23">
        <v>96</v>
      </c>
      <c r="M739" s="65" t="str" cm="1">
        <f t="array" ref="M739">_xlfn.IFS(Table22[[#This Row],[Units Sold]]&lt;40,"Critical",Table22[[#This Row],[Units Sold]]&lt;=50,"Poor",Table22[[#This Row],[Units Sold]]&lt;=60,"Low",Table22[[#This Row],[Units Sold]]&lt;=80,"Average",Table22[[#This Row],[Units Sold]]&lt;=90,"High",Table22[[#This Row],[Units Sold]]&lt;=95,"Excellent",Table22[[#This Row],[Units Sold]]&gt;95,"Outstanding")</f>
        <v>Outstanding</v>
      </c>
      <c r="N739" s="29">
        <v>453.92</v>
      </c>
      <c r="O739" s="29">
        <v>43576.32</v>
      </c>
      <c r="P739" s="43">
        <f>IF(Table22[[#This Row],[Discount Applied]],Table22[[#This Row],[Total Sales (in USD)]]*(1-Table22[[#This Row],[Discount Percentage (%)]]/100),Table22[[#This Row],[Total Sales (in USD)]])</f>
        <v>41950.923263999997</v>
      </c>
      <c r="Q739" s="66">
        <f>SQRT(AVERAGE((Table22[[#This Row],[Net Sales (after discount) (in USD)]]-AVERAGE(Table22[Net Sales (after discount) (in USD)]))^2))</f>
        <v>5439.5627002354595</v>
      </c>
      <c r="R739" s="18" t="b">
        <v>1</v>
      </c>
      <c r="S739" s="40">
        <v>3.73</v>
      </c>
      <c r="T739" s="18" t="b">
        <v>1</v>
      </c>
      <c r="U739" s="25">
        <v>45319</v>
      </c>
      <c r="V739" s="63" t="str">
        <f>IF(MONTH(Table22[[#This Row],[Sales Date]])&lt;=3,"Q1",IF(MONTH(Table22[[#This Row],[Sales Date]])&lt;=6,"Q2",IF(MONTH(Table22[[#This Row],[Sales Date]])&lt;=9,"Q3","Q4")))</f>
        <v>Q1</v>
      </c>
      <c r="W739" s="64">
        <f>YEAR(Table22[[#This Row],[Sales Date]])</f>
        <v>2024</v>
      </c>
      <c r="X739" s="23">
        <v>44</v>
      </c>
      <c r="Y739" s="18" t="s">
        <v>41</v>
      </c>
      <c r="Z739" s="18" t="s">
        <v>42</v>
      </c>
      <c r="AA739" s="19" t="s">
        <v>25</v>
      </c>
    </row>
    <row r="740" spans="1:27" x14ac:dyDescent="0.25">
      <c r="A740" s="17" t="s">
        <v>1189</v>
      </c>
      <c r="B740" s="18" t="s">
        <v>18</v>
      </c>
      <c r="C740" s="63" t="str" cm="1">
        <f t="array" ref="C740">_xlfn.SWITCH(Table22[[#This Row],[Country]],"USA","North America","Canada","North America","Brazil","South America","China","Asia","Japan","Asia","India","Asia","France","Europe","Germany","Europe","UK","Europe","Australia","Oceania","South America")</f>
        <v>Asia</v>
      </c>
      <c r="D740" s="18" t="s">
        <v>28</v>
      </c>
      <c r="E740" s="18" t="s">
        <v>33</v>
      </c>
      <c r="F740" s="18" t="s">
        <v>64</v>
      </c>
      <c r="G740" s="18" t="s">
        <v>29</v>
      </c>
      <c r="H740" s="64">
        <f>LEN(TRIM(Table22[[#This Row],[Country]]))</f>
        <v>5</v>
      </c>
      <c r="I740" s="64">
        <f>LEN(TRIM(Table22[[#This Row],[Continent]]))</f>
        <v>4</v>
      </c>
      <c r="J740" s="64">
        <f>LEN(TRIM(Table22[[#This Row],[Product]]))</f>
        <v>10</v>
      </c>
      <c r="K740" s="64">
        <f>LEN(TRIM(Table22[[#This Row],[Sales Team]]))</f>
        <v>10</v>
      </c>
      <c r="L740" s="23">
        <v>33</v>
      </c>
      <c r="M740" s="65" t="str" cm="1">
        <f t="array" ref="M740">_xlfn.IFS(Table22[[#This Row],[Units Sold]]&lt;40,"Critical",Table22[[#This Row],[Units Sold]]&lt;=50,"Poor",Table22[[#This Row],[Units Sold]]&lt;=60,"Low",Table22[[#This Row],[Units Sold]]&lt;=80,"Average",Table22[[#This Row],[Units Sold]]&lt;=90,"High",Table22[[#This Row],[Units Sold]]&lt;=95,"Excellent",Table22[[#This Row],[Units Sold]]&gt;95,"Outstanding")</f>
        <v>Critical</v>
      </c>
      <c r="N740" s="29">
        <v>1318.93</v>
      </c>
      <c r="O740" s="29">
        <v>43524.69</v>
      </c>
      <c r="P740" s="43">
        <f>IF(Table22[[#This Row],[Discount Applied]],Table22[[#This Row],[Total Sales (in USD)]]*(1-Table22[[#This Row],[Discount Percentage (%)]]/100),Table22[[#This Row],[Total Sales (in USD)]])</f>
        <v>43524.69</v>
      </c>
      <c r="Q740" s="66">
        <f>SQRT(AVERAGE((Table22[[#This Row],[Net Sales (after discount) (in USD)]]-AVERAGE(Table22[Net Sales (after discount) (in USD)]))^2))</f>
        <v>7013.3294362354645</v>
      </c>
      <c r="R740" s="18" t="b">
        <v>1</v>
      </c>
      <c r="S740" s="40">
        <v>26.46</v>
      </c>
      <c r="T740" s="18" t="b">
        <v>0</v>
      </c>
      <c r="U740" s="25">
        <v>45156</v>
      </c>
      <c r="V740" s="63" t="str">
        <f>IF(MONTH(Table22[[#This Row],[Sales Date]])&lt;=3,"Q1",IF(MONTH(Table22[[#This Row],[Sales Date]])&lt;=6,"Q2",IF(MONTH(Table22[[#This Row],[Sales Date]])&lt;=9,"Q3","Q4")))</f>
        <v>Q3</v>
      </c>
      <c r="W740" s="64">
        <f>YEAR(Table22[[#This Row],[Sales Date]])</f>
        <v>2023</v>
      </c>
      <c r="X740" s="23">
        <v>60</v>
      </c>
      <c r="Y740" s="18" t="s">
        <v>23</v>
      </c>
      <c r="Z740" s="18" t="s">
        <v>24</v>
      </c>
      <c r="AA740" s="19" t="s">
        <v>36</v>
      </c>
    </row>
    <row r="741" spans="1:27" x14ac:dyDescent="0.25">
      <c r="A741" s="17" t="s">
        <v>480</v>
      </c>
      <c r="B741" s="18" t="s">
        <v>27</v>
      </c>
      <c r="C741" s="63" t="str" cm="1">
        <f t="array" ref="C741">_xlfn.SWITCH(Table22[[#This Row],[Country]],"USA","North America","Canada","North America","Brazil","South America","China","Asia","Japan","Asia","India","Asia","France","Europe","Germany","Europe","UK","Europe","Australia","Oceania","South America")</f>
        <v>Europe</v>
      </c>
      <c r="D741" s="18" t="s">
        <v>44</v>
      </c>
      <c r="E741" s="18" t="s">
        <v>19</v>
      </c>
      <c r="F741" s="18" t="s">
        <v>20</v>
      </c>
      <c r="G741" s="18" t="s">
        <v>29</v>
      </c>
      <c r="H741" s="64">
        <f>LEN(TRIM(Table22[[#This Row],[Country]]))</f>
        <v>7</v>
      </c>
      <c r="I741" s="64">
        <f>LEN(TRIM(Table22[[#This Row],[Continent]]))</f>
        <v>6</v>
      </c>
      <c r="J741" s="64">
        <f>LEN(TRIM(Table22[[#This Row],[Product]]))</f>
        <v>6</v>
      </c>
      <c r="K741" s="64">
        <f>LEN(TRIM(Table22[[#This Row],[Sales Team]]))</f>
        <v>10</v>
      </c>
      <c r="L741" s="23">
        <v>76</v>
      </c>
      <c r="M741" s="65" t="str" cm="1">
        <f t="array" ref="M741">_xlfn.IFS(Table22[[#This Row],[Units Sold]]&lt;40,"Critical",Table22[[#This Row],[Units Sold]]&lt;=50,"Poor",Table22[[#This Row],[Units Sold]]&lt;=60,"Low",Table22[[#This Row],[Units Sold]]&lt;=80,"Average",Table22[[#This Row],[Units Sold]]&lt;=90,"High",Table22[[#This Row],[Units Sold]]&lt;=95,"Excellent",Table22[[#This Row],[Units Sold]]&gt;95,"Outstanding")</f>
        <v>Average</v>
      </c>
      <c r="N741" s="29">
        <v>571.88</v>
      </c>
      <c r="O741" s="29">
        <v>43462.879999999997</v>
      </c>
      <c r="P741" s="43">
        <f>IF(Table22[[#This Row],[Discount Applied]],Table22[[#This Row],[Total Sales (in USD)]]*(1-Table22[[#This Row],[Discount Percentage (%)]]/100),Table22[[#This Row],[Total Sales (in USD)]])</f>
        <v>32692.778335999996</v>
      </c>
      <c r="Q741" s="66">
        <f>SQRT(AVERAGE((Table22[[#This Row],[Net Sales (after discount) (in USD)]]-AVERAGE(Table22[Net Sales (after discount) (in USD)]))^2))</f>
        <v>3818.582227764542</v>
      </c>
      <c r="R741" s="18" t="b">
        <v>0</v>
      </c>
      <c r="S741" s="40">
        <v>24.78</v>
      </c>
      <c r="T741" s="18" t="b">
        <v>1</v>
      </c>
      <c r="U741" s="25">
        <v>45473</v>
      </c>
      <c r="V741" s="63" t="str">
        <f>IF(MONTH(Table22[[#This Row],[Sales Date]])&lt;=3,"Q1",IF(MONTH(Table22[[#This Row],[Sales Date]])&lt;=6,"Q2",IF(MONTH(Table22[[#This Row],[Sales Date]])&lt;=9,"Q3","Q4")))</f>
        <v>Q2</v>
      </c>
      <c r="W741" s="64">
        <f>YEAR(Table22[[#This Row],[Sales Date]])</f>
        <v>2024</v>
      </c>
      <c r="X741" s="23">
        <v>25</v>
      </c>
      <c r="Y741" s="18" t="s">
        <v>41</v>
      </c>
      <c r="Z741" s="18" t="s">
        <v>30</v>
      </c>
      <c r="AA741" s="19" t="s">
        <v>25</v>
      </c>
    </row>
    <row r="742" spans="1:27" x14ac:dyDescent="0.25">
      <c r="A742" s="17" t="s">
        <v>658</v>
      </c>
      <c r="B742" s="18" t="s">
        <v>46</v>
      </c>
      <c r="C742" s="63" t="str" cm="1">
        <f t="array" ref="C742">_xlfn.SWITCH(Table22[[#This Row],[Country]],"USA","North America","Canada","North America","Brazil","South America","China","Asia","Japan","Asia","India","Asia","France","Europe","Germany","Europe","UK","Europe","Australia","Oceania","South America")</f>
        <v>South America</v>
      </c>
      <c r="D742" s="18" t="s">
        <v>28</v>
      </c>
      <c r="E742" s="18" t="s">
        <v>19</v>
      </c>
      <c r="F742" s="18" t="s">
        <v>34</v>
      </c>
      <c r="G742" s="18" t="s">
        <v>40</v>
      </c>
      <c r="H742" s="64">
        <f>LEN(TRIM(Table22[[#This Row],[Country]]))</f>
        <v>6</v>
      </c>
      <c r="I742" s="64">
        <f>LEN(TRIM(Table22[[#This Row],[Continent]]))</f>
        <v>13</v>
      </c>
      <c r="J742" s="64">
        <f>LEN(TRIM(Table22[[#This Row],[Product]]))</f>
        <v>6</v>
      </c>
      <c r="K742" s="64">
        <f>LEN(TRIM(Table22[[#This Row],[Sales Team]]))</f>
        <v>10</v>
      </c>
      <c r="L742" s="23">
        <v>66</v>
      </c>
      <c r="M742" s="65" t="str" cm="1">
        <f t="array" ref="M742">_xlfn.IFS(Table22[[#This Row],[Units Sold]]&lt;40,"Critical",Table22[[#This Row],[Units Sold]]&lt;=50,"Poor",Table22[[#This Row],[Units Sold]]&lt;=60,"Low",Table22[[#This Row],[Units Sold]]&lt;=80,"Average",Table22[[#This Row],[Units Sold]]&lt;=90,"High",Table22[[#This Row],[Units Sold]]&lt;=95,"Excellent",Table22[[#This Row],[Units Sold]]&gt;95,"Outstanding")</f>
        <v>Average</v>
      </c>
      <c r="N742" s="29">
        <v>657.68</v>
      </c>
      <c r="O742" s="29">
        <v>43406.879999999997</v>
      </c>
      <c r="P742" s="43">
        <f>IF(Table22[[#This Row],[Discount Applied]],Table22[[#This Row],[Total Sales (in USD)]]*(1-Table22[[#This Row],[Discount Percentage (%)]]/100),Table22[[#This Row],[Total Sales (in USD)]])</f>
        <v>37039.090703999995</v>
      </c>
      <c r="Q742" s="66">
        <f>SQRT(AVERAGE((Table22[[#This Row],[Net Sales (after discount) (in USD)]]-AVERAGE(Table22[Net Sales (after discount) (in USD)]))^2))</f>
        <v>527.73014023545693</v>
      </c>
      <c r="R742" s="18" t="b">
        <v>1</v>
      </c>
      <c r="S742" s="40">
        <v>14.67</v>
      </c>
      <c r="T742" s="18" t="b">
        <v>1</v>
      </c>
      <c r="U742" s="25">
        <v>45537</v>
      </c>
      <c r="V742" s="63" t="str">
        <f>IF(MONTH(Table22[[#This Row],[Sales Date]])&lt;=3,"Q1",IF(MONTH(Table22[[#This Row],[Sales Date]])&lt;=6,"Q2",IF(MONTH(Table22[[#This Row],[Sales Date]])&lt;=9,"Q3","Q4")))</f>
        <v>Q3</v>
      </c>
      <c r="W742" s="64">
        <f>YEAR(Table22[[#This Row],[Sales Date]])</f>
        <v>2024</v>
      </c>
      <c r="X742" s="23">
        <v>61</v>
      </c>
      <c r="Y742" s="18" t="s">
        <v>49</v>
      </c>
      <c r="Z742" s="18" t="s">
        <v>24</v>
      </c>
      <c r="AA742" s="19" t="s">
        <v>25</v>
      </c>
    </row>
    <row r="743" spans="1:27" x14ac:dyDescent="0.25">
      <c r="A743" s="17" t="s">
        <v>465</v>
      </c>
      <c r="B743" s="18" t="s">
        <v>72</v>
      </c>
      <c r="C743" s="63" t="str" cm="1">
        <f t="array" ref="C743">_xlfn.SWITCH(Table22[[#This Row],[Country]],"USA","North America","Canada","North America","Brazil","South America","China","Asia","Japan","Asia","India","Asia","France","Europe","Germany","Europe","UK","Europe","Australia","Oceania","South America")</f>
        <v>North America</v>
      </c>
      <c r="D743" s="18" t="s">
        <v>44</v>
      </c>
      <c r="E743" s="18" t="s">
        <v>39</v>
      </c>
      <c r="F743" s="18" t="s">
        <v>20</v>
      </c>
      <c r="G743" s="18" t="s">
        <v>29</v>
      </c>
      <c r="H743" s="64">
        <f>LEN(TRIM(Table22[[#This Row],[Country]]))</f>
        <v>3</v>
      </c>
      <c r="I743" s="64">
        <f>LEN(TRIM(Table22[[#This Row],[Continent]]))</f>
        <v>13</v>
      </c>
      <c r="J743" s="64">
        <f>LEN(TRIM(Table22[[#This Row],[Product]]))</f>
        <v>10</v>
      </c>
      <c r="K743" s="64">
        <f>LEN(TRIM(Table22[[#This Row],[Sales Team]]))</f>
        <v>10</v>
      </c>
      <c r="L743" s="23">
        <v>86</v>
      </c>
      <c r="M743" s="65" t="str" cm="1">
        <f t="array" ref="M743">_xlfn.IFS(Table22[[#This Row],[Units Sold]]&lt;40,"Critical",Table22[[#This Row],[Units Sold]]&lt;=50,"Poor",Table22[[#This Row],[Units Sold]]&lt;=60,"Low",Table22[[#This Row],[Units Sold]]&lt;=80,"Average",Table22[[#This Row],[Units Sold]]&lt;=90,"High",Table22[[#This Row],[Units Sold]]&lt;=95,"Excellent",Table22[[#This Row],[Units Sold]]&gt;95,"Outstanding")</f>
        <v>High</v>
      </c>
      <c r="N743" s="29">
        <v>504.25</v>
      </c>
      <c r="O743" s="29">
        <v>43365.5</v>
      </c>
      <c r="P743" s="43">
        <f>IF(Table22[[#This Row],[Discount Applied]],Table22[[#This Row],[Total Sales (in USD)]]*(1-Table22[[#This Row],[Discount Percentage (%)]]/100),Table22[[#This Row],[Total Sales (in USD)]])</f>
        <v>37502.484400000001</v>
      </c>
      <c r="Q743" s="66">
        <f>SQRT(AVERAGE((Table22[[#This Row],[Net Sales (after discount) (in USD)]]-AVERAGE(Table22[Net Sales (after discount) (in USD)]))^2))</f>
        <v>991.12383623546339</v>
      </c>
      <c r="R743" s="18" t="b">
        <v>1</v>
      </c>
      <c r="S743" s="40">
        <v>13.52</v>
      </c>
      <c r="T743" s="18" t="b">
        <v>1</v>
      </c>
      <c r="U743" s="25">
        <v>45098</v>
      </c>
      <c r="V743" s="63" t="str">
        <f>IF(MONTH(Table22[[#This Row],[Sales Date]])&lt;=3,"Q1",IF(MONTH(Table22[[#This Row],[Sales Date]])&lt;=6,"Q2",IF(MONTH(Table22[[#This Row],[Sales Date]])&lt;=9,"Q3","Q4")))</f>
        <v>Q2</v>
      </c>
      <c r="W743" s="64">
        <f>YEAR(Table22[[#This Row],[Sales Date]])</f>
        <v>2023</v>
      </c>
      <c r="X743" s="23">
        <v>33</v>
      </c>
      <c r="Y743" s="18" t="s">
        <v>23</v>
      </c>
      <c r="Z743" s="18" t="s">
        <v>24</v>
      </c>
      <c r="AA743" s="19" t="s">
        <v>25</v>
      </c>
    </row>
    <row r="744" spans="1:27" x14ac:dyDescent="0.25">
      <c r="A744" s="17" t="s">
        <v>1289</v>
      </c>
      <c r="B744" s="18" t="s">
        <v>18</v>
      </c>
      <c r="C744" s="63" t="str" cm="1">
        <f t="array" ref="C744">_xlfn.SWITCH(Table22[[#This Row],[Country]],"USA","North America","Canada","North America","Brazil","South America","China","Asia","Japan","Asia","India","Asia","France","Europe","Germany","Europe","UK","Europe","Australia","Oceania","South America")</f>
        <v>Asia</v>
      </c>
      <c r="D744" s="18" t="s">
        <v>28</v>
      </c>
      <c r="E744" s="18" t="s">
        <v>19</v>
      </c>
      <c r="F744" s="18" t="s">
        <v>64</v>
      </c>
      <c r="G744" s="18" t="s">
        <v>22</v>
      </c>
      <c r="H744" s="64">
        <f>LEN(TRIM(Table22[[#This Row],[Country]]))</f>
        <v>5</v>
      </c>
      <c r="I744" s="64">
        <f>LEN(TRIM(Table22[[#This Row],[Continent]]))</f>
        <v>4</v>
      </c>
      <c r="J744" s="64">
        <f>LEN(TRIM(Table22[[#This Row],[Product]]))</f>
        <v>6</v>
      </c>
      <c r="K744" s="64">
        <f>LEN(TRIM(Table22[[#This Row],[Sales Team]]))</f>
        <v>10</v>
      </c>
      <c r="L744" s="23">
        <v>91</v>
      </c>
      <c r="M744" s="65" t="str" cm="1">
        <f t="array" ref="M744">_xlfn.IFS(Table22[[#This Row],[Units Sold]]&lt;40,"Critical",Table22[[#This Row],[Units Sold]]&lt;=50,"Poor",Table22[[#This Row],[Units Sold]]&lt;=60,"Low",Table22[[#This Row],[Units Sold]]&lt;=80,"Average",Table22[[#This Row],[Units Sold]]&lt;=90,"High",Table22[[#This Row],[Units Sold]]&lt;=95,"Excellent",Table22[[#This Row],[Units Sold]]&gt;95,"Outstanding")</f>
        <v>Excellent</v>
      </c>
      <c r="N744" s="29">
        <v>474.28</v>
      </c>
      <c r="O744" s="29">
        <v>43159.48</v>
      </c>
      <c r="P744" s="43">
        <f>IF(Table22[[#This Row],[Discount Applied]],Table22[[#This Row],[Total Sales (in USD)]]*(1-Table22[[#This Row],[Discount Percentage (%)]]/100),Table22[[#This Row],[Total Sales (in USD)]])</f>
        <v>43159.48</v>
      </c>
      <c r="Q744" s="66">
        <f>SQRT(AVERAGE((Table22[[#This Row],[Net Sales (after discount) (in USD)]]-AVERAGE(Table22[Net Sales (after discount) (in USD)]))^2))</f>
        <v>6648.1194362354654</v>
      </c>
      <c r="R744" s="18" t="b">
        <v>1</v>
      </c>
      <c r="S744" s="40">
        <v>24.71</v>
      </c>
      <c r="T744" s="18" t="b">
        <v>0</v>
      </c>
      <c r="U744" s="25">
        <v>45032</v>
      </c>
      <c r="V744" s="63" t="str">
        <f>IF(MONTH(Table22[[#This Row],[Sales Date]])&lt;=3,"Q1",IF(MONTH(Table22[[#This Row],[Sales Date]])&lt;=6,"Q2",IF(MONTH(Table22[[#This Row],[Sales Date]])&lt;=9,"Q3","Q4")))</f>
        <v>Q2</v>
      </c>
      <c r="W744" s="64">
        <f>YEAR(Table22[[#This Row],[Sales Date]])</f>
        <v>2023</v>
      </c>
      <c r="X744" s="23">
        <v>60</v>
      </c>
      <c r="Y744" s="18" t="s">
        <v>41</v>
      </c>
      <c r="Z744" s="18" t="s">
        <v>56</v>
      </c>
      <c r="AA744" s="19" t="s">
        <v>36</v>
      </c>
    </row>
    <row r="745" spans="1:27" x14ac:dyDescent="0.25">
      <c r="A745" s="17" t="s">
        <v>759</v>
      </c>
      <c r="B745" s="18" t="s">
        <v>51</v>
      </c>
      <c r="C745" s="63" t="str" cm="1">
        <f t="array" ref="C745">_xlfn.SWITCH(Table22[[#This Row],[Country]],"USA","North America","Canada","North America","Brazil","South America","China","Asia","Japan","Asia","India","Asia","France","Europe","Germany","Europe","UK","Europe","Australia","Oceania","South America")</f>
        <v>Europe</v>
      </c>
      <c r="D745" s="18" t="s">
        <v>44</v>
      </c>
      <c r="E745" s="18" t="s">
        <v>19</v>
      </c>
      <c r="F745" s="18" t="s">
        <v>20</v>
      </c>
      <c r="G745" s="18" t="s">
        <v>40</v>
      </c>
      <c r="H745" s="64">
        <f>LEN(TRIM(Table22[[#This Row],[Country]]))</f>
        <v>2</v>
      </c>
      <c r="I745" s="64">
        <f>LEN(TRIM(Table22[[#This Row],[Continent]]))</f>
        <v>6</v>
      </c>
      <c r="J745" s="64">
        <f>LEN(TRIM(Table22[[#This Row],[Product]]))</f>
        <v>6</v>
      </c>
      <c r="K745" s="64">
        <f>LEN(TRIM(Table22[[#This Row],[Sales Team]]))</f>
        <v>10</v>
      </c>
      <c r="L745" s="23">
        <v>57</v>
      </c>
      <c r="M745" s="65" t="str" cm="1">
        <f t="array" ref="M745">_xlfn.IFS(Table22[[#This Row],[Units Sold]]&lt;40,"Critical",Table22[[#This Row],[Units Sold]]&lt;=50,"Poor",Table22[[#This Row],[Units Sold]]&lt;=60,"Low",Table22[[#This Row],[Units Sold]]&lt;=80,"Average",Table22[[#This Row],[Units Sold]]&lt;=90,"High",Table22[[#This Row],[Units Sold]]&lt;=95,"Excellent",Table22[[#This Row],[Units Sold]]&gt;95,"Outstanding")</f>
        <v>Low</v>
      </c>
      <c r="N745" s="29">
        <v>756.99</v>
      </c>
      <c r="O745" s="29">
        <v>43148.43</v>
      </c>
      <c r="P745" s="43">
        <f>IF(Table22[[#This Row],[Discount Applied]],Table22[[#This Row],[Total Sales (in USD)]]*(1-Table22[[#This Row],[Discount Percentage (%)]]/100),Table22[[#This Row],[Total Sales (in USD)]])</f>
        <v>37767.820779000001</v>
      </c>
      <c r="Q745" s="66">
        <f>SQRT(AVERAGE((Table22[[#This Row],[Net Sales (after discount) (in USD)]]-AVERAGE(Table22[Net Sales (after discount) (in USD)]))^2))</f>
        <v>1256.4602152354637</v>
      </c>
      <c r="R745" s="18" t="b">
        <v>1</v>
      </c>
      <c r="S745" s="40">
        <v>12.47</v>
      </c>
      <c r="T745" s="18" t="b">
        <v>1</v>
      </c>
      <c r="U745" s="25">
        <v>45367</v>
      </c>
      <c r="V745" s="63" t="str">
        <f>IF(MONTH(Table22[[#This Row],[Sales Date]])&lt;=3,"Q1",IF(MONTH(Table22[[#This Row],[Sales Date]])&lt;=6,"Q2",IF(MONTH(Table22[[#This Row],[Sales Date]])&lt;=9,"Q3","Q4")))</f>
        <v>Q1</v>
      </c>
      <c r="W745" s="64">
        <f>YEAR(Table22[[#This Row],[Sales Date]])</f>
        <v>2024</v>
      </c>
      <c r="X745" s="23">
        <v>23</v>
      </c>
      <c r="Y745" s="18" t="s">
        <v>23</v>
      </c>
      <c r="Z745" s="18" t="s">
        <v>24</v>
      </c>
      <c r="AA745" s="19" t="s">
        <v>36</v>
      </c>
    </row>
    <row r="746" spans="1:27" x14ac:dyDescent="0.25">
      <c r="A746" s="17" t="s">
        <v>1198</v>
      </c>
      <c r="B746" s="18" t="s">
        <v>66</v>
      </c>
      <c r="C746" s="63" t="str" cm="1">
        <f t="array" ref="C746">_xlfn.SWITCH(Table22[[#This Row],[Country]],"USA","North America","Canada","North America","Brazil","South America","China","Asia","Japan","Asia","India","Asia","France","Europe","Germany","Europe","UK","Europe","Australia","Oceania","South America")</f>
        <v>North America</v>
      </c>
      <c r="D746" s="18" t="s">
        <v>35</v>
      </c>
      <c r="E746" s="18" t="s">
        <v>39</v>
      </c>
      <c r="F746" s="18" t="s">
        <v>52</v>
      </c>
      <c r="G746" s="18" t="s">
        <v>22</v>
      </c>
      <c r="H746" s="64">
        <f>LEN(TRIM(Table22[[#This Row],[Country]]))</f>
        <v>6</v>
      </c>
      <c r="I746" s="64">
        <f>LEN(TRIM(Table22[[#This Row],[Continent]]))</f>
        <v>13</v>
      </c>
      <c r="J746" s="64">
        <f>LEN(TRIM(Table22[[#This Row],[Product]]))</f>
        <v>10</v>
      </c>
      <c r="K746" s="64">
        <f>LEN(TRIM(Table22[[#This Row],[Sales Team]]))</f>
        <v>10</v>
      </c>
      <c r="L746" s="23">
        <v>30</v>
      </c>
      <c r="M746" s="65" t="str" cm="1">
        <f t="array" ref="M746">_xlfn.IFS(Table22[[#This Row],[Units Sold]]&lt;40,"Critical",Table22[[#This Row],[Units Sold]]&lt;=50,"Poor",Table22[[#This Row],[Units Sold]]&lt;=60,"Low",Table22[[#This Row],[Units Sold]]&lt;=80,"Average",Table22[[#This Row],[Units Sold]]&lt;=90,"High",Table22[[#This Row],[Units Sold]]&lt;=95,"Excellent",Table22[[#This Row],[Units Sold]]&gt;95,"Outstanding")</f>
        <v>Critical</v>
      </c>
      <c r="N746" s="29">
        <v>1433.44</v>
      </c>
      <c r="O746" s="29">
        <v>43003.199999999997</v>
      </c>
      <c r="P746" s="43">
        <f>IF(Table22[[#This Row],[Discount Applied]],Table22[[#This Row],[Total Sales (in USD)]]*(1-Table22[[#This Row],[Discount Percentage (%)]]/100),Table22[[#This Row],[Total Sales (in USD)]])</f>
        <v>31508.444639999998</v>
      </c>
      <c r="Q746" s="66">
        <f>SQRT(AVERAGE((Table22[[#This Row],[Net Sales (after discount) (in USD)]]-AVERAGE(Table22[Net Sales (after discount) (in USD)]))^2))</f>
        <v>5002.9159237645399</v>
      </c>
      <c r="R746" s="18" t="b">
        <v>0</v>
      </c>
      <c r="S746" s="40">
        <v>26.73</v>
      </c>
      <c r="T746" s="18" t="b">
        <v>1</v>
      </c>
      <c r="U746" s="25">
        <v>45119</v>
      </c>
      <c r="V746" s="63" t="str">
        <f>IF(MONTH(Table22[[#This Row],[Sales Date]])&lt;=3,"Q1",IF(MONTH(Table22[[#This Row],[Sales Date]])&lt;=6,"Q2",IF(MONTH(Table22[[#This Row],[Sales Date]])&lt;=9,"Q3","Q4")))</f>
        <v>Q3</v>
      </c>
      <c r="W746" s="64">
        <f>YEAR(Table22[[#This Row],[Sales Date]])</f>
        <v>2023</v>
      </c>
      <c r="X746" s="23">
        <v>62</v>
      </c>
      <c r="Y746" s="18" t="s">
        <v>41</v>
      </c>
      <c r="Z746" s="18" t="s">
        <v>24</v>
      </c>
      <c r="AA746" s="19" t="s">
        <v>25</v>
      </c>
    </row>
    <row r="747" spans="1:27" x14ac:dyDescent="0.25">
      <c r="A747" s="17" t="s">
        <v>1714</v>
      </c>
      <c r="B747" s="18" t="s">
        <v>18</v>
      </c>
      <c r="C747" s="63" t="str" cm="1">
        <f t="array" ref="C747">_xlfn.SWITCH(Table22[[#This Row],[Country]],"USA","North America","Canada","North America","Brazil","South America","China","Asia","Japan","Asia","India","Asia","France","Europe","Germany","Europe","UK","Europe","Australia","Oceania","South America")</f>
        <v>Asia</v>
      </c>
      <c r="D747" s="18" t="s">
        <v>35</v>
      </c>
      <c r="E747" s="18" t="s">
        <v>33</v>
      </c>
      <c r="F747" s="18" t="s">
        <v>52</v>
      </c>
      <c r="G747" s="18" t="s">
        <v>48</v>
      </c>
      <c r="H747" s="64">
        <f>LEN(TRIM(Table22[[#This Row],[Country]]))</f>
        <v>5</v>
      </c>
      <c r="I747" s="64">
        <f>LEN(TRIM(Table22[[#This Row],[Continent]]))</f>
        <v>4</v>
      </c>
      <c r="J747" s="64">
        <f>LEN(TRIM(Table22[[#This Row],[Product]]))</f>
        <v>10</v>
      </c>
      <c r="K747" s="64">
        <f>LEN(TRIM(Table22[[#This Row],[Sales Team]]))</f>
        <v>9</v>
      </c>
      <c r="L747" s="23">
        <v>41</v>
      </c>
      <c r="M747" s="65" t="str" cm="1">
        <f t="array" ref="M747">_xlfn.IFS(Table22[[#This Row],[Units Sold]]&lt;40,"Critical",Table22[[#This Row],[Units Sold]]&lt;=50,"Poor",Table22[[#This Row],[Units Sold]]&lt;=60,"Low",Table22[[#This Row],[Units Sold]]&lt;=80,"Average",Table22[[#This Row],[Units Sold]]&lt;=90,"High",Table22[[#This Row],[Units Sold]]&lt;=95,"Excellent",Table22[[#This Row],[Units Sold]]&gt;95,"Outstanding")</f>
        <v>Poor</v>
      </c>
      <c r="N747" s="29">
        <v>1048.71</v>
      </c>
      <c r="O747" s="29">
        <v>42997.11</v>
      </c>
      <c r="P747" s="43">
        <f>IF(Table22[[#This Row],[Discount Applied]],Table22[[#This Row],[Total Sales (in USD)]]*(1-Table22[[#This Row],[Discount Percentage (%)]]/100),Table22[[#This Row],[Total Sales (in USD)]])</f>
        <v>39243.462296999998</v>
      </c>
      <c r="Q747" s="66">
        <f>SQRT(AVERAGE((Table22[[#This Row],[Net Sales (after discount) (in USD)]]-AVERAGE(Table22[Net Sales (after discount) (in USD)]))^2))</f>
        <v>2732.1017332354604</v>
      </c>
      <c r="R747" s="18" t="b">
        <v>1</v>
      </c>
      <c r="S747" s="40">
        <v>8.73</v>
      </c>
      <c r="T747" s="18" t="b">
        <v>1</v>
      </c>
      <c r="U747" s="25">
        <v>45282</v>
      </c>
      <c r="V747" s="63" t="str">
        <f>IF(MONTH(Table22[[#This Row],[Sales Date]])&lt;=3,"Q1",IF(MONTH(Table22[[#This Row],[Sales Date]])&lt;=6,"Q2",IF(MONTH(Table22[[#This Row],[Sales Date]])&lt;=9,"Q3","Q4")))</f>
        <v>Q4</v>
      </c>
      <c r="W747" s="64">
        <f>YEAR(Table22[[#This Row],[Sales Date]])</f>
        <v>2023</v>
      </c>
      <c r="X747" s="23">
        <v>68</v>
      </c>
      <c r="Y747" s="18" t="s">
        <v>41</v>
      </c>
      <c r="Z747" s="18" t="s">
        <v>30</v>
      </c>
      <c r="AA747" s="19" t="s">
        <v>25</v>
      </c>
    </row>
    <row r="748" spans="1:27" x14ac:dyDescent="0.25">
      <c r="A748" s="17" t="s">
        <v>1330</v>
      </c>
      <c r="B748" s="18" t="s">
        <v>76</v>
      </c>
      <c r="C748" s="63" t="str" cm="1">
        <f t="array" ref="C748">_xlfn.SWITCH(Table22[[#This Row],[Country]],"USA","North America","Canada","North America","Brazil","South America","China","Asia","Japan","Asia","India","Asia","France","Europe","Germany","Europe","UK","Europe","Australia","Oceania","South America")</f>
        <v>Asia</v>
      </c>
      <c r="D748" s="18" t="s">
        <v>35</v>
      </c>
      <c r="E748" s="18" t="s">
        <v>39</v>
      </c>
      <c r="F748" s="18" t="s">
        <v>47</v>
      </c>
      <c r="G748" s="18" t="s">
        <v>48</v>
      </c>
      <c r="H748" s="64">
        <f>LEN(TRIM(Table22[[#This Row],[Country]]))</f>
        <v>5</v>
      </c>
      <c r="I748" s="64">
        <f>LEN(TRIM(Table22[[#This Row],[Continent]]))</f>
        <v>4</v>
      </c>
      <c r="J748" s="64">
        <f>LEN(TRIM(Table22[[#This Row],[Product]]))</f>
        <v>10</v>
      </c>
      <c r="K748" s="64">
        <f>LEN(TRIM(Table22[[#This Row],[Sales Team]]))</f>
        <v>9</v>
      </c>
      <c r="L748" s="23">
        <v>61</v>
      </c>
      <c r="M748" s="65" t="str" cm="1">
        <f t="array" ref="M748">_xlfn.IFS(Table22[[#This Row],[Units Sold]]&lt;40,"Critical",Table22[[#This Row],[Units Sold]]&lt;=50,"Poor",Table22[[#This Row],[Units Sold]]&lt;=60,"Low",Table22[[#This Row],[Units Sold]]&lt;=80,"Average",Table22[[#This Row],[Units Sold]]&lt;=90,"High",Table22[[#This Row],[Units Sold]]&lt;=95,"Excellent",Table22[[#This Row],[Units Sold]]&gt;95,"Outstanding")</f>
        <v>Average</v>
      </c>
      <c r="N748" s="29">
        <v>704.08</v>
      </c>
      <c r="O748" s="29">
        <v>42948.88</v>
      </c>
      <c r="P748" s="43">
        <f>IF(Table22[[#This Row],[Discount Applied]],Table22[[#This Row],[Total Sales (in USD)]]*(1-Table22[[#This Row],[Discount Percentage (%)]]/100),Table22[[#This Row],[Total Sales (in USD)]])</f>
        <v>42442.083215999999</v>
      </c>
      <c r="Q748" s="66">
        <f>SQRT(AVERAGE((Table22[[#This Row],[Net Sales (after discount) (in USD)]]-AVERAGE(Table22[Net Sales (after discount) (in USD)]))^2))</f>
        <v>5930.7226522354613</v>
      </c>
      <c r="R748" s="18" t="b">
        <v>1</v>
      </c>
      <c r="S748" s="40">
        <v>1.18</v>
      </c>
      <c r="T748" s="18" t="b">
        <v>1</v>
      </c>
      <c r="U748" s="25">
        <v>45463</v>
      </c>
      <c r="V748" s="63" t="str">
        <f>IF(MONTH(Table22[[#This Row],[Sales Date]])&lt;=3,"Q1",IF(MONTH(Table22[[#This Row],[Sales Date]])&lt;=6,"Q2",IF(MONTH(Table22[[#This Row],[Sales Date]])&lt;=9,"Q3","Q4")))</f>
        <v>Q2</v>
      </c>
      <c r="W748" s="64">
        <f>YEAR(Table22[[#This Row],[Sales Date]])</f>
        <v>2024</v>
      </c>
      <c r="X748" s="23">
        <v>24</v>
      </c>
      <c r="Y748" s="18" t="s">
        <v>23</v>
      </c>
      <c r="Z748" s="18" t="s">
        <v>24</v>
      </c>
      <c r="AA748" s="19" t="s">
        <v>36</v>
      </c>
    </row>
    <row r="749" spans="1:27" x14ac:dyDescent="0.25">
      <c r="A749" s="17" t="s">
        <v>365</v>
      </c>
      <c r="B749" s="18" t="s">
        <v>46</v>
      </c>
      <c r="C749" s="63" t="str" cm="1">
        <f t="array" ref="C749">_xlfn.SWITCH(Table22[[#This Row],[Country]],"USA","North America","Canada","North America","Brazil","South America","China","Asia","Japan","Asia","India","Asia","France","Europe","Germany","Europe","UK","Europe","Australia","Oceania","South America")</f>
        <v>South America</v>
      </c>
      <c r="D749" s="18" t="s">
        <v>21</v>
      </c>
      <c r="E749" s="18" t="s">
        <v>19</v>
      </c>
      <c r="F749" s="18" t="s">
        <v>47</v>
      </c>
      <c r="G749" s="18" t="s">
        <v>40</v>
      </c>
      <c r="H749" s="64">
        <f>LEN(TRIM(Table22[[#This Row],[Country]]))</f>
        <v>6</v>
      </c>
      <c r="I749" s="64">
        <f>LEN(TRIM(Table22[[#This Row],[Continent]]))</f>
        <v>13</v>
      </c>
      <c r="J749" s="64">
        <f>LEN(TRIM(Table22[[#This Row],[Product]]))</f>
        <v>6</v>
      </c>
      <c r="K749" s="64">
        <f>LEN(TRIM(Table22[[#This Row],[Sales Team]]))</f>
        <v>10</v>
      </c>
      <c r="L749" s="23">
        <v>49</v>
      </c>
      <c r="M749" s="65" t="str" cm="1">
        <f t="array" ref="M749">_xlfn.IFS(Table22[[#This Row],[Units Sold]]&lt;40,"Critical",Table22[[#This Row],[Units Sold]]&lt;=50,"Poor",Table22[[#This Row],[Units Sold]]&lt;=60,"Low",Table22[[#This Row],[Units Sold]]&lt;=80,"Average",Table22[[#This Row],[Units Sold]]&lt;=90,"High",Table22[[#This Row],[Units Sold]]&lt;=95,"Excellent",Table22[[#This Row],[Units Sold]]&gt;95,"Outstanding")</f>
        <v>Poor</v>
      </c>
      <c r="N749" s="29">
        <v>872.34</v>
      </c>
      <c r="O749" s="29">
        <v>42744.66</v>
      </c>
      <c r="P749" s="43">
        <f>IF(Table22[[#This Row],[Discount Applied]],Table22[[#This Row],[Total Sales (in USD)]]*(1-Table22[[#This Row],[Discount Percentage (%)]]/100),Table22[[#This Row],[Total Sales (in USD)]])</f>
        <v>42744.66</v>
      </c>
      <c r="Q749" s="66">
        <f>SQRT(AVERAGE((Table22[[#This Row],[Net Sales (after discount) (in USD)]]-AVERAGE(Table22[Net Sales (after discount) (in USD)]))^2))</f>
        <v>6233.2994362354657</v>
      </c>
      <c r="R749" s="18" t="b">
        <v>1</v>
      </c>
      <c r="S749" s="40">
        <v>4.5599999999999996</v>
      </c>
      <c r="T749" s="18" t="b">
        <v>0</v>
      </c>
      <c r="U749" s="25">
        <v>45198</v>
      </c>
      <c r="V749" s="63" t="str">
        <f>IF(MONTH(Table22[[#This Row],[Sales Date]])&lt;=3,"Q1",IF(MONTH(Table22[[#This Row],[Sales Date]])&lt;=6,"Q2",IF(MONTH(Table22[[#This Row],[Sales Date]])&lt;=9,"Q3","Q4")))</f>
        <v>Q3</v>
      </c>
      <c r="W749" s="64">
        <f>YEAR(Table22[[#This Row],[Sales Date]])</f>
        <v>2023</v>
      </c>
      <c r="X749" s="23">
        <v>64</v>
      </c>
      <c r="Y749" s="18" t="s">
        <v>49</v>
      </c>
      <c r="Z749" s="18" t="s">
        <v>42</v>
      </c>
      <c r="AA749" s="19" t="s">
        <v>25</v>
      </c>
    </row>
    <row r="750" spans="1:27" x14ac:dyDescent="0.25">
      <c r="A750" s="17" t="s">
        <v>1117</v>
      </c>
      <c r="B750" s="18" t="s">
        <v>38</v>
      </c>
      <c r="C750" s="63" t="str" cm="1">
        <f t="array" ref="C750">_xlfn.SWITCH(Table22[[#This Row],[Country]],"USA","North America","Canada","North America","Brazil","South America","China","Asia","Japan","Asia","India","Asia","France","Europe","Germany","Europe","UK","Europe","Australia","Oceania","South America")</f>
        <v>Europe</v>
      </c>
      <c r="D750" s="18" t="s">
        <v>44</v>
      </c>
      <c r="E750" s="18" t="s">
        <v>33</v>
      </c>
      <c r="F750" s="18" t="s">
        <v>20</v>
      </c>
      <c r="G750" s="18" t="s">
        <v>40</v>
      </c>
      <c r="H750" s="64">
        <f>LEN(TRIM(Table22[[#This Row],[Country]]))</f>
        <v>6</v>
      </c>
      <c r="I750" s="64">
        <f>LEN(TRIM(Table22[[#This Row],[Continent]]))</f>
        <v>6</v>
      </c>
      <c r="J750" s="64">
        <f>LEN(TRIM(Table22[[#This Row],[Product]]))</f>
        <v>10</v>
      </c>
      <c r="K750" s="64">
        <f>LEN(TRIM(Table22[[#This Row],[Sales Team]]))</f>
        <v>10</v>
      </c>
      <c r="L750" s="23">
        <v>31</v>
      </c>
      <c r="M750" s="65" t="str" cm="1">
        <f t="array" ref="M750">_xlfn.IFS(Table22[[#This Row],[Units Sold]]&lt;40,"Critical",Table22[[#This Row],[Units Sold]]&lt;=50,"Poor",Table22[[#This Row],[Units Sold]]&lt;=60,"Low",Table22[[#This Row],[Units Sold]]&lt;=80,"Average",Table22[[#This Row],[Units Sold]]&lt;=90,"High",Table22[[#This Row],[Units Sold]]&lt;=95,"Excellent",Table22[[#This Row],[Units Sold]]&gt;95,"Outstanding")</f>
        <v>Critical</v>
      </c>
      <c r="N750" s="29">
        <v>1375.53</v>
      </c>
      <c r="O750" s="29">
        <v>42641.43</v>
      </c>
      <c r="P750" s="43">
        <f>IF(Table22[[#This Row],[Discount Applied]],Table22[[#This Row],[Total Sales (in USD)]]*(1-Table22[[#This Row],[Discount Percentage (%)]]/100),Table22[[#This Row],[Total Sales (in USD)]])</f>
        <v>42641.43</v>
      </c>
      <c r="Q750" s="66">
        <f>SQRT(AVERAGE((Table22[[#This Row],[Net Sales (after discount) (in USD)]]-AVERAGE(Table22[Net Sales (after discount) (in USD)]))^2))</f>
        <v>6130.0694362354625</v>
      </c>
      <c r="R750" s="18" t="b">
        <v>1</v>
      </c>
      <c r="S750" s="40">
        <v>6.77</v>
      </c>
      <c r="T750" s="18" t="b">
        <v>0</v>
      </c>
      <c r="U750" s="25">
        <v>45479</v>
      </c>
      <c r="V750" s="63" t="str">
        <f>IF(MONTH(Table22[[#This Row],[Sales Date]])&lt;=3,"Q1",IF(MONTH(Table22[[#This Row],[Sales Date]])&lt;=6,"Q2",IF(MONTH(Table22[[#This Row],[Sales Date]])&lt;=9,"Q3","Q4")))</f>
        <v>Q3</v>
      </c>
      <c r="W750" s="64">
        <f>YEAR(Table22[[#This Row],[Sales Date]])</f>
        <v>2024</v>
      </c>
      <c r="X750" s="23">
        <v>20</v>
      </c>
      <c r="Y750" s="18" t="s">
        <v>41</v>
      </c>
      <c r="Z750" s="18" t="s">
        <v>30</v>
      </c>
      <c r="AA750" s="19" t="s">
        <v>36</v>
      </c>
    </row>
    <row r="751" spans="1:27" x14ac:dyDescent="0.25">
      <c r="A751" s="17" t="s">
        <v>1482</v>
      </c>
      <c r="B751" s="18" t="s">
        <v>76</v>
      </c>
      <c r="C751" s="63" t="str" cm="1">
        <f t="array" ref="C751">_xlfn.SWITCH(Table22[[#This Row],[Country]],"USA","North America","Canada","North America","Brazil","South America","China","Asia","Japan","Asia","India","Asia","France","Europe","Germany","Europe","UK","Europe","Australia","Oceania","South America")</f>
        <v>Asia</v>
      </c>
      <c r="D751" s="18" t="s">
        <v>35</v>
      </c>
      <c r="E751" s="18" t="s">
        <v>19</v>
      </c>
      <c r="F751" s="18" t="s">
        <v>34</v>
      </c>
      <c r="G751" s="18" t="s">
        <v>40</v>
      </c>
      <c r="H751" s="64">
        <f>LEN(TRIM(Table22[[#This Row],[Country]]))</f>
        <v>5</v>
      </c>
      <c r="I751" s="64">
        <f>LEN(TRIM(Table22[[#This Row],[Continent]]))</f>
        <v>4</v>
      </c>
      <c r="J751" s="64">
        <f>LEN(TRIM(Table22[[#This Row],[Product]]))</f>
        <v>6</v>
      </c>
      <c r="K751" s="64">
        <f>LEN(TRIM(Table22[[#This Row],[Sales Team]]))</f>
        <v>10</v>
      </c>
      <c r="L751" s="23">
        <v>97</v>
      </c>
      <c r="M751" s="65" t="str" cm="1">
        <f t="array" ref="M751">_xlfn.IFS(Table22[[#This Row],[Units Sold]]&lt;40,"Critical",Table22[[#This Row],[Units Sold]]&lt;=50,"Poor",Table22[[#This Row],[Units Sold]]&lt;=60,"Low",Table22[[#This Row],[Units Sold]]&lt;=80,"Average",Table22[[#This Row],[Units Sold]]&lt;=90,"High",Table22[[#This Row],[Units Sold]]&lt;=95,"Excellent",Table22[[#This Row],[Units Sold]]&gt;95,"Outstanding")</f>
        <v>Outstanding</v>
      </c>
      <c r="N751" s="29">
        <v>439.47</v>
      </c>
      <c r="O751" s="29">
        <v>42628.59</v>
      </c>
      <c r="P751" s="43">
        <f>IF(Table22[[#This Row],[Discount Applied]],Table22[[#This Row],[Total Sales (in USD)]]*(1-Table22[[#This Row],[Discount Percentage (%)]]/100),Table22[[#This Row],[Total Sales (in USD)]])</f>
        <v>31476.950855999996</v>
      </c>
      <c r="Q751" s="66">
        <f>SQRT(AVERAGE((Table22[[#This Row],[Net Sales (after discount) (in USD)]]-AVERAGE(Table22[Net Sales (after discount) (in USD)]))^2))</f>
        <v>5034.409707764542</v>
      </c>
      <c r="R751" s="18" t="b">
        <v>1</v>
      </c>
      <c r="S751" s="40">
        <v>26.16</v>
      </c>
      <c r="T751" s="18" t="b">
        <v>1</v>
      </c>
      <c r="U751" s="25">
        <v>45445</v>
      </c>
      <c r="V751" s="63" t="str">
        <f>IF(MONTH(Table22[[#This Row],[Sales Date]])&lt;=3,"Q1",IF(MONTH(Table22[[#This Row],[Sales Date]])&lt;=6,"Q2",IF(MONTH(Table22[[#This Row],[Sales Date]])&lt;=9,"Q3","Q4")))</f>
        <v>Q2</v>
      </c>
      <c r="W751" s="64">
        <f>YEAR(Table22[[#This Row],[Sales Date]])</f>
        <v>2024</v>
      </c>
      <c r="X751" s="23">
        <v>20</v>
      </c>
      <c r="Y751" s="18" t="s">
        <v>23</v>
      </c>
      <c r="Z751" s="18" t="s">
        <v>42</v>
      </c>
      <c r="AA751" s="19" t="s">
        <v>36</v>
      </c>
    </row>
    <row r="752" spans="1:27" x14ac:dyDescent="0.25">
      <c r="A752" s="17" t="s">
        <v>1697</v>
      </c>
      <c r="B752" s="18" t="s">
        <v>18</v>
      </c>
      <c r="C752" s="63" t="str" cm="1">
        <f t="array" ref="C752">_xlfn.SWITCH(Table22[[#This Row],[Country]],"USA","North America","Canada","North America","Brazil","South America","China","Asia","Japan","Asia","India","Asia","France","Europe","Germany","Europe","UK","Europe","Australia","Oceania","South America")</f>
        <v>Asia</v>
      </c>
      <c r="D752" s="18" t="s">
        <v>35</v>
      </c>
      <c r="E752" s="18" t="s">
        <v>19</v>
      </c>
      <c r="F752" s="18" t="s">
        <v>20</v>
      </c>
      <c r="G752" s="18" t="s">
        <v>22</v>
      </c>
      <c r="H752" s="64">
        <f>LEN(TRIM(Table22[[#This Row],[Country]]))</f>
        <v>5</v>
      </c>
      <c r="I752" s="64">
        <f>LEN(TRIM(Table22[[#This Row],[Continent]]))</f>
        <v>4</v>
      </c>
      <c r="J752" s="64">
        <f>LEN(TRIM(Table22[[#This Row],[Product]]))</f>
        <v>6</v>
      </c>
      <c r="K752" s="64">
        <f>LEN(TRIM(Table22[[#This Row],[Sales Team]]))</f>
        <v>10</v>
      </c>
      <c r="L752" s="23">
        <v>61</v>
      </c>
      <c r="M752" s="65" t="str" cm="1">
        <f t="array" ref="M752">_xlfn.IFS(Table22[[#This Row],[Units Sold]]&lt;40,"Critical",Table22[[#This Row],[Units Sold]]&lt;=50,"Poor",Table22[[#This Row],[Units Sold]]&lt;=60,"Low",Table22[[#This Row],[Units Sold]]&lt;=80,"Average",Table22[[#This Row],[Units Sold]]&lt;=90,"High",Table22[[#This Row],[Units Sold]]&lt;=95,"Excellent",Table22[[#This Row],[Units Sold]]&gt;95,"Outstanding")</f>
        <v>Average</v>
      </c>
      <c r="N752" s="29">
        <v>697.57</v>
      </c>
      <c r="O752" s="29">
        <v>42551.77</v>
      </c>
      <c r="P752" s="43">
        <f>IF(Table22[[#This Row],[Discount Applied]],Table22[[#This Row],[Total Sales (in USD)]]*(1-Table22[[#This Row],[Discount Percentage (%)]]/100),Table22[[#This Row],[Total Sales (in USD)]])</f>
        <v>42466.666459999993</v>
      </c>
      <c r="Q752" s="66">
        <f>SQRT(AVERAGE((Table22[[#This Row],[Net Sales (after discount) (in USD)]]-AVERAGE(Table22[Net Sales (after discount) (in USD)]))^2))</f>
        <v>5955.3058962354553</v>
      </c>
      <c r="R752" s="18" t="b">
        <v>0</v>
      </c>
      <c r="S752" s="40">
        <v>0.2</v>
      </c>
      <c r="T752" s="18" t="b">
        <v>1</v>
      </c>
      <c r="U752" s="25">
        <v>45133</v>
      </c>
      <c r="V752" s="63" t="str">
        <f>IF(MONTH(Table22[[#This Row],[Sales Date]])&lt;=3,"Q1",IF(MONTH(Table22[[#This Row],[Sales Date]])&lt;=6,"Q2",IF(MONTH(Table22[[#This Row],[Sales Date]])&lt;=9,"Q3","Q4")))</f>
        <v>Q3</v>
      </c>
      <c r="W752" s="64">
        <f>YEAR(Table22[[#This Row],[Sales Date]])</f>
        <v>2023</v>
      </c>
      <c r="X752" s="23">
        <v>51</v>
      </c>
      <c r="Y752" s="18" t="s">
        <v>23</v>
      </c>
      <c r="Z752" s="18" t="s">
        <v>56</v>
      </c>
      <c r="AA752" s="19" t="s">
        <v>36</v>
      </c>
    </row>
    <row r="753" spans="1:27" x14ac:dyDescent="0.25">
      <c r="A753" s="17" t="s">
        <v>176</v>
      </c>
      <c r="B753" s="18" t="s">
        <v>72</v>
      </c>
      <c r="C753" s="63" t="str" cm="1">
        <f t="array" ref="C753">_xlfn.SWITCH(Table22[[#This Row],[Country]],"USA","North America","Canada","North America","Brazil","South America","China","Asia","Japan","Asia","India","Asia","France","Europe","Germany","Europe","UK","Europe","Australia","Oceania","South America")</f>
        <v>North America</v>
      </c>
      <c r="D753" s="18" t="s">
        <v>44</v>
      </c>
      <c r="E753" s="18" t="s">
        <v>39</v>
      </c>
      <c r="F753" s="18" t="s">
        <v>64</v>
      </c>
      <c r="G753" s="18" t="s">
        <v>48</v>
      </c>
      <c r="H753" s="64">
        <f>LEN(TRIM(Table22[[#This Row],[Country]]))</f>
        <v>3</v>
      </c>
      <c r="I753" s="64">
        <f>LEN(TRIM(Table22[[#This Row],[Continent]]))</f>
        <v>13</v>
      </c>
      <c r="J753" s="64">
        <f>LEN(TRIM(Table22[[#This Row],[Product]]))</f>
        <v>10</v>
      </c>
      <c r="K753" s="64">
        <f>LEN(TRIM(Table22[[#This Row],[Sales Team]]))</f>
        <v>9</v>
      </c>
      <c r="L753" s="23">
        <v>43</v>
      </c>
      <c r="M753" s="65" t="str" cm="1">
        <f t="array" ref="M753">_xlfn.IFS(Table22[[#This Row],[Units Sold]]&lt;40,"Critical",Table22[[#This Row],[Units Sold]]&lt;=50,"Poor",Table22[[#This Row],[Units Sold]]&lt;=60,"Low",Table22[[#This Row],[Units Sold]]&lt;=80,"Average",Table22[[#This Row],[Units Sold]]&lt;=90,"High",Table22[[#This Row],[Units Sold]]&lt;=95,"Excellent",Table22[[#This Row],[Units Sold]]&gt;95,"Outstanding")</f>
        <v>Poor</v>
      </c>
      <c r="N753" s="29">
        <v>989.34</v>
      </c>
      <c r="O753" s="29">
        <v>42541.62</v>
      </c>
      <c r="P753" s="43">
        <f>IF(Table22[[#This Row],[Discount Applied]],Table22[[#This Row],[Total Sales (in USD)]]*(1-Table22[[#This Row],[Discount Percentage (%)]]/100),Table22[[#This Row],[Total Sales (in USD)]])</f>
        <v>42541.62</v>
      </c>
      <c r="Q753" s="66">
        <f>SQRT(AVERAGE((Table22[[#This Row],[Net Sales (after discount) (in USD)]]-AVERAGE(Table22[Net Sales (after discount) (in USD)]))^2))</f>
        <v>6030.2594362354648</v>
      </c>
      <c r="R753" s="18" t="b">
        <v>0</v>
      </c>
      <c r="S753" s="40">
        <v>3.3</v>
      </c>
      <c r="T753" s="18" t="b">
        <v>0</v>
      </c>
      <c r="U753" s="25">
        <v>45175</v>
      </c>
      <c r="V753" s="63" t="str">
        <f>IF(MONTH(Table22[[#This Row],[Sales Date]])&lt;=3,"Q1",IF(MONTH(Table22[[#This Row],[Sales Date]])&lt;=6,"Q2",IF(MONTH(Table22[[#This Row],[Sales Date]])&lt;=9,"Q3","Q4")))</f>
        <v>Q3</v>
      </c>
      <c r="W753" s="64">
        <f>YEAR(Table22[[#This Row],[Sales Date]])</f>
        <v>2023</v>
      </c>
      <c r="X753" s="23">
        <v>40</v>
      </c>
      <c r="Y753" s="18" t="s">
        <v>23</v>
      </c>
      <c r="Z753" s="18" t="s">
        <v>24</v>
      </c>
      <c r="AA753" s="19" t="s">
        <v>25</v>
      </c>
    </row>
    <row r="754" spans="1:27" x14ac:dyDescent="0.25">
      <c r="A754" s="17" t="s">
        <v>276</v>
      </c>
      <c r="B754" s="18" t="s">
        <v>18</v>
      </c>
      <c r="C754" s="63" t="str" cm="1">
        <f t="array" ref="C754">_xlfn.SWITCH(Table22[[#This Row],[Country]],"USA","North America","Canada","North America","Brazil","South America","China","Asia","Japan","Asia","India","Asia","France","Europe","Germany","Europe","UK","Europe","Australia","Oceania","South America")</f>
        <v>Asia</v>
      </c>
      <c r="D754" s="18" t="s">
        <v>35</v>
      </c>
      <c r="E754" s="18" t="s">
        <v>33</v>
      </c>
      <c r="F754" s="18" t="s">
        <v>47</v>
      </c>
      <c r="G754" s="18" t="s">
        <v>22</v>
      </c>
      <c r="H754" s="64">
        <f>LEN(TRIM(Table22[[#This Row],[Country]]))</f>
        <v>5</v>
      </c>
      <c r="I754" s="64">
        <f>LEN(TRIM(Table22[[#This Row],[Continent]]))</f>
        <v>4</v>
      </c>
      <c r="J754" s="64">
        <f>LEN(TRIM(Table22[[#This Row],[Product]]))</f>
        <v>10</v>
      </c>
      <c r="K754" s="64">
        <f>LEN(TRIM(Table22[[#This Row],[Sales Team]]))</f>
        <v>10</v>
      </c>
      <c r="L754" s="23">
        <v>30</v>
      </c>
      <c r="M754" s="65" t="str" cm="1">
        <f t="array" ref="M754">_xlfn.IFS(Table22[[#This Row],[Units Sold]]&lt;40,"Critical",Table22[[#This Row],[Units Sold]]&lt;=50,"Poor",Table22[[#This Row],[Units Sold]]&lt;=60,"Low",Table22[[#This Row],[Units Sold]]&lt;=80,"Average",Table22[[#This Row],[Units Sold]]&lt;=90,"High",Table22[[#This Row],[Units Sold]]&lt;=95,"Excellent",Table22[[#This Row],[Units Sold]]&gt;95,"Outstanding")</f>
        <v>Critical</v>
      </c>
      <c r="N754" s="29">
        <v>1416.13</v>
      </c>
      <c r="O754" s="29">
        <v>42483.9</v>
      </c>
      <c r="P754" s="43">
        <f>IF(Table22[[#This Row],[Discount Applied]],Table22[[#This Row],[Total Sales (in USD)]]*(1-Table22[[#This Row],[Discount Percentage (%)]]/100),Table22[[#This Row],[Total Sales (in USD)]])</f>
        <v>38464.923060000001</v>
      </c>
      <c r="Q754" s="66">
        <f>SQRT(AVERAGE((Table22[[#This Row],[Net Sales (after discount) (in USD)]]-AVERAGE(Table22[Net Sales (after discount) (in USD)]))^2))</f>
        <v>1953.5624962354632</v>
      </c>
      <c r="R754" s="18" t="b">
        <v>0</v>
      </c>
      <c r="S754" s="40">
        <v>9.4600000000000009</v>
      </c>
      <c r="T754" s="18" t="b">
        <v>1</v>
      </c>
      <c r="U754" s="25">
        <v>45411</v>
      </c>
      <c r="V754" s="63" t="str">
        <f>IF(MONTH(Table22[[#This Row],[Sales Date]])&lt;=3,"Q1",IF(MONTH(Table22[[#This Row],[Sales Date]])&lt;=6,"Q2",IF(MONTH(Table22[[#This Row],[Sales Date]])&lt;=9,"Q3","Q4")))</f>
        <v>Q2</v>
      </c>
      <c r="W754" s="64">
        <f>YEAR(Table22[[#This Row],[Sales Date]])</f>
        <v>2024</v>
      </c>
      <c r="X754" s="23">
        <v>69</v>
      </c>
      <c r="Y754" s="18" t="s">
        <v>49</v>
      </c>
      <c r="Z754" s="18" t="s">
        <v>56</v>
      </c>
      <c r="AA754" s="19" t="s">
        <v>36</v>
      </c>
    </row>
    <row r="755" spans="1:27" x14ac:dyDescent="0.25">
      <c r="A755" s="17" t="s">
        <v>592</v>
      </c>
      <c r="B755" s="18" t="s">
        <v>62</v>
      </c>
      <c r="C755" s="63" t="str" cm="1">
        <f t="array" ref="C755">_xlfn.SWITCH(Table22[[#This Row],[Country]],"USA","North America","Canada","North America","Brazil","South America","China","Asia","Japan","Asia","India","Asia","France","Europe","Germany","Europe","UK","Europe","Australia","Oceania","South America")</f>
        <v>Oceania</v>
      </c>
      <c r="D755" s="18" t="s">
        <v>35</v>
      </c>
      <c r="E755" s="18" t="s">
        <v>39</v>
      </c>
      <c r="F755" s="18" t="s">
        <v>20</v>
      </c>
      <c r="G755" s="18" t="s">
        <v>29</v>
      </c>
      <c r="H755" s="64">
        <f>LEN(TRIM(Table22[[#This Row],[Country]]))</f>
        <v>9</v>
      </c>
      <c r="I755" s="64">
        <f>LEN(TRIM(Table22[[#This Row],[Continent]]))</f>
        <v>7</v>
      </c>
      <c r="J755" s="64">
        <f>LEN(TRIM(Table22[[#This Row],[Product]]))</f>
        <v>10</v>
      </c>
      <c r="K755" s="64">
        <f>LEN(TRIM(Table22[[#This Row],[Sales Team]]))</f>
        <v>10</v>
      </c>
      <c r="L755" s="23">
        <v>58</v>
      </c>
      <c r="M755" s="65" t="str" cm="1">
        <f t="array" ref="M755">_xlfn.IFS(Table22[[#This Row],[Units Sold]]&lt;40,"Critical",Table22[[#This Row],[Units Sold]]&lt;=50,"Poor",Table22[[#This Row],[Units Sold]]&lt;=60,"Low",Table22[[#This Row],[Units Sold]]&lt;=80,"Average",Table22[[#This Row],[Units Sold]]&lt;=90,"High",Table22[[#This Row],[Units Sold]]&lt;=95,"Excellent",Table22[[#This Row],[Units Sold]]&gt;95,"Outstanding")</f>
        <v>Low</v>
      </c>
      <c r="N755" s="29">
        <v>732.19</v>
      </c>
      <c r="O755" s="29">
        <v>42467.02</v>
      </c>
      <c r="P755" s="43">
        <f>IF(Table22[[#This Row],[Discount Applied]],Table22[[#This Row],[Total Sales (in USD)]]*(1-Table22[[#This Row],[Discount Percentage (%)]]/100),Table22[[#This Row],[Total Sales (in USD)]])</f>
        <v>38092.916939999996</v>
      </c>
      <c r="Q755" s="66">
        <f>SQRT(AVERAGE((Table22[[#This Row],[Net Sales (after discount) (in USD)]]-AVERAGE(Table22[Net Sales (after discount) (in USD)]))^2))</f>
        <v>1581.5563762354577</v>
      </c>
      <c r="R755" s="18" t="b">
        <v>1</v>
      </c>
      <c r="S755" s="40">
        <v>10.3</v>
      </c>
      <c r="T755" s="18" t="b">
        <v>1</v>
      </c>
      <c r="U755" s="25">
        <v>45085</v>
      </c>
      <c r="V755" s="63" t="str">
        <f>IF(MONTH(Table22[[#This Row],[Sales Date]])&lt;=3,"Q1",IF(MONTH(Table22[[#This Row],[Sales Date]])&lt;=6,"Q2",IF(MONTH(Table22[[#This Row],[Sales Date]])&lt;=9,"Q3","Q4")))</f>
        <v>Q2</v>
      </c>
      <c r="W755" s="64">
        <f>YEAR(Table22[[#This Row],[Sales Date]])</f>
        <v>2023</v>
      </c>
      <c r="X755" s="23">
        <v>51</v>
      </c>
      <c r="Y755" s="18" t="s">
        <v>23</v>
      </c>
      <c r="Z755" s="18" t="s">
        <v>42</v>
      </c>
      <c r="AA755" s="19" t="s">
        <v>25</v>
      </c>
    </row>
    <row r="756" spans="1:27" x14ac:dyDescent="0.25">
      <c r="A756" s="17" t="s">
        <v>1281</v>
      </c>
      <c r="B756" s="18" t="s">
        <v>32</v>
      </c>
      <c r="C756" s="63" t="str" cm="1">
        <f t="array" ref="C756">_xlfn.SWITCH(Table22[[#This Row],[Country]],"USA","North America","Canada","North America","Brazil","South America","China","Asia","Japan","Asia","India","Asia","France","Europe","Germany","Europe","UK","Europe","Australia","Oceania","South America")</f>
        <v>Asia</v>
      </c>
      <c r="D756" s="18" t="s">
        <v>44</v>
      </c>
      <c r="E756" s="18" t="s">
        <v>33</v>
      </c>
      <c r="F756" s="18" t="s">
        <v>34</v>
      </c>
      <c r="G756" s="18" t="s">
        <v>22</v>
      </c>
      <c r="H756" s="64">
        <f>LEN(TRIM(Table22[[#This Row],[Country]]))</f>
        <v>5</v>
      </c>
      <c r="I756" s="64">
        <f>LEN(TRIM(Table22[[#This Row],[Continent]]))</f>
        <v>4</v>
      </c>
      <c r="J756" s="64">
        <f>LEN(TRIM(Table22[[#This Row],[Product]]))</f>
        <v>10</v>
      </c>
      <c r="K756" s="64">
        <f>LEN(TRIM(Table22[[#This Row],[Sales Team]]))</f>
        <v>10</v>
      </c>
      <c r="L756" s="23">
        <v>53</v>
      </c>
      <c r="M756" s="65" t="str" cm="1">
        <f t="array" ref="M756">_xlfn.IFS(Table22[[#This Row],[Units Sold]]&lt;40,"Critical",Table22[[#This Row],[Units Sold]]&lt;=50,"Poor",Table22[[#This Row],[Units Sold]]&lt;=60,"Low",Table22[[#This Row],[Units Sold]]&lt;=80,"Average",Table22[[#This Row],[Units Sold]]&lt;=90,"High",Table22[[#This Row],[Units Sold]]&lt;=95,"Excellent",Table22[[#This Row],[Units Sold]]&gt;95,"Outstanding")</f>
        <v>Low</v>
      </c>
      <c r="N756" s="29">
        <v>800.28</v>
      </c>
      <c r="O756" s="29">
        <v>42414.84</v>
      </c>
      <c r="P756" s="43">
        <f>IF(Table22[[#This Row],[Discount Applied]],Table22[[#This Row],[Total Sales (in USD)]]*(1-Table22[[#This Row],[Discount Percentage (%)]]/100),Table22[[#This Row],[Total Sales (in USD)]])</f>
        <v>34313.605559999996</v>
      </c>
      <c r="Q756" s="66">
        <f>SQRT(AVERAGE((Table22[[#This Row],[Net Sales (after discount) (in USD)]]-AVERAGE(Table22[Net Sales (after discount) (in USD)]))^2))</f>
        <v>2197.7550037645415</v>
      </c>
      <c r="R756" s="18" t="b">
        <v>1</v>
      </c>
      <c r="S756" s="40">
        <v>19.100000000000001</v>
      </c>
      <c r="T756" s="18" t="b">
        <v>1</v>
      </c>
      <c r="U756" s="25">
        <v>44947</v>
      </c>
      <c r="V756" s="63" t="str">
        <f>IF(MONTH(Table22[[#This Row],[Sales Date]])&lt;=3,"Q1",IF(MONTH(Table22[[#This Row],[Sales Date]])&lt;=6,"Q2",IF(MONTH(Table22[[#This Row],[Sales Date]])&lt;=9,"Q3","Q4")))</f>
        <v>Q1</v>
      </c>
      <c r="W756" s="64">
        <f>YEAR(Table22[[#This Row],[Sales Date]])</f>
        <v>2023</v>
      </c>
      <c r="X756" s="23">
        <v>38</v>
      </c>
      <c r="Y756" s="18" t="s">
        <v>49</v>
      </c>
      <c r="Z756" s="18" t="s">
        <v>24</v>
      </c>
      <c r="AA756" s="19" t="s">
        <v>25</v>
      </c>
    </row>
    <row r="757" spans="1:27" x14ac:dyDescent="0.25">
      <c r="A757" s="17" t="s">
        <v>1528</v>
      </c>
      <c r="B757" s="18" t="s">
        <v>18</v>
      </c>
      <c r="C757" s="63" t="str" cm="1">
        <f t="array" ref="C757">_xlfn.SWITCH(Table22[[#This Row],[Country]],"USA","North America","Canada","North America","Brazil","South America","China","Asia","Japan","Asia","India","Asia","France","Europe","Germany","Europe","UK","Europe","Australia","Oceania","South America")</f>
        <v>Asia</v>
      </c>
      <c r="D757" s="18" t="s">
        <v>44</v>
      </c>
      <c r="E757" s="18" t="s">
        <v>19</v>
      </c>
      <c r="F757" s="18" t="s">
        <v>20</v>
      </c>
      <c r="G757" s="18" t="s">
        <v>22</v>
      </c>
      <c r="H757" s="64">
        <f>LEN(TRIM(Table22[[#This Row],[Country]]))</f>
        <v>5</v>
      </c>
      <c r="I757" s="64">
        <f>LEN(TRIM(Table22[[#This Row],[Continent]]))</f>
        <v>4</v>
      </c>
      <c r="J757" s="64">
        <f>LEN(TRIM(Table22[[#This Row],[Product]]))</f>
        <v>6</v>
      </c>
      <c r="K757" s="64">
        <f>LEN(TRIM(Table22[[#This Row],[Sales Team]]))</f>
        <v>10</v>
      </c>
      <c r="L757" s="23">
        <v>61</v>
      </c>
      <c r="M757" s="65" t="str" cm="1">
        <f t="array" ref="M757">_xlfn.IFS(Table22[[#This Row],[Units Sold]]&lt;40,"Critical",Table22[[#This Row],[Units Sold]]&lt;=50,"Poor",Table22[[#This Row],[Units Sold]]&lt;=60,"Low",Table22[[#This Row],[Units Sold]]&lt;=80,"Average",Table22[[#This Row],[Units Sold]]&lt;=90,"High",Table22[[#This Row],[Units Sold]]&lt;=95,"Excellent",Table22[[#This Row],[Units Sold]]&gt;95,"Outstanding")</f>
        <v>Average</v>
      </c>
      <c r="N757" s="29">
        <v>694.97</v>
      </c>
      <c r="O757" s="29">
        <v>42393.17</v>
      </c>
      <c r="P757" s="43">
        <f>IF(Table22[[#This Row],[Discount Applied]],Table22[[#This Row],[Total Sales (in USD)]]*(1-Table22[[#This Row],[Discount Percentage (%)]]/100),Table22[[#This Row],[Total Sales (in USD)]])</f>
        <v>42393.17</v>
      </c>
      <c r="Q757" s="66">
        <f>SQRT(AVERAGE((Table22[[#This Row],[Net Sales (after discount) (in USD)]]-AVERAGE(Table22[Net Sales (after discount) (in USD)]))^2))</f>
        <v>5881.8094362354605</v>
      </c>
      <c r="R757" s="18" t="b">
        <v>1</v>
      </c>
      <c r="S757" s="40">
        <v>18.239999999999998</v>
      </c>
      <c r="T757" s="18" t="b">
        <v>0</v>
      </c>
      <c r="U757" s="25">
        <v>45256</v>
      </c>
      <c r="V757" s="63" t="str">
        <f>IF(MONTH(Table22[[#This Row],[Sales Date]])&lt;=3,"Q1",IF(MONTH(Table22[[#This Row],[Sales Date]])&lt;=6,"Q2",IF(MONTH(Table22[[#This Row],[Sales Date]])&lt;=9,"Q3","Q4")))</f>
        <v>Q4</v>
      </c>
      <c r="W757" s="64">
        <f>YEAR(Table22[[#This Row],[Sales Date]])</f>
        <v>2023</v>
      </c>
      <c r="X757" s="23">
        <v>24</v>
      </c>
      <c r="Y757" s="18" t="s">
        <v>49</v>
      </c>
      <c r="Z757" s="18" t="s">
        <v>56</v>
      </c>
      <c r="AA757" s="19" t="s">
        <v>25</v>
      </c>
    </row>
    <row r="758" spans="1:27" x14ac:dyDescent="0.25">
      <c r="A758" s="17" t="s">
        <v>1369</v>
      </c>
      <c r="B758" s="18" t="s">
        <v>66</v>
      </c>
      <c r="C758" s="63" t="str" cm="1">
        <f t="array" ref="C758">_xlfn.SWITCH(Table22[[#This Row],[Country]],"USA","North America","Canada","North America","Brazil","South America","China","Asia","Japan","Asia","India","Asia","France","Europe","Germany","Europe","UK","Europe","Australia","Oceania","South America")</f>
        <v>North America</v>
      </c>
      <c r="D758" s="18" t="s">
        <v>44</v>
      </c>
      <c r="E758" s="18" t="s">
        <v>19</v>
      </c>
      <c r="F758" s="18" t="s">
        <v>34</v>
      </c>
      <c r="G758" s="18" t="s">
        <v>22</v>
      </c>
      <c r="H758" s="64">
        <f>LEN(TRIM(Table22[[#This Row],[Country]]))</f>
        <v>6</v>
      </c>
      <c r="I758" s="64">
        <f>LEN(TRIM(Table22[[#This Row],[Continent]]))</f>
        <v>13</v>
      </c>
      <c r="J758" s="64">
        <f>LEN(TRIM(Table22[[#This Row],[Product]]))</f>
        <v>6</v>
      </c>
      <c r="K758" s="64">
        <f>LEN(TRIM(Table22[[#This Row],[Sales Team]]))</f>
        <v>10</v>
      </c>
      <c r="L758" s="23">
        <v>47</v>
      </c>
      <c r="M758" s="65" t="str" cm="1">
        <f t="array" ref="M758">_xlfn.IFS(Table22[[#This Row],[Units Sold]]&lt;40,"Critical",Table22[[#This Row],[Units Sold]]&lt;=50,"Poor",Table22[[#This Row],[Units Sold]]&lt;=60,"Low",Table22[[#This Row],[Units Sold]]&lt;=80,"Average",Table22[[#This Row],[Units Sold]]&lt;=90,"High",Table22[[#This Row],[Units Sold]]&lt;=95,"Excellent",Table22[[#This Row],[Units Sold]]&gt;95,"Outstanding")</f>
        <v>Poor</v>
      </c>
      <c r="N758" s="29">
        <v>900.76</v>
      </c>
      <c r="O758" s="29">
        <v>42335.72</v>
      </c>
      <c r="P758" s="43">
        <f>IF(Table22[[#This Row],[Discount Applied]],Table22[[#This Row],[Total Sales (in USD)]]*(1-Table22[[#This Row],[Discount Percentage (%)]]/100),Table22[[#This Row],[Total Sales (in USD)]])</f>
        <v>42335.72</v>
      </c>
      <c r="Q758" s="66">
        <f>SQRT(AVERAGE((Table22[[#This Row],[Net Sales (after discount) (in USD)]]-AVERAGE(Table22[Net Sales (after discount) (in USD)]))^2))</f>
        <v>5824.3594362354634</v>
      </c>
      <c r="R758" s="18" t="b">
        <v>0</v>
      </c>
      <c r="S758" s="40">
        <v>10.84</v>
      </c>
      <c r="T758" s="18" t="b">
        <v>0</v>
      </c>
      <c r="U758" s="25">
        <v>45187</v>
      </c>
      <c r="V758" s="63" t="str">
        <f>IF(MONTH(Table22[[#This Row],[Sales Date]])&lt;=3,"Q1",IF(MONTH(Table22[[#This Row],[Sales Date]])&lt;=6,"Q2",IF(MONTH(Table22[[#This Row],[Sales Date]])&lt;=9,"Q3","Q4")))</f>
        <v>Q3</v>
      </c>
      <c r="W758" s="64">
        <f>YEAR(Table22[[#This Row],[Sales Date]])</f>
        <v>2023</v>
      </c>
      <c r="X758" s="23">
        <v>68</v>
      </c>
      <c r="Y758" s="18" t="s">
        <v>23</v>
      </c>
      <c r="Z758" s="18" t="s">
        <v>56</v>
      </c>
      <c r="AA758" s="19" t="s">
        <v>36</v>
      </c>
    </row>
    <row r="759" spans="1:27" x14ac:dyDescent="0.25">
      <c r="A759" s="17" t="s">
        <v>423</v>
      </c>
      <c r="B759" s="18" t="s">
        <v>62</v>
      </c>
      <c r="C759" s="63" t="str" cm="1">
        <f t="array" ref="C759">_xlfn.SWITCH(Table22[[#This Row],[Country]],"USA","North America","Canada","North America","Brazil","South America","China","Asia","Japan","Asia","India","Asia","France","Europe","Germany","Europe","UK","Europe","Australia","Oceania","South America")</f>
        <v>Oceania</v>
      </c>
      <c r="D759" s="18" t="s">
        <v>21</v>
      </c>
      <c r="E759" s="18" t="s">
        <v>19</v>
      </c>
      <c r="F759" s="18" t="s">
        <v>47</v>
      </c>
      <c r="G759" s="18" t="s">
        <v>48</v>
      </c>
      <c r="H759" s="64">
        <f>LEN(TRIM(Table22[[#This Row],[Country]]))</f>
        <v>9</v>
      </c>
      <c r="I759" s="64">
        <f>LEN(TRIM(Table22[[#This Row],[Continent]]))</f>
        <v>7</v>
      </c>
      <c r="J759" s="64">
        <f>LEN(TRIM(Table22[[#This Row],[Product]]))</f>
        <v>6</v>
      </c>
      <c r="K759" s="64">
        <f>LEN(TRIM(Table22[[#This Row],[Sales Team]]))</f>
        <v>9</v>
      </c>
      <c r="L759" s="23">
        <v>80</v>
      </c>
      <c r="M759" s="65" t="str" cm="1">
        <f t="array" ref="M759">_xlfn.IFS(Table22[[#This Row],[Units Sold]]&lt;40,"Critical",Table22[[#This Row],[Units Sold]]&lt;=50,"Poor",Table22[[#This Row],[Units Sold]]&lt;=60,"Low",Table22[[#This Row],[Units Sold]]&lt;=80,"Average",Table22[[#This Row],[Units Sold]]&lt;=90,"High",Table22[[#This Row],[Units Sold]]&lt;=95,"Excellent",Table22[[#This Row],[Units Sold]]&gt;95,"Outstanding")</f>
        <v>Average</v>
      </c>
      <c r="N759" s="29">
        <v>528.95000000000005</v>
      </c>
      <c r="O759" s="29">
        <v>42316</v>
      </c>
      <c r="P759" s="43">
        <f>IF(Table22[[#This Row],[Discount Applied]],Table22[[#This Row],[Total Sales (in USD)]]*(1-Table22[[#This Row],[Discount Percentage (%)]]/100),Table22[[#This Row],[Total Sales (in USD)]])</f>
        <v>36802.225200000001</v>
      </c>
      <c r="Q759" s="66">
        <f>SQRT(AVERAGE((Table22[[#This Row],[Net Sales (after discount) (in USD)]]-AVERAGE(Table22[Net Sales (after discount) (in USD)]))^2))</f>
        <v>290.86463623546297</v>
      </c>
      <c r="R759" s="18" t="b">
        <v>1</v>
      </c>
      <c r="S759" s="40">
        <v>13.03</v>
      </c>
      <c r="T759" s="18" t="b">
        <v>1</v>
      </c>
      <c r="U759" s="25">
        <v>45148</v>
      </c>
      <c r="V759" s="63" t="str">
        <f>IF(MONTH(Table22[[#This Row],[Sales Date]])&lt;=3,"Q1",IF(MONTH(Table22[[#This Row],[Sales Date]])&lt;=6,"Q2",IF(MONTH(Table22[[#This Row],[Sales Date]])&lt;=9,"Q3","Q4")))</f>
        <v>Q3</v>
      </c>
      <c r="W759" s="64">
        <f>YEAR(Table22[[#This Row],[Sales Date]])</f>
        <v>2023</v>
      </c>
      <c r="X759" s="23">
        <v>26</v>
      </c>
      <c r="Y759" s="18" t="s">
        <v>49</v>
      </c>
      <c r="Z759" s="18" t="s">
        <v>24</v>
      </c>
      <c r="AA759" s="19" t="s">
        <v>25</v>
      </c>
    </row>
    <row r="760" spans="1:27" x14ac:dyDescent="0.25">
      <c r="A760" s="17" t="s">
        <v>539</v>
      </c>
      <c r="B760" s="18" t="s">
        <v>51</v>
      </c>
      <c r="C760" s="63" t="str" cm="1">
        <f t="array" ref="C760">_xlfn.SWITCH(Table22[[#This Row],[Country]],"USA","North America","Canada","North America","Brazil","South America","China","Asia","Japan","Asia","India","Asia","France","Europe","Germany","Europe","UK","Europe","Australia","Oceania","South America")</f>
        <v>Europe</v>
      </c>
      <c r="D760" s="18" t="s">
        <v>44</v>
      </c>
      <c r="E760" s="18" t="s">
        <v>19</v>
      </c>
      <c r="F760" s="18" t="s">
        <v>20</v>
      </c>
      <c r="G760" s="18" t="s">
        <v>48</v>
      </c>
      <c r="H760" s="64">
        <f>LEN(TRIM(Table22[[#This Row],[Country]]))</f>
        <v>2</v>
      </c>
      <c r="I760" s="64">
        <f>LEN(TRIM(Table22[[#This Row],[Continent]]))</f>
        <v>6</v>
      </c>
      <c r="J760" s="64">
        <f>LEN(TRIM(Table22[[#This Row],[Product]]))</f>
        <v>6</v>
      </c>
      <c r="K760" s="64">
        <f>LEN(TRIM(Table22[[#This Row],[Sales Team]]))</f>
        <v>9</v>
      </c>
      <c r="L760" s="23">
        <v>47</v>
      </c>
      <c r="M760" s="65" t="str" cm="1">
        <f t="array" ref="M760">_xlfn.IFS(Table22[[#This Row],[Units Sold]]&lt;40,"Critical",Table22[[#This Row],[Units Sold]]&lt;=50,"Poor",Table22[[#This Row],[Units Sold]]&lt;=60,"Low",Table22[[#This Row],[Units Sold]]&lt;=80,"Average",Table22[[#This Row],[Units Sold]]&lt;=90,"High",Table22[[#This Row],[Units Sold]]&lt;=95,"Excellent",Table22[[#This Row],[Units Sold]]&gt;95,"Outstanding")</f>
        <v>Poor</v>
      </c>
      <c r="N760" s="29">
        <v>900</v>
      </c>
      <c r="O760" s="29">
        <v>42300</v>
      </c>
      <c r="P760" s="43">
        <f>IF(Table22[[#This Row],[Discount Applied]],Table22[[#This Row],[Total Sales (in USD)]]*(1-Table22[[#This Row],[Discount Percentage (%)]]/100),Table22[[#This Row],[Total Sales (in USD)]])</f>
        <v>42300</v>
      </c>
      <c r="Q760" s="66">
        <f>SQRT(AVERAGE((Table22[[#This Row],[Net Sales (after discount) (in USD)]]-AVERAGE(Table22[Net Sales (after discount) (in USD)]))^2))</f>
        <v>5788.6394362354622</v>
      </c>
      <c r="R760" s="18" t="b">
        <v>0</v>
      </c>
      <c r="S760" s="40">
        <v>2.75</v>
      </c>
      <c r="T760" s="18" t="b">
        <v>0</v>
      </c>
      <c r="U760" s="25">
        <v>45379</v>
      </c>
      <c r="V760" s="63" t="str">
        <f>IF(MONTH(Table22[[#This Row],[Sales Date]])&lt;=3,"Q1",IF(MONTH(Table22[[#This Row],[Sales Date]])&lt;=6,"Q2",IF(MONTH(Table22[[#This Row],[Sales Date]])&lt;=9,"Q3","Q4")))</f>
        <v>Q1</v>
      </c>
      <c r="W760" s="64">
        <f>YEAR(Table22[[#This Row],[Sales Date]])</f>
        <v>2024</v>
      </c>
      <c r="X760" s="23">
        <v>42</v>
      </c>
      <c r="Y760" s="18" t="s">
        <v>23</v>
      </c>
      <c r="Z760" s="18" t="s">
        <v>24</v>
      </c>
      <c r="AA760" s="19" t="s">
        <v>36</v>
      </c>
    </row>
    <row r="761" spans="1:27" x14ac:dyDescent="0.25">
      <c r="A761" s="17" t="s">
        <v>1704</v>
      </c>
      <c r="B761" s="18" t="s">
        <v>51</v>
      </c>
      <c r="C761" s="63" t="str" cm="1">
        <f t="array" ref="C761">_xlfn.SWITCH(Table22[[#This Row],[Country]],"USA","North America","Canada","North America","Brazil","South America","China","Asia","Japan","Asia","India","Asia","France","Europe","Germany","Europe","UK","Europe","Australia","Oceania","South America")</f>
        <v>Europe</v>
      </c>
      <c r="D761" s="18" t="s">
        <v>35</v>
      </c>
      <c r="E761" s="18" t="s">
        <v>19</v>
      </c>
      <c r="F761" s="18" t="s">
        <v>34</v>
      </c>
      <c r="G761" s="18" t="s">
        <v>48</v>
      </c>
      <c r="H761" s="64">
        <f>LEN(TRIM(Table22[[#This Row],[Country]]))</f>
        <v>2</v>
      </c>
      <c r="I761" s="64">
        <f>LEN(TRIM(Table22[[#This Row],[Continent]]))</f>
        <v>6</v>
      </c>
      <c r="J761" s="64">
        <f>LEN(TRIM(Table22[[#This Row],[Product]]))</f>
        <v>6</v>
      </c>
      <c r="K761" s="64">
        <f>LEN(TRIM(Table22[[#This Row],[Sales Team]]))</f>
        <v>9</v>
      </c>
      <c r="L761" s="23">
        <v>83</v>
      </c>
      <c r="M761" s="65" t="str" cm="1">
        <f t="array" ref="M761">_xlfn.IFS(Table22[[#This Row],[Units Sold]]&lt;40,"Critical",Table22[[#This Row],[Units Sold]]&lt;=50,"Poor",Table22[[#This Row],[Units Sold]]&lt;=60,"Low",Table22[[#This Row],[Units Sold]]&lt;=80,"Average",Table22[[#This Row],[Units Sold]]&lt;=90,"High",Table22[[#This Row],[Units Sold]]&lt;=95,"Excellent",Table22[[#This Row],[Units Sold]]&gt;95,"Outstanding")</f>
        <v>High</v>
      </c>
      <c r="N761" s="29">
        <v>509.43</v>
      </c>
      <c r="O761" s="29">
        <v>42282.69</v>
      </c>
      <c r="P761" s="43">
        <f>IF(Table22[[#This Row],[Discount Applied]],Table22[[#This Row],[Total Sales (in USD)]]*(1-Table22[[#This Row],[Discount Percentage (%)]]/100),Table22[[#This Row],[Total Sales (in USD)]])</f>
        <v>34350.457355999999</v>
      </c>
      <c r="Q761" s="66">
        <f>SQRT(AVERAGE((Table22[[#This Row],[Net Sales (after discount) (in USD)]]-AVERAGE(Table22[Net Sales (after discount) (in USD)]))^2))</f>
        <v>2160.9032077645388</v>
      </c>
      <c r="R761" s="18" t="b">
        <v>0</v>
      </c>
      <c r="S761" s="40">
        <v>18.760000000000002</v>
      </c>
      <c r="T761" s="18" t="b">
        <v>1</v>
      </c>
      <c r="U761" s="25">
        <v>45262</v>
      </c>
      <c r="V761" s="63" t="str">
        <f>IF(MONTH(Table22[[#This Row],[Sales Date]])&lt;=3,"Q1",IF(MONTH(Table22[[#This Row],[Sales Date]])&lt;=6,"Q2",IF(MONTH(Table22[[#This Row],[Sales Date]])&lt;=9,"Q3","Q4")))</f>
        <v>Q4</v>
      </c>
      <c r="W761" s="64">
        <f>YEAR(Table22[[#This Row],[Sales Date]])</f>
        <v>2023</v>
      </c>
      <c r="X761" s="23">
        <v>45</v>
      </c>
      <c r="Y761" s="18" t="s">
        <v>23</v>
      </c>
      <c r="Z761" s="18" t="s">
        <v>56</v>
      </c>
      <c r="AA761" s="19" t="s">
        <v>36</v>
      </c>
    </row>
    <row r="762" spans="1:27" x14ac:dyDescent="0.25">
      <c r="A762" s="17" t="s">
        <v>268</v>
      </c>
      <c r="B762" s="18" t="s">
        <v>32</v>
      </c>
      <c r="C762" s="63" t="str" cm="1">
        <f t="array" ref="C762">_xlfn.SWITCH(Table22[[#This Row],[Country]],"USA","North America","Canada","North America","Brazil","South America","China","Asia","Japan","Asia","India","Asia","France","Europe","Germany","Europe","UK","Europe","Australia","Oceania","South America")</f>
        <v>Asia</v>
      </c>
      <c r="D762" s="18" t="s">
        <v>44</v>
      </c>
      <c r="E762" s="18" t="s">
        <v>33</v>
      </c>
      <c r="F762" s="18" t="s">
        <v>52</v>
      </c>
      <c r="G762" s="18" t="s">
        <v>22</v>
      </c>
      <c r="H762" s="64">
        <f>LEN(TRIM(Table22[[#This Row],[Country]]))</f>
        <v>5</v>
      </c>
      <c r="I762" s="64">
        <f>LEN(TRIM(Table22[[#This Row],[Continent]]))</f>
        <v>4</v>
      </c>
      <c r="J762" s="64">
        <f>LEN(TRIM(Table22[[#This Row],[Product]]))</f>
        <v>10</v>
      </c>
      <c r="K762" s="64">
        <f>LEN(TRIM(Table22[[#This Row],[Sales Team]]))</f>
        <v>10</v>
      </c>
      <c r="L762" s="23">
        <v>32</v>
      </c>
      <c r="M762" s="65" t="str" cm="1">
        <f t="array" ref="M762">_xlfn.IFS(Table22[[#This Row],[Units Sold]]&lt;40,"Critical",Table22[[#This Row],[Units Sold]]&lt;=50,"Poor",Table22[[#This Row],[Units Sold]]&lt;=60,"Low",Table22[[#This Row],[Units Sold]]&lt;=80,"Average",Table22[[#This Row],[Units Sold]]&lt;=90,"High",Table22[[#This Row],[Units Sold]]&lt;=95,"Excellent",Table22[[#This Row],[Units Sold]]&gt;95,"Outstanding")</f>
        <v>Critical</v>
      </c>
      <c r="N762" s="29">
        <v>1317.9</v>
      </c>
      <c r="O762" s="29">
        <v>42172.800000000003</v>
      </c>
      <c r="P762" s="43">
        <f>IF(Table22[[#This Row],[Discount Applied]],Table22[[#This Row],[Total Sales (in USD)]]*(1-Table22[[#This Row],[Discount Percentage (%)]]/100),Table22[[#This Row],[Total Sales (in USD)]])</f>
        <v>37449.446400000001</v>
      </c>
      <c r="Q762" s="66">
        <f>SQRT(AVERAGE((Table22[[#This Row],[Net Sales (after discount) (in USD)]]-AVERAGE(Table22[Net Sales (after discount) (in USD)]))^2))</f>
        <v>938.08583623546292</v>
      </c>
      <c r="R762" s="18" t="b">
        <v>0</v>
      </c>
      <c r="S762" s="40">
        <v>11.2</v>
      </c>
      <c r="T762" s="18" t="b">
        <v>1</v>
      </c>
      <c r="U762" s="25">
        <v>45047</v>
      </c>
      <c r="V762" s="63" t="str">
        <f>IF(MONTH(Table22[[#This Row],[Sales Date]])&lt;=3,"Q1",IF(MONTH(Table22[[#This Row],[Sales Date]])&lt;=6,"Q2",IF(MONTH(Table22[[#This Row],[Sales Date]])&lt;=9,"Q3","Q4")))</f>
        <v>Q2</v>
      </c>
      <c r="W762" s="64">
        <f>YEAR(Table22[[#This Row],[Sales Date]])</f>
        <v>2023</v>
      </c>
      <c r="X762" s="23">
        <v>56</v>
      </c>
      <c r="Y762" s="18" t="s">
        <v>49</v>
      </c>
      <c r="Z762" s="18" t="s">
        <v>56</v>
      </c>
      <c r="AA762" s="19" t="s">
        <v>25</v>
      </c>
    </row>
    <row r="763" spans="1:27" x14ac:dyDescent="0.25">
      <c r="A763" s="17" t="s">
        <v>1597</v>
      </c>
      <c r="B763" s="18" t="s">
        <v>62</v>
      </c>
      <c r="C763" s="63" t="str" cm="1">
        <f t="array" ref="C763">_xlfn.SWITCH(Table22[[#This Row],[Country]],"USA","North America","Canada","North America","Brazil","South America","China","Asia","Japan","Asia","India","Asia","France","Europe","Germany","Europe","UK","Europe","Australia","Oceania","South America")</f>
        <v>Oceania</v>
      </c>
      <c r="D763" s="18" t="s">
        <v>35</v>
      </c>
      <c r="E763" s="18" t="s">
        <v>39</v>
      </c>
      <c r="F763" s="18" t="s">
        <v>64</v>
      </c>
      <c r="G763" s="18" t="s">
        <v>22</v>
      </c>
      <c r="H763" s="64">
        <f>LEN(TRIM(Table22[[#This Row],[Country]]))</f>
        <v>9</v>
      </c>
      <c r="I763" s="64">
        <f>LEN(TRIM(Table22[[#This Row],[Continent]]))</f>
        <v>7</v>
      </c>
      <c r="J763" s="64">
        <f>LEN(TRIM(Table22[[#This Row],[Product]]))</f>
        <v>10</v>
      </c>
      <c r="K763" s="64">
        <f>LEN(TRIM(Table22[[#This Row],[Sales Team]]))</f>
        <v>10</v>
      </c>
      <c r="L763" s="23">
        <v>39</v>
      </c>
      <c r="M763" s="65" t="str" cm="1">
        <f t="array" ref="M763">_xlfn.IFS(Table22[[#This Row],[Units Sold]]&lt;40,"Critical",Table22[[#This Row],[Units Sold]]&lt;=50,"Poor",Table22[[#This Row],[Units Sold]]&lt;=60,"Low",Table22[[#This Row],[Units Sold]]&lt;=80,"Average",Table22[[#This Row],[Units Sold]]&lt;=90,"High",Table22[[#This Row],[Units Sold]]&lt;=95,"Excellent",Table22[[#This Row],[Units Sold]]&gt;95,"Outstanding")</f>
        <v>Critical</v>
      </c>
      <c r="N763" s="29">
        <v>1078.48</v>
      </c>
      <c r="O763" s="29">
        <v>42060.72</v>
      </c>
      <c r="P763" s="43">
        <f>IF(Table22[[#This Row],[Discount Applied]],Table22[[#This Row],[Total Sales (in USD)]]*(1-Table22[[#This Row],[Discount Percentage (%)]]/100),Table22[[#This Row],[Total Sales (in USD)]])</f>
        <v>32916.719471999997</v>
      </c>
      <c r="Q763" s="66">
        <f>SQRT(AVERAGE((Table22[[#This Row],[Net Sales (after discount) (in USD)]]-AVERAGE(Table22[Net Sales (after discount) (in USD)]))^2))</f>
        <v>3594.6410917645408</v>
      </c>
      <c r="R763" s="18" t="b">
        <v>0</v>
      </c>
      <c r="S763" s="40">
        <v>21.74</v>
      </c>
      <c r="T763" s="18" t="b">
        <v>1</v>
      </c>
      <c r="U763" s="25">
        <v>45267</v>
      </c>
      <c r="V763" s="63" t="str">
        <f>IF(MONTH(Table22[[#This Row],[Sales Date]])&lt;=3,"Q1",IF(MONTH(Table22[[#This Row],[Sales Date]])&lt;=6,"Q2",IF(MONTH(Table22[[#This Row],[Sales Date]])&lt;=9,"Q3","Q4")))</f>
        <v>Q4</v>
      </c>
      <c r="W763" s="64">
        <f>YEAR(Table22[[#This Row],[Sales Date]])</f>
        <v>2023</v>
      </c>
      <c r="X763" s="23">
        <v>32</v>
      </c>
      <c r="Y763" s="18" t="s">
        <v>23</v>
      </c>
      <c r="Z763" s="18" t="s">
        <v>24</v>
      </c>
      <c r="AA763" s="19" t="s">
        <v>25</v>
      </c>
    </row>
    <row r="764" spans="1:27" x14ac:dyDescent="0.25">
      <c r="A764" s="17" t="s">
        <v>1062</v>
      </c>
      <c r="B764" s="18" t="s">
        <v>46</v>
      </c>
      <c r="C764" s="63" t="str" cm="1">
        <f t="array" ref="C764">_xlfn.SWITCH(Table22[[#This Row],[Country]],"USA","North America","Canada","North America","Brazil","South America","China","Asia","Japan","Asia","India","Asia","France","Europe","Germany","Europe","UK","Europe","Australia","Oceania","South America")</f>
        <v>South America</v>
      </c>
      <c r="D764" s="18" t="s">
        <v>28</v>
      </c>
      <c r="E764" s="18" t="s">
        <v>19</v>
      </c>
      <c r="F764" s="18" t="s">
        <v>64</v>
      </c>
      <c r="G764" s="18" t="s">
        <v>22</v>
      </c>
      <c r="H764" s="64">
        <f>LEN(TRIM(Table22[[#This Row],[Country]]))</f>
        <v>6</v>
      </c>
      <c r="I764" s="64">
        <f>LEN(TRIM(Table22[[#This Row],[Continent]]))</f>
        <v>13</v>
      </c>
      <c r="J764" s="64">
        <f>LEN(TRIM(Table22[[#This Row],[Product]]))</f>
        <v>6</v>
      </c>
      <c r="K764" s="64">
        <f>LEN(TRIM(Table22[[#This Row],[Sales Team]]))</f>
        <v>10</v>
      </c>
      <c r="L764" s="23">
        <v>51</v>
      </c>
      <c r="M764" s="65" t="str" cm="1">
        <f t="array" ref="M764">_xlfn.IFS(Table22[[#This Row],[Units Sold]]&lt;40,"Critical",Table22[[#This Row],[Units Sold]]&lt;=50,"Poor",Table22[[#This Row],[Units Sold]]&lt;=60,"Low",Table22[[#This Row],[Units Sold]]&lt;=80,"Average",Table22[[#This Row],[Units Sold]]&lt;=90,"High",Table22[[#This Row],[Units Sold]]&lt;=95,"Excellent",Table22[[#This Row],[Units Sold]]&gt;95,"Outstanding")</f>
        <v>Low</v>
      </c>
      <c r="N764" s="29">
        <v>824.66</v>
      </c>
      <c r="O764" s="29">
        <v>42057.66</v>
      </c>
      <c r="P764" s="43">
        <f>IF(Table22[[#This Row],[Discount Applied]],Table22[[#This Row],[Total Sales (in USD)]]*(1-Table22[[#This Row],[Discount Percentage (%)]]/100),Table22[[#This Row],[Total Sales (in USD)]])</f>
        <v>42057.66</v>
      </c>
      <c r="Q764" s="66">
        <f>SQRT(AVERAGE((Table22[[#This Row],[Net Sales (after discount) (in USD)]]-AVERAGE(Table22[Net Sales (after discount) (in USD)]))^2))</f>
        <v>5546.2994362354657</v>
      </c>
      <c r="R764" s="18" t="b">
        <v>1</v>
      </c>
      <c r="S764" s="40">
        <v>0.73</v>
      </c>
      <c r="T764" s="18" t="b">
        <v>0</v>
      </c>
      <c r="U764" s="25">
        <v>45277</v>
      </c>
      <c r="V764" s="63" t="str">
        <f>IF(MONTH(Table22[[#This Row],[Sales Date]])&lt;=3,"Q1",IF(MONTH(Table22[[#This Row],[Sales Date]])&lt;=6,"Q2",IF(MONTH(Table22[[#This Row],[Sales Date]])&lt;=9,"Q3","Q4")))</f>
        <v>Q4</v>
      </c>
      <c r="W764" s="64">
        <f>YEAR(Table22[[#This Row],[Sales Date]])</f>
        <v>2023</v>
      </c>
      <c r="X764" s="23">
        <v>32</v>
      </c>
      <c r="Y764" s="18" t="s">
        <v>41</v>
      </c>
      <c r="Z764" s="18" t="s">
        <v>56</v>
      </c>
      <c r="AA764" s="19" t="s">
        <v>25</v>
      </c>
    </row>
    <row r="765" spans="1:27" x14ac:dyDescent="0.25">
      <c r="A765" s="17" t="s">
        <v>1193</v>
      </c>
      <c r="B765" s="18" t="s">
        <v>18</v>
      </c>
      <c r="C765" s="63" t="str" cm="1">
        <f t="array" ref="C765">_xlfn.SWITCH(Table22[[#This Row],[Country]],"USA","North America","Canada","North America","Brazil","South America","China","Asia","Japan","Asia","India","Asia","France","Europe","Germany","Europe","UK","Europe","Australia","Oceania","South America")</f>
        <v>Asia</v>
      </c>
      <c r="D765" s="18" t="s">
        <v>21</v>
      </c>
      <c r="E765" s="18" t="s">
        <v>19</v>
      </c>
      <c r="F765" s="18" t="s">
        <v>52</v>
      </c>
      <c r="G765" s="18" t="s">
        <v>22</v>
      </c>
      <c r="H765" s="64">
        <f>LEN(TRIM(Table22[[#This Row],[Country]]))</f>
        <v>5</v>
      </c>
      <c r="I765" s="64">
        <f>LEN(TRIM(Table22[[#This Row],[Continent]]))</f>
        <v>4</v>
      </c>
      <c r="J765" s="64">
        <f>LEN(TRIM(Table22[[#This Row],[Product]]))</f>
        <v>6</v>
      </c>
      <c r="K765" s="64">
        <f>LEN(TRIM(Table22[[#This Row],[Sales Team]]))</f>
        <v>10</v>
      </c>
      <c r="L765" s="23">
        <v>77</v>
      </c>
      <c r="M765" s="65" t="str" cm="1">
        <f t="array" ref="M765">_xlfn.IFS(Table22[[#This Row],[Units Sold]]&lt;40,"Critical",Table22[[#This Row],[Units Sold]]&lt;=50,"Poor",Table22[[#This Row],[Units Sold]]&lt;=60,"Low",Table22[[#This Row],[Units Sold]]&lt;=80,"Average",Table22[[#This Row],[Units Sold]]&lt;=90,"High",Table22[[#This Row],[Units Sold]]&lt;=95,"Excellent",Table22[[#This Row],[Units Sold]]&gt;95,"Outstanding")</f>
        <v>Average</v>
      </c>
      <c r="N765" s="29">
        <v>544.28</v>
      </c>
      <c r="O765" s="29">
        <v>41909.56</v>
      </c>
      <c r="P765" s="43">
        <f>IF(Table22[[#This Row],[Discount Applied]],Table22[[#This Row],[Total Sales (in USD)]]*(1-Table22[[#This Row],[Discount Percentage (%)]]/100),Table22[[#This Row],[Total Sales (in USD)]])</f>
        <v>36696.010735999997</v>
      </c>
      <c r="Q765" s="66">
        <f>SQRT(AVERAGE((Table22[[#This Row],[Net Sales (after discount) (in USD)]]-AVERAGE(Table22[Net Sales (after discount) (in USD)]))^2))</f>
        <v>184.65017223545874</v>
      </c>
      <c r="R765" s="18" t="b">
        <v>0</v>
      </c>
      <c r="S765" s="40">
        <v>12.44</v>
      </c>
      <c r="T765" s="18" t="b">
        <v>1</v>
      </c>
      <c r="U765" s="25">
        <v>45494</v>
      </c>
      <c r="V765" s="63" t="str">
        <f>IF(MONTH(Table22[[#This Row],[Sales Date]])&lt;=3,"Q1",IF(MONTH(Table22[[#This Row],[Sales Date]])&lt;=6,"Q2",IF(MONTH(Table22[[#This Row],[Sales Date]])&lt;=9,"Q3","Q4")))</f>
        <v>Q3</v>
      </c>
      <c r="W765" s="64">
        <f>YEAR(Table22[[#This Row],[Sales Date]])</f>
        <v>2024</v>
      </c>
      <c r="X765" s="23">
        <v>55</v>
      </c>
      <c r="Y765" s="18" t="s">
        <v>41</v>
      </c>
      <c r="Z765" s="18" t="s">
        <v>56</v>
      </c>
      <c r="AA765" s="19" t="s">
        <v>25</v>
      </c>
    </row>
    <row r="766" spans="1:27" x14ac:dyDescent="0.25">
      <c r="A766" s="17" t="s">
        <v>2041</v>
      </c>
      <c r="B766" s="18" t="s">
        <v>18</v>
      </c>
      <c r="C766" s="63" t="str" cm="1">
        <f t="array" ref="C766">_xlfn.SWITCH(Table22[[#This Row],[Country]],"USA","North America","Canada","North America","Brazil","South America","China","Asia","Japan","Asia","India","Asia","France","Europe","Germany","Europe","UK","Europe","Australia","Oceania","South America")</f>
        <v>Asia</v>
      </c>
      <c r="D766" s="18" t="s">
        <v>21</v>
      </c>
      <c r="E766" s="18" t="s">
        <v>39</v>
      </c>
      <c r="F766" s="18" t="s">
        <v>64</v>
      </c>
      <c r="G766" s="18" t="s">
        <v>48</v>
      </c>
      <c r="H766" s="64">
        <f>LEN(TRIM(Table22[[#This Row],[Country]]))</f>
        <v>5</v>
      </c>
      <c r="I766" s="64">
        <f>LEN(TRIM(Table22[[#This Row],[Continent]]))</f>
        <v>4</v>
      </c>
      <c r="J766" s="64">
        <f>LEN(TRIM(Table22[[#This Row],[Product]]))</f>
        <v>10</v>
      </c>
      <c r="K766" s="64">
        <f>LEN(TRIM(Table22[[#This Row],[Sales Team]]))</f>
        <v>9</v>
      </c>
      <c r="L766" s="23">
        <v>99</v>
      </c>
      <c r="M766" s="65" t="str" cm="1">
        <f t="array" ref="M766">_xlfn.IFS(Table22[[#This Row],[Units Sold]]&lt;40,"Critical",Table22[[#This Row],[Units Sold]]&lt;=50,"Poor",Table22[[#This Row],[Units Sold]]&lt;=60,"Low",Table22[[#This Row],[Units Sold]]&lt;=80,"Average",Table22[[#This Row],[Units Sold]]&lt;=90,"High",Table22[[#This Row],[Units Sold]]&lt;=95,"Excellent",Table22[[#This Row],[Units Sold]]&gt;95,"Outstanding")</f>
        <v>Outstanding</v>
      </c>
      <c r="N766" s="29">
        <v>421.91</v>
      </c>
      <c r="O766" s="29">
        <v>41769.089999999997</v>
      </c>
      <c r="P766" s="43">
        <f>IF(Table22[[#This Row],[Discount Applied]],Table22[[#This Row],[Total Sales (in USD)]]*(1-Table22[[#This Row],[Discount Percentage (%)]]/100),Table22[[#This Row],[Total Sales (in USD)]])</f>
        <v>33143.772914999994</v>
      </c>
      <c r="Q766" s="66">
        <f>SQRT(AVERAGE((Table22[[#This Row],[Net Sales (after discount) (in USD)]]-AVERAGE(Table22[Net Sales (after discount) (in USD)]))^2))</f>
        <v>3367.5876487645437</v>
      </c>
      <c r="R766" s="18" t="b">
        <v>0</v>
      </c>
      <c r="S766" s="40">
        <v>20.65</v>
      </c>
      <c r="T766" s="18" t="b">
        <v>1</v>
      </c>
      <c r="U766" s="25">
        <v>45087</v>
      </c>
      <c r="V766" s="63" t="str">
        <f>IF(MONTH(Table22[[#This Row],[Sales Date]])&lt;=3,"Q1",IF(MONTH(Table22[[#This Row],[Sales Date]])&lt;=6,"Q2",IF(MONTH(Table22[[#This Row],[Sales Date]])&lt;=9,"Q3","Q4")))</f>
        <v>Q2</v>
      </c>
      <c r="W766" s="64">
        <f>YEAR(Table22[[#This Row],[Sales Date]])</f>
        <v>2023</v>
      </c>
      <c r="X766" s="23">
        <v>21</v>
      </c>
      <c r="Y766" s="18" t="s">
        <v>41</v>
      </c>
      <c r="Z766" s="18" t="s">
        <v>24</v>
      </c>
      <c r="AA766" s="19" t="s">
        <v>36</v>
      </c>
    </row>
    <row r="767" spans="1:27" x14ac:dyDescent="0.25">
      <c r="A767" s="17" t="s">
        <v>141</v>
      </c>
      <c r="B767" s="18" t="s">
        <v>51</v>
      </c>
      <c r="C767" s="63" t="str" cm="1">
        <f t="array" ref="C767">_xlfn.SWITCH(Table22[[#This Row],[Country]],"USA","North America","Canada","North America","Brazil","South America","China","Asia","Japan","Asia","India","Asia","France","Europe","Germany","Europe","UK","Europe","Australia","Oceania","South America")</f>
        <v>Europe</v>
      </c>
      <c r="D767" s="18" t="s">
        <v>28</v>
      </c>
      <c r="E767" s="18" t="s">
        <v>19</v>
      </c>
      <c r="F767" s="18" t="s">
        <v>52</v>
      </c>
      <c r="G767" s="18" t="s">
        <v>29</v>
      </c>
      <c r="H767" s="64">
        <f>LEN(TRIM(Table22[[#This Row],[Country]]))</f>
        <v>2</v>
      </c>
      <c r="I767" s="64">
        <f>LEN(TRIM(Table22[[#This Row],[Continent]]))</f>
        <v>6</v>
      </c>
      <c r="J767" s="64">
        <f>LEN(TRIM(Table22[[#This Row],[Product]]))</f>
        <v>6</v>
      </c>
      <c r="K767" s="64">
        <f>LEN(TRIM(Table22[[#This Row],[Sales Team]]))</f>
        <v>10</v>
      </c>
      <c r="L767" s="23">
        <v>88</v>
      </c>
      <c r="M767" s="65" t="str" cm="1">
        <f t="array" ref="M767">_xlfn.IFS(Table22[[#This Row],[Units Sold]]&lt;40,"Critical",Table22[[#This Row],[Units Sold]]&lt;=50,"Poor",Table22[[#This Row],[Units Sold]]&lt;=60,"Low",Table22[[#This Row],[Units Sold]]&lt;=80,"Average",Table22[[#This Row],[Units Sold]]&lt;=90,"High",Table22[[#This Row],[Units Sold]]&lt;=95,"Excellent",Table22[[#This Row],[Units Sold]]&gt;95,"Outstanding")</f>
        <v>High</v>
      </c>
      <c r="N767" s="29">
        <v>473.84</v>
      </c>
      <c r="O767" s="29">
        <v>41697.919999999998</v>
      </c>
      <c r="P767" s="43">
        <f>IF(Table22[[#This Row],[Discount Applied]],Table22[[#This Row],[Total Sales (in USD)]]*(1-Table22[[#This Row],[Discount Percentage (%)]]/100),Table22[[#This Row],[Total Sales (in USD)]])</f>
        <v>41697.919999999998</v>
      </c>
      <c r="Q767" s="66">
        <f>SQRT(AVERAGE((Table22[[#This Row],[Net Sales (after discount) (in USD)]]-AVERAGE(Table22[Net Sales (after discount) (in USD)]))^2))</f>
        <v>5186.5594362354605</v>
      </c>
      <c r="R767" s="18" t="b">
        <v>0</v>
      </c>
      <c r="S767" s="40">
        <v>9.42</v>
      </c>
      <c r="T767" s="18" t="b">
        <v>0</v>
      </c>
      <c r="U767" s="25">
        <v>45486</v>
      </c>
      <c r="V767" s="63" t="str">
        <f>IF(MONTH(Table22[[#This Row],[Sales Date]])&lt;=3,"Q1",IF(MONTH(Table22[[#This Row],[Sales Date]])&lt;=6,"Q2",IF(MONTH(Table22[[#This Row],[Sales Date]])&lt;=9,"Q3","Q4")))</f>
        <v>Q3</v>
      </c>
      <c r="W767" s="64">
        <f>YEAR(Table22[[#This Row],[Sales Date]])</f>
        <v>2024</v>
      </c>
      <c r="X767" s="23">
        <v>54</v>
      </c>
      <c r="Y767" s="18" t="s">
        <v>41</v>
      </c>
      <c r="Z767" s="18" t="s">
        <v>56</v>
      </c>
      <c r="AA767" s="19" t="s">
        <v>25</v>
      </c>
    </row>
    <row r="768" spans="1:27" x14ac:dyDescent="0.25">
      <c r="A768" s="17" t="s">
        <v>591</v>
      </c>
      <c r="B768" s="18" t="s">
        <v>72</v>
      </c>
      <c r="C768" s="63" t="str" cm="1">
        <f t="array" ref="C768">_xlfn.SWITCH(Table22[[#This Row],[Country]],"USA","North America","Canada","North America","Brazil","South America","China","Asia","Japan","Asia","India","Asia","France","Europe","Germany","Europe","UK","Europe","Australia","Oceania","South America")</f>
        <v>North America</v>
      </c>
      <c r="D768" s="18" t="s">
        <v>44</v>
      </c>
      <c r="E768" s="18" t="s">
        <v>39</v>
      </c>
      <c r="F768" s="18" t="s">
        <v>20</v>
      </c>
      <c r="G768" s="18" t="s">
        <v>22</v>
      </c>
      <c r="H768" s="64">
        <f>LEN(TRIM(Table22[[#This Row],[Country]]))</f>
        <v>3</v>
      </c>
      <c r="I768" s="64">
        <f>LEN(TRIM(Table22[[#This Row],[Continent]]))</f>
        <v>13</v>
      </c>
      <c r="J768" s="64">
        <f>LEN(TRIM(Table22[[#This Row],[Product]]))</f>
        <v>10</v>
      </c>
      <c r="K768" s="64">
        <f>LEN(TRIM(Table22[[#This Row],[Sales Team]]))</f>
        <v>10</v>
      </c>
      <c r="L768" s="23">
        <v>31</v>
      </c>
      <c r="M768" s="65" t="str" cm="1">
        <f t="array" ref="M768">_xlfn.IFS(Table22[[#This Row],[Units Sold]]&lt;40,"Critical",Table22[[#This Row],[Units Sold]]&lt;=50,"Poor",Table22[[#This Row],[Units Sold]]&lt;=60,"Low",Table22[[#This Row],[Units Sold]]&lt;=80,"Average",Table22[[#This Row],[Units Sold]]&lt;=90,"High",Table22[[#This Row],[Units Sold]]&lt;=95,"Excellent",Table22[[#This Row],[Units Sold]]&gt;95,"Outstanding")</f>
        <v>Critical</v>
      </c>
      <c r="N768" s="29">
        <v>1343.62</v>
      </c>
      <c r="O768" s="29">
        <v>41652.22</v>
      </c>
      <c r="P768" s="43">
        <f>IF(Table22[[#This Row],[Discount Applied]],Table22[[#This Row],[Total Sales (in USD)]]*(1-Table22[[#This Row],[Discount Percentage (%)]]/100),Table22[[#This Row],[Total Sales (in USD)]])</f>
        <v>41652.22</v>
      </c>
      <c r="Q768" s="66">
        <f>SQRT(AVERAGE((Table22[[#This Row],[Net Sales (after discount) (in USD)]]-AVERAGE(Table22[Net Sales (after discount) (in USD)]))^2))</f>
        <v>5140.8594362354634</v>
      </c>
      <c r="R768" s="18" t="b">
        <v>1</v>
      </c>
      <c r="S768" s="40">
        <v>26.47</v>
      </c>
      <c r="T768" s="18" t="b">
        <v>0</v>
      </c>
      <c r="U768" s="25">
        <v>45188</v>
      </c>
      <c r="V768" s="63" t="str">
        <f>IF(MONTH(Table22[[#This Row],[Sales Date]])&lt;=3,"Q1",IF(MONTH(Table22[[#This Row],[Sales Date]])&lt;=6,"Q2",IF(MONTH(Table22[[#This Row],[Sales Date]])&lt;=9,"Q3","Q4")))</f>
        <v>Q3</v>
      </c>
      <c r="W768" s="64">
        <f>YEAR(Table22[[#This Row],[Sales Date]])</f>
        <v>2023</v>
      </c>
      <c r="X768" s="23">
        <v>51</v>
      </c>
      <c r="Y768" s="18" t="s">
        <v>23</v>
      </c>
      <c r="Z768" s="18" t="s">
        <v>24</v>
      </c>
      <c r="AA768" s="19" t="s">
        <v>36</v>
      </c>
    </row>
    <row r="769" spans="1:27" x14ac:dyDescent="0.25">
      <c r="A769" s="17" t="s">
        <v>509</v>
      </c>
      <c r="B769" s="18" t="s">
        <v>51</v>
      </c>
      <c r="C769" s="63" t="str" cm="1">
        <f t="array" ref="C769">_xlfn.SWITCH(Table22[[#This Row],[Country]],"USA","North America","Canada","North America","Brazil","South America","China","Asia","Japan","Asia","India","Asia","France","Europe","Germany","Europe","UK","Europe","Australia","Oceania","South America")</f>
        <v>Europe</v>
      </c>
      <c r="D769" s="18" t="s">
        <v>35</v>
      </c>
      <c r="E769" s="18" t="s">
        <v>19</v>
      </c>
      <c r="F769" s="18" t="s">
        <v>52</v>
      </c>
      <c r="G769" s="18" t="s">
        <v>29</v>
      </c>
      <c r="H769" s="64">
        <f>LEN(TRIM(Table22[[#This Row],[Country]]))</f>
        <v>2</v>
      </c>
      <c r="I769" s="64">
        <f>LEN(TRIM(Table22[[#This Row],[Continent]]))</f>
        <v>6</v>
      </c>
      <c r="J769" s="64">
        <f>LEN(TRIM(Table22[[#This Row],[Product]]))</f>
        <v>6</v>
      </c>
      <c r="K769" s="64">
        <f>LEN(TRIM(Table22[[#This Row],[Sales Team]]))</f>
        <v>10</v>
      </c>
      <c r="L769" s="23">
        <v>42</v>
      </c>
      <c r="M769" s="65" t="str" cm="1">
        <f t="array" ref="M769">_xlfn.IFS(Table22[[#This Row],[Units Sold]]&lt;40,"Critical",Table22[[#This Row],[Units Sold]]&lt;=50,"Poor",Table22[[#This Row],[Units Sold]]&lt;=60,"Low",Table22[[#This Row],[Units Sold]]&lt;=80,"Average",Table22[[#This Row],[Units Sold]]&lt;=90,"High",Table22[[#This Row],[Units Sold]]&lt;=95,"Excellent",Table22[[#This Row],[Units Sold]]&gt;95,"Outstanding")</f>
        <v>Poor</v>
      </c>
      <c r="N769" s="29">
        <v>991.38</v>
      </c>
      <c r="O769" s="29">
        <v>41637.96</v>
      </c>
      <c r="P769" s="43">
        <f>IF(Table22[[#This Row],[Discount Applied]],Table22[[#This Row],[Total Sales (in USD)]]*(1-Table22[[#This Row],[Discount Percentage (%)]]/100),Table22[[#This Row],[Total Sales (in USD)]])</f>
        <v>34730.222436000004</v>
      </c>
      <c r="Q769" s="66">
        <f>SQRT(AVERAGE((Table22[[#This Row],[Net Sales (after discount) (in USD)]]-AVERAGE(Table22[Net Sales (after discount) (in USD)]))^2))</f>
        <v>1781.1381277645341</v>
      </c>
      <c r="R769" s="18" t="b">
        <v>1</v>
      </c>
      <c r="S769" s="40">
        <v>16.59</v>
      </c>
      <c r="T769" s="18" t="b">
        <v>1</v>
      </c>
      <c r="U769" s="25">
        <v>45384</v>
      </c>
      <c r="V769" s="63" t="str">
        <f>IF(MONTH(Table22[[#This Row],[Sales Date]])&lt;=3,"Q1",IF(MONTH(Table22[[#This Row],[Sales Date]])&lt;=6,"Q2",IF(MONTH(Table22[[#This Row],[Sales Date]])&lt;=9,"Q3","Q4")))</f>
        <v>Q2</v>
      </c>
      <c r="W769" s="64">
        <f>YEAR(Table22[[#This Row],[Sales Date]])</f>
        <v>2024</v>
      </c>
      <c r="X769" s="23">
        <v>32</v>
      </c>
      <c r="Y769" s="18" t="s">
        <v>49</v>
      </c>
      <c r="Z769" s="18" t="s">
        <v>24</v>
      </c>
      <c r="AA769" s="19" t="s">
        <v>36</v>
      </c>
    </row>
    <row r="770" spans="1:27" x14ac:dyDescent="0.25">
      <c r="A770" s="17" t="s">
        <v>823</v>
      </c>
      <c r="B770" s="18" t="s">
        <v>27</v>
      </c>
      <c r="C770" s="63" t="str" cm="1">
        <f t="array" ref="C770">_xlfn.SWITCH(Table22[[#This Row],[Country]],"USA","North America","Canada","North America","Brazil","South America","China","Asia","Japan","Asia","India","Asia","France","Europe","Germany","Europe","UK","Europe","Australia","Oceania","South America")</f>
        <v>Europe</v>
      </c>
      <c r="D770" s="18" t="s">
        <v>21</v>
      </c>
      <c r="E770" s="18" t="s">
        <v>39</v>
      </c>
      <c r="F770" s="18" t="s">
        <v>64</v>
      </c>
      <c r="G770" s="18" t="s">
        <v>40</v>
      </c>
      <c r="H770" s="64">
        <f>LEN(TRIM(Table22[[#This Row],[Country]]))</f>
        <v>7</v>
      </c>
      <c r="I770" s="64">
        <f>LEN(TRIM(Table22[[#This Row],[Continent]]))</f>
        <v>6</v>
      </c>
      <c r="J770" s="64">
        <f>LEN(TRIM(Table22[[#This Row],[Product]]))</f>
        <v>10</v>
      </c>
      <c r="K770" s="64">
        <f>LEN(TRIM(Table22[[#This Row],[Sales Team]]))</f>
        <v>10</v>
      </c>
      <c r="L770" s="23">
        <v>50</v>
      </c>
      <c r="M770" s="65" t="str" cm="1">
        <f t="array" ref="M770">_xlfn.IFS(Table22[[#This Row],[Units Sold]]&lt;40,"Critical",Table22[[#This Row],[Units Sold]]&lt;=50,"Poor",Table22[[#This Row],[Units Sold]]&lt;=60,"Low",Table22[[#This Row],[Units Sold]]&lt;=80,"Average",Table22[[#This Row],[Units Sold]]&lt;=90,"High",Table22[[#This Row],[Units Sold]]&lt;=95,"Excellent",Table22[[#This Row],[Units Sold]]&gt;95,"Outstanding")</f>
        <v>Poor</v>
      </c>
      <c r="N770" s="29">
        <v>829.98</v>
      </c>
      <c r="O770" s="29">
        <v>41499</v>
      </c>
      <c r="P770" s="43">
        <f>IF(Table22[[#This Row],[Discount Applied]],Table22[[#This Row],[Total Sales (in USD)]]*(1-Table22[[#This Row],[Discount Percentage (%)]]/100),Table22[[#This Row],[Total Sales (in USD)]])</f>
        <v>41499</v>
      </c>
      <c r="Q770" s="66">
        <f>SQRT(AVERAGE((Table22[[#This Row],[Net Sales (after discount) (in USD)]]-AVERAGE(Table22[Net Sales (after discount) (in USD)]))^2))</f>
        <v>4987.6394362354622</v>
      </c>
      <c r="R770" s="18" t="b">
        <v>0</v>
      </c>
      <c r="S770" s="40">
        <v>3.28</v>
      </c>
      <c r="T770" s="18" t="b">
        <v>0</v>
      </c>
      <c r="U770" s="25">
        <v>45080</v>
      </c>
      <c r="V770" s="63" t="str">
        <f>IF(MONTH(Table22[[#This Row],[Sales Date]])&lt;=3,"Q1",IF(MONTH(Table22[[#This Row],[Sales Date]])&lt;=6,"Q2",IF(MONTH(Table22[[#This Row],[Sales Date]])&lt;=9,"Q3","Q4")))</f>
        <v>Q2</v>
      </c>
      <c r="W770" s="64">
        <f>YEAR(Table22[[#This Row],[Sales Date]])</f>
        <v>2023</v>
      </c>
      <c r="X770" s="23">
        <v>32</v>
      </c>
      <c r="Y770" s="18" t="s">
        <v>41</v>
      </c>
      <c r="Z770" s="18" t="s">
        <v>30</v>
      </c>
      <c r="AA770" s="19" t="s">
        <v>25</v>
      </c>
    </row>
    <row r="771" spans="1:27" x14ac:dyDescent="0.25">
      <c r="A771" s="17" t="s">
        <v>508</v>
      </c>
      <c r="B771" s="18" t="s">
        <v>66</v>
      </c>
      <c r="C771" s="63" t="str" cm="1">
        <f t="array" ref="C771">_xlfn.SWITCH(Table22[[#This Row],[Country]],"USA","North America","Canada","North America","Brazil","South America","China","Asia","Japan","Asia","India","Asia","France","Europe","Germany","Europe","UK","Europe","Australia","Oceania","South America")</f>
        <v>North America</v>
      </c>
      <c r="D771" s="18" t="s">
        <v>28</v>
      </c>
      <c r="E771" s="18" t="s">
        <v>19</v>
      </c>
      <c r="F771" s="18" t="s">
        <v>20</v>
      </c>
      <c r="G771" s="18" t="s">
        <v>48</v>
      </c>
      <c r="H771" s="64">
        <f>LEN(TRIM(Table22[[#This Row],[Country]]))</f>
        <v>6</v>
      </c>
      <c r="I771" s="64">
        <f>LEN(TRIM(Table22[[#This Row],[Continent]]))</f>
        <v>13</v>
      </c>
      <c r="J771" s="64">
        <f>LEN(TRIM(Table22[[#This Row],[Product]]))</f>
        <v>6</v>
      </c>
      <c r="K771" s="64">
        <f>LEN(TRIM(Table22[[#This Row],[Sales Team]]))</f>
        <v>9</v>
      </c>
      <c r="L771" s="23">
        <v>31</v>
      </c>
      <c r="M771" s="65" t="str" cm="1">
        <f t="array" ref="M771">_xlfn.IFS(Table22[[#This Row],[Units Sold]]&lt;40,"Critical",Table22[[#This Row],[Units Sold]]&lt;=50,"Poor",Table22[[#This Row],[Units Sold]]&lt;=60,"Low",Table22[[#This Row],[Units Sold]]&lt;=80,"Average",Table22[[#This Row],[Units Sold]]&lt;=90,"High",Table22[[#This Row],[Units Sold]]&lt;=95,"Excellent",Table22[[#This Row],[Units Sold]]&gt;95,"Outstanding")</f>
        <v>Critical</v>
      </c>
      <c r="N771" s="29">
        <v>1334.27</v>
      </c>
      <c r="O771" s="29">
        <v>41362.370000000003</v>
      </c>
      <c r="P771" s="43">
        <f>IF(Table22[[#This Row],[Discount Applied]],Table22[[#This Row],[Total Sales (in USD)]]*(1-Table22[[#This Row],[Discount Percentage (%)]]/100),Table22[[#This Row],[Total Sales (in USD)]])</f>
        <v>41362.370000000003</v>
      </c>
      <c r="Q771" s="66">
        <f>SQRT(AVERAGE((Table22[[#This Row],[Net Sales (after discount) (in USD)]]-AVERAGE(Table22[Net Sales (after discount) (in USD)]))^2))</f>
        <v>4851.0094362354648</v>
      </c>
      <c r="R771" s="18" t="b">
        <v>0</v>
      </c>
      <c r="S771" s="40">
        <v>4.33</v>
      </c>
      <c r="T771" s="18" t="b">
        <v>0</v>
      </c>
      <c r="U771" s="25">
        <v>44965</v>
      </c>
      <c r="V771" s="63" t="str">
        <f>IF(MONTH(Table22[[#This Row],[Sales Date]])&lt;=3,"Q1",IF(MONTH(Table22[[#This Row],[Sales Date]])&lt;=6,"Q2",IF(MONTH(Table22[[#This Row],[Sales Date]])&lt;=9,"Q3","Q4")))</f>
        <v>Q1</v>
      </c>
      <c r="W771" s="64">
        <f>YEAR(Table22[[#This Row],[Sales Date]])</f>
        <v>2023</v>
      </c>
      <c r="X771" s="23">
        <v>58</v>
      </c>
      <c r="Y771" s="18" t="s">
        <v>41</v>
      </c>
      <c r="Z771" s="18" t="s">
        <v>56</v>
      </c>
      <c r="AA771" s="19" t="s">
        <v>25</v>
      </c>
    </row>
    <row r="772" spans="1:27" x14ac:dyDescent="0.25">
      <c r="A772" s="17" t="s">
        <v>614</v>
      </c>
      <c r="B772" s="18" t="s">
        <v>51</v>
      </c>
      <c r="C772" s="63" t="str" cm="1">
        <f t="array" ref="C772">_xlfn.SWITCH(Table22[[#This Row],[Country]],"USA","North America","Canada","North America","Brazil","South America","China","Asia","Japan","Asia","India","Asia","France","Europe","Germany","Europe","UK","Europe","Australia","Oceania","South America")</f>
        <v>Europe</v>
      </c>
      <c r="D772" s="18" t="s">
        <v>44</v>
      </c>
      <c r="E772" s="18" t="s">
        <v>19</v>
      </c>
      <c r="F772" s="18" t="s">
        <v>20</v>
      </c>
      <c r="G772" s="18" t="s">
        <v>48</v>
      </c>
      <c r="H772" s="64">
        <f>LEN(TRIM(Table22[[#This Row],[Country]]))</f>
        <v>2</v>
      </c>
      <c r="I772" s="64">
        <f>LEN(TRIM(Table22[[#This Row],[Continent]]))</f>
        <v>6</v>
      </c>
      <c r="J772" s="64">
        <f>LEN(TRIM(Table22[[#This Row],[Product]]))</f>
        <v>6</v>
      </c>
      <c r="K772" s="64">
        <f>LEN(TRIM(Table22[[#This Row],[Sales Team]]))</f>
        <v>9</v>
      </c>
      <c r="L772" s="23">
        <v>76</v>
      </c>
      <c r="M772" s="65" t="str" cm="1">
        <f t="array" ref="M772">_xlfn.IFS(Table22[[#This Row],[Units Sold]]&lt;40,"Critical",Table22[[#This Row],[Units Sold]]&lt;=50,"Poor",Table22[[#This Row],[Units Sold]]&lt;=60,"Low",Table22[[#This Row],[Units Sold]]&lt;=80,"Average",Table22[[#This Row],[Units Sold]]&lt;=90,"High",Table22[[#This Row],[Units Sold]]&lt;=95,"Excellent",Table22[[#This Row],[Units Sold]]&gt;95,"Outstanding")</f>
        <v>Average</v>
      </c>
      <c r="N772" s="29">
        <v>543.99</v>
      </c>
      <c r="O772" s="29">
        <v>41343.24</v>
      </c>
      <c r="P772" s="43">
        <f>IF(Table22[[#This Row],[Discount Applied]],Table22[[#This Row],[Total Sales (in USD)]]*(1-Table22[[#This Row],[Discount Percentage (%)]]/100),Table22[[#This Row],[Total Sales (in USD)]])</f>
        <v>41343.24</v>
      </c>
      <c r="Q772" s="66">
        <f>SQRT(AVERAGE((Table22[[#This Row],[Net Sales (after discount) (in USD)]]-AVERAGE(Table22[Net Sales (after discount) (in USD)]))^2))</f>
        <v>4831.8794362354602</v>
      </c>
      <c r="R772" s="18" t="b">
        <v>1</v>
      </c>
      <c r="S772" s="40">
        <v>12.78</v>
      </c>
      <c r="T772" s="18" t="b">
        <v>0</v>
      </c>
      <c r="U772" s="25">
        <v>44971</v>
      </c>
      <c r="V772" s="63" t="str">
        <f>IF(MONTH(Table22[[#This Row],[Sales Date]])&lt;=3,"Q1",IF(MONTH(Table22[[#This Row],[Sales Date]])&lt;=6,"Q2",IF(MONTH(Table22[[#This Row],[Sales Date]])&lt;=9,"Q3","Q4")))</f>
        <v>Q1</v>
      </c>
      <c r="W772" s="64">
        <f>YEAR(Table22[[#This Row],[Sales Date]])</f>
        <v>2023</v>
      </c>
      <c r="X772" s="23">
        <v>69</v>
      </c>
      <c r="Y772" s="18" t="s">
        <v>41</v>
      </c>
      <c r="Z772" s="18" t="s">
        <v>24</v>
      </c>
      <c r="AA772" s="19" t="s">
        <v>25</v>
      </c>
    </row>
    <row r="773" spans="1:27" x14ac:dyDescent="0.25">
      <c r="A773" s="17" t="s">
        <v>315</v>
      </c>
      <c r="B773" s="18" t="s">
        <v>51</v>
      </c>
      <c r="C773" s="63" t="str" cm="1">
        <f t="array" ref="C773">_xlfn.SWITCH(Table22[[#This Row],[Country]],"USA","North America","Canada","North America","Brazil","South America","China","Asia","Japan","Asia","India","Asia","France","Europe","Germany","Europe","UK","Europe","Australia","Oceania","South America")</f>
        <v>Europe</v>
      </c>
      <c r="D773" s="18" t="s">
        <v>28</v>
      </c>
      <c r="E773" s="18" t="s">
        <v>19</v>
      </c>
      <c r="F773" s="18" t="s">
        <v>20</v>
      </c>
      <c r="G773" s="18" t="s">
        <v>48</v>
      </c>
      <c r="H773" s="64">
        <f>LEN(TRIM(Table22[[#This Row],[Country]]))</f>
        <v>2</v>
      </c>
      <c r="I773" s="64">
        <f>LEN(TRIM(Table22[[#This Row],[Continent]]))</f>
        <v>6</v>
      </c>
      <c r="J773" s="64">
        <f>LEN(TRIM(Table22[[#This Row],[Product]]))</f>
        <v>6</v>
      </c>
      <c r="K773" s="64">
        <f>LEN(TRIM(Table22[[#This Row],[Sales Team]]))</f>
        <v>9</v>
      </c>
      <c r="L773" s="23">
        <v>72</v>
      </c>
      <c r="M773" s="65" t="str" cm="1">
        <f t="array" ref="M773">_xlfn.IFS(Table22[[#This Row],[Units Sold]]&lt;40,"Critical",Table22[[#This Row],[Units Sold]]&lt;=50,"Poor",Table22[[#This Row],[Units Sold]]&lt;=60,"Low",Table22[[#This Row],[Units Sold]]&lt;=80,"Average",Table22[[#This Row],[Units Sold]]&lt;=90,"High",Table22[[#This Row],[Units Sold]]&lt;=95,"Excellent",Table22[[#This Row],[Units Sold]]&gt;95,"Outstanding")</f>
        <v>Average</v>
      </c>
      <c r="N773" s="29">
        <v>574.12</v>
      </c>
      <c r="O773" s="29">
        <v>41336.639999999999</v>
      </c>
      <c r="P773" s="43">
        <f>IF(Table22[[#This Row],[Discount Applied]],Table22[[#This Row],[Total Sales (in USD)]]*(1-Table22[[#This Row],[Discount Percentage (%)]]/100),Table22[[#This Row],[Total Sales (in USD)]])</f>
        <v>41336.639999999999</v>
      </c>
      <c r="Q773" s="66">
        <f>SQRT(AVERAGE((Table22[[#This Row],[Net Sales (after discount) (in USD)]]-AVERAGE(Table22[Net Sales (after discount) (in USD)]))^2))</f>
        <v>4825.2794362354616</v>
      </c>
      <c r="R773" s="18" t="b">
        <v>1</v>
      </c>
      <c r="S773" s="40">
        <v>2.67</v>
      </c>
      <c r="T773" s="18" t="b">
        <v>0</v>
      </c>
      <c r="U773" s="25">
        <v>45254</v>
      </c>
      <c r="V773" s="63" t="str">
        <f>IF(MONTH(Table22[[#This Row],[Sales Date]])&lt;=3,"Q1",IF(MONTH(Table22[[#This Row],[Sales Date]])&lt;=6,"Q2",IF(MONTH(Table22[[#This Row],[Sales Date]])&lt;=9,"Q3","Q4")))</f>
        <v>Q4</v>
      </c>
      <c r="W773" s="64">
        <f>YEAR(Table22[[#This Row],[Sales Date]])</f>
        <v>2023</v>
      </c>
      <c r="X773" s="23">
        <v>37</v>
      </c>
      <c r="Y773" s="18" t="s">
        <v>49</v>
      </c>
      <c r="Z773" s="18" t="s">
        <v>24</v>
      </c>
      <c r="AA773" s="19" t="s">
        <v>25</v>
      </c>
    </row>
    <row r="774" spans="1:27" x14ac:dyDescent="0.25">
      <c r="A774" s="17" t="s">
        <v>1282</v>
      </c>
      <c r="B774" s="18" t="s">
        <v>27</v>
      </c>
      <c r="C774" s="63" t="str" cm="1">
        <f t="array" ref="C774">_xlfn.SWITCH(Table22[[#This Row],[Country]],"USA","North America","Canada","North America","Brazil","South America","China","Asia","Japan","Asia","India","Asia","France","Europe","Germany","Europe","UK","Europe","Australia","Oceania","South America")</f>
        <v>Europe</v>
      </c>
      <c r="D774" s="18" t="s">
        <v>21</v>
      </c>
      <c r="E774" s="18" t="s">
        <v>19</v>
      </c>
      <c r="F774" s="18" t="s">
        <v>20</v>
      </c>
      <c r="G774" s="18" t="s">
        <v>29</v>
      </c>
      <c r="H774" s="64">
        <f>LEN(TRIM(Table22[[#This Row],[Country]]))</f>
        <v>7</v>
      </c>
      <c r="I774" s="64">
        <f>LEN(TRIM(Table22[[#This Row],[Continent]]))</f>
        <v>6</v>
      </c>
      <c r="J774" s="64">
        <f>LEN(TRIM(Table22[[#This Row],[Product]]))</f>
        <v>6</v>
      </c>
      <c r="K774" s="64">
        <f>LEN(TRIM(Table22[[#This Row],[Sales Team]]))</f>
        <v>10</v>
      </c>
      <c r="L774" s="23">
        <v>61</v>
      </c>
      <c r="M774" s="65" t="str" cm="1">
        <f t="array" ref="M774">_xlfn.IFS(Table22[[#This Row],[Units Sold]]&lt;40,"Critical",Table22[[#This Row],[Units Sold]]&lt;=50,"Poor",Table22[[#This Row],[Units Sold]]&lt;=60,"Low",Table22[[#This Row],[Units Sold]]&lt;=80,"Average",Table22[[#This Row],[Units Sold]]&lt;=90,"High",Table22[[#This Row],[Units Sold]]&lt;=95,"Excellent",Table22[[#This Row],[Units Sold]]&gt;95,"Outstanding")</f>
        <v>Average</v>
      </c>
      <c r="N774" s="29">
        <v>676.92</v>
      </c>
      <c r="O774" s="29">
        <v>41292.120000000003</v>
      </c>
      <c r="P774" s="43">
        <f>IF(Table22[[#This Row],[Discount Applied]],Table22[[#This Row],[Total Sales (in USD)]]*(1-Table22[[#This Row],[Discount Percentage (%)]]/100),Table22[[#This Row],[Total Sales (in USD)]])</f>
        <v>41292.120000000003</v>
      </c>
      <c r="Q774" s="66">
        <f>SQRT(AVERAGE((Table22[[#This Row],[Net Sales (after discount) (in USD)]]-AVERAGE(Table22[Net Sales (after discount) (in USD)]))^2))</f>
        <v>4780.7594362354648</v>
      </c>
      <c r="R774" s="18" t="b">
        <v>0</v>
      </c>
      <c r="S774" s="40">
        <v>6.88</v>
      </c>
      <c r="T774" s="18" t="b">
        <v>0</v>
      </c>
      <c r="U774" s="25">
        <v>45384</v>
      </c>
      <c r="V774" s="63" t="str">
        <f>IF(MONTH(Table22[[#This Row],[Sales Date]])&lt;=3,"Q1",IF(MONTH(Table22[[#This Row],[Sales Date]])&lt;=6,"Q2",IF(MONTH(Table22[[#This Row],[Sales Date]])&lt;=9,"Q3","Q4")))</f>
        <v>Q2</v>
      </c>
      <c r="W774" s="64">
        <f>YEAR(Table22[[#This Row],[Sales Date]])</f>
        <v>2024</v>
      </c>
      <c r="X774" s="23">
        <v>50</v>
      </c>
      <c r="Y774" s="18" t="s">
        <v>49</v>
      </c>
      <c r="Z774" s="18" t="s">
        <v>30</v>
      </c>
      <c r="AA774" s="19" t="s">
        <v>36</v>
      </c>
    </row>
    <row r="775" spans="1:27" x14ac:dyDescent="0.25">
      <c r="A775" s="17" t="s">
        <v>1174</v>
      </c>
      <c r="B775" s="18" t="s">
        <v>51</v>
      </c>
      <c r="C775" s="63" t="str" cm="1">
        <f t="array" ref="C775">_xlfn.SWITCH(Table22[[#This Row],[Country]],"USA","North America","Canada","North America","Brazil","South America","China","Asia","Japan","Asia","India","Asia","France","Europe","Germany","Europe","UK","Europe","Australia","Oceania","South America")</f>
        <v>Europe</v>
      </c>
      <c r="D775" s="18" t="s">
        <v>44</v>
      </c>
      <c r="E775" s="18" t="s">
        <v>39</v>
      </c>
      <c r="F775" s="18" t="s">
        <v>64</v>
      </c>
      <c r="G775" s="18" t="s">
        <v>40</v>
      </c>
      <c r="H775" s="64">
        <f>LEN(TRIM(Table22[[#This Row],[Country]]))</f>
        <v>2</v>
      </c>
      <c r="I775" s="64">
        <f>LEN(TRIM(Table22[[#This Row],[Continent]]))</f>
        <v>6</v>
      </c>
      <c r="J775" s="64">
        <f>LEN(TRIM(Table22[[#This Row],[Product]]))</f>
        <v>10</v>
      </c>
      <c r="K775" s="64">
        <f>LEN(TRIM(Table22[[#This Row],[Sales Team]]))</f>
        <v>10</v>
      </c>
      <c r="L775" s="23">
        <v>36</v>
      </c>
      <c r="M775" s="65" t="str" cm="1">
        <f t="array" ref="M775">_xlfn.IFS(Table22[[#This Row],[Units Sold]]&lt;40,"Critical",Table22[[#This Row],[Units Sold]]&lt;=50,"Poor",Table22[[#This Row],[Units Sold]]&lt;=60,"Low",Table22[[#This Row],[Units Sold]]&lt;=80,"Average",Table22[[#This Row],[Units Sold]]&lt;=90,"High",Table22[[#This Row],[Units Sold]]&lt;=95,"Excellent",Table22[[#This Row],[Units Sold]]&gt;95,"Outstanding")</f>
        <v>Critical</v>
      </c>
      <c r="N775" s="29">
        <v>1145.9000000000001</v>
      </c>
      <c r="O775" s="29">
        <v>41252.400000000001</v>
      </c>
      <c r="P775" s="43">
        <f>IF(Table22[[#This Row],[Discount Applied]],Table22[[#This Row],[Total Sales (in USD)]]*(1-Table22[[#This Row],[Discount Percentage (%)]]/100),Table22[[#This Row],[Total Sales (in USD)]])</f>
        <v>41252.400000000001</v>
      </c>
      <c r="Q775" s="66">
        <f>SQRT(AVERAGE((Table22[[#This Row],[Net Sales (after discount) (in USD)]]-AVERAGE(Table22[Net Sales (after discount) (in USD)]))^2))</f>
        <v>4741.0394362354637</v>
      </c>
      <c r="R775" s="18" t="b">
        <v>0</v>
      </c>
      <c r="S775" s="40">
        <v>10.83</v>
      </c>
      <c r="T775" s="18" t="b">
        <v>0</v>
      </c>
      <c r="U775" s="25">
        <v>45442</v>
      </c>
      <c r="V775" s="63" t="str">
        <f>IF(MONTH(Table22[[#This Row],[Sales Date]])&lt;=3,"Q1",IF(MONTH(Table22[[#This Row],[Sales Date]])&lt;=6,"Q2",IF(MONTH(Table22[[#This Row],[Sales Date]])&lt;=9,"Q3","Q4")))</f>
        <v>Q2</v>
      </c>
      <c r="W775" s="64">
        <f>YEAR(Table22[[#This Row],[Sales Date]])</f>
        <v>2024</v>
      </c>
      <c r="X775" s="23">
        <v>43</v>
      </c>
      <c r="Y775" s="18" t="s">
        <v>41</v>
      </c>
      <c r="Z775" s="18" t="s">
        <v>30</v>
      </c>
      <c r="AA775" s="19" t="s">
        <v>25</v>
      </c>
    </row>
    <row r="776" spans="1:27" x14ac:dyDescent="0.25">
      <c r="A776" s="17" t="s">
        <v>1081</v>
      </c>
      <c r="B776" s="18" t="s">
        <v>51</v>
      </c>
      <c r="C776" s="63" t="str" cm="1">
        <f t="array" ref="C776">_xlfn.SWITCH(Table22[[#This Row],[Country]],"USA","North America","Canada","North America","Brazil","South America","China","Asia","Japan","Asia","India","Asia","France","Europe","Germany","Europe","UK","Europe","Australia","Oceania","South America")</f>
        <v>Europe</v>
      </c>
      <c r="D776" s="18" t="s">
        <v>28</v>
      </c>
      <c r="E776" s="18" t="s">
        <v>19</v>
      </c>
      <c r="F776" s="18" t="s">
        <v>52</v>
      </c>
      <c r="G776" s="18" t="s">
        <v>22</v>
      </c>
      <c r="H776" s="64">
        <f>LEN(TRIM(Table22[[#This Row],[Country]]))</f>
        <v>2</v>
      </c>
      <c r="I776" s="64">
        <f>LEN(TRIM(Table22[[#This Row],[Continent]]))</f>
        <v>6</v>
      </c>
      <c r="J776" s="64">
        <f>LEN(TRIM(Table22[[#This Row],[Product]]))</f>
        <v>6</v>
      </c>
      <c r="K776" s="64">
        <f>LEN(TRIM(Table22[[#This Row],[Sales Team]]))</f>
        <v>10</v>
      </c>
      <c r="L776" s="23">
        <v>52</v>
      </c>
      <c r="M776" s="65" t="str" cm="1">
        <f t="array" ref="M776">_xlfn.IFS(Table22[[#This Row],[Units Sold]]&lt;40,"Critical",Table22[[#This Row],[Units Sold]]&lt;=50,"Poor",Table22[[#This Row],[Units Sold]]&lt;=60,"Low",Table22[[#This Row],[Units Sold]]&lt;=80,"Average",Table22[[#This Row],[Units Sold]]&lt;=90,"High",Table22[[#This Row],[Units Sold]]&lt;=95,"Excellent",Table22[[#This Row],[Units Sold]]&gt;95,"Outstanding")</f>
        <v>Low</v>
      </c>
      <c r="N776" s="29">
        <v>792.43</v>
      </c>
      <c r="O776" s="29">
        <v>41206.36</v>
      </c>
      <c r="P776" s="43">
        <f>IF(Table22[[#This Row],[Discount Applied]],Table22[[#This Row],[Total Sales (in USD)]]*(1-Table22[[#This Row],[Discount Percentage (%)]]/100),Table22[[#This Row],[Total Sales (in USD)]])</f>
        <v>31708.294019999998</v>
      </c>
      <c r="Q776" s="66">
        <f>SQRT(AVERAGE((Table22[[#This Row],[Net Sales (after discount) (in USD)]]-AVERAGE(Table22[Net Sales (after discount) (in USD)]))^2))</f>
        <v>4803.0665437645403</v>
      </c>
      <c r="R776" s="18" t="b">
        <v>0</v>
      </c>
      <c r="S776" s="40">
        <v>23.05</v>
      </c>
      <c r="T776" s="18" t="b">
        <v>1</v>
      </c>
      <c r="U776" s="25">
        <v>45122</v>
      </c>
      <c r="V776" s="63" t="str">
        <f>IF(MONTH(Table22[[#This Row],[Sales Date]])&lt;=3,"Q1",IF(MONTH(Table22[[#This Row],[Sales Date]])&lt;=6,"Q2",IF(MONTH(Table22[[#This Row],[Sales Date]])&lt;=9,"Q3","Q4")))</f>
        <v>Q3</v>
      </c>
      <c r="W776" s="64">
        <f>YEAR(Table22[[#This Row],[Sales Date]])</f>
        <v>2023</v>
      </c>
      <c r="X776" s="23">
        <v>43</v>
      </c>
      <c r="Y776" s="18" t="s">
        <v>41</v>
      </c>
      <c r="Z776" s="18" t="s">
        <v>42</v>
      </c>
      <c r="AA776" s="19" t="s">
        <v>36</v>
      </c>
    </row>
    <row r="777" spans="1:27" x14ac:dyDescent="0.25">
      <c r="A777" s="17" t="s">
        <v>680</v>
      </c>
      <c r="B777" s="18" t="s">
        <v>62</v>
      </c>
      <c r="C777" s="63" t="str" cm="1">
        <f t="array" ref="C777">_xlfn.SWITCH(Table22[[#This Row],[Country]],"USA","North America","Canada","North America","Brazil","South America","China","Asia","Japan","Asia","India","Asia","France","Europe","Germany","Europe","UK","Europe","Australia","Oceania","South America")</f>
        <v>Oceania</v>
      </c>
      <c r="D777" s="18" t="s">
        <v>44</v>
      </c>
      <c r="E777" s="18" t="s">
        <v>19</v>
      </c>
      <c r="F777" s="18" t="s">
        <v>47</v>
      </c>
      <c r="G777" s="18" t="s">
        <v>29</v>
      </c>
      <c r="H777" s="64">
        <f>LEN(TRIM(Table22[[#This Row],[Country]]))</f>
        <v>9</v>
      </c>
      <c r="I777" s="64">
        <f>LEN(TRIM(Table22[[#This Row],[Continent]]))</f>
        <v>7</v>
      </c>
      <c r="J777" s="64">
        <f>LEN(TRIM(Table22[[#This Row],[Product]]))</f>
        <v>6</v>
      </c>
      <c r="K777" s="64">
        <f>LEN(TRIM(Table22[[#This Row],[Sales Team]]))</f>
        <v>10</v>
      </c>
      <c r="L777" s="23">
        <v>96</v>
      </c>
      <c r="M777" s="65" t="str" cm="1">
        <f t="array" ref="M777">_xlfn.IFS(Table22[[#This Row],[Units Sold]]&lt;40,"Critical",Table22[[#This Row],[Units Sold]]&lt;=50,"Poor",Table22[[#This Row],[Units Sold]]&lt;=60,"Low",Table22[[#This Row],[Units Sold]]&lt;=80,"Average",Table22[[#This Row],[Units Sold]]&lt;=90,"High",Table22[[#This Row],[Units Sold]]&lt;=95,"Excellent",Table22[[#This Row],[Units Sold]]&gt;95,"Outstanding")</f>
        <v>Outstanding</v>
      </c>
      <c r="N777" s="29">
        <v>428.93</v>
      </c>
      <c r="O777" s="29">
        <v>41177.279999999999</v>
      </c>
      <c r="P777" s="43">
        <f>IF(Table22[[#This Row],[Discount Applied]],Table22[[#This Row],[Total Sales (in USD)]]*(1-Table22[[#This Row],[Discount Percentage (%)]]/100),Table22[[#This Row],[Total Sales (in USD)]])</f>
        <v>33872.430527999997</v>
      </c>
      <c r="Q777" s="66">
        <f>SQRT(AVERAGE((Table22[[#This Row],[Net Sales (after discount) (in USD)]]-AVERAGE(Table22[Net Sales (after discount) (in USD)]))^2))</f>
        <v>2638.9300357645407</v>
      </c>
      <c r="R777" s="18" t="b">
        <v>0</v>
      </c>
      <c r="S777" s="40">
        <v>17.739999999999998</v>
      </c>
      <c r="T777" s="18" t="b">
        <v>1</v>
      </c>
      <c r="U777" s="25">
        <v>45418</v>
      </c>
      <c r="V777" s="63" t="str">
        <f>IF(MONTH(Table22[[#This Row],[Sales Date]])&lt;=3,"Q1",IF(MONTH(Table22[[#This Row],[Sales Date]])&lt;=6,"Q2",IF(MONTH(Table22[[#This Row],[Sales Date]])&lt;=9,"Q3","Q4")))</f>
        <v>Q2</v>
      </c>
      <c r="W777" s="64">
        <f>YEAR(Table22[[#This Row],[Sales Date]])</f>
        <v>2024</v>
      </c>
      <c r="X777" s="23">
        <v>25</v>
      </c>
      <c r="Y777" s="18" t="s">
        <v>41</v>
      </c>
      <c r="Z777" s="18" t="s">
        <v>24</v>
      </c>
      <c r="AA777" s="19" t="s">
        <v>25</v>
      </c>
    </row>
    <row r="778" spans="1:27" x14ac:dyDescent="0.25">
      <c r="A778" s="17" t="s">
        <v>1961</v>
      </c>
      <c r="B778" s="18" t="s">
        <v>27</v>
      </c>
      <c r="C778" s="63" t="str" cm="1">
        <f t="array" ref="C778">_xlfn.SWITCH(Table22[[#This Row],[Country]],"USA","North America","Canada","North America","Brazil","South America","China","Asia","Japan","Asia","India","Asia","France","Europe","Germany","Europe","UK","Europe","Australia","Oceania","South America")</f>
        <v>Europe</v>
      </c>
      <c r="D778" s="18" t="s">
        <v>21</v>
      </c>
      <c r="E778" s="18" t="s">
        <v>39</v>
      </c>
      <c r="F778" s="18" t="s">
        <v>52</v>
      </c>
      <c r="G778" s="18" t="s">
        <v>40</v>
      </c>
      <c r="H778" s="64">
        <f>LEN(TRIM(Table22[[#This Row],[Country]]))</f>
        <v>7</v>
      </c>
      <c r="I778" s="64">
        <f>LEN(TRIM(Table22[[#This Row],[Continent]]))</f>
        <v>6</v>
      </c>
      <c r="J778" s="64">
        <f>LEN(TRIM(Table22[[#This Row],[Product]]))</f>
        <v>10</v>
      </c>
      <c r="K778" s="64">
        <f>LEN(TRIM(Table22[[#This Row],[Sales Team]]))</f>
        <v>10</v>
      </c>
      <c r="L778" s="23">
        <v>48</v>
      </c>
      <c r="M778" s="65" t="str" cm="1">
        <f t="array" ref="M778">_xlfn.IFS(Table22[[#This Row],[Units Sold]]&lt;40,"Critical",Table22[[#This Row],[Units Sold]]&lt;=50,"Poor",Table22[[#This Row],[Units Sold]]&lt;=60,"Low",Table22[[#This Row],[Units Sold]]&lt;=80,"Average",Table22[[#This Row],[Units Sold]]&lt;=90,"High",Table22[[#This Row],[Units Sold]]&lt;=95,"Excellent",Table22[[#This Row],[Units Sold]]&gt;95,"Outstanding")</f>
        <v>Poor</v>
      </c>
      <c r="N778" s="29">
        <v>854.31</v>
      </c>
      <c r="O778" s="29">
        <v>41006.879999999997</v>
      </c>
      <c r="P778" s="43">
        <f>IF(Table22[[#This Row],[Discount Applied]],Table22[[#This Row],[Total Sales (in USD)]]*(1-Table22[[#This Row],[Discount Percentage (%)]]/100),Table22[[#This Row],[Total Sales (in USD)]])</f>
        <v>31546.592783999997</v>
      </c>
      <c r="Q778" s="66">
        <f>SQRT(AVERAGE((Table22[[#This Row],[Net Sales (after discount) (in USD)]]-AVERAGE(Table22[Net Sales (after discount) (in USD)]))^2))</f>
        <v>4964.767779764541</v>
      </c>
      <c r="R778" s="18" t="b">
        <v>1</v>
      </c>
      <c r="S778" s="40">
        <v>23.07</v>
      </c>
      <c r="T778" s="18" t="b">
        <v>1</v>
      </c>
      <c r="U778" s="25">
        <v>45424</v>
      </c>
      <c r="V778" s="63" t="str">
        <f>IF(MONTH(Table22[[#This Row],[Sales Date]])&lt;=3,"Q1",IF(MONTH(Table22[[#This Row],[Sales Date]])&lt;=6,"Q2",IF(MONTH(Table22[[#This Row],[Sales Date]])&lt;=9,"Q3","Q4")))</f>
        <v>Q2</v>
      </c>
      <c r="W778" s="64">
        <f>YEAR(Table22[[#This Row],[Sales Date]])</f>
        <v>2024</v>
      </c>
      <c r="X778" s="23">
        <v>26</v>
      </c>
      <c r="Y778" s="18" t="s">
        <v>49</v>
      </c>
      <c r="Z778" s="18" t="s">
        <v>30</v>
      </c>
      <c r="AA778" s="19" t="s">
        <v>25</v>
      </c>
    </row>
    <row r="779" spans="1:27" x14ac:dyDescent="0.25">
      <c r="A779" s="17" t="s">
        <v>1197</v>
      </c>
      <c r="B779" s="18" t="s">
        <v>27</v>
      </c>
      <c r="C779" s="63" t="str" cm="1">
        <f t="array" ref="C779">_xlfn.SWITCH(Table22[[#This Row],[Country]],"USA","North America","Canada","North America","Brazil","South America","China","Asia","Japan","Asia","India","Asia","France","Europe","Germany","Europe","UK","Europe","Australia","Oceania","South America")</f>
        <v>Europe</v>
      </c>
      <c r="D779" s="18" t="s">
        <v>44</v>
      </c>
      <c r="E779" s="18" t="s">
        <v>33</v>
      </c>
      <c r="F779" s="18" t="s">
        <v>64</v>
      </c>
      <c r="G779" s="18" t="s">
        <v>22</v>
      </c>
      <c r="H779" s="64">
        <f>LEN(TRIM(Table22[[#This Row],[Country]]))</f>
        <v>7</v>
      </c>
      <c r="I779" s="64">
        <f>LEN(TRIM(Table22[[#This Row],[Continent]]))</f>
        <v>6</v>
      </c>
      <c r="J779" s="64">
        <f>LEN(TRIM(Table22[[#This Row],[Product]]))</f>
        <v>10</v>
      </c>
      <c r="K779" s="64">
        <f>LEN(TRIM(Table22[[#This Row],[Sales Team]]))</f>
        <v>10</v>
      </c>
      <c r="L779" s="23">
        <v>41</v>
      </c>
      <c r="M779" s="65" t="str" cm="1">
        <f t="array" ref="M779">_xlfn.IFS(Table22[[#This Row],[Units Sold]]&lt;40,"Critical",Table22[[#This Row],[Units Sold]]&lt;=50,"Poor",Table22[[#This Row],[Units Sold]]&lt;=60,"Low",Table22[[#This Row],[Units Sold]]&lt;=80,"Average",Table22[[#This Row],[Units Sold]]&lt;=90,"High",Table22[[#This Row],[Units Sold]]&lt;=95,"Excellent",Table22[[#This Row],[Units Sold]]&gt;95,"Outstanding")</f>
        <v>Poor</v>
      </c>
      <c r="N779" s="29">
        <v>999.12</v>
      </c>
      <c r="O779" s="29">
        <v>40963.919999999998</v>
      </c>
      <c r="P779" s="43">
        <f>IF(Table22[[#This Row],[Discount Applied]],Table22[[#This Row],[Total Sales (in USD)]]*(1-Table22[[#This Row],[Discount Percentage (%)]]/100),Table22[[#This Row],[Total Sales (in USD)]])</f>
        <v>39194.278655999995</v>
      </c>
      <c r="Q779" s="66">
        <f>SQRT(AVERAGE((Table22[[#This Row],[Net Sales (after discount) (in USD)]]-AVERAGE(Table22[Net Sales (after discount) (in USD)]))^2))</f>
        <v>2682.9180922354572</v>
      </c>
      <c r="R779" s="18" t="b">
        <v>1</v>
      </c>
      <c r="S779" s="40">
        <v>4.32</v>
      </c>
      <c r="T779" s="18" t="b">
        <v>1</v>
      </c>
      <c r="U779" s="25">
        <v>45008</v>
      </c>
      <c r="V779" s="63" t="str">
        <f>IF(MONTH(Table22[[#This Row],[Sales Date]])&lt;=3,"Q1",IF(MONTH(Table22[[#This Row],[Sales Date]])&lt;=6,"Q2",IF(MONTH(Table22[[#This Row],[Sales Date]])&lt;=9,"Q3","Q4")))</f>
        <v>Q1</v>
      </c>
      <c r="W779" s="64">
        <f>YEAR(Table22[[#This Row],[Sales Date]])</f>
        <v>2023</v>
      </c>
      <c r="X779" s="23">
        <v>35</v>
      </c>
      <c r="Y779" s="18" t="s">
        <v>41</v>
      </c>
      <c r="Z779" s="18" t="s">
        <v>42</v>
      </c>
      <c r="AA779" s="19" t="s">
        <v>36</v>
      </c>
    </row>
    <row r="780" spans="1:27" x14ac:dyDescent="0.25">
      <c r="A780" s="17" t="s">
        <v>1019</v>
      </c>
      <c r="B780" s="18" t="s">
        <v>66</v>
      </c>
      <c r="C780" s="63" t="str" cm="1">
        <f t="array" ref="C780">_xlfn.SWITCH(Table22[[#This Row],[Country]],"USA","North America","Canada","North America","Brazil","South America","China","Asia","Japan","Asia","India","Asia","France","Europe","Germany","Europe","UK","Europe","Australia","Oceania","South America")</f>
        <v>North America</v>
      </c>
      <c r="D780" s="18" t="s">
        <v>35</v>
      </c>
      <c r="E780" s="18" t="s">
        <v>33</v>
      </c>
      <c r="F780" s="18" t="s">
        <v>20</v>
      </c>
      <c r="G780" s="18" t="s">
        <v>40</v>
      </c>
      <c r="H780" s="64">
        <f>LEN(TRIM(Table22[[#This Row],[Country]]))</f>
        <v>6</v>
      </c>
      <c r="I780" s="64">
        <f>LEN(TRIM(Table22[[#This Row],[Continent]]))</f>
        <v>13</v>
      </c>
      <c r="J780" s="64">
        <f>LEN(TRIM(Table22[[#This Row],[Product]]))</f>
        <v>10</v>
      </c>
      <c r="K780" s="64">
        <f>LEN(TRIM(Table22[[#This Row],[Sales Team]]))</f>
        <v>10</v>
      </c>
      <c r="L780" s="23">
        <v>58</v>
      </c>
      <c r="M780" s="65" t="str" cm="1">
        <f t="array" ref="M780">_xlfn.IFS(Table22[[#This Row],[Units Sold]]&lt;40,"Critical",Table22[[#This Row],[Units Sold]]&lt;=50,"Poor",Table22[[#This Row],[Units Sold]]&lt;=60,"Low",Table22[[#This Row],[Units Sold]]&lt;=80,"Average",Table22[[#This Row],[Units Sold]]&lt;=90,"High",Table22[[#This Row],[Units Sold]]&lt;=95,"Excellent",Table22[[#This Row],[Units Sold]]&gt;95,"Outstanding")</f>
        <v>Low</v>
      </c>
      <c r="N780" s="29">
        <v>705.8</v>
      </c>
      <c r="O780" s="29">
        <v>40936.400000000001</v>
      </c>
      <c r="P780" s="43">
        <f>IF(Table22[[#This Row],[Discount Applied]],Table22[[#This Row],[Total Sales (in USD)]]*(1-Table22[[#This Row],[Discount Percentage (%)]]/100),Table22[[#This Row],[Total Sales (in USD)]])</f>
        <v>34918.749199999998</v>
      </c>
      <c r="Q780" s="66">
        <f>SQRT(AVERAGE((Table22[[#This Row],[Net Sales (after discount) (in USD)]]-AVERAGE(Table22[Net Sales (after discount) (in USD)]))^2))</f>
        <v>1592.6113637645394</v>
      </c>
      <c r="R780" s="18" t="b">
        <v>1</v>
      </c>
      <c r="S780" s="40">
        <v>14.7</v>
      </c>
      <c r="T780" s="18" t="b">
        <v>1</v>
      </c>
      <c r="U780" s="25">
        <v>45220</v>
      </c>
      <c r="V780" s="63" t="str">
        <f>IF(MONTH(Table22[[#This Row],[Sales Date]])&lt;=3,"Q1",IF(MONTH(Table22[[#This Row],[Sales Date]])&lt;=6,"Q2",IF(MONTH(Table22[[#This Row],[Sales Date]])&lt;=9,"Q3","Q4")))</f>
        <v>Q4</v>
      </c>
      <c r="W780" s="64">
        <f>YEAR(Table22[[#This Row],[Sales Date]])</f>
        <v>2023</v>
      </c>
      <c r="X780" s="23">
        <v>48</v>
      </c>
      <c r="Y780" s="18" t="s">
        <v>23</v>
      </c>
      <c r="Z780" s="18" t="s">
        <v>56</v>
      </c>
      <c r="AA780" s="19" t="s">
        <v>25</v>
      </c>
    </row>
    <row r="781" spans="1:27" x14ac:dyDescent="0.25">
      <c r="A781" s="17" t="s">
        <v>438</v>
      </c>
      <c r="B781" s="18" t="s">
        <v>38</v>
      </c>
      <c r="C781" s="63" t="str" cm="1">
        <f t="array" ref="C781">_xlfn.SWITCH(Table22[[#This Row],[Country]],"USA","North America","Canada","North America","Brazil","South America","China","Asia","Japan","Asia","India","Asia","France","Europe","Germany","Europe","UK","Europe","Australia","Oceania","South America")</f>
        <v>Europe</v>
      </c>
      <c r="D781" s="18" t="s">
        <v>28</v>
      </c>
      <c r="E781" s="18" t="s">
        <v>39</v>
      </c>
      <c r="F781" s="18" t="s">
        <v>47</v>
      </c>
      <c r="G781" s="18" t="s">
        <v>22</v>
      </c>
      <c r="H781" s="64">
        <f>LEN(TRIM(Table22[[#This Row],[Country]]))</f>
        <v>6</v>
      </c>
      <c r="I781" s="64">
        <f>LEN(TRIM(Table22[[#This Row],[Continent]]))</f>
        <v>6</v>
      </c>
      <c r="J781" s="64">
        <f>LEN(TRIM(Table22[[#This Row],[Product]]))</f>
        <v>10</v>
      </c>
      <c r="K781" s="64">
        <f>LEN(TRIM(Table22[[#This Row],[Sales Team]]))</f>
        <v>10</v>
      </c>
      <c r="L781" s="23">
        <v>64</v>
      </c>
      <c r="M781" s="65" t="str" cm="1">
        <f t="array" ref="M781">_xlfn.IFS(Table22[[#This Row],[Units Sold]]&lt;40,"Critical",Table22[[#This Row],[Units Sold]]&lt;=50,"Poor",Table22[[#This Row],[Units Sold]]&lt;=60,"Low",Table22[[#This Row],[Units Sold]]&lt;=80,"Average",Table22[[#This Row],[Units Sold]]&lt;=90,"High",Table22[[#This Row],[Units Sold]]&lt;=95,"Excellent",Table22[[#This Row],[Units Sold]]&gt;95,"Outstanding")</f>
        <v>Average</v>
      </c>
      <c r="N781" s="29">
        <v>639.05999999999995</v>
      </c>
      <c r="O781" s="29">
        <v>40899.839999999997</v>
      </c>
      <c r="P781" s="43">
        <f>IF(Table22[[#This Row],[Discount Applied]],Table22[[#This Row],[Total Sales (in USD)]]*(1-Table22[[#This Row],[Discount Percentage (%)]]/100),Table22[[#This Row],[Total Sales (in USD)]])</f>
        <v>40899.839999999997</v>
      </c>
      <c r="Q781" s="66">
        <f>SQRT(AVERAGE((Table22[[#This Row],[Net Sales (after discount) (in USD)]]-AVERAGE(Table22[Net Sales (after discount) (in USD)]))^2))</f>
        <v>4388.4794362354587</v>
      </c>
      <c r="R781" s="18" t="b">
        <v>0</v>
      </c>
      <c r="S781" s="40">
        <v>6.39</v>
      </c>
      <c r="T781" s="18" t="b">
        <v>0</v>
      </c>
      <c r="U781" s="25">
        <v>45289</v>
      </c>
      <c r="V781" s="63" t="str">
        <f>IF(MONTH(Table22[[#This Row],[Sales Date]])&lt;=3,"Q1",IF(MONTH(Table22[[#This Row],[Sales Date]])&lt;=6,"Q2",IF(MONTH(Table22[[#This Row],[Sales Date]])&lt;=9,"Q3","Q4")))</f>
        <v>Q4</v>
      </c>
      <c r="W781" s="64">
        <f>YEAR(Table22[[#This Row],[Sales Date]])</f>
        <v>2023</v>
      </c>
      <c r="X781" s="23">
        <v>49</v>
      </c>
      <c r="Y781" s="18" t="s">
        <v>41</v>
      </c>
      <c r="Z781" s="18" t="s">
        <v>56</v>
      </c>
      <c r="AA781" s="19" t="s">
        <v>36</v>
      </c>
    </row>
    <row r="782" spans="1:27" x14ac:dyDescent="0.25">
      <c r="A782" s="17" t="s">
        <v>449</v>
      </c>
      <c r="B782" s="18" t="s">
        <v>62</v>
      </c>
      <c r="C782" s="63" t="str" cm="1">
        <f t="array" ref="C782">_xlfn.SWITCH(Table22[[#This Row],[Country]],"USA","North America","Canada","North America","Brazil","South America","China","Asia","Japan","Asia","India","Asia","France","Europe","Germany","Europe","UK","Europe","Australia","Oceania","South America")</f>
        <v>Oceania</v>
      </c>
      <c r="D782" s="18" t="s">
        <v>28</v>
      </c>
      <c r="E782" s="18" t="s">
        <v>39</v>
      </c>
      <c r="F782" s="18" t="s">
        <v>52</v>
      </c>
      <c r="G782" s="18" t="s">
        <v>22</v>
      </c>
      <c r="H782" s="64">
        <f>LEN(TRIM(Table22[[#This Row],[Country]]))</f>
        <v>9</v>
      </c>
      <c r="I782" s="64">
        <f>LEN(TRIM(Table22[[#This Row],[Continent]]))</f>
        <v>7</v>
      </c>
      <c r="J782" s="64">
        <f>LEN(TRIM(Table22[[#This Row],[Product]]))</f>
        <v>10</v>
      </c>
      <c r="K782" s="64">
        <f>LEN(TRIM(Table22[[#This Row],[Sales Team]]))</f>
        <v>10</v>
      </c>
      <c r="L782" s="23">
        <v>70</v>
      </c>
      <c r="M782" s="65" t="str" cm="1">
        <f t="array" ref="M782">_xlfn.IFS(Table22[[#This Row],[Units Sold]]&lt;40,"Critical",Table22[[#This Row],[Units Sold]]&lt;=50,"Poor",Table22[[#This Row],[Units Sold]]&lt;=60,"Low",Table22[[#This Row],[Units Sold]]&lt;=80,"Average",Table22[[#This Row],[Units Sold]]&lt;=90,"High",Table22[[#This Row],[Units Sold]]&lt;=95,"Excellent",Table22[[#This Row],[Units Sold]]&gt;95,"Outstanding")</f>
        <v>Average</v>
      </c>
      <c r="N782" s="29">
        <v>582.15</v>
      </c>
      <c r="O782" s="29">
        <v>40750.5</v>
      </c>
      <c r="P782" s="43">
        <f>IF(Table22[[#This Row],[Discount Applied]],Table22[[#This Row],[Total Sales (in USD)]]*(1-Table22[[#This Row],[Discount Percentage (%)]]/100),Table22[[#This Row],[Total Sales (in USD)]])</f>
        <v>40750.5</v>
      </c>
      <c r="Q782" s="66">
        <f>SQRT(AVERAGE((Table22[[#This Row],[Net Sales (after discount) (in USD)]]-AVERAGE(Table22[Net Sales (after discount) (in USD)]))^2))</f>
        <v>4239.1394362354622</v>
      </c>
      <c r="R782" s="18" t="b">
        <v>1</v>
      </c>
      <c r="S782" s="40">
        <v>13.98</v>
      </c>
      <c r="T782" s="18" t="b">
        <v>0</v>
      </c>
      <c r="U782" s="25">
        <v>45509</v>
      </c>
      <c r="V782" s="63" t="str">
        <f>IF(MONTH(Table22[[#This Row],[Sales Date]])&lt;=3,"Q1",IF(MONTH(Table22[[#This Row],[Sales Date]])&lt;=6,"Q2",IF(MONTH(Table22[[#This Row],[Sales Date]])&lt;=9,"Q3","Q4")))</f>
        <v>Q3</v>
      </c>
      <c r="W782" s="64">
        <f>YEAR(Table22[[#This Row],[Sales Date]])</f>
        <v>2024</v>
      </c>
      <c r="X782" s="23">
        <v>50</v>
      </c>
      <c r="Y782" s="18" t="s">
        <v>23</v>
      </c>
      <c r="Z782" s="18" t="s">
        <v>42</v>
      </c>
      <c r="AA782" s="19" t="s">
        <v>36</v>
      </c>
    </row>
    <row r="783" spans="1:27" x14ac:dyDescent="0.25">
      <c r="A783" s="17" t="s">
        <v>785</v>
      </c>
      <c r="B783" s="18" t="s">
        <v>76</v>
      </c>
      <c r="C783" s="63" t="str" cm="1">
        <f t="array" ref="C783">_xlfn.SWITCH(Table22[[#This Row],[Country]],"USA","North America","Canada","North America","Brazil","South America","China","Asia","Japan","Asia","India","Asia","France","Europe","Germany","Europe","UK","Europe","Australia","Oceania","South America")</f>
        <v>Asia</v>
      </c>
      <c r="D783" s="18" t="s">
        <v>35</v>
      </c>
      <c r="E783" s="18" t="s">
        <v>39</v>
      </c>
      <c r="F783" s="18" t="s">
        <v>20</v>
      </c>
      <c r="G783" s="18" t="s">
        <v>22</v>
      </c>
      <c r="H783" s="64">
        <f>LEN(TRIM(Table22[[#This Row],[Country]]))</f>
        <v>5</v>
      </c>
      <c r="I783" s="64">
        <f>LEN(TRIM(Table22[[#This Row],[Continent]]))</f>
        <v>4</v>
      </c>
      <c r="J783" s="64">
        <f>LEN(TRIM(Table22[[#This Row],[Product]]))</f>
        <v>10</v>
      </c>
      <c r="K783" s="64">
        <f>LEN(TRIM(Table22[[#This Row],[Sales Team]]))</f>
        <v>10</v>
      </c>
      <c r="L783" s="23">
        <v>28</v>
      </c>
      <c r="M783" s="65" t="str" cm="1">
        <f t="array" ref="M783">_xlfn.IFS(Table22[[#This Row],[Units Sold]]&lt;40,"Critical",Table22[[#This Row],[Units Sold]]&lt;=50,"Poor",Table22[[#This Row],[Units Sold]]&lt;=60,"Low",Table22[[#This Row],[Units Sold]]&lt;=80,"Average",Table22[[#This Row],[Units Sold]]&lt;=90,"High",Table22[[#This Row],[Units Sold]]&lt;=95,"Excellent",Table22[[#This Row],[Units Sold]]&gt;95,"Outstanding")</f>
        <v>Critical</v>
      </c>
      <c r="N783" s="29">
        <v>1441.46</v>
      </c>
      <c r="O783" s="29">
        <v>40360.879999999997</v>
      </c>
      <c r="P783" s="43">
        <f>IF(Table22[[#This Row],[Discount Applied]],Table22[[#This Row],[Total Sales (in USD)]]*(1-Table22[[#This Row],[Discount Percentage (%)]]/100),Table22[[#This Row],[Total Sales (in USD)]])</f>
        <v>40360.879999999997</v>
      </c>
      <c r="Q783" s="66">
        <f>SQRT(AVERAGE((Table22[[#This Row],[Net Sales (after discount) (in USD)]]-AVERAGE(Table22[Net Sales (after discount) (in USD)]))^2))</f>
        <v>3849.5194362354596</v>
      </c>
      <c r="R783" s="18" t="b">
        <v>0</v>
      </c>
      <c r="S783" s="40">
        <v>28.07</v>
      </c>
      <c r="T783" s="18" t="b">
        <v>0</v>
      </c>
      <c r="U783" s="25">
        <v>45294</v>
      </c>
      <c r="V783" s="63" t="str">
        <f>IF(MONTH(Table22[[#This Row],[Sales Date]])&lt;=3,"Q1",IF(MONTH(Table22[[#This Row],[Sales Date]])&lt;=6,"Q2",IF(MONTH(Table22[[#This Row],[Sales Date]])&lt;=9,"Q3","Q4")))</f>
        <v>Q1</v>
      </c>
      <c r="W783" s="64">
        <f>YEAR(Table22[[#This Row],[Sales Date]])</f>
        <v>2024</v>
      </c>
      <c r="X783" s="23">
        <v>64</v>
      </c>
      <c r="Y783" s="18" t="s">
        <v>49</v>
      </c>
      <c r="Z783" s="18" t="s">
        <v>56</v>
      </c>
      <c r="AA783" s="19" t="s">
        <v>36</v>
      </c>
    </row>
    <row r="784" spans="1:27" x14ac:dyDescent="0.25">
      <c r="A784" s="17" t="s">
        <v>1986</v>
      </c>
      <c r="B784" s="18" t="s">
        <v>46</v>
      </c>
      <c r="C784" s="63" t="str" cm="1">
        <f t="array" ref="C784">_xlfn.SWITCH(Table22[[#This Row],[Country]],"USA","North America","Canada","North America","Brazil","South America","China","Asia","Japan","Asia","India","Asia","France","Europe","Germany","Europe","UK","Europe","Australia","Oceania","South America")</f>
        <v>South America</v>
      </c>
      <c r="D784" s="18" t="s">
        <v>35</v>
      </c>
      <c r="E784" s="18" t="s">
        <v>39</v>
      </c>
      <c r="F784" s="18" t="s">
        <v>52</v>
      </c>
      <c r="G784" s="18" t="s">
        <v>48</v>
      </c>
      <c r="H784" s="64">
        <f>LEN(TRIM(Table22[[#This Row],[Country]]))</f>
        <v>6</v>
      </c>
      <c r="I784" s="64">
        <f>LEN(TRIM(Table22[[#This Row],[Continent]]))</f>
        <v>13</v>
      </c>
      <c r="J784" s="64">
        <f>LEN(TRIM(Table22[[#This Row],[Product]]))</f>
        <v>10</v>
      </c>
      <c r="K784" s="64">
        <f>LEN(TRIM(Table22[[#This Row],[Sales Team]]))</f>
        <v>9</v>
      </c>
      <c r="L784" s="23">
        <v>74</v>
      </c>
      <c r="M784" s="65" t="str" cm="1">
        <f t="array" ref="M784">_xlfn.IFS(Table22[[#This Row],[Units Sold]]&lt;40,"Critical",Table22[[#This Row],[Units Sold]]&lt;=50,"Poor",Table22[[#This Row],[Units Sold]]&lt;=60,"Low",Table22[[#This Row],[Units Sold]]&lt;=80,"Average",Table22[[#This Row],[Units Sold]]&lt;=90,"High",Table22[[#This Row],[Units Sold]]&lt;=95,"Excellent",Table22[[#This Row],[Units Sold]]&gt;95,"Outstanding")</f>
        <v>Average</v>
      </c>
      <c r="N784" s="29">
        <v>545.19000000000005</v>
      </c>
      <c r="O784" s="29">
        <v>40344.06</v>
      </c>
      <c r="P784" s="43">
        <f>IF(Table22[[#This Row],[Discount Applied]],Table22[[#This Row],[Total Sales (in USD)]]*(1-Table22[[#This Row],[Discount Percentage (%)]]/100),Table22[[#This Row],[Total Sales (in USD)]])</f>
        <v>37092.328763999998</v>
      </c>
      <c r="Q784" s="66">
        <f>SQRT(AVERAGE((Table22[[#This Row],[Net Sales (after discount) (in USD)]]-AVERAGE(Table22[Net Sales (after discount) (in USD)]))^2))</f>
        <v>580.96820023546024</v>
      </c>
      <c r="R784" s="18" t="b">
        <v>1</v>
      </c>
      <c r="S784" s="40">
        <v>8.06</v>
      </c>
      <c r="T784" s="18" t="b">
        <v>1</v>
      </c>
      <c r="U784" s="25">
        <v>45295</v>
      </c>
      <c r="V784" s="63" t="str">
        <f>IF(MONTH(Table22[[#This Row],[Sales Date]])&lt;=3,"Q1",IF(MONTH(Table22[[#This Row],[Sales Date]])&lt;=6,"Q2",IF(MONTH(Table22[[#This Row],[Sales Date]])&lt;=9,"Q3","Q4")))</f>
        <v>Q1</v>
      </c>
      <c r="W784" s="64">
        <f>YEAR(Table22[[#This Row],[Sales Date]])</f>
        <v>2024</v>
      </c>
      <c r="X784" s="23">
        <v>66</v>
      </c>
      <c r="Y784" s="18" t="s">
        <v>49</v>
      </c>
      <c r="Z784" s="18" t="s">
        <v>24</v>
      </c>
      <c r="AA784" s="19" t="s">
        <v>25</v>
      </c>
    </row>
    <row r="785" spans="1:27" x14ac:dyDescent="0.25">
      <c r="A785" s="17" t="s">
        <v>1090</v>
      </c>
      <c r="B785" s="18" t="s">
        <v>38</v>
      </c>
      <c r="C785" s="63" t="str" cm="1">
        <f t="array" ref="C785">_xlfn.SWITCH(Table22[[#This Row],[Country]],"USA","North America","Canada","North America","Brazil","South America","China","Asia","Japan","Asia","India","Asia","France","Europe","Germany","Europe","UK","Europe","Australia","Oceania","South America")</f>
        <v>Europe</v>
      </c>
      <c r="D785" s="18" t="s">
        <v>21</v>
      </c>
      <c r="E785" s="18" t="s">
        <v>33</v>
      </c>
      <c r="F785" s="18" t="s">
        <v>20</v>
      </c>
      <c r="G785" s="18" t="s">
        <v>22</v>
      </c>
      <c r="H785" s="64">
        <f>LEN(TRIM(Table22[[#This Row],[Country]]))</f>
        <v>6</v>
      </c>
      <c r="I785" s="64">
        <f>LEN(TRIM(Table22[[#This Row],[Continent]]))</f>
        <v>6</v>
      </c>
      <c r="J785" s="64">
        <f>LEN(TRIM(Table22[[#This Row],[Product]]))</f>
        <v>10</v>
      </c>
      <c r="K785" s="64">
        <f>LEN(TRIM(Table22[[#This Row],[Sales Team]]))</f>
        <v>10</v>
      </c>
      <c r="L785" s="23">
        <v>27</v>
      </c>
      <c r="M785" s="65" t="str" cm="1">
        <f t="array" ref="M785">_xlfn.IFS(Table22[[#This Row],[Units Sold]]&lt;40,"Critical",Table22[[#This Row],[Units Sold]]&lt;=50,"Poor",Table22[[#This Row],[Units Sold]]&lt;=60,"Low",Table22[[#This Row],[Units Sold]]&lt;=80,"Average",Table22[[#This Row],[Units Sold]]&lt;=90,"High",Table22[[#This Row],[Units Sold]]&lt;=95,"Excellent",Table22[[#This Row],[Units Sold]]&gt;95,"Outstanding")</f>
        <v>Critical</v>
      </c>
      <c r="N785" s="29">
        <v>1492.11</v>
      </c>
      <c r="O785" s="29">
        <v>40286.97</v>
      </c>
      <c r="P785" s="43">
        <f>IF(Table22[[#This Row],[Discount Applied]],Table22[[#This Row],[Total Sales (in USD)]]*(1-Table22[[#This Row],[Discount Percentage (%)]]/100),Table22[[#This Row],[Total Sales (in USD)]])</f>
        <v>40286.97</v>
      </c>
      <c r="Q785" s="66">
        <f>SQRT(AVERAGE((Table22[[#This Row],[Net Sales (after discount) (in USD)]]-AVERAGE(Table22[Net Sales (after discount) (in USD)]))^2))</f>
        <v>3775.6094362354634</v>
      </c>
      <c r="R785" s="18" t="b">
        <v>1</v>
      </c>
      <c r="S785" s="40">
        <v>27.59</v>
      </c>
      <c r="T785" s="18" t="b">
        <v>0</v>
      </c>
      <c r="U785" s="25">
        <v>45432</v>
      </c>
      <c r="V785" s="63" t="str">
        <f>IF(MONTH(Table22[[#This Row],[Sales Date]])&lt;=3,"Q1",IF(MONTH(Table22[[#This Row],[Sales Date]])&lt;=6,"Q2",IF(MONTH(Table22[[#This Row],[Sales Date]])&lt;=9,"Q3","Q4")))</f>
        <v>Q2</v>
      </c>
      <c r="W785" s="64">
        <f>YEAR(Table22[[#This Row],[Sales Date]])</f>
        <v>2024</v>
      </c>
      <c r="X785" s="23">
        <v>48</v>
      </c>
      <c r="Y785" s="18" t="s">
        <v>49</v>
      </c>
      <c r="Z785" s="18" t="s">
        <v>42</v>
      </c>
      <c r="AA785" s="19" t="s">
        <v>36</v>
      </c>
    </row>
    <row r="786" spans="1:27" x14ac:dyDescent="0.25">
      <c r="A786" s="17" t="s">
        <v>335</v>
      </c>
      <c r="B786" s="18" t="s">
        <v>51</v>
      </c>
      <c r="C786" s="63" t="str" cm="1">
        <f t="array" ref="C786">_xlfn.SWITCH(Table22[[#This Row],[Country]],"USA","North America","Canada","North America","Brazil","South America","China","Asia","Japan","Asia","India","Asia","France","Europe","Germany","Europe","UK","Europe","Australia","Oceania","South America")</f>
        <v>Europe</v>
      </c>
      <c r="D786" s="18" t="s">
        <v>21</v>
      </c>
      <c r="E786" s="18" t="s">
        <v>19</v>
      </c>
      <c r="F786" s="18" t="s">
        <v>47</v>
      </c>
      <c r="G786" s="18" t="s">
        <v>22</v>
      </c>
      <c r="H786" s="64">
        <f>LEN(TRIM(Table22[[#This Row],[Country]]))</f>
        <v>2</v>
      </c>
      <c r="I786" s="64">
        <f>LEN(TRIM(Table22[[#This Row],[Continent]]))</f>
        <v>6</v>
      </c>
      <c r="J786" s="64">
        <f>LEN(TRIM(Table22[[#This Row],[Product]]))</f>
        <v>6</v>
      </c>
      <c r="K786" s="64">
        <f>LEN(TRIM(Table22[[#This Row],[Sales Team]]))</f>
        <v>10</v>
      </c>
      <c r="L786" s="23">
        <v>33</v>
      </c>
      <c r="M786" s="65" t="str" cm="1">
        <f t="array" ref="M786">_xlfn.IFS(Table22[[#This Row],[Units Sold]]&lt;40,"Critical",Table22[[#This Row],[Units Sold]]&lt;=50,"Poor",Table22[[#This Row],[Units Sold]]&lt;=60,"Low",Table22[[#This Row],[Units Sold]]&lt;=80,"Average",Table22[[#This Row],[Units Sold]]&lt;=90,"High",Table22[[#This Row],[Units Sold]]&lt;=95,"Excellent",Table22[[#This Row],[Units Sold]]&gt;95,"Outstanding")</f>
        <v>Critical</v>
      </c>
      <c r="N786" s="29">
        <v>1220.6500000000001</v>
      </c>
      <c r="O786" s="29">
        <v>40281.449999999997</v>
      </c>
      <c r="P786" s="43">
        <f>IF(Table22[[#This Row],[Discount Applied]],Table22[[#This Row],[Total Sales (in USD)]]*(1-Table22[[#This Row],[Discount Percentage (%)]]/100),Table22[[#This Row],[Total Sales (in USD)]])</f>
        <v>30190.946775</v>
      </c>
      <c r="Q786" s="66">
        <f>SQRT(AVERAGE((Table22[[#This Row],[Net Sales (after discount) (in USD)]]-AVERAGE(Table22[Net Sales (after discount) (in USD)]))^2))</f>
        <v>6320.4137887645375</v>
      </c>
      <c r="R786" s="18" t="b">
        <v>1</v>
      </c>
      <c r="S786" s="40">
        <v>25.05</v>
      </c>
      <c r="T786" s="18" t="b">
        <v>1</v>
      </c>
      <c r="U786" s="25">
        <v>45272</v>
      </c>
      <c r="V786" s="63" t="str">
        <f>IF(MONTH(Table22[[#This Row],[Sales Date]])&lt;=3,"Q1",IF(MONTH(Table22[[#This Row],[Sales Date]])&lt;=6,"Q2",IF(MONTH(Table22[[#This Row],[Sales Date]])&lt;=9,"Q3","Q4")))</f>
        <v>Q4</v>
      </c>
      <c r="W786" s="64">
        <f>YEAR(Table22[[#This Row],[Sales Date]])</f>
        <v>2023</v>
      </c>
      <c r="X786" s="23">
        <v>66</v>
      </c>
      <c r="Y786" s="18" t="s">
        <v>23</v>
      </c>
      <c r="Z786" s="18" t="s">
        <v>56</v>
      </c>
      <c r="AA786" s="19" t="s">
        <v>36</v>
      </c>
    </row>
    <row r="787" spans="1:27" x14ac:dyDescent="0.25">
      <c r="A787" s="17" t="s">
        <v>1489</v>
      </c>
      <c r="B787" s="18" t="s">
        <v>76</v>
      </c>
      <c r="C787" s="63" t="str" cm="1">
        <f t="array" ref="C787">_xlfn.SWITCH(Table22[[#This Row],[Country]],"USA","North America","Canada","North America","Brazil","South America","China","Asia","Japan","Asia","India","Asia","France","Europe","Germany","Europe","UK","Europe","Australia","Oceania","South America")</f>
        <v>Asia</v>
      </c>
      <c r="D787" s="18" t="s">
        <v>44</v>
      </c>
      <c r="E787" s="18" t="s">
        <v>19</v>
      </c>
      <c r="F787" s="18" t="s">
        <v>64</v>
      </c>
      <c r="G787" s="18" t="s">
        <v>22</v>
      </c>
      <c r="H787" s="64">
        <f>LEN(TRIM(Table22[[#This Row],[Country]]))</f>
        <v>5</v>
      </c>
      <c r="I787" s="64">
        <f>LEN(TRIM(Table22[[#This Row],[Continent]]))</f>
        <v>4</v>
      </c>
      <c r="J787" s="64">
        <f>LEN(TRIM(Table22[[#This Row],[Product]]))</f>
        <v>6</v>
      </c>
      <c r="K787" s="64">
        <f>LEN(TRIM(Table22[[#This Row],[Sales Team]]))</f>
        <v>10</v>
      </c>
      <c r="L787" s="23">
        <v>33</v>
      </c>
      <c r="M787" s="65" t="str" cm="1">
        <f t="array" ref="M787">_xlfn.IFS(Table22[[#This Row],[Units Sold]]&lt;40,"Critical",Table22[[#This Row],[Units Sold]]&lt;=50,"Poor",Table22[[#This Row],[Units Sold]]&lt;=60,"Low",Table22[[#This Row],[Units Sold]]&lt;=80,"Average",Table22[[#This Row],[Units Sold]]&lt;=90,"High",Table22[[#This Row],[Units Sold]]&lt;=95,"Excellent",Table22[[#This Row],[Units Sold]]&gt;95,"Outstanding")</f>
        <v>Critical</v>
      </c>
      <c r="N787" s="29">
        <v>1220.43</v>
      </c>
      <c r="O787" s="29">
        <v>40274.19</v>
      </c>
      <c r="P787" s="43">
        <f>IF(Table22[[#This Row],[Discount Applied]],Table22[[#This Row],[Total Sales (in USD)]]*(1-Table22[[#This Row],[Discount Percentage (%)]]/100),Table22[[#This Row],[Total Sales (in USD)]])</f>
        <v>37785.245058</v>
      </c>
      <c r="Q787" s="66">
        <f>SQRT(AVERAGE((Table22[[#This Row],[Net Sales (after discount) (in USD)]]-AVERAGE(Table22[Net Sales (after discount) (in USD)]))^2))</f>
        <v>1273.8844942354626</v>
      </c>
      <c r="R787" s="18" t="b">
        <v>0</v>
      </c>
      <c r="S787" s="40">
        <v>6.18</v>
      </c>
      <c r="T787" s="18" t="b">
        <v>1</v>
      </c>
      <c r="U787" s="25">
        <v>45235</v>
      </c>
      <c r="V787" s="63" t="str">
        <f>IF(MONTH(Table22[[#This Row],[Sales Date]])&lt;=3,"Q1",IF(MONTH(Table22[[#This Row],[Sales Date]])&lt;=6,"Q2",IF(MONTH(Table22[[#This Row],[Sales Date]])&lt;=9,"Q3","Q4")))</f>
        <v>Q4</v>
      </c>
      <c r="W787" s="64">
        <f>YEAR(Table22[[#This Row],[Sales Date]])</f>
        <v>2023</v>
      </c>
      <c r="X787" s="23">
        <v>49</v>
      </c>
      <c r="Y787" s="18" t="s">
        <v>23</v>
      </c>
      <c r="Z787" s="18" t="s">
        <v>24</v>
      </c>
      <c r="AA787" s="19" t="s">
        <v>25</v>
      </c>
    </row>
    <row r="788" spans="1:27" x14ac:dyDescent="0.25">
      <c r="A788" s="17" t="s">
        <v>343</v>
      </c>
      <c r="B788" s="18" t="s">
        <v>51</v>
      </c>
      <c r="C788" s="63" t="str" cm="1">
        <f t="array" ref="C788">_xlfn.SWITCH(Table22[[#This Row],[Country]],"USA","North America","Canada","North America","Brazil","South America","China","Asia","Japan","Asia","India","Asia","France","Europe","Germany","Europe","UK","Europe","Australia","Oceania","South America")</f>
        <v>Europe</v>
      </c>
      <c r="D788" s="18" t="s">
        <v>35</v>
      </c>
      <c r="E788" s="18" t="s">
        <v>19</v>
      </c>
      <c r="F788" s="18" t="s">
        <v>52</v>
      </c>
      <c r="G788" s="18" t="s">
        <v>48</v>
      </c>
      <c r="H788" s="64">
        <f>LEN(TRIM(Table22[[#This Row],[Country]]))</f>
        <v>2</v>
      </c>
      <c r="I788" s="64">
        <f>LEN(TRIM(Table22[[#This Row],[Continent]]))</f>
        <v>6</v>
      </c>
      <c r="J788" s="64">
        <f>LEN(TRIM(Table22[[#This Row],[Product]]))</f>
        <v>6</v>
      </c>
      <c r="K788" s="64">
        <f>LEN(TRIM(Table22[[#This Row],[Sales Team]]))</f>
        <v>9</v>
      </c>
      <c r="L788" s="23">
        <v>42</v>
      </c>
      <c r="M788" s="65" t="str" cm="1">
        <f t="array" ref="M788">_xlfn.IFS(Table22[[#This Row],[Units Sold]]&lt;40,"Critical",Table22[[#This Row],[Units Sold]]&lt;=50,"Poor",Table22[[#This Row],[Units Sold]]&lt;=60,"Low",Table22[[#This Row],[Units Sold]]&lt;=80,"Average",Table22[[#This Row],[Units Sold]]&lt;=90,"High",Table22[[#This Row],[Units Sold]]&lt;=95,"Excellent",Table22[[#This Row],[Units Sold]]&gt;95,"Outstanding")</f>
        <v>Poor</v>
      </c>
      <c r="N788" s="29">
        <v>958.66</v>
      </c>
      <c r="O788" s="29">
        <v>40263.72</v>
      </c>
      <c r="P788" s="43">
        <f>IF(Table22[[#This Row],[Discount Applied]],Table22[[#This Row],[Total Sales (in USD)]]*(1-Table22[[#This Row],[Discount Percentage (%)]]/100),Table22[[#This Row],[Total Sales (in USD)]])</f>
        <v>40098.638748000005</v>
      </c>
      <c r="Q788" s="66">
        <f>SQRT(AVERAGE((Table22[[#This Row],[Net Sales (after discount) (in USD)]]-AVERAGE(Table22[Net Sales (after discount) (in USD)]))^2))</f>
        <v>3587.2781842354671</v>
      </c>
      <c r="R788" s="18" t="b">
        <v>1</v>
      </c>
      <c r="S788" s="40">
        <v>0.41</v>
      </c>
      <c r="T788" s="18" t="b">
        <v>1</v>
      </c>
      <c r="U788" s="25">
        <v>44930</v>
      </c>
      <c r="V788" s="63" t="str">
        <f>IF(MONTH(Table22[[#This Row],[Sales Date]])&lt;=3,"Q1",IF(MONTH(Table22[[#This Row],[Sales Date]])&lt;=6,"Q2",IF(MONTH(Table22[[#This Row],[Sales Date]])&lt;=9,"Q3","Q4")))</f>
        <v>Q1</v>
      </c>
      <c r="W788" s="64">
        <f>YEAR(Table22[[#This Row],[Sales Date]])</f>
        <v>2023</v>
      </c>
      <c r="X788" s="23">
        <v>26</v>
      </c>
      <c r="Y788" s="18" t="s">
        <v>41</v>
      </c>
      <c r="Z788" s="18" t="s">
        <v>42</v>
      </c>
      <c r="AA788" s="19" t="s">
        <v>25</v>
      </c>
    </row>
    <row r="789" spans="1:27" x14ac:dyDescent="0.25">
      <c r="A789" s="17" t="s">
        <v>108</v>
      </c>
      <c r="B789" s="18" t="s">
        <v>66</v>
      </c>
      <c r="C789" s="63" t="str" cm="1">
        <f t="array" ref="C789">_xlfn.SWITCH(Table22[[#This Row],[Country]],"USA","North America","Canada","North America","Brazil","South America","China","Asia","Japan","Asia","India","Asia","France","Europe","Germany","Europe","UK","Europe","Australia","Oceania","South America")</f>
        <v>North America</v>
      </c>
      <c r="D789" s="18" t="s">
        <v>35</v>
      </c>
      <c r="E789" s="18" t="s">
        <v>33</v>
      </c>
      <c r="F789" s="18" t="s">
        <v>20</v>
      </c>
      <c r="G789" s="18" t="s">
        <v>48</v>
      </c>
      <c r="H789" s="64">
        <f>LEN(TRIM(Table22[[#This Row],[Country]]))</f>
        <v>6</v>
      </c>
      <c r="I789" s="64">
        <f>LEN(TRIM(Table22[[#This Row],[Continent]]))</f>
        <v>13</v>
      </c>
      <c r="J789" s="64">
        <f>LEN(TRIM(Table22[[#This Row],[Product]]))</f>
        <v>10</v>
      </c>
      <c r="K789" s="64">
        <f>LEN(TRIM(Table22[[#This Row],[Sales Team]]))</f>
        <v>9</v>
      </c>
      <c r="L789" s="23">
        <v>43</v>
      </c>
      <c r="M789" s="65" t="str" cm="1">
        <f t="array" ref="M789">_xlfn.IFS(Table22[[#This Row],[Units Sold]]&lt;40,"Critical",Table22[[#This Row],[Units Sold]]&lt;=50,"Poor",Table22[[#This Row],[Units Sold]]&lt;=60,"Low",Table22[[#This Row],[Units Sold]]&lt;=80,"Average",Table22[[#This Row],[Units Sold]]&lt;=90,"High",Table22[[#This Row],[Units Sold]]&lt;=95,"Excellent",Table22[[#This Row],[Units Sold]]&gt;95,"Outstanding")</f>
        <v>Poor</v>
      </c>
      <c r="N789" s="29">
        <v>935.75</v>
      </c>
      <c r="O789" s="29">
        <v>40237.25</v>
      </c>
      <c r="P789" s="43">
        <f>IF(Table22[[#This Row],[Discount Applied]],Table22[[#This Row],[Total Sales (in USD)]]*(1-Table22[[#This Row],[Discount Percentage (%)]]/100),Table22[[#This Row],[Total Sales (in USD)]])</f>
        <v>40237.25</v>
      </c>
      <c r="Q789" s="66">
        <f>SQRT(AVERAGE((Table22[[#This Row],[Net Sales (after discount) (in USD)]]-AVERAGE(Table22[Net Sales (after discount) (in USD)]))^2))</f>
        <v>3725.8894362354622</v>
      </c>
      <c r="R789" s="18" t="b">
        <v>0</v>
      </c>
      <c r="S789" s="40">
        <v>5.94</v>
      </c>
      <c r="T789" s="18" t="b">
        <v>0</v>
      </c>
      <c r="U789" s="25">
        <v>45400</v>
      </c>
      <c r="V789" s="63" t="str">
        <f>IF(MONTH(Table22[[#This Row],[Sales Date]])&lt;=3,"Q1",IF(MONTH(Table22[[#This Row],[Sales Date]])&lt;=6,"Q2",IF(MONTH(Table22[[#This Row],[Sales Date]])&lt;=9,"Q3","Q4")))</f>
        <v>Q2</v>
      </c>
      <c r="W789" s="64">
        <f>YEAR(Table22[[#This Row],[Sales Date]])</f>
        <v>2024</v>
      </c>
      <c r="X789" s="23">
        <v>27</v>
      </c>
      <c r="Y789" s="18" t="s">
        <v>49</v>
      </c>
      <c r="Z789" s="18" t="s">
        <v>24</v>
      </c>
      <c r="AA789" s="19" t="s">
        <v>36</v>
      </c>
    </row>
    <row r="790" spans="1:27" x14ac:dyDescent="0.25">
      <c r="A790" s="17" t="s">
        <v>572</v>
      </c>
      <c r="B790" s="18" t="s">
        <v>27</v>
      </c>
      <c r="C790" s="63" t="str" cm="1">
        <f t="array" ref="C790">_xlfn.SWITCH(Table22[[#This Row],[Country]],"USA","North America","Canada","North America","Brazil","South America","China","Asia","Japan","Asia","India","Asia","France","Europe","Germany","Europe","UK","Europe","Australia","Oceania","South America")</f>
        <v>Europe</v>
      </c>
      <c r="D790" s="18" t="s">
        <v>21</v>
      </c>
      <c r="E790" s="18" t="s">
        <v>33</v>
      </c>
      <c r="F790" s="18" t="s">
        <v>52</v>
      </c>
      <c r="G790" s="18" t="s">
        <v>22</v>
      </c>
      <c r="H790" s="64">
        <f>LEN(TRIM(Table22[[#This Row],[Country]]))</f>
        <v>7</v>
      </c>
      <c r="I790" s="64">
        <f>LEN(TRIM(Table22[[#This Row],[Continent]]))</f>
        <v>6</v>
      </c>
      <c r="J790" s="64">
        <f>LEN(TRIM(Table22[[#This Row],[Product]]))</f>
        <v>10</v>
      </c>
      <c r="K790" s="64">
        <f>LEN(TRIM(Table22[[#This Row],[Sales Team]]))</f>
        <v>10</v>
      </c>
      <c r="L790" s="23">
        <v>75</v>
      </c>
      <c r="M790" s="65" t="str" cm="1">
        <f t="array" ref="M790">_xlfn.IFS(Table22[[#This Row],[Units Sold]]&lt;40,"Critical",Table22[[#This Row],[Units Sold]]&lt;=50,"Poor",Table22[[#This Row],[Units Sold]]&lt;=60,"Low",Table22[[#This Row],[Units Sold]]&lt;=80,"Average",Table22[[#This Row],[Units Sold]]&lt;=90,"High",Table22[[#This Row],[Units Sold]]&lt;=95,"Excellent",Table22[[#This Row],[Units Sold]]&gt;95,"Outstanding")</f>
        <v>Average</v>
      </c>
      <c r="N790" s="29">
        <v>536.24</v>
      </c>
      <c r="O790" s="29">
        <v>40218</v>
      </c>
      <c r="P790" s="43">
        <f>IF(Table22[[#This Row],[Discount Applied]],Table22[[#This Row],[Total Sales (in USD)]]*(1-Table22[[#This Row],[Discount Percentage (%)]]/100),Table22[[#This Row],[Total Sales (in USD)]])</f>
        <v>40218</v>
      </c>
      <c r="Q790" s="66">
        <f>SQRT(AVERAGE((Table22[[#This Row],[Net Sales (after discount) (in USD)]]-AVERAGE(Table22[Net Sales (after discount) (in USD)]))^2))</f>
        <v>3706.6394362354622</v>
      </c>
      <c r="R790" s="18" t="b">
        <v>1</v>
      </c>
      <c r="S790" s="40">
        <v>5.69</v>
      </c>
      <c r="T790" s="18" t="b">
        <v>0</v>
      </c>
      <c r="U790" s="25">
        <v>45106</v>
      </c>
      <c r="V790" s="63" t="str">
        <f>IF(MONTH(Table22[[#This Row],[Sales Date]])&lt;=3,"Q1",IF(MONTH(Table22[[#This Row],[Sales Date]])&lt;=6,"Q2",IF(MONTH(Table22[[#This Row],[Sales Date]])&lt;=9,"Q3","Q4")))</f>
        <v>Q2</v>
      </c>
      <c r="W790" s="64">
        <f>YEAR(Table22[[#This Row],[Sales Date]])</f>
        <v>2023</v>
      </c>
      <c r="X790" s="23">
        <v>60</v>
      </c>
      <c r="Y790" s="18" t="s">
        <v>49</v>
      </c>
      <c r="Z790" s="18" t="s">
        <v>24</v>
      </c>
      <c r="AA790" s="19" t="s">
        <v>36</v>
      </c>
    </row>
    <row r="791" spans="1:27" x14ac:dyDescent="0.25">
      <c r="A791" s="17" t="s">
        <v>1426</v>
      </c>
      <c r="B791" s="18" t="s">
        <v>27</v>
      </c>
      <c r="C791" s="63" t="str" cm="1">
        <f t="array" ref="C791">_xlfn.SWITCH(Table22[[#This Row],[Country]],"USA","North America","Canada","North America","Brazil","South America","China","Asia","Japan","Asia","India","Asia","France","Europe","Germany","Europe","UK","Europe","Australia","Oceania","South America")</f>
        <v>Europe</v>
      </c>
      <c r="D791" s="18" t="s">
        <v>21</v>
      </c>
      <c r="E791" s="18" t="s">
        <v>39</v>
      </c>
      <c r="F791" s="18" t="s">
        <v>47</v>
      </c>
      <c r="G791" s="18" t="s">
        <v>40</v>
      </c>
      <c r="H791" s="64">
        <f>LEN(TRIM(Table22[[#This Row],[Country]]))</f>
        <v>7</v>
      </c>
      <c r="I791" s="64">
        <f>LEN(TRIM(Table22[[#This Row],[Continent]]))</f>
        <v>6</v>
      </c>
      <c r="J791" s="64">
        <f>LEN(TRIM(Table22[[#This Row],[Product]]))</f>
        <v>10</v>
      </c>
      <c r="K791" s="64">
        <f>LEN(TRIM(Table22[[#This Row],[Sales Team]]))</f>
        <v>10</v>
      </c>
      <c r="L791" s="23">
        <v>47</v>
      </c>
      <c r="M791" s="65" t="str" cm="1">
        <f t="array" ref="M791">_xlfn.IFS(Table22[[#This Row],[Units Sold]]&lt;40,"Critical",Table22[[#This Row],[Units Sold]]&lt;=50,"Poor",Table22[[#This Row],[Units Sold]]&lt;=60,"Low",Table22[[#This Row],[Units Sold]]&lt;=80,"Average",Table22[[#This Row],[Units Sold]]&lt;=90,"High",Table22[[#This Row],[Units Sold]]&lt;=95,"Excellent",Table22[[#This Row],[Units Sold]]&gt;95,"Outstanding")</f>
        <v>Poor</v>
      </c>
      <c r="N791" s="29">
        <v>854.17</v>
      </c>
      <c r="O791" s="29">
        <v>40145.99</v>
      </c>
      <c r="P791" s="43">
        <f>IF(Table22[[#This Row],[Discount Applied]],Table22[[#This Row],[Total Sales (in USD)]]*(1-Table22[[#This Row],[Discount Percentage (%)]]/100),Table22[[#This Row],[Total Sales (in USD)]])</f>
        <v>29772.266184</v>
      </c>
      <c r="Q791" s="66">
        <f>SQRT(AVERAGE((Table22[[#This Row],[Net Sales (after discount) (in USD)]]-AVERAGE(Table22[Net Sales (after discount) (in USD)]))^2))</f>
        <v>6739.0943797645377</v>
      </c>
      <c r="R791" s="18" t="b">
        <v>1</v>
      </c>
      <c r="S791" s="40">
        <v>25.84</v>
      </c>
      <c r="T791" s="18" t="b">
        <v>1</v>
      </c>
      <c r="U791" s="25">
        <v>45239</v>
      </c>
      <c r="V791" s="63" t="str">
        <f>IF(MONTH(Table22[[#This Row],[Sales Date]])&lt;=3,"Q1",IF(MONTH(Table22[[#This Row],[Sales Date]])&lt;=6,"Q2",IF(MONTH(Table22[[#This Row],[Sales Date]])&lt;=9,"Q3","Q4")))</f>
        <v>Q4</v>
      </c>
      <c r="W791" s="64">
        <f>YEAR(Table22[[#This Row],[Sales Date]])</f>
        <v>2023</v>
      </c>
      <c r="X791" s="23">
        <v>68</v>
      </c>
      <c r="Y791" s="18" t="s">
        <v>41</v>
      </c>
      <c r="Z791" s="18" t="s">
        <v>24</v>
      </c>
      <c r="AA791" s="19" t="s">
        <v>36</v>
      </c>
    </row>
    <row r="792" spans="1:27" x14ac:dyDescent="0.25">
      <c r="A792" s="17" t="s">
        <v>1810</v>
      </c>
      <c r="B792" s="18" t="s">
        <v>32</v>
      </c>
      <c r="C792" s="63" t="str" cm="1">
        <f t="array" ref="C792">_xlfn.SWITCH(Table22[[#This Row],[Country]],"USA","North America","Canada","North America","Brazil","South America","China","Asia","Japan","Asia","India","Asia","France","Europe","Germany","Europe","UK","Europe","Australia","Oceania","South America")</f>
        <v>Asia</v>
      </c>
      <c r="D792" s="18" t="s">
        <v>35</v>
      </c>
      <c r="E792" s="18" t="s">
        <v>19</v>
      </c>
      <c r="F792" s="18" t="s">
        <v>34</v>
      </c>
      <c r="G792" s="18" t="s">
        <v>40</v>
      </c>
      <c r="H792" s="64">
        <f>LEN(TRIM(Table22[[#This Row],[Country]]))</f>
        <v>5</v>
      </c>
      <c r="I792" s="64">
        <f>LEN(TRIM(Table22[[#This Row],[Continent]]))</f>
        <v>4</v>
      </c>
      <c r="J792" s="64">
        <f>LEN(TRIM(Table22[[#This Row],[Product]]))</f>
        <v>6</v>
      </c>
      <c r="K792" s="64">
        <f>LEN(TRIM(Table22[[#This Row],[Sales Team]]))</f>
        <v>10</v>
      </c>
      <c r="L792" s="23">
        <v>37</v>
      </c>
      <c r="M792" s="65" t="str" cm="1">
        <f t="array" ref="M792">_xlfn.IFS(Table22[[#This Row],[Units Sold]]&lt;40,"Critical",Table22[[#This Row],[Units Sold]]&lt;=50,"Poor",Table22[[#This Row],[Units Sold]]&lt;=60,"Low",Table22[[#This Row],[Units Sold]]&lt;=80,"Average",Table22[[#This Row],[Units Sold]]&lt;=90,"High",Table22[[#This Row],[Units Sold]]&lt;=95,"Excellent",Table22[[#This Row],[Units Sold]]&gt;95,"Outstanding")</f>
        <v>Critical</v>
      </c>
      <c r="N792" s="29">
        <v>1083.8699999999999</v>
      </c>
      <c r="O792" s="29">
        <v>40103.19</v>
      </c>
      <c r="P792" s="43">
        <f>IF(Table22[[#This Row],[Discount Applied]],Table22[[#This Row],[Total Sales (in USD)]]*(1-Table22[[#This Row],[Discount Percentage (%)]]/100),Table22[[#This Row],[Total Sales (in USD)]])</f>
        <v>40103.19</v>
      </c>
      <c r="Q792" s="66">
        <f>SQRT(AVERAGE((Table22[[#This Row],[Net Sales (after discount) (in USD)]]-AVERAGE(Table22[Net Sales (after discount) (in USD)]))^2))</f>
        <v>3591.8294362354645</v>
      </c>
      <c r="R792" s="18" t="b">
        <v>0</v>
      </c>
      <c r="S792" s="40">
        <v>5.86</v>
      </c>
      <c r="T792" s="18" t="b">
        <v>0</v>
      </c>
      <c r="U792" s="25">
        <v>45596</v>
      </c>
      <c r="V792" s="63" t="str">
        <f>IF(MONTH(Table22[[#This Row],[Sales Date]])&lt;=3,"Q1",IF(MONTH(Table22[[#This Row],[Sales Date]])&lt;=6,"Q2",IF(MONTH(Table22[[#This Row],[Sales Date]])&lt;=9,"Q3","Q4")))</f>
        <v>Q4</v>
      </c>
      <c r="W792" s="64">
        <f>YEAR(Table22[[#This Row],[Sales Date]])</f>
        <v>2024</v>
      </c>
      <c r="X792" s="23">
        <v>37</v>
      </c>
      <c r="Y792" s="18" t="s">
        <v>23</v>
      </c>
      <c r="Z792" s="18" t="s">
        <v>42</v>
      </c>
      <c r="AA792" s="19" t="s">
        <v>36</v>
      </c>
    </row>
    <row r="793" spans="1:27" x14ac:dyDescent="0.25">
      <c r="A793" s="17" t="s">
        <v>1860</v>
      </c>
      <c r="B793" s="18" t="s">
        <v>18</v>
      </c>
      <c r="C793" s="63" t="str" cm="1">
        <f t="array" ref="C793">_xlfn.SWITCH(Table22[[#This Row],[Country]],"USA","North America","Canada","North America","Brazil","South America","China","Asia","Japan","Asia","India","Asia","France","Europe","Germany","Europe","UK","Europe","Australia","Oceania","South America")</f>
        <v>Asia</v>
      </c>
      <c r="D793" s="18" t="s">
        <v>21</v>
      </c>
      <c r="E793" s="18" t="s">
        <v>39</v>
      </c>
      <c r="F793" s="18" t="s">
        <v>34</v>
      </c>
      <c r="G793" s="18" t="s">
        <v>40</v>
      </c>
      <c r="H793" s="64">
        <f>LEN(TRIM(Table22[[#This Row],[Country]]))</f>
        <v>5</v>
      </c>
      <c r="I793" s="64">
        <f>LEN(TRIM(Table22[[#This Row],[Continent]]))</f>
        <v>4</v>
      </c>
      <c r="J793" s="64">
        <f>LEN(TRIM(Table22[[#This Row],[Product]]))</f>
        <v>10</v>
      </c>
      <c r="K793" s="64">
        <f>LEN(TRIM(Table22[[#This Row],[Sales Team]]))</f>
        <v>10</v>
      </c>
      <c r="L793" s="23">
        <v>33</v>
      </c>
      <c r="M793" s="65" t="str" cm="1">
        <f t="array" ref="M793">_xlfn.IFS(Table22[[#This Row],[Units Sold]]&lt;40,"Critical",Table22[[#This Row],[Units Sold]]&lt;=50,"Poor",Table22[[#This Row],[Units Sold]]&lt;=60,"Low",Table22[[#This Row],[Units Sold]]&lt;=80,"Average",Table22[[#This Row],[Units Sold]]&lt;=90,"High",Table22[[#This Row],[Units Sold]]&lt;=95,"Excellent",Table22[[#This Row],[Units Sold]]&gt;95,"Outstanding")</f>
        <v>Critical</v>
      </c>
      <c r="N793" s="29">
        <v>1214.3</v>
      </c>
      <c r="O793" s="29">
        <v>40071.9</v>
      </c>
      <c r="P793" s="43">
        <f>IF(Table22[[#This Row],[Discount Applied]],Table22[[#This Row],[Total Sales (in USD)]]*(1-Table22[[#This Row],[Discount Percentage (%)]]/100),Table22[[#This Row],[Total Sales (in USD)]])</f>
        <v>30029.881860000005</v>
      </c>
      <c r="Q793" s="66">
        <f>SQRT(AVERAGE((Table22[[#This Row],[Net Sales (after discount) (in USD)]]-AVERAGE(Table22[Net Sales (after discount) (in USD)]))^2))</f>
        <v>6481.4787037645328</v>
      </c>
      <c r="R793" s="18" t="b">
        <v>1</v>
      </c>
      <c r="S793" s="40">
        <v>25.06</v>
      </c>
      <c r="T793" s="18" t="b">
        <v>1</v>
      </c>
      <c r="U793" s="25">
        <v>45368</v>
      </c>
      <c r="V793" s="63" t="str">
        <f>IF(MONTH(Table22[[#This Row],[Sales Date]])&lt;=3,"Q1",IF(MONTH(Table22[[#This Row],[Sales Date]])&lt;=6,"Q2",IF(MONTH(Table22[[#This Row],[Sales Date]])&lt;=9,"Q3","Q4")))</f>
        <v>Q1</v>
      </c>
      <c r="W793" s="64">
        <f>YEAR(Table22[[#This Row],[Sales Date]])</f>
        <v>2024</v>
      </c>
      <c r="X793" s="23">
        <v>35</v>
      </c>
      <c r="Y793" s="18" t="s">
        <v>23</v>
      </c>
      <c r="Z793" s="18" t="s">
        <v>42</v>
      </c>
      <c r="AA793" s="19" t="s">
        <v>36</v>
      </c>
    </row>
    <row r="794" spans="1:27" x14ac:dyDescent="0.25">
      <c r="A794" s="17" t="s">
        <v>1224</v>
      </c>
      <c r="B794" s="18" t="s">
        <v>72</v>
      </c>
      <c r="C794" s="63" t="str" cm="1">
        <f t="array" ref="C794">_xlfn.SWITCH(Table22[[#This Row],[Country]],"USA","North America","Canada","North America","Brazil","South America","China","Asia","Japan","Asia","India","Asia","France","Europe","Germany","Europe","UK","Europe","Australia","Oceania","South America")</f>
        <v>North America</v>
      </c>
      <c r="D794" s="18" t="s">
        <v>44</v>
      </c>
      <c r="E794" s="18" t="s">
        <v>19</v>
      </c>
      <c r="F794" s="18" t="s">
        <v>47</v>
      </c>
      <c r="G794" s="18" t="s">
        <v>40</v>
      </c>
      <c r="H794" s="64">
        <f>LEN(TRIM(Table22[[#This Row],[Country]]))</f>
        <v>3</v>
      </c>
      <c r="I794" s="64">
        <f>LEN(TRIM(Table22[[#This Row],[Continent]]))</f>
        <v>13</v>
      </c>
      <c r="J794" s="64">
        <f>LEN(TRIM(Table22[[#This Row],[Product]]))</f>
        <v>6</v>
      </c>
      <c r="K794" s="64">
        <f>LEN(TRIM(Table22[[#This Row],[Sales Team]]))</f>
        <v>10</v>
      </c>
      <c r="L794" s="23">
        <v>56</v>
      </c>
      <c r="M794" s="65" t="str" cm="1">
        <f t="array" ref="M794">_xlfn.IFS(Table22[[#This Row],[Units Sold]]&lt;40,"Critical",Table22[[#This Row],[Units Sold]]&lt;=50,"Poor",Table22[[#This Row],[Units Sold]]&lt;=60,"Low",Table22[[#This Row],[Units Sold]]&lt;=80,"Average",Table22[[#This Row],[Units Sold]]&lt;=90,"High",Table22[[#This Row],[Units Sold]]&lt;=95,"Excellent",Table22[[#This Row],[Units Sold]]&gt;95,"Outstanding")</f>
        <v>Low</v>
      </c>
      <c r="N794" s="29">
        <v>715.05</v>
      </c>
      <c r="O794" s="29">
        <v>40042.800000000003</v>
      </c>
      <c r="P794" s="43">
        <f>IF(Table22[[#This Row],[Discount Applied]],Table22[[#This Row],[Total Sales (in USD)]]*(1-Table22[[#This Row],[Discount Percentage (%)]]/100),Table22[[#This Row],[Total Sales (in USD)]])</f>
        <v>40042.800000000003</v>
      </c>
      <c r="Q794" s="66">
        <f>SQRT(AVERAGE((Table22[[#This Row],[Net Sales (after discount) (in USD)]]-AVERAGE(Table22[Net Sales (after discount) (in USD)]))^2))</f>
        <v>3531.4394362354651</v>
      </c>
      <c r="R794" s="18" t="b">
        <v>1</v>
      </c>
      <c r="S794" s="40">
        <v>21.73</v>
      </c>
      <c r="T794" s="18" t="b">
        <v>0</v>
      </c>
      <c r="U794" s="25">
        <v>45238</v>
      </c>
      <c r="V794" s="63" t="str">
        <f>IF(MONTH(Table22[[#This Row],[Sales Date]])&lt;=3,"Q1",IF(MONTH(Table22[[#This Row],[Sales Date]])&lt;=6,"Q2",IF(MONTH(Table22[[#This Row],[Sales Date]])&lt;=9,"Q3","Q4")))</f>
        <v>Q4</v>
      </c>
      <c r="W794" s="64">
        <f>YEAR(Table22[[#This Row],[Sales Date]])</f>
        <v>2023</v>
      </c>
      <c r="X794" s="23">
        <v>50</v>
      </c>
      <c r="Y794" s="18" t="s">
        <v>23</v>
      </c>
      <c r="Z794" s="18" t="s">
        <v>56</v>
      </c>
      <c r="AA794" s="19" t="s">
        <v>36</v>
      </c>
    </row>
    <row r="795" spans="1:27" x14ac:dyDescent="0.25">
      <c r="A795" s="17" t="s">
        <v>1318</v>
      </c>
      <c r="B795" s="18" t="s">
        <v>51</v>
      </c>
      <c r="C795" s="63" t="str" cm="1">
        <f t="array" ref="C795">_xlfn.SWITCH(Table22[[#This Row],[Country]],"USA","North America","Canada","North America","Brazil","South America","China","Asia","Japan","Asia","India","Asia","France","Europe","Germany","Europe","UK","Europe","Australia","Oceania","South America")</f>
        <v>Europe</v>
      </c>
      <c r="D795" s="18" t="s">
        <v>35</v>
      </c>
      <c r="E795" s="18" t="s">
        <v>19</v>
      </c>
      <c r="F795" s="18" t="s">
        <v>34</v>
      </c>
      <c r="G795" s="18" t="s">
        <v>29</v>
      </c>
      <c r="H795" s="64">
        <f>LEN(TRIM(Table22[[#This Row],[Country]]))</f>
        <v>2</v>
      </c>
      <c r="I795" s="64">
        <f>LEN(TRIM(Table22[[#This Row],[Continent]]))</f>
        <v>6</v>
      </c>
      <c r="J795" s="64">
        <f>LEN(TRIM(Table22[[#This Row],[Product]]))</f>
        <v>6</v>
      </c>
      <c r="K795" s="64">
        <f>LEN(TRIM(Table22[[#This Row],[Sales Team]]))</f>
        <v>10</v>
      </c>
      <c r="L795" s="23">
        <v>58</v>
      </c>
      <c r="M795" s="65" t="str" cm="1">
        <f t="array" ref="M795">_xlfn.IFS(Table22[[#This Row],[Units Sold]]&lt;40,"Critical",Table22[[#This Row],[Units Sold]]&lt;=50,"Poor",Table22[[#This Row],[Units Sold]]&lt;=60,"Low",Table22[[#This Row],[Units Sold]]&lt;=80,"Average",Table22[[#This Row],[Units Sold]]&lt;=90,"High",Table22[[#This Row],[Units Sold]]&lt;=95,"Excellent",Table22[[#This Row],[Units Sold]]&gt;95,"Outstanding")</f>
        <v>Low</v>
      </c>
      <c r="N795" s="29">
        <v>689.62</v>
      </c>
      <c r="O795" s="29">
        <v>39997.96</v>
      </c>
      <c r="P795" s="43">
        <f>IF(Table22[[#This Row],[Discount Applied]],Table22[[#This Row],[Total Sales (in USD)]]*(1-Table22[[#This Row],[Discount Percentage (%)]]/100),Table22[[#This Row],[Total Sales (in USD)]])</f>
        <v>38542.034255999999</v>
      </c>
      <c r="Q795" s="66">
        <f>SQRT(AVERAGE((Table22[[#This Row],[Net Sales (after discount) (in USD)]]-AVERAGE(Table22[Net Sales (after discount) (in USD)]))^2))</f>
        <v>2030.6736922354612</v>
      </c>
      <c r="R795" s="18" t="b">
        <v>1</v>
      </c>
      <c r="S795" s="40">
        <v>3.64</v>
      </c>
      <c r="T795" s="18" t="b">
        <v>1</v>
      </c>
      <c r="U795" s="25">
        <v>45149</v>
      </c>
      <c r="V795" s="63" t="str">
        <f>IF(MONTH(Table22[[#This Row],[Sales Date]])&lt;=3,"Q1",IF(MONTH(Table22[[#This Row],[Sales Date]])&lt;=6,"Q2",IF(MONTH(Table22[[#This Row],[Sales Date]])&lt;=9,"Q3","Q4")))</f>
        <v>Q3</v>
      </c>
      <c r="W795" s="64">
        <f>YEAR(Table22[[#This Row],[Sales Date]])</f>
        <v>2023</v>
      </c>
      <c r="X795" s="23">
        <v>22</v>
      </c>
      <c r="Y795" s="18" t="s">
        <v>23</v>
      </c>
      <c r="Z795" s="18" t="s">
        <v>56</v>
      </c>
      <c r="AA795" s="19" t="s">
        <v>36</v>
      </c>
    </row>
    <row r="796" spans="1:27" x14ac:dyDescent="0.25">
      <c r="A796" s="17" t="s">
        <v>1909</v>
      </c>
      <c r="B796" s="18" t="s">
        <v>62</v>
      </c>
      <c r="C796" s="63" t="str" cm="1">
        <f t="array" ref="C796">_xlfn.SWITCH(Table22[[#This Row],[Country]],"USA","North America","Canada","North America","Brazil","South America","China","Asia","Japan","Asia","India","Asia","France","Europe","Germany","Europe","UK","Europe","Australia","Oceania","South America")</f>
        <v>Oceania</v>
      </c>
      <c r="D796" s="18" t="s">
        <v>35</v>
      </c>
      <c r="E796" s="18" t="s">
        <v>33</v>
      </c>
      <c r="F796" s="18" t="s">
        <v>34</v>
      </c>
      <c r="G796" s="18" t="s">
        <v>40</v>
      </c>
      <c r="H796" s="64">
        <f>LEN(TRIM(Table22[[#This Row],[Country]]))</f>
        <v>9</v>
      </c>
      <c r="I796" s="64">
        <f>LEN(TRIM(Table22[[#This Row],[Continent]]))</f>
        <v>7</v>
      </c>
      <c r="J796" s="64">
        <f>LEN(TRIM(Table22[[#This Row],[Product]]))</f>
        <v>10</v>
      </c>
      <c r="K796" s="64">
        <f>LEN(TRIM(Table22[[#This Row],[Sales Team]]))</f>
        <v>10</v>
      </c>
      <c r="L796" s="23">
        <v>60</v>
      </c>
      <c r="M796" s="65" t="str" cm="1">
        <f t="array" ref="M796">_xlfn.IFS(Table22[[#This Row],[Units Sold]]&lt;40,"Critical",Table22[[#This Row],[Units Sold]]&lt;=50,"Poor",Table22[[#This Row],[Units Sold]]&lt;=60,"Low",Table22[[#This Row],[Units Sold]]&lt;=80,"Average",Table22[[#This Row],[Units Sold]]&lt;=90,"High",Table22[[#This Row],[Units Sold]]&lt;=95,"Excellent",Table22[[#This Row],[Units Sold]]&gt;95,"Outstanding")</f>
        <v>Low</v>
      </c>
      <c r="N796" s="29">
        <v>666.24</v>
      </c>
      <c r="O796" s="29">
        <v>39974.400000000001</v>
      </c>
      <c r="P796" s="43">
        <f>IF(Table22[[#This Row],[Discount Applied]],Table22[[#This Row],[Total Sales (in USD)]]*(1-Table22[[#This Row],[Discount Percentage (%)]]/100),Table22[[#This Row],[Total Sales (in USD)]])</f>
        <v>39974.400000000001</v>
      </c>
      <c r="Q796" s="66">
        <f>SQRT(AVERAGE((Table22[[#This Row],[Net Sales (after discount) (in USD)]]-AVERAGE(Table22[Net Sales (after discount) (in USD)]))^2))</f>
        <v>3463.0394362354637</v>
      </c>
      <c r="R796" s="18" t="b">
        <v>0</v>
      </c>
      <c r="S796" s="40">
        <v>2.85</v>
      </c>
      <c r="T796" s="18" t="b">
        <v>0</v>
      </c>
      <c r="U796" s="25">
        <v>45237</v>
      </c>
      <c r="V796" s="63" t="str">
        <f>IF(MONTH(Table22[[#This Row],[Sales Date]])&lt;=3,"Q1",IF(MONTH(Table22[[#This Row],[Sales Date]])&lt;=6,"Q2",IF(MONTH(Table22[[#This Row],[Sales Date]])&lt;=9,"Q3","Q4")))</f>
        <v>Q4</v>
      </c>
      <c r="W796" s="64">
        <f>YEAR(Table22[[#This Row],[Sales Date]])</f>
        <v>2023</v>
      </c>
      <c r="X796" s="23">
        <v>67</v>
      </c>
      <c r="Y796" s="18" t="s">
        <v>49</v>
      </c>
      <c r="Z796" s="18" t="s">
        <v>56</v>
      </c>
      <c r="AA796" s="19" t="s">
        <v>25</v>
      </c>
    </row>
    <row r="797" spans="1:27" x14ac:dyDescent="0.25">
      <c r="A797" s="17" t="s">
        <v>952</v>
      </c>
      <c r="B797" s="18" t="s">
        <v>51</v>
      </c>
      <c r="C797" s="63" t="str" cm="1">
        <f t="array" ref="C797">_xlfn.SWITCH(Table22[[#This Row],[Country]],"USA","North America","Canada","North America","Brazil","South America","China","Asia","Japan","Asia","India","Asia","France","Europe","Germany","Europe","UK","Europe","Australia","Oceania","South America")</f>
        <v>Europe</v>
      </c>
      <c r="D797" s="18" t="s">
        <v>28</v>
      </c>
      <c r="E797" s="18" t="s">
        <v>39</v>
      </c>
      <c r="F797" s="18" t="s">
        <v>47</v>
      </c>
      <c r="G797" s="18" t="s">
        <v>40</v>
      </c>
      <c r="H797" s="64">
        <f>LEN(TRIM(Table22[[#This Row],[Country]]))</f>
        <v>2</v>
      </c>
      <c r="I797" s="64">
        <f>LEN(TRIM(Table22[[#This Row],[Continent]]))</f>
        <v>6</v>
      </c>
      <c r="J797" s="64">
        <f>LEN(TRIM(Table22[[#This Row],[Product]]))</f>
        <v>10</v>
      </c>
      <c r="K797" s="64">
        <f>LEN(TRIM(Table22[[#This Row],[Sales Team]]))</f>
        <v>10</v>
      </c>
      <c r="L797" s="23">
        <v>94</v>
      </c>
      <c r="M797" s="65" t="str" cm="1">
        <f t="array" ref="M797">_xlfn.IFS(Table22[[#This Row],[Units Sold]]&lt;40,"Critical",Table22[[#This Row],[Units Sold]]&lt;=50,"Poor",Table22[[#This Row],[Units Sold]]&lt;=60,"Low",Table22[[#This Row],[Units Sold]]&lt;=80,"Average",Table22[[#This Row],[Units Sold]]&lt;=90,"High",Table22[[#This Row],[Units Sold]]&lt;=95,"Excellent",Table22[[#This Row],[Units Sold]]&gt;95,"Outstanding")</f>
        <v>Excellent</v>
      </c>
      <c r="N797" s="29">
        <v>424.83</v>
      </c>
      <c r="O797" s="29">
        <v>39934.019999999997</v>
      </c>
      <c r="P797" s="43">
        <f>IF(Table22[[#This Row],[Discount Applied]],Table22[[#This Row],[Total Sales (in USD)]]*(1-Table22[[#This Row],[Discount Percentage (%)]]/100),Table22[[#This Row],[Total Sales (in USD)]])</f>
        <v>35772.895116</v>
      </c>
      <c r="Q797" s="66">
        <f>SQRT(AVERAGE((Table22[[#This Row],[Net Sales (after discount) (in USD)]]-AVERAGE(Table22[Net Sales (after discount) (in USD)]))^2))</f>
        <v>738.46544776453811</v>
      </c>
      <c r="R797" s="18" t="b">
        <v>0</v>
      </c>
      <c r="S797" s="40">
        <v>10.42</v>
      </c>
      <c r="T797" s="18" t="b">
        <v>1</v>
      </c>
      <c r="U797" s="25">
        <v>44954</v>
      </c>
      <c r="V797" s="63" t="str">
        <f>IF(MONTH(Table22[[#This Row],[Sales Date]])&lt;=3,"Q1",IF(MONTH(Table22[[#This Row],[Sales Date]])&lt;=6,"Q2",IF(MONTH(Table22[[#This Row],[Sales Date]])&lt;=9,"Q3","Q4")))</f>
        <v>Q1</v>
      </c>
      <c r="W797" s="64">
        <f>YEAR(Table22[[#This Row],[Sales Date]])</f>
        <v>2023</v>
      </c>
      <c r="X797" s="23">
        <v>66</v>
      </c>
      <c r="Y797" s="18" t="s">
        <v>23</v>
      </c>
      <c r="Z797" s="18" t="s">
        <v>56</v>
      </c>
      <c r="AA797" s="19" t="s">
        <v>25</v>
      </c>
    </row>
    <row r="798" spans="1:27" x14ac:dyDescent="0.25">
      <c r="A798" s="17" t="s">
        <v>98</v>
      </c>
      <c r="B798" s="18" t="s">
        <v>66</v>
      </c>
      <c r="C798" s="63" t="str" cm="1">
        <f t="array" ref="C798">_xlfn.SWITCH(Table22[[#This Row],[Country]],"USA","North America","Canada","North America","Brazil","South America","China","Asia","Japan","Asia","India","Asia","France","Europe","Germany","Europe","UK","Europe","Australia","Oceania","South America")</f>
        <v>North America</v>
      </c>
      <c r="D798" s="18" t="s">
        <v>21</v>
      </c>
      <c r="E798" s="18" t="s">
        <v>19</v>
      </c>
      <c r="F798" s="18" t="s">
        <v>34</v>
      </c>
      <c r="G798" s="18" t="s">
        <v>48</v>
      </c>
      <c r="H798" s="64">
        <f>LEN(TRIM(Table22[[#This Row],[Country]]))</f>
        <v>6</v>
      </c>
      <c r="I798" s="64">
        <f>LEN(TRIM(Table22[[#This Row],[Continent]]))</f>
        <v>13</v>
      </c>
      <c r="J798" s="64">
        <f>LEN(TRIM(Table22[[#This Row],[Product]]))</f>
        <v>6</v>
      </c>
      <c r="K798" s="64">
        <f>LEN(TRIM(Table22[[#This Row],[Sales Team]]))</f>
        <v>9</v>
      </c>
      <c r="L798" s="23">
        <v>63</v>
      </c>
      <c r="M798" s="65" t="str" cm="1">
        <f t="array" ref="M798">_xlfn.IFS(Table22[[#This Row],[Units Sold]]&lt;40,"Critical",Table22[[#This Row],[Units Sold]]&lt;=50,"Poor",Table22[[#This Row],[Units Sold]]&lt;=60,"Low",Table22[[#This Row],[Units Sold]]&lt;=80,"Average",Table22[[#This Row],[Units Sold]]&lt;=90,"High",Table22[[#This Row],[Units Sold]]&lt;=95,"Excellent",Table22[[#This Row],[Units Sold]]&gt;95,"Outstanding")</f>
        <v>Average</v>
      </c>
      <c r="N798" s="29">
        <v>633.29999999999995</v>
      </c>
      <c r="O798" s="29">
        <v>39897.9</v>
      </c>
      <c r="P798" s="43">
        <f>IF(Table22[[#This Row],[Discount Applied]],Table22[[#This Row],[Total Sales (in USD)]]*(1-Table22[[#This Row],[Discount Percentage (%)]]/100),Table22[[#This Row],[Total Sales (in USD)]])</f>
        <v>39897.9</v>
      </c>
      <c r="Q798" s="66">
        <f>SQRT(AVERAGE((Table22[[#This Row],[Net Sales (after discount) (in USD)]]-AVERAGE(Table22[Net Sales (after discount) (in USD)]))^2))</f>
        <v>3386.5394362354637</v>
      </c>
      <c r="R798" s="18" t="b">
        <v>0</v>
      </c>
      <c r="S798" s="40">
        <v>15.32</v>
      </c>
      <c r="T798" s="18" t="b">
        <v>0</v>
      </c>
      <c r="U798" s="25">
        <v>44973</v>
      </c>
      <c r="V798" s="63" t="str">
        <f>IF(MONTH(Table22[[#This Row],[Sales Date]])&lt;=3,"Q1",IF(MONTH(Table22[[#This Row],[Sales Date]])&lt;=6,"Q2",IF(MONTH(Table22[[#This Row],[Sales Date]])&lt;=9,"Q3","Q4")))</f>
        <v>Q1</v>
      </c>
      <c r="W798" s="64">
        <f>YEAR(Table22[[#This Row],[Sales Date]])</f>
        <v>2023</v>
      </c>
      <c r="X798" s="23">
        <v>44</v>
      </c>
      <c r="Y798" s="18" t="s">
        <v>49</v>
      </c>
      <c r="Z798" s="18" t="s">
        <v>42</v>
      </c>
      <c r="AA798" s="19" t="s">
        <v>36</v>
      </c>
    </row>
    <row r="799" spans="1:27" x14ac:dyDescent="0.25">
      <c r="A799" s="17" t="s">
        <v>2032</v>
      </c>
      <c r="B799" s="18" t="s">
        <v>51</v>
      </c>
      <c r="C799" s="63" t="str" cm="1">
        <f t="array" ref="C799">_xlfn.SWITCH(Table22[[#This Row],[Country]],"USA","North America","Canada","North America","Brazil","South America","China","Asia","Japan","Asia","India","Asia","France","Europe","Germany","Europe","UK","Europe","Australia","Oceania","South America")</f>
        <v>Europe</v>
      </c>
      <c r="D799" s="18" t="s">
        <v>35</v>
      </c>
      <c r="E799" s="18" t="s">
        <v>19</v>
      </c>
      <c r="F799" s="18" t="s">
        <v>64</v>
      </c>
      <c r="G799" s="18" t="s">
        <v>22</v>
      </c>
      <c r="H799" s="64">
        <f>LEN(TRIM(Table22[[#This Row],[Country]]))</f>
        <v>2</v>
      </c>
      <c r="I799" s="64">
        <f>LEN(TRIM(Table22[[#This Row],[Continent]]))</f>
        <v>6</v>
      </c>
      <c r="J799" s="64">
        <f>LEN(TRIM(Table22[[#This Row],[Product]]))</f>
        <v>6</v>
      </c>
      <c r="K799" s="64">
        <f>LEN(TRIM(Table22[[#This Row],[Sales Team]]))</f>
        <v>10</v>
      </c>
      <c r="L799" s="23">
        <v>76</v>
      </c>
      <c r="M799" s="65" t="str" cm="1">
        <f t="array" ref="M799">_xlfn.IFS(Table22[[#This Row],[Units Sold]]&lt;40,"Critical",Table22[[#This Row],[Units Sold]]&lt;=50,"Poor",Table22[[#This Row],[Units Sold]]&lt;=60,"Low",Table22[[#This Row],[Units Sold]]&lt;=80,"Average",Table22[[#This Row],[Units Sold]]&lt;=90,"High",Table22[[#This Row],[Units Sold]]&lt;=95,"Excellent",Table22[[#This Row],[Units Sold]]&gt;95,"Outstanding")</f>
        <v>Average</v>
      </c>
      <c r="N799" s="29">
        <v>524.79</v>
      </c>
      <c r="O799" s="29">
        <v>39884.04</v>
      </c>
      <c r="P799" s="43">
        <f>IF(Table22[[#This Row],[Discount Applied]],Table22[[#This Row],[Total Sales (in USD)]]*(1-Table22[[#This Row],[Discount Percentage (%)]]/100),Table22[[#This Row],[Total Sales (in USD)]])</f>
        <v>39884.04</v>
      </c>
      <c r="Q799" s="66">
        <f>SQRT(AVERAGE((Table22[[#This Row],[Net Sales (after discount) (in USD)]]-AVERAGE(Table22[Net Sales (after discount) (in USD)]))^2))</f>
        <v>3372.6794362354631</v>
      </c>
      <c r="R799" s="18" t="b">
        <v>1</v>
      </c>
      <c r="S799" s="40">
        <v>26.62</v>
      </c>
      <c r="T799" s="18" t="b">
        <v>0</v>
      </c>
      <c r="U799" s="25">
        <v>45240</v>
      </c>
      <c r="V799" s="63" t="str">
        <f>IF(MONTH(Table22[[#This Row],[Sales Date]])&lt;=3,"Q1",IF(MONTH(Table22[[#This Row],[Sales Date]])&lt;=6,"Q2",IF(MONTH(Table22[[#This Row],[Sales Date]])&lt;=9,"Q3","Q4")))</f>
        <v>Q4</v>
      </c>
      <c r="W799" s="64">
        <f>YEAR(Table22[[#This Row],[Sales Date]])</f>
        <v>2023</v>
      </c>
      <c r="X799" s="23">
        <v>55</v>
      </c>
      <c r="Y799" s="18" t="s">
        <v>49</v>
      </c>
      <c r="Z799" s="18" t="s">
        <v>24</v>
      </c>
      <c r="AA799" s="19" t="s">
        <v>25</v>
      </c>
    </row>
    <row r="800" spans="1:27" x14ac:dyDescent="0.25">
      <c r="A800" s="17" t="s">
        <v>201</v>
      </c>
      <c r="B800" s="18" t="s">
        <v>76</v>
      </c>
      <c r="C800" s="63" t="str" cm="1">
        <f t="array" ref="C800">_xlfn.SWITCH(Table22[[#This Row],[Country]],"USA","North America","Canada","North America","Brazil","South America","China","Asia","Japan","Asia","India","Asia","France","Europe","Germany","Europe","UK","Europe","Australia","Oceania","South America")</f>
        <v>Asia</v>
      </c>
      <c r="D800" s="18" t="s">
        <v>28</v>
      </c>
      <c r="E800" s="18" t="s">
        <v>19</v>
      </c>
      <c r="F800" s="18" t="s">
        <v>47</v>
      </c>
      <c r="G800" s="18" t="s">
        <v>29</v>
      </c>
      <c r="H800" s="64">
        <f>LEN(TRIM(Table22[[#This Row],[Country]]))</f>
        <v>5</v>
      </c>
      <c r="I800" s="64">
        <f>LEN(TRIM(Table22[[#This Row],[Continent]]))</f>
        <v>4</v>
      </c>
      <c r="J800" s="64">
        <f>LEN(TRIM(Table22[[#This Row],[Product]]))</f>
        <v>6</v>
      </c>
      <c r="K800" s="64">
        <f>LEN(TRIM(Table22[[#This Row],[Sales Team]]))</f>
        <v>10</v>
      </c>
      <c r="L800" s="23">
        <v>38</v>
      </c>
      <c r="M800" s="65" t="str" cm="1">
        <f t="array" ref="M800">_xlfn.IFS(Table22[[#This Row],[Units Sold]]&lt;40,"Critical",Table22[[#This Row],[Units Sold]]&lt;=50,"Poor",Table22[[#This Row],[Units Sold]]&lt;=60,"Low",Table22[[#This Row],[Units Sold]]&lt;=80,"Average",Table22[[#This Row],[Units Sold]]&lt;=90,"High",Table22[[#This Row],[Units Sold]]&lt;=95,"Excellent",Table22[[#This Row],[Units Sold]]&gt;95,"Outstanding")</f>
        <v>Critical</v>
      </c>
      <c r="N800" s="29">
        <v>1048.08</v>
      </c>
      <c r="O800" s="29">
        <v>39827.040000000001</v>
      </c>
      <c r="P800" s="43">
        <f>IF(Table22[[#This Row],[Discount Applied]],Table22[[#This Row],[Total Sales (in USD)]]*(1-Table22[[#This Row],[Discount Percentage (%)]]/100),Table22[[#This Row],[Total Sales (in USD)]])</f>
        <v>33199.820544000002</v>
      </c>
      <c r="Q800" s="66">
        <f>SQRT(AVERAGE((Table22[[#This Row],[Net Sales (after discount) (in USD)]]-AVERAGE(Table22[Net Sales (after discount) (in USD)]))^2))</f>
        <v>3311.5400197645358</v>
      </c>
      <c r="R800" s="18" t="b">
        <v>0</v>
      </c>
      <c r="S800" s="40">
        <v>16.64</v>
      </c>
      <c r="T800" s="18" t="b">
        <v>1</v>
      </c>
      <c r="U800" s="25">
        <v>45054</v>
      </c>
      <c r="V800" s="63" t="str">
        <f>IF(MONTH(Table22[[#This Row],[Sales Date]])&lt;=3,"Q1",IF(MONTH(Table22[[#This Row],[Sales Date]])&lt;=6,"Q2",IF(MONTH(Table22[[#This Row],[Sales Date]])&lt;=9,"Q3","Q4")))</f>
        <v>Q2</v>
      </c>
      <c r="W800" s="64">
        <f>YEAR(Table22[[#This Row],[Sales Date]])</f>
        <v>2023</v>
      </c>
      <c r="X800" s="23">
        <v>40</v>
      </c>
      <c r="Y800" s="18" t="s">
        <v>41</v>
      </c>
      <c r="Z800" s="18" t="s">
        <v>30</v>
      </c>
      <c r="AA800" s="19" t="s">
        <v>25</v>
      </c>
    </row>
    <row r="801" spans="1:27" x14ac:dyDescent="0.25">
      <c r="A801" s="17" t="s">
        <v>1204</v>
      </c>
      <c r="B801" s="18" t="s">
        <v>66</v>
      </c>
      <c r="C801" s="63" t="str" cm="1">
        <f t="array" ref="C801">_xlfn.SWITCH(Table22[[#This Row],[Country]],"USA","North America","Canada","North America","Brazil","South America","China","Asia","Japan","Asia","India","Asia","France","Europe","Germany","Europe","UK","Europe","Australia","Oceania","South America")</f>
        <v>North America</v>
      </c>
      <c r="D801" s="18" t="s">
        <v>35</v>
      </c>
      <c r="E801" s="18" t="s">
        <v>33</v>
      </c>
      <c r="F801" s="18" t="s">
        <v>52</v>
      </c>
      <c r="G801" s="18" t="s">
        <v>48</v>
      </c>
      <c r="H801" s="64">
        <f>LEN(TRIM(Table22[[#This Row],[Country]]))</f>
        <v>6</v>
      </c>
      <c r="I801" s="64">
        <f>LEN(TRIM(Table22[[#This Row],[Continent]]))</f>
        <v>13</v>
      </c>
      <c r="J801" s="64">
        <f>LEN(TRIM(Table22[[#This Row],[Product]]))</f>
        <v>10</v>
      </c>
      <c r="K801" s="64">
        <f>LEN(TRIM(Table22[[#This Row],[Sales Team]]))</f>
        <v>9</v>
      </c>
      <c r="L801" s="23">
        <v>47</v>
      </c>
      <c r="M801" s="65" t="str" cm="1">
        <f t="array" ref="M801">_xlfn.IFS(Table22[[#This Row],[Units Sold]]&lt;40,"Critical",Table22[[#This Row],[Units Sold]]&lt;=50,"Poor",Table22[[#This Row],[Units Sold]]&lt;=60,"Low",Table22[[#This Row],[Units Sold]]&lt;=80,"Average",Table22[[#This Row],[Units Sold]]&lt;=90,"High",Table22[[#This Row],[Units Sold]]&lt;=95,"Excellent",Table22[[#This Row],[Units Sold]]&gt;95,"Outstanding")</f>
        <v>Poor</v>
      </c>
      <c r="N801" s="29">
        <v>846.76</v>
      </c>
      <c r="O801" s="29">
        <v>39797.72</v>
      </c>
      <c r="P801" s="43">
        <f>IF(Table22[[#This Row],[Discount Applied]],Table22[[#This Row],[Total Sales (in USD)]]*(1-Table22[[#This Row],[Discount Percentage (%)]]/100),Table22[[#This Row],[Total Sales (in USD)]])</f>
        <v>39797.72</v>
      </c>
      <c r="Q801" s="66">
        <f>SQRT(AVERAGE((Table22[[#This Row],[Net Sales (after discount) (in USD)]]-AVERAGE(Table22[Net Sales (after discount) (in USD)]))^2))</f>
        <v>3286.3594362354634</v>
      </c>
      <c r="R801" s="18" t="b">
        <v>0</v>
      </c>
      <c r="S801" s="40">
        <v>18.37</v>
      </c>
      <c r="T801" s="18" t="b">
        <v>0</v>
      </c>
      <c r="U801" s="25">
        <v>45561</v>
      </c>
      <c r="V801" s="63" t="str">
        <f>IF(MONTH(Table22[[#This Row],[Sales Date]])&lt;=3,"Q1",IF(MONTH(Table22[[#This Row],[Sales Date]])&lt;=6,"Q2",IF(MONTH(Table22[[#This Row],[Sales Date]])&lt;=9,"Q3","Q4")))</f>
        <v>Q3</v>
      </c>
      <c r="W801" s="64">
        <f>YEAR(Table22[[#This Row],[Sales Date]])</f>
        <v>2024</v>
      </c>
      <c r="X801" s="23">
        <v>52</v>
      </c>
      <c r="Y801" s="18" t="s">
        <v>23</v>
      </c>
      <c r="Z801" s="18" t="s">
        <v>42</v>
      </c>
      <c r="AA801" s="19" t="s">
        <v>25</v>
      </c>
    </row>
    <row r="802" spans="1:27" x14ac:dyDescent="0.25">
      <c r="A802" s="17" t="s">
        <v>1867</v>
      </c>
      <c r="B802" s="18" t="s">
        <v>62</v>
      </c>
      <c r="C802" s="63" t="str" cm="1">
        <f t="array" ref="C802">_xlfn.SWITCH(Table22[[#This Row],[Country]],"USA","North America","Canada","North America","Brazil","South America","China","Asia","Japan","Asia","India","Asia","France","Europe","Germany","Europe","UK","Europe","Australia","Oceania","South America")</f>
        <v>Oceania</v>
      </c>
      <c r="D802" s="18" t="s">
        <v>21</v>
      </c>
      <c r="E802" s="18" t="s">
        <v>33</v>
      </c>
      <c r="F802" s="18" t="s">
        <v>34</v>
      </c>
      <c r="G802" s="18" t="s">
        <v>22</v>
      </c>
      <c r="H802" s="64">
        <f>LEN(TRIM(Table22[[#This Row],[Country]]))</f>
        <v>9</v>
      </c>
      <c r="I802" s="64">
        <f>LEN(TRIM(Table22[[#This Row],[Continent]]))</f>
        <v>7</v>
      </c>
      <c r="J802" s="64">
        <f>LEN(TRIM(Table22[[#This Row],[Product]]))</f>
        <v>10</v>
      </c>
      <c r="K802" s="64">
        <f>LEN(TRIM(Table22[[#This Row],[Sales Team]]))</f>
        <v>10</v>
      </c>
      <c r="L802" s="23">
        <v>83</v>
      </c>
      <c r="M802" s="65" t="str" cm="1">
        <f t="array" ref="M802">_xlfn.IFS(Table22[[#This Row],[Units Sold]]&lt;40,"Critical",Table22[[#This Row],[Units Sold]]&lt;=50,"Poor",Table22[[#This Row],[Units Sold]]&lt;=60,"Low",Table22[[#This Row],[Units Sold]]&lt;=80,"Average",Table22[[#This Row],[Units Sold]]&lt;=90,"High",Table22[[#This Row],[Units Sold]]&lt;=95,"Excellent",Table22[[#This Row],[Units Sold]]&gt;95,"Outstanding")</f>
        <v>High</v>
      </c>
      <c r="N802" s="29">
        <v>477.56</v>
      </c>
      <c r="O802" s="29">
        <v>39637.480000000003</v>
      </c>
      <c r="P802" s="43">
        <f>IF(Table22[[#This Row],[Discount Applied]],Table22[[#This Row],[Total Sales (in USD)]]*(1-Table22[[#This Row],[Discount Percentage (%)]]/100),Table22[[#This Row],[Total Sales (in USD)]])</f>
        <v>39637.480000000003</v>
      </c>
      <c r="Q802" s="66">
        <f>SQRT(AVERAGE((Table22[[#This Row],[Net Sales (after discount) (in USD)]]-AVERAGE(Table22[Net Sales (after discount) (in USD)]))^2))</f>
        <v>3126.1194362354654</v>
      </c>
      <c r="R802" s="18" t="b">
        <v>1</v>
      </c>
      <c r="S802" s="40">
        <v>11.18</v>
      </c>
      <c r="T802" s="18" t="b">
        <v>0</v>
      </c>
      <c r="U802" s="25">
        <v>45103</v>
      </c>
      <c r="V802" s="63" t="str">
        <f>IF(MONTH(Table22[[#This Row],[Sales Date]])&lt;=3,"Q1",IF(MONTH(Table22[[#This Row],[Sales Date]])&lt;=6,"Q2",IF(MONTH(Table22[[#This Row],[Sales Date]])&lt;=9,"Q3","Q4")))</f>
        <v>Q2</v>
      </c>
      <c r="W802" s="64">
        <f>YEAR(Table22[[#This Row],[Sales Date]])</f>
        <v>2023</v>
      </c>
      <c r="X802" s="23">
        <v>47</v>
      </c>
      <c r="Y802" s="18" t="s">
        <v>23</v>
      </c>
      <c r="Z802" s="18" t="s">
        <v>42</v>
      </c>
      <c r="AA802" s="19" t="s">
        <v>25</v>
      </c>
    </row>
    <row r="803" spans="1:27" x14ac:dyDescent="0.25">
      <c r="A803" s="17" t="s">
        <v>1422</v>
      </c>
      <c r="B803" s="18" t="s">
        <v>76</v>
      </c>
      <c r="C803" s="63" t="str" cm="1">
        <f t="array" ref="C803">_xlfn.SWITCH(Table22[[#This Row],[Country]],"USA","North America","Canada","North America","Brazil","South America","China","Asia","Japan","Asia","India","Asia","France","Europe","Germany","Europe","UK","Europe","Australia","Oceania","South America")</f>
        <v>Asia</v>
      </c>
      <c r="D803" s="18" t="s">
        <v>21</v>
      </c>
      <c r="E803" s="18" t="s">
        <v>19</v>
      </c>
      <c r="F803" s="18" t="s">
        <v>64</v>
      </c>
      <c r="G803" s="18" t="s">
        <v>22</v>
      </c>
      <c r="H803" s="64">
        <f>LEN(TRIM(Table22[[#This Row],[Country]]))</f>
        <v>5</v>
      </c>
      <c r="I803" s="64">
        <f>LEN(TRIM(Table22[[#This Row],[Continent]]))</f>
        <v>4</v>
      </c>
      <c r="J803" s="64">
        <f>LEN(TRIM(Table22[[#This Row],[Product]]))</f>
        <v>6</v>
      </c>
      <c r="K803" s="64">
        <f>LEN(TRIM(Table22[[#This Row],[Sales Team]]))</f>
        <v>10</v>
      </c>
      <c r="L803" s="23">
        <v>79</v>
      </c>
      <c r="M803" s="65" t="str" cm="1">
        <f t="array" ref="M803">_xlfn.IFS(Table22[[#This Row],[Units Sold]]&lt;40,"Critical",Table22[[#This Row],[Units Sold]]&lt;=50,"Poor",Table22[[#This Row],[Units Sold]]&lt;=60,"Low",Table22[[#This Row],[Units Sold]]&lt;=80,"Average",Table22[[#This Row],[Units Sold]]&lt;=90,"High",Table22[[#This Row],[Units Sold]]&lt;=95,"Excellent",Table22[[#This Row],[Units Sold]]&gt;95,"Outstanding")</f>
        <v>Average</v>
      </c>
      <c r="N803" s="29">
        <v>500.7</v>
      </c>
      <c r="O803" s="29">
        <v>39555.300000000003</v>
      </c>
      <c r="P803" s="43">
        <f>IF(Table22[[#This Row],[Discount Applied]],Table22[[#This Row],[Total Sales (in USD)]]*(1-Table22[[#This Row],[Discount Percentage (%)]]/100),Table22[[#This Row],[Total Sales (in USD)]])</f>
        <v>38214.375330000003</v>
      </c>
      <c r="Q803" s="66">
        <f>SQRT(AVERAGE((Table22[[#This Row],[Net Sales (after discount) (in USD)]]-AVERAGE(Table22[Net Sales (after discount) (in USD)]))^2))</f>
        <v>1703.0147662354648</v>
      </c>
      <c r="R803" s="18" t="b">
        <v>0</v>
      </c>
      <c r="S803" s="40">
        <v>3.39</v>
      </c>
      <c r="T803" s="18" t="b">
        <v>1</v>
      </c>
      <c r="U803" s="25">
        <v>45287</v>
      </c>
      <c r="V803" s="63" t="str">
        <f>IF(MONTH(Table22[[#This Row],[Sales Date]])&lt;=3,"Q1",IF(MONTH(Table22[[#This Row],[Sales Date]])&lt;=6,"Q2",IF(MONTH(Table22[[#This Row],[Sales Date]])&lt;=9,"Q3","Q4")))</f>
        <v>Q4</v>
      </c>
      <c r="W803" s="64">
        <f>YEAR(Table22[[#This Row],[Sales Date]])</f>
        <v>2023</v>
      </c>
      <c r="X803" s="23">
        <v>24</v>
      </c>
      <c r="Y803" s="18" t="s">
        <v>41</v>
      </c>
      <c r="Z803" s="18" t="s">
        <v>24</v>
      </c>
      <c r="AA803" s="19" t="s">
        <v>25</v>
      </c>
    </row>
    <row r="804" spans="1:27" x14ac:dyDescent="0.25">
      <c r="A804" s="17" t="s">
        <v>467</v>
      </c>
      <c r="B804" s="18" t="s">
        <v>38</v>
      </c>
      <c r="C804" s="63" t="str" cm="1">
        <f t="array" ref="C804">_xlfn.SWITCH(Table22[[#This Row],[Country]],"USA","North America","Canada","North America","Brazil","South America","China","Asia","Japan","Asia","India","Asia","France","Europe","Germany","Europe","UK","Europe","Australia","Oceania","South America")</f>
        <v>Europe</v>
      </c>
      <c r="D804" s="18" t="s">
        <v>28</v>
      </c>
      <c r="E804" s="18" t="s">
        <v>39</v>
      </c>
      <c r="F804" s="18" t="s">
        <v>20</v>
      </c>
      <c r="G804" s="18" t="s">
        <v>48</v>
      </c>
      <c r="H804" s="64">
        <f>LEN(TRIM(Table22[[#This Row],[Country]]))</f>
        <v>6</v>
      </c>
      <c r="I804" s="64">
        <f>LEN(TRIM(Table22[[#This Row],[Continent]]))</f>
        <v>6</v>
      </c>
      <c r="J804" s="64">
        <f>LEN(TRIM(Table22[[#This Row],[Product]]))</f>
        <v>10</v>
      </c>
      <c r="K804" s="64">
        <f>LEN(TRIM(Table22[[#This Row],[Sales Team]]))</f>
        <v>9</v>
      </c>
      <c r="L804" s="23">
        <v>76</v>
      </c>
      <c r="M804" s="65" t="str" cm="1">
        <f t="array" ref="M804">_xlfn.IFS(Table22[[#This Row],[Units Sold]]&lt;40,"Critical",Table22[[#This Row],[Units Sold]]&lt;=50,"Poor",Table22[[#This Row],[Units Sold]]&lt;=60,"Low",Table22[[#This Row],[Units Sold]]&lt;=80,"Average",Table22[[#This Row],[Units Sold]]&lt;=90,"High",Table22[[#This Row],[Units Sold]]&lt;=95,"Excellent",Table22[[#This Row],[Units Sold]]&gt;95,"Outstanding")</f>
        <v>Average</v>
      </c>
      <c r="N804" s="29">
        <v>520.16</v>
      </c>
      <c r="O804" s="29">
        <v>39532.160000000003</v>
      </c>
      <c r="P804" s="43">
        <f>IF(Table22[[#This Row],[Discount Applied]],Table22[[#This Row],[Total Sales (in USD)]]*(1-Table22[[#This Row],[Discount Percentage (%)]]/100),Table22[[#This Row],[Total Sales (in USD)]])</f>
        <v>31590.149056000006</v>
      </c>
      <c r="Q804" s="66">
        <f>SQRT(AVERAGE((Table22[[#This Row],[Net Sales (after discount) (in USD)]]-AVERAGE(Table22[Net Sales (after discount) (in USD)]))^2))</f>
        <v>4921.2115077645321</v>
      </c>
      <c r="R804" s="18" t="b">
        <v>1</v>
      </c>
      <c r="S804" s="40">
        <v>20.09</v>
      </c>
      <c r="T804" s="18" t="b">
        <v>1</v>
      </c>
      <c r="U804" s="25">
        <v>45465</v>
      </c>
      <c r="V804" s="63" t="str">
        <f>IF(MONTH(Table22[[#This Row],[Sales Date]])&lt;=3,"Q1",IF(MONTH(Table22[[#This Row],[Sales Date]])&lt;=6,"Q2",IF(MONTH(Table22[[#This Row],[Sales Date]])&lt;=9,"Q3","Q4")))</f>
        <v>Q2</v>
      </c>
      <c r="W804" s="64">
        <f>YEAR(Table22[[#This Row],[Sales Date]])</f>
        <v>2024</v>
      </c>
      <c r="X804" s="23">
        <v>25</v>
      </c>
      <c r="Y804" s="18" t="s">
        <v>41</v>
      </c>
      <c r="Z804" s="18" t="s">
        <v>56</v>
      </c>
      <c r="AA804" s="19" t="s">
        <v>25</v>
      </c>
    </row>
    <row r="805" spans="1:27" x14ac:dyDescent="0.25">
      <c r="A805" s="17" t="s">
        <v>1201</v>
      </c>
      <c r="B805" s="18" t="s">
        <v>38</v>
      </c>
      <c r="C805" s="63" t="str" cm="1">
        <f t="array" ref="C805">_xlfn.SWITCH(Table22[[#This Row],[Country]],"USA","North America","Canada","North America","Brazil","South America","China","Asia","Japan","Asia","India","Asia","France","Europe","Germany","Europe","UK","Europe","Australia","Oceania","South America")</f>
        <v>Europe</v>
      </c>
      <c r="D805" s="18" t="s">
        <v>28</v>
      </c>
      <c r="E805" s="18" t="s">
        <v>39</v>
      </c>
      <c r="F805" s="18" t="s">
        <v>64</v>
      </c>
      <c r="G805" s="18" t="s">
        <v>48</v>
      </c>
      <c r="H805" s="64">
        <f>LEN(TRIM(Table22[[#This Row],[Country]]))</f>
        <v>6</v>
      </c>
      <c r="I805" s="64">
        <f>LEN(TRIM(Table22[[#This Row],[Continent]]))</f>
        <v>6</v>
      </c>
      <c r="J805" s="64">
        <f>LEN(TRIM(Table22[[#This Row],[Product]]))</f>
        <v>10</v>
      </c>
      <c r="K805" s="64">
        <f>LEN(TRIM(Table22[[#This Row],[Sales Team]]))</f>
        <v>9</v>
      </c>
      <c r="L805" s="23">
        <v>48</v>
      </c>
      <c r="M805" s="65" t="str" cm="1">
        <f t="array" ref="M805">_xlfn.IFS(Table22[[#This Row],[Units Sold]]&lt;40,"Critical",Table22[[#This Row],[Units Sold]]&lt;=50,"Poor",Table22[[#This Row],[Units Sold]]&lt;=60,"Low",Table22[[#This Row],[Units Sold]]&lt;=80,"Average",Table22[[#This Row],[Units Sold]]&lt;=90,"High",Table22[[#This Row],[Units Sold]]&lt;=95,"Excellent",Table22[[#This Row],[Units Sold]]&gt;95,"Outstanding")</f>
        <v>Poor</v>
      </c>
      <c r="N805" s="29">
        <v>820.82</v>
      </c>
      <c r="O805" s="29">
        <v>39399.360000000001</v>
      </c>
      <c r="P805" s="43">
        <f>IF(Table22[[#This Row],[Discount Applied]],Table22[[#This Row],[Total Sales (in USD)]]*(1-Table22[[#This Row],[Discount Percentage (%)]]/100),Table22[[#This Row],[Total Sales (in USD)]])</f>
        <v>37701.247583999997</v>
      </c>
      <c r="Q805" s="66">
        <f>SQRT(AVERAGE((Table22[[#This Row],[Net Sales (after discount) (in USD)]]-AVERAGE(Table22[Net Sales (after discount) (in USD)]))^2))</f>
        <v>1189.8870202354592</v>
      </c>
      <c r="R805" s="18" t="b">
        <v>1</v>
      </c>
      <c r="S805" s="40">
        <v>4.3099999999999996</v>
      </c>
      <c r="T805" s="18" t="b">
        <v>1</v>
      </c>
      <c r="U805" s="25">
        <v>45202</v>
      </c>
      <c r="V805" s="63" t="str">
        <f>IF(MONTH(Table22[[#This Row],[Sales Date]])&lt;=3,"Q1",IF(MONTH(Table22[[#This Row],[Sales Date]])&lt;=6,"Q2",IF(MONTH(Table22[[#This Row],[Sales Date]])&lt;=9,"Q3","Q4")))</f>
        <v>Q4</v>
      </c>
      <c r="W805" s="64">
        <f>YEAR(Table22[[#This Row],[Sales Date]])</f>
        <v>2023</v>
      </c>
      <c r="X805" s="23">
        <v>56</v>
      </c>
      <c r="Y805" s="18" t="s">
        <v>49</v>
      </c>
      <c r="Z805" s="18" t="s">
        <v>56</v>
      </c>
      <c r="AA805" s="19" t="s">
        <v>36</v>
      </c>
    </row>
    <row r="806" spans="1:27" x14ac:dyDescent="0.25">
      <c r="A806" s="17" t="s">
        <v>922</v>
      </c>
      <c r="B806" s="18" t="s">
        <v>27</v>
      </c>
      <c r="C806" s="63" t="str" cm="1">
        <f t="array" ref="C806">_xlfn.SWITCH(Table22[[#This Row],[Country]],"USA","North America","Canada","North America","Brazil","South America","China","Asia","Japan","Asia","India","Asia","France","Europe","Germany","Europe","UK","Europe","Australia","Oceania","South America")</f>
        <v>Europe</v>
      </c>
      <c r="D806" s="18" t="s">
        <v>28</v>
      </c>
      <c r="E806" s="18" t="s">
        <v>33</v>
      </c>
      <c r="F806" s="18" t="s">
        <v>20</v>
      </c>
      <c r="G806" s="18" t="s">
        <v>48</v>
      </c>
      <c r="H806" s="64">
        <f>LEN(TRIM(Table22[[#This Row],[Country]]))</f>
        <v>7</v>
      </c>
      <c r="I806" s="64">
        <f>LEN(TRIM(Table22[[#This Row],[Continent]]))</f>
        <v>6</v>
      </c>
      <c r="J806" s="64">
        <f>LEN(TRIM(Table22[[#This Row],[Product]]))</f>
        <v>10</v>
      </c>
      <c r="K806" s="64">
        <f>LEN(TRIM(Table22[[#This Row],[Sales Team]]))</f>
        <v>9</v>
      </c>
      <c r="L806" s="23">
        <v>79</v>
      </c>
      <c r="M806" s="65" t="str" cm="1">
        <f t="array" ref="M806">_xlfn.IFS(Table22[[#This Row],[Units Sold]]&lt;40,"Critical",Table22[[#This Row],[Units Sold]]&lt;=50,"Poor",Table22[[#This Row],[Units Sold]]&lt;=60,"Low",Table22[[#This Row],[Units Sold]]&lt;=80,"Average",Table22[[#This Row],[Units Sold]]&lt;=90,"High",Table22[[#This Row],[Units Sold]]&lt;=95,"Excellent",Table22[[#This Row],[Units Sold]]&gt;95,"Outstanding")</f>
        <v>Average</v>
      </c>
      <c r="N806" s="29">
        <v>498.68</v>
      </c>
      <c r="O806" s="29">
        <v>39395.72</v>
      </c>
      <c r="P806" s="43">
        <f>IF(Table22[[#This Row],[Discount Applied]],Table22[[#This Row],[Total Sales (in USD)]]*(1-Table22[[#This Row],[Discount Percentage (%)]]/100),Table22[[#This Row],[Total Sales (in USD)]])</f>
        <v>28045.813067999999</v>
      </c>
      <c r="Q806" s="66">
        <f>SQRT(AVERAGE((Table22[[#This Row],[Net Sales (after discount) (in USD)]]-AVERAGE(Table22[Net Sales (after discount) (in USD)]))^2))</f>
        <v>8465.5474957645383</v>
      </c>
      <c r="R806" s="18" t="b">
        <v>0</v>
      </c>
      <c r="S806" s="40">
        <v>28.81</v>
      </c>
      <c r="T806" s="18" t="b">
        <v>1</v>
      </c>
      <c r="U806" s="25">
        <v>45182</v>
      </c>
      <c r="V806" s="63" t="str">
        <f>IF(MONTH(Table22[[#This Row],[Sales Date]])&lt;=3,"Q1",IF(MONTH(Table22[[#This Row],[Sales Date]])&lt;=6,"Q2",IF(MONTH(Table22[[#This Row],[Sales Date]])&lt;=9,"Q3","Q4")))</f>
        <v>Q3</v>
      </c>
      <c r="W806" s="64">
        <f>YEAR(Table22[[#This Row],[Sales Date]])</f>
        <v>2023</v>
      </c>
      <c r="X806" s="23">
        <v>36</v>
      </c>
      <c r="Y806" s="18" t="s">
        <v>49</v>
      </c>
      <c r="Z806" s="18" t="s">
        <v>30</v>
      </c>
      <c r="AA806" s="19" t="s">
        <v>36</v>
      </c>
    </row>
    <row r="807" spans="1:27" x14ac:dyDescent="0.25">
      <c r="A807" s="17" t="s">
        <v>626</v>
      </c>
      <c r="B807" s="18" t="s">
        <v>76</v>
      </c>
      <c r="C807" s="63" t="str" cm="1">
        <f t="array" ref="C807">_xlfn.SWITCH(Table22[[#This Row],[Country]],"USA","North America","Canada","North America","Brazil","South America","China","Asia","Japan","Asia","India","Asia","France","Europe","Germany","Europe","UK","Europe","Australia","Oceania","South America")</f>
        <v>Asia</v>
      </c>
      <c r="D807" s="18" t="s">
        <v>28</v>
      </c>
      <c r="E807" s="18" t="s">
        <v>33</v>
      </c>
      <c r="F807" s="18" t="s">
        <v>64</v>
      </c>
      <c r="G807" s="18" t="s">
        <v>29</v>
      </c>
      <c r="H807" s="64">
        <f>LEN(TRIM(Table22[[#This Row],[Country]]))</f>
        <v>5</v>
      </c>
      <c r="I807" s="64">
        <f>LEN(TRIM(Table22[[#This Row],[Continent]]))</f>
        <v>4</v>
      </c>
      <c r="J807" s="64">
        <f>LEN(TRIM(Table22[[#This Row],[Product]]))</f>
        <v>10</v>
      </c>
      <c r="K807" s="64">
        <f>LEN(TRIM(Table22[[#This Row],[Sales Team]]))</f>
        <v>10</v>
      </c>
      <c r="L807" s="23">
        <v>27</v>
      </c>
      <c r="M807" s="65" t="str" cm="1">
        <f t="array" ref="M807">_xlfn.IFS(Table22[[#This Row],[Units Sold]]&lt;40,"Critical",Table22[[#This Row],[Units Sold]]&lt;=50,"Poor",Table22[[#This Row],[Units Sold]]&lt;=60,"Low",Table22[[#This Row],[Units Sold]]&lt;=80,"Average",Table22[[#This Row],[Units Sold]]&lt;=90,"High",Table22[[#This Row],[Units Sold]]&lt;=95,"Excellent",Table22[[#This Row],[Units Sold]]&gt;95,"Outstanding")</f>
        <v>Critical</v>
      </c>
      <c r="N807" s="29">
        <v>1455.86</v>
      </c>
      <c r="O807" s="29">
        <v>39308.22</v>
      </c>
      <c r="P807" s="43">
        <f>IF(Table22[[#This Row],[Discount Applied]],Table22[[#This Row],[Total Sales (in USD)]]*(1-Table22[[#This Row],[Discount Percentage (%)]]/100),Table22[[#This Row],[Total Sales (in USD)]])</f>
        <v>39308.22</v>
      </c>
      <c r="Q807" s="66">
        <f>SQRT(AVERAGE((Table22[[#This Row],[Net Sales (after discount) (in USD)]]-AVERAGE(Table22[Net Sales (after discount) (in USD)]))^2))</f>
        <v>2796.8594362354634</v>
      </c>
      <c r="R807" s="18" t="b">
        <v>1</v>
      </c>
      <c r="S807" s="40">
        <v>3.15</v>
      </c>
      <c r="T807" s="18" t="b">
        <v>0</v>
      </c>
      <c r="U807" s="25">
        <v>45532</v>
      </c>
      <c r="V807" s="63" t="str">
        <f>IF(MONTH(Table22[[#This Row],[Sales Date]])&lt;=3,"Q1",IF(MONTH(Table22[[#This Row],[Sales Date]])&lt;=6,"Q2",IF(MONTH(Table22[[#This Row],[Sales Date]])&lt;=9,"Q3","Q4")))</f>
        <v>Q3</v>
      </c>
      <c r="W807" s="64">
        <f>YEAR(Table22[[#This Row],[Sales Date]])</f>
        <v>2024</v>
      </c>
      <c r="X807" s="23">
        <v>38</v>
      </c>
      <c r="Y807" s="18" t="s">
        <v>49</v>
      </c>
      <c r="Z807" s="18" t="s">
        <v>56</v>
      </c>
      <c r="AA807" s="19" t="s">
        <v>36</v>
      </c>
    </row>
    <row r="808" spans="1:27" x14ac:dyDescent="0.25">
      <c r="A808" s="17" t="s">
        <v>265</v>
      </c>
      <c r="B808" s="18" t="s">
        <v>27</v>
      </c>
      <c r="C808" s="63" t="str" cm="1">
        <f t="array" ref="C808">_xlfn.SWITCH(Table22[[#This Row],[Country]],"USA","North America","Canada","North America","Brazil","South America","China","Asia","Japan","Asia","India","Asia","France","Europe","Germany","Europe","UK","Europe","Australia","Oceania","South America")</f>
        <v>Europe</v>
      </c>
      <c r="D808" s="18" t="s">
        <v>44</v>
      </c>
      <c r="E808" s="18" t="s">
        <v>33</v>
      </c>
      <c r="F808" s="18" t="s">
        <v>20</v>
      </c>
      <c r="G808" s="18" t="s">
        <v>22</v>
      </c>
      <c r="H808" s="64">
        <f>LEN(TRIM(Table22[[#This Row],[Country]]))</f>
        <v>7</v>
      </c>
      <c r="I808" s="64">
        <f>LEN(TRIM(Table22[[#This Row],[Continent]]))</f>
        <v>6</v>
      </c>
      <c r="J808" s="64">
        <f>LEN(TRIM(Table22[[#This Row],[Product]]))</f>
        <v>10</v>
      </c>
      <c r="K808" s="64">
        <f>LEN(TRIM(Table22[[#This Row],[Sales Team]]))</f>
        <v>10</v>
      </c>
      <c r="L808" s="23">
        <v>42</v>
      </c>
      <c r="M808" s="65" t="str" cm="1">
        <f t="array" ref="M808">_xlfn.IFS(Table22[[#This Row],[Units Sold]]&lt;40,"Critical",Table22[[#This Row],[Units Sold]]&lt;=50,"Poor",Table22[[#This Row],[Units Sold]]&lt;=60,"Low",Table22[[#This Row],[Units Sold]]&lt;=80,"Average",Table22[[#This Row],[Units Sold]]&lt;=90,"High",Table22[[#This Row],[Units Sold]]&lt;=95,"Excellent",Table22[[#This Row],[Units Sold]]&gt;95,"Outstanding")</f>
        <v>Poor</v>
      </c>
      <c r="N808" s="29">
        <v>935.82</v>
      </c>
      <c r="O808" s="29">
        <v>39304.44</v>
      </c>
      <c r="P808" s="43">
        <f>IF(Table22[[#This Row],[Discount Applied]],Table22[[#This Row],[Total Sales (in USD)]]*(1-Table22[[#This Row],[Discount Percentage (%)]]/100),Table22[[#This Row],[Total Sales (in USD)]])</f>
        <v>38388.646548000004</v>
      </c>
      <c r="Q808" s="66">
        <f>SQRT(AVERAGE((Table22[[#This Row],[Net Sales (after discount) (in USD)]]-AVERAGE(Table22[Net Sales (after discount) (in USD)]))^2))</f>
        <v>1877.2859842354665</v>
      </c>
      <c r="R808" s="18" t="b">
        <v>0</v>
      </c>
      <c r="S808" s="40">
        <v>2.33</v>
      </c>
      <c r="T808" s="18" t="b">
        <v>1</v>
      </c>
      <c r="U808" s="25">
        <v>45485</v>
      </c>
      <c r="V808" s="63" t="str">
        <f>IF(MONTH(Table22[[#This Row],[Sales Date]])&lt;=3,"Q1",IF(MONTH(Table22[[#This Row],[Sales Date]])&lt;=6,"Q2",IF(MONTH(Table22[[#This Row],[Sales Date]])&lt;=9,"Q3","Q4")))</f>
        <v>Q3</v>
      </c>
      <c r="W808" s="64">
        <f>YEAR(Table22[[#This Row],[Sales Date]])</f>
        <v>2024</v>
      </c>
      <c r="X808" s="23">
        <v>63</v>
      </c>
      <c r="Y808" s="18" t="s">
        <v>23</v>
      </c>
      <c r="Z808" s="18" t="s">
        <v>42</v>
      </c>
      <c r="AA808" s="19" t="s">
        <v>25</v>
      </c>
    </row>
    <row r="809" spans="1:27" x14ac:dyDescent="0.25">
      <c r="A809" s="17" t="s">
        <v>588</v>
      </c>
      <c r="B809" s="18" t="s">
        <v>76</v>
      </c>
      <c r="C809" s="63" t="str" cm="1">
        <f t="array" ref="C809">_xlfn.SWITCH(Table22[[#This Row],[Country]],"USA","North America","Canada","North America","Brazil","South America","China","Asia","Japan","Asia","India","Asia","France","Europe","Germany","Europe","UK","Europe","Australia","Oceania","South America")</f>
        <v>Asia</v>
      </c>
      <c r="D809" s="18" t="s">
        <v>21</v>
      </c>
      <c r="E809" s="18" t="s">
        <v>33</v>
      </c>
      <c r="F809" s="18" t="s">
        <v>47</v>
      </c>
      <c r="G809" s="18" t="s">
        <v>48</v>
      </c>
      <c r="H809" s="64">
        <f>LEN(TRIM(Table22[[#This Row],[Country]]))</f>
        <v>5</v>
      </c>
      <c r="I809" s="64">
        <f>LEN(TRIM(Table22[[#This Row],[Continent]]))</f>
        <v>4</v>
      </c>
      <c r="J809" s="64">
        <f>LEN(TRIM(Table22[[#This Row],[Product]]))</f>
        <v>10</v>
      </c>
      <c r="K809" s="64">
        <f>LEN(TRIM(Table22[[#This Row],[Sales Team]]))</f>
        <v>9</v>
      </c>
      <c r="L809" s="23">
        <v>34</v>
      </c>
      <c r="M809" s="65" t="str" cm="1">
        <f t="array" ref="M809">_xlfn.IFS(Table22[[#This Row],[Units Sold]]&lt;40,"Critical",Table22[[#This Row],[Units Sold]]&lt;=50,"Poor",Table22[[#This Row],[Units Sold]]&lt;=60,"Low",Table22[[#This Row],[Units Sold]]&lt;=80,"Average",Table22[[#This Row],[Units Sold]]&lt;=90,"High",Table22[[#This Row],[Units Sold]]&lt;=95,"Excellent",Table22[[#This Row],[Units Sold]]&gt;95,"Outstanding")</f>
        <v>Critical</v>
      </c>
      <c r="N809" s="29">
        <v>1155.73</v>
      </c>
      <c r="O809" s="29">
        <v>39294.82</v>
      </c>
      <c r="P809" s="43">
        <f>IF(Table22[[#This Row],[Discount Applied]],Table22[[#This Row],[Total Sales (in USD)]]*(1-Table22[[#This Row],[Discount Percentage (%)]]/100),Table22[[#This Row],[Total Sales (in USD)]])</f>
        <v>39294.82</v>
      </c>
      <c r="Q809" s="66">
        <f>SQRT(AVERAGE((Table22[[#This Row],[Net Sales (after discount) (in USD)]]-AVERAGE(Table22[Net Sales (after discount) (in USD)]))^2))</f>
        <v>2783.4594362354619</v>
      </c>
      <c r="R809" s="18" t="b">
        <v>1</v>
      </c>
      <c r="S809" s="40">
        <v>19.579999999999998</v>
      </c>
      <c r="T809" s="18" t="b">
        <v>0</v>
      </c>
      <c r="U809" s="25">
        <v>45033</v>
      </c>
      <c r="V809" s="63" t="str">
        <f>IF(MONTH(Table22[[#This Row],[Sales Date]])&lt;=3,"Q1",IF(MONTH(Table22[[#This Row],[Sales Date]])&lt;=6,"Q2",IF(MONTH(Table22[[#This Row],[Sales Date]])&lt;=9,"Q3","Q4")))</f>
        <v>Q2</v>
      </c>
      <c r="W809" s="64">
        <f>YEAR(Table22[[#This Row],[Sales Date]])</f>
        <v>2023</v>
      </c>
      <c r="X809" s="23">
        <v>35</v>
      </c>
      <c r="Y809" s="18" t="s">
        <v>23</v>
      </c>
      <c r="Z809" s="18" t="s">
        <v>24</v>
      </c>
      <c r="AA809" s="19" t="s">
        <v>25</v>
      </c>
    </row>
    <row r="810" spans="1:27" x14ac:dyDescent="0.25">
      <c r="A810" s="17" t="s">
        <v>556</v>
      </c>
      <c r="B810" s="18" t="s">
        <v>76</v>
      </c>
      <c r="C810" s="63" t="str" cm="1">
        <f t="array" ref="C810">_xlfn.SWITCH(Table22[[#This Row],[Country]],"USA","North America","Canada","North America","Brazil","South America","China","Asia","Japan","Asia","India","Asia","France","Europe","Germany","Europe","UK","Europe","Australia","Oceania","South America")</f>
        <v>Asia</v>
      </c>
      <c r="D810" s="18" t="s">
        <v>35</v>
      </c>
      <c r="E810" s="18" t="s">
        <v>19</v>
      </c>
      <c r="F810" s="18" t="s">
        <v>20</v>
      </c>
      <c r="G810" s="18" t="s">
        <v>29</v>
      </c>
      <c r="H810" s="64">
        <f>LEN(TRIM(Table22[[#This Row],[Country]]))</f>
        <v>5</v>
      </c>
      <c r="I810" s="64">
        <f>LEN(TRIM(Table22[[#This Row],[Continent]]))</f>
        <v>4</v>
      </c>
      <c r="J810" s="64">
        <f>LEN(TRIM(Table22[[#This Row],[Product]]))</f>
        <v>6</v>
      </c>
      <c r="K810" s="64">
        <f>LEN(TRIM(Table22[[#This Row],[Sales Team]]))</f>
        <v>10</v>
      </c>
      <c r="L810" s="23">
        <v>72</v>
      </c>
      <c r="M810" s="65" t="str" cm="1">
        <f t="array" ref="M810">_xlfn.IFS(Table22[[#This Row],[Units Sold]]&lt;40,"Critical",Table22[[#This Row],[Units Sold]]&lt;=50,"Poor",Table22[[#This Row],[Units Sold]]&lt;=60,"Low",Table22[[#This Row],[Units Sold]]&lt;=80,"Average",Table22[[#This Row],[Units Sold]]&lt;=90,"High",Table22[[#This Row],[Units Sold]]&lt;=95,"Excellent",Table22[[#This Row],[Units Sold]]&gt;95,"Outstanding")</f>
        <v>Average</v>
      </c>
      <c r="N810" s="29">
        <v>544.59</v>
      </c>
      <c r="O810" s="29">
        <v>39210.480000000003</v>
      </c>
      <c r="P810" s="43">
        <f>IF(Table22[[#This Row],[Discount Applied]],Table22[[#This Row],[Total Sales (in USD)]]*(1-Table22[[#This Row],[Discount Percentage (%)]]/100),Table22[[#This Row],[Total Sales (in USD)]])</f>
        <v>39210.480000000003</v>
      </c>
      <c r="Q810" s="66">
        <f>SQRT(AVERAGE((Table22[[#This Row],[Net Sales (after discount) (in USD)]]-AVERAGE(Table22[Net Sales (after discount) (in USD)]))^2))</f>
        <v>2699.1194362354654</v>
      </c>
      <c r="R810" s="18" t="b">
        <v>0</v>
      </c>
      <c r="S810" s="40">
        <v>20.87</v>
      </c>
      <c r="T810" s="18" t="b">
        <v>0</v>
      </c>
      <c r="U810" s="25">
        <v>45083</v>
      </c>
      <c r="V810" s="63" t="str">
        <f>IF(MONTH(Table22[[#This Row],[Sales Date]])&lt;=3,"Q1",IF(MONTH(Table22[[#This Row],[Sales Date]])&lt;=6,"Q2",IF(MONTH(Table22[[#This Row],[Sales Date]])&lt;=9,"Q3","Q4")))</f>
        <v>Q2</v>
      </c>
      <c r="W810" s="64">
        <f>YEAR(Table22[[#This Row],[Sales Date]])</f>
        <v>2023</v>
      </c>
      <c r="X810" s="23">
        <v>43</v>
      </c>
      <c r="Y810" s="18" t="s">
        <v>23</v>
      </c>
      <c r="Z810" s="18" t="s">
        <v>30</v>
      </c>
      <c r="AA810" s="19" t="s">
        <v>36</v>
      </c>
    </row>
    <row r="811" spans="1:27" x14ac:dyDescent="0.25">
      <c r="A811" s="17" t="s">
        <v>235</v>
      </c>
      <c r="B811" s="18" t="s">
        <v>72</v>
      </c>
      <c r="C811" s="63" t="str" cm="1">
        <f t="array" ref="C811">_xlfn.SWITCH(Table22[[#This Row],[Country]],"USA","North America","Canada","North America","Brazil","South America","China","Asia","Japan","Asia","India","Asia","France","Europe","Germany","Europe","UK","Europe","Australia","Oceania","South America")</f>
        <v>North America</v>
      </c>
      <c r="D811" s="18" t="s">
        <v>28</v>
      </c>
      <c r="E811" s="18" t="s">
        <v>19</v>
      </c>
      <c r="F811" s="18" t="s">
        <v>52</v>
      </c>
      <c r="G811" s="18" t="s">
        <v>48</v>
      </c>
      <c r="H811" s="64">
        <f>LEN(TRIM(Table22[[#This Row],[Country]]))</f>
        <v>3</v>
      </c>
      <c r="I811" s="64">
        <f>LEN(TRIM(Table22[[#This Row],[Continent]]))</f>
        <v>13</v>
      </c>
      <c r="J811" s="64">
        <f>LEN(TRIM(Table22[[#This Row],[Product]]))</f>
        <v>6</v>
      </c>
      <c r="K811" s="64">
        <f>LEN(TRIM(Table22[[#This Row],[Sales Team]]))</f>
        <v>9</v>
      </c>
      <c r="L811" s="23">
        <v>80</v>
      </c>
      <c r="M811" s="65" t="str" cm="1">
        <f t="array" ref="M811">_xlfn.IFS(Table22[[#This Row],[Units Sold]]&lt;40,"Critical",Table22[[#This Row],[Units Sold]]&lt;=50,"Poor",Table22[[#This Row],[Units Sold]]&lt;=60,"Low",Table22[[#This Row],[Units Sold]]&lt;=80,"Average",Table22[[#This Row],[Units Sold]]&lt;=90,"High",Table22[[#This Row],[Units Sold]]&lt;=95,"Excellent",Table22[[#This Row],[Units Sold]]&gt;95,"Outstanding")</f>
        <v>Average</v>
      </c>
      <c r="N811" s="29">
        <v>490.07</v>
      </c>
      <c r="O811" s="29">
        <v>39205.599999999999</v>
      </c>
      <c r="P811" s="43">
        <f>IF(Table22[[#This Row],[Discount Applied]],Table22[[#This Row],[Total Sales (in USD)]]*(1-Table22[[#This Row],[Discount Percentage (%)]]/100),Table22[[#This Row],[Total Sales (in USD)]])</f>
        <v>37131.623760000002</v>
      </c>
      <c r="Q811" s="66">
        <f>SQRT(AVERAGE((Table22[[#This Row],[Net Sales (after discount) (in USD)]]-AVERAGE(Table22[Net Sales (after discount) (in USD)]))^2))</f>
        <v>620.26319623546442</v>
      </c>
      <c r="R811" s="18" t="b">
        <v>0</v>
      </c>
      <c r="S811" s="40">
        <v>5.29</v>
      </c>
      <c r="T811" s="18" t="b">
        <v>1</v>
      </c>
      <c r="U811" s="25">
        <v>45223</v>
      </c>
      <c r="V811" s="63" t="str">
        <f>IF(MONTH(Table22[[#This Row],[Sales Date]])&lt;=3,"Q1",IF(MONTH(Table22[[#This Row],[Sales Date]])&lt;=6,"Q2",IF(MONTH(Table22[[#This Row],[Sales Date]])&lt;=9,"Q3","Q4")))</f>
        <v>Q4</v>
      </c>
      <c r="W811" s="64">
        <f>YEAR(Table22[[#This Row],[Sales Date]])</f>
        <v>2023</v>
      </c>
      <c r="X811" s="23">
        <v>27</v>
      </c>
      <c r="Y811" s="18" t="s">
        <v>23</v>
      </c>
      <c r="Z811" s="18" t="s">
        <v>42</v>
      </c>
      <c r="AA811" s="19" t="s">
        <v>36</v>
      </c>
    </row>
    <row r="812" spans="1:27" x14ac:dyDescent="0.25">
      <c r="A812" s="17" t="s">
        <v>981</v>
      </c>
      <c r="B812" s="18" t="s">
        <v>18</v>
      </c>
      <c r="C812" s="63" t="str" cm="1">
        <f t="array" ref="C812">_xlfn.SWITCH(Table22[[#This Row],[Country]],"USA","North America","Canada","North America","Brazil","South America","China","Asia","Japan","Asia","India","Asia","France","Europe","Germany","Europe","UK","Europe","Australia","Oceania","South America")</f>
        <v>Asia</v>
      </c>
      <c r="D812" s="18" t="s">
        <v>35</v>
      </c>
      <c r="E812" s="18" t="s">
        <v>19</v>
      </c>
      <c r="F812" s="18" t="s">
        <v>47</v>
      </c>
      <c r="G812" s="18" t="s">
        <v>22</v>
      </c>
      <c r="H812" s="64">
        <f>LEN(TRIM(Table22[[#This Row],[Country]]))</f>
        <v>5</v>
      </c>
      <c r="I812" s="64">
        <f>LEN(TRIM(Table22[[#This Row],[Continent]]))</f>
        <v>4</v>
      </c>
      <c r="J812" s="64">
        <f>LEN(TRIM(Table22[[#This Row],[Product]]))</f>
        <v>6</v>
      </c>
      <c r="K812" s="64">
        <f>LEN(TRIM(Table22[[#This Row],[Sales Team]]))</f>
        <v>10</v>
      </c>
      <c r="L812" s="23">
        <v>34</v>
      </c>
      <c r="M812" s="65" t="str" cm="1">
        <f t="array" ref="M812">_xlfn.IFS(Table22[[#This Row],[Units Sold]]&lt;40,"Critical",Table22[[#This Row],[Units Sold]]&lt;=50,"Poor",Table22[[#This Row],[Units Sold]]&lt;=60,"Low",Table22[[#This Row],[Units Sold]]&lt;=80,"Average",Table22[[#This Row],[Units Sold]]&lt;=90,"High",Table22[[#This Row],[Units Sold]]&lt;=95,"Excellent",Table22[[#This Row],[Units Sold]]&gt;95,"Outstanding")</f>
        <v>Critical</v>
      </c>
      <c r="N812" s="29">
        <v>1152.96</v>
      </c>
      <c r="O812" s="29">
        <v>39200.639999999999</v>
      </c>
      <c r="P812" s="43">
        <f>IF(Table22[[#This Row],[Discount Applied]],Table22[[#This Row],[Total Sales (in USD)]]*(1-Table22[[#This Row],[Discount Percentage (%)]]/100),Table22[[#This Row],[Total Sales (in USD)]])</f>
        <v>27746.212992000001</v>
      </c>
      <c r="Q812" s="66">
        <f>SQRT(AVERAGE((Table22[[#This Row],[Net Sales (after discount) (in USD)]]-AVERAGE(Table22[Net Sales (after discount) (in USD)]))^2))</f>
        <v>8765.1475717645371</v>
      </c>
      <c r="R812" s="18" t="b">
        <v>1</v>
      </c>
      <c r="S812" s="40">
        <v>29.22</v>
      </c>
      <c r="T812" s="18" t="b">
        <v>1</v>
      </c>
      <c r="U812" s="25">
        <v>45092</v>
      </c>
      <c r="V812" s="63" t="str">
        <f>IF(MONTH(Table22[[#This Row],[Sales Date]])&lt;=3,"Q1",IF(MONTH(Table22[[#This Row],[Sales Date]])&lt;=6,"Q2",IF(MONTH(Table22[[#This Row],[Sales Date]])&lt;=9,"Q3","Q4")))</f>
        <v>Q2</v>
      </c>
      <c r="W812" s="64">
        <f>YEAR(Table22[[#This Row],[Sales Date]])</f>
        <v>2023</v>
      </c>
      <c r="X812" s="23">
        <v>69</v>
      </c>
      <c r="Y812" s="18" t="s">
        <v>49</v>
      </c>
      <c r="Z812" s="18" t="s">
        <v>30</v>
      </c>
      <c r="AA812" s="19" t="s">
        <v>25</v>
      </c>
    </row>
    <row r="813" spans="1:27" x14ac:dyDescent="0.25">
      <c r="A813" s="17" t="s">
        <v>321</v>
      </c>
      <c r="B813" s="18" t="s">
        <v>38</v>
      </c>
      <c r="C813" s="63" t="str" cm="1">
        <f t="array" ref="C813">_xlfn.SWITCH(Table22[[#This Row],[Country]],"USA","North America","Canada","North America","Brazil","South America","China","Asia","Japan","Asia","India","Asia","France","Europe","Germany","Europe","UK","Europe","Australia","Oceania","South America")</f>
        <v>Europe</v>
      </c>
      <c r="D813" s="18" t="s">
        <v>44</v>
      </c>
      <c r="E813" s="18" t="s">
        <v>19</v>
      </c>
      <c r="F813" s="18" t="s">
        <v>20</v>
      </c>
      <c r="G813" s="18" t="s">
        <v>29</v>
      </c>
      <c r="H813" s="64">
        <f>LEN(TRIM(Table22[[#This Row],[Country]]))</f>
        <v>6</v>
      </c>
      <c r="I813" s="64">
        <f>LEN(TRIM(Table22[[#This Row],[Continent]]))</f>
        <v>6</v>
      </c>
      <c r="J813" s="64">
        <f>LEN(TRIM(Table22[[#This Row],[Product]]))</f>
        <v>6</v>
      </c>
      <c r="K813" s="64">
        <f>LEN(TRIM(Table22[[#This Row],[Sales Team]]))</f>
        <v>10</v>
      </c>
      <c r="L813" s="23">
        <v>60</v>
      </c>
      <c r="M813" s="65" t="str" cm="1">
        <f t="array" ref="M813">_xlfn.IFS(Table22[[#This Row],[Units Sold]]&lt;40,"Critical",Table22[[#This Row],[Units Sold]]&lt;=50,"Poor",Table22[[#This Row],[Units Sold]]&lt;=60,"Low",Table22[[#This Row],[Units Sold]]&lt;=80,"Average",Table22[[#This Row],[Units Sold]]&lt;=90,"High",Table22[[#This Row],[Units Sold]]&lt;=95,"Excellent",Table22[[#This Row],[Units Sold]]&gt;95,"Outstanding")</f>
        <v>Low</v>
      </c>
      <c r="N813" s="29">
        <v>652.87</v>
      </c>
      <c r="O813" s="29">
        <v>39172.199999999997</v>
      </c>
      <c r="P813" s="43">
        <f>IF(Table22[[#This Row],[Discount Applied]],Table22[[#This Row],[Total Sales (in USD)]]*(1-Table22[[#This Row],[Discount Percentage (%)]]/100),Table22[[#This Row],[Total Sales (in USD)]])</f>
        <v>39172.199999999997</v>
      </c>
      <c r="Q813" s="66">
        <f>SQRT(AVERAGE((Table22[[#This Row],[Net Sales (after discount) (in USD)]]-AVERAGE(Table22[Net Sales (after discount) (in USD)]))^2))</f>
        <v>2660.8394362354593</v>
      </c>
      <c r="R813" s="18" t="b">
        <v>1</v>
      </c>
      <c r="S813" s="40">
        <v>18.46</v>
      </c>
      <c r="T813" s="18" t="b">
        <v>0</v>
      </c>
      <c r="U813" s="25">
        <v>45332</v>
      </c>
      <c r="V813" s="63" t="str">
        <f>IF(MONTH(Table22[[#This Row],[Sales Date]])&lt;=3,"Q1",IF(MONTH(Table22[[#This Row],[Sales Date]])&lt;=6,"Q2",IF(MONTH(Table22[[#This Row],[Sales Date]])&lt;=9,"Q3","Q4")))</f>
        <v>Q1</v>
      </c>
      <c r="W813" s="64">
        <f>YEAR(Table22[[#This Row],[Sales Date]])</f>
        <v>2024</v>
      </c>
      <c r="X813" s="23">
        <v>24</v>
      </c>
      <c r="Y813" s="18" t="s">
        <v>23</v>
      </c>
      <c r="Z813" s="18" t="s">
        <v>56</v>
      </c>
      <c r="AA813" s="19" t="s">
        <v>25</v>
      </c>
    </row>
    <row r="814" spans="1:27" x14ac:dyDescent="0.25">
      <c r="A814" s="17" t="s">
        <v>1491</v>
      </c>
      <c r="B814" s="18" t="s">
        <v>66</v>
      </c>
      <c r="C814" s="63" t="str" cm="1">
        <f t="array" ref="C814">_xlfn.SWITCH(Table22[[#This Row],[Country]],"USA","North America","Canada","North America","Brazil","South America","China","Asia","Japan","Asia","India","Asia","France","Europe","Germany","Europe","UK","Europe","Australia","Oceania","South America")</f>
        <v>North America</v>
      </c>
      <c r="D814" s="18" t="s">
        <v>28</v>
      </c>
      <c r="E814" s="18" t="s">
        <v>19</v>
      </c>
      <c r="F814" s="18" t="s">
        <v>34</v>
      </c>
      <c r="G814" s="18" t="s">
        <v>29</v>
      </c>
      <c r="H814" s="64">
        <f>LEN(TRIM(Table22[[#This Row],[Country]]))</f>
        <v>6</v>
      </c>
      <c r="I814" s="64">
        <f>LEN(TRIM(Table22[[#This Row],[Continent]]))</f>
        <v>13</v>
      </c>
      <c r="J814" s="64">
        <f>LEN(TRIM(Table22[[#This Row],[Product]]))</f>
        <v>6</v>
      </c>
      <c r="K814" s="64">
        <f>LEN(TRIM(Table22[[#This Row],[Sales Team]]))</f>
        <v>10</v>
      </c>
      <c r="L814" s="23">
        <v>69</v>
      </c>
      <c r="M814" s="65" t="str" cm="1">
        <f t="array" ref="M814">_xlfn.IFS(Table22[[#This Row],[Units Sold]]&lt;40,"Critical",Table22[[#This Row],[Units Sold]]&lt;=50,"Poor",Table22[[#This Row],[Units Sold]]&lt;=60,"Low",Table22[[#This Row],[Units Sold]]&lt;=80,"Average",Table22[[#This Row],[Units Sold]]&lt;=90,"High",Table22[[#This Row],[Units Sold]]&lt;=95,"Excellent",Table22[[#This Row],[Units Sold]]&gt;95,"Outstanding")</f>
        <v>Average</v>
      </c>
      <c r="N814" s="29">
        <v>567.55999999999995</v>
      </c>
      <c r="O814" s="29">
        <v>39161.64</v>
      </c>
      <c r="P814" s="43">
        <f>IF(Table22[[#This Row],[Discount Applied]],Table22[[#This Row],[Total Sales (in USD)]]*(1-Table22[[#This Row],[Discount Percentage (%)]]/100),Table22[[#This Row],[Total Sales (in USD)]])</f>
        <v>39161.64</v>
      </c>
      <c r="Q814" s="66">
        <f>SQRT(AVERAGE((Table22[[#This Row],[Net Sales (after discount) (in USD)]]-AVERAGE(Table22[Net Sales (after discount) (in USD)]))^2))</f>
        <v>2650.2794362354616</v>
      </c>
      <c r="R814" s="18" t="b">
        <v>0</v>
      </c>
      <c r="S814" s="40">
        <v>0.75</v>
      </c>
      <c r="T814" s="18" t="b">
        <v>0</v>
      </c>
      <c r="U814" s="25">
        <v>45447</v>
      </c>
      <c r="V814" s="63" t="str">
        <f>IF(MONTH(Table22[[#This Row],[Sales Date]])&lt;=3,"Q1",IF(MONTH(Table22[[#This Row],[Sales Date]])&lt;=6,"Q2",IF(MONTH(Table22[[#This Row],[Sales Date]])&lt;=9,"Q3","Q4")))</f>
        <v>Q2</v>
      </c>
      <c r="W814" s="64">
        <f>YEAR(Table22[[#This Row],[Sales Date]])</f>
        <v>2024</v>
      </c>
      <c r="X814" s="23">
        <v>65</v>
      </c>
      <c r="Y814" s="18" t="s">
        <v>49</v>
      </c>
      <c r="Z814" s="18" t="s">
        <v>24</v>
      </c>
      <c r="AA814" s="19" t="s">
        <v>25</v>
      </c>
    </row>
    <row r="815" spans="1:27" x14ac:dyDescent="0.25">
      <c r="A815" s="17" t="s">
        <v>243</v>
      </c>
      <c r="B815" s="18" t="s">
        <v>18</v>
      </c>
      <c r="C815" s="63" t="str" cm="1">
        <f t="array" ref="C815">_xlfn.SWITCH(Table22[[#This Row],[Country]],"USA","North America","Canada","North America","Brazil","South America","China","Asia","Japan","Asia","India","Asia","France","Europe","Germany","Europe","UK","Europe","Australia","Oceania","South America")</f>
        <v>Asia</v>
      </c>
      <c r="D815" s="18" t="s">
        <v>28</v>
      </c>
      <c r="E815" s="18" t="s">
        <v>39</v>
      </c>
      <c r="F815" s="18" t="s">
        <v>20</v>
      </c>
      <c r="G815" s="18" t="s">
        <v>40</v>
      </c>
      <c r="H815" s="64">
        <f>LEN(TRIM(Table22[[#This Row],[Country]]))</f>
        <v>5</v>
      </c>
      <c r="I815" s="64">
        <f>LEN(TRIM(Table22[[#This Row],[Continent]]))</f>
        <v>4</v>
      </c>
      <c r="J815" s="64">
        <f>LEN(TRIM(Table22[[#This Row],[Product]]))</f>
        <v>10</v>
      </c>
      <c r="K815" s="64">
        <f>LEN(TRIM(Table22[[#This Row],[Sales Team]]))</f>
        <v>10</v>
      </c>
      <c r="L815" s="23">
        <v>38</v>
      </c>
      <c r="M815" s="65" t="str" cm="1">
        <f t="array" ref="M815">_xlfn.IFS(Table22[[#This Row],[Units Sold]]&lt;40,"Critical",Table22[[#This Row],[Units Sold]]&lt;=50,"Poor",Table22[[#This Row],[Units Sold]]&lt;=60,"Low",Table22[[#This Row],[Units Sold]]&lt;=80,"Average",Table22[[#This Row],[Units Sold]]&lt;=90,"High",Table22[[#This Row],[Units Sold]]&lt;=95,"Excellent",Table22[[#This Row],[Units Sold]]&gt;95,"Outstanding")</f>
        <v>Critical</v>
      </c>
      <c r="N815" s="29">
        <v>1027.31</v>
      </c>
      <c r="O815" s="29">
        <v>39037.78</v>
      </c>
      <c r="P815" s="43">
        <f>IF(Table22[[#This Row],[Discount Applied]],Table22[[#This Row],[Total Sales (in USD)]]*(1-Table22[[#This Row],[Discount Percentage (%)]]/100),Table22[[#This Row],[Total Sales (in USD)]])</f>
        <v>39037.78</v>
      </c>
      <c r="Q815" s="66">
        <f>SQRT(AVERAGE((Table22[[#This Row],[Net Sales (after discount) (in USD)]]-AVERAGE(Table22[Net Sales (after discount) (in USD)]))^2))</f>
        <v>2526.419436235461</v>
      </c>
      <c r="R815" s="18" t="b">
        <v>1</v>
      </c>
      <c r="S815" s="40">
        <v>6.21</v>
      </c>
      <c r="T815" s="18" t="b">
        <v>0</v>
      </c>
      <c r="U815" s="25">
        <v>45555</v>
      </c>
      <c r="V815" s="63" t="str">
        <f>IF(MONTH(Table22[[#This Row],[Sales Date]])&lt;=3,"Q1",IF(MONTH(Table22[[#This Row],[Sales Date]])&lt;=6,"Q2",IF(MONTH(Table22[[#This Row],[Sales Date]])&lt;=9,"Q3","Q4")))</f>
        <v>Q3</v>
      </c>
      <c r="W815" s="64">
        <f>YEAR(Table22[[#This Row],[Sales Date]])</f>
        <v>2024</v>
      </c>
      <c r="X815" s="23">
        <v>38</v>
      </c>
      <c r="Y815" s="18" t="s">
        <v>23</v>
      </c>
      <c r="Z815" s="18" t="s">
        <v>42</v>
      </c>
      <c r="AA815" s="19" t="s">
        <v>36</v>
      </c>
    </row>
    <row r="816" spans="1:27" x14ac:dyDescent="0.25">
      <c r="A816" s="17" t="s">
        <v>1085</v>
      </c>
      <c r="B816" s="18" t="s">
        <v>38</v>
      </c>
      <c r="C816" s="63" t="str" cm="1">
        <f t="array" ref="C816">_xlfn.SWITCH(Table22[[#This Row],[Country]],"USA","North America","Canada","North America","Brazil","South America","China","Asia","Japan","Asia","India","Asia","France","Europe","Germany","Europe","UK","Europe","Australia","Oceania","South America")</f>
        <v>Europe</v>
      </c>
      <c r="D816" s="18" t="s">
        <v>35</v>
      </c>
      <c r="E816" s="18" t="s">
        <v>33</v>
      </c>
      <c r="F816" s="18" t="s">
        <v>52</v>
      </c>
      <c r="G816" s="18" t="s">
        <v>40</v>
      </c>
      <c r="H816" s="64">
        <f>LEN(TRIM(Table22[[#This Row],[Country]]))</f>
        <v>6</v>
      </c>
      <c r="I816" s="64">
        <f>LEN(TRIM(Table22[[#This Row],[Continent]]))</f>
        <v>6</v>
      </c>
      <c r="J816" s="64">
        <f>LEN(TRIM(Table22[[#This Row],[Product]]))</f>
        <v>10</v>
      </c>
      <c r="K816" s="64">
        <f>LEN(TRIM(Table22[[#This Row],[Sales Team]]))</f>
        <v>10</v>
      </c>
      <c r="L816" s="23">
        <v>48</v>
      </c>
      <c r="M816" s="65" t="str" cm="1">
        <f t="array" ref="M816">_xlfn.IFS(Table22[[#This Row],[Units Sold]]&lt;40,"Critical",Table22[[#This Row],[Units Sold]]&lt;=50,"Poor",Table22[[#This Row],[Units Sold]]&lt;=60,"Low",Table22[[#This Row],[Units Sold]]&lt;=80,"Average",Table22[[#This Row],[Units Sold]]&lt;=90,"High",Table22[[#This Row],[Units Sold]]&lt;=95,"Excellent",Table22[[#This Row],[Units Sold]]&gt;95,"Outstanding")</f>
        <v>Poor</v>
      </c>
      <c r="N816" s="29">
        <v>812.09</v>
      </c>
      <c r="O816" s="29">
        <v>38980.32</v>
      </c>
      <c r="P816" s="43">
        <f>IF(Table22[[#This Row],[Discount Applied]],Table22[[#This Row],[Total Sales (in USD)]]*(1-Table22[[#This Row],[Discount Percentage (%)]]/100),Table22[[#This Row],[Total Sales (in USD)]])</f>
        <v>36201.023183999998</v>
      </c>
      <c r="Q816" s="66">
        <f>SQRT(AVERAGE((Table22[[#This Row],[Net Sales (after discount) (in USD)]]-AVERAGE(Table22[Net Sales (after discount) (in USD)]))^2))</f>
        <v>310.33737976453995</v>
      </c>
      <c r="R816" s="18" t="b">
        <v>0</v>
      </c>
      <c r="S816" s="40">
        <v>7.13</v>
      </c>
      <c r="T816" s="18" t="b">
        <v>1</v>
      </c>
      <c r="U816" s="25">
        <v>45190</v>
      </c>
      <c r="V816" s="63" t="str">
        <f>IF(MONTH(Table22[[#This Row],[Sales Date]])&lt;=3,"Q1",IF(MONTH(Table22[[#This Row],[Sales Date]])&lt;=6,"Q2",IF(MONTH(Table22[[#This Row],[Sales Date]])&lt;=9,"Q3","Q4")))</f>
        <v>Q3</v>
      </c>
      <c r="W816" s="64">
        <f>YEAR(Table22[[#This Row],[Sales Date]])</f>
        <v>2023</v>
      </c>
      <c r="X816" s="23">
        <v>64</v>
      </c>
      <c r="Y816" s="18" t="s">
        <v>23</v>
      </c>
      <c r="Z816" s="18" t="s">
        <v>56</v>
      </c>
      <c r="AA816" s="19" t="s">
        <v>25</v>
      </c>
    </row>
    <row r="817" spans="1:27" x14ac:dyDescent="0.25">
      <c r="A817" s="17" t="s">
        <v>899</v>
      </c>
      <c r="B817" s="18" t="s">
        <v>27</v>
      </c>
      <c r="C817" s="63" t="str" cm="1">
        <f t="array" ref="C817">_xlfn.SWITCH(Table22[[#This Row],[Country]],"USA","North America","Canada","North America","Brazil","South America","China","Asia","Japan","Asia","India","Asia","France","Europe","Germany","Europe","UK","Europe","Australia","Oceania","South America")</f>
        <v>Europe</v>
      </c>
      <c r="D817" s="18" t="s">
        <v>35</v>
      </c>
      <c r="E817" s="18" t="s">
        <v>39</v>
      </c>
      <c r="F817" s="18" t="s">
        <v>64</v>
      </c>
      <c r="G817" s="18" t="s">
        <v>40</v>
      </c>
      <c r="H817" s="64">
        <f>LEN(TRIM(Table22[[#This Row],[Country]]))</f>
        <v>7</v>
      </c>
      <c r="I817" s="64">
        <f>LEN(TRIM(Table22[[#This Row],[Continent]]))</f>
        <v>6</v>
      </c>
      <c r="J817" s="64">
        <f>LEN(TRIM(Table22[[#This Row],[Product]]))</f>
        <v>10</v>
      </c>
      <c r="K817" s="64">
        <f>LEN(TRIM(Table22[[#This Row],[Sales Team]]))</f>
        <v>10</v>
      </c>
      <c r="L817" s="23">
        <v>27</v>
      </c>
      <c r="M817" s="65" t="str" cm="1">
        <f t="array" ref="M817">_xlfn.IFS(Table22[[#This Row],[Units Sold]]&lt;40,"Critical",Table22[[#This Row],[Units Sold]]&lt;=50,"Poor",Table22[[#This Row],[Units Sold]]&lt;=60,"Low",Table22[[#This Row],[Units Sold]]&lt;=80,"Average",Table22[[#This Row],[Units Sold]]&lt;=90,"High",Table22[[#This Row],[Units Sold]]&lt;=95,"Excellent",Table22[[#This Row],[Units Sold]]&gt;95,"Outstanding")</f>
        <v>Critical</v>
      </c>
      <c r="N817" s="29">
        <v>1443.48</v>
      </c>
      <c r="O817" s="29">
        <v>38973.96</v>
      </c>
      <c r="P817" s="43">
        <f>IF(Table22[[#This Row],[Discount Applied]],Table22[[#This Row],[Total Sales (in USD)]]*(1-Table22[[#This Row],[Discount Percentage (%)]]/100),Table22[[#This Row],[Total Sales (in USD)]])</f>
        <v>34375.032720000003</v>
      </c>
      <c r="Q817" s="66">
        <f>SQRT(AVERAGE((Table22[[#This Row],[Net Sales (after discount) (in USD)]]-AVERAGE(Table22[Net Sales (after discount) (in USD)]))^2))</f>
        <v>2136.3278437645349</v>
      </c>
      <c r="R817" s="18" t="b">
        <v>1</v>
      </c>
      <c r="S817" s="40">
        <v>11.8</v>
      </c>
      <c r="T817" s="18" t="b">
        <v>1</v>
      </c>
      <c r="U817" s="25">
        <v>45073</v>
      </c>
      <c r="V817" s="63" t="str">
        <f>IF(MONTH(Table22[[#This Row],[Sales Date]])&lt;=3,"Q1",IF(MONTH(Table22[[#This Row],[Sales Date]])&lt;=6,"Q2",IF(MONTH(Table22[[#This Row],[Sales Date]])&lt;=9,"Q3","Q4")))</f>
        <v>Q2</v>
      </c>
      <c r="W817" s="64">
        <f>YEAR(Table22[[#This Row],[Sales Date]])</f>
        <v>2023</v>
      </c>
      <c r="X817" s="23">
        <v>42</v>
      </c>
      <c r="Y817" s="18" t="s">
        <v>23</v>
      </c>
      <c r="Z817" s="18" t="s">
        <v>24</v>
      </c>
      <c r="AA817" s="19" t="s">
        <v>36</v>
      </c>
    </row>
    <row r="818" spans="1:27" x14ac:dyDescent="0.25">
      <c r="A818" s="17" t="s">
        <v>646</v>
      </c>
      <c r="B818" s="18" t="s">
        <v>27</v>
      </c>
      <c r="C818" s="63" t="str" cm="1">
        <f t="array" ref="C818">_xlfn.SWITCH(Table22[[#This Row],[Country]],"USA","North America","Canada","North America","Brazil","South America","China","Asia","Japan","Asia","India","Asia","France","Europe","Germany","Europe","UK","Europe","Australia","Oceania","South America")</f>
        <v>Europe</v>
      </c>
      <c r="D818" s="18" t="s">
        <v>21</v>
      </c>
      <c r="E818" s="18" t="s">
        <v>33</v>
      </c>
      <c r="F818" s="18" t="s">
        <v>47</v>
      </c>
      <c r="G818" s="18" t="s">
        <v>48</v>
      </c>
      <c r="H818" s="64">
        <f>LEN(TRIM(Table22[[#This Row],[Country]]))</f>
        <v>7</v>
      </c>
      <c r="I818" s="64">
        <f>LEN(TRIM(Table22[[#This Row],[Continent]]))</f>
        <v>6</v>
      </c>
      <c r="J818" s="64">
        <f>LEN(TRIM(Table22[[#This Row],[Product]]))</f>
        <v>10</v>
      </c>
      <c r="K818" s="64">
        <f>LEN(TRIM(Table22[[#This Row],[Sales Team]]))</f>
        <v>9</v>
      </c>
      <c r="L818" s="23">
        <v>26</v>
      </c>
      <c r="M818" s="65" t="str" cm="1">
        <f t="array" ref="M818">_xlfn.IFS(Table22[[#This Row],[Units Sold]]&lt;40,"Critical",Table22[[#This Row],[Units Sold]]&lt;=50,"Poor",Table22[[#This Row],[Units Sold]]&lt;=60,"Low",Table22[[#This Row],[Units Sold]]&lt;=80,"Average",Table22[[#This Row],[Units Sold]]&lt;=90,"High",Table22[[#This Row],[Units Sold]]&lt;=95,"Excellent",Table22[[#This Row],[Units Sold]]&gt;95,"Outstanding")</f>
        <v>Critical</v>
      </c>
      <c r="N818" s="29">
        <v>1495.84</v>
      </c>
      <c r="O818" s="29">
        <v>38891.839999999997</v>
      </c>
      <c r="P818" s="43">
        <f>IF(Table22[[#This Row],[Discount Applied]],Table22[[#This Row],[Total Sales (in USD)]]*(1-Table22[[#This Row],[Discount Percentage (%)]]/100),Table22[[#This Row],[Total Sales (in USD)]])</f>
        <v>38891.839999999997</v>
      </c>
      <c r="Q818" s="66">
        <f>SQRT(AVERAGE((Table22[[#This Row],[Net Sales (after discount) (in USD)]]-AVERAGE(Table22[Net Sales (after discount) (in USD)]))^2))</f>
        <v>2380.4794362354587</v>
      </c>
      <c r="R818" s="18" t="b">
        <v>1</v>
      </c>
      <c r="S818" s="40">
        <v>27.91</v>
      </c>
      <c r="T818" s="18" t="b">
        <v>0</v>
      </c>
      <c r="U818" s="25">
        <v>45254</v>
      </c>
      <c r="V818" s="63" t="str">
        <f>IF(MONTH(Table22[[#This Row],[Sales Date]])&lt;=3,"Q1",IF(MONTH(Table22[[#This Row],[Sales Date]])&lt;=6,"Q2",IF(MONTH(Table22[[#This Row],[Sales Date]])&lt;=9,"Q3","Q4")))</f>
        <v>Q4</v>
      </c>
      <c r="W818" s="64">
        <f>YEAR(Table22[[#This Row],[Sales Date]])</f>
        <v>2023</v>
      </c>
      <c r="X818" s="23">
        <v>57</v>
      </c>
      <c r="Y818" s="18" t="s">
        <v>23</v>
      </c>
      <c r="Z818" s="18" t="s">
        <v>42</v>
      </c>
      <c r="AA818" s="19" t="s">
        <v>36</v>
      </c>
    </row>
    <row r="819" spans="1:27" x14ac:dyDescent="0.25">
      <c r="A819" s="17" t="s">
        <v>1816</v>
      </c>
      <c r="B819" s="18" t="s">
        <v>38</v>
      </c>
      <c r="C819" s="63" t="str" cm="1">
        <f t="array" ref="C819">_xlfn.SWITCH(Table22[[#This Row],[Country]],"USA","North America","Canada","North America","Brazil","South America","China","Asia","Japan","Asia","India","Asia","France","Europe","Germany","Europe","UK","Europe","Australia","Oceania","South America")</f>
        <v>Europe</v>
      </c>
      <c r="D819" s="18" t="s">
        <v>21</v>
      </c>
      <c r="E819" s="18" t="s">
        <v>33</v>
      </c>
      <c r="F819" s="18" t="s">
        <v>34</v>
      </c>
      <c r="G819" s="18" t="s">
        <v>48</v>
      </c>
      <c r="H819" s="64">
        <f>LEN(TRIM(Table22[[#This Row],[Country]]))</f>
        <v>6</v>
      </c>
      <c r="I819" s="64">
        <f>LEN(TRIM(Table22[[#This Row],[Continent]]))</f>
        <v>6</v>
      </c>
      <c r="J819" s="64">
        <f>LEN(TRIM(Table22[[#This Row],[Product]]))</f>
        <v>10</v>
      </c>
      <c r="K819" s="64">
        <f>LEN(TRIM(Table22[[#This Row],[Sales Team]]))</f>
        <v>9</v>
      </c>
      <c r="L819" s="23">
        <v>72</v>
      </c>
      <c r="M819" s="65" t="str" cm="1">
        <f t="array" ref="M819">_xlfn.IFS(Table22[[#This Row],[Units Sold]]&lt;40,"Critical",Table22[[#This Row],[Units Sold]]&lt;=50,"Poor",Table22[[#This Row],[Units Sold]]&lt;=60,"Low",Table22[[#This Row],[Units Sold]]&lt;=80,"Average",Table22[[#This Row],[Units Sold]]&lt;=90,"High",Table22[[#This Row],[Units Sold]]&lt;=95,"Excellent",Table22[[#This Row],[Units Sold]]&gt;95,"Outstanding")</f>
        <v>Average</v>
      </c>
      <c r="N819" s="29">
        <v>538.97</v>
      </c>
      <c r="O819" s="29">
        <v>38805.839999999997</v>
      </c>
      <c r="P819" s="43">
        <f>IF(Table22[[#This Row],[Discount Applied]],Table22[[#This Row],[Total Sales (in USD)]]*(1-Table22[[#This Row],[Discount Percentage (%)]]/100),Table22[[#This Row],[Total Sales (in USD)]])</f>
        <v>38805.839999999997</v>
      </c>
      <c r="Q819" s="66">
        <f>SQRT(AVERAGE((Table22[[#This Row],[Net Sales (after discount) (in USD)]]-AVERAGE(Table22[Net Sales (after discount) (in USD)]))^2))</f>
        <v>2294.4794362354587</v>
      </c>
      <c r="R819" s="18" t="b">
        <v>1</v>
      </c>
      <c r="S819" s="40">
        <v>6.19</v>
      </c>
      <c r="T819" s="18" t="b">
        <v>0</v>
      </c>
      <c r="U819" s="25">
        <v>45546</v>
      </c>
      <c r="V819" s="63" t="str">
        <f>IF(MONTH(Table22[[#This Row],[Sales Date]])&lt;=3,"Q1",IF(MONTH(Table22[[#This Row],[Sales Date]])&lt;=6,"Q2",IF(MONTH(Table22[[#This Row],[Sales Date]])&lt;=9,"Q3","Q4")))</f>
        <v>Q3</v>
      </c>
      <c r="W819" s="64">
        <f>YEAR(Table22[[#This Row],[Sales Date]])</f>
        <v>2024</v>
      </c>
      <c r="X819" s="23">
        <v>61</v>
      </c>
      <c r="Y819" s="18" t="s">
        <v>49</v>
      </c>
      <c r="Z819" s="18" t="s">
        <v>42</v>
      </c>
      <c r="AA819" s="19" t="s">
        <v>25</v>
      </c>
    </row>
    <row r="820" spans="1:27" x14ac:dyDescent="0.25">
      <c r="A820" s="17" t="s">
        <v>379</v>
      </c>
      <c r="B820" s="18" t="s">
        <v>32</v>
      </c>
      <c r="C820" s="63" t="str" cm="1">
        <f t="array" ref="C820">_xlfn.SWITCH(Table22[[#This Row],[Country]],"USA","North America","Canada","North America","Brazil","South America","China","Asia","Japan","Asia","India","Asia","France","Europe","Germany","Europe","UK","Europe","Australia","Oceania","South America")</f>
        <v>Asia</v>
      </c>
      <c r="D820" s="18" t="s">
        <v>35</v>
      </c>
      <c r="E820" s="18" t="s">
        <v>19</v>
      </c>
      <c r="F820" s="18" t="s">
        <v>34</v>
      </c>
      <c r="G820" s="18" t="s">
        <v>29</v>
      </c>
      <c r="H820" s="64">
        <f>LEN(TRIM(Table22[[#This Row],[Country]]))</f>
        <v>5</v>
      </c>
      <c r="I820" s="64">
        <f>LEN(TRIM(Table22[[#This Row],[Continent]]))</f>
        <v>4</v>
      </c>
      <c r="J820" s="64">
        <f>LEN(TRIM(Table22[[#This Row],[Product]]))</f>
        <v>6</v>
      </c>
      <c r="K820" s="64">
        <f>LEN(TRIM(Table22[[#This Row],[Sales Team]]))</f>
        <v>10</v>
      </c>
      <c r="L820" s="23">
        <v>36</v>
      </c>
      <c r="M820" s="65" t="str" cm="1">
        <f t="array" ref="M820">_xlfn.IFS(Table22[[#This Row],[Units Sold]]&lt;40,"Critical",Table22[[#This Row],[Units Sold]]&lt;=50,"Poor",Table22[[#This Row],[Units Sold]]&lt;=60,"Low",Table22[[#This Row],[Units Sold]]&lt;=80,"Average",Table22[[#This Row],[Units Sold]]&lt;=90,"High",Table22[[#This Row],[Units Sold]]&lt;=95,"Excellent",Table22[[#This Row],[Units Sold]]&gt;95,"Outstanding")</f>
        <v>Critical</v>
      </c>
      <c r="N820" s="29">
        <v>1077.5899999999999</v>
      </c>
      <c r="O820" s="29">
        <v>38793.24</v>
      </c>
      <c r="P820" s="43">
        <f>IF(Table22[[#This Row],[Discount Applied]],Table22[[#This Row],[Total Sales (in USD)]]*(1-Table22[[#This Row],[Discount Percentage (%)]]/100),Table22[[#This Row],[Total Sales (in USD)]])</f>
        <v>38793.24</v>
      </c>
      <c r="Q820" s="66">
        <f>SQRT(AVERAGE((Table22[[#This Row],[Net Sales (after discount) (in USD)]]-AVERAGE(Table22[Net Sales (after discount) (in USD)]))^2))</f>
        <v>2281.8794362354602</v>
      </c>
      <c r="R820" s="18" t="b">
        <v>1</v>
      </c>
      <c r="S820" s="40">
        <v>28.09</v>
      </c>
      <c r="T820" s="18" t="b">
        <v>0</v>
      </c>
      <c r="U820" s="25">
        <v>45189</v>
      </c>
      <c r="V820" s="63" t="str">
        <f>IF(MONTH(Table22[[#This Row],[Sales Date]])&lt;=3,"Q1",IF(MONTH(Table22[[#This Row],[Sales Date]])&lt;=6,"Q2",IF(MONTH(Table22[[#This Row],[Sales Date]])&lt;=9,"Q3","Q4")))</f>
        <v>Q3</v>
      </c>
      <c r="W820" s="64">
        <f>YEAR(Table22[[#This Row],[Sales Date]])</f>
        <v>2023</v>
      </c>
      <c r="X820" s="23">
        <v>31</v>
      </c>
      <c r="Y820" s="18" t="s">
        <v>49</v>
      </c>
      <c r="Z820" s="18" t="s">
        <v>42</v>
      </c>
      <c r="AA820" s="19" t="s">
        <v>25</v>
      </c>
    </row>
    <row r="821" spans="1:27" x14ac:dyDescent="0.25">
      <c r="A821" s="17" t="s">
        <v>973</v>
      </c>
      <c r="B821" s="18" t="s">
        <v>46</v>
      </c>
      <c r="C821" s="63" t="str" cm="1">
        <f t="array" ref="C821">_xlfn.SWITCH(Table22[[#This Row],[Country]],"USA","North America","Canada","North America","Brazil","South America","China","Asia","Japan","Asia","India","Asia","France","Europe","Germany","Europe","UK","Europe","Australia","Oceania","South America")</f>
        <v>South America</v>
      </c>
      <c r="D821" s="18" t="s">
        <v>35</v>
      </c>
      <c r="E821" s="18" t="s">
        <v>19</v>
      </c>
      <c r="F821" s="18" t="s">
        <v>47</v>
      </c>
      <c r="G821" s="18" t="s">
        <v>22</v>
      </c>
      <c r="H821" s="64">
        <f>LEN(TRIM(Table22[[#This Row],[Country]]))</f>
        <v>6</v>
      </c>
      <c r="I821" s="64">
        <f>LEN(TRIM(Table22[[#This Row],[Continent]]))</f>
        <v>13</v>
      </c>
      <c r="J821" s="64">
        <f>LEN(TRIM(Table22[[#This Row],[Product]]))</f>
        <v>6</v>
      </c>
      <c r="K821" s="64">
        <f>LEN(TRIM(Table22[[#This Row],[Sales Team]]))</f>
        <v>10</v>
      </c>
      <c r="L821" s="23">
        <v>58</v>
      </c>
      <c r="M821" s="65" t="str" cm="1">
        <f t="array" ref="M821">_xlfn.IFS(Table22[[#This Row],[Units Sold]]&lt;40,"Critical",Table22[[#This Row],[Units Sold]]&lt;=50,"Poor",Table22[[#This Row],[Units Sold]]&lt;=60,"Low",Table22[[#This Row],[Units Sold]]&lt;=80,"Average",Table22[[#This Row],[Units Sold]]&lt;=90,"High",Table22[[#This Row],[Units Sold]]&lt;=95,"Excellent",Table22[[#This Row],[Units Sold]]&gt;95,"Outstanding")</f>
        <v>Low</v>
      </c>
      <c r="N821" s="29">
        <v>667.87</v>
      </c>
      <c r="O821" s="29">
        <v>38736.46</v>
      </c>
      <c r="P821" s="43">
        <f>IF(Table22[[#This Row],[Discount Applied]],Table22[[#This Row],[Total Sales (in USD)]]*(1-Table22[[#This Row],[Discount Percentage (%)]]/100),Table22[[#This Row],[Total Sales (in USD)]])</f>
        <v>27169.753044000001</v>
      </c>
      <c r="Q821" s="66">
        <f>SQRT(AVERAGE((Table22[[#This Row],[Net Sales (after discount) (in USD)]]-AVERAGE(Table22[Net Sales (after discount) (in USD)]))^2))</f>
        <v>9341.6075197645368</v>
      </c>
      <c r="R821" s="18" t="b">
        <v>0</v>
      </c>
      <c r="S821" s="40">
        <v>29.86</v>
      </c>
      <c r="T821" s="18" t="b">
        <v>1</v>
      </c>
      <c r="U821" s="25">
        <v>45370</v>
      </c>
      <c r="V821" s="63" t="str">
        <f>IF(MONTH(Table22[[#This Row],[Sales Date]])&lt;=3,"Q1",IF(MONTH(Table22[[#This Row],[Sales Date]])&lt;=6,"Q2",IF(MONTH(Table22[[#This Row],[Sales Date]])&lt;=9,"Q3","Q4")))</f>
        <v>Q1</v>
      </c>
      <c r="W821" s="64">
        <f>YEAR(Table22[[#This Row],[Sales Date]])</f>
        <v>2024</v>
      </c>
      <c r="X821" s="23">
        <v>27</v>
      </c>
      <c r="Y821" s="18" t="s">
        <v>41</v>
      </c>
      <c r="Z821" s="18" t="s">
        <v>30</v>
      </c>
      <c r="AA821" s="19" t="s">
        <v>36</v>
      </c>
    </row>
    <row r="822" spans="1:27" x14ac:dyDescent="0.25">
      <c r="A822" s="17" t="s">
        <v>1886</v>
      </c>
      <c r="B822" s="18" t="s">
        <v>72</v>
      </c>
      <c r="C822" s="63" t="str" cm="1">
        <f t="array" ref="C822">_xlfn.SWITCH(Table22[[#This Row],[Country]],"USA","North America","Canada","North America","Brazil","South America","China","Asia","Japan","Asia","India","Asia","France","Europe","Germany","Europe","UK","Europe","Australia","Oceania","South America")</f>
        <v>North America</v>
      </c>
      <c r="D822" s="18" t="s">
        <v>28</v>
      </c>
      <c r="E822" s="18" t="s">
        <v>33</v>
      </c>
      <c r="F822" s="18" t="s">
        <v>20</v>
      </c>
      <c r="G822" s="18" t="s">
        <v>40</v>
      </c>
      <c r="H822" s="64">
        <f>LEN(TRIM(Table22[[#This Row],[Country]]))</f>
        <v>3</v>
      </c>
      <c r="I822" s="64">
        <f>LEN(TRIM(Table22[[#This Row],[Continent]]))</f>
        <v>13</v>
      </c>
      <c r="J822" s="64">
        <f>LEN(TRIM(Table22[[#This Row],[Product]]))</f>
        <v>10</v>
      </c>
      <c r="K822" s="64">
        <f>LEN(TRIM(Table22[[#This Row],[Sales Team]]))</f>
        <v>10</v>
      </c>
      <c r="L822" s="23">
        <v>27</v>
      </c>
      <c r="M822" s="65" t="str" cm="1">
        <f t="array" ref="M822">_xlfn.IFS(Table22[[#This Row],[Units Sold]]&lt;40,"Critical",Table22[[#This Row],[Units Sold]]&lt;=50,"Poor",Table22[[#This Row],[Units Sold]]&lt;=60,"Low",Table22[[#This Row],[Units Sold]]&lt;=80,"Average",Table22[[#This Row],[Units Sold]]&lt;=90,"High",Table22[[#This Row],[Units Sold]]&lt;=95,"Excellent",Table22[[#This Row],[Units Sold]]&gt;95,"Outstanding")</f>
        <v>Critical</v>
      </c>
      <c r="N822" s="29">
        <v>1433.88</v>
      </c>
      <c r="O822" s="29">
        <v>38714.76</v>
      </c>
      <c r="P822" s="43">
        <f>IF(Table22[[#This Row],[Discount Applied]],Table22[[#This Row],[Total Sales (in USD)]]*(1-Table22[[#This Row],[Discount Percentage (%)]]/100),Table22[[#This Row],[Total Sales (in USD)]])</f>
        <v>38714.76</v>
      </c>
      <c r="Q822" s="66">
        <f>SQRT(AVERAGE((Table22[[#This Row],[Net Sales (after discount) (in USD)]]-AVERAGE(Table22[Net Sales (after discount) (in USD)]))^2))</f>
        <v>2203.3994362354642</v>
      </c>
      <c r="R822" s="18" t="b">
        <v>0</v>
      </c>
      <c r="S822" s="40">
        <v>6.15</v>
      </c>
      <c r="T822" s="18" t="b">
        <v>0</v>
      </c>
      <c r="U822" s="25">
        <v>44964</v>
      </c>
      <c r="V822" s="63" t="str">
        <f>IF(MONTH(Table22[[#This Row],[Sales Date]])&lt;=3,"Q1",IF(MONTH(Table22[[#This Row],[Sales Date]])&lt;=6,"Q2",IF(MONTH(Table22[[#This Row],[Sales Date]])&lt;=9,"Q3","Q4")))</f>
        <v>Q1</v>
      </c>
      <c r="W822" s="64">
        <f>YEAR(Table22[[#This Row],[Sales Date]])</f>
        <v>2023</v>
      </c>
      <c r="X822" s="23">
        <v>60</v>
      </c>
      <c r="Y822" s="18" t="s">
        <v>23</v>
      </c>
      <c r="Z822" s="18" t="s">
        <v>42</v>
      </c>
      <c r="AA822" s="19" t="s">
        <v>36</v>
      </c>
    </row>
    <row r="823" spans="1:27" x14ac:dyDescent="0.25">
      <c r="A823" s="17" t="s">
        <v>1342</v>
      </c>
      <c r="B823" s="18" t="s">
        <v>32</v>
      </c>
      <c r="C823" s="63" t="str" cm="1">
        <f t="array" ref="C823">_xlfn.SWITCH(Table22[[#This Row],[Country]],"USA","North America","Canada","North America","Brazil","South America","China","Asia","Japan","Asia","India","Asia","France","Europe","Germany","Europe","UK","Europe","Australia","Oceania","South America")</f>
        <v>Asia</v>
      </c>
      <c r="D823" s="18" t="s">
        <v>44</v>
      </c>
      <c r="E823" s="18" t="s">
        <v>19</v>
      </c>
      <c r="F823" s="18" t="s">
        <v>20</v>
      </c>
      <c r="G823" s="18" t="s">
        <v>48</v>
      </c>
      <c r="H823" s="64">
        <f>LEN(TRIM(Table22[[#This Row],[Country]]))</f>
        <v>5</v>
      </c>
      <c r="I823" s="64">
        <f>LEN(TRIM(Table22[[#This Row],[Continent]]))</f>
        <v>4</v>
      </c>
      <c r="J823" s="64">
        <f>LEN(TRIM(Table22[[#This Row],[Product]]))</f>
        <v>6</v>
      </c>
      <c r="K823" s="64">
        <f>LEN(TRIM(Table22[[#This Row],[Sales Team]]))</f>
        <v>9</v>
      </c>
      <c r="L823" s="23">
        <v>57</v>
      </c>
      <c r="M823" s="65" t="str" cm="1">
        <f t="array" ref="M823">_xlfn.IFS(Table22[[#This Row],[Units Sold]]&lt;40,"Critical",Table22[[#This Row],[Units Sold]]&lt;=50,"Poor",Table22[[#This Row],[Units Sold]]&lt;=60,"Low",Table22[[#This Row],[Units Sold]]&lt;=80,"Average",Table22[[#This Row],[Units Sold]]&lt;=90,"High",Table22[[#This Row],[Units Sold]]&lt;=95,"Excellent",Table22[[#This Row],[Units Sold]]&gt;95,"Outstanding")</f>
        <v>Low</v>
      </c>
      <c r="N823" s="29">
        <v>677.56</v>
      </c>
      <c r="O823" s="29">
        <v>38620.92</v>
      </c>
      <c r="P823" s="43">
        <f>IF(Table22[[#This Row],[Discount Applied]],Table22[[#This Row],[Total Sales (in USD)]]*(1-Table22[[#This Row],[Discount Percentage (%)]]/100),Table22[[#This Row],[Total Sales (in USD)]])</f>
        <v>38620.92</v>
      </c>
      <c r="Q823" s="66">
        <f>SQRT(AVERAGE((Table22[[#This Row],[Net Sales (after discount) (in USD)]]-AVERAGE(Table22[Net Sales (after discount) (in USD)]))^2))</f>
        <v>2109.5594362354605</v>
      </c>
      <c r="R823" s="18" t="b">
        <v>1</v>
      </c>
      <c r="S823" s="40">
        <v>7.27</v>
      </c>
      <c r="T823" s="18" t="b">
        <v>0</v>
      </c>
      <c r="U823" s="25">
        <v>45424</v>
      </c>
      <c r="V823" s="63" t="str">
        <f>IF(MONTH(Table22[[#This Row],[Sales Date]])&lt;=3,"Q1",IF(MONTH(Table22[[#This Row],[Sales Date]])&lt;=6,"Q2",IF(MONTH(Table22[[#This Row],[Sales Date]])&lt;=9,"Q3","Q4")))</f>
        <v>Q2</v>
      </c>
      <c r="W823" s="64">
        <f>YEAR(Table22[[#This Row],[Sales Date]])</f>
        <v>2024</v>
      </c>
      <c r="X823" s="23">
        <v>39</v>
      </c>
      <c r="Y823" s="18" t="s">
        <v>23</v>
      </c>
      <c r="Z823" s="18" t="s">
        <v>24</v>
      </c>
      <c r="AA823" s="19" t="s">
        <v>36</v>
      </c>
    </row>
    <row r="824" spans="1:27" x14ac:dyDescent="0.25">
      <c r="A824" s="17" t="s">
        <v>267</v>
      </c>
      <c r="B824" s="18" t="s">
        <v>72</v>
      </c>
      <c r="C824" s="63" t="str" cm="1">
        <f t="array" ref="C824">_xlfn.SWITCH(Table22[[#This Row],[Country]],"USA","North America","Canada","North America","Brazil","South America","China","Asia","Japan","Asia","India","Asia","France","Europe","Germany","Europe","UK","Europe","Australia","Oceania","South America")</f>
        <v>North America</v>
      </c>
      <c r="D824" s="18" t="s">
        <v>28</v>
      </c>
      <c r="E824" s="18" t="s">
        <v>19</v>
      </c>
      <c r="F824" s="18" t="s">
        <v>34</v>
      </c>
      <c r="G824" s="18" t="s">
        <v>22</v>
      </c>
      <c r="H824" s="64">
        <f>LEN(TRIM(Table22[[#This Row],[Country]]))</f>
        <v>3</v>
      </c>
      <c r="I824" s="64">
        <f>LEN(TRIM(Table22[[#This Row],[Continent]]))</f>
        <v>13</v>
      </c>
      <c r="J824" s="64">
        <f>LEN(TRIM(Table22[[#This Row],[Product]]))</f>
        <v>6</v>
      </c>
      <c r="K824" s="64">
        <f>LEN(TRIM(Table22[[#This Row],[Sales Team]]))</f>
        <v>10</v>
      </c>
      <c r="L824" s="23">
        <v>32</v>
      </c>
      <c r="M824" s="65" t="str" cm="1">
        <f t="array" ref="M824">_xlfn.IFS(Table22[[#This Row],[Units Sold]]&lt;40,"Critical",Table22[[#This Row],[Units Sold]]&lt;=50,"Poor",Table22[[#This Row],[Units Sold]]&lt;=60,"Low",Table22[[#This Row],[Units Sold]]&lt;=80,"Average",Table22[[#This Row],[Units Sold]]&lt;=90,"High",Table22[[#This Row],[Units Sold]]&lt;=95,"Excellent",Table22[[#This Row],[Units Sold]]&gt;95,"Outstanding")</f>
        <v>Critical</v>
      </c>
      <c r="N824" s="29">
        <v>1201.1500000000001</v>
      </c>
      <c r="O824" s="29">
        <v>38436.800000000003</v>
      </c>
      <c r="P824" s="43">
        <f>IF(Table22[[#This Row],[Discount Applied]],Table22[[#This Row],[Total Sales (in USD)]]*(1-Table22[[#This Row],[Discount Percentage (%)]]/100),Table22[[#This Row],[Total Sales (in USD)]])</f>
        <v>38436.800000000003</v>
      </c>
      <c r="Q824" s="66">
        <f>SQRT(AVERAGE((Table22[[#This Row],[Net Sales (after discount) (in USD)]]-AVERAGE(Table22[Net Sales (after discount) (in USD)]))^2))</f>
        <v>1925.4394362354651</v>
      </c>
      <c r="R824" s="18" t="b">
        <v>0</v>
      </c>
      <c r="S824" s="40">
        <v>19.420000000000002</v>
      </c>
      <c r="T824" s="18" t="b">
        <v>0</v>
      </c>
      <c r="U824" s="25">
        <v>45029</v>
      </c>
      <c r="V824" s="63" t="str">
        <f>IF(MONTH(Table22[[#This Row],[Sales Date]])&lt;=3,"Q1",IF(MONTH(Table22[[#This Row],[Sales Date]])&lt;=6,"Q2",IF(MONTH(Table22[[#This Row],[Sales Date]])&lt;=9,"Q3","Q4")))</f>
        <v>Q2</v>
      </c>
      <c r="W824" s="64">
        <f>YEAR(Table22[[#This Row],[Sales Date]])</f>
        <v>2023</v>
      </c>
      <c r="X824" s="23">
        <v>58</v>
      </c>
      <c r="Y824" s="18" t="s">
        <v>49</v>
      </c>
      <c r="Z824" s="18" t="s">
        <v>56</v>
      </c>
      <c r="AA824" s="19" t="s">
        <v>36</v>
      </c>
    </row>
    <row r="825" spans="1:27" x14ac:dyDescent="0.25">
      <c r="A825" s="17" t="s">
        <v>730</v>
      </c>
      <c r="B825" s="18" t="s">
        <v>72</v>
      </c>
      <c r="C825" s="63" t="str" cm="1">
        <f t="array" ref="C825">_xlfn.SWITCH(Table22[[#This Row],[Country]],"USA","North America","Canada","North America","Brazil","South America","China","Asia","Japan","Asia","India","Asia","France","Europe","Germany","Europe","UK","Europe","Australia","Oceania","South America")</f>
        <v>North America</v>
      </c>
      <c r="D825" s="18" t="s">
        <v>35</v>
      </c>
      <c r="E825" s="18" t="s">
        <v>19</v>
      </c>
      <c r="F825" s="18" t="s">
        <v>52</v>
      </c>
      <c r="G825" s="18" t="s">
        <v>40</v>
      </c>
      <c r="H825" s="64">
        <f>LEN(TRIM(Table22[[#This Row],[Country]]))</f>
        <v>3</v>
      </c>
      <c r="I825" s="64">
        <f>LEN(TRIM(Table22[[#This Row],[Continent]]))</f>
        <v>13</v>
      </c>
      <c r="J825" s="64">
        <f>LEN(TRIM(Table22[[#This Row],[Product]]))</f>
        <v>6</v>
      </c>
      <c r="K825" s="64">
        <f>LEN(TRIM(Table22[[#This Row],[Sales Team]]))</f>
        <v>10</v>
      </c>
      <c r="L825" s="23">
        <v>72</v>
      </c>
      <c r="M825" s="65" t="str" cm="1">
        <f t="array" ref="M825">_xlfn.IFS(Table22[[#This Row],[Units Sold]]&lt;40,"Critical",Table22[[#This Row],[Units Sold]]&lt;=50,"Poor",Table22[[#This Row],[Units Sold]]&lt;=60,"Low",Table22[[#This Row],[Units Sold]]&lt;=80,"Average",Table22[[#This Row],[Units Sold]]&lt;=90,"High",Table22[[#This Row],[Units Sold]]&lt;=95,"Excellent",Table22[[#This Row],[Units Sold]]&gt;95,"Outstanding")</f>
        <v>Average</v>
      </c>
      <c r="N825" s="29">
        <v>532.98</v>
      </c>
      <c r="O825" s="29">
        <v>38374.559999999998</v>
      </c>
      <c r="P825" s="43">
        <f>IF(Table22[[#This Row],[Discount Applied]],Table22[[#This Row],[Total Sales (in USD)]]*(1-Table22[[#This Row],[Discount Percentage (%)]]/100),Table22[[#This Row],[Total Sales (in USD)]])</f>
        <v>38374.559999999998</v>
      </c>
      <c r="Q825" s="66">
        <f>SQRT(AVERAGE((Table22[[#This Row],[Net Sales (after discount) (in USD)]]-AVERAGE(Table22[Net Sales (after discount) (in USD)]))^2))</f>
        <v>1863.1994362354599</v>
      </c>
      <c r="R825" s="18" t="b">
        <v>1</v>
      </c>
      <c r="S825" s="40">
        <v>29.41</v>
      </c>
      <c r="T825" s="18" t="b">
        <v>0</v>
      </c>
      <c r="U825" s="25">
        <v>45423</v>
      </c>
      <c r="V825" s="63" t="str">
        <f>IF(MONTH(Table22[[#This Row],[Sales Date]])&lt;=3,"Q1",IF(MONTH(Table22[[#This Row],[Sales Date]])&lt;=6,"Q2",IF(MONTH(Table22[[#This Row],[Sales Date]])&lt;=9,"Q3","Q4")))</f>
        <v>Q2</v>
      </c>
      <c r="W825" s="64">
        <f>YEAR(Table22[[#This Row],[Sales Date]])</f>
        <v>2024</v>
      </c>
      <c r="X825" s="23">
        <v>24</v>
      </c>
      <c r="Y825" s="18" t="s">
        <v>49</v>
      </c>
      <c r="Z825" s="18" t="s">
        <v>56</v>
      </c>
      <c r="AA825" s="19" t="s">
        <v>25</v>
      </c>
    </row>
    <row r="826" spans="1:27" x14ac:dyDescent="0.25">
      <c r="A826" s="17" t="s">
        <v>339</v>
      </c>
      <c r="B826" s="18" t="s">
        <v>38</v>
      </c>
      <c r="C826" s="63" t="str" cm="1">
        <f t="array" ref="C826">_xlfn.SWITCH(Table22[[#This Row],[Country]],"USA","North America","Canada","North America","Brazil","South America","China","Asia","Japan","Asia","India","Asia","France","Europe","Germany","Europe","UK","Europe","Australia","Oceania","South America")</f>
        <v>Europe</v>
      </c>
      <c r="D826" s="18" t="s">
        <v>35</v>
      </c>
      <c r="E826" s="18" t="s">
        <v>39</v>
      </c>
      <c r="F826" s="18" t="s">
        <v>64</v>
      </c>
      <c r="G826" s="18" t="s">
        <v>29</v>
      </c>
      <c r="H826" s="64">
        <f>LEN(TRIM(Table22[[#This Row],[Country]]))</f>
        <v>6</v>
      </c>
      <c r="I826" s="64">
        <f>LEN(TRIM(Table22[[#This Row],[Continent]]))</f>
        <v>6</v>
      </c>
      <c r="J826" s="64">
        <f>LEN(TRIM(Table22[[#This Row],[Product]]))</f>
        <v>10</v>
      </c>
      <c r="K826" s="64">
        <f>LEN(TRIM(Table22[[#This Row],[Sales Team]]))</f>
        <v>10</v>
      </c>
      <c r="L826" s="23">
        <v>28</v>
      </c>
      <c r="M826" s="65" t="str" cm="1">
        <f t="array" ref="M826">_xlfn.IFS(Table22[[#This Row],[Units Sold]]&lt;40,"Critical",Table22[[#This Row],[Units Sold]]&lt;=50,"Poor",Table22[[#This Row],[Units Sold]]&lt;=60,"Low",Table22[[#This Row],[Units Sold]]&lt;=80,"Average",Table22[[#This Row],[Units Sold]]&lt;=90,"High",Table22[[#This Row],[Units Sold]]&lt;=95,"Excellent",Table22[[#This Row],[Units Sold]]&gt;95,"Outstanding")</f>
        <v>Critical</v>
      </c>
      <c r="N826" s="29">
        <v>1370.43</v>
      </c>
      <c r="O826" s="29">
        <v>38372.04</v>
      </c>
      <c r="P826" s="43">
        <f>IF(Table22[[#This Row],[Discount Applied]],Table22[[#This Row],[Total Sales (in USD)]]*(1-Table22[[#This Row],[Discount Percentage (%)]]/100),Table22[[#This Row],[Total Sales (in USD)]])</f>
        <v>38372.04</v>
      </c>
      <c r="Q826" s="66">
        <f>SQRT(AVERAGE((Table22[[#This Row],[Net Sales (after discount) (in USD)]]-AVERAGE(Table22[Net Sales (after discount) (in USD)]))^2))</f>
        <v>1860.6794362354631</v>
      </c>
      <c r="R826" s="18" t="b">
        <v>0</v>
      </c>
      <c r="S826" s="40">
        <v>13.95</v>
      </c>
      <c r="T826" s="18" t="b">
        <v>0</v>
      </c>
      <c r="U826" s="25">
        <v>45126</v>
      </c>
      <c r="V826" s="63" t="str">
        <f>IF(MONTH(Table22[[#This Row],[Sales Date]])&lt;=3,"Q1",IF(MONTH(Table22[[#This Row],[Sales Date]])&lt;=6,"Q2",IF(MONTH(Table22[[#This Row],[Sales Date]])&lt;=9,"Q3","Q4")))</f>
        <v>Q3</v>
      </c>
      <c r="W826" s="64">
        <f>YEAR(Table22[[#This Row],[Sales Date]])</f>
        <v>2023</v>
      </c>
      <c r="X826" s="23">
        <v>62</v>
      </c>
      <c r="Y826" s="18" t="s">
        <v>23</v>
      </c>
      <c r="Z826" s="18" t="s">
        <v>56</v>
      </c>
      <c r="AA826" s="19" t="s">
        <v>36</v>
      </c>
    </row>
    <row r="827" spans="1:27" x14ac:dyDescent="0.25">
      <c r="A827" s="17" t="s">
        <v>1344</v>
      </c>
      <c r="B827" s="18" t="s">
        <v>66</v>
      </c>
      <c r="C827" s="63" t="str" cm="1">
        <f t="array" ref="C827">_xlfn.SWITCH(Table22[[#This Row],[Country]],"USA","North America","Canada","North America","Brazil","South America","China","Asia","Japan","Asia","India","Asia","France","Europe","Germany","Europe","UK","Europe","Australia","Oceania","South America")</f>
        <v>North America</v>
      </c>
      <c r="D827" s="18" t="s">
        <v>35</v>
      </c>
      <c r="E827" s="18" t="s">
        <v>33</v>
      </c>
      <c r="F827" s="18" t="s">
        <v>64</v>
      </c>
      <c r="G827" s="18" t="s">
        <v>22</v>
      </c>
      <c r="H827" s="64">
        <f>LEN(TRIM(Table22[[#This Row],[Country]]))</f>
        <v>6</v>
      </c>
      <c r="I827" s="64">
        <f>LEN(TRIM(Table22[[#This Row],[Continent]]))</f>
        <v>13</v>
      </c>
      <c r="J827" s="64">
        <f>LEN(TRIM(Table22[[#This Row],[Product]]))</f>
        <v>10</v>
      </c>
      <c r="K827" s="64">
        <f>LEN(TRIM(Table22[[#This Row],[Sales Team]]))</f>
        <v>10</v>
      </c>
      <c r="L827" s="23">
        <v>88</v>
      </c>
      <c r="M827" s="65" t="str" cm="1">
        <f t="array" ref="M827">_xlfn.IFS(Table22[[#This Row],[Units Sold]]&lt;40,"Critical",Table22[[#This Row],[Units Sold]]&lt;=50,"Poor",Table22[[#This Row],[Units Sold]]&lt;=60,"Low",Table22[[#This Row],[Units Sold]]&lt;=80,"Average",Table22[[#This Row],[Units Sold]]&lt;=90,"High",Table22[[#This Row],[Units Sold]]&lt;=95,"Excellent",Table22[[#This Row],[Units Sold]]&gt;95,"Outstanding")</f>
        <v>High</v>
      </c>
      <c r="N827" s="29">
        <v>435.13</v>
      </c>
      <c r="O827" s="29">
        <v>38291.440000000002</v>
      </c>
      <c r="P827" s="43">
        <f>IF(Table22[[#This Row],[Discount Applied]],Table22[[#This Row],[Total Sales (in USD)]]*(1-Table22[[#This Row],[Discount Percentage (%)]]/100),Table22[[#This Row],[Total Sales (in USD)]])</f>
        <v>27516.228784000003</v>
      </c>
      <c r="Q827" s="66">
        <f>SQRT(AVERAGE((Table22[[#This Row],[Net Sales (after discount) (in USD)]]-AVERAGE(Table22[Net Sales (after discount) (in USD)]))^2))</f>
        <v>8995.1317797645352</v>
      </c>
      <c r="R827" s="18" t="b">
        <v>0</v>
      </c>
      <c r="S827" s="40">
        <v>28.14</v>
      </c>
      <c r="T827" s="18" t="b">
        <v>1</v>
      </c>
      <c r="U827" s="25">
        <v>45324</v>
      </c>
      <c r="V827" s="63" t="str">
        <f>IF(MONTH(Table22[[#This Row],[Sales Date]])&lt;=3,"Q1",IF(MONTH(Table22[[#This Row],[Sales Date]])&lt;=6,"Q2",IF(MONTH(Table22[[#This Row],[Sales Date]])&lt;=9,"Q3","Q4")))</f>
        <v>Q1</v>
      </c>
      <c r="W827" s="64">
        <f>YEAR(Table22[[#This Row],[Sales Date]])</f>
        <v>2024</v>
      </c>
      <c r="X827" s="23">
        <v>27</v>
      </c>
      <c r="Y827" s="18" t="s">
        <v>41</v>
      </c>
      <c r="Z827" s="18" t="s">
        <v>56</v>
      </c>
      <c r="AA827" s="19" t="s">
        <v>25</v>
      </c>
    </row>
    <row r="828" spans="1:27" x14ac:dyDescent="0.25">
      <c r="A828" s="17" t="s">
        <v>657</v>
      </c>
      <c r="B828" s="18" t="s">
        <v>76</v>
      </c>
      <c r="C828" s="63" t="str" cm="1">
        <f t="array" ref="C828">_xlfn.SWITCH(Table22[[#This Row],[Country]],"USA","North America","Canada","North America","Brazil","South America","China","Asia","Japan","Asia","India","Asia","France","Europe","Germany","Europe","UK","Europe","Australia","Oceania","South America")</f>
        <v>Asia</v>
      </c>
      <c r="D828" s="18" t="s">
        <v>35</v>
      </c>
      <c r="E828" s="18" t="s">
        <v>19</v>
      </c>
      <c r="F828" s="18" t="s">
        <v>20</v>
      </c>
      <c r="G828" s="18" t="s">
        <v>29</v>
      </c>
      <c r="H828" s="64">
        <f>LEN(TRIM(Table22[[#This Row],[Country]]))</f>
        <v>5</v>
      </c>
      <c r="I828" s="64">
        <f>LEN(TRIM(Table22[[#This Row],[Continent]]))</f>
        <v>4</v>
      </c>
      <c r="J828" s="64">
        <f>LEN(TRIM(Table22[[#This Row],[Product]]))</f>
        <v>6</v>
      </c>
      <c r="K828" s="64">
        <f>LEN(TRIM(Table22[[#This Row],[Sales Team]]))</f>
        <v>10</v>
      </c>
      <c r="L828" s="23">
        <v>28</v>
      </c>
      <c r="M828" s="65" t="str" cm="1">
        <f t="array" ref="M828">_xlfn.IFS(Table22[[#This Row],[Units Sold]]&lt;40,"Critical",Table22[[#This Row],[Units Sold]]&lt;=50,"Poor",Table22[[#This Row],[Units Sold]]&lt;=60,"Low",Table22[[#This Row],[Units Sold]]&lt;=80,"Average",Table22[[#This Row],[Units Sold]]&lt;=90,"High",Table22[[#This Row],[Units Sold]]&lt;=95,"Excellent",Table22[[#This Row],[Units Sold]]&gt;95,"Outstanding")</f>
        <v>Critical</v>
      </c>
      <c r="N828" s="29">
        <v>1366.42</v>
      </c>
      <c r="O828" s="29">
        <v>38259.760000000002</v>
      </c>
      <c r="P828" s="43">
        <f>IF(Table22[[#This Row],[Discount Applied]],Table22[[#This Row],[Total Sales (in USD)]]*(1-Table22[[#This Row],[Discount Percentage (%)]]/100),Table22[[#This Row],[Total Sales (in USD)]])</f>
        <v>31407.436984</v>
      </c>
      <c r="Q828" s="66">
        <f>SQRT(AVERAGE((Table22[[#This Row],[Net Sales (after discount) (in USD)]]-AVERAGE(Table22[Net Sales (after discount) (in USD)]))^2))</f>
        <v>5103.9235797645379</v>
      </c>
      <c r="R828" s="18" t="b">
        <v>0</v>
      </c>
      <c r="S828" s="40">
        <v>17.91</v>
      </c>
      <c r="T828" s="18" t="b">
        <v>1</v>
      </c>
      <c r="U828" s="25">
        <v>45491</v>
      </c>
      <c r="V828" s="63" t="str">
        <f>IF(MONTH(Table22[[#This Row],[Sales Date]])&lt;=3,"Q1",IF(MONTH(Table22[[#This Row],[Sales Date]])&lt;=6,"Q2",IF(MONTH(Table22[[#This Row],[Sales Date]])&lt;=9,"Q3","Q4")))</f>
        <v>Q3</v>
      </c>
      <c r="W828" s="64">
        <f>YEAR(Table22[[#This Row],[Sales Date]])</f>
        <v>2024</v>
      </c>
      <c r="X828" s="23">
        <v>21</v>
      </c>
      <c r="Y828" s="18" t="s">
        <v>23</v>
      </c>
      <c r="Z828" s="18" t="s">
        <v>24</v>
      </c>
      <c r="AA828" s="19" t="s">
        <v>36</v>
      </c>
    </row>
    <row r="829" spans="1:27" x14ac:dyDescent="0.25">
      <c r="A829" s="17" t="s">
        <v>1132</v>
      </c>
      <c r="B829" s="18" t="s">
        <v>51</v>
      </c>
      <c r="C829" s="63" t="str" cm="1">
        <f t="array" ref="C829">_xlfn.SWITCH(Table22[[#This Row],[Country]],"USA","North America","Canada","North America","Brazil","South America","China","Asia","Japan","Asia","India","Asia","France","Europe","Germany","Europe","UK","Europe","Australia","Oceania","South America")</f>
        <v>Europe</v>
      </c>
      <c r="D829" s="18" t="s">
        <v>35</v>
      </c>
      <c r="E829" s="18" t="s">
        <v>19</v>
      </c>
      <c r="F829" s="18" t="s">
        <v>47</v>
      </c>
      <c r="G829" s="18" t="s">
        <v>40</v>
      </c>
      <c r="H829" s="64">
        <f>LEN(TRIM(Table22[[#This Row],[Country]]))</f>
        <v>2</v>
      </c>
      <c r="I829" s="64">
        <f>LEN(TRIM(Table22[[#This Row],[Continent]]))</f>
        <v>6</v>
      </c>
      <c r="J829" s="64">
        <f>LEN(TRIM(Table22[[#This Row],[Product]]))</f>
        <v>6</v>
      </c>
      <c r="K829" s="64">
        <f>LEN(TRIM(Table22[[#This Row],[Sales Team]]))</f>
        <v>10</v>
      </c>
      <c r="L829" s="23">
        <v>27</v>
      </c>
      <c r="M829" s="65" t="str" cm="1">
        <f t="array" ref="M829">_xlfn.IFS(Table22[[#This Row],[Units Sold]]&lt;40,"Critical",Table22[[#This Row],[Units Sold]]&lt;=50,"Poor",Table22[[#This Row],[Units Sold]]&lt;=60,"Low",Table22[[#This Row],[Units Sold]]&lt;=80,"Average",Table22[[#This Row],[Units Sold]]&lt;=90,"High",Table22[[#This Row],[Units Sold]]&lt;=95,"Excellent",Table22[[#This Row],[Units Sold]]&gt;95,"Outstanding")</f>
        <v>Critical</v>
      </c>
      <c r="N829" s="29">
        <v>1416.24</v>
      </c>
      <c r="O829" s="29">
        <v>38238.480000000003</v>
      </c>
      <c r="P829" s="43">
        <f>IF(Table22[[#This Row],[Discount Applied]],Table22[[#This Row],[Total Sales (in USD)]]*(1-Table22[[#This Row],[Discount Percentage (%)]]/100),Table22[[#This Row],[Total Sales (in USD)]])</f>
        <v>38238.480000000003</v>
      </c>
      <c r="Q829" s="66">
        <f>SQRT(AVERAGE((Table22[[#This Row],[Net Sales (after discount) (in USD)]]-AVERAGE(Table22[Net Sales (after discount) (in USD)]))^2))</f>
        <v>1727.1194362354654</v>
      </c>
      <c r="R829" s="18" t="b">
        <v>1</v>
      </c>
      <c r="S829" s="40">
        <v>24.98</v>
      </c>
      <c r="T829" s="18" t="b">
        <v>0</v>
      </c>
      <c r="U829" s="25">
        <v>44943</v>
      </c>
      <c r="V829" s="63" t="str">
        <f>IF(MONTH(Table22[[#This Row],[Sales Date]])&lt;=3,"Q1",IF(MONTH(Table22[[#This Row],[Sales Date]])&lt;=6,"Q2",IF(MONTH(Table22[[#This Row],[Sales Date]])&lt;=9,"Q3","Q4")))</f>
        <v>Q1</v>
      </c>
      <c r="W829" s="64">
        <f>YEAR(Table22[[#This Row],[Sales Date]])</f>
        <v>2023</v>
      </c>
      <c r="X829" s="23">
        <v>54</v>
      </c>
      <c r="Y829" s="18" t="s">
        <v>49</v>
      </c>
      <c r="Z829" s="18" t="s">
        <v>24</v>
      </c>
      <c r="AA829" s="19" t="s">
        <v>25</v>
      </c>
    </row>
    <row r="830" spans="1:27" x14ac:dyDescent="0.25">
      <c r="A830" s="17" t="s">
        <v>1355</v>
      </c>
      <c r="B830" s="18" t="s">
        <v>62</v>
      </c>
      <c r="C830" s="63" t="str" cm="1">
        <f t="array" ref="C830">_xlfn.SWITCH(Table22[[#This Row],[Country]],"USA","North America","Canada","North America","Brazil","South America","China","Asia","Japan","Asia","India","Asia","France","Europe","Germany","Europe","UK","Europe","Australia","Oceania","South America")</f>
        <v>Oceania</v>
      </c>
      <c r="D830" s="18" t="s">
        <v>44</v>
      </c>
      <c r="E830" s="18" t="s">
        <v>19</v>
      </c>
      <c r="F830" s="18" t="s">
        <v>34</v>
      </c>
      <c r="G830" s="18" t="s">
        <v>29</v>
      </c>
      <c r="H830" s="64">
        <f>LEN(TRIM(Table22[[#This Row],[Country]]))</f>
        <v>9</v>
      </c>
      <c r="I830" s="64">
        <f>LEN(TRIM(Table22[[#This Row],[Continent]]))</f>
        <v>7</v>
      </c>
      <c r="J830" s="64">
        <f>LEN(TRIM(Table22[[#This Row],[Product]]))</f>
        <v>6</v>
      </c>
      <c r="K830" s="64">
        <f>LEN(TRIM(Table22[[#This Row],[Sales Team]]))</f>
        <v>10</v>
      </c>
      <c r="L830" s="23">
        <v>61</v>
      </c>
      <c r="M830" s="65" t="str" cm="1">
        <f t="array" ref="M830">_xlfn.IFS(Table22[[#This Row],[Units Sold]]&lt;40,"Critical",Table22[[#This Row],[Units Sold]]&lt;=50,"Poor",Table22[[#This Row],[Units Sold]]&lt;=60,"Low",Table22[[#This Row],[Units Sold]]&lt;=80,"Average",Table22[[#This Row],[Units Sold]]&lt;=90,"High",Table22[[#This Row],[Units Sold]]&lt;=95,"Excellent",Table22[[#This Row],[Units Sold]]&gt;95,"Outstanding")</f>
        <v>Average</v>
      </c>
      <c r="N830" s="29">
        <v>626.71</v>
      </c>
      <c r="O830" s="29">
        <v>38229.31</v>
      </c>
      <c r="P830" s="43">
        <f>IF(Table22[[#This Row],[Discount Applied]],Table22[[#This Row],[Total Sales (in USD)]]*(1-Table22[[#This Row],[Discount Percentage (%)]]/100),Table22[[#This Row],[Total Sales (in USD)]])</f>
        <v>27196.331134</v>
      </c>
      <c r="Q830" s="66">
        <f>SQRT(AVERAGE((Table22[[#This Row],[Net Sales (after discount) (in USD)]]-AVERAGE(Table22[Net Sales (after discount) (in USD)]))^2))</f>
        <v>9315.0294297645378</v>
      </c>
      <c r="R830" s="18" t="b">
        <v>0</v>
      </c>
      <c r="S830" s="40">
        <v>28.86</v>
      </c>
      <c r="T830" s="18" t="b">
        <v>1</v>
      </c>
      <c r="U830" s="25">
        <v>45553</v>
      </c>
      <c r="V830" s="63" t="str">
        <f>IF(MONTH(Table22[[#This Row],[Sales Date]])&lt;=3,"Q1",IF(MONTH(Table22[[#This Row],[Sales Date]])&lt;=6,"Q2",IF(MONTH(Table22[[#This Row],[Sales Date]])&lt;=9,"Q3","Q4")))</f>
        <v>Q3</v>
      </c>
      <c r="W830" s="64">
        <f>YEAR(Table22[[#This Row],[Sales Date]])</f>
        <v>2024</v>
      </c>
      <c r="X830" s="23">
        <v>33</v>
      </c>
      <c r="Y830" s="18" t="s">
        <v>41</v>
      </c>
      <c r="Z830" s="18" t="s">
        <v>30</v>
      </c>
      <c r="AA830" s="19" t="s">
        <v>36</v>
      </c>
    </row>
    <row r="831" spans="1:27" x14ac:dyDescent="0.25">
      <c r="A831" s="17" t="s">
        <v>1545</v>
      </c>
      <c r="B831" s="18" t="s">
        <v>62</v>
      </c>
      <c r="C831" s="63" t="str" cm="1">
        <f t="array" ref="C831">_xlfn.SWITCH(Table22[[#This Row],[Country]],"USA","North America","Canada","North America","Brazil","South America","China","Asia","Japan","Asia","India","Asia","France","Europe","Germany","Europe","UK","Europe","Australia","Oceania","South America")</f>
        <v>Oceania</v>
      </c>
      <c r="D831" s="18" t="s">
        <v>28</v>
      </c>
      <c r="E831" s="18" t="s">
        <v>19</v>
      </c>
      <c r="F831" s="18" t="s">
        <v>20</v>
      </c>
      <c r="G831" s="18" t="s">
        <v>40</v>
      </c>
      <c r="H831" s="64">
        <f>LEN(TRIM(Table22[[#This Row],[Country]]))</f>
        <v>9</v>
      </c>
      <c r="I831" s="64">
        <f>LEN(TRIM(Table22[[#This Row],[Continent]]))</f>
        <v>7</v>
      </c>
      <c r="J831" s="64">
        <f>LEN(TRIM(Table22[[#This Row],[Product]]))</f>
        <v>6</v>
      </c>
      <c r="K831" s="64">
        <f>LEN(TRIM(Table22[[#This Row],[Sales Team]]))</f>
        <v>10</v>
      </c>
      <c r="L831" s="23">
        <v>69</v>
      </c>
      <c r="M831" s="65" t="str" cm="1">
        <f t="array" ref="M831">_xlfn.IFS(Table22[[#This Row],[Units Sold]]&lt;40,"Critical",Table22[[#This Row],[Units Sold]]&lt;=50,"Poor",Table22[[#This Row],[Units Sold]]&lt;=60,"Low",Table22[[#This Row],[Units Sold]]&lt;=80,"Average",Table22[[#This Row],[Units Sold]]&lt;=90,"High",Table22[[#This Row],[Units Sold]]&lt;=95,"Excellent",Table22[[#This Row],[Units Sold]]&gt;95,"Outstanding")</f>
        <v>Average</v>
      </c>
      <c r="N831" s="29">
        <v>554.02</v>
      </c>
      <c r="O831" s="29">
        <v>38227.379999999997</v>
      </c>
      <c r="P831" s="43">
        <f>IF(Table22[[#This Row],[Discount Applied]],Table22[[#This Row],[Total Sales (in USD)]]*(1-Table22[[#This Row],[Discount Percentage (%)]]/100),Table22[[#This Row],[Total Sales (in USD)]])</f>
        <v>38227.379999999997</v>
      </c>
      <c r="Q831" s="66">
        <f>SQRT(AVERAGE((Table22[[#This Row],[Net Sales (after discount) (in USD)]]-AVERAGE(Table22[Net Sales (after discount) (in USD)]))^2))</f>
        <v>1716.0194362354596</v>
      </c>
      <c r="R831" s="18" t="b">
        <v>1</v>
      </c>
      <c r="S831" s="40">
        <v>12.2</v>
      </c>
      <c r="T831" s="18" t="b">
        <v>0</v>
      </c>
      <c r="U831" s="25">
        <v>45186</v>
      </c>
      <c r="V831" s="63" t="str">
        <f>IF(MONTH(Table22[[#This Row],[Sales Date]])&lt;=3,"Q1",IF(MONTH(Table22[[#This Row],[Sales Date]])&lt;=6,"Q2",IF(MONTH(Table22[[#This Row],[Sales Date]])&lt;=9,"Q3","Q4")))</f>
        <v>Q3</v>
      </c>
      <c r="W831" s="64">
        <f>YEAR(Table22[[#This Row],[Sales Date]])</f>
        <v>2023</v>
      </c>
      <c r="X831" s="23">
        <v>23</v>
      </c>
      <c r="Y831" s="18" t="s">
        <v>23</v>
      </c>
      <c r="Z831" s="18" t="s">
        <v>56</v>
      </c>
      <c r="AA831" s="19" t="s">
        <v>36</v>
      </c>
    </row>
    <row r="832" spans="1:27" x14ac:dyDescent="0.25">
      <c r="A832" s="17" t="s">
        <v>563</v>
      </c>
      <c r="B832" s="18" t="s">
        <v>76</v>
      </c>
      <c r="C832" s="63" t="str" cm="1">
        <f t="array" ref="C832">_xlfn.SWITCH(Table22[[#This Row],[Country]],"USA","North America","Canada","North America","Brazil","South America","China","Asia","Japan","Asia","India","Asia","France","Europe","Germany","Europe","UK","Europe","Australia","Oceania","South America")</f>
        <v>Asia</v>
      </c>
      <c r="D832" s="18" t="s">
        <v>28</v>
      </c>
      <c r="E832" s="18" t="s">
        <v>39</v>
      </c>
      <c r="F832" s="18" t="s">
        <v>64</v>
      </c>
      <c r="G832" s="18" t="s">
        <v>22</v>
      </c>
      <c r="H832" s="64">
        <f>LEN(TRIM(Table22[[#This Row],[Country]]))</f>
        <v>5</v>
      </c>
      <c r="I832" s="64">
        <f>LEN(TRIM(Table22[[#This Row],[Continent]]))</f>
        <v>4</v>
      </c>
      <c r="J832" s="64">
        <f>LEN(TRIM(Table22[[#This Row],[Product]]))</f>
        <v>10</v>
      </c>
      <c r="K832" s="64">
        <f>LEN(TRIM(Table22[[#This Row],[Sales Team]]))</f>
        <v>10</v>
      </c>
      <c r="L832" s="23">
        <v>28</v>
      </c>
      <c r="M832" s="65" t="str" cm="1">
        <f t="array" ref="M832">_xlfn.IFS(Table22[[#This Row],[Units Sold]]&lt;40,"Critical",Table22[[#This Row],[Units Sold]]&lt;=50,"Poor",Table22[[#This Row],[Units Sold]]&lt;=60,"Low",Table22[[#This Row],[Units Sold]]&lt;=80,"Average",Table22[[#This Row],[Units Sold]]&lt;=90,"High",Table22[[#This Row],[Units Sold]]&lt;=95,"Excellent",Table22[[#This Row],[Units Sold]]&gt;95,"Outstanding")</f>
        <v>Critical</v>
      </c>
      <c r="N832" s="29">
        <v>1360.25</v>
      </c>
      <c r="O832" s="29">
        <v>38087</v>
      </c>
      <c r="P832" s="43">
        <f>IF(Table22[[#This Row],[Discount Applied]],Table22[[#This Row],[Total Sales (in USD)]]*(1-Table22[[#This Row],[Discount Percentage (%)]]/100),Table22[[#This Row],[Total Sales (in USD)]])</f>
        <v>38087</v>
      </c>
      <c r="Q832" s="66">
        <f>SQRT(AVERAGE((Table22[[#This Row],[Net Sales (after discount) (in USD)]]-AVERAGE(Table22[Net Sales (after discount) (in USD)]))^2))</f>
        <v>1575.6394362354622</v>
      </c>
      <c r="R832" s="18" t="b">
        <v>1</v>
      </c>
      <c r="S832" s="40">
        <v>28.48</v>
      </c>
      <c r="T832" s="18" t="b">
        <v>0</v>
      </c>
      <c r="U832" s="25">
        <v>45032</v>
      </c>
      <c r="V832" s="63" t="str">
        <f>IF(MONTH(Table22[[#This Row],[Sales Date]])&lt;=3,"Q1",IF(MONTH(Table22[[#This Row],[Sales Date]])&lt;=6,"Q2",IF(MONTH(Table22[[#This Row],[Sales Date]])&lt;=9,"Q3","Q4")))</f>
        <v>Q2</v>
      </c>
      <c r="W832" s="64">
        <f>YEAR(Table22[[#This Row],[Sales Date]])</f>
        <v>2023</v>
      </c>
      <c r="X832" s="23">
        <v>37</v>
      </c>
      <c r="Y832" s="18" t="s">
        <v>49</v>
      </c>
      <c r="Z832" s="18" t="s">
        <v>30</v>
      </c>
      <c r="AA832" s="19" t="s">
        <v>25</v>
      </c>
    </row>
    <row r="833" spans="1:27" x14ac:dyDescent="0.25">
      <c r="A833" s="17" t="s">
        <v>623</v>
      </c>
      <c r="B833" s="18" t="s">
        <v>46</v>
      </c>
      <c r="C833" s="63" t="str" cm="1">
        <f t="array" ref="C833">_xlfn.SWITCH(Table22[[#This Row],[Country]],"USA","North America","Canada","North America","Brazil","South America","China","Asia","Japan","Asia","India","Asia","France","Europe","Germany","Europe","UK","Europe","Australia","Oceania","South America")</f>
        <v>South America</v>
      </c>
      <c r="D833" s="18" t="s">
        <v>35</v>
      </c>
      <c r="E833" s="18" t="s">
        <v>19</v>
      </c>
      <c r="F833" s="18" t="s">
        <v>47</v>
      </c>
      <c r="G833" s="18" t="s">
        <v>48</v>
      </c>
      <c r="H833" s="64">
        <f>LEN(TRIM(Table22[[#This Row],[Country]]))</f>
        <v>6</v>
      </c>
      <c r="I833" s="64">
        <f>LEN(TRIM(Table22[[#This Row],[Continent]]))</f>
        <v>13</v>
      </c>
      <c r="J833" s="64">
        <f>LEN(TRIM(Table22[[#This Row],[Product]]))</f>
        <v>6</v>
      </c>
      <c r="K833" s="64">
        <f>LEN(TRIM(Table22[[#This Row],[Sales Team]]))</f>
        <v>9</v>
      </c>
      <c r="L833" s="23">
        <v>52</v>
      </c>
      <c r="M833" s="65" t="str" cm="1">
        <f t="array" ref="M833">_xlfn.IFS(Table22[[#This Row],[Units Sold]]&lt;40,"Critical",Table22[[#This Row],[Units Sold]]&lt;=50,"Poor",Table22[[#This Row],[Units Sold]]&lt;=60,"Low",Table22[[#This Row],[Units Sold]]&lt;=80,"Average",Table22[[#This Row],[Units Sold]]&lt;=90,"High",Table22[[#This Row],[Units Sold]]&lt;=95,"Excellent",Table22[[#This Row],[Units Sold]]&gt;95,"Outstanding")</f>
        <v>Low</v>
      </c>
      <c r="N833" s="29">
        <v>732.04</v>
      </c>
      <c r="O833" s="29">
        <v>38066.080000000002</v>
      </c>
      <c r="P833" s="43">
        <f>IF(Table22[[#This Row],[Discount Applied]],Table22[[#This Row],[Total Sales (in USD)]]*(1-Table22[[#This Row],[Discount Percentage (%)]]/100),Table22[[#This Row],[Total Sales (in USD)]])</f>
        <v>31690.011600000002</v>
      </c>
      <c r="Q833" s="66">
        <f>SQRT(AVERAGE((Table22[[#This Row],[Net Sales (after discount) (in USD)]]-AVERAGE(Table22[Net Sales (after discount) (in USD)]))^2))</f>
        <v>4821.3489637645362</v>
      </c>
      <c r="R833" s="18" t="b">
        <v>1</v>
      </c>
      <c r="S833" s="40">
        <v>16.75</v>
      </c>
      <c r="T833" s="18" t="b">
        <v>1</v>
      </c>
      <c r="U833" s="25">
        <v>45400</v>
      </c>
      <c r="V833" s="63" t="str">
        <f>IF(MONTH(Table22[[#This Row],[Sales Date]])&lt;=3,"Q1",IF(MONTH(Table22[[#This Row],[Sales Date]])&lt;=6,"Q2",IF(MONTH(Table22[[#This Row],[Sales Date]])&lt;=9,"Q3","Q4")))</f>
        <v>Q2</v>
      </c>
      <c r="W833" s="64">
        <f>YEAR(Table22[[#This Row],[Sales Date]])</f>
        <v>2024</v>
      </c>
      <c r="X833" s="23">
        <v>51</v>
      </c>
      <c r="Y833" s="18" t="s">
        <v>23</v>
      </c>
      <c r="Z833" s="18" t="s">
        <v>30</v>
      </c>
      <c r="AA833" s="19" t="s">
        <v>25</v>
      </c>
    </row>
    <row r="834" spans="1:27" x14ac:dyDescent="0.25">
      <c r="A834" s="17" t="s">
        <v>1266</v>
      </c>
      <c r="B834" s="18" t="s">
        <v>18</v>
      </c>
      <c r="C834" s="63" t="str" cm="1">
        <f t="array" ref="C834">_xlfn.SWITCH(Table22[[#This Row],[Country]],"USA","North America","Canada","North America","Brazil","South America","China","Asia","Japan","Asia","India","Asia","France","Europe","Germany","Europe","UK","Europe","Australia","Oceania","South America")</f>
        <v>Asia</v>
      </c>
      <c r="D834" s="18" t="s">
        <v>21</v>
      </c>
      <c r="E834" s="18" t="s">
        <v>39</v>
      </c>
      <c r="F834" s="18" t="s">
        <v>64</v>
      </c>
      <c r="G834" s="18" t="s">
        <v>29</v>
      </c>
      <c r="H834" s="64">
        <f>LEN(TRIM(Table22[[#This Row],[Country]]))</f>
        <v>5</v>
      </c>
      <c r="I834" s="64">
        <f>LEN(TRIM(Table22[[#This Row],[Continent]]))</f>
        <v>4</v>
      </c>
      <c r="J834" s="64">
        <f>LEN(TRIM(Table22[[#This Row],[Product]]))</f>
        <v>10</v>
      </c>
      <c r="K834" s="64">
        <f>LEN(TRIM(Table22[[#This Row],[Sales Team]]))</f>
        <v>10</v>
      </c>
      <c r="L834" s="23">
        <v>94</v>
      </c>
      <c r="M834" s="65" t="str" cm="1">
        <f t="array" ref="M834">_xlfn.IFS(Table22[[#This Row],[Units Sold]]&lt;40,"Critical",Table22[[#This Row],[Units Sold]]&lt;=50,"Poor",Table22[[#This Row],[Units Sold]]&lt;=60,"Low",Table22[[#This Row],[Units Sold]]&lt;=80,"Average",Table22[[#This Row],[Units Sold]]&lt;=90,"High",Table22[[#This Row],[Units Sold]]&lt;=95,"Excellent",Table22[[#This Row],[Units Sold]]&gt;95,"Outstanding")</f>
        <v>Excellent</v>
      </c>
      <c r="N834" s="29">
        <v>404.14</v>
      </c>
      <c r="O834" s="29">
        <v>37989.160000000003</v>
      </c>
      <c r="P834" s="43">
        <f>IF(Table22[[#This Row],[Discount Applied]],Table22[[#This Row],[Total Sales (in USD)]]*(1-Table22[[#This Row],[Discount Percentage (%)]]/100),Table22[[#This Row],[Total Sales (in USD)]])</f>
        <v>36203.669480000004</v>
      </c>
      <c r="Q834" s="66">
        <f>SQRT(AVERAGE((Table22[[#This Row],[Net Sales (after discount) (in USD)]]-AVERAGE(Table22[Net Sales (after discount) (in USD)]))^2))</f>
        <v>307.69108376453369</v>
      </c>
      <c r="R834" s="18" t="b">
        <v>1</v>
      </c>
      <c r="S834" s="40">
        <v>4.7</v>
      </c>
      <c r="T834" s="18" t="b">
        <v>1</v>
      </c>
      <c r="U834" s="25">
        <v>45226</v>
      </c>
      <c r="V834" s="63" t="str">
        <f>IF(MONTH(Table22[[#This Row],[Sales Date]])&lt;=3,"Q1",IF(MONTH(Table22[[#This Row],[Sales Date]])&lt;=6,"Q2",IF(MONTH(Table22[[#This Row],[Sales Date]])&lt;=9,"Q3","Q4")))</f>
        <v>Q4</v>
      </c>
      <c r="W834" s="64">
        <f>YEAR(Table22[[#This Row],[Sales Date]])</f>
        <v>2023</v>
      </c>
      <c r="X834" s="23">
        <v>56</v>
      </c>
      <c r="Y834" s="18" t="s">
        <v>49</v>
      </c>
      <c r="Z834" s="18" t="s">
        <v>56</v>
      </c>
      <c r="AA834" s="19" t="s">
        <v>36</v>
      </c>
    </row>
    <row r="835" spans="1:27" x14ac:dyDescent="0.25">
      <c r="A835" s="17" t="s">
        <v>1922</v>
      </c>
      <c r="B835" s="18" t="s">
        <v>46</v>
      </c>
      <c r="C835" s="63" t="str" cm="1">
        <f t="array" ref="C835">_xlfn.SWITCH(Table22[[#This Row],[Country]],"USA","North America","Canada","North America","Brazil","South America","China","Asia","Japan","Asia","India","Asia","France","Europe","Germany","Europe","UK","Europe","Australia","Oceania","South America")</f>
        <v>South America</v>
      </c>
      <c r="D835" s="18" t="s">
        <v>21</v>
      </c>
      <c r="E835" s="18" t="s">
        <v>39</v>
      </c>
      <c r="F835" s="18" t="s">
        <v>52</v>
      </c>
      <c r="G835" s="18" t="s">
        <v>40</v>
      </c>
      <c r="H835" s="64">
        <f>LEN(TRIM(Table22[[#This Row],[Country]]))</f>
        <v>6</v>
      </c>
      <c r="I835" s="64">
        <f>LEN(TRIM(Table22[[#This Row],[Continent]]))</f>
        <v>13</v>
      </c>
      <c r="J835" s="64">
        <f>LEN(TRIM(Table22[[#This Row],[Product]]))</f>
        <v>10</v>
      </c>
      <c r="K835" s="64">
        <f>LEN(TRIM(Table22[[#This Row],[Sales Team]]))</f>
        <v>10</v>
      </c>
      <c r="L835" s="23">
        <v>90</v>
      </c>
      <c r="M835" s="65" t="str" cm="1">
        <f t="array" ref="M835">_xlfn.IFS(Table22[[#This Row],[Units Sold]]&lt;40,"Critical",Table22[[#This Row],[Units Sold]]&lt;=50,"Poor",Table22[[#This Row],[Units Sold]]&lt;=60,"Low",Table22[[#This Row],[Units Sold]]&lt;=80,"Average",Table22[[#This Row],[Units Sold]]&lt;=90,"High",Table22[[#This Row],[Units Sold]]&lt;=95,"Excellent",Table22[[#This Row],[Units Sold]]&gt;95,"Outstanding")</f>
        <v>High</v>
      </c>
      <c r="N835" s="29">
        <v>421.84</v>
      </c>
      <c r="O835" s="29">
        <v>37965.599999999999</v>
      </c>
      <c r="P835" s="43">
        <f>IF(Table22[[#This Row],[Discount Applied]],Table22[[#This Row],[Total Sales (in USD)]]*(1-Table22[[#This Row],[Discount Percentage (%)]]/100),Table22[[#This Row],[Total Sales (in USD)]])</f>
        <v>37965.599999999999</v>
      </c>
      <c r="Q835" s="66">
        <f>SQRT(AVERAGE((Table22[[#This Row],[Net Sales (after discount) (in USD)]]-AVERAGE(Table22[Net Sales (after discount) (in USD)]))^2))</f>
        <v>1454.2394362354607</v>
      </c>
      <c r="R835" s="18" t="b">
        <v>1</v>
      </c>
      <c r="S835" s="40">
        <v>10.27</v>
      </c>
      <c r="T835" s="18" t="b">
        <v>0</v>
      </c>
      <c r="U835" s="25">
        <v>45070</v>
      </c>
      <c r="V835" s="63" t="str">
        <f>IF(MONTH(Table22[[#This Row],[Sales Date]])&lt;=3,"Q1",IF(MONTH(Table22[[#This Row],[Sales Date]])&lt;=6,"Q2",IF(MONTH(Table22[[#This Row],[Sales Date]])&lt;=9,"Q3","Q4")))</f>
        <v>Q2</v>
      </c>
      <c r="W835" s="64">
        <f>YEAR(Table22[[#This Row],[Sales Date]])</f>
        <v>2023</v>
      </c>
      <c r="X835" s="23">
        <v>48</v>
      </c>
      <c r="Y835" s="18" t="s">
        <v>23</v>
      </c>
      <c r="Z835" s="18" t="s">
        <v>24</v>
      </c>
      <c r="AA835" s="19" t="s">
        <v>36</v>
      </c>
    </row>
    <row r="836" spans="1:27" x14ac:dyDescent="0.25">
      <c r="A836" s="17" t="s">
        <v>842</v>
      </c>
      <c r="B836" s="18" t="s">
        <v>46</v>
      </c>
      <c r="C836" s="63" t="str" cm="1">
        <f t="array" ref="C836">_xlfn.SWITCH(Table22[[#This Row],[Country]],"USA","North America","Canada","North America","Brazil","South America","China","Asia","Japan","Asia","India","Asia","France","Europe","Germany","Europe","UK","Europe","Australia","Oceania","South America")</f>
        <v>South America</v>
      </c>
      <c r="D836" s="18" t="s">
        <v>21</v>
      </c>
      <c r="E836" s="18" t="s">
        <v>33</v>
      </c>
      <c r="F836" s="18" t="s">
        <v>47</v>
      </c>
      <c r="G836" s="18" t="s">
        <v>40</v>
      </c>
      <c r="H836" s="64">
        <f>LEN(TRIM(Table22[[#This Row],[Country]]))</f>
        <v>6</v>
      </c>
      <c r="I836" s="64">
        <f>LEN(TRIM(Table22[[#This Row],[Continent]]))</f>
        <v>13</v>
      </c>
      <c r="J836" s="64">
        <f>LEN(TRIM(Table22[[#This Row],[Product]]))</f>
        <v>10</v>
      </c>
      <c r="K836" s="64">
        <f>LEN(TRIM(Table22[[#This Row],[Sales Team]]))</f>
        <v>10</v>
      </c>
      <c r="L836" s="23">
        <v>50</v>
      </c>
      <c r="M836" s="65" t="str" cm="1">
        <f t="array" ref="M836">_xlfn.IFS(Table22[[#This Row],[Units Sold]]&lt;40,"Critical",Table22[[#This Row],[Units Sold]]&lt;=50,"Poor",Table22[[#This Row],[Units Sold]]&lt;=60,"Low",Table22[[#This Row],[Units Sold]]&lt;=80,"Average",Table22[[#This Row],[Units Sold]]&lt;=90,"High",Table22[[#This Row],[Units Sold]]&lt;=95,"Excellent",Table22[[#This Row],[Units Sold]]&gt;95,"Outstanding")</f>
        <v>Poor</v>
      </c>
      <c r="N836" s="29">
        <v>757.66</v>
      </c>
      <c r="O836" s="29">
        <v>37883</v>
      </c>
      <c r="P836" s="43">
        <f>IF(Table22[[#This Row],[Discount Applied]],Table22[[#This Row],[Total Sales (in USD)]]*(1-Table22[[#This Row],[Discount Percentage (%)]]/100),Table22[[#This Row],[Total Sales (in USD)]])</f>
        <v>37883</v>
      </c>
      <c r="Q836" s="66">
        <f>SQRT(AVERAGE((Table22[[#This Row],[Net Sales (after discount) (in USD)]]-AVERAGE(Table22[Net Sales (after discount) (in USD)]))^2))</f>
        <v>1371.6394362354622</v>
      </c>
      <c r="R836" s="18" t="b">
        <v>1</v>
      </c>
      <c r="S836" s="40">
        <v>22.66</v>
      </c>
      <c r="T836" s="18" t="b">
        <v>0</v>
      </c>
      <c r="U836" s="25">
        <v>45088</v>
      </c>
      <c r="V836" s="63" t="str">
        <f>IF(MONTH(Table22[[#This Row],[Sales Date]])&lt;=3,"Q1",IF(MONTH(Table22[[#This Row],[Sales Date]])&lt;=6,"Q2",IF(MONTH(Table22[[#This Row],[Sales Date]])&lt;=9,"Q3","Q4")))</f>
        <v>Q2</v>
      </c>
      <c r="W836" s="64">
        <f>YEAR(Table22[[#This Row],[Sales Date]])</f>
        <v>2023</v>
      </c>
      <c r="X836" s="23">
        <v>23</v>
      </c>
      <c r="Y836" s="18" t="s">
        <v>41</v>
      </c>
      <c r="Z836" s="18" t="s">
        <v>30</v>
      </c>
      <c r="AA836" s="19" t="s">
        <v>25</v>
      </c>
    </row>
    <row r="837" spans="1:27" x14ac:dyDescent="0.25">
      <c r="A837" s="17" t="s">
        <v>1503</v>
      </c>
      <c r="B837" s="18" t="s">
        <v>32</v>
      </c>
      <c r="C837" s="63" t="str" cm="1">
        <f t="array" ref="C837">_xlfn.SWITCH(Table22[[#This Row],[Country]],"USA","North America","Canada","North America","Brazil","South America","China","Asia","Japan","Asia","India","Asia","France","Europe","Germany","Europe","UK","Europe","Australia","Oceania","South America")</f>
        <v>Asia</v>
      </c>
      <c r="D837" s="18" t="s">
        <v>44</v>
      </c>
      <c r="E837" s="18" t="s">
        <v>19</v>
      </c>
      <c r="F837" s="18" t="s">
        <v>52</v>
      </c>
      <c r="G837" s="18" t="s">
        <v>48</v>
      </c>
      <c r="H837" s="64">
        <f>LEN(TRIM(Table22[[#This Row],[Country]]))</f>
        <v>5</v>
      </c>
      <c r="I837" s="64">
        <f>LEN(TRIM(Table22[[#This Row],[Continent]]))</f>
        <v>4</v>
      </c>
      <c r="J837" s="64">
        <f>LEN(TRIM(Table22[[#This Row],[Product]]))</f>
        <v>6</v>
      </c>
      <c r="K837" s="64">
        <f>LEN(TRIM(Table22[[#This Row],[Sales Team]]))</f>
        <v>9</v>
      </c>
      <c r="L837" s="23">
        <v>74</v>
      </c>
      <c r="M837" s="65" t="str" cm="1">
        <f t="array" ref="M837">_xlfn.IFS(Table22[[#This Row],[Units Sold]]&lt;40,"Critical",Table22[[#This Row],[Units Sold]]&lt;=50,"Poor",Table22[[#This Row],[Units Sold]]&lt;=60,"Low",Table22[[#This Row],[Units Sold]]&lt;=80,"Average",Table22[[#This Row],[Units Sold]]&lt;=90,"High",Table22[[#This Row],[Units Sold]]&lt;=95,"Excellent",Table22[[#This Row],[Units Sold]]&gt;95,"Outstanding")</f>
        <v>Average</v>
      </c>
      <c r="N837" s="29">
        <v>511.34</v>
      </c>
      <c r="O837" s="29">
        <v>37839.160000000003</v>
      </c>
      <c r="P837" s="43">
        <f>IF(Table22[[#This Row],[Discount Applied]],Table22[[#This Row],[Total Sales (in USD)]]*(1-Table22[[#This Row],[Discount Percentage (%)]]/100),Table22[[#This Row],[Total Sales (in USD)]])</f>
        <v>37839.160000000003</v>
      </c>
      <c r="Q837" s="66">
        <f>SQRT(AVERAGE((Table22[[#This Row],[Net Sales (after discount) (in USD)]]-AVERAGE(Table22[Net Sales (after discount) (in USD)]))^2))</f>
        <v>1327.7994362354657</v>
      </c>
      <c r="R837" s="18" t="b">
        <v>0</v>
      </c>
      <c r="S837" s="40">
        <v>10.61</v>
      </c>
      <c r="T837" s="18" t="b">
        <v>0</v>
      </c>
      <c r="U837" s="25">
        <v>45469</v>
      </c>
      <c r="V837" s="63" t="str">
        <f>IF(MONTH(Table22[[#This Row],[Sales Date]])&lt;=3,"Q1",IF(MONTH(Table22[[#This Row],[Sales Date]])&lt;=6,"Q2",IF(MONTH(Table22[[#This Row],[Sales Date]])&lt;=9,"Q3","Q4")))</f>
        <v>Q2</v>
      </c>
      <c r="W837" s="64">
        <f>YEAR(Table22[[#This Row],[Sales Date]])</f>
        <v>2024</v>
      </c>
      <c r="X837" s="23">
        <v>52</v>
      </c>
      <c r="Y837" s="18" t="s">
        <v>41</v>
      </c>
      <c r="Z837" s="18" t="s">
        <v>30</v>
      </c>
      <c r="AA837" s="19" t="s">
        <v>36</v>
      </c>
    </row>
    <row r="838" spans="1:27" x14ac:dyDescent="0.25">
      <c r="A838" s="17" t="s">
        <v>1696</v>
      </c>
      <c r="B838" s="18" t="s">
        <v>27</v>
      </c>
      <c r="C838" s="63" t="str" cm="1">
        <f t="array" ref="C838">_xlfn.SWITCH(Table22[[#This Row],[Country]],"USA","North America","Canada","North America","Brazil","South America","China","Asia","Japan","Asia","India","Asia","France","Europe","Germany","Europe","UK","Europe","Australia","Oceania","South America")</f>
        <v>Europe</v>
      </c>
      <c r="D838" s="18" t="s">
        <v>21</v>
      </c>
      <c r="E838" s="18" t="s">
        <v>39</v>
      </c>
      <c r="F838" s="18" t="s">
        <v>34</v>
      </c>
      <c r="G838" s="18" t="s">
        <v>48</v>
      </c>
      <c r="H838" s="64">
        <f>LEN(TRIM(Table22[[#This Row],[Country]]))</f>
        <v>7</v>
      </c>
      <c r="I838" s="64">
        <f>LEN(TRIM(Table22[[#This Row],[Continent]]))</f>
        <v>6</v>
      </c>
      <c r="J838" s="64">
        <f>LEN(TRIM(Table22[[#This Row],[Product]]))</f>
        <v>10</v>
      </c>
      <c r="K838" s="64">
        <f>LEN(TRIM(Table22[[#This Row],[Sales Team]]))</f>
        <v>9</v>
      </c>
      <c r="L838" s="23">
        <v>54</v>
      </c>
      <c r="M838" s="65" t="str" cm="1">
        <f t="array" ref="M838">_xlfn.IFS(Table22[[#This Row],[Units Sold]]&lt;40,"Critical",Table22[[#This Row],[Units Sold]]&lt;=50,"Poor",Table22[[#This Row],[Units Sold]]&lt;=60,"Low",Table22[[#This Row],[Units Sold]]&lt;=80,"Average",Table22[[#This Row],[Units Sold]]&lt;=90,"High",Table22[[#This Row],[Units Sold]]&lt;=95,"Excellent",Table22[[#This Row],[Units Sold]]&gt;95,"Outstanding")</f>
        <v>Low</v>
      </c>
      <c r="N838" s="29">
        <v>699.93</v>
      </c>
      <c r="O838" s="29">
        <v>37796.22</v>
      </c>
      <c r="P838" s="43">
        <f>IF(Table22[[#This Row],[Discount Applied]],Table22[[#This Row],[Total Sales (in USD)]]*(1-Table22[[#This Row],[Discount Percentage (%)]]/100),Table22[[#This Row],[Total Sales (in USD)]])</f>
        <v>28392.520464000001</v>
      </c>
      <c r="Q838" s="66">
        <f>SQRT(AVERAGE((Table22[[#This Row],[Net Sales (after discount) (in USD)]]-AVERAGE(Table22[Net Sales (after discount) (in USD)]))^2))</f>
        <v>8118.8400997645367</v>
      </c>
      <c r="R838" s="18" t="b">
        <v>1</v>
      </c>
      <c r="S838" s="40">
        <v>24.88</v>
      </c>
      <c r="T838" s="18" t="b">
        <v>1</v>
      </c>
      <c r="U838" s="25">
        <v>45409</v>
      </c>
      <c r="V838" s="63" t="str">
        <f>IF(MONTH(Table22[[#This Row],[Sales Date]])&lt;=3,"Q1",IF(MONTH(Table22[[#This Row],[Sales Date]])&lt;=6,"Q2",IF(MONTH(Table22[[#This Row],[Sales Date]])&lt;=9,"Q3","Q4")))</f>
        <v>Q2</v>
      </c>
      <c r="W838" s="64">
        <f>YEAR(Table22[[#This Row],[Sales Date]])</f>
        <v>2024</v>
      </c>
      <c r="X838" s="23">
        <v>56</v>
      </c>
      <c r="Y838" s="18" t="s">
        <v>23</v>
      </c>
      <c r="Z838" s="18" t="s">
        <v>30</v>
      </c>
      <c r="AA838" s="19" t="s">
        <v>25</v>
      </c>
    </row>
    <row r="839" spans="1:27" x14ac:dyDescent="0.25">
      <c r="A839" s="17" t="s">
        <v>660</v>
      </c>
      <c r="B839" s="18" t="s">
        <v>62</v>
      </c>
      <c r="C839" s="63" t="str" cm="1">
        <f t="array" ref="C839">_xlfn.SWITCH(Table22[[#This Row],[Country]],"USA","North America","Canada","North America","Brazil","South America","China","Asia","Japan","Asia","India","Asia","France","Europe","Germany","Europe","UK","Europe","Australia","Oceania","South America")</f>
        <v>Oceania</v>
      </c>
      <c r="D839" s="18" t="s">
        <v>28</v>
      </c>
      <c r="E839" s="18" t="s">
        <v>39</v>
      </c>
      <c r="F839" s="18" t="s">
        <v>64</v>
      </c>
      <c r="G839" s="18" t="s">
        <v>40</v>
      </c>
      <c r="H839" s="64">
        <f>LEN(TRIM(Table22[[#This Row],[Country]]))</f>
        <v>9</v>
      </c>
      <c r="I839" s="64">
        <f>LEN(TRIM(Table22[[#This Row],[Continent]]))</f>
        <v>7</v>
      </c>
      <c r="J839" s="64">
        <f>LEN(TRIM(Table22[[#This Row],[Product]]))</f>
        <v>10</v>
      </c>
      <c r="K839" s="64">
        <f>LEN(TRIM(Table22[[#This Row],[Sales Team]]))</f>
        <v>10</v>
      </c>
      <c r="L839" s="23">
        <v>86</v>
      </c>
      <c r="M839" s="65" t="str" cm="1">
        <f t="array" ref="M839">_xlfn.IFS(Table22[[#This Row],[Units Sold]]&lt;40,"Critical",Table22[[#This Row],[Units Sold]]&lt;=50,"Poor",Table22[[#This Row],[Units Sold]]&lt;=60,"Low",Table22[[#This Row],[Units Sold]]&lt;=80,"Average",Table22[[#This Row],[Units Sold]]&lt;=90,"High",Table22[[#This Row],[Units Sold]]&lt;=95,"Excellent",Table22[[#This Row],[Units Sold]]&gt;95,"Outstanding")</f>
        <v>High</v>
      </c>
      <c r="N839" s="29">
        <v>439.09</v>
      </c>
      <c r="O839" s="29">
        <v>37761.74</v>
      </c>
      <c r="P839" s="43">
        <f>IF(Table22[[#This Row],[Discount Applied]],Table22[[#This Row],[Total Sales (in USD)]]*(1-Table22[[#This Row],[Discount Percentage (%)]]/100),Table22[[#This Row],[Total Sales (in USD)]])</f>
        <v>37761.74</v>
      </c>
      <c r="Q839" s="66">
        <f>SQRT(AVERAGE((Table22[[#This Row],[Net Sales (after discount) (in USD)]]-AVERAGE(Table22[Net Sales (after discount) (in USD)]))^2))</f>
        <v>1250.3794362354602</v>
      </c>
      <c r="R839" s="18" t="b">
        <v>1</v>
      </c>
      <c r="S839" s="40">
        <v>11.14</v>
      </c>
      <c r="T839" s="18" t="b">
        <v>0</v>
      </c>
      <c r="U839" s="25">
        <v>44962</v>
      </c>
      <c r="V839" s="63" t="str">
        <f>IF(MONTH(Table22[[#This Row],[Sales Date]])&lt;=3,"Q1",IF(MONTH(Table22[[#This Row],[Sales Date]])&lt;=6,"Q2",IF(MONTH(Table22[[#This Row],[Sales Date]])&lt;=9,"Q3","Q4")))</f>
        <v>Q1</v>
      </c>
      <c r="W839" s="64">
        <f>YEAR(Table22[[#This Row],[Sales Date]])</f>
        <v>2023</v>
      </c>
      <c r="X839" s="23">
        <v>49</v>
      </c>
      <c r="Y839" s="18" t="s">
        <v>41</v>
      </c>
      <c r="Z839" s="18" t="s">
        <v>24</v>
      </c>
      <c r="AA839" s="19" t="s">
        <v>36</v>
      </c>
    </row>
    <row r="840" spans="1:27" x14ac:dyDescent="0.25">
      <c r="A840" s="17" t="s">
        <v>875</v>
      </c>
      <c r="B840" s="18" t="s">
        <v>62</v>
      </c>
      <c r="C840" s="63" t="str" cm="1">
        <f t="array" ref="C840">_xlfn.SWITCH(Table22[[#This Row],[Country]],"USA","North America","Canada","North America","Brazil","South America","China","Asia","Japan","Asia","India","Asia","France","Europe","Germany","Europe","UK","Europe","Australia","Oceania","South America")</f>
        <v>Oceania</v>
      </c>
      <c r="D840" s="18" t="s">
        <v>35</v>
      </c>
      <c r="E840" s="18" t="s">
        <v>39</v>
      </c>
      <c r="F840" s="18" t="s">
        <v>52</v>
      </c>
      <c r="G840" s="18" t="s">
        <v>29</v>
      </c>
      <c r="H840" s="64">
        <f>LEN(TRIM(Table22[[#This Row],[Country]]))</f>
        <v>9</v>
      </c>
      <c r="I840" s="64">
        <f>LEN(TRIM(Table22[[#This Row],[Continent]]))</f>
        <v>7</v>
      </c>
      <c r="J840" s="64">
        <f>LEN(TRIM(Table22[[#This Row],[Product]]))</f>
        <v>10</v>
      </c>
      <c r="K840" s="64">
        <f>LEN(TRIM(Table22[[#This Row],[Sales Team]]))</f>
        <v>10</v>
      </c>
      <c r="L840" s="23">
        <v>63</v>
      </c>
      <c r="M840" s="65" t="str" cm="1">
        <f t="array" ref="M840">_xlfn.IFS(Table22[[#This Row],[Units Sold]]&lt;40,"Critical",Table22[[#This Row],[Units Sold]]&lt;=50,"Poor",Table22[[#This Row],[Units Sold]]&lt;=60,"Low",Table22[[#This Row],[Units Sold]]&lt;=80,"Average",Table22[[#This Row],[Units Sold]]&lt;=90,"High",Table22[[#This Row],[Units Sold]]&lt;=95,"Excellent",Table22[[#This Row],[Units Sold]]&gt;95,"Outstanding")</f>
        <v>Average</v>
      </c>
      <c r="N840" s="29">
        <v>599.03</v>
      </c>
      <c r="O840" s="29">
        <v>37738.89</v>
      </c>
      <c r="P840" s="43">
        <f>IF(Table22[[#This Row],[Discount Applied]],Table22[[#This Row],[Total Sales (in USD)]]*(1-Table22[[#This Row],[Discount Percentage (%)]]/100),Table22[[#This Row],[Total Sales (in USD)]])</f>
        <v>29877.879213000004</v>
      </c>
      <c r="Q840" s="66">
        <f>SQRT(AVERAGE((Table22[[#This Row],[Net Sales (after discount) (in USD)]]-AVERAGE(Table22[Net Sales (after discount) (in USD)]))^2))</f>
        <v>6633.481350764534</v>
      </c>
      <c r="R840" s="18" t="b">
        <v>0</v>
      </c>
      <c r="S840" s="40">
        <v>20.83</v>
      </c>
      <c r="T840" s="18" t="b">
        <v>1</v>
      </c>
      <c r="U840" s="25">
        <v>44999</v>
      </c>
      <c r="V840" s="63" t="str">
        <f>IF(MONTH(Table22[[#This Row],[Sales Date]])&lt;=3,"Q1",IF(MONTH(Table22[[#This Row],[Sales Date]])&lt;=6,"Q2",IF(MONTH(Table22[[#This Row],[Sales Date]])&lt;=9,"Q3","Q4")))</f>
        <v>Q1</v>
      </c>
      <c r="W840" s="64">
        <f>YEAR(Table22[[#This Row],[Sales Date]])</f>
        <v>2023</v>
      </c>
      <c r="X840" s="23">
        <v>51</v>
      </c>
      <c r="Y840" s="18" t="s">
        <v>41</v>
      </c>
      <c r="Z840" s="18" t="s">
        <v>42</v>
      </c>
      <c r="AA840" s="19" t="s">
        <v>25</v>
      </c>
    </row>
    <row r="841" spans="1:27" x14ac:dyDescent="0.25">
      <c r="A841" s="17" t="s">
        <v>367</v>
      </c>
      <c r="B841" s="18" t="s">
        <v>46</v>
      </c>
      <c r="C841" s="63" t="str" cm="1">
        <f t="array" ref="C841">_xlfn.SWITCH(Table22[[#This Row],[Country]],"USA","North America","Canada","North America","Brazil","South America","China","Asia","Japan","Asia","India","Asia","France","Europe","Germany","Europe","UK","Europe","Australia","Oceania","South America")</f>
        <v>South America</v>
      </c>
      <c r="D841" s="18" t="s">
        <v>28</v>
      </c>
      <c r="E841" s="18" t="s">
        <v>19</v>
      </c>
      <c r="F841" s="18" t="s">
        <v>34</v>
      </c>
      <c r="G841" s="18" t="s">
        <v>22</v>
      </c>
      <c r="H841" s="64">
        <f>LEN(TRIM(Table22[[#This Row],[Country]]))</f>
        <v>6</v>
      </c>
      <c r="I841" s="64">
        <f>LEN(TRIM(Table22[[#This Row],[Continent]]))</f>
        <v>13</v>
      </c>
      <c r="J841" s="64">
        <f>LEN(TRIM(Table22[[#This Row],[Product]]))</f>
        <v>6</v>
      </c>
      <c r="K841" s="64">
        <f>LEN(TRIM(Table22[[#This Row],[Sales Team]]))</f>
        <v>10</v>
      </c>
      <c r="L841" s="23">
        <v>51</v>
      </c>
      <c r="M841" s="65" t="str" cm="1">
        <f t="array" ref="M841">_xlfn.IFS(Table22[[#This Row],[Units Sold]]&lt;40,"Critical",Table22[[#This Row],[Units Sold]]&lt;=50,"Poor",Table22[[#This Row],[Units Sold]]&lt;=60,"Low",Table22[[#This Row],[Units Sold]]&lt;=80,"Average",Table22[[#This Row],[Units Sold]]&lt;=90,"High",Table22[[#This Row],[Units Sold]]&lt;=95,"Excellent",Table22[[#This Row],[Units Sold]]&gt;95,"Outstanding")</f>
        <v>Low</v>
      </c>
      <c r="N841" s="29">
        <v>739.18</v>
      </c>
      <c r="O841" s="29">
        <v>37698.18</v>
      </c>
      <c r="P841" s="43">
        <f>IF(Table22[[#This Row],[Discount Applied]],Table22[[#This Row],[Total Sales (in USD)]]*(1-Table22[[#This Row],[Discount Percentage (%)]]/100),Table22[[#This Row],[Total Sales (in USD)]])</f>
        <v>37698.18</v>
      </c>
      <c r="Q841" s="66">
        <f>SQRT(AVERAGE((Table22[[#This Row],[Net Sales (after discount) (in USD)]]-AVERAGE(Table22[Net Sales (after discount) (in USD)]))^2))</f>
        <v>1186.8194362354625</v>
      </c>
      <c r="R841" s="18" t="b">
        <v>1</v>
      </c>
      <c r="S841" s="40">
        <v>17.48</v>
      </c>
      <c r="T841" s="18" t="b">
        <v>0</v>
      </c>
      <c r="U841" s="25">
        <v>45195</v>
      </c>
      <c r="V841" s="63" t="str">
        <f>IF(MONTH(Table22[[#This Row],[Sales Date]])&lt;=3,"Q1",IF(MONTH(Table22[[#This Row],[Sales Date]])&lt;=6,"Q2",IF(MONTH(Table22[[#This Row],[Sales Date]])&lt;=9,"Q3","Q4")))</f>
        <v>Q3</v>
      </c>
      <c r="W841" s="64">
        <f>YEAR(Table22[[#This Row],[Sales Date]])</f>
        <v>2023</v>
      </c>
      <c r="X841" s="23">
        <v>63</v>
      </c>
      <c r="Y841" s="18" t="s">
        <v>49</v>
      </c>
      <c r="Z841" s="18" t="s">
        <v>24</v>
      </c>
      <c r="AA841" s="19" t="s">
        <v>36</v>
      </c>
    </row>
    <row r="842" spans="1:27" x14ac:dyDescent="0.25">
      <c r="A842" s="17" t="s">
        <v>1687</v>
      </c>
      <c r="B842" s="18" t="s">
        <v>76</v>
      </c>
      <c r="C842" s="63" t="str" cm="1">
        <f t="array" ref="C842">_xlfn.SWITCH(Table22[[#This Row],[Country]],"USA","North America","Canada","North America","Brazil","South America","China","Asia","Japan","Asia","India","Asia","France","Europe","Germany","Europe","UK","Europe","Australia","Oceania","South America")</f>
        <v>Asia</v>
      </c>
      <c r="D842" s="18" t="s">
        <v>44</v>
      </c>
      <c r="E842" s="18" t="s">
        <v>33</v>
      </c>
      <c r="F842" s="18" t="s">
        <v>34</v>
      </c>
      <c r="G842" s="18" t="s">
        <v>29</v>
      </c>
      <c r="H842" s="64">
        <f>LEN(TRIM(Table22[[#This Row],[Country]]))</f>
        <v>5</v>
      </c>
      <c r="I842" s="64">
        <f>LEN(TRIM(Table22[[#This Row],[Continent]]))</f>
        <v>4</v>
      </c>
      <c r="J842" s="64">
        <f>LEN(TRIM(Table22[[#This Row],[Product]]))</f>
        <v>10</v>
      </c>
      <c r="K842" s="64">
        <f>LEN(TRIM(Table22[[#This Row],[Sales Team]]))</f>
        <v>10</v>
      </c>
      <c r="L842" s="23">
        <v>55</v>
      </c>
      <c r="M842" s="65" t="str" cm="1">
        <f t="array" ref="M842">_xlfn.IFS(Table22[[#This Row],[Units Sold]]&lt;40,"Critical",Table22[[#This Row],[Units Sold]]&lt;=50,"Poor",Table22[[#This Row],[Units Sold]]&lt;=60,"Low",Table22[[#This Row],[Units Sold]]&lt;=80,"Average",Table22[[#This Row],[Units Sold]]&lt;=90,"High",Table22[[#This Row],[Units Sold]]&lt;=95,"Excellent",Table22[[#This Row],[Units Sold]]&gt;95,"Outstanding")</f>
        <v>Low</v>
      </c>
      <c r="N842" s="29">
        <v>685.05</v>
      </c>
      <c r="O842" s="29">
        <v>37677.75</v>
      </c>
      <c r="P842" s="43">
        <f>IF(Table22[[#This Row],[Discount Applied]],Table22[[#This Row],[Total Sales (in USD)]]*(1-Table22[[#This Row],[Discount Percentage (%)]]/100),Table22[[#This Row],[Total Sales (in USD)]])</f>
        <v>26901.913499999999</v>
      </c>
      <c r="Q842" s="66">
        <f>SQRT(AVERAGE((Table22[[#This Row],[Net Sales (after discount) (in USD)]]-AVERAGE(Table22[Net Sales (after discount) (in USD)]))^2))</f>
        <v>9609.4470637645391</v>
      </c>
      <c r="R842" s="18" t="b">
        <v>1</v>
      </c>
      <c r="S842" s="40">
        <v>28.6</v>
      </c>
      <c r="T842" s="18" t="b">
        <v>1</v>
      </c>
      <c r="U842" s="25">
        <v>44934</v>
      </c>
      <c r="V842" s="63" t="str">
        <f>IF(MONTH(Table22[[#This Row],[Sales Date]])&lt;=3,"Q1",IF(MONTH(Table22[[#This Row],[Sales Date]])&lt;=6,"Q2",IF(MONTH(Table22[[#This Row],[Sales Date]])&lt;=9,"Q3","Q4")))</f>
        <v>Q1</v>
      </c>
      <c r="W842" s="64">
        <f>YEAR(Table22[[#This Row],[Sales Date]])</f>
        <v>2023</v>
      </c>
      <c r="X842" s="23">
        <v>48</v>
      </c>
      <c r="Y842" s="18" t="s">
        <v>23</v>
      </c>
      <c r="Z842" s="18" t="s">
        <v>30</v>
      </c>
      <c r="AA842" s="19" t="s">
        <v>25</v>
      </c>
    </row>
    <row r="843" spans="1:27" x14ac:dyDescent="0.25">
      <c r="A843" s="17" t="s">
        <v>1185</v>
      </c>
      <c r="B843" s="18" t="s">
        <v>62</v>
      </c>
      <c r="C843" s="63" t="str" cm="1">
        <f t="array" ref="C843">_xlfn.SWITCH(Table22[[#This Row],[Country]],"USA","North America","Canada","North America","Brazil","South America","China","Asia","Japan","Asia","India","Asia","France","Europe","Germany","Europe","UK","Europe","Australia","Oceania","South America")</f>
        <v>Oceania</v>
      </c>
      <c r="D843" s="18" t="s">
        <v>21</v>
      </c>
      <c r="E843" s="18" t="s">
        <v>33</v>
      </c>
      <c r="F843" s="18" t="s">
        <v>52</v>
      </c>
      <c r="G843" s="18" t="s">
        <v>40</v>
      </c>
      <c r="H843" s="64">
        <f>LEN(TRIM(Table22[[#This Row],[Country]]))</f>
        <v>9</v>
      </c>
      <c r="I843" s="64">
        <f>LEN(TRIM(Table22[[#This Row],[Continent]]))</f>
        <v>7</v>
      </c>
      <c r="J843" s="64">
        <f>LEN(TRIM(Table22[[#This Row],[Product]]))</f>
        <v>10</v>
      </c>
      <c r="K843" s="64">
        <f>LEN(TRIM(Table22[[#This Row],[Sales Team]]))</f>
        <v>10</v>
      </c>
      <c r="L843" s="23">
        <v>60</v>
      </c>
      <c r="M843" s="65" t="str" cm="1">
        <f t="array" ref="M843">_xlfn.IFS(Table22[[#This Row],[Units Sold]]&lt;40,"Critical",Table22[[#This Row],[Units Sold]]&lt;=50,"Poor",Table22[[#This Row],[Units Sold]]&lt;=60,"Low",Table22[[#This Row],[Units Sold]]&lt;=80,"Average",Table22[[#This Row],[Units Sold]]&lt;=90,"High",Table22[[#This Row],[Units Sold]]&lt;=95,"Excellent",Table22[[#This Row],[Units Sold]]&gt;95,"Outstanding")</f>
        <v>Low</v>
      </c>
      <c r="N843" s="29">
        <v>627.91999999999996</v>
      </c>
      <c r="O843" s="29">
        <v>37675.199999999997</v>
      </c>
      <c r="P843" s="43">
        <f>IF(Table22[[#This Row],[Discount Applied]],Table22[[#This Row],[Total Sales (in USD)]]*(1-Table22[[#This Row],[Discount Percentage (%)]]/100),Table22[[#This Row],[Total Sales (in USD)]])</f>
        <v>34005.635519999996</v>
      </c>
      <c r="Q843" s="66">
        <f>SQRT(AVERAGE((Table22[[#This Row],[Net Sales (after discount) (in USD)]]-AVERAGE(Table22[Net Sales (after discount) (in USD)]))^2))</f>
        <v>2505.7250437645416</v>
      </c>
      <c r="R843" s="18" t="b">
        <v>1</v>
      </c>
      <c r="S843" s="40">
        <v>9.74</v>
      </c>
      <c r="T843" s="18" t="b">
        <v>1</v>
      </c>
      <c r="U843" s="25">
        <v>45088</v>
      </c>
      <c r="V843" s="63" t="str">
        <f>IF(MONTH(Table22[[#This Row],[Sales Date]])&lt;=3,"Q1",IF(MONTH(Table22[[#This Row],[Sales Date]])&lt;=6,"Q2",IF(MONTH(Table22[[#This Row],[Sales Date]])&lt;=9,"Q3","Q4")))</f>
        <v>Q2</v>
      </c>
      <c r="W843" s="64">
        <f>YEAR(Table22[[#This Row],[Sales Date]])</f>
        <v>2023</v>
      </c>
      <c r="X843" s="23">
        <v>68</v>
      </c>
      <c r="Y843" s="18" t="s">
        <v>23</v>
      </c>
      <c r="Z843" s="18" t="s">
        <v>24</v>
      </c>
      <c r="AA843" s="19" t="s">
        <v>36</v>
      </c>
    </row>
    <row r="844" spans="1:27" x14ac:dyDescent="0.25">
      <c r="A844" s="17" t="s">
        <v>270</v>
      </c>
      <c r="B844" s="18" t="s">
        <v>66</v>
      </c>
      <c r="C844" s="63" t="str" cm="1">
        <f t="array" ref="C844">_xlfn.SWITCH(Table22[[#This Row],[Country]],"USA","North America","Canada","North America","Brazil","South America","China","Asia","Japan","Asia","India","Asia","France","Europe","Germany","Europe","UK","Europe","Australia","Oceania","South America")</f>
        <v>North America</v>
      </c>
      <c r="D844" s="18" t="s">
        <v>21</v>
      </c>
      <c r="E844" s="18" t="s">
        <v>39</v>
      </c>
      <c r="F844" s="18" t="s">
        <v>20</v>
      </c>
      <c r="G844" s="18" t="s">
        <v>29</v>
      </c>
      <c r="H844" s="64">
        <f>LEN(TRIM(Table22[[#This Row],[Country]]))</f>
        <v>6</v>
      </c>
      <c r="I844" s="64">
        <f>LEN(TRIM(Table22[[#This Row],[Continent]]))</f>
        <v>13</v>
      </c>
      <c r="J844" s="64">
        <f>LEN(TRIM(Table22[[#This Row],[Product]]))</f>
        <v>10</v>
      </c>
      <c r="K844" s="64">
        <f>LEN(TRIM(Table22[[#This Row],[Sales Team]]))</f>
        <v>10</v>
      </c>
      <c r="L844" s="23">
        <v>32</v>
      </c>
      <c r="M844" s="65" t="str" cm="1">
        <f t="array" ref="M844">_xlfn.IFS(Table22[[#This Row],[Units Sold]]&lt;40,"Critical",Table22[[#This Row],[Units Sold]]&lt;=50,"Poor",Table22[[#This Row],[Units Sold]]&lt;=60,"Low",Table22[[#This Row],[Units Sold]]&lt;=80,"Average",Table22[[#This Row],[Units Sold]]&lt;=90,"High",Table22[[#This Row],[Units Sold]]&lt;=95,"Excellent",Table22[[#This Row],[Units Sold]]&gt;95,"Outstanding")</f>
        <v>Critical</v>
      </c>
      <c r="N844" s="29">
        <v>1176.95</v>
      </c>
      <c r="O844" s="29">
        <v>37662.400000000001</v>
      </c>
      <c r="P844" s="43">
        <f>IF(Table22[[#This Row],[Discount Applied]],Table22[[#This Row],[Total Sales (in USD)]]*(1-Table22[[#This Row],[Discount Percentage (%)]]/100),Table22[[#This Row],[Total Sales (in USD)]])</f>
        <v>37662.400000000001</v>
      </c>
      <c r="Q844" s="66">
        <f>SQRT(AVERAGE((Table22[[#This Row],[Net Sales (after discount) (in USD)]]-AVERAGE(Table22[Net Sales (after discount) (in USD)]))^2))</f>
        <v>1151.0394362354637</v>
      </c>
      <c r="R844" s="18" t="b">
        <v>1</v>
      </c>
      <c r="S844" s="40">
        <v>14.7</v>
      </c>
      <c r="T844" s="18" t="b">
        <v>0</v>
      </c>
      <c r="U844" s="25">
        <v>45276</v>
      </c>
      <c r="V844" s="63" t="str">
        <f>IF(MONTH(Table22[[#This Row],[Sales Date]])&lt;=3,"Q1",IF(MONTH(Table22[[#This Row],[Sales Date]])&lt;=6,"Q2",IF(MONTH(Table22[[#This Row],[Sales Date]])&lt;=9,"Q3","Q4")))</f>
        <v>Q4</v>
      </c>
      <c r="W844" s="64">
        <f>YEAR(Table22[[#This Row],[Sales Date]])</f>
        <v>2023</v>
      </c>
      <c r="X844" s="23">
        <v>60</v>
      </c>
      <c r="Y844" s="18" t="s">
        <v>49</v>
      </c>
      <c r="Z844" s="18" t="s">
        <v>42</v>
      </c>
      <c r="AA844" s="19" t="s">
        <v>36</v>
      </c>
    </row>
    <row r="845" spans="1:27" x14ac:dyDescent="0.25">
      <c r="A845" s="17" t="s">
        <v>1128</v>
      </c>
      <c r="B845" s="18" t="s">
        <v>72</v>
      </c>
      <c r="C845" s="63" t="str" cm="1">
        <f t="array" ref="C845">_xlfn.SWITCH(Table22[[#This Row],[Country]],"USA","North America","Canada","North America","Brazil","South America","China","Asia","Japan","Asia","India","Asia","France","Europe","Germany","Europe","UK","Europe","Australia","Oceania","South America")</f>
        <v>North America</v>
      </c>
      <c r="D845" s="18" t="s">
        <v>35</v>
      </c>
      <c r="E845" s="18" t="s">
        <v>19</v>
      </c>
      <c r="F845" s="18" t="s">
        <v>52</v>
      </c>
      <c r="G845" s="18" t="s">
        <v>48</v>
      </c>
      <c r="H845" s="64">
        <f>LEN(TRIM(Table22[[#This Row],[Country]]))</f>
        <v>3</v>
      </c>
      <c r="I845" s="64">
        <f>LEN(TRIM(Table22[[#This Row],[Continent]]))</f>
        <v>13</v>
      </c>
      <c r="J845" s="64">
        <f>LEN(TRIM(Table22[[#This Row],[Product]]))</f>
        <v>6</v>
      </c>
      <c r="K845" s="64">
        <f>LEN(TRIM(Table22[[#This Row],[Sales Team]]))</f>
        <v>9</v>
      </c>
      <c r="L845" s="23">
        <v>78</v>
      </c>
      <c r="M845" s="65" t="str" cm="1">
        <f t="array" ref="M845">_xlfn.IFS(Table22[[#This Row],[Units Sold]]&lt;40,"Critical",Table22[[#This Row],[Units Sold]]&lt;=50,"Poor",Table22[[#This Row],[Units Sold]]&lt;=60,"Low",Table22[[#This Row],[Units Sold]]&lt;=80,"Average",Table22[[#This Row],[Units Sold]]&lt;=90,"High",Table22[[#This Row],[Units Sold]]&lt;=95,"Excellent",Table22[[#This Row],[Units Sold]]&gt;95,"Outstanding")</f>
        <v>Average</v>
      </c>
      <c r="N845" s="29">
        <v>482.38</v>
      </c>
      <c r="O845" s="29">
        <v>37625.64</v>
      </c>
      <c r="P845" s="43">
        <f>IF(Table22[[#This Row],[Discount Applied]],Table22[[#This Row],[Total Sales (in USD)]]*(1-Table22[[#This Row],[Discount Percentage (%)]]/100),Table22[[#This Row],[Total Sales (in USD)]])</f>
        <v>34333.396499999995</v>
      </c>
      <c r="Q845" s="66">
        <f>SQRT(AVERAGE((Table22[[#This Row],[Net Sales (after discount) (in USD)]]-AVERAGE(Table22[Net Sales (after discount) (in USD)]))^2))</f>
        <v>2177.9640637645425</v>
      </c>
      <c r="R845" s="18" t="b">
        <v>1</v>
      </c>
      <c r="S845" s="40">
        <v>8.75</v>
      </c>
      <c r="T845" s="18" t="b">
        <v>1</v>
      </c>
      <c r="U845" s="25">
        <v>45307</v>
      </c>
      <c r="V845" s="63" t="str">
        <f>IF(MONTH(Table22[[#This Row],[Sales Date]])&lt;=3,"Q1",IF(MONTH(Table22[[#This Row],[Sales Date]])&lt;=6,"Q2",IF(MONTH(Table22[[#This Row],[Sales Date]])&lt;=9,"Q3","Q4")))</f>
        <v>Q1</v>
      </c>
      <c r="W845" s="64">
        <f>YEAR(Table22[[#This Row],[Sales Date]])</f>
        <v>2024</v>
      </c>
      <c r="X845" s="23">
        <v>41</v>
      </c>
      <c r="Y845" s="18" t="s">
        <v>49</v>
      </c>
      <c r="Z845" s="18" t="s">
        <v>30</v>
      </c>
      <c r="AA845" s="19" t="s">
        <v>36</v>
      </c>
    </row>
    <row r="846" spans="1:27" x14ac:dyDescent="0.25">
      <c r="A846" s="17" t="s">
        <v>1914</v>
      </c>
      <c r="B846" s="18" t="s">
        <v>51</v>
      </c>
      <c r="C846" s="63" t="str" cm="1">
        <f t="array" ref="C846">_xlfn.SWITCH(Table22[[#This Row],[Country]],"USA","North America","Canada","North America","Brazil","South America","China","Asia","Japan","Asia","India","Asia","France","Europe","Germany","Europe","UK","Europe","Australia","Oceania","South America")</f>
        <v>Europe</v>
      </c>
      <c r="D846" s="18" t="s">
        <v>28</v>
      </c>
      <c r="E846" s="18" t="s">
        <v>39</v>
      </c>
      <c r="F846" s="18" t="s">
        <v>47</v>
      </c>
      <c r="G846" s="18" t="s">
        <v>22</v>
      </c>
      <c r="H846" s="64">
        <f>LEN(TRIM(Table22[[#This Row],[Country]]))</f>
        <v>2</v>
      </c>
      <c r="I846" s="64">
        <f>LEN(TRIM(Table22[[#This Row],[Continent]]))</f>
        <v>6</v>
      </c>
      <c r="J846" s="64">
        <f>LEN(TRIM(Table22[[#This Row],[Product]]))</f>
        <v>10</v>
      </c>
      <c r="K846" s="64">
        <f>LEN(TRIM(Table22[[#This Row],[Sales Team]]))</f>
        <v>10</v>
      </c>
      <c r="L846" s="23">
        <v>72</v>
      </c>
      <c r="M846" s="65" t="str" cm="1">
        <f t="array" ref="M846">_xlfn.IFS(Table22[[#This Row],[Units Sold]]&lt;40,"Critical",Table22[[#This Row],[Units Sold]]&lt;=50,"Poor",Table22[[#This Row],[Units Sold]]&lt;=60,"Low",Table22[[#This Row],[Units Sold]]&lt;=80,"Average",Table22[[#This Row],[Units Sold]]&lt;=90,"High",Table22[[#This Row],[Units Sold]]&lt;=95,"Excellent",Table22[[#This Row],[Units Sold]]&gt;95,"Outstanding")</f>
        <v>Average</v>
      </c>
      <c r="N846" s="29">
        <v>522.28</v>
      </c>
      <c r="O846" s="29">
        <v>37604.160000000003</v>
      </c>
      <c r="P846" s="43">
        <f>IF(Table22[[#This Row],[Discount Applied]],Table22[[#This Row],[Total Sales (in USD)]]*(1-Table22[[#This Row],[Discount Percentage (%)]]/100),Table22[[#This Row],[Total Sales (in USD)]])</f>
        <v>37604.160000000003</v>
      </c>
      <c r="Q846" s="66">
        <f>SQRT(AVERAGE((Table22[[#This Row],[Net Sales (after discount) (in USD)]]-AVERAGE(Table22[Net Sales (after discount) (in USD)]))^2))</f>
        <v>1092.7994362354657</v>
      </c>
      <c r="R846" s="18" t="b">
        <v>1</v>
      </c>
      <c r="S846" s="40">
        <v>9.31</v>
      </c>
      <c r="T846" s="18" t="b">
        <v>0</v>
      </c>
      <c r="U846" s="25">
        <v>45539</v>
      </c>
      <c r="V846" s="63" t="str">
        <f>IF(MONTH(Table22[[#This Row],[Sales Date]])&lt;=3,"Q1",IF(MONTH(Table22[[#This Row],[Sales Date]])&lt;=6,"Q2",IF(MONTH(Table22[[#This Row],[Sales Date]])&lt;=9,"Q3","Q4")))</f>
        <v>Q3</v>
      </c>
      <c r="W846" s="64">
        <f>YEAR(Table22[[#This Row],[Sales Date]])</f>
        <v>2024</v>
      </c>
      <c r="X846" s="23">
        <v>31</v>
      </c>
      <c r="Y846" s="18" t="s">
        <v>49</v>
      </c>
      <c r="Z846" s="18" t="s">
        <v>42</v>
      </c>
      <c r="AA846" s="19" t="s">
        <v>36</v>
      </c>
    </row>
    <row r="847" spans="1:27" x14ac:dyDescent="0.25">
      <c r="A847" s="17" t="s">
        <v>103</v>
      </c>
      <c r="B847" s="18" t="s">
        <v>72</v>
      </c>
      <c r="C847" s="63" t="str" cm="1">
        <f t="array" ref="C847">_xlfn.SWITCH(Table22[[#This Row],[Country]],"USA","North America","Canada","North America","Brazil","South America","China","Asia","Japan","Asia","India","Asia","France","Europe","Germany","Europe","UK","Europe","Australia","Oceania","South America")</f>
        <v>North America</v>
      </c>
      <c r="D847" s="18" t="s">
        <v>44</v>
      </c>
      <c r="E847" s="18" t="s">
        <v>33</v>
      </c>
      <c r="F847" s="18" t="s">
        <v>52</v>
      </c>
      <c r="G847" s="18" t="s">
        <v>40</v>
      </c>
      <c r="H847" s="64">
        <f>LEN(TRIM(Table22[[#This Row],[Country]]))</f>
        <v>3</v>
      </c>
      <c r="I847" s="64">
        <f>LEN(TRIM(Table22[[#This Row],[Continent]]))</f>
        <v>13</v>
      </c>
      <c r="J847" s="64">
        <f>LEN(TRIM(Table22[[#This Row],[Product]]))</f>
        <v>10</v>
      </c>
      <c r="K847" s="64">
        <f>LEN(TRIM(Table22[[#This Row],[Sales Team]]))</f>
        <v>10</v>
      </c>
      <c r="L847" s="23">
        <v>78</v>
      </c>
      <c r="M847" s="65" t="str" cm="1">
        <f t="array" ref="M847">_xlfn.IFS(Table22[[#This Row],[Units Sold]]&lt;40,"Critical",Table22[[#This Row],[Units Sold]]&lt;=50,"Poor",Table22[[#This Row],[Units Sold]]&lt;=60,"Low",Table22[[#This Row],[Units Sold]]&lt;=80,"Average",Table22[[#This Row],[Units Sold]]&lt;=90,"High",Table22[[#This Row],[Units Sold]]&lt;=95,"Excellent",Table22[[#This Row],[Units Sold]]&gt;95,"Outstanding")</f>
        <v>Average</v>
      </c>
      <c r="N847" s="29">
        <v>481.74</v>
      </c>
      <c r="O847" s="29">
        <v>37575.72</v>
      </c>
      <c r="P847" s="43">
        <f>IF(Table22[[#This Row],[Discount Applied]],Table22[[#This Row],[Total Sales (in USD)]]*(1-Table22[[#This Row],[Discount Percentage (%)]]/100),Table22[[#This Row],[Total Sales (in USD)]])</f>
        <v>27558.033048000001</v>
      </c>
      <c r="Q847" s="66">
        <f>SQRT(AVERAGE((Table22[[#This Row],[Net Sales (after discount) (in USD)]]-AVERAGE(Table22[Net Sales (after discount) (in USD)]))^2))</f>
        <v>8953.3275157645367</v>
      </c>
      <c r="R847" s="18" t="b">
        <v>0</v>
      </c>
      <c r="S847" s="40">
        <v>26.66</v>
      </c>
      <c r="T847" s="18" t="b">
        <v>1</v>
      </c>
      <c r="U847" s="25">
        <v>45382</v>
      </c>
      <c r="V847" s="63" t="str">
        <f>IF(MONTH(Table22[[#This Row],[Sales Date]])&lt;=3,"Q1",IF(MONTH(Table22[[#This Row],[Sales Date]])&lt;=6,"Q2",IF(MONTH(Table22[[#This Row],[Sales Date]])&lt;=9,"Q3","Q4")))</f>
        <v>Q1</v>
      </c>
      <c r="W847" s="64">
        <f>YEAR(Table22[[#This Row],[Sales Date]])</f>
        <v>2024</v>
      </c>
      <c r="X847" s="23">
        <v>56</v>
      </c>
      <c r="Y847" s="18" t="s">
        <v>49</v>
      </c>
      <c r="Z847" s="18" t="s">
        <v>30</v>
      </c>
      <c r="AA847" s="19" t="s">
        <v>36</v>
      </c>
    </row>
    <row r="848" spans="1:27" x14ac:dyDescent="0.25">
      <c r="A848" s="17" t="s">
        <v>353</v>
      </c>
      <c r="B848" s="18" t="s">
        <v>32</v>
      </c>
      <c r="C848" s="63" t="str" cm="1">
        <f t="array" ref="C848">_xlfn.SWITCH(Table22[[#This Row],[Country]],"USA","North America","Canada","North America","Brazil","South America","China","Asia","Japan","Asia","India","Asia","France","Europe","Germany","Europe","UK","Europe","Australia","Oceania","South America")</f>
        <v>Asia</v>
      </c>
      <c r="D848" s="18" t="s">
        <v>21</v>
      </c>
      <c r="E848" s="18" t="s">
        <v>33</v>
      </c>
      <c r="F848" s="18" t="s">
        <v>20</v>
      </c>
      <c r="G848" s="18" t="s">
        <v>22</v>
      </c>
      <c r="H848" s="64">
        <f>LEN(TRIM(Table22[[#This Row],[Country]]))</f>
        <v>5</v>
      </c>
      <c r="I848" s="64">
        <f>LEN(TRIM(Table22[[#This Row],[Continent]]))</f>
        <v>4</v>
      </c>
      <c r="J848" s="64">
        <f>LEN(TRIM(Table22[[#This Row],[Product]]))</f>
        <v>10</v>
      </c>
      <c r="K848" s="64">
        <f>LEN(TRIM(Table22[[#This Row],[Sales Team]]))</f>
        <v>10</v>
      </c>
      <c r="L848" s="23">
        <v>41</v>
      </c>
      <c r="M848" s="65" t="str" cm="1">
        <f t="array" ref="M848">_xlfn.IFS(Table22[[#This Row],[Units Sold]]&lt;40,"Critical",Table22[[#This Row],[Units Sold]]&lt;=50,"Poor",Table22[[#This Row],[Units Sold]]&lt;=60,"Low",Table22[[#This Row],[Units Sold]]&lt;=80,"Average",Table22[[#This Row],[Units Sold]]&lt;=90,"High",Table22[[#This Row],[Units Sold]]&lt;=95,"Excellent",Table22[[#This Row],[Units Sold]]&gt;95,"Outstanding")</f>
        <v>Poor</v>
      </c>
      <c r="N848" s="29">
        <v>912.68</v>
      </c>
      <c r="O848" s="29">
        <v>37419.879999999997</v>
      </c>
      <c r="P848" s="43">
        <f>IF(Table22[[#This Row],[Discount Applied]],Table22[[#This Row],[Total Sales (in USD)]]*(1-Table22[[#This Row],[Discount Percentage (%)]]/100),Table22[[#This Row],[Total Sales (in USD)]])</f>
        <v>37419.879999999997</v>
      </c>
      <c r="Q848" s="66">
        <f>SQRT(AVERAGE((Table22[[#This Row],[Net Sales (after discount) (in USD)]]-AVERAGE(Table22[Net Sales (after discount) (in USD)]))^2))</f>
        <v>908.51943623545958</v>
      </c>
      <c r="R848" s="18" t="b">
        <v>0</v>
      </c>
      <c r="S848" s="40">
        <v>23.79</v>
      </c>
      <c r="T848" s="18" t="b">
        <v>0</v>
      </c>
      <c r="U848" s="25">
        <v>45304</v>
      </c>
      <c r="V848" s="63" t="str">
        <f>IF(MONTH(Table22[[#This Row],[Sales Date]])&lt;=3,"Q1",IF(MONTH(Table22[[#This Row],[Sales Date]])&lt;=6,"Q2",IF(MONTH(Table22[[#This Row],[Sales Date]])&lt;=9,"Q3","Q4")))</f>
        <v>Q1</v>
      </c>
      <c r="W848" s="64">
        <f>YEAR(Table22[[#This Row],[Sales Date]])</f>
        <v>2024</v>
      </c>
      <c r="X848" s="23">
        <v>36</v>
      </c>
      <c r="Y848" s="18" t="s">
        <v>23</v>
      </c>
      <c r="Z848" s="18" t="s">
        <v>24</v>
      </c>
      <c r="AA848" s="19" t="s">
        <v>25</v>
      </c>
    </row>
    <row r="849" spans="1:27" x14ac:dyDescent="0.25">
      <c r="A849" s="17" t="s">
        <v>833</v>
      </c>
      <c r="B849" s="18" t="s">
        <v>32</v>
      </c>
      <c r="C849" s="63" t="str" cm="1">
        <f t="array" ref="C849">_xlfn.SWITCH(Table22[[#This Row],[Country]],"USA","North America","Canada","North America","Brazil","South America","China","Asia","Japan","Asia","India","Asia","France","Europe","Germany","Europe","UK","Europe","Australia","Oceania","South America")</f>
        <v>Asia</v>
      </c>
      <c r="D849" s="18" t="s">
        <v>21</v>
      </c>
      <c r="E849" s="18" t="s">
        <v>33</v>
      </c>
      <c r="F849" s="18" t="s">
        <v>20</v>
      </c>
      <c r="G849" s="18" t="s">
        <v>22</v>
      </c>
      <c r="H849" s="64">
        <f>LEN(TRIM(Table22[[#This Row],[Country]]))</f>
        <v>5</v>
      </c>
      <c r="I849" s="64">
        <f>LEN(TRIM(Table22[[#This Row],[Continent]]))</f>
        <v>4</v>
      </c>
      <c r="J849" s="64">
        <f>LEN(TRIM(Table22[[#This Row],[Product]]))</f>
        <v>10</v>
      </c>
      <c r="K849" s="64">
        <f>LEN(TRIM(Table22[[#This Row],[Sales Team]]))</f>
        <v>10</v>
      </c>
      <c r="L849" s="23">
        <v>59</v>
      </c>
      <c r="M849" s="65" t="str" cm="1">
        <f t="array" ref="M849">_xlfn.IFS(Table22[[#This Row],[Units Sold]]&lt;40,"Critical",Table22[[#This Row],[Units Sold]]&lt;=50,"Poor",Table22[[#This Row],[Units Sold]]&lt;=60,"Low",Table22[[#This Row],[Units Sold]]&lt;=80,"Average",Table22[[#This Row],[Units Sold]]&lt;=90,"High",Table22[[#This Row],[Units Sold]]&lt;=95,"Excellent",Table22[[#This Row],[Units Sold]]&gt;95,"Outstanding")</f>
        <v>Low</v>
      </c>
      <c r="N849" s="29">
        <v>633.92999999999995</v>
      </c>
      <c r="O849" s="29">
        <v>37401.870000000003</v>
      </c>
      <c r="P849" s="43">
        <f>IF(Table22[[#This Row],[Discount Applied]],Table22[[#This Row],[Total Sales (in USD)]]*(1-Table22[[#This Row],[Discount Percentage (%)]]/100),Table22[[#This Row],[Total Sales (in USD)]])</f>
        <v>37401.870000000003</v>
      </c>
      <c r="Q849" s="66">
        <f>SQRT(AVERAGE((Table22[[#This Row],[Net Sales (after discount) (in USD)]]-AVERAGE(Table22[Net Sales (after discount) (in USD)]))^2))</f>
        <v>890.50943623546482</v>
      </c>
      <c r="R849" s="18" t="b">
        <v>0</v>
      </c>
      <c r="S849" s="40">
        <v>5.15</v>
      </c>
      <c r="T849" s="18" t="b">
        <v>0</v>
      </c>
      <c r="U849" s="25">
        <v>45426</v>
      </c>
      <c r="V849" s="63" t="str">
        <f>IF(MONTH(Table22[[#This Row],[Sales Date]])&lt;=3,"Q1",IF(MONTH(Table22[[#This Row],[Sales Date]])&lt;=6,"Q2",IF(MONTH(Table22[[#This Row],[Sales Date]])&lt;=9,"Q3","Q4")))</f>
        <v>Q2</v>
      </c>
      <c r="W849" s="64">
        <f>YEAR(Table22[[#This Row],[Sales Date]])</f>
        <v>2024</v>
      </c>
      <c r="X849" s="23">
        <v>69</v>
      </c>
      <c r="Y849" s="18" t="s">
        <v>23</v>
      </c>
      <c r="Z849" s="18" t="s">
        <v>56</v>
      </c>
      <c r="AA849" s="19" t="s">
        <v>36</v>
      </c>
    </row>
    <row r="850" spans="1:27" x14ac:dyDescent="0.25">
      <c r="A850" s="17" t="s">
        <v>1300</v>
      </c>
      <c r="B850" s="18" t="s">
        <v>51</v>
      </c>
      <c r="C850" s="63" t="str" cm="1">
        <f t="array" ref="C850">_xlfn.SWITCH(Table22[[#This Row],[Country]],"USA","North America","Canada","North America","Brazil","South America","China","Asia","Japan","Asia","India","Asia","France","Europe","Germany","Europe","UK","Europe","Australia","Oceania","South America")</f>
        <v>Europe</v>
      </c>
      <c r="D850" s="18" t="s">
        <v>35</v>
      </c>
      <c r="E850" s="18" t="s">
        <v>19</v>
      </c>
      <c r="F850" s="18" t="s">
        <v>52</v>
      </c>
      <c r="G850" s="18" t="s">
        <v>40</v>
      </c>
      <c r="H850" s="64">
        <f>LEN(TRIM(Table22[[#This Row],[Country]]))</f>
        <v>2</v>
      </c>
      <c r="I850" s="64">
        <f>LEN(TRIM(Table22[[#This Row],[Continent]]))</f>
        <v>6</v>
      </c>
      <c r="J850" s="64">
        <f>LEN(TRIM(Table22[[#This Row],[Product]]))</f>
        <v>6</v>
      </c>
      <c r="K850" s="64">
        <f>LEN(TRIM(Table22[[#This Row],[Sales Team]]))</f>
        <v>10</v>
      </c>
      <c r="L850" s="23">
        <v>30</v>
      </c>
      <c r="M850" s="65" t="str" cm="1">
        <f t="array" ref="M850">_xlfn.IFS(Table22[[#This Row],[Units Sold]]&lt;40,"Critical",Table22[[#This Row],[Units Sold]]&lt;=50,"Poor",Table22[[#This Row],[Units Sold]]&lt;=60,"Low",Table22[[#This Row],[Units Sold]]&lt;=80,"Average",Table22[[#This Row],[Units Sold]]&lt;=90,"High",Table22[[#This Row],[Units Sold]]&lt;=95,"Excellent",Table22[[#This Row],[Units Sold]]&gt;95,"Outstanding")</f>
        <v>Critical</v>
      </c>
      <c r="N850" s="29">
        <v>1245.79</v>
      </c>
      <c r="O850" s="29">
        <v>37373.699999999997</v>
      </c>
      <c r="P850" s="43">
        <f>IF(Table22[[#This Row],[Discount Applied]],Table22[[#This Row],[Total Sales (in USD)]]*(1-Table22[[#This Row],[Discount Percentage (%)]]/100),Table22[[#This Row],[Total Sales (in USD)]])</f>
        <v>37373.699999999997</v>
      </c>
      <c r="Q850" s="66">
        <f>SQRT(AVERAGE((Table22[[#This Row],[Net Sales (after discount) (in USD)]]-AVERAGE(Table22[Net Sales (after discount) (in USD)]))^2))</f>
        <v>862.33943623545929</v>
      </c>
      <c r="R850" s="18" t="b">
        <v>0</v>
      </c>
      <c r="S850" s="40">
        <v>20.58</v>
      </c>
      <c r="T850" s="18" t="b">
        <v>0</v>
      </c>
      <c r="U850" s="25">
        <v>45449</v>
      </c>
      <c r="V850" s="63" t="str">
        <f>IF(MONTH(Table22[[#This Row],[Sales Date]])&lt;=3,"Q1",IF(MONTH(Table22[[#This Row],[Sales Date]])&lt;=6,"Q2",IF(MONTH(Table22[[#This Row],[Sales Date]])&lt;=9,"Q3","Q4")))</f>
        <v>Q2</v>
      </c>
      <c r="W850" s="64">
        <f>YEAR(Table22[[#This Row],[Sales Date]])</f>
        <v>2024</v>
      </c>
      <c r="X850" s="23">
        <v>55</v>
      </c>
      <c r="Y850" s="18" t="s">
        <v>49</v>
      </c>
      <c r="Z850" s="18" t="s">
        <v>56</v>
      </c>
      <c r="AA850" s="19" t="s">
        <v>36</v>
      </c>
    </row>
    <row r="851" spans="1:27" x14ac:dyDescent="0.25">
      <c r="A851" s="17" t="s">
        <v>1590</v>
      </c>
      <c r="B851" s="18" t="s">
        <v>62</v>
      </c>
      <c r="C851" s="63" t="str" cm="1">
        <f t="array" ref="C851">_xlfn.SWITCH(Table22[[#This Row],[Country]],"USA","North America","Canada","North America","Brazil","South America","China","Asia","Japan","Asia","India","Asia","France","Europe","Germany","Europe","UK","Europe","Australia","Oceania","South America")</f>
        <v>Oceania</v>
      </c>
      <c r="D851" s="18" t="s">
        <v>44</v>
      </c>
      <c r="E851" s="18" t="s">
        <v>19</v>
      </c>
      <c r="F851" s="18" t="s">
        <v>52</v>
      </c>
      <c r="G851" s="18" t="s">
        <v>48</v>
      </c>
      <c r="H851" s="64">
        <f>LEN(TRIM(Table22[[#This Row],[Country]]))</f>
        <v>9</v>
      </c>
      <c r="I851" s="64">
        <f>LEN(TRIM(Table22[[#This Row],[Continent]]))</f>
        <v>7</v>
      </c>
      <c r="J851" s="64">
        <f>LEN(TRIM(Table22[[#This Row],[Product]]))</f>
        <v>6</v>
      </c>
      <c r="K851" s="64">
        <f>LEN(TRIM(Table22[[#This Row],[Sales Team]]))</f>
        <v>9</v>
      </c>
      <c r="L851" s="23">
        <v>47</v>
      </c>
      <c r="M851" s="65" t="str" cm="1">
        <f t="array" ref="M851">_xlfn.IFS(Table22[[#This Row],[Units Sold]]&lt;40,"Critical",Table22[[#This Row],[Units Sold]]&lt;=50,"Poor",Table22[[#This Row],[Units Sold]]&lt;=60,"Low",Table22[[#This Row],[Units Sold]]&lt;=80,"Average",Table22[[#This Row],[Units Sold]]&lt;=90,"High",Table22[[#This Row],[Units Sold]]&lt;=95,"Excellent",Table22[[#This Row],[Units Sold]]&gt;95,"Outstanding")</f>
        <v>Poor</v>
      </c>
      <c r="N851" s="29">
        <v>794.16</v>
      </c>
      <c r="O851" s="29">
        <v>37325.519999999997</v>
      </c>
      <c r="P851" s="43">
        <f>IF(Table22[[#This Row],[Discount Applied]],Table22[[#This Row],[Total Sales (in USD)]]*(1-Table22[[#This Row],[Discount Percentage (%)]]/100),Table22[[#This Row],[Total Sales (in USD)]])</f>
        <v>37142.624951999998</v>
      </c>
      <c r="Q851" s="66">
        <f>SQRT(AVERAGE((Table22[[#This Row],[Net Sales (after discount) (in USD)]]-AVERAGE(Table22[Net Sales (after discount) (in USD)]))^2))</f>
        <v>631.2643882354605</v>
      </c>
      <c r="R851" s="18" t="b">
        <v>1</v>
      </c>
      <c r="S851" s="40">
        <v>0.49</v>
      </c>
      <c r="T851" s="18" t="b">
        <v>1</v>
      </c>
      <c r="U851" s="25">
        <v>45077</v>
      </c>
      <c r="V851" s="63" t="str">
        <f>IF(MONTH(Table22[[#This Row],[Sales Date]])&lt;=3,"Q1",IF(MONTH(Table22[[#This Row],[Sales Date]])&lt;=6,"Q2",IF(MONTH(Table22[[#This Row],[Sales Date]])&lt;=9,"Q3","Q4")))</f>
        <v>Q2</v>
      </c>
      <c r="W851" s="64">
        <f>YEAR(Table22[[#This Row],[Sales Date]])</f>
        <v>2023</v>
      </c>
      <c r="X851" s="23">
        <v>32</v>
      </c>
      <c r="Y851" s="18" t="s">
        <v>49</v>
      </c>
      <c r="Z851" s="18" t="s">
        <v>30</v>
      </c>
      <c r="AA851" s="19" t="s">
        <v>36</v>
      </c>
    </row>
    <row r="852" spans="1:27" x14ac:dyDescent="0.25">
      <c r="A852" s="17" t="s">
        <v>502</v>
      </c>
      <c r="B852" s="18" t="s">
        <v>38</v>
      </c>
      <c r="C852" s="63" t="str" cm="1">
        <f t="array" ref="C852">_xlfn.SWITCH(Table22[[#This Row],[Country]],"USA","North America","Canada","North America","Brazil","South America","China","Asia","Japan","Asia","India","Asia","France","Europe","Germany","Europe","UK","Europe","Australia","Oceania","South America")</f>
        <v>Europe</v>
      </c>
      <c r="D852" s="18" t="s">
        <v>44</v>
      </c>
      <c r="E852" s="18" t="s">
        <v>39</v>
      </c>
      <c r="F852" s="18" t="s">
        <v>34</v>
      </c>
      <c r="G852" s="18" t="s">
        <v>29</v>
      </c>
      <c r="H852" s="64">
        <f>LEN(TRIM(Table22[[#This Row],[Country]]))</f>
        <v>6</v>
      </c>
      <c r="I852" s="64">
        <f>LEN(TRIM(Table22[[#This Row],[Continent]]))</f>
        <v>6</v>
      </c>
      <c r="J852" s="64">
        <f>LEN(TRIM(Table22[[#This Row],[Product]]))</f>
        <v>10</v>
      </c>
      <c r="K852" s="64">
        <f>LEN(TRIM(Table22[[#This Row],[Sales Team]]))</f>
        <v>10</v>
      </c>
      <c r="L852" s="23">
        <v>50</v>
      </c>
      <c r="M852" s="65" t="str" cm="1">
        <f t="array" ref="M852">_xlfn.IFS(Table22[[#This Row],[Units Sold]]&lt;40,"Critical",Table22[[#This Row],[Units Sold]]&lt;=50,"Poor",Table22[[#This Row],[Units Sold]]&lt;=60,"Low",Table22[[#This Row],[Units Sold]]&lt;=80,"Average",Table22[[#This Row],[Units Sold]]&lt;=90,"High",Table22[[#This Row],[Units Sold]]&lt;=95,"Excellent",Table22[[#This Row],[Units Sold]]&gt;95,"Outstanding")</f>
        <v>Poor</v>
      </c>
      <c r="N852" s="29">
        <v>746.18</v>
      </c>
      <c r="O852" s="29">
        <v>37309</v>
      </c>
      <c r="P852" s="43">
        <f>IF(Table22[[#This Row],[Discount Applied]],Table22[[#This Row],[Total Sales (in USD)]]*(1-Table22[[#This Row],[Discount Percentage (%)]]/100),Table22[[#This Row],[Total Sales (in USD)]])</f>
        <v>29287.565000000002</v>
      </c>
      <c r="Q852" s="66">
        <f>SQRT(AVERAGE((Table22[[#This Row],[Net Sales (after discount) (in USD)]]-AVERAGE(Table22[Net Sales (after discount) (in USD)]))^2))</f>
        <v>7223.7955637645355</v>
      </c>
      <c r="R852" s="18" t="b">
        <v>1</v>
      </c>
      <c r="S852" s="40">
        <v>21.5</v>
      </c>
      <c r="T852" s="18" t="b">
        <v>1</v>
      </c>
      <c r="U852" s="25">
        <v>45363</v>
      </c>
      <c r="V852" s="63" t="str">
        <f>IF(MONTH(Table22[[#This Row],[Sales Date]])&lt;=3,"Q1",IF(MONTH(Table22[[#This Row],[Sales Date]])&lt;=6,"Q2",IF(MONTH(Table22[[#This Row],[Sales Date]])&lt;=9,"Q3","Q4")))</f>
        <v>Q1</v>
      </c>
      <c r="W852" s="64">
        <f>YEAR(Table22[[#This Row],[Sales Date]])</f>
        <v>2024</v>
      </c>
      <c r="X852" s="23">
        <v>67</v>
      </c>
      <c r="Y852" s="18" t="s">
        <v>23</v>
      </c>
      <c r="Z852" s="18" t="s">
        <v>24</v>
      </c>
      <c r="AA852" s="19" t="s">
        <v>36</v>
      </c>
    </row>
    <row r="853" spans="1:27" x14ac:dyDescent="0.25">
      <c r="A853" s="17" t="s">
        <v>148</v>
      </c>
      <c r="B853" s="18" t="s">
        <v>76</v>
      </c>
      <c r="C853" s="63" t="str" cm="1">
        <f t="array" ref="C853">_xlfn.SWITCH(Table22[[#This Row],[Country]],"USA","North America","Canada","North America","Brazil","South America","China","Asia","Japan","Asia","India","Asia","France","Europe","Germany","Europe","UK","Europe","Australia","Oceania","South America")</f>
        <v>Asia</v>
      </c>
      <c r="D853" s="18" t="s">
        <v>44</v>
      </c>
      <c r="E853" s="18" t="s">
        <v>33</v>
      </c>
      <c r="F853" s="18" t="s">
        <v>52</v>
      </c>
      <c r="G853" s="18" t="s">
        <v>48</v>
      </c>
      <c r="H853" s="64">
        <f>LEN(TRIM(Table22[[#This Row],[Country]]))</f>
        <v>5</v>
      </c>
      <c r="I853" s="64">
        <f>LEN(TRIM(Table22[[#This Row],[Continent]]))</f>
        <v>4</v>
      </c>
      <c r="J853" s="64">
        <f>LEN(TRIM(Table22[[#This Row],[Product]]))</f>
        <v>10</v>
      </c>
      <c r="K853" s="64">
        <f>LEN(TRIM(Table22[[#This Row],[Sales Team]]))</f>
        <v>9</v>
      </c>
      <c r="L853" s="23">
        <v>36</v>
      </c>
      <c r="M853" s="65" t="str" cm="1">
        <f t="array" ref="M853">_xlfn.IFS(Table22[[#This Row],[Units Sold]]&lt;40,"Critical",Table22[[#This Row],[Units Sold]]&lt;=50,"Poor",Table22[[#This Row],[Units Sold]]&lt;=60,"Low",Table22[[#This Row],[Units Sold]]&lt;=80,"Average",Table22[[#This Row],[Units Sold]]&lt;=90,"High",Table22[[#This Row],[Units Sold]]&lt;=95,"Excellent",Table22[[#This Row],[Units Sold]]&gt;95,"Outstanding")</f>
        <v>Critical</v>
      </c>
      <c r="N853" s="29">
        <v>1035.5999999999999</v>
      </c>
      <c r="O853" s="29">
        <v>37281.599999999999</v>
      </c>
      <c r="P853" s="43">
        <f>IF(Table22[[#This Row],[Discount Applied]],Table22[[#This Row],[Total Sales (in USD)]]*(1-Table22[[#This Row],[Discount Percentage (%)]]/100),Table22[[#This Row],[Total Sales (in USD)]])</f>
        <v>29143.026720000002</v>
      </c>
      <c r="Q853" s="66">
        <f>SQRT(AVERAGE((Table22[[#This Row],[Net Sales (after discount) (in USD)]]-AVERAGE(Table22[Net Sales (after discount) (in USD)]))^2))</f>
        <v>7368.3338437645361</v>
      </c>
      <c r="R853" s="18" t="b">
        <v>1</v>
      </c>
      <c r="S853" s="40">
        <v>21.83</v>
      </c>
      <c r="T853" s="18" t="b">
        <v>1</v>
      </c>
      <c r="U853" s="25">
        <v>45210</v>
      </c>
      <c r="V853" s="63" t="str">
        <f>IF(MONTH(Table22[[#This Row],[Sales Date]])&lt;=3,"Q1",IF(MONTH(Table22[[#This Row],[Sales Date]])&lt;=6,"Q2",IF(MONTH(Table22[[#This Row],[Sales Date]])&lt;=9,"Q3","Q4")))</f>
        <v>Q4</v>
      </c>
      <c r="W853" s="64">
        <f>YEAR(Table22[[#This Row],[Sales Date]])</f>
        <v>2023</v>
      </c>
      <c r="X853" s="23">
        <v>42</v>
      </c>
      <c r="Y853" s="18" t="s">
        <v>41</v>
      </c>
      <c r="Z853" s="18" t="s">
        <v>42</v>
      </c>
      <c r="AA853" s="19" t="s">
        <v>25</v>
      </c>
    </row>
    <row r="854" spans="1:27" x14ac:dyDescent="0.25">
      <c r="A854" s="17" t="s">
        <v>711</v>
      </c>
      <c r="B854" s="18" t="s">
        <v>38</v>
      </c>
      <c r="C854" s="63" t="str" cm="1">
        <f t="array" ref="C854">_xlfn.SWITCH(Table22[[#This Row],[Country]],"USA","North America","Canada","North America","Brazil","South America","China","Asia","Japan","Asia","India","Asia","France","Europe","Germany","Europe","UK","Europe","Australia","Oceania","South America")</f>
        <v>Europe</v>
      </c>
      <c r="D854" s="18" t="s">
        <v>21</v>
      </c>
      <c r="E854" s="18" t="s">
        <v>33</v>
      </c>
      <c r="F854" s="18" t="s">
        <v>47</v>
      </c>
      <c r="G854" s="18" t="s">
        <v>22</v>
      </c>
      <c r="H854" s="64">
        <f>LEN(TRIM(Table22[[#This Row],[Country]]))</f>
        <v>6</v>
      </c>
      <c r="I854" s="64">
        <f>LEN(TRIM(Table22[[#This Row],[Continent]]))</f>
        <v>6</v>
      </c>
      <c r="J854" s="64">
        <f>LEN(TRIM(Table22[[#This Row],[Product]]))</f>
        <v>10</v>
      </c>
      <c r="K854" s="64">
        <f>LEN(TRIM(Table22[[#This Row],[Sales Team]]))</f>
        <v>10</v>
      </c>
      <c r="L854" s="23">
        <v>46</v>
      </c>
      <c r="M854" s="65" t="str" cm="1">
        <f t="array" ref="M854">_xlfn.IFS(Table22[[#This Row],[Units Sold]]&lt;40,"Critical",Table22[[#This Row],[Units Sold]]&lt;=50,"Poor",Table22[[#This Row],[Units Sold]]&lt;=60,"Low",Table22[[#This Row],[Units Sold]]&lt;=80,"Average",Table22[[#This Row],[Units Sold]]&lt;=90,"High",Table22[[#This Row],[Units Sold]]&lt;=95,"Excellent",Table22[[#This Row],[Units Sold]]&gt;95,"Outstanding")</f>
        <v>Poor</v>
      </c>
      <c r="N854" s="29">
        <v>807.73</v>
      </c>
      <c r="O854" s="29">
        <v>37155.58</v>
      </c>
      <c r="P854" s="43">
        <f>IF(Table22[[#This Row],[Discount Applied]],Table22[[#This Row],[Total Sales (in USD)]]*(1-Table22[[#This Row],[Discount Percentage (%)]]/100),Table22[[#This Row],[Total Sales (in USD)]])</f>
        <v>35739.952402000003</v>
      </c>
      <c r="Q854" s="66">
        <f>SQRT(AVERAGE((Table22[[#This Row],[Net Sales (after discount) (in USD)]]-AVERAGE(Table22[Net Sales (after discount) (in USD)]))^2))</f>
        <v>771.40816176453518</v>
      </c>
      <c r="R854" s="18" t="b">
        <v>0</v>
      </c>
      <c r="S854" s="40">
        <v>3.81</v>
      </c>
      <c r="T854" s="18" t="b">
        <v>1</v>
      </c>
      <c r="U854" s="25">
        <v>45579</v>
      </c>
      <c r="V854" s="63" t="str">
        <f>IF(MONTH(Table22[[#This Row],[Sales Date]])&lt;=3,"Q1",IF(MONTH(Table22[[#This Row],[Sales Date]])&lt;=6,"Q2",IF(MONTH(Table22[[#This Row],[Sales Date]])&lt;=9,"Q3","Q4")))</f>
        <v>Q4</v>
      </c>
      <c r="W854" s="64">
        <f>YEAR(Table22[[#This Row],[Sales Date]])</f>
        <v>2024</v>
      </c>
      <c r="X854" s="23">
        <v>66</v>
      </c>
      <c r="Y854" s="18" t="s">
        <v>49</v>
      </c>
      <c r="Z854" s="18" t="s">
        <v>30</v>
      </c>
      <c r="AA854" s="19" t="s">
        <v>25</v>
      </c>
    </row>
    <row r="855" spans="1:27" x14ac:dyDescent="0.25">
      <c r="A855" s="17" t="s">
        <v>1410</v>
      </c>
      <c r="B855" s="18" t="s">
        <v>38</v>
      </c>
      <c r="C855" s="63" t="str" cm="1">
        <f t="array" ref="C855">_xlfn.SWITCH(Table22[[#This Row],[Country]],"USA","North America","Canada","North America","Brazil","South America","China","Asia","Japan","Asia","India","Asia","France","Europe","Germany","Europe","UK","Europe","Australia","Oceania","South America")</f>
        <v>Europe</v>
      </c>
      <c r="D855" s="18" t="s">
        <v>35</v>
      </c>
      <c r="E855" s="18" t="s">
        <v>39</v>
      </c>
      <c r="F855" s="18" t="s">
        <v>34</v>
      </c>
      <c r="G855" s="18" t="s">
        <v>48</v>
      </c>
      <c r="H855" s="64">
        <f>LEN(TRIM(Table22[[#This Row],[Country]]))</f>
        <v>6</v>
      </c>
      <c r="I855" s="64">
        <f>LEN(TRIM(Table22[[#This Row],[Continent]]))</f>
        <v>6</v>
      </c>
      <c r="J855" s="64">
        <f>LEN(TRIM(Table22[[#This Row],[Product]]))</f>
        <v>10</v>
      </c>
      <c r="K855" s="64">
        <f>LEN(TRIM(Table22[[#This Row],[Sales Team]]))</f>
        <v>9</v>
      </c>
      <c r="L855" s="23">
        <v>44</v>
      </c>
      <c r="M855" s="65" t="str" cm="1">
        <f t="array" ref="M855">_xlfn.IFS(Table22[[#This Row],[Units Sold]]&lt;40,"Critical",Table22[[#This Row],[Units Sold]]&lt;=50,"Poor",Table22[[#This Row],[Units Sold]]&lt;=60,"Low",Table22[[#This Row],[Units Sold]]&lt;=80,"Average",Table22[[#This Row],[Units Sold]]&lt;=90,"High",Table22[[#This Row],[Units Sold]]&lt;=95,"Excellent",Table22[[#This Row],[Units Sold]]&gt;95,"Outstanding")</f>
        <v>Poor</v>
      </c>
      <c r="N855" s="29">
        <v>841.77</v>
      </c>
      <c r="O855" s="29">
        <v>37037.879999999997</v>
      </c>
      <c r="P855" s="43">
        <f>IF(Table22[[#This Row],[Discount Applied]],Table22[[#This Row],[Total Sales (in USD)]]*(1-Table22[[#This Row],[Discount Percentage (%)]]/100),Table22[[#This Row],[Total Sales (in USD)]])</f>
        <v>27000.614519999999</v>
      </c>
      <c r="Q855" s="66">
        <f>SQRT(AVERAGE((Table22[[#This Row],[Net Sales (after discount) (in USD)]]-AVERAGE(Table22[Net Sales (after discount) (in USD)]))^2))</f>
        <v>9510.7460437645386</v>
      </c>
      <c r="R855" s="18" t="b">
        <v>1</v>
      </c>
      <c r="S855" s="40">
        <v>27.1</v>
      </c>
      <c r="T855" s="18" t="b">
        <v>1</v>
      </c>
      <c r="U855" s="25">
        <v>45457</v>
      </c>
      <c r="V855" s="63" t="str">
        <f>IF(MONTH(Table22[[#This Row],[Sales Date]])&lt;=3,"Q1",IF(MONTH(Table22[[#This Row],[Sales Date]])&lt;=6,"Q2",IF(MONTH(Table22[[#This Row],[Sales Date]])&lt;=9,"Q3","Q4")))</f>
        <v>Q2</v>
      </c>
      <c r="W855" s="64">
        <f>YEAR(Table22[[#This Row],[Sales Date]])</f>
        <v>2024</v>
      </c>
      <c r="X855" s="23">
        <v>45</v>
      </c>
      <c r="Y855" s="18" t="s">
        <v>41</v>
      </c>
      <c r="Z855" s="18" t="s">
        <v>42</v>
      </c>
      <c r="AA855" s="19" t="s">
        <v>36</v>
      </c>
    </row>
    <row r="856" spans="1:27" x14ac:dyDescent="0.25">
      <c r="A856" s="17" t="s">
        <v>907</v>
      </c>
      <c r="B856" s="18" t="s">
        <v>72</v>
      </c>
      <c r="C856" s="63" t="str" cm="1">
        <f t="array" ref="C856">_xlfn.SWITCH(Table22[[#This Row],[Country]],"USA","North America","Canada","North America","Brazil","South America","China","Asia","Japan","Asia","India","Asia","France","Europe","Germany","Europe","UK","Europe","Australia","Oceania","South America")</f>
        <v>North America</v>
      </c>
      <c r="D856" s="18" t="s">
        <v>35</v>
      </c>
      <c r="E856" s="18" t="s">
        <v>19</v>
      </c>
      <c r="F856" s="18" t="s">
        <v>20</v>
      </c>
      <c r="G856" s="18" t="s">
        <v>22</v>
      </c>
      <c r="H856" s="64">
        <f>LEN(TRIM(Table22[[#This Row],[Country]]))</f>
        <v>3</v>
      </c>
      <c r="I856" s="64">
        <f>LEN(TRIM(Table22[[#This Row],[Continent]]))</f>
        <v>13</v>
      </c>
      <c r="J856" s="64">
        <f>LEN(TRIM(Table22[[#This Row],[Product]]))</f>
        <v>6</v>
      </c>
      <c r="K856" s="64">
        <f>LEN(TRIM(Table22[[#This Row],[Sales Team]]))</f>
        <v>10</v>
      </c>
      <c r="L856" s="23">
        <v>44</v>
      </c>
      <c r="M856" s="65" t="str" cm="1">
        <f t="array" ref="M856">_xlfn.IFS(Table22[[#This Row],[Units Sold]]&lt;40,"Critical",Table22[[#This Row],[Units Sold]]&lt;=50,"Poor",Table22[[#This Row],[Units Sold]]&lt;=60,"Low",Table22[[#This Row],[Units Sold]]&lt;=80,"Average",Table22[[#This Row],[Units Sold]]&lt;=90,"High",Table22[[#This Row],[Units Sold]]&lt;=95,"Excellent",Table22[[#This Row],[Units Sold]]&gt;95,"Outstanding")</f>
        <v>Poor</v>
      </c>
      <c r="N856" s="29">
        <v>841.56</v>
      </c>
      <c r="O856" s="29">
        <v>37028.639999999999</v>
      </c>
      <c r="P856" s="43">
        <f>IF(Table22[[#This Row],[Discount Applied]],Table22[[#This Row],[Total Sales (in USD)]]*(1-Table22[[#This Row],[Discount Percentage (%)]]/100),Table22[[#This Row],[Total Sales (in USD)]])</f>
        <v>37028.639999999999</v>
      </c>
      <c r="Q856" s="66">
        <f>SQRT(AVERAGE((Table22[[#This Row],[Net Sales (after discount) (in USD)]]-AVERAGE(Table22[Net Sales (after discount) (in USD)]))^2))</f>
        <v>517.27943623546162</v>
      </c>
      <c r="R856" s="18" t="b">
        <v>0</v>
      </c>
      <c r="S856" s="40">
        <v>8.5500000000000007</v>
      </c>
      <c r="T856" s="18" t="b">
        <v>0</v>
      </c>
      <c r="U856" s="25">
        <v>45130</v>
      </c>
      <c r="V856" s="63" t="str">
        <f>IF(MONTH(Table22[[#This Row],[Sales Date]])&lt;=3,"Q1",IF(MONTH(Table22[[#This Row],[Sales Date]])&lt;=6,"Q2",IF(MONTH(Table22[[#This Row],[Sales Date]])&lt;=9,"Q3","Q4")))</f>
        <v>Q3</v>
      </c>
      <c r="W856" s="64">
        <f>YEAR(Table22[[#This Row],[Sales Date]])</f>
        <v>2023</v>
      </c>
      <c r="X856" s="23">
        <v>60</v>
      </c>
      <c r="Y856" s="18" t="s">
        <v>49</v>
      </c>
      <c r="Z856" s="18" t="s">
        <v>30</v>
      </c>
      <c r="AA856" s="19" t="s">
        <v>25</v>
      </c>
    </row>
    <row r="857" spans="1:27" x14ac:dyDescent="0.25">
      <c r="A857" s="17" t="s">
        <v>317</v>
      </c>
      <c r="B857" s="18" t="s">
        <v>27</v>
      </c>
      <c r="C857" s="63" t="str" cm="1">
        <f t="array" ref="C857">_xlfn.SWITCH(Table22[[#This Row],[Country]],"USA","North America","Canada","North America","Brazil","South America","China","Asia","Japan","Asia","India","Asia","France","Europe","Germany","Europe","UK","Europe","Australia","Oceania","South America")</f>
        <v>Europe</v>
      </c>
      <c r="D857" s="18" t="s">
        <v>28</v>
      </c>
      <c r="E857" s="18" t="s">
        <v>39</v>
      </c>
      <c r="F857" s="18" t="s">
        <v>34</v>
      </c>
      <c r="G857" s="18" t="s">
        <v>22</v>
      </c>
      <c r="H857" s="64">
        <f>LEN(TRIM(Table22[[#This Row],[Country]]))</f>
        <v>7</v>
      </c>
      <c r="I857" s="64">
        <f>LEN(TRIM(Table22[[#This Row],[Continent]]))</f>
        <v>6</v>
      </c>
      <c r="J857" s="64">
        <f>LEN(TRIM(Table22[[#This Row],[Product]]))</f>
        <v>10</v>
      </c>
      <c r="K857" s="64">
        <f>LEN(TRIM(Table22[[#This Row],[Sales Team]]))</f>
        <v>10</v>
      </c>
      <c r="L857" s="23">
        <v>33</v>
      </c>
      <c r="M857" s="65" t="str" cm="1">
        <f t="array" ref="M857">_xlfn.IFS(Table22[[#This Row],[Units Sold]]&lt;40,"Critical",Table22[[#This Row],[Units Sold]]&lt;=50,"Poor",Table22[[#This Row],[Units Sold]]&lt;=60,"Low",Table22[[#This Row],[Units Sold]]&lt;=80,"Average",Table22[[#This Row],[Units Sold]]&lt;=90,"High",Table22[[#This Row],[Units Sold]]&lt;=95,"Excellent",Table22[[#This Row],[Units Sold]]&gt;95,"Outstanding")</f>
        <v>Critical</v>
      </c>
      <c r="N857" s="29">
        <v>1121.26</v>
      </c>
      <c r="O857" s="29">
        <v>37001.58</v>
      </c>
      <c r="P857" s="43">
        <f>IF(Table22[[#This Row],[Discount Applied]],Table22[[#This Row],[Total Sales (in USD)]]*(1-Table22[[#This Row],[Discount Percentage (%)]]/100),Table22[[#This Row],[Total Sales (in USD)]])</f>
        <v>37001.58</v>
      </c>
      <c r="Q857" s="66">
        <f>SQRT(AVERAGE((Table22[[#This Row],[Net Sales (after discount) (in USD)]]-AVERAGE(Table22[Net Sales (after discount) (in USD)]))^2))</f>
        <v>490.21943623546395</v>
      </c>
      <c r="R857" s="18" t="b">
        <v>1</v>
      </c>
      <c r="S857" s="40">
        <v>0.51</v>
      </c>
      <c r="T857" s="18" t="b">
        <v>0</v>
      </c>
      <c r="U857" s="25">
        <v>45437</v>
      </c>
      <c r="V857" s="63" t="str">
        <f>IF(MONTH(Table22[[#This Row],[Sales Date]])&lt;=3,"Q1",IF(MONTH(Table22[[#This Row],[Sales Date]])&lt;=6,"Q2",IF(MONTH(Table22[[#This Row],[Sales Date]])&lt;=9,"Q3","Q4")))</f>
        <v>Q2</v>
      </c>
      <c r="W857" s="64">
        <f>YEAR(Table22[[#This Row],[Sales Date]])</f>
        <v>2024</v>
      </c>
      <c r="X857" s="23">
        <v>41</v>
      </c>
      <c r="Y857" s="18" t="s">
        <v>49</v>
      </c>
      <c r="Z857" s="18" t="s">
        <v>56</v>
      </c>
      <c r="AA857" s="19" t="s">
        <v>36</v>
      </c>
    </row>
    <row r="858" spans="1:27" x14ac:dyDescent="0.25">
      <c r="A858" s="17" t="s">
        <v>80</v>
      </c>
      <c r="B858" s="18" t="s">
        <v>18</v>
      </c>
      <c r="C858" s="63" t="str" cm="1">
        <f t="array" ref="C858">_xlfn.SWITCH(Table22[[#This Row],[Country]],"USA","North America","Canada","North America","Brazil","South America","China","Asia","Japan","Asia","India","Asia","France","Europe","Germany","Europe","UK","Europe","Australia","Oceania","South America")</f>
        <v>Asia</v>
      </c>
      <c r="D858" s="18" t="s">
        <v>28</v>
      </c>
      <c r="E858" s="18" t="s">
        <v>33</v>
      </c>
      <c r="F858" s="18" t="s">
        <v>34</v>
      </c>
      <c r="G858" s="18" t="s">
        <v>40</v>
      </c>
      <c r="H858" s="64">
        <f>LEN(TRIM(Table22[[#This Row],[Country]]))</f>
        <v>5</v>
      </c>
      <c r="I858" s="64">
        <f>LEN(TRIM(Table22[[#This Row],[Continent]]))</f>
        <v>4</v>
      </c>
      <c r="J858" s="64">
        <f>LEN(TRIM(Table22[[#This Row],[Product]]))</f>
        <v>10</v>
      </c>
      <c r="K858" s="64">
        <f>LEN(TRIM(Table22[[#This Row],[Sales Team]]))</f>
        <v>10</v>
      </c>
      <c r="L858" s="23">
        <v>97</v>
      </c>
      <c r="M858" s="65" t="str" cm="1">
        <f t="array" ref="M858">_xlfn.IFS(Table22[[#This Row],[Units Sold]]&lt;40,"Critical",Table22[[#This Row],[Units Sold]]&lt;=50,"Poor",Table22[[#This Row],[Units Sold]]&lt;=60,"Low",Table22[[#This Row],[Units Sold]]&lt;=80,"Average",Table22[[#This Row],[Units Sold]]&lt;=90,"High",Table22[[#This Row],[Units Sold]]&lt;=95,"Excellent",Table22[[#This Row],[Units Sold]]&gt;95,"Outstanding")</f>
        <v>Outstanding</v>
      </c>
      <c r="N858" s="29">
        <v>381.28</v>
      </c>
      <c r="O858" s="29">
        <v>36984.160000000003</v>
      </c>
      <c r="P858" s="43">
        <f>IF(Table22[[#This Row],[Discount Applied]],Table22[[#This Row],[Total Sales (in USD)]]*(1-Table22[[#This Row],[Discount Percentage (%)]]/100),Table22[[#This Row],[Total Sales (in USD)]])</f>
        <v>35227.412400000001</v>
      </c>
      <c r="Q858" s="66">
        <f>SQRT(AVERAGE((Table22[[#This Row],[Net Sales (after discount) (in USD)]]-AVERAGE(Table22[Net Sales (after discount) (in USD)]))^2))</f>
        <v>1283.9481637645367</v>
      </c>
      <c r="R858" s="18" t="b">
        <v>1</v>
      </c>
      <c r="S858" s="40">
        <v>4.75</v>
      </c>
      <c r="T858" s="18" t="b">
        <v>1</v>
      </c>
      <c r="U858" s="25">
        <v>44958</v>
      </c>
      <c r="V858" s="63" t="str">
        <f>IF(MONTH(Table22[[#This Row],[Sales Date]])&lt;=3,"Q1",IF(MONTH(Table22[[#This Row],[Sales Date]])&lt;=6,"Q2",IF(MONTH(Table22[[#This Row],[Sales Date]])&lt;=9,"Q3","Q4")))</f>
        <v>Q1</v>
      </c>
      <c r="W858" s="64">
        <f>YEAR(Table22[[#This Row],[Sales Date]])</f>
        <v>2023</v>
      </c>
      <c r="X858" s="23">
        <v>48</v>
      </c>
      <c r="Y858" s="18" t="s">
        <v>23</v>
      </c>
      <c r="Z858" s="18" t="s">
        <v>24</v>
      </c>
      <c r="AA858" s="19" t="s">
        <v>25</v>
      </c>
    </row>
    <row r="859" spans="1:27" x14ac:dyDescent="0.25">
      <c r="A859" s="17" t="s">
        <v>1071</v>
      </c>
      <c r="B859" s="18" t="s">
        <v>38</v>
      </c>
      <c r="C859" s="63" t="str" cm="1">
        <f t="array" ref="C859">_xlfn.SWITCH(Table22[[#This Row],[Country]],"USA","North America","Canada","North America","Brazil","South America","China","Asia","Japan","Asia","India","Asia","France","Europe","Germany","Europe","UK","Europe","Australia","Oceania","South America")</f>
        <v>Europe</v>
      </c>
      <c r="D859" s="18" t="s">
        <v>28</v>
      </c>
      <c r="E859" s="18" t="s">
        <v>33</v>
      </c>
      <c r="F859" s="18" t="s">
        <v>34</v>
      </c>
      <c r="G859" s="18" t="s">
        <v>29</v>
      </c>
      <c r="H859" s="64">
        <f>LEN(TRIM(Table22[[#This Row],[Country]]))</f>
        <v>6</v>
      </c>
      <c r="I859" s="64">
        <f>LEN(TRIM(Table22[[#This Row],[Continent]]))</f>
        <v>6</v>
      </c>
      <c r="J859" s="64">
        <f>LEN(TRIM(Table22[[#This Row],[Product]]))</f>
        <v>10</v>
      </c>
      <c r="K859" s="64">
        <f>LEN(TRIM(Table22[[#This Row],[Sales Team]]))</f>
        <v>10</v>
      </c>
      <c r="L859" s="23">
        <v>78</v>
      </c>
      <c r="M859" s="65" t="str" cm="1">
        <f t="array" ref="M859">_xlfn.IFS(Table22[[#This Row],[Units Sold]]&lt;40,"Critical",Table22[[#This Row],[Units Sold]]&lt;=50,"Poor",Table22[[#This Row],[Units Sold]]&lt;=60,"Low",Table22[[#This Row],[Units Sold]]&lt;=80,"Average",Table22[[#This Row],[Units Sold]]&lt;=90,"High",Table22[[#This Row],[Units Sold]]&lt;=95,"Excellent",Table22[[#This Row],[Units Sold]]&gt;95,"Outstanding")</f>
        <v>Average</v>
      </c>
      <c r="N859" s="29">
        <v>474.04</v>
      </c>
      <c r="O859" s="29">
        <v>36975.120000000003</v>
      </c>
      <c r="P859" s="43">
        <f>IF(Table22[[#This Row],[Discount Applied]],Table22[[#This Row],[Total Sales (in USD)]]*(1-Table22[[#This Row],[Discount Percentage (%)]]/100),Table22[[#This Row],[Total Sales (in USD)]])</f>
        <v>36975.120000000003</v>
      </c>
      <c r="Q859" s="66">
        <f>SQRT(AVERAGE((Table22[[#This Row],[Net Sales (after discount) (in USD)]]-AVERAGE(Table22[Net Sales (after discount) (in USD)]))^2))</f>
        <v>463.75943623546482</v>
      </c>
      <c r="R859" s="18" t="b">
        <v>1</v>
      </c>
      <c r="S859" s="40">
        <v>2.5299999999999998</v>
      </c>
      <c r="T859" s="18" t="b">
        <v>0</v>
      </c>
      <c r="U859" s="25">
        <v>44963</v>
      </c>
      <c r="V859" s="63" t="str">
        <f>IF(MONTH(Table22[[#This Row],[Sales Date]])&lt;=3,"Q1",IF(MONTH(Table22[[#This Row],[Sales Date]])&lt;=6,"Q2",IF(MONTH(Table22[[#This Row],[Sales Date]])&lt;=9,"Q3","Q4")))</f>
        <v>Q1</v>
      </c>
      <c r="W859" s="64">
        <f>YEAR(Table22[[#This Row],[Sales Date]])</f>
        <v>2023</v>
      </c>
      <c r="X859" s="23">
        <v>47</v>
      </c>
      <c r="Y859" s="18" t="s">
        <v>49</v>
      </c>
      <c r="Z859" s="18" t="s">
        <v>56</v>
      </c>
      <c r="AA859" s="19" t="s">
        <v>36</v>
      </c>
    </row>
    <row r="860" spans="1:27" x14ac:dyDescent="0.25">
      <c r="A860" s="17" t="s">
        <v>394</v>
      </c>
      <c r="B860" s="18" t="s">
        <v>27</v>
      </c>
      <c r="C860" s="63" t="str" cm="1">
        <f t="array" ref="C860">_xlfn.SWITCH(Table22[[#This Row],[Country]],"USA","North America","Canada","North America","Brazil","South America","China","Asia","Japan","Asia","India","Asia","France","Europe","Germany","Europe","UK","Europe","Australia","Oceania","South America")</f>
        <v>Europe</v>
      </c>
      <c r="D860" s="18" t="s">
        <v>44</v>
      </c>
      <c r="E860" s="18" t="s">
        <v>33</v>
      </c>
      <c r="F860" s="18" t="s">
        <v>52</v>
      </c>
      <c r="G860" s="18" t="s">
        <v>29</v>
      </c>
      <c r="H860" s="64">
        <f>LEN(TRIM(Table22[[#This Row],[Country]]))</f>
        <v>7</v>
      </c>
      <c r="I860" s="64">
        <f>LEN(TRIM(Table22[[#This Row],[Continent]]))</f>
        <v>6</v>
      </c>
      <c r="J860" s="64">
        <f>LEN(TRIM(Table22[[#This Row],[Product]]))</f>
        <v>10</v>
      </c>
      <c r="K860" s="64">
        <f>LEN(TRIM(Table22[[#This Row],[Sales Team]]))</f>
        <v>10</v>
      </c>
      <c r="L860" s="23">
        <v>42</v>
      </c>
      <c r="M860" s="65" t="str" cm="1">
        <f t="array" ref="M860">_xlfn.IFS(Table22[[#This Row],[Units Sold]]&lt;40,"Critical",Table22[[#This Row],[Units Sold]]&lt;=50,"Poor",Table22[[#This Row],[Units Sold]]&lt;=60,"Low",Table22[[#This Row],[Units Sold]]&lt;=80,"Average",Table22[[#This Row],[Units Sold]]&lt;=90,"High",Table22[[#This Row],[Units Sold]]&lt;=95,"Excellent",Table22[[#This Row],[Units Sold]]&gt;95,"Outstanding")</f>
        <v>Poor</v>
      </c>
      <c r="N860" s="29">
        <v>879.48</v>
      </c>
      <c r="O860" s="29">
        <v>36938.160000000003</v>
      </c>
      <c r="P860" s="43">
        <f>IF(Table22[[#This Row],[Discount Applied]],Table22[[#This Row],[Total Sales (in USD)]]*(1-Table22[[#This Row],[Discount Percentage (%)]]/100),Table22[[#This Row],[Total Sales (in USD)]])</f>
        <v>36938.160000000003</v>
      </c>
      <c r="Q860" s="66">
        <f>SQRT(AVERAGE((Table22[[#This Row],[Net Sales (after discount) (in USD)]]-AVERAGE(Table22[Net Sales (after discount) (in USD)]))^2))</f>
        <v>426.79943623546569</v>
      </c>
      <c r="R860" s="18" t="b">
        <v>1</v>
      </c>
      <c r="S860" s="40">
        <v>5.32</v>
      </c>
      <c r="T860" s="18" t="b">
        <v>0</v>
      </c>
      <c r="U860" s="25">
        <v>45134</v>
      </c>
      <c r="V860" s="63" t="str">
        <f>IF(MONTH(Table22[[#This Row],[Sales Date]])&lt;=3,"Q1",IF(MONTH(Table22[[#This Row],[Sales Date]])&lt;=6,"Q2",IF(MONTH(Table22[[#This Row],[Sales Date]])&lt;=9,"Q3","Q4")))</f>
        <v>Q3</v>
      </c>
      <c r="W860" s="64">
        <f>YEAR(Table22[[#This Row],[Sales Date]])</f>
        <v>2023</v>
      </c>
      <c r="X860" s="23">
        <v>44</v>
      </c>
      <c r="Y860" s="18" t="s">
        <v>49</v>
      </c>
      <c r="Z860" s="18" t="s">
        <v>56</v>
      </c>
      <c r="AA860" s="19" t="s">
        <v>25</v>
      </c>
    </row>
    <row r="861" spans="1:27" x14ac:dyDescent="0.25">
      <c r="A861" s="17" t="s">
        <v>1327</v>
      </c>
      <c r="B861" s="18" t="s">
        <v>72</v>
      </c>
      <c r="C861" s="63" t="str" cm="1">
        <f t="array" ref="C861">_xlfn.SWITCH(Table22[[#This Row],[Country]],"USA","North America","Canada","North America","Brazil","South America","China","Asia","Japan","Asia","India","Asia","France","Europe","Germany","Europe","UK","Europe","Australia","Oceania","South America")</f>
        <v>North America</v>
      </c>
      <c r="D861" s="18" t="s">
        <v>35</v>
      </c>
      <c r="E861" s="18" t="s">
        <v>33</v>
      </c>
      <c r="F861" s="18" t="s">
        <v>52</v>
      </c>
      <c r="G861" s="18" t="s">
        <v>40</v>
      </c>
      <c r="H861" s="64">
        <f>LEN(TRIM(Table22[[#This Row],[Country]]))</f>
        <v>3</v>
      </c>
      <c r="I861" s="64">
        <f>LEN(TRIM(Table22[[#This Row],[Continent]]))</f>
        <v>13</v>
      </c>
      <c r="J861" s="64">
        <f>LEN(TRIM(Table22[[#This Row],[Product]]))</f>
        <v>10</v>
      </c>
      <c r="K861" s="64">
        <f>LEN(TRIM(Table22[[#This Row],[Sales Team]]))</f>
        <v>10</v>
      </c>
      <c r="L861" s="23">
        <v>40</v>
      </c>
      <c r="M861" s="65" t="str" cm="1">
        <f t="array" ref="M861">_xlfn.IFS(Table22[[#This Row],[Units Sold]]&lt;40,"Critical",Table22[[#This Row],[Units Sold]]&lt;=50,"Poor",Table22[[#This Row],[Units Sold]]&lt;=60,"Low",Table22[[#This Row],[Units Sold]]&lt;=80,"Average",Table22[[#This Row],[Units Sold]]&lt;=90,"High",Table22[[#This Row],[Units Sold]]&lt;=95,"Excellent",Table22[[#This Row],[Units Sold]]&gt;95,"Outstanding")</f>
        <v>Poor</v>
      </c>
      <c r="N861" s="29">
        <v>922.05</v>
      </c>
      <c r="O861" s="29">
        <v>36882</v>
      </c>
      <c r="P861" s="43">
        <f>IF(Table22[[#This Row],[Discount Applied]],Table22[[#This Row],[Total Sales (in USD)]]*(1-Table22[[#This Row],[Discount Percentage (%)]]/100),Table22[[#This Row],[Total Sales (in USD)]])</f>
        <v>36882</v>
      </c>
      <c r="Q861" s="66">
        <f>SQRT(AVERAGE((Table22[[#This Row],[Net Sales (after discount) (in USD)]]-AVERAGE(Table22[Net Sales (after discount) (in USD)]))^2))</f>
        <v>370.6394362354622</v>
      </c>
      <c r="R861" s="18" t="b">
        <v>0</v>
      </c>
      <c r="S861" s="40">
        <v>7.34</v>
      </c>
      <c r="T861" s="18" t="b">
        <v>0</v>
      </c>
      <c r="U861" s="25">
        <v>45575</v>
      </c>
      <c r="V861" s="63" t="str">
        <f>IF(MONTH(Table22[[#This Row],[Sales Date]])&lt;=3,"Q1",IF(MONTH(Table22[[#This Row],[Sales Date]])&lt;=6,"Q2",IF(MONTH(Table22[[#This Row],[Sales Date]])&lt;=9,"Q3","Q4")))</f>
        <v>Q4</v>
      </c>
      <c r="W861" s="64">
        <f>YEAR(Table22[[#This Row],[Sales Date]])</f>
        <v>2024</v>
      </c>
      <c r="X861" s="23">
        <v>57</v>
      </c>
      <c r="Y861" s="18" t="s">
        <v>41</v>
      </c>
      <c r="Z861" s="18" t="s">
        <v>30</v>
      </c>
      <c r="AA861" s="19" t="s">
        <v>25</v>
      </c>
    </row>
    <row r="862" spans="1:27" x14ac:dyDescent="0.25">
      <c r="A862" s="17" t="s">
        <v>1215</v>
      </c>
      <c r="B862" s="18" t="s">
        <v>51</v>
      </c>
      <c r="C862" s="63" t="str" cm="1">
        <f t="array" ref="C862">_xlfn.SWITCH(Table22[[#This Row],[Country]],"USA","North America","Canada","North America","Brazil","South America","China","Asia","Japan","Asia","India","Asia","France","Europe","Germany","Europe","UK","Europe","Australia","Oceania","South America")</f>
        <v>Europe</v>
      </c>
      <c r="D862" s="18" t="s">
        <v>28</v>
      </c>
      <c r="E862" s="18" t="s">
        <v>19</v>
      </c>
      <c r="F862" s="18" t="s">
        <v>34</v>
      </c>
      <c r="G862" s="18" t="s">
        <v>48</v>
      </c>
      <c r="H862" s="64">
        <f>LEN(TRIM(Table22[[#This Row],[Country]]))</f>
        <v>2</v>
      </c>
      <c r="I862" s="64">
        <f>LEN(TRIM(Table22[[#This Row],[Continent]]))</f>
        <v>6</v>
      </c>
      <c r="J862" s="64">
        <f>LEN(TRIM(Table22[[#This Row],[Product]]))</f>
        <v>6</v>
      </c>
      <c r="K862" s="64">
        <f>LEN(TRIM(Table22[[#This Row],[Sales Team]]))</f>
        <v>9</v>
      </c>
      <c r="L862" s="23">
        <v>32</v>
      </c>
      <c r="M862" s="65" t="str" cm="1">
        <f t="array" ref="M862">_xlfn.IFS(Table22[[#This Row],[Units Sold]]&lt;40,"Critical",Table22[[#This Row],[Units Sold]]&lt;=50,"Poor",Table22[[#This Row],[Units Sold]]&lt;=60,"Low",Table22[[#This Row],[Units Sold]]&lt;=80,"Average",Table22[[#This Row],[Units Sold]]&lt;=90,"High",Table22[[#This Row],[Units Sold]]&lt;=95,"Excellent",Table22[[#This Row],[Units Sold]]&gt;95,"Outstanding")</f>
        <v>Critical</v>
      </c>
      <c r="N862" s="29">
        <v>1151.5999999999999</v>
      </c>
      <c r="O862" s="29">
        <v>36851.199999999997</v>
      </c>
      <c r="P862" s="43">
        <f>IF(Table22[[#This Row],[Discount Applied]],Table22[[#This Row],[Total Sales (in USD)]]*(1-Table22[[#This Row],[Discount Percentage (%)]]/100),Table22[[#This Row],[Total Sales (in USD)]])</f>
        <v>30280.631039999997</v>
      </c>
      <c r="Q862" s="66">
        <f>SQRT(AVERAGE((Table22[[#This Row],[Net Sales (after discount) (in USD)]]-AVERAGE(Table22[Net Sales (after discount) (in USD)]))^2))</f>
        <v>6230.7295237645412</v>
      </c>
      <c r="R862" s="18" t="b">
        <v>0</v>
      </c>
      <c r="S862" s="40">
        <v>17.829999999999998</v>
      </c>
      <c r="T862" s="18" t="b">
        <v>1</v>
      </c>
      <c r="U862" s="25">
        <v>45315</v>
      </c>
      <c r="V862" s="63" t="str">
        <f>IF(MONTH(Table22[[#This Row],[Sales Date]])&lt;=3,"Q1",IF(MONTH(Table22[[#This Row],[Sales Date]])&lt;=6,"Q2",IF(MONTH(Table22[[#This Row],[Sales Date]])&lt;=9,"Q3","Q4")))</f>
        <v>Q1</v>
      </c>
      <c r="W862" s="64">
        <f>YEAR(Table22[[#This Row],[Sales Date]])</f>
        <v>2024</v>
      </c>
      <c r="X862" s="23">
        <v>34</v>
      </c>
      <c r="Y862" s="18" t="s">
        <v>49</v>
      </c>
      <c r="Z862" s="18" t="s">
        <v>42</v>
      </c>
      <c r="AA862" s="19" t="s">
        <v>36</v>
      </c>
    </row>
    <row r="863" spans="1:27" x14ac:dyDescent="0.25">
      <c r="A863" s="17" t="s">
        <v>1036</v>
      </c>
      <c r="B863" s="18" t="s">
        <v>27</v>
      </c>
      <c r="C863" s="63" t="str" cm="1">
        <f t="array" ref="C863">_xlfn.SWITCH(Table22[[#This Row],[Country]],"USA","North America","Canada","North America","Brazil","South America","China","Asia","Japan","Asia","India","Asia","France","Europe","Germany","Europe","UK","Europe","Australia","Oceania","South America")</f>
        <v>Europe</v>
      </c>
      <c r="D863" s="18" t="s">
        <v>35</v>
      </c>
      <c r="E863" s="18" t="s">
        <v>33</v>
      </c>
      <c r="F863" s="18" t="s">
        <v>64</v>
      </c>
      <c r="G863" s="18" t="s">
        <v>40</v>
      </c>
      <c r="H863" s="64">
        <f>LEN(TRIM(Table22[[#This Row],[Country]]))</f>
        <v>7</v>
      </c>
      <c r="I863" s="64">
        <f>LEN(TRIM(Table22[[#This Row],[Continent]]))</f>
        <v>6</v>
      </c>
      <c r="J863" s="64">
        <f>LEN(TRIM(Table22[[#This Row],[Product]]))</f>
        <v>10</v>
      </c>
      <c r="K863" s="64">
        <f>LEN(TRIM(Table22[[#This Row],[Sales Team]]))</f>
        <v>10</v>
      </c>
      <c r="L863" s="23">
        <v>68</v>
      </c>
      <c r="M863" s="65" t="str" cm="1">
        <f t="array" ref="M863">_xlfn.IFS(Table22[[#This Row],[Units Sold]]&lt;40,"Critical",Table22[[#This Row],[Units Sold]]&lt;=50,"Poor",Table22[[#This Row],[Units Sold]]&lt;=60,"Low",Table22[[#This Row],[Units Sold]]&lt;=80,"Average",Table22[[#This Row],[Units Sold]]&lt;=90,"High",Table22[[#This Row],[Units Sold]]&lt;=95,"Excellent",Table22[[#This Row],[Units Sold]]&gt;95,"Outstanding")</f>
        <v>Average</v>
      </c>
      <c r="N863" s="29">
        <v>541.54</v>
      </c>
      <c r="O863" s="29">
        <v>36824.720000000001</v>
      </c>
      <c r="P863" s="43">
        <f>IF(Table22[[#This Row],[Discount Applied]],Table22[[#This Row],[Total Sales (in USD)]]*(1-Table22[[#This Row],[Discount Percentage (%)]]/100),Table22[[#This Row],[Total Sales (in USD)]])</f>
        <v>36824.720000000001</v>
      </c>
      <c r="Q863" s="66">
        <f>SQRT(AVERAGE((Table22[[#This Row],[Net Sales (after discount) (in USD)]]-AVERAGE(Table22[Net Sales (after discount) (in USD)]))^2))</f>
        <v>313.35943623546336</v>
      </c>
      <c r="R863" s="18" t="b">
        <v>1</v>
      </c>
      <c r="S863" s="40">
        <v>1.1299999999999999</v>
      </c>
      <c r="T863" s="18" t="b">
        <v>0</v>
      </c>
      <c r="U863" s="25">
        <v>44978</v>
      </c>
      <c r="V863" s="63" t="str">
        <f>IF(MONTH(Table22[[#This Row],[Sales Date]])&lt;=3,"Q1",IF(MONTH(Table22[[#This Row],[Sales Date]])&lt;=6,"Q2",IF(MONTH(Table22[[#This Row],[Sales Date]])&lt;=9,"Q3","Q4")))</f>
        <v>Q1</v>
      </c>
      <c r="W863" s="64">
        <f>YEAR(Table22[[#This Row],[Sales Date]])</f>
        <v>2023</v>
      </c>
      <c r="X863" s="23">
        <v>19</v>
      </c>
      <c r="Y863" s="18" t="s">
        <v>23</v>
      </c>
      <c r="Z863" s="18" t="s">
        <v>42</v>
      </c>
      <c r="AA863" s="19" t="s">
        <v>25</v>
      </c>
    </row>
    <row r="864" spans="1:27" x14ac:dyDescent="0.25">
      <c r="A864" s="17" t="s">
        <v>1593</v>
      </c>
      <c r="B864" s="18" t="s">
        <v>32</v>
      </c>
      <c r="C864" s="63" t="str" cm="1">
        <f t="array" ref="C864">_xlfn.SWITCH(Table22[[#This Row],[Country]],"USA","North America","Canada","North America","Brazil","South America","China","Asia","Japan","Asia","India","Asia","France","Europe","Germany","Europe","UK","Europe","Australia","Oceania","South America")</f>
        <v>Asia</v>
      </c>
      <c r="D864" s="18" t="s">
        <v>21</v>
      </c>
      <c r="E864" s="18" t="s">
        <v>39</v>
      </c>
      <c r="F864" s="18" t="s">
        <v>34</v>
      </c>
      <c r="G864" s="18" t="s">
        <v>29</v>
      </c>
      <c r="H864" s="64">
        <f>LEN(TRIM(Table22[[#This Row],[Country]]))</f>
        <v>5</v>
      </c>
      <c r="I864" s="64">
        <f>LEN(TRIM(Table22[[#This Row],[Continent]]))</f>
        <v>4</v>
      </c>
      <c r="J864" s="64">
        <f>LEN(TRIM(Table22[[#This Row],[Product]]))</f>
        <v>10</v>
      </c>
      <c r="K864" s="64">
        <f>LEN(TRIM(Table22[[#This Row],[Sales Team]]))</f>
        <v>10</v>
      </c>
      <c r="L864" s="23">
        <v>33</v>
      </c>
      <c r="M864" s="65" t="str" cm="1">
        <f t="array" ref="M864">_xlfn.IFS(Table22[[#This Row],[Units Sold]]&lt;40,"Critical",Table22[[#This Row],[Units Sold]]&lt;=50,"Poor",Table22[[#This Row],[Units Sold]]&lt;=60,"Low",Table22[[#This Row],[Units Sold]]&lt;=80,"Average",Table22[[#This Row],[Units Sold]]&lt;=90,"High",Table22[[#This Row],[Units Sold]]&lt;=95,"Excellent",Table22[[#This Row],[Units Sold]]&gt;95,"Outstanding")</f>
        <v>Critical</v>
      </c>
      <c r="N864" s="29">
        <v>1115.78</v>
      </c>
      <c r="O864" s="29">
        <v>36820.74</v>
      </c>
      <c r="P864" s="43">
        <f>IF(Table22[[#This Row],[Discount Applied]],Table22[[#This Row],[Total Sales (in USD)]]*(1-Table22[[#This Row],[Discount Percentage (%)]]/100),Table22[[#This Row],[Total Sales (in USD)]])</f>
        <v>26971.192049999994</v>
      </c>
      <c r="Q864" s="66">
        <f>SQRT(AVERAGE((Table22[[#This Row],[Net Sales (after discount) (in USD)]]-AVERAGE(Table22[Net Sales (after discount) (in USD)]))^2))</f>
        <v>9540.1685137645436</v>
      </c>
      <c r="R864" s="18" t="b">
        <v>1</v>
      </c>
      <c r="S864" s="40">
        <v>26.75</v>
      </c>
      <c r="T864" s="18" t="b">
        <v>1</v>
      </c>
      <c r="U864" s="25">
        <v>45570</v>
      </c>
      <c r="V864" s="63" t="str">
        <f>IF(MONTH(Table22[[#This Row],[Sales Date]])&lt;=3,"Q1",IF(MONTH(Table22[[#This Row],[Sales Date]])&lt;=6,"Q2",IF(MONTH(Table22[[#This Row],[Sales Date]])&lt;=9,"Q3","Q4")))</f>
        <v>Q4</v>
      </c>
      <c r="W864" s="64">
        <f>YEAR(Table22[[#This Row],[Sales Date]])</f>
        <v>2024</v>
      </c>
      <c r="X864" s="23">
        <v>40</v>
      </c>
      <c r="Y864" s="18" t="s">
        <v>49</v>
      </c>
      <c r="Z864" s="18" t="s">
        <v>24</v>
      </c>
      <c r="AA864" s="19" t="s">
        <v>36</v>
      </c>
    </row>
    <row r="865" spans="1:27" x14ac:dyDescent="0.25">
      <c r="A865" s="17" t="s">
        <v>376</v>
      </c>
      <c r="B865" s="18" t="s">
        <v>66</v>
      </c>
      <c r="C865" s="63" t="str" cm="1">
        <f t="array" ref="C865">_xlfn.SWITCH(Table22[[#This Row],[Country]],"USA","North America","Canada","North America","Brazil","South America","China","Asia","Japan","Asia","India","Asia","France","Europe","Germany","Europe","UK","Europe","Australia","Oceania","South America")</f>
        <v>North America</v>
      </c>
      <c r="D865" s="18" t="s">
        <v>44</v>
      </c>
      <c r="E865" s="18" t="s">
        <v>33</v>
      </c>
      <c r="F865" s="18" t="s">
        <v>52</v>
      </c>
      <c r="G865" s="18" t="s">
        <v>40</v>
      </c>
      <c r="H865" s="64">
        <f>LEN(TRIM(Table22[[#This Row],[Country]]))</f>
        <v>6</v>
      </c>
      <c r="I865" s="64">
        <f>LEN(TRIM(Table22[[#This Row],[Continent]]))</f>
        <v>13</v>
      </c>
      <c r="J865" s="64">
        <f>LEN(TRIM(Table22[[#This Row],[Product]]))</f>
        <v>10</v>
      </c>
      <c r="K865" s="64">
        <f>LEN(TRIM(Table22[[#This Row],[Sales Team]]))</f>
        <v>10</v>
      </c>
      <c r="L865" s="23">
        <v>58</v>
      </c>
      <c r="M865" s="65" t="str" cm="1">
        <f t="array" ref="M865">_xlfn.IFS(Table22[[#This Row],[Units Sold]]&lt;40,"Critical",Table22[[#This Row],[Units Sold]]&lt;=50,"Poor",Table22[[#This Row],[Units Sold]]&lt;=60,"Low",Table22[[#This Row],[Units Sold]]&lt;=80,"Average",Table22[[#This Row],[Units Sold]]&lt;=90,"High",Table22[[#This Row],[Units Sold]]&lt;=95,"Excellent",Table22[[#This Row],[Units Sold]]&gt;95,"Outstanding")</f>
        <v>Low</v>
      </c>
      <c r="N865" s="29">
        <v>634.03</v>
      </c>
      <c r="O865" s="29">
        <v>36773.74</v>
      </c>
      <c r="P865" s="43">
        <f>IF(Table22[[#This Row],[Discount Applied]],Table22[[#This Row],[Total Sales (in USD)]]*(1-Table22[[#This Row],[Discount Percentage (%)]]/100),Table22[[#This Row],[Total Sales (in USD)]])</f>
        <v>31268.711122000001</v>
      </c>
      <c r="Q865" s="66">
        <f>SQRT(AVERAGE((Table22[[#This Row],[Net Sales (after discount) (in USD)]]-AVERAGE(Table22[Net Sales (after discount) (in USD)]))^2))</f>
        <v>5242.6494417645372</v>
      </c>
      <c r="R865" s="18" t="b">
        <v>1</v>
      </c>
      <c r="S865" s="40">
        <v>14.97</v>
      </c>
      <c r="T865" s="18" t="b">
        <v>1</v>
      </c>
      <c r="U865" s="25">
        <v>44940</v>
      </c>
      <c r="V865" s="63" t="str">
        <f>IF(MONTH(Table22[[#This Row],[Sales Date]])&lt;=3,"Q1",IF(MONTH(Table22[[#This Row],[Sales Date]])&lt;=6,"Q2",IF(MONTH(Table22[[#This Row],[Sales Date]])&lt;=9,"Q3","Q4")))</f>
        <v>Q1</v>
      </c>
      <c r="W865" s="64">
        <f>YEAR(Table22[[#This Row],[Sales Date]])</f>
        <v>2023</v>
      </c>
      <c r="X865" s="23">
        <v>46</v>
      </c>
      <c r="Y865" s="18" t="s">
        <v>41</v>
      </c>
      <c r="Z865" s="18" t="s">
        <v>42</v>
      </c>
      <c r="AA865" s="19" t="s">
        <v>25</v>
      </c>
    </row>
    <row r="866" spans="1:27" x14ac:dyDescent="0.25">
      <c r="A866" s="17" t="s">
        <v>1285</v>
      </c>
      <c r="B866" s="18" t="s">
        <v>32</v>
      </c>
      <c r="C866" s="63" t="str" cm="1">
        <f t="array" ref="C866">_xlfn.SWITCH(Table22[[#This Row],[Country]],"USA","North America","Canada","North America","Brazil","South America","China","Asia","Japan","Asia","India","Asia","France","Europe","Germany","Europe","UK","Europe","Australia","Oceania","South America")</f>
        <v>Asia</v>
      </c>
      <c r="D866" s="18" t="s">
        <v>21</v>
      </c>
      <c r="E866" s="18" t="s">
        <v>19</v>
      </c>
      <c r="F866" s="18" t="s">
        <v>47</v>
      </c>
      <c r="G866" s="18" t="s">
        <v>40</v>
      </c>
      <c r="H866" s="64">
        <f>LEN(TRIM(Table22[[#This Row],[Country]]))</f>
        <v>5</v>
      </c>
      <c r="I866" s="64">
        <f>LEN(TRIM(Table22[[#This Row],[Continent]]))</f>
        <v>4</v>
      </c>
      <c r="J866" s="64">
        <f>LEN(TRIM(Table22[[#This Row],[Product]]))</f>
        <v>6</v>
      </c>
      <c r="K866" s="64">
        <f>LEN(TRIM(Table22[[#This Row],[Sales Team]]))</f>
        <v>10</v>
      </c>
      <c r="L866" s="23">
        <v>74</v>
      </c>
      <c r="M866" s="65" t="str" cm="1">
        <f t="array" ref="M866">_xlfn.IFS(Table22[[#This Row],[Units Sold]]&lt;40,"Critical",Table22[[#This Row],[Units Sold]]&lt;=50,"Poor",Table22[[#This Row],[Units Sold]]&lt;=60,"Low",Table22[[#This Row],[Units Sold]]&lt;=80,"Average",Table22[[#This Row],[Units Sold]]&lt;=90,"High",Table22[[#This Row],[Units Sold]]&lt;=95,"Excellent",Table22[[#This Row],[Units Sold]]&gt;95,"Outstanding")</f>
        <v>Average</v>
      </c>
      <c r="N866" s="29">
        <v>496.2</v>
      </c>
      <c r="O866" s="29">
        <v>36718.800000000003</v>
      </c>
      <c r="P866" s="43">
        <f>IF(Table22[[#This Row],[Discount Applied]],Table22[[#This Row],[Total Sales (in USD)]]*(1-Table22[[#This Row],[Discount Percentage (%)]]/100),Table22[[#This Row],[Total Sales (in USD)]])</f>
        <v>30785.041920000003</v>
      </c>
      <c r="Q866" s="66">
        <f>SQRT(AVERAGE((Table22[[#This Row],[Net Sales (after discount) (in USD)]]-AVERAGE(Table22[Net Sales (after discount) (in USD)]))^2))</f>
        <v>5726.3186437645345</v>
      </c>
      <c r="R866" s="18" t="b">
        <v>0</v>
      </c>
      <c r="S866" s="40">
        <v>16.16</v>
      </c>
      <c r="T866" s="18" t="b">
        <v>1</v>
      </c>
      <c r="U866" s="25">
        <v>45499</v>
      </c>
      <c r="V866" s="63" t="str">
        <f>IF(MONTH(Table22[[#This Row],[Sales Date]])&lt;=3,"Q1",IF(MONTH(Table22[[#This Row],[Sales Date]])&lt;=6,"Q2",IF(MONTH(Table22[[#This Row],[Sales Date]])&lt;=9,"Q3","Q4")))</f>
        <v>Q3</v>
      </c>
      <c r="W866" s="64">
        <f>YEAR(Table22[[#This Row],[Sales Date]])</f>
        <v>2024</v>
      </c>
      <c r="X866" s="23">
        <v>41</v>
      </c>
      <c r="Y866" s="18" t="s">
        <v>23</v>
      </c>
      <c r="Z866" s="18" t="s">
        <v>30</v>
      </c>
      <c r="AA866" s="19" t="s">
        <v>36</v>
      </c>
    </row>
    <row r="867" spans="1:27" x14ac:dyDescent="0.25">
      <c r="A867" s="17" t="s">
        <v>95</v>
      </c>
      <c r="B867" s="18" t="s">
        <v>76</v>
      </c>
      <c r="C867" s="63" t="str" cm="1">
        <f t="array" ref="C867">_xlfn.SWITCH(Table22[[#This Row],[Country]],"USA","North America","Canada","North America","Brazil","South America","China","Asia","Japan","Asia","India","Asia","France","Europe","Germany","Europe","UK","Europe","Australia","Oceania","South America")</f>
        <v>Asia</v>
      </c>
      <c r="D867" s="18" t="s">
        <v>28</v>
      </c>
      <c r="E867" s="18" t="s">
        <v>19</v>
      </c>
      <c r="F867" s="18" t="s">
        <v>20</v>
      </c>
      <c r="G867" s="18" t="s">
        <v>48</v>
      </c>
      <c r="H867" s="64">
        <f>LEN(TRIM(Table22[[#This Row],[Country]]))</f>
        <v>5</v>
      </c>
      <c r="I867" s="64">
        <f>LEN(TRIM(Table22[[#This Row],[Continent]]))</f>
        <v>4</v>
      </c>
      <c r="J867" s="64">
        <f>LEN(TRIM(Table22[[#This Row],[Product]]))</f>
        <v>6</v>
      </c>
      <c r="K867" s="64">
        <f>LEN(TRIM(Table22[[#This Row],[Sales Team]]))</f>
        <v>9</v>
      </c>
      <c r="L867" s="23">
        <v>78</v>
      </c>
      <c r="M867" s="65" t="str" cm="1">
        <f t="array" ref="M867">_xlfn.IFS(Table22[[#This Row],[Units Sold]]&lt;40,"Critical",Table22[[#This Row],[Units Sold]]&lt;=50,"Poor",Table22[[#This Row],[Units Sold]]&lt;=60,"Low",Table22[[#This Row],[Units Sold]]&lt;=80,"Average",Table22[[#This Row],[Units Sold]]&lt;=90,"High",Table22[[#This Row],[Units Sold]]&lt;=95,"Excellent",Table22[[#This Row],[Units Sold]]&gt;95,"Outstanding")</f>
        <v>Average</v>
      </c>
      <c r="N867" s="29">
        <v>470.33</v>
      </c>
      <c r="O867" s="29">
        <v>36685.74</v>
      </c>
      <c r="P867" s="43">
        <f>IF(Table22[[#This Row],[Discount Applied]],Table22[[#This Row],[Total Sales (in USD)]]*(1-Table22[[#This Row],[Discount Percentage (%)]]/100),Table22[[#This Row],[Total Sales (in USD)]])</f>
        <v>33028.171721999999</v>
      </c>
      <c r="Q867" s="66">
        <f>SQRT(AVERAGE((Table22[[#This Row],[Net Sales (after discount) (in USD)]]-AVERAGE(Table22[Net Sales (after discount) (in USD)]))^2))</f>
        <v>3483.1888417645387</v>
      </c>
      <c r="R867" s="18" t="b">
        <v>0</v>
      </c>
      <c r="S867" s="40">
        <v>9.9700000000000006</v>
      </c>
      <c r="T867" s="18" t="b">
        <v>1</v>
      </c>
      <c r="U867" s="25">
        <v>45578</v>
      </c>
      <c r="V867" s="63" t="str">
        <f>IF(MONTH(Table22[[#This Row],[Sales Date]])&lt;=3,"Q1",IF(MONTH(Table22[[#This Row],[Sales Date]])&lt;=6,"Q2",IF(MONTH(Table22[[#This Row],[Sales Date]])&lt;=9,"Q3","Q4")))</f>
        <v>Q4</v>
      </c>
      <c r="W867" s="64">
        <f>YEAR(Table22[[#This Row],[Sales Date]])</f>
        <v>2024</v>
      </c>
      <c r="X867" s="23">
        <v>35</v>
      </c>
      <c r="Y867" s="18" t="s">
        <v>41</v>
      </c>
      <c r="Z867" s="18" t="s">
        <v>24</v>
      </c>
      <c r="AA867" s="19" t="s">
        <v>25</v>
      </c>
    </row>
    <row r="868" spans="1:27" x14ac:dyDescent="0.25">
      <c r="A868" s="17" t="s">
        <v>1306</v>
      </c>
      <c r="B868" s="18" t="s">
        <v>66</v>
      </c>
      <c r="C868" s="63" t="str" cm="1">
        <f t="array" ref="C868">_xlfn.SWITCH(Table22[[#This Row],[Country]],"USA","North America","Canada","North America","Brazil","South America","China","Asia","Japan","Asia","India","Asia","France","Europe","Germany","Europe","UK","Europe","Australia","Oceania","South America")</f>
        <v>North America</v>
      </c>
      <c r="D868" s="18" t="s">
        <v>44</v>
      </c>
      <c r="E868" s="18" t="s">
        <v>19</v>
      </c>
      <c r="F868" s="18" t="s">
        <v>47</v>
      </c>
      <c r="G868" s="18" t="s">
        <v>29</v>
      </c>
      <c r="H868" s="64">
        <f>LEN(TRIM(Table22[[#This Row],[Country]]))</f>
        <v>6</v>
      </c>
      <c r="I868" s="64">
        <f>LEN(TRIM(Table22[[#This Row],[Continent]]))</f>
        <v>13</v>
      </c>
      <c r="J868" s="64">
        <f>LEN(TRIM(Table22[[#This Row],[Product]]))</f>
        <v>6</v>
      </c>
      <c r="K868" s="64">
        <f>LEN(TRIM(Table22[[#This Row],[Sales Team]]))</f>
        <v>10</v>
      </c>
      <c r="L868" s="23">
        <v>46</v>
      </c>
      <c r="M868" s="65" t="str" cm="1">
        <f t="array" ref="M868">_xlfn.IFS(Table22[[#This Row],[Units Sold]]&lt;40,"Critical",Table22[[#This Row],[Units Sold]]&lt;=50,"Poor",Table22[[#This Row],[Units Sold]]&lt;=60,"Low",Table22[[#This Row],[Units Sold]]&lt;=80,"Average",Table22[[#This Row],[Units Sold]]&lt;=90,"High",Table22[[#This Row],[Units Sold]]&lt;=95,"Excellent",Table22[[#This Row],[Units Sold]]&gt;95,"Outstanding")</f>
        <v>Poor</v>
      </c>
      <c r="N868" s="29">
        <v>796.06</v>
      </c>
      <c r="O868" s="29">
        <v>36618.76</v>
      </c>
      <c r="P868" s="43">
        <f>IF(Table22[[#This Row],[Discount Applied]],Table22[[#This Row],[Total Sales (in USD)]]*(1-Table22[[#This Row],[Discount Percentage (%)]]/100),Table22[[#This Row],[Total Sales (in USD)]])</f>
        <v>36618.76</v>
      </c>
      <c r="Q868" s="66">
        <f>SQRT(AVERAGE((Table22[[#This Row],[Net Sales (after discount) (in USD)]]-AVERAGE(Table22[Net Sales (after discount) (in USD)]))^2))</f>
        <v>107.39943623546424</v>
      </c>
      <c r="R868" s="18" t="b">
        <v>0</v>
      </c>
      <c r="S868" s="40">
        <v>1.03</v>
      </c>
      <c r="T868" s="18" t="b">
        <v>0</v>
      </c>
      <c r="U868" s="25">
        <v>45169</v>
      </c>
      <c r="V868" s="63" t="str">
        <f>IF(MONTH(Table22[[#This Row],[Sales Date]])&lt;=3,"Q1",IF(MONTH(Table22[[#This Row],[Sales Date]])&lt;=6,"Q2",IF(MONTH(Table22[[#This Row],[Sales Date]])&lt;=9,"Q3","Q4")))</f>
        <v>Q3</v>
      </c>
      <c r="W868" s="64">
        <f>YEAR(Table22[[#This Row],[Sales Date]])</f>
        <v>2023</v>
      </c>
      <c r="X868" s="23">
        <v>51</v>
      </c>
      <c r="Y868" s="18" t="s">
        <v>49</v>
      </c>
      <c r="Z868" s="18" t="s">
        <v>30</v>
      </c>
      <c r="AA868" s="19" t="s">
        <v>25</v>
      </c>
    </row>
    <row r="869" spans="1:27" x14ac:dyDescent="0.25">
      <c r="A869" s="17" t="s">
        <v>1419</v>
      </c>
      <c r="B869" s="18" t="s">
        <v>76</v>
      </c>
      <c r="C869" s="63" t="str" cm="1">
        <f t="array" ref="C869">_xlfn.SWITCH(Table22[[#This Row],[Country]],"USA","North America","Canada","North America","Brazil","South America","China","Asia","Japan","Asia","India","Asia","France","Europe","Germany","Europe","UK","Europe","Australia","Oceania","South America")</f>
        <v>Asia</v>
      </c>
      <c r="D869" s="18" t="s">
        <v>44</v>
      </c>
      <c r="E869" s="18" t="s">
        <v>33</v>
      </c>
      <c r="F869" s="18" t="s">
        <v>47</v>
      </c>
      <c r="G869" s="18" t="s">
        <v>29</v>
      </c>
      <c r="H869" s="64">
        <f>LEN(TRIM(Table22[[#This Row],[Country]]))</f>
        <v>5</v>
      </c>
      <c r="I869" s="64">
        <f>LEN(TRIM(Table22[[#This Row],[Continent]]))</f>
        <v>4</v>
      </c>
      <c r="J869" s="64">
        <f>LEN(TRIM(Table22[[#This Row],[Product]]))</f>
        <v>10</v>
      </c>
      <c r="K869" s="64">
        <f>LEN(TRIM(Table22[[#This Row],[Sales Team]]))</f>
        <v>10</v>
      </c>
      <c r="L869" s="23">
        <v>51</v>
      </c>
      <c r="M869" s="65" t="str" cm="1">
        <f t="array" ref="M869">_xlfn.IFS(Table22[[#This Row],[Units Sold]]&lt;40,"Critical",Table22[[#This Row],[Units Sold]]&lt;=50,"Poor",Table22[[#This Row],[Units Sold]]&lt;=60,"Low",Table22[[#This Row],[Units Sold]]&lt;=80,"Average",Table22[[#This Row],[Units Sold]]&lt;=90,"High",Table22[[#This Row],[Units Sold]]&lt;=95,"Excellent",Table22[[#This Row],[Units Sold]]&gt;95,"Outstanding")</f>
        <v>Low</v>
      </c>
      <c r="N869" s="29">
        <v>716.25</v>
      </c>
      <c r="O869" s="29">
        <v>36528.75</v>
      </c>
      <c r="P869" s="43">
        <f>IF(Table22[[#This Row],[Discount Applied]],Table22[[#This Row],[Total Sales (in USD)]]*(1-Table22[[#This Row],[Discount Percentage (%)]]/100),Table22[[#This Row],[Total Sales (in USD)]])</f>
        <v>34746.147000000004</v>
      </c>
      <c r="Q869" s="66">
        <f>SQRT(AVERAGE((Table22[[#This Row],[Net Sales (after discount) (in USD)]]-AVERAGE(Table22[Net Sales (after discount) (in USD)]))^2))</f>
        <v>1765.2135637645333</v>
      </c>
      <c r="R869" s="18" t="b">
        <v>1</v>
      </c>
      <c r="S869" s="40">
        <v>4.88</v>
      </c>
      <c r="T869" s="18" t="b">
        <v>1</v>
      </c>
      <c r="U869" s="25">
        <v>45596</v>
      </c>
      <c r="V869" s="63" t="str">
        <f>IF(MONTH(Table22[[#This Row],[Sales Date]])&lt;=3,"Q1",IF(MONTH(Table22[[#This Row],[Sales Date]])&lt;=6,"Q2",IF(MONTH(Table22[[#This Row],[Sales Date]])&lt;=9,"Q3","Q4")))</f>
        <v>Q4</v>
      </c>
      <c r="W869" s="64">
        <f>YEAR(Table22[[#This Row],[Sales Date]])</f>
        <v>2024</v>
      </c>
      <c r="X869" s="23">
        <v>69</v>
      </c>
      <c r="Y869" s="18" t="s">
        <v>49</v>
      </c>
      <c r="Z869" s="18" t="s">
        <v>56</v>
      </c>
      <c r="AA869" s="19" t="s">
        <v>25</v>
      </c>
    </row>
    <row r="870" spans="1:27" x14ac:dyDescent="0.25">
      <c r="A870" s="17" t="s">
        <v>1123</v>
      </c>
      <c r="B870" s="18" t="s">
        <v>72</v>
      </c>
      <c r="C870" s="63" t="str" cm="1">
        <f t="array" ref="C870">_xlfn.SWITCH(Table22[[#This Row],[Country]],"USA","North America","Canada","North America","Brazil","South America","China","Asia","Japan","Asia","India","Asia","France","Europe","Germany","Europe","UK","Europe","Australia","Oceania","South America")</f>
        <v>North America</v>
      </c>
      <c r="D870" s="18" t="s">
        <v>44</v>
      </c>
      <c r="E870" s="18" t="s">
        <v>33</v>
      </c>
      <c r="F870" s="18" t="s">
        <v>47</v>
      </c>
      <c r="G870" s="18" t="s">
        <v>48</v>
      </c>
      <c r="H870" s="64">
        <f>LEN(TRIM(Table22[[#This Row],[Country]]))</f>
        <v>3</v>
      </c>
      <c r="I870" s="64">
        <f>LEN(TRIM(Table22[[#This Row],[Continent]]))</f>
        <v>13</v>
      </c>
      <c r="J870" s="64">
        <f>LEN(TRIM(Table22[[#This Row],[Product]]))</f>
        <v>10</v>
      </c>
      <c r="K870" s="64">
        <f>LEN(TRIM(Table22[[#This Row],[Sales Team]]))</f>
        <v>9</v>
      </c>
      <c r="L870" s="23">
        <v>58</v>
      </c>
      <c r="M870" s="65" t="str" cm="1">
        <f t="array" ref="M870">_xlfn.IFS(Table22[[#This Row],[Units Sold]]&lt;40,"Critical",Table22[[#This Row],[Units Sold]]&lt;=50,"Poor",Table22[[#This Row],[Units Sold]]&lt;=60,"Low",Table22[[#This Row],[Units Sold]]&lt;=80,"Average",Table22[[#This Row],[Units Sold]]&lt;=90,"High",Table22[[#This Row],[Units Sold]]&lt;=95,"Excellent",Table22[[#This Row],[Units Sold]]&gt;95,"Outstanding")</f>
        <v>Low</v>
      </c>
      <c r="N870" s="29">
        <v>629.02</v>
      </c>
      <c r="O870" s="29">
        <v>36483.160000000003</v>
      </c>
      <c r="P870" s="43">
        <f>IF(Table22[[#This Row],[Discount Applied]],Table22[[#This Row],[Total Sales (in USD)]]*(1-Table22[[#This Row],[Discount Percentage (%)]]/100),Table22[[#This Row],[Total Sales (in USD)]])</f>
        <v>36483.160000000003</v>
      </c>
      <c r="Q870" s="66">
        <f>SQRT(AVERAGE((Table22[[#This Row],[Net Sales (after discount) (in USD)]]-AVERAGE(Table22[Net Sales (after discount) (in USD)]))^2))</f>
        <v>28.200563764534309</v>
      </c>
      <c r="R870" s="18" t="b">
        <v>0</v>
      </c>
      <c r="S870" s="40">
        <v>23.87</v>
      </c>
      <c r="T870" s="18" t="b">
        <v>0</v>
      </c>
      <c r="U870" s="25">
        <v>45283</v>
      </c>
      <c r="V870" s="63" t="str">
        <f>IF(MONTH(Table22[[#This Row],[Sales Date]])&lt;=3,"Q1",IF(MONTH(Table22[[#This Row],[Sales Date]])&lt;=6,"Q2",IF(MONTH(Table22[[#This Row],[Sales Date]])&lt;=9,"Q3","Q4")))</f>
        <v>Q4</v>
      </c>
      <c r="W870" s="64">
        <f>YEAR(Table22[[#This Row],[Sales Date]])</f>
        <v>2023</v>
      </c>
      <c r="X870" s="23">
        <v>39</v>
      </c>
      <c r="Y870" s="18" t="s">
        <v>49</v>
      </c>
      <c r="Z870" s="18" t="s">
        <v>24</v>
      </c>
      <c r="AA870" s="19" t="s">
        <v>36</v>
      </c>
    </row>
    <row r="871" spans="1:27" x14ac:dyDescent="0.25">
      <c r="A871" s="17" t="s">
        <v>1346</v>
      </c>
      <c r="B871" s="18" t="s">
        <v>46</v>
      </c>
      <c r="C871" s="63" t="str" cm="1">
        <f t="array" ref="C871">_xlfn.SWITCH(Table22[[#This Row],[Country]],"USA","North America","Canada","North America","Brazil","South America","China","Asia","Japan","Asia","India","Asia","France","Europe","Germany","Europe","UK","Europe","Australia","Oceania","South America")</f>
        <v>South America</v>
      </c>
      <c r="D871" s="18" t="s">
        <v>28</v>
      </c>
      <c r="E871" s="18" t="s">
        <v>33</v>
      </c>
      <c r="F871" s="18" t="s">
        <v>52</v>
      </c>
      <c r="G871" s="18" t="s">
        <v>48</v>
      </c>
      <c r="H871" s="64">
        <f>LEN(TRIM(Table22[[#This Row],[Country]]))</f>
        <v>6</v>
      </c>
      <c r="I871" s="64">
        <f>LEN(TRIM(Table22[[#This Row],[Continent]]))</f>
        <v>13</v>
      </c>
      <c r="J871" s="64">
        <f>LEN(TRIM(Table22[[#This Row],[Product]]))</f>
        <v>10</v>
      </c>
      <c r="K871" s="64">
        <f>LEN(TRIM(Table22[[#This Row],[Sales Team]]))</f>
        <v>9</v>
      </c>
      <c r="L871" s="23">
        <v>30</v>
      </c>
      <c r="M871" s="65" t="str" cm="1">
        <f t="array" ref="M871">_xlfn.IFS(Table22[[#This Row],[Units Sold]]&lt;40,"Critical",Table22[[#This Row],[Units Sold]]&lt;=50,"Poor",Table22[[#This Row],[Units Sold]]&lt;=60,"Low",Table22[[#This Row],[Units Sold]]&lt;=80,"Average",Table22[[#This Row],[Units Sold]]&lt;=90,"High",Table22[[#This Row],[Units Sold]]&lt;=95,"Excellent",Table22[[#This Row],[Units Sold]]&gt;95,"Outstanding")</f>
        <v>Critical</v>
      </c>
      <c r="N871" s="29">
        <v>1214.01</v>
      </c>
      <c r="O871" s="29">
        <v>36420.300000000003</v>
      </c>
      <c r="P871" s="43">
        <f>IF(Table22[[#This Row],[Discount Applied]],Table22[[#This Row],[Total Sales (in USD)]]*(1-Table22[[#This Row],[Discount Percentage (%)]]/100),Table22[[#This Row],[Total Sales (in USD)]])</f>
        <v>25880.265180000002</v>
      </c>
      <c r="Q871" s="66">
        <f>SQRT(AVERAGE((Table22[[#This Row],[Net Sales (after discount) (in USD)]]-AVERAGE(Table22[Net Sales (after discount) (in USD)]))^2))</f>
        <v>10631.095383764536</v>
      </c>
      <c r="R871" s="18" t="b">
        <v>0</v>
      </c>
      <c r="S871" s="40">
        <v>28.94</v>
      </c>
      <c r="T871" s="18" t="b">
        <v>1</v>
      </c>
      <c r="U871" s="25">
        <v>45189</v>
      </c>
      <c r="V871" s="63" t="str">
        <f>IF(MONTH(Table22[[#This Row],[Sales Date]])&lt;=3,"Q1",IF(MONTH(Table22[[#This Row],[Sales Date]])&lt;=6,"Q2",IF(MONTH(Table22[[#This Row],[Sales Date]])&lt;=9,"Q3","Q4")))</f>
        <v>Q3</v>
      </c>
      <c r="W871" s="64">
        <f>YEAR(Table22[[#This Row],[Sales Date]])</f>
        <v>2023</v>
      </c>
      <c r="X871" s="23">
        <v>50</v>
      </c>
      <c r="Y871" s="18" t="s">
        <v>23</v>
      </c>
      <c r="Z871" s="18" t="s">
        <v>30</v>
      </c>
      <c r="AA871" s="19" t="s">
        <v>25</v>
      </c>
    </row>
    <row r="872" spans="1:27" x14ac:dyDescent="0.25">
      <c r="A872" s="17" t="s">
        <v>866</v>
      </c>
      <c r="B872" s="18" t="s">
        <v>62</v>
      </c>
      <c r="C872" s="63" t="str" cm="1">
        <f t="array" ref="C872">_xlfn.SWITCH(Table22[[#This Row],[Country]],"USA","North America","Canada","North America","Brazil","South America","China","Asia","Japan","Asia","India","Asia","France","Europe","Germany","Europe","UK","Europe","Australia","Oceania","South America")</f>
        <v>Oceania</v>
      </c>
      <c r="D872" s="18" t="s">
        <v>35</v>
      </c>
      <c r="E872" s="18" t="s">
        <v>19</v>
      </c>
      <c r="F872" s="18" t="s">
        <v>52</v>
      </c>
      <c r="G872" s="18" t="s">
        <v>22</v>
      </c>
      <c r="H872" s="64">
        <f>LEN(TRIM(Table22[[#This Row],[Country]]))</f>
        <v>9</v>
      </c>
      <c r="I872" s="64">
        <f>LEN(TRIM(Table22[[#This Row],[Continent]]))</f>
        <v>7</v>
      </c>
      <c r="J872" s="64">
        <f>LEN(TRIM(Table22[[#This Row],[Product]]))</f>
        <v>6</v>
      </c>
      <c r="K872" s="64">
        <f>LEN(TRIM(Table22[[#This Row],[Sales Team]]))</f>
        <v>10</v>
      </c>
      <c r="L872" s="23">
        <v>27</v>
      </c>
      <c r="M872" s="65" t="str" cm="1">
        <f t="array" ref="M872">_xlfn.IFS(Table22[[#This Row],[Units Sold]]&lt;40,"Critical",Table22[[#This Row],[Units Sold]]&lt;=50,"Poor",Table22[[#This Row],[Units Sold]]&lt;=60,"Low",Table22[[#This Row],[Units Sold]]&lt;=80,"Average",Table22[[#This Row],[Units Sold]]&lt;=90,"High",Table22[[#This Row],[Units Sold]]&lt;=95,"Excellent",Table22[[#This Row],[Units Sold]]&gt;95,"Outstanding")</f>
        <v>Critical</v>
      </c>
      <c r="N872" s="29">
        <v>1347.17</v>
      </c>
      <c r="O872" s="29">
        <v>36373.589999999997</v>
      </c>
      <c r="P872" s="43">
        <f>IF(Table22[[#This Row],[Discount Applied]],Table22[[#This Row],[Total Sales (in USD)]]*(1-Table22[[#This Row],[Discount Percentage (%)]]/100),Table22[[#This Row],[Total Sales (in USD)]])</f>
        <v>36373.589999999997</v>
      </c>
      <c r="Q872" s="66">
        <f>SQRT(AVERAGE((Table22[[#This Row],[Net Sales (after discount) (in USD)]]-AVERAGE(Table22[Net Sales (after discount) (in USD)]))^2))</f>
        <v>137.77056376454129</v>
      </c>
      <c r="R872" s="18" t="b">
        <v>1</v>
      </c>
      <c r="S872" s="40">
        <v>12.5</v>
      </c>
      <c r="T872" s="18" t="b">
        <v>0</v>
      </c>
      <c r="U872" s="25">
        <v>45192</v>
      </c>
      <c r="V872" s="63" t="str">
        <f>IF(MONTH(Table22[[#This Row],[Sales Date]])&lt;=3,"Q1",IF(MONTH(Table22[[#This Row],[Sales Date]])&lt;=6,"Q2",IF(MONTH(Table22[[#This Row],[Sales Date]])&lt;=9,"Q3","Q4")))</f>
        <v>Q3</v>
      </c>
      <c r="W872" s="64">
        <f>YEAR(Table22[[#This Row],[Sales Date]])</f>
        <v>2023</v>
      </c>
      <c r="X872" s="23">
        <v>57</v>
      </c>
      <c r="Y872" s="18" t="s">
        <v>49</v>
      </c>
      <c r="Z872" s="18" t="s">
        <v>24</v>
      </c>
      <c r="AA872" s="19" t="s">
        <v>36</v>
      </c>
    </row>
    <row r="873" spans="1:27" x14ac:dyDescent="0.25">
      <c r="A873" s="17" t="s">
        <v>54</v>
      </c>
      <c r="B873" s="18" t="s">
        <v>32</v>
      </c>
      <c r="C873" s="63" t="str" cm="1">
        <f t="array" ref="C873">_xlfn.SWITCH(Table22[[#This Row],[Country]],"USA","North America","Canada","North America","Brazil","South America","China","Asia","Japan","Asia","India","Asia","France","Europe","Germany","Europe","UK","Europe","Australia","Oceania","South America")</f>
        <v>Asia</v>
      </c>
      <c r="D873" s="18" t="s">
        <v>28</v>
      </c>
      <c r="E873" s="18" t="s">
        <v>19</v>
      </c>
      <c r="F873" s="18" t="s">
        <v>20</v>
      </c>
      <c r="G873" s="18" t="s">
        <v>40</v>
      </c>
      <c r="H873" s="64">
        <f>LEN(TRIM(Table22[[#This Row],[Country]]))</f>
        <v>5</v>
      </c>
      <c r="I873" s="64">
        <f>LEN(TRIM(Table22[[#This Row],[Continent]]))</f>
        <v>4</v>
      </c>
      <c r="J873" s="64">
        <f>LEN(TRIM(Table22[[#This Row],[Product]]))</f>
        <v>6</v>
      </c>
      <c r="K873" s="64">
        <f>LEN(TRIM(Table22[[#This Row],[Sales Team]]))</f>
        <v>10</v>
      </c>
      <c r="L873" s="23">
        <v>26</v>
      </c>
      <c r="M873" s="65" t="str" cm="1">
        <f t="array" ref="M873">_xlfn.IFS(Table22[[#This Row],[Units Sold]]&lt;40,"Critical",Table22[[#This Row],[Units Sold]]&lt;=50,"Poor",Table22[[#This Row],[Units Sold]]&lt;=60,"Low",Table22[[#This Row],[Units Sold]]&lt;=80,"Average",Table22[[#This Row],[Units Sold]]&lt;=90,"High",Table22[[#This Row],[Units Sold]]&lt;=95,"Excellent",Table22[[#This Row],[Units Sold]]&gt;95,"Outstanding")</f>
        <v>Critical</v>
      </c>
      <c r="N873" s="29">
        <v>1397.9</v>
      </c>
      <c r="O873" s="29">
        <v>36345.4</v>
      </c>
      <c r="P873" s="43">
        <f>IF(Table22[[#This Row],[Discount Applied]],Table22[[#This Row],[Total Sales (in USD)]]*(1-Table22[[#This Row],[Discount Percentage (%)]]/100),Table22[[#This Row],[Total Sales (in USD)]])</f>
        <v>26710.23446</v>
      </c>
      <c r="Q873" s="66">
        <f>SQRT(AVERAGE((Table22[[#This Row],[Net Sales (after discount) (in USD)]]-AVERAGE(Table22[Net Sales (after discount) (in USD)]))^2))</f>
        <v>9801.1261037645381</v>
      </c>
      <c r="R873" s="18" t="b">
        <v>1</v>
      </c>
      <c r="S873" s="40">
        <v>26.51</v>
      </c>
      <c r="T873" s="18" t="b">
        <v>1</v>
      </c>
      <c r="U873" s="25">
        <v>45595</v>
      </c>
      <c r="V873" s="63" t="str">
        <f>IF(MONTH(Table22[[#This Row],[Sales Date]])&lt;=3,"Q1",IF(MONTH(Table22[[#This Row],[Sales Date]])&lt;=6,"Q2",IF(MONTH(Table22[[#This Row],[Sales Date]])&lt;=9,"Q3","Q4")))</f>
        <v>Q4</v>
      </c>
      <c r="W873" s="64">
        <f>YEAR(Table22[[#This Row],[Sales Date]])</f>
        <v>2024</v>
      </c>
      <c r="X873" s="23">
        <v>35</v>
      </c>
      <c r="Y873" s="18" t="s">
        <v>49</v>
      </c>
      <c r="Z873" s="18" t="s">
        <v>24</v>
      </c>
      <c r="AA873" s="19" t="s">
        <v>25</v>
      </c>
    </row>
    <row r="874" spans="1:27" x14ac:dyDescent="0.25">
      <c r="A874" s="17" t="s">
        <v>1855</v>
      </c>
      <c r="B874" s="18" t="s">
        <v>27</v>
      </c>
      <c r="C874" s="63" t="str" cm="1">
        <f t="array" ref="C874">_xlfn.SWITCH(Table22[[#This Row],[Country]],"USA","North America","Canada","North America","Brazil","South America","China","Asia","Japan","Asia","India","Asia","France","Europe","Germany","Europe","UK","Europe","Australia","Oceania","South America")</f>
        <v>Europe</v>
      </c>
      <c r="D874" s="18" t="s">
        <v>21</v>
      </c>
      <c r="E874" s="18" t="s">
        <v>19</v>
      </c>
      <c r="F874" s="18" t="s">
        <v>34</v>
      </c>
      <c r="G874" s="18" t="s">
        <v>22</v>
      </c>
      <c r="H874" s="64">
        <f>LEN(TRIM(Table22[[#This Row],[Country]]))</f>
        <v>7</v>
      </c>
      <c r="I874" s="64">
        <f>LEN(TRIM(Table22[[#This Row],[Continent]]))</f>
        <v>6</v>
      </c>
      <c r="J874" s="64">
        <f>LEN(TRIM(Table22[[#This Row],[Product]]))</f>
        <v>6</v>
      </c>
      <c r="K874" s="64">
        <f>LEN(TRIM(Table22[[#This Row],[Sales Team]]))</f>
        <v>10</v>
      </c>
      <c r="L874" s="23">
        <v>80</v>
      </c>
      <c r="M874" s="65" t="str" cm="1">
        <f t="array" ref="M874">_xlfn.IFS(Table22[[#This Row],[Units Sold]]&lt;40,"Critical",Table22[[#This Row],[Units Sold]]&lt;=50,"Poor",Table22[[#This Row],[Units Sold]]&lt;=60,"Low",Table22[[#This Row],[Units Sold]]&lt;=80,"Average",Table22[[#This Row],[Units Sold]]&lt;=90,"High",Table22[[#This Row],[Units Sold]]&lt;=95,"Excellent",Table22[[#This Row],[Units Sold]]&gt;95,"Outstanding")</f>
        <v>Average</v>
      </c>
      <c r="N874" s="29">
        <v>454.2</v>
      </c>
      <c r="O874" s="29">
        <v>36336</v>
      </c>
      <c r="P874" s="43">
        <f>IF(Table22[[#This Row],[Discount Applied]],Table22[[#This Row],[Total Sales (in USD)]]*(1-Table22[[#This Row],[Discount Percentage (%)]]/100),Table22[[#This Row],[Total Sales (in USD)]])</f>
        <v>31655.923199999997</v>
      </c>
      <c r="Q874" s="66">
        <f>SQRT(AVERAGE((Table22[[#This Row],[Net Sales (after discount) (in USD)]]-AVERAGE(Table22[Net Sales (after discount) (in USD)]))^2))</f>
        <v>4855.4373637645404</v>
      </c>
      <c r="R874" s="18" t="b">
        <v>1</v>
      </c>
      <c r="S874" s="40">
        <v>12.88</v>
      </c>
      <c r="T874" s="18" t="b">
        <v>1</v>
      </c>
      <c r="U874" s="25">
        <v>45304</v>
      </c>
      <c r="V874" s="63" t="str">
        <f>IF(MONTH(Table22[[#This Row],[Sales Date]])&lt;=3,"Q1",IF(MONTH(Table22[[#This Row],[Sales Date]])&lt;=6,"Q2",IF(MONTH(Table22[[#This Row],[Sales Date]])&lt;=9,"Q3","Q4")))</f>
        <v>Q1</v>
      </c>
      <c r="W874" s="64">
        <f>YEAR(Table22[[#This Row],[Sales Date]])</f>
        <v>2024</v>
      </c>
      <c r="X874" s="23">
        <v>32</v>
      </c>
      <c r="Y874" s="18" t="s">
        <v>23</v>
      </c>
      <c r="Z874" s="18" t="s">
        <v>30</v>
      </c>
      <c r="AA874" s="19" t="s">
        <v>36</v>
      </c>
    </row>
    <row r="875" spans="1:27" x14ac:dyDescent="0.25">
      <c r="A875" s="17" t="s">
        <v>1397</v>
      </c>
      <c r="B875" s="18" t="s">
        <v>66</v>
      </c>
      <c r="C875" s="63" t="str" cm="1">
        <f t="array" ref="C875">_xlfn.SWITCH(Table22[[#This Row],[Country]],"USA","North America","Canada","North America","Brazil","South America","China","Asia","Japan","Asia","India","Asia","France","Europe","Germany","Europe","UK","Europe","Australia","Oceania","South America")</f>
        <v>North America</v>
      </c>
      <c r="D875" s="18" t="s">
        <v>44</v>
      </c>
      <c r="E875" s="18" t="s">
        <v>39</v>
      </c>
      <c r="F875" s="18" t="s">
        <v>20</v>
      </c>
      <c r="G875" s="18" t="s">
        <v>40</v>
      </c>
      <c r="H875" s="64">
        <f>LEN(TRIM(Table22[[#This Row],[Country]]))</f>
        <v>6</v>
      </c>
      <c r="I875" s="64">
        <f>LEN(TRIM(Table22[[#This Row],[Continent]]))</f>
        <v>13</v>
      </c>
      <c r="J875" s="64">
        <f>LEN(TRIM(Table22[[#This Row],[Product]]))</f>
        <v>10</v>
      </c>
      <c r="K875" s="64">
        <f>LEN(TRIM(Table22[[#This Row],[Sales Team]]))</f>
        <v>10</v>
      </c>
      <c r="L875" s="23">
        <v>68</v>
      </c>
      <c r="M875" s="65" t="str" cm="1">
        <f t="array" ref="M875">_xlfn.IFS(Table22[[#This Row],[Units Sold]]&lt;40,"Critical",Table22[[#This Row],[Units Sold]]&lt;=50,"Poor",Table22[[#This Row],[Units Sold]]&lt;=60,"Low",Table22[[#This Row],[Units Sold]]&lt;=80,"Average",Table22[[#This Row],[Units Sold]]&lt;=90,"High",Table22[[#This Row],[Units Sold]]&lt;=95,"Excellent",Table22[[#This Row],[Units Sold]]&gt;95,"Outstanding")</f>
        <v>Average</v>
      </c>
      <c r="N875" s="29">
        <v>533.59</v>
      </c>
      <c r="O875" s="29">
        <v>36284.120000000003</v>
      </c>
      <c r="P875" s="43">
        <f>IF(Table22[[#This Row],[Discount Applied]],Table22[[#This Row],[Total Sales (in USD)]]*(1-Table22[[#This Row],[Discount Percentage (%)]]/100),Table22[[#This Row],[Total Sales (in USD)]])</f>
        <v>36284.120000000003</v>
      </c>
      <c r="Q875" s="66">
        <f>SQRT(AVERAGE((Table22[[#This Row],[Net Sales (after discount) (in USD)]]-AVERAGE(Table22[Net Sales (after discount) (in USD)]))^2))</f>
        <v>227.24056376453518</v>
      </c>
      <c r="R875" s="18" t="b">
        <v>0</v>
      </c>
      <c r="S875" s="40">
        <v>21.46</v>
      </c>
      <c r="T875" s="18" t="b">
        <v>0</v>
      </c>
      <c r="U875" s="25">
        <v>45547</v>
      </c>
      <c r="V875" s="63" t="str">
        <f>IF(MONTH(Table22[[#This Row],[Sales Date]])&lt;=3,"Q1",IF(MONTH(Table22[[#This Row],[Sales Date]])&lt;=6,"Q2",IF(MONTH(Table22[[#This Row],[Sales Date]])&lt;=9,"Q3","Q4")))</f>
        <v>Q3</v>
      </c>
      <c r="W875" s="64">
        <f>YEAR(Table22[[#This Row],[Sales Date]])</f>
        <v>2024</v>
      </c>
      <c r="X875" s="23">
        <v>25</v>
      </c>
      <c r="Y875" s="18" t="s">
        <v>41</v>
      </c>
      <c r="Z875" s="18" t="s">
        <v>42</v>
      </c>
      <c r="AA875" s="19" t="s">
        <v>36</v>
      </c>
    </row>
    <row r="876" spans="1:27" x14ac:dyDescent="0.25">
      <c r="A876" s="17" t="s">
        <v>1495</v>
      </c>
      <c r="B876" s="18" t="s">
        <v>38</v>
      </c>
      <c r="C876" s="63" t="str" cm="1">
        <f t="array" ref="C876">_xlfn.SWITCH(Table22[[#This Row],[Country]],"USA","North America","Canada","North America","Brazil","South America","China","Asia","Japan","Asia","India","Asia","France","Europe","Germany","Europe","UK","Europe","Australia","Oceania","South America")</f>
        <v>Europe</v>
      </c>
      <c r="D876" s="18" t="s">
        <v>35</v>
      </c>
      <c r="E876" s="18" t="s">
        <v>19</v>
      </c>
      <c r="F876" s="18" t="s">
        <v>34</v>
      </c>
      <c r="G876" s="18" t="s">
        <v>48</v>
      </c>
      <c r="H876" s="64">
        <f>LEN(TRIM(Table22[[#This Row],[Country]]))</f>
        <v>6</v>
      </c>
      <c r="I876" s="64">
        <f>LEN(TRIM(Table22[[#This Row],[Continent]]))</f>
        <v>6</v>
      </c>
      <c r="J876" s="64">
        <f>LEN(TRIM(Table22[[#This Row],[Product]]))</f>
        <v>6</v>
      </c>
      <c r="K876" s="64">
        <f>LEN(TRIM(Table22[[#This Row],[Sales Team]]))</f>
        <v>9</v>
      </c>
      <c r="L876" s="23">
        <v>31</v>
      </c>
      <c r="M876" s="65" t="str" cm="1">
        <f t="array" ref="M876">_xlfn.IFS(Table22[[#This Row],[Units Sold]]&lt;40,"Critical",Table22[[#This Row],[Units Sold]]&lt;=50,"Poor",Table22[[#This Row],[Units Sold]]&lt;=60,"Low",Table22[[#This Row],[Units Sold]]&lt;=80,"Average",Table22[[#This Row],[Units Sold]]&lt;=90,"High",Table22[[#This Row],[Units Sold]]&lt;=95,"Excellent",Table22[[#This Row],[Units Sold]]&gt;95,"Outstanding")</f>
        <v>Critical</v>
      </c>
      <c r="N876" s="29">
        <v>1169.78</v>
      </c>
      <c r="O876" s="29">
        <v>36263.18</v>
      </c>
      <c r="P876" s="43">
        <f>IF(Table22[[#This Row],[Discount Applied]],Table22[[#This Row],[Total Sales (in USD)]]*(1-Table22[[#This Row],[Discount Percentage (%)]]/100),Table22[[#This Row],[Total Sales (in USD)]])</f>
        <v>36263.18</v>
      </c>
      <c r="Q876" s="66">
        <f>SQRT(AVERAGE((Table22[[#This Row],[Net Sales (after discount) (in USD)]]-AVERAGE(Table22[Net Sales (after discount) (in USD)]))^2))</f>
        <v>248.18056376453751</v>
      </c>
      <c r="R876" s="18" t="b">
        <v>1</v>
      </c>
      <c r="S876" s="40">
        <v>12.87</v>
      </c>
      <c r="T876" s="18" t="b">
        <v>0</v>
      </c>
      <c r="U876" s="25">
        <v>45257</v>
      </c>
      <c r="V876" s="63" t="str">
        <f>IF(MONTH(Table22[[#This Row],[Sales Date]])&lt;=3,"Q1",IF(MONTH(Table22[[#This Row],[Sales Date]])&lt;=6,"Q2",IF(MONTH(Table22[[#This Row],[Sales Date]])&lt;=9,"Q3","Q4")))</f>
        <v>Q4</v>
      </c>
      <c r="W876" s="64">
        <f>YEAR(Table22[[#This Row],[Sales Date]])</f>
        <v>2023</v>
      </c>
      <c r="X876" s="23">
        <v>21</v>
      </c>
      <c r="Y876" s="18" t="s">
        <v>49</v>
      </c>
      <c r="Z876" s="18" t="s">
        <v>56</v>
      </c>
      <c r="AA876" s="19" t="s">
        <v>36</v>
      </c>
    </row>
    <row r="877" spans="1:27" x14ac:dyDescent="0.25">
      <c r="A877" s="17" t="s">
        <v>439</v>
      </c>
      <c r="B877" s="18" t="s">
        <v>46</v>
      </c>
      <c r="C877" s="63" t="str" cm="1">
        <f t="array" ref="C877">_xlfn.SWITCH(Table22[[#This Row],[Country]],"USA","North America","Canada","North America","Brazil","South America","China","Asia","Japan","Asia","India","Asia","France","Europe","Germany","Europe","UK","Europe","Australia","Oceania","South America")</f>
        <v>South America</v>
      </c>
      <c r="D877" s="18" t="s">
        <v>35</v>
      </c>
      <c r="E877" s="18" t="s">
        <v>19</v>
      </c>
      <c r="F877" s="18" t="s">
        <v>64</v>
      </c>
      <c r="G877" s="18" t="s">
        <v>29</v>
      </c>
      <c r="H877" s="64">
        <f>LEN(TRIM(Table22[[#This Row],[Country]]))</f>
        <v>6</v>
      </c>
      <c r="I877" s="64">
        <f>LEN(TRIM(Table22[[#This Row],[Continent]]))</f>
        <v>13</v>
      </c>
      <c r="J877" s="64">
        <f>LEN(TRIM(Table22[[#This Row],[Product]]))</f>
        <v>6</v>
      </c>
      <c r="K877" s="64">
        <f>LEN(TRIM(Table22[[#This Row],[Sales Team]]))</f>
        <v>10</v>
      </c>
      <c r="L877" s="23">
        <v>31</v>
      </c>
      <c r="M877" s="65" t="str" cm="1">
        <f t="array" ref="M877">_xlfn.IFS(Table22[[#This Row],[Units Sold]]&lt;40,"Critical",Table22[[#This Row],[Units Sold]]&lt;=50,"Poor",Table22[[#This Row],[Units Sold]]&lt;=60,"Low",Table22[[#This Row],[Units Sold]]&lt;=80,"Average",Table22[[#This Row],[Units Sold]]&lt;=90,"High",Table22[[#This Row],[Units Sold]]&lt;=95,"Excellent",Table22[[#This Row],[Units Sold]]&gt;95,"Outstanding")</f>
        <v>Critical</v>
      </c>
      <c r="N877" s="29">
        <v>1168.01</v>
      </c>
      <c r="O877" s="29">
        <v>36208.31</v>
      </c>
      <c r="P877" s="43">
        <f>IF(Table22[[#This Row],[Discount Applied]],Table22[[#This Row],[Total Sales (in USD)]]*(1-Table22[[#This Row],[Discount Percentage (%)]]/100),Table22[[#This Row],[Total Sales (in USD)]])</f>
        <v>26595.003694999996</v>
      </c>
      <c r="Q877" s="66">
        <f>SQRT(AVERAGE((Table22[[#This Row],[Net Sales (after discount) (in USD)]]-AVERAGE(Table22[Net Sales (after discount) (in USD)]))^2))</f>
        <v>9916.356868764542</v>
      </c>
      <c r="R877" s="18" t="b">
        <v>0</v>
      </c>
      <c r="S877" s="40">
        <v>26.55</v>
      </c>
      <c r="T877" s="18" t="b">
        <v>1</v>
      </c>
      <c r="U877" s="25">
        <v>45309</v>
      </c>
      <c r="V877" s="63" t="str">
        <f>IF(MONTH(Table22[[#This Row],[Sales Date]])&lt;=3,"Q1",IF(MONTH(Table22[[#This Row],[Sales Date]])&lt;=6,"Q2",IF(MONTH(Table22[[#This Row],[Sales Date]])&lt;=9,"Q3","Q4")))</f>
        <v>Q1</v>
      </c>
      <c r="W877" s="64">
        <f>YEAR(Table22[[#This Row],[Sales Date]])</f>
        <v>2024</v>
      </c>
      <c r="X877" s="23">
        <v>52</v>
      </c>
      <c r="Y877" s="18" t="s">
        <v>49</v>
      </c>
      <c r="Z877" s="18" t="s">
        <v>30</v>
      </c>
      <c r="AA877" s="19" t="s">
        <v>25</v>
      </c>
    </row>
    <row r="878" spans="1:27" x14ac:dyDescent="0.25">
      <c r="A878" s="17" t="s">
        <v>849</v>
      </c>
      <c r="B878" s="18" t="s">
        <v>46</v>
      </c>
      <c r="C878" s="63" t="str" cm="1">
        <f t="array" ref="C878">_xlfn.SWITCH(Table22[[#This Row],[Country]],"USA","North America","Canada","North America","Brazil","South America","China","Asia","Japan","Asia","India","Asia","France","Europe","Germany","Europe","UK","Europe","Australia","Oceania","South America")</f>
        <v>South America</v>
      </c>
      <c r="D878" s="18" t="s">
        <v>35</v>
      </c>
      <c r="E878" s="18" t="s">
        <v>19</v>
      </c>
      <c r="F878" s="18" t="s">
        <v>47</v>
      </c>
      <c r="G878" s="18" t="s">
        <v>40</v>
      </c>
      <c r="H878" s="64">
        <f>LEN(TRIM(Table22[[#This Row],[Country]]))</f>
        <v>6</v>
      </c>
      <c r="I878" s="64">
        <f>LEN(TRIM(Table22[[#This Row],[Continent]]))</f>
        <v>13</v>
      </c>
      <c r="J878" s="64">
        <f>LEN(TRIM(Table22[[#This Row],[Product]]))</f>
        <v>6</v>
      </c>
      <c r="K878" s="64">
        <f>LEN(TRIM(Table22[[#This Row],[Sales Team]]))</f>
        <v>10</v>
      </c>
      <c r="L878" s="23">
        <v>58</v>
      </c>
      <c r="M878" s="65" t="str" cm="1">
        <f t="array" ref="M878">_xlfn.IFS(Table22[[#This Row],[Units Sold]]&lt;40,"Critical",Table22[[#This Row],[Units Sold]]&lt;=50,"Poor",Table22[[#This Row],[Units Sold]]&lt;=60,"Low",Table22[[#This Row],[Units Sold]]&lt;=80,"Average",Table22[[#This Row],[Units Sold]]&lt;=90,"High",Table22[[#This Row],[Units Sold]]&lt;=95,"Excellent",Table22[[#This Row],[Units Sold]]&gt;95,"Outstanding")</f>
        <v>Low</v>
      </c>
      <c r="N878" s="29">
        <v>622</v>
      </c>
      <c r="O878" s="29">
        <v>36076</v>
      </c>
      <c r="P878" s="43">
        <f>IF(Table22[[#This Row],[Discount Applied]],Table22[[#This Row],[Total Sales (in USD)]]*(1-Table22[[#This Row],[Discount Percentage (%)]]/100),Table22[[#This Row],[Total Sales (in USD)]])</f>
        <v>36076</v>
      </c>
      <c r="Q878" s="66">
        <f>SQRT(AVERAGE((Table22[[#This Row],[Net Sales (after discount) (in USD)]]-AVERAGE(Table22[Net Sales (after discount) (in USD)]))^2))</f>
        <v>435.3605637645378</v>
      </c>
      <c r="R878" s="18" t="b">
        <v>1</v>
      </c>
      <c r="S878" s="40">
        <v>14.25</v>
      </c>
      <c r="T878" s="18" t="b">
        <v>0</v>
      </c>
      <c r="U878" s="25">
        <v>45156</v>
      </c>
      <c r="V878" s="63" t="str">
        <f>IF(MONTH(Table22[[#This Row],[Sales Date]])&lt;=3,"Q1",IF(MONTH(Table22[[#This Row],[Sales Date]])&lt;=6,"Q2",IF(MONTH(Table22[[#This Row],[Sales Date]])&lt;=9,"Q3","Q4")))</f>
        <v>Q3</v>
      </c>
      <c r="W878" s="64">
        <f>YEAR(Table22[[#This Row],[Sales Date]])</f>
        <v>2023</v>
      </c>
      <c r="X878" s="23">
        <v>50</v>
      </c>
      <c r="Y878" s="18" t="s">
        <v>49</v>
      </c>
      <c r="Z878" s="18" t="s">
        <v>24</v>
      </c>
      <c r="AA878" s="19" t="s">
        <v>36</v>
      </c>
    </row>
    <row r="879" spans="1:27" x14ac:dyDescent="0.25">
      <c r="A879" s="17" t="s">
        <v>1890</v>
      </c>
      <c r="B879" s="18" t="s">
        <v>38</v>
      </c>
      <c r="C879" s="63" t="str" cm="1">
        <f t="array" ref="C879">_xlfn.SWITCH(Table22[[#This Row],[Country]],"USA","North America","Canada","North America","Brazil","South America","China","Asia","Japan","Asia","India","Asia","France","Europe","Germany","Europe","UK","Europe","Australia","Oceania","South America")</f>
        <v>Europe</v>
      </c>
      <c r="D879" s="18" t="s">
        <v>35</v>
      </c>
      <c r="E879" s="18" t="s">
        <v>39</v>
      </c>
      <c r="F879" s="18" t="s">
        <v>52</v>
      </c>
      <c r="G879" s="18" t="s">
        <v>40</v>
      </c>
      <c r="H879" s="64">
        <f>LEN(TRIM(Table22[[#This Row],[Country]]))</f>
        <v>6</v>
      </c>
      <c r="I879" s="64">
        <f>LEN(TRIM(Table22[[#This Row],[Continent]]))</f>
        <v>6</v>
      </c>
      <c r="J879" s="64">
        <f>LEN(TRIM(Table22[[#This Row],[Product]]))</f>
        <v>10</v>
      </c>
      <c r="K879" s="64">
        <f>LEN(TRIM(Table22[[#This Row],[Sales Team]]))</f>
        <v>10</v>
      </c>
      <c r="L879" s="23">
        <v>61</v>
      </c>
      <c r="M879" s="65" t="str" cm="1">
        <f t="array" ref="M879">_xlfn.IFS(Table22[[#This Row],[Units Sold]]&lt;40,"Critical",Table22[[#This Row],[Units Sold]]&lt;=50,"Poor",Table22[[#This Row],[Units Sold]]&lt;=60,"Low",Table22[[#This Row],[Units Sold]]&lt;=80,"Average",Table22[[#This Row],[Units Sold]]&lt;=90,"High",Table22[[#This Row],[Units Sold]]&lt;=95,"Excellent",Table22[[#This Row],[Units Sold]]&gt;95,"Outstanding")</f>
        <v>Average</v>
      </c>
      <c r="N879" s="29">
        <v>591.4</v>
      </c>
      <c r="O879" s="29">
        <v>36075.4</v>
      </c>
      <c r="P879" s="43">
        <f>IF(Table22[[#This Row],[Discount Applied]],Table22[[#This Row],[Total Sales (in USD)]]*(1-Table22[[#This Row],[Discount Percentage (%)]]/100),Table22[[#This Row],[Total Sales (in USD)]])</f>
        <v>25483.662560000001</v>
      </c>
      <c r="Q879" s="66">
        <f>SQRT(AVERAGE((Table22[[#This Row],[Net Sales (after discount) (in USD)]]-AVERAGE(Table22[Net Sales (after discount) (in USD)]))^2))</f>
        <v>11027.698003764537</v>
      </c>
      <c r="R879" s="18" t="b">
        <v>0</v>
      </c>
      <c r="S879" s="40">
        <v>29.36</v>
      </c>
      <c r="T879" s="18" t="b">
        <v>1</v>
      </c>
      <c r="U879" s="25">
        <v>44972</v>
      </c>
      <c r="V879" s="63" t="str">
        <f>IF(MONTH(Table22[[#This Row],[Sales Date]])&lt;=3,"Q1",IF(MONTH(Table22[[#This Row],[Sales Date]])&lt;=6,"Q2",IF(MONTH(Table22[[#This Row],[Sales Date]])&lt;=9,"Q3","Q4")))</f>
        <v>Q1</v>
      </c>
      <c r="W879" s="64">
        <f>YEAR(Table22[[#This Row],[Sales Date]])</f>
        <v>2023</v>
      </c>
      <c r="X879" s="23">
        <v>22</v>
      </c>
      <c r="Y879" s="18" t="s">
        <v>23</v>
      </c>
      <c r="Z879" s="18" t="s">
        <v>56</v>
      </c>
      <c r="AA879" s="19" t="s">
        <v>36</v>
      </c>
    </row>
    <row r="880" spans="1:27" x14ac:dyDescent="0.25">
      <c r="A880" s="17" t="s">
        <v>196</v>
      </c>
      <c r="B880" s="18" t="s">
        <v>72</v>
      </c>
      <c r="C880" s="63" t="str" cm="1">
        <f t="array" ref="C880">_xlfn.SWITCH(Table22[[#This Row],[Country]],"USA","North America","Canada","North America","Brazil","South America","China","Asia","Japan","Asia","India","Asia","France","Europe","Germany","Europe","UK","Europe","Australia","Oceania","South America")</f>
        <v>North America</v>
      </c>
      <c r="D880" s="18" t="s">
        <v>35</v>
      </c>
      <c r="E880" s="18" t="s">
        <v>33</v>
      </c>
      <c r="F880" s="18" t="s">
        <v>64</v>
      </c>
      <c r="G880" s="18" t="s">
        <v>48</v>
      </c>
      <c r="H880" s="64">
        <f>LEN(TRIM(Table22[[#This Row],[Country]]))</f>
        <v>3</v>
      </c>
      <c r="I880" s="64">
        <f>LEN(TRIM(Table22[[#This Row],[Continent]]))</f>
        <v>13</v>
      </c>
      <c r="J880" s="64">
        <f>LEN(TRIM(Table22[[#This Row],[Product]]))</f>
        <v>10</v>
      </c>
      <c r="K880" s="64">
        <f>LEN(TRIM(Table22[[#This Row],[Sales Team]]))</f>
        <v>9</v>
      </c>
      <c r="L880" s="23">
        <v>84</v>
      </c>
      <c r="M880" s="65" t="str" cm="1">
        <f t="array" ref="M880">_xlfn.IFS(Table22[[#This Row],[Units Sold]]&lt;40,"Critical",Table22[[#This Row],[Units Sold]]&lt;=50,"Poor",Table22[[#This Row],[Units Sold]]&lt;=60,"Low",Table22[[#This Row],[Units Sold]]&lt;=80,"Average",Table22[[#This Row],[Units Sold]]&lt;=90,"High",Table22[[#This Row],[Units Sold]]&lt;=95,"Excellent",Table22[[#This Row],[Units Sold]]&gt;95,"Outstanding")</f>
        <v>High</v>
      </c>
      <c r="N880" s="29">
        <v>428.81</v>
      </c>
      <c r="O880" s="29">
        <v>36020.04</v>
      </c>
      <c r="P880" s="43">
        <f>IF(Table22[[#This Row],[Discount Applied]],Table22[[#This Row],[Total Sales (in USD)]]*(1-Table22[[#This Row],[Discount Percentage (%)]]/100),Table22[[#This Row],[Total Sales (in USD)]])</f>
        <v>36020.04</v>
      </c>
      <c r="Q880" s="66">
        <f>SQRT(AVERAGE((Table22[[#This Row],[Net Sales (after discount) (in USD)]]-AVERAGE(Table22[Net Sales (after discount) (in USD)]))^2))</f>
        <v>491.32056376453693</v>
      </c>
      <c r="R880" s="18" t="b">
        <v>1</v>
      </c>
      <c r="S880" s="40">
        <v>17.170000000000002</v>
      </c>
      <c r="T880" s="18" t="b">
        <v>0</v>
      </c>
      <c r="U880" s="25">
        <v>45486</v>
      </c>
      <c r="V880" s="63" t="str">
        <f>IF(MONTH(Table22[[#This Row],[Sales Date]])&lt;=3,"Q1",IF(MONTH(Table22[[#This Row],[Sales Date]])&lt;=6,"Q2",IF(MONTH(Table22[[#This Row],[Sales Date]])&lt;=9,"Q3","Q4")))</f>
        <v>Q3</v>
      </c>
      <c r="W880" s="64">
        <f>YEAR(Table22[[#This Row],[Sales Date]])</f>
        <v>2024</v>
      </c>
      <c r="X880" s="23">
        <v>49</v>
      </c>
      <c r="Y880" s="18" t="s">
        <v>41</v>
      </c>
      <c r="Z880" s="18" t="s">
        <v>24</v>
      </c>
      <c r="AA880" s="19" t="s">
        <v>36</v>
      </c>
    </row>
    <row r="881" spans="1:27" x14ac:dyDescent="0.25">
      <c r="A881" s="17" t="s">
        <v>1016</v>
      </c>
      <c r="B881" s="18" t="s">
        <v>72</v>
      </c>
      <c r="C881" s="63" t="str" cm="1">
        <f t="array" ref="C881">_xlfn.SWITCH(Table22[[#This Row],[Country]],"USA","North America","Canada","North America","Brazil","South America","China","Asia","Japan","Asia","India","Asia","France","Europe","Germany","Europe","UK","Europe","Australia","Oceania","South America")</f>
        <v>North America</v>
      </c>
      <c r="D881" s="18" t="s">
        <v>28</v>
      </c>
      <c r="E881" s="18" t="s">
        <v>33</v>
      </c>
      <c r="F881" s="18" t="s">
        <v>47</v>
      </c>
      <c r="G881" s="18" t="s">
        <v>40</v>
      </c>
      <c r="H881" s="64">
        <f>LEN(TRIM(Table22[[#This Row],[Country]]))</f>
        <v>3</v>
      </c>
      <c r="I881" s="64">
        <f>LEN(TRIM(Table22[[#This Row],[Continent]]))</f>
        <v>13</v>
      </c>
      <c r="J881" s="64">
        <f>LEN(TRIM(Table22[[#This Row],[Product]]))</f>
        <v>10</v>
      </c>
      <c r="K881" s="64">
        <f>LEN(TRIM(Table22[[#This Row],[Sales Team]]))</f>
        <v>10</v>
      </c>
      <c r="L881" s="23">
        <v>70</v>
      </c>
      <c r="M881" s="65" t="str" cm="1">
        <f t="array" ref="M881">_xlfn.IFS(Table22[[#This Row],[Units Sold]]&lt;40,"Critical",Table22[[#This Row],[Units Sold]]&lt;=50,"Poor",Table22[[#This Row],[Units Sold]]&lt;=60,"Low",Table22[[#This Row],[Units Sold]]&lt;=80,"Average",Table22[[#This Row],[Units Sold]]&lt;=90,"High",Table22[[#This Row],[Units Sold]]&lt;=95,"Excellent",Table22[[#This Row],[Units Sold]]&gt;95,"Outstanding")</f>
        <v>Average</v>
      </c>
      <c r="N881" s="29">
        <v>513.30999999999995</v>
      </c>
      <c r="O881" s="29">
        <v>35931.699999999997</v>
      </c>
      <c r="P881" s="43">
        <f>IF(Table22[[#This Row],[Discount Applied]],Table22[[#This Row],[Total Sales (in USD)]]*(1-Table22[[#This Row],[Discount Percentage (%)]]/100),Table22[[#This Row],[Total Sales (in USD)]])</f>
        <v>25349.814349999997</v>
      </c>
      <c r="Q881" s="66">
        <f>SQRT(AVERAGE((Table22[[#This Row],[Net Sales (after discount) (in USD)]]-AVERAGE(Table22[Net Sales (after discount) (in USD)]))^2))</f>
        <v>11161.546213764541</v>
      </c>
      <c r="R881" s="18" t="b">
        <v>0</v>
      </c>
      <c r="S881" s="40">
        <v>29.45</v>
      </c>
      <c r="T881" s="18" t="b">
        <v>1</v>
      </c>
      <c r="U881" s="25">
        <v>45400</v>
      </c>
      <c r="V881" s="63" t="str">
        <f>IF(MONTH(Table22[[#This Row],[Sales Date]])&lt;=3,"Q1",IF(MONTH(Table22[[#This Row],[Sales Date]])&lt;=6,"Q2",IF(MONTH(Table22[[#This Row],[Sales Date]])&lt;=9,"Q3","Q4")))</f>
        <v>Q2</v>
      </c>
      <c r="W881" s="64">
        <f>YEAR(Table22[[#This Row],[Sales Date]])</f>
        <v>2024</v>
      </c>
      <c r="X881" s="23">
        <v>38</v>
      </c>
      <c r="Y881" s="18" t="s">
        <v>41</v>
      </c>
      <c r="Z881" s="18" t="s">
        <v>56</v>
      </c>
      <c r="AA881" s="19" t="s">
        <v>36</v>
      </c>
    </row>
    <row r="882" spans="1:27" x14ac:dyDescent="0.25">
      <c r="A882" s="17" t="s">
        <v>1293</v>
      </c>
      <c r="B882" s="18" t="s">
        <v>38</v>
      </c>
      <c r="C882" s="63" t="str" cm="1">
        <f t="array" ref="C882">_xlfn.SWITCH(Table22[[#This Row],[Country]],"USA","North America","Canada","North America","Brazil","South America","China","Asia","Japan","Asia","India","Asia","France","Europe","Germany","Europe","UK","Europe","Australia","Oceania","South America")</f>
        <v>Europe</v>
      </c>
      <c r="D882" s="18" t="s">
        <v>35</v>
      </c>
      <c r="E882" s="18" t="s">
        <v>33</v>
      </c>
      <c r="F882" s="18" t="s">
        <v>64</v>
      </c>
      <c r="G882" s="18" t="s">
        <v>48</v>
      </c>
      <c r="H882" s="64">
        <f>LEN(TRIM(Table22[[#This Row],[Country]]))</f>
        <v>6</v>
      </c>
      <c r="I882" s="64">
        <f>LEN(TRIM(Table22[[#This Row],[Continent]]))</f>
        <v>6</v>
      </c>
      <c r="J882" s="64">
        <f>LEN(TRIM(Table22[[#This Row],[Product]]))</f>
        <v>10</v>
      </c>
      <c r="K882" s="64">
        <f>LEN(TRIM(Table22[[#This Row],[Sales Team]]))</f>
        <v>9</v>
      </c>
      <c r="L882" s="23">
        <v>75</v>
      </c>
      <c r="M882" s="65" t="str" cm="1">
        <f t="array" ref="M882">_xlfn.IFS(Table22[[#This Row],[Units Sold]]&lt;40,"Critical",Table22[[#This Row],[Units Sold]]&lt;=50,"Poor",Table22[[#This Row],[Units Sold]]&lt;=60,"Low",Table22[[#This Row],[Units Sold]]&lt;=80,"Average",Table22[[#This Row],[Units Sold]]&lt;=90,"High",Table22[[#This Row],[Units Sold]]&lt;=95,"Excellent",Table22[[#This Row],[Units Sold]]&gt;95,"Outstanding")</f>
        <v>Average</v>
      </c>
      <c r="N882" s="29">
        <v>478.68</v>
      </c>
      <c r="O882" s="29">
        <v>35901</v>
      </c>
      <c r="P882" s="43">
        <f>IF(Table22[[#This Row],[Discount Applied]],Table22[[#This Row],[Total Sales (in USD)]]*(1-Table22[[#This Row],[Discount Percentage (%)]]/100),Table22[[#This Row],[Total Sales (in USD)]])</f>
        <v>35901</v>
      </c>
      <c r="Q882" s="66">
        <f>SQRT(AVERAGE((Table22[[#This Row],[Net Sales (after discount) (in USD)]]-AVERAGE(Table22[Net Sales (after discount) (in USD)]))^2))</f>
        <v>610.3605637645378</v>
      </c>
      <c r="R882" s="18" t="b">
        <v>0</v>
      </c>
      <c r="S882" s="40">
        <v>29.61</v>
      </c>
      <c r="T882" s="18" t="b">
        <v>0</v>
      </c>
      <c r="U882" s="25">
        <v>45541</v>
      </c>
      <c r="V882" s="63" t="str">
        <f>IF(MONTH(Table22[[#This Row],[Sales Date]])&lt;=3,"Q1",IF(MONTH(Table22[[#This Row],[Sales Date]])&lt;=6,"Q2",IF(MONTH(Table22[[#This Row],[Sales Date]])&lt;=9,"Q3","Q4")))</f>
        <v>Q3</v>
      </c>
      <c r="W882" s="64">
        <f>YEAR(Table22[[#This Row],[Sales Date]])</f>
        <v>2024</v>
      </c>
      <c r="X882" s="23">
        <v>51</v>
      </c>
      <c r="Y882" s="18" t="s">
        <v>23</v>
      </c>
      <c r="Z882" s="18" t="s">
        <v>24</v>
      </c>
      <c r="AA882" s="19" t="s">
        <v>25</v>
      </c>
    </row>
    <row r="883" spans="1:27" x14ac:dyDescent="0.25">
      <c r="A883" s="17" t="s">
        <v>1967</v>
      </c>
      <c r="B883" s="18" t="s">
        <v>38</v>
      </c>
      <c r="C883" s="63" t="str" cm="1">
        <f t="array" ref="C883">_xlfn.SWITCH(Table22[[#This Row],[Country]],"USA","North America","Canada","North America","Brazil","South America","China","Asia","Japan","Asia","India","Asia","France","Europe","Germany","Europe","UK","Europe","Australia","Oceania","South America")</f>
        <v>Europe</v>
      </c>
      <c r="D883" s="18" t="s">
        <v>21</v>
      </c>
      <c r="E883" s="18" t="s">
        <v>19</v>
      </c>
      <c r="F883" s="18" t="s">
        <v>20</v>
      </c>
      <c r="G883" s="18" t="s">
        <v>22</v>
      </c>
      <c r="H883" s="64">
        <f>LEN(TRIM(Table22[[#This Row],[Country]]))</f>
        <v>6</v>
      </c>
      <c r="I883" s="64">
        <f>LEN(TRIM(Table22[[#This Row],[Continent]]))</f>
        <v>6</v>
      </c>
      <c r="J883" s="64">
        <f>LEN(TRIM(Table22[[#This Row],[Product]]))</f>
        <v>6</v>
      </c>
      <c r="K883" s="64">
        <f>LEN(TRIM(Table22[[#This Row],[Sales Team]]))</f>
        <v>10</v>
      </c>
      <c r="L883" s="23">
        <v>71</v>
      </c>
      <c r="M883" s="65" t="str" cm="1">
        <f t="array" ref="M883">_xlfn.IFS(Table22[[#This Row],[Units Sold]]&lt;40,"Critical",Table22[[#This Row],[Units Sold]]&lt;=50,"Poor",Table22[[#This Row],[Units Sold]]&lt;=60,"Low",Table22[[#This Row],[Units Sold]]&lt;=80,"Average",Table22[[#This Row],[Units Sold]]&lt;=90,"High",Table22[[#This Row],[Units Sold]]&lt;=95,"Excellent",Table22[[#This Row],[Units Sold]]&gt;95,"Outstanding")</f>
        <v>Average</v>
      </c>
      <c r="N883" s="29">
        <v>504.68</v>
      </c>
      <c r="O883" s="29">
        <v>35832.28</v>
      </c>
      <c r="P883" s="43">
        <f>IF(Table22[[#This Row],[Discount Applied]],Table22[[#This Row],[Total Sales (in USD)]]*(1-Table22[[#This Row],[Discount Percentage (%)]]/100),Table22[[#This Row],[Total Sales (in USD)]])</f>
        <v>30948.340236</v>
      </c>
      <c r="Q883" s="66">
        <f>SQRT(AVERAGE((Table22[[#This Row],[Net Sales (after discount) (in USD)]]-AVERAGE(Table22[Net Sales (after discount) (in USD)]))^2))</f>
        <v>5563.0203277645378</v>
      </c>
      <c r="R883" s="18" t="b">
        <v>1</v>
      </c>
      <c r="S883" s="40">
        <v>13.63</v>
      </c>
      <c r="T883" s="18" t="b">
        <v>1</v>
      </c>
      <c r="U883" s="25">
        <v>45487</v>
      </c>
      <c r="V883" s="63" t="str">
        <f>IF(MONTH(Table22[[#This Row],[Sales Date]])&lt;=3,"Q1",IF(MONTH(Table22[[#This Row],[Sales Date]])&lt;=6,"Q2",IF(MONTH(Table22[[#This Row],[Sales Date]])&lt;=9,"Q3","Q4")))</f>
        <v>Q3</v>
      </c>
      <c r="W883" s="64">
        <f>YEAR(Table22[[#This Row],[Sales Date]])</f>
        <v>2024</v>
      </c>
      <c r="X883" s="23">
        <v>59</v>
      </c>
      <c r="Y883" s="18" t="s">
        <v>23</v>
      </c>
      <c r="Z883" s="18" t="s">
        <v>42</v>
      </c>
      <c r="AA883" s="19" t="s">
        <v>36</v>
      </c>
    </row>
    <row r="884" spans="1:27" x14ac:dyDescent="0.25">
      <c r="A884" s="17" t="s">
        <v>1753</v>
      </c>
      <c r="B884" s="18" t="s">
        <v>27</v>
      </c>
      <c r="C884" s="63" t="str" cm="1">
        <f t="array" ref="C884">_xlfn.SWITCH(Table22[[#This Row],[Country]],"USA","North America","Canada","North America","Brazil","South America","China","Asia","Japan","Asia","India","Asia","France","Europe","Germany","Europe","UK","Europe","Australia","Oceania","South America")</f>
        <v>Europe</v>
      </c>
      <c r="D884" s="18" t="s">
        <v>28</v>
      </c>
      <c r="E884" s="18" t="s">
        <v>19</v>
      </c>
      <c r="F884" s="18" t="s">
        <v>52</v>
      </c>
      <c r="G884" s="18" t="s">
        <v>40</v>
      </c>
      <c r="H884" s="64">
        <f>LEN(TRIM(Table22[[#This Row],[Country]]))</f>
        <v>7</v>
      </c>
      <c r="I884" s="64">
        <f>LEN(TRIM(Table22[[#This Row],[Continent]]))</f>
        <v>6</v>
      </c>
      <c r="J884" s="64">
        <f>LEN(TRIM(Table22[[#This Row],[Product]]))</f>
        <v>6</v>
      </c>
      <c r="K884" s="64">
        <f>LEN(TRIM(Table22[[#This Row],[Sales Team]]))</f>
        <v>10</v>
      </c>
      <c r="L884" s="23">
        <v>98</v>
      </c>
      <c r="M884" s="65" t="str" cm="1">
        <f t="array" ref="M884">_xlfn.IFS(Table22[[#This Row],[Units Sold]]&lt;40,"Critical",Table22[[#This Row],[Units Sold]]&lt;=50,"Poor",Table22[[#This Row],[Units Sold]]&lt;=60,"Low",Table22[[#This Row],[Units Sold]]&lt;=80,"Average",Table22[[#This Row],[Units Sold]]&lt;=90,"High",Table22[[#This Row],[Units Sold]]&lt;=95,"Excellent",Table22[[#This Row],[Units Sold]]&gt;95,"Outstanding")</f>
        <v>Outstanding</v>
      </c>
      <c r="N884" s="29">
        <v>365.3</v>
      </c>
      <c r="O884" s="29">
        <v>35799.4</v>
      </c>
      <c r="P884" s="43">
        <f>IF(Table22[[#This Row],[Discount Applied]],Table22[[#This Row],[Total Sales (in USD)]]*(1-Table22[[#This Row],[Discount Percentage (%)]]/100),Table22[[#This Row],[Total Sales (in USD)]])</f>
        <v>35799.4</v>
      </c>
      <c r="Q884" s="66">
        <f>SQRT(AVERAGE((Table22[[#This Row],[Net Sales (after discount) (in USD)]]-AVERAGE(Table22[Net Sales (after discount) (in USD)]))^2))</f>
        <v>711.96056376453635</v>
      </c>
      <c r="R884" s="18" t="b">
        <v>1</v>
      </c>
      <c r="S884" s="40">
        <v>24.37</v>
      </c>
      <c r="T884" s="18" t="b">
        <v>0</v>
      </c>
      <c r="U884" s="25">
        <v>45231</v>
      </c>
      <c r="V884" s="63" t="str">
        <f>IF(MONTH(Table22[[#This Row],[Sales Date]])&lt;=3,"Q1",IF(MONTH(Table22[[#This Row],[Sales Date]])&lt;=6,"Q2",IF(MONTH(Table22[[#This Row],[Sales Date]])&lt;=9,"Q3","Q4")))</f>
        <v>Q4</v>
      </c>
      <c r="W884" s="64">
        <f>YEAR(Table22[[#This Row],[Sales Date]])</f>
        <v>2023</v>
      </c>
      <c r="X884" s="23">
        <v>66</v>
      </c>
      <c r="Y884" s="18" t="s">
        <v>23</v>
      </c>
      <c r="Z884" s="18" t="s">
        <v>30</v>
      </c>
      <c r="AA884" s="19" t="s">
        <v>25</v>
      </c>
    </row>
    <row r="885" spans="1:27" x14ac:dyDescent="0.25">
      <c r="A885" s="17" t="s">
        <v>1836</v>
      </c>
      <c r="B885" s="18" t="s">
        <v>38</v>
      </c>
      <c r="C885" s="63" t="str" cm="1">
        <f t="array" ref="C885">_xlfn.SWITCH(Table22[[#This Row],[Country]],"USA","North America","Canada","North America","Brazil","South America","China","Asia","Japan","Asia","India","Asia","France","Europe","Germany","Europe","UK","Europe","Australia","Oceania","South America")</f>
        <v>Europe</v>
      </c>
      <c r="D885" s="18" t="s">
        <v>28</v>
      </c>
      <c r="E885" s="18" t="s">
        <v>19</v>
      </c>
      <c r="F885" s="18" t="s">
        <v>47</v>
      </c>
      <c r="G885" s="18" t="s">
        <v>40</v>
      </c>
      <c r="H885" s="64">
        <f>LEN(TRIM(Table22[[#This Row],[Country]]))</f>
        <v>6</v>
      </c>
      <c r="I885" s="64">
        <f>LEN(TRIM(Table22[[#This Row],[Continent]]))</f>
        <v>6</v>
      </c>
      <c r="J885" s="64">
        <f>LEN(TRIM(Table22[[#This Row],[Product]]))</f>
        <v>6</v>
      </c>
      <c r="K885" s="64">
        <f>LEN(TRIM(Table22[[#This Row],[Sales Team]]))</f>
        <v>10</v>
      </c>
      <c r="L885" s="23">
        <v>30</v>
      </c>
      <c r="M885" s="65" t="str" cm="1">
        <f t="array" ref="M885">_xlfn.IFS(Table22[[#This Row],[Units Sold]]&lt;40,"Critical",Table22[[#This Row],[Units Sold]]&lt;=50,"Poor",Table22[[#This Row],[Units Sold]]&lt;=60,"Low",Table22[[#This Row],[Units Sold]]&lt;=80,"Average",Table22[[#This Row],[Units Sold]]&lt;=90,"High",Table22[[#This Row],[Units Sold]]&lt;=95,"Excellent",Table22[[#This Row],[Units Sold]]&gt;95,"Outstanding")</f>
        <v>Critical</v>
      </c>
      <c r="N885" s="29">
        <v>1192.51</v>
      </c>
      <c r="O885" s="29">
        <v>35775.300000000003</v>
      </c>
      <c r="P885" s="43">
        <f>IF(Table22[[#This Row],[Discount Applied]],Table22[[#This Row],[Total Sales (in USD)]]*(1-Table22[[#This Row],[Discount Percentage (%)]]/100),Table22[[#This Row],[Total Sales (in USD)]])</f>
        <v>31947.342900000003</v>
      </c>
      <c r="Q885" s="66">
        <f>SQRT(AVERAGE((Table22[[#This Row],[Net Sales (after discount) (in USD)]]-AVERAGE(Table22[Net Sales (after discount) (in USD)]))^2))</f>
        <v>4564.0176637645345</v>
      </c>
      <c r="R885" s="18" t="b">
        <v>0</v>
      </c>
      <c r="S885" s="40">
        <v>10.7</v>
      </c>
      <c r="T885" s="18" t="b">
        <v>1</v>
      </c>
      <c r="U885" s="25">
        <v>45366</v>
      </c>
      <c r="V885" s="63" t="str">
        <f>IF(MONTH(Table22[[#This Row],[Sales Date]])&lt;=3,"Q1",IF(MONTH(Table22[[#This Row],[Sales Date]])&lt;=6,"Q2",IF(MONTH(Table22[[#This Row],[Sales Date]])&lt;=9,"Q3","Q4")))</f>
        <v>Q1</v>
      </c>
      <c r="W885" s="64">
        <f>YEAR(Table22[[#This Row],[Sales Date]])</f>
        <v>2024</v>
      </c>
      <c r="X885" s="23">
        <v>18</v>
      </c>
      <c r="Y885" s="18" t="s">
        <v>49</v>
      </c>
      <c r="Z885" s="18" t="s">
        <v>56</v>
      </c>
      <c r="AA885" s="19" t="s">
        <v>25</v>
      </c>
    </row>
    <row r="886" spans="1:27" x14ac:dyDescent="0.25">
      <c r="A886" s="17" t="s">
        <v>1546</v>
      </c>
      <c r="B886" s="18" t="s">
        <v>51</v>
      </c>
      <c r="C886" s="63" t="str" cm="1">
        <f t="array" ref="C886">_xlfn.SWITCH(Table22[[#This Row],[Country]],"USA","North America","Canada","North America","Brazil","South America","China","Asia","Japan","Asia","India","Asia","France","Europe","Germany","Europe","UK","Europe","Australia","Oceania","South America")</f>
        <v>Europe</v>
      </c>
      <c r="D886" s="18" t="s">
        <v>35</v>
      </c>
      <c r="E886" s="18" t="s">
        <v>19</v>
      </c>
      <c r="F886" s="18" t="s">
        <v>34</v>
      </c>
      <c r="G886" s="18" t="s">
        <v>29</v>
      </c>
      <c r="H886" s="64">
        <f>LEN(TRIM(Table22[[#This Row],[Country]]))</f>
        <v>2</v>
      </c>
      <c r="I886" s="64">
        <f>LEN(TRIM(Table22[[#This Row],[Continent]]))</f>
        <v>6</v>
      </c>
      <c r="J886" s="64">
        <f>LEN(TRIM(Table22[[#This Row],[Product]]))</f>
        <v>6</v>
      </c>
      <c r="K886" s="64">
        <f>LEN(TRIM(Table22[[#This Row],[Sales Team]]))</f>
        <v>10</v>
      </c>
      <c r="L886" s="23">
        <v>33</v>
      </c>
      <c r="M886" s="65" t="str" cm="1">
        <f t="array" ref="M886">_xlfn.IFS(Table22[[#This Row],[Units Sold]]&lt;40,"Critical",Table22[[#This Row],[Units Sold]]&lt;=50,"Poor",Table22[[#This Row],[Units Sold]]&lt;=60,"Low",Table22[[#This Row],[Units Sold]]&lt;=80,"Average",Table22[[#This Row],[Units Sold]]&lt;=90,"High",Table22[[#This Row],[Units Sold]]&lt;=95,"Excellent",Table22[[#This Row],[Units Sold]]&gt;95,"Outstanding")</f>
        <v>Critical</v>
      </c>
      <c r="N886" s="29">
        <v>1083.52</v>
      </c>
      <c r="O886" s="29">
        <v>35756.160000000003</v>
      </c>
      <c r="P886" s="43">
        <f>IF(Table22[[#This Row],[Discount Applied]],Table22[[#This Row],[Total Sales (in USD)]]*(1-Table22[[#This Row],[Discount Percentage (%)]]/100),Table22[[#This Row],[Total Sales (in USD)]])</f>
        <v>35756.160000000003</v>
      </c>
      <c r="Q886" s="66">
        <f>SQRT(AVERAGE((Table22[[#This Row],[Net Sales (after discount) (in USD)]]-AVERAGE(Table22[Net Sales (after discount) (in USD)]))^2))</f>
        <v>755.20056376453431</v>
      </c>
      <c r="R886" s="18" t="b">
        <v>0</v>
      </c>
      <c r="S886" s="40">
        <v>23.49</v>
      </c>
      <c r="T886" s="18" t="b">
        <v>0</v>
      </c>
      <c r="U886" s="25">
        <v>45593</v>
      </c>
      <c r="V886" s="63" t="str">
        <f>IF(MONTH(Table22[[#This Row],[Sales Date]])&lt;=3,"Q1",IF(MONTH(Table22[[#This Row],[Sales Date]])&lt;=6,"Q2",IF(MONTH(Table22[[#This Row],[Sales Date]])&lt;=9,"Q3","Q4")))</f>
        <v>Q4</v>
      </c>
      <c r="W886" s="64">
        <f>YEAR(Table22[[#This Row],[Sales Date]])</f>
        <v>2024</v>
      </c>
      <c r="X886" s="23">
        <v>47</v>
      </c>
      <c r="Y886" s="18" t="s">
        <v>41</v>
      </c>
      <c r="Z886" s="18" t="s">
        <v>30</v>
      </c>
      <c r="AA886" s="19" t="s">
        <v>25</v>
      </c>
    </row>
    <row r="887" spans="1:27" x14ac:dyDescent="0.25">
      <c r="A887" s="17" t="s">
        <v>1405</v>
      </c>
      <c r="B887" s="18" t="s">
        <v>76</v>
      </c>
      <c r="C887" s="63" t="str" cm="1">
        <f t="array" ref="C887">_xlfn.SWITCH(Table22[[#This Row],[Country]],"USA","North America","Canada","North America","Brazil","South America","China","Asia","Japan","Asia","India","Asia","France","Europe","Germany","Europe","UK","Europe","Australia","Oceania","South America")</f>
        <v>Asia</v>
      </c>
      <c r="D887" s="18" t="s">
        <v>28</v>
      </c>
      <c r="E887" s="18" t="s">
        <v>33</v>
      </c>
      <c r="F887" s="18" t="s">
        <v>64</v>
      </c>
      <c r="G887" s="18" t="s">
        <v>40</v>
      </c>
      <c r="H887" s="64">
        <f>LEN(TRIM(Table22[[#This Row],[Country]]))</f>
        <v>5</v>
      </c>
      <c r="I887" s="64">
        <f>LEN(TRIM(Table22[[#This Row],[Continent]]))</f>
        <v>4</v>
      </c>
      <c r="J887" s="64">
        <f>LEN(TRIM(Table22[[#This Row],[Product]]))</f>
        <v>10</v>
      </c>
      <c r="K887" s="64">
        <f>LEN(TRIM(Table22[[#This Row],[Sales Team]]))</f>
        <v>10</v>
      </c>
      <c r="L887" s="23">
        <v>52</v>
      </c>
      <c r="M887" s="65" t="str" cm="1">
        <f t="array" ref="M887">_xlfn.IFS(Table22[[#This Row],[Units Sold]]&lt;40,"Critical",Table22[[#This Row],[Units Sold]]&lt;=50,"Poor",Table22[[#This Row],[Units Sold]]&lt;=60,"Low",Table22[[#This Row],[Units Sold]]&lt;=80,"Average",Table22[[#This Row],[Units Sold]]&lt;=90,"High",Table22[[#This Row],[Units Sold]]&lt;=95,"Excellent",Table22[[#This Row],[Units Sold]]&gt;95,"Outstanding")</f>
        <v>Low</v>
      </c>
      <c r="N887" s="29">
        <v>685.74</v>
      </c>
      <c r="O887" s="29">
        <v>35658.480000000003</v>
      </c>
      <c r="P887" s="43">
        <f>IF(Table22[[#This Row],[Discount Applied]],Table22[[#This Row],[Total Sales (in USD)]]*(1-Table22[[#This Row],[Discount Percentage (%)]]/100),Table22[[#This Row],[Total Sales (in USD)]])</f>
        <v>35658.480000000003</v>
      </c>
      <c r="Q887" s="66">
        <f>SQRT(AVERAGE((Table22[[#This Row],[Net Sales (after discount) (in USD)]]-AVERAGE(Table22[Net Sales (after discount) (in USD)]))^2))</f>
        <v>852.8805637645346</v>
      </c>
      <c r="R887" s="18" t="b">
        <v>0</v>
      </c>
      <c r="S887" s="40">
        <v>4.07</v>
      </c>
      <c r="T887" s="18" t="b">
        <v>0</v>
      </c>
      <c r="U887" s="25">
        <v>45220</v>
      </c>
      <c r="V887" s="63" t="str">
        <f>IF(MONTH(Table22[[#This Row],[Sales Date]])&lt;=3,"Q1",IF(MONTH(Table22[[#This Row],[Sales Date]])&lt;=6,"Q2",IF(MONTH(Table22[[#This Row],[Sales Date]])&lt;=9,"Q3","Q4")))</f>
        <v>Q4</v>
      </c>
      <c r="W887" s="64">
        <f>YEAR(Table22[[#This Row],[Sales Date]])</f>
        <v>2023</v>
      </c>
      <c r="X887" s="23">
        <v>57</v>
      </c>
      <c r="Y887" s="18" t="s">
        <v>23</v>
      </c>
      <c r="Z887" s="18" t="s">
        <v>42</v>
      </c>
      <c r="AA887" s="19" t="s">
        <v>36</v>
      </c>
    </row>
    <row r="888" spans="1:27" x14ac:dyDescent="0.25">
      <c r="A888" s="17" t="s">
        <v>1946</v>
      </c>
      <c r="B888" s="18" t="s">
        <v>76</v>
      </c>
      <c r="C888" s="63" t="str" cm="1">
        <f t="array" ref="C888">_xlfn.SWITCH(Table22[[#This Row],[Country]],"USA","North America","Canada","North America","Brazil","South America","China","Asia","Japan","Asia","India","Asia","France","Europe","Germany","Europe","UK","Europe","Australia","Oceania","South America")</f>
        <v>Asia</v>
      </c>
      <c r="D888" s="18" t="s">
        <v>28</v>
      </c>
      <c r="E888" s="18" t="s">
        <v>39</v>
      </c>
      <c r="F888" s="18" t="s">
        <v>64</v>
      </c>
      <c r="G888" s="18" t="s">
        <v>40</v>
      </c>
      <c r="H888" s="64">
        <f>LEN(TRIM(Table22[[#This Row],[Country]]))</f>
        <v>5</v>
      </c>
      <c r="I888" s="64">
        <f>LEN(TRIM(Table22[[#This Row],[Continent]]))</f>
        <v>4</v>
      </c>
      <c r="J888" s="64">
        <f>LEN(TRIM(Table22[[#This Row],[Product]]))</f>
        <v>10</v>
      </c>
      <c r="K888" s="64">
        <f>LEN(TRIM(Table22[[#This Row],[Sales Team]]))</f>
        <v>10</v>
      </c>
      <c r="L888" s="23">
        <v>36</v>
      </c>
      <c r="M888" s="65" t="str" cm="1">
        <f t="array" ref="M888">_xlfn.IFS(Table22[[#This Row],[Units Sold]]&lt;40,"Critical",Table22[[#This Row],[Units Sold]]&lt;=50,"Poor",Table22[[#This Row],[Units Sold]]&lt;=60,"Low",Table22[[#This Row],[Units Sold]]&lt;=80,"Average",Table22[[#This Row],[Units Sold]]&lt;=90,"High",Table22[[#This Row],[Units Sold]]&lt;=95,"Excellent",Table22[[#This Row],[Units Sold]]&gt;95,"Outstanding")</f>
        <v>Critical</v>
      </c>
      <c r="N888" s="29">
        <v>989.12</v>
      </c>
      <c r="O888" s="29">
        <v>35608.32</v>
      </c>
      <c r="P888" s="43">
        <f>IF(Table22[[#This Row],[Discount Applied]],Table22[[#This Row],[Total Sales (in USD)]]*(1-Table22[[#This Row],[Discount Percentage (%)]]/100),Table22[[#This Row],[Total Sales (in USD)]])</f>
        <v>32599.416959999999</v>
      </c>
      <c r="Q888" s="66">
        <f>SQRT(AVERAGE((Table22[[#This Row],[Net Sales (after discount) (in USD)]]-AVERAGE(Table22[Net Sales (after discount) (in USD)]))^2))</f>
        <v>3911.9436037645391</v>
      </c>
      <c r="R888" s="18" t="b">
        <v>1</v>
      </c>
      <c r="S888" s="40">
        <v>8.4499999999999993</v>
      </c>
      <c r="T888" s="18" t="b">
        <v>1</v>
      </c>
      <c r="U888" s="25">
        <v>45588</v>
      </c>
      <c r="V888" s="63" t="str">
        <f>IF(MONTH(Table22[[#This Row],[Sales Date]])&lt;=3,"Q1",IF(MONTH(Table22[[#This Row],[Sales Date]])&lt;=6,"Q2",IF(MONTH(Table22[[#This Row],[Sales Date]])&lt;=9,"Q3","Q4")))</f>
        <v>Q4</v>
      </c>
      <c r="W888" s="64">
        <f>YEAR(Table22[[#This Row],[Sales Date]])</f>
        <v>2024</v>
      </c>
      <c r="X888" s="23">
        <v>22</v>
      </c>
      <c r="Y888" s="18" t="s">
        <v>49</v>
      </c>
      <c r="Z888" s="18" t="s">
        <v>56</v>
      </c>
      <c r="AA888" s="19" t="s">
        <v>25</v>
      </c>
    </row>
    <row r="889" spans="1:27" x14ac:dyDescent="0.25">
      <c r="A889" s="17" t="s">
        <v>1232</v>
      </c>
      <c r="B889" s="18" t="s">
        <v>18</v>
      </c>
      <c r="C889" s="63" t="str" cm="1">
        <f t="array" ref="C889">_xlfn.SWITCH(Table22[[#This Row],[Country]],"USA","North America","Canada","North America","Brazil","South America","China","Asia","Japan","Asia","India","Asia","France","Europe","Germany","Europe","UK","Europe","Australia","Oceania","South America")</f>
        <v>Asia</v>
      </c>
      <c r="D889" s="18" t="s">
        <v>21</v>
      </c>
      <c r="E889" s="18" t="s">
        <v>39</v>
      </c>
      <c r="F889" s="18" t="s">
        <v>20</v>
      </c>
      <c r="G889" s="18" t="s">
        <v>48</v>
      </c>
      <c r="H889" s="64">
        <f>LEN(TRIM(Table22[[#This Row],[Country]]))</f>
        <v>5</v>
      </c>
      <c r="I889" s="64">
        <f>LEN(TRIM(Table22[[#This Row],[Continent]]))</f>
        <v>4</v>
      </c>
      <c r="J889" s="64">
        <f>LEN(TRIM(Table22[[#This Row],[Product]]))</f>
        <v>10</v>
      </c>
      <c r="K889" s="64">
        <f>LEN(TRIM(Table22[[#This Row],[Sales Team]]))</f>
        <v>9</v>
      </c>
      <c r="L889" s="23">
        <v>60</v>
      </c>
      <c r="M889" s="65" t="str" cm="1">
        <f t="array" ref="M889">_xlfn.IFS(Table22[[#This Row],[Units Sold]]&lt;40,"Critical",Table22[[#This Row],[Units Sold]]&lt;=50,"Poor",Table22[[#This Row],[Units Sold]]&lt;=60,"Low",Table22[[#This Row],[Units Sold]]&lt;=80,"Average",Table22[[#This Row],[Units Sold]]&lt;=90,"High",Table22[[#This Row],[Units Sold]]&lt;=95,"Excellent",Table22[[#This Row],[Units Sold]]&gt;95,"Outstanding")</f>
        <v>Low</v>
      </c>
      <c r="N889" s="29">
        <v>592.20000000000005</v>
      </c>
      <c r="O889" s="29">
        <v>35532</v>
      </c>
      <c r="P889" s="43">
        <f>IF(Table22[[#This Row],[Discount Applied]],Table22[[#This Row],[Total Sales (in USD)]]*(1-Table22[[#This Row],[Discount Percentage (%)]]/100),Table22[[#This Row],[Total Sales (in USD)]])</f>
        <v>25629.231600000003</v>
      </c>
      <c r="Q889" s="66">
        <f>SQRT(AVERAGE((Table22[[#This Row],[Net Sales (after discount) (in USD)]]-AVERAGE(Table22[Net Sales (after discount) (in USD)]))^2))</f>
        <v>10882.128963764535</v>
      </c>
      <c r="R889" s="18" t="b">
        <v>1</v>
      </c>
      <c r="S889" s="40">
        <v>27.87</v>
      </c>
      <c r="T889" s="18" t="b">
        <v>1</v>
      </c>
      <c r="U889" s="25">
        <v>45095</v>
      </c>
      <c r="V889" s="63" t="str">
        <f>IF(MONTH(Table22[[#This Row],[Sales Date]])&lt;=3,"Q1",IF(MONTH(Table22[[#This Row],[Sales Date]])&lt;=6,"Q2",IF(MONTH(Table22[[#This Row],[Sales Date]])&lt;=9,"Q3","Q4")))</f>
        <v>Q2</v>
      </c>
      <c r="W889" s="64">
        <f>YEAR(Table22[[#This Row],[Sales Date]])</f>
        <v>2023</v>
      </c>
      <c r="X889" s="23">
        <v>68</v>
      </c>
      <c r="Y889" s="18" t="s">
        <v>41</v>
      </c>
      <c r="Z889" s="18" t="s">
        <v>30</v>
      </c>
      <c r="AA889" s="19" t="s">
        <v>36</v>
      </c>
    </row>
    <row r="890" spans="1:27" x14ac:dyDescent="0.25">
      <c r="A890" s="17" t="s">
        <v>1973</v>
      </c>
      <c r="B890" s="18" t="s">
        <v>66</v>
      </c>
      <c r="C890" s="63" t="str" cm="1">
        <f t="array" ref="C890">_xlfn.SWITCH(Table22[[#This Row],[Country]],"USA","North America","Canada","North America","Brazil","South America","China","Asia","Japan","Asia","India","Asia","France","Europe","Germany","Europe","UK","Europe","Australia","Oceania","South America")</f>
        <v>North America</v>
      </c>
      <c r="D890" s="18" t="s">
        <v>35</v>
      </c>
      <c r="E890" s="18" t="s">
        <v>39</v>
      </c>
      <c r="F890" s="18" t="s">
        <v>52</v>
      </c>
      <c r="G890" s="18" t="s">
        <v>40</v>
      </c>
      <c r="H890" s="64">
        <f>LEN(TRIM(Table22[[#This Row],[Country]]))</f>
        <v>6</v>
      </c>
      <c r="I890" s="64">
        <f>LEN(TRIM(Table22[[#This Row],[Continent]]))</f>
        <v>13</v>
      </c>
      <c r="J890" s="64">
        <f>LEN(TRIM(Table22[[#This Row],[Product]]))</f>
        <v>10</v>
      </c>
      <c r="K890" s="64">
        <f>LEN(TRIM(Table22[[#This Row],[Sales Team]]))</f>
        <v>10</v>
      </c>
      <c r="L890" s="23">
        <v>57</v>
      </c>
      <c r="M890" s="65" t="str" cm="1">
        <f t="array" ref="M890">_xlfn.IFS(Table22[[#This Row],[Units Sold]]&lt;40,"Critical",Table22[[#This Row],[Units Sold]]&lt;=50,"Poor",Table22[[#This Row],[Units Sold]]&lt;=60,"Low",Table22[[#This Row],[Units Sold]]&lt;=80,"Average",Table22[[#This Row],[Units Sold]]&lt;=90,"High",Table22[[#This Row],[Units Sold]]&lt;=95,"Excellent",Table22[[#This Row],[Units Sold]]&gt;95,"Outstanding")</f>
        <v>Low</v>
      </c>
      <c r="N890" s="29">
        <v>623.27</v>
      </c>
      <c r="O890" s="29">
        <v>35526.39</v>
      </c>
      <c r="P890" s="43">
        <f>IF(Table22[[#This Row],[Discount Applied]],Table22[[#This Row],[Total Sales (in USD)]]*(1-Table22[[#This Row],[Discount Percentage (%)]]/100),Table22[[#This Row],[Total Sales (in USD)]])</f>
        <v>35526.39</v>
      </c>
      <c r="Q890" s="66">
        <f>SQRT(AVERAGE((Table22[[#This Row],[Net Sales (after discount) (in USD)]]-AVERAGE(Table22[Net Sales (after discount) (in USD)]))^2))</f>
        <v>984.97056376453838</v>
      </c>
      <c r="R890" s="18" t="b">
        <v>1</v>
      </c>
      <c r="S890" s="40">
        <v>21.26</v>
      </c>
      <c r="T890" s="18" t="b">
        <v>0</v>
      </c>
      <c r="U890" s="25">
        <v>45446</v>
      </c>
      <c r="V890" s="63" t="str">
        <f>IF(MONTH(Table22[[#This Row],[Sales Date]])&lt;=3,"Q1",IF(MONTH(Table22[[#This Row],[Sales Date]])&lt;=6,"Q2",IF(MONTH(Table22[[#This Row],[Sales Date]])&lt;=9,"Q3","Q4")))</f>
        <v>Q2</v>
      </c>
      <c r="W890" s="64">
        <f>YEAR(Table22[[#This Row],[Sales Date]])</f>
        <v>2024</v>
      </c>
      <c r="X890" s="23">
        <v>47</v>
      </c>
      <c r="Y890" s="18" t="s">
        <v>41</v>
      </c>
      <c r="Z890" s="18" t="s">
        <v>24</v>
      </c>
      <c r="AA890" s="19" t="s">
        <v>36</v>
      </c>
    </row>
    <row r="891" spans="1:27" x14ac:dyDescent="0.25">
      <c r="A891" s="17" t="s">
        <v>1219</v>
      </c>
      <c r="B891" s="18" t="s">
        <v>32</v>
      </c>
      <c r="C891" s="63" t="str" cm="1">
        <f t="array" ref="C891">_xlfn.SWITCH(Table22[[#This Row],[Country]],"USA","North America","Canada","North America","Brazil","South America","China","Asia","Japan","Asia","India","Asia","France","Europe","Germany","Europe","UK","Europe","Australia","Oceania","South America")</f>
        <v>Asia</v>
      </c>
      <c r="D891" s="18" t="s">
        <v>28</v>
      </c>
      <c r="E891" s="18" t="s">
        <v>39</v>
      </c>
      <c r="F891" s="18" t="s">
        <v>64</v>
      </c>
      <c r="G891" s="18" t="s">
        <v>48</v>
      </c>
      <c r="H891" s="64">
        <f>LEN(TRIM(Table22[[#This Row],[Country]]))</f>
        <v>5</v>
      </c>
      <c r="I891" s="64">
        <f>LEN(TRIM(Table22[[#This Row],[Continent]]))</f>
        <v>4</v>
      </c>
      <c r="J891" s="64">
        <f>LEN(TRIM(Table22[[#This Row],[Product]]))</f>
        <v>10</v>
      </c>
      <c r="K891" s="64">
        <f>LEN(TRIM(Table22[[#This Row],[Sales Team]]))</f>
        <v>9</v>
      </c>
      <c r="L891" s="23">
        <v>60</v>
      </c>
      <c r="M891" s="65" t="str" cm="1">
        <f t="array" ref="M891">_xlfn.IFS(Table22[[#This Row],[Units Sold]]&lt;40,"Critical",Table22[[#This Row],[Units Sold]]&lt;=50,"Poor",Table22[[#This Row],[Units Sold]]&lt;=60,"Low",Table22[[#This Row],[Units Sold]]&lt;=80,"Average",Table22[[#This Row],[Units Sold]]&lt;=90,"High",Table22[[#This Row],[Units Sold]]&lt;=95,"Excellent",Table22[[#This Row],[Units Sold]]&gt;95,"Outstanding")</f>
        <v>Low</v>
      </c>
      <c r="N891" s="29">
        <v>591.6</v>
      </c>
      <c r="O891" s="29">
        <v>35496</v>
      </c>
      <c r="P891" s="43">
        <f>IF(Table22[[#This Row],[Discount Applied]],Table22[[#This Row],[Total Sales (in USD)]]*(1-Table22[[#This Row],[Discount Percentage (%)]]/100),Table22[[#This Row],[Total Sales (in USD)]])</f>
        <v>35496</v>
      </c>
      <c r="Q891" s="66">
        <f>SQRT(AVERAGE((Table22[[#This Row],[Net Sales (after discount) (in USD)]]-AVERAGE(Table22[Net Sales (after discount) (in USD)]))^2))</f>
        <v>1015.3605637645378</v>
      </c>
      <c r="R891" s="18" t="b">
        <v>1</v>
      </c>
      <c r="S891" s="40">
        <v>5.05</v>
      </c>
      <c r="T891" s="18" t="b">
        <v>0</v>
      </c>
      <c r="U891" s="25">
        <v>45577</v>
      </c>
      <c r="V891" s="63" t="str">
        <f>IF(MONTH(Table22[[#This Row],[Sales Date]])&lt;=3,"Q1",IF(MONTH(Table22[[#This Row],[Sales Date]])&lt;=6,"Q2",IF(MONTH(Table22[[#This Row],[Sales Date]])&lt;=9,"Q3","Q4")))</f>
        <v>Q4</v>
      </c>
      <c r="W891" s="64">
        <f>YEAR(Table22[[#This Row],[Sales Date]])</f>
        <v>2024</v>
      </c>
      <c r="X891" s="23">
        <v>41</v>
      </c>
      <c r="Y891" s="18" t="s">
        <v>41</v>
      </c>
      <c r="Z891" s="18" t="s">
        <v>56</v>
      </c>
      <c r="AA891" s="19" t="s">
        <v>36</v>
      </c>
    </row>
    <row r="892" spans="1:27" x14ac:dyDescent="0.25">
      <c r="A892" s="17" t="s">
        <v>622</v>
      </c>
      <c r="B892" s="18" t="s">
        <v>66</v>
      </c>
      <c r="C892" s="63" t="str" cm="1">
        <f t="array" ref="C892">_xlfn.SWITCH(Table22[[#This Row],[Country]],"USA","North America","Canada","North America","Brazil","South America","China","Asia","Japan","Asia","India","Asia","France","Europe","Germany","Europe","UK","Europe","Australia","Oceania","South America")</f>
        <v>North America</v>
      </c>
      <c r="D892" s="18" t="s">
        <v>28</v>
      </c>
      <c r="E892" s="18" t="s">
        <v>39</v>
      </c>
      <c r="F892" s="18" t="s">
        <v>20</v>
      </c>
      <c r="G892" s="18" t="s">
        <v>22</v>
      </c>
      <c r="H892" s="64">
        <f>LEN(TRIM(Table22[[#This Row],[Country]]))</f>
        <v>6</v>
      </c>
      <c r="I892" s="64">
        <f>LEN(TRIM(Table22[[#This Row],[Continent]]))</f>
        <v>13</v>
      </c>
      <c r="J892" s="64">
        <f>LEN(TRIM(Table22[[#This Row],[Product]]))</f>
        <v>10</v>
      </c>
      <c r="K892" s="64">
        <f>LEN(TRIM(Table22[[#This Row],[Sales Team]]))</f>
        <v>10</v>
      </c>
      <c r="L892" s="23">
        <v>75</v>
      </c>
      <c r="M892" s="65" t="str" cm="1">
        <f t="array" ref="M892">_xlfn.IFS(Table22[[#This Row],[Units Sold]]&lt;40,"Critical",Table22[[#This Row],[Units Sold]]&lt;=50,"Poor",Table22[[#This Row],[Units Sold]]&lt;=60,"Low",Table22[[#This Row],[Units Sold]]&lt;=80,"Average",Table22[[#This Row],[Units Sold]]&lt;=90,"High",Table22[[#This Row],[Units Sold]]&lt;=95,"Excellent",Table22[[#This Row],[Units Sold]]&gt;95,"Outstanding")</f>
        <v>Average</v>
      </c>
      <c r="N892" s="29">
        <v>472.65</v>
      </c>
      <c r="O892" s="29">
        <v>35448.75</v>
      </c>
      <c r="P892" s="43">
        <f>IF(Table22[[#This Row],[Discount Applied]],Table22[[#This Row],[Total Sales (in USD)]]*(1-Table22[[#This Row],[Discount Percentage (%)]]/100),Table22[[#This Row],[Total Sales (in USD)]])</f>
        <v>32988.606749999999</v>
      </c>
      <c r="Q892" s="66">
        <f>SQRT(AVERAGE((Table22[[#This Row],[Net Sales (after discount) (in USD)]]-AVERAGE(Table22[Net Sales (after discount) (in USD)]))^2))</f>
        <v>3522.7538137645388</v>
      </c>
      <c r="R892" s="18" t="b">
        <v>0</v>
      </c>
      <c r="S892" s="40">
        <v>6.94</v>
      </c>
      <c r="T892" s="18" t="b">
        <v>1</v>
      </c>
      <c r="U892" s="25">
        <v>45031</v>
      </c>
      <c r="V892" s="63" t="str">
        <f>IF(MONTH(Table22[[#This Row],[Sales Date]])&lt;=3,"Q1",IF(MONTH(Table22[[#This Row],[Sales Date]])&lt;=6,"Q2",IF(MONTH(Table22[[#This Row],[Sales Date]])&lt;=9,"Q3","Q4")))</f>
        <v>Q2</v>
      </c>
      <c r="W892" s="64">
        <f>YEAR(Table22[[#This Row],[Sales Date]])</f>
        <v>2023</v>
      </c>
      <c r="X892" s="23">
        <v>28</v>
      </c>
      <c r="Y892" s="18" t="s">
        <v>41</v>
      </c>
      <c r="Z892" s="18" t="s">
        <v>24</v>
      </c>
      <c r="AA892" s="19" t="s">
        <v>36</v>
      </c>
    </row>
    <row r="893" spans="1:27" x14ac:dyDescent="0.25">
      <c r="A893" s="17" t="s">
        <v>752</v>
      </c>
      <c r="B893" s="18" t="s">
        <v>18</v>
      </c>
      <c r="C893" s="63" t="str" cm="1">
        <f t="array" ref="C893">_xlfn.SWITCH(Table22[[#This Row],[Country]],"USA","North America","Canada","North America","Brazil","South America","China","Asia","Japan","Asia","India","Asia","France","Europe","Germany","Europe","UK","Europe","Australia","Oceania","South America")</f>
        <v>Asia</v>
      </c>
      <c r="D893" s="18" t="s">
        <v>35</v>
      </c>
      <c r="E893" s="18" t="s">
        <v>39</v>
      </c>
      <c r="F893" s="18" t="s">
        <v>20</v>
      </c>
      <c r="G893" s="18" t="s">
        <v>48</v>
      </c>
      <c r="H893" s="64">
        <f>LEN(TRIM(Table22[[#This Row],[Country]]))</f>
        <v>5</v>
      </c>
      <c r="I893" s="64">
        <f>LEN(TRIM(Table22[[#This Row],[Continent]]))</f>
        <v>4</v>
      </c>
      <c r="J893" s="64">
        <f>LEN(TRIM(Table22[[#This Row],[Product]]))</f>
        <v>10</v>
      </c>
      <c r="K893" s="64">
        <f>LEN(TRIM(Table22[[#This Row],[Sales Team]]))</f>
        <v>9</v>
      </c>
      <c r="L893" s="23">
        <v>82</v>
      </c>
      <c r="M893" s="65" t="str" cm="1">
        <f t="array" ref="M893">_xlfn.IFS(Table22[[#This Row],[Units Sold]]&lt;40,"Critical",Table22[[#This Row],[Units Sold]]&lt;=50,"Poor",Table22[[#This Row],[Units Sold]]&lt;=60,"Low",Table22[[#This Row],[Units Sold]]&lt;=80,"Average",Table22[[#This Row],[Units Sold]]&lt;=90,"High",Table22[[#This Row],[Units Sold]]&lt;=95,"Excellent",Table22[[#This Row],[Units Sold]]&gt;95,"Outstanding")</f>
        <v>High</v>
      </c>
      <c r="N893" s="29">
        <v>432.09</v>
      </c>
      <c r="O893" s="29">
        <v>35431.379999999997</v>
      </c>
      <c r="P893" s="43">
        <f>IF(Table22[[#This Row],[Discount Applied]],Table22[[#This Row],[Total Sales (in USD)]]*(1-Table22[[#This Row],[Discount Percentage (%)]]/100),Table22[[#This Row],[Total Sales (in USD)]])</f>
        <v>28699.417799999999</v>
      </c>
      <c r="Q893" s="66">
        <f>SQRT(AVERAGE((Table22[[#This Row],[Net Sales (after discount) (in USD)]]-AVERAGE(Table22[Net Sales (after discount) (in USD)]))^2))</f>
        <v>7811.9427637645385</v>
      </c>
      <c r="R893" s="18" t="b">
        <v>1</v>
      </c>
      <c r="S893" s="40">
        <v>19</v>
      </c>
      <c r="T893" s="18" t="b">
        <v>1</v>
      </c>
      <c r="U893" s="25">
        <v>45046</v>
      </c>
      <c r="V893" s="63" t="str">
        <f>IF(MONTH(Table22[[#This Row],[Sales Date]])&lt;=3,"Q1",IF(MONTH(Table22[[#This Row],[Sales Date]])&lt;=6,"Q2",IF(MONTH(Table22[[#This Row],[Sales Date]])&lt;=9,"Q3","Q4")))</f>
        <v>Q2</v>
      </c>
      <c r="W893" s="64">
        <f>YEAR(Table22[[#This Row],[Sales Date]])</f>
        <v>2023</v>
      </c>
      <c r="X893" s="23">
        <v>46</v>
      </c>
      <c r="Y893" s="18" t="s">
        <v>23</v>
      </c>
      <c r="Z893" s="18" t="s">
        <v>56</v>
      </c>
      <c r="AA893" s="19" t="s">
        <v>25</v>
      </c>
    </row>
    <row r="894" spans="1:27" x14ac:dyDescent="0.25">
      <c r="A894" s="17" t="s">
        <v>862</v>
      </c>
      <c r="B894" s="18" t="s">
        <v>51</v>
      </c>
      <c r="C894" s="63" t="str" cm="1">
        <f t="array" ref="C894">_xlfn.SWITCH(Table22[[#This Row],[Country]],"USA","North America","Canada","North America","Brazil","South America","China","Asia","Japan","Asia","India","Asia","France","Europe","Germany","Europe","UK","Europe","Australia","Oceania","South America")</f>
        <v>Europe</v>
      </c>
      <c r="D894" s="18" t="s">
        <v>28</v>
      </c>
      <c r="E894" s="18" t="s">
        <v>39</v>
      </c>
      <c r="F894" s="18" t="s">
        <v>34</v>
      </c>
      <c r="G894" s="18" t="s">
        <v>22</v>
      </c>
      <c r="H894" s="64">
        <f>LEN(TRIM(Table22[[#This Row],[Country]]))</f>
        <v>2</v>
      </c>
      <c r="I894" s="64">
        <f>LEN(TRIM(Table22[[#This Row],[Continent]]))</f>
        <v>6</v>
      </c>
      <c r="J894" s="64">
        <f>LEN(TRIM(Table22[[#This Row],[Product]]))</f>
        <v>10</v>
      </c>
      <c r="K894" s="64">
        <f>LEN(TRIM(Table22[[#This Row],[Sales Team]]))</f>
        <v>10</v>
      </c>
      <c r="L894" s="23">
        <v>83</v>
      </c>
      <c r="M894" s="65" t="str" cm="1">
        <f t="array" ref="M894">_xlfn.IFS(Table22[[#This Row],[Units Sold]]&lt;40,"Critical",Table22[[#This Row],[Units Sold]]&lt;=50,"Poor",Table22[[#This Row],[Units Sold]]&lt;=60,"Low",Table22[[#This Row],[Units Sold]]&lt;=80,"Average",Table22[[#This Row],[Units Sold]]&lt;=90,"High",Table22[[#This Row],[Units Sold]]&lt;=95,"Excellent",Table22[[#This Row],[Units Sold]]&gt;95,"Outstanding")</f>
        <v>High</v>
      </c>
      <c r="N894" s="29">
        <v>426.44</v>
      </c>
      <c r="O894" s="29">
        <v>35394.519999999997</v>
      </c>
      <c r="P894" s="43">
        <f>IF(Table22[[#This Row],[Discount Applied]],Table22[[#This Row],[Total Sales (in USD)]]*(1-Table22[[#This Row],[Discount Percentage (%)]]/100),Table22[[#This Row],[Total Sales (in USD)]])</f>
        <v>26510.495479999998</v>
      </c>
      <c r="Q894" s="66">
        <f>SQRT(AVERAGE((Table22[[#This Row],[Net Sales (after discount) (in USD)]]-AVERAGE(Table22[Net Sales (after discount) (in USD)]))^2))</f>
        <v>10000.86508376454</v>
      </c>
      <c r="R894" s="18" t="b">
        <v>0</v>
      </c>
      <c r="S894" s="40">
        <v>25.1</v>
      </c>
      <c r="T894" s="18" t="b">
        <v>1</v>
      </c>
      <c r="U894" s="25">
        <v>45013</v>
      </c>
      <c r="V894" s="63" t="str">
        <f>IF(MONTH(Table22[[#This Row],[Sales Date]])&lt;=3,"Q1",IF(MONTH(Table22[[#This Row],[Sales Date]])&lt;=6,"Q2",IF(MONTH(Table22[[#This Row],[Sales Date]])&lt;=9,"Q3","Q4")))</f>
        <v>Q1</v>
      </c>
      <c r="W894" s="64">
        <f>YEAR(Table22[[#This Row],[Sales Date]])</f>
        <v>2023</v>
      </c>
      <c r="X894" s="23">
        <v>33</v>
      </c>
      <c r="Y894" s="18" t="s">
        <v>41</v>
      </c>
      <c r="Z894" s="18" t="s">
        <v>24</v>
      </c>
      <c r="AA894" s="19" t="s">
        <v>25</v>
      </c>
    </row>
    <row r="895" spans="1:27" x14ac:dyDescent="0.25">
      <c r="A895" s="17" t="s">
        <v>920</v>
      </c>
      <c r="B895" s="18" t="s">
        <v>27</v>
      </c>
      <c r="C895" s="63" t="str" cm="1">
        <f t="array" ref="C895">_xlfn.SWITCH(Table22[[#This Row],[Country]],"USA","North America","Canada","North America","Brazil","South America","China","Asia","Japan","Asia","India","Asia","France","Europe","Germany","Europe","UK","Europe","Australia","Oceania","South America")</f>
        <v>Europe</v>
      </c>
      <c r="D895" s="18" t="s">
        <v>21</v>
      </c>
      <c r="E895" s="18" t="s">
        <v>33</v>
      </c>
      <c r="F895" s="18" t="s">
        <v>52</v>
      </c>
      <c r="G895" s="18" t="s">
        <v>22</v>
      </c>
      <c r="H895" s="64">
        <f>LEN(TRIM(Table22[[#This Row],[Country]]))</f>
        <v>7</v>
      </c>
      <c r="I895" s="64">
        <f>LEN(TRIM(Table22[[#This Row],[Continent]]))</f>
        <v>6</v>
      </c>
      <c r="J895" s="64">
        <f>LEN(TRIM(Table22[[#This Row],[Product]]))</f>
        <v>10</v>
      </c>
      <c r="K895" s="64">
        <f>LEN(TRIM(Table22[[#This Row],[Sales Team]]))</f>
        <v>10</v>
      </c>
      <c r="L895" s="23">
        <v>54</v>
      </c>
      <c r="M895" s="65" t="str" cm="1">
        <f t="array" ref="M895">_xlfn.IFS(Table22[[#This Row],[Units Sold]]&lt;40,"Critical",Table22[[#This Row],[Units Sold]]&lt;=50,"Poor",Table22[[#This Row],[Units Sold]]&lt;=60,"Low",Table22[[#This Row],[Units Sold]]&lt;=80,"Average",Table22[[#This Row],[Units Sold]]&lt;=90,"High",Table22[[#This Row],[Units Sold]]&lt;=95,"Excellent",Table22[[#This Row],[Units Sold]]&gt;95,"Outstanding")</f>
        <v>Low</v>
      </c>
      <c r="N895" s="29">
        <v>654.05999999999995</v>
      </c>
      <c r="O895" s="29">
        <v>35319.24</v>
      </c>
      <c r="P895" s="43">
        <f>IF(Table22[[#This Row],[Discount Applied]],Table22[[#This Row],[Total Sales (in USD)]]*(1-Table22[[#This Row],[Discount Percentage (%)]]/100),Table22[[#This Row],[Total Sales (in USD)]])</f>
        <v>35029.622232000002</v>
      </c>
      <c r="Q895" s="66">
        <f>SQRT(AVERAGE((Table22[[#This Row],[Net Sales (after discount) (in USD)]]-AVERAGE(Table22[Net Sales (after discount) (in USD)]))^2))</f>
        <v>1481.7383317645363</v>
      </c>
      <c r="R895" s="18" t="b">
        <v>1</v>
      </c>
      <c r="S895" s="40">
        <v>0.82</v>
      </c>
      <c r="T895" s="18" t="b">
        <v>1</v>
      </c>
      <c r="U895" s="25">
        <v>45401</v>
      </c>
      <c r="V895" s="63" t="str">
        <f>IF(MONTH(Table22[[#This Row],[Sales Date]])&lt;=3,"Q1",IF(MONTH(Table22[[#This Row],[Sales Date]])&lt;=6,"Q2",IF(MONTH(Table22[[#This Row],[Sales Date]])&lt;=9,"Q3","Q4")))</f>
        <v>Q2</v>
      </c>
      <c r="W895" s="64">
        <f>YEAR(Table22[[#This Row],[Sales Date]])</f>
        <v>2024</v>
      </c>
      <c r="X895" s="23">
        <v>36</v>
      </c>
      <c r="Y895" s="18" t="s">
        <v>49</v>
      </c>
      <c r="Z895" s="18" t="s">
        <v>24</v>
      </c>
      <c r="AA895" s="19" t="s">
        <v>36</v>
      </c>
    </row>
    <row r="896" spans="1:27" x14ac:dyDescent="0.25">
      <c r="A896" s="17" t="s">
        <v>1970</v>
      </c>
      <c r="B896" s="18" t="s">
        <v>32</v>
      </c>
      <c r="C896" s="63" t="str" cm="1">
        <f t="array" ref="C896">_xlfn.SWITCH(Table22[[#This Row],[Country]],"USA","North America","Canada","North America","Brazil","South America","China","Asia","Japan","Asia","India","Asia","France","Europe","Germany","Europe","UK","Europe","Australia","Oceania","South America")</f>
        <v>Asia</v>
      </c>
      <c r="D896" s="18" t="s">
        <v>21</v>
      </c>
      <c r="E896" s="18" t="s">
        <v>33</v>
      </c>
      <c r="F896" s="18" t="s">
        <v>20</v>
      </c>
      <c r="G896" s="18" t="s">
        <v>48</v>
      </c>
      <c r="H896" s="64">
        <f>LEN(TRIM(Table22[[#This Row],[Country]]))</f>
        <v>5</v>
      </c>
      <c r="I896" s="64">
        <f>LEN(TRIM(Table22[[#This Row],[Continent]]))</f>
        <v>4</v>
      </c>
      <c r="J896" s="64">
        <f>LEN(TRIM(Table22[[#This Row],[Product]]))</f>
        <v>10</v>
      </c>
      <c r="K896" s="64">
        <f>LEN(TRIM(Table22[[#This Row],[Sales Team]]))</f>
        <v>9</v>
      </c>
      <c r="L896" s="23">
        <v>32</v>
      </c>
      <c r="M896" s="65" t="str" cm="1">
        <f t="array" ref="M896">_xlfn.IFS(Table22[[#This Row],[Units Sold]]&lt;40,"Critical",Table22[[#This Row],[Units Sold]]&lt;=50,"Poor",Table22[[#This Row],[Units Sold]]&lt;=60,"Low",Table22[[#This Row],[Units Sold]]&lt;=80,"Average",Table22[[#This Row],[Units Sold]]&lt;=90,"High",Table22[[#This Row],[Units Sold]]&lt;=95,"Excellent",Table22[[#This Row],[Units Sold]]&gt;95,"Outstanding")</f>
        <v>Critical</v>
      </c>
      <c r="N896" s="29">
        <v>1103.55</v>
      </c>
      <c r="O896" s="29">
        <v>35313.599999999999</v>
      </c>
      <c r="P896" s="43">
        <f>IF(Table22[[#This Row],[Discount Applied]],Table22[[#This Row],[Total Sales (in USD)]]*(1-Table22[[#This Row],[Discount Percentage (%)]]/100),Table22[[#This Row],[Total Sales (in USD)]])</f>
        <v>35313.599999999999</v>
      </c>
      <c r="Q896" s="66">
        <f>SQRT(AVERAGE((Table22[[#This Row],[Net Sales (after discount) (in USD)]]-AVERAGE(Table22[Net Sales (after discount) (in USD)]))^2))</f>
        <v>1197.7605637645393</v>
      </c>
      <c r="R896" s="18" t="b">
        <v>1</v>
      </c>
      <c r="S896" s="40">
        <v>12.64</v>
      </c>
      <c r="T896" s="18" t="b">
        <v>0</v>
      </c>
      <c r="U896" s="25">
        <v>45075</v>
      </c>
      <c r="V896" s="63" t="str">
        <f>IF(MONTH(Table22[[#This Row],[Sales Date]])&lt;=3,"Q1",IF(MONTH(Table22[[#This Row],[Sales Date]])&lt;=6,"Q2",IF(MONTH(Table22[[#This Row],[Sales Date]])&lt;=9,"Q3","Q4")))</f>
        <v>Q2</v>
      </c>
      <c r="W896" s="64">
        <f>YEAR(Table22[[#This Row],[Sales Date]])</f>
        <v>2023</v>
      </c>
      <c r="X896" s="23">
        <v>58</v>
      </c>
      <c r="Y896" s="18" t="s">
        <v>23</v>
      </c>
      <c r="Z896" s="18" t="s">
        <v>30</v>
      </c>
      <c r="AA896" s="19" t="s">
        <v>36</v>
      </c>
    </row>
    <row r="897" spans="1:27" x14ac:dyDescent="0.25">
      <c r="A897" s="17" t="s">
        <v>1388</v>
      </c>
      <c r="B897" s="18" t="s">
        <v>66</v>
      </c>
      <c r="C897" s="63" t="str" cm="1">
        <f t="array" ref="C897">_xlfn.SWITCH(Table22[[#This Row],[Country]],"USA","North America","Canada","North America","Brazil","South America","China","Asia","Japan","Asia","India","Asia","France","Europe","Germany","Europe","UK","Europe","Australia","Oceania","South America")</f>
        <v>North America</v>
      </c>
      <c r="D897" s="18" t="s">
        <v>35</v>
      </c>
      <c r="E897" s="18" t="s">
        <v>39</v>
      </c>
      <c r="F897" s="18" t="s">
        <v>47</v>
      </c>
      <c r="G897" s="18" t="s">
        <v>22</v>
      </c>
      <c r="H897" s="64">
        <f>LEN(TRIM(Table22[[#This Row],[Country]]))</f>
        <v>6</v>
      </c>
      <c r="I897" s="64">
        <f>LEN(TRIM(Table22[[#This Row],[Continent]]))</f>
        <v>13</v>
      </c>
      <c r="J897" s="64">
        <f>LEN(TRIM(Table22[[#This Row],[Product]]))</f>
        <v>10</v>
      </c>
      <c r="K897" s="64">
        <f>LEN(TRIM(Table22[[#This Row],[Sales Team]]))</f>
        <v>10</v>
      </c>
      <c r="L897" s="23">
        <v>36</v>
      </c>
      <c r="M897" s="65" t="str" cm="1">
        <f t="array" ref="M897">_xlfn.IFS(Table22[[#This Row],[Units Sold]]&lt;40,"Critical",Table22[[#This Row],[Units Sold]]&lt;=50,"Poor",Table22[[#This Row],[Units Sold]]&lt;=60,"Low",Table22[[#This Row],[Units Sold]]&lt;=80,"Average",Table22[[#This Row],[Units Sold]]&lt;=90,"High",Table22[[#This Row],[Units Sold]]&lt;=95,"Excellent",Table22[[#This Row],[Units Sold]]&gt;95,"Outstanding")</f>
        <v>Critical</v>
      </c>
      <c r="N897" s="29">
        <v>979.24</v>
      </c>
      <c r="O897" s="29">
        <v>35252.639999999999</v>
      </c>
      <c r="P897" s="43">
        <f>IF(Table22[[#This Row],[Discount Applied]],Table22[[#This Row],[Total Sales (in USD)]]*(1-Table22[[#This Row],[Discount Percentage (%)]]/100),Table22[[#This Row],[Total Sales (in USD)]])</f>
        <v>25392.476591999999</v>
      </c>
      <c r="Q897" s="66">
        <f>SQRT(AVERAGE((Table22[[#This Row],[Net Sales (after discount) (in USD)]]-AVERAGE(Table22[Net Sales (after discount) (in USD)]))^2))</f>
        <v>11118.883971764539</v>
      </c>
      <c r="R897" s="18" t="b">
        <v>0</v>
      </c>
      <c r="S897" s="40">
        <v>27.97</v>
      </c>
      <c r="T897" s="18" t="b">
        <v>1</v>
      </c>
      <c r="U897" s="25">
        <v>45232</v>
      </c>
      <c r="V897" s="63" t="str">
        <f>IF(MONTH(Table22[[#This Row],[Sales Date]])&lt;=3,"Q1",IF(MONTH(Table22[[#This Row],[Sales Date]])&lt;=6,"Q2",IF(MONTH(Table22[[#This Row],[Sales Date]])&lt;=9,"Q3","Q4")))</f>
        <v>Q4</v>
      </c>
      <c r="W897" s="64">
        <f>YEAR(Table22[[#This Row],[Sales Date]])</f>
        <v>2023</v>
      </c>
      <c r="X897" s="23">
        <v>22</v>
      </c>
      <c r="Y897" s="18" t="s">
        <v>49</v>
      </c>
      <c r="Z897" s="18" t="s">
        <v>42</v>
      </c>
      <c r="AA897" s="19" t="s">
        <v>36</v>
      </c>
    </row>
    <row r="898" spans="1:27" x14ac:dyDescent="0.25">
      <c r="A898" s="17" t="s">
        <v>167</v>
      </c>
      <c r="B898" s="18" t="s">
        <v>38</v>
      </c>
      <c r="C898" s="63" t="str" cm="1">
        <f t="array" ref="C898">_xlfn.SWITCH(Table22[[#This Row],[Country]],"USA","North America","Canada","North America","Brazil","South America","China","Asia","Japan","Asia","India","Asia","France","Europe","Germany","Europe","UK","Europe","Australia","Oceania","South America")</f>
        <v>Europe</v>
      </c>
      <c r="D898" s="18" t="s">
        <v>35</v>
      </c>
      <c r="E898" s="18" t="s">
        <v>19</v>
      </c>
      <c r="F898" s="18" t="s">
        <v>52</v>
      </c>
      <c r="G898" s="18" t="s">
        <v>22</v>
      </c>
      <c r="H898" s="64">
        <f>LEN(TRIM(Table22[[#This Row],[Country]]))</f>
        <v>6</v>
      </c>
      <c r="I898" s="64">
        <f>LEN(TRIM(Table22[[#This Row],[Continent]]))</f>
        <v>6</v>
      </c>
      <c r="J898" s="64">
        <f>LEN(TRIM(Table22[[#This Row],[Product]]))</f>
        <v>6</v>
      </c>
      <c r="K898" s="64">
        <f>LEN(TRIM(Table22[[#This Row],[Sales Team]]))</f>
        <v>10</v>
      </c>
      <c r="L898" s="23">
        <v>24</v>
      </c>
      <c r="M898" s="65" t="str" cm="1">
        <f t="array" ref="M898">_xlfn.IFS(Table22[[#This Row],[Units Sold]]&lt;40,"Critical",Table22[[#This Row],[Units Sold]]&lt;=50,"Poor",Table22[[#This Row],[Units Sold]]&lt;=60,"Low",Table22[[#This Row],[Units Sold]]&lt;=80,"Average",Table22[[#This Row],[Units Sold]]&lt;=90,"High",Table22[[#This Row],[Units Sold]]&lt;=95,"Excellent",Table22[[#This Row],[Units Sold]]&gt;95,"Outstanding")</f>
        <v>Critical</v>
      </c>
      <c r="N898" s="29">
        <v>1467.26</v>
      </c>
      <c r="O898" s="29">
        <v>35214.239999999998</v>
      </c>
      <c r="P898" s="43">
        <f>IF(Table22[[#This Row],[Discount Applied]],Table22[[#This Row],[Total Sales (in USD)]]*(1-Table22[[#This Row],[Discount Percentage (%)]]/100),Table22[[#This Row],[Total Sales (in USD)]])</f>
        <v>29513.054543999995</v>
      </c>
      <c r="Q898" s="66">
        <f>SQRT(AVERAGE((Table22[[#This Row],[Net Sales (after discount) (in USD)]]-AVERAGE(Table22[Net Sales (after discount) (in USD)]))^2))</f>
        <v>6998.3060197645427</v>
      </c>
      <c r="R898" s="18" t="b">
        <v>0</v>
      </c>
      <c r="S898" s="40">
        <v>16.190000000000001</v>
      </c>
      <c r="T898" s="18" t="b">
        <v>1</v>
      </c>
      <c r="U898" s="25">
        <v>45236</v>
      </c>
      <c r="V898" s="63" t="str">
        <f>IF(MONTH(Table22[[#This Row],[Sales Date]])&lt;=3,"Q1",IF(MONTH(Table22[[#This Row],[Sales Date]])&lt;=6,"Q2",IF(MONTH(Table22[[#This Row],[Sales Date]])&lt;=9,"Q3","Q4")))</f>
        <v>Q4</v>
      </c>
      <c r="W898" s="64">
        <f>YEAR(Table22[[#This Row],[Sales Date]])</f>
        <v>2023</v>
      </c>
      <c r="X898" s="23">
        <v>24</v>
      </c>
      <c r="Y898" s="18" t="s">
        <v>23</v>
      </c>
      <c r="Z898" s="18" t="s">
        <v>56</v>
      </c>
      <c r="AA898" s="19" t="s">
        <v>36</v>
      </c>
    </row>
    <row r="899" spans="1:27" x14ac:dyDescent="0.25">
      <c r="A899" s="17" t="s">
        <v>2017</v>
      </c>
      <c r="B899" s="18" t="s">
        <v>32</v>
      </c>
      <c r="C899" s="63" t="str" cm="1">
        <f t="array" ref="C899">_xlfn.SWITCH(Table22[[#This Row],[Country]],"USA","North America","Canada","North America","Brazil","South America","China","Asia","Japan","Asia","India","Asia","France","Europe","Germany","Europe","UK","Europe","Australia","Oceania","South America")</f>
        <v>Asia</v>
      </c>
      <c r="D899" s="18" t="s">
        <v>35</v>
      </c>
      <c r="E899" s="18" t="s">
        <v>33</v>
      </c>
      <c r="F899" s="18" t="s">
        <v>20</v>
      </c>
      <c r="G899" s="18" t="s">
        <v>29</v>
      </c>
      <c r="H899" s="64">
        <f>LEN(TRIM(Table22[[#This Row],[Country]]))</f>
        <v>5</v>
      </c>
      <c r="I899" s="64">
        <f>LEN(TRIM(Table22[[#This Row],[Continent]]))</f>
        <v>4</v>
      </c>
      <c r="J899" s="64">
        <f>LEN(TRIM(Table22[[#This Row],[Product]]))</f>
        <v>10</v>
      </c>
      <c r="K899" s="64">
        <f>LEN(TRIM(Table22[[#This Row],[Sales Team]]))</f>
        <v>10</v>
      </c>
      <c r="L899" s="23">
        <v>52</v>
      </c>
      <c r="M899" s="65" t="str" cm="1">
        <f t="array" ref="M899">_xlfn.IFS(Table22[[#This Row],[Units Sold]]&lt;40,"Critical",Table22[[#This Row],[Units Sold]]&lt;=50,"Poor",Table22[[#This Row],[Units Sold]]&lt;=60,"Low",Table22[[#This Row],[Units Sold]]&lt;=80,"Average",Table22[[#This Row],[Units Sold]]&lt;=90,"High",Table22[[#This Row],[Units Sold]]&lt;=95,"Excellent",Table22[[#This Row],[Units Sold]]&gt;95,"Outstanding")</f>
        <v>Low</v>
      </c>
      <c r="N899" s="29">
        <v>675.89</v>
      </c>
      <c r="O899" s="29">
        <v>35146.28</v>
      </c>
      <c r="P899" s="43">
        <f>IF(Table22[[#This Row],[Discount Applied]],Table22[[#This Row],[Total Sales (in USD)]]*(1-Table22[[#This Row],[Discount Percentage (%)]]/100),Table22[[#This Row],[Total Sales (in USD)]])</f>
        <v>28967.563976000001</v>
      </c>
      <c r="Q899" s="66">
        <f>SQRT(AVERAGE((Table22[[#This Row],[Net Sales (after discount) (in USD)]]-AVERAGE(Table22[Net Sales (after discount) (in USD)]))^2))</f>
        <v>7543.7965877645365</v>
      </c>
      <c r="R899" s="18" t="b">
        <v>1</v>
      </c>
      <c r="S899" s="40">
        <v>17.579999999999998</v>
      </c>
      <c r="T899" s="18" t="b">
        <v>1</v>
      </c>
      <c r="U899" s="25">
        <v>44956</v>
      </c>
      <c r="V899" s="63" t="str">
        <f>IF(MONTH(Table22[[#This Row],[Sales Date]])&lt;=3,"Q1",IF(MONTH(Table22[[#This Row],[Sales Date]])&lt;=6,"Q2",IF(MONTH(Table22[[#This Row],[Sales Date]])&lt;=9,"Q3","Q4")))</f>
        <v>Q1</v>
      </c>
      <c r="W899" s="64">
        <f>YEAR(Table22[[#This Row],[Sales Date]])</f>
        <v>2023</v>
      </c>
      <c r="X899" s="23">
        <v>31</v>
      </c>
      <c r="Y899" s="18" t="s">
        <v>49</v>
      </c>
      <c r="Z899" s="18" t="s">
        <v>30</v>
      </c>
      <c r="AA899" s="19" t="s">
        <v>25</v>
      </c>
    </row>
    <row r="900" spans="1:27" x14ac:dyDescent="0.25">
      <c r="A900" s="17" t="s">
        <v>1958</v>
      </c>
      <c r="B900" s="18" t="s">
        <v>76</v>
      </c>
      <c r="C900" s="63" t="str" cm="1">
        <f t="array" ref="C900">_xlfn.SWITCH(Table22[[#This Row],[Country]],"USA","North America","Canada","North America","Brazil","South America","China","Asia","Japan","Asia","India","Asia","France","Europe","Germany","Europe","UK","Europe","Australia","Oceania","South America")</f>
        <v>Asia</v>
      </c>
      <c r="D900" s="18" t="s">
        <v>35</v>
      </c>
      <c r="E900" s="18" t="s">
        <v>33</v>
      </c>
      <c r="F900" s="18" t="s">
        <v>20</v>
      </c>
      <c r="G900" s="18" t="s">
        <v>29</v>
      </c>
      <c r="H900" s="64">
        <f>LEN(TRIM(Table22[[#This Row],[Country]]))</f>
        <v>5</v>
      </c>
      <c r="I900" s="64">
        <f>LEN(TRIM(Table22[[#This Row],[Continent]]))</f>
        <v>4</v>
      </c>
      <c r="J900" s="64">
        <f>LEN(TRIM(Table22[[#This Row],[Product]]))</f>
        <v>10</v>
      </c>
      <c r="K900" s="64">
        <f>LEN(TRIM(Table22[[#This Row],[Sales Team]]))</f>
        <v>10</v>
      </c>
      <c r="L900" s="23">
        <v>82</v>
      </c>
      <c r="M900" s="65" t="str" cm="1">
        <f t="array" ref="M900">_xlfn.IFS(Table22[[#This Row],[Units Sold]]&lt;40,"Critical",Table22[[#This Row],[Units Sold]]&lt;=50,"Poor",Table22[[#This Row],[Units Sold]]&lt;=60,"Low",Table22[[#This Row],[Units Sold]]&lt;=80,"Average",Table22[[#This Row],[Units Sold]]&lt;=90,"High",Table22[[#This Row],[Units Sold]]&lt;=95,"Excellent",Table22[[#This Row],[Units Sold]]&gt;95,"Outstanding")</f>
        <v>High</v>
      </c>
      <c r="N900" s="29">
        <v>427.92</v>
      </c>
      <c r="O900" s="29">
        <v>35089.440000000002</v>
      </c>
      <c r="P900" s="43">
        <f>IF(Table22[[#This Row],[Discount Applied]],Table22[[#This Row],[Total Sales (in USD)]]*(1-Table22[[#This Row],[Discount Percentage (%)]]/100),Table22[[#This Row],[Total Sales (in USD)]])</f>
        <v>35089.440000000002</v>
      </c>
      <c r="Q900" s="66">
        <f>SQRT(AVERAGE((Table22[[#This Row],[Net Sales (after discount) (in USD)]]-AVERAGE(Table22[Net Sales (after discount) (in USD)]))^2))</f>
        <v>1421.9205637645355</v>
      </c>
      <c r="R900" s="18" t="b">
        <v>0</v>
      </c>
      <c r="S900" s="40">
        <v>2.12</v>
      </c>
      <c r="T900" s="18" t="b">
        <v>0</v>
      </c>
      <c r="U900" s="25">
        <v>45058</v>
      </c>
      <c r="V900" s="63" t="str">
        <f>IF(MONTH(Table22[[#This Row],[Sales Date]])&lt;=3,"Q1",IF(MONTH(Table22[[#This Row],[Sales Date]])&lt;=6,"Q2",IF(MONTH(Table22[[#This Row],[Sales Date]])&lt;=9,"Q3","Q4")))</f>
        <v>Q2</v>
      </c>
      <c r="W900" s="64">
        <f>YEAR(Table22[[#This Row],[Sales Date]])</f>
        <v>2023</v>
      </c>
      <c r="X900" s="23">
        <v>48</v>
      </c>
      <c r="Y900" s="18" t="s">
        <v>23</v>
      </c>
      <c r="Z900" s="18" t="s">
        <v>42</v>
      </c>
      <c r="AA900" s="19" t="s">
        <v>36</v>
      </c>
    </row>
    <row r="901" spans="1:27" x14ac:dyDescent="0.25">
      <c r="A901" s="17" t="s">
        <v>113</v>
      </c>
      <c r="B901" s="18" t="s">
        <v>62</v>
      </c>
      <c r="C901" s="63" t="str" cm="1">
        <f t="array" ref="C901">_xlfn.SWITCH(Table22[[#This Row],[Country]],"USA","North America","Canada","North America","Brazil","South America","China","Asia","Japan","Asia","India","Asia","France","Europe","Germany","Europe","UK","Europe","Australia","Oceania","South America")</f>
        <v>Oceania</v>
      </c>
      <c r="D901" s="18" t="s">
        <v>28</v>
      </c>
      <c r="E901" s="18" t="s">
        <v>33</v>
      </c>
      <c r="F901" s="18" t="s">
        <v>20</v>
      </c>
      <c r="G901" s="18" t="s">
        <v>22</v>
      </c>
      <c r="H901" s="64">
        <f>LEN(TRIM(Table22[[#This Row],[Country]]))</f>
        <v>9</v>
      </c>
      <c r="I901" s="64">
        <f>LEN(TRIM(Table22[[#This Row],[Continent]]))</f>
        <v>7</v>
      </c>
      <c r="J901" s="64">
        <f>LEN(TRIM(Table22[[#This Row],[Product]]))</f>
        <v>10</v>
      </c>
      <c r="K901" s="64">
        <f>LEN(TRIM(Table22[[#This Row],[Sales Team]]))</f>
        <v>10</v>
      </c>
      <c r="L901" s="23">
        <v>57</v>
      </c>
      <c r="M901" s="65" t="str" cm="1">
        <f t="array" ref="M901">_xlfn.IFS(Table22[[#This Row],[Units Sold]]&lt;40,"Critical",Table22[[#This Row],[Units Sold]]&lt;=50,"Poor",Table22[[#This Row],[Units Sold]]&lt;=60,"Low",Table22[[#This Row],[Units Sold]]&lt;=80,"Average",Table22[[#This Row],[Units Sold]]&lt;=90,"High",Table22[[#This Row],[Units Sold]]&lt;=95,"Excellent",Table22[[#This Row],[Units Sold]]&gt;95,"Outstanding")</f>
        <v>Low</v>
      </c>
      <c r="N901" s="29">
        <v>613.52</v>
      </c>
      <c r="O901" s="29">
        <v>34970.639999999999</v>
      </c>
      <c r="P901" s="43">
        <f>IF(Table22[[#This Row],[Discount Applied]],Table22[[#This Row],[Total Sales (in USD)]]*(1-Table22[[#This Row],[Discount Percentage (%)]]/100),Table22[[#This Row],[Total Sales (in USD)]])</f>
        <v>26616.154104000001</v>
      </c>
      <c r="Q901" s="66">
        <f>SQRT(AVERAGE((Table22[[#This Row],[Net Sales (after discount) (in USD)]]-AVERAGE(Table22[Net Sales (after discount) (in USD)]))^2))</f>
        <v>9895.2064597645367</v>
      </c>
      <c r="R901" s="18" t="b">
        <v>0</v>
      </c>
      <c r="S901" s="40">
        <v>23.89</v>
      </c>
      <c r="T901" s="18" t="b">
        <v>1</v>
      </c>
      <c r="U901" s="25">
        <v>45580</v>
      </c>
      <c r="V901" s="63" t="str">
        <f>IF(MONTH(Table22[[#This Row],[Sales Date]])&lt;=3,"Q1",IF(MONTH(Table22[[#This Row],[Sales Date]])&lt;=6,"Q2",IF(MONTH(Table22[[#This Row],[Sales Date]])&lt;=9,"Q3","Q4")))</f>
        <v>Q4</v>
      </c>
      <c r="W901" s="64">
        <f>YEAR(Table22[[#This Row],[Sales Date]])</f>
        <v>2024</v>
      </c>
      <c r="X901" s="23">
        <v>31</v>
      </c>
      <c r="Y901" s="18" t="s">
        <v>41</v>
      </c>
      <c r="Z901" s="18" t="s">
        <v>24</v>
      </c>
      <c r="AA901" s="19" t="s">
        <v>36</v>
      </c>
    </row>
    <row r="902" spans="1:27" x14ac:dyDescent="0.25">
      <c r="A902" s="17" t="s">
        <v>1304</v>
      </c>
      <c r="B902" s="18" t="s">
        <v>76</v>
      </c>
      <c r="C902" s="63" t="str" cm="1">
        <f t="array" ref="C902">_xlfn.SWITCH(Table22[[#This Row],[Country]],"USA","North America","Canada","North America","Brazil","South America","China","Asia","Japan","Asia","India","Asia","France","Europe","Germany","Europe","UK","Europe","Australia","Oceania","South America")</f>
        <v>Asia</v>
      </c>
      <c r="D902" s="18" t="s">
        <v>21</v>
      </c>
      <c r="E902" s="18" t="s">
        <v>33</v>
      </c>
      <c r="F902" s="18" t="s">
        <v>47</v>
      </c>
      <c r="G902" s="18" t="s">
        <v>48</v>
      </c>
      <c r="H902" s="64">
        <f>LEN(TRIM(Table22[[#This Row],[Country]]))</f>
        <v>5</v>
      </c>
      <c r="I902" s="64">
        <f>LEN(TRIM(Table22[[#This Row],[Continent]]))</f>
        <v>4</v>
      </c>
      <c r="J902" s="64">
        <f>LEN(TRIM(Table22[[#This Row],[Product]]))</f>
        <v>10</v>
      </c>
      <c r="K902" s="64">
        <f>LEN(TRIM(Table22[[#This Row],[Sales Team]]))</f>
        <v>9</v>
      </c>
      <c r="L902" s="23">
        <v>27</v>
      </c>
      <c r="M902" s="65" t="str" cm="1">
        <f t="array" ref="M902">_xlfn.IFS(Table22[[#This Row],[Units Sold]]&lt;40,"Critical",Table22[[#This Row],[Units Sold]]&lt;=50,"Poor",Table22[[#This Row],[Units Sold]]&lt;=60,"Low",Table22[[#This Row],[Units Sold]]&lt;=80,"Average",Table22[[#This Row],[Units Sold]]&lt;=90,"High",Table22[[#This Row],[Units Sold]]&lt;=95,"Excellent",Table22[[#This Row],[Units Sold]]&gt;95,"Outstanding")</f>
        <v>Critical</v>
      </c>
      <c r="N902" s="29">
        <v>1293.6099999999999</v>
      </c>
      <c r="O902" s="29">
        <v>34927.47</v>
      </c>
      <c r="P902" s="43">
        <f>IF(Table22[[#This Row],[Discount Applied]],Table22[[#This Row],[Total Sales (in USD)]]*(1-Table22[[#This Row],[Discount Percentage (%)]]/100),Table22[[#This Row],[Total Sales (in USD)]])</f>
        <v>34927.47</v>
      </c>
      <c r="Q902" s="66">
        <f>SQRT(AVERAGE((Table22[[#This Row],[Net Sales (after discount) (in USD)]]-AVERAGE(Table22[Net Sales (after discount) (in USD)]))^2))</f>
        <v>1583.8905637645366</v>
      </c>
      <c r="R902" s="18" t="b">
        <v>0</v>
      </c>
      <c r="S902" s="40">
        <v>25</v>
      </c>
      <c r="T902" s="18" t="b">
        <v>0</v>
      </c>
      <c r="U902" s="25">
        <v>45469</v>
      </c>
      <c r="V902" s="63" t="str">
        <f>IF(MONTH(Table22[[#This Row],[Sales Date]])&lt;=3,"Q1",IF(MONTH(Table22[[#This Row],[Sales Date]])&lt;=6,"Q2",IF(MONTH(Table22[[#This Row],[Sales Date]])&lt;=9,"Q3","Q4")))</f>
        <v>Q2</v>
      </c>
      <c r="W902" s="64">
        <f>YEAR(Table22[[#This Row],[Sales Date]])</f>
        <v>2024</v>
      </c>
      <c r="X902" s="23">
        <v>62</v>
      </c>
      <c r="Y902" s="18" t="s">
        <v>41</v>
      </c>
      <c r="Z902" s="18" t="s">
        <v>24</v>
      </c>
      <c r="AA902" s="19" t="s">
        <v>25</v>
      </c>
    </row>
    <row r="903" spans="1:27" x14ac:dyDescent="0.25">
      <c r="A903" s="17" t="s">
        <v>1525</v>
      </c>
      <c r="B903" s="18" t="s">
        <v>46</v>
      </c>
      <c r="C903" s="63" t="str" cm="1">
        <f t="array" ref="C903">_xlfn.SWITCH(Table22[[#This Row],[Country]],"USA","North America","Canada","North America","Brazil","South America","China","Asia","Japan","Asia","India","Asia","France","Europe","Germany","Europe","UK","Europe","Australia","Oceania","South America")</f>
        <v>South America</v>
      </c>
      <c r="D903" s="18" t="s">
        <v>28</v>
      </c>
      <c r="E903" s="18" t="s">
        <v>19</v>
      </c>
      <c r="F903" s="18" t="s">
        <v>20</v>
      </c>
      <c r="G903" s="18" t="s">
        <v>48</v>
      </c>
      <c r="H903" s="64">
        <f>LEN(TRIM(Table22[[#This Row],[Country]]))</f>
        <v>6</v>
      </c>
      <c r="I903" s="64">
        <f>LEN(TRIM(Table22[[#This Row],[Continent]]))</f>
        <v>13</v>
      </c>
      <c r="J903" s="64">
        <f>LEN(TRIM(Table22[[#This Row],[Product]]))</f>
        <v>6</v>
      </c>
      <c r="K903" s="64">
        <f>LEN(TRIM(Table22[[#This Row],[Sales Team]]))</f>
        <v>9</v>
      </c>
      <c r="L903" s="23">
        <v>24</v>
      </c>
      <c r="M903" s="65" t="str" cm="1">
        <f t="array" ref="M903">_xlfn.IFS(Table22[[#This Row],[Units Sold]]&lt;40,"Critical",Table22[[#This Row],[Units Sold]]&lt;=50,"Poor",Table22[[#This Row],[Units Sold]]&lt;=60,"Low",Table22[[#This Row],[Units Sold]]&lt;=80,"Average",Table22[[#This Row],[Units Sold]]&lt;=90,"High",Table22[[#This Row],[Units Sold]]&lt;=95,"Excellent",Table22[[#This Row],[Units Sold]]&gt;95,"Outstanding")</f>
        <v>Critical</v>
      </c>
      <c r="N903" s="29">
        <v>1455.1</v>
      </c>
      <c r="O903" s="29">
        <v>34922.400000000001</v>
      </c>
      <c r="P903" s="43">
        <f>IF(Table22[[#This Row],[Discount Applied]],Table22[[#This Row],[Total Sales (in USD)]]*(1-Table22[[#This Row],[Discount Percentage (%)]]/100),Table22[[#This Row],[Total Sales (in USD)]])</f>
        <v>33333.430800000002</v>
      </c>
      <c r="Q903" s="66">
        <f>SQRT(AVERAGE((Table22[[#This Row],[Net Sales (after discount) (in USD)]]-AVERAGE(Table22[Net Sales (after discount) (in USD)]))^2))</f>
        <v>3177.9297637645359</v>
      </c>
      <c r="R903" s="18" t="b">
        <v>1</v>
      </c>
      <c r="S903" s="40">
        <v>4.55</v>
      </c>
      <c r="T903" s="18" t="b">
        <v>1</v>
      </c>
      <c r="U903" s="25">
        <v>45406</v>
      </c>
      <c r="V903" s="63" t="str">
        <f>IF(MONTH(Table22[[#This Row],[Sales Date]])&lt;=3,"Q1",IF(MONTH(Table22[[#This Row],[Sales Date]])&lt;=6,"Q2",IF(MONTH(Table22[[#This Row],[Sales Date]])&lt;=9,"Q3","Q4")))</f>
        <v>Q2</v>
      </c>
      <c r="W903" s="64">
        <f>YEAR(Table22[[#This Row],[Sales Date]])</f>
        <v>2024</v>
      </c>
      <c r="X903" s="23">
        <v>23</v>
      </c>
      <c r="Y903" s="18" t="s">
        <v>49</v>
      </c>
      <c r="Z903" s="18" t="s">
        <v>42</v>
      </c>
      <c r="AA903" s="19" t="s">
        <v>25</v>
      </c>
    </row>
    <row r="904" spans="1:27" x14ac:dyDescent="0.25">
      <c r="A904" s="17" t="s">
        <v>1031</v>
      </c>
      <c r="B904" s="18" t="s">
        <v>38</v>
      </c>
      <c r="C904" s="63" t="str" cm="1">
        <f t="array" ref="C904">_xlfn.SWITCH(Table22[[#This Row],[Country]],"USA","North America","Canada","North America","Brazil","South America","China","Asia","Japan","Asia","India","Asia","France","Europe","Germany","Europe","UK","Europe","Australia","Oceania","South America")</f>
        <v>Europe</v>
      </c>
      <c r="D904" s="18" t="s">
        <v>21</v>
      </c>
      <c r="E904" s="18" t="s">
        <v>33</v>
      </c>
      <c r="F904" s="18" t="s">
        <v>34</v>
      </c>
      <c r="G904" s="18" t="s">
        <v>29</v>
      </c>
      <c r="H904" s="64">
        <f>LEN(TRIM(Table22[[#This Row],[Country]]))</f>
        <v>6</v>
      </c>
      <c r="I904" s="64">
        <f>LEN(TRIM(Table22[[#This Row],[Continent]]))</f>
        <v>6</v>
      </c>
      <c r="J904" s="64">
        <f>LEN(TRIM(Table22[[#This Row],[Product]]))</f>
        <v>10</v>
      </c>
      <c r="K904" s="64">
        <f>LEN(TRIM(Table22[[#This Row],[Sales Team]]))</f>
        <v>10</v>
      </c>
      <c r="L904" s="23">
        <v>45</v>
      </c>
      <c r="M904" s="65" t="str" cm="1">
        <f t="array" ref="M904">_xlfn.IFS(Table22[[#This Row],[Units Sold]]&lt;40,"Critical",Table22[[#This Row],[Units Sold]]&lt;=50,"Poor",Table22[[#This Row],[Units Sold]]&lt;=60,"Low",Table22[[#This Row],[Units Sold]]&lt;=80,"Average",Table22[[#This Row],[Units Sold]]&lt;=90,"High",Table22[[#This Row],[Units Sold]]&lt;=95,"Excellent",Table22[[#This Row],[Units Sold]]&gt;95,"Outstanding")</f>
        <v>Poor</v>
      </c>
      <c r="N904" s="29">
        <v>775.48</v>
      </c>
      <c r="O904" s="29">
        <v>34896.6</v>
      </c>
      <c r="P904" s="43">
        <f>IF(Table22[[#This Row],[Discount Applied]],Table22[[#This Row],[Total Sales (in USD)]]*(1-Table22[[#This Row],[Discount Percentage (%)]]/100),Table22[[#This Row],[Total Sales (in USD)]])</f>
        <v>34896.6</v>
      </c>
      <c r="Q904" s="66">
        <f>SQRT(AVERAGE((Table22[[#This Row],[Net Sales (after discount) (in USD)]]-AVERAGE(Table22[Net Sales (after discount) (in USD)]))^2))</f>
        <v>1614.7605637645393</v>
      </c>
      <c r="R904" s="18" t="b">
        <v>1</v>
      </c>
      <c r="S904" s="40">
        <v>0.81</v>
      </c>
      <c r="T904" s="18" t="b">
        <v>0</v>
      </c>
      <c r="U904" s="25">
        <v>45469</v>
      </c>
      <c r="V904" s="63" t="str">
        <f>IF(MONTH(Table22[[#This Row],[Sales Date]])&lt;=3,"Q1",IF(MONTH(Table22[[#This Row],[Sales Date]])&lt;=6,"Q2",IF(MONTH(Table22[[#This Row],[Sales Date]])&lt;=9,"Q3","Q4")))</f>
        <v>Q2</v>
      </c>
      <c r="W904" s="64">
        <f>YEAR(Table22[[#This Row],[Sales Date]])</f>
        <v>2024</v>
      </c>
      <c r="X904" s="23">
        <v>21</v>
      </c>
      <c r="Y904" s="18" t="s">
        <v>41</v>
      </c>
      <c r="Z904" s="18" t="s">
        <v>24</v>
      </c>
      <c r="AA904" s="19" t="s">
        <v>36</v>
      </c>
    </row>
    <row r="905" spans="1:27" x14ac:dyDescent="0.25">
      <c r="A905" s="17" t="s">
        <v>1217</v>
      </c>
      <c r="B905" s="18" t="s">
        <v>46</v>
      </c>
      <c r="C905" s="63" t="str" cm="1">
        <f t="array" ref="C905">_xlfn.SWITCH(Table22[[#This Row],[Country]],"USA","North America","Canada","North America","Brazil","South America","China","Asia","Japan","Asia","India","Asia","France","Europe","Germany","Europe","UK","Europe","Australia","Oceania","South America")</f>
        <v>South America</v>
      </c>
      <c r="D905" s="18" t="s">
        <v>44</v>
      </c>
      <c r="E905" s="18" t="s">
        <v>39</v>
      </c>
      <c r="F905" s="18" t="s">
        <v>64</v>
      </c>
      <c r="G905" s="18" t="s">
        <v>48</v>
      </c>
      <c r="H905" s="64">
        <f>LEN(TRIM(Table22[[#This Row],[Country]]))</f>
        <v>6</v>
      </c>
      <c r="I905" s="64">
        <f>LEN(TRIM(Table22[[#This Row],[Continent]]))</f>
        <v>13</v>
      </c>
      <c r="J905" s="64">
        <f>LEN(TRIM(Table22[[#This Row],[Product]]))</f>
        <v>10</v>
      </c>
      <c r="K905" s="64">
        <f>LEN(TRIM(Table22[[#This Row],[Sales Team]]))</f>
        <v>9</v>
      </c>
      <c r="L905" s="23">
        <v>49</v>
      </c>
      <c r="M905" s="65" t="str" cm="1">
        <f t="array" ref="M905">_xlfn.IFS(Table22[[#This Row],[Units Sold]]&lt;40,"Critical",Table22[[#This Row],[Units Sold]]&lt;=50,"Poor",Table22[[#This Row],[Units Sold]]&lt;=60,"Low",Table22[[#This Row],[Units Sold]]&lt;=80,"Average",Table22[[#This Row],[Units Sold]]&lt;=90,"High",Table22[[#This Row],[Units Sold]]&lt;=95,"Excellent",Table22[[#This Row],[Units Sold]]&gt;95,"Outstanding")</f>
        <v>Poor</v>
      </c>
      <c r="N905" s="29">
        <v>710.64</v>
      </c>
      <c r="O905" s="29">
        <v>34821.360000000001</v>
      </c>
      <c r="P905" s="43">
        <f>IF(Table22[[#This Row],[Discount Applied]],Table22[[#This Row],[Total Sales (in USD)]]*(1-Table22[[#This Row],[Discount Percentage (%)]]/100),Table22[[#This Row],[Total Sales (in USD)]])</f>
        <v>34821.360000000001</v>
      </c>
      <c r="Q905" s="66">
        <f>SQRT(AVERAGE((Table22[[#This Row],[Net Sales (after discount) (in USD)]]-AVERAGE(Table22[Net Sales (after discount) (in USD)]))^2))</f>
        <v>1690.0005637645372</v>
      </c>
      <c r="R905" s="18" t="b">
        <v>1</v>
      </c>
      <c r="S905" s="40">
        <v>3.5</v>
      </c>
      <c r="T905" s="18" t="b">
        <v>0</v>
      </c>
      <c r="U905" s="25">
        <v>45296</v>
      </c>
      <c r="V905" s="63" t="str">
        <f>IF(MONTH(Table22[[#This Row],[Sales Date]])&lt;=3,"Q1",IF(MONTH(Table22[[#This Row],[Sales Date]])&lt;=6,"Q2",IF(MONTH(Table22[[#This Row],[Sales Date]])&lt;=9,"Q3","Q4")))</f>
        <v>Q1</v>
      </c>
      <c r="W905" s="64">
        <f>YEAR(Table22[[#This Row],[Sales Date]])</f>
        <v>2024</v>
      </c>
      <c r="X905" s="23">
        <v>34</v>
      </c>
      <c r="Y905" s="18" t="s">
        <v>49</v>
      </c>
      <c r="Z905" s="18" t="s">
        <v>24</v>
      </c>
      <c r="AA905" s="19" t="s">
        <v>36</v>
      </c>
    </row>
    <row r="906" spans="1:27" x14ac:dyDescent="0.25">
      <c r="A906" s="17" t="s">
        <v>1485</v>
      </c>
      <c r="B906" s="18" t="s">
        <v>66</v>
      </c>
      <c r="C906" s="63" t="str" cm="1">
        <f t="array" ref="C906">_xlfn.SWITCH(Table22[[#This Row],[Country]],"USA","North America","Canada","North America","Brazil","South America","China","Asia","Japan","Asia","India","Asia","France","Europe","Germany","Europe","UK","Europe","Australia","Oceania","South America")</f>
        <v>North America</v>
      </c>
      <c r="D906" s="18" t="s">
        <v>28</v>
      </c>
      <c r="E906" s="18" t="s">
        <v>39</v>
      </c>
      <c r="F906" s="18" t="s">
        <v>64</v>
      </c>
      <c r="G906" s="18" t="s">
        <v>40</v>
      </c>
      <c r="H906" s="64">
        <f>LEN(TRIM(Table22[[#This Row],[Country]]))</f>
        <v>6</v>
      </c>
      <c r="I906" s="64">
        <f>LEN(TRIM(Table22[[#This Row],[Continent]]))</f>
        <v>13</v>
      </c>
      <c r="J906" s="64">
        <f>LEN(TRIM(Table22[[#This Row],[Product]]))</f>
        <v>10</v>
      </c>
      <c r="K906" s="64">
        <f>LEN(TRIM(Table22[[#This Row],[Sales Team]]))</f>
        <v>10</v>
      </c>
      <c r="L906" s="23">
        <v>55</v>
      </c>
      <c r="M906" s="65" t="str" cm="1">
        <f t="array" ref="M906">_xlfn.IFS(Table22[[#This Row],[Units Sold]]&lt;40,"Critical",Table22[[#This Row],[Units Sold]]&lt;=50,"Poor",Table22[[#This Row],[Units Sold]]&lt;=60,"Low",Table22[[#This Row],[Units Sold]]&lt;=80,"Average",Table22[[#This Row],[Units Sold]]&lt;=90,"High",Table22[[#This Row],[Units Sold]]&lt;=95,"Excellent",Table22[[#This Row],[Units Sold]]&gt;95,"Outstanding")</f>
        <v>Low</v>
      </c>
      <c r="N906" s="29">
        <v>632.66999999999996</v>
      </c>
      <c r="O906" s="29">
        <v>34796.85</v>
      </c>
      <c r="P906" s="43">
        <f>IF(Table22[[#This Row],[Discount Applied]],Table22[[#This Row],[Total Sales (in USD)]]*(1-Table22[[#This Row],[Discount Percentage (%)]]/100),Table22[[#This Row],[Total Sales (in USD)]])</f>
        <v>34762.05315</v>
      </c>
      <c r="Q906" s="66">
        <f>SQRT(AVERAGE((Table22[[#This Row],[Net Sales (after discount) (in USD)]]-AVERAGE(Table22[Net Sales (after discount) (in USD)]))^2))</f>
        <v>1749.3074137645381</v>
      </c>
      <c r="R906" s="18" t="b">
        <v>1</v>
      </c>
      <c r="S906" s="40">
        <v>0.1</v>
      </c>
      <c r="T906" s="18" t="b">
        <v>1</v>
      </c>
      <c r="U906" s="25">
        <v>45032</v>
      </c>
      <c r="V906" s="63" t="str">
        <f>IF(MONTH(Table22[[#This Row],[Sales Date]])&lt;=3,"Q1",IF(MONTH(Table22[[#This Row],[Sales Date]])&lt;=6,"Q2",IF(MONTH(Table22[[#This Row],[Sales Date]])&lt;=9,"Q3","Q4")))</f>
        <v>Q2</v>
      </c>
      <c r="W906" s="64">
        <f>YEAR(Table22[[#This Row],[Sales Date]])</f>
        <v>2023</v>
      </c>
      <c r="X906" s="23">
        <v>56</v>
      </c>
      <c r="Y906" s="18" t="s">
        <v>23</v>
      </c>
      <c r="Z906" s="18" t="s">
        <v>24</v>
      </c>
      <c r="AA906" s="19" t="s">
        <v>36</v>
      </c>
    </row>
    <row r="907" spans="1:27" x14ac:dyDescent="0.25">
      <c r="A907" s="17" t="s">
        <v>248</v>
      </c>
      <c r="B907" s="18" t="s">
        <v>38</v>
      </c>
      <c r="C907" s="63" t="str" cm="1">
        <f t="array" ref="C907">_xlfn.SWITCH(Table22[[#This Row],[Country]],"USA","North America","Canada","North America","Brazil","South America","China","Asia","Japan","Asia","India","Asia","France","Europe","Germany","Europe","UK","Europe","Australia","Oceania","South America")</f>
        <v>Europe</v>
      </c>
      <c r="D907" s="18" t="s">
        <v>28</v>
      </c>
      <c r="E907" s="18" t="s">
        <v>39</v>
      </c>
      <c r="F907" s="18" t="s">
        <v>34</v>
      </c>
      <c r="G907" s="18" t="s">
        <v>48</v>
      </c>
      <c r="H907" s="64">
        <f>LEN(TRIM(Table22[[#This Row],[Country]]))</f>
        <v>6</v>
      </c>
      <c r="I907" s="64">
        <f>LEN(TRIM(Table22[[#This Row],[Continent]]))</f>
        <v>6</v>
      </c>
      <c r="J907" s="64">
        <f>LEN(TRIM(Table22[[#This Row],[Product]]))</f>
        <v>10</v>
      </c>
      <c r="K907" s="64">
        <f>LEN(TRIM(Table22[[#This Row],[Sales Team]]))</f>
        <v>9</v>
      </c>
      <c r="L907" s="23">
        <v>43</v>
      </c>
      <c r="M907" s="65" t="str" cm="1">
        <f t="array" ref="M907">_xlfn.IFS(Table22[[#This Row],[Units Sold]]&lt;40,"Critical",Table22[[#This Row],[Units Sold]]&lt;=50,"Poor",Table22[[#This Row],[Units Sold]]&lt;=60,"Low",Table22[[#This Row],[Units Sold]]&lt;=80,"Average",Table22[[#This Row],[Units Sold]]&lt;=90,"High",Table22[[#This Row],[Units Sold]]&lt;=95,"Excellent",Table22[[#This Row],[Units Sold]]&gt;95,"Outstanding")</f>
        <v>Poor</v>
      </c>
      <c r="N907" s="29">
        <v>807.08</v>
      </c>
      <c r="O907" s="29">
        <v>34704.44</v>
      </c>
      <c r="P907" s="43">
        <f>IF(Table22[[#This Row],[Discount Applied]],Table22[[#This Row],[Total Sales (in USD)]]*(1-Table22[[#This Row],[Discount Percentage (%)]]/100),Table22[[#This Row],[Total Sales (in USD)]])</f>
        <v>24643.622844000001</v>
      </c>
      <c r="Q907" s="66">
        <f>SQRT(AVERAGE((Table22[[#This Row],[Net Sales (after discount) (in USD)]]-AVERAGE(Table22[Net Sales (after discount) (in USD)]))^2))</f>
        <v>11867.737719764536</v>
      </c>
      <c r="R907" s="18" t="b">
        <v>0</v>
      </c>
      <c r="S907" s="40">
        <v>28.99</v>
      </c>
      <c r="T907" s="18" t="b">
        <v>1</v>
      </c>
      <c r="U907" s="25">
        <v>44985</v>
      </c>
      <c r="V907" s="63" t="str">
        <f>IF(MONTH(Table22[[#This Row],[Sales Date]])&lt;=3,"Q1",IF(MONTH(Table22[[#This Row],[Sales Date]])&lt;=6,"Q2",IF(MONTH(Table22[[#This Row],[Sales Date]])&lt;=9,"Q3","Q4")))</f>
        <v>Q1</v>
      </c>
      <c r="W907" s="64">
        <f>YEAR(Table22[[#This Row],[Sales Date]])</f>
        <v>2023</v>
      </c>
      <c r="X907" s="23">
        <v>29</v>
      </c>
      <c r="Y907" s="18" t="s">
        <v>49</v>
      </c>
      <c r="Z907" s="18" t="s">
        <v>42</v>
      </c>
      <c r="AA907" s="19" t="s">
        <v>36</v>
      </c>
    </row>
    <row r="908" spans="1:27" x14ac:dyDescent="0.25">
      <c r="A908" s="17" t="s">
        <v>1399</v>
      </c>
      <c r="B908" s="18" t="s">
        <v>18</v>
      </c>
      <c r="C908" s="63" t="str" cm="1">
        <f t="array" ref="C908">_xlfn.SWITCH(Table22[[#This Row],[Country]],"USA","North America","Canada","North America","Brazil","South America","China","Asia","Japan","Asia","India","Asia","France","Europe","Germany","Europe","UK","Europe","Australia","Oceania","South America")</f>
        <v>Asia</v>
      </c>
      <c r="D908" s="18" t="s">
        <v>21</v>
      </c>
      <c r="E908" s="18" t="s">
        <v>39</v>
      </c>
      <c r="F908" s="18" t="s">
        <v>47</v>
      </c>
      <c r="G908" s="18" t="s">
        <v>22</v>
      </c>
      <c r="H908" s="64">
        <f>LEN(TRIM(Table22[[#This Row],[Country]]))</f>
        <v>5</v>
      </c>
      <c r="I908" s="64">
        <f>LEN(TRIM(Table22[[#This Row],[Continent]]))</f>
        <v>4</v>
      </c>
      <c r="J908" s="64">
        <f>LEN(TRIM(Table22[[#This Row],[Product]]))</f>
        <v>10</v>
      </c>
      <c r="K908" s="64">
        <f>LEN(TRIM(Table22[[#This Row],[Sales Team]]))</f>
        <v>10</v>
      </c>
      <c r="L908" s="23">
        <v>45</v>
      </c>
      <c r="M908" s="65" t="str" cm="1">
        <f t="array" ref="M908">_xlfn.IFS(Table22[[#This Row],[Units Sold]]&lt;40,"Critical",Table22[[#This Row],[Units Sold]]&lt;=50,"Poor",Table22[[#This Row],[Units Sold]]&lt;=60,"Low",Table22[[#This Row],[Units Sold]]&lt;=80,"Average",Table22[[#This Row],[Units Sold]]&lt;=90,"High",Table22[[#This Row],[Units Sold]]&lt;=95,"Excellent",Table22[[#This Row],[Units Sold]]&gt;95,"Outstanding")</f>
        <v>Poor</v>
      </c>
      <c r="N908" s="29">
        <v>770</v>
      </c>
      <c r="O908" s="29">
        <v>34650</v>
      </c>
      <c r="P908" s="43">
        <f>IF(Table22[[#This Row],[Discount Applied]],Table22[[#This Row],[Total Sales (in USD)]]*(1-Table22[[#This Row],[Discount Percentage (%)]]/100),Table22[[#This Row],[Total Sales (in USD)]])</f>
        <v>34650</v>
      </c>
      <c r="Q908" s="66">
        <f>SQRT(AVERAGE((Table22[[#This Row],[Net Sales (after discount) (in USD)]]-AVERAGE(Table22[Net Sales (after discount) (in USD)]))^2))</f>
        <v>1861.3605637645378</v>
      </c>
      <c r="R908" s="18" t="b">
        <v>1</v>
      </c>
      <c r="S908" s="40">
        <v>17.59</v>
      </c>
      <c r="T908" s="18" t="b">
        <v>0</v>
      </c>
      <c r="U908" s="25">
        <v>45409</v>
      </c>
      <c r="V908" s="63" t="str">
        <f>IF(MONTH(Table22[[#This Row],[Sales Date]])&lt;=3,"Q1",IF(MONTH(Table22[[#This Row],[Sales Date]])&lt;=6,"Q2",IF(MONTH(Table22[[#This Row],[Sales Date]])&lt;=9,"Q3","Q4")))</f>
        <v>Q2</v>
      </c>
      <c r="W908" s="64">
        <f>YEAR(Table22[[#This Row],[Sales Date]])</f>
        <v>2024</v>
      </c>
      <c r="X908" s="23">
        <v>48</v>
      </c>
      <c r="Y908" s="18" t="s">
        <v>49</v>
      </c>
      <c r="Z908" s="18" t="s">
        <v>30</v>
      </c>
      <c r="AA908" s="19" t="s">
        <v>25</v>
      </c>
    </row>
    <row r="909" spans="1:27" x14ac:dyDescent="0.25">
      <c r="A909" s="17" t="s">
        <v>714</v>
      </c>
      <c r="B909" s="18" t="s">
        <v>51</v>
      </c>
      <c r="C909" s="63" t="str" cm="1">
        <f t="array" ref="C909">_xlfn.SWITCH(Table22[[#This Row],[Country]],"USA","North America","Canada","North America","Brazil","South America","China","Asia","Japan","Asia","India","Asia","France","Europe","Germany","Europe","UK","Europe","Australia","Oceania","South America")</f>
        <v>Europe</v>
      </c>
      <c r="D909" s="18" t="s">
        <v>35</v>
      </c>
      <c r="E909" s="18" t="s">
        <v>39</v>
      </c>
      <c r="F909" s="18" t="s">
        <v>20</v>
      </c>
      <c r="G909" s="18" t="s">
        <v>40</v>
      </c>
      <c r="H909" s="64">
        <f>LEN(TRIM(Table22[[#This Row],[Country]]))</f>
        <v>2</v>
      </c>
      <c r="I909" s="64">
        <f>LEN(TRIM(Table22[[#This Row],[Continent]]))</f>
        <v>6</v>
      </c>
      <c r="J909" s="64">
        <f>LEN(TRIM(Table22[[#This Row],[Product]]))</f>
        <v>10</v>
      </c>
      <c r="K909" s="64">
        <f>LEN(TRIM(Table22[[#This Row],[Sales Team]]))</f>
        <v>10</v>
      </c>
      <c r="L909" s="23">
        <v>56</v>
      </c>
      <c r="M909" s="65" t="str" cm="1">
        <f t="array" ref="M909">_xlfn.IFS(Table22[[#This Row],[Units Sold]]&lt;40,"Critical",Table22[[#This Row],[Units Sold]]&lt;=50,"Poor",Table22[[#This Row],[Units Sold]]&lt;=60,"Low",Table22[[#This Row],[Units Sold]]&lt;=80,"Average",Table22[[#This Row],[Units Sold]]&lt;=90,"High",Table22[[#This Row],[Units Sold]]&lt;=95,"Excellent",Table22[[#This Row],[Units Sold]]&gt;95,"Outstanding")</f>
        <v>Low</v>
      </c>
      <c r="N909" s="29">
        <v>618.30999999999995</v>
      </c>
      <c r="O909" s="29">
        <v>34625.360000000001</v>
      </c>
      <c r="P909" s="43">
        <f>IF(Table22[[#This Row],[Discount Applied]],Table22[[#This Row],[Total Sales (in USD)]]*(1-Table22[[#This Row],[Discount Percentage (%)]]/100),Table22[[#This Row],[Total Sales (in USD)]])</f>
        <v>27804.164080000002</v>
      </c>
      <c r="Q909" s="66">
        <f>SQRT(AVERAGE((Table22[[#This Row],[Net Sales (after discount) (in USD)]]-AVERAGE(Table22[Net Sales (after discount) (in USD)]))^2))</f>
        <v>8707.1964837645355</v>
      </c>
      <c r="R909" s="18" t="b">
        <v>0</v>
      </c>
      <c r="S909" s="40">
        <v>19.7</v>
      </c>
      <c r="T909" s="18" t="b">
        <v>1</v>
      </c>
      <c r="U909" s="25">
        <v>45037</v>
      </c>
      <c r="V909" s="63" t="str">
        <f>IF(MONTH(Table22[[#This Row],[Sales Date]])&lt;=3,"Q1",IF(MONTH(Table22[[#This Row],[Sales Date]])&lt;=6,"Q2",IF(MONTH(Table22[[#This Row],[Sales Date]])&lt;=9,"Q3","Q4")))</f>
        <v>Q2</v>
      </c>
      <c r="W909" s="64">
        <f>YEAR(Table22[[#This Row],[Sales Date]])</f>
        <v>2023</v>
      </c>
      <c r="X909" s="23">
        <v>61</v>
      </c>
      <c r="Y909" s="18" t="s">
        <v>41</v>
      </c>
      <c r="Z909" s="18" t="s">
        <v>24</v>
      </c>
      <c r="AA909" s="19" t="s">
        <v>36</v>
      </c>
    </row>
    <row r="910" spans="1:27" x14ac:dyDescent="0.25">
      <c r="A910" s="17" t="s">
        <v>1985</v>
      </c>
      <c r="B910" s="18" t="s">
        <v>46</v>
      </c>
      <c r="C910" s="63" t="str" cm="1">
        <f t="array" ref="C910">_xlfn.SWITCH(Table22[[#This Row],[Country]],"USA","North America","Canada","North America","Brazil","South America","China","Asia","Japan","Asia","India","Asia","France","Europe","Germany","Europe","UK","Europe","Australia","Oceania","South America")</f>
        <v>South America</v>
      </c>
      <c r="D910" s="18" t="s">
        <v>21</v>
      </c>
      <c r="E910" s="18" t="s">
        <v>33</v>
      </c>
      <c r="F910" s="18" t="s">
        <v>52</v>
      </c>
      <c r="G910" s="18" t="s">
        <v>29</v>
      </c>
      <c r="H910" s="64">
        <f>LEN(TRIM(Table22[[#This Row],[Country]]))</f>
        <v>6</v>
      </c>
      <c r="I910" s="64">
        <f>LEN(TRIM(Table22[[#This Row],[Continent]]))</f>
        <v>13</v>
      </c>
      <c r="J910" s="64">
        <f>LEN(TRIM(Table22[[#This Row],[Product]]))</f>
        <v>10</v>
      </c>
      <c r="K910" s="64">
        <f>LEN(TRIM(Table22[[#This Row],[Sales Team]]))</f>
        <v>10</v>
      </c>
      <c r="L910" s="23">
        <v>35</v>
      </c>
      <c r="M910" s="65" t="str" cm="1">
        <f t="array" ref="M910">_xlfn.IFS(Table22[[#This Row],[Units Sold]]&lt;40,"Critical",Table22[[#This Row],[Units Sold]]&lt;=50,"Poor",Table22[[#This Row],[Units Sold]]&lt;=60,"Low",Table22[[#This Row],[Units Sold]]&lt;=80,"Average",Table22[[#This Row],[Units Sold]]&lt;=90,"High",Table22[[#This Row],[Units Sold]]&lt;=95,"Excellent",Table22[[#This Row],[Units Sold]]&gt;95,"Outstanding")</f>
        <v>Critical</v>
      </c>
      <c r="N910" s="29">
        <v>988.8</v>
      </c>
      <c r="O910" s="29">
        <v>34608</v>
      </c>
      <c r="P910" s="43">
        <f>IF(Table22[[#This Row],[Discount Applied]],Table22[[#This Row],[Total Sales (in USD)]]*(1-Table22[[#This Row],[Discount Percentage (%)]]/100),Table22[[#This Row],[Total Sales (in USD)]])</f>
        <v>33881.231999999996</v>
      </c>
      <c r="Q910" s="66">
        <f>SQRT(AVERAGE((Table22[[#This Row],[Net Sales (after discount) (in USD)]]-AVERAGE(Table22[Net Sales (after discount) (in USD)]))^2))</f>
        <v>2630.1285637645415</v>
      </c>
      <c r="R910" s="18" t="b">
        <v>1</v>
      </c>
      <c r="S910" s="40">
        <v>2.1</v>
      </c>
      <c r="T910" s="18" t="b">
        <v>1</v>
      </c>
      <c r="U910" s="25">
        <v>45542</v>
      </c>
      <c r="V910" s="63" t="str">
        <f>IF(MONTH(Table22[[#This Row],[Sales Date]])&lt;=3,"Q1",IF(MONTH(Table22[[#This Row],[Sales Date]])&lt;=6,"Q2",IF(MONTH(Table22[[#This Row],[Sales Date]])&lt;=9,"Q3","Q4")))</f>
        <v>Q3</v>
      </c>
      <c r="W910" s="64">
        <f>YEAR(Table22[[#This Row],[Sales Date]])</f>
        <v>2024</v>
      </c>
      <c r="X910" s="23">
        <v>22</v>
      </c>
      <c r="Y910" s="18" t="s">
        <v>23</v>
      </c>
      <c r="Z910" s="18" t="s">
        <v>30</v>
      </c>
      <c r="AA910" s="19" t="s">
        <v>36</v>
      </c>
    </row>
    <row r="911" spans="1:27" x14ac:dyDescent="0.25">
      <c r="A911" s="17" t="s">
        <v>1791</v>
      </c>
      <c r="B911" s="18" t="s">
        <v>76</v>
      </c>
      <c r="C911" s="63" t="str" cm="1">
        <f t="array" ref="C911">_xlfn.SWITCH(Table22[[#This Row],[Country]],"USA","North America","Canada","North America","Brazil","South America","China","Asia","Japan","Asia","India","Asia","France","Europe","Germany","Europe","UK","Europe","Australia","Oceania","South America")</f>
        <v>Asia</v>
      </c>
      <c r="D911" s="18" t="s">
        <v>35</v>
      </c>
      <c r="E911" s="18" t="s">
        <v>39</v>
      </c>
      <c r="F911" s="18" t="s">
        <v>20</v>
      </c>
      <c r="G911" s="18" t="s">
        <v>29</v>
      </c>
      <c r="H911" s="64">
        <f>LEN(TRIM(Table22[[#This Row],[Country]]))</f>
        <v>5</v>
      </c>
      <c r="I911" s="64">
        <f>LEN(TRIM(Table22[[#This Row],[Continent]]))</f>
        <v>4</v>
      </c>
      <c r="J911" s="64">
        <f>LEN(TRIM(Table22[[#This Row],[Product]]))</f>
        <v>10</v>
      </c>
      <c r="K911" s="64">
        <f>LEN(TRIM(Table22[[#This Row],[Sales Team]]))</f>
        <v>10</v>
      </c>
      <c r="L911" s="23">
        <v>77</v>
      </c>
      <c r="M911" s="65" t="str" cm="1">
        <f t="array" ref="M911">_xlfn.IFS(Table22[[#This Row],[Units Sold]]&lt;40,"Critical",Table22[[#This Row],[Units Sold]]&lt;=50,"Poor",Table22[[#This Row],[Units Sold]]&lt;=60,"Low",Table22[[#This Row],[Units Sold]]&lt;=80,"Average",Table22[[#This Row],[Units Sold]]&lt;=90,"High",Table22[[#This Row],[Units Sold]]&lt;=95,"Excellent",Table22[[#This Row],[Units Sold]]&gt;95,"Outstanding")</f>
        <v>Average</v>
      </c>
      <c r="N911" s="29">
        <v>448.94</v>
      </c>
      <c r="O911" s="29">
        <v>34568.379999999997</v>
      </c>
      <c r="P911" s="43">
        <f>IF(Table22[[#This Row],[Discount Applied]],Table22[[#This Row],[Total Sales (in USD)]]*(1-Table22[[#This Row],[Discount Percentage (%)]]/100),Table22[[#This Row],[Total Sales (in USD)]])</f>
        <v>34568.379999999997</v>
      </c>
      <c r="Q911" s="66">
        <f>SQRT(AVERAGE((Table22[[#This Row],[Net Sales (after discount) (in USD)]]-AVERAGE(Table22[Net Sales (after discount) (in USD)]))^2))</f>
        <v>1942.9805637645404</v>
      </c>
      <c r="R911" s="18" t="b">
        <v>1</v>
      </c>
      <c r="S911" s="40">
        <v>14.92</v>
      </c>
      <c r="T911" s="18" t="b">
        <v>0</v>
      </c>
      <c r="U911" s="25">
        <v>45224</v>
      </c>
      <c r="V911" s="63" t="str">
        <f>IF(MONTH(Table22[[#This Row],[Sales Date]])&lt;=3,"Q1",IF(MONTH(Table22[[#This Row],[Sales Date]])&lt;=6,"Q2",IF(MONTH(Table22[[#This Row],[Sales Date]])&lt;=9,"Q3","Q4")))</f>
        <v>Q4</v>
      </c>
      <c r="W911" s="64">
        <f>YEAR(Table22[[#This Row],[Sales Date]])</f>
        <v>2023</v>
      </c>
      <c r="X911" s="23">
        <v>67</v>
      </c>
      <c r="Y911" s="18" t="s">
        <v>49</v>
      </c>
      <c r="Z911" s="18" t="s">
        <v>56</v>
      </c>
      <c r="AA911" s="19" t="s">
        <v>25</v>
      </c>
    </row>
    <row r="912" spans="1:27" x14ac:dyDescent="0.25">
      <c r="A912" s="17" t="s">
        <v>696</v>
      </c>
      <c r="B912" s="18" t="s">
        <v>72</v>
      </c>
      <c r="C912" s="63" t="str" cm="1">
        <f t="array" ref="C912">_xlfn.SWITCH(Table22[[#This Row],[Country]],"USA","North America","Canada","North America","Brazil","South America","China","Asia","Japan","Asia","India","Asia","France","Europe","Germany","Europe","UK","Europe","Australia","Oceania","South America")</f>
        <v>North America</v>
      </c>
      <c r="D912" s="18" t="s">
        <v>28</v>
      </c>
      <c r="E912" s="18" t="s">
        <v>19</v>
      </c>
      <c r="F912" s="18" t="s">
        <v>47</v>
      </c>
      <c r="G912" s="18" t="s">
        <v>29</v>
      </c>
      <c r="H912" s="64">
        <f>LEN(TRIM(Table22[[#This Row],[Country]]))</f>
        <v>3</v>
      </c>
      <c r="I912" s="64">
        <f>LEN(TRIM(Table22[[#This Row],[Continent]]))</f>
        <v>13</v>
      </c>
      <c r="J912" s="64">
        <f>LEN(TRIM(Table22[[#This Row],[Product]]))</f>
        <v>6</v>
      </c>
      <c r="K912" s="64">
        <f>LEN(TRIM(Table22[[#This Row],[Sales Team]]))</f>
        <v>10</v>
      </c>
      <c r="L912" s="23">
        <v>30</v>
      </c>
      <c r="M912" s="65" t="str" cm="1">
        <f t="array" ref="M912">_xlfn.IFS(Table22[[#This Row],[Units Sold]]&lt;40,"Critical",Table22[[#This Row],[Units Sold]]&lt;=50,"Poor",Table22[[#This Row],[Units Sold]]&lt;=60,"Low",Table22[[#This Row],[Units Sold]]&lt;=80,"Average",Table22[[#This Row],[Units Sold]]&lt;=90,"High",Table22[[#This Row],[Units Sold]]&lt;=95,"Excellent",Table22[[#This Row],[Units Sold]]&gt;95,"Outstanding")</f>
        <v>Critical</v>
      </c>
      <c r="N912" s="29">
        <v>1150.3900000000001</v>
      </c>
      <c r="O912" s="29">
        <v>34511.699999999997</v>
      </c>
      <c r="P912" s="43">
        <f>IF(Table22[[#This Row],[Discount Applied]],Table22[[#This Row],[Total Sales (in USD)]]*(1-Table22[[#This Row],[Discount Percentage (%)]]/100),Table22[[#This Row],[Total Sales (in USD)]])</f>
        <v>34511.699999999997</v>
      </c>
      <c r="Q912" s="66">
        <f>SQRT(AVERAGE((Table22[[#This Row],[Net Sales (after discount) (in USD)]]-AVERAGE(Table22[Net Sales (after discount) (in USD)]))^2))</f>
        <v>1999.6605637645407</v>
      </c>
      <c r="R912" s="18" t="b">
        <v>1</v>
      </c>
      <c r="S912" s="40">
        <v>27.33</v>
      </c>
      <c r="T912" s="18" t="b">
        <v>0</v>
      </c>
      <c r="U912" s="25">
        <v>45516</v>
      </c>
      <c r="V912" s="63" t="str">
        <f>IF(MONTH(Table22[[#This Row],[Sales Date]])&lt;=3,"Q1",IF(MONTH(Table22[[#This Row],[Sales Date]])&lt;=6,"Q2",IF(MONTH(Table22[[#This Row],[Sales Date]])&lt;=9,"Q3","Q4")))</f>
        <v>Q3</v>
      </c>
      <c r="W912" s="64">
        <f>YEAR(Table22[[#This Row],[Sales Date]])</f>
        <v>2024</v>
      </c>
      <c r="X912" s="23">
        <v>51</v>
      </c>
      <c r="Y912" s="18" t="s">
        <v>23</v>
      </c>
      <c r="Z912" s="18" t="s">
        <v>30</v>
      </c>
      <c r="AA912" s="19" t="s">
        <v>36</v>
      </c>
    </row>
    <row r="913" spans="1:27" x14ac:dyDescent="0.25">
      <c r="A913" s="17" t="s">
        <v>695</v>
      </c>
      <c r="B913" s="18" t="s">
        <v>66</v>
      </c>
      <c r="C913" s="63" t="str" cm="1">
        <f t="array" ref="C913">_xlfn.SWITCH(Table22[[#This Row],[Country]],"USA","North America","Canada","North America","Brazil","South America","China","Asia","Japan","Asia","India","Asia","France","Europe","Germany","Europe","UK","Europe","Australia","Oceania","South America")</f>
        <v>North America</v>
      </c>
      <c r="D913" s="18" t="s">
        <v>35</v>
      </c>
      <c r="E913" s="18" t="s">
        <v>39</v>
      </c>
      <c r="F913" s="18" t="s">
        <v>20</v>
      </c>
      <c r="G913" s="18" t="s">
        <v>22</v>
      </c>
      <c r="H913" s="64">
        <f>LEN(TRIM(Table22[[#This Row],[Country]]))</f>
        <v>6</v>
      </c>
      <c r="I913" s="64">
        <f>LEN(TRIM(Table22[[#This Row],[Continent]]))</f>
        <v>13</v>
      </c>
      <c r="J913" s="64">
        <f>LEN(TRIM(Table22[[#This Row],[Product]]))</f>
        <v>10</v>
      </c>
      <c r="K913" s="64">
        <f>LEN(TRIM(Table22[[#This Row],[Sales Team]]))</f>
        <v>10</v>
      </c>
      <c r="L913" s="23">
        <v>33</v>
      </c>
      <c r="M913" s="65" t="str" cm="1">
        <f t="array" ref="M913">_xlfn.IFS(Table22[[#This Row],[Units Sold]]&lt;40,"Critical",Table22[[#This Row],[Units Sold]]&lt;=50,"Poor",Table22[[#This Row],[Units Sold]]&lt;=60,"Low",Table22[[#This Row],[Units Sold]]&lt;=80,"Average",Table22[[#This Row],[Units Sold]]&lt;=90,"High",Table22[[#This Row],[Units Sold]]&lt;=95,"Excellent",Table22[[#This Row],[Units Sold]]&gt;95,"Outstanding")</f>
        <v>Critical</v>
      </c>
      <c r="N913" s="29">
        <v>1044.1199999999999</v>
      </c>
      <c r="O913" s="29">
        <v>34455.96</v>
      </c>
      <c r="P913" s="43">
        <f>IF(Table22[[#This Row],[Discount Applied]],Table22[[#This Row],[Total Sales (in USD)]]*(1-Table22[[#This Row],[Discount Percentage (%)]]/100),Table22[[#This Row],[Total Sales (in USD)]])</f>
        <v>34455.96</v>
      </c>
      <c r="Q913" s="66">
        <f>SQRT(AVERAGE((Table22[[#This Row],[Net Sales (after discount) (in USD)]]-AVERAGE(Table22[Net Sales (after discount) (in USD)]))^2))</f>
        <v>2055.4005637645387</v>
      </c>
      <c r="R913" s="18" t="b">
        <v>1</v>
      </c>
      <c r="S913" s="40">
        <v>7.57</v>
      </c>
      <c r="T913" s="18" t="b">
        <v>0</v>
      </c>
      <c r="U913" s="25">
        <v>45388</v>
      </c>
      <c r="V913" s="63" t="str">
        <f>IF(MONTH(Table22[[#This Row],[Sales Date]])&lt;=3,"Q1",IF(MONTH(Table22[[#This Row],[Sales Date]])&lt;=6,"Q2",IF(MONTH(Table22[[#This Row],[Sales Date]])&lt;=9,"Q3","Q4")))</f>
        <v>Q2</v>
      </c>
      <c r="W913" s="64">
        <f>YEAR(Table22[[#This Row],[Sales Date]])</f>
        <v>2024</v>
      </c>
      <c r="X913" s="23">
        <v>63</v>
      </c>
      <c r="Y913" s="18" t="s">
        <v>23</v>
      </c>
      <c r="Z913" s="18" t="s">
        <v>56</v>
      </c>
      <c r="AA913" s="19" t="s">
        <v>36</v>
      </c>
    </row>
    <row r="914" spans="1:27" x14ac:dyDescent="0.25">
      <c r="A914" s="17" t="s">
        <v>562</v>
      </c>
      <c r="B914" s="18" t="s">
        <v>51</v>
      </c>
      <c r="C914" s="63" t="str" cm="1">
        <f t="array" ref="C914">_xlfn.SWITCH(Table22[[#This Row],[Country]],"USA","North America","Canada","North America","Brazil","South America","China","Asia","Japan","Asia","India","Asia","France","Europe","Germany","Europe","UK","Europe","Australia","Oceania","South America")</f>
        <v>Europe</v>
      </c>
      <c r="D914" s="18" t="s">
        <v>28</v>
      </c>
      <c r="E914" s="18" t="s">
        <v>19</v>
      </c>
      <c r="F914" s="18" t="s">
        <v>52</v>
      </c>
      <c r="G914" s="18" t="s">
        <v>48</v>
      </c>
      <c r="H914" s="64">
        <f>LEN(TRIM(Table22[[#This Row],[Country]]))</f>
        <v>2</v>
      </c>
      <c r="I914" s="64">
        <f>LEN(TRIM(Table22[[#This Row],[Continent]]))</f>
        <v>6</v>
      </c>
      <c r="J914" s="64">
        <f>LEN(TRIM(Table22[[#This Row],[Product]]))</f>
        <v>6</v>
      </c>
      <c r="K914" s="64">
        <f>LEN(TRIM(Table22[[#This Row],[Sales Team]]))</f>
        <v>9</v>
      </c>
      <c r="L914" s="23">
        <v>40</v>
      </c>
      <c r="M914" s="65" t="str" cm="1">
        <f t="array" ref="M914">_xlfn.IFS(Table22[[#This Row],[Units Sold]]&lt;40,"Critical",Table22[[#This Row],[Units Sold]]&lt;=50,"Poor",Table22[[#This Row],[Units Sold]]&lt;=60,"Low",Table22[[#This Row],[Units Sold]]&lt;=80,"Average",Table22[[#This Row],[Units Sold]]&lt;=90,"High",Table22[[#This Row],[Units Sold]]&lt;=95,"Excellent",Table22[[#This Row],[Units Sold]]&gt;95,"Outstanding")</f>
        <v>Poor</v>
      </c>
      <c r="N914" s="29">
        <v>860</v>
      </c>
      <c r="O914" s="29">
        <v>34400</v>
      </c>
      <c r="P914" s="43">
        <f>IF(Table22[[#This Row],[Discount Applied]],Table22[[#This Row],[Total Sales (in USD)]]*(1-Table22[[#This Row],[Discount Percentage (%)]]/100),Table22[[#This Row],[Total Sales (in USD)]])</f>
        <v>34400</v>
      </c>
      <c r="Q914" s="66">
        <f>SQRT(AVERAGE((Table22[[#This Row],[Net Sales (after discount) (in USD)]]-AVERAGE(Table22[Net Sales (after discount) (in USD)]))^2))</f>
        <v>2111.3605637645378</v>
      </c>
      <c r="R914" s="18" t="b">
        <v>0</v>
      </c>
      <c r="S914" s="40">
        <v>28.78</v>
      </c>
      <c r="T914" s="18" t="b">
        <v>0</v>
      </c>
      <c r="U914" s="25">
        <v>45461</v>
      </c>
      <c r="V914" s="63" t="str">
        <f>IF(MONTH(Table22[[#This Row],[Sales Date]])&lt;=3,"Q1",IF(MONTH(Table22[[#This Row],[Sales Date]])&lt;=6,"Q2",IF(MONTH(Table22[[#This Row],[Sales Date]])&lt;=9,"Q3","Q4")))</f>
        <v>Q2</v>
      </c>
      <c r="W914" s="64">
        <f>YEAR(Table22[[#This Row],[Sales Date]])</f>
        <v>2024</v>
      </c>
      <c r="X914" s="23">
        <v>43</v>
      </c>
      <c r="Y914" s="18" t="s">
        <v>23</v>
      </c>
      <c r="Z914" s="18" t="s">
        <v>42</v>
      </c>
      <c r="AA914" s="19" t="s">
        <v>25</v>
      </c>
    </row>
    <row r="915" spans="1:27" x14ac:dyDescent="0.25">
      <c r="A915" s="17" t="s">
        <v>239</v>
      </c>
      <c r="B915" s="18" t="s">
        <v>46</v>
      </c>
      <c r="C915" s="63" t="str" cm="1">
        <f t="array" ref="C915">_xlfn.SWITCH(Table22[[#This Row],[Country]],"USA","North America","Canada","North America","Brazil","South America","China","Asia","Japan","Asia","India","Asia","France","Europe","Germany","Europe","UK","Europe","Australia","Oceania","South America")</f>
        <v>South America</v>
      </c>
      <c r="D915" s="18" t="s">
        <v>35</v>
      </c>
      <c r="E915" s="18" t="s">
        <v>39</v>
      </c>
      <c r="F915" s="18" t="s">
        <v>20</v>
      </c>
      <c r="G915" s="18" t="s">
        <v>29</v>
      </c>
      <c r="H915" s="64">
        <f>LEN(TRIM(Table22[[#This Row],[Country]]))</f>
        <v>6</v>
      </c>
      <c r="I915" s="64">
        <f>LEN(TRIM(Table22[[#This Row],[Continent]]))</f>
        <v>13</v>
      </c>
      <c r="J915" s="64">
        <f>LEN(TRIM(Table22[[#This Row],[Product]]))</f>
        <v>10</v>
      </c>
      <c r="K915" s="64">
        <f>LEN(TRIM(Table22[[#This Row],[Sales Team]]))</f>
        <v>10</v>
      </c>
      <c r="L915" s="23">
        <v>54</v>
      </c>
      <c r="M915" s="65" t="str" cm="1">
        <f t="array" ref="M915">_xlfn.IFS(Table22[[#This Row],[Units Sold]]&lt;40,"Critical",Table22[[#This Row],[Units Sold]]&lt;=50,"Poor",Table22[[#This Row],[Units Sold]]&lt;=60,"Low",Table22[[#This Row],[Units Sold]]&lt;=80,"Average",Table22[[#This Row],[Units Sold]]&lt;=90,"High",Table22[[#This Row],[Units Sold]]&lt;=95,"Excellent",Table22[[#This Row],[Units Sold]]&gt;95,"Outstanding")</f>
        <v>Low</v>
      </c>
      <c r="N915" s="29">
        <v>636.74</v>
      </c>
      <c r="O915" s="29">
        <v>34383.96</v>
      </c>
      <c r="P915" s="43">
        <f>IF(Table22[[#This Row],[Discount Applied]],Table22[[#This Row],[Total Sales (in USD)]]*(1-Table22[[#This Row],[Discount Percentage (%)]]/100),Table22[[#This Row],[Total Sales (in USD)]])</f>
        <v>30732.383448</v>
      </c>
      <c r="Q915" s="66">
        <f>SQRT(AVERAGE((Table22[[#This Row],[Net Sales (after discount) (in USD)]]-AVERAGE(Table22[Net Sales (after discount) (in USD)]))^2))</f>
        <v>5778.9771157645373</v>
      </c>
      <c r="R915" s="18" t="b">
        <v>0</v>
      </c>
      <c r="S915" s="40">
        <v>10.62</v>
      </c>
      <c r="T915" s="18" t="b">
        <v>1</v>
      </c>
      <c r="U915" s="25">
        <v>45572</v>
      </c>
      <c r="V915" s="63" t="str">
        <f>IF(MONTH(Table22[[#This Row],[Sales Date]])&lt;=3,"Q1",IF(MONTH(Table22[[#This Row],[Sales Date]])&lt;=6,"Q2",IF(MONTH(Table22[[#This Row],[Sales Date]])&lt;=9,"Q3","Q4")))</f>
        <v>Q4</v>
      </c>
      <c r="W915" s="64">
        <f>YEAR(Table22[[#This Row],[Sales Date]])</f>
        <v>2024</v>
      </c>
      <c r="X915" s="23">
        <v>46</v>
      </c>
      <c r="Y915" s="18" t="s">
        <v>23</v>
      </c>
      <c r="Z915" s="18" t="s">
        <v>24</v>
      </c>
      <c r="AA915" s="19" t="s">
        <v>25</v>
      </c>
    </row>
    <row r="916" spans="1:27" x14ac:dyDescent="0.25">
      <c r="A916" s="17" t="s">
        <v>1400</v>
      </c>
      <c r="B916" s="18" t="s">
        <v>27</v>
      </c>
      <c r="C916" s="63" t="str" cm="1">
        <f t="array" ref="C916">_xlfn.SWITCH(Table22[[#This Row],[Country]],"USA","North America","Canada","North America","Brazil","South America","China","Asia","Japan","Asia","India","Asia","France","Europe","Germany","Europe","UK","Europe","Australia","Oceania","South America")</f>
        <v>Europe</v>
      </c>
      <c r="D916" s="18" t="s">
        <v>28</v>
      </c>
      <c r="E916" s="18" t="s">
        <v>39</v>
      </c>
      <c r="F916" s="18" t="s">
        <v>20</v>
      </c>
      <c r="G916" s="18" t="s">
        <v>40</v>
      </c>
      <c r="H916" s="64">
        <f>LEN(TRIM(Table22[[#This Row],[Country]]))</f>
        <v>7</v>
      </c>
      <c r="I916" s="64">
        <f>LEN(TRIM(Table22[[#This Row],[Continent]]))</f>
        <v>6</v>
      </c>
      <c r="J916" s="64">
        <f>LEN(TRIM(Table22[[#This Row],[Product]]))</f>
        <v>10</v>
      </c>
      <c r="K916" s="64">
        <f>LEN(TRIM(Table22[[#This Row],[Sales Team]]))</f>
        <v>10</v>
      </c>
      <c r="L916" s="23">
        <v>76</v>
      </c>
      <c r="M916" s="65" t="str" cm="1">
        <f t="array" ref="M916">_xlfn.IFS(Table22[[#This Row],[Units Sold]]&lt;40,"Critical",Table22[[#This Row],[Units Sold]]&lt;=50,"Poor",Table22[[#This Row],[Units Sold]]&lt;=60,"Low",Table22[[#This Row],[Units Sold]]&lt;=80,"Average",Table22[[#This Row],[Units Sold]]&lt;=90,"High",Table22[[#This Row],[Units Sold]]&lt;=95,"Excellent",Table22[[#This Row],[Units Sold]]&gt;95,"Outstanding")</f>
        <v>Average</v>
      </c>
      <c r="N916" s="29">
        <v>451.65</v>
      </c>
      <c r="O916" s="29">
        <v>34325.4</v>
      </c>
      <c r="P916" s="43">
        <f>IF(Table22[[#This Row],[Discount Applied]],Table22[[#This Row],[Total Sales (in USD)]]*(1-Table22[[#This Row],[Discount Percentage (%)]]/100),Table22[[#This Row],[Total Sales (in USD)]])</f>
        <v>34325.4</v>
      </c>
      <c r="Q916" s="66">
        <f>SQRT(AVERAGE((Table22[[#This Row],[Net Sales (after discount) (in USD)]]-AVERAGE(Table22[Net Sales (after discount) (in USD)]))^2))</f>
        <v>2185.9605637645363</v>
      </c>
      <c r="R916" s="18" t="b">
        <v>1</v>
      </c>
      <c r="S916" s="40">
        <v>18.989999999999998</v>
      </c>
      <c r="T916" s="18" t="b">
        <v>0</v>
      </c>
      <c r="U916" s="25">
        <v>45570</v>
      </c>
      <c r="V916" s="63" t="str">
        <f>IF(MONTH(Table22[[#This Row],[Sales Date]])&lt;=3,"Q1",IF(MONTH(Table22[[#This Row],[Sales Date]])&lt;=6,"Q2",IF(MONTH(Table22[[#This Row],[Sales Date]])&lt;=9,"Q3","Q4")))</f>
        <v>Q4</v>
      </c>
      <c r="W916" s="64">
        <f>YEAR(Table22[[#This Row],[Sales Date]])</f>
        <v>2024</v>
      </c>
      <c r="X916" s="23">
        <v>54</v>
      </c>
      <c r="Y916" s="18" t="s">
        <v>23</v>
      </c>
      <c r="Z916" s="18" t="s">
        <v>42</v>
      </c>
      <c r="AA916" s="19" t="s">
        <v>36</v>
      </c>
    </row>
    <row r="917" spans="1:27" x14ac:dyDescent="0.25">
      <c r="A917" s="17" t="s">
        <v>1938</v>
      </c>
      <c r="B917" s="18" t="s">
        <v>51</v>
      </c>
      <c r="C917" s="63" t="str" cm="1">
        <f t="array" ref="C917">_xlfn.SWITCH(Table22[[#This Row],[Country]],"USA","North America","Canada","North America","Brazil","South America","China","Asia","Japan","Asia","India","Asia","France","Europe","Germany","Europe","UK","Europe","Australia","Oceania","South America")</f>
        <v>Europe</v>
      </c>
      <c r="D917" s="18" t="s">
        <v>21</v>
      </c>
      <c r="E917" s="18" t="s">
        <v>39</v>
      </c>
      <c r="F917" s="18" t="s">
        <v>20</v>
      </c>
      <c r="G917" s="18" t="s">
        <v>22</v>
      </c>
      <c r="H917" s="64">
        <f>LEN(TRIM(Table22[[#This Row],[Country]]))</f>
        <v>2</v>
      </c>
      <c r="I917" s="64">
        <f>LEN(TRIM(Table22[[#This Row],[Continent]]))</f>
        <v>6</v>
      </c>
      <c r="J917" s="64">
        <f>LEN(TRIM(Table22[[#This Row],[Product]]))</f>
        <v>10</v>
      </c>
      <c r="K917" s="64">
        <f>LEN(TRIM(Table22[[#This Row],[Sales Team]]))</f>
        <v>10</v>
      </c>
      <c r="L917" s="23">
        <v>25</v>
      </c>
      <c r="M917" s="65" t="str" cm="1">
        <f t="array" ref="M917">_xlfn.IFS(Table22[[#This Row],[Units Sold]]&lt;40,"Critical",Table22[[#This Row],[Units Sold]]&lt;=50,"Poor",Table22[[#This Row],[Units Sold]]&lt;=60,"Low",Table22[[#This Row],[Units Sold]]&lt;=80,"Average",Table22[[#This Row],[Units Sold]]&lt;=90,"High",Table22[[#This Row],[Units Sold]]&lt;=95,"Excellent",Table22[[#This Row],[Units Sold]]&gt;95,"Outstanding")</f>
        <v>Critical</v>
      </c>
      <c r="N917" s="29">
        <v>1371.85</v>
      </c>
      <c r="O917" s="29">
        <v>34296.25</v>
      </c>
      <c r="P917" s="43">
        <f>IF(Table22[[#This Row],[Discount Applied]],Table22[[#This Row],[Total Sales (in USD)]]*(1-Table22[[#This Row],[Discount Percentage (%)]]/100),Table22[[#This Row],[Total Sales (in USD)]])</f>
        <v>27248.370625</v>
      </c>
      <c r="Q917" s="66">
        <f>SQRT(AVERAGE((Table22[[#This Row],[Net Sales (after discount) (in USD)]]-AVERAGE(Table22[Net Sales (after discount) (in USD)]))^2))</f>
        <v>9262.9899387645382</v>
      </c>
      <c r="R917" s="18" t="b">
        <v>1</v>
      </c>
      <c r="S917" s="40">
        <v>20.55</v>
      </c>
      <c r="T917" s="18" t="b">
        <v>1</v>
      </c>
      <c r="U917" s="25">
        <v>45286</v>
      </c>
      <c r="V917" s="63" t="str">
        <f>IF(MONTH(Table22[[#This Row],[Sales Date]])&lt;=3,"Q1",IF(MONTH(Table22[[#This Row],[Sales Date]])&lt;=6,"Q2",IF(MONTH(Table22[[#This Row],[Sales Date]])&lt;=9,"Q3","Q4")))</f>
        <v>Q4</v>
      </c>
      <c r="W917" s="64">
        <f>YEAR(Table22[[#This Row],[Sales Date]])</f>
        <v>2023</v>
      </c>
      <c r="X917" s="23">
        <v>38</v>
      </c>
      <c r="Y917" s="18" t="s">
        <v>49</v>
      </c>
      <c r="Z917" s="18" t="s">
        <v>56</v>
      </c>
      <c r="AA917" s="19" t="s">
        <v>25</v>
      </c>
    </row>
    <row r="918" spans="1:27" x14ac:dyDescent="0.25">
      <c r="A918" s="17" t="s">
        <v>593</v>
      </c>
      <c r="B918" s="18" t="s">
        <v>18</v>
      </c>
      <c r="C918" s="63" t="str" cm="1">
        <f t="array" ref="C918">_xlfn.SWITCH(Table22[[#This Row],[Country]],"USA","North America","Canada","North America","Brazil","South America","China","Asia","Japan","Asia","India","Asia","France","Europe","Germany","Europe","UK","Europe","Australia","Oceania","South America")</f>
        <v>Asia</v>
      </c>
      <c r="D918" s="18" t="s">
        <v>28</v>
      </c>
      <c r="E918" s="18" t="s">
        <v>39</v>
      </c>
      <c r="F918" s="18" t="s">
        <v>47</v>
      </c>
      <c r="G918" s="18" t="s">
        <v>48</v>
      </c>
      <c r="H918" s="64">
        <f>LEN(TRIM(Table22[[#This Row],[Country]]))</f>
        <v>5</v>
      </c>
      <c r="I918" s="64">
        <f>LEN(TRIM(Table22[[#This Row],[Continent]]))</f>
        <v>4</v>
      </c>
      <c r="J918" s="64">
        <f>LEN(TRIM(Table22[[#This Row],[Product]]))</f>
        <v>10</v>
      </c>
      <c r="K918" s="64">
        <f>LEN(TRIM(Table22[[#This Row],[Sales Team]]))</f>
        <v>9</v>
      </c>
      <c r="L918" s="23">
        <v>42</v>
      </c>
      <c r="M918" s="65" t="str" cm="1">
        <f t="array" ref="M918">_xlfn.IFS(Table22[[#This Row],[Units Sold]]&lt;40,"Critical",Table22[[#This Row],[Units Sold]]&lt;=50,"Poor",Table22[[#This Row],[Units Sold]]&lt;=60,"Low",Table22[[#This Row],[Units Sold]]&lt;=80,"Average",Table22[[#This Row],[Units Sold]]&lt;=90,"High",Table22[[#This Row],[Units Sold]]&lt;=95,"Excellent",Table22[[#This Row],[Units Sold]]&gt;95,"Outstanding")</f>
        <v>Poor</v>
      </c>
      <c r="N918" s="29">
        <v>815.32</v>
      </c>
      <c r="O918" s="29">
        <v>34243.440000000002</v>
      </c>
      <c r="P918" s="43">
        <f>IF(Table22[[#This Row],[Discount Applied]],Table22[[#This Row],[Total Sales (in USD)]]*(1-Table22[[#This Row],[Discount Percentage (%)]]/100),Table22[[#This Row],[Total Sales (in USD)]])</f>
        <v>34243.440000000002</v>
      </c>
      <c r="Q918" s="66">
        <f>SQRT(AVERAGE((Table22[[#This Row],[Net Sales (after discount) (in USD)]]-AVERAGE(Table22[Net Sales (after discount) (in USD)]))^2))</f>
        <v>2267.9205637645355</v>
      </c>
      <c r="R918" s="18" t="b">
        <v>0</v>
      </c>
      <c r="S918" s="40">
        <v>11.62</v>
      </c>
      <c r="T918" s="18" t="b">
        <v>0</v>
      </c>
      <c r="U918" s="25">
        <v>45191</v>
      </c>
      <c r="V918" s="63" t="str">
        <f>IF(MONTH(Table22[[#This Row],[Sales Date]])&lt;=3,"Q1",IF(MONTH(Table22[[#This Row],[Sales Date]])&lt;=6,"Q2",IF(MONTH(Table22[[#This Row],[Sales Date]])&lt;=9,"Q3","Q4")))</f>
        <v>Q3</v>
      </c>
      <c r="W918" s="64">
        <f>YEAR(Table22[[#This Row],[Sales Date]])</f>
        <v>2023</v>
      </c>
      <c r="X918" s="23">
        <v>53</v>
      </c>
      <c r="Y918" s="18" t="s">
        <v>41</v>
      </c>
      <c r="Z918" s="18" t="s">
        <v>42</v>
      </c>
      <c r="AA918" s="19" t="s">
        <v>36</v>
      </c>
    </row>
    <row r="919" spans="1:27" x14ac:dyDescent="0.25">
      <c r="A919" s="17" t="s">
        <v>1645</v>
      </c>
      <c r="B919" s="18" t="s">
        <v>62</v>
      </c>
      <c r="C919" s="63" t="str" cm="1">
        <f t="array" ref="C919">_xlfn.SWITCH(Table22[[#This Row],[Country]],"USA","North America","Canada","North America","Brazil","South America","China","Asia","Japan","Asia","India","Asia","France","Europe","Germany","Europe","UK","Europe","Australia","Oceania","South America")</f>
        <v>Oceania</v>
      </c>
      <c r="D919" s="18" t="s">
        <v>21</v>
      </c>
      <c r="E919" s="18" t="s">
        <v>33</v>
      </c>
      <c r="F919" s="18" t="s">
        <v>34</v>
      </c>
      <c r="G919" s="18" t="s">
        <v>40</v>
      </c>
      <c r="H919" s="64">
        <f>LEN(TRIM(Table22[[#This Row],[Country]]))</f>
        <v>9</v>
      </c>
      <c r="I919" s="64">
        <f>LEN(TRIM(Table22[[#This Row],[Continent]]))</f>
        <v>7</v>
      </c>
      <c r="J919" s="64">
        <f>LEN(TRIM(Table22[[#This Row],[Product]]))</f>
        <v>10</v>
      </c>
      <c r="K919" s="64">
        <f>LEN(TRIM(Table22[[#This Row],[Sales Team]]))</f>
        <v>10</v>
      </c>
      <c r="L919" s="23">
        <v>32</v>
      </c>
      <c r="M919" s="65" t="str" cm="1">
        <f t="array" ref="M919">_xlfn.IFS(Table22[[#This Row],[Units Sold]]&lt;40,"Critical",Table22[[#This Row],[Units Sold]]&lt;=50,"Poor",Table22[[#This Row],[Units Sold]]&lt;=60,"Low",Table22[[#This Row],[Units Sold]]&lt;=80,"Average",Table22[[#This Row],[Units Sold]]&lt;=90,"High",Table22[[#This Row],[Units Sold]]&lt;=95,"Excellent",Table22[[#This Row],[Units Sold]]&gt;95,"Outstanding")</f>
        <v>Critical</v>
      </c>
      <c r="N919" s="29">
        <v>1067.48</v>
      </c>
      <c r="O919" s="29">
        <v>34159.360000000001</v>
      </c>
      <c r="P919" s="43">
        <f>IF(Table22[[#This Row],[Discount Applied]],Table22[[#This Row],[Total Sales (in USD)]]*(1-Table22[[#This Row],[Discount Percentage (%)]]/100),Table22[[#This Row],[Total Sales (in USD)]])</f>
        <v>34159.360000000001</v>
      </c>
      <c r="Q919" s="66">
        <f>SQRT(AVERAGE((Table22[[#This Row],[Net Sales (after discount) (in USD)]]-AVERAGE(Table22[Net Sales (after discount) (in USD)]))^2))</f>
        <v>2352.0005637645372</v>
      </c>
      <c r="R919" s="18" t="b">
        <v>0</v>
      </c>
      <c r="S919" s="40">
        <v>26.52</v>
      </c>
      <c r="T919" s="18" t="b">
        <v>0</v>
      </c>
      <c r="U919" s="25">
        <v>45274</v>
      </c>
      <c r="V919" s="63" t="str">
        <f>IF(MONTH(Table22[[#This Row],[Sales Date]])&lt;=3,"Q1",IF(MONTH(Table22[[#This Row],[Sales Date]])&lt;=6,"Q2",IF(MONTH(Table22[[#This Row],[Sales Date]])&lt;=9,"Q3","Q4")))</f>
        <v>Q4</v>
      </c>
      <c r="W919" s="64">
        <f>YEAR(Table22[[#This Row],[Sales Date]])</f>
        <v>2023</v>
      </c>
      <c r="X919" s="23">
        <v>26</v>
      </c>
      <c r="Y919" s="18" t="s">
        <v>41</v>
      </c>
      <c r="Z919" s="18" t="s">
        <v>30</v>
      </c>
      <c r="AA919" s="19" t="s">
        <v>25</v>
      </c>
    </row>
    <row r="920" spans="1:27" x14ac:dyDescent="0.25">
      <c r="A920" s="17" t="s">
        <v>357</v>
      </c>
      <c r="B920" s="18" t="s">
        <v>72</v>
      </c>
      <c r="C920" s="63" t="str" cm="1">
        <f t="array" ref="C920">_xlfn.SWITCH(Table22[[#This Row],[Country]],"USA","North America","Canada","North America","Brazil","South America","China","Asia","Japan","Asia","India","Asia","France","Europe","Germany","Europe","UK","Europe","Australia","Oceania","South America")</f>
        <v>North America</v>
      </c>
      <c r="D920" s="18" t="s">
        <v>35</v>
      </c>
      <c r="E920" s="18" t="s">
        <v>39</v>
      </c>
      <c r="F920" s="18" t="s">
        <v>20</v>
      </c>
      <c r="G920" s="18" t="s">
        <v>22</v>
      </c>
      <c r="H920" s="64">
        <f>LEN(TRIM(Table22[[#This Row],[Country]]))</f>
        <v>3</v>
      </c>
      <c r="I920" s="64">
        <f>LEN(TRIM(Table22[[#This Row],[Continent]]))</f>
        <v>13</v>
      </c>
      <c r="J920" s="64">
        <f>LEN(TRIM(Table22[[#This Row],[Product]]))</f>
        <v>10</v>
      </c>
      <c r="K920" s="64">
        <f>LEN(TRIM(Table22[[#This Row],[Sales Team]]))</f>
        <v>10</v>
      </c>
      <c r="L920" s="23">
        <v>23</v>
      </c>
      <c r="M920" s="65" t="str" cm="1">
        <f t="array" ref="M920">_xlfn.IFS(Table22[[#This Row],[Units Sold]]&lt;40,"Critical",Table22[[#This Row],[Units Sold]]&lt;=50,"Poor",Table22[[#This Row],[Units Sold]]&lt;=60,"Low",Table22[[#This Row],[Units Sold]]&lt;=80,"Average",Table22[[#This Row],[Units Sold]]&lt;=90,"High",Table22[[#This Row],[Units Sold]]&lt;=95,"Excellent",Table22[[#This Row],[Units Sold]]&gt;95,"Outstanding")</f>
        <v>Critical</v>
      </c>
      <c r="N920" s="29">
        <v>1478.18</v>
      </c>
      <c r="O920" s="29">
        <v>33998.14</v>
      </c>
      <c r="P920" s="43">
        <f>IF(Table22[[#This Row],[Discount Applied]],Table22[[#This Row],[Total Sales (in USD)]]*(1-Table22[[#This Row],[Discount Percentage (%)]]/100),Table22[[#This Row],[Total Sales (in USD)]])</f>
        <v>25994.977843999997</v>
      </c>
      <c r="Q920" s="66">
        <f>SQRT(AVERAGE((Table22[[#This Row],[Net Sales (after discount) (in USD)]]-AVERAGE(Table22[Net Sales (after discount) (in USD)]))^2))</f>
        <v>10516.382719764541</v>
      </c>
      <c r="R920" s="18" t="b">
        <v>0</v>
      </c>
      <c r="S920" s="40">
        <v>23.54</v>
      </c>
      <c r="T920" s="18" t="b">
        <v>1</v>
      </c>
      <c r="U920" s="25">
        <v>45315</v>
      </c>
      <c r="V920" s="63" t="str">
        <f>IF(MONTH(Table22[[#This Row],[Sales Date]])&lt;=3,"Q1",IF(MONTH(Table22[[#This Row],[Sales Date]])&lt;=6,"Q2",IF(MONTH(Table22[[#This Row],[Sales Date]])&lt;=9,"Q3","Q4")))</f>
        <v>Q1</v>
      </c>
      <c r="W920" s="64">
        <f>YEAR(Table22[[#This Row],[Sales Date]])</f>
        <v>2024</v>
      </c>
      <c r="X920" s="23">
        <v>21</v>
      </c>
      <c r="Y920" s="18" t="s">
        <v>41</v>
      </c>
      <c r="Z920" s="18" t="s">
        <v>42</v>
      </c>
      <c r="AA920" s="19" t="s">
        <v>36</v>
      </c>
    </row>
    <row r="921" spans="1:27" x14ac:dyDescent="0.25">
      <c r="A921" s="17" t="s">
        <v>1119</v>
      </c>
      <c r="B921" s="18" t="s">
        <v>18</v>
      </c>
      <c r="C921" s="63" t="str" cm="1">
        <f t="array" ref="C921">_xlfn.SWITCH(Table22[[#This Row],[Country]],"USA","North America","Canada","North America","Brazil","South America","China","Asia","Japan","Asia","India","Asia","France","Europe","Germany","Europe","UK","Europe","Australia","Oceania","South America")</f>
        <v>Asia</v>
      </c>
      <c r="D921" s="18" t="s">
        <v>35</v>
      </c>
      <c r="E921" s="18" t="s">
        <v>39</v>
      </c>
      <c r="F921" s="18" t="s">
        <v>64</v>
      </c>
      <c r="G921" s="18" t="s">
        <v>29</v>
      </c>
      <c r="H921" s="64">
        <f>LEN(TRIM(Table22[[#This Row],[Country]]))</f>
        <v>5</v>
      </c>
      <c r="I921" s="64">
        <f>LEN(TRIM(Table22[[#This Row],[Continent]]))</f>
        <v>4</v>
      </c>
      <c r="J921" s="64">
        <f>LEN(TRIM(Table22[[#This Row],[Product]]))</f>
        <v>10</v>
      </c>
      <c r="K921" s="64">
        <f>LEN(TRIM(Table22[[#This Row],[Sales Team]]))</f>
        <v>10</v>
      </c>
      <c r="L921" s="23">
        <v>60</v>
      </c>
      <c r="M921" s="65" t="str" cm="1">
        <f t="array" ref="M921">_xlfn.IFS(Table22[[#This Row],[Units Sold]]&lt;40,"Critical",Table22[[#This Row],[Units Sold]]&lt;=50,"Poor",Table22[[#This Row],[Units Sold]]&lt;=60,"Low",Table22[[#This Row],[Units Sold]]&lt;=80,"Average",Table22[[#This Row],[Units Sold]]&lt;=90,"High",Table22[[#This Row],[Units Sold]]&lt;=95,"Excellent",Table22[[#This Row],[Units Sold]]&gt;95,"Outstanding")</f>
        <v>Low</v>
      </c>
      <c r="N921" s="29">
        <v>566.51</v>
      </c>
      <c r="O921" s="29">
        <v>33990.6</v>
      </c>
      <c r="P921" s="43">
        <f>IF(Table22[[#This Row],[Discount Applied]],Table22[[#This Row],[Total Sales (in USD)]]*(1-Table22[[#This Row],[Discount Percentage (%)]]/100),Table22[[#This Row],[Total Sales (in USD)]])</f>
        <v>28579.296479999997</v>
      </c>
      <c r="Q921" s="66">
        <f>SQRT(AVERAGE((Table22[[#This Row],[Net Sales (after discount) (in USD)]]-AVERAGE(Table22[Net Sales (after discount) (in USD)]))^2))</f>
        <v>7932.0640837645406</v>
      </c>
      <c r="R921" s="18" t="b">
        <v>0</v>
      </c>
      <c r="S921" s="40">
        <v>15.92</v>
      </c>
      <c r="T921" s="18" t="b">
        <v>1</v>
      </c>
      <c r="U921" s="25">
        <v>45093</v>
      </c>
      <c r="V921" s="63" t="str">
        <f>IF(MONTH(Table22[[#This Row],[Sales Date]])&lt;=3,"Q1",IF(MONTH(Table22[[#This Row],[Sales Date]])&lt;=6,"Q2",IF(MONTH(Table22[[#This Row],[Sales Date]])&lt;=9,"Q3","Q4")))</f>
        <v>Q2</v>
      </c>
      <c r="W921" s="64">
        <f>YEAR(Table22[[#This Row],[Sales Date]])</f>
        <v>2023</v>
      </c>
      <c r="X921" s="23">
        <v>19</v>
      </c>
      <c r="Y921" s="18" t="s">
        <v>23</v>
      </c>
      <c r="Z921" s="18" t="s">
        <v>42</v>
      </c>
      <c r="AA921" s="19" t="s">
        <v>36</v>
      </c>
    </row>
    <row r="922" spans="1:27" x14ac:dyDescent="0.25">
      <c r="A922" s="17" t="s">
        <v>1908</v>
      </c>
      <c r="B922" s="18" t="s">
        <v>51</v>
      </c>
      <c r="C922" s="63" t="str" cm="1">
        <f t="array" ref="C922">_xlfn.SWITCH(Table22[[#This Row],[Country]],"USA","North America","Canada","North America","Brazil","South America","China","Asia","Japan","Asia","India","Asia","France","Europe","Germany","Europe","UK","Europe","Australia","Oceania","South America")</f>
        <v>Europe</v>
      </c>
      <c r="D922" s="18" t="s">
        <v>21</v>
      </c>
      <c r="E922" s="18" t="s">
        <v>19</v>
      </c>
      <c r="F922" s="18" t="s">
        <v>47</v>
      </c>
      <c r="G922" s="18" t="s">
        <v>48</v>
      </c>
      <c r="H922" s="64">
        <f>LEN(TRIM(Table22[[#This Row],[Country]]))</f>
        <v>2</v>
      </c>
      <c r="I922" s="64">
        <f>LEN(TRIM(Table22[[#This Row],[Continent]]))</f>
        <v>6</v>
      </c>
      <c r="J922" s="64">
        <f>LEN(TRIM(Table22[[#This Row],[Product]]))</f>
        <v>6</v>
      </c>
      <c r="K922" s="64">
        <f>LEN(TRIM(Table22[[#This Row],[Sales Team]]))</f>
        <v>9</v>
      </c>
      <c r="L922" s="23">
        <v>51</v>
      </c>
      <c r="M922" s="65" t="str" cm="1">
        <f t="array" ref="M922">_xlfn.IFS(Table22[[#This Row],[Units Sold]]&lt;40,"Critical",Table22[[#This Row],[Units Sold]]&lt;=50,"Poor",Table22[[#This Row],[Units Sold]]&lt;=60,"Low",Table22[[#This Row],[Units Sold]]&lt;=80,"Average",Table22[[#This Row],[Units Sold]]&lt;=90,"High",Table22[[#This Row],[Units Sold]]&lt;=95,"Excellent",Table22[[#This Row],[Units Sold]]&gt;95,"Outstanding")</f>
        <v>Low</v>
      </c>
      <c r="N922" s="29">
        <v>665.16</v>
      </c>
      <c r="O922" s="29">
        <v>33923.160000000003</v>
      </c>
      <c r="P922" s="43">
        <f>IF(Table22[[#This Row],[Discount Applied]],Table22[[#This Row],[Total Sales (in USD)]]*(1-Table22[[#This Row],[Discount Percentage (%)]]/100),Table22[[#This Row],[Total Sales (in USD)]])</f>
        <v>29353.710348000001</v>
      </c>
      <c r="Q922" s="66">
        <f>SQRT(AVERAGE((Table22[[#This Row],[Net Sales (after discount) (in USD)]]-AVERAGE(Table22[Net Sales (after discount) (in USD)]))^2))</f>
        <v>7157.6502157645373</v>
      </c>
      <c r="R922" s="18" t="b">
        <v>0</v>
      </c>
      <c r="S922" s="40">
        <v>13.47</v>
      </c>
      <c r="T922" s="18" t="b">
        <v>1</v>
      </c>
      <c r="U922" s="25">
        <v>44962</v>
      </c>
      <c r="V922" s="63" t="str">
        <f>IF(MONTH(Table22[[#This Row],[Sales Date]])&lt;=3,"Q1",IF(MONTH(Table22[[#This Row],[Sales Date]])&lt;=6,"Q2",IF(MONTH(Table22[[#This Row],[Sales Date]])&lt;=9,"Q3","Q4")))</f>
        <v>Q1</v>
      </c>
      <c r="W922" s="64">
        <f>YEAR(Table22[[#This Row],[Sales Date]])</f>
        <v>2023</v>
      </c>
      <c r="X922" s="23">
        <v>33</v>
      </c>
      <c r="Y922" s="18" t="s">
        <v>23</v>
      </c>
      <c r="Z922" s="18" t="s">
        <v>30</v>
      </c>
      <c r="AA922" s="19" t="s">
        <v>36</v>
      </c>
    </row>
    <row r="923" spans="1:27" x14ac:dyDescent="0.25">
      <c r="A923" s="17" t="s">
        <v>1999</v>
      </c>
      <c r="B923" s="18" t="s">
        <v>62</v>
      </c>
      <c r="C923" s="63" t="str" cm="1">
        <f t="array" ref="C923">_xlfn.SWITCH(Table22[[#This Row],[Country]],"USA","North America","Canada","North America","Brazil","South America","China","Asia","Japan","Asia","India","Asia","France","Europe","Germany","Europe","UK","Europe","Australia","Oceania","South America")</f>
        <v>Oceania</v>
      </c>
      <c r="D923" s="18" t="s">
        <v>35</v>
      </c>
      <c r="E923" s="18" t="s">
        <v>33</v>
      </c>
      <c r="F923" s="18" t="s">
        <v>47</v>
      </c>
      <c r="G923" s="18" t="s">
        <v>40</v>
      </c>
      <c r="H923" s="64">
        <f>LEN(TRIM(Table22[[#This Row],[Country]]))</f>
        <v>9</v>
      </c>
      <c r="I923" s="64">
        <f>LEN(TRIM(Table22[[#This Row],[Continent]]))</f>
        <v>7</v>
      </c>
      <c r="J923" s="64">
        <f>LEN(TRIM(Table22[[#This Row],[Product]]))</f>
        <v>10</v>
      </c>
      <c r="K923" s="64">
        <f>LEN(TRIM(Table22[[#This Row],[Sales Team]]))</f>
        <v>10</v>
      </c>
      <c r="L923" s="23">
        <v>60</v>
      </c>
      <c r="M923" s="65" t="str" cm="1">
        <f t="array" ref="M923">_xlfn.IFS(Table22[[#This Row],[Units Sold]]&lt;40,"Critical",Table22[[#This Row],[Units Sold]]&lt;=50,"Poor",Table22[[#This Row],[Units Sold]]&lt;=60,"Low",Table22[[#This Row],[Units Sold]]&lt;=80,"Average",Table22[[#This Row],[Units Sold]]&lt;=90,"High",Table22[[#This Row],[Units Sold]]&lt;=95,"Excellent",Table22[[#This Row],[Units Sold]]&gt;95,"Outstanding")</f>
        <v>Low</v>
      </c>
      <c r="N923" s="29">
        <v>565.34</v>
      </c>
      <c r="O923" s="29">
        <v>33920.400000000001</v>
      </c>
      <c r="P923" s="43">
        <f>IF(Table22[[#This Row],[Discount Applied]],Table22[[#This Row],[Total Sales (in USD)]]*(1-Table22[[#This Row],[Discount Percentage (%)]]/100),Table22[[#This Row],[Total Sales (in USD)]])</f>
        <v>33920.400000000001</v>
      </c>
      <c r="Q923" s="66">
        <f>SQRT(AVERAGE((Table22[[#This Row],[Net Sales (after discount) (in USD)]]-AVERAGE(Table22[Net Sales (after discount) (in USD)]))^2))</f>
        <v>2590.9605637645363</v>
      </c>
      <c r="R923" s="18" t="b">
        <v>0</v>
      </c>
      <c r="S923" s="40">
        <v>22.7</v>
      </c>
      <c r="T923" s="18" t="b">
        <v>0</v>
      </c>
      <c r="U923" s="25">
        <v>45339</v>
      </c>
      <c r="V923" s="63" t="str">
        <f>IF(MONTH(Table22[[#This Row],[Sales Date]])&lt;=3,"Q1",IF(MONTH(Table22[[#This Row],[Sales Date]])&lt;=6,"Q2",IF(MONTH(Table22[[#This Row],[Sales Date]])&lt;=9,"Q3","Q4")))</f>
        <v>Q1</v>
      </c>
      <c r="W923" s="64">
        <f>YEAR(Table22[[#This Row],[Sales Date]])</f>
        <v>2024</v>
      </c>
      <c r="X923" s="23">
        <v>28</v>
      </c>
      <c r="Y923" s="18" t="s">
        <v>49</v>
      </c>
      <c r="Z923" s="18" t="s">
        <v>42</v>
      </c>
      <c r="AA923" s="19" t="s">
        <v>36</v>
      </c>
    </row>
    <row r="924" spans="1:27" x14ac:dyDescent="0.25">
      <c r="A924" s="17" t="s">
        <v>1354</v>
      </c>
      <c r="B924" s="18" t="s">
        <v>38</v>
      </c>
      <c r="C924" s="63" t="str" cm="1">
        <f t="array" ref="C924">_xlfn.SWITCH(Table22[[#This Row],[Country]],"USA","North America","Canada","North America","Brazil","South America","China","Asia","Japan","Asia","India","Asia","France","Europe","Germany","Europe","UK","Europe","Australia","Oceania","South America")</f>
        <v>Europe</v>
      </c>
      <c r="D924" s="18" t="s">
        <v>21</v>
      </c>
      <c r="E924" s="18" t="s">
        <v>33</v>
      </c>
      <c r="F924" s="18" t="s">
        <v>34</v>
      </c>
      <c r="G924" s="18" t="s">
        <v>29</v>
      </c>
      <c r="H924" s="64">
        <f>LEN(TRIM(Table22[[#This Row],[Country]]))</f>
        <v>6</v>
      </c>
      <c r="I924" s="64">
        <f>LEN(TRIM(Table22[[#This Row],[Continent]]))</f>
        <v>6</v>
      </c>
      <c r="J924" s="64">
        <f>LEN(TRIM(Table22[[#This Row],[Product]]))</f>
        <v>10</v>
      </c>
      <c r="K924" s="64">
        <f>LEN(TRIM(Table22[[#This Row],[Sales Team]]))</f>
        <v>10</v>
      </c>
      <c r="L924" s="23">
        <v>82</v>
      </c>
      <c r="M924" s="65" t="str" cm="1">
        <f t="array" ref="M924">_xlfn.IFS(Table22[[#This Row],[Units Sold]]&lt;40,"Critical",Table22[[#This Row],[Units Sold]]&lt;=50,"Poor",Table22[[#This Row],[Units Sold]]&lt;=60,"Low",Table22[[#This Row],[Units Sold]]&lt;=80,"Average",Table22[[#This Row],[Units Sold]]&lt;=90,"High",Table22[[#This Row],[Units Sold]]&lt;=95,"Excellent",Table22[[#This Row],[Units Sold]]&gt;95,"Outstanding")</f>
        <v>High</v>
      </c>
      <c r="N924" s="29">
        <v>413.34</v>
      </c>
      <c r="O924" s="29">
        <v>33893.879999999997</v>
      </c>
      <c r="P924" s="43">
        <f>IF(Table22[[#This Row],[Discount Applied]],Table22[[#This Row],[Total Sales (in USD)]]*(1-Table22[[#This Row],[Discount Percentage (%)]]/100),Table22[[#This Row],[Total Sales (in USD)]])</f>
        <v>24956.063843999997</v>
      </c>
      <c r="Q924" s="66">
        <f>SQRT(AVERAGE((Table22[[#This Row],[Net Sales (after discount) (in USD)]]-AVERAGE(Table22[Net Sales (after discount) (in USD)]))^2))</f>
        <v>11555.296719764541</v>
      </c>
      <c r="R924" s="18" t="b">
        <v>0</v>
      </c>
      <c r="S924" s="40">
        <v>26.37</v>
      </c>
      <c r="T924" s="18" t="b">
        <v>1</v>
      </c>
      <c r="U924" s="25">
        <v>45167</v>
      </c>
      <c r="V924" s="63" t="str">
        <f>IF(MONTH(Table22[[#This Row],[Sales Date]])&lt;=3,"Q1",IF(MONTH(Table22[[#This Row],[Sales Date]])&lt;=6,"Q2",IF(MONTH(Table22[[#This Row],[Sales Date]])&lt;=9,"Q3","Q4")))</f>
        <v>Q3</v>
      </c>
      <c r="W924" s="64">
        <f>YEAR(Table22[[#This Row],[Sales Date]])</f>
        <v>2023</v>
      </c>
      <c r="X924" s="23">
        <v>33</v>
      </c>
      <c r="Y924" s="18" t="s">
        <v>41</v>
      </c>
      <c r="Z924" s="18" t="s">
        <v>30</v>
      </c>
      <c r="AA924" s="19" t="s">
        <v>25</v>
      </c>
    </row>
    <row r="925" spans="1:27" x14ac:dyDescent="0.25">
      <c r="A925" s="17" t="s">
        <v>1360</v>
      </c>
      <c r="B925" s="18" t="s">
        <v>76</v>
      </c>
      <c r="C925" s="63" t="str" cm="1">
        <f t="array" ref="C925">_xlfn.SWITCH(Table22[[#This Row],[Country]],"USA","North America","Canada","North America","Brazil","South America","China","Asia","Japan","Asia","India","Asia","France","Europe","Germany","Europe","UK","Europe","Australia","Oceania","South America")</f>
        <v>Asia</v>
      </c>
      <c r="D925" s="18" t="s">
        <v>28</v>
      </c>
      <c r="E925" s="18" t="s">
        <v>19</v>
      </c>
      <c r="F925" s="18" t="s">
        <v>47</v>
      </c>
      <c r="G925" s="18" t="s">
        <v>40</v>
      </c>
      <c r="H925" s="64">
        <f>LEN(TRIM(Table22[[#This Row],[Country]]))</f>
        <v>5</v>
      </c>
      <c r="I925" s="64">
        <f>LEN(TRIM(Table22[[#This Row],[Continent]]))</f>
        <v>4</v>
      </c>
      <c r="J925" s="64">
        <f>LEN(TRIM(Table22[[#This Row],[Product]]))</f>
        <v>6</v>
      </c>
      <c r="K925" s="64">
        <f>LEN(TRIM(Table22[[#This Row],[Sales Team]]))</f>
        <v>10</v>
      </c>
      <c r="L925" s="23">
        <v>31</v>
      </c>
      <c r="M925" s="65" t="str" cm="1">
        <f t="array" ref="M925">_xlfn.IFS(Table22[[#This Row],[Units Sold]]&lt;40,"Critical",Table22[[#This Row],[Units Sold]]&lt;=50,"Poor",Table22[[#This Row],[Units Sold]]&lt;=60,"Low",Table22[[#This Row],[Units Sold]]&lt;=80,"Average",Table22[[#This Row],[Units Sold]]&lt;=90,"High",Table22[[#This Row],[Units Sold]]&lt;=95,"Excellent",Table22[[#This Row],[Units Sold]]&gt;95,"Outstanding")</f>
        <v>Critical</v>
      </c>
      <c r="N925" s="29">
        <v>1092.81</v>
      </c>
      <c r="O925" s="29">
        <v>33877.11</v>
      </c>
      <c r="P925" s="43">
        <f>IF(Table22[[#This Row],[Discount Applied]],Table22[[#This Row],[Total Sales (in USD)]]*(1-Table22[[#This Row],[Discount Percentage (%)]]/100),Table22[[#This Row],[Total Sales (in USD)]])</f>
        <v>23896.913394000003</v>
      </c>
      <c r="Q925" s="66">
        <f>SQRT(AVERAGE((Table22[[#This Row],[Net Sales (after discount) (in USD)]]-AVERAGE(Table22[Net Sales (after discount) (in USD)]))^2))</f>
        <v>12614.447169764535</v>
      </c>
      <c r="R925" s="18" t="b">
        <v>1</v>
      </c>
      <c r="S925" s="40">
        <v>29.46</v>
      </c>
      <c r="T925" s="18" t="b">
        <v>1</v>
      </c>
      <c r="U925" s="25">
        <v>45312</v>
      </c>
      <c r="V925" s="63" t="str">
        <f>IF(MONTH(Table22[[#This Row],[Sales Date]])&lt;=3,"Q1",IF(MONTH(Table22[[#This Row],[Sales Date]])&lt;=6,"Q2",IF(MONTH(Table22[[#This Row],[Sales Date]])&lt;=9,"Q3","Q4")))</f>
        <v>Q1</v>
      </c>
      <c r="W925" s="64">
        <f>YEAR(Table22[[#This Row],[Sales Date]])</f>
        <v>2024</v>
      </c>
      <c r="X925" s="23">
        <v>55</v>
      </c>
      <c r="Y925" s="18" t="s">
        <v>23</v>
      </c>
      <c r="Z925" s="18" t="s">
        <v>42</v>
      </c>
      <c r="AA925" s="19" t="s">
        <v>25</v>
      </c>
    </row>
    <row r="926" spans="1:27" x14ac:dyDescent="0.25">
      <c r="A926" s="17" t="s">
        <v>1902</v>
      </c>
      <c r="B926" s="18" t="s">
        <v>76</v>
      </c>
      <c r="C926" s="63" t="str" cm="1">
        <f t="array" ref="C926">_xlfn.SWITCH(Table22[[#This Row],[Country]],"USA","North America","Canada","North America","Brazil","South America","China","Asia","Japan","Asia","India","Asia","France","Europe","Germany","Europe","UK","Europe","Australia","Oceania","South America")</f>
        <v>Asia</v>
      </c>
      <c r="D926" s="18" t="s">
        <v>21</v>
      </c>
      <c r="E926" s="18" t="s">
        <v>39</v>
      </c>
      <c r="F926" s="18" t="s">
        <v>34</v>
      </c>
      <c r="G926" s="18" t="s">
        <v>40</v>
      </c>
      <c r="H926" s="64">
        <f>LEN(TRIM(Table22[[#This Row],[Country]]))</f>
        <v>5</v>
      </c>
      <c r="I926" s="64">
        <f>LEN(TRIM(Table22[[#This Row],[Continent]]))</f>
        <v>4</v>
      </c>
      <c r="J926" s="64">
        <f>LEN(TRIM(Table22[[#This Row],[Product]]))</f>
        <v>10</v>
      </c>
      <c r="K926" s="64">
        <f>LEN(TRIM(Table22[[#This Row],[Sales Team]]))</f>
        <v>10</v>
      </c>
      <c r="L926" s="23">
        <v>38</v>
      </c>
      <c r="M926" s="65" t="str" cm="1">
        <f t="array" ref="M926">_xlfn.IFS(Table22[[#This Row],[Units Sold]]&lt;40,"Critical",Table22[[#This Row],[Units Sold]]&lt;=50,"Poor",Table22[[#This Row],[Units Sold]]&lt;=60,"Low",Table22[[#This Row],[Units Sold]]&lt;=80,"Average",Table22[[#This Row],[Units Sold]]&lt;=90,"High",Table22[[#This Row],[Units Sold]]&lt;=95,"Excellent",Table22[[#This Row],[Units Sold]]&gt;95,"Outstanding")</f>
        <v>Critical</v>
      </c>
      <c r="N926" s="29">
        <v>889.43</v>
      </c>
      <c r="O926" s="29">
        <v>33798.339999999997</v>
      </c>
      <c r="P926" s="43">
        <f>IF(Table22[[#This Row],[Discount Applied]],Table22[[#This Row],[Total Sales (in USD)]]*(1-Table22[[#This Row],[Discount Percentage (%)]]/100),Table22[[#This Row],[Total Sales (in USD)]])</f>
        <v>32148.981007999999</v>
      </c>
      <c r="Q926" s="66">
        <f>SQRT(AVERAGE((Table22[[#This Row],[Net Sales (after discount) (in USD)]]-AVERAGE(Table22[Net Sales (after discount) (in USD)]))^2))</f>
        <v>4362.379555764539</v>
      </c>
      <c r="R926" s="18" t="b">
        <v>0</v>
      </c>
      <c r="S926" s="40">
        <v>4.88</v>
      </c>
      <c r="T926" s="18" t="b">
        <v>1</v>
      </c>
      <c r="U926" s="25">
        <v>45507</v>
      </c>
      <c r="V926" s="63" t="str">
        <f>IF(MONTH(Table22[[#This Row],[Sales Date]])&lt;=3,"Q1",IF(MONTH(Table22[[#This Row],[Sales Date]])&lt;=6,"Q2",IF(MONTH(Table22[[#This Row],[Sales Date]])&lt;=9,"Q3","Q4")))</f>
        <v>Q3</v>
      </c>
      <c r="W926" s="64">
        <f>YEAR(Table22[[#This Row],[Sales Date]])</f>
        <v>2024</v>
      </c>
      <c r="X926" s="23">
        <v>47</v>
      </c>
      <c r="Y926" s="18" t="s">
        <v>23</v>
      </c>
      <c r="Z926" s="18" t="s">
        <v>24</v>
      </c>
      <c r="AA926" s="19" t="s">
        <v>25</v>
      </c>
    </row>
    <row r="927" spans="1:27" x14ac:dyDescent="0.25">
      <c r="A927" s="17" t="s">
        <v>1173</v>
      </c>
      <c r="B927" s="18" t="s">
        <v>38</v>
      </c>
      <c r="C927" s="63" t="str" cm="1">
        <f t="array" ref="C927">_xlfn.SWITCH(Table22[[#This Row],[Country]],"USA","North America","Canada","North America","Brazil","South America","China","Asia","Japan","Asia","India","Asia","France","Europe","Germany","Europe","UK","Europe","Australia","Oceania","South America")</f>
        <v>Europe</v>
      </c>
      <c r="D927" s="18" t="s">
        <v>35</v>
      </c>
      <c r="E927" s="18" t="s">
        <v>39</v>
      </c>
      <c r="F927" s="18" t="s">
        <v>47</v>
      </c>
      <c r="G927" s="18" t="s">
        <v>40</v>
      </c>
      <c r="H927" s="64">
        <f>LEN(TRIM(Table22[[#This Row],[Country]]))</f>
        <v>6</v>
      </c>
      <c r="I927" s="64">
        <f>LEN(TRIM(Table22[[#This Row],[Continent]]))</f>
        <v>6</v>
      </c>
      <c r="J927" s="64">
        <f>LEN(TRIM(Table22[[#This Row],[Product]]))</f>
        <v>10</v>
      </c>
      <c r="K927" s="64">
        <f>LEN(TRIM(Table22[[#This Row],[Sales Team]]))</f>
        <v>10</v>
      </c>
      <c r="L927" s="23">
        <v>58</v>
      </c>
      <c r="M927" s="65" t="str" cm="1">
        <f t="array" ref="M927">_xlfn.IFS(Table22[[#This Row],[Units Sold]]&lt;40,"Critical",Table22[[#This Row],[Units Sold]]&lt;=50,"Poor",Table22[[#This Row],[Units Sold]]&lt;=60,"Low",Table22[[#This Row],[Units Sold]]&lt;=80,"Average",Table22[[#This Row],[Units Sold]]&lt;=90,"High",Table22[[#This Row],[Units Sold]]&lt;=95,"Excellent",Table22[[#This Row],[Units Sold]]&gt;95,"Outstanding")</f>
        <v>Low</v>
      </c>
      <c r="N927" s="29">
        <v>581.36</v>
      </c>
      <c r="O927" s="29">
        <v>33718.879999999997</v>
      </c>
      <c r="P927" s="43">
        <f>IF(Table22[[#This Row],[Discount Applied]],Table22[[#This Row],[Total Sales (in USD)]]*(1-Table22[[#This Row],[Discount Percentage (%)]]/100),Table22[[#This Row],[Total Sales (in USD)]])</f>
        <v>33718.879999999997</v>
      </c>
      <c r="Q927" s="66">
        <f>SQRT(AVERAGE((Table22[[#This Row],[Net Sales (after discount) (in USD)]]-AVERAGE(Table22[Net Sales (after discount) (in USD)]))^2))</f>
        <v>2792.4805637645404</v>
      </c>
      <c r="R927" s="18" t="b">
        <v>0</v>
      </c>
      <c r="S927" s="40">
        <v>29.63</v>
      </c>
      <c r="T927" s="18" t="b">
        <v>0</v>
      </c>
      <c r="U927" s="25">
        <v>45143</v>
      </c>
      <c r="V927" s="63" t="str">
        <f>IF(MONTH(Table22[[#This Row],[Sales Date]])&lt;=3,"Q1",IF(MONTH(Table22[[#This Row],[Sales Date]])&lt;=6,"Q2",IF(MONTH(Table22[[#This Row],[Sales Date]])&lt;=9,"Q3","Q4")))</f>
        <v>Q3</v>
      </c>
      <c r="W927" s="64">
        <f>YEAR(Table22[[#This Row],[Sales Date]])</f>
        <v>2023</v>
      </c>
      <c r="X927" s="23">
        <v>53</v>
      </c>
      <c r="Y927" s="18" t="s">
        <v>41</v>
      </c>
      <c r="Z927" s="18" t="s">
        <v>24</v>
      </c>
      <c r="AA927" s="19" t="s">
        <v>25</v>
      </c>
    </row>
    <row r="928" spans="1:27" x14ac:dyDescent="0.25">
      <c r="A928" s="17" t="s">
        <v>777</v>
      </c>
      <c r="B928" s="18" t="s">
        <v>27</v>
      </c>
      <c r="C928" s="63" t="str" cm="1">
        <f t="array" ref="C928">_xlfn.SWITCH(Table22[[#This Row],[Country]],"USA","North America","Canada","North America","Brazil","South America","China","Asia","Japan","Asia","India","Asia","France","Europe","Germany","Europe","UK","Europe","Australia","Oceania","South America")</f>
        <v>Europe</v>
      </c>
      <c r="D928" s="18" t="s">
        <v>28</v>
      </c>
      <c r="E928" s="18" t="s">
        <v>19</v>
      </c>
      <c r="F928" s="18" t="s">
        <v>34</v>
      </c>
      <c r="G928" s="18" t="s">
        <v>22</v>
      </c>
      <c r="H928" s="64">
        <f>LEN(TRIM(Table22[[#This Row],[Country]]))</f>
        <v>7</v>
      </c>
      <c r="I928" s="64">
        <f>LEN(TRIM(Table22[[#This Row],[Continent]]))</f>
        <v>6</v>
      </c>
      <c r="J928" s="64">
        <f>LEN(TRIM(Table22[[#This Row],[Product]]))</f>
        <v>6</v>
      </c>
      <c r="K928" s="64">
        <f>LEN(TRIM(Table22[[#This Row],[Sales Team]]))</f>
        <v>10</v>
      </c>
      <c r="L928" s="23">
        <v>26</v>
      </c>
      <c r="M928" s="65" t="str" cm="1">
        <f t="array" ref="M928">_xlfn.IFS(Table22[[#This Row],[Units Sold]]&lt;40,"Critical",Table22[[#This Row],[Units Sold]]&lt;=50,"Poor",Table22[[#This Row],[Units Sold]]&lt;=60,"Low",Table22[[#This Row],[Units Sold]]&lt;=80,"Average",Table22[[#This Row],[Units Sold]]&lt;=90,"High",Table22[[#This Row],[Units Sold]]&lt;=95,"Excellent",Table22[[#This Row],[Units Sold]]&gt;95,"Outstanding")</f>
        <v>Critical</v>
      </c>
      <c r="N928" s="29">
        <v>1296.03</v>
      </c>
      <c r="O928" s="29">
        <v>33696.78</v>
      </c>
      <c r="P928" s="43">
        <f>IF(Table22[[#This Row],[Discount Applied]],Table22[[#This Row],[Total Sales (in USD)]]*(1-Table22[[#This Row],[Discount Percentage (%)]]/100),Table22[[#This Row],[Total Sales (in USD)]])</f>
        <v>33696.78</v>
      </c>
      <c r="Q928" s="66">
        <f>SQRT(AVERAGE((Table22[[#This Row],[Net Sales (after discount) (in USD)]]-AVERAGE(Table22[Net Sales (after discount) (in USD)]))^2))</f>
        <v>2814.580563764539</v>
      </c>
      <c r="R928" s="18" t="b">
        <v>1</v>
      </c>
      <c r="S928" s="40">
        <v>17.920000000000002</v>
      </c>
      <c r="T928" s="18" t="b">
        <v>0</v>
      </c>
      <c r="U928" s="25">
        <v>45041</v>
      </c>
      <c r="V928" s="63" t="str">
        <f>IF(MONTH(Table22[[#This Row],[Sales Date]])&lt;=3,"Q1",IF(MONTH(Table22[[#This Row],[Sales Date]])&lt;=6,"Q2",IF(MONTH(Table22[[#This Row],[Sales Date]])&lt;=9,"Q3","Q4")))</f>
        <v>Q2</v>
      </c>
      <c r="W928" s="64">
        <f>YEAR(Table22[[#This Row],[Sales Date]])</f>
        <v>2023</v>
      </c>
      <c r="X928" s="23">
        <v>55</v>
      </c>
      <c r="Y928" s="18" t="s">
        <v>41</v>
      </c>
      <c r="Z928" s="18" t="s">
        <v>42</v>
      </c>
      <c r="AA928" s="19" t="s">
        <v>36</v>
      </c>
    </row>
    <row r="929" spans="1:27" x14ac:dyDescent="0.25">
      <c r="A929" s="17" t="s">
        <v>574</v>
      </c>
      <c r="B929" s="18" t="s">
        <v>27</v>
      </c>
      <c r="C929" s="63" t="str" cm="1">
        <f t="array" ref="C929">_xlfn.SWITCH(Table22[[#This Row],[Country]],"USA","North America","Canada","North America","Brazil","South America","China","Asia","Japan","Asia","India","Asia","France","Europe","Germany","Europe","UK","Europe","Australia","Oceania","South America")</f>
        <v>Europe</v>
      </c>
      <c r="D929" s="18" t="s">
        <v>35</v>
      </c>
      <c r="E929" s="18" t="s">
        <v>39</v>
      </c>
      <c r="F929" s="18" t="s">
        <v>47</v>
      </c>
      <c r="G929" s="18" t="s">
        <v>40</v>
      </c>
      <c r="H929" s="64">
        <f>LEN(TRIM(Table22[[#This Row],[Country]]))</f>
        <v>7</v>
      </c>
      <c r="I929" s="64">
        <f>LEN(TRIM(Table22[[#This Row],[Continent]]))</f>
        <v>6</v>
      </c>
      <c r="J929" s="64">
        <f>LEN(TRIM(Table22[[#This Row],[Product]]))</f>
        <v>10</v>
      </c>
      <c r="K929" s="64">
        <f>LEN(TRIM(Table22[[#This Row],[Sales Team]]))</f>
        <v>10</v>
      </c>
      <c r="L929" s="23">
        <v>38</v>
      </c>
      <c r="M929" s="65" t="str" cm="1">
        <f t="array" ref="M929">_xlfn.IFS(Table22[[#This Row],[Units Sold]]&lt;40,"Critical",Table22[[#This Row],[Units Sold]]&lt;=50,"Poor",Table22[[#This Row],[Units Sold]]&lt;=60,"Low",Table22[[#This Row],[Units Sold]]&lt;=80,"Average",Table22[[#This Row],[Units Sold]]&lt;=90,"High",Table22[[#This Row],[Units Sold]]&lt;=95,"Excellent",Table22[[#This Row],[Units Sold]]&gt;95,"Outstanding")</f>
        <v>Critical</v>
      </c>
      <c r="N929" s="29">
        <v>884.89</v>
      </c>
      <c r="O929" s="29">
        <v>33625.82</v>
      </c>
      <c r="P929" s="43">
        <f>IF(Table22[[#This Row],[Discount Applied]],Table22[[#This Row],[Total Sales (in USD)]]*(1-Table22[[#This Row],[Discount Percentage (%)]]/100),Table22[[#This Row],[Total Sales (in USD)]])</f>
        <v>24348.456262</v>
      </c>
      <c r="Q929" s="66">
        <f>SQRT(AVERAGE((Table22[[#This Row],[Net Sales (after discount) (in USD)]]-AVERAGE(Table22[Net Sales (after discount) (in USD)]))^2))</f>
        <v>12162.904301764538</v>
      </c>
      <c r="R929" s="18" t="b">
        <v>1</v>
      </c>
      <c r="S929" s="40">
        <v>27.59</v>
      </c>
      <c r="T929" s="18" t="b">
        <v>1</v>
      </c>
      <c r="U929" s="25">
        <v>45510</v>
      </c>
      <c r="V929" s="63" t="str">
        <f>IF(MONTH(Table22[[#This Row],[Sales Date]])&lt;=3,"Q1",IF(MONTH(Table22[[#This Row],[Sales Date]])&lt;=6,"Q2",IF(MONTH(Table22[[#This Row],[Sales Date]])&lt;=9,"Q3","Q4")))</f>
        <v>Q3</v>
      </c>
      <c r="W929" s="64">
        <f>YEAR(Table22[[#This Row],[Sales Date]])</f>
        <v>2024</v>
      </c>
      <c r="X929" s="23">
        <v>47</v>
      </c>
      <c r="Y929" s="18" t="s">
        <v>23</v>
      </c>
      <c r="Z929" s="18" t="s">
        <v>56</v>
      </c>
      <c r="AA929" s="19" t="s">
        <v>36</v>
      </c>
    </row>
    <row r="930" spans="1:27" x14ac:dyDescent="0.25">
      <c r="A930" s="17" t="s">
        <v>1034</v>
      </c>
      <c r="B930" s="18" t="s">
        <v>51</v>
      </c>
      <c r="C930" s="63" t="str" cm="1">
        <f t="array" ref="C930">_xlfn.SWITCH(Table22[[#This Row],[Country]],"USA","North America","Canada","North America","Brazil","South America","China","Asia","Japan","Asia","India","Asia","France","Europe","Germany","Europe","UK","Europe","Australia","Oceania","South America")</f>
        <v>Europe</v>
      </c>
      <c r="D930" s="18" t="s">
        <v>21</v>
      </c>
      <c r="E930" s="18" t="s">
        <v>33</v>
      </c>
      <c r="F930" s="18" t="s">
        <v>34</v>
      </c>
      <c r="G930" s="18" t="s">
        <v>40</v>
      </c>
      <c r="H930" s="64">
        <f>LEN(TRIM(Table22[[#This Row],[Country]]))</f>
        <v>2</v>
      </c>
      <c r="I930" s="64">
        <f>LEN(TRIM(Table22[[#This Row],[Continent]]))</f>
        <v>6</v>
      </c>
      <c r="J930" s="64">
        <f>LEN(TRIM(Table22[[#This Row],[Product]]))</f>
        <v>10</v>
      </c>
      <c r="K930" s="64">
        <f>LEN(TRIM(Table22[[#This Row],[Sales Team]]))</f>
        <v>10</v>
      </c>
      <c r="L930" s="23">
        <v>29</v>
      </c>
      <c r="M930" s="65" t="str" cm="1">
        <f t="array" ref="M930">_xlfn.IFS(Table22[[#This Row],[Units Sold]]&lt;40,"Critical",Table22[[#This Row],[Units Sold]]&lt;=50,"Poor",Table22[[#This Row],[Units Sold]]&lt;=60,"Low",Table22[[#This Row],[Units Sold]]&lt;=80,"Average",Table22[[#This Row],[Units Sold]]&lt;=90,"High",Table22[[#This Row],[Units Sold]]&lt;=95,"Excellent",Table22[[#This Row],[Units Sold]]&gt;95,"Outstanding")</f>
        <v>Critical</v>
      </c>
      <c r="N930" s="29">
        <v>1158.27</v>
      </c>
      <c r="O930" s="29">
        <v>33589.83</v>
      </c>
      <c r="P930" s="43">
        <f>IF(Table22[[#This Row],[Discount Applied]],Table22[[#This Row],[Total Sales (in USD)]]*(1-Table22[[#This Row],[Discount Percentage (%)]]/100),Table22[[#This Row],[Total Sales (in USD)]])</f>
        <v>33589.83</v>
      </c>
      <c r="Q930" s="66">
        <f>SQRT(AVERAGE((Table22[[#This Row],[Net Sales (after discount) (in USD)]]-AVERAGE(Table22[Net Sales (after discount) (in USD)]))^2))</f>
        <v>2921.5305637645361</v>
      </c>
      <c r="R930" s="18" t="b">
        <v>0</v>
      </c>
      <c r="S930" s="40">
        <v>18.57</v>
      </c>
      <c r="T930" s="18" t="b">
        <v>0</v>
      </c>
      <c r="U930" s="25">
        <v>44997</v>
      </c>
      <c r="V930" s="63" t="str">
        <f>IF(MONTH(Table22[[#This Row],[Sales Date]])&lt;=3,"Q1",IF(MONTH(Table22[[#This Row],[Sales Date]])&lt;=6,"Q2",IF(MONTH(Table22[[#This Row],[Sales Date]])&lt;=9,"Q3","Q4")))</f>
        <v>Q1</v>
      </c>
      <c r="W930" s="64">
        <f>YEAR(Table22[[#This Row],[Sales Date]])</f>
        <v>2023</v>
      </c>
      <c r="X930" s="23">
        <v>34</v>
      </c>
      <c r="Y930" s="18" t="s">
        <v>41</v>
      </c>
      <c r="Z930" s="18" t="s">
        <v>42</v>
      </c>
      <c r="AA930" s="19" t="s">
        <v>36</v>
      </c>
    </row>
    <row r="931" spans="1:27" x14ac:dyDescent="0.25">
      <c r="A931" s="17" t="s">
        <v>1969</v>
      </c>
      <c r="B931" s="18" t="s">
        <v>51</v>
      </c>
      <c r="C931" s="63" t="str" cm="1">
        <f t="array" ref="C931">_xlfn.SWITCH(Table22[[#This Row],[Country]],"USA","North America","Canada","North America","Brazil","South America","China","Asia","Japan","Asia","India","Asia","France","Europe","Germany","Europe","UK","Europe","Australia","Oceania","South America")</f>
        <v>Europe</v>
      </c>
      <c r="D931" s="18" t="s">
        <v>44</v>
      </c>
      <c r="E931" s="18" t="s">
        <v>39</v>
      </c>
      <c r="F931" s="18" t="s">
        <v>64</v>
      </c>
      <c r="G931" s="18" t="s">
        <v>29</v>
      </c>
      <c r="H931" s="64">
        <f>LEN(TRIM(Table22[[#This Row],[Country]]))</f>
        <v>2</v>
      </c>
      <c r="I931" s="64">
        <f>LEN(TRIM(Table22[[#This Row],[Continent]]))</f>
        <v>6</v>
      </c>
      <c r="J931" s="64">
        <f>LEN(TRIM(Table22[[#This Row],[Product]]))</f>
        <v>10</v>
      </c>
      <c r="K931" s="64">
        <f>LEN(TRIM(Table22[[#This Row],[Sales Team]]))</f>
        <v>10</v>
      </c>
      <c r="L931" s="23">
        <v>50</v>
      </c>
      <c r="M931" s="65" t="str" cm="1">
        <f t="array" ref="M931">_xlfn.IFS(Table22[[#This Row],[Units Sold]]&lt;40,"Critical",Table22[[#This Row],[Units Sold]]&lt;=50,"Poor",Table22[[#This Row],[Units Sold]]&lt;=60,"Low",Table22[[#This Row],[Units Sold]]&lt;=80,"Average",Table22[[#This Row],[Units Sold]]&lt;=90,"High",Table22[[#This Row],[Units Sold]]&lt;=95,"Excellent",Table22[[#This Row],[Units Sold]]&gt;95,"Outstanding")</f>
        <v>Poor</v>
      </c>
      <c r="N931" s="29">
        <v>671.42</v>
      </c>
      <c r="O931" s="29">
        <v>33571</v>
      </c>
      <c r="P931" s="43">
        <f>IF(Table22[[#This Row],[Discount Applied]],Table22[[#This Row],[Total Sales (in USD)]]*(1-Table22[[#This Row],[Discount Percentage (%)]]/100),Table22[[#This Row],[Total Sales (in USD)]])</f>
        <v>33571</v>
      </c>
      <c r="Q931" s="66">
        <f>SQRT(AVERAGE((Table22[[#This Row],[Net Sales (after discount) (in USD)]]-AVERAGE(Table22[Net Sales (after discount) (in USD)]))^2))</f>
        <v>2940.3605637645378</v>
      </c>
      <c r="R931" s="18" t="b">
        <v>0</v>
      </c>
      <c r="S931" s="40">
        <v>24.96</v>
      </c>
      <c r="T931" s="18" t="b">
        <v>0</v>
      </c>
      <c r="U931" s="25">
        <v>45117</v>
      </c>
      <c r="V931" s="63" t="str">
        <f>IF(MONTH(Table22[[#This Row],[Sales Date]])&lt;=3,"Q1",IF(MONTH(Table22[[#This Row],[Sales Date]])&lt;=6,"Q2",IF(MONTH(Table22[[#This Row],[Sales Date]])&lt;=9,"Q3","Q4")))</f>
        <v>Q3</v>
      </c>
      <c r="W931" s="64">
        <f>YEAR(Table22[[#This Row],[Sales Date]])</f>
        <v>2023</v>
      </c>
      <c r="X931" s="23">
        <v>54</v>
      </c>
      <c r="Y931" s="18" t="s">
        <v>41</v>
      </c>
      <c r="Z931" s="18" t="s">
        <v>24</v>
      </c>
      <c r="AA931" s="19" t="s">
        <v>36</v>
      </c>
    </row>
    <row r="932" spans="1:27" x14ac:dyDescent="0.25">
      <c r="A932" s="17" t="s">
        <v>227</v>
      </c>
      <c r="B932" s="18" t="s">
        <v>72</v>
      </c>
      <c r="C932" s="63" t="str" cm="1">
        <f t="array" ref="C932">_xlfn.SWITCH(Table22[[#This Row],[Country]],"USA","North America","Canada","North America","Brazil","South America","China","Asia","Japan","Asia","India","Asia","France","Europe","Germany","Europe","UK","Europe","Australia","Oceania","South America")</f>
        <v>North America</v>
      </c>
      <c r="D932" s="18" t="s">
        <v>28</v>
      </c>
      <c r="E932" s="18" t="s">
        <v>19</v>
      </c>
      <c r="F932" s="18" t="s">
        <v>20</v>
      </c>
      <c r="G932" s="18" t="s">
        <v>29</v>
      </c>
      <c r="H932" s="64">
        <f>LEN(TRIM(Table22[[#This Row],[Country]]))</f>
        <v>3</v>
      </c>
      <c r="I932" s="64">
        <f>LEN(TRIM(Table22[[#This Row],[Continent]]))</f>
        <v>13</v>
      </c>
      <c r="J932" s="64">
        <f>LEN(TRIM(Table22[[#This Row],[Product]]))</f>
        <v>6</v>
      </c>
      <c r="K932" s="64">
        <f>LEN(TRIM(Table22[[#This Row],[Sales Team]]))</f>
        <v>10</v>
      </c>
      <c r="L932" s="23">
        <v>36</v>
      </c>
      <c r="M932" s="65" t="str" cm="1">
        <f t="array" ref="M932">_xlfn.IFS(Table22[[#This Row],[Units Sold]]&lt;40,"Critical",Table22[[#This Row],[Units Sold]]&lt;=50,"Poor",Table22[[#This Row],[Units Sold]]&lt;=60,"Low",Table22[[#This Row],[Units Sold]]&lt;=80,"Average",Table22[[#This Row],[Units Sold]]&lt;=90,"High",Table22[[#This Row],[Units Sold]]&lt;=95,"Excellent",Table22[[#This Row],[Units Sold]]&gt;95,"Outstanding")</f>
        <v>Critical</v>
      </c>
      <c r="N932" s="29">
        <v>932.45</v>
      </c>
      <c r="O932" s="29">
        <v>33568.199999999997</v>
      </c>
      <c r="P932" s="43">
        <f>IF(Table22[[#This Row],[Discount Applied]],Table22[[#This Row],[Total Sales (in USD)]]*(1-Table22[[#This Row],[Discount Percentage (%)]]/100),Table22[[#This Row],[Total Sales (in USD)]])</f>
        <v>33568.199999999997</v>
      </c>
      <c r="Q932" s="66">
        <f>SQRT(AVERAGE((Table22[[#This Row],[Net Sales (after discount) (in USD)]]-AVERAGE(Table22[Net Sales (after discount) (in USD)]))^2))</f>
        <v>2943.1605637645407</v>
      </c>
      <c r="R932" s="18" t="b">
        <v>1</v>
      </c>
      <c r="S932" s="40">
        <v>14.55</v>
      </c>
      <c r="T932" s="18" t="b">
        <v>0</v>
      </c>
      <c r="U932" s="25">
        <v>45336</v>
      </c>
      <c r="V932" s="63" t="str">
        <f>IF(MONTH(Table22[[#This Row],[Sales Date]])&lt;=3,"Q1",IF(MONTH(Table22[[#This Row],[Sales Date]])&lt;=6,"Q2",IF(MONTH(Table22[[#This Row],[Sales Date]])&lt;=9,"Q3","Q4")))</f>
        <v>Q1</v>
      </c>
      <c r="W932" s="64">
        <f>YEAR(Table22[[#This Row],[Sales Date]])</f>
        <v>2024</v>
      </c>
      <c r="X932" s="23">
        <v>63</v>
      </c>
      <c r="Y932" s="18" t="s">
        <v>41</v>
      </c>
      <c r="Z932" s="18" t="s">
        <v>24</v>
      </c>
      <c r="AA932" s="19" t="s">
        <v>25</v>
      </c>
    </row>
    <row r="933" spans="1:27" x14ac:dyDescent="0.25">
      <c r="A933" s="17" t="s">
        <v>795</v>
      </c>
      <c r="B933" s="18" t="s">
        <v>51</v>
      </c>
      <c r="C933" s="63" t="str" cm="1">
        <f t="array" ref="C933">_xlfn.SWITCH(Table22[[#This Row],[Country]],"USA","North America","Canada","North America","Brazil","South America","China","Asia","Japan","Asia","India","Asia","France","Europe","Germany","Europe","UK","Europe","Australia","Oceania","South America")</f>
        <v>Europe</v>
      </c>
      <c r="D933" s="18" t="s">
        <v>28</v>
      </c>
      <c r="E933" s="18" t="s">
        <v>33</v>
      </c>
      <c r="F933" s="18" t="s">
        <v>52</v>
      </c>
      <c r="G933" s="18" t="s">
        <v>48</v>
      </c>
      <c r="H933" s="64">
        <f>LEN(TRIM(Table22[[#This Row],[Country]]))</f>
        <v>2</v>
      </c>
      <c r="I933" s="64">
        <f>LEN(TRIM(Table22[[#This Row],[Continent]]))</f>
        <v>6</v>
      </c>
      <c r="J933" s="64">
        <f>LEN(TRIM(Table22[[#This Row],[Product]]))</f>
        <v>10</v>
      </c>
      <c r="K933" s="64">
        <f>LEN(TRIM(Table22[[#This Row],[Sales Team]]))</f>
        <v>9</v>
      </c>
      <c r="L933" s="23">
        <v>51</v>
      </c>
      <c r="M933" s="65" t="str" cm="1">
        <f t="array" ref="M933">_xlfn.IFS(Table22[[#This Row],[Units Sold]]&lt;40,"Critical",Table22[[#This Row],[Units Sold]]&lt;=50,"Poor",Table22[[#This Row],[Units Sold]]&lt;=60,"Low",Table22[[#This Row],[Units Sold]]&lt;=80,"Average",Table22[[#This Row],[Units Sold]]&lt;=90,"High",Table22[[#This Row],[Units Sold]]&lt;=95,"Excellent",Table22[[#This Row],[Units Sold]]&gt;95,"Outstanding")</f>
        <v>Low</v>
      </c>
      <c r="N933" s="29">
        <v>658.11</v>
      </c>
      <c r="O933" s="29">
        <v>33563.61</v>
      </c>
      <c r="P933" s="43">
        <f>IF(Table22[[#This Row],[Discount Applied]],Table22[[#This Row],[Total Sales (in USD)]]*(1-Table22[[#This Row],[Discount Percentage (%)]]/100),Table22[[#This Row],[Total Sales (in USD)]])</f>
        <v>33563.61</v>
      </c>
      <c r="Q933" s="66">
        <f>SQRT(AVERAGE((Table22[[#This Row],[Net Sales (after discount) (in USD)]]-AVERAGE(Table22[Net Sales (after discount) (in USD)]))^2))</f>
        <v>2947.7505637645372</v>
      </c>
      <c r="R933" s="18" t="b">
        <v>0</v>
      </c>
      <c r="S933" s="40">
        <v>0.1</v>
      </c>
      <c r="T933" s="18" t="b">
        <v>0</v>
      </c>
      <c r="U933" s="25">
        <v>45152</v>
      </c>
      <c r="V933" s="63" t="str">
        <f>IF(MONTH(Table22[[#This Row],[Sales Date]])&lt;=3,"Q1",IF(MONTH(Table22[[#This Row],[Sales Date]])&lt;=6,"Q2",IF(MONTH(Table22[[#This Row],[Sales Date]])&lt;=9,"Q3","Q4")))</f>
        <v>Q3</v>
      </c>
      <c r="W933" s="64">
        <f>YEAR(Table22[[#This Row],[Sales Date]])</f>
        <v>2023</v>
      </c>
      <c r="X933" s="23">
        <v>35</v>
      </c>
      <c r="Y933" s="18" t="s">
        <v>49</v>
      </c>
      <c r="Z933" s="18" t="s">
        <v>30</v>
      </c>
      <c r="AA933" s="19" t="s">
        <v>36</v>
      </c>
    </row>
    <row r="934" spans="1:27" x14ac:dyDescent="0.25">
      <c r="A934" s="17" t="s">
        <v>1494</v>
      </c>
      <c r="B934" s="18" t="s">
        <v>32</v>
      </c>
      <c r="C934" s="63" t="str" cm="1">
        <f t="array" ref="C934">_xlfn.SWITCH(Table22[[#This Row],[Country]],"USA","North America","Canada","North America","Brazil","South America","China","Asia","Japan","Asia","India","Asia","France","Europe","Germany","Europe","UK","Europe","Australia","Oceania","South America")</f>
        <v>Asia</v>
      </c>
      <c r="D934" s="18" t="s">
        <v>35</v>
      </c>
      <c r="E934" s="18" t="s">
        <v>39</v>
      </c>
      <c r="F934" s="18" t="s">
        <v>52</v>
      </c>
      <c r="G934" s="18" t="s">
        <v>29</v>
      </c>
      <c r="H934" s="64">
        <f>LEN(TRIM(Table22[[#This Row],[Country]]))</f>
        <v>5</v>
      </c>
      <c r="I934" s="64">
        <f>LEN(TRIM(Table22[[#This Row],[Continent]]))</f>
        <v>4</v>
      </c>
      <c r="J934" s="64">
        <f>LEN(TRIM(Table22[[#This Row],[Product]]))</f>
        <v>10</v>
      </c>
      <c r="K934" s="64">
        <f>LEN(TRIM(Table22[[#This Row],[Sales Team]]))</f>
        <v>10</v>
      </c>
      <c r="L934" s="23">
        <v>80</v>
      </c>
      <c r="M934" s="65" t="str" cm="1">
        <f t="array" ref="M934">_xlfn.IFS(Table22[[#This Row],[Units Sold]]&lt;40,"Critical",Table22[[#This Row],[Units Sold]]&lt;=50,"Poor",Table22[[#This Row],[Units Sold]]&lt;=60,"Low",Table22[[#This Row],[Units Sold]]&lt;=80,"Average",Table22[[#This Row],[Units Sold]]&lt;=90,"High",Table22[[#This Row],[Units Sold]]&lt;=95,"Excellent",Table22[[#This Row],[Units Sold]]&gt;95,"Outstanding")</f>
        <v>Average</v>
      </c>
      <c r="N934" s="29">
        <v>419.46</v>
      </c>
      <c r="O934" s="29">
        <v>33556.800000000003</v>
      </c>
      <c r="P934" s="43">
        <f>IF(Table22[[#This Row],[Discount Applied]],Table22[[#This Row],[Total Sales (in USD)]]*(1-Table22[[#This Row],[Discount Percentage (%)]]/100),Table22[[#This Row],[Total Sales (in USD)]])</f>
        <v>31164.20016</v>
      </c>
      <c r="Q934" s="66">
        <f>SQRT(AVERAGE((Table22[[#This Row],[Net Sales (after discount) (in USD)]]-AVERAGE(Table22[Net Sales (after discount) (in USD)]))^2))</f>
        <v>5347.1604037645375</v>
      </c>
      <c r="R934" s="18" t="b">
        <v>1</v>
      </c>
      <c r="S934" s="40">
        <v>7.13</v>
      </c>
      <c r="T934" s="18" t="b">
        <v>1</v>
      </c>
      <c r="U934" s="25">
        <v>45296</v>
      </c>
      <c r="V934" s="63" t="str">
        <f>IF(MONTH(Table22[[#This Row],[Sales Date]])&lt;=3,"Q1",IF(MONTH(Table22[[#This Row],[Sales Date]])&lt;=6,"Q2",IF(MONTH(Table22[[#This Row],[Sales Date]])&lt;=9,"Q3","Q4")))</f>
        <v>Q1</v>
      </c>
      <c r="W934" s="64">
        <f>YEAR(Table22[[#This Row],[Sales Date]])</f>
        <v>2024</v>
      </c>
      <c r="X934" s="23">
        <v>63</v>
      </c>
      <c r="Y934" s="18" t="s">
        <v>41</v>
      </c>
      <c r="Z934" s="18" t="s">
        <v>56</v>
      </c>
      <c r="AA934" s="19" t="s">
        <v>25</v>
      </c>
    </row>
    <row r="935" spans="1:27" x14ac:dyDescent="0.25">
      <c r="A935" s="17" t="s">
        <v>1144</v>
      </c>
      <c r="B935" s="18" t="s">
        <v>72</v>
      </c>
      <c r="C935" s="63" t="str" cm="1">
        <f t="array" ref="C935">_xlfn.SWITCH(Table22[[#This Row],[Country]],"USA","North America","Canada","North America","Brazil","South America","China","Asia","Japan","Asia","India","Asia","France","Europe","Germany","Europe","UK","Europe","Australia","Oceania","South America")</f>
        <v>North America</v>
      </c>
      <c r="D935" s="18" t="s">
        <v>28</v>
      </c>
      <c r="E935" s="18" t="s">
        <v>33</v>
      </c>
      <c r="F935" s="18" t="s">
        <v>20</v>
      </c>
      <c r="G935" s="18" t="s">
        <v>29</v>
      </c>
      <c r="H935" s="64">
        <f>LEN(TRIM(Table22[[#This Row],[Country]]))</f>
        <v>3</v>
      </c>
      <c r="I935" s="64">
        <f>LEN(TRIM(Table22[[#This Row],[Continent]]))</f>
        <v>13</v>
      </c>
      <c r="J935" s="64">
        <f>LEN(TRIM(Table22[[#This Row],[Product]]))</f>
        <v>10</v>
      </c>
      <c r="K935" s="64">
        <f>LEN(TRIM(Table22[[#This Row],[Sales Team]]))</f>
        <v>10</v>
      </c>
      <c r="L935" s="23">
        <v>50</v>
      </c>
      <c r="M935" s="65" t="str" cm="1">
        <f t="array" ref="M935">_xlfn.IFS(Table22[[#This Row],[Units Sold]]&lt;40,"Critical",Table22[[#This Row],[Units Sold]]&lt;=50,"Poor",Table22[[#This Row],[Units Sold]]&lt;=60,"Low",Table22[[#This Row],[Units Sold]]&lt;=80,"Average",Table22[[#This Row],[Units Sold]]&lt;=90,"High",Table22[[#This Row],[Units Sold]]&lt;=95,"Excellent",Table22[[#This Row],[Units Sold]]&gt;95,"Outstanding")</f>
        <v>Poor</v>
      </c>
      <c r="N935" s="29">
        <v>670.78</v>
      </c>
      <c r="O935" s="29">
        <v>33539</v>
      </c>
      <c r="P935" s="43">
        <f>IF(Table22[[#This Row],[Discount Applied]],Table22[[#This Row],[Total Sales (in USD)]]*(1-Table22[[#This Row],[Discount Percentage (%)]]/100),Table22[[#This Row],[Total Sales (in USD)]])</f>
        <v>30966.558700000001</v>
      </c>
      <c r="Q935" s="66">
        <f>SQRT(AVERAGE((Table22[[#This Row],[Net Sales (after discount) (in USD)]]-AVERAGE(Table22[Net Sales (after discount) (in USD)]))^2))</f>
        <v>5544.8018637645364</v>
      </c>
      <c r="R935" s="18" t="b">
        <v>0</v>
      </c>
      <c r="S935" s="40">
        <v>7.67</v>
      </c>
      <c r="T935" s="18" t="b">
        <v>1</v>
      </c>
      <c r="U935" s="25">
        <v>45511</v>
      </c>
      <c r="V935" s="63" t="str">
        <f>IF(MONTH(Table22[[#This Row],[Sales Date]])&lt;=3,"Q1",IF(MONTH(Table22[[#This Row],[Sales Date]])&lt;=6,"Q2",IF(MONTH(Table22[[#This Row],[Sales Date]])&lt;=9,"Q3","Q4")))</f>
        <v>Q3</v>
      </c>
      <c r="W935" s="64">
        <f>YEAR(Table22[[#This Row],[Sales Date]])</f>
        <v>2024</v>
      </c>
      <c r="X935" s="23">
        <v>24</v>
      </c>
      <c r="Y935" s="18" t="s">
        <v>49</v>
      </c>
      <c r="Z935" s="18" t="s">
        <v>24</v>
      </c>
      <c r="AA935" s="19" t="s">
        <v>25</v>
      </c>
    </row>
    <row r="936" spans="1:27" x14ac:dyDescent="0.25">
      <c r="A936" s="17" t="s">
        <v>1292</v>
      </c>
      <c r="B936" s="18" t="s">
        <v>62</v>
      </c>
      <c r="C936" s="63" t="str" cm="1">
        <f t="array" ref="C936">_xlfn.SWITCH(Table22[[#This Row],[Country]],"USA","North America","Canada","North America","Brazil","South America","China","Asia","Japan","Asia","India","Asia","France","Europe","Germany","Europe","UK","Europe","Australia","Oceania","South America")</f>
        <v>Oceania</v>
      </c>
      <c r="D936" s="18" t="s">
        <v>35</v>
      </c>
      <c r="E936" s="18" t="s">
        <v>33</v>
      </c>
      <c r="F936" s="18" t="s">
        <v>47</v>
      </c>
      <c r="G936" s="18" t="s">
        <v>22</v>
      </c>
      <c r="H936" s="64">
        <f>LEN(TRIM(Table22[[#This Row],[Country]]))</f>
        <v>9</v>
      </c>
      <c r="I936" s="64">
        <f>LEN(TRIM(Table22[[#This Row],[Continent]]))</f>
        <v>7</v>
      </c>
      <c r="J936" s="64">
        <f>LEN(TRIM(Table22[[#This Row],[Product]]))</f>
        <v>10</v>
      </c>
      <c r="K936" s="64">
        <f>LEN(TRIM(Table22[[#This Row],[Sales Team]]))</f>
        <v>10</v>
      </c>
      <c r="L936" s="23">
        <v>31</v>
      </c>
      <c r="M936" s="65" t="str" cm="1">
        <f t="array" ref="M936">_xlfn.IFS(Table22[[#This Row],[Units Sold]]&lt;40,"Critical",Table22[[#This Row],[Units Sold]]&lt;=50,"Poor",Table22[[#This Row],[Units Sold]]&lt;=60,"Low",Table22[[#This Row],[Units Sold]]&lt;=80,"Average",Table22[[#This Row],[Units Sold]]&lt;=90,"High",Table22[[#This Row],[Units Sold]]&lt;=95,"Excellent",Table22[[#This Row],[Units Sold]]&gt;95,"Outstanding")</f>
        <v>Critical</v>
      </c>
      <c r="N936" s="29">
        <v>1081.1400000000001</v>
      </c>
      <c r="O936" s="29">
        <v>33515.339999999997</v>
      </c>
      <c r="P936" s="43">
        <f>IF(Table22[[#This Row],[Discount Applied]],Table22[[#This Row],[Total Sales (in USD)]]*(1-Table22[[#This Row],[Discount Percentage (%)]]/100),Table22[[#This Row],[Total Sales (in USD)]])</f>
        <v>33515.339999999997</v>
      </c>
      <c r="Q936" s="66">
        <f>SQRT(AVERAGE((Table22[[#This Row],[Net Sales (after discount) (in USD)]]-AVERAGE(Table22[Net Sales (after discount) (in USD)]))^2))</f>
        <v>2996.0205637645413</v>
      </c>
      <c r="R936" s="18" t="b">
        <v>0</v>
      </c>
      <c r="S936" s="40">
        <v>25.8</v>
      </c>
      <c r="T936" s="18" t="b">
        <v>0</v>
      </c>
      <c r="U936" s="25">
        <v>45108</v>
      </c>
      <c r="V936" s="63" t="str">
        <f>IF(MONTH(Table22[[#This Row],[Sales Date]])&lt;=3,"Q1",IF(MONTH(Table22[[#This Row],[Sales Date]])&lt;=6,"Q2",IF(MONTH(Table22[[#This Row],[Sales Date]])&lt;=9,"Q3","Q4")))</f>
        <v>Q3</v>
      </c>
      <c r="W936" s="64">
        <f>YEAR(Table22[[#This Row],[Sales Date]])</f>
        <v>2023</v>
      </c>
      <c r="X936" s="23">
        <v>41</v>
      </c>
      <c r="Y936" s="18" t="s">
        <v>41</v>
      </c>
      <c r="Z936" s="18" t="s">
        <v>42</v>
      </c>
      <c r="AA936" s="19" t="s">
        <v>25</v>
      </c>
    </row>
    <row r="937" spans="1:27" x14ac:dyDescent="0.25">
      <c r="A937" s="17" t="s">
        <v>715</v>
      </c>
      <c r="B937" s="18" t="s">
        <v>38</v>
      </c>
      <c r="C937" s="63" t="str" cm="1">
        <f t="array" ref="C937">_xlfn.SWITCH(Table22[[#This Row],[Country]],"USA","North America","Canada","North America","Brazil","South America","China","Asia","Japan","Asia","India","Asia","France","Europe","Germany","Europe","UK","Europe","Australia","Oceania","South America")</f>
        <v>Europe</v>
      </c>
      <c r="D937" s="18" t="s">
        <v>44</v>
      </c>
      <c r="E937" s="18" t="s">
        <v>33</v>
      </c>
      <c r="F937" s="18" t="s">
        <v>34</v>
      </c>
      <c r="G937" s="18" t="s">
        <v>48</v>
      </c>
      <c r="H937" s="64">
        <f>LEN(TRIM(Table22[[#This Row],[Country]]))</f>
        <v>6</v>
      </c>
      <c r="I937" s="64">
        <f>LEN(TRIM(Table22[[#This Row],[Continent]]))</f>
        <v>6</v>
      </c>
      <c r="J937" s="64">
        <f>LEN(TRIM(Table22[[#This Row],[Product]]))</f>
        <v>10</v>
      </c>
      <c r="K937" s="64">
        <f>LEN(TRIM(Table22[[#This Row],[Sales Team]]))</f>
        <v>9</v>
      </c>
      <c r="L937" s="23">
        <v>44</v>
      </c>
      <c r="M937" s="65" t="str" cm="1">
        <f t="array" ref="M937">_xlfn.IFS(Table22[[#This Row],[Units Sold]]&lt;40,"Critical",Table22[[#This Row],[Units Sold]]&lt;=50,"Poor",Table22[[#This Row],[Units Sold]]&lt;=60,"Low",Table22[[#This Row],[Units Sold]]&lt;=80,"Average",Table22[[#This Row],[Units Sold]]&lt;=90,"High",Table22[[#This Row],[Units Sold]]&lt;=95,"Excellent",Table22[[#This Row],[Units Sold]]&gt;95,"Outstanding")</f>
        <v>Poor</v>
      </c>
      <c r="N937" s="29">
        <v>760.51</v>
      </c>
      <c r="O937" s="29">
        <v>33462.44</v>
      </c>
      <c r="P937" s="43">
        <f>IF(Table22[[#This Row],[Discount Applied]],Table22[[#This Row],[Total Sales (in USD)]]*(1-Table22[[#This Row],[Discount Percentage (%)]]/100),Table22[[#This Row],[Total Sales (in USD)]])</f>
        <v>28821.199572000001</v>
      </c>
      <c r="Q937" s="66">
        <f>SQRT(AVERAGE((Table22[[#This Row],[Net Sales (after discount) (in USD)]]-AVERAGE(Table22[Net Sales (after discount) (in USD)]))^2))</f>
        <v>7690.1609917645364</v>
      </c>
      <c r="R937" s="18" t="b">
        <v>1</v>
      </c>
      <c r="S937" s="40">
        <v>13.87</v>
      </c>
      <c r="T937" s="18" t="b">
        <v>1</v>
      </c>
      <c r="U937" s="25">
        <v>45546</v>
      </c>
      <c r="V937" s="63" t="str">
        <f>IF(MONTH(Table22[[#This Row],[Sales Date]])&lt;=3,"Q1",IF(MONTH(Table22[[#This Row],[Sales Date]])&lt;=6,"Q2",IF(MONTH(Table22[[#This Row],[Sales Date]])&lt;=9,"Q3","Q4")))</f>
        <v>Q3</v>
      </c>
      <c r="W937" s="64">
        <f>YEAR(Table22[[#This Row],[Sales Date]])</f>
        <v>2024</v>
      </c>
      <c r="X937" s="23">
        <v>54</v>
      </c>
      <c r="Y937" s="18" t="s">
        <v>41</v>
      </c>
      <c r="Z937" s="18" t="s">
        <v>56</v>
      </c>
      <c r="AA937" s="19" t="s">
        <v>25</v>
      </c>
    </row>
    <row r="938" spans="1:27" x14ac:dyDescent="0.25">
      <c r="A938" s="17" t="s">
        <v>1749</v>
      </c>
      <c r="B938" s="18" t="s">
        <v>27</v>
      </c>
      <c r="C938" s="63" t="str" cm="1">
        <f t="array" ref="C938">_xlfn.SWITCH(Table22[[#This Row],[Country]],"USA","North America","Canada","North America","Brazil","South America","China","Asia","Japan","Asia","India","Asia","France","Europe","Germany","Europe","UK","Europe","Australia","Oceania","South America")</f>
        <v>Europe</v>
      </c>
      <c r="D938" s="18" t="s">
        <v>21</v>
      </c>
      <c r="E938" s="18" t="s">
        <v>33</v>
      </c>
      <c r="F938" s="18" t="s">
        <v>47</v>
      </c>
      <c r="G938" s="18" t="s">
        <v>22</v>
      </c>
      <c r="H938" s="64">
        <f>LEN(TRIM(Table22[[#This Row],[Country]]))</f>
        <v>7</v>
      </c>
      <c r="I938" s="64">
        <f>LEN(TRIM(Table22[[#This Row],[Continent]]))</f>
        <v>6</v>
      </c>
      <c r="J938" s="64">
        <f>LEN(TRIM(Table22[[#This Row],[Product]]))</f>
        <v>10</v>
      </c>
      <c r="K938" s="64">
        <f>LEN(TRIM(Table22[[#This Row],[Sales Team]]))</f>
        <v>10</v>
      </c>
      <c r="L938" s="23">
        <v>91</v>
      </c>
      <c r="M938" s="65" t="str" cm="1">
        <f t="array" ref="M938">_xlfn.IFS(Table22[[#This Row],[Units Sold]]&lt;40,"Critical",Table22[[#This Row],[Units Sold]]&lt;=50,"Poor",Table22[[#This Row],[Units Sold]]&lt;=60,"Low",Table22[[#This Row],[Units Sold]]&lt;=80,"Average",Table22[[#This Row],[Units Sold]]&lt;=90,"High",Table22[[#This Row],[Units Sold]]&lt;=95,"Excellent",Table22[[#This Row],[Units Sold]]&gt;95,"Outstanding")</f>
        <v>Excellent</v>
      </c>
      <c r="N938" s="29">
        <v>367.17</v>
      </c>
      <c r="O938" s="29">
        <v>33412.47</v>
      </c>
      <c r="P938" s="43">
        <f>IF(Table22[[#This Row],[Discount Applied]],Table22[[#This Row],[Total Sales (in USD)]]*(1-Table22[[#This Row],[Discount Percentage (%)]]/100),Table22[[#This Row],[Total Sales (in USD)]])</f>
        <v>23853.162333</v>
      </c>
      <c r="Q938" s="66">
        <f>SQRT(AVERAGE((Table22[[#This Row],[Net Sales (after discount) (in USD)]]-AVERAGE(Table22[Net Sales (after discount) (in USD)]))^2))</f>
        <v>12658.198230764538</v>
      </c>
      <c r="R938" s="18" t="b">
        <v>0</v>
      </c>
      <c r="S938" s="40">
        <v>28.61</v>
      </c>
      <c r="T938" s="18" t="b">
        <v>1</v>
      </c>
      <c r="U938" s="25">
        <v>45004</v>
      </c>
      <c r="V938" s="63" t="str">
        <f>IF(MONTH(Table22[[#This Row],[Sales Date]])&lt;=3,"Q1",IF(MONTH(Table22[[#This Row],[Sales Date]])&lt;=6,"Q2",IF(MONTH(Table22[[#This Row],[Sales Date]])&lt;=9,"Q3","Q4")))</f>
        <v>Q1</v>
      </c>
      <c r="W938" s="64">
        <f>YEAR(Table22[[#This Row],[Sales Date]])</f>
        <v>2023</v>
      </c>
      <c r="X938" s="23">
        <v>29</v>
      </c>
      <c r="Y938" s="18" t="s">
        <v>41</v>
      </c>
      <c r="Z938" s="18" t="s">
        <v>24</v>
      </c>
      <c r="AA938" s="19" t="s">
        <v>25</v>
      </c>
    </row>
    <row r="939" spans="1:27" x14ac:dyDescent="0.25">
      <c r="A939" s="17" t="s">
        <v>111</v>
      </c>
      <c r="B939" s="18" t="s">
        <v>46</v>
      </c>
      <c r="C939" s="63" t="str" cm="1">
        <f t="array" ref="C939">_xlfn.SWITCH(Table22[[#This Row],[Country]],"USA","North America","Canada","North America","Brazil","South America","China","Asia","Japan","Asia","India","Asia","France","Europe","Germany","Europe","UK","Europe","Australia","Oceania","South America")</f>
        <v>South America</v>
      </c>
      <c r="D939" s="18" t="s">
        <v>28</v>
      </c>
      <c r="E939" s="18" t="s">
        <v>19</v>
      </c>
      <c r="F939" s="18" t="s">
        <v>47</v>
      </c>
      <c r="G939" s="18" t="s">
        <v>40</v>
      </c>
      <c r="H939" s="64">
        <f>LEN(TRIM(Table22[[#This Row],[Country]]))</f>
        <v>6</v>
      </c>
      <c r="I939" s="64">
        <f>LEN(TRIM(Table22[[#This Row],[Continent]]))</f>
        <v>13</v>
      </c>
      <c r="J939" s="64">
        <f>LEN(TRIM(Table22[[#This Row],[Product]]))</f>
        <v>6</v>
      </c>
      <c r="K939" s="64">
        <f>LEN(TRIM(Table22[[#This Row],[Sales Team]]))</f>
        <v>10</v>
      </c>
      <c r="L939" s="23">
        <v>49</v>
      </c>
      <c r="M939" s="65" t="str" cm="1">
        <f t="array" ref="M939">_xlfn.IFS(Table22[[#This Row],[Units Sold]]&lt;40,"Critical",Table22[[#This Row],[Units Sold]]&lt;=50,"Poor",Table22[[#This Row],[Units Sold]]&lt;=60,"Low",Table22[[#This Row],[Units Sold]]&lt;=80,"Average",Table22[[#This Row],[Units Sold]]&lt;=90,"High",Table22[[#This Row],[Units Sold]]&lt;=95,"Excellent",Table22[[#This Row],[Units Sold]]&gt;95,"Outstanding")</f>
        <v>Poor</v>
      </c>
      <c r="N939" s="29">
        <v>681.81</v>
      </c>
      <c r="O939" s="29">
        <v>33408.69</v>
      </c>
      <c r="P939" s="43">
        <f>IF(Table22[[#This Row],[Discount Applied]],Table22[[#This Row],[Total Sales (in USD)]]*(1-Table22[[#This Row],[Discount Percentage (%)]]/100),Table22[[#This Row],[Total Sales (in USD)]])</f>
        <v>33408.69</v>
      </c>
      <c r="Q939" s="66">
        <f>SQRT(AVERAGE((Table22[[#This Row],[Net Sales (after discount) (in USD)]]-AVERAGE(Table22[Net Sales (after discount) (in USD)]))^2))</f>
        <v>3102.6705637645355</v>
      </c>
      <c r="R939" s="18" t="b">
        <v>1</v>
      </c>
      <c r="S939" s="40">
        <v>16.98</v>
      </c>
      <c r="T939" s="18" t="b">
        <v>0</v>
      </c>
      <c r="U939" s="25">
        <v>45415</v>
      </c>
      <c r="V939" s="63" t="str">
        <f>IF(MONTH(Table22[[#This Row],[Sales Date]])&lt;=3,"Q1",IF(MONTH(Table22[[#This Row],[Sales Date]])&lt;=6,"Q2",IF(MONTH(Table22[[#This Row],[Sales Date]])&lt;=9,"Q3","Q4")))</f>
        <v>Q2</v>
      </c>
      <c r="W939" s="64">
        <f>YEAR(Table22[[#This Row],[Sales Date]])</f>
        <v>2024</v>
      </c>
      <c r="X939" s="23">
        <v>55</v>
      </c>
      <c r="Y939" s="18" t="s">
        <v>49</v>
      </c>
      <c r="Z939" s="18" t="s">
        <v>56</v>
      </c>
      <c r="AA939" s="19" t="s">
        <v>36</v>
      </c>
    </row>
    <row r="940" spans="1:27" x14ac:dyDescent="0.25">
      <c r="A940" s="17" t="s">
        <v>536</v>
      </c>
      <c r="B940" s="18" t="s">
        <v>32</v>
      </c>
      <c r="C940" s="63" t="str" cm="1">
        <f t="array" ref="C940">_xlfn.SWITCH(Table22[[#This Row],[Country]],"USA","North America","Canada","North America","Brazil","South America","China","Asia","Japan","Asia","India","Asia","France","Europe","Germany","Europe","UK","Europe","Australia","Oceania","South America")</f>
        <v>Asia</v>
      </c>
      <c r="D940" s="18" t="s">
        <v>44</v>
      </c>
      <c r="E940" s="18" t="s">
        <v>19</v>
      </c>
      <c r="F940" s="18" t="s">
        <v>34</v>
      </c>
      <c r="G940" s="18" t="s">
        <v>48</v>
      </c>
      <c r="H940" s="64">
        <f>LEN(TRIM(Table22[[#This Row],[Country]]))</f>
        <v>5</v>
      </c>
      <c r="I940" s="64">
        <f>LEN(TRIM(Table22[[#This Row],[Continent]]))</f>
        <v>4</v>
      </c>
      <c r="J940" s="64">
        <f>LEN(TRIM(Table22[[#This Row],[Product]]))</f>
        <v>6</v>
      </c>
      <c r="K940" s="64">
        <f>LEN(TRIM(Table22[[#This Row],[Sales Team]]))</f>
        <v>9</v>
      </c>
      <c r="L940" s="23">
        <v>42</v>
      </c>
      <c r="M940" s="65" t="str" cm="1">
        <f t="array" ref="M940">_xlfn.IFS(Table22[[#This Row],[Units Sold]]&lt;40,"Critical",Table22[[#This Row],[Units Sold]]&lt;=50,"Poor",Table22[[#This Row],[Units Sold]]&lt;=60,"Low",Table22[[#This Row],[Units Sold]]&lt;=80,"Average",Table22[[#This Row],[Units Sold]]&lt;=90,"High",Table22[[#This Row],[Units Sold]]&lt;=95,"Excellent",Table22[[#This Row],[Units Sold]]&gt;95,"Outstanding")</f>
        <v>Poor</v>
      </c>
      <c r="N940" s="29">
        <v>794.87</v>
      </c>
      <c r="O940" s="29">
        <v>33384.54</v>
      </c>
      <c r="P940" s="43">
        <f>IF(Table22[[#This Row],[Discount Applied]],Table22[[#This Row],[Total Sales (in USD)]]*(1-Table22[[#This Row],[Discount Percentage (%)]]/100),Table22[[#This Row],[Total Sales (in USD)]])</f>
        <v>25462.388658</v>
      </c>
      <c r="Q940" s="66">
        <f>SQRT(AVERAGE((Table22[[#This Row],[Net Sales (after discount) (in USD)]]-AVERAGE(Table22[Net Sales (after discount) (in USD)]))^2))</f>
        <v>11048.971905764538</v>
      </c>
      <c r="R940" s="18" t="b">
        <v>1</v>
      </c>
      <c r="S940" s="40">
        <v>23.73</v>
      </c>
      <c r="T940" s="18" t="b">
        <v>1</v>
      </c>
      <c r="U940" s="25">
        <v>45489</v>
      </c>
      <c r="V940" s="63" t="str">
        <f>IF(MONTH(Table22[[#This Row],[Sales Date]])&lt;=3,"Q1",IF(MONTH(Table22[[#This Row],[Sales Date]])&lt;=6,"Q2",IF(MONTH(Table22[[#This Row],[Sales Date]])&lt;=9,"Q3","Q4")))</f>
        <v>Q3</v>
      </c>
      <c r="W940" s="64">
        <f>YEAR(Table22[[#This Row],[Sales Date]])</f>
        <v>2024</v>
      </c>
      <c r="X940" s="23">
        <v>20</v>
      </c>
      <c r="Y940" s="18" t="s">
        <v>23</v>
      </c>
      <c r="Z940" s="18" t="s">
        <v>42</v>
      </c>
      <c r="AA940" s="19" t="s">
        <v>25</v>
      </c>
    </row>
    <row r="941" spans="1:27" x14ac:dyDescent="0.25">
      <c r="A941" s="17" t="s">
        <v>1490</v>
      </c>
      <c r="B941" s="18" t="s">
        <v>38</v>
      </c>
      <c r="C941" s="63" t="str" cm="1">
        <f t="array" ref="C941">_xlfn.SWITCH(Table22[[#This Row],[Country]],"USA","North America","Canada","North America","Brazil","South America","China","Asia","Japan","Asia","India","Asia","France","Europe","Germany","Europe","UK","Europe","Australia","Oceania","South America")</f>
        <v>Europe</v>
      </c>
      <c r="D941" s="18" t="s">
        <v>44</v>
      </c>
      <c r="E941" s="18" t="s">
        <v>19</v>
      </c>
      <c r="F941" s="18" t="s">
        <v>34</v>
      </c>
      <c r="G941" s="18" t="s">
        <v>40</v>
      </c>
      <c r="H941" s="64">
        <f>LEN(TRIM(Table22[[#This Row],[Country]]))</f>
        <v>6</v>
      </c>
      <c r="I941" s="64">
        <f>LEN(TRIM(Table22[[#This Row],[Continent]]))</f>
        <v>6</v>
      </c>
      <c r="J941" s="64">
        <f>LEN(TRIM(Table22[[#This Row],[Product]]))</f>
        <v>6</v>
      </c>
      <c r="K941" s="64">
        <f>LEN(TRIM(Table22[[#This Row],[Sales Team]]))</f>
        <v>10</v>
      </c>
      <c r="L941" s="23">
        <v>29</v>
      </c>
      <c r="M941" s="65" t="str" cm="1">
        <f t="array" ref="M941">_xlfn.IFS(Table22[[#This Row],[Units Sold]]&lt;40,"Critical",Table22[[#This Row],[Units Sold]]&lt;=50,"Poor",Table22[[#This Row],[Units Sold]]&lt;=60,"Low",Table22[[#This Row],[Units Sold]]&lt;=80,"Average",Table22[[#This Row],[Units Sold]]&lt;=90,"High",Table22[[#This Row],[Units Sold]]&lt;=95,"Excellent",Table22[[#This Row],[Units Sold]]&gt;95,"Outstanding")</f>
        <v>Critical</v>
      </c>
      <c r="N941" s="29">
        <v>1148.23</v>
      </c>
      <c r="O941" s="29">
        <v>33298.67</v>
      </c>
      <c r="P941" s="43">
        <f>IF(Table22[[#This Row],[Discount Applied]],Table22[[#This Row],[Total Sales (in USD)]]*(1-Table22[[#This Row],[Discount Percentage (%)]]/100),Table22[[#This Row],[Total Sales (in USD)]])</f>
        <v>33298.67</v>
      </c>
      <c r="Q941" s="66">
        <f>SQRT(AVERAGE((Table22[[#This Row],[Net Sales (after discount) (in USD)]]-AVERAGE(Table22[Net Sales (after discount) (in USD)]))^2))</f>
        <v>3212.6905637645395</v>
      </c>
      <c r="R941" s="18" t="b">
        <v>1</v>
      </c>
      <c r="S941" s="40">
        <v>11.47</v>
      </c>
      <c r="T941" s="18" t="b">
        <v>0</v>
      </c>
      <c r="U941" s="25">
        <v>45292</v>
      </c>
      <c r="V941" s="63" t="str">
        <f>IF(MONTH(Table22[[#This Row],[Sales Date]])&lt;=3,"Q1",IF(MONTH(Table22[[#This Row],[Sales Date]])&lt;=6,"Q2",IF(MONTH(Table22[[#This Row],[Sales Date]])&lt;=9,"Q3","Q4")))</f>
        <v>Q1</v>
      </c>
      <c r="W941" s="64">
        <f>YEAR(Table22[[#This Row],[Sales Date]])</f>
        <v>2024</v>
      </c>
      <c r="X941" s="23">
        <v>50</v>
      </c>
      <c r="Y941" s="18" t="s">
        <v>41</v>
      </c>
      <c r="Z941" s="18" t="s">
        <v>42</v>
      </c>
      <c r="AA941" s="19" t="s">
        <v>36</v>
      </c>
    </row>
    <row r="942" spans="1:27" x14ac:dyDescent="0.25">
      <c r="A942" s="17" t="s">
        <v>1666</v>
      </c>
      <c r="B942" s="18" t="s">
        <v>72</v>
      </c>
      <c r="C942" s="63" t="str" cm="1">
        <f t="array" ref="C942">_xlfn.SWITCH(Table22[[#This Row],[Country]],"USA","North America","Canada","North America","Brazil","South America","China","Asia","Japan","Asia","India","Asia","France","Europe","Germany","Europe","UK","Europe","Australia","Oceania","South America")</f>
        <v>North America</v>
      </c>
      <c r="D942" s="18" t="s">
        <v>44</v>
      </c>
      <c r="E942" s="18" t="s">
        <v>39</v>
      </c>
      <c r="F942" s="18" t="s">
        <v>47</v>
      </c>
      <c r="G942" s="18" t="s">
        <v>22</v>
      </c>
      <c r="H942" s="64">
        <f>LEN(TRIM(Table22[[#This Row],[Country]]))</f>
        <v>3</v>
      </c>
      <c r="I942" s="64">
        <f>LEN(TRIM(Table22[[#This Row],[Continent]]))</f>
        <v>13</v>
      </c>
      <c r="J942" s="64">
        <f>LEN(TRIM(Table22[[#This Row],[Product]]))</f>
        <v>10</v>
      </c>
      <c r="K942" s="64">
        <f>LEN(TRIM(Table22[[#This Row],[Sales Team]]))</f>
        <v>10</v>
      </c>
      <c r="L942" s="23">
        <v>59</v>
      </c>
      <c r="M942" s="65" t="str" cm="1">
        <f t="array" ref="M942">_xlfn.IFS(Table22[[#This Row],[Units Sold]]&lt;40,"Critical",Table22[[#This Row],[Units Sold]]&lt;=50,"Poor",Table22[[#This Row],[Units Sold]]&lt;=60,"Low",Table22[[#This Row],[Units Sold]]&lt;=80,"Average",Table22[[#This Row],[Units Sold]]&lt;=90,"High",Table22[[#This Row],[Units Sold]]&lt;=95,"Excellent",Table22[[#This Row],[Units Sold]]&gt;95,"Outstanding")</f>
        <v>Low</v>
      </c>
      <c r="N942" s="29">
        <v>563.66</v>
      </c>
      <c r="O942" s="29">
        <v>33255.94</v>
      </c>
      <c r="P942" s="43">
        <f>IF(Table22[[#This Row],[Discount Applied]],Table22[[#This Row],[Total Sales (in USD)]]*(1-Table22[[#This Row],[Discount Percentage (%)]]/100),Table22[[#This Row],[Total Sales (in USD)]])</f>
        <v>33255.94</v>
      </c>
      <c r="Q942" s="66">
        <f>SQRT(AVERAGE((Table22[[#This Row],[Net Sales (after discount) (in USD)]]-AVERAGE(Table22[Net Sales (after discount) (in USD)]))^2))</f>
        <v>3255.4205637645355</v>
      </c>
      <c r="R942" s="18" t="b">
        <v>0</v>
      </c>
      <c r="S942" s="40">
        <v>3.42</v>
      </c>
      <c r="T942" s="18" t="b">
        <v>0</v>
      </c>
      <c r="U942" s="25">
        <v>45346</v>
      </c>
      <c r="V942" s="63" t="str">
        <f>IF(MONTH(Table22[[#This Row],[Sales Date]])&lt;=3,"Q1",IF(MONTH(Table22[[#This Row],[Sales Date]])&lt;=6,"Q2",IF(MONTH(Table22[[#This Row],[Sales Date]])&lt;=9,"Q3","Q4")))</f>
        <v>Q1</v>
      </c>
      <c r="W942" s="64">
        <f>YEAR(Table22[[#This Row],[Sales Date]])</f>
        <v>2024</v>
      </c>
      <c r="X942" s="23">
        <v>37</v>
      </c>
      <c r="Y942" s="18" t="s">
        <v>23</v>
      </c>
      <c r="Z942" s="18" t="s">
        <v>30</v>
      </c>
      <c r="AA942" s="19" t="s">
        <v>36</v>
      </c>
    </row>
    <row r="943" spans="1:27" x14ac:dyDescent="0.25">
      <c r="A943" s="17" t="s">
        <v>672</v>
      </c>
      <c r="B943" s="18" t="s">
        <v>27</v>
      </c>
      <c r="C943" s="63" t="str" cm="1">
        <f t="array" ref="C943">_xlfn.SWITCH(Table22[[#This Row],[Country]],"USA","North America","Canada","North America","Brazil","South America","China","Asia","Japan","Asia","India","Asia","France","Europe","Germany","Europe","UK","Europe","Australia","Oceania","South America")</f>
        <v>Europe</v>
      </c>
      <c r="D943" s="18" t="s">
        <v>28</v>
      </c>
      <c r="E943" s="18" t="s">
        <v>33</v>
      </c>
      <c r="F943" s="18" t="s">
        <v>47</v>
      </c>
      <c r="G943" s="18" t="s">
        <v>29</v>
      </c>
      <c r="H943" s="64">
        <f>LEN(TRIM(Table22[[#This Row],[Country]]))</f>
        <v>7</v>
      </c>
      <c r="I943" s="64">
        <f>LEN(TRIM(Table22[[#This Row],[Continent]]))</f>
        <v>6</v>
      </c>
      <c r="J943" s="64">
        <f>LEN(TRIM(Table22[[#This Row],[Product]]))</f>
        <v>10</v>
      </c>
      <c r="K943" s="64">
        <f>LEN(TRIM(Table22[[#This Row],[Sales Team]]))</f>
        <v>10</v>
      </c>
      <c r="L943" s="23">
        <v>30</v>
      </c>
      <c r="M943" s="65" t="str" cm="1">
        <f t="array" ref="M943">_xlfn.IFS(Table22[[#This Row],[Units Sold]]&lt;40,"Critical",Table22[[#This Row],[Units Sold]]&lt;=50,"Poor",Table22[[#This Row],[Units Sold]]&lt;=60,"Low",Table22[[#This Row],[Units Sold]]&lt;=80,"Average",Table22[[#This Row],[Units Sold]]&lt;=90,"High",Table22[[#This Row],[Units Sold]]&lt;=95,"Excellent",Table22[[#This Row],[Units Sold]]&gt;95,"Outstanding")</f>
        <v>Critical</v>
      </c>
      <c r="N943" s="29">
        <v>1105.17</v>
      </c>
      <c r="O943" s="29">
        <v>33155.1</v>
      </c>
      <c r="P943" s="43">
        <f>IF(Table22[[#This Row],[Discount Applied]],Table22[[#This Row],[Total Sales (in USD)]]*(1-Table22[[#This Row],[Discount Percentage (%)]]/100),Table22[[#This Row],[Total Sales (in USD)]])</f>
        <v>30217.558139999997</v>
      </c>
      <c r="Q943" s="66">
        <f>SQRT(AVERAGE((Table22[[#This Row],[Net Sales (after discount) (in USD)]]-AVERAGE(Table22[Net Sales (after discount) (in USD)]))^2))</f>
        <v>6293.8024237645404</v>
      </c>
      <c r="R943" s="18" t="b">
        <v>0</v>
      </c>
      <c r="S943" s="40">
        <v>8.86</v>
      </c>
      <c r="T943" s="18" t="b">
        <v>1</v>
      </c>
      <c r="U943" s="25">
        <v>45516</v>
      </c>
      <c r="V943" s="63" t="str">
        <f>IF(MONTH(Table22[[#This Row],[Sales Date]])&lt;=3,"Q1",IF(MONTH(Table22[[#This Row],[Sales Date]])&lt;=6,"Q2",IF(MONTH(Table22[[#This Row],[Sales Date]])&lt;=9,"Q3","Q4")))</f>
        <v>Q3</v>
      </c>
      <c r="W943" s="64">
        <f>YEAR(Table22[[#This Row],[Sales Date]])</f>
        <v>2024</v>
      </c>
      <c r="X943" s="23">
        <v>26</v>
      </c>
      <c r="Y943" s="18" t="s">
        <v>23</v>
      </c>
      <c r="Z943" s="18" t="s">
        <v>30</v>
      </c>
      <c r="AA943" s="19" t="s">
        <v>36</v>
      </c>
    </row>
    <row r="944" spans="1:27" x14ac:dyDescent="0.25">
      <c r="A944" s="17" t="s">
        <v>193</v>
      </c>
      <c r="B944" s="18" t="s">
        <v>18</v>
      </c>
      <c r="C944" s="63" t="str" cm="1">
        <f t="array" ref="C944">_xlfn.SWITCH(Table22[[#This Row],[Country]],"USA","North America","Canada","North America","Brazil","South America","China","Asia","Japan","Asia","India","Asia","France","Europe","Germany","Europe","UK","Europe","Australia","Oceania","South America")</f>
        <v>Asia</v>
      </c>
      <c r="D944" s="18" t="s">
        <v>44</v>
      </c>
      <c r="E944" s="18" t="s">
        <v>33</v>
      </c>
      <c r="F944" s="18" t="s">
        <v>64</v>
      </c>
      <c r="G944" s="18" t="s">
        <v>29</v>
      </c>
      <c r="H944" s="64">
        <f>LEN(TRIM(Table22[[#This Row],[Country]]))</f>
        <v>5</v>
      </c>
      <c r="I944" s="64">
        <f>LEN(TRIM(Table22[[#This Row],[Continent]]))</f>
        <v>4</v>
      </c>
      <c r="J944" s="64">
        <f>LEN(TRIM(Table22[[#This Row],[Product]]))</f>
        <v>10</v>
      </c>
      <c r="K944" s="64">
        <f>LEN(TRIM(Table22[[#This Row],[Sales Team]]))</f>
        <v>10</v>
      </c>
      <c r="L944" s="23">
        <v>82</v>
      </c>
      <c r="M944" s="65" t="str" cm="1">
        <f t="array" ref="M944">_xlfn.IFS(Table22[[#This Row],[Units Sold]]&lt;40,"Critical",Table22[[#This Row],[Units Sold]]&lt;=50,"Poor",Table22[[#This Row],[Units Sold]]&lt;=60,"Low",Table22[[#This Row],[Units Sold]]&lt;=80,"Average",Table22[[#This Row],[Units Sold]]&lt;=90,"High",Table22[[#This Row],[Units Sold]]&lt;=95,"Excellent",Table22[[#This Row],[Units Sold]]&gt;95,"Outstanding")</f>
        <v>High</v>
      </c>
      <c r="N944" s="29">
        <v>403.89</v>
      </c>
      <c r="O944" s="29">
        <v>33118.980000000003</v>
      </c>
      <c r="P944" s="43">
        <f>IF(Table22[[#This Row],[Discount Applied]],Table22[[#This Row],[Total Sales (in USD)]]*(1-Table22[[#This Row],[Discount Percentage (%)]]/100),Table22[[#This Row],[Total Sales (in USD)]])</f>
        <v>24160.295910000004</v>
      </c>
      <c r="Q944" s="66">
        <f>SQRT(AVERAGE((Table22[[#This Row],[Net Sales (after discount) (in USD)]]-AVERAGE(Table22[Net Sales (after discount) (in USD)]))^2))</f>
        <v>12351.064653764533</v>
      </c>
      <c r="R944" s="18" t="b">
        <v>0</v>
      </c>
      <c r="S944" s="40">
        <v>27.05</v>
      </c>
      <c r="T944" s="18" t="b">
        <v>1</v>
      </c>
      <c r="U944" s="25">
        <v>45549</v>
      </c>
      <c r="V944" s="63" t="str">
        <f>IF(MONTH(Table22[[#This Row],[Sales Date]])&lt;=3,"Q1",IF(MONTH(Table22[[#This Row],[Sales Date]])&lt;=6,"Q2",IF(MONTH(Table22[[#This Row],[Sales Date]])&lt;=9,"Q3","Q4")))</f>
        <v>Q3</v>
      </c>
      <c r="W944" s="64">
        <f>YEAR(Table22[[#This Row],[Sales Date]])</f>
        <v>2024</v>
      </c>
      <c r="X944" s="23">
        <v>56</v>
      </c>
      <c r="Y944" s="18" t="s">
        <v>23</v>
      </c>
      <c r="Z944" s="18" t="s">
        <v>42</v>
      </c>
      <c r="AA944" s="19" t="s">
        <v>36</v>
      </c>
    </row>
    <row r="945" spans="1:27" x14ac:dyDescent="0.25">
      <c r="A945" s="17" t="s">
        <v>1472</v>
      </c>
      <c r="B945" s="18" t="s">
        <v>62</v>
      </c>
      <c r="C945" s="63" t="str" cm="1">
        <f t="array" ref="C945">_xlfn.SWITCH(Table22[[#This Row],[Country]],"USA","North America","Canada","North America","Brazil","South America","China","Asia","Japan","Asia","India","Asia","France","Europe","Germany","Europe","UK","Europe","Australia","Oceania","South America")</f>
        <v>Oceania</v>
      </c>
      <c r="D945" s="18" t="s">
        <v>21</v>
      </c>
      <c r="E945" s="18" t="s">
        <v>39</v>
      </c>
      <c r="F945" s="18" t="s">
        <v>34</v>
      </c>
      <c r="G945" s="18" t="s">
        <v>29</v>
      </c>
      <c r="H945" s="64">
        <f>LEN(TRIM(Table22[[#This Row],[Country]]))</f>
        <v>9</v>
      </c>
      <c r="I945" s="64">
        <f>LEN(TRIM(Table22[[#This Row],[Continent]]))</f>
        <v>7</v>
      </c>
      <c r="J945" s="64">
        <f>LEN(TRIM(Table22[[#This Row],[Product]]))</f>
        <v>10</v>
      </c>
      <c r="K945" s="64">
        <f>LEN(TRIM(Table22[[#This Row],[Sales Team]]))</f>
        <v>10</v>
      </c>
      <c r="L945" s="23">
        <v>61</v>
      </c>
      <c r="M945" s="65" t="str" cm="1">
        <f t="array" ref="M945">_xlfn.IFS(Table22[[#This Row],[Units Sold]]&lt;40,"Critical",Table22[[#This Row],[Units Sold]]&lt;=50,"Poor",Table22[[#This Row],[Units Sold]]&lt;=60,"Low",Table22[[#This Row],[Units Sold]]&lt;=80,"Average",Table22[[#This Row],[Units Sold]]&lt;=90,"High",Table22[[#This Row],[Units Sold]]&lt;=95,"Excellent",Table22[[#This Row],[Units Sold]]&gt;95,"Outstanding")</f>
        <v>Average</v>
      </c>
      <c r="N945" s="29">
        <v>541.03</v>
      </c>
      <c r="O945" s="29">
        <v>33002.83</v>
      </c>
      <c r="P945" s="43">
        <f>IF(Table22[[#This Row],[Discount Applied]],Table22[[#This Row],[Total Sales (in USD)]]*(1-Table22[[#This Row],[Discount Percentage (%)]]/100),Table22[[#This Row],[Total Sales (in USD)]])</f>
        <v>28976.48474</v>
      </c>
      <c r="Q945" s="66">
        <f>SQRT(AVERAGE((Table22[[#This Row],[Net Sales (after discount) (in USD)]]-AVERAGE(Table22[Net Sales (after discount) (in USD)]))^2))</f>
        <v>7534.8758237645379</v>
      </c>
      <c r="R945" s="18" t="b">
        <v>0</v>
      </c>
      <c r="S945" s="40">
        <v>12.2</v>
      </c>
      <c r="T945" s="18" t="b">
        <v>1</v>
      </c>
      <c r="U945" s="25">
        <v>45371</v>
      </c>
      <c r="V945" s="63" t="str">
        <f>IF(MONTH(Table22[[#This Row],[Sales Date]])&lt;=3,"Q1",IF(MONTH(Table22[[#This Row],[Sales Date]])&lt;=6,"Q2",IF(MONTH(Table22[[#This Row],[Sales Date]])&lt;=9,"Q3","Q4")))</f>
        <v>Q1</v>
      </c>
      <c r="W945" s="64">
        <f>YEAR(Table22[[#This Row],[Sales Date]])</f>
        <v>2024</v>
      </c>
      <c r="X945" s="23">
        <v>42</v>
      </c>
      <c r="Y945" s="18" t="s">
        <v>23</v>
      </c>
      <c r="Z945" s="18" t="s">
        <v>56</v>
      </c>
      <c r="AA945" s="19" t="s">
        <v>25</v>
      </c>
    </row>
    <row r="946" spans="1:27" x14ac:dyDescent="0.25">
      <c r="A946" s="17" t="s">
        <v>1625</v>
      </c>
      <c r="B946" s="18" t="s">
        <v>76</v>
      </c>
      <c r="C946" s="63" t="str" cm="1">
        <f t="array" ref="C946">_xlfn.SWITCH(Table22[[#This Row],[Country]],"USA","North America","Canada","North America","Brazil","South America","China","Asia","Japan","Asia","India","Asia","France","Europe","Germany","Europe","UK","Europe","Australia","Oceania","South America")</f>
        <v>Asia</v>
      </c>
      <c r="D946" s="18" t="s">
        <v>28</v>
      </c>
      <c r="E946" s="18" t="s">
        <v>39</v>
      </c>
      <c r="F946" s="18" t="s">
        <v>20</v>
      </c>
      <c r="G946" s="18" t="s">
        <v>22</v>
      </c>
      <c r="H946" s="64">
        <f>LEN(TRIM(Table22[[#This Row],[Country]]))</f>
        <v>5</v>
      </c>
      <c r="I946" s="64">
        <f>LEN(TRIM(Table22[[#This Row],[Continent]]))</f>
        <v>4</v>
      </c>
      <c r="J946" s="64">
        <f>LEN(TRIM(Table22[[#This Row],[Product]]))</f>
        <v>10</v>
      </c>
      <c r="K946" s="64">
        <f>LEN(TRIM(Table22[[#This Row],[Sales Team]]))</f>
        <v>10</v>
      </c>
      <c r="L946" s="23">
        <v>37</v>
      </c>
      <c r="M946" s="65" t="str" cm="1">
        <f t="array" ref="M946">_xlfn.IFS(Table22[[#This Row],[Units Sold]]&lt;40,"Critical",Table22[[#This Row],[Units Sold]]&lt;=50,"Poor",Table22[[#This Row],[Units Sold]]&lt;=60,"Low",Table22[[#This Row],[Units Sold]]&lt;=80,"Average",Table22[[#This Row],[Units Sold]]&lt;=90,"High",Table22[[#This Row],[Units Sold]]&lt;=95,"Excellent",Table22[[#This Row],[Units Sold]]&gt;95,"Outstanding")</f>
        <v>Critical</v>
      </c>
      <c r="N946" s="29">
        <v>891.06</v>
      </c>
      <c r="O946" s="29">
        <v>32969.22</v>
      </c>
      <c r="P946" s="43">
        <f>IF(Table22[[#This Row],[Discount Applied]],Table22[[#This Row],[Total Sales (in USD)]]*(1-Table22[[#This Row],[Discount Percentage (%)]]/100),Table22[[#This Row],[Total Sales (in USD)]])</f>
        <v>32969.22</v>
      </c>
      <c r="Q946" s="66">
        <f>SQRT(AVERAGE((Table22[[#This Row],[Net Sales (after discount) (in USD)]]-AVERAGE(Table22[Net Sales (after discount) (in USD)]))^2))</f>
        <v>3542.1405637645366</v>
      </c>
      <c r="R946" s="18" t="b">
        <v>0</v>
      </c>
      <c r="S946" s="40">
        <v>16.59</v>
      </c>
      <c r="T946" s="18" t="b">
        <v>0</v>
      </c>
      <c r="U946" s="25">
        <v>45031</v>
      </c>
      <c r="V946" s="63" t="str">
        <f>IF(MONTH(Table22[[#This Row],[Sales Date]])&lt;=3,"Q1",IF(MONTH(Table22[[#This Row],[Sales Date]])&lt;=6,"Q2",IF(MONTH(Table22[[#This Row],[Sales Date]])&lt;=9,"Q3","Q4")))</f>
        <v>Q2</v>
      </c>
      <c r="W946" s="64">
        <f>YEAR(Table22[[#This Row],[Sales Date]])</f>
        <v>2023</v>
      </c>
      <c r="X946" s="23">
        <v>18</v>
      </c>
      <c r="Y946" s="18" t="s">
        <v>23</v>
      </c>
      <c r="Z946" s="18" t="s">
        <v>30</v>
      </c>
      <c r="AA946" s="19" t="s">
        <v>36</v>
      </c>
    </row>
    <row r="947" spans="1:27" x14ac:dyDescent="0.25">
      <c r="A947" s="17" t="s">
        <v>1380</v>
      </c>
      <c r="B947" s="18" t="s">
        <v>18</v>
      </c>
      <c r="C947" s="63" t="str" cm="1">
        <f t="array" ref="C947">_xlfn.SWITCH(Table22[[#This Row],[Country]],"USA","North America","Canada","North America","Brazil","South America","China","Asia","Japan","Asia","India","Asia","France","Europe","Germany","Europe","UK","Europe","Australia","Oceania","South America")</f>
        <v>Asia</v>
      </c>
      <c r="D947" s="18" t="s">
        <v>35</v>
      </c>
      <c r="E947" s="18" t="s">
        <v>39</v>
      </c>
      <c r="F947" s="18" t="s">
        <v>64</v>
      </c>
      <c r="G947" s="18" t="s">
        <v>22</v>
      </c>
      <c r="H947" s="64">
        <f>LEN(TRIM(Table22[[#This Row],[Country]]))</f>
        <v>5</v>
      </c>
      <c r="I947" s="64">
        <f>LEN(TRIM(Table22[[#This Row],[Continent]]))</f>
        <v>4</v>
      </c>
      <c r="J947" s="64">
        <f>LEN(TRIM(Table22[[#This Row],[Product]]))</f>
        <v>10</v>
      </c>
      <c r="K947" s="64">
        <f>LEN(TRIM(Table22[[#This Row],[Sales Team]]))</f>
        <v>10</v>
      </c>
      <c r="L947" s="23">
        <v>50</v>
      </c>
      <c r="M947" s="65" t="str" cm="1">
        <f t="array" ref="M947">_xlfn.IFS(Table22[[#This Row],[Units Sold]]&lt;40,"Critical",Table22[[#This Row],[Units Sold]]&lt;=50,"Poor",Table22[[#This Row],[Units Sold]]&lt;=60,"Low",Table22[[#This Row],[Units Sold]]&lt;=80,"Average",Table22[[#This Row],[Units Sold]]&lt;=90,"High",Table22[[#This Row],[Units Sold]]&lt;=95,"Excellent",Table22[[#This Row],[Units Sold]]&gt;95,"Outstanding")</f>
        <v>Poor</v>
      </c>
      <c r="N947" s="29">
        <v>658.81</v>
      </c>
      <c r="O947" s="29">
        <v>32940.5</v>
      </c>
      <c r="P947" s="43">
        <f>IF(Table22[[#This Row],[Discount Applied]],Table22[[#This Row],[Total Sales (in USD)]]*(1-Table22[[#This Row],[Discount Percentage (%)]]/100),Table22[[#This Row],[Total Sales (in USD)]])</f>
        <v>28852.58395</v>
      </c>
      <c r="Q947" s="66">
        <f>SQRT(AVERAGE((Table22[[#This Row],[Net Sales (after discount) (in USD)]]-AVERAGE(Table22[Net Sales (after discount) (in USD)]))^2))</f>
        <v>7658.7766137645376</v>
      </c>
      <c r="R947" s="18" t="b">
        <v>0</v>
      </c>
      <c r="S947" s="40">
        <v>12.41</v>
      </c>
      <c r="T947" s="18" t="b">
        <v>1</v>
      </c>
      <c r="U947" s="25">
        <v>45437</v>
      </c>
      <c r="V947" s="63" t="str">
        <f>IF(MONTH(Table22[[#This Row],[Sales Date]])&lt;=3,"Q1",IF(MONTH(Table22[[#This Row],[Sales Date]])&lt;=6,"Q2",IF(MONTH(Table22[[#This Row],[Sales Date]])&lt;=9,"Q3","Q4")))</f>
        <v>Q2</v>
      </c>
      <c r="W947" s="64">
        <f>YEAR(Table22[[#This Row],[Sales Date]])</f>
        <v>2024</v>
      </c>
      <c r="X947" s="23">
        <v>36</v>
      </c>
      <c r="Y947" s="18" t="s">
        <v>23</v>
      </c>
      <c r="Z947" s="18" t="s">
        <v>30</v>
      </c>
      <c r="AA947" s="19" t="s">
        <v>36</v>
      </c>
    </row>
    <row r="948" spans="1:27" x14ac:dyDescent="0.25">
      <c r="A948" s="17" t="s">
        <v>105</v>
      </c>
      <c r="B948" s="18" t="s">
        <v>66</v>
      </c>
      <c r="C948" s="63" t="str" cm="1">
        <f t="array" ref="C948">_xlfn.SWITCH(Table22[[#This Row],[Country]],"USA","North America","Canada","North America","Brazil","South America","China","Asia","Japan","Asia","India","Asia","France","Europe","Germany","Europe","UK","Europe","Australia","Oceania","South America")</f>
        <v>North America</v>
      </c>
      <c r="D948" s="18" t="s">
        <v>35</v>
      </c>
      <c r="E948" s="18" t="s">
        <v>33</v>
      </c>
      <c r="F948" s="18" t="s">
        <v>47</v>
      </c>
      <c r="G948" s="18" t="s">
        <v>48</v>
      </c>
      <c r="H948" s="64">
        <f>LEN(TRIM(Table22[[#This Row],[Country]]))</f>
        <v>6</v>
      </c>
      <c r="I948" s="64">
        <f>LEN(TRIM(Table22[[#This Row],[Continent]]))</f>
        <v>13</v>
      </c>
      <c r="J948" s="64">
        <f>LEN(TRIM(Table22[[#This Row],[Product]]))</f>
        <v>10</v>
      </c>
      <c r="K948" s="64">
        <f>LEN(TRIM(Table22[[#This Row],[Sales Team]]))</f>
        <v>9</v>
      </c>
      <c r="L948" s="23">
        <v>28</v>
      </c>
      <c r="M948" s="65" t="str" cm="1">
        <f t="array" ref="M948">_xlfn.IFS(Table22[[#This Row],[Units Sold]]&lt;40,"Critical",Table22[[#This Row],[Units Sold]]&lt;=50,"Poor",Table22[[#This Row],[Units Sold]]&lt;=60,"Low",Table22[[#This Row],[Units Sold]]&lt;=80,"Average",Table22[[#This Row],[Units Sold]]&lt;=90,"High",Table22[[#This Row],[Units Sold]]&lt;=95,"Excellent",Table22[[#This Row],[Units Sold]]&gt;95,"Outstanding")</f>
        <v>Critical</v>
      </c>
      <c r="N948" s="29">
        <v>1175.9100000000001</v>
      </c>
      <c r="O948" s="29">
        <v>32925.480000000003</v>
      </c>
      <c r="P948" s="43">
        <f>IF(Table22[[#This Row],[Discount Applied]],Table22[[#This Row],[Total Sales (in USD)]]*(1-Table22[[#This Row],[Discount Percentage (%)]]/100),Table22[[#This Row],[Total Sales (in USD)]])</f>
        <v>32925.480000000003</v>
      </c>
      <c r="Q948" s="66">
        <f>SQRT(AVERAGE((Table22[[#This Row],[Net Sales (after discount) (in USD)]]-AVERAGE(Table22[Net Sales (after discount) (in USD)]))^2))</f>
        <v>3585.8805637645346</v>
      </c>
      <c r="R948" s="18" t="b">
        <v>1</v>
      </c>
      <c r="S948" s="40">
        <v>17.5</v>
      </c>
      <c r="T948" s="18" t="b">
        <v>0</v>
      </c>
      <c r="U948" s="25">
        <v>45557</v>
      </c>
      <c r="V948" s="63" t="str">
        <f>IF(MONTH(Table22[[#This Row],[Sales Date]])&lt;=3,"Q1",IF(MONTH(Table22[[#This Row],[Sales Date]])&lt;=6,"Q2",IF(MONTH(Table22[[#This Row],[Sales Date]])&lt;=9,"Q3","Q4")))</f>
        <v>Q3</v>
      </c>
      <c r="W948" s="64">
        <f>YEAR(Table22[[#This Row],[Sales Date]])</f>
        <v>2024</v>
      </c>
      <c r="X948" s="23">
        <v>24</v>
      </c>
      <c r="Y948" s="18" t="s">
        <v>41</v>
      </c>
      <c r="Z948" s="18" t="s">
        <v>42</v>
      </c>
      <c r="AA948" s="19" t="s">
        <v>25</v>
      </c>
    </row>
    <row r="949" spans="1:27" x14ac:dyDescent="0.25">
      <c r="A949" s="17" t="s">
        <v>529</v>
      </c>
      <c r="B949" s="18" t="s">
        <v>76</v>
      </c>
      <c r="C949" s="63" t="str" cm="1">
        <f t="array" ref="C949">_xlfn.SWITCH(Table22[[#This Row],[Country]],"USA","North America","Canada","North America","Brazil","South America","China","Asia","Japan","Asia","India","Asia","France","Europe","Germany","Europe","UK","Europe","Australia","Oceania","South America")</f>
        <v>Asia</v>
      </c>
      <c r="D949" s="18" t="s">
        <v>35</v>
      </c>
      <c r="E949" s="18" t="s">
        <v>19</v>
      </c>
      <c r="F949" s="18" t="s">
        <v>47</v>
      </c>
      <c r="G949" s="18" t="s">
        <v>48</v>
      </c>
      <c r="H949" s="64">
        <f>LEN(TRIM(Table22[[#This Row],[Country]]))</f>
        <v>5</v>
      </c>
      <c r="I949" s="64">
        <f>LEN(TRIM(Table22[[#This Row],[Continent]]))</f>
        <v>4</v>
      </c>
      <c r="J949" s="64">
        <f>LEN(TRIM(Table22[[#This Row],[Product]]))</f>
        <v>6</v>
      </c>
      <c r="K949" s="64">
        <f>LEN(TRIM(Table22[[#This Row],[Sales Team]]))</f>
        <v>9</v>
      </c>
      <c r="L949" s="23">
        <v>26</v>
      </c>
      <c r="M949" s="65" t="str" cm="1">
        <f t="array" ref="M949">_xlfn.IFS(Table22[[#This Row],[Units Sold]]&lt;40,"Critical",Table22[[#This Row],[Units Sold]]&lt;=50,"Poor",Table22[[#This Row],[Units Sold]]&lt;=60,"Low",Table22[[#This Row],[Units Sold]]&lt;=80,"Average",Table22[[#This Row],[Units Sold]]&lt;=90,"High",Table22[[#This Row],[Units Sold]]&lt;=95,"Excellent",Table22[[#This Row],[Units Sold]]&gt;95,"Outstanding")</f>
        <v>Critical</v>
      </c>
      <c r="N949" s="29">
        <v>1262.76</v>
      </c>
      <c r="O949" s="29">
        <v>32831.760000000002</v>
      </c>
      <c r="P949" s="43">
        <f>IF(Table22[[#This Row],[Discount Applied]],Table22[[#This Row],[Total Sales (in USD)]]*(1-Table22[[#This Row],[Discount Percentage (%)]]/100),Table22[[#This Row],[Total Sales (in USD)]])</f>
        <v>32628.203088000002</v>
      </c>
      <c r="Q949" s="66">
        <f>SQRT(AVERAGE((Table22[[#This Row],[Net Sales (after discount) (in USD)]]-AVERAGE(Table22[Net Sales (after discount) (in USD)]))^2))</f>
        <v>3883.1574757645358</v>
      </c>
      <c r="R949" s="18" t="b">
        <v>0</v>
      </c>
      <c r="S949" s="40">
        <v>0.62</v>
      </c>
      <c r="T949" s="18" t="b">
        <v>1</v>
      </c>
      <c r="U949" s="25">
        <v>45081</v>
      </c>
      <c r="V949" s="63" t="str">
        <f>IF(MONTH(Table22[[#This Row],[Sales Date]])&lt;=3,"Q1",IF(MONTH(Table22[[#This Row],[Sales Date]])&lt;=6,"Q2",IF(MONTH(Table22[[#This Row],[Sales Date]])&lt;=9,"Q3","Q4")))</f>
        <v>Q2</v>
      </c>
      <c r="W949" s="64">
        <f>YEAR(Table22[[#This Row],[Sales Date]])</f>
        <v>2023</v>
      </c>
      <c r="X949" s="23">
        <v>18</v>
      </c>
      <c r="Y949" s="18" t="s">
        <v>49</v>
      </c>
      <c r="Z949" s="18" t="s">
        <v>42</v>
      </c>
      <c r="AA949" s="19" t="s">
        <v>25</v>
      </c>
    </row>
    <row r="950" spans="1:27" x14ac:dyDescent="0.25">
      <c r="A950" s="17" t="s">
        <v>1781</v>
      </c>
      <c r="B950" s="18" t="s">
        <v>62</v>
      </c>
      <c r="C950" s="63" t="str" cm="1">
        <f t="array" ref="C950">_xlfn.SWITCH(Table22[[#This Row],[Country]],"USA","North America","Canada","North America","Brazil","South America","China","Asia","Japan","Asia","India","Asia","France","Europe","Germany","Europe","UK","Europe","Australia","Oceania","South America")</f>
        <v>Oceania</v>
      </c>
      <c r="D950" s="18" t="s">
        <v>28</v>
      </c>
      <c r="E950" s="18" t="s">
        <v>19</v>
      </c>
      <c r="F950" s="18" t="s">
        <v>34</v>
      </c>
      <c r="G950" s="18" t="s">
        <v>29</v>
      </c>
      <c r="H950" s="64">
        <f>LEN(TRIM(Table22[[#This Row],[Country]]))</f>
        <v>9</v>
      </c>
      <c r="I950" s="64">
        <f>LEN(TRIM(Table22[[#This Row],[Continent]]))</f>
        <v>7</v>
      </c>
      <c r="J950" s="64">
        <f>LEN(TRIM(Table22[[#This Row],[Product]]))</f>
        <v>6</v>
      </c>
      <c r="K950" s="64">
        <f>LEN(TRIM(Table22[[#This Row],[Sales Team]]))</f>
        <v>10</v>
      </c>
      <c r="L950" s="23">
        <v>50</v>
      </c>
      <c r="M950" s="65" t="str" cm="1">
        <f t="array" ref="M950">_xlfn.IFS(Table22[[#This Row],[Units Sold]]&lt;40,"Critical",Table22[[#This Row],[Units Sold]]&lt;=50,"Poor",Table22[[#This Row],[Units Sold]]&lt;=60,"Low",Table22[[#This Row],[Units Sold]]&lt;=80,"Average",Table22[[#This Row],[Units Sold]]&lt;=90,"High",Table22[[#This Row],[Units Sold]]&lt;=95,"Excellent",Table22[[#This Row],[Units Sold]]&gt;95,"Outstanding")</f>
        <v>Poor</v>
      </c>
      <c r="N950" s="29">
        <v>653.77</v>
      </c>
      <c r="O950" s="29">
        <v>32688.5</v>
      </c>
      <c r="P950" s="43">
        <f>IF(Table22[[#This Row],[Discount Applied]],Table22[[#This Row],[Total Sales (in USD)]]*(1-Table22[[#This Row],[Discount Percentage (%)]]/100),Table22[[#This Row],[Total Sales (in USD)]])</f>
        <v>32688.5</v>
      </c>
      <c r="Q950" s="66">
        <f>SQRT(AVERAGE((Table22[[#This Row],[Net Sales (after discount) (in USD)]]-AVERAGE(Table22[Net Sales (after discount) (in USD)]))^2))</f>
        <v>3822.8605637645378</v>
      </c>
      <c r="R950" s="18" t="b">
        <v>0</v>
      </c>
      <c r="S950" s="40">
        <v>18.55</v>
      </c>
      <c r="T950" s="18" t="b">
        <v>0</v>
      </c>
      <c r="U950" s="25">
        <v>45389</v>
      </c>
      <c r="V950" s="63" t="str">
        <f>IF(MONTH(Table22[[#This Row],[Sales Date]])&lt;=3,"Q1",IF(MONTH(Table22[[#This Row],[Sales Date]])&lt;=6,"Q2",IF(MONTH(Table22[[#This Row],[Sales Date]])&lt;=9,"Q3","Q4")))</f>
        <v>Q2</v>
      </c>
      <c r="W950" s="64">
        <f>YEAR(Table22[[#This Row],[Sales Date]])</f>
        <v>2024</v>
      </c>
      <c r="X950" s="23">
        <v>27</v>
      </c>
      <c r="Y950" s="18" t="s">
        <v>41</v>
      </c>
      <c r="Z950" s="18" t="s">
        <v>24</v>
      </c>
      <c r="AA950" s="19" t="s">
        <v>36</v>
      </c>
    </row>
    <row r="951" spans="1:27" x14ac:dyDescent="0.25">
      <c r="A951" s="17" t="s">
        <v>1203</v>
      </c>
      <c r="B951" s="18" t="s">
        <v>46</v>
      </c>
      <c r="C951" s="63" t="str" cm="1">
        <f t="array" ref="C951">_xlfn.SWITCH(Table22[[#This Row],[Country]],"USA","North America","Canada","North America","Brazil","South America","China","Asia","Japan","Asia","India","Asia","France","Europe","Germany","Europe","UK","Europe","Australia","Oceania","South America")</f>
        <v>South America</v>
      </c>
      <c r="D951" s="18" t="s">
        <v>28</v>
      </c>
      <c r="E951" s="18" t="s">
        <v>19</v>
      </c>
      <c r="F951" s="18" t="s">
        <v>64</v>
      </c>
      <c r="G951" s="18" t="s">
        <v>40</v>
      </c>
      <c r="H951" s="64">
        <f>LEN(TRIM(Table22[[#This Row],[Country]]))</f>
        <v>6</v>
      </c>
      <c r="I951" s="64">
        <f>LEN(TRIM(Table22[[#This Row],[Continent]]))</f>
        <v>13</v>
      </c>
      <c r="J951" s="64">
        <f>LEN(TRIM(Table22[[#This Row],[Product]]))</f>
        <v>6</v>
      </c>
      <c r="K951" s="64">
        <f>LEN(TRIM(Table22[[#This Row],[Sales Team]]))</f>
        <v>10</v>
      </c>
      <c r="L951" s="23">
        <v>49</v>
      </c>
      <c r="M951" s="65" t="str" cm="1">
        <f t="array" ref="M951">_xlfn.IFS(Table22[[#This Row],[Units Sold]]&lt;40,"Critical",Table22[[#This Row],[Units Sold]]&lt;=50,"Poor",Table22[[#This Row],[Units Sold]]&lt;=60,"Low",Table22[[#This Row],[Units Sold]]&lt;=80,"Average",Table22[[#This Row],[Units Sold]]&lt;=90,"High",Table22[[#This Row],[Units Sold]]&lt;=95,"Excellent",Table22[[#This Row],[Units Sold]]&gt;95,"Outstanding")</f>
        <v>Poor</v>
      </c>
      <c r="N951" s="29">
        <v>667.07</v>
      </c>
      <c r="O951" s="29">
        <v>32686.43</v>
      </c>
      <c r="P951" s="43">
        <f>IF(Table22[[#This Row],[Discount Applied]],Table22[[#This Row],[Total Sales (in USD)]]*(1-Table22[[#This Row],[Discount Percentage (%)]]/100),Table22[[#This Row],[Total Sales (in USD)]])</f>
        <v>25727.489053000001</v>
      </c>
      <c r="Q951" s="66">
        <f>SQRT(AVERAGE((Table22[[#This Row],[Net Sales (after discount) (in USD)]]-AVERAGE(Table22[Net Sales (after discount) (in USD)]))^2))</f>
        <v>10783.871510764537</v>
      </c>
      <c r="R951" s="18" t="b">
        <v>0</v>
      </c>
      <c r="S951" s="40">
        <v>21.29</v>
      </c>
      <c r="T951" s="18" t="b">
        <v>1</v>
      </c>
      <c r="U951" s="25">
        <v>44936</v>
      </c>
      <c r="V951" s="63" t="str">
        <f>IF(MONTH(Table22[[#This Row],[Sales Date]])&lt;=3,"Q1",IF(MONTH(Table22[[#This Row],[Sales Date]])&lt;=6,"Q2",IF(MONTH(Table22[[#This Row],[Sales Date]])&lt;=9,"Q3","Q4")))</f>
        <v>Q1</v>
      </c>
      <c r="W951" s="64">
        <f>YEAR(Table22[[#This Row],[Sales Date]])</f>
        <v>2023</v>
      </c>
      <c r="X951" s="23">
        <v>26</v>
      </c>
      <c r="Y951" s="18" t="s">
        <v>41</v>
      </c>
      <c r="Z951" s="18" t="s">
        <v>56</v>
      </c>
      <c r="AA951" s="19" t="s">
        <v>25</v>
      </c>
    </row>
    <row r="952" spans="1:27" x14ac:dyDescent="0.25">
      <c r="A952" s="17" t="s">
        <v>811</v>
      </c>
      <c r="B952" s="18" t="s">
        <v>46</v>
      </c>
      <c r="C952" s="63" t="str" cm="1">
        <f t="array" ref="C952">_xlfn.SWITCH(Table22[[#This Row],[Country]],"USA","North America","Canada","North America","Brazil","South America","China","Asia","Japan","Asia","India","Asia","France","Europe","Germany","Europe","UK","Europe","Australia","Oceania","South America")</f>
        <v>South America</v>
      </c>
      <c r="D952" s="18" t="s">
        <v>35</v>
      </c>
      <c r="E952" s="18" t="s">
        <v>33</v>
      </c>
      <c r="F952" s="18" t="s">
        <v>64</v>
      </c>
      <c r="G952" s="18" t="s">
        <v>22</v>
      </c>
      <c r="H952" s="64">
        <f>LEN(TRIM(Table22[[#This Row],[Country]]))</f>
        <v>6</v>
      </c>
      <c r="I952" s="64">
        <f>LEN(TRIM(Table22[[#This Row],[Continent]]))</f>
        <v>13</v>
      </c>
      <c r="J952" s="64">
        <f>LEN(TRIM(Table22[[#This Row],[Product]]))</f>
        <v>10</v>
      </c>
      <c r="K952" s="64">
        <f>LEN(TRIM(Table22[[#This Row],[Sales Team]]))</f>
        <v>10</v>
      </c>
      <c r="L952" s="23">
        <v>62</v>
      </c>
      <c r="M952" s="65" t="str" cm="1">
        <f t="array" ref="M952">_xlfn.IFS(Table22[[#This Row],[Units Sold]]&lt;40,"Critical",Table22[[#This Row],[Units Sold]]&lt;=50,"Poor",Table22[[#This Row],[Units Sold]]&lt;=60,"Low",Table22[[#This Row],[Units Sold]]&lt;=80,"Average",Table22[[#This Row],[Units Sold]]&lt;=90,"High",Table22[[#This Row],[Units Sold]]&lt;=95,"Excellent",Table22[[#This Row],[Units Sold]]&gt;95,"Outstanding")</f>
        <v>Average</v>
      </c>
      <c r="N952" s="29">
        <v>526.76</v>
      </c>
      <c r="O952" s="29">
        <v>32659.119999999999</v>
      </c>
      <c r="P952" s="43">
        <f>IF(Table22[[#This Row],[Discount Applied]],Table22[[#This Row],[Total Sales (in USD)]]*(1-Table22[[#This Row],[Discount Percentage (%)]]/100),Table22[[#This Row],[Total Sales (in USD)]])</f>
        <v>32659.119999999999</v>
      </c>
      <c r="Q952" s="66">
        <f>SQRT(AVERAGE((Table22[[#This Row],[Net Sales (after discount) (in USD)]]-AVERAGE(Table22[Net Sales (after discount) (in USD)]))^2))</f>
        <v>3852.2405637645388</v>
      </c>
      <c r="R952" s="18" t="b">
        <v>0</v>
      </c>
      <c r="S952" s="40">
        <v>18.149999999999999</v>
      </c>
      <c r="T952" s="18" t="b">
        <v>0</v>
      </c>
      <c r="U952" s="25">
        <v>44966</v>
      </c>
      <c r="V952" s="63" t="str">
        <f>IF(MONTH(Table22[[#This Row],[Sales Date]])&lt;=3,"Q1",IF(MONTH(Table22[[#This Row],[Sales Date]])&lt;=6,"Q2",IF(MONTH(Table22[[#This Row],[Sales Date]])&lt;=9,"Q3","Q4")))</f>
        <v>Q1</v>
      </c>
      <c r="W952" s="64">
        <f>YEAR(Table22[[#This Row],[Sales Date]])</f>
        <v>2023</v>
      </c>
      <c r="X952" s="23">
        <v>57</v>
      </c>
      <c r="Y952" s="18" t="s">
        <v>41</v>
      </c>
      <c r="Z952" s="18" t="s">
        <v>42</v>
      </c>
      <c r="AA952" s="19" t="s">
        <v>25</v>
      </c>
    </row>
    <row r="953" spans="1:27" x14ac:dyDescent="0.25">
      <c r="A953" s="17" t="s">
        <v>133</v>
      </c>
      <c r="B953" s="18" t="s">
        <v>76</v>
      </c>
      <c r="C953" s="63" t="str" cm="1">
        <f t="array" ref="C953">_xlfn.SWITCH(Table22[[#This Row],[Country]],"USA","North America","Canada","North America","Brazil","South America","China","Asia","Japan","Asia","India","Asia","France","Europe","Germany","Europe","UK","Europe","Australia","Oceania","South America")</f>
        <v>Asia</v>
      </c>
      <c r="D953" s="18" t="s">
        <v>28</v>
      </c>
      <c r="E953" s="18" t="s">
        <v>19</v>
      </c>
      <c r="F953" s="18" t="s">
        <v>47</v>
      </c>
      <c r="G953" s="18" t="s">
        <v>22</v>
      </c>
      <c r="H953" s="64">
        <f>LEN(TRIM(Table22[[#This Row],[Country]]))</f>
        <v>5</v>
      </c>
      <c r="I953" s="64">
        <f>LEN(TRIM(Table22[[#This Row],[Continent]]))</f>
        <v>4</v>
      </c>
      <c r="J953" s="64">
        <f>LEN(TRIM(Table22[[#This Row],[Product]]))</f>
        <v>6</v>
      </c>
      <c r="K953" s="64">
        <f>LEN(TRIM(Table22[[#This Row],[Sales Team]]))</f>
        <v>10</v>
      </c>
      <c r="L953" s="23">
        <v>50</v>
      </c>
      <c r="M953" s="65" t="str" cm="1">
        <f t="array" ref="M953">_xlfn.IFS(Table22[[#This Row],[Units Sold]]&lt;40,"Critical",Table22[[#This Row],[Units Sold]]&lt;=50,"Poor",Table22[[#This Row],[Units Sold]]&lt;=60,"Low",Table22[[#This Row],[Units Sold]]&lt;=80,"Average",Table22[[#This Row],[Units Sold]]&lt;=90,"High",Table22[[#This Row],[Units Sold]]&lt;=95,"Excellent",Table22[[#This Row],[Units Sold]]&gt;95,"Outstanding")</f>
        <v>Poor</v>
      </c>
      <c r="N953" s="29">
        <v>652.39</v>
      </c>
      <c r="O953" s="29">
        <v>32619.5</v>
      </c>
      <c r="P953" s="43">
        <f>IF(Table22[[#This Row],[Discount Applied]],Table22[[#This Row],[Total Sales (in USD)]]*(1-Table22[[#This Row],[Discount Percentage (%)]]/100),Table22[[#This Row],[Total Sales (in USD)]])</f>
        <v>26405.485250000002</v>
      </c>
      <c r="Q953" s="66">
        <f>SQRT(AVERAGE((Table22[[#This Row],[Net Sales (after discount) (in USD)]]-AVERAGE(Table22[Net Sales (after discount) (in USD)]))^2))</f>
        <v>10105.875313764536</v>
      </c>
      <c r="R953" s="18" t="b">
        <v>1</v>
      </c>
      <c r="S953" s="40">
        <v>19.05</v>
      </c>
      <c r="T953" s="18" t="b">
        <v>1</v>
      </c>
      <c r="U953" s="25">
        <v>45028</v>
      </c>
      <c r="V953" s="63" t="str">
        <f>IF(MONTH(Table22[[#This Row],[Sales Date]])&lt;=3,"Q1",IF(MONTH(Table22[[#This Row],[Sales Date]])&lt;=6,"Q2",IF(MONTH(Table22[[#This Row],[Sales Date]])&lt;=9,"Q3","Q4")))</f>
        <v>Q2</v>
      </c>
      <c r="W953" s="64">
        <f>YEAR(Table22[[#This Row],[Sales Date]])</f>
        <v>2023</v>
      </c>
      <c r="X953" s="23">
        <v>23</v>
      </c>
      <c r="Y953" s="18" t="s">
        <v>49</v>
      </c>
      <c r="Z953" s="18" t="s">
        <v>30</v>
      </c>
      <c r="AA953" s="19" t="s">
        <v>36</v>
      </c>
    </row>
    <row r="954" spans="1:27" x14ac:dyDescent="0.25">
      <c r="A954" s="17" t="s">
        <v>801</v>
      </c>
      <c r="B954" s="18" t="s">
        <v>38</v>
      </c>
      <c r="C954" s="63" t="str" cm="1">
        <f t="array" ref="C954">_xlfn.SWITCH(Table22[[#This Row],[Country]],"USA","North America","Canada","North America","Brazil","South America","China","Asia","Japan","Asia","India","Asia","France","Europe","Germany","Europe","UK","Europe","Australia","Oceania","South America")</f>
        <v>Europe</v>
      </c>
      <c r="D954" s="18" t="s">
        <v>21</v>
      </c>
      <c r="E954" s="18" t="s">
        <v>19</v>
      </c>
      <c r="F954" s="18" t="s">
        <v>64</v>
      </c>
      <c r="G954" s="18" t="s">
        <v>29</v>
      </c>
      <c r="H954" s="64">
        <f>LEN(TRIM(Table22[[#This Row],[Country]]))</f>
        <v>6</v>
      </c>
      <c r="I954" s="64">
        <f>LEN(TRIM(Table22[[#This Row],[Continent]]))</f>
        <v>6</v>
      </c>
      <c r="J954" s="64">
        <f>LEN(TRIM(Table22[[#This Row],[Product]]))</f>
        <v>6</v>
      </c>
      <c r="K954" s="64">
        <f>LEN(TRIM(Table22[[#This Row],[Sales Team]]))</f>
        <v>10</v>
      </c>
      <c r="L954" s="23">
        <v>43</v>
      </c>
      <c r="M954" s="65" t="str" cm="1">
        <f t="array" ref="M954">_xlfn.IFS(Table22[[#This Row],[Units Sold]]&lt;40,"Critical",Table22[[#This Row],[Units Sold]]&lt;=50,"Poor",Table22[[#This Row],[Units Sold]]&lt;=60,"Low",Table22[[#This Row],[Units Sold]]&lt;=80,"Average",Table22[[#This Row],[Units Sold]]&lt;=90,"High",Table22[[#This Row],[Units Sold]]&lt;=95,"Excellent",Table22[[#This Row],[Units Sold]]&gt;95,"Outstanding")</f>
        <v>Poor</v>
      </c>
      <c r="N954" s="29">
        <v>757.34</v>
      </c>
      <c r="O954" s="29">
        <v>32565.62</v>
      </c>
      <c r="P954" s="43">
        <f>IF(Table22[[#This Row],[Discount Applied]],Table22[[#This Row],[Total Sales (in USD)]]*(1-Table22[[#This Row],[Discount Percentage (%)]]/100),Table22[[#This Row],[Total Sales (in USD)]])</f>
        <v>26729.860895999998</v>
      </c>
      <c r="Q954" s="66">
        <f>SQRT(AVERAGE((Table22[[#This Row],[Net Sales (after discount) (in USD)]]-AVERAGE(Table22[Net Sales (after discount) (in USD)]))^2))</f>
        <v>9781.4996677645395</v>
      </c>
      <c r="R954" s="18" t="b">
        <v>1</v>
      </c>
      <c r="S954" s="40">
        <v>17.920000000000002</v>
      </c>
      <c r="T954" s="18" t="b">
        <v>1</v>
      </c>
      <c r="U954" s="25">
        <v>45476</v>
      </c>
      <c r="V954" s="63" t="str">
        <f>IF(MONTH(Table22[[#This Row],[Sales Date]])&lt;=3,"Q1",IF(MONTH(Table22[[#This Row],[Sales Date]])&lt;=6,"Q2",IF(MONTH(Table22[[#This Row],[Sales Date]])&lt;=9,"Q3","Q4")))</f>
        <v>Q3</v>
      </c>
      <c r="W954" s="64">
        <f>YEAR(Table22[[#This Row],[Sales Date]])</f>
        <v>2024</v>
      </c>
      <c r="X954" s="23">
        <v>47</v>
      </c>
      <c r="Y954" s="18" t="s">
        <v>23</v>
      </c>
      <c r="Z954" s="18" t="s">
        <v>30</v>
      </c>
      <c r="AA954" s="19" t="s">
        <v>36</v>
      </c>
    </row>
    <row r="955" spans="1:27" x14ac:dyDescent="0.25">
      <c r="A955" s="17" t="s">
        <v>1787</v>
      </c>
      <c r="B955" s="18" t="s">
        <v>18</v>
      </c>
      <c r="C955" s="63" t="str" cm="1">
        <f t="array" ref="C955">_xlfn.SWITCH(Table22[[#This Row],[Country]],"USA","North America","Canada","North America","Brazil","South America","China","Asia","Japan","Asia","India","Asia","France","Europe","Germany","Europe","UK","Europe","Australia","Oceania","South America")</f>
        <v>Asia</v>
      </c>
      <c r="D955" s="18" t="s">
        <v>28</v>
      </c>
      <c r="E955" s="18" t="s">
        <v>19</v>
      </c>
      <c r="F955" s="18" t="s">
        <v>34</v>
      </c>
      <c r="G955" s="18" t="s">
        <v>40</v>
      </c>
      <c r="H955" s="64">
        <f>LEN(TRIM(Table22[[#This Row],[Country]]))</f>
        <v>5</v>
      </c>
      <c r="I955" s="64">
        <f>LEN(TRIM(Table22[[#This Row],[Continent]]))</f>
        <v>4</v>
      </c>
      <c r="J955" s="64">
        <f>LEN(TRIM(Table22[[#This Row],[Product]]))</f>
        <v>6</v>
      </c>
      <c r="K955" s="64">
        <f>LEN(TRIM(Table22[[#This Row],[Sales Team]]))</f>
        <v>10</v>
      </c>
      <c r="L955" s="23">
        <v>65</v>
      </c>
      <c r="M955" s="65" t="str" cm="1">
        <f t="array" ref="M955">_xlfn.IFS(Table22[[#This Row],[Units Sold]]&lt;40,"Critical",Table22[[#This Row],[Units Sold]]&lt;=50,"Poor",Table22[[#This Row],[Units Sold]]&lt;=60,"Low",Table22[[#This Row],[Units Sold]]&lt;=80,"Average",Table22[[#This Row],[Units Sold]]&lt;=90,"High",Table22[[#This Row],[Units Sold]]&lt;=95,"Excellent",Table22[[#This Row],[Units Sold]]&gt;95,"Outstanding")</f>
        <v>Average</v>
      </c>
      <c r="N955" s="29">
        <v>499.47</v>
      </c>
      <c r="O955" s="29">
        <v>32465.55</v>
      </c>
      <c r="P955" s="43">
        <f>IF(Table22[[#This Row],[Discount Applied]],Table22[[#This Row],[Total Sales (in USD)]]*(1-Table22[[#This Row],[Discount Percentage (%)]]/100),Table22[[#This Row],[Total Sales (in USD)]])</f>
        <v>32465.55</v>
      </c>
      <c r="Q955" s="66">
        <f>SQRT(AVERAGE((Table22[[#This Row],[Net Sales (after discount) (in USD)]]-AVERAGE(Table22[Net Sales (after discount) (in USD)]))^2))</f>
        <v>4045.8105637645385</v>
      </c>
      <c r="R955" s="18" t="b">
        <v>0</v>
      </c>
      <c r="S955" s="40">
        <v>21.07</v>
      </c>
      <c r="T955" s="18" t="b">
        <v>0</v>
      </c>
      <c r="U955" s="25">
        <v>45429</v>
      </c>
      <c r="V955" s="63" t="str">
        <f>IF(MONTH(Table22[[#This Row],[Sales Date]])&lt;=3,"Q1",IF(MONTH(Table22[[#This Row],[Sales Date]])&lt;=6,"Q2",IF(MONTH(Table22[[#This Row],[Sales Date]])&lt;=9,"Q3","Q4")))</f>
        <v>Q2</v>
      </c>
      <c r="W955" s="64">
        <f>YEAR(Table22[[#This Row],[Sales Date]])</f>
        <v>2024</v>
      </c>
      <c r="X955" s="23">
        <v>32</v>
      </c>
      <c r="Y955" s="18" t="s">
        <v>23</v>
      </c>
      <c r="Z955" s="18" t="s">
        <v>24</v>
      </c>
      <c r="AA955" s="19" t="s">
        <v>36</v>
      </c>
    </row>
    <row r="956" spans="1:27" x14ac:dyDescent="0.25">
      <c r="A956" s="17" t="s">
        <v>998</v>
      </c>
      <c r="B956" s="18" t="s">
        <v>51</v>
      </c>
      <c r="C956" s="63" t="str" cm="1">
        <f t="array" ref="C956">_xlfn.SWITCH(Table22[[#This Row],[Country]],"USA","North America","Canada","North America","Brazil","South America","China","Asia","Japan","Asia","India","Asia","France","Europe","Germany","Europe","UK","Europe","Australia","Oceania","South America")</f>
        <v>Europe</v>
      </c>
      <c r="D956" s="18" t="s">
        <v>35</v>
      </c>
      <c r="E956" s="18" t="s">
        <v>39</v>
      </c>
      <c r="F956" s="18" t="s">
        <v>34</v>
      </c>
      <c r="G956" s="18" t="s">
        <v>29</v>
      </c>
      <c r="H956" s="64">
        <f>LEN(TRIM(Table22[[#This Row],[Country]]))</f>
        <v>2</v>
      </c>
      <c r="I956" s="64">
        <f>LEN(TRIM(Table22[[#This Row],[Continent]]))</f>
        <v>6</v>
      </c>
      <c r="J956" s="64">
        <f>LEN(TRIM(Table22[[#This Row],[Product]]))</f>
        <v>10</v>
      </c>
      <c r="K956" s="64">
        <f>LEN(TRIM(Table22[[#This Row],[Sales Team]]))</f>
        <v>10</v>
      </c>
      <c r="L956" s="23">
        <v>79</v>
      </c>
      <c r="M956" s="65" t="str" cm="1">
        <f t="array" ref="M956">_xlfn.IFS(Table22[[#This Row],[Units Sold]]&lt;40,"Critical",Table22[[#This Row],[Units Sold]]&lt;=50,"Poor",Table22[[#This Row],[Units Sold]]&lt;=60,"Low",Table22[[#This Row],[Units Sold]]&lt;=80,"Average",Table22[[#This Row],[Units Sold]]&lt;=90,"High",Table22[[#This Row],[Units Sold]]&lt;=95,"Excellent",Table22[[#This Row],[Units Sold]]&gt;95,"Outstanding")</f>
        <v>Average</v>
      </c>
      <c r="N956" s="29">
        <v>410.95</v>
      </c>
      <c r="O956" s="29">
        <v>32465.05</v>
      </c>
      <c r="P956" s="43">
        <f>IF(Table22[[#This Row],[Discount Applied]],Table22[[#This Row],[Total Sales (in USD)]]*(1-Table22[[#This Row],[Discount Percentage (%)]]/100),Table22[[#This Row],[Total Sales (in USD)]])</f>
        <v>29660.069679999997</v>
      </c>
      <c r="Q956" s="66">
        <f>SQRT(AVERAGE((Table22[[#This Row],[Net Sales (after discount) (in USD)]]-AVERAGE(Table22[Net Sales (after discount) (in USD)]))^2))</f>
        <v>6851.2908837645409</v>
      </c>
      <c r="R956" s="18" t="b">
        <v>1</v>
      </c>
      <c r="S956" s="40">
        <v>8.64</v>
      </c>
      <c r="T956" s="18" t="b">
        <v>1</v>
      </c>
      <c r="U956" s="25">
        <v>45401</v>
      </c>
      <c r="V956" s="63" t="str">
        <f>IF(MONTH(Table22[[#This Row],[Sales Date]])&lt;=3,"Q1",IF(MONTH(Table22[[#This Row],[Sales Date]])&lt;=6,"Q2",IF(MONTH(Table22[[#This Row],[Sales Date]])&lt;=9,"Q3","Q4")))</f>
        <v>Q2</v>
      </c>
      <c r="W956" s="64">
        <f>YEAR(Table22[[#This Row],[Sales Date]])</f>
        <v>2024</v>
      </c>
      <c r="X956" s="23">
        <v>51</v>
      </c>
      <c r="Y956" s="18" t="s">
        <v>41</v>
      </c>
      <c r="Z956" s="18" t="s">
        <v>56</v>
      </c>
      <c r="AA956" s="19" t="s">
        <v>25</v>
      </c>
    </row>
    <row r="957" spans="1:27" x14ac:dyDescent="0.25">
      <c r="A957" s="17" t="s">
        <v>891</v>
      </c>
      <c r="B957" s="18" t="s">
        <v>32</v>
      </c>
      <c r="C957" s="63" t="str" cm="1">
        <f t="array" ref="C957">_xlfn.SWITCH(Table22[[#This Row],[Country]],"USA","North America","Canada","North America","Brazil","South America","China","Asia","Japan","Asia","India","Asia","France","Europe","Germany","Europe","UK","Europe","Australia","Oceania","South America")</f>
        <v>Asia</v>
      </c>
      <c r="D957" s="18" t="s">
        <v>44</v>
      </c>
      <c r="E957" s="18" t="s">
        <v>39</v>
      </c>
      <c r="F957" s="18" t="s">
        <v>52</v>
      </c>
      <c r="G957" s="18" t="s">
        <v>22</v>
      </c>
      <c r="H957" s="64">
        <f>LEN(TRIM(Table22[[#This Row],[Country]]))</f>
        <v>5</v>
      </c>
      <c r="I957" s="64">
        <f>LEN(TRIM(Table22[[#This Row],[Continent]]))</f>
        <v>4</v>
      </c>
      <c r="J957" s="64">
        <f>LEN(TRIM(Table22[[#This Row],[Product]]))</f>
        <v>10</v>
      </c>
      <c r="K957" s="64">
        <f>LEN(TRIM(Table22[[#This Row],[Sales Team]]))</f>
        <v>10</v>
      </c>
      <c r="L957" s="23">
        <v>24</v>
      </c>
      <c r="M957" s="65" t="str" cm="1">
        <f t="array" ref="M957">_xlfn.IFS(Table22[[#This Row],[Units Sold]]&lt;40,"Critical",Table22[[#This Row],[Units Sold]]&lt;=50,"Poor",Table22[[#This Row],[Units Sold]]&lt;=60,"Low",Table22[[#This Row],[Units Sold]]&lt;=80,"Average",Table22[[#This Row],[Units Sold]]&lt;=90,"High",Table22[[#This Row],[Units Sold]]&lt;=95,"Excellent",Table22[[#This Row],[Units Sold]]&gt;95,"Outstanding")</f>
        <v>Critical</v>
      </c>
      <c r="N957" s="29">
        <v>1350.64</v>
      </c>
      <c r="O957" s="29">
        <v>32415.360000000001</v>
      </c>
      <c r="P957" s="43">
        <f>IF(Table22[[#This Row],[Discount Applied]],Table22[[#This Row],[Total Sales (in USD)]]*(1-Table22[[#This Row],[Discount Percentage (%)]]/100),Table22[[#This Row],[Total Sales (in USD)]])</f>
        <v>31423.449984000003</v>
      </c>
      <c r="Q957" s="66">
        <f>SQRT(AVERAGE((Table22[[#This Row],[Net Sales (after discount) (in USD)]]-AVERAGE(Table22[Net Sales (after discount) (in USD)]))^2))</f>
        <v>5087.9105797645352</v>
      </c>
      <c r="R957" s="18" t="b">
        <v>1</v>
      </c>
      <c r="S957" s="40">
        <v>3.06</v>
      </c>
      <c r="T957" s="18" t="b">
        <v>1</v>
      </c>
      <c r="U957" s="25">
        <v>45236</v>
      </c>
      <c r="V957" s="63" t="str">
        <f>IF(MONTH(Table22[[#This Row],[Sales Date]])&lt;=3,"Q1",IF(MONTH(Table22[[#This Row],[Sales Date]])&lt;=6,"Q2",IF(MONTH(Table22[[#This Row],[Sales Date]])&lt;=9,"Q3","Q4")))</f>
        <v>Q4</v>
      </c>
      <c r="W957" s="64">
        <f>YEAR(Table22[[#This Row],[Sales Date]])</f>
        <v>2023</v>
      </c>
      <c r="X957" s="23">
        <v>18</v>
      </c>
      <c r="Y957" s="18" t="s">
        <v>41</v>
      </c>
      <c r="Z957" s="18" t="s">
        <v>24</v>
      </c>
      <c r="AA957" s="19" t="s">
        <v>25</v>
      </c>
    </row>
    <row r="958" spans="1:27" x14ac:dyDescent="0.25">
      <c r="A958" s="17" t="s">
        <v>1279</v>
      </c>
      <c r="B958" s="18" t="s">
        <v>46</v>
      </c>
      <c r="C958" s="63" t="str" cm="1">
        <f t="array" ref="C958">_xlfn.SWITCH(Table22[[#This Row],[Country]],"USA","North America","Canada","North America","Brazil","South America","China","Asia","Japan","Asia","India","Asia","France","Europe","Germany","Europe","UK","Europe","Australia","Oceania","South America")</f>
        <v>South America</v>
      </c>
      <c r="D958" s="18" t="s">
        <v>44</v>
      </c>
      <c r="E958" s="18" t="s">
        <v>19</v>
      </c>
      <c r="F958" s="18" t="s">
        <v>20</v>
      </c>
      <c r="G958" s="18" t="s">
        <v>22</v>
      </c>
      <c r="H958" s="64">
        <f>LEN(TRIM(Table22[[#This Row],[Country]]))</f>
        <v>6</v>
      </c>
      <c r="I958" s="64">
        <f>LEN(TRIM(Table22[[#This Row],[Continent]]))</f>
        <v>13</v>
      </c>
      <c r="J958" s="64">
        <f>LEN(TRIM(Table22[[#This Row],[Product]]))</f>
        <v>6</v>
      </c>
      <c r="K958" s="64">
        <f>LEN(TRIM(Table22[[#This Row],[Sales Team]]))</f>
        <v>10</v>
      </c>
      <c r="L958" s="23">
        <v>32</v>
      </c>
      <c r="M958" s="65" t="str" cm="1">
        <f t="array" ref="M958">_xlfn.IFS(Table22[[#This Row],[Units Sold]]&lt;40,"Critical",Table22[[#This Row],[Units Sold]]&lt;=50,"Poor",Table22[[#This Row],[Units Sold]]&lt;=60,"Low",Table22[[#This Row],[Units Sold]]&lt;=80,"Average",Table22[[#This Row],[Units Sold]]&lt;=90,"High",Table22[[#This Row],[Units Sold]]&lt;=95,"Excellent",Table22[[#This Row],[Units Sold]]&gt;95,"Outstanding")</f>
        <v>Critical</v>
      </c>
      <c r="N958" s="29">
        <v>1012.51</v>
      </c>
      <c r="O958" s="29">
        <v>32400.32</v>
      </c>
      <c r="P958" s="43">
        <f>IF(Table22[[#This Row],[Discount Applied]],Table22[[#This Row],[Total Sales (in USD)]]*(1-Table22[[#This Row],[Discount Percentage (%)]]/100),Table22[[#This Row],[Total Sales (in USD)]])</f>
        <v>32400.32</v>
      </c>
      <c r="Q958" s="66">
        <f>SQRT(AVERAGE((Table22[[#This Row],[Net Sales (after discount) (in USD)]]-AVERAGE(Table22[Net Sales (after discount) (in USD)]))^2))</f>
        <v>4111.0405637645381</v>
      </c>
      <c r="R958" s="18" t="b">
        <v>1</v>
      </c>
      <c r="S958" s="40">
        <v>0.39</v>
      </c>
      <c r="T958" s="18" t="b">
        <v>0</v>
      </c>
      <c r="U958" s="25">
        <v>45010</v>
      </c>
      <c r="V958" s="63" t="str">
        <f>IF(MONTH(Table22[[#This Row],[Sales Date]])&lt;=3,"Q1",IF(MONTH(Table22[[#This Row],[Sales Date]])&lt;=6,"Q2",IF(MONTH(Table22[[#This Row],[Sales Date]])&lt;=9,"Q3","Q4")))</f>
        <v>Q1</v>
      </c>
      <c r="W958" s="64">
        <f>YEAR(Table22[[#This Row],[Sales Date]])</f>
        <v>2023</v>
      </c>
      <c r="X958" s="23">
        <v>28</v>
      </c>
      <c r="Y958" s="18" t="s">
        <v>49</v>
      </c>
      <c r="Z958" s="18" t="s">
        <v>30</v>
      </c>
      <c r="AA958" s="19" t="s">
        <v>25</v>
      </c>
    </row>
    <row r="959" spans="1:27" x14ac:dyDescent="0.25">
      <c r="A959" s="17" t="s">
        <v>1177</v>
      </c>
      <c r="B959" s="18" t="s">
        <v>32</v>
      </c>
      <c r="C959" s="63" t="str" cm="1">
        <f t="array" ref="C959">_xlfn.SWITCH(Table22[[#This Row],[Country]],"USA","North America","Canada","North America","Brazil","South America","China","Asia","Japan","Asia","India","Asia","France","Europe","Germany","Europe","UK","Europe","Australia","Oceania","South America")</f>
        <v>Asia</v>
      </c>
      <c r="D959" s="18" t="s">
        <v>35</v>
      </c>
      <c r="E959" s="18" t="s">
        <v>33</v>
      </c>
      <c r="F959" s="18" t="s">
        <v>34</v>
      </c>
      <c r="G959" s="18" t="s">
        <v>40</v>
      </c>
      <c r="H959" s="64">
        <f>LEN(TRIM(Table22[[#This Row],[Country]]))</f>
        <v>5</v>
      </c>
      <c r="I959" s="64">
        <f>LEN(TRIM(Table22[[#This Row],[Continent]]))</f>
        <v>4</v>
      </c>
      <c r="J959" s="64">
        <f>LEN(TRIM(Table22[[#This Row],[Product]]))</f>
        <v>10</v>
      </c>
      <c r="K959" s="64">
        <f>LEN(TRIM(Table22[[#This Row],[Sales Team]]))</f>
        <v>10</v>
      </c>
      <c r="L959" s="23">
        <v>64</v>
      </c>
      <c r="M959" s="65" t="str" cm="1">
        <f t="array" ref="M959">_xlfn.IFS(Table22[[#This Row],[Units Sold]]&lt;40,"Critical",Table22[[#This Row],[Units Sold]]&lt;=50,"Poor",Table22[[#This Row],[Units Sold]]&lt;=60,"Low",Table22[[#This Row],[Units Sold]]&lt;=80,"Average",Table22[[#This Row],[Units Sold]]&lt;=90,"High",Table22[[#This Row],[Units Sold]]&lt;=95,"Excellent",Table22[[#This Row],[Units Sold]]&gt;95,"Outstanding")</f>
        <v>Average</v>
      </c>
      <c r="N959" s="29">
        <v>505.86</v>
      </c>
      <c r="O959" s="29">
        <v>32375.040000000001</v>
      </c>
      <c r="P959" s="43">
        <f>IF(Table22[[#This Row],[Discount Applied]],Table22[[#This Row],[Total Sales (in USD)]]*(1-Table22[[#This Row],[Discount Percentage (%)]]/100),Table22[[#This Row],[Total Sales (in USD)]])</f>
        <v>32375.040000000001</v>
      </c>
      <c r="Q959" s="66">
        <f>SQRT(AVERAGE((Table22[[#This Row],[Net Sales (after discount) (in USD)]]-AVERAGE(Table22[Net Sales (after discount) (in USD)]))^2))</f>
        <v>4136.3205637645369</v>
      </c>
      <c r="R959" s="18" t="b">
        <v>0</v>
      </c>
      <c r="S959" s="40">
        <v>25.2</v>
      </c>
      <c r="T959" s="18" t="b">
        <v>0</v>
      </c>
      <c r="U959" s="25">
        <v>45104</v>
      </c>
      <c r="V959" s="63" t="str">
        <f>IF(MONTH(Table22[[#This Row],[Sales Date]])&lt;=3,"Q1",IF(MONTH(Table22[[#This Row],[Sales Date]])&lt;=6,"Q2",IF(MONTH(Table22[[#This Row],[Sales Date]])&lt;=9,"Q3","Q4")))</f>
        <v>Q2</v>
      </c>
      <c r="W959" s="64">
        <f>YEAR(Table22[[#This Row],[Sales Date]])</f>
        <v>2023</v>
      </c>
      <c r="X959" s="23">
        <v>39</v>
      </c>
      <c r="Y959" s="18" t="s">
        <v>23</v>
      </c>
      <c r="Z959" s="18" t="s">
        <v>24</v>
      </c>
      <c r="AA959" s="19" t="s">
        <v>36</v>
      </c>
    </row>
    <row r="960" spans="1:27" x14ac:dyDescent="0.25">
      <c r="A960" s="17" t="s">
        <v>101</v>
      </c>
      <c r="B960" s="18" t="s">
        <v>32</v>
      </c>
      <c r="C960" s="63" t="str" cm="1">
        <f t="array" ref="C960">_xlfn.SWITCH(Table22[[#This Row],[Country]],"USA","North America","Canada","North America","Brazil","South America","China","Asia","Japan","Asia","India","Asia","France","Europe","Germany","Europe","UK","Europe","Australia","Oceania","South America")</f>
        <v>Asia</v>
      </c>
      <c r="D960" s="18" t="s">
        <v>44</v>
      </c>
      <c r="E960" s="18" t="s">
        <v>19</v>
      </c>
      <c r="F960" s="18" t="s">
        <v>20</v>
      </c>
      <c r="G960" s="18" t="s">
        <v>48</v>
      </c>
      <c r="H960" s="64">
        <f>LEN(TRIM(Table22[[#This Row],[Country]]))</f>
        <v>5</v>
      </c>
      <c r="I960" s="64">
        <f>LEN(TRIM(Table22[[#This Row],[Continent]]))</f>
        <v>4</v>
      </c>
      <c r="J960" s="64">
        <f>LEN(TRIM(Table22[[#This Row],[Product]]))</f>
        <v>6</v>
      </c>
      <c r="K960" s="64">
        <f>LEN(TRIM(Table22[[#This Row],[Sales Team]]))</f>
        <v>9</v>
      </c>
      <c r="L960" s="23">
        <v>48</v>
      </c>
      <c r="M960" s="65" t="str" cm="1">
        <f t="array" ref="M960">_xlfn.IFS(Table22[[#This Row],[Units Sold]]&lt;40,"Critical",Table22[[#This Row],[Units Sold]]&lt;=50,"Poor",Table22[[#This Row],[Units Sold]]&lt;=60,"Low",Table22[[#This Row],[Units Sold]]&lt;=80,"Average",Table22[[#This Row],[Units Sold]]&lt;=90,"High",Table22[[#This Row],[Units Sold]]&lt;=95,"Excellent",Table22[[#This Row],[Units Sold]]&gt;95,"Outstanding")</f>
        <v>Poor</v>
      </c>
      <c r="N960" s="29">
        <v>673.58</v>
      </c>
      <c r="O960" s="29">
        <v>32331.84</v>
      </c>
      <c r="P960" s="43">
        <f>IF(Table22[[#This Row],[Discount Applied]],Table22[[#This Row],[Total Sales (in USD)]]*(1-Table22[[#This Row],[Discount Percentage (%)]]/100),Table22[[#This Row],[Total Sales (in USD)]])</f>
        <v>30682.916159999997</v>
      </c>
      <c r="Q960" s="66">
        <f>SQRT(AVERAGE((Table22[[#This Row],[Net Sales (after discount) (in USD)]]-AVERAGE(Table22[Net Sales (after discount) (in USD)]))^2))</f>
        <v>5828.4444037645408</v>
      </c>
      <c r="R960" s="18" t="b">
        <v>1</v>
      </c>
      <c r="S960" s="40">
        <v>5.0999999999999996</v>
      </c>
      <c r="T960" s="18" t="b">
        <v>1</v>
      </c>
      <c r="U960" s="25">
        <v>45075</v>
      </c>
      <c r="V960" s="63" t="str">
        <f>IF(MONTH(Table22[[#This Row],[Sales Date]])&lt;=3,"Q1",IF(MONTH(Table22[[#This Row],[Sales Date]])&lt;=6,"Q2",IF(MONTH(Table22[[#This Row],[Sales Date]])&lt;=9,"Q3","Q4")))</f>
        <v>Q2</v>
      </c>
      <c r="W960" s="64">
        <f>YEAR(Table22[[#This Row],[Sales Date]])</f>
        <v>2023</v>
      </c>
      <c r="X960" s="23">
        <v>54</v>
      </c>
      <c r="Y960" s="18" t="s">
        <v>49</v>
      </c>
      <c r="Z960" s="18" t="s">
        <v>30</v>
      </c>
      <c r="AA960" s="19" t="s">
        <v>36</v>
      </c>
    </row>
    <row r="961" spans="1:27" x14ac:dyDescent="0.25">
      <c r="A961" s="17" t="s">
        <v>1196</v>
      </c>
      <c r="B961" s="18" t="s">
        <v>51</v>
      </c>
      <c r="C961" s="63" t="str" cm="1">
        <f t="array" ref="C961">_xlfn.SWITCH(Table22[[#This Row],[Country]],"USA","North America","Canada","North America","Brazil","South America","China","Asia","Japan","Asia","India","Asia","France","Europe","Germany","Europe","UK","Europe","Australia","Oceania","South America")</f>
        <v>Europe</v>
      </c>
      <c r="D961" s="18" t="s">
        <v>44</v>
      </c>
      <c r="E961" s="18" t="s">
        <v>19</v>
      </c>
      <c r="F961" s="18" t="s">
        <v>47</v>
      </c>
      <c r="G961" s="18" t="s">
        <v>40</v>
      </c>
      <c r="H961" s="64">
        <f>LEN(TRIM(Table22[[#This Row],[Country]]))</f>
        <v>2</v>
      </c>
      <c r="I961" s="64">
        <f>LEN(TRIM(Table22[[#This Row],[Continent]]))</f>
        <v>6</v>
      </c>
      <c r="J961" s="64">
        <f>LEN(TRIM(Table22[[#This Row],[Product]]))</f>
        <v>6</v>
      </c>
      <c r="K961" s="64">
        <f>LEN(TRIM(Table22[[#This Row],[Sales Team]]))</f>
        <v>10</v>
      </c>
      <c r="L961" s="23">
        <v>33</v>
      </c>
      <c r="M961" s="65" t="str" cm="1">
        <f t="array" ref="M961">_xlfn.IFS(Table22[[#This Row],[Units Sold]]&lt;40,"Critical",Table22[[#This Row],[Units Sold]]&lt;=50,"Poor",Table22[[#This Row],[Units Sold]]&lt;=60,"Low",Table22[[#This Row],[Units Sold]]&lt;=80,"Average",Table22[[#This Row],[Units Sold]]&lt;=90,"High",Table22[[#This Row],[Units Sold]]&lt;=95,"Excellent",Table22[[#This Row],[Units Sold]]&gt;95,"Outstanding")</f>
        <v>Critical</v>
      </c>
      <c r="N961" s="29">
        <v>975.6</v>
      </c>
      <c r="O961" s="29">
        <v>32194.799999999999</v>
      </c>
      <c r="P961" s="43">
        <f>IF(Table22[[#This Row],[Discount Applied]],Table22[[#This Row],[Total Sales (in USD)]]*(1-Table22[[#This Row],[Discount Percentage (%)]]/100),Table22[[#This Row],[Total Sales (in USD)]])</f>
        <v>30987.494999999999</v>
      </c>
      <c r="Q961" s="66">
        <f>SQRT(AVERAGE((Table22[[#This Row],[Net Sales (after discount) (in USD)]]-AVERAGE(Table22[Net Sales (after discount) (in USD)]))^2))</f>
        <v>5523.8655637645388</v>
      </c>
      <c r="R961" s="18" t="b">
        <v>1</v>
      </c>
      <c r="S961" s="40">
        <v>3.75</v>
      </c>
      <c r="T961" s="18" t="b">
        <v>1</v>
      </c>
      <c r="U961" s="25">
        <v>45132</v>
      </c>
      <c r="V961" s="63" t="str">
        <f>IF(MONTH(Table22[[#This Row],[Sales Date]])&lt;=3,"Q1",IF(MONTH(Table22[[#This Row],[Sales Date]])&lt;=6,"Q2",IF(MONTH(Table22[[#This Row],[Sales Date]])&lt;=9,"Q3","Q4")))</f>
        <v>Q3</v>
      </c>
      <c r="W961" s="64">
        <f>YEAR(Table22[[#This Row],[Sales Date]])</f>
        <v>2023</v>
      </c>
      <c r="X961" s="23">
        <v>23</v>
      </c>
      <c r="Y961" s="18" t="s">
        <v>49</v>
      </c>
      <c r="Z961" s="18" t="s">
        <v>56</v>
      </c>
      <c r="AA961" s="19" t="s">
        <v>25</v>
      </c>
    </row>
    <row r="962" spans="1:27" x14ac:dyDescent="0.25">
      <c r="A962" s="17" t="s">
        <v>1933</v>
      </c>
      <c r="B962" s="18" t="s">
        <v>51</v>
      </c>
      <c r="C962" s="63" t="str" cm="1">
        <f t="array" ref="C962">_xlfn.SWITCH(Table22[[#This Row],[Country]],"USA","North America","Canada","North America","Brazil","South America","China","Asia","Japan","Asia","India","Asia","France","Europe","Germany","Europe","UK","Europe","Australia","Oceania","South America")</f>
        <v>Europe</v>
      </c>
      <c r="D962" s="18" t="s">
        <v>44</v>
      </c>
      <c r="E962" s="18" t="s">
        <v>19</v>
      </c>
      <c r="F962" s="18" t="s">
        <v>52</v>
      </c>
      <c r="G962" s="18" t="s">
        <v>29</v>
      </c>
      <c r="H962" s="64">
        <f>LEN(TRIM(Table22[[#This Row],[Country]]))</f>
        <v>2</v>
      </c>
      <c r="I962" s="64">
        <f>LEN(TRIM(Table22[[#This Row],[Continent]]))</f>
        <v>6</v>
      </c>
      <c r="J962" s="64">
        <f>LEN(TRIM(Table22[[#This Row],[Product]]))</f>
        <v>6</v>
      </c>
      <c r="K962" s="64">
        <f>LEN(TRIM(Table22[[#This Row],[Sales Team]]))</f>
        <v>10</v>
      </c>
      <c r="L962" s="23">
        <v>51</v>
      </c>
      <c r="M962" s="65" t="str" cm="1">
        <f t="array" ref="M962">_xlfn.IFS(Table22[[#This Row],[Units Sold]]&lt;40,"Critical",Table22[[#This Row],[Units Sold]]&lt;=50,"Poor",Table22[[#This Row],[Units Sold]]&lt;=60,"Low",Table22[[#This Row],[Units Sold]]&lt;=80,"Average",Table22[[#This Row],[Units Sold]]&lt;=90,"High",Table22[[#This Row],[Units Sold]]&lt;=95,"Excellent",Table22[[#This Row],[Units Sold]]&gt;95,"Outstanding")</f>
        <v>Low</v>
      </c>
      <c r="N962" s="29">
        <v>631.23</v>
      </c>
      <c r="O962" s="29">
        <v>32192.73</v>
      </c>
      <c r="P962" s="43">
        <f>IF(Table22[[#This Row],[Discount Applied]],Table22[[#This Row],[Total Sales (in USD)]]*(1-Table22[[#This Row],[Discount Percentage (%)]]/100),Table22[[#This Row],[Total Sales (in USD)]])</f>
        <v>27292.996493999999</v>
      </c>
      <c r="Q962" s="66">
        <f>SQRT(AVERAGE((Table22[[#This Row],[Net Sales (after discount) (in USD)]]-AVERAGE(Table22[Net Sales (after discount) (in USD)]))^2))</f>
        <v>9218.3640697645387</v>
      </c>
      <c r="R962" s="18" t="b">
        <v>0</v>
      </c>
      <c r="S962" s="40">
        <v>15.22</v>
      </c>
      <c r="T962" s="18" t="b">
        <v>1</v>
      </c>
      <c r="U962" s="25">
        <v>45040</v>
      </c>
      <c r="V962" s="63" t="str">
        <f>IF(MONTH(Table22[[#This Row],[Sales Date]])&lt;=3,"Q1",IF(MONTH(Table22[[#This Row],[Sales Date]])&lt;=6,"Q2",IF(MONTH(Table22[[#This Row],[Sales Date]])&lt;=9,"Q3","Q4")))</f>
        <v>Q2</v>
      </c>
      <c r="W962" s="64">
        <f>YEAR(Table22[[#This Row],[Sales Date]])</f>
        <v>2023</v>
      </c>
      <c r="X962" s="23">
        <v>44</v>
      </c>
      <c r="Y962" s="18" t="s">
        <v>41</v>
      </c>
      <c r="Z962" s="18" t="s">
        <v>42</v>
      </c>
      <c r="AA962" s="19" t="s">
        <v>36</v>
      </c>
    </row>
    <row r="963" spans="1:27" x14ac:dyDescent="0.25">
      <c r="A963" s="17" t="s">
        <v>1936</v>
      </c>
      <c r="B963" s="18" t="s">
        <v>66</v>
      </c>
      <c r="C963" s="63" t="str" cm="1">
        <f t="array" ref="C963">_xlfn.SWITCH(Table22[[#This Row],[Country]],"USA","North America","Canada","North America","Brazil","South America","China","Asia","Japan","Asia","India","Asia","France","Europe","Germany","Europe","UK","Europe","Australia","Oceania","South America")</f>
        <v>North America</v>
      </c>
      <c r="D963" s="18" t="s">
        <v>44</v>
      </c>
      <c r="E963" s="18" t="s">
        <v>33</v>
      </c>
      <c r="F963" s="18" t="s">
        <v>20</v>
      </c>
      <c r="G963" s="18" t="s">
        <v>40</v>
      </c>
      <c r="H963" s="64">
        <f>LEN(TRIM(Table22[[#This Row],[Country]]))</f>
        <v>6</v>
      </c>
      <c r="I963" s="64">
        <f>LEN(TRIM(Table22[[#This Row],[Continent]]))</f>
        <v>13</v>
      </c>
      <c r="J963" s="64">
        <f>LEN(TRIM(Table22[[#This Row],[Product]]))</f>
        <v>10</v>
      </c>
      <c r="K963" s="64">
        <f>LEN(TRIM(Table22[[#This Row],[Sales Team]]))</f>
        <v>10</v>
      </c>
      <c r="L963" s="23">
        <v>41</v>
      </c>
      <c r="M963" s="65" t="str" cm="1">
        <f t="array" ref="M963">_xlfn.IFS(Table22[[#This Row],[Units Sold]]&lt;40,"Critical",Table22[[#This Row],[Units Sold]]&lt;=50,"Poor",Table22[[#This Row],[Units Sold]]&lt;=60,"Low",Table22[[#This Row],[Units Sold]]&lt;=80,"Average",Table22[[#This Row],[Units Sold]]&lt;=90,"High",Table22[[#This Row],[Units Sold]]&lt;=95,"Excellent",Table22[[#This Row],[Units Sold]]&gt;95,"Outstanding")</f>
        <v>Poor</v>
      </c>
      <c r="N963" s="29">
        <v>784.24</v>
      </c>
      <c r="O963" s="29">
        <v>32153.84</v>
      </c>
      <c r="P963" s="43">
        <f>IF(Table22[[#This Row],[Discount Applied]],Table22[[#This Row],[Total Sales (in USD)]]*(1-Table22[[#This Row],[Discount Percentage (%)]]/100),Table22[[#This Row],[Total Sales (in USD)]])</f>
        <v>32153.84</v>
      </c>
      <c r="Q963" s="66">
        <f>SQRT(AVERAGE((Table22[[#This Row],[Net Sales (after discount) (in USD)]]-AVERAGE(Table22[Net Sales (after discount) (in USD)]))^2))</f>
        <v>4357.5205637645377</v>
      </c>
      <c r="R963" s="18" t="b">
        <v>0</v>
      </c>
      <c r="S963" s="40">
        <v>2.99</v>
      </c>
      <c r="T963" s="18" t="b">
        <v>0</v>
      </c>
      <c r="U963" s="25">
        <v>45022</v>
      </c>
      <c r="V963" s="63" t="str">
        <f>IF(MONTH(Table22[[#This Row],[Sales Date]])&lt;=3,"Q1",IF(MONTH(Table22[[#This Row],[Sales Date]])&lt;=6,"Q2",IF(MONTH(Table22[[#This Row],[Sales Date]])&lt;=9,"Q3","Q4")))</f>
        <v>Q2</v>
      </c>
      <c r="W963" s="64">
        <f>YEAR(Table22[[#This Row],[Sales Date]])</f>
        <v>2023</v>
      </c>
      <c r="X963" s="23">
        <v>30</v>
      </c>
      <c r="Y963" s="18" t="s">
        <v>23</v>
      </c>
      <c r="Z963" s="18" t="s">
        <v>30</v>
      </c>
      <c r="AA963" s="19" t="s">
        <v>36</v>
      </c>
    </row>
    <row r="964" spans="1:27" x14ac:dyDescent="0.25">
      <c r="A964" s="17" t="s">
        <v>1457</v>
      </c>
      <c r="B964" s="18" t="s">
        <v>18</v>
      </c>
      <c r="C964" s="63" t="str" cm="1">
        <f t="array" ref="C964">_xlfn.SWITCH(Table22[[#This Row],[Country]],"USA","North America","Canada","North America","Brazil","South America","China","Asia","Japan","Asia","India","Asia","France","Europe","Germany","Europe","UK","Europe","Australia","Oceania","South America")</f>
        <v>Asia</v>
      </c>
      <c r="D964" s="18" t="s">
        <v>44</v>
      </c>
      <c r="E964" s="18" t="s">
        <v>33</v>
      </c>
      <c r="F964" s="18" t="s">
        <v>20</v>
      </c>
      <c r="G964" s="18" t="s">
        <v>22</v>
      </c>
      <c r="H964" s="64">
        <f>LEN(TRIM(Table22[[#This Row],[Country]]))</f>
        <v>5</v>
      </c>
      <c r="I964" s="64">
        <f>LEN(TRIM(Table22[[#This Row],[Continent]]))</f>
        <v>4</v>
      </c>
      <c r="J964" s="64">
        <f>LEN(TRIM(Table22[[#This Row],[Product]]))</f>
        <v>10</v>
      </c>
      <c r="K964" s="64">
        <f>LEN(TRIM(Table22[[#This Row],[Sales Team]]))</f>
        <v>10</v>
      </c>
      <c r="L964" s="23">
        <v>68</v>
      </c>
      <c r="M964" s="65" t="str" cm="1">
        <f t="array" ref="M964">_xlfn.IFS(Table22[[#This Row],[Units Sold]]&lt;40,"Critical",Table22[[#This Row],[Units Sold]]&lt;=50,"Poor",Table22[[#This Row],[Units Sold]]&lt;=60,"Low",Table22[[#This Row],[Units Sold]]&lt;=80,"Average",Table22[[#This Row],[Units Sold]]&lt;=90,"High",Table22[[#This Row],[Units Sold]]&lt;=95,"Excellent",Table22[[#This Row],[Units Sold]]&gt;95,"Outstanding")</f>
        <v>Average</v>
      </c>
      <c r="N964" s="29">
        <v>472.51</v>
      </c>
      <c r="O964" s="29">
        <v>32130.68</v>
      </c>
      <c r="P964" s="43">
        <f>IF(Table22[[#This Row],[Discount Applied]],Table22[[#This Row],[Total Sales (in USD)]]*(1-Table22[[#This Row],[Discount Percentage (%)]]/100),Table22[[#This Row],[Total Sales (in USD)]])</f>
        <v>32130.68</v>
      </c>
      <c r="Q964" s="66">
        <f>SQRT(AVERAGE((Table22[[#This Row],[Net Sales (after discount) (in USD)]]-AVERAGE(Table22[Net Sales (after discount) (in USD)]))^2))</f>
        <v>4380.6805637645375</v>
      </c>
      <c r="R964" s="18" t="b">
        <v>0</v>
      </c>
      <c r="S964" s="40">
        <v>18.63</v>
      </c>
      <c r="T964" s="18" t="b">
        <v>0</v>
      </c>
      <c r="U964" s="25">
        <v>44956</v>
      </c>
      <c r="V964" s="63" t="str">
        <f>IF(MONTH(Table22[[#This Row],[Sales Date]])&lt;=3,"Q1",IF(MONTH(Table22[[#This Row],[Sales Date]])&lt;=6,"Q2",IF(MONTH(Table22[[#This Row],[Sales Date]])&lt;=9,"Q3","Q4")))</f>
        <v>Q1</v>
      </c>
      <c r="W964" s="64">
        <f>YEAR(Table22[[#This Row],[Sales Date]])</f>
        <v>2023</v>
      </c>
      <c r="X964" s="23">
        <v>28</v>
      </c>
      <c r="Y964" s="18" t="s">
        <v>41</v>
      </c>
      <c r="Z964" s="18" t="s">
        <v>24</v>
      </c>
      <c r="AA964" s="19" t="s">
        <v>25</v>
      </c>
    </row>
    <row r="965" spans="1:27" x14ac:dyDescent="0.25">
      <c r="A965" s="17" t="s">
        <v>1367</v>
      </c>
      <c r="B965" s="18" t="s">
        <v>18</v>
      </c>
      <c r="C965" s="63" t="str" cm="1">
        <f t="array" ref="C965">_xlfn.SWITCH(Table22[[#This Row],[Country]],"USA","North America","Canada","North America","Brazil","South America","China","Asia","Japan","Asia","India","Asia","France","Europe","Germany","Europe","UK","Europe","Australia","Oceania","South America")</f>
        <v>Asia</v>
      </c>
      <c r="D965" s="18" t="s">
        <v>35</v>
      </c>
      <c r="E965" s="18" t="s">
        <v>33</v>
      </c>
      <c r="F965" s="18" t="s">
        <v>64</v>
      </c>
      <c r="G965" s="18" t="s">
        <v>40</v>
      </c>
      <c r="H965" s="64">
        <f>LEN(TRIM(Table22[[#This Row],[Country]]))</f>
        <v>5</v>
      </c>
      <c r="I965" s="64">
        <f>LEN(TRIM(Table22[[#This Row],[Continent]]))</f>
        <v>4</v>
      </c>
      <c r="J965" s="64">
        <f>LEN(TRIM(Table22[[#This Row],[Product]]))</f>
        <v>10</v>
      </c>
      <c r="K965" s="64">
        <f>LEN(TRIM(Table22[[#This Row],[Sales Team]]))</f>
        <v>10</v>
      </c>
      <c r="L965" s="23">
        <v>31</v>
      </c>
      <c r="M965" s="65" t="str" cm="1">
        <f t="array" ref="M965">_xlfn.IFS(Table22[[#This Row],[Units Sold]]&lt;40,"Critical",Table22[[#This Row],[Units Sold]]&lt;=50,"Poor",Table22[[#This Row],[Units Sold]]&lt;=60,"Low",Table22[[#This Row],[Units Sold]]&lt;=80,"Average",Table22[[#This Row],[Units Sold]]&lt;=90,"High",Table22[[#This Row],[Units Sold]]&lt;=95,"Excellent",Table22[[#This Row],[Units Sold]]&gt;95,"Outstanding")</f>
        <v>Critical</v>
      </c>
      <c r="N965" s="29">
        <v>1034.9100000000001</v>
      </c>
      <c r="O965" s="29">
        <v>32082.21</v>
      </c>
      <c r="P965" s="43">
        <f>IF(Table22[[#This Row],[Discount Applied]],Table22[[#This Row],[Total Sales (in USD)]]*(1-Table22[[#This Row],[Discount Percentage (%)]]/100),Table22[[#This Row],[Total Sales (in USD)]])</f>
        <v>28209.887252999997</v>
      </c>
      <c r="Q965" s="66">
        <f>SQRT(AVERAGE((Table22[[#This Row],[Net Sales (after discount) (in USD)]]-AVERAGE(Table22[Net Sales (after discount) (in USD)]))^2))</f>
        <v>8301.4733107645407</v>
      </c>
      <c r="R965" s="18" t="b">
        <v>1</v>
      </c>
      <c r="S965" s="40">
        <v>12.07</v>
      </c>
      <c r="T965" s="18" t="b">
        <v>1</v>
      </c>
      <c r="U965" s="25">
        <v>45315</v>
      </c>
      <c r="V965" s="63" t="str">
        <f>IF(MONTH(Table22[[#This Row],[Sales Date]])&lt;=3,"Q1",IF(MONTH(Table22[[#This Row],[Sales Date]])&lt;=6,"Q2",IF(MONTH(Table22[[#This Row],[Sales Date]])&lt;=9,"Q3","Q4")))</f>
        <v>Q1</v>
      </c>
      <c r="W965" s="64">
        <f>YEAR(Table22[[#This Row],[Sales Date]])</f>
        <v>2024</v>
      </c>
      <c r="X965" s="23">
        <v>30</v>
      </c>
      <c r="Y965" s="18" t="s">
        <v>41</v>
      </c>
      <c r="Z965" s="18" t="s">
        <v>30</v>
      </c>
      <c r="AA965" s="19" t="s">
        <v>36</v>
      </c>
    </row>
    <row r="966" spans="1:27" x14ac:dyDescent="0.25">
      <c r="A966" s="17" t="s">
        <v>505</v>
      </c>
      <c r="B966" s="18" t="s">
        <v>72</v>
      </c>
      <c r="C966" s="63" t="str" cm="1">
        <f t="array" ref="C966">_xlfn.SWITCH(Table22[[#This Row],[Country]],"USA","North America","Canada","North America","Brazil","South America","China","Asia","Japan","Asia","India","Asia","France","Europe","Germany","Europe","UK","Europe","Australia","Oceania","South America")</f>
        <v>North America</v>
      </c>
      <c r="D966" s="18" t="s">
        <v>35</v>
      </c>
      <c r="E966" s="18" t="s">
        <v>33</v>
      </c>
      <c r="F966" s="18" t="s">
        <v>34</v>
      </c>
      <c r="G966" s="18" t="s">
        <v>29</v>
      </c>
      <c r="H966" s="64">
        <f>LEN(TRIM(Table22[[#This Row],[Country]]))</f>
        <v>3</v>
      </c>
      <c r="I966" s="64">
        <f>LEN(TRIM(Table22[[#This Row],[Continent]]))</f>
        <v>13</v>
      </c>
      <c r="J966" s="64">
        <f>LEN(TRIM(Table22[[#This Row],[Product]]))</f>
        <v>10</v>
      </c>
      <c r="K966" s="64">
        <f>LEN(TRIM(Table22[[#This Row],[Sales Team]]))</f>
        <v>10</v>
      </c>
      <c r="L966" s="23">
        <v>26</v>
      </c>
      <c r="M966" s="65" t="str" cm="1">
        <f t="array" ref="M966">_xlfn.IFS(Table22[[#This Row],[Units Sold]]&lt;40,"Critical",Table22[[#This Row],[Units Sold]]&lt;=50,"Poor",Table22[[#This Row],[Units Sold]]&lt;=60,"Low",Table22[[#This Row],[Units Sold]]&lt;=80,"Average",Table22[[#This Row],[Units Sold]]&lt;=90,"High",Table22[[#This Row],[Units Sold]]&lt;=95,"Excellent",Table22[[#This Row],[Units Sold]]&gt;95,"Outstanding")</f>
        <v>Critical</v>
      </c>
      <c r="N966" s="29">
        <v>1232.46</v>
      </c>
      <c r="O966" s="29">
        <v>32043.96</v>
      </c>
      <c r="P966" s="43">
        <f>IF(Table22[[#This Row],[Discount Applied]],Table22[[#This Row],[Total Sales (in USD)]]*(1-Table22[[#This Row],[Discount Percentage (%)]]/100),Table22[[#This Row],[Total Sales (in USD)]])</f>
        <v>25968.425184</v>
      </c>
      <c r="Q966" s="66">
        <f>SQRT(AVERAGE((Table22[[#This Row],[Net Sales (after discount) (in USD)]]-AVERAGE(Table22[Net Sales (after discount) (in USD)]))^2))</f>
        <v>10542.935379764538</v>
      </c>
      <c r="R966" s="18" t="b">
        <v>1</v>
      </c>
      <c r="S966" s="40">
        <v>18.96</v>
      </c>
      <c r="T966" s="18" t="b">
        <v>1</v>
      </c>
      <c r="U966" s="25">
        <v>45513</v>
      </c>
      <c r="V966" s="63" t="str">
        <f>IF(MONTH(Table22[[#This Row],[Sales Date]])&lt;=3,"Q1",IF(MONTH(Table22[[#This Row],[Sales Date]])&lt;=6,"Q2",IF(MONTH(Table22[[#This Row],[Sales Date]])&lt;=9,"Q3","Q4")))</f>
        <v>Q3</v>
      </c>
      <c r="W966" s="64">
        <f>YEAR(Table22[[#This Row],[Sales Date]])</f>
        <v>2024</v>
      </c>
      <c r="X966" s="23">
        <v>34</v>
      </c>
      <c r="Y966" s="18" t="s">
        <v>23</v>
      </c>
      <c r="Z966" s="18" t="s">
        <v>24</v>
      </c>
      <c r="AA966" s="19" t="s">
        <v>25</v>
      </c>
    </row>
    <row r="967" spans="1:27" x14ac:dyDescent="0.25">
      <c r="A967" s="17" t="s">
        <v>1812</v>
      </c>
      <c r="B967" s="18" t="s">
        <v>76</v>
      </c>
      <c r="C967" s="63" t="str" cm="1">
        <f t="array" ref="C967">_xlfn.SWITCH(Table22[[#This Row],[Country]],"USA","North America","Canada","North America","Brazil","South America","China","Asia","Japan","Asia","India","Asia","France","Europe","Germany","Europe","UK","Europe","Australia","Oceania","South America")</f>
        <v>Asia</v>
      </c>
      <c r="D967" s="18" t="s">
        <v>35</v>
      </c>
      <c r="E967" s="18" t="s">
        <v>33</v>
      </c>
      <c r="F967" s="18" t="s">
        <v>52</v>
      </c>
      <c r="G967" s="18" t="s">
        <v>40</v>
      </c>
      <c r="H967" s="64">
        <f>LEN(TRIM(Table22[[#This Row],[Country]]))</f>
        <v>5</v>
      </c>
      <c r="I967" s="64">
        <f>LEN(TRIM(Table22[[#This Row],[Continent]]))</f>
        <v>4</v>
      </c>
      <c r="J967" s="64">
        <f>LEN(TRIM(Table22[[#This Row],[Product]]))</f>
        <v>10</v>
      </c>
      <c r="K967" s="64">
        <f>LEN(TRIM(Table22[[#This Row],[Sales Team]]))</f>
        <v>10</v>
      </c>
      <c r="L967" s="23">
        <v>77</v>
      </c>
      <c r="M967" s="65" t="str" cm="1">
        <f t="array" ref="M967">_xlfn.IFS(Table22[[#This Row],[Units Sold]]&lt;40,"Critical",Table22[[#This Row],[Units Sold]]&lt;=50,"Poor",Table22[[#This Row],[Units Sold]]&lt;=60,"Low",Table22[[#This Row],[Units Sold]]&lt;=80,"Average",Table22[[#This Row],[Units Sold]]&lt;=90,"High",Table22[[#This Row],[Units Sold]]&lt;=95,"Excellent",Table22[[#This Row],[Units Sold]]&gt;95,"Outstanding")</f>
        <v>Average</v>
      </c>
      <c r="N967" s="29">
        <v>415.79</v>
      </c>
      <c r="O967" s="29">
        <v>32015.83</v>
      </c>
      <c r="P967" s="43">
        <f>IF(Table22[[#This Row],[Discount Applied]],Table22[[#This Row],[Total Sales (in USD)]]*(1-Table22[[#This Row],[Discount Percentage (%)]]/100),Table22[[#This Row],[Total Sales (in USD)]])</f>
        <v>32015.83</v>
      </c>
      <c r="Q967" s="66">
        <f>SQRT(AVERAGE((Table22[[#This Row],[Net Sales (after discount) (in USD)]]-AVERAGE(Table22[Net Sales (after discount) (in USD)]))^2))</f>
        <v>4495.5305637645361</v>
      </c>
      <c r="R967" s="18" t="b">
        <v>0</v>
      </c>
      <c r="S967" s="40">
        <v>1.75</v>
      </c>
      <c r="T967" s="18" t="b">
        <v>0</v>
      </c>
      <c r="U967" s="25">
        <v>45012</v>
      </c>
      <c r="V967" s="63" t="str">
        <f>IF(MONTH(Table22[[#This Row],[Sales Date]])&lt;=3,"Q1",IF(MONTH(Table22[[#This Row],[Sales Date]])&lt;=6,"Q2",IF(MONTH(Table22[[#This Row],[Sales Date]])&lt;=9,"Q3","Q4")))</f>
        <v>Q1</v>
      </c>
      <c r="W967" s="64">
        <f>YEAR(Table22[[#This Row],[Sales Date]])</f>
        <v>2023</v>
      </c>
      <c r="X967" s="23">
        <v>53</v>
      </c>
      <c r="Y967" s="18" t="s">
        <v>41</v>
      </c>
      <c r="Z967" s="18" t="s">
        <v>42</v>
      </c>
      <c r="AA967" s="19" t="s">
        <v>36</v>
      </c>
    </row>
    <row r="968" spans="1:27" x14ac:dyDescent="0.25">
      <c r="A968" s="17" t="s">
        <v>112</v>
      </c>
      <c r="B968" s="18" t="s">
        <v>27</v>
      </c>
      <c r="C968" s="63" t="str" cm="1">
        <f t="array" ref="C968">_xlfn.SWITCH(Table22[[#This Row],[Country]],"USA","North America","Canada","North America","Brazil","South America","China","Asia","Japan","Asia","India","Asia","France","Europe","Germany","Europe","UK","Europe","Australia","Oceania","South America")</f>
        <v>Europe</v>
      </c>
      <c r="D968" s="18" t="s">
        <v>35</v>
      </c>
      <c r="E968" s="18" t="s">
        <v>19</v>
      </c>
      <c r="F968" s="18" t="s">
        <v>52</v>
      </c>
      <c r="G968" s="18" t="s">
        <v>48</v>
      </c>
      <c r="H968" s="64">
        <f>LEN(TRIM(Table22[[#This Row],[Country]]))</f>
        <v>7</v>
      </c>
      <c r="I968" s="64">
        <f>LEN(TRIM(Table22[[#This Row],[Continent]]))</f>
        <v>6</v>
      </c>
      <c r="J968" s="64">
        <f>LEN(TRIM(Table22[[#This Row],[Product]]))</f>
        <v>6</v>
      </c>
      <c r="K968" s="64">
        <f>LEN(TRIM(Table22[[#This Row],[Sales Team]]))</f>
        <v>9</v>
      </c>
      <c r="L968" s="23">
        <v>85</v>
      </c>
      <c r="M968" s="65" t="str" cm="1">
        <f t="array" ref="M968">_xlfn.IFS(Table22[[#This Row],[Units Sold]]&lt;40,"Critical",Table22[[#This Row],[Units Sold]]&lt;=50,"Poor",Table22[[#This Row],[Units Sold]]&lt;=60,"Low",Table22[[#This Row],[Units Sold]]&lt;=80,"Average",Table22[[#This Row],[Units Sold]]&lt;=90,"High",Table22[[#This Row],[Units Sold]]&lt;=95,"Excellent",Table22[[#This Row],[Units Sold]]&gt;95,"Outstanding")</f>
        <v>High</v>
      </c>
      <c r="N968" s="29">
        <v>375.2</v>
      </c>
      <c r="O968" s="29">
        <v>31892</v>
      </c>
      <c r="P968" s="43">
        <f>IF(Table22[[#This Row],[Discount Applied]],Table22[[#This Row],[Total Sales (in USD)]]*(1-Table22[[#This Row],[Discount Percentage (%)]]/100),Table22[[#This Row],[Total Sales (in USD)]])</f>
        <v>31467.8364</v>
      </c>
      <c r="Q968" s="66">
        <f>SQRT(AVERAGE((Table22[[#This Row],[Net Sales (after discount) (in USD)]]-AVERAGE(Table22[Net Sales (after discount) (in USD)]))^2))</f>
        <v>5043.5241637645377</v>
      </c>
      <c r="R968" s="18" t="b">
        <v>1</v>
      </c>
      <c r="S968" s="40">
        <v>1.33</v>
      </c>
      <c r="T968" s="18" t="b">
        <v>1</v>
      </c>
      <c r="U968" s="25">
        <v>44963</v>
      </c>
      <c r="V968" s="63" t="str">
        <f>IF(MONTH(Table22[[#This Row],[Sales Date]])&lt;=3,"Q1",IF(MONTH(Table22[[#This Row],[Sales Date]])&lt;=6,"Q2",IF(MONTH(Table22[[#This Row],[Sales Date]])&lt;=9,"Q3","Q4")))</f>
        <v>Q1</v>
      </c>
      <c r="W968" s="64">
        <f>YEAR(Table22[[#This Row],[Sales Date]])</f>
        <v>2023</v>
      </c>
      <c r="X968" s="23">
        <v>41</v>
      </c>
      <c r="Y968" s="18" t="s">
        <v>23</v>
      </c>
      <c r="Z968" s="18" t="s">
        <v>56</v>
      </c>
      <c r="AA968" s="19" t="s">
        <v>25</v>
      </c>
    </row>
    <row r="969" spans="1:27" x14ac:dyDescent="0.25">
      <c r="A969" s="17" t="s">
        <v>1786</v>
      </c>
      <c r="B969" s="18" t="s">
        <v>66</v>
      </c>
      <c r="C969" s="63" t="str" cm="1">
        <f t="array" ref="C969">_xlfn.SWITCH(Table22[[#This Row],[Country]],"USA","North America","Canada","North America","Brazil","South America","China","Asia","Japan","Asia","India","Asia","France","Europe","Germany","Europe","UK","Europe","Australia","Oceania","South America")</f>
        <v>North America</v>
      </c>
      <c r="D969" s="18" t="s">
        <v>21</v>
      </c>
      <c r="E969" s="18" t="s">
        <v>33</v>
      </c>
      <c r="F969" s="18" t="s">
        <v>47</v>
      </c>
      <c r="G969" s="18" t="s">
        <v>48</v>
      </c>
      <c r="H969" s="64">
        <f>LEN(TRIM(Table22[[#This Row],[Country]]))</f>
        <v>6</v>
      </c>
      <c r="I969" s="64">
        <f>LEN(TRIM(Table22[[#This Row],[Continent]]))</f>
        <v>13</v>
      </c>
      <c r="J969" s="64">
        <f>LEN(TRIM(Table22[[#This Row],[Product]]))</f>
        <v>10</v>
      </c>
      <c r="K969" s="64">
        <f>LEN(TRIM(Table22[[#This Row],[Sales Team]]))</f>
        <v>9</v>
      </c>
      <c r="L969" s="23">
        <v>59</v>
      </c>
      <c r="M969" s="65" t="str" cm="1">
        <f t="array" ref="M969">_xlfn.IFS(Table22[[#This Row],[Units Sold]]&lt;40,"Critical",Table22[[#This Row],[Units Sold]]&lt;=50,"Poor",Table22[[#This Row],[Units Sold]]&lt;=60,"Low",Table22[[#This Row],[Units Sold]]&lt;=80,"Average",Table22[[#This Row],[Units Sold]]&lt;=90,"High",Table22[[#This Row],[Units Sold]]&lt;=95,"Excellent",Table22[[#This Row],[Units Sold]]&gt;95,"Outstanding")</f>
        <v>Low</v>
      </c>
      <c r="N969" s="29">
        <v>540.02</v>
      </c>
      <c r="O969" s="29">
        <v>31861.18</v>
      </c>
      <c r="P969" s="43">
        <f>IF(Table22[[#This Row],[Discount Applied]],Table22[[#This Row],[Total Sales (in USD)]]*(1-Table22[[#This Row],[Discount Percentage (%)]]/100),Table22[[#This Row],[Total Sales (in USD)]])</f>
        <v>31861.18</v>
      </c>
      <c r="Q969" s="66">
        <f>SQRT(AVERAGE((Table22[[#This Row],[Net Sales (after discount) (in USD)]]-AVERAGE(Table22[Net Sales (after discount) (in USD)]))^2))</f>
        <v>4650.1805637645375</v>
      </c>
      <c r="R969" s="18" t="b">
        <v>0</v>
      </c>
      <c r="S969" s="40">
        <v>18.64</v>
      </c>
      <c r="T969" s="18" t="b">
        <v>0</v>
      </c>
      <c r="U969" s="25">
        <v>45109</v>
      </c>
      <c r="V969" s="63" t="str">
        <f>IF(MONTH(Table22[[#This Row],[Sales Date]])&lt;=3,"Q1",IF(MONTH(Table22[[#This Row],[Sales Date]])&lt;=6,"Q2",IF(MONTH(Table22[[#This Row],[Sales Date]])&lt;=9,"Q3","Q4")))</f>
        <v>Q3</v>
      </c>
      <c r="W969" s="64">
        <f>YEAR(Table22[[#This Row],[Sales Date]])</f>
        <v>2023</v>
      </c>
      <c r="X969" s="23">
        <v>64</v>
      </c>
      <c r="Y969" s="18" t="s">
        <v>23</v>
      </c>
      <c r="Z969" s="18" t="s">
        <v>24</v>
      </c>
      <c r="AA969" s="19" t="s">
        <v>25</v>
      </c>
    </row>
    <row r="970" spans="1:27" x14ac:dyDescent="0.25">
      <c r="A970" s="17" t="s">
        <v>496</v>
      </c>
      <c r="B970" s="18" t="s">
        <v>32</v>
      </c>
      <c r="C970" s="63" t="str" cm="1">
        <f t="array" ref="C970">_xlfn.SWITCH(Table22[[#This Row],[Country]],"USA","North America","Canada","North America","Brazil","South America","China","Asia","Japan","Asia","India","Asia","France","Europe","Germany","Europe","UK","Europe","Australia","Oceania","South America")</f>
        <v>Asia</v>
      </c>
      <c r="D970" s="18" t="s">
        <v>35</v>
      </c>
      <c r="E970" s="18" t="s">
        <v>33</v>
      </c>
      <c r="F970" s="18" t="s">
        <v>47</v>
      </c>
      <c r="G970" s="18" t="s">
        <v>48</v>
      </c>
      <c r="H970" s="64">
        <f>LEN(TRIM(Table22[[#This Row],[Country]]))</f>
        <v>5</v>
      </c>
      <c r="I970" s="64">
        <f>LEN(TRIM(Table22[[#This Row],[Continent]]))</f>
        <v>4</v>
      </c>
      <c r="J970" s="64">
        <f>LEN(TRIM(Table22[[#This Row],[Product]]))</f>
        <v>10</v>
      </c>
      <c r="K970" s="64">
        <f>LEN(TRIM(Table22[[#This Row],[Sales Team]]))</f>
        <v>9</v>
      </c>
      <c r="L970" s="23">
        <v>43</v>
      </c>
      <c r="M970" s="65" t="str" cm="1">
        <f t="array" ref="M970">_xlfn.IFS(Table22[[#This Row],[Units Sold]]&lt;40,"Critical",Table22[[#This Row],[Units Sold]]&lt;=50,"Poor",Table22[[#This Row],[Units Sold]]&lt;=60,"Low",Table22[[#This Row],[Units Sold]]&lt;=80,"Average",Table22[[#This Row],[Units Sold]]&lt;=90,"High",Table22[[#This Row],[Units Sold]]&lt;=95,"Excellent",Table22[[#This Row],[Units Sold]]&gt;95,"Outstanding")</f>
        <v>Poor</v>
      </c>
      <c r="N970" s="29">
        <v>740.23</v>
      </c>
      <c r="O970" s="29">
        <v>31829.89</v>
      </c>
      <c r="P970" s="43">
        <f>IF(Table22[[#This Row],[Discount Applied]],Table22[[#This Row],[Total Sales (in USD)]]*(1-Table22[[#This Row],[Discount Percentage (%)]]/100),Table22[[#This Row],[Total Sales (in USD)]])</f>
        <v>25075.587342000003</v>
      </c>
      <c r="Q970" s="66">
        <f>SQRT(AVERAGE((Table22[[#This Row],[Net Sales (after discount) (in USD)]]-AVERAGE(Table22[Net Sales (after discount) (in USD)]))^2))</f>
        <v>11435.773221764535</v>
      </c>
      <c r="R970" s="18" t="b">
        <v>1</v>
      </c>
      <c r="S970" s="40">
        <v>21.22</v>
      </c>
      <c r="T970" s="18" t="b">
        <v>1</v>
      </c>
      <c r="U970" s="25">
        <v>44951</v>
      </c>
      <c r="V970" s="63" t="str">
        <f>IF(MONTH(Table22[[#This Row],[Sales Date]])&lt;=3,"Q1",IF(MONTH(Table22[[#This Row],[Sales Date]])&lt;=6,"Q2",IF(MONTH(Table22[[#This Row],[Sales Date]])&lt;=9,"Q3","Q4")))</f>
        <v>Q1</v>
      </c>
      <c r="W970" s="64">
        <f>YEAR(Table22[[#This Row],[Sales Date]])</f>
        <v>2023</v>
      </c>
      <c r="X970" s="23">
        <v>62</v>
      </c>
      <c r="Y970" s="18" t="s">
        <v>41</v>
      </c>
      <c r="Z970" s="18" t="s">
        <v>24</v>
      </c>
      <c r="AA970" s="19" t="s">
        <v>36</v>
      </c>
    </row>
    <row r="971" spans="1:27" x14ac:dyDescent="0.25">
      <c r="A971" s="17" t="s">
        <v>1241</v>
      </c>
      <c r="B971" s="18" t="s">
        <v>38</v>
      </c>
      <c r="C971" s="63" t="str" cm="1">
        <f t="array" ref="C971">_xlfn.SWITCH(Table22[[#This Row],[Country]],"USA","North America","Canada","North America","Brazil","South America","China","Asia","Japan","Asia","India","Asia","France","Europe","Germany","Europe","UK","Europe","Australia","Oceania","South America")</f>
        <v>Europe</v>
      </c>
      <c r="D971" s="18" t="s">
        <v>35</v>
      </c>
      <c r="E971" s="18" t="s">
        <v>39</v>
      </c>
      <c r="F971" s="18" t="s">
        <v>47</v>
      </c>
      <c r="G971" s="18" t="s">
        <v>40</v>
      </c>
      <c r="H971" s="64">
        <f>LEN(TRIM(Table22[[#This Row],[Country]]))</f>
        <v>6</v>
      </c>
      <c r="I971" s="64">
        <f>LEN(TRIM(Table22[[#This Row],[Continent]]))</f>
        <v>6</v>
      </c>
      <c r="J971" s="64">
        <f>LEN(TRIM(Table22[[#This Row],[Product]]))</f>
        <v>10</v>
      </c>
      <c r="K971" s="64">
        <f>LEN(TRIM(Table22[[#This Row],[Sales Team]]))</f>
        <v>10</v>
      </c>
      <c r="L971" s="23">
        <v>50</v>
      </c>
      <c r="M971" s="65" t="str" cm="1">
        <f t="array" ref="M971">_xlfn.IFS(Table22[[#This Row],[Units Sold]]&lt;40,"Critical",Table22[[#This Row],[Units Sold]]&lt;=50,"Poor",Table22[[#This Row],[Units Sold]]&lt;=60,"Low",Table22[[#This Row],[Units Sold]]&lt;=80,"Average",Table22[[#This Row],[Units Sold]]&lt;=90,"High",Table22[[#This Row],[Units Sold]]&lt;=95,"Excellent",Table22[[#This Row],[Units Sold]]&gt;95,"Outstanding")</f>
        <v>Poor</v>
      </c>
      <c r="N971" s="29">
        <v>633.35</v>
      </c>
      <c r="O971" s="29">
        <v>31667.5</v>
      </c>
      <c r="P971" s="43">
        <f>IF(Table22[[#This Row],[Discount Applied]],Table22[[#This Row],[Total Sales (in USD)]]*(1-Table22[[#This Row],[Discount Percentage (%)]]/100),Table22[[#This Row],[Total Sales (in USD)]])</f>
        <v>26413.861750000004</v>
      </c>
      <c r="Q971" s="66">
        <f>SQRT(AVERAGE((Table22[[#This Row],[Net Sales (after discount) (in USD)]]-AVERAGE(Table22[Net Sales (after discount) (in USD)]))^2))</f>
        <v>10097.498813764534</v>
      </c>
      <c r="R971" s="18" t="b">
        <v>0</v>
      </c>
      <c r="S971" s="40">
        <v>16.59</v>
      </c>
      <c r="T971" s="18" t="b">
        <v>1</v>
      </c>
      <c r="U971" s="25">
        <v>45457</v>
      </c>
      <c r="V971" s="63" t="str">
        <f>IF(MONTH(Table22[[#This Row],[Sales Date]])&lt;=3,"Q1",IF(MONTH(Table22[[#This Row],[Sales Date]])&lt;=6,"Q2",IF(MONTH(Table22[[#This Row],[Sales Date]])&lt;=9,"Q3","Q4")))</f>
        <v>Q2</v>
      </c>
      <c r="W971" s="64">
        <f>YEAR(Table22[[#This Row],[Sales Date]])</f>
        <v>2024</v>
      </c>
      <c r="X971" s="23">
        <v>34</v>
      </c>
      <c r="Y971" s="18" t="s">
        <v>41</v>
      </c>
      <c r="Z971" s="18" t="s">
        <v>30</v>
      </c>
      <c r="AA971" s="19" t="s">
        <v>25</v>
      </c>
    </row>
    <row r="972" spans="1:27" x14ac:dyDescent="0.25">
      <c r="A972" s="17" t="s">
        <v>531</v>
      </c>
      <c r="B972" s="18" t="s">
        <v>76</v>
      </c>
      <c r="C972" s="63" t="str" cm="1">
        <f t="array" ref="C972">_xlfn.SWITCH(Table22[[#This Row],[Country]],"USA","North America","Canada","North America","Brazil","South America","China","Asia","Japan","Asia","India","Asia","France","Europe","Germany","Europe","UK","Europe","Australia","Oceania","South America")</f>
        <v>Asia</v>
      </c>
      <c r="D972" s="18" t="s">
        <v>35</v>
      </c>
      <c r="E972" s="18" t="s">
        <v>39</v>
      </c>
      <c r="F972" s="18" t="s">
        <v>47</v>
      </c>
      <c r="G972" s="18" t="s">
        <v>29</v>
      </c>
      <c r="H972" s="64">
        <f>LEN(TRIM(Table22[[#This Row],[Country]]))</f>
        <v>5</v>
      </c>
      <c r="I972" s="64">
        <f>LEN(TRIM(Table22[[#This Row],[Continent]]))</f>
        <v>4</v>
      </c>
      <c r="J972" s="64">
        <f>LEN(TRIM(Table22[[#This Row],[Product]]))</f>
        <v>10</v>
      </c>
      <c r="K972" s="64">
        <f>LEN(TRIM(Table22[[#This Row],[Sales Team]]))</f>
        <v>10</v>
      </c>
      <c r="L972" s="23">
        <v>22</v>
      </c>
      <c r="M972" s="65" t="str" cm="1">
        <f t="array" ref="M972">_xlfn.IFS(Table22[[#This Row],[Units Sold]]&lt;40,"Critical",Table22[[#This Row],[Units Sold]]&lt;=50,"Poor",Table22[[#This Row],[Units Sold]]&lt;=60,"Low",Table22[[#This Row],[Units Sold]]&lt;=80,"Average",Table22[[#This Row],[Units Sold]]&lt;=90,"High",Table22[[#This Row],[Units Sold]]&lt;=95,"Excellent",Table22[[#This Row],[Units Sold]]&gt;95,"Outstanding")</f>
        <v>Critical</v>
      </c>
      <c r="N972" s="29">
        <v>1436.39</v>
      </c>
      <c r="O972" s="29">
        <v>31600.58</v>
      </c>
      <c r="P972" s="43">
        <f>IF(Table22[[#This Row],[Discount Applied]],Table22[[#This Row],[Total Sales (in USD)]]*(1-Table22[[#This Row],[Discount Percentage (%)]]/100),Table22[[#This Row],[Total Sales (in USD)]])</f>
        <v>28304.639506</v>
      </c>
      <c r="Q972" s="66">
        <f>SQRT(AVERAGE((Table22[[#This Row],[Net Sales (after discount) (in USD)]]-AVERAGE(Table22[Net Sales (after discount) (in USD)]))^2))</f>
        <v>8206.7210577645383</v>
      </c>
      <c r="R972" s="18" t="b">
        <v>0</v>
      </c>
      <c r="S972" s="40">
        <v>10.43</v>
      </c>
      <c r="T972" s="18" t="b">
        <v>1</v>
      </c>
      <c r="U972" s="25">
        <v>45553</v>
      </c>
      <c r="V972" s="63" t="str">
        <f>IF(MONTH(Table22[[#This Row],[Sales Date]])&lt;=3,"Q1",IF(MONTH(Table22[[#This Row],[Sales Date]])&lt;=6,"Q2",IF(MONTH(Table22[[#This Row],[Sales Date]])&lt;=9,"Q3","Q4")))</f>
        <v>Q3</v>
      </c>
      <c r="W972" s="64">
        <f>YEAR(Table22[[#This Row],[Sales Date]])</f>
        <v>2024</v>
      </c>
      <c r="X972" s="23">
        <v>65</v>
      </c>
      <c r="Y972" s="18" t="s">
        <v>49</v>
      </c>
      <c r="Z972" s="18" t="s">
        <v>30</v>
      </c>
      <c r="AA972" s="19" t="s">
        <v>36</v>
      </c>
    </row>
    <row r="973" spans="1:27" x14ac:dyDescent="0.25">
      <c r="A973" s="17" t="s">
        <v>1731</v>
      </c>
      <c r="B973" s="18" t="s">
        <v>51</v>
      </c>
      <c r="C973" s="63" t="str" cm="1">
        <f t="array" ref="C973">_xlfn.SWITCH(Table22[[#This Row],[Country]],"USA","North America","Canada","North America","Brazil","South America","China","Asia","Japan","Asia","India","Asia","France","Europe","Germany","Europe","UK","Europe","Australia","Oceania","South America")</f>
        <v>Europe</v>
      </c>
      <c r="D973" s="18" t="s">
        <v>35</v>
      </c>
      <c r="E973" s="18" t="s">
        <v>33</v>
      </c>
      <c r="F973" s="18" t="s">
        <v>52</v>
      </c>
      <c r="G973" s="18" t="s">
        <v>48</v>
      </c>
      <c r="H973" s="64">
        <f>LEN(TRIM(Table22[[#This Row],[Country]]))</f>
        <v>2</v>
      </c>
      <c r="I973" s="64">
        <f>LEN(TRIM(Table22[[#This Row],[Continent]]))</f>
        <v>6</v>
      </c>
      <c r="J973" s="64">
        <f>LEN(TRIM(Table22[[#This Row],[Product]]))</f>
        <v>10</v>
      </c>
      <c r="K973" s="64">
        <f>LEN(TRIM(Table22[[#This Row],[Sales Team]]))</f>
        <v>9</v>
      </c>
      <c r="L973" s="23">
        <v>89</v>
      </c>
      <c r="M973" s="65" t="str" cm="1">
        <f t="array" ref="M973">_xlfn.IFS(Table22[[#This Row],[Units Sold]]&lt;40,"Critical",Table22[[#This Row],[Units Sold]]&lt;=50,"Poor",Table22[[#This Row],[Units Sold]]&lt;=60,"Low",Table22[[#This Row],[Units Sold]]&lt;=80,"Average",Table22[[#This Row],[Units Sold]]&lt;=90,"High",Table22[[#This Row],[Units Sold]]&lt;=95,"Excellent",Table22[[#This Row],[Units Sold]]&gt;95,"Outstanding")</f>
        <v>High</v>
      </c>
      <c r="N973" s="29">
        <v>354.17</v>
      </c>
      <c r="O973" s="29">
        <v>31521.13</v>
      </c>
      <c r="P973" s="43">
        <f>IF(Table22[[#This Row],[Discount Applied]],Table22[[#This Row],[Total Sales (in USD)]]*(1-Table22[[#This Row],[Discount Percentage (%)]]/100),Table22[[#This Row],[Total Sales (in USD)]])</f>
        <v>31521.13</v>
      </c>
      <c r="Q973" s="66">
        <f>SQRT(AVERAGE((Table22[[#This Row],[Net Sales (after discount) (in USD)]]-AVERAGE(Table22[Net Sales (after discount) (in USD)]))^2))</f>
        <v>4990.2305637645368</v>
      </c>
      <c r="R973" s="18" t="b">
        <v>0</v>
      </c>
      <c r="S973" s="40">
        <v>6.42</v>
      </c>
      <c r="T973" s="18" t="b">
        <v>0</v>
      </c>
      <c r="U973" s="25">
        <v>45494</v>
      </c>
      <c r="V973" s="63" t="str">
        <f>IF(MONTH(Table22[[#This Row],[Sales Date]])&lt;=3,"Q1",IF(MONTH(Table22[[#This Row],[Sales Date]])&lt;=6,"Q2",IF(MONTH(Table22[[#This Row],[Sales Date]])&lt;=9,"Q3","Q4")))</f>
        <v>Q3</v>
      </c>
      <c r="W973" s="64">
        <f>YEAR(Table22[[#This Row],[Sales Date]])</f>
        <v>2024</v>
      </c>
      <c r="X973" s="23">
        <v>52</v>
      </c>
      <c r="Y973" s="18" t="s">
        <v>41</v>
      </c>
      <c r="Z973" s="18" t="s">
        <v>30</v>
      </c>
      <c r="AA973" s="19" t="s">
        <v>36</v>
      </c>
    </row>
    <row r="974" spans="1:27" x14ac:dyDescent="0.25">
      <c r="A974" s="17" t="s">
        <v>945</v>
      </c>
      <c r="B974" s="18" t="s">
        <v>38</v>
      </c>
      <c r="C974" s="63" t="str" cm="1">
        <f t="array" ref="C974">_xlfn.SWITCH(Table22[[#This Row],[Country]],"USA","North America","Canada","North America","Brazil","South America","China","Asia","Japan","Asia","India","Asia","France","Europe","Germany","Europe","UK","Europe","Australia","Oceania","South America")</f>
        <v>Europe</v>
      </c>
      <c r="D974" s="18" t="s">
        <v>28</v>
      </c>
      <c r="E974" s="18" t="s">
        <v>19</v>
      </c>
      <c r="F974" s="18" t="s">
        <v>20</v>
      </c>
      <c r="G974" s="18" t="s">
        <v>29</v>
      </c>
      <c r="H974" s="64">
        <f>LEN(TRIM(Table22[[#This Row],[Country]]))</f>
        <v>6</v>
      </c>
      <c r="I974" s="64">
        <f>LEN(TRIM(Table22[[#This Row],[Continent]]))</f>
        <v>6</v>
      </c>
      <c r="J974" s="64">
        <f>LEN(TRIM(Table22[[#This Row],[Product]]))</f>
        <v>6</v>
      </c>
      <c r="K974" s="64">
        <f>LEN(TRIM(Table22[[#This Row],[Sales Team]]))</f>
        <v>10</v>
      </c>
      <c r="L974" s="23">
        <v>40</v>
      </c>
      <c r="M974" s="65" t="str" cm="1">
        <f t="array" ref="M974">_xlfn.IFS(Table22[[#This Row],[Units Sold]]&lt;40,"Critical",Table22[[#This Row],[Units Sold]]&lt;=50,"Poor",Table22[[#This Row],[Units Sold]]&lt;=60,"Low",Table22[[#This Row],[Units Sold]]&lt;=80,"Average",Table22[[#This Row],[Units Sold]]&lt;=90,"High",Table22[[#This Row],[Units Sold]]&lt;=95,"Excellent",Table22[[#This Row],[Units Sold]]&gt;95,"Outstanding")</f>
        <v>Poor</v>
      </c>
      <c r="N974" s="29">
        <v>783.82</v>
      </c>
      <c r="O974" s="29">
        <v>31352.799999999999</v>
      </c>
      <c r="P974" s="43">
        <f>IF(Table22[[#This Row],[Discount Applied]],Table22[[#This Row],[Total Sales (in USD)]]*(1-Table22[[#This Row],[Discount Percentage (%)]]/100),Table22[[#This Row],[Total Sales (in USD)]])</f>
        <v>29756.942480000002</v>
      </c>
      <c r="Q974" s="66">
        <f>SQRT(AVERAGE((Table22[[#This Row],[Net Sales (after discount) (in USD)]]-AVERAGE(Table22[Net Sales (after discount) (in USD)]))^2))</f>
        <v>6754.4180837645363</v>
      </c>
      <c r="R974" s="18" t="b">
        <v>0</v>
      </c>
      <c r="S974" s="40">
        <v>5.09</v>
      </c>
      <c r="T974" s="18" t="b">
        <v>1</v>
      </c>
      <c r="U974" s="25">
        <v>44999</v>
      </c>
      <c r="V974" s="63" t="str">
        <f>IF(MONTH(Table22[[#This Row],[Sales Date]])&lt;=3,"Q1",IF(MONTH(Table22[[#This Row],[Sales Date]])&lt;=6,"Q2",IF(MONTH(Table22[[#This Row],[Sales Date]])&lt;=9,"Q3","Q4")))</f>
        <v>Q1</v>
      </c>
      <c r="W974" s="64">
        <f>YEAR(Table22[[#This Row],[Sales Date]])</f>
        <v>2023</v>
      </c>
      <c r="X974" s="23">
        <v>40</v>
      </c>
      <c r="Y974" s="18" t="s">
        <v>23</v>
      </c>
      <c r="Z974" s="18" t="s">
        <v>24</v>
      </c>
      <c r="AA974" s="19" t="s">
        <v>25</v>
      </c>
    </row>
    <row r="975" spans="1:27" x14ac:dyDescent="0.25">
      <c r="A975" s="17" t="s">
        <v>1975</v>
      </c>
      <c r="B975" s="18" t="s">
        <v>72</v>
      </c>
      <c r="C975" s="63" t="str" cm="1">
        <f t="array" ref="C975">_xlfn.SWITCH(Table22[[#This Row],[Country]],"USA","North America","Canada","North America","Brazil","South America","China","Asia","Japan","Asia","India","Asia","France","Europe","Germany","Europe","UK","Europe","Australia","Oceania","South America")</f>
        <v>North America</v>
      </c>
      <c r="D975" s="18" t="s">
        <v>44</v>
      </c>
      <c r="E975" s="18" t="s">
        <v>39</v>
      </c>
      <c r="F975" s="18" t="s">
        <v>47</v>
      </c>
      <c r="G975" s="18" t="s">
        <v>29</v>
      </c>
      <c r="H975" s="64">
        <f>LEN(TRIM(Table22[[#This Row],[Country]]))</f>
        <v>3</v>
      </c>
      <c r="I975" s="64">
        <f>LEN(TRIM(Table22[[#This Row],[Continent]]))</f>
        <v>13</v>
      </c>
      <c r="J975" s="64">
        <f>LEN(TRIM(Table22[[#This Row],[Product]]))</f>
        <v>10</v>
      </c>
      <c r="K975" s="64">
        <f>LEN(TRIM(Table22[[#This Row],[Sales Team]]))</f>
        <v>10</v>
      </c>
      <c r="L975" s="23">
        <v>47</v>
      </c>
      <c r="M975" s="65" t="str" cm="1">
        <f t="array" ref="M975">_xlfn.IFS(Table22[[#This Row],[Units Sold]]&lt;40,"Critical",Table22[[#This Row],[Units Sold]]&lt;=50,"Poor",Table22[[#This Row],[Units Sold]]&lt;=60,"Low",Table22[[#This Row],[Units Sold]]&lt;=80,"Average",Table22[[#This Row],[Units Sold]]&lt;=90,"High",Table22[[#This Row],[Units Sold]]&lt;=95,"Excellent",Table22[[#This Row],[Units Sold]]&gt;95,"Outstanding")</f>
        <v>Poor</v>
      </c>
      <c r="N975" s="29">
        <v>666.52</v>
      </c>
      <c r="O975" s="29">
        <v>31326.44</v>
      </c>
      <c r="P975" s="43">
        <f>IF(Table22[[#This Row],[Discount Applied]],Table22[[#This Row],[Total Sales (in USD)]]*(1-Table22[[#This Row],[Discount Percentage (%)]]/100),Table22[[#This Row],[Total Sales (in USD)]])</f>
        <v>30374.116223999998</v>
      </c>
      <c r="Q975" s="66">
        <f>SQRT(AVERAGE((Table22[[#This Row],[Net Sales (after discount) (in USD)]]-AVERAGE(Table22[Net Sales (after discount) (in USD)]))^2))</f>
        <v>6137.2443397645402</v>
      </c>
      <c r="R975" s="18" t="b">
        <v>1</v>
      </c>
      <c r="S975" s="40">
        <v>3.04</v>
      </c>
      <c r="T975" s="18" t="b">
        <v>1</v>
      </c>
      <c r="U975" s="25">
        <v>45032</v>
      </c>
      <c r="V975" s="63" t="str">
        <f>IF(MONTH(Table22[[#This Row],[Sales Date]])&lt;=3,"Q1",IF(MONTH(Table22[[#This Row],[Sales Date]])&lt;=6,"Q2",IF(MONTH(Table22[[#This Row],[Sales Date]])&lt;=9,"Q3","Q4")))</f>
        <v>Q2</v>
      </c>
      <c r="W975" s="64">
        <f>YEAR(Table22[[#This Row],[Sales Date]])</f>
        <v>2023</v>
      </c>
      <c r="X975" s="23">
        <v>51</v>
      </c>
      <c r="Y975" s="18" t="s">
        <v>49</v>
      </c>
      <c r="Z975" s="18" t="s">
        <v>56</v>
      </c>
      <c r="AA975" s="19" t="s">
        <v>36</v>
      </c>
    </row>
    <row r="976" spans="1:27" x14ac:dyDescent="0.25">
      <c r="A976" s="17" t="s">
        <v>1014</v>
      </c>
      <c r="B976" s="18" t="s">
        <v>38</v>
      </c>
      <c r="C976" s="63" t="str" cm="1">
        <f t="array" ref="C976">_xlfn.SWITCH(Table22[[#This Row],[Country]],"USA","North America","Canada","North America","Brazil","South America","China","Asia","Japan","Asia","India","Asia","France","Europe","Germany","Europe","UK","Europe","Australia","Oceania","South America")</f>
        <v>Europe</v>
      </c>
      <c r="D976" s="18" t="s">
        <v>28</v>
      </c>
      <c r="E976" s="18" t="s">
        <v>33</v>
      </c>
      <c r="F976" s="18" t="s">
        <v>20</v>
      </c>
      <c r="G976" s="18" t="s">
        <v>48</v>
      </c>
      <c r="H976" s="64">
        <f>LEN(TRIM(Table22[[#This Row],[Country]]))</f>
        <v>6</v>
      </c>
      <c r="I976" s="64">
        <f>LEN(TRIM(Table22[[#This Row],[Continent]]))</f>
        <v>6</v>
      </c>
      <c r="J976" s="64">
        <f>LEN(TRIM(Table22[[#This Row],[Product]]))</f>
        <v>10</v>
      </c>
      <c r="K976" s="64">
        <f>LEN(TRIM(Table22[[#This Row],[Sales Team]]))</f>
        <v>9</v>
      </c>
      <c r="L976" s="23">
        <v>56</v>
      </c>
      <c r="M976" s="65" t="str" cm="1">
        <f t="array" ref="M976">_xlfn.IFS(Table22[[#This Row],[Units Sold]]&lt;40,"Critical",Table22[[#This Row],[Units Sold]]&lt;=50,"Poor",Table22[[#This Row],[Units Sold]]&lt;=60,"Low",Table22[[#This Row],[Units Sold]]&lt;=80,"Average",Table22[[#This Row],[Units Sold]]&lt;=90,"High",Table22[[#This Row],[Units Sold]]&lt;=95,"Excellent",Table22[[#This Row],[Units Sold]]&gt;95,"Outstanding")</f>
        <v>Low</v>
      </c>
      <c r="N976" s="29">
        <v>559.29999999999995</v>
      </c>
      <c r="O976" s="29">
        <v>31320.799999999999</v>
      </c>
      <c r="P976" s="43">
        <f>IF(Table22[[#This Row],[Discount Applied]],Table22[[#This Row],[Total Sales (in USD)]]*(1-Table22[[#This Row],[Discount Percentage (%)]]/100),Table22[[#This Row],[Total Sales (in USD)]])</f>
        <v>27737.700479999996</v>
      </c>
      <c r="Q976" s="66">
        <f>SQRT(AVERAGE((Table22[[#This Row],[Net Sales (after discount) (in USD)]]-AVERAGE(Table22[Net Sales (after discount) (in USD)]))^2))</f>
        <v>8773.6600837645419</v>
      </c>
      <c r="R976" s="18" t="b">
        <v>0</v>
      </c>
      <c r="S976" s="40">
        <v>11.44</v>
      </c>
      <c r="T976" s="18" t="b">
        <v>1</v>
      </c>
      <c r="U976" s="25">
        <v>45470</v>
      </c>
      <c r="V976" s="63" t="str">
        <f>IF(MONTH(Table22[[#This Row],[Sales Date]])&lt;=3,"Q1",IF(MONTH(Table22[[#This Row],[Sales Date]])&lt;=6,"Q2",IF(MONTH(Table22[[#This Row],[Sales Date]])&lt;=9,"Q3","Q4")))</f>
        <v>Q2</v>
      </c>
      <c r="W976" s="64">
        <f>YEAR(Table22[[#This Row],[Sales Date]])</f>
        <v>2024</v>
      </c>
      <c r="X976" s="23">
        <v>50</v>
      </c>
      <c r="Y976" s="18" t="s">
        <v>41</v>
      </c>
      <c r="Z976" s="18" t="s">
        <v>56</v>
      </c>
      <c r="AA976" s="19" t="s">
        <v>36</v>
      </c>
    </row>
    <row r="977" spans="1:27" x14ac:dyDescent="0.25">
      <c r="A977" s="17" t="s">
        <v>1316</v>
      </c>
      <c r="B977" s="18" t="s">
        <v>76</v>
      </c>
      <c r="C977" s="63" t="str" cm="1">
        <f t="array" ref="C977">_xlfn.SWITCH(Table22[[#This Row],[Country]],"USA","North America","Canada","North America","Brazil","South America","China","Asia","Japan","Asia","India","Asia","France","Europe","Germany","Europe","UK","Europe","Australia","Oceania","South America")</f>
        <v>Asia</v>
      </c>
      <c r="D977" s="18" t="s">
        <v>44</v>
      </c>
      <c r="E977" s="18" t="s">
        <v>33</v>
      </c>
      <c r="F977" s="18" t="s">
        <v>52</v>
      </c>
      <c r="G977" s="18" t="s">
        <v>48</v>
      </c>
      <c r="H977" s="64">
        <f>LEN(TRIM(Table22[[#This Row],[Country]]))</f>
        <v>5</v>
      </c>
      <c r="I977" s="64">
        <f>LEN(TRIM(Table22[[#This Row],[Continent]]))</f>
        <v>4</v>
      </c>
      <c r="J977" s="64">
        <f>LEN(TRIM(Table22[[#This Row],[Product]]))</f>
        <v>10</v>
      </c>
      <c r="K977" s="64">
        <f>LEN(TRIM(Table22[[#This Row],[Sales Team]]))</f>
        <v>9</v>
      </c>
      <c r="L977" s="23">
        <v>26</v>
      </c>
      <c r="M977" s="65" t="str" cm="1">
        <f t="array" ref="M977">_xlfn.IFS(Table22[[#This Row],[Units Sold]]&lt;40,"Critical",Table22[[#This Row],[Units Sold]]&lt;=50,"Poor",Table22[[#This Row],[Units Sold]]&lt;=60,"Low",Table22[[#This Row],[Units Sold]]&lt;=80,"Average",Table22[[#This Row],[Units Sold]]&lt;=90,"High",Table22[[#This Row],[Units Sold]]&lt;=95,"Excellent",Table22[[#This Row],[Units Sold]]&gt;95,"Outstanding")</f>
        <v>Critical</v>
      </c>
      <c r="N977" s="29">
        <v>1202.29</v>
      </c>
      <c r="O977" s="29">
        <v>31259.54</v>
      </c>
      <c r="P977" s="43">
        <f>IF(Table22[[#This Row],[Discount Applied]],Table22[[#This Row],[Total Sales (in USD)]]*(1-Table22[[#This Row],[Discount Percentage (%)]]/100),Table22[[#This Row],[Total Sales (in USD)]])</f>
        <v>23094.548151999999</v>
      </c>
      <c r="Q977" s="66">
        <f>SQRT(AVERAGE((Table22[[#This Row],[Net Sales (after discount) (in USD)]]-AVERAGE(Table22[Net Sales (after discount) (in USD)]))^2))</f>
        <v>13416.812411764538</v>
      </c>
      <c r="R977" s="18" t="b">
        <v>0</v>
      </c>
      <c r="S977" s="40">
        <v>26.12</v>
      </c>
      <c r="T977" s="18" t="b">
        <v>1</v>
      </c>
      <c r="U977" s="25">
        <v>45534</v>
      </c>
      <c r="V977" s="63" t="str">
        <f>IF(MONTH(Table22[[#This Row],[Sales Date]])&lt;=3,"Q1",IF(MONTH(Table22[[#This Row],[Sales Date]])&lt;=6,"Q2",IF(MONTH(Table22[[#This Row],[Sales Date]])&lt;=9,"Q3","Q4")))</f>
        <v>Q3</v>
      </c>
      <c r="W977" s="64">
        <f>YEAR(Table22[[#This Row],[Sales Date]])</f>
        <v>2024</v>
      </c>
      <c r="X977" s="23">
        <v>18</v>
      </c>
      <c r="Y977" s="18" t="s">
        <v>41</v>
      </c>
      <c r="Z977" s="18" t="s">
        <v>42</v>
      </c>
      <c r="AA977" s="19" t="s">
        <v>25</v>
      </c>
    </row>
    <row r="978" spans="1:27" x14ac:dyDescent="0.25">
      <c r="A978" s="17" t="s">
        <v>1391</v>
      </c>
      <c r="B978" s="18" t="s">
        <v>66</v>
      </c>
      <c r="C978" s="63" t="str" cm="1">
        <f t="array" ref="C978">_xlfn.SWITCH(Table22[[#This Row],[Country]],"USA","North America","Canada","North America","Brazil","South America","China","Asia","Japan","Asia","India","Asia","France","Europe","Germany","Europe","UK","Europe","Australia","Oceania","South America")</f>
        <v>North America</v>
      </c>
      <c r="D978" s="18" t="s">
        <v>28</v>
      </c>
      <c r="E978" s="18" t="s">
        <v>39</v>
      </c>
      <c r="F978" s="18" t="s">
        <v>47</v>
      </c>
      <c r="G978" s="18" t="s">
        <v>22</v>
      </c>
      <c r="H978" s="64">
        <f>LEN(TRIM(Table22[[#This Row],[Country]]))</f>
        <v>6</v>
      </c>
      <c r="I978" s="64">
        <f>LEN(TRIM(Table22[[#This Row],[Continent]]))</f>
        <v>13</v>
      </c>
      <c r="J978" s="64">
        <f>LEN(TRIM(Table22[[#This Row],[Product]]))</f>
        <v>10</v>
      </c>
      <c r="K978" s="64">
        <f>LEN(TRIM(Table22[[#This Row],[Sales Team]]))</f>
        <v>10</v>
      </c>
      <c r="L978" s="23">
        <v>88</v>
      </c>
      <c r="M978" s="65" t="str" cm="1">
        <f t="array" ref="M978">_xlfn.IFS(Table22[[#This Row],[Units Sold]]&lt;40,"Critical",Table22[[#This Row],[Units Sold]]&lt;=50,"Poor",Table22[[#This Row],[Units Sold]]&lt;=60,"Low",Table22[[#This Row],[Units Sold]]&lt;=80,"Average",Table22[[#This Row],[Units Sold]]&lt;=90,"High",Table22[[#This Row],[Units Sold]]&lt;=95,"Excellent",Table22[[#This Row],[Units Sold]]&gt;95,"Outstanding")</f>
        <v>High</v>
      </c>
      <c r="N978" s="29">
        <v>355.17</v>
      </c>
      <c r="O978" s="29">
        <v>31254.959999999999</v>
      </c>
      <c r="P978" s="43">
        <f>IF(Table22[[#This Row],[Discount Applied]],Table22[[#This Row],[Total Sales (in USD)]]*(1-Table22[[#This Row],[Discount Percentage (%)]]/100),Table22[[#This Row],[Total Sales (in USD)]])</f>
        <v>31254.959999999999</v>
      </c>
      <c r="Q978" s="66">
        <f>SQRT(AVERAGE((Table22[[#This Row],[Net Sales (after discount) (in USD)]]-AVERAGE(Table22[Net Sales (after discount) (in USD)]))^2))</f>
        <v>5256.4005637645387</v>
      </c>
      <c r="R978" s="18" t="b">
        <v>1</v>
      </c>
      <c r="S978" s="40">
        <v>2.48</v>
      </c>
      <c r="T978" s="18" t="b">
        <v>0</v>
      </c>
      <c r="U978" s="25">
        <v>45134</v>
      </c>
      <c r="V978" s="63" t="str">
        <f>IF(MONTH(Table22[[#This Row],[Sales Date]])&lt;=3,"Q1",IF(MONTH(Table22[[#This Row],[Sales Date]])&lt;=6,"Q2",IF(MONTH(Table22[[#This Row],[Sales Date]])&lt;=9,"Q3","Q4")))</f>
        <v>Q3</v>
      </c>
      <c r="W978" s="64">
        <f>YEAR(Table22[[#This Row],[Sales Date]])</f>
        <v>2023</v>
      </c>
      <c r="X978" s="23">
        <v>66</v>
      </c>
      <c r="Y978" s="18" t="s">
        <v>49</v>
      </c>
      <c r="Z978" s="18" t="s">
        <v>42</v>
      </c>
      <c r="AA978" s="19" t="s">
        <v>36</v>
      </c>
    </row>
    <row r="979" spans="1:27" x14ac:dyDescent="0.25">
      <c r="A979" s="17" t="s">
        <v>100</v>
      </c>
      <c r="B979" s="18" t="s">
        <v>18</v>
      </c>
      <c r="C979" s="63" t="str" cm="1">
        <f t="array" ref="C979">_xlfn.SWITCH(Table22[[#This Row],[Country]],"USA","North America","Canada","North America","Brazil","South America","China","Asia","Japan","Asia","India","Asia","France","Europe","Germany","Europe","UK","Europe","Australia","Oceania","South America")</f>
        <v>Asia</v>
      </c>
      <c r="D979" s="18" t="s">
        <v>44</v>
      </c>
      <c r="E979" s="18" t="s">
        <v>19</v>
      </c>
      <c r="F979" s="18" t="s">
        <v>64</v>
      </c>
      <c r="G979" s="18" t="s">
        <v>22</v>
      </c>
      <c r="H979" s="64">
        <f>LEN(TRIM(Table22[[#This Row],[Country]]))</f>
        <v>5</v>
      </c>
      <c r="I979" s="64">
        <f>LEN(TRIM(Table22[[#This Row],[Continent]]))</f>
        <v>4</v>
      </c>
      <c r="J979" s="64">
        <f>LEN(TRIM(Table22[[#This Row],[Product]]))</f>
        <v>6</v>
      </c>
      <c r="K979" s="64">
        <f>LEN(TRIM(Table22[[#This Row],[Sales Team]]))</f>
        <v>10</v>
      </c>
      <c r="L979" s="23">
        <v>99</v>
      </c>
      <c r="M979" s="65" t="str" cm="1">
        <f t="array" ref="M979">_xlfn.IFS(Table22[[#This Row],[Units Sold]]&lt;40,"Critical",Table22[[#This Row],[Units Sold]]&lt;=50,"Poor",Table22[[#This Row],[Units Sold]]&lt;=60,"Low",Table22[[#This Row],[Units Sold]]&lt;=80,"Average",Table22[[#This Row],[Units Sold]]&lt;=90,"High",Table22[[#This Row],[Units Sold]]&lt;=95,"Excellent",Table22[[#This Row],[Units Sold]]&gt;95,"Outstanding")</f>
        <v>Outstanding</v>
      </c>
      <c r="N979" s="29">
        <v>315.26</v>
      </c>
      <c r="O979" s="29">
        <v>31210.74</v>
      </c>
      <c r="P979" s="43">
        <f>IF(Table22[[#This Row],[Discount Applied]],Table22[[#This Row],[Total Sales (in USD)]]*(1-Table22[[#This Row],[Discount Percentage (%)]]/100),Table22[[#This Row],[Total Sales (in USD)]])</f>
        <v>23330.028150000002</v>
      </c>
      <c r="Q979" s="66">
        <f>SQRT(AVERAGE((Table22[[#This Row],[Net Sales (after discount) (in USD)]]-AVERAGE(Table22[Net Sales (after discount) (in USD)]))^2))</f>
        <v>13181.332413764536</v>
      </c>
      <c r="R979" s="18" t="b">
        <v>1</v>
      </c>
      <c r="S979" s="40">
        <v>25.25</v>
      </c>
      <c r="T979" s="18" t="b">
        <v>1</v>
      </c>
      <c r="U979" s="25">
        <v>45348</v>
      </c>
      <c r="V979" s="63" t="str">
        <f>IF(MONTH(Table22[[#This Row],[Sales Date]])&lt;=3,"Q1",IF(MONTH(Table22[[#This Row],[Sales Date]])&lt;=6,"Q2",IF(MONTH(Table22[[#This Row],[Sales Date]])&lt;=9,"Q3","Q4")))</f>
        <v>Q1</v>
      </c>
      <c r="W979" s="64">
        <f>YEAR(Table22[[#This Row],[Sales Date]])</f>
        <v>2024</v>
      </c>
      <c r="X979" s="23">
        <v>32</v>
      </c>
      <c r="Y979" s="18" t="s">
        <v>49</v>
      </c>
      <c r="Z979" s="18" t="s">
        <v>56</v>
      </c>
      <c r="AA979" s="19" t="s">
        <v>25</v>
      </c>
    </row>
    <row r="980" spans="1:27" x14ac:dyDescent="0.25">
      <c r="A980" s="17" t="s">
        <v>1040</v>
      </c>
      <c r="B980" s="18" t="s">
        <v>27</v>
      </c>
      <c r="C980" s="63" t="str" cm="1">
        <f t="array" ref="C980">_xlfn.SWITCH(Table22[[#This Row],[Country]],"USA","North America","Canada","North America","Brazil","South America","China","Asia","Japan","Asia","India","Asia","France","Europe","Germany","Europe","UK","Europe","Australia","Oceania","South America")</f>
        <v>Europe</v>
      </c>
      <c r="D980" s="18" t="s">
        <v>44</v>
      </c>
      <c r="E980" s="18" t="s">
        <v>33</v>
      </c>
      <c r="F980" s="18" t="s">
        <v>34</v>
      </c>
      <c r="G980" s="18" t="s">
        <v>40</v>
      </c>
      <c r="H980" s="64">
        <f>LEN(TRIM(Table22[[#This Row],[Country]]))</f>
        <v>7</v>
      </c>
      <c r="I980" s="64">
        <f>LEN(TRIM(Table22[[#This Row],[Continent]]))</f>
        <v>6</v>
      </c>
      <c r="J980" s="64">
        <f>LEN(TRIM(Table22[[#This Row],[Product]]))</f>
        <v>10</v>
      </c>
      <c r="K980" s="64">
        <f>LEN(TRIM(Table22[[#This Row],[Sales Team]]))</f>
        <v>10</v>
      </c>
      <c r="L980" s="23">
        <v>68</v>
      </c>
      <c r="M980" s="65" t="str" cm="1">
        <f t="array" ref="M980">_xlfn.IFS(Table22[[#This Row],[Units Sold]]&lt;40,"Critical",Table22[[#This Row],[Units Sold]]&lt;=50,"Poor",Table22[[#This Row],[Units Sold]]&lt;=60,"Low",Table22[[#This Row],[Units Sold]]&lt;=80,"Average",Table22[[#This Row],[Units Sold]]&lt;=90,"High",Table22[[#This Row],[Units Sold]]&lt;=95,"Excellent",Table22[[#This Row],[Units Sold]]&gt;95,"Outstanding")</f>
        <v>Average</v>
      </c>
      <c r="N980" s="29">
        <v>458.9</v>
      </c>
      <c r="O980" s="29">
        <v>31205.200000000001</v>
      </c>
      <c r="P980" s="43">
        <f>IF(Table22[[#This Row],[Discount Applied]],Table22[[#This Row],[Total Sales (in USD)]]*(1-Table22[[#This Row],[Discount Percentage (%)]]/100),Table22[[#This Row],[Total Sales (in USD)]])</f>
        <v>31205.200000000001</v>
      </c>
      <c r="Q980" s="66">
        <f>SQRT(AVERAGE((Table22[[#This Row],[Net Sales (after discount) (in USD)]]-AVERAGE(Table22[Net Sales (after discount) (in USD)]))^2))</f>
        <v>5306.1605637645371</v>
      </c>
      <c r="R980" s="18" t="b">
        <v>0</v>
      </c>
      <c r="S980" s="40">
        <v>8.8800000000000008</v>
      </c>
      <c r="T980" s="18" t="b">
        <v>0</v>
      </c>
      <c r="U980" s="25">
        <v>45476</v>
      </c>
      <c r="V980" s="63" t="str">
        <f>IF(MONTH(Table22[[#This Row],[Sales Date]])&lt;=3,"Q1",IF(MONTH(Table22[[#This Row],[Sales Date]])&lt;=6,"Q2",IF(MONTH(Table22[[#This Row],[Sales Date]])&lt;=9,"Q3","Q4")))</f>
        <v>Q3</v>
      </c>
      <c r="W980" s="64">
        <f>YEAR(Table22[[#This Row],[Sales Date]])</f>
        <v>2024</v>
      </c>
      <c r="X980" s="23">
        <v>37</v>
      </c>
      <c r="Y980" s="18" t="s">
        <v>23</v>
      </c>
      <c r="Z980" s="18" t="s">
        <v>30</v>
      </c>
      <c r="AA980" s="19" t="s">
        <v>36</v>
      </c>
    </row>
    <row r="981" spans="1:27" x14ac:dyDescent="0.25">
      <c r="A981" s="17" t="s">
        <v>1837</v>
      </c>
      <c r="B981" s="18" t="s">
        <v>38</v>
      </c>
      <c r="C981" s="63" t="str" cm="1">
        <f t="array" ref="C981">_xlfn.SWITCH(Table22[[#This Row],[Country]],"USA","North America","Canada","North America","Brazil","South America","China","Asia","Japan","Asia","India","Asia","France","Europe","Germany","Europe","UK","Europe","Australia","Oceania","South America")</f>
        <v>Europe</v>
      </c>
      <c r="D981" s="18" t="s">
        <v>44</v>
      </c>
      <c r="E981" s="18" t="s">
        <v>19</v>
      </c>
      <c r="F981" s="18" t="s">
        <v>20</v>
      </c>
      <c r="G981" s="18" t="s">
        <v>48</v>
      </c>
      <c r="H981" s="64">
        <f>LEN(TRIM(Table22[[#This Row],[Country]]))</f>
        <v>6</v>
      </c>
      <c r="I981" s="64">
        <f>LEN(TRIM(Table22[[#This Row],[Continent]]))</f>
        <v>6</v>
      </c>
      <c r="J981" s="64">
        <f>LEN(TRIM(Table22[[#This Row],[Product]]))</f>
        <v>6</v>
      </c>
      <c r="K981" s="64">
        <f>LEN(TRIM(Table22[[#This Row],[Sales Team]]))</f>
        <v>9</v>
      </c>
      <c r="L981" s="23">
        <v>82</v>
      </c>
      <c r="M981" s="65" t="str" cm="1">
        <f t="array" ref="M981">_xlfn.IFS(Table22[[#This Row],[Units Sold]]&lt;40,"Critical",Table22[[#This Row],[Units Sold]]&lt;=50,"Poor",Table22[[#This Row],[Units Sold]]&lt;=60,"Low",Table22[[#This Row],[Units Sold]]&lt;=80,"Average",Table22[[#This Row],[Units Sold]]&lt;=90,"High",Table22[[#This Row],[Units Sold]]&lt;=95,"Excellent",Table22[[#This Row],[Units Sold]]&gt;95,"Outstanding")</f>
        <v>High</v>
      </c>
      <c r="N981" s="29">
        <v>380.37</v>
      </c>
      <c r="O981" s="29">
        <v>31190.34</v>
      </c>
      <c r="P981" s="43">
        <f>IF(Table22[[#This Row],[Discount Applied]],Table22[[#This Row],[Total Sales (in USD)]]*(1-Table22[[#This Row],[Discount Percentage (%)]]/100),Table22[[#This Row],[Total Sales (in USD)]])</f>
        <v>29013.254268000001</v>
      </c>
      <c r="Q981" s="66">
        <f>SQRT(AVERAGE((Table22[[#This Row],[Net Sales (after discount) (in USD)]]-AVERAGE(Table22[Net Sales (after discount) (in USD)]))^2))</f>
        <v>7498.1062957645372</v>
      </c>
      <c r="R981" s="18" t="b">
        <v>1</v>
      </c>
      <c r="S981" s="40">
        <v>6.98</v>
      </c>
      <c r="T981" s="18" t="b">
        <v>1</v>
      </c>
      <c r="U981" s="25">
        <v>45275</v>
      </c>
      <c r="V981" s="63" t="str">
        <f>IF(MONTH(Table22[[#This Row],[Sales Date]])&lt;=3,"Q1",IF(MONTH(Table22[[#This Row],[Sales Date]])&lt;=6,"Q2",IF(MONTH(Table22[[#This Row],[Sales Date]])&lt;=9,"Q3","Q4")))</f>
        <v>Q4</v>
      </c>
      <c r="W981" s="64">
        <f>YEAR(Table22[[#This Row],[Sales Date]])</f>
        <v>2023</v>
      </c>
      <c r="X981" s="23">
        <v>36</v>
      </c>
      <c r="Y981" s="18" t="s">
        <v>41</v>
      </c>
      <c r="Z981" s="18" t="s">
        <v>42</v>
      </c>
      <c r="AA981" s="19" t="s">
        <v>36</v>
      </c>
    </row>
    <row r="982" spans="1:27" x14ac:dyDescent="0.25">
      <c r="A982" s="17" t="s">
        <v>555</v>
      </c>
      <c r="B982" s="18" t="s">
        <v>27</v>
      </c>
      <c r="C982" s="63" t="str" cm="1">
        <f t="array" ref="C982">_xlfn.SWITCH(Table22[[#This Row],[Country]],"USA","North America","Canada","North America","Brazil","South America","China","Asia","Japan","Asia","India","Asia","France","Europe","Germany","Europe","UK","Europe","Australia","Oceania","South America")</f>
        <v>Europe</v>
      </c>
      <c r="D982" s="18" t="s">
        <v>21</v>
      </c>
      <c r="E982" s="18" t="s">
        <v>19</v>
      </c>
      <c r="F982" s="18" t="s">
        <v>34</v>
      </c>
      <c r="G982" s="18" t="s">
        <v>48</v>
      </c>
      <c r="H982" s="64">
        <f>LEN(TRIM(Table22[[#This Row],[Country]]))</f>
        <v>7</v>
      </c>
      <c r="I982" s="64">
        <f>LEN(TRIM(Table22[[#This Row],[Continent]]))</f>
        <v>6</v>
      </c>
      <c r="J982" s="64">
        <f>LEN(TRIM(Table22[[#This Row],[Product]]))</f>
        <v>6</v>
      </c>
      <c r="K982" s="64">
        <f>LEN(TRIM(Table22[[#This Row],[Sales Team]]))</f>
        <v>9</v>
      </c>
      <c r="L982" s="23">
        <v>98</v>
      </c>
      <c r="M982" s="65" t="str" cm="1">
        <f t="array" ref="M982">_xlfn.IFS(Table22[[#This Row],[Units Sold]]&lt;40,"Critical",Table22[[#This Row],[Units Sold]]&lt;=50,"Poor",Table22[[#This Row],[Units Sold]]&lt;=60,"Low",Table22[[#This Row],[Units Sold]]&lt;=80,"Average",Table22[[#This Row],[Units Sold]]&lt;=90,"High",Table22[[#This Row],[Units Sold]]&lt;=95,"Excellent",Table22[[#This Row],[Units Sold]]&gt;95,"Outstanding")</f>
        <v>Outstanding</v>
      </c>
      <c r="N982" s="29">
        <v>317.74</v>
      </c>
      <c r="O982" s="29">
        <v>31138.52</v>
      </c>
      <c r="P982" s="43">
        <f>IF(Table22[[#This Row],[Discount Applied]],Table22[[#This Row],[Total Sales (in USD)]]*(1-Table22[[#This Row],[Discount Percentage (%)]]/100),Table22[[#This Row],[Total Sales (in USD)]])</f>
        <v>26744.874828</v>
      </c>
      <c r="Q982" s="66">
        <f>SQRT(AVERAGE((Table22[[#This Row],[Net Sales (after discount) (in USD)]]-AVERAGE(Table22[Net Sales (after discount) (in USD)]))^2))</f>
        <v>9766.4857357645378</v>
      </c>
      <c r="R982" s="18" t="b">
        <v>0</v>
      </c>
      <c r="S982" s="40">
        <v>14.11</v>
      </c>
      <c r="T982" s="18" t="b">
        <v>1</v>
      </c>
      <c r="U982" s="25">
        <v>45397</v>
      </c>
      <c r="V982" s="63" t="str">
        <f>IF(MONTH(Table22[[#This Row],[Sales Date]])&lt;=3,"Q1",IF(MONTH(Table22[[#This Row],[Sales Date]])&lt;=6,"Q2",IF(MONTH(Table22[[#This Row],[Sales Date]])&lt;=9,"Q3","Q4")))</f>
        <v>Q2</v>
      </c>
      <c r="W982" s="64">
        <f>YEAR(Table22[[#This Row],[Sales Date]])</f>
        <v>2024</v>
      </c>
      <c r="X982" s="23">
        <v>61</v>
      </c>
      <c r="Y982" s="18" t="s">
        <v>49</v>
      </c>
      <c r="Z982" s="18" t="s">
        <v>42</v>
      </c>
      <c r="AA982" s="19" t="s">
        <v>25</v>
      </c>
    </row>
    <row r="983" spans="1:27" x14ac:dyDescent="0.25">
      <c r="A983" s="17" t="s">
        <v>147</v>
      </c>
      <c r="B983" s="18" t="s">
        <v>46</v>
      </c>
      <c r="C983" s="63" t="str" cm="1">
        <f t="array" ref="C983">_xlfn.SWITCH(Table22[[#This Row],[Country]],"USA","North America","Canada","North America","Brazil","South America","China","Asia","Japan","Asia","India","Asia","France","Europe","Germany","Europe","UK","Europe","Australia","Oceania","South America")</f>
        <v>South America</v>
      </c>
      <c r="D983" s="18" t="s">
        <v>44</v>
      </c>
      <c r="E983" s="18" t="s">
        <v>33</v>
      </c>
      <c r="F983" s="18" t="s">
        <v>20</v>
      </c>
      <c r="G983" s="18" t="s">
        <v>48</v>
      </c>
      <c r="H983" s="64">
        <f>LEN(TRIM(Table22[[#This Row],[Country]]))</f>
        <v>6</v>
      </c>
      <c r="I983" s="64">
        <f>LEN(TRIM(Table22[[#This Row],[Continent]]))</f>
        <v>13</v>
      </c>
      <c r="J983" s="64">
        <f>LEN(TRIM(Table22[[#This Row],[Product]]))</f>
        <v>10</v>
      </c>
      <c r="K983" s="64">
        <f>LEN(TRIM(Table22[[#This Row],[Sales Team]]))</f>
        <v>9</v>
      </c>
      <c r="L983" s="23">
        <v>46</v>
      </c>
      <c r="M983" s="65" t="str" cm="1">
        <f t="array" ref="M983">_xlfn.IFS(Table22[[#This Row],[Units Sold]]&lt;40,"Critical",Table22[[#This Row],[Units Sold]]&lt;=50,"Poor",Table22[[#This Row],[Units Sold]]&lt;=60,"Low",Table22[[#This Row],[Units Sold]]&lt;=80,"Average",Table22[[#This Row],[Units Sold]]&lt;=90,"High",Table22[[#This Row],[Units Sold]]&lt;=95,"Excellent",Table22[[#This Row],[Units Sold]]&gt;95,"Outstanding")</f>
        <v>Poor</v>
      </c>
      <c r="N983" s="29">
        <v>676.71</v>
      </c>
      <c r="O983" s="29">
        <v>31128.66</v>
      </c>
      <c r="P983" s="43">
        <f>IF(Table22[[#This Row],[Discount Applied]],Table22[[#This Row],[Total Sales (in USD)]]*(1-Table22[[#This Row],[Discount Percentage (%)]]/100),Table22[[#This Row],[Total Sales (in USD)]])</f>
        <v>31128.66</v>
      </c>
      <c r="Q983" s="66">
        <f>SQRT(AVERAGE((Table22[[#This Row],[Net Sales (after discount) (in USD)]]-AVERAGE(Table22[Net Sales (after discount) (in USD)]))^2))</f>
        <v>5382.7005637645379</v>
      </c>
      <c r="R983" s="18" t="b">
        <v>1</v>
      </c>
      <c r="S983" s="40">
        <v>20.32</v>
      </c>
      <c r="T983" s="18" t="b">
        <v>0</v>
      </c>
      <c r="U983" s="25">
        <v>45337</v>
      </c>
      <c r="V983" s="63" t="str">
        <f>IF(MONTH(Table22[[#This Row],[Sales Date]])&lt;=3,"Q1",IF(MONTH(Table22[[#This Row],[Sales Date]])&lt;=6,"Q2",IF(MONTH(Table22[[#This Row],[Sales Date]])&lt;=9,"Q3","Q4")))</f>
        <v>Q1</v>
      </c>
      <c r="W983" s="64">
        <f>YEAR(Table22[[#This Row],[Sales Date]])</f>
        <v>2024</v>
      </c>
      <c r="X983" s="23">
        <v>66</v>
      </c>
      <c r="Y983" s="18" t="s">
        <v>41</v>
      </c>
      <c r="Z983" s="18" t="s">
        <v>24</v>
      </c>
      <c r="AA983" s="19" t="s">
        <v>25</v>
      </c>
    </row>
    <row r="984" spans="1:27" x14ac:dyDescent="0.25">
      <c r="A984" s="17" t="s">
        <v>727</v>
      </c>
      <c r="B984" s="18" t="s">
        <v>51</v>
      </c>
      <c r="C984" s="63" t="str" cm="1">
        <f t="array" ref="C984">_xlfn.SWITCH(Table22[[#This Row],[Country]],"USA","North America","Canada","North America","Brazil","South America","China","Asia","Japan","Asia","India","Asia","France","Europe","Germany","Europe","UK","Europe","Australia","Oceania","South America")</f>
        <v>Europe</v>
      </c>
      <c r="D984" s="18" t="s">
        <v>21</v>
      </c>
      <c r="E984" s="18" t="s">
        <v>19</v>
      </c>
      <c r="F984" s="18" t="s">
        <v>47</v>
      </c>
      <c r="G984" s="18" t="s">
        <v>48</v>
      </c>
      <c r="H984" s="64">
        <f>LEN(TRIM(Table22[[#This Row],[Country]]))</f>
        <v>2</v>
      </c>
      <c r="I984" s="64">
        <f>LEN(TRIM(Table22[[#This Row],[Continent]]))</f>
        <v>6</v>
      </c>
      <c r="J984" s="64">
        <f>LEN(TRIM(Table22[[#This Row],[Product]]))</f>
        <v>6</v>
      </c>
      <c r="K984" s="64">
        <f>LEN(TRIM(Table22[[#This Row],[Sales Team]]))</f>
        <v>9</v>
      </c>
      <c r="L984" s="23">
        <v>22</v>
      </c>
      <c r="M984" s="65" t="str" cm="1">
        <f t="array" ref="M984">_xlfn.IFS(Table22[[#This Row],[Units Sold]]&lt;40,"Critical",Table22[[#This Row],[Units Sold]]&lt;=50,"Poor",Table22[[#This Row],[Units Sold]]&lt;=60,"Low",Table22[[#This Row],[Units Sold]]&lt;=80,"Average",Table22[[#This Row],[Units Sold]]&lt;=90,"High",Table22[[#This Row],[Units Sold]]&lt;=95,"Excellent",Table22[[#This Row],[Units Sold]]&gt;95,"Outstanding")</f>
        <v>Critical</v>
      </c>
      <c r="N984" s="29">
        <v>1414.65</v>
      </c>
      <c r="O984" s="29">
        <v>31122.3</v>
      </c>
      <c r="P984" s="43">
        <f>IF(Table22[[#This Row],[Discount Applied]],Table22[[#This Row],[Total Sales (in USD)]]*(1-Table22[[#This Row],[Discount Percentage (%)]]/100),Table22[[#This Row],[Total Sales (in USD)]])</f>
        <v>24984.98244</v>
      </c>
      <c r="Q984" s="66">
        <f>SQRT(AVERAGE((Table22[[#This Row],[Net Sales (after discount) (in USD)]]-AVERAGE(Table22[Net Sales (after discount) (in USD)]))^2))</f>
        <v>11526.378123764538</v>
      </c>
      <c r="R984" s="18" t="b">
        <v>1</v>
      </c>
      <c r="S984" s="40">
        <v>19.72</v>
      </c>
      <c r="T984" s="18" t="b">
        <v>1</v>
      </c>
      <c r="U984" s="25">
        <v>45532</v>
      </c>
      <c r="V984" s="63" t="str">
        <f>IF(MONTH(Table22[[#This Row],[Sales Date]])&lt;=3,"Q1",IF(MONTH(Table22[[#This Row],[Sales Date]])&lt;=6,"Q2",IF(MONTH(Table22[[#This Row],[Sales Date]])&lt;=9,"Q3","Q4")))</f>
        <v>Q3</v>
      </c>
      <c r="W984" s="64">
        <f>YEAR(Table22[[#This Row],[Sales Date]])</f>
        <v>2024</v>
      </c>
      <c r="X984" s="23">
        <v>53</v>
      </c>
      <c r="Y984" s="18" t="s">
        <v>23</v>
      </c>
      <c r="Z984" s="18" t="s">
        <v>30</v>
      </c>
      <c r="AA984" s="19" t="s">
        <v>25</v>
      </c>
    </row>
    <row r="985" spans="1:27" x14ac:dyDescent="0.25">
      <c r="A985" s="17" t="s">
        <v>1758</v>
      </c>
      <c r="B985" s="18" t="s">
        <v>18</v>
      </c>
      <c r="C985" s="63" t="str" cm="1">
        <f t="array" ref="C985">_xlfn.SWITCH(Table22[[#This Row],[Country]],"USA","North America","Canada","North America","Brazil","South America","China","Asia","Japan","Asia","India","Asia","France","Europe","Germany","Europe","UK","Europe","Australia","Oceania","South America")</f>
        <v>Asia</v>
      </c>
      <c r="D985" s="18" t="s">
        <v>44</v>
      </c>
      <c r="E985" s="18" t="s">
        <v>39</v>
      </c>
      <c r="F985" s="18" t="s">
        <v>34</v>
      </c>
      <c r="G985" s="18" t="s">
        <v>22</v>
      </c>
      <c r="H985" s="64">
        <f>LEN(TRIM(Table22[[#This Row],[Country]]))</f>
        <v>5</v>
      </c>
      <c r="I985" s="64">
        <f>LEN(TRIM(Table22[[#This Row],[Continent]]))</f>
        <v>4</v>
      </c>
      <c r="J985" s="64">
        <f>LEN(TRIM(Table22[[#This Row],[Product]]))</f>
        <v>10</v>
      </c>
      <c r="K985" s="64">
        <f>LEN(TRIM(Table22[[#This Row],[Sales Team]]))</f>
        <v>10</v>
      </c>
      <c r="L985" s="23">
        <v>67</v>
      </c>
      <c r="M985" s="65" t="str" cm="1">
        <f t="array" ref="M985">_xlfn.IFS(Table22[[#This Row],[Units Sold]]&lt;40,"Critical",Table22[[#This Row],[Units Sold]]&lt;=50,"Poor",Table22[[#This Row],[Units Sold]]&lt;=60,"Low",Table22[[#This Row],[Units Sold]]&lt;=80,"Average",Table22[[#This Row],[Units Sold]]&lt;=90,"High",Table22[[#This Row],[Units Sold]]&lt;=95,"Excellent",Table22[[#This Row],[Units Sold]]&gt;95,"Outstanding")</f>
        <v>Average</v>
      </c>
      <c r="N985" s="29">
        <v>462.68</v>
      </c>
      <c r="O985" s="29">
        <v>30999.56</v>
      </c>
      <c r="P985" s="43">
        <f>IF(Table22[[#This Row],[Discount Applied]],Table22[[#This Row],[Total Sales (in USD)]]*(1-Table22[[#This Row],[Discount Percentage (%)]]/100),Table22[[#This Row],[Total Sales (in USD)]])</f>
        <v>26569.722876</v>
      </c>
      <c r="Q985" s="66">
        <f>SQRT(AVERAGE((Table22[[#This Row],[Net Sales (after discount) (in USD)]]-AVERAGE(Table22[Net Sales (after discount) (in USD)]))^2))</f>
        <v>9941.637687764538</v>
      </c>
      <c r="R985" s="18" t="b">
        <v>0</v>
      </c>
      <c r="S985" s="40">
        <v>14.29</v>
      </c>
      <c r="T985" s="18" t="b">
        <v>1</v>
      </c>
      <c r="U985" s="25">
        <v>44948</v>
      </c>
      <c r="V985" s="63" t="str">
        <f>IF(MONTH(Table22[[#This Row],[Sales Date]])&lt;=3,"Q1",IF(MONTH(Table22[[#This Row],[Sales Date]])&lt;=6,"Q2",IF(MONTH(Table22[[#This Row],[Sales Date]])&lt;=9,"Q3","Q4")))</f>
        <v>Q1</v>
      </c>
      <c r="W985" s="64">
        <f>YEAR(Table22[[#This Row],[Sales Date]])</f>
        <v>2023</v>
      </c>
      <c r="X985" s="23">
        <v>65</v>
      </c>
      <c r="Y985" s="18" t="s">
        <v>41</v>
      </c>
      <c r="Z985" s="18" t="s">
        <v>56</v>
      </c>
      <c r="AA985" s="19" t="s">
        <v>36</v>
      </c>
    </row>
    <row r="986" spans="1:27" x14ac:dyDescent="0.25">
      <c r="A986" s="17" t="s">
        <v>1220</v>
      </c>
      <c r="B986" s="18" t="s">
        <v>72</v>
      </c>
      <c r="C986" s="63" t="str" cm="1">
        <f t="array" ref="C986">_xlfn.SWITCH(Table22[[#This Row],[Country]],"USA","North America","Canada","North America","Brazil","South America","China","Asia","Japan","Asia","India","Asia","France","Europe","Germany","Europe","UK","Europe","Australia","Oceania","South America")</f>
        <v>North America</v>
      </c>
      <c r="D986" s="18" t="s">
        <v>35</v>
      </c>
      <c r="E986" s="18" t="s">
        <v>33</v>
      </c>
      <c r="F986" s="18" t="s">
        <v>20</v>
      </c>
      <c r="G986" s="18" t="s">
        <v>48</v>
      </c>
      <c r="H986" s="64">
        <f>LEN(TRIM(Table22[[#This Row],[Country]]))</f>
        <v>3</v>
      </c>
      <c r="I986" s="64">
        <f>LEN(TRIM(Table22[[#This Row],[Continent]]))</f>
        <v>13</v>
      </c>
      <c r="J986" s="64">
        <f>LEN(TRIM(Table22[[#This Row],[Product]]))</f>
        <v>10</v>
      </c>
      <c r="K986" s="64">
        <f>LEN(TRIM(Table22[[#This Row],[Sales Team]]))</f>
        <v>9</v>
      </c>
      <c r="L986" s="23">
        <v>29</v>
      </c>
      <c r="M986" s="65" t="str" cm="1">
        <f t="array" ref="M986">_xlfn.IFS(Table22[[#This Row],[Units Sold]]&lt;40,"Critical",Table22[[#This Row],[Units Sold]]&lt;=50,"Poor",Table22[[#This Row],[Units Sold]]&lt;=60,"Low",Table22[[#This Row],[Units Sold]]&lt;=80,"Average",Table22[[#This Row],[Units Sold]]&lt;=90,"High",Table22[[#This Row],[Units Sold]]&lt;=95,"Excellent",Table22[[#This Row],[Units Sold]]&gt;95,"Outstanding")</f>
        <v>Critical</v>
      </c>
      <c r="N986" s="29">
        <v>1067.82</v>
      </c>
      <c r="O986" s="29">
        <v>30966.78</v>
      </c>
      <c r="P986" s="43">
        <f>IF(Table22[[#This Row],[Discount Applied]],Table22[[#This Row],[Total Sales (in USD)]]*(1-Table22[[#This Row],[Discount Percentage (%)]]/100),Table22[[#This Row],[Total Sales (in USD)]])</f>
        <v>30966.78</v>
      </c>
      <c r="Q986" s="66">
        <f>SQRT(AVERAGE((Table22[[#This Row],[Net Sales (after discount) (in USD)]]-AVERAGE(Table22[Net Sales (after discount) (in USD)]))^2))</f>
        <v>5544.580563764539</v>
      </c>
      <c r="R986" s="18" t="b">
        <v>1</v>
      </c>
      <c r="S986" s="40">
        <v>19.91</v>
      </c>
      <c r="T986" s="18" t="b">
        <v>0</v>
      </c>
      <c r="U986" s="25">
        <v>45490</v>
      </c>
      <c r="V986" s="63" t="str">
        <f>IF(MONTH(Table22[[#This Row],[Sales Date]])&lt;=3,"Q1",IF(MONTH(Table22[[#This Row],[Sales Date]])&lt;=6,"Q2",IF(MONTH(Table22[[#This Row],[Sales Date]])&lt;=9,"Q3","Q4")))</f>
        <v>Q3</v>
      </c>
      <c r="W986" s="64">
        <f>YEAR(Table22[[#This Row],[Sales Date]])</f>
        <v>2024</v>
      </c>
      <c r="X986" s="23">
        <v>19</v>
      </c>
      <c r="Y986" s="18" t="s">
        <v>41</v>
      </c>
      <c r="Z986" s="18" t="s">
        <v>24</v>
      </c>
      <c r="AA986" s="19" t="s">
        <v>36</v>
      </c>
    </row>
    <row r="987" spans="1:27" x14ac:dyDescent="0.25">
      <c r="A987" s="17" t="s">
        <v>1227</v>
      </c>
      <c r="B987" s="18" t="s">
        <v>72</v>
      </c>
      <c r="C987" s="63" t="str" cm="1">
        <f t="array" ref="C987">_xlfn.SWITCH(Table22[[#This Row],[Country]],"USA","North America","Canada","North America","Brazil","South America","China","Asia","Japan","Asia","India","Asia","France","Europe","Germany","Europe","UK","Europe","Australia","Oceania","South America")</f>
        <v>North America</v>
      </c>
      <c r="D987" s="18" t="s">
        <v>28</v>
      </c>
      <c r="E987" s="18" t="s">
        <v>19</v>
      </c>
      <c r="F987" s="18" t="s">
        <v>47</v>
      </c>
      <c r="G987" s="18" t="s">
        <v>22</v>
      </c>
      <c r="H987" s="64">
        <f>LEN(TRIM(Table22[[#This Row],[Country]]))</f>
        <v>3</v>
      </c>
      <c r="I987" s="64">
        <f>LEN(TRIM(Table22[[#This Row],[Continent]]))</f>
        <v>13</v>
      </c>
      <c r="J987" s="64">
        <f>LEN(TRIM(Table22[[#This Row],[Product]]))</f>
        <v>6</v>
      </c>
      <c r="K987" s="64">
        <f>LEN(TRIM(Table22[[#This Row],[Sales Team]]))</f>
        <v>10</v>
      </c>
      <c r="L987" s="23">
        <v>36</v>
      </c>
      <c r="M987" s="65" t="str" cm="1">
        <f t="array" ref="M987">_xlfn.IFS(Table22[[#This Row],[Units Sold]]&lt;40,"Critical",Table22[[#This Row],[Units Sold]]&lt;=50,"Poor",Table22[[#This Row],[Units Sold]]&lt;=60,"Low",Table22[[#This Row],[Units Sold]]&lt;=80,"Average",Table22[[#This Row],[Units Sold]]&lt;=90,"High",Table22[[#This Row],[Units Sold]]&lt;=95,"Excellent",Table22[[#This Row],[Units Sold]]&gt;95,"Outstanding")</f>
        <v>Critical</v>
      </c>
      <c r="N987" s="29">
        <v>860.16</v>
      </c>
      <c r="O987" s="29">
        <v>30965.759999999998</v>
      </c>
      <c r="P987" s="43">
        <f>IF(Table22[[#This Row],[Discount Applied]],Table22[[#This Row],[Total Sales (in USD)]]*(1-Table22[[#This Row],[Discount Percentage (%)]]/100),Table22[[#This Row],[Total Sales (in USD)]])</f>
        <v>30399.086592</v>
      </c>
      <c r="Q987" s="66">
        <f>SQRT(AVERAGE((Table22[[#This Row],[Net Sales (after discount) (in USD)]]-AVERAGE(Table22[Net Sales (after discount) (in USD)]))^2))</f>
        <v>6112.2739717645381</v>
      </c>
      <c r="R987" s="18" t="b">
        <v>1</v>
      </c>
      <c r="S987" s="40">
        <v>1.83</v>
      </c>
      <c r="T987" s="18" t="b">
        <v>1</v>
      </c>
      <c r="U987" s="25">
        <v>45124</v>
      </c>
      <c r="V987" s="63" t="str">
        <f>IF(MONTH(Table22[[#This Row],[Sales Date]])&lt;=3,"Q1",IF(MONTH(Table22[[#This Row],[Sales Date]])&lt;=6,"Q2",IF(MONTH(Table22[[#This Row],[Sales Date]])&lt;=9,"Q3","Q4")))</f>
        <v>Q3</v>
      </c>
      <c r="W987" s="64">
        <f>YEAR(Table22[[#This Row],[Sales Date]])</f>
        <v>2023</v>
      </c>
      <c r="X987" s="23">
        <v>63</v>
      </c>
      <c r="Y987" s="18" t="s">
        <v>49</v>
      </c>
      <c r="Z987" s="18" t="s">
        <v>30</v>
      </c>
      <c r="AA987" s="19" t="s">
        <v>36</v>
      </c>
    </row>
    <row r="988" spans="1:27" x14ac:dyDescent="0.25">
      <c r="A988" s="17" t="s">
        <v>1276</v>
      </c>
      <c r="B988" s="18" t="s">
        <v>38</v>
      </c>
      <c r="C988" s="63" t="str" cm="1">
        <f t="array" ref="C988">_xlfn.SWITCH(Table22[[#This Row],[Country]],"USA","North America","Canada","North America","Brazil","South America","China","Asia","Japan","Asia","India","Asia","France","Europe","Germany","Europe","UK","Europe","Australia","Oceania","South America")</f>
        <v>Europe</v>
      </c>
      <c r="D988" s="18" t="s">
        <v>44</v>
      </c>
      <c r="E988" s="18" t="s">
        <v>33</v>
      </c>
      <c r="F988" s="18" t="s">
        <v>52</v>
      </c>
      <c r="G988" s="18" t="s">
        <v>48</v>
      </c>
      <c r="H988" s="64">
        <f>LEN(TRIM(Table22[[#This Row],[Country]]))</f>
        <v>6</v>
      </c>
      <c r="I988" s="64">
        <f>LEN(TRIM(Table22[[#This Row],[Continent]]))</f>
        <v>6</v>
      </c>
      <c r="J988" s="64">
        <f>LEN(TRIM(Table22[[#This Row],[Product]]))</f>
        <v>10</v>
      </c>
      <c r="K988" s="64">
        <f>LEN(TRIM(Table22[[#This Row],[Sales Team]]))</f>
        <v>9</v>
      </c>
      <c r="L988" s="23">
        <v>46</v>
      </c>
      <c r="M988" s="65" t="str" cm="1">
        <f t="array" ref="M988">_xlfn.IFS(Table22[[#This Row],[Units Sold]]&lt;40,"Critical",Table22[[#This Row],[Units Sold]]&lt;=50,"Poor",Table22[[#This Row],[Units Sold]]&lt;=60,"Low",Table22[[#This Row],[Units Sold]]&lt;=80,"Average",Table22[[#This Row],[Units Sold]]&lt;=90,"High",Table22[[#This Row],[Units Sold]]&lt;=95,"Excellent",Table22[[#This Row],[Units Sold]]&gt;95,"Outstanding")</f>
        <v>Poor</v>
      </c>
      <c r="N988" s="29">
        <v>673.12</v>
      </c>
      <c r="O988" s="29">
        <v>30963.52</v>
      </c>
      <c r="P988" s="43">
        <f>IF(Table22[[#This Row],[Discount Applied]],Table22[[#This Row],[Total Sales (in USD)]]*(1-Table22[[#This Row],[Discount Percentage (%)]]/100),Table22[[#This Row],[Total Sales (in USD)]])</f>
        <v>30963.52</v>
      </c>
      <c r="Q988" s="66">
        <f>SQRT(AVERAGE((Table22[[#This Row],[Net Sales (after discount) (in USD)]]-AVERAGE(Table22[Net Sales (after discount) (in USD)]))^2))</f>
        <v>5547.8405637645374</v>
      </c>
      <c r="R988" s="18" t="b">
        <v>1</v>
      </c>
      <c r="S988" s="40">
        <v>19.420000000000002</v>
      </c>
      <c r="T988" s="18" t="b">
        <v>0</v>
      </c>
      <c r="U988" s="25">
        <v>45396</v>
      </c>
      <c r="V988" s="63" t="str">
        <f>IF(MONTH(Table22[[#This Row],[Sales Date]])&lt;=3,"Q1",IF(MONTH(Table22[[#This Row],[Sales Date]])&lt;=6,"Q2",IF(MONTH(Table22[[#This Row],[Sales Date]])&lt;=9,"Q3","Q4")))</f>
        <v>Q2</v>
      </c>
      <c r="W988" s="64">
        <f>YEAR(Table22[[#This Row],[Sales Date]])</f>
        <v>2024</v>
      </c>
      <c r="X988" s="23">
        <v>31</v>
      </c>
      <c r="Y988" s="18" t="s">
        <v>41</v>
      </c>
      <c r="Z988" s="18" t="s">
        <v>30</v>
      </c>
      <c r="AA988" s="19" t="s">
        <v>36</v>
      </c>
    </row>
    <row r="989" spans="1:27" x14ac:dyDescent="0.25">
      <c r="A989" s="17" t="s">
        <v>824</v>
      </c>
      <c r="B989" s="18" t="s">
        <v>72</v>
      </c>
      <c r="C989" s="63" t="str" cm="1">
        <f t="array" ref="C989">_xlfn.SWITCH(Table22[[#This Row],[Country]],"USA","North America","Canada","North America","Brazil","South America","China","Asia","Japan","Asia","India","Asia","France","Europe","Germany","Europe","UK","Europe","Australia","Oceania","South America")</f>
        <v>North America</v>
      </c>
      <c r="D989" s="18" t="s">
        <v>44</v>
      </c>
      <c r="E989" s="18" t="s">
        <v>19</v>
      </c>
      <c r="F989" s="18" t="s">
        <v>52</v>
      </c>
      <c r="G989" s="18" t="s">
        <v>40</v>
      </c>
      <c r="H989" s="64">
        <f>LEN(TRIM(Table22[[#This Row],[Country]]))</f>
        <v>3</v>
      </c>
      <c r="I989" s="64">
        <f>LEN(TRIM(Table22[[#This Row],[Continent]]))</f>
        <v>13</v>
      </c>
      <c r="J989" s="64">
        <f>LEN(TRIM(Table22[[#This Row],[Product]]))</f>
        <v>6</v>
      </c>
      <c r="K989" s="64">
        <f>LEN(TRIM(Table22[[#This Row],[Sales Team]]))</f>
        <v>10</v>
      </c>
      <c r="L989" s="23">
        <v>62</v>
      </c>
      <c r="M989" s="65" t="str" cm="1">
        <f t="array" ref="M989">_xlfn.IFS(Table22[[#This Row],[Units Sold]]&lt;40,"Critical",Table22[[#This Row],[Units Sold]]&lt;=50,"Poor",Table22[[#This Row],[Units Sold]]&lt;=60,"Low",Table22[[#This Row],[Units Sold]]&lt;=80,"Average",Table22[[#This Row],[Units Sold]]&lt;=90,"High",Table22[[#This Row],[Units Sold]]&lt;=95,"Excellent",Table22[[#This Row],[Units Sold]]&gt;95,"Outstanding")</f>
        <v>Average</v>
      </c>
      <c r="N989" s="29">
        <v>499.04</v>
      </c>
      <c r="O989" s="29">
        <v>30940.48</v>
      </c>
      <c r="P989" s="43">
        <f>IF(Table22[[#This Row],[Discount Applied]],Table22[[#This Row],[Total Sales (in USD)]]*(1-Table22[[#This Row],[Discount Percentage (%)]]/100),Table22[[#This Row],[Total Sales (in USD)]])</f>
        <v>26658.317568000002</v>
      </c>
      <c r="Q989" s="66">
        <f>SQRT(AVERAGE((Table22[[#This Row],[Net Sales (after discount) (in USD)]]-AVERAGE(Table22[Net Sales (after discount) (in USD)]))^2))</f>
        <v>9853.0429957645356</v>
      </c>
      <c r="R989" s="18" t="b">
        <v>1</v>
      </c>
      <c r="S989" s="40">
        <v>13.84</v>
      </c>
      <c r="T989" s="18" t="b">
        <v>1</v>
      </c>
      <c r="U989" s="25">
        <v>44949</v>
      </c>
      <c r="V989" s="63" t="str">
        <f>IF(MONTH(Table22[[#This Row],[Sales Date]])&lt;=3,"Q1",IF(MONTH(Table22[[#This Row],[Sales Date]])&lt;=6,"Q2",IF(MONTH(Table22[[#This Row],[Sales Date]])&lt;=9,"Q3","Q4")))</f>
        <v>Q1</v>
      </c>
      <c r="W989" s="64">
        <f>YEAR(Table22[[#This Row],[Sales Date]])</f>
        <v>2023</v>
      </c>
      <c r="X989" s="23">
        <v>52</v>
      </c>
      <c r="Y989" s="18" t="s">
        <v>23</v>
      </c>
      <c r="Z989" s="18" t="s">
        <v>42</v>
      </c>
      <c r="AA989" s="19" t="s">
        <v>36</v>
      </c>
    </row>
    <row r="990" spans="1:27" x14ac:dyDescent="0.25">
      <c r="A990" s="17" t="s">
        <v>1441</v>
      </c>
      <c r="B990" s="18" t="s">
        <v>62</v>
      </c>
      <c r="C990" s="63" t="str" cm="1">
        <f t="array" ref="C990">_xlfn.SWITCH(Table22[[#This Row],[Country]],"USA","North America","Canada","North America","Brazil","South America","China","Asia","Japan","Asia","India","Asia","France","Europe","Germany","Europe","UK","Europe","Australia","Oceania","South America")</f>
        <v>Oceania</v>
      </c>
      <c r="D990" s="18" t="s">
        <v>44</v>
      </c>
      <c r="E990" s="18" t="s">
        <v>39</v>
      </c>
      <c r="F990" s="18" t="s">
        <v>34</v>
      </c>
      <c r="G990" s="18" t="s">
        <v>40</v>
      </c>
      <c r="H990" s="64">
        <f>LEN(TRIM(Table22[[#This Row],[Country]]))</f>
        <v>9</v>
      </c>
      <c r="I990" s="64">
        <f>LEN(TRIM(Table22[[#This Row],[Continent]]))</f>
        <v>7</v>
      </c>
      <c r="J990" s="64">
        <f>LEN(TRIM(Table22[[#This Row],[Product]]))</f>
        <v>10</v>
      </c>
      <c r="K990" s="64">
        <f>LEN(TRIM(Table22[[#This Row],[Sales Team]]))</f>
        <v>10</v>
      </c>
      <c r="L990" s="23">
        <v>29</v>
      </c>
      <c r="M990" s="65" t="str" cm="1">
        <f t="array" ref="M990">_xlfn.IFS(Table22[[#This Row],[Units Sold]]&lt;40,"Critical",Table22[[#This Row],[Units Sold]]&lt;=50,"Poor",Table22[[#This Row],[Units Sold]]&lt;=60,"Low",Table22[[#This Row],[Units Sold]]&lt;=80,"Average",Table22[[#This Row],[Units Sold]]&lt;=90,"High",Table22[[#This Row],[Units Sold]]&lt;=95,"Excellent",Table22[[#This Row],[Units Sold]]&gt;95,"Outstanding")</f>
        <v>Critical</v>
      </c>
      <c r="N990" s="29">
        <v>1066.19</v>
      </c>
      <c r="O990" s="29">
        <v>30919.51</v>
      </c>
      <c r="P990" s="43">
        <f>IF(Table22[[#This Row],[Discount Applied]],Table22[[#This Row],[Total Sales (in USD)]]*(1-Table22[[#This Row],[Discount Percentage (%)]]/100),Table22[[#This Row],[Total Sales (in USD)]])</f>
        <v>30919.51</v>
      </c>
      <c r="Q990" s="66">
        <f>SQRT(AVERAGE((Table22[[#This Row],[Net Sales (after discount) (in USD)]]-AVERAGE(Table22[Net Sales (after discount) (in USD)]))^2))</f>
        <v>5591.8505637645394</v>
      </c>
      <c r="R990" s="18" t="b">
        <v>1</v>
      </c>
      <c r="S990" s="40">
        <v>23.51</v>
      </c>
      <c r="T990" s="18" t="b">
        <v>0</v>
      </c>
      <c r="U990" s="25">
        <v>45451</v>
      </c>
      <c r="V990" s="63" t="str">
        <f>IF(MONTH(Table22[[#This Row],[Sales Date]])&lt;=3,"Q1",IF(MONTH(Table22[[#This Row],[Sales Date]])&lt;=6,"Q2",IF(MONTH(Table22[[#This Row],[Sales Date]])&lt;=9,"Q3","Q4")))</f>
        <v>Q2</v>
      </c>
      <c r="W990" s="64">
        <f>YEAR(Table22[[#This Row],[Sales Date]])</f>
        <v>2024</v>
      </c>
      <c r="X990" s="23">
        <v>20</v>
      </c>
      <c r="Y990" s="18" t="s">
        <v>23</v>
      </c>
      <c r="Z990" s="18" t="s">
        <v>24</v>
      </c>
      <c r="AA990" s="19" t="s">
        <v>36</v>
      </c>
    </row>
    <row r="991" spans="1:27" x14ac:dyDescent="0.25">
      <c r="A991" s="17" t="s">
        <v>1775</v>
      </c>
      <c r="B991" s="18" t="s">
        <v>66</v>
      </c>
      <c r="C991" s="63" t="str" cm="1">
        <f t="array" ref="C991">_xlfn.SWITCH(Table22[[#This Row],[Country]],"USA","North America","Canada","North America","Brazil","South America","China","Asia","Japan","Asia","India","Asia","France","Europe","Germany","Europe","UK","Europe","Australia","Oceania","South America")</f>
        <v>North America</v>
      </c>
      <c r="D991" s="18" t="s">
        <v>28</v>
      </c>
      <c r="E991" s="18" t="s">
        <v>39</v>
      </c>
      <c r="F991" s="18" t="s">
        <v>64</v>
      </c>
      <c r="G991" s="18" t="s">
        <v>29</v>
      </c>
      <c r="H991" s="64">
        <f>LEN(TRIM(Table22[[#This Row],[Country]]))</f>
        <v>6</v>
      </c>
      <c r="I991" s="64">
        <f>LEN(TRIM(Table22[[#This Row],[Continent]]))</f>
        <v>13</v>
      </c>
      <c r="J991" s="64">
        <f>LEN(TRIM(Table22[[#This Row],[Product]]))</f>
        <v>10</v>
      </c>
      <c r="K991" s="64">
        <f>LEN(TRIM(Table22[[#This Row],[Sales Team]]))</f>
        <v>10</v>
      </c>
      <c r="L991" s="23">
        <v>87</v>
      </c>
      <c r="M991" s="65" t="str" cm="1">
        <f t="array" ref="M991">_xlfn.IFS(Table22[[#This Row],[Units Sold]]&lt;40,"Critical",Table22[[#This Row],[Units Sold]]&lt;=50,"Poor",Table22[[#This Row],[Units Sold]]&lt;=60,"Low",Table22[[#This Row],[Units Sold]]&lt;=80,"Average",Table22[[#This Row],[Units Sold]]&lt;=90,"High",Table22[[#This Row],[Units Sold]]&lt;=95,"Excellent",Table22[[#This Row],[Units Sold]]&gt;95,"Outstanding")</f>
        <v>High</v>
      </c>
      <c r="N991" s="29">
        <v>355.06</v>
      </c>
      <c r="O991" s="29">
        <v>30890.22</v>
      </c>
      <c r="P991" s="43">
        <f>IF(Table22[[#This Row],[Discount Applied]],Table22[[#This Row],[Total Sales (in USD)]]*(1-Table22[[#This Row],[Discount Percentage (%)]]/100),Table22[[#This Row],[Total Sales (in USD)]])</f>
        <v>30609.118998000002</v>
      </c>
      <c r="Q991" s="66">
        <f>SQRT(AVERAGE((Table22[[#This Row],[Net Sales (after discount) (in USD)]]-AVERAGE(Table22[Net Sales (after discount) (in USD)]))^2))</f>
        <v>5902.2415657645361</v>
      </c>
      <c r="R991" s="18" t="b">
        <v>0</v>
      </c>
      <c r="S991" s="40">
        <v>0.91</v>
      </c>
      <c r="T991" s="18" t="b">
        <v>1</v>
      </c>
      <c r="U991" s="25">
        <v>45094</v>
      </c>
      <c r="V991" s="63" t="str">
        <f>IF(MONTH(Table22[[#This Row],[Sales Date]])&lt;=3,"Q1",IF(MONTH(Table22[[#This Row],[Sales Date]])&lt;=6,"Q2",IF(MONTH(Table22[[#This Row],[Sales Date]])&lt;=9,"Q3","Q4")))</f>
        <v>Q2</v>
      </c>
      <c r="W991" s="64">
        <f>YEAR(Table22[[#This Row],[Sales Date]])</f>
        <v>2023</v>
      </c>
      <c r="X991" s="23">
        <v>41</v>
      </c>
      <c r="Y991" s="18" t="s">
        <v>41</v>
      </c>
      <c r="Z991" s="18" t="s">
        <v>24</v>
      </c>
      <c r="AA991" s="19" t="s">
        <v>36</v>
      </c>
    </row>
    <row r="992" spans="1:27" x14ac:dyDescent="0.25">
      <c r="A992" s="17" t="s">
        <v>1086</v>
      </c>
      <c r="B992" s="18" t="s">
        <v>76</v>
      </c>
      <c r="C992" s="63" t="str" cm="1">
        <f t="array" ref="C992">_xlfn.SWITCH(Table22[[#This Row],[Country]],"USA","North America","Canada","North America","Brazil","South America","China","Asia","Japan","Asia","India","Asia","France","Europe","Germany","Europe","UK","Europe","Australia","Oceania","South America")</f>
        <v>Asia</v>
      </c>
      <c r="D992" s="18" t="s">
        <v>21</v>
      </c>
      <c r="E992" s="18" t="s">
        <v>19</v>
      </c>
      <c r="F992" s="18" t="s">
        <v>47</v>
      </c>
      <c r="G992" s="18" t="s">
        <v>29</v>
      </c>
      <c r="H992" s="64">
        <f>LEN(TRIM(Table22[[#This Row],[Country]]))</f>
        <v>5</v>
      </c>
      <c r="I992" s="64">
        <f>LEN(TRIM(Table22[[#This Row],[Continent]]))</f>
        <v>4</v>
      </c>
      <c r="J992" s="64">
        <f>LEN(TRIM(Table22[[#This Row],[Product]]))</f>
        <v>6</v>
      </c>
      <c r="K992" s="64">
        <f>LEN(TRIM(Table22[[#This Row],[Sales Team]]))</f>
        <v>10</v>
      </c>
      <c r="L992" s="23">
        <v>40</v>
      </c>
      <c r="M992" s="65" t="str" cm="1">
        <f t="array" ref="M992">_xlfn.IFS(Table22[[#This Row],[Units Sold]]&lt;40,"Critical",Table22[[#This Row],[Units Sold]]&lt;=50,"Poor",Table22[[#This Row],[Units Sold]]&lt;=60,"Low",Table22[[#This Row],[Units Sold]]&lt;=80,"Average",Table22[[#This Row],[Units Sold]]&lt;=90,"High",Table22[[#This Row],[Units Sold]]&lt;=95,"Excellent",Table22[[#This Row],[Units Sold]]&gt;95,"Outstanding")</f>
        <v>Poor</v>
      </c>
      <c r="N992" s="29">
        <v>770.14</v>
      </c>
      <c r="O992" s="29">
        <v>30805.599999999999</v>
      </c>
      <c r="P992" s="43">
        <f>IF(Table22[[#This Row],[Discount Applied]],Table22[[#This Row],[Total Sales (in USD)]]*(1-Table22[[#This Row],[Discount Percentage (%)]]/100),Table22[[#This Row],[Total Sales (in USD)]])</f>
        <v>25405.37832</v>
      </c>
      <c r="Q992" s="66">
        <f>SQRT(AVERAGE((Table22[[#This Row],[Net Sales (after discount) (in USD)]]-AVERAGE(Table22[Net Sales (after discount) (in USD)]))^2))</f>
        <v>11105.982243764538</v>
      </c>
      <c r="R992" s="18" t="b">
        <v>0</v>
      </c>
      <c r="S992" s="40">
        <v>17.53</v>
      </c>
      <c r="T992" s="18" t="b">
        <v>1</v>
      </c>
      <c r="U992" s="25">
        <v>45398</v>
      </c>
      <c r="V992" s="63" t="str">
        <f>IF(MONTH(Table22[[#This Row],[Sales Date]])&lt;=3,"Q1",IF(MONTH(Table22[[#This Row],[Sales Date]])&lt;=6,"Q2",IF(MONTH(Table22[[#This Row],[Sales Date]])&lt;=9,"Q3","Q4")))</f>
        <v>Q2</v>
      </c>
      <c r="W992" s="64">
        <f>YEAR(Table22[[#This Row],[Sales Date]])</f>
        <v>2024</v>
      </c>
      <c r="X992" s="23">
        <v>59</v>
      </c>
      <c r="Y992" s="18" t="s">
        <v>23</v>
      </c>
      <c r="Z992" s="18" t="s">
        <v>24</v>
      </c>
      <c r="AA992" s="19" t="s">
        <v>25</v>
      </c>
    </row>
    <row r="993" spans="1:27" x14ac:dyDescent="0.25">
      <c r="A993" s="17" t="s">
        <v>1480</v>
      </c>
      <c r="B993" s="18" t="s">
        <v>32</v>
      </c>
      <c r="C993" s="63" t="str" cm="1">
        <f t="array" ref="C993">_xlfn.SWITCH(Table22[[#This Row],[Country]],"USA","North America","Canada","North America","Brazil","South America","China","Asia","Japan","Asia","India","Asia","France","Europe","Germany","Europe","UK","Europe","Australia","Oceania","South America")</f>
        <v>Asia</v>
      </c>
      <c r="D993" s="18" t="s">
        <v>21</v>
      </c>
      <c r="E993" s="18" t="s">
        <v>39</v>
      </c>
      <c r="F993" s="18" t="s">
        <v>52</v>
      </c>
      <c r="G993" s="18" t="s">
        <v>22</v>
      </c>
      <c r="H993" s="64">
        <f>LEN(TRIM(Table22[[#This Row],[Country]]))</f>
        <v>5</v>
      </c>
      <c r="I993" s="64">
        <f>LEN(TRIM(Table22[[#This Row],[Continent]]))</f>
        <v>4</v>
      </c>
      <c r="J993" s="64">
        <f>LEN(TRIM(Table22[[#This Row],[Product]]))</f>
        <v>10</v>
      </c>
      <c r="K993" s="64">
        <f>LEN(TRIM(Table22[[#This Row],[Sales Team]]))</f>
        <v>10</v>
      </c>
      <c r="L993" s="23">
        <v>44</v>
      </c>
      <c r="M993" s="65" t="str" cm="1">
        <f t="array" ref="M993">_xlfn.IFS(Table22[[#This Row],[Units Sold]]&lt;40,"Critical",Table22[[#This Row],[Units Sold]]&lt;=50,"Poor",Table22[[#This Row],[Units Sold]]&lt;=60,"Low",Table22[[#This Row],[Units Sold]]&lt;=80,"Average",Table22[[#This Row],[Units Sold]]&lt;=90,"High",Table22[[#This Row],[Units Sold]]&lt;=95,"Excellent",Table22[[#This Row],[Units Sold]]&gt;95,"Outstanding")</f>
        <v>Poor</v>
      </c>
      <c r="N993" s="29">
        <v>699.56</v>
      </c>
      <c r="O993" s="29">
        <v>30780.639999999999</v>
      </c>
      <c r="P993" s="43">
        <f>IF(Table22[[#This Row],[Discount Applied]],Table22[[#This Row],[Total Sales (in USD)]]*(1-Table22[[#This Row],[Discount Percentage (%)]]/100),Table22[[#This Row],[Total Sales (in USD)]])</f>
        <v>30780.639999999999</v>
      </c>
      <c r="Q993" s="66">
        <f>SQRT(AVERAGE((Table22[[#This Row],[Net Sales (after discount) (in USD)]]-AVERAGE(Table22[Net Sales (after discount) (in USD)]))^2))</f>
        <v>5730.7205637645384</v>
      </c>
      <c r="R993" s="18" t="b">
        <v>0</v>
      </c>
      <c r="S993" s="40">
        <v>28.39</v>
      </c>
      <c r="T993" s="18" t="b">
        <v>0</v>
      </c>
      <c r="U993" s="25">
        <v>44958</v>
      </c>
      <c r="V993" s="63" t="str">
        <f>IF(MONTH(Table22[[#This Row],[Sales Date]])&lt;=3,"Q1",IF(MONTH(Table22[[#This Row],[Sales Date]])&lt;=6,"Q2",IF(MONTH(Table22[[#This Row],[Sales Date]])&lt;=9,"Q3","Q4")))</f>
        <v>Q1</v>
      </c>
      <c r="W993" s="64">
        <f>YEAR(Table22[[#This Row],[Sales Date]])</f>
        <v>2023</v>
      </c>
      <c r="X993" s="23">
        <v>68</v>
      </c>
      <c r="Y993" s="18" t="s">
        <v>41</v>
      </c>
      <c r="Z993" s="18" t="s">
        <v>30</v>
      </c>
      <c r="AA993" s="19" t="s">
        <v>25</v>
      </c>
    </row>
    <row r="994" spans="1:27" x14ac:dyDescent="0.25">
      <c r="A994" s="17" t="s">
        <v>1302</v>
      </c>
      <c r="B994" s="18" t="s">
        <v>72</v>
      </c>
      <c r="C994" s="63" t="str" cm="1">
        <f t="array" ref="C994">_xlfn.SWITCH(Table22[[#This Row],[Country]],"USA","North America","Canada","North America","Brazil","South America","China","Asia","Japan","Asia","India","Asia","France","Europe","Germany","Europe","UK","Europe","Australia","Oceania","South America")</f>
        <v>North America</v>
      </c>
      <c r="D994" s="18" t="s">
        <v>35</v>
      </c>
      <c r="E994" s="18" t="s">
        <v>33</v>
      </c>
      <c r="F994" s="18" t="s">
        <v>64</v>
      </c>
      <c r="G994" s="18" t="s">
        <v>48</v>
      </c>
      <c r="H994" s="64">
        <f>LEN(TRIM(Table22[[#This Row],[Country]]))</f>
        <v>3</v>
      </c>
      <c r="I994" s="64">
        <f>LEN(TRIM(Table22[[#This Row],[Continent]]))</f>
        <v>13</v>
      </c>
      <c r="J994" s="64">
        <f>LEN(TRIM(Table22[[#This Row],[Product]]))</f>
        <v>10</v>
      </c>
      <c r="K994" s="64">
        <f>LEN(TRIM(Table22[[#This Row],[Sales Team]]))</f>
        <v>9</v>
      </c>
      <c r="L994" s="23">
        <v>22</v>
      </c>
      <c r="M994" s="65" t="str" cm="1">
        <f t="array" ref="M994">_xlfn.IFS(Table22[[#This Row],[Units Sold]]&lt;40,"Critical",Table22[[#This Row],[Units Sold]]&lt;=50,"Poor",Table22[[#This Row],[Units Sold]]&lt;=60,"Low",Table22[[#This Row],[Units Sold]]&lt;=80,"Average",Table22[[#This Row],[Units Sold]]&lt;=90,"High",Table22[[#This Row],[Units Sold]]&lt;=95,"Excellent",Table22[[#This Row],[Units Sold]]&gt;95,"Outstanding")</f>
        <v>Critical</v>
      </c>
      <c r="N994" s="29">
        <v>1399.03</v>
      </c>
      <c r="O994" s="29">
        <v>30778.66</v>
      </c>
      <c r="P994" s="43">
        <f>IF(Table22[[#This Row],[Discount Applied]],Table22[[#This Row],[Total Sales (in USD)]]*(1-Table22[[#This Row],[Discount Percentage (%)]]/100),Table22[[#This Row],[Total Sales (in USD)]])</f>
        <v>29642.927445999998</v>
      </c>
      <c r="Q994" s="66">
        <f>SQRT(AVERAGE((Table22[[#This Row],[Net Sales (after discount) (in USD)]]-AVERAGE(Table22[Net Sales (after discount) (in USD)]))^2))</f>
        <v>6868.4331177645399</v>
      </c>
      <c r="R994" s="18" t="b">
        <v>1</v>
      </c>
      <c r="S994" s="40">
        <v>3.69</v>
      </c>
      <c r="T994" s="18" t="b">
        <v>1</v>
      </c>
      <c r="U994" s="25">
        <v>45421</v>
      </c>
      <c r="V994" s="63" t="str">
        <f>IF(MONTH(Table22[[#This Row],[Sales Date]])&lt;=3,"Q1",IF(MONTH(Table22[[#This Row],[Sales Date]])&lt;=6,"Q2",IF(MONTH(Table22[[#This Row],[Sales Date]])&lt;=9,"Q3","Q4")))</f>
        <v>Q2</v>
      </c>
      <c r="W994" s="64">
        <f>YEAR(Table22[[#This Row],[Sales Date]])</f>
        <v>2024</v>
      </c>
      <c r="X994" s="23">
        <v>45</v>
      </c>
      <c r="Y994" s="18" t="s">
        <v>49</v>
      </c>
      <c r="Z994" s="18" t="s">
        <v>24</v>
      </c>
      <c r="AA994" s="19" t="s">
        <v>36</v>
      </c>
    </row>
    <row r="995" spans="1:27" x14ac:dyDescent="0.25">
      <c r="A995" s="17" t="s">
        <v>382</v>
      </c>
      <c r="B995" s="18" t="s">
        <v>62</v>
      </c>
      <c r="C995" s="63" t="str" cm="1">
        <f t="array" ref="C995">_xlfn.SWITCH(Table22[[#This Row],[Country]],"USA","North America","Canada","North America","Brazil","South America","China","Asia","Japan","Asia","India","Asia","France","Europe","Germany","Europe","UK","Europe","Australia","Oceania","South America")</f>
        <v>Oceania</v>
      </c>
      <c r="D995" s="18" t="s">
        <v>35</v>
      </c>
      <c r="E995" s="18" t="s">
        <v>39</v>
      </c>
      <c r="F995" s="18" t="s">
        <v>52</v>
      </c>
      <c r="G995" s="18" t="s">
        <v>22</v>
      </c>
      <c r="H995" s="64">
        <f>LEN(TRIM(Table22[[#This Row],[Country]]))</f>
        <v>9</v>
      </c>
      <c r="I995" s="64">
        <f>LEN(TRIM(Table22[[#This Row],[Continent]]))</f>
        <v>7</v>
      </c>
      <c r="J995" s="64">
        <f>LEN(TRIM(Table22[[#This Row],[Product]]))</f>
        <v>10</v>
      </c>
      <c r="K995" s="64">
        <f>LEN(TRIM(Table22[[#This Row],[Sales Team]]))</f>
        <v>10</v>
      </c>
      <c r="L995" s="23">
        <v>26</v>
      </c>
      <c r="M995" s="65" t="str" cm="1">
        <f t="array" ref="M995">_xlfn.IFS(Table22[[#This Row],[Units Sold]]&lt;40,"Critical",Table22[[#This Row],[Units Sold]]&lt;=50,"Poor",Table22[[#This Row],[Units Sold]]&lt;=60,"Low",Table22[[#This Row],[Units Sold]]&lt;=80,"Average",Table22[[#This Row],[Units Sold]]&lt;=90,"High",Table22[[#This Row],[Units Sold]]&lt;=95,"Excellent",Table22[[#This Row],[Units Sold]]&gt;95,"Outstanding")</f>
        <v>Critical</v>
      </c>
      <c r="N995" s="29">
        <v>1182.82</v>
      </c>
      <c r="O995" s="29">
        <v>30753.32</v>
      </c>
      <c r="P995" s="43">
        <f>IF(Table22[[#This Row],[Discount Applied]],Table22[[#This Row],[Total Sales (in USD)]]*(1-Table22[[#This Row],[Discount Percentage (%)]]/100),Table22[[#This Row],[Total Sales (in USD)]])</f>
        <v>30753.32</v>
      </c>
      <c r="Q995" s="66">
        <f>SQRT(AVERAGE((Table22[[#This Row],[Net Sales (after discount) (in USD)]]-AVERAGE(Table22[Net Sales (after discount) (in USD)]))^2))</f>
        <v>5758.0405637645381</v>
      </c>
      <c r="R995" s="18" t="b">
        <v>0</v>
      </c>
      <c r="S995" s="40">
        <v>2.21</v>
      </c>
      <c r="T995" s="18" t="b">
        <v>0</v>
      </c>
      <c r="U995" s="25">
        <v>45184</v>
      </c>
      <c r="V995" s="63" t="str">
        <f>IF(MONTH(Table22[[#This Row],[Sales Date]])&lt;=3,"Q1",IF(MONTH(Table22[[#This Row],[Sales Date]])&lt;=6,"Q2",IF(MONTH(Table22[[#This Row],[Sales Date]])&lt;=9,"Q3","Q4")))</f>
        <v>Q3</v>
      </c>
      <c r="W995" s="64">
        <f>YEAR(Table22[[#This Row],[Sales Date]])</f>
        <v>2023</v>
      </c>
      <c r="X995" s="23">
        <v>47</v>
      </c>
      <c r="Y995" s="18" t="s">
        <v>23</v>
      </c>
      <c r="Z995" s="18" t="s">
        <v>42</v>
      </c>
      <c r="AA995" s="19" t="s">
        <v>25</v>
      </c>
    </row>
    <row r="996" spans="1:27" x14ac:dyDescent="0.25">
      <c r="A996" s="17" t="s">
        <v>1127</v>
      </c>
      <c r="B996" s="18" t="s">
        <v>32</v>
      </c>
      <c r="C996" s="63" t="str" cm="1">
        <f t="array" ref="C996">_xlfn.SWITCH(Table22[[#This Row],[Country]],"USA","North America","Canada","North America","Brazil","South America","China","Asia","Japan","Asia","India","Asia","France","Europe","Germany","Europe","UK","Europe","Australia","Oceania","South America")</f>
        <v>Asia</v>
      </c>
      <c r="D996" s="18" t="s">
        <v>28</v>
      </c>
      <c r="E996" s="18" t="s">
        <v>39</v>
      </c>
      <c r="F996" s="18" t="s">
        <v>64</v>
      </c>
      <c r="G996" s="18" t="s">
        <v>40</v>
      </c>
      <c r="H996" s="64">
        <f>LEN(TRIM(Table22[[#This Row],[Country]]))</f>
        <v>5</v>
      </c>
      <c r="I996" s="64">
        <f>LEN(TRIM(Table22[[#This Row],[Continent]]))</f>
        <v>4</v>
      </c>
      <c r="J996" s="64">
        <f>LEN(TRIM(Table22[[#This Row],[Product]]))</f>
        <v>10</v>
      </c>
      <c r="K996" s="64">
        <f>LEN(TRIM(Table22[[#This Row],[Sales Team]]))</f>
        <v>10</v>
      </c>
      <c r="L996" s="23">
        <v>24</v>
      </c>
      <c r="M996" s="65" t="str" cm="1">
        <f t="array" ref="M996">_xlfn.IFS(Table22[[#This Row],[Units Sold]]&lt;40,"Critical",Table22[[#This Row],[Units Sold]]&lt;=50,"Poor",Table22[[#This Row],[Units Sold]]&lt;=60,"Low",Table22[[#This Row],[Units Sold]]&lt;=80,"Average",Table22[[#This Row],[Units Sold]]&lt;=90,"High",Table22[[#This Row],[Units Sold]]&lt;=95,"Excellent",Table22[[#This Row],[Units Sold]]&gt;95,"Outstanding")</f>
        <v>Critical</v>
      </c>
      <c r="N996" s="29">
        <v>1280.75</v>
      </c>
      <c r="O996" s="29">
        <v>30738</v>
      </c>
      <c r="P996" s="43">
        <f>IF(Table22[[#This Row],[Discount Applied]],Table22[[#This Row],[Total Sales (in USD)]]*(1-Table22[[#This Row],[Discount Percentage (%)]]/100),Table22[[#This Row],[Total Sales (in USD)]])</f>
        <v>30738</v>
      </c>
      <c r="Q996" s="66">
        <f>SQRT(AVERAGE((Table22[[#This Row],[Net Sales (after discount) (in USD)]]-AVERAGE(Table22[Net Sales (after discount) (in USD)]))^2))</f>
        <v>5773.3605637645378</v>
      </c>
      <c r="R996" s="18" t="b">
        <v>0</v>
      </c>
      <c r="S996" s="40">
        <v>20.21</v>
      </c>
      <c r="T996" s="18" t="b">
        <v>0</v>
      </c>
      <c r="U996" s="25">
        <v>44952</v>
      </c>
      <c r="V996" s="63" t="str">
        <f>IF(MONTH(Table22[[#This Row],[Sales Date]])&lt;=3,"Q1",IF(MONTH(Table22[[#This Row],[Sales Date]])&lt;=6,"Q2",IF(MONTH(Table22[[#This Row],[Sales Date]])&lt;=9,"Q3","Q4")))</f>
        <v>Q1</v>
      </c>
      <c r="W996" s="64">
        <f>YEAR(Table22[[#This Row],[Sales Date]])</f>
        <v>2023</v>
      </c>
      <c r="X996" s="23">
        <v>50</v>
      </c>
      <c r="Y996" s="18" t="s">
        <v>41</v>
      </c>
      <c r="Z996" s="18" t="s">
        <v>42</v>
      </c>
      <c r="AA996" s="19" t="s">
        <v>36</v>
      </c>
    </row>
    <row r="997" spans="1:27" x14ac:dyDescent="0.25">
      <c r="A997" s="17" t="s">
        <v>1101</v>
      </c>
      <c r="B997" s="18" t="s">
        <v>66</v>
      </c>
      <c r="C997" s="63" t="str" cm="1">
        <f t="array" ref="C997">_xlfn.SWITCH(Table22[[#This Row],[Country]],"USA","North America","Canada","North America","Brazil","South America","China","Asia","Japan","Asia","India","Asia","France","Europe","Germany","Europe","UK","Europe","Australia","Oceania","South America")</f>
        <v>North America</v>
      </c>
      <c r="D997" s="18" t="s">
        <v>35</v>
      </c>
      <c r="E997" s="18" t="s">
        <v>33</v>
      </c>
      <c r="F997" s="18" t="s">
        <v>52</v>
      </c>
      <c r="G997" s="18" t="s">
        <v>29</v>
      </c>
      <c r="H997" s="64">
        <f>LEN(TRIM(Table22[[#This Row],[Country]]))</f>
        <v>6</v>
      </c>
      <c r="I997" s="64">
        <f>LEN(TRIM(Table22[[#This Row],[Continent]]))</f>
        <v>13</v>
      </c>
      <c r="J997" s="64">
        <f>LEN(TRIM(Table22[[#This Row],[Product]]))</f>
        <v>10</v>
      </c>
      <c r="K997" s="64">
        <f>LEN(TRIM(Table22[[#This Row],[Sales Team]]))</f>
        <v>10</v>
      </c>
      <c r="L997" s="23">
        <v>90</v>
      </c>
      <c r="M997" s="65" t="str" cm="1">
        <f t="array" ref="M997">_xlfn.IFS(Table22[[#This Row],[Units Sold]]&lt;40,"Critical",Table22[[#This Row],[Units Sold]]&lt;=50,"Poor",Table22[[#This Row],[Units Sold]]&lt;=60,"Low",Table22[[#This Row],[Units Sold]]&lt;=80,"Average",Table22[[#This Row],[Units Sold]]&lt;=90,"High",Table22[[#This Row],[Units Sold]]&lt;=95,"Excellent",Table22[[#This Row],[Units Sold]]&gt;95,"Outstanding")</f>
        <v>High</v>
      </c>
      <c r="N997" s="29">
        <v>341.2</v>
      </c>
      <c r="O997" s="29">
        <v>30708</v>
      </c>
      <c r="P997" s="43">
        <f>IF(Table22[[#This Row],[Discount Applied]],Table22[[#This Row],[Total Sales (in USD)]]*(1-Table22[[#This Row],[Discount Percentage (%)]]/100),Table22[[#This Row],[Total Sales (in USD)]])</f>
        <v>30708</v>
      </c>
      <c r="Q997" s="66">
        <f>SQRT(AVERAGE((Table22[[#This Row],[Net Sales (after discount) (in USD)]]-AVERAGE(Table22[Net Sales (after discount) (in USD)]))^2))</f>
        <v>5803.3605637645378</v>
      </c>
      <c r="R997" s="18" t="b">
        <v>0</v>
      </c>
      <c r="S997" s="40">
        <v>9.17</v>
      </c>
      <c r="T997" s="18" t="b">
        <v>0</v>
      </c>
      <c r="U997" s="25">
        <v>45170</v>
      </c>
      <c r="V997" s="63" t="str">
        <f>IF(MONTH(Table22[[#This Row],[Sales Date]])&lt;=3,"Q1",IF(MONTH(Table22[[#This Row],[Sales Date]])&lt;=6,"Q2",IF(MONTH(Table22[[#This Row],[Sales Date]])&lt;=9,"Q3","Q4")))</f>
        <v>Q3</v>
      </c>
      <c r="W997" s="64">
        <f>YEAR(Table22[[#This Row],[Sales Date]])</f>
        <v>2023</v>
      </c>
      <c r="X997" s="23">
        <v>18</v>
      </c>
      <c r="Y997" s="18" t="s">
        <v>41</v>
      </c>
      <c r="Z997" s="18" t="s">
        <v>42</v>
      </c>
      <c r="AA997" s="19" t="s">
        <v>25</v>
      </c>
    </row>
    <row r="998" spans="1:27" x14ac:dyDescent="0.25">
      <c r="A998" s="17" t="s">
        <v>1964</v>
      </c>
      <c r="B998" s="18" t="s">
        <v>51</v>
      </c>
      <c r="C998" s="63" t="str" cm="1">
        <f t="array" ref="C998">_xlfn.SWITCH(Table22[[#This Row],[Country]],"USA","North America","Canada","North America","Brazil","South America","China","Asia","Japan","Asia","India","Asia","France","Europe","Germany","Europe","UK","Europe","Australia","Oceania","South America")</f>
        <v>Europe</v>
      </c>
      <c r="D998" s="18" t="s">
        <v>21</v>
      </c>
      <c r="E998" s="18" t="s">
        <v>19</v>
      </c>
      <c r="F998" s="18" t="s">
        <v>34</v>
      </c>
      <c r="G998" s="18" t="s">
        <v>40</v>
      </c>
      <c r="H998" s="64">
        <f>LEN(TRIM(Table22[[#This Row],[Country]]))</f>
        <v>2</v>
      </c>
      <c r="I998" s="64">
        <f>LEN(TRIM(Table22[[#This Row],[Continent]]))</f>
        <v>6</v>
      </c>
      <c r="J998" s="64">
        <f>LEN(TRIM(Table22[[#This Row],[Product]]))</f>
        <v>6</v>
      </c>
      <c r="K998" s="64">
        <f>LEN(TRIM(Table22[[#This Row],[Sales Team]]))</f>
        <v>10</v>
      </c>
      <c r="L998" s="23">
        <v>43</v>
      </c>
      <c r="M998" s="65" t="str" cm="1">
        <f t="array" ref="M998">_xlfn.IFS(Table22[[#This Row],[Units Sold]]&lt;40,"Critical",Table22[[#This Row],[Units Sold]]&lt;=50,"Poor",Table22[[#This Row],[Units Sold]]&lt;=60,"Low",Table22[[#This Row],[Units Sold]]&lt;=80,"Average",Table22[[#This Row],[Units Sold]]&lt;=90,"High",Table22[[#This Row],[Units Sold]]&lt;=95,"Excellent",Table22[[#This Row],[Units Sold]]&gt;95,"Outstanding")</f>
        <v>Poor</v>
      </c>
      <c r="N998" s="29">
        <v>713.47</v>
      </c>
      <c r="O998" s="29">
        <v>30679.21</v>
      </c>
      <c r="P998" s="43">
        <f>IF(Table22[[#This Row],[Discount Applied]],Table22[[#This Row],[Total Sales (in USD)]]*(1-Table22[[#This Row],[Discount Percentage (%)]]/100),Table22[[#This Row],[Total Sales (in USD)]])</f>
        <v>30679.21</v>
      </c>
      <c r="Q998" s="66">
        <f>SQRT(AVERAGE((Table22[[#This Row],[Net Sales (after discount) (in USD)]]-AVERAGE(Table22[Net Sales (after discount) (in USD)]))^2))</f>
        <v>5832.1505637645387</v>
      </c>
      <c r="R998" s="18" t="b">
        <v>0</v>
      </c>
      <c r="S998" s="40">
        <v>15.91</v>
      </c>
      <c r="T998" s="18" t="b">
        <v>0</v>
      </c>
      <c r="U998" s="25">
        <v>45068</v>
      </c>
      <c r="V998" s="63" t="str">
        <f>IF(MONTH(Table22[[#This Row],[Sales Date]])&lt;=3,"Q1",IF(MONTH(Table22[[#This Row],[Sales Date]])&lt;=6,"Q2",IF(MONTH(Table22[[#This Row],[Sales Date]])&lt;=9,"Q3","Q4")))</f>
        <v>Q2</v>
      </c>
      <c r="W998" s="64">
        <f>YEAR(Table22[[#This Row],[Sales Date]])</f>
        <v>2023</v>
      </c>
      <c r="X998" s="23">
        <v>37</v>
      </c>
      <c r="Y998" s="18" t="s">
        <v>41</v>
      </c>
      <c r="Z998" s="18" t="s">
        <v>30</v>
      </c>
      <c r="AA998" s="19" t="s">
        <v>25</v>
      </c>
    </row>
    <row r="999" spans="1:27" x14ac:dyDescent="0.25">
      <c r="A999" s="17" t="s">
        <v>378</v>
      </c>
      <c r="B999" s="18" t="s">
        <v>72</v>
      </c>
      <c r="C999" s="63" t="str" cm="1">
        <f t="array" ref="C999">_xlfn.SWITCH(Table22[[#This Row],[Country]],"USA","North America","Canada","North America","Brazil","South America","China","Asia","Japan","Asia","India","Asia","France","Europe","Germany","Europe","UK","Europe","Australia","Oceania","South America")</f>
        <v>North America</v>
      </c>
      <c r="D999" s="18" t="s">
        <v>21</v>
      </c>
      <c r="E999" s="18" t="s">
        <v>19</v>
      </c>
      <c r="F999" s="18" t="s">
        <v>64</v>
      </c>
      <c r="G999" s="18" t="s">
        <v>22</v>
      </c>
      <c r="H999" s="64">
        <f>LEN(TRIM(Table22[[#This Row],[Country]]))</f>
        <v>3</v>
      </c>
      <c r="I999" s="64">
        <f>LEN(TRIM(Table22[[#This Row],[Continent]]))</f>
        <v>13</v>
      </c>
      <c r="J999" s="64">
        <f>LEN(TRIM(Table22[[#This Row],[Product]]))</f>
        <v>6</v>
      </c>
      <c r="K999" s="64">
        <f>LEN(TRIM(Table22[[#This Row],[Sales Team]]))</f>
        <v>10</v>
      </c>
      <c r="L999" s="23">
        <v>36</v>
      </c>
      <c r="M999" s="65" t="str" cm="1">
        <f t="array" ref="M999">_xlfn.IFS(Table22[[#This Row],[Units Sold]]&lt;40,"Critical",Table22[[#This Row],[Units Sold]]&lt;=50,"Poor",Table22[[#This Row],[Units Sold]]&lt;=60,"Low",Table22[[#This Row],[Units Sold]]&lt;=80,"Average",Table22[[#This Row],[Units Sold]]&lt;=90,"High",Table22[[#This Row],[Units Sold]]&lt;=95,"Excellent",Table22[[#This Row],[Units Sold]]&gt;95,"Outstanding")</f>
        <v>Critical</v>
      </c>
      <c r="N999" s="29">
        <v>849.15</v>
      </c>
      <c r="O999" s="29">
        <v>30569.4</v>
      </c>
      <c r="P999" s="43">
        <f>IF(Table22[[#This Row],[Discount Applied]],Table22[[#This Row],[Total Sales (in USD)]]*(1-Table22[[#This Row],[Discount Percentage (%)]]/100),Table22[[#This Row],[Total Sales (in USD)]])</f>
        <v>30569.4</v>
      </c>
      <c r="Q999" s="66">
        <f>SQRT(AVERAGE((Table22[[#This Row],[Net Sales (after discount) (in USD)]]-AVERAGE(Table22[Net Sales (after discount) (in USD)]))^2))</f>
        <v>5941.9605637645363</v>
      </c>
      <c r="R999" s="18" t="b">
        <v>1</v>
      </c>
      <c r="S999" s="40">
        <v>25.15</v>
      </c>
      <c r="T999" s="18" t="b">
        <v>0</v>
      </c>
      <c r="U999" s="25">
        <v>45365</v>
      </c>
      <c r="V999" s="63" t="str">
        <f>IF(MONTH(Table22[[#This Row],[Sales Date]])&lt;=3,"Q1",IF(MONTH(Table22[[#This Row],[Sales Date]])&lt;=6,"Q2",IF(MONTH(Table22[[#This Row],[Sales Date]])&lt;=9,"Q3","Q4")))</f>
        <v>Q1</v>
      </c>
      <c r="W999" s="64">
        <f>YEAR(Table22[[#This Row],[Sales Date]])</f>
        <v>2024</v>
      </c>
      <c r="X999" s="23">
        <v>69</v>
      </c>
      <c r="Y999" s="18" t="s">
        <v>23</v>
      </c>
      <c r="Z999" s="18" t="s">
        <v>56</v>
      </c>
      <c r="AA999" s="19" t="s">
        <v>25</v>
      </c>
    </row>
    <row r="1000" spans="1:27" x14ac:dyDescent="0.25">
      <c r="A1000" s="17" t="s">
        <v>258</v>
      </c>
      <c r="B1000" s="18" t="s">
        <v>27</v>
      </c>
      <c r="C1000" s="63" t="str" cm="1">
        <f t="array" ref="C1000">_xlfn.SWITCH(Table22[[#This Row],[Country]],"USA","North America","Canada","North America","Brazil","South America","China","Asia","Japan","Asia","India","Asia","France","Europe","Germany","Europe","UK","Europe","Australia","Oceania","South America")</f>
        <v>Europe</v>
      </c>
      <c r="D1000" s="18" t="s">
        <v>35</v>
      </c>
      <c r="E1000" s="18" t="s">
        <v>33</v>
      </c>
      <c r="F1000" s="18" t="s">
        <v>64</v>
      </c>
      <c r="G1000" s="18" t="s">
        <v>48</v>
      </c>
      <c r="H1000" s="64">
        <f>LEN(TRIM(Table22[[#This Row],[Country]]))</f>
        <v>7</v>
      </c>
      <c r="I1000" s="64">
        <f>LEN(TRIM(Table22[[#This Row],[Continent]]))</f>
        <v>6</v>
      </c>
      <c r="J1000" s="64">
        <f>LEN(TRIM(Table22[[#This Row],[Product]]))</f>
        <v>10</v>
      </c>
      <c r="K1000" s="64">
        <f>LEN(TRIM(Table22[[#This Row],[Sales Team]]))</f>
        <v>9</v>
      </c>
      <c r="L1000" s="23">
        <v>43</v>
      </c>
      <c r="M1000" s="65" t="str" cm="1">
        <f t="array" ref="M1000">_xlfn.IFS(Table22[[#This Row],[Units Sold]]&lt;40,"Critical",Table22[[#This Row],[Units Sold]]&lt;=50,"Poor",Table22[[#This Row],[Units Sold]]&lt;=60,"Low",Table22[[#This Row],[Units Sold]]&lt;=80,"Average",Table22[[#This Row],[Units Sold]]&lt;=90,"High",Table22[[#This Row],[Units Sold]]&lt;=95,"Excellent",Table22[[#This Row],[Units Sold]]&gt;95,"Outstanding")</f>
        <v>Poor</v>
      </c>
      <c r="N1000" s="29">
        <v>708.91</v>
      </c>
      <c r="O1000" s="29">
        <v>30483.13</v>
      </c>
      <c r="P1000" s="43">
        <f>IF(Table22[[#This Row],[Discount Applied]],Table22[[#This Row],[Total Sales (in USD)]]*(1-Table22[[#This Row],[Discount Percentage (%)]]/100),Table22[[#This Row],[Total Sales (in USD)]])</f>
        <v>22045.399616000002</v>
      </c>
      <c r="Q1000" s="66">
        <f>SQRT(AVERAGE((Table22[[#This Row],[Net Sales (after discount) (in USD)]]-AVERAGE(Table22[Net Sales (after discount) (in USD)]))^2))</f>
        <v>14465.960947764535</v>
      </c>
      <c r="R1000" s="18" t="b">
        <v>0</v>
      </c>
      <c r="S1000" s="40">
        <v>27.68</v>
      </c>
      <c r="T1000" s="18" t="b">
        <v>1</v>
      </c>
      <c r="U1000" s="25">
        <v>45457</v>
      </c>
      <c r="V1000" s="63" t="str">
        <f>IF(MONTH(Table22[[#This Row],[Sales Date]])&lt;=3,"Q1",IF(MONTH(Table22[[#This Row],[Sales Date]])&lt;=6,"Q2",IF(MONTH(Table22[[#This Row],[Sales Date]])&lt;=9,"Q3","Q4")))</f>
        <v>Q2</v>
      </c>
      <c r="W1000" s="64">
        <f>YEAR(Table22[[#This Row],[Sales Date]])</f>
        <v>2024</v>
      </c>
      <c r="X1000" s="23">
        <v>60</v>
      </c>
      <c r="Y1000" s="18" t="s">
        <v>41</v>
      </c>
      <c r="Z1000" s="18" t="s">
        <v>42</v>
      </c>
      <c r="AA1000" s="19" t="s">
        <v>25</v>
      </c>
    </row>
    <row r="1001" spans="1:27" x14ac:dyDescent="0.25">
      <c r="A1001" s="17" t="s">
        <v>819</v>
      </c>
      <c r="B1001" s="18" t="s">
        <v>62</v>
      </c>
      <c r="C1001" s="63" t="str" cm="1">
        <f t="array" ref="C1001">_xlfn.SWITCH(Table22[[#This Row],[Country]],"USA","North America","Canada","North America","Brazil","South America","China","Asia","Japan","Asia","India","Asia","France","Europe","Germany","Europe","UK","Europe","Australia","Oceania","South America")</f>
        <v>Oceania</v>
      </c>
      <c r="D1001" s="18" t="s">
        <v>35</v>
      </c>
      <c r="E1001" s="18" t="s">
        <v>19</v>
      </c>
      <c r="F1001" s="18" t="s">
        <v>64</v>
      </c>
      <c r="G1001" s="18" t="s">
        <v>22</v>
      </c>
      <c r="H1001" s="64">
        <f>LEN(TRIM(Table22[[#This Row],[Country]]))</f>
        <v>9</v>
      </c>
      <c r="I1001" s="64">
        <f>LEN(TRIM(Table22[[#This Row],[Continent]]))</f>
        <v>7</v>
      </c>
      <c r="J1001" s="64">
        <f>LEN(TRIM(Table22[[#This Row],[Product]]))</f>
        <v>6</v>
      </c>
      <c r="K1001" s="64">
        <f>LEN(TRIM(Table22[[#This Row],[Sales Team]]))</f>
        <v>10</v>
      </c>
      <c r="L1001" s="23">
        <v>25</v>
      </c>
      <c r="M1001" s="65" t="str" cm="1">
        <f t="array" ref="M1001">_xlfn.IFS(Table22[[#This Row],[Units Sold]]&lt;40,"Critical",Table22[[#This Row],[Units Sold]]&lt;=50,"Poor",Table22[[#This Row],[Units Sold]]&lt;=60,"Low",Table22[[#This Row],[Units Sold]]&lt;=80,"Average",Table22[[#This Row],[Units Sold]]&lt;=90,"High",Table22[[#This Row],[Units Sold]]&lt;=95,"Excellent",Table22[[#This Row],[Units Sold]]&gt;95,"Outstanding")</f>
        <v>Critical</v>
      </c>
      <c r="N1001" s="29">
        <v>1216.73</v>
      </c>
      <c r="O1001" s="29">
        <v>30418.25</v>
      </c>
      <c r="P1001" s="43">
        <f>IF(Table22[[#This Row],[Discount Applied]],Table22[[#This Row],[Total Sales (in USD)]]*(1-Table22[[#This Row],[Discount Percentage (%)]]/100),Table22[[#This Row],[Total Sales (in USD)]])</f>
        <v>26232.698800000002</v>
      </c>
      <c r="Q1001" s="66">
        <f>SQRT(AVERAGE((Table22[[#This Row],[Net Sales (after discount) (in USD)]]-AVERAGE(Table22[Net Sales (after discount) (in USD)]))^2))</f>
        <v>10278.661763764536</v>
      </c>
      <c r="R1001" s="18" t="b">
        <v>0</v>
      </c>
      <c r="S1001" s="40">
        <v>13.76</v>
      </c>
      <c r="T1001" s="18" t="b">
        <v>1</v>
      </c>
      <c r="U1001" s="25">
        <v>45206</v>
      </c>
      <c r="V1001" s="63" t="str">
        <f>IF(MONTH(Table22[[#This Row],[Sales Date]])&lt;=3,"Q1",IF(MONTH(Table22[[#This Row],[Sales Date]])&lt;=6,"Q2",IF(MONTH(Table22[[#This Row],[Sales Date]])&lt;=9,"Q3","Q4")))</f>
        <v>Q4</v>
      </c>
      <c r="W1001" s="64">
        <f>YEAR(Table22[[#This Row],[Sales Date]])</f>
        <v>2023</v>
      </c>
      <c r="X1001" s="23">
        <v>65</v>
      </c>
      <c r="Y1001" s="18" t="s">
        <v>23</v>
      </c>
      <c r="Z1001" s="18" t="s">
        <v>24</v>
      </c>
      <c r="AA1001" s="19" t="s">
        <v>25</v>
      </c>
    </row>
    <row r="1002" spans="1:27" x14ac:dyDescent="0.25">
      <c r="A1002" s="17" t="s">
        <v>792</v>
      </c>
      <c r="B1002" s="18" t="s">
        <v>27</v>
      </c>
      <c r="C1002" s="63" t="str" cm="1">
        <f t="array" ref="C1002">_xlfn.SWITCH(Table22[[#This Row],[Country]],"USA","North America","Canada","North America","Brazil","South America","China","Asia","Japan","Asia","India","Asia","France","Europe","Germany","Europe","UK","Europe","Australia","Oceania","South America")</f>
        <v>Europe</v>
      </c>
      <c r="D1002" s="18" t="s">
        <v>35</v>
      </c>
      <c r="E1002" s="18" t="s">
        <v>33</v>
      </c>
      <c r="F1002" s="18" t="s">
        <v>20</v>
      </c>
      <c r="G1002" s="18" t="s">
        <v>22</v>
      </c>
      <c r="H1002" s="64">
        <f>LEN(TRIM(Table22[[#This Row],[Country]]))</f>
        <v>7</v>
      </c>
      <c r="I1002" s="64">
        <f>LEN(TRIM(Table22[[#This Row],[Continent]]))</f>
        <v>6</v>
      </c>
      <c r="J1002" s="64">
        <f>LEN(TRIM(Table22[[#This Row],[Product]]))</f>
        <v>10</v>
      </c>
      <c r="K1002" s="64">
        <f>LEN(TRIM(Table22[[#This Row],[Sales Team]]))</f>
        <v>10</v>
      </c>
      <c r="L1002" s="23">
        <v>65</v>
      </c>
      <c r="M1002" s="65" t="str" cm="1">
        <f t="array" ref="M1002">_xlfn.IFS(Table22[[#This Row],[Units Sold]]&lt;40,"Critical",Table22[[#This Row],[Units Sold]]&lt;=50,"Poor",Table22[[#This Row],[Units Sold]]&lt;=60,"Low",Table22[[#This Row],[Units Sold]]&lt;=80,"Average",Table22[[#This Row],[Units Sold]]&lt;=90,"High",Table22[[#This Row],[Units Sold]]&lt;=95,"Excellent",Table22[[#This Row],[Units Sold]]&gt;95,"Outstanding")</f>
        <v>Average</v>
      </c>
      <c r="N1002" s="29">
        <v>467.89</v>
      </c>
      <c r="O1002" s="29">
        <v>30412.85</v>
      </c>
      <c r="P1002" s="43">
        <f>IF(Table22[[#This Row],[Discount Applied]],Table22[[#This Row],[Total Sales (in USD)]]*(1-Table22[[#This Row],[Discount Percentage (%)]]/100),Table22[[#This Row],[Total Sales (in USD)]])</f>
        <v>27654.404504999999</v>
      </c>
      <c r="Q1002" s="66">
        <f>SQRT(AVERAGE((Table22[[#This Row],[Net Sales (after discount) (in USD)]]-AVERAGE(Table22[Net Sales (after discount) (in USD)]))^2))</f>
        <v>8856.9560587645392</v>
      </c>
      <c r="R1002" s="18" t="b">
        <v>0</v>
      </c>
      <c r="S1002" s="40">
        <v>9.07</v>
      </c>
      <c r="T1002" s="18" t="b">
        <v>1</v>
      </c>
      <c r="U1002" s="25">
        <v>45075</v>
      </c>
      <c r="V1002" s="63" t="str">
        <f>IF(MONTH(Table22[[#This Row],[Sales Date]])&lt;=3,"Q1",IF(MONTH(Table22[[#This Row],[Sales Date]])&lt;=6,"Q2",IF(MONTH(Table22[[#This Row],[Sales Date]])&lt;=9,"Q3","Q4")))</f>
        <v>Q2</v>
      </c>
      <c r="W1002" s="64">
        <f>YEAR(Table22[[#This Row],[Sales Date]])</f>
        <v>2023</v>
      </c>
      <c r="X1002" s="23">
        <v>56</v>
      </c>
      <c r="Y1002" s="18" t="s">
        <v>49</v>
      </c>
      <c r="Z1002" s="18" t="s">
        <v>24</v>
      </c>
      <c r="AA1002" s="19" t="s">
        <v>25</v>
      </c>
    </row>
    <row r="1003" spans="1:27" x14ac:dyDescent="0.25">
      <c r="A1003" s="17" t="s">
        <v>1884</v>
      </c>
      <c r="B1003" s="18" t="s">
        <v>76</v>
      </c>
      <c r="C1003" s="63" t="str" cm="1">
        <f t="array" ref="C1003">_xlfn.SWITCH(Table22[[#This Row],[Country]],"USA","North America","Canada","North America","Brazil","South America","China","Asia","Japan","Asia","India","Asia","France","Europe","Germany","Europe","UK","Europe","Australia","Oceania","South America")</f>
        <v>Asia</v>
      </c>
      <c r="D1003" s="18" t="s">
        <v>28</v>
      </c>
      <c r="E1003" s="18" t="s">
        <v>39</v>
      </c>
      <c r="F1003" s="18" t="s">
        <v>52</v>
      </c>
      <c r="G1003" s="18" t="s">
        <v>29</v>
      </c>
      <c r="H1003" s="64">
        <f>LEN(TRIM(Table22[[#This Row],[Country]]))</f>
        <v>5</v>
      </c>
      <c r="I1003" s="64">
        <f>LEN(TRIM(Table22[[#This Row],[Continent]]))</f>
        <v>4</v>
      </c>
      <c r="J1003" s="64">
        <f>LEN(TRIM(Table22[[#This Row],[Product]]))</f>
        <v>10</v>
      </c>
      <c r="K1003" s="64">
        <f>LEN(TRIM(Table22[[#This Row],[Sales Team]]))</f>
        <v>10</v>
      </c>
      <c r="L1003" s="23">
        <v>37</v>
      </c>
      <c r="M1003" s="65" t="str" cm="1">
        <f t="array" ref="M1003">_xlfn.IFS(Table22[[#This Row],[Units Sold]]&lt;40,"Critical",Table22[[#This Row],[Units Sold]]&lt;=50,"Poor",Table22[[#This Row],[Units Sold]]&lt;=60,"Low",Table22[[#This Row],[Units Sold]]&lt;=80,"Average",Table22[[#This Row],[Units Sold]]&lt;=90,"High",Table22[[#This Row],[Units Sold]]&lt;=95,"Excellent",Table22[[#This Row],[Units Sold]]&gt;95,"Outstanding")</f>
        <v>Critical</v>
      </c>
      <c r="N1003" s="29">
        <v>821.34</v>
      </c>
      <c r="O1003" s="29">
        <v>30389.58</v>
      </c>
      <c r="P1003" s="43">
        <f>IF(Table22[[#This Row],[Discount Applied]],Table22[[#This Row],[Total Sales (in USD)]]*(1-Table22[[#This Row],[Discount Percentage (%)]]/100),Table22[[#This Row],[Total Sales (in USD)]])</f>
        <v>25123.065786000003</v>
      </c>
      <c r="Q1003" s="66">
        <f>SQRT(AVERAGE((Table22[[#This Row],[Net Sales (after discount) (in USD)]]-AVERAGE(Table22[Net Sales (after discount) (in USD)]))^2))</f>
        <v>11388.294777764535</v>
      </c>
      <c r="R1003" s="18" t="b">
        <v>0</v>
      </c>
      <c r="S1003" s="40">
        <v>17.329999999999998</v>
      </c>
      <c r="T1003" s="18" t="b">
        <v>1</v>
      </c>
      <c r="U1003" s="25">
        <v>45137</v>
      </c>
      <c r="V1003" s="63" t="str">
        <f>IF(MONTH(Table22[[#This Row],[Sales Date]])&lt;=3,"Q1",IF(MONTH(Table22[[#This Row],[Sales Date]])&lt;=6,"Q2",IF(MONTH(Table22[[#This Row],[Sales Date]])&lt;=9,"Q3","Q4")))</f>
        <v>Q3</v>
      </c>
      <c r="W1003" s="64">
        <f>YEAR(Table22[[#This Row],[Sales Date]])</f>
        <v>2023</v>
      </c>
      <c r="X1003" s="23">
        <v>61</v>
      </c>
      <c r="Y1003" s="18" t="s">
        <v>23</v>
      </c>
      <c r="Z1003" s="18" t="s">
        <v>30</v>
      </c>
      <c r="AA1003" s="19" t="s">
        <v>36</v>
      </c>
    </row>
    <row r="1004" spans="1:27" x14ac:dyDescent="0.25">
      <c r="A1004" s="17" t="s">
        <v>1862</v>
      </c>
      <c r="B1004" s="18" t="s">
        <v>66</v>
      </c>
      <c r="C1004" s="63" t="str" cm="1">
        <f t="array" ref="C1004">_xlfn.SWITCH(Table22[[#This Row],[Country]],"USA","North America","Canada","North America","Brazil","South America","China","Asia","Japan","Asia","India","Asia","France","Europe","Germany","Europe","UK","Europe","Australia","Oceania","South America")</f>
        <v>North America</v>
      </c>
      <c r="D1004" s="18" t="s">
        <v>35</v>
      </c>
      <c r="E1004" s="18" t="s">
        <v>39</v>
      </c>
      <c r="F1004" s="18" t="s">
        <v>47</v>
      </c>
      <c r="G1004" s="18" t="s">
        <v>40</v>
      </c>
      <c r="H1004" s="64">
        <f>LEN(TRIM(Table22[[#This Row],[Country]]))</f>
        <v>6</v>
      </c>
      <c r="I1004" s="64">
        <f>LEN(TRIM(Table22[[#This Row],[Continent]]))</f>
        <v>13</v>
      </c>
      <c r="J1004" s="64">
        <f>LEN(TRIM(Table22[[#This Row],[Product]]))</f>
        <v>10</v>
      </c>
      <c r="K1004" s="64">
        <f>LEN(TRIM(Table22[[#This Row],[Sales Team]]))</f>
        <v>10</v>
      </c>
      <c r="L1004" s="23">
        <v>78</v>
      </c>
      <c r="M1004" s="65" t="str" cm="1">
        <f t="array" ref="M1004">_xlfn.IFS(Table22[[#This Row],[Units Sold]]&lt;40,"Critical",Table22[[#This Row],[Units Sold]]&lt;=50,"Poor",Table22[[#This Row],[Units Sold]]&lt;=60,"Low",Table22[[#This Row],[Units Sold]]&lt;=80,"Average",Table22[[#This Row],[Units Sold]]&lt;=90,"High",Table22[[#This Row],[Units Sold]]&lt;=95,"Excellent",Table22[[#This Row],[Units Sold]]&gt;95,"Outstanding")</f>
        <v>Average</v>
      </c>
      <c r="N1004" s="29">
        <v>388.64</v>
      </c>
      <c r="O1004" s="29">
        <v>30313.919999999998</v>
      </c>
      <c r="P1004" s="43">
        <f>IF(Table22[[#This Row],[Discount Applied]],Table22[[#This Row],[Total Sales (in USD)]]*(1-Table22[[#This Row],[Discount Percentage (%)]]/100),Table22[[#This Row],[Total Sales (in USD)]])</f>
        <v>30313.919999999998</v>
      </c>
      <c r="Q1004" s="66">
        <f>SQRT(AVERAGE((Table22[[#This Row],[Net Sales (after discount) (in USD)]]-AVERAGE(Table22[Net Sales (after discount) (in USD)]))^2))</f>
        <v>6197.4405637645395</v>
      </c>
      <c r="R1004" s="18" t="b">
        <v>0</v>
      </c>
      <c r="S1004" s="40">
        <v>0.09</v>
      </c>
      <c r="T1004" s="18" t="b">
        <v>0</v>
      </c>
      <c r="U1004" s="25">
        <v>45329</v>
      </c>
      <c r="V1004" s="63" t="str">
        <f>IF(MONTH(Table22[[#This Row],[Sales Date]])&lt;=3,"Q1",IF(MONTH(Table22[[#This Row],[Sales Date]])&lt;=6,"Q2",IF(MONTH(Table22[[#This Row],[Sales Date]])&lt;=9,"Q3","Q4")))</f>
        <v>Q1</v>
      </c>
      <c r="W1004" s="64">
        <f>YEAR(Table22[[#This Row],[Sales Date]])</f>
        <v>2024</v>
      </c>
      <c r="X1004" s="23">
        <v>19</v>
      </c>
      <c r="Y1004" s="18" t="s">
        <v>49</v>
      </c>
      <c r="Z1004" s="18" t="s">
        <v>24</v>
      </c>
      <c r="AA1004" s="19" t="s">
        <v>36</v>
      </c>
    </row>
    <row r="1005" spans="1:27" x14ac:dyDescent="0.25">
      <c r="A1005" s="17" t="s">
        <v>1459</v>
      </c>
      <c r="B1005" s="18" t="s">
        <v>76</v>
      </c>
      <c r="C1005" s="63" t="str" cm="1">
        <f t="array" ref="C1005">_xlfn.SWITCH(Table22[[#This Row],[Country]],"USA","North America","Canada","North America","Brazil","South America","China","Asia","Japan","Asia","India","Asia","France","Europe","Germany","Europe","UK","Europe","Australia","Oceania","South America")</f>
        <v>Asia</v>
      </c>
      <c r="D1005" s="18" t="s">
        <v>44</v>
      </c>
      <c r="E1005" s="18" t="s">
        <v>33</v>
      </c>
      <c r="F1005" s="18" t="s">
        <v>34</v>
      </c>
      <c r="G1005" s="18" t="s">
        <v>48</v>
      </c>
      <c r="H1005" s="64">
        <f>LEN(TRIM(Table22[[#This Row],[Country]]))</f>
        <v>5</v>
      </c>
      <c r="I1005" s="64">
        <f>LEN(TRIM(Table22[[#This Row],[Continent]]))</f>
        <v>4</v>
      </c>
      <c r="J1005" s="64">
        <f>LEN(TRIM(Table22[[#This Row],[Product]]))</f>
        <v>10</v>
      </c>
      <c r="K1005" s="64">
        <f>LEN(TRIM(Table22[[#This Row],[Sales Team]]))</f>
        <v>9</v>
      </c>
      <c r="L1005" s="23">
        <v>43</v>
      </c>
      <c r="M1005" s="65" t="str" cm="1">
        <f t="array" ref="M1005">_xlfn.IFS(Table22[[#This Row],[Units Sold]]&lt;40,"Critical",Table22[[#This Row],[Units Sold]]&lt;=50,"Poor",Table22[[#This Row],[Units Sold]]&lt;=60,"Low",Table22[[#This Row],[Units Sold]]&lt;=80,"Average",Table22[[#This Row],[Units Sold]]&lt;=90,"High",Table22[[#This Row],[Units Sold]]&lt;=95,"Excellent",Table22[[#This Row],[Units Sold]]&gt;95,"Outstanding")</f>
        <v>Poor</v>
      </c>
      <c r="N1005" s="29">
        <v>704.54</v>
      </c>
      <c r="O1005" s="29">
        <v>30295.22</v>
      </c>
      <c r="P1005" s="43">
        <f>IF(Table22[[#This Row],[Discount Applied]],Table22[[#This Row],[Total Sales (in USD)]]*(1-Table22[[#This Row],[Discount Percentage (%)]]/100),Table22[[#This Row],[Total Sales (in USD)]])</f>
        <v>30295.22</v>
      </c>
      <c r="Q1005" s="66">
        <f>SQRT(AVERAGE((Table22[[#This Row],[Net Sales (after discount) (in USD)]]-AVERAGE(Table22[Net Sales (after discount) (in USD)]))^2))</f>
        <v>6216.1405637645366</v>
      </c>
      <c r="R1005" s="18" t="b">
        <v>0</v>
      </c>
      <c r="S1005" s="40">
        <v>9.44</v>
      </c>
      <c r="T1005" s="18" t="b">
        <v>0</v>
      </c>
      <c r="U1005" s="25">
        <v>44957</v>
      </c>
      <c r="V1005" s="63" t="str">
        <f>IF(MONTH(Table22[[#This Row],[Sales Date]])&lt;=3,"Q1",IF(MONTH(Table22[[#This Row],[Sales Date]])&lt;=6,"Q2",IF(MONTH(Table22[[#This Row],[Sales Date]])&lt;=9,"Q3","Q4")))</f>
        <v>Q1</v>
      </c>
      <c r="W1005" s="64">
        <f>YEAR(Table22[[#This Row],[Sales Date]])</f>
        <v>2023</v>
      </c>
      <c r="X1005" s="23">
        <v>31</v>
      </c>
      <c r="Y1005" s="18" t="s">
        <v>41</v>
      </c>
      <c r="Z1005" s="18" t="s">
        <v>24</v>
      </c>
      <c r="AA1005" s="19" t="s">
        <v>25</v>
      </c>
    </row>
    <row r="1006" spans="1:27" x14ac:dyDescent="0.25">
      <c r="A1006" s="17" t="s">
        <v>619</v>
      </c>
      <c r="B1006" s="18" t="s">
        <v>51</v>
      </c>
      <c r="C1006" s="63" t="str" cm="1">
        <f t="array" ref="C1006">_xlfn.SWITCH(Table22[[#This Row],[Country]],"USA","North America","Canada","North America","Brazil","South America","China","Asia","Japan","Asia","India","Asia","France","Europe","Germany","Europe","UK","Europe","Australia","Oceania","South America")</f>
        <v>Europe</v>
      </c>
      <c r="D1006" s="18" t="s">
        <v>44</v>
      </c>
      <c r="E1006" s="18" t="s">
        <v>33</v>
      </c>
      <c r="F1006" s="18" t="s">
        <v>52</v>
      </c>
      <c r="G1006" s="18" t="s">
        <v>40</v>
      </c>
      <c r="H1006" s="64">
        <f>LEN(TRIM(Table22[[#This Row],[Country]]))</f>
        <v>2</v>
      </c>
      <c r="I1006" s="64">
        <f>LEN(TRIM(Table22[[#This Row],[Continent]]))</f>
        <v>6</v>
      </c>
      <c r="J1006" s="64">
        <f>LEN(TRIM(Table22[[#This Row],[Product]]))</f>
        <v>10</v>
      </c>
      <c r="K1006" s="64">
        <f>LEN(TRIM(Table22[[#This Row],[Sales Team]]))</f>
        <v>10</v>
      </c>
      <c r="L1006" s="23">
        <v>35</v>
      </c>
      <c r="M1006" s="65" t="str" cm="1">
        <f t="array" ref="M1006">_xlfn.IFS(Table22[[#This Row],[Units Sold]]&lt;40,"Critical",Table22[[#This Row],[Units Sold]]&lt;=50,"Poor",Table22[[#This Row],[Units Sold]]&lt;=60,"Low",Table22[[#This Row],[Units Sold]]&lt;=80,"Average",Table22[[#This Row],[Units Sold]]&lt;=90,"High",Table22[[#This Row],[Units Sold]]&lt;=95,"Excellent",Table22[[#This Row],[Units Sold]]&gt;95,"Outstanding")</f>
        <v>Critical</v>
      </c>
      <c r="N1006" s="29">
        <v>865.45</v>
      </c>
      <c r="O1006" s="29">
        <v>30290.75</v>
      </c>
      <c r="P1006" s="43">
        <f>IF(Table22[[#This Row],[Discount Applied]],Table22[[#This Row],[Total Sales (in USD)]]*(1-Table22[[#This Row],[Discount Percentage (%)]]/100),Table22[[#This Row],[Total Sales (in USD)]])</f>
        <v>22239.468649999999</v>
      </c>
      <c r="Q1006" s="66">
        <f>SQRT(AVERAGE((Table22[[#This Row],[Net Sales (after discount) (in USD)]]-AVERAGE(Table22[Net Sales (after discount) (in USD)]))^2))</f>
        <v>14271.891913764539</v>
      </c>
      <c r="R1006" s="18" t="b">
        <v>1</v>
      </c>
      <c r="S1006" s="40">
        <v>26.58</v>
      </c>
      <c r="T1006" s="18" t="b">
        <v>1</v>
      </c>
      <c r="U1006" s="25">
        <v>45281</v>
      </c>
      <c r="V1006" s="63" t="str">
        <f>IF(MONTH(Table22[[#This Row],[Sales Date]])&lt;=3,"Q1",IF(MONTH(Table22[[#This Row],[Sales Date]])&lt;=6,"Q2",IF(MONTH(Table22[[#This Row],[Sales Date]])&lt;=9,"Q3","Q4")))</f>
        <v>Q4</v>
      </c>
      <c r="W1006" s="64">
        <f>YEAR(Table22[[#This Row],[Sales Date]])</f>
        <v>2023</v>
      </c>
      <c r="X1006" s="23">
        <v>59</v>
      </c>
      <c r="Y1006" s="18" t="s">
        <v>41</v>
      </c>
      <c r="Z1006" s="18" t="s">
        <v>56</v>
      </c>
      <c r="AA1006" s="19" t="s">
        <v>36</v>
      </c>
    </row>
    <row r="1007" spans="1:27" x14ac:dyDescent="0.25">
      <c r="A1007" s="17" t="s">
        <v>859</v>
      </c>
      <c r="B1007" s="18" t="s">
        <v>76</v>
      </c>
      <c r="C1007" s="63" t="str" cm="1">
        <f t="array" ref="C1007">_xlfn.SWITCH(Table22[[#This Row],[Country]],"USA","North America","Canada","North America","Brazil","South America","China","Asia","Japan","Asia","India","Asia","France","Europe","Germany","Europe","UK","Europe","Australia","Oceania","South America")</f>
        <v>Asia</v>
      </c>
      <c r="D1007" s="18" t="s">
        <v>21</v>
      </c>
      <c r="E1007" s="18" t="s">
        <v>33</v>
      </c>
      <c r="F1007" s="18" t="s">
        <v>34</v>
      </c>
      <c r="G1007" s="18" t="s">
        <v>40</v>
      </c>
      <c r="H1007" s="64">
        <f>LEN(TRIM(Table22[[#This Row],[Country]]))</f>
        <v>5</v>
      </c>
      <c r="I1007" s="64">
        <f>LEN(TRIM(Table22[[#This Row],[Continent]]))</f>
        <v>4</v>
      </c>
      <c r="J1007" s="64">
        <f>LEN(TRIM(Table22[[#This Row],[Product]]))</f>
        <v>10</v>
      </c>
      <c r="K1007" s="64">
        <f>LEN(TRIM(Table22[[#This Row],[Sales Team]]))</f>
        <v>10</v>
      </c>
      <c r="L1007" s="23">
        <v>24</v>
      </c>
      <c r="M1007" s="65" t="str" cm="1">
        <f t="array" ref="M1007">_xlfn.IFS(Table22[[#This Row],[Units Sold]]&lt;40,"Critical",Table22[[#This Row],[Units Sold]]&lt;=50,"Poor",Table22[[#This Row],[Units Sold]]&lt;=60,"Low",Table22[[#This Row],[Units Sold]]&lt;=80,"Average",Table22[[#This Row],[Units Sold]]&lt;=90,"High",Table22[[#This Row],[Units Sold]]&lt;=95,"Excellent",Table22[[#This Row],[Units Sold]]&gt;95,"Outstanding")</f>
        <v>Critical</v>
      </c>
      <c r="N1007" s="29">
        <v>1259.46</v>
      </c>
      <c r="O1007" s="29">
        <v>30227.040000000001</v>
      </c>
      <c r="P1007" s="43">
        <f>IF(Table22[[#This Row],[Discount Applied]],Table22[[#This Row],[Total Sales (in USD)]]*(1-Table22[[#This Row],[Discount Percentage (%)]]/100),Table22[[#This Row],[Total Sales (in USD)]])</f>
        <v>30227.040000000001</v>
      </c>
      <c r="Q1007" s="66">
        <f>SQRT(AVERAGE((Table22[[#This Row],[Net Sales (after discount) (in USD)]]-AVERAGE(Table22[Net Sales (after discount) (in USD)]))^2))</f>
        <v>6284.3205637645369</v>
      </c>
      <c r="R1007" s="18" t="b">
        <v>1</v>
      </c>
      <c r="S1007" s="40">
        <v>20.37</v>
      </c>
      <c r="T1007" s="18" t="b">
        <v>0</v>
      </c>
      <c r="U1007" s="25">
        <v>45463</v>
      </c>
      <c r="V1007" s="63" t="str">
        <f>IF(MONTH(Table22[[#This Row],[Sales Date]])&lt;=3,"Q1",IF(MONTH(Table22[[#This Row],[Sales Date]])&lt;=6,"Q2",IF(MONTH(Table22[[#This Row],[Sales Date]])&lt;=9,"Q3","Q4")))</f>
        <v>Q2</v>
      </c>
      <c r="W1007" s="64">
        <f>YEAR(Table22[[#This Row],[Sales Date]])</f>
        <v>2024</v>
      </c>
      <c r="X1007" s="23">
        <v>47</v>
      </c>
      <c r="Y1007" s="18" t="s">
        <v>23</v>
      </c>
      <c r="Z1007" s="18" t="s">
        <v>42</v>
      </c>
      <c r="AA1007" s="19" t="s">
        <v>36</v>
      </c>
    </row>
    <row r="1008" spans="1:27" x14ac:dyDescent="0.25">
      <c r="A1008" s="17" t="s">
        <v>1195</v>
      </c>
      <c r="B1008" s="18" t="s">
        <v>51</v>
      </c>
      <c r="C1008" s="63" t="str" cm="1">
        <f t="array" ref="C1008">_xlfn.SWITCH(Table22[[#This Row],[Country]],"USA","North America","Canada","North America","Brazil","South America","China","Asia","Japan","Asia","India","Asia","France","Europe","Germany","Europe","UK","Europe","Australia","Oceania","South America")</f>
        <v>Europe</v>
      </c>
      <c r="D1008" s="18" t="s">
        <v>35</v>
      </c>
      <c r="E1008" s="18" t="s">
        <v>33</v>
      </c>
      <c r="F1008" s="18" t="s">
        <v>34</v>
      </c>
      <c r="G1008" s="18" t="s">
        <v>22</v>
      </c>
      <c r="H1008" s="64">
        <f>LEN(TRIM(Table22[[#This Row],[Country]]))</f>
        <v>2</v>
      </c>
      <c r="I1008" s="64">
        <f>LEN(TRIM(Table22[[#This Row],[Continent]]))</f>
        <v>6</v>
      </c>
      <c r="J1008" s="64">
        <f>LEN(TRIM(Table22[[#This Row],[Product]]))</f>
        <v>10</v>
      </c>
      <c r="K1008" s="64">
        <f>LEN(TRIM(Table22[[#This Row],[Sales Team]]))</f>
        <v>10</v>
      </c>
      <c r="L1008" s="23">
        <v>92</v>
      </c>
      <c r="M1008" s="65" t="str" cm="1">
        <f t="array" ref="M1008">_xlfn.IFS(Table22[[#This Row],[Units Sold]]&lt;40,"Critical",Table22[[#This Row],[Units Sold]]&lt;=50,"Poor",Table22[[#This Row],[Units Sold]]&lt;=60,"Low",Table22[[#This Row],[Units Sold]]&lt;=80,"Average",Table22[[#This Row],[Units Sold]]&lt;=90,"High",Table22[[#This Row],[Units Sold]]&lt;=95,"Excellent",Table22[[#This Row],[Units Sold]]&gt;95,"Outstanding")</f>
        <v>Excellent</v>
      </c>
      <c r="N1008" s="29">
        <v>328.45</v>
      </c>
      <c r="O1008" s="29">
        <v>30217.4</v>
      </c>
      <c r="P1008" s="43">
        <f>IF(Table22[[#This Row],[Discount Applied]],Table22[[#This Row],[Total Sales (in USD)]]*(1-Table22[[#This Row],[Discount Percentage (%)]]/100),Table22[[#This Row],[Total Sales (in USD)]])</f>
        <v>26929.746880000002</v>
      </c>
      <c r="Q1008" s="66">
        <f>SQRT(AVERAGE((Table22[[#This Row],[Net Sales (after discount) (in USD)]]-AVERAGE(Table22[Net Sales (after discount) (in USD)]))^2))</f>
        <v>9581.6136837645354</v>
      </c>
      <c r="R1008" s="18" t="b">
        <v>1</v>
      </c>
      <c r="S1008" s="40">
        <v>10.88</v>
      </c>
      <c r="T1008" s="18" t="b">
        <v>1</v>
      </c>
      <c r="U1008" s="25">
        <v>45196</v>
      </c>
      <c r="V1008" s="63" t="str">
        <f>IF(MONTH(Table22[[#This Row],[Sales Date]])&lt;=3,"Q1",IF(MONTH(Table22[[#This Row],[Sales Date]])&lt;=6,"Q2",IF(MONTH(Table22[[#This Row],[Sales Date]])&lt;=9,"Q3","Q4")))</f>
        <v>Q3</v>
      </c>
      <c r="W1008" s="64">
        <f>YEAR(Table22[[#This Row],[Sales Date]])</f>
        <v>2023</v>
      </c>
      <c r="X1008" s="23">
        <v>50</v>
      </c>
      <c r="Y1008" s="18" t="s">
        <v>49</v>
      </c>
      <c r="Z1008" s="18" t="s">
        <v>56</v>
      </c>
      <c r="AA1008" s="19" t="s">
        <v>36</v>
      </c>
    </row>
    <row r="1009" spans="1:27" x14ac:dyDescent="0.25">
      <c r="A1009" s="17" t="s">
        <v>349</v>
      </c>
      <c r="B1009" s="18" t="s">
        <v>62</v>
      </c>
      <c r="C1009" s="63" t="str" cm="1">
        <f t="array" ref="C1009">_xlfn.SWITCH(Table22[[#This Row],[Country]],"USA","North America","Canada","North America","Brazil","South America","China","Asia","Japan","Asia","India","Asia","France","Europe","Germany","Europe","UK","Europe","Australia","Oceania","South America")</f>
        <v>Oceania</v>
      </c>
      <c r="D1009" s="18" t="s">
        <v>21</v>
      </c>
      <c r="E1009" s="18" t="s">
        <v>39</v>
      </c>
      <c r="F1009" s="18" t="s">
        <v>20</v>
      </c>
      <c r="G1009" s="18" t="s">
        <v>22</v>
      </c>
      <c r="H1009" s="64">
        <f>LEN(TRIM(Table22[[#This Row],[Country]]))</f>
        <v>9</v>
      </c>
      <c r="I1009" s="64">
        <f>LEN(TRIM(Table22[[#This Row],[Continent]]))</f>
        <v>7</v>
      </c>
      <c r="J1009" s="64">
        <f>LEN(TRIM(Table22[[#This Row],[Product]]))</f>
        <v>10</v>
      </c>
      <c r="K1009" s="64">
        <f>LEN(TRIM(Table22[[#This Row],[Sales Team]]))</f>
        <v>10</v>
      </c>
      <c r="L1009" s="23">
        <v>57</v>
      </c>
      <c r="M1009" s="65" t="str" cm="1">
        <f t="array" ref="M1009">_xlfn.IFS(Table22[[#This Row],[Units Sold]]&lt;40,"Critical",Table22[[#This Row],[Units Sold]]&lt;=50,"Poor",Table22[[#This Row],[Units Sold]]&lt;=60,"Low",Table22[[#This Row],[Units Sold]]&lt;=80,"Average",Table22[[#This Row],[Units Sold]]&lt;=90,"High",Table22[[#This Row],[Units Sold]]&lt;=95,"Excellent",Table22[[#This Row],[Units Sold]]&gt;95,"Outstanding")</f>
        <v>Low</v>
      </c>
      <c r="N1009" s="29">
        <v>529.97</v>
      </c>
      <c r="O1009" s="29">
        <v>30208.29</v>
      </c>
      <c r="P1009" s="43">
        <f>IF(Table22[[#This Row],[Discount Applied]],Table22[[#This Row],[Total Sales (in USD)]]*(1-Table22[[#This Row],[Discount Percentage (%)]]/100),Table22[[#This Row],[Total Sales (in USD)]])</f>
        <v>30208.29</v>
      </c>
      <c r="Q1009" s="66">
        <f>SQRT(AVERAGE((Table22[[#This Row],[Net Sales (after discount) (in USD)]]-AVERAGE(Table22[Net Sales (after discount) (in USD)]))^2))</f>
        <v>6303.0705637645369</v>
      </c>
      <c r="R1009" s="18" t="b">
        <v>1</v>
      </c>
      <c r="S1009" s="40">
        <v>29.95</v>
      </c>
      <c r="T1009" s="18" t="b">
        <v>0</v>
      </c>
      <c r="U1009" s="25">
        <v>45202</v>
      </c>
      <c r="V1009" s="63" t="str">
        <f>IF(MONTH(Table22[[#This Row],[Sales Date]])&lt;=3,"Q1",IF(MONTH(Table22[[#This Row],[Sales Date]])&lt;=6,"Q2",IF(MONTH(Table22[[#This Row],[Sales Date]])&lt;=9,"Q3","Q4")))</f>
        <v>Q4</v>
      </c>
      <c r="W1009" s="64">
        <f>YEAR(Table22[[#This Row],[Sales Date]])</f>
        <v>2023</v>
      </c>
      <c r="X1009" s="23">
        <v>49</v>
      </c>
      <c r="Y1009" s="18" t="s">
        <v>49</v>
      </c>
      <c r="Z1009" s="18" t="s">
        <v>42</v>
      </c>
      <c r="AA1009" s="19" t="s">
        <v>36</v>
      </c>
    </row>
    <row r="1010" spans="1:27" x14ac:dyDescent="0.25">
      <c r="A1010" s="17" t="s">
        <v>223</v>
      </c>
      <c r="B1010" s="18" t="s">
        <v>72</v>
      </c>
      <c r="C1010" s="63" t="str" cm="1">
        <f t="array" ref="C1010">_xlfn.SWITCH(Table22[[#This Row],[Country]],"USA","North America","Canada","North America","Brazil","South America","China","Asia","Japan","Asia","India","Asia","France","Europe","Germany","Europe","UK","Europe","Australia","Oceania","South America")</f>
        <v>North America</v>
      </c>
      <c r="D1010" s="18" t="s">
        <v>28</v>
      </c>
      <c r="E1010" s="18" t="s">
        <v>19</v>
      </c>
      <c r="F1010" s="18" t="s">
        <v>34</v>
      </c>
      <c r="G1010" s="18" t="s">
        <v>22</v>
      </c>
      <c r="H1010" s="64">
        <f>LEN(TRIM(Table22[[#This Row],[Country]]))</f>
        <v>3</v>
      </c>
      <c r="I1010" s="64">
        <f>LEN(TRIM(Table22[[#This Row],[Continent]]))</f>
        <v>13</v>
      </c>
      <c r="J1010" s="64">
        <f>LEN(TRIM(Table22[[#This Row],[Product]]))</f>
        <v>6</v>
      </c>
      <c r="K1010" s="64">
        <f>LEN(TRIM(Table22[[#This Row],[Sales Team]]))</f>
        <v>10</v>
      </c>
      <c r="L1010" s="23">
        <v>30</v>
      </c>
      <c r="M1010" s="65" t="str" cm="1">
        <f t="array" ref="M1010">_xlfn.IFS(Table22[[#This Row],[Units Sold]]&lt;40,"Critical",Table22[[#This Row],[Units Sold]]&lt;=50,"Poor",Table22[[#This Row],[Units Sold]]&lt;=60,"Low",Table22[[#This Row],[Units Sold]]&lt;=80,"Average",Table22[[#This Row],[Units Sold]]&lt;=90,"High",Table22[[#This Row],[Units Sold]]&lt;=95,"Excellent",Table22[[#This Row],[Units Sold]]&gt;95,"Outstanding")</f>
        <v>Critical</v>
      </c>
      <c r="N1010" s="29">
        <v>1006.66</v>
      </c>
      <c r="O1010" s="29">
        <v>30199.8</v>
      </c>
      <c r="P1010" s="43">
        <f>IF(Table22[[#This Row],[Discount Applied]],Table22[[#This Row],[Total Sales (in USD)]]*(1-Table22[[#This Row],[Discount Percentage (%)]]/100),Table22[[#This Row],[Total Sales (in USD)]])</f>
        <v>25899.348480000001</v>
      </c>
      <c r="Q1010" s="66">
        <f>SQRT(AVERAGE((Table22[[#This Row],[Net Sales (after discount) (in USD)]]-AVERAGE(Table22[Net Sales (after discount) (in USD)]))^2))</f>
        <v>10612.012083764537</v>
      </c>
      <c r="R1010" s="18" t="b">
        <v>1</v>
      </c>
      <c r="S1010" s="40">
        <v>14.24</v>
      </c>
      <c r="T1010" s="18" t="b">
        <v>1</v>
      </c>
      <c r="U1010" s="25">
        <v>45312</v>
      </c>
      <c r="V1010" s="63" t="str">
        <f>IF(MONTH(Table22[[#This Row],[Sales Date]])&lt;=3,"Q1",IF(MONTH(Table22[[#This Row],[Sales Date]])&lt;=6,"Q2",IF(MONTH(Table22[[#This Row],[Sales Date]])&lt;=9,"Q3","Q4")))</f>
        <v>Q1</v>
      </c>
      <c r="W1010" s="64">
        <f>YEAR(Table22[[#This Row],[Sales Date]])</f>
        <v>2024</v>
      </c>
      <c r="X1010" s="23">
        <v>32</v>
      </c>
      <c r="Y1010" s="18" t="s">
        <v>23</v>
      </c>
      <c r="Z1010" s="18" t="s">
        <v>24</v>
      </c>
      <c r="AA1010" s="19" t="s">
        <v>36</v>
      </c>
    </row>
    <row r="1011" spans="1:27" x14ac:dyDescent="0.25">
      <c r="A1011" s="17" t="s">
        <v>1133</v>
      </c>
      <c r="B1011" s="18" t="s">
        <v>32</v>
      </c>
      <c r="C1011" s="63" t="str" cm="1">
        <f t="array" ref="C1011">_xlfn.SWITCH(Table22[[#This Row],[Country]],"USA","North America","Canada","North America","Brazil","South America","China","Asia","Japan","Asia","India","Asia","France","Europe","Germany","Europe","UK","Europe","Australia","Oceania","South America")</f>
        <v>Asia</v>
      </c>
      <c r="D1011" s="18" t="s">
        <v>35</v>
      </c>
      <c r="E1011" s="18" t="s">
        <v>39</v>
      </c>
      <c r="F1011" s="18" t="s">
        <v>52</v>
      </c>
      <c r="G1011" s="18" t="s">
        <v>29</v>
      </c>
      <c r="H1011" s="64">
        <f>LEN(TRIM(Table22[[#This Row],[Country]]))</f>
        <v>5</v>
      </c>
      <c r="I1011" s="64">
        <f>LEN(TRIM(Table22[[#This Row],[Continent]]))</f>
        <v>4</v>
      </c>
      <c r="J1011" s="64">
        <f>LEN(TRIM(Table22[[#This Row],[Product]]))</f>
        <v>10</v>
      </c>
      <c r="K1011" s="64">
        <f>LEN(TRIM(Table22[[#This Row],[Sales Team]]))</f>
        <v>10</v>
      </c>
      <c r="L1011" s="23">
        <v>37</v>
      </c>
      <c r="M1011" s="65" t="str" cm="1">
        <f t="array" ref="M1011">_xlfn.IFS(Table22[[#This Row],[Units Sold]]&lt;40,"Critical",Table22[[#This Row],[Units Sold]]&lt;=50,"Poor",Table22[[#This Row],[Units Sold]]&lt;=60,"Low",Table22[[#This Row],[Units Sold]]&lt;=80,"Average",Table22[[#This Row],[Units Sold]]&lt;=90,"High",Table22[[#This Row],[Units Sold]]&lt;=95,"Excellent",Table22[[#This Row],[Units Sold]]&gt;95,"Outstanding")</f>
        <v>Critical</v>
      </c>
      <c r="N1011" s="29">
        <v>814.48</v>
      </c>
      <c r="O1011" s="29">
        <v>30135.759999999998</v>
      </c>
      <c r="P1011" s="43">
        <f>IF(Table22[[#This Row],[Discount Applied]],Table22[[#This Row],[Total Sales (in USD)]]*(1-Table22[[#This Row],[Discount Percentage (%)]]/100),Table22[[#This Row],[Total Sales (in USD)]])</f>
        <v>24512.427184</v>
      </c>
      <c r="Q1011" s="66">
        <f>SQRT(AVERAGE((Table22[[#This Row],[Net Sales (after discount) (in USD)]]-AVERAGE(Table22[Net Sales (after discount) (in USD)]))^2))</f>
        <v>11998.933379764538</v>
      </c>
      <c r="R1011" s="18" t="b">
        <v>0</v>
      </c>
      <c r="S1011" s="40">
        <v>18.66</v>
      </c>
      <c r="T1011" s="18" t="b">
        <v>1</v>
      </c>
      <c r="U1011" s="25">
        <v>45171</v>
      </c>
      <c r="V1011" s="63" t="str">
        <f>IF(MONTH(Table22[[#This Row],[Sales Date]])&lt;=3,"Q1",IF(MONTH(Table22[[#This Row],[Sales Date]])&lt;=6,"Q2",IF(MONTH(Table22[[#This Row],[Sales Date]])&lt;=9,"Q3","Q4")))</f>
        <v>Q3</v>
      </c>
      <c r="W1011" s="64">
        <f>YEAR(Table22[[#This Row],[Sales Date]])</f>
        <v>2023</v>
      </c>
      <c r="X1011" s="23">
        <v>44</v>
      </c>
      <c r="Y1011" s="18" t="s">
        <v>41</v>
      </c>
      <c r="Z1011" s="18" t="s">
        <v>42</v>
      </c>
      <c r="AA1011" s="19" t="s">
        <v>36</v>
      </c>
    </row>
    <row r="1012" spans="1:27" x14ac:dyDescent="0.25">
      <c r="A1012" s="17" t="s">
        <v>963</v>
      </c>
      <c r="B1012" s="18" t="s">
        <v>32</v>
      </c>
      <c r="C1012" s="63" t="str" cm="1">
        <f t="array" ref="C1012">_xlfn.SWITCH(Table22[[#This Row],[Country]],"USA","North America","Canada","North America","Brazil","South America","China","Asia","Japan","Asia","India","Asia","France","Europe","Germany","Europe","UK","Europe","Australia","Oceania","South America")</f>
        <v>Asia</v>
      </c>
      <c r="D1012" s="18" t="s">
        <v>35</v>
      </c>
      <c r="E1012" s="18" t="s">
        <v>39</v>
      </c>
      <c r="F1012" s="18" t="s">
        <v>47</v>
      </c>
      <c r="G1012" s="18" t="s">
        <v>22</v>
      </c>
      <c r="H1012" s="64">
        <f>LEN(TRIM(Table22[[#This Row],[Country]]))</f>
        <v>5</v>
      </c>
      <c r="I1012" s="64">
        <f>LEN(TRIM(Table22[[#This Row],[Continent]]))</f>
        <v>4</v>
      </c>
      <c r="J1012" s="64">
        <f>LEN(TRIM(Table22[[#This Row],[Product]]))</f>
        <v>10</v>
      </c>
      <c r="K1012" s="64">
        <f>LEN(TRIM(Table22[[#This Row],[Sales Team]]))</f>
        <v>10</v>
      </c>
      <c r="L1012" s="23">
        <v>30</v>
      </c>
      <c r="M1012" s="65" t="str" cm="1">
        <f t="array" ref="M1012">_xlfn.IFS(Table22[[#This Row],[Units Sold]]&lt;40,"Critical",Table22[[#This Row],[Units Sold]]&lt;=50,"Poor",Table22[[#This Row],[Units Sold]]&lt;=60,"Low",Table22[[#This Row],[Units Sold]]&lt;=80,"Average",Table22[[#This Row],[Units Sold]]&lt;=90,"High",Table22[[#This Row],[Units Sold]]&lt;=95,"Excellent",Table22[[#This Row],[Units Sold]]&gt;95,"Outstanding")</f>
        <v>Critical</v>
      </c>
      <c r="N1012" s="29">
        <v>1003.11</v>
      </c>
      <c r="O1012" s="29">
        <v>30093.3</v>
      </c>
      <c r="P1012" s="43">
        <f>IF(Table22[[#This Row],[Discount Applied]],Table22[[#This Row],[Total Sales (in USD)]]*(1-Table22[[#This Row],[Discount Percentage (%)]]/100),Table22[[#This Row],[Total Sales (in USD)]])</f>
        <v>27577.500120000001</v>
      </c>
      <c r="Q1012" s="66">
        <f>SQRT(AVERAGE((Table22[[#This Row],[Net Sales (after discount) (in USD)]]-AVERAGE(Table22[Net Sales (after discount) (in USD)]))^2))</f>
        <v>8933.8604437645372</v>
      </c>
      <c r="R1012" s="18" t="b">
        <v>0</v>
      </c>
      <c r="S1012" s="40">
        <v>8.36</v>
      </c>
      <c r="T1012" s="18" t="b">
        <v>1</v>
      </c>
      <c r="U1012" s="25">
        <v>44938</v>
      </c>
      <c r="V1012" s="63" t="str">
        <f>IF(MONTH(Table22[[#This Row],[Sales Date]])&lt;=3,"Q1",IF(MONTH(Table22[[#This Row],[Sales Date]])&lt;=6,"Q2",IF(MONTH(Table22[[#This Row],[Sales Date]])&lt;=9,"Q3","Q4")))</f>
        <v>Q1</v>
      </c>
      <c r="W1012" s="64">
        <f>YEAR(Table22[[#This Row],[Sales Date]])</f>
        <v>2023</v>
      </c>
      <c r="X1012" s="23">
        <v>24</v>
      </c>
      <c r="Y1012" s="18" t="s">
        <v>41</v>
      </c>
      <c r="Z1012" s="18" t="s">
        <v>42</v>
      </c>
      <c r="AA1012" s="19" t="s">
        <v>36</v>
      </c>
    </row>
    <row r="1013" spans="1:27" x14ac:dyDescent="0.25">
      <c r="A1013" s="17" t="s">
        <v>1880</v>
      </c>
      <c r="B1013" s="18" t="s">
        <v>32</v>
      </c>
      <c r="C1013" s="63" t="str" cm="1">
        <f t="array" ref="C1013">_xlfn.SWITCH(Table22[[#This Row],[Country]],"USA","North America","Canada","North America","Brazil","South America","China","Asia","Japan","Asia","India","Asia","France","Europe","Germany","Europe","UK","Europe","Australia","Oceania","South America")</f>
        <v>Asia</v>
      </c>
      <c r="D1013" s="18" t="s">
        <v>28</v>
      </c>
      <c r="E1013" s="18" t="s">
        <v>33</v>
      </c>
      <c r="F1013" s="18" t="s">
        <v>64</v>
      </c>
      <c r="G1013" s="18" t="s">
        <v>22</v>
      </c>
      <c r="H1013" s="64">
        <f>LEN(TRIM(Table22[[#This Row],[Country]]))</f>
        <v>5</v>
      </c>
      <c r="I1013" s="64">
        <f>LEN(TRIM(Table22[[#This Row],[Continent]]))</f>
        <v>4</v>
      </c>
      <c r="J1013" s="64">
        <f>LEN(TRIM(Table22[[#This Row],[Product]]))</f>
        <v>10</v>
      </c>
      <c r="K1013" s="64">
        <f>LEN(TRIM(Table22[[#This Row],[Sales Team]]))</f>
        <v>10</v>
      </c>
      <c r="L1013" s="23">
        <v>46</v>
      </c>
      <c r="M1013" s="65" t="str" cm="1">
        <f t="array" ref="M1013">_xlfn.IFS(Table22[[#This Row],[Units Sold]]&lt;40,"Critical",Table22[[#This Row],[Units Sold]]&lt;=50,"Poor",Table22[[#This Row],[Units Sold]]&lt;=60,"Low",Table22[[#This Row],[Units Sold]]&lt;=80,"Average",Table22[[#This Row],[Units Sold]]&lt;=90,"High",Table22[[#This Row],[Units Sold]]&lt;=95,"Excellent",Table22[[#This Row],[Units Sold]]&gt;95,"Outstanding")</f>
        <v>Poor</v>
      </c>
      <c r="N1013" s="29">
        <v>653.71</v>
      </c>
      <c r="O1013" s="29">
        <v>30070.66</v>
      </c>
      <c r="P1013" s="43">
        <f>IF(Table22[[#This Row],[Discount Applied]],Table22[[#This Row],[Total Sales (in USD)]]*(1-Table22[[#This Row],[Discount Percentage (%)]]/100),Table22[[#This Row],[Total Sales (in USD)]])</f>
        <v>23265.669642000001</v>
      </c>
      <c r="Q1013" s="66">
        <f>SQRT(AVERAGE((Table22[[#This Row],[Net Sales (after discount) (in USD)]]-AVERAGE(Table22[Net Sales (after discount) (in USD)]))^2))</f>
        <v>13245.690921764537</v>
      </c>
      <c r="R1013" s="18" t="b">
        <v>0</v>
      </c>
      <c r="S1013" s="40">
        <v>22.63</v>
      </c>
      <c r="T1013" s="18" t="b">
        <v>1</v>
      </c>
      <c r="U1013" s="25">
        <v>45059</v>
      </c>
      <c r="V1013" s="63" t="str">
        <f>IF(MONTH(Table22[[#This Row],[Sales Date]])&lt;=3,"Q1",IF(MONTH(Table22[[#This Row],[Sales Date]])&lt;=6,"Q2",IF(MONTH(Table22[[#This Row],[Sales Date]])&lt;=9,"Q3","Q4")))</f>
        <v>Q2</v>
      </c>
      <c r="W1013" s="64">
        <f>YEAR(Table22[[#This Row],[Sales Date]])</f>
        <v>2023</v>
      </c>
      <c r="X1013" s="23">
        <v>37</v>
      </c>
      <c r="Y1013" s="18" t="s">
        <v>41</v>
      </c>
      <c r="Z1013" s="18" t="s">
        <v>30</v>
      </c>
      <c r="AA1013" s="19" t="s">
        <v>25</v>
      </c>
    </row>
    <row r="1014" spans="1:27" x14ac:dyDescent="0.25">
      <c r="A1014" s="17" t="s">
        <v>1273</v>
      </c>
      <c r="B1014" s="18" t="s">
        <v>62</v>
      </c>
      <c r="C1014" s="63" t="str" cm="1">
        <f t="array" ref="C1014">_xlfn.SWITCH(Table22[[#This Row],[Country]],"USA","North America","Canada","North America","Brazil","South America","China","Asia","Japan","Asia","India","Asia","France","Europe","Germany","Europe","UK","Europe","Australia","Oceania","South America")</f>
        <v>Oceania</v>
      </c>
      <c r="D1014" s="18" t="s">
        <v>21</v>
      </c>
      <c r="E1014" s="18" t="s">
        <v>19</v>
      </c>
      <c r="F1014" s="18" t="s">
        <v>47</v>
      </c>
      <c r="G1014" s="18" t="s">
        <v>40</v>
      </c>
      <c r="H1014" s="64">
        <f>LEN(TRIM(Table22[[#This Row],[Country]]))</f>
        <v>9</v>
      </c>
      <c r="I1014" s="64">
        <f>LEN(TRIM(Table22[[#This Row],[Continent]]))</f>
        <v>7</v>
      </c>
      <c r="J1014" s="64">
        <f>LEN(TRIM(Table22[[#This Row],[Product]]))</f>
        <v>6</v>
      </c>
      <c r="K1014" s="64">
        <f>LEN(TRIM(Table22[[#This Row],[Sales Team]]))</f>
        <v>10</v>
      </c>
      <c r="L1014" s="23">
        <v>31</v>
      </c>
      <c r="M1014" s="65" t="str" cm="1">
        <f t="array" ref="M1014">_xlfn.IFS(Table22[[#This Row],[Units Sold]]&lt;40,"Critical",Table22[[#This Row],[Units Sold]]&lt;=50,"Poor",Table22[[#This Row],[Units Sold]]&lt;=60,"Low",Table22[[#This Row],[Units Sold]]&lt;=80,"Average",Table22[[#This Row],[Units Sold]]&lt;=90,"High",Table22[[#This Row],[Units Sold]]&lt;=95,"Excellent",Table22[[#This Row],[Units Sold]]&gt;95,"Outstanding")</f>
        <v>Critical</v>
      </c>
      <c r="N1014" s="29">
        <v>969.43</v>
      </c>
      <c r="O1014" s="29">
        <v>30052.33</v>
      </c>
      <c r="P1014" s="43">
        <f>IF(Table22[[#This Row],[Discount Applied]],Table22[[#This Row],[Total Sales (in USD)]]*(1-Table22[[#This Row],[Discount Percentage (%)]]/100),Table22[[#This Row],[Total Sales (in USD)]])</f>
        <v>30052.33</v>
      </c>
      <c r="Q1014" s="66">
        <f>SQRT(AVERAGE((Table22[[#This Row],[Net Sales (after discount) (in USD)]]-AVERAGE(Table22[Net Sales (after discount) (in USD)]))^2))</f>
        <v>6459.0305637645361</v>
      </c>
      <c r="R1014" s="18" t="b">
        <v>0</v>
      </c>
      <c r="S1014" s="40">
        <v>12.98</v>
      </c>
      <c r="T1014" s="18" t="b">
        <v>0</v>
      </c>
      <c r="U1014" s="25">
        <v>44935</v>
      </c>
      <c r="V1014" s="63" t="str">
        <f>IF(MONTH(Table22[[#This Row],[Sales Date]])&lt;=3,"Q1",IF(MONTH(Table22[[#This Row],[Sales Date]])&lt;=6,"Q2",IF(MONTH(Table22[[#This Row],[Sales Date]])&lt;=9,"Q3","Q4")))</f>
        <v>Q1</v>
      </c>
      <c r="W1014" s="64">
        <f>YEAR(Table22[[#This Row],[Sales Date]])</f>
        <v>2023</v>
      </c>
      <c r="X1014" s="23">
        <v>25</v>
      </c>
      <c r="Y1014" s="18" t="s">
        <v>23</v>
      </c>
      <c r="Z1014" s="18" t="s">
        <v>42</v>
      </c>
      <c r="AA1014" s="19" t="s">
        <v>25</v>
      </c>
    </row>
    <row r="1015" spans="1:27" x14ac:dyDescent="0.25">
      <c r="A1015" s="17" t="s">
        <v>160</v>
      </c>
      <c r="B1015" s="18" t="s">
        <v>62</v>
      </c>
      <c r="C1015" s="63" t="str" cm="1">
        <f t="array" ref="C1015">_xlfn.SWITCH(Table22[[#This Row],[Country]],"USA","North America","Canada","North America","Brazil","South America","China","Asia","Japan","Asia","India","Asia","France","Europe","Germany","Europe","UK","Europe","Australia","Oceania","South America")</f>
        <v>Oceania</v>
      </c>
      <c r="D1015" s="18" t="s">
        <v>35</v>
      </c>
      <c r="E1015" s="18" t="s">
        <v>39</v>
      </c>
      <c r="F1015" s="18" t="s">
        <v>34</v>
      </c>
      <c r="G1015" s="18" t="s">
        <v>22</v>
      </c>
      <c r="H1015" s="64">
        <f>LEN(TRIM(Table22[[#This Row],[Country]]))</f>
        <v>9</v>
      </c>
      <c r="I1015" s="64">
        <f>LEN(TRIM(Table22[[#This Row],[Continent]]))</f>
        <v>7</v>
      </c>
      <c r="J1015" s="64">
        <f>LEN(TRIM(Table22[[#This Row],[Product]]))</f>
        <v>10</v>
      </c>
      <c r="K1015" s="64">
        <f>LEN(TRIM(Table22[[#This Row],[Sales Team]]))</f>
        <v>10</v>
      </c>
      <c r="L1015" s="23">
        <v>31</v>
      </c>
      <c r="M1015" s="65" t="str" cm="1">
        <f t="array" ref="M1015">_xlfn.IFS(Table22[[#This Row],[Units Sold]]&lt;40,"Critical",Table22[[#This Row],[Units Sold]]&lt;=50,"Poor",Table22[[#This Row],[Units Sold]]&lt;=60,"Low",Table22[[#This Row],[Units Sold]]&lt;=80,"Average",Table22[[#This Row],[Units Sold]]&lt;=90,"High",Table22[[#This Row],[Units Sold]]&lt;=95,"Excellent",Table22[[#This Row],[Units Sold]]&gt;95,"Outstanding")</f>
        <v>Critical</v>
      </c>
      <c r="N1015" s="29">
        <v>968.52</v>
      </c>
      <c r="O1015" s="29">
        <v>30024.12</v>
      </c>
      <c r="P1015" s="43">
        <f>IF(Table22[[#This Row],[Discount Applied]],Table22[[#This Row],[Total Sales (in USD)]]*(1-Table22[[#This Row],[Discount Percentage (%)]]/100),Table22[[#This Row],[Total Sales (in USD)]])</f>
        <v>23815.131984</v>
      </c>
      <c r="Q1015" s="66">
        <f>SQRT(AVERAGE((Table22[[#This Row],[Net Sales (after discount) (in USD)]]-AVERAGE(Table22[Net Sales (after discount) (in USD)]))^2))</f>
        <v>12696.228579764538</v>
      </c>
      <c r="R1015" s="18" t="b">
        <v>1</v>
      </c>
      <c r="S1015" s="40">
        <v>20.68</v>
      </c>
      <c r="T1015" s="18" t="b">
        <v>1</v>
      </c>
      <c r="U1015" s="25">
        <v>45233</v>
      </c>
      <c r="V1015" s="63" t="str">
        <f>IF(MONTH(Table22[[#This Row],[Sales Date]])&lt;=3,"Q1",IF(MONTH(Table22[[#This Row],[Sales Date]])&lt;=6,"Q2",IF(MONTH(Table22[[#This Row],[Sales Date]])&lt;=9,"Q3","Q4")))</f>
        <v>Q4</v>
      </c>
      <c r="W1015" s="64">
        <f>YEAR(Table22[[#This Row],[Sales Date]])</f>
        <v>2023</v>
      </c>
      <c r="X1015" s="23">
        <v>56</v>
      </c>
      <c r="Y1015" s="18" t="s">
        <v>23</v>
      </c>
      <c r="Z1015" s="18" t="s">
        <v>42</v>
      </c>
      <c r="AA1015" s="19" t="s">
        <v>25</v>
      </c>
    </row>
    <row r="1016" spans="1:27" x14ac:dyDescent="0.25">
      <c r="A1016" s="17" t="s">
        <v>1208</v>
      </c>
      <c r="B1016" s="18" t="s">
        <v>27</v>
      </c>
      <c r="C1016" s="63" t="str" cm="1">
        <f t="array" ref="C1016">_xlfn.SWITCH(Table22[[#This Row],[Country]],"USA","North America","Canada","North America","Brazil","South America","China","Asia","Japan","Asia","India","Asia","France","Europe","Germany","Europe","UK","Europe","Australia","Oceania","South America")</f>
        <v>Europe</v>
      </c>
      <c r="D1016" s="18" t="s">
        <v>21</v>
      </c>
      <c r="E1016" s="18" t="s">
        <v>39</v>
      </c>
      <c r="F1016" s="18" t="s">
        <v>64</v>
      </c>
      <c r="G1016" s="18" t="s">
        <v>22</v>
      </c>
      <c r="H1016" s="64">
        <f>LEN(TRIM(Table22[[#This Row],[Country]]))</f>
        <v>7</v>
      </c>
      <c r="I1016" s="64">
        <f>LEN(TRIM(Table22[[#This Row],[Continent]]))</f>
        <v>6</v>
      </c>
      <c r="J1016" s="64">
        <f>LEN(TRIM(Table22[[#This Row],[Product]]))</f>
        <v>10</v>
      </c>
      <c r="K1016" s="64">
        <f>LEN(TRIM(Table22[[#This Row],[Sales Team]]))</f>
        <v>10</v>
      </c>
      <c r="L1016" s="23">
        <v>69</v>
      </c>
      <c r="M1016" s="65" t="str" cm="1">
        <f t="array" ref="M1016">_xlfn.IFS(Table22[[#This Row],[Units Sold]]&lt;40,"Critical",Table22[[#This Row],[Units Sold]]&lt;=50,"Poor",Table22[[#This Row],[Units Sold]]&lt;=60,"Low",Table22[[#This Row],[Units Sold]]&lt;=80,"Average",Table22[[#This Row],[Units Sold]]&lt;=90,"High",Table22[[#This Row],[Units Sold]]&lt;=95,"Excellent",Table22[[#This Row],[Units Sold]]&gt;95,"Outstanding")</f>
        <v>Average</v>
      </c>
      <c r="N1016" s="29">
        <v>434.7</v>
      </c>
      <c r="O1016" s="29">
        <v>29994.3</v>
      </c>
      <c r="P1016" s="43">
        <f>IF(Table22[[#This Row],[Discount Applied]],Table22[[#This Row],[Total Sales (in USD)]]*(1-Table22[[#This Row],[Discount Percentage (%)]]/100),Table22[[#This Row],[Total Sales (in USD)]])</f>
        <v>29994.3</v>
      </c>
      <c r="Q1016" s="66">
        <f>SQRT(AVERAGE((Table22[[#This Row],[Net Sales (after discount) (in USD)]]-AVERAGE(Table22[Net Sales (after discount) (in USD)]))^2))</f>
        <v>6517.0605637645385</v>
      </c>
      <c r="R1016" s="18" t="b">
        <v>0</v>
      </c>
      <c r="S1016" s="40">
        <v>16.25</v>
      </c>
      <c r="T1016" s="18" t="b">
        <v>0</v>
      </c>
      <c r="U1016" s="25">
        <v>45478</v>
      </c>
      <c r="V1016" s="63" t="str">
        <f>IF(MONTH(Table22[[#This Row],[Sales Date]])&lt;=3,"Q1",IF(MONTH(Table22[[#This Row],[Sales Date]])&lt;=6,"Q2",IF(MONTH(Table22[[#This Row],[Sales Date]])&lt;=9,"Q3","Q4")))</f>
        <v>Q3</v>
      </c>
      <c r="W1016" s="64">
        <f>YEAR(Table22[[#This Row],[Sales Date]])</f>
        <v>2024</v>
      </c>
      <c r="X1016" s="23">
        <v>41</v>
      </c>
      <c r="Y1016" s="18" t="s">
        <v>41</v>
      </c>
      <c r="Z1016" s="18" t="s">
        <v>42</v>
      </c>
      <c r="AA1016" s="19" t="s">
        <v>36</v>
      </c>
    </row>
    <row r="1017" spans="1:27" x14ac:dyDescent="0.25">
      <c r="A1017" s="17" t="s">
        <v>1498</v>
      </c>
      <c r="B1017" s="18" t="s">
        <v>62</v>
      </c>
      <c r="C1017" s="63" t="str" cm="1">
        <f t="array" ref="C1017">_xlfn.SWITCH(Table22[[#This Row],[Country]],"USA","North America","Canada","North America","Brazil","South America","China","Asia","Japan","Asia","India","Asia","France","Europe","Germany","Europe","UK","Europe","Australia","Oceania","South America")</f>
        <v>Oceania</v>
      </c>
      <c r="D1017" s="18" t="s">
        <v>21</v>
      </c>
      <c r="E1017" s="18" t="s">
        <v>39</v>
      </c>
      <c r="F1017" s="18" t="s">
        <v>52</v>
      </c>
      <c r="G1017" s="18" t="s">
        <v>29</v>
      </c>
      <c r="H1017" s="64">
        <f>LEN(TRIM(Table22[[#This Row],[Country]]))</f>
        <v>9</v>
      </c>
      <c r="I1017" s="64">
        <f>LEN(TRIM(Table22[[#This Row],[Continent]]))</f>
        <v>7</v>
      </c>
      <c r="J1017" s="64">
        <f>LEN(TRIM(Table22[[#This Row],[Product]]))</f>
        <v>10</v>
      </c>
      <c r="K1017" s="64">
        <f>LEN(TRIM(Table22[[#This Row],[Sales Team]]))</f>
        <v>10</v>
      </c>
      <c r="L1017" s="23">
        <v>97</v>
      </c>
      <c r="M1017" s="65" t="str" cm="1">
        <f t="array" ref="M1017">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017" s="29">
        <v>309.06</v>
      </c>
      <c r="O1017" s="29">
        <v>29978.82</v>
      </c>
      <c r="P1017" s="43">
        <f>IF(Table22[[#This Row],[Discount Applied]],Table22[[#This Row],[Total Sales (in USD)]]*(1-Table22[[#This Row],[Discount Percentage (%)]]/100),Table22[[#This Row],[Total Sales (in USD)]])</f>
        <v>29978.82</v>
      </c>
      <c r="Q1017" s="66">
        <f>SQRT(AVERAGE((Table22[[#This Row],[Net Sales (after discount) (in USD)]]-AVERAGE(Table22[Net Sales (after discount) (in USD)]))^2))</f>
        <v>6532.5405637645381</v>
      </c>
      <c r="R1017" s="18" t="b">
        <v>1</v>
      </c>
      <c r="S1017" s="40">
        <v>4</v>
      </c>
      <c r="T1017" s="18" t="b">
        <v>0</v>
      </c>
      <c r="U1017" s="25">
        <v>45433</v>
      </c>
      <c r="V1017" s="63" t="str">
        <f>IF(MONTH(Table22[[#This Row],[Sales Date]])&lt;=3,"Q1",IF(MONTH(Table22[[#This Row],[Sales Date]])&lt;=6,"Q2",IF(MONTH(Table22[[#This Row],[Sales Date]])&lt;=9,"Q3","Q4")))</f>
        <v>Q2</v>
      </c>
      <c r="W1017" s="64">
        <f>YEAR(Table22[[#This Row],[Sales Date]])</f>
        <v>2024</v>
      </c>
      <c r="X1017" s="23">
        <v>42</v>
      </c>
      <c r="Y1017" s="18" t="s">
        <v>23</v>
      </c>
      <c r="Z1017" s="18" t="s">
        <v>24</v>
      </c>
      <c r="AA1017" s="19" t="s">
        <v>25</v>
      </c>
    </row>
    <row r="1018" spans="1:27" x14ac:dyDescent="0.25">
      <c r="A1018" s="17" t="s">
        <v>1815</v>
      </c>
      <c r="B1018" s="18" t="s">
        <v>76</v>
      </c>
      <c r="C1018" s="63" t="str" cm="1">
        <f t="array" ref="C1018">_xlfn.SWITCH(Table22[[#This Row],[Country]],"USA","North America","Canada","North America","Brazil","South America","China","Asia","Japan","Asia","India","Asia","France","Europe","Germany","Europe","UK","Europe","Australia","Oceania","South America")</f>
        <v>Asia</v>
      </c>
      <c r="D1018" s="18" t="s">
        <v>44</v>
      </c>
      <c r="E1018" s="18" t="s">
        <v>33</v>
      </c>
      <c r="F1018" s="18" t="s">
        <v>64</v>
      </c>
      <c r="G1018" s="18" t="s">
        <v>29</v>
      </c>
      <c r="H1018" s="64">
        <f>LEN(TRIM(Table22[[#This Row],[Country]]))</f>
        <v>5</v>
      </c>
      <c r="I1018" s="64">
        <f>LEN(TRIM(Table22[[#This Row],[Continent]]))</f>
        <v>4</v>
      </c>
      <c r="J1018" s="64">
        <f>LEN(TRIM(Table22[[#This Row],[Product]]))</f>
        <v>10</v>
      </c>
      <c r="K1018" s="64">
        <f>LEN(TRIM(Table22[[#This Row],[Sales Team]]))</f>
        <v>10</v>
      </c>
      <c r="L1018" s="23">
        <v>47</v>
      </c>
      <c r="M1018" s="65" t="str" cm="1">
        <f t="array" ref="M1018">_xlfn.IFS(Table22[[#This Row],[Units Sold]]&lt;40,"Critical",Table22[[#This Row],[Units Sold]]&lt;=50,"Poor",Table22[[#This Row],[Units Sold]]&lt;=60,"Low",Table22[[#This Row],[Units Sold]]&lt;=80,"Average",Table22[[#This Row],[Units Sold]]&lt;=90,"High",Table22[[#This Row],[Units Sold]]&lt;=95,"Excellent",Table22[[#This Row],[Units Sold]]&gt;95,"Outstanding")</f>
        <v>Poor</v>
      </c>
      <c r="N1018" s="29">
        <v>637.84</v>
      </c>
      <c r="O1018" s="29">
        <v>29978.48</v>
      </c>
      <c r="P1018" s="43">
        <f>IF(Table22[[#This Row],[Discount Applied]],Table22[[#This Row],[Total Sales (in USD)]]*(1-Table22[[#This Row],[Discount Percentage (%)]]/100),Table22[[#This Row],[Total Sales (in USD)]])</f>
        <v>27367.354392000001</v>
      </c>
      <c r="Q1018" s="66">
        <f>SQRT(AVERAGE((Table22[[#This Row],[Net Sales (after discount) (in USD)]]-AVERAGE(Table22[Net Sales (after discount) (in USD)]))^2))</f>
        <v>9144.0061717645367</v>
      </c>
      <c r="R1018" s="18" t="b">
        <v>0</v>
      </c>
      <c r="S1018" s="40">
        <v>8.7100000000000009</v>
      </c>
      <c r="T1018" s="18" t="b">
        <v>1</v>
      </c>
      <c r="U1018" s="25">
        <v>45372</v>
      </c>
      <c r="V1018" s="63" t="str">
        <f>IF(MONTH(Table22[[#This Row],[Sales Date]])&lt;=3,"Q1",IF(MONTH(Table22[[#This Row],[Sales Date]])&lt;=6,"Q2",IF(MONTH(Table22[[#This Row],[Sales Date]])&lt;=9,"Q3","Q4")))</f>
        <v>Q1</v>
      </c>
      <c r="W1018" s="64">
        <f>YEAR(Table22[[#This Row],[Sales Date]])</f>
        <v>2024</v>
      </c>
      <c r="X1018" s="23">
        <v>39</v>
      </c>
      <c r="Y1018" s="18" t="s">
        <v>23</v>
      </c>
      <c r="Z1018" s="18" t="s">
        <v>56</v>
      </c>
      <c r="AA1018" s="19" t="s">
        <v>25</v>
      </c>
    </row>
    <row r="1019" spans="1:27" x14ac:dyDescent="0.25">
      <c r="A1019" s="17" t="s">
        <v>590</v>
      </c>
      <c r="B1019" s="18" t="s">
        <v>46</v>
      </c>
      <c r="C1019" s="63" t="str" cm="1">
        <f t="array" ref="C1019">_xlfn.SWITCH(Table22[[#This Row],[Country]],"USA","North America","Canada","North America","Brazil","South America","China","Asia","Japan","Asia","India","Asia","France","Europe","Germany","Europe","UK","Europe","Australia","Oceania","South America")</f>
        <v>South America</v>
      </c>
      <c r="D1019" s="18" t="s">
        <v>21</v>
      </c>
      <c r="E1019" s="18" t="s">
        <v>19</v>
      </c>
      <c r="F1019" s="18" t="s">
        <v>64</v>
      </c>
      <c r="G1019" s="18" t="s">
        <v>48</v>
      </c>
      <c r="H1019" s="64">
        <f>LEN(TRIM(Table22[[#This Row],[Country]]))</f>
        <v>6</v>
      </c>
      <c r="I1019" s="64">
        <f>LEN(TRIM(Table22[[#This Row],[Continent]]))</f>
        <v>13</v>
      </c>
      <c r="J1019" s="64">
        <f>LEN(TRIM(Table22[[#This Row],[Product]]))</f>
        <v>6</v>
      </c>
      <c r="K1019" s="64">
        <f>LEN(TRIM(Table22[[#This Row],[Sales Team]]))</f>
        <v>9</v>
      </c>
      <c r="L1019" s="23">
        <v>54</v>
      </c>
      <c r="M1019" s="65" t="str" cm="1">
        <f t="array" ref="M1019">_xlfn.IFS(Table22[[#This Row],[Units Sold]]&lt;40,"Critical",Table22[[#This Row],[Units Sold]]&lt;=50,"Poor",Table22[[#This Row],[Units Sold]]&lt;=60,"Low",Table22[[#This Row],[Units Sold]]&lt;=80,"Average",Table22[[#This Row],[Units Sold]]&lt;=90,"High",Table22[[#This Row],[Units Sold]]&lt;=95,"Excellent",Table22[[#This Row],[Units Sold]]&gt;95,"Outstanding")</f>
        <v>Low</v>
      </c>
      <c r="N1019" s="29">
        <v>554.64</v>
      </c>
      <c r="O1019" s="29">
        <v>29950.560000000001</v>
      </c>
      <c r="P1019" s="43">
        <f>IF(Table22[[#This Row],[Discount Applied]],Table22[[#This Row],[Total Sales (in USD)]]*(1-Table22[[#This Row],[Discount Percentage (%)]]/100),Table22[[#This Row],[Total Sales (in USD)]])</f>
        <v>29950.560000000001</v>
      </c>
      <c r="Q1019" s="66">
        <f>SQRT(AVERAGE((Table22[[#This Row],[Net Sales (after discount) (in USD)]]-AVERAGE(Table22[Net Sales (after discount) (in USD)]))^2))</f>
        <v>6560.8005637645365</v>
      </c>
      <c r="R1019" s="18" t="b">
        <v>1</v>
      </c>
      <c r="S1019" s="40">
        <v>5.53</v>
      </c>
      <c r="T1019" s="18" t="b">
        <v>0</v>
      </c>
      <c r="U1019" s="25">
        <v>45585</v>
      </c>
      <c r="V1019" s="63" t="str">
        <f>IF(MONTH(Table22[[#This Row],[Sales Date]])&lt;=3,"Q1",IF(MONTH(Table22[[#This Row],[Sales Date]])&lt;=6,"Q2",IF(MONTH(Table22[[#This Row],[Sales Date]])&lt;=9,"Q3","Q4")))</f>
        <v>Q4</v>
      </c>
      <c r="W1019" s="64">
        <f>YEAR(Table22[[#This Row],[Sales Date]])</f>
        <v>2024</v>
      </c>
      <c r="X1019" s="23">
        <v>50</v>
      </c>
      <c r="Y1019" s="18" t="s">
        <v>41</v>
      </c>
      <c r="Z1019" s="18" t="s">
        <v>42</v>
      </c>
      <c r="AA1019" s="19" t="s">
        <v>36</v>
      </c>
    </row>
    <row r="1020" spans="1:27" x14ac:dyDescent="0.25">
      <c r="A1020" s="17" t="s">
        <v>1474</v>
      </c>
      <c r="B1020" s="18" t="s">
        <v>76</v>
      </c>
      <c r="C1020" s="63" t="str" cm="1">
        <f t="array" ref="C1020">_xlfn.SWITCH(Table22[[#This Row],[Country]],"USA","North America","Canada","North America","Brazil","South America","China","Asia","Japan","Asia","India","Asia","France","Europe","Germany","Europe","UK","Europe","Australia","Oceania","South America")</f>
        <v>Asia</v>
      </c>
      <c r="D1020" s="18" t="s">
        <v>44</v>
      </c>
      <c r="E1020" s="18" t="s">
        <v>19</v>
      </c>
      <c r="F1020" s="18" t="s">
        <v>47</v>
      </c>
      <c r="G1020" s="18" t="s">
        <v>48</v>
      </c>
      <c r="H1020" s="64">
        <f>LEN(TRIM(Table22[[#This Row],[Country]]))</f>
        <v>5</v>
      </c>
      <c r="I1020" s="64">
        <f>LEN(TRIM(Table22[[#This Row],[Continent]]))</f>
        <v>4</v>
      </c>
      <c r="J1020" s="64">
        <f>LEN(TRIM(Table22[[#This Row],[Product]]))</f>
        <v>6</v>
      </c>
      <c r="K1020" s="64">
        <f>LEN(TRIM(Table22[[#This Row],[Sales Team]]))</f>
        <v>9</v>
      </c>
      <c r="L1020" s="23">
        <v>46</v>
      </c>
      <c r="M1020" s="65" t="str" cm="1">
        <f t="array" ref="M1020">_xlfn.IFS(Table22[[#This Row],[Units Sold]]&lt;40,"Critical",Table22[[#This Row],[Units Sold]]&lt;=50,"Poor",Table22[[#This Row],[Units Sold]]&lt;=60,"Low",Table22[[#This Row],[Units Sold]]&lt;=80,"Average",Table22[[#This Row],[Units Sold]]&lt;=90,"High",Table22[[#This Row],[Units Sold]]&lt;=95,"Excellent",Table22[[#This Row],[Units Sold]]&gt;95,"Outstanding")</f>
        <v>Poor</v>
      </c>
      <c r="N1020" s="29">
        <v>651</v>
      </c>
      <c r="O1020" s="29">
        <v>29946</v>
      </c>
      <c r="P1020" s="43">
        <f>IF(Table22[[#This Row],[Discount Applied]],Table22[[#This Row],[Total Sales (in USD)]]*(1-Table22[[#This Row],[Discount Percentage (%)]]/100),Table22[[#This Row],[Total Sales (in USD)]])</f>
        <v>29068.582200000001</v>
      </c>
      <c r="Q1020" s="66">
        <f>SQRT(AVERAGE((Table22[[#This Row],[Net Sales (after discount) (in USD)]]-AVERAGE(Table22[Net Sales (after discount) (in USD)]))^2))</f>
        <v>7442.7783637645371</v>
      </c>
      <c r="R1020" s="18" t="b">
        <v>0</v>
      </c>
      <c r="S1020" s="40">
        <v>2.93</v>
      </c>
      <c r="T1020" s="18" t="b">
        <v>1</v>
      </c>
      <c r="U1020" s="25">
        <v>44981</v>
      </c>
      <c r="V1020" s="63" t="str">
        <f>IF(MONTH(Table22[[#This Row],[Sales Date]])&lt;=3,"Q1",IF(MONTH(Table22[[#This Row],[Sales Date]])&lt;=6,"Q2",IF(MONTH(Table22[[#This Row],[Sales Date]])&lt;=9,"Q3","Q4")))</f>
        <v>Q1</v>
      </c>
      <c r="W1020" s="64">
        <f>YEAR(Table22[[#This Row],[Sales Date]])</f>
        <v>2023</v>
      </c>
      <c r="X1020" s="23">
        <v>21</v>
      </c>
      <c r="Y1020" s="18" t="s">
        <v>23</v>
      </c>
      <c r="Z1020" s="18" t="s">
        <v>30</v>
      </c>
      <c r="AA1020" s="19" t="s">
        <v>25</v>
      </c>
    </row>
    <row r="1021" spans="1:27" x14ac:dyDescent="0.25">
      <c r="A1021" s="17" t="s">
        <v>1903</v>
      </c>
      <c r="B1021" s="18" t="s">
        <v>27</v>
      </c>
      <c r="C1021" s="63" t="str" cm="1">
        <f t="array" ref="C1021">_xlfn.SWITCH(Table22[[#This Row],[Country]],"USA","North America","Canada","North America","Brazil","South America","China","Asia","Japan","Asia","India","Asia","France","Europe","Germany","Europe","UK","Europe","Australia","Oceania","South America")</f>
        <v>Europe</v>
      </c>
      <c r="D1021" s="18" t="s">
        <v>44</v>
      </c>
      <c r="E1021" s="18" t="s">
        <v>39</v>
      </c>
      <c r="F1021" s="18" t="s">
        <v>34</v>
      </c>
      <c r="G1021" s="18" t="s">
        <v>22</v>
      </c>
      <c r="H1021" s="64">
        <f>LEN(TRIM(Table22[[#This Row],[Country]]))</f>
        <v>7</v>
      </c>
      <c r="I1021" s="64">
        <f>LEN(TRIM(Table22[[#This Row],[Continent]]))</f>
        <v>6</v>
      </c>
      <c r="J1021" s="64">
        <f>LEN(TRIM(Table22[[#This Row],[Product]]))</f>
        <v>10</v>
      </c>
      <c r="K1021" s="64">
        <f>LEN(TRIM(Table22[[#This Row],[Sales Team]]))</f>
        <v>10</v>
      </c>
      <c r="L1021" s="23">
        <v>48</v>
      </c>
      <c r="M1021" s="65" t="str" cm="1">
        <f t="array" ref="M1021">_xlfn.IFS(Table22[[#This Row],[Units Sold]]&lt;40,"Critical",Table22[[#This Row],[Units Sold]]&lt;=50,"Poor",Table22[[#This Row],[Units Sold]]&lt;=60,"Low",Table22[[#This Row],[Units Sold]]&lt;=80,"Average",Table22[[#This Row],[Units Sold]]&lt;=90,"High",Table22[[#This Row],[Units Sold]]&lt;=95,"Excellent",Table22[[#This Row],[Units Sold]]&gt;95,"Outstanding")</f>
        <v>Poor</v>
      </c>
      <c r="N1021" s="29">
        <v>619.41</v>
      </c>
      <c r="O1021" s="29">
        <v>29731.68</v>
      </c>
      <c r="P1021" s="43">
        <f>IF(Table22[[#This Row],[Discount Applied]],Table22[[#This Row],[Total Sales (in USD)]]*(1-Table22[[#This Row],[Discount Percentage (%)]]/100),Table22[[#This Row],[Total Sales (in USD)]])</f>
        <v>29731.68</v>
      </c>
      <c r="Q1021" s="66">
        <f>SQRT(AVERAGE((Table22[[#This Row],[Net Sales (after discount) (in USD)]]-AVERAGE(Table22[Net Sales (after discount) (in USD)]))^2))</f>
        <v>6779.6805637645375</v>
      </c>
      <c r="R1021" s="18" t="b">
        <v>0</v>
      </c>
      <c r="S1021" s="40">
        <v>16.46</v>
      </c>
      <c r="T1021" s="18" t="b">
        <v>0</v>
      </c>
      <c r="U1021" s="25">
        <v>44956</v>
      </c>
      <c r="V1021" s="63" t="str">
        <f>IF(MONTH(Table22[[#This Row],[Sales Date]])&lt;=3,"Q1",IF(MONTH(Table22[[#This Row],[Sales Date]])&lt;=6,"Q2",IF(MONTH(Table22[[#This Row],[Sales Date]])&lt;=9,"Q3","Q4")))</f>
        <v>Q1</v>
      </c>
      <c r="W1021" s="64">
        <f>YEAR(Table22[[#This Row],[Sales Date]])</f>
        <v>2023</v>
      </c>
      <c r="X1021" s="23">
        <v>54</v>
      </c>
      <c r="Y1021" s="18" t="s">
        <v>49</v>
      </c>
      <c r="Z1021" s="18" t="s">
        <v>30</v>
      </c>
      <c r="AA1021" s="19" t="s">
        <v>36</v>
      </c>
    </row>
    <row r="1022" spans="1:27" x14ac:dyDescent="0.25">
      <c r="A1022" s="17" t="s">
        <v>526</v>
      </c>
      <c r="B1022" s="18" t="s">
        <v>66</v>
      </c>
      <c r="C1022" s="63" t="str" cm="1">
        <f t="array" ref="C1022">_xlfn.SWITCH(Table22[[#This Row],[Country]],"USA","North America","Canada","North America","Brazil","South America","China","Asia","Japan","Asia","India","Asia","France","Europe","Germany","Europe","UK","Europe","Australia","Oceania","South America")</f>
        <v>North America</v>
      </c>
      <c r="D1022" s="18" t="s">
        <v>28</v>
      </c>
      <c r="E1022" s="18" t="s">
        <v>19</v>
      </c>
      <c r="F1022" s="18" t="s">
        <v>34</v>
      </c>
      <c r="G1022" s="18" t="s">
        <v>48</v>
      </c>
      <c r="H1022" s="64">
        <f>LEN(TRIM(Table22[[#This Row],[Country]]))</f>
        <v>6</v>
      </c>
      <c r="I1022" s="64">
        <f>LEN(TRIM(Table22[[#This Row],[Continent]]))</f>
        <v>13</v>
      </c>
      <c r="J1022" s="64">
        <f>LEN(TRIM(Table22[[#This Row],[Product]]))</f>
        <v>6</v>
      </c>
      <c r="K1022" s="64">
        <f>LEN(TRIM(Table22[[#This Row],[Sales Team]]))</f>
        <v>9</v>
      </c>
      <c r="L1022" s="23">
        <v>25</v>
      </c>
      <c r="M1022" s="65" t="str" cm="1">
        <f t="array" ref="M1022">_xlfn.IFS(Table22[[#This Row],[Units Sold]]&lt;40,"Critical",Table22[[#This Row],[Units Sold]]&lt;=50,"Poor",Table22[[#This Row],[Units Sold]]&lt;=60,"Low",Table22[[#This Row],[Units Sold]]&lt;=80,"Average",Table22[[#This Row],[Units Sold]]&lt;=90,"High",Table22[[#This Row],[Units Sold]]&lt;=95,"Excellent",Table22[[#This Row],[Units Sold]]&gt;95,"Outstanding")</f>
        <v>Critical</v>
      </c>
      <c r="N1022" s="29">
        <v>1187.58</v>
      </c>
      <c r="O1022" s="29">
        <v>29689.5</v>
      </c>
      <c r="P1022" s="43">
        <f>IF(Table22[[#This Row],[Discount Applied]],Table22[[#This Row],[Total Sales (in USD)]]*(1-Table22[[#This Row],[Discount Percentage (%)]]/100),Table22[[#This Row],[Total Sales (in USD)]])</f>
        <v>28582.08165</v>
      </c>
      <c r="Q1022" s="66">
        <f>SQRT(AVERAGE((Table22[[#This Row],[Net Sales (after discount) (in USD)]]-AVERAGE(Table22[Net Sales (after discount) (in USD)]))^2))</f>
        <v>7929.2789137645377</v>
      </c>
      <c r="R1022" s="18" t="b">
        <v>0</v>
      </c>
      <c r="S1022" s="40">
        <v>3.73</v>
      </c>
      <c r="T1022" s="18" t="b">
        <v>1</v>
      </c>
      <c r="U1022" s="25">
        <v>45107</v>
      </c>
      <c r="V1022" s="63" t="str">
        <f>IF(MONTH(Table22[[#This Row],[Sales Date]])&lt;=3,"Q1",IF(MONTH(Table22[[#This Row],[Sales Date]])&lt;=6,"Q2",IF(MONTH(Table22[[#This Row],[Sales Date]])&lt;=9,"Q3","Q4")))</f>
        <v>Q2</v>
      </c>
      <c r="W1022" s="64">
        <f>YEAR(Table22[[#This Row],[Sales Date]])</f>
        <v>2023</v>
      </c>
      <c r="X1022" s="23">
        <v>30</v>
      </c>
      <c r="Y1022" s="18" t="s">
        <v>23</v>
      </c>
      <c r="Z1022" s="18" t="s">
        <v>24</v>
      </c>
      <c r="AA1022" s="19" t="s">
        <v>25</v>
      </c>
    </row>
    <row r="1023" spans="1:27" x14ac:dyDescent="0.25">
      <c r="A1023" s="17" t="s">
        <v>1361</v>
      </c>
      <c r="B1023" s="18" t="s">
        <v>51</v>
      </c>
      <c r="C1023" s="63" t="str" cm="1">
        <f t="array" ref="C1023">_xlfn.SWITCH(Table22[[#This Row],[Country]],"USA","North America","Canada","North America","Brazil","South America","China","Asia","Japan","Asia","India","Asia","France","Europe","Germany","Europe","UK","Europe","Australia","Oceania","South America")</f>
        <v>Europe</v>
      </c>
      <c r="D1023" s="18" t="s">
        <v>21</v>
      </c>
      <c r="E1023" s="18" t="s">
        <v>33</v>
      </c>
      <c r="F1023" s="18" t="s">
        <v>34</v>
      </c>
      <c r="G1023" s="18" t="s">
        <v>40</v>
      </c>
      <c r="H1023" s="64">
        <f>LEN(TRIM(Table22[[#This Row],[Country]]))</f>
        <v>2</v>
      </c>
      <c r="I1023" s="64">
        <f>LEN(TRIM(Table22[[#This Row],[Continent]]))</f>
        <v>6</v>
      </c>
      <c r="J1023" s="64">
        <f>LEN(TRIM(Table22[[#This Row],[Product]]))</f>
        <v>10</v>
      </c>
      <c r="K1023" s="64">
        <f>LEN(TRIM(Table22[[#This Row],[Sales Team]]))</f>
        <v>10</v>
      </c>
      <c r="L1023" s="23">
        <v>33</v>
      </c>
      <c r="M1023" s="65" t="str" cm="1">
        <f t="array" ref="M1023">_xlfn.IFS(Table22[[#This Row],[Units Sold]]&lt;40,"Critical",Table22[[#This Row],[Units Sold]]&lt;=50,"Poor",Table22[[#This Row],[Units Sold]]&lt;=60,"Low",Table22[[#This Row],[Units Sold]]&lt;=80,"Average",Table22[[#This Row],[Units Sold]]&lt;=90,"High",Table22[[#This Row],[Units Sold]]&lt;=95,"Excellent",Table22[[#This Row],[Units Sold]]&gt;95,"Outstanding")</f>
        <v>Critical</v>
      </c>
      <c r="N1023" s="29">
        <v>898.24</v>
      </c>
      <c r="O1023" s="29">
        <v>29641.919999999998</v>
      </c>
      <c r="P1023" s="43">
        <f>IF(Table22[[#This Row],[Discount Applied]],Table22[[#This Row],[Total Sales (in USD)]]*(1-Table22[[#This Row],[Discount Percentage (%)]]/100),Table22[[#This Row],[Total Sales (in USD)]])</f>
        <v>26310.168191999997</v>
      </c>
      <c r="Q1023" s="66">
        <f>SQRT(AVERAGE((Table22[[#This Row],[Net Sales (after discount) (in USD)]]-AVERAGE(Table22[Net Sales (after discount) (in USD)]))^2))</f>
        <v>10201.19237176454</v>
      </c>
      <c r="R1023" s="18" t="b">
        <v>0</v>
      </c>
      <c r="S1023" s="40">
        <v>11.24</v>
      </c>
      <c r="T1023" s="18" t="b">
        <v>1</v>
      </c>
      <c r="U1023" s="25">
        <v>45229</v>
      </c>
      <c r="V1023" s="63" t="str">
        <f>IF(MONTH(Table22[[#This Row],[Sales Date]])&lt;=3,"Q1",IF(MONTH(Table22[[#This Row],[Sales Date]])&lt;=6,"Q2",IF(MONTH(Table22[[#This Row],[Sales Date]])&lt;=9,"Q3","Q4")))</f>
        <v>Q4</v>
      </c>
      <c r="W1023" s="64">
        <f>YEAR(Table22[[#This Row],[Sales Date]])</f>
        <v>2023</v>
      </c>
      <c r="X1023" s="23">
        <v>67</v>
      </c>
      <c r="Y1023" s="18" t="s">
        <v>41</v>
      </c>
      <c r="Z1023" s="18" t="s">
        <v>42</v>
      </c>
      <c r="AA1023" s="19" t="s">
        <v>25</v>
      </c>
    </row>
    <row r="1024" spans="1:27" x14ac:dyDescent="0.25">
      <c r="A1024" s="17" t="s">
        <v>483</v>
      </c>
      <c r="B1024" s="18" t="s">
        <v>46</v>
      </c>
      <c r="C1024" s="63" t="str" cm="1">
        <f t="array" ref="C1024">_xlfn.SWITCH(Table22[[#This Row],[Country]],"USA","North America","Canada","North America","Brazil","South America","China","Asia","Japan","Asia","India","Asia","France","Europe","Germany","Europe","UK","Europe","Australia","Oceania","South America")</f>
        <v>South America</v>
      </c>
      <c r="D1024" s="18" t="s">
        <v>44</v>
      </c>
      <c r="E1024" s="18" t="s">
        <v>33</v>
      </c>
      <c r="F1024" s="18" t="s">
        <v>20</v>
      </c>
      <c r="G1024" s="18" t="s">
        <v>40</v>
      </c>
      <c r="H1024" s="64">
        <f>LEN(TRIM(Table22[[#This Row],[Country]]))</f>
        <v>6</v>
      </c>
      <c r="I1024" s="64">
        <f>LEN(TRIM(Table22[[#This Row],[Continent]]))</f>
        <v>13</v>
      </c>
      <c r="J1024" s="64">
        <f>LEN(TRIM(Table22[[#This Row],[Product]]))</f>
        <v>10</v>
      </c>
      <c r="K1024" s="64">
        <f>LEN(TRIM(Table22[[#This Row],[Sales Team]]))</f>
        <v>10</v>
      </c>
      <c r="L1024" s="23">
        <v>48</v>
      </c>
      <c r="M1024" s="65" t="str" cm="1">
        <f t="array" ref="M1024">_xlfn.IFS(Table22[[#This Row],[Units Sold]]&lt;40,"Critical",Table22[[#This Row],[Units Sold]]&lt;=50,"Poor",Table22[[#This Row],[Units Sold]]&lt;=60,"Low",Table22[[#This Row],[Units Sold]]&lt;=80,"Average",Table22[[#This Row],[Units Sold]]&lt;=90,"High",Table22[[#This Row],[Units Sold]]&lt;=95,"Excellent",Table22[[#This Row],[Units Sold]]&gt;95,"Outstanding")</f>
        <v>Poor</v>
      </c>
      <c r="N1024" s="29">
        <v>616.59</v>
      </c>
      <c r="O1024" s="29">
        <v>29596.32</v>
      </c>
      <c r="P1024" s="43">
        <f>IF(Table22[[#This Row],[Discount Applied]],Table22[[#This Row],[Total Sales (in USD)]]*(1-Table22[[#This Row],[Discount Percentage (%)]]/100),Table22[[#This Row],[Total Sales (in USD)]])</f>
        <v>29596.32</v>
      </c>
      <c r="Q1024" s="66">
        <f>SQRT(AVERAGE((Table22[[#This Row],[Net Sales (after discount) (in USD)]]-AVERAGE(Table22[Net Sales (after discount) (in USD)]))^2))</f>
        <v>6915.0405637645381</v>
      </c>
      <c r="R1024" s="18" t="b">
        <v>1</v>
      </c>
      <c r="S1024" s="40">
        <v>6.43</v>
      </c>
      <c r="T1024" s="18" t="b">
        <v>0</v>
      </c>
      <c r="U1024" s="25">
        <v>45537</v>
      </c>
      <c r="V1024" s="63" t="str">
        <f>IF(MONTH(Table22[[#This Row],[Sales Date]])&lt;=3,"Q1",IF(MONTH(Table22[[#This Row],[Sales Date]])&lt;=6,"Q2",IF(MONTH(Table22[[#This Row],[Sales Date]])&lt;=9,"Q3","Q4")))</f>
        <v>Q3</v>
      </c>
      <c r="W1024" s="64">
        <f>YEAR(Table22[[#This Row],[Sales Date]])</f>
        <v>2024</v>
      </c>
      <c r="X1024" s="23">
        <v>63</v>
      </c>
      <c r="Y1024" s="18" t="s">
        <v>49</v>
      </c>
      <c r="Z1024" s="18" t="s">
        <v>30</v>
      </c>
      <c r="AA1024" s="19" t="s">
        <v>36</v>
      </c>
    </row>
    <row r="1025" spans="1:27" x14ac:dyDescent="0.25">
      <c r="A1025" s="17" t="s">
        <v>136</v>
      </c>
      <c r="B1025" s="18" t="s">
        <v>32</v>
      </c>
      <c r="C1025" s="63" t="str" cm="1">
        <f t="array" ref="C1025">_xlfn.SWITCH(Table22[[#This Row],[Country]],"USA","North America","Canada","North America","Brazil","South America","China","Asia","Japan","Asia","India","Asia","France","Europe","Germany","Europe","UK","Europe","Australia","Oceania","South America")</f>
        <v>Asia</v>
      </c>
      <c r="D1025" s="18" t="s">
        <v>28</v>
      </c>
      <c r="E1025" s="18" t="s">
        <v>19</v>
      </c>
      <c r="F1025" s="18" t="s">
        <v>34</v>
      </c>
      <c r="G1025" s="18" t="s">
        <v>29</v>
      </c>
      <c r="H1025" s="64">
        <f>LEN(TRIM(Table22[[#This Row],[Country]]))</f>
        <v>5</v>
      </c>
      <c r="I1025" s="64">
        <f>LEN(TRIM(Table22[[#This Row],[Continent]]))</f>
        <v>4</v>
      </c>
      <c r="J1025" s="64">
        <f>LEN(TRIM(Table22[[#This Row],[Product]]))</f>
        <v>6</v>
      </c>
      <c r="K1025" s="64">
        <f>LEN(TRIM(Table22[[#This Row],[Sales Team]]))</f>
        <v>10</v>
      </c>
      <c r="L1025" s="23">
        <v>25</v>
      </c>
      <c r="M1025" s="65" t="str" cm="1">
        <f t="array" ref="M1025">_xlfn.IFS(Table22[[#This Row],[Units Sold]]&lt;40,"Critical",Table22[[#This Row],[Units Sold]]&lt;=50,"Poor",Table22[[#This Row],[Units Sold]]&lt;=60,"Low",Table22[[#This Row],[Units Sold]]&lt;=80,"Average",Table22[[#This Row],[Units Sold]]&lt;=90,"High",Table22[[#This Row],[Units Sold]]&lt;=95,"Excellent",Table22[[#This Row],[Units Sold]]&gt;95,"Outstanding")</f>
        <v>Critical</v>
      </c>
      <c r="N1025" s="29">
        <v>1183.45</v>
      </c>
      <c r="O1025" s="29">
        <v>29586.25</v>
      </c>
      <c r="P1025" s="43">
        <f>IF(Table22[[#This Row],[Discount Applied]],Table22[[#This Row],[Total Sales (in USD)]]*(1-Table22[[#This Row],[Discount Percentage (%)]]/100),Table22[[#This Row],[Total Sales (in USD)]])</f>
        <v>29586.25</v>
      </c>
      <c r="Q1025" s="66">
        <f>SQRT(AVERAGE((Table22[[#This Row],[Net Sales (after discount) (in USD)]]-AVERAGE(Table22[Net Sales (after discount) (in USD)]))^2))</f>
        <v>6925.1105637645378</v>
      </c>
      <c r="R1025" s="18" t="b">
        <v>0</v>
      </c>
      <c r="S1025" s="40">
        <v>11.13</v>
      </c>
      <c r="T1025" s="18" t="b">
        <v>0</v>
      </c>
      <c r="U1025" s="25">
        <v>45518</v>
      </c>
      <c r="V1025" s="63" t="str">
        <f>IF(MONTH(Table22[[#This Row],[Sales Date]])&lt;=3,"Q1",IF(MONTH(Table22[[#This Row],[Sales Date]])&lt;=6,"Q2",IF(MONTH(Table22[[#This Row],[Sales Date]])&lt;=9,"Q3","Q4")))</f>
        <v>Q3</v>
      </c>
      <c r="W1025" s="64">
        <f>YEAR(Table22[[#This Row],[Sales Date]])</f>
        <v>2024</v>
      </c>
      <c r="X1025" s="23">
        <v>57</v>
      </c>
      <c r="Y1025" s="18" t="s">
        <v>49</v>
      </c>
      <c r="Z1025" s="18" t="s">
        <v>30</v>
      </c>
      <c r="AA1025" s="19" t="s">
        <v>25</v>
      </c>
    </row>
    <row r="1026" spans="1:27" x14ac:dyDescent="0.25">
      <c r="A1026" s="17" t="s">
        <v>2039</v>
      </c>
      <c r="B1026" s="18" t="s">
        <v>38</v>
      </c>
      <c r="C1026" s="63" t="str" cm="1">
        <f t="array" ref="C1026">_xlfn.SWITCH(Table22[[#This Row],[Country]],"USA","North America","Canada","North America","Brazil","South America","China","Asia","Japan","Asia","India","Asia","France","Europe","Germany","Europe","UK","Europe","Australia","Oceania","South America")</f>
        <v>Europe</v>
      </c>
      <c r="D1026" s="18" t="s">
        <v>28</v>
      </c>
      <c r="E1026" s="18" t="s">
        <v>39</v>
      </c>
      <c r="F1026" s="18" t="s">
        <v>52</v>
      </c>
      <c r="G1026" s="18" t="s">
        <v>29</v>
      </c>
      <c r="H1026" s="64">
        <f>LEN(TRIM(Table22[[#This Row],[Country]]))</f>
        <v>6</v>
      </c>
      <c r="I1026" s="64">
        <f>LEN(TRIM(Table22[[#This Row],[Continent]]))</f>
        <v>6</v>
      </c>
      <c r="J1026" s="64">
        <f>LEN(TRIM(Table22[[#This Row],[Product]]))</f>
        <v>10</v>
      </c>
      <c r="K1026" s="64">
        <f>LEN(TRIM(Table22[[#This Row],[Sales Team]]))</f>
        <v>10</v>
      </c>
      <c r="L1026" s="23">
        <v>44</v>
      </c>
      <c r="M1026" s="65" t="str" cm="1">
        <f t="array" ref="M1026">_xlfn.IFS(Table22[[#This Row],[Units Sold]]&lt;40,"Critical",Table22[[#This Row],[Units Sold]]&lt;=50,"Poor",Table22[[#This Row],[Units Sold]]&lt;=60,"Low",Table22[[#This Row],[Units Sold]]&lt;=80,"Average",Table22[[#This Row],[Units Sold]]&lt;=90,"High",Table22[[#This Row],[Units Sold]]&lt;=95,"Excellent",Table22[[#This Row],[Units Sold]]&gt;95,"Outstanding")</f>
        <v>Poor</v>
      </c>
      <c r="N1026" s="29">
        <v>672.33</v>
      </c>
      <c r="O1026" s="29">
        <v>29582.52</v>
      </c>
      <c r="P1026" s="43">
        <f>IF(Table22[[#This Row],[Discount Applied]],Table22[[#This Row],[Total Sales (in USD)]]*(1-Table22[[#This Row],[Discount Percentage (%)]]/100),Table22[[#This Row],[Total Sales (in USD)]])</f>
        <v>29582.52</v>
      </c>
      <c r="Q1026" s="66">
        <f>SQRT(AVERAGE((Table22[[#This Row],[Net Sales (after discount) (in USD)]]-AVERAGE(Table22[Net Sales (after discount) (in USD)]))^2))</f>
        <v>6928.8405637645374</v>
      </c>
      <c r="R1026" s="18" t="b">
        <v>1</v>
      </c>
      <c r="S1026" s="40">
        <v>26.92</v>
      </c>
      <c r="T1026" s="18" t="b">
        <v>0</v>
      </c>
      <c r="U1026" s="25">
        <v>45537</v>
      </c>
      <c r="V1026" s="63" t="str">
        <f>IF(MONTH(Table22[[#This Row],[Sales Date]])&lt;=3,"Q1",IF(MONTH(Table22[[#This Row],[Sales Date]])&lt;=6,"Q2",IF(MONTH(Table22[[#This Row],[Sales Date]])&lt;=9,"Q3","Q4")))</f>
        <v>Q3</v>
      </c>
      <c r="W1026" s="64">
        <f>YEAR(Table22[[#This Row],[Sales Date]])</f>
        <v>2024</v>
      </c>
      <c r="X1026" s="23">
        <v>21</v>
      </c>
      <c r="Y1026" s="18" t="s">
        <v>41</v>
      </c>
      <c r="Z1026" s="18" t="s">
        <v>24</v>
      </c>
      <c r="AA1026" s="19" t="s">
        <v>36</v>
      </c>
    </row>
    <row r="1027" spans="1:27" x14ac:dyDescent="0.25">
      <c r="A1027" s="17" t="s">
        <v>1290</v>
      </c>
      <c r="B1027" s="18" t="s">
        <v>32</v>
      </c>
      <c r="C1027" s="63" t="str" cm="1">
        <f t="array" ref="C1027">_xlfn.SWITCH(Table22[[#This Row],[Country]],"USA","North America","Canada","North America","Brazil","South America","China","Asia","Japan","Asia","India","Asia","France","Europe","Germany","Europe","UK","Europe","Australia","Oceania","South America")</f>
        <v>Asia</v>
      </c>
      <c r="D1027" s="18" t="s">
        <v>44</v>
      </c>
      <c r="E1027" s="18" t="s">
        <v>19</v>
      </c>
      <c r="F1027" s="18" t="s">
        <v>47</v>
      </c>
      <c r="G1027" s="18" t="s">
        <v>40</v>
      </c>
      <c r="H1027" s="64">
        <f>LEN(TRIM(Table22[[#This Row],[Country]]))</f>
        <v>5</v>
      </c>
      <c r="I1027" s="64">
        <f>LEN(TRIM(Table22[[#This Row],[Continent]]))</f>
        <v>4</v>
      </c>
      <c r="J1027" s="64">
        <f>LEN(TRIM(Table22[[#This Row],[Product]]))</f>
        <v>6</v>
      </c>
      <c r="K1027" s="64">
        <f>LEN(TRIM(Table22[[#This Row],[Sales Team]]))</f>
        <v>10</v>
      </c>
      <c r="L1027" s="23">
        <v>52</v>
      </c>
      <c r="M1027" s="65" t="str" cm="1">
        <f t="array" ref="M1027">_xlfn.IFS(Table22[[#This Row],[Units Sold]]&lt;40,"Critical",Table22[[#This Row],[Units Sold]]&lt;=50,"Poor",Table22[[#This Row],[Units Sold]]&lt;=60,"Low",Table22[[#This Row],[Units Sold]]&lt;=80,"Average",Table22[[#This Row],[Units Sold]]&lt;=90,"High",Table22[[#This Row],[Units Sold]]&lt;=95,"Excellent",Table22[[#This Row],[Units Sold]]&gt;95,"Outstanding")</f>
        <v>Low</v>
      </c>
      <c r="N1027" s="29">
        <v>568.79</v>
      </c>
      <c r="O1027" s="29">
        <v>29577.08</v>
      </c>
      <c r="P1027" s="43">
        <f>IF(Table22[[#This Row],[Discount Applied]],Table22[[#This Row],[Total Sales (in USD)]]*(1-Table22[[#This Row],[Discount Percentage (%)]]/100),Table22[[#This Row],[Total Sales (in USD)]])</f>
        <v>29577.08</v>
      </c>
      <c r="Q1027" s="66">
        <f>SQRT(AVERAGE((Table22[[#This Row],[Net Sales (after discount) (in USD)]]-AVERAGE(Table22[Net Sales (after discount) (in USD)]))^2))</f>
        <v>6934.2805637645361</v>
      </c>
      <c r="R1027" s="18" t="b">
        <v>1</v>
      </c>
      <c r="S1027" s="40">
        <v>17.46</v>
      </c>
      <c r="T1027" s="18" t="b">
        <v>0</v>
      </c>
      <c r="U1027" s="25">
        <v>45048</v>
      </c>
      <c r="V1027" s="63" t="str">
        <f>IF(MONTH(Table22[[#This Row],[Sales Date]])&lt;=3,"Q1",IF(MONTH(Table22[[#This Row],[Sales Date]])&lt;=6,"Q2",IF(MONTH(Table22[[#This Row],[Sales Date]])&lt;=9,"Q3","Q4")))</f>
        <v>Q2</v>
      </c>
      <c r="W1027" s="64">
        <f>YEAR(Table22[[#This Row],[Sales Date]])</f>
        <v>2023</v>
      </c>
      <c r="X1027" s="23">
        <v>54</v>
      </c>
      <c r="Y1027" s="18" t="s">
        <v>49</v>
      </c>
      <c r="Z1027" s="18" t="s">
        <v>30</v>
      </c>
      <c r="AA1027" s="19" t="s">
        <v>25</v>
      </c>
    </row>
    <row r="1028" spans="1:27" x14ac:dyDescent="0.25">
      <c r="A1028" s="17" t="s">
        <v>1648</v>
      </c>
      <c r="B1028" s="18" t="s">
        <v>62</v>
      </c>
      <c r="C1028" s="63" t="str" cm="1">
        <f t="array" ref="C1028">_xlfn.SWITCH(Table22[[#This Row],[Country]],"USA","North America","Canada","North America","Brazil","South America","China","Asia","Japan","Asia","India","Asia","France","Europe","Germany","Europe","UK","Europe","Australia","Oceania","South America")</f>
        <v>Oceania</v>
      </c>
      <c r="D1028" s="18" t="s">
        <v>44</v>
      </c>
      <c r="E1028" s="18" t="s">
        <v>39</v>
      </c>
      <c r="F1028" s="18" t="s">
        <v>64</v>
      </c>
      <c r="G1028" s="18" t="s">
        <v>22</v>
      </c>
      <c r="H1028" s="64">
        <f>LEN(TRIM(Table22[[#This Row],[Country]]))</f>
        <v>9</v>
      </c>
      <c r="I1028" s="64">
        <f>LEN(TRIM(Table22[[#This Row],[Continent]]))</f>
        <v>7</v>
      </c>
      <c r="J1028" s="64">
        <f>LEN(TRIM(Table22[[#This Row],[Product]]))</f>
        <v>10</v>
      </c>
      <c r="K1028" s="64">
        <f>LEN(TRIM(Table22[[#This Row],[Sales Team]]))</f>
        <v>10</v>
      </c>
      <c r="L1028" s="23">
        <v>60</v>
      </c>
      <c r="M1028" s="65" t="str" cm="1">
        <f t="array" ref="M1028">_xlfn.IFS(Table22[[#This Row],[Units Sold]]&lt;40,"Critical",Table22[[#This Row],[Units Sold]]&lt;=50,"Poor",Table22[[#This Row],[Units Sold]]&lt;=60,"Low",Table22[[#This Row],[Units Sold]]&lt;=80,"Average",Table22[[#This Row],[Units Sold]]&lt;=90,"High",Table22[[#This Row],[Units Sold]]&lt;=95,"Excellent",Table22[[#This Row],[Units Sold]]&gt;95,"Outstanding")</f>
        <v>Low</v>
      </c>
      <c r="N1028" s="29">
        <v>492.72</v>
      </c>
      <c r="O1028" s="29">
        <v>29563.200000000001</v>
      </c>
      <c r="P1028" s="43">
        <f>IF(Table22[[#This Row],[Discount Applied]],Table22[[#This Row],[Total Sales (in USD)]]*(1-Table22[[#This Row],[Discount Percentage (%)]]/100),Table22[[#This Row],[Total Sales (in USD)]])</f>
        <v>22397.080320000001</v>
      </c>
      <c r="Q1028" s="66">
        <f>SQRT(AVERAGE((Table22[[#This Row],[Net Sales (after discount) (in USD)]]-AVERAGE(Table22[Net Sales (after discount) (in USD)]))^2))</f>
        <v>14114.280243764537</v>
      </c>
      <c r="R1028" s="18" t="b">
        <v>0</v>
      </c>
      <c r="S1028" s="40">
        <v>24.24</v>
      </c>
      <c r="T1028" s="18" t="b">
        <v>1</v>
      </c>
      <c r="U1028" s="25">
        <v>45283</v>
      </c>
      <c r="V1028" s="63" t="str">
        <f>IF(MONTH(Table22[[#This Row],[Sales Date]])&lt;=3,"Q1",IF(MONTH(Table22[[#This Row],[Sales Date]])&lt;=6,"Q2",IF(MONTH(Table22[[#This Row],[Sales Date]])&lt;=9,"Q3","Q4")))</f>
        <v>Q4</v>
      </c>
      <c r="W1028" s="64">
        <f>YEAR(Table22[[#This Row],[Sales Date]])</f>
        <v>2023</v>
      </c>
      <c r="X1028" s="23">
        <v>50</v>
      </c>
      <c r="Y1028" s="18" t="s">
        <v>49</v>
      </c>
      <c r="Z1028" s="18" t="s">
        <v>42</v>
      </c>
      <c r="AA1028" s="19" t="s">
        <v>25</v>
      </c>
    </row>
    <row r="1029" spans="1:27" x14ac:dyDescent="0.25">
      <c r="A1029" s="17" t="s">
        <v>1767</v>
      </c>
      <c r="B1029" s="18" t="s">
        <v>38</v>
      </c>
      <c r="C1029" s="63" t="str" cm="1">
        <f t="array" ref="C1029">_xlfn.SWITCH(Table22[[#This Row],[Country]],"USA","North America","Canada","North America","Brazil","South America","China","Asia","Japan","Asia","India","Asia","France","Europe","Germany","Europe","UK","Europe","Australia","Oceania","South America")</f>
        <v>Europe</v>
      </c>
      <c r="D1029" s="18" t="s">
        <v>35</v>
      </c>
      <c r="E1029" s="18" t="s">
        <v>39</v>
      </c>
      <c r="F1029" s="18" t="s">
        <v>64</v>
      </c>
      <c r="G1029" s="18" t="s">
        <v>22</v>
      </c>
      <c r="H1029" s="64">
        <f>LEN(TRIM(Table22[[#This Row],[Country]]))</f>
        <v>6</v>
      </c>
      <c r="I1029" s="64">
        <f>LEN(TRIM(Table22[[#This Row],[Continent]]))</f>
        <v>6</v>
      </c>
      <c r="J1029" s="64">
        <f>LEN(TRIM(Table22[[#This Row],[Product]]))</f>
        <v>10</v>
      </c>
      <c r="K1029" s="64">
        <f>LEN(TRIM(Table22[[#This Row],[Sales Team]]))</f>
        <v>10</v>
      </c>
      <c r="L1029" s="23">
        <v>77</v>
      </c>
      <c r="M1029" s="65" t="str" cm="1">
        <f t="array" ref="M1029">_xlfn.IFS(Table22[[#This Row],[Units Sold]]&lt;40,"Critical",Table22[[#This Row],[Units Sold]]&lt;=50,"Poor",Table22[[#This Row],[Units Sold]]&lt;=60,"Low",Table22[[#This Row],[Units Sold]]&lt;=80,"Average",Table22[[#This Row],[Units Sold]]&lt;=90,"High",Table22[[#This Row],[Units Sold]]&lt;=95,"Excellent",Table22[[#This Row],[Units Sold]]&gt;95,"Outstanding")</f>
        <v>Average</v>
      </c>
      <c r="N1029" s="29">
        <v>379.7</v>
      </c>
      <c r="O1029" s="29">
        <v>29236.9</v>
      </c>
      <c r="P1029" s="43">
        <f>IF(Table22[[#This Row],[Discount Applied]],Table22[[#This Row],[Total Sales (in USD)]]*(1-Table22[[#This Row],[Discount Percentage (%)]]/100),Table22[[#This Row],[Total Sales (in USD)]])</f>
        <v>24240.31379</v>
      </c>
      <c r="Q1029" s="66">
        <f>SQRT(AVERAGE((Table22[[#This Row],[Net Sales (after discount) (in USD)]]-AVERAGE(Table22[Net Sales (after discount) (in USD)]))^2))</f>
        <v>12271.046773764538</v>
      </c>
      <c r="R1029" s="18" t="b">
        <v>0</v>
      </c>
      <c r="S1029" s="40">
        <v>17.09</v>
      </c>
      <c r="T1029" s="18" t="b">
        <v>1</v>
      </c>
      <c r="U1029" s="25">
        <v>45552</v>
      </c>
      <c r="V1029" s="63" t="str">
        <f>IF(MONTH(Table22[[#This Row],[Sales Date]])&lt;=3,"Q1",IF(MONTH(Table22[[#This Row],[Sales Date]])&lt;=6,"Q2",IF(MONTH(Table22[[#This Row],[Sales Date]])&lt;=9,"Q3","Q4")))</f>
        <v>Q3</v>
      </c>
      <c r="W1029" s="64">
        <f>YEAR(Table22[[#This Row],[Sales Date]])</f>
        <v>2024</v>
      </c>
      <c r="X1029" s="23">
        <v>46</v>
      </c>
      <c r="Y1029" s="18" t="s">
        <v>41</v>
      </c>
      <c r="Z1029" s="18" t="s">
        <v>24</v>
      </c>
      <c r="AA1029" s="19" t="s">
        <v>36</v>
      </c>
    </row>
    <row r="1030" spans="1:27" x14ac:dyDescent="0.25">
      <c r="A1030" s="17" t="s">
        <v>371</v>
      </c>
      <c r="B1030" s="18" t="s">
        <v>66</v>
      </c>
      <c r="C1030" s="63" t="str" cm="1">
        <f t="array" ref="C1030">_xlfn.SWITCH(Table22[[#This Row],[Country]],"USA","North America","Canada","North America","Brazil","South America","China","Asia","Japan","Asia","India","Asia","France","Europe","Germany","Europe","UK","Europe","Australia","Oceania","South America")</f>
        <v>North America</v>
      </c>
      <c r="D1030" s="18" t="s">
        <v>44</v>
      </c>
      <c r="E1030" s="18" t="s">
        <v>39</v>
      </c>
      <c r="F1030" s="18" t="s">
        <v>34</v>
      </c>
      <c r="G1030" s="18" t="s">
        <v>29</v>
      </c>
      <c r="H1030" s="64">
        <f>LEN(TRIM(Table22[[#This Row],[Country]]))</f>
        <v>6</v>
      </c>
      <c r="I1030" s="64">
        <f>LEN(TRIM(Table22[[#This Row],[Continent]]))</f>
        <v>13</v>
      </c>
      <c r="J1030" s="64">
        <f>LEN(TRIM(Table22[[#This Row],[Product]]))</f>
        <v>10</v>
      </c>
      <c r="K1030" s="64">
        <f>LEN(TRIM(Table22[[#This Row],[Sales Team]]))</f>
        <v>10</v>
      </c>
      <c r="L1030" s="23">
        <v>31</v>
      </c>
      <c r="M1030" s="65" t="str" cm="1">
        <f t="array" ref="M1030">_xlfn.IFS(Table22[[#This Row],[Units Sold]]&lt;40,"Critical",Table22[[#This Row],[Units Sold]]&lt;=50,"Poor",Table22[[#This Row],[Units Sold]]&lt;=60,"Low",Table22[[#This Row],[Units Sold]]&lt;=80,"Average",Table22[[#This Row],[Units Sold]]&lt;=90,"High",Table22[[#This Row],[Units Sold]]&lt;=95,"Excellent",Table22[[#This Row],[Units Sold]]&gt;95,"Outstanding")</f>
        <v>Critical</v>
      </c>
      <c r="N1030" s="29">
        <v>942.8</v>
      </c>
      <c r="O1030" s="29">
        <v>29226.799999999999</v>
      </c>
      <c r="P1030" s="43">
        <f>IF(Table22[[#This Row],[Discount Applied]],Table22[[#This Row],[Total Sales (in USD)]]*(1-Table22[[#This Row],[Discount Percentage (%)]]/100),Table22[[#This Row],[Total Sales (in USD)]])</f>
        <v>29226.799999999999</v>
      </c>
      <c r="Q1030" s="66">
        <f>SQRT(AVERAGE((Table22[[#This Row],[Net Sales (after discount) (in USD)]]-AVERAGE(Table22[Net Sales (after discount) (in USD)]))^2))</f>
        <v>7284.5605637645385</v>
      </c>
      <c r="R1030" s="18" t="b">
        <v>1</v>
      </c>
      <c r="S1030" s="40">
        <v>20.12</v>
      </c>
      <c r="T1030" s="18" t="b">
        <v>0</v>
      </c>
      <c r="U1030" s="25">
        <v>45073</v>
      </c>
      <c r="V1030" s="63" t="str">
        <f>IF(MONTH(Table22[[#This Row],[Sales Date]])&lt;=3,"Q1",IF(MONTH(Table22[[#This Row],[Sales Date]])&lt;=6,"Q2",IF(MONTH(Table22[[#This Row],[Sales Date]])&lt;=9,"Q3","Q4")))</f>
        <v>Q2</v>
      </c>
      <c r="W1030" s="64">
        <f>YEAR(Table22[[#This Row],[Sales Date]])</f>
        <v>2023</v>
      </c>
      <c r="X1030" s="23">
        <v>36</v>
      </c>
      <c r="Y1030" s="18" t="s">
        <v>41</v>
      </c>
      <c r="Z1030" s="18" t="s">
        <v>24</v>
      </c>
      <c r="AA1030" s="19" t="s">
        <v>25</v>
      </c>
    </row>
    <row r="1031" spans="1:27" x14ac:dyDescent="0.25">
      <c r="A1031" s="17" t="s">
        <v>1824</v>
      </c>
      <c r="B1031" s="18" t="s">
        <v>27</v>
      </c>
      <c r="C1031" s="63" t="str" cm="1">
        <f t="array" ref="C1031">_xlfn.SWITCH(Table22[[#This Row],[Country]],"USA","North America","Canada","North America","Brazil","South America","China","Asia","Japan","Asia","India","Asia","France","Europe","Germany","Europe","UK","Europe","Australia","Oceania","South America")</f>
        <v>Europe</v>
      </c>
      <c r="D1031" s="18" t="s">
        <v>21</v>
      </c>
      <c r="E1031" s="18" t="s">
        <v>39</v>
      </c>
      <c r="F1031" s="18" t="s">
        <v>20</v>
      </c>
      <c r="G1031" s="18" t="s">
        <v>48</v>
      </c>
      <c r="H1031" s="64">
        <f>LEN(TRIM(Table22[[#This Row],[Country]]))</f>
        <v>7</v>
      </c>
      <c r="I1031" s="64">
        <f>LEN(TRIM(Table22[[#This Row],[Continent]]))</f>
        <v>6</v>
      </c>
      <c r="J1031" s="64">
        <f>LEN(TRIM(Table22[[#This Row],[Product]]))</f>
        <v>10</v>
      </c>
      <c r="K1031" s="64">
        <f>LEN(TRIM(Table22[[#This Row],[Sales Team]]))</f>
        <v>9</v>
      </c>
      <c r="L1031" s="23">
        <v>29</v>
      </c>
      <c r="M1031" s="65" t="str" cm="1">
        <f t="array" ref="M1031">_xlfn.IFS(Table22[[#This Row],[Units Sold]]&lt;40,"Critical",Table22[[#This Row],[Units Sold]]&lt;=50,"Poor",Table22[[#This Row],[Units Sold]]&lt;=60,"Low",Table22[[#This Row],[Units Sold]]&lt;=80,"Average",Table22[[#This Row],[Units Sold]]&lt;=90,"High",Table22[[#This Row],[Units Sold]]&lt;=95,"Excellent",Table22[[#This Row],[Units Sold]]&gt;95,"Outstanding")</f>
        <v>Critical</v>
      </c>
      <c r="N1031" s="29">
        <v>1006.71</v>
      </c>
      <c r="O1031" s="29">
        <v>29194.59</v>
      </c>
      <c r="P1031" s="43">
        <f>IF(Table22[[#This Row],[Discount Applied]],Table22[[#This Row],[Total Sales (in USD)]]*(1-Table22[[#This Row],[Discount Percentage (%)]]/100),Table22[[#This Row],[Total Sales (in USD)]])</f>
        <v>24794.965286999999</v>
      </c>
      <c r="Q1031" s="66">
        <f>SQRT(AVERAGE((Table22[[#This Row],[Net Sales (after discount) (in USD)]]-AVERAGE(Table22[Net Sales (after discount) (in USD)]))^2))</f>
        <v>11716.395276764539</v>
      </c>
      <c r="R1031" s="18" t="b">
        <v>0</v>
      </c>
      <c r="S1031" s="40">
        <v>15.07</v>
      </c>
      <c r="T1031" s="18" t="b">
        <v>1</v>
      </c>
      <c r="U1031" s="25">
        <v>45187</v>
      </c>
      <c r="V1031" s="63" t="str">
        <f>IF(MONTH(Table22[[#This Row],[Sales Date]])&lt;=3,"Q1",IF(MONTH(Table22[[#This Row],[Sales Date]])&lt;=6,"Q2",IF(MONTH(Table22[[#This Row],[Sales Date]])&lt;=9,"Q3","Q4")))</f>
        <v>Q3</v>
      </c>
      <c r="W1031" s="64">
        <f>YEAR(Table22[[#This Row],[Sales Date]])</f>
        <v>2023</v>
      </c>
      <c r="X1031" s="23">
        <v>63</v>
      </c>
      <c r="Y1031" s="18" t="s">
        <v>41</v>
      </c>
      <c r="Z1031" s="18" t="s">
        <v>56</v>
      </c>
      <c r="AA1031" s="19" t="s">
        <v>36</v>
      </c>
    </row>
    <row r="1032" spans="1:27" x14ac:dyDescent="0.25">
      <c r="A1032" s="17" t="s">
        <v>1979</v>
      </c>
      <c r="B1032" s="18" t="s">
        <v>18</v>
      </c>
      <c r="C1032" s="63" t="str" cm="1">
        <f t="array" ref="C1032">_xlfn.SWITCH(Table22[[#This Row],[Country]],"USA","North America","Canada","North America","Brazil","South America","China","Asia","Japan","Asia","India","Asia","France","Europe","Germany","Europe","UK","Europe","Australia","Oceania","South America")</f>
        <v>Asia</v>
      </c>
      <c r="D1032" s="18" t="s">
        <v>35</v>
      </c>
      <c r="E1032" s="18" t="s">
        <v>19</v>
      </c>
      <c r="F1032" s="18" t="s">
        <v>47</v>
      </c>
      <c r="G1032" s="18" t="s">
        <v>22</v>
      </c>
      <c r="H1032" s="64">
        <f>LEN(TRIM(Table22[[#This Row],[Country]]))</f>
        <v>5</v>
      </c>
      <c r="I1032" s="64">
        <f>LEN(TRIM(Table22[[#This Row],[Continent]]))</f>
        <v>4</v>
      </c>
      <c r="J1032" s="64">
        <f>LEN(TRIM(Table22[[#This Row],[Product]]))</f>
        <v>6</v>
      </c>
      <c r="K1032" s="64">
        <f>LEN(TRIM(Table22[[#This Row],[Sales Team]]))</f>
        <v>10</v>
      </c>
      <c r="L1032" s="23">
        <v>29</v>
      </c>
      <c r="M1032" s="65" t="str" cm="1">
        <f t="array" ref="M1032">_xlfn.IFS(Table22[[#This Row],[Units Sold]]&lt;40,"Critical",Table22[[#This Row],[Units Sold]]&lt;=50,"Poor",Table22[[#This Row],[Units Sold]]&lt;=60,"Low",Table22[[#This Row],[Units Sold]]&lt;=80,"Average",Table22[[#This Row],[Units Sold]]&lt;=90,"High",Table22[[#This Row],[Units Sold]]&lt;=95,"Excellent",Table22[[#This Row],[Units Sold]]&gt;95,"Outstanding")</f>
        <v>Critical</v>
      </c>
      <c r="N1032" s="29">
        <v>1006.1</v>
      </c>
      <c r="O1032" s="29">
        <v>29176.9</v>
      </c>
      <c r="P1032" s="43">
        <f>IF(Table22[[#This Row],[Discount Applied]],Table22[[#This Row],[Total Sales (in USD)]]*(1-Table22[[#This Row],[Discount Percentage (%)]]/100),Table22[[#This Row],[Total Sales (in USD)]])</f>
        <v>29176.9</v>
      </c>
      <c r="Q1032" s="66">
        <f>SQRT(AVERAGE((Table22[[#This Row],[Net Sales (after discount) (in USD)]]-AVERAGE(Table22[Net Sales (after discount) (in USD)]))^2))</f>
        <v>7334.4605637645363</v>
      </c>
      <c r="R1032" s="18" t="b">
        <v>0</v>
      </c>
      <c r="S1032" s="40">
        <v>11.78</v>
      </c>
      <c r="T1032" s="18" t="b">
        <v>0</v>
      </c>
      <c r="U1032" s="25">
        <v>45584</v>
      </c>
      <c r="V1032" s="63" t="str">
        <f>IF(MONTH(Table22[[#This Row],[Sales Date]])&lt;=3,"Q1",IF(MONTH(Table22[[#This Row],[Sales Date]])&lt;=6,"Q2",IF(MONTH(Table22[[#This Row],[Sales Date]])&lt;=9,"Q3","Q4")))</f>
        <v>Q4</v>
      </c>
      <c r="W1032" s="64">
        <f>YEAR(Table22[[#This Row],[Sales Date]])</f>
        <v>2024</v>
      </c>
      <c r="X1032" s="23">
        <v>20</v>
      </c>
      <c r="Y1032" s="18" t="s">
        <v>41</v>
      </c>
      <c r="Z1032" s="18" t="s">
        <v>24</v>
      </c>
      <c r="AA1032" s="19" t="s">
        <v>25</v>
      </c>
    </row>
    <row r="1033" spans="1:27" x14ac:dyDescent="0.25">
      <c r="A1033" s="17" t="s">
        <v>296</v>
      </c>
      <c r="B1033" s="18" t="s">
        <v>62</v>
      </c>
      <c r="C1033" s="63" t="str" cm="1">
        <f t="array" ref="C1033">_xlfn.SWITCH(Table22[[#This Row],[Country]],"USA","North America","Canada","North America","Brazil","South America","China","Asia","Japan","Asia","India","Asia","France","Europe","Germany","Europe","UK","Europe","Australia","Oceania","South America")</f>
        <v>Oceania</v>
      </c>
      <c r="D1033" s="18" t="s">
        <v>21</v>
      </c>
      <c r="E1033" s="18" t="s">
        <v>33</v>
      </c>
      <c r="F1033" s="18" t="s">
        <v>20</v>
      </c>
      <c r="G1033" s="18" t="s">
        <v>40</v>
      </c>
      <c r="H1033" s="64">
        <f>LEN(TRIM(Table22[[#This Row],[Country]]))</f>
        <v>9</v>
      </c>
      <c r="I1033" s="64">
        <f>LEN(TRIM(Table22[[#This Row],[Continent]]))</f>
        <v>7</v>
      </c>
      <c r="J1033" s="64">
        <f>LEN(TRIM(Table22[[#This Row],[Product]]))</f>
        <v>10</v>
      </c>
      <c r="K1033" s="64">
        <f>LEN(TRIM(Table22[[#This Row],[Sales Team]]))</f>
        <v>10</v>
      </c>
      <c r="L1033" s="23">
        <v>43</v>
      </c>
      <c r="M1033" s="65" t="str" cm="1">
        <f t="array" ref="M1033">_xlfn.IFS(Table22[[#This Row],[Units Sold]]&lt;40,"Critical",Table22[[#This Row],[Units Sold]]&lt;=50,"Poor",Table22[[#This Row],[Units Sold]]&lt;=60,"Low",Table22[[#This Row],[Units Sold]]&lt;=80,"Average",Table22[[#This Row],[Units Sold]]&lt;=90,"High",Table22[[#This Row],[Units Sold]]&lt;=95,"Excellent",Table22[[#This Row],[Units Sold]]&gt;95,"Outstanding")</f>
        <v>Poor</v>
      </c>
      <c r="N1033" s="29">
        <v>678.52</v>
      </c>
      <c r="O1033" s="29">
        <v>29176.36</v>
      </c>
      <c r="P1033" s="43">
        <f>IF(Table22[[#This Row],[Discount Applied]],Table22[[#This Row],[Total Sales (in USD)]]*(1-Table22[[#This Row],[Discount Percentage (%)]]/100),Table22[[#This Row],[Total Sales (in USD)]])</f>
        <v>29176.36</v>
      </c>
      <c r="Q1033" s="66">
        <f>SQRT(AVERAGE((Table22[[#This Row],[Net Sales (after discount) (in USD)]]-AVERAGE(Table22[Net Sales (after discount) (in USD)]))^2))</f>
        <v>7335.0005637645372</v>
      </c>
      <c r="R1033" s="18" t="b">
        <v>1</v>
      </c>
      <c r="S1033" s="40">
        <v>4.99</v>
      </c>
      <c r="T1033" s="18" t="b">
        <v>0</v>
      </c>
      <c r="U1033" s="25">
        <v>45058</v>
      </c>
      <c r="V1033" s="63" t="str">
        <f>IF(MONTH(Table22[[#This Row],[Sales Date]])&lt;=3,"Q1",IF(MONTH(Table22[[#This Row],[Sales Date]])&lt;=6,"Q2",IF(MONTH(Table22[[#This Row],[Sales Date]])&lt;=9,"Q3","Q4")))</f>
        <v>Q2</v>
      </c>
      <c r="W1033" s="64">
        <f>YEAR(Table22[[#This Row],[Sales Date]])</f>
        <v>2023</v>
      </c>
      <c r="X1033" s="23">
        <v>60</v>
      </c>
      <c r="Y1033" s="18" t="s">
        <v>41</v>
      </c>
      <c r="Z1033" s="18" t="s">
        <v>30</v>
      </c>
      <c r="AA1033" s="19" t="s">
        <v>36</v>
      </c>
    </row>
    <row r="1034" spans="1:27" x14ac:dyDescent="0.25">
      <c r="A1034" s="17" t="s">
        <v>166</v>
      </c>
      <c r="B1034" s="18" t="s">
        <v>72</v>
      </c>
      <c r="C1034" s="63" t="str" cm="1">
        <f t="array" ref="C1034">_xlfn.SWITCH(Table22[[#This Row],[Country]],"USA","North America","Canada","North America","Brazil","South America","China","Asia","Japan","Asia","India","Asia","France","Europe","Germany","Europe","UK","Europe","Australia","Oceania","South America")</f>
        <v>North America</v>
      </c>
      <c r="D1034" s="18" t="s">
        <v>28</v>
      </c>
      <c r="E1034" s="18" t="s">
        <v>19</v>
      </c>
      <c r="F1034" s="18" t="s">
        <v>34</v>
      </c>
      <c r="G1034" s="18" t="s">
        <v>29</v>
      </c>
      <c r="H1034" s="64">
        <f>LEN(TRIM(Table22[[#This Row],[Country]]))</f>
        <v>3</v>
      </c>
      <c r="I1034" s="64">
        <f>LEN(TRIM(Table22[[#This Row],[Continent]]))</f>
        <v>13</v>
      </c>
      <c r="J1034" s="64">
        <f>LEN(TRIM(Table22[[#This Row],[Product]]))</f>
        <v>6</v>
      </c>
      <c r="K1034" s="64">
        <f>LEN(TRIM(Table22[[#This Row],[Sales Team]]))</f>
        <v>10</v>
      </c>
      <c r="L1034" s="23">
        <v>56</v>
      </c>
      <c r="M1034" s="65" t="str" cm="1">
        <f t="array" ref="M1034">_xlfn.IFS(Table22[[#This Row],[Units Sold]]&lt;40,"Critical",Table22[[#This Row],[Units Sold]]&lt;=50,"Poor",Table22[[#This Row],[Units Sold]]&lt;=60,"Low",Table22[[#This Row],[Units Sold]]&lt;=80,"Average",Table22[[#This Row],[Units Sold]]&lt;=90,"High",Table22[[#This Row],[Units Sold]]&lt;=95,"Excellent",Table22[[#This Row],[Units Sold]]&gt;95,"Outstanding")</f>
        <v>Low</v>
      </c>
      <c r="N1034" s="29">
        <v>520</v>
      </c>
      <c r="O1034" s="29">
        <v>29120</v>
      </c>
      <c r="P1034" s="43">
        <f>IF(Table22[[#This Row],[Discount Applied]],Table22[[#This Row],[Total Sales (in USD)]]*(1-Table22[[#This Row],[Discount Percentage (%)]]/100),Table22[[#This Row],[Total Sales (in USD)]])</f>
        <v>23613.407999999999</v>
      </c>
      <c r="Q1034" s="66">
        <f>SQRT(AVERAGE((Table22[[#This Row],[Net Sales (after discount) (in USD)]]-AVERAGE(Table22[Net Sales (after discount) (in USD)]))^2))</f>
        <v>12897.952563764538</v>
      </c>
      <c r="R1034" s="18" t="b">
        <v>0</v>
      </c>
      <c r="S1034" s="40">
        <v>18.91</v>
      </c>
      <c r="T1034" s="18" t="b">
        <v>1</v>
      </c>
      <c r="U1034" s="25">
        <v>45495</v>
      </c>
      <c r="V1034" s="63" t="str">
        <f>IF(MONTH(Table22[[#This Row],[Sales Date]])&lt;=3,"Q1",IF(MONTH(Table22[[#This Row],[Sales Date]])&lt;=6,"Q2",IF(MONTH(Table22[[#This Row],[Sales Date]])&lt;=9,"Q3","Q4")))</f>
        <v>Q3</v>
      </c>
      <c r="W1034" s="64">
        <f>YEAR(Table22[[#This Row],[Sales Date]])</f>
        <v>2024</v>
      </c>
      <c r="X1034" s="23">
        <v>62</v>
      </c>
      <c r="Y1034" s="18" t="s">
        <v>41</v>
      </c>
      <c r="Z1034" s="18" t="s">
        <v>42</v>
      </c>
      <c r="AA1034" s="19" t="s">
        <v>25</v>
      </c>
    </row>
    <row r="1035" spans="1:27" x14ac:dyDescent="0.25">
      <c r="A1035" s="17" t="s">
        <v>415</v>
      </c>
      <c r="B1035" s="18" t="s">
        <v>62</v>
      </c>
      <c r="C1035" s="63" t="str" cm="1">
        <f t="array" ref="C1035">_xlfn.SWITCH(Table22[[#This Row],[Country]],"USA","North America","Canada","North America","Brazil","South America","China","Asia","Japan","Asia","India","Asia","France","Europe","Germany","Europe","UK","Europe","Australia","Oceania","South America")</f>
        <v>Oceania</v>
      </c>
      <c r="D1035" s="18" t="s">
        <v>35</v>
      </c>
      <c r="E1035" s="18" t="s">
        <v>19</v>
      </c>
      <c r="F1035" s="18" t="s">
        <v>20</v>
      </c>
      <c r="G1035" s="18" t="s">
        <v>48</v>
      </c>
      <c r="H1035" s="64">
        <f>LEN(TRIM(Table22[[#This Row],[Country]]))</f>
        <v>9</v>
      </c>
      <c r="I1035" s="64">
        <f>LEN(TRIM(Table22[[#This Row],[Continent]]))</f>
        <v>7</v>
      </c>
      <c r="J1035" s="64">
        <f>LEN(TRIM(Table22[[#This Row],[Product]]))</f>
        <v>6</v>
      </c>
      <c r="K1035" s="64">
        <f>LEN(TRIM(Table22[[#This Row],[Sales Team]]))</f>
        <v>9</v>
      </c>
      <c r="L1035" s="23">
        <v>61</v>
      </c>
      <c r="M1035" s="65" t="str" cm="1">
        <f t="array" ref="M1035">_xlfn.IFS(Table22[[#This Row],[Units Sold]]&lt;40,"Critical",Table22[[#This Row],[Units Sold]]&lt;=50,"Poor",Table22[[#This Row],[Units Sold]]&lt;=60,"Low",Table22[[#This Row],[Units Sold]]&lt;=80,"Average",Table22[[#This Row],[Units Sold]]&lt;=90,"High",Table22[[#This Row],[Units Sold]]&lt;=95,"Excellent",Table22[[#This Row],[Units Sold]]&gt;95,"Outstanding")</f>
        <v>Average</v>
      </c>
      <c r="N1035" s="29">
        <v>477.34</v>
      </c>
      <c r="O1035" s="29">
        <v>29117.74</v>
      </c>
      <c r="P1035" s="43">
        <f>IF(Table22[[#This Row],[Discount Applied]],Table22[[#This Row],[Total Sales (in USD)]]*(1-Table22[[#This Row],[Discount Percentage (%)]]/100),Table22[[#This Row],[Total Sales (in USD)]])</f>
        <v>21849.952096000001</v>
      </c>
      <c r="Q1035" s="66">
        <f>SQRT(AVERAGE((Table22[[#This Row],[Net Sales (after discount) (in USD)]]-AVERAGE(Table22[Net Sales (after discount) (in USD)]))^2))</f>
        <v>14661.408467764537</v>
      </c>
      <c r="R1035" s="18" t="b">
        <v>0</v>
      </c>
      <c r="S1035" s="40">
        <v>24.96</v>
      </c>
      <c r="T1035" s="18" t="b">
        <v>1</v>
      </c>
      <c r="U1035" s="25">
        <v>45268</v>
      </c>
      <c r="V1035" s="63" t="str">
        <f>IF(MONTH(Table22[[#This Row],[Sales Date]])&lt;=3,"Q1",IF(MONTH(Table22[[#This Row],[Sales Date]])&lt;=6,"Q2",IF(MONTH(Table22[[#This Row],[Sales Date]])&lt;=9,"Q3","Q4")))</f>
        <v>Q4</v>
      </c>
      <c r="W1035" s="64">
        <f>YEAR(Table22[[#This Row],[Sales Date]])</f>
        <v>2023</v>
      </c>
      <c r="X1035" s="23">
        <v>57</v>
      </c>
      <c r="Y1035" s="18" t="s">
        <v>49</v>
      </c>
      <c r="Z1035" s="18" t="s">
        <v>30</v>
      </c>
      <c r="AA1035" s="19" t="s">
        <v>25</v>
      </c>
    </row>
    <row r="1036" spans="1:27" x14ac:dyDescent="0.25">
      <c r="A1036" s="17" t="s">
        <v>1431</v>
      </c>
      <c r="B1036" s="18" t="s">
        <v>18</v>
      </c>
      <c r="C1036" s="63" t="str" cm="1">
        <f t="array" ref="C1036">_xlfn.SWITCH(Table22[[#This Row],[Country]],"USA","North America","Canada","North America","Brazil","South America","China","Asia","Japan","Asia","India","Asia","France","Europe","Germany","Europe","UK","Europe","Australia","Oceania","South America")</f>
        <v>Asia</v>
      </c>
      <c r="D1036" s="18" t="s">
        <v>44</v>
      </c>
      <c r="E1036" s="18" t="s">
        <v>19</v>
      </c>
      <c r="F1036" s="18" t="s">
        <v>20</v>
      </c>
      <c r="G1036" s="18" t="s">
        <v>40</v>
      </c>
      <c r="H1036" s="64">
        <f>LEN(TRIM(Table22[[#This Row],[Country]]))</f>
        <v>5</v>
      </c>
      <c r="I1036" s="64">
        <f>LEN(TRIM(Table22[[#This Row],[Continent]]))</f>
        <v>4</v>
      </c>
      <c r="J1036" s="64">
        <f>LEN(TRIM(Table22[[#This Row],[Product]]))</f>
        <v>6</v>
      </c>
      <c r="K1036" s="64">
        <f>LEN(TRIM(Table22[[#This Row],[Sales Team]]))</f>
        <v>10</v>
      </c>
      <c r="L1036" s="23">
        <v>35</v>
      </c>
      <c r="M1036" s="65" t="str" cm="1">
        <f t="array" ref="M1036">_xlfn.IFS(Table22[[#This Row],[Units Sold]]&lt;40,"Critical",Table22[[#This Row],[Units Sold]]&lt;=50,"Poor",Table22[[#This Row],[Units Sold]]&lt;=60,"Low",Table22[[#This Row],[Units Sold]]&lt;=80,"Average",Table22[[#This Row],[Units Sold]]&lt;=90,"High",Table22[[#This Row],[Units Sold]]&lt;=95,"Excellent",Table22[[#This Row],[Units Sold]]&gt;95,"Outstanding")</f>
        <v>Critical</v>
      </c>
      <c r="N1036" s="29">
        <v>829.77</v>
      </c>
      <c r="O1036" s="29">
        <v>29041.95</v>
      </c>
      <c r="P1036" s="43">
        <f>IF(Table22[[#This Row],[Discount Applied]],Table22[[#This Row],[Total Sales (in USD)]]*(1-Table22[[#This Row],[Discount Percentage (%)]]/100),Table22[[#This Row],[Total Sales (in USD)]])</f>
        <v>29041.95</v>
      </c>
      <c r="Q1036" s="66">
        <f>SQRT(AVERAGE((Table22[[#This Row],[Net Sales (after discount) (in USD)]]-AVERAGE(Table22[Net Sales (after discount) (in USD)]))^2))</f>
        <v>7469.4105637645371</v>
      </c>
      <c r="R1036" s="18" t="b">
        <v>1</v>
      </c>
      <c r="S1036" s="40">
        <v>9.66</v>
      </c>
      <c r="T1036" s="18" t="b">
        <v>0</v>
      </c>
      <c r="U1036" s="25">
        <v>45186</v>
      </c>
      <c r="V1036" s="63" t="str">
        <f>IF(MONTH(Table22[[#This Row],[Sales Date]])&lt;=3,"Q1",IF(MONTH(Table22[[#This Row],[Sales Date]])&lt;=6,"Q2",IF(MONTH(Table22[[#This Row],[Sales Date]])&lt;=9,"Q3","Q4")))</f>
        <v>Q3</v>
      </c>
      <c r="W1036" s="64">
        <f>YEAR(Table22[[#This Row],[Sales Date]])</f>
        <v>2023</v>
      </c>
      <c r="X1036" s="23">
        <v>64</v>
      </c>
      <c r="Y1036" s="18" t="s">
        <v>23</v>
      </c>
      <c r="Z1036" s="18" t="s">
        <v>56</v>
      </c>
      <c r="AA1036" s="19" t="s">
        <v>25</v>
      </c>
    </row>
    <row r="1037" spans="1:27" x14ac:dyDescent="0.25">
      <c r="A1037" s="17" t="s">
        <v>1411</v>
      </c>
      <c r="B1037" s="18" t="s">
        <v>72</v>
      </c>
      <c r="C1037" s="63" t="str" cm="1">
        <f t="array" ref="C1037">_xlfn.SWITCH(Table22[[#This Row],[Country]],"USA","North America","Canada","North America","Brazil","South America","China","Asia","Japan","Asia","India","Asia","France","Europe","Germany","Europe","UK","Europe","Australia","Oceania","South America")</f>
        <v>North America</v>
      </c>
      <c r="D1037" s="18" t="s">
        <v>28</v>
      </c>
      <c r="E1037" s="18" t="s">
        <v>39</v>
      </c>
      <c r="F1037" s="18" t="s">
        <v>20</v>
      </c>
      <c r="G1037" s="18" t="s">
        <v>40</v>
      </c>
      <c r="H1037" s="64">
        <f>LEN(TRIM(Table22[[#This Row],[Country]]))</f>
        <v>3</v>
      </c>
      <c r="I1037" s="64">
        <f>LEN(TRIM(Table22[[#This Row],[Continent]]))</f>
        <v>13</v>
      </c>
      <c r="J1037" s="64">
        <f>LEN(TRIM(Table22[[#This Row],[Product]]))</f>
        <v>10</v>
      </c>
      <c r="K1037" s="64">
        <f>LEN(TRIM(Table22[[#This Row],[Sales Team]]))</f>
        <v>10</v>
      </c>
      <c r="L1037" s="23">
        <v>32</v>
      </c>
      <c r="M1037" s="65" t="str" cm="1">
        <f t="array" ref="M1037">_xlfn.IFS(Table22[[#This Row],[Units Sold]]&lt;40,"Critical",Table22[[#This Row],[Units Sold]]&lt;=50,"Poor",Table22[[#This Row],[Units Sold]]&lt;=60,"Low",Table22[[#This Row],[Units Sold]]&lt;=80,"Average",Table22[[#This Row],[Units Sold]]&lt;=90,"High",Table22[[#This Row],[Units Sold]]&lt;=95,"Excellent",Table22[[#This Row],[Units Sold]]&gt;95,"Outstanding")</f>
        <v>Critical</v>
      </c>
      <c r="N1037" s="29">
        <v>905.95</v>
      </c>
      <c r="O1037" s="29">
        <v>28990.400000000001</v>
      </c>
      <c r="P1037" s="43">
        <f>IF(Table22[[#This Row],[Discount Applied]],Table22[[#This Row],[Total Sales (in USD)]]*(1-Table22[[#This Row],[Discount Percentage (%)]]/100),Table22[[#This Row],[Total Sales (in USD)]])</f>
        <v>28143.88032</v>
      </c>
      <c r="Q1037" s="66">
        <f>SQRT(AVERAGE((Table22[[#This Row],[Net Sales (after discount) (in USD)]]-AVERAGE(Table22[Net Sales (after discount) (in USD)]))^2))</f>
        <v>8367.4802437645376</v>
      </c>
      <c r="R1037" s="18" t="b">
        <v>0</v>
      </c>
      <c r="S1037" s="40">
        <v>2.92</v>
      </c>
      <c r="T1037" s="18" t="b">
        <v>1</v>
      </c>
      <c r="U1037" s="25">
        <v>45046</v>
      </c>
      <c r="V1037" s="63" t="str">
        <f>IF(MONTH(Table22[[#This Row],[Sales Date]])&lt;=3,"Q1",IF(MONTH(Table22[[#This Row],[Sales Date]])&lt;=6,"Q2",IF(MONTH(Table22[[#This Row],[Sales Date]])&lt;=9,"Q3","Q4")))</f>
        <v>Q2</v>
      </c>
      <c r="W1037" s="64">
        <f>YEAR(Table22[[#This Row],[Sales Date]])</f>
        <v>2023</v>
      </c>
      <c r="X1037" s="23">
        <v>57</v>
      </c>
      <c r="Y1037" s="18" t="s">
        <v>41</v>
      </c>
      <c r="Z1037" s="18" t="s">
        <v>24</v>
      </c>
      <c r="AA1037" s="19" t="s">
        <v>25</v>
      </c>
    </row>
    <row r="1038" spans="1:27" x14ac:dyDescent="0.25">
      <c r="A1038" s="17" t="s">
        <v>90</v>
      </c>
      <c r="B1038" s="18" t="s">
        <v>66</v>
      </c>
      <c r="C1038" s="63" t="str" cm="1">
        <f t="array" ref="C1038">_xlfn.SWITCH(Table22[[#This Row],[Country]],"USA","North America","Canada","North America","Brazil","South America","China","Asia","Japan","Asia","India","Asia","France","Europe","Germany","Europe","UK","Europe","Australia","Oceania","South America")</f>
        <v>North America</v>
      </c>
      <c r="D1038" s="18" t="s">
        <v>28</v>
      </c>
      <c r="E1038" s="18" t="s">
        <v>19</v>
      </c>
      <c r="F1038" s="18" t="s">
        <v>47</v>
      </c>
      <c r="G1038" s="18" t="s">
        <v>48</v>
      </c>
      <c r="H1038" s="64">
        <f>LEN(TRIM(Table22[[#This Row],[Country]]))</f>
        <v>6</v>
      </c>
      <c r="I1038" s="64">
        <f>LEN(TRIM(Table22[[#This Row],[Continent]]))</f>
        <v>13</v>
      </c>
      <c r="J1038" s="64">
        <f>LEN(TRIM(Table22[[#This Row],[Product]]))</f>
        <v>6</v>
      </c>
      <c r="K1038" s="64">
        <f>LEN(TRIM(Table22[[#This Row],[Sales Team]]))</f>
        <v>9</v>
      </c>
      <c r="L1038" s="23">
        <v>33</v>
      </c>
      <c r="M1038" s="65" t="str" cm="1">
        <f t="array" ref="M1038">_xlfn.IFS(Table22[[#This Row],[Units Sold]]&lt;40,"Critical",Table22[[#This Row],[Units Sold]]&lt;=50,"Poor",Table22[[#This Row],[Units Sold]]&lt;=60,"Low",Table22[[#This Row],[Units Sold]]&lt;=80,"Average",Table22[[#This Row],[Units Sold]]&lt;=90,"High",Table22[[#This Row],[Units Sold]]&lt;=95,"Excellent",Table22[[#This Row],[Units Sold]]&gt;95,"Outstanding")</f>
        <v>Critical</v>
      </c>
      <c r="N1038" s="29">
        <v>877.94</v>
      </c>
      <c r="O1038" s="29">
        <v>28972.02</v>
      </c>
      <c r="P1038" s="43">
        <f>IF(Table22[[#This Row],[Discount Applied]],Table22[[#This Row],[Total Sales (in USD)]]*(1-Table22[[#This Row],[Discount Percentage (%)]]/100),Table22[[#This Row],[Total Sales (in USD)]])</f>
        <v>28972.02</v>
      </c>
      <c r="Q1038" s="66">
        <f>SQRT(AVERAGE((Table22[[#This Row],[Net Sales (after discount) (in USD)]]-AVERAGE(Table22[Net Sales (after discount) (in USD)]))^2))</f>
        <v>7539.3405637645374</v>
      </c>
      <c r="R1038" s="18" t="b">
        <v>1</v>
      </c>
      <c r="S1038" s="40">
        <v>26.63</v>
      </c>
      <c r="T1038" s="18" t="b">
        <v>0</v>
      </c>
      <c r="U1038" s="25">
        <v>45299</v>
      </c>
      <c r="V1038" s="63" t="str">
        <f>IF(MONTH(Table22[[#This Row],[Sales Date]])&lt;=3,"Q1",IF(MONTH(Table22[[#This Row],[Sales Date]])&lt;=6,"Q2",IF(MONTH(Table22[[#This Row],[Sales Date]])&lt;=9,"Q3","Q4")))</f>
        <v>Q1</v>
      </c>
      <c r="W1038" s="64">
        <f>YEAR(Table22[[#This Row],[Sales Date]])</f>
        <v>2024</v>
      </c>
      <c r="X1038" s="23">
        <v>37</v>
      </c>
      <c r="Y1038" s="18" t="s">
        <v>49</v>
      </c>
      <c r="Z1038" s="18" t="s">
        <v>24</v>
      </c>
      <c r="AA1038" s="19" t="s">
        <v>36</v>
      </c>
    </row>
    <row r="1039" spans="1:27" x14ac:dyDescent="0.25">
      <c r="A1039" s="17" t="s">
        <v>1826</v>
      </c>
      <c r="B1039" s="18" t="s">
        <v>66</v>
      </c>
      <c r="C1039" s="63" t="str" cm="1">
        <f t="array" ref="C1039">_xlfn.SWITCH(Table22[[#This Row],[Country]],"USA","North America","Canada","North America","Brazil","South America","China","Asia","Japan","Asia","India","Asia","France","Europe","Germany","Europe","UK","Europe","Australia","Oceania","South America")</f>
        <v>North America</v>
      </c>
      <c r="D1039" s="18" t="s">
        <v>28</v>
      </c>
      <c r="E1039" s="18" t="s">
        <v>19</v>
      </c>
      <c r="F1039" s="18" t="s">
        <v>52</v>
      </c>
      <c r="G1039" s="18" t="s">
        <v>48</v>
      </c>
      <c r="H1039" s="64">
        <f>LEN(TRIM(Table22[[#This Row],[Country]]))</f>
        <v>6</v>
      </c>
      <c r="I1039" s="64">
        <f>LEN(TRIM(Table22[[#This Row],[Continent]]))</f>
        <v>13</v>
      </c>
      <c r="J1039" s="64">
        <f>LEN(TRIM(Table22[[#This Row],[Product]]))</f>
        <v>6</v>
      </c>
      <c r="K1039" s="64">
        <f>LEN(TRIM(Table22[[#This Row],[Sales Team]]))</f>
        <v>9</v>
      </c>
      <c r="L1039" s="23">
        <v>77</v>
      </c>
      <c r="M1039" s="65" t="str" cm="1">
        <f t="array" ref="M1039">_xlfn.IFS(Table22[[#This Row],[Units Sold]]&lt;40,"Critical",Table22[[#This Row],[Units Sold]]&lt;=50,"Poor",Table22[[#This Row],[Units Sold]]&lt;=60,"Low",Table22[[#This Row],[Units Sold]]&lt;=80,"Average",Table22[[#This Row],[Units Sold]]&lt;=90,"High",Table22[[#This Row],[Units Sold]]&lt;=95,"Excellent",Table22[[#This Row],[Units Sold]]&gt;95,"Outstanding")</f>
        <v>Average</v>
      </c>
      <c r="N1039" s="29">
        <v>375.76</v>
      </c>
      <c r="O1039" s="29">
        <v>28933.52</v>
      </c>
      <c r="P1039" s="43">
        <f>IF(Table22[[#This Row],[Discount Applied]],Table22[[#This Row],[Total Sales (in USD)]]*(1-Table22[[#This Row],[Discount Percentage (%)]]/100),Table22[[#This Row],[Total Sales (in USD)]])</f>
        <v>22597.079120000002</v>
      </c>
      <c r="Q1039" s="66">
        <f>SQRT(AVERAGE((Table22[[#This Row],[Net Sales (after discount) (in USD)]]-AVERAGE(Table22[Net Sales (after discount) (in USD)]))^2))</f>
        <v>13914.281443764536</v>
      </c>
      <c r="R1039" s="18" t="b">
        <v>0</v>
      </c>
      <c r="S1039" s="40">
        <v>21.9</v>
      </c>
      <c r="T1039" s="18" t="b">
        <v>1</v>
      </c>
      <c r="U1039" s="25">
        <v>45266</v>
      </c>
      <c r="V1039" s="63" t="str">
        <f>IF(MONTH(Table22[[#This Row],[Sales Date]])&lt;=3,"Q1",IF(MONTH(Table22[[#This Row],[Sales Date]])&lt;=6,"Q2",IF(MONTH(Table22[[#This Row],[Sales Date]])&lt;=9,"Q3","Q4")))</f>
        <v>Q4</v>
      </c>
      <c r="W1039" s="64">
        <f>YEAR(Table22[[#This Row],[Sales Date]])</f>
        <v>2023</v>
      </c>
      <c r="X1039" s="23">
        <v>46</v>
      </c>
      <c r="Y1039" s="18" t="s">
        <v>23</v>
      </c>
      <c r="Z1039" s="18" t="s">
        <v>30</v>
      </c>
      <c r="AA1039" s="19" t="s">
        <v>36</v>
      </c>
    </row>
    <row r="1040" spans="1:27" x14ac:dyDescent="0.25">
      <c r="A1040" s="17" t="s">
        <v>1006</v>
      </c>
      <c r="B1040" s="18" t="s">
        <v>27</v>
      </c>
      <c r="C1040" s="63" t="str" cm="1">
        <f t="array" ref="C1040">_xlfn.SWITCH(Table22[[#This Row],[Country]],"USA","North America","Canada","North America","Brazil","South America","China","Asia","Japan","Asia","India","Asia","France","Europe","Germany","Europe","UK","Europe","Australia","Oceania","South America")</f>
        <v>Europe</v>
      </c>
      <c r="D1040" s="18" t="s">
        <v>44</v>
      </c>
      <c r="E1040" s="18" t="s">
        <v>19</v>
      </c>
      <c r="F1040" s="18" t="s">
        <v>34</v>
      </c>
      <c r="G1040" s="18" t="s">
        <v>48</v>
      </c>
      <c r="H1040" s="64">
        <f>LEN(TRIM(Table22[[#This Row],[Country]]))</f>
        <v>7</v>
      </c>
      <c r="I1040" s="64">
        <f>LEN(TRIM(Table22[[#This Row],[Continent]]))</f>
        <v>6</v>
      </c>
      <c r="J1040" s="64">
        <f>LEN(TRIM(Table22[[#This Row],[Product]]))</f>
        <v>6</v>
      </c>
      <c r="K1040" s="64">
        <f>LEN(TRIM(Table22[[#This Row],[Sales Team]]))</f>
        <v>9</v>
      </c>
      <c r="L1040" s="23">
        <v>38</v>
      </c>
      <c r="M1040" s="65" t="str" cm="1">
        <f t="array" ref="M1040">_xlfn.IFS(Table22[[#This Row],[Units Sold]]&lt;40,"Critical",Table22[[#This Row],[Units Sold]]&lt;=50,"Poor",Table22[[#This Row],[Units Sold]]&lt;=60,"Low",Table22[[#This Row],[Units Sold]]&lt;=80,"Average",Table22[[#This Row],[Units Sold]]&lt;=90,"High",Table22[[#This Row],[Units Sold]]&lt;=95,"Excellent",Table22[[#This Row],[Units Sold]]&gt;95,"Outstanding")</f>
        <v>Critical</v>
      </c>
      <c r="N1040" s="29">
        <v>761.15</v>
      </c>
      <c r="O1040" s="29">
        <v>28923.7</v>
      </c>
      <c r="P1040" s="43">
        <f>IF(Table22[[#This Row],[Discount Applied]],Table22[[#This Row],[Total Sales (in USD)]]*(1-Table22[[#This Row],[Discount Percentage (%)]]/100),Table22[[#This Row],[Total Sales (in USD)]])</f>
        <v>24047.16418</v>
      </c>
      <c r="Q1040" s="66">
        <f>SQRT(AVERAGE((Table22[[#This Row],[Net Sales (after discount) (in USD)]]-AVERAGE(Table22[Net Sales (after discount) (in USD)]))^2))</f>
        <v>12464.196383764538</v>
      </c>
      <c r="R1040" s="18" t="b">
        <v>0</v>
      </c>
      <c r="S1040" s="40">
        <v>16.86</v>
      </c>
      <c r="T1040" s="18" t="b">
        <v>1</v>
      </c>
      <c r="U1040" s="25">
        <v>45350</v>
      </c>
      <c r="V1040" s="63" t="str">
        <f>IF(MONTH(Table22[[#This Row],[Sales Date]])&lt;=3,"Q1",IF(MONTH(Table22[[#This Row],[Sales Date]])&lt;=6,"Q2",IF(MONTH(Table22[[#This Row],[Sales Date]])&lt;=9,"Q3","Q4")))</f>
        <v>Q1</v>
      </c>
      <c r="W1040" s="64">
        <f>YEAR(Table22[[#This Row],[Sales Date]])</f>
        <v>2024</v>
      </c>
      <c r="X1040" s="23">
        <v>48</v>
      </c>
      <c r="Y1040" s="18" t="s">
        <v>41</v>
      </c>
      <c r="Z1040" s="18" t="s">
        <v>30</v>
      </c>
      <c r="AA1040" s="19" t="s">
        <v>36</v>
      </c>
    </row>
    <row r="1041" spans="1:27" x14ac:dyDescent="0.25">
      <c r="A1041" s="17" t="s">
        <v>1530</v>
      </c>
      <c r="B1041" s="18" t="s">
        <v>46</v>
      </c>
      <c r="C1041" s="63" t="str" cm="1">
        <f t="array" ref="C1041">_xlfn.SWITCH(Table22[[#This Row],[Country]],"USA","North America","Canada","North America","Brazil","South America","China","Asia","Japan","Asia","India","Asia","France","Europe","Germany","Europe","UK","Europe","Australia","Oceania","South America")</f>
        <v>South America</v>
      </c>
      <c r="D1041" s="18" t="s">
        <v>35</v>
      </c>
      <c r="E1041" s="18" t="s">
        <v>19</v>
      </c>
      <c r="F1041" s="18" t="s">
        <v>47</v>
      </c>
      <c r="G1041" s="18" t="s">
        <v>40</v>
      </c>
      <c r="H1041" s="64">
        <f>LEN(TRIM(Table22[[#This Row],[Country]]))</f>
        <v>6</v>
      </c>
      <c r="I1041" s="64">
        <f>LEN(TRIM(Table22[[#This Row],[Continent]]))</f>
        <v>13</v>
      </c>
      <c r="J1041" s="64">
        <f>LEN(TRIM(Table22[[#This Row],[Product]]))</f>
        <v>6</v>
      </c>
      <c r="K1041" s="64">
        <f>LEN(TRIM(Table22[[#This Row],[Sales Team]]))</f>
        <v>10</v>
      </c>
      <c r="L1041" s="23">
        <v>30</v>
      </c>
      <c r="M1041" s="65" t="str" cm="1">
        <f t="array" ref="M1041">_xlfn.IFS(Table22[[#This Row],[Units Sold]]&lt;40,"Critical",Table22[[#This Row],[Units Sold]]&lt;=50,"Poor",Table22[[#This Row],[Units Sold]]&lt;=60,"Low",Table22[[#This Row],[Units Sold]]&lt;=80,"Average",Table22[[#This Row],[Units Sold]]&lt;=90,"High",Table22[[#This Row],[Units Sold]]&lt;=95,"Excellent",Table22[[#This Row],[Units Sold]]&gt;95,"Outstanding")</f>
        <v>Critical</v>
      </c>
      <c r="N1041" s="29">
        <v>963.38</v>
      </c>
      <c r="O1041" s="29">
        <v>28901.4</v>
      </c>
      <c r="P1041" s="43">
        <f>IF(Table22[[#This Row],[Discount Applied]],Table22[[#This Row],[Total Sales (in USD)]]*(1-Table22[[#This Row],[Discount Percentage (%)]]/100),Table22[[#This Row],[Total Sales (in USD)]])</f>
        <v>24517.057620000003</v>
      </c>
      <c r="Q1041" s="66">
        <f>SQRT(AVERAGE((Table22[[#This Row],[Net Sales (after discount) (in USD)]]-AVERAGE(Table22[Net Sales (after discount) (in USD)]))^2))</f>
        <v>11994.302943764535</v>
      </c>
      <c r="R1041" s="18" t="b">
        <v>1</v>
      </c>
      <c r="S1041" s="40">
        <v>15.17</v>
      </c>
      <c r="T1041" s="18" t="b">
        <v>1</v>
      </c>
      <c r="U1041" s="25">
        <v>45460</v>
      </c>
      <c r="V1041" s="63" t="str">
        <f>IF(MONTH(Table22[[#This Row],[Sales Date]])&lt;=3,"Q1",IF(MONTH(Table22[[#This Row],[Sales Date]])&lt;=6,"Q2",IF(MONTH(Table22[[#This Row],[Sales Date]])&lt;=9,"Q3","Q4")))</f>
        <v>Q2</v>
      </c>
      <c r="W1041" s="64">
        <f>YEAR(Table22[[#This Row],[Sales Date]])</f>
        <v>2024</v>
      </c>
      <c r="X1041" s="23">
        <v>26</v>
      </c>
      <c r="Y1041" s="18" t="s">
        <v>23</v>
      </c>
      <c r="Z1041" s="18" t="s">
        <v>42</v>
      </c>
      <c r="AA1041" s="19" t="s">
        <v>36</v>
      </c>
    </row>
    <row r="1042" spans="1:27" x14ac:dyDescent="0.25">
      <c r="A1042" s="17" t="s">
        <v>462</v>
      </c>
      <c r="B1042" s="18" t="s">
        <v>62</v>
      </c>
      <c r="C1042" s="63" t="str" cm="1">
        <f t="array" ref="C1042">_xlfn.SWITCH(Table22[[#This Row],[Country]],"USA","North America","Canada","North America","Brazil","South America","China","Asia","Japan","Asia","India","Asia","France","Europe","Germany","Europe","UK","Europe","Australia","Oceania","South America")</f>
        <v>Oceania</v>
      </c>
      <c r="D1042" s="18" t="s">
        <v>44</v>
      </c>
      <c r="E1042" s="18" t="s">
        <v>39</v>
      </c>
      <c r="F1042" s="18" t="s">
        <v>64</v>
      </c>
      <c r="G1042" s="18" t="s">
        <v>29</v>
      </c>
      <c r="H1042" s="64">
        <f>LEN(TRIM(Table22[[#This Row],[Country]]))</f>
        <v>9</v>
      </c>
      <c r="I1042" s="64">
        <f>LEN(TRIM(Table22[[#This Row],[Continent]]))</f>
        <v>7</v>
      </c>
      <c r="J1042" s="64">
        <f>LEN(TRIM(Table22[[#This Row],[Product]]))</f>
        <v>10</v>
      </c>
      <c r="K1042" s="64">
        <f>LEN(TRIM(Table22[[#This Row],[Sales Team]]))</f>
        <v>10</v>
      </c>
      <c r="L1042" s="23">
        <v>25</v>
      </c>
      <c r="M1042" s="65" t="str" cm="1">
        <f t="array" ref="M1042">_xlfn.IFS(Table22[[#This Row],[Units Sold]]&lt;40,"Critical",Table22[[#This Row],[Units Sold]]&lt;=50,"Poor",Table22[[#This Row],[Units Sold]]&lt;=60,"Low",Table22[[#This Row],[Units Sold]]&lt;=80,"Average",Table22[[#This Row],[Units Sold]]&lt;=90,"High",Table22[[#This Row],[Units Sold]]&lt;=95,"Excellent",Table22[[#This Row],[Units Sold]]&gt;95,"Outstanding")</f>
        <v>Critical</v>
      </c>
      <c r="N1042" s="29">
        <v>1154.1199999999999</v>
      </c>
      <c r="O1042" s="29">
        <v>28853</v>
      </c>
      <c r="P1042" s="43">
        <f>IF(Table22[[#This Row],[Discount Applied]],Table22[[#This Row],[Total Sales (in USD)]]*(1-Table22[[#This Row],[Discount Percentage (%)]]/100),Table22[[#This Row],[Total Sales (in USD)]])</f>
        <v>28853</v>
      </c>
      <c r="Q1042" s="66">
        <f>SQRT(AVERAGE((Table22[[#This Row],[Net Sales (after discount) (in USD)]]-AVERAGE(Table22[Net Sales (after discount) (in USD)]))^2))</f>
        <v>7658.3605637645378</v>
      </c>
      <c r="R1042" s="18" t="b">
        <v>0</v>
      </c>
      <c r="S1042" s="40">
        <v>5.01</v>
      </c>
      <c r="T1042" s="18" t="b">
        <v>0</v>
      </c>
      <c r="U1042" s="25">
        <v>45364</v>
      </c>
      <c r="V1042" s="63" t="str">
        <f>IF(MONTH(Table22[[#This Row],[Sales Date]])&lt;=3,"Q1",IF(MONTH(Table22[[#This Row],[Sales Date]])&lt;=6,"Q2",IF(MONTH(Table22[[#This Row],[Sales Date]])&lt;=9,"Q3","Q4")))</f>
        <v>Q1</v>
      </c>
      <c r="W1042" s="64">
        <f>YEAR(Table22[[#This Row],[Sales Date]])</f>
        <v>2024</v>
      </c>
      <c r="X1042" s="23">
        <v>53</v>
      </c>
      <c r="Y1042" s="18" t="s">
        <v>49</v>
      </c>
      <c r="Z1042" s="18" t="s">
        <v>24</v>
      </c>
      <c r="AA1042" s="19" t="s">
        <v>36</v>
      </c>
    </row>
    <row r="1043" spans="1:27" x14ac:dyDescent="0.25">
      <c r="A1043" s="17" t="s">
        <v>923</v>
      </c>
      <c r="B1043" s="18" t="s">
        <v>72</v>
      </c>
      <c r="C1043" s="63" t="str" cm="1">
        <f t="array" ref="C1043">_xlfn.SWITCH(Table22[[#This Row],[Country]],"USA","North America","Canada","North America","Brazil","South America","China","Asia","Japan","Asia","India","Asia","France","Europe","Germany","Europe","UK","Europe","Australia","Oceania","South America")</f>
        <v>North America</v>
      </c>
      <c r="D1043" s="18" t="s">
        <v>35</v>
      </c>
      <c r="E1043" s="18" t="s">
        <v>39</v>
      </c>
      <c r="F1043" s="18" t="s">
        <v>47</v>
      </c>
      <c r="G1043" s="18" t="s">
        <v>29</v>
      </c>
      <c r="H1043" s="64">
        <f>LEN(TRIM(Table22[[#This Row],[Country]]))</f>
        <v>3</v>
      </c>
      <c r="I1043" s="64">
        <f>LEN(TRIM(Table22[[#This Row],[Continent]]))</f>
        <v>13</v>
      </c>
      <c r="J1043" s="64">
        <f>LEN(TRIM(Table22[[#This Row],[Product]]))</f>
        <v>10</v>
      </c>
      <c r="K1043" s="64">
        <f>LEN(TRIM(Table22[[#This Row],[Sales Team]]))</f>
        <v>10</v>
      </c>
      <c r="L1043" s="23">
        <v>31</v>
      </c>
      <c r="M1043" s="65" t="str" cm="1">
        <f t="array" ref="M1043">_xlfn.IFS(Table22[[#This Row],[Units Sold]]&lt;40,"Critical",Table22[[#This Row],[Units Sold]]&lt;=50,"Poor",Table22[[#This Row],[Units Sold]]&lt;=60,"Low",Table22[[#This Row],[Units Sold]]&lt;=80,"Average",Table22[[#This Row],[Units Sold]]&lt;=90,"High",Table22[[#This Row],[Units Sold]]&lt;=95,"Excellent",Table22[[#This Row],[Units Sold]]&gt;95,"Outstanding")</f>
        <v>Critical</v>
      </c>
      <c r="N1043" s="29">
        <v>928.99</v>
      </c>
      <c r="O1043" s="29">
        <v>28798.69</v>
      </c>
      <c r="P1043" s="43">
        <f>IF(Table22[[#This Row],[Discount Applied]],Table22[[#This Row],[Total Sales (in USD)]]*(1-Table22[[#This Row],[Discount Percentage (%)]]/100),Table22[[#This Row],[Total Sales (in USD)]])</f>
        <v>28798.69</v>
      </c>
      <c r="Q1043" s="66">
        <f>SQRT(AVERAGE((Table22[[#This Row],[Net Sales (after discount) (in USD)]]-AVERAGE(Table22[Net Sales (after discount) (in USD)]))^2))</f>
        <v>7712.6705637645391</v>
      </c>
      <c r="R1043" s="18" t="b">
        <v>0</v>
      </c>
      <c r="S1043" s="40">
        <v>5.23</v>
      </c>
      <c r="T1043" s="18" t="b">
        <v>0</v>
      </c>
      <c r="U1043" s="25">
        <v>45536</v>
      </c>
      <c r="V1043" s="63" t="str">
        <f>IF(MONTH(Table22[[#This Row],[Sales Date]])&lt;=3,"Q1",IF(MONTH(Table22[[#This Row],[Sales Date]])&lt;=6,"Q2",IF(MONTH(Table22[[#This Row],[Sales Date]])&lt;=9,"Q3","Q4")))</f>
        <v>Q3</v>
      </c>
      <c r="W1043" s="64">
        <f>YEAR(Table22[[#This Row],[Sales Date]])</f>
        <v>2024</v>
      </c>
      <c r="X1043" s="23">
        <v>29</v>
      </c>
      <c r="Y1043" s="18" t="s">
        <v>49</v>
      </c>
      <c r="Z1043" s="18" t="s">
        <v>24</v>
      </c>
      <c r="AA1043" s="19" t="s">
        <v>25</v>
      </c>
    </row>
    <row r="1044" spans="1:27" x14ac:dyDescent="0.25">
      <c r="A1044" s="17" t="s">
        <v>1145</v>
      </c>
      <c r="B1044" s="18" t="s">
        <v>66</v>
      </c>
      <c r="C1044" s="63" t="str" cm="1">
        <f t="array" ref="C1044">_xlfn.SWITCH(Table22[[#This Row],[Country]],"USA","North America","Canada","North America","Brazil","South America","China","Asia","Japan","Asia","India","Asia","France","Europe","Germany","Europe","UK","Europe","Australia","Oceania","South America")</f>
        <v>North America</v>
      </c>
      <c r="D1044" s="18" t="s">
        <v>35</v>
      </c>
      <c r="E1044" s="18" t="s">
        <v>39</v>
      </c>
      <c r="F1044" s="18" t="s">
        <v>64</v>
      </c>
      <c r="G1044" s="18" t="s">
        <v>40</v>
      </c>
      <c r="H1044" s="64">
        <f>LEN(TRIM(Table22[[#This Row],[Country]]))</f>
        <v>6</v>
      </c>
      <c r="I1044" s="64">
        <f>LEN(TRIM(Table22[[#This Row],[Continent]]))</f>
        <v>13</v>
      </c>
      <c r="J1044" s="64">
        <f>LEN(TRIM(Table22[[#This Row],[Product]]))</f>
        <v>10</v>
      </c>
      <c r="K1044" s="64">
        <f>LEN(TRIM(Table22[[#This Row],[Sales Team]]))</f>
        <v>10</v>
      </c>
      <c r="L1044" s="23">
        <v>86</v>
      </c>
      <c r="M1044" s="65" t="str" cm="1">
        <f t="array" ref="M1044">_xlfn.IFS(Table22[[#This Row],[Units Sold]]&lt;40,"Critical",Table22[[#This Row],[Units Sold]]&lt;=50,"Poor",Table22[[#This Row],[Units Sold]]&lt;=60,"Low",Table22[[#This Row],[Units Sold]]&lt;=80,"Average",Table22[[#This Row],[Units Sold]]&lt;=90,"High",Table22[[#This Row],[Units Sold]]&lt;=95,"Excellent",Table22[[#This Row],[Units Sold]]&gt;95,"Outstanding")</f>
        <v>High</v>
      </c>
      <c r="N1044" s="29">
        <v>333.78</v>
      </c>
      <c r="O1044" s="29">
        <v>28705.08</v>
      </c>
      <c r="P1044" s="43">
        <f>IF(Table22[[#This Row],[Discount Applied]],Table22[[#This Row],[Total Sales (in USD)]]*(1-Table22[[#This Row],[Discount Percentage (%)]]/100),Table22[[#This Row],[Total Sales (in USD)]])</f>
        <v>28705.08</v>
      </c>
      <c r="Q1044" s="66">
        <f>SQRT(AVERAGE((Table22[[#This Row],[Net Sales (after discount) (in USD)]]-AVERAGE(Table22[Net Sales (after discount) (in USD)]))^2))</f>
        <v>7806.2805637645361</v>
      </c>
      <c r="R1044" s="18" t="b">
        <v>1</v>
      </c>
      <c r="S1044" s="40">
        <v>7.42</v>
      </c>
      <c r="T1044" s="18" t="b">
        <v>0</v>
      </c>
      <c r="U1044" s="25">
        <v>44953</v>
      </c>
      <c r="V1044" s="63" t="str">
        <f>IF(MONTH(Table22[[#This Row],[Sales Date]])&lt;=3,"Q1",IF(MONTH(Table22[[#This Row],[Sales Date]])&lt;=6,"Q2",IF(MONTH(Table22[[#This Row],[Sales Date]])&lt;=9,"Q3","Q4")))</f>
        <v>Q1</v>
      </c>
      <c r="W1044" s="64">
        <f>YEAR(Table22[[#This Row],[Sales Date]])</f>
        <v>2023</v>
      </c>
      <c r="X1044" s="23">
        <v>51</v>
      </c>
      <c r="Y1044" s="18" t="s">
        <v>23</v>
      </c>
      <c r="Z1044" s="18" t="s">
        <v>24</v>
      </c>
      <c r="AA1044" s="19" t="s">
        <v>25</v>
      </c>
    </row>
    <row r="1045" spans="1:27" x14ac:dyDescent="0.25">
      <c r="A1045" s="17" t="s">
        <v>760</v>
      </c>
      <c r="B1045" s="18" t="s">
        <v>66</v>
      </c>
      <c r="C1045" s="63" t="str" cm="1">
        <f t="array" ref="C1045">_xlfn.SWITCH(Table22[[#This Row],[Country]],"USA","North America","Canada","North America","Brazil","South America","China","Asia","Japan","Asia","India","Asia","France","Europe","Germany","Europe","UK","Europe","Australia","Oceania","South America")</f>
        <v>North America</v>
      </c>
      <c r="D1045" s="18" t="s">
        <v>44</v>
      </c>
      <c r="E1045" s="18" t="s">
        <v>39</v>
      </c>
      <c r="F1045" s="18" t="s">
        <v>52</v>
      </c>
      <c r="G1045" s="18" t="s">
        <v>48</v>
      </c>
      <c r="H1045" s="64">
        <f>LEN(TRIM(Table22[[#This Row],[Country]]))</f>
        <v>6</v>
      </c>
      <c r="I1045" s="64">
        <f>LEN(TRIM(Table22[[#This Row],[Continent]]))</f>
        <v>13</v>
      </c>
      <c r="J1045" s="64">
        <f>LEN(TRIM(Table22[[#This Row],[Product]]))</f>
        <v>10</v>
      </c>
      <c r="K1045" s="64">
        <f>LEN(TRIM(Table22[[#This Row],[Sales Team]]))</f>
        <v>9</v>
      </c>
      <c r="L1045" s="23">
        <v>27</v>
      </c>
      <c r="M1045" s="65" t="str" cm="1">
        <f t="array" ref="M1045">_xlfn.IFS(Table22[[#This Row],[Units Sold]]&lt;40,"Critical",Table22[[#This Row],[Units Sold]]&lt;=50,"Poor",Table22[[#This Row],[Units Sold]]&lt;=60,"Low",Table22[[#This Row],[Units Sold]]&lt;=80,"Average",Table22[[#This Row],[Units Sold]]&lt;=90,"High",Table22[[#This Row],[Units Sold]]&lt;=95,"Excellent",Table22[[#This Row],[Units Sold]]&gt;95,"Outstanding")</f>
        <v>Critical</v>
      </c>
      <c r="N1045" s="29">
        <v>1061.5899999999999</v>
      </c>
      <c r="O1045" s="29">
        <v>28662.93</v>
      </c>
      <c r="P1045" s="43">
        <f>IF(Table22[[#This Row],[Discount Applied]],Table22[[#This Row],[Total Sales (in USD)]]*(1-Table22[[#This Row],[Discount Percentage (%)]]/100),Table22[[#This Row],[Total Sales (in USD)]])</f>
        <v>24013.802754</v>
      </c>
      <c r="Q1045" s="66">
        <f>SQRT(AVERAGE((Table22[[#This Row],[Net Sales (after discount) (in USD)]]-AVERAGE(Table22[Net Sales (after discount) (in USD)]))^2))</f>
        <v>12497.557809764538</v>
      </c>
      <c r="R1045" s="18" t="b">
        <v>1</v>
      </c>
      <c r="S1045" s="40">
        <v>16.22</v>
      </c>
      <c r="T1045" s="18" t="b">
        <v>1</v>
      </c>
      <c r="U1045" s="25">
        <v>45466</v>
      </c>
      <c r="V1045" s="63" t="str">
        <f>IF(MONTH(Table22[[#This Row],[Sales Date]])&lt;=3,"Q1",IF(MONTH(Table22[[#This Row],[Sales Date]])&lt;=6,"Q2",IF(MONTH(Table22[[#This Row],[Sales Date]])&lt;=9,"Q3","Q4")))</f>
        <v>Q2</v>
      </c>
      <c r="W1045" s="64">
        <f>YEAR(Table22[[#This Row],[Sales Date]])</f>
        <v>2024</v>
      </c>
      <c r="X1045" s="23">
        <v>40</v>
      </c>
      <c r="Y1045" s="18" t="s">
        <v>41</v>
      </c>
      <c r="Z1045" s="18" t="s">
        <v>24</v>
      </c>
      <c r="AA1045" s="19" t="s">
        <v>36</v>
      </c>
    </row>
    <row r="1046" spans="1:27" x14ac:dyDescent="0.25">
      <c r="A1046" s="17" t="s">
        <v>1539</v>
      </c>
      <c r="B1046" s="18" t="s">
        <v>76</v>
      </c>
      <c r="C1046" s="63" t="str" cm="1">
        <f t="array" ref="C1046">_xlfn.SWITCH(Table22[[#This Row],[Country]],"USA","North America","Canada","North America","Brazil","South America","China","Asia","Japan","Asia","India","Asia","France","Europe","Germany","Europe","UK","Europe","Australia","Oceania","South America")</f>
        <v>Asia</v>
      </c>
      <c r="D1046" s="18" t="s">
        <v>21</v>
      </c>
      <c r="E1046" s="18" t="s">
        <v>39</v>
      </c>
      <c r="F1046" s="18" t="s">
        <v>64</v>
      </c>
      <c r="G1046" s="18" t="s">
        <v>22</v>
      </c>
      <c r="H1046" s="64">
        <f>LEN(TRIM(Table22[[#This Row],[Country]]))</f>
        <v>5</v>
      </c>
      <c r="I1046" s="64">
        <f>LEN(TRIM(Table22[[#This Row],[Continent]]))</f>
        <v>4</v>
      </c>
      <c r="J1046" s="64">
        <f>LEN(TRIM(Table22[[#This Row],[Product]]))</f>
        <v>10</v>
      </c>
      <c r="K1046" s="64">
        <f>LEN(TRIM(Table22[[#This Row],[Sales Team]]))</f>
        <v>10</v>
      </c>
      <c r="L1046" s="23">
        <v>92</v>
      </c>
      <c r="M1046" s="65" t="str" cm="1">
        <f t="array" ref="M1046">_xlfn.IFS(Table22[[#This Row],[Units Sold]]&lt;40,"Critical",Table22[[#This Row],[Units Sold]]&lt;=50,"Poor",Table22[[#This Row],[Units Sold]]&lt;=60,"Low",Table22[[#This Row],[Units Sold]]&lt;=80,"Average",Table22[[#This Row],[Units Sold]]&lt;=90,"High",Table22[[#This Row],[Units Sold]]&lt;=95,"Excellent",Table22[[#This Row],[Units Sold]]&gt;95,"Outstanding")</f>
        <v>Excellent</v>
      </c>
      <c r="N1046" s="29">
        <v>310.27999999999997</v>
      </c>
      <c r="O1046" s="29">
        <v>28545.759999999998</v>
      </c>
      <c r="P1046" s="43">
        <f>IF(Table22[[#This Row],[Discount Applied]],Table22[[#This Row],[Total Sales (in USD)]]*(1-Table22[[#This Row],[Discount Percentage (%)]]/100),Table22[[#This Row],[Total Sales (in USD)]])</f>
        <v>28545.759999999998</v>
      </c>
      <c r="Q1046" s="66">
        <f>SQRT(AVERAGE((Table22[[#This Row],[Net Sales (after discount) (in USD)]]-AVERAGE(Table22[Net Sales (after discount) (in USD)]))^2))</f>
        <v>7965.6005637645394</v>
      </c>
      <c r="R1046" s="18" t="b">
        <v>1</v>
      </c>
      <c r="S1046" s="40">
        <v>2.34</v>
      </c>
      <c r="T1046" s="18" t="b">
        <v>0</v>
      </c>
      <c r="U1046" s="25">
        <v>45575</v>
      </c>
      <c r="V1046" s="63" t="str">
        <f>IF(MONTH(Table22[[#This Row],[Sales Date]])&lt;=3,"Q1",IF(MONTH(Table22[[#This Row],[Sales Date]])&lt;=6,"Q2",IF(MONTH(Table22[[#This Row],[Sales Date]])&lt;=9,"Q3","Q4")))</f>
        <v>Q4</v>
      </c>
      <c r="W1046" s="64">
        <f>YEAR(Table22[[#This Row],[Sales Date]])</f>
        <v>2024</v>
      </c>
      <c r="X1046" s="23">
        <v>69</v>
      </c>
      <c r="Y1046" s="18" t="s">
        <v>49</v>
      </c>
      <c r="Z1046" s="18" t="s">
        <v>24</v>
      </c>
      <c r="AA1046" s="19" t="s">
        <v>25</v>
      </c>
    </row>
    <row r="1047" spans="1:27" x14ac:dyDescent="0.25">
      <c r="A1047" s="17" t="s">
        <v>1982</v>
      </c>
      <c r="B1047" s="18" t="s">
        <v>18</v>
      </c>
      <c r="C1047" s="63" t="str" cm="1">
        <f t="array" ref="C1047">_xlfn.SWITCH(Table22[[#This Row],[Country]],"USA","North America","Canada","North America","Brazil","South America","China","Asia","Japan","Asia","India","Asia","France","Europe","Germany","Europe","UK","Europe","Australia","Oceania","South America")</f>
        <v>Asia</v>
      </c>
      <c r="D1047" s="18" t="s">
        <v>35</v>
      </c>
      <c r="E1047" s="18" t="s">
        <v>33</v>
      </c>
      <c r="F1047" s="18" t="s">
        <v>64</v>
      </c>
      <c r="G1047" s="18" t="s">
        <v>48</v>
      </c>
      <c r="H1047" s="64">
        <f>LEN(TRIM(Table22[[#This Row],[Country]]))</f>
        <v>5</v>
      </c>
      <c r="I1047" s="64">
        <f>LEN(TRIM(Table22[[#This Row],[Continent]]))</f>
        <v>4</v>
      </c>
      <c r="J1047" s="64">
        <f>LEN(TRIM(Table22[[#This Row],[Product]]))</f>
        <v>10</v>
      </c>
      <c r="K1047" s="64">
        <f>LEN(TRIM(Table22[[#This Row],[Sales Team]]))</f>
        <v>9</v>
      </c>
      <c r="L1047" s="23">
        <v>29</v>
      </c>
      <c r="M1047" s="65" t="str" cm="1">
        <f t="array" ref="M1047">_xlfn.IFS(Table22[[#This Row],[Units Sold]]&lt;40,"Critical",Table22[[#This Row],[Units Sold]]&lt;=50,"Poor",Table22[[#This Row],[Units Sold]]&lt;=60,"Low",Table22[[#This Row],[Units Sold]]&lt;=80,"Average",Table22[[#This Row],[Units Sold]]&lt;=90,"High",Table22[[#This Row],[Units Sold]]&lt;=95,"Excellent",Table22[[#This Row],[Units Sold]]&gt;95,"Outstanding")</f>
        <v>Critical</v>
      </c>
      <c r="N1047" s="29">
        <v>981.52</v>
      </c>
      <c r="O1047" s="29">
        <v>28464.080000000002</v>
      </c>
      <c r="P1047" s="43">
        <f>IF(Table22[[#This Row],[Discount Applied]],Table22[[#This Row],[Total Sales (in USD)]]*(1-Table22[[#This Row],[Discount Percentage (%)]]/100),Table22[[#This Row],[Total Sales (in USD)]])</f>
        <v>28464.080000000002</v>
      </c>
      <c r="Q1047" s="66">
        <f>SQRT(AVERAGE((Table22[[#This Row],[Net Sales (after discount) (in USD)]]-AVERAGE(Table22[Net Sales (after discount) (in USD)]))^2))</f>
        <v>8047.2805637645361</v>
      </c>
      <c r="R1047" s="18" t="b">
        <v>0</v>
      </c>
      <c r="S1047" s="40">
        <v>21.51</v>
      </c>
      <c r="T1047" s="18" t="b">
        <v>0</v>
      </c>
      <c r="U1047" s="25">
        <v>45234</v>
      </c>
      <c r="V1047" s="63" t="str">
        <f>IF(MONTH(Table22[[#This Row],[Sales Date]])&lt;=3,"Q1",IF(MONTH(Table22[[#This Row],[Sales Date]])&lt;=6,"Q2",IF(MONTH(Table22[[#This Row],[Sales Date]])&lt;=9,"Q3","Q4")))</f>
        <v>Q4</v>
      </c>
      <c r="W1047" s="64">
        <f>YEAR(Table22[[#This Row],[Sales Date]])</f>
        <v>2023</v>
      </c>
      <c r="X1047" s="23">
        <v>31</v>
      </c>
      <c r="Y1047" s="18" t="s">
        <v>49</v>
      </c>
      <c r="Z1047" s="18" t="s">
        <v>42</v>
      </c>
      <c r="AA1047" s="19" t="s">
        <v>36</v>
      </c>
    </row>
    <row r="1048" spans="1:27" x14ac:dyDescent="0.25">
      <c r="A1048" s="17" t="s">
        <v>747</v>
      </c>
      <c r="B1048" s="18" t="s">
        <v>18</v>
      </c>
      <c r="C1048" s="63" t="str" cm="1">
        <f t="array" ref="C1048">_xlfn.SWITCH(Table22[[#This Row],[Country]],"USA","North America","Canada","North America","Brazil","South America","China","Asia","Japan","Asia","India","Asia","France","Europe","Germany","Europe","UK","Europe","Australia","Oceania","South America")</f>
        <v>Asia</v>
      </c>
      <c r="D1048" s="18" t="s">
        <v>44</v>
      </c>
      <c r="E1048" s="18" t="s">
        <v>19</v>
      </c>
      <c r="F1048" s="18" t="s">
        <v>47</v>
      </c>
      <c r="G1048" s="18" t="s">
        <v>29</v>
      </c>
      <c r="H1048" s="64">
        <f>LEN(TRIM(Table22[[#This Row],[Country]]))</f>
        <v>5</v>
      </c>
      <c r="I1048" s="64">
        <f>LEN(TRIM(Table22[[#This Row],[Continent]]))</f>
        <v>4</v>
      </c>
      <c r="J1048" s="64">
        <f>LEN(TRIM(Table22[[#This Row],[Product]]))</f>
        <v>6</v>
      </c>
      <c r="K1048" s="64">
        <f>LEN(TRIM(Table22[[#This Row],[Sales Team]]))</f>
        <v>10</v>
      </c>
      <c r="L1048" s="23">
        <v>22</v>
      </c>
      <c r="M1048" s="65" t="str" cm="1">
        <f t="array" ref="M1048">_xlfn.IFS(Table22[[#This Row],[Units Sold]]&lt;40,"Critical",Table22[[#This Row],[Units Sold]]&lt;=50,"Poor",Table22[[#This Row],[Units Sold]]&lt;=60,"Low",Table22[[#This Row],[Units Sold]]&lt;=80,"Average",Table22[[#This Row],[Units Sold]]&lt;=90,"High",Table22[[#This Row],[Units Sold]]&lt;=95,"Excellent",Table22[[#This Row],[Units Sold]]&gt;95,"Outstanding")</f>
        <v>Critical</v>
      </c>
      <c r="N1048" s="29">
        <v>1292.93</v>
      </c>
      <c r="O1048" s="29">
        <v>28444.46</v>
      </c>
      <c r="P1048" s="43">
        <f>IF(Table22[[#This Row],[Discount Applied]],Table22[[#This Row],[Total Sales (in USD)]]*(1-Table22[[#This Row],[Discount Percentage (%)]]/100),Table22[[#This Row],[Total Sales (in USD)]])</f>
        <v>28444.46</v>
      </c>
      <c r="Q1048" s="66">
        <f>SQRT(AVERAGE((Table22[[#This Row],[Net Sales (after discount) (in USD)]]-AVERAGE(Table22[Net Sales (after discount) (in USD)]))^2))</f>
        <v>8066.9005637645387</v>
      </c>
      <c r="R1048" s="18" t="b">
        <v>0</v>
      </c>
      <c r="S1048" s="40">
        <v>3.38</v>
      </c>
      <c r="T1048" s="18" t="b">
        <v>0</v>
      </c>
      <c r="U1048" s="25">
        <v>45463</v>
      </c>
      <c r="V1048" s="63" t="str">
        <f>IF(MONTH(Table22[[#This Row],[Sales Date]])&lt;=3,"Q1",IF(MONTH(Table22[[#This Row],[Sales Date]])&lt;=6,"Q2",IF(MONTH(Table22[[#This Row],[Sales Date]])&lt;=9,"Q3","Q4")))</f>
        <v>Q2</v>
      </c>
      <c r="W1048" s="64">
        <f>YEAR(Table22[[#This Row],[Sales Date]])</f>
        <v>2024</v>
      </c>
      <c r="X1048" s="23">
        <v>63</v>
      </c>
      <c r="Y1048" s="18" t="s">
        <v>49</v>
      </c>
      <c r="Z1048" s="18" t="s">
        <v>24</v>
      </c>
      <c r="AA1048" s="19" t="s">
        <v>25</v>
      </c>
    </row>
    <row r="1049" spans="1:27" x14ac:dyDescent="0.25">
      <c r="A1049" s="17" t="s">
        <v>780</v>
      </c>
      <c r="B1049" s="18" t="s">
        <v>66</v>
      </c>
      <c r="C1049" s="63" t="str" cm="1">
        <f t="array" ref="C1049">_xlfn.SWITCH(Table22[[#This Row],[Country]],"USA","North America","Canada","North America","Brazil","South America","China","Asia","Japan","Asia","India","Asia","France","Europe","Germany","Europe","UK","Europe","Australia","Oceania","South America")</f>
        <v>North America</v>
      </c>
      <c r="D1049" s="18" t="s">
        <v>44</v>
      </c>
      <c r="E1049" s="18" t="s">
        <v>39</v>
      </c>
      <c r="F1049" s="18" t="s">
        <v>34</v>
      </c>
      <c r="G1049" s="18" t="s">
        <v>40</v>
      </c>
      <c r="H1049" s="64">
        <f>LEN(TRIM(Table22[[#This Row],[Country]]))</f>
        <v>6</v>
      </c>
      <c r="I1049" s="64">
        <f>LEN(TRIM(Table22[[#This Row],[Continent]]))</f>
        <v>13</v>
      </c>
      <c r="J1049" s="64">
        <f>LEN(TRIM(Table22[[#This Row],[Product]]))</f>
        <v>10</v>
      </c>
      <c r="K1049" s="64">
        <f>LEN(TRIM(Table22[[#This Row],[Sales Team]]))</f>
        <v>10</v>
      </c>
      <c r="L1049" s="23">
        <v>23</v>
      </c>
      <c r="M1049" s="65" t="str" cm="1">
        <f t="array" ref="M1049">_xlfn.IFS(Table22[[#This Row],[Units Sold]]&lt;40,"Critical",Table22[[#This Row],[Units Sold]]&lt;=50,"Poor",Table22[[#This Row],[Units Sold]]&lt;=60,"Low",Table22[[#This Row],[Units Sold]]&lt;=80,"Average",Table22[[#This Row],[Units Sold]]&lt;=90,"High",Table22[[#This Row],[Units Sold]]&lt;=95,"Excellent",Table22[[#This Row],[Units Sold]]&gt;95,"Outstanding")</f>
        <v>Critical</v>
      </c>
      <c r="N1049" s="29">
        <v>1232.99</v>
      </c>
      <c r="O1049" s="29">
        <v>28358.77</v>
      </c>
      <c r="P1049" s="43">
        <f>IF(Table22[[#This Row],[Discount Applied]],Table22[[#This Row],[Total Sales (in USD)]]*(1-Table22[[#This Row],[Discount Percentage (%)]]/100),Table22[[#This Row],[Total Sales (in USD)]])</f>
        <v>20925.936383</v>
      </c>
      <c r="Q1049" s="66">
        <f>SQRT(AVERAGE((Table22[[#This Row],[Net Sales (after discount) (in USD)]]-AVERAGE(Table22[Net Sales (after discount) (in USD)]))^2))</f>
        <v>15585.424180764538</v>
      </c>
      <c r="R1049" s="18" t="b">
        <v>0</v>
      </c>
      <c r="S1049" s="40">
        <v>26.21</v>
      </c>
      <c r="T1049" s="18" t="b">
        <v>1</v>
      </c>
      <c r="U1049" s="25">
        <v>45448</v>
      </c>
      <c r="V1049" s="63" t="str">
        <f>IF(MONTH(Table22[[#This Row],[Sales Date]])&lt;=3,"Q1",IF(MONTH(Table22[[#This Row],[Sales Date]])&lt;=6,"Q2",IF(MONTH(Table22[[#This Row],[Sales Date]])&lt;=9,"Q3","Q4")))</f>
        <v>Q2</v>
      </c>
      <c r="W1049" s="64">
        <f>YEAR(Table22[[#This Row],[Sales Date]])</f>
        <v>2024</v>
      </c>
      <c r="X1049" s="23">
        <v>65</v>
      </c>
      <c r="Y1049" s="18" t="s">
        <v>23</v>
      </c>
      <c r="Z1049" s="18" t="s">
        <v>42</v>
      </c>
      <c r="AA1049" s="19" t="s">
        <v>25</v>
      </c>
    </row>
    <row r="1050" spans="1:27" x14ac:dyDescent="0.25">
      <c r="A1050" s="17" t="s">
        <v>323</v>
      </c>
      <c r="B1050" s="18" t="s">
        <v>32</v>
      </c>
      <c r="C1050" s="63" t="str" cm="1">
        <f t="array" ref="C1050">_xlfn.SWITCH(Table22[[#This Row],[Country]],"USA","North America","Canada","North America","Brazil","South America","China","Asia","Japan","Asia","India","Asia","France","Europe","Germany","Europe","UK","Europe","Australia","Oceania","South America")</f>
        <v>Asia</v>
      </c>
      <c r="D1050" s="18" t="s">
        <v>35</v>
      </c>
      <c r="E1050" s="18" t="s">
        <v>33</v>
      </c>
      <c r="F1050" s="18" t="s">
        <v>47</v>
      </c>
      <c r="G1050" s="18" t="s">
        <v>40</v>
      </c>
      <c r="H1050" s="64">
        <f>LEN(TRIM(Table22[[#This Row],[Country]]))</f>
        <v>5</v>
      </c>
      <c r="I1050" s="64">
        <f>LEN(TRIM(Table22[[#This Row],[Continent]]))</f>
        <v>4</v>
      </c>
      <c r="J1050" s="64">
        <f>LEN(TRIM(Table22[[#This Row],[Product]]))</f>
        <v>10</v>
      </c>
      <c r="K1050" s="64">
        <f>LEN(TRIM(Table22[[#This Row],[Sales Team]]))</f>
        <v>10</v>
      </c>
      <c r="L1050" s="23">
        <v>74</v>
      </c>
      <c r="M1050" s="65" t="str" cm="1">
        <f t="array" ref="M1050">_xlfn.IFS(Table22[[#This Row],[Units Sold]]&lt;40,"Critical",Table22[[#This Row],[Units Sold]]&lt;=50,"Poor",Table22[[#This Row],[Units Sold]]&lt;=60,"Low",Table22[[#This Row],[Units Sold]]&lt;=80,"Average",Table22[[#This Row],[Units Sold]]&lt;=90,"High",Table22[[#This Row],[Units Sold]]&lt;=95,"Excellent",Table22[[#This Row],[Units Sold]]&gt;95,"Outstanding")</f>
        <v>Average</v>
      </c>
      <c r="N1050" s="29">
        <v>383.07</v>
      </c>
      <c r="O1050" s="29">
        <v>28347.18</v>
      </c>
      <c r="P1050" s="43">
        <f>IF(Table22[[#This Row],[Discount Applied]],Table22[[#This Row],[Total Sales (in USD)]]*(1-Table22[[#This Row],[Discount Percentage (%)]]/100),Table22[[#This Row],[Total Sales (in USD)]])</f>
        <v>28347.18</v>
      </c>
      <c r="Q1050" s="66">
        <f>SQRT(AVERAGE((Table22[[#This Row],[Net Sales (after discount) (in USD)]]-AVERAGE(Table22[Net Sales (after discount) (in USD)]))^2))</f>
        <v>8164.1805637645375</v>
      </c>
      <c r="R1050" s="18" t="b">
        <v>0</v>
      </c>
      <c r="S1050" s="40">
        <v>5.33</v>
      </c>
      <c r="T1050" s="18" t="b">
        <v>0</v>
      </c>
      <c r="U1050" s="25">
        <v>45146</v>
      </c>
      <c r="V1050" s="63" t="str">
        <f>IF(MONTH(Table22[[#This Row],[Sales Date]])&lt;=3,"Q1",IF(MONTH(Table22[[#This Row],[Sales Date]])&lt;=6,"Q2",IF(MONTH(Table22[[#This Row],[Sales Date]])&lt;=9,"Q3","Q4")))</f>
        <v>Q3</v>
      </c>
      <c r="W1050" s="64">
        <f>YEAR(Table22[[#This Row],[Sales Date]])</f>
        <v>2023</v>
      </c>
      <c r="X1050" s="23">
        <v>64</v>
      </c>
      <c r="Y1050" s="18" t="s">
        <v>41</v>
      </c>
      <c r="Z1050" s="18" t="s">
        <v>42</v>
      </c>
      <c r="AA1050" s="19" t="s">
        <v>36</v>
      </c>
    </row>
    <row r="1051" spans="1:27" x14ac:dyDescent="0.25">
      <c r="A1051" s="17" t="s">
        <v>1797</v>
      </c>
      <c r="B1051" s="18" t="s">
        <v>32</v>
      </c>
      <c r="C1051" s="63" t="str" cm="1">
        <f t="array" ref="C1051">_xlfn.SWITCH(Table22[[#This Row],[Country]],"USA","North America","Canada","North America","Brazil","South America","China","Asia","Japan","Asia","India","Asia","France","Europe","Germany","Europe","UK","Europe","Australia","Oceania","South America")</f>
        <v>Asia</v>
      </c>
      <c r="D1051" s="18" t="s">
        <v>28</v>
      </c>
      <c r="E1051" s="18" t="s">
        <v>19</v>
      </c>
      <c r="F1051" s="18" t="s">
        <v>52</v>
      </c>
      <c r="G1051" s="18" t="s">
        <v>22</v>
      </c>
      <c r="H1051" s="64">
        <f>LEN(TRIM(Table22[[#This Row],[Country]]))</f>
        <v>5</v>
      </c>
      <c r="I1051" s="64">
        <f>LEN(TRIM(Table22[[#This Row],[Continent]]))</f>
        <v>4</v>
      </c>
      <c r="J1051" s="64">
        <f>LEN(TRIM(Table22[[#This Row],[Product]]))</f>
        <v>6</v>
      </c>
      <c r="K1051" s="64">
        <f>LEN(TRIM(Table22[[#This Row],[Sales Team]]))</f>
        <v>10</v>
      </c>
      <c r="L1051" s="23">
        <v>69</v>
      </c>
      <c r="M1051" s="65" t="str" cm="1">
        <f t="array" ref="M1051">_xlfn.IFS(Table22[[#This Row],[Units Sold]]&lt;40,"Critical",Table22[[#This Row],[Units Sold]]&lt;=50,"Poor",Table22[[#This Row],[Units Sold]]&lt;=60,"Low",Table22[[#This Row],[Units Sold]]&lt;=80,"Average",Table22[[#This Row],[Units Sold]]&lt;=90,"High",Table22[[#This Row],[Units Sold]]&lt;=95,"Excellent",Table22[[#This Row],[Units Sold]]&gt;95,"Outstanding")</f>
        <v>Average</v>
      </c>
      <c r="N1051" s="29">
        <v>410.78</v>
      </c>
      <c r="O1051" s="29">
        <v>28343.82</v>
      </c>
      <c r="P1051" s="43">
        <f>IF(Table22[[#This Row],[Discount Applied]],Table22[[#This Row],[Total Sales (in USD)]]*(1-Table22[[#This Row],[Discount Percentage (%)]]/100),Table22[[#This Row],[Total Sales (in USD)]])</f>
        <v>28343.82</v>
      </c>
      <c r="Q1051" s="66">
        <f>SQRT(AVERAGE((Table22[[#This Row],[Net Sales (after discount) (in USD)]]-AVERAGE(Table22[Net Sales (after discount) (in USD)]))^2))</f>
        <v>8167.5405637645381</v>
      </c>
      <c r="R1051" s="18" t="b">
        <v>1</v>
      </c>
      <c r="S1051" s="40">
        <v>29.53</v>
      </c>
      <c r="T1051" s="18" t="b">
        <v>0</v>
      </c>
      <c r="U1051" s="25">
        <v>45582</v>
      </c>
      <c r="V1051" s="63" t="str">
        <f>IF(MONTH(Table22[[#This Row],[Sales Date]])&lt;=3,"Q1",IF(MONTH(Table22[[#This Row],[Sales Date]])&lt;=6,"Q2",IF(MONTH(Table22[[#This Row],[Sales Date]])&lt;=9,"Q3","Q4")))</f>
        <v>Q4</v>
      </c>
      <c r="W1051" s="64">
        <f>YEAR(Table22[[#This Row],[Sales Date]])</f>
        <v>2024</v>
      </c>
      <c r="X1051" s="23">
        <v>40</v>
      </c>
      <c r="Y1051" s="18" t="s">
        <v>41</v>
      </c>
      <c r="Z1051" s="18" t="s">
        <v>24</v>
      </c>
      <c r="AA1051" s="19" t="s">
        <v>25</v>
      </c>
    </row>
    <row r="1052" spans="1:27" x14ac:dyDescent="0.25">
      <c r="A1052" s="17" t="s">
        <v>1124</v>
      </c>
      <c r="B1052" s="18" t="s">
        <v>27</v>
      </c>
      <c r="C1052" s="63" t="str" cm="1">
        <f t="array" ref="C1052">_xlfn.SWITCH(Table22[[#This Row],[Country]],"USA","North America","Canada","North America","Brazil","South America","China","Asia","Japan","Asia","India","Asia","France","Europe","Germany","Europe","UK","Europe","Australia","Oceania","South America")</f>
        <v>Europe</v>
      </c>
      <c r="D1052" s="18" t="s">
        <v>35</v>
      </c>
      <c r="E1052" s="18" t="s">
        <v>33</v>
      </c>
      <c r="F1052" s="18" t="s">
        <v>52</v>
      </c>
      <c r="G1052" s="18" t="s">
        <v>48</v>
      </c>
      <c r="H1052" s="64">
        <f>LEN(TRIM(Table22[[#This Row],[Country]]))</f>
        <v>7</v>
      </c>
      <c r="I1052" s="64">
        <f>LEN(TRIM(Table22[[#This Row],[Continent]]))</f>
        <v>6</v>
      </c>
      <c r="J1052" s="64">
        <f>LEN(TRIM(Table22[[#This Row],[Product]]))</f>
        <v>10</v>
      </c>
      <c r="K1052" s="64">
        <f>LEN(TRIM(Table22[[#This Row],[Sales Team]]))</f>
        <v>9</v>
      </c>
      <c r="L1052" s="23">
        <v>89</v>
      </c>
      <c r="M1052" s="65" t="str" cm="1">
        <f t="array" ref="M1052">_xlfn.IFS(Table22[[#This Row],[Units Sold]]&lt;40,"Critical",Table22[[#This Row],[Units Sold]]&lt;=50,"Poor",Table22[[#This Row],[Units Sold]]&lt;=60,"Low",Table22[[#This Row],[Units Sold]]&lt;=80,"Average",Table22[[#This Row],[Units Sold]]&lt;=90,"High",Table22[[#This Row],[Units Sold]]&lt;=95,"Excellent",Table22[[#This Row],[Units Sold]]&gt;95,"Outstanding")</f>
        <v>High</v>
      </c>
      <c r="N1052" s="29">
        <v>317.83999999999997</v>
      </c>
      <c r="O1052" s="29">
        <v>28287.759999999998</v>
      </c>
      <c r="P1052" s="43">
        <f>IF(Table22[[#This Row],[Discount Applied]],Table22[[#This Row],[Total Sales (in USD)]]*(1-Table22[[#This Row],[Discount Percentage (%)]]/100),Table22[[#This Row],[Total Sales (in USD)]])</f>
        <v>28287.759999999998</v>
      </c>
      <c r="Q1052" s="66">
        <f>SQRT(AVERAGE((Table22[[#This Row],[Net Sales (after discount) (in USD)]]-AVERAGE(Table22[Net Sales (after discount) (in USD)]))^2))</f>
        <v>8223.6005637645394</v>
      </c>
      <c r="R1052" s="18" t="b">
        <v>1</v>
      </c>
      <c r="S1052" s="40">
        <v>9.74</v>
      </c>
      <c r="T1052" s="18" t="b">
        <v>0</v>
      </c>
      <c r="U1052" s="25">
        <v>45037</v>
      </c>
      <c r="V1052" s="63" t="str">
        <f>IF(MONTH(Table22[[#This Row],[Sales Date]])&lt;=3,"Q1",IF(MONTH(Table22[[#This Row],[Sales Date]])&lt;=6,"Q2",IF(MONTH(Table22[[#This Row],[Sales Date]])&lt;=9,"Q3","Q4")))</f>
        <v>Q2</v>
      </c>
      <c r="W1052" s="64">
        <f>YEAR(Table22[[#This Row],[Sales Date]])</f>
        <v>2023</v>
      </c>
      <c r="X1052" s="23">
        <v>20</v>
      </c>
      <c r="Y1052" s="18" t="s">
        <v>49</v>
      </c>
      <c r="Z1052" s="18" t="s">
        <v>56</v>
      </c>
      <c r="AA1052" s="19" t="s">
        <v>25</v>
      </c>
    </row>
    <row r="1053" spans="1:27" x14ac:dyDescent="0.25">
      <c r="A1053" s="17" t="s">
        <v>303</v>
      </c>
      <c r="B1053" s="18" t="s">
        <v>27</v>
      </c>
      <c r="C1053" s="63" t="str" cm="1">
        <f t="array" ref="C1053">_xlfn.SWITCH(Table22[[#This Row],[Country]],"USA","North America","Canada","North America","Brazil","South America","China","Asia","Japan","Asia","India","Asia","France","Europe","Germany","Europe","UK","Europe","Australia","Oceania","South America")</f>
        <v>Europe</v>
      </c>
      <c r="D1053" s="18" t="s">
        <v>44</v>
      </c>
      <c r="E1053" s="18" t="s">
        <v>33</v>
      </c>
      <c r="F1053" s="18" t="s">
        <v>47</v>
      </c>
      <c r="G1053" s="18" t="s">
        <v>40</v>
      </c>
      <c r="H1053" s="64">
        <f>LEN(TRIM(Table22[[#This Row],[Country]]))</f>
        <v>7</v>
      </c>
      <c r="I1053" s="64">
        <f>LEN(TRIM(Table22[[#This Row],[Continent]]))</f>
        <v>6</v>
      </c>
      <c r="J1053" s="64">
        <f>LEN(TRIM(Table22[[#This Row],[Product]]))</f>
        <v>10</v>
      </c>
      <c r="K1053" s="64">
        <f>LEN(TRIM(Table22[[#This Row],[Sales Team]]))</f>
        <v>10</v>
      </c>
      <c r="L1053" s="23">
        <v>80</v>
      </c>
      <c r="M1053" s="65" t="str" cm="1">
        <f t="array" ref="M1053">_xlfn.IFS(Table22[[#This Row],[Units Sold]]&lt;40,"Critical",Table22[[#This Row],[Units Sold]]&lt;=50,"Poor",Table22[[#This Row],[Units Sold]]&lt;=60,"Low",Table22[[#This Row],[Units Sold]]&lt;=80,"Average",Table22[[#This Row],[Units Sold]]&lt;=90,"High",Table22[[#This Row],[Units Sold]]&lt;=95,"Excellent",Table22[[#This Row],[Units Sold]]&gt;95,"Outstanding")</f>
        <v>Average</v>
      </c>
      <c r="N1053" s="29">
        <v>353.52</v>
      </c>
      <c r="O1053" s="29">
        <v>28281.599999999999</v>
      </c>
      <c r="P1053" s="43">
        <f>IF(Table22[[#This Row],[Discount Applied]],Table22[[#This Row],[Total Sales (in USD)]]*(1-Table22[[#This Row],[Discount Percentage (%)]]/100),Table22[[#This Row],[Total Sales (in USD)]])</f>
        <v>21757.034879999999</v>
      </c>
      <c r="Q1053" s="66">
        <f>SQRT(AVERAGE((Table22[[#This Row],[Net Sales (after discount) (in USD)]]-AVERAGE(Table22[Net Sales (after discount) (in USD)]))^2))</f>
        <v>14754.325683764539</v>
      </c>
      <c r="R1053" s="18" t="b">
        <v>1</v>
      </c>
      <c r="S1053" s="40">
        <v>23.07</v>
      </c>
      <c r="T1053" s="18" t="b">
        <v>1</v>
      </c>
      <c r="U1053" s="25">
        <v>45172</v>
      </c>
      <c r="V1053" s="63" t="str">
        <f>IF(MONTH(Table22[[#This Row],[Sales Date]])&lt;=3,"Q1",IF(MONTH(Table22[[#This Row],[Sales Date]])&lt;=6,"Q2",IF(MONTH(Table22[[#This Row],[Sales Date]])&lt;=9,"Q3","Q4")))</f>
        <v>Q3</v>
      </c>
      <c r="W1053" s="64">
        <f>YEAR(Table22[[#This Row],[Sales Date]])</f>
        <v>2023</v>
      </c>
      <c r="X1053" s="23">
        <v>37</v>
      </c>
      <c r="Y1053" s="18" t="s">
        <v>49</v>
      </c>
      <c r="Z1053" s="18" t="s">
        <v>42</v>
      </c>
      <c r="AA1053" s="19" t="s">
        <v>36</v>
      </c>
    </row>
    <row r="1054" spans="1:27" x14ac:dyDescent="0.25">
      <c r="A1054" s="17" t="s">
        <v>1089</v>
      </c>
      <c r="B1054" s="18" t="s">
        <v>76</v>
      </c>
      <c r="C1054" s="63" t="str" cm="1">
        <f t="array" ref="C1054">_xlfn.SWITCH(Table22[[#This Row],[Country]],"USA","North America","Canada","North America","Brazil","South America","China","Asia","Japan","Asia","India","Asia","France","Europe","Germany","Europe","UK","Europe","Australia","Oceania","South America")</f>
        <v>Asia</v>
      </c>
      <c r="D1054" s="18" t="s">
        <v>21</v>
      </c>
      <c r="E1054" s="18" t="s">
        <v>33</v>
      </c>
      <c r="F1054" s="18" t="s">
        <v>52</v>
      </c>
      <c r="G1054" s="18" t="s">
        <v>40</v>
      </c>
      <c r="H1054" s="64">
        <f>LEN(TRIM(Table22[[#This Row],[Country]]))</f>
        <v>5</v>
      </c>
      <c r="I1054" s="64">
        <f>LEN(TRIM(Table22[[#This Row],[Continent]]))</f>
        <v>4</v>
      </c>
      <c r="J1054" s="64">
        <f>LEN(TRIM(Table22[[#This Row],[Product]]))</f>
        <v>10</v>
      </c>
      <c r="K1054" s="64">
        <f>LEN(TRIM(Table22[[#This Row],[Sales Team]]))</f>
        <v>10</v>
      </c>
      <c r="L1054" s="23">
        <v>41</v>
      </c>
      <c r="M1054" s="65" t="str" cm="1">
        <f t="array" ref="M1054">_xlfn.IFS(Table22[[#This Row],[Units Sold]]&lt;40,"Critical",Table22[[#This Row],[Units Sold]]&lt;=50,"Poor",Table22[[#This Row],[Units Sold]]&lt;=60,"Low",Table22[[#This Row],[Units Sold]]&lt;=80,"Average",Table22[[#This Row],[Units Sold]]&lt;=90,"High",Table22[[#This Row],[Units Sold]]&lt;=95,"Excellent",Table22[[#This Row],[Units Sold]]&gt;95,"Outstanding")</f>
        <v>Poor</v>
      </c>
      <c r="N1054" s="29">
        <v>689.11</v>
      </c>
      <c r="O1054" s="29">
        <v>28253.51</v>
      </c>
      <c r="P1054" s="43">
        <f>IF(Table22[[#This Row],[Discount Applied]],Table22[[#This Row],[Total Sales (in USD)]]*(1-Table22[[#This Row],[Discount Percentage (%)]]/100),Table22[[#This Row],[Total Sales (in USD)]])</f>
        <v>24840.485991999998</v>
      </c>
      <c r="Q1054" s="66">
        <f>SQRT(AVERAGE((Table22[[#This Row],[Net Sales (after discount) (in USD)]]-AVERAGE(Table22[Net Sales (after discount) (in USD)]))^2))</f>
        <v>11670.87457176454</v>
      </c>
      <c r="R1054" s="18" t="b">
        <v>0</v>
      </c>
      <c r="S1054" s="40">
        <v>12.08</v>
      </c>
      <c r="T1054" s="18" t="b">
        <v>1</v>
      </c>
      <c r="U1054" s="25">
        <v>45189</v>
      </c>
      <c r="V1054" s="63" t="str">
        <f>IF(MONTH(Table22[[#This Row],[Sales Date]])&lt;=3,"Q1",IF(MONTH(Table22[[#This Row],[Sales Date]])&lt;=6,"Q2",IF(MONTH(Table22[[#This Row],[Sales Date]])&lt;=9,"Q3","Q4")))</f>
        <v>Q3</v>
      </c>
      <c r="W1054" s="64">
        <f>YEAR(Table22[[#This Row],[Sales Date]])</f>
        <v>2023</v>
      </c>
      <c r="X1054" s="23">
        <v>22</v>
      </c>
      <c r="Y1054" s="18" t="s">
        <v>41</v>
      </c>
      <c r="Z1054" s="18" t="s">
        <v>24</v>
      </c>
      <c r="AA1054" s="19" t="s">
        <v>25</v>
      </c>
    </row>
    <row r="1055" spans="1:27" x14ac:dyDescent="0.25">
      <c r="A1055" s="17" t="s">
        <v>678</v>
      </c>
      <c r="B1055" s="18" t="s">
        <v>27</v>
      </c>
      <c r="C1055" s="63" t="str" cm="1">
        <f t="array" ref="C1055">_xlfn.SWITCH(Table22[[#This Row],[Country]],"USA","North America","Canada","North America","Brazil","South America","China","Asia","Japan","Asia","India","Asia","France","Europe","Germany","Europe","UK","Europe","Australia","Oceania","South America")</f>
        <v>Europe</v>
      </c>
      <c r="D1055" s="18" t="s">
        <v>21</v>
      </c>
      <c r="E1055" s="18" t="s">
        <v>39</v>
      </c>
      <c r="F1055" s="18" t="s">
        <v>20</v>
      </c>
      <c r="G1055" s="18" t="s">
        <v>29</v>
      </c>
      <c r="H1055" s="64">
        <f>LEN(TRIM(Table22[[#This Row],[Country]]))</f>
        <v>7</v>
      </c>
      <c r="I1055" s="64">
        <f>LEN(TRIM(Table22[[#This Row],[Continent]]))</f>
        <v>6</v>
      </c>
      <c r="J1055" s="64">
        <f>LEN(TRIM(Table22[[#This Row],[Product]]))</f>
        <v>10</v>
      </c>
      <c r="K1055" s="64">
        <f>LEN(TRIM(Table22[[#This Row],[Sales Team]]))</f>
        <v>10</v>
      </c>
      <c r="L1055" s="23">
        <v>66</v>
      </c>
      <c r="M1055" s="65" t="str" cm="1">
        <f t="array" ref="M1055">_xlfn.IFS(Table22[[#This Row],[Units Sold]]&lt;40,"Critical",Table22[[#This Row],[Units Sold]]&lt;=50,"Poor",Table22[[#This Row],[Units Sold]]&lt;=60,"Low",Table22[[#This Row],[Units Sold]]&lt;=80,"Average",Table22[[#This Row],[Units Sold]]&lt;=90,"High",Table22[[#This Row],[Units Sold]]&lt;=95,"Excellent",Table22[[#This Row],[Units Sold]]&gt;95,"Outstanding")</f>
        <v>Average</v>
      </c>
      <c r="N1055" s="29">
        <v>427.09</v>
      </c>
      <c r="O1055" s="29">
        <v>28187.94</v>
      </c>
      <c r="P1055" s="43">
        <f>IF(Table22[[#This Row],[Discount Applied]],Table22[[#This Row],[Total Sales (in USD)]]*(1-Table22[[#This Row],[Discount Percentage (%)]]/100),Table22[[#This Row],[Total Sales (in USD)]])</f>
        <v>28187.94</v>
      </c>
      <c r="Q1055" s="66">
        <f>SQRT(AVERAGE((Table22[[#This Row],[Net Sales (after discount) (in USD)]]-AVERAGE(Table22[Net Sales (after discount) (in USD)]))^2))</f>
        <v>8323.4205637645391</v>
      </c>
      <c r="R1055" s="18" t="b">
        <v>1</v>
      </c>
      <c r="S1055" s="40">
        <v>5.6</v>
      </c>
      <c r="T1055" s="18" t="b">
        <v>0</v>
      </c>
      <c r="U1055" s="25">
        <v>45437</v>
      </c>
      <c r="V1055" s="63" t="str">
        <f>IF(MONTH(Table22[[#This Row],[Sales Date]])&lt;=3,"Q1",IF(MONTH(Table22[[#This Row],[Sales Date]])&lt;=6,"Q2",IF(MONTH(Table22[[#This Row],[Sales Date]])&lt;=9,"Q3","Q4")))</f>
        <v>Q2</v>
      </c>
      <c r="W1055" s="64">
        <f>YEAR(Table22[[#This Row],[Sales Date]])</f>
        <v>2024</v>
      </c>
      <c r="X1055" s="23">
        <v>60</v>
      </c>
      <c r="Y1055" s="18" t="s">
        <v>41</v>
      </c>
      <c r="Z1055" s="18" t="s">
        <v>30</v>
      </c>
      <c r="AA1055" s="19" t="s">
        <v>36</v>
      </c>
    </row>
    <row r="1056" spans="1:27" x14ac:dyDescent="0.25">
      <c r="A1056" s="17" t="s">
        <v>1095</v>
      </c>
      <c r="B1056" s="18" t="s">
        <v>76</v>
      </c>
      <c r="C1056" s="63" t="str" cm="1">
        <f t="array" ref="C1056">_xlfn.SWITCH(Table22[[#This Row],[Country]],"USA","North America","Canada","North America","Brazil","South America","China","Asia","Japan","Asia","India","Asia","France","Europe","Germany","Europe","UK","Europe","Australia","Oceania","South America")</f>
        <v>Asia</v>
      </c>
      <c r="D1056" s="18" t="s">
        <v>35</v>
      </c>
      <c r="E1056" s="18" t="s">
        <v>19</v>
      </c>
      <c r="F1056" s="18" t="s">
        <v>47</v>
      </c>
      <c r="G1056" s="18" t="s">
        <v>48</v>
      </c>
      <c r="H1056" s="64">
        <f>LEN(TRIM(Table22[[#This Row],[Country]]))</f>
        <v>5</v>
      </c>
      <c r="I1056" s="64">
        <f>LEN(TRIM(Table22[[#This Row],[Continent]]))</f>
        <v>4</v>
      </c>
      <c r="J1056" s="64">
        <f>LEN(TRIM(Table22[[#This Row],[Product]]))</f>
        <v>6</v>
      </c>
      <c r="K1056" s="64">
        <f>LEN(TRIM(Table22[[#This Row],[Sales Team]]))</f>
        <v>9</v>
      </c>
      <c r="L1056" s="23">
        <v>71</v>
      </c>
      <c r="M1056" s="65" t="str" cm="1">
        <f t="array" ref="M1056">_xlfn.IFS(Table22[[#This Row],[Units Sold]]&lt;40,"Critical",Table22[[#This Row],[Units Sold]]&lt;=50,"Poor",Table22[[#This Row],[Units Sold]]&lt;=60,"Low",Table22[[#This Row],[Units Sold]]&lt;=80,"Average",Table22[[#This Row],[Units Sold]]&lt;=90,"High",Table22[[#This Row],[Units Sold]]&lt;=95,"Excellent",Table22[[#This Row],[Units Sold]]&gt;95,"Outstanding")</f>
        <v>Average</v>
      </c>
      <c r="N1056" s="29">
        <v>396.21</v>
      </c>
      <c r="O1056" s="29">
        <v>28130.91</v>
      </c>
      <c r="P1056" s="43">
        <f>IF(Table22[[#This Row],[Discount Applied]],Table22[[#This Row],[Total Sales (in USD)]]*(1-Table22[[#This Row],[Discount Percentage (%)]]/100),Table22[[#This Row],[Total Sales (in USD)]])</f>
        <v>28130.91</v>
      </c>
      <c r="Q1056" s="66">
        <f>SQRT(AVERAGE((Table22[[#This Row],[Net Sales (after discount) (in USD)]]-AVERAGE(Table22[Net Sales (after discount) (in USD)]))^2))</f>
        <v>8380.4505637645379</v>
      </c>
      <c r="R1056" s="18" t="b">
        <v>1</v>
      </c>
      <c r="S1056" s="40">
        <v>25.48</v>
      </c>
      <c r="T1056" s="18" t="b">
        <v>0</v>
      </c>
      <c r="U1056" s="25">
        <v>45100</v>
      </c>
      <c r="V1056" s="63" t="str">
        <f>IF(MONTH(Table22[[#This Row],[Sales Date]])&lt;=3,"Q1",IF(MONTH(Table22[[#This Row],[Sales Date]])&lt;=6,"Q2",IF(MONTH(Table22[[#This Row],[Sales Date]])&lt;=9,"Q3","Q4")))</f>
        <v>Q2</v>
      </c>
      <c r="W1056" s="64">
        <f>YEAR(Table22[[#This Row],[Sales Date]])</f>
        <v>2023</v>
      </c>
      <c r="X1056" s="23">
        <v>39</v>
      </c>
      <c r="Y1056" s="18" t="s">
        <v>41</v>
      </c>
      <c r="Z1056" s="18" t="s">
        <v>42</v>
      </c>
      <c r="AA1056" s="19" t="s">
        <v>25</v>
      </c>
    </row>
    <row r="1057" spans="1:27" x14ac:dyDescent="0.25">
      <c r="A1057" s="17" t="s">
        <v>1392</v>
      </c>
      <c r="B1057" s="18" t="s">
        <v>18</v>
      </c>
      <c r="C1057" s="63" t="str" cm="1">
        <f t="array" ref="C1057">_xlfn.SWITCH(Table22[[#This Row],[Country]],"USA","North America","Canada","North America","Brazil","South America","China","Asia","Japan","Asia","India","Asia","France","Europe","Germany","Europe","UK","Europe","Australia","Oceania","South America")</f>
        <v>Asia</v>
      </c>
      <c r="D1057" s="18" t="s">
        <v>44</v>
      </c>
      <c r="E1057" s="18" t="s">
        <v>33</v>
      </c>
      <c r="F1057" s="18" t="s">
        <v>34</v>
      </c>
      <c r="G1057" s="18" t="s">
        <v>40</v>
      </c>
      <c r="H1057" s="64">
        <f>LEN(TRIM(Table22[[#This Row],[Country]]))</f>
        <v>5</v>
      </c>
      <c r="I1057" s="64">
        <f>LEN(TRIM(Table22[[#This Row],[Continent]]))</f>
        <v>4</v>
      </c>
      <c r="J1057" s="64">
        <f>LEN(TRIM(Table22[[#This Row],[Product]]))</f>
        <v>10</v>
      </c>
      <c r="K1057" s="64">
        <f>LEN(TRIM(Table22[[#This Row],[Sales Team]]))</f>
        <v>10</v>
      </c>
      <c r="L1057" s="23">
        <v>55</v>
      </c>
      <c r="M1057" s="65" t="str" cm="1">
        <f t="array" ref="M1057">_xlfn.IFS(Table22[[#This Row],[Units Sold]]&lt;40,"Critical",Table22[[#This Row],[Units Sold]]&lt;=50,"Poor",Table22[[#This Row],[Units Sold]]&lt;=60,"Low",Table22[[#This Row],[Units Sold]]&lt;=80,"Average",Table22[[#This Row],[Units Sold]]&lt;=90,"High",Table22[[#This Row],[Units Sold]]&lt;=95,"Excellent",Table22[[#This Row],[Units Sold]]&gt;95,"Outstanding")</f>
        <v>Low</v>
      </c>
      <c r="N1057" s="29">
        <v>511.47</v>
      </c>
      <c r="O1057" s="29">
        <v>28130.85</v>
      </c>
      <c r="P1057" s="43">
        <f>IF(Table22[[#This Row],[Discount Applied]],Table22[[#This Row],[Total Sales (in USD)]]*(1-Table22[[#This Row],[Discount Percentage (%)]]/100),Table22[[#This Row],[Total Sales (in USD)]])</f>
        <v>23714.306549999998</v>
      </c>
      <c r="Q1057" s="66">
        <f>SQRT(AVERAGE((Table22[[#This Row],[Net Sales (after discount) (in USD)]]-AVERAGE(Table22[Net Sales (after discount) (in USD)]))^2))</f>
        <v>12797.05401376454</v>
      </c>
      <c r="R1057" s="18" t="b">
        <v>1</v>
      </c>
      <c r="S1057" s="40">
        <v>15.7</v>
      </c>
      <c r="T1057" s="18" t="b">
        <v>1</v>
      </c>
      <c r="U1057" s="25">
        <v>45437</v>
      </c>
      <c r="V1057" s="63" t="str">
        <f>IF(MONTH(Table22[[#This Row],[Sales Date]])&lt;=3,"Q1",IF(MONTH(Table22[[#This Row],[Sales Date]])&lt;=6,"Q2",IF(MONTH(Table22[[#This Row],[Sales Date]])&lt;=9,"Q3","Q4")))</f>
        <v>Q2</v>
      </c>
      <c r="W1057" s="64">
        <f>YEAR(Table22[[#This Row],[Sales Date]])</f>
        <v>2024</v>
      </c>
      <c r="X1057" s="23">
        <v>39</v>
      </c>
      <c r="Y1057" s="18" t="s">
        <v>49</v>
      </c>
      <c r="Z1057" s="18" t="s">
        <v>42</v>
      </c>
      <c r="AA1057" s="19" t="s">
        <v>36</v>
      </c>
    </row>
    <row r="1058" spans="1:27" x14ac:dyDescent="0.25">
      <c r="A1058" s="17" t="s">
        <v>1852</v>
      </c>
      <c r="B1058" s="18" t="s">
        <v>66</v>
      </c>
      <c r="C1058" s="63" t="str" cm="1">
        <f t="array" ref="C1058">_xlfn.SWITCH(Table22[[#This Row],[Country]],"USA","North America","Canada","North America","Brazil","South America","China","Asia","Japan","Asia","India","Asia","France","Europe","Germany","Europe","UK","Europe","Australia","Oceania","South America")</f>
        <v>North America</v>
      </c>
      <c r="D1058" s="18" t="s">
        <v>35</v>
      </c>
      <c r="E1058" s="18" t="s">
        <v>39</v>
      </c>
      <c r="F1058" s="18" t="s">
        <v>64</v>
      </c>
      <c r="G1058" s="18" t="s">
        <v>48</v>
      </c>
      <c r="H1058" s="64">
        <f>LEN(TRIM(Table22[[#This Row],[Country]]))</f>
        <v>6</v>
      </c>
      <c r="I1058" s="64">
        <f>LEN(TRIM(Table22[[#This Row],[Continent]]))</f>
        <v>13</v>
      </c>
      <c r="J1058" s="64">
        <f>LEN(TRIM(Table22[[#This Row],[Product]]))</f>
        <v>10</v>
      </c>
      <c r="K1058" s="64">
        <f>LEN(TRIM(Table22[[#This Row],[Sales Team]]))</f>
        <v>9</v>
      </c>
      <c r="L1058" s="23">
        <v>97</v>
      </c>
      <c r="M1058" s="65" t="str" cm="1">
        <f t="array" ref="M1058">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058" s="29">
        <v>289.5</v>
      </c>
      <c r="O1058" s="29">
        <v>28081.5</v>
      </c>
      <c r="P1058" s="43">
        <f>IF(Table22[[#This Row],[Discount Applied]],Table22[[#This Row],[Total Sales (in USD)]]*(1-Table22[[#This Row],[Discount Percentage (%)]]/100),Table22[[#This Row],[Total Sales (in USD)]])</f>
        <v>21527.277899999997</v>
      </c>
      <c r="Q1058" s="66">
        <f>SQRT(AVERAGE((Table22[[#This Row],[Net Sales (after discount) (in USD)]]-AVERAGE(Table22[Net Sales (after discount) (in USD)]))^2))</f>
        <v>14984.08266376454</v>
      </c>
      <c r="R1058" s="18" t="b">
        <v>1</v>
      </c>
      <c r="S1058" s="40">
        <v>23.34</v>
      </c>
      <c r="T1058" s="18" t="b">
        <v>1</v>
      </c>
      <c r="U1058" s="25">
        <v>45185</v>
      </c>
      <c r="V1058" s="63" t="str">
        <f>IF(MONTH(Table22[[#This Row],[Sales Date]])&lt;=3,"Q1",IF(MONTH(Table22[[#This Row],[Sales Date]])&lt;=6,"Q2",IF(MONTH(Table22[[#This Row],[Sales Date]])&lt;=9,"Q3","Q4")))</f>
        <v>Q3</v>
      </c>
      <c r="W1058" s="64">
        <f>YEAR(Table22[[#This Row],[Sales Date]])</f>
        <v>2023</v>
      </c>
      <c r="X1058" s="23">
        <v>58</v>
      </c>
      <c r="Y1058" s="18" t="s">
        <v>49</v>
      </c>
      <c r="Z1058" s="18" t="s">
        <v>42</v>
      </c>
      <c r="AA1058" s="19" t="s">
        <v>36</v>
      </c>
    </row>
    <row r="1059" spans="1:27" x14ac:dyDescent="0.25">
      <c r="A1059" s="17" t="s">
        <v>933</v>
      </c>
      <c r="B1059" s="18" t="s">
        <v>62</v>
      </c>
      <c r="C1059" s="63" t="str" cm="1">
        <f t="array" ref="C1059">_xlfn.SWITCH(Table22[[#This Row],[Country]],"USA","North America","Canada","North America","Brazil","South America","China","Asia","Japan","Asia","India","Asia","France","Europe","Germany","Europe","UK","Europe","Australia","Oceania","South America")</f>
        <v>Oceania</v>
      </c>
      <c r="D1059" s="18" t="s">
        <v>21</v>
      </c>
      <c r="E1059" s="18" t="s">
        <v>39</v>
      </c>
      <c r="F1059" s="18" t="s">
        <v>34</v>
      </c>
      <c r="G1059" s="18" t="s">
        <v>22</v>
      </c>
      <c r="H1059" s="64">
        <f>LEN(TRIM(Table22[[#This Row],[Country]]))</f>
        <v>9</v>
      </c>
      <c r="I1059" s="64">
        <f>LEN(TRIM(Table22[[#This Row],[Continent]]))</f>
        <v>7</v>
      </c>
      <c r="J1059" s="64">
        <f>LEN(TRIM(Table22[[#This Row],[Product]]))</f>
        <v>10</v>
      </c>
      <c r="K1059" s="64">
        <f>LEN(TRIM(Table22[[#This Row],[Sales Team]]))</f>
        <v>10</v>
      </c>
      <c r="L1059" s="23">
        <v>43</v>
      </c>
      <c r="M1059" s="65" t="str" cm="1">
        <f t="array" ref="M1059">_xlfn.IFS(Table22[[#This Row],[Units Sold]]&lt;40,"Critical",Table22[[#This Row],[Units Sold]]&lt;=50,"Poor",Table22[[#This Row],[Units Sold]]&lt;=60,"Low",Table22[[#This Row],[Units Sold]]&lt;=80,"Average",Table22[[#This Row],[Units Sold]]&lt;=90,"High",Table22[[#This Row],[Units Sold]]&lt;=95,"Excellent",Table22[[#This Row],[Units Sold]]&gt;95,"Outstanding")</f>
        <v>Poor</v>
      </c>
      <c r="N1059" s="29">
        <v>652.73</v>
      </c>
      <c r="O1059" s="29">
        <v>28067.39</v>
      </c>
      <c r="P1059" s="43">
        <f>IF(Table22[[#This Row],[Discount Applied]],Table22[[#This Row],[Total Sales (in USD)]]*(1-Table22[[#This Row],[Discount Percentage (%)]]/100),Table22[[#This Row],[Total Sales (in USD)]])</f>
        <v>20393.765574000001</v>
      </c>
      <c r="Q1059" s="66">
        <f>SQRT(AVERAGE((Table22[[#This Row],[Net Sales (after discount) (in USD)]]-AVERAGE(Table22[Net Sales (after discount) (in USD)]))^2))</f>
        <v>16117.594989764537</v>
      </c>
      <c r="R1059" s="18" t="b">
        <v>0</v>
      </c>
      <c r="S1059" s="40">
        <v>27.34</v>
      </c>
      <c r="T1059" s="18" t="b">
        <v>1</v>
      </c>
      <c r="U1059" s="25">
        <v>45293</v>
      </c>
      <c r="V1059" s="63" t="str">
        <f>IF(MONTH(Table22[[#This Row],[Sales Date]])&lt;=3,"Q1",IF(MONTH(Table22[[#This Row],[Sales Date]])&lt;=6,"Q2",IF(MONTH(Table22[[#This Row],[Sales Date]])&lt;=9,"Q3","Q4")))</f>
        <v>Q1</v>
      </c>
      <c r="W1059" s="64">
        <f>YEAR(Table22[[#This Row],[Sales Date]])</f>
        <v>2024</v>
      </c>
      <c r="X1059" s="23">
        <v>28</v>
      </c>
      <c r="Y1059" s="18" t="s">
        <v>23</v>
      </c>
      <c r="Z1059" s="18" t="s">
        <v>56</v>
      </c>
      <c r="AA1059" s="19" t="s">
        <v>36</v>
      </c>
    </row>
    <row r="1060" spans="1:27" x14ac:dyDescent="0.25">
      <c r="A1060" s="17" t="s">
        <v>611</v>
      </c>
      <c r="B1060" s="18" t="s">
        <v>27</v>
      </c>
      <c r="C1060" s="63" t="str" cm="1">
        <f t="array" ref="C1060">_xlfn.SWITCH(Table22[[#This Row],[Country]],"USA","North America","Canada","North America","Brazil","South America","China","Asia","Japan","Asia","India","Asia","France","Europe","Germany","Europe","UK","Europe","Australia","Oceania","South America")</f>
        <v>Europe</v>
      </c>
      <c r="D1060" s="18" t="s">
        <v>44</v>
      </c>
      <c r="E1060" s="18" t="s">
        <v>19</v>
      </c>
      <c r="F1060" s="18" t="s">
        <v>34</v>
      </c>
      <c r="G1060" s="18" t="s">
        <v>22</v>
      </c>
      <c r="H1060" s="64">
        <f>LEN(TRIM(Table22[[#This Row],[Country]]))</f>
        <v>7</v>
      </c>
      <c r="I1060" s="64">
        <f>LEN(TRIM(Table22[[#This Row],[Continent]]))</f>
        <v>6</v>
      </c>
      <c r="J1060" s="64">
        <f>LEN(TRIM(Table22[[#This Row],[Product]]))</f>
        <v>6</v>
      </c>
      <c r="K1060" s="64">
        <f>LEN(TRIM(Table22[[#This Row],[Sales Team]]))</f>
        <v>10</v>
      </c>
      <c r="L1060" s="23">
        <v>62</v>
      </c>
      <c r="M1060" s="65" t="str" cm="1">
        <f t="array" ref="M1060">_xlfn.IFS(Table22[[#This Row],[Units Sold]]&lt;40,"Critical",Table22[[#This Row],[Units Sold]]&lt;=50,"Poor",Table22[[#This Row],[Units Sold]]&lt;=60,"Low",Table22[[#This Row],[Units Sold]]&lt;=80,"Average",Table22[[#This Row],[Units Sold]]&lt;=90,"High",Table22[[#This Row],[Units Sold]]&lt;=95,"Excellent",Table22[[#This Row],[Units Sold]]&gt;95,"Outstanding")</f>
        <v>Average</v>
      </c>
      <c r="N1060" s="29">
        <v>452.15</v>
      </c>
      <c r="O1060" s="29">
        <v>28033.3</v>
      </c>
      <c r="P1060" s="43">
        <f>IF(Table22[[#This Row],[Discount Applied]],Table22[[#This Row],[Total Sales (in USD)]]*(1-Table22[[#This Row],[Discount Percentage (%)]]/100),Table22[[#This Row],[Total Sales (in USD)]])</f>
        <v>28033.3</v>
      </c>
      <c r="Q1060" s="66">
        <f>SQRT(AVERAGE((Table22[[#This Row],[Net Sales (after discount) (in USD)]]-AVERAGE(Table22[Net Sales (after discount) (in USD)]))^2))</f>
        <v>8478.0605637645385</v>
      </c>
      <c r="R1060" s="18" t="b">
        <v>1</v>
      </c>
      <c r="S1060" s="40">
        <v>5.81</v>
      </c>
      <c r="T1060" s="18" t="b">
        <v>0</v>
      </c>
      <c r="U1060" s="25">
        <v>45282</v>
      </c>
      <c r="V1060" s="63" t="str">
        <f>IF(MONTH(Table22[[#This Row],[Sales Date]])&lt;=3,"Q1",IF(MONTH(Table22[[#This Row],[Sales Date]])&lt;=6,"Q2",IF(MONTH(Table22[[#This Row],[Sales Date]])&lt;=9,"Q3","Q4")))</f>
        <v>Q4</v>
      </c>
      <c r="W1060" s="64">
        <f>YEAR(Table22[[#This Row],[Sales Date]])</f>
        <v>2023</v>
      </c>
      <c r="X1060" s="23">
        <v>20</v>
      </c>
      <c r="Y1060" s="18" t="s">
        <v>49</v>
      </c>
      <c r="Z1060" s="18" t="s">
        <v>24</v>
      </c>
      <c r="AA1060" s="19" t="s">
        <v>36</v>
      </c>
    </row>
    <row r="1061" spans="1:27" x14ac:dyDescent="0.25">
      <c r="A1061" s="17" t="s">
        <v>1250</v>
      </c>
      <c r="B1061" s="18" t="s">
        <v>72</v>
      </c>
      <c r="C1061" s="63" t="str" cm="1">
        <f t="array" ref="C1061">_xlfn.SWITCH(Table22[[#This Row],[Country]],"USA","North America","Canada","North America","Brazil","South America","China","Asia","Japan","Asia","India","Asia","France","Europe","Germany","Europe","UK","Europe","Australia","Oceania","South America")</f>
        <v>North America</v>
      </c>
      <c r="D1061" s="18" t="s">
        <v>44</v>
      </c>
      <c r="E1061" s="18" t="s">
        <v>19</v>
      </c>
      <c r="F1061" s="18" t="s">
        <v>47</v>
      </c>
      <c r="G1061" s="18" t="s">
        <v>48</v>
      </c>
      <c r="H1061" s="64">
        <f>LEN(TRIM(Table22[[#This Row],[Country]]))</f>
        <v>3</v>
      </c>
      <c r="I1061" s="64">
        <f>LEN(TRIM(Table22[[#This Row],[Continent]]))</f>
        <v>13</v>
      </c>
      <c r="J1061" s="64">
        <f>LEN(TRIM(Table22[[#This Row],[Product]]))</f>
        <v>6</v>
      </c>
      <c r="K1061" s="64">
        <f>LEN(TRIM(Table22[[#This Row],[Sales Team]]))</f>
        <v>9</v>
      </c>
      <c r="L1061" s="23">
        <v>24</v>
      </c>
      <c r="M1061" s="65" t="str" cm="1">
        <f t="array" ref="M1061">_xlfn.IFS(Table22[[#This Row],[Units Sold]]&lt;40,"Critical",Table22[[#This Row],[Units Sold]]&lt;=50,"Poor",Table22[[#This Row],[Units Sold]]&lt;=60,"Low",Table22[[#This Row],[Units Sold]]&lt;=80,"Average",Table22[[#This Row],[Units Sold]]&lt;=90,"High",Table22[[#This Row],[Units Sold]]&lt;=95,"Excellent",Table22[[#This Row],[Units Sold]]&gt;95,"Outstanding")</f>
        <v>Critical</v>
      </c>
      <c r="N1061" s="29">
        <v>1167.2</v>
      </c>
      <c r="O1061" s="29">
        <v>28012.799999999999</v>
      </c>
      <c r="P1061" s="43">
        <f>IF(Table22[[#This Row],[Discount Applied]],Table22[[#This Row],[Total Sales (in USD)]]*(1-Table22[[#This Row],[Discount Percentage (%)]]/100),Table22[[#This Row],[Total Sales (in USD)]])</f>
        <v>27074.371200000001</v>
      </c>
      <c r="Q1061" s="66">
        <f>SQRT(AVERAGE((Table22[[#This Row],[Net Sales (after discount) (in USD)]]-AVERAGE(Table22[Net Sales (after discount) (in USD)]))^2))</f>
        <v>9436.9893637645364</v>
      </c>
      <c r="R1061" s="18" t="b">
        <v>0</v>
      </c>
      <c r="S1061" s="40">
        <v>3.35</v>
      </c>
      <c r="T1061" s="18" t="b">
        <v>1</v>
      </c>
      <c r="U1061" s="25">
        <v>45306</v>
      </c>
      <c r="V1061" s="63" t="str">
        <f>IF(MONTH(Table22[[#This Row],[Sales Date]])&lt;=3,"Q1",IF(MONTH(Table22[[#This Row],[Sales Date]])&lt;=6,"Q2",IF(MONTH(Table22[[#This Row],[Sales Date]])&lt;=9,"Q3","Q4")))</f>
        <v>Q1</v>
      </c>
      <c r="W1061" s="64">
        <f>YEAR(Table22[[#This Row],[Sales Date]])</f>
        <v>2024</v>
      </c>
      <c r="X1061" s="23">
        <v>31</v>
      </c>
      <c r="Y1061" s="18" t="s">
        <v>23</v>
      </c>
      <c r="Z1061" s="18" t="s">
        <v>56</v>
      </c>
      <c r="AA1061" s="19" t="s">
        <v>25</v>
      </c>
    </row>
    <row r="1062" spans="1:27" x14ac:dyDescent="0.25">
      <c r="A1062" s="17" t="s">
        <v>1707</v>
      </c>
      <c r="B1062" s="18" t="s">
        <v>66</v>
      </c>
      <c r="C1062" s="63" t="str" cm="1">
        <f t="array" ref="C1062">_xlfn.SWITCH(Table22[[#This Row],[Country]],"USA","North America","Canada","North America","Brazil","South America","China","Asia","Japan","Asia","India","Asia","France","Europe","Germany","Europe","UK","Europe","Australia","Oceania","South America")</f>
        <v>North America</v>
      </c>
      <c r="D1062" s="18" t="s">
        <v>44</v>
      </c>
      <c r="E1062" s="18" t="s">
        <v>39</v>
      </c>
      <c r="F1062" s="18" t="s">
        <v>47</v>
      </c>
      <c r="G1062" s="18" t="s">
        <v>22</v>
      </c>
      <c r="H1062" s="64">
        <f>LEN(TRIM(Table22[[#This Row],[Country]]))</f>
        <v>6</v>
      </c>
      <c r="I1062" s="64">
        <f>LEN(TRIM(Table22[[#This Row],[Continent]]))</f>
        <v>13</v>
      </c>
      <c r="J1062" s="64">
        <f>LEN(TRIM(Table22[[#This Row],[Product]]))</f>
        <v>10</v>
      </c>
      <c r="K1062" s="64">
        <f>LEN(TRIM(Table22[[#This Row],[Sales Team]]))</f>
        <v>10</v>
      </c>
      <c r="L1062" s="23">
        <v>95</v>
      </c>
      <c r="M1062" s="65" t="str" cm="1">
        <f t="array" ref="M1062">_xlfn.IFS(Table22[[#This Row],[Units Sold]]&lt;40,"Critical",Table22[[#This Row],[Units Sold]]&lt;=50,"Poor",Table22[[#This Row],[Units Sold]]&lt;=60,"Low",Table22[[#This Row],[Units Sold]]&lt;=80,"Average",Table22[[#This Row],[Units Sold]]&lt;=90,"High",Table22[[#This Row],[Units Sold]]&lt;=95,"Excellent",Table22[[#This Row],[Units Sold]]&gt;95,"Outstanding")</f>
        <v>Excellent</v>
      </c>
      <c r="N1062" s="29">
        <v>294.62</v>
      </c>
      <c r="O1062" s="29">
        <v>27988.9</v>
      </c>
      <c r="P1062" s="43">
        <f>IF(Table22[[#This Row],[Discount Applied]],Table22[[#This Row],[Total Sales (in USD)]]*(1-Table22[[#This Row],[Discount Percentage (%)]]/100),Table22[[#This Row],[Total Sales (in USD)]])</f>
        <v>19740.571170000003</v>
      </c>
      <c r="Q1062" s="66">
        <f>SQRT(AVERAGE((Table22[[#This Row],[Net Sales (after discount) (in USD)]]-AVERAGE(Table22[Net Sales (after discount) (in USD)]))^2))</f>
        <v>16770.789393764535</v>
      </c>
      <c r="R1062" s="18" t="b">
        <v>1</v>
      </c>
      <c r="S1062" s="40">
        <v>29.47</v>
      </c>
      <c r="T1062" s="18" t="b">
        <v>1</v>
      </c>
      <c r="U1062" s="25">
        <v>45226</v>
      </c>
      <c r="V1062" s="63" t="str">
        <f>IF(MONTH(Table22[[#This Row],[Sales Date]])&lt;=3,"Q1",IF(MONTH(Table22[[#This Row],[Sales Date]])&lt;=6,"Q2",IF(MONTH(Table22[[#This Row],[Sales Date]])&lt;=9,"Q3","Q4")))</f>
        <v>Q4</v>
      </c>
      <c r="W1062" s="64">
        <f>YEAR(Table22[[#This Row],[Sales Date]])</f>
        <v>2023</v>
      </c>
      <c r="X1062" s="23">
        <v>45</v>
      </c>
      <c r="Y1062" s="18" t="s">
        <v>23</v>
      </c>
      <c r="Z1062" s="18" t="s">
        <v>56</v>
      </c>
      <c r="AA1062" s="19" t="s">
        <v>25</v>
      </c>
    </row>
    <row r="1063" spans="1:27" x14ac:dyDescent="0.25">
      <c r="A1063" s="17" t="s">
        <v>454</v>
      </c>
      <c r="B1063" s="18" t="s">
        <v>18</v>
      </c>
      <c r="C1063" s="63" t="str" cm="1">
        <f t="array" ref="C1063">_xlfn.SWITCH(Table22[[#This Row],[Country]],"USA","North America","Canada","North America","Brazil","South America","China","Asia","Japan","Asia","India","Asia","France","Europe","Germany","Europe","UK","Europe","Australia","Oceania","South America")</f>
        <v>Asia</v>
      </c>
      <c r="D1063" s="18" t="s">
        <v>44</v>
      </c>
      <c r="E1063" s="18" t="s">
        <v>19</v>
      </c>
      <c r="F1063" s="18" t="s">
        <v>52</v>
      </c>
      <c r="G1063" s="18" t="s">
        <v>29</v>
      </c>
      <c r="H1063" s="64">
        <f>LEN(TRIM(Table22[[#This Row],[Country]]))</f>
        <v>5</v>
      </c>
      <c r="I1063" s="64">
        <f>LEN(TRIM(Table22[[#This Row],[Continent]]))</f>
        <v>4</v>
      </c>
      <c r="J1063" s="64">
        <f>LEN(TRIM(Table22[[#This Row],[Product]]))</f>
        <v>6</v>
      </c>
      <c r="K1063" s="64">
        <f>LEN(TRIM(Table22[[#This Row],[Sales Team]]))</f>
        <v>10</v>
      </c>
      <c r="L1063" s="23">
        <v>20</v>
      </c>
      <c r="M1063" s="65" t="str" cm="1">
        <f t="array" ref="M1063">_xlfn.IFS(Table22[[#This Row],[Units Sold]]&lt;40,"Critical",Table22[[#This Row],[Units Sold]]&lt;=50,"Poor",Table22[[#This Row],[Units Sold]]&lt;=60,"Low",Table22[[#This Row],[Units Sold]]&lt;=80,"Average",Table22[[#This Row],[Units Sold]]&lt;=90,"High",Table22[[#This Row],[Units Sold]]&lt;=95,"Excellent",Table22[[#This Row],[Units Sold]]&gt;95,"Outstanding")</f>
        <v>Critical</v>
      </c>
      <c r="N1063" s="29">
        <v>1396.66</v>
      </c>
      <c r="O1063" s="29">
        <v>27933.200000000001</v>
      </c>
      <c r="P1063" s="43">
        <f>IF(Table22[[#This Row],[Discount Applied]],Table22[[#This Row],[Total Sales (in USD)]]*(1-Table22[[#This Row],[Discount Percentage (%)]]/100),Table22[[#This Row],[Total Sales (in USD)]])</f>
        <v>27933.200000000001</v>
      </c>
      <c r="Q1063" s="66">
        <f>SQRT(AVERAGE((Table22[[#This Row],[Net Sales (after discount) (in USD)]]-AVERAGE(Table22[Net Sales (after discount) (in USD)]))^2))</f>
        <v>8578.1605637645371</v>
      </c>
      <c r="R1063" s="18" t="b">
        <v>0</v>
      </c>
      <c r="S1063" s="40">
        <v>10.66</v>
      </c>
      <c r="T1063" s="18" t="b">
        <v>0</v>
      </c>
      <c r="U1063" s="25">
        <v>45410</v>
      </c>
      <c r="V1063" s="63" t="str">
        <f>IF(MONTH(Table22[[#This Row],[Sales Date]])&lt;=3,"Q1",IF(MONTH(Table22[[#This Row],[Sales Date]])&lt;=6,"Q2",IF(MONTH(Table22[[#This Row],[Sales Date]])&lt;=9,"Q3","Q4")))</f>
        <v>Q2</v>
      </c>
      <c r="W1063" s="64">
        <f>YEAR(Table22[[#This Row],[Sales Date]])</f>
        <v>2024</v>
      </c>
      <c r="X1063" s="23">
        <v>56</v>
      </c>
      <c r="Y1063" s="18" t="s">
        <v>23</v>
      </c>
      <c r="Z1063" s="18" t="s">
        <v>24</v>
      </c>
      <c r="AA1063" s="19" t="s">
        <v>25</v>
      </c>
    </row>
    <row r="1064" spans="1:27" x14ac:dyDescent="0.25">
      <c r="A1064" s="17" t="s">
        <v>1476</v>
      </c>
      <c r="B1064" s="18" t="s">
        <v>27</v>
      </c>
      <c r="C1064" s="63" t="str" cm="1">
        <f t="array" ref="C1064">_xlfn.SWITCH(Table22[[#This Row],[Country]],"USA","North America","Canada","North America","Brazil","South America","China","Asia","Japan","Asia","India","Asia","France","Europe","Germany","Europe","UK","Europe","Australia","Oceania","South America")</f>
        <v>Europe</v>
      </c>
      <c r="D1064" s="18" t="s">
        <v>28</v>
      </c>
      <c r="E1064" s="18" t="s">
        <v>33</v>
      </c>
      <c r="F1064" s="18" t="s">
        <v>20</v>
      </c>
      <c r="G1064" s="18" t="s">
        <v>40</v>
      </c>
      <c r="H1064" s="64">
        <f>LEN(TRIM(Table22[[#This Row],[Country]]))</f>
        <v>7</v>
      </c>
      <c r="I1064" s="64">
        <f>LEN(TRIM(Table22[[#This Row],[Continent]]))</f>
        <v>6</v>
      </c>
      <c r="J1064" s="64">
        <f>LEN(TRIM(Table22[[#This Row],[Product]]))</f>
        <v>10</v>
      </c>
      <c r="K1064" s="64">
        <f>LEN(TRIM(Table22[[#This Row],[Sales Team]]))</f>
        <v>10</v>
      </c>
      <c r="L1064" s="23">
        <v>22</v>
      </c>
      <c r="M1064" s="65" t="str" cm="1">
        <f t="array" ref="M1064">_xlfn.IFS(Table22[[#This Row],[Units Sold]]&lt;40,"Critical",Table22[[#This Row],[Units Sold]]&lt;=50,"Poor",Table22[[#This Row],[Units Sold]]&lt;=60,"Low",Table22[[#This Row],[Units Sold]]&lt;=80,"Average",Table22[[#This Row],[Units Sold]]&lt;=90,"High",Table22[[#This Row],[Units Sold]]&lt;=95,"Excellent",Table22[[#This Row],[Units Sold]]&gt;95,"Outstanding")</f>
        <v>Critical</v>
      </c>
      <c r="N1064" s="29">
        <v>1269.52</v>
      </c>
      <c r="O1064" s="29">
        <v>27929.439999999999</v>
      </c>
      <c r="P1064" s="43">
        <f>IF(Table22[[#This Row],[Discount Applied]],Table22[[#This Row],[Total Sales (in USD)]]*(1-Table22[[#This Row],[Discount Percentage (%)]]/100),Table22[[#This Row],[Total Sales (in USD)]])</f>
        <v>27929.439999999999</v>
      </c>
      <c r="Q1064" s="66">
        <f>SQRT(AVERAGE((Table22[[#This Row],[Net Sales (after discount) (in USD)]]-AVERAGE(Table22[Net Sales (after discount) (in USD)]))^2))</f>
        <v>8581.9205637645391</v>
      </c>
      <c r="R1064" s="18" t="b">
        <v>1</v>
      </c>
      <c r="S1064" s="40">
        <v>24.75</v>
      </c>
      <c r="T1064" s="18" t="b">
        <v>0</v>
      </c>
      <c r="U1064" s="25">
        <v>45446</v>
      </c>
      <c r="V1064" s="63" t="str">
        <f>IF(MONTH(Table22[[#This Row],[Sales Date]])&lt;=3,"Q1",IF(MONTH(Table22[[#This Row],[Sales Date]])&lt;=6,"Q2",IF(MONTH(Table22[[#This Row],[Sales Date]])&lt;=9,"Q3","Q4")))</f>
        <v>Q2</v>
      </c>
      <c r="W1064" s="64">
        <f>YEAR(Table22[[#This Row],[Sales Date]])</f>
        <v>2024</v>
      </c>
      <c r="X1064" s="23">
        <v>23</v>
      </c>
      <c r="Y1064" s="18" t="s">
        <v>23</v>
      </c>
      <c r="Z1064" s="18" t="s">
        <v>24</v>
      </c>
      <c r="AA1064" s="19" t="s">
        <v>25</v>
      </c>
    </row>
    <row r="1065" spans="1:27" x14ac:dyDescent="0.25">
      <c r="A1065" s="17" t="s">
        <v>1943</v>
      </c>
      <c r="B1065" s="18" t="s">
        <v>62</v>
      </c>
      <c r="C1065" s="63" t="str" cm="1">
        <f t="array" ref="C1065">_xlfn.SWITCH(Table22[[#This Row],[Country]],"USA","North America","Canada","North America","Brazil","South America","China","Asia","Japan","Asia","India","Asia","France","Europe","Germany","Europe","UK","Europe","Australia","Oceania","South America")</f>
        <v>Oceania</v>
      </c>
      <c r="D1065" s="18" t="s">
        <v>21</v>
      </c>
      <c r="E1065" s="18" t="s">
        <v>39</v>
      </c>
      <c r="F1065" s="18" t="s">
        <v>47</v>
      </c>
      <c r="G1065" s="18" t="s">
        <v>40</v>
      </c>
      <c r="H1065" s="64">
        <f>LEN(TRIM(Table22[[#This Row],[Country]]))</f>
        <v>9</v>
      </c>
      <c r="I1065" s="64">
        <f>LEN(TRIM(Table22[[#This Row],[Continent]]))</f>
        <v>7</v>
      </c>
      <c r="J1065" s="64">
        <f>LEN(TRIM(Table22[[#This Row],[Product]]))</f>
        <v>10</v>
      </c>
      <c r="K1065" s="64">
        <f>LEN(TRIM(Table22[[#This Row],[Sales Team]]))</f>
        <v>10</v>
      </c>
      <c r="L1065" s="23">
        <v>36</v>
      </c>
      <c r="M1065" s="65" t="str" cm="1">
        <f t="array" ref="M1065">_xlfn.IFS(Table22[[#This Row],[Units Sold]]&lt;40,"Critical",Table22[[#This Row],[Units Sold]]&lt;=50,"Poor",Table22[[#This Row],[Units Sold]]&lt;=60,"Low",Table22[[#This Row],[Units Sold]]&lt;=80,"Average",Table22[[#This Row],[Units Sold]]&lt;=90,"High",Table22[[#This Row],[Units Sold]]&lt;=95,"Excellent",Table22[[#This Row],[Units Sold]]&gt;95,"Outstanding")</f>
        <v>Critical</v>
      </c>
      <c r="N1065" s="29">
        <v>774.97</v>
      </c>
      <c r="O1065" s="29">
        <v>27898.92</v>
      </c>
      <c r="P1065" s="43">
        <f>IF(Table22[[#This Row],[Discount Applied]],Table22[[#This Row],[Total Sales (in USD)]]*(1-Table22[[#This Row],[Discount Percentage (%)]]/100),Table22[[#This Row],[Total Sales (in USD)]])</f>
        <v>27898.92</v>
      </c>
      <c r="Q1065" s="66">
        <f>SQRT(AVERAGE((Table22[[#This Row],[Net Sales (after discount) (in USD)]]-AVERAGE(Table22[Net Sales (after discount) (in USD)]))^2))</f>
        <v>8612.4405637645395</v>
      </c>
      <c r="R1065" s="18" t="b">
        <v>0</v>
      </c>
      <c r="S1065" s="40">
        <v>23.2</v>
      </c>
      <c r="T1065" s="18" t="b">
        <v>0</v>
      </c>
      <c r="U1065" s="25">
        <v>44976</v>
      </c>
      <c r="V1065" s="63" t="str">
        <f>IF(MONTH(Table22[[#This Row],[Sales Date]])&lt;=3,"Q1",IF(MONTH(Table22[[#This Row],[Sales Date]])&lt;=6,"Q2",IF(MONTH(Table22[[#This Row],[Sales Date]])&lt;=9,"Q3","Q4")))</f>
        <v>Q1</v>
      </c>
      <c r="W1065" s="64">
        <f>YEAR(Table22[[#This Row],[Sales Date]])</f>
        <v>2023</v>
      </c>
      <c r="X1065" s="23">
        <v>37</v>
      </c>
      <c r="Y1065" s="18" t="s">
        <v>23</v>
      </c>
      <c r="Z1065" s="18" t="s">
        <v>30</v>
      </c>
      <c r="AA1065" s="19" t="s">
        <v>25</v>
      </c>
    </row>
    <row r="1066" spans="1:27" x14ac:dyDescent="0.25">
      <c r="A1066" s="17" t="s">
        <v>1928</v>
      </c>
      <c r="B1066" s="18" t="s">
        <v>72</v>
      </c>
      <c r="C1066" s="63" t="str" cm="1">
        <f t="array" ref="C1066">_xlfn.SWITCH(Table22[[#This Row],[Country]],"USA","North America","Canada","North America","Brazil","South America","China","Asia","Japan","Asia","India","Asia","France","Europe","Germany","Europe","UK","Europe","Australia","Oceania","South America")</f>
        <v>North America</v>
      </c>
      <c r="D1066" s="18" t="s">
        <v>21</v>
      </c>
      <c r="E1066" s="18" t="s">
        <v>33</v>
      </c>
      <c r="F1066" s="18" t="s">
        <v>20</v>
      </c>
      <c r="G1066" s="18" t="s">
        <v>29</v>
      </c>
      <c r="H1066" s="64">
        <f>LEN(TRIM(Table22[[#This Row],[Country]]))</f>
        <v>3</v>
      </c>
      <c r="I1066" s="64">
        <f>LEN(TRIM(Table22[[#This Row],[Continent]]))</f>
        <v>13</v>
      </c>
      <c r="J1066" s="64">
        <f>LEN(TRIM(Table22[[#This Row],[Product]]))</f>
        <v>10</v>
      </c>
      <c r="K1066" s="64">
        <f>LEN(TRIM(Table22[[#This Row],[Sales Team]]))</f>
        <v>10</v>
      </c>
      <c r="L1066" s="23">
        <v>24</v>
      </c>
      <c r="M1066" s="65" t="str" cm="1">
        <f t="array" ref="M1066">_xlfn.IFS(Table22[[#This Row],[Units Sold]]&lt;40,"Critical",Table22[[#This Row],[Units Sold]]&lt;=50,"Poor",Table22[[#This Row],[Units Sold]]&lt;=60,"Low",Table22[[#This Row],[Units Sold]]&lt;=80,"Average",Table22[[#This Row],[Units Sold]]&lt;=90,"High",Table22[[#This Row],[Units Sold]]&lt;=95,"Excellent",Table22[[#This Row],[Units Sold]]&gt;95,"Outstanding")</f>
        <v>Critical</v>
      </c>
      <c r="N1066" s="29">
        <v>1162.4100000000001</v>
      </c>
      <c r="O1066" s="29">
        <v>27897.84</v>
      </c>
      <c r="P1066" s="43">
        <f>IF(Table22[[#This Row],[Discount Applied]],Table22[[#This Row],[Total Sales (in USD)]]*(1-Table22[[#This Row],[Discount Percentage (%)]]/100),Table22[[#This Row],[Total Sales (in USD)]])</f>
        <v>27897.84</v>
      </c>
      <c r="Q1066" s="66">
        <f>SQRT(AVERAGE((Table22[[#This Row],[Net Sales (after discount) (in USD)]]-AVERAGE(Table22[Net Sales (after discount) (in USD)]))^2))</f>
        <v>8613.5205637645377</v>
      </c>
      <c r="R1066" s="18" t="b">
        <v>1</v>
      </c>
      <c r="S1066" s="40">
        <v>22.71</v>
      </c>
      <c r="T1066" s="18" t="b">
        <v>0</v>
      </c>
      <c r="U1066" s="25">
        <v>45217</v>
      </c>
      <c r="V1066" s="63" t="str">
        <f>IF(MONTH(Table22[[#This Row],[Sales Date]])&lt;=3,"Q1",IF(MONTH(Table22[[#This Row],[Sales Date]])&lt;=6,"Q2",IF(MONTH(Table22[[#This Row],[Sales Date]])&lt;=9,"Q3","Q4")))</f>
        <v>Q4</v>
      </c>
      <c r="W1066" s="64">
        <f>YEAR(Table22[[#This Row],[Sales Date]])</f>
        <v>2023</v>
      </c>
      <c r="X1066" s="23">
        <v>21</v>
      </c>
      <c r="Y1066" s="18" t="s">
        <v>23</v>
      </c>
      <c r="Z1066" s="18" t="s">
        <v>30</v>
      </c>
      <c r="AA1066" s="19" t="s">
        <v>36</v>
      </c>
    </row>
    <row r="1067" spans="1:27" x14ac:dyDescent="0.25">
      <c r="A1067" s="17" t="s">
        <v>1024</v>
      </c>
      <c r="B1067" s="18" t="s">
        <v>62</v>
      </c>
      <c r="C1067" s="63" t="str" cm="1">
        <f t="array" ref="C1067">_xlfn.SWITCH(Table22[[#This Row],[Country]],"USA","North America","Canada","North America","Brazil","South America","China","Asia","Japan","Asia","India","Asia","France","Europe","Germany","Europe","UK","Europe","Australia","Oceania","South America")</f>
        <v>Oceania</v>
      </c>
      <c r="D1067" s="18" t="s">
        <v>44</v>
      </c>
      <c r="E1067" s="18" t="s">
        <v>33</v>
      </c>
      <c r="F1067" s="18" t="s">
        <v>47</v>
      </c>
      <c r="G1067" s="18" t="s">
        <v>29</v>
      </c>
      <c r="H1067" s="64">
        <f>LEN(TRIM(Table22[[#This Row],[Country]]))</f>
        <v>9</v>
      </c>
      <c r="I1067" s="64">
        <f>LEN(TRIM(Table22[[#This Row],[Continent]]))</f>
        <v>7</v>
      </c>
      <c r="J1067" s="64">
        <f>LEN(TRIM(Table22[[#This Row],[Product]]))</f>
        <v>10</v>
      </c>
      <c r="K1067" s="64">
        <f>LEN(TRIM(Table22[[#This Row],[Sales Team]]))</f>
        <v>10</v>
      </c>
      <c r="L1067" s="23">
        <v>51</v>
      </c>
      <c r="M1067" s="65" t="str" cm="1">
        <f t="array" ref="M1067">_xlfn.IFS(Table22[[#This Row],[Units Sold]]&lt;40,"Critical",Table22[[#This Row],[Units Sold]]&lt;=50,"Poor",Table22[[#This Row],[Units Sold]]&lt;=60,"Low",Table22[[#This Row],[Units Sold]]&lt;=80,"Average",Table22[[#This Row],[Units Sold]]&lt;=90,"High",Table22[[#This Row],[Units Sold]]&lt;=95,"Excellent",Table22[[#This Row],[Units Sold]]&gt;95,"Outstanding")</f>
        <v>Low</v>
      </c>
      <c r="N1067" s="29">
        <v>545.21</v>
      </c>
      <c r="O1067" s="29">
        <v>27805.71</v>
      </c>
      <c r="P1067" s="43">
        <f>IF(Table22[[#This Row],[Discount Applied]],Table22[[#This Row],[Total Sales (in USD)]]*(1-Table22[[#This Row],[Discount Percentage (%)]]/100),Table22[[#This Row],[Total Sales (in USD)]])</f>
        <v>27805.71</v>
      </c>
      <c r="Q1067" s="66">
        <f>SQRT(AVERAGE((Table22[[#This Row],[Net Sales (after discount) (in USD)]]-AVERAGE(Table22[Net Sales (after discount) (in USD)]))^2))</f>
        <v>8705.6505637645387</v>
      </c>
      <c r="R1067" s="18" t="b">
        <v>0</v>
      </c>
      <c r="S1067" s="40">
        <v>7.31</v>
      </c>
      <c r="T1067" s="18" t="b">
        <v>0</v>
      </c>
      <c r="U1067" s="25">
        <v>45481</v>
      </c>
      <c r="V1067" s="63" t="str">
        <f>IF(MONTH(Table22[[#This Row],[Sales Date]])&lt;=3,"Q1",IF(MONTH(Table22[[#This Row],[Sales Date]])&lt;=6,"Q2",IF(MONTH(Table22[[#This Row],[Sales Date]])&lt;=9,"Q3","Q4")))</f>
        <v>Q3</v>
      </c>
      <c r="W1067" s="64">
        <f>YEAR(Table22[[#This Row],[Sales Date]])</f>
        <v>2024</v>
      </c>
      <c r="X1067" s="23">
        <v>27</v>
      </c>
      <c r="Y1067" s="18" t="s">
        <v>23</v>
      </c>
      <c r="Z1067" s="18" t="s">
        <v>56</v>
      </c>
      <c r="AA1067" s="19" t="s">
        <v>25</v>
      </c>
    </row>
    <row r="1068" spans="1:27" x14ac:dyDescent="0.25">
      <c r="A1068" s="17" t="s">
        <v>129</v>
      </c>
      <c r="B1068" s="18" t="s">
        <v>76</v>
      </c>
      <c r="C1068" s="63" t="str" cm="1">
        <f t="array" ref="C1068">_xlfn.SWITCH(Table22[[#This Row],[Country]],"USA","North America","Canada","North America","Brazil","South America","China","Asia","Japan","Asia","India","Asia","France","Europe","Germany","Europe","UK","Europe","Australia","Oceania","South America")</f>
        <v>Asia</v>
      </c>
      <c r="D1068" s="18" t="s">
        <v>21</v>
      </c>
      <c r="E1068" s="18" t="s">
        <v>19</v>
      </c>
      <c r="F1068" s="18" t="s">
        <v>20</v>
      </c>
      <c r="G1068" s="18" t="s">
        <v>29</v>
      </c>
      <c r="H1068" s="64">
        <f>LEN(TRIM(Table22[[#This Row],[Country]]))</f>
        <v>5</v>
      </c>
      <c r="I1068" s="64">
        <f>LEN(TRIM(Table22[[#This Row],[Continent]]))</f>
        <v>4</v>
      </c>
      <c r="J1068" s="64">
        <f>LEN(TRIM(Table22[[#This Row],[Product]]))</f>
        <v>6</v>
      </c>
      <c r="K1068" s="64">
        <f>LEN(TRIM(Table22[[#This Row],[Sales Team]]))</f>
        <v>10</v>
      </c>
      <c r="L1068" s="23">
        <v>37</v>
      </c>
      <c r="M1068" s="65" t="str" cm="1">
        <f t="array" ref="M1068">_xlfn.IFS(Table22[[#This Row],[Units Sold]]&lt;40,"Critical",Table22[[#This Row],[Units Sold]]&lt;=50,"Poor",Table22[[#This Row],[Units Sold]]&lt;=60,"Low",Table22[[#This Row],[Units Sold]]&lt;=80,"Average",Table22[[#This Row],[Units Sold]]&lt;=90,"High",Table22[[#This Row],[Units Sold]]&lt;=95,"Excellent",Table22[[#This Row],[Units Sold]]&gt;95,"Outstanding")</f>
        <v>Critical</v>
      </c>
      <c r="N1068" s="29">
        <v>750.37</v>
      </c>
      <c r="O1068" s="29">
        <v>27763.69</v>
      </c>
      <c r="P1068" s="43">
        <f>IF(Table22[[#This Row],[Discount Applied]],Table22[[#This Row],[Total Sales (in USD)]]*(1-Table22[[#This Row],[Discount Percentage (%)]]/100),Table22[[#This Row],[Total Sales (in USD)]])</f>
        <v>27763.69</v>
      </c>
      <c r="Q1068" s="66">
        <f>SQRT(AVERAGE((Table22[[#This Row],[Net Sales (after discount) (in USD)]]-AVERAGE(Table22[Net Sales (after discount) (in USD)]))^2))</f>
        <v>8747.6705637645391</v>
      </c>
      <c r="R1068" s="18" t="b">
        <v>1</v>
      </c>
      <c r="S1068" s="40">
        <v>1.87</v>
      </c>
      <c r="T1068" s="18" t="b">
        <v>0</v>
      </c>
      <c r="U1068" s="25">
        <v>45084</v>
      </c>
      <c r="V1068" s="63" t="str">
        <f>IF(MONTH(Table22[[#This Row],[Sales Date]])&lt;=3,"Q1",IF(MONTH(Table22[[#This Row],[Sales Date]])&lt;=6,"Q2",IF(MONTH(Table22[[#This Row],[Sales Date]])&lt;=9,"Q3","Q4")))</f>
        <v>Q2</v>
      </c>
      <c r="W1068" s="64">
        <f>YEAR(Table22[[#This Row],[Sales Date]])</f>
        <v>2023</v>
      </c>
      <c r="X1068" s="23">
        <v>27</v>
      </c>
      <c r="Y1068" s="18" t="s">
        <v>41</v>
      </c>
      <c r="Z1068" s="18" t="s">
        <v>30</v>
      </c>
      <c r="AA1068" s="19" t="s">
        <v>36</v>
      </c>
    </row>
    <row r="1069" spans="1:27" x14ac:dyDescent="0.25">
      <c r="A1069" s="17" t="s">
        <v>206</v>
      </c>
      <c r="B1069" s="18" t="s">
        <v>76</v>
      </c>
      <c r="C1069" s="63" t="str" cm="1">
        <f t="array" ref="C1069">_xlfn.SWITCH(Table22[[#This Row],[Country]],"USA","North America","Canada","North America","Brazil","South America","China","Asia","Japan","Asia","India","Asia","France","Europe","Germany","Europe","UK","Europe","Australia","Oceania","South America")</f>
        <v>Asia</v>
      </c>
      <c r="D1069" s="18" t="s">
        <v>21</v>
      </c>
      <c r="E1069" s="18" t="s">
        <v>33</v>
      </c>
      <c r="F1069" s="18" t="s">
        <v>34</v>
      </c>
      <c r="G1069" s="18" t="s">
        <v>48</v>
      </c>
      <c r="H1069" s="64">
        <f>LEN(TRIM(Table22[[#This Row],[Country]]))</f>
        <v>5</v>
      </c>
      <c r="I1069" s="64">
        <f>LEN(TRIM(Table22[[#This Row],[Continent]]))</f>
        <v>4</v>
      </c>
      <c r="J1069" s="64">
        <f>LEN(TRIM(Table22[[#This Row],[Product]]))</f>
        <v>10</v>
      </c>
      <c r="K1069" s="64">
        <f>LEN(TRIM(Table22[[#This Row],[Sales Team]]))</f>
        <v>9</v>
      </c>
      <c r="L1069" s="23">
        <v>65</v>
      </c>
      <c r="M1069" s="65" t="str" cm="1">
        <f t="array" ref="M1069">_xlfn.IFS(Table22[[#This Row],[Units Sold]]&lt;40,"Critical",Table22[[#This Row],[Units Sold]]&lt;=50,"Poor",Table22[[#This Row],[Units Sold]]&lt;=60,"Low",Table22[[#This Row],[Units Sold]]&lt;=80,"Average",Table22[[#This Row],[Units Sold]]&lt;=90,"High",Table22[[#This Row],[Units Sold]]&lt;=95,"Excellent",Table22[[#This Row],[Units Sold]]&gt;95,"Outstanding")</f>
        <v>Average</v>
      </c>
      <c r="N1069" s="29">
        <v>425.86</v>
      </c>
      <c r="O1069" s="29">
        <v>27680.9</v>
      </c>
      <c r="P1069" s="43">
        <f>IF(Table22[[#This Row],[Discount Applied]],Table22[[#This Row],[Total Sales (in USD)]]*(1-Table22[[#This Row],[Discount Percentage (%)]]/100),Table22[[#This Row],[Total Sales (in USD)]])</f>
        <v>24644.305270000001</v>
      </c>
      <c r="Q1069" s="66">
        <f>SQRT(AVERAGE((Table22[[#This Row],[Net Sales (after discount) (in USD)]]-AVERAGE(Table22[Net Sales (after discount) (in USD)]))^2))</f>
        <v>11867.055293764537</v>
      </c>
      <c r="R1069" s="18" t="b">
        <v>0</v>
      </c>
      <c r="S1069" s="40">
        <v>10.97</v>
      </c>
      <c r="T1069" s="18" t="b">
        <v>1</v>
      </c>
      <c r="U1069" s="25">
        <v>44956</v>
      </c>
      <c r="V1069" s="63" t="str">
        <f>IF(MONTH(Table22[[#This Row],[Sales Date]])&lt;=3,"Q1",IF(MONTH(Table22[[#This Row],[Sales Date]])&lt;=6,"Q2",IF(MONTH(Table22[[#This Row],[Sales Date]])&lt;=9,"Q3","Q4")))</f>
        <v>Q1</v>
      </c>
      <c r="W1069" s="64">
        <f>YEAR(Table22[[#This Row],[Sales Date]])</f>
        <v>2023</v>
      </c>
      <c r="X1069" s="23">
        <v>65</v>
      </c>
      <c r="Y1069" s="18" t="s">
        <v>41</v>
      </c>
      <c r="Z1069" s="18" t="s">
        <v>30</v>
      </c>
      <c r="AA1069" s="19" t="s">
        <v>25</v>
      </c>
    </row>
    <row r="1070" spans="1:27" x14ac:dyDescent="0.25">
      <c r="A1070" s="17" t="s">
        <v>1010</v>
      </c>
      <c r="B1070" s="18" t="s">
        <v>27</v>
      </c>
      <c r="C1070" s="63" t="str" cm="1">
        <f t="array" ref="C1070">_xlfn.SWITCH(Table22[[#This Row],[Country]],"USA","North America","Canada","North America","Brazil","South America","China","Asia","Japan","Asia","India","Asia","France","Europe","Germany","Europe","UK","Europe","Australia","Oceania","South America")</f>
        <v>Europe</v>
      </c>
      <c r="D1070" s="18" t="s">
        <v>21</v>
      </c>
      <c r="E1070" s="18" t="s">
        <v>33</v>
      </c>
      <c r="F1070" s="18" t="s">
        <v>47</v>
      </c>
      <c r="G1070" s="18" t="s">
        <v>22</v>
      </c>
      <c r="H1070" s="64">
        <f>LEN(TRIM(Table22[[#This Row],[Country]]))</f>
        <v>7</v>
      </c>
      <c r="I1070" s="64">
        <f>LEN(TRIM(Table22[[#This Row],[Continent]]))</f>
        <v>6</v>
      </c>
      <c r="J1070" s="64">
        <f>LEN(TRIM(Table22[[#This Row],[Product]]))</f>
        <v>10</v>
      </c>
      <c r="K1070" s="64">
        <f>LEN(TRIM(Table22[[#This Row],[Sales Team]]))</f>
        <v>10</v>
      </c>
      <c r="L1070" s="23">
        <v>51</v>
      </c>
      <c r="M1070" s="65" t="str" cm="1">
        <f t="array" ref="M1070">_xlfn.IFS(Table22[[#This Row],[Units Sold]]&lt;40,"Critical",Table22[[#This Row],[Units Sold]]&lt;=50,"Poor",Table22[[#This Row],[Units Sold]]&lt;=60,"Low",Table22[[#This Row],[Units Sold]]&lt;=80,"Average",Table22[[#This Row],[Units Sold]]&lt;=90,"High",Table22[[#This Row],[Units Sold]]&lt;=95,"Excellent",Table22[[#This Row],[Units Sold]]&gt;95,"Outstanding")</f>
        <v>Low</v>
      </c>
      <c r="N1070" s="29">
        <v>541.79</v>
      </c>
      <c r="O1070" s="29">
        <v>27631.29</v>
      </c>
      <c r="P1070" s="43">
        <f>IF(Table22[[#This Row],[Discount Applied]],Table22[[#This Row],[Total Sales (in USD)]]*(1-Table22[[#This Row],[Discount Percentage (%)]]/100),Table22[[#This Row],[Total Sales (in USD)]])</f>
        <v>27631.29</v>
      </c>
      <c r="Q1070" s="66">
        <f>SQRT(AVERAGE((Table22[[#This Row],[Net Sales (after discount) (in USD)]]-AVERAGE(Table22[Net Sales (after discount) (in USD)]))^2))</f>
        <v>8880.0705637645369</v>
      </c>
      <c r="R1070" s="18" t="b">
        <v>1</v>
      </c>
      <c r="S1070" s="40">
        <v>22.12</v>
      </c>
      <c r="T1070" s="18" t="b">
        <v>0</v>
      </c>
      <c r="U1070" s="25">
        <v>45355</v>
      </c>
      <c r="V1070" s="63" t="str">
        <f>IF(MONTH(Table22[[#This Row],[Sales Date]])&lt;=3,"Q1",IF(MONTH(Table22[[#This Row],[Sales Date]])&lt;=6,"Q2",IF(MONTH(Table22[[#This Row],[Sales Date]])&lt;=9,"Q3","Q4")))</f>
        <v>Q1</v>
      </c>
      <c r="W1070" s="64">
        <f>YEAR(Table22[[#This Row],[Sales Date]])</f>
        <v>2024</v>
      </c>
      <c r="X1070" s="23">
        <v>22</v>
      </c>
      <c r="Y1070" s="18" t="s">
        <v>49</v>
      </c>
      <c r="Z1070" s="18" t="s">
        <v>30</v>
      </c>
      <c r="AA1070" s="19" t="s">
        <v>25</v>
      </c>
    </row>
    <row r="1071" spans="1:27" x14ac:dyDescent="0.25">
      <c r="A1071" s="17" t="s">
        <v>304</v>
      </c>
      <c r="B1071" s="18" t="s">
        <v>62</v>
      </c>
      <c r="C1071" s="63" t="str" cm="1">
        <f t="array" ref="C1071">_xlfn.SWITCH(Table22[[#This Row],[Country]],"USA","North America","Canada","North America","Brazil","South America","China","Asia","Japan","Asia","India","Asia","France","Europe","Germany","Europe","UK","Europe","Australia","Oceania","South America")</f>
        <v>Oceania</v>
      </c>
      <c r="D1071" s="18" t="s">
        <v>44</v>
      </c>
      <c r="E1071" s="18" t="s">
        <v>33</v>
      </c>
      <c r="F1071" s="18" t="s">
        <v>52</v>
      </c>
      <c r="G1071" s="18" t="s">
        <v>29</v>
      </c>
      <c r="H1071" s="64">
        <f>LEN(TRIM(Table22[[#This Row],[Country]]))</f>
        <v>9</v>
      </c>
      <c r="I1071" s="64">
        <f>LEN(TRIM(Table22[[#This Row],[Continent]]))</f>
        <v>7</v>
      </c>
      <c r="J1071" s="64">
        <f>LEN(TRIM(Table22[[#This Row],[Product]]))</f>
        <v>10</v>
      </c>
      <c r="K1071" s="64">
        <f>LEN(TRIM(Table22[[#This Row],[Sales Team]]))</f>
        <v>10</v>
      </c>
      <c r="L1071" s="23">
        <v>69</v>
      </c>
      <c r="M1071" s="65" t="str" cm="1">
        <f t="array" ref="M1071">_xlfn.IFS(Table22[[#This Row],[Units Sold]]&lt;40,"Critical",Table22[[#This Row],[Units Sold]]&lt;=50,"Poor",Table22[[#This Row],[Units Sold]]&lt;=60,"Low",Table22[[#This Row],[Units Sold]]&lt;=80,"Average",Table22[[#This Row],[Units Sold]]&lt;=90,"High",Table22[[#This Row],[Units Sold]]&lt;=95,"Excellent",Table22[[#This Row],[Units Sold]]&gt;95,"Outstanding")</f>
        <v>Average</v>
      </c>
      <c r="N1071" s="29">
        <v>399.27</v>
      </c>
      <c r="O1071" s="29">
        <v>27549.63</v>
      </c>
      <c r="P1071" s="43">
        <f>IF(Table22[[#This Row],[Discount Applied]],Table22[[#This Row],[Total Sales (in USD)]]*(1-Table22[[#This Row],[Discount Percentage (%)]]/100),Table22[[#This Row],[Total Sales (in USD)]])</f>
        <v>21609.929772</v>
      </c>
      <c r="Q1071" s="66">
        <f>SQRT(AVERAGE((Table22[[#This Row],[Net Sales (after discount) (in USD)]]-AVERAGE(Table22[Net Sales (after discount) (in USD)]))^2))</f>
        <v>14901.430791764538</v>
      </c>
      <c r="R1071" s="18" t="b">
        <v>0</v>
      </c>
      <c r="S1071" s="40">
        <v>21.56</v>
      </c>
      <c r="T1071" s="18" t="b">
        <v>1</v>
      </c>
      <c r="U1071" s="25">
        <v>45494</v>
      </c>
      <c r="V1071" s="63" t="str">
        <f>IF(MONTH(Table22[[#This Row],[Sales Date]])&lt;=3,"Q1",IF(MONTH(Table22[[#This Row],[Sales Date]])&lt;=6,"Q2",IF(MONTH(Table22[[#This Row],[Sales Date]])&lt;=9,"Q3","Q4")))</f>
        <v>Q3</v>
      </c>
      <c r="W1071" s="64">
        <f>YEAR(Table22[[#This Row],[Sales Date]])</f>
        <v>2024</v>
      </c>
      <c r="X1071" s="23">
        <v>23</v>
      </c>
      <c r="Y1071" s="18" t="s">
        <v>41</v>
      </c>
      <c r="Z1071" s="18" t="s">
        <v>56</v>
      </c>
      <c r="AA1071" s="19" t="s">
        <v>36</v>
      </c>
    </row>
    <row r="1072" spans="1:27" x14ac:dyDescent="0.25">
      <c r="A1072" s="17" t="s">
        <v>1025</v>
      </c>
      <c r="B1072" s="18" t="s">
        <v>62</v>
      </c>
      <c r="C1072" s="63" t="str" cm="1">
        <f t="array" ref="C1072">_xlfn.SWITCH(Table22[[#This Row],[Country]],"USA","North America","Canada","North America","Brazil","South America","China","Asia","Japan","Asia","India","Asia","France","Europe","Germany","Europe","UK","Europe","Australia","Oceania","South America")</f>
        <v>Oceania</v>
      </c>
      <c r="D1072" s="18" t="s">
        <v>21</v>
      </c>
      <c r="E1072" s="18" t="s">
        <v>39</v>
      </c>
      <c r="F1072" s="18" t="s">
        <v>52</v>
      </c>
      <c r="G1072" s="18" t="s">
        <v>40</v>
      </c>
      <c r="H1072" s="64">
        <f>LEN(TRIM(Table22[[#This Row],[Country]]))</f>
        <v>9</v>
      </c>
      <c r="I1072" s="64">
        <f>LEN(TRIM(Table22[[#This Row],[Continent]]))</f>
        <v>7</v>
      </c>
      <c r="J1072" s="64">
        <f>LEN(TRIM(Table22[[#This Row],[Product]]))</f>
        <v>10</v>
      </c>
      <c r="K1072" s="64">
        <f>LEN(TRIM(Table22[[#This Row],[Sales Team]]))</f>
        <v>10</v>
      </c>
      <c r="L1072" s="23">
        <v>19</v>
      </c>
      <c r="M1072" s="65" t="str" cm="1">
        <f t="array" ref="M1072">_xlfn.IFS(Table22[[#This Row],[Units Sold]]&lt;40,"Critical",Table22[[#This Row],[Units Sold]]&lt;=50,"Poor",Table22[[#This Row],[Units Sold]]&lt;=60,"Low",Table22[[#This Row],[Units Sold]]&lt;=80,"Average",Table22[[#This Row],[Units Sold]]&lt;=90,"High",Table22[[#This Row],[Units Sold]]&lt;=95,"Excellent",Table22[[#This Row],[Units Sold]]&gt;95,"Outstanding")</f>
        <v>Critical</v>
      </c>
      <c r="N1072" s="29">
        <v>1448.7</v>
      </c>
      <c r="O1072" s="29">
        <v>27525.3</v>
      </c>
      <c r="P1072" s="43">
        <f>IF(Table22[[#This Row],[Discount Applied]],Table22[[#This Row],[Total Sales (in USD)]]*(1-Table22[[#This Row],[Discount Percentage (%)]]/100),Table22[[#This Row],[Total Sales (in USD)]])</f>
        <v>27525.3</v>
      </c>
      <c r="Q1072" s="66">
        <f>SQRT(AVERAGE((Table22[[#This Row],[Net Sales (after discount) (in USD)]]-AVERAGE(Table22[Net Sales (after discount) (in USD)]))^2))</f>
        <v>8986.0605637645385</v>
      </c>
      <c r="R1072" s="18" t="b">
        <v>0</v>
      </c>
      <c r="S1072" s="40">
        <v>28.71</v>
      </c>
      <c r="T1072" s="18" t="b">
        <v>0</v>
      </c>
      <c r="U1072" s="25">
        <v>45558</v>
      </c>
      <c r="V1072" s="63" t="str">
        <f>IF(MONTH(Table22[[#This Row],[Sales Date]])&lt;=3,"Q1",IF(MONTH(Table22[[#This Row],[Sales Date]])&lt;=6,"Q2",IF(MONTH(Table22[[#This Row],[Sales Date]])&lt;=9,"Q3","Q4")))</f>
        <v>Q3</v>
      </c>
      <c r="W1072" s="64">
        <f>YEAR(Table22[[#This Row],[Sales Date]])</f>
        <v>2024</v>
      </c>
      <c r="X1072" s="23">
        <v>66</v>
      </c>
      <c r="Y1072" s="18" t="s">
        <v>23</v>
      </c>
      <c r="Z1072" s="18" t="s">
        <v>30</v>
      </c>
      <c r="AA1072" s="19" t="s">
        <v>36</v>
      </c>
    </row>
    <row r="1073" spans="1:27" x14ac:dyDescent="0.25">
      <c r="A1073" s="17" t="s">
        <v>1113</v>
      </c>
      <c r="B1073" s="18" t="s">
        <v>72</v>
      </c>
      <c r="C1073" s="63" t="str" cm="1">
        <f t="array" ref="C1073">_xlfn.SWITCH(Table22[[#This Row],[Country]],"USA","North America","Canada","North America","Brazil","South America","China","Asia","Japan","Asia","India","Asia","France","Europe","Germany","Europe","UK","Europe","Australia","Oceania","South America")</f>
        <v>North America</v>
      </c>
      <c r="D1073" s="18" t="s">
        <v>28</v>
      </c>
      <c r="E1073" s="18" t="s">
        <v>39</v>
      </c>
      <c r="F1073" s="18" t="s">
        <v>34</v>
      </c>
      <c r="G1073" s="18" t="s">
        <v>29</v>
      </c>
      <c r="H1073" s="64">
        <f>LEN(TRIM(Table22[[#This Row],[Country]]))</f>
        <v>3</v>
      </c>
      <c r="I1073" s="64">
        <f>LEN(TRIM(Table22[[#This Row],[Continent]]))</f>
        <v>13</v>
      </c>
      <c r="J1073" s="64">
        <f>LEN(TRIM(Table22[[#This Row],[Product]]))</f>
        <v>10</v>
      </c>
      <c r="K1073" s="64">
        <f>LEN(TRIM(Table22[[#This Row],[Sales Team]]))</f>
        <v>10</v>
      </c>
      <c r="L1073" s="23">
        <v>93</v>
      </c>
      <c r="M1073" s="65" t="str" cm="1">
        <f t="array" ref="M1073">_xlfn.IFS(Table22[[#This Row],[Units Sold]]&lt;40,"Critical",Table22[[#This Row],[Units Sold]]&lt;=50,"Poor",Table22[[#This Row],[Units Sold]]&lt;=60,"Low",Table22[[#This Row],[Units Sold]]&lt;=80,"Average",Table22[[#This Row],[Units Sold]]&lt;=90,"High",Table22[[#This Row],[Units Sold]]&lt;=95,"Excellent",Table22[[#This Row],[Units Sold]]&gt;95,"Outstanding")</f>
        <v>Excellent</v>
      </c>
      <c r="N1073" s="29">
        <v>295.87</v>
      </c>
      <c r="O1073" s="29">
        <v>27515.91</v>
      </c>
      <c r="P1073" s="43">
        <f>IF(Table22[[#This Row],[Discount Applied]],Table22[[#This Row],[Total Sales (in USD)]]*(1-Table22[[#This Row],[Discount Percentage (%)]]/100),Table22[[#This Row],[Total Sales (in USD)]])</f>
        <v>20166.410438999999</v>
      </c>
      <c r="Q1073" s="66">
        <f>SQRT(AVERAGE((Table22[[#This Row],[Net Sales (after discount) (in USD)]]-AVERAGE(Table22[Net Sales (after discount) (in USD)]))^2))</f>
        <v>16344.950124764538</v>
      </c>
      <c r="R1073" s="18" t="b">
        <v>0</v>
      </c>
      <c r="S1073" s="40">
        <v>26.71</v>
      </c>
      <c r="T1073" s="18" t="b">
        <v>1</v>
      </c>
      <c r="U1073" s="25">
        <v>45439</v>
      </c>
      <c r="V1073" s="63" t="str">
        <f>IF(MONTH(Table22[[#This Row],[Sales Date]])&lt;=3,"Q1",IF(MONTH(Table22[[#This Row],[Sales Date]])&lt;=6,"Q2",IF(MONTH(Table22[[#This Row],[Sales Date]])&lt;=9,"Q3","Q4")))</f>
        <v>Q2</v>
      </c>
      <c r="W1073" s="64">
        <f>YEAR(Table22[[#This Row],[Sales Date]])</f>
        <v>2024</v>
      </c>
      <c r="X1073" s="23">
        <v>46</v>
      </c>
      <c r="Y1073" s="18" t="s">
        <v>49</v>
      </c>
      <c r="Z1073" s="18" t="s">
        <v>24</v>
      </c>
      <c r="AA1073" s="19" t="s">
        <v>36</v>
      </c>
    </row>
    <row r="1074" spans="1:27" x14ac:dyDescent="0.25">
      <c r="A1074" s="17" t="s">
        <v>2007</v>
      </c>
      <c r="B1074" s="18" t="s">
        <v>46</v>
      </c>
      <c r="C1074" s="63" t="str" cm="1">
        <f t="array" ref="C1074">_xlfn.SWITCH(Table22[[#This Row],[Country]],"USA","North America","Canada","North America","Brazil","South America","China","Asia","Japan","Asia","India","Asia","France","Europe","Germany","Europe","UK","Europe","Australia","Oceania","South America")</f>
        <v>South America</v>
      </c>
      <c r="D1074" s="18" t="s">
        <v>44</v>
      </c>
      <c r="E1074" s="18" t="s">
        <v>39</v>
      </c>
      <c r="F1074" s="18" t="s">
        <v>20</v>
      </c>
      <c r="G1074" s="18" t="s">
        <v>48</v>
      </c>
      <c r="H1074" s="64">
        <f>LEN(TRIM(Table22[[#This Row],[Country]]))</f>
        <v>6</v>
      </c>
      <c r="I1074" s="64">
        <f>LEN(TRIM(Table22[[#This Row],[Continent]]))</f>
        <v>13</v>
      </c>
      <c r="J1074" s="64">
        <f>LEN(TRIM(Table22[[#This Row],[Product]]))</f>
        <v>10</v>
      </c>
      <c r="K1074" s="64">
        <f>LEN(TRIM(Table22[[#This Row],[Sales Team]]))</f>
        <v>9</v>
      </c>
      <c r="L1074" s="23">
        <v>86</v>
      </c>
      <c r="M1074" s="65" t="str" cm="1">
        <f t="array" ref="M1074">_xlfn.IFS(Table22[[#This Row],[Units Sold]]&lt;40,"Critical",Table22[[#This Row],[Units Sold]]&lt;=50,"Poor",Table22[[#This Row],[Units Sold]]&lt;=60,"Low",Table22[[#This Row],[Units Sold]]&lt;=80,"Average",Table22[[#This Row],[Units Sold]]&lt;=90,"High",Table22[[#This Row],[Units Sold]]&lt;=95,"Excellent",Table22[[#This Row],[Units Sold]]&gt;95,"Outstanding")</f>
        <v>High</v>
      </c>
      <c r="N1074" s="29">
        <v>318.55</v>
      </c>
      <c r="O1074" s="29">
        <v>27395.3</v>
      </c>
      <c r="P1074" s="43">
        <f>IF(Table22[[#This Row],[Discount Applied]],Table22[[#This Row],[Total Sales (in USD)]]*(1-Table22[[#This Row],[Discount Percentage (%)]]/100),Table22[[#This Row],[Total Sales (in USD)]])</f>
        <v>27395.3</v>
      </c>
      <c r="Q1074" s="66">
        <f>SQRT(AVERAGE((Table22[[#This Row],[Net Sales (after discount) (in USD)]]-AVERAGE(Table22[Net Sales (after discount) (in USD)]))^2))</f>
        <v>9116.0605637645385</v>
      </c>
      <c r="R1074" s="18" t="b">
        <v>1</v>
      </c>
      <c r="S1074" s="40">
        <v>25.55</v>
      </c>
      <c r="T1074" s="18" t="b">
        <v>0</v>
      </c>
      <c r="U1074" s="25">
        <v>45432</v>
      </c>
      <c r="V1074" s="63" t="str">
        <f>IF(MONTH(Table22[[#This Row],[Sales Date]])&lt;=3,"Q1",IF(MONTH(Table22[[#This Row],[Sales Date]])&lt;=6,"Q2",IF(MONTH(Table22[[#This Row],[Sales Date]])&lt;=9,"Q3","Q4")))</f>
        <v>Q2</v>
      </c>
      <c r="W1074" s="64">
        <f>YEAR(Table22[[#This Row],[Sales Date]])</f>
        <v>2024</v>
      </c>
      <c r="X1074" s="23">
        <v>65</v>
      </c>
      <c r="Y1074" s="18" t="s">
        <v>41</v>
      </c>
      <c r="Z1074" s="18" t="s">
        <v>24</v>
      </c>
      <c r="AA1074" s="19" t="s">
        <v>25</v>
      </c>
    </row>
    <row r="1075" spans="1:27" x14ac:dyDescent="0.25">
      <c r="A1075" s="17" t="s">
        <v>1106</v>
      </c>
      <c r="B1075" s="18" t="s">
        <v>76</v>
      </c>
      <c r="C1075" s="63" t="str" cm="1">
        <f t="array" ref="C1075">_xlfn.SWITCH(Table22[[#This Row],[Country]],"USA","North America","Canada","North America","Brazil","South America","China","Asia","Japan","Asia","India","Asia","France","Europe","Germany","Europe","UK","Europe","Australia","Oceania","South America")</f>
        <v>Asia</v>
      </c>
      <c r="D1075" s="18" t="s">
        <v>35</v>
      </c>
      <c r="E1075" s="18" t="s">
        <v>39</v>
      </c>
      <c r="F1075" s="18" t="s">
        <v>64</v>
      </c>
      <c r="G1075" s="18" t="s">
        <v>40</v>
      </c>
      <c r="H1075" s="64">
        <f>LEN(TRIM(Table22[[#This Row],[Country]]))</f>
        <v>5</v>
      </c>
      <c r="I1075" s="64">
        <f>LEN(TRIM(Table22[[#This Row],[Continent]]))</f>
        <v>4</v>
      </c>
      <c r="J1075" s="64">
        <f>LEN(TRIM(Table22[[#This Row],[Product]]))</f>
        <v>10</v>
      </c>
      <c r="K1075" s="64">
        <f>LEN(TRIM(Table22[[#This Row],[Sales Team]]))</f>
        <v>10</v>
      </c>
      <c r="L1075" s="23">
        <v>73</v>
      </c>
      <c r="M1075" s="65" t="str" cm="1">
        <f t="array" ref="M1075">_xlfn.IFS(Table22[[#This Row],[Units Sold]]&lt;40,"Critical",Table22[[#This Row],[Units Sold]]&lt;=50,"Poor",Table22[[#This Row],[Units Sold]]&lt;=60,"Low",Table22[[#This Row],[Units Sold]]&lt;=80,"Average",Table22[[#This Row],[Units Sold]]&lt;=90,"High",Table22[[#This Row],[Units Sold]]&lt;=95,"Excellent",Table22[[#This Row],[Units Sold]]&gt;95,"Outstanding")</f>
        <v>Average</v>
      </c>
      <c r="N1075" s="29">
        <v>375.17</v>
      </c>
      <c r="O1075" s="29">
        <v>27387.41</v>
      </c>
      <c r="P1075" s="43">
        <f>IF(Table22[[#This Row],[Discount Applied]],Table22[[#This Row],[Total Sales (in USD)]]*(1-Table22[[#This Row],[Discount Percentage (%)]]/100),Table22[[#This Row],[Total Sales (in USD)]])</f>
        <v>27387.41</v>
      </c>
      <c r="Q1075" s="66">
        <f>SQRT(AVERAGE((Table22[[#This Row],[Net Sales (after discount) (in USD)]]-AVERAGE(Table22[Net Sales (after discount) (in USD)]))^2))</f>
        <v>9123.9505637645379</v>
      </c>
      <c r="R1075" s="18" t="b">
        <v>1</v>
      </c>
      <c r="S1075" s="40">
        <v>2.21</v>
      </c>
      <c r="T1075" s="18" t="b">
        <v>0</v>
      </c>
      <c r="U1075" s="25">
        <v>45213</v>
      </c>
      <c r="V1075" s="63" t="str">
        <f>IF(MONTH(Table22[[#This Row],[Sales Date]])&lt;=3,"Q1",IF(MONTH(Table22[[#This Row],[Sales Date]])&lt;=6,"Q2",IF(MONTH(Table22[[#This Row],[Sales Date]])&lt;=9,"Q3","Q4")))</f>
        <v>Q4</v>
      </c>
      <c r="W1075" s="64">
        <f>YEAR(Table22[[#This Row],[Sales Date]])</f>
        <v>2023</v>
      </c>
      <c r="X1075" s="23">
        <v>62</v>
      </c>
      <c r="Y1075" s="18" t="s">
        <v>41</v>
      </c>
      <c r="Z1075" s="18" t="s">
        <v>56</v>
      </c>
      <c r="AA1075" s="19" t="s">
        <v>25</v>
      </c>
    </row>
    <row r="1076" spans="1:27" x14ac:dyDescent="0.25">
      <c r="A1076" s="17" t="s">
        <v>546</v>
      </c>
      <c r="B1076" s="18" t="s">
        <v>38</v>
      </c>
      <c r="C1076" s="63" t="str" cm="1">
        <f t="array" ref="C1076">_xlfn.SWITCH(Table22[[#This Row],[Country]],"USA","North America","Canada","North America","Brazil","South America","China","Asia","Japan","Asia","India","Asia","France","Europe","Germany","Europe","UK","Europe","Australia","Oceania","South America")</f>
        <v>Europe</v>
      </c>
      <c r="D1076" s="18" t="s">
        <v>21</v>
      </c>
      <c r="E1076" s="18" t="s">
        <v>39</v>
      </c>
      <c r="F1076" s="18" t="s">
        <v>64</v>
      </c>
      <c r="G1076" s="18" t="s">
        <v>29</v>
      </c>
      <c r="H1076" s="64">
        <f>LEN(TRIM(Table22[[#This Row],[Country]]))</f>
        <v>6</v>
      </c>
      <c r="I1076" s="64">
        <f>LEN(TRIM(Table22[[#This Row],[Continent]]))</f>
        <v>6</v>
      </c>
      <c r="J1076" s="64">
        <f>LEN(TRIM(Table22[[#This Row],[Product]]))</f>
        <v>10</v>
      </c>
      <c r="K1076" s="64">
        <f>LEN(TRIM(Table22[[#This Row],[Sales Team]]))</f>
        <v>10</v>
      </c>
      <c r="L1076" s="23">
        <v>28</v>
      </c>
      <c r="M1076" s="65" t="str" cm="1">
        <f t="array" ref="M1076">_xlfn.IFS(Table22[[#This Row],[Units Sold]]&lt;40,"Critical",Table22[[#This Row],[Units Sold]]&lt;=50,"Poor",Table22[[#This Row],[Units Sold]]&lt;=60,"Low",Table22[[#This Row],[Units Sold]]&lt;=80,"Average",Table22[[#This Row],[Units Sold]]&lt;=90,"High",Table22[[#This Row],[Units Sold]]&lt;=95,"Excellent",Table22[[#This Row],[Units Sold]]&gt;95,"Outstanding")</f>
        <v>Critical</v>
      </c>
      <c r="N1076" s="29">
        <v>977.94</v>
      </c>
      <c r="O1076" s="29">
        <v>27382.32</v>
      </c>
      <c r="P1076" s="43">
        <f>IF(Table22[[#This Row],[Discount Applied]],Table22[[#This Row],[Total Sales (in USD)]]*(1-Table22[[#This Row],[Discount Percentage (%)]]/100),Table22[[#This Row],[Total Sales (in USD)]])</f>
        <v>27382.32</v>
      </c>
      <c r="Q1076" s="66">
        <f>SQRT(AVERAGE((Table22[[#This Row],[Net Sales (after discount) (in USD)]]-AVERAGE(Table22[Net Sales (after discount) (in USD)]))^2))</f>
        <v>9129.0405637645381</v>
      </c>
      <c r="R1076" s="18" t="b">
        <v>1</v>
      </c>
      <c r="S1076" s="40">
        <v>1.23</v>
      </c>
      <c r="T1076" s="18" t="b">
        <v>0</v>
      </c>
      <c r="U1076" s="25">
        <v>45362</v>
      </c>
      <c r="V1076" s="63" t="str">
        <f>IF(MONTH(Table22[[#This Row],[Sales Date]])&lt;=3,"Q1",IF(MONTH(Table22[[#This Row],[Sales Date]])&lt;=6,"Q2",IF(MONTH(Table22[[#This Row],[Sales Date]])&lt;=9,"Q3","Q4")))</f>
        <v>Q1</v>
      </c>
      <c r="W1076" s="64">
        <f>YEAR(Table22[[#This Row],[Sales Date]])</f>
        <v>2024</v>
      </c>
      <c r="X1076" s="23">
        <v>37</v>
      </c>
      <c r="Y1076" s="18" t="s">
        <v>41</v>
      </c>
      <c r="Z1076" s="18" t="s">
        <v>30</v>
      </c>
      <c r="AA1076" s="19" t="s">
        <v>25</v>
      </c>
    </row>
    <row r="1077" spans="1:27" x14ac:dyDescent="0.25">
      <c r="A1077" s="17" t="s">
        <v>918</v>
      </c>
      <c r="B1077" s="18" t="s">
        <v>46</v>
      </c>
      <c r="C1077" s="63" t="str" cm="1">
        <f t="array" ref="C1077">_xlfn.SWITCH(Table22[[#This Row],[Country]],"USA","North America","Canada","North America","Brazil","South America","China","Asia","Japan","Asia","India","Asia","France","Europe","Germany","Europe","UK","Europe","Australia","Oceania","South America")</f>
        <v>South America</v>
      </c>
      <c r="D1077" s="18" t="s">
        <v>35</v>
      </c>
      <c r="E1077" s="18" t="s">
        <v>19</v>
      </c>
      <c r="F1077" s="18" t="s">
        <v>52</v>
      </c>
      <c r="G1077" s="18" t="s">
        <v>48</v>
      </c>
      <c r="H1077" s="64">
        <f>LEN(TRIM(Table22[[#This Row],[Country]]))</f>
        <v>6</v>
      </c>
      <c r="I1077" s="64">
        <f>LEN(TRIM(Table22[[#This Row],[Continent]]))</f>
        <v>13</v>
      </c>
      <c r="J1077" s="64">
        <f>LEN(TRIM(Table22[[#This Row],[Product]]))</f>
        <v>6</v>
      </c>
      <c r="K1077" s="64">
        <f>LEN(TRIM(Table22[[#This Row],[Sales Team]]))</f>
        <v>9</v>
      </c>
      <c r="L1077" s="23">
        <v>44</v>
      </c>
      <c r="M1077" s="65" t="str" cm="1">
        <f t="array" ref="M1077">_xlfn.IFS(Table22[[#This Row],[Units Sold]]&lt;40,"Critical",Table22[[#This Row],[Units Sold]]&lt;=50,"Poor",Table22[[#This Row],[Units Sold]]&lt;=60,"Low",Table22[[#This Row],[Units Sold]]&lt;=80,"Average",Table22[[#This Row],[Units Sold]]&lt;=90,"High",Table22[[#This Row],[Units Sold]]&lt;=95,"Excellent",Table22[[#This Row],[Units Sold]]&gt;95,"Outstanding")</f>
        <v>Poor</v>
      </c>
      <c r="N1077" s="29">
        <v>622.26</v>
      </c>
      <c r="O1077" s="29">
        <v>27379.439999999999</v>
      </c>
      <c r="P1077" s="43">
        <f>IF(Table22[[#This Row],[Discount Applied]],Table22[[#This Row],[Total Sales (in USD)]]*(1-Table22[[#This Row],[Discount Percentage (%)]]/100),Table22[[#This Row],[Total Sales (in USD)]])</f>
        <v>27379.439999999999</v>
      </c>
      <c r="Q1077" s="66">
        <f>SQRT(AVERAGE((Table22[[#This Row],[Net Sales (after discount) (in USD)]]-AVERAGE(Table22[Net Sales (after discount) (in USD)]))^2))</f>
        <v>9131.9205637645391</v>
      </c>
      <c r="R1077" s="18" t="b">
        <v>1</v>
      </c>
      <c r="S1077" s="40">
        <v>5.34</v>
      </c>
      <c r="T1077" s="18" t="b">
        <v>0</v>
      </c>
      <c r="U1077" s="25">
        <v>44929</v>
      </c>
      <c r="V1077" s="63" t="str">
        <f>IF(MONTH(Table22[[#This Row],[Sales Date]])&lt;=3,"Q1",IF(MONTH(Table22[[#This Row],[Sales Date]])&lt;=6,"Q2",IF(MONTH(Table22[[#This Row],[Sales Date]])&lt;=9,"Q3","Q4")))</f>
        <v>Q1</v>
      </c>
      <c r="W1077" s="64">
        <f>YEAR(Table22[[#This Row],[Sales Date]])</f>
        <v>2023</v>
      </c>
      <c r="X1077" s="23">
        <v>59</v>
      </c>
      <c r="Y1077" s="18" t="s">
        <v>49</v>
      </c>
      <c r="Z1077" s="18" t="s">
        <v>42</v>
      </c>
      <c r="AA1077" s="19" t="s">
        <v>36</v>
      </c>
    </row>
    <row r="1078" spans="1:27" x14ac:dyDescent="0.25">
      <c r="A1078" s="17" t="s">
        <v>1384</v>
      </c>
      <c r="B1078" s="18" t="s">
        <v>72</v>
      </c>
      <c r="C1078" s="63" t="str" cm="1">
        <f t="array" ref="C1078">_xlfn.SWITCH(Table22[[#This Row],[Country]],"USA","North America","Canada","North America","Brazil","South America","China","Asia","Japan","Asia","India","Asia","France","Europe","Germany","Europe","UK","Europe","Australia","Oceania","South America")</f>
        <v>North America</v>
      </c>
      <c r="D1078" s="18" t="s">
        <v>44</v>
      </c>
      <c r="E1078" s="18" t="s">
        <v>39</v>
      </c>
      <c r="F1078" s="18" t="s">
        <v>47</v>
      </c>
      <c r="G1078" s="18" t="s">
        <v>22</v>
      </c>
      <c r="H1078" s="64">
        <f>LEN(TRIM(Table22[[#This Row],[Country]]))</f>
        <v>3</v>
      </c>
      <c r="I1078" s="64">
        <f>LEN(TRIM(Table22[[#This Row],[Continent]]))</f>
        <v>13</v>
      </c>
      <c r="J1078" s="64">
        <f>LEN(TRIM(Table22[[#This Row],[Product]]))</f>
        <v>10</v>
      </c>
      <c r="K1078" s="64">
        <f>LEN(TRIM(Table22[[#This Row],[Sales Team]]))</f>
        <v>10</v>
      </c>
      <c r="L1078" s="23">
        <v>23</v>
      </c>
      <c r="M1078" s="65" t="str" cm="1">
        <f t="array" ref="M1078">_xlfn.IFS(Table22[[#This Row],[Units Sold]]&lt;40,"Critical",Table22[[#This Row],[Units Sold]]&lt;=50,"Poor",Table22[[#This Row],[Units Sold]]&lt;=60,"Low",Table22[[#This Row],[Units Sold]]&lt;=80,"Average",Table22[[#This Row],[Units Sold]]&lt;=90,"High",Table22[[#This Row],[Units Sold]]&lt;=95,"Excellent",Table22[[#This Row],[Units Sold]]&gt;95,"Outstanding")</f>
        <v>Critical</v>
      </c>
      <c r="N1078" s="29">
        <v>1187.53</v>
      </c>
      <c r="O1078" s="29">
        <v>27313.19</v>
      </c>
      <c r="P1078" s="43">
        <f>IF(Table22[[#This Row],[Discount Applied]],Table22[[#This Row],[Total Sales (in USD)]]*(1-Table22[[#This Row],[Discount Percentage (%)]]/100),Table22[[#This Row],[Total Sales (in USD)]])</f>
        <v>20138.014987000002</v>
      </c>
      <c r="Q1078" s="66">
        <f>SQRT(AVERAGE((Table22[[#This Row],[Net Sales (after discount) (in USD)]]-AVERAGE(Table22[Net Sales (after discount) (in USD)]))^2))</f>
        <v>16373.345576764536</v>
      </c>
      <c r="R1078" s="18" t="b">
        <v>0</v>
      </c>
      <c r="S1078" s="40">
        <v>26.27</v>
      </c>
      <c r="T1078" s="18" t="b">
        <v>1</v>
      </c>
      <c r="U1078" s="25">
        <v>45355</v>
      </c>
      <c r="V1078" s="63" t="str">
        <f>IF(MONTH(Table22[[#This Row],[Sales Date]])&lt;=3,"Q1",IF(MONTH(Table22[[#This Row],[Sales Date]])&lt;=6,"Q2",IF(MONTH(Table22[[#This Row],[Sales Date]])&lt;=9,"Q3","Q4")))</f>
        <v>Q1</v>
      </c>
      <c r="W1078" s="64">
        <f>YEAR(Table22[[#This Row],[Sales Date]])</f>
        <v>2024</v>
      </c>
      <c r="X1078" s="23">
        <v>50</v>
      </c>
      <c r="Y1078" s="18" t="s">
        <v>23</v>
      </c>
      <c r="Z1078" s="18" t="s">
        <v>42</v>
      </c>
      <c r="AA1078" s="19" t="s">
        <v>25</v>
      </c>
    </row>
    <row r="1079" spans="1:27" x14ac:dyDescent="0.25">
      <c r="A1079" s="17" t="s">
        <v>1365</v>
      </c>
      <c r="B1079" s="18" t="s">
        <v>66</v>
      </c>
      <c r="C1079" s="63" t="str" cm="1">
        <f t="array" ref="C1079">_xlfn.SWITCH(Table22[[#This Row],[Country]],"USA","North America","Canada","North America","Brazil","South America","China","Asia","Japan","Asia","India","Asia","France","Europe","Germany","Europe","UK","Europe","Australia","Oceania","South America")</f>
        <v>North America</v>
      </c>
      <c r="D1079" s="18" t="s">
        <v>21</v>
      </c>
      <c r="E1079" s="18" t="s">
        <v>33</v>
      </c>
      <c r="F1079" s="18" t="s">
        <v>34</v>
      </c>
      <c r="G1079" s="18" t="s">
        <v>29</v>
      </c>
      <c r="H1079" s="64">
        <f>LEN(TRIM(Table22[[#This Row],[Country]]))</f>
        <v>6</v>
      </c>
      <c r="I1079" s="64">
        <f>LEN(TRIM(Table22[[#This Row],[Continent]]))</f>
        <v>13</v>
      </c>
      <c r="J1079" s="64">
        <f>LEN(TRIM(Table22[[#This Row],[Product]]))</f>
        <v>10</v>
      </c>
      <c r="K1079" s="64">
        <f>LEN(TRIM(Table22[[#This Row],[Sales Team]]))</f>
        <v>10</v>
      </c>
      <c r="L1079" s="23">
        <v>33</v>
      </c>
      <c r="M1079" s="65" t="str" cm="1">
        <f t="array" ref="M1079">_xlfn.IFS(Table22[[#This Row],[Units Sold]]&lt;40,"Critical",Table22[[#This Row],[Units Sold]]&lt;=50,"Poor",Table22[[#This Row],[Units Sold]]&lt;=60,"Low",Table22[[#This Row],[Units Sold]]&lt;=80,"Average",Table22[[#This Row],[Units Sold]]&lt;=90,"High",Table22[[#This Row],[Units Sold]]&lt;=95,"Excellent",Table22[[#This Row],[Units Sold]]&gt;95,"Outstanding")</f>
        <v>Critical</v>
      </c>
      <c r="N1079" s="29">
        <v>825.92</v>
      </c>
      <c r="O1079" s="29">
        <v>27255.360000000001</v>
      </c>
      <c r="P1079" s="43">
        <f>IF(Table22[[#This Row],[Discount Applied]],Table22[[#This Row],[Total Sales (in USD)]]*(1-Table22[[#This Row],[Discount Percentage (%)]]/100),Table22[[#This Row],[Total Sales (in USD)]])</f>
        <v>27255.360000000001</v>
      </c>
      <c r="Q1079" s="66">
        <f>SQRT(AVERAGE((Table22[[#This Row],[Net Sales (after discount) (in USD)]]-AVERAGE(Table22[Net Sales (after discount) (in USD)]))^2))</f>
        <v>9256.0005637645372</v>
      </c>
      <c r="R1079" s="18" t="b">
        <v>1</v>
      </c>
      <c r="S1079" s="40">
        <v>17.95</v>
      </c>
      <c r="T1079" s="18" t="b">
        <v>0</v>
      </c>
      <c r="U1079" s="25">
        <v>45223</v>
      </c>
      <c r="V1079" s="63" t="str">
        <f>IF(MONTH(Table22[[#This Row],[Sales Date]])&lt;=3,"Q1",IF(MONTH(Table22[[#This Row],[Sales Date]])&lt;=6,"Q2",IF(MONTH(Table22[[#This Row],[Sales Date]])&lt;=9,"Q3","Q4")))</f>
        <v>Q4</v>
      </c>
      <c r="W1079" s="64">
        <f>YEAR(Table22[[#This Row],[Sales Date]])</f>
        <v>2023</v>
      </c>
      <c r="X1079" s="23">
        <v>58</v>
      </c>
      <c r="Y1079" s="18" t="s">
        <v>49</v>
      </c>
      <c r="Z1079" s="18" t="s">
        <v>42</v>
      </c>
      <c r="AA1079" s="19" t="s">
        <v>25</v>
      </c>
    </row>
    <row r="1080" spans="1:27" x14ac:dyDescent="0.25">
      <c r="A1080" s="17" t="s">
        <v>1700</v>
      </c>
      <c r="B1080" s="18" t="s">
        <v>62</v>
      </c>
      <c r="C1080" s="63" t="str" cm="1">
        <f t="array" ref="C1080">_xlfn.SWITCH(Table22[[#This Row],[Country]],"USA","North America","Canada","North America","Brazil","South America","China","Asia","Japan","Asia","India","Asia","France","Europe","Germany","Europe","UK","Europe","Australia","Oceania","South America")</f>
        <v>Oceania</v>
      </c>
      <c r="D1080" s="18" t="s">
        <v>35</v>
      </c>
      <c r="E1080" s="18" t="s">
        <v>39</v>
      </c>
      <c r="F1080" s="18" t="s">
        <v>52</v>
      </c>
      <c r="G1080" s="18" t="s">
        <v>29</v>
      </c>
      <c r="H1080" s="64">
        <f>LEN(TRIM(Table22[[#This Row],[Country]]))</f>
        <v>9</v>
      </c>
      <c r="I1080" s="64">
        <f>LEN(TRIM(Table22[[#This Row],[Continent]]))</f>
        <v>7</v>
      </c>
      <c r="J1080" s="64">
        <f>LEN(TRIM(Table22[[#This Row],[Product]]))</f>
        <v>10</v>
      </c>
      <c r="K1080" s="64">
        <f>LEN(TRIM(Table22[[#This Row],[Sales Team]]))</f>
        <v>10</v>
      </c>
      <c r="L1080" s="23">
        <v>25</v>
      </c>
      <c r="M1080" s="65" t="str" cm="1">
        <f t="array" ref="M1080">_xlfn.IFS(Table22[[#This Row],[Units Sold]]&lt;40,"Critical",Table22[[#This Row],[Units Sold]]&lt;=50,"Poor",Table22[[#This Row],[Units Sold]]&lt;=60,"Low",Table22[[#This Row],[Units Sold]]&lt;=80,"Average",Table22[[#This Row],[Units Sold]]&lt;=90,"High",Table22[[#This Row],[Units Sold]]&lt;=95,"Excellent",Table22[[#This Row],[Units Sold]]&gt;95,"Outstanding")</f>
        <v>Critical</v>
      </c>
      <c r="N1080" s="29">
        <v>1087.57</v>
      </c>
      <c r="O1080" s="29">
        <v>27189.25</v>
      </c>
      <c r="P1080" s="43">
        <f>IF(Table22[[#This Row],[Discount Applied]],Table22[[#This Row],[Total Sales (in USD)]]*(1-Table22[[#This Row],[Discount Percentage (%)]]/100),Table22[[#This Row],[Total Sales (in USD)]])</f>
        <v>26400.761749999998</v>
      </c>
      <c r="Q1080" s="66">
        <f>SQRT(AVERAGE((Table22[[#This Row],[Net Sales (after discount) (in USD)]]-AVERAGE(Table22[Net Sales (after discount) (in USD)]))^2))</f>
        <v>10110.59881376454</v>
      </c>
      <c r="R1080" s="18" t="b">
        <v>1</v>
      </c>
      <c r="S1080" s="40">
        <v>2.9</v>
      </c>
      <c r="T1080" s="18" t="b">
        <v>1</v>
      </c>
      <c r="U1080" s="25">
        <v>45313</v>
      </c>
      <c r="V1080" s="63" t="str">
        <f>IF(MONTH(Table22[[#This Row],[Sales Date]])&lt;=3,"Q1",IF(MONTH(Table22[[#This Row],[Sales Date]])&lt;=6,"Q2",IF(MONTH(Table22[[#This Row],[Sales Date]])&lt;=9,"Q3","Q4")))</f>
        <v>Q1</v>
      </c>
      <c r="W1080" s="64">
        <f>YEAR(Table22[[#This Row],[Sales Date]])</f>
        <v>2024</v>
      </c>
      <c r="X1080" s="23">
        <v>23</v>
      </c>
      <c r="Y1080" s="18" t="s">
        <v>23</v>
      </c>
      <c r="Z1080" s="18" t="s">
        <v>42</v>
      </c>
      <c r="AA1080" s="19" t="s">
        <v>25</v>
      </c>
    </row>
    <row r="1081" spans="1:27" x14ac:dyDescent="0.25">
      <c r="A1081" s="17" t="s">
        <v>1041</v>
      </c>
      <c r="B1081" s="18" t="s">
        <v>46</v>
      </c>
      <c r="C1081" s="63" t="str" cm="1">
        <f t="array" ref="C1081">_xlfn.SWITCH(Table22[[#This Row],[Country]],"USA","North America","Canada","North America","Brazil","South America","China","Asia","Japan","Asia","India","Asia","France","Europe","Germany","Europe","UK","Europe","Australia","Oceania","South America")</f>
        <v>South America</v>
      </c>
      <c r="D1081" s="18" t="s">
        <v>35</v>
      </c>
      <c r="E1081" s="18" t="s">
        <v>39</v>
      </c>
      <c r="F1081" s="18" t="s">
        <v>20</v>
      </c>
      <c r="G1081" s="18" t="s">
        <v>48</v>
      </c>
      <c r="H1081" s="64">
        <f>LEN(TRIM(Table22[[#This Row],[Country]]))</f>
        <v>6</v>
      </c>
      <c r="I1081" s="64">
        <f>LEN(TRIM(Table22[[#This Row],[Continent]]))</f>
        <v>13</v>
      </c>
      <c r="J1081" s="64">
        <f>LEN(TRIM(Table22[[#This Row],[Product]]))</f>
        <v>10</v>
      </c>
      <c r="K1081" s="64">
        <f>LEN(TRIM(Table22[[#This Row],[Sales Team]]))</f>
        <v>9</v>
      </c>
      <c r="L1081" s="23">
        <v>74</v>
      </c>
      <c r="M1081" s="65" t="str" cm="1">
        <f t="array" ref="M1081">_xlfn.IFS(Table22[[#This Row],[Units Sold]]&lt;40,"Critical",Table22[[#This Row],[Units Sold]]&lt;=50,"Poor",Table22[[#This Row],[Units Sold]]&lt;=60,"Low",Table22[[#This Row],[Units Sold]]&lt;=80,"Average",Table22[[#This Row],[Units Sold]]&lt;=90,"High",Table22[[#This Row],[Units Sold]]&lt;=95,"Excellent",Table22[[#This Row],[Units Sold]]&gt;95,"Outstanding")</f>
        <v>Average</v>
      </c>
      <c r="N1081" s="29">
        <v>367.25</v>
      </c>
      <c r="O1081" s="29">
        <v>27176.5</v>
      </c>
      <c r="P1081" s="43">
        <f>IF(Table22[[#This Row],[Discount Applied]],Table22[[#This Row],[Total Sales (in USD)]]*(1-Table22[[#This Row],[Discount Percentage (%)]]/100),Table22[[#This Row],[Total Sales (in USD)]])</f>
        <v>27176.5</v>
      </c>
      <c r="Q1081" s="66">
        <f>SQRT(AVERAGE((Table22[[#This Row],[Net Sales (after discount) (in USD)]]-AVERAGE(Table22[Net Sales (after discount) (in USD)]))^2))</f>
        <v>9334.8605637645378</v>
      </c>
      <c r="R1081" s="18" t="b">
        <v>0</v>
      </c>
      <c r="S1081" s="40">
        <v>8.6300000000000008</v>
      </c>
      <c r="T1081" s="18" t="b">
        <v>0</v>
      </c>
      <c r="U1081" s="25">
        <v>45306</v>
      </c>
      <c r="V1081" s="63" t="str">
        <f>IF(MONTH(Table22[[#This Row],[Sales Date]])&lt;=3,"Q1",IF(MONTH(Table22[[#This Row],[Sales Date]])&lt;=6,"Q2",IF(MONTH(Table22[[#This Row],[Sales Date]])&lt;=9,"Q3","Q4")))</f>
        <v>Q1</v>
      </c>
      <c r="W1081" s="64">
        <f>YEAR(Table22[[#This Row],[Sales Date]])</f>
        <v>2024</v>
      </c>
      <c r="X1081" s="23">
        <v>46</v>
      </c>
      <c r="Y1081" s="18" t="s">
        <v>41</v>
      </c>
      <c r="Z1081" s="18" t="s">
        <v>24</v>
      </c>
      <c r="AA1081" s="19" t="s">
        <v>36</v>
      </c>
    </row>
    <row r="1082" spans="1:27" x14ac:dyDescent="0.25">
      <c r="A1082" s="17" t="s">
        <v>497</v>
      </c>
      <c r="B1082" s="18" t="s">
        <v>66</v>
      </c>
      <c r="C1082" s="63" t="str" cm="1">
        <f t="array" ref="C1082">_xlfn.SWITCH(Table22[[#This Row],[Country]],"USA","North America","Canada","North America","Brazil","South America","China","Asia","Japan","Asia","India","Asia","France","Europe","Germany","Europe","UK","Europe","Australia","Oceania","South America")</f>
        <v>North America</v>
      </c>
      <c r="D1082" s="18" t="s">
        <v>44</v>
      </c>
      <c r="E1082" s="18" t="s">
        <v>19</v>
      </c>
      <c r="F1082" s="18" t="s">
        <v>52</v>
      </c>
      <c r="G1082" s="18" t="s">
        <v>48</v>
      </c>
      <c r="H1082" s="64">
        <f>LEN(TRIM(Table22[[#This Row],[Country]]))</f>
        <v>6</v>
      </c>
      <c r="I1082" s="64">
        <f>LEN(TRIM(Table22[[#This Row],[Continent]]))</f>
        <v>13</v>
      </c>
      <c r="J1082" s="64">
        <f>LEN(TRIM(Table22[[#This Row],[Product]]))</f>
        <v>6</v>
      </c>
      <c r="K1082" s="64">
        <f>LEN(TRIM(Table22[[#This Row],[Sales Team]]))</f>
        <v>9</v>
      </c>
      <c r="L1082" s="23">
        <v>20</v>
      </c>
      <c r="M1082" s="65" t="str" cm="1">
        <f t="array" ref="M1082">_xlfn.IFS(Table22[[#This Row],[Units Sold]]&lt;40,"Critical",Table22[[#This Row],[Units Sold]]&lt;=50,"Poor",Table22[[#This Row],[Units Sold]]&lt;=60,"Low",Table22[[#This Row],[Units Sold]]&lt;=80,"Average",Table22[[#This Row],[Units Sold]]&lt;=90,"High",Table22[[#This Row],[Units Sold]]&lt;=95,"Excellent",Table22[[#This Row],[Units Sold]]&gt;95,"Outstanding")</f>
        <v>Critical</v>
      </c>
      <c r="N1082" s="29">
        <v>1357.18</v>
      </c>
      <c r="O1082" s="29">
        <v>27143.599999999999</v>
      </c>
      <c r="P1082" s="43">
        <f>IF(Table22[[#This Row],[Discount Applied]],Table22[[#This Row],[Total Sales (in USD)]]*(1-Table22[[#This Row],[Discount Percentage (%)]]/100),Table22[[#This Row],[Total Sales (in USD)]])</f>
        <v>19632.96588</v>
      </c>
      <c r="Q1082" s="66">
        <f>SQRT(AVERAGE((Table22[[#This Row],[Net Sales (after discount) (in USD)]]-AVERAGE(Table22[Net Sales (after discount) (in USD)]))^2))</f>
        <v>16878.394683764538</v>
      </c>
      <c r="R1082" s="18" t="b">
        <v>0</v>
      </c>
      <c r="S1082" s="40">
        <v>27.67</v>
      </c>
      <c r="T1082" s="18" t="b">
        <v>1</v>
      </c>
      <c r="U1082" s="25">
        <v>45376</v>
      </c>
      <c r="V1082" s="63" t="str">
        <f>IF(MONTH(Table22[[#This Row],[Sales Date]])&lt;=3,"Q1",IF(MONTH(Table22[[#This Row],[Sales Date]])&lt;=6,"Q2",IF(MONTH(Table22[[#This Row],[Sales Date]])&lt;=9,"Q3","Q4")))</f>
        <v>Q1</v>
      </c>
      <c r="W1082" s="64">
        <f>YEAR(Table22[[#This Row],[Sales Date]])</f>
        <v>2024</v>
      </c>
      <c r="X1082" s="23">
        <v>32</v>
      </c>
      <c r="Y1082" s="18" t="s">
        <v>49</v>
      </c>
      <c r="Z1082" s="18" t="s">
        <v>30</v>
      </c>
      <c r="AA1082" s="19" t="s">
        <v>25</v>
      </c>
    </row>
    <row r="1083" spans="1:27" x14ac:dyDescent="0.25">
      <c r="A1083" s="17" t="s">
        <v>1586</v>
      </c>
      <c r="B1083" s="18" t="s">
        <v>18</v>
      </c>
      <c r="C1083" s="63" t="str" cm="1">
        <f t="array" ref="C1083">_xlfn.SWITCH(Table22[[#This Row],[Country]],"USA","North America","Canada","North America","Brazil","South America","China","Asia","Japan","Asia","India","Asia","France","Europe","Germany","Europe","UK","Europe","Australia","Oceania","South America")</f>
        <v>Asia</v>
      </c>
      <c r="D1083" s="18" t="s">
        <v>28</v>
      </c>
      <c r="E1083" s="18" t="s">
        <v>33</v>
      </c>
      <c r="F1083" s="18" t="s">
        <v>20</v>
      </c>
      <c r="G1083" s="18" t="s">
        <v>29</v>
      </c>
      <c r="H1083" s="64">
        <f>LEN(TRIM(Table22[[#This Row],[Country]]))</f>
        <v>5</v>
      </c>
      <c r="I1083" s="64">
        <f>LEN(TRIM(Table22[[#This Row],[Continent]]))</f>
        <v>4</v>
      </c>
      <c r="J1083" s="64">
        <f>LEN(TRIM(Table22[[#This Row],[Product]]))</f>
        <v>10</v>
      </c>
      <c r="K1083" s="64">
        <f>LEN(TRIM(Table22[[#This Row],[Sales Team]]))</f>
        <v>10</v>
      </c>
      <c r="L1083" s="23">
        <v>71</v>
      </c>
      <c r="M1083" s="65" t="str" cm="1">
        <f t="array" ref="M1083">_xlfn.IFS(Table22[[#This Row],[Units Sold]]&lt;40,"Critical",Table22[[#This Row],[Units Sold]]&lt;=50,"Poor",Table22[[#This Row],[Units Sold]]&lt;=60,"Low",Table22[[#This Row],[Units Sold]]&lt;=80,"Average",Table22[[#This Row],[Units Sold]]&lt;=90,"High",Table22[[#This Row],[Units Sold]]&lt;=95,"Excellent",Table22[[#This Row],[Units Sold]]&gt;95,"Outstanding")</f>
        <v>Average</v>
      </c>
      <c r="N1083" s="29">
        <v>381.19</v>
      </c>
      <c r="O1083" s="29">
        <v>27064.49</v>
      </c>
      <c r="P1083" s="43">
        <f>IF(Table22[[#This Row],[Discount Applied]],Table22[[#This Row],[Total Sales (in USD)]]*(1-Table22[[#This Row],[Discount Percentage (%)]]/100),Table22[[#This Row],[Total Sales (in USD)]])</f>
        <v>27064.49</v>
      </c>
      <c r="Q1083" s="66">
        <f>SQRT(AVERAGE((Table22[[#This Row],[Net Sales (after discount) (in USD)]]-AVERAGE(Table22[Net Sales (after discount) (in USD)]))^2))</f>
        <v>9446.8705637645362</v>
      </c>
      <c r="R1083" s="18" t="b">
        <v>1</v>
      </c>
      <c r="S1083" s="40">
        <v>12.01</v>
      </c>
      <c r="T1083" s="18" t="b">
        <v>0</v>
      </c>
      <c r="U1083" s="25">
        <v>45278</v>
      </c>
      <c r="V1083" s="63" t="str">
        <f>IF(MONTH(Table22[[#This Row],[Sales Date]])&lt;=3,"Q1",IF(MONTH(Table22[[#This Row],[Sales Date]])&lt;=6,"Q2",IF(MONTH(Table22[[#This Row],[Sales Date]])&lt;=9,"Q3","Q4")))</f>
        <v>Q4</v>
      </c>
      <c r="W1083" s="64">
        <f>YEAR(Table22[[#This Row],[Sales Date]])</f>
        <v>2023</v>
      </c>
      <c r="X1083" s="23">
        <v>63</v>
      </c>
      <c r="Y1083" s="18" t="s">
        <v>41</v>
      </c>
      <c r="Z1083" s="18" t="s">
        <v>42</v>
      </c>
      <c r="AA1083" s="19" t="s">
        <v>25</v>
      </c>
    </row>
    <row r="1084" spans="1:27" x14ac:dyDescent="0.25">
      <c r="A1084" s="17" t="s">
        <v>948</v>
      </c>
      <c r="B1084" s="18" t="s">
        <v>76</v>
      </c>
      <c r="C1084" s="63" t="str" cm="1">
        <f t="array" ref="C1084">_xlfn.SWITCH(Table22[[#This Row],[Country]],"USA","North America","Canada","North America","Brazil","South America","China","Asia","Japan","Asia","India","Asia","France","Europe","Germany","Europe","UK","Europe","Australia","Oceania","South America")</f>
        <v>Asia</v>
      </c>
      <c r="D1084" s="18" t="s">
        <v>28</v>
      </c>
      <c r="E1084" s="18" t="s">
        <v>33</v>
      </c>
      <c r="F1084" s="18" t="s">
        <v>20</v>
      </c>
      <c r="G1084" s="18" t="s">
        <v>40</v>
      </c>
      <c r="H1084" s="64">
        <f>LEN(TRIM(Table22[[#This Row],[Country]]))</f>
        <v>5</v>
      </c>
      <c r="I1084" s="64">
        <f>LEN(TRIM(Table22[[#This Row],[Continent]]))</f>
        <v>4</v>
      </c>
      <c r="J1084" s="64">
        <f>LEN(TRIM(Table22[[#This Row],[Product]]))</f>
        <v>10</v>
      </c>
      <c r="K1084" s="64">
        <f>LEN(TRIM(Table22[[#This Row],[Sales Team]]))</f>
        <v>10</v>
      </c>
      <c r="L1084" s="23">
        <v>24</v>
      </c>
      <c r="M1084" s="65" t="str" cm="1">
        <f t="array" ref="M1084">_xlfn.IFS(Table22[[#This Row],[Units Sold]]&lt;40,"Critical",Table22[[#This Row],[Units Sold]]&lt;=50,"Poor",Table22[[#This Row],[Units Sold]]&lt;=60,"Low",Table22[[#This Row],[Units Sold]]&lt;=80,"Average",Table22[[#This Row],[Units Sold]]&lt;=90,"High",Table22[[#This Row],[Units Sold]]&lt;=95,"Excellent",Table22[[#This Row],[Units Sold]]&gt;95,"Outstanding")</f>
        <v>Critical</v>
      </c>
      <c r="N1084" s="29">
        <v>1126.95</v>
      </c>
      <c r="O1084" s="29">
        <v>27046.799999999999</v>
      </c>
      <c r="P1084" s="43">
        <f>IF(Table22[[#This Row],[Discount Applied]],Table22[[#This Row],[Total Sales (in USD)]]*(1-Table22[[#This Row],[Discount Percentage (%)]]/100),Table22[[#This Row],[Total Sales (in USD)]])</f>
        <v>27046.799999999999</v>
      </c>
      <c r="Q1084" s="66">
        <f>SQRT(AVERAGE((Table22[[#This Row],[Net Sales (after discount) (in USD)]]-AVERAGE(Table22[Net Sales (after discount) (in USD)]))^2))</f>
        <v>9464.5605637645385</v>
      </c>
      <c r="R1084" s="18" t="b">
        <v>0</v>
      </c>
      <c r="S1084" s="40">
        <v>7.38</v>
      </c>
      <c r="T1084" s="18" t="b">
        <v>0</v>
      </c>
      <c r="U1084" s="25">
        <v>45503</v>
      </c>
      <c r="V1084" s="63" t="str">
        <f>IF(MONTH(Table22[[#This Row],[Sales Date]])&lt;=3,"Q1",IF(MONTH(Table22[[#This Row],[Sales Date]])&lt;=6,"Q2",IF(MONTH(Table22[[#This Row],[Sales Date]])&lt;=9,"Q3","Q4")))</f>
        <v>Q3</v>
      </c>
      <c r="W1084" s="64">
        <f>YEAR(Table22[[#This Row],[Sales Date]])</f>
        <v>2024</v>
      </c>
      <c r="X1084" s="23">
        <v>47</v>
      </c>
      <c r="Y1084" s="18" t="s">
        <v>23</v>
      </c>
      <c r="Z1084" s="18" t="s">
        <v>42</v>
      </c>
      <c r="AA1084" s="19" t="s">
        <v>25</v>
      </c>
    </row>
    <row r="1085" spans="1:27" x14ac:dyDescent="0.25">
      <c r="A1085" s="17" t="s">
        <v>751</v>
      </c>
      <c r="B1085" s="18" t="s">
        <v>51</v>
      </c>
      <c r="C1085" s="63" t="str" cm="1">
        <f t="array" ref="C1085">_xlfn.SWITCH(Table22[[#This Row],[Country]],"USA","North America","Canada","North America","Brazil","South America","China","Asia","Japan","Asia","India","Asia","France","Europe","Germany","Europe","UK","Europe","Australia","Oceania","South America")</f>
        <v>Europe</v>
      </c>
      <c r="D1085" s="18" t="s">
        <v>44</v>
      </c>
      <c r="E1085" s="18" t="s">
        <v>39</v>
      </c>
      <c r="F1085" s="18" t="s">
        <v>52</v>
      </c>
      <c r="G1085" s="18" t="s">
        <v>48</v>
      </c>
      <c r="H1085" s="64">
        <f>LEN(TRIM(Table22[[#This Row],[Country]]))</f>
        <v>2</v>
      </c>
      <c r="I1085" s="64">
        <f>LEN(TRIM(Table22[[#This Row],[Continent]]))</f>
        <v>6</v>
      </c>
      <c r="J1085" s="64">
        <f>LEN(TRIM(Table22[[#This Row],[Product]]))</f>
        <v>10</v>
      </c>
      <c r="K1085" s="64">
        <f>LEN(TRIM(Table22[[#This Row],[Sales Team]]))</f>
        <v>9</v>
      </c>
      <c r="L1085" s="23">
        <v>36</v>
      </c>
      <c r="M1085" s="65" t="str" cm="1">
        <f t="array" ref="M1085">_xlfn.IFS(Table22[[#This Row],[Units Sold]]&lt;40,"Critical",Table22[[#This Row],[Units Sold]]&lt;=50,"Poor",Table22[[#This Row],[Units Sold]]&lt;=60,"Low",Table22[[#This Row],[Units Sold]]&lt;=80,"Average",Table22[[#This Row],[Units Sold]]&lt;=90,"High",Table22[[#This Row],[Units Sold]]&lt;=95,"Excellent",Table22[[#This Row],[Units Sold]]&gt;95,"Outstanding")</f>
        <v>Critical</v>
      </c>
      <c r="N1085" s="29">
        <v>750.92</v>
      </c>
      <c r="O1085" s="29">
        <v>27033.119999999999</v>
      </c>
      <c r="P1085" s="43">
        <f>IF(Table22[[#This Row],[Discount Applied]],Table22[[#This Row],[Total Sales (in USD)]]*(1-Table22[[#This Row],[Discount Percentage (%)]]/100),Table22[[#This Row],[Total Sales (in USD)]])</f>
        <v>27033.119999999999</v>
      </c>
      <c r="Q1085" s="66">
        <f>SQRT(AVERAGE((Table22[[#This Row],[Net Sales (after discount) (in USD)]]-AVERAGE(Table22[Net Sales (after discount) (in USD)]))^2))</f>
        <v>9478.2405637645388</v>
      </c>
      <c r="R1085" s="18" t="b">
        <v>1</v>
      </c>
      <c r="S1085" s="40">
        <v>7.6</v>
      </c>
      <c r="T1085" s="18" t="b">
        <v>0</v>
      </c>
      <c r="U1085" s="25">
        <v>45404</v>
      </c>
      <c r="V1085" s="63" t="str">
        <f>IF(MONTH(Table22[[#This Row],[Sales Date]])&lt;=3,"Q1",IF(MONTH(Table22[[#This Row],[Sales Date]])&lt;=6,"Q2",IF(MONTH(Table22[[#This Row],[Sales Date]])&lt;=9,"Q3","Q4")))</f>
        <v>Q2</v>
      </c>
      <c r="W1085" s="64">
        <f>YEAR(Table22[[#This Row],[Sales Date]])</f>
        <v>2024</v>
      </c>
      <c r="X1085" s="23">
        <v>55</v>
      </c>
      <c r="Y1085" s="18" t="s">
        <v>49</v>
      </c>
      <c r="Z1085" s="18" t="s">
        <v>30</v>
      </c>
      <c r="AA1085" s="19" t="s">
        <v>25</v>
      </c>
    </row>
    <row r="1086" spans="1:27" x14ac:dyDescent="0.25">
      <c r="A1086" s="17" t="s">
        <v>192</v>
      </c>
      <c r="B1086" s="18" t="s">
        <v>46</v>
      </c>
      <c r="C1086" s="63" t="str" cm="1">
        <f t="array" ref="C1086">_xlfn.SWITCH(Table22[[#This Row],[Country]],"USA","North America","Canada","North America","Brazil","South America","China","Asia","Japan","Asia","India","Asia","France","Europe","Germany","Europe","UK","Europe","Australia","Oceania","South America")</f>
        <v>South America</v>
      </c>
      <c r="D1086" s="18" t="s">
        <v>35</v>
      </c>
      <c r="E1086" s="18" t="s">
        <v>19</v>
      </c>
      <c r="F1086" s="18" t="s">
        <v>64</v>
      </c>
      <c r="G1086" s="18" t="s">
        <v>22</v>
      </c>
      <c r="H1086" s="64">
        <f>LEN(TRIM(Table22[[#This Row],[Country]]))</f>
        <v>6</v>
      </c>
      <c r="I1086" s="64">
        <f>LEN(TRIM(Table22[[#This Row],[Continent]]))</f>
        <v>13</v>
      </c>
      <c r="J1086" s="64">
        <f>LEN(TRIM(Table22[[#This Row],[Product]]))</f>
        <v>6</v>
      </c>
      <c r="K1086" s="64">
        <f>LEN(TRIM(Table22[[#This Row],[Sales Team]]))</f>
        <v>10</v>
      </c>
      <c r="L1086" s="23">
        <v>18</v>
      </c>
      <c r="M1086" s="65" t="str" cm="1">
        <f t="array" ref="M1086">_xlfn.IFS(Table22[[#This Row],[Units Sold]]&lt;40,"Critical",Table22[[#This Row],[Units Sold]]&lt;=50,"Poor",Table22[[#This Row],[Units Sold]]&lt;=60,"Low",Table22[[#This Row],[Units Sold]]&lt;=80,"Average",Table22[[#This Row],[Units Sold]]&lt;=90,"High",Table22[[#This Row],[Units Sold]]&lt;=95,"Excellent",Table22[[#This Row],[Units Sold]]&gt;95,"Outstanding")</f>
        <v>Critical</v>
      </c>
      <c r="N1086" s="29">
        <v>1499.62</v>
      </c>
      <c r="O1086" s="29">
        <v>26993.16</v>
      </c>
      <c r="P1086" s="43">
        <f>IF(Table22[[#This Row],[Discount Applied]],Table22[[#This Row],[Total Sales (in USD)]]*(1-Table22[[#This Row],[Discount Percentage (%)]]/100),Table22[[#This Row],[Total Sales (in USD)]])</f>
        <v>25532.830043999998</v>
      </c>
      <c r="Q1086" s="66">
        <f>SQRT(AVERAGE((Table22[[#This Row],[Net Sales (after discount) (in USD)]]-AVERAGE(Table22[Net Sales (after discount) (in USD)]))^2))</f>
        <v>10978.530519764539</v>
      </c>
      <c r="R1086" s="18" t="b">
        <v>1</v>
      </c>
      <c r="S1086" s="40">
        <v>5.41</v>
      </c>
      <c r="T1086" s="18" t="b">
        <v>1</v>
      </c>
      <c r="U1086" s="25">
        <v>45280</v>
      </c>
      <c r="V1086" s="63" t="str">
        <f>IF(MONTH(Table22[[#This Row],[Sales Date]])&lt;=3,"Q1",IF(MONTH(Table22[[#This Row],[Sales Date]])&lt;=6,"Q2",IF(MONTH(Table22[[#This Row],[Sales Date]])&lt;=9,"Q3","Q4")))</f>
        <v>Q4</v>
      </c>
      <c r="W1086" s="64">
        <f>YEAR(Table22[[#This Row],[Sales Date]])</f>
        <v>2023</v>
      </c>
      <c r="X1086" s="23">
        <v>69</v>
      </c>
      <c r="Y1086" s="18" t="s">
        <v>41</v>
      </c>
      <c r="Z1086" s="18" t="s">
        <v>24</v>
      </c>
      <c r="AA1086" s="19" t="s">
        <v>25</v>
      </c>
    </row>
    <row r="1087" spans="1:27" x14ac:dyDescent="0.25">
      <c r="A1087" s="17" t="s">
        <v>213</v>
      </c>
      <c r="B1087" s="18" t="s">
        <v>32</v>
      </c>
      <c r="C1087" s="63" t="str" cm="1">
        <f t="array" ref="C1087">_xlfn.SWITCH(Table22[[#This Row],[Country]],"USA","North America","Canada","North America","Brazil","South America","China","Asia","Japan","Asia","India","Asia","France","Europe","Germany","Europe","UK","Europe","Australia","Oceania","South America")</f>
        <v>Asia</v>
      </c>
      <c r="D1087" s="18" t="s">
        <v>44</v>
      </c>
      <c r="E1087" s="18" t="s">
        <v>19</v>
      </c>
      <c r="F1087" s="18" t="s">
        <v>64</v>
      </c>
      <c r="G1087" s="18" t="s">
        <v>29</v>
      </c>
      <c r="H1087" s="64">
        <f>LEN(TRIM(Table22[[#This Row],[Country]]))</f>
        <v>5</v>
      </c>
      <c r="I1087" s="64">
        <f>LEN(TRIM(Table22[[#This Row],[Continent]]))</f>
        <v>4</v>
      </c>
      <c r="J1087" s="64">
        <f>LEN(TRIM(Table22[[#This Row],[Product]]))</f>
        <v>6</v>
      </c>
      <c r="K1087" s="64">
        <f>LEN(TRIM(Table22[[#This Row],[Sales Team]]))</f>
        <v>10</v>
      </c>
      <c r="L1087" s="23">
        <v>61</v>
      </c>
      <c r="M1087" s="65" t="str" cm="1">
        <f t="array" ref="M1087">_xlfn.IFS(Table22[[#This Row],[Units Sold]]&lt;40,"Critical",Table22[[#This Row],[Units Sold]]&lt;=50,"Poor",Table22[[#This Row],[Units Sold]]&lt;=60,"Low",Table22[[#This Row],[Units Sold]]&lt;=80,"Average",Table22[[#This Row],[Units Sold]]&lt;=90,"High",Table22[[#This Row],[Units Sold]]&lt;=95,"Excellent",Table22[[#This Row],[Units Sold]]&gt;95,"Outstanding")</f>
        <v>Average</v>
      </c>
      <c r="N1087" s="29">
        <v>442.26</v>
      </c>
      <c r="O1087" s="29">
        <v>26977.86</v>
      </c>
      <c r="P1087" s="43">
        <f>IF(Table22[[#This Row],[Discount Applied]],Table22[[#This Row],[Total Sales (in USD)]]*(1-Table22[[#This Row],[Discount Percentage (%)]]/100),Table22[[#This Row],[Total Sales (in USD)]])</f>
        <v>20044.54998</v>
      </c>
      <c r="Q1087" s="66">
        <f>SQRT(AVERAGE((Table22[[#This Row],[Net Sales (after discount) (in USD)]]-AVERAGE(Table22[Net Sales (after discount) (in USD)]))^2))</f>
        <v>16466.810583764538</v>
      </c>
      <c r="R1087" s="18" t="b">
        <v>1</v>
      </c>
      <c r="S1087" s="40">
        <v>25.7</v>
      </c>
      <c r="T1087" s="18" t="b">
        <v>1</v>
      </c>
      <c r="U1087" s="25">
        <v>45516</v>
      </c>
      <c r="V1087" s="63" t="str">
        <f>IF(MONTH(Table22[[#This Row],[Sales Date]])&lt;=3,"Q1",IF(MONTH(Table22[[#This Row],[Sales Date]])&lt;=6,"Q2",IF(MONTH(Table22[[#This Row],[Sales Date]])&lt;=9,"Q3","Q4")))</f>
        <v>Q3</v>
      </c>
      <c r="W1087" s="64">
        <f>YEAR(Table22[[#This Row],[Sales Date]])</f>
        <v>2024</v>
      </c>
      <c r="X1087" s="23">
        <v>30</v>
      </c>
      <c r="Y1087" s="18" t="s">
        <v>41</v>
      </c>
      <c r="Z1087" s="18" t="s">
        <v>56</v>
      </c>
      <c r="AA1087" s="19" t="s">
        <v>25</v>
      </c>
    </row>
    <row r="1088" spans="1:27" x14ac:dyDescent="0.25">
      <c r="A1088" s="17" t="s">
        <v>1060</v>
      </c>
      <c r="B1088" s="18" t="s">
        <v>46</v>
      </c>
      <c r="C1088" s="63" t="str" cm="1">
        <f t="array" ref="C1088">_xlfn.SWITCH(Table22[[#This Row],[Country]],"USA","North America","Canada","North America","Brazil","South America","China","Asia","Japan","Asia","India","Asia","France","Europe","Germany","Europe","UK","Europe","Australia","Oceania","South America")</f>
        <v>South America</v>
      </c>
      <c r="D1088" s="18" t="s">
        <v>21</v>
      </c>
      <c r="E1088" s="18" t="s">
        <v>33</v>
      </c>
      <c r="F1088" s="18" t="s">
        <v>52</v>
      </c>
      <c r="G1088" s="18" t="s">
        <v>22</v>
      </c>
      <c r="H1088" s="64">
        <f>LEN(TRIM(Table22[[#This Row],[Country]]))</f>
        <v>6</v>
      </c>
      <c r="I1088" s="64">
        <f>LEN(TRIM(Table22[[#This Row],[Continent]]))</f>
        <v>13</v>
      </c>
      <c r="J1088" s="64">
        <f>LEN(TRIM(Table22[[#This Row],[Product]]))</f>
        <v>10</v>
      </c>
      <c r="K1088" s="64">
        <f>LEN(TRIM(Table22[[#This Row],[Sales Team]]))</f>
        <v>10</v>
      </c>
      <c r="L1088" s="23">
        <v>41</v>
      </c>
      <c r="M1088" s="65" t="str" cm="1">
        <f t="array" ref="M1088">_xlfn.IFS(Table22[[#This Row],[Units Sold]]&lt;40,"Critical",Table22[[#This Row],[Units Sold]]&lt;=50,"Poor",Table22[[#This Row],[Units Sold]]&lt;=60,"Low",Table22[[#This Row],[Units Sold]]&lt;=80,"Average",Table22[[#This Row],[Units Sold]]&lt;=90,"High",Table22[[#This Row],[Units Sold]]&lt;=95,"Excellent",Table22[[#This Row],[Units Sold]]&gt;95,"Outstanding")</f>
        <v>Poor</v>
      </c>
      <c r="N1088" s="29">
        <v>654.21</v>
      </c>
      <c r="O1088" s="29">
        <v>26822.61</v>
      </c>
      <c r="P1088" s="43">
        <f>IF(Table22[[#This Row],[Discount Applied]],Table22[[#This Row],[Total Sales (in USD)]]*(1-Table22[[#This Row],[Discount Percentage (%)]]/100),Table22[[#This Row],[Total Sales (in USD)]])</f>
        <v>25130.103309000002</v>
      </c>
      <c r="Q1088" s="66">
        <f>SQRT(AVERAGE((Table22[[#This Row],[Net Sales (after discount) (in USD)]]-AVERAGE(Table22[Net Sales (after discount) (in USD)]))^2))</f>
        <v>11381.257254764536</v>
      </c>
      <c r="R1088" s="18" t="b">
        <v>0</v>
      </c>
      <c r="S1088" s="40">
        <v>6.31</v>
      </c>
      <c r="T1088" s="18" t="b">
        <v>1</v>
      </c>
      <c r="U1088" s="25">
        <v>45536</v>
      </c>
      <c r="V1088" s="63" t="str">
        <f>IF(MONTH(Table22[[#This Row],[Sales Date]])&lt;=3,"Q1",IF(MONTH(Table22[[#This Row],[Sales Date]])&lt;=6,"Q2",IF(MONTH(Table22[[#This Row],[Sales Date]])&lt;=9,"Q3","Q4")))</f>
        <v>Q3</v>
      </c>
      <c r="W1088" s="64">
        <f>YEAR(Table22[[#This Row],[Sales Date]])</f>
        <v>2024</v>
      </c>
      <c r="X1088" s="23">
        <v>22</v>
      </c>
      <c r="Y1088" s="18" t="s">
        <v>23</v>
      </c>
      <c r="Z1088" s="18" t="s">
        <v>42</v>
      </c>
      <c r="AA1088" s="19" t="s">
        <v>25</v>
      </c>
    </row>
    <row r="1089" spans="1:27" x14ac:dyDescent="0.25">
      <c r="A1089" s="17" t="s">
        <v>1374</v>
      </c>
      <c r="B1089" s="18" t="s">
        <v>51</v>
      </c>
      <c r="C1089" s="63" t="str" cm="1">
        <f t="array" ref="C1089">_xlfn.SWITCH(Table22[[#This Row],[Country]],"USA","North America","Canada","North America","Brazil","South America","China","Asia","Japan","Asia","India","Asia","France","Europe","Germany","Europe","UK","Europe","Australia","Oceania","South America")</f>
        <v>Europe</v>
      </c>
      <c r="D1089" s="18" t="s">
        <v>21</v>
      </c>
      <c r="E1089" s="18" t="s">
        <v>19</v>
      </c>
      <c r="F1089" s="18" t="s">
        <v>52</v>
      </c>
      <c r="G1089" s="18" t="s">
        <v>22</v>
      </c>
      <c r="H1089" s="64">
        <f>LEN(TRIM(Table22[[#This Row],[Country]]))</f>
        <v>2</v>
      </c>
      <c r="I1089" s="64">
        <f>LEN(TRIM(Table22[[#This Row],[Continent]]))</f>
        <v>6</v>
      </c>
      <c r="J1089" s="64">
        <f>LEN(TRIM(Table22[[#This Row],[Product]]))</f>
        <v>6</v>
      </c>
      <c r="K1089" s="64">
        <f>LEN(TRIM(Table22[[#This Row],[Sales Team]]))</f>
        <v>10</v>
      </c>
      <c r="L1089" s="23">
        <v>19</v>
      </c>
      <c r="M1089" s="65" t="str" cm="1">
        <f t="array" ref="M1089">_xlfn.IFS(Table22[[#This Row],[Units Sold]]&lt;40,"Critical",Table22[[#This Row],[Units Sold]]&lt;=50,"Poor",Table22[[#This Row],[Units Sold]]&lt;=60,"Low",Table22[[#This Row],[Units Sold]]&lt;=80,"Average",Table22[[#This Row],[Units Sold]]&lt;=90,"High",Table22[[#This Row],[Units Sold]]&lt;=95,"Excellent",Table22[[#This Row],[Units Sold]]&gt;95,"Outstanding")</f>
        <v>Critical</v>
      </c>
      <c r="N1089" s="29">
        <v>1411.2</v>
      </c>
      <c r="O1089" s="29">
        <v>26812.799999999999</v>
      </c>
      <c r="P1089" s="43">
        <f>IF(Table22[[#This Row],[Discount Applied]],Table22[[#This Row],[Total Sales (in USD)]]*(1-Table22[[#This Row],[Discount Percentage (%)]]/100),Table22[[#This Row],[Total Sales (in USD)]])</f>
        <v>20787.96384</v>
      </c>
      <c r="Q1089" s="66">
        <f>SQRT(AVERAGE((Table22[[#This Row],[Net Sales (after discount) (in USD)]]-AVERAGE(Table22[Net Sales (after discount) (in USD)]))^2))</f>
        <v>15723.396723764537</v>
      </c>
      <c r="R1089" s="18" t="b">
        <v>0</v>
      </c>
      <c r="S1089" s="40">
        <v>22.47</v>
      </c>
      <c r="T1089" s="18" t="b">
        <v>1</v>
      </c>
      <c r="U1089" s="25">
        <v>45204</v>
      </c>
      <c r="V1089" s="63" t="str">
        <f>IF(MONTH(Table22[[#This Row],[Sales Date]])&lt;=3,"Q1",IF(MONTH(Table22[[#This Row],[Sales Date]])&lt;=6,"Q2",IF(MONTH(Table22[[#This Row],[Sales Date]])&lt;=9,"Q3","Q4")))</f>
        <v>Q4</v>
      </c>
      <c r="W1089" s="64">
        <f>YEAR(Table22[[#This Row],[Sales Date]])</f>
        <v>2023</v>
      </c>
      <c r="X1089" s="23">
        <v>38</v>
      </c>
      <c r="Y1089" s="18" t="s">
        <v>41</v>
      </c>
      <c r="Z1089" s="18" t="s">
        <v>42</v>
      </c>
      <c r="AA1089" s="19" t="s">
        <v>36</v>
      </c>
    </row>
    <row r="1090" spans="1:27" x14ac:dyDescent="0.25">
      <c r="A1090" s="17" t="s">
        <v>1320</v>
      </c>
      <c r="B1090" s="18" t="s">
        <v>66</v>
      </c>
      <c r="C1090" s="63" t="str" cm="1">
        <f t="array" ref="C1090">_xlfn.SWITCH(Table22[[#This Row],[Country]],"USA","North America","Canada","North America","Brazil","South America","China","Asia","Japan","Asia","India","Asia","France","Europe","Germany","Europe","UK","Europe","Australia","Oceania","South America")</f>
        <v>North America</v>
      </c>
      <c r="D1090" s="18" t="s">
        <v>44</v>
      </c>
      <c r="E1090" s="18" t="s">
        <v>33</v>
      </c>
      <c r="F1090" s="18" t="s">
        <v>52</v>
      </c>
      <c r="G1090" s="18" t="s">
        <v>22</v>
      </c>
      <c r="H1090" s="64">
        <f>LEN(TRIM(Table22[[#This Row],[Country]]))</f>
        <v>6</v>
      </c>
      <c r="I1090" s="64">
        <f>LEN(TRIM(Table22[[#This Row],[Continent]]))</f>
        <v>13</v>
      </c>
      <c r="J1090" s="64">
        <f>LEN(TRIM(Table22[[#This Row],[Product]]))</f>
        <v>10</v>
      </c>
      <c r="K1090" s="64">
        <f>LEN(TRIM(Table22[[#This Row],[Sales Team]]))</f>
        <v>10</v>
      </c>
      <c r="L1090" s="23">
        <v>28</v>
      </c>
      <c r="M1090" s="65" t="str" cm="1">
        <f t="array" ref="M1090">_xlfn.IFS(Table22[[#This Row],[Units Sold]]&lt;40,"Critical",Table22[[#This Row],[Units Sold]]&lt;=50,"Poor",Table22[[#This Row],[Units Sold]]&lt;=60,"Low",Table22[[#This Row],[Units Sold]]&lt;=80,"Average",Table22[[#This Row],[Units Sold]]&lt;=90,"High",Table22[[#This Row],[Units Sold]]&lt;=95,"Excellent",Table22[[#This Row],[Units Sold]]&gt;95,"Outstanding")</f>
        <v>Critical</v>
      </c>
      <c r="N1090" s="29">
        <v>956.29</v>
      </c>
      <c r="O1090" s="29">
        <v>26776.12</v>
      </c>
      <c r="P1090" s="43">
        <f>IF(Table22[[#This Row],[Discount Applied]],Table22[[#This Row],[Total Sales (in USD)]]*(1-Table22[[#This Row],[Discount Percentage (%)]]/100),Table22[[#This Row],[Total Sales (in USD)]])</f>
        <v>26776.12</v>
      </c>
      <c r="Q1090" s="66">
        <f>SQRT(AVERAGE((Table22[[#This Row],[Net Sales (after discount) (in USD)]]-AVERAGE(Table22[Net Sales (after discount) (in USD)]))^2))</f>
        <v>9735.2405637645388</v>
      </c>
      <c r="R1090" s="18" t="b">
        <v>0</v>
      </c>
      <c r="S1090" s="40">
        <v>5.3</v>
      </c>
      <c r="T1090" s="18" t="b">
        <v>0</v>
      </c>
      <c r="U1090" s="25">
        <v>45118</v>
      </c>
      <c r="V1090" s="63" t="str">
        <f>IF(MONTH(Table22[[#This Row],[Sales Date]])&lt;=3,"Q1",IF(MONTH(Table22[[#This Row],[Sales Date]])&lt;=6,"Q2",IF(MONTH(Table22[[#This Row],[Sales Date]])&lt;=9,"Q3","Q4")))</f>
        <v>Q3</v>
      </c>
      <c r="W1090" s="64">
        <f>YEAR(Table22[[#This Row],[Sales Date]])</f>
        <v>2023</v>
      </c>
      <c r="X1090" s="23">
        <v>66</v>
      </c>
      <c r="Y1090" s="18" t="s">
        <v>41</v>
      </c>
      <c r="Z1090" s="18" t="s">
        <v>56</v>
      </c>
      <c r="AA1090" s="19" t="s">
        <v>25</v>
      </c>
    </row>
    <row r="1091" spans="1:27" x14ac:dyDescent="0.25">
      <c r="A1091" s="17" t="s">
        <v>1561</v>
      </c>
      <c r="B1091" s="18" t="s">
        <v>46</v>
      </c>
      <c r="C1091" s="63" t="str" cm="1">
        <f t="array" ref="C1091">_xlfn.SWITCH(Table22[[#This Row],[Country]],"USA","North America","Canada","North America","Brazil","South America","China","Asia","Japan","Asia","India","Asia","France","Europe","Germany","Europe","UK","Europe","Australia","Oceania","South America")</f>
        <v>South America</v>
      </c>
      <c r="D1091" s="18" t="s">
        <v>44</v>
      </c>
      <c r="E1091" s="18" t="s">
        <v>19</v>
      </c>
      <c r="F1091" s="18" t="s">
        <v>52</v>
      </c>
      <c r="G1091" s="18" t="s">
        <v>48</v>
      </c>
      <c r="H1091" s="64">
        <f>LEN(TRIM(Table22[[#This Row],[Country]]))</f>
        <v>6</v>
      </c>
      <c r="I1091" s="64">
        <f>LEN(TRIM(Table22[[#This Row],[Continent]]))</f>
        <v>13</v>
      </c>
      <c r="J1091" s="64">
        <f>LEN(TRIM(Table22[[#This Row],[Product]]))</f>
        <v>6</v>
      </c>
      <c r="K1091" s="64">
        <f>LEN(TRIM(Table22[[#This Row],[Sales Team]]))</f>
        <v>9</v>
      </c>
      <c r="L1091" s="23">
        <v>21</v>
      </c>
      <c r="M1091" s="65" t="str" cm="1">
        <f t="array" ref="M1091">_xlfn.IFS(Table22[[#This Row],[Units Sold]]&lt;40,"Critical",Table22[[#This Row],[Units Sold]]&lt;=50,"Poor",Table22[[#This Row],[Units Sold]]&lt;=60,"Low",Table22[[#This Row],[Units Sold]]&lt;=80,"Average",Table22[[#This Row],[Units Sold]]&lt;=90,"High",Table22[[#This Row],[Units Sold]]&lt;=95,"Excellent",Table22[[#This Row],[Units Sold]]&gt;95,"Outstanding")</f>
        <v>Critical</v>
      </c>
      <c r="N1091" s="29">
        <v>1273.2</v>
      </c>
      <c r="O1091" s="29">
        <v>26737.200000000001</v>
      </c>
      <c r="P1091" s="43">
        <f>IF(Table22[[#This Row],[Discount Applied]],Table22[[#This Row],[Total Sales (in USD)]]*(1-Table22[[#This Row],[Discount Percentage (%)]]/100),Table22[[#This Row],[Total Sales (in USD)]])</f>
        <v>26189.0874</v>
      </c>
      <c r="Q1091" s="66">
        <f>SQRT(AVERAGE((Table22[[#This Row],[Net Sales (after discount) (in USD)]]-AVERAGE(Table22[Net Sales (after discount) (in USD)]))^2))</f>
        <v>10322.273163764537</v>
      </c>
      <c r="R1091" s="18" t="b">
        <v>1</v>
      </c>
      <c r="S1091" s="40">
        <v>2.0499999999999998</v>
      </c>
      <c r="T1091" s="18" t="b">
        <v>1</v>
      </c>
      <c r="U1091" s="25">
        <v>45263</v>
      </c>
      <c r="V1091" s="63" t="str">
        <f>IF(MONTH(Table22[[#This Row],[Sales Date]])&lt;=3,"Q1",IF(MONTH(Table22[[#This Row],[Sales Date]])&lt;=6,"Q2",IF(MONTH(Table22[[#This Row],[Sales Date]])&lt;=9,"Q3","Q4")))</f>
        <v>Q4</v>
      </c>
      <c r="W1091" s="64">
        <f>YEAR(Table22[[#This Row],[Sales Date]])</f>
        <v>2023</v>
      </c>
      <c r="X1091" s="23">
        <v>68</v>
      </c>
      <c r="Y1091" s="18" t="s">
        <v>23</v>
      </c>
      <c r="Z1091" s="18" t="s">
        <v>42</v>
      </c>
      <c r="AA1091" s="19" t="s">
        <v>25</v>
      </c>
    </row>
    <row r="1092" spans="1:27" x14ac:dyDescent="0.25">
      <c r="A1092" s="17" t="s">
        <v>997</v>
      </c>
      <c r="B1092" s="18" t="s">
        <v>18</v>
      </c>
      <c r="C1092" s="63" t="str" cm="1">
        <f t="array" ref="C1092">_xlfn.SWITCH(Table22[[#This Row],[Country]],"USA","North America","Canada","North America","Brazil","South America","China","Asia","Japan","Asia","India","Asia","France","Europe","Germany","Europe","UK","Europe","Australia","Oceania","South America")</f>
        <v>Asia</v>
      </c>
      <c r="D1092" s="18" t="s">
        <v>44</v>
      </c>
      <c r="E1092" s="18" t="s">
        <v>39</v>
      </c>
      <c r="F1092" s="18" t="s">
        <v>64</v>
      </c>
      <c r="G1092" s="18" t="s">
        <v>22</v>
      </c>
      <c r="H1092" s="64">
        <f>LEN(TRIM(Table22[[#This Row],[Country]]))</f>
        <v>5</v>
      </c>
      <c r="I1092" s="64">
        <f>LEN(TRIM(Table22[[#This Row],[Continent]]))</f>
        <v>4</v>
      </c>
      <c r="J1092" s="64">
        <f>LEN(TRIM(Table22[[#This Row],[Product]]))</f>
        <v>10</v>
      </c>
      <c r="K1092" s="64">
        <f>LEN(TRIM(Table22[[#This Row],[Sales Team]]))</f>
        <v>10</v>
      </c>
      <c r="L1092" s="23">
        <v>64</v>
      </c>
      <c r="M1092" s="65" t="str" cm="1">
        <f t="array" ref="M1092">_xlfn.IFS(Table22[[#This Row],[Units Sold]]&lt;40,"Critical",Table22[[#This Row],[Units Sold]]&lt;=50,"Poor",Table22[[#This Row],[Units Sold]]&lt;=60,"Low",Table22[[#This Row],[Units Sold]]&lt;=80,"Average",Table22[[#This Row],[Units Sold]]&lt;=90,"High",Table22[[#This Row],[Units Sold]]&lt;=95,"Excellent",Table22[[#This Row],[Units Sold]]&gt;95,"Outstanding")</f>
        <v>Average</v>
      </c>
      <c r="N1092" s="29">
        <v>417.15</v>
      </c>
      <c r="O1092" s="29">
        <v>26697.599999999999</v>
      </c>
      <c r="P1092" s="43">
        <f>IF(Table22[[#This Row],[Discount Applied]],Table22[[#This Row],[Total Sales (in USD)]]*(1-Table22[[#This Row],[Discount Percentage (%)]]/100),Table22[[#This Row],[Total Sales (in USD)]])</f>
        <v>26697.599999999999</v>
      </c>
      <c r="Q1092" s="66">
        <f>SQRT(AVERAGE((Table22[[#This Row],[Net Sales (after discount) (in USD)]]-AVERAGE(Table22[Net Sales (after discount) (in USD)]))^2))</f>
        <v>9813.7605637645393</v>
      </c>
      <c r="R1092" s="18" t="b">
        <v>0</v>
      </c>
      <c r="S1092" s="40">
        <v>11.45</v>
      </c>
      <c r="T1092" s="18" t="b">
        <v>0</v>
      </c>
      <c r="U1092" s="25">
        <v>45145</v>
      </c>
      <c r="V1092" s="63" t="str">
        <f>IF(MONTH(Table22[[#This Row],[Sales Date]])&lt;=3,"Q1",IF(MONTH(Table22[[#This Row],[Sales Date]])&lt;=6,"Q2",IF(MONTH(Table22[[#This Row],[Sales Date]])&lt;=9,"Q3","Q4")))</f>
        <v>Q3</v>
      </c>
      <c r="W1092" s="64">
        <f>YEAR(Table22[[#This Row],[Sales Date]])</f>
        <v>2023</v>
      </c>
      <c r="X1092" s="23">
        <v>52</v>
      </c>
      <c r="Y1092" s="18" t="s">
        <v>41</v>
      </c>
      <c r="Z1092" s="18" t="s">
        <v>24</v>
      </c>
      <c r="AA1092" s="19" t="s">
        <v>25</v>
      </c>
    </row>
    <row r="1093" spans="1:27" x14ac:dyDescent="0.25">
      <c r="A1093" s="17" t="s">
        <v>1313</v>
      </c>
      <c r="B1093" s="18" t="s">
        <v>76</v>
      </c>
      <c r="C1093" s="63" t="str" cm="1">
        <f t="array" ref="C1093">_xlfn.SWITCH(Table22[[#This Row],[Country]],"USA","North America","Canada","North America","Brazil","South America","China","Asia","Japan","Asia","India","Asia","France","Europe","Germany","Europe","UK","Europe","Australia","Oceania","South America")</f>
        <v>Asia</v>
      </c>
      <c r="D1093" s="18" t="s">
        <v>28</v>
      </c>
      <c r="E1093" s="18" t="s">
        <v>39</v>
      </c>
      <c r="F1093" s="18" t="s">
        <v>20</v>
      </c>
      <c r="G1093" s="18" t="s">
        <v>40</v>
      </c>
      <c r="H1093" s="64">
        <f>LEN(TRIM(Table22[[#This Row],[Country]]))</f>
        <v>5</v>
      </c>
      <c r="I1093" s="64">
        <f>LEN(TRIM(Table22[[#This Row],[Continent]]))</f>
        <v>4</v>
      </c>
      <c r="J1093" s="64">
        <f>LEN(TRIM(Table22[[#This Row],[Product]]))</f>
        <v>10</v>
      </c>
      <c r="K1093" s="64">
        <f>LEN(TRIM(Table22[[#This Row],[Sales Team]]))</f>
        <v>10</v>
      </c>
      <c r="L1093" s="23">
        <v>19</v>
      </c>
      <c r="M1093" s="65" t="str" cm="1">
        <f t="array" ref="M1093">_xlfn.IFS(Table22[[#This Row],[Units Sold]]&lt;40,"Critical",Table22[[#This Row],[Units Sold]]&lt;=50,"Poor",Table22[[#This Row],[Units Sold]]&lt;=60,"Low",Table22[[#This Row],[Units Sold]]&lt;=80,"Average",Table22[[#This Row],[Units Sold]]&lt;=90,"High",Table22[[#This Row],[Units Sold]]&lt;=95,"Excellent",Table22[[#This Row],[Units Sold]]&gt;95,"Outstanding")</f>
        <v>Critical</v>
      </c>
      <c r="N1093" s="29">
        <v>1403.49</v>
      </c>
      <c r="O1093" s="29">
        <v>26666.31</v>
      </c>
      <c r="P1093" s="43">
        <f>IF(Table22[[#This Row],[Discount Applied]],Table22[[#This Row],[Total Sales (in USD)]]*(1-Table22[[#This Row],[Discount Percentage (%)]]/100),Table22[[#This Row],[Total Sales (in USD)]])</f>
        <v>25476.992574000004</v>
      </c>
      <c r="Q1093" s="66">
        <f>SQRT(AVERAGE((Table22[[#This Row],[Net Sales (after discount) (in USD)]]-AVERAGE(Table22[Net Sales (after discount) (in USD)]))^2))</f>
        <v>11034.367989764534</v>
      </c>
      <c r="R1093" s="18" t="b">
        <v>0</v>
      </c>
      <c r="S1093" s="40">
        <v>4.46</v>
      </c>
      <c r="T1093" s="18" t="b">
        <v>1</v>
      </c>
      <c r="U1093" s="25">
        <v>45432</v>
      </c>
      <c r="V1093" s="63" t="str">
        <f>IF(MONTH(Table22[[#This Row],[Sales Date]])&lt;=3,"Q1",IF(MONTH(Table22[[#This Row],[Sales Date]])&lt;=6,"Q2",IF(MONTH(Table22[[#This Row],[Sales Date]])&lt;=9,"Q3","Q4")))</f>
        <v>Q2</v>
      </c>
      <c r="W1093" s="64">
        <f>YEAR(Table22[[#This Row],[Sales Date]])</f>
        <v>2024</v>
      </c>
      <c r="X1093" s="23">
        <v>35</v>
      </c>
      <c r="Y1093" s="18" t="s">
        <v>49</v>
      </c>
      <c r="Z1093" s="18" t="s">
        <v>42</v>
      </c>
      <c r="AA1093" s="19" t="s">
        <v>36</v>
      </c>
    </row>
    <row r="1094" spans="1:27" x14ac:dyDescent="0.25">
      <c r="A1094" s="17" t="s">
        <v>57</v>
      </c>
      <c r="B1094" s="18" t="s">
        <v>27</v>
      </c>
      <c r="C1094" s="63" t="str" cm="1">
        <f t="array" ref="C1094">_xlfn.SWITCH(Table22[[#This Row],[Country]],"USA","North America","Canada","North America","Brazil","South America","China","Asia","Japan","Asia","India","Asia","France","Europe","Germany","Europe","UK","Europe","Australia","Oceania","South America")</f>
        <v>Europe</v>
      </c>
      <c r="D1094" s="18" t="s">
        <v>44</v>
      </c>
      <c r="E1094" s="18" t="s">
        <v>19</v>
      </c>
      <c r="F1094" s="18" t="s">
        <v>20</v>
      </c>
      <c r="G1094" s="18" t="s">
        <v>29</v>
      </c>
      <c r="H1094" s="64">
        <f>LEN(TRIM(Table22[[#This Row],[Country]]))</f>
        <v>7</v>
      </c>
      <c r="I1094" s="64">
        <f>LEN(TRIM(Table22[[#This Row],[Continent]]))</f>
        <v>6</v>
      </c>
      <c r="J1094" s="64">
        <f>LEN(TRIM(Table22[[#This Row],[Product]]))</f>
        <v>6</v>
      </c>
      <c r="K1094" s="64">
        <f>LEN(TRIM(Table22[[#This Row],[Sales Team]]))</f>
        <v>10</v>
      </c>
      <c r="L1094" s="23">
        <v>39</v>
      </c>
      <c r="M1094" s="65" t="str" cm="1">
        <f t="array" ref="M1094">_xlfn.IFS(Table22[[#This Row],[Units Sold]]&lt;40,"Critical",Table22[[#This Row],[Units Sold]]&lt;=50,"Poor",Table22[[#This Row],[Units Sold]]&lt;=60,"Low",Table22[[#This Row],[Units Sold]]&lt;=80,"Average",Table22[[#This Row],[Units Sold]]&lt;=90,"High",Table22[[#This Row],[Units Sold]]&lt;=95,"Excellent",Table22[[#This Row],[Units Sold]]&gt;95,"Outstanding")</f>
        <v>Critical</v>
      </c>
      <c r="N1094" s="29">
        <v>683.45</v>
      </c>
      <c r="O1094" s="29">
        <v>26654.55</v>
      </c>
      <c r="P1094" s="43">
        <f>IF(Table22[[#This Row],[Discount Applied]],Table22[[#This Row],[Total Sales (in USD)]]*(1-Table22[[#This Row],[Discount Percentage (%)]]/100),Table22[[#This Row],[Total Sales (in USD)]])</f>
        <v>26654.55</v>
      </c>
      <c r="Q1094" s="66">
        <f>SQRT(AVERAGE((Table22[[#This Row],[Net Sales (after discount) (in USD)]]-AVERAGE(Table22[Net Sales (after discount) (in USD)]))^2))</f>
        <v>9856.8105637645385</v>
      </c>
      <c r="R1094" s="18" t="b">
        <v>0</v>
      </c>
      <c r="S1094" s="40">
        <v>15.35</v>
      </c>
      <c r="T1094" s="18" t="b">
        <v>0</v>
      </c>
      <c r="U1094" s="25">
        <v>45361</v>
      </c>
      <c r="V1094" s="63" t="str">
        <f>IF(MONTH(Table22[[#This Row],[Sales Date]])&lt;=3,"Q1",IF(MONTH(Table22[[#This Row],[Sales Date]])&lt;=6,"Q2",IF(MONTH(Table22[[#This Row],[Sales Date]])&lt;=9,"Q3","Q4")))</f>
        <v>Q1</v>
      </c>
      <c r="W1094" s="64">
        <f>YEAR(Table22[[#This Row],[Sales Date]])</f>
        <v>2024</v>
      </c>
      <c r="X1094" s="23">
        <v>19</v>
      </c>
      <c r="Y1094" s="18" t="s">
        <v>49</v>
      </c>
      <c r="Z1094" s="18" t="s">
        <v>24</v>
      </c>
      <c r="AA1094" s="19" t="s">
        <v>25</v>
      </c>
    </row>
    <row r="1095" spans="1:27" x14ac:dyDescent="0.25">
      <c r="A1095" s="17" t="s">
        <v>155</v>
      </c>
      <c r="B1095" s="18" t="s">
        <v>18</v>
      </c>
      <c r="C1095" s="63" t="str" cm="1">
        <f t="array" ref="C1095">_xlfn.SWITCH(Table22[[#This Row],[Country]],"USA","North America","Canada","North America","Brazil","South America","China","Asia","Japan","Asia","India","Asia","France","Europe","Germany","Europe","UK","Europe","Australia","Oceania","South America")</f>
        <v>Asia</v>
      </c>
      <c r="D1095" s="18" t="s">
        <v>35</v>
      </c>
      <c r="E1095" s="18" t="s">
        <v>39</v>
      </c>
      <c r="F1095" s="18" t="s">
        <v>20</v>
      </c>
      <c r="G1095" s="18" t="s">
        <v>48</v>
      </c>
      <c r="H1095" s="64">
        <f>LEN(TRIM(Table22[[#This Row],[Country]]))</f>
        <v>5</v>
      </c>
      <c r="I1095" s="64">
        <f>LEN(TRIM(Table22[[#This Row],[Continent]]))</f>
        <v>4</v>
      </c>
      <c r="J1095" s="64">
        <f>LEN(TRIM(Table22[[#This Row],[Product]]))</f>
        <v>10</v>
      </c>
      <c r="K1095" s="64">
        <f>LEN(TRIM(Table22[[#This Row],[Sales Team]]))</f>
        <v>9</v>
      </c>
      <c r="L1095" s="23">
        <v>39</v>
      </c>
      <c r="M1095" s="65" t="str" cm="1">
        <f t="array" ref="M1095">_xlfn.IFS(Table22[[#This Row],[Units Sold]]&lt;40,"Critical",Table22[[#This Row],[Units Sold]]&lt;=50,"Poor",Table22[[#This Row],[Units Sold]]&lt;=60,"Low",Table22[[#This Row],[Units Sold]]&lt;=80,"Average",Table22[[#This Row],[Units Sold]]&lt;=90,"High",Table22[[#This Row],[Units Sold]]&lt;=95,"Excellent",Table22[[#This Row],[Units Sold]]&gt;95,"Outstanding")</f>
        <v>Critical</v>
      </c>
      <c r="N1095" s="29">
        <v>682.55</v>
      </c>
      <c r="O1095" s="29">
        <v>26619.45</v>
      </c>
      <c r="P1095" s="43">
        <f>IF(Table22[[#This Row],[Discount Applied]],Table22[[#This Row],[Total Sales (in USD)]]*(1-Table22[[#This Row],[Discount Percentage (%)]]/100),Table22[[#This Row],[Total Sales (in USD)]])</f>
        <v>26619.45</v>
      </c>
      <c r="Q1095" s="66">
        <f>SQRT(AVERAGE((Table22[[#This Row],[Net Sales (after discount) (in USD)]]-AVERAGE(Table22[Net Sales (after discount) (in USD)]))^2))</f>
        <v>9891.9105637645371</v>
      </c>
      <c r="R1095" s="18" t="b">
        <v>0</v>
      </c>
      <c r="S1095" s="40">
        <v>29.2</v>
      </c>
      <c r="T1095" s="18" t="b">
        <v>0</v>
      </c>
      <c r="U1095" s="25">
        <v>45435</v>
      </c>
      <c r="V1095" s="63" t="str">
        <f>IF(MONTH(Table22[[#This Row],[Sales Date]])&lt;=3,"Q1",IF(MONTH(Table22[[#This Row],[Sales Date]])&lt;=6,"Q2",IF(MONTH(Table22[[#This Row],[Sales Date]])&lt;=9,"Q3","Q4")))</f>
        <v>Q2</v>
      </c>
      <c r="W1095" s="64">
        <f>YEAR(Table22[[#This Row],[Sales Date]])</f>
        <v>2024</v>
      </c>
      <c r="X1095" s="23">
        <v>44</v>
      </c>
      <c r="Y1095" s="18" t="s">
        <v>23</v>
      </c>
      <c r="Z1095" s="18" t="s">
        <v>24</v>
      </c>
      <c r="AA1095" s="19" t="s">
        <v>36</v>
      </c>
    </row>
    <row r="1096" spans="1:27" x14ac:dyDescent="0.25">
      <c r="A1096" s="17" t="s">
        <v>151</v>
      </c>
      <c r="B1096" s="18" t="s">
        <v>32</v>
      </c>
      <c r="C1096" s="63" t="str" cm="1">
        <f t="array" ref="C1096">_xlfn.SWITCH(Table22[[#This Row],[Country]],"USA","North America","Canada","North America","Brazil","South America","China","Asia","Japan","Asia","India","Asia","France","Europe","Germany","Europe","UK","Europe","Australia","Oceania","South America")</f>
        <v>Asia</v>
      </c>
      <c r="D1096" s="18" t="s">
        <v>35</v>
      </c>
      <c r="E1096" s="18" t="s">
        <v>19</v>
      </c>
      <c r="F1096" s="18" t="s">
        <v>52</v>
      </c>
      <c r="G1096" s="18" t="s">
        <v>48</v>
      </c>
      <c r="H1096" s="64">
        <f>LEN(TRIM(Table22[[#This Row],[Country]]))</f>
        <v>5</v>
      </c>
      <c r="I1096" s="64">
        <f>LEN(TRIM(Table22[[#This Row],[Continent]]))</f>
        <v>4</v>
      </c>
      <c r="J1096" s="64">
        <f>LEN(TRIM(Table22[[#This Row],[Product]]))</f>
        <v>6</v>
      </c>
      <c r="K1096" s="64">
        <f>LEN(TRIM(Table22[[#This Row],[Sales Team]]))</f>
        <v>9</v>
      </c>
      <c r="L1096" s="23">
        <v>38</v>
      </c>
      <c r="M1096" s="65" t="str" cm="1">
        <f t="array" ref="M1096">_xlfn.IFS(Table22[[#This Row],[Units Sold]]&lt;40,"Critical",Table22[[#This Row],[Units Sold]]&lt;=50,"Poor",Table22[[#This Row],[Units Sold]]&lt;=60,"Low",Table22[[#This Row],[Units Sold]]&lt;=80,"Average",Table22[[#This Row],[Units Sold]]&lt;=90,"High",Table22[[#This Row],[Units Sold]]&lt;=95,"Excellent",Table22[[#This Row],[Units Sold]]&gt;95,"Outstanding")</f>
        <v>Critical</v>
      </c>
      <c r="N1096" s="29">
        <v>697.82</v>
      </c>
      <c r="O1096" s="29">
        <v>26517.16</v>
      </c>
      <c r="P1096" s="43">
        <f>IF(Table22[[#This Row],[Discount Applied]],Table22[[#This Row],[Total Sales (in USD)]]*(1-Table22[[#This Row],[Discount Percentage (%)]]/100),Table22[[#This Row],[Total Sales (in USD)]])</f>
        <v>24679.520811999999</v>
      </c>
      <c r="Q1096" s="66">
        <f>SQRT(AVERAGE((Table22[[#This Row],[Net Sales (after discount) (in USD)]]-AVERAGE(Table22[Net Sales (after discount) (in USD)]))^2))</f>
        <v>11831.839751764539</v>
      </c>
      <c r="R1096" s="18" t="b">
        <v>1</v>
      </c>
      <c r="S1096" s="40">
        <v>6.93</v>
      </c>
      <c r="T1096" s="18" t="b">
        <v>1</v>
      </c>
      <c r="U1096" s="25">
        <v>45003</v>
      </c>
      <c r="V1096" s="63" t="str">
        <f>IF(MONTH(Table22[[#This Row],[Sales Date]])&lt;=3,"Q1",IF(MONTH(Table22[[#This Row],[Sales Date]])&lt;=6,"Q2",IF(MONTH(Table22[[#This Row],[Sales Date]])&lt;=9,"Q3","Q4")))</f>
        <v>Q1</v>
      </c>
      <c r="W1096" s="64">
        <f>YEAR(Table22[[#This Row],[Sales Date]])</f>
        <v>2023</v>
      </c>
      <c r="X1096" s="23">
        <v>51</v>
      </c>
      <c r="Y1096" s="18" t="s">
        <v>41</v>
      </c>
      <c r="Z1096" s="18" t="s">
        <v>24</v>
      </c>
      <c r="AA1096" s="19" t="s">
        <v>36</v>
      </c>
    </row>
    <row r="1097" spans="1:27" x14ac:dyDescent="0.25">
      <c r="A1097" s="17" t="s">
        <v>635</v>
      </c>
      <c r="B1097" s="18" t="s">
        <v>62</v>
      </c>
      <c r="C1097" s="63" t="str" cm="1">
        <f t="array" ref="C1097">_xlfn.SWITCH(Table22[[#This Row],[Country]],"USA","North America","Canada","North America","Brazil","South America","China","Asia","Japan","Asia","India","Asia","France","Europe","Germany","Europe","UK","Europe","Australia","Oceania","South America")</f>
        <v>Oceania</v>
      </c>
      <c r="D1097" s="18" t="s">
        <v>28</v>
      </c>
      <c r="E1097" s="18" t="s">
        <v>19</v>
      </c>
      <c r="F1097" s="18" t="s">
        <v>52</v>
      </c>
      <c r="G1097" s="18" t="s">
        <v>40</v>
      </c>
      <c r="H1097" s="64">
        <f>LEN(TRIM(Table22[[#This Row],[Country]]))</f>
        <v>9</v>
      </c>
      <c r="I1097" s="64">
        <f>LEN(TRIM(Table22[[#This Row],[Continent]]))</f>
        <v>7</v>
      </c>
      <c r="J1097" s="64">
        <f>LEN(TRIM(Table22[[#This Row],[Product]]))</f>
        <v>6</v>
      </c>
      <c r="K1097" s="64">
        <f>LEN(TRIM(Table22[[#This Row],[Sales Team]]))</f>
        <v>10</v>
      </c>
      <c r="L1097" s="23">
        <v>52</v>
      </c>
      <c r="M1097" s="65" t="str" cm="1">
        <f t="array" ref="M1097">_xlfn.IFS(Table22[[#This Row],[Units Sold]]&lt;40,"Critical",Table22[[#This Row],[Units Sold]]&lt;=50,"Poor",Table22[[#This Row],[Units Sold]]&lt;=60,"Low",Table22[[#This Row],[Units Sold]]&lt;=80,"Average",Table22[[#This Row],[Units Sold]]&lt;=90,"High",Table22[[#This Row],[Units Sold]]&lt;=95,"Excellent",Table22[[#This Row],[Units Sold]]&gt;95,"Outstanding")</f>
        <v>Low</v>
      </c>
      <c r="N1097" s="29">
        <v>509.65</v>
      </c>
      <c r="O1097" s="29">
        <v>26501.8</v>
      </c>
      <c r="P1097" s="43">
        <f>IF(Table22[[#This Row],[Discount Applied]],Table22[[#This Row],[Total Sales (in USD)]]*(1-Table22[[#This Row],[Discount Percentage (%)]]/100),Table22[[#This Row],[Total Sales (in USD)]])</f>
        <v>18620.164679999998</v>
      </c>
      <c r="Q1097" s="66">
        <f>SQRT(AVERAGE((Table22[[#This Row],[Net Sales (after discount) (in USD)]]-AVERAGE(Table22[Net Sales (after discount) (in USD)]))^2))</f>
        <v>17891.19588376454</v>
      </c>
      <c r="R1097" s="18" t="b">
        <v>1</v>
      </c>
      <c r="S1097" s="40">
        <v>29.74</v>
      </c>
      <c r="T1097" s="18" t="b">
        <v>1</v>
      </c>
      <c r="U1097" s="25">
        <v>45331</v>
      </c>
      <c r="V1097" s="63" t="str">
        <f>IF(MONTH(Table22[[#This Row],[Sales Date]])&lt;=3,"Q1",IF(MONTH(Table22[[#This Row],[Sales Date]])&lt;=6,"Q2",IF(MONTH(Table22[[#This Row],[Sales Date]])&lt;=9,"Q3","Q4")))</f>
        <v>Q1</v>
      </c>
      <c r="W1097" s="64">
        <f>YEAR(Table22[[#This Row],[Sales Date]])</f>
        <v>2024</v>
      </c>
      <c r="X1097" s="23">
        <v>46</v>
      </c>
      <c r="Y1097" s="18" t="s">
        <v>23</v>
      </c>
      <c r="Z1097" s="18" t="s">
        <v>30</v>
      </c>
      <c r="AA1097" s="19" t="s">
        <v>25</v>
      </c>
    </row>
    <row r="1098" spans="1:27" x14ac:dyDescent="0.25">
      <c r="A1098" s="17" t="s">
        <v>1856</v>
      </c>
      <c r="B1098" s="18" t="s">
        <v>18</v>
      </c>
      <c r="C1098" s="63" t="str" cm="1">
        <f t="array" ref="C1098">_xlfn.SWITCH(Table22[[#This Row],[Country]],"USA","North America","Canada","North America","Brazil","South America","China","Asia","Japan","Asia","India","Asia","France","Europe","Germany","Europe","UK","Europe","Australia","Oceania","South America")</f>
        <v>Asia</v>
      </c>
      <c r="D1098" s="18" t="s">
        <v>21</v>
      </c>
      <c r="E1098" s="18" t="s">
        <v>39</v>
      </c>
      <c r="F1098" s="18" t="s">
        <v>64</v>
      </c>
      <c r="G1098" s="18" t="s">
        <v>48</v>
      </c>
      <c r="H1098" s="64">
        <f>LEN(TRIM(Table22[[#This Row],[Country]]))</f>
        <v>5</v>
      </c>
      <c r="I1098" s="64">
        <f>LEN(TRIM(Table22[[#This Row],[Continent]]))</f>
        <v>4</v>
      </c>
      <c r="J1098" s="64">
        <f>LEN(TRIM(Table22[[#This Row],[Product]]))</f>
        <v>10</v>
      </c>
      <c r="K1098" s="64">
        <f>LEN(TRIM(Table22[[#This Row],[Sales Team]]))</f>
        <v>9</v>
      </c>
      <c r="L1098" s="23">
        <v>36</v>
      </c>
      <c r="M1098" s="65" t="str" cm="1">
        <f t="array" ref="M1098">_xlfn.IFS(Table22[[#This Row],[Units Sold]]&lt;40,"Critical",Table22[[#This Row],[Units Sold]]&lt;=50,"Poor",Table22[[#This Row],[Units Sold]]&lt;=60,"Low",Table22[[#This Row],[Units Sold]]&lt;=80,"Average",Table22[[#This Row],[Units Sold]]&lt;=90,"High",Table22[[#This Row],[Units Sold]]&lt;=95,"Excellent",Table22[[#This Row],[Units Sold]]&gt;95,"Outstanding")</f>
        <v>Critical</v>
      </c>
      <c r="N1098" s="29">
        <v>732.84</v>
      </c>
      <c r="O1098" s="29">
        <v>26382.240000000002</v>
      </c>
      <c r="P1098" s="43">
        <f>IF(Table22[[#This Row],[Discount Applied]],Table22[[#This Row],[Total Sales (in USD)]]*(1-Table22[[#This Row],[Discount Percentage (%)]]/100),Table22[[#This Row],[Total Sales (in USD)]])</f>
        <v>26382.240000000002</v>
      </c>
      <c r="Q1098" s="66">
        <f>SQRT(AVERAGE((Table22[[#This Row],[Net Sales (after discount) (in USD)]]-AVERAGE(Table22[Net Sales (after discount) (in USD)]))^2))</f>
        <v>10129.120563764536</v>
      </c>
      <c r="R1098" s="18" t="b">
        <v>0</v>
      </c>
      <c r="S1098" s="40">
        <v>29.85</v>
      </c>
      <c r="T1098" s="18" t="b">
        <v>0</v>
      </c>
      <c r="U1098" s="25">
        <v>45528</v>
      </c>
      <c r="V1098" s="63" t="str">
        <f>IF(MONTH(Table22[[#This Row],[Sales Date]])&lt;=3,"Q1",IF(MONTH(Table22[[#This Row],[Sales Date]])&lt;=6,"Q2",IF(MONTH(Table22[[#This Row],[Sales Date]])&lt;=9,"Q3","Q4")))</f>
        <v>Q3</v>
      </c>
      <c r="W1098" s="64">
        <f>YEAR(Table22[[#This Row],[Sales Date]])</f>
        <v>2024</v>
      </c>
      <c r="X1098" s="23">
        <v>32</v>
      </c>
      <c r="Y1098" s="18" t="s">
        <v>23</v>
      </c>
      <c r="Z1098" s="18" t="s">
        <v>56</v>
      </c>
      <c r="AA1098" s="19" t="s">
        <v>36</v>
      </c>
    </row>
    <row r="1099" spans="1:27" x14ac:dyDescent="0.25">
      <c r="A1099" s="17" t="s">
        <v>645</v>
      </c>
      <c r="B1099" s="18" t="s">
        <v>51</v>
      </c>
      <c r="C1099" s="63" t="str" cm="1">
        <f t="array" ref="C1099">_xlfn.SWITCH(Table22[[#This Row],[Country]],"USA","North America","Canada","North America","Brazil","South America","China","Asia","Japan","Asia","India","Asia","France","Europe","Germany","Europe","UK","Europe","Australia","Oceania","South America")</f>
        <v>Europe</v>
      </c>
      <c r="D1099" s="18" t="s">
        <v>35</v>
      </c>
      <c r="E1099" s="18" t="s">
        <v>19</v>
      </c>
      <c r="F1099" s="18" t="s">
        <v>20</v>
      </c>
      <c r="G1099" s="18" t="s">
        <v>40</v>
      </c>
      <c r="H1099" s="64">
        <f>LEN(TRIM(Table22[[#This Row],[Country]]))</f>
        <v>2</v>
      </c>
      <c r="I1099" s="64">
        <f>LEN(TRIM(Table22[[#This Row],[Continent]]))</f>
        <v>6</v>
      </c>
      <c r="J1099" s="64">
        <f>LEN(TRIM(Table22[[#This Row],[Product]]))</f>
        <v>6</v>
      </c>
      <c r="K1099" s="64">
        <f>LEN(TRIM(Table22[[#This Row],[Sales Team]]))</f>
        <v>10</v>
      </c>
      <c r="L1099" s="23">
        <v>48</v>
      </c>
      <c r="M1099" s="65" t="str" cm="1">
        <f t="array" ref="M1099">_xlfn.IFS(Table22[[#This Row],[Units Sold]]&lt;40,"Critical",Table22[[#This Row],[Units Sold]]&lt;=50,"Poor",Table22[[#This Row],[Units Sold]]&lt;=60,"Low",Table22[[#This Row],[Units Sold]]&lt;=80,"Average",Table22[[#This Row],[Units Sold]]&lt;=90,"High",Table22[[#This Row],[Units Sold]]&lt;=95,"Excellent",Table22[[#This Row],[Units Sold]]&gt;95,"Outstanding")</f>
        <v>Poor</v>
      </c>
      <c r="N1099" s="29">
        <v>548.91</v>
      </c>
      <c r="O1099" s="29">
        <v>26347.68</v>
      </c>
      <c r="P1099" s="43">
        <f>IF(Table22[[#This Row],[Discount Applied]],Table22[[#This Row],[Total Sales (in USD)]]*(1-Table22[[#This Row],[Discount Percentage (%)]]/100),Table22[[#This Row],[Total Sales (in USD)]])</f>
        <v>26347.68</v>
      </c>
      <c r="Q1099" s="66">
        <f>SQRT(AVERAGE((Table22[[#This Row],[Net Sales (after discount) (in USD)]]-AVERAGE(Table22[Net Sales (after discount) (in USD)]))^2))</f>
        <v>10163.680563764538</v>
      </c>
      <c r="R1099" s="18" t="b">
        <v>1</v>
      </c>
      <c r="S1099" s="40">
        <v>25.63</v>
      </c>
      <c r="T1099" s="18" t="b">
        <v>0</v>
      </c>
      <c r="U1099" s="25">
        <v>45143</v>
      </c>
      <c r="V1099" s="63" t="str">
        <f>IF(MONTH(Table22[[#This Row],[Sales Date]])&lt;=3,"Q1",IF(MONTH(Table22[[#This Row],[Sales Date]])&lt;=6,"Q2",IF(MONTH(Table22[[#This Row],[Sales Date]])&lt;=9,"Q3","Q4")))</f>
        <v>Q3</v>
      </c>
      <c r="W1099" s="64">
        <f>YEAR(Table22[[#This Row],[Sales Date]])</f>
        <v>2023</v>
      </c>
      <c r="X1099" s="23">
        <v>18</v>
      </c>
      <c r="Y1099" s="18" t="s">
        <v>41</v>
      </c>
      <c r="Z1099" s="18" t="s">
        <v>30</v>
      </c>
      <c r="AA1099" s="19" t="s">
        <v>25</v>
      </c>
    </row>
    <row r="1100" spans="1:27" x14ac:dyDescent="0.25">
      <c r="A1100" s="17" t="s">
        <v>1965</v>
      </c>
      <c r="B1100" s="18" t="s">
        <v>66</v>
      </c>
      <c r="C1100" s="63" t="str" cm="1">
        <f t="array" ref="C1100">_xlfn.SWITCH(Table22[[#This Row],[Country]],"USA","North America","Canada","North America","Brazil","South America","China","Asia","Japan","Asia","India","Asia","France","Europe","Germany","Europe","UK","Europe","Australia","Oceania","South America")</f>
        <v>North America</v>
      </c>
      <c r="D1100" s="18" t="s">
        <v>44</v>
      </c>
      <c r="E1100" s="18" t="s">
        <v>33</v>
      </c>
      <c r="F1100" s="18" t="s">
        <v>20</v>
      </c>
      <c r="G1100" s="18" t="s">
        <v>48</v>
      </c>
      <c r="H1100" s="64">
        <f>LEN(TRIM(Table22[[#This Row],[Country]]))</f>
        <v>6</v>
      </c>
      <c r="I1100" s="64">
        <f>LEN(TRIM(Table22[[#This Row],[Continent]]))</f>
        <v>13</v>
      </c>
      <c r="J1100" s="64">
        <f>LEN(TRIM(Table22[[#This Row],[Product]]))</f>
        <v>10</v>
      </c>
      <c r="K1100" s="64">
        <f>LEN(TRIM(Table22[[#This Row],[Sales Team]]))</f>
        <v>9</v>
      </c>
      <c r="L1100" s="23">
        <v>60</v>
      </c>
      <c r="M1100" s="65" t="str" cm="1">
        <f t="array" ref="M1100">_xlfn.IFS(Table22[[#This Row],[Units Sold]]&lt;40,"Critical",Table22[[#This Row],[Units Sold]]&lt;=50,"Poor",Table22[[#This Row],[Units Sold]]&lt;=60,"Low",Table22[[#This Row],[Units Sold]]&lt;=80,"Average",Table22[[#This Row],[Units Sold]]&lt;=90,"High",Table22[[#This Row],[Units Sold]]&lt;=95,"Excellent",Table22[[#This Row],[Units Sold]]&gt;95,"Outstanding")</f>
        <v>Low</v>
      </c>
      <c r="N1100" s="29">
        <v>439.01</v>
      </c>
      <c r="O1100" s="29">
        <v>26340.6</v>
      </c>
      <c r="P1100" s="43">
        <f>IF(Table22[[#This Row],[Discount Applied]],Table22[[#This Row],[Total Sales (in USD)]]*(1-Table22[[#This Row],[Discount Percentage (%)]]/100),Table22[[#This Row],[Total Sales (in USD)]])</f>
        <v>18846.6993</v>
      </c>
      <c r="Q1100" s="66">
        <f>SQRT(AVERAGE((Table22[[#This Row],[Net Sales (after discount) (in USD)]]-AVERAGE(Table22[Net Sales (after discount) (in USD)]))^2))</f>
        <v>17664.661263764538</v>
      </c>
      <c r="R1100" s="18" t="b">
        <v>1</v>
      </c>
      <c r="S1100" s="40">
        <v>28.45</v>
      </c>
      <c r="T1100" s="18" t="b">
        <v>1</v>
      </c>
      <c r="U1100" s="25">
        <v>45586</v>
      </c>
      <c r="V1100" s="63" t="str">
        <f>IF(MONTH(Table22[[#This Row],[Sales Date]])&lt;=3,"Q1",IF(MONTH(Table22[[#This Row],[Sales Date]])&lt;=6,"Q2",IF(MONTH(Table22[[#This Row],[Sales Date]])&lt;=9,"Q3","Q4")))</f>
        <v>Q4</v>
      </c>
      <c r="W1100" s="64">
        <f>YEAR(Table22[[#This Row],[Sales Date]])</f>
        <v>2024</v>
      </c>
      <c r="X1100" s="23">
        <v>32</v>
      </c>
      <c r="Y1100" s="18" t="s">
        <v>23</v>
      </c>
      <c r="Z1100" s="18" t="s">
        <v>30</v>
      </c>
      <c r="AA1100" s="19" t="s">
        <v>36</v>
      </c>
    </row>
    <row r="1101" spans="1:27" x14ac:dyDescent="0.25">
      <c r="A1101" s="17" t="s">
        <v>159</v>
      </c>
      <c r="B1101" s="18" t="s">
        <v>32</v>
      </c>
      <c r="C1101" s="63" t="str" cm="1">
        <f t="array" ref="C1101">_xlfn.SWITCH(Table22[[#This Row],[Country]],"USA","North America","Canada","North America","Brazil","South America","China","Asia","Japan","Asia","India","Asia","France","Europe","Germany","Europe","UK","Europe","Australia","Oceania","South America")</f>
        <v>Asia</v>
      </c>
      <c r="D1101" s="18" t="s">
        <v>28</v>
      </c>
      <c r="E1101" s="18" t="s">
        <v>39</v>
      </c>
      <c r="F1101" s="18" t="s">
        <v>64</v>
      </c>
      <c r="G1101" s="18" t="s">
        <v>22</v>
      </c>
      <c r="H1101" s="64">
        <f>LEN(TRIM(Table22[[#This Row],[Country]]))</f>
        <v>5</v>
      </c>
      <c r="I1101" s="64">
        <f>LEN(TRIM(Table22[[#This Row],[Continent]]))</f>
        <v>4</v>
      </c>
      <c r="J1101" s="64">
        <f>LEN(TRIM(Table22[[#This Row],[Product]]))</f>
        <v>10</v>
      </c>
      <c r="K1101" s="64">
        <f>LEN(TRIM(Table22[[#This Row],[Sales Team]]))</f>
        <v>10</v>
      </c>
      <c r="L1101" s="23">
        <v>52</v>
      </c>
      <c r="M1101" s="65" t="str" cm="1">
        <f t="array" ref="M1101">_xlfn.IFS(Table22[[#This Row],[Units Sold]]&lt;40,"Critical",Table22[[#This Row],[Units Sold]]&lt;=50,"Poor",Table22[[#This Row],[Units Sold]]&lt;=60,"Low",Table22[[#This Row],[Units Sold]]&lt;=80,"Average",Table22[[#This Row],[Units Sold]]&lt;=90,"High",Table22[[#This Row],[Units Sold]]&lt;=95,"Excellent",Table22[[#This Row],[Units Sold]]&gt;95,"Outstanding")</f>
        <v>Low</v>
      </c>
      <c r="N1101" s="29">
        <v>505.46</v>
      </c>
      <c r="O1101" s="29">
        <v>26283.919999999998</v>
      </c>
      <c r="P1101" s="43">
        <f>IF(Table22[[#This Row],[Discount Applied]],Table22[[#This Row],[Total Sales (in USD)]]*(1-Table22[[#This Row],[Discount Percentage (%)]]/100),Table22[[#This Row],[Total Sales (in USD)]])</f>
        <v>24796.250128</v>
      </c>
      <c r="Q1101" s="66">
        <f>SQRT(AVERAGE((Table22[[#This Row],[Net Sales (after discount) (in USD)]]-AVERAGE(Table22[Net Sales (after discount) (in USD)]))^2))</f>
        <v>11715.110435764538</v>
      </c>
      <c r="R1101" s="18" t="b">
        <v>1</v>
      </c>
      <c r="S1101" s="40">
        <v>5.66</v>
      </c>
      <c r="T1101" s="18" t="b">
        <v>1</v>
      </c>
      <c r="U1101" s="25">
        <v>45388</v>
      </c>
      <c r="V1101" s="63" t="str">
        <f>IF(MONTH(Table22[[#This Row],[Sales Date]])&lt;=3,"Q1",IF(MONTH(Table22[[#This Row],[Sales Date]])&lt;=6,"Q2",IF(MONTH(Table22[[#This Row],[Sales Date]])&lt;=9,"Q3","Q4")))</f>
        <v>Q2</v>
      </c>
      <c r="W1101" s="64">
        <f>YEAR(Table22[[#This Row],[Sales Date]])</f>
        <v>2024</v>
      </c>
      <c r="X1101" s="23">
        <v>51</v>
      </c>
      <c r="Y1101" s="18" t="s">
        <v>41</v>
      </c>
      <c r="Z1101" s="18" t="s">
        <v>30</v>
      </c>
      <c r="AA1101" s="19" t="s">
        <v>36</v>
      </c>
    </row>
    <row r="1102" spans="1:27" x14ac:dyDescent="0.25">
      <c r="A1102" s="17" t="s">
        <v>1842</v>
      </c>
      <c r="B1102" s="18" t="s">
        <v>27</v>
      </c>
      <c r="C1102" s="63" t="str" cm="1">
        <f t="array" ref="C1102">_xlfn.SWITCH(Table22[[#This Row],[Country]],"USA","North America","Canada","North America","Brazil","South America","China","Asia","Japan","Asia","India","Asia","France","Europe","Germany","Europe","UK","Europe","Australia","Oceania","South America")</f>
        <v>Europe</v>
      </c>
      <c r="D1102" s="18" t="s">
        <v>21</v>
      </c>
      <c r="E1102" s="18" t="s">
        <v>33</v>
      </c>
      <c r="F1102" s="18" t="s">
        <v>20</v>
      </c>
      <c r="G1102" s="18" t="s">
        <v>48</v>
      </c>
      <c r="H1102" s="64">
        <f>LEN(TRIM(Table22[[#This Row],[Country]]))</f>
        <v>7</v>
      </c>
      <c r="I1102" s="64">
        <f>LEN(TRIM(Table22[[#This Row],[Continent]]))</f>
        <v>6</v>
      </c>
      <c r="J1102" s="64">
        <f>LEN(TRIM(Table22[[#This Row],[Product]]))</f>
        <v>10</v>
      </c>
      <c r="K1102" s="64">
        <f>LEN(TRIM(Table22[[#This Row],[Sales Team]]))</f>
        <v>9</v>
      </c>
      <c r="L1102" s="23">
        <v>65</v>
      </c>
      <c r="M1102" s="65" t="str" cm="1">
        <f t="array" ref="M1102">_xlfn.IFS(Table22[[#This Row],[Units Sold]]&lt;40,"Critical",Table22[[#This Row],[Units Sold]]&lt;=50,"Poor",Table22[[#This Row],[Units Sold]]&lt;=60,"Low",Table22[[#This Row],[Units Sold]]&lt;=80,"Average",Table22[[#This Row],[Units Sold]]&lt;=90,"High",Table22[[#This Row],[Units Sold]]&lt;=95,"Excellent",Table22[[#This Row],[Units Sold]]&gt;95,"Outstanding")</f>
        <v>Average</v>
      </c>
      <c r="N1102" s="29">
        <v>403.57</v>
      </c>
      <c r="O1102" s="29">
        <v>26232.05</v>
      </c>
      <c r="P1102" s="43">
        <f>IF(Table22[[#This Row],[Discount Applied]],Table22[[#This Row],[Total Sales (in USD)]]*(1-Table22[[#This Row],[Discount Percentage (%)]]/100),Table22[[#This Row],[Total Sales (in USD)]])</f>
        <v>22480.866849999999</v>
      </c>
      <c r="Q1102" s="66">
        <f>SQRT(AVERAGE((Table22[[#This Row],[Net Sales (after discount) (in USD)]]-AVERAGE(Table22[Net Sales (after discount) (in USD)]))^2))</f>
        <v>14030.493713764539</v>
      </c>
      <c r="R1102" s="18" t="b">
        <v>0</v>
      </c>
      <c r="S1102" s="40">
        <v>14.3</v>
      </c>
      <c r="T1102" s="18" t="b">
        <v>1</v>
      </c>
      <c r="U1102" s="25">
        <v>45264</v>
      </c>
      <c r="V1102" s="63" t="str">
        <f>IF(MONTH(Table22[[#This Row],[Sales Date]])&lt;=3,"Q1",IF(MONTH(Table22[[#This Row],[Sales Date]])&lt;=6,"Q2",IF(MONTH(Table22[[#This Row],[Sales Date]])&lt;=9,"Q3","Q4")))</f>
        <v>Q4</v>
      </c>
      <c r="W1102" s="64">
        <f>YEAR(Table22[[#This Row],[Sales Date]])</f>
        <v>2023</v>
      </c>
      <c r="X1102" s="23">
        <v>40</v>
      </c>
      <c r="Y1102" s="18" t="s">
        <v>23</v>
      </c>
      <c r="Z1102" s="18" t="s">
        <v>56</v>
      </c>
      <c r="AA1102" s="19" t="s">
        <v>25</v>
      </c>
    </row>
    <row r="1103" spans="1:27" x14ac:dyDescent="0.25">
      <c r="A1103" s="17" t="s">
        <v>257</v>
      </c>
      <c r="B1103" s="18" t="s">
        <v>27</v>
      </c>
      <c r="C1103" s="63" t="str" cm="1">
        <f t="array" ref="C1103">_xlfn.SWITCH(Table22[[#This Row],[Country]],"USA","North America","Canada","North America","Brazil","South America","China","Asia","Japan","Asia","India","Asia","France","Europe","Germany","Europe","UK","Europe","Australia","Oceania","South America")</f>
        <v>Europe</v>
      </c>
      <c r="D1103" s="18" t="s">
        <v>28</v>
      </c>
      <c r="E1103" s="18" t="s">
        <v>33</v>
      </c>
      <c r="F1103" s="18" t="s">
        <v>64</v>
      </c>
      <c r="G1103" s="18" t="s">
        <v>48</v>
      </c>
      <c r="H1103" s="64">
        <f>LEN(TRIM(Table22[[#This Row],[Country]]))</f>
        <v>7</v>
      </c>
      <c r="I1103" s="64">
        <f>LEN(TRIM(Table22[[#This Row],[Continent]]))</f>
        <v>6</v>
      </c>
      <c r="J1103" s="64">
        <f>LEN(TRIM(Table22[[#This Row],[Product]]))</f>
        <v>10</v>
      </c>
      <c r="K1103" s="64">
        <f>LEN(TRIM(Table22[[#This Row],[Sales Team]]))</f>
        <v>9</v>
      </c>
      <c r="L1103" s="23">
        <v>29</v>
      </c>
      <c r="M1103" s="65" t="str" cm="1">
        <f t="array" ref="M1103">_xlfn.IFS(Table22[[#This Row],[Units Sold]]&lt;40,"Critical",Table22[[#This Row],[Units Sold]]&lt;=50,"Poor",Table22[[#This Row],[Units Sold]]&lt;=60,"Low",Table22[[#This Row],[Units Sold]]&lt;=80,"Average",Table22[[#This Row],[Units Sold]]&lt;=90,"High",Table22[[#This Row],[Units Sold]]&lt;=95,"Excellent",Table22[[#This Row],[Units Sold]]&gt;95,"Outstanding")</f>
        <v>Critical</v>
      </c>
      <c r="N1103" s="29">
        <v>904.28</v>
      </c>
      <c r="O1103" s="29">
        <v>26224.12</v>
      </c>
      <c r="P1103" s="43">
        <f>IF(Table22[[#This Row],[Discount Applied]],Table22[[#This Row],[Total Sales (in USD)]]*(1-Table22[[#This Row],[Discount Percentage (%)]]/100),Table22[[#This Row],[Total Sales (in USD)]])</f>
        <v>25280.051679999997</v>
      </c>
      <c r="Q1103" s="66">
        <f>SQRT(AVERAGE((Table22[[#This Row],[Net Sales (after discount) (in USD)]]-AVERAGE(Table22[Net Sales (after discount) (in USD)]))^2))</f>
        <v>11231.308883764541</v>
      </c>
      <c r="R1103" s="18" t="b">
        <v>0</v>
      </c>
      <c r="S1103" s="40">
        <v>3.6</v>
      </c>
      <c r="T1103" s="18" t="b">
        <v>1</v>
      </c>
      <c r="U1103" s="25">
        <v>45397</v>
      </c>
      <c r="V1103" s="63" t="str">
        <f>IF(MONTH(Table22[[#This Row],[Sales Date]])&lt;=3,"Q1",IF(MONTH(Table22[[#This Row],[Sales Date]])&lt;=6,"Q2",IF(MONTH(Table22[[#This Row],[Sales Date]])&lt;=9,"Q3","Q4")))</f>
        <v>Q2</v>
      </c>
      <c r="W1103" s="64">
        <f>YEAR(Table22[[#This Row],[Sales Date]])</f>
        <v>2024</v>
      </c>
      <c r="X1103" s="23">
        <v>66</v>
      </c>
      <c r="Y1103" s="18" t="s">
        <v>23</v>
      </c>
      <c r="Z1103" s="18" t="s">
        <v>24</v>
      </c>
      <c r="AA1103" s="19" t="s">
        <v>36</v>
      </c>
    </row>
    <row r="1104" spans="1:27" x14ac:dyDescent="0.25">
      <c r="A1104" s="17" t="s">
        <v>728</v>
      </c>
      <c r="B1104" s="18" t="s">
        <v>27</v>
      </c>
      <c r="C1104" s="63" t="str" cm="1">
        <f t="array" ref="C1104">_xlfn.SWITCH(Table22[[#This Row],[Country]],"USA","North America","Canada","North America","Brazil","South America","China","Asia","Japan","Asia","India","Asia","France","Europe","Germany","Europe","UK","Europe","Australia","Oceania","South America")</f>
        <v>Europe</v>
      </c>
      <c r="D1104" s="18" t="s">
        <v>44</v>
      </c>
      <c r="E1104" s="18" t="s">
        <v>19</v>
      </c>
      <c r="F1104" s="18" t="s">
        <v>34</v>
      </c>
      <c r="G1104" s="18" t="s">
        <v>48</v>
      </c>
      <c r="H1104" s="64">
        <f>LEN(TRIM(Table22[[#This Row],[Country]]))</f>
        <v>7</v>
      </c>
      <c r="I1104" s="64">
        <f>LEN(TRIM(Table22[[#This Row],[Continent]]))</f>
        <v>6</v>
      </c>
      <c r="J1104" s="64">
        <f>LEN(TRIM(Table22[[#This Row],[Product]]))</f>
        <v>6</v>
      </c>
      <c r="K1104" s="64">
        <f>LEN(TRIM(Table22[[#This Row],[Sales Team]]))</f>
        <v>9</v>
      </c>
      <c r="L1104" s="23">
        <v>20</v>
      </c>
      <c r="M1104" s="65" t="str" cm="1">
        <f t="array" ref="M1104">_xlfn.IFS(Table22[[#This Row],[Units Sold]]&lt;40,"Critical",Table22[[#This Row],[Units Sold]]&lt;=50,"Poor",Table22[[#This Row],[Units Sold]]&lt;=60,"Low",Table22[[#This Row],[Units Sold]]&lt;=80,"Average",Table22[[#This Row],[Units Sold]]&lt;=90,"High",Table22[[#This Row],[Units Sold]]&lt;=95,"Excellent",Table22[[#This Row],[Units Sold]]&gt;95,"Outstanding")</f>
        <v>Critical</v>
      </c>
      <c r="N1104" s="29">
        <v>1307.8399999999999</v>
      </c>
      <c r="O1104" s="29">
        <v>26156.799999999999</v>
      </c>
      <c r="P1104" s="43">
        <f>IF(Table22[[#This Row],[Discount Applied]],Table22[[#This Row],[Total Sales (in USD)]]*(1-Table22[[#This Row],[Discount Percentage (%)]]/100),Table22[[#This Row],[Total Sales (in USD)]])</f>
        <v>26156.799999999999</v>
      </c>
      <c r="Q1104" s="66">
        <f>SQRT(AVERAGE((Table22[[#This Row],[Net Sales (after discount) (in USD)]]-AVERAGE(Table22[Net Sales (after discount) (in USD)]))^2))</f>
        <v>10354.560563764539</v>
      </c>
      <c r="R1104" s="18" t="b">
        <v>1</v>
      </c>
      <c r="S1104" s="40">
        <v>17.11</v>
      </c>
      <c r="T1104" s="18" t="b">
        <v>0</v>
      </c>
      <c r="U1104" s="25">
        <v>45495</v>
      </c>
      <c r="V1104" s="63" t="str">
        <f>IF(MONTH(Table22[[#This Row],[Sales Date]])&lt;=3,"Q1",IF(MONTH(Table22[[#This Row],[Sales Date]])&lt;=6,"Q2",IF(MONTH(Table22[[#This Row],[Sales Date]])&lt;=9,"Q3","Q4")))</f>
        <v>Q3</v>
      </c>
      <c r="W1104" s="64">
        <f>YEAR(Table22[[#This Row],[Sales Date]])</f>
        <v>2024</v>
      </c>
      <c r="X1104" s="23">
        <v>31</v>
      </c>
      <c r="Y1104" s="18" t="s">
        <v>23</v>
      </c>
      <c r="Z1104" s="18" t="s">
        <v>30</v>
      </c>
      <c r="AA1104" s="19" t="s">
        <v>25</v>
      </c>
    </row>
    <row r="1105" spans="1:27" x14ac:dyDescent="0.25">
      <c r="A1105" s="17" t="s">
        <v>1043</v>
      </c>
      <c r="B1105" s="18" t="s">
        <v>62</v>
      </c>
      <c r="C1105" s="63" t="str" cm="1">
        <f t="array" ref="C1105">_xlfn.SWITCH(Table22[[#This Row],[Country]],"USA","North America","Canada","North America","Brazil","South America","China","Asia","Japan","Asia","India","Asia","France","Europe","Germany","Europe","UK","Europe","Australia","Oceania","South America")</f>
        <v>Oceania</v>
      </c>
      <c r="D1105" s="18" t="s">
        <v>21</v>
      </c>
      <c r="E1105" s="18" t="s">
        <v>39</v>
      </c>
      <c r="F1105" s="18" t="s">
        <v>64</v>
      </c>
      <c r="G1105" s="18" t="s">
        <v>29</v>
      </c>
      <c r="H1105" s="64">
        <f>LEN(TRIM(Table22[[#This Row],[Country]]))</f>
        <v>9</v>
      </c>
      <c r="I1105" s="64">
        <f>LEN(TRIM(Table22[[#This Row],[Continent]]))</f>
        <v>7</v>
      </c>
      <c r="J1105" s="64">
        <f>LEN(TRIM(Table22[[#This Row],[Product]]))</f>
        <v>10</v>
      </c>
      <c r="K1105" s="64">
        <f>LEN(TRIM(Table22[[#This Row],[Sales Team]]))</f>
        <v>10</v>
      </c>
      <c r="L1105" s="23">
        <v>95</v>
      </c>
      <c r="M1105" s="65" t="str" cm="1">
        <f t="array" ref="M1105">_xlfn.IFS(Table22[[#This Row],[Units Sold]]&lt;40,"Critical",Table22[[#This Row],[Units Sold]]&lt;=50,"Poor",Table22[[#This Row],[Units Sold]]&lt;=60,"Low",Table22[[#This Row],[Units Sold]]&lt;=80,"Average",Table22[[#This Row],[Units Sold]]&lt;=90,"High",Table22[[#This Row],[Units Sold]]&lt;=95,"Excellent",Table22[[#This Row],[Units Sold]]&gt;95,"Outstanding")</f>
        <v>Excellent</v>
      </c>
      <c r="N1105" s="29">
        <v>275.25</v>
      </c>
      <c r="O1105" s="29">
        <v>26148.75</v>
      </c>
      <c r="P1105" s="43">
        <f>IF(Table22[[#This Row],[Discount Applied]],Table22[[#This Row],[Total Sales (in USD)]]*(1-Table22[[#This Row],[Discount Percentage (%)]]/100),Table22[[#This Row],[Total Sales (in USD)]])</f>
        <v>26148.75</v>
      </c>
      <c r="Q1105" s="66">
        <f>SQRT(AVERAGE((Table22[[#This Row],[Net Sales (after discount) (in USD)]]-AVERAGE(Table22[Net Sales (after discount) (in USD)]))^2))</f>
        <v>10362.610563764538</v>
      </c>
      <c r="R1105" s="18" t="b">
        <v>1</v>
      </c>
      <c r="S1105" s="40">
        <v>1.26</v>
      </c>
      <c r="T1105" s="18" t="b">
        <v>0</v>
      </c>
      <c r="U1105" s="25">
        <v>45188</v>
      </c>
      <c r="V1105" s="63" t="str">
        <f>IF(MONTH(Table22[[#This Row],[Sales Date]])&lt;=3,"Q1",IF(MONTH(Table22[[#This Row],[Sales Date]])&lt;=6,"Q2",IF(MONTH(Table22[[#This Row],[Sales Date]])&lt;=9,"Q3","Q4")))</f>
        <v>Q3</v>
      </c>
      <c r="W1105" s="64">
        <f>YEAR(Table22[[#This Row],[Sales Date]])</f>
        <v>2023</v>
      </c>
      <c r="X1105" s="23">
        <v>26</v>
      </c>
      <c r="Y1105" s="18" t="s">
        <v>23</v>
      </c>
      <c r="Z1105" s="18" t="s">
        <v>30</v>
      </c>
      <c r="AA1105" s="19" t="s">
        <v>36</v>
      </c>
    </row>
    <row r="1106" spans="1:27" x14ac:dyDescent="0.25">
      <c r="A1106" s="17" t="s">
        <v>1458</v>
      </c>
      <c r="B1106" s="18" t="s">
        <v>72</v>
      </c>
      <c r="C1106" s="63" t="str" cm="1">
        <f t="array" ref="C1106">_xlfn.SWITCH(Table22[[#This Row],[Country]],"USA","North America","Canada","North America","Brazil","South America","China","Asia","Japan","Asia","India","Asia","France","Europe","Germany","Europe","UK","Europe","Australia","Oceania","South America")</f>
        <v>North America</v>
      </c>
      <c r="D1106" s="18" t="s">
        <v>28</v>
      </c>
      <c r="E1106" s="18" t="s">
        <v>39</v>
      </c>
      <c r="F1106" s="18" t="s">
        <v>64</v>
      </c>
      <c r="G1106" s="18" t="s">
        <v>48</v>
      </c>
      <c r="H1106" s="64">
        <f>LEN(TRIM(Table22[[#This Row],[Country]]))</f>
        <v>3</v>
      </c>
      <c r="I1106" s="64">
        <f>LEN(TRIM(Table22[[#This Row],[Continent]]))</f>
        <v>13</v>
      </c>
      <c r="J1106" s="64">
        <f>LEN(TRIM(Table22[[#This Row],[Product]]))</f>
        <v>10</v>
      </c>
      <c r="K1106" s="64">
        <f>LEN(TRIM(Table22[[#This Row],[Sales Team]]))</f>
        <v>9</v>
      </c>
      <c r="L1106" s="23">
        <v>21</v>
      </c>
      <c r="M1106" s="65" t="str" cm="1">
        <f t="array" ref="M1106">_xlfn.IFS(Table22[[#This Row],[Units Sold]]&lt;40,"Critical",Table22[[#This Row],[Units Sold]]&lt;=50,"Poor",Table22[[#This Row],[Units Sold]]&lt;=60,"Low",Table22[[#This Row],[Units Sold]]&lt;=80,"Average",Table22[[#This Row],[Units Sold]]&lt;=90,"High",Table22[[#This Row],[Units Sold]]&lt;=95,"Excellent",Table22[[#This Row],[Units Sold]]&gt;95,"Outstanding")</f>
        <v>Critical</v>
      </c>
      <c r="N1106" s="29">
        <v>1242.97</v>
      </c>
      <c r="O1106" s="29">
        <v>26102.37</v>
      </c>
      <c r="P1106" s="43">
        <f>IF(Table22[[#This Row],[Discount Applied]],Table22[[#This Row],[Total Sales (in USD)]]*(1-Table22[[#This Row],[Discount Percentage (%)]]/100),Table22[[#This Row],[Total Sales (in USD)]])</f>
        <v>22923.101333999999</v>
      </c>
      <c r="Q1106" s="66">
        <f>SQRT(AVERAGE((Table22[[#This Row],[Net Sales (after discount) (in USD)]]-AVERAGE(Table22[Net Sales (after discount) (in USD)]))^2))</f>
        <v>13588.259229764539</v>
      </c>
      <c r="R1106" s="18" t="b">
        <v>0</v>
      </c>
      <c r="S1106" s="40">
        <v>12.18</v>
      </c>
      <c r="T1106" s="18" t="b">
        <v>1</v>
      </c>
      <c r="U1106" s="25">
        <v>45008</v>
      </c>
      <c r="V1106" s="63" t="str">
        <f>IF(MONTH(Table22[[#This Row],[Sales Date]])&lt;=3,"Q1",IF(MONTH(Table22[[#This Row],[Sales Date]])&lt;=6,"Q2",IF(MONTH(Table22[[#This Row],[Sales Date]])&lt;=9,"Q3","Q4")))</f>
        <v>Q1</v>
      </c>
      <c r="W1106" s="64">
        <f>YEAR(Table22[[#This Row],[Sales Date]])</f>
        <v>2023</v>
      </c>
      <c r="X1106" s="23">
        <v>21</v>
      </c>
      <c r="Y1106" s="18" t="s">
        <v>23</v>
      </c>
      <c r="Z1106" s="18" t="s">
        <v>30</v>
      </c>
      <c r="AA1106" s="19" t="s">
        <v>25</v>
      </c>
    </row>
    <row r="1107" spans="1:27" x14ac:dyDescent="0.25">
      <c r="A1107" s="17" t="s">
        <v>799</v>
      </c>
      <c r="B1107" s="18" t="s">
        <v>51</v>
      </c>
      <c r="C1107" s="63" t="str" cm="1">
        <f t="array" ref="C1107">_xlfn.SWITCH(Table22[[#This Row],[Country]],"USA","North America","Canada","North America","Brazil","South America","China","Asia","Japan","Asia","India","Asia","France","Europe","Germany","Europe","UK","Europe","Australia","Oceania","South America")</f>
        <v>Europe</v>
      </c>
      <c r="D1107" s="18" t="s">
        <v>28</v>
      </c>
      <c r="E1107" s="18" t="s">
        <v>19</v>
      </c>
      <c r="F1107" s="18" t="s">
        <v>34</v>
      </c>
      <c r="G1107" s="18" t="s">
        <v>48</v>
      </c>
      <c r="H1107" s="64">
        <f>LEN(TRIM(Table22[[#This Row],[Country]]))</f>
        <v>2</v>
      </c>
      <c r="I1107" s="64">
        <f>LEN(TRIM(Table22[[#This Row],[Continent]]))</f>
        <v>6</v>
      </c>
      <c r="J1107" s="64">
        <f>LEN(TRIM(Table22[[#This Row],[Product]]))</f>
        <v>6</v>
      </c>
      <c r="K1107" s="64">
        <f>LEN(TRIM(Table22[[#This Row],[Sales Team]]))</f>
        <v>9</v>
      </c>
      <c r="L1107" s="23">
        <v>55</v>
      </c>
      <c r="M1107" s="65" t="str" cm="1">
        <f t="array" ref="M1107">_xlfn.IFS(Table22[[#This Row],[Units Sold]]&lt;40,"Critical",Table22[[#This Row],[Units Sold]]&lt;=50,"Poor",Table22[[#This Row],[Units Sold]]&lt;=60,"Low",Table22[[#This Row],[Units Sold]]&lt;=80,"Average",Table22[[#This Row],[Units Sold]]&lt;=90,"High",Table22[[#This Row],[Units Sold]]&lt;=95,"Excellent",Table22[[#This Row],[Units Sold]]&gt;95,"Outstanding")</f>
        <v>Low</v>
      </c>
      <c r="N1107" s="29">
        <v>474.48</v>
      </c>
      <c r="O1107" s="29">
        <v>26096.400000000001</v>
      </c>
      <c r="P1107" s="43">
        <f>IF(Table22[[#This Row],[Discount Applied]],Table22[[#This Row],[Total Sales (in USD)]]*(1-Table22[[#This Row],[Discount Percentage (%)]]/100),Table22[[#This Row],[Total Sales (in USD)]])</f>
        <v>26096.400000000001</v>
      </c>
      <c r="Q1107" s="66">
        <f>SQRT(AVERAGE((Table22[[#This Row],[Net Sales (after discount) (in USD)]]-AVERAGE(Table22[Net Sales (after discount) (in USD)]))^2))</f>
        <v>10414.960563764536</v>
      </c>
      <c r="R1107" s="18" t="b">
        <v>1</v>
      </c>
      <c r="S1107" s="40">
        <v>29.57</v>
      </c>
      <c r="T1107" s="18" t="b">
        <v>0</v>
      </c>
      <c r="U1107" s="25">
        <v>45150</v>
      </c>
      <c r="V1107" s="63" t="str">
        <f>IF(MONTH(Table22[[#This Row],[Sales Date]])&lt;=3,"Q1",IF(MONTH(Table22[[#This Row],[Sales Date]])&lt;=6,"Q2",IF(MONTH(Table22[[#This Row],[Sales Date]])&lt;=9,"Q3","Q4")))</f>
        <v>Q3</v>
      </c>
      <c r="W1107" s="64">
        <f>YEAR(Table22[[#This Row],[Sales Date]])</f>
        <v>2023</v>
      </c>
      <c r="X1107" s="23">
        <v>27</v>
      </c>
      <c r="Y1107" s="18" t="s">
        <v>41</v>
      </c>
      <c r="Z1107" s="18" t="s">
        <v>56</v>
      </c>
      <c r="AA1107" s="19" t="s">
        <v>36</v>
      </c>
    </row>
    <row r="1108" spans="1:27" x14ac:dyDescent="0.25">
      <c r="A1108" s="17" t="s">
        <v>1587</v>
      </c>
      <c r="B1108" s="18" t="s">
        <v>27</v>
      </c>
      <c r="C1108" s="63" t="str" cm="1">
        <f t="array" ref="C1108">_xlfn.SWITCH(Table22[[#This Row],[Country]],"USA","North America","Canada","North America","Brazil","South America","China","Asia","Japan","Asia","India","Asia","France","Europe","Germany","Europe","UK","Europe","Australia","Oceania","South America")</f>
        <v>Europe</v>
      </c>
      <c r="D1108" s="18" t="s">
        <v>21</v>
      </c>
      <c r="E1108" s="18" t="s">
        <v>33</v>
      </c>
      <c r="F1108" s="18" t="s">
        <v>34</v>
      </c>
      <c r="G1108" s="18" t="s">
        <v>29</v>
      </c>
      <c r="H1108" s="64">
        <f>LEN(TRIM(Table22[[#This Row],[Country]]))</f>
        <v>7</v>
      </c>
      <c r="I1108" s="64">
        <f>LEN(TRIM(Table22[[#This Row],[Continent]]))</f>
        <v>6</v>
      </c>
      <c r="J1108" s="64">
        <f>LEN(TRIM(Table22[[#This Row],[Product]]))</f>
        <v>10</v>
      </c>
      <c r="K1108" s="64">
        <f>LEN(TRIM(Table22[[#This Row],[Sales Team]]))</f>
        <v>10</v>
      </c>
      <c r="L1108" s="23">
        <v>21</v>
      </c>
      <c r="M1108" s="65" t="str" cm="1">
        <f t="array" ref="M1108">_xlfn.IFS(Table22[[#This Row],[Units Sold]]&lt;40,"Critical",Table22[[#This Row],[Units Sold]]&lt;=50,"Poor",Table22[[#This Row],[Units Sold]]&lt;=60,"Low",Table22[[#This Row],[Units Sold]]&lt;=80,"Average",Table22[[#This Row],[Units Sold]]&lt;=90,"High",Table22[[#This Row],[Units Sold]]&lt;=95,"Excellent",Table22[[#This Row],[Units Sold]]&gt;95,"Outstanding")</f>
        <v>Critical</v>
      </c>
      <c r="N1108" s="29">
        <v>1242.21</v>
      </c>
      <c r="O1108" s="29">
        <v>26086.41</v>
      </c>
      <c r="P1108" s="43">
        <f>IF(Table22[[#This Row],[Discount Applied]],Table22[[#This Row],[Total Sales (in USD)]]*(1-Table22[[#This Row],[Discount Percentage (%)]]/100),Table22[[#This Row],[Total Sales (in USD)]])</f>
        <v>25439.467032</v>
      </c>
      <c r="Q1108" s="66">
        <f>SQRT(AVERAGE((Table22[[#This Row],[Net Sales (after discount) (in USD)]]-AVERAGE(Table22[Net Sales (after discount) (in USD)]))^2))</f>
        <v>11071.893531764537</v>
      </c>
      <c r="R1108" s="18" t="b">
        <v>0</v>
      </c>
      <c r="S1108" s="40">
        <v>2.48</v>
      </c>
      <c r="T1108" s="18" t="b">
        <v>1</v>
      </c>
      <c r="U1108" s="25">
        <v>45438</v>
      </c>
      <c r="V1108" s="63" t="str">
        <f>IF(MONTH(Table22[[#This Row],[Sales Date]])&lt;=3,"Q1",IF(MONTH(Table22[[#This Row],[Sales Date]])&lt;=6,"Q2",IF(MONTH(Table22[[#This Row],[Sales Date]])&lt;=9,"Q3","Q4")))</f>
        <v>Q2</v>
      </c>
      <c r="W1108" s="64">
        <f>YEAR(Table22[[#This Row],[Sales Date]])</f>
        <v>2024</v>
      </c>
      <c r="X1108" s="23">
        <v>47</v>
      </c>
      <c r="Y1108" s="18" t="s">
        <v>41</v>
      </c>
      <c r="Z1108" s="18" t="s">
        <v>30</v>
      </c>
      <c r="AA1108" s="19" t="s">
        <v>36</v>
      </c>
    </row>
    <row r="1109" spans="1:27" x14ac:dyDescent="0.25">
      <c r="A1109" s="17" t="s">
        <v>373</v>
      </c>
      <c r="B1109" s="18" t="s">
        <v>18</v>
      </c>
      <c r="C1109" s="63" t="str" cm="1">
        <f t="array" ref="C1109">_xlfn.SWITCH(Table22[[#This Row],[Country]],"USA","North America","Canada","North America","Brazil","South America","China","Asia","Japan","Asia","India","Asia","France","Europe","Germany","Europe","UK","Europe","Australia","Oceania","South America")</f>
        <v>Asia</v>
      </c>
      <c r="D1109" s="18" t="s">
        <v>35</v>
      </c>
      <c r="E1109" s="18" t="s">
        <v>39</v>
      </c>
      <c r="F1109" s="18" t="s">
        <v>47</v>
      </c>
      <c r="G1109" s="18" t="s">
        <v>40</v>
      </c>
      <c r="H1109" s="64">
        <f>LEN(TRIM(Table22[[#This Row],[Country]]))</f>
        <v>5</v>
      </c>
      <c r="I1109" s="64">
        <f>LEN(TRIM(Table22[[#This Row],[Continent]]))</f>
        <v>4</v>
      </c>
      <c r="J1109" s="64">
        <f>LEN(TRIM(Table22[[#This Row],[Product]]))</f>
        <v>10</v>
      </c>
      <c r="K1109" s="64">
        <f>LEN(TRIM(Table22[[#This Row],[Sales Team]]))</f>
        <v>10</v>
      </c>
      <c r="L1109" s="23">
        <v>41</v>
      </c>
      <c r="M1109" s="65" t="str" cm="1">
        <f t="array" ref="M1109">_xlfn.IFS(Table22[[#This Row],[Units Sold]]&lt;40,"Critical",Table22[[#This Row],[Units Sold]]&lt;=50,"Poor",Table22[[#This Row],[Units Sold]]&lt;=60,"Low",Table22[[#This Row],[Units Sold]]&lt;=80,"Average",Table22[[#This Row],[Units Sold]]&lt;=90,"High",Table22[[#This Row],[Units Sold]]&lt;=95,"Excellent",Table22[[#This Row],[Units Sold]]&gt;95,"Outstanding")</f>
        <v>Poor</v>
      </c>
      <c r="N1109" s="29">
        <v>636.02</v>
      </c>
      <c r="O1109" s="29">
        <v>26076.82</v>
      </c>
      <c r="P1109" s="43">
        <f>IF(Table22[[#This Row],[Discount Applied]],Table22[[#This Row],[Total Sales (in USD)]]*(1-Table22[[#This Row],[Discount Percentage (%)]]/100),Table22[[#This Row],[Total Sales (in USD)]])</f>
        <v>26076.82</v>
      </c>
      <c r="Q1109" s="66">
        <f>SQRT(AVERAGE((Table22[[#This Row],[Net Sales (after discount) (in USD)]]-AVERAGE(Table22[Net Sales (after discount) (in USD)]))^2))</f>
        <v>10434.540563764538</v>
      </c>
      <c r="R1109" s="18" t="b">
        <v>1</v>
      </c>
      <c r="S1109" s="40">
        <v>28.07</v>
      </c>
      <c r="T1109" s="18" t="b">
        <v>0</v>
      </c>
      <c r="U1109" s="25">
        <v>45091</v>
      </c>
      <c r="V1109" s="63" t="str">
        <f>IF(MONTH(Table22[[#This Row],[Sales Date]])&lt;=3,"Q1",IF(MONTH(Table22[[#This Row],[Sales Date]])&lt;=6,"Q2",IF(MONTH(Table22[[#This Row],[Sales Date]])&lt;=9,"Q3","Q4")))</f>
        <v>Q2</v>
      </c>
      <c r="W1109" s="64">
        <f>YEAR(Table22[[#This Row],[Sales Date]])</f>
        <v>2023</v>
      </c>
      <c r="X1109" s="23">
        <v>20</v>
      </c>
      <c r="Y1109" s="18" t="s">
        <v>49</v>
      </c>
      <c r="Z1109" s="18" t="s">
        <v>42</v>
      </c>
      <c r="AA1109" s="19" t="s">
        <v>25</v>
      </c>
    </row>
    <row r="1110" spans="1:27" x14ac:dyDescent="0.25">
      <c r="A1110" s="17" t="s">
        <v>585</v>
      </c>
      <c r="B1110" s="18" t="s">
        <v>51</v>
      </c>
      <c r="C1110" s="63" t="str" cm="1">
        <f t="array" ref="C1110">_xlfn.SWITCH(Table22[[#This Row],[Country]],"USA","North America","Canada","North America","Brazil","South America","China","Asia","Japan","Asia","India","Asia","France","Europe","Germany","Europe","UK","Europe","Australia","Oceania","South America")</f>
        <v>Europe</v>
      </c>
      <c r="D1110" s="18" t="s">
        <v>21</v>
      </c>
      <c r="E1110" s="18" t="s">
        <v>33</v>
      </c>
      <c r="F1110" s="18" t="s">
        <v>64</v>
      </c>
      <c r="G1110" s="18" t="s">
        <v>40</v>
      </c>
      <c r="H1110" s="64">
        <f>LEN(TRIM(Table22[[#This Row],[Country]]))</f>
        <v>2</v>
      </c>
      <c r="I1110" s="64">
        <f>LEN(TRIM(Table22[[#This Row],[Continent]]))</f>
        <v>6</v>
      </c>
      <c r="J1110" s="64">
        <f>LEN(TRIM(Table22[[#This Row],[Product]]))</f>
        <v>10</v>
      </c>
      <c r="K1110" s="64">
        <f>LEN(TRIM(Table22[[#This Row],[Sales Team]]))</f>
        <v>10</v>
      </c>
      <c r="L1110" s="23">
        <v>18</v>
      </c>
      <c r="M1110" s="65" t="str" cm="1">
        <f t="array" ref="M1110">_xlfn.IFS(Table22[[#This Row],[Units Sold]]&lt;40,"Critical",Table22[[#This Row],[Units Sold]]&lt;=50,"Poor",Table22[[#This Row],[Units Sold]]&lt;=60,"Low",Table22[[#This Row],[Units Sold]]&lt;=80,"Average",Table22[[#This Row],[Units Sold]]&lt;=90,"High",Table22[[#This Row],[Units Sold]]&lt;=95,"Excellent",Table22[[#This Row],[Units Sold]]&gt;95,"Outstanding")</f>
        <v>Critical</v>
      </c>
      <c r="N1110" s="29">
        <v>1445.34</v>
      </c>
      <c r="O1110" s="29">
        <v>26016.12</v>
      </c>
      <c r="P1110" s="43">
        <f>IF(Table22[[#This Row],[Discount Applied]],Table22[[#This Row],[Total Sales (in USD)]]*(1-Table22[[#This Row],[Discount Percentage (%)]]/100),Table22[[#This Row],[Total Sales (in USD)]])</f>
        <v>19842.494723999996</v>
      </c>
      <c r="Q1110" s="66">
        <f>SQRT(AVERAGE((Table22[[#This Row],[Net Sales (after discount) (in USD)]]-AVERAGE(Table22[Net Sales (after discount) (in USD)]))^2))</f>
        <v>16668.865839764541</v>
      </c>
      <c r="R1110" s="18" t="b">
        <v>1</v>
      </c>
      <c r="S1110" s="40">
        <v>23.73</v>
      </c>
      <c r="T1110" s="18" t="b">
        <v>1</v>
      </c>
      <c r="U1110" s="25">
        <v>45317</v>
      </c>
      <c r="V1110" s="63" t="str">
        <f>IF(MONTH(Table22[[#This Row],[Sales Date]])&lt;=3,"Q1",IF(MONTH(Table22[[#This Row],[Sales Date]])&lt;=6,"Q2",IF(MONTH(Table22[[#This Row],[Sales Date]])&lt;=9,"Q3","Q4")))</f>
        <v>Q1</v>
      </c>
      <c r="W1110" s="64">
        <f>YEAR(Table22[[#This Row],[Sales Date]])</f>
        <v>2024</v>
      </c>
      <c r="X1110" s="23">
        <v>51</v>
      </c>
      <c r="Y1110" s="18" t="s">
        <v>41</v>
      </c>
      <c r="Z1110" s="18" t="s">
        <v>56</v>
      </c>
      <c r="AA1110" s="19" t="s">
        <v>36</v>
      </c>
    </row>
    <row r="1111" spans="1:27" x14ac:dyDescent="0.25">
      <c r="A1111" s="17" t="s">
        <v>1901</v>
      </c>
      <c r="B1111" s="18" t="s">
        <v>38</v>
      </c>
      <c r="C1111" s="63" t="str" cm="1">
        <f t="array" ref="C1111">_xlfn.SWITCH(Table22[[#This Row],[Country]],"USA","North America","Canada","North America","Brazil","South America","China","Asia","Japan","Asia","India","Asia","France","Europe","Germany","Europe","UK","Europe","Australia","Oceania","South America")</f>
        <v>Europe</v>
      </c>
      <c r="D1111" s="18" t="s">
        <v>44</v>
      </c>
      <c r="E1111" s="18" t="s">
        <v>19</v>
      </c>
      <c r="F1111" s="18" t="s">
        <v>34</v>
      </c>
      <c r="G1111" s="18" t="s">
        <v>40</v>
      </c>
      <c r="H1111" s="64">
        <f>LEN(TRIM(Table22[[#This Row],[Country]]))</f>
        <v>6</v>
      </c>
      <c r="I1111" s="64">
        <f>LEN(TRIM(Table22[[#This Row],[Continent]]))</f>
        <v>6</v>
      </c>
      <c r="J1111" s="64">
        <f>LEN(TRIM(Table22[[#This Row],[Product]]))</f>
        <v>6</v>
      </c>
      <c r="K1111" s="64">
        <f>LEN(TRIM(Table22[[#This Row],[Sales Team]]))</f>
        <v>10</v>
      </c>
      <c r="L1111" s="23">
        <v>40</v>
      </c>
      <c r="M1111" s="65" t="str" cm="1">
        <f t="array" ref="M1111">_xlfn.IFS(Table22[[#This Row],[Units Sold]]&lt;40,"Critical",Table22[[#This Row],[Units Sold]]&lt;=50,"Poor",Table22[[#This Row],[Units Sold]]&lt;=60,"Low",Table22[[#This Row],[Units Sold]]&lt;=80,"Average",Table22[[#This Row],[Units Sold]]&lt;=90,"High",Table22[[#This Row],[Units Sold]]&lt;=95,"Excellent",Table22[[#This Row],[Units Sold]]&gt;95,"Outstanding")</f>
        <v>Poor</v>
      </c>
      <c r="N1111" s="29">
        <v>647.39</v>
      </c>
      <c r="O1111" s="29">
        <v>25895.599999999999</v>
      </c>
      <c r="P1111" s="43">
        <f>IF(Table22[[#This Row],[Discount Applied]],Table22[[#This Row],[Total Sales (in USD)]]*(1-Table22[[#This Row],[Discount Percentage (%)]]/100),Table22[[#This Row],[Total Sales (in USD)]])</f>
        <v>25895.599999999999</v>
      </c>
      <c r="Q1111" s="66">
        <f>SQRT(AVERAGE((Table22[[#This Row],[Net Sales (after discount) (in USD)]]-AVERAGE(Table22[Net Sales (after discount) (in USD)]))^2))</f>
        <v>10615.760563764539</v>
      </c>
      <c r="R1111" s="18" t="b">
        <v>0</v>
      </c>
      <c r="S1111" s="40">
        <v>18.05</v>
      </c>
      <c r="T1111" s="18" t="b">
        <v>0</v>
      </c>
      <c r="U1111" s="25">
        <v>45433</v>
      </c>
      <c r="V1111" s="63" t="str">
        <f>IF(MONTH(Table22[[#This Row],[Sales Date]])&lt;=3,"Q1",IF(MONTH(Table22[[#This Row],[Sales Date]])&lt;=6,"Q2",IF(MONTH(Table22[[#This Row],[Sales Date]])&lt;=9,"Q3","Q4")))</f>
        <v>Q2</v>
      </c>
      <c r="W1111" s="64">
        <f>YEAR(Table22[[#This Row],[Sales Date]])</f>
        <v>2024</v>
      </c>
      <c r="X1111" s="23">
        <v>68</v>
      </c>
      <c r="Y1111" s="18" t="s">
        <v>23</v>
      </c>
      <c r="Z1111" s="18" t="s">
        <v>56</v>
      </c>
      <c r="AA1111" s="19" t="s">
        <v>25</v>
      </c>
    </row>
    <row r="1112" spans="1:27" x14ac:dyDescent="0.25">
      <c r="A1112" s="17" t="s">
        <v>1209</v>
      </c>
      <c r="B1112" s="18" t="s">
        <v>38</v>
      </c>
      <c r="C1112" s="63" t="str" cm="1">
        <f t="array" ref="C1112">_xlfn.SWITCH(Table22[[#This Row],[Country]],"USA","North America","Canada","North America","Brazil","South America","China","Asia","Japan","Asia","India","Asia","France","Europe","Germany","Europe","UK","Europe","Australia","Oceania","South America")</f>
        <v>Europe</v>
      </c>
      <c r="D1112" s="18" t="s">
        <v>28</v>
      </c>
      <c r="E1112" s="18" t="s">
        <v>33</v>
      </c>
      <c r="F1112" s="18" t="s">
        <v>47</v>
      </c>
      <c r="G1112" s="18" t="s">
        <v>48</v>
      </c>
      <c r="H1112" s="64">
        <f>LEN(TRIM(Table22[[#This Row],[Country]]))</f>
        <v>6</v>
      </c>
      <c r="I1112" s="64">
        <f>LEN(TRIM(Table22[[#This Row],[Continent]]))</f>
        <v>6</v>
      </c>
      <c r="J1112" s="64">
        <f>LEN(TRIM(Table22[[#This Row],[Product]]))</f>
        <v>10</v>
      </c>
      <c r="K1112" s="64">
        <f>LEN(TRIM(Table22[[#This Row],[Sales Team]]))</f>
        <v>9</v>
      </c>
      <c r="L1112" s="23">
        <v>88</v>
      </c>
      <c r="M1112" s="65" t="str" cm="1">
        <f t="array" ref="M1112">_xlfn.IFS(Table22[[#This Row],[Units Sold]]&lt;40,"Critical",Table22[[#This Row],[Units Sold]]&lt;=50,"Poor",Table22[[#This Row],[Units Sold]]&lt;=60,"Low",Table22[[#This Row],[Units Sold]]&lt;=80,"Average",Table22[[#This Row],[Units Sold]]&lt;=90,"High",Table22[[#This Row],[Units Sold]]&lt;=95,"Excellent",Table22[[#This Row],[Units Sold]]&gt;95,"Outstanding")</f>
        <v>High</v>
      </c>
      <c r="N1112" s="29">
        <v>293.93</v>
      </c>
      <c r="O1112" s="29">
        <v>25865.84</v>
      </c>
      <c r="P1112" s="43">
        <f>IF(Table22[[#This Row],[Discount Applied]],Table22[[#This Row],[Total Sales (in USD)]]*(1-Table22[[#This Row],[Discount Percentage (%)]]/100),Table22[[#This Row],[Total Sales (in USD)]])</f>
        <v>25865.84</v>
      </c>
      <c r="Q1112" s="66">
        <f>SQRT(AVERAGE((Table22[[#This Row],[Net Sales (after discount) (in USD)]]-AVERAGE(Table22[Net Sales (after discount) (in USD)]))^2))</f>
        <v>10645.520563764538</v>
      </c>
      <c r="R1112" s="18" t="b">
        <v>1</v>
      </c>
      <c r="S1112" s="40">
        <v>9.82</v>
      </c>
      <c r="T1112" s="18" t="b">
        <v>0</v>
      </c>
      <c r="U1112" s="25">
        <v>45119</v>
      </c>
      <c r="V1112" s="63" t="str">
        <f>IF(MONTH(Table22[[#This Row],[Sales Date]])&lt;=3,"Q1",IF(MONTH(Table22[[#This Row],[Sales Date]])&lt;=6,"Q2",IF(MONTH(Table22[[#This Row],[Sales Date]])&lt;=9,"Q3","Q4")))</f>
        <v>Q3</v>
      </c>
      <c r="W1112" s="64">
        <f>YEAR(Table22[[#This Row],[Sales Date]])</f>
        <v>2023</v>
      </c>
      <c r="X1112" s="23">
        <v>67</v>
      </c>
      <c r="Y1112" s="18" t="s">
        <v>23</v>
      </c>
      <c r="Z1112" s="18" t="s">
        <v>24</v>
      </c>
      <c r="AA1112" s="19" t="s">
        <v>25</v>
      </c>
    </row>
    <row r="1113" spans="1:27" x14ac:dyDescent="0.25">
      <c r="A1113" s="17" t="s">
        <v>252</v>
      </c>
      <c r="B1113" s="18" t="s">
        <v>62</v>
      </c>
      <c r="C1113" s="63" t="str" cm="1">
        <f t="array" ref="C1113">_xlfn.SWITCH(Table22[[#This Row],[Country]],"USA","North America","Canada","North America","Brazil","South America","China","Asia","Japan","Asia","India","Asia","France","Europe","Germany","Europe","UK","Europe","Australia","Oceania","South America")</f>
        <v>Oceania</v>
      </c>
      <c r="D1113" s="18" t="s">
        <v>44</v>
      </c>
      <c r="E1113" s="18" t="s">
        <v>19</v>
      </c>
      <c r="F1113" s="18" t="s">
        <v>34</v>
      </c>
      <c r="G1113" s="18" t="s">
        <v>29</v>
      </c>
      <c r="H1113" s="64">
        <f>LEN(TRIM(Table22[[#This Row],[Country]]))</f>
        <v>9</v>
      </c>
      <c r="I1113" s="64">
        <f>LEN(TRIM(Table22[[#This Row],[Continent]]))</f>
        <v>7</v>
      </c>
      <c r="J1113" s="64">
        <f>LEN(TRIM(Table22[[#This Row],[Product]]))</f>
        <v>6</v>
      </c>
      <c r="K1113" s="64">
        <f>LEN(TRIM(Table22[[#This Row],[Sales Team]]))</f>
        <v>10</v>
      </c>
      <c r="L1113" s="23">
        <v>58</v>
      </c>
      <c r="M1113" s="65" t="str" cm="1">
        <f t="array" ref="M1113">_xlfn.IFS(Table22[[#This Row],[Units Sold]]&lt;40,"Critical",Table22[[#This Row],[Units Sold]]&lt;=50,"Poor",Table22[[#This Row],[Units Sold]]&lt;=60,"Low",Table22[[#This Row],[Units Sold]]&lt;=80,"Average",Table22[[#This Row],[Units Sold]]&lt;=90,"High",Table22[[#This Row],[Units Sold]]&lt;=95,"Excellent",Table22[[#This Row],[Units Sold]]&gt;95,"Outstanding")</f>
        <v>Low</v>
      </c>
      <c r="N1113" s="29">
        <v>444.4</v>
      </c>
      <c r="O1113" s="29">
        <v>25775.200000000001</v>
      </c>
      <c r="P1113" s="43">
        <f>IF(Table22[[#This Row],[Discount Applied]],Table22[[#This Row],[Total Sales (in USD)]]*(1-Table22[[#This Row],[Discount Percentage (%)]]/100),Table22[[#This Row],[Total Sales (in USD)]])</f>
        <v>22653.823280000001</v>
      </c>
      <c r="Q1113" s="66">
        <f>SQRT(AVERAGE((Table22[[#This Row],[Net Sales (after discount) (in USD)]]-AVERAGE(Table22[Net Sales (after discount) (in USD)]))^2))</f>
        <v>13857.537283764537</v>
      </c>
      <c r="R1113" s="18" t="b">
        <v>1</v>
      </c>
      <c r="S1113" s="40">
        <v>12.11</v>
      </c>
      <c r="T1113" s="18" t="b">
        <v>1</v>
      </c>
      <c r="U1113" s="25">
        <v>45543</v>
      </c>
      <c r="V1113" s="63" t="str">
        <f>IF(MONTH(Table22[[#This Row],[Sales Date]])&lt;=3,"Q1",IF(MONTH(Table22[[#This Row],[Sales Date]])&lt;=6,"Q2",IF(MONTH(Table22[[#This Row],[Sales Date]])&lt;=9,"Q3","Q4")))</f>
        <v>Q3</v>
      </c>
      <c r="W1113" s="64">
        <f>YEAR(Table22[[#This Row],[Sales Date]])</f>
        <v>2024</v>
      </c>
      <c r="X1113" s="23">
        <v>35</v>
      </c>
      <c r="Y1113" s="18" t="s">
        <v>49</v>
      </c>
      <c r="Z1113" s="18" t="s">
        <v>30</v>
      </c>
      <c r="AA1113" s="19" t="s">
        <v>36</v>
      </c>
    </row>
    <row r="1114" spans="1:27" x14ac:dyDescent="0.25">
      <c r="A1114" s="17" t="s">
        <v>444</v>
      </c>
      <c r="B1114" s="18" t="s">
        <v>72</v>
      </c>
      <c r="C1114" s="63" t="str" cm="1">
        <f t="array" ref="C1114">_xlfn.SWITCH(Table22[[#This Row],[Country]],"USA","North America","Canada","North America","Brazil","South America","China","Asia","Japan","Asia","India","Asia","France","Europe","Germany","Europe","UK","Europe","Australia","Oceania","South America")</f>
        <v>North America</v>
      </c>
      <c r="D1114" s="18" t="s">
        <v>28</v>
      </c>
      <c r="E1114" s="18" t="s">
        <v>19</v>
      </c>
      <c r="F1114" s="18" t="s">
        <v>64</v>
      </c>
      <c r="G1114" s="18" t="s">
        <v>40</v>
      </c>
      <c r="H1114" s="64">
        <f>LEN(TRIM(Table22[[#This Row],[Country]]))</f>
        <v>3</v>
      </c>
      <c r="I1114" s="64">
        <f>LEN(TRIM(Table22[[#This Row],[Continent]]))</f>
        <v>13</v>
      </c>
      <c r="J1114" s="64">
        <f>LEN(TRIM(Table22[[#This Row],[Product]]))</f>
        <v>6</v>
      </c>
      <c r="K1114" s="64">
        <f>LEN(TRIM(Table22[[#This Row],[Sales Team]]))</f>
        <v>10</v>
      </c>
      <c r="L1114" s="23">
        <v>21</v>
      </c>
      <c r="M1114" s="65" t="str" cm="1">
        <f t="array" ref="M1114">_xlfn.IFS(Table22[[#This Row],[Units Sold]]&lt;40,"Critical",Table22[[#This Row],[Units Sold]]&lt;=50,"Poor",Table22[[#This Row],[Units Sold]]&lt;=60,"Low",Table22[[#This Row],[Units Sold]]&lt;=80,"Average",Table22[[#This Row],[Units Sold]]&lt;=90,"High",Table22[[#This Row],[Units Sold]]&lt;=95,"Excellent",Table22[[#This Row],[Units Sold]]&gt;95,"Outstanding")</f>
        <v>Critical</v>
      </c>
      <c r="N1114" s="29">
        <v>1225.7</v>
      </c>
      <c r="O1114" s="29">
        <v>25739.7</v>
      </c>
      <c r="P1114" s="43">
        <f>IF(Table22[[#This Row],[Discount Applied]],Table22[[#This Row],[Total Sales (in USD)]]*(1-Table22[[#This Row],[Discount Percentage (%)]]/100),Table22[[#This Row],[Total Sales (in USD)]])</f>
        <v>23600.730930000002</v>
      </c>
      <c r="Q1114" s="66">
        <f>SQRT(AVERAGE((Table22[[#This Row],[Net Sales (after discount) (in USD)]]-AVERAGE(Table22[Net Sales (after discount) (in USD)]))^2))</f>
        <v>12910.629633764536</v>
      </c>
      <c r="R1114" s="18" t="b">
        <v>0</v>
      </c>
      <c r="S1114" s="40">
        <v>8.31</v>
      </c>
      <c r="T1114" s="18" t="b">
        <v>1</v>
      </c>
      <c r="U1114" s="25">
        <v>45388</v>
      </c>
      <c r="V1114" s="63" t="str">
        <f>IF(MONTH(Table22[[#This Row],[Sales Date]])&lt;=3,"Q1",IF(MONTH(Table22[[#This Row],[Sales Date]])&lt;=6,"Q2",IF(MONTH(Table22[[#This Row],[Sales Date]])&lt;=9,"Q3","Q4")))</f>
        <v>Q2</v>
      </c>
      <c r="W1114" s="64">
        <f>YEAR(Table22[[#This Row],[Sales Date]])</f>
        <v>2024</v>
      </c>
      <c r="X1114" s="23">
        <v>67</v>
      </c>
      <c r="Y1114" s="18" t="s">
        <v>23</v>
      </c>
      <c r="Z1114" s="18" t="s">
        <v>30</v>
      </c>
      <c r="AA1114" s="19" t="s">
        <v>25</v>
      </c>
    </row>
    <row r="1115" spans="1:27" x14ac:dyDescent="0.25">
      <c r="A1115" s="17" t="s">
        <v>1183</v>
      </c>
      <c r="B1115" s="18" t="s">
        <v>27</v>
      </c>
      <c r="C1115" s="63" t="str" cm="1">
        <f t="array" ref="C1115">_xlfn.SWITCH(Table22[[#This Row],[Country]],"USA","North America","Canada","North America","Brazil","South America","China","Asia","Japan","Asia","India","Asia","France","Europe","Germany","Europe","UK","Europe","Australia","Oceania","South America")</f>
        <v>Europe</v>
      </c>
      <c r="D1115" s="18" t="s">
        <v>28</v>
      </c>
      <c r="E1115" s="18" t="s">
        <v>19</v>
      </c>
      <c r="F1115" s="18" t="s">
        <v>34</v>
      </c>
      <c r="G1115" s="18" t="s">
        <v>40</v>
      </c>
      <c r="H1115" s="64">
        <f>LEN(TRIM(Table22[[#This Row],[Country]]))</f>
        <v>7</v>
      </c>
      <c r="I1115" s="64">
        <f>LEN(TRIM(Table22[[#This Row],[Continent]]))</f>
        <v>6</v>
      </c>
      <c r="J1115" s="64">
        <f>LEN(TRIM(Table22[[#This Row],[Product]]))</f>
        <v>6</v>
      </c>
      <c r="K1115" s="64">
        <f>LEN(TRIM(Table22[[#This Row],[Sales Team]]))</f>
        <v>10</v>
      </c>
      <c r="L1115" s="23">
        <v>30</v>
      </c>
      <c r="M1115" s="65" t="str" cm="1">
        <f t="array" ref="M1115">_xlfn.IFS(Table22[[#This Row],[Units Sold]]&lt;40,"Critical",Table22[[#This Row],[Units Sold]]&lt;=50,"Poor",Table22[[#This Row],[Units Sold]]&lt;=60,"Low",Table22[[#This Row],[Units Sold]]&lt;=80,"Average",Table22[[#This Row],[Units Sold]]&lt;=90,"High",Table22[[#This Row],[Units Sold]]&lt;=95,"Excellent",Table22[[#This Row],[Units Sold]]&gt;95,"Outstanding")</f>
        <v>Critical</v>
      </c>
      <c r="N1115" s="29">
        <v>857.48</v>
      </c>
      <c r="O1115" s="29">
        <v>25724.400000000001</v>
      </c>
      <c r="P1115" s="43">
        <f>IF(Table22[[#This Row],[Discount Applied]],Table22[[#This Row],[Total Sales (in USD)]]*(1-Table22[[#This Row],[Discount Percentage (%)]]/100),Table22[[#This Row],[Total Sales (in USD)]])</f>
        <v>23743.621200000001</v>
      </c>
      <c r="Q1115" s="66">
        <f>SQRT(AVERAGE((Table22[[#This Row],[Net Sales (after discount) (in USD)]]-AVERAGE(Table22[Net Sales (after discount) (in USD)]))^2))</f>
        <v>12767.739363764536</v>
      </c>
      <c r="R1115" s="18" t="b">
        <v>0</v>
      </c>
      <c r="S1115" s="40">
        <v>7.7</v>
      </c>
      <c r="T1115" s="18" t="b">
        <v>1</v>
      </c>
      <c r="U1115" s="25">
        <v>45585</v>
      </c>
      <c r="V1115" s="63" t="str">
        <f>IF(MONTH(Table22[[#This Row],[Sales Date]])&lt;=3,"Q1",IF(MONTH(Table22[[#This Row],[Sales Date]])&lt;=6,"Q2",IF(MONTH(Table22[[#This Row],[Sales Date]])&lt;=9,"Q3","Q4")))</f>
        <v>Q4</v>
      </c>
      <c r="W1115" s="64">
        <f>YEAR(Table22[[#This Row],[Sales Date]])</f>
        <v>2024</v>
      </c>
      <c r="X1115" s="23">
        <v>52</v>
      </c>
      <c r="Y1115" s="18" t="s">
        <v>41</v>
      </c>
      <c r="Z1115" s="18" t="s">
        <v>24</v>
      </c>
      <c r="AA1115" s="19" t="s">
        <v>25</v>
      </c>
    </row>
    <row r="1116" spans="1:27" x14ac:dyDescent="0.25">
      <c r="A1116" s="17" t="s">
        <v>515</v>
      </c>
      <c r="B1116" s="18" t="s">
        <v>32</v>
      </c>
      <c r="C1116" s="63" t="str" cm="1">
        <f t="array" ref="C1116">_xlfn.SWITCH(Table22[[#This Row],[Country]],"USA","North America","Canada","North America","Brazil","South America","China","Asia","Japan","Asia","India","Asia","France","Europe","Germany","Europe","UK","Europe","Australia","Oceania","South America")</f>
        <v>Asia</v>
      </c>
      <c r="D1116" s="18" t="s">
        <v>35</v>
      </c>
      <c r="E1116" s="18" t="s">
        <v>33</v>
      </c>
      <c r="F1116" s="18" t="s">
        <v>52</v>
      </c>
      <c r="G1116" s="18" t="s">
        <v>48</v>
      </c>
      <c r="H1116" s="64">
        <f>LEN(TRIM(Table22[[#This Row],[Country]]))</f>
        <v>5</v>
      </c>
      <c r="I1116" s="64">
        <f>LEN(TRIM(Table22[[#This Row],[Continent]]))</f>
        <v>4</v>
      </c>
      <c r="J1116" s="64">
        <f>LEN(TRIM(Table22[[#This Row],[Product]]))</f>
        <v>10</v>
      </c>
      <c r="K1116" s="64">
        <f>LEN(TRIM(Table22[[#This Row],[Sales Team]]))</f>
        <v>9</v>
      </c>
      <c r="L1116" s="23">
        <v>68</v>
      </c>
      <c r="M1116" s="65" t="str" cm="1">
        <f t="array" ref="M1116">_xlfn.IFS(Table22[[#This Row],[Units Sold]]&lt;40,"Critical",Table22[[#This Row],[Units Sold]]&lt;=50,"Poor",Table22[[#This Row],[Units Sold]]&lt;=60,"Low",Table22[[#This Row],[Units Sold]]&lt;=80,"Average",Table22[[#This Row],[Units Sold]]&lt;=90,"High",Table22[[#This Row],[Units Sold]]&lt;=95,"Excellent",Table22[[#This Row],[Units Sold]]&gt;95,"Outstanding")</f>
        <v>Average</v>
      </c>
      <c r="N1116" s="29">
        <v>377.36</v>
      </c>
      <c r="O1116" s="29">
        <v>25660.48</v>
      </c>
      <c r="P1116" s="43">
        <f>IF(Table22[[#This Row],[Discount Applied]],Table22[[#This Row],[Total Sales (in USD)]]*(1-Table22[[#This Row],[Discount Percentage (%)]]/100),Table22[[#This Row],[Total Sales (in USD)]])</f>
        <v>25660.48</v>
      </c>
      <c r="Q1116" s="66">
        <f>SQRT(AVERAGE((Table22[[#This Row],[Net Sales (after discount) (in USD)]]-AVERAGE(Table22[Net Sales (after discount) (in USD)]))^2))</f>
        <v>10850.880563764538</v>
      </c>
      <c r="R1116" s="18" t="b">
        <v>0</v>
      </c>
      <c r="S1116" s="40">
        <v>6.49</v>
      </c>
      <c r="T1116" s="18" t="b">
        <v>0</v>
      </c>
      <c r="U1116" s="25">
        <v>44973</v>
      </c>
      <c r="V1116" s="63" t="str">
        <f>IF(MONTH(Table22[[#This Row],[Sales Date]])&lt;=3,"Q1",IF(MONTH(Table22[[#This Row],[Sales Date]])&lt;=6,"Q2",IF(MONTH(Table22[[#This Row],[Sales Date]])&lt;=9,"Q3","Q4")))</f>
        <v>Q1</v>
      </c>
      <c r="W1116" s="64">
        <f>YEAR(Table22[[#This Row],[Sales Date]])</f>
        <v>2023</v>
      </c>
      <c r="X1116" s="23">
        <v>62</v>
      </c>
      <c r="Y1116" s="18" t="s">
        <v>41</v>
      </c>
      <c r="Z1116" s="18" t="s">
        <v>30</v>
      </c>
      <c r="AA1116" s="19" t="s">
        <v>36</v>
      </c>
    </row>
    <row r="1117" spans="1:27" x14ac:dyDescent="0.25">
      <c r="A1117" s="17" t="s">
        <v>290</v>
      </c>
      <c r="B1117" s="18" t="s">
        <v>76</v>
      </c>
      <c r="C1117" s="63" t="str" cm="1">
        <f t="array" ref="C1117">_xlfn.SWITCH(Table22[[#This Row],[Country]],"USA","North America","Canada","North America","Brazil","South America","China","Asia","Japan","Asia","India","Asia","France","Europe","Germany","Europe","UK","Europe","Australia","Oceania","South America")</f>
        <v>Asia</v>
      </c>
      <c r="D1117" s="18" t="s">
        <v>28</v>
      </c>
      <c r="E1117" s="18" t="s">
        <v>39</v>
      </c>
      <c r="F1117" s="18" t="s">
        <v>64</v>
      </c>
      <c r="G1117" s="18" t="s">
        <v>48</v>
      </c>
      <c r="H1117" s="64">
        <f>LEN(TRIM(Table22[[#This Row],[Country]]))</f>
        <v>5</v>
      </c>
      <c r="I1117" s="64">
        <f>LEN(TRIM(Table22[[#This Row],[Continent]]))</f>
        <v>4</v>
      </c>
      <c r="J1117" s="64">
        <f>LEN(TRIM(Table22[[#This Row],[Product]]))</f>
        <v>10</v>
      </c>
      <c r="K1117" s="64">
        <f>LEN(TRIM(Table22[[#This Row],[Sales Team]]))</f>
        <v>9</v>
      </c>
      <c r="L1117" s="23">
        <v>45</v>
      </c>
      <c r="M1117" s="65" t="str" cm="1">
        <f t="array" ref="M1117">_xlfn.IFS(Table22[[#This Row],[Units Sold]]&lt;40,"Critical",Table22[[#This Row],[Units Sold]]&lt;=50,"Poor",Table22[[#This Row],[Units Sold]]&lt;=60,"Low",Table22[[#This Row],[Units Sold]]&lt;=80,"Average",Table22[[#This Row],[Units Sold]]&lt;=90,"High",Table22[[#This Row],[Units Sold]]&lt;=95,"Excellent",Table22[[#This Row],[Units Sold]]&gt;95,"Outstanding")</f>
        <v>Poor</v>
      </c>
      <c r="N1117" s="29">
        <v>569.63</v>
      </c>
      <c r="O1117" s="29">
        <v>25633.35</v>
      </c>
      <c r="P1117" s="43">
        <f>IF(Table22[[#This Row],[Discount Applied]],Table22[[#This Row],[Total Sales (in USD)]]*(1-Table22[[#This Row],[Discount Percentage (%)]]/100),Table22[[#This Row],[Total Sales (in USD)]])</f>
        <v>25633.35</v>
      </c>
      <c r="Q1117" s="66">
        <f>SQRT(AVERAGE((Table22[[#This Row],[Net Sales (after discount) (in USD)]]-AVERAGE(Table22[Net Sales (after discount) (in USD)]))^2))</f>
        <v>10878.010563764539</v>
      </c>
      <c r="R1117" s="18" t="b">
        <v>1</v>
      </c>
      <c r="S1117" s="40">
        <v>27.79</v>
      </c>
      <c r="T1117" s="18" t="b">
        <v>0</v>
      </c>
      <c r="U1117" s="25">
        <v>45482</v>
      </c>
      <c r="V1117" s="63" t="str">
        <f>IF(MONTH(Table22[[#This Row],[Sales Date]])&lt;=3,"Q1",IF(MONTH(Table22[[#This Row],[Sales Date]])&lt;=6,"Q2",IF(MONTH(Table22[[#This Row],[Sales Date]])&lt;=9,"Q3","Q4")))</f>
        <v>Q3</v>
      </c>
      <c r="W1117" s="64">
        <f>YEAR(Table22[[#This Row],[Sales Date]])</f>
        <v>2024</v>
      </c>
      <c r="X1117" s="23">
        <v>48</v>
      </c>
      <c r="Y1117" s="18" t="s">
        <v>49</v>
      </c>
      <c r="Z1117" s="18" t="s">
        <v>42</v>
      </c>
      <c r="AA1117" s="19" t="s">
        <v>36</v>
      </c>
    </row>
    <row r="1118" spans="1:27" x14ac:dyDescent="0.25">
      <c r="A1118" s="17" t="s">
        <v>231</v>
      </c>
      <c r="B1118" s="18" t="s">
        <v>62</v>
      </c>
      <c r="C1118" s="63" t="str" cm="1">
        <f t="array" ref="C1118">_xlfn.SWITCH(Table22[[#This Row],[Country]],"USA","North America","Canada","North America","Brazil","South America","China","Asia","Japan","Asia","India","Asia","France","Europe","Germany","Europe","UK","Europe","Australia","Oceania","South America")</f>
        <v>Oceania</v>
      </c>
      <c r="D1118" s="18" t="s">
        <v>21</v>
      </c>
      <c r="E1118" s="18" t="s">
        <v>39</v>
      </c>
      <c r="F1118" s="18" t="s">
        <v>64</v>
      </c>
      <c r="G1118" s="18" t="s">
        <v>48</v>
      </c>
      <c r="H1118" s="64">
        <f>LEN(TRIM(Table22[[#This Row],[Country]]))</f>
        <v>9</v>
      </c>
      <c r="I1118" s="64">
        <f>LEN(TRIM(Table22[[#This Row],[Continent]]))</f>
        <v>7</v>
      </c>
      <c r="J1118" s="64">
        <f>LEN(TRIM(Table22[[#This Row],[Product]]))</f>
        <v>10</v>
      </c>
      <c r="K1118" s="64">
        <f>LEN(TRIM(Table22[[#This Row],[Sales Team]]))</f>
        <v>9</v>
      </c>
      <c r="L1118" s="23">
        <v>60</v>
      </c>
      <c r="M1118" s="65" t="str" cm="1">
        <f t="array" ref="M1118">_xlfn.IFS(Table22[[#This Row],[Units Sold]]&lt;40,"Critical",Table22[[#This Row],[Units Sold]]&lt;=50,"Poor",Table22[[#This Row],[Units Sold]]&lt;=60,"Low",Table22[[#This Row],[Units Sold]]&lt;=80,"Average",Table22[[#This Row],[Units Sold]]&lt;=90,"High",Table22[[#This Row],[Units Sold]]&lt;=95,"Excellent",Table22[[#This Row],[Units Sold]]&gt;95,"Outstanding")</f>
        <v>Low</v>
      </c>
      <c r="N1118" s="29">
        <v>426.35</v>
      </c>
      <c r="O1118" s="29">
        <v>25581</v>
      </c>
      <c r="P1118" s="43">
        <f>IF(Table22[[#This Row],[Discount Applied]],Table22[[#This Row],[Total Sales (in USD)]]*(1-Table22[[#This Row],[Discount Percentage (%)]]/100),Table22[[#This Row],[Total Sales (in USD)]])</f>
        <v>22375.700700000001</v>
      </c>
      <c r="Q1118" s="66">
        <f>SQRT(AVERAGE((Table22[[#This Row],[Net Sales (after discount) (in USD)]]-AVERAGE(Table22[Net Sales (after discount) (in USD)]))^2))</f>
        <v>14135.659863764537</v>
      </c>
      <c r="R1118" s="18" t="b">
        <v>1</v>
      </c>
      <c r="S1118" s="40">
        <v>12.53</v>
      </c>
      <c r="T1118" s="18" t="b">
        <v>1</v>
      </c>
      <c r="U1118" s="25">
        <v>45302</v>
      </c>
      <c r="V1118" s="63" t="str">
        <f>IF(MONTH(Table22[[#This Row],[Sales Date]])&lt;=3,"Q1",IF(MONTH(Table22[[#This Row],[Sales Date]])&lt;=6,"Q2",IF(MONTH(Table22[[#This Row],[Sales Date]])&lt;=9,"Q3","Q4")))</f>
        <v>Q1</v>
      </c>
      <c r="W1118" s="64">
        <f>YEAR(Table22[[#This Row],[Sales Date]])</f>
        <v>2024</v>
      </c>
      <c r="X1118" s="23">
        <v>52</v>
      </c>
      <c r="Y1118" s="18" t="s">
        <v>23</v>
      </c>
      <c r="Z1118" s="18" t="s">
        <v>42</v>
      </c>
      <c r="AA1118" s="19" t="s">
        <v>36</v>
      </c>
    </row>
    <row r="1119" spans="1:27" x14ac:dyDescent="0.25">
      <c r="A1119" s="17" t="s">
        <v>652</v>
      </c>
      <c r="B1119" s="18" t="s">
        <v>38</v>
      </c>
      <c r="C1119" s="63" t="str" cm="1">
        <f t="array" ref="C1119">_xlfn.SWITCH(Table22[[#This Row],[Country]],"USA","North America","Canada","North America","Brazil","South America","China","Asia","Japan","Asia","India","Asia","France","Europe","Germany","Europe","UK","Europe","Australia","Oceania","South America")</f>
        <v>Europe</v>
      </c>
      <c r="D1119" s="18" t="s">
        <v>44</v>
      </c>
      <c r="E1119" s="18" t="s">
        <v>19</v>
      </c>
      <c r="F1119" s="18" t="s">
        <v>47</v>
      </c>
      <c r="G1119" s="18" t="s">
        <v>40</v>
      </c>
      <c r="H1119" s="64">
        <f>LEN(TRIM(Table22[[#This Row],[Country]]))</f>
        <v>6</v>
      </c>
      <c r="I1119" s="64">
        <f>LEN(TRIM(Table22[[#This Row],[Continent]]))</f>
        <v>6</v>
      </c>
      <c r="J1119" s="64">
        <f>LEN(TRIM(Table22[[#This Row],[Product]]))</f>
        <v>6</v>
      </c>
      <c r="K1119" s="64">
        <f>LEN(TRIM(Table22[[#This Row],[Sales Team]]))</f>
        <v>10</v>
      </c>
      <c r="L1119" s="23">
        <v>88</v>
      </c>
      <c r="M1119" s="65" t="str" cm="1">
        <f t="array" ref="M1119">_xlfn.IFS(Table22[[#This Row],[Units Sold]]&lt;40,"Critical",Table22[[#This Row],[Units Sold]]&lt;=50,"Poor",Table22[[#This Row],[Units Sold]]&lt;=60,"Low",Table22[[#This Row],[Units Sold]]&lt;=80,"Average",Table22[[#This Row],[Units Sold]]&lt;=90,"High",Table22[[#This Row],[Units Sold]]&lt;=95,"Excellent",Table22[[#This Row],[Units Sold]]&gt;95,"Outstanding")</f>
        <v>High</v>
      </c>
      <c r="N1119" s="29">
        <v>290.68</v>
      </c>
      <c r="O1119" s="29">
        <v>25579.84</v>
      </c>
      <c r="P1119" s="43">
        <f>IF(Table22[[#This Row],[Discount Applied]],Table22[[#This Row],[Total Sales (in USD)]]*(1-Table22[[#This Row],[Discount Percentage (%)]]/100),Table22[[#This Row],[Total Sales (in USD)]])</f>
        <v>25579.84</v>
      </c>
      <c r="Q1119" s="66">
        <f>SQRT(AVERAGE((Table22[[#This Row],[Net Sales (after discount) (in USD)]]-AVERAGE(Table22[Net Sales (after discount) (in USD)]))^2))</f>
        <v>10931.520563764538</v>
      </c>
      <c r="R1119" s="18" t="b">
        <v>0</v>
      </c>
      <c r="S1119" s="40">
        <v>16.399999999999999</v>
      </c>
      <c r="T1119" s="18" t="b">
        <v>0</v>
      </c>
      <c r="U1119" s="25">
        <v>45341</v>
      </c>
      <c r="V1119" s="63" t="str">
        <f>IF(MONTH(Table22[[#This Row],[Sales Date]])&lt;=3,"Q1",IF(MONTH(Table22[[#This Row],[Sales Date]])&lt;=6,"Q2",IF(MONTH(Table22[[#This Row],[Sales Date]])&lt;=9,"Q3","Q4")))</f>
        <v>Q1</v>
      </c>
      <c r="W1119" s="64">
        <f>YEAR(Table22[[#This Row],[Sales Date]])</f>
        <v>2024</v>
      </c>
      <c r="X1119" s="23">
        <v>56</v>
      </c>
      <c r="Y1119" s="18" t="s">
        <v>23</v>
      </c>
      <c r="Z1119" s="18" t="s">
        <v>24</v>
      </c>
      <c r="AA1119" s="19" t="s">
        <v>25</v>
      </c>
    </row>
    <row r="1120" spans="1:27" x14ac:dyDescent="0.25">
      <c r="A1120" s="17" t="s">
        <v>1556</v>
      </c>
      <c r="B1120" s="18" t="s">
        <v>66</v>
      </c>
      <c r="C1120" s="63" t="str" cm="1">
        <f t="array" ref="C1120">_xlfn.SWITCH(Table22[[#This Row],[Country]],"USA","North America","Canada","North America","Brazil","South America","China","Asia","Japan","Asia","India","Asia","France","Europe","Germany","Europe","UK","Europe","Australia","Oceania","South America")</f>
        <v>North America</v>
      </c>
      <c r="D1120" s="18" t="s">
        <v>21</v>
      </c>
      <c r="E1120" s="18" t="s">
        <v>19</v>
      </c>
      <c r="F1120" s="18" t="s">
        <v>64</v>
      </c>
      <c r="G1120" s="18" t="s">
        <v>22</v>
      </c>
      <c r="H1120" s="64">
        <f>LEN(TRIM(Table22[[#This Row],[Country]]))</f>
        <v>6</v>
      </c>
      <c r="I1120" s="64">
        <f>LEN(TRIM(Table22[[#This Row],[Continent]]))</f>
        <v>13</v>
      </c>
      <c r="J1120" s="64">
        <f>LEN(TRIM(Table22[[#This Row],[Product]]))</f>
        <v>6</v>
      </c>
      <c r="K1120" s="64">
        <f>LEN(TRIM(Table22[[#This Row],[Sales Team]]))</f>
        <v>10</v>
      </c>
      <c r="L1120" s="23">
        <v>33</v>
      </c>
      <c r="M1120" s="65" t="str" cm="1">
        <f t="array" ref="M1120">_xlfn.IFS(Table22[[#This Row],[Units Sold]]&lt;40,"Critical",Table22[[#This Row],[Units Sold]]&lt;=50,"Poor",Table22[[#This Row],[Units Sold]]&lt;=60,"Low",Table22[[#This Row],[Units Sold]]&lt;=80,"Average",Table22[[#This Row],[Units Sold]]&lt;=90,"High",Table22[[#This Row],[Units Sold]]&lt;=95,"Excellent",Table22[[#This Row],[Units Sold]]&gt;95,"Outstanding")</f>
        <v>Critical</v>
      </c>
      <c r="N1120" s="29">
        <v>773.37</v>
      </c>
      <c r="O1120" s="29">
        <v>25521.21</v>
      </c>
      <c r="P1120" s="43">
        <f>IF(Table22[[#This Row],[Discount Applied]],Table22[[#This Row],[Total Sales (in USD)]]*(1-Table22[[#This Row],[Discount Percentage (%)]]/100),Table22[[#This Row],[Total Sales (in USD)]])</f>
        <v>25521.21</v>
      </c>
      <c r="Q1120" s="66">
        <f>SQRT(AVERAGE((Table22[[#This Row],[Net Sales (after discount) (in USD)]]-AVERAGE(Table22[Net Sales (after discount) (in USD)]))^2))</f>
        <v>10990.150563764539</v>
      </c>
      <c r="R1120" s="18" t="b">
        <v>1</v>
      </c>
      <c r="S1120" s="40">
        <v>2.13</v>
      </c>
      <c r="T1120" s="18" t="b">
        <v>0</v>
      </c>
      <c r="U1120" s="25">
        <v>45009</v>
      </c>
      <c r="V1120" s="63" t="str">
        <f>IF(MONTH(Table22[[#This Row],[Sales Date]])&lt;=3,"Q1",IF(MONTH(Table22[[#This Row],[Sales Date]])&lt;=6,"Q2",IF(MONTH(Table22[[#This Row],[Sales Date]])&lt;=9,"Q3","Q4")))</f>
        <v>Q1</v>
      </c>
      <c r="W1120" s="64">
        <f>YEAR(Table22[[#This Row],[Sales Date]])</f>
        <v>2023</v>
      </c>
      <c r="X1120" s="23">
        <v>43</v>
      </c>
      <c r="Y1120" s="18" t="s">
        <v>49</v>
      </c>
      <c r="Z1120" s="18" t="s">
        <v>56</v>
      </c>
      <c r="AA1120" s="19" t="s">
        <v>25</v>
      </c>
    </row>
    <row r="1121" spans="1:27" x14ac:dyDescent="0.25">
      <c r="A1121" s="17" t="s">
        <v>140</v>
      </c>
      <c r="B1121" s="18" t="s">
        <v>32</v>
      </c>
      <c r="C1121" s="63" t="str" cm="1">
        <f t="array" ref="C1121">_xlfn.SWITCH(Table22[[#This Row],[Country]],"USA","North America","Canada","North America","Brazil","South America","China","Asia","Japan","Asia","India","Asia","France","Europe","Germany","Europe","UK","Europe","Australia","Oceania","South America")</f>
        <v>Asia</v>
      </c>
      <c r="D1121" s="18" t="s">
        <v>44</v>
      </c>
      <c r="E1121" s="18" t="s">
        <v>33</v>
      </c>
      <c r="F1121" s="18" t="s">
        <v>34</v>
      </c>
      <c r="G1121" s="18" t="s">
        <v>40</v>
      </c>
      <c r="H1121" s="64">
        <f>LEN(TRIM(Table22[[#This Row],[Country]]))</f>
        <v>5</v>
      </c>
      <c r="I1121" s="64">
        <f>LEN(TRIM(Table22[[#This Row],[Continent]]))</f>
        <v>4</v>
      </c>
      <c r="J1121" s="64">
        <f>LEN(TRIM(Table22[[#This Row],[Product]]))</f>
        <v>10</v>
      </c>
      <c r="K1121" s="64">
        <f>LEN(TRIM(Table22[[#This Row],[Sales Team]]))</f>
        <v>10</v>
      </c>
      <c r="L1121" s="23">
        <v>51</v>
      </c>
      <c r="M1121" s="65" t="str" cm="1">
        <f t="array" ref="M1121">_xlfn.IFS(Table22[[#This Row],[Units Sold]]&lt;40,"Critical",Table22[[#This Row],[Units Sold]]&lt;=50,"Poor",Table22[[#This Row],[Units Sold]]&lt;=60,"Low",Table22[[#This Row],[Units Sold]]&lt;=80,"Average",Table22[[#This Row],[Units Sold]]&lt;=90,"High",Table22[[#This Row],[Units Sold]]&lt;=95,"Excellent",Table22[[#This Row],[Units Sold]]&gt;95,"Outstanding")</f>
        <v>Low</v>
      </c>
      <c r="N1121" s="29">
        <v>498.86</v>
      </c>
      <c r="O1121" s="29">
        <v>25441.86</v>
      </c>
      <c r="P1121" s="43">
        <f>IF(Table22[[#This Row],[Discount Applied]],Table22[[#This Row],[Total Sales (in USD)]]*(1-Table22[[#This Row],[Discount Percentage (%)]]/100),Table22[[#This Row],[Total Sales (in USD)]])</f>
        <v>21297.381006</v>
      </c>
      <c r="Q1121" s="66">
        <f>SQRT(AVERAGE((Table22[[#This Row],[Net Sales (after discount) (in USD)]]-AVERAGE(Table22[Net Sales (after discount) (in USD)]))^2))</f>
        <v>15213.979557764538</v>
      </c>
      <c r="R1121" s="18" t="b">
        <v>0</v>
      </c>
      <c r="S1121" s="40">
        <v>16.29</v>
      </c>
      <c r="T1121" s="18" t="b">
        <v>1</v>
      </c>
      <c r="U1121" s="25">
        <v>44989</v>
      </c>
      <c r="V1121" s="63" t="str">
        <f>IF(MONTH(Table22[[#This Row],[Sales Date]])&lt;=3,"Q1",IF(MONTH(Table22[[#This Row],[Sales Date]])&lt;=6,"Q2",IF(MONTH(Table22[[#This Row],[Sales Date]])&lt;=9,"Q3","Q4")))</f>
        <v>Q1</v>
      </c>
      <c r="W1121" s="64">
        <f>YEAR(Table22[[#This Row],[Sales Date]])</f>
        <v>2023</v>
      </c>
      <c r="X1121" s="23">
        <v>46</v>
      </c>
      <c r="Y1121" s="18" t="s">
        <v>23</v>
      </c>
      <c r="Z1121" s="18" t="s">
        <v>56</v>
      </c>
      <c r="AA1121" s="19" t="s">
        <v>36</v>
      </c>
    </row>
    <row r="1122" spans="1:27" x14ac:dyDescent="0.25">
      <c r="A1122" s="17" t="s">
        <v>552</v>
      </c>
      <c r="B1122" s="18" t="s">
        <v>76</v>
      </c>
      <c r="C1122" s="63" t="str" cm="1">
        <f t="array" ref="C1122">_xlfn.SWITCH(Table22[[#This Row],[Country]],"USA","North America","Canada","North America","Brazil","South America","China","Asia","Japan","Asia","India","Asia","France","Europe","Germany","Europe","UK","Europe","Australia","Oceania","South America")</f>
        <v>Asia</v>
      </c>
      <c r="D1122" s="18" t="s">
        <v>21</v>
      </c>
      <c r="E1122" s="18" t="s">
        <v>39</v>
      </c>
      <c r="F1122" s="18" t="s">
        <v>34</v>
      </c>
      <c r="G1122" s="18" t="s">
        <v>29</v>
      </c>
      <c r="H1122" s="64">
        <f>LEN(TRIM(Table22[[#This Row],[Country]]))</f>
        <v>5</v>
      </c>
      <c r="I1122" s="64">
        <f>LEN(TRIM(Table22[[#This Row],[Continent]]))</f>
        <v>4</v>
      </c>
      <c r="J1122" s="64">
        <f>LEN(TRIM(Table22[[#This Row],[Product]]))</f>
        <v>10</v>
      </c>
      <c r="K1122" s="64">
        <f>LEN(TRIM(Table22[[#This Row],[Sales Team]]))</f>
        <v>10</v>
      </c>
      <c r="L1122" s="23">
        <v>85</v>
      </c>
      <c r="M1122" s="65" t="str" cm="1">
        <f t="array" ref="M1122">_xlfn.IFS(Table22[[#This Row],[Units Sold]]&lt;40,"Critical",Table22[[#This Row],[Units Sold]]&lt;=50,"Poor",Table22[[#This Row],[Units Sold]]&lt;=60,"Low",Table22[[#This Row],[Units Sold]]&lt;=80,"Average",Table22[[#This Row],[Units Sold]]&lt;=90,"High",Table22[[#This Row],[Units Sold]]&lt;=95,"Excellent",Table22[[#This Row],[Units Sold]]&gt;95,"Outstanding")</f>
        <v>High</v>
      </c>
      <c r="N1122" s="29">
        <v>299.22000000000003</v>
      </c>
      <c r="O1122" s="29">
        <v>25433.7</v>
      </c>
      <c r="P1122" s="43">
        <f>IF(Table22[[#This Row],[Discount Applied]],Table22[[#This Row],[Total Sales (in USD)]]*(1-Table22[[#This Row],[Discount Percentage (%)]]/100),Table22[[#This Row],[Total Sales (in USD)]])</f>
        <v>25433.7</v>
      </c>
      <c r="Q1122" s="66">
        <f>SQRT(AVERAGE((Table22[[#This Row],[Net Sales (after discount) (in USD)]]-AVERAGE(Table22[Net Sales (after discount) (in USD)]))^2))</f>
        <v>11077.660563764537</v>
      </c>
      <c r="R1122" s="18" t="b">
        <v>1</v>
      </c>
      <c r="S1122" s="40">
        <v>16.28</v>
      </c>
      <c r="T1122" s="18" t="b">
        <v>0</v>
      </c>
      <c r="U1122" s="25">
        <v>45148</v>
      </c>
      <c r="V1122" s="63" t="str">
        <f>IF(MONTH(Table22[[#This Row],[Sales Date]])&lt;=3,"Q1",IF(MONTH(Table22[[#This Row],[Sales Date]])&lt;=6,"Q2",IF(MONTH(Table22[[#This Row],[Sales Date]])&lt;=9,"Q3","Q4")))</f>
        <v>Q3</v>
      </c>
      <c r="W1122" s="64">
        <f>YEAR(Table22[[#This Row],[Sales Date]])</f>
        <v>2023</v>
      </c>
      <c r="X1122" s="23">
        <v>42</v>
      </c>
      <c r="Y1122" s="18" t="s">
        <v>41</v>
      </c>
      <c r="Z1122" s="18" t="s">
        <v>42</v>
      </c>
      <c r="AA1122" s="19" t="s">
        <v>36</v>
      </c>
    </row>
    <row r="1123" spans="1:27" x14ac:dyDescent="0.25">
      <c r="A1123" s="17" t="s">
        <v>1135</v>
      </c>
      <c r="B1123" s="18" t="s">
        <v>72</v>
      </c>
      <c r="C1123" s="63" t="str" cm="1">
        <f t="array" ref="C1123">_xlfn.SWITCH(Table22[[#This Row],[Country]],"USA","North America","Canada","North America","Brazil","South America","China","Asia","Japan","Asia","India","Asia","France","Europe","Germany","Europe","UK","Europe","Australia","Oceania","South America")</f>
        <v>North America</v>
      </c>
      <c r="D1123" s="18" t="s">
        <v>21</v>
      </c>
      <c r="E1123" s="18" t="s">
        <v>33</v>
      </c>
      <c r="F1123" s="18" t="s">
        <v>47</v>
      </c>
      <c r="G1123" s="18" t="s">
        <v>22</v>
      </c>
      <c r="H1123" s="64">
        <f>LEN(TRIM(Table22[[#This Row],[Country]]))</f>
        <v>3</v>
      </c>
      <c r="I1123" s="64">
        <f>LEN(TRIM(Table22[[#This Row],[Continent]]))</f>
        <v>13</v>
      </c>
      <c r="J1123" s="64">
        <f>LEN(TRIM(Table22[[#This Row],[Product]]))</f>
        <v>10</v>
      </c>
      <c r="K1123" s="64">
        <f>LEN(TRIM(Table22[[#This Row],[Sales Team]]))</f>
        <v>10</v>
      </c>
      <c r="L1123" s="23">
        <v>91</v>
      </c>
      <c r="M1123" s="65" t="str" cm="1">
        <f t="array" ref="M1123">_xlfn.IFS(Table22[[#This Row],[Units Sold]]&lt;40,"Critical",Table22[[#This Row],[Units Sold]]&lt;=50,"Poor",Table22[[#This Row],[Units Sold]]&lt;=60,"Low",Table22[[#This Row],[Units Sold]]&lt;=80,"Average",Table22[[#This Row],[Units Sold]]&lt;=90,"High",Table22[[#This Row],[Units Sold]]&lt;=95,"Excellent",Table22[[#This Row],[Units Sold]]&gt;95,"Outstanding")</f>
        <v>Excellent</v>
      </c>
      <c r="N1123" s="29">
        <v>279.27999999999997</v>
      </c>
      <c r="O1123" s="29">
        <v>25414.48</v>
      </c>
      <c r="P1123" s="43">
        <f>IF(Table22[[#This Row],[Discount Applied]],Table22[[#This Row],[Total Sales (in USD)]]*(1-Table22[[#This Row],[Discount Percentage (%)]]/100),Table22[[#This Row],[Total Sales (in USD)]])</f>
        <v>19162.517919999998</v>
      </c>
      <c r="Q1123" s="66">
        <f>SQRT(AVERAGE((Table22[[#This Row],[Net Sales (after discount) (in USD)]]-AVERAGE(Table22[Net Sales (after discount) (in USD)]))^2))</f>
        <v>17348.842643764539</v>
      </c>
      <c r="R1123" s="18" t="b">
        <v>0</v>
      </c>
      <c r="S1123" s="40">
        <v>24.6</v>
      </c>
      <c r="T1123" s="18" t="b">
        <v>1</v>
      </c>
      <c r="U1123" s="25">
        <v>45465</v>
      </c>
      <c r="V1123" s="63" t="str">
        <f>IF(MONTH(Table22[[#This Row],[Sales Date]])&lt;=3,"Q1",IF(MONTH(Table22[[#This Row],[Sales Date]])&lt;=6,"Q2",IF(MONTH(Table22[[#This Row],[Sales Date]])&lt;=9,"Q3","Q4")))</f>
        <v>Q2</v>
      </c>
      <c r="W1123" s="64">
        <f>YEAR(Table22[[#This Row],[Sales Date]])</f>
        <v>2024</v>
      </c>
      <c r="X1123" s="23">
        <v>65</v>
      </c>
      <c r="Y1123" s="18" t="s">
        <v>23</v>
      </c>
      <c r="Z1123" s="18" t="s">
        <v>56</v>
      </c>
      <c r="AA1123" s="19" t="s">
        <v>25</v>
      </c>
    </row>
    <row r="1124" spans="1:27" x14ac:dyDescent="0.25">
      <c r="A1124" s="17" t="s">
        <v>1567</v>
      </c>
      <c r="B1124" s="18" t="s">
        <v>66</v>
      </c>
      <c r="C1124" s="63" t="str" cm="1">
        <f t="array" ref="C1124">_xlfn.SWITCH(Table22[[#This Row],[Country]],"USA","North America","Canada","North America","Brazil","South America","China","Asia","Japan","Asia","India","Asia","France","Europe","Germany","Europe","UK","Europe","Australia","Oceania","South America")</f>
        <v>North America</v>
      </c>
      <c r="D1124" s="18" t="s">
        <v>44</v>
      </c>
      <c r="E1124" s="18" t="s">
        <v>33</v>
      </c>
      <c r="F1124" s="18" t="s">
        <v>34</v>
      </c>
      <c r="G1124" s="18" t="s">
        <v>40</v>
      </c>
      <c r="H1124" s="64">
        <f>LEN(TRIM(Table22[[#This Row],[Country]]))</f>
        <v>6</v>
      </c>
      <c r="I1124" s="64">
        <f>LEN(TRIM(Table22[[#This Row],[Continent]]))</f>
        <v>13</v>
      </c>
      <c r="J1124" s="64">
        <f>LEN(TRIM(Table22[[#This Row],[Product]]))</f>
        <v>10</v>
      </c>
      <c r="K1124" s="64">
        <f>LEN(TRIM(Table22[[#This Row],[Sales Team]]))</f>
        <v>10</v>
      </c>
      <c r="L1124" s="23">
        <v>31</v>
      </c>
      <c r="M1124" s="65" t="str" cm="1">
        <f t="array" ref="M1124">_xlfn.IFS(Table22[[#This Row],[Units Sold]]&lt;40,"Critical",Table22[[#This Row],[Units Sold]]&lt;=50,"Poor",Table22[[#This Row],[Units Sold]]&lt;=60,"Low",Table22[[#This Row],[Units Sold]]&lt;=80,"Average",Table22[[#This Row],[Units Sold]]&lt;=90,"High",Table22[[#This Row],[Units Sold]]&lt;=95,"Excellent",Table22[[#This Row],[Units Sold]]&gt;95,"Outstanding")</f>
        <v>Critical</v>
      </c>
      <c r="N1124" s="29">
        <v>818.67</v>
      </c>
      <c r="O1124" s="29">
        <v>25378.77</v>
      </c>
      <c r="P1124" s="43">
        <f>IF(Table22[[#This Row],[Discount Applied]],Table22[[#This Row],[Total Sales (in USD)]]*(1-Table22[[#This Row],[Discount Percentage (%)]]/100),Table22[[#This Row],[Total Sales (in USD)]])</f>
        <v>20734.455089999999</v>
      </c>
      <c r="Q1124" s="66">
        <f>SQRT(AVERAGE((Table22[[#This Row],[Net Sales (after discount) (in USD)]]-AVERAGE(Table22[Net Sales (after discount) (in USD)]))^2))</f>
        <v>15776.905473764538</v>
      </c>
      <c r="R1124" s="18" t="b">
        <v>0</v>
      </c>
      <c r="S1124" s="40">
        <v>18.3</v>
      </c>
      <c r="T1124" s="18" t="b">
        <v>1</v>
      </c>
      <c r="U1124" s="25">
        <v>45261</v>
      </c>
      <c r="V1124" s="63" t="str">
        <f>IF(MONTH(Table22[[#This Row],[Sales Date]])&lt;=3,"Q1",IF(MONTH(Table22[[#This Row],[Sales Date]])&lt;=6,"Q2",IF(MONTH(Table22[[#This Row],[Sales Date]])&lt;=9,"Q3","Q4")))</f>
        <v>Q4</v>
      </c>
      <c r="W1124" s="64">
        <f>YEAR(Table22[[#This Row],[Sales Date]])</f>
        <v>2023</v>
      </c>
      <c r="X1124" s="23">
        <v>44</v>
      </c>
      <c r="Y1124" s="18" t="s">
        <v>49</v>
      </c>
      <c r="Z1124" s="18" t="s">
        <v>56</v>
      </c>
      <c r="AA1124" s="19" t="s">
        <v>25</v>
      </c>
    </row>
    <row r="1125" spans="1:27" x14ac:dyDescent="0.25">
      <c r="A1125" s="17" t="s">
        <v>1702</v>
      </c>
      <c r="B1125" s="18" t="s">
        <v>62</v>
      </c>
      <c r="C1125" s="63" t="str" cm="1">
        <f t="array" ref="C1125">_xlfn.SWITCH(Table22[[#This Row],[Country]],"USA","North America","Canada","North America","Brazil","South America","China","Asia","Japan","Asia","India","Asia","France","Europe","Germany","Europe","UK","Europe","Australia","Oceania","South America")</f>
        <v>Oceania</v>
      </c>
      <c r="D1125" s="18" t="s">
        <v>28</v>
      </c>
      <c r="E1125" s="18" t="s">
        <v>19</v>
      </c>
      <c r="F1125" s="18" t="s">
        <v>52</v>
      </c>
      <c r="G1125" s="18" t="s">
        <v>29</v>
      </c>
      <c r="H1125" s="64">
        <f>LEN(TRIM(Table22[[#This Row],[Country]]))</f>
        <v>9</v>
      </c>
      <c r="I1125" s="64">
        <f>LEN(TRIM(Table22[[#This Row],[Continent]]))</f>
        <v>7</v>
      </c>
      <c r="J1125" s="64">
        <f>LEN(TRIM(Table22[[#This Row],[Product]]))</f>
        <v>6</v>
      </c>
      <c r="K1125" s="64">
        <f>LEN(TRIM(Table22[[#This Row],[Sales Team]]))</f>
        <v>10</v>
      </c>
      <c r="L1125" s="23">
        <v>55</v>
      </c>
      <c r="M1125" s="65" t="str" cm="1">
        <f t="array" ref="M1125">_xlfn.IFS(Table22[[#This Row],[Units Sold]]&lt;40,"Critical",Table22[[#This Row],[Units Sold]]&lt;=50,"Poor",Table22[[#This Row],[Units Sold]]&lt;=60,"Low",Table22[[#This Row],[Units Sold]]&lt;=80,"Average",Table22[[#This Row],[Units Sold]]&lt;=90,"High",Table22[[#This Row],[Units Sold]]&lt;=95,"Excellent",Table22[[#This Row],[Units Sold]]&gt;95,"Outstanding")</f>
        <v>Low</v>
      </c>
      <c r="N1125" s="29">
        <v>459.48</v>
      </c>
      <c r="O1125" s="29">
        <v>25271.4</v>
      </c>
      <c r="P1125" s="43">
        <f>IF(Table22[[#This Row],[Discount Applied]],Table22[[#This Row],[Total Sales (in USD)]]*(1-Table22[[#This Row],[Discount Percentage (%)]]/100),Table22[[#This Row],[Total Sales (in USD)]])</f>
        <v>25271.4</v>
      </c>
      <c r="Q1125" s="66">
        <f>SQRT(AVERAGE((Table22[[#This Row],[Net Sales (after discount) (in USD)]]-AVERAGE(Table22[Net Sales (after discount) (in USD)]))^2))</f>
        <v>11239.960563764536</v>
      </c>
      <c r="R1125" s="18" t="b">
        <v>1</v>
      </c>
      <c r="S1125" s="40">
        <v>13.09</v>
      </c>
      <c r="T1125" s="18" t="b">
        <v>0</v>
      </c>
      <c r="U1125" s="25">
        <v>45296</v>
      </c>
      <c r="V1125" s="63" t="str">
        <f>IF(MONTH(Table22[[#This Row],[Sales Date]])&lt;=3,"Q1",IF(MONTH(Table22[[#This Row],[Sales Date]])&lt;=6,"Q2",IF(MONTH(Table22[[#This Row],[Sales Date]])&lt;=9,"Q3","Q4")))</f>
        <v>Q1</v>
      </c>
      <c r="W1125" s="64">
        <f>YEAR(Table22[[#This Row],[Sales Date]])</f>
        <v>2024</v>
      </c>
      <c r="X1125" s="23">
        <v>41</v>
      </c>
      <c r="Y1125" s="18" t="s">
        <v>41</v>
      </c>
      <c r="Z1125" s="18" t="s">
        <v>30</v>
      </c>
      <c r="AA1125" s="19" t="s">
        <v>36</v>
      </c>
    </row>
    <row r="1126" spans="1:27" x14ac:dyDescent="0.25">
      <c r="A1126" s="17" t="s">
        <v>1752</v>
      </c>
      <c r="B1126" s="18" t="s">
        <v>66</v>
      </c>
      <c r="C1126" s="63" t="str" cm="1">
        <f t="array" ref="C1126">_xlfn.SWITCH(Table22[[#This Row],[Country]],"USA","North America","Canada","North America","Brazil","South America","China","Asia","Japan","Asia","India","Asia","France","Europe","Germany","Europe","UK","Europe","Australia","Oceania","South America")</f>
        <v>North America</v>
      </c>
      <c r="D1126" s="18" t="s">
        <v>35</v>
      </c>
      <c r="E1126" s="18" t="s">
        <v>39</v>
      </c>
      <c r="F1126" s="18" t="s">
        <v>34</v>
      </c>
      <c r="G1126" s="18" t="s">
        <v>29</v>
      </c>
      <c r="H1126" s="64">
        <f>LEN(TRIM(Table22[[#This Row],[Country]]))</f>
        <v>6</v>
      </c>
      <c r="I1126" s="64">
        <f>LEN(TRIM(Table22[[#This Row],[Continent]]))</f>
        <v>13</v>
      </c>
      <c r="J1126" s="64">
        <f>LEN(TRIM(Table22[[#This Row],[Product]]))</f>
        <v>10</v>
      </c>
      <c r="K1126" s="64">
        <f>LEN(TRIM(Table22[[#This Row],[Sales Team]]))</f>
        <v>10</v>
      </c>
      <c r="L1126" s="23">
        <v>56</v>
      </c>
      <c r="M1126" s="65" t="str" cm="1">
        <f t="array" ref="M1126">_xlfn.IFS(Table22[[#This Row],[Units Sold]]&lt;40,"Critical",Table22[[#This Row],[Units Sold]]&lt;=50,"Poor",Table22[[#This Row],[Units Sold]]&lt;=60,"Low",Table22[[#This Row],[Units Sold]]&lt;=80,"Average",Table22[[#This Row],[Units Sold]]&lt;=90,"High",Table22[[#This Row],[Units Sold]]&lt;=95,"Excellent",Table22[[#This Row],[Units Sold]]&gt;95,"Outstanding")</f>
        <v>Low</v>
      </c>
      <c r="N1126" s="29">
        <v>450.32</v>
      </c>
      <c r="O1126" s="29">
        <v>25217.919999999998</v>
      </c>
      <c r="P1126" s="43">
        <f>IF(Table22[[#This Row],[Discount Applied]],Table22[[#This Row],[Total Sales (in USD)]]*(1-Table22[[#This Row],[Discount Percentage (%)]]/100),Table22[[#This Row],[Total Sales (in USD)]])</f>
        <v>24138.593023999998</v>
      </c>
      <c r="Q1126" s="66">
        <f>SQRT(AVERAGE((Table22[[#This Row],[Net Sales (after discount) (in USD)]]-AVERAGE(Table22[Net Sales (after discount) (in USD)]))^2))</f>
        <v>12372.76753976454</v>
      </c>
      <c r="R1126" s="18" t="b">
        <v>0</v>
      </c>
      <c r="S1126" s="40">
        <v>4.28</v>
      </c>
      <c r="T1126" s="18" t="b">
        <v>1</v>
      </c>
      <c r="U1126" s="25">
        <v>45406</v>
      </c>
      <c r="V1126" s="63" t="str">
        <f>IF(MONTH(Table22[[#This Row],[Sales Date]])&lt;=3,"Q1",IF(MONTH(Table22[[#This Row],[Sales Date]])&lt;=6,"Q2",IF(MONTH(Table22[[#This Row],[Sales Date]])&lt;=9,"Q3","Q4")))</f>
        <v>Q2</v>
      </c>
      <c r="W1126" s="64">
        <f>YEAR(Table22[[#This Row],[Sales Date]])</f>
        <v>2024</v>
      </c>
      <c r="X1126" s="23">
        <v>35</v>
      </c>
      <c r="Y1126" s="18" t="s">
        <v>23</v>
      </c>
      <c r="Z1126" s="18" t="s">
        <v>56</v>
      </c>
      <c r="AA1126" s="19" t="s">
        <v>25</v>
      </c>
    </row>
    <row r="1127" spans="1:27" x14ac:dyDescent="0.25">
      <c r="A1127" s="17" t="s">
        <v>962</v>
      </c>
      <c r="B1127" s="18" t="s">
        <v>72</v>
      </c>
      <c r="C1127" s="63" t="str" cm="1">
        <f t="array" ref="C1127">_xlfn.SWITCH(Table22[[#This Row],[Country]],"USA","North America","Canada","North America","Brazil","South America","China","Asia","Japan","Asia","India","Asia","France","Europe","Germany","Europe","UK","Europe","Australia","Oceania","South America")</f>
        <v>North America</v>
      </c>
      <c r="D1127" s="18" t="s">
        <v>28</v>
      </c>
      <c r="E1127" s="18" t="s">
        <v>33</v>
      </c>
      <c r="F1127" s="18" t="s">
        <v>52</v>
      </c>
      <c r="G1127" s="18" t="s">
        <v>22</v>
      </c>
      <c r="H1127" s="64">
        <f>LEN(TRIM(Table22[[#This Row],[Country]]))</f>
        <v>3</v>
      </c>
      <c r="I1127" s="64">
        <f>LEN(TRIM(Table22[[#This Row],[Continent]]))</f>
        <v>13</v>
      </c>
      <c r="J1127" s="64">
        <f>LEN(TRIM(Table22[[#This Row],[Product]]))</f>
        <v>10</v>
      </c>
      <c r="K1127" s="64">
        <f>LEN(TRIM(Table22[[#This Row],[Sales Team]]))</f>
        <v>10</v>
      </c>
      <c r="L1127" s="23">
        <v>70</v>
      </c>
      <c r="M1127" s="65" t="str" cm="1">
        <f t="array" ref="M1127">_xlfn.IFS(Table22[[#This Row],[Units Sold]]&lt;40,"Critical",Table22[[#This Row],[Units Sold]]&lt;=50,"Poor",Table22[[#This Row],[Units Sold]]&lt;=60,"Low",Table22[[#This Row],[Units Sold]]&lt;=80,"Average",Table22[[#This Row],[Units Sold]]&lt;=90,"High",Table22[[#This Row],[Units Sold]]&lt;=95,"Excellent",Table22[[#This Row],[Units Sold]]&gt;95,"Outstanding")</f>
        <v>Average</v>
      </c>
      <c r="N1127" s="29">
        <v>359.92</v>
      </c>
      <c r="O1127" s="29">
        <v>25194.400000000001</v>
      </c>
      <c r="P1127" s="43">
        <f>IF(Table22[[#This Row],[Discount Applied]],Table22[[#This Row],[Total Sales (in USD)]]*(1-Table22[[#This Row],[Discount Percentage (%)]]/100),Table22[[#This Row],[Total Sales (in USD)]])</f>
        <v>25194.400000000001</v>
      </c>
      <c r="Q1127" s="66">
        <f>SQRT(AVERAGE((Table22[[#This Row],[Net Sales (after discount) (in USD)]]-AVERAGE(Table22[Net Sales (after discount) (in USD)]))^2))</f>
        <v>11316.960563764536</v>
      </c>
      <c r="R1127" s="18" t="b">
        <v>1</v>
      </c>
      <c r="S1127" s="40">
        <v>0.98</v>
      </c>
      <c r="T1127" s="18" t="b">
        <v>0</v>
      </c>
      <c r="U1127" s="25">
        <v>45116</v>
      </c>
      <c r="V1127" s="63" t="str">
        <f>IF(MONTH(Table22[[#This Row],[Sales Date]])&lt;=3,"Q1",IF(MONTH(Table22[[#This Row],[Sales Date]])&lt;=6,"Q2",IF(MONTH(Table22[[#This Row],[Sales Date]])&lt;=9,"Q3","Q4")))</f>
        <v>Q3</v>
      </c>
      <c r="W1127" s="64">
        <f>YEAR(Table22[[#This Row],[Sales Date]])</f>
        <v>2023</v>
      </c>
      <c r="X1127" s="23">
        <v>41</v>
      </c>
      <c r="Y1127" s="18" t="s">
        <v>23</v>
      </c>
      <c r="Z1127" s="18" t="s">
        <v>24</v>
      </c>
      <c r="AA1127" s="19" t="s">
        <v>25</v>
      </c>
    </row>
    <row r="1128" spans="1:27" x14ac:dyDescent="0.25">
      <c r="A1128" s="17" t="s">
        <v>586</v>
      </c>
      <c r="B1128" s="18" t="s">
        <v>18</v>
      </c>
      <c r="C1128" s="63" t="str" cm="1">
        <f t="array" ref="C1128">_xlfn.SWITCH(Table22[[#This Row],[Country]],"USA","North America","Canada","North America","Brazil","South America","China","Asia","Japan","Asia","India","Asia","France","Europe","Germany","Europe","UK","Europe","Australia","Oceania","South America")</f>
        <v>Asia</v>
      </c>
      <c r="D1128" s="18" t="s">
        <v>35</v>
      </c>
      <c r="E1128" s="18" t="s">
        <v>19</v>
      </c>
      <c r="F1128" s="18" t="s">
        <v>64</v>
      </c>
      <c r="G1128" s="18" t="s">
        <v>29</v>
      </c>
      <c r="H1128" s="64">
        <f>LEN(TRIM(Table22[[#This Row],[Country]]))</f>
        <v>5</v>
      </c>
      <c r="I1128" s="64">
        <f>LEN(TRIM(Table22[[#This Row],[Continent]]))</f>
        <v>4</v>
      </c>
      <c r="J1128" s="64">
        <f>LEN(TRIM(Table22[[#This Row],[Product]]))</f>
        <v>6</v>
      </c>
      <c r="K1128" s="64">
        <f>LEN(TRIM(Table22[[#This Row],[Sales Team]]))</f>
        <v>10</v>
      </c>
      <c r="L1128" s="23">
        <v>20</v>
      </c>
      <c r="M1128" s="65" t="str" cm="1">
        <f t="array" ref="M1128">_xlfn.IFS(Table22[[#This Row],[Units Sold]]&lt;40,"Critical",Table22[[#This Row],[Units Sold]]&lt;=50,"Poor",Table22[[#This Row],[Units Sold]]&lt;=60,"Low",Table22[[#This Row],[Units Sold]]&lt;=80,"Average",Table22[[#This Row],[Units Sold]]&lt;=90,"High",Table22[[#This Row],[Units Sold]]&lt;=95,"Excellent",Table22[[#This Row],[Units Sold]]&gt;95,"Outstanding")</f>
        <v>Critical</v>
      </c>
      <c r="N1128" s="29">
        <v>1259.5</v>
      </c>
      <c r="O1128" s="29">
        <v>25190</v>
      </c>
      <c r="P1128" s="43">
        <f>IF(Table22[[#This Row],[Discount Applied]],Table22[[#This Row],[Total Sales (in USD)]]*(1-Table22[[#This Row],[Discount Percentage (%)]]/100),Table22[[#This Row],[Total Sales (in USD)]])</f>
        <v>20932.89</v>
      </c>
      <c r="Q1128" s="66">
        <f>SQRT(AVERAGE((Table22[[#This Row],[Net Sales (after discount) (in USD)]]-AVERAGE(Table22[Net Sales (after discount) (in USD)]))^2))</f>
        <v>15578.470563764538</v>
      </c>
      <c r="R1128" s="18" t="b">
        <v>1</v>
      </c>
      <c r="S1128" s="40">
        <v>16.899999999999999</v>
      </c>
      <c r="T1128" s="18" t="b">
        <v>1</v>
      </c>
      <c r="U1128" s="25">
        <v>45354</v>
      </c>
      <c r="V1128" s="63" t="str">
        <f>IF(MONTH(Table22[[#This Row],[Sales Date]])&lt;=3,"Q1",IF(MONTH(Table22[[#This Row],[Sales Date]])&lt;=6,"Q2",IF(MONTH(Table22[[#This Row],[Sales Date]])&lt;=9,"Q3","Q4")))</f>
        <v>Q1</v>
      </c>
      <c r="W1128" s="64">
        <f>YEAR(Table22[[#This Row],[Sales Date]])</f>
        <v>2024</v>
      </c>
      <c r="X1128" s="23">
        <v>30</v>
      </c>
      <c r="Y1128" s="18" t="s">
        <v>41</v>
      </c>
      <c r="Z1128" s="18" t="s">
        <v>56</v>
      </c>
      <c r="AA1128" s="19" t="s">
        <v>25</v>
      </c>
    </row>
    <row r="1129" spans="1:27" x14ac:dyDescent="0.25">
      <c r="A1129" s="17" t="s">
        <v>838</v>
      </c>
      <c r="B1129" s="18" t="s">
        <v>18</v>
      </c>
      <c r="C1129" s="63" t="str" cm="1">
        <f t="array" ref="C1129">_xlfn.SWITCH(Table22[[#This Row],[Country]],"USA","North America","Canada","North America","Brazil","South America","China","Asia","Japan","Asia","India","Asia","France","Europe","Germany","Europe","UK","Europe","Australia","Oceania","South America")</f>
        <v>Asia</v>
      </c>
      <c r="D1129" s="18" t="s">
        <v>21</v>
      </c>
      <c r="E1129" s="18" t="s">
        <v>39</v>
      </c>
      <c r="F1129" s="18" t="s">
        <v>20</v>
      </c>
      <c r="G1129" s="18" t="s">
        <v>48</v>
      </c>
      <c r="H1129" s="64">
        <f>LEN(TRIM(Table22[[#This Row],[Country]]))</f>
        <v>5</v>
      </c>
      <c r="I1129" s="64">
        <f>LEN(TRIM(Table22[[#This Row],[Continent]]))</f>
        <v>4</v>
      </c>
      <c r="J1129" s="64">
        <f>LEN(TRIM(Table22[[#This Row],[Product]]))</f>
        <v>10</v>
      </c>
      <c r="K1129" s="64">
        <f>LEN(TRIM(Table22[[#This Row],[Sales Team]]))</f>
        <v>9</v>
      </c>
      <c r="L1129" s="23">
        <v>19</v>
      </c>
      <c r="M1129" s="65" t="str" cm="1">
        <f t="array" ref="M1129">_xlfn.IFS(Table22[[#This Row],[Units Sold]]&lt;40,"Critical",Table22[[#This Row],[Units Sold]]&lt;=50,"Poor",Table22[[#This Row],[Units Sold]]&lt;=60,"Low",Table22[[#This Row],[Units Sold]]&lt;=80,"Average",Table22[[#This Row],[Units Sold]]&lt;=90,"High",Table22[[#This Row],[Units Sold]]&lt;=95,"Excellent",Table22[[#This Row],[Units Sold]]&gt;95,"Outstanding")</f>
        <v>Critical</v>
      </c>
      <c r="N1129" s="29">
        <v>1325.13</v>
      </c>
      <c r="O1129" s="29">
        <v>25177.47</v>
      </c>
      <c r="P1129" s="43">
        <f>IF(Table22[[#This Row],[Discount Applied]],Table22[[#This Row],[Total Sales (in USD)]]*(1-Table22[[#This Row],[Discount Percentage (%)]]/100),Table22[[#This Row],[Total Sales (in USD)]])</f>
        <v>25177.47</v>
      </c>
      <c r="Q1129" s="66">
        <f>SQRT(AVERAGE((Table22[[#This Row],[Net Sales (after discount) (in USD)]]-AVERAGE(Table22[Net Sales (after discount) (in USD)]))^2))</f>
        <v>11333.890563764537</v>
      </c>
      <c r="R1129" s="18" t="b">
        <v>1</v>
      </c>
      <c r="S1129" s="40">
        <v>26.42</v>
      </c>
      <c r="T1129" s="18" t="b">
        <v>0</v>
      </c>
      <c r="U1129" s="25">
        <v>45049</v>
      </c>
      <c r="V1129" s="63" t="str">
        <f>IF(MONTH(Table22[[#This Row],[Sales Date]])&lt;=3,"Q1",IF(MONTH(Table22[[#This Row],[Sales Date]])&lt;=6,"Q2",IF(MONTH(Table22[[#This Row],[Sales Date]])&lt;=9,"Q3","Q4")))</f>
        <v>Q2</v>
      </c>
      <c r="W1129" s="64">
        <f>YEAR(Table22[[#This Row],[Sales Date]])</f>
        <v>2023</v>
      </c>
      <c r="X1129" s="23">
        <v>57</v>
      </c>
      <c r="Y1129" s="18" t="s">
        <v>41</v>
      </c>
      <c r="Z1129" s="18" t="s">
        <v>56</v>
      </c>
      <c r="AA1129" s="19" t="s">
        <v>36</v>
      </c>
    </row>
    <row r="1130" spans="1:27" x14ac:dyDescent="0.25">
      <c r="A1130" s="17" t="s">
        <v>1423</v>
      </c>
      <c r="B1130" s="18" t="s">
        <v>72</v>
      </c>
      <c r="C1130" s="63" t="str" cm="1">
        <f t="array" ref="C1130">_xlfn.SWITCH(Table22[[#This Row],[Country]],"USA","North America","Canada","North America","Brazil","South America","China","Asia","Japan","Asia","India","Asia","France","Europe","Germany","Europe","UK","Europe","Australia","Oceania","South America")</f>
        <v>North America</v>
      </c>
      <c r="D1130" s="18" t="s">
        <v>21</v>
      </c>
      <c r="E1130" s="18" t="s">
        <v>19</v>
      </c>
      <c r="F1130" s="18" t="s">
        <v>47</v>
      </c>
      <c r="G1130" s="18" t="s">
        <v>48</v>
      </c>
      <c r="H1130" s="64">
        <f>LEN(TRIM(Table22[[#This Row],[Country]]))</f>
        <v>3</v>
      </c>
      <c r="I1130" s="64">
        <f>LEN(TRIM(Table22[[#This Row],[Continent]]))</f>
        <v>13</v>
      </c>
      <c r="J1130" s="64">
        <f>LEN(TRIM(Table22[[#This Row],[Product]]))</f>
        <v>6</v>
      </c>
      <c r="K1130" s="64">
        <f>LEN(TRIM(Table22[[#This Row],[Sales Team]]))</f>
        <v>9</v>
      </c>
      <c r="L1130" s="23">
        <v>17</v>
      </c>
      <c r="M1130" s="65" t="str" cm="1">
        <f t="array" ref="M1130">_xlfn.IFS(Table22[[#This Row],[Units Sold]]&lt;40,"Critical",Table22[[#This Row],[Units Sold]]&lt;=50,"Poor",Table22[[#This Row],[Units Sold]]&lt;=60,"Low",Table22[[#This Row],[Units Sold]]&lt;=80,"Average",Table22[[#This Row],[Units Sold]]&lt;=90,"High",Table22[[#This Row],[Units Sold]]&lt;=95,"Excellent",Table22[[#This Row],[Units Sold]]&gt;95,"Outstanding")</f>
        <v>Critical</v>
      </c>
      <c r="N1130" s="29">
        <v>1477.15</v>
      </c>
      <c r="O1130" s="29">
        <v>25111.55</v>
      </c>
      <c r="P1130" s="43">
        <f>IF(Table22[[#This Row],[Discount Applied]],Table22[[#This Row],[Total Sales (in USD)]]*(1-Table22[[#This Row],[Discount Percentage (%)]]/100),Table22[[#This Row],[Total Sales (in USD)]])</f>
        <v>19971.215714999998</v>
      </c>
      <c r="Q1130" s="66">
        <f>SQRT(AVERAGE((Table22[[#This Row],[Net Sales (after discount) (in USD)]]-AVERAGE(Table22[Net Sales (after discount) (in USD)]))^2))</f>
        <v>16540.144848764539</v>
      </c>
      <c r="R1130" s="18" t="b">
        <v>0</v>
      </c>
      <c r="S1130" s="40">
        <v>20.47</v>
      </c>
      <c r="T1130" s="18" t="b">
        <v>1</v>
      </c>
      <c r="U1130" s="25">
        <v>45256</v>
      </c>
      <c r="V1130" s="63" t="str">
        <f>IF(MONTH(Table22[[#This Row],[Sales Date]])&lt;=3,"Q1",IF(MONTH(Table22[[#This Row],[Sales Date]])&lt;=6,"Q2",IF(MONTH(Table22[[#This Row],[Sales Date]])&lt;=9,"Q3","Q4")))</f>
        <v>Q4</v>
      </c>
      <c r="W1130" s="64">
        <f>YEAR(Table22[[#This Row],[Sales Date]])</f>
        <v>2023</v>
      </c>
      <c r="X1130" s="23">
        <v>47</v>
      </c>
      <c r="Y1130" s="18" t="s">
        <v>49</v>
      </c>
      <c r="Z1130" s="18" t="s">
        <v>24</v>
      </c>
      <c r="AA1130" s="19" t="s">
        <v>25</v>
      </c>
    </row>
    <row r="1131" spans="1:27" x14ac:dyDescent="0.25">
      <c r="A1131" s="17" t="s">
        <v>225</v>
      </c>
      <c r="B1131" s="18" t="s">
        <v>72</v>
      </c>
      <c r="C1131" s="63" t="str" cm="1">
        <f t="array" ref="C1131">_xlfn.SWITCH(Table22[[#This Row],[Country]],"USA","North America","Canada","North America","Brazil","South America","China","Asia","Japan","Asia","India","Asia","France","Europe","Germany","Europe","UK","Europe","Australia","Oceania","South America")</f>
        <v>North America</v>
      </c>
      <c r="D1131" s="18" t="s">
        <v>44</v>
      </c>
      <c r="E1131" s="18" t="s">
        <v>39</v>
      </c>
      <c r="F1131" s="18" t="s">
        <v>52</v>
      </c>
      <c r="G1131" s="18" t="s">
        <v>22</v>
      </c>
      <c r="H1131" s="64">
        <f>LEN(TRIM(Table22[[#This Row],[Country]]))</f>
        <v>3</v>
      </c>
      <c r="I1131" s="64">
        <f>LEN(TRIM(Table22[[#This Row],[Continent]]))</f>
        <v>13</v>
      </c>
      <c r="J1131" s="64">
        <f>LEN(TRIM(Table22[[#This Row],[Product]]))</f>
        <v>10</v>
      </c>
      <c r="K1131" s="64">
        <f>LEN(TRIM(Table22[[#This Row],[Sales Team]]))</f>
        <v>10</v>
      </c>
      <c r="L1131" s="23">
        <v>24</v>
      </c>
      <c r="M1131" s="65" t="str" cm="1">
        <f t="array" ref="M1131">_xlfn.IFS(Table22[[#This Row],[Units Sold]]&lt;40,"Critical",Table22[[#This Row],[Units Sold]]&lt;=50,"Poor",Table22[[#This Row],[Units Sold]]&lt;=60,"Low",Table22[[#This Row],[Units Sold]]&lt;=80,"Average",Table22[[#This Row],[Units Sold]]&lt;=90,"High",Table22[[#This Row],[Units Sold]]&lt;=95,"Excellent",Table22[[#This Row],[Units Sold]]&gt;95,"Outstanding")</f>
        <v>Critical</v>
      </c>
      <c r="N1131" s="29">
        <v>1045.96</v>
      </c>
      <c r="O1131" s="29">
        <v>25103.040000000001</v>
      </c>
      <c r="P1131" s="43">
        <f>IF(Table22[[#This Row],[Discount Applied]],Table22[[#This Row],[Total Sales (in USD)]]*(1-Table22[[#This Row],[Discount Percentage (%)]]/100),Table22[[#This Row],[Total Sales (in USD)]])</f>
        <v>21744.253248000001</v>
      </c>
      <c r="Q1131" s="66">
        <f>SQRT(AVERAGE((Table22[[#This Row],[Net Sales (after discount) (in USD)]]-AVERAGE(Table22[Net Sales (after discount) (in USD)]))^2))</f>
        <v>14767.107315764537</v>
      </c>
      <c r="R1131" s="18" t="b">
        <v>1</v>
      </c>
      <c r="S1131" s="40">
        <v>13.38</v>
      </c>
      <c r="T1131" s="18" t="b">
        <v>1</v>
      </c>
      <c r="U1131" s="25">
        <v>45037</v>
      </c>
      <c r="V1131" s="63" t="str">
        <f>IF(MONTH(Table22[[#This Row],[Sales Date]])&lt;=3,"Q1",IF(MONTH(Table22[[#This Row],[Sales Date]])&lt;=6,"Q2",IF(MONTH(Table22[[#This Row],[Sales Date]])&lt;=9,"Q3","Q4")))</f>
        <v>Q2</v>
      </c>
      <c r="W1131" s="64">
        <f>YEAR(Table22[[#This Row],[Sales Date]])</f>
        <v>2023</v>
      </c>
      <c r="X1131" s="23">
        <v>45</v>
      </c>
      <c r="Y1131" s="18" t="s">
        <v>41</v>
      </c>
      <c r="Z1131" s="18" t="s">
        <v>56</v>
      </c>
      <c r="AA1131" s="19" t="s">
        <v>25</v>
      </c>
    </row>
    <row r="1132" spans="1:27" x14ac:dyDescent="0.25">
      <c r="A1132" s="17" t="s">
        <v>1997</v>
      </c>
      <c r="B1132" s="18" t="s">
        <v>18</v>
      </c>
      <c r="C1132" s="63" t="str" cm="1">
        <f t="array" ref="C1132">_xlfn.SWITCH(Table22[[#This Row],[Country]],"USA","North America","Canada","North America","Brazil","South America","China","Asia","Japan","Asia","India","Asia","France","Europe","Germany","Europe","UK","Europe","Australia","Oceania","South America")</f>
        <v>Asia</v>
      </c>
      <c r="D1132" s="18" t="s">
        <v>35</v>
      </c>
      <c r="E1132" s="18" t="s">
        <v>19</v>
      </c>
      <c r="F1132" s="18" t="s">
        <v>64</v>
      </c>
      <c r="G1132" s="18" t="s">
        <v>40</v>
      </c>
      <c r="H1132" s="64">
        <f>LEN(TRIM(Table22[[#This Row],[Country]]))</f>
        <v>5</v>
      </c>
      <c r="I1132" s="64">
        <f>LEN(TRIM(Table22[[#This Row],[Continent]]))</f>
        <v>4</v>
      </c>
      <c r="J1132" s="64">
        <f>LEN(TRIM(Table22[[#This Row],[Product]]))</f>
        <v>6</v>
      </c>
      <c r="K1132" s="64">
        <f>LEN(TRIM(Table22[[#This Row],[Sales Team]]))</f>
        <v>10</v>
      </c>
      <c r="L1132" s="23">
        <v>25</v>
      </c>
      <c r="M1132" s="65" t="str" cm="1">
        <f t="array" ref="M1132">_xlfn.IFS(Table22[[#This Row],[Units Sold]]&lt;40,"Critical",Table22[[#This Row],[Units Sold]]&lt;=50,"Poor",Table22[[#This Row],[Units Sold]]&lt;=60,"Low",Table22[[#This Row],[Units Sold]]&lt;=80,"Average",Table22[[#This Row],[Units Sold]]&lt;=90,"High",Table22[[#This Row],[Units Sold]]&lt;=95,"Excellent",Table22[[#This Row],[Units Sold]]&gt;95,"Outstanding")</f>
        <v>Critical</v>
      </c>
      <c r="N1132" s="29">
        <v>1002.74</v>
      </c>
      <c r="O1132" s="29">
        <v>25068.5</v>
      </c>
      <c r="P1132" s="43">
        <f>IF(Table22[[#This Row],[Discount Applied]],Table22[[#This Row],[Total Sales (in USD)]]*(1-Table22[[#This Row],[Discount Percentage (%)]]/100),Table22[[#This Row],[Total Sales (in USD)]])</f>
        <v>25068.5</v>
      </c>
      <c r="Q1132" s="66">
        <f>SQRT(AVERAGE((Table22[[#This Row],[Net Sales (after discount) (in USD)]]-AVERAGE(Table22[Net Sales (after discount) (in USD)]))^2))</f>
        <v>11442.860563764538</v>
      </c>
      <c r="R1132" s="18" t="b">
        <v>1</v>
      </c>
      <c r="S1132" s="40">
        <v>22.9</v>
      </c>
      <c r="T1132" s="18" t="b">
        <v>0</v>
      </c>
      <c r="U1132" s="25">
        <v>45228</v>
      </c>
      <c r="V1132" s="63" t="str">
        <f>IF(MONTH(Table22[[#This Row],[Sales Date]])&lt;=3,"Q1",IF(MONTH(Table22[[#This Row],[Sales Date]])&lt;=6,"Q2",IF(MONTH(Table22[[#This Row],[Sales Date]])&lt;=9,"Q3","Q4")))</f>
        <v>Q4</v>
      </c>
      <c r="W1132" s="64">
        <f>YEAR(Table22[[#This Row],[Sales Date]])</f>
        <v>2023</v>
      </c>
      <c r="X1132" s="23">
        <v>46</v>
      </c>
      <c r="Y1132" s="18" t="s">
        <v>23</v>
      </c>
      <c r="Z1132" s="18" t="s">
        <v>24</v>
      </c>
      <c r="AA1132" s="19" t="s">
        <v>25</v>
      </c>
    </row>
    <row r="1133" spans="1:27" x14ac:dyDescent="0.25">
      <c r="A1133" s="17" t="s">
        <v>618</v>
      </c>
      <c r="B1133" s="18" t="s">
        <v>46</v>
      </c>
      <c r="C1133" s="63" t="str" cm="1">
        <f t="array" ref="C1133">_xlfn.SWITCH(Table22[[#This Row],[Country]],"USA","North America","Canada","North America","Brazil","South America","China","Asia","Japan","Asia","India","Asia","France","Europe","Germany","Europe","UK","Europe","Australia","Oceania","South America")</f>
        <v>South America</v>
      </c>
      <c r="D1133" s="18" t="s">
        <v>44</v>
      </c>
      <c r="E1133" s="18" t="s">
        <v>39</v>
      </c>
      <c r="F1133" s="18" t="s">
        <v>47</v>
      </c>
      <c r="G1133" s="18" t="s">
        <v>48</v>
      </c>
      <c r="H1133" s="64">
        <f>LEN(TRIM(Table22[[#This Row],[Country]]))</f>
        <v>6</v>
      </c>
      <c r="I1133" s="64">
        <f>LEN(TRIM(Table22[[#This Row],[Continent]]))</f>
        <v>13</v>
      </c>
      <c r="J1133" s="64">
        <f>LEN(TRIM(Table22[[#This Row],[Product]]))</f>
        <v>10</v>
      </c>
      <c r="K1133" s="64">
        <f>LEN(TRIM(Table22[[#This Row],[Sales Team]]))</f>
        <v>9</v>
      </c>
      <c r="L1133" s="23">
        <v>20</v>
      </c>
      <c r="M1133" s="65" t="str" cm="1">
        <f t="array" ref="M1133">_xlfn.IFS(Table22[[#This Row],[Units Sold]]&lt;40,"Critical",Table22[[#This Row],[Units Sold]]&lt;=50,"Poor",Table22[[#This Row],[Units Sold]]&lt;=60,"Low",Table22[[#This Row],[Units Sold]]&lt;=80,"Average",Table22[[#This Row],[Units Sold]]&lt;=90,"High",Table22[[#This Row],[Units Sold]]&lt;=95,"Excellent",Table22[[#This Row],[Units Sold]]&gt;95,"Outstanding")</f>
        <v>Critical</v>
      </c>
      <c r="N1133" s="29">
        <v>1253.02</v>
      </c>
      <c r="O1133" s="29">
        <v>25060.400000000001</v>
      </c>
      <c r="P1133" s="43">
        <f>IF(Table22[[#This Row],[Discount Applied]],Table22[[#This Row],[Total Sales (in USD)]]*(1-Table22[[#This Row],[Discount Percentage (%)]]/100),Table22[[#This Row],[Total Sales (in USD)]])</f>
        <v>25060.400000000001</v>
      </c>
      <c r="Q1133" s="66">
        <f>SQRT(AVERAGE((Table22[[#This Row],[Net Sales (after discount) (in USD)]]-AVERAGE(Table22[Net Sales (after discount) (in USD)]))^2))</f>
        <v>11450.960563764536</v>
      </c>
      <c r="R1133" s="18" t="b">
        <v>1</v>
      </c>
      <c r="S1133" s="40">
        <v>17.68</v>
      </c>
      <c r="T1133" s="18" t="b">
        <v>0</v>
      </c>
      <c r="U1133" s="25">
        <v>45074</v>
      </c>
      <c r="V1133" s="63" t="str">
        <f>IF(MONTH(Table22[[#This Row],[Sales Date]])&lt;=3,"Q1",IF(MONTH(Table22[[#This Row],[Sales Date]])&lt;=6,"Q2",IF(MONTH(Table22[[#This Row],[Sales Date]])&lt;=9,"Q3","Q4")))</f>
        <v>Q2</v>
      </c>
      <c r="W1133" s="64">
        <f>YEAR(Table22[[#This Row],[Sales Date]])</f>
        <v>2023</v>
      </c>
      <c r="X1133" s="23">
        <v>44</v>
      </c>
      <c r="Y1133" s="18" t="s">
        <v>23</v>
      </c>
      <c r="Z1133" s="18" t="s">
        <v>30</v>
      </c>
      <c r="AA1133" s="19" t="s">
        <v>36</v>
      </c>
    </row>
    <row r="1134" spans="1:27" x14ac:dyDescent="0.25">
      <c r="A1134" s="17" t="s">
        <v>631</v>
      </c>
      <c r="B1134" s="18" t="s">
        <v>72</v>
      </c>
      <c r="C1134" s="63" t="str" cm="1">
        <f t="array" ref="C1134">_xlfn.SWITCH(Table22[[#This Row],[Country]],"USA","North America","Canada","North America","Brazil","South America","China","Asia","Japan","Asia","India","Asia","France","Europe","Germany","Europe","UK","Europe","Australia","Oceania","South America")</f>
        <v>North America</v>
      </c>
      <c r="D1134" s="18" t="s">
        <v>44</v>
      </c>
      <c r="E1134" s="18" t="s">
        <v>19</v>
      </c>
      <c r="F1134" s="18" t="s">
        <v>47</v>
      </c>
      <c r="G1134" s="18" t="s">
        <v>22</v>
      </c>
      <c r="H1134" s="64">
        <f>LEN(TRIM(Table22[[#This Row],[Country]]))</f>
        <v>3</v>
      </c>
      <c r="I1134" s="64">
        <f>LEN(TRIM(Table22[[#This Row],[Continent]]))</f>
        <v>13</v>
      </c>
      <c r="J1134" s="64">
        <f>LEN(TRIM(Table22[[#This Row],[Product]]))</f>
        <v>6</v>
      </c>
      <c r="K1134" s="64">
        <f>LEN(TRIM(Table22[[#This Row],[Sales Team]]))</f>
        <v>10</v>
      </c>
      <c r="L1134" s="23">
        <v>44</v>
      </c>
      <c r="M1134" s="65" t="str" cm="1">
        <f t="array" ref="M1134">_xlfn.IFS(Table22[[#This Row],[Units Sold]]&lt;40,"Critical",Table22[[#This Row],[Units Sold]]&lt;=50,"Poor",Table22[[#This Row],[Units Sold]]&lt;=60,"Low",Table22[[#This Row],[Units Sold]]&lt;=80,"Average",Table22[[#This Row],[Units Sold]]&lt;=90,"High",Table22[[#This Row],[Units Sold]]&lt;=95,"Excellent",Table22[[#This Row],[Units Sold]]&gt;95,"Outstanding")</f>
        <v>Poor</v>
      </c>
      <c r="N1134" s="29">
        <v>568.83000000000004</v>
      </c>
      <c r="O1134" s="29">
        <v>25028.52</v>
      </c>
      <c r="P1134" s="43">
        <f>IF(Table22[[#This Row],[Discount Applied]],Table22[[#This Row],[Total Sales (in USD)]]*(1-Table22[[#This Row],[Discount Percentage (%)]]/100),Table22[[#This Row],[Total Sales (in USD)]])</f>
        <v>21064.002432000001</v>
      </c>
      <c r="Q1134" s="66">
        <f>SQRT(AVERAGE((Table22[[#This Row],[Net Sales (after discount) (in USD)]]-AVERAGE(Table22[Net Sales (after discount) (in USD)]))^2))</f>
        <v>15447.358131764537</v>
      </c>
      <c r="R1134" s="18" t="b">
        <v>0</v>
      </c>
      <c r="S1134" s="40">
        <v>15.84</v>
      </c>
      <c r="T1134" s="18" t="b">
        <v>1</v>
      </c>
      <c r="U1134" s="25">
        <v>44954</v>
      </c>
      <c r="V1134" s="63" t="str">
        <f>IF(MONTH(Table22[[#This Row],[Sales Date]])&lt;=3,"Q1",IF(MONTH(Table22[[#This Row],[Sales Date]])&lt;=6,"Q2",IF(MONTH(Table22[[#This Row],[Sales Date]])&lt;=9,"Q3","Q4")))</f>
        <v>Q1</v>
      </c>
      <c r="W1134" s="64">
        <f>YEAR(Table22[[#This Row],[Sales Date]])</f>
        <v>2023</v>
      </c>
      <c r="X1134" s="23">
        <v>21</v>
      </c>
      <c r="Y1134" s="18" t="s">
        <v>23</v>
      </c>
      <c r="Z1134" s="18" t="s">
        <v>30</v>
      </c>
      <c r="AA1134" s="19" t="s">
        <v>36</v>
      </c>
    </row>
    <row r="1135" spans="1:27" x14ac:dyDescent="0.25">
      <c r="A1135" s="17" t="s">
        <v>452</v>
      </c>
      <c r="B1135" s="18" t="s">
        <v>38</v>
      </c>
      <c r="C1135" s="63" t="str" cm="1">
        <f t="array" ref="C1135">_xlfn.SWITCH(Table22[[#This Row],[Country]],"USA","North America","Canada","North America","Brazil","South America","China","Asia","Japan","Asia","India","Asia","France","Europe","Germany","Europe","UK","Europe","Australia","Oceania","South America")</f>
        <v>Europe</v>
      </c>
      <c r="D1135" s="18" t="s">
        <v>35</v>
      </c>
      <c r="E1135" s="18" t="s">
        <v>39</v>
      </c>
      <c r="F1135" s="18" t="s">
        <v>52</v>
      </c>
      <c r="G1135" s="18" t="s">
        <v>29</v>
      </c>
      <c r="H1135" s="64">
        <f>LEN(TRIM(Table22[[#This Row],[Country]]))</f>
        <v>6</v>
      </c>
      <c r="I1135" s="64">
        <f>LEN(TRIM(Table22[[#This Row],[Continent]]))</f>
        <v>6</v>
      </c>
      <c r="J1135" s="64">
        <f>LEN(TRIM(Table22[[#This Row],[Product]]))</f>
        <v>10</v>
      </c>
      <c r="K1135" s="64">
        <f>LEN(TRIM(Table22[[#This Row],[Sales Team]]))</f>
        <v>10</v>
      </c>
      <c r="L1135" s="23">
        <v>17</v>
      </c>
      <c r="M1135" s="65" t="str" cm="1">
        <f t="array" ref="M1135">_xlfn.IFS(Table22[[#This Row],[Units Sold]]&lt;40,"Critical",Table22[[#This Row],[Units Sold]]&lt;=50,"Poor",Table22[[#This Row],[Units Sold]]&lt;=60,"Low",Table22[[#This Row],[Units Sold]]&lt;=80,"Average",Table22[[#This Row],[Units Sold]]&lt;=90,"High",Table22[[#This Row],[Units Sold]]&lt;=95,"Excellent",Table22[[#This Row],[Units Sold]]&gt;95,"Outstanding")</f>
        <v>Critical</v>
      </c>
      <c r="N1135" s="29">
        <v>1469.05</v>
      </c>
      <c r="O1135" s="29">
        <v>24973.85</v>
      </c>
      <c r="P1135" s="43">
        <f>IF(Table22[[#This Row],[Discount Applied]],Table22[[#This Row],[Total Sales (in USD)]]*(1-Table22[[#This Row],[Discount Percentage (%)]]/100),Table22[[#This Row],[Total Sales (in USD)]])</f>
        <v>24973.85</v>
      </c>
      <c r="Q1135" s="66">
        <f>SQRT(AVERAGE((Table22[[#This Row],[Net Sales (after discount) (in USD)]]-AVERAGE(Table22[Net Sales (after discount) (in USD)]))^2))</f>
        <v>11537.510563764539</v>
      </c>
      <c r="R1135" s="18" t="b">
        <v>0</v>
      </c>
      <c r="S1135" s="40">
        <v>0.49</v>
      </c>
      <c r="T1135" s="18" t="b">
        <v>0</v>
      </c>
      <c r="U1135" s="25">
        <v>45301</v>
      </c>
      <c r="V1135" s="63" t="str">
        <f>IF(MONTH(Table22[[#This Row],[Sales Date]])&lt;=3,"Q1",IF(MONTH(Table22[[#This Row],[Sales Date]])&lt;=6,"Q2",IF(MONTH(Table22[[#This Row],[Sales Date]])&lt;=9,"Q3","Q4")))</f>
        <v>Q1</v>
      </c>
      <c r="W1135" s="64">
        <f>YEAR(Table22[[#This Row],[Sales Date]])</f>
        <v>2024</v>
      </c>
      <c r="X1135" s="23">
        <v>41</v>
      </c>
      <c r="Y1135" s="18" t="s">
        <v>23</v>
      </c>
      <c r="Z1135" s="18" t="s">
        <v>24</v>
      </c>
      <c r="AA1135" s="19" t="s">
        <v>36</v>
      </c>
    </row>
    <row r="1136" spans="1:27" x14ac:dyDescent="0.25">
      <c r="A1136" s="17" t="s">
        <v>1317</v>
      </c>
      <c r="B1136" s="18" t="s">
        <v>18</v>
      </c>
      <c r="C1136" s="63" t="str" cm="1">
        <f t="array" ref="C1136">_xlfn.SWITCH(Table22[[#This Row],[Country]],"USA","North America","Canada","North America","Brazil","South America","China","Asia","Japan","Asia","India","Asia","France","Europe","Germany","Europe","UK","Europe","Australia","Oceania","South America")</f>
        <v>Asia</v>
      </c>
      <c r="D1136" s="18" t="s">
        <v>28</v>
      </c>
      <c r="E1136" s="18" t="s">
        <v>39</v>
      </c>
      <c r="F1136" s="18" t="s">
        <v>64</v>
      </c>
      <c r="G1136" s="18" t="s">
        <v>22</v>
      </c>
      <c r="H1136" s="64">
        <f>LEN(TRIM(Table22[[#This Row],[Country]]))</f>
        <v>5</v>
      </c>
      <c r="I1136" s="64">
        <f>LEN(TRIM(Table22[[#This Row],[Continent]]))</f>
        <v>4</v>
      </c>
      <c r="J1136" s="64">
        <f>LEN(TRIM(Table22[[#This Row],[Product]]))</f>
        <v>10</v>
      </c>
      <c r="K1136" s="64">
        <f>LEN(TRIM(Table22[[#This Row],[Sales Team]]))</f>
        <v>10</v>
      </c>
      <c r="L1136" s="23">
        <v>22</v>
      </c>
      <c r="M1136" s="65" t="str" cm="1">
        <f t="array" ref="M1136">_xlfn.IFS(Table22[[#This Row],[Units Sold]]&lt;40,"Critical",Table22[[#This Row],[Units Sold]]&lt;=50,"Poor",Table22[[#This Row],[Units Sold]]&lt;=60,"Low",Table22[[#This Row],[Units Sold]]&lt;=80,"Average",Table22[[#This Row],[Units Sold]]&lt;=90,"High",Table22[[#This Row],[Units Sold]]&lt;=95,"Excellent",Table22[[#This Row],[Units Sold]]&gt;95,"Outstanding")</f>
        <v>Critical</v>
      </c>
      <c r="N1136" s="29">
        <v>1134.23</v>
      </c>
      <c r="O1136" s="29">
        <v>24953.06</v>
      </c>
      <c r="P1136" s="43">
        <f>IF(Table22[[#This Row],[Discount Applied]],Table22[[#This Row],[Total Sales (in USD)]]*(1-Table22[[#This Row],[Discount Percentage (%)]]/100),Table22[[#This Row],[Total Sales (in USD)]])</f>
        <v>24953.06</v>
      </c>
      <c r="Q1136" s="66">
        <f>SQRT(AVERAGE((Table22[[#This Row],[Net Sales (after discount) (in USD)]]-AVERAGE(Table22[Net Sales (after discount) (in USD)]))^2))</f>
        <v>11558.300563764536</v>
      </c>
      <c r="R1136" s="18" t="b">
        <v>1</v>
      </c>
      <c r="S1136" s="40">
        <v>8.06</v>
      </c>
      <c r="T1136" s="18" t="b">
        <v>0</v>
      </c>
      <c r="U1136" s="25">
        <v>45409</v>
      </c>
      <c r="V1136" s="63" t="str">
        <f>IF(MONTH(Table22[[#This Row],[Sales Date]])&lt;=3,"Q1",IF(MONTH(Table22[[#This Row],[Sales Date]])&lt;=6,"Q2",IF(MONTH(Table22[[#This Row],[Sales Date]])&lt;=9,"Q3","Q4")))</f>
        <v>Q2</v>
      </c>
      <c r="W1136" s="64">
        <f>YEAR(Table22[[#This Row],[Sales Date]])</f>
        <v>2024</v>
      </c>
      <c r="X1136" s="23">
        <v>20</v>
      </c>
      <c r="Y1136" s="18" t="s">
        <v>49</v>
      </c>
      <c r="Z1136" s="18" t="s">
        <v>24</v>
      </c>
      <c r="AA1136" s="19" t="s">
        <v>25</v>
      </c>
    </row>
    <row r="1137" spans="1:27" x14ac:dyDescent="0.25">
      <c r="A1137" s="17" t="s">
        <v>282</v>
      </c>
      <c r="B1137" s="18" t="s">
        <v>27</v>
      </c>
      <c r="C1137" s="63" t="str" cm="1">
        <f t="array" ref="C1137">_xlfn.SWITCH(Table22[[#This Row],[Country]],"USA","North America","Canada","North America","Brazil","South America","China","Asia","Japan","Asia","India","Asia","France","Europe","Germany","Europe","UK","Europe","Australia","Oceania","South America")</f>
        <v>Europe</v>
      </c>
      <c r="D1137" s="18" t="s">
        <v>28</v>
      </c>
      <c r="E1137" s="18" t="s">
        <v>19</v>
      </c>
      <c r="F1137" s="18" t="s">
        <v>52</v>
      </c>
      <c r="G1137" s="18" t="s">
        <v>48</v>
      </c>
      <c r="H1137" s="64">
        <f>LEN(TRIM(Table22[[#This Row],[Country]]))</f>
        <v>7</v>
      </c>
      <c r="I1137" s="64">
        <f>LEN(TRIM(Table22[[#This Row],[Continent]]))</f>
        <v>6</v>
      </c>
      <c r="J1137" s="64">
        <f>LEN(TRIM(Table22[[#This Row],[Product]]))</f>
        <v>6</v>
      </c>
      <c r="K1137" s="64">
        <f>LEN(TRIM(Table22[[#This Row],[Sales Team]]))</f>
        <v>9</v>
      </c>
      <c r="L1137" s="23">
        <v>34</v>
      </c>
      <c r="M1137" s="65" t="str" cm="1">
        <f t="array" ref="M1137">_xlfn.IFS(Table22[[#This Row],[Units Sold]]&lt;40,"Critical",Table22[[#This Row],[Units Sold]]&lt;=50,"Poor",Table22[[#This Row],[Units Sold]]&lt;=60,"Low",Table22[[#This Row],[Units Sold]]&lt;=80,"Average",Table22[[#This Row],[Units Sold]]&lt;=90,"High",Table22[[#This Row],[Units Sold]]&lt;=95,"Excellent",Table22[[#This Row],[Units Sold]]&gt;95,"Outstanding")</f>
        <v>Critical</v>
      </c>
      <c r="N1137" s="29">
        <v>733.83</v>
      </c>
      <c r="O1137" s="29">
        <v>24950.22</v>
      </c>
      <c r="P1137" s="43">
        <f>IF(Table22[[#This Row],[Discount Applied]],Table22[[#This Row],[Total Sales (in USD)]]*(1-Table22[[#This Row],[Discount Percentage (%)]]/100),Table22[[#This Row],[Total Sales (in USD)]])</f>
        <v>24950.22</v>
      </c>
      <c r="Q1137" s="66">
        <f>SQRT(AVERAGE((Table22[[#This Row],[Net Sales (after discount) (in USD)]]-AVERAGE(Table22[Net Sales (after discount) (in USD)]))^2))</f>
        <v>11561.140563764537</v>
      </c>
      <c r="R1137" s="18" t="b">
        <v>0</v>
      </c>
      <c r="S1137" s="40">
        <v>11.33</v>
      </c>
      <c r="T1137" s="18" t="b">
        <v>0</v>
      </c>
      <c r="U1137" s="25">
        <v>44940</v>
      </c>
      <c r="V1137" s="63" t="str">
        <f>IF(MONTH(Table22[[#This Row],[Sales Date]])&lt;=3,"Q1",IF(MONTH(Table22[[#This Row],[Sales Date]])&lt;=6,"Q2",IF(MONTH(Table22[[#This Row],[Sales Date]])&lt;=9,"Q3","Q4")))</f>
        <v>Q1</v>
      </c>
      <c r="W1137" s="64">
        <f>YEAR(Table22[[#This Row],[Sales Date]])</f>
        <v>2023</v>
      </c>
      <c r="X1137" s="23">
        <v>46</v>
      </c>
      <c r="Y1137" s="18" t="s">
        <v>23</v>
      </c>
      <c r="Z1137" s="18" t="s">
        <v>24</v>
      </c>
      <c r="AA1137" s="19" t="s">
        <v>36</v>
      </c>
    </row>
    <row r="1138" spans="1:27" x14ac:dyDescent="0.25">
      <c r="A1138" s="17" t="s">
        <v>1303</v>
      </c>
      <c r="B1138" s="18" t="s">
        <v>66</v>
      </c>
      <c r="C1138" s="63" t="str" cm="1">
        <f t="array" ref="C1138">_xlfn.SWITCH(Table22[[#This Row],[Country]],"USA","North America","Canada","North America","Brazil","South America","China","Asia","Japan","Asia","India","Asia","France","Europe","Germany","Europe","UK","Europe","Australia","Oceania","South America")</f>
        <v>North America</v>
      </c>
      <c r="D1138" s="18" t="s">
        <v>35</v>
      </c>
      <c r="E1138" s="18" t="s">
        <v>33</v>
      </c>
      <c r="F1138" s="18" t="s">
        <v>64</v>
      </c>
      <c r="G1138" s="18" t="s">
        <v>40</v>
      </c>
      <c r="H1138" s="64">
        <f>LEN(TRIM(Table22[[#This Row],[Country]]))</f>
        <v>6</v>
      </c>
      <c r="I1138" s="64">
        <f>LEN(TRIM(Table22[[#This Row],[Continent]]))</f>
        <v>13</v>
      </c>
      <c r="J1138" s="64">
        <f>LEN(TRIM(Table22[[#This Row],[Product]]))</f>
        <v>10</v>
      </c>
      <c r="K1138" s="64">
        <f>LEN(TRIM(Table22[[#This Row],[Sales Team]]))</f>
        <v>10</v>
      </c>
      <c r="L1138" s="23">
        <v>43</v>
      </c>
      <c r="M1138" s="65" t="str" cm="1">
        <f t="array" ref="M1138">_xlfn.IFS(Table22[[#This Row],[Units Sold]]&lt;40,"Critical",Table22[[#This Row],[Units Sold]]&lt;=50,"Poor",Table22[[#This Row],[Units Sold]]&lt;=60,"Low",Table22[[#This Row],[Units Sold]]&lt;=80,"Average",Table22[[#This Row],[Units Sold]]&lt;=90,"High",Table22[[#This Row],[Units Sold]]&lt;=95,"Excellent",Table22[[#This Row],[Units Sold]]&gt;95,"Outstanding")</f>
        <v>Poor</v>
      </c>
      <c r="N1138" s="29">
        <v>578.73</v>
      </c>
      <c r="O1138" s="29">
        <v>24885.39</v>
      </c>
      <c r="P1138" s="43">
        <f>IF(Table22[[#This Row],[Discount Applied]],Table22[[#This Row],[Total Sales (in USD)]]*(1-Table22[[#This Row],[Discount Percentage (%)]]/100),Table22[[#This Row],[Total Sales (in USD)]])</f>
        <v>22033.524305999999</v>
      </c>
      <c r="Q1138" s="66">
        <f>SQRT(AVERAGE((Table22[[#This Row],[Net Sales (after discount) (in USD)]]-AVERAGE(Table22[Net Sales (after discount) (in USD)]))^2))</f>
        <v>14477.836257764538</v>
      </c>
      <c r="R1138" s="18" t="b">
        <v>1</v>
      </c>
      <c r="S1138" s="40">
        <v>11.46</v>
      </c>
      <c r="T1138" s="18" t="b">
        <v>1</v>
      </c>
      <c r="U1138" s="25">
        <v>45173</v>
      </c>
      <c r="V1138" s="63" t="str">
        <f>IF(MONTH(Table22[[#This Row],[Sales Date]])&lt;=3,"Q1",IF(MONTH(Table22[[#This Row],[Sales Date]])&lt;=6,"Q2",IF(MONTH(Table22[[#This Row],[Sales Date]])&lt;=9,"Q3","Q4")))</f>
        <v>Q3</v>
      </c>
      <c r="W1138" s="64">
        <f>YEAR(Table22[[#This Row],[Sales Date]])</f>
        <v>2023</v>
      </c>
      <c r="X1138" s="23">
        <v>27</v>
      </c>
      <c r="Y1138" s="18" t="s">
        <v>41</v>
      </c>
      <c r="Z1138" s="18" t="s">
        <v>42</v>
      </c>
      <c r="AA1138" s="19" t="s">
        <v>25</v>
      </c>
    </row>
    <row r="1139" spans="1:27" x14ac:dyDescent="0.25">
      <c r="A1139" s="17" t="s">
        <v>864</v>
      </c>
      <c r="B1139" s="18" t="s">
        <v>66</v>
      </c>
      <c r="C1139" s="63" t="str" cm="1">
        <f t="array" ref="C1139">_xlfn.SWITCH(Table22[[#This Row],[Country]],"USA","North America","Canada","North America","Brazil","South America","China","Asia","Japan","Asia","India","Asia","France","Europe","Germany","Europe","UK","Europe","Australia","Oceania","South America")</f>
        <v>North America</v>
      </c>
      <c r="D1139" s="18" t="s">
        <v>35</v>
      </c>
      <c r="E1139" s="18" t="s">
        <v>33</v>
      </c>
      <c r="F1139" s="18" t="s">
        <v>52</v>
      </c>
      <c r="G1139" s="18" t="s">
        <v>22</v>
      </c>
      <c r="H1139" s="64">
        <f>LEN(TRIM(Table22[[#This Row],[Country]]))</f>
        <v>6</v>
      </c>
      <c r="I1139" s="64">
        <f>LEN(TRIM(Table22[[#This Row],[Continent]]))</f>
        <v>13</v>
      </c>
      <c r="J1139" s="64">
        <f>LEN(TRIM(Table22[[#This Row],[Product]]))</f>
        <v>10</v>
      </c>
      <c r="K1139" s="64">
        <f>LEN(TRIM(Table22[[#This Row],[Sales Team]]))</f>
        <v>10</v>
      </c>
      <c r="L1139" s="23">
        <v>34</v>
      </c>
      <c r="M1139" s="65" t="str" cm="1">
        <f t="array" ref="M1139">_xlfn.IFS(Table22[[#This Row],[Units Sold]]&lt;40,"Critical",Table22[[#This Row],[Units Sold]]&lt;=50,"Poor",Table22[[#This Row],[Units Sold]]&lt;=60,"Low",Table22[[#This Row],[Units Sold]]&lt;=80,"Average",Table22[[#This Row],[Units Sold]]&lt;=90,"High",Table22[[#This Row],[Units Sold]]&lt;=95,"Excellent",Table22[[#This Row],[Units Sold]]&gt;95,"Outstanding")</f>
        <v>Critical</v>
      </c>
      <c r="N1139" s="29">
        <v>727.5</v>
      </c>
      <c r="O1139" s="29">
        <v>24735</v>
      </c>
      <c r="P1139" s="43">
        <f>IF(Table22[[#This Row],[Discount Applied]],Table22[[#This Row],[Total Sales (in USD)]]*(1-Table22[[#This Row],[Discount Percentage (%)]]/100),Table22[[#This Row],[Total Sales (in USD)]])</f>
        <v>23092.596000000001</v>
      </c>
      <c r="Q1139" s="66">
        <f>SQRT(AVERAGE((Table22[[#This Row],[Net Sales (after discount) (in USD)]]-AVERAGE(Table22[Net Sales (after discount) (in USD)]))^2))</f>
        <v>13418.764563764536</v>
      </c>
      <c r="R1139" s="18" t="b">
        <v>1</v>
      </c>
      <c r="S1139" s="40">
        <v>6.64</v>
      </c>
      <c r="T1139" s="18" t="b">
        <v>1</v>
      </c>
      <c r="U1139" s="25">
        <v>45349</v>
      </c>
      <c r="V1139" s="63" t="str">
        <f>IF(MONTH(Table22[[#This Row],[Sales Date]])&lt;=3,"Q1",IF(MONTH(Table22[[#This Row],[Sales Date]])&lt;=6,"Q2",IF(MONTH(Table22[[#This Row],[Sales Date]])&lt;=9,"Q3","Q4")))</f>
        <v>Q1</v>
      </c>
      <c r="W1139" s="64">
        <f>YEAR(Table22[[#This Row],[Sales Date]])</f>
        <v>2024</v>
      </c>
      <c r="X1139" s="23">
        <v>66</v>
      </c>
      <c r="Y1139" s="18" t="s">
        <v>49</v>
      </c>
      <c r="Z1139" s="18" t="s">
        <v>30</v>
      </c>
      <c r="AA1139" s="19" t="s">
        <v>25</v>
      </c>
    </row>
    <row r="1140" spans="1:27" x14ac:dyDescent="0.25">
      <c r="A1140" s="17" t="s">
        <v>1606</v>
      </c>
      <c r="B1140" s="18" t="s">
        <v>51</v>
      </c>
      <c r="C1140" s="63" t="str" cm="1">
        <f t="array" ref="C1140">_xlfn.SWITCH(Table22[[#This Row],[Country]],"USA","North America","Canada","North America","Brazil","South America","China","Asia","Japan","Asia","India","Asia","France","Europe","Germany","Europe","UK","Europe","Australia","Oceania","South America")</f>
        <v>Europe</v>
      </c>
      <c r="D1140" s="18" t="s">
        <v>35</v>
      </c>
      <c r="E1140" s="18" t="s">
        <v>33</v>
      </c>
      <c r="F1140" s="18" t="s">
        <v>47</v>
      </c>
      <c r="G1140" s="18" t="s">
        <v>22</v>
      </c>
      <c r="H1140" s="64">
        <f>LEN(TRIM(Table22[[#This Row],[Country]]))</f>
        <v>2</v>
      </c>
      <c r="I1140" s="64">
        <f>LEN(TRIM(Table22[[#This Row],[Continent]]))</f>
        <v>6</v>
      </c>
      <c r="J1140" s="64">
        <f>LEN(TRIM(Table22[[#This Row],[Product]]))</f>
        <v>10</v>
      </c>
      <c r="K1140" s="64">
        <f>LEN(TRIM(Table22[[#This Row],[Sales Team]]))</f>
        <v>10</v>
      </c>
      <c r="L1140" s="23">
        <v>19</v>
      </c>
      <c r="M1140" s="65" t="str" cm="1">
        <f t="array" ref="M1140">_xlfn.IFS(Table22[[#This Row],[Units Sold]]&lt;40,"Critical",Table22[[#This Row],[Units Sold]]&lt;=50,"Poor",Table22[[#This Row],[Units Sold]]&lt;=60,"Low",Table22[[#This Row],[Units Sold]]&lt;=80,"Average",Table22[[#This Row],[Units Sold]]&lt;=90,"High",Table22[[#This Row],[Units Sold]]&lt;=95,"Excellent",Table22[[#This Row],[Units Sold]]&gt;95,"Outstanding")</f>
        <v>Critical</v>
      </c>
      <c r="N1140" s="29">
        <v>1301.17</v>
      </c>
      <c r="O1140" s="29">
        <v>24722.23</v>
      </c>
      <c r="P1140" s="43">
        <f>IF(Table22[[#This Row],[Discount Applied]],Table22[[#This Row],[Total Sales (in USD)]]*(1-Table22[[#This Row],[Discount Percentage (%)]]/100),Table22[[#This Row],[Total Sales (in USD)]])</f>
        <v>24722.23</v>
      </c>
      <c r="Q1140" s="66">
        <f>SQRT(AVERAGE((Table22[[#This Row],[Net Sales (after discount) (in USD)]]-AVERAGE(Table22[Net Sales (after discount) (in USD)]))^2))</f>
        <v>11789.130563764538</v>
      </c>
      <c r="R1140" s="18" t="b">
        <v>1</v>
      </c>
      <c r="S1140" s="40">
        <v>18.52</v>
      </c>
      <c r="T1140" s="18" t="b">
        <v>0</v>
      </c>
      <c r="U1140" s="25">
        <v>45073</v>
      </c>
      <c r="V1140" s="63" t="str">
        <f>IF(MONTH(Table22[[#This Row],[Sales Date]])&lt;=3,"Q1",IF(MONTH(Table22[[#This Row],[Sales Date]])&lt;=6,"Q2",IF(MONTH(Table22[[#This Row],[Sales Date]])&lt;=9,"Q3","Q4")))</f>
        <v>Q2</v>
      </c>
      <c r="W1140" s="64">
        <f>YEAR(Table22[[#This Row],[Sales Date]])</f>
        <v>2023</v>
      </c>
      <c r="X1140" s="23">
        <v>40</v>
      </c>
      <c r="Y1140" s="18" t="s">
        <v>23</v>
      </c>
      <c r="Z1140" s="18" t="s">
        <v>24</v>
      </c>
      <c r="AA1140" s="19" t="s">
        <v>36</v>
      </c>
    </row>
    <row r="1141" spans="1:27" x14ac:dyDescent="0.25">
      <c r="A1141" s="17" t="s">
        <v>1949</v>
      </c>
      <c r="B1141" s="18" t="s">
        <v>38</v>
      </c>
      <c r="C1141" s="63" t="str" cm="1">
        <f t="array" ref="C1141">_xlfn.SWITCH(Table22[[#This Row],[Country]],"USA","North America","Canada","North America","Brazil","South America","China","Asia","Japan","Asia","India","Asia","France","Europe","Germany","Europe","UK","Europe","Australia","Oceania","South America")</f>
        <v>Europe</v>
      </c>
      <c r="D1141" s="18" t="s">
        <v>44</v>
      </c>
      <c r="E1141" s="18" t="s">
        <v>39</v>
      </c>
      <c r="F1141" s="18" t="s">
        <v>47</v>
      </c>
      <c r="G1141" s="18" t="s">
        <v>29</v>
      </c>
      <c r="H1141" s="64">
        <f>LEN(TRIM(Table22[[#This Row],[Country]]))</f>
        <v>6</v>
      </c>
      <c r="I1141" s="64">
        <f>LEN(TRIM(Table22[[#This Row],[Continent]]))</f>
        <v>6</v>
      </c>
      <c r="J1141" s="64">
        <f>LEN(TRIM(Table22[[#This Row],[Product]]))</f>
        <v>10</v>
      </c>
      <c r="K1141" s="64">
        <f>LEN(TRIM(Table22[[#This Row],[Sales Team]]))</f>
        <v>10</v>
      </c>
      <c r="L1141" s="23">
        <v>33</v>
      </c>
      <c r="M1141" s="65" t="str" cm="1">
        <f t="array" ref="M1141">_xlfn.IFS(Table22[[#This Row],[Units Sold]]&lt;40,"Critical",Table22[[#This Row],[Units Sold]]&lt;=50,"Poor",Table22[[#This Row],[Units Sold]]&lt;=60,"Low",Table22[[#This Row],[Units Sold]]&lt;=80,"Average",Table22[[#This Row],[Units Sold]]&lt;=90,"High",Table22[[#This Row],[Units Sold]]&lt;=95,"Excellent",Table22[[#This Row],[Units Sold]]&gt;95,"Outstanding")</f>
        <v>Critical</v>
      </c>
      <c r="N1141" s="29">
        <v>744.54</v>
      </c>
      <c r="O1141" s="29">
        <v>24569.82</v>
      </c>
      <c r="P1141" s="43">
        <f>IF(Table22[[#This Row],[Discount Applied]],Table22[[#This Row],[Total Sales (in USD)]]*(1-Table22[[#This Row],[Discount Percentage (%)]]/100),Table22[[#This Row],[Total Sales (in USD)]])</f>
        <v>18147.269052</v>
      </c>
      <c r="Q1141" s="66">
        <f>SQRT(AVERAGE((Table22[[#This Row],[Net Sales (after discount) (in USD)]]-AVERAGE(Table22[Net Sales (after discount) (in USD)]))^2))</f>
        <v>18364.091511764538</v>
      </c>
      <c r="R1141" s="18" t="b">
        <v>0</v>
      </c>
      <c r="S1141" s="40">
        <v>26.14</v>
      </c>
      <c r="T1141" s="18" t="b">
        <v>1</v>
      </c>
      <c r="U1141" s="25">
        <v>44992</v>
      </c>
      <c r="V1141" s="63" t="str">
        <f>IF(MONTH(Table22[[#This Row],[Sales Date]])&lt;=3,"Q1",IF(MONTH(Table22[[#This Row],[Sales Date]])&lt;=6,"Q2",IF(MONTH(Table22[[#This Row],[Sales Date]])&lt;=9,"Q3","Q4")))</f>
        <v>Q1</v>
      </c>
      <c r="W1141" s="64">
        <f>YEAR(Table22[[#This Row],[Sales Date]])</f>
        <v>2023</v>
      </c>
      <c r="X1141" s="23">
        <v>47</v>
      </c>
      <c r="Y1141" s="18" t="s">
        <v>23</v>
      </c>
      <c r="Z1141" s="18" t="s">
        <v>56</v>
      </c>
      <c r="AA1141" s="19" t="s">
        <v>36</v>
      </c>
    </row>
    <row r="1142" spans="1:27" x14ac:dyDescent="0.25">
      <c r="A1142" s="17" t="s">
        <v>1766</v>
      </c>
      <c r="B1142" s="18" t="s">
        <v>32</v>
      </c>
      <c r="C1142" s="63" t="str" cm="1">
        <f t="array" ref="C1142">_xlfn.SWITCH(Table22[[#This Row],[Country]],"USA","North America","Canada","North America","Brazil","South America","China","Asia","Japan","Asia","India","Asia","France","Europe","Germany","Europe","UK","Europe","Australia","Oceania","South America")</f>
        <v>Asia</v>
      </c>
      <c r="D1142" s="18" t="s">
        <v>35</v>
      </c>
      <c r="E1142" s="18" t="s">
        <v>39</v>
      </c>
      <c r="F1142" s="18" t="s">
        <v>52</v>
      </c>
      <c r="G1142" s="18" t="s">
        <v>48</v>
      </c>
      <c r="H1142" s="64">
        <f>LEN(TRIM(Table22[[#This Row],[Country]]))</f>
        <v>5</v>
      </c>
      <c r="I1142" s="64">
        <f>LEN(TRIM(Table22[[#This Row],[Continent]]))</f>
        <v>4</v>
      </c>
      <c r="J1142" s="64">
        <f>LEN(TRIM(Table22[[#This Row],[Product]]))</f>
        <v>10</v>
      </c>
      <c r="K1142" s="64">
        <f>LEN(TRIM(Table22[[#This Row],[Sales Team]]))</f>
        <v>9</v>
      </c>
      <c r="L1142" s="23">
        <v>89</v>
      </c>
      <c r="M1142" s="65" t="str" cm="1">
        <f t="array" ref="M1142">_xlfn.IFS(Table22[[#This Row],[Units Sold]]&lt;40,"Critical",Table22[[#This Row],[Units Sold]]&lt;=50,"Poor",Table22[[#This Row],[Units Sold]]&lt;=60,"Low",Table22[[#This Row],[Units Sold]]&lt;=80,"Average",Table22[[#This Row],[Units Sold]]&lt;=90,"High",Table22[[#This Row],[Units Sold]]&lt;=95,"Excellent",Table22[[#This Row],[Units Sold]]&gt;95,"Outstanding")</f>
        <v>High</v>
      </c>
      <c r="N1142" s="29">
        <v>275.73</v>
      </c>
      <c r="O1142" s="29">
        <v>24539.97</v>
      </c>
      <c r="P1142" s="43">
        <f>IF(Table22[[#This Row],[Discount Applied]],Table22[[#This Row],[Total Sales (in USD)]]*(1-Table22[[#This Row],[Discount Percentage (%)]]/100),Table22[[#This Row],[Total Sales (in USD)]])</f>
        <v>24539.97</v>
      </c>
      <c r="Q1142" s="66">
        <f>SQRT(AVERAGE((Table22[[#This Row],[Net Sales (after discount) (in USD)]]-AVERAGE(Table22[Net Sales (after discount) (in USD)]))^2))</f>
        <v>11971.390563764537</v>
      </c>
      <c r="R1142" s="18" t="b">
        <v>0</v>
      </c>
      <c r="S1142" s="40">
        <v>28.23</v>
      </c>
      <c r="T1142" s="18" t="b">
        <v>0</v>
      </c>
      <c r="U1142" s="25">
        <v>44973</v>
      </c>
      <c r="V1142" s="63" t="str">
        <f>IF(MONTH(Table22[[#This Row],[Sales Date]])&lt;=3,"Q1",IF(MONTH(Table22[[#This Row],[Sales Date]])&lt;=6,"Q2",IF(MONTH(Table22[[#This Row],[Sales Date]])&lt;=9,"Q3","Q4")))</f>
        <v>Q1</v>
      </c>
      <c r="W1142" s="64">
        <f>YEAR(Table22[[#This Row],[Sales Date]])</f>
        <v>2023</v>
      </c>
      <c r="X1142" s="23">
        <v>41</v>
      </c>
      <c r="Y1142" s="18" t="s">
        <v>23</v>
      </c>
      <c r="Z1142" s="18" t="s">
        <v>56</v>
      </c>
      <c r="AA1142" s="19" t="s">
        <v>25</v>
      </c>
    </row>
    <row r="1143" spans="1:27" x14ac:dyDescent="0.25">
      <c r="A1143" s="17" t="s">
        <v>1839</v>
      </c>
      <c r="B1143" s="18" t="s">
        <v>72</v>
      </c>
      <c r="C1143" s="63" t="str" cm="1">
        <f t="array" ref="C1143">_xlfn.SWITCH(Table22[[#This Row],[Country]],"USA","North America","Canada","North America","Brazil","South America","China","Asia","Japan","Asia","India","Asia","France","Europe","Germany","Europe","UK","Europe","Australia","Oceania","South America")</f>
        <v>North America</v>
      </c>
      <c r="D1143" s="18" t="s">
        <v>44</v>
      </c>
      <c r="E1143" s="18" t="s">
        <v>19</v>
      </c>
      <c r="F1143" s="18" t="s">
        <v>64</v>
      </c>
      <c r="G1143" s="18" t="s">
        <v>29</v>
      </c>
      <c r="H1143" s="64">
        <f>LEN(TRIM(Table22[[#This Row],[Country]]))</f>
        <v>3</v>
      </c>
      <c r="I1143" s="64">
        <f>LEN(TRIM(Table22[[#This Row],[Continent]]))</f>
        <v>13</v>
      </c>
      <c r="J1143" s="64">
        <f>LEN(TRIM(Table22[[#This Row],[Product]]))</f>
        <v>6</v>
      </c>
      <c r="K1143" s="64">
        <f>LEN(TRIM(Table22[[#This Row],[Sales Team]]))</f>
        <v>10</v>
      </c>
      <c r="L1143" s="23">
        <v>43</v>
      </c>
      <c r="M1143" s="65" t="str" cm="1">
        <f t="array" ref="M1143">_xlfn.IFS(Table22[[#This Row],[Units Sold]]&lt;40,"Critical",Table22[[#This Row],[Units Sold]]&lt;=50,"Poor",Table22[[#This Row],[Units Sold]]&lt;=60,"Low",Table22[[#This Row],[Units Sold]]&lt;=80,"Average",Table22[[#This Row],[Units Sold]]&lt;=90,"High",Table22[[#This Row],[Units Sold]]&lt;=95,"Excellent",Table22[[#This Row],[Units Sold]]&gt;95,"Outstanding")</f>
        <v>Poor</v>
      </c>
      <c r="N1143" s="29">
        <v>569.52</v>
      </c>
      <c r="O1143" s="29">
        <v>24489.360000000001</v>
      </c>
      <c r="P1143" s="43">
        <f>IF(Table22[[#This Row],[Discount Applied]],Table22[[#This Row],[Total Sales (in USD)]]*(1-Table22[[#This Row],[Discount Percentage (%)]]/100),Table22[[#This Row],[Total Sales (in USD)]])</f>
        <v>17720.500896000001</v>
      </c>
      <c r="Q1143" s="66">
        <f>SQRT(AVERAGE((Table22[[#This Row],[Net Sales (after discount) (in USD)]]-AVERAGE(Table22[Net Sales (after discount) (in USD)]))^2))</f>
        <v>18790.859667764536</v>
      </c>
      <c r="R1143" s="18" t="b">
        <v>0</v>
      </c>
      <c r="S1143" s="40">
        <v>27.64</v>
      </c>
      <c r="T1143" s="18" t="b">
        <v>1</v>
      </c>
      <c r="U1143" s="25">
        <v>45454</v>
      </c>
      <c r="V1143" s="63" t="str">
        <f>IF(MONTH(Table22[[#This Row],[Sales Date]])&lt;=3,"Q1",IF(MONTH(Table22[[#This Row],[Sales Date]])&lt;=6,"Q2",IF(MONTH(Table22[[#This Row],[Sales Date]])&lt;=9,"Q3","Q4")))</f>
        <v>Q2</v>
      </c>
      <c r="W1143" s="64">
        <f>YEAR(Table22[[#This Row],[Sales Date]])</f>
        <v>2024</v>
      </c>
      <c r="X1143" s="23">
        <v>53</v>
      </c>
      <c r="Y1143" s="18" t="s">
        <v>49</v>
      </c>
      <c r="Z1143" s="18" t="s">
        <v>56</v>
      </c>
      <c r="AA1143" s="19" t="s">
        <v>25</v>
      </c>
    </row>
    <row r="1144" spans="1:27" x14ac:dyDescent="0.25">
      <c r="A1144" s="17" t="s">
        <v>433</v>
      </c>
      <c r="B1144" s="18" t="s">
        <v>32</v>
      </c>
      <c r="C1144" s="63" t="str" cm="1">
        <f t="array" ref="C1144">_xlfn.SWITCH(Table22[[#This Row],[Country]],"USA","North America","Canada","North America","Brazil","South America","China","Asia","Japan","Asia","India","Asia","France","Europe","Germany","Europe","UK","Europe","Australia","Oceania","South America")</f>
        <v>Asia</v>
      </c>
      <c r="D1144" s="18" t="s">
        <v>44</v>
      </c>
      <c r="E1144" s="18" t="s">
        <v>19</v>
      </c>
      <c r="F1144" s="18" t="s">
        <v>52</v>
      </c>
      <c r="G1144" s="18" t="s">
        <v>40</v>
      </c>
      <c r="H1144" s="64">
        <f>LEN(TRIM(Table22[[#This Row],[Country]]))</f>
        <v>5</v>
      </c>
      <c r="I1144" s="64">
        <f>LEN(TRIM(Table22[[#This Row],[Continent]]))</f>
        <v>4</v>
      </c>
      <c r="J1144" s="64">
        <f>LEN(TRIM(Table22[[#This Row],[Product]]))</f>
        <v>6</v>
      </c>
      <c r="K1144" s="64">
        <f>LEN(TRIM(Table22[[#This Row],[Sales Team]]))</f>
        <v>10</v>
      </c>
      <c r="L1144" s="23">
        <v>28</v>
      </c>
      <c r="M1144" s="65" t="str" cm="1">
        <f t="array" ref="M1144">_xlfn.IFS(Table22[[#This Row],[Units Sold]]&lt;40,"Critical",Table22[[#This Row],[Units Sold]]&lt;=50,"Poor",Table22[[#This Row],[Units Sold]]&lt;=60,"Low",Table22[[#This Row],[Units Sold]]&lt;=80,"Average",Table22[[#This Row],[Units Sold]]&lt;=90,"High",Table22[[#This Row],[Units Sold]]&lt;=95,"Excellent",Table22[[#This Row],[Units Sold]]&gt;95,"Outstanding")</f>
        <v>Critical</v>
      </c>
      <c r="N1144" s="29">
        <v>872.17</v>
      </c>
      <c r="O1144" s="29">
        <v>24420.76</v>
      </c>
      <c r="P1144" s="43">
        <f>IF(Table22[[#This Row],[Discount Applied]],Table22[[#This Row],[Total Sales (in USD)]]*(1-Table22[[#This Row],[Discount Percentage (%)]]/100),Table22[[#This Row],[Total Sales (in USD)]])</f>
        <v>21629.467131999998</v>
      </c>
      <c r="Q1144" s="66">
        <f>SQRT(AVERAGE((Table22[[#This Row],[Net Sales (after discount) (in USD)]]-AVERAGE(Table22[Net Sales (after discount) (in USD)]))^2))</f>
        <v>14881.89343176454</v>
      </c>
      <c r="R1144" s="18" t="b">
        <v>0</v>
      </c>
      <c r="S1144" s="40">
        <v>11.43</v>
      </c>
      <c r="T1144" s="18" t="b">
        <v>1</v>
      </c>
      <c r="U1144" s="25">
        <v>45350</v>
      </c>
      <c r="V1144" s="63" t="str">
        <f>IF(MONTH(Table22[[#This Row],[Sales Date]])&lt;=3,"Q1",IF(MONTH(Table22[[#This Row],[Sales Date]])&lt;=6,"Q2",IF(MONTH(Table22[[#This Row],[Sales Date]])&lt;=9,"Q3","Q4")))</f>
        <v>Q1</v>
      </c>
      <c r="W1144" s="64">
        <f>YEAR(Table22[[#This Row],[Sales Date]])</f>
        <v>2024</v>
      </c>
      <c r="X1144" s="23">
        <v>45</v>
      </c>
      <c r="Y1144" s="18" t="s">
        <v>41</v>
      </c>
      <c r="Z1144" s="18" t="s">
        <v>30</v>
      </c>
      <c r="AA1144" s="19" t="s">
        <v>25</v>
      </c>
    </row>
    <row r="1145" spans="1:27" x14ac:dyDescent="0.25">
      <c r="A1145" s="17" t="s">
        <v>1444</v>
      </c>
      <c r="B1145" s="18" t="s">
        <v>46</v>
      </c>
      <c r="C1145" s="63" t="str" cm="1">
        <f t="array" ref="C1145">_xlfn.SWITCH(Table22[[#This Row],[Country]],"USA","North America","Canada","North America","Brazil","South America","China","Asia","Japan","Asia","India","Asia","France","Europe","Germany","Europe","UK","Europe","Australia","Oceania","South America")</f>
        <v>South America</v>
      </c>
      <c r="D1145" s="18" t="s">
        <v>28</v>
      </c>
      <c r="E1145" s="18" t="s">
        <v>33</v>
      </c>
      <c r="F1145" s="18" t="s">
        <v>52</v>
      </c>
      <c r="G1145" s="18" t="s">
        <v>29</v>
      </c>
      <c r="H1145" s="64">
        <f>LEN(TRIM(Table22[[#This Row],[Country]]))</f>
        <v>6</v>
      </c>
      <c r="I1145" s="64">
        <f>LEN(TRIM(Table22[[#This Row],[Continent]]))</f>
        <v>13</v>
      </c>
      <c r="J1145" s="64">
        <f>LEN(TRIM(Table22[[#This Row],[Product]]))</f>
        <v>10</v>
      </c>
      <c r="K1145" s="64">
        <f>LEN(TRIM(Table22[[#This Row],[Sales Team]]))</f>
        <v>10</v>
      </c>
      <c r="L1145" s="23">
        <v>61</v>
      </c>
      <c r="M1145" s="65" t="str" cm="1">
        <f t="array" ref="M1145">_xlfn.IFS(Table22[[#This Row],[Units Sold]]&lt;40,"Critical",Table22[[#This Row],[Units Sold]]&lt;=50,"Poor",Table22[[#This Row],[Units Sold]]&lt;=60,"Low",Table22[[#This Row],[Units Sold]]&lt;=80,"Average",Table22[[#This Row],[Units Sold]]&lt;=90,"High",Table22[[#This Row],[Units Sold]]&lt;=95,"Excellent",Table22[[#This Row],[Units Sold]]&gt;95,"Outstanding")</f>
        <v>Average</v>
      </c>
      <c r="N1145" s="29">
        <v>400.3</v>
      </c>
      <c r="O1145" s="29">
        <v>24418.3</v>
      </c>
      <c r="P1145" s="43">
        <f>IF(Table22[[#This Row],[Discount Applied]],Table22[[#This Row],[Total Sales (in USD)]]*(1-Table22[[#This Row],[Discount Percentage (%)]]/100),Table22[[#This Row],[Total Sales (in USD)]])</f>
        <v>24418.3</v>
      </c>
      <c r="Q1145" s="66">
        <f>SQRT(AVERAGE((Table22[[#This Row],[Net Sales (after discount) (in USD)]]-AVERAGE(Table22[Net Sales (after discount) (in USD)]))^2))</f>
        <v>12093.060563764539</v>
      </c>
      <c r="R1145" s="18" t="b">
        <v>0</v>
      </c>
      <c r="S1145" s="40">
        <v>21.11</v>
      </c>
      <c r="T1145" s="18" t="b">
        <v>0</v>
      </c>
      <c r="U1145" s="25">
        <v>45207</v>
      </c>
      <c r="V1145" s="63" t="str">
        <f>IF(MONTH(Table22[[#This Row],[Sales Date]])&lt;=3,"Q1",IF(MONTH(Table22[[#This Row],[Sales Date]])&lt;=6,"Q2",IF(MONTH(Table22[[#This Row],[Sales Date]])&lt;=9,"Q3","Q4")))</f>
        <v>Q4</v>
      </c>
      <c r="W1145" s="64">
        <f>YEAR(Table22[[#This Row],[Sales Date]])</f>
        <v>2023</v>
      </c>
      <c r="X1145" s="23">
        <v>25</v>
      </c>
      <c r="Y1145" s="18" t="s">
        <v>49</v>
      </c>
      <c r="Z1145" s="18" t="s">
        <v>42</v>
      </c>
      <c r="AA1145" s="19" t="s">
        <v>36</v>
      </c>
    </row>
    <row r="1146" spans="1:27" x14ac:dyDescent="0.25">
      <c r="A1146" s="17" t="s">
        <v>297</v>
      </c>
      <c r="B1146" s="18" t="s">
        <v>32</v>
      </c>
      <c r="C1146" s="63" t="str" cm="1">
        <f t="array" ref="C1146">_xlfn.SWITCH(Table22[[#This Row],[Country]],"USA","North America","Canada","North America","Brazil","South America","China","Asia","Japan","Asia","India","Asia","France","Europe","Germany","Europe","UK","Europe","Australia","Oceania","South America")</f>
        <v>Asia</v>
      </c>
      <c r="D1146" s="18" t="s">
        <v>44</v>
      </c>
      <c r="E1146" s="18" t="s">
        <v>19</v>
      </c>
      <c r="F1146" s="18" t="s">
        <v>47</v>
      </c>
      <c r="G1146" s="18" t="s">
        <v>22</v>
      </c>
      <c r="H1146" s="64">
        <f>LEN(TRIM(Table22[[#This Row],[Country]]))</f>
        <v>5</v>
      </c>
      <c r="I1146" s="64">
        <f>LEN(TRIM(Table22[[#This Row],[Continent]]))</f>
        <v>4</v>
      </c>
      <c r="J1146" s="64">
        <f>LEN(TRIM(Table22[[#This Row],[Product]]))</f>
        <v>6</v>
      </c>
      <c r="K1146" s="64">
        <f>LEN(TRIM(Table22[[#This Row],[Sales Team]]))</f>
        <v>10</v>
      </c>
      <c r="L1146" s="23">
        <v>39</v>
      </c>
      <c r="M1146" s="65" t="str" cm="1">
        <f t="array" ref="M1146">_xlfn.IFS(Table22[[#This Row],[Units Sold]]&lt;40,"Critical",Table22[[#This Row],[Units Sold]]&lt;=50,"Poor",Table22[[#This Row],[Units Sold]]&lt;=60,"Low",Table22[[#This Row],[Units Sold]]&lt;=80,"Average",Table22[[#This Row],[Units Sold]]&lt;=90,"High",Table22[[#This Row],[Units Sold]]&lt;=95,"Excellent",Table22[[#This Row],[Units Sold]]&gt;95,"Outstanding")</f>
        <v>Critical</v>
      </c>
      <c r="N1146" s="29">
        <v>625.26</v>
      </c>
      <c r="O1146" s="29">
        <v>24385.14</v>
      </c>
      <c r="P1146" s="43">
        <f>IF(Table22[[#This Row],[Discount Applied]],Table22[[#This Row],[Total Sales (in USD)]]*(1-Table22[[#This Row],[Discount Percentage (%)]]/100),Table22[[#This Row],[Total Sales (in USD)]])</f>
        <v>24385.14</v>
      </c>
      <c r="Q1146" s="66">
        <f>SQRT(AVERAGE((Table22[[#This Row],[Net Sales (after discount) (in USD)]]-AVERAGE(Table22[Net Sales (after discount) (in USD)]))^2))</f>
        <v>12126.220563764538</v>
      </c>
      <c r="R1146" s="18" t="b">
        <v>0</v>
      </c>
      <c r="S1146" s="40">
        <v>8.43</v>
      </c>
      <c r="T1146" s="18" t="b">
        <v>0</v>
      </c>
      <c r="U1146" s="25">
        <v>45391</v>
      </c>
      <c r="V1146" s="63" t="str">
        <f>IF(MONTH(Table22[[#This Row],[Sales Date]])&lt;=3,"Q1",IF(MONTH(Table22[[#This Row],[Sales Date]])&lt;=6,"Q2",IF(MONTH(Table22[[#This Row],[Sales Date]])&lt;=9,"Q3","Q4")))</f>
        <v>Q2</v>
      </c>
      <c r="W1146" s="64">
        <f>YEAR(Table22[[#This Row],[Sales Date]])</f>
        <v>2024</v>
      </c>
      <c r="X1146" s="23">
        <v>32</v>
      </c>
      <c r="Y1146" s="18" t="s">
        <v>23</v>
      </c>
      <c r="Z1146" s="18" t="s">
        <v>24</v>
      </c>
      <c r="AA1146" s="19" t="s">
        <v>36</v>
      </c>
    </row>
    <row r="1147" spans="1:27" x14ac:dyDescent="0.25">
      <c r="A1147" s="17" t="s">
        <v>1497</v>
      </c>
      <c r="B1147" s="18" t="s">
        <v>66</v>
      </c>
      <c r="C1147" s="63" t="str" cm="1">
        <f t="array" ref="C1147">_xlfn.SWITCH(Table22[[#This Row],[Country]],"USA","North America","Canada","North America","Brazil","South America","China","Asia","Japan","Asia","India","Asia","France","Europe","Germany","Europe","UK","Europe","Australia","Oceania","South America")</f>
        <v>North America</v>
      </c>
      <c r="D1147" s="18" t="s">
        <v>28</v>
      </c>
      <c r="E1147" s="18" t="s">
        <v>39</v>
      </c>
      <c r="F1147" s="18" t="s">
        <v>20</v>
      </c>
      <c r="G1147" s="18" t="s">
        <v>22</v>
      </c>
      <c r="H1147" s="64">
        <f>LEN(TRIM(Table22[[#This Row],[Country]]))</f>
        <v>6</v>
      </c>
      <c r="I1147" s="64">
        <f>LEN(TRIM(Table22[[#This Row],[Continent]]))</f>
        <v>13</v>
      </c>
      <c r="J1147" s="64">
        <f>LEN(TRIM(Table22[[#This Row],[Product]]))</f>
        <v>10</v>
      </c>
      <c r="K1147" s="64">
        <f>LEN(TRIM(Table22[[#This Row],[Sales Team]]))</f>
        <v>10</v>
      </c>
      <c r="L1147" s="23">
        <v>46</v>
      </c>
      <c r="M1147" s="65" t="str" cm="1">
        <f t="array" ref="M1147">_xlfn.IFS(Table22[[#This Row],[Units Sold]]&lt;40,"Critical",Table22[[#This Row],[Units Sold]]&lt;=50,"Poor",Table22[[#This Row],[Units Sold]]&lt;=60,"Low",Table22[[#This Row],[Units Sold]]&lt;=80,"Average",Table22[[#This Row],[Units Sold]]&lt;=90,"High",Table22[[#This Row],[Units Sold]]&lt;=95,"Excellent",Table22[[#This Row],[Units Sold]]&gt;95,"Outstanding")</f>
        <v>Poor</v>
      </c>
      <c r="N1147" s="29">
        <v>529.65</v>
      </c>
      <c r="O1147" s="29">
        <v>24363.9</v>
      </c>
      <c r="P1147" s="43">
        <f>IF(Table22[[#This Row],[Discount Applied]],Table22[[#This Row],[Total Sales (in USD)]]*(1-Table22[[#This Row],[Discount Percentage (%)]]/100),Table22[[#This Row],[Total Sales (in USD)]])</f>
        <v>24363.9</v>
      </c>
      <c r="Q1147" s="66">
        <f>SQRT(AVERAGE((Table22[[#This Row],[Net Sales (after discount) (in USD)]]-AVERAGE(Table22[Net Sales (after discount) (in USD)]))^2))</f>
        <v>12147.460563764536</v>
      </c>
      <c r="R1147" s="18" t="b">
        <v>0</v>
      </c>
      <c r="S1147" s="40">
        <v>13.71</v>
      </c>
      <c r="T1147" s="18" t="b">
        <v>0</v>
      </c>
      <c r="U1147" s="25">
        <v>44937</v>
      </c>
      <c r="V1147" s="63" t="str">
        <f>IF(MONTH(Table22[[#This Row],[Sales Date]])&lt;=3,"Q1",IF(MONTH(Table22[[#This Row],[Sales Date]])&lt;=6,"Q2",IF(MONTH(Table22[[#This Row],[Sales Date]])&lt;=9,"Q3","Q4")))</f>
        <v>Q1</v>
      </c>
      <c r="W1147" s="64">
        <f>YEAR(Table22[[#This Row],[Sales Date]])</f>
        <v>2023</v>
      </c>
      <c r="X1147" s="23">
        <v>61</v>
      </c>
      <c r="Y1147" s="18" t="s">
        <v>23</v>
      </c>
      <c r="Z1147" s="18" t="s">
        <v>24</v>
      </c>
      <c r="AA1147" s="19" t="s">
        <v>25</v>
      </c>
    </row>
    <row r="1148" spans="1:27" x14ac:dyDescent="0.25">
      <c r="A1148" s="17" t="s">
        <v>407</v>
      </c>
      <c r="B1148" s="18" t="s">
        <v>62</v>
      </c>
      <c r="C1148" s="63" t="str" cm="1">
        <f t="array" ref="C1148">_xlfn.SWITCH(Table22[[#This Row],[Country]],"USA","North America","Canada","North America","Brazil","South America","China","Asia","Japan","Asia","India","Asia","France","Europe","Germany","Europe","UK","Europe","Australia","Oceania","South America")</f>
        <v>Oceania</v>
      </c>
      <c r="D1148" s="18" t="s">
        <v>35</v>
      </c>
      <c r="E1148" s="18" t="s">
        <v>33</v>
      </c>
      <c r="F1148" s="18" t="s">
        <v>34</v>
      </c>
      <c r="G1148" s="18" t="s">
        <v>22</v>
      </c>
      <c r="H1148" s="64">
        <f>LEN(TRIM(Table22[[#This Row],[Country]]))</f>
        <v>9</v>
      </c>
      <c r="I1148" s="64">
        <f>LEN(TRIM(Table22[[#This Row],[Continent]]))</f>
        <v>7</v>
      </c>
      <c r="J1148" s="64">
        <f>LEN(TRIM(Table22[[#This Row],[Product]]))</f>
        <v>10</v>
      </c>
      <c r="K1148" s="64">
        <f>LEN(TRIM(Table22[[#This Row],[Sales Team]]))</f>
        <v>10</v>
      </c>
      <c r="L1148" s="23">
        <v>61</v>
      </c>
      <c r="M1148" s="65" t="str" cm="1">
        <f t="array" ref="M1148">_xlfn.IFS(Table22[[#This Row],[Units Sold]]&lt;40,"Critical",Table22[[#This Row],[Units Sold]]&lt;=50,"Poor",Table22[[#This Row],[Units Sold]]&lt;=60,"Low",Table22[[#This Row],[Units Sold]]&lt;=80,"Average",Table22[[#This Row],[Units Sold]]&lt;=90,"High",Table22[[#This Row],[Units Sold]]&lt;=95,"Excellent",Table22[[#This Row],[Units Sold]]&gt;95,"Outstanding")</f>
        <v>Average</v>
      </c>
      <c r="N1148" s="29">
        <v>398.45</v>
      </c>
      <c r="O1148" s="29">
        <v>24305.45</v>
      </c>
      <c r="P1148" s="43">
        <f>IF(Table22[[#This Row],[Discount Applied]],Table22[[#This Row],[Total Sales (in USD)]]*(1-Table22[[#This Row],[Discount Percentage (%)]]/100),Table22[[#This Row],[Total Sales (in USD)]])</f>
        <v>21442.26799</v>
      </c>
      <c r="Q1148" s="66">
        <f>SQRT(AVERAGE((Table22[[#This Row],[Net Sales (after discount) (in USD)]]-AVERAGE(Table22[Net Sales (after discount) (in USD)]))^2))</f>
        <v>15069.092573764538</v>
      </c>
      <c r="R1148" s="18" t="b">
        <v>0</v>
      </c>
      <c r="S1148" s="40">
        <v>11.78</v>
      </c>
      <c r="T1148" s="18" t="b">
        <v>1</v>
      </c>
      <c r="U1148" s="25">
        <v>45410</v>
      </c>
      <c r="V1148" s="63" t="str">
        <f>IF(MONTH(Table22[[#This Row],[Sales Date]])&lt;=3,"Q1",IF(MONTH(Table22[[#This Row],[Sales Date]])&lt;=6,"Q2",IF(MONTH(Table22[[#This Row],[Sales Date]])&lt;=9,"Q3","Q4")))</f>
        <v>Q2</v>
      </c>
      <c r="W1148" s="64">
        <f>YEAR(Table22[[#This Row],[Sales Date]])</f>
        <v>2024</v>
      </c>
      <c r="X1148" s="23">
        <v>35</v>
      </c>
      <c r="Y1148" s="18" t="s">
        <v>23</v>
      </c>
      <c r="Z1148" s="18" t="s">
        <v>42</v>
      </c>
      <c r="AA1148" s="19" t="s">
        <v>25</v>
      </c>
    </row>
    <row r="1149" spans="1:27" x14ac:dyDescent="0.25">
      <c r="A1149" s="17" t="s">
        <v>1869</v>
      </c>
      <c r="B1149" s="18" t="s">
        <v>62</v>
      </c>
      <c r="C1149" s="63" t="str" cm="1">
        <f t="array" ref="C1149">_xlfn.SWITCH(Table22[[#This Row],[Country]],"USA","North America","Canada","North America","Brazil","South America","China","Asia","Japan","Asia","India","Asia","France","Europe","Germany","Europe","UK","Europe","Australia","Oceania","South America")</f>
        <v>Oceania</v>
      </c>
      <c r="D1149" s="18" t="s">
        <v>44</v>
      </c>
      <c r="E1149" s="18" t="s">
        <v>19</v>
      </c>
      <c r="F1149" s="18" t="s">
        <v>64</v>
      </c>
      <c r="G1149" s="18" t="s">
        <v>40</v>
      </c>
      <c r="H1149" s="64">
        <f>LEN(TRIM(Table22[[#This Row],[Country]]))</f>
        <v>9</v>
      </c>
      <c r="I1149" s="64">
        <f>LEN(TRIM(Table22[[#This Row],[Continent]]))</f>
        <v>7</v>
      </c>
      <c r="J1149" s="64">
        <f>LEN(TRIM(Table22[[#This Row],[Product]]))</f>
        <v>6</v>
      </c>
      <c r="K1149" s="64">
        <f>LEN(TRIM(Table22[[#This Row],[Sales Team]]))</f>
        <v>10</v>
      </c>
      <c r="L1149" s="23">
        <v>54</v>
      </c>
      <c r="M1149" s="65" t="str" cm="1">
        <f t="array" ref="M1149">_xlfn.IFS(Table22[[#This Row],[Units Sold]]&lt;40,"Critical",Table22[[#This Row],[Units Sold]]&lt;=50,"Poor",Table22[[#This Row],[Units Sold]]&lt;=60,"Low",Table22[[#This Row],[Units Sold]]&lt;=80,"Average",Table22[[#This Row],[Units Sold]]&lt;=90,"High",Table22[[#This Row],[Units Sold]]&lt;=95,"Excellent",Table22[[#This Row],[Units Sold]]&gt;95,"Outstanding")</f>
        <v>Low</v>
      </c>
      <c r="N1149" s="29">
        <v>449.56</v>
      </c>
      <c r="O1149" s="29">
        <v>24276.240000000002</v>
      </c>
      <c r="P1149" s="43">
        <f>IF(Table22[[#This Row],[Discount Applied]],Table22[[#This Row],[Total Sales (in USD)]]*(1-Table22[[#This Row],[Discount Percentage (%)]]/100),Table22[[#This Row],[Total Sales (in USD)]])</f>
        <v>24276.240000000002</v>
      </c>
      <c r="Q1149" s="66">
        <f>SQRT(AVERAGE((Table22[[#This Row],[Net Sales (after discount) (in USD)]]-AVERAGE(Table22[Net Sales (after discount) (in USD)]))^2))</f>
        <v>12235.120563764536</v>
      </c>
      <c r="R1149" s="18" t="b">
        <v>0</v>
      </c>
      <c r="S1149" s="40">
        <v>14.68</v>
      </c>
      <c r="T1149" s="18" t="b">
        <v>0</v>
      </c>
      <c r="U1149" s="25">
        <v>45467</v>
      </c>
      <c r="V1149" s="63" t="str">
        <f>IF(MONTH(Table22[[#This Row],[Sales Date]])&lt;=3,"Q1",IF(MONTH(Table22[[#This Row],[Sales Date]])&lt;=6,"Q2",IF(MONTH(Table22[[#This Row],[Sales Date]])&lt;=9,"Q3","Q4")))</f>
        <v>Q2</v>
      </c>
      <c r="W1149" s="64">
        <f>YEAR(Table22[[#This Row],[Sales Date]])</f>
        <v>2024</v>
      </c>
      <c r="X1149" s="23">
        <v>52</v>
      </c>
      <c r="Y1149" s="18" t="s">
        <v>23</v>
      </c>
      <c r="Z1149" s="18" t="s">
        <v>56</v>
      </c>
      <c r="AA1149" s="19" t="s">
        <v>36</v>
      </c>
    </row>
    <row r="1150" spans="1:27" x14ac:dyDescent="0.25">
      <c r="A1150" s="17" t="s">
        <v>514</v>
      </c>
      <c r="B1150" s="18" t="s">
        <v>46</v>
      </c>
      <c r="C1150" s="63" t="str" cm="1">
        <f t="array" ref="C1150">_xlfn.SWITCH(Table22[[#This Row],[Country]],"USA","North America","Canada","North America","Brazil","South America","China","Asia","Japan","Asia","India","Asia","France","Europe","Germany","Europe","UK","Europe","Australia","Oceania","South America")</f>
        <v>South America</v>
      </c>
      <c r="D1150" s="18" t="s">
        <v>44</v>
      </c>
      <c r="E1150" s="18" t="s">
        <v>19</v>
      </c>
      <c r="F1150" s="18" t="s">
        <v>34</v>
      </c>
      <c r="G1150" s="18" t="s">
        <v>22</v>
      </c>
      <c r="H1150" s="64">
        <f>LEN(TRIM(Table22[[#This Row],[Country]]))</f>
        <v>6</v>
      </c>
      <c r="I1150" s="64">
        <f>LEN(TRIM(Table22[[#This Row],[Continent]]))</f>
        <v>13</v>
      </c>
      <c r="J1150" s="64">
        <f>LEN(TRIM(Table22[[#This Row],[Product]]))</f>
        <v>6</v>
      </c>
      <c r="K1150" s="64">
        <f>LEN(TRIM(Table22[[#This Row],[Sales Team]]))</f>
        <v>10</v>
      </c>
      <c r="L1150" s="23">
        <v>78</v>
      </c>
      <c r="M1150" s="65" t="str" cm="1">
        <f t="array" ref="M1150">_xlfn.IFS(Table22[[#This Row],[Units Sold]]&lt;40,"Critical",Table22[[#This Row],[Units Sold]]&lt;=50,"Poor",Table22[[#This Row],[Units Sold]]&lt;=60,"Low",Table22[[#This Row],[Units Sold]]&lt;=80,"Average",Table22[[#This Row],[Units Sold]]&lt;=90,"High",Table22[[#This Row],[Units Sold]]&lt;=95,"Excellent",Table22[[#This Row],[Units Sold]]&gt;95,"Outstanding")</f>
        <v>Average</v>
      </c>
      <c r="N1150" s="29">
        <v>309.98</v>
      </c>
      <c r="O1150" s="29">
        <v>24178.44</v>
      </c>
      <c r="P1150" s="43">
        <f>IF(Table22[[#This Row],[Discount Applied]],Table22[[#This Row],[Total Sales (in USD)]]*(1-Table22[[#This Row],[Discount Percentage (%)]]/100),Table22[[#This Row],[Total Sales (in USD)]])</f>
        <v>20638.716383999999</v>
      </c>
      <c r="Q1150" s="66">
        <f>SQRT(AVERAGE((Table22[[#This Row],[Net Sales (after discount) (in USD)]]-AVERAGE(Table22[Net Sales (after discount) (in USD)]))^2))</f>
        <v>15872.644179764538</v>
      </c>
      <c r="R1150" s="18" t="b">
        <v>1</v>
      </c>
      <c r="S1150" s="40">
        <v>14.64</v>
      </c>
      <c r="T1150" s="18" t="b">
        <v>1</v>
      </c>
      <c r="U1150" s="25">
        <v>44965</v>
      </c>
      <c r="V1150" s="63" t="str">
        <f>IF(MONTH(Table22[[#This Row],[Sales Date]])&lt;=3,"Q1",IF(MONTH(Table22[[#This Row],[Sales Date]])&lt;=6,"Q2",IF(MONTH(Table22[[#This Row],[Sales Date]])&lt;=9,"Q3","Q4")))</f>
        <v>Q1</v>
      </c>
      <c r="W1150" s="64">
        <f>YEAR(Table22[[#This Row],[Sales Date]])</f>
        <v>2023</v>
      </c>
      <c r="X1150" s="23">
        <v>63</v>
      </c>
      <c r="Y1150" s="18" t="s">
        <v>41</v>
      </c>
      <c r="Z1150" s="18" t="s">
        <v>30</v>
      </c>
      <c r="AA1150" s="19" t="s">
        <v>25</v>
      </c>
    </row>
    <row r="1151" spans="1:27" x14ac:dyDescent="0.25">
      <c r="A1151" s="17" t="s">
        <v>79</v>
      </c>
      <c r="B1151" s="18" t="s">
        <v>51</v>
      </c>
      <c r="C1151" s="63" t="str" cm="1">
        <f t="array" ref="C1151">_xlfn.SWITCH(Table22[[#This Row],[Country]],"USA","North America","Canada","North America","Brazil","South America","China","Asia","Japan","Asia","India","Asia","France","Europe","Germany","Europe","UK","Europe","Australia","Oceania","South America")</f>
        <v>Europe</v>
      </c>
      <c r="D1151" s="18" t="s">
        <v>21</v>
      </c>
      <c r="E1151" s="18" t="s">
        <v>19</v>
      </c>
      <c r="F1151" s="18" t="s">
        <v>52</v>
      </c>
      <c r="G1151" s="18" t="s">
        <v>22</v>
      </c>
      <c r="H1151" s="64">
        <f>LEN(TRIM(Table22[[#This Row],[Country]]))</f>
        <v>2</v>
      </c>
      <c r="I1151" s="64">
        <f>LEN(TRIM(Table22[[#This Row],[Continent]]))</f>
        <v>6</v>
      </c>
      <c r="J1151" s="64">
        <f>LEN(TRIM(Table22[[#This Row],[Product]]))</f>
        <v>6</v>
      </c>
      <c r="K1151" s="64">
        <f>LEN(TRIM(Table22[[#This Row],[Sales Team]]))</f>
        <v>10</v>
      </c>
      <c r="L1151" s="23">
        <v>19</v>
      </c>
      <c r="M1151" s="65" t="str" cm="1">
        <f t="array" ref="M1151">_xlfn.IFS(Table22[[#This Row],[Units Sold]]&lt;40,"Critical",Table22[[#This Row],[Units Sold]]&lt;=50,"Poor",Table22[[#This Row],[Units Sold]]&lt;=60,"Low",Table22[[#This Row],[Units Sold]]&lt;=80,"Average",Table22[[#This Row],[Units Sold]]&lt;=90,"High",Table22[[#This Row],[Units Sold]]&lt;=95,"Excellent",Table22[[#This Row],[Units Sold]]&gt;95,"Outstanding")</f>
        <v>Critical</v>
      </c>
      <c r="N1151" s="29">
        <v>1271.56</v>
      </c>
      <c r="O1151" s="29">
        <v>24159.64</v>
      </c>
      <c r="P1151" s="43">
        <f>IF(Table22[[#This Row],[Discount Applied]],Table22[[#This Row],[Total Sales (in USD)]]*(1-Table22[[#This Row],[Discount Percentage (%)]]/100),Table22[[#This Row],[Total Sales (in USD)]])</f>
        <v>19757.753591999997</v>
      </c>
      <c r="Q1151" s="66">
        <f>SQRT(AVERAGE((Table22[[#This Row],[Net Sales (after discount) (in USD)]]-AVERAGE(Table22[Net Sales (after discount) (in USD)]))^2))</f>
        <v>16753.606971764541</v>
      </c>
      <c r="R1151" s="18" t="b">
        <v>0</v>
      </c>
      <c r="S1151" s="40">
        <v>18.22</v>
      </c>
      <c r="T1151" s="18" t="b">
        <v>1</v>
      </c>
      <c r="U1151" s="25">
        <v>45246</v>
      </c>
      <c r="V1151" s="63" t="str">
        <f>IF(MONTH(Table22[[#This Row],[Sales Date]])&lt;=3,"Q1",IF(MONTH(Table22[[#This Row],[Sales Date]])&lt;=6,"Q2",IF(MONTH(Table22[[#This Row],[Sales Date]])&lt;=9,"Q3","Q4")))</f>
        <v>Q4</v>
      </c>
      <c r="W1151" s="64">
        <f>YEAR(Table22[[#This Row],[Sales Date]])</f>
        <v>2023</v>
      </c>
      <c r="X1151" s="23">
        <v>27</v>
      </c>
      <c r="Y1151" s="18" t="s">
        <v>41</v>
      </c>
      <c r="Z1151" s="18" t="s">
        <v>30</v>
      </c>
      <c r="AA1151" s="19" t="s">
        <v>25</v>
      </c>
    </row>
    <row r="1152" spans="1:27" x14ac:dyDescent="0.25">
      <c r="A1152" s="17" t="s">
        <v>224</v>
      </c>
      <c r="B1152" s="18" t="s">
        <v>38</v>
      </c>
      <c r="C1152" s="63" t="str" cm="1">
        <f t="array" ref="C1152">_xlfn.SWITCH(Table22[[#This Row],[Country]],"USA","North America","Canada","North America","Brazil","South America","China","Asia","Japan","Asia","India","Asia","France","Europe","Germany","Europe","UK","Europe","Australia","Oceania","South America")</f>
        <v>Europe</v>
      </c>
      <c r="D1152" s="18" t="s">
        <v>35</v>
      </c>
      <c r="E1152" s="18" t="s">
        <v>33</v>
      </c>
      <c r="F1152" s="18" t="s">
        <v>64</v>
      </c>
      <c r="G1152" s="18" t="s">
        <v>22</v>
      </c>
      <c r="H1152" s="64">
        <f>LEN(TRIM(Table22[[#This Row],[Country]]))</f>
        <v>6</v>
      </c>
      <c r="I1152" s="64">
        <f>LEN(TRIM(Table22[[#This Row],[Continent]]))</f>
        <v>6</v>
      </c>
      <c r="J1152" s="64">
        <f>LEN(TRIM(Table22[[#This Row],[Product]]))</f>
        <v>10</v>
      </c>
      <c r="K1152" s="64">
        <f>LEN(TRIM(Table22[[#This Row],[Sales Team]]))</f>
        <v>10</v>
      </c>
      <c r="L1152" s="23">
        <v>97</v>
      </c>
      <c r="M1152" s="65" t="str" cm="1">
        <f t="array" ref="M1152">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152" s="29">
        <v>248.62</v>
      </c>
      <c r="O1152" s="29">
        <v>24116.14</v>
      </c>
      <c r="P1152" s="43">
        <f>IF(Table22[[#This Row],[Discount Applied]],Table22[[#This Row],[Total Sales (in USD)]]*(1-Table22[[#This Row],[Discount Percentage (%)]]/100),Table22[[#This Row],[Total Sales (in USD)]])</f>
        <v>20079.098163999999</v>
      </c>
      <c r="Q1152" s="66">
        <f>SQRT(AVERAGE((Table22[[#This Row],[Net Sales (after discount) (in USD)]]-AVERAGE(Table22[Net Sales (after discount) (in USD)]))^2))</f>
        <v>16432.262399764539</v>
      </c>
      <c r="R1152" s="18" t="b">
        <v>0</v>
      </c>
      <c r="S1152" s="40">
        <v>16.739999999999998</v>
      </c>
      <c r="T1152" s="18" t="b">
        <v>1</v>
      </c>
      <c r="U1152" s="25">
        <v>45175</v>
      </c>
      <c r="V1152" s="63" t="str">
        <f>IF(MONTH(Table22[[#This Row],[Sales Date]])&lt;=3,"Q1",IF(MONTH(Table22[[#This Row],[Sales Date]])&lt;=6,"Q2",IF(MONTH(Table22[[#This Row],[Sales Date]])&lt;=9,"Q3","Q4")))</f>
        <v>Q3</v>
      </c>
      <c r="W1152" s="64">
        <f>YEAR(Table22[[#This Row],[Sales Date]])</f>
        <v>2023</v>
      </c>
      <c r="X1152" s="23">
        <v>53</v>
      </c>
      <c r="Y1152" s="18" t="s">
        <v>41</v>
      </c>
      <c r="Z1152" s="18" t="s">
        <v>56</v>
      </c>
      <c r="AA1152" s="19" t="s">
        <v>25</v>
      </c>
    </row>
    <row r="1153" spans="1:27" x14ac:dyDescent="0.25">
      <c r="A1153" s="17" t="s">
        <v>1692</v>
      </c>
      <c r="B1153" s="18" t="s">
        <v>66</v>
      </c>
      <c r="C1153" s="63" t="str" cm="1">
        <f t="array" ref="C1153">_xlfn.SWITCH(Table22[[#This Row],[Country]],"USA","North America","Canada","North America","Brazil","South America","China","Asia","Japan","Asia","India","Asia","France","Europe","Germany","Europe","UK","Europe","Australia","Oceania","South America")</f>
        <v>North America</v>
      </c>
      <c r="D1153" s="18" t="s">
        <v>28</v>
      </c>
      <c r="E1153" s="18" t="s">
        <v>39</v>
      </c>
      <c r="F1153" s="18" t="s">
        <v>20</v>
      </c>
      <c r="G1153" s="18" t="s">
        <v>40</v>
      </c>
      <c r="H1153" s="64">
        <f>LEN(TRIM(Table22[[#This Row],[Country]]))</f>
        <v>6</v>
      </c>
      <c r="I1153" s="64">
        <f>LEN(TRIM(Table22[[#This Row],[Continent]]))</f>
        <v>13</v>
      </c>
      <c r="J1153" s="64">
        <f>LEN(TRIM(Table22[[#This Row],[Product]]))</f>
        <v>10</v>
      </c>
      <c r="K1153" s="64">
        <f>LEN(TRIM(Table22[[#This Row],[Sales Team]]))</f>
        <v>10</v>
      </c>
      <c r="L1153" s="23">
        <v>49</v>
      </c>
      <c r="M1153" s="65" t="str" cm="1">
        <f t="array" ref="M1153">_xlfn.IFS(Table22[[#This Row],[Units Sold]]&lt;40,"Critical",Table22[[#This Row],[Units Sold]]&lt;=50,"Poor",Table22[[#This Row],[Units Sold]]&lt;=60,"Low",Table22[[#This Row],[Units Sold]]&lt;=80,"Average",Table22[[#This Row],[Units Sold]]&lt;=90,"High",Table22[[#This Row],[Units Sold]]&lt;=95,"Excellent",Table22[[#This Row],[Units Sold]]&gt;95,"Outstanding")</f>
        <v>Poor</v>
      </c>
      <c r="N1153" s="29">
        <v>492.08</v>
      </c>
      <c r="O1153" s="29">
        <v>24111.919999999998</v>
      </c>
      <c r="P1153" s="43">
        <f>IF(Table22[[#This Row],[Discount Applied]],Table22[[#This Row],[Total Sales (in USD)]]*(1-Table22[[#This Row],[Discount Percentage (%)]]/100),Table22[[#This Row],[Total Sales (in USD)]])</f>
        <v>18872.399783999997</v>
      </c>
      <c r="Q1153" s="66">
        <f>SQRT(AVERAGE((Table22[[#This Row],[Net Sales (after discount) (in USD)]]-AVERAGE(Table22[Net Sales (after discount) (in USD)]))^2))</f>
        <v>17638.96077976454</v>
      </c>
      <c r="R1153" s="18" t="b">
        <v>1</v>
      </c>
      <c r="S1153" s="40">
        <v>21.73</v>
      </c>
      <c r="T1153" s="18" t="b">
        <v>1</v>
      </c>
      <c r="U1153" s="25">
        <v>45444</v>
      </c>
      <c r="V1153" s="63" t="str">
        <f>IF(MONTH(Table22[[#This Row],[Sales Date]])&lt;=3,"Q1",IF(MONTH(Table22[[#This Row],[Sales Date]])&lt;=6,"Q2",IF(MONTH(Table22[[#This Row],[Sales Date]])&lt;=9,"Q3","Q4")))</f>
        <v>Q2</v>
      </c>
      <c r="W1153" s="64">
        <f>YEAR(Table22[[#This Row],[Sales Date]])</f>
        <v>2024</v>
      </c>
      <c r="X1153" s="23">
        <v>50</v>
      </c>
      <c r="Y1153" s="18" t="s">
        <v>49</v>
      </c>
      <c r="Z1153" s="18" t="s">
        <v>30</v>
      </c>
      <c r="AA1153" s="19" t="s">
        <v>25</v>
      </c>
    </row>
    <row r="1154" spans="1:27" x14ac:dyDescent="0.25">
      <c r="A1154" s="17" t="s">
        <v>1339</v>
      </c>
      <c r="B1154" s="18" t="s">
        <v>38</v>
      </c>
      <c r="C1154" s="63" t="str" cm="1">
        <f t="array" ref="C1154">_xlfn.SWITCH(Table22[[#This Row],[Country]],"USA","North America","Canada","North America","Brazil","South America","China","Asia","Japan","Asia","India","Asia","France","Europe","Germany","Europe","UK","Europe","Australia","Oceania","South America")</f>
        <v>Europe</v>
      </c>
      <c r="D1154" s="18" t="s">
        <v>44</v>
      </c>
      <c r="E1154" s="18" t="s">
        <v>19</v>
      </c>
      <c r="F1154" s="18" t="s">
        <v>34</v>
      </c>
      <c r="G1154" s="18" t="s">
        <v>40</v>
      </c>
      <c r="H1154" s="64">
        <f>LEN(TRIM(Table22[[#This Row],[Country]]))</f>
        <v>6</v>
      </c>
      <c r="I1154" s="64">
        <f>LEN(TRIM(Table22[[#This Row],[Continent]]))</f>
        <v>6</v>
      </c>
      <c r="J1154" s="64">
        <f>LEN(TRIM(Table22[[#This Row],[Product]]))</f>
        <v>6</v>
      </c>
      <c r="K1154" s="64">
        <f>LEN(TRIM(Table22[[#This Row],[Sales Team]]))</f>
        <v>10</v>
      </c>
      <c r="L1154" s="23">
        <v>43</v>
      </c>
      <c r="M1154" s="65" t="str" cm="1">
        <f t="array" ref="M1154">_xlfn.IFS(Table22[[#This Row],[Units Sold]]&lt;40,"Critical",Table22[[#This Row],[Units Sold]]&lt;=50,"Poor",Table22[[#This Row],[Units Sold]]&lt;=60,"Low",Table22[[#This Row],[Units Sold]]&lt;=80,"Average",Table22[[#This Row],[Units Sold]]&lt;=90,"High",Table22[[#This Row],[Units Sold]]&lt;=95,"Excellent",Table22[[#This Row],[Units Sold]]&gt;95,"Outstanding")</f>
        <v>Poor</v>
      </c>
      <c r="N1154" s="29">
        <v>558.84</v>
      </c>
      <c r="O1154" s="29">
        <v>24030.12</v>
      </c>
      <c r="P1154" s="43">
        <f>IF(Table22[[#This Row],[Discount Applied]],Table22[[#This Row],[Total Sales (in USD)]]*(1-Table22[[#This Row],[Discount Percentage (%)]]/100),Table22[[#This Row],[Total Sales (in USD)]])</f>
        <v>20911.010424</v>
      </c>
      <c r="Q1154" s="66">
        <f>SQRT(AVERAGE((Table22[[#This Row],[Net Sales (after discount) (in USD)]]-AVERAGE(Table22[Net Sales (after discount) (in USD)]))^2))</f>
        <v>15600.350139764538</v>
      </c>
      <c r="R1154" s="18" t="b">
        <v>1</v>
      </c>
      <c r="S1154" s="40">
        <v>12.98</v>
      </c>
      <c r="T1154" s="18" t="b">
        <v>1</v>
      </c>
      <c r="U1154" s="25">
        <v>45331</v>
      </c>
      <c r="V1154" s="63" t="str">
        <f>IF(MONTH(Table22[[#This Row],[Sales Date]])&lt;=3,"Q1",IF(MONTH(Table22[[#This Row],[Sales Date]])&lt;=6,"Q2",IF(MONTH(Table22[[#This Row],[Sales Date]])&lt;=9,"Q3","Q4")))</f>
        <v>Q1</v>
      </c>
      <c r="W1154" s="64">
        <f>YEAR(Table22[[#This Row],[Sales Date]])</f>
        <v>2024</v>
      </c>
      <c r="X1154" s="23">
        <v>24</v>
      </c>
      <c r="Y1154" s="18" t="s">
        <v>23</v>
      </c>
      <c r="Z1154" s="18" t="s">
        <v>56</v>
      </c>
      <c r="AA1154" s="19" t="s">
        <v>25</v>
      </c>
    </row>
    <row r="1155" spans="1:27" x14ac:dyDescent="0.25">
      <c r="A1155" s="17" t="s">
        <v>1169</v>
      </c>
      <c r="B1155" s="18" t="s">
        <v>18</v>
      </c>
      <c r="C1155" s="63" t="str" cm="1">
        <f t="array" ref="C1155">_xlfn.SWITCH(Table22[[#This Row],[Country]],"USA","North America","Canada","North America","Brazil","South America","China","Asia","Japan","Asia","India","Asia","France","Europe","Germany","Europe","UK","Europe","Australia","Oceania","South America")</f>
        <v>Asia</v>
      </c>
      <c r="D1155" s="18" t="s">
        <v>35</v>
      </c>
      <c r="E1155" s="18" t="s">
        <v>39</v>
      </c>
      <c r="F1155" s="18" t="s">
        <v>34</v>
      </c>
      <c r="G1155" s="18" t="s">
        <v>22</v>
      </c>
      <c r="H1155" s="64">
        <f>LEN(TRIM(Table22[[#This Row],[Country]]))</f>
        <v>5</v>
      </c>
      <c r="I1155" s="64">
        <f>LEN(TRIM(Table22[[#This Row],[Continent]]))</f>
        <v>4</v>
      </c>
      <c r="J1155" s="64">
        <f>LEN(TRIM(Table22[[#This Row],[Product]]))</f>
        <v>10</v>
      </c>
      <c r="K1155" s="64">
        <f>LEN(TRIM(Table22[[#This Row],[Sales Team]]))</f>
        <v>10</v>
      </c>
      <c r="L1155" s="23">
        <v>91</v>
      </c>
      <c r="M1155" s="65" t="str" cm="1">
        <f t="array" ref="M1155">_xlfn.IFS(Table22[[#This Row],[Units Sold]]&lt;40,"Critical",Table22[[#This Row],[Units Sold]]&lt;=50,"Poor",Table22[[#This Row],[Units Sold]]&lt;=60,"Low",Table22[[#This Row],[Units Sold]]&lt;=80,"Average",Table22[[#This Row],[Units Sold]]&lt;=90,"High",Table22[[#This Row],[Units Sold]]&lt;=95,"Excellent",Table22[[#This Row],[Units Sold]]&gt;95,"Outstanding")</f>
        <v>Excellent</v>
      </c>
      <c r="N1155" s="29">
        <v>263.95</v>
      </c>
      <c r="O1155" s="29">
        <v>24019.45</v>
      </c>
      <c r="P1155" s="43">
        <f>IF(Table22[[#This Row],[Discount Applied]],Table22[[#This Row],[Total Sales (in USD)]]*(1-Table22[[#This Row],[Discount Percentage (%)]]/100),Table22[[#This Row],[Total Sales (in USD)]])</f>
        <v>23649.550470000002</v>
      </c>
      <c r="Q1155" s="66">
        <f>SQRT(AVERAGE((Table22[[#This Row],[Net Sales (after discount) (in USD)]]-AVERAGE(Table22[Net Sales (after discount) (in USD)]))^2))</f>
        <v>12861.810093764536</v>
      </c>
      <c r="R1155" s="18" t="b">
        <v>1</v>
      </c>
      <c r="S1155" s="40">
        <v>1.54</v>
      </c>
      <c r="T1155" s="18" t="b">
        <v>1</v>
      </c>
      <c r="U1155" s="25">
        <v>45230</v>
      </c>
      <c r="V1155" s="63" t="str">
        <f>IF(MONTH(Table22[[#This Row],[Sales Date]])&lt;=3,"Q1",IF(MONTH(Table22[[#This Row],[Sales Date]])&lt;=6,"Q2",IF(MONTH(Table22[[#This Row],[Sales Date]])&lt;=9,"Q3","Q4")))</f>
        <v>Q4</v>
      </c>
      <c r="W1155" s="64">
        <f>YEAR(Table22[[#This Row],[Sales Date]])</f>
        <v>2023</v>
      </c>
      <c r="X1155" s="23">
        <v>63</v>
      </c>
      <c r="Y1155" s="18" t="s">
        <v>41</v>
      </c>
      <c r="Z1155" s="18" t="s">
        <v>24</v>
      </c>
      <c r="AA1155" s="19" t="s">
        <v>25</v>
      </c>
    </row>
    <row r="1156" spans="1:27" x14ac:dyDescent="0.25">
      <c r="A1156" s="17" t="s">
        <v>913</v>
      </c>
      <c r="B1156" s="18" t="s">
        <v>32</v>
      </c>
      <c r="C1156" s="63" t="str" cm="1">
        <f t="array" ref="C1156">_xlfn.SWITCH(Table22[[#This Row],[Country]],"USA","North America","Canada","North America","Brazil","South America","China","Asia","Japan","Asia","India","Asia","France","Europe","Germany","Europe","UK","Europe","Australia","Oceania","South America")</f>
        <v>Asia</v>
      </c>
      <c r="D1156" s="18" t="s">
        <v>35</v>
      </c>
      <c r="E1156" s="18" t="s">
        <v>33</v>
      </c>
      <c r="F1156" s="18" t="s">
        <v>20</v>
      </c>
      <c r="G1156" s="18" t="s">
        <v>29</v>
      </c>
      <c r="H1156" s="64">
        <f>LEN(TRIM(Table22[[#This Row],[Country]]))</f>
        <v>5</v>
      </c>
      <c r="I1156" s="64">
        <f>LEN(TRIM(Table22[[#This Row],[Continent]]))</f>
        <v>4</v>
      </c>
      <c r="J1156" s="64">
        <f>LEN(TRIM(Table22[[#This Row],[Product]]))</f>
        <v>10</v>
      </c>
      <c r="K1156" s="64">
        <f>LEN(TRIM(Table22[[#This Row],[Sales Team]]))</f>
        <v>10</v>
      </c>
      <c r="L1156" s="23">
        <v>38</v>
      </c>
      <c r="M1156" s="65" t="str" cm="1">
        <f t="array" ref="M1156">_xlfn.IFS(Table22[[#This Row],[Units Sold]]&lt;40,"Critical",Table22[[#This Row],[Units Sold]]&lt;=50,"Poor",Table22[[#This Row],[Units Sold]]&lt;=60,"Low",Table22[[#This Row],[Units Sold]]&lt;=80,"Average",Table22[[#This Row],[Units Sold]]&lt;=90,"High",Table22[[#This Row],[Units Sold]]&lt;=95,"Excellent",Table22[[#This Row],[Units Sold]]&gt;95,"Outstanding")</f>
        <v>Critical</v>
      </c>
      <c r="N1156" s="29">
        <v>628.32000000000005</v>
      </c>
      <c r="O1156" s="29">
        <v>23876.16</v>
      </c>
      <c r="P1156" s="43">
        <f>IF(Table22[[#This Row],[Discount Applied]],Table22[[#This Row],[Total Sales (in USD)]]*(1-Table22[[#This Row],[Discount Percentage (%)]]/100),Table22[[#This Row],[Total Sales (in USD)]])</f>
        <v>18890.817792000002</v>
      </c>
      <c r="Q1156" s="66">
        <f>SQRT(AVERAGE((Table22[[#This Row],[Net Sales (after discount) (in USD)]]-AVERAGE(Table22[Net Sales (after discount) (in USD)]))^2))</f>
        <v>17620.542771764536</v>
      </c>
      <c r="R1156" s="18" t="b">
        <v>1</v>
      </c>
      <c r="S1156" s="40">
        <v>20.88</v>
      </c>
      <c r="T1156" s="18" t="b">
        <v>1</v>
      </c>
      <c r="U1156" s="25">
        <v>44977</v>
      </c>
      <c r="V1156" s="63" t="str">
        <f>IF(MONTH(Table22[[#This Row],[Sales Date]])&lt;=3,"Q1",IF(MONTH(Table22[[#This Row],[Sales Date]])&lt;=6,"Q2",IF(MONTH(Table22[[#This Row],[Sales Date]])&lt;=9,"Q3","Q4")))</f>
        <v>Q1</v>
      </c>
      <c r="W1156" s="64">
        <f>YEAR(Table22[[#This Row],[Sales Date]])</f>
        <v>2023</v>
      </c>
      <c r="X1156" s="23">
        <v>60</v>
      </c>
      <c r="Y1156" s="18" t="s">
        <v>41</v>
      </c>
      <c r="Z1156" s="18" t="s">
        <v>42</v>
      </c>
      <c r="AA1156" s="19" t="s">
        <v>36</v>
      </c>
    </row>
    <row r="1157" spans="1:27" x14ac:dyDescent="0.25">
      <c r="A1157" s="17" t="s">
        <v>1819</v>
      </c>
      <c r="B1157" s="18" t="s">
        <v>72</v>
      </c>
      <c r="C1157" s="63" t="str" cm="1">
        <f t="array" ref="C1157">_xlfn.SWITCH(Table22[[#This Row],[Country]],"USA","North America","Canada","North America","Brazil","South America","China","Asia","Japan","Asia","India","Asia","France","Europe","Germany","Europe","UK","Europe","Australia","Oceania","South America")</f>
        <v>North America</v>
      </c>
      <c r="D1157" s="18" t="s">
        <v>44</v>
      </c>
      <c r="E1157" s="18" t="s">
        <v>19</v>
      </c>
      <c r="F1157" s="18" t="s">
        <v>52</v>
      </c>
      <c r="G1157" s="18" t="s">
        <v>48</v>
      </c>
      <c r="H1157" s="64">
        <f>LEN(TRIM(Table22[[#This Row],[Country]]))</f>
        <v>3</v>
      </c>
      <c r="I1157" s="64">
        <f>LEN(TRIM(Table22[[#This Row],[Continent]]))</f>
        <v>13</v>
      </c>
      <c r="J1157" s="64">
        <f>LEN(TRIM(Table22[[#This Row],[Product]]))</f>
        <v>6</v>
      </c>
      <c r="K1157" s="64">
        <f>LEN(TRIM(Table22[[#This Row],[Sales Team]]))</f>
        <v>9</v>
      </c>
      <c r="L1157" s="23">
        <v>36</v>
      </c>
      <c r="M1157" s="65" t="str" cm="1">
        <f t="array" ref="M1157">_xlfn.IFS(Table22[[#This Row],[Units Sold]]&lt;40,"Critical",Table22[[#This Row],[Units Sold]]&lt;=50,"Poor",Table22[[#This Row],[Units Sold]]&lt;=60,"Low",Table22[[#This Row],[Units Sold]]&lt;=80,"Average",Table22[[#This Row],[Units Sold]]&lt;=90,"High",Table22[[#This Row],[Units Sold]]&lt;=95,"Excellent",Table22[[#This Row],[Units Sold]]&gt;95,"Outstanding")</f>
        <v>Critical</v>
      </c>
      <c r="N1157" s="29">
        <v>660.65</v>
      </c>
      <c r="O1157" s="29">
        <v>23783.4</v>
      </c>
      <c r="P1157" s="43">
        <f>IF(Table22[[#This Row],[Discount Applied]],Table22[[#This Row],[Total Sales (in USD)]]*(1-Table22[[#This Row],[Discount Percentage (%)]]/100),Table22[[#This Row],[Total Sales (in USD)]])</f>
        <v>23783.4</v>
      </c>
      <c r="Q1157" s="66">
        <f>SQRT(AVERAGE((Table22[[#This Row],[Net Sales (after discount) (in USD)]]-AVERAGE(Table22[Net Sales (after discount) (in USD)]))^2))</f>
        <v>12727.960563764536</v>
      </c>
      <c r="R1157" s="18" t="b">
        <v>0</v>
      </c>
      <c r="S1157" s="40">
        <v>6.25</v>
      </c>
      <c r="T1157" s="18" t="b">
        <v>0</v>
      </c>
      <c r="U1157" s="25">
        <v>45347</v>
      </c>
      <c r="V1157" s="63" t="str">
        <f>IF(MONTH(Table22[[#This Row],[Sales Date]])&lt;=3,"Q1",IF(MONTH(Table22[[#This Row],[Sales Date]])&lt;=6,"Q2",IF(MONTH(Table22[[#This Row],[Sales Date]])&lt;=9,"Q3","Q4")))</f>
        <v>Q1</v>
      </c>
      <c r="W1157" s="64">
        <f>YEAR(Table22[[#This Row],[Sales Date]])</f>
        <v>2024</v>
      </c>
      <c r="X1157" s="23">
        <v>37</v>
      </c>
      <c r="Y1157" s="18" t="s">
        <v>23</v>
      </c>
      <c r="Z1157" s="18" t="s">
        <v>42</v>
      </c>
      <c r="AA1157" s="19" t="s">
        <v>25</v>
      </c>
    </row>
    <row r="1158" spans="1:27" x14ac:dyDescent="0.25">
      <c r="A1158" s="17" t="s">
        <v>2042</v>
      </c>
      <c r="B1158" s="18" t="s">
        <v>46</v>
      </c>
      <c r="C1158" s="63" t="str" cm="1">
        <f t="array" ref="C1158">_xlfn.SWITCH(Table22[[#This Row],[Country]],"USA","North America","Canada","North America","Brazil","South America","China","Asia","Japan","Asia","India","Asia","France","Europe","Germany","Europe","UK","Europe","Australia","Oceania","South America")</f>
        <v>South America</v>
      </c>
      <c r="D1158" s="18" t="s">
        <v>44</v>
      </c>
      <c r="E1158" s="18" t="s">
        <v>19</v>
      </c>
      <c r="F1158" s="18" t="s">
        <v>64</v>
      </c>
      <c r="G1158" s="18" t="s">
        <v>29</v>
      </c>
      <c r="H1158" s="64">
        <f>LEN(TRIM(Table22[[#This Row],[Country]]))</f>
        <v>6</v>
      </c>
      <c r="I1158" s="64">
        <f>LEN(TRIM(Table22[[#This Row],[Continent]]))</f>
        <v>13</v>
      </c>
      <c r="J1158" s="64">
        <f>LEN(TRIM(Table22[[#This Row],[Product]]))</f>
        <v>6</v>
      </c>
      <c r="K1158" s="64">
        <f>LEN(TRIM(Table22[[#This Row],[Sales Team]]))</f>
        <v>10</v>
      </c>
      <c r="L1158" s="23">
        <v>26</v>
      </c>
      <c r="M1158" s="65" t="str" cm="1">
        <f t="array" ref="M1158">_xlfn.IFS(Table22[[#This Row],[Units Sold]]&lt;40,"Critical",Table22[[#This Row],[Units Sold]]&lt;=50,"Poor",Table22[[#This Row],[Units Sold]]&lt;=60,"Low",Table22[[#This Row],[Units Sold]]&lt;=80,"Average",Table22[[#This Row],[Units Sold]]&lt;=90,"High",Table22[[#This Row],[Units Sold]]&lt;=95,"Excellent",Table22[[#This Row],[Units Sold]]&gt;95,"Outstanding")</f>
        <v>Critical</v>
      </c>
      <c r="N1158" s="29">
        <v>910.94</v>
      </c>
      <c r="O1158" s="29">
        <v>23684.44</v>
      </c>
      <c r="P1158" s="43">
        <f>IF(Table22[[#This Row],[Discount Applied]],Table22[[#This Row],[Total Sales (in USD)]]*(1-Table22[[#This Row],[Discount Percentage (%)]]/100),Table22[[#This Row],[Total Sales (in USD)]])</f>
        <v>23684.44</v>
      </c>
      <c r="Q1158" s="66">
        <f>SQRT(AVERAGE((Table22[[#This Row],[Net Sales (after discount) (in USD)]]-AVERAGE(Table22[Net Sales (after discount) (in USD)]))^2))</f>
        <v>12826.920563764539</v>
      </c>
      <c r="R1158" s="18" t="b">
        <v>1</v>
      </c>
      <c r="S1158" s="40">
        <v>29.37</v>
      </c>
      <c r="T1158" s="18" t="b">
        <v>0</v>
      </c>
      <c r="U1158" s="25">
        <v>45388</v>
      </c>
      <c r="V1158" s="63" t="str">
        <f>IF(MONTH(Table22[[#This Row],[Sales Date]])&lt;=3,"Q1",IF(MONTH(Table22[[#This Row],[Sales Date]])&lt;=6,"Q2",IF(MONTH(Table22[[#This Row],[Sales Date]])&lt;=9,"Q3","Q4")))</f>
        <v>Q2</v>
      </c>
      <c r="W1158" s="64">
        <f>YEAR(Table22[[#This Row],[Sales Date]])</f>
        <v>2024</v>
      </c>
      <c r="X1158" s="23">
        <v>59</v>
      </c>
      <c r="Y1158" s="18" t="s">
        <v>23</v>
      </c>
      <c r="Z1158" s="18" t="s">
        <v>42</v>
      </c>
      <c r="AA1158" s="19" t="s">
        <v>36</v>
      </c>
    </row>
    <row r="1159" spans="1:27" x14ac:dyDescent="0.25">
      <c r="A1159" s="17" t="s">
        <v>1440</v>
      </c>
      <c r="B1159" s="18" t="s">
        <v>27</v>
      </c>
      <c r="C1159" s="63" t="str" cm="1">
        <f t="array" ref="C1159">_xlfn.SWITCH(Table22[[#This Row],[Country]],"USA","North America","Canada","North America","Brazil","South America","China","Asia","Japan","Asia","India","Asia","France","Europe","Germany","Europe","UK","Europe","Australia","Oceania","South America")</f>
        <v>Europe</v>
      </c>
      <c r="D1159" s="18" t="s">
        <v>28</v>
      </c>
      <c r="E1159" s="18" t="s">
        <v>39</v>
      </c>
      <c r="F1159" s="18" t="s">
        <v>64</v>
      </c>
      <c r="G1159" s="18" t="s">
        <v>29</v>
      </c>
      <c r="H1159" s="64">
        <f>LEN(TRIM(Table22[[#This Row],[Country]]))</f>
        <v>7</v>
      </c>
      <c r="I1159" s="64">
        <f>LEN(TRIM(Table22[[#This Row],[Continent]]))</f>
        <v>6</v>
      </c>
      <c r="J1159" s="64">
        <f>LEN(TRIM(Table22[[#This Row],[Product]]))</f>
        <v>10</v>
      </c>
      <c r="K1159" s="64">
        <f>LEN(TRIM(Table22[[#This Row],[Sales Team]]))</f>
        <v>10</v>
      </c>
      <c r="L1159" s="23">
        <v>83</v>
      </c>
      <c r="M1159" s="65" t="str" cm="1">
        <f t="array" ref="M1159">_xlfn.IFS(Table22[[#This Row],[Units Sold]]&lt;40,"Critical",Table22[[#This Row],[Units Sold]]&lt;=50,"Poor",Table22[[#This Row],[Units Sold]]&lt;=60,"Low",Table22[[#This Row],[Units Sold]]&lt;=80,"Average",Table22[[#This Row],[Units Sold]]&lt;=90,"High",Table22[[#This Row],[Units Sold]]&lt;=95,"Excellent",Table22[[#This Row],[Units Sold]]&gt;95,"Outstanding")</f>
        <v>High</v>
      </c>
      <c r="N1159" s="29">
        <v>284.85000000000002</v>
      </c>
      <c r="O1159" s="29">
        <v>23642.55</v>
      </c>
      <c r="P1159" s="43">
        <f>IF(Table22[[#This Row],[Discount Applied]],Table22[[#This Row],[Total Sales (in USD)]]*(1-Table22[[#This Row],[Discount Percentage (%)]]/100),Table22[[#This Row],[Total Sales (in USD)]])</f>
        <v>23642.55</v>
      </c>
      <c r="Q1159" s="66">
        <f>SQRT(AVERAGE((Table22[[#This Row],[Net Sales (after discount) (in USD)]]-AVERAGE(Table22[Net Sales (after discount) (in USD)]))^2))</f>
        <v>12868.810563764539</v>
      </c>
      <c r="R1159" s="18" t="b">
        <v>1</v>
      </c>
      <c r="S1159" s="40">
        <v>11.21</v>
      </c>
      <c r="T1159" s="18" t="b">
        <v>0</v>
      </c>
      <c r="U1159" s="25">
        <v>45257</v>
      </c>
      <c r="V1159" s="63" t="str">
        <f>IF(MONTH(Table22[[#This Row],[Sales Date]])&lt;=3,"Q1",IF(MONTH(Table22[[#This Row],[Sales Date]])&lt;=6,"Q2",IF(MONTH(Table22[[#This Row],[Sales Date]])&lt;=9,"Q3","Q4")))</f>
        <v>Q4</v>
      </c>
      <c r="W1159" s="64">
        <f>YEAR(Table22[[#This Row],[Sales Date]])</f>
        <v>2023</v>
      </c>
      <c r="X1159" s="23">
        <v>18</v>
      </c>
      <c r="Y1159" s="18" t="s">
        <v>23</v>
      </c>
      <c r="Z1159" s="18" t="s">
        <v>42</v>
      </c>
      <c r="AA1159" s="19" t="s">
        <v>25</v>
      </c>
    </row>
    <row r="1160" spans="1:27" x14ac:dyDescent="0.25">
      <c r="A1160" s="17" t="s">
        <v>942</v>
      </c>
      <c r="B1160" s="18" t="s">
        <v>66</v>
      </c>
      <c r="C1160" s="63" t="str" cm="1">
        <f t="array" ref="C1160">_xlfn.SWITCH(Table22[[#This Row],[Country]],"USA","North America","Canada","North America","Brazil","South America","China","Asia","Japan","Asia","India","Asia","France","Europe","Germany","Europe","UK","Europe","Australia","Oceania","South America")</f>
        <v>North America</v>
      </c>
      <c r="D1160" s="18" t="s">
        <v>28</v>
      </c>
      <c r="E1160" s="18" t="s">
        <v>39</v>
      </c>
      <c r="F1160" s="18" t="s">
        <v>20</v>
      </c>
      <c r="G1160" s="18" t="s">
        <v>48</v>
      </c>
      <c r="H1160" s="64">
        <f>LEN(TRIM(Table22[[#This Row],[Country]]))</f>
        <v>6</v>
      </c>
      <c r="I1160" s="64">
        <f>LEN(TRIM(Table22[[#This Row],[Continent]]))</f>
        <v>13</v>
      </c>
      <c r="J1160" s="64">
        <f>LEN(TRIM(Table22[[#This Row],[Product]]))</f>
        <v>10</v>
      </c>
      <c r="K1160" s="64">
        <f>LEN(TRIM(Table22[[#This Row],[Sales Team]]))</f>
        <v>9</v>
      </c>
      <c r="L1160" s="23">
        <v>23</v>
      </c>
      <c r="M1160" s="65" t="str" cm="1">
        <f t="array" ref="M1160">_xlfn.IFS(Table22[[#This Row],[Units Sold]]&lt;40,"Critical",Table22[[#This Row],[Units Sold]]&lt;=50,"Poor",Table22[[#This Row],[Units Sold]]&lt;=60,"Low",Table22[[#This Row],[Units Sold]]&lt;=80,"Average",Table22[[#This Row],[Units Sold]]&lt;=90,"High",Table22[[#This Row],[Units Sold]]&lt;=95,"Excellent",Table22[[#This Row],[Units Sold]]&gt;95,"Outstanding")</f>
        <v>Critical</v>
      </c>
      <c r="N1160" s="29">
        <v>1027.3800000000001</v>
      </c>
      <c r="O1160" s="29">
        <v>23629.74</v>
      </c>
      <c r="P1160" s="43">
        <f>IF(Table22[[#This Row],[Discount Applied]],Table22[[#This Row],[Total Sales (in USD)]]*(1-Table22[[#This Row],[Discount Percentage (%)]]/100),Table22[[#This Row],[Total Sales (in USD)]])</f>
        <v>23629.74</v>
      </c>
      <c r="Q1160" s="66">
        <f>SQRT(AVERAGE((Table22[[#This Row],[Net Sales (after discount) (in USD)]]-AVERAGE(Table22[Net Sales (after discount) (in USD)]))^2))</f>
        <v>12881.620563764536</v>
      </c>
      <c r="R1160" s="18" t="b">
        <v>0</v>
      </c>
      <c r="S1160" s="40">
        <v>17.61</v>
      </c>
      <c r="T1160" s="18" t="b">
        <v>0</v>
      </c>
      <c r="U1160" s="25">
        <v>45103</v>
      </c>
      <c r="V1160" s="63" t="str">
        <f>IF(MONTH(Table22[[#This Row],[Sales Date]])&lt;=3,"Q1",IF(MONTH(Table22[[#This Row],[Sales Date]])&lt;=6,"Q2",IF(MONTH(Table22[[#This Row],[Sales Date]])&lt;=9,"Q3","Q4")))</f>
        <v>Q2</v>
      </c>
      <c r="W1160" s="64">
        <f>YEAR(Table22[[#This Row],[Sales Date]])</f>
        <v>2023</v>
      </c>
      <c r="X1160" s="23">
        <v>40</v>
      </c>
      <c r="Y1160" s="18" t="s">
        <v>41</v>
      </c>
      <c r="Z1160" s="18" t="s">
        <v>56</v>
      </c>
      <c r="AA1160" s="19" t="s">
        <v>36</v>
      </c>
    </row>
    <row r="1161" spans="1:27" x14ac:dyDescent="0.25">
      <c r="A1161" s="17" t="s">
        <v>1118</v>
      </c>
      <c r="B1161" s="18" t="s">
        <v>72</v>
      </c>
      <c r="C1161" s="63" t="str" cm="1">
        <f t="array" ref="C1161">_xlfn.SWITCH(Table22[[#This Row],[Country]],"USA","North America","Canada","North America","Brazil","South America","China","Asia","Japan","Asia","India","Asia","France","Europe","Germany","Europe","UK","Europe","Australia","Oceania","South America")</f>
        <v>North America</v>
      </c>
      <c r="D1161" s="18" t="s">
        <v>44</v>
      </c>
      <c r="E1161" s="18" t="s">
        <v>33</v>
      </c>
      <c r="F1161" s="18" t="s">
        <v>20</v>
      </c>
      <c r="G1161" s="18" t="s">
        <v>40</v>
      </c>
      <c r="H1161" s="64">
        <f>LEN(TRIM(Table22[[#This Row],[Country]]))</f>
        <v>3</v>
      </c>
      <c r="I1161" s="64">
        <f>LEN(TRIM(Table22[[#This Row],[Continent]]))</f>
        <v>13</v>
      </c>
      <c r="J1161" s="64">
        <f>LEN(TRIM(Table22[[#This Row],[Product]]))</f>
        <v>10</v>
      </c>
      <c r="K1161" s="64">
        <f>LEN(TRIM(Table22[[#This Row],[Sales Team]]))</f>
        <v>10</v>
      </c>
      <c r="L1161" s="23">
        <v>28</v>
      </c>
      <c r="M1161" s="65" t="str" cm="1">
        <f t="array" ref="M1161">_xlfn.IFS(Table22[[#This Row],[Units Sold]]&lt;40,"Critical",Table22[[#This Row],[Units Sold]]&lt;=50,"Poor",Table22[[#This Row],[Units Sold]]&lt;=60,"Low",Table22[[#This Row],[Units Sold]]&lt;=80,"Average",Table22[[#This Row],[Units Sold]]&lt;=90,"High",Table22[[#This Row],[Units Sold]]&lt;=95,"Excellent",Table22[[#This Row],[Units Sold]]&gt;95,"Outstanding")</f>
        <v>Critical</v>
      </c>
      <c r="N1161" s="29">
        <v>842.31</v>
      </c>
      <c r="O1161" s="29">
        <v>23584.68</v>
      </c>
      <c r="P1161" s="43">
        <f>IF(Table22[[#This Row],[Discount Applied]],Table22[[#This Row],[Total Sales (in USD)]]*(1-Table22[[#This Row],[Discount Percentage (%)]]/100),Table22[[#This Row],[Total Sales (in USD)]])</f>
        <v>23584.68</v>
      </c>
      <c r="Q1161" s="66">
        <f>SQRT(AVERAGE((Table22[[#This Row],[Net Sales (after discount) (in USD)]]-AVERAGE(Table22[Net Sales (after discount) (in USD)]))^2))</f>
        <v>12926.680563764538</v>
      </c>
      <c r="R1161" s="18" t="b">
        <v>1</v>
      </c>
      <c r="S1161" s="40">
        <v>21.76</v>
      </c>
      <c r="T1161" s="18" t="b">
        <v>0</v>
      </c>
      <c r="U1161" s="25">
        <v>45585</v>
      </c>
      <c r="V1161" s="63" t="str">
        <f>IF(MONTH(Table22[[#This Row],[Sales Date]])&lt;=3,"Q1",IF(MONTH(Table22[[#This Row],[Sales Date]])&lt;=6,"Q2",IF(MONTH(Table22[[#This Row],[Sales Date]])&lt;=9,"Q3","Q4")))</f>
        <v>Q4</v>
      </c>
      <c r="W1161" s="64">
        <f>YEAR(Table22[[#This Row],[Sales Date]])</f>
        <v>2024</v>
      </c>
      <c r="X1161" s="23">
        <v>31</v>
      </c>
      <c r="Y1161" s="18" t="s">
        <v>41</v>
      </c>
      <c r="Z1161" s="18" t="s">
        <v>24</v>
      </c>
      <c r="AA1161" s="19" t="s">
        <v>36</v>
      </c>
    </row>
    <row r="1162" spans="1:27" x14ac:dyDescent="0.25">
      <c r="A1162" s="17" t="s">
        <v>1246</v>
      </c>
      <c r="B1162" s="18" t="s">
        <v>27</v>
      </c>
      <c r="C1162" s="63" t="str" cm="1">
        <f t="array" ref="C1162">_xlfn.SWITCH(Table22[[#This Row],[Country]],"USA","North America","Canada","North America","Brazil","South America","China","Asia","Japan","Asia","India","Asia","France","Europe","Germany","Europe","UK","Europe","Australia","Oceania","South America")</f>
        <v>Europe</v>
      </c>
      <c r="D1162" s="18" t="s">
        <v>35</v>
      </c>
      <c r="E1162" s="18" t="s">
        <v>19</v>
      </c>
      <c r="F1162" s="18" t="s">
        <v>34</v>
      </c>
      <c r="G1162" s="18" t="s">
        <v>22</v>
      </c>
      <c r="H1162" s="64">
        <f>LEN(TRIM(Table22[[#This Row],[Country]]))</f>
        <v>7</v>
      </c>
      <c r="I1162" s="64">
        <f>LEN(TRIM(Table22[[#This Row],[Continent]]))</f>
        <v>6</v>
      </c>
      <c r="J1162" s="64">
        <f>LEN(TRIM(Table22[[#This Row],[Product]]))</f>
        <v>6</v>
      </c>
      <c r="K1162" s="64">
        <f>LEN(TRIM(Table22[[#This Row],[Sales Team]]))</f>
        <v>10</v>
      </c>
      <c r="L1162" s="23">
        <v>33</v>
      </c>
      <c r="M1162" s="65" t="str" cm="1">
        <f t="array" ref="M1162">_xlfn.IFS(Table22[[#This Row],[Units Sold]]&lt;40,"Critical",Table22[[#This Row],[Units Sold]]&lt;=50,"Poor",Table22[[#This Row],[Units Sold]]&lt;=60,"Low",Table22[[#This Row],[Units Sold]]&lt;=80,"Average",Table22[[#This Row],[Units Sold]]&lt;=90,"High",Table22[[#This Row],[Units Sold]]&lt;=95,"Excellent",Table22[[#This Row],[Units Sold]]&gt;95,"Outstanding")</f>
        <v>Critical</v>
      </c>
      <c r="N1162" s="29">
        <v>714.51</v>
      </c>
      <c r="O1162" s="29">
        <v>23578.83</v>
      </c>
      <c r="P1162" s="43">
        <f>IF(Table22[[#This Row],[Discount Applied]],Table22[[#This Row],[Total Sales (in USD)]]*(1-Table22[[#This Row],[Discount Percentage (%)]]/100),Table22[[#This Row],[Total Sales (in USD)]])</f>
        <v>23578.83</v>
      </c>
      <c r="Q1162" s="66">
        <f>SQRT(AVERAGE((Table22[[#This Row],[Net Sales (after discount) (in USD)]]-AVERAGE(Table22[Net Sales (after discount) (in USD)]))^2))</f>
        <v>12932.530563764536</v>
      </c>
      <c r="R1162" s="18" t="b">
        <v>1</v>
      </c>
      <c r="S1162" s="40">
        <v>19.559999999999999</v>
      </c>
      <c r="T1162" s="18" t="b">
        <v>0</v>
      </c>
      <c r="U1162" s="25">
        <v>45139</v>
      </c>
      <c r="V1162" s="63" t="str">
        <f>IF(MONTH(Table22[[#This Row],[Sales Date]])&lt;=3,"Q1",IF(MONTH(Table22[[#This Row],[Sales Date]])&lt;=6,"Q2",IF(MONTH(Table22[[#This Row],[Sales Date]])&lt;=9,"Q3","Q4")))</f>
        <v>Q3</v>
      </c>
      <c r="W1162" s="64">
        <f>YEAR(Table22[[#This Row],[Sales Date]])</f>
        <v>2023</v>
      </c>
      <c r="X1162" s="23">
        <v>38</v>
      </c>
      <c r="Y1162" s="18" t="s">
        <v>41</v>
      </c>
      <c r="Z1162" s="18" t="s">
        <v>24</v>
      </c>
      <c r="AA1162" s="19" t="s">
        <v>36</v>
      </c>
    </row>
    <row r="1163" spans="1:27" x14ac:dyDescent="0.25">
      <c r="A1163" s="17" t="s">
        <v>1439</v>
      </c>
      <c r="B1163" s="18" t="s">
        <v>32</v>
      </c>
      <c r="C1163" s="63" t="str" cm="1">
        <f t="array" ref="C1163">_xlfn.SWITCH(Table22[[#This Row],[Country]],"USA","North America","Canada","North America","Brazil","South America","China","Asia","Japan","Asia","India","Asia","France","Europe","Germany","Europe","UK","Europe","Australia","Oceania","South America")</f>
        <v>Asia</v>
      </c>
      <c r="D1163" s="18" t="s">
        <v>21</v>
      </c>
      <c r="E1163" s="18" t="s">
        <v>39</v>
      </c>
      <c r="F1163" s="18" t="s">
        <v>52</v>
      </c>
      <c r="G1163" s="18" t="s">
        <v>22</v>
      </c>
      <c r="H1163" s="64">
        <f>LEN(TRIM(Table22[[#This Row],[Country]]))</f>
        <v>5</v>
      </c>
      <c r="I1163" s="64">
        <f>LEN(TRIM(Table22[[#This Row],[Continent]]))</f>
        <v>4</v>
      </c>
      <c r="J1163" s="64">
        <f>LEN(TRIM(Table22[[#This Row],[Product]]))</f>
        <v>10</v>
      </c>
      <c r="K1163" s="64">
        <f>LEN(TRIM(Table22[[#This Row],[Sales Team]]))</f>
        <v>10</v>
      </c>
      <c r="L1163" s="23">
        <v>37</v>
      </c>
      <c r="M1163" s="65" t="str" cm="1">
        <f t="array" ref="M1163">_xlfn.IFS(Table22[[#This Row],[Units Sold]]&lt;40,"Critical",Table22[[#This Row],[Units Sold]]&lt;=50,"Poor",Table22[[#This Row],[Units Sold]]&lt;=60,"Low",Table22[[#This Row],[Units Sold]]&lt;=80,"Average",Table22[[#This Row],[Units Sold]]&lt;=90,"High",Table22[[#This Row],[Units Sold]]&lt;=95,"Excellent",Table22[[#This Row],[Units Sold]]&gt;95,"Outstanding")</f>
        <v>Critical</v>
      </c>
      <c r="N1163" s="29">
        <v>636.33000000000004</v>
      </c>
      <c r="O1163" s="29">
        <v>23544.21</v>
      </c>
      <c r="P1163" s="43">
        <f>IF(Table22[[#This Row],[Discount Applied]],Table22[[#This Row],[Total Sales (in USD)]]*(1-Table22[[#This Row],[Discount Percentage (%)]]/100),Table22[[#This Row],[Total Sales (in USD)]])</f>
        <v>23544.21</v>
      </c>
      <c r="Q1163" s="66">
        <f>SQRT(AVERAGE((Table22[[#This Row],[Net Sales (after discount) (in USD)]]-AVERAGE(Table22[Net Sales (after discount) (in USD)]))^2))</f>
        <v>12967.150563764539</v>
      </c>
      <c r="R1163" s="18" t="b">
        <v>1</v>
      </c>
      <c r="S1163" s="40">
        <v>29.49</v>
      </c>
      <c r="T1163" s="18" t="b">
        <v>0</v>
      </c>
      <c r="U1163" s="25">
        <v>45365</v>
      </c>
      <c r="V1163" s="63" t="str">
        <f>IF(MONTH(Table22[[#This Row],[Sales Date]])&lt;=3,"Q1",IF(MONTH(Table22[[#This Row],[Sales Date]])&lt;=6,"Q2",IF(MONTH(Table22[[#This Row],[Sales Date]])&lt;=9,"Q3","Q4")))</f>
        <v>Q1</v>
      </c>
      <c r="W1163" s="64">
        <f>YEAR(Table22[[#This Row],[Sales Date]])</f>
        <v>2024</v>
      </c>
      <c r="X1163" s="23">
        <v>35</v>
      </c>
      <c r="Y1163" s="18" t="s">
        <v>41</v>
      </c>
      <c r="Z1163" s="18" t="s">
        <v>30</v>
      </c>
      <c r="AA1163" s="19" t="s">
        <v>36</v>
      </c>
    </row>
    <row r="1164" spans="1:27" x14ac:dyDescent="0.25">
      <c r="A1164" s="17" t="s">
        <v>469</v>
      </c>
      <c r="B1164" s="18" t="s">
        <v>46</v>
      </c>
      <c r="C1164" s="63" t="str" cm="1">
        <f t="array" ref="C1164">_xlfn.SWITCH(Table22[[#This Row],[Country]],"USA","North America","Canada","North America","Brazil","South America","China","Asia","Japan","Asia","India","Asia","France","Europe","Germany","Europe","UK","Europe","Australia","Oceania","South America")</f>
        <v>South America</v>
      </c>
      <c r="D1164" s="18" t="s">
        <v>35</v>
      </c>
      <c r="E1164" s="18" t="s">
        <v>19</v>
      </c>
      <c r="F1164" s="18" t="s">
        <v>20</v>
      </c>
      <c r="G1164" s="18" t="s">
        <v>29</v>
      </c>
      <c r="H1164" s="64">
        <f>LEN(TRIM(Table22[[#This Row],[Country]]))</f>
        <v>6</v>
      </c>
      <c r="I1164" s="64">
        <f>LEN(TRIM(Table22[[#This Row],[Continent]]))</f>
        <v>13</v>
      </c>
      <c r="J1164" s="64">
        <f>LEN(TRIM(Table22[[#This Row],[Product]]))</f>
        <v>6</v>
      </c>
      <c r="K1164" s="64">
        <f>LEN(TRIM(Table22[[#This Row],[Sales Team]]))</f>
        <v>10</v>
      </c>
      <c r="L1164" s="23">
        <v>34</v>
      </c>
      <c r="M1164" s="65" t="str" cm="1">
        <f t="array" ref="M1164">_xlfn.IFS(Table22[[#This Row],[Units Sold]]&lt;40,"Critical",Table22[[#This Row],[Units Sold]]&lt;=50,"Poor",Table22[[#This Row],[Units Sold]]&lt;=60,"Low",Table22[[#This Row],[Units Sold]]&lt;=80,"Average",Table22[[#This Row],[Units Sold]]&lt;=90,"High",Table22[[#This Row],[Units Sold]]&lt;=95,"Excellent",Table22[[#This Row],[Units Sold]]&gt;95,"Outstanding")</f>
        <v>Critical</v>
      </c>
      <c r="N1164" s="29">
        <v>692.01</v>
      </c>
      <c r="O1164" s="29">
        <v>23528.34</v>
      </c>
      <c r="P1164" s="43">
        <f>IF(Table22[[#This Row],[Discount Applied]],Table22[[#This Row],[Total Sales (in USD)]]*(1-Table22[[#This Row],[Discount Percentage (%)]]/100),Table22[[#This Row],[Total Sales (in USD)]])</f>
        <v>23528.34</v>
      </c>
      <c r="Q1164" s="66">
        <f>SQRT(AVERAGE((Table22[[#This Row],[Net Sales (after discount) (in USD)]]-AVERAGE(Table22[Net Sales (after discount) (in USD)]))^2))</f>
        <v>12983.020563764538</v>
      </c>
      <c r="R1164" s="18" t="b">
        <v>1</v>
      </c>
      <c r="S1164" s="40">
        <v>20.14</v>
      </c>
      <c r="T1164" s="18" t="b">
        <v>0</v>
      </c>
      <c r="U1164" s="25">
        <v>45207</v>
      </c>
      <c r="V1164" s="63" t="str">
        <f>IF(MONTH(Table22[[#This Row],[Sales Date]])&lt;=3,"Q1",IF(MONTH(Table22[[#This Row],[Sales Date]])&lt;=6,"Q2",IF(MONTH(Table22[[#This Row],[Sales Date]])&lt;=9,"Q3","Q4")))</f>
        <v>Q4</v>
      </c>
      <c r="W1164" s="64">
        <f>YEAR(Table22[[#This Row],[Sales Date]])</f>
        <v>2023</v>
      </c>
      <c r="X1164" s="23">
        <v>33</v>
      </c>
      <c r="Y1164" s="18" t="s">
        <v>41</v>
      </c>
      <c r="Z1164" s="18" t="s">
        <v>56</v>
      </c>
      <c r="AA1164" s="19" t="s">
        <v>36</v>
      </c>
    </row>
    <row r="1165" spans="1:27" x14ac:dyDescent="0.25">
      <c r="A1165" s="17" t="s">
        <v>815</v>
      </c>
      <c r="B1165" s="18" t="s">
        <v>76</v>
      </c>
      <c r="C1165" s="63" t="str" cm="1">
        <f t="array" ref="C1165">_xlfn.SWITCH(Table22[[#This Row],[Country]],"USA","North America","Canada","North America","Brazil","South America","China","Asia","Japan","Asia","India","Asia","France","Europe","Germany","Europe","UK","Europe","Australia","Oceania","South America")</f>
        <v>Asia</v>
      </c>
      <c r="D1165" s="18" t="s">
        <v>21</v>
      </c>
      <c r="E1165" s="18" t="s">
        <v>39</v>
      </c>
      <c r="F1165" s="18" t="s">
        <v>64</v>
      </c>
      <c r="G1165" s="18" t="s">
        <v>22</v>
      </c>
      <c r="H1165" s="64">
        <f>LEN(TRIM(Table22[[#This Row],[Country]]))</f>
        <v>5</v>
      </c>
      <c r="I1165" s="64">
        <f>LEN(TRIM(Table22[[#This Row],[Continent]]))</f>
        <v>4</v>
      </c>
      <c r="J1165" s="64">
        <f>LEN(TRIM(Table22[[#This Row],[Product]]))</f>
        <v>10</v>
      </c>
      <c r="K1165" s="64">
        <f>LEN(TRIM(Table22[[#This Row],[Sales Team]]))</f>
        <v>10</v>
      </c>
      <c r="L1165" s="23">
        <v>84</v>
      </c>
      <c r="M1165" s="65" t="str" cm="1">
        <f t="array" ref="M1165">_xlfn.IFS(Table22[[#This Row],[Units Sold]]&lt;40,"Critical",Table22[[#This Row],[Units Sold]]&lt;=50,"Poor",Table22[[#This Row],[Units Sold]]&lt;=60,"Low",Table22[[#This Row],[Units Sold]]&lt;=80,"Average",Table22[[#This Row],[Units Sold]]&lt;=90,"High",Table22[[#This Row],[Units Sold]]&lt;=95,"Excellent",Table22[[#This Row],[Units Sold]]&gt;95,"Outstanding")</f>
        <v>High</v>
      </c>
      <c r="N1165" s="29">
        <v>280.02</v>
      </c>
      <c r="O1165" s="29">
        <v>23521.68</v>
      </c>
      <c r="P1165" s="43">
        <f>IF(Table22[[#This Row],[Discount Applied]],Table22[[#This Row],[Total Sales (in USD)]]*(1-Table22[[#This Row],[Discount Percentage (%)]]/100),Table22[[#This Row],[Total Sales (in USD)]])</f>
        <v>23521.68</v>
      </c>
      <c r="Q1165" s="66">
        <f>SQRT(AVERAGE((Table22[[#This Row],[Net Sales (after discount) (in USD)]]-AVERAGE(Table22[Net Sales (after discount) (in USD)]))^2))</f>
        <v>12989.680563764538</v>
      </c>
      <c r="R1165" s="18" t="b">
        <v>0</v>
      </c>
      <c r="S1165" s="40">
        <v>15.04</v>
      </c>
      <c r="T1165" s="18" t="b">
        <v>0</v>
      </c>
      <c r="U1165" s="25">
        <v>45387</v>
      </c>
      <c r="V1165" s="63" t="str">
        <f>IF(MONTH(Table22[[#This Row],[Sales Date]])&lt;=3,"Q1",IF(MONTH(Table22[[#This Row],[Sales Date]])&lt;=6,"Q2",IF(MONTH(Table22[[#This Row],[Sales Date]])&lt;=9,"Q3","Q4")))</f>
        <v>Q2</v>
      </c>
      <c r="W1165" s="64">
        <f>YEAR(Table22[[#This Row],[Sales Date]])</f>
        <v>2024</v>
      </c>
      <c r="X1165" s="23">
        <v>34</v>
      </c>
      <c r="Y1165" s="18" t="s">
        <v>49</v>
      </c>
      <c r="Z1165" s="18" t="s">
        <v>30</v>
      </c>
      <c r="AA1165" s="19" t="s">
        <v>36</v>
      </c>
    </row>
    <row r="1166" spans="1:27" x14ac:dyDescent="0.25">
      <c r="A1166" s="17" t="s">
        <v>559</v>
      </c>
      <c r="B1166" s="18" t="s">
        <v>72</v>
      </c>
      <c r="C1166" s="63" t="str" cm="1">
        <f t="array" ref="C1166">_xlfn.SWITCH(Table22[[#This Row],[Country]],"USA","North America","Canada","North America","Brazil","South America","China","Asia","Japan","Asia","India","Asia","France","Europe","Germany","Europe","UK","Europe","Australia","Oceania","South America")</f>
        <v>North America</v>
      </c>
      <c r="D1166" s="18" t="s">
        <v>44</v>
      </c>
      <c r="E1166" s="18" t="s">
        <v>39</v>
      </c>
      <c r="F1166" s="18" t="s">
        <v>64</v>
      </c>
      <c r="G1166" s="18" t="s">
        <v>40</v>
      </c>
      <c r="H1166" s="64">
        <f>LEN(TRIM(Table22[[#This Row],[Country]]))</f>
        <v>3</v>
      </c>
      <c r="I1166" s="64">
        <f>LEN(TRIM(Table22[[#This Row],[Continent]]))</f>
        <v>13</v>
      </c>
      <c r="J1166" s="64">
        <f>LEN(TRIM(Table22[[#This Row],[Product]]))</f>
        <v>10</v>
      </c>
      <c r="K1166" s="64">
        <f>LEN(TRIM(Table22[[#This Row],[Sales Team]]))</f>
        <v>10</v>
      </c>
      <c r="L1166" s="23">
        <v>66</v>
      </c>
      <c r="M1166" s="65" t="str" cm="1">
        <f t="array" ref="M1166">_xlfn.IFS(Table22[[#This Row],[Units Sold]]&lt;40,"Critical",Table22[[#This Row],[Units Sold]]&lt;=50,"Poor",Table22[[#This Row],[Units Sold]]&lt;=60,"Low",Table22[[#This Row],[Units Sold]]&lt;=80,"Average",Table22[[#This Row],[Units Sold]]&lt;=90,"High",Table22[[#This Row],[Units Sold]]&lt;=95,"Excellent",Table22[[#This Row],[Units Sold]]&gt;95,"Outstanding")</f>
        <v>Average</v>
      </c>
      <c r="N1166" s="29">
        <v>355.84</v>
      </c>
      <c r="O1166" s="29">
        <v>23485.439999999999</v>
      </c>
      <c r="P1166" s="43">
        <f>IF(Table22[[#This Row],[Discount Applied]],Table22[[#This Row],[Total Sales (in USD)]]*(1-Table22[[#This Row],[Discount Percentage (%)]]/100),Table22[[#This Row],[Total Sales (in USD)]])</f>
        <v>17642.262527999999</v>
      </c>
      <c r="Q1166" s="66">
        <f>SQRT(AVERAGE((Table22[[#This Row],[Net Sales (after discount) (in USD)]]-AVERAGE(Table22[Net Sales (after discount) (in USD)]))^2))</f>
        <v>18869.098035764539</v>
      </c>
      <c r="R1166" s="18" t="b">
        <v>1</v>
      </c>
      <c r="S1166" s="40">
        <v>24.88</v>
      </c>
      <c r="T1166" s="18" t="b">
        <v>1</v>
      </c>
      <c r="U1166" s="25">
        <v>45467</v>
      </c>
      <c r="V1166" s="63" t="str">
        <f>IF(MONTH(Table22[[#This Row],[Sales Date]])&lt;=3,"Q1",IF(MONTH(Table22[[#This Row],[Sales Date]])&lt;=6,"Q2",IF(MONTH(Table22[[#This Row],[Sales Date]])&lt;=9,"Q3","Q4")))</f>
        <v>Q2</v>
      </c>
      <c r="W1166" s="64">
        <f>YEAR(Table22[[#This Row],[Sales Date]])</f>
        <v>2024</v>
      </c>
      <c r="X1166" s="23">
        <v>54</v>
      </c>
      <c r="Y1166" s="18" t="s">
        <v>41</v>
      </c>
      <c r="Z1166" s="18" t="s">
        <v>56</v>
      </c>
      <c r="AA1166" s="19" t="s">
        <v>36</v>
      </c>
    </row>
    <row r="1167" spans="1:27" x14ac:dyDescent="0.25">
      <c r="A1167" s="17" t="s">
        <v>1560</v>
      </c>
      <c r="B1167" s="18" t="s">
        <v>72</v>
      </c>
      <c r="C1167" s="63" t="str" cm="1">
        <f t="array" ref="C1167">_xlfn.SWITCH(Table22[[#This Row],[Country]],"USA","North America","Canada","North America","Brazil","South America","China","Asia","Japan","Asia","India","Asia","France","Europe","Germany","Europe","UK","Europe","Australia","Oceania","South America")</f>
        <v>North America</v>
      </c>
      <c r="D1167" s="18" t="s">
        <v>21</v>
      </c>
      <c r="E1167" s="18" t="s">
        <v>19</v>
      </c>
      <c r="F1167" s="18" t="s">
        <v>64</v>
      </c>
      <c r="G1167" s="18" t="s">
        <v>29</v>
      </c>
      <c r="H1167" s="64">
        <f>LEN(TRIM(Table22[[#This Row],[Country]]))</f>
        <v>3</v>
      </c>
      <c r="I1167" s="64">
        <f>LEN(TRIM(Table22[[#This Row],[Continent]]))</f>
        <v>13</v>
      </c>
      <c r="J1167" s="64">
        <f>LEN(TRIM(Table22[[#This Row],[Product]]))</f>
        <v>6</v>
      </c>
      <c r="K1167" s="64">
        <f>LEN(TRIM(Table22[[#This Row],[Sales Team]]))</f>
        <v>10</v>
      </c>
      <c r="L1167" s="23">
        <v>16</v>
      </c>
      <c r="M1167" s="65" t="str" cm="1">
        <f t="array" ref="M1167">_xlfn.IFS(Table22[[#This Row],[Units Sold]]&lt;40,"Critical",Table22[[#This Row],[Units Sold]]&lt;=50,"Poor",Table22[[#This Row],[Units Sold]]&lt;=60,"Low",Table22[[#This Row],[Units Sold]]&lt;=80,"Average",Table22[[#This Row],[Units Sold]]&lt;=90,"High",Table22[[#This Row],[Units Sold]]&lt;=95,"Excellent",Table22[[#This Row],[Units Sold]]&gt;95,"Outstanding")</f>
        <v>Critical</v>
      </c>
      <c r="N1167" s="29">
        <v>1467.19</v>
      </c>
      <c r="O1167" s="29">
        <v>23475.040000000001</v>
      </c>
      <c r="P1167" s="43">
        <f>IF(Table22[[#This Row],[Discount Applied]],Table22[[#This Row],[Total Sales (in USD)]]*(1-Table22[[#This Row],[Discount Percentage (%)]]/100),Table22[[#This Row],[Total Sales (in USD)]])</f>
        <v>23475.040000000001</v>
      </c>
      <c r="Q1167" s="66">
        <f>SQRT(AVERAGE((Table22[[#This Row],[Net Sales (after discount) (in USD)]]-AVERAGE(Table22[Net Sales (after discount) (in USD)]))^2))</f>
        <v>13036.320563764537</v>
      </c>
      <c r="R1167" s="18" t="b">
        <v>1</v>
      </c>
      <c r="S1167" s="40">
        <v>3.85</v>
      </c>
      <c r="T1167" s="18" t="b">
        <v>0</v>
      </c>
      <c r="U1167" s="25">
        <v>45530</v>
      </c>
      <c r="V1167" s="63" t="str">
        <f>IF(MONTH(Table22[[#This Row],[Sales Date]])&lt;=3,"Q1",IF(MONTH(Table22[[#This Row],[Sales Date]])&lt;=6,"Q2",IF(MONTH(Table22[[#This Row],[Sales Date]])&lt;=9,"Q3","Q4")))</f>
        <v>Q3</v>
      </c>
      <c r="W1167" s="64">
        <f>YEAR(Table22[[#This Row],[Sales Date]])</f>
        <v>2024</v>
      </c>
      <c r="X1167" s="23">
        <v>35</v>
      </c>
      <c r="Y1167" s="18" t="s">
        <v>49</v>
      </c>
      <c r="Z1167" s="18" t="s">
        <v>56</v>
      </c>
      <c r="AA1167" s="19" t="s">
        <v>36</v>
      </c>
    </row>
    <row r="1168" spans="1:27" x14ac:dyDescent="0.25">
      <c r="A1168" s="17" t="s">
        <v>1806</v>
      </c>
      <c r="B1168" s="18" t="s">
        <v>76</v>
      </c>
      <c r="C1168" s="63" t="str" cm="1">
        <f t="array" ref="C1168">_xlfn.SWITCH(Table22[[#This Row],[Country]],"USA","North America","Canada","North America","Brazil","South America","China","Asia","Japan","Asia","India","Asia","France","Europe","Germany","Europe","UK","Europe","Australia","Oceania","South America")</f>
        <v>Asia</v>
      </c>
      <c r="D1168" s="18" t="s">
        <v>35</v>
      </c>
      <c r="E1168" s="18" t="s">
        <v>33</v>
      </c>
      <c r="F1168" s="18" t="s">
        <v>64</v>
      </c>
      <c r="G1168" s="18" t="s">
        <v>48</v>
      </c>
      <c r="H1168" s="64">
        <f>LEN(TRIM(Table22[[#This Row],[Country]]))</f>
        <v>5</v>
      </c>
      <c r="I1168" s="64">
        <f>LEN(TRIM(Table22[[#This Row],[Continent]]))</f>
        <v>4</v>
      </c>
      <c r="J1168" s="64">
        <f>LEN(TRIM(Table22[[#This Row],[Product]]))</f>
        <v>10</v>
      </c>
      <c r="K1168" s="64">
        <f>LEN(TRIM(Table22[[#This Row],[Sales Team]]))</f>
        <v>9</v>
      </c>
      <c r="L1168" s="23">
        <v>85</v>
      </c>
      <c r="M1168" s="65" t="str" cm="1">
        <f t="array" ref="M1168">_xlfn.IFS(Table22[[#This Row],[Units Sold]]&lt;40,"Critical",Table22[[#This Row],[Units Sold]]&lt;=50,"Poor",Table22[[#This Row],[Units Sold]]&lt;=60,"Low",Table22[[#This Row],[Units Sold]]&lt;=80,"Average",Table22[[#This Row],[Units Sold]]&lt;=90,"High",Table22[[#This Row],[Units Sold]]&lt;=95,"Excellent",Table22[[#This Row],[Units Sold]]&gt;95,"Outstanding")</f>
        <v>High</v>
      </c>
      <c r="N1168" s="29">
        <v>276.02999999999997</v>
      </c>
      <c r="O1168" s="29">
        <v>23462.55</v>
      </c>
      <c r="P1168" s="43">
        <f>IF(Table22[[#This Row],[Discount Applied]],Table22[[#This Row],[Total Sales (in USD)]]*(1-Table22[[#This Row],[Discount Percentage (%)]]/100),Table22[[#This Row],[Total Sales (in USD)]])</f>
        <v>23462.55</v>
      </c>
      <c r="Q1168" s="66">
        <f>SQRT(AVERAGE((Table22[[#This Row],[Net Sales (after discount) (in USD)]]-AVERAGE(Table22[Net Sales (after discount) (in USD)]))^2))</f>
        <v>13048.810563764539</v>
      </c>
      <c r="R1168" s="18" t="b">
        <v>0</v>
      </c>
      <c r="S1168" s="40">
        <v>17.309999999999999</v>
      </c>
      <c r="T1168" s="18" t="b">
        <v>0</v>
      </c>
      <c r="U1168" s="25">
        <v>45078</v>
      </c>
      <c r="V1168" s="63" t="str">
        <f>IF(MONTH(Table22[[#This Row],[Sales Date]])&lt;=3,"Q1",IF(MONTH(Table22[[#This Row],[Sales Date]])&lt;=6,"Q2",IF(MONTH(Table22[[#This Row],[Sales Date]])&lt;=9,"Q3","Q4")))</f>
        <v>Q2</v>
      </c>
      <c r="W1168" s="64">
        <f>YEAR(Table22[[#This Row],[Sales Date]])</f>
        <v>2023</v>
      </c>
      <c r="X1168" s="23">
        <v>64</v>
      </c>
      <c r="Y1168" s="18" t="s">
        <v>41</v>
      </c>
      <c r="Z1168" s="18" t="s">
        <v>30</v>
      </c>
      <c r="AA1168" s="19" t="s">
        <v>36</v>
      </c>
    </row>
    <row r="1169" spans="1:27" x14ac:dyDescent="0.25">
      <c r="A1169" s="17" t="s">
        <v>1529</v>
      </c>
      <c r="B1169" s="18" t="s">
        <v>46</v>
      </c>
      <c r="C1169" s="63" t="str" cm="1">
        <f t="array" ref="C1169">_xlfn.SWITCH(Table22[[#This Row],[Country]],"USA","North America","Canada","North America","Brazil","South America","China","Asia","Japan","Asia","India","Asia","France","Europe","Germany","Europe","UK","Europe","Australia","Oceania","South America")</f>
        <v>South America</v>
      </c>
      <c r="D1169" s="18" t="s">
        <v>44</v>
      </c>
      <c r="E1169" s="18" t="s">
        <v>19</v>
      </c>
      <c r="F1169" s="18" t="s">
        <v>34</v>
      </c>
      <c r="G1169" s="18" t="s">
        <v>40</v>
      </c>
      <c r="H1169" s="64">
        <f>LEN(TRIM(Table22[[#This Row],[Country]]))</f>
        <v>6</v>
      </c>
      <c r="I1169" s="64">
        <f>LEN(TRIM(Table22[[#This Row],[Continent]]))</f>
        <v>13</v>
      </c>
      <c r="J1169" s="64">
        <f>LEN(TRIM(Table22[[#This Row],[Product]]))</f>
        <v>6</v>
      </c>
      <c r="K1169" s="64">
        <f>LEN(TRIM(Table22[[#This Row],[Sales Team]]))</f>
        <v>10</v>
      </c>
      <c r="L1169" s="23">
        <v>23</v>
      </c>
      <c r="M1169" s="65" t="str" cm="1">
        <f t="array" ref="M1169">_xlfn.IFS(Table22[[#This Row],[Units Sold]]&lt;40,"Critical",Table22[[#This Row],[Units Sold]]&lt;=50,"Poor",Table22[[#This Row],[Units Sold]]&lt;=60,"Low",Table22[[#This Row],[Units Sold]]&lt;=80,"Average",Table22[[#This Row],[Units Sold]]&lt;=90,"High",Table22[[#This Row],[Units Sold]]&lt;=95,"Excellent",Table22[[#This Row],[Units Sold]]&gt;95,"Outstanding")</f>
        <v>Critical</v>
      </c>
      <c r="N1169" s="29">
        <v>1019.31</v>
      </c>
      <c r="O1169" s="29">
        <v>23444.13</v>
      </c>
      <c r="P1169" s="43">
        <f>IF(Table22[[#This Row],[Discount Applied]],Table22[[#This Row],[Total Sales (in USD)]]*(1-Table22[[#This Row],[Discount Percentage (%)]]/100),Table22[[#This Row],[Total Sales (in USD)]])</f>
        <v>23444.13</v>
      </c>
      <c r="Q1169" s="66">
        <f>SQRT(AVERAGE((Table22[[#This Row],[Net Sales (after discount) (in USD)]]-AVERAGE(Table22[Net Sales (after discount) (in USD)]))^2))</f>
        <v>13067.230563764537</v>
      </c>
      <c r="R1169" s="18" t="b">
        <v>0</v>
      </c>
      <c r="S1169" s="40">
        <v>11.2</v>
      </c>
      <c r="T1169" s="18" t="b">
        <v>0</v>
      </c>
      <c r="U1169" s="25">
        <v>45396</v>
      </c>
      <c r="V1169" s="63" t="str">
        <f>IF(MONTH(Table22[[#This Row],[Sales Date]])&lt;=3,"Q1",IF(MONTH(Table22[[#This Row],[Sales Date]])&lt;=6,"Q2",IF(MONTH(Table22[[#This Row],[Sales Date]])&lt;=9,"Q3","Q4")))</f>
        <v>Q2</v>
      </c>
      <c r="W1169" s="64">
        <f>YEAR(Table22[[#This Row],[Sales Date]])</f>
        <v>2024</v>
      </c>
      <c r="X1169" s="23">
        <v>41</v>
      </c>
      <c r="Y1169" s="18" t="s">
        <v>23</v>
      </c>
      <c r="Z1169" s="18" t="s">
        <v>56</v>
      </c>
      <c r="AA1169" s="19" t="s">
        <v>36</v>
      </c>
    </row>
    <row r="1170" spans="1:27" x14ac:dyDescent="0.25">
      <c r="A1170" s="17" t="s">
        <v>1104</v>
      </c>
      <c r="B1170" s="18" t="s">
        <v>62</v>
      </c>
      <c r="C1170" s="63" t="str" cm="1">
        <f t="array" ref="C1170">_xlfn.SWITCH(Table22[[#This Row],[Country]],"USA","North America","Canada","North America","Brazil","South America","China","Asia","Japan","Asia","India","Asia","France","Europe","Germany","Europe","UK","Europe","Australia","Oceania","South America")</f>
        <v>Oceania</v>
      </c>
      <c r="D1170" s="18" t="s">
        <v>28</v>
      </c>
      <c r="E1170" s="18" t="s">
        <v>39</v>
      </c>
      <c r="F1170" s="18" t="s">
        <v>52</v>
      </c>
      <c r="G1170" s="18" t="s">
        <v>29</v>
      </c>
      <c r="H1170" s="64">
        <f>LEN(TRIM(Table22[[#This Row],[Country]]))</f>
        <v>9</v>
      </c>
      <c r="I1170" s="64">
        <f>LEN(TRIM(Table22[[#This Row],[Continent]]))</f>
        <v>7</v>
      </c>
      <c r="J1170" s="64">
        <f>LEN(TRIM(Table22[[#This Row],[Product]]))</f>
        <v>10</v>
      </c>
      <c r="K1170" s="64">
        <f>LEN(TRIM(Table22[[#This Row],[Sales Team]]))</f>
        <v>10</v>
      </c>
      <c r="L1170" s="23">
        <v>24</v>
      </c>
      <c r="M1170" s="65" t="str" cm="1">
        <f t="array" ref="M1170">_xlfn.IFS(Table22[[#This Row],[Units Sold]]&lt;40,"Critical",Table22[[#This Row],[Units Sold]]&lt;=50,"Poor",Table22[[#This Row],[Units Sold]]&lt;=60,"Low",Table22[[#This Row],[Units Sold]]&lt;=80,"Average",Table22[[#This Row],[Units Sold]]&lt;=90,"High",Table22[[#This Row],[Units Sold]]&lt;=95,"Excellent",Table22[[#This Row],[Units Sold]]&gt;95,"Outstanding")</f>
        <v>Critical</v>
      </c>
      <c r="N1170" s="29">
        <v>974.22</v>
      </c>
      <c r="O1170" s="29">
        <v>23381.279999999999</v>
      </c>
      <c r="P1170" s="43">
        <f>IF(Table22[[#This Row],[Discount Applied]],Table22[[#This Row],[Total Sales (in USD)]]*(1-Table22[[#This Row],[Discount Percentage (%)]]/100),Table22[[#This Row],[Total Sales (in USD)]])</f>
        <v>23381.279999999999</v>
      </c>
      <c r="Q1170" s="66">
        <f>SQRT(AVERAGE((Table22[[#This Row],[Net Sales (after discount) (in USD)]]-AVERAGE(Table22[Net Sales (after discount) (in USD)]))^2))</f>
        <v>13130.080563764539</v>
      </c>
      <c r="R1170" s="18" t="b">
        <v>1</v>
      </c>
      <c r="S1170" s="40">
        <v>15.65</v>
      </c>
      <c r="T1170" s="18" t="b">
        <v>0</v>
      </c>
      <c r="U1170" s="25">
        <v>45031</v>
      </c>
      <c r="V1170" s="63" t="str">
        <f>IF(MONTH(Table22[[#This Row],[Sales Date]])&lt;=3,"Q1",IF(MONTH(Table22[[#This Row],[Sales Date]])&lt;=6,"Q2",IF(MONTH(Table22[[#This Row],[Sales Date]])&lt;=9,"Q3","Q4")))</f>
        <v>Q2</v>
      </c>
      <c r="W1170" s="64">
        <f>YEAR(Table22[[#This Row],[Sales Date]])</f>
        <v>2023</v>
      </c>
      <c r="X1170" s="23">
        <v>40</v>
      </c>
      <c r="Y1170" s="18" t="s">
        <v>23</v>
      </c>
      <c r="Z1170" s="18" t="s">
        <v>42</v>
      </c>
      <c r="AA1170" s="19" t="s">
        <v>36</v>
      </c>
    </row>
    <row r="1171" spans="1:27" x14ac:dyDescent="0.25">
      <c r="A1171" s="17" t="s">
        <v>294</v>
      </c>
      <c r="B1171" s="18" t="s">
        <v>27</v>
      </c>
      <c r="C1171" s="63" t="str" cm="1">
        <f t="array" ref="C1171">_xlfn.SWITCH(Table22[[#This Row],[Country]],"USA","North America","Canada","North America","Brazil","South America","China","Asia","Japan","Asia","India","Asia","France","Europe","Germany","Europe","UK","Europe","Australia","Oceania","South America")</f>
        <v>Europe</v>
      </c>
      <c r="D1171" s="18" t="s">
        <v>21</v>
      </c>
      <c r="E1171" s="18" t="s">
        <v>33</v>
      </c>
      <c r="F1171" s="18" t="s">
        <v>47</v>
      </c>
      <c r="G1171" s="18" t="s">
        <v>40</v>
      </c>
      <c r="H1171" s="64">
        <f>LEN(TRIM(Table22[[#This Row],[Country]]))</f>
        <v>7</v>
      </c>
      <c r="I1171" s="64">
        <f>LEN(TRIM(Table22[[#This Row],[Continent]]))</f>
        <v>6</v>
      </c>
      <c r="J1171" s="64">
        <f>LEN(TRIM(Table22[[#This Row],[Product]]))</f>
        <v>10</v>
      </c>
      <c r="K1171" s="64">
        <f>LEN(TRIM(Table22[[#This Row],[Sales Team]]))</f>
        <v>10</v>
      </c>
      <c r="L1171" s="23">
        <v>18</v>
      </c>
      <c r="M1171" s="65" t="str" cm="1">
        <f t="array" ref="M1171">_xlfn.IFS(Table22[[#This Row],[Units Sold]]&lt;40,"Critical",Table22[[#This Row],[Units Sold]]&lt;=50,"Poor",Table22[[#This Row],[Units Sold]]&lt;=60,"Low",Table22[[#This Row],[Units Sold]]&lt;=80,"Average",Table22[[#This Row],[Units Sold]]&lt;=90,"High",Table22[[#This Row],[Units Sold]]&lt;=95,"Excellent",Table22[[#This Row],[Units Sold]]&gt;95,"Outstanding")</f>
        <v>Critical</v>
      </c>
      <c r="N1171" s="29">
        <v>1297.1099999999999</v>
      </c>
      <c r="O1171" s="29">
        <v>23347.98</v>
      </c>
      <c r="P1171" s="43">
        <f>IF(Table22[[#This Row],[Discount Applied]],Table22[[#This Row],[Total Sales (in USD)]]*(1-Table22[[#This Row],[Discount Percentage (%)]]/100),Table22[[#This Row],[Total Sales (in USD)]])</f>
        <v>19406.840976</v>
      </c>
      <c r="Q1171" s="66">
        <f>SQRT(AVERAGE((Table22[[#This Row],[Net Sales (after discount) (in USD)]]-AVERAGE(Table22[Net Sales (after discount) (in USD)]))^2))</f>
        <v>17104.519587764538</v>
      </c>
      <c r="R1171" s="18" t="b">
        <v>0</v>
      </c>
      <c r="S1171" s="40">
        <v>16.88</v>
      </c>
      <c r="T1171" s="18" t="b">
        <v>1</v>
      </c>
      <c r="U1171" s="25">
        <v>45513</v>
      </c>
      <c r="V1171" s="63" t="str">
        <f>IF(MONTH(Table22[[#This Row],[Sales Date]])&lt;=3,"Q1",IF(MONTH(Table22[[#This Row],[Sales Date]])&lt;=6,"Q2",IF(MONTH(Table22[[#This Row],[Sales Date]])&lt;=9,"Q3","Q4")))</f>
        <v>Q3</v>
      </c>
      <c r="W1171" s="64">
        <f>YEAR(Table22[[#This Row],[Sales Date]])</f>
        <v>2024</v>
      </c>
      <c r="X1171" s="23">
        <v>35</v>
      </c>
      <c r="Y1171" s="18" t="s">
        <v>41</v>
      </c>
      <c r="Z1171" s="18" t="s">
        <v>24</v>
      </c>
      <c r="AA1171" s="19" t="s">
        <v>36</v>
      </c>
    </row>
    <row r="1172" spans="1:27" x14ac:dyDescent="0.25">
      <c r="A1172" s="17" t="s">
        <v>803</v>
      </c>
      <c r="B1172" s="18" t="s">
        <v>66</v>
      </c>
      <c r="C1172" s="63" t="str" cm="1">
        <f t="array" ref="C1172">_xlfn.SWITCH(Table22[[#This Row],[Country]],"USA","North America","Canada","North America","Brazil","South America","China","Asia","Japan","Asia","India","Asia","France","Europe","Germany","Europe","UK","Europe","Australia","Oceania","South America")</f>
        <v>North America</v>
      </c>
      <c r="D1172" s="18" t="s">
        <v>21</v>
      </c>
      <c r="E1172" s="18" t="s">
        <v>39</v>
      </c>
      <c r="F1172" s="18" t="s">
        <v>34</v>
      </c>
      <c r="G1172" s="18" t="s">
        <v>22</v>
      </c>
      <c r="H1172" s="64">
        <f>LEN(TRIM(Table22[[#This Row],[Country]]))</f>
        <v>6</v>
      </c>
      <c r="I1172" s="64">
        <f>LEN(TRIM(Table22[[#This Row],[Continent]]))</f>
        <v>13</v>
      </c>
      <c r="J1172" s="64">
        <f>LEN(TRIM(Table22[[#This Row],[Product]]))</f>
        <v>10</v>
      </c>
      <c r="K1172" s="64">
        <f>LEN(TRIM(Table22[[#This Row],[Sales Team]]))</f>
        <v>10</v>
      </c>
      <c r="L1172" s="23">
        <v>68</v>
      </c>
      <c r="M1172" s="65" t="str" cm="1">
        <f t="array" ref="M1172">_xlfn.IFS(Table22[[#This Row],[Units Sold]]&lt;40,"Critical",Table22[[#This Row],[Units Sold]]&lt;=50,"Poor",Table22[[#This Row],[Units Sold]]&lt;=60,"Low",Table22[[#This Row],[Units Sold]]&lt;=80,"Average",Table22[[#This Row],[Units Sold]]&lt;=90,"High",Table22[[#This Row],[Units Sold]]&lt;=95,"Excellent",Table22[[#This Row],[Units Sold]]&gt;95,"Outstanding")</f>
        <v>Average</v>
      </c>
      <c r="N1172" s="29">
        <v>343.02</v>
      </c>
      <c r="O1172" s="29">
        <v>23325.360000000001</v>
      </c>
      <c r="P1172" s="43">
        <f>IF(Table22[[#This Row],[Discount Applied]],Table22[[#This Row],[Total Sales (in USD)]]*(1-Table22[[#This Row],[Discount Percentage (%)]]/100),Table22[[#This Row],[Total Sales (in USD)]])</f>
        <v>23325.360000000001</v>
      </c>
      <c r="Q1172" s="66">
        <f>SQRT(AVERAGE((Table22[[#This Row],[Net Sales (after discount) (in USD)]]-AVERAGE(Table22[Net Sales (after discount) (in USD)]))^2))</f>
        <v>13186.000563764537</v>
      </c>
      <c r="R1172" s="18" t="b">
        <v>1</v>
      </c>
      <c r="S1172" s="40">
        <v>8.68</v>
      </c>
      <c r="T1172" s="18" t="b">
        <v>0</v>
      </c>
      <c r="U1172" s="25">
        <v>45430</v>
      </c>
      <c r="V1172" s="63" t="str">
        <f>IF(MONTH(Table22[[#This Row],[Sales Date]])&lt;=3,"Q1",IF(MONTH(Table22[[#This Row],[Sales Date]])&lt;=6,"Q2",IF(MONTH(Table22[[#This Row],[Sales Date]])&lt;=9,"Q3","Q4")))</f>
        <v>Q2</v>
      </c>
      <c r="W1172" s="64">
        <f>YEAR(Table22[[#This Row],[Sales Date]])</f>
        <v>2024</v>
      </c>
      <c r="X1172" s="23">
        <v>24</v>
      </c>
      <c r="Y1172" s="18" t="s">
        <v>49</v>
      </c>
      <c r="Z1172" s="18" t="s">
        <v>56</v>
      </c>
      <c r="AA1172" s="19" t="s">
        <v>36</v>
      </c>
    </row>
    <row r="1173" spans="1:27" x14ac:dyDescent="0.25">
      <c r="A1173" s="17" t="s">
        <v>1671</v>
      </c>
      <c r="B1173" s="18" t="s">
        <v>46</v>
      </c>
      <c r="C1173" s="63" t="str" cm="1">
        <f t="array" ref="C1173">_xlfn.SWITCH(Table22[[#This Row],[Country]],"USA","North America","Canada","North America","Brazil","South America","China","Asia","Japan","Asia","India","Asia","France","Europe","Germany","Europe","UK","Europe","Australia","Oceania","South America")</f>
        <v>South America</v>
      </c>
      <c r="D1173" s="18" t="s">
        <v>44</v>
      </c>
      <c r="E1173" s="18" t="s">
        <v>33</v>
      </c>
      <c r="F1173" s="18" t="s">
        <v>64</v>
      </c>
      <c r="G1173" s="18" t="s">
        <v>22</v>
      </c>
      <c r="H1173" s="64">
        <f>LEN(TRIM(Table22[[#This Row],[Country]]))</f>
        <v>6</v>
      </c>
      <c r="I1173" s="64">
        <f>LEN(TRIM(Table22[[#This Row],[Continent]]))</f>
        <v>13</v>
      </c>
      <c r="J1173" s="64">
        <f>LEN(TRIM(Table22[[#This Row],[Product]]))</f>
        <v>10</v>
      </c>
      <c r="K1173" s="64">
        <f>LEN(TRIM(Table22[[#This Row],[Sales Team]]))</f>
        <v>10</v>
      </c>
      <c r="L1173" s="23">
        <v>22</v>
      </c>
      <c r="M1173" s="65" t="str" cm="1">
        <f t="array" ref="M1173">_xlfn.IFS(Table22[[#This Row],[Units Sold]]&lt;40,"Critical",Table22[[#This Row],[Units Sold]]&lt;=50,"Poor",Table22[[#This Row],[Units Sold]]&lt;=60,"Low",Table22[[#This Row],[Units Sold]]&lt;=80,"Average",Table22[[#This Row],[Units Sold]]&lt;=90,"High",Table22[[#This Row],[Units Sold]]&lt;=95,"Excellent",Table22[[#This Row],[Units Sold]]&gt;95,"Outstanding")</f>
        <v>Critical</v>
      </c>
      <c r="N1173" s="29">
        <v>1059.83</v>
      </c>
      <c r="O1173" s="29">
        <v>23316.26</v>
      </c>
      <c r="P1173" s="43">
        <f>IF(Table22[[#This Row],[Discount Applied]],Table22[[#This Row],[Total Sales (in USD)]]*(1-Table22[[#This Row],[Discount Percentage (%)]]/100),Table22[[#This Row],[Total Sales (in USD)]])</f>
        <v>22793.975775999999</v>
      </c>
      <c r="Q1173" s="66">
        <f>SQRT(AVERAGE((Table22[[#This Row],[Net Sales (after discount) (in USD)]]-AVERAGE(Table22[Net Sales (after discount) (in USD)]))^2))</f>
        <v>13717.384787764538</v>
      </c>
      <c r="R1173" s="18" t="b">
        <v>1</v>
      </c>
      <c r="S1173" s="40">
        <v>2.2400000000000002</v>
      </c>
      <c r="T1173" s="18" t="b">
        <v>1</v>
      </c>
      <c r="U1173" s="25">
        <v>45191</v>
      </c>
      <c r="V1173" s="63" t="str">
        <f>IF(MONTH(Table22[[#This Row],[Sales Date]])&lt;=3,"Q1",IF(MONTH(Table22[[#This Row],[Sales Date]])&lt;=6,"Q2",IF(MONTH(Table22[[#This Row],[Sales Date]])&lt;=9,"Q3","Q4")))</f>
        <v>Q3</v>
      </c>
      <c r="W1173" s="64">
        <f>YEAR(Table22[[#This Row],[Sales Date]])</f>
        <v>2023</v>
      </c>
      <c r="X1173" s="23">
        <v>51</v>
      </c>
      <c r="Y1173" s="18" t="s">
        <v>41</v>
      </c>
      <c r="Z1173" s="18" t="s">
        <v>30</v>
      </c>
      <c r="AA1173" s="19" t="s">
        <v>36</v>
      </c>
    </row>
    <row r="1174" spans="1:27" x14ac:dyDescent="0.25">
      <c r="A1174" s="17" t="s">
        <v>1592</v>
      </c>
      <c r="B1174" s="18" t="s">
        <v>72</v>
      </c>
      <c r="C1174" s="63" t="str" cm="1">
        <f t="array" ref="C1174">_xlfn.SWITCH(Table22[[#This Row],[Country]],"USA","North America","Canada","North America","Brazil","South America","China","Asia","Japan","Asia","India","Asia","France","Europe","Germany","Europe","UK","Europe","Australia","Oceania","South America")</f>
        <v>North America</v>
      </c>
      <c r="D1174" s="18" t="s">
        <v>44</v>
      </c>
      <c r="E1174" s="18" t="s">
        <v>33</v>
      </c>
      <c r="F1174" s="18" t="s">
        <v>47</v>
      </c>
      <c r="G1174" s="18" t="s">
        <v>40</v>
      </c>
      <c r="H1174" s="64">
        <f>LEN(TRIM(Table22[[#This Row],[Country]]))</f>
        <v>3</v>
      </c>
      <c r="I1174" s="64">
        <f>LEN(TRIM(Table22[[#This Row],[Continent]]))</f>
        <v>13</v>
      </c>
      <c r="J1174" s="64">
        <f>LEN(TRIM(Table22[[#This Row],[Product]]))</f>
        <v>10</v>
      </c>
      <c r="K1174" s="64">
        <f>LEN(TRIM(Table22[[#This Row],[Sales Team]]))</f>
        <v>10</v>
      </c>
      <c r="L1174" s="23">
        <v>75</v>
      </c>
      <c r="M1174" s="65" t="str" cm="1">
        <f t="array" ref="M1174">_xlfn.IFS(Table22[[#This Row],[Units Sold]]&lt;40,"Critical",Table22[[#This Row],[Units Sold]]&lt;=50,"Poor",Table22[[#This Row],[Units Sold]]&lt;=60,"Low",Table22[[#This Row],[Units Sold]]&lt;=80,"Average",Table22[[#This Row],[Units Sold]]&lt;=90,"High",Table22[[#This Row],[Units Sold]]&lt;=95,"Excellent",Table22[[#This Row],[Units Sold]]&gt;95,"Outstanding")</f>
        <v>Average</v>
      </c>
      <c r="N1174" s="29">
        <v>310.43</v>
      </c>
      <c r="O1174" s="29">
        <v>23282.25</v>
      </c>
      <c r="P1174" s="43">
        <f>IF(Table22[[#This Row],[Discount Applied]],Table22[[#This Row],[Total Sales (in USD)]]*(1-Table22[[#This Row],[Discount Percentage (%)]]/100),Table22[[#This Row],[Total Sales (in USD)]])</f>
        <v>23282.25</v>
      </c>
      <c r="Q1174" s="66">
        <f>SQRT(AVERAGE((Table22[[#This Row],[Net Sales (after discount) (in USD)]]-AVERAGE(Table22[Net Sales (after discount) (in USD)]))^2))</f>
        <v>13229.110563764538</v>
      </c>
      <c r="R1174" s="18" t="b">
        <v>0</v>
      </c>
      <c r="S1174" s="40">
        <v>17.350000000000001</v>
      </c>
      <c r="T1174" s="18" t="b">
        <v>0</v>
      </c>
      <c r="U1174" s="25">
        <v>45141</v>
      </c>
      <c r="V1174" s="63" t="str">
        <f>IF(MONTH(Table22[[#This Row],[Sales Date]])&lt;=3,"Q1",IF(MONTH(Table22[[#This Row],[Sales Date]])&lt;=6,"Q2",IF(MONTH(Table22[[#This Row],[Sales Date]])&lt;=9,"Q3","Q4")))</f>
        <v>Q3</v>
      </c>
      <c r="W1174" s="64">
        <f>YEAR(Table22[[#This Row],[Sales Date]])</f>
        <v>2023</v>
      </c>
      <c r="X1174" s="23">
        <v>20</v>
      </c>
      <c r="Y1174" s="18" t="s">
        <v>41</v>
      </c>
      <c r="Z1174" s="18" t="s">
        <v>30</v>
      </c>
      <c r="AA1174" s="19" t="s">
        <v>25</v>
      </c>
    </row>
    <row r="1175" spans="1:27" x14ac:dyDescent="0.25">
      <c r="A1175" s="17" t="s">
        <v>518</v>
      </c>
      <c r="B1175" s="18" t="s">
        <v>46</v>
      </c>
      <c r="C1175" s="63" t="str" cm="1">
        <f t="array" ref="C1175">_xlfn.SWITCH(Table22[[#This Row],[Country]],"USA","North America","Canada","North America","Brazil","South America","China","Asia","Japan","Asia","India","Asia","France","Europe","Germany","Europe","UK","Europe","Australia","Oceania","South America")</f>
        <v>South America</v>
      </c>
      <c r="D1175" s="18" t="s">
        <v>44</v>
      </c>
      <c r="E1175" s="18" t="s">
        <v>33</v>
      </c>
      <c r="F1175" s="18" t="s">
        <v>52</v>
      </c>
      <c r="G1175" s="18" t="s">
        <v>48</v>
      </c>
      <c r="H1175" s="64">
        <f>LEN(TRIM(Table22[[#This Row],[Country]]))</f>
        <v>6</v>
      </c>
      <c r="I1175" s="64">
        <f>LEN(TRIM(Table22[[#This Row],[Continent]]))</f>
        <v>13</v>
      </c>
      <c r="J1175" s="64">
        <f>LEN(TRIM(Table22[[#This Row],[Product]]))</f>
        <v>10</v>
      </c>
      <c r="K1175" s="64">
        <f>LEN(TRIM(Table22[[#This Row],[Sales Team]]))</f>
        <v>9</v>
      </c>
      <c r="L1175" s="23">
        <v>19</v>
      </c>
      <c r="M1175" s="65" t="str" cm="1">
        <f t="array" ref="M1175">_xlfn.IFS(Table22[[#This Row],[Units Sold]]&lt;40,"Critical",Table22[[#This Row],[Units Sold]]&lt;=50,"Poor",Table22[[#This Row],[Units Sold]]&lt;=60,"Low",Table22[[#This Row],[Units Sold]]&lt;=80,"Average",Table22[[#This Row],[Units Sold]]&lt;=90,"High",Table22[[#This Row],[Units Sold]]&lt;=95,"Excellent",Table22[[#This Row],[Units Sold]]&gt;95,"Outstanding")</f>
        <v>Critical</v>
      </c>
      <c r="N1175" s="29">
        <v>1225.03</v>
      </c>
      <c r="O1175" s="29">
        <v>23275.57</v>
      </c>
      <c r="P1175" s="43">
        <f>IF(Table22[[#This Row],[Discount Applied]],Table22[[#This Row],[Total Sales (in USD)]]*(1-Table22[[#This Row],[Discount Percentage (%)]]/100),Table22[[#This Row],[Total Sales (in USD)]])</f>
        <v>23275.57</v>
      </c>
      <c r="Q1175" s="66">
        <f>SQRT(AVERAGE((Table22[[#This Row],[Net Sales (after discount) (in USD)]]-AVERAGE(Table22[Net Sales (after discount) (in USD)]))^2))</f>
        <v>13235.790563764538</v>
      </c>
      <c r="R1175" s="18" t="b">
        <v>0</v>
      </c>
      <c r="S1175" s="40">
        <v>23.83</v>
      </c>
      <c r="T1175" s="18" t="b">
        <v>0</v>
      </c>
      <c r="U1175" s="25">
        <v>45287</v>
      </c>
      <c r="V1175" s="63" t="str">
        <f>IF(MONTH(Table22[[#This Row],[Sales Date]])&lt;=3,"Q1",IF(MONTH(Table22[[#This Row],[Sales Date]])&lt;=6,"Q2",IF(MONTH(Table22[[#This Row],[Sales Date]])&lt;=9,"Q3","Q4")))</f>
        <v>Q4</v>
      </c>
      <c r="W1175" s="64">
        <f>YEAR(Table22[[#This Row],[Sales Date]])</f>
        <v>2023</v>
      </c>
      <c r="X1175" s="23">
        <v>68</v>
      </c>
      <c r="Y1175" s="18" t="s">
        <v>41</v>
      </c>
      <c r="Z1175" s="18" t="s">
        <v>30</v>
      </c>
      <c r="AA1175" s="19" t="s">
        <v>36</v>
      </c>
    </row>
    <row r="1176" spans="1:27" x14ac:dyDescent="0.25">
      <c r="A1176" s="17" t="s">
        <v>1338</v>
      </c>
      <c r="B1176" s="18" t="s">
        <v>18</v>
      </c>
      <c r="C1176" s="63" t="str" cm="1">
        <f t="array" ref="C1176">_xlfn.SWITCH(Table22[[#This Row],[Country]],"USA","North America","Canada","North America","Brazil","South America","China","Asia","Japan","Asia","India","Asia","France","Europe","Germany","Europe","UK","Europe","Australia","Oceania","South America")</f>
        <v>Asia</v>
      </c>
      <c r="D1176" s="18" t="s">
        <v>21</v>
      </c>
      <c r="E1176" s="18" t="s">
        <v>39</v>
      </c>
      <c r="F1176" s="18" t="s">
        <v>47</v>
      </c>
      <c r="G1176" s="18" t="s">
        <v>22</v>
      </c>
      <c r="H1176" s="64">
        <f>LEN(TRIM(Table22[[#This Row],[Country]]))</f>
        <v>5</v>
      </c>
      <c r="I1176" s="64">
        <f>LEN(TRIM(Table22[[#This Row],[Continent]]))</f>
        <v>4</v>
      </c>
      <c r="J1176" s="64">
        <f>LEN(TRIM(Table22[[#This Row],[Product]]))</f>
        <v>10</v>
      </c>
      <c r="K1176" s="64">
        <f>LEN(TRIM(Table22[[#This Row],[Sales Team]]))</f>
        <v>10</v>
      </c>
      <c r="L1176" s="23">
        <v>72</v>
      </c>
      <c r="M1176" s="65" t="str" cm="1">
        <f t="array" ref="M1176">_xlfn.IFS(Table22[[#This Row],[Units Sold]]&lt;40,"Critical",Table22[[#This Row],[Units Sold]]&lt;=50,"Poor",Table22[[#This Row],[Units Sold]]&lt;=60,"Low",Table22[[#This Row],[Units Sold]]&lt;=80,"Average",Table22[[#This Row],[Units Sold]]&lt;=90,"High",Table22[[#This Row],[Units Sold]]&lt;=95,"Excellent",Table22[[#This Row],[Units Sold]]&gt;95,"Outstanding")</f>
        <v>Average</v>
      </c>
      <c r="N1176" s="29">
        <v>323.13</v>
      </c>
      <c r="O1176" s="29">
        <v>23265.360000000001</v>
      </c>
      <c r="P1176" s="43">
        <f>IF(Table22[[#This Row],[Discount Applied]],Table22[[#This Row],[Total Sales (in USD)]]*(1-Table22[[#This Row],[Discount Percentage (%)]]/100),Table22[[#This Row],[Total Sales (in USD)]])</f>
        <v>23265.360000000001</v>
      </c>
      <c r="Q1176" s="66">
        <f>SQRT(AVERAGE((Table22[[#This Row],[Net Sales (after discount) (in USD)]]-AVERAGE(Table22[Net Sales (after discount) (in USD)]))^2))</f>
        <v>13246.000563764537</v>
      </c>
      <c r="R1176" s="18" t="b">
        <v>0</v>
      </c>
      <c r="S1176" s="40">
        <v>5.39</v>
      </c>
      <c r="T1176" s="18" t="b">
        <v>0</v>
      </c>
      <c r="U1176" s="25">
        <v>45053</v>
      </c>
      <c r="V1176" s="63" t="str">
        <f>IF(MONTH(Table22[[#This Row],[Sales Date]])&lt;=3,"Q1",IF(MONTH(Table22[[#This Row],[Sales Date]])&lt;=6,"Q2",IF(MONTH(Table22[[#This Row],[Sales Date]])&lt;=9,"Q3","Q4")))</f>
        <v>Q2</v>
      </c>
      <c r="W1176" s="64">
        <f>YEAR(Table22[[#This Row],[Sales Date]])</f>
        <v>2023</v>
      </c>
      <c r="X1176" s="23">
        <v>19</v>
      </c>
      <c r="Y1176" s="18" t="s">
        <v>23</v>
      </c>
      <c r="Z1176" s="18" t="s">
        <v>30</v>
      </c>
      <c r="AA1176" s="19" t="s">
        <v>25</v>
      </c>
    </row>
    <row r="1177" spans="1:27" x14ac:dyDescent="0.25">
      <c r="A1177" s="17" t="s">
        <v>825</v>
      </c>
      <c r="B1177" s="18" t="s">
        <v>32</v>
      </c>
      <c r="C1177" s="63" t="str" cm="1">
        <f t="array" ref="C1177">_xlfn.SWITCH(Table22[[#This Row],[Country]],"USA","North America","Canada","North America","Brazil","South America","China","Asia","Japan","Asia","India","Asia","France","Europe","Germany","Europe","UK","Europe","Australia","Oceania","South America")</f>
        <v>Asia</v>
      </c>
      <c r="D1177" s="18" t="s">
        <v>35</v>
      </c>
      <c r="E1177" s="18" t="s">
        <v>39</v>
      </c>
      <c r="F1177" s="18" t="s">
        <v>20</v>
      </c>
      <c r="G1177" s="18" t="s">
        <v>22</v>
      </c>
      <c r="H1177" s="64">
        <f>LEN(TRIM(Table22[[#This Row],[Country]]))</f>
        <v>5</v>
      </c>
      <c r="I1177" s="64">
        <f>LEN(TRIM(Table22[[#This Row],[Continent]]))</f>
        <v>4</v>
      </c>
      <c r="J1177" s="64">
        <f>LEN(TRIM(Table22[[#This Row],[Product]]))</f>
        <v>10</v>
      </c>
      <c r="K1177" s="64">
        <f>LEN(TRIM(Table22[[#This Row],[Sales Team]]))</f>
        <v>10</v>
      </c>
      <c r="L1177" s="23">
        <v>89</v>
      </c>
      <c r="M1177" s="65" t="str" cm="1">
        <f t="array" ref="M1177">_xlfn.IFS(Table22[[#This Row],[Units Sold]]&lt;40,"Critical",Table22[[#This Row],[Units Sold]]&lt;=50,"Poor",Table22[[#This Row],[Units Sold]]&lt;=60,"Low",Table22[[#This Row],[Units Sold]]&lt;=80,"Average",Table22[[#This Row],[Units Sold]]&lt;=90,"High",Table22[[#This Row],[Units Sold]]&lt;=95,"Excellent",Table22[[#This Row],[Units Sold]]&gt;95,"Outstanding")</f>
        <v>High</v>
      </c>
      <c r="N1177" s="29">
        <v>260.3</v>
      </c>
      <c r="O1177" s="29">
        <v>23166.7</v>
      </c>
      <c r="P1177" s="43">
        <f>IF(Table22[[#This Row],[Discount Applied]],Table22[[#This Row],[Total Sales (in USD)]]*(1-Table22[[#This Row],[Discount Percentage (%)]]/100),Table22[[#This Row],[Total Sales (in USD)]])</f>
        <v>23166.7</v>
      </c>
      <c r="Q1177" s="66">
        <f>SQRT(AVERAGE((Table22[[#This Row],[Net Sales (after discount) (in USD)]]-AVERAGE(Table22[Net Sales (after discount) (in USD)]))^2))</f>
        <v>13344.660563764537</v>
      </c>
      <c r="R1177" s="18" t="b">
        <v>1</v>
      </c>
      <c r="S1177" s="40">
        <v>28.14</v>
      </c>
      <c r="T1177" s="18" t="b">
        <v>0</v>
      </c>
      <c r="U1177" s="25">
        <v>45017</v>
      </c>
      <c r="V1177" s="63" t="str">
        <f>IF(MONTH(Table22[[#This Row],[Sales Date]])&lt;=3,"Q1",IF(MONTH(Table22[[#This Row],[Sales Date]])&lt;=6,"Q2",IF(MONTH(Table22[[#This Row],[Sales Date]])&lt;=9,"Q3","Q4")))</f>
        <v>Q2</v>
      </c>
      <c r="W1177" s="64">
        <f>YEAR(Table22[[#This Row],[Sales Date]])</f>
        <v>2023</v>
      </c>
      <c r="X1177" s="23">
        <v>23</v>
      </c>
      <c r="Y1177" s="18" t="s">
        <v>41</v>
      </c>
      <c r="Z1177" s="18" t="s">
        <v>30</v>
      </c>
      <c r="AA1177" s="19" t="s">
        <v>36</v>
      </c>
    </row>
    <row r="1178" spans="1:27" x14ac:dyDescent="0.25">
      <c r="A1178" s="17" t="s">
        <v>1299</v>
      </c>
      <c r="B1178" s="18" t="s">
        <v>51</v>
      </c>
      <c r="C1178" s="63" t="str" cm="1">
        <f t="array" ref="C1178">_xlfn.SWITCH(Table22[[#This Row],[Country]],"USA","North America","Canada","North America","Brazil","South America","China","Asia","Japan","Asia","India","Asia","France","Europe","Germany","Europe","UK","Europe","Australia","Oceania","South America")</f>
        <v>Europe</v>
      </c>
      <c r="D1178" s="18" t="s">
        <v>35</v>
      </c>
      <c r="E1178" s="18" t="s">
        <v>33</v>
      </c>
      <c r="F1178" s="18" t="s">
        <v>34</v>
      </c>
      <c r="G1178" s="18" t="s">
        <v>48</v>
      </c>
      <c r="H1178" s="64">
        <f>LEN(TRIM(Table22[[#This Row],[Country]]))</f>
        <v>2</v>
      </c>
      <c r="I1178" s="64">
        <f>LEN(TRIM(Table22[[#This Row],[Continent]]))</f>
        <v>6</v>
      </c>
      <c r="J1178" s="64">
        <f>LEN(TRIM(Table22[[#This Row],[Product]]))</f>
        <v>10</v>
      </c>
      <c r="K1178" s="64">
        <f>LEN(TRIM(Table22[[#This Row],[Sales Team]]))</f>
        <v>9</v>
      </c>
      <c r="L1178" s="23">
        <v>75</v>
      </c>
      <c r="M1178" s="65" t="str" cm="1">
        <f t="array" ref="M1178">_xlfn.IFS(Table22[[#This Row],[Units Sold]]&lt;40,"Critical",Table22[[#This Row],[Units Sold]]&lt;=50,"Poor",Table22[[#This Row],[Units Sold]]&lt;=60,"Low",Table22[[#This Row],[Units Sold]]&lt;=80,"Average",Table22[[#This Row],[Units Sold]]&lt;=90,"High",Table22[[#This Row],[Units Sold]]&lt;=95,"Excellent",Table22[[#This Row],[Units Sold]]&gt;95,"Outstanding")</f>
        <v>Average</v>
      </c>
      <c r="N1178" s="29">
        <v>308.13</v>
      </c>
      <c r="O1178" s="29">
        <v>23109.75</v>
      </c>
      <c r="P1178" s="43">
        <f>IF(Table22[[#This Row],[Discount Applied]],Table22[[#This Row],[Total Sales (in USD)]]*(1-Table22[[#This Row],[Discount Percentage (%)]]/100),Table22[[#This Row],[Total Sales (in USD)]])</f>
        <v>16983.355275000002</v>
      </c>
      <c r="Q1178" s="66">
        <f>SQRT(AVERAGE((Table22[[#This Row],[Net Sales (after discount) (in USD)]]-AVERAGE(Table22[Net Sales (after discount) (in USD)]))^2))</f>
        <v>19528.005288764536</v>
      </c>
      <c r="R1178" s="18" t="b">
        <v>1</v>
      </c>
      <c r="S1178" s="40">
        <v>26.51</v>
      </c>
      <c r="T1178" s="18" t="b">
        <v>1</v>
      </c>
      <c r="U1178" s="25">
        <v>45166</v>
      </c>
      <c r="V1178" s="63" t="str">
        <f>IF(MONTH(Table22[[#This Row],[Sales Date]])&lt;=3,"Q1",IF(MONTH(Table22[[#This Row],[Sales Date]])&lt;=6,"Q2",IF(MONTH(Table22[[#This Row],[Sales Date]])&lt;=9,"Q3","Q4")))</f>
        <v>Q3</v>
      </c>
      <c r="W1178" s="64">
        <f>YEAR(Table22[[#This Row],[Sales Date]])</f>
        <v>2023</v>
      </c>
      <c r="X1178" s="23">
        <v>50</v>
      </c>
      <c r="Y1178" s="18" t="s">
        <v>23</v>
      </c>
      <c r="Z1178" s="18" t="s">
        <v>42</v>
      </c>
      <c r="AA1178" s="19" t="s">
        <v>36</v>
      </c>
    </row>
    <row r="1179" spans="1:27" x14ac:dyDescent="0.25">
      <c r="A1179" s="17" t="s">
        <v>1202</v>
      </c>
      <c r="B1179" s="18" t="s">
        <v>27</v>
      </c>
      <c r="C1179" s="63" t="str" cm="1">
        <f t="array" ref="C1179">_xlfn.SWITCH(Table22[[#This Row],[Country]],"USA","North America","Canada","North America","Brazil","South America","China","Asia","Japan","Asia","India","Asia","France","Europe","Germany","Europe","UK","Europe","Australia","Oceania","South America")</f>
        <v>Europe</v>
      </c>
      <c r="D1179" s="18" t="s">
        <v>44</v>
      </c>
      <c r="E1179" s="18" t="s">
        <v>33</v>
      </c>
      <c r="F1179" s="18" t="s">
        <v>64</v>
      </c>
      <c r="G1179" s="18" t="s">
        <v>40</v>
      </c>
      <c r="H1179" s="64">
        <f>LEN(TRIM(Table22[[#This Row],[Country]]))</f>
        <v>7</v>
      </c>
      <c r="I1179" s="64">
        <f>LEN(TRIM(Table22[[#This Row],[Continent]]))</f>
        <v>6</v>
      </c>
      <c r="J1179" s="64">
        <f>LEN(TRIM(Table22[[#This Row],[Product]]))</f>
        <v>10</v>
      </c>
      <c r="K1179" s="64">
        <f>LEN(TRIM(Table22[[#This Row],[Sales Team]]))</f>
        <v>10</v>
      </c>
      <c r="L1179" s="23">
        <v>72</v>
      </c>
      <c r="M1179" s="65" t="str" cm="1">
        <f t="array" ref="M1179">_xlfn.IFS(Table22[[#This Row],[Units Sold]]&lt;40,"Critical",Table22[[#This Row],[Units Sold]]&lt;=50,"Poor",Table22[[#This Row],[Units Sold]]&lt;=60,"Low",Table22[[#This Row],[Units Sold]]&lt;=80,"Average",Table22[[#This Row],[Units Sold]]&lt;=90,"High",Table22[[#This Row],[Units Sold]]&lt;=95,"Excellent",Table22[[#This Row],[Units Sold]]&gt;95,"Outstanding")</f>
        <v>Average</v>
      </c>
      <c r="N1179" s="29">
        <v>320.83</v>
      </c>
      <c r="O1179" s="29">
        <v>23099.759999999998</v>
      </c>
      <c r="P1179" s="43">
        <f>IF(Table22[[#This Row],[Discount Applied]],Table22[[#This Row],[Total Sales (in USD)]]*(1-Table22[[#This Row],[Discount Percentage (%)]]/100),Table22[[#This Row],[Total Sales (in USD)]])</f>
        <v>23099.759999999998</v>
      </c>
      <c r="Q1179" s="66">
        <f>SQRT(AVERAGE((Table22[[#This Row],[Net Sales (after discount) (in USD)]]-AVERAGE(Table22[Net Sales (after discount) (in USD)]))^2))</f>
        <v>13411.600563764539</v>
      </c>
      <c r="R1179" s="18" t="b">
        <v>1</v>
      </c>
      <c r="S1179" s="40">
        <v>14.47</v>
      </c>
      <c r="T1179" s="18" t="b">
        <v>0</v>
      </c>
      <c r="U1179" s="25">
        <v>45000</v>
      </c>
      <c r="V1179" s="63" t="str">
        <f>IF(MONTH(Table22[[#This Row],[Sales Date]])&lt;=3,"Q1",IF(MONTH(Table22[[#This Row],[Sales Date]])&lt;=6,"Q2",IF(MONTH(Table22[[#This Row],[Sales Date]])&lt;=9,"Q3","Q4")))</f>
        <v>Q1</v>
      </c>
      <c r="W1179" s="64">
        <f>YEAR(Table22[[#This Row],[Sales Date]])</f>
        <v>2023</v>
      </c>
      <c r="X1179" s="23">
        <v>68</v>
      </c>
      <c r="Y1179" s="18" t="s">
        <v>41</v>
      </c>
      <c r="Z1179" s="18" t="s">
        <v>42</v>
      </c>
      <c r="AA1179" s="19" t="s">
        <v>36</v>
      </c>
    </row>
    <row r="1180" spans="1:27" x14ac:dyDescent="0.25">
      <c r="A1180" s="17" t="s">
        <v>1776</v>
      </c>
      <c r="B1180" s="18" t="s">
        <v>18</v>
      </c>
      <c r="C1180" s="63" t="str" cm="1">
        <f t="array" ref="C1180">_xlfn.SWITCH(Table22[[#This Row],[Country]],"USA","North America","Canada","North America","Brazil","South America","China","Asia","Japan","Asia","India","Asia","France","Europe","Germany","Europe","UK","Europe","Australia","Oceania","South America")</f>
        <v>Asia</v>
      </c>
      <c r="D1180" s="18" t="s">
        <v>35</v>
      </c>
      <c r="E1180" s="18" t="s">
        <v>33</v>
      </c>
      <c r="F1180" s="18" t="s">
        <v>34</v>
      </c>
      <c r="G1180" s="18" t="s">
        <v>48</v>
      </c>
      <c r="H1180" s="64">
        <f>LEN(TRIM(Table22[[#This Row],[Country]]))</f>
        <v>5</v>
      </c>
      <c r="I1180" s="64">
        <f>LEN(TRIM(Table22[[#This Row],[Continent]]))</f>
        <v>4</v>
      </c>
      <c r="J1180" s="64">
        <f>LEN(TRIM(Table22[[#This Row],[Product]]))</f>
        <v>10</v>
      </c>
      <c r="K1180" s="64">
        <f>LEN(TRIM(Table22[[#This Row],[Sales Team]]))</f>
        <v>9</v>
      </c>
      <c r="L1180" s="23">
        <v>49</v>
      </c>
      <c r="M1180" s="65" t="str" cm="1">
        <f t="array" ref="M1180">_xlfn.IFS(Table22[[#This Row],[Units Sold]]&lt;40,"Critical",Table22[[#This Row],[Units Sold]]&lt;=50,"Poor",Table22[[#This Row],[Units Sold]]&lt;=60,"Low",Table22[[#This Row],[Units Sold]]&lt;=80,"Average",Table22[[#This Row],[Units Sold]]&lt;=90,"High",Table22[[#This Row],[Units Sold]]&lt;=95,"Excellent",Table22[[#This Row],[Units Sold]]&gt;95,"Outstanding")</f>
        <v>Poor</v>
      </c>
      <c r="N1180" s="29">
        <v>470.93</v>
      </c>
      <c r="O1180" s="29">
        <v>23075.57</v>
      </c>
      <c r="P1180" s="43">
        <f>IF(Table22[[#This Row],[Discount Applied]],Table22[[#This Row],[Total Sales (in USD)]]*(1-Table22[[#This Row],[Discount Percentage (%)]]/100),Table22[[#This Row],[Total Sales (in USD)]])</f>
        <v>23075.57</v>
      </c>
      <c r="Q1180" s="66">
        <f>SQRT(AVERAGE((Table22[[#This Row],[Net Sales (after discount) (in USD)]]-AVERAGE(Table22[Net Sales (after discount) (in USD)]))^2))</f>
        <v>13435.790563764538</v>
      </c>
      <c r="R1180" s="18" t="b">
        <v>0</v>
      </c>
      <c r="S1180" s="40">
        <v>22.94</v>
      </c>
      <c r="T1180" s="18" t="b">
        <v>0</v>
      </c>
      <c r="U1180" s="25">
        <v>45540</v>
      </c>
      <c r="V1180" s="63" t="str">
        <f>IF(MONTH(Table22[[#This Row],[Sales Date]])&lt;=3,"Q1",IF(MONTH(Table22[[#This Row],[Sales Date]])&lt;=6,"Q2",IF(MONTH(Table22[[#This Row],[Sales Date]])&lt;=9,"Q3","Q4")))</f>
        <v>Q3</v>
      </c>
      <c r="W1180" s="64">
        <f>YEAR(Table22[[#This Row],[Sales Date]])</f>
        <v>2024</v>
      </c>
      <c r="X1180" s="23">
        <v>41</v>
      </c>
      <c r="Y1180" s="18" t="s">
        <v>49</v>
      </c>
      <c r="Z1180" s="18" t="s">
        <v>30</v>
      </c>
      <c r="AA1180" s="19" t="s">
        <v>36</v>
      </c>
    </row>
    <row r="1181" spans="1:27" x14ac:dyDescent="0.25">
      <c r="A1181" s="17" t="s">
        <v>1807</v>
      </c>
      <c r="B1181" s="18" t="s">
        <v>72</v>
      </c>
      <c r="C1181" s="63" t="str" cm="1">
        <f t="array" ref="C1181">_xlfn.SWITCH(Table22[[#This Row],[Country]],"USA","North America","Canada","North America","Brazil","South America","China","Asia","Japan","Asia","India","Asia","France","Europe","Germany","Europe","UK","Europe","Australia","Oceania","South America")</f>
        <v>North America</v>
      </c>
      <c r="D1181" s="18" t="s">
        <v>21</v>
      </c>
      <c r="E1181" s="18" t="s">
        <v>39</v>
      </c>
      <c r="F1181" s="18" t="s">
        <v>34</v>
      </c>
      <c r="G1181" s="18" t="s">
        <v>48</v>
      </c>
      <c r="H1181" s="64">
        <f>LEN(TRIM(Table22[[#This Row],[Country]]))</f>
        <v>3</v>
      </c>
      <c r="I1181" s="64">
        <f>LEN(TRIM(Table22[[#This Row],[Continent]]))</f>
        <v>13</v>
      </c>
      <c r="J1181" s="64">
        <f>LEN(TRIM(Table22[[#This Row],[Product]]))</f>
        <v>10</v>
      </c>
      <c r="K1181" s="64">
        <f>LEN(TRIM(Table22[[#This Row],[Sales Team]]))</f>
        <v>9</v>
      </c>
      <c r="L1181" s="23">
        <v>66</v>
      </c>
      <c r="M1181" s="65" t="str" cm="1">
        <f t="array" ref="M1181">_xlfn.IFS(Table22[[#This Row],[Units Sold]]&lt;40,"Critical",Table22[[#This Row],[Units Sold]]&lt;=50,"Poor",Table22[[#This Row],[Units Sold]]&lt;=60,"Low",Table22[[#This Row],[Units Sold]]&lt;=80,"Average",Table22[[#This Row],[Units Sold]]&lt;=90,"High",Table22[[#This Row],[Units Sold]]&lt;=95,"Excellent",Table22[[#This Row],[Units Sold]]&gt;95,"Outstanding")</f>
        <v>Average</v>
      </c>
      <c r="N1181" s="29">
        <v>349.35</v>
      </c>
      <c r="O1181" s="29">
        <v>23057.1</v>
      </c>
      <c r="P1181" s="43">
        <f>IF(Table22[[#This Row],[Discount Applied]],Table22[[#This Row],[Total Sales (in USD)]]*(1-Table22[[#This Row],[Discount Percentage (%)]]/100),Table22[[#This Row],[Total Sales (in USD)]])</f>
        <v>23057.1</v>
      </c>
      <c r="Q1181" s="66">
        <f>SQRT(AVERAGE((Table22[[#This Row],[Net Sales (after discount) (in USD)]]-AVERAGE(Table22[Net Sales (after discount) (in USD)]))^2))</f>
        <v>13454.260563764539</v>
      </c>
      <c r="R1181" s="18" t="b">
        <v>1</v>
      </c>
      <c r="S1181" s="40">
        <v>3.78</v>
      </c>
      <c r="T1181" s="18" t="b">
        <v>0</v>
      </c>
      <c r="U1181" s="25">
        <v>45318</v>
      </c>
      <c r="V1181" s="63" t="str">
        <f>IF(MONTH(Table22[[#This Row],[Sales Date]])&lt;=3,"Q1",IF(MONTH(Table22[[#This Row],[Sales Date]])&lt;=6,"Q2",IF(MONTH(Table22[[#This Row],[Sales Date]])&lt;=9,"Q3","Q4")))</f>
        <v>Q1</v>
      </c>
      <c r="W1181" s="64">
        <f>YEAR(Table22[[#This Row],[Sales Date]])</f>
        <v>2024</v>
      </c>
      <c r="X1181" s="23">
        <v>29</v>
      </c>
      <c r="Y1181" s="18" t="s">
        <v>41</v>
      </c>
      <c r="Z1181" s="18" t="s">
        <v>42</v>
      </c>
      <c r="AA1181" s="19" t="s">
        <v>25</v>
      </c>
    </row>
    <row r="1182" spans="1:27" x14ac:dyDescent="0.25">
      <c r="A1182" s="17" t="s">
        <v>230</v>
      </c>
      <c r="B1182" s="18" t="s">
        <v>66</v>
      </c>
      <c r="C1182" s="63" t="str" cm="1">
        <f t="array" ref="C1182">_xlfn.SWITCH(Table22[[#This Row],[Country]],"USA","North America","Canada","North America","Brazil","South America","China","Asia","Japan","Asia","India","Asia","France","Europe","Germany","Europe","UK","Europe","Australia","Oceania","South America")</f>
        <v>North America</v>
      </c>
      <c r="D1182" s="18" t="s">
        <v>28</v>
      </c>
      <c r="E1182" s="18" t="s">
        <v>39</v>
      </c>
      <c r="F1182" s="18" t="s">
        <v>20</v>
      </c>
      <c r="G1182" s="18" t="s">
        <v>40</v>
      </c>
      <c r="H1182" s="64">
        <f>LEN(TRIM(Table22[[#This Row],[Country]]))</f>
        <v>6</v>
      </c>
      <c r="I1182" s="64">
        <f>LEN(TRIM(Table22[[#This Row],[Continent]]))</f>
        <v>13</v>
      </c>
      <c r="J1182" s="64">
        <f>LEN(TRIM(Table22[[#This Row],[Product]]))</f>
        <v>10</v>
      </c>
      <c r="K1182" s="64">
        <f>LEN(TRIM(Table22[[#This Row],[Sales Team]]))</f>
        <v>10</v>
      </c>
      <c r="L1182" s="23">
        <v>24</v>
      </c>
      <c r="M1182" s="65" t="str" cm="1">
        <f t="array" ref="M1182">_xlfn.IFS(Table22[[#This Row],[Units Sold]]&lt;40,"Critical",Table22[[#This Row],[Units Sold]]&lt;=50,"Poor",Table22[[#This Row],[Units Sold]]&lt;=60,"Low",Table22[[#This Row],[Units Sold]]&lt;=80,"Average",Table22[[#This Row],[Units Sold]]&lt;=90,"High",Table22[[#This Row],[Units Sold]]&lt;=95,"Excellent",Table22[[#This Row],[Units Sold]]&gt;95,"Outstanding")</f>
        <v>Critical</v>
      </c>
      <c r="N1182" s="29">
        <v>959.73</v>
      </c>
      <c r="O1182" s="29">
        <v>23033.52</v>
      </c>
      <c r="P1182" s="43">
        <f>IF(Table22[[#This Row],[Discount Applied]],Table22[[#This Row],[Total Sales (in USD)]]*(1-Table22[[#This Row],[Discount Percentage (%)]]/100),Table22[[#This Row],[Total Sales (in USD)]])</f>
        <v>23033.52</v>
      </c>
      <c r="Q1182" s="66">
        <f>SQRT(AVERAGE((Table22[[#This Row],[Net Sales (after discount) (in USD)]]-AVERAGE(Table22[Net Sales (after discount) (in USD)]))^2))</f>
        <v>13477.840563764537</v>
      </c>
      <c r="R1182" s="18" t="b">
        <v>0</v>
      </c>
      <c r="S1182" s="40">
        <v>27.65</v>
      </c>
      <c r="T1182" s="18" t="b">
        <v>0</v>
      </c>
      <c r="U1182" s="25">
        <v>45530</v>
      </c>
      <c r="V1182" s="63" t="str">
        <f>IF(MONTH(Table22[[#This Row],[Sales Date]])&lt;=3,"Q1",IF(MONTH(Table22[[#This Row],[Sales Date]])&lt;=6,"Q2",IF(MONTH(Table22[[#This Row],[Sales Date]])&lt;=9,"Q3","Q4")))</f>
        <v>Q3</v>
      </c>
      <c r="W1182" s="64">
        <f>YEAR(Table22[[#This Row],[Sales Date]])</f>
        <v>2024</v>
      </c>
      <c r="X1182" s="23">
        <v>21</v>
      </c>
      <c r="Y1182" s="18" t="s">
        <v>23</v>
      </c>
      <c r="Z1182" s="18" t="s">
        <v>24</v>
      </c>
      <c r="AA1182" s="19" t="s">
        <v>36</v>
      </c>
    </row>
    <row r="1183" spans="1:27" x14ac:dyDescent="0.25">
      <c r="A1183" s="17" t="s">
        <v>506</v>
      </c>
      <c r="B1183" s="18" t="s">
        <v>32</v>
      </c>
      <c r="C1183" s="63" t="str" cm="1">
        <f t="array" ref="C1183">_xlfn.SWITCH(Table22[[#This Row],[Country]],"USA","North America","Canada","North America","Brazil","South America","China","Asia","Japan","Asia","India","Asia","France","Europe","Germany","Europe","UK","Europe","Australia","Oceania","South America")</f>
        <v>Asia</v>
      </c>
      <c r="D1183" s="18" t="s">
        <v>35</v>
      </c>
      <c r="E1183" s="18" t="s">
        <v>33</v>
      </c>
      <c r="F1183" s="18" t="s">
        <v>34</v>
      </c>
      <c r="G1183" s="18" t="s">
        <v>22</v>
      </c>
      <c r="H1183" s="64">
        <f>LEN(TRIM(Table22[[#This Row],[Country]]))</f>
        <v>5</v>
      </c>
      <c r="I1183" s="64">
        <f>LEN(TRIM(Table22[[#This Row],[Continent]]))</f>
        <v>4</v>
      </c>
      <c r="J1183" s="64">
        <f>LEN(TRIM(Table22[[#This Row],[Product]]))</f>
        <v>10</v>
      </c>
      <c r="K1183" s="64">
        <f>LEN(TRIM(Table22[[#This Row],[Sales Team]]))</f>
        <v>10</v>
      </c>
      <c r="L1183" s="23">
        <v>30</v>
      </c>
      <c r="M1183" s="65" t="str" cm="1">
        <f t="array" ref="M1183">_xlfn.IFS(Table22[[#This Row],[Units Sold]]&lt;40,"Critical",Table22[[#This Row],[Units Sold]]&lt;=50,"Poor",Table22[[#This Row],[Units Sold]]&lt;=60,"Low",Table22[[#This Row],[Units Sold]]&lt;=80,"Average",Table22[[#This Row],[Units Sold]]&lt;=90,"High",Table22[[#This Row],[Units Sold]]&lt;=95,"Excellent",Table22[[#This Row],[Units Sold]]&gt;95,"Outstanding")</f>
        <v>Critical</v>
      </c>
      <c r="N1183" s="29">
        <v>767.39</v>
      </c>
      <c r="O1183" s="29">
        <v>23021.7</v>
      </c>
      <c r="P1183" s="43">
        <f>IF(Table22[[#This Row],[Discount Applied]],Table22[[#This Row],[Total Sales (in USD)]]*(1-Table22[[#This Row],[Discount Percentage (%)]]/100),Table22[[#This Row],[Total Sales (in USD)]])</f>
        <v>23021.7</v>
      </c>
      <c r="Q1183" s="66">
        <f>SQRT(AVERAGE((Table22[[#This Row],[Net Sales (after discount) (in USD)]]-AVERAGE(Table22[Net Sales (after discount) (in USD)]))^2))</f>
        <v>13489.660563764537</v>
      </c>
      <c r="R1183" s="18" t="b">
        <v>0</v>
      </c>
      <c r="S1183" s="40">
        <v>15.67</v>
      </c>
      <c r="T1183" s="18" t="b">
        <v>0</v>
      </c>
      <c r="U1183" s="25">
        <v>45030</v>
      </c>
      <c r="V1183" s="63" t="str">
        <f>IF(MONTH(Table22[[#This Row],[Sales Date]])&lt;=3,"Q1",IF(MONTH(Table22[[#This Row],[Sales Date]])&lt;=6,"Q2",IF(MONTH(Table22[[#This Row],[Sales Date]])&lt;=9,"Q3","Q4")))</f>
        <v>Q2</v>
      </c>
      <c r="W1183" s="64">
        <f>YEAR(Table22[[#This Row],[Sales Date]])</f>
        <v>2023</v>
      </c>
      <c r="X1183" s="23">
        <v>27</v>
      </c>
      <c r="Y1183" s="18" t="s">
        <v>49</v>
      </c>
      <c r="Z1183" s="18" t="s">
        <v>24</v>
      </c>
      <c r="AA1183" s="19" t="s">
        <v>36</v>
      </c>
    </row>
    <row r="1184" spans="1:27" x14ac:dyDescent="0.25">
      <c r="A1184" s="17" t="s">
        <v>1959</v>
      </c>
      <c r="B1184" s="18" t="s">
        <v>27</v>
      </c>
      <c r="C1184" s="63" t="str" cm="1">
        <f t="array" ref="C1184">_xlfn.SWITCH(Table22[[#This Row],[Country]],"USA","North America","Canada","North America","Brazil","South America","China","Asia","Japan","Asia","India","Asia","France","Europe","Germany","Europe","UK","Europe","Australia","Oceania","South America")</f>
        <v>Europe</v>
      </c>
      <c r="D1184" s="18" t="s">
        <v>21</v>
      </c>
      <c r="E1184" s="18" t="s">
        <v>33</v>
      </c>
      <c r="F1184" s="18" t="s">
        <v>34</v>
      </c>
      <c r="G1184" s="18" t="s">
        <v>40</v>
      </c>
      <c r="H1184" s="64">
        <f>LEN(TRIM(Table22[[#This Row],[Country]]))</f>
        <v>7</v>
      </c>
      <c r="I1184" s="64">
        <f>LEN(TRIM(Table22[[#This Row],[Continent]]))</f>
        <v>6</v>
      </c>
      <c r="J1184" s="64">
        <f>LEN(TRIM(Table22[[#This Row],[Product]]))</f>
        <v>10</v>
      </c>
      <c r="K1184" s="64">
        <f>LEN(TRIM(Table22[[#This Row],[Sales Team]]))</f>
        <v>10</v>
      </c>
      <c r="L1184" s="23">
        <v>80</v>
      </c>
      <c r="M1184" s="65" t="str" cm="1">
        <f t="array" ref="M1184">_xlfn.IFS(Table22[[#This Row],[Units Sold]]&lt;40,"Critical",Table22[[#This Row],[Units Sold]]&lt;=50,"Poor",Table22[[#This Row],[Units Sold]]&lt;=60,"Low",Table22[[#This Row],[Units Sold]]&lt;=80,"Average",Table22[[#This Row],[Units Sold]]&lt;=90,"High",Table22[[#This Row],[Units Sold]]&lt;=95,"Excellent",Table22[[#This Row],[Units Sold]]&gt;95,"Outstanding")</f>
        <v>Average</v>
      </c>
      <c r="N1184" s="29">
        <v>286.23</v>
      </c>
      <c r="O1184" s="29">
        <v>22898.400000000001</v>
      </c>
      <c r="P1184" s="43">
        <f>IF(Table22[[#This Row],[Discount Applied]],Table22[[#This Row],[Total Sales (in USD)]]*(1-Table22[[#This Row],[Discount Percentage (%)]]/100),Table22[[#This Row],[Total Sales (in USD)]])</f>
        <v>20313.17064</v>
      </c>
      <c r="Q1184" s="66">
        <f>SQRT(AVERAGE((Table22[[#This Row],[Net Sales (after discount) (in USD)]]-AVERAGE(Table22[Net Sales (after discount) (in USD)]))^2))</f>
        <v>16198.189923764538</v>
      </c>
      <c r="R1184" s="18" t="b">
        <v>0</v>
      </c>
      <c r="S1184" s="40">
        <v>11.29</v>
      </c>
      <c r="T1184" s="18" t="b">
        <v>1</v>
      </c>
      <c r="U1184" s="25">
        <v>45260</v>
      </c>
      <c r="V1184" s="63" t="str">
        <f>IF(MONTH(Table22[[#This Row],[Sales Date]])&lt;=3,"Q1",IF(MONTH(Table22[[#This Row],[Sales Date]])&lt;=6,"Q2",IF(MONTH(Table22[[#This Row],[Sales Date]])&lt;=9,"Q3","Q4")))</f>
        <v>Q4</v>
      </c>
      <c r="W1184" s="64">
        <f>YEAR(Table22[[#This Row],[Sales Date]])</f>
        <v>2023</v>
      </c>
      <c r="X1184" s="23">
        <v>37</v>
      </c>
      <c r="Y1184" s="18" t="s">
        <v>23</v>
      </c>
      <c r="Z1184" s="18" t="s">
        <v>56</v>
      </c>
      <c r="AA1184" s="19" t="s">
        <v>36</v>
      </c>
    </row>
    <row r="1185" spans="1:27" x14ac:dyDescent="0.25">
      <c r="A1185" s="17" t="s">
        <v>955</v>
      </c>
      <c r="B1185" s="18" t="s">
        <v>66</v>
      </c>
      <c r="C1185" s="63" t="str" cm="1">
        <f t="array" ref="C1185">_xlfn.SWITCH(Table22[[#This Row],[Country]],"USA","North America","Canada","North America","Brazil","South America","China","Asia","Japan","Asia","India","Asia","France","Europe","Germany","Europe","UK","Europe","Australia","Oceania","South America")</f>
        <v>North America</v>
      </c>
      <c r="D1185" s="18" t="s">
        <v>35</v>
      </c>
      <c r="E1185" s="18" t="s">
        <v>39</v>
      </c>
      <c r="F1185" s="18" t="s">
        <v>20</v>
      </c>
      <c r="G1185" s="18" t="s">
        <v>22</v>
      </c>
      <c r="H1185" s="64">
        <f>LEN(TRIM(Table22[[#This Row],[Country]]))</f>
        <v>6</v>
      </c>
      <c r="I1185" s="64">
        <f>LEN(TRIM(Table22[[#This Row],[Continent]]))</f>
        <v>13</v>
      </c>
      <c r="J1185" s="64">
        <f>LEN(TRIM(Table22[[#This Row],[Product]]))</f>
        <v>10</v>
      </c>
      <c r="K1185" s="64">
        <f>LEN(TRIM(Table22[[#This Row],[Sales Team]]))</f>
        <v>10</v>
      </c>
      <c r="L1185" s="23">
        <v>22</v>
      </c>
      <c r="M1185" s="65" t="str" cm="1">
        <f t="array" ref="M1185">_xlfn.IFS(Table22[[#This Row],[Units Sold]]&lt;40,"Critical",Table22[[#This Row],[Units Sold]]&lt;=50,"Poor",Table22[[#This Row],[Units Sold]]&lt;=60,"Low",Table22[[#This Row],[Units Sold]]&lt;=80,"Average",Table22[[#This Row],[Units Sold]]&lt;=90,"High",Table22[[#This Row],[Units Sold]]&lt;=95,"Excellent",Table22[[#This Row],[Units Sold]]&gt;95,"Outstanding")</f>
        <v>Critical</v>
      </c>
      <c r="N1185" s="29">
        <v>1039.95</v>
      </c>
      <c r="O1185" s="29">
        <v>22878.9</v>
      </c>
      <c r="P1185" s="43">
        <f>IF(Table22[[#This Row],[Discount Applied]],Table22[[#This Row],[Total Sales (in USD)]]*(1-Table22[[#This Row],[Discount Percentage (%)]]/100),Table22[[#This Row],[Total Sales (in USD)]])</f>
        <v>22414.458330000001</v>
      </c>
      <c r="Q1185" s="66">
        <f>SQRT(AVERAGE((Table22[[#This Row],[Net Sales (after discount) (in USD)]]-AVERAGE(Table22[Net Sales (after discount) (in USD)]))^2))</f>
        <v>14096.902233764537</v>
      </c>
      <c r="R1185" s="18" t="b">
        <v>1</v>
      </c>
      <c r="S1185" s="40">
        <v>2.0299999999999998</v>
      </c>
      <c r="T1185" s="18" t="b">
        <v>1</v>
      </c>
      <c r="U1185" s="25">
        <v>45476</v>
      </c>
      <c r="V1185" s="63" t="str">
        <f>IF(MONTH(Table22[[#This Row],[Sales Date]])&lt;=3,"Q1",IF(MONTH(Table22[[#This Row],[Sales Date]])&lt;=6,"Q2",IF(MONTH(Table22[[#This Row],[Sales Date]])&lt;=9,"Q3","Q4")))</f>
        <v>Q3</v>
      </c>
      <c r="W1185" s="64">
        <f>YEAR(Table22[[#This Row],[Sales Date]])</f>
        <v>2024</v>
      </c>
      <c r="X1185" s="23">
        <v>25</v>
      </c>
      <c r="Y1185" s="18" t="s">
        <v>41</v>
      </c>
      <c r="Z1185" s="18" t="s">
        <v>56</v>
      </c>
      <c r="AA1185" s="19" t="s">
        <v>25</v>
      </c>
    </row>
    <row r="1186" spans="1:27" x14ac:dyDescent="0.25">
      <c r="A1186" s="17" t="s">
        <v>1033</v>
      </c>
      <c r="B1186" s="18" t="s">
        <v>66</v>
      </c>
      <c r="C1186" s="63" t="str" cm="1">
        <f t="array" ref="C1186">_xlfn.SWITCH(Table22[[#This Row],[Country]],"USA","North America","Canada","North America","Brazil","South America","China","Asia","Japan","Asia","India","Asia","France","Europe","Germany","Europe","UK","Europe","Australia","Oceania","South America")</f>
        <v>North America</v>
      </c>
      <c r="D1186" s="18" t="s">
        <v>35</v>
      </c>
      <c r="E1186" s="18" t="s">
        <v>19</v>
      </c>
      <c r="F1186" s="18" t="s">
        <v>52</v>
      </c>
      <c r="G1186" s="18" t="s">
        <v>48</v>
      </c>
      <c r="H1186" s="64">
        <f>LEN(TRIM(Table22[[#This Row],[Country]]))</f>
        <v>6</v>
      </c>
      <c r="I1186" s="64">
        <f>LEN(TRIM(Table22[[#This Row],[Continent]]))</f>
        <v>13</v>
      </c>
      <c r="J1186" s="64">
        <f>LEN(TRIM(Table22[[#This Row],[Product]]))</f>
        <v>6</v>
      </c>
      <c r="K1186" s="64">
        <f>LEN(TRIM(Table22[[#This Row],[Sales Team]]))</f>
        <v>9</v>
      </c>
      <c r="L1186" s="23">
        <v>82</v>
      </c>
      <c r="M1186" s="65" t="str" cm="1">
        <f t="array" ref="M1186">_xlfn.IFS(Table22[[#This Row],[Units Sold]]&lt;40,"Critical",Table22[[#This Row],[Units Sold]]&lt;=50,"Poor",Table22[[#This Row],[Units Sold]]&lt;=60,"Low",Table22[[#This Row],[Units Sold]]&lt;=80,"Average",Table22[[#This Row],[Units Sold]]&lt;=90,"High",Table22[[#This Row],[Units Sold]]&lt;=95,"Excellent",Table22[[#This Row],[Units Sold]]&gt;95,"Outstanding")</f>
        <v>High</v>
      </c>
      <c r="N1186" s="29">
        <v>278.85000000000002</v>
      </c>
      <c r="O1186" s="29">
        <v>22865.7</v>
      </c>
      <c r="P1186" s="43">
        <f>IF(Table22[[#This Row],[Discount Applied]],Table22[[#This Row],[Total Sales (in USD)]]*(1-Table22[[#This Row],[Discount Percentage (%)]]/100),Table22[[#This Row],[Total Sales (in USD)]])</f>
        <v>22138.570739999999</v>
      </c>
      <c r="Q1186" s="66">
        <f>SQRT(AVERAGE((Table22[[#This Row],[Net Sales (after discount) (in USD)]]-AVERAGE(Table22[Net Sales (after discount) (in USD)]))^2))</f>
        <v>14372.789823764539</v>
      </c>
      <c r="R1186" s="18" t="b">
        <v>0</v>
      </c>
      <c r="S1186" s="40">
        <v>3.18</v>
      </c>
      <c r="T1186" s="18" t="b">
        <v>1</v>
      </c>
      <c r="U1186" s="25">
        <v>45354</v>
      </c>
      <c r="V1186" s="63" t="str">
        <f>IF(MONTH(Table22[[#This Row],[Sales Date]])&lt;=3,"Q1",IF(MONTH(Table22[[#This Row],[Sales Date]])&lt;=6,"Q2",IF(MONTH(Table22[[#This Row],[Sales Date]])&lt;=9,"Q3","Q4")))</f>
        <v>Q1</v>
      </c>
      <c r="W1186" s="64">
        <f>YEAR(Table22[[#This Row],[Sales Date]])</f>
        <v>2024</v>
      </c>
      <c r="X1186" s="23">
        <v>28</v>
      </c>
      <c r="Y1186" s="18" t="s">
        <v>23</v>
      </c>
      <c r="Z1186" s="18" t="s">
        <v>42</v>
      </c>
      <c r="AA1186" s="19" t="s">
        <v>25</v>
      </c>
    </row>
    <row r="1187" spans="1:27" x14ac:dyDescent="0.25">
      <c r="A1187" s="17" t="s">
        <v>814</v>
      </c>
      <c r="B1187" s="18" t="s">
        <v>46</v>
      </c>
      <c r="C1187" s="63" t="str" cm="1">
        <f t="array" ref="C1187">_xlfn.SWITCH(Table22[[#This Row],[Country]],"USA","North America","Canada","North America","Brazil","South America","China","Asia","Japan","Asia","India","Asia","France","Europe","Germany","Europe","UK","Europe","Australia","Oceania","South America")</f>
        <v>South America</v>
      </c>
      <c r="D1187" s="18" t="s">
        <v>21</v>
      </c>
      <c r="E1187" s="18" t="s">
        <v>33</v>
      </c>
      <c r="F1187" s="18" t="s">
        <v>52</v>
      </c>
      <c r="G1187" s="18" t="s">
        <v>22</v>
      </c>
      <c r="H1187" s="64">
        <f>LEN(TRIM(Table22[[#This Row],[Country]]))</f>
        <v>6</v>
      </c>
      <c r="I1187" s="64">
        <f>LEN(TRIM(Table22[[#This Row],[Continent]]))</f>
        <v>13</v>
      </c>
      <c r="J1187" s="64">
        <f>LEN(TRIM(Table22[[#This Row],[Product]]))</f>
        <v>10</v>
      </c>
      <c r="K1187" s="64">
        <f>LEN(TRIM(Table22[[#This Row],[Sales Team]]))</f>
        <v>10</v>
      </c>
      <c r="L1187" s="23">
        <v>63</v>
      </c>
      <c r="M1187" s="65" t="str" cm="1">
        <f t="array" ref="M1187">_xlfn.IFS(Table22[[#This Row],[Units Sold]]&lt;40,"Critical",Table22[[#This Row],[Units Sold]]&lt;=50,"Poor",Table22[[#This Row],[Units Sold]]&lt;=60,"Low",Table22[[#This Row],[Units Sold]]&lt;=80,"Average",Table22[[#This Row],[Units Sold]]&lt;=90,"High",Table22[[#This Row],[Units Sold]]&lt;=95,"Excellent",Table22[[#This Row],[Units Sold]]&gt;95,"Outstanding")</f>
        <v>Average</v>
      </c>
      <c r="N1187" s="29">
        <v>362.92</v>
      </c>
      <c r="O1187" s="29">
        <v>22863.96</v>
      </c>
      <c r="P1187" s="43">
        <f>IF(Table22[[#This Row],[Discount Applied]],Table22[[#This Row],[Total Sales (in USD)]]*(1-Table22[[#This Row],[Discount Percentage (%)]]/100),Table22[[#This Row],[Total Sales (in USD)]])</f>
        <v>22863.96</v>
      </c>
      <c r="Q1187" s="66">
        <f>SQRT(AVERAGE((Table22[[#This Row],[Net Sales (after discount) (in USD)]]-AVERAGE(Table22[Net Sales (after discount) (in USD)]))^2))</f>
        <v>13647.400563764539</v>
      </c>
      <c r="R1187" s="18" t="b">
        <v>1</v>
      </c>
      <c r="S1187" s="40">
        <v>0.36</v>
      </c>
      <c r="T1187" s="18" t="b">
        <v>0</v>
      </c>
      <c r="U1187" s="25">
        <v>45458</v>
      </c>
      <c r="V1187" s="63" t="str">
        <f>IF(MONTH(Table22[[#This Row],[Sales Date]])&lt;=3,"Q1",IF(MONTH(Table22[[#This Row],[Sales Date]])&lt;=6,"Q2",IF(MONTH(Table22[[#This Row],[Sales Date]])&lt;=9,"Q3","Q4")))</f>
        <v>Q2</v>
      </c>
      <c r="W1187" s="64">
        <f>YEAR(Table22[[#This Row],[Sales Date]])</f>
        <v>2024</v>
      </c>
      <c r="X1187" s="23">
        <v>49</v>
      </c>
      <c r="Y1187" s="18" t="s">
        <v>49</v>
      </c>
      <c r="Z1187" s="18" t="s">
        <v>30</v>
      </c>
      <c r="AA1187" s="19" t="s">
        <v>25</v>
      </c>
    </row>
    <row r="1188" spans="1:27" x14ac:dyDescent="0.25">
      <c r="A1188" s="17" t="s">
        <v>45</v>
      </c>
      <c r="B1188" s="18" t="s">
        <v>46</v>
      </c>
      <c r="C1188" s="63" t="str" cm="1">
        <f t="array" ref="C1188">_xlfn.SWITCH(Table22[[#This Row],[Country]],"USA","North America","Canada","North America","Brazil","South America","China","Asia","Japan","Asia","India","Asia","France","Europe","Germany","Europe","UK","Europe","Australia","Oceania","South America")</f>
        <v>South America</v>
      </c>
      <c r="D1188" s="18" t="s">
        <v>35</v>
      </c>
      <c r="E1188" s="18" t="s">
        <v>33</v>
      </c>
      <c r="F1188" s="18" t="s">
        <v>47</v>
      </c>
      <c r="G1188" s="18" t="s">
        <v>48</v>
      </c>
      <c r="H1188" s="64">
        <f>LEN(TRIM(Table22[[#This Row],[Country]]))</f>
        <v>6</v>
      </c>
      <c r="I1188" s="64">
        <f>LEN(TRIM(Table22[[#This Row],[Continent]]))</f>
        <v>13</v>
      </c>
      <c r="J1188" s="64">
        <f>LEN(TRIM(Table22[[#This Row],[Product]]))</f>
        <v>10</v>
      </c>
      <c r="K1188" s="64">
        <f>LEN(TRIM(Table22[[#This Row],[Sales Team]]))</f>
        <v>9</v>
      </c>
      <c r="L1188" s="23">
        <v>21</v>
      </c>
      <c r="M1188" s="65" t="str" cm="1">
        <f t="array" ref="M1188">_xlfn.IFS(Table22[[#This Row],[Units Sold]]&lt;40,"Critical",Table22[[#This Row],[Units Sold]]&lt;=50,"Poor",Table22[[#This Row],[Units Sold]]&lt;=60,"Low",Table22[[#This Row],[Units Sold]]&lt;=80,"Average",Table22[[#This Row],[Units Sold]]&lt;=90,"High",Table22[[#This Row],[Units Sold]]&lt;=95,"Excellent",Table22[[#This Row],[Units Sold]]&gt;95,"Outstanding")</f>
        <v>Critical</v>
      </c>
      <c r="N1188" s="29">
        <v>1087.1400000000001</v>
      </c>
      <c r="O1188" s="29">
        <v>22829.94</v>
      </c>
      <c r="P1188" s="43">
        <f>IF(Table22[[#This Row],[Discount Applied]],Table22[[#This Row],[Total Sales (in USD)]]*(1-Table22[[#This Row],[Discount Percentage (%)]]/100),Table22[[#This Row],[Total Sales (in USD)]])</f>
        <v>22829.94</v>
      </c>
      <c r="Q1188" s="66">
        <f>SQRT(AVERAGE((Table22[[#This Row],[Net Sales (after discount) (in USD)]]-AVERAGE(Table22[Net Sales (after discount) (in USD)]))^2))</f>
        <v>13681.420563764539</v>
      </c>
      <c r="R1188" s="18" t="b">
        <v>1</v>
      </c>
      <c r="S1188" s="40">
        <v>28.57</v>
      </c>
      <c r="T1188" s="18" t="b">
        <v>0</v>
      </c>
      <c r="U1188" s="25">
        <v>45172</v>
      </c>
      <c r="V1188" s="63" t="str">
        <f>IF(MONTH(Table22[[#This Row],[Sales Date]])&lt;=3,"Q1",IF(MONTH(Table22[[#This Row],[Sales Date]])&lt;=6,"Q2",IF(MONTH(Table22[[#This Row],[Sales Date]])&lt;=9,"Q3","Q4")))</f>
        <v>Q3</v>
      </c>
      <c r="W1188" s="64">
        <f>YEAR(Table22[[#This Row],[Sales Date]])</f>
        <v>2023</v>
      </c>
      <c r="X1188" s="23">
        <v>46</v>
      </c>
      <c r="Y1188" s="18" t="s">
        <v>49</v>
      </c>
      <c r="Z1188" s="18" t="s">
        <v>30</v>
      </c>
      <c r="AA1188" s="19" t="s">
        <v>25</v>
      </c>
    </row>
    <row r="1189" spans="1:27" x14ac:dyDescent="0.25">
      <c r="A1189" s="17" t="s">
        <v>1632</v>
      </c>
      <c r="B1189" s="18" t="s">
        <v>76</v>
      </c>
      <c r="C1189" s="63" t="str" cm="1">
        <f t="array" ref="C1189">_xlfn.SWITCH(Table22[[#This Row],[Country]],"USA","North America","Canada","North America","Brazil","South America","China","Asia","Japan","Asia","India","Asia","France","Europe","Germany","Europe","UK","Europe","Australia","Oceania","South America")</f>
        <v>Asia</v>
      </c>
      <c r="D1189" s="18" t="s">
        <v>28</v>
      </c>
      <c r="E1189" s="18" t="s">
        <v>33</v>
      </c>
      <c r="F1189" s="18" t="s">
        <v>52</v>
      </c>
      <c r="G1189" s="18" t="s">
        <v>40</v>
      </c>
      <c r="H1189" s="64">
        <f>LEN(TRIM(Table22[[#This Row],[Country]]))</f>
        <v>5</v>
      </c>
      <c r="I1189" s="64">
        <f>LEN(TRIM(Table22[[#This Row],[Continent]]))</f>
        <v>4</v>
      </c>
      <c r="J1189" s="64">
        <f>LEN(TRIM(Table22[[#This Row],[Product]]))</f>
        <v>10</v>
      </c>
      <c r="K1189" s="64">
        <f>LEN(TRIM(Table22[[#This Row],[Sales Team]]))</f>
        <v>10</v>
      </c>
      <c r="L1189" s="23">
        <v>96</v>
      </c>
      <c r="M1189" s="65" t="str" cm="1">
        <f t="array" ref="M1189">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189" s="29">
        <v>237.1</v>
      </c>
      <c r="O1189" s="29">
        <v>22761.599999999999</v>
      </c>
      <c r="P1189" s="43">
        <f>IF(Table22[[#This Row],[Discount Applied]],Table22[[#This Row],[Total Sales (in USD)]]*(1-Table22[[#This Row],[Discount Percentage (%)]]/100),Table22[[#This Row],[Total Sales (in USD)]])</f>
        <v>18789.700799999999</v>
      </c>
      <c r="Q1189" s="66">
        <f>SQRT(AVERAGE((Table22[[#This Row],[Net Sales (after discount) (in USD)]]-AVERAGE(Table22[Net Sales (after discount) (in USD)]))^2))</f>
        <v>17721.659763764539</v>
      </c>
      <c r="R1189" s="18" t="b">
        <v>1</v>
      </c>
      <c r="S1189" s="40">
        <v>17.45</v>
      </c>
      <c r="T1189" s="18" t="b">
        <v>1</v>
      </c>
      <c r="U1189" s="25">
        <v>45403</v>
      </c>
      <c r="V1189" s="63" t="str">
        <f>IF(MONTH(Table22[[#This Row],[Sales Date]])&lt;=3,"Q1",IF(MONTH(Table22[[#This Row],[Sales Date]])&lt;=6,"Q2",IF(MONTH(Table22[[#This Row],[Sales Date]])&lt;=9,"Q3","Q4")))</f>
        <v>Q2</v>
      </c>
      <c r="W1189" s="64">
        <f>YEAR(Table22[[#This Row],[Sales Date]])</f>
        <v>2024</v>
      </c>
      <c r="X1189" s="23">
        <v>41</v>
      </c>
      <c r="Y1189" s="18" t="s">
        <v>49</v>
      </c>
      <c r="Z1189" s="18" t="s">
        <v>24</v>
      </c>
      <c r="AA1189" s="19" t="s">
        <v>36</v>
      </c>
    </row>
    <row r="1190" spans="1:27" x14ac:dyDescent="0.25">
      <c r="A1190" s="17" t="s">
        <v>943</v>
      </c>
      <c r="B1190" s="18" t="s">
        <v>27</v>
      </c>
      <c r="C1190" s="63" t="str" cm="1">
        <f t="array" ref="C1190">_xlfn.SWITCH(Table22[[#This Row],[Country]],"USA","North America","Canada","North America","Brazil","South America","China","Asia","Japan","Asia","India","Asia","France","Europe","Germany","Europe","UK","Europe","Australia","Oceania","South America")</f>
        <v>Europe</v>
      </c>
      <c r="D1190" s="18" t="s">
        <v>28</v>
      </c>
      <c r="E1190" s="18" t="s">
        <v>19</v>
      </c>
      <c r="F1190" s="18" t="s">
        <v>52</v>
      </c>
      <c r="G1190" s="18" t="s">
        <v>40</v>
      </c>
      <c r="H1190" s="64">
        <f>LEN(TRIM(Table22[[#This Row],[Country]]))</f>
        <v>7</v>
      </c>
      <c r="I1190" s="64">
        <f>LEN(TRIM(Table22[[#This Row],[Continent]]))</f>
        <v>6</v>
      </c>
      <c r="J1190" s="64">
        <f>LEN(TRIM(Table22[[#This Row],[Product]]))</f>
        <v>6</v>
      </c>
      <c r="K1190" s="64">
        <f>LEN(TRIM(Table22[[#This Row],[Sales Team]]))</f>
        <v>10</v>
      </c>
      <c r="L1190" s="23">
        <v>63</v>
      </c>
      <c r="M1190" s="65" t="str" cm="1">
        <f t="array" ref="M1190">_xlfn.IFS(Table22[[#This Row],[Units Sold]]&lt;40,"Critical",Table22[[#This Row],[Units Sold]]&lt;=50,"Poor",Table22[[#This Row],[Units Sold]]&lt;=60,"Low",Table22[[#This Row],[Units Sold]]&lt;=80,"Average",Table22[[#This Row],[Units Sold]]&lt;=90,"High",Table22[[#This Row],[Units Sold]]&lt;=95,"Excellent",Table22[[#This Row],[Units Sold]]&gt;95,"Outstanding")</f>
        <v>Average</v>
      </c>
      <c r="N1190" s="29">
        <v>361.23</v>
      </c>
      <c r="O1190" s="29">
        <v>22757.49</v>
      </c>
      <c r="P1190" s="43">
        <f>IF(Table22[[#This Row],[Discount Applied]],Table22[[#This Row],[Total Sales (in USD)]]*(1-Table22[[#This Row],[Discount Percentage (%)]]/100),Table22[[#This Row],[Total Sales (in USD)]])</f>
        <v>17564.230782000002</v>
      </c>
      <c r="Q1190" s="66">
        <f>SQRT(AVERAGE((Table22[[#This Row],[Net Sales (after discount) (in USD)]]-AVERAGE(Table22[Net Sales (after discount) (in USD)]))^2))</f>
        <v>18947.129781764535</v>
      </c>
      <c r="R1190" s="18" t="b">
        <v>0</v>
      </c>
      <c r="S1190" s="40">
        <v>22.82</v>
      </c>
      <c r="T1190" s="18" t="b">
        <v>1</v>
      </c>
      <c r="U1190" s="25">
        <v>45501</v>
      </c>
      <c r="V1190" s="63" t="str">
        <f>IF(MONTH(Table22[[#This Row],[Sales Date]])&lt;=3,"Q1",IF(MONTH(Table22[[#This Row],[Sales Date]])&lt;=6,"Q2",IF(MONTH(Table22[[#This Row],[Sales Date]])&lt;=9,"Q3","Q4")))</f>
        <v>Q3</v>
      </c>
      <c r="W1190" s="64">
        <f>YEAR(Table22[[#This Row],[Sales Date]])</f>
        <v>2024</v>
      </c>
      <c r="X1190" s="23">
        <v>51</v>
      </c>
      <c r="Y1190" s="18" t="s">
        <v>49</v>
      </c>
      <c r="Z1190" s="18" t="s">
        <v>24</v>
      </c>
      <c r="AA1190" s="19" t="s">
        <v>36</v>
      </c>
    </row>
    <row r="1191" spans="1:27" x14ac:dyDescent="0.25">
      <c r="A1191" s="17" t="s">
        <v>1393</v>
      </c>
      <c r="B1191" s="18" t="s">
        <v>51</v>
      </c>
      <c r="C1191" s="63" t="str" cm="1">
        <f t="array" ref="C1191">_xlfn.SWITCH(Table22[[#This Row],[Country]],"USA","North America","Canada","North America","Brazil","South America","China","Asia","Japan","Asia","India","Asia","France","Europe","Germany","Europe","UK","Europe","Australia","Oceania","South America")</f>
        <v>Europe</v>
      </c>
      <c r="D1191" s="18" t="s">
        <v>21</v>
      </c>
      <c r="E1191" s="18" t="s">
        <v>19</v>
      </c>
      <c r="F1191" s="18" t="s">
        <v>64</v>
      </c>
      <c r="G1191" s="18" t="s">
        <v>40</v>
      </c>
      <c r="H1191" s="64">
        <f>LEN(TRIM(Table22[[#This Row],[Country]]))</f>
        <v>2</v>
      </c>
      <c r="I1191" s="64">
        <f>LEN(TRIM(Table22[[#This Row],[Continent]]))</f>
        <v>6</v>
      </c>
      <c r="J1191" s="64">
        <f>LEN(TRIM(Table22[[#This Row],[Product]]))</f>
        <v>6</v>
      </c>
      <c r="K1191" s="64">
        <f>LEN(TRIM(Table22[[#This Row],[Sales Team]]))</f>
        <v>10</v>
      </c>
      <c r="L1191" s="23">
        <v>57</v>
      </c>
      <c r="M1191" s="65" t="str" cm="1">
        <f t="array" ref="M1191">_xlfn.IFS(Table22[[#This Row],[Units Sold]]&lt;40,"Critical",Table22[[#This Row],[Units Sold]]&lt;=50,"Poor",Table22[[#This Row],[Units Sold]]&lt;=60,"Low",Table22[[#This Row],[Units Sold]]&lt;=80,"Average",Table22[[#This Row],[Units Sold]]&lt;=90,"High",Table22[[#This Row],[Units Sold]]&lt;=95,"Excellent",Table22[[#This Row],[Units Sold]]&gt;95,"Outstanding")</f>
        <v>Low</v>
      </c>
      <c r="N1191" s="29">
        <v>398.1</v>
      </c>
      <c r="O1191" s="29">
        <v>22691.7</v>
      </c>
      <c r="P1191" s="43">
        <f>IF(Table22[[#This Row],[Discount Applied]],Table22[[#This Row],[Total Sales (in USD)]]*(1-Table22[[#This Row],[Discount Percentage (%)]]/100),Table22[[#This Row],[Total Sales (in USD)]])</f>
        <v>22691.7</v>
      </c>
      <c r="Q1191" s="66">
        <f>SQRT(AVERAGE((Table22[[#This Row],[Net Sales (after discount) (in USD)]]-AVERAGE(Table22[Net Sales (after discount) (in USD)]))^2))</f>
        <v>13819.660563764537</v>
      </c>
      <c r="R1191" s="18" t="b">
        <v>1</v>
      </c>
      <c r="S1191" s="40">
        <v>26.52</v>
      </c>
      <c r="T1191" s="18" t="b">
        <v>0</v>
      </c>
      <c r="U1191" s="25">
        <v>45061</v>
      </c>
      <c r="V1191" s="63" t="str">
        <f>IF(MONTH(Table22[[#This Row],[Sales Date]])&lt;=3,"Q1",IF(MONTH(Table22[[#This Row],[Sales Date]])&lt;=6,"Q2",IF(MONTH(Table22[[#This Row],[Sales Date]])&lt;=9,"Q3","Q4")))</f>
        <v>Q2</v>
      </c>
      <c r="W1191" s="64">
        <f>YEAR(Table22[[#This Row],[Sales Date]])</f>
        <v>2023</v>
      </c>
      <c r="X1191" s="23">
        <v>66</v>
      </c>
      <c r="Y1191" s="18" t="s">
        <v>23</v>
      </c>
      <c r="Z1191" s="18" t="s">
        <v>30</v>
      </c>
      <c r="AA1191" s="19" t="s">
        <v>36</v>
      </c>
    </row>
    <row r="1192" spans="1:27" x14ac:dyDescent="0.25">
      <c r="A1192" s="17" t="s">
        <v>478</v>
      </c>
      <c r="B1192" s="18" t="s">
        <v>62</v>
      </c>
      <c r="C1192" s="63" t="str" cm="1">
        <f t="array" ref="C1192">_xlfn.SWITCH(Table22[[#This Row],[Country]],"USA","North America","Canada","North America","Brazil","South America","China","Asia","Japan","Asia","India","Asia","France","Europe","Germany","Europe","UK","Europe","Australia","Oceania","South America")</f>
        <v>Oceania</v>
      </c>
      <c r="D1192" s="18" t="s">
        <v>35</v>
      </c>
      <c r="E1192" s="18" t="s">
        <v>39</v>
      </c>
      <c r="F1192" s="18" t="s">
        <v>20</v>
      </c>
      <c r="G1192" s="18" t="s">
        <v>48</v>
      </c>
      <c r="H1192" s="64">
        <f>LEN(TRIM(Table22[[#This Row],[Country]]))</f>
        <v>9</v>
      </c>
      <c r="I1192" s="64">
        <f>LEN(TRIM(Table22[[#This Row],[Continent]]))</f>
        <v>7</v>
      </c>
      <c r="J1192" s="64">
        <f>LEN(TRIM(Table22[[#This Row],[Product]]))</f>
        <v>10</v>
      </c>
      <c r="K1192" s="64">
        <f>LEN(TRIM(Table22[[#This Row],[Sales Team]]))</f>
        <v>9</v>
      </c>
      <c r="L1192" s="23">
        <v>32</v>
      </c>
      <c r="M1192" s="65" t="str" cm="1">
        <f t="array" ref="M1192">_xlfn.IFS(Table22[[#This Row],[Units Sold]]&lt;40,"Critical",Table22[[#This Row],[Units Sold]]&lt;=50,"Poor",Table22[[#This Row],[Units Sold]]&lt;=60,"Low",Table22[[#This Row],[Units Sold]]&lt;=80,"Average",Table22[[#This Row],[Units Sold]]&lt;=90,"High",Table22[[#This Row],[Units Sold]]&lt;=95,"Excellent",Table22[[#This Row],[Units Sold]]&gt;95,"Outstanding")</f>
        <v>Critical</v>
      </c>
      <c r="N1192" s="29">
        <v>707.23</v>
      </c>
      <c r="O1192" s="29">
        <v>22631.360000000001</v>
      </c>
      <c r="P1192" s="43">
        <f>IF(Table22[[#This Row],[Discount Applied]],Table22[[#This Row],[Total Sales (in USD)]]*(1-Table22[[#This Row],[Discount Percentage (%)]]/100),Table22[[#This Row],[Total Sales (in USD)]])</f>
        <v>22631.360000000001</v>
      </c>
      <c r="Q1192" s="66">
        <f>SQRT(AVERAGE((Table22[[#This Row],[Net Sales (after discount) (in USD)]]-AVERAGE(Table22[Net Sales (after discount) (in USD)]))^2))</f>
        <v>13880.000563764537</v>
      </c>
      <c r="R1192" s="18" t="b">
        <v>0</v>
      </c>
      <c r="S1192" s="40">
        <v>17.16</v>
      </c>
      <c r="T1192" s="18" t="b">
        <v>0</v>
      </c>
      <c r="U1192" s="25">
        <v>44954</v>
      </c>
      <c r="V1192" s="63" t="str">
        <f>IF(MONTH(Table22[[#This Row],[Sales Date]])&lt;=3,"Q1",IF(MONTH(Table22[[#This Row],[Sales Date]])&lt;=6,"Q2",IF(MONTH(Table22[[#This Row],[Sales Date]])&lt;=9,"Q3","Q4")))</f>
        <v>Q1</v>
      </c>
      <c r="W1192" s="64">
        <f>YEAR(Table22[[#This Row],[Sales Date]])</f>
        <v>2023</v>
      </c>
      <c r="X1192" s="23">
        <v>18</v>
      </c>
      <c r="Y1192" s="18" t="s">
        <v>49</v>
      </c>
      <c r="Z1192" s="18" t="s">
        <v>24</v>
      </c>
      <c r="AA1192" s="19" t="s">
        <v>36</v>
      </c>
    </row>
    <row r="1193" spans="1:27" x14ac:dyDescent="0.25">
      <c r="A1193" s="17" t="s">
        <v>1415</v>
      </c>
      <c r="B1193" s="18" t="s">
        <v>66</v>
      </c>
      <c r="C1193" s="63" t="str" cm="1">
        <f t="array" ref="C1193">_xlfn.SWITCH(Table22[[#This Row],[Country]],"USA","North America","Canada","North America","Brazil","South America","China","Asia","Japan","Asia","India","Asia","France","Europe","Germany","Europe","UK","Europe","Australia","Oceania","South America")</f>
        <v>North America</v>
      </c>
      <c r="D1193" s="18" t="s">
        <v>35</v>
      </c>
      <c r="E1193" s="18" t="s">
        <v>33</v>
      </c>
      <c r="F1193" s="18" t="s">
        <v>64</v>
      </c>
      <c r="G1193" s="18" t="s">
        <v>40</v>
      </c>
      <c r="H1193" s="64">
        <f>LEN(TRIM(Table22[[#This Row],[Country]]))</f>
        <v>6</v>
      </c>
      <c r="I1193" s="64">
        <f>LEN(TRIM(Table22[[#This Row],[Continent]]))</f>
        <v>13</v>
      </c>
      <c r="J1193" s="64">
        <f>LEN(TRIM(Table22[[#This Row],[Product]]))</f>
        <v>10</v>
      </c>
      <c r="K1193" s="64">
        <f>LEN(TRIM(Table22[[#This Row],[Sales Team]]))</f>
        <v>10</v>
      </c>
      <c r="L1193" s="23">
        <v>69</v>
      </c>
      <c r="M1193" s="65" t="str" cm="1">
        <f t="array" ref="M1193">_xlfn.IFS(Table22[[#This Row],[Units Sold]]&lt;40,"Critical",Table22[[#This Row],[Units Sold]]&lt;=50,"Poor",Table22[[#This Row],[Units Sold]]&lt;=60,"Low",Table22[[#This Row],[Units Sold]]&lt;=80,"Average",Table22[[#This Row],[Units Sold]]&lt;=90,"High",Table22[[#This Row],[Units Sold]]&lt;=95,"Excellent",Table22[[#This Row],[Units Sold]]&gt;95,"Outstanding")</f>
        <v>Average</v>
      </c>
      <c r="N1193" s="29">
        <v>327.67</v>
      </c>
      <c r="O1193" s="29">
        <v>22609.23</v>
      </c>
      <c r="P1193" s="43">
        <f>IF(Table22[[#This Row],[Discount Applied]],Table22[[#This Row],[Total Sales (in USD)]]*(1-Table22[[#This Row],[Discount Percentage (%)]]/100),Table22[[#This Row],[Total Sales (in USD)]])</f>
        <v>22609.23</v>
      </c>
      <c r="Q1193" s="66">
        <f>SQRT(AVERAGE((Table22[[#This Row],[Net Sales (after discount) (in USD)]]-AVERAGE(Table22[Net Sales (after discount) (in USD)]))^2))</f>
        <v>13902.130563764538</v>
      </c>
      <c r="R1193" s="18" t="b">
        <v>0</v>
      </c>
      <c r="S1193" s="40">
        <v>9.4</v>
      </c>
      <c r="T1193" s="18" t="b">
        <v>0</v>
      </c>
      <c r="U1193" s="25">
        <v>45432</v>
      </c>
      <c r="V1193" s="63" t="str">
        <f>IF(MONTH(Table22[[#This Row],[Sales Date]])&lt;=3,"Q1",IF(MONTH(Table22[[#This Row],[Sales Date]])&lt;=6,"Q2",IF(MONTH(Table22[[#This Row],[Sales Date]])&lt;=9,"Q3","Q4")))</f>
        <v>Q2</v>
      </c>
      <c r="W1193" s="64">
        <f>YEAR(Table22[[#This Row],[Sales Date]])</f>
        <v>2024</v>
      </c>
      <c r="X1193" s="23">
        <v>26</v>
      </c>
      <c r="Y1193" s="18" t="s">
        <v>41</v>
      </c>
      <c r="Z1193" s="18" t="s">
        <v>24</v>
      </c>
      <c r="AA1193" s="19" t="s">
        <v>25</v>
      </c>
    </row>
    <row r="1194" spans="1:27" x14ac:dyDescent="0.25">
      <c r="A1194" s="17" t="s">
        <v>1061</v>
      </c>
      <c r="B1194" s="18" t="s">
        <v>72</v>
      </c>
      <c r="C1194" s="63" t="str" cm="1">
        <f t="array" ref="C1194">_xlfn.SWITCH(Table22[[#This Row],[Country]],"USA","North America","Canada","North America","Brazil","South America","China","Asia","Japan","Asia","India","Asia","France","Europe","Germany","Europe","UK","Europe","Australia","Oceania","South America")</f>
        <v>North America</v>
      </c>
      <c r="D1194" s="18" t="s">
        <v>35</v>
      </c>
      <c r="E1194" s="18" t="s">
        <v>33</v>
      </c>
      <c r="F1194" s="18" t="s">
        <v>20</v>
      </c>
      <c r="G1194" s="18" t="s">
        <v>29</v>
      </c>
      <c r="H1194" s="64">
        <f>LEN(TRIM(Table22[[#This Row],[Country]]))</f>
        <v>3</v>
      </c>
      <c r="I1194" s="64">
        <f>LEN(TRIM(Table22[[#This Row],[Continent]]))</f>
        <v>13</v>
      </c>
      <c r="J1194" s="64">
        <f>LEN(TRIM(Table22[[#This Row],[Product]]))</f>
        <v>10</v>
      </c>
      <c r="K1194" s="64">
        <f>LEN(TRIM(Table22[[#This Row],[Sales Team]]))</f>
        <v>10</v>
      </c>
      <c r="L1194" s="23">
        <v>37</v>
      </c>
      <c r="M1194" s="65" t="str" cm="1">
        <f t="array" ref="M1194">_xlfn.IFS(Table22[[#This Row],[Units Sold]]&lt;40,"Critical",Table22[[#This Row],[Units Sold]]&lt;=50,"Poor",Table22[[#This Row],[Units Sold]]&lt;=60,"Low",Table22[[#This Row],[Units Sold]]&lt;=80,"Average",Table22[[#This Row],[Units Sold]]&lt;=90,"High",Table22[[#This Row],[Units Sold]]&lt;=95,"Excellent",Table22[[#This Row],[Units Sold]]&gt;95,"Outstanding")</f>
        <v>Critical</v>
      </c>
      <c r="N1194" s="29">
        <v>608.86</v>
      </c>
      <c r="O1194" s="29">
        <v>22527.82</v>
      </c>
      <c r="P1194" s="43">
        <f>IF(Table22[[#This Row],[Discount Applied]],Table22[[#This Row],[Total Sales (in USD)]]*(1-Table22[[#This Row],[Discount Percentage (%)]]/100),Table22[[#This Row],[Total Sales (in USD)]])</f>
        <v>21606.432161999997</v>
      </c>
      <c r="Q1194" s="66">
        <f>SQRT(AVERAGE((Table22[[#This Row],[Net Sales (after discount) (in USD)]]-AVERAGE(Table22[Net Sales (after discount) (in USD)]))^2))</f>
        <v>14904.92840176454</v>
      </c>
      <c r="R1194" s="18" t="b">
        <v>1</v>
      </c>
      <c r="S1194" s="40">
        <v>4.09</v>
      </c>
      <c r="T1194" s="18" t="b">
        <v>1</v>
      </c>
      <c r="U1194" s="25">
        <v>44969</v>
      </c>
      <c r="V1194" s="63" t="str">
        <f>IF(MONTH(Table22[[#This Row],[Sales Date]])&lt;=3,"Q1",IF(MONTH(Table22[[#This Row],[Sales Date]])&lt;=6,"Q2",IF(MONTH(Table22[[#This Row],[Sales Date]])&lt;=9,"Q3","Q4")))</f>
        <v>Q1</v>
      </c>
      <c r="W1194" s="64">
        <f>YEAR(Table22[[#This Row],[Sales Date]])</f>
        <v>2023</v>
      </c>
      <c r="X1194" s="23">
        <v>28</v>
      </c>
      <c r="Y1194" s="18" t="s">
        <v>23</v>
      </c>
      <c r="Z1194" s="18" t="s">
        <v>56</v>
      </c>
      <c r="AA1194" s="19" t="s">
        <v>36</v>
      </c>
    </row>
    <row r="1195" spans="1:27" x14ac:dyDescent="0.25">
      <c r="A1195" s="17" t="s">
        <v>1713</v>
      </c>
      <c r="B1195" s="18" t="s">
        <v>51</v>
      </c>
      <c r="C1195" s="63" t="str" cm="1">
        <f t="array" ref="C1195">_xlfn.SWITCH(Table22[[#This Row],[Country]],"USA","North America","Canada","North America","Brazil","South America","China","Asia","Japan","Asia","India","Asia","France","Europe","Germany","Europe","UK","Europe","Australia","Oceania","South America")</f>
        <v>Europe</v>
      </c>
      <c r="D1195" s="18" t="s">
        <v>28</v>
      </c>
      <c r="E1195" s="18" t="s">
        <v>39</v>
      </c>
      <c r="F1195" s="18" t="s">
        <v>34</v>
      </c>
      <c r="G1195" s="18" t="s">
        <v>29</v>
      </c>
      <c r="H1195" s="64">
        <f>LEN(TRIM(Table22[[#This Row],[Country]]))</f>
        <v>2</v>
      </c>
      <c r="I1195" s="64">
        <f>LEN(TRIM(Table22[[#This Row],[Continent]]))</f>
        <v>6</v>
      </c>
      <c r="J1195" s="64">
        <f>LEN(TRIM(Table22[[#This Row],[Product]]))</f>
        <v>10</v>
      </c>
      <c r="K1195" s="64">
        <f>LEN(TRIM(Table22[[#This Row],[Sales Team]]))</f>
        <v>10</v>
      </c>
      <c r="L1195" s="23">
        <v>38</v>
      </c>
      <c r="M1195" s="65" t="str" cm="1">
        <f t="array" ref="M1195">_xlfn.IFS(Table22[[#This Row],[Units Sold]]&lt;40,"Critical",Table22[[#This Row],[Units Sold]]&lt;=50,"Poor",Table22[[#This Row],[Units Sold]]&lt;=60,"Low",Table22[[#This Row],[Units Sold]]&lt;=80,"Average",Table22[[#This Row],[Units Sold]]&lt;=90,"High",Table22[[#This Row],[Units Sold]]&lt;=95,"Excellent",Table22[[#This Row],[Units Sold]]&gt;95,"Outstanding")</f>
        <v>Critical</v>
      </c>
      <c r="N1195" s="29">
        <v>591.77</v>
      </c>
      <c r="O1195" s="29">
        <v>22487.26</v>
      </c>
      <c r="P1195" s="43">
        <f>IF(Table22[[#This Row],[Discount Applied]],Table22[[#This Row],[Total Sales (in USD)]]*(1-Table22[[#This Row],[Discount Percentage (%)]]/100),Table22[[#This Row],[Total Sales (in USD)]])</f>
        <v>22487.26</v>
      </c>
      <c r="Q1195" s="66">
        <f>SQRT(AVERAGE((Table22[[#This Row],[Net Sales (after discount) (in USD)]]-AVERAGE(Table22[Net Sales (after discount) (in USD)]))^2))</f>
        <v>14024.100563764539</v>
      </c>
      <c r="R1195" s="18" t="b">
        <v>1</v>
      </c>
      <c r="S1195" s="40">
        <v>21.15</v>
      </c>
      <c r="T1195" s="18" t="b">
        <v>0</v>
      </c>
      <c r="U1195" s="25">
        <v>45411</v>
      </c>
      <c r="V1195" s="63" t="str">
        <f>IF(MONTH(Table22[[#This Row],[Sales Date]])&lt;=3,"Q1",IF(MONTH(Table22[[#This Row],[Sales Date]])&lt;=6,"Q2",IF(MONTH(Table22[[#This Row],[Sales Date]])&lt;=9,"Q3","Q4")))</f>
        <v>Q2</v>
      </c>
      <c r="W1195" s="64">
        <f>YEAR(Table22[[#This Row],[Sales Date]])</f>
        <v>2024</v>
      </c>
      <c r="X1195" s="23">
        <v>43</v>
      </c>
      <c r="Y1195" s="18" t="s">
        <v>23</v>
      </c>
      <c r="Z1195" s="18" t="s">
        <v>24</v>
      </c>
      <c r="AA1195" s="19" t="s">
        <v>25</v>
      </c>
    </row>
    <row r="1196" spans="1:27" x14ac:dyDescent="0.25">
      <c r="A1196" s="17" t="s">
        <v>1727</v>
      </c>
      <c r="B1196" s="18" t="s">
        <v>32</v>
      </c>
      <c r="C1196" s="63" t="str" cm="1">
        <f t="array" ref="C1196">_xlfn.SWITCH(Table22[[#This Row],[Country]],"USA","North America","Canada","North America","Brazil","South America","China","Asia","Japan","Asia","India","Asia","France","Europe","Germany","Europe","UK","Europe","Australia","Oceania","South America")</f>
        <v>Asia</v>
      </c>
      <c r="D1196" s="18" t="s">
        <v>21</v>
      </c>
      <c r="E1196" s="18" t="s">
        <v>33</v>
      </c>
      <c r="F1196" s="18" t="s">
        <v>34</v>
      </c>
      <c r="G1196" s="18" t="s">
        <v>22</v>
      </c>
      <c r="H1196" s="64">
        <f>LEN(TRIM(Table22[[#This Row],[Country]]))</f>
        <v>5</v>
      </c>
      <c r="I1196" s="64">
        <f>LEN(TRIM(Table22[[#This Row],[Continent]]))</f>
        <v>4</v>
      </c>
      <c r="J1196" s="64">
        <f>LEN(TRIM(Table22[[#This Row],[Product]]))</f>
        <v>10</v>
      </c>
      <c r="K1196" s="64">
        <f>LEN(TRIM(Table22[[#This Row],[Sales Team]]))</f>
        <v>10</v>
      </c>
      <c r="L1196" s="23">
        <v>76</v>
      </c>
      <c r="M1196" s="65" t="str" cm="1">
        <f t="array" ref="M1196">_xlfn.IFS(Table22[[#This Row],[Units Sold]]&lt;40,"Critical",Table22[[#This Row],[Units Sold]]&lt;=50,"Poor",Table22[[#This Row],[Units Sold]]&lt;=60,"Low",Table22[[#This Row],[Units Sold]]&lt;=80,"Average",Table22[[#This Row],[Units Sold]]&lt;=90,"High",Table22[[#This Row],[Units Sold]]&lt;=95,"Excellent",Table22[[#This Row],[Units Sold]]&gt;95,"Outstanding")</f>
        <v>Average</v>
      </c>
      <c r="N1196" s="29">
        <v>295.52999999999997</v>
      </c>
      <c r="O1196" s="29">
        <v>22460.28</v>
      </c>
      <c r="P1196" s="43">
        <f>IF(Table22[[#This Row],[Discount Applied]],Table22[[#This Row],[Total Sales (in USD)]]*(1-Table22[[#This Row],[Discount Percentage (%)]]/100),Table22[[#This Row],[Total Sales (in USD)]])</f>
        <v>22460.28</v>
      </c>
      <c r="Q1196" s="66">
        <f>SQRT(AVERAGE((Table22[[#This Row],[Net Sales (after discount) (in USD)]]-AVERAGE(Table22[Net Sales (after discount) (in USD)]))^2))</f>
        <v>14051.080563764539</v>
      </c>
      <c r="R1196" s="18" t="b">
        <v>0</v>
      </c>
      <c r="S1196" s="40">
        <v>12.42</v>
      </c>
      <c r="T1196" s="18" t="b">
        <v>0</v>
      </c>
      <c r="U1196" s="25">
        <v>45316</v>
      </c>
      <c r="V1196" s="63" t="str">
        <f>IF(MONTH(Table22[[#This Row],[Sales Date]])&lt;=3,"Q1",IF(MONTH(Table22[[#This Row],[Sales Date]])&lt;=6,"Q2",IF(MONTH(Table22[[#This Row],[Sales Date]])&lt;=9,"Q3","Q4")))</f>
        <v>Q1</v>
      </c>
      <c r="W1196" s="64">
        <f>YEAR(Table22[[#This Row],[Sales Date]])</f>
        <v>2024</v>
      </c>
      <c r="X1196" s="23">
        <v>31</v>
      </c>
      <c r="Y1196" s="18" t="s">
        <v>41</v>
      </c>
      <c r="Z1196" s="18" t="s">
        <v>42</v>
      </c>
      <c r="AA1196" s="19" t="s">
        <v>25</v>
      </c>
    </row>
    <row r="1197" spans="1:27" x14ac:dyDescent="0.25">
      <c r="A1197" s="17" t="s">
        <v>1691</v>
      </c>
      <c r="B1197" s="18" t="s">
        <v>76</v>
      </c>
      <c r="C1197" s="63" t="str" cm="1">
        <f t="array" ref="C1197">_xlfn.SWITCH(Table22[[#This Row],[Country]],"USA","North America","Canada","North America","Brazil","South America","China","Asia","Japan","Asia","India","Asia","France","Europe","Germany","Europe","UK","Europe","Australia","Oceania","South America")</f>
        <v>Asia</v>
      </c>
      <c r="D1197" s="18" t="s">
        <v>28</v>
      </c>
      <c r="E1197" s="18" t="s">
        <v>33</v>
      </c>
      <c r="F1197" s="18" t="s">
        <v>34</v>
      </c>
      <c r="G1197" s="18" t="s">
        <v>40</v>
      </c>
      <c r="H1197" s="64">
        <f>LEN(TRIM(Table22[[#This Row],[Country]]))</f>
        <v>5</v>
      </c>
      <c r="I1197" s="64">
        <f>LEN(TRIM(Table22[[#This Row],[Continent]]))</f>
        <v>4</v>
      </c>
      <c r="J1197" s="64">
        <f>LEN(TRIM(Table22[[#This Row],[Product]]))</f>
        <v>10</v>
      </c>
      <c r="K1197" s="64">
        <f>LEN(TRIM(Table22[[#This Row],[Sales Team]]))</f>
        <v>10</v>
      </c>
      <c r="L1197" s="23">
        <v>18</v>
      </c>
      <c r="M1197" s="65" t="str" cm="1">
        <f t="array" ref="M1197">_xlfn.IFS(Table22[[#This Row],[Units Sold]]&lt;40,"Critical",Table22[[#This Row],[Units Sold]]&lt;=50,"Poor",Table22[[#This Row],[Units Sold]]&lt;=60,"Low",Table22[[#This Row],[Units Sold]]&lt;=80,"Average",Table22[[#This Row],[Units Sold]]&lt;=90,"High",Table22[[#This Row],[Units Sold]]&lt;=95,"Excellent",Table22[[#This Row],[Units Sold]]&gt;95,"Outstanding")</f>
        <v>Critical</v>
      </c>
      <c r="N1197" s="29">
        <v>1246.53</v>
      </c>
      <c r="O1197" s="29">
        <v>22437.54</v>
      </c>
      <c r="P1197" s="43">
        <f>IF(Table22[[#This Row],[Discount Applied]],Table22[[#This Row],[Total Sales (in USD)]]*(1-Table22[[#This Row],[Discount Percentage (%)]]/100),Table22[[#This Row],[Total Sales (in USD)]])</f>
        <v>22437.54</v>
      </c>
      <c r="Q1197" s="66">
        <f>SQRT(AVERAGE((Table22[[#This Row],[Net Sales (after discount) (in USD)]]-AVERAGE(Table22[Net Sales (after discount) (in USD)]))^2))</f>
        <v>14073.820563764537</v>
      </c>
      <c r="R1197" s="18" t="b">
        <v>0</v>
      </c>
      <c r="S1197" s="40">
        <v>9.07</v>
      </c>
      <c r="T1197" s="18" t="b">
        <v>0</v>
      </c>
      <c r="U1197" s="25">
        <v>45334</v>
      </c>
      <c r="V1197" s="63" t="str">
        <f>IF(MONTH(Table22[[#This Row],[Sales Date]])&lt;=3,"Q1",IF(MONTH(Table22[[#This Row],[Sales Date]])&lt;=6,"Q2",IF(MONTH(Table22[[#This Row],[Sales Date]])&lt;=9,"Q3","Q4")))</f>
        <v>Q1</v>
      </c>
      <c r="W1197" s="64">
        <f>YEAR(Table22[[#This Row],[Sales Date]])</f>
        <v>2024</v>
      </c>
      <c r="X1197" s="23">
        <v>23</v>
      </c>
      <c r="Y1197" s="18" t="s">
        <v>49</v>
      </c>
      <c r="Z1197" s="18" t="s">
        <v>42</v>
      </c>
      <c r="AA1197" s="19" t="s">
        <v>25</v>
      </c>
    </row>
    <row r="1198" spans="1:27" x14ac:dyDescent="0.25">
      <c r="A1198" s="17" t="s">
        <v>1017</v>
      </c>
      <c r="B1198" s="18" t="s">
        <v>27</v>
      </c>
      <c r="C1198" s="63" t="str" cm="1">
        <f t="array" ref="C1198">_xlfn.SWITCH(Table22[[#This Row],[Country]],"USA","North America","Canada","North America","Brazil","South America","China","Asia","Japan","Asia","India","Asia","France","Europe","Germany","Europe","UK","Europe","Australia","Oceania","South America")</f>
        <v>Europe</v>
      </c>
      <c r="D1198" s="18" t="s">
        <v>21</v>
      </c>
      <c r="E1198" s="18" t="s">
        <v>33</v>
      </c>
      <c r="F1198" s="18" t="s">
        <v>64</v>
      </c>
      <c r="G1198" s="18" t="s">
        <v>29</v>
      </c>
      <c r="H1198" s="64">
        <f>LEN(TRIM(Table22[[#This Row],[Country]]))</f>
        <v>7</v>
      </c>
      <c r="I1198" s="64">
        <f>LEN(TRIM(Table22[[#This Row],[Continent]]))</f>
        <v>6</v>
      </c>
      <c r="J1198" s="64">
        <f>LEN(TRIM(Table22[[#This Row],[Product]]))</f>
        <v>10</v>
      </c>
      <c r="K1198" s="64">
        <f>LEN(TRIM(Table22[[#This Row],[Sales Team]]))</f>
        <v>10</v>
      </c>
      <c r="L1198" s="23">
        <v>78</v>
      </c>
      <c r="M1198" s="65" t="str" cm="1">
        <f t="array" ref="M1198">_xlfn.IFS(Table22[[#This Row],[Units Sold]]&lt;40,"Critical",Table22[[#This Row],[Units Sold]]&lt;=50,"Poor",Table22[[#This Row],[Units Sold]]&lt;=60,"Low",Table22[[#This Row],[Units Sold]]&lt;=80,"Average",Table22[[#This Row],[Units Sold]]&lt;=90,"High",Table22[[#This Row],[Units Sold]]&lt;=95,"Excellent",Table22[[#This Row],[Units Sold]]&gt;95,"Outstanding")</f>
        <v>Average</v>
      </c>
      <c r="N1198" s="29">
        <v>287.14999999999998</v>
      </c>
      <c r="O1198" s="29">
        <v>22397.7</v>
      </c>
      <c r="P1198" s="43">
        <f>IF(Table22[[#This Row],[Discount Applied]],Table22[[#This Row],[Total Sales (in USD)]]*(1-Table22[[#This Row],[Discount Percentage (%)]]/100),Table22[[#This Row],[Total Sales (in USD)]])</f>
        <v>22397.7</v>
      </c>
      <c r="Q1198" s="66">
        <f>SQRT(AVERAGE((Table22[[#This Row],[Net Sales (after discount) (in USD)]]-AVERAGE(Table22[Net Sales (after discount) (in USD)]))^2))</f>
        <v>14113.660563764537</v>
      </c>
      <c r="R1198" s="18" t="b">
        <v>0</v>
      </c>
      <c r="S1198" s="40">
        <v>11.09</v>
      </c>
      <c r="T1198" s="18" t="b">
        <v>0</v>
      </c>
      <c r="U1198" s="25">
        <v>45068</v>
      </c>
      <c r="V1198" s="63" t="str">
        <f>IF(MONTH(Table22[[#This Row],[Sales Date]])&lt;=3,"Q1",IF(MONTH(Table22[[#This Row],[Sales Date]])&lt;=6,"Q2",IF(MONTH(Table22[[#This Row],[Sales Date]])&lt;=9,"Q3","Q4")))</f>
        <v>Q2</v>
      </c>
      <c r="W1198" s="64">
        <f>YEAR(Table22[[#This Row],[Sales Date]])</f>
        <v>2023</v>
      </c>
      <c r="X1198" s="23">
        <v>41</v>
      </c>
      <c r="Y1198" s="18" t="s">
        <v>49</v>
      </c>
      <c r="Z1198" s="18" t="s">
        <v>24</v>
      </c>
      <c r="AA1198" s="19" t="s">
        <v>36</v>
      </c>
    </row>
    <row r="1199" spans="1:27" x14ac:dyDescent="0.25">
      <c r="A1199" s="17" t="s">
        <v>1818</v>
      </c>
      <c r="B1199" s="18" t="s">
        <v>38</v>
      </c>
      <c r="C1199" s="63" t="str" cm="1">
        <f t="array" ref="C1199">_xlfn.SWITCH(Table22[[#This Row],[Country]],"USA","North America","Canada","North America","Brazil","South America","China","Asia","Japan","Asia","India","Asia","France","Europe","Germany","Europe","UK","Europe","Australia","Oceania","South America")</f>
        <v>Europe</v>
      </c>
      <c r="D1199" s="18" t="s">
        <v>21</v>
      </c>
      <c r="E1199" s="18" t="s">
        <v>33</v>
      </c>
      <c r="F1199" s="18" t="s">
        <v>47</v>
      </c>
      <c r="G1199" s="18" t="s">
        <v>40</v>
      </c>
      <c r="H1199" s="64">
        <f>LEN(TRIM(Table22[[#This Row],[Country]]))</f>
        <v>6</v>
      </c>
      <c r="I1199" s="64">
        <f>LEN(TRIM(Table22[[#This Row],[Continent]]))</f>
        <v>6</v>
      </c>
      <c r="J1199" s="64">
        <f>LEN(TRIM(Table22[[#This Row],[Product]]))</f>
        <v>10</v>
      </c>
      <c r="K1199" s="64">
        <f>LEN(TRIM(Table22[[#This Row],[Sales Team]]))</f>
        <v>10</v>
      </c>
      <c r="L1199" s="23">
        <v>82</v>
      </c>
      <c r="M1199" s="65" t="str" cm="1">
        <f t="array" ref="M1199">_xlfn.IFS(Table22[[#This Row],[Units Sold]]&lt;40,"Critical",Table22[[#This Row],[Units Sold]]&lt;=50,"Poor",Table22[[#This Row],[Units Sold]]&lt;=60,"Low",Table22[[#This Row],[Units Sold]]&lt;=80,"Average",Table22[[#This Row],[Units Sold]]&lt;=90,"High",Table22[[#This Row],[Units Sold]]&lt;=95,"Excellent",Table22[[#This Row],[Units Sold]]&gt;95,"Outstanding")</f>
        <v>High</v>
      </c>
      <c r="N1199" s="29">
        <v>272.45999999999998</v>
      </c>
      <c r="O1199" s="29">
        <v>22341.72</v>
      </c>
      <c r="P1199" s="43">
        <f>IF(Table22[[#This Row],[Discount Applied]],Table22[[#This Row],[Total Sales (in USD)]]*(1-Table22[[#This Row],[Discount Percentage (%)]]/100),Table22[[#This Row],[Total Sales (in USD)]])</f>
        <v>22341.72</v>
      </c>
      <c r="Q1199" s="66">
        <f>SQRT(AVERAGE((Table22[[#This Row],[Net Sales (after discount) (in USD)]]-AVERAGE(Table22[Net Sales (after discount) (in USD)]))^2))</f>
        <v>14169.640563764537</v>
      </c>
      <c r="R1199" s="18" t="b">
        <v>0</v>
      </c>
      <c r="S1199" s="40">
        <v>15.43</v>
      </c>
      <c r="T1199" s="18" t="b">
        <v>0</v>
      </c>
      <c r="U1199" s="25">
        <v>45058</v>
      </c>
      <c r="V1199" s="63" t="str">
        <f>IF(MONTH(Table22[[#This Row],[Sales Date]])&lt;=3,"Q1",IF(MONTH(Table22[[#This Row],[Sales Date]])&lt;=6,"Q2",IF(MONTH(Table22[[#This Row],[Sales Date]])&lt;=9,"Q3","Q4")))</f>
        <v>Q2</v>
      </c>
      <c r="W1199" s="64">
        <f>YEAR(Table22[[#This Row],[Sales Date]])</f>
        <v>2023</v>
      </c>
      <c r="X1199" s="23">
        <v>49</v>
      </c>
      <c r="Y1199" s="18" t="s">
        <v>23</v>
      </c>
      <c r="Z1199" s="18" t="s">
        <v>42</v>
      </c>
      <c r="AA1199" s="19" t="s">
        <v>36</v>
      </c>
    </row>
    <row r="1200" spans="1:27" x14ac:dyDescent="0.25">
      <c r="A1200" s="17" t="s">
        <v>109</v>
      </c>
      <c r="B1200" s="18" t="s">
        <v>62</v>
      </c>
      <c r="C1200" s="63" t="str" cm="1">
        <f t="array" ref="C1200">_xlfn.SWITCH(Table22[[#This Row],[Country]],"USA","North America","Canada","North America","Brazil","South America","China","Asia","Japan","Asia","India","Asia","France","Europe","Germany","Europe","UK","Europe","Australia","Oceania","South America")</f>
        <v>Oceania</v>
      </c>
      <c r="D1200" s="18" t="s">
        <v>28</v>
      </c>
      <c r="E1200" s="18" t="s">
        <v>39</v>
      </c>
      <c r="F1200" s="18" t="s">
        <v>20</v>
      </c>
      <c r="G1200" s="18" t="s">
        <v>29</v>
      </c>
      <c r="H1200" s="64">
        <f>LEN(TRIM(Table22[[#This Row],[Country]]))</f>
        <v>9</v>
      </c>
      <c r="I1200" s="64">
        <f>LEN(TRIM(Table22[[#This Row],[Continent]]))</f>
        <v>7</v>
      </c>
      <c r="J1200" s="64">
        <f>LEN(TRIM(Table22[[#This Row],[Product]]))</f>
        <v>10</v>
      </c>
      <c r="K1200" s="64">
        <f>LEN(TRIM(Table22[[#This Row],[Sales Team]]))</f>
        <v>10</v>
      </c>
      <c r="L1200" s="23">
        <v>17</v>
      </c>
      <c r="M1200" s="65" t="str" cm="1">
        <f t="array" ref="M1200">_xlfn.IFS(Table22[[#This Row],[Units Sold]]&lt;40,"Critical",Table22[[#This Row],[Units Sold]]&lt;=50,"Poor",Table22[[#This Row],[Units Sold]]&lt;=60,"Low",Table22[[#This Row],[Units Sold]]&lt;=80,"Average",Table22[[#This Row],[Units Sold]]&lt;=90,"High",Table22[[#This Row],[Units Sold]]&lt;=95,"Excellent",Table22[[#This Row],[Units Sold]]&gt;95,"Outstanding")</f>
        <v>Critical</v>
      </c>
      <c r="N1200" s="29">
        <v>1313.33</v>
      </c>
      <c r="O1200" s="29">
        <v>22326.61</v>
      </c>
      <c r="P1200" s="43">
        <f>IF(Table22[[#This Row],[Discount Applied]],Table22[[#This Row],[Total Sales (in USD)]]*(1-Table22[[#This Row],[Discount Percentage (%)]]/100),Table22[[#This Row],[Total Sales (in USD)]])</f>
        <v>18662.813299000001</v>
      </c>
      <c r="Q1200" s="66">
        <f>SQRT(AVERAGE((Table22[[#This Row],[Net Sales (after discount) (in USD)]]-AVERAGE(Table22[Net Sales (after discount) (in USD)]))^2))</f>
        <v>17848.547264764537</v>
      </c>
      <c r="R1200" s="18" t="b">
        <v>0</v>
      </c>
      <c r="S1200" s="40">
        <v>16.41</v>
      </c>
      <c r="T1200" s="18" t="b">
        <v>1</v>
      </c>
      <c r="U1200" s="25">
        <v>45308</v>
      </c>
      <c r="V1200" s="63" t="str">
        <f>IF(MONTH(Table22[[#This Row],[Sales Date]])&lt;=3,"Q1",IF(MONTH(Table22[[#This Row],[Sales Date]])&lt;=6,"Q2",IF(MONTH(Table22[[#This Row],[Sales Date]])&lt;=9,"Q3","Q4")))</f>
        <v>Q1</v>
      </c>
      <c r="W1200" s="64">
        <f>YEAR(Table22[[#This Row],[Sales Date]])</f>
        <v>2024</v>
      </c>
      <c r="X1200" s="23">
        <v>43</v>
      </c>
      <c r="Y1200" s="18" t="s">
        <v>23</v>
      </c>
      <c r="Z1200" s="18" t="s">
        <v>56</v>
      </c>
      <c r="AA1200" s="19" t="s">
        <v>36</v>
      </c>
    </row>
    <row r="1201" spans="1:27" x14ac:dyDescent="0.25">
      <c r="A1201" s="17" t="s">
        <v>802</v>
      </c>
      <c r="B1201" s="18" t="s">
        <v>38</v>
      </c>
      <c r="C1201" s="63" t="str" cm="1">
        <f t="array" ref="C1201">_xlfn.SWITCH(Table22[[#This Row],[Country]],"USA","North America","Canada","North America","Brazil","South America","China","Asia","Japan","Asia","India","Asia","France","Europe","Germany","Europe","UK","Europe","Australia","Oceania","South America")</f>
        <v>Europe</v>
      </c>
      <c r="D1201" s="18" t="s">
        <v>44</v>
      </c>
      <c r="E1201" s="18" t="s">
        <v>19</v>
      </c>
      <c r="F1201" s="18" t="s">
        <v>47</v>
      </c>
      <c r="G1201" s="18" t="s">
        <v>40</v>
      </c>
      <c r="H1201" s="64">
        <f>LEN(TRIM(Table22[[#This Row],[Country]]))</f>
        <v>6</v>
      </c>
      <c r="I1201" s="64">
        <f>LEN(TRIM(Table22[[#This Row],[Continent]]))</f>
        <v>6</v>
      </c>
      <c r="J1201" s="64">
        <f>LEN(TRIM(Table22[[#This Row],[Product]]))</f>
        <v>6</v>
      </c>
      <c r="K1201" s="64">
        <f>LEN(TRIM(Table22[[#This Row],[Sales Team]]))</f>
        <v>10</v>
      </c>
      <c r="L1201" s="23">
        <v>44</v>
      </c>
      <c r="M1201" s="65" t="str" cm="1">
        <f t="array" ref="M1201">_xlfn.IFS(Table22[[#This Row],[Units Sold]]&lt;40,"Critical",Table22[[#This Row],[Units Sold]]&lt;=50,"Poor",Table22[[#This Row],[Units Sold]]&lt;=60,"Low",Table22[[#This Row],[Units Sold]]&lt;=80,"Average",Table22[[#This Row],[Units Sold]]&lt;=90,"High",Table22[[#This Row],[Units Sold]]&lt;=95,"Excellent",Table22[[#This Row],[Units Sold]]&gt;95,"Outstanding")</f>
        <v>Poor</v>
      </c>
      <c r="N1201" s="29">
        <v>506.14</v>
      </c>
      <c r="O1201" s="29">
        <v>22270.16</v>
      </c>
      <c r="P1201" s="43">
        <f>IF(Table22[[#This Row],[Discount Applied]],Table22[[#This Row],[Total Sales (in USD)]]*(1-Table22[[#This Row],[Discount Percentage (%)]]/100),Table22[[#This Row],[Total Sales (in USD)]])</f>
        <v>21198.965303999998</v>
      </c>
      <c r="Q1201" s="66">
        <f>SQRT(AVERAGE((Table22[[#This Row],[Net Sales (after discount) (in USD)]]-AVERAGE(Table22[Net Sales (after discount) (in USD)]))^2))</f>
        <v>15312.39525976454</v>
      </c>
      <c r="R1201" s="18" t="b">
        <v>1</v>
      </c>
      <c r="S1201" s="40">
        <v>4.8099999999999996</v>
      </c>
      <c r="T1201" s="18" t="b">
        <v>1</v>
      </c>
      <c r="U1201" s="25">
        <v>44970</v>
      </c>
      <c r="V1201" s="63" t="str">
        <f>IF(MONTH(Table22[[#This Row],[Sales Date]])&lt;=3,"Q1",IF(MONTH(Table22[[#This Row],[Sales Date]])&lt;=6,"Q2",IF(MONTH(Table22[[#This Row],[Sales Date]])&lt;=9,"Q3","Q4")))</f>
        <v>Q1</v>
      </c>
      <c r="W1201" s="64">
        <f>YEAR(Table22[[#This Row],[Sales Date]])</f>
        <v>2023</v>
      </c>
      <c r="X1201" s="23">
        <v>43</v>
      </c>
      <c r="Y1201" s="18" t="s">
        <v>23</v>
      </c>
      <c r="Z1201" s="18" t="s">
        <v>24</v>
      </c>
      <c r="AA1201" s="19" t="s">
        <v>36</v>
      </c>
    </row>
    <row r="1202" spans="1:27" x14ac:dyDescent="0.25">
      <c r="A1202" s="17" t="s">
        <v>1554</v>
      </c>
      <c r="B1202" s="18" t="s">
        <v>27</v>
      </c>
      <c r="C1202" s="63" t="str" cm="1">
        <f t="array" ref="C1202">_xlfn.SWITCH(Table22[[#This Row],[Country]],"USA","North America","Canada","North America","Brazil","South America","China","Asia","Japan","Asia","India","Asia","France","Europe","Germany","Europe","UK","Europe","Australia","Oceania","South America")</f>
        <v>Europe</v>
      </c>
      <c r="D1202" s="18" t="s">
        <v>28</v>
      </c>
      <c r="E1202" s="18" t="s">
        <v>39</v>
      </c>
      <c r="F1202" s="18" t="s">
        <v>47</v>
      </c>
      <c r="G1202" s="18" t="s">
        <v>29</v>
      </c>
      <c r="H1202" s="64">
        <f>LEN(TRIM(Table22[[#This Row],[Country]]))</f>
        <v>7</v>
      </c>
      <c r="I1202" s="64">
        <f>LEN(TRIM(Table22[[#This Row],[Continent]]))</f>
        <v>6</v>
      </c>
      <c r="J1202" s="64">
        <f>LEN(TRIM(Table22[[#This Row],[Product]]))</f>
        <v>10</v>
      </c>
      <c r="K1202" s="64">
        <f>LEN(TRIM(Table22[[#This Row],[Sales Team]]))</f>
        <v>10</v>
      </c>
      <c r="L1202" s="23">
        <v>54</v>
      </c>
      <c r="M1202" s="65" t="str" cm="1">
        <f t="array" ref="M1202">_xlfn.IFS(Table22[[#This Row],[Units Sold]]&lt;40,"Critical",Table22[[#This Row],[Units Sold]]&lt;=50,"Poor",Table22[[#This Row],[Units Sold]]&lt;=60,"Low",Table22[[#This Row],[Units Sold]]&lt;=80,"Average",Table22[[#This Row],[Units Sold]]&lt;=90,"High",Table22[[#This Row],[Units Sold]]&lt;=95,"Excellent",Table22[[#This Row],[Units Sold]]&gt;95,"Outstanding")</f>
        <v>Low</v>
      </c>
      <c r="N1202" s="29">
        <v>412.32</v>
      </c>
      <c r="O1202" s="29">
        <v>22265.279999999999</v>
      </c>
      <c r="P1202" s="43">
        <f>IF(Table22[[#This Row],[Discount Applied]],Table22[[#This Row],[Total Sales (in USD)]]*(1-Table22[[#This Row],[Discount Percentage (%)]]/100),Table22[[#This Row],[Total Sales (in USD)]])</f>
        <v>22265.279999999999</v>
      </c>
      <c r="Q1202" s="66">
        <f>SQRT(AVERAGE((Table22[[#This Row],[Net Sales (after discount) (in USD)]]-AVERAGE(Table22[Net Sales (after discount) (in USD)]))^2))</f>
        <v>14246.080563764539</v>
      </c>
      <c r="R1202" s="18" t="b">
        <v>1</v>
      </c>
      <c r="S1202" s="40">
        <v>6.6</v>
      </c>
      <c r="T1202" s="18" t="b">
        <v>0</v>
      </c>
      <c r="U1202" s="25">
        <v>45543</v>
      </c>
      <c r="V1202" s="63" t="str">
        <f>IF(MONTH(Table22[[#This Row],[Sales Date]])&lt;=3,"Q1",IF(MONTH(Table22[[#This Row],[Sales Date]])&lt;=6,"Q2",IF(MONTH(Table22[[#This Row],[Sales Date]])&lt;=9,"Q3","Q4")))</f>
        <v>Q3</v>
      </c>
      <c r="W1202" s="64">
        <f>YEAR(Table22[[#This Row],[Sales Date]])</f>
        <v>2024</v>
      </c>
      <c r="X1202" s="23">
        <v>59</v>
      </c>
      <c r="Y1202" s="18" t="s">
        <v>23</v>
      </c>
      <c r="Z1202" s="18" t="s">
        <v>42</v>
      </c>
      <c r="AA1202" s="19" t="s">
        <v>36</v>
      </c>
    </row>
    <row r="1203" spans="1:27" x14ac:dyDescent="0.25">
      <c r="A1203" s="17" t="s">
        <v>1464</v>
      </c>
      <c r="B1203" s="18" t="s">
        <v>46</v>
      </c>
      <c r="C1203" s="63" t="str" cm="1">
        <f t="array" ref="C1203">_xlfn.SWITCH(Table22[[#This Row],[Country]],"USA","North America","Canada","North America","Brazil","South America","China","Asia","Japan","Asia","India","Asia","France","Europe","Germany","Europe","UK","Europe","Australia","Oceania","South America")</f>
        <v>South America</v>
      </c>
      <c r="D1203" s="18" t="s">
        <v>35</v>
      </c>
      <c r="E1203" s="18" t="s">
        <v>33</v>
      </c>
      <c r="F1203" s="18" t="s">
        <v>64</v>
      </c>
      <c r="G1203" s="18" t="s">
        <v>29</v>
      </c>
      <c r="H1203" s="64">
        <f>LEN(TRIM(Table22[[#This Row],[Country]]))</f>
        <v>6</v>
      </c>
      <c r="I1203" s="64">
        <f>LEN(TRIM(Table22[[#This Row],[Continent]]))</f>
        <v>13</v>
      </c>
      <c r="J1203" s="64">
        <f>LEN(TRIM(Table22[[#This Row],[Product]]))</f>
        <v>10</v>
      </c>
      <c r="K1203" s="64">
        <f>LEN(TRIM(Table22[[#This Row],[Sales Team]]))</f>
        <v>10</v>
      </c>
      <c r="L1203" s="23">
        <v>99</v>
      </c>
      <c r="M1203" s="65" t="str" cm="1">
        <f t="array" ref="M1203">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203" s="29">
        <v>224.49</v>
      </c>
      <c r="O1203" s="29">
        <v>22224.51</v>
      </c>
      <c r="P1203" s="43">
        <f>IF(Table22[[#This Row],[Discount Applied]],Table22[[#This Row],[Total Sales (in USD)]]*(1-Table22[[#This Row],[Discount Percentage (%)]]/100),Table22[[#This Row],[Total Sales (in USD)]])</f>
        <v>22135.611959999998</v>
      </c>
      <c r="Q1203" s="66">
        <f>SQRT(AVERAGE((Table22[[#This Row],[Net Sales (after discount) (in USD)]]-AVERAGE(Table22[Net Sales (after discount) (in USD)]))^2))</f>
        <v>14375.748603764539</v>
      </c>
      <c r="R1203" s="18" t="b">
        <v>1</v>
      </c>
      <c r="S1203" s="40">
        <v>0.4</v>
      </c>
      <c r="T1203" s="18" t="b">
        <v>1</v>
      </c>
      <c r="U1203" s="25">
        <v>45473</v>
      </c>
      <c r="V1203" s="63" t="str">
        <f>IF(MONTH(Table22[[#This Row],[Sales Date]])&lt;=3,"Q1",IF(MONTH(Table22[[#This Row],[Sales Date]])&lt;=6,"Q2",IF(MONTH(Table22[[#This Row],[Sales Date]])&lt;=9,"Q3","Q4")))</f>
        <v>Q2</v>
      </c>
      <c r="W1203" s="64">
        <f>YEAR(Table22[[#This Row],[Sales Date]])</f>
        <v>2024</v>
      </c>
      <c r="X1203" s="23">
        <v>25</v>
      </c>
      <c r="Y1203" s="18" t="s">
        <v>41</v>
      </c>
      <c r="Z1203" s="18" t="s">
        <v>24</v>
      </c>
      <c r="AA1203" s="19" t="s">
        <v>25</v>
      </c>
    </row>
    <row r="1204" spans="1:27" x14ac:dyDescent="0.25">
      <c r="A1204" s="17" t="s">
        <v>1324</v>
      </c>
      <c r="B1204" s="18" t="s">
        <v>66</v>
      </c>
      <c r="C1204" s="63" t="str" cm="1">
        <f t="array" ref="C1204">_xlfn.SWITCH(Table22[[#This Row],[Country]],"USA","North America","Canada","North America","Brazil","South America","China","Asia","Japan","Asia","India","Asia","France","Europe","Germany","Europe","UK","Europe","Australia","Oceania","South America")</f>
        <v>North America</v>
      </c>
      <c r="D1204" s="18" t="s">
        <v>28</v>
      </c>
      <c r="E1204" s="18" t="s">
        <v>39</v>
      </c>
      <c r="F1204" s="18" t="s">
        <v>52</v>
      </c>
      <c r="G1204" s="18" t="s">
        <v>22</v>
      </c>
      <c r="H1204" s="64">
        <f>LEN(TRIM(Table22[[#This Row],[Country]]))</f>
        <v>6</v>
      </c>
      <c r="I1204" s="64">
        <f>LEN(TRIM(Table22[[#This Row],[Continent]]))</f>
        <v>13</v>
      </c>
      <c r="J1204" s="64">
        <f>LEN(TRIM(Table22[[#This Row],[Product]]))</f>
        <v>10</v>
      </c>
      <c r="K1204" s="64">
        <f>LEN(TRIM(Table22[[#This Row],[Sales Team]]))</f>
        <v>10</v>
      </c>
      <c r="L1204" s="23">
        <v>37</v>
      </c>
      <c r="M1204" s="65" t="str" cm="1">
        <f t="array" ref="M1204">_xlfn.IFS(Table22[[#This Row],[Units Sold]]&lt;40,"Critical",Table22[[#This Row],[Units Sold]]&lt;=50,"Poor",Table22[[#This Row],[Units Sold]]&lt;=60,"Low",Table22[[#This Row],[Units Sold]]&lt;=80,"Average",Table22[[#This Row],[Units Sold]]&lt;=90,"High",Table22[[#This Row],[Units Sold]]&lt;=95,"Excellent",Table22[[#This Row],[Units Sold]]&gt;95,"Outstanding")</f>
        <v>Critical</v>
      </c>
      <c r="N1204" s="29">
        <v>599.39</v>
      </c>
      <c r="O1204" s="29">
        <v>22177.43</v>
      </c>
      <c r="P1204" s="43">
        <f>IF(Table22[[#This Row],[Discount Applied]],Table22[[#This Row],[Total Sales (in USD)]]*(1-Table22[[#This Row],[Discount Percentage (%)]]/100),Table22[[#This Row],[Total Sales (in USD)]])</f>
        <v>19520.573885999998</v>
      </c>
      <c r="Q1204" s="66">
        <f>SQRT(AVERAGE((Table22[[#This Row],[Net Sales (after discount) (in USD)]]-AVERAGE(Table22[Net Sales (after discount) (in USD)]))^2))</f>
        <v>16990.786677764539</v>
      </c>
      <c r="R1204" s="18" t="b">
        <v>0</v>
      </c>
      <c r="S1204" s="40">
        <v>11.98</v>
      </c>
      <c r="T1204" s="18" t="b">
        <v>1</v>
      </c>
      <c r="U1204" s="25">
        <v>45233</v>
      </c>
      <c r="V1204" s="63" t="str">
        <f>IF(MONTH(Table22[[#This Row],[Sales Date]])&lt;=3,"Q1",IF(MONTH(Table22[[#This Row],[Sales Date]])&lt;=6,"Q2",IF(MONTH(Table22[[#This Row],[Sales Date]])&lt;=9,"Q3","Q4")))</f>
        <v>Q4</v>
      </c>
      <c r="W1204" s="64">
        <f>YEAR(Table22[[#This Row],[Sales Date]])</f>
        <v>2023</v>
      </c>
      <c r="X1204" s="23">
        <v>49</v>
      </c>
      <c r="Y1204" s="18" t="s">
        <v>41</v>
      </c>
      <c r="Z1204" s="18" t="s">
        <v>42</v>
      </c>
      <c r="AA1204" s="19" t="s">
        <v>25</v>
      </c>
    </row>
    <row r="1205" spans="1:27" x14ac:dyDescent="0.25">
      <c r="A1205" s="17" t="s">
        <v>1651</v>
      </c>
      <c r="B1205" s="18" t="s">
        <v>62</v>
      </c>
      <c r="C1205" s="63" t="str" cm="1">
        <f t="array" ref="C1205">_xlfn.SWITCH(Table22[[#This Row],[Country]],"USA","North America","Canada","North America","Brazil","South America","China","Asia","Japan","Asia","India","Asia","France","Europe","Germany","Europe","UK","Europe","Australia","Oceania","South America")</f>
        <v>Oceania</v>
      </c>
      <c r="D1205" s="18" t="s">
        <v>21</v>
      </c>
      <c r="E1205" s="18" t="s">
        <v>19</v>
      </c>
      <c r="F1205" s="18" t="s">
        <v>20</v>
      </c>
      <c r="G1205" s="18" t="s">
        <v>48</v>
      </c>
      <c r="H1205" s="64">
        <f>LEN(TRIM(Table22[[#This Row],[Country]]))</f>
        <v>9</v>
      </c>
      <c r="I1205" s="64">
        <f>LEN(TRIM(Table22[[#This Row],[Continent]]))</f>
        <v>7</v>
      </c>
      <c r="J1205" s="64">
        <f>LEN(TRIM(Table22[[#This Row],[Product]]))</f>
        <v>6</v>
      </c>
      <c r="K1205" s="64">
        <f>LEN(TRIM(Table22[[#This Row],[Sales Team]]))</f>
        <v>9</v>
      </c>
      <c r="L1205" s="23">
        <v>19</v>
      </c>
      <c r="M1205" s="65" t="str" cm="1">
        <f t="array" ref="M1205">_xlfn.IFS(Table22[[#This Row],[Units Sold]]&lt;40,"Critical",Table22[[#This Row],[Units Sold]]&lt;=50,"Poor",Table22[[#This Row],[Units Sold]]&lt;=60,"Low",Table22[[#This Row],[Units Sold]]&lt;=80,"Average",Table22[[#This Row],[Units Sold]]&lt;=90,"High",Table22[[#This Row],[Units Sold]]&lt;=95,"Excellent",Table22[[#This Row],[Units Sold]]&gt;95,"Outstanding")</f>
        <v>Critical</v>
      </c>
      <c r="N1205" s="29">
        <v>1166.69</v>
      </c>
      <c r="O1205" s="29">
        <v>22167.11</v>
      </c>
      <c r="P1205" s="43">
        <f>IF(Table22[[#This Row],[Discount Applied]],Table22[[#This Row],[Total Sales (in USD)]]*(1-Table22[[#This Row],[Discount Percentage (%)]]/100),Table22[[#This Row],[Total Sales (in USD)]])</f>
        <v>22167.11</v>
      </c>
      <c r="Q1205" s="66">
        <f>SQRT(AVERAGE((Table22[[#This Row],[Net Sales (after discount) (in USD)]]-AVERAGE(Table22[Net Sales (after discount) (in USD)]))^2))</f>
        <v>14344.250563764537</v>
      </c>
      <c r="R1205" s="18" t="b">
        <v>1</v>
      </c>
      <c r="S1205" s="40">
        <v>0.52</v>
      </c>
      <c r="T1205" s="18" t="b">
        <v>0</v>
      </c>
      <c r="U1205" s="25">
        <v>45079</v>
      </c>
      <c r="V1205" s="63" t="str">
        <f>IF(MONTH(Table22[[#This Row],[Sales Date]])&lt;=3,"Q1",IF(MONTH(Table22[[#This Row],[Sales Date]])&lt;=6,"Q2",IF(MONTH(Table22[[#This Row],[Sales Date]])&lt;=9,"Q3","Q4")))</f>
        <v>Q2</v>
      </c>
      <c r="W1205" s="64">
        <f>YEAR(Table22[[#This Row],[Sales Date]])</f>
        <v>2023</v>
      </c>
      <c r="X1205" s="23">
        <v>51</v>
      </c>
      <c r="Y1205" s="18" t="s">
        <v>49</v>
      </c>
      <c r="Z1205" s="18" t="s">
        <v>24</v>
      </c>
      <c r="AA1205" s="19" t="s">
        <v>36</v>
      </c>
    </row>
    <row r="1206" spans="1:27" x14ac:dyDescent="0.25">
      <c r="A1206" s="17" t="s">
        <v>720</v>
      </c>
      <c r="B1206" s="18" t="s">
        <v>46</v>
      </c>
      <c r="C1206" s="63" t="str" cm="1">
        <f t="array" ref="C1206">_xlfn.SWITCH(Table22[[#This Row],[Country]],"USA","North America","Canada","North America","Brazil","South America","China","Asia","Japan","Asia","India","Asia","France","Europe","Germany","Europe","UK","Europe","Australia","Oceania","South America")</f>
        <v>South America</v>
      </c>
      <c r="D1206" s="18" t="s">
        <v>21</v>
      </c>
      <c r="E1206" s="18" t="s">
        <v>19</v>
      </c>
      <c r="F1206" s="18" t="s">
        <v>34</v>
      </c>
      <c r="G1206" s="18" t="s">
        <v>48</v>
      </c>
      <c r="H1206" s="64">
        <f>LEN(TRIM(Table22[[#This Row],[Country]]))</f>
        <v>6</v>
      </c>
      <c r="I1206" s="64">
        <f>LEN(TRIM(Table22[[#This Row],[Continent]]))</f>
        <v>13</v>
      </c>
      <c r="J1206" s="64">
        <f>LEN(TRIM(Table22[[#This Row],[Product]]))</f>
        <v>6</v>
      </c>
      <c r="K1206" s="64">
        <f>LEN(TRIM(Table22[[#This Row],[Sales Team]]))</f>
        <v>9</v>
      </c>
      <c r="L1206" s="23">
        <v>89</v>
      </c>
      <c r="M1206" s="65" t="str" cm="1">
        <f t="array" ref="M1206">_xlfn.IFS(Table22[[#This Row],[Units Sold]]&lt;40,"Critical",Table22[[#This Row],[Units Sold]]&lt;=50,"Poor",Table22[[#This Row],[Units Sold]]&lt;=60,"Low",Table22[[#This Row],[Units Sold]]&lt;=80,"Average",Table22[[#This Row],[Units Sold]]&lt;=90,"High",Table22[[#This Row],[Units Sold]]&lt;=95,"Excellent",Table22[[#This Row],[Units Sold]]&gt;95,"Outstanding")</f>
        <v>High</v>
      </c>
      <c r="N1206" s="29">
        <v>248.27</v>
      </c>
      <c r="O1206" s="29">
        <v>22096.03</v>
      </c>
      <c r="P1206" s="43">
        <f>IF(Table22[[#This Row],[Discount Applied]],Table22[[#This Row],[Total Sales (in USD)]]*(1-Table22[[#This Row],[Discount Percentage (%)]]/100),Table22[[#This Row],[Total Sales (in USD)]])</f>
        <v>22096.03</v>
      </c>
      <c r="Q1206" s="66">
        <f>SQRT(AVERAGE((Table22[[#This Row],[Net Sales (after discount) (in USD)]]-AVERAGE(Table22[Net Sales (after discount) (in USD)]))^2))</f>
        <v>14415.330563764539</v>
      </c>
      <c r="R1206" s="18" t="b">
        <v>1</v>
      </c>
      <c r="S1206" s="40">
        <v>16.07</v>
      </c>
      <c r="T1206" s="18" t="b">
        <v>0</v>
      </c>
      <c r="U1206" s="25">
        <v>45522</v>
      </c>
      <c r="V1206" s="63" t="str">
        <f>IF(MONTH(Table22[[#This Row],[Sales Date]])&lt;=3,"Q1",IF(MONTH(Table22[[#This Row],[Sales Date]])&lt;=6,"Q2",IF(MONTH(Table22[[#This Row],[Sales Date]])&lt;=9,"Q3","Q4")))</f>
        <v>Q3</v>
      </c>
      <c r="W1206" s="64">
        <f>YEAR(Table22[[#This Row],[Sales Date]])</f>
        <v>2024</v>
      </c>
      <c r="X1206" s="23">
        <v>65</v>
      </c>
      <c r="Y1206" s="18" t="s">
        <v>23</v>
      </c>
      <c r="Z1206" s="18" t="s">
        <v>56</v>
      </c>
      <c r="AA1206" s="19" t="s">
        <v>36</v>
      </c>
    </row>
    <row r="1207" spans="1:27" x14ac:dyDescent="0.25">
      <c r="A1207" s="17" t="s">
        <v>1571</v>
      </c>
      <c r="B1207" s="18" t="s">
        <v>27</v>
      </c>
      <c r="C1207" s="63" t="str" cm="1">
        <f t="array" ref="C1207">_xlfn.SWITCH(Table22[[#This Row],[Country]],"USA","North America","Canada","North America","Brazil","South America","China","Asia","Japan","Asia","India","Asia","France","Europe","Germany","Europe","UK","Europe","Australia","Oceania","South America")</f>
        <v>Europe</v>
      </c>
      <c r="D1207" s="18" t="s">
        <v>44</v>
      </c>
      <c r="E1207" s="18" t="s">
        <v>33</v>
      </c>
      <c r="F1207" s="18" t="s">
        <v>34</v>
      </c>
      <c r="G1207" s="18" t="s">
        <v>22</v>
      </c>
      <c r="H1207" s="64">
        <f>LEN(TRIM(Table22[[#This Row],[Country]]))</f>
        <v>7</v>
      </c>
      <c r="I1207" s="64">
        <f>LEN(TRIM(Table22[[#This Row],[Continent]]))</f>
        <v>6</v>
      </c>
      <c r="J1207" s="64">
        <f>LEN(TRIM(Table22[[#This Row],[Product]]))</f>
        <v>10</v>
      </c>
      <c r="K1207" s="64">
        <f>LEN(TRIM(Table22[[#This Row],[Sales Team]]))</f>
        <v>10</v>
      </c>
      <c r="L1207" s="23">
        <v>73</v>
      </c>
      <c r="M1207" s="65" t="str" cm="1">
        <f t="array" ref="M1207">_xlfn.IFS(Table22[[#This Row],[Units Sold]]&lt;40,"Critical",Table22[[#This Row],[Units Sold]]&lt;=50,"Poor",Table22[[#This Row],[Units Sold]]&lt;=60,"Low",Table22[[#This Row],[Units Sold]]&lt;=80,"Average",Table22[[#This Row],[Units Sold]]&lt;=90,"High",Table22[[#This Row],[Units Sold]]&lt;=95,"Excellent",Table22[[#This Row],[Units Sold]]&gt;95,"Outstanding")</f>
        <v>Average</v>
      </c>
      <c r="N1207" s="29">
        <v>302.57</v>
      </c>
      <c r="O1207" s="29">
        <v>22087.61</v>
      </c>
      <c r="P1207" s="43">
        <f>IF(Table22[[#This Row],[Discount Applied]],Table22[[#This Row],[Total Sales (in USD)]]*(1-Table22[[#This Row],[Discount Percentage (%)]]/100),Table22[[#This Row],[Total Sales (in USD)]])</f>
        <v>15989.220879</v>
      </c>
      <c r="Q1207" s="66">
        <f>SQRT(AVERAGE((Table22[[#This Row],[Net Sales (after discount) (in USD)]]-AVERAGE(Table22[Net Sales (after discount) (in USD)]))^2))</f>
        <v>20522.139684764537</v>
      </c>
      <c r="R1207" s="18" t="b">
        <v>1</v>
      </c>
      <c r="S1207" s="40">
        <v>27.61</v>
      </c>
      <c r="T1207" s="18" t="b">
        <v>1</v>
      </c>
      <c r="U1207" s="25">
        <v>45505</v>
      </c>
      <c r="V1207" s="63" t="str">
        <f>IF(MONTH(Table22[[#This Row],[Sales Date]])&lt;=3,"Q1",IF(MONTH(Table22[[#This Row],[Sales Date]])&lt;=6,"Q2",IF(MONTH(Table22[[#This Row],[Sales Date]])&lt;=9,"Q3","Q4")))</f>
        <v>Q3</v>
      </c>
      <c r="W1207" s="64">
        <f>YEAR(Table22[[#This Row],[Sales Date]])</f>
        <v>2024</v>
      </c>
      <c r="X1207" s="23">
        <v>64</v>
      </c>
      <c r="Y1207" s="18" t="s">
        <v>49</v>
      </c>
      <c r="Z1207" s="18" t="s">
        <v>30</v>
      </c>
      <c r="AA1207" s="19" t="s">
        <v>25</v>
      </c>
    </row>
    <row r="1208" spans="1:27" x14ac:dyDescent="0.25">
      <c r="A1208" s="17" t="s">
        <v>1553</v>
      </c>
      <c r="B1208" s="18" t="s">
        <v>27</v>
      </c>
      <c r="C1208" s="63" t="str" cm="1">
        <f t="array" ref="C1208">_xlfn.SWITCH(Table22[[#This Row],[Country]],"USA","North America","Canada","North America","Brazil","South America","China","Asia","Japan","Asia","India","Asia","France","Europe","Germany","Europe","UK","Europe","Australia","Oceania","South America")</f>
        <v>Europe</v>
      </c>
      <c r="D1208" s="18" t="s">
        <v>35</v>
      </c>
      <c r="E1208" s="18" t="s">
        <v>33</v>
      </c>
      <c r="F1208" s="18" t="s">
        <v>34</v>
      </c>
      <c r="G1208" s="18" t="s">
        <v>29</v>
      </c>
      <c r="H1208" s="64">
        <f>LEN(TRIM(Table22[[#This Row],[Country]]))</f>
        <v>7</v>
      </c>
      <c r="I1208" s="64">
        <f>LEN(TRIM(Table22[[#This Row],[Continent]]))</f>
        <v>6</v>
      </c>
      <c r="J1208" s="64">
        <f>LEN(TRIM(Table22[[#This Row],[Product]]))</f>
        <v>10</v>
      </c>
      <c r="K1208" s="64">
        <f>LEN(TRIM(Table22[[#This Row],[Sales Team]]))</f>
        <v>10</v>
      </c>
      <c r="L1208" s="23">
        <v>39</v>
      </c>
      <c r="M1208" s="65" t="str" cm="1">
        <f t="array" ref="M1208">_xlfn.IFS(Table22[[#This Row],[Units Sold]]&lt;40,"Critical",Table22[[#This Row],[Units Sold]]&lt;=50,"Poor",Table22[[#This Row],[Units Sold]]&lt;=60,"Low",Table22[[#This Row],[Units Sold]]&lt;=80,"Average",Table22[[#This Row],[Units Sold]]&lt;=90,"High",Table22[[#This Row],[Units Sold]]&lt;=95,"Excellent",Table22[[#This Row],[Units Sold]]&gt;95,"Outstanding")</f>
        <v>Critical</v>
      </c>
      <c r="N1208" s="29">
        <v>565.98</v>
      </c>
      <c r="O1208" s="29">
        <v>22073.22</v>
      </c>
      <c r="P1208" s="43">
        <f>IF(Table22[[#This Row],[Discount Applied]],Table22[[#This Row],[Total Sales (in USD)]]*(1-Table22[[#This Row],[Discount Percentage (%)]]/100),Table22[[#This Row],[Total Sales (in USD)]])</f>
        <v>22073.22</v>
      </c>
      <c r="Q1208" s="66">
        <f>SQRT(AVERAGE((Table22[[#This Row],[Net Sales (after discount) (in USD)]]-AVERAGE(Table22[Net Sales (after discount) (in USD)]))^2))</f>
        <v>14438.140563764537</v>
      </c>
      <c r="R1208" s="18" t="b">
        <v>1</v>
      </c>
      <c r="S1208" s="40">
        <v>27.76</v>
      </c>
      <c r="T1208" s="18" t="b">
        <v>0</v>
      </c>
      <c r="U1208" s="25">
        <v>45410</v>
      </c>
      <c r="V1208" s="63" t="str">
        <f>IF(MONTH(Table22[[#This Row],[Sales Date]])&lt;=3,"Q1",IF(MONTH(Table22[[#This Row],[Sales Date]])&lt;=6,"Q2",IF(MONTH(Table22[[#This Row],[Sales Date]])&lt;=9,"Q3","Q4")))</f>
        <v>Q2</v>
      </c>
      <c r="W1208" s="64">
        <f>YEAR(Table22[[#This Row],[Sales Date]])</f>
        <v>2024</v>
      </c>
      <c r="X1208" s="23">
        <v>59</v>
      </c>
      <c r="Y1208" s="18" t="s">
        <v>49</v>
      </c>
      <c r="Z1208" s="18" t="s">
        <v>30</v>
      </c>
      <c r="AA1208" s="19" t="s">
        <v>36</v>
      </c>
    </row>
    <row r="1209" spans="1:27" x14ac:dyDescent="0.25">
      <c r="A1209" s="17" t="s">
        <v>1716</v>
      </c>
      <c r="B1209" s="18" t="s">
        <v>32</v>
      </c>
      <c r="C1209" s="63" t="str" cm="1">
        <f t="array" ref="C1209">_xlfn.SWITCH(Table22[[#This Row],[Country]],"USA","North America","Canada","North America","Brazil","South America","China","Asia","Japan","Asia","India","Asia","France","Europe","Germany","Europe","UK","Europe","Australia","Oceania","South America")</f>
        <v>Asia</v>
      </c>
      <c r="D1209" s="18" t="s">
        <v>28</v>
      </c>
      <c r="E1209" s="18" t="s">
        <v>39</v>
      </c>
      <c r="F1209" s="18" t="s">
        <v>47</v>
      </c>
      <c r="G1209" s="18" t="s">
        <v>22</v>
      </c>
      <c r="H1209" s="64">
        <f>LEN(TRIM(Table22[[#This Row],[Country]]))</f>
        <v>5</v>
      </c>
      <c r="I1209" s="64">
        <f>LEN(TRIM(Table22[[#This Row],[Continent]]))</f>
        <v>4</v>
      </c>
      <c r="J1209" s="64">
        <f>LEN(TRIM(Table22[[#This Row],[Product]]))</f>
        <v>10</v>
      </c>
      <c r="K1209" s="64">
        <f>LEN(TRIM(Table22[[#This Row],[Sales Team]]))</f>
        <v>10</v>
      </c>
      <c r="L1209" s="23">
        <v>78</v>
      </c>
      <c r="M1209" s="65" t="str" cm="1">
        <f t="array" ref="M1209">_xlfn.IFS(Table22[[#This Row],[Units Sold]]&lt;40,"Critical",Table22[[#This Row],[Units Sold]]&lt;=50,"Poor",Table22[[#This Row],[Units Sold]]&lt;=60,"Low",Table22[[#This Row],[Units Sold]]&lt;=80,"Average",Table22[[#This Row],[Units Sold]]&lt;=90,"High",Table22[[#This Row],[Units Sold]]&lt;=95,"Excellent",Table22[[#This Row],[Units Sold]]&gt;95,"Outstanding")</f>
        <v>Average</v>
      </c>
      <c r="N1209" s="29">
        <v>282.27999999999997</v>
      </c>
      <c r="O1209" s="29">
        <v>22017.84</v>
      </c>
      <c r="P1209" s="43">
        <f>IF(Table22[[#This Row],[Discount Applied]],Table22[[#This Row],[Total Sales (in USD)]]*(1-Table22[[#This Row],[Discount Percentage (%)]]/100),Table22[[#This Row],[Total Sales (in USD)]])</f>
        <v>22017.84</v>
      </c>
      <c r="Q1209" s="66">
        <f>SQRT(AVERAGE((Table22[[#This Row],[Net Sales (after discount) (in USD)]]-AVERAGE(Table22[Net Sales (after discount) (in USD)]))^2))</f>
        <v>14493.520563764538</v>
      </c>
      <c r="R1209" s="18" t="b">
        <v>1</v>
      </c>
      <c r="S1209" s="40">
        <v>1.34</v>
      </c>
      <c r="T1209" s="18" t="b">
        <v>0</v>
      </c>
      <c r="U1209" s="25">
        <v>45233</v>
      </c>
      <c r="V1209" s="63" t="str">
        <f>IF(MONTH(Table22[[#This Row],[Sales Date]])&lt;=3,"Q1",IF(MONTH(Table22[[#This Row],[Sales Date]])&lt;=6,"Q2",IF(MONTH(Table22[[#This Row],[Sales Date]])&lt;=9,"Q3","Q4")))</f>
        <v>Q4</v>
      </c>
      <c r="W1209" s="64">
        <f>YEAR(Table22[[#This Row],[Sales Date]])</f>
        <v>2023</v>
      </c>
      <c r="X1209" s="23">
        <v>66</v>
      </c>
      <c r="Y1209" s="18" t="s">
        <v>41</v>
      </c>
      <c r="Z1209" s="18" t="s">
        <v>24</v>
      </c>
      <c r="AA1209" s="19" t="s">
        <v>25</v>
      </c>
    </row>
    <row r="1210" spans="1:27" x14ac:dyDescent="0.25">
      <c r="A1210" s="17" t="s">
        <v>1811</v>
      </c>
      <c r="B1210" s="18" t="s">
        <v>72</v>
      </c>
      <c r="C1210" s="63" t="str" cm="1">
        <f t="array" ref="C1210">_xlfn.SWITCH(Table22[[#This Row],[Country]],"USA","North America","Canada","North America","Brazil","South America","China","Asia","Japan","Asia","India","Asia","France","Europe","Germany","Europe","UK","Europe","Australia","Oceania","South America")</f>
        <v>North America</v>
      </c>
      <c r="D1210" s="18" t="s">
        <v>35</v>
      </c>
      <c r="E1210" s="18" t="s">
        <v>19</v>
      </c>
      <c r="F1210" s="18" t="s">
        <v>52</v>
      </c>
      <c r="G1210" s="18" t="s">
        <v>22</v>
      </c>
      <c r="H1210" s="64">
        <f>LEN(TRIM(Table22[[#This Row],[Country]]))</f>
        <v>3</v>
      </c>
      <c r="I1210" s="64">
        <f>LEN(TRIM(Table22[[#This Row],[Continent]]))</f>
        <v>13</v>
      </c>
      <c r="J1210" s="64">
        <f>LEN(TRIM(Table22[[#This Row],[Product]]))</f>
        <v>6</v>
      </c>
      <c r="K1210" s="64">
        <f>LEN(TRIM(Table22[[#This Row],[Sales Team]]))</f>
        <v>10</v>
      </c>
      <c r="L1210" s="23">
        <v>79</v>
      </c>
      <c r="M1210" s="65" t="str" cm="1">
        <f t="array" ref="M1210">_xlfn.IFS(Table22[[#This Row],[Units Sold]]&lt;40,"Critical",Table22[[#This Row],[Units Sold]]&lt;=50,"Poor",Table22[[#This Row],[Units Sold]]&lt;=60,"Low",Table22[[#This Row],[Units Sold]]&lt;=80,"Average",Table22[[#This Row],[Units Sold]]&lt;=90,"High",Table22[[#This Row],[Units Sold]]&lt;=95,"Excellent",Table22[[#This Row],[Units Sold]]&gt;95,"Outstanding")</f>
        <v>Average</v>
      </c>
      <c r="N1210" s="29">
        <v>278.67</v>
      </c>
      <c r="O1210" s="29">
        <v>22014.93</v>
      </c>
      <c r="P1210" s="43">
        <f>IF(Table22[[#This Row],[Discount Applied]],Table22[[#This Row],[Total Sales (in USD)]]*(1-Table22[[#This Row],[Discount Percentage (%)]]/100),Table22[[#This Row],[Total Sales (in USD)]])</f>
        <v>22014.93</v>
      </c>
      <c r="Q1210" s="66">
        <f>SQRT(AVERAGE((Table22[[#This Row],[Net Sales (after discount) (in USD)]]-AVERAGE(Table22[Net Sales (after discount) (in USD)]))^2))</f>
        <v>14496.430563764538</v>
      </c>
      <c r="R1210" s="18" t="b">
        <v>1</v>
      </c>
      <c r="S1210" s="40">
        <v>4.5</v>
      </c>
      <c r="T1210" s="18" t="b">
        <v>0</v>
      </c>
      <c r="U1210" s="25">
        <v>45496</v>
      </c>
      <c r="V1210" s="63" t="str">
        <f>IF(MONTH(Table22[[#This Row],[Sales Date]])&lt;=3,"Q1",IF(MONTH(Table22[[#This Row],[Sales Date]])&lt;=6,"Q2",IF(MONTH(Table22[[#This Row],[Sales Date]])&lt;=9,"Q3","Q4")))</f>
        <v>Q3</v>
      </c>
      <c r="W1210" s="64">
        <f>YEAR(Table22[[#This Row],[Sales Date]])</f>
        <v>2024</v>
      </c>
      <c r="X1210" s="23">
        <v>19</v>
      </c>
      <c r="Y1210" s="18" t="s">
        <v>23</v>
      </c>
      <c r="Z1210" s="18" t="s">
        <v>42</v>
      </c>
      <c r="AA1210" s="19" t="s">
        <v>36</v>
      </c>
    </row>
    <row r="1211" spans="1:27" x14ac:dyDescent="0.25">
      <c r="A1211" s="17" t="s">
        <v>1822</v>
      </c>
      <c r="B1211" s="18" t="s">
        <v>32</v>
      </c>
      <c r="C1211" s="63" t="str" cm="1">
        <f t="array" ref="C1211">_xlfn.SWITCH(Table22[[#This Row],[Country]],"USA","North America","Canada","North America","Brazil","South America","China","Asia","Japan","Asia","India","Asia","France","Europe","Germany","Europe","UK","Europe","Australia","Oceania","South America")</f>
        <v>Asia</v>
      </c>
      <c r="D1211" s="18" t="s">
        <v>21</v>
      </c>
      <c r="E1211" s="18" t="s">
        <v>19</v>
      </c>
      <c r="F1211" s="18" t="s">
        <v>52</v>
      </c>
      <c r="G1211" s="18" t="s">
        <v>40</v>
      </c>
      <c r="H1211" s="64">
        <f>LEN(TRIM(Table22[[#This Row],[Country]]))</f>
        <v>5</v>
      </c>
      <c r="I1211" s="64">
        <f>LEN(TRIM(Table22[[#This Row],[Continent]]))</f>
        <v>4</v>
      </c>
      <c r="J1211" s="64">
        <f>LEN(TRIM(Table22[[#This Row],[Product]]))</f>
        <v>6</v>
      </c>
      <c r="K1211" s="64">
        <f>LEN(TRIM(Table22[[#This Row],[Sales Team]]))</f>
        <v>10</v>
      </c>
      <c r="L1211" s="23">
        <v>31</v>
      </c>
      <c r="M1211" s="65" t="str" cm="1">
        <f t="array" ref="M1211">_xlfn.IFS(Table22[[#This Row],[Units Sold]]&lt;40,"Critical",Table22[[#This Row],[Units Sold]]&lt;=50,"Poor",Table22[[#This Row],[Units Sold]]&lt;=60,"Low",Table22[[#This Row],[Units Sold]]&lt;=80,"Average",Table22[[#This Row],[Units Sold]]&lt;=90,"High",Table22[[#This Row],[Units Sold]]&lt;=95,"Excellent",Table22[[#This Row],[Units Sold]]&gt;95,"Outstanding")</f>
        <v>Critical</v>
      </c>
      <c r="N1211" s="29">
        <v>709.77</v>
      </c>
      <c r="O1211" s="29">
        <v>22002.87</v>
      </c>
      <c r="P1211" s="43">
        <f>IF(Table22[[#This Row],[Discount Applied]],Table22[[#This Row],[Total Sales (in USD)]]*(1-Table22[[#This Row],[Discount Percentage (%)]]/100),Table22[[#This Row],[Total Sales (in USD)]])</f>
        <v>22002.87</v>
      </c>
      <c r="Q1211" s="66">
        <f>SQRT(AVERAGE((Table22[[#This Row],[Net Sales (after discount) (in USD)]]-AVERAGE(Table22[Net Sales (after discount) (in USD)]))^2))</f>
        <v>14508.490563764539</v>
      </c>
      <c r="R1211" s="18" t="b">
        <v>1</v>
      </c>
      <c r="S1211" s="40">
        <v>11.22</v>
      </c>
      <c r="T1211" s="18" t="b">
        <v>0</v>
      </c>
      <c r="U1211" s="25">
        <v>44973</v>
      </c>
      <c r="V1211" s="63" t="str">
        <f>IF(MONTH(Table22[[#This Row],[Sales Date]])&lt;=3,"Q1",IF(MONTH(Table22[[#This Row],[Sales Date]])&lt;=6,"Q2",IF(MONTH(Table22[[#This Row],[Sales Date]])&lt;=9,"Q3","Q4")))</f>
        <v>Q1</v>
      </c>
      <c r="W1211" s="64">
        <f>YEAR(Table22[[#This Row],[Sales Date]])</f>
        <v>2023</v>
      </c>
      <c r="X1211" s="23">
        <v>32</v>
      </c>
      <c r="Y1211" s="18" t="s">
        <v>41</v>
      </c>
      <c r="Z1211" s="18" t="s">
        <v>56</v>
      </c>
      <c r="AA1211" s="19" t="s">
        <v>25</v>
      </c>
    </row>
    <row r="1212" spans="1:27" x14ac:dyDescent="0.25">
      <c r="A1212" s="17" t="s">
        <v>247</v>
      </c>
      <c r="B1212" s="18" t="s">
        <v>32</v>
      </c>
      <c r="C1212" s="63" t="str" cm="1">
        <f t="array" ref="C1212">_xlfn.SWITCH(Table22[[#This Row],[Country]],"USA","North America","Canada","North America","Brazil","South America","China","Asia","Japan","Asia","India","Asia","France","Europe","Germany","Europe","UK","Europe","Australia","Oceania","South America")</f>
        <v>Asia</v>
      </c>
      <c r="D1212" s="18" t="s">
        <v>28</v>
      </c>
      <c r="E1212" s="18" t="s">
        <v>33</v>
      </c>
      <c r="F1212" s="18" t="s">
        <v>20</v>
      </c>
      <c r="G1212" s="18" t="s">
        <v>29</v>
      </c>
      <c r="H1212" s="64">
        <f>LEN(TRIM(Table22[[#This Row],[Country]]))</f>
        <v>5</v>
      </c>
      <c r="I1212" s="64">
        <f>LEN(TRIM(Table22[[#This Row],[Continent]]))</f>
        <v>4</v>
      </c>
      <c r="J1212" s="64">
        <f>LEN(TRIM(Table22[[#This Row],[Product]]))</f>
        <v>10</v>
      </c>
      <c r="K1212" s="64">
        <f>LEN(TRIM(Table22[[#This Row],[Sales Team]]))</f>
        <v>10</v>
      </c>
      <c r="L1212" s="23">
        <v>35</v>
      </c>
      <c r="M1212" s="65" t="str" cm="1">
        <f t="array" ref="M1212">_xlfn.IFS(Table22[[#This Row],[Units Sold]]&lt;40,"Critical",Table22[[#This Row],[Units Sold]]&lt;=50,"Poor",Table22[[#This Row],[Units Sold]]&lt;=60,"Low",Table22[[#This Row],[Units Sold]]&lt;=80,"Average",Table22[[#This Row],[Units Sold]]&lt;=90,"High",Table22[[#This Row],[Units Sold]]&lt;=95,"Excellent",Table22[[#This Row],[Units Sold]]&gt;95,"Outstanding")</f>
        <v>Critical</v>
      </c>
      <c r="N1212" s="29">
        <v>628.29</v>
      </c>
      <c r="O1212" s="29">
        <v>21990.15</v>
      </c>
      <c r="P1212" s="43">
        <f>IF(Table22[[#This Row],[Discount Applied]],Table22[[#This Row],[Total Sales (in USD)]]*(1-Table22[[#This Row],[Discount Percentage (%)]]/100),Table22[[#This Row],[Total Sales (in USD)]])</f>
        <v>21990.15</v>
      </c>
      <c r="Q1212" s="66">
        <f>SQRT(AVERAGE((Table22[[#This Row],[Net Sales (after discount) (in USD)]]-AVERAGE(Table22[Net Sales (after discount) (in USD)]))^2))</f>
        <v>14521.210563764536</v>
      </c>
      <c r="R1212" s="18" t="b">
        <v>0</v>
      </c>
      <c r="S1212" s="40">
        <v>26.93</v>
      </c>
      <c r="T1212" s="18" t="b">
        <v>0</v>
      </c>
      <c r="U1212" s="25">
        <v>45001</v>
      </c>
      <c r="V1212" s="63" t="str">
        <f>IF(MONTH(Table22[[#This Row],[Sales Date]])&lt;=3,"Q1",IF(MONTH(Table22[[#This Row],[Sales Date]])&lt;=6,"Q2",IF(MONTH(Table22[[#This Row],[Sales Date]])&lt;=9,"Q3","Q4")))</f>
        <v>Q1</v>
      </c>
      <c r="W1212" s="64">
        <f>YEAR(Table22[[#This Row],[Sales Date]])</f>
        <v>2023</v>
      </c>
      <c r="X1212" s="23">
        <v>58</v>
      </c>
      <c r="Y1212" s="18" t="s">
        <v>41</v>
      </c>
      <c r="Z1212" s="18" t="s">
        <v>30</v>
      </c>
      <c r="AA1212" s="19" t="s">
        <v>25</v>
      </c>
    </row>
    <row r="1213" spans="1:27" x14ac:dyDescent="0.25">
      <c r="A1213" s="17" t="s">
        <v>342</v>
      </c>
      <c r="B1213" s="18" t="s">
        <v>38</v>
      </c>
      <c r="C1213" s="63" t="str" cm="1">
        <f t="array" ref="C1213">_xlfn.SWITCH(Table22[[#This Row],[Country]],"USA","North America","Canada","North America","Brazil","South America","China","Asia","Japan","Asia","India","Asia","France","Europe","Germany","Europe","UK","Europe","Australia","Oceania","South America")</f>
        <v>Europe</v>
      </c>
      <c r="D1213" s="18" t="s">
        <v>21</v>
      </c>
      <c r="E1213" s="18" t="s">
        <v>39</v>
      </c>
      <c r="F1213" s="18" t="s">
        <v>20</v>
      </c>
      <c r="G1213" s="18" t="s">
        <v>40</v>
      </c>
      <c r="H1213" s="64">
        <f>LEN(TRIM(Table22[[#This Row],[Country]]))</f>
        <v>6</v>
      </c>
      <c r="I1213" s="64">
        <f>LEN(TRIM(Table22[[#This Row],[Continent]]))</f>
        <v>6</v>
      </c>
      <c r="J1213" s="64">
        <f>LEN(TRIM(Table22[[#This Row],[Product]]))</f>
        <v>10</v>
      </c>
      <c r="K1213" s="64">
        <f>LEN(TRIM(Table22[[#This Row],[Sales Team]]))</f>
        <v>10</v>
      </c>
      <c r="L1213" s="23">
        <v>65</v>
      </c>
      <c r="M1213" s="65" t="str" cm="1">
        <f t="array" ref="M1213">_xlfn.IFS(Table22[[#This Row],[Units Sold]]&lt;40,"Critical",Table22[[#This Row],[Units Sold]]&lt;=50,"Poor",Table22[[#This Row],[Units Sold]]&lt;=60,"Low",Table22[[#This Row],[Units Sold]]&lt;=80,"Average",Table22[[#This Row],[Units Sold]]&lt;=90,"High",Table22[[#This Row],[Units Sold]]&lt;=95,"Excellent",Table22[[#This Row],[Units Sold]]&gt;95,"Outstanding")</f>
        <v>Average</v>
      </c>
      <c r="N1213" s="29">
        <v>336.34</v>
      </c>
      <c r="O1213" s="29">
        <v>21862.1</v>
      </c>
      <c r="P1213" s="43">
        <f>IF(Table22[[#This Row],[Discount Applied]],Table22[[#This Row],[Total Sales (in USD)]]*(1-Table22[[#This Row],[Discount Percentage (%)]]/100),Table22[[#This Row],[Total Sales (in USD)]])</f>
        <v>21862.1</v>
      </c>
      <c r="Q1213" s="66">
        <f>SQRT(AVERAGE((Table22[[#This Row],[Net Sales (after discount) (in USD)]]-AVERAGE(Table22[Net Sales (after discount) (in USD)]))^2))</f>
        <v>14649.260563764539</v>
      </c>
      <c r="R1213" s="18" t="b">
        <v>1</v>
      </c>
      <c r="S1213" s="40">
        <v>27.14</v>
      </c>
      <c r="T1213" s="18" t="b">
        <v>0</v>
      </c>
      <c r="U1213" s="25">
        <v>45233</v>
      </c>
      <c r="V1213" s="63" t="str">
        <f>IF(MONTH(Table22[[#This Row],[Sales Date]])&lt;=3,"Q1",IF(MONTH(Table22[[#This Row],[Sales Date]])&lt;=6,"Q2",IF(MONTH(Table22[[#This Row],[Sales Date]])&lt;=9,"Q3","Q4")))</f>
        <v>Q4</v>
      </c>
      <c r="W1213" s="64">
        <f>YEAR(Table22[[#This Row],[Sales Date]])</f>
        <v>2023</v>
      </c>
      <c r="X1213" s="23">
        <v>65</v>
      </c>
      <c r="Y1213" s="18" t="s">
        <v>23</v>
      </c>
      <c r="Z1213" s="18" t="s">
        <v>24</v>
      </c>
      <c r="AA1213" s="19" t="s">
        <v>36</v>
      </c>
    </row>
    <row r="1214" spans="1:27" x14ac:dyDescent="0.25">
      <c r="A1214" s="17" t="s">
        <v>901</v>
      </c>
      <c r="B1214" s="18" t="s">
        <v>62</v>
      </c>
      <c r="C1214" s="63" t="str" cm="1">
        <f t="array" ref="C1214">_xlfn.SWITCH(Table22[[#This Row],[Country]],"USA","North America","Canada","North America","Brazil","South America","China","Asia","Japan","Asia","India","Asia","France","Europe","Germany","Europe","UK","Europe","Australia","Oceania","South America")</f>
        <v>Oceania</v>
      </c>
      <c r="D1214" s="18" t="s">
        <v>28</v>
      </c>
      <c r="E1214" s="18" t="s">
        <v>33</v>
      </c>
      <c r="F1214" s="18" t="s">
        <v>52</v>
      </c>
      <c r="G1214" s="18" t="s">
        <v>48</v>
      </c>
      <c r="H1214" s="64">
        <f>LEN(TRIM(Table22[[#This Row],[Country]]))</f>
        <v>9</v>
      </c>
      <c r="I1214" s="64">
        <f>LEN(TRIM(Table22[[#This Row],[Continent]]))</f>
        <v>7</v>
      </c>
      <c r="J1214" s="64">
        <f>LEN(TRIM(Table22[[#This Row],[Product]]))</f>
        <v>10</v>
      </c>
      <c r="K1214" s="64">
        <f>LEN(TRIM(Table22[[#This Row],[Sales Team]]))</f>
        <v>9</v>
      </c>
      <c r="L1214" s="23">
        <v>73</v>
      </c>
      <c r="M1214" s="65" t="str" cm="1">
        <f t="array" ref="M1214">_xlfn.IFS(Table22[[#This Row],[Units Sold]]&lt;40,"Critical",Table22[[#This Row],[Units Sold]]&lt;=50,"Poor",Table22[[#This Row],[Units Sold]]&lt;=60,"Low",Table22[[#This Row],[Units Sold]]&lt;=80,"Average",Table22[[#This Row],[Units Sold]]&lt;=90,"High",Table22[[#This Row],[Units Sold]]&lt;=95,"Excellent",Table22[[#This Row],[Units Sold]]&gt;95,"Outstanding")</f>
        <v>Average</v>
      </c>
      <c r="N1214" s="29">
        <v>298.97000000000003</v>
      </c>
      <c r="O1214" s="29">
        <v>21824.81</v>
      </c>
      <c r="P1214" s="43">
        <f>IF(Table22[[#This Row],[Discount Applied]],Table22[[#This Row],[Total Sales (in USD)]]*(1-Table22[[#This Row],[Discount Percentage (%)]]/100),Table22[[#This Row],[Total Sales (in USD)]])</f>
        <v>19699.073506000001</v>
      </c>
      <c r="Q1214" s="66">
        <f>SQRT(AVERAGE((Table22[[#This Row],[Net Sales (after discount) (in USD)]]-AVERAGE(Table22[Net Sales (after discount) (in USD)]))^2))</f>
        <v>16812.287057764537</v>
      </c>
      <c r="R1214" s="18" t="b">
        <v>1</v>
      </c>
      <c r="S1214" s="40">
        <v>9.74</v>
      </c>
      <c r="T1214" s="18" t="b">
        <v>1</v>
      </c>
      <c r="U1214" s="25">
        <v>45361</v>
      </c>
      <c r="V1214" s="63" t="str">
        <f>IF(MONTH(Table22[[#This Row],[Sales Date]])&lt;=3,"Q1",IF(MONTH(Table22[[#This Row],[Sales Date]])&lt;=6,"Q2",IF(MONTH(Table22[[#This Row],[Sales Date]])&lt;=9,"Q3","Q4")))</f>
        <v>Q1</v>
      </c>
      <c r="W1214" s="64">
        <f>YEAR(Table22[[#This Row],[Sales Date]])</f>
        <v>2024</v>
      </c>
      <c r="X1214" s="23">
        <v>34</v>
      </c>
      <c r="Y1214" s="18" t="s">
        <v>23</v>
      </c>
      <c r="Z1214" s="18" t="s">
        <v>42</v>
      </c>
      <c r="AA1214" s="19" t="s">
        <v>36</v>
      </c>
    </row>
    <row r="1215" spans="1:27" x14ac:dyDescent="0.25">
      <c r="A1215" s="17" t="s">
        <v>69</v>
      </c>
      <c r="B1215" s="18" t="s">
        <v>66</v>
      </c>
      <c r="C1215" s="63" t="str" cm="1">
        <f t="array" ref="C1215">_xlfn.SWITCH(Table22[[#This Row],[Country]],"USA","North America","Canada","North America","Brazil","South America","China","Asia","Japan","Asia","India","Asia","France","Europe","Germany","Europe","UK","Europe","Australia","Oceania","South America")</f>
        <v>North America</v>
      </c>
      <c r="D1215" s="18" t="s">
        <v>21</v>
      </c>
      <c r="E1215" s="18" t="s">
        <v>33</v>
      </c>
      <c r="F1215" s="18" t="s">
        <v>52</v>
      </c>
      <c r="G1215" s="18" t="s">
        <v>40</v>
      </c>
      <c r="H1215" s="64">
        <f>LEN(TRIM(Table22[[#This Row],[Country]]))</f>
        <v>6</v>
      </c>
      <c r="I1215" s="64">
        <f>LEN(TRIM(Table22[[#This Row],[Continent]]))</f>
        <v>13</v>
      </c>
      <c r="J1215" s="64">
        <f>LEN(TRIM(Table22[[#This Row],[Product]]))</f>
        <v>10</v>
      </c>
      <c r="K1215" s="64">
        <f>LEN(TRIM(Table22[[#This Row],[Sales Team]]))</f>
        <v>10</v>
      </c>
      <c r="L1215" s="23">
        <v>16</v>
      </c>
      <c r="M1215" s="65" t="str" cm="1">
        <f t="array" ref="M1215">_xlfn.IFS(Table22[[#This Row],[Units Sold]]&lt;40,"Critical",Table22[[#This Row],[Units Sold]]&lt;=50,"Poor",Table22[[#This Row],[Units Sold]]&lt;=60,"Low",Table22[[#This Row],[Units Sold]]&lt;=80,"Average",Table22[[#This Row],[Units Sold]]&lt;=90,"High",Table22[[#This Row],[Units Sold]]&lt;=95,"Excellent",Table22[[#This Row],[Units Sold]]&gt;95,"Outstanding")</f>
        <v>Critical</v>
      </c>
      <c r="N1215" s="29">
        <v>1363.48</v>
      </c>
      <c r="O1215" s="29">
        <v>21815.68</v>
      </c>
      <c r="P1215" s="43">
        <f>IF(Table22[[#This Row],[Discount Applied]],Table22[[#This Row],[Total Sales (in USD)]]*(1-Table22[[#This Row],[Discount Percentage (%)]]/100),Table22[[#This Row],[Total Sales (in USD)]])</f>
        <v>21815.68</v>
      </c>
      <c r="Q1215" s="66">
        <f>SQRT(AVERAGE((Table22[[#This Row],[Net Sales (after discount) (in USD)]]-AVERAGE(Table22[Net Sales (after discount) (in USD)]))^2))</f>
        <v>14695.680563764538</v>
      </c>
      <c r="R1215" s="18" t="b">
        <v>1</v>
      </c>
      <c r="S1215" s="40">
        <v>9.98</v>
      </c>
      <c r="T1215" s="18" t="b">
        <v>0</v>
      </c>
      <c r="U1215" s="25">
        <v>45443</v>
      </c>
      <c r="V1215" s="63" t="str">
        <f>IF(MONTH(Table22[[#This Row],[Sales Date]])&lt;=3,"Q1",IF(MONTH(Table22[[#This Row],[Sales Date]])&lt;=6,"Q2",IF(MONTH(Table22[[#This Row],[Sales Date]])&lt;=9,"Q3","Q4")))</f>
        <v>Q2</v>
      </c>
      <c r="W1215" s="64">
        <f>YEAR(Table22[[#This Row],[Sales Date]])</f>
        <v>2024</v>
      </c>
      <c r="X1215" s="23">
        <v>53</v>
      </c>
      <c r="Y1215" s="18" t="s">
        <v>41</v>
      </c>
      <c r="Z1215" s="18" t="s">
        <v>56</v>
      </c>
      <c r="AA1215" s="19" t="s">
        <v>25</v>
      </c>
    </row>
    <row r="1216" spans="1:27" x14ac:dyDescent="0.25">
      <c r="A1216" s="17" t="s">
        <v>2037</v>
      </c>
      <c r="B1216" s="18" t="s">
        <v>72</v>
      </c>
      <c r="C1216" s="63" t="str" cm="1">
        <f t="array" ref="C1216">_xlfn.SWITCH(Table22[[#This Row],[Country]],"USA","North America","Canada","North America","Brazil","South America","China","Asia","Japan","Asia","India","Asia","France","Europe","Germany","Europe","UK","Europe","Australia","Oceania","South America")</f>
        <v>North America</v>
      </c>
      <c r="D1216" s="18" t="s">
        <v>21</v>
      </c>
      <c r="E1216" s="18" t="s">
        <v>33</v>
      </c>
      <c r="F1216" s="18" t="s">
        <v>34</v>
      </c>
      <c r="G1216" s="18" t="s">
        <v>40</v>
      </c>
      <c r="H1216" s="64">
        <f>LEN(TRIM(Table22[[#This Row],[Country]]))</f>
        <v>3</v>
      </c>
      <c r="I1216" s="64">
        <f>LEN(TRIM(Table22[[#This Row],[Continent]]))</f>
        <v>13</v>
      </c>
      <c r="J1216" s="64">
        <f>LEN(TRIM(Table22[[#This Row],[Product]]))</f>
        <v>10</v>
      </c>
      <c r="K1216" s="64">
        <f>LEN(TRIM(Table22[[#This Row],[Sales Team]]))</f>
        <v>10</v>
      </c>
      <c r="L1216" s="23">
        <v>30</v>
      </c>
      <c r="M1216" s="65" t="str" cm="1">
        <f t="array" ref="M1216">_xlfn.IFS(Table22[[#This Row],[Units Sold]]&lt;40,"Critical",Table22[[#This Row],[Units Sold]]&lt;=50,"Poor",Table22[[#This Row],[Units Sold]]&lt;=60,"Low",Table22[[#This Row],[Units Sold]]&lt;=80,"Average",Table22[[#This Row],[Units Sold]]&lt;=90,"High",Table22[[#This Row],[Units Sold]]&lt;=95,"Excellent",Table22[[#This Row],[Units Sold]]&gt;95,"Outstanding")</f>
        <v>Critical</v>
      </c>
      <c r="N1216" s="29">
        <v>726.27</v>
      </c>
      <c r="O1216" s="29">
        <v>21788.1</v>
      </c>
      <c r="P1216" s="43">
        <f>IF(Table22[[#This Row],[Discount Applied]],Table22[[#This Row],[Total Sales (in USD)]]*(1-Table22[[#This Row],[Discount Percentage (%)]]/100),Table22[[#This Row],[Total Sales (in USD)]])</f>
        <v>21788.1</v>
      </c>
      <c r="Q1216" s="66">
        <f>SQRT(AVERAGE((Table22[[#This Row],[Net Sales (after discount) (in USD)]]-AVERAGE(Table22[Net Sales (after discount) (in USD)]))^2))</f>
        <v>14723.260563764539</v>
      </c>
      <c r="R1216" s="18" t="b">
        <v>1</v>
      </c>
      <c r="S1216" s="40">
        <v>26.69</v>
      </c>
      <c r="T1216" s="18" t="b">
        <v>0</v>
      </c>
      <c r="U1216" s="25">
        <v>45161</v>
      </c>
      <c r="V1216" s="63" t="str">
        <f>IF(MONTH(Table22[[#This Row],[Sales Date]])&lt;=3,"Q1",IF(MONTH(Table22[[#This Row],[Sales Date]])&lt;=6,"Q2",IF(MONTH(Table22[[#This Row],[Sales Date]])&lt;=9,"Q3","Q4")))</f>
        <v>Q3</v>
      </c>
      <c r="W1216" s="64">
        <f>YEAR(Table22[[#This Row],[Sales Date]])</f>
        <v>2023</v>
      </c>
      <c r="X1216" s="23">
        <v>20</v>
      </c>
      <c r="Y1216" s="18" t="s">
        <v>49</v>
      </c>
      <c r="Z1216" s="18" t="s">
        <v>42</v>
      </c>
      <c r="AA1216" s="19" t="s">
        <v>25</v>
      </c>
    </row>
    <row r="1217" spans="1:27" x14ac:dyDescent="0.25">
      <c r="A1217" s="17" t="s">
        <v>669</v>
      </c>
      <c r="B1217" s="18" t="s">
        <v>66</v>
      </c>
      <c r="C1217" s="63" t="str" cm="1">
        <f t="array" ref="C1217">_xlfn.SWITCH(Table22[[#This Row],[Country]],"USA","North America","Canada","North America","Brazil","South America","China","Asia","Japan","Asia","India","Asia","France","Europe","Germany","Europe","UK","Europe","Australia","Oceania","South America")</f>
        <v>North America</v>
      </c>
      <c r="D1217" s="18" t="s">
        <v>44</v>
      </c>
      <c r="E1217" s="18" t="s">
        <v>19</v>
      </c>
      <c r="F1217" s="18" t="s">
        <v>34</v>
      </c>
      <c r="G1217" s="18" t="s">
        <v>48</v>
      </c>
      <c r="H1217" s="64">
        <f>LEN(TRIM(Table22[[#This Row],[Country]]))</f>
        <v>6</v>
      </c>
      <c r="I1217" s="64">
        <f>LEN(TRIM(Table22[[#This Row],[Continent]]))</f>
        <v>13</v>
      </c>
      <c r="J1217" s="64">
        <f>LEN(TRIM(Table22[[#This Row],[Product]]))</f>
        <v>6</v>
      </c>
      <c r="K1217" s="64">
        <f>LEN(TRIM(Table22[[#This Row],[Sales Team]]))</f>
        <v>9</v>
      </c>
      <c r="L1217" s="23">
        <v>33</v>
      </c>
      <c r="M1217" s="65" t="str" cm="1">
        <f t="array" ref="M1217">_xlfn.IFS(Table22[[#This Row],[Units Sold]]&lt;40,"Critical",Table22[[#This Row],[Units Sold]]&lt;=50,"Poor",Table22[[#This Row],[Units Sold]]&lt;=60,"Low",Table22[[#This Row],[Units Sold]]&lt;=80,"Average",Table22[[#This Row],[Units Sold]]&lt;=90,"High",Table22[[#This Row],[Units Sold]]&lt;=95,"Excellent",Table22[[#This Row],[Units Sold]]&gt;95,"Outstanding")</f>
        <v>Critical</v>
      </c>
      <c r="N1217" s="29">
        <v>658.91</v>
      </c>
      <c r="O1217" s="29">
        <v>21744.03</v>
      </c>
      <c r="P1217" s="43">
        <f>IF(Table22[[#This Row],[Discount Applied]],Table22[[#This Row],[Total Sales (in USD)]]*(1-Table22[[#This Row],[Discount Percentage (%)]]/100),Table22[[#This Row],[Total Sales (in USD)]])</f>
        <v>18956.445353999999</v>
      </c>
      <c r="Q1217" s="66">
        <f>SQRT(AVERAGE((Table22[[#This Row],[Net Sales (after discount) (in USD)]]-AVERAGE(Table22[Net Sales (after discount) (in USD)]))^2))</f>
        <v>17554.915209764538</v>
      </c>
      <c r="R1217" s="18" t="b">
        <v>1</v>
      </c>
      <c r="S1217" s="40">
        <v>12.82</v>
      </c>
      <c r="T1217" s="18" t="b">
        <v>1</v>
      </c>
      <c r="U1217" s="25">
        <v>45212</v>
      </c>
      <c r="V1217" s="63" t="str">
        <f>IF(MONTH(Table22[[#This Row],[Sales Date]])&lt;=3,"Q1",IF(MONTH(Table22[[#This Row],[Sales Date]])&lt;=6,"Q2",IF(MONTH(Table22[[#This Row],[Sales Date]])&lt;=9,"Q3","Q4")))</f>
        <v>Q4</v>
      </c>
      <c r="W1217" s="64">
        <f>YEAR(Table22[[#This Row],[Sales Date]])</f>
        <v>2023</v>
      </c>
      <c r="X1217" s="23">
        <v>64</v>
      </c>
      <c r="Y1217" s="18" t="s">
        <v>23</v>
      </c>
      <c r="Z1217" s="18" t="s">
        <v>24</v>
      </c>
      <c r="AA1217" s="19" t="s">
        <v>25</v>
      </c>
    </row>
    <row r="1218" spans="1:27" x14ac:dyDescent="0.25">
      <c r="A1218" s="17" t="s">
        <v>395</v>
      </c>
      <c r="B1218" s="18" t="s">
        <v>27</v>
      </c>
      <c r="C1218" s="63" t="str" cm="1">
        <f t="array" ref="C1218">_xlfn.SWITCH(Table22[[#This Row],[Country]],"USA","North America","Canada","North America","Brazil","South America","China","Asia","Japan","Asia","India","Asia","France","Europe","Germany","Europe","UK","Europe","Australia","Oceania","South America")</f>
        <v>Europe</v>
      </c>
      <c r="D1218" s="18" t="s">
        <v>44</v>
      </c>
      <c r="E1218" s="18" t="s">
        <v>33</v>
      </c>
      <c r="F1218" s="18" t="s">
        <v>47</v>
      </c>
      <c r="G1218" s="18" t="s">
        <v>22</v>
      </c>
      <c r="H1218" s="64">
        <f>LEN(TRIM(Table22[[#This Row],[Country]]))</f>
        <v>7</v>
      </c>
      <c r="I1218" s="64">
        <f>LEN(TRIM(Table22[[#This Row],[Continent]]))</f>
        <v>6</v>
      </c>
      <c r="J1218" s="64">
        <f>LEN(TRIM(Table22[[#This Row],[Product]]))</f>
        <v>10</v>
      </c>
      <c r="K1218" s="64">
        <f>LEN(TRIM(Table22[[#This Row],[Sales Team]]))</f>
        <v>10</v>
      </c>
      <c r="L1218" s="23">
        <v>29</v>
      </c>
      <c r="M1218" s="65" t="str" cm="1">
        <f t="array" ref="M1218">_xlfn.IFS(Table22[[#This Row],[Units Sold]]&lt;40,"Critical",Table22[[#This Row],[Units Sold]]&lt;=50,"Poor",Table22[[#This Row],[Units Sold]]&lt;=60,"Low",Table22[[#This Row],[Units Sold]]&lt;=80,"Average",Table22[[#This Row],[Units Sold]]&lt;=90,"High",Table22[[#This Row],[Units Sold]]&lt;=95,"Excellent",Table22[[#This Row],[Units Sold]]&gt;95,"Outstanding")</f>
        <v>Critical</v>
      </c>
      <c r="N1218" s="29">
        <v>746.13</v>
      </c>
      <c r="O1218" s="29">
        <v>21637.77</v>
      </c>
      <c r="P1218" s="43">
        <f>IF(Table22[[#This Row],[Discount Applied]],Table22[[#This Row],[Total Sales (in USD)]]*(1-Table22[[#This Row],[Discount Percentage (%)]]/100),Table22[[#This Row],[Total Sales (in USD)]])</f>
        <v>19722.827355000001</v>
      </c>
      <c r="Q1218" s="66">
        <f>SQRT(AVERAGE((Table22[[#This Row],[Net Sales (after discount) (in USD)]]-AVERAGE(Table22[Net Sales (after discount) (in USD)]))^2))</f>
        <v>16788.533208764537</v>
      </c>
      <c r="R1218" s="18" t="b">
        <v>1</v>
      </c>
      <c r="S1218" s="40">
        <v>8.85</v>
      </c>
      <c r="T1218" s="18" t="b">
        <v>1</v>
      </c>
      <c r="U1218" s="25">
        <v>45222</v>
      </c>
      <c r="V1218" s="63" t="str">
        <f>IF(MONTH(Table22[[#This Row],[Sales Date]])&lt;=3,"Q1",IF(MONTH(Table22[[#This Row],[Sales Date]])&lt;=6,"Q2",IF(MONTH(Table22[[#This Row],[Sales Date]])&lt;=9,"Q3","Q4")))</f>
        <v>Q4</v>
      </c>
      <c r="W1218" s="64">
        <f>YEAR(Table22[[#This Row],[Sales Date]])</f>
        <v>2023</v>
      </c>
      <c r="X1218" s="23">
        <v>41</v>
      </c>
      <c r="Y1218" s="18" t="s">
        <v>23</v>
      </c>
      <c r="Z1218" s="18" t="s">
        <v>56</v>
      </c>
      <c r="AA1218" s="19" t="s">
        <v>25</v>
      </c>
    </row>
    <row r="1219" spans="1:27" x14ac:dyDescent="0.25">
      <c r="A1219" s="17" t="s">
        <v>1191</v>
      </c>
      <c r="B1219" s="18" t="s">
        <v>18</v>
      </c>
      <c r="C1219" s="63" t="str" cm="1">
        <f t="array" ref="C1219">_xlfn.SWITCH(Table22[[#This Row],[Country]],"USA","North America","Canada","North America","Brazil","South America","China","Asia","Japan","Asia","India","Asia","France","Europe","Germany","Europe","UK","Europe","Australia","Oceania","South America")</f>
        <v>Asia</v>
      </c>
      <c r="D1219" s="18" t="s">
        <v>35</v>
      </c>
      <c r="E1219" s="18" t="s">
        <v>33</v>
      </c>
      <c r="F1219" s="18" t="s">
        <v>47</v>
      </c>
      <c r="G1219" s="18" t="s">
        <v>40</v>
      </c>
      <c r="H1219" s="64">
        <f>LEN(TRIM(Table22[[#This Row],[Country]]))</f>
        <v>5</v>
      </c>
      <c r="I1219" s="64">
        <f>LEN(TRIM(Table22[[#This Row],[Continent]]))</f>
        <v>4</v>
      </c>
      <c r="J1219" s="64">
        <f>LEN(TRIM(Table22[[#This Row],[Product]]))</f>
        <v>10</v>
      </c>
      <c r="K1219" s="64">
        <f>LEN(TRIM(Table22[[#This Row],[Sales Team]]))</f>
        <v>10</v>
      </c>
      <c r="L1219" s="23">
        <v>25</v>
      </c>
      <c r="M1219" s="65" t="str" cm="1">
        <f t="array" ref="M1219">_xlfn.IFS(Table22[[#This Row],[Units Sold]]&lt;40,"Critical",Table22[[#This Row],[Units Sold]]&lt;=50,"Poor",Table22[[#This Row],[Units Sold]]&lt;=60,"Low",Table22[[#This Row],[Units Sold]]&lt;=80,"Average",Table22[[#This Row],[Units Sold]]&lt;=90,"High",Table22[[#This Row],[Units Sold]]&lt;=95,"Excellent",Table22[[#This Row],[Units Sold]]&gt;95,"Outstanding")</f>
        <v>Critical</v>
      </c>
      <c r="N1219" s="29">
        <v>864.87</v>
      </c>
      <c r="O1219" s="29">
        <v>21621.75</v>
      </c>
      <c r="P1219" s="43">
        <f>IF(Table22[[#This Row],[Discount Applied]],Table22[[#This Row],[Total Sales (in USD)]]*(1-Table22[[#This Row],[Discount Percentage (%)]]/100),Table22[[#This Row],[Total Sales (in USD)]])</f>
        <v>21621.75</v>
      </c>
      <c r="Q1219" s="66">
        <f>SQRT(AVERAGE((Table22[[#This Row],[Net Sales (after discount) (in USD)]]-AVERAGE(Table22[Net Sales (after discount) (in USD)]))^2))</f>
        <v>14889.610563764538</v>
      </c>
      <c r="R1219" s="18" t="b">
        <v>1</v>
      </c>
      <c r="S1219" s="40">
        <v>16.579999999999998</v>
      </c>
      <c r="T1219" s="18" t="b">
        <v>0</v>
      </c>
      <c r="U1219" s="25">
        <v>45104</v>
      </c>
      <c r="V1219" s="63" t="str">
        <f>IF(MONTH(Table22[[#This Row],[Sales Date]])&lt;=3,"Q1",IF(MONTH(Table22[[#This Row],[Sales Date]])&lt;=6,"Q2",IF(MONTH(Table22[[#This Row],[Sales Date]])&lt;=9,"Q3","Q4")))</f>
        <v>Q2</v>
      </c>
      <c r="W1219" s="64">
        <f>YEAR(Table22[[#This Row],[Sales Date]])</f>
        <v>2023</v>
      </c>
      <c r="X1219" s="23">
        <v>20</v>
      </c>
      <c r="Y1219" s="18" t="s">
        <v>49</v>
      </c>
      <c r="Z1219" s="18" t="s">
        <v>56</v>
      </c>
      <c r="AA1219" s="19" t="s">
        <v>25</v>
      </c>
    </row>
    <row r="1220" spans="1:27" x14ac:dyDescent="0.25">
      <c r="A1220" s="17" t="s">
        <v>632</v>
      </c>
      <c r="B1220" s="18" t="s">
        <v>76</v>
      </c>
      <c r="C1220" s="63" t="str" cm="1">
        <f t="array" ref="C1220">_xlfn.SWITCH(Table22[[#This Row],[Country]],"USA","North America","Canada","North America","Brazil","South America","China","Asia","Japan","Asia","India","Asia","France","Europe","Germany","Europe","UK","Europe","Australia","Oceania","South America")</f>
        <v>Asia</v>
      </c>
      <c r="D1220" s="18" t="s">
        <v>35</v>
      </c>
      <c r="E1220" s="18" t="s">
        <v>33</v>
      </c>
      <c r="F1220" s="18" t="s">
        <v>34</v>
      </c>
      <c r="G1220" s="18" t="s">
        <v>29</v>
      </c>
      <c r="H1220" s="64">
        <f>LEN(TRIM(Table22[[#This Row],[Country]]))</f>
        <v>5</v>
      </c>
      <c r="I1220" s="64">
        <f>LEN(TRIM(Table22[[#This Row],[Continent]]))</f>
        <v>4</v>
      </c>
      <c r="J1220" s="64">
        <f>LEN(TRIM(Table22[[#This Row],[Product]]))</f>
        <v>10</v>
      </c>
      <c r="K1220" s="64">
        <f>LEN(TRIM(Table22[[#This Row],[Sales Team]]))</f>
        <v>10</v>
      </c>
      <c r="L1220" s="23">
        <v>48</v>
      </c>
      <c r="M1220" s="65" t="str" cm="1">
        <f t="array" ref="M1220">_xlfn.IFS(Table22[[#This Row],[Units Sold]]&lt;40,"Critical",Table22[[#This Row],[Units Sold]]&lt;=50,"Poor",Table22[[#This Row],[Units Sold]]&lt;=60,"Low",Table22[[#This Row],[Units Sold]]&lt;=80,"Average",Table22[[#This Row],[Units Sold]]&lt;=90,"High",Table22[[#This Row],[Units Sold]]&lt;=95,"Excellent",Table22[[#This Row],[Units Sold]]&gt;95,"Outstanding")</f>
        <v>Poor</v>
      </c>
      <c r="N1220" s="29">
        <v>449.41</v>
      </c>
      <c r="O1220" s="29">
        <v>21571.68</v>
      </c>
      <c r="P1220" s="43">
        <f>IF(Table22[[#This Row],[Discount Applied]],Table22[[#This Row],[Total Sales (in USD)]]*(1-Table22[[#This Row],[Discount Percentage (%)]]/100),Table22[[#This Row],[Total Sales (in USD)]])</f>
        <v>21571.68</v>
      </c>
      <c r="Q1220" s="66">
        <f>SQRT(AVERAGE((Table22[[#This Row],[Net Sales (after discount) (in USD)]]-AVERAGE(Table22[Net Sales (after discount) (in USD)]))^2))</f>
        <v>14939.680563764538</v>
      </c>
      <c r="R1220" s="18" t="b">
        <v>1</v>
      </c>
      <c r="S1220" s="40">
        <v>8.66</v>
      </c>
      <c r="T1220" s="18" t="b">
        <v>0</v>
      </c>
      <c r="U1220" s="25">
        <v>45401</v>
      </c>
      <c r="V1220" s="63" t="str">
        <f>IF(MONTH(Table22[[#This Row],[Sales Date]])&lt;=3,"Q1",IF(MONTH(Table22[[#This Row],[Sales Date]])&lt;=6,"Q2",IF(MONTH(Table22[[#This Row],[Sales Date]])&lt;=9,"Q3","Q4")))</f>
        <v>Q2</v>
      </c>
      <c r="W1220" s="64">
        <f>YEAR(Table22[[#This Row],[Sales Date]])</f>
        <v>2024</v>
      </c>
      <c r="X1220" s="23">
        <v>30</v>
      </c>
      <c r="Y1220" s="18" t="s">
        <v>41</v>
      </c>
      <c r="Z1220" s="18" t="s">
        <v>24</v>
      </c>
      <c r="AA1220" s="19" t="s">
        <v>36</v>
      </c>
    </row>
    <row r="1221" spans="1:27" x14ac:dyDescent="0.25">
      <c r="A1221" s="17" t="s">
        <v>169</v>
      </c>
      <c r="B1221" s="18" t="s">
        <v>18</v>
      </c>
      <c r="C1221" s="63" t="str" cm="1">
        <f t="array" ref="C1221">_xlfn.SWITCH(Table22[[#This Row],[Country]],"USA","North America","Canada","North America","Brazil","South America","China","Asia","Japan","Asia","India","Asia","France","Europe","Germany","Europe","UK","Europe","Australia","Oceania","South America")</f>
        <v>Asia</v>
      </c>
      <c r="D1221" s="18" t="s">
        <v>21</v>
      </c>
      <c r="E1221" s="18" t="s">
        <v>33</v>
      </c>
      <c r="F1221" s="18" t="s">
        <v>64</v>
      </c>
      <c r="G1221" s="18" t="s">
        <v>48</v>
      </c>
      <c r="H1221" s="64">
        <f>LEN(TRIM(Table22[[#This Row],[Country]]))</f>
        <v>5</v>
      </c>
      <c r="I1221" s="64">
        <f>LEN(TRIM(Table22[[#This Row],[Continent]]))</f>
        <v>4</v>
      </c>
      <c r="J1221" s="64">
        <f>LEN(TRIM(Table22[[#This Row],[Product]]))</f>
        <v>10</v>
      </c>
      <c r="K1221" s="64">
        <f>LEN(TRIM(Table22[[#This Row],[Sales Team]]))</f>
        <v>9</v>
      </c>
      <c r="L1221" s="23">
        <v>31</v>
      </c>
      <c r="M1221" s="65" t="str" cm="1">
        <f t="array" ref="M1221">_xlfn.IFS(Table22[[#This Row],[Units Sold]]&lt;40,"Critical",Table22[[#This Row],[Units Sold]]&lt;=50,"Poor",Table22[[#This Row],[Units Sold]]&lt;=60,"Low",Table22[[#This Row],[Units Sold]]&lt;=80,"Average",Table22[[#This Row],[Units Sold]]&lt;=90,"High",Table22[[#This Row],[Units Sold]]&lt;=95,"Excellent",Table22[[#This Row],[Units Sold]]&gt;95,"Outstanding")</f>
        <v>Critical</v>
      </c>
      <c r="N1221" s="29">
        <v>695.4</v>
      </c>
      <c r="O1221" s="29">
        <v>21557.4</v>
      </c>
      <c r="P1221" s="43">
        <f>IF(Table22[[#This Row],[Discount Applied]],Table22[[#This Row],[Total Sales (in USD)]]*(1-Table22[[#This Row],[Discount Percentage (%)]]/100),Table22[[#This Row],[Total Sales (in USD)]])</f>
        <v>21557.4</v>
      </c>
      <c r="Q1221" s="66">
        <f>SQRT(AVERAGE((Table22[[#This Row],[Net Sales (after discount) (in USD)]]-AVERAGE(Table22[Net Sales (after discount) (in USD)]))^2))</f>
        <v>14953.960563764536</v>
      </c>
      <c r="R1221" s="18" t="b">
        <v>1</v>
      </c>
      <c r="S1221" s="40">
        <v>22.28</v>
      </c>
      <c r="T1221" s="18" t="b">
        <v>0</v>
      </c>
      <c r="U1221" s="25">
        <v>45582</v>
      </c>
      <c r="V1221" s="63" t="str">
        <f>IF(MONTH(Table22[[#This Row],[Sales Date]])&lt;=3,"Q1",IF(MONTH(Table22[[#This Row],[Sales Date]])&lt;=6,"Q2",IF(MONTH(Table22[[#This Row],[Sales Date]])&lt;=9,"Q3","Q4")))</f>
        <v>Q4</v>
      </c>
      <c r="W1221" s="64">
        <f>YEAR(Table22[[#This Row],[Sales Date]])</f>
        <v>2024</v>
      </c>
      <c r="X1221" s="23">
        <v>20</v>
      </c>
      <c r="Y1221" s="18" t="s">
        <v>41</v>
      </c>
      <c r="Z1221" s="18" t="s">
        <v>56</v>
      </c>
      <c r="AA1221" s="19" t="s">
        <v>36</v>
      </c>
    </row>
    <row r="1222" spans="1:27" x14ac:dyDescent="0.25">
      <c r="A1222" s="17" t="s">
        <v>791</v>
      </c>
      <c r="B1222" s="18" t="s">
        <v>32</v>
      </c>
      <c r="C1222" s="63" t="str" cm="1">
        <f t="array" ref="C1222">_xlfn.SWITCH(Table22[[#This Row],[Country]],"USA","North America","Canada","North America","Brazil","South America","China","Asia","Japan","Asia","India","Asia","France","Europe","Germany","Europe","UK","Europe","Australia","Oceania","South America")</f>
        <v>Asia</v>
      </c>
      <c r="D1222" s="18" t="s">
        <v>44</v>
      </c>
      <c r="E1222" s="18" t="s">
        <v>33</v>
      </c>
      <c r="F1222" s="18" t="s">
        <v>34</v>
      </c>
      <c r="G1222" s="18" t="s">
        <v>22</v>
      </c>
      <c r="H1222" s="64">
        <f>LEN(TRIM(Table22[[#This Row],[Country]]))</f>
        <v>5</v>
      </c>
      <c r="I1222" s="64">
        <f>LEN(TRIM(Table22[[#This Row],[Continent]]))</f>
        <v>4</v>
      </c>
      <c r="J1222" s="64">
        <f>LEN(TRIM(Table22[[#This Row],[Product]]))</f>
        <v>10</v>
      </c>
      <c r="K1222" s="64">
        <f>LEN(TRIM(Table22[[#This Row],[Sales Team]]))</f>
        <v>10</v>
      </c>
      <c r="L1222" s="23">
        <v>38</v>
      </c>
      <c r="M1222" s="65" t="str" cm="1">
        <f t="array" ref="M1222">_xlfn.IFS(Table22[[#This Row],[Units Sold]]&lt;40,"Critical",Table22[[#This Row],[Units Sold]]&lt;=50,"Poor",Table22[[#This Row],[Units Sold]]&lt;=60,"Low",Table22[[#This Row],[Units Sold]]&lt;=80,"Average",Table22[[#This Row],[Units Sold]]&lt;=90,"High",Table22[[#This Row],[Units Sold]]&lt;=95,"Excellent",Table22[[#This Row],[Units Sold]]&gt;95,"Outstanding")</f>
        <v>Critical</v>
      </c>
      <c r="N1222" s="29">
        <v>567.1</v>
      </c>
      <c r="O1222" s="29">
        <v>21549.8</v>
      </c>
      <c r="P1222" s="43">
        <f>IF(Table22[[#This Row],[Discount Applied]],Table22[[#This Row],[Total Sales (in USD)]]*(1-Table22[[#This Row],[Discount Percentage (%)]]/100),Table22[[#This Row],[Total Sales (in USD)]])</f>
        <v>21549.8</v>
      </c>
      <c r="Q1222" s="66">
        <f>SQRT(AVERAGE((Table22[[#This Row],[Net Sales (after discount) (in USD)]]-AVERAGE(Table22[Net Sales (after discount) (in USD)]))^2))</f>
        <v>14961.560563764539</v>
      </c>
      <c r="R1222" s="18" t="b">
        <v>0</v>
      </c>
      <c r="S1222" s="40">
        <v>29.69</v>
      </c>
      <c r="T1222" s="18" t="b">
        <v>0</v>
      </c>
      <c r="U1222" s="25">
        <v>45328</v>
      </c>
      <c r="V1222" s="63" t="str">
        <f>IF(MONTH(Table22[[#This Row],[Sales Date]])&lt;=3,"Q1",IF(MONTH(Table22[[#This Row],[Sales Date]])&lt;=6,"Q2",IF(MONTH(Table22[[#This Row],[Sales Date]])&lt;=9,"Q3","Q4")))</f>
        <v>Q1</v>
      </c>
      <c r="W1222" s="64">
        <f>YEAR(Table22[[#This Row],[Sales Date]])</f>
        <v>2024</v>
      </c>
      <c r="X1222" s="23">
        <v>39</v>
      </c>
      <c r="Y1222" s="18" t="s">
        <v>41</v>
      </c>
      <c r="Z1222" s="18" t="s">
        <v>30</v>
      </c>
      <c r="AA1222" s="19" t="s">
        <v>36</v>
      </c>
    </row>
    <row r="1223" spans="1:27" x14ac:dyDescent="0.25">
      <c r="A1223" s="17" t="s">
        <v>702</v>
      </c>
      <c r="B1223" s="18" t="s">
        <v>72</v>
      </c>
      <c r="C1223" s="63" t="str" cm="1">
        <f t="array" ref="C1223">_xlfn.SWITCH(Table22[[#This Row],[Country]],"USA","North America","Canada","North America","Brazil","South America","China","Asia","Japan","Asia","India","Asia","France","Europe","Germany","Europe","UK","Europe","Australia","Oceania","South America")</f>
        <v>North America</v>
      </c>
      <c r="D1223" s="18" t="s">
        <v>35</v>
      </c>
      <c r="E1223" s="18" t="s">
        <v>33</v>
      </c>
      <c r="F1223" s="18" t="s">
        <v>47</v>
      </c>
      <c r="G1223" s="18" t="s">
        <v>48</v>
      </c>
      <c r="H1223" s="64">
        <f>LEN(TRIM(Table22[[#This Row],[Country]]))</f>
        <v>3</v>
      </c>
      <c r="I1223" s="64">
        <f>LEN(TRIM(Table22[[#This Row],[Continent]]))</f>
        <v>13</v>
      </c>
      <c r="J1223" s="64">
        <f>LEN(TRIM(Table22[[#This Row],[Product]]))</f>
        <v>10</v>
      </c>
      <c r="K1223" s="64">
        <f>LEN(TRIM(Table22[[#This Row],[Sales Team]]))</f>
        <v>9</v>
      </c>
      <c r="L1223" s="23">
        <v>23</v>
      </c>
      <c r="M1223" s="65" t="str" cm="1">
        <f t="array" ref="M1223">_xlfn.IFS(Table22[[#This Row],[Units Sold]]&lt;40,"Critical",Table22[[#This Row],[Units Sold]]&lt;=50,"Poor",Table22[[#This Row],[Units Sold]]&lt;=60,"Low",Table22[[#This Row],[Units Sold]]&lt;=80,"Average",Table22[[#This Row],[Units Sold]]&lt;=90,"High",Table22[[#This Row],[Units Sold]]&lt;=95,"Excellent",Table22[[#This Row],[Units Sold]]&gt;95,"Outstanding")</f>
        <v>Critical</v>
      </c>
      <c r="N1223" s="29">
        <v>936.47</v>
      </c>
      <c r="O1223" s="29">
        <v>21538.81</v>
      </c>
      <c r="P1223" s="43">
        <f>IF(Table22[[#This Row],[Discount Applied]],Table22[[#This Row],[Total Sales (in USD)]]*(1-Table22[[#This Row],[Discount Percentage (%)]]/100),Table22[[#This Row],[Total Sales (in USD)]])</f>
        <v>21538.81</v>
      </c>
      <c r="Q1223" s="66">
        <f>SQRT(AVERAGE((Table22[[#This Row],[Net Sales (after discount) (in USD)]]-AVERAGE(Table22[Net Sales (after discount) (in USD)]))^2))</f>
        <v>14972.550563764536</v>
      </c>
      <c r="R1223" s="18" t="b">
        <v>0</v>
      </c>
      <c r="S1223" s="40">
        <v>13.67</v>
      </c>
      <c r="T1223" s="18" t="b">
        <v>0</v>
      </c>
      <c r="U1223" s="25">
        <v>45528</v>
      </c>
      <c r="V1223" s="63" t="str">
        <f>IF(MONTH(Table22[[#This Row],[Sales Date]])&lt;=3,"Q1",IF(MONTH(Table22[[#This Row],[Sales Date]])&lt;=6,"Q2",IF(MONTH(Table22[[#This Row],[Sales Date]])&lt;=9,"Q3","Q4")))</f>
        <v>Q3</v>
      </c>
      <c r="W1223" s="64">
        <f>YEAR(Table22[[#This Row],[Sales Date]])</f>
        <v>2024</v>
      </c>
      <c r="X1223" s="23">
        <v>22</v>
      </c>
      <c r="Y1223" s="18" t="s">
        <v>49</v>
      </c>
      <c r="Z1223" s="18" t="s">
        <v>56</v>
      </c>
      <c r="AA1223" s="19" t="s">
        <v>36</v>
      </c>
    </row>
    <row r="1224" spans="1:27" x14ac:dyDescent="0.25">
      <c r="A1224" s="17" t="s">
        <v>1968</v>
      </c>
      <c r="B1224" s="18" t="s">
        <v>27</v>
      </c>
      <c r="C1224" s="63" t="str" cm="1">
        <f t="array" ref="C1224">_xlfn.SWITCH(Table22[[#This Row],[Country]],"USA","North America","Canada","North America","Brazil","South America","China","Asia","Japan","Asia","India","Asia","France","Europe","Germany","Europe","UK","Europe","Australia","Oceania","South America")</f>
        <v>Europe</v>
      </c>
      <c r="D1224" s="18" t="s">
        <v>44</v>
      </c>
      <c r="E1224" s="18" t="s">
        <v>39</v>
      </c>
      <c r="F1224" s="18" t="s">
        <v>64</v>
      </c>
      <c r="G1224" s="18" t="s">
        <v>40</v>
      </c>
      <c r="H1224" s="64">
        <f>LEN(TRIM(Table22[[#This Row],[Country]]))</f>
        <v>7</v>
      </c>
      <c r="I1224" s="64">
        <f>LEN(TRIM(Table22[[#This Row],[Continent]]))</f>
        <v>6</v>
      </c>
      <c r="J1224" s="64">
        <f>LEN(TRIM(Table22[[#This Row],[Product]]))</f>
        <v>10</v>
      </c>
      <c r="K1224" s="64">
        <f>LEN(TRIM(Table22[[#This Row],[Sales Team]]))</f>
        <v>10</v>
      </c>
      <c r="L1224" s="23">
        <v>17</v>
      </c>
      <c r="M1224" s="65" t="str" cm="1">
        <f t="array" ref="M1224">_xlfn.IFS(Table22[[#This Row],[Units Sold]]&lt;40,"Critical",Table22[[#This Row],[Units Sold]]&lt;=50,"Poor",Table22[[#This Row],[Units Sold]]&lt;=60,"Low",Table22[[#This Row],[Units Sold]]&lt;=80,"Average",Table22[[#This Row],[Units Sold]]&lt;=90,"High",Table22[[#This Row],[Units Sold]]&lt;=95,"Excellent",Table22[[#This Row],[Units Sold]]&gt;95,"Outstanding")</f>
        <v>Critical</v>
      </c>
      <c r="N1224" s="29">
        <v>1266.1199999999999</v>
      </c>
      <c r="O1224" s="29">
        <v>21524.04</v>
      </c>
      <c r="P1224" s="43">
        <f>IF(Table22[[#This Row],[Discount Applied]],Table22[[#This Row],[Total Sales (in USD)]]*(1-Table22[[#This Row],[Discount Percentage (%)]]/100),Table22[[#This Row],[Total Sales (in USD)]])</f>
        <v>21524.04</v>
      </c>
      <c r="Q1224" s="66">
        <f>SQRT(AVERAGE((Table22[[#This Row],[Net Sales (after discount) (in USD)]]-AVERAGE(Table22[Net Sales (after discount) (in USD)]))^2))</f>
        <v>14987.320563764537</v>
      </c>
      <c r="R1224" s="18" t="b">
        <v>0</v>
      </c>
      <c r="S1224" s="40">
        <v>20.83</v>
      </c>
      <c r="T1224" s="18" t="b">
        <v>0</v>
      </c>
      <c r="U1224" s="25">
        <v>45574</v>
      </c>
      <c r="V1224" s="63" t="str">
        <f>IF(MONTH(Table22[[#This Row],[Sales Date]])&lt;=3,"Q1",IF(MONTH(Table22[[#This Row],[Sales Date]])&lt;=6,"Q2",IF(MONTH(Table22[[#This Row],[Sales Date]])&lt;=9,"Q3","Q4")))</f>
        <v>Q4</v>
      </c>
      <c r="W1224" s="64">
        <f>YEAR(Table22[[#This Row],[Sales Date]])</f>
        <v>2024</v>
      </c>
      <c r="X1224" s="23">
        <v>28</v>
      </c>
      <c r="Y1224" s="18" t="s">
        <v>23</v>
      </c>
      <c r="Z1224" s="18" t="s">
        <v>30</v>
      </c>
      <c r="AA1224" s="19" t="s">
        <v>25</v>
      </c>
    </row>
    <row r="1225" spans="1:27" x14ac:dyDescent="0.25">
      <c r="A1225" s="17" t="s">
        <v>699</v>
      </c>
      <c r="B1225" s="18" t="s">
        <v>76</v>
      </c>
      <c r="C1225" s="63" t="str" cm="1">
        <f t="array" ref="C1225">_xlfn.SWITCH(Table22[[#This Row],[Country]],"USA","North America","Canada","North America","Brazil","South America","China","Asia","Japan","Asia","India","Asia","France","Europe","Germany","Europe","UK","Europe","Australia","Oceania","South America")</f>
        <v>Asia</v>
      </c>
      <c r="D1225" s="18" t="s">
        <v>44</v>
      </c>
      <c r="E1225" s="18" t="s">
        <v>39</v>
      </c>
      <c r="F1225" s="18" t="s">
        <v>64</v>
      </c>
      <c r="G1225" s="18" t="s">
        <v>48</v>
      </c>
      <c r="H1225" s="64">
        <f>LEN(TRIM(Table22[[#This Row],[Country]]))</f>
        <v>5</v>
      </c>
      <c r="I1225" s="64">
        <f>LEN(TRIM(Table22[[#This Row],[Continent]]))</f>
        <v>4</v>
      </c>
      <c r="J1225" s="64">
        <f>LEN(TRIM(Table22[[#This Row],[Product]]))</f>
        <v>10</v>
      </c>
      <c r="K1225" s="64">
        <f>LEN(TRIM(Table22[[#This Row],[Sales Team]]))</f>
        <v>9</v>
      </c>
      <c r="L1225" s="23">
        <v>15</v>
      </c>
      <c r="M1225" s="65" t="str" cm="1">
        <f t="array" ref="M1225">_xlfn.IFS(Table22[[#This Row],[Units Sold]]&lt;40,"Critical",Table22[[#This Row],[Units Sold]]&lt;=50,"Poor",Table22[[#This Row],[Units Sold]]&lt;=60,"Low",Table22[[#This Row],[Units Sold]]&lt;=80,"Average",Table22[[#This Row],[Units Sold]]&lt;=90,"High",Table22[[#This Row],[Units Sold]]&lt;=95,"Excellent",Table22[[#This Row],[Units Sold]]&gt;95,"Outstanding")</f>
        <v>Critical</v>
      </c>
      <c r="N1225" s="29">
        <v>1432.31</v>
      </c>
      <c r="O1225" s="29">
        <v>21484.65</v>
      </c>
      <c r="P1225" s="43">
        <f>IF(Table22[[#This Row],[Discount Applied]],Table22[[#This Row],[Total Sales (in USD)]]*(1-Table22[[#This Row],[Discount Percentage (%)]]/100),Table22[[#This Row],[Total Sales (in USD)]])</f>
        <v>15939.461835000002</v>
      </c>
      <c r="Q1225" s="66">
        <f>SQRT(AVERAGE((Table22[[#This Row],[Net Sales (after discount) (in USD)]]-AVERAGE(Table22[Net Sales (after discount) (in USD)]))^2))</f>
        <v>20571.898728764536</v>
      </c>
      <c r="R1225" s="18" t="b">
        <v>1</v>
      </c>
      <c r="S1225" s="40">
        <v>25.81</v>
      </c>
      <c r="T1225" s="18" t="b">
        <v>1</v>
      </c>
      <c r="U1225" s="25">
        <v>45048</v>
      </c>
      <c r="V1225" s="63" t="str">
        <f>IF(MONTH(Table22[[#This Row],[Sales Date]])&lt;=3,"Q1",IF(MONTH(Table22[[#This Row],[Sales Date]])&lt;=6,"Q2",IF(MONTH(Table22[[#This Row],[Sales Date]])&lt;=9,"Q3","Q4")))</f>
        <v>Q2</v>
      </c>
      <c r="W1225" s="64">
        <f>YEAR(Table22[[#This Row],[Sales Date]])</f>
        <v>2023</v>
      </c>
      <c r="X1225" s="23">
        <v>25</v>
      </c>
      <c r="Y1225" s="18" t="s">
        <v>49</v>
      </c>
      <c r="Z1225" s="18" t="s">
        <v>42</v>
      </c>
      <c r="AA1225" s="19" t="s">
        <v>25</v>
      </c>
    </row>
    <row r="1226" spans="1:27" x14ac:dyDescent="0.25">
      <c r="A1226" s="17" t="s">
        <v>291</v>
      </c>
      <c r="B1226" s="18" t="s">
        <v>51</v>
      </c>
      <c r="C1226" s="63" t="str" cm="1">
        <f t="array" ref="C1226">_xlfn.SWITCH(Table22[[#This Row],[Country]],"USA","North America","Canada","North America","Brazil","South America","China","Asia","Japan","Asia","India","Asia","France","Europe","Germany","Europe","UK","Europe","Australia","Oceania","South America")</f>
        <v>Europe</v>
      </c>
      <c r="D1226" s="18" t="s">
        <v>44</v>
      </c>
      <c r="E1226" s="18" t="s">
        <v>19</v>
      </c>
      <c r="F1226" s="18" t="s">
        <v>47</v>
      </c>
      <c r="G1226" s="18" t="s">
        <v>29</v>
      </c>
      <c r="H1226" s="64">
        <f>LEN(TRIM(Table22[[#This Row],[Country]]))</f>
        <v>2</v>
      </c>
      <c r="I1226" s="64">
        <f>LEN(TRIM(Table22[[#This Row],[Continent]]))</f>
        <v>6</v>
      </c>
      <c r="J1226" s="64">
        <f>LEN(TRIM(Table22[[#This Row],[Product]]))</f>
        <v>6</v>
      </c>
      <c r="K1226" s="64">
        <f>LEN(TRIM(Table22[[#This Row],[Sales Team]]))</f>
        <v>10</v>
      </c>
      <c r="L1226" s="23">
        <v>68</v>
      </c>
      <c r="M1226" s="65" t="str" cm="1">
        <f t="array" ref="M1226">_xlfn.IFS(Table22[[#This Row],[Units Sold]]&lt;40,"Critical",Table22[[#This Row],[Units Sold]]&lt;=50,"Poor",Table22[[#This Row],[Units Sold]]&lt;=60,"Low",Table22[[#This Row],[Units Sold]]&lt;=80,"Average",Table22[[#This Row],[Units Sold]]&lt;=90,"High",Table22[[#This Row],[Units Sold]]&lt;=95,"Excellent",Table22[[#This Row],[Units Sold]]&gt;95,"Outstanding")</f>
        <v>Average</v>
      </c>
      <c r="N1226" s="29">
        <v>315.64</v>
      </c>
      <c r="O1226" s="29">
        <v>21463.52</v>
      </c>
      <c r="P1226" s="43">
        <f>IF(Table22[[#This Row],[Discount Applied]],Table22[[#This Row],[Total Sales (in USD)]]*(1-Table22[[#This Row],[Discount Percentage (%)]]/100),Table22[[#This Row],[Total Sales (in USD)]])</f>
        <v>20916.200240000002</v>
      </c>
      <c r="Q1226" s="66">
        <f>SQRT(AVERAGE((Table22[[#This Row],[Net Sales (after discount) (in USD)]]-AVERAGE(Table22[Net Sales (after discount) (in USD)]))^2))</f>
        <v>15595.160323764536</v>
      </c>
      <c r="R1226" s="18" t="b">
        <v>0</v>
      </c>
      <c r="S1226" s="40">
        <v>2.5499999999999998</v>
      </c>
      <c r="T1226" s="18" t="b">
        <v>1</v>
      </c>
      <c r="U1226" s="25">
        <v>45506</v>
      </c>
      <c r="V1226" s="63" t="str">
        <f>IF(MONTH(Table22[[#This Row],[Sales Date]])&lt;=3,"Q1",IF(MONTH(Table22[[#This Row],[Sales Date]])&lt;=6,"Q2",IF(MONTH(Table22[[#This Row],[Sales Date]])&lt;=9,"Q3","Q4")))</f>
        <v>Q3</v>
      </c>
      <c r="W1226" s="64">
        <f>YEAR(Table22[[#This Row],[Sales Date]])</f>
        <v>2024</v>
      </c>
      <c r="X1226" s="23">
        <v>51</v>
      </c>
      <c r="Y1226" s="18" t="s">
        <v>23</v>
      </c>
      <c r="Z1226" s="18" t="s">
        <v>42</v>
      </c>
      <c r="AA1226" s="19" t="s">
        <v>36</v>
      </c>
    </row>
    <row r="1227" spans="1:27" x14ac:dyDescent="0.25">
      <c r="A1227" s="17" t="s">
        <v>1652</v>
      </c>
      <c r="B1227" s="18" t="s">
        <v>51</v>
      </c>
      <c r="C1227" s="63" t="str" cm="1">
        <f t="array" ref="C1227">_xlfn.SWITCH(Table22[[#This Row],[Country]],"USA","North America","Canada","North America","Brazil","South America","China","Asia","Japan","Asia","India","Asia","France","Europe","Germany","Europe","UK","Europe","Australia","Oceania","South America")</f>
        <v>Europe</v>
      </c>
      <c r="D1227" s="18" t="s">
        <v>35</v>
      </c>
      <c r="E1227" s="18" t="s">
        <v>33</v>
      </c>
      <c r="F1227" s="18" t="s">
        <v>64</v>
      </c>
      <c r="G1227" s="18" t="s">
        <v>29</v>
      </c>
      <c r="H1227" s="64">
        <f>LEN(TRIM(Table22[[#This Row],[Country]]))</f>
        <v>2</v>
      </c>
      <c r="I1227" s="64">
        <f>LEN(TRIM(Table22[[#This Row],[Continent]]))</f>
        <v>6</v>
      </c>
      <c r="J1227" s="64">
        <f>LEN(TRIM(Table22[[#This Row],[Product]]))</f>
        <v>10</v>
      </c>
      <c r="K1227" s="64">
        <f>LEN(TRIM(Table22[[#This Row],[Sales Team]]))</f>
        <v>10</v>
      </c>
      <c r="L1227" s="23">
        <v>84</v>
      </c>
      <c r="M1227" s="65" t="str" cm="1">
        <f t="array" ref="M1227">_xlfn.IFS(Table22[[#This Row],[Units Sold]]&lt;40,"Critical",Table22[[#This Row],[Units Sold]]&lt;=50,"Poor",Table22[[#This Row],[Units Sold]]&lt;=60,"Low",Table22[[#This Row],[Units Sold]]&lt;=80,"Average",Table22[[#This Row],[Units Sold]]&lt;=90,"High",Table22[[#This Row],[Units Sold]]&lt;=95,"Excellent",Table22[[#This Row],[Units Sold]]&gt;95,"Outstanding")</f>
        <v>High</v>
      </c>
      <c r="N1227" s="29">
        <v>255.25</v>
      </c>
      <c r="O1227" s="29">
        <v>21441</v>
      </c>
      <c r="P1227" s="43">
        <f>IF(Table22[[#This Row],[Discount Applied]],Table22[[#This Row],[Total Sales (in USD)]]*(1-Table22[[#This Row],[Discount Percentage (%)]]/100),Table22[[#This Row],[Total Sales (in USD)]])</f>
        <v>21441</v>
      </c>
      <c r="Q1227" s="66">
        <f>SQRT(AVERAGE((Table22[[#This Row],[Net Sales (after discount) (in USD)]]-AVERAGE(Table22[Net Sales (after discount) (in USD)]))^2))</f>
        <v>15070.360563764538</v>
      </c>
      <c r="R1227" s="18" t="b">
        <v>0</v>
      </c>
      <c r="S1227" s="40">
        <v>29.21</v>
      </c>
      <c r="T1227" s="18" t="b">
        <v>0</v>
      </c>
      <c r="U1227" s="25">
        <v>44979</v>
      </c>
      <c r="V1227" s="63" t="str">
        <f>IF(MONTH(Table22[[#This Row],[Sales Date]])&lt;=3,"Q1",IF(MONTH(Table22[[#This Row],[Sales Date]])&lt;=6,"Q2",IF(MONTH(Table22[[#This Row],[Sales Date]])&lt;=9,"Q3","Q4")))</f>
        <v>Q1</v>
      </c>
      <c r="W1227" s="64">
        <f>YEAR(Table22[[#This Row],[Sales Date]])</f>
        <v>2023</v>
      </c>
      <c r="X1227" s="23">
        <v>24</v>
      </c>
      <c r="Y1227" s="18" t="s">
        <v>41</v>
      </c>
      <c r="Z1227" s="18" t="s">
        <v>56</v>
      </c>
      <c r="AA1227" s="19" t="s">
        <v>36</v>
      </c>
    </row>
    <row r="1228" spans="1:27" x14ac:dyDescent="0.25">
      <c r="A1228" s="17" t="s">
        <v>1728</v>
      </c>
      <c r="B1228" s="18" t="s">
        <v>76</v>
      </c>
      <c r="C1228" s="63" t="str" cm="1">
        <f t="array" ref="C1228">_xlfn.SWITCH(Table22[[#This Row],[Country]],"USA","North America","Canada","North America","Brazil","South America","China","Asia","Japan","Asia","India","Asia","France","Europe","Germany","Europe","UK","Europe","Australia","Oceania","South America")</f>
        <v>Asia</v>
      </c>
      <c r="D1228" s="18" t="s">
        <v>28</v>
      </c>
      <c r="E1228" s="18" t="s">
        <v>19</v>
      </c>
      <c r="F1228" s="18" t="s">
        <v>34</v>
      </c>
      <c r="G1228" s="18" t="s">
        <v>40</v>
      </c>
      <c r="H1228" s="64">
        <f>LEN(TRIM(Table22[[#This Row],[Country]]))</f>
        <v>5</v>
      </c>
      <c r="I1228" s="64">
        <f>LEN(TRIM(Table22[[#This Row],[Continent]]))</f>
        <v>4</v>
      </c>
      <c r="J1228" s="64">
        <f>LEN(TRIM(Table22[[#This Row],[Product]]))</f>
        <v>6</v>
      </c>
      <c r="K1228" s="64">
        <f>LEN(TRIM(Table22[[#This Row],[Sales Team]]))</f>
        <v>10</v>
      </c>
      <c r="L1228" s="23">
        <v>17</v>
      </c>
      <c r="M1228" s="65" t="str" cm="1">
        <f t="array" ref="M1228">_xlfn.IFS(Table22[[#This Row],[Units Sold]]&lt;40,"Critical",Table22[[#This Row],[Units Sold]]&lt;=50,"Poor",Table22[[#This Row],[Units Sold]]&lt;=60,"Low",Table22[[#This Row],[Units Sold]]&lt;=80,"Average",Table22[[#This Row],[Units Sold]]&lt;=90,"High",Table22[[#This Row],[Units Sold]]&lt;=95,"Excellent",Table22[[#This Row],[Units Sold]]&gt;95,"Outstanding")</f>
        <v>Critical</v>
      </c>
      <c r="N1228" s="29">
        <v>1256.3900000000001</v>
      </c>
      <c r="O1228" s="29">
        <v>21358.63</v>
      </c>
      <c r="P1228" s="43">
        <f>IF(Table22[[#This Row],[Discount Applied]],Table22[[#This Row],[Total Sales (in USD)]]*(1-Table22[[#This Row],[Discount Percentage (%)]]/100),Table22[[#This Row],[Total Sales (in USD)]])</f>
        <v>17655.043558000001</v>
      </c>
      <c r="Q1228" s="66">
        <f>SQRT(AVERAGE((Table22[[#This Row],[Net Sales (after discount) (in USD)]]-AVERAGE(Table22[Net Sales (after discount) (in USD)]))^2))</f>
        <v>18856.317005764537</v>
      </c>
      <c r="R1228" s="18" t="b">
        <v>1</v>
      </c>
      <c r="S1228" s="40">
        <v>17.34</v>
      </c>
      <c r="T1228" s="18" t="b">
        <v>1</v>
      </c>
      <c r="U1228" s="25">
        <v>45503</v>
      </c>
      <c r="V1228" s="63" t="str">
        <f>IF(MONTH(Table22[[#This Row],[Sales Date]])&lt;=3,"Q1",IF(MONTH(Table22[[#This Row],[Sales Date]])&lt;=6,"Q2",IF(MONTH(Table22[[#This Row],[Sales Date]])&lt;=9,"Q3","Q4")))</f>
        <v>Q3</v>
      </c>
      <c r="W1228" s="64">
        <f>YEAR(Table22[[#This Row],[Sales Date]])</f>
        <v>2024</v>
      </c>
      <c r="X1228" s="23">
        <v>51</v>
      </c>
      <c r="Y1228" s="18" t="s">
        <v>49</v>
      </c>
      <c r="Z1228" s="18" t="s">
        <v>42</v>
      </c>
      <c r="AA1228" s="19" t="s">
        <v>36</v>
      </c>
    </row>
    <row r="1229" spans="1:27" x14ac:dyDescent="0.25">
      <c r="A1229" s="17" t="s">
        <v>1813</v>
      </c>
      <c r="B1229" s="18" t="s">
        <v>62</v>
      </c>
      <c r="C1229" s="63" t="str" cm="1">
        <f t="array" ref="C1229">_xlfn.SWITCH(Table22[[#This Row],[Country]],"USA","North America","Canada","North America","Brazil","South America","China","Asia","Japan","Asia","India","Asia","France","Europe","Germany","Europe","UK","Europe","Australia","Oceania","South America")</f>
        <v>Oceania</v>
      </c>
      <c r="D1229" s="18" t="s">
        <v>28</v>
      </c>
      <c r="E1229" s="18" t="s">
        <v>33</v>
      </c>
      <c r="F1229" s="18" t="s">
        <v>47</v>
      </c>
      <c r="G1229" s="18" t="s">
        <v>48</v>
      </c>
      <c r="H1229" s="64">
        <f>LEN(TRIM(Table22[[#This Row],[Country]]))</f>
        <v>9</v>
      </c>
      <c r="I1229" s="64">
        <f>LEN(TRIM(Table22[[#This Row],[Continent]]))</f>
        <v>7</v>
      </c>
      <c r="J1229" s="64">
        <f>LEN(TRIM(Table22[[#This Row],[Product]]))</f>
        <v>10</v>
      </c>
      <c r="K1229" s="64">
        <f>LEN(TRIM(Table22[[#This Row],[Sales Team]]))</f>
        <v>9</v>
      </c>
      <c r="L1229" s="23">
        <v>77</v>
      </c>
      <c r="M1229" s="65" t="str" cm="1">
        <f t="array" ref="M1229">_xlfn.IFS(Table22[[#This Row],[Units Sold]]&lt;40,"Critical",Table22[[#This Row],[Units Sold]]&lt;=50,"Poor",Table22[[#This Row],[Units Sold]]&lt;=60,"Low",Table22[[#This Row],[Units Sold]]&lt;=80,"Average",Table22[[#This Row],[Units Sold]]&lt;=90,"High",Table22[[#This Row],[Units Sold]]&lt;=95,"Excellent",Table22[[#This Row],[Units Sold]]&gt;95,"Outstanding")</f>
        <v>Average</v>
      </c>
      <c r="N1229" s="29">
        <v>277.14</v>
      </c>
      <c r="O1229" s="29">
        <v>21339.78</v>
      </c>
      <c r="P1229" s="43">
        <f>IF(Table22[[#This Row],[Discount Applied]],Table22[[#This Row],[Total Sales (in USD)]]*(1-Table22[[#This Row],[Discount Percentage (%)]]/100),Table22[[#This Row],[Total Sales (in USD)]])</f>
        <v>21339.78</v>
      </c>
      <c r="Q1229" s="66">
        <f>SQRT(AVERAGE((Table22[[#This Row],[Net Sales (after discount) (in USD)]]-AVERAGE(Table22[Net Sales (after discount) (in USD)]))^2))</f>
        <v>15171.580563764539</v>
      </c>
      <c r="R1229" s="18" t="b">
        <v>0</v>
      </c>
      <c r="S1229" s="40">
        <v>26.19</v>
      </c>
      <c r="T1229" s="18" t="b">
        <v>0</v>
      </c>
      <c r="U1229" s="25">
        <v>44981</v>
      </c>
      <c r="V1229" s="63" t="str">
        <f>IF(MONTH(Table22[[#This Row],[Sales Date]])&lt;=3,"Q1",IF(MONTH(Table22[[#This Row],[Sales Date]])&lt;=6,"Q2",IF(MONTH(Table22[[#This Row],[Sales Date]])&lt;=9,"Q3","Q4")))</f>
        <v>Q1</v>
      </c>
      <c r="W1229" s="64">
        <f>YEAR(Table22[[#This Row],[Sales Date]])</f>
        <v>2023</v>
      </c>
      <c r="X1229" s="23">
        <v>32</v>
      </c>
      <c r="Y1229" s="18" t="s">
        <v>49</v>
      </c>
      <c r="Z1229" s="18" t="s">
        <v>56</v>
      </c>
      <c r="AA1229" s="19" t="s">
        <v>25</v>
      </c>
    </row>
    <row r="1230" spans="1:27" x14ac:dyDescent="0.25">
      <c r="A1230" s="17" t="s">
        <v>1139</v>
      </c>
      <c r="B1230" s="18" t="s">
        <v>72</v>
      </c>
      <c r="C1230" s="63" t="str" cm="1">
        <f t="array" ref="C1230">_xlfn.SWITCH(Table22[[#This Row],[Country]],"USA","North America","Canada","North America","Brazil","South America","China","Asia","Japan","Asia","India","Asia","France","Europe","Germany","Europe","UK","Europe","Australia","Oceania","South America")</f>
        <v>North America</v>
      </c>
      <c r="D1230" s="18" t="s">
        <v>44</v>
      </c>
      <c r="E1230" s="18" t="s">
        <v>39</v>
      </c>
      <c r="F1230" s="18" t="s">
        <v>47</v>
      </c>
      <c r="G1230" s="18" t="s">
        <v>22</v>
      </c>
      <c r="H1230" s="64">
        <f>LEN(TRIM(Table22[[#This Row],[Country]]))</f>
        <v>3</v>
      </c>
      <c r="I1230" s="64">
        <f>LEN(TRIM(Table22[[#This Row],[Continent]]))</f>
        <v>13</v>
      </c>
      <c r="J1230" s="64">
        <f>LEN(TRIM(Table22[[#This Row],[Product]]))</f>
        <v>10</v>
      </c>
      <c r="K1230" s="64">
        <f>LEN(TRIM(Table22[[#This Row],[Sales Team]]))</f>
        <v>10</v>
      </c>
      <c r="L1230" s="23">
        <v>26</v>
      </c>
      <c r="M1230" s="65" t="str" cm="1">
        <f t="array" ref="M1230">_xlfn.IFS(Table22[[#This Row],[Units Sold]]&lt;40,"Critical",Table22[[#This Row],[Units Sold]]&lt;=50,"Poor",Table22[[#This Row],[Units Sold]]&lt;=60,"Low",Table22[[#This Row],[Units Sold]]&lt;=80,"Average",Table22[[#This Row],[Units Sold]]&lt;=90,"High",Table22[[#This Row],[Units Sold]]&lt;=95,"Excellent",Table22[[#This Row],[Units Sold]]&gt;95,"Outstanding")</f>
        <v>Critical</v>
      </c>
      <c r="N1230" s="29">
        <v>820.65</v>
      </c>
      <c r="O1230" s="29">
        <v>21336.9</v>
      </c>
      <c r="P1230" s="43">
        <f>IF(Table22[[#This Row],[Discount Applied]],Table22[[#This Row],[Total Sales (in USD)]]*(1-Table22[[#This Row],[Discount Percentage (%)]]/100),Table22[[#This Row],[Total Sales (in USD)]])</f>
        <v>21336.9</v>
      </c>
      <c r="Q1230" s="66">
        <f>SQRT(AVERAGE((Table22[[#This Row],[Net Sales (after discount) (in USD)]]-AVERAGE(Table22[Net Sales (after discount) (in USD)]))^2))</f>
        <v>15174.460563764536</v>
      </c>
      <c r="R1230" s="18" t="b">
        <v>1</v>
      </c>
      <c r="S1230" s="40">
        <v>0.23</v>
      </c>
      <c r="T1230" s="18" t="b">
        <v>0</v>
      </c>
      <c r="U1230" s="25">
        <v>45044</v>
      </c>
      <c r="V1230" s="63" t="str">
        <f>IF(MONTH(Table22[[#This Row],[Sales Date]])&lt;=3,"Q1",IF(MONTH(Table22[[#This Row],[Sales Date]])&lt;=6,"Q2",IF(MONTH(Table22[[#This Row],[Sales Date]])&lt;=9,"Q3","Q4")))</f>
        <v>Q2</v>
      </c>
      <c r="W1230" s="64">
        <f>YEAR(Table22[[#This Row],[Sales Date]])</f>
        <v>2023</v>
      </c>
      <c r="X1230" s="23">
        <v>20</v>
      </c>
      <c r="Y1230" s="18" t="s">
        <v>49</v>
      </c>
      <c r="Z1230" s="18" t="s">
        <v>30</v>
      </c>
      <c r="AA1230" s="19" t="s">
        <v>36</v>
      </c>
    </row>
    <row r="1231" spans="1:27" x14ac:dyDescent="0.25">
      <c r="A1231" s="17" t="s">
        <v>1576</v>
      </c>
      <c r="B1231" s="18" t="s">
        <v>46</v>
      </c>
      <c r="C1231" s="63" t="str" cm="1">
        <f t="array" ref="C1231">_xlfn.SWITCH(Table22[[#This Row],[Country]],"USA","North America","Canada","North America","Brazil","South America","China","Asia","Japan","Asia","India","Asia","France","Europe","Germany","Europe","UK","Europe","Australia","Oceania","South America")</f>
        <v>South America</v>
      </c>
      <c r="D1231" s="18" t="s">
        <v>44</v>
      </c>
      <c r="E1231" s="18" t="s">
        <v>39</v>
      </c>
      <c r="F1231" s="18" t="s">
        <v>20</v>
      </c>
      <c r="G1231" s="18" t="s">
        <v>48</v>
      </c>
      <c r="H1231" s="64">
        <f>LEN(TRIM(Table22[[#This Row],[Country]]))</f>
        <v>6</v>
      </c>
      <c r="I1231" s="64">
        <f>LEN(TRIM(Table22[[#This Row],[Continent]]))</f>
        <v>13</v>
      </c>
      <c r="J1231" s="64">
        <f>LEN(TRIM(Table22[[#This Row],[Product]]))</f>
        <v>10</v>
      </c>
      <c r="K1231" s="64">
        <f>LEN(TRIM(Table22[[#This Row],[Sales Team]]))</f>
        <v>9</v>
      </c>
      <c r="L1231" s="23">
        <v>16</v>
      </c>
      <c r="M1231" s="65" t="str" cm="1">
        <f t="array" ref="M1231">_xlfn.IFS(Table22[[#This Row],[Units Sold]]&lt;40,"Critical",Table22[[#This Row],[Units Sold]]&lt;=50,"Poor",Table22[[#This Row],[Units Sold]]&lt;=60,"Low",Table22[[#This Row],[Units Sold]]&lt;=80,"Average",Table22[[#This Row],[Units Sold]]&lt;=90,"High",Table22[[#This Row],[Units Sold]]&lt;=95,"Excellent",Table22[[#This Row],[Units Sold]]&gt;95,"Outstanding")</f>
        <v>Critical</v>
      </c>
      <c r="N1231" s="29">
        <v>1332.1</v>
      </c>
      <c r="O1231" s="29">
        <v>21313.599999999999</v>
      </c>
      <c r="P1231" s="43">
        <f>IF(Table22[[#This Row],[Discount Applied]],Table22[[#This Row],[Total Sales (in USD)]]*(1-Table22[[#This Row],[Discount Percentage (%)]]/100),Table22[[#This Row],[Total Sales (in USD)]])</f>
        <v>21313.599999999999</v>
      </c>
      <c r="Q1231" s="66">
        <f>SQRT(AVERAGE((Table22[[#This Row],[Net Sales (after discount) (in USD)]]-AVERAGE(Table22[Net Sales (after discount) (in USD)]))^2))</f>
        <v>15197.760563764539</v>
      </c>
      <c r="R1231" s="18" t="b">
        <v>1</v>
      </c>
      <c r="S1231" s="40">
        <v>23.48</v>
      </c>
      <c r="T1231" s="18" t="b">
        <v>0</v>
      </c>
      <c r="U1231" s="25">
        <v>45545</v>
      </c>
      <c r="V1231" s="63" t="str">
        <f>IF(MONTH(Table22[[#This Row],[Sales Date]])&lt;=3,"Q1",IF(MONTH(Table22[[#This Row],[Sales Date]])&lt;=6,"Q2",IF(MONTH(Table22[[#This Row],[Sales Date]])&lt;=9,"Q3","Q4")))</f>
        <v>Q3</v>
      </c>
      <c r="W1231" s="64">
        <f>YEAR(Table22[[#This Row],[Sales Date]])</f>
        <v>2024</v>
      </c>
      <c r="X1231" s="23">
        <v>37</v>
      </c>
      <c r="Y1231" s="18" t="s">
        <v>41</v>
      </c>
      <c r="Z1231" s="18" t="s">
        <v>56</v>
      </c>
      <c r="AA1231" s="19" t="s">
        <v>36</v>
      </c>
    </row>
    <row r="1232" spans="1:27" x14ac:dyDescent="0.25">
      <c r="A1232" s="17" t="s">
        <v>1263</v>
      </c>
      <c r="B1232" s="18" t="s">
        <v>66</v>
      </c>
      <c r="C1232" s="63" t="str" cm="1">
        <f t="array" ref="C1232">_xlfn.SWITCH(Table22[[#This Row],[Country]],"USA","North America","Canada","North America","Brazil","South America","China","Asia","Japan","Asia","India","Asia","France","Europe","Germany","Europe","UK","Europe","Australia","Oceania","South America")</f>
        <v>North America</v>
      </c>
      <c r="D1232" s="18" t="s">
        <v>35</v>
      </c>
      <c r="E1232" s="18" t="s">
        <v>39</v>
      </c>
      <c r="F1232" s="18" t="s">
        <v>64</v>
      </c>
      <c r="G1232" s="18" t="s">
        <v>29</v>
      </c>
      <c r="H1232" s="64">
        <f>LEN(TRIM(Table22[[#This Row],[Country]]))</f>
        <v>6</v>
      </c>
      <c r="I1232" s="64">
        <f>LEN(TRIM(Table22[[#This Row],[Continent]]))</f>
        <v>13</v>
      </c>
      <c r="J1232" s="64">
        <f>LEN(TRIM(Table22[[#This Row],[Product]]))</f>
        <v>10</v>
      </c>
      <c r="K1232" s="64">
        <f>LEN(TRIM(Table22[[#This Row],[Sales Team]]))</f>
        <v>10</v>
      </c>
      <c r="L1232" s="23">
        <v>92</v>
      </c>
      <c r="M1232" s="65" t="str" cm="1">
        <f t="array" ref="M1232">_xlfn.IFS(Table22[[#This Row],[Units Sold]]&lt;40,"Critical",Table22[[#This Row],[Units Sold]]&lt;=50,"Poor",Table22[[#This Row],[Units Sold]]&lt;=60,"Low",Table22[[#This Row],[Units Sold]]&lt;=80,"Average",Table22[[#This Row],[Units Sold]]&lt;=90,"High",Table22[[#This Row],[Units Sold]]&lt;=95,"Excellent",Table22[[#This Row],[Units Sold]]&gt;95,"Outstanding")</f>
        <v>Excellent</v>
      </c>
      <c r="N1232" s="29">
        <v>231.36</v>
      </c>
      <c r="O1232" s="29">
        <v>21285.119999999999</v>
      </c>
      <c r="P1232" s="43">
        <f>IF(Table22[[#This Row],[Discount Applied]],Table22[[#This Row],[Total Sales (in USD)]]*(1-Table22[[#This Row],[Discount Percentage (%)]]/100),Table22[[#This Row],[Total Sales (in USD)]])</f>
        <v>21285.119999999999</v>
      </c>
      <c r="Q1232" s="66">
        <f>SQRT(AVERAGE((Table22[[#This Row],[Net Sales (after discount) (in USD)]]-AVERAGE(Table22[Net Sales (after discount) (in USD)]))^2))</f>
        <v>15226.240563764539</v>
      </c>
      <c r="R1232" s="18" t="b">
        <v>0</v>
      </c>
      <c r="S1232" s="40">
        <v>4.74</v>
      </c>
      <c r="T1232" s="18" t="b">
        <v>0</v>
      </c>
      <c r="U1232" s="25">
        <v>45115</v>
      </c>
      <c r="V1232" s="63" t="str">
        <f>IF(MONTH(Table22[[#This Row],[Sales Date]])&lt;=3,"Q1",IF(MONTH(Table22[[#This Row],[Sales Date]])&lt;=6,"Q2",IF(MONTH(Table22[[#This Row],[Sales Date]])&lt;=9,"Q3","Q4")))</f>
        <v>Q3</v>
      </c>
      <c r="W1232" s="64">
        <f>YEAR(Table22[[#This Row],[Sales Date]])</f>
        <v>2023</v>
      </c>
      <c r="X1232" s="23">
        <v>37</v>
      </c>
      <c r="Y1232" s="18" t="s">
        <v>41</v>
      </c>
      <c r="Z1232" s="18" t="s">
        <v>56</v>
      </c>
      <c r="AA1232" s="19" t="s">
        <v>36</v>
      </c>
    </row>
    <row r="1233" spans="1:27" x14ac:dyDescent="0.25">
      <c r="A1233" s="17" t="s">
        <v>2013</v>
      </c>
      <c r="B1233" s="18" t="s">
        <v>46</v>
      </c>
      <c r="C1233" s="63" t="str" cm="1">
        <f t="array" ref="C1233">_xlfn.SWITCH(Table22[[#This Row],[Country]],"USA","North America","Canada","North America","Brazil","South America","China","Asia","Japan","Asia","India","Asia","France","Europe","Germany","Europe","UK","Europe","Australia","Oceania","South America")</f>
        <v>South America</v>
      </c>
      <c r="D1233" s="18" t="s">
        <v>21</v>
      </c>
      <c r="E1233" s="18" t="s">
        <v>39</v>
      </c>
      <c r="F1233" s="18" t="s">
        <v>52</v>
      </c>
      <c r="G1233" s="18" t="s">
        <v>48</v>
      </c>
      <c r="H1233" s="64">
        <f>LEN(TRIM(Table22[[#This Row],[Country]]))</f>
        <v>6</v>
      </c>
      <c r="I1233" s="64">
        <f>LEN(TRIM(Table22[[#This Row],[Continent]]))</f>
        <v>13</v>
      </c>
      <c r="J1233" s="64">
        <f>LEN(TRIM(Table22[[#This Row],[Product]]))</f>
        <v>10</v>
      </c>
      <c r="K1233" s="64">
        <f>LEN(TRIM(Table22[[#This Row],[Sales Team]]))</f>
        <v>9</v>
      </c>
      <c r="L1233" s="23">
        <v>33</v>
      </c>
      <c r="M1233" s="65" t="str" cm="1">
        <f t="array" ref="M1233">_xlfn.IFS(Table22[[#This Row],[Units Sold]]&lt;40,"Critical",Table22[[#This Row],[Units Sold]]&lt;=50,"Poor",Table22[[#This Row],[Units Sold]]&lt;=60,"Low",Table22[[#This Row],[Units Sold]]&lt;=80,"Average",Table22[[#This Row],[Units Sold]]&lt;=90,"High",Table22[[#This Row],[Units Sold]]&lt;=95,"Excellent",Table22[[#This Row],[Units Sold]]&gt;95,"Outstanding")</f>
        <v>Critical</v>
      </c>
      <c r="N1233" s="29">
        <v>644.89</v>
      </c>
      <c r="O1233" s="29">
        <v>21281.37</v>
      </c>
      <c r="P1233" s="43">
        <f>IF(Table22[[#This Row],[Discount Applied]],Table22[[#This Row],[Total Sales (in USD)]]*(1-Table22[[#This Row],[Discount Percentage (%)]]/100),Table22[[#This Row],[Total Sales (in USD)]])</f>
        <v>21281.37</v>
      </c>
      <c r="Q1233" s="66">
        <f>SQRT(AVERAGE((Table22[[#This Row],[Net Sales (after discount) (in USD)]]-AVERAGE(Table22[Net Sales (after discount) (in USD)]))^2))</f>
        <v>15229.990563764539</v>
      </c>
      <c r="R1233" s="18" t="b">
        <v>1</v>
      </c>
      <c r="S1233" s="40">
        <v>18.579999999999998</v>
      </c>
      <c r="T1233" s="18" t="b">
        <v>0</v>
      </c>
      <c r="U1233" s="25">
        <v>45138</v>
      </c>
      <c r="V1233" s="63" t="str">
        <f>IF(MONTH(Table22[[#This Row],[Sales Date]])&lt;=3,"Q1",IF(MONTH(Table22[[#This Row],[Sales Date]])&lt;=6,"Q2",IF(MONTH(Table22[[#This Row],[Sales Date]])&lt;=9,"Q3","Q4")))</f>
        <v>Q3</v>
      </c>
      <c r="W1233" s="64">
        <f>YEAR(Table22[[#This Row],[Sales Date]])</f>
        <v>2023</v>
      </c>
      <c r="X1233" s="23">
        <v>68</v>
      </c>
      <c r="Y1233" s="18" t="s">
        <v>49</v>
      </c>
      <c r="Z1233" s="18" t="s">
        <v>56</v>
      </c>
      <c r="AA1233" s="19" t="s">
        <v>36</v>
      </c>
    </row>
    <row r="1234" spans="1:27" x14ac:dyDescent="0.25">
      <c r="A1234" s="17" t="s">
        <v>71</v>
      </c>
      <c r="B1234" s="18" t="s">
        <v>72</v>
      </c>
      <c r="C1234" s="63" t="str" cm="1">
        <f t="array" ref="C1234">_xlfn.SWITCH(Table22[[#This Row],[Country]],"USA","North America","Canada","North America","Brazil","South America","China","Asia","Japan","Asia","India","Asia","France","Europe","Germany","Europe","UK","Europe","Australia","Oceania","South America")</f>
        <v>North America</v>
      </c>
      <c r="D1234" s="18" t="s">
        <v>44</v>
      </c>
      <c r="E1234" s="18" t="s">
        <v>39</v>
      </c>
      <c r="F1234" s="18" t="s">
        <v>20</v>
      </c>
      <c r="G1234" s="18" t="s">
        <v>40</v>
      </c>
      <c r="H1234" s="64">
        <f>LEN(TRIM(Table22[[#This Row],[Country]]))</f>
        <v>3</v>
      </c>
      <c r="I1234" s="64">
        <f>LEN(TRIM(Table22[[#This Row],[Continent]]))</f>
        <v>13</v>
      </c>
      <c r="J1234" s="64">
        <f>LEN(TRIM(Table22[[#This Row],[Product]]))</f>
        <v>10</v>
      </c>
      <c r="K1234" s="64">
        <f>LEN(TRIM(Table22[[#This Row],[Sales Team]]))</f>
        <v>10</v>
      </c>
      <c r="L1234" s="23">
        <v>29</v>
      </c>
      <c r="M1234" s="65" t="str" cm="1">
        <f t="array" ref="M1234">_xlfn.IFS(Table22[[#This Row],[Units Sold]]&lt;40,"Critical",Table22[[#This Row],[Units Sold]]&lt;=50,"Poor",Table22[[#This Row],[Units Sold]]&lt;=60,"Low",Table22[[#This Row],[Units Sold]]&lt;=80,"Average",Table22[[#This Row],[Units Sold]]&lt;=90,"High",Table22[[#This Row],[Units Sold]]&lt;=95,"Excellent",Table22[[#This Row],[Units Sold]]&gt;95,"Outstanding")</f>
        <v>Critical</v>
      </c>
      <c r="N1234" s="29">
        <v>733.07</v>
      </c>
      <c r="O1234" s="29">
        <v>21259.03</v>
      </c>
      <c r="P1234" s="43">
        <f>IF(Table22[[#This Row],[Discount Applied]],Table22[[#This Row],[Total Sales (in USD)]]*(1-Table22[[#This Row],[Discount Percentage (%)]]/100),Table22[[#This Row],[Total Sales (in USD)]])</f>
        <v>21259.03</v>
      </c>
      <c r="Q1234" s="66">
        <f>SQRT(AVERAGE((Table22[[#This Row],[Net Sales (after discount) (in USD)]]-AVERAGE(Table22[Net Sales (after discount) (in USD)]))^2))</f>
        <v>15252.330563764539</v>
      </c>
      <c r="R1234" s="18" t="b">
        <v>1</v>
      </c>
      <c r="S1234" s="40">
        <v>24.35</v>
      </c>
      <c r="T1234" s="18" t="b">
        <v>0</v>
      </c>
      <c r="U1234" s="25">
        <v>45204</v>
      </c>
      <c r="V1234" s="63" t="str">
        <f>IF(MONTH(Table22[[#This Row],[Sales Date]])&lt;=3,"Q1",IF(MONTH(Table22[[#This Row],[Sales Date]])&lt;=6,"Q2",IF(MONTH(Table22[[#This Row],[Sales Date]])&lt;=9,"Q3","Q4")))</f>
        <v>Q4</v>
      </c>
      <c r="W1234" s="64">
        <f>YEAR(Table22[[#This Row],[Sales Date]])</f>
        <v>2023</v>
      </c>
      <c r="X1234" s="23">
        <v>53</v>
      </c>
      <c r="Y1234" s="18" t="s">
        <v>49</v>
      </c>
      <c r="Z1234" s="18" t="s">
        <v>56</v>
      </c>
      <c r="AA1234" s="19" t="s">
        <v>25</v>
      </c>
    </row>
    <row r="1235" spans="1:27" x14ac:dyDescent="0.25">
      <c r="A1235" s="17" t="s">
        <v>691</v>
      </c>
      <c r="B1235" s="18" t="s">
        <v>32</v>
      </c>
      <c r="C1235" s="63" t="str" cm="1">
        <f t="array" ref="C1235">_xlfn.SWITCH(Table22[[#This Row],[Country]],"USA","North America","Canada","North America","Brazil","South America","China","Asia","Japan","Asia","India","Asia","France","Europe","Germany","Europe","UK","Europe","Australia","Oceania","South America")</f>
        <v>Asia</v>
      </c>
      <c r="D1235" s="18" t="s">
        <v>35</v>
      </c>
      <c r="E1235" s="18" t="s">
        <v>33</v>
      </c>
      <c r="F1235" s="18" t="s">
        <v>34</v>
      </c>
      <c r="G1235" s="18" t="s">
        <v>29</v>
      </c>
      <c r="H1235" s="64">
        <f>LEN(TRIM(Table22[[#This Row],[Country]]))</f>
        <v>5</v>
      </c>
      <c r="I1235" s="64">
        <f>LEN(TRIM(Table22[[#This Row],[Continent]]))</f>
        <v>4</v>
      </c>
      <c r="J1235" s="64">
        <f>LEN(TRIM(Table22[[#This Row],[Product]]))</f>
        <v>10</v>
      </c>
      <c r="K1235" s="64">
        <f>LEN(TRIM(Table22[[#This Row],[Sales Team]]))</f>
        <v>10</v>
      </c>
      <c r="L1235" s="23">
        <v>63</v>
      </c>
      <c r="M1235" s="65" t="str" cm="1">
        <f t="array" ref="M1235">_xlfn.IFS(Table22[[#This Row],[Units Sold]]&lt;40,"Critical",Table22[[#This Row],[Units Sold]]&lt;=50,"Poor",Table22[[#This Row],[Units Sold]]&lt;=60,"Low",Table22[[#This Row],[Units Sold]]&lt;=80,"Average",Table22[[#This Row],[Units Sold]]&lt;=90,"High",Table22[[#This Row],[Units Sold]]&lt;=95,"Excellent",Table22[[#This Row],[Units Sold]]&gt;95,"Outstanding")</f>
        <v>Average</v>
      </c>
      <c r="N1235" s="29">
        <v>336.85</v>
      </c>
      <c r="O1235" s="29">
        <v>21221.55</v>
      </c>
      <c r="P1235" s="43">
        <f>IF(Table22[[#This Row],[Discount Applied]],Table22[[#This Row],[Total Sales (in USD)]]*(1-Table22[[#This Row],[Discount Percentage (%)]]/100),Table22[[#This Row],[Total Sales (in USD)]])</f>
        <v>21221.55</v>
      </c>
      <c r="Q1235" s="66">
        <f>SQRT(AVERAGE((Table22[[#This Row],[Net Sales (after discount) (in USD)]]-AVERAGE(Table22[Net Sales (after discount) (in USD)]))^2))</f>
        <v>15289.810563764539</v>
      </c>
      <c r="R1235" s="18" t="b">
        <v>1</v>
      </c>
      <c r="S1235" s="40">
        <v>3</v>
      </c>
      <c r="T1235" s="18" t="b">
        <v>0</v>
      </c>
      <c r="U1235" s="25">
        <v>44959</v>
      </c>
      <c r="V1235" s="63" t="str">
        <f>IF(MONTH(Table22[[#This Row],[Sales Date]])&lt;=3,"Q1",IF(MONTH(Table22[[#This Row],[Sales Date]])&lt;=6,"Q2",IF(MONTH(Table22[[#This Row],[Sales Date]])&lt;=9,"Q3","Q4")))</f>
        <v>Q1</v>
      </c>
      <c r="W1235" s="64">
        <f>YEAR(Table22[[#This Row],[Sales Date]])</f>
        <v>2023</v>
      </c>
      <c r="X1235" s="23">
        <v>22</v>
      </c>
      <c r="Y1235" s="18" t="s">
        <v>41</v>
      </c>
      <c r="Z1235" s="18" t="s">
        <v>30</v>
      </c>
      <c r="AA1235" s="19" t="s">
        <v>36</v>
      </c>
    </row>
    <row r="1236" spans="1:27" x14ac:dyDescent="0.25">
      <c r="A1236" s="17" t="s">
        <v>1176</v>
      </c>
      <c r="B1236" s="18" t="s">
        <v>72</v>
      </c>
      <c r="C1236" s="63" t="str" cm="1">
        <f t="array" ref="C1236">_xlfn.SWITCH(Table22[[#This Row],[Country]],"USA","North America","Canada","North America","Brazil","South America","China","Asia","Japan","Asia","India","Asia","France","Europe","Germany","Europe","UK","Europe","Australia","Oceania","South America")</f>
        <v>North America</v>
      </c>
      <c r="D1236" s="18" t="s">
        <v>44</v>
      </c>
      <c r="E1236" s="18" t="s">
        <v>39</v>
      </c>
      <c r="F1236" s="18" t="s">
        <v>47</v>
      </c>
      <c r="G1236" s="18" t="s">
        <v>22</v>
      </c>
      <c r="H1236" s="64">
        <f>LEN(TRIM(Table22[[#This Row],[Country]]))</f>
        <v>3</v>
      </c>
      <c r="I1236" s="64">
        <f>LEN(TRIM(Table22[[#This Row],[Continent]]))</f>
        <v>13</v>
      </c>
      <c r="J1236" s="64">
        <f>LEN(TRIM(Table22[[#This Row],[Product]]))</f>
        <v>10</v>
      </c>
      <c r="K1236" s="64">
        <f>LEN(TRIM(Table22[[#This Row],[Sales Team]]))</f>
        <v>10</v>
      </c>
      <c r="L1236" s="23">
        <v>98</v>
      </c>
      <c r="M1236" s="65" t="str" cm="1">
        <f t="array" ref="M1236">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236" s="29">
        <v>216.09</v>
      </c>
      <c r="O1236" s="29">
        <v>21176.82</v>
      </c>
      <c r="P1236" s="43">
        <f>IF(Table22[[#This Row],[Discount Applied]],Table22[[#This Row],[Total Sales (in USD)]]*(1-Table22[[#This Row],[Discount Percentage (%)]]/100),Table22[[#This Row],[Total Sales (in USD)]])</f>
        <v>21176.82</v>
      </c>
      <c r="Q1236" s="66">
        <f>SQRT(AVERAGE((Table22[[#This Row],[Net Sales (after discount) (in USD)]]-AVERAGE(Table22[Net Sales (after discount) (in USD)]))^2))</f>
        <v>15334.540563764538</v>
      </c>
      <c r="R1236" s="18" t="b">
        <v>0</v>
      </c>
      <c r="S1236" s="40">
        <v>11.28</v>
      </c>
      <c r="T1236" s="18" t="b">
        <v>0</v>
      </c>
      <c r="U1236" s="25">
        <v>44962</v>
      </c>
      <c r="V1236" s="63" t="str">
        <f>IF(MONTH(Table22[[#This Row],[Sales Date]])&lt;=3,"Q1",IF(MONTH(Table22[[#This Row],[Sales Date]])&lt;=6,"Q2",IF(MONTH(Table22[[#This Row],[Sales Date]])&lt;=9,"Q3","Q4")))</f>
        <v>Q1</v>
      </c>
      <c r="W1236" s="64">
        <f>YEAR(Table22[[#This Row],[Sales Date]])</f>
        <v>2023</v>
      </c>
      <c r="X1236" s="23">
        <v>55</v>
      </c>
      <c r="Y1236" s="18" t="s">
        <v>23</v>
      </c>
      <c r="Z1236" s="18" t="s">
        <v>30</v>
      </c>
      <c r="AA1236" s="19" t="s">
        <v>25</v>
      </c>
    </row>
    <row r="1237" spans="1:27" x14ac:dyDescent="0.25">
      <c r="A1237" s="17" t="s">
        <v>1136</v>
      </c>
      <c r="B1237" s="18" t="s">
        <v>32</v>
      </c>
      <c r="C1237" s="63" t="str" cm="1">
        <f t="array" ref="C1237">_xlfn.SWITCH(Table22[[#This Row],[Country]],"USA","North America","Canada","North America","Brazil","South America","China","Asia","Japan","Asia","India","Asia","France","Europe","Germany","Europe","UK","Europe","Australia","Oceania","South America")</f>
        <v>Asia</v>
      </c>
      <c r="D1237" s="18" t="s">
        <v>44</v>
      </c>
      <c r="E1237" s="18" t="s">
        <v>39</v>
      </c>
      <c r="F1237" s="18" t="s">
        <v>52</v>
      </c>
      <c r="G1237" s="18" t="s">
        <v>29</v>
      </c>
      <c r="H1237" s="64">
        <f>LEN(TRIM(Table22[[#This Row],[Country]]))</f>
        <v>5</v>
      </c>
      <c r="I1237" s="64">
        <f>LEN(TRIM(Table22[[#This Row],[Continent]]))</f>
        <v>4</v>
      </c>
      <c r="J1237" s="64">
        <f>LEN(TRIM(Table22[[#This Row],[Product]]))</f>
        <v>10</v>
      </c>
      <c r="K1237" s="64">
        <f>LEN(TRIM(Table22[[#This Row],[Sales Team]]))</f>
        <v>10</v>
      </c>
      <c r="L1237" s="23">
        <v>39</v>
      </c>
      <c r="M1237" s="65" t="str" cm="1">
        <f t="array" ref="M1237">_xlfn.IFS(Table22[[#This Row],[Units Sold]]&lt;40,"Critical",Table22[[#This Row],[Units Sold]]&lt;=50,"Poor",Table22[[#This Row],[Units Sold]]&lt;=60,"Low",Table22[[#This Row],[Units Sold]]&lt;=80,"Average",Table22[[#This Row],[Units Sold]]&lt;=90,"High",Table22[[#This Row],[Units Sold]]&lt;=95,"Excellent",Table22[[#This Row],[Units Sold]]&gt;95,"Outstanding")</f>
        <v>Critical</v>
      </c>
      <c r="N1237" s="29">
        <v>540.86</v>
      </c>
      <c r="O1237" s="29">
        <v>21093.54</v>
      </c>
      <c r="P1237" s="43">
        <f>IF(Table22[[#This Row],[Discount Applied]],Table22[[#This Row],[Total Sales (in USD)]]*(1-Table22[[#This Row],[Discount Percentage (%)]]/100),Table22[[#This Row],[Total Sales (in USD)]])</f>
        <v>21093.54</v>
      </c>
      <c r="Q1237" s="66">
        <f>SQRT(AVERAGE((Table22[[#This Row],[Net Sales (after discount) (in USD)]]-AVERAGE(Table22[Net Sales (after discount) (in USD)]))^2))</f>
        <v>15417.820563764537</v>
      </c>
      <c r="R1237" s="18" t="b">
        <v>0</v>
      </c>
      <c r="S1237" s="40">
        <v>3.18</v>
      </c>
      <c r="T1237" s="18" t="b">
        <v>0</v>
      </c>
      <c r="U1237" s="25">
        <v>45509</v>
      </c>
      <c r="V1237" s="63" t="str">
        <f>IF(MONTH(Table22[[#This Row],[Sales Date]])&lt;=3,"Q1",IF(MONTH(Table22[[#This Row],[Sales Date]])&lt;=6,"Q2",IF(MONTH(Table22[[#This Row],[Sales Date]])&lt;=9,"Q3","Q4")))</f>
        <v>Q3</v>
      </c>
      <c r="W1237" s="64">
        <f>YEAR(Table22[[#This Row],[Sales Date]])</f>
        <v>2024</v>
      </c>
      <c r="X1237" s="23">
        <v>44</v>
      </c>
      <c r="Y1237" s="18" t="s">
        <v>41</v>
      </c>
      <c r="Z1237" s="18" t="s">
        <v>42</v>
      </c>
      <c r="AA1237" s="19" t="s">
        <v>25</v>
      </c>
    </row>
    <row r="1238" spans="1:27" x14ac:dyDescent="0.25">
      <c r="A1238" s="17" t="s">
        <v>59</v>
      </c>
      <c r="B1238" s="18" t="s">
        <v>32</v>
      </c>
      <c r="C1238" s="63" t="str" cm="1">
        <f t="array" ref="C1238">_xlfn.SWITCH(Table22[[#This Row],[Country]],"USA","North America","Canada","North America","Brazil","South America","China","Asia","Japan","Asia","India","Asia","France","Europe","Germany","Europe","UK","Europe","Australia","Oceania","South America")</f>
        <v>Asia</v>
      </c>
      <c r="D1238" s="18" t="s">
        <v>44</v>
      </c>
      <c r="E1238" s="18" t="s">
        <v>19</v>
      </c>
      <c r="F1238" s="18" t="s">
        <v>34</v>
      </c>
      <c r="G1238" s="18" t="s">
        <v>40</v>
      </c>
      <c r="H1238" s="64">
        <f>LEN(TRIM(Table22[[#This Row],[Country]]))</f>
        <v>5</v>
      </c>
      <c r="I1238" s="64">
        <f>LEN(TRIM(Table22[[#This Row],[Continent]]))</f>
        <v>4</v>
      </c>
      <c r="J1238" s="64">
        <f>LEN(TRIM(Table22[[#This Row],[Product]]))</f>
        <v>6</v>
      </c>
      <c r="K1238" s="64">
        <f>LEN(TRIM(Table22[[#This Row],[Sales Team]]))</f>
        <v>10</v>
      </c>
      <c r="L1238" s="23">
        <v>33</v>
      </c>
      <c r="M1238" s="65" t="str" cm="1">
        <f t="array" ref="M1238">_xlfn.IFS(Table22[[#This Row],[Units Sold]]&lt;40,"Critical",Table22[[#This Row],[Units Sold]]&lt;=50,"Poor",Table22[[#This Row],[Units Sold]]&lt;=60,"Low",Table22[[#This Row],[Units Sold]]&lt;=80,"Average",Table22[[#This Row],[Units Sold]]&lt;=90,"High",Table22[[#This Row],[Units Sold]]&lt;=95,"Excellent",Table22[[#This Row],[Units Sold]]&gt;95,"Outstanding")</f>
        <v>Critical</v>
      </c>
      <c r="N1238" s="29">
        <v>637.55999999999995</v>
      </c>
      <c r="O1238" s="29">
        <v>21039.48</v>
      </c>
      <c r="P1238" s="43">
        <f>IF(Table22[[#This Row],[Discount Applied]],Table22[[#This Row],[Total Sales (in USD)]]*(1-Table22[[#This Row],[Discount Percentage (%)]]/100),Table22[[#This Row],[Total Sales (in USD)]])</f>
        <v>18396.921311999999</v>
      </c>
      <c r="Q1238" s="66">
        <f>SQRT(AVERAGE((Table22[[#This Row],[Net Sales (after discount) (in USD)]]-AVERAGE(Table22[Net Sales (after discount) (in USD)]))^2))</f>
        <v>18114.439251764539</v>
      </c>
      <c r="R1238" s="18" t="b">
        <v>1</v>
      </c>
      <c r="S1238" s="40">
        <v>12.56</v>
      </c>
      <c r="T1238" s="18" t="b">
        <v>1</v>
      </c>
      <c r="U1238" s="25">
        <v>45368</v>
      </c>
      <c r="V1238" s="63" t="str">
        <f>IF(MONTH(Table22[[#This Row],[Sales Date]])&lt;=3,"Q1",IF(MONTH(Table22[[#This Row],[Sales Date]])&lt;=6,"Q2",IF(MONTH(Table22[[#This Row],[Sales Date]])&lt;=9,"Q3","Q4")))</f>
        <v>Q1</v>
      </c>
      <c r="W1238" s="64">
        <f>YEAR(Table22[[#This Row],[Sales Date]])</f>
        <v>2024</v>
      </c>
      <c r="X1238" s="23">
        <v>34</v>
      </c>
      <c r="Y1238" s="18" t="s">
        <v>23</v>
      </c>
      <c r="Z1238" s="18" t="s">
        <v>30</v>
      </c>
      <c r="AA1238" s="19" t="s">
        <v>36</v>
      </c>
    </row>
    <row r="1239" spans="1:27" x14ac:dyDescent="0.25">
      <c r="A1239" s="17" t="s">
        <v>1032</v>
      </c>
      <c r="B1239" s="18" t="s">
        <v>27</v>
      </c>
      <c r="C1239" s="63" t="str" cm="1">
        <f t="array" ref="C1239">_xlfn.SWITCH(Table22[[#This Row],[Country]],"USA","North America","Canada","North America","Brazil","South America","China","Asia","Japan","Asia","India","Asia","France","Europe","Germany","Europe","UK","Europe","Australia","Oceania","South America")</f>
        <v>Europe</v>
      </c>
      <c r="D1239" s="18" t="s">
        <v>44</v>
      </c>
      <c r="E1239" s="18" t="s">
        <v>39</v>
      </c>
      <c r="F1239" s="18" t="s">
        <v>20</v>
      </c>
      <c r="G1239" s="18" t="s">
        <v>22</v>
      </c>
      <c r="H1239" s="64">
        <f>LEN(TRIM(Table22[[#This Row],[Country]]))</f>
        <v>7</v>
      </c>
      <c r="I1239" s="64">
        <f>LEN(TRIM(Table22[[#This Row],[Continent]]))</f>
        <v>6</v>
      </c>
      <c r="J1239" s="64">
        <f>LEN(TRIM(Table22[[#This Row],[Product]]))</f>
        <v>10</v>
      </c>
      <c r="K1239" s="64">
        <f>LEN(TRIM(Table22[[#This Row],[Sales Team]]))</f>
        <v>10</v>
      </c>
      <c r="L1239" s="23">
        <v>28</v>
      </c>
      <c r="M1239" s="65" t="str" cm="1">
        <f t="array" ref="M1239">_xlfn.IFS(Table22[[#This Row],[Units Sold]]&lt;40,"Critical",Table22[[#This Row],[Units Sold]]&lt;=50,"Poor",Table22[[#This Row],[Units Sold]]&lt;=60,"Low",Table22[[#This Row],[Units Sold]]&lt;=80,"Average",Table22[[#This Row],[Units Sold]]&lt;=90,"High",Table22[[#This Row],[Units Sold]]&lt;=95,"Excellent",Table22[[#This Row],[Units Sold]]&gt;95,"Outstanding")</f>
        <v>Critical</v>
      </c>
      <c r="N1239" s="29">
        <v>751.23</v>
      </c>
      <c r="O1239" s="29">
        <v>21034.44</v>
      </c>
      <c r="P1239" s="43">
        <f>IF(Table22[[#This Row],[Discount Applied]],Table22[[#This Row],[Total Sales (in USD)]]*(1-Table22[[#This Row],[Discount Percentage (%)]]/100),Table22[[#This Row],[Total Sales (in USD)]])</f>
        <v>18230.549147999998</v>
      </c>
      <c r="Q1239" s="66">
        <f>SQRT(AVERAGE((Table22[[#This Row],[Net Sales (after discount) (in USD)]]-AVERAGE(Table22[Net Sales (after discount) (in USD)]))^2))</f>
        <v>18280.81141576454</v>
      </c>
      <c r="R1239" s="18" t="b">
        <v>1</v>
      </c>
      <c r="S1239" s="40">
        <v>13.33</v>
      </c>
      <c r="T1239" s="18" t="b">
        <v>1</v>
      </c>
      <c r="U1239" s="25">
        <v>45087</v>
      </c>
      <c r="V1239" s="63" t="str">
        <f>IF(MONTH(Table22[[#This Row],[Sales Date]])&lt;=3,"Q1",IF(MONTH(Table22[[#This Row],[Sales Date]])&lt;=6,"Q2",IF(MONTH(Table22[[#This Row],[Sales Date]])&lt;=9,"Q3","Q4")))</f>
        <v>Q2</v>
      </c>
      <c r="W1239" s="64">
        <f>YEAR(Table22[[#This Row],[Sales Date]])</f>
        <v>2023</v>
      </c>
      <c r="X1239" s="23">
        <v>68</v>
      </c>
      <c r="Y1239" s="18" t="s">
        <v>23</v>
      </c>
      <c r="Z1239" s="18" t="s">
        <v>24</v>
      </c>
      <c r="AA1239" s="19" t="s">
        <v>36</v>
      </c>
    </row>
    <row r="1240" spans="1:27" x14ac:dyDescent="0.25">
      <c r="A1240" s="17" t="s">
        <v>319</v>
      </c>
      <c r="B1240" s="18" t="s">
        <v>27</v>
      </c>
      <c r="C1240" s="63" t="str" cm="1">
        <f t="array" ref="C1240">_xlfn.SWITCH(Table22[[#This Row],[Country]],"USA","North America","Canada","North America","Brazil","South America","China","Asia","Japan","Asia","India","Asia","France","Europe","Germany","Europe","UK","Europe","Australia","Oceania","South America")</f>
        <v>Europe</v>
      </c>
      <c r="D1240" s="18" t="s">
        <v>21</v>
      </c>
      <c r="E1240" s="18" t="s">
        <v>33</v>
      </c>
      <c r="F1240" s="18" t="s">
        <v>20</v>
      </c>
      <c r="G1240" s="18" t="s">
        <v>29</v>
      </c>
      <c r="H1240" s="64">
        <f>LEN(TRIM(Table22[[#This Row],[Country]]))</f>
        <v>7</v>
      </c>
      <c r="I1240" s="64">
        <f>LEN(TRIM(Table22[[#This Row],[Continent]]))</f>
        <v>6</v>
      </c>
      <c r="J1240" s="64">
        <f>LEN(TRIM(Table22[[#This Row],[Product]]))</f>
        <v>10</v>
      </c>
      <c r="K1240" s="64">
        <f>LEN(TRIM(Table22[[#This Row],[Sales Team]]))</f>
        <v>10</v>
      </c>
      <c r="L1240" s="23">
        <v>30</v>
      </c>
      <c r="M1240" s="65" t="str" cm="1">
        <f t="array" ref="M1240">_xlfn.IFS(Table22[[#This Row],[Units Sold]]&lt;40,"Critical",Table22[[#This Row],[Units Sold]]&lt;=50,"Poor",Table22[[#This Row],[Units Sold]]&lt;=60,"Low",Table22[[#This Row],[Units Sold]]&lt;=80,"Average",Table22[[#This Row],[Units Sold]]&lt;=90,"High",Table22[[#This Row],[Units Sold]]&lt;=95,"Excellent",Table22[[#This Row],[Units Sold]]&gt;95,"Outstanding")</f>
        <v>Critical</v>
      </c>
      <c r="N1240" s="29">
        <v>699.52</v>
      </c>
      <c r="O1240" s="29">
        <v>20985.599999999999</v>
      </c>
      <c r="P1240" s="43">
        <f>IF(Table22[[#This Row],[Discount Applied]],Table22[[#This Row],[Total Sales (in USD)]]*(1-Table22[[#This Row],[Discount Percentage (%)]]/100),Table22[[#This Row],[Total Sales (in USD)]])</f>
        <v>20985.599999999999</v>
      </c>
      <c r="Q1240" s="66">
        <f>SQRT(AVERAGE((Table22[[#This Row],[Net Sales (after discount) (in USD)]]-AVERAGE(Table22[Net Sales (after discount) (in USD)]))^2))</f>
        <v>15525.760563764539</v>
      </c>
      <c r="R1240" s="18" t="b">
        <v>1</v>
      </c>
      <c r="S1240" s="40">
        <v>6.84</v>
      </c>
      <c r="T1240" s="18" t="b">
        <v>0</v>
      </c>
      <c r="U1240" s="25">
        <v>45525</v>
      </c>
      <c r="V1240" s="63" t="str">
        <f>IF(MONTH(Table22[[#This Row],[Sales Date]])&lt;=3,"Q1",IF(MONTH(Table22[[#This Row],[Sales Date]])&lt;=6,"Q2",IF(MONTH(Table22[[#This Row],[Sales Date]])&lt;=9,"Q3","Q4")))</f>
        <v>Q3</v>
      </c>
      <c r="W1240" s="64">
        <f>YEAR(Table22[[#This Row],[Sales Date]])</f>
        <v>2024</v>
      </c>
      <c r="X1240" s="23">
        <v>42</v>
      </c>
      <c r="Y1240" s="18" t="s">
        <v>23</v>
      </c>
      <c r="Z1240" s="18" t="s">
        <v>24</v>
      </c>
      <c r="AA1240" s="19" t="s">
        <v>36</v>
      </c>
    </row>
    <row r="1241" spans="1:27" x14ac:dyDescent="0.25">
      <c r="A1241" s="17" t="s">
        <v>1150</v>
      </c>
      <c r="B1241" s="18" t="s">
        <v>32</v>
      </c>
      <c r="C1241" s="63" t="str" cm="1">
        <f t="array" ref="C1241">_xlfn.SWITCH(Table22[[#This Row],[Country]],"USA","North America","Canada","North America","Brazil","South America","China","Asia","Japan","Asia","India","Asia","France","Europe","Germany","Europe","UK","Europe","Australia","Oceania","South America")</f>
        <v>Asia</v>
      </c>
      <c r="D1241" s="18" t="s">
        <v>28</v>
      </c>
      <c r="E1241" s="18" t="s">
        <v>33</v>
      </c>
      <c r="F1241" s="18" t="s">
        <v>47</v>
      </c>
      <c r="G1241" s="18" t="s">
        <v>22</v>
      </c>
      <c r="H1241" s="64">
        <f>LEN(TRIM(Table22[[#This Row],[Country]]))</f>
        <v>5</v>
      </c>
      <c r="I1241" s="64">
        <f>LEN(TRIM(Table22[[#This Row],[Continent]]))</f>
        <v>4</v>
      </c>
      <c r="J1241" s="64">
        <f>LEN(TRIM(Table22[[#This Row],[Product]]))</f>
        <v>10</v>
      </c>
      <c r="K1241" s="64">
        <f>LEN(TRIM(Table22[[#This Row],[Sales Team]]))</f>
        <v>10</v>
      </c>
      <c r="L1241" s="23">
        <v>81</v>
      </c>
      <c r="M1241" s="65" t="str" cm="1">
        <f t="array" ref="M1241">_xlfn.IFS(Table22[[#This Row],[Units Sold]]&lt;40,"Critical",Table22[[#This Row],[Units Sold]]&lt;=50,"Poor",Table22[[#This Row],[Units Sold]]&lt;=60,"Low",Table22[[#This Row],[Units Sold]]&lt;=80,"Average",Table22[[#This Row],[Units Sold]]&lt;=90,"High",Table22[[#This Row],[Units Sold]]&lt;=95,"Excellent",Table22[[#This Row],[Units Sold]]&gt;95,"Outstanding")</f>
        <v>High</v>
      </c>
      <c r="N1241" s="29">
        <v>258.95</v>
      </c>
      <c r="O1241" s="29">
        <v>20974.95</v>
      </c>
      <c r="P1241" s="43">
        <f>IF(Table22[[#This Row],[Discount Applied]],Table22[[#This Row],[Total Sales (in USD)]]*(1-Table22[[#This Row],[Discount Percentage (%)]]/100),Table22[[#This Row],[Total Sales (in USD)]])</f>
        <v>16133.93154</v>
      </c>
      <c r="Q1241" s="66">
        <f>SQRT(AVERAGE((Table22[[#This Row],[Net Sales (after discount) (in USD)]]-AVERAGE(Table22[Net Sales (after discount) (in USD)]))^2))</f>
        <v>20377.42902376454</v>
      </c>
      <c r="R1241" s="18" t="b">
        <v>1</v>
      </c>
      <c r="S1241" s="40">
        <v>23.08</v>
      </c>
      <c r="T1241" s="18" t="b">
        <v>1</v>
      </c>
      <c r="U1241" s="25">
        <v>45018</v>
      </c>
      <c r="V1241" s="63" t="str">
        <f>IF(MONTH(Table22[[#This Row],[Sales Date]])&lt;=3,"Q1",IF(MONTH(Table22[[#This Row],[Sales Date]])&lt;=6,"Q2",IF(MONTH(Table22[[#This Row],[Sales Date]])&lt;=9,"Q3","Q4")))</f>
        <v>Q2</v>
      </c>
      <c r="W1241" s="64">
        <f>YEAR(Table22[[#This Row],[Sales Date]])</f>
        <v>2023</v>
      </c>
      <c r="X1241" s="23">
        <v>60</v>
      </c>
      <c r="Y1241" s="18" t="s">
        <v>49</v>
      </c>
      <c r="Z1241" s="18" t="s">
        <v>24</v>
      </c>
      <c r="AA1241" s="19" t="s">
        <v>36</v>
      </c>
    </row>
    <row r="1242" spans="1:27" x14ac:dyDescent="0.25">
      <c r="A1242" s="17" t="s">
        <v>1278</v>
      </c>
      <c r="B1242" s="18" t="s">
        <v>51</v>
      </c>
      <c r="C1242" s="63" t="str" cm="1">
        <f t="array" ref="C1242">_xlfn.SWITCH(Table22[[#This Row],[Country]],"USA","North America","Canada","North America","Brazil","South America","China","Asia","Japan","Asia","India","Asia","France","Europe","Germany","Europe","UK","Europe","Australia","Oceania","South America")</f>
        <v>Europe</v>
      </c>
      <c r="D1242" s="18" t="s">
        <v>21</v>
      </c>
      <c r="E1242" s="18" t="s">
        <v>33</v>
      </c>
      <c r="F1242" s="18" t="s">
        <v>52</v>
      </c>
      <c r="G1242" s="18" t="s">
        <v>40</v>
      </c>
      <c r="H1242" s="64">
        <f>LEN(TRIM(Table22[[#This Row],[Country]]))</f>
        <v>2</v>
      </c>
      <c r="I1242" s="64">
        <f>LEN(TRIM(Table22[[#This Row],[Continent]]))</f>
        <v>6</v>
      </c>
      <c r="J1242" s="64">
        <f>LEN(TRIM(Table22[[#This Row],[Product]]))</f>
        <v>10</v>
      </c>
      <c r="K1242" s="64">
        <f>LEN(TRIM(Table22[[#This Row],[Sales Team]]))</f>
        <v>10</v>
      </c>
      <c r="L1242" s="23">
        <v>32</v>
      </c>
      <c r="M1242" s="65" t="str" cm="1">
        <f t="array" ref="M1242">_xlfn.IFS(Table22[[#This Row],[Units Sold]]&lt;40,"Critical",Table22[[#This Row],[Units Sold]]&lt;=50,"Poor",Table22[[#This Row],[Units Sold]]&lt;=60,"Low",Table22[[#This Row],[Units Sold]]&lt;=80,"Average",Table22[[#This Row],[Units Sold]]&lt;=90,"High",Table22[[#This Row],[Units Sold]]&lt;=95,"Excellent",Table22[[#This Row],[Units Sold]]&gt;95,"Outstanding")</f>
        <v>Critical</v>
      </c>
      <c r="N1242" s="29">
        <v>654.73</v>
      </c>
      <c r="O1242" s="29">
        <v>20951.36</v>
      </c>
      <c r="P1242" s="43">
        <f>IF(Table22[[#This Row],[Discount Applied]],Table22[[#This Row],[Total Sales (in USD)]]*(1-Table22[[#This Row],[Discount Percentage (%)]]/100),Table22[[#This Row],[Total Sales (in USD)]])</f>
        <v>19937.314176</v>
      </c>
      <c r="Q1242" s="66">
        <f>SQRT(AVERAGE((Table22[[#This Row],[Net Sales (after discount) (in USD)]]-AVERAGE(Table22[Net Sales (after discount) (in USD)]))^2))</f>
        <v>16574.046387764538</v>
      </c>
      <c r="R1242" s="18" t="b">
        <v>0</v>
      </c>
      <c r="S1242" s="40">
        <v>4.84</v>
      </c>
      <c r="T1242" s="18" t="b">
        <v>1</v>
      </c>
      <c r="U1242" s="25">
        <v>44999</v>
      </c>
      <c r="V1242" s="63" t="str">
        <f>IF(MONTH(Table22[[#This Row],[Sales Date]])&lt;=3,"Q1",IF(MONTH(Table22[[#This Row],[Sales Date]])&lt;=6,"Q2",IF(MONTH(Table22[[#This Row],[Sales Date]])&lt;=9,"Q3","Q4")))</f>
        <v>Q1</v>
      </c>
      <c r="W1242" s="64">
        <f>YEAR(Table22[[#This Row],[Sales Date]])</f>
        <v>2023</v>
      </c>
      <c r="X1242" s="23">
        <v>69</v>
      </c>
      <c r="Y1242" s="18" t="s">
        <v>23</v>
      </c>
      <c r="Z1242" s="18" t="s">
        <v>42</v>
      </c>
      <c r="AA1242" s="19" t="s">
        <v>36</v>
      </c>
    </row>
    <row r="1243" spans="1:27" x14ac:dyDescent="0.25">
      <c r="A1243" s="17" t="s">
        <v>1245</v>
      </c>
      <c r="B1243" s="18" t="s">
        <v>46</v>
      </c>
      <c r="C1243" s="63" t="str" cm="1">
        <f t="array" ref="C1243">_xlfn.SWITCH(Table22[[#This Row],[Country]],"USA","North America","Canada","North America","Brazil","South America","China","Asia","Japan","Asia","India","Asia","France","Europe","Germany","Europe","UK","Europe","Australia","Oceania","South America")</f>
        <v>South America</v>
      </c>
      <c r="D1243" s="18" t="s">
        <v>21</v>
      </c>
      <c r="E1243" s="18" t="s">
        <v>39</v>
      </c>
      <c r="F1243" s="18" t="s">
        <v>34</v>
      </c>
      <c r="G1243" s="18" t="s">
        <v>29</v>
      </c>
      <c r="H1243" s="64">
        <f>LEN(TRIM(Table22[[#This Row],[Country]]))</f>
        <v>6</v>
      </c>
      <c r="I1243" s="64">
        <f>LEN(TRIM(Table22[[#This Row],[Continent]]))</f>
        <v>13</v>
      </c>
      <c r="J1243" s="64">
        <f>LEN(TRIM(Table22[[#This Row],[Product]]))</f>
        <v>10</v>
      </c>
      <c r="K1243" s="64">
        <f>LEN(TRIM(Table22[[#This Row],[Sales Team]]))</f>
        <v>10</v>
      </c>
      <c r="L1243" s="23">
        <v>15</v>
      </c>
      <c r="M1243" s="65" t="str" cm="1">
        <f t="array" ref="M1243">_xlfn.IFS(Table22[[#This Row],[Units Sold]]&lt;40,"Critical",Table22[[#This Row],[Units Sold]]&lt;=50,"Poor",Table22[[#This Row],[Units Sold]]&lt;=60,"Low",Table22[[#This Row],[Units Sold]]&lt;=80,"Average",Table22[[#This Row],[Units Sold]]&lt;=90,"High",Table22[[#This Row],[Units Sold]]&lt;=95,"Excellent",Table22[[#This Row],[Units Sold]]&gt;95,"Outstanding")</f>
        <v>Critical</v>
      </c>
      <c r="N1243" s="29">
        <v>1394.88</v>
      </c>
      <c r="O1243" s="29">
        <v>20923.2</v>
      </c>
      <c r="P1243" s="43">
        <f>IF(Table22[[#This Row],[Discount Applied]],Table22[[#This Row],[Total Sales (in USD)]]*(1-Table22[[#This Row],[Discount Percentage (%)]]/100),Table22[[#This Row],[Total Sales (in USD)]])</f>
        <v>19925.163360000002</v>
      </c>
      <c r="Q1243" s="66">
        <f>SQRT(AVERAGE((Table22[[#This Row],[Net Sales (after discount) (in USD)]]-AVERAGE(Table22[Net Sales (after discount) (in USD)]))^2))</f>
        <v>16586.197203764536</v>
      </c>
      <c r="R1243" s="18" t="b">
        <v>1</v>
      </c>
      <c r="S1243" s="40">
        <v>4.7699999999999996</v>
      </c>
      <c r="T1243" s="18" t="b">
        <v>1</v>
      </c>
      <c r="U1243" s="25">
        <v>45356</v>
      </c>
      <c r="V1243" s="63" t="str">
        <f>IF(MONTH(Table22[[#This Row],[Sales Date]])&lt;=3,"Q1",IF(MONTH(Table22[[#This Row],[Sales Date]])&lt;=6,"Q2",IF(MONTH(Table22[[#This Row],[Sales Date]])&lt;=9,"Q3","Q4")))</f>
        <v>Q1</v>
      </c>
      <c r="W1243" s="64">
        <f>YEAR(Table22[[#This Row],[Sales Date]])</f>
        <v>2024</v>
      </c>
      <c r="X1243" s="23">
        <v>49</v>
      </c>
      <c r="Y1243" s="18" t="s">
        <v>49</v>
      </c>
      <c r="Z1243" s="18" t="s">
        <v>42</v>
      </c>
      <c r="AA1243" s="19" t="s">
        <v>36</v>
      </c>
    </row>
    <row r="1244" spans="1:27" x14ac:dyDescent="0.25">
      <c r="A1244" s="17" t="s">
        <v>456</v>
      </c>
      <c r="B1244" s="18" t="s">
        <v>62</v>
      </c>
      <c r="C1244" s="63" t="str" cm="1">
        <f t="array" ref="C1244">_xlfn.SWITCH(Table22[[#This Row],[Country]],"USA","North America","Canada","North America","Brazil","South America","China","Asia","Japan","Asia","India","Asia","France","Europe","Germany","Europe","UK","Europe","Australia","Oceania","South America")</f>
        <v>Oceania</v>
      </c>
      <c r="D1244" s="18" t="s">
        <v>35</v>
      </c>
      <c r="E1244" s="18" t="s">
        <v>33</v>
      </c>
      <c r="F1244" s="18" t="s">
        <v>20</v>
      </c>
      <c r="G1244" s="18" t="s">
        <v>29</v>
      </c>
      <c r="H1244" s="64">
        <f>LEN(TRIM(Table22[[#This Row],[Country]]))</f>
        <v>9</v>
      </c>
      <c r="I1244" s="64">
        <f>LEN(TRIM(Table22[[#This Row],[Continent]]))</f>
        <v>7</v>
      </c>
      <c r="J1244" s="64">
        <f>LEN(TRIM(Table22[[#This Row],[Product]]))</f>
        <v>10</v>
      </c>
      <c r="K1244" s="64">
        <f>LEN(TRIM(Table22[[#This Row],[Sales Team]]))</f>
        <v>10</v>
      </c>
      <c r="L1244" s="23">
        <v>73</v>
      </c>
      <c r="M1244" s="65" t="str" cm="1">
        <f t="array" ref="M1244">_xlfn.IFS(Table22[[#This Row],[Units Sold]]&lt;40,"Critical",Table22[[#This Row],[Units Sold]]&lt;=50,"Poor",Table22[[#This Row],[Units Sold]]&lt;=60,"Low",Table22[[#This Row],[Units Sold]]&lt;=80,"Average",Table22[[#This Row],[Units Sold]]&lt;=90,"High",Table22[[#This Row],[Units Sold]]&lt;=95,"Excellent",Table22[[#This Row],[Units Sold]]&gt;95,"Outstanding")</f>
        <v>Average</v>
      </c>
      <c r="N1244" s="29">
        <v>286.52</v>
      </c>
      <c r="O1244" s="29">
        <v>20915.96</v>
      </c>
      <c r="P1244" s="43">
        <f>IF(Table22[[#This Row],[Discount Applied]],Table22[[#This Row],[Total Sales (in USD)]]*(1-Table22[[#This Row],[Discount Percentage (%)]]/100),Table22[[#This Row],[Total Sales (in USD)]])</f>
        <v>20915.96</v>
      </c>
      <c r="Q1244" s="66">
        <f>SQRT(AVERAGE((Table22[[#This Row],[Net Sales (after discount) (in USD)]]-AVERAGE(Table22[Net Sales (after discount) (in USD)]))^2))</f>
        <v>15595.400563764539</v>
      </c>
      <c r="R1244" s="18" t="b">
        <v>0</v>
      </c>
      <c r="S1244" s="40">
        <v>10.11</v>
      </c>
      <c r="T1244" s="18" t="b">
        <v>0</v>
      </c>
      <c r="U1244" s="25">
        <v>45367</v>
      </c>
      <c r="V1244" s="63" t="str">
        <f>IF(MONTH(Table22[[#This Row],[Sales Date]])&lt;=3,"Q1",IF(MONTH(Table22[[#This Row],[Sales Date]])&lt;=6,"Q2",IF(MONTH(Table22[[#This Row],[Sales Date]])&lt;=9,"Q3","Q4")))</f>
        <v>Q1</v>
      </c>
      <c r="W1244" s="64">
        <f>YEAR(Table22[[#This Row],[Sales Date]])</f>
        <v>2024</v>
      </c>
      <c r="X1244" s="23">
        <v>30</v>
      </c>
      <c r="Y1244" s="18" t="s">
        <v>49</v>
      </c>
      <c r="Z1244" s="18" t="s">
        <v>42</v>
      </c>
      <c r="AA1244" s="19" t="s">
        <v>36</v>
      </c>
    </row>
    <row r="1245" spans="1:27" x14ac:dyDescent="0.25">
      <c r="A1245" s="17" t="s">
        <v>383</v>
      </c>
      <c r="B1245" s="18" t="s">
        <v>18</v>
      </c>
      <c r="C1245" s="63" t="str" cm="1">
        <f t="array" ref="C1245">_xlfn.SWITCH(Table22[[#This Row],[Country]],"USA","North America","Canada","North America","Brazil","South America","China","Asia","Japan","Asia","India","Asia","France","Europe","Germany","Europe","UK","Europe","Australia","Oceania","South America")</f>
        <v>Asia</v>
      </c>
      <c r="D1245" s="18" t="s">
        <v>35</v>
      </c>
      <c r="E1245" s="18" t="s">
        <v>33</v>
      </c>
      <c r="F1245" s="18" t="s">
        <v>34</v>
      </c>
      <c r="G1245" s="18" t="s">
        <v>22</v>
      </c>
      <c r="H1245" s="64">
        <f>LEN(TRIM(Table22[[#This Row],[Country]]))</f>
        <v>5</v>
      </c>
      <c r="I1245" s="64">
        <f>LEN(TRIM(Table22[[#This Row],[Continent]]))</f>
        <v>4</v>
      </c>
      <c r="J1245" s="64">
        <f>LEN(TRIM(Table22[[#This Row],[Product]]))</f>
        <v>10</v>
      </c>
      <c r="K1245" s="64">
        <f>LEN(TRIM(Table22[[#This Row],[Sales Team]]))</f>
        <v>10</v>
      </c>
      <c r="L1245" s="23">
        <v>36</v>
      </c>
      <c r="M1245" s="65" t="str" cm="1">
        <f t="array" ref="M1245">_xlfn.IFS(Table22[[#This Row],[Units Sold]]&lt;40,"Critical",Table22[[#This Row],[Units Sold]]&lt;=50,"Poor",Table22[[#This Row],[Units Sold]]&lt;=60,"Low",Table22[[#This Row],[Units Sold]]&lt;=80,"Average",Table22[[#This Row],[Units Sold]]&lt;=90,"High",Table22[[#This Row],[Units Sold]]&lt;=95,"Excellent",Table22[[#This Row],[Units Sold]]&gt;95,"Outstanding")</f>
        <v>Critical</v>
      </c>
      <c r="N1245" s="29">
        <v>580.58000000000004</v>
      </c>
      <c r="O1245" s="29">
        <v>20900.88</v>
      </c>
      <c r="P1245" s="43">
        <f>IF(Table22[[#This Row],[Discount Applied]],Table22[[#This Row],[Total Sales (in USD)]]*(1-Table22[[#This Row],[Discount Percentage (%)]]/100),Table22[[#This Row],[Total Sales (in USD)]])</f>
        <v>20900.88</v>
      </c>
      <c r="Q1245" s="66">
        <f>SQRT(AVERAGE((Table22[[#This Row],[Net Sales (after discount) (in USD)]]-AVERAGE(Table22[Net Sales (after discount) (in USD)]))^2))</f>
        <v>15610.480563764537</v>
      </c>
      <c r="R1245" s="18" t="b">
        <v>1</v>
      </c>
      <c r="S1245" s="40">
        <v>22.15</v>
      </c>
      <c r="T1245" s="18" t="b">
        <v>0</v>
      </c>
      <c r="U1245" s="25">
        <v>45160</v>
      </c>
      <c r="V1245" s="63" t="str">
        <f>IF(MONTH(Table22[[#This Row],[Sales Date]])&lt;=3,"Q1",IF(MONTH(Table22[[#This Row],[Sales Date]])&lt;=6,"Q2",IF(MONTH(Table22[[#This Row],[Sales Date]])&lt;=9,"Q3","Q4")))</f>
        <v>Q3</v>
      </c>
      <c r="W1245" s="64">
        <f>YEAR(Table22[[#This Row],[Sales Date]])</f>
        <v>2023</v>
      </c>
      <c r="X1245" s="23">
        <v>43</v>
      </c>
      <c r="Y1245" s="18" t="s">
        <v>41</v>
      </c>
      <c r="Z1245" s="18" t="s">
        <v>30</v>
      </c>
      <c r="AA1245" s="19" t="s">
        <v>25</v>
      </c>
    </row>
    <row r="1246" spans="1:27" x14ac:dyDescent="0.25">
      <c r="A1246" s="17" t="s">
        <v>1261</v>
      </c>
      <c r="B1246" s="18" t="s">
        <v>62</v>
      </c>
      <c r="C1246" s="63" t="str" cm="1">
        <f t="array" ref="C1246">_xlfn.SWITCH(Table22[[#This Row],[Country]],"USA","North America","Canada","North America","Brazil","South America","China","Asia","Japan","Asia","India","Asia","France","Europe","Germany","Europe","UK","Europe","Australia","Oceania","South America")</f>
        <v>Oceania</v>
      </c>
      <c r="D1246" s="18" t="s">
        <v>28</v>
      </c>
      <c r="E1246" s="18" t="s">
        <v>39</v>
      </c>
      <c r="F1246" s="18" t="s">
        <v>52</v>
      </c>
      <c r="G1246" s="18" t="s">
        <v>40</v>
      </c>
      <c r="H1246" s="64">
        <f>LEN(TRIM(Table22[[#This Row],[Country]]))</f>
        <v>9</v>
      </c>
      <c r="I1246" s="64">
        <f>LEN(TRIM(Table22[[#This Row],[Continent]]))</f>
        <v>7</v>
      </c>
      <c r="J1246" s="64">
        <f>LEN(TRIM(Table22[[#This Row],[Product]]))</f>
        <v>10</v>
      </c>
      <c r="K1246" s="64">
        <f>LEN(TRIM(Table22[[#This Row],[Sales Team]]))</f>
        <v>10</v>
      </c>
      <c r="L1246" s="23">
        <v>17</v>
      </c>
      <c r="M1246" s="65" t="str" cm="1">
        <f t="array" ref="M1246">_xlfn.IFS(Table22[[#This Row],[Units Sold]]&lt;40,"Critical",Table22[[#This Row],[Units Sold]]&lt;=50,"Poor",Table22[[#This Row],[Units Sold]]&lt;=60,"Low",Table22[[#This Row],[Units Sold]]&lt;=80,"Average",Table22[[#This Row],[Units Sold]]&lt;=90,"High",Table22[[#This Row],[Units Sold]]&lt;=95,"Excellent",Table22[[#This Row],[Units Sold]]&gt;95,"Outstanding")</f>
        <v>Critical</v>
      </c>
      <c r="N1246" s="29">
        <v>1221.55</v>
      </c>
      <c r="O1246" s="29">
        <v>20766.349999999999</v>
      </c>
      <c r="P1246" s="43">
        <f>IF(Table22[[#This Row],[Discount Applied]],Table22[[#This Row],[Total Sales (in USD)]]*(1-Table22[[#This Row],[Discount Percentage (%)]]/100),Table22[[#This Row],[Total Sales (in USD)]])</f>
        <v>20766.349999999999</v>
      </c>
      <c r="Q1246" s="66">
        <f>SQRT(AVERAGE((Table22[[#This Row],[Net Sales (after discount) (in USD)]]-AVERAGE(Table22[Net Sales (after discount) (in USD)]))^2))</f>
        <v>15745.010563764539</v>
      </c>
      <c r="R1246" s="18" t="b">
        <v>0</v>
      </c>
      <c r="S1246" s="40">
        <v>25.49</v>
      </c>
      <c r="T1246" s="18" t="b">
        <v>0</v>
      </c>
      <c r="U1246" s="25">
        <v>45276</v>
      </c>
      <c r="V1246" s="63" t="str">
        <f>IF(MONTH(Table22[[#This Row],[Sales Date]])&lt;=3,"Q1",IF(MONTH(Table22[[#This Row],[Sales Date]])&lt;=6,"Q2",IF(MONTH(Table22[[#This Row],[Sales Date]])&lt;=9,"Q3","Q4")))</f>
        <v>Q4</v>
      </c>
      <c r="W1246" s="64">
        <f>YEAR(Table22[[#This Row],[Sales Date]])</f>
        <v>2023</v>
      </c>
      <c r="X1246" s="23">
        <v>18</v>
      </c>
      <c r="Y1246" s="18" t="s">
        <v>49</v>
      </c>
      <c r="Z1246" s="18" t="s">
        <v>42</v>
      </c>
      <c r="AA1246" s="19" t="s">
        <v>25</v>
      </c>
    </row>
    <row r="1247" spans="1:27" x14ac:dyDescent="0.25">
      <c r="A1247" s="17" t="s">
        <v>857</v>
      </c>
      <c r="B1247" s="18" t="s">
        <v>72</v>
      </c>
      <c r="C1247" s="63" t="str" cm="1">
        <f t="array" ref="C1247">_xlfn.SWITCH(Table22[[#This Row],[Country]],"USA","North America","Canada","North America","Brazil","South America","China","Asia","Japan","Asia","India","Asia","France","Europe","Germany","Europe","UK","Europe","Australia","Oceania","South America")</f>
        <v>North America</v>
      </c>
      <c r="D1247" s="18" t="s">
        <v>28</v>
      </c>
      <c r="E1247" s="18" t="s">
        <v>19</v>
      </c>
      <c r="F1247" s="18" t="s">
        <v>52</v>
      </c>
      <c r="G1247" s="18" t="s">
        <v>29</v>
      </c>
      <c r="H1247" s="64">
        <f>LEN(TRIM(Table22[[#This Row],[Country]]))</f>
        <v>3</v>
      </c>
      <c r="I1247" s="64">
        <f>LEN(TRIM(Table22[[#This Row],[Continent]]))</f>
        <v>13</v>
      </c>
      <c r="J1247" s="64">
        <f>LEN(TRIM(Table22[[#This Row],[Product]]))</f>
        <v>6</v>
      </c>
      <c r="K1247" s="64">
        <f>LEN(TRIM(Table22[[#This Row],[Sales Team]]))</f>
        <v>10</v>
      </c>
      <c r="L1247" s="23">
        <v>14</v>
      </c>
      <c r="M1247" s="65" t="str" cm="1">
        <f t="array" ref="M1247">_xlfn.IFS(Table22[[#This Row],[Units Sold]]&lt;40,"Critical",Table22[[#This Row],[Units Sold]]&lt;=50,"Poor",Table22[[#This Row],[Units Sold]]&lt;=60,"Low",Table22[[#This Row],[Units Sold]]&lt;=80,"Average",Table22[[#This Row],[Units Sold]]&lt;=90,"High",Table22[[#This Row],[Units Sold]]&lt;=95,"Excellent",Table22[[#This Row],[Units Sold]]&gt;95,"Outstanding")</f>
        <v>Critical</v>
      </c>
      <c r="N1247" s="29">
        <v>1479.8</v>
      </c>
      <c r="O1247" s="29">
        <v>20717.2</v>
      </c>
      <c r="P1247" s="43">
        <f>IF(Table22[[#This Row],[Discount Applied]],Table22[[#This Row],[Total Sales (in USD)]]*(1-Table22[[#This Row],[Discount Percentage (%)]]/100),Table22[[#This Row],[Total Sales (in USD)]])</f>
        <v>20717.2</v>
      </c>
      <c r="Q1247" s="66">
        <f>SQRT(AVERAGE((Table22[[#This Row],[Net Sales (after discount) (in USD)]]-AVERAGE(Table22[Net Sales (after discount) (in USD)]))^2))</f>
        <v>15794.160563764537</v>
      </c>
      <c r="R1247" s="18" t="b">
        <v>0</v>
      </c>
      <c r="S1247" s="40">
        <v>16.2</v>
      </c>
      <c r="T1247" s="18" t="b">
        <v>0</v>
      </c>
      <c r="U1247" s="25">
        <v>45558</v>
      </c>
      <c r="V1247" s="63" t="str">
        <f>IF(MONTH(Table22[[#This Row],[Sales Date]])&lt;=3,"Q1",IF(MONTH(Table22[[#This Row],[Sales Date]])&lt;=6,"Q2",IF(MONTH(Table22[[#This Row],[Sales Date]])&lt;=9,"Q3","Q4")))</f>
        <v>Q3</v>
      </c>
      <c r="W1247" s="64">
        <f>YEAR(Table22[[#This Row],[Sales Date]])</f>
        <v>2024</v>
      </c>
      <c r="X1247" s="23">
        <v>51</v>
      </c>
      <c r="Y1247" s="18" t="s">
        <v>23</v>
      </c>
      <c r="Z1247" s="18" t="s">
        <v>30</v>
      </c>
      <c r="AA1247" s="19" t="s">
        <v>36</v>
      </c>
    </row>
    <row r="1248" spans="1:27" x14ac:dyDescent="0.25">
      <c r="A1248" s="17" t="s">
        <v>1277</v>
      </c>
      <c r="B1248" s="18" t="s">
        <v>27</v>
      </c>
      <c r="C1248" s="63" t="str" cm="1">
        <f t="array" ref="C1248">_xlfn.SWITCH(Table22[[#This Row],[Country]],"USA","North America","Canada","North America","Brazil","South America","China","Asia","Japan","Asia","India","Asia","France","Europe","Germany","Europe","UK","Europe","Australia","Oceania","South America")</f>
        <v>Europe</v>
      </c>
      <c r="D1248" s="18" t="s">
        <v>21</v>
      </c>
      <c r="E1248" s="18" t="s">
        <v>39</v>
      </c>
      <c r="F1248" s="18" t="s">
        <v>52</v>
      </c>
      <c r="G1248" s="18" t="s">
        <v>48</v>
      </c>
      <c r="H1248" s="64">
        <f>LEN(TRIM(Table22[[#This Row],[Country]]))</f>
        <v>7</v>
      </c>
      <c r="I1248" s="64">
        <f>LEN(TRIM(Table22[[#This Row],[Continent]]))</f>
        <v>6</v>
      </c>
      <c r="J1248" s="64">
        <f>LEN(TRIM(Table22[[#This Row],[Product]]))</f>
        <v>10</v>
      </c>
      <c r="K1248" s="64">
        <f>LEN(TRIM(Table22[[#This Row],[Sales Team]]))</f>
        <v>9</v>
      </c>
      <c r="L1248" s="23">
        <v>31</v>
      </c>
      <c r="M1248" s="65" t="str" cm="1">
        <f t="array" ref="M1248">_xlfn.IFS(Table22[[#This Row],[Units Sold]]&lt;40,"Critical",Table22[[#This Row],[Units Sold]]&lt;=50,"Poor",Table22[[#This Row],[Units Sold]]&lt;=60,"Low",Table22[[#This Row],[Units Sold]]&lt;=80,"Average",Table22[[#This Row],[Units Sold]]&lt;=90,"High",Table22[[#This Row],[Units Sold]]&lt;=95,"Excellent",Table22[[#This Row],[Units Sold]]&gt;95,"Outstanding")</f>
        <v>Critical</v>
      </c>
      <c r="N1248" s="29">
        <v>666</v>
      </c>
      <c r="O1248" s="29">
        <v>20646</v>
      </c>
      <c r="P1248" s="43">
        <f>IF(Table22[[#This Row],[Discount Applied]],Table22[[#This Row],[Total Sales (in USD)]]*(1-Table22[[#This Row],[Discount Percentage (%)]]/100),Table22[[#This Row],[Total Sales (in USD)]])</f>
        <v>20646</v>
      </c>
      <c r="Q1248" s="66">
        <f>SQRT(AVERAGE((Table22[[#This Row],[Net Sales (after discount) (in USD)]]-AVERAGE(Table22[Net Sales (after discount) (in USD)]))^2))</f>
        <v>15865.360563764538</v>
      </c>
      <c r="R1248" s="18" t="b">
        <v>1</v>
      </c>
      <c r="S1248" s="40">
        <v>9.8000000000000007</v>
      </c>
      <c r="T1248" s="18" t="b">
        <v>0</v>
      </c>
      <c r="U1248" s="25">
        <v>45432</v>
      </c>
      <c r="V1248" s="63" t="str">
        <f>IF(MONTH(Table22[[#This Row],[Sales Date]])&lt;=3,"Q1",IF(MONTH(Table22[[#This Row],[Sales Date]])&lt;=6,"Q2",IF(MONTH(Table22[[#This Row],[Sales Date]])&lt;=9,"Q3","Q4")))</f>
        <v>Q2</v>
      </c>
      <c r="W1248" s="64">
        <f>YEAR(Table22[[#This Row],[Sales Date]])</f>
        <v>2024</v>
      </c>
      <c r="X1248" s="23">
        <v>63</v>
      </c>
      <c r="Y1248" s="18" t="s">
        <v>49</v>
      </c>
      <c r="Z1248" s="18" t="s">
        <v>42</v>
      </c>
      <c r="AA1248" s="19" t="s">
        <v>25</v>
      </c>
    </row>
    <row r="1249" spans="1:27" x14ac:dyDescent="0.25">
      <c r="A1249" s="17" t="s">
        <v>1899</v>
      </c>
      <c r="B1249" s="18" t="s">
        <v>76</v>
      </c>
      <c r="C1249" s="63" t="str" cm="1">
        <f t="array" ref="C1249">_xlfn.SWITCH(Table22[[#This Row],[Country]],"USA","North America","Canada","North America","Brazil","South America","China","Asia","Japan","Asia","India","Asia","France","Europe","Germany","Europe","UK","Europe","Australia","Oceania","South America")</f>
        <v>Asia</v>
      </c>
      <c r="D1249" s="18" t="s">
        <v>44</v>
      </c>
      <c r="E1249" s="18" t="s">
        <v>39</v>
      </c>
      <c r="F1249" s="18" t="s">
        <v>64</v>
      </c>
      <c r="G1249" s="18" t="s">
        <v>22</v>
      </c>
      <c r="H1249" s="64">
        <f>LEN(TRIM(Table22[[#This Row],[Country]]))</f>
        <v>5</v>
      </c>
      <c r="I1249" s="64">
        <f>LEN(TRIM(Table22[[#This Row],[Continent]]))</f>
        <v>4</v>
      </c>
      <c r="J1249" s="64">
        <f>LEN(TRIM(Table22[[#This Row],[Product]]))</f>
        <v>10</v>
      </c>
      <c r="K1249" s="64">
        <f>LEN(TRIM(Table22[[#This Row],[Sales Team]]))</f>
        <v>10</v>
      </c>
      <c r="L1249" s="23">
        <v>93</v>
      </c>
      <c r="M1249" s="65" t="str" cm="1">
        <f t="array" ref="M1249">_xlfn.IFS(Table22[[#This Row],[Units Sold]]&lt;40,"Critical",Table22[[#This Row],[Units Sold]]&lt;=50,"Poor",Table22[[#This Row],[Units Sold]]&lt;=60,"Low",Table22[[#This Row],[Units Sold]]&lt;=80,"Average",Table22[[#This Row],[Units Sold]]&lt;=90,"High",Table22[[#This Row],[Units Sold]]&lt;=95,"Excellent",Table22[[#This Row],[Units Sold]]&gt;95,"Outstanding")</f>
        <v>Excellent</v>
      </c>
      <c r="N1249" s="29">
        <v>221.18</v>
      </c>
      <c r="O1249" s="29">
        <v>20569.740000000002</v>
      </c>
      <c r="P1249" s="43">
        <f>IF(Table22[[#This Row],[Discount Applied]],Table22[[#This Row],[Total Sales (in USD)]]*(1-Table22[[#This Row],[Discount Percentage (%)]]/100),Table22[[#This Row],[Total Sales (in USD)]])</f>
        <v>18327.638340000001</v>
      </c>
      <c r="Q1249" s="66">
        <f>SQRT(AVERAGE((Table22[[#This Row],[Net Sales (after discount) (in USD)]]-AVERAGE(Table22[Net Sales (after discount) (in USD)]))^2))</f>
        <v>18183.722223764536</v>
      </c>
      <c r="R1249" s="18" t="b">
        <v>0</v>
      </c>
      <c r="S1249" s="40">
        <v>10.9</v>
      </c>
      <c r="T1249" s="18" t="b">
        <v>1</v>
      </c>
      <c r="U1249" s="25">
        <v>44927</v>
      </c>
      <c r="V1249" s="63" t="str">
        <f>IF(MONTH(Table22[[#This Row],[Sales Date]])&lt;=3,"Q1",IF(MONTH(Table22[[#This Row],[Sales Date]])&lt;=6,"Q2",IF(MONTH(Table22[[#This Row],[Sales Date]])&lt;=9,"Q3","Q4")))</f>
        <v>Q1</v>
      </c>
      <c r="W1249" s="64">
        <f>YEAR(Table22[[#This Row],[Sales Date]])</f>
        <v>2023</v>
      </c>
      <c r="X1249" s="23">
        <v>59</v>
      </c>
      <c r="Y1249" s="18" t="s">
        <v>49</v>
      </c>
      <c r="Z1249" s="18" t="s">
        <v>30</v>
      </c>
      <c r="AA1249" s="19" t="s">
        <v>25</v>
      </c>
    </row>
    <row r="1250" spans="1:27" x14ac:dyDescent="0.25">
      <c r="A1250" s="17" t="s">
        <v>769</v>
      </c>
      <c r="B1250" s="18" t="s">
        <v>72</v>
      </c>
      <c r="C1250" s="63" t="str" cm="1">
        <f t="array" ref="C1250">_xlfn.SWITCH(Table22[[#This Row],[Country]],"USA","North America","Canada","North America","Brazil","South America","China","Asia","Japan","Asia","India","Asia","France","Europe","Germany","Europe","UK","Europe","Australia","Oceania","South America")</f>
        <v>North America</v>
      </c>
      <c r="D1250" s="18" t="s">
        <v>21</v>
      </c>
      <c r="E1250" s="18" t="s">
        <v>19</v>
      </c>
      <c r="F1250" s="18" t="s">
        <v>47</v>
      </c>
      <c r="G1250" s="18" t="s">
        <v>29</v>
      </c>
      <c r="H1250" s="64">
        <f>LEN(TRIM(Table22[[#This Row],[Country]]))</f>
        <v>3</v>
      </c>
      <c r="I1250" s="64">
        <f>LEN(TRIM(Table22[[#This Row],[Continent]]))</f>
        <v>13</v>
      </c>
      <c r="J1250" s="64">
        <f>LEN(TRIM(Table22[[#This Row],[Product]]))</f>
        <v>6</v>
      </c>
      <c r="K1250" s="64">
        <f>LEN(TRIM(Table22[[#This Row],[Sales Team]]))</f>
        <v>10</v>
      </c>
      <c r="L1250" s="23">
        <v>76</v>
      </c>
      <c r="M1250" s="65" t="str" cm="1">
        <f t="array" ref="M1250">_xlfn.IFS(Table22[[#This Row],[Units Sold]]&lt;40,"Critical",Table22[[#This Row],[Units Sold]]&lt;=50,"Poor",Table22[[#This Row],[Units Sold]]&lt;=60,"Low",Table22[[#This Row],[Units Sold]]&lt;=80,"Average",Table22[[#This Row],[Units Sold]]&lt;=90,"High",Table22[[#This Row],[Units Sold]]&lt;=95,"Excellent",Table22[[#This Row],[Units Sold]]&gt;95,"Outstanding")</f>
        <v>Average</v>
      </c>
      <c r="N1250" s="29">
        <v>270.64999999999998</v>
      </c>
      <c r="O1250" s="29">
        <v>20569.400000000001</v>
      </c>
      <c r="P1250" s="43">
        <f>IF(Table22[[#This Row],[Discount Applied]],Table22[[#This Row],[Total Sales (in USD)]]*(1-Table22[[#This Row],[Discount Percentage (%)]]/100),Table22[[#This Row],[Total Sales (in USD)]])</f>
        <v>19339.349880000002</v>
      </c>
      <c r="Q1250" s="66">
        <f>SQRT(AVERAGE((Table22[[#This Row],[Net Sales (after discount) (in USD)]]-AVERAGE(Table22[Net Sales (after discount) (in USD)]))^2))</f>
        <v>17172.010683764536</v>
      </c>
      <c r="R1250" s="18" t="b">
        <v>0</v>
      </c>
      <c r="S1250" s="40">
        <v>5.98</v>
      </c>
      <c r="T1250" s="18" t="b">
        <v>1</v>
      </c>
      <c r="U1250" s="25">
        <v>45197</v>
      </c>
      <c r="V1250" s="63" t="str">
        <f>IF(MONTH(Table22[[#This Row],[Sales Date]])&lt;=3,"Q1",IF(MONTH(Table22[[#This Row],[Sales Date]])&lt;=6,"Q2",IF(MONTH(Table22[[#This Row],[Sales Date]])&lt;=9,"Q3","Q4")))</f>
        <v>Q3</v>
      </c>
      <c r="W1250" s="64">
        <f>YEAR(Table22[[#This Row],[Sales Date]])</f>
        <v>2023</v>
      </c>
      <c r="X1250" s="23">
        <v>57</v>
      </c>
      <c r="Y1250" s="18" t="s">
        <v>23</v>
      </c>
      <c r="Z1250" s="18" t="s">
        <v>30</v>
      </c>
      <c r="AA1250" s="19" t="s">
        <v>36</v>
      </c>
    </row>
    <row r="1251" spans="1:27" x14ac:dyDescent="0.25">
      <c r="A1251" s="17" t="s">
        <v>1932</v>
      </c>
      <c r="B1251" s="18" t="s">
        <v>46</v>
      </c>
      <c r="C1251" s="63" t="str" cm="1">
        <f t="array" ref="C1251">_xlfn.SWITCH(Table22[[#This Row],[Country]],"USA","North America","Canada","North America","Brazil","South America","China","Asia","Japan","Asia","India","Asia","France","Europe","Germany","Europe","UK","Europe","Australia","Oceania","South America")</f>
        <v>South America</v>
      </c>
      <c r="D1251" s="18" t="s">
        <v>28</v>
      </c>
      <c r="E1251" s="18" t="s">
        <v>19</v>
      </c>
      <c r="F1251" s="18" t="s">
        <v>47</v>
      </c>
      <c r="G1251" s="18" t="s">
        <v>40</v>
      </c>
      <c r="H1251" s="64">
        <f>LEN(TRIM(Table22[[#This Row],[Country]]))</f>
        <v>6</v>
      </c>
      <c r="I1251" s="64">
        <f>LEN(TRIM(Table22[[#This Row],[Continent]]))</f>
        <v>13</v>
      </c>
      <c r="J1251" s="64">
        <f>LEN(TRIM(Table22[[#This Row],[Product]]))</f>
        <v>6</v>
      </c>
      <c r="K1251" s="64">
        <f>LEN(TRIM(Table22[[#This Row],[Sales Team]]))</f>
        <v>10</v>
      </c>
      <c r="L1251" s="23">
        <v>95</v>
      </c>
      <c r="M1251" s="65" t="str" cm="1">
        <f t="array" ref="M1251">_xlfn.IFS(Table22[[#This Row],[Units Sold]]&lt;40,"Critical",Table22[[#This Row],[Units Sold]]&lt;=50,"Poor",Table22[[#This Row],[Units Sold]]&lt;=60,"Low",Table22[[#This Row],[Units Sold]]&lt;=80,"Average",Table22[[#This Row],[Units Sold]]&lt;=90,"High",Table22[[#This Row],[Units Sold]]&lt;=95,"Excellent",Table22[[#This Row],[Units Sold]]&gt;95,"Outstanding")</f>
        <v>Excellent</v>
      </c>
      <c r="N1251" s="29">
        <v>216.03</v>
      </c>
      <c r="O1251" s="29">
        <v>20522.849999999999</v>
      </c>
      <c r="P1251" s="43">
        <f>IF(Table22[[#This Row],[Discount Applied]],Table22[[#This Row],[Total Sales (in USD)]]*(1-Table22[[#This Row],[Discount Percentage (%)]]/100),Table22[[#This Row],[Total Sales (in USD)]])</f>
        <v>20522.849999999999</v>
      </c>
      <c r="Q1251" s="66">
        <f>SQRT(AVERAGE((Table22[[#This Row],[Net Sales (after discount) (in USD)]]-AVERAGE(Table22[Net Sales (after discount) (in USD)]))^2))</f>
        <v>15988.510563764539</v>
      </c>
      <c r="R1251" s="18" t="b">
        <v>0</v>
      </c>
      <c r="S1251" s="40">
        <v>15.92</v>
      </c>
      <c r="T1251" s="18" t="b">
        <v>0</v>
      </c>
      <c r="U1251" s="25">
        <v>45548</v>
      </c>
      <c r="V1251" s="63" t="str">
        <f>IF(MONTH(Table22[[#This Row],[Sales Date]])&lt;=3,"Q1",IF(MONTH(Table22[[#This Row],[Sales Date]])&lt;=6,"Q2",IF(MONTH(Table22[[#This Row],[Sales Date]])&lt;=9,"Q3","Q4")))</f>
        <v>Q3</v>
      </c>
      <c r="W1251" s="64">
        <f>YEAR(Table22[[#This Row],[Sales Date]])</f>
        <v>2024</v>
      </c>
      <c r="X1251" s="23">
        <v>27</v>
      </c>
      <c r="Y1251" s="18" t="s">
        <v>23</v>
      </c>
      <c r="Z1251" s="18" t="s">
        <v>42</v>
      </c>
      <c r="AA1251" s="19" t="s">
        <v>25</v>
      </c>
    </row>
    <row r="1252" spans="1:27" x14ac:dyDescent="0.25">
      <c r="A1252" s="17" t="s">
        <v>525</v>
      </c>
      <c r="B1252" s="18" t="s">
        <v>38</v>
      </c>
      <c r="C1252" s="63" t="str" cm="1">
        <f t="array" ref="C1252">_xlfn.SWITCH(Table22[[#This Row],[Country]],"USA","North America","Canada","North America","Brazil","South America","China","Asia","Japan","Asia","India","Asia","France","Europe","Germany","Europe","UK","Europe","Australia","Oceania","South America")</f>
        <v>Europe</v>
      </c>
      <c r="D1252" s="18" t="s">
        <v>28</v>
      </c>
      <c r="E1252" s="18" t="s">
        <v>33</v>
      </c>
      <c r="F1252" s="18" t="s">
        <v>34</v>
      </c>
      <c r="G1252" s="18" t="s">
        <v>29</v>
      </c>
      <c r="H1252" s="64">
        <f>LEN(TRIM(Table22[[#This Row],[Country]]))</f>
        <v>6</v>
      </c>
      <c r="I1252" s="64">
        <f>LEN(TRIM(Table22[[#This Row],[Continent]]))</f>
        <v>6</v>
      </c>
      <c r="J1252" s="64">
        <f>LEN(TRIM(Table22[[#This Row],[Product]]))</f>
        <v>10</v>
      </c>
      <c r="K1252" s="64">
        <f>LEN(TRIM(Table22[[#This Row],[Sales Team]]))</f>
        <v>10</v>
      </c>
      <c r="L1252" s="23">
        <v>30</v>
      </c>
      <c r="M1252" s="65" t="str" cm="1">
        <f t="array" ref="M1252">_xlfn.IFS(Table22[[#This Row],[Units Sold]]&lt;40,"Critical",Table22[[#This Row],[Units Sold]]&lt;=50,"Poor",Table22[[#This Row],[Units Sold]]&lt;=60,"Low",Table22[[#This Row],[Units Sold]]&lt;=80,"Average",Table22[[#This Row],[Units Sold]]&lt;=90,"High",Table22[[#This Row],[Units Sold]]&lt;=95,"Excellent",Table22[[#This Row],[Units Sold]]&gt;95,"Outstanding")</f>
        <v>Critical</v>
      </c>
      <c r="N1252" s="29">
        <v>683.58</v>
      </c>
      <c r="O1252" s="29">
        <v>20507.400000000001</v>
      </c>
      <c r="P1252" s="43">
        <f>IF(Table22[[#This Row],[Discount Applied]],Table22[[#This Row],[Total Sales (in USD)]]*(1-Table22[[#This Row],[Discount Percentage (%)]]/100),Table22[[#This Row],[Total Sales (in USD)]])</f>
        <v>18315.158940000001</v>
      </c>
      <c r="Q1252" s="66">
        <f>SQRT(AVERAGE((Table22[[#This Row],[Net Sales (after discount) (in USD)]]-AVERAGE(Table22[Net Sales (after discount) (in USD)]))^2))</f>
        <v>18196.201623764537</v>
      </c>
      <c r="R1252" s="18" t="b">
        <v>0</v>
      </c>
      <c r="S1252" s="40">
        <v>10.69</v>
      </c>
      <c r="T1252" s="18" t="b">
        <v>1</v>
      </c>
      <c r="U1252" s="25">
        <v>45481</v>
      </c>
      <c r="V1252" s="63" t="str">
        <f>IF(MONTH(Table22[[#This Row],[Sales Date]])&lt;=3,"Q1",IF(MONTH(Table22[[#This Row],[Sales Date]])&lt;=6,"Q2",IF(MONTH(Table22[[#This Row],[Sales Date]])&lt;=9,"Q3","Q4")))</f>
        <v>Q3</v>
      </c>
      <c r="W1252" s="64">
        <f>YEAR(Table22[[#This Row],[Sales Date]])</f>
        <v>2024</v>
      </c>
      <c r="X1252" s="23">
        <v>66</v>
      </c>
      <c r="Y1252" s="18" t="s">
        <v>41</v>
      </c>
      <c r="Z1252" s="18" t="s">
        <v>24</v>
      </c>
      <c r="AA1252" s="19" t="s">
        <v>25</v>
      </c>
    </row>
    <row r="1253" spans="1:27" x14ac:dyDescent="0.25">
      <c r="A1253" s="17" t="s">
        <v>1165</v>
      </c>
      <c r="B1253" s="18" t="s">
        <v>76</v>
      </c>
      <c r="C1253" s="63" t="str" cm="1">
        <f t="array" ref="C1253">_xlfn.SWITCH(Table22[[#This Row],[Country]],"USA","North America","Canada","North America","Brazil","South America","China","Asia","Japan","Asia","India","Asia","France","Europe","Germany","Europe","UK","Europe","Australia","Oceania","South America")</f>
        <v>Asia</v>
      </c>
      <c r="D1253" s="18" t="s">
        <v>21</v>
      </c>
      <c r="E1253" s="18" t="s">
        <v>33</v>
      </c>
      <c r="F1253" s="18" t="s">
        <v>34</v>
      </c>
      <c r="G1253" s="18" t="s">
        <v>48</v>
      </c>
      <c r="H1253" s="64">
        <f>LEN(TRIM(Table22[[#This Row],[Country]]))</f>
        <v>5</v>
      </c>
      <c r="I1253" s="64">
        <f>LEN(TRIM(Table22[[#This Row],[Continent]]))</f>
        <v>4</v>
      </c>
      <c r="J1253" s="64">
        <f>LEN(TRIM(Table22[[#This Row],[Product]]))</f>
        <v>10</v>
      </c>
      <c r="K1253" s="64">
        <f>LEN(TRIM(Table22[[#This Row],[Sales Team]]))</f>
        <v>9</v>
      </c>
      <c r="L1253" s="23">
        <v>31</v>
      </c>
      <c r="M1253" s="65" t="str" cm="1">
        <f t="array" ref="M1253">_xlfn.IFS(Table22[[#This Row],[Units Sold]]&lt;40,"Critical",Table22[[#This Row],[Units Sold]]&lt;=50,"Poor",Table22[[#This Row],[Units Sold]]&lt;=60,"Low",Table22[[#This Row],[Units Sold]]&lt;=80,"Average",Table22[[#This Row],[Units Sold]]&lt;=90,"High",Table22[[#This Row],[Units Sold]]&lt;=95,"Excellent",Table22[[#This Row],[Units Sold]]&gt;95,"Outstanding")</f>
        <v>Critical</v>
      </c>
      <c r="N1253" s="29">
        <v>660.27</v>
      </c>
      <c r="O1253" s="29">
        <v>20468.37</v>
      </c>
      <c r="P1253" s="43">
        <f>IF(Table22[[#This Row],[Discount Applied]],Table22[[#This Row],[Total Sales (in USD)]]*(1-Table22[[#This Row],[Discount Percentage (%)]]/100),Table22[[#This Row],[Total Sales (in USD)]])</f>
        <v>14352.421044000001</v>
      </c>
      <c r="Q1253" s="66">
        <f>SQRT(AVERAGE((Table22[[#This Row],[Net Sales (after discount) (in USD)]]-AVERAGE(Table22[Net Sales (after discount) (in USD)]))^2))</f>
        <v>22158.939519764535</v>
      </c>
      <c r="R1253" s="18" t="b">
        <v>1</v>
      </c>
      <c r="S1253" s="40">
        <v>29.88</v>
      </c>
      <c r="T1253" s="18" t="b">
        <v>1</v>
      </c>
      <c r="U1253" s="25">
        <v>45584</v>
      </c>
      <c r="V1253" s="63" t="str">
        <f>IF(MONTH(Table22[[#This Row],[Sales Date]])&lt;=3,"Q1",IF(MONTH(Table22[[#This Row],[Sales Date]])&lt;=6,"Q2",IF(MONTH(Table22[[#This Row],[Sales Date]])&lt;=9,"Q3","Q4")))</f>
        <v>Q4</v>
      </c>
      <c r="W1253" s="64">
        <f>YEAR(Table22[[#This Row],[Sales Date]])</f>
        <v>2024</v>
      </c>
      <c r="X1253" s="23">
        <v>56</v>
      </c>
      <c r="Y1253" s="18" t="s">
        <v>41</v>
      </c>
      <c r="Z1253" s="18" t="s">
        <v>24</v>
      </c>
      <c r="AA1253" s="19" t="s">
        <v>25</v>
      </c>
    </row>
    <row r="1254" spans="1:27" x14ac:dyDescent="0.25">
      <c r="A1254" s="17" t="s">
        <v>782</v>
      </c>
      <c r="B1254" s="18" t="s">
        <v>38</v>
      </c>
      <c r="C1254" s="63" t="str" cm="1">
        <f t="array" ref="C1254">_xlfn.SWITCH(Table22[[#This Row],[Country]],"USA","North America","Canada","North America","Brazil","South America","China","Asia","Japan","Asia","India","Asia","France","Europe","Germany","Europe","UK","Europe","Australia","Oceania","South America")</f>
        <v>Europe</v>
      </c>
      <c r="D1254" s="18" t="s">
        <v>28</v>
      </c>
      <c r="E1254" s="18" t="s">
        <v>33</v>
      </c>
      <c r="F1254" s="18" t="s">
        <v>34</v>
      </c>
      <c r="G1254" s="18" t="s">
        <v>40</v>
      </c>
      <c r="H1254" s="64">
        <f>LEN(TRIM(Table22[[#This Row],[Country]]))</f>
        <v>6</v>
      </c>
      <c r="I1254" s="64">
        <f>LEN(TRIM(Table22[[#This Row],[Continent]]))</f>
        <v>6</v>
      </c>
      <c r="J1254" s="64">
        <f>LEN(TRIM(Table22[[#This Row],[Product]]))</f>
        <v>10</v>
      </c>
      <c r="K1254" s="64">
        <f>LEN(TRIM(Table22[[#This Row],[Sales Team]]))</f>
        <v>10</v>
      </c>
      <c r="L1254" s="23">
        <v>16</v>
      </c>
      <c r="M1254" s="65" t="str" cm="1">
        <f t="array" ref="M1254">_xlfn.IFS(Table22[[#This Row],[Units Sold]]&lt;40,"Critical",Table22[[#This Row],[Units Sold]]&lt;=50,"Poor",Table22[[#This Row],[Units Sold]]&lt;=60,"Low",Table22[[#This Row],[Units Sold]]&lt;=80,"Average",Table22[[#This Row],[Units Sold]]&lt;=90,"High",Table22[[#This Row],[Units Sold]]&lt;=95,"Excellent",Table22[[#This Row],[Units Sold]]&gt;95,"Outstanding")</f>
        <v>Critical</v>
      </c>
      <c r="N1254" s="29">
        <v>1276.28</v>
      </c>
      <c r="O1254" s="29">
        <v>20420.48</v>
      </c>
      <c r="P1254" s="43">
        <f>IF(Table22[[#This Row],[Discount Applied]],Table22[[#This Row],[Total Sales (in USD)]]*(1-Table22[[#This Row],[Discount Percentage (%)]]/100),Table22[[#This Row],[Total Sales (in USD)]])</f>
        <v>19536.273215999998</v>
      </c>
      <c r="Q1254" s="66">
        <f>SQRT(AVERAGE((Table22[[#This Row],[Net Sales (after discount) (in USD)]]-AVERAGE(Table22[Net Sales (after discount) (in USD)]))^2))</f>
        <v>16975.08734776454</v>
      </c>
      <c r="R1254" s="18" t="b">
        <v>0</v>
      </c>
      <c r="S1254" s="40">
        <v>4.33</v>
      </c>
      <c r="T1254" s="18" t="b">
        <v>1</v>
      </c>
      <c r="U1254" s="25">
        <v>45459</v>
      </c>
      <c r="V1254" s="63" t="str">
        <f>IF(MONTH(Table22[[#This Row],[Sales Date]])&lt;=3,"Q1",IF(MONTH(Table22[[#This Row],[Sales Date]])&lt;=6,"Q2",IF(MONTH(Table22[[#This Row],[Sales Date]])&lt;=9,"Q3","Q4")))</f>
        <v>Q2</v>
      </c>
      <c r="W1254" s="64">
        <f>YEAR(Table22[[#This Row],[Sales Date]])</f>
        <v>2024</v>
      </c>
      <c r="X1254" s="23">
        <v>38</v>
      </c>
      <c r="Y1254" s="18" t="s">
        <v>49</v>
      </c>
      <c r="Z1254" s="18" t="s">
        <v>56</v>
      </c>
      <c r="AA1254" s="19" t="s">
        <v>36</v>
      </c>
    </row>
    <row r="1255" spans="1:27" x14ac:dyDescent="0.25">
      <c r="A1255" s="17" t="s">
        <v>2006</v>
      </c>
      <c r="B1255" s="18" t="s">
        <v>32</v>
      </c>
      <c r="C1255" s="63" t="str" cm="1">
        <f t="array" ref="C1255">_xlfn.SWITCH(Table22[[#This Row],[Country]],"USA","North America","Canada","North America","Brazil","South America","China","Asia","Japan","Asia","India","Asia","France","Europe","Germany","Europe","UK","Europe","Australia","Oceania","South America")</f>
        <v>Asia</v>
      </c>
      <c r="D1255" s="18" t="s">
        <v>28</v>
      </c>
      <c r="E1255" s="18" t="s">
        <v>33</v>
      </c>
      <c r="F1255" s="18" t="s">
        <v>47</v>
      </c>
      <c r="G1255" s="18" t="s">
        <v>48</v>
      </c>
      <c r="H1255" s="64">
        <f>LEN(TRIM(Table22[[#This Row],[Country]]))</f>
        <v>5</v>
      </c>
      <c r="I1255" s="64">
        <f>LEN(TRIM(Table22[[#This Row],[Continent]]))</f>
        <v>4</v>
      </c>
      <c r="J1255" s="64">
        <f>LEN(TRIM(Table22[[#This Row],[Product]]))</f>
        <v>10</v>
      </c>
      <c r="K1255" s="64">
        <f>LEN(TRIM(Table22[[#This Row],[Sales Team]]))</f>
        <v>9</v>
      </c>
      <c r="L1255" s="23">
        <v>46</v>
      </c>
      <c r="M1255" s="65" t="str" cm="1">
        <f t="array" ref="M1255">_xlfn.IFS(Table22[[#This Row],[Units Sold]]&lt;40,"Critical",Table22[[#This Row],[Units Sold]]&lt;=50,"Poor",Table22[[#This Row],[Units Sold]]&lt;=60,"Low",Table22[[#This Row],[Units Sold]]&lt;=80,"Average",Table22[[#This Row],[Units Sold]]&lt;=90,"High",Table22[[#This Row],[Units Sold]]&lt;=95,"Excellent",Table22[[#This Row],[Units Sold]]&gt;95,"Outstanding")</f>
        <v>Poor</v>
      </c>
      <c r="N1255" s="29">
        <v>443.47</v>
      </c>
      <c r="O1255" s="29">
        <v>20399.62</v>
      </c>
      <c r="P1255" s="43">
        <f>IF(Table22[[#This Row],[Discount Applied]],Table22[[#This Row],[Total Sales (in USD)]]*(1-Table22[[#This Row],[Discount Percentage (%)]]/100),Table22[[#This Row],[Total Sales (in USD)]])</f>
        <v>15524.11082</v>
      </c>
      <c r="Q1255" s="66">
        <f>SQRT(AVERAGE((Table22[[#This Row],[Net Sales (after discount) (in USD)]]-AVERAGE(Table22[Net Sales (after discount) (in USD)]))^2))</f>
        <v>20987.249743764536</v>
      </c>
      <c r="R1255" s="18" t="b">
        <v>0</v>
      </c>
      <c r="S1255" s="40">
        <v>23.9</v>
      </c>
      <c r="T1255" s="18" t="b">
        <v>1</v>
      </c>
      <c r="U1255" s="25">
        <v>45081</v>
      </c>
      <c r="V1255" s="63" t="str">
        <f>IF(MONTH(Table22[[#This Row],[Sales Date]])&lt;=3,"Q1",IF(MONTH(Table22[[#This Row],[Sales Date]])&lt;=6,"Q2",IF(MONTH(Table22[[#This Row],[Sales Date]])&lt;=9,"Q3","Q4")))</f>
        <v>Q2</v>
      </c>
      <c r="W1255" s="64">
        <f>YEAR(Table22[[#This Row],[Sales Date]])</f>
        <v>2023</v>
      </c>
      <c r="X1255" s="23">
        <v>54</v>
      </c>
      <c r="Y1255" s="18" t="s">
        <v>23</v>
      </c>
      <c r="Z1255" s="18" t="s">
        <v>42</v>
      </c>
      <c r="AA1255" s="19" t="s">
        <v>36</v>
      </c>
    </row>
    <row r="1256" spans="1:27" x14ac:dyDescent="0.25">
      <c r="A1256" s="17" t="s">
        <v>599</v>
      </c>
      <c r="B1256" s="18" t="s">
        <v>66</v>
      </c>
      <c r="C1256" s="63" t="str" cm="1">
        <f t="array" ref="C1256">_xlfn.SWITCH(Table22[[#This Row],[Country]],"USA","North America","Canada","North America","Brazil","South America","China","Asia","Japan","Asia","India","Asia","France","Europe","Germany","Europe","UK","Europe","Australia","Oceania","South America")</f>
        <v>North America</v>
      </c>
      <c r="D1256" s="18" t="s">
        <v>35</v>
      </c>
      <c r="E1256" s="18" t="s">
        <v>33</v>
      </c>
      <c r="F1256" s="18" t="s">
        <v>52</v>
      </c>
      <c r="G1256" s="18" t="s">
        <v>22</v>
      </c>
      <c r="H1256" s="64">
        <f>LEN(TRIM(Table22[[#This Row],[Country]]))</f>
        <v>6</v>
      </c>
      <c r="I1256" s="64">
        <f>LEN(TRIM(Table22[[#This Row],[Continent]]))</f>
        <v>13</v>
      </c>
      <c r="J1256" s="64">
        <f>LEN(TRIM(Table22[[#This Row],[Product]]))</f>
        <v>10</v>
      </c>
      <c r="K1256" s="64">
        <f>LEN(TRIM(Table22[[#This Row],[Sales Team]]))</f>
        <v>10</v>
      </c>
      <c r="L1256" s="23">
        <v>19</v>
      </c>
      <c r="M1256" s="65" t="str" cm="1">
        <f t="array" ref="M1256">_xlfn.IFS(Table22[[#This Row],[Units Sold]]&lt;40,"Critical",Table22[[#This Row],[Units Sold]]&lt;=50,"Poor",Table22[[#This Row],[Units Sold]]&lt;=60,"Low",Table22[[#This Row],[Units Sold]]&lt;=80,"Average",Table22[[#This Row],[Units Sold]]&lt;=90,"High",Table22[[#This Row],[Units Sold]]&lt;=95,"Excellent",Table22[[#This Row],[Units Sold]]&gt;95,"Outstanding")</f>
        <v>Critical</v>
      </c>
      <c r="N1256" s="29">
        <v>1070.67</v>
      </c>
      <c r="O1256" s="29">
        <v>20342.73</v>
      </c>
      <c r="P1256" s="43">
        <f>IF(Table22[[#This Row],[Discount Applied]],Table22[[#This Row],[Total Sales (in USD)]]*(1-Table22[[#This Row],[Discount Percentage (%)]]/100),Table22[[#This Row],[Total Sales (in USD)]])</f>
        <v>19179.125843999998</v>
      </c>
      <c r="Q1256" s="66">
        <f>SQRT(AVERAGE((Table22[[#This Row],[Net Sales (after discount) (in USD)]]-AVERAGE(Table22[Net Sales (after discount) (in USD)]))^2))</f>
        <v>17332.234719764539</v>
      </c>
      <c r="R1256" s="18" t="b">
        <v>1</v>
      </c>
      <c r="S1256" s="40">
        <v>5.72</v>
      </c>
      <c r="T1256" s="18" t="b">
        <v>1</v>
      </c>
      <c r="U1256" s="25">
        <v>45424</v>
      </c>
      <c r="V1256" s="63" t="str">
        <f>IF(MONTH(Table22[[#This Row],[Sales Date]])&lt;=3,"Q1",IF(MONTH(Table22[[#This Row],[Sales Date]])&lt;=6,"Q2",IF(MONTH(Table22[[#This Row],[Sales Date]])&lt;=9,"Q3","Q4")))</f>
        <v>Q2</v>
      </c>
      <c r="W1256" s="64">
        <f>YEAR(Table22[[#This Row],[Sales Date]])</f>
        <v>2024</v>
      </c>
      <c r="X1256" s="23">
        <v>65</v>
      </c>
      <c r="Y1256" s="18" t="s">
        <v>49</v>
      </c>
      <c r="Z1256" s="18" t="s">
        <v>42</v>
      </c>
      <c r="AA1256" s="19" t="s">
        <v>25</v>
      </c>
    </row>
    <row r="1257" spans="1:27" x14ac:dyDescent="0.25">
      <c r="A1257" s="17" t="s">
        <v>406</v>
      </c>
      <c r="B1257" s="18" t="s">
        <v>46</v>
      </c>
      <c r="C1257" s="63" t="str" cm="1">
        <f t="array" ref="C1257">_xlfn.SWITCH(Table22[[#This Row],[Country]],"USA","North America","Canada","North America","Brazil","South America","China","Asia","Japan","Asia","India","Asia","France","Europe","Germany","Europe","UK","Europe","Australia","Oceania","South America")</f>
        <v>South America</v>
      </c>
      <c r="D1257" s="18" t="s">
        <v>21</v>
      </c>
      <c r="E1257" s="18" t="s">
        <v>19</v>
      </c>
      <c r="F1257" s="18" t="s">
        <v>52</v>
      </c>
      <c r="G1257" s="18" t="s">
        <v>22</v>
      </c>
      <c r="H1257" s="64">
        <f>LEN(TRIM(Table22[[#This Row],[Country]]))</f>
        <v>6</v>
      </c>
      <c r="I1257" s="64">
        <f>LEN(TRIM(Table22[[#This Row],[Continent]]))</f>
        <v>13</v>
      </c>
      <c r="J1257" s="64">
        <f>LEN(TRIM(Table22[[#This Row],[Product]]))</f>
        <v>6</v>
      </c>
      <c r="K1257" s="64">
        <f>LEN(TRIM(Table22[[#This Row],[Sales Team]]))</f>
        <v>10</v>
      </c>
      <c r="L1257" s="23">
        <v>60</v>
      </c>
      <c r="M1257" s="65" t="str" cm="1">
        <f t="array" ref="M1257">_xlfn.IFS(Table22[[#This Row],[Units Sold]]&lt;40,"Critical",Table22[[#This Row],[Units Sold]]&lt;=50,"Poor",Table22[[#This Row],[Units Sold]]&lt;=60,"Low",Table22[[#This Row],[Units Sold]]&lt;=80,"Average",Table22[[#This Row],[Units Sold]]&lt;=90,"High",Table22[[#This Row],[Units Sold]]&lt;=95,"Excellent",Table22[[#This Row],[Units Sold]]&gt;95,"Outstanding")</f>
        <v>Low</v>
      </c>
      <c r="N1257" s="29">
        <v>338.39</v>
      </c>
      <c r="O1257" s="29">
        <v>20303.400000000001</v>
      </c>
      <c r="P1257" s="43">
        <f>IF(Table22[[#This Row],[Discount Applied]],Table22[[#This Row],[Total Sales (in USD)]]*(1-Table22[[#This Row],[Discount Percentage (%)]]/100),Table22[[#This Row],[Total Sales (in USD)]])</f>
        <v>20303.400000000001</v>
      </c>
      <c r="Q1257" s="66">
        <f>SQRT(AVERAGE((Table22[[#This Row],[Net Sales (after discount) (in USD)]]-AVERAGE(Table22[Net Sales (after discount) (in USD)]))^2))</f>
        <v>16207.960563764536</v>
      </c>
      <c r="R1257" s="18" t="b">
        <v>0</v>
      </c>
      <c r="S1257" s="40">
        <v>19.45</v>
      </c>
      <c r="T1257" s="18" t="b">
        <v>0</v>
      </c>
      <c r="U1257" s="25">
        <v>45487</v>
      </c>
      <c r="V1257" s="63" t="str">
        <f>IF(MONTH(Table22[[#This Row],[Sales Date]])&lt;=3,"Q1",IF(MONTH(Table22[[#This Row],[Sales Date]])&lt;=6,"Q2",IF(MONTH(Table22[[#This Row],[Sales Date]])&lt;=9,"Q3","Q4")))</f>
        <v>Q3</v>
      </c>
      <c r="W1257" s="64">
        <f>YEAR(Table22[[#This Row],[Sales Date]])</f>
        <v>2024</v>
      </c>
      <c r="X1257" s="23">
        <v>28</v>
      </c>
      <c r="Y1257" s="18" t="s">
        <v>23</v>
      </c>
      <c r="Z1257" s="18" t="s">
        <v>30</v>
      </c>
      <c r="AA1257" s="19" t="s">
        <v>36</v>
      </c>
    </row>
    <row r="1258" spans="1:27" x14ac:dyDescent="0.25">
      <c r="A1258" s="17" t="s">
        <v>1898</v>
      </c>
      <c r="B1258" s="18" t="s">
        <v>76</v>
      </c>
      <c r="C1258" s="63" t="str" cm="1">
        <f t="array" ref="C1258">_xlfn.SWITCH(Table22[[#This Row],[Country]],"USA","North America","Canada","North America","Brazil","South America","China","Asia","Japan","Asia","India","Asia","France","Europe","Germany","Europe","UK","Europe","Australia","Oceania","South America")</f>
        <v>Asia</v>
      </c>
      <c r="D1258" s="18" t="s">
        <v>44</v>
      </c>
      <c r="E1258" s="18" t="s">
        <v>33</v>
      </c>
      <c r="F1258" s="18" t="s">
        <v>47</v>
      </c>
      <c r="G1258" s="18" t="s">
        <v>48</v>
      </c>
      <c r="H1258" s="64">
        <f>LEN(TRIM(Table22[[#This Row],[Country]]))</f>
        <v>5</v>
      </c>
      <c r="I1258" s="64">
        <f>LEN(TRIM(Table22[[#This Row],[Continent]]))</f>
        <v>4</v>
      </c>
      <c r="J1258" s="64">
        <f>LEN(TRIM(Table22[[#This Row],[Product]]))</f>
        <v>10</v>
      </c>
      <c r="K1258" s="64">
        <f>LEN(TRIM(Table22[[#This Row],[Sales Team]]))</f>
        <v>9</v>
      </c>
      <c r="L1258" s="23">
        <v>22</v>
      </c>
      <c r="M1258" s="65" t="str" cm="1">
        <f t="array" ref="M1258">_xlfn.IFS(Table22[[#This Row],[Units Sold]]&lt;40,"Critical",Table22[[#This Row],[Units Sold]]&lt;=50,"Poor",Table22[[#This Row],[Units Sold]]&lt;=60,"Low",Table22[[#This Row],[Units Sold]]&lt;=80,"Average",Table22[[#This Row],[Units Sold]]&lt;=90,"High",Table22[[#This Row],[Units Sold]]&lt;=95,"Excellent",Table22[[#This Row],[Units Sold]]&gt;95,"Outstanding")</f>
        <v>Critical</v>
      </c>
      <c r="N1258" s="29">
        <v>920.37</v>
      </c>
      <c r="O1258" s="29">
        <v>20248.14</v>
      </c>
      <c r="P1258" s="43">
        <f>IF(Table22[[#This Row],[Discount Applied]],Table22[[#This Row],[Total Sales (in USD)]]*(1-Table22[[#This Row],[Discount Percentage (%)]]/100),Table22[[#This Row],[Total Sales (in USD)]])</f>
        <v>19162.839695999999</v>
      </c>
      <c r="Q1258" s="66">
        <f>SQRT(AVERAGE((Table22[[#This Row],[Net Sales (after discount) (in USD)]]-AVERAGE(Table22[Net Sales (after discount) (in USD)]))^2))</f>
        <v>17348.520867764539</v>
      </c>
      <c r="R1258" s="18" t="b">
        <v>1</v>
      </c>
      <c r="S1258" s="40">
        <v>5.36</v>
      </c>
      <c r="T1258" s="18" t="b">
        <v>1</v>
      </c>
      <c r="U1258" s="25">
        <v>45331</v>
      </c>
      <c r="V1258" s="63" t="str">
        <f>IF(MONTH(Table22[[#This Row],[Sales Date]])&lt;=3,"Q1",IF(MONTH(Table22[[#This Row],[Sales Date]])&lt;=6,"Q2",IF(MONTH(Table22[[#This Row],[Sales Date]])&lt;=9,"Q3","Q4")))</f>
        <v>Q1</v>
      </c>
      <c r="W1258" s="64">
        <f>YEAR(Table22[[#This Row],[Sales Date]])</f>
        <v>2024</v>
      </c>
      <c r="X1258" s="23">
        <v>68</v>
      </c>
      <c r="Y1258" s="18" t="s">
        <v>49</v>
      </c>
      <c r="Z1258" s="18" t="s">
        <v>24</v>
      </c>
      <c r="AA1258" s="19" t="s">
        <v>25</v>
      </c>
    </row>
    <row r="1259" spans="1:27" x14ac:dyDescent="0.25">
      <c r="A1259" s="17" t="s">
        <v>417</v>
      </c>
      <c r="B1259" s="18" t="s">
        <v>72</v>
      </c>
      <c r="C1259" s="63" t="str" cm="1">
        <f t="array" ref="C1259">_xlfn.SWITCH(Table22[[#This Row],[Country]],"USA","North America","Canada","North America","Brazil","South America","China","Asia","Japan","Asia","India","Asia","France","Europe","Germany","Europe","UK","Europe","Australia","Oceania","South America")</f>
        <v>North America</v>
      </c>
      <c r="D1259" s="18" t="s">
        <v>35</v>
      </c>
      <c r="E1259" s="18" t="s">
        <v>33</v>
      </c>
      <c r="F1259" s="18" t="s">
        <v>47</v>
      </c>
      <c r="G1259" s="18" t="s">
        <v>22</v>
      </c>
      <c r="H1259" s="64">
        <f>LEN(TRIM(Table22[[#This Row],[Country]]))</f>
        <v>3</v>
      </c>
      <c r="I1259" s="64">
        <f>LEN(TRIM(Table22[[#This Row],[Continent]]))</f>
        <v>13</v>
      </c>
      <c r="J1259" s="64">
        <f>LEN(TRIM(Table22[[#This Row],[Product]]))</f>
        <v>10</v>
      </c>
      <c r="K1259" s="64">
        <f>LEN(TRIM(Table22[[#This Row],[Sales Team]]))</f>
        <v>10</v>
      </c>
      <c r="L1259" s="23">
        <v>54</v>
      </c>
      <c r="M1259" s="65" t="str" cm="1">
        <f t="array" ref="M1259">_xlfn.IFS(Table22[[#This Row],[Units Sold]]&lt;40,"Critical",Table22[[#This Row],[Units Sold]]&lt;=50,"Poor",Table22[[#This Row],[Units Sold]]&lt;=60,"Low",Table22[[#This Row],[Units Sold]]&lt;=80,"Average",Table22[[#This Row],[Units Sold]]&lt;=90,"High",Table22[[#This Row],[Units Sold]]&lt;=95,"Excellent",Table22[[#This Row],[Units Sold]]&gt;95,"Outstanding")</f>
        <v>Low</v>
      </c>
      <c r="N1259" s="29">
        <v>374.54</v>
      </c>
      <c r="O1259" s="29">
        <v>20225.16</v>
      </c>
      <c r="P1259" s="43">
        <f>IF(Table22[[#This Row],[Discount Applied]],Table22[[#This Row],[Total Sales (in USD)]]*(1-Table22[[#This Row],[Discount Percentage (%)]]/100),Table22[[#This Row],[Total Sales (in USD)]])</f>
        <v>20225.16</v>
      </c>
      <c r="Q1259" s="66">
        <f>SQRT(AVERAGE((Table22[[#This Row],[Net Sales (after discount) (in USD)]]-AVERAGE(Table22[Net Sales (after discount) (in USD)]))^2))</f>
        <v>16286.200563764538</v>
      </c>
      <c r="R1259" s="18" t="b">
        <v>1</v>
      </c>
      <c r="S1259" s="40">
        <v>18.98</v>
      </c>
      <c r="T1259" s="18" t="b">
        <v>0</v>
      </c>
      <c r="U1259" s="25">
        <v>44949</v>
      </c>
      <c r="V1259" s="63" t="str">
        <f>IF(MONTH(Table22[[#This Row],[Sales Date]])&lt;=3,"Q1",IF(MONTH(Table22[[#This Row],[Sales Date]])&lt;=6,"Q2",IF(MONTH(Table22[[#This Row],[Sales Date]])&lt;=9,"Q3","Q4")))</f>
        <v>Q1</v>
      </c>
      <c r="W1259" s="64">
        <f>YEAR(Table22[[#This Row],[Sales Date]])</f>
        <v>2023</v>
      </c>
      <c r="X1259" s="23">
        <v>60</v>
      </c>
      <c r="Y1259" s="18" t="s">
        <v>41</v>
      </c>
      <c r="Z1259" s="18" t="s">
        <v>30</v>
      </c>
      <c r="AA1259" s="19" t="s">
        <v>25</v>
      </c>
    </row>
    <row r="1260" spans="1:27" x14ac:dyDescent="0.25">
      <c r="A1260" s="17" t="s">
        <v>1398</v>
      </c>
      <c r="B1260" s="18" t="s">
        <v>51</v>
      </c>
      <c r="C1260" s="63" t="str" cm="1">
        <f t="array" ref="C1260">_xlfn.SWITCH(Table22[[#This Row],[Country]],"USA","North America","Canada","North America","Brazil","South America","China","Asia","Japan","Asia","India","Asia","France","Europe","Germany","Europe","UK","Europe","Australia","Oceania","South America")</f>
        <v>Europe</v>
      </c>
      <c r="D1260" s="18" t="s">
        <v>21</v>
      </c>
      <c r="E1260" s="18" t="s">
        <v>39</v>
      </c>
      <c r="F1260" s="18" t="s">
        <v>52</v>
      </c>
      <c r="G1260" s="18" t="s">
        <v>22</v>
      </c>
      <c r="H1260" s="64">
        <f>LEN(TRIM(Table22[[#This Row],[Country]]))</f>
        <v>2</v>
      </c>
      <c r="I1260" s="64">
        <f>LEN(TRIM(Table22[[#This Row],[Continent]]))</f>
        <v>6</v>
      </c>
      <c r="J1260" s="64">
        <f>LEN(TRIM(Table22[[#This Row],[Product]]))</f>
        <v>10</v>
      </c>
      <c r="K1260" s="64">
        <f>LEN(TRIM(Table22[[#This Row],[Sales Team]]))</f>
        <v>10</v>
      </c>
      <c r="L1260" s="23">
        <v>55</v>
      </c>
      <c r="M1260" s="65" t="str" cm="1">
        <f t="array" ref="M1260">_xlfn.IFS(Table22[[#This Row],[Units Sold]]&lt;40,"Critical",Table22[[#This Row],[Units Sold]]&lt;=50,"Poor",Table22[[#This Row],[Units Sold]]&lt;=60,"Low",Table22[[#This Row],[Units Sold]]&lt;=80,"Average",Table22[[#This Row],[Units Sold]]&lt;=90,"High",Table22[[#This Row],[Units Sold]]&lt;=95,"Excellent",Table22[[#This Row],[Units Sold]]&gt;95,"Outstanding")</f>
        <v>Low</v>
      </c>
      <c r="N1260" s="29">
        <v>367.51</v>
      </c>
      <c r="O1260" s="29">
        <v>20213.05</v>
      </c>
      <c r="P1260" s="43">
        <f>IF(Table22[[#This Row],[Discount Applied]],Table22[[#This Row],[Total Sales (in USD)]]*(1-Table22[[#This Row],[Discount Percentage (%)]]/100),Table22[[#This Row],[Total Sales (in USD)]])</f>
        <v>20213.05</v>
      </c>
      <c r="Q1260" s="66">
        <f>SQRT(AVERAGE((Table22[[#This Row],[Net Sales (after discount) (in USD)]]-AVERAGE(Table22[Net Sales (after discount) (in USD)]))^2))</f>
        <v>16298.310563764539</v>
      </c>
      <c r="R1260" s="18" t="b">
        <v>1</v>
      </c>
      <c r="S1260" s="40">
        <v>20.88</v>
      </c>
      <c r="T1260" s="18" t="b">
        <v>0</v>
      </c>
      <c r="U1260" s="25">
        <v>44970</v>
      </c>
      <c r="V1260" s="63" t="str">
        <f>IF(MONTH(Table22[[#This Row],[Sales Date]])&lt;=3,"Q1",IF(MONTH(Table22[[#This Row],[Sales Date]])&lt;=6,"Q2",IF(MONTH(Table22[[#This Row],[Sales Date]])&lt;=9,"Q3","Q4")))</f>
        <v>Q1</v>
      </c>
      <c r="W1260" s="64">
        <f>YEAR(Table22[[#This Row],[Sales Date]])</f>
        <v>2023</v>
      </c>
      <c r="X1260" s="23">
        <v>54</v>
      </c>
      <c r="Y1260" s="18" t="s">
        <v>41</v>
      </c>
      <c r="Z1260" s="18" t="s">
        <v>30</v>
      </c>
      <c r="AA1260" s="19" t="s">
        <v>36</v>
      </c>
    </row>
    <row r="1261" spans="1:27" x14ac:dyDescent="0.25">
      <c r="A1261" s="17" t="s">
        <v>458</v>
      </c>
      <c r="B1261" s="18" t="s">
        <v>51</v>
      </c>
      <c r="C1261" s="63" t="str" cm="1">
        <f t="array" ref="C1261">_xlfn.SWITCH(Table22[[#This Row],[Country]],"USA","North America","Canada","North America","Brazil","South America","China","Asia","Japan","Asia","India","Asia","France","Europe","Germany","Europe","UK","Europe","Australia","Oceania","South America")</f>
        <v>Europe</v>
      </c>
      <c r="D1261" s="18" t="s">
        <v>21</v>
      </c>
      <c r="E1261" s="18" t="s">
        <v>19</v>
      </c>
      <c r="F1261" s="18" t="s">
        <v>52</v>
      </c>
      <c r="G1261" s="18" t="s">
        <v>29</v>
      </c>
      <c r="H1261" s="64">
        <f>LEN(TRIM(Table22[[#This Row],[Country]]))</f>
        <v>2</v>
      </c>
      <c r="I1261" s="64">
        <f>LEN(TRIM(Table22[[#This Row],[Continent]]))</f>
        <v>6</v>
      </c>
      <c r="J1261" s="64">
        <f>LEN(TRIM(Table22[[#This Row],[Product]]))</f>
        <v>6</v>
      </c>
      <c r="K1261" s="64">
        <f>LEN(TRIM(Table22[[#This Row],[Sales Team]]))</f>
        <v>10</v>
      </c>
      <c r="L1261" s="23">
        <v>37</v>
      </c>
      <c r="M1261" s="65" t="str" cm="1">
        <f t="array" ref="M1261">_xlfn.IFS(Table22[[#This Row],[Units Sold]]&lt;40,"Critical",Table22[[#This Row],[Units Sold]]&lt;=50,"Poor",Table22[[#This Row],[Units Sold]]&lt;=60,"Low",Table22[[#This Row],[Units Sold]]&lt;=80,"Average",Table22[[#This Row],[Units Sold]]&lt;=90,"High",Table22[[#This Row],[Units Sold]]&lt;=95,"Excellent",Table22[[#This Row],[Units Sold]]&gt;95,"Outstanding")</f>
        <v>Critical</v>
      </c>
      <c r="N1261" s="29">
        <v>545.71</v>
      </c>
      <c r="O1261" s="29">
        <v>20191.27</v>
      </c>
      <c r="P1261" s="43">
        <f>IF(Table22[[#This Row],[Discount Applied]],Table22[[#This Row],[Total Sales (in USD)]]*(1-Table22[[#This Row],[Discount Percentage (%)]]/100),Table22[[#This Row],[Total Sales (in USD)]])</f>
        <v>19270.548088</v>
      </c>
      <c r="Q1261" s="66">
        <f>SQRT(AVERAGE((Table22[[#This Row],[Net Sales (after discount) (in USD)]]-AVERAGE(Table22[Net Sales (after discount) (in USD)]))^2))</f>
        <v>17240.812475764538</v>
      </c>
      <c r="R1261" s="18" t="b">
        <v>1</v>
      </c>
      <c r="S1261" s="40">
        <v>4.5599999999999996</v>
      </c>
      <c r="T1261" s="18" t="b">
        <v>1</v>
      </c>
      <c r="U1261" s="25">
        <v>44972</v>
      </c>
      <c r="V1261" s="63" t="str">
        <f>IF(MONTH(Table22[[#This Row],[Sales Date]])&lt;=3,"Q1",IF(MONTH(Table22[[#This Row],[Sales Date]])&lt;=6,"Q2",IF(MONTH(Table22[[#This Row],[Sales Date]])&lt;=9,"Q3","Q4")))</f>
        <v>Q1</v>
      </c>
      <c r="W1261" s="64">
        <f>YEAR(Table22[[#This Row],[Sales Date]])</f>
        <v>2023</v>
      </c>
      <c r="X1261" s="23">
        <v>40</v>
      </c>
      <c r="Y1261" s="18" t="s">
        <v>49</v>
      </c>
      <c r="Z1261" s="18" t="s">
        <v>24</v>
      </c>
      <c r="AA1261" s="19" t="s">
        <v>25</v>
      </c>
    </row>
    <row r="1262" spans="1:27" x14ac:dyDescent="0.25">
      <c r="A1262" s="17" t="s">
        <v>1042</v>
      </c>
      <c r="B1262" s="18" t="s">
        <v>32</v>
      </c>
      <c r="C1262" s="63" t="str" cm="1">
        <f t="array" ref="C1262">_xlfn.SWITCH(Table22[[#This Row],[Country]],"USA","North America","Canada","North America","Brazil","South America","China","Asia","Japan","Asia","India","Asia","France","Europe","Germany","Europe","UK","Europe","Australia","Oceania","South America")</f>
        <v>Asia</v>
      </c>
      <c r="D1262" s="18" t="s">
        <v>44</v>
      </c>
      <c r="E1262" s="18" t="s">
        <v>39</v>
      </c>
      <c r="F1262" s="18" t="s">
        <v>20</v>
      </c>
      <c r="G1262" s="18" t="s">
        <v>48</v>
      </c>
      <c r="H1262" s="64">
        <f>LEN(TRIM(Table22[[#This Row],[Country]]))</f>
        <v>5</v>
      </c>
      <c r="I1262" s="64">
        <f>LEN(TRIM(Table22[[#This Row],[Continent]]))</f>
        <v>4</v>
      </c>
      <c r="J1262" s="64">
        <f>LEN(TRIM(Table22[[#This Row],[Product]]))</f>
        <v>10</v>
      </c>
      <c r="K1262" s="64">
        <f>LEN(TRIM(Table22[[#This Row],[Sales Team]]))</f>
        <v>9</v>
      </c>
      <c r="L1262" s="23">
        <v>25</v>
      </c>
      <c r="M1262" s="65" t="str" cm="1">
        <f t="array" ref="M1262">_xlfn.IFS(Table22[[#This Row],[Units Sold]]&lt;40,"Critical",Table22[[#This Row],[Units Sold]]&lt;=50,"Poor",Table22[[#This Row],[Units Sold]]&lt;=60,"Low",Table22[[#This Row],[Units Sold]]&lt;=80,"Average",Table22[[#This Row],[Units Sold]]&lt;=90,"High",Table22[[#This Row],[Units Sold]]&lt;=95,"Excellent",Table22[[#This Row],[Units Sold]]&gt;95,"Outstanding")</f>
        <v>Critical</v>
      </c>
      <c r="N1262" s="29">
        <v>806.81</v>
      </c>
      <c r="O1262" s="29">
        <v>20170.25</v>
      </c>
      <c r="P1262" s="43">
        <f>IF(Table22[[#This Row],[Discount Applied]],Table22[[#This Row],[Total Sales (in USD)]]*(1-Table22[[#This Row],[Discount Percentage (%)]]/100),Table22[[#This Row],[Total Sales (in USD)]])</f>
        <v>14222.043275000002</v>
      </c>
      <c r="Q1262" s="66">
        <f>SQRT(AVERAGE((Table22[[#This Row],[Net Sales (after discount) (in USD)]]-AVERAGE(Table22[Net Sales (after discount) (in USD)]))^2))</f>
        <v>22289.317288764534</v>
      </c>
      <c r="R1262" s="18" t="b">
        <v>1</v>
      </c>
      <c r="S1262" s="40">
        <v>29.49</v>
      </c>
      <c r="T1262" s="18" t="b">
        <v>1</v>
      </c>
      <c r="U1262" s="25">
        <v>45404</v>
      </c>
      <c r="V1262" s="63" t="str">
        <f>IF(MONTH(Table22[[#This Row],[Sales Date]])&lt;=3,"Q1",IF(MONTH(Table22[[#This Row],[Sales Date]])&lt;=6,"Q2",IF(MONTH(Table22[[#This Row],[Sales Date]])&lt;=9,"Q3","Q4")))</f>
        <v>Q2</v>
      </c>
      <c r="W1262" s="64">
        <f>YEAR(Table22[[#This Row],[Sales Date]])</f>
        <v>2024</v>
      </c>
      <c r="X1262" s="23">
        <v>38</v>
      </c>
      <c r="Y1262" s="18" t="s">
        <v>49</v>
      </c>
      <c r="Z1262" s="18" t="s">
        <v>42</v>
      </c>
      <c r="AA1262" s="19" t="s">
        <v>36</v>
      </c>
    </row>
    <row r="1263" spans="1:27" x14ac:dyDescent="0.25">
      <c r="A1263" s="17" t="s">
        <v>408</v>
      </c>
      <c r="B1263" s="18" t="s">
        <v>46</v>
      </c>
      <c r="C1263" s="63" t="str" cm="1">
        <f t="array" ref="C1263">_xlfn.SWITCH(Table22[[#This Row],[Country]],"USA","North America","Canada","North America","Brazil","South America","China","Asia","Japan","Asia","India","Asia","France","Europe","Germany","Europe","UK","Europe","Australia","Oceania","South America")</f>
        <v>South America</v>
      </c>
      <c r="D1263" s="18" t="s">
        <v>44</v>
      </c>
      <c r="E1263" s="18" t="s">
        <v>33</v>
      </c>
      <c r="F1263" s="18" t="s">
        <v>52</v>
      </c>
      <c r="G1263" s="18" t="s">
        <v>40</v>
      </c>
      <c r="H1263" s="64">
        <f>LEN(TRIM(Table22[[#This Row],[Country]]))</f>
        <v>6</v>
      </c>
      <c r="I1263" s="64">
        <f>LEN(TRIM(Table22[[#This Row],[Continent]]))</f>
        <v>13</v>
      </c>
      <c r="J1263" s="64">
        <f>LEN(TRIM(Table22[[#This Row],[Product]]))</f>
        <v>10</v>
      </c>
      <c r="K1263" s="64">
        <f>LEN(TRIM(Table22[[#This Row],[Sales Team]]))</f>
        <v>10</v>
      </c>
      <c r="L1263" s="23">
        <v>20</v>
      </c>
      <c r="M1263" s="65" t="str" cm="1">
        <f t="array" ref="M1263">_xlfn.IFS(Table22[[#This Row],[Units Sold]]&lt;40,"Critical",Table22[[#This Row],[Units Sold]]&lt;=50,"Poor",Table22[[#This Row],[Units Sold]]&lt;=60,"Low",Table22[[#This Row],[Units Sold]]&lt;=80,"Average",Table22[[#This Row],[Units Sold]]&lt;=90,"High",Table22[[#This Row],[Units Sold]]&lt;=95,"Excellent",Table22[[#This Row],[Units Sold]]&gt;95,"Outstanding")</f>
        <v>Critical</v>
      </c>
      <c r="N1263" s="29">
        <v>1006.06</v>
      </c>
      <c r="O1263" s="29">
        <v>20121.2</v>
      </c>
      <c r="P1263" s="43">
        <f>IF(Table22[[#This Row],[Discount Applied]],Table22[[#This Row],[Total Sales (in USD)]]*(1-Table22[[#This Row],[Discount Percentage (%)]]/100),Table22[[#This Row],[Total Sales (in USD)]])</f>
        <v>20121.2</v>
      </c>
      <c r="Q1263" s="66">
        <f>SQRT(AVERAGE((Table22[[#This Row],[Net Sales (after discount) (in USD)]]-AVERAGE(Table22[Net Sales (after discount) (in USD)]))^2))</f>
        <v>16390.160563764537</v>
      </c>
      <c r="R1263" s="18" t="b">
        <v>0</v>
      </c>
      <c r="S1263" s="40">
        <v>26.83</v>
      </c>
      <c r="T1263" s="18" t="b">
        <v>0</v>
      </c>
      <c r="U1263" s="25">
        <v>45042</v>
      </c>
      <c r="V1263" s="63" t="str">
        <f>IF(MONTH(Table22[[#This Row],[Sales Date]])&lt;=3,"Q1",IF(MONTH(Table22[[#This Row],[Sales Date]])&lt;=6,"Q2",IF(MONTH(Table22[[#This Row],[Sales Date]])&lt;=9,"Q3","Q4")))</f>
        <v>Q2</v>
      </c>
      <c r="W1263" s="64">
        <f>YEAR(Table22[[#This Row],[Sales Date]])</f>
        <v>2023</v>
      </c>
      <c r="X1263" s="23">
        <v>59</v>
      </c>
      <c r="Y1263" s="18" t="s">
        <v>49</v>
      </c>
      <c r="Z1263" s="18" t="s">
        <v>30</v>
      </c>
      <c r="AA1263" s="19" t="s">
        <v>36</v>
      </c>
    </row>
    <row r="1264" spans="1:27" x14ac:dyDescent="0.25">
      <c r="A1264" s="17" t="s">
        <v>2003</v>
      </c>
      <c r="B1264" s="18" t="s">
        <v>46</v>
      </c>
      <c r="C1264" s="63" t="str" cm="1">
        <f t="array" ref="C1264">_xlfn.SWITCH(Table22[[#This Row],[Country]],"USA","North America","Canada","North America","Brazil","South America","China","Asia","Japan","Asia","India","Asia","France","Europe","Germany","Europe","UK","Europe","Australia","Oceania","South America")</f>
        <v>South America</v>
      </c>
      <c r="D1264" s="18" t="s">
        <v>44</v>
      </c>
      <c r="E1264" s="18" t="s">
        <v>39</v>
      </c>
      <c r="F1264" s="18" t="s">
        <v>20</v>
      </c>
      <c r="G1264" s="18" t="s">
        <v>48</v>
      </c>
      <c r="H1264" s="64">
        <f>LEN(TRIM(Table22[[#This Row],[Country]]))</f>
        <v>6</v>
      </c>
      <c r="I1264" s="64">
        <f>LEN(TRIM(Table22[[#This Row],[Continent]]))</f>
        <v>13</v>
      </c>
      <c r="J1264" s="64">
        <f>LEN(TRIM(Table22[[#This Row],[Product]]))</f>
        <v>10</v>
      </c>
      <c r="K1264" s="64">
        <f>LEN(TRIM(Table22[[#This Row],[Sales Team]]))</f>
        <v>9</v>
      </c>
      <c r="L1264" s="23">
        <v>46</v>
      </c>
      <c r="M1264" s="65" t="str" cm="1">
        <f t="array" ref="M1264">_xlfn.IFS(Table22[[#This Row],[Units Sold]]&lt;40,"Critical",Table22[[#This Row],[Units Sold]]&lt;=50,"Poor",Table22[[#This Row],[Units Sold]]&lt;=60,"Low",Table22[[#This Row],[Units Sold]]&lt;=80,"Average",Table22[[#This Row],[Units Sold]]&lt;=90,"High",Table22[[#This Row],[Units Sold]]&lt;=95,"Excellent",Table22[[#This Row],[Units Sold]]&gt;95,"Outstanding")</f>
        <v>Poor</v>
      </c>
      <c r="N1264" s="29">
        <v>437.25</v>
      </c>
      <c r="O1264" s="29">
        <v>20113.5</v>
      </c>
      <c r="P1264" s="43">
        <f>IF(Table22[[#This Row],[Discount Applied]],Table22[[#This Row],[Total Sales (in USD)]]*(1-Table22[[#This Row],[Discount Percentage (%)]]/100),Table22[[#This Row],[Total Sales (in USD)]])</f>
        <v>14851.808399999998</v>
      </c>
      <c r="Q1264" s="66">
        <f>SQRT(AVERAGE((Table22[[#This Row],[Net Sales (after discount) (in USD)]]-AVERAGE(Table22[Net Sales (after discount) (in USD)]))^2))</f>
        <v>21659.55216376454</v>
      </c>
      <c r="R1264" s="18" t="b">
        <v>0</v>
      </c>
      <c r="S1264" s="40">
        <v>26.16</v>
      </c>
      <c r="T1264" s="18" t="b">
        <v>1</v>
      </c>
      <c r="U1264" s="25">
        <v>45574</v>
      </c>
      <c r="V1264" s="63" t="str">
        <f>IF(MONTH(Table22[[#This Row],[Sales Date]])&lt;=3,"Q1",IF(MONTH(Table22[[#This Row],[Sales Date]])&lt;=6,"Q2",IF(MONTH(Table22[[#This Row],[Sales Date]])&lt;=9,"Q3","Q4")))</f>
        <v>Q4</v>
      </c>
      <c r="W1264" s="64">
        <f>YEAR(Table22[[#This Row],[Sales Date]])</f>
        <v>2024</v>
      </c>
      <c r="X1264" s="23">
        <v>36</v>
      </c>
      <c r="Y1264" s="18" t="s">
        <v>23</v>
      </c>
      <c r="Z1264" s="18" t="s">
        <v>42</v>
      </c>
      <c r="AA1264" s="19" t="s">
        <v>36</v>
      </c>
    </row>
    <row r="1265" spans="1:27" x14ac:dyDescent="0.25">
      <c r="A1265" s="17" t="s">
        <v>1403</v>
      </c>
      <c r="B1265" s="18" t="s">
        <v>76</v>
      </c>
      <c r="C1265" s="63" t="str" cm="1">
        <f t="array" ref="C1265">_xlfn.SWITCH(Table22[[#This Row],[Country]],"USA","North America","Canada","North America","Brazil","South America","China","Asia","Japan","Asia","India","Asia","France","Europe","Germany","Europe","UK","Europe","Australia","Oceania","South America")</f>
        <v>Asia</v>
      </c>
      <c r="D1265" s="18" t="s">
        <v>28</v>
      </c>
      <c r="E1265" s="18" t="s">
        <v>39</v>
      </c>
      <c r="F1265" s="18" t="s">
        <v>34</v>
      </c>
      <c r="G1265" s="18" t="s">
        <v>40</v>
      </c>
      <c r="H1265" s="64">
        <f>LEN(TRIM(Table22[[#This Row],[Country]]))</f>
        <v>5</v>
      </c>
      <c r="I1265" s="64">
        <f>LEN(TRIM(Table22[[#This Row],[Continent]]))</f>
        <v>4</v>
      </c>
      <c r="J1265" s="64">
        <f>LEN(TRIM(Table22[[#This Row],[Product]]))</f>
        <v>10</v>
      </c>
      <c r="K1265" s="64">
        <f>LEN(TRIM(Table22[[#This Row],[Sales Team]]))</f>
        <v>10</v>
      </c>
      <c r="L1265" s="23">
        <v>83</v>
      </c>
      <c r="M1265" s="65" t="str" cm="1">
        <f t="array" ref="M1265">_xlfn.IFS(Table22[[#This Row],[Units Sold]]&lt;40,"Critical",Table22[[#This Row],[Units Sold]]&lt;=50,"Poor",Table22[[#This Row],[Units Sold]]&lt;=60,"Low",Table22[[#This Row],[Units Sold]]&lt;=80,"Average",Table22[[#This Row],[Units Sold]]&lt;=90,"High",Table22[[#This Row],[Units Sold]]&lt;=95,"Excellent",Table22[[#This Row],[Units Sold]]&gt;95,"Outstanding")</f>
        <v>High</v>
      </c>
      <c r="N1265" s="29">
        <v>241.5</v>
      </c>
      <c r="O1265" s="29">
        <v>20044.5</v>
      </c>
      <c r="P1265" s="43">
        <f>IF(Table22[[#This Row],[Discount Applied]],Table22[[#This Row],[Total Sales (in USD)]]*(1-Table22[[#This Row],[Discount Percentage (%)]]/100),Table22[[#This Row],[Total Sales (in USD)]])</f>
        <v>20044.5</v>
      </c>
      <c r="Q1265" s="66">
        <f>SQRT(AVERAGE((Table22[[#This Row],[Net Sales (after discount) (in USD)]]-AVERAGE(Table22[Net Sales (after discount) (in USD)]))^2))</f>
        <v>16466.860563764538</v>
      </c>
      <c r="R1265" s="18" t="b">
        <v>1</v>
      </c>
      <c r="S1265" s="40">
        <v>23.86</v>
      </c>
      <c r="T1265" s="18" t="b">
        <v>0</v>
      </c>
      <c r="U1265" s="25">
        <v>44944</v>
      </c>
      <c r="V1265" s="63" t="str">
        <f>IF(MONTH(Table22[[#This Row],[Sales Date]])&lt;=3,"Q1",IF(MONTH(Table22[[#This Row],[Sales Date]])&lt;=6,"Q2",IF(MONTH(Table22[[#This Row],[Sales Date]])&lt;=9,"Q3","Q4")))</f>
        <v>Q1</v>
      </c>
      <c r="W1265" s="64">
        <f>YEAR(Table22[[#This Row],[Sales Date]])</f>
        <v>2023</v>
      </c>
      <c r="X1265" s="23">
        <v>60</v>
      </c>
      <c r="Y1265" s="18" t="s">
        <v>23</v>
      </c>
      <c r="Z1265" s="18" t="s">
        <v>42</v>
      </c>
      <c r="AA1265" s="19" t="s">
        <v>25</v>
      </c>
    </row>
    <row r="1266" spans="1:27" x14ac:dyDescent="0.25">
      <c r="A1266" s="17" t="s">
        <v>745</v>
      </c>
      <c r="B1266" s="18" t="s">
        <v>76</v>
      </c>
      <c r="C1266" s="63" t="str" cm="1">
        <f t="array" ref="C1266">_xlfn.SWITCH(Table22[[#This Row],[Country]],"USA","North America","Canada","North America","Brazil","South America","China","Asia","Japan","Asia","India","Asia","France","Europe","Germany","Europe","UK","Europe","Australia","Oceania","South America")</f>
        <v>Asia</v>
      </c>
      <c r="D1266" s="18" t="s">
        <v>35</v>
      </c>
      <c r="E1266" s="18" t="s">
        <v>19</v>
      </c>
      <c r="F1266" s="18" t="s">
        <v>34</v>
      </c>
      <c r="G1266" s="18" t="s">
        <v>22</v>
      </c>
      <c r="H1266" s="64">
        <f>LEN(TRIM(Table22[[#This Row],[Country]]))</f>
        <v>5</v>
      </c>
      <c r="I1266" s="64">
        <f>LEN(TRIM(Table22[[#This Row],[Continent]]))</f>
        <v>4</v>
      </c>
      <c r="J1266" s="64">
        <f>LEN(TRIM(Table22[[#This Row],[Product]]))</f>
        <v>6</v>
      </c>
      <c r="K1266" s="64">
        <f>LEN(TRIM(Table22[[#This Row],[Sales Team]]))</f>
        <v>10</v>
      </c>
      <c r="L1266" s="23">
        <v>15</v>
      </c>
      <c r="M1266" s="65" t="str" cm="1">
        <f t="array" ref="M1266">_xlfn.IFS(Table22[[#This Row],[Units Sold]]&lt;40,"Critical",Table22[[#This Row],[Units Sold]]&lt;=50,"Poor",Table22[[#This Row],[Units Sold]]&lt;=60,"Low",Table22[[#This Row],[Units Sold]]&lt;=80,"Average",Table22[[#This Row],[Units Sold]]&lt;=90,"High",Table22[[#This Row],[Units Sold]]&lt;=95,"Excellent",Table22[[#This Row],[Units Sold]]&gt;95,"Outstanding")</f>
        <v>Critical</v>
      </c>
      <c r="N1266" s="29">
        <v>1331.91</v>
      </c>
      <c r="O1266" s="29">
        <v>19978.650000000001</v>
      </c>
      <c r="P1266" s="43">
        <f>IF(Table22[[#This Row],[Discount Applied]],Table22[[#This Row],[Total Sales (in USD)]]*(1-Table22[[#This Row],[Discount Percentage (%)]]/100),Table22[[#This Row],[Total Sales (in USD)]])</f>
        <v>17779.000635</v>
      </c>
      <c r="Q1266" s="66">
        <f>SQRT(AVERAGE((Table22[[#This Row],[Net Sales (after discount) (in USD)]]-AVERAGE(Table22[Net Sales (after discount) (in USD)]))^2))</f>
        <v>18732.359928764537</v>
      </c>
      <c r="R1266" s="18" t="b">
        <v>1</v>
      </c>
      <c r="S1266" s="40">
        <v>11.01</v>
      </c>
      <c r="T1266" s="18" t="b">
        <v>1</v>
      </c>
      <c r="U1266" s="25">
        <v>45335</v>
      </c>
      <c r="V1266" s="63" t="str">
        <f>IF(MONTH(Table22[[#This Row],[Sales Date]])&lt;=3,"Q1",IF(MONTH(Table22[[#This Row],[Sales Date]])&lt;=6,"Q2",IF(MONTH(Table22[[#This Row],[Sales Date]])&lt;=9,"Q3","Q4")))</f>
        <v>Q1</v>
      </c>
      <c r="W1266" s="64">
        <f>YEAR(Table22[[#This Row],[Sales Date]])</f>
        <v>2024</v>
      </c>
      <c r="X1266" s="23">
        <v>57</v>
      </c>
      <c r="Y1266" s="18" t="s">
        <v>49</v>
      </c>
      <c r="Z1266" s="18" t="s">
        <v>30</v>
      </c>
      <c r="AA1266" s="19" t="s">
        <v>25</v>
      </c>
    </row>
    <row r="1267" spans="1:27" x14ac:dyDescent="0.25">
      <c r="A1267" s="17" t="s">
        <v>1368</v>
      </c>
      <c r="B1267" s="18" t="s">
        <v>51</v>
      </c>
      <c r="C1267" s="63" t="str" cm="1">
        <f t="array" ref="C1267">_xlfn.SWITCH(Table22[[#This Row],[Country]],"USA","North America","Canada","North America","Brazil","South America","China","Asia","Japan","Asia","India","Asia","France","Europe","Germany","Europe","UK","Europe","Australia","Oceania","South America")</f>
        <v>Europe</v>
      </c>
      <c r="D1267" s="18" t="s">
        <v>35</v>
      </c>
      <c r="E1267" s="18" t="s">
        <v>19</v>
      </c>
      <c r="F1267" s="18" t="s">
        <v>52</v>
      </c>
      <c r="G1267" s="18" t="s">
        <v>40</v>
      </c>
      <c r="H1267" s="64">
        <f>LEN(TRIM(Table22[[#This Row],[Country]]))</f>
        <v>2</v>
      </c>
      <c r="I1267" s="64">
        <f>LEN(TRIM(Table22[[#This Row],[Continent]]))</f>
        <v>6</v>
      </c>
      <c r="J1267" s="64">
        <f>LEN(TRIM(Table22[[#This Row],[Product]]))</f>
        <v>6</v>
      </c>
      <c r="K1267" s="64">
        <f>LEN(TRIM(Table22[[#This Row],[Sales Team]]))</f>
        <v>10</v>
      </c>
      <c r="L1267" s="23">
        <v>48</v>
      </c>
      <c r="M1267" s="65" t="str" cm="1">
        <f t="array" ref="M1267">_xlfn.IFS(Table22[[#This Row],[Units Sold]]&lt;40,"Critical",Table22[[#This Row],[Units Sold]]&lt;=50,"Poor",Table22[[#This Row],[Units Sold]]&lt;=60,"Low",Table22[[#This Row],[Units Sold]]&lt;=80,"Average",Table22[[#This Row],[Units Sold]]&lt;=90,"High",Table22[[#This Row],[Units Sold]]&lt;=95,"Excellent",Table22[[#This Row],[Units Sold]]&gt;95,"Outstanding")</f>
        <v>Poor</v>
      </c>
      <c r="N1267" s="29">
        <v>415.8</v>
      </c>
      <c r="O1267" s="29">
        <v>19958.400000000001</v>
      </c>
      <c r="P1267" s="43">
        <f>IF(Table22[[#This Row],[Discount Applied]],Table22[[#This Row],[Total Sales (in USD)]]*(1-Table22[[#This Row],[Discount Percentage (%)]]/100),Table22[[#This Row],[Total Sales (in USD)]])</f>
        <v>15573.53952</v>
      </c>
      <c r="Q1267" s="66">
        <f>SQRT(AVERAGE((Table22[[#This Row],[Net Sales (after discount) (in USD)]]-AVERAGE(Table22[Net Sales (after discount) (in USD)]))^2))</f>
        <v>20937.821043764539</v>
      </c>
      <c r="R1267" s="18" t="b">
        <v>1</v>
      </c>
      <c r="S1267" s="40">
        <v>21.97</v>
      </c>
      <c r="T1267" s="18" t="b">
        <v>1</v>
      </c>
      <c r="U1267" s="25">
        <v>45385</v>
      </c>
      <c r="V1267" s="63" t="str">
        <f>IF(MONTH(Table22[[#This Row],[Sales Date]])&lt;=3,"Q1",IF(MONTH(Table22[[#This Row],[Sales Date]])&lt;=6,"Q2",IF(MONTH(Table22[[#This Row],[Sales Date]])&lt;=9,"Q3","Q4")))</f>
        <v>Q2</v>
      </c>
      <c r="W1267" s="64">
        <f>YEAR(Table22[[#This Row],[Sales Date]])</f>
        <v>2024</v>
      </c>
      <c r="X1267" s="23">
        <v>61</v>
      </c>
      <c r="Y1267" s="18" t="s">
        <v>41</v>
      </c>
      <c r="Z1267" s="18" t="s">
        <v>42</v>
      </c>
      <c r="AA1267" s="19" t="s">
        <v>36</v>
      </c>
    </row>
    <row r="1268" spans="1:27" x14ac:dyDescent="0.25">
      <c r="A1268" s="17" t="s">
        <v>565</v>
      </c>
      <c r="B1268" s="18" t="s">
        <v>27</v>
      </c>
      <c r="C1268" s="63" t="str" cm="1">
        <f t="array" ref="C1268">_xlfn.SWITCH(Table22[[#This Row],[Country]],"USA","North America","Canada","North America","Brazil","South America","China","Asia","Japan","Asia","India","Asia","France","Europe","Germany","Europe","UK","Europe","Australia","Oceania","South America")</f>
        <v>Europe</v>
      </c>
      <c r="D1268" s="18" t="s">
        <v>44</v>
      </c>
      <c r="E1268" s="18" t="s">
        <v>33</v>
      </c>
      <c r="F1268" s="18" t="s">
        <v>64</v>
      </c>
      <c r="G1268" s="18" t="s">
        <v>29</v>
      </c>
      <c r="H1268" s="64">
        <f>LEN(TRIM(Table22[[#This Row],[Country]]))</f>
        <v>7</v>
      </c>
      <c r="I1268" s="64">
        <f>LEN(TRIM(Table22[[#This Row],[Continent]]))</f>
        <v>6</v>
      </c>
      <c r="J1268" s="64">
        <f>LEN(TRIM(Table22[[#This Row],[Product]]))</f>
        <v>10</v>
      </c>
      <c r="K1268" s="64">
        <f>LEN(TRIM(Table22[[#This Row],[Sales Team]]))</f>
        <v>10</v>
      </c>
      <c r="L1268" s="23">
        <v>65</v>
      </c>
      <c r="M1268" s="65" t="str" cm="1">
        <f t="array" ref="M1268">_xlfn.IFS(Table22[[#This Row],[Units Sold]]&lt;40,"Critical",Table22[[#This Row],[Units Sold]]&lt;=50,"Poor",Table22[[#This Row],[Units Sold]]&lt;=60,"Low",Table22[[#This Row],[Units Sold]]&lt;=80,"Average",Table22[[#This Row],[Units Sold]]&lt;=90,"High",Table22[[#This Row],[Units Sold]]&lt;=95,"Excellent",Table22[[#This Row],[Units Sold]]&gt;95,"Outstanding")</f>
        <v>Average</v>
      </c>
      <c r="N1268" s="29">
        <v>306.83</v>
      </c>
      <c r="O1268" s="29">
        <v>19943.95</v>
      </c>
      <c r="P1268" s="43">
        <f>IF(Table22[[#This Row],[Discount Applied]],Table22[[#This Row],[Total Sales (in USD)]]*(1-Table22[[#This Row],[Discount Percentage (%)]]/100),Table22[[#This Row],[Total Sales (in USD)]])</f>
        <v>18739.335419999999</v>
      </c>
      <c r="Q1268" s="66">
        <f>SQRT(AVERAGE((Table22[[#This Row],[Net Sales (after discount) (in USD)]]-AVERAGE(Table22[Net Sales (after discount) (in USD)]))^2))</f>
        <v>17772.025143764538</v>
      </c>
      <c r="R1268" s="18" t="b">
        <v>0</v>
      </c>
      <c r="S1268" s="40">
        <v>6.04</v>
      </c>
      <c r="T1268" s="18" t="b">
        <v>1</v>
      </c>
      <c r="U1268" s="25">
        <v>45283</v>
      </c>
      <c r="V1268" s="63" t="str">
        <f>IF(MONTH(Table22[[#This Row],[Sales Date]])&lt;=3,"Q1",IF(MONTH(Table22[[#This Row],[Sales Date]])&lt;=6,"Q2",IF(MONTH(Table22[[#This Row],[Sales Date]])&lt;=9,"Q3","Q4")))</f>
        <v>Q4</v>
      </c>
      <c r="W1268" s="64">
        <f>YEAR(Table22[[#This Row],[Sales Date]])</f>
        <v>2023</v>
      </c>
      <c r="X1268" s="23">
        <v>40</v>
      </c>
      <c r="Y1268" s="18" t="s">
        <v>49</v>
      </c>
      <c r="Z1268" s="18" t="s">
        <v>30</v>
      </c>
      <c r="AA1268" s="19" t="s">
        <v>36</v>
      </c>
    </row>
    <row r="1269" spans="1:27" x14ac:dyDescent="0.25">
      <c r="A1269" s="17" t="s">
        <v>954</v>
      </c>
      <c r="B1269" s="18" t="s">
        <v>38</v>
      </c>
      <c r="C1269" s="63" t="str" cm="1">
        <f t="array" ref="C1269">_xlfn.SWITCH(Table22[[#This Row],[Country]],"USA","North America","Canada","North America","Brazil","South America","China","Asia","Japan","Asia","India","Asia","France","Europe","Germany","Europe","UK","Europe","Australia","Oceania","South America")</f>
        <v>Europe</v>
      </c>
      <c r="D1269" s="18" t="s">
        <v>44</v>
      </c>
      <c r="E1269" s="18" t="s">
        <v>33</v>
      </c>
      <c r="F1269" s="18" t="s">
        <v>20</v>
      </c>
      <c r="G1269" s="18" t="s">
        <v>22</v>
      </c>
      <c r="H1269" s="64">
        <f>LEN(TRIM(Table22[[#This Row],[Country]]))</f>
        <v>6</v>
      </c>
      <c r="I1269" s="64">
        <f>LEN(TRIM(Table22[[#This Row],[Continent]]))</f>
        <v>6</v>
      </c>
      <c r="J1269" s="64">
        <f>LEN(TRIM(Table22[[#This Row],[Product]]))</f>
        <v>10</v>
      </c>
      <c r="K1269" s="64">
        <f>LEN(TRIM(Table22[[#This Row],[Sales Team]]))</f>
        <v>10</v>
      </c>
      <c r="L1269" s="23">
        <v>16</v>
      </c>
      <c r="M1269" s="65" t="str" cm="1">
        <f t="array" ref="M1269">_xlfn.IFS(Table22[[#This Row],[Units Sold]]&lt;40,"Critical",Table22[[#This Row],[Units Sold]]&lt;=50,"Poor",Table22[[#This Row],[Units Sold]]&lt;=60,"Low",Table22[[#This Row],[Units Sold]]&lt;=80,"Average",Table22[[#This Row],[Units Sold]]&lt;=90,"High",Table22[[#This Row],[Units Sold]]&lt;=95,"Excellent",Table22[[#This Row],[Units Sold]]&gt;95,"Outstanding")</f>
        <v>Critical</v>
      </c>
      <c r="N1269" s="29">
        <v>1244.31</v>
      </c>
      <c r="O1269" s="29">
        <v>19908.96</v>
      </c>
      <c r="P1269" s="43">
        <f>IF(Table22[[#This Row],[Discount Applied]],Table22[[#This Row],[Total Sales (in USD)]]*(1-Table22[[#This Row],[Discount Percentage (%)]]/100),Table22[[#This Row],[Total Sales (in USD)]])</f>
        <v>19908.96</v>
      </c>
      <c r="Q1269" s="66">
        <f>SQRT(AVERAGE((Table22[[#This Row],[Net Sales (after discount) (in USD)]]-AVERAGE(Table22[Net Sales (after discount) (in USD)]))^2))</f>
        <v>16602.400563764539</v>
      </c>
      <c r="R1269" s="18" t="b">
        <v>1</v>
      </c>
      <c r="S1269" s="40">
        <v>22.57</v>
      </c>
      <c r="T1269" s="18" t="b">
        <v>0</v>
      </c>
      <c r="U1269" s="25">
        <v>44953</v>
      </c>
      <c r="V1269" s="63" t="str">
        <f>IF(MONTH(Table22[[#This Row],[Sales Date]])&lt;=3,"Q1",IF(MONTH(Table22[[#This Row],[Sales Date]])&lt;=6,"Q2",IF(MONTH(Table22[[#This Row],[Sales Date]])&lt;=9,"Q3","Q4")))</f>
        <v>Q1</v>
      </c>
      <c r="W1269" s="64">
        <f>YEAR(Table22[[#This Row],[Sales Date]])</f>
        <v>2023</v>
      </c>
      <c r="X1269" s="23">
        <v>64</v>
      </c>
      <c r="Y1269" s="18" t="s">
        <v>23</v>
      </c>
      <c r="Z1269" s="18" t="s">
        <v>30</v>
      </c>
      <c r="AA1269" s="19" t="s">
        <v>25</v>
      </c>
    </row>
    <row r="1270" spans="1:27" x14ac:dyDescent="0.25">
      <c r="A1270" s="17" t="s">
        <v>1416</v>
      </c>
      <c r="B1270" s="18" t="s">
        <v>27</v>
      </c>
      <c r="C1270" s="63" t="str" cm="1">
        <f t="array" ref="C1270">_xlfn.SWITCH(Table22[[#This Row],[Country]],"USA","North America","Canada","North America","Brazil","South America","China","Asia","Japan","Asia","India","Asia","France","Europe","Germany","Europe","UK","Europe","Australia","Oceania","South America")</f>
        <v>Europe</v>
      </c>
      <c r="D1270" s="18" t="s">
        <v>21</v>
      </c>
      <c r="E1270" s="18" t="s">
        <v>33</v>
      </c>
      <c r="F1270" s="18" t="s">
        <v>64</v>
      </c>
      <c r="G1270" s="18" t="s">
        <v>48</v>
      </c>
      <c r="H1270" s="64">
        <f>LEN(TRIM(Table22[[#This Row],[Country]]))</f>
        <v>7</v>
      </c>
      <c r="I1270" s="64">
        <f>LEN(TRIM(Table22[[#This Row],[Continent]]))</f>
        <v>6</v>
      </c>
      <c r="J1270" s="64">
        <f>LEN(TRIM(Table22[[#This Row],[Product]]))</f>
        <v>10</v>
      </c>
      <c r="K1270" s="64">
        <f>LEN(TRIM(Table22[[#This Row],[Sales Team]]))</f>
        <v>9</v>
      </c>
      <c r="L1270" s="23">
        <v>68</v>
      </c>
      <c r="M1270" s="65" t="str" cm="1">
        <f t="array" ref="M1270">_xlfn.IFS(Table22[[#This Row],[Units Sold]]&lt;40,"Critical",Table22[[#This Row],[Units Sold]]&lt;=50,"Poor",Table22[[#This Row],[Units Sold]]&lt;=60,"Low",Table22[[#This Row],[Units Sold]]&lt;=80,"Average",Table22[[#This Row],[Units Sold]]&lt;=90,"High",Table22[[#This Row],[Units Sold]]&lt;=95,"Excellent",Table22[[#This Row],[Units Sold]]&gt;95,"Outstanding")</f>
        <v>Average</v>
      </c>
      <c r="N1270" s="29">
        <v>292.58999999999997</v>
      </c>
      <c r="O1270" s="29">
        <v>19896.12</v>
      </c>
      <c r="P1270" s="43">
        <f>IF(Table22[[#This Row],[Discount Applied]],Table22[[#This Row],[Total Sales (in USD)]]*(1-Table22[[#This Row],[Discount Percentage (%)]]/100),Table22[[#This Row],[Total Sales (in USD)]])</f>
        <v>19896.12</v>
      </c>
      <c r="Q1270" s="66">
        <f>SQRT(AVERAGE((Table22[[#This Row],[Net Sales (after discount) (in USD)]]-AVERAGE(Table22[Net Sales (after discount) (in USD)]))^2))</f>
        <v>16615.240563764539</v>
      </c>
      <c r="R1270" s="18" t="b">
        <v>0</v>
      </c>
      <c r="S1270" s="40">
        <v>21.05</v>
      </c>
      <c r="T1270" s="18" t="b">
        <v>0</v>
      </c>
      <c r="U1270" s="25">
        <v>45115</v>
      </c>
      <c r="V1270" s="63" t="str">
        <f>IF(MONTH(Table22[[#This Row],[Sales Date]])&lt;=3,"Q1",IF(MONTH(Table22[[#This Row],[Sales Date]])&lt;=6,"Q2",IF(MONTH(Table22[[#This Row],[Sales Date]])&lt;=9,"Q3","Q4")))</f>
        <v>Q3</v>
      </c>
      <c r="W1270" s="64">
        <f>YEAR(Table22[[#This Row],[Sales Date]])</f>
        <v>2023</v>
      </c>
      <c r="X1270" s="23">
        <v>19</v>
      </c>
      <c r="Y1270" s="18" t="s">
        <v>41</v>
      </c>
      <c r="Z1270" s="18" t="s">
        <v>56</v>
      </c>
      <c r="AA1270" s="19" t="s">
        <v>25</v>
      </c>
    </row>
    <row r="1271" spans="1:27" x14ac:dyDescent="0.25">
      <c r="A1271" s="17" t="s">
        <v>191</v>
      </c>
      <c r="B1271" s="18" t="s">
        <v>27</v>
      </c>
      <c r="C1271" s="63" t="str" cm="1">
        <f t="array" ref="C1271">_xlfn.SWITCH(Table22[[#This Row],[Country]],"USA","North America","Canada","North America","Brazil","South America","China","Asia","Japan","Asia","India","Asia","France","Europe","Germany","Europe","UK","Europe","Australia","Oceania","South America")</f>
        <v>Europe</v>
      </c>
      <c r="D1271" s="18" t="s">
        <v>28</v>
      </c>
      <c r="E1271" s="18" t="s">
        <v>33</v>
      </c>
      <c r="F1271" s="18" t="s">
        <v>47</v>
      </c>
      <c r="G1271" s="18" t="s">
        <v>22</v>
      </c>
      <c r="H1271" s="64">
        <f>LEN(TRIM(Table22[[#This Row],[Country]]))</f>
        <v>7</v>
      </c>
      <c r="I1271" s="64">
        <f>LEN(TRIM(Table22[[#This Row],[Continent]]))</f>
        <v>6</v>
      </c>
      <c r="J1271" s="64">
        <f>LEN(TRIM(Table22[[#This Row],[Product]]))</f>
        <v>10</v>
      </c>
      <c r="K1271" s="64">
        <f>LEN(TRIM(Table22[[#This Row],[Sales Team]]))</f>
        <v>10</v>
      </c>
      <c r="L1271" s="23">
        <v>15</v>
      </c>
      <c r="M1271" s="65" t="str" cm="1">
        <f t="array" ref="M1271">_xlfn.IFS(Table22[[#This Row],[Units Sold]]&lt;40,"Critical",Table22[[#This Row],[Units Sold]]&lt;=50,"Poor",Table22[[#This Row],[Units Sold]]&lt;=60,"Low",Table22[[#This Row],[Units Sold]]&lt;=80,"Average",Table22[[#This Row],[Units Sold]]&lt;=90,"High",Table22[[#This Row],[Units Sold]]&lt;=95,"Excellent",Table22[[#This Row],[Units Sold]]&gt;95,"Outstanding")</f>
        <v>Critical</v>
      </c>
      <c r="N1271" s="29">
        <v>1325.9</v>
      </c>
      <c r="O1271" s="29">
        <v>19888.5</v>
      </c>
      <c r="P1271" s="43">
        <f>IF(Table22[[#This Row],[Discount Applied]],Table22[[#This Row],[Total Sales (in USD)]]*(1-Table22[[#This Row],[Discount Percentage (%)]]/100),Table22[[#This Row],[Total Sales (in USD)]])</f>
        <v>19888.5</v>
      </c>
      <c r="Q1271" s="66">
        <f>SQRT(AVERAGE((Table22[[#This Row],[Net Sales (after discount) (in USD)]]-AVERAGE(Table22[Net Sales (after discount) (in USD)]))^2))</f>
        <v>16622.860563764538</v>
      </c>
      <c r="R1271" s="18" t="b">
        <v>1</v>
      </c>
      <c r="S1271" s="40">
        <v>8.35</v>
      </c>
      <c r="T1271" s="18" t="b">
        <v>0</v>
      </c>
      <c r="U1271" s="25">
        <v>45594</v>
      </c>
      <c r="V1271" s="63" t="str">
        <f>IF(MONTH(Table22[[#This Row],[Sales Date]])&lt;=3,"Q1",IF(MONTH(Table22[[#This Row],[Sales Date]])&lt;=6,"Q2",IF(MONTH(Table22[[#This Row],[Sales Date]])&lt;=9,"Q3","Q4")))</f>
        <v>Q4</v>
      </c>
      <c r="W1271" s="64">
        <f>YEAR(Table22[[#This Row],[Sales Date]])</f>
        <v>2024</v>
      </c>
      <c r="X1271" s="23">
        <v>50</v>
      </c>
      <c r="Y1271" s="18" t="s">
        <v>23</v>
      </c>
      <c r="Z1271" s="18" t="s">
        <v>30</v>
      </c>
      <c r="AA1271" s="19" t="s">
        <v>25</v>
      </c>
    </row>
    <row r="1272" spans="1:27" x14ac:dyDescent="0.25">
      <c r="A1272" s="17" t="s">
        <v>1550</v>
      </c>
      <c r="B1272" s="18" t="s">
        <v>66</v>
      </c>
      <c r="C1272" s="63" t="str" cm="1">
        <f t="array" ref="C1272">_xlfn.SWITCH(Table22[[#This Row],[Country]],"USA","North America","Canada","North America","Brazil","South America","China","Asia","Japan","Asia","India","Asia","France","Europe","Germany","Europe","UK","Europe","Australia","Oceania","South America")</f>
        <v>North America</v>
      </c>
      <c r="D1272" s="18" t="s">
        <v>28</v>
      </c>
      <c r="E1272" s="18" t="s">
        <v>33</v>
      </c>
      <c r="F1272" s="18" t="s">
        <v>52</v>
      </c>
      <c r="G1272" s="18" t="s">
        <v>22</v>
      </c>
      <c r="H1272" s="64">
        <f>LEN(TRIM(Table22[[#This Row],[Country]]))</f>
        <v>6</v>
      </c>
      <c r="I1272" s="64">
        <f>LEN(TRIM(Table22[[#This Row],[Continent]]))</f>
        <v>13</v>
      </c>
      <c r="J1272" s="64">
        <f>LEN(TRIM(Table22[[#This Row],[Product]]))</f>
        <v>10</v>
      </c>
      <c r="K1272" s="64">
        <f>LEN(TRIM(Table22[[#This Row],[Sales Team]]))</f>
        <v>10</v>
      </c>
      <c r="L1272" s="23">
        <v>26</v>
      </c>
      <c r="M1272" s="65" t="str" cm="1">
        <f t="array" ref="M1272">_xlfn.IFS(Table22[[#This Row],[Units Sold]]&lt;40,"Critical",Table22[[#This Row],[Units Sold]]&lt;=50,"Poor",Table22[[#This Row],[Units Sold]]&lt;=60,"Low",Table22[[#This Row],[Units Sold]]&lt;=80,"Average",Table22[[#This Row],[Units Sold]]&lt;=90,"High",Table22[[#This Row],[Units Sold]]&lt;=95,"Excellent",Table22[[#This Row],[Units Sold]]&gt;95,"Outstanding")</f>
        <v>Critical</v>
      </c>
      <c r="N1272" s="29">
        <v>764.88</v>
      </c>
      <c r="O1272" s="29">
        <v>19886.88</v>
      </c>
      <c r="P1272" s="43">
        <f>IF(Table22[[#This Row],[Discount Applied]],Table22[[#This Row],[Total Sales (in USD)]]*(1-Table22[[#This Row],[Discount Percentage (%)]]/100),Table22[[#This Row],[Total Sales (in USD)]])</f>
        <v>16701.001823999999</v>
      </c>
      <c r="Q1272" s="66">
        <f>SQRT(AVERAGE((Table22[[#This Row],[Net Sales (after discount) (in USD)]]-AVERAGE(Table22[Net Sales (after discount) (in USD)]))^2))</f>
        <v>19810.358739764539</v>
      </c>
      <c r="R1272" s="18" t="b">
        <v>1</v>
      </c>
      <c r="S1272" s="40">
        <v>16.02</v>
      </c>
      <c r="T1272" s="18" t="b">
        <v>1</v>
      </c>
      <c r="U1272" s="25">
        <v>45553</v>
      </c>
      <c r="V1272" s="63" t="str">
        <f>IF(MONTH(Table22[[#This Row],[Sales Date]])&lt;=3,"Q1",IF(MONTH(Table22[[#This Row],[Sales Date]])&lt;=6,"Q2",IF(MONTH(Table22[[#This Row],[Sales Date]])&lt;=9,"Q3","Q4")))</f>
        <v>Q3</v>
      </c>
      <c r="W1272" s="64">
        <f>YEAR(Table22[[#This Row],[Sales Date]])</f>
        <v>2024</v>
      </c>
      <c r="X1272" s="23">
        <v>60</v>
      </c>
      <c r="Y1272" s="18" t="s">
        <v>49</v>
      </c>
      <c r="Z1272" s="18" t="s">
        <v>56</v>
      </c>
      <c r="AA1272" s="19" t="s">
        <v>25</v>
      </c>
    </row>
    <row r="1273" spans="1:27" x14ac:dyDescent="0.25">
      <c r="A1273" s="17" t="s">
        <v>921</v>
      </c>
      <c r="B1273" s="18" t="s">
        <v>51</v>
      </c>
      <c r="C1273" s="63" t="str" cm="1">
        <f t="array" ref="C1273">_xlfn.SWITCH(Table22[[#This Row],[Country]],"USA","North America","Canada","North America","Brazil","South America","China","Asia","Japan","Asia","India","Asia","France","Europe","Germany","Europe","UK","Europe","Australia","Oceania","South America")</f>
        <v>Europe</v>
      </c>
      <c r="D1273" s="18" t="s">
        <v>21</v>
      </c>
      <c r="E1273" s="18" t="s">
        <v>39</v>
      </c>
      <c r="F1273" s="18" t="s">
        <v>52</v>
      </c>
      <c r="G1273" s="18" t="s">
        <v>48</v>
      </c>
      <c r="H1273" s="64">
        <f>LEN(TRIM(Table22[[#This Row],[Country]]))</f>
        <v>2</v>
      </c>
      <c r="I1273" s="64">
        <f>LEN(TRIM(Table22[[#This Row],[Continent]]))</f>
        <v>6</v>
      </c>
      <c r="J1273" s="64">
        <f>LEN(TRIM(Table22[[#This Row],[Product]]))</f>
        <v>10</v>
      </c>
      <c r="K1273" s="64">
        <f>LEN(TRIM(Table22[[#This Row],[Sales Team]]))</f>
        <v>9</v>
      </c>
      <c r="L1273" s="23">
        <v>20</v>
      </c>
      <c r="M1273" s="65" t="str" cm="1">
        <f t="array" ref="M1273">_xlfn.IFS(Table22[[#This Row],[Units Sold]]&lt;40,"Critical",Table22[[#This Row],[Units Sold]]&lt;=50,"Poor",Table22[[#This Row],[Units Sold]]&lt;=60,"Low",Table22[[#This Row],[Units Sold]]&lt;=80,"Average",Table22[[#This Row],[Units Sold]]&lt;=90,"High",Table22[[#This Row],[Units Sold]]&lt;=95,"Excellent",Table22[[#This Row],[Units Sold]]&gt;95,"Outstanding")</f>
        <v>Critical</v>
      </c>
      <c r="N1273" s="29">
        <v>990.36</v>
      </c>
      <c r="O1273" s="29">
        <v>19807.2</v>
      </c>
      <c r="P1273" s="43">
        <f>IF(Table22[[#This Row],[Discount Applied]],Table22[[#This Row],[Total Sales (in USD)]]*(1-Table22[[#This Row],[Discount Percentage (%)]]/100),Table22[[#This Row],[Total Sales (in USD)]])</f>
        <v>19807.2</v>
      </c>
      <c r="Q1273" s="66">
        <f>SQRT(AVERAGE((Table22[[#This Row],[Net Sales (after discount) (in USD)]]-AVERAGE(Table22[Net Sales (after discount) (in USD)]))^2))</f>
        <v>16704.160563764537</v>
      </c>
      <c r="R1273" s="18" t="b">
        <v>0</v>
      </c>
      <c r="S1273" s="40">
        <v>20.89</v>
      </c>
      <c r="T1273" s="18" t="b">
        <v>0</v>
      </c>
      <c r="U1273" s="25">
        <v>45432</v>
      </c>
      <c r="V1273" s="63" t="str">
        <f>IF(MONTH(Table22[[#This Row],[Sales Date]])&lt;=3,"Q1",IF(MONTH(Table22[[#This Row],[Sales Date]])&lt;=6,"Q2",IF(MONTH(Table22[[#This Row],[Sales Date]])&lt;=9,"Q3","Q4")))</f>
        <v>Q2</v>
      </c>
      <c r="W1273" s="64">
        <f>YEAR(Table22[[#This Row],[Sales Date]])</f>
        <v>2024</v>
      </c>
      <c r="X1273" s="23">
        <v>68</v>
      </c>
      <c r="Y1273" s="18" t="s">
        <v>49</v>
      </c>
      <c r="Z1273" s="18" t="s">
        <v>42</v>
      </c>
      <c r="AA1273" s="19" t="s">
        <v>25</v>
      </c>
    </row>
    <row r="1274" spans="1:27" x14ac:dyDescent="0.25">
      <c r="A1274" s="17" t="s">
        <v>584</v>
      </c>
      <c r="B1274" s="18" t="s">
        <v>38</v>
      </c>
      <c r="C1274" s="63" t="str" cm="1">
        <f t="array" ref="C1274">_xlfn.SWITCH(Table22[[#This Row],[Country]],"USA","North America","Canada","North America","Brazil","South America","China","Asia","Japan","Asia","India","Asia","France","Europe","Germany","Europe","UK","Europe","Australia","Oceania","South America")</f>
        <v>Europe</v>
      </c>
      <c r="D1274" s="18" t="s">
        <v>44</v>
      </c>
      <c r="E1274" s="18" t="s">
        <v>39</v>
      </c>
      <c r="F1274" s="18" t="s">
        <v>64</v>
      </c>
      <c r="G1274" s="18" t="s">
        <v>40</v>
      </c>
      <c r="H1274" s="64">
        <f>LEN(TRIM(Table22[[#This Row],[Country]]))</f>
        <v>6</v>
      </c>
      <c r="I1274" s="64">
        <f>LEN(TRIM(Table22[[#This Row],[Continent]]))</f>
        <v>6</v>
      </c>
      <c r="J1274" s="64">
        <f>LEN(TRIM(Table22[[#This Row],[Product]]))</f>
        <v>10</v>
      </c>
      <c r="K1274" s="64">
        <f>LEN(TRIM(Table22[[#This Row],[Sales Team]]))</f>
        <v>10</v>
      </c>
      <c r="L1274" s="23">
        <v>29</v>
      </c>
      <c r="M1274" s="65" t="str" cm="1">
        <f t="array" ref="M1274">_xlfn.IFS(Table22[[#This Row],[Units Sold]]&lt;40,"Critical",Table22[[#This Row],[Units Sold]]&lt;=50,"Poor",Table22[[#This Row],[Units Sold]]&lt;=60,"Low",Table22[[#This Row],[Units Sold]]&lt;=80,"Average",Table22[[#This Row],[Units Sold]]&lt;=90,"High",Table22[[#This Row],[Units Sold]]&lt;=95,"Excellent",Table22[[#This Row],[Units Sold]]&gt;95,"Outstanding")</f>
        <v>Critical</v>
      </c>
      <c r="N1274" s="29">
        <v>682.64</v>
      </c>
      <c r="O1274" s="29">
        <v>19796.560000000001</v>
      </c>
      <c r="P1274" s="43">
        <f>IF(Table22[[#This Row],[Discount Applied]],Table22[[#This Row],[Total Sales (in USD)]]*(1-Table22[[#This Row],[Discount Percentage (%)]]/100),Table22[[#This Row],[Total Sales (in USD)]])</f>
        <v>19796.560000000001</v>
      </c>
      <c r="Q1274" s="66">
        <f>SQRT(AVERAGE((Table22[[#This Row],[Net Sales (after discount) (in USD)]]-AVERAGE(Table22[Net Sales (after discount) (in USD)]))^2))</f>
        <v>16714.800563764536</v>
      </c>
      <c r="R1274" s="18" t="b">
        <v>0</v>
      </c>
      <c r="S1274" s="40">
        <v>27.3</v>
      </c>
      <c r="T1274" s="18" t="b">
        <v>0</v>
      </c>
      <c r="U1274" s="25">
        <v>45207</v>
      </c>
      <c r="V1274" s="63" t="str">
        <f>IF(MONTH(Table22[[#This Row],[Sales Date]])&lt;=3,"Q1",IF(MONTH(Table22[[#This Row],[Sales Date]])&lt;=6,"Q2",IF(MONTH(Table22[[#This Row],[Sales Date]])&lt;=9,"Q3","Q4")))</f>
        <v>Q4</v>
      </c>
      <c r="W1274" s="64">
        <f>YEAR(Table22[[#This Row],[Sales Date]])</f>
        <v>2023</v>
      </c>
      <c r="X1274" s="23">
        <v>47</v>
      </c>
      <c r="Y1274" s="18" t="s">
        <v>49</v>
      </c>
      <c r="Z1274" s="18" t="s">
        <v>42</v>
      </c>
      <c r="AA1274" s="19" t="s">
        <v>25</v>
      </c>
    </row>
    <row r="1275" spans="1:27" x14ac:dyDescent="0.25">
      <c r="A1275" s="17" t="s">
        <v>215</v>
      </c>
      <c r="B1275" s="18" t="s">
        <v>27</v>
      </c>
      <c r="C1275" s="63" t="str" cm="1">
        <f t="array" ref="C1275">_xlfn.SWITCH(Table22[[#This Row],[Country]],"USA","North America","Canada","North America","Brazil","South America","China","Asia","Japan","Asia","India","Asia","France","Europe","Germany","Europe","UK","Europe","Australia","Oceania","South America")</f>
        <v>Europe</v>
      </c>
      <c r="D1275" s="18" t="s">
        <v>44</v>
      </c>
      <c r="E1275" s="18" t="s">
        <v>39</v>
      </c>
      <c r="F1275" s="18" t="s">
        <v>47</v>
      </c>
      <c r="G1275" s="18" t="s">
        <v>40</v>
      </c>
      <c r="H1275" s="64">
        <f>LEN(TRIM(Table22[[#This Row],[Country]]))</f>
        <v>7</v>
      </c>
      <c r="I1275" s="64">
        <f>LEN(TRIM(Table22[[#This Row],[Continent]]))</f>
        <v>6</v>
      </c>
      <c r="J1275" s="64">
        <f>LEN(TRIM(Table22[[#This Row],[Product]]))</f>
        <v>10</v>
      </c>
      <c r="K1275" s="64">
        <f>LEN(TRIM(Table22[[#This Row],[Sales Team]]))</f>
        <v>10</v>
      </c>
      <c r="L1275" s="23">
        <v>21</v>
      </c>
      <c r="M1275" s="65" t="str" cm="1">
        <f t="array" ref="M1275">_xlfn.IFS(Table22[[#This Row],[Units Sold]]&lt;40,"Critical",Table22[[#This Row],[Units Sold]]&lt;=50,"Poor",Table22[[#This Row],[Units Sold]]&lt;=60,"Low",Table22[[#This Row],[Units Sold]]&lt;=80,"Average",Table22[[#This Row],[Units Sold]]&lt;=90,"High",Table22[[#This Row],[Units Sold]]&lt;=95,"Excellent",Table22[[#This Row],[Units Sold]]&gt;95,"Outstanding")</f>
        <v>Critical</v>
      </c>
      <c r="N1275" s="29">
        <v>942.46</v>
      </c>
      <c r="O1275" s="29">
        <v>19791.66</v>
      </c>
      <c r="P1275" s="43">
        <f>IF(Table22[[#This Row],[Discount Applied]],Table22[[#This Row],[Total Sales (in USD)]]*(1-Table22[[#This Row],[Discount Percentage (%)]]/100),Table22[[#This Row],[Total Sales (in USD)]])</f>
        <v>19791.66</v>
      </c>
      <c r="Q1275" s="66">
        <f>SQRT(AVERAGE((Table22[[#This Row],[Net Sales (after discount) (in USD)]]-AVERAGE(Table22[Net Sales (after discount) (in USD)]))^2))</f>
        <v>16719.700563764538</v>
      </c>
      <c r="R1275" s="18" t="b">
        <v>0</v>
      </c>
      <c r="S1275" s="40">
        <v>2.96</v>
      </c>
      <c r="T1275" s="18" t="b">
        <v>0</v>
      </c>
      <c r="U1275" s="25">
        <v>45206</v>
      </c>
      <c r="V1275" s="63" t="str">
        <f>IF(MONTH(Table22[[#This Row],[Sales Date]])&lt;=3,"Q1",IF(MONTH(Table22[[#This Row],[Sales Date]])&lt;=6,"Q2",IF(MONTH(Table22[[#This Row],[Sales Date]])&lt;=9,"Q3","Q4")))</f>
        <v>Q4</v>
      </c>
      <c r="W1275" s="64">
        <f>YEAR(Table22[[#This Row],[Sales Date]])</f>
        <v>2023</v>
      </c>
      <c r="X1275" s="23">
        <v>69</v>
      </c>
      <c r="Y1275" s="18" t="s">
        <v>49</v>
      </c>
      <c r="Z1275" s="18" t="s">
        <v>56</v>
      </c>
      <c r="AA1275" s="19" t="s">
        <v>36</v>
      </c>
    </row>
    <row r="1276" spans="1:27" x14ac:dyDescent="0.25">
      <c r="A1276" s="17" t="s">
        <v>1591</v>
      </c>
      <c r="B1276" s="18" t="s">
        <v>51</v>
      </c>
      <c r="C1276" s="63" t="str" cm="1">
        <f t="array" ref="C1276">_xlfn.SWITCH(Table22[[#This Row],[Country]],"USA","North America","Canada","North America","Brazil","South America","China","Asia","Japan","Asia","India","Asia","France","Europe","Germany","Europe","UK","Europe","Australia","Oceania","South America")</f>
        <v>Europe</v>
      </c>
      <c r="D1276" s="18" t="s">
        <v>35</v>
      </c>
      <c r="E1276" s="18" t="s">
        <v>33</v>
      </c>
      <c r="F1276" s="18" t="s">
        <v>47</v>
      </c>
      <c r="G1276" s="18" t="s">
        <v>22</v>
      </c>
      <c r="H1276" s="64">
        <f>LEN(TRIM(Table22[[#This Row],[Country]]))</f>
        <v>2</v>
      </c>
      <c r="I1276" s="64">
        <f>LEN(TRIM(Table22[[#This Row],[Continent]]))</f>
        <v>6</v>
      </c>
      <c r="J1276" s="64">
        <f>LEN(TRIM(Table22[[#This Row],[Product]]))</f>
        <v>10</v>
      </c>
      <c r="K1276" s="64">
        <f>LEN(TRIM(Table22[[#This Row],[Sales Team]]))</f>
        <v>10</v>
      </c>
      <c r="L1276" s="23">
        <v>22</v>
      </c>
      <c r="M1276" s="65" t="str" cm="1">
        <f t="array" ref="M1276">_xlfn.IFS(Table22[[#This Row],[Units Sold]]&lt;40,"Critical",Table22[[#This Row],[Units Sold]]&lt;=50,"Poor",Table22[[#This Row],[Units Sold]]&lt;=60,"Low",Table22[[#This Row],[Units Sold]]&lt;=80,"Average",Table22[[#This Row],[Units Sold]]&lt;=90,"High",Table22[[#This Row],[Units Sold]]&lt;=95,"Excellent",Table22[[#This Row],[Units Sold]]&gt;95,"Outstanding")</f>
        <v>Critical</v>
      </c>
      <c r="N1276" s="29">
        <v>899.55</v>
      </c>
      <c r="O1276" s="29">
        <v>19790.099999999999</v>
      </c>
      <c r="P1276" s="43">
        <f>IF(Table22[[#This Row],[Discount Applied]],Table22[[#This Row],[Total Sales (in USD)]]*(1-Table22[[#This Row],[Discount Percentage (%)]]/100),Table22[[#This Row],[Total Sales (in USD)]])</f>
        <v>19790.099999999999</v>
      </c>
      <c r="Q1276" s="66">
        <f>SQRT(AVERAGE((Table22[[#This Row],[Net Sales (after discount) (in USD)]]-AVERAGE(Table22[Net Sales (after discount) (in USD)]))^2))</f>
        <v>16721.260563764539</v>
      </c>
      <c r="R1276" s="18" t="b">
        <v>1</v>
      </c>
      <c r="S1276" s="40">
        <v>25.3</v>
      </c>
      <c r="T1276" s="18" t="b">
        <v>0</v>
      </c>
      <c r="U1276" s="25">
        <v>44976</v>
      </c>
      <c r="V1276" s="63" t="str">
        <f>IF(MONTH(Table22[[#This Row],[Sales Date]])&lt;=3,"Q1",IF(MONTH(Table22[[#This Row],[Sales Date]])&lt;=6,"Q2",IF(MONTH(Table22[[#This Row],[Sales Date]])&lt;=9,"Q3","Q4")))</f>
        <v>Q1</v>
      </c>
      <c r="W1276" s="64">
        <f>YEAR(Table22[[#This Row],[Sales Date]])</f>
        <v>2023</v>
      </c>
      <c r="X1276" s="23">
        <v>22</v>
      </c>
      <c r="Y1276" s="18" t="s">
        <v>23</v>
      </c>
      <c r="Z1276" s="18" t="s">
        <v>56</v>
      </c>
      <c r="AA1276" s="19" t="s">
        <v>25</v>
      </c>
    </row>
    <row r="1277" spans="1:27" x14ac:dyDescent="0.25">
      <c r="A1277" s="17" t="s">
        <v>334</v>
      </c>
      <c r="B1277" s="18" t="s">
        <v>62</v>
      </c>
      <c r="C1277" s="63" t="str" cm="1">
        <f t="array" ref="C1277">_xlfn.SWITCH(Table22[[#This Row],[Country]],"USA","North America","Canada","North America","Brazil","South America","China","Asia","Japan","Asia","India","Asia","France","Europe","Germany","Europe","UK","Europe","Australia","Oceania","South America")</f>
        <v>Oceania</v>
      </c>
      <c r="D1277" s="18" t="s">
        <v>44</v>
      </c>
      <c r="E1277" s="18" t="s">
        <v>33</v>
      </c>
      <c r="F1277" s="18" t="s">
        <v>34</v>
      </c>
      <c r="G1277" s="18" t="s">
        <v>40</v>
      </c>
      <c r="H1277" s="64">
        <f>LEN(TRIM(Table22[[#This Row],[Country]]))</f>
        <v>9</v>
      </c>
      <c r="I1277" s="64">
        <f>LEN(TRIM(Table22[[#This Row],[Continent]]))</f>
        <v>7</v>
      </c>
      <c r="J1277" s="64">
        <f>LEN(TRIM(Table22[[#This Row],[Product]]))</f>
        <v>10</v>
      </c>
      <c r="K1277" s="64">
        <f>LEN(TRIM(Table22[[#This Row],[Sales Team]]))</f>
        <v>10</v>
      </c>
      <c r="L1277" s="23">
        <v>48</v>
      </c>
      <c r="M1277" s="65" t="str" cm="1">
        <f t="array" ref="M1277">_xlfn.IFS(Table22[[#This Row],[Units Sold]]&lt;40,"Critical",Table22[[#This Row],[Units Sold]]&lt;=50,"Poor",Table22[[#This Row],[Units Sold]]&lt;=60,"Low",Table22[[#This Row],[Units Sold]]&lt;=80,"Average",Table22[[#This Row],[Units Sold]]&lt;=90,"High",Table22[[#This Row],[Units Sold]]&lt;=95,"Excellent",Table22[[#This Row],[Units Sold]]&gt;95,"Outstanding")</f>
        <v>Poor</v>
      </c>
      <c r="N1277" s="29">
        <v>408.97</v>
      </c>
      <c r="O1277" s="29">
        <v>19630.560000000001</v>
      </c>
      <c r="P1277" s="43">
        <f>IF(Table22[[#This Row],[Discount Applied]],Table22[[#This Row],[Total Sales (in USD)]]*(1-Table22[[#This Row],[Discount Percentage (%)]]/100),Table22[[#This Row],[Total Sales (in USD)]])</f>
        <v>19630.560000000001</v>
      </c>
      <c r="Q1277" s="66">
        <f>SQRT(AVERAGE((Table22[[#This Row],[Net Sales (after discount) (in USD)]]-AVERAGE(Table22[Net Sales (after discount) (in USD)]))^2))</f>
        <v>16880.800563764536</v>
      </c>
      <c r="R1277" s="18" t="b">
        <v>0</v>
      </c>
      <c r="S1277" s="40">
        <v>7.93</v>
      </c>
      <c r="T1277" s="18" t="b">
        <v>0</v>
      </c>
      <c r="U1277" s="25">
        <v>45505</v>
      </c>
      <c r="V1277" s="63" t="str">
        <f>IF(MONTH(Table22[[#This Row],[Sales Date]])&lt;=3,"Q1",IF(MONTH(Table22[[#This Row],[Sales Date]])&lt;=6,"Q2",IF(MONTH(Table22[[#This Row],[Sales Date]])&lt;=9,"Q3","Q4")))</f>
        <v>Q3</v>
      </c>
      <c r="W1277" s="64">
        <f>YEAR(Table22[[#This Row],[Sales Date]])</f>
        <v>2024</v>
      </c>
      <c r="X1277" s="23">
        <v>43</v>
      </c>
      <c r="Y1277" s="18" t="s">
        <v>49</v>
      </c>
      <c r="Z1277" s="18" t="s">
        <v>30</v>
      </c>
      <c r="AA1277" s="19" t="s">
        <v>36</v>
      </c>
    </row>
    <row r="1278" spans="1:27" x14ac:dyDescent="0.25">
      <c r="A1278" s="17" t="s">
        <v>1443</v>
      </c>
      <c r="B1278" s="18" t="s">
        <v>51</v>
      </c>
      <c r="C1278" s="63" t="str" cm="1">
        <f t="array" ref="C1278">_xlfn.SWITCH(Table22[[#This Row],[Country]],"USA","North America","Canada","North America","Brazil","South America","China","Asia","Japan","Asia","India","Asia","France","Europe","Germany","Europe","UK","Europe","Australia","Oceania","South America")</f>
        <v>Europe</v>
      </c>
      <c r="D1278" s="18" t="s">
        <v>21</v>
      </c>
      <c r="E1278" s="18" t="s">
        <v>19</v>
      </c>
      <c r="F1278" s="18" t="s">
        <v>20</v>
      </c>
      <c r="G1278" s="18" t="s">
        <v>48</v>
      </c>
      <c r="H1278" s="64">
        <f>LEN(TRIM(Table22[[#This Row],[Country]]))</f>
        <v>2</v>
      </c>
      <c r="I1278" s="64">
        <f>LEN(TRIM(Table22[[#This Row],[Continent]]))</f>
        <v>6</v>
      </c>
      <c r="J1278" s="64">
        <f>LEN(TRIM(Table22[[#This Row],[Product]]))</f>
        <v>6</v>
      </c>
      <c r="K1278" s="64">
        <f>LEN(TRIM(Table22[[#This Row],[Sales Team]]))</f>
        <v>9</v>
      </c>
      <c r="L1278" s="23">
        <v>33</v>
      </c>
      <c r="M1278" s="65" t="str" cm="1">
        <f t="array" ref="M1278">_xlfn.IFS(Table22[[#This Row],[Units Sold]]&lt;40,"Critical",Table22[[#This Row],[Units Sold]]&lt;=50,"Poor",Table22[[#This Row],[Units Sold]]&lt;=60,"Low",Table22[[#This Row],[Units Sold]]&lt;=80,"Average",Table22[[#This Row],[Units Sold]]&lt;=90,"High",Table22[[#This Row],[Units Sold]]&lt;=95,"Excellent",Table22[[#This Row],[Units Sold]]&gt;95,"Outstanding")</f>
        <v>Critical</v>
      </c>
      <c r="N1278" s="29">
        <v>594.29999999999995</v>
      </c>
      <c r="O1278" s="29">
        <v>19611.900000000001</v>
      </c>
      <c r="P1278" s="43">
        <f>IF(Table22[[#This Row],[Discount Applied]],Table22[[#This Row],[Total Sales (in USD)]]*(1-Table22[[#This Row],[Discount Percentage (%)]]/100),Table22[[#This Row],[Total Sales (in USD)]])</f>
        <v>14528.495519999999</v>
      </c>
      <c r="Q1278" s="66">
        <f>SQRT(AVERAGE((Table22[[#This Row],[Net Sales (after discount) (in USD)]]-AVERAGE(Table22[Net Sales (after discount) (in USD)]))^2))</f>
        <v>21982.865043764541</v>
      </c>
      <c r="R1278" s="18" t="b">
        <v>1</v>
      </c>
      <c r="S1278" s="40">
        <v>25.92</v>
      </c>
      <c r="T1278" s="18" t="b">
        <v>1</v>
      </c>
      <c r="U1278" s="25">
        <v>45114</v>
      </c>
      <c r="V1278" s="63" t="str">
        <f>IF(MONTH(Table22[[#This Row],[Sales Date]])&lt;=3,"Q1",IF(MONTH(Table22[[#This Row],[Sales Date]])&lt;=6,"Q2",IF(MONTH(Table22[[#This Row],[Sales Date]])&lt;=9,"Q3","Q4")))</f>
        <v>Q3</v>
      </c>
      <c r="W1278" s="64">
        <f>YEAR(Table22[[#This Row],[Sales Date]])</f>
        <v>2023</v>
      </c>
      <c r="X1278" s="23">
        <v>65</v>
      </c>
      <c r="Y1278" s="18" t="s">
        <v>49</v>
      </c>
      <c r="Z1278" s="18" t="s">
        <v>56</v>
      </c>
      <c r="AA1278" s="19" t="s">
        <v>36</v>
      </c>
    </row>
    <row r="1279" spans="1:27" x14ac:dyDescent="0.25">
      <c r="A1279" s="17" t="s">
        <v>1452</v>
      </c>
      <c r="B1279" s="18" t="s">
        <v>32</v>
      </c>
      <c r="C1279" s="63" t="str" cm="1">
        <f t="array" ref="C1279">_xlfn.SWITCH(Table22[[#This Row],[Country]],"USA","North America","Canada","North America","Brazil","South America","China","Asia","Japan","Asia","India","Asia","France","Europe","Germany","Europe","UK","Europe","Australia","Oceania","South America")</f>
        <v>Asia</v>
      </c>
      <c r="D1279" s="18" t="s">
        <v>28</v>
      </c>
      <c r="E1279" s="18" t="s">
        <v>33</v>
      </c>
      <c r="F1279" s="18" t="s">
        <v>47</v>
      </c>
      <c r="G1279" s="18" t="s">
        <v>29</v>
      </c>
      <c r="H1279" s="64">
        <f>LEN(TRIM(Table22[[#This Row],[Country]]))</f>
        <v>5</v>
      </c>
      <c r="I1279" s="64">
        <f>LEN(TRIM(Table22[[#This Row],[Continent]]))</f>
        <v>4</v>
      </c>
      <c r="J1279" s="64">
        <f>LEN(TRIM(Table22[[#This Row],[Product]]))</f>
        <v>10</v>
      </c>
      <c r="K1279" s="64">
        <f>LEN(TRIM(Table22[[#This Row],[Sales Team]]))</f>
        <v>10</v>
      </c>
      <c r="L1279" s="23">
        <v>48</v>
      </c>
      <c r="M1279" s="65" t="str" cm="1">
        <f t="array" ref="M1279">_xlfn.IFS(Table22[[#This Row],[Units Sold]]&lt;40,"Critical",Table22[[#This Row],[Units Sold]]&lt;=50,"Poor",Table22[[#This Row],[Units Sold]]&lt;=60,"Low",Table22[[#This Row],[Units Sold]]&lt;=80,"Average",Table22[[#This Row],[Units Sold]]&lt;=90,"High",Table22[[#This Row],[Units Sold]]&lt;=95,"Excellent",Table22[[#This Row],[Units Sold]]&gt;95,"Outstanding")</f>
        <v>Poor</v>
      </c>
      <c r="N1279" s="29">
        <v>408.1</v>
      </c>
      <c r="O1279" s="29">
        <v>19588.8</v>
      </c>
      <c r="P1279" s="43">
        <f>IF(Table22[[#This Row],[Discount Applied]],Table22[[#This Row],[Total Sales (in USD)]]*(1-Table22[[#This Row],[Discount Percentage (%)]]/100),Table22[[#This Row],[Total Sales (in USD)]])</f>
        <v>14362.508160000001</v>
      </c>
      <c r="Q1279" s="66">
        <f>SQRT(AVERAGE((Table22[[#This Row],[Net Sales (after discount) (in USD)]]-AVERAGE(Table22[Net Sales (after discount) (in USD)]))^2))</f>
        <v>22148.852403764537</v>
      </c>
      <c r="R1279" s="18" t="b">
        <v>0</v>
      </c>
      <c r="S1279" s="40">
        <v>26.68</v>
      </c>
      <c r="T1279" s="18" t="b">
        <v>1</v>
      </c>
      <c r="U1279" s="25">
        <v>44976</v>
      </c>
      <c r="V1279" s="63" t="str">
        <f>IF(MONTH(Table22[[#This Row],[Sales Date]])&lt;=3,"Q1",IF(MONTH(Table22[[#This Row],[Sales Date]])&lt;=6,"Q2",IF(MONTH(Table22[[#This Row],[Sales Date]])&lt;=9,"Q3","Q4")))</f>
        <v>Q1</v>
      </c>
      <c r="W1279" s="64">
        <f>YEAR(Table22[[#This Row],[Sales Date]])</f>
        <v>2023</v>
      </c>
      <c r="X1279" s="23">
        <v>42</v>
      </c>
      <c r="Y1279" s="18" t="s">
        <v>49</v>
      </c>
      <c r="Z1279" s="18" t="s">
        <v>24</v>
      </c>
      <c r="AA1279" s="19" t="s">
        <v>25</v>
      </c>
    </row>
    <row r="1280" spans="1:27" x14ac:dyDescent="0.25">
      <c r="A1280" s="17" t="s">
        <v>510</v>
      </c>
      <c r="B1280" s="18" t="s">
        <v>66</v>
      </c>
      <c r="C1280" s="63" t="str" cm="1">
        <f t="array" ref="C1280">_xlfn.SWITCH(Table22[[#This Row],[Country]],"USA","North America","Canada","North America","Brazil","South America","China","Asia","Japan","Asia","India","Asia","France","Europe","Germany","Europe","UK","Europe","Australia","Oceania","South America")</f>
        <v>North America</v>
      </c>
      <c r="D1280" s="18" t="s">
        <v>21</v>
      </c>
      <c r="E1280" s="18" t="s">
        <v>19</v>
      </c>
      <c r="F1280" s="18" t="s">
        <v>64</v>
      </c>
      <c r="G1280" s="18" t="s">
        <v>22</v>
      </c>
      <c r="H1280" s="64">
        <f>LEN(TRIM(Table22[[#This Row],[Country]]))</f>
        <v>6</v>
      </c>
      <c r="I1280" s="64">
        <f>LEN(TRIM(Table22[[#This Row],[Continent]]))</f>
        <v>13</v>
      </c>
      <c r="J1280" s="64">
        <f>LEN(TRIM(Table22[[#This Row],[Product]]))</f>
        <v>6</v>
      </c>
      <c r="K1280" s="64">
        <f>LEN(TRIM(Table22[[#This Row],[Sales Team]]))</f>
        <v>10</v>
      </c>
      <c r="L1280" s="23">
        <v>68</v>
      </c>
      <c r="M1280" s="65" t="str" cm="1">
        <f t="array" ref="M1280">_xlfn.IFS(Table22[[#This Row],[Units Sold]]&lt;40,"Critical",Table22[[#This Row],[Units Sold]]&lt;=50,"Poor",Table22[[#This Row],[Units Sold]]&lt;=60,"Low",Table22[[#This Row],[Units Sold]]&lt;=80,"Average",Table22[[#This Row],[Units Sold]]&lt;=90,"High",Table22[[#This Row],[Units Sold]]&lt;=95,"Excellent",Table22[[#This Row],[Units Sold]]&gt;95,"Outstanding")</f>
        <v>Average</v>
      </c>
      <c r="N1280" s="29">
        <v>287.14</v>
      </c>
      <c r="O1280" s="29">
        <v>19525.52</v>
      </c>
      <c r="P1280" s="43">
        <f>IF(Table22[[#This Row],[Discount Applied]],Table22[[#This Row],[Total Sales (in USD)]]*(1-Table22[[#This Row],[Discount Percentage (%)]]/100),Table22[[#This Row],[Total Sales (in USD)]])</f>
        <v>17850.230384000002</v>
      </c>
      <c r="Q1280" s="66">
        <f>SQRT(AVERAGE((Table22[[#This Row],[Net Sales (after discount) (in USD)]]-AVERAGE(Table22[Net Sales (after discount) (in USD)]))^2))</f>
        <v>18661.130179764536</v>
      </c>
      <c r="R1280" s="18" t="b">
        <v>1</v>
      </c>
      <c r="S1280" s="40">
        <v>8.58</v>
      </c>
      <c r="T1280" s="18" t="b">
        <v>1</v>
      </c>
      <c r="U1280" s="25">
        <v>45290</v>
      </c>
      <c r="V1280" s="63" t="str">
        <f>IF(MONTH(Table22[[#This Row],[Sales Date]])&lt;=3,"Q1",IF(MONTH(Table22[[#This Row],[Sales Date]])&lt;=6,"Q2",IF(MONTH(Table22[[#This Row],[Sales Date]])&lt;=9,"Q3","Q4")))</f>
        <v>Q4</v>
      </c>
      <c r="W1280" s="64">
        <f>YEAR(Table22[[#This Row],[Sales Date]])</f>
        <v>2023</v>
      </c>
      <c r="X1280" s="23">
        <v>61</v>
      </c>
      <c r="Y1280" s="18" t="s">
        <v>41</v>
      </c>
      <c r="Z1280" s="18" t="s">
        <v>30</v>
      </c>
      <c r="AA1280" s="19" t="s">
        <v>36</v>
      </c>
    </row>
    <row r="1281" spans="1:27" x14ac:dyDescent="0.25">
      <c r="A1281" s="17" t="s">
        <v>535</v>
      </c>
      <c r="B1281" s="18" t="s">
        <v>76</v>
      </c>
      <c r="C1281" s="63" t="str" cm="1">
        <f t="array" ref="C1281">_xlfn.SWITCH(Table22[[#This Row],[Country]],"USA","North America","Canada","North America","Brazil","South America","China","Asia","Japan","Asia","India","Asia","France","Europe","Germany","Europe","UK","Europe","Australia","Oceania","South America")</f>
        <v>Asia</v>
      </c>
      <c r="D1281" s="18" t="s">
        <v>44</v>
      </c>
      <c r="E1281" s="18" t="s">
        <v>33</v>
      </c>
      <c r="F1281" s="18" t="s">
        <v>34</v>
      </c>
      <c r="G1281" s="18" t="s">
        <v>29</v>
      </c>
      <c r="H1281" s="64">
        <f>LEN(TRIM(Table22[[#This Row],[Country]]))</f>
        <v>5</v>
      </c>
      <c r="I1281" s="64">
        <f>LEN(TRIM(Table22[[#This Row],[Continent]]))</f>
        <v>4</v>
      </c>
      <c r="J1281" s="64">
        <f>LEN(TRIM(Table22[[#This Row],[Product]]))</f>
        <v>10</v>
      </c>
      <c r="K1281" s="64">
        <f>LEN(TRIM(Table22[[#This Row],[Sales Team]]))</f>
        <v>10</v>
      </c>
      <c r="L1281" s="23">
        <v>26</v>
      </c>
      <c r="M1281" s="65" t="str" cm="1">
        <f t="array" ref="M1281">_xlfn.IFS(Table22[[#This Row],[Units Sold]]&lt;40,"Critical",Table22[[#This Row],[Units Sold]]&lt;=50,"Poor",Table22[[#This Row],[Units Sold]]&lt;=60,"Low",Table22[[#This Row],[Units Sold]]&lt;=80,"Average",Table22[[#This Row],[Units Sold]]&lt;=90,"High",Table22[[#This Row],[Units Sold]]&lt;=95,"Excellent",Table22[[#This Row],[Units Sold]]&gt;95,"Outstanding")</f>
        <v>Critical</v>
      </c>
      <c r="N1281" s="29">
        <v>745.15</v>
      </c>
      <c r="O1281" s="29">
        <v>19373.900000000001</v>
      </c>
      <c r="P1281" s="43">
        <f>IF(Table22[[#This Row],[Discount Applied]],Table22[[#This Row],[Total Sales (in USD)]]*(1-Table22[[#This Row],[Discount Percentage (%)]]/100),Table22[[#This Row],[Total Sales (in USD)]])</f>
        <v>19373.900000000001</v>
      </c>
      <c r="Q1281" s="66">
        <f>SQRT(AVERAGE((Table22[[#This Row],[Net Sales (after discount) (in USD)]]-AVERAGE(Table22[Net Sales (after discount) (in USD)]))^2))</f>
        <v>17137.460563764536</v>
      </c>
      <c r="R1281" s="18" t="b">
        <v>0</v>
      </c>
      <c r="S1281" s="40">
        <v>10.5</v>
      </c>
      <c r="T1281" s="18" t="b">
        <v>0</v>
      </c>
      <c r="U1281" s="25">
        <v>45298</v>
      </c>
      <c r="V1281" s="63" t="str">
        <f>IF(MONTH(Table22[[#This Row],[Sales Date]])&lt;=3,"Q1",IF(MONTH(Table22[[#This Row],[Sales Date]])&lt;=6,"Q2",IF(MONTH(Table22[[#This Row],[Sales Date]])&lt;=9,"Q3","Q4")))</f>
        <v>Q1</v>
      </c>
      <c r="W1281" s="64">
        <f>YEAR(Table22[[#This Row],[Sales Date]])</f>
        <v>2024</v>
      </c>
      <c r="X1281" s="23">
        <v>34</v>
      </c>
      <c r="Y1281" s="18" t="s">
        <v>41</v>
      </c>
      <c r="Z1281" s="18" t="s">
        <v>24</v>
      </c>
      <c r="AA1281" s="19" t="s">
        <v>25</v>
      </c>
    </row>
    <row r="1282" spans="1:27" x14ac:dyDescent="0.25">
      <c r="A1282" s="17" t="s">
        <v>844</v>
      </c>
      <c r="B1282" s="18" t="s">
        <v>51</v>
      </c>
      <c r="C1282" s="63" t="str" cm="1">
        <f t="array" ref="C1282">_xlfn.SWITCH(Table22[[#This Row],[Country]],"USA","North America","Canada","North America","Brazil","South America","China","Asia","Japan","Asia","India","Asia","France","Europe","Germany","Europe","UK","Europe","Australia","Oceania","South America")</f>
        <v>Europe</v>
      </c>
      <c r="D1282" s="18" t="s">
        <v>44</v>
      </c>
      <c r="E1282" s="18" t="s">
        <v>33</v>
      </c>
      <c r="F1282" s="18" t="s">
        <v>52</v>
      </c>
      <c r="G1282" s="18" t="s">
        <v>29</v>
      </c>
      <c r="H1282" s="64">
        <f>LEN(TRIM(Table22[[#This Row],[Country]]))</f>
        <v>2</v>
      </c>
      <c r="I1282" s="64">
        <f>LEN(TRIM(Table22[[#This Row],[Continent]]))</f>
        <v>6</v>
      </c>
      <c r="J1282" s="64">
        <f>LEN(TRIM(Table22[[#This Row],[Product]]))</f>
        <v>10</v>
      </c>
      <c r="K1282" s="64">
        <f>LEN(TRIM(Table22[[#This Row],[Sales Team]]))</f>
        <v>10</v>
      </c>
      <c r="L1282" s="23">
        <v>33</v>
      </c>
      <c r="M1282" s="65" t="str" cm="1">
        <f t="array" ref="M1282">_xlfn.IFS(Table22[[#This Row],[Units Sold]]&lt;40,"Critical",Table22[[#This Row],[Units Sold]]&lt;=50,"Poor",Table22[[#This Row],[Units Sold]]&lt;=60,"Low",Table22[[#This Row],[Units Sold]]&lt;=80,"Average",Table22[[#This Row],[Units Sold]]&lt;=90,"High",Table22[[#This Row],[Units Sold]]&lt;=95,"Excellent",Table22[[#This Row],[Units Sold]]&gt;95,"Outstanding")</f>
        <v>Critical</v>
      </c>
      <c r="N1282" s="29">
        <v>585.98</v>
      </c>
      <c r="O1282" s="29">
        <v>19337.34</v>
      </c>
      <c r="P1282" s="43">
        <f>IF(Table22[[#This Row],[Discount Applied]],Table22[[#This Row],[Total Sales (in USD)]]*(1-Table22[[#This Row],[Discount Percentage (%)]]/100),Table22[[#This Row],[Total Sales (in USD)]])</f>
        <v>19056.94857</v>
      </c>
      <c r="Q1282" s="66">
        <f>SQRT(AVERAGE((Table22[[#This Row],[Net Sales (after discount) (in USD)]]-AVERAGE(Table22[Net Sales (after discount) (in USD)]))^2))</f>
        <v>17454.411993764537</v>
      </c>
      <c r="R1282" s="18" t="b">
        <v>0</v>
      </c>
      <c r="S1282" s="40">
        <v>1.45</v>
      </c>
      <c r="T1282" s="18" t="b">
        <v>1</v>
      </c>
      <c r="U1282" s="25">
        <v>45302</v>
      </c>
      <c r="V1282" s="63" t="str">
        <f>IF(MONTH(Table22[[#This Row],[Sales Date]])&lt;=3,"Q1",IF(MONTH(Table22[[#This Row],[Sales Date]])&lt;=6,"Q2",IF(MONTH(Table22[[#This Row],[Sales Date]])&lt;=9,"Q3","Q4")))</f>
        <v>Q1</v>
      </c>
      <c r="W1282" s="64">
        <f>YEAR(Table22[[#This Row],[Sales Date]])</f>
        <v>2024</v>
      </c>
      <c r="X1282" s="23">
        <v>18</v>
      </c>
      <c r="Y1282" s="18" t="s">
        <v>23</v>
      </c>
      <c r="Z1282" s="18" t="s">
        <v>42</v>
      </c>
      <c r="AA1282" s="19" t="s">
        <v>25</v>
      </c>
    </row>
    <row r="1283" spans="1:27" x14ac:dyDescent="0.25">
      <c r="A1283" s="17" t="s">
        <v>1079</v>
      </c>
      <c r="B1283" s="18" t="s">
        <v>62</v>
      </c>
      <c r="C1283" s="63" t="str" cm="1">
        <f t="array" ref="C1283">_xlfn.SWITCH(Table22[[#This Row],[Country]],"USA","North America","Canada","North America","Brazil","South America","China","Asia","Japan","Asia","India","Asia","France","Europe","Germany","Europe","UK","Europe","Australia","Oceania","South America")</f>
        <v>Oceania</v>
      </c>
      <c r="D1283" s="18" t="s">
        <v>44</v>
      </c>
      <c r="E1283" s="18" t="s">
        <v>19</v>
      </c>
      <c r="F1283" s="18" t="s">
        <v>47</v>
      </c>
      <c r="G1283" s="18" t="s">
        <v>40</v>
      </c>
      <c r="H1283" s="64">
        <f>LEN(TRIM(Table22[[#This Row],[Country]]))</f>
        <v>9</v>
      </c>
      <c r="I1283" s="64">
        <f>LEN(TRIM(Table22[[#This Row],[Continent]]))</f>
        <v>7</v>
      </c>
      <c r="J1283" s="64">
        <f>LEN(TRIM(Table22[[#This Row],[Product]]))</f>
        <v>6</v>
      </c>
      <c r="K1283" s="64">
        <f>LEN(TRIM(Table22[[#This Row],[Sales Team]]))</f>
        <v>10</v>
      </c>
      <c r="L1283" s="23">
        <v>83</v>
      </c>
      <c r="M1283" s="65" t="str" cm="1">
        <f t="array" ref="M1283">_xlfn.IFS(Table22[[#This Row],[Units Sold]]&lt;40,"Critical",Table22[[#This Row],[Units Sold]]&lt;=50,"Poor",Table22[[#This Row],[Units Sold]]&lt;=60,"Low",Table22[[#This Row],[Units Sold]]&lt;=80,"Average",Table22[[#This Row],[Units Sold]]&lt;=90,"High",Table22[[#This Row],[Units Sold]]&lt;=95,"Excellent",Table22[[#This Row],[Units Sold]]&gt;95,"Outstanding")</f>
        <v>High</v>
      </c>
      <c r="N1283" s="29">
        <v>232.95</v>
      </c>
      <c r="O1283" s="29">
        <v>19334.849999999999</v>
      </c>
      <c r="P1283" s="43">
        <f>IF(Table22[[#This Row],[Discount Applied]],Table22[[#This Row],[Total Sales (in USD)]]*(1-Table22[[#This Row],[Discount Percentage (%)]]/100),Table22[[#This Row],[Total Sales (in USD)]])</f>
        <v>19334.849999999999</v>
      </c>
      <c r="Q1283" s="66">
        <f>SQRT(AVERAGE((Table22[[#This Row],[Net Sales (after discount) (in USD)]]-AVERAGE(Table22[Net Sales (after discount) (in USD)]))^2))</f>
        <v>17176.510563764539</v>
      </c>
      <c r="R1283" s="18" t="b">
        <v>0</v>
      </c>
      <c r="S1283" s="40">
        <v>6.64</v>
      </c>
      <c r="T1283" s="18" t="b">
        <v>0</v>
      </c>
      <c r="U1283" s="25">
        <v>45271</v>
      </c>
      <c r="V1283" s="63" t="str">
        <f>IF(MONTH(Table22[[#This Row],[Sales Date]])&lt;=3,"Q1",IF(MONTH(Table22[[#This Row],[Sales Date]])&lt;=6,"Q2",IF(MONTH(Table22[[#This Row],[Sales Date]])&lt;=9,"Q3","Q4")))</f>
        <v>Q4</v>
      </c>
      <c r="W1283" s="64">
        <f>YEAR(Table22[[#This Row],[Sales Date]])</f>
        <v>2023</v>
      </c>
      <c r="X1283" s="23">
        <v>18</v>
      </c>
      <c r="Y1283" s="18" t="s">
        <v>23</v>
      </c>
      <c r="Z1283" s="18" t="s">
        <v>42</v>
      </c>
      <c r="AA1283" s="19" t="s">
        <v>36</v>
      </c>
    </row>
    <row r="1284" spans="1:27" x14ac:dyDescent="0.25">
      <c r="A1284" s="17" t="s">
        <v>1944</v>
      </c>
      <c r="B1284" s="18" t="s">
        <v>38</v>
      </c>
      <c r="C1284" s="63" t="str" cm="1">
        <f t="array" ref="C1284">_xlfn.SWITCH(Table22[[#This Row],[Country]],"USA","North America","Canada","North America","Brazil","South America","China","Asia","Japan","Asia","India","Asia","France","Europe","Germany","Europe","UK","Europe","Australia","Oceania","South America")</f>
        <v>Europe</v>
      </c>
      <c r="D1284" s="18" t="s">
        <v>44</v>
      </c>
      <c r="E1284" s="18" t="s">
        <v>39</v>
      </c>
      <c r="F1284" s="18" t="s">
        <v>47</v>
      </c>
      <c r="G1284" s="18" t="s">
        <v>48</v>
      </c>
      <c r="H1284" s="64">
        <f>LEN(TRIM(Table22[[#This Row],[Country]]))</f>
        <v>6</v>
      </c>
      <c r="I1284" s="64">
        <f>LEN(TRIM(Table22[[#This Row],[Continent]]))</f>
        <v>6</v>
      </c>
      <c r="J1284" s="64">
        <f>LEN(TRIM(Table22[[#This Row],[Product]]))</f>
        <v>10</v>
      </c>
      <c r="K1284" s="64">
        <f>LEN(TRIM(Table22[[#This Row],[Sales Team]]))</f>
        <v>9</v>
      </c>
      <c r="L1284" s="23">
        <v>76</v>
      </c>
      <c r="M1284" s="65" t="str" cm="1">
        <f t="array" ref="M1284">_xlfn.IFS(Table22[[#This Row],[Units Sold]]&lt;40,"Critical",Table22[[#This Row],[Units Sold]]&lt;=50,"Poor",Table22[[#This Row],[Units Sold]]&lt;=60,"Low",Table22[[#This Row],[Units Sold]]&lt;=80,"Average",Table22[[#This Row],[Units Sold]]&lt;=90,"High",Table22[[#This Row],[Units Sold]]&lt;=95,"Excellent",Table22[[#This Row],[Units Sold]]&gt;95,"Outstanding")</f>
        <v>Average</v>
      </c>
      <c r="N1284" s="29">
        <v>254.31</v>
      </c>
      <c r="O1284" s="29">
        <v>19327.560000000001</v>
      </c>
      <c r="P1284" s="43">
        <f>IF(Table22[[#This Row],[Discount Applied]],Table22[[#This Row],[Total Sales (in USD)]]*(1-Table22[[#This Row],[Discount Percentage (%)]]/100),Table22[[#This Row],[Total Sales (in USD)]])</f>
        <v>19327.560000000001</v>
      </c>
      <c r="Q1284" s="66">
        <f>SQRT(AVERAGE((Table22[[#This Row],[Net Sales (after discount) (in USD)]]-AVERAGE(Table22[Net Sales (after discount) (in USD)]))^2))</f>
        <v>17183.800563764536</v>
      </c>
      <c r="R1284" s="18" t="b">
        <v>1</v>
      </c>
      <c r="S1284" s="40">
        <v>2.0299999999999998</v>
      </c>
      <c r="T1284" s="18" t="b">
        <v>0</v>
      </c>
      <c r="U1284" s="25">
        <v>45133</v>
      </c>
      <c r="V1284" s="63" t="str">
        <f>IF(MONTH(Table22[[#This Row],[Sales Date]])&lt;=3,"Q1",IF(MONTH(Table22[[#This Row],[Sales Date]])&lt;=6,"Q2",IF(MONTH(Table22[[#This Row],[Sales Date]])&lt;=9,"Q3","Q4")))</f>
        <v>Q3</v>
      </c>
      <c r="W1284" s="64">
        <f>YEAR(Table22[[#This Row],[Sales Date]])</f>
        <v>2023</v>
      </c>
      <c r="X1284" s="23">
        <v>37</v>
      </c>
      <c r="Y1284" s="18" t="s">
        <v>49</v>
      </c>
      <c r="Z1284" s="18" t="s">
        <v>30</v>
      </c>
      <c r="AA1284" s="19" t="s">
        <v>36</v>
      </c>
    </row>
    <row r="1285" spans="1:27" x14ac:dyDescent="0.25">
      <c r="A1285" s="17" t="s">
        <v>1754</v>
      </c>
      <c r="B1285" s="18" t="s">
        <v>66</v>
      </c>
      <c r="C1285" s="63" t="str" cm="1">
        <f t="array" ref="C1285">_xlfn.SWITCH(Table22[[#This Row],[Country]],"USA","North America","Canada","North America","Brazil","South America","China","Asia","Japan","Asia","India","Asia","France","Europe","Germany","Europe","UK","Europe","Australia","Oceania","South America")</f>
        <v>North America</v>
      </c>
      <c r="D1285" s="18" t="s">
        <v>21</v>
      </c>
      <c r="E1285" s="18" t="s">
        <v>33</v>
      </c>
      <c r="F1285" s="18" t="s">
        <v>20</v>
      </c>
      <c r="G1285" s="18" t="s">
        <v>29</v>
      </c>
      <c r="H1285" s="64">
        <f>LEN(TRIM(Table22[[#This Row],[Country]]))</f>
        <v>6</v>
      </c>
      <c r="I1285" s="64">
        <f>LEN(TRIM(Table22[[#This Row],[Continent]]))</f>
        <v>13</v>
      </c>
      <c r="J1285" s="64">
        <f>LEN(TRIM(Table22[[#This Row],[Product]]))</f>
        <v>10</v>
      </c>
      <c r="K1285" s="64">
        <f>LEN(TRIM(Table22[[#This Row],[Sales Team]]))</f>
        <v>10</v>
      </c>
      <c r="L1285" s="23">
        <v>46</v>
      </c>
      <c r="M1285" s="65" t="str" cm="1">
        <f t="array" ref="M1285">_xlfn.IFS(Table22[[#This Row],[Units Sold]]&lt;40,"Critical",Table22[[#This Row],[Units Sold]]&lt;=50,"Poor",Table22[[#This Row],[Units Sold]]&lt;=60,"Low",Table22[[#This Row],[Units Sold]]&lt;=80,"Average",Table22[[#This Row],[Units Sold]]&lt;=90,"High",Table22[[#This Row],[Units Sold]]&lt;=95,"Excellent",Table22[[#This Row],[Units Sold]]&gt;95,"Outstanding")</f>
        <v>Poor</v>
      </c>
      <c r="N1285" s="29">
        <v>418.56</v>
      </c>
      <c r="O1285" s="29">
        <v>19253.759999999998</v>
      </c>
      <c r="P1285" s="43">
        <f>IF(Table22[[#This Row],[Discount Applied]],Table22[[#This Row],[Total Sales (in USD)]]*(1-Table22[[#This Row],[Discount Percentage (%)]]/100),Table22[[#This Row],[Total Sales (in USD)]])</f>
        <v>14286.289919999999</v>
      </c>
      <c r="Q1285" s="66">
        <f>SQRT(AVERAGE((Table22[[#This Row],[Net Sales (after discount) (in USD)]]-AVERAGE(Table22[Net Sales (after discount) (in USD)]))^2))</f>
        <v>22225.070643764539</v>
      </c>
      <c r="R1285" s="18" t="b">
        <v>0</v>
      </c>
      <c r="S1285" s="40">
        <v>25.8</v>
      </c>
      <c r="T1285" s="18" t="b">
        <v>1</v>
      </c>
      <c r="U1285" s="25">
        <v>45472</v>
      </c>
      <c r="V1285" s="63" t="str">
        <f>IF(MONTH(Table22[[#This Row],[Sales Date]])&lt;=3,"Q1",IF(MONTH(Table22[[#This Row],[Sales Date]])&lt;=6,"Q2",IF(MONTH(Table22[[#This Row],[Sales Date]])&lt;=9,"Q3","Q4")))</f>
        <v>Q2</v>
      </c>
      <c r="W1285" s="64">
        <f>YEAR(Table22[[#This Row],[Sales Date]])</f>
        <v>2024</v>
      </c>
      <c r="X1285" s="23">
        <v>68</v>
      </c>
      <c r="Y1285" s="18" t="s">
        <v>23</v>
      </c>
      <c r="Z1285" s="18" t="s">
        <v>30</v>
      </c>
      <c r="AA1285" s="19" t="s">
        <v>25</v>
      </c>
    </row>
    <row r="1286" spans="1:27" x14ac:dyDescent="0.25">
      <c r="A1286" s="17" t="s">
        <v>226</v>
      </c>
      <c r="B1286" s="18" t="s">
        <v>32</v>
      </c>
      <c r="C1286" s="63" t="str" cm="1">
        <f t="array" ref="C1286">_xlfn.SWITCH(Table22[[#This Row],[Country]],"USA","North America","Canada","North America","Brazil","South America","China","Asia","Japan","Asia","India","Asia","France","Europe","Germany","Europe","UK","Europe","Australia","Oceania","South America")</f>
        <v>Asia</v>
      </c>
      <c r="D1286" s="18" t="s">
        <v>21</v>
      </c>
      <c r="E1286" s="18" t="s">
        <v>19</v>
      </c>
      <c r="F1286" s="18" t="s">
        <v>34</v>
      </c>
      <c r="G1286" s="18" t="s">
        <v>40</v>
      </c>
      <c r="H1286" s="64">
        <f>LEN(TRIM(Table22[[#This Row],[Country]]))</f>
        <v>5</v>
      </c>
      <c r="I1286" s="64">
        <f>LEN(TRIM(Table22[[#This Row],[Continent]]))</f>
        <v>4</v>
      </c>
      <c r="J1286" s="64">
        <f>LEN(TRIM(Table22[[#This Row],[Product]]))</f>
        <v>6</v>
      </c>
      <c r="K1286" s="64">
        <f>LEN(TRIM(Table22[[#This Row],[Sales Team]]))</f>
        <v>10</v>
      </c>
      <c r="L1286" s="23">
        <v>14</v>
      </c>
      <c r="M1286" s="65" t="str" cm="1">
        <f t="array" ref="M1286">_xlfn.IFS(Table22[[#This Row],[Units Sold]]&lt;40,"Critical",Table22[[#This Row],[Units Sold]]&lt;=50,"Poor",Table22[[#This Row],[Units Sold]]&lt;=60,"Low",Table22[[#This Row],[Units Sold]]&lt;=80,"Average",Table22[[#This Row],[Units Sold]]&lt;=90,"High",Table22[[#This Row],[Units Sold]]&lt;=95,"Excellent",Table22[[#This Row],[Units Sold]]&gt;95,"Outstanding")</f>
        <v>Critical</v>
      </c>
      <c r="N1286" s="29">
        <v>1374.28</v>
      </c>
      <c r="O1286" s="29">
        <v>19239.919999999998</v>
      </c>
      <c r="P1286" s="43">
        <f>IF(Table22[[#This Row],[Discount Applied]],Table22[[#This Row],[Total Sales (in USD)]]*(1-Table22[[#This Row],[Discount Percentage (%)]]/100),Table22[[#This Row],[Total Sales (in USD)]])</f>
        <v>19239.919999999998</v>
      </c>
      <c r="Q1286" s="66">
        <f>SQRT(AVERAGE((Table22[[#This Row],[Net Sales (after discount) (in USD)]]-AVERAGE(Table22[Net Sales (after discount) (in USD)]))^2))</f>
        <v>17271.44056376454</v>
      </c>
      <c r="R1286" s="18" t="b">
        <v>1</v>
      </c>
      <c r="S1286" s="40">
        <v>2.08</v>
      </c>
      <c r="T1286" s="18" t="b">
        <v>0</v>
      </c>
      <c r="U1286" s="25">
        <v>45020</v>
      </c>
      <c r="V1286" s="63" t="str">
        <f>IF(MONTH(Table22[[#This Row],[Sales Date]])&lt;=3,"Q1",IF(MONTH(Table22[[#This Row],[Sales Date]])&lt;=6,"Q2",IF(MONTH(Table22[[#This Row],[Sales Date]])&lt;=9,"Q3","Q4")))</f>
        <v>Q2</v>
      </c>
      <c r="W1286" s="64">
        <f>YEAR(Table22[[#This Row],[Sales Date]])</f>
        <v>2023</v>
      </c>
      <c r="X1286" s="23">
        <v>32</v>
      </c>
      <c r="Y1286" s="18" t="s">
        <v>49</v>
      </c>
      <c r="Z1286" s="18" t="s">
        <v>24</v>
      </c>
      <c r="AA1286" s="19" t="s">
        <v>25</v>
      </c>
    </row>
    <row r="1287" spans="1:27" x14ac:dyDescent="0.25">
      <c r="A1287" s="17" t="s">
        <v>615</v>
      </c>
      <c r="B1287" s="18" t="s">
        <v>62</v>
      </c>
      <c r="C1287" s="63" t="str" cm="1">
        <f t="array" ref="C1287">_xlfn.SWITCH(Table22[[#This Row],[Country]],"USA","North America","Canada","North America","Brazil","South America","China","Asia","Japan","Asia","India","Asia","France","Europe","Germany","Europe","UK","Europe","Australia","Oceania","South America")</f>
        <v>Oceania</v>
      </c>
      <c r="D1287" s="18" t="s">
        <v>28</v>
      </c>
      <c r="E1287" s="18" t="s">
        <v>33</v>
      </c>
      <c r="F1287" s="18" t="s">
        <v>52</v>
      </c>
      <c r="G1287" s="18" t="s">
        <v>29</v>
      </c>
      <c r="H1287" s="64">
        <f>LEN(TRIM(Table22[[#This Row],[Country]]))</f>
        <v>9</v>
      </c>
      <c r="I1287" s="64">
        <f>LEN(TRIM(Table22[[#This Row],[Continent]]))</f>
        <v>7</v>
      </c>
      <c r="J1287" s="64">
        <f>LEN(TRIM(Table22[[#This Row],[Product]]))</f>
        <v>10</v>
      </c>
      <c r="K1287" s="64">
        <f>LEN(TRIM(Table22[[#This Row],[Sales Team]]))</f>
        <v>10</v>
      </c>
      <c r="L1287" s="23">
        <v>37</v>
      </c>
      <c r="M1287" s="65" t="str" cm="1">
        <f t="array" ref="M1287">_xlfn.IFS(Table22[[#This Row],[Units Sold]]&lt;40,"Critical",Table22[[#This Row],[Units Sold]]&lt;=50,"Poor",Table22[[#This Row],[Units Sold]]&lt;=60,"Low",Table22[[#This Row],[Units Sold]]&lt;=80,"Average",Table22[[#This Row],[Units Sold]]&lt;=90,"High",Table22[[#This Row],[Units Sold]]&lt;=95,"Excellent",Table22[[#This Row],[Units Sold]]&gt;95,"Outstanding")</f>
        <v>Critical</v>
      </c>
      <c r="N1287" s="29">
        <v>519.77</v>
      </c>
      <c r="O1287" s="29">
        <v>19231.490000000002</v>
      </c>
      <c r="P1287" s="43">
        <f>IF(Table22[[#This Row],[Discount Applied]],Table22[[#This Row],[Total Sales (in USD)]]*(1-Table22[[#This Row],[Discount Percentage (%)]]/100),Table22[[#This Row],[Total Sales (in USD)]])</f>
        <v>14100.528468000002</v>
      </c>
      <c r="Q1287" s="66">
        <f>SQRT(AVERAGE((Table22[[#This Row],[Net Sales (after discount) (in USD)]]-AVERAGE(Table22[Net Sales (after discount) (in USD)]))^2))</f>
        <v>22410.832095764534</v>
      </c>
      <c r="R1287" s="18" t="b">
        <v>0</v>
      </c>
      <c r="S1287" s="40">
        <v>26.68</v>
      </c>
      <c r="T1287" s="18" t="b">
        <v>1</v>
      </c>
      <c r="U1287" s="25">
        <v>45247</v>
      </c>
      <c r="V1287" s="63" t="str">
        <f>IF(MONTH(Table22[[#This Row],[Sales Date]])&lt;=3,"Q1",IF(MONTH(Table22[[#This Row],[Sales Date]])&lt;=6,"Q2",IF(MONTH(Table22[[#This Row],[Sales Date]])&lt;=9,"Q3","Q4")))</f>
        <v>Q4</v>
      </c>
      <c r="W1287" s="64">
        <f>YEAR(Table22[[#This Row],[Sales Date]])</f>
        <v>2023</v>
      </c>
      <c r="X1287" s="23">
        <v>35</v>
      </c>
      <c r="Y1287" s="18" t="s">
        <v>23</v>
      </c>
      <c r="Z1287" s="18" t="s">
        <v>24</v>
      </c>
      <c r="AA1287" s="19" t="s">
        <v>25</v>
      </c>
    </row>
    <row r="1288" spans="1:27" x14ac:dyDescent="0.25">
      <c r="A1288" s="17" t="s">
        <v>384</v>
      </c>
      <c r="B1288" s="18" t="s">
        <v>46</v>
      </c>
      <c r="C1288" s="63" t="str" cm="1">
        <f t="array" ref="C1288">_xlfn.SWITCH(Table22[[#This Row],[Country]],"USA","North America","Canada","North America","Brazil","South America","China","Asia","Japan","Asia","India","Asia","France","Europe","Germany","Europe","UK","Europe","Australia","Oceania","South America")</f>
        <v>South America</v>
      </c>
      <c r="D1288" s="18" t="s">
        <v>28</v>
      </c>
      <c r="E1288" s="18" t="s">
        <v>39</v>
      </c>
      <c r="F1288" s="18" t="s">
        <v>64</v>
      </c>
      <c r="G1288" s="18" t="s">
        <v>22</v>
      </c>
      <c r="H1288" s="64">
        <f>LEN(TRIM(Table22[[#This Row],[Country]]))</f>
        <v>6</v>
      </c>
      <c r="I1288" s="64">
        <f>LEN(TRIM(Table22[[#This Row],[Continent]]))</f>
        <v>13</v>
      </c>
      <c r="J1288" s="64">
        <f>LEN(TRIM(Table22[[#This Row],[Product]]))</f>
        <v>10</v>
      </c>
      <c r="K1288" s="64">
        <f>LEN(TRIM(Table22[[#This Row],[Sales Team]]))</f>
        <v>10</v>
      </c>
      <c r="L1288" s="23">
        <v>48</v>
      </c>
      <c r="M1288" s="65" t="str" cm="1">
        <f t="array" ref="M1288">_xlfn.IFS(Table22[[#This Row],[Units Sold]]&lt;40,"Critical",Table22[[#This Row],[Units Sold]]&lt;=50,"Poor",Table22[[#This Row],[Units Sold]]&lt;=60,"Low",Table22[[#This Row],[Units Sold]]&lt;=80,"Average",Table22[[#This Row],[Units Sold]]&lt;=90,"High",Table22[[#This Row],[Units Sold]]&lt;=95,"Excellent",Table22[[#This Row],[Units Sold]]&gt;95,"Outstanding")</f>
        <v>Poor</v>
      </c>
      <c r="N1288" s="29">
        <v>400.32</v>
      </c>
      <c r="O1288" s="29">
        <v>19215.36</v>
      </c>
      <c r="P1288" s="43">
        <f>IF(Table22[[#This Row],[Discount Applied]],Table22[[#This Row],[Total Sales (in USD)]]*(1-Table22[[#This Row],[Discount Percentage (%)]]/100),Table22[[#This Row],[Total Sales (in USD)]])</f>
        <v>19215.36</v>
      </c>
      <c r="Q1288" s="66">
        <f>SQRT(AVERAGE((Table22[[#This Row],[Net Sales (after discount) (in USD)]]-AVERAGE(Table22[Net Sales (after discount) (in USD)]))^2))</f>
        <v>17296.000563764537</v>
      </c>
      <c r="R1288" s="18" t="b">
        <v>0</v>
      </c>
      <c r="S1288" s="40">
        <v>23.85</v>
      </c>
      <c r="T1288" s="18" t="b">
        <v>0</v>
      </c>
      <c r="U1288" s="25">
        <v>45262</v>
      </c>
      <c r="V1288" s="63" t="str">
        <f>IF(MONTH(Table22[[#This Row],[Sales Date]])&lt;=3,"Q1",IF(MONTH(Table22[[#This Row],[Sales Date]])&lt;=6,"Q2",IF(MONTH(Table22[[#This Row],[Sales Date]])&lt;=9,"Q3","Q4")))</f>
        <v>Q4</v>
      </c>
      <c r="W1288" s="64">
        <f>YEAR(Table22[[#This Row],[Sales Date]])</f>
        <v>2023</v>
      </c>
      <c r="X1288" s="23">
        <v>24</v>
      </c>
      <c r="Y1288" s="18" t="s">
        <v>41</v>
      </c>
      <c r="Z1288" s="18" t="s">
        <v>56</v>
      </c>
      <c r="AA1288" s="19" t="s">
        <v>36</v>
      </c>
    </row>
    <row r="1289" spans="1:27" x14ac:dyDescent="0.25">
      <c r="A1289" s="17" t="s">
        <v>1664</v>
      </c>
      <c r="B1289" s="18" t="s">
        <v>72</v>
      </c>
      <c r="C1289" s="63" t="str" cm="1">
        <f t="array" ref="C1289">_xlfn.SWITCH(Table22[[#This Row],[Country]],"USA","North America","Canada","North America","Brazil","South America","China","Asia","Japan","Asia","India","Asia","France","Europe","Germany","Europe","UK","Europe","Australia","Oceania","South America")</f>
        <v>North America</v>
      </c>
      <c r="D1289" s="18" t="s">
        <v>28</v>
      </c>
      <c r="E1289" s="18" t="s">
        <v>19</v>
      </c>
      <c r="F1289" s="18" t="s">
        <v>52</v>
      </c>
      <c r="G1289" s="18" t="s">
        <v>22</v>
      </c>
      <c r="H1289" s="64">
        <f>LEN(TRIM(Table22[[#This Row],[Country]]))</f>
        <v>3</v>
      </c>
      <c r="I1289" s="64">
        <f>LEN(TRIM(Table22[[#This Row],[Continent]]))</f>
        <v>13</v>
      </c>
      <c r="J1289" s="64">
        <f>LEN(TRIM(Table22[[#This Row],[Product]]))</f>
        <v>6</v>
      </c>
      <c r="K1289" s="64">
        <f>LEN(TRIM(Table22[[#This Row],[Sales Team]]))</f>
        <v>10</v>
      </c>
      <c r="L1289" s="23">
        <v>43</v>
      </c>
      <c r="M1289" s="65" t="str" cm="1">
        <f t="array" ref="M1289">_xlfn.IFS(Table22[[#This Row],[Units Sold]]&lt;40,"Critical",Table22[[#This Row],[Units Sold]]&lt;=50,"Poor",Table22[[#This Row],[Units Sold]]&lt;=60,"Low",Table22[[#This Row],[Units Sold]]&lt;=80,"Average",Table22[[#This Row],[Units Sold]]&lt;=90,"High",Table22[[#This Row],[Units Sold]]&lt;=95,"Excellent",Table22[[#This Row],[Units Sold]]&gt;95,"Outstanding")</f>
        <v>Poor</v>
      </c>
      <c r="N1289" s="29">
        <v>446.33</v>
      </c>
      <c r="O1289" s="29">
        <v>19192.189999999999</v>
      </c>
      <c r="P1289" s="43">
        <f>IF(Table22[[#This Row],[Discount Applied]],Table22[[#This Row],[Total Sales (in USD)]]*(1-Table22[[#This Row],[Discount Percentage (%)]]/100),Table22[[#This Row],[Total Sales (in USD)]])</f>
        <v>19192.189999999999</v>
      </c>
      <c r="Q1289" s="66">
        <f>SQRT(AVERAGE((Table22[[#This Row],[Net Sales (after discount) (in USD)]]-AVERAGE(Table22[Net Sales (after discount) (in USD)]))^2))</f>
        <v>17319.170563764539</v>
      </c>
      <c r="R1289" s="18" t="b">
        <v>1</v>
      </c>
      <c r="S1289" s="40">
        <v>9.73</v>
      </c>
      <c r="T1289" s="18" t="b">
        <v>0</v>
      </c>
      <c r="U1289" s="25">
        <v>45330</v>
      </c>
      <c r="V1289" s="63" t="str">
        <f>IF(MONTH(Table22[[#This Row],[Sales Date]])&lt;=3,"Q1",IF(MONTH(Table22[[#This Row],[Sales Date]])&lt;=6,"Q2",IF(MONTH(Table22[[#This Row],[Sales Date]])&lt;=9,"Q3","Q4")))</f>
        <v>Q1</v>
      </c>
      <c r="W1289" s="64">
        <f>YEAR(Table22[[#This Row],[Sales Date]])</f>
        <v>2024</v>
      </c>
      <c r="X1289" s="23">
        <v>28</v>
      </c>
      <c r="Y1289" s="18" t="s">
        <v>49</v>
      </c>
      <c r="Z1289" s="18" t="s">
        <v>24</v>
      </c>
      <c r="AA1289" s="19" t="s">
        <v>25</v>
      </c>
    </row>
    <row r="1290" spans="1:27" x14ac:dyDescent="0.25">
      <c r="A1290" s="17" t="s">
        <v>754</v>
      </c>
      <c r="B1290" s="18" t="s">
        <v>66</v>
      </c>
      <c r="C1290" s="63" t="str" cm="1">
        <f t="array" ref="C1290">_xlfn.SWITCH(Table22[[#This Row],[Country]],"USA","North America","Canada","North America","Brazil","South America","China","Asia","Japan","Asia","India","Asia","France","Europe","Germany","Europe","UK","Europe","Australia","Oceania","South America")</f>
        <v>North America</v>
      </c>
      <c r="D1290" s="18" t="s">
        <v>21</v>
      </c>
      <c r="E1290" s="18" t="s">
        <v>39</v>
      </c>
      <c r="F1290" s="18" t="s">
        <v>47</v>
      </c>
      <c r="G1290" s="18" t="s">
        <v>48</v>
      </c>
      <c r="H1290" s="64">
        <f>LEN(TRIM(Table22[[#This Row],[Country]]))</f>
        <v>6</v>
      </c>
      <c r="I1290" s="64">
        <f>LEN(TRIM(Table22[[#This Row],[Continent]]))</f>
        <v>13</v>
      </c>
      <c r="J1290" s="64">
        <f>LEN(TRIM(Table22[[#This Row],[Product]]))</f>
        <v>10</v>
      </c>
      <c r="K1290" s="64">
        <f>LEN(TRIM(Table22[[#This Row],[Sales Team]]))</f>
        <v>9</v>
      </c>
      <c r="L1290" s="23">
        <v>67</v>
      </c>
      <c r="M1290" s="65" t="str" cm="1">
        <f t="array" ref="M1290">_xlfn.IFS(Table22[[#This Row],[Units Sold]]&lt;40,"Critical",Table22[[#This Row],[Units Sold]]&lt;=50,"Poor",Table22[[#This Row],[Units Sold]]&lt;=60,"Low",Table22[[#This Row],[Units Sold]]&lt;=80,"Average",Table22[[#This Row],[Units Sold]]&lt;=90,"High",Table22[[#This Row],[Units Sold]]&lt;=95,"Excellent",Table22[[#This Row],[Units Sold]]&gt;95,"Outstanding")</f>
        <v>Average</v>
      </c>
      <c r="N1290" s="29">
        <v>286.02999999999997</v>
      </c>
      <c r="O1290" s="29">
        <v>19164.009999999998</v>
      </c>
      <c r="P1290" s="43">
        <f>IF(Table22[[#This Row],[Discount Applied]],Table22[[#This Row],[Total Sales (in USD)]]*(1-Table22[[#This Row],[Discount Percentage (%)]]/100),Table22[[#This Row],[Total Sales (in USD)]])</f>
        <v>16835.582784999999</v>
      </c>
      <c r="Q1290" s="66">
        <f>SQRT(AVERAGE((Table22[[#This Row],[Net Sales (after discount) (in USD)]]-AVERAGE(Table22[Net Sales (after discount) (in USD)]))^2))</f>
        <v>19675.777778764539</v>
      </c>
      <c r="R1290" s="18" t="b">
        <v>1</v>
      </c>
      <c r="S1290" s="40">
        <v>12.15</v>
      </c>
      <c r="T1290" s="18" t="b">
        <v>1</v>
      </c>
      <c r="U1290" s="25">
        <v>45414</v>
      </c>
      <c r="V1290" s="63" t="str">
        <f>IF(MONTH(Table22[[#This Row],[Sales Date]])&lt;=3,"Q1",IF(MONTH(Table22[[#This Row],[Sales Date]])&lt;=6,"Q2",IF(MONTH(Table22[[#This Row],[Sales Date]])&lt;=9,"Q3","Q4")))</f>
        <v>Q2</v>
      </c>
      <c r="W1290" s="64">
        <f>YEAR(Table22[[#This Row],[Sales Date]])</f>
        <v>2024</v>
      </c>
      <c r="X1290" s="23">
        <v>44</v>
      </c>
      <c r="Y1290" s="18" t="s">
        <v>41</v>
      </c>
      <c r="Z1290" s="18" t="s">
        <v>30</v>
      </c>
      <c r="AA1290" s="19" t="s">
        <v>36</v>
      </c>
    </row>
    <row r="1291" spans="1:27" x14ac:dyDescent="0.25">
      <c r="A1291" s="17" t="s">
        <v>717</v>
      </c>
      <c r="B1291" s="18" t="s">
        <v>38</v>
      </c>
      <c r="C1291" s="63" t="str" cm="1">
        <f t="array" ref="C1291">_xlfn.SWITCH(Table22[[#This Row],[Country]],"USA","North America","Canada","North America","Brazil","South America","China","Asia","Japan","Asia","India","Asia","France","Europe","Germany","Europe","UK","Europe","Australia","Oceania","South America")</f>
        <v>Europe</v>
      </c>
      <c r="D1291" s="18" t="s">
        <v>21</v>
      </c>
      <c r="E1291" s="18" t="s">
        <v>33</v>
      </c>
      <c r="F1291" s="18" t="s">
        <v>20</v>
      </c>
      <c r="G1291" s="18" t="s">
        <v>48</v>
      </c>
      <c r="H1291" s="64">
        <f>LEN(TRIM(Table22[[#This Row],[Country]]))</f>
        <v>6</v>
      </c>
      <c r="I1291" s="64">
        <f>LEN(TRIM(Table22[[#This Row],[Continent]]))</f>
        <v>6</v>
      </c>
      <c r="J1291" s="64">
        <f>LEN(TRIM(Table22[[#This Row],[Product]]))</f>
        <v>10</v>
      </c>
      <c r="K1291" s="64">
        <f>LEN(TRIM(Table22[[#This Row],[Sales Team]]))</f>
        <v>9</v>
      </c>
      <c r="L1291" s="23">
        <v>29</v>
      </c>
      <c r="M1291" s="65" t="str" cm="1">
        <f t="array" ref="M1291">_xlfn.IFS(Table22[[#This Row],[Units Sold]]&lt;40,"Critical",Table22[[#This Row],[Units Sold]]&lt;=50,"Poor",Table22[[#This Row],[Units Sold]]&lt;=60,"Low",Table22[[#This Row],[Units Sold]]&lt;=80,"Average",Table22[[#This Row],[Units Sold]]&lt;=90,"High",Table22[[#This Row],[Units Sold]]&lt;=95,"Excellent",Table22[[#This Row],[Units Sold]]&gt;95,"Outstanding")</f>
        <v>Critical</v>
      </c>
      <c r="N1291" s="29">
        <v>658.29</v>
      </c>
      <c r="O1291" s="29">
        <v>19090.41</v>
      </c>
      <c r="P1291" s="43">
        <f>IF(Table22[[#This Row],[Discount Applied]],Table22[[#This Row],[Total Sales (in USD)]]*(1-Table22[[#This Row],[Discount Percentage (%)]]/100),Table22[[#This Row],[Total Sales (in USD)]])</f>
        <v>19090.41</v>
      </c>
      <c r="Q1291" s="66">
        <f>SQRT(AVERAGE((Table22[[#This Row],[Net Sales (after discount) (in USD)]]-AVERAGE(Table22[Net Sales (after discount) (in USD)]))^2))</f>
        <v>17420.950563764538</v>
      </c>
      <c r="R1291" s="18" t="b">
        <v>0</v>
      </c>
      <c r="S1291" s="40">
        <v>3.37</v>
      </c>
      <c r="T1291" s="18" t="b">
        <v>0</v>
      </c>
      <c r="U1291" s="25">
        <v>44940</v>
      </c>
      <c r="V1291" s="63" t="str">
        <f>IF(MONTH(Table22[[#This Row],[Sales Date]])&lt;=3,"Q1",IF(MONTH(Table22[[#This Row],[Sales Date]])&lt;=6,"Q2",IF(MONTH(Table22[[#This Row],[Sales Date]])&lt;=9,"Q3","Q4")))</f>
        <v>Q1</v>
      </c>
      <c r="W1291" s="64">
        <f>YEAR(Table22[[#This Row],[Sales Date]])</f>
        <v>2023</v>
      </c>
      <c r="X1291" s="23">
        <v>61</v>
      </c>
      <c r="Y1291" s="18" t="s">
        <v>41</v>
      </c>
      <c r="Z1291" s="18" t="s">
        <v>56</v>
      </c>
      <c r="AA1291" s="19" t="s">
        <v>25</v>
      </c>
    </row>
    <row r="1292" spans="1:27" x14ac:dyDescent="0.25">
      <c r="A1292" s="17" t="s">
        <v>1063</v>
      </c>
      <c r="B1292" s="18" t="s">
        <v>76</v>
      </c>
      <c r="C1292" s="63" t="str" cm="1">
        <f t="array" ref="C1292">_xlfn.SWITCH(Table22[[#This Row],[Country]],"USA","North America","Canada","North America","Brazil","South America","China","Asia","Japan","Asia","India","Asia","France","Europe","Germany","Europe","UK","Europe","Australia","Oceania","South America")</f>
        <v>Asia</v>
      </c>
      <c r="D1292" s="18" t="s">
        <v>35</v>
      </c>
      <c r="E1292" s="18" t="s">
        <v>19</v>
      </c>
      <c r="F1292" s="18" t="s">
        <v>52</v>
      </c>
      <c r="G1292" s="18" t="s">
        <v>48</v>
      </c>
      <c r="H1292" s="64">
        <f>LEN(TRIM(Table22[[#This Row],[Country]]))</f>
        <v>5</v>
      </c>
      <c r="I1292" s="64">
        <f>LEN(TRIM(Table22[[#This Row],[Continent]]))</f>
        <v>4</v>
      </c>
      <c r="J1292" s="64">
        <f>LEN(TRIM(Table22[[#This Row],[Product]]))</f>
        <v>6</v>
      </c>
      <c r="K1292" s="64">
        <f>LEN(TRIM(Table22[[#This Row],[Sales Team]]))</f>
        <v>9</v>
      </c>
      <c r="L1292" s="23">
        <v>15</v>
      </c>
      <c r="M1292" s="65" t="str" cm="1">
        <f t="array" ref="M1292">_xlfn.IFS(Table22[[#This Row],[Units Sold]]&lt;40,"Critical",Table22[[#This Row],[Units Sold]]&lt;=50,"Poor",Table22[[#This Row],[Units Sold]]&lt;=60,"Low",Table22[[#This Row],[Units Sold]]&lt;=80,"Average",Table22[[#This Row],[Units Sold]]&lt;=90,"High",Table22[[#This Row],[Units Sold]]&lt;=95,"Excellent",Table22[[#This Row],[Units Sold]]&gt;95,"Outstanding")</f>
        <v>Critical</v>
      </c>
      <c r="N1292" s="29">
        <v>1270.8</v>
      </c>
      <c r="O1292" s="29">
        <v>19062</v>
      </c>
      <c r="P1292" s="43">
        <f>IF(Table22[[#This Row],[Discount Applied]],Table22[[#This Row],[Total Sales (in USD)]]*(1-Table22[[#This Row],[Discount Percentage (%)]]/100),Table22[[#This Row],[Total Sales (in USD)]])</f>
        <v>13711.296600000001</v>
      </c>
      <c r="Q1292" s="66">
        <f>SQRT(AVERAGE((Table22[[#This Row],[Net Sales (after discount) (in USD)]]-AVERAGE(Table22[Net Sales (after discount) (in USD)]))^2))</f>
        <v>22800.063963764536</v>
      </c>
      <c r="R1292" s="18" t="b">
        <v>0</v>
      </c>
      <c r="S1292" s="40">
        <v>28.07</v>
      </c>
      <c r="T1292" s="18" t="b">
        <v>1</v>
      </c>
      <c r="U1292" s="25">
        <v>45260</v>
      </c>
      <c r="V1292" s="63" t="str">
        <f>IF(MONTH(Table22[[#This Row],[Sales Date]])&lt;=3,"Q1",IF(MONTH(Table22[[#This Row],[Sales Date]])&lt;=6,"Q2",IF(MONTH(Table22[[#This Row],[Sales Date]])&lt;=9,"Q3","Q4")))</f>
        <v>Q4</v>
      </c>
      <c r="W1292" s="64">
        <f>YEAR(Table22[[#This Row],[Sales Date]])</f>
        <v>2023</v>
      </c>
      <c r="X1292" s="23">
        <v>51</v>
      </c>
      <c r="Y1292" s="18" t="s">
        <v>41</v>
      </c>
      <c r="Z1292" s="18" t="s">
        <v>24</v>
      </c>
      <c r="AA1292" s="19" t="s">
        <v>25</v>
      </c>
    </row>
    <row r="1293" spans="1:27" x14ac:dyDescent="0.25">
      <c r="A1293" s="17" t="s">
        <v>1329</v>
      </c>
      <c r="B1293" s="18" t="s">
        <v>46</v>
      </c>
      <c r="C1293" s="63" t="str" cm="1">
        <f t="array" ref="C1293">_xlfn.SWITCH(Table22[[#This Row],[Country]],"USA","North America","Canada","North America","Brazil","South America","China","Asia","Japan","Asia","India","Asia","France","Europe","Germany","Europe","UK","Europe","Australia","Oceania","South America")</f>
        <v>South America</v>
      </c>
      <c r="D1293" s="18" t="s">
        <v>28</v>
      </c>
      <c r="E1293" s="18" t="s">
        <v>33</v>
      </c>
      <c r="F1293" s="18" t="s">
        <v>52</v>
      </c>
      <c r="G1293" s="18" t="s">
        <v>29</v>
      </c>
      <c r="H1293" s="64">
        <f>LEN(TRIM(Table22[[#This Row],[Country]]))</f>
        <v>6</v>
      </c>
      <c r="I1293" s="64">
        <f>LEN(TRIM(Table22[[#This Row],[Continent]]))</f>
        <v>13</v>
      </c>
      <c r="J1293" s="64">
        <f>LEN(TRIM(Table22[[#This Row],[Product]]))</f>
        <v>10</v>
      </c>
      <c r="K1293" s="64">
        <f>LEN(TRIM(Table22[[#This Row],[Sales Team]]))</f>
        <v>10</v>
      </c>
      <c r="L1293" s="23">
        <v>85</v>
      </c>
      <c r="M1293" s="65" t="str" cm="1">
        <f t="array" ref="M1293">_xlfn.IFS(Table22[[#This Row],[Units Sold]]&lt;40,"Critical",Table22[[#This Row],[Units Sold]]&lt;=50,"Poor",Table22[[#This Row],[Units Sold]]&lt;=60,"Low",Table22[[#This Row],[Units Sold]]&lt;=80,"Average",Table22[[#This Row],[Units Sold]]&lt;=90,"High",Table22[[#This Row],[Units Sold]]&lt;=95,"Excellent",Table22[[#This Row],[Units Sold]]&gt;95,"Outstanding")</f>
        <v>High</v>
      </c>
      <c r="N1293" s="29">
        <v>223.75</v>
      </c>
      <c r="O1293" s="29">
        <v>19018.75</v>
      </c>
      <c r="P1293" s="43">
        <f>IF(Table22[[#This Row],[Discount Applied]],Table22[[#This Row],[Total Sales (in USD)]]*(1-Table22[[#This Row],[Discount Percentage (%)]]/100),Table22[[#This Row],[Total Sales (in USD)]])</f>
        <v>19018.75</v>
      </c>
      <c r="Q1293" s="66">
        <f>SQRT(AVERAGE((Table22[[#This Row],[Net Sales (after discount) (in USD)]]-AVERAGE(Table22[Net Sales (after discount) (in USD)]))^2))</f>
        <v>17492.610563764538</v>
      </c>
      <c r="R1293" s="18" t="b">
        <v>1</v>
      </c>
      <c r="S1293" s="40">
        <v>3.3</v>
      </c>
      <c r="T1293" s="18" t="b">
        <v>0</v>
      </c>
      <c r="U1293" s="25">
        <v>45080</v>
      </c>
      <c r="V1293" s="63" t="str">
        <f>IF(MONTH(Table22[[#This Row],[Sales Date]])&lt;=3,"Q1",IF(MONTH(Table22[[#This Row],[Sales Date]])&lt;=6,"Q2",IF(MONTH(Table22[[#This Row],[Sales Date]])&lt;=9,"Q3","Q4")))</f>
        <v>Q2</v>
      </c>
      <c r="W1293" s="64">
        <f>YEAR(Table22[[#This Row],[Sales Date]])</f>
        <v>2023</v>
      </c>
      <c r="X1293" s="23">
        <v>24</v>
      </c>
      <c r="Y1293" s="18" t="s">
        <v>49</v>
      </c>
      <c r="Z1293" s="18" t="s">
        <v>56</v>
      </c>
      <c r="AA1293" s="19" t="s">
        <v>25</v>
      </c>
    </row>
    <row r="1294" spans="1:27" x14ac:dyDescent="0.25">
      <c r="A1294" s="17" t="s">
        <v>1298</v>
      </c>
      <c r="B1294" s="18" t="s">
        <v>27</v>
      </c>
      <c r="C1294" s="63" t="str" cm="1">
        <f t="array" ref="C1294">_xlfn.SWITCH(Table22[[#This Row],[Country]],"USA","North America","Canada","North America","Brazil","South America","China","Asia","Japan","Asia","India","Asia","France","Europe","Germany","Europe","UK","Europe","Australia","Oceania","South America")</f>
        <v>Europe</v>
      </c>
      <c r="D1294" s="18" t="s">
        <v>21</v>
      </c>
      <c r="E1294" s="18" t="s">
        <v>33</v>
      </c>
      <c r="F1294" s="18" t="s">
        <v>34</v>
      </c>
      <c r="G1294" s="18" t="s">
        <v>48</v>
      </c>
      <c r="H1294" s="64">
        <f>LEN(TRIM(Table22[[#This Row],[Country]]))</f>
        <v>7</v>
      </c>
      <c r="I1294" s="64">
        <f>LEN(TRIM(Table22[[#This Row],[Continent]]))</f>
        <v>6</v>
      </c>
      <c r="J1294" s="64">
        <f>LEN(TRIM(Table22[[#This Row],[Product]]))</f>
        <v>10</v>
      </c>
      <c r="K1294" s="64">
        <f>LEN(TRIM(Table22[[#This Row],[Sales Team]]))</f>
        <v>9</v>
      </c>
      <c r="L1294" s="23">
        <v>17</v>
      </c>
      <c r="M1294" s="65" t="str" cm="1">
        <f t="array" ref="M1294">_xlfn.IFS(Table22[[#This Row],[Units Sold]]&lt;40,"Critical",Table22[[#This Row],[Units Sold]]&lt;=50,"Poor",Table22[[#This Row],[Units Sold]]&lt;=60,"Low",Table22[[#This Row],[Units Sold]]&lt;=80,"Average",Table22[[#This Row],[Units Sold]]&lt;=90,"High",Table22[[#This Row],[Units Sold]]&lt;=95,"Excellent",Table22[[#This Row],[Units Sold]]&gt;95,"Outstanding")</f>
        <v>Critical</v>
      </c>
      <c r="N1294" s="29">
        <v>1118.6400000000001</v>
      </c>
      <c r="O1294" s="29">
        <v>19016.88</v>
      </c>
      <c r="P1294" s="43">
        <f>IF(Table22[[#This Row],[Discount Applied]],Table22[[#This Row],[Total Sales (in USD)]]*(1-Table22[[#This Row],[Discount Percentage (%)]]/100),Table22[[#This Row],[Total Sales (in USD)]])</f>
        <v>19016.88</v>
      </c>
      <c r="Q1294" s="66">
        <f>SQRT(AVERAGE((Table22[[#This Row],[Net Sales (after discount) (in USD)]]-AVERAGE(Table22[Net Sales (after discount) (in USD)]))^2))</f>
        <v>17494.480563764537</v>
      </c>
      <c r="R1294" s="18" t="b">
        <v>0</v>
      </c>
      <c r="S1294" s="40">
        <v>23.75</v>
      </c>
      <c r="T1294" s="18" t="b">
        <v>0</v>
      </c>
      <c r="U1294" s="25">
        <v>45086</v>
      </c>
      <c r="V1294" s="63" t="str">
        <f>IF(MONTH(Table22[[#This Row],[Sales Date]])&lt;=3,"Q1",IF(MONTH(Table22[[#This Row],[Sales Date]])&lt;=6,"Q2",IF(MONTH(Table22[[#This Row],[Sales Date]])&lt;=9,"Q3","Q4")))</f>
        <v>Q2</v>
      </c>
      <c r="W1294" s="64">
        <f>YEAR(Table22[[#This Row],[Sales Date]])</f>
        <v>2023</v>
      </c>
      <c r="X1294" s="23">
        <v>25</v>
      </c>
      <c r="Y1294" s="18" t="s">
        <v>49</v>
      </c>
      <c r="Z1294" s="18" t="s">
        <v>56</v>
      </c>
      <c r="AA1294" s="19" t="s">
        <v>25</v>
      </c>
    </row>
    <row r="1295" spans="1:27" x14ac:dyDescent="0.25">
      <c r="A1295" s="17" t="s">
        <v>301</v>
      </c>
      <c r="B1295" s="18" t="s">
        <v>72</v>
      </c>
      <c r="C1295" s="63" t="str" cm="1">
        <f t="array" ref="C1295">_xlfn.SWITCH(Table22[[#This Row],[Country]],"USA","North America","Canada","North America","Brazil","South America","China","Asia","Japan","Asia","India","Asia","France","Europe","Germany","Europe","UK","Europe","Australia","Oceania","South America")</f>
        <v>North America</v>
      </c>
      <c r="D1295" s="18" t="s">
        <v>21</v>
      </c>
      <c r="E1295" s="18" t="s">
        <v>33</v>
      </c>
      <c r="F1295" s="18" t="s">
        <v>47</v>
      </c>
      <c r="G1295" s="18" t="s">
        <v>22</v>
      </c>
      <c r="H1295" s="64">
        <f>LEN(TRIM(Table22[[#This Row],[Country]]))</f>
        <v>3</v>
      </c>
      <c r="I1295" s="64">
        <f>LEN(TRIM(Table22[[#This Row],[Continent]]))</f>
        <v>13</v>
      </c>
      <c r="J1295" s="64">
        <f>LEN(TRIM(Table22[[#This Row],[Product]]))</f>
        <v>10</v>
      </c>
      <c r="K1295" s="64">
        <f>LEN(TRIM(Table22[[#This Row],[Sales Team]]))</f>
        <v>10</v>
      </c>
      <c r="L1295" s="23">
        <v>48</v>
      </c>
      <c r="M1295" s="65" t="str" cm="1">
        <f t="array" ref="M1295">_xlfn.IFS(Table22[[#This Row],[Units Sold]]&lt;40,"Critical",Table22[[#This Row],[Units Sold]]&lt;=50,"Poor",Table22[[#This Row],[Units Sold]]&lt;=60,"Low",Table22[[#This Row],[Units Sold]]&lt;=80,"Average",Table22[[#This Row],[Units Sold]]&lt;=90,"High",Table22[[#This Row],[Units Sold]]&lt;=95,"Excellent",Table22[[#This Row],[Units Sold]]&gt;95,"Outstanding")</f>
        <v>Poor</v>
      </c>
      <c r="N1295" s="29">
        <v>395.22</v>
      </c>
      <c r="O1295" s="29">
        <v>18970.560000000001</v>
      </c>
      <c r="P1295" s="43">
        <f>IF(Table22[[#This Row],[Discount Applied]],Table22[[#This Row],[Total Sales (in USD)]]*(1-Table22[[#This Row],[Discount Percentage (%)]]/100),Table22[[#This Row],[Total Sales (in USD)]])</f>
        <v>18970.560000000001</v>
      </c>
      <c r="Q1295" s="66">
        <f>SQRT(AVERAGE((Table22[[#This Row],[Net Sales (after discount) (in USD)]]-AVERAGE(Table22[Net Sales (after discount) (in USD)]))^2))</f>
        <v>17540.800563764536</v>
      </c>
      <c r="R1295" s="18" t="b">
        <v>1</v>
      </c>
      <c r="S1295" s="40">
        <v>2.63</v>
      </c>
      <c r="T1295" s="18" t="b">
        <v>0</v>
      </c>
      <c r="U1295" s="25">
        <v>45321</v>
      </c>
      <c r="V1295" s="63" t="str">
        <f>IF(MONTH(Table22[[#This Row],[Sales Date]])&lt;=3,"Q1",IF(MONTH(Table22[[#This Row],[Sales Date]])&lt;=6,"Q2",IF(MONTH(Table22[[#This Row],[Sales Date]])&lt;=9,"Q3","Q4")))</f>
        <v>Q1</v>
      </c>
      <c r="W1295" s="64">
        <f>YEAR(Table22[[#This Row],[Sales Date]])</f>
        <v>2024</v>
      </c>
      <c r="X1295" s="23">
        <v>61</v>
      </c>
      <c r="Y1295" s="18" t="s">
        <v>41</v>
      </c>
      <c r="Z1295" s="18" t="s">
        <v>42</v>
      </c>
      <c r="AA1295" s="19" t="s">
        <v>36</v>
      </c>
    </row>
    <row r="1296" spans="1:27" x14ac:dyDescent="0.25">
      <c r="A1296" s="17" t="s">
        <v>784</v>
      </c>
      <c r="B1296" s="18" t="s">
        <v>51</v>
      </c>
      <c r="C1296" s="63" t="str" cm="1">
        <f t="array" ref="C1296">_xlfn.SWITCH(Table22[[#This Row],[Country]],"USA","North America","Canada","North America","Brazil","South America","China","Asia","Japan","Asia","India","Asia","France","Europe","Germany","Europe","UK","Europe","Australia","Oceania","South America")</f>
        <v>Europe</v>
      </c>
      <c r="D1296" s="18" t="s">
        <v>21</v>
      </c>
      <c r="E1296" s="18" t="s">
        <v>19</v>
      </c>
      <c r="F1296" s="18" t="s">
        <v>52</v>
      </c>
      <c r="G1296" s="18" t="s">
        <v>48</v>
      </c>
      <c r="H1296" s="64">
        <f>LEN(TRIM(Table22[[#This Row],[Country]]))</f>
        <v>2</v>
      </c>
      <c r="I1296" s="64">
        <f>LEN(TRIM(Table22[[#This Row],[Continent]]))</f>
        <v>6</v>
      </c>
      <c r="J1296" s="64">
        <f>LEN(TRIM(Table22[[#This Row],[Product]]))</f>
        <v>6</v>
      </c>
      <c r="K1296" s="64">
        <f>LEN(TRIM(Table22[[#This Row],[Sales Team]]))</f>
        <v>9</v>
      </c>
      <c r="L1296" s="23">
        <v>13</v>
      </c>
      <c r="M1296" s="65" t="str" cm="1">
        <f t="array" ref="M1296">_xlfn.IFS(Table22[[#This Row],[Units Sold]]&lt;40,"Critical",Table22[[#This Row],[Units Sold]]&lt;=50,"Poor",Table22[[#This Row],[Units Sold]]&lt;=60,"Low",Table22[[#This Row],[Units Sold]]&lt;=80,"Average",Table22[[#This Row],[Units Sold]]&lt;=90,"High",Table22[[#This Row],[Units Sold]]&lt;=95,"Excellent",Table22[[#This Row],[Units Sold]]&gt;95,"Outstanding")</f>
        <v>Critical</v>
      </c>
      <c r="N1296" s="29">
        <v>1455.57</v>
      </c>
      <c r="O1296" s="29">
        <v>18922.41</v>
      </c>
      <c r="P1296" s="43">
        <f>IF(Table22[[#This Row],[Discount Applied]],Table22[[#This Row],[Total Sales (in USD)]]*(1-Table22[[#This Row],[Discount Percentage (%)]]/100),Table22[[#This Row],[Total Sales (in USD)]])</f>
        <v>18922.41</v>
      </c>
      <c r="Q1296" s="66">
        <f>SQRT(AVERAGE((Table22[[#This Row],[Net Sales (after discount) (in USD)]]-AVERAGE(Table22[Net Sales (after discount) (in USD)]))^2))</f>
        <v>17588.950563764538</v>
      </c>
      <c r="R1296" s="18" t="b">
        <v>1</v>
      </c>
      <c r="S1296" s="40">
        <v>13.87</v>
      </c>
      <c r="T1296" s="18" t="b">
        <v>0</v>
      </c>
      <c r="U1296" s="25">
        <v>45345</v>
      </c>
      <c r="V1296" s="63" t="str">
        <f>IF(MONTH(Table22[[#This Row],[Sales Date]])&lt;=3,"Q1",IF(MONTH(Table22[[#This Row],[Sales Date]])&lt;=6,"Q2",IF(MONTH(Table22[[#This Row],[Sales Date]])&lt;=9,"Q3","Q4")))</f>
        <v>Q1</v>
      </c>
      <c r="W1296" s="64">
        <f>YEAR(Table22[[#This Row],[Sales Date]])</f>
        <v>2024</v>
      </c>
      <c r="X1296" s="23">
        <v>54</v>
      </c>
      <c r="Y1296" s="18" t="s">
        <v>49</v>
      </c>
      <c r="Z1296" s="18" t="s">
        <v>24</v>
      </c>
      <c r="AA1296" s="19" t="s">
        <v>25</v>
      </c>
    </row>
    <row r="1297" spans="1:27" x14ac:dyDescent="0.25">
      <c r="A1297" s="17" t="s">
        <v>1686</v>
      </c>
      <c r="B1297" s="18" t="s">
        <v>62</v>
      </c>
      <c r="C1297" s="63" t="str" cm="1">
        <f t="array" ref="C1297">_xlfn.SWITCH(Table22[[#This Row],[Country]],"USA","North America","Canada","North America","Brazil","South America","China","Asia","Japan","Asia","India","Asia","France","Europe","Germany","Europe","UK","Europe","Australia","Oceania","South America")</f>
        <v>Oceania</v>
      </c>
      <c r="D1297" s="18" t="s">
        <v>44</v>
      </c>
      <c r="E1297" s="18" t="s">
        <v>39</v>
      </c>
      <c r="F1297" s="18" t="s">
        <v>20</v>
      </c>
      <c r="G1297" s="18" t="s">
        <v>29</v>
      </c>
      <c r="H1297" s="64">
        <f>LEN(TRIM(Table22[[#This Row],[Country]]))</f>
        <v>9</v>
      </c>
      <c r="I1297" s="64">
        <f>LEN(TRIM(Table22[[#This Row],[Continent]]))</f>
        <v>7</v>
      </c>
      <c r="J1297" s="64">
        <f>LEN(TRIM(Table22[[#This Row],[Product]]))</f>
        <v>10</v>
      </c>
      <c r="K1297" s="64">
        <f>LEN(TRIM(Table22[[#This Row],[Sales Team]]))</f>
        <v>10</v>
      </c>
      <c r="L1297" s="23">
        <v>41</v>
      </c>
      <c r="M1297" s="65" t="str" cm="1">
        <f t="array" ref="M1297">_xlfn.IFS(Table22[[#This Row],[Units Sold]]&lt;40,"Critical",Table22[[#This Row],[Units Sold]]&lt;=50,"Poor",Table22[[#This Row],[Units Sold]]&lt;=60,"Low",Table22[[#This Row],[Units Sold]]&lt;=80,"Average",Table22[[#This Row],[Units Sold]]&lt;=90,"High",Table22[[#This Row],[Units Sold]]&lt;=95,"Excellent",Table22[[#This Row],[Units Sold]]&gt;95,"Outstanding")</f>
        <v>Poor</v>
      </c>
      <c r="N1297" s="29">
        <v>460.37</v>
      </c>
      <c r="O1297" s="29">
        <v>18875.169999999998</v>
      </c>
      <c r="P1297" s="43">
        <f>IF(Table22[[#This Row],[Discount Applied]],Table22[[#This Row],[Total Sales (in USD)]]*(1-Table22[[#This Row],[Discount Percentage (%)]]/100),Table22[[#This Row],[Total Sales (in USD)]])</f>
        <v>14726.407633999999</v>
      </c>
      <c r="Q1297" s="66">
        <f>SQRT(AVERAGE((Table22[[#This Row],[Net Sales (after discount) (in USD)]]-AVERAGE(Table22[Net Sales (after discount) (in USD)]))^2))</f>
        <v>21784.952929764539</v>
      </c>
      <c r="R1297" s="18" t="b">
        <v>0</v>
      </c>
      <c r="S1297" s="40">
        <v>21.98</v>
      </c>
      <c r="T1297" s="18" t="b">
        <v>1</v>
      </c>
      <c r="U1297" s="25">
        <v>45548</v>
      </c>
      <c r="V1297" s="63" t="str">
        <f>IF(MONTH(Table22[[#This Row],[Sales Date]])&lt;=3,"Q1",IF(MONTH(Table22[[#This Row],[Sales Date]])&lt;=6,"Q2",IF(MONTH(Table22[[#This Row],[Sales Date]])&lt;=9,"Q3","Q4")))</f>
        <v>Q3</v>
      </c>
      <c r="W1297" s="64">
        <f>YEAR(Table22[[#This Row],[Sales Date]])</f>
        <v>2024</v>
      </c>
      <c r="X1297" s="23">
        <v>33</v>
      </c>
      <c r="Y1297" s="18" t="s">
        <v>41</v>
      </c>
      <c r="Z1297" s="18" t="s">
        <v>30</v>
      </c>
      <c r="AA1297" s="19" t="s">
        <v>36</v>
      </c>
    </row>
    <row r="1298" spans="1:27" x14ac:dyDescent="0.25">
      <c r="A1298" s="17" t="s">
        <v>328</v>
      </c>
      <c r="B1298" s="18" t="s">
        <v>72</v>
      </c>
      <c r="C1298" s="63" t="str" cm="1">
        <f t="array" ref="C1298">_xlfn.SWITCH(Table22[[#This Row],[Country]],"USA","North America","Canada","North America","Brazil","South America","China","Asia","Japan","Asia","India","Asia","France","Europe","Germany","Europe","UK","Europe","Australia","Oceania","South America")</f>
        <v>North America</v>
      </c>
      <c r="D1298" s="18" t="s">
        <v>44</v>
      </c>
      <c r="E1298" s="18" t="s">
        <v>33</v>
      </c>
      <c r="F1298" s="18" t="s">
        <v>47</v>
      </c>
      <c r="G1298" s="18" t="s">
        <v>48</v>
      </c>
      <c r="H1298" s="64">
        <f>LEN(TRIM(Table22[[#This Row],[Country]]))</f>
        <v>3</v>
      </c>
      <c r="I1298" s="64">
        <f>LEN(TRIM(Table22[[#This Row],[Continent]]))</f>
        <v>13</v>
      </c>
      <c r="J1298" s="64">
        <f>LEN(TRIM(Table22[[#This Row],[Product]]))</f>
        <v>10</v>
      </c>
      <c r="K1298" s="64">
        <f>LEN(TRIM(Table22[[#This Row],[Sales Team]]))</f>
        <v>9</v>
      </c>
      <c r="L1298" s="23">
        <v>77</v>
      </c>
      <c r="M1298" s="65" t="str" cm="1">
        <f t="array" ref="M1298">_xlfn.IFS(Table22[[#This Row],[Units Sold]]&lt;40,"Critical",Table22[[#This Row],[Units Sold]]&lt;=50,"Poor",Table22[[#This Row],[Units Sold]]&lt;=60,"Low",Table22[[#This Row],[Units Sold]]&lt;=80,"Average",Table22[[#This Row],[Units Sold]]&lt;=90,"High",Table22[[#This Row],[Units Sold]]&lt;=95,"Excellent",Table22[[#This Row],[Units Sold]]&gt;95,"Outstanding")</f>
        <v>Average</v>
      </c>
      <c r="N1298" s="29">
        <v>245.01</v>
      </c>
      <c r="O1298" s="29">
        <v>18865.77</v>
      </c>
      <c r="P1298" s="43">
        <f>IF(Table22[[#This Row],[Discount Applied]],Table22[[#This Row],[Total Sales (in USD)]]*(1-Table22[[#This Row],[Discount Percentage (%)]]/100),Table22[[#This Row],[Total Sales (in USD)]])</f>
        <v>13894.639604999998</v>
      </c>
      <c r="Q1298" s="66">
        <f>SQRT(AVERAGE((Table22[[#This Row],[Net Sales (after discount) (in USD)]]-AVERAGE(Table22[Net Sales (after discount) (in USD)]))^2))</f>
        <v>22616.720958764541</v>
      </c>
      <c r="R1298" s="18" t="b">
        <v>0</v>
      </c>
      <c r="S1298" s="40">
        <v>26.35</v>
      </c>
      <c r="T1298" s="18" t="b">
        <v>1</v>
      </c>
      <c r="U1298" s="25">
        <v>45212</v>
      </c>
      <c r="V1298" s="63" t="str">
        <f>IF(MONTH(Table22[[#This Row],[Sales Date]])&lt;=3,"Q1",IF(MONTH(Table22[[#This Row],[Sales Date]])&lt;=6,"Q2",IF(MONTH(Table22[[#This Row],[Sales Date]])&lt;=9,"Q3","Q4")))</f>
        <v>Q4</v>
      </c>
      <c r="W1298" s="64">
        <f>YEAR(Table22[[#This Row],[Sales Date]])</f>
        <v>2023</v>
      </c>
      <c r="X1298" s="23">
        <v>42</v>
      </c>
      <c r="Y1298" s="18" t="s">
        <v>41</v>
      </c>
      <c r="Z1298" s="18" t="s">
        <v>42</v>
      </c>
      <c r="AA1298" s="19" t="s">
        <v>36</v>
      </c>
    </row>
    <row r="1299" spans="1:27" x14ac:dyDescent="0.25">
      <c r="A1299" s="17" t="s">
        <v>1256</v>
      </c>
      <c r="B1299" s="18" t="s">
        <v>38</v>
      </c>
      <c r="C1299" s="63" t="str" cm="1">
        <f t="array" ref="C1299">_xlfn.SWITCH(Table22[[#This Row],[Country]],"USA","North America","Canada","North America","Brazil","South America","China","Asia","Japan","Asia","India","Asia","France","Europe","Germany","Europe","UK","Europe","Australia","Oceania","South America")</f>
        <v>Europe</v>
      </c>
      <c r="D1299" s="18" t="s">
        <v>28</v>
      </c>
      <c r="E1299" s="18" t="s">
        <v>33</v>
      </c>
      <c r="F1299" s="18" t="s">
        <v>52</v>
      </c>
      <c r="G1299" s="18" t="s">
        <v>48</v>
      </c>
      <c r="H1299" s="64">
        <f>LEN(TRIM(Table22[[#This Row],[Country]]))</f>
        <v>6</v>
      </c>
      <c r="I1299" s="64">
        <f>LEN(TRIM(Table22[[#This Row],[Continent]]))</f>
        <v>6</v>
      </c>
      <c r="J1299" s="64">
        <f>LEN(TRIM(Table22[[#This Row],[Product]]))</f>
        <v>10</v>
      </c>
      <c r="K1299" s="64">
        <f>LEN(TRIM(Table22[[#This Row],[Sales Team]]))</f>
        <v>9</v>
      </c>
      <c r="L1299" s="23">
        <v>88</v>
      </c>
      <c r="M1299" s="65" t="str" cm="1">
        <f t="array" ref="M1299">_xlfn.IFS(Table22[[#This Row],[Units Sold]]&lt;40,"Critical",Table22[[#This Row],[Units Sold]]&lt;=50,"Poor",Table22[[#This Row],[Units Sold]]&lt;=60,"Low",Table22[[#This Row],[Units Sold]]&lt;=80,"Average",Table22[[#This Row],[Units Sold]]&lt;=90,"High",Table22[[#This Row],[Units Sold]]&lt;=95,"Excellent",Table22[[#This Row],[Units Sold]]&gt;95,"Outstanding")</f>
        <v>High</v>
      </c>
      <c r="N1299" s="29">
        <v>213.64</v>
      </c>
      <c r="O1299" s="29">
        <v>18800.32</v>
      </c>
      <c r="P1299" s="43">
        <f>IF(Table22[[#This Row],[Discount Applied]],Table22[[#This Row],[Total Sales (in USD)]]*(1-Table22[[#This Row],[Discount Percentage (%)]]/100),Table22[[#This Row],[Total Sales (in USD)]])</f>
        <v>18800.32</v>
      </c>
      <c r="Q1299" s="66">
        <f>SQRT(AVERAGE((Table22[[#This Row],[Net Sales (after discount) (in USD)]]-AVERAGE(Table22[Net Sales (after discount) (in USD)]))^2))</f>
        <v>17711.040563764538</v>
      </c>
      <c r="R1299" s="18" t="b">
        <v>0</v>
      </c>
      <c r="S1299" s="40">
        <v>12.34</v>
      </c>
      <c r="T1299" s="18" t="b">
        <v>0</v>
      </c>
      <c r="U1299" s="25">
        <v>45497</v>
      </c>
      <c r="V1299" s="63" t="str">
        <f>IF(MONTH(Table22[[#This Row],[Sales Date]])&lt;=3,"Q1",IF(MONTH(Table22[[#This Row],[Sales Date]])&lt;=6,"Q2",IF(MONTH(Table22[[#This Row],[Sales Date]])&lt;=9,"Q3","Q4")))</f>
        <v>Q3</v>
      </c>
      <c r="W1299" s="64">
        <f>YEAR(Table22[[#This Row],[Sales Date]])</f>
        <v>2024</v>
      </c>
      <c r="X1299" s="23">
        <v>53</v>
      </c>
      <c r="Y1299" s="18" t="s">
        <v>49</v>
      </c>
      <c r="Z1299" s="18" t="s">
        <v>30</v>
      </c>
      <c r="AA1299" s="19" t="s">
        <v>36</v>
      </c>
    </row>
    <row r="1300" spans="1:27" x14ac:dyDescent="0.25">
      <c r="A1300" s="17" t="s">
        <v>758</v>
      </c>
      <c r="B1300" s="18" t="s">
        <v>66</v>
      </c>
      <c r="C1300" s="63" t="str" cm="1">
        <f t="array" ref="C1300">_xlfn.SWITCH(Table22[[#This Row],[Country]],"USA","North America","Canada","North America","Brazil","South America","China","Asia","Japan","Asia","India","Asia","France","Europe","Germany","Europe","UK","Europe","Australia","Oceania","South America")</f>
        <v>North America</v>
      </c>
      <c r="D1300" s="18" t="s">
        <v>35</v>
      </c>
      <c r="E1300" s="18" t="s">
        <v>19</v>
      </c>
      <c r="F1300" s="18" t="s">
        <v>20</v>
      </c>
      <c r="G1300" s="18" t="s">
        <v>22</v>
      </c>
      <c r="H1300" s="64">
        <f>LEN(TRIM(Table22[[#This Row],[Country]]))</f>
        <v>6</v>
      </c>
      <c r="I1300" s="64">
        <f>LEN(TRIM(Table22[[#This Row],[Continent]]))</f>
        <v>13</v>
      </c>
      <c r="J1300" s="64">
        <f>LEN(TRIM(Table22[[#This Row],[Product]]))</f>
        <v>6</v>
      </c>
      <c r="K1300" s="64">
        <f>LEN(TRIM(Table22[[#This Row],[Sales Team]]))</f>
        <v>10</v>
      </c>
      <c r="L1300" s="23">
        <v>91</v>
      </c>
      <c r="M1300" s="65" t="str" cm="1">
        <f t="array" ref="M1300">_xlfn.IFS(Table22[[#This Row],[Units Sold]]&lt;40,"Critical",Table22[[#This Row],[Units Sold]]&lt;=50,"Poor",Table22[[#This Row],[Units Sold]]&lt;=60,"Low",Table22[[#This Row],[Units Sold]]&lt;=80,"Average",Table22[[#This Row],[Units Sold]]&lt;=90,"High",Table22[[#This Row],[Units Sold]]&lt;=95,"Excellent",Table22[[#This Row],[Units Sold]]&gt;95,"Outstanding")</f>
        <v>Excellent</v>
      </c>
      <c r="N1300" s="29">
        <v>206.3</v>
      </c>
      <c r="O1300" s="29">
        <v>18773.3</v>
      </c>
      <c r="P1300" s="43">
        <f>IF(Table22[[#This Row],[Discount Applied]],Table22[[#This Row],[Total Sales (in USD)]]*(1-Table22[[#This Row],[Discount Percentage (%)]]/100),Table22[[#This Row],[Total Sales (in USD)]])</f>
        <v>17620.61938</v>
      </c>
      <c r="Q1300" s="66">
        <f>SQRT(AVERAGE((Table22[[#This Row],[Net Sales (after discount) (in USD)]]-AVERAGE(Table22[Net Sales (after discount) (in USD)]))^2))</f>
        <v>18890.741183764538</v>
      </c>
      <c r="R1300" s="18" t="b">
        <v>0</v>
      </c>
      <c r="S1300" s="40">
        <v>6.14</v>
      </c>
      <c r="T1300" s="18" t="b">
        <v>1</v>
      </c>
      <c r="U1300" s="25">
        <v>45320</v>
      </c>
      <c r="V1300" s="63" t="str">
        <f>IF(MONTH(Table22[[#This Row],[Sales Date]])&lt;=3,"Q1",IF(MONTH(Table22[[#This Row],[Sales Date]])&lt;=6,"Q2",IF(MONTH(Table22[[#This Row],[Sales Date]])&lt;=9,"Q3","Q4")))</f>
        <v>Q1</v>
      </c>
      <c r="W1300" s="64">
        <f>YEAR(Table22[[#This Row],[Sales Date]])</f>
        <v>2024</v>
      </c>
      <c r="X1300" s="23">
        <v>69</v>
      </c>
      <c r="Y1300" s="18" t="s">
        <v>41</v>
      </c>
      <c r="Z1300" s="18" t="s">
        <v>56</v>
      </c>
      <c r="AA1300" s="19" t="s">
        <v>36</v>
      </c>
    </row>
    <row r="1301" spans="1:27" x14ac:dyDescent="0.25">
      <c r="A1301" s="17" t="s">
        <v>909</v>
      </c>
      <c r="B1301" s="18" t="s">
        <v>62</v>
      </c>
      <c r="C1301" s="63" t="str" cm="1">
        <f t="array" ref="C1301">_xlfn.SWITCH(Table22[[#This Row],[Country]],"USA","North America","Canada","North America","Brazil","South America","China","Asia","Japan","Asia","India","Asia","France","Europe","Germany","Europe","UK","Europe","Australia","Oceania","South America")</f>
        <v>Oceania</v>
      </c>
      <c r="D1301" s="18" t="s">
        <v>28</v>
      </c>
      <c r="E1301" s="18" t="s">
        <v>39</v>
      </c>
      <c r="F1301" s="18" t="s">
        <v>20</v>
      </c>
      <c r="G1301" s="18" t="s">
        <v>29</v>
      </c>
      <c r="H1301" s="64">
        <f>LEN(TRIM(Table22[[#This Row],[Country]]))</f>
        <v>9</v>
      </c>
      <c r="I1301" s="64">
        <f>LEN(TRIM(Table22[[#This Row],[Continent]]))</f>
        <v>7</v>
      </c>
      <c r="J1301" s="64">
        <f>LEN(TRIM(Table22[[#This Row],[Product]]))</f>
        <v>10</v>
      </c>
      <c r="K1301" s="64">
        <f>LEN(TRIM(Table22[[#This Row],[Sales Team]]))</f>
        <v>10</v>
      </c>
      <c r="L1301" s="23">
        <v>63</v>
      </c>
      <c r="M1301" s="65" t="str" cm="1">
        <f t="array" ref="M1301">_xlfn.IFS(Table22[[#This Row],[Units Sold]]&lt;40,"Critical",Table22[[#This Row],[Units Sold]]&lt;=50,"Poor",Table22[[#This Row],[Units Sold]]&lt;=60,"Low",Table22[[#This Row],[Units Sold]]&lt;=80,"Average",Table22[[#This Row],[Units Sold]]&lt;=90,"High",Table22[[#This Row],[Units Sold]]&lt;=95,"Excellent",Table22[[#This Row],[Units Sold]]&gt;95,"Outstanding")</f>
        <v>Average</v>
      </c>
      <c r="N1301" s="29">
        <v>297.02999999999997</v>
      </c>
      <c r="O1301" s="29">
        <v>18712.89</v>
      </c>
      <c r="P1301" s="43">
        <f>IF(Table22[[#This Row],[Discount Applied]],Table22[[#This Row],[Total Sales (in USD)]]*(1-Table22[[#This Row],[Discount Percentage (%)]]/100),Table22[[#This Row],[Total Sales (in USD)]])</f>
        <v>14833.707902999999</v>
      </c>
      <c r="Q1301" s="66">
        <f>SQRT(AVERAGE((Table22[[#This Row],[Net Sales (after discount) (in USD)]]-AVERAGE(Table22[Net Sales (after discount) (in USD)]))^2))</f>
        <v>21677.652660764539</v>
      </c>
      <c r="R1301" s="18" t="b">
        <v>1</v>
      </c>
      <c r="S1301" s="40">
        <v>20.73</v>
      </c>
      <c r="T1301" s="18" t="b">
        <v>1</v>
      </c>
      <c r="U1301" s="25">
        <v>44939</v>
      </c>
      <c r="V1301" s="63" t="str">
        <f>IF(MONTH(Table22[[#This Row],[Sales Date]])&lt;=3,"Q1",IF(MONTH(Table22[[#This Row],[Sales Date]])&lt;=6,"Q2",IF(MONTH(Table22[[#This Row],[Sales Date]])&lt;=9,"Q3","Q4")))</f>
        <v>Q1</v>
      </c>
      <c r="W1301" s="64">
        <f>YEAR(Table22[[#This Row],[Sales Date]])</f>
        <v>2023</v>
      </c>
      <c r="X1301" s="23">
        <v>24</v>
      </c>
      <c r="Y1301" s="18" t="s">
        <v>23</v>
      </c>
      <c r="Z1301" s="18" t="s">
        <v>56</v>
      </c>
      <c r="AA1301" s="19" t="s">
        <v>25</v>
      </c>
    </row>
    <row r="1302" spans="1:27" x14ac:dyDescent="0.25">
      <c r="A1302" s="17" t="s">
        <v>788</v>
      </c>
      <c r="B1302" s="18" t="s">
        <v>62</v>
      </c>
      <c r="C1302" s="63" t="str" cm="1">
        <f t="array" ref="C1302">_xlfn.SWITCH(Table22[[#This Row],[Country]],"USA","North America","Canada","North America","Brazil","South America","China","Asia","Japan","Asia","India","Asia","France","Europe","Germany","Europe","UK","Europe","Australia","Oceania","South America")</f>
        <v>Oceania</v>
      </c>
      <c r="D1302" s="18" t="s">
        <v>35</v>
      </c>
      <c r="E1302" s="18" t="s">
        <v>39</v>
      </c>
      <c r="F1302" s="18" t="s">
        <v>52</v>
      </c>
      <c r="G1302" s="18" t="s">
        <v>48</v>
      </c>
      <c r="H1302" s="64">
        <f>LEN(TRIM(Table22[[#This Row],[Country]]))</f>
        <v>9</v>
      </c>
      <c r="I1302" s="64">
        <f>LEN(TRIM(Table22[[#This Row],[Continent]]))</f>
        <v>7</v>
      </c>
      <c r="J1302" s="64">
        <f>LEN(TRIM(Table22[[#This Row],[Product]]))</f>
        <v>10</v>
      </c>
      <c r="K1302" s="64">
        <f>LEN(TRIM(Table22[[#This Row],[Sales Team]]))</f>
        <v>9</v>
      </c>
      <c r="L1302" s="23">
        <v>64</v>
      </c>
      <c r="M1302" s="65" t="str" cm="1">
        <f t="array" ref="M1302">_xlfn.IFS(Table22[[#This Row],[Units Sold]]&lt;40,"Critical",Table22[[#This Row],[Units Sold]]&lt;=50,"Poor",Table22[[#This Row],[Units Sold]]&lt;=60,"Low",Table22[[#This Row],[Units Sold]]&lt;=80,"Average",Table22[[#This Row],[Units Sold]]&lt;=90,"High",Table22[[#This Row],[Units Sold]]&lt;=95,"Excellent",Table22[[#This Row],[Units Sold]]&gt;95,"Outstanding")</f>
        <v>Average</v>
      </c>
      <c r="N1302" s="29">
        <v>292.23</v>
      </c>
      <c r="O1302" s="29">
        <v>18702.72</v>
      </c>
      <c r="P1302" s="43">
        <f>IF(Table22[[#This Row],[Discount Applied]],Table22[[#This Row],[Total Sales (in USD)]]*(1-Table22[[#This Row],[Discount Percentage (%)]]/100),Table22[[#This Row],[Total Sales (in USD)]])</f>
        <v>15051.949055999999</v>
      </c>
      <c r="Q1302" s="66">
        <f>SQRT(AVERAGE((Table22[[#This Row],[Net Sales (after discount) (in USD)]]-AVERAGE(Table22[Net Sales (after discount) (in USD)]))^2))</f>
        <v>21459.41150776454</v>
      </c>
      <c r="R1302" s="18" t="b">
        <v>1</v>
      </c>
      <c r="S1302" s="40">
        <v>19.52</v>
      </c>
      <c r="T1302" s="18" t="b">
        <v>1</v>
      </c>
      <c r="U1302" s="25">
        <v>44931</v>
      </c>
      <c r="V1302" s="63" t="str">
        <f>IF(MONTH(Table22[[#This Row],[Sales Date]])&lt;=3,"Q1",IF(MONTH(Table22[[#This Row],[Sales Date]])&lt;=6,"Q2",IF(MONTH(Table22[[#This Row],[Sales Date]])&lt;=9,"Q3","Q4")))</f>
        <v>Q1</v>
      </c>
      <c r="W1302" s="64">
        <f>YEAR(Table22[[#This Row],[Sales Date]])</f>
        <v>2023</v>
      </c>
      <c r="X1302" s="23">
        <v>24</v>
      </c>
      <c r="Y1302" s="18" t="s">
        <v>49</v>
      </c>
      <c r="Z1302" s="18" t="s">
        <v>42</v>
      </c>
      <c r="AA1302" s="19" t="s">
        <v>25</v>
      </c>
    </row>
    <row r="1303" spans="1:27" x14ac:dyDescent="0.25">
      <c r="A1303" s="17" t="s">
        <v>990</v>
      </c>
      <c r="B1303" s="18" t="s">
        <v>72</v>
      </c>
      <c r="C1303" s="63" t="str" cm="1">
        <f t="array" ref="C1303">_xlfn.SWITCH(Table22[[#This Row],[Country]],"USA","North America","Canada","North America","Brazil","South America","China","Asia","Japan","Asia","India","Asia","France","Europe","Germany","Europe","UK","Europe","Australia","Oceania","South America")</f>
        <v>North America</v>
      </c>
      <c r="D1303" s="18" t="s">
        <v>21</v>
      </c>
      <c r="E1303" s="18" t="s">
        <v>39</v>
      </c>
      <c r="F1303" s="18" t="s">
        <v>34</v>
      </c>
      <c r="G1303" s="18" t="s">
        <v>48</v>
      </c>
      <c r="H1303" s="64">
        <f>LEN(TRIM(Table22[[#This Row],[Country]]))</f>
        <v>3</v>
      </c>
      <c r="I1303" s="64">
        <f>LEN(TRIM(Table22[[#This Row],[Continent]]))</f>
        <v>13</v>
      </c>
      <c r="J1303" s="64">
        <f>LEN(TRIM(Table22[[#This Row],[Product]]))</f>
        <v>10</v>
      </c>
      <c r="K1303" s="64">
        <f>LEN(TRIM(Table22[[#This Row],[Sales Team]]))</f>
        <v>9</v>
      </c>
      <c r="L1303" s="23">
        <v>52</v>
      </c>
      <c r="M1303" s="65" t="str" cm="1">
        <f t="array" ref="M1303">_xlfn.IFS(Table22[[#This Row],[Units Sold]]&lt;40,"Critical",Table22[[#This Row],[Units Sold]]&lt;=50,"Poor",Table22[[#This Row],[Units Sold]]&lt;=60,"Low",Table22[[#This Row],[Units Sold]]&lt;=80,"Average",Table22[[#This Row],[Units Sold]]&lt;=90,"High",Table22[[#This Row],[Units Sold]]&lt;=95,"Excellent",Table22[[#This Row],[Units Sold]]&gt;95,"Outstanding")</f>
        <v>Low</v>
      </c>
      <c r="N1303" s="29">
        <v>359.38</v>
      </c>
      <c r="O1303" s="29">
        <v>18687.759999999998</v>
      </c>
      <c r="P1303" s="43">
        <f>IF(Table22[[#This Row],[Discount Applied]],Table22[[#This Row],[Total Sales (in USD)]]*(1-Table22[[#This Row],[Discount Percentage (%)]]/100),Table22[[#This Row],[Total Sales (in USD)]])</f>
        <v>16867.572175999998</v>
      </c>
      <c r="Q1303" s="66">
        <f>SQRT(AVERAGE((Table22[[#This Row],[Net Sales (after discount) (in USD)]]-AVERAGE(Table22[Net Sales (after discount) (in USD)]))^2))</f>
        <v>19643.78838776454</v>
      </c>
      <c r="R1303" s="18" t="b">
        <v>0</v>
      </c>
      <c r="S1303" s="40">
        <v>9.74</v>
      </c>
      <c r="T1303" s="18" t="b">
        <v>1</v>
      </c>
      <c r="U1303" s="25">
        <v>44949</v>
      </c>
      <c r="V1303" s="63" t="str">
        <f>IF(MONTH(Table22[[#This Row],[Sales Date]])&lt;=3,"Q1",IF(MONTH(Table22[[#This Row],[Sales Date]])&lt;=6,"Q2",IF(MONTH(Table22[[#This Row],[Sales Date]])&lt;=9,"Q3","Q4")))</f>
        <v>Q1</v>
      </c>
      <c r="W1303" s="64">
        <f>YEAR(Table22[[#This Row],[Sales Date]])</f>
        <v>2023</v>
      </c>
      <c r="X1303" s="23">
        <v>39</v>
      </c>
      <c r="Y1303" s="18" t="s">
        <v>41</v>
      </c>
      <c r="Z1303" s="18" t="s">
        <v>42</v>
      </c>
      <c r="AA1303" s="19" t="s">
        <v>36</v>
      </c>
    </row>
    <row r="1304" spans="1:27" x14ac:dyDescent="0.25">
      <c r="A1304" s="17" t="s">
        <v>517</v>
      </c>
      <c r="B1304" s="18" t="s">
        <v>46</v>
      </c>
      <c r="C1304" s="63" t="str" cm="1">
        <f t="array" ref="C1304">_xlfn.SWITCH(Table22[[#This Row],[Country]],"USA","North America","Canada","North America","Brazil","South America","China","Asia","Japan","Asia","India","Asia","France","Europe","Germany","Europe","UK","Europe","Australia","Oceania","South America")</f>
        <v>South America</v>
      </c>
      <c r="D1304" s="18" t="s">
        <v>28</v>
      </c>
      <c r="E1304" s="18" t="s">
        <v>33</v>
      </c>
      <c r="F1304" s="18" t="s">
        <v>64</v>
      </c>
      <c r="G1304" s="18" t="s">
        <v>29</v>
      </c>
      <c r="H1304" s="64">
        <f>LEN(TRIM(Table22[[#This Row],[Country]]))</f>
        <v>6</v>
      </c>
      <c r="I1304" s="64">
        <f>LEN(TRIM(Table22[[#This Row],[Continent]]))</f>
        <v>13</v>
      </c>
      <c r="J1304" s="64">
        <f>LEN(TRIM(Table22[[#This Row],[Product]]))</f>
        <v>10</v>
      </c>
      <c r="K1304" s="64">
        <f>LEN(TRIM(Table22[[#This Row],[Sales Team]]))</f>
        <v>10</v>
      </c>
      <c r="L1304" s="23">
        <v>17</v>
      </c>
      <c r="M1304" s="65" t="str" cm="1">
        <f t="array" ref="M1304">_xlfn.IFS(Table22[[#This Row],[Units Sold]]&lt;40,"Critical",Table22[[#This Row],[Units Sold]]&lt;=50,"Poor",Table22[[#This Row],[Units Sold]]&lt;=60,"Low",Table22[[#This Row],[Units Sold]]&lt;=80,"Average",Table22[[#This Row],[Units Sold]]&lt;=90,"High",Table22[[#This Row],[Units Sold]]&lt;=95,"Excellent",Table22[[#This Row],[Units Sold]]&gt;95,"Outstanding")</f>
        <v>Critical</v>
      </c>
      <c r="N1304" s="29">
        <v>1098.25</v>
      </c>
      <c r="O1304" s="29">
        <v>18670.25</v>
      </c>
      <c r="P1304" s="43">
        <f>IF(Table22[[#This Row],[Discount Applied]],Table22[[#This Row],[Total Sales (in USD)]]*(1-Table22[[#This Row],[Discount Percentage (%)]]/100),Table22[[#This Row],[Total Sales (in USD)]])</f>
        <v>15875.313575000002</v>
      </c>
      <c r="Q1304" s="66">
        <f>SQRT(AVERAGE((Table22[[#This Row],[Net Sales (after discount) (in USD)]]-AVERAGE(Table22[Net Sales (after discount) (in USD)]))^2))</f>
        <v>20636.046988764538</v>
      </c>
      <c r="R1304" s="18" t="b">
        <v>0</v>
      </c>
      <c r="S1304" s="40">
        <v>14.97</v>
      </c>
      <c r="T1304" s="18" t="b">
        <v>1</v>
      </c>
      <c r="U1304" s="25">
        <v>45021</v>
      </c>
      <c r="V1304" s="63" t="str">
        <f>IF(MONTH(Table22[[#This Row],[Sales Date]])&lt;=3,"Q1",IF(MONTH(Table22[[#This Row],[Sales Date]])&lt;=6,"Q2",IF(MONTH(Table22[[#This Row],[Sales Date]])&lt;=9,"Q3","Q4")))</f>
        <v>Q2</v>
      </c>
      <c r="W1304" s="64">
        <f>YEAR(Table22[[#This Row],[Sales Date]])</f>
        <v>2023</v>
      </c>
      <c r="X1304" s="23">
        <v>55</v>
      </c>
      <c r="Y1304" s="18" t="s">
        <v>41</v>
      </c>
      <c r="Z1304" s="18" t="s">
        <v>30</v>
      </c>
      <c r="AA1304" s="19" t="s">
        <v>25</v>
      </c>
    </row>
    <row r="1305" spans="1:27" x14ac:dyDescent="0.25">
      <c r="A1305" s="17" t="s">
        <v>392</v>
      </c>
      <c r="B1305" s="18" t="s">
        <v>18</v>
      </c>
      <c r="C1305" s="63" t="str" cm="1">
        <f t="array" ref="C1305">_xlfn.SWITCH(Table22[[#This Row],[Country]],"USA","North America","Canada","North America","Brazil","South America","China","Asia","Japan","Asia","India","Asia","France","Europe","Germany","Europe","UK","Europe","Australia","Oceania","South America")</f>
        <v>Asia</v>
      </c>
      <c r="D1305" s="18" t="s">
        <v>44</v>
      </c>
      <c r="E1305" s="18" t="s">
        <v>19</v>
      </c>
      <c r="F1305" s="18" t="s">
        <v>20</v>
      </c>
      <c r="G1305" s="18" t="s">
        <v>48</v>
      </c>
      <c r="H1305" s="64">
        <f>LEN(TRIM(Table22[[#This Row],[Country]]))</f>
        <v>5</v>
      </c>
      <c r="I1305" s="64">
        <f>LEN(TRIM(Table22[[#This Row],[Continent]]))</f>
        <v>4</v>
      </c>
      <c r="J1305" s="64">
        <f>LEN(TRIM(Table22[[#This Row],[Product]]))</f>
        <v>6</v>
      </c>
      <c r="K1305" s="64">
        <f>LEN(TRIM(Table22[[#This Row],[Sales Team]]))</f>
        <v>9</v>
      </c>
      <c r="L1305" s="23">
        <v>80</v>
      </c>
      <c r="M1305" s="65" t="str" cm="1">
        <f t="array" ref="M1305">_xlfn.IFS(Table22[[#This Row],[Units Sold]]&lt;40,"Critical",Table22[[#This Row],[Units Sold]]&lt;=50,"Poor",Table22[[#This Row],[Units Sold]]&lt;=60,"Low",Table22[[#This Row],[Units Sold]]&lt;=80,"Average",Table22[[#This Row],[Units Sold]]&lt;=90,"High",Table22[[#This Row],[Units Sold]]&lt;=95,"Excellent",Table22[[#This Row],[Units Sold]]&gt;95,"Outstanding")</f>
        <v>Average</v>
      </c>
      <c r="N1305" s="29">
        <v>232.98</v>
      </c>
      <c r="O1305" s="29">
        <v>18638.400000000001</v>
      </c>
      <c r="P1305" s="43">
        <f>IF(Table22[[#This Row],[Discount Applied]],Table22[[#This Row],[Total Sales (in USD)]]*(1-Table22[[#This Row],[Discount Percentage (%)]]/100),Table22[[#This Row],[Total Sales (in USD)]])</f>
        <v>18638.400000000001</v>
      </c>
      <c r="Q1305" s="66">
        <f>SQRT(AVERAGE((Table22[[#This Row],[Net Sales (after discount) (in USD)]]-AVERAGE(Table22[Net Sales (after discount) (in USD)]))^2))</f>
        <v>17872.960563764536</v>
      </c>
      <c r="R1305" s="18" t="b">
        <v>0</v>
      </c>
      <c r="S1305" s="40">
        <v>4.63</v>
      </c>
      <c r="T1305" s="18" t="b">
        <v>0</v>
      </c>
      <c r="U1305" s="25">
        <v>45202</v>
      </c>
      <c r="V1305" s="63" t="str">
        <f>IF(MONTH(Table22[[#This Row],[Sales Date]])&lt;=3,"Q1",IF(MONTH(Table22[[#This Row],[Sales Date]])&lt;=6,"Q2",IF(MONTH(Table22[[#This Row],[Sales Date]])&lt;=9,"Q3","Q4")))</f>
        <v>Q4</v>
      </c>
      <c r="W1305" s="64">
        <f>YEAR(Table22[[#This Row],[Sales Date]])</f>
        <v>2023</v>
      </c>
      <c r="X1305" s="23">
        <v>31</v>
      </c>
      <c r="Y1305" s="18" t="s">
        <v>23</v>
      </c>
      <c r="Z1305" s="18" t="s">
        <v>56</v>
      </c>
      <c r="AA1305" s="19" t="s">
        <v>36</v>
      </c>
    </row>
    <row r="1306" spans="1:27" x14ac:dyDescent="0.25">
      <c r="A1306" s="17" t="s">
        <v>1670</v>
      </c>
      <c r="B1306" s="18" t="s">
        <v>27</v>
      </c>
      <c r="C1306" s="63" t="str" cm="1">
        <f t="array" ref="C1306">_xlfn.SWITCH(Table22[[#This Row],[Country]],"USA","North America","Canada","North America","Brazil","South America","China","Asia","Japan","Asia","India","Asia","France","Europe","Germany","Europe","UK","Europe","Australia","Oceania","South America")</f>
        <v>Europe</v>
      </c>
      <c r="D1306" s="18" t="s">
        <v>21</v>
      </c>
      <c r="E1306" s="18" t="s">
        <v>33</v>
      </c>
      <c r="F1306" s="18" t="s">
        <v>34</v>
      </c>
      <c r="G1306" s="18" t="s">
        <v>22</v>
      </c>
      <c r="H1306" s="64">
        <f>LEN(TRIM(Table22[[#This Row],[Country]]))</f>
        <v>7</v>
      </c>
      <c r="I1306" s="64">
        <f>LEN(TRIM(Table22[[#This Row],[Continent]]))</f>
        <v>6</v>
      </c>
      <c r="J1306" s="64">
        <f>LEN(TRIM(Table22[[#This Row],[Product]]))</f>
        <v>10</v>
      </c>
      <c r="K1306" s="64">
        <f>LEN(TRIM(Table22[[#This Row],[Sales Team]]))</f>
        <v>10</v>
      </c>
      <c r="L1306" s="23">
        <v>21</v>
      </c>
      <c r="M1306" s="65" t="str" cm="1">
        <f t="array" ref="M1306">_xlfn.IFS(Table22[[#This Row],[Units Sold]]&lt;40,"Critical",Table22[[#This Row],[Units Sold]]&lt;=50,"Poor",Table22[[#This Row],[Units Sold]]&lt;=60,"Low",Table22[[#This Row],[Units Sold]]&lt;=80,"Average",Table22[[#This Row],[Units Sold]]&lt;=90,"High",Table22[[#This Row],[Units Sold]]&lt;=95,"Excellent",Table22[[#This Row],[Units Sold]]&gt;95,"Outstanding")</f>
        <v>Critical</v>
      </c>
      <c r="N1306" s="29">
        <v>885.32</v>
      </c>
      <c r="O1306" s="29">
        <v>18591.72</v>
      </c>
      <c r="P1306" s="43">
        <f>IF(Table22[[#This Row],[Discount Applied]],Table22[[#This Row],[Total Sales (in USD)]]*(1-Table22[[#This Row],[Discount Percentage (%)]]/100),Table22[[#This Row],[Total Sales (in USD)]])</f>
        <v>14544.302556000001</v>
      </c>
      <c r="Q1306" s="66">
        <f>SQRT(AVERAGE((Table22[[#This Row],[Net Sales (after discount) (in USD)]]-AVERAGE(Table22[Net Sales (after discount) (in USD)]))^2))</f>
        <v>21967.058007764535</v>
      </c>
      <c r="R1306" s="18" t="b">
        <v>1</v>
      </c>
      <c r="S1306" s="40">
        <v>21.77</v>
      </c>
      <c r="T1306" s="18" t="b">
        <v>1</v>
      </c>
      <c r="U1306" s="25">
        <v>45133</v>
      </c>
      <c r="V1306" s="63" t="str">
        <f>IF(MONTH(Table22[[#This Row],[Sales Date]])&lt;=3,"Q1",IF(MONTH(Table22[[#This Row],[Sales Date]])&lt;=6,"Q2",IF(MONTH(Table22[[#This Row],[Sales Date]])&lt;=9,"Q3","Q4")))</f>
        <v>Q3</v>
      </c>
      <c r="W1306" s="64">
        <f>YEAR(Table22[[#This Row],[Sales Date]])</f>
        <v>2023</v>
      </c>
      <c r="X1306" s="23">
        <v>32</v>
      </c>
      <c r="Y1306" s="18" t="s">
        <v>49</v>
      </c>
      <c r="Z1306" s="18" t="s">
        <v>24</v>
      </c>
      <c r="AA1306" s="19" t="s">
        <v>25</v>
      </c>
    </row>
    <row r="1307" spans="1:27" x14ac:dyDescent="0.25">
      <c r="A1307" s="17" t="s">
        <v>472</v>
      </c>
      <c r="B1307" s="18" t="s">
        <v>27</v>
      </c>
      <c r="C1307" s="63" t="str" cm="1">
        <f t="array" ref="C1307">_xlfn.SWITCH(Table22[[#This Row],[Country]],"USA","North America","Canada","North America","Brazil","South America","China","Asia","Japan","Asia","India","Asia","France","Europe","Germany","Europe","UK","Europe","Australia","Oceania","South America")</f>
        <v>Europe</v>
      </c>
      <c r="D1307" s="18" t="s">
        <v>28</v>
      </c>
      <c r="E1307" s="18" t="s">
        <v>33</v>
      </c>
      <c r="F1307" s="18" t="s">
        <v>47</v>
      </c>
      <c r="G1307" s="18" t="s">
        <v>22</v>
      </c>
      <c r="H1307" s="64">
        <f>LEN(TRIM(Table22[[#This Row],[Country]]))</f>
        <v>7</v>
      </c>
      <c r="I1307" s="64">
        <f>LEN(TRIM(Table22[[#This Row],[Continent]]))</f>
        <v>6</v>
      </c>
      <c r="J1307" s="64">
        <f>LEN(TRIM(Table22[[#This Row],[Product]]))</f>
        <v>10</v>
      </c>
      <c r="K1307" s="64">
        <f>LEN(TRIM(Table22[[#This Row],[Sales Team]]))</f>
        <v>10</v>
      </c>
      <c r="L1307" s="23">
        <v>94</v>
      </c>
      <c r="M1307" s="65" t="str" cm="1">
        <f t="array" ref="M1307">_xlfn.IFS(Table22[[#This Row],[Units Sold]]&lt;40,"Critical",Table22[[#This Row],[Units Sold]]&lt;=50,"Poor",Table22[[#This Row],[Units Sold]]&lt;=60,"Low",Table22[[#This Row],[Units Sold]]&lt;=80,"Average",Table22[[#This Row],[Units Sold]]&lt;=90,"High",Table22[[#This Row],[Units Sold]]&lt;=95,"Excellent",Table22[[#This Row],[Units Sold]]&gt;95,"Outstanding")</f>
        <v>Excellent</v>
      </c>
      <c r="N1307" s="29">
        <v>197.54</v>
      </c>
      <c r="O1307" s="29">
        <v>18568.759999999998</v>
      </c>
      <c r="P1307" s="43">
        <f>IF(Table22[[#This Row],[Discount Applied]],Table22[[#This Row],[Total Sales (in USD)]]*(1-Table22[[#This Row],[Discount Percentage (%)]]/100),Table22[[#This Row],[Total Sales (in USD)]])</f>
        <v>17376.645607999999</v>
      </c>
      <c r="Q1307" s="66">
        <f>SQRT(AVERAGE((Table22[[#This Row],[Net Sales (after discount) (in USD)]]-AVERAGE(Table22[Net Sales (after discount) (in USD)]))^2))</f>
        <v>19134.714955764539</v>
      </c>
      <c r="R1307" s="18" t="b">
        <v>0</v>
      </c>
      <c r="S1307" s="40">
        <v>6.42</v>
      </c>
      <c r="T1307" s="18" t="b">
        <v>1</v>
      </c>
      <c r="U1307" s="25">
        <v>45456</v>
      </c>
      <c r="V1307" s="63" t="str">
        <f>IF(MONTH(Table22[[#This Row],[Sales Date]])&lt;=3,"Q1",IF(MONTH(Table22[[#This Row],[Sales Date]])&lt;=6,"Q2",IF(MONTH(Table22[[#This Row],[Sales Date]])&lt;=9,"Q3","Q4")))</f>
        <v>Q2</v>
      </c>
      <c r="W1307" s="64">
        <f>YEAR(Table22[[#This Row],[Sales Date]])</f>
        <v>2024</v>
      </c>
      <c r="X1307" s="23">
        <v>18</v>
      </c>
      <c r="Y1307" s="18" t="s">
        <v>49</v>
      </c>
      <c r="Z1307" s="18" t="s">
        <v>30</v>
      </c>
      <c r="AA1307" s="19" t="s">
        <v>36</v>
      </c>
    </row>
    <row r="1308" spans="1:27" x14ac:dyDescent="0.25">
      <c r="A1308" s="17" t="s">
        <v>928</v>
      </c>
      <c r="B1308" s="18" t="s">
        <v>62</v>
      </c>
      <c r="C1308" s="63" t="str" cm="1">
        <f t="array" ref="C1308">_xlfn.SWITCH(Table22[[#This Row],[Country]],"USA","North America","Canada","North America","Brazil","South America","China","Asia","Japan","Asia","India","Asia","France","Europe","Germany","Europe","UK","Europe","Australia","Oceania","South America")</f>
        <v>Oceania</v>
      </c>
      <c r="D1308" s="18" t="s">
        <v>28</v>
      </c>
      <c r="E1308" s="18" t="s">
        <v>33</v>
      </c>
      <c r="F1308" s="18" t="s">
        <v>34</v>
      </c>
      <c r="G1308" s="18" t="s">
        <v>40</v>
      </c>
      <c r="H1308" s="64">
        <f>LEN(TRIM(Table22[[#This Row],[Country]]))</f>
        <v>9</v>
      </c>
      <c r="I1308" s="64">
        <f>LEN(TRIM(Table22[[#This Row],[Continent]]))</f>
        <v>7</v>
      </c>
      <c r="J1308" s="64">
        <f>LEN(TRIM(Table22[[#This Row],[Product]]))</f>
        <v>10</v>
      </c>
      <c r="K1308" s="64">
        <f>LEN(TRIM(Table22[[#This Row],[Sales Team]]))</f>
        <v>10</v>
      </c>
      <c r="L1308" s="23">
        <v>39</v>
      </c>
      <c r="M1308" s="65" t="str" cm="1">
        <f t="array" ref="M1308">_xlfn.IFS(Table22[[#This Row],[Units Sold]]&lt;40,"Critical",Table22[[#This Row],[Units Sold]]&lt;=50,"Poor",Table22[[#This Row],[Units Sold]]&lt;=60,"Low",Table22[[#This Row],[Units Sold]]&lt;=80,"Average",Table22[[#This Row],[Units Sold]]&lt;=90,"High",Table22[[#This Row],[Units Sold]]&lt;=95,"Excellent",Table22[[#This Row],[Units Sold]]&gt;95,"Outstanding")</f>
        <v>Critical</v>
      </c>
      <c r="N1308" s="29">
        <v>475.08</v>
      </c>
      <c r="O1308" s="29">
        <v>18528.12</v>
      </c>
      <c r="P1308" s="43">
        <f>IF(Table22[[#This Row],[Discount Applied]],Table22[[#This Row],[Total Sales (in USD)]]*(1-Table22[[#This Row],[Discount Percentage (%)]]/100),Table22[[#This Row],[Total Sales (in USD)]])</f>
        <v>18528.12</v>
      </c>
      <c r="Q1308" s="66">
        <f>SQRT(AVERAGE((Table22[[#This Row],[Net Sales (after discount) (in USD)]]-AVERAGE(Table22[Net Sales (after discount) (in USD)]))^2))</f>
        <v>17983.240563764539</v>
      </c>
      <c r="R1308" s="18" t="b">
        <v>1</v>
      </c>
      <c r="S1308" s="40">
        <v>19.93</v>
      </c>
      <c r="T1308" s="18" t="b">
        <v>0</v>
      </c>
      <c r="U1308" s="25">
        <v>45372</v>
      </c>
      <c r="V1308" s="63" t="str">
        <f>IF(MONTH(Table22[[#This Row],[Sales Date]])&lt;=3,"Q1",IF(MONTH(Table22[[#This Row],[Sales Date]])&lt;=6,"Q2",IF(MONTH(Table22[[#This Row],[Sales Date]])&lt;=9,"Q3","Q4")))</f>
        <v>Q1</v>
      </c>
      <c r="W1308" s="64">
        <f>YEAR(Table22[[#This Row],[Sales Date]])</f>
        <v>2024</v>
      </c>
      <c r="X1308" s="23">
        <v>47</v>
      </c>
      <c r="Y1308" s="18" t="s">
        <v>41</v>
      </c>
      <c r="Z1308" s="18" t="s">
        <v>24</v>
      </c>
      <c r="AA1308" s="19" t="s">
        <v>25</v>
      </c>
    </row>
    <row r="1309" spans="1:27" x14ac:dyDescent="0.25">
      <c r="A1309" s="17" t="s">
        <v>370</v>
      </c>
      <c r="B1309" s="18" t="s">
        <v>32</v>
      </c>
      <c r="C1309" s="63" t="str" cm="1">
        <f t="array" ref="C1309">_xlfn.SWITCH(Table22[[#This Row],[Country]],"USA","North America","Canada","North America","Brazil","South America","China","Asia","Japan","Asia","India","Asia","France","Europe","Germany","Europe","UK","Europe","Australia","Oceania","South America")</f>
        <v>Asia</v>
      </c>
      <c r="D1309" s="18" t="s">
        <v>21</v>
      </c>
      <c r="E1309" s="18" t="s">
        <v>39</v>
      </c>
      <c r="F1309" s="18" t="s">
        <v>34</v>
      </c>
      <c r="G1309" s="18" t="s">
        <v>29</v>
      </c>
      <c r="H1309" s="64">
        <f>LEN(TRIM(Table22[[#This Row],[Country]]))</f>
        <v>5</v>
      </c>
      <c r="I1309" s="64">
        <f>LEN(TRIM(Table22[[#This Row],[Continent]]))</f>
        <v>4</v>
      </c>
      <c r="J1309" s="64">
        <f>LEN(TRIM(Table22[[#This Row],[Product]]))</f>
        <v>10</v>
      </c>
      <c r="K1309" s="64">
        <f>LEN(TRIM(Table22[[#This Row],[Sales Team]]))</f>
        <v>10</v>
      </c>
      <c r="L1309" s="23">
        <v>37</v>
      </c>
      <c r="M1309" s="65" t="str" cm="1">
        <f t="array" ref="M1309">_xlfn.IFS(Table22[[#This Row],[Units Sold]]&lt;40,"Critical",Table22[[#This Row],[Units Sold]]&lt;=50,"Poor",Table22[[#This Row],[Units Sold]]&lt;=60,"Low",Table22[[#This Row],[Units Sold]]&lt;=80,"Average",Table22[[#This Row],[Units Sold]]&lt;=90,"High",Table22[[#This Row],[Units Sold]]&lt;=95,"Excellent",Table22[[#This Row],[Units Sold]]&gt;95,"Outstanding")</f>
        <v>Critical</v>
      </c>
      <c r="N1309" s="29">
        <v>500.34</v>
      </c>
      <c r="O1309" s="29">
        <v>18512.580000000002</v>
      </c>
      <c r="P1309" s="43">
        <f>IF(Table22[[#This Row],[Discount Applied]],Table22[[#This Row],[Total Sales (in USD)]]*(1-Table22[[#This Row],[Discount Percentage (%)]]/100),Table22[[#This Row],[Total Sales (in USD)]])</f>
        <v>13142.080542000002</v>
      </c>
      <c r="Q1309" s="66">
        <f>SQRT(AVERAGE((Table22[[#This Row],[Net Sales (after discount) (in USD)]]-AVERAGE(Table22[Net Sales (after discount) (in USD)]))^2))</f>
        <v>23369.280021764534</v>
      </c>
      <c r="R1309" s="18" t="b">
        <v>1</v>
      </c>
      <c r="S1309" s="40">
        <v>29.01</v>
      </c>
      <c r="T1309" s="18" t="b">
        <v>1</v>
      </c>
      <c r="U1309" s="25">
        <v>45429</v>
      </c>
      <c r="V1309" s="63" t="str">
        <f>IF(MONTH(Table22[[#This Row],[Sales Date]])&lt;=3,"Q1",IF(MONTH(Table22[[#This Row],[Sales Date]])&lt;=6,"Q2",IF(MONTH(Table22[[#This Row],[Sales Date]])&lt;=9,"Q3","Q4")))</f>
        <v>Q2</v>
      </c>
      <c r="W1309" s="64">
        <f>YEAR(Table22[[#This Row],[Sales Date]])</f>
        <v>2024</v>
      </c>
      <c r="X1309" s="23">
        <v>34</v>
      </c>
      <c r="Y1309" s="18" t="s">
        <v>49</v>
      </c>
      <c r="Z1309" s="18" t="s">
        <v>56</v>
      </c>
      <c r="AA1309" s="19" t="s">
        <v>25</v>
      </c>
    </row>
    <row r="1310" spans="1:27" x14ac:dyDescent="0.25">
      <c r="A1310" s="17" t="s">
        <v>1676</v>
      </c>
      <c r="B1310" s="18" t="s">
        <v>18</v>
      </c>
      <c r="C1310" s="63" t="str" cm="1">
        <f t="array" ref="C1310">_xlfn.SWITCH(Table22[[#This Row],[Country]],"USA","North America","Canada","North America","Brazil","South America","China","Asia","Japan","Asia","India","Asia","France","Europe","Germany","Europe","UK","Europe","Australia","Oceania","South America")</f>
        <v>Asia</v>
      </c>
      <c r="D1310" s="18" t="s">
        <v>44</v>
      </c>
      <c r="E1310" s="18" t="s">
        <v>19</v>
      </c>
      <c r="F1310" s="18" t="s">
        <v>20</v>
      </c>
      <c r="G1310" s="18" t="s">
        <v>29</v>
      </c>
      <c r="H1310" s="64">
        <f>LEN(TRIM(Table22[[#This Row],[Country]]))</f>
        <v>5</v>
      </c>
      <c r="I1310" s="64">
        <f>LEN(TRIM(Table22[[#This Row],[Continent]]))</f>
        <v>4</v>
      </c>
      <c r="J1310" s="64">
        <f>LEN(TRIM(Table22[[#This Row],[Product]]))</f>
        <v>6</v>
      </c>
      <c r="K1310" s="64">
        <f>LEN(TRIM(Table22[[#This Row],[Sales Team]]))</f>
        <v>10</v>
      </c>
      <c r="L1310" s="23">
        <v>17</v>
      </c>
      <c r="M1310" s="65" t="str" cm="1">
        <f t="array" ref="M1310">_xlfn.IFS(Table22[[#This Row],[Units Sold]]&lt;40,"Critical",Table22[[#This Row],[Units Sold]]&lt;=50,"Poor",Table22[[#This Row],[Units Sold]]&lt;=60,"Low",Table22[[#This Row],[Units Sold]]&lt;=80,"Average",Table22[[#This Row],[Units Sold]]&lt;=90,"High",Table22[[#This Row],[Units Sold]]&lt;=95,"Excellent",Table22[[#This Row],[Units Sold]]&gt;95,"Outstanding")</f>
        <v>Critical</v>
      </c>
      <c r="N1310" s="29">
        <v>1085.6099999999999</v>
      </c>
      <c r="O1310" s="29">
        <v>18455.37</v>
      </c>
      <c r="P1310" s="43">
        <f>IF(Table22[[#This Row],[Discount Applied]],Table22[[#This Row],[Total Sales (in USD)]]*(1-Table22[[#This Row],[Discount Percentage (%)]]/100),Table22[[#This Row],[Total Sales (in USD)]])</f>
        <v>18455.37</v>
      </c>
      <c r="Q1310" s="66">
        <f>SQRT(AVERAGE((Table22[[#This Row],[Net Sales (after discount) (in USD)]]-AVERAGE(Table22[Net Sales (after discount) (in USD)]))^2))</f>
        <v>18055.990563764539</v>
      </c>
      <c r="R1310" s="18" t="b">
        <v>1</v>
      </c>
      <c r="S1310" s="40">
        <v>26.04</v>
      </c>
      <c r="T1310" s="18" t="b">
        <v>0</v>
      </c>
      <c r="U1310" s="25">
        <v>45457</v>
      </c>
      <c r="V1310" s="63" t="str">
        <f>IF(MONTH(Table22[[#This Row],[Sales Date]])&lt;=3,"Q1",IF(MONTH(Table22[[#This Row],[Sales Date]])&lt;=6,"Q2",IF(MONTH(Table22[[#This Row],[Sales Date]])&lt;=9,"Q3","Q4")))</f>
        <v>Q2</v>
      </c>
      <c r="W1310" s="64">
        <f>YEAR(Table22[[#This Row],[Sales Date]])</f>
        <v>2024</v>
      </c>
      <c r="X1310" s="23">
        <v>62</v>
      </c>
      <c r="Y1310" s="18" t="s">
        <v>41</v>
      </c>
      <c r="Z1310" s="18" t="s">
        <v>56</v>
      </c>
      <c r="AA1310" s="19" t="s">
        <v>36</v>
      </c>
    </row>
    <row r="1311" spans="1:27" x14ac:dyDescent="0.25">
      <c r="A1311" s="17" t="s">
        <v>851</v>
      </c>
      <c r="B1311" s="18" t="s">
        <v>76</v>
      </c>
      <c r="C1311" s="63" t="str" cm="1">
        <f t="array" ref="C1311">_xlfn.SWITCH(Table22[[#This Row],[Country]],"USA","North America","Canada","North America","Brazil","South America","China","Asia","Japan","Asia","India","Asia","France","Europe","Germany","Europe","UK","Europe","Australia","Oceania","South America")</f>
        <v>Asia</v>
      </c>
      <c r="D1311" s="18" t="s">
        <v>44</v>
      </c>
      <c r="E1311" s="18" t="s">
        <v>39</v>
      </c>
      <c r="F1311" s="18" t="s">
        <v>20</v>
      </c>
      <c r="G1311" s="18" t="s">
        <v>40</v>
      </c>
      <c r="H1311" s="64">
        <f>LEN(TRIM(Table22[[#This Row],[Country]]))</f>
        <v>5</v>
      </c>
      <c r="I1311" s="64">
        <f>LEN(TRIM(Table22[[#This Row],[Continent]]))</f>
        <v>4</v>
      </c>
      <c r="J1311" s="64">
        <f>LEN(TRIM(Table22[[#This Row],[Product]]))</f>
        <v>10</v>
      </c>
      <c r="K1311" s="64">
        <f>LEN(TRIM(Table22[[#This Row],[Sales Team]]))</f>
        <v>10</v>
      </c>
      <c r="L1311" s="23">
        <v>16</v>
      </c>
      <c r="M1311" s="65" t="str" cm="1">
        <f t="array" ref="M1311">_xlfn.IFS(Table22[[#This Row],[Units Sold]]&lt;40,"Critical",Table22[[#This Row],[Units Sold]]&lt;=50,"Poor",Table22[[#This Row],[Units Sold]]&lt;=60,"Low",Table22[[#This Row],[Units Sold]]&lt;=80,"Average",Table22[[#This Row],[Units Sold]]&lt;=90,"High",Table22[[#This Row],[Units Sold]]&lt;=95,"Excellent",Table22[[#This Row],[Units Sold]]&gt;95,"Outstanding")</f>
        <v>Critical</v>
      </c>
      <c r="N1311" s="29">
        <v>1150.5899999999999</v>
      </c>
      <c r="O1311" s="29">
        <v>18409.439999999999</v>
      </c>
      <c r="P1311" s="43">
        <f>IF(Table22[[#This Row],[Discount Applied]],Table22[[#This Row],[Total Sales (in USD)]]*(1-Table22[[#This Row],[Discount Percentage (%)]]/100),Table22[[#This Row],[Total Sales (in USD)]])</f>
        <v>15255.902928</v>
      </c>
      <c r="Q1311" s="66">
        <f>SQRT(AVERAGE((Table22[[#This Row],[Net Sales (after discount) (in USD)]]-AVERAGE(Table22[Net Sales (after discount) (in USD)]))^2))</f>
        <v>21255.457635764538</v>
      </c>
      <c r="R1311" s="18" t="b">
        <v>0</v>
      </c>
      <c r="S1311" s="40">
        <v>17.13</v>
      </c>
      <c r="T1311" s="18" t="b">
        <v>1</v>
      </c>
      <c r="U1311" s="25">
        <v>45022</v>
      </c>
      <c r="V1311" s="63" t="str">
        <f>IF(MONTH(Table22[[#This Row],[Sales Date]])&lt;=3,"Q1",IF(MONTH(Table22[[#This Row],[Sales Date]])&lt;=6,"Q2",IF(MONTH(Table22[[#This Row],[Sales Date]])&lt;=9,"Q3","Q4")))</f>
        <v>Q2</v>
      </c>
      <c r="W1311" s="64">
        <f>YEAR(Table22[[#This Row],[Sales Date]])</f>
        <v>2023</v>
      </c>
      <c r="X1311" s="23">
        <v>41</v>
      </c>
      <c r="Y1311" s="18" t="s">
        <v>23</v>
      </c>
      <c r="Z1311" s="18" t="s">
        <v>30</v>
      </c>
      <c r="AA1311" s="19" t="s">
        <v>36</v>
      </c>
    </row>
    <row r="1312" spans="1:27" x14ac:dyDescent="0.25">
      <c r="A1312" s="17" t="s">
        <v>989</v>
      </c>
      <c r="B1312" s="18" t="s">
        <v>72</v>
      </c>
      <c r="C1312" s="63" t="str" cm="1">
        <f t="array" ref="C1312">_xlfn.SWITCH(Table22[[#This Row],[Country]],"USA","North America","Canada","North America","Brazil","South America","China","Asia","Japan","Asia","India","Asia","France","Europe","Germany","Europe","UK","Europe","Australia","Oceania","South America")</f>
        <v>North America</v>
      </c>
      <c r="D1312" s="18" t="s">
        <v>44</v>
      </c>
      <c r="E1312" s="18" t="s">
        <v>33</v>
      </c>
      <c r="F1312" s="18" t="s">
        <v>52</v>
      </c>
      <c r="G1312" s="18" t="s">
        <v>22</v>
      </c>
      <c r="H1312" s="64">
        <f>LEN(TRIM(Table22[[#This Row],[Country]]))</f>
        <v>3</v>
      </c>
      <c r="I1312" s="64">
        <f>LEN(TRIM(Table22[[#This Row],[Continent]]))</f>
        <v>13</v>
      </c>
      <c r="J1312" s="64">
        <f>LEN(TRIM(Table22[[#This Row],[Product]]))</f>
        <v>10</v>
      </c>
      <c r="K1312" s="64">
        <f>LEN(TRIM(Table22[[#This Row],[Sales Team]]))</f>
        <v>10</v>
      </c>
      <c r="L1312" s="23">
        <v>32</v>
      </c>
      <c r="M1312" s="65" t="str" cm="1">
        <f t="array" ref="M1312">_xlfn.IFS(Table22[[#This Row],[Units Sold]]&lt;40,"Critical",Table22[[#This Row],[Units Sold]]&lt;=50,"Poor",Table22[[#This Row],[Units Sold]]&lt;=60,"Low",Table22[[#This Row],[Units Sold]]&lt;=80,"Average",Table22[[#This Row],[Units Sold]]&lt;=90,"High",Table22[[#This Row],[Units Sold]]&lt;=95,"Excellent",Table22[[#This Row],[Units Sold]]&gt;95,"Outstanding")</f>
        <v>Critical</v>
      </c>
      <c r="N1312" s="29">
        <v>573.84</v>
      </c>
      <c r="O1312" s="29">
        <v>18362.88</v>
      </c>
      <c r="P1312" s="43">
        <f>IF(Table22[[#This Row],[Discount Applied]],Table22[[#This Row],[Total Sales (in USD)]]*(1-Table22[[#This Row],[Discount Percentage (%)]]/100),Table22[[#This Row],[Total Sales (in USD)]])</f>
        <v>13788.686592000002</v>
      </c>
      <c r="Q1312" s="66">
        <f>SQRT(AVERAGE((Table22[[#This Row],[Net Sales (after discount) (in USD)]]-AVERAGE(Table22[Net Sales (after discount) (in USD)]))^2))</f>
        <v>22722.673971764536</v>
      </c>
      <c r="R1312" s="18" t="b">
        <v>0</v>
      </c>
      <c r="S1312" s="40">
        <v>24.91</v>
      </c>
      <c r="T1312" s="18" t="b">
        <v>1</v>
      </c>
      <c r="U1312" s="25">
        <v>45181</v>
      </c>
      <c r="V1312" s="63" t="str">
        <f>IF(MONTH(Table22[[#This Row],[Sales Date]])&lt;=3,"Q1",IF(MONTH(Table22[[#This Row],[Sales Date]])&lt;=6,"Q2",IF(MONTH(Table22[[#This Row],[Sales Date]])&lt;=9,"Q3","Q4")))</f>
        <v>Q3</v>
      </c>
      <c r="W1312" s="64">
        <f>YEAR(Table22[[#This Row],[Sales Date]])</f>
        <v>2023</v>
      </c>
      <c r="X1312" s="23">
        <v>57</v>
      </c>
      <c r="Y1312" s="18" t="s">
        <v>23</v>
      </c>
      <c r="Z1312" s="18" t="s">
        <v>30</v>
      </c>
      <c r="AA1312" s="19" t="s">
        <v>25</v>
      </c>
    </row>
    <row r="1313" spans="1:27" x14ac:dyDescent="0.25">
      <c r="A1313" s="17" t="s">
        <v>993</v>
      </c>
      <c r="B1313" s="18" t="s">
        <v>38</v>
      </c>
      <c r="C1313" s="63" t="str" cm="1">
        <f t="array" ref="C1313">_xlfn.SWITCH(Table22[[#This Row],[Country]],"USA","North America","Canada","North America","Brazil","South America","China","Asia","Japan","Asia","India","Asia","France","Europe","Germany","Europe","UK","Europe","Australia","Oceania","South America")</f>
        <v>Europe</v>
      </c>
      <c r="D1313" s="18" t="s">
        <v>35</v>
      </c>
      <c r="E1313" s="18" t="s">
        <v>33</v>
      </c>
      <c r="F1313" s="18" t="s">
        <v>20</v>
      </c>
      <c r="G1313" s="18" t="s">
        <v>29</v>
      </c>
      <c r="H1313" s="64">
        <f>LEN(TRIM(Table22[[#This Row],[Country]]))</f>
        <v>6</v>
      </c>
      <c r="I1313" s="64">
        <f>LEN(TRIM(Table22[[#This Row],[Continent]]))</f>
        <v>6</v>
      </c>
      <c r="J1313" s="64">
        <f>LEN(TRIM(Table22[[#This Row],[Product]]))</f>
        <v>10</v>
      </c>
      <c r="K1313" s="64">
        <f>LEN(TRIM(Table22[[#This Row],[Sales Team]]))</f>
        <v>10</v>
      </c>
      <c r="L1313" s="23">
        <v>28</v>
      </c>
      <c r="M1313" s="65" t="str" cm="1">
        <f t="array" ref="M1313">_xlfn.IFS(Table22[[#This Row],[Units Sold]]&lt;40,"Critical",Table22[[#This Row],[Units Sold]]&lt;=50,"Poor",Table22[[#This Row],[Units Sold]]&lt;=60,"Low",Table22[[#This Row],[Units Sold]]&lt;=80,"Average",Table22[[#This Row],[Units Sold]]&lt;=90,"High",Table22[[#This Row],[Units Sold]]&lt;=95,"Excellent",Table22[[#This Row],[Units Sold]]&gt;95,"Outstanding")</f>
        <v>Critical</v>
      </c>
      <c r="N1313" s="29">
        <v>655.58</v>
      </c>
      <c r="O1313" s="29">
        <v>18356.240000000002</v>
      </c>
      <c r="P1313" s="43">
        <f>IF(Table22[[#This Row],[Discount Applied]],Table22[[#This Row],[Total Sales (in USD)]]*(1-Table22[[#This Row],[Discount Percentage (%)]]/100),Table22[[#This Row],[Total Sales (in USD)]])</f>
        <v>16410.478560000003</v>
      </c>
      <c r="Q1313" s="66">
        <f>SQRT(AVERAGE((Table22[[#This Row],[Net Sales (after discount) (in USD)]]-AVERAGE(Table22[Net Sales (after discount) (in USD)]))^2))</f>
        <v>20100.882003764535</v>
      </c>
      <c r="R1313" s="18" t="b">
        <v>0</v>
      </c>
      <c r="S1313" s="40">
        <v>10.6</v>
      </c>
      <c r="T1313" s="18" t="b">
        <v>1</v>
      </c>
      <c r="U1313" s="25">
        <v>45437</v>
      </c>
      <c r="V1313" s="63" t="str">
        <f>IF(MONTH(Table22[[#This Row],[Sales Date]])&lt;=3,"Q1",IF(MONTH(Table22[[#This Row],[Sales Date]])&lt;=6,"Q2",IF(MONTH(Table22[[#This Row],[Sales Date]])&lt;=9,"Q3","Q4")))</f>
        <v>Q2</v>
      </c>
      <c r="W1313" s="64">
        <f>YEAR(Table22[[#This Row],[Sales Date]])</f>
        <v>2024</v>
      </c>
      <c r="X1313" s="23">
        <v>46</v>
      </c>
      <c r="Y1313" s="18" t="s">
        <v>41</v>
      </c>
      <c r="Z1313" s="18" t="s">
        <v>30</v>
      </c>
      <c r="AA1313" s="19" t="s">
        <v>36</v>
      </c>
    </row>
    <row r="1314" spans="1:27" x14ac:dyDescent="0.25">
      <c r="A1314" s="17" t="s">
        <v>487</v>
      </c>
      <c r="B1314" s="18" t="s">
        <v>72</v>
      </c>
      <c r="C1314" s="63" t="str" cm="1">
        <f t="array" ref="C1314">_xlfn.SWITCH(Table22[[#This Row],[Country]],"USA","North America","Canada","North America","Brazil","South America","China","Asia","Japan","Asia","India","Asia","France","Europe","Germany","Europe","UK","Europe","Australia","Oceania","South America")</f>
        <v>North America</v>
      </c>
      <c r="D1314" s="18" t="s">
        <v>28</v>
      </c>
      <c r="E1314" s="18" t="s">
        <v>19</v>
      </c>
      <c r="F1314" s="18" t="s">
        <v>47</v>
      </c>
      <c r="G1314" s="18" t="s">
        <v>40</v>
      </c>
      <c r="H1314" s="64">
        <f>LEN(TRIM(Table22[[#This Row],[Country]]))</f>
        <v>3</v>
      </c>
      <c r="I1314" s="64">
        <f>LEN(TRIM(Table22[[#This Row],[Continent]]))</f>
        <v>13</v>
      </c>
      <c r="J1314" s="64">
        <f>LEN(TRIM(Table22[[#This Row],[Product]]))</f>
        <v>6</v>
      </c>
      <c r="K1314" s="64">
        <f>LEN(TRIM(Table22[[#This Row],[Sales Team]]))</f>
        <v>10</v>
      </c>
      <c r="L1314" s="23">
        <v>53</v>
      </c>
      <c r="M1314" s="65" t="str" cm="1">
        <f t="array" ref="M1314">_xlfn.IFS(Table22[[#This Row],[Units Sold]]&lt;40,"Critical",Table22[[#This Row],[Units Sold]]&lt;=50,"Poor",Table22[[#This Row],[Units Sold]]&lt;=60,"Low",Table22[[#This Row],[Units Sold]]&lt;=80,"Average",Table22[[#This Row],[Units Sold]]&lt;=90,"High",Table22[[#This Row],[Units Sold]]&lt;=95,"Excellent",Table22[[#This Row],[Units Sold]]&gt;95,"Outstanding")</f>
        <v>Low</v>
      </c>
      <c r="N1314" s="29">
        <v>346.15</v>
      </c>
      <c r="O1314" s="29">
        <v>18345.95</v>
      </c>
      <c r="P1314" s="43">
        <f>IF(Table22[[#This Row],[Discount Applied]],Table22[[#This Row],[Total Sales (in USD)]]*(1-Table22[[#This Row],[Discount Percentage (%)]]/100),Table22[[#This Row],[Total Sales (in USD)]])</f>
        <v>18345.95</v>
      </c>
      <c r="Q1314" s="66">
        <f>SQRT(AVERAGE((Table22[[#This Row],[Net Sales (after discount) (in USD)]]-AVERAGE(Table22[Net Sales (after discount) (in USD)]))^2))</f>
        <v>18165.410563764537</v>
      </c>
      <c r="R1314" s="18" t="b">
        <v>1</v>
      </c>
      <c r="S1314" s="40">
        <v>23.72</v>
      </c>
      <c r="T1314" s="18" t="b">
        <v>0</v>
      </c>
      <c r="U1314" s="25">
        <v>45486</v>
      </c>
      <c r="V1314" s="63" t="str">
        <f>IF(MONTH(Table22[[#This Row],[Sales Date]])&lt;=3,"Q1",IF(MONTH(Table22[[#This Row],[Sales Date]])&lt;=6,"Q2",IF(MONTH(Table22[[#This Row],[Sales Date]])&lt;=9,"Q3","Q4")))</f>
        <v>Q3</v>
      </c>
      <c r="W1314" s="64">
        <f>YEAR(Table22[[#This Row],[Sales Date]])</f>
        <v>2024</v>
      </c>
      <c r="X1314" s="23">
        <v>56</v>
      </c>
      <c r="Y1314" s="18" t="s">
        <v>41</v>
      </c>
      <c r="Z1314" s="18" t="s">
        <v>30</v>
      </c>
      <c r="AA1314" s="19" t="s">
        <v>36</v>
      </c>
    </row>
    <row r="1315" spans="1:27" x14ac:dyDescent="0.25">
      <c r="A1315" s="17" t="s">
        <v>249</v>
      </c>
      <c r="B1315" s="18" t="s">
        <v>27</v>
      </c>
      <c r="C1315" s="63" t="str" cm="1">
        <f t="array" ref="C1315">_xlfn.SWITCH(Table22[[#This Row],[Country]],"USA","North America","Canada","North America","Brazil","South America","China","Asia","Japan","Asia","India","Asia","France","Europe","Germany","Europe","UK","Europe","Australia","Oceania","South America")</f>
        <v>Europe</v>
      </c>
      <c r="D1315" s="18" t="s">
        <v>44</v>
      </c>
      <c r="E1315" s="18" t="s">
        <v>33</v>
      </c>
      <c r="F1315" s="18" t="s">
        <v>47</v>
      </c>
      <c r="G1315" s="18" t="s">
        <v>29</v>
      </c>
      <c r="H1315" s="64">
        <f>LEN(TRIM(Table22[[#This Row],[Country]]))</f>
        <v>7</v>
      </c>
      <c r="I1315" s="64">
        <f>LEN(TRIM(Table22[[#This Row],[Continent]]))</f>
        <v>6</v>
      </c>
      <c r="J1315" s="64">
        <f>LEN(TRIM(Table22[[#This Row],[Product]]))</f>
        <v>10</v>
      </c>
      <c r="K1315" s="64">
        <f>LEN(TRIM(Table22[[#This Row],[Sales Team]]))</f>
        <v>10</v>
      </c>
      <c r="L1315" s="23">
        <v>29</v>
      </c>
      <c r="M1315" s="65" t="str" cm="1">
        <f t="array" ref="M1315">_xlfn.IFS(Table22[[#This Row],[Units Sold]]&lt;40,"Critical",Table22[[#This Row],[Units Sold]]&lt;=50,"Poor",Table22[[#This Row],[Units Sold]]&lt;=60,"Low",Table22[[#This Row],[Units Sold]]&lt;=80,"Average",Table22[[#This Row],[Units Sold]]&lt;=90,"High",Table22[[#This Row],[Units Sold]]&lt;=95,"Excellent",Table22[[#This Row],[Units Sold]]&gt;95,"Outstanding")</f>
        <v>Critical</v>
      </c>
      <c r="N1315" s="29">
        <v>632.24</v>
      </c>
      <c r="O1315" s="29">
        <v>18334.96</v>
      </c>
      <c r="P1315" s="43">
        <f>IF(Table22[[#This Row],[Discount Applied]],Table22[[#This Row],[Total Sales (in USD)]]*(1-Table22[[#This Row],[Discount Percentage (%)]]/100),Table22[[#This Row],[Total Sales (in USD)]])</f>
        <v>18334.96</v>
      </c>
      <c r="Q1315" s="66">
        <f>SQRT(AVERAGE((Table22[[#This Row],[Net Sales (after discount) (in USD)]]-AVERAGE(Table22[Net Sales (after discount) (in USD)]))^2))</f>
        <v>18176.400563764539</v>
      </c>
      <c r="R1315" s="18" t="b">
        <v>0</v>
      </c>
      <c r="S1315" s="40">
        <v>10.87</v>
      </c>
      <c r="T1315" s="18" t="b">
        <v>0</v>
      </c>
      <c r="U1315" s="25">
        <v>45312</v>
      </c>
      <c r="V1315" s="63" t="str">
        <f>IF(MONTH(Table22[[#This Row],[Sales Date]])&lt;=3,"Q1",IF(MONTH(Table22[[#This Row],[Sales Date]])&lt;=6,"Q2",IF(MONTH(Table22[[#This Row],[Sales Date]])&lt;=9,"Q3","Q4")))</f>
        <v>Q1</v>
      </c>
      <c r="W1315" s="64">
        <f>YEAR(Table22[[#This Row],[Sales Date]])</f>
        <v>2024</v>
      </c>
      <c r="X1315" s="23">
        <v>47</v>
      </c>
      <c r="Y1315" s="18" t="s">
        <v>49</v>
      </c>
      <c r="Z1315" s="18" t="s">
        <v>24</v>
      </c>
      <c r="AA1315" s="19" t="s">
        <v>36</v>
      </c>
    </row>
    <row r="1316" spans="1:27" x14ac:dyDescent="0.25">
      <c r="A1316" s="17" t="s">
        <v>1470</v>
      </c>
      <c r="B1316" s="18" t="s">
        <v>51</v>
      </c>
      <c r="C1316" s="63" t="str" cm="1">
        <f t="array" ref="C1316">_xlfn.SWITCH(Table22[[#This Row],[Country]],"USA","North America","Canada","North America","Brazil","South America","China","Asia","Japan","Asia","India","Asia","France","Europe","Germany","Europe","UK","Europe","Australia","Oceania","South America")</f>
        <v>Europe</v>
      </c>
      <c r="D1316" s="18" t="s">
        <v>21</v>
      </c>
      <c r="E1316" s="18" t="s">
        <v>19</v>
      </c>
      <c r="F1316" s="18" t="s">
        <v>20</v>
      </c>
      <c r="G1316" s="18" t="s">
        <v>48</v>
      </c>
      <c r="H1316" s="64">
        <f>LEN(TRIM(Table22[[#This Row],[Country]]))</f>
        <v>2</v>
      </c>
      <c r="I1316" s="64">
        <f>LEN(TRIM(Table22[[#This Row],[Continent]]))</f>
        <v>6</v>
      </c>
      <c r="J1316" s="64">
        <f>LEN(TRIM(Table22[[#This Row],[Product]]))</f>
        <v>6</v>
      </c>
      <c r="K1316" s="64">
        <f>LEN(TRIM(Table22[[#This Row],[Sales Team]]))</f>
        <v>9</v>
      </c>
      <c r="L1316" s="23">
        <v>67</v>
      </c>
      <c r="M1316" s="65" t="str" cm="1">
        <f t="array" ref="M1316">_xlfn.IFS(Table22[[#This Row],[Units Sold]]&lt;40,"Critical",Table22[[#This Row],[Units Sold]]&lt;=50,"Poor",Table22[[#This Row],[Units Sold]]&lt;=60,"Low",Table22[[#This Row],[Units Sold]]&lt;=80,"Average",Table22[[#This Row],[Units Sold]]&lt;=90,"High",Table22[[#This Row],[Units Sold]]&lt;=95,"Excellent",Table22[[#This Row],[Units Sold]]&gt;95,"Outstanding")</f>
        <v>Average</v>
      </c>
      <c r="N1316" s="29">
        <v>273.39</v>
      </c>
      <c r="O1316" s="29">
        <v>18317.13</v>
      </c>
      <c r="P1316" s="43">
        <f>IF(Table22[[#This Row],[Discount Applied]],Table22[[#This Row],[Total Sales (in USD)]]*(1-Table22[[#This Row],[Discount Percentage (%)]]/100),Table22[[#This Row],[Total Sales (in USD)]])</f>
        <v>16608.141771000002</v>
      </c>
      <c r="Q1316" s="66">
        <f>SQRT(AVERAGE((Table22[[#This Row],[Net Sales (after discount) (in USD)]]-AVERAGE(Table22[Net Sales (after discount) (in USD)]))^2))</f>
        <v>19903.218792764535</v>
      </c>
      <c r="R1316" s="18" t="b">
        <v>0</v>
      </c>
      <c r="S1316" s="40">
        <v>9.33</v>
      </c>
      <c r="T1316" s="18" t="b">
        <v>1</v>
      </c>
      <c r="U1316" s="25">
        <v>45297</v>
      </c>
      <c r="V1316" s="63" t="str">
        <f>IF(MONTH(Table22[[#This Row],[Sales Date]])&lt;=3,"Q1",IF(MONTH(Table22[[#This Row],[Sales Date]])&lt;=6,"Q2",IF(MONTH(Table22[[#This Row],[Sales Date]])&lt;=9,"Q3","Q4")))</f>
        <v>Q1</v>
      </c>
      <c r="W1316" s="64">
        <f>YEAR(Table22[[#This Row],[Sales Date]])</f>
        <v>2024</v>
      </c>
      <c r="X1316" s="23">
        <v>31</v>
      </c>
      <c r="Y1316" s="18" t="s">
        <v>23</v>
      </c>
      <c r="Z1316" s="18" t="s">
        <v>42</v>
      </c>
      <c r="AA1316" s="19" t="s">
        <v>36</v>
      </c>
    </row>
    <row r="1317" spans="1:27" x14ac:dyDescent="0.25">
      <c r="A1317" s="17" t="s">
        <v>1179</v>
      </c>
      <c r="B1317" s="18" t="s">
        <v>51</v>
      </c>
      <c r="C1317" s="63" t="str" cm="1">
        <f t="array" ref="C1317">_xlfn.SWITCH(Table22[[#This Row],[Country]],"USA","North America","Canada","North America","Brazil","South America","China","Asia","Japan","Asia","India","Asia","France","Europe","Germany","Europe","UK","Europe","Australia","Oceania","South America")</f>
        <v>Europe</v>
      </c>
      <c r="D1317" s="18" t="s">
        <v>35</v>
      </c>
      <c r="E1317" s="18" t="s">
        <v>33</v>
      </c>
      <c r="F1317" s="18" t="s">
        <v>64</v>
      </c>
      <c r="G1317" s="18" t="s">
        <v>48</v>
      </c>
      <c r="H1317" s="64">
        <f>LEN(TRIM(Table22[[#This Row],[Country]]))</f>
        <v>2</v>
      </c>
      <c r="I1317" s="64">
        <f>LEN(TRIM(Table22[[#This Row],[Continent]]))</f>
        <v>6</v>
      </c>
      <c r="J1317" s="64">
        <f>LEN(TRIM(Table22[[#This Row],[Product]]))</f>
        <v>10</v>
      </c>
      <c r="K1317" s="64">
        <f>LEN(TRIM(Table22[[#This Row],[Sales Team]]))</f>
        <v>9</v>
      </c>
      <c r="L1317" s="23">
        <v>42</v>
      </c>
      <c r="M1317" s="65" t="str" cm="1">
        <f t="array" ref="M1317">_xlfn.IFS(Table22[[#This Row],[Units Sold]]&lt;40,"Critical",Table22[[#This Row],[Units Sold]]&lt;=50,"Poor",Table22[[#This Row],[Units Sold]]&lt;=60,"Low",Table22[[#This Row],[Units Sold]]&lt;=80,"Average",Table22[[#This Row],[Units Sold]]&lt;=90,"High",Table22[[#This Row],[Units Sold]]&lt;=95,"Excellent",Table22[[#This Row],[Units Sold]]&gt;95,"Outstanding")</f>
        <v>Poor</v>
      </c>
      <c r="N1317" s="29">
        <v>435.93</v>
      </c>
      <c r="O1317" s="29">
        <v>18309.060000000001</v>
      </c>
      <c r="P1317" s="43">
        <f>IF(Table22[[#This Row],[Discount Applied]],Table22[[#This Row],[Total Sales (in USD)]]*(1-Table22[[#This Row],[Discount Percentage (%)]]/100),Table22[[#This Row],[Total Sales (in USD)]])</f>
        <v>15916.065858</v>
      </c>
      <c r="Q1317" s="66">
        <f>SQRT(AVERAGE((Table22[[#This Row],[Net Sales (after discount) (in USD)]]-AVERAGE(Table22[Net Sales (after discount) (in USD)]))^2))</f>
        <v>20595.294705764536</v>
      </c>
      <c r="R1317" s="18" t="b">
        <v>1</v>
      </c>
      <c r="S1317" s="40">
        <v>13.07</v>
      </c>
      <c r="T1317" s="18" t="b">
        <v>1</v>
      </c>
      <c r="U1317" s="25">
        <v>44943</v>
      </c>
      <c r="V1317" s="63" t="str">
        <f>IF(MONTH(Table22[[#This Row],[Sales Date]])&lt;=3,"Q1",IF(MONTH(Table22[[#This Row],[Sales Date]])&lt;=6,"Q2",IF(MONTH(Table22[[#This Row],[Sales Date]])&lt;=9,"Q3","Q4")))</f>
        <v>Q1</v>
      </c>
      <c r="W1317" s="64">
        <f>YEAR(Table22[[#This Row],[Sales Date]])</f>
        <v>2023</v>
      </c>
      <c r="X1317" s="23">
        <v>39</v>
      </c>
      <c r="Y1317" s="18" t="s">
        <v>49</v>
      </c>
      <c r="Z1317" s="18" t="s">
        <v>56</v>
      </c>
      <c r="AA1317" s="19" t="s">
        <v>25</v>
      </c>
    </row>
    <row r="1318" spans="1:27" x14ac:dyDescent="0.25">
      <c r="A1318" s="17" t="s">
        <v>158</v>
      </c>
      <c r="B1318" s="18" t="s">
        <v>51</v>
      </c>
      <c r="C1318" s="63" t="str" cm="1">
        <f t="array" ref="C1318">_xlfn.SWITCH(Table22[[#This Row],[Country]],"USA","North America","Canada","North America","Brazil","South America","China","Asia","Japan","Asia","India","Asia","France","Europe","Germany","Europe","UK","Europe","Australia","Oceania","South America")</f>
        <v>Europe</v>
      </c>
      <c r="D1318" s="18" t="s">
        <v>21</v>
      </c>
      <c r="E1318" s="18" t="s">
        <v>19</v>
      </c>
      <c r="F1318" s="18" t="s">
        <v>47</v>
      </c>
      <c r="G1318" s="18" t="s">
        <v>40</v>
      </c>
      <c r="H1318" s="64">
        <f>LEN(TRIM(Table22[[#This Row],[Country]]))</f>
        <v>2</v>
      </c>
      <c r="I1318" s="64">
        <f>LEN(TRIM(Table22[[#This Row],[Continent]]))</f>
        <v>6</v>
      </c>
      <c r="J1318" s="64">
        <f>LEN(TRIM(Table22[[#This Row],[Product]]))</f>
        <v>6</v>
      </c>
      <c r="K1318" s="64">
        <f>LEN(TRIM(Table22[[#This Row],[Sales Team]]))</f>
        <v>10</v>
      </c>
      <c r="L1318" s="23">
        <v>36</v>
      </c>
      <c r="M1318" s="65" t="str" cm="1">
        <f t="array" ref="M1318">_xlfn.IFS(Table22[[#This Row],[Units Sold]]&lt;40,"Critical",Table22[[#This Row],[Units Sold]]&lt;=50,"Poor",Table22[[#This Row],[Units Sold]]&lt;=60,"Low",Table22[[#This Row],[Units Sold]]&lt;=80,"Average",Table22[[#This Row],[Units Sold]]&lt;=90,"High",Table22[[#This Row],[Units Sold]]&lt;=95,"Excellent",Table22[[#This Row],[Units Sold]]&gt;95,"Outstanding")</f>
        <v>Critical</v>
      </c>
      <c r="N1318" s="29">
        <v>508.21</v>
      </c>
      <c r="O1318" s="29">
        <v>18295.560000000001</v>
      </c>
      <c r="P1318" s="43">
        <f>IF(Table22[[#This Row],[Discount Applied]],Table22[[#This Row],[Total Sales (in USD)]]*(1-Table22[[#This Row],[Discount Percentage (%)]]/100),Table22[[#This Row],[Total Sales (in USD)]])</f>
        <v>18246.161988</v>
      </c>
      <c r="Q1318" s="66">
        <f>SQRT(AVERAGE((Table22[[#This Row],[Net Sales (after discount) (in USD)]]-AVERAGE(Table22[Net Sales (after discount) (in USD)]))^2))</f>
        <v>18265.198575764538</v>
      </c>
      <c r="R1318" s="18" t="b">
        <v>1</v>
      </c>
      <c r="S1318" s="40">
        <v>0.27</v>
      </c>
      <c r="T1318" s="18" t="b">
        <v>1</v>
      </c>
      <c r="U1318" s="25">
        <v>45101</v>
      </c>
      <c r="V1318" s="63" t="str">
        <f>IF(MONTH(Table22[[#This Row],[Sales Date]])&lt;=3,"Q1",IF(MONTH(Table22[[#This Row],[Sales Date]])&lt;=6,"Q2",IF(MONTH(Table22[[#This Row],[Sales Date]])&lt;=9,"Q3","Q4")))</f>
        <v>Q2</v>
      </c>
      <c r="W1318" s="64">
        <f>YEAR(Table22[[#This Row],[Sales Date]])</f>
        <v>2023</v>
      </c>
      <c r="X1318" s="23">
        <v>22</v>
      </c>
      <c r="Y1318" s="18" t="s">
        <v>49</v>
      </c>
      <c r="Z1318" s="18" t="s">
        <v>42</v>
      </c>
      <c r="AA1318" s="19" t="s">
        <v>36</v>
      </c>
    </row>
    <row r="1319" spans="1:27" x14ac:dyDescent="0.25">
      <c r="A1319" s="17" t="s">
        <v>1897</v>
      </c>
      <c r="B1319" s="18" t="s">
        <v>72</v>
      </c>
      <c r="C1319" s="63" t="str" cm="1">
        <f t="array" ref="C1319">_xlfn.SWITCH(Table22[[#This Row],[Country]],"USA","North America","Canada","North America","Brazil","South America","China","Asia","Japan","Asia","India","Asia","France","Europe","Germany","Europe","UK","Europe","Australia","Oceania","South America")</f>
        <v>North America</v>
      </c>
      <c r="D1319" s="18" t="s">
        <v>44</v>
      </c>
      <c r="E1319" s="18" t="s">
        <v>39</v>
      </c>
      <c r="F1319" s="18" t="s">
        <v>47</v>
      </c>
      <c r="G1319" s="18" t="s">
        <v>22</v>
      </c>
      <c r="H1319" s="64">
        <f>LEN(TRIM(Table22[[#This Row],[Country]]))</f>
        <v>3</v>
      </c>
      <c r="I1319" s="64">
        <f>LEN(TRIM(Table22[[#This Row],[Continent]]))</f>
        <v>13</v>
      </c>
      <c r="J1319" s="64">
        <f>LEN(TRIM(Table22[[#This Row],[Product]]))</f>
        <v>10</v>
      </c>
      <c r="K1319" s="64">
        <f>LEN(TRIM(Table22[[#This Row],[Sales Team]]))</f>
        <v>10</v>
      </c>
      <c r="L1319" s="23">
        <v>32</v>
      </c>
      <c r="M1319" s="65" t="str" cm="1">
        <f t="array" ref="M1319">_xlfn.IFS(Table22[[#This Row],[Units Sold]]&lt;40,"Critical",Table22[[#This Row],[Units Sold]]&lt;=50,"Poor",Table22[[#This Row],[Units Sold]]&lt;=60,"Low",Table22[[#This Row],[Units Sold]]&lt;=80,"Average",Table22[[#This Row],[Units Sold]]&lt;=90,"High",Table22[[#This Row],[Units Sold]]&lt;=95,"Excellent",Table22[[#This Row],[Units Sold]]&gt;95,"Outstanding")</f>
        <v>Critical</v>
      </c>
      <c r="N1319" s="29">
        <v>570.78</v>
      </c>
      <c r="O1319" s="29">
        <v>18264.96</v>
      </c>
      <c r="P1319" s="43">
        <f>IF(Table22[[#This Row],[Discount Applied]],Table22[[#This Row],[Total Sales (in USD)]]*(1-Table22[[#This Row],[Discount Percentage (%)]]/100),Table22[[#This Row],[Total Sales (in USD)]])</f>
        <v>14409.226944</v>
      </c>
      <c r="Q1319" s="66">
        <f>SQRT(AVERAGE((Table22[[#This Row],[Net Sales (after discount) (in USD)]]-AVERAGE(Table22[Net Sales (after discount) (in USD)]))^2))</f>
        <v>22102.133619764536</v>
      </c>
      <c r="R1319" s="18" t="b">
        <v>0</v>
      </c>
      <c r="S1319" s="40">
        <v>21.11</v>
      </c>
      <c r="T1319" s="18" t="b">
        <v>1</v>
      </c>
      <c r="U1319" s="25">
        <v>45084</v>
      </c>
      <c r="V1319" s="63" t="str">
        <f>IF(MONTH(Table22[[#This Row],[Sales Date]])&lt;=3,"Q1",IF(MONTH(Table22[[#This Row],[Sales Date]])&lt;=6,"Q2",IF(MONTH(Table22[[#This Row],[Sales Date]])&lt;=9,"Q3","Q4")))</f>
        <v>Q2</v>
      </c>
      <c r="W1319" s="64">
        <f>YEAR(Table22[[#This Row],[Sales Date]])</f>
        <v>2023</v>
      </c>
      <c r="X1319" s="23">
        <v>62</v>
      </c>
      <c r="Y1319" s="18" t="s">
        <v>41</v>
      </c>
      <c r="Z1319" s="18" t="s">
        <v>56</v>
      </c>
      <c r="AA1319" s="19" t="s">
        <v>25</v>
      </c>
    </row>
    <row r="1320" spans="1:27" x14ac:dyDescent="0.25">
      <c r="A1320" s="17" t="s">
        <v>995</v>
      </c>
      <c r="B1320" s="18" t="s">
        <v>32</v>
      </c>
      <c r="C1320" s="63" t="str" cm="1">
        <f t="array" ref="C1320">_xlfn.SWITCH(Table22[[#This Row],[Country]],"USA","North America","Canada","North America","Brazil","South America","China","Asia","Japan","Asia","India","Asia","France","Europe","Germany","Europe","UK","Europe","Australia","Oceania","South America")</f>
        <v>Asia</v>
      </c>
      <c r="D1320" s="18" t="s">
        <v>35</v>
      </c>
      <c r="E1320" s="18" t="s">
        <v>19</v>
      </c>
      <c r="F1320" s="18" t="s">
        <v>34</v>
      </c>
      <c r="G1320" s="18" t="s">
        <v>29</v>
      </c>
      <c r="H1320" s="64">
        <f>LEN(TRIM(Table22[[#This Row],[Country]]))</f>
        <v>5</v>
      </c>
      <c r="I1320" s="64">
        <f>LEN(TRIM(Table22[[#This Row],[Continent]]))</f>
        <v>4</v>
      </c>
      <c r="J1320" s="64">
        <f>LEN(TRIM(Table22[[#This Row],[Product]]))</f>
        <v>6</v>
      </c>
      <c r="K1320" s="64">
        <f>LEN(TRIM(Table22[[#This Row],[Sales Team]]))</f>
        <v>10</v>
      </c>
      <c r="L1320" s="23">
        <v>85</v>
      </c>
      <c r="M1320" s="65" t="str" cm="1">
        <f t="array" ref="M1320">_xlfn.IFS(Table22[[#This Row],[Units Sold]]&lt;40,"Critical",Table22[[#This Row],[Units Sold]]&lt;=50,"Poor",Table22[[#This Row],[Units Sold]]&lt;=60,"Low",Table22[[#This Row],[Units Sold]]&lt;=80,"Average",Table22[[#This Row],[Units Sold]]&lt;=90,"High",Table22[[#This Row],[Units Sold]]&lt;=95,"Excellent",Table22[[#This Row],[Units Sold]]&gt;95,"Outstanding")</f>
        <v>High</v>
      </c>
      <c r="N1320" s="29">
        <v>214.67</v>
      </c>
      <c r="O1320" s="29">
        <v>18246.95</v>
      </c>
      <c r="P1320" s="43">
        <f>IF(Table22[[#This Row],[Discount Applied]],Table22[[#This Row],[Total Sales (in USD)]]*(1-Table22[[#This Row],[Discount Percentage (%)]]/100),Table22[[#This Row],[Total Sales (in USD)]])</f>
        <v>18246.95</v>
      </c>
      <c r="Q1320" s="66">
        <f>SQRT(AVERAGE((Table22[[#This Row],[Net Sales (after discount) (in USD)]]-AVERAGE(Table22[Net Sales (after discount) (in USD)]))^2))</f>
        <v>18264.410563764537</v>
      </c>
      <c r="R1320" s="18" t="b">
        <v>0</v>
      </c>
      <c r="S1320" s="40">
        <v>26.56</v>
      </c>
      <c r="T1320" s="18" t="b">
        <v>0</v>
      </c>
      <c r="U1320" s="25">
        <v>45298</v>
      </c>
      <c r="V1320" s="63" t="str">
        <f>IF(MONTH(Table22[[#This Row],[Sales Date]])&lt;=3,"Q1",IF(MONTH(Table22[[#This Row],[Sales Date]])&lt;=6,"Q2",IF(MONTH(Table22[[#This Row],[Sales Date]])&lt;=9,"Q3","Q4")))</f>
        <v>Q1</v>
      </c>
      <c r="W1320" s="64">
        <f>YEAR(Table22[[#This Row],[Sales Date]])</f>
        <v>2024</v>
      </c>
      <c r="X1320" s="23">
        <v>33</v>
      </c>
      <c r="Y1320" s="18" t="s">
        <v>41</v>
      </c>
      <c r="Z1320" s="18" t="s">
        <v>56</v>
      </c>
      <c r="AA1320" s="19" t="s">
        <v>25</v>
      </c>
    </row>
    <row r="1321" spans="1:27" x14ac:dyDescent="0.25">
      <c r="A1321" s="17" t="s">
        <v>178</v>
      </c>
      <c r="B1321" s="18" t="s">
        <v>27</v>
      </c>
      <c r="C1321" s="63" t="str" cm="1">
        <f t="array" ref="C1321">_xlfn.SWITCH(Table22[[#This Row],[Country]],"USA","North America","Canada","North America","Brazil","South America","China","Asia","Japan","Asia","India","Asia","France","Europe","Germany","Europe","UK","Europe","Australia","Oceania","South America")</f>
        <v>Europe</v>
      </c>
      <c r="D1321" s="18" t="s">
        <v>44</v>
      </c>
      <c r="E1321" s="18" t="s">
        <v>19</v>
      </c>
      <c r="F1321" s="18" t="s">
        <v>52</v>
      </c>
      <c r="G1321" s="18" t="s">
        <v>40</v>
      </c>
      <c r="H1321" s="64">
        <f>LEN(TRIM(Table22[[#This Row],[Country]]))</f>
        <v>7</v>
      </c>
      <c r="I1321" s="64">
        <f>LEN(TRIM(Table22[[#This Row],[Continent]]))</f>
        <v>6</v>
      </c>
      <c r="J1321" s="64">
        <f>LEN(TRIM(Table22[[#This Row],[Product]]))</f>
        <v>6</v>
      </c>
      <c r="K1321" s="64">
        <f>LEN(TRIM(Table22[[#This Row],[Sales Team]]))</f>
        <v>10</v>
      </c>
      <c r="L1321" s="23">
        <v>70</v>
      </c>
      <c r="M1321" s="65" t="str" cm="1">
        <f t="array" ref="M1321">_xlfn.IFS(Table22[[#This Row],[Units Sold]]&lt;40,"Critical",Table22[[#This Row],[Units Sold]]&lt;=50,"Poor",Table22[[#This Row],[Units Sold]]&lt;=60,"Low",Table22[[#This Row],[Units Sold]]&lt;=80,"Average",Table22[[#This Row],[Units Sold]]&lt;=90,"High",Table22[[#This Row],[Units Sold]]&lt;=95,"Excellent",Table22[[#This Row],[Units Sold]]&gt;95,"Outstanding")</f>
        <v>Average</v>
      </c>
      <c r="N1321" s="29">
        <v>260.39999999999998</v>
      </c>
      <c r="O1321" s="29">
        <v>18228</v>
      </c>
      <c r="P1321" s="43">
        <f>IF(Table22[[#This Row],[Discount Applied]],Table22[[#This Row],[Total Sales (in USD)]]*(1-Table22[[#This Row],[Discount Percentage (%)]]/100),Table22[[#This Row],[Total Sales (in USD)]])</f>
        <v>18228</v>
      </c>
      <c r="Q1321" s="66">
        <f>SQRT(AVERAGE((Table22[[#This Row],[Net Sales (after discount) (in USD)]]-AVERAGE(Table22[Net Sales (after discount) (in USD)]))^2))</f>
        <v>18283.360563764538</v>
      </c>
      <c r="R1321" s="18" t="b">
        <v>0</v>
      </c>
      <c r="S1321" s="40">
        <v>17.41</v>
      </c>
      <c r="T1321" s="18" t="b">
        <v>0</v>
      </c>
      <c r="U1321" s="25">
        <v>45460</v>
      </c>
      <c r="V1321" s="63" t="str">
        <f>IF(MONTH(Table22[[#This Row],[Sales Date]])&lt;=3,"Q1",IF(MONTH(Table22[[#This Row],[Sales Date]])&lt;=6,"Q2",IF(MONTH(Table22[[#This Row],[Sales Date]])&lt;=9,"Q3","Q4")))</f>
        <v>Q2</v>
      </c>
      <c r="W1321" s="64">
        <f>YEAR(Table22[[#This Row],[Sales Date]])</f>
        <v>2024</v>
      </c>
      <c r="X1321" s="23">
        <v>26</v>
      </c>
      <c r="Y1321" s="18" t="s">
        <v>49</v>
      </c>
      <c r="Z1321" s="18" t="s">
        <v>56</v>
      </c>
      <c r="AA1321" s="19" t="s">
        <v>25</v>
      </c>
    </row>
    <row r="1322" spans="1:27" x14ac:dyDescent="0.25">
      <c r="A1322" s="17" t="s">
        <v>1462</v>
      </c>
      <c r="B1322" s="18" t="s">
        <v>46</v>
      </c>
      <c r="C1322" s="63" t="str" cm="1">
        <f t="array" ref="C1322">_xlfn.SWITCH(Table22[[#This Row],[Country]],"USA","North America","Canada","North America","Brazil","South America","China","Asia","Japan","Asia","India","Asia","France","Europe","Germany","Europe","UK","Europe","Australia","Oceania","South America")</f>
        <v>South America</v>
      </c>
      <c r="D1322" s="18" t="s">
        <v>44</v>
      </c>
      <c r="E1322" s="18" t="s">
        <v>39</v>
      </c>
      <c r="F1322" s="18" t="s">
        <v>64</v>
      </c>
      <c r="G1322" s="18" t="s">
        <v>22</v>
      </c>
      <c r="H1322" s="64">
        <f>LEN(TRIM(Table22[[#This Row],[Country]]))</f>
        <v>6</v>
      </c>
      <c r="I1322" s="64">
        <f>LEN(TRIM(Table22[[#This Row],[Continent]]))</f>
        <v>13</v>
      </c>
      <c r="J1322" s="64">
        <f>LEN(TRIM(Table22[[#This Row],[Product]]))</f>
        <v>10</v>
      </c>
      <c r="K1322" s="64">
        <f>LEN(TRIM(Table22[[#This Row],[Sales Team]]))</f>
        <v>10</v>
      </c>
      <c r="L1322" s="23">
        <v>26</v>
      </c>
      <c r="M1322" s="65" t="str" cm="1">
        <f t="array" ref="M1322">_xlfn.IFS(Table22[[#This Row],[Units Sold]]&lt;40,"Critical",Table22[[#This Row],[Units Sold]]&lt;=50,"Poor",Table22[[#This Row],[Units Sold]]&lt;=60,"Low",Table22[[#This Row],[Units Sold]]&lt;=80,"Average",Table22[[#This Row],[Units Sold]]&lt;=90,"High",Table22[[#This Row],[Units Sold]]&lt;=95,"Excellent",Table22[[#This Row],[Units Sold]]&gt;95,"Outstanding")</f>
        <v>Critical</v>
      </c>
      <c r="N1322" s="29">
        <v>700.13</v>
      </c>
      <c r="O1322" s="29">
        <v>18203.38</v>
      </c>
      <c r="P1322" s="43">
        <f>IF(Table22[[#This Row],[Discount Applied]],Table22[[#This Row],[Total Sales (in USD)]]*(1-Table22[[#This Row],[Discount Percentage (%)]]/100),Table22[[#This Row],[Total Sales (in USD)]])</f>
        <v>14107.619500000001</v>
      </c>
      <c r="Q1322" s="66">
        <f>SQRT(AVERAGE((Table22[[#This Row],[Net Sales (after discount) (in USD)]]-AVERAGE(Table22[Net Sales (after discount) (in USD)]))^2))</f>
        <v>22403.741063764537</v>
      </c>
      <c r="R1322" s="18" t="b">
        <v>0</v>
      </c>
      <c r="S1322" s="40">
        <v>22.5</v>
      </c>
      <c r="T1322" s="18" t="b">
        <v>1</v>
      </c>
      <c r="U1322" s="25">
        <v>45103</v>
      </c>
      <c r="V1322" s="63" t="str">
        <f>IF(MONTH(Table22[[#This Row],[Sales Date]])&lt;=3,"Q1",IF(MONTH(Table22[[#This Row],[Sales Date]])&lt;=6,"Q2",IF(MONTH(Table22[[#This Row],[Sales Date]])&lt;=9,"Q3","Q4")))</f>
        <v>Q2</v>
      </c>
      <c r="W1322" s="64">
        <f>YEAR(Table22[[#This Row],[Sales Date]])</f>
        <v>2023</v>
      </c>
      <c r="X1322" s="23">
        <v>34</v>
      </c>
      <c r="Y1322" s="18" t="s">
        <v>41</v>
      </c>
      <c r="Z1322" s="18" t="s">
        <v>30</v>
      </c>
      <c r="AA1322" s="19" t="s">
        <v>25</v>
      </c>
    </row>
    <row r="1323" spans="1:27" x14ac:dyDescent="0.25">
      <c r="A1323" s="17" t="s">
        <v>1885</v>
      </c>
      <c r="B1323" s="18" t="s">
        <v>27</v>
      </c>
      <c r="C1323" s="63" t="str" cm="1">
        <f t="array" ref="C1323">_xlfn.SWITCH(Table22[[#This Row],[Country]],"USA","North America","Canada","North America","Brazil","South America","China","Asia","Japan","Asia","India","Asia","France","Europe","Germany","Europe","UK","Europe","Australia","Oceania","South America")</f>
        <v>Europe</v>
      </c>
      <c r="D1323" s="18" t="s">
        <v>28</v>
      </c>
      <c r="E1323" s="18" t="s">
        <v>33</v>
      </c>
      <c r="F1323" s="18" t="s">
        <v>64</v>
      </c>
      <c r="G1323" s="18" t="s">
        <v>22</v>
      </c>
      <c r="H1323" s="64">
        <f>LEN(TRIM(Table22[[#This Row],[Country]]))</f>
        <v>7</v>
      </c>
      <c r="I1323" s="64">
        <f>LEN(TRIM(Table22[[#This Row],[Continent]]))</f>
        <v>6</v>
      </c>
      <c r="J1323" s="64">
        <f>LEN(TRIM(Table22[[#This Row],[Product]]))</f>
        <v>10</v>
      </c>
      <c r="K1323" s="64">
        <f>LEN(TRIM(Table22[[#This Row],[Sales Team]]))</f>
        <v>10</v>
      </c>
      <c r="L1323" s="23">
        <v>23</v>
      </c>
      <c r="M1323" s="65" t="str" cm="1">
        <f t="array" ref="M1323">_xlfn.IFS(Table22[[#This Row],[Units Sold]]&lt;40,"Critical",Table22[[#This Row],[Units Sold]]&lt;=50,"Poor",Table22[[#This Row],[Units Sold]]&lt;=60,"Low",Table22[[#This Row],[Units Sold]]&lt;=80,"Average",Table22[[#This Row],[Units Sold]]&lt;=90,"High",Table22[[#This Row],[Units Sold]]&lt;=95,"Excellent",Table22[[#This Row],[Units Sold]]&gt;95,"Outstanding")</f>
        <v>Critical</v>
      </c>
      <c r="N1323" s="29">
        <v>791.38</v>
      </c>
      <c r="O1323" s="29">
        <v>18201.740000000002</v>
      </c>
      <c r="P1323" s="43">
        <f>IF(Table22[[#This Row],[Discount Applied]],Table22[[#This Row],[Total Sales (in USD)]]*(1-Table22[[#This Row],[Discount Percentage (%)]]/100),Table22[[#This Row],[Total Sales (in USD)]])</f>
        <v>16188.627556000001</v>
      </c>
      <c r="Q1323" s="66">
        <f>SQRT(AVERAGE((Table22[[#This Row],[Net Sales (after discount) (in USD)]]-AVERAGE(Table22[Net Sales (after discount) (in USD)]))^2))</f>
        <v>20322.733007764538</v>
      </c>
      <c r="R1323" s="18" t="b">
        <v>1</v>
      </c>
      <c r="S1323" s="40">
        <v>11.06</v>
      </c>
      <c r="T1323" s="18" t="b">
        <v>1</v>
      </c>
      <c r="U1323" s="25">
        <v>45179</v>
      </c>
      <c r="V1323" s="63" t="str">
        <f>IF(MONTH(Table22[[#This Row],[Sales Date]])&lt;=3,"Q1",IF(MONTH(Table22[[#This Row],[Sales Date]])&lt;=6,"Q2",IF(MONTH(Table22[[#This Row],[Sales Date]])&lt;=9,"Q3","Q4")))</f>
        <v>Q3</v>
      </c>
      <c r="W1323" s="64">
        <f>YEAR(Table22[[#This Row],[Sales Date]])</f>
        <v>2023</v>
      </c>
      <c r="X1323" s="23">
        <v>60</v>
      </c>
      <c r="Y1323" s="18" t="s">
        <v>41</v>
      </c>
      <c r="Z1323" s="18" t="s">
        <v>24</v>
      </c>
      <c r="AA1323" s="19" t="s">
        <v>36</v>
      </c>
    </row>
    <row r="1324" spans="1:27" x14ac:dyDescent="0.25">
      <c r="A1324" s="17" t="s">
        <v>1719</v>
      </c>
      <c r="B1324" s="18" t="s">
        <v>18</v>
      </c>
      <c r="C1324" s="63" t="str" cm="1">
        <f t="array" ref="C1324">_xlfn.SWITCH(Table22[[#This Row],[Country]],"USA","North America","Canada","North America","Brazil","South America","China","Asia","Japan","Asia","India","Asia","France","Europe","Germany","Europe","UK","Europe","Australia","Oceania","South America")</f>
        <v>Asia</v>
      </c>
      <c r="D1324" s="18" t="s">
        <v>21</v>
      </c>
      <c r="E1324" s="18" t="s">
        <v>39</v>
      </c>
      <c r="F1324" s="18" t="s">
        <v>52</v>
      </c>
      <c r="G1324" s="18" t="s">
        <v>40</v>
      </c>
      <c r="H1324" s="64">
        <f>LEN(TRIM(Table22[[#This Row],[Country]]))</f>
        <v>5</v>
      </c>
      <c r="I1324" s="64">
        <f>LEN(TRIM(Table22[[#This Row],[Continent]]))</f>
        <v>4</v>
      </c>
      <c r="J1324" s="64">
        <f>LEN(TRIM(Table22[[#This Row],[Product]]))</f>
        <v>10</v>
      </c>
      <c r="K1324" s="64">
        <f>LEN(TRIM(Table22[[#This Row],[Sales Team]]))</f>
        <v>10</v>
      </c>
      <c r="L1324" s="23">
        <v>89</v>
      </c>
      <c r="M1324" s="65" t="str" cm="1">
        <f t="array" ref="M1324">_xlfn.IFS(Table22[[#This Row],[Units Sold]]&lt;40,"Critical",Table22[[#This Row],[Units Sold]]&lt;=50,"Poor",Table22[[#This Row],[Units Sold]]&lt;=60,"Low",Table22[[#This Row],[Units Sold]]&lt;=80,"Average",Table22[[#This Row],[Units Sold]]&lt;=90,"High",Table22[[#This Row],[Units Sold]]&lt;=95,"Excellent",Table22[[#This Row],[Units Sold]]&gt;95,"Outstanding")</f>
        <v>High</v>
      </c>
      <c r="N1324" s="29">
        <v>204.23</v>
      </c>
      <c r="O1324" s="29">
        <v>18176.47</v>
      </c>
      <c r="P1324" s="43">
        <f>IF(Table22[[#This Row],[Discount Applied]],Table22[[#This Row],[Total Sales (in USD)]]*(1-Table22[[#This Row],[Discount Percentage (%)]]/100),Table22[[#This Row],[Total Sales (in USD)]])</f>
        <v>15913.499485</v>
      </c>
      <c r="Q1324" s="66">
        <f>SQRT(AVERAGE((Table22[[#This Row],[Net Sales (after discount) (in USD)]]-AVERAGE(Table22[Net Sales (after discount) (in USD)]))^2))</f>
        <v>20597.861078764538</v>
      </c>
      <c r="R1324" s="18" t="b">
        <v>1</v>
      </c>
      <c r="S1324" s="40">
        <v>12.45</v>
      </c>
      <c r="T1324" s="18" t="b">
        <v>1</v>
      </c>
      <c r="U1324" s="25">
        <v>45361</v>
      </c>
      <c r="V1324" s="63" t="str">
        <f>IF(MONTH(Table22[[#This Row],[Sales Date]])&lt;=3,"Q1",IF(MONTH(Table22[[#This Row],[Sales Date]])&lt;=6,"Q2",IF(MONTH(Table22[[#This Row],[Sales Date]])&lt;=9,"Q3","Q4")))</f>
        <v>Q1</v>
      </c>
      <c r="W1324" s="64">
        <f>YEAR(Table22[[#This Row],[Sales Date]])</f>
        <v>2024</v>
      </c>
      <c r="X1324" s="23">
        <v>29</v>
      </c>
      <c r="Y1324" s="18" t="s">
        <v>49</v>
      </c>
      <c r="Z1324" s="18" t="s">
        <v>42</v>
      </c>
      <c r="AA1324" s="19" t="s">
        <v>25</v>
      </c>
    </row>
    <row r="1325" spans="1:27" x14ac:dyDescent="0.25">
      <c r="A1325" s="17" t="s">
        <v>812</v>
      </c>
      <c r="B1325" s="18" t="s">
        <v>66</v>
      </c>
      <c r="C1325" s="63" t="str" cm="1">
        <f t="array" ref="C1325">_xlfn.SWITCH(Table22[[#This Row],[Country]],"USA","North America","Canada","North America","Brazil","South America","China","Asia","Japan","Asia","India","Asia","France","Europe","Germany","Europe","UK","Europe","Australia","Oceania","South America")</f>
        <v>North America</v>
      </c>
      <c r="D1325" s="18" t="s">
        <v>28</v>
      </c>
      <c r="E1325" s="18" t="s">
        <v>33</v>
      </c>
      <c r="F1325" s="18" t="s">
        <v>20</v>
      </c>
      <c r="G1325" s="18" t="s">
        <v>48</v>
      </c>
      <c r="H1325" s="64">
        <f>LEN(TRIM(Table22[[#This Row],[Country]]))</f>
        <v>6</v>
      </c>
      <c r="I1325" s="64">
        <f>LEN(TRIM(Table22[[#This Row],[Continent]]))</f>
        <v>13</v>
      </c>
      <c r="J1325" s="64">
        <f>LEN(TRIM(Table22[[#This Row],[Product]]))</f>
        <v>10</v>
      </c>
      <c r="K1325" s="64">
        <f>LEN(TRIM(Table22[[#This Row],[Sales Team]]))</f>
        <v>9</v>
      </c>
      <c r="L1325" s="23">
        <v>18</v>
      </c>
      <c r="M1325" s="65" t="str" cm="1">
        <f t="array" ref="M1325">_xlfn.IFS(Table22[[#This Row],[Units Sold]]&lt;40,"Critical",Table22[[#This Row],[Units Sold]]&lt;=50,"Poor",Table22[[#This Row],[Units Sold]]&lt;=60,"Low",Table22[[#This Row],[Units Sold]]&lt;=80,"Average",Table22[[#This Row],[Units Sold]]&lt;=90,"High",Table22[[#This Row],[Units Sold]]&lt;=95,"Excellent",Table22[[#This Row],[Units Sold]]&gt;95,"Outstanding")</f>
        <v>Critical</v>
      </c>
      <c r="N1325" s="29">
        <v>1006.03</v>
      </c>
      <c r="O1325" s="29">
        <v>18108.54</v>
      </c>
      <c r="P1325" s="43">
        <f>IF(Table22[[#This Row],[Discount Applied]],Table22[[#This Row],[Total Sales (in USD)]]*(1-Table22[[#This Row],[Discount Percentage (%)]]/100),Table22[[#This Row],[Total Sales (in USD)]])</f>
        <v>17445.767436000002</v>
      </c>
      <c r="Q1325" s="66">
        <f>SQRT(AVERAGE((Table22[[#This Row],[Net Sales (after discount) (in USD)]]-AVERAGE(Table22[Net Sales (after discount) (in USD)]))^2))</f>
        <v>19065.593127764536</v>
      </c>
      <c r="R1325" s="18" t="b">
        <v>0</v>
      </c>
      <c r="S1325" s="40">
        <v>3.66</v>
      </c>
      <c r="T1325" s="18" t="b">
        <v>1</v>
      </c>
      <c r="U1325" s="25">
        <v>45229</v>
      </c>
      <c r="V1325" s="63" t="str">
        <f>IF(MONTH(Table22[[#This Row],[Sales Date]])&lt;=3,"Q1",IF(MONTH(Table22[[#This Row],[Sales Date]])&lt;=6,"Q2",IF(MONTH(Table22[[#This Row],[Sales Date]])&lt;=9,"Q3","Q4")))</f>
        <v>Q4</v>
      </c>
      <c r="W1325" s="64">
        <f>YEAR(Table22[[#This Row],[Sales Date]])</f>
        <v>2023</v>
      </c>
      <c r="X1325" s="23">
        <v>25</v>
      </c>
      <c r="Y1325" s="18" t="s">
        <v>49</v>
      </c>
      <c r="Z1325" s="18" t="s">
        <v>24</v>
      </c>
      <c r="AA1325" s="19" t="s">
        <v>25</v>
      </c>
    </row>
    <row r="1326" spans="1:27" x14ac:dyDescent="0.25">
      <c r="A1326" s="17" t="s">
        <v>1750</v>
      </c>
      <c r="B1326" s="18" t="s">
        <v>46</v>
      </c>
      <c r="C1326" s="63" t="str" cm="1">
        <f t="array" ref="C1326">_xlfn.SWITCH(Table22[[#This Row],[Country]],"USA","North America","Canada","North America","Brazil","South America","China","Asia","Japan","Asia","India","Asia","France","Europe","Germany","Europe","UK","Europe","Australia","Oceania","South America")</f>
        <v>South America</v>
      </c>
      <c r="D1326" s="18" t="s">
        <v>21</v>
      </c>
      <c r="E1326" s="18" t="s">
        <v>39</v>
      </c>
      <c r="F1326" s="18" t="s">
        <v>20</v>
      </c>
      <c r="G1326" s="18" t="s">
        <v>22</v>
      </c>
      <c r="H1326" s="64">
        <f>LEN(TRIM(Table22[[#This Row],[Country]]))</f>
        <v>6</v>
      </c>
      <c r="I1326" s="64">
        <f>LEN(TRIM(Table22[[#This Row],[Continent]]))</f>
        <v>13</v>
      </c>
      <c r="J1326" s="64">
        <f>LEN(TRIM(Table22[[#This Row],[Product]]))</f>
        <v>10</v>
      </c>
      <c r="K1326" s="64">
        <f>LEN(TRIM(Table22[[#This Row],[Sales Team]]))</f>
        <v>10</v>
      </c>
      <c r="L1326" s="23">
        <v>45</v>
      </c>
      <c r="M1326" s="65" t="str" cm="1">
        <f t="array" ref="M1326">_xlfn.IFS(Table22[[#This Row],[Units Sold]]&lt;40,"Critical",Table22[[#This Row],[Units Sold]]&lt;=50,"Poor",Table22[[#This Row],[Units Sold]]&lt;=60,"Low",Table22[[#This Row],[Units Sold]]&lt;=80,"Average",Table22[[#This Row],[Units Sold]]&lt;=90,"High",Table22[[#This Row],[Units Sold]]&lt;=95,"Excellent",Table22[[#This Row],[Units Sold]]&gt;95,"Outstanding")</f>
        <v>Poor</v>
      </c>
      <c r="N1326" s="29">
        <v>402.3</v>
      </c>
      <c r="O1326" s="29">
        <v>18103.5</v>
      </c>
      <c r="P1326" s="43">
        <f>IF(Table22[[#This Row],[Discount Applied]],Table22[[#This Row],[Total Sales (in USD)]]*(1-Table22[[#This Row],[Discount Percentage (%)]]/100),Table22[[#This Row],[Total Sales (in USD)]])</f>
        <v>18103.5</v>
      </c>
      <c r="Q1326" s="66">
        <f>SQRT(AVERAGE((Table22[[#This Row],[Net Sales (after discount) (in USD)]]-AVERAGE(Table22[Net Sales (after discount) (in USD)]))^2))</f>
        <v>18407.860563764538</v>
      </c>
      <c r="R1326" s="18" t="b">
        <v>1</v>
      </c>
      <c r="S1326" s="40">
        <v>12.48</v>
      </c>
      <c r="T1326" s="18" t="b">
        <v>0</v>
      </c>
      <c r="U1326" s="25">
        <v>45347</v>
      </c>
      <c r="V1326" s="63" t="str">
        <f>IF(MONTH(Table22[[#This Row],[Sales Date]])&lt;=3,"Q1",IF(MONTH(Table22[[#This Row],[Sales Date]])&lt;=6,"Q2",IF(MONTH(Table22[[#This Row],[Sales Date]])&lt;=9,"Q3","Q4")))</f>
        <v>Q1</v>
      </c>
      <c r="W1326" s="64">
        <f>YEAR(Table22[[#This Row],[Sales Date]])</f>
        <v>2024</v>
      </c>
      <c r="X1326" s="23">
        <v>53</v>
      </c>
      <c r="Y1326" s="18" t="s">
        <v>49</v>
      </c>
      <c r="Z1326" s="18" t="s">
        <v>56</v>
      </c>
      <c r="AA1326" s="19" t="s">
        <v>25</v>
      </c>
    </row>
    <row r="1327" spans="1:27" x14ac:dyDescent="0.25">
      <c r="A1327" s="17" t="s">
        <v>872</v>
      </c>
      <c r="B1327" s="18" t="s">
        <v>46</v>
      </c>
      <c r="C1327" s="63" t="str" cm="1">
        <f t="array" ref="C1327">_xlfn.SWITCH(Table22[[#This Row],[Country]],"USA","North America","Canada","North America","Brazil","South America","China","Asia","Japan","Asia","India","Asia","France","Europe","Germany","Europe","UK","Europe","Australia","Oceania","South America")</f>
        <v>South America</v>
      </c>
      <c r="D1327" s="18" t="s">
        <v>44</v>
      </c>
      <c r="E1327" s="18" t="s">
        <v>19</v>
      </c>
      <c r="F1327" s="18" t="s">
        <v>34</v>
      </c>
      <c r="G1327" s="18" t="s">
        <v>48</v>
      </c>
      <c r="H1327" s="64">
        <f>LEN(TRIM(Table22[[#This Row],[Country]]))</f>
        <v>6</v>
      </c>
      <c r="I1327" s="64">
        <f>LEN(TRIM(Table22[[#This Row],[Continent]]))</f>
        <v>13</v>
      </c>
      <c r="J1327" s="64">
        <f>LEN(TRIM(Table22[[#This Row],[Product]]))</f>
        <v>6</v>
      </c>
      <c r="K1327" s="64">
        <f>LEN(TRIM(Table22[[#This Row],[Sales Team]]))</f>
        <v>9</v>
      </c>
      <c r="L1327" s="23">
        <v>23</v>
      </c>
      <c r="M1327" s="65" t="str" cm="1">
        <f t="array" ref="M1327">_xlfn.IFS(Table22[[#This Row],[Units Sold]]&lt;40,"Critical",Table22[[#This Row],[Units Sold]]&lt;=50,"Poor",Table22[[#This Row],[Units Sold]]&lt;=60,"Low",Table22[[#This Row],[Units Sold]]&lt;=80,"Average",Table22[[#This Row],[Units Sold]]&lt;=90,"High",Table22[[#This Row],[Units Sold]]&lt;=95,"Excellent",Table22[[#This Row],[Units Sold]]&gt;95,"Outstanding")</f>
        <v>Critical</v>
      </c>
      <c r="N1327" s="29">
        <v>782.07</v>
      </c>
      <c r="O1327" s="29">
        <v>17987.61</v>
      </c>
      <c r="P1327" s="43">
        <f>IF(Table22[[#This Row],[Discount Applied]],Table22[[#This Row],[Total Sales (in USD)]]*(1-Table22[[#This Row],[Discount Percentage (%)]]/100),Table22[[#This Row],[Total Sales (in USD)]])</f>
        <v>17987.61</v>
      </c>
      <c r="Q1327" s="66">
        <f>SQRT(AVERAGE((Table22[[#This Row],[Net Sales (after discount) (in USD)]]-AVERAGE(Table22[Net Sales (after discount) (in USD)]))^2))</f>
        <v>18523.750563764537</v>
      </c>
      <c r="R1327" s="18" t="b">
        <v>1</v>
      </c>
      <c r="S1327" s="40">
        <v>19.64</v>
      </c>
      <c r="T1327" s="18" t="b">
        <v>0</v>
      </c>
      <c r="U1327" s="25">
        <v>45575</v>
      </c>
      <c r="V1327" s="63" t="str">
        <f>IF(MONTH(Table22[[#This Row],[Sales Date]])&lt;=3,"Q1",IF(MONTH(Table22[[#This Row],[Sales Date]])&lt;=6,"Q2",IF(MONTH(Table22[[#This Row],[Sales Date]])&lt;=9,"Q3","Q4")))</f>
        <v>Q4</v>
      </c>
      <c r="W1327" s="64">
        <f>YEAR(Table22[[#This Row],[Sales Date]])</f>
        <v>2024</v>
      </c>
      <c r="X1327" s="23">
        <v>50</v>
      </c>
      <c r="Y1327" s="18" t="s">
        <v>41</v>
      </c>
      <c r="Z1327" s="18" t="s">
        <v>56</v>
      </c>
      <c r="AA1327" s="19" t="s">
        <v>25</v>
      </c>
    </row>
    <row r="1328" spans="1:27" x14ac:dyDescent="0.25">
      <c r="A1328" s="17" t="s">
        <v>488</v>
      </c>
      <c r="B1328" s="18" t="s">
        <v>32</v>
      </c>
      <c r="C1328" s="63" t="str" cm="1">
        <f t="array" ref="C1328">_xlfn.SWITCH(Table22[[#This Row],[Country]],"USA","North America","Canada","North America","Brazil","South America","China","Asia","Japan","Asia","India","Asia","France","Europe","Germany","Europe","UK","Europe","Australia","Oceania","South America")</f>
        <v>Asia</v>
      </c>
      <c r="D1328" s="18" t="s">
        <v>28</v>
      </c>
      <c r="E1328" s="18" t="s">
        <v>33</v>
      </c>
      <c r="F1328" s="18" t="s">
        <v>20</v>
      </c>
      <c r="G1328" s="18" t="s">
        <v>40</v>
      </c>
      <c r="H1328" s="64">
        <f>LEN(TRIM(Table22[[#This Row],[Country]]))</f>
        <v>5</v>
      </c>
      <c r="I1328" s="64">
        <f>LEN(TRIM(Table22[[#This Row],[Continent]]))</f>
        <v>4</v>
      </c>
      <c r="J1328" s="64">
        <f>LEN(TRIM(Table22[[#This Row],[Product]]))</f>
        <v>10</v>
      </c>
      <c r="K1328" s="64">
        <f>LEN(TRIM(Table22[[#This Row],[Sales Team]]))</f>
        <v>10</v>
      </c>
      <c r="L1328" s="23">
        <v>44</v>
      </c>
      <c r="M1328" s="65" t="str" cm="1">
        <f t="array" ref="M1328">_xlfn.IFS(Table22[[#This Row],[Units Sold]]&lt;40,"Critical",Table22[[#This Row],[Units Sold]]&lt;=50,"Poor",Table22[[#This Row],[Units Sold]]&lt;=60,"Low",Table22[[#This Row],[Units Sold]]&lt;=80,"Average",Table22[[#This Row],[Units Sold]]&lt;=90,"High",Table22[[#This Row],[Units Sold]]&lt;=95,"Excellent",Table22[[#This Row],[Units Sold]]&gt;95,"Outstanding")</f>
        <v>Poor</v>
      </c>
      <c r="N1328" s="29">
        <v>408.45</v>
      </c>
      <c r="O1328" s="29">
        <v>17971.8</v>
      </c>
      <c r="P1328" s="43">
        <f>IF(Table22[[#This Row],[Discount Applied]],Table22[[#This Row],[Total Sales (in USD)]]*(1-Table22[[#This Row],[Discount Percentage (%)]]/100),Table22[[#This Row],[Total Sales (in USD)]])</f>
        <v>17971.8</v>
      </c>
      <c r="Q1328" s="66">
        <f>SQRT(AVERAGE((Table22[[#This Row],[Net Sales (after discount) (in USD)]]-AVERAGE(Table22[Net Sales (after discount) (in USD)]))^2))</f>
        <v>18539.560563764539</v>
      </c>
      <c r="R1328" s="18" t="b">
        <v>1</v>
      </c>
      <c r="S1328" s="40">
        <v>8.4</v>
      </c>
      <c r="T1328" s="18" t="b">
        <v>0</v>
      </c>
      <c r="U1328" s="25">
        <v>45305</v>
      </c>
      <c r="V1328" s="63" t="str">
        <f>IF(MONTH(Table22[[#This Row],[Sales Date]])&lt;=3,"Q1",IF(MONTH(Table22[[#This Row],[Sales Date]])&lt;=6,"Q2",IF(MONTH(Table22[[#This Row],[Sales Date]])&lt;=9,"Q3","Q4")))</f>
        <v>Q1</v>
      </c>
      <c r="W1328" s="64">
        <f>YEAR(Table22[[#This Row],[Sales Date]])</f>
        <v>2024</v>
      </c>
      <c r="X1328" s="23">
        <v>56</v>
      </c>
      <c r="Y1328" s="18" t="s">
        <v>23</v>
      </c>
      <c r="Z1328" s="18" t="s">
        <v>30</v>
      </c>
      <c r="AA1328" s="19" t="s">
        <v>25</v>
      </c>
    </row>
    <row r="1329" spans="1:27" x14ac:dyDescent="0.25">
      <c r="A1329" s="17" t="s">
        <v>250</v>
      </c>
      <c r="B1329" s="18" t="s">
        <v>66</v>
      </c>
      <c r="C1329" s="63" t="str" cm="1">
        <f t="array" ref="C1329">_xlfn.SWITCH(Table22[[#This Row],[Country]],"USA","North America","Canada","North America","Brazil","South America","China","Asia","Japan","Asia","India","Asia","France","Europe","Germany","Europe","UK","Europe","Australia","Oceania","South America")</f>
        <v>North America</v>
      </c>
      <c r="D1329" s="18" t="s">
        <v>28</v>
      </c>
      <c r="E1329" s="18" t="s">
        <v>33</v>
      </c>
      <c r="F1329" s="18" t="s">
        <v>20</v>
      </c>
      <c r="G1329" s="18" t="s">
        <v>40</v>
      </c>
      <c r="H1329" s="64">
        <f>LEN(TRIM(Table22[[#This Row],[Country]]))</f>
        <v>6</v>
      </c>
      <c r="I1329" s="64">
        <f>LEN(TRIM(Table22[[#This Row],[Continent]]))</f>
        <v>13</v>
      </c>
      <c r="J1329" s="64">
        <f>LEN(TRIM(Table22[[#This Row],[Product]]))</f>
        <v>10</v>
      </c>
      <c r="K1329" s="64">
        <f>LEN(TRIM(Table22[[#This Row],[Sales Team]]))</f>
        <v>10</v>
      </c>
      <c r="L1329" s="23">
        <v>37</v>
      </c>
      <c r="M1329" s="65" t="str" cm="1">
        <f t="array" ref="M1329">_xlfn.IFS(Table22[[#This Row],[Units Sold]]&lt;40,"Critical",Table22[[#This Row],[Units Sold]]&lt;=50,"Poor",Table22[[#This Row],[Units Sold]]&lt;=60,"Low",Table22[[#This Row],[Units Sold]]&lt;=80,"Average",Table22[[#This Row],[Units Sold]]&lt;=90,"High",Table22[[#This Row],[Units Sold]]&lt;=95,"Excellent",Table22[[#This Row],[Units Sold]]&gt;95,"Outstanding")</f>
        <v>Critical</v>
      </c>
      <c r="N1329" s="29">
        <v>485.71</v>
      </c>
      <c r="O1329" s="29">
        <v>17971.27</v>
      </c>
      <c r="P1329" s="43">
        <f>IF(Table22[[#This Row],[Discount Applied]],Table22[[#This Row],[Total Sales (in USD)]]*(1-Table22[[#This Row],[Discount Percentage (%)]]/100),Table22[[#This Row],[Total Sales (in USD)]])</f>
        <v>14461.480969</v>
      </c>
      <c r="Q1329" s="66">
        <f>SQRT(AVERAGE((Table22[[#This Row],[Net Sales (after discount) (in USD)]]-AVERAGE(Table22[Net Sales (after discount) (in USD)]))^2))</f>
        <v>22049.879594764538</v>
      </c>
      <c r="R1329" s="18" t="b">
        <v>0</v>
      </c>
      <c r="S1329" s="40">
        <v>19.53</v>
      </c>
      <c r="T1329" s="18" t="b">
        <v>1</v>
      </c>
      <c r="U1329" s="25">
        <v>44941</v>
      </c>
      <c r="V1329" s="63" t="str">
        <f>IF(MONTH(Table22[[#This Row],[Sales Date]])&lt;=3,"Q1",IF(MONTH(Table22[[#This Row],[Sales Date]])&lt;=6,"Q2",IF(MONTH(Table22[[#This Row],[Sales Date]])&lt;=9,"Q3","Q4")))</f>
        <v>Q1</v>
      </c>
      <c r="W1329" s="64">
        <f>YEAR(Table22[[#This Row],[Sales Date]])</f>
        <v>2023</v>
      </c>
      <c r="X1329" s="23">
        <v>68</v>
      </c>
      <c r="Y1329" s="18" t="s">
        <v>41</v>
      </c>
      <c r="Z1329" s="18" t="s">
        <v>24</v>
      </c>
      <c r="AA1329" s="19" t="s">
        <v>25</v>
      </c>
    </row>
    <row r="1330" spans="1:27" x14ac:dyDescent="0.25">
      <c r="A1330" s="17" t="s">
        <v>470</v>
      </c>
      <c r="B1330" s="18" t="s">
        <v>38</v>
      </c>
      <c r="C1330" s="63" t="str" cm="1">
        <f t="array" ref="C1330">_xlfn.SWITCH(Table22[[#This Row],[Country]],"USA","North America","Canada","North America","Brazil","South America","China","Asia","Japan","Asia","India","Asia","France","Europe","Germany","Europe","UK","Europe","Australia","Oceania","South America")</f>
        <v>Europe</v>
      </c>
      <c r="D1330" s="18" t="s">
        <v>28</v>
      </c>
      <c r="E1330" s="18" t="s">
        <v>39</v>
      </c>
      <c r="F1330" s="18" t="s">
        <v>47</v>
      </c>
      <c r="G1330" s="18" t="s">
        <v>40</v>
      </c>
      <c r="H1330" s="64">
        <f>LEN(TRIM(Table22[[#This Row],[Country]]))</f>
        <v>6</v>
      </c>
      <c r="I1330" s="64">
        <f>LEN(TRIM(Table22[[#This Row],[Continent]]))</f>
        <v>6</v>
      </c>
      <c r="J1330" s="64">
        <f>LEN(TRIM(Table22[[#This Row],[Product]]))</f>
        <v>10</v>
      </c>
      <c r="K1330" s="64">
        <f>LEN(TRIM(Table22[[#This Row],[Sales Team]]))</f>
        <v>10</v>
      </c>
      <c r="L1330" s="23">
        <v>43</v>
      </c>
      <c r="M1330" s="65" t="str" cm="1">
        <f t="array" ref="M1330">_xlfn.IFS(Table22[[#This Row],[Units Sold]]&lt;40,"Critical",Table22[[#This Row],[Units Sold]]&lt;=50,"Poor",Table22[[#This Row],[Units Sold]]&lt;=60,"Low",Table22[[#This Row],[Units Sold]]&lt;=80,"Average",Table22[[#This Row],[Units Sold]]&lt;=90,"High",Table22[[#This Row],[Units Sold]]&lt;=95,"Excellent",Table22[[#This Row],[Units Sold]]&gt;95,"Outstanding")</f>
        <v>Poor</v>
      </c>
      <c r="N1330" s="29">
        <v>417.22</v>
      </c>
      <c r="O1330" s="29">
        <v>17940.46</v>
      </c>
      <c r="P1330" s="43">
        <f>IF(Table22[[#This Row],[Discount Applied]],Table22[[#This Row],[Total Sales (in USD)]]*(1-Table22[[#This Row],[Discount Percentage (%)]]/100),Table22[[#This Row],[Total Sales (in USD)]])</f>
        <v>17940.46</v>
      </c>
      <c r="Q1330" s="66">
        <f>SQRT(AVERAGE((Table22[[#This Row],[Net Sales (after discount) (in USD)]]-AVERAGE(Table22[Net Sales (after discount) (in USD)]))^2))</f>
        <v>18570.900563764539</v>
      </c>
      <c r="R1330" s="18" t="b">
        <v>1</v>
      </c>
      <c r="S1330" s="40">
        <v>29.38</v>
      </c>
      <c r="T1330" s="18" t="b">
        <v>0</v>
      </c>
      <c r="U1330" s="25">
        <v>45234</v>
      </c>
      <c r="V1330" s="63" t="str">
        <f>IF(MONTH(Table22[[#This Row],[Sales Date]])&lt;=3,"Q1",IF(MONTH(Table22[[#This Row],[Sales Date]])&lt;=6,"Q2",IF(MONTH(Table22[[#This Row],[Sales Date]])&lt;=9,"Q3","Q4")))</f>
        <v>Q4</v>
      </c>
      <c r="W1330" s="64">
        <f>YEAR(Table22[[#This Row],[Sales Date]])</f>
        <v>2023</v>
      </c>
      <c r="X1330" s="23">
        <v>28</v>
      </c>
      <c r="Y1330" s="18" t="s">
        <v>49</v>
      </c>
      <c r="Z1330" s="18" t="s">
        <v>30</v>
      </c>
      <c r="AA1330" s="19" t="s">
        <v>25</v>
      </c>
    </row>
    <row r="1331" spans="1:27" x14ac:dyDescent="0.25">
      <c r="A1331" s="17" t="s">
        <v>930</v>
      </c>
      <c r="B1331" s="18" t="s">
        <v>27</v>
      </c>
      <c r="C1331" s="63" t="str" cm="1">
        <f t="array" ref="C1331">_xlfn.SWITCH(Table22[[#This Row],[Country]],"USA","North America","Canada","North America","Brazil","South America","China","Asia","Japan","Asia","India","Asia","France","Europe","Germany","Europe","UK","Europe","Australia","Oceania","South America")</f>
        <v>Europe</v>
      </c>
      <c r="D1331" s="18" t="s">
        <v>21</v>
      </c>
      <c r="E1331" s="18" t="s">
        <v>39</v>
      </c>
      <c r="F1331" s="18" t="s">
        <v>34</v>
      </c>
      <c r="G1331" s="18" t="s">
        <v>29</v>
      </c>
      <c r="H1331" s="64">
        <f>LEN(TRIM(Table22[[#This Row],[Country]]))</f>
        <v>7</v>
      </c>
      <c r="I1331" s="64">
        <f>LEN(TRIM(Table22[[#This Row],[Continent]]))</f>
        <v>6</v>
      </c>
      <c r="J1331" s="64">
        <f>LEN(TRIM(Table22[[#This Row],[Product]]))</f>
        <v>10</v>
      </c>
      <c r="K1331" s="64">
        <f>LEN(TRIM(Table22[[#This Row],[Sales Team]]))</f>
        <v>10</v>
      </c>
      <c r="L1331" s="23">
        <v>30</v>
      </c>
      <c r="M1331" s="65" t="str" cm="1">
        <f t="array" ref="M1331">_xlfn.IFS(Table22[[#This Row],[Units Sold]]&lt;40,"Critical",Table22[[#This Row],[Units Sold]]&lt;=50,"Poor",Table22[[#This Row],[Units Sold]]&lt;=60,"Low",Table22[[#This Row],[Units Sold]]&lt;=80,"Average",Table22[[#This Row],[Units Sold]]&lt;=90,"High",Table22[[#This Row],[Units Sold]]&lt;=95,"Excellent",Table22[[#This Row],[Units Sold]]&gt;95,"Outstanding")</f>
        <v>Critical</v>
      </c>
      <c r="N1331" s="29">
        <v>595.49</v>
      </c>
      <c r="O1331" s="29">
        <v>17864.7</v>
      </c>
      <c r="P1331" s="43">
        <f>IF(Table22[[#This Row],[Discount Applied]],Table22[[#This Row],[Total Sales (in USD)]]*(1-Table22[[#This Row],[Discount Percentage (%)]]/100),Table22[[#This Row],[Total Sales (in USD)]])</f>
        <v>13970.195400000001</v>
      </c>
      <c r="Q1331" s="66">
        <f>SQRT(AVERAGE((Table22[[#This Row],[Net Sales (after discount) (in USD)]]-AVERAGE(Table22[Net Sales (after discount) (in USD)]))^2))</f>
        <v>22541.165163764537</v>
      </c>
      <c r="R1331" s="18" t="b">
        <v>0</v>
      </c>
      <c r="S1331" s="40">
        <v>21.8</v>
      </c>
      <c r="T1331" s="18" t="b">
        <v>1</v>
      </c>
      <c r="U1331" s="25">
        <v>45495</v>
      </c>
      <c r="V1331" s="63" t="str">
        <f>IF(MONTH(Table22[[#This Row],[Sales Date]])&lt;=3,"Q1",IF(MONTH(Table22[[#This Row],[Sales Date]])&lt;=6,"Q2",IF(MONTH(Table22[[#This Row],[Sales Date]])&lt;=9,"Q3","Q4")))</f>
        <v>Q3</v>
      </c>
      <c r="W1331" s="64">
        <f>YEAR(Table22[[#This Row],[Sales Date]])</f>
        <v>2024</v>
      </c>
      <c r="X1331" s="23">
        <v>29</v>
      </c>
      <c r="Y1331" s="18" t="s">
        <v>23</v>
      </c>
      <c r="Z1331" s="18" t="s">
        <v>42</v>
      </c>
      <c r="AA1331" s="19" t="s">
        <v>25</v>
      </c>
    </row>
    <row r="1332" spans="1:27" x14ac:dyDescent="0.25">
      <c r="A1332" s="17" t="s">
        <v>1865</v>
      </c>
      <c r="B1332" s="18" t="s">
        <v>18</v>
      </c>
      <c r="C1332" s="63" t="str" cm="1">
        <f t="array" ref="C1332">_xlfn.SWITCH(Table22[[#This Row],[Country]],"USA","North America","Canada","North America","Brazil","South America","China","Asia","Japan","Asia","India","Asia","France","Europe","Germany","Europe","UK","Europe","Australia","Oceania","South America")</f>
        <v>Asia</v>
      </c>
      <c r="D1332" s="18" t="s">
        <v>35</v>
      </c>
      <c r="E1332" s="18" t="s">
        <v>33</v>
      </c>
      <c r="F1332" s="18" t="s">
        <v>34</v>
      </c>
      <c r="G1332" s="18" t="s">
        <v>40</v>
      </c>
      <c r="H1332" s="64">
        <f>LEN(TRIM(Table22[[#This Row],[Country]]))</f>
        <v>5</v>
      </c>
      <c r="I1332" s="64">
        <f>LEN(TRIM(Table22[[#This Row],[Continent]]))</f>
        <v>4</v>
      </c>
      <c r="J1332" s="64">
        <f>LEN(TRIM(Table22[[#This Row],[Product]]))</f>
        <v>10</v>
      </c>
      <c r="K1332" s="64">
        <f>LEN(TRIM(Table22[[#This Row],[Sales Team]]))</f>
        <v>10</v>
      </c>
      <c r="L1332" s="23">
        <v>14</v>
      </c>
      <c r="M1332" s="65" t="str" cm="1">
        <f t="array" ref="M1332">_xlfn.IFS(Table22[[#This Row],[Units Sold]]&lt;40,"Critical",Table22[[#This Row],[Units Sold]]&lt;=50,"Poor",Table22[[#This Row],[Units Sold]]&lt;=60,"Low",Table22[[#This Row],[Units Sold]]&lt;=80,"Average",Table22[[#This Row],[Units Sold]]&lt;=90,"High",Table22[[#This Row],[Units Sold]]&lt;=95,"Excellent",Table22[[#This Row],[Units Sold]]&gt;95,"Outstanding")</f>
        <v>Critical</v>
      </c>
      <c r="N1332" s="29">
        <v>1273.04</v>
      </c>
      <c r="O1332" s="29">
        <v>17822.560000000001</v>
      </c>
      <c r="P1332" s="43">
        <f>IF(Table22[[#This Row],[Discount Applied]],Table22[[#This Row],[Total Sales (in USD)]]*(1-Table22[[#This Row],[Discount Percentage (%)]]/100),Table22[[#This Row],[Total Sales (in USD)]])</f>
        <v>17822.560000000001</v>
      </c>
      <c r="Q1332" s="66">
        <f>SQRT(AVERAGE((Table22[[#This Row],[Net Sales (after discount) (in USD)]]-AVERAGE(Table22[Net Sales (after discount) (in USD)]))^2))</f>
        <v>18688.800563764536</v>
      </c>
      <c r="R1332" s="18" t="b">
        <v>1</v>
      </c>
      <c r="S1332" s="40">
        <v>24.19</v>
      </c>
      <c r="T1332" s="18" t="b">
        <v>0</v>
      </c>
      <c r="U1332" s="25">
        <v>45549</v>
      </c>
      <c r="V1332" s="63" t="str">
        <f>IF(MONTH(Table22[[#This Row],[Sales Date]])&lt;=3,"Q1",IF(MONTH(Table22[[#This Row],[Sales Date]])&lt;=6,"Q2",IF(MONTH(Table22[[#This Row],[Sales Date]])&lt;=9,"Q3","Q4")))</f>
        <v>Q3</v>
      </c>
      <c r="W1332" s="64">
        <f>YEAR(Table22[[#This Row],[Sales Date]])</f>
        <v>2024</v>
      </c>
      <c r="X1332" s="23">
        <v>33</v>
      </c>
      <c r="Y1332" s="18" t="s">
        <v>41</v>
      </c>
      <c r="Z1332" s="18" t="s">
        <v>24</v>
      </c>
      <c r="AA1332" s="19" t="s">
        <v>25</v>
      </c>
    </row>
    <row r="1333" spans="1:27" x14ac:dyDescent="0.25">
      <c r="A1333" s="17" t="s">
        <v>507</v>
      </c>
      <c r="B1333" s="18" t="s">
        <v>46</v>
      </c>
      <c r="C1333" s="63" t="str" cm="1">
        <f t="array" ref="C1333">_xlfn.SWITCH(Table22[[#This Row],[Country]],"USA","North America","Canada","North America","Brazil","South America","China","Asia","Japan","Asia","India","Asia","France","Europe","Germany","Europe","UK","Europe","Australia","Oceania","South America")</f>
        <v>South America</v>
      </c>
      <c r="D1333" s="18" t="s">
        <v>44</v>
      </c>
      <c r="E1333" s="18" t="s">
        <v>19</v>
      </c>
      <c r="F1333" s="18" t="s">
        <v>20</v>
      </c>
      <c r="G1333" s="18" t="s">
        <v>40</v>
      </c>
      <c r="H1333" s="64">
        <f>LEN(TRIM(Table22[[#This Row],[Country]]))</f>
        <v>6</v>
      </c>
      <c r="I1333" s="64">
        <f>LEN(TRIM(Table22[[#This Row],[Continent]]))</f>
        <v>13</v>
      </c>
      <c r="J1333" s="64">
        <f>LEN(TRIM(Table22[[#This Row],[Product]]))</f>
        <v>6</v>
      </c>
      <c r="K1333" s="64">
        <f>LEN(TRIM(Table22[[#This Row],[Sales Team]]))</f>
        <v>10</v>
      </c>
      <c r="L1333" s="23">
        <v>73</v>
      </c>
      <c r="M1333" s="65" t="str" cm="1">
        <f t="array" ref="M1333">_xlfn.IFS(Table22[[#This Row],[Units Sold]]&lt;40,"Critical",Table22[[#This Row],[Units Sold]]&lt;=50,"Poor",Table22[[#This Row],[Units Sold]]&lt;=60,"Low",Table22[[#This Row],[Units Sold]]&lt;=80,"Average",Table22[[#This Row],[Units Sold]]&lt;=90,"High",Table22[[#This Row],[Units Sold]]&lt;=95,"Excellent",Table22[[#This Row],[Units Sold]]&gt;95,"Outstanding")</f>
        <v>Average</v>
      </c>
      <c r="N1333" s="29">
        <v>243.95</v>
      </c>
      <c r="O1333" s="29">
        <v>17808.349999999999</v>
      </c>
      <c r="P1333" s="43">
        <f>IF(Table22[[#This Row],[Discount Applied]],Table22[[#This Row],[Total Sales (in USD)]]*(1-Table22[[#This Row],[Discount Percentage (%)]]/100),Table22[[#This Row],[Total Sales (in USD)]])</f>
        <v>16102.31007</v>
      </c>
      <c r="Q1333" s="66">
        <f>SQRT(AVERAGE((Table22[[#This Row],[Net Sales (after discount) (in USD)]]-AVERAGE(Table22[Net Sales (after discount) (in USD)]))^2))</f>
        <v>20409.050493764538</v>
      </c>
      <c r="R1333" s="18" t="b">
        <v>0</v>
      </c>
      <c r="S1333" s="40">
        <v>9.58</v>
      </c>
      <c r="T1333" s="18" t="b">
        <v>1</v>
      </c>
      <c r="U1333" s="25">
        <v>45553</v>
      </c>
      <c r="V1333" s="63" t="str">
        <f>IF(MONTH(Table22[[#This Row],[Sales Date]])&lt;=3,"Q1",IF(MONTH(Table22[[#This Row],[Sales Date]])&lt;=6,"Q2",IF(MONTH(Table22[[#This Row],[Sales Date]])&lt;=9,"Q3","Q4")))</f>
        <v>Q3</v>
      </c>
      <c r="W1333" s="64">
        <f>YEAR(Table22[[#This Row],[Sales Date]])</f>
        <v>2024</v>
      </c>
      <c r="X1333" s="23">
        <v>44</v>
      </c>
      <c r="Y1333" s="18" t="s">
        <v>49</v>
      </c>
      <c r="Z1333" s="18" t="s">
        <v>42</v>
      </c>
      <c r="AA1333" s="19" t="s">
        <v>36</v>
      </c>
    </row>
    <row r="1334" spans="1:27" x14ac:dyDescent="0.25">
      <c r="A1334" s="17" t="s">
        <v>1218</v>
      </c>
      <c r="B1334" s="18" t="s">
        <v>62</v>
      </c>
      <c r="C1334" s="63" t="str" cm="1">
        <f t="array" ref="C1334">_xlfn.SWITCH(Table22[[#This Row],[Country]],"USA","North America","Canada","North America","Brazil","South America","China","Asia","Japan","Asia","India","Asia","France","Europe","Germany","Europe","UK","Europe","Australia","Oceania","South America")</f>
        <v>Oceania</v>
      </c>
      <c r="D1334" s="18" t="s">
        <v>44</v>
      </c>
      <c r="E1334" s="18" t="s">
        <v>39</v>
      </c>
      <c r="F1334" s="18" t="s">
        <v>64</v>
      </c>
      <c r="G1334" s="18" t="s">
        <v>48</v>
      </c>
      <c r="H1334" s="64">
        <f>LEN(TRIM(Table22[[#This Row],[Country]]))</f>
        <v>9</v>
      </c>
      <c r="I1334" s="64">
        <f>LEN(TRIM(Table22[[#This Row],[Continent]]))</f>
        <v>7</v>
      </c>
      <c r="J1334" s="64">
        <f>LEN(TRIM(Table22[[#This Row],[Product]]))</f>
        <v>10</v>
      </c>
      <c r="K1334" s="64">
        <f>LEN(TRIM(Table22[[#This Row],[Sales Team]]))</f>
        <v>9</v>
      </c>
      <c r="L1334" s="23">
        <v>19</v>
      </c>
      <c r="M1334" s="65" t="str" cm="1">
        <f t="array" ref="M1334">_xlfn.IFS(Table22[[#This Row],[Units Sold]]&lt;40,"Critical",Table22[[#This Row],[Units Sold]]&lt;=50,"Poor",Table22[[#This Row],[Units Sold]]&lt;=60,"Low",Table22[[#This Row],[Units Sold]]&lt;=80,"Average",Table22[[#This Row],[Units Sold]]&lt;=90,"High",Table22[[#This Row],[Units Sold]]&lt;=95,"Excellent",Table22[[#This Row],[Units Sold]]&gt;95,"Outstanding")</f>
        <v>Critical</v>
      </c>
      <c r="N1334" s="29">
        <v>937.26</v>
      </c>
      <c r="O1334" s="29">
        <v>17807.939999999999</v>
      </c>
      <c r="P1334" s="43">
        <f>IF(Table22[[#This Row],[Discount Applied]],Table22[[#This Row],[Total Sales (in USD)]]*(1-Table22[[#This Row],[Discount Percentage (%)]]/100),Table22[[#This Row],[Total Sales (in USD)]])</f>
        <v>14762.782259999998</v>
      </c>
      <c r="Q1334" s="66">
        <f>SQRT(AVERAGE((Table22[[#This Row],[Net Sales (after discount) (in USD)]]-AVERAGE(Table22[Net Sales (after discount) (in USD)]))^2))</f>
        <v>21748.578303764538</v>
      </c>
      <c r="R1334" s="18" t="b">
        <v>0</v>
      </c>
      <c r="S1334" s="40">
        <v>17.100000000000001</v>
      </c>
      <c r="T1334" s="18" t="b">
        <v>1</v>
      </c>
      <c r="U1334" s="25">
        <v>45367</v>
      </c>
      <c r="V1334" s="63" t="str">
        <f>IF(MONTH(Table22[[#This Row],[Sales Date]])&lt;=3,"Q1",IF(MONTH(Table22[[#This Row],[Sales Date]])&lt;=6,"Q2",IF(MONTH(Table22[[#This Row],[Sales Date]])&lt;=9,"Q3","Q4")))</f>
        <v>Q1</v>
      </c>
      <c r="W1334" s="64">
        <f>YEAR(Table22[[#This Row],[Sales Date]])</f>
        <v>2024</v>
      </c>
      <c r="X1334" s="23">
        <v>67</v>
      </c>
      <c r="Y1334" s="18" t="s">
        <v>49</v>
      </c>
      <c r="Z1334" s="18" t="s">
        <v>24</v>
      </c>
      <c r="AA1334" s="19" t="s">
        <v>25</v>
      </c>
    </row>
    <row r="1335" spans="1:27" x14ac:dyDescent="0.25">
      <c r="A1335" s="17" t="s">
        <v>1236</v>
      </c>
      <c r="B1335" s="18" t="s">
        <v>27</v>
      </c>
      <c r="C1335" s="63" t="str" cm="1">
        <f t="array" ref="C1335">_xlfn.SWITCH(Table22[[#This Row],[Country]],"USA","North America","Canada","North America","Brazil","South America","China","Asia","Japan","Asia","India","Asia","France","Europe","Germany","Europe","UK","Europe","Australia","Oceania","South America")</f>
        <v>Europe</v>
      </c>
      <c r="D1335" s="18" t="s">
        <v>28</v>
      </c>
      <c r="E1335" s="18" t="s">
        <v>39</v>
      </c>
      <c r="F1335" s="18" t="s">
        <v>47</v>
      </c>
      <c r="G1335" s="18" t="s">
        <v>40</v>
      </c>
      <c r="H1335" s="64">
        <f>LEN(TRIM(Table22[[#This Row],[Country]]))</f>
        <v>7</v>
      </c>
      <c r="I1335" s="64">
        <f>LEN(TRIM(Table22[[#This Row],[Continent]]))</f>
        <v>6</v>
      </c>
      <c r="J1335" s="64">
        <f>LEN(TRIM(Table22[[#This Row],[Product]]))</f>
        <v>10</v>
      </c>
      <c r="K1335" s="64">
        <f>LEN(TRIM(Table22[[#This Row],[Sales Team]]))</f>
        <v>10</v>
      </c>
      <c r="L1335" s="23">
        <v>43</v>
      </c>
      <c r="M1335" s="65" t="str" cm="1">
        <f t="array" ref="M1335">_xlfn.IFS(Table22[[#This Row],[Units Sold]]&lt;40,"Critical",Table22[[#This Row],[Units Sold]]&lt;=50,"Poor",Table22[[#This Row],[Units Sold]]&lt;=60,"Low",Table22[[#This Row],[Units Sold]]&lt;=80,"Average",Table22[[#This Row],[Units Sold]]&lt;=90,"High",Table22[[#This Row],[Units Sold]]&lt;=95,"Excellent",Table22[[#This Row],[Units Sold]]&gt;95,"Outstanding")</f>
        <v>Poor</v>
      </c>
      <c r="N1335" s="29">
        <v>413.66</v>
      </c>
      <c r="O1335" s="29">
        <v>17787.38</v>
      </c>
      <c r="P1335" s="43">
        <f>IF(Table22[[#This Row],[Discount Applied]],Table22[[#This Row],[Total Sales (in USD)]]*(1-Table22[[#This Row],[Discount Percentage (%)]]/100),Table22[[#This Row],[Total Sales (in USD)]])</f>
        <v>13465.04666</v>
      </c>
      <c r="Q1335" s="66">
        <f>SQRT(AVERAGE((Table22[[#This Row],[Net Sales (after discount) (in USD)]]-AVERAGE(Table22[Net Sales (after discount) (in USD)]))^2))</f>
        <v>23046.313903764538</v>
      </c>
      <c r="R1335" s="18" t="b">
        <v>1</v>
      </c>
      <c r="S1335" s="40">
        <v>24.3</v>
      </c>
      <c r="T1335" s="18" t="b">
        <v>1</v>
      </c>
      <c r="U1335" s="25">
        <v>45170</v>
      </c>
      <c r="V1335" s="63" t="str">
        <f>IF(MONTH(Table22[[#This Row],[Sales Date]])&lt;=3,"Q1",IF(MONTH(Table22[[#This Row],[Sales Date]])&lt;=6,"Q2",IF(MONTH(Table22[[#This Row],[Sales Date]])&lt;=9,"Q3","Q4")))</f>
        <v>Q3</v>
      </c>
      <c r="W1335" s="64">
        <f>YEAR(Table22[[#This Row],[Sales Date]])</f>
        <v>2023</v>
      </c>
      <c r="X1335" s="23">
        <v>36</v>
      </c>
      <c r="Y1335" s="18" t="s">
        <v>41</v>
      </c>
      <c r="Z1335" s="18" t="s">
        <v>30</v>
      </c>
      <c r="AA1335" s="19" t="s">
        <v>36</v>
      </c>
    </row>
    <row r="1336" spans="1:27" x14ac:dyDescent="0.25">
      <c r="A1336" s="17" t="s">
        <v>704</v>
      </c>
      <c r="B1336" s="18" t="s">
        <v>76</v>
      </c>
      <c r="C1336" s="63" t="str" cm="1">
        <f t="array" ref="C1336">_xlfn.SWITCH(Table22[[#This Row],[Country]],"USA","North America","Canada","North America","Brazil","South America","China","Asia","Japan","Asia","India","Asia","France","Europe","Germany","Europe","UK","Europe","Australia","Oceania","South America")</f>
        <v>Asia</v>
      </c>
      <c r="D1336" s="18" t="s">
        <v>28</v>
      </c>
      <c r="E1336" s="18" t="s">
        <v>33</v>
      </c>
      <c r="F1336" s="18" t="s">
        <v>34</v>
      </c>
      <c r="G1336" s="18" t="s">
        <v>48</v>
      </c>
      <c r="H1336" s="64">
        <f>LEN(TRIM(Table22[[#This Row],[Country]]))</f>
        <v>5</v>
      </c>
      <c r="I1336" s="64">
        <f>LEN(TRIM(Table22[[#This Row],[Continent]]))</f>
        <v>4</v>
      </c>
      <c r="J1336" s="64">
        <f>LEN(TRIM(Table22[[#This Row],[Product]]))</f>
        <v>10</v>
      </c>
      <c r="K1336" s="64">
        <f>LEN(TRIM(Table22[[#This Row],[Sales Team]]))</f>
        <v>9</v>
      </c>
      <c r="L1336" s="23">
        <v>94</v>
      </c>
      <c r="M1336" s="65" t="str" cm="1">
        <f t="array" ref="M1336">_xlfn.IFS(Table22[[#This Row],[Units Sold]]&lt;40,"Critical",Table22[[#This Row],[Units Sold]]&lt;=50,"Poor",Table22[[#This Row],[Units Sold]]&lt;=60,"Low",Table22[[#This Row],[Units Sold]]&lt;=80,"Average",Table22[[#This Row],[Units Sold]]&lt;=90,"High",Table22[[#This Row],[Units Sold]]&lt;=95,"Excellent",Table22[[#This Row],[Units Sold]]&gt;95,"Outstanding")</f>
        <v>Excellent</v>
      </c>
      <c r="N1336" s="29">
        <v>188.58</v>
      </c>
      <c r="O1336" s="29">
        <v>17726.52</v>
      </c>
      <c r="P1336" s="43">
        <f>IF(Table22[[#This Row],[Discount Applied]],Table22[[#This Row],[Total Sales (in USD)]]*(1-Table22[[#This Row],[Discount Percentage (%)]]/100),Table22[[#This Row],[Total Sales (in USD)]])</f>
        <v>17726.52</v>
      </c>
      <c r="Q1336" s="66">
        <f>SQRT(AVERAGE((Table22[[#This Row],[Net Sales (after discount) (in USD)]]-AVERAGE(Table22[Net Sales (after discount) (in USD)]))^2))</f>
        <v>18784.840563764537</v>
      </c>
      <c r="R1336" s="18" t="b">
        <v>1</v>
      </c>
      <c r="S1336" s="40">
        <v>0.38</v>
      </c>
      <c r="T1336" s="18" t="b">
        <v>0</v>
      </c>
      <c r="U1336" s="25">
        <v>45119</v>
      </c>
      <c r="V1336" s="63" t="str">
        <f>IF(MONTH(Table22[[#This Row],[Sales Date]])&lt;=3,"Q1",IF(MONTH(Table22[[#This Row],[Sales Date]])&lt;=6,"Q2",IF(MONTH(Table22[[#This Row],[Sales Date]])&lt;=9,"Q3","Q4")))</f>
        <v>Q3</v>
      </c>
      <c r="W1336" s="64">
        <f>YEAR(Table22[[#This Row],[Sales Date]])</f>
        <v>2023</v>
      </c>
      <c r="X1336" s="23">
        <v>65</v>
      </c>
      <c r="Y1336" s="18" t="s">
        <v>23</v>
      </c>
      <c r="Z1336" s="18" t="s">
        <v>24</v>
      </c>
      <c r="AA1336" s="19" t="s">
        <v>25</v>
      </c>
    </row>
    <row r="1337" spans="1:27" x14ac:dyDescent="0.25">
      <c r="A1337" s="17" t="s">
        <v>1757</v>
      </c>
      <c r="B1337" s="18" t="s">
        <v>62</v>
      </c>
      <c r="C1337" s="63" t="str" cm="1">
        <f t="array" ref="C1337">_xlfn.SWITCH(Table22[[#This Row],[Country]],"USA","North America","Canada","North America","Brazil","South America","China","Asia","Japan","Asia","India","Asia","France","Europe","Germany","Europe","UK","Europe","Australia","Oceania","South America")</f>
        <v>Oceania</v>
      </c>
      <c r="D1337" s="18" t="s">
        <v>44</v>
      </c>
      <c r="E1337" s="18" t="s">
        <v>19</v>
      </c>
      <c r="F1337" s="18" t="s">
        <v>64</v>
      </c>
      <c r="G1337" s="18" t="s">
        <v>22</v>
      </c>
      <c r="H1337" s="64">
        <f>LEN(TRIM(Table22[[#This Row],[Country]]))</f>
        <v>9</v>
      </c>
      <c r="I1337" s="64">
        <f>LEN(TRIM(Table22[[#This Row],[Continent]]))</f>
        <v>7</v>
      </c>
      <c r="J1337" s="64">
        <f>LEN(TRIM(Table22[[#This Row],[Product]]))</f>
        <v>6</v>
      </c>
      <c r="K1337" s="64">
        <f>LEN(TRIM(Table22[[#This Row],[Sales Team]]))</f>
        <v>10</v>
      </c>
      <c r="L1337" s="23">
        <v>14</v>
      </c>
      <c r="M1337" s="65" t="str" cm="1">
        <f t="array" ref="M1337">_xlfn.IFS(Table22[[#This Row],[Units Sold]]&lt;40,"Critical",Table22[[#This Row],[Units Sold]]&lt;=50,"Poor",Table22[[#This Row],[Units Sold]]&lt;=60,"Low",Table22[[#This Row],[Units Sold]]&lt;=80,"Average",Table22[[#This Row],[Units Sold]]&lt;=90,"High",Table22[[#This Row],[Units Sold]]&lt;=95,"Excellent",Table22[[#This Row],[Units Sold]]&gt;95,"Outstanding")</f>
        <v>Critical</v>
      </c>
      <c r="N1337" s="29">
        <v>1256.75</v>
      </c>
      <c r="O1337" s="29">
        <v>17594.5</v>
      </c>
      <c r="P1337" s="43">
        <f>IF(Table22[[#This Row],[Discount Applied]],Table22[[#This Row],[Total Sales (in USD)]]*(1-Table22[[#This Row],[Discount Percentage (%)]]/100),Table22[[#This Row],[Total Sales (in USD)]])</f>
        <v>16711.256099999999</v>
      </c>
      <c r="Q1337" s="66">
        <f>SQRT(AVERAGE((Table22[[#This Row],[Net Sales (after discount) (in USD)]]-AVERAGE(Table22[Net Sales (after discount) (in USD)]))^2))</f>
        <v>19800.104463764539</v>
      </c>
      <c r="R1337" s="18" t="b">
        <v>0</v>
      </c>
      <c r="S1337" s="40">
        <v>5.0199999999999996</v>
      </c>
      <c r="T1337" s="18" t="b">
        <v>1</v>
      </c>
      <c r="U1337" s="25">
        <v>45425</v>
      </c>
      <c r="V1337" s="63" t="str">
        <f>IF(MONTH(Table22[[#This Row],[Sales Date]])&lt;=3,"Q1",IF(MONTH(Table22[[#This Row],[Sales Date]])&lt;=6,"Q2",IF(MONTH(Table22[[#This Row],[Sales Date]])&lt;=9,"Q3","Q4")))</f>
        <v>Q2</v>
      </c>
      <c r="W1337" s="64">
        <f>YEAR(Table22[[#This Row],[Sales Date]])</f>
        <v>2024</v>
      </c>
      <c r="X1337" s="23">
        <v>51</v>
      </c>
      <c r="Y1337" s="18" t="s">
        <v>23</v>
      </c>
      <c r="Z1337" s="18" t="s">
        <v>42</v>
      </c>
      <c r="AA1337" s="19" t="s">
        <v>36</v>
      </c>
    </row>
    <row r="1338" spans="1:27" x14ac:dyDescent="0.25">
      <c r="A1338" s="17" t="s">
        <v>55</v>
      </c>
      <c r="B1338" s="18" t="s">
        <v>38</v>
      </c>
      <c r="C1338" s="63" t="str" cm="1">
        <f t="array" ref="C1338">_xlfn.SWITCH(Table22[[#This Row],[Country]],"USA","North America","Canada","North America","Brazil","South America","China","Asia","Japan","Asia","India","Asia","France","Europe","Germany","Europe","UK","Europe","Australia","Oceania","South America")</f>
        <v>Europe</v>
      </c>
      <c r="D1338" s="18" t="s">
        <v>44</v>
      </c>
      <c r="E1338" s="18" t="s">
        <v>39</v>
      </c>
      <c r="F1338" s="18" t="s">
        <v>20</v>
      </c>
      <c r="G1338" s="18" t="s">
        <v>29</v>
      </c>
      <c r="H1338" s="64">
        <f>LEN(TRIM(Table22[[#This Row],[Country]]))</f>
        <v>6</v>
      </c>
      <c r="I1338" s="64">
        <f>LEN(TRIM(Table22[[#This Row],[Continent]]))</f>
        <v>6</v>
      </c>
      <c r="J1338" s="64">
        <f>LEN(TRIM(Table22[[#This Row],[Product]]))</f>
        <v>10</v>
      </c>
      <c r="K1338" s="64">
        <f>LEN(TRIM(Table22[[#This Row],[Sales Team]]))</f>
        <v>10</v>
      </c>
      <c r="L1338" s="23">
        <v>55</v>
      </c>
      <c r="M1338" s="65" t="str" cm="1">
        <f t="array" ref="M1338">_xlfn.IFS(Table22[[#This Row],[Units Sold]]&lt;40,"Critical",Table22[[#This Row],[Units Sold]]&lt;=50,"Poor",Table22[[#This Row],[Units Sold]]&lt;=60,"Low",Table22[[#This Row],[Units Sold]]&lt;=80,"Average",Table22[[#This Row],[Units Sold]]&lt;=90,"High",Table22[[#This Row],[Units Sold]]&lt;=95,"Excellent",Table22[[#This Row],[Units Sold]]&gt;95,"Outstanding")</f>
        <v>Low</v>
      </c>
      <c r="N1338" s="29">
        <v>317.12</v>
      </c>
      <c r="O1338" s="29">
        <v>17441.599999999999</v>
      </c>
      <c r="P1338" s="43">
        <f>IF(Table22[[#This Row],[Discount Applied]],Table22[[#This Row],[Total Sales (in USD)]]*(1-Table22[[#This Row],[Discount Percentage (%)]]/100),Table22[[#This Row],[Total Sales (in USD)]])</f>
        <v>12632.950879999999</v>
      </c>
      <c r="Q1338" s="66">
        <f>SQRT(AVERAGE((Table22[[#This Row],[Net Sales (after discount) (in USD)]]-AVERAGE(Table22[Net Sales (after discount) (in USD)]))^2))</f>
        <v>23878.409683764541</v>
      </c>
      <c r="R1338" s="18" t="b">
        <v>1</v>
      </c>
      <c r="S1338" s="40">
        <v>27.57</v>
      </c>
      <c r="T1338" s="18" t="b">
        <v>1</v>
      </c>
      <c r="U1338" s="25">
        <v>45042</v>
      </c>
      <c r="V1338" s="63" t="str">
        <f>IF(MONTH(Table22[[#This Row],[Sales Date]])&lt;=3,"Q1",IF(MONTH(Table22[[#This Row],[Sales Date]])&lt;=6,"Q2",IF(MONTH(Table22[[#This Row],[Sales Date]])&lt;=9,"Q3","Q4")))</f>
        <v>Q2</v>
      </c>
      <c r="W1338" s="64">
        <f>YEAR(Table22[[#This Row],[Sales Date]])</f>
        <v>2023</v>
      </c>
      <c r="X1338" s="23">
        <v>61</v>
      </c>
      <c r="Y1338" s="18" t="s">
        <v>41</v>
      </c>
      <c r="Z1338" s="18" t="s">
        <v>56</v>
      </c>
      <c r="AA1338" s="19" t="s">
        <v>36</v>
      </c>
    </row>
    <row r="1339" spans="1:27" x14ac:dyDescent="0.25">
      <c r="A1339" s="17" t="s">
        <v>839</v>
      </c>
      <c r="B1339" s="18" t="s">
        <v>51</v>
      </c>
      <c r="C1339" s="63" t="str" cm="1">
        <f t="array" ref="C1339">_xlfn.SWITCH(Table22[[#This Row],[Country]],"USA","North America","Canada","North America","Brazil","South America","China","Asia","Japan","Asia","India","Asia","France","Europe","Germany","Europe","UK","Europe","Australia","Oceania","South America")</f>
        <v>Europe</v>
      </c>
      <c r="D1339" s="18" t="s">
        <v>35</v>
      </c>
      <c r="E1339" s="18" t="s">
        <v>39</v>
      </c>
      <c r="F1339" s="18" t="s">
        <v>47</v>
      </c>
      <c r="G1339" s="18" t="s">
        <v>48</v>
      </c>
      <c r="H1339" s="64">
        <f>LEN(TRIM(Table22[[#This Row],[Country]]))</f>
        <v>2</v>
      </c>
      <c r="I1339" s="64">
        <f>LEN(TRIM(Table22[[#This Row],[Continent]]))</f>
        <v>6</v>
      </c>
      <c r="J1339" s="64">
        <f>LEN(TRIM(Table22[[#This Row],[Product]]))</f>
        <v>10</v>
      </c>
      <c r="K1339" s="64">
        <f>LEN(TRIM(Table22[[#This Row],[Sales Team]]))</f>
        <v>9</v>
      </c>
      <c r="L1339" s="23">
        <v>23</v>
      </c>
      <c r="M1339" s="65" t="str" cm="1">
        <f t="array" ref="M1339">_xlfn.IFS(Table22[[#This Row],[Units Sold]]&lt;40,"Critical",Table22[[#This Row],[Units Sold]]&lt;=50,"Poor",Table22[[#This Row],[Units Sold]]&lt;=60,"Low",Table22[[#This Row],[Units Sold]]&lt;=80,"Average",Table22[[#This Row],[Units Sold]]&lt;=90,"High",Table22[[#This Row],[Units Sold]]&lt;=95,"Excellent",Table22[[#This Row],[Units Sold]]&gt;95,"Outstanding")</f>
        <v>Critical</v>
      </c>
      <c r="N1339" s="29">
        <v>757.19</v>
      </c>
      <c r="O1339" s="29">
        <v>17415.37</v>
      </c>
      <c r="P1339" s="43">
        <f>IF(Table22[[#This Row],[Discount Applied]],Table22[[#This Row],[Total Sales (in USD)]]*(1-Table22[[#This Row],[Discount Percentage (%)]]/100),Table22[[#This Row],[Total Sales (in USD)]])</f>
        <v>14606.270818999999</v>
      </c>
      <c r="Q1339" s="66">
        <f>SQRT(AVERAGE((Table22[[#This Row],[Net Sales (after discount) (in USD)]]-AVERAGE(Table22[Net Sales (after discount) (in USD)]))^2))</f>
        <v>21905.08974476454</v>
      </c>
      <c r="R1339" s="18" t="b">
        <v>1</v>
      </c>
      <c r="S1339" s="40">
        <v>16.13</v>
      </c>
      <c r="T1339" s="18" t="b">
        <v>1</v>
      </c>
      <c r="U1339" s="25">
        <v>45262</v>
      </c>
      <c r="V1339" s="63" t="str">
        <f>IF(MONTH(Table22[[#This Row],[Sales Date]])&lt;=3,"Q1",IF(MONTH(Table22[[#This Row],[Sales Date]])&lt;=6,"Q2",IF(MONTH(Table22[[#This Row],[Sales Date]])&lt;=9,"Q3","Q4")))</f>
        <v>Q4</v>
      </c>
      <c r="W1339" s="64">
        <f>YEAR(Table22[[#This Row],[Sales Date]])</f>
        <v>2023</v>
      </c>
      <c r="X1339" s="23">
        <v>31</v>
      </c>
      <c r="Y1339" s="18" t="s">
        <v>41</v>
      </c>
      <c r="Z1339" s="18" t="s">
        <v>24</v>
      </c>
      <c r="AA1339" s="19" t="s">
        <v>25</v>
      </c>
    </row>
    <row r="1340" spans="1:27" x14ac:dyDescent="0.25">
      <c r="A1340" s="17" t="s">
        <v>1432</v>
      </c>
      <c r="B1340" s="18" t="s">
        <v>32</v>
      </c>
      <c r="C1340" s="63" t="str" cm="1">
        <f t="array" ref="C1340">_xlfn.SWITCH(Table22[[#This Row],[Country]],"USA","North America","Canada","North America","Brazil","South America","China","Asia","Japan","Asia","India","Asia","France","Europe","Germany","Europe","UK","Europe","Australia","Oceania","South America")</f>
        <v>Asia</v>
      </c>
      <c r="D1340" s="18" t="s">
        <v>35</v>
      </c>
      <c r="E1340" s="18" t="s">
        <v>33</v>
      </c>
      <c r="F1340" s="18" t="s">
        <v>64</v>
      </c>
      <c r="G1340" s="18" t="s">
        <v>22</v>
      </c>
      <c r="H1340" s="64">
        <f>LEN(TRIM(Table22[[#This Row],[Country]]))</f>
        <v>5</v>
      </c>
      <c r="I1340" s="64">
        <f>LEN(TRIM(Table22[[#This Row],[Continent]]))</f>
        <v>4</v>
      </c>
      <c r="J1340" s="64">
        <f>LEN(TRIM(Table22[[#This Row],[Product]]))</f>
        <v>10</v>
      </c>
      <c r="K1340" s="64">
        <f>LEN(TRIM(Table22[[#This Row],[Sales Team]]))</f>
        <v>10</v>
      </c>
      <c r="L1340" s="23">
        <v>64</v>
      </c>
      <c r="M1340" s="65" t="str" cm="1">
        <f t="array" ref="M1340">_xlfn.IFS(Table22[[#This Row],[Units Sold]]&lt;40,"Critical",Table22[[#This Row],[Units Sold]]&lt;=50,"Poor",Table22[[#This Row],[Units Sold]]&lt;=60,"Low",Table22[[#This Row],[Units Sold]]&lt;=80,"Average",Table22[[#This Row],[Units Sold]]&lt;=90,"High",Table22[[#This Row],[Units Sold]]&lt;=95,"Excellent",Table22[[#This Row],[Units Sold]]&gt;95,"Outstanding")</f>
        <v>Average</v>
      </c>
      <c r="N1340" s="29">
        <v>271.91000000000003</v>
      </c>
      <c r="O1340" s="29">
        <v>17402.240000000002</v>
      </c>
      <c r="P1340" s="43">
        <f>IF(Table22[[#This Row],[Discount Applied]],Table22[[#This Row],[Total Sales (in USD)]]*(1-Table22[[#This Row],[Discount Percentage (%)]]/100),Table22[[#This Row],[Total Sales (in USD)]])</f>
        <v>17188.192448000002</v>
      </c>
      <c r="Q1340" s="66">
        <f>SQRT(AVERAGE((Table22[[#This Row],[Net Sales (after discount) (in USD)]]-AVERAGE(Table22[Net Sales (after discount) (in USD)]))^2))</f>
        <v>19323.168115764536</v>
      </c>
      <c r="R1340" s="18" t="b">
        <v>0</v>
      </c>
      <c r="S1340" s="40">
        <v>1.23</v>
      </c>
      <c r="T1340" s="18" t="b">
        <v>1</v>
      </c>
      <c r="U1340" s="25">
        <v>45412</v>
      </c>
      <c r="V1340" s="63" t="str">
        <f>IF(MONTH(Table22[[#This Row],[Sales Date]])&lt;=3,"Q1",IF(MONTH(Table22[[#This Row],[Sales Date]])&lt;=6,"Q2",IF(MONTH(Table22[[#This Row],[Sales Date]])&lt;=9,"Q3","Q4")))</f>
        <v>Q2</v>
      </c>
      <c r="W1340" s="64">
        <f>YEAR(Table22[[#This Row],[Sales Date]])</f>
        <v>2024</v>
      </c>
      <c r="X1340" s="23">
        <v>43</v>
      </c>
      <c r="Y1340" s="18" t="s">
        <v>41</v>
      </c>
      <c r="Z1340" s="18" t="s">
        <v>56</v>
      </c>
      <c r="AA1340" s="19" t="s">
        <v>36</v>
      </c>
    </row>
    <row r="1341" spans="1:27" x14ac:dyDescent="0.25">
      <c r="A1341" s="17" t="s">
        <v>94</v>
      </c>
      <c r="B1341" s="18" t="s">
        <v>46</v>
      </c>
      <c r="C1341" s="63" t="str" cm="1">
        <f t="array" ref="C1341">_xlfn.SWITCH(Table22[[#This Row],[Country]],"USA","North America","Canada","North America","Brazil","South America","China","Asia","Japan","Asia","India","Asia","France","Europe","Germany","Europe","UK","Europe","Australia","Oceania","South America")</f>
        <v>South America</v>
      </c>
      <c r="D1341" s="18" t="s">
        <v>44</v>
      </c>
      <c r="E1341" s="18" t="s">
        <v>19</v>
      </c>
      <c r="F1341" s="18" t="s">
        <v>64</v>
      </c>
      <c r="G1341" s="18" t="s">
        <v>22</v>
      </c>
      <c r="H1341" s="64">
        <f>LEN(TRIM(Table22[[#This Row],[Country]]))</f>
        <v>6</v>
      </c>
      <c r="I1341" s="64">
        <f>LEN(TRIM(Table22[[#This Row],[Continent]]))</f>
        <v>13</v>
      </c>
      <c r="J1341" s="64">
        <f>LEN(TRIM(Table22[[#This Row],[Product]]))</f>
        <v>6</v>
      </c>
      <c r="K1341" s="64">
        <f>LEN(TRIM(Table22[[#This Row],[Sales Team]]))</f>
        <v>10</v>
      </c>
      <c r="L1341" s="23">
        <v>27</v>
      </c>
      <c r="M1341" s="65" t="str" cm="1">
        <f t="array" ref="M1341">_xlfn.IFS(Table22[[#This Row],[Units Sold]]&lt;40,"Critical",Table22[[#This Row],[Units Sold]]&lt;=50,"Poor",Table22[[#This Row],[Units Sold]]&lt;=60,"Low",Table22[[#This Row],[Units Sold]]&lt;=80,"Average",Table22[[#This Row],[Units Sold]]&lt;=90,"High",Table22[[#This Row],[Units Sold]]&lt;=95,"Excellent",Table22[[#This Row],[Units Sold]]&gt;95,"Outstanding")</f>
        <v>Critical</v>
      </c>
      <c r="N1341" s="29">
        <v>643.61</v>
      </c>
      <c r="O1341" s="29">
        <v>17377.47</v>
      </c>
      <c r="P1341" s="43">
        <f>IF(Table22[[#This Row],[Discount Applied]],Table22[[#This Row],[Total Sales (in USD)]]*(1-Table22[[#This Row],[Discount Percentage (%)]]/100),Table22[[#This Row],[Total Sales (in USD)]])</f>
        <v>16618.074561000001</v>
      </c>
      <c r="Q1341" s="66">
        <f>SQRT(AVERAGE((Table22[[#This Row],[Net Sales (after discount) (in USD)]]-AVERAGE(Table22[Net Sales (after discount) (in USD)]))^2))</f>
        <v>19893.286002764537</v>
      </c>
      <c r="R1341" s="18" t="b">
        <v>1</v>
      </c>
      <c r="S1341" s="40">
        <v>4.37</v>
      </c>
      <c r="T1341" s="18" t="b">
        <v>1</v>
      </c>
      <c r="U1341" s="25">
        <v>45592</v>
      </c>
      <c r="V1341" s="63" t="str">
        <f>IF(MONTH(Table22[[#This Row],[Sales Date]])&lt;=3,"Q1",IF(MONTH(Table22[[#This Row],[Sales Date]])&lt;=6,"Q2",IF(MONTH(Table22[[#This Row],[Sales Date]])&lt;=9,"Q3","Q4")))</f>
        <v>Q4</v>
      </c>
      <c r="W1341" s="64">
        <f>YEAR(Table22[[#This Row],[Sales Date]])</f>
        <v>2024</v>
      </c>
      <c r="X1341" s="23">
        <v>25</v>
      </c>
      <c r="Y1341" s="18" t="s">
        <v>49</v>
      </c>
      <c r="Z1341" s="18" t="s">
        <v>24</v>
      </c>
      <c r="AA1341" s="19" t="s">
        <v>25</v>
      </c>
    </row>
    <row r="1342" spans="1:27" x14ac:dyDescent="0.25">
      <c r="A1342" s="17" t="s">
        <v>1180</v>
      </c>
      <c r="B1342" s="18" t="s">
        <v>32</v>
      </c>
      <c r="C1342" s="63" t="str" cm="1">
        <f t="array" ref="C1342">_xlfn.SWITCH(Table22[[#This Row],[Country]],"USA","North America","Canada","North America","Brazil","South America","China","Asia","Japan","Asia","India","Asia","France","Europe","Germany","Europe","UK","Europe","Australia","Oceania","South America")</f>
        <v>Asia</v>
      </c>
      <c r="D1342" s="18" t="s">
        <v>44</v>
      </c>
      <c r="E1342" s="18" t="s">
        <v>19</v>
      </c>
      <c r="F1342" s="18" t="s">
        <v>52</v>
      </c>
      <c r="G1342" s="18" t="s">
        <v>40</v>
      </c>
      <c r="H1342" s="64">
        <f>LEN(TRIM(Table22[[#This Row],[Country]]))</f>
        <v>5</v>
      </c>
      <c r="I1342" s="64">
        <f>LEN(TRIM(Table22[[#This Row],[Continent]]))</f>
        <v>4</v>
      </c>
      <c r="J1342" s="64">
        <f>LEN(TRIM(Table22[[#This Row],[Product]]))</f>
        <v>6</v>
      </c>
      <c r="K1342" s="64">
        <f>LEN(TRIM(Table22[[#This Row],[Sales Team]]))</f>
        <v>10</v>
      </c>
      <c r="L1342" s="23">
        <v>48</v>
      </c>
      <c r="M1342" s="65" t="str" cm="1">
        <f t="array" ref="M1342">_xlfn.IFS(Table22[[#This Row],[Units Sold]]&lt;40,"Critical",Table22[[#This Row],[Units Sold]]&lt;=50,"Poor",Table22[[#This Row],[Units Sold]]&lt;=60,"Low",Table22[[#This Row],[Units Sold]]&lt;=80,"Average",Table22[[#This Row],[Units Sold]]&lt;=90,"High",Table22[[#This Row],[Units Sold]]&lt;=95,"Excellent",Table22[[#This Row],[Units Sold]]&gt;95,"Outstanding")</f>
        <v>Poor</v>
      </c>
      <c r="N1342" s="29">
        <v>361.92</v>
      </c>
      <c r="O1342" s="29">
        <v>17372.16</v>
      </c>
      <c r="P1342" s="43">
        <f>IF(Table22[[#This Row],[Discount Applied]],Table22[[#This Row],[Total Sales (in USD)]]*(1-Table22[[#This Row],[Discount Percentage (%)]]/100),Table22[[#This Row],[Total Sales (in USD)]])</f>
        <v>17372.16</v>
      </c>
      <c r="Q1342" s="66">
        <f>SQRT(AVERAGE((Table22[[#This Row],[Net Sales (after discount) (in USD)]]-AVERAGE(Table22[Net Sales (after discount) (in USD)]))^2))</f>
        <v>19139.200563764538</v>
      </c>
      <c r="R1342" s="18" t="b">
        <v>1</v>
      </c>
      <c r="S1342" s="40">
        <v>16.78</v>
      </c>
      <c r="T1342" s="18" t="b">
        <v>0</v>
      </c>
      <c r="U1342" s="25">
        <v>44974</v>
      </c>
      <c r="V1342" s="63" t="str">
        <f>IF(MONTH(Table22[[#This Row],[Sales Date]])&lt;=3,"Q1",IF(MONTH(Table22[[#This Row],[Sales Date]])&lt;=6,"Q2",IF(MONTH(Table22[[#This Row],[Sales Date]])&lt;=9,"Q3","Q4")))</f>
        <v>Q1</v>
      </c>
      <c r="W1342" s="64">
        <f>YEAR(Table22[[#This Row],[Sales Date]])</f>
        <v>2023</v>
      </c>
      <c r="X1342" s="23">
        <v>22</v>
      </c>
      <c r="Y1342" s="18" t="s">
        <v>23</v>
      </c>
      <c r="Z1342" s="18" t="s">
        <v>42</v>
      </c>
      <c r="AA1342" s="19" t="s">
        <v>36</v>
      </c>
    </row>
    <row r="1343" spans="1:27" x14ac:dyDescent="0.25">
      <c r="A1343" s="17" t="s">
        <v>1971</v>
      </c>
      <c r="B1343" s="18" t="s">
        <v>46</v>
      </c>
      <c r="C1343" s="63" t="str" cm="1">
        <f t="array" ref="C1343">_xlfn.SWITCH(Table22[[#This Row],[Country]],"USA","North America","Canada","North America","Brazil","South America","China","Asia","Japan","Asia","India","Asia","France","Europe","Germany","Europe","UK","Europe","Australia","Oceania","South America")</f>
        <v>South America</v>
      </c>
      <c r="D1343" s="18" t="s">
        <v>44</v>
      </c>
      <c r="E1343" s="18" t="s">
        <v>33</v>
      </c>
      <c r="F1343" s="18" t="s">
        <v>47</v>
      </c>
      <c r="G1343" s="18" t="s">
        <v>29</v>
      </c>
      <c r="H1343" s="64">
        <f>LEN(TRIM(Table22[[#This Row],[Country]]))</f>
        <v>6</v>
      </c>
      <c r="I1343" s="64">
        <f>LEN(TRIM(Table22[[#This Row],[Continent]]))</f>
        <v>13</v>
      </c>
      <c r="J1343" s="64">
        <f>LEN(TRIM(Table22[[#This Row],[Product]]))</f>
        <v>10</v>
      </c>
      <c r="K1343" s="64">
        <f>LEN(TRIM(Table22[[#This Row],[Sales Team]]))</f>
        <v>10</v>
      </c>
      <c r="L1343" s="23">
        <v>22</v>
      </c>
      <c r="M1343" s="65" t="str" cm="1">
        <f t="array" ref="M1343">_xlfn.IFS(Table22[[#This Row],[Units Sold]]&lt;40,"Critical",Table22[[#This Row],[Units Sold]]&lt;=50,"Poor",Table22[[#This Row],[Units Sold]]&lt;=60,"Low",Table22[[#This Row],[Units Sold]]&lt;=80,"Average",Table22[[#This Row],[Units Sold]]&lt;=90,"High",Table22[[#This Row],[Units Sold]]&lt;=95,"Excellent",Table22[[#This Row],[Units Sold]]&gt;95,"Outstanding")</f>
        <v>Critical</v>
      </c>
      <c r="N1343" s="29">
        <v>789.59</v>
      </c>
      <c r="O1343" s="29">
        <v>17370.98</v>
      </c>
      <c r="P1343" s="43">
        <f>IF(Table22[[#This Row],[Discount Applied]],Table22[[#This Row],[Total Sales (in USD)]]*(1-Table22[[#This Row],[Discount Percentage (%)]]/100),Table22[[#This Row],[Total Sales (in USD)]])</f>
        <v>17370.98</v>
      </c>
      <c r="Q1343" s="66">
        <f>SQRT(AVERAGE((Table22[[#This Row],[Net Sales (after discount) (in USD)]]-AVERAGE(Table22[Net Sales (after discount) (in USD)]))^2))</f>
        <v>19140.380563764538</v>
      </c>
      <c r="R1343" s="18" t="b">
        <v>0</v>
      </c>
      <c r="S1343" s="40">
        <v>26.77</v>
      </c>
      <c r="T1343" s="18" t="b">
        <v>0</v>
      </c>
      <c r="U1343" s="25">
        <v>45525</v>
      </c>
      <c r="V1343" s="63" t="str">
        <f>IF(MONTH(Table22[[#This Row],[Sales Date]])&lt;=3,"Q1",IF(MONTH(Table22[[#This Row],[Sales Date]])&lt;=6,"Q2",IF(MONTH(Table22[[#This Row],[Sales Date]])&lt;=9,"Q3","Q4")))</f>
        <v>Q3</v>
      </c>
      <c r="W1343" s="64">
        <f>YEAR(Table22[[#This Row],[Sales Date]])</f>
        <v>2024</v>
      </c>
      <c r="X1343" s="23">
        <v>28</v>
      </c>
      <c r="Y1343" s="18" t="s">
        <v>23</v>
      </c>
      <c r="Z1343" s="18" t="s">
        <v>24</v>
      </c>
      <c r="AA1343" s="19" t="s">
        <v>25</v>
      </c>
    </row>
    <row r="1344" spans="1:27" x14ac:dyDescent="0.25">
      <c r="A1344" s="17" t="s">
        <v>1233</v>
      </c>
      <c r="B1344" s="18" t="s">
        <v>76</v>
      </c>
      <c r="C1344" s="63" t="str" cm="1">
        <f t="array" ref="C1344">_xlfn.SWITCH(Table22[[#This Row],[Country]],"USA","North America","Canada","North America","Brazil","South America","China","Asia","Japan","Asia","India","Asia","France","Europe","Germany","Europe","UK","Europe","Australia","Oceania","South America")</f>
        <v>Asia</v>
      </c>
      <c r="D1344" s="18" t="s">
        <v>21</v>
      </c>
      <c r="E1344" s="18" t="s">
        <v>33</v>
      </c>
      <c r="F1344" s="18" t="s">
        <v>20</v>
      </c>
      <c r="G1344" s="18" t="s">
        <v>22</v>
      </c>
      <c r="H1344" s="64">
        <f>LEN(TRIM(Table22[[#This Row],[Country]]))</f>
        <v>5</v>
      </c>
      <c r="I1344" s="64">
        <f>LEN(TRIM(Table22[[#This Row],[Continent]]))</f>
        <v>4</v>
      </c>
      <c r="J1344" s="64">
        <f>LEN(TRIM(Table22[[#This Row],[Product]]))</f>
        <v>10</v>
      </c>
      <c r="K1344" s="64">
        <f>LEN(TRIM(Table22[[#This Row],[Sales Team]]))</f>
        <v>10</v>
      </c>
      <c r="L1344" s="23">
        <v>20</v>
      </c>
      <c r="M1344" s="65" t="str" cm="1">
        <f t="array" ref="M1344">_xlfn.IFS(Table22[[#This Row],[Units Sold]]&lt;40,"Critical",Table22[[#This Row],[Units Sold]]&lt;=50,"Poor",Table22[[#This Row],[Units Sold]]&lt;=60,"Low",Table22[[#This Row],[Units Sold]]&lt;=80,"Average",Table22[[#This Row],[Units Sold]]&lt;=90,"High",Table22[[#This Row],[Units Sold]]&lt;=95,"Excellent",Table22[[#This Row],[Units Sold]]&gt;95,"Outstanding")</f>
        <v>Critical</v>
      </c>
      <c r="N1344" s="29">
        <v>866.08</v>
      </c>
      <c r="O1344" s="29">
        <v>17321.599999999999</v>
      </c>
      <c r="P1344" s="43">
        <f>IF(Table22[[#This Row],[Discount Applied]],Table22[[#This Row],[Total Sales (in USD)]]*(1-Table22[[#This Row],[Discount Percentage (%)]]/100),Table22[[#This Row],[Total Sales (in USD)]])</f>
        <v>16025.944319999999</v>
      </c>
      <c r="Q1344" s="66">
        <f>SQRT(AVERAGE((Table22[[#This Row],[Net Sales (after discount) (in USD)]]-AVERAGE(Table22[Net Sales (after discount) (in USD)]))^2))</f>
        <v>20485.416243764539</v>
      </c>
      <c r="R1344" s="18" t="b">
        <v>0</v>
      </c>
      <c r="S1344" s="40">
        <v>7.48</v>
      </c>
      <c r="T1344" s="18" t="b">
        <v>1</v>
      </c>
      <c r="U1344" s="25">
        <v>45075</v>
      </c>
      <c r="V1344" s="63" t="str">
        <f>IF(MONTH(Table22[[#This Row],[Sales Date]])&lt;=3,"Q1",IF(MONTH(Table22[[#This Row],[Sales Date]])&lt;=6,"Q2",IF(MONTH(Table22[[#This Row],[Sales Date]])&lt;=9,"Q3","Q4")))</f>
        <v>Q2</v>
      </c>
      <c r="W1344" s="64">
        <f>YEAR(Table22[[#This Row],[Sales Date]])</f>
        <v>2023</v>
      </c>
      <c r="X1344" s="23">
        <v>59</v>
      </c>
      <c r="Y1344" s="18" t="s">
        <v>23</v>
      </c>
      <c r="Z1344" s="18" t="s">
        <v>24</v>
      </c>
      <c r="AA1344" s="19" t="s">
        <v>36</v>
      </c>
    </row>
    <row r="1345" spans="1:27" x14ac:dyDescent="0.25">
      <c r="A1345" s="17" t="s">
        <v>255</v>
      </c>
      <c r="B1345" s="18" t="s">
        <v>62</v>
      </c>
      <c r="C1345" s="63" t="str" cm="1">
        <f t="array" ref="C1345">_xlfn.SWITCH(Table22[[#This Row],[Country]],"USA","North America","Canada","North America","Brazil","South America","China","Asia","Japan","Asia","India","Asia","France","Europe","Germany","Europe","UK","Europe","Australia","Oceania","South America")</f>
        <v>Oceania</v>
      </c>
      <c r="D1345" s="18" t="s">
        <v>28</v>
      </c>
      <c r="E1345" s="18" t="s">
        <v>33</v>
      </c>
      <c r="F1345" s="18" t="s">
        <v>64</v>
      </c>
      <c r="G1345" s="18" t="s">
        <v>29</v>
      </c>
      <c r="H1345" s="64">
        <f>LEN(TRIM(Table22[[#This Row],[Country]]))</f>
        <v>9</v>
      </c>
      <c r="I1345" s="64">
        <f>LEN(TRIM(Table22[[#This Row],[Continent]]))</f>
        <v>7</v>
      </c>
      <c r="J1345" s="64">
        <f>LEN(TRIM(Table22[[#This Row],[Product]]))</f>
        <v>10</v>
      </c>
      <c r="K1345" s="64">
        <f>LEN(TRIM(Table22[[#This Row],[Sales Team]]))</f>
        <v>10</v>
      </c>
      <c r="L1345" s="23">
        <v>42</v>
      </c>
      <c r="M1345" s="65" t="str" cm="1">
        <f t="array" ref="M1345">_xlfn.IFS(Table22[[#This Row],[Units Sold]]&lt;40,"Critical",Table22[[#This Row],[Units Sold]]&lt;=50,"Poor",Table22[[#This Row],[Units Sold]]&lt;=60,"Low",Table22[[#This Row],[Units Sold]]&lt;=80,"Average",Table22[[#This Row],[Units Sold]]&lt;=90,"High",Table22[[#This Row],[Units Sold]]&lt;=95,"Excellent",Table22[[#This Row],[Units Sold]]&gt;95,"Outstanding")</f>
        <v>Poor</v>
      </c>
      <c r="N1345" s="29">
        <v>412.29</v>
      </c>
      <c r="O1345" s="29">
        <v>17316.18</v>
      </c>
      <c r="P1345" s="43">
        <f>IF(Table22[[#This Row],[Discount Applied]],Table22[[#This Row],[Total Sales (in USD)]]*(1-Table22[[#This Row],[Discount Percentage (%)]]/100),Table22[[#This Row],[Total Sales (in USD)]])</f>
        <v>17316.18</v>
      </c>
      <c r="Q1345" s="66">
        <f>SQRT(AVERAGE((Table22[[#This Row],[Net Sales (after discount) (in USD)]]-AVERAGE(Table22[Net Sales (after discount) (in USD)]))^2))</f>
        <v>19195.180563764538</v>
      </c>
      <c r="R1345" s="18" t="b">
        <v>1</v>
      </c>
      <c r="S1345" s="40">
        <v>23.7</v>
      </c>
      <c r="T1345" s="18" t="b">
        <v>0</v>
      </c>
      <c r="U1345" s="25">
        <v>44961</v>
      </c>
      <c r="V1345" s="63" t="str">
        <f>IF(MONTH(Table22[[#This Row],[Sales Date]])&lt;=3,"Q1",IF(MONTH(Table22[[#This Row],[Sales Date]])&lt;=6,"Q2",IF(MONTH(Table22[[#This Row],[Sales Date]])&lt;=9,"Q3","Q4")))</f>
        <v>Q1</v>
      </c>
      <c r="W1345" s="64">
        <f>YEAR(Table22[[#This Row],[Sales Date]])</f>
        <v>2023</v>
      </c>
      <c r="X1345" s="23">
        <v>38</v>
      </c>
      <c r="Y1345" s="18" t="s">
        <v>41</v>
      </c>
      <c r="Z1345" s="18" t="s">
        <v>30</v>
      </c>
      <c r="AA1345" s="19" t="s">
        <v>25</v>
      </c>
    </row>
    <row r="1346" spans="1:27" x14ac:dyDescent="0.25">
      <c r="A1346" s="17" t="s">
        <v>295</v>
      </c>
      <c r="B1346" s="18" t="s">
        <v>32</v>
      </c>
      <c r="C1346" s="63" t="str" cm="1">
        <f t="array" ref="C1346">_xlfn.SWITCH(Table22[[#This Row],[Country]],"USA","North America","Canada","North America","Brazil","South America","China","Asia","Japan","Asia","India","Asia","France","Europe","Germany","Europe","UK","Europe","Australia","Oceania","South America")</f>
        <v>Asia</v>
      </c>
      <c r="D1346" s="18" t="s">
        <v>21</v>
      </c>
      <c r="E1346" s="18" t="s">
        <v>33</v>
      </c>
      <c r="F1346" s="18" t="s">
        <v>64</v>
      </c>
      <c r="G1346" s="18" t="s">
        <v>48</v>
      </c>
      <c r="H1346" s="64">
        <f>LEN(TRIM(Table22[[#This Row],[Country]]))</f>
        <v>5</v>
      </c>
      <c r="I1346" s="64">
        <f>LEN(TRIM(Table22[[#This Row],[Continent]]))</f>
        <v>4</v>
      </c>
      <c r="J1346" s="64">
        <f>LEN(TRIM(Table22[[#This Row],[Product]]))</f>
        <v>10</v>
      </c>
      <c r="K1346" s="64">
        <f>LEN(TRIM(Table22[[#This Row],[Sales Team]]))</f>
        <v>9</v>
      </c>
      <c r="L1346" s="23">
        <v>76</v>
      </c>
      <c r="M1346" s="65" t="str" cm="1">
        <f t="array" ref="M1346">_xlfn.IFS(Table22[[#This Row],[Units Sold]]&lt;40,"Critical",Table22[[#This Row],[Units Sold]]&lt;=50,"Poor",Table22[[#This Row],[Units Sold]]&lt;=60,"Low",Table22[[#This Row],[Units Sold]]&lt;=80,"Average",Table22[[#This Row],[Units Sold]]&lt;=90,"High",Table22[[#This Row],[Units Sold]]&lt;=95,"Excellent",Table22[[#This Row],[Units Sold]]&gt;95,"Outstanding")</f>
        <v>Average</v>
      </c>
      <c r="N1346" s="29">
        <v>227.81</v>
      </c>
      <c r="O1346" s="29">
        <v>17313.560000000001</v>
      </c>
      <c r="P1346" s="43">
        <f>IF(Table22[[#This Row],[Discount Applied]],Table22[[#This Row],[Total Sales (in USD)]]*(1-Table22[[#This Row],[Discount Percentage (%)]]/100),Table22[[#This Row],[Total Sales (in USD)]])</f>
        <v>14406.613276000002</v>
      </c>
      <c r="Q1346" s="66">
        <f>SQRT(AVERAGE((Table22[[#This Row],[Net Sales (after discount) (in USD)]]-AVERAGE(Table22[Net Sales (after discount) (in USD)]))^2))</f>
        <v>22104.747287764534</v>
      </c>
      <c r="R1346" s="18" t="b">
        <v>1</v>
      </c>
      <c r="S1346" s="40">
        <v>16.79</v>
      </c>
      <c r="T1346" s="18" t="b">
        <v>1</v>
      </c>
      <c r="U1346" s="25">
        <v>44948</v>
      </c>
      <c r="V1346" s="63" t="str">
        <f>IF(MONTH(Table22[[#This Row],[Sales Date]])&lt;=3,"Q1",IF(MONTH(Table22[[#This Row],[Sales Date]])&lt;=6,"Q2",IF(MONTH(Table22[[#This Row],[Sales Date]])&lt;=9,"Q3","Q4")))</f>
        <v>Q1</v>
      </c>
      <c r="W1346" s="64">
        <f>YEAR(Table22[[#This Row],[Sales Date]])</f>
        <v>2023</v>
      </c>
      <c r="X1346" s="23">
        <v>57</v>
      </c>
      <c r="Y1346" s="18" t="s">
        <v>41</v>
      </c>
      <c r="Z1346" s="18" t="s">
        <v>56</v>
      </c>
      <c r="AA1346" s="19" t="s">
        <v>25</v>
      </c>
    </row>
    <row r="1347" spans="1:27" x14ac:dyDescent="0.25">
      <c r="A1347" s="17" t="s">
        <v>2009</v>
      </c>
      <c r="B1347" s="18" t="s">
        <v>46</v>
      </c>
      <c r="C1347" s="63" t="str" cm="1">
        <f t="array" ref="C1347">_xlfn.SWITCH(Table22[[#This Row],[Country]],"USA","North America","Canada","North America","Brazil","South America","China","Asia","Japan","Asia","India","Asia","France","Europe","Germany","Europe","UK","Europe","Australia","Oceania","South America")</f>
        <v>South America</v>
      </c>
      <c r="D1347" s="18" t="s">
        <v>21</v>
      </c>
      <c r="E1347" s="18" t="s">
        <v>19</v>
      </c>
      <c r="F1347" s="18" t="s">
        <v>34</v>
      </c>
      <c r="G1347" s="18" t="s">
        <v>29</v>
      </c>
      <c r="H1347" s="64">
        <f>LEN(TRIM(Table22[[#This Row],[Country]]))</f>
        <v>6</v>
      </c>
      <c r="I1347" s="64">
        <f>LEN(TRIM(Table22[[#This Row],[Continent]]))</f>
        <v>13</v>
      </c>
      <c r="J1347" s="64">
        <f>LEN(TRIM(Table22[[#This Row],[Product]]))</f>
        <v>6</v>
      </c>
      <c r="K1347" s="64">
        <f>LEN(TRIM(Table22[[#This Row],[Sales Team]]))</f>
        <v>10</v>
      </c>
      <c r="L1347" s="23">
        <v>21</v>
      </c>
      <c r="M1347" s="65" t="str" cm="1">
        <f t="array" ref="M1347">_xlfn.IFS(Table22[[#This Row],[Units Sold]]&lt;40,"Critical",Table22[[#This Row],[Units Sold]]&lt;=50,"Poor",Table22[[#This Row],[Units Sold]]&lt;=60,"Low",Table22[[#This Row],[Units Sold]]&lt;=80,"Average",Table22[[#This Row],[Units Sold]]&lt;=90,"High",Table22[[#This Row],[Units Sold]]&lt;=95,"Excellent",Table22[[#This Row],[Units Sold]]&gt;95,"Outstanding")</f>
        <v>Critical</v>
      </c>
      <c r="N1347" s="29">
        <v>823.42</v>
      </c>
      <c r="O1347" s="29">
        <v>17291.82</v>
      </c>
      <c r="P1347" s="43">
        <f>IF(Table22[[#This Row],[Discount Applied]],Table22[[#This Row],[Total Sales (in USD)]]*(1-Table22[[#This Row],[Discount Percentage (%)]]/100),Table22[[#This Row],[Total Sales (in USD)]])</f>
        <v>15488.283173999998</v>
      </c>
      <c r="Q1347" s="66">
        <f>SQRT(AVERAGE((Table22[[#This Row],[Net Sales (after discount) (in USD)]]-AVERAGE(Table22[Net Sales (after discount) (in USD)]))^2))</f>
        <v>21023.077389764541</v>
      </c>
      <c r="R1347" s="18" t="b">
        <v>0</v>
      </c>
      <c r="S1347" s="40">
        <v>10.43</v>
      </c>
      <c r="T1347" s="18" t="b">
        <v>1</v>
      </c>
      <c r="U1347" s="25">
        <v>45258</v>
      </c>
      <c r="V1347" s="63" t="str">
        <f>IF(MONTH(Table22[[#This Row],[Sales Date]])&lt;=3,"Q1",IF(MONTH(Table22[[#This Row],[Sales Date]])&lt;=6,"Q2",IF(MONTH(Table22[[#This Row],[Sales Date]])&lt;=9,"Q3","Q4")))</f>
        <v>Q4</v>
      </c>
      <c r="W1347" s="64">
        <f>YEAR(Table22[[#This Row],[Sales Date]])</f>
        <v>2023</v>
      </c>
      <c r="X1347" s="23">
        <v>45</v>
      </c>
      <c r="Y1347" s="18" t="s">
        <v>49</v>
      </c>
      <c r="Z1347" s="18" t="s">
        <v>56</v>
      </c>
      <c r="AA1347" s="19" t="s">
        <v>36</v>
      </c>
    </row>
    <row r="1348" spans="1:27" x14ac:dyDescent="0.25">
      <c r="A1348" s="17" t="s">
        <v>1726</v>
      </c>
      <c r="B1348" s="18" t="s">
        <v>38</v>
      </c>
      <c r="C1348" s="63" t="str" cm="1">
        <f t="array" ref="C1348">_xlfn.SWITCH(Table22[[#This Row],[Country]],"USA","North America","Canada","North America","Brazil","South America","China","Asia","Japan","Asia","India","Asia","France","Europe","Germany","Europe","UK","Europe","Australia","Oceania","South America")</f>
        <v>Europe</v>
      </c>
      <c r="D1348" s="18" t="s">
        <v>35</v>
      </c>
      <c r="E1348" s="18" t="s">
        <v>33</v>
      </c>
      <c r="F1348" s="18" t="s">
        <v>34</v>
      </c>
      <c r="G1348" s="18" t="s">
        <v>29</v>
      </c>
      <c r="H1348" s="64">
        <f>LEN(TRIM(Table22[[#This Row],[Country]]))</f>
        <v>6</v>
      </c>
      <c r="I1348" s="64">
        <f>LEN(TRIM(Table22[[#This Row],[Continent]]))</f>
        <v>6</v>
      </c>
      <c r="J1348" s="64">
        <f>LEN(TRIM(Table22[[#This Row],[Product]]))</f>
        <v>10</v>
      </c>
      <c r="K1348" s="64">
        <f>LEN(TRIM(Table22[[#This Row],[Sales Team]]))</f>
        <v>10</v>
      </c>
      <c r="L1348" s="23">
        <v>16</v>
      </c>
      <c r="M1348" s="65" t="str" cm="1">
        <f t="array" ref="M1348">_xlfn.IFS(Table22[[#This Row],[Units Sold]]&lt;40,"Critical",Table22[[#This Row],[Units Sold]]&lt;=50,"Poor",Table22[[#This Row],[Units Sold]]&lt;=60,"Low",Table22[[#This Row],[Units Sold]]&lt;=80,"Average",Table22[[#This Row],[Units Sold]]&lt;=90,"High",Table22[[#This Row],[Units Sold]]&lt;=95,"Excellent",Table22[[#This Row],[Units Sold]]&gt;95,"Outstanding")</f>
        <v>Critical</v>
      </c>
      <c r="N1348" s="29">
        <v>1080.1199999999999</v>
      </c>
      <c r="O1348" s="29">
        <v>17281.919999999998</v>
      </c>
      <c r="P1348" s="43">
        <f>IF(Table22[[#This Row],[Discount Applied]],Table22[[#This Row],[Total Sales (in USD)]]*(1-Table22[[#This Row],[Discount Percentage (%)]]/100),Table22[[#This Row],[Total Sales (in USD)]])</f>
        <v>17281.919999999998</v>
      </c>
      <c r="Q1348" s="66">
        <f>SQRT(AVERAGE((Table22[[#This Row],[Net Sales (after discount) (in USD)]]-AVERAGE(Table22[Net Sales (after discount) (in USD)]))^2))</f>
        <v>19229.44056376454</v>
      </c>
      <c r="R1348" s="18" t="b">
        <v>1</v>
      </c>
      <c r="S1348" s="40">
        <v>14.05</v>
      </c>
      <c r="T1348" s="18" t="b">
        <v>0</v>
      </c>
      <c r="U1348" s="25">
        <v>45516</v>
      </c>
      <c r="V1348" s="63" t="str">
        <f>IF(MONTH(Table22[[#This Row],[Sales Date]])&lt;=3,"Q1",IF(MONTH(Table22[[#This Row],[Sales Date]])&lt;=6,"Q2",IF(MONTH(Table22[[#This Row],[Sales Date]])&lt;=9,"Q3","Q4")))</f>
        <v>Q3</v>
      </c>
      <c r="W1348" s="64">
        <f>YEAR(Table22[[#This Row],[Sales Date]])</f>
        <v>2024</v>
      </c>
      <c r="X1348" s="23">
        <v>22</v>
      </c>
      <c r="Y1348" s="18" t="s">
        <v>41</v>
      </c>
      <c r="Z1348" s="18" t="s">
        <v>56</v>
      </c>
      <c r="AA1348" s="19" t="s">
        <v>36</v>
      </c>
    </row>
    <row r="1349" spans="1:27" x14ac:dyDescent="0.25">
      <c r="A1349" s="17" t="s">
        <v>1463</v>
      </c>
      <c r="B1349" s="18" t="s">
        <v>72</v>
      </c>
      <c r="C1349" s="63" t="str" cm="1">
        <f t="array" ref="C1349">_xlfn.SWITCH(Table22[[#This Row],[Country]],"USA","North America","Canada","North America","Brazil","South America","China","Asia","Japan","Asia","India","Asia","France","Europe","Germany","Europe","UK","Europe","Australia","Oceania","South America")</f>
        <v>North America</v>
      </c>
      <c r="D1349" s="18" t="s">
        <v>28</v>
      </c>
      <c r="E1349" s="18" t="s">
        <v>39</v>
      </c>
      <c r="F1349" s="18" t="s">
        <v>20</v>
      </c>
      <c r="G1349" s="18" t="s">
        <v>22</v>
      </c>
      <c r="H1349" s="64">
        <f>LEN(TRIM(Table22[[#This Row],[Country]]))</f>
        <v>3</v>
      </c>
      <c r="I1349" s="64">
        <f>LEN(TRIM(Table22[[#This Row],[Continent]]))</f>
        <v>13</v>
      </c>
      <c r="J1349" s="64">
        <f>LEN(TRIM(Table22[[#This Row],[Product]]))</f>
        <v>10</v>
      </c>
      <c r="K1349" s="64">
        <f>LEN(TRIM(Table22[[#This Row],[Sales Team]]))</f>
        <v>10</v>
      </c>
      <c r="L1349" s="23">
        <v>41</v>
      </c>
      <c r="M1349" s="65" t="str" cm="1">
        <f t="array" ref="M1349">_xlfn.IFS(Table22[[#This Row],[Units Sold]]&lt;40,"Critical",Table22[[#This Row],[Units Sold]]&lt;=50,"Poor",Table22[[#This Row],[Units Sold]]&lt;=60,"Low",Table22[[#This Row],[Units Sold]]&lt;=80,"Average",Table22[[#This Row],[Units Sold]]&lt;=90,"High",Table22[[#This Row],[Units Sold]]&lt;=95,"Excellent",Table22[[#This Row],[Units Sold]]&gt;95,"Outstanding")</f>
        <v>Poor</v>
      </c>
      <c r="N1349" s="29">
        <v>421.33</v>
      </c>
      <c r="O1349" s="29">
        <v>17274.53</v>
      </c>
      <c r="P1349" s="43">
        <f>IF(Table22[[#This Row],[Discount Applied]],Table22[[#This Row],[Total Sales (in USD)]]*(1-Table22[[#This Row],[Discount Percentage (%)]]/100),Table22[[#This Row],[Total Sales (in USD)]])</f>
        <v>17274.53</v>
      </c>
      <c r="Q1349" s="66">
        <f>SQRT(AVERAGE((Table22[[#This Row],[Net Sales (after discount) (in USD)]]-AVERAGE(Table22[Net Sales (after discount) (in USD)]))^2))</f>
        <v>19236.830563764539</v>
      </c>
      <c r="R1349" s="18" t="b">
        <v>0</v>
      </c>
      <c r="S1349" s="40">
        <v>5.32</v>
      </c>
      <c r="T1349" s="18" t="b">
        <v>0</v>
      </c>
      <c r="U1349" s="25">
        <v>45296</v>
      </c>
      <c r="V1349" s="63" t="str">
        <f>IF(MONTH(Table22[[#This Row],[Sales Date]])&lt;=3,"Q1",IF(MONTH(Table22[[#This Row],[Sales Date]])&lt;=6,"Q2",IF(MONTH(Table22[[#This Row],[Sales Date]])&lt;=9,"Q3","Q4")))</f>
        <v>Q1</v>
      </c>
      <c r="W1349" s="64">
        <f>YEAR(Table22[[#This Row],[Sales Date]])</f>
        <v>2024</v>
      </c>
      <c r="X1349" s="23">
        <v>19</v>
      </c>
      <c r="Y1349" s="18" t="s">
        <v>41</v>
      </c>
      <c r="Z1349" s="18" t="s">
        <v>56</v>
      </c>
      <c r="AA1349" s="19" t="s">
        <v>36</v>
      </c>
    </row>
    <row r="1350" spans="1:27" x14ac:dyDescent="0.25">
      <c r="A1350" s="17" t="s">
        <v>596</v>
      </c>
      <c r="B1350" s="18" t="s">
        <v>76</v>
      </c>
      <c r="C1350" s="63" t="str" cm="1">
        <f t="array" ref="C1350">_xlfn.SWITCH(Table22[[#This Row],[Country]],"USA","North America","Canada","North America","Brazil","South America","China","Asia","Japan","Asia","India","Asia","France","Europe","Germany","Europe","UK","Europe","Australia","Oceania","South America")</f>
        <v>Asia</v>
      </c>
      <c r="D1350" s="18" t="s">
        <v>35</v>
      </c>
      <c r="E1350" s="18" t="s">
        <v>19</v>
      </c>
      <c r="F1350" s="18" t="s">
        <v>20</v>
      </c>
      <c r="G1350" s="18" t="s">
        <v>48</v>
      </c>
      <c r="H1350" s="64">
        <f>LEN(TRIM(Table22[[#This Row],[Country]]))</f>
        <v>5</v>
      </c>
      <c r="I1350" s="64">
        <f>LEN(TRIM(Table22[[#This Row],[Continent]]))</f>
        <v>4</v>
      </c>
      <c r="J1350" s="64">
        <f>LEN(TRIM(Table22[[#This Row],[Product]]))</f>
        <v>6</v>
      </c>
      <c r="K1350" s="64">
        <f>LEN(TRIM(Table22[[#This Row],[Sales Team]]))</f>
        <v>9</v>
      </c>
      <c r="L1350" s="23">
        <v>30</v>
      </c>
      <c r="M1350" s="65" t="str" cm="1">
        <f t="array" ref="M1350">_xlfn.IFS(Table22[[#This Row],[Units Sold]]&lt;40,"Critical",Table22[[#This Row],[Units Sold]]&lt;=50,"Poor",Table22[[#This Row],[Units Sold]]&lt;=60,"Low",Table22[[#This Row],[Units Sold]]&lt;=80,"Average",Table22[[#This Row],[Units Sold]]&lt;=90,"High",Table22[[#This Row],[Units Sold]]&lt;=95,"Excellent",Table22[[#This Row],[Units Sold]]&gt;95,"Outstanding")</f>
        <v>Critical</v>
      </c>
      <c r="N1350" s="29">
        <v>574.57000000000005</v>
      </c>
      <c r="O1350" s="29">
        <v>17237.099999999999</v>
      </c>
      <c r="P1350" s="43">
        <f>IF(Table22[[#This Row],[Discount Applied]],Table22[[#This Row],[Total Sales (in USD)]]*(1-Table22[[#This Row],[Discount Percentage (%)]]/100),Table22[[#This Row],[Total Sales (in USD)]])</f>
        <v>16775.145719999997</v>
      </c>
      <c r="Q1350" s="66">
        <f>SQRT(AVERAGE((Table22[[#This Row],[Net Sales (after discount) (in USD)]]-AVERAGE(Table22[Net Sales (after discount) (in USD)]))^2))</f>
        <v>19736.214843764541</v>
      </c>
      <c r="R1350" s="18" t="b">
        <v>1</v>
      </c>
      <c r="S1350" s="40">
        <v>2.68</v>
      </c>
      <c r="T1350" s="18" t="b">
        <v>1</v>
      </c>
      <c r="U1350" s="25">
        <v>45081</v>
      </c>
      <c r="V1350" s="63" t="str">
        <f>IF(MONTH(Table22[[#This Row],[Sales Date]])&lt;=3,"Q1",IF(MONTH(Table22[[#This Row],[Sales Date]])&lt;=6,"Q2",IF(MONTH(Table22[[#This Row],[Sales Date]])&lt;=9,"Q3","Q4")))</f>
        <v>Q2</v>
      </c>
      <c r="W1350" s="64">
        <f>YEAR(Table22[[#This Row],[Sales Date]])</f>
        <v>2023</v>
      </c>
      <c r="X1350" s="23">
        <v>45</v>
      </c>
      <c r="Y1350" s="18" t="s">
        <v>23</v>
      </c>
      <c r="Z1350" s="18" t="s">
        <v>56</v>
      </c>
      <c r="AA1350" s="19" t="s">
        <v>25</v>
      </c>
    </row>
    <row r="1351" spans="1:27" x14ac:dyDescent="0.25">
      <c r="A1351" s="17" t="s">
        <v>1385</v>
      </c>
      <c r="B1351" s="18" t="s">
        <v>27</v>
      </c>
      <c r="C1351" s="63" t="str" cm="1">
        <f t="array" ref="C1351">_xlfn.SWITCH(Table22[[#This Row],[Country]],"USA","North America","Canada","North America","Brazil","South America","China","Asia","Japan","Asia","India","Asia","France","Europe","Germany","Europe","UK","Europe","Australia","Oceania","South America")</f>
        <v>Europe</v>
      </c>
      <c r="D1351" s="18" t="s">
        <v>35</v>
      </c>
      <c r="E1351" s="18" t="s">
        <v>39</v>
      </c>
      <c r="F1351" s="18" t="s">
        <v>20</v>
      </c>
      <c r="G1351" s="18" t="s">
        <v>29</v>
      </c>
      <c r="H1351" s="64">
        <f>LEN(TRIM(Table22[[#This Row],[Country]]))</f>
        <v>7</v>
      </c>
      <c r="I1351" s="64">
        <f>LEN(TRIM(Table22[[#This Row],[Continent]]))</f>
        <v>6</v>
      </c>
      <c r="J1351" s="64">
        <f>LEN(TRIM(Table22[[#This Row],[Product]]))</f>
        <v>10</v>
      </c>
      <c r="K1351" s="64">
        <f>LEN(TRIM(Table22[[#This Row],[Sales Team]]))</f>
        <v>10</v>
      </c>
      <c r="L1351" s="23">
        <v>54</v>
      </c>
      <c r="M1351" s="65" t="str" cm="1">
        <f t="array" ref="M1351">_xlfn.IFS(Table22[[#This Row],[Units Sold]]&lt;40,"Critical",Table22[[#This Row],[Units Sold]]&lt;=50,"Poor",Table22[[#This Row],[Units Sold]]&lt;=60,"Low",Table22[[#This Row],[Units Sold]]&lt;=80,"Average",Table22[[#This Row],[Units Sold]]&lt;=90,"High",Table22[[#This Row],[Units Sold]]&lt;=95,"Excellent",Table22[[#This Row],[Units Sold]]&gt;95,"Outstanding")</f>
        <v>Low</v>
      </c>
      <c r="N1351" s="29">
        <v>318.76</v>
      </c>
      <c r="O1351" s="29">
        <v>17213.04</v>
      </c>
      <c r="P1351" s="43">
        <f>IF(Table22[[#This Row],[Discount Applied]],Table22[[#This Row],[Total Sales (in USD)]]*(1-Table22[[#This Row],[Discount Percentage (%)]]/100),Table22[[#This Row],[Total Sales (in USD)]])</f>
        <v>12951.091296000001</v>
      </c>
      <c r="Q1351" s="66">
        <f>SQRT(AVERAGE((Table22[[#This Row],[Net Sales (after discount) (in USD)]]-AVERAGE(Table22[Net Sales (after discount) (in USD)]))^2))</f>
        <v>23560.269267764539</v>
      </c>
      <c r="R1351" s="18" t="b">
        <v>0</v>
      </c>
      <c r="S1351" s="40">
        <v>24.76</v>
      </c>
      <c r="T1351" s="18" t="b">
        <v>1</v>
      </c>
      <c r="U1351" s="25">
        <v>45004</v>
      </c>
      <c r="V1351" s="63" t="str">
        <f>IF(MONTH(Table22[[#This Row],[Sales Date]])&lt;=3,"Q1",IF(MONTH(Table22[[#This Row],[Sales Date]])&lt;=6,"Q2",IF(MONTH(Table22[[#This Row],[Sales Date]])&lt;=9,"Q3","Q4")))</f>
        <v>Q1</v>
      </c>
      <c r="W1351" s="64">
        <f>YEAR(Table22[[#This Row],[Sales Date]])</f>
        <v>2023</v>
      </c>
      <c r="X1351" s="23">
        <v>69</v>
      </c>
      <c r="Y1351" s="18" t="s">
        <v>49</v>
      </c>
      <c r="Z1351" s="18" t="s">
        <v>24</v>
      </c>
      <c r="AA1351" s="19" t="s">
        <v>25</v>
      </c>
    </row>
    <row r="1352" spans="1:27" x14ac:dyDescent="0.25">
      <c r="A1352" s="17" t="s">
        <v>1428</v>
      </c>
      <c r="B1352" s="18" t="s">
        <v>38</v>
      </c>
      <c r="C1352" s="63" t="str" cm="1">
        <f t="array" ref="C1352">_xlfn.SWITCH(Table22[[#This Row],[Country]],"USA","North America","Canada","North America","Brazil","South America","China","Asia","Japan","Asia","India","Asia","France","Europe","Germany","Europe","UK","Europe","Australia","Oceania","South America")</f>
        <v>Europe</v>
      </c>
      <c r="D1352" s="18" t="s">
        <v>21</v>
      </c>
      <c r="E1352" s="18" t="s">
        <v>19</v>
      </c>
      <c r="F1352" s="18" t="s">
        <v>47</v>
      </c>
      <c r="G1352" s="18" t="s">
        <v>40</v>
      </c>
      <c r="H1352" s="64">
        <f>LEN(TRIM(Table22[[#This Row],[Country]]))</f>
        <v>6</v>
      </c>
      <c r="I1352" s="64">
        <f>LEN(TRIM(Table22[[#This Row],[Continent]]))</f>
        <v>6</v>
      </c>
      <c r="J1352" s="64">
        <f>LEN(TRIM(Table22[[#This Row],[Product]]))</f>
        <v>6</v>
      </c>
      <c r="K1352" s="64">
        <f>LEN(TRIM(Table22[[#This Row],[Sales Team]]))</f>
        <v>10</v>
      </c>
      <c r="L1352" s="23">
        <v>23</v>
      </c>
      <c r="M1352" s="65" t="str" cm="1">
        <f t="array" ref="M1352">_xlfn.IFS(Table22[[#This Row],[Units Sold]]&lt;40,"Critical",Table22[[#This Row],[Units Sold]]&lt;=50,"Poor",Table22[[#This Row],[Units Sold]]&lt;=60,"Low",Table22[[#This Row],[Units Sold]]&lt;=80,"Average",Table22[[#This Row],[Units Sold]]&lt;=90,"High",Table22[[#This Row],[Units Sold]]&lt;=95,"Excellent",Table22[[#This Row],[Units Sold]]&gt;95,"Outstanding")</f>
        <v>Critical</v>
      </c>
      <c r="N1352" s="29">
        <v>747.42</v>
      </c>
      <c r="O1352" s="29">
        <v>17190.66</v>
      </c>
      <c r="P1352" s="43">
        <f>IF(Table22[[#This Row],[Discount Applied]],Table22[[#This Row],[Total Sales (in USD)]]*(1-Table22[[#This Row],[Discount Percentage (%)]]/100),Table22[[#This Row],[Total Sales (in USD)]])</f>
        <v>17190.66</v>
      </c>
      <c r="Q1352" s="66">
        <f>SQRT(AVERAGE((Table22[[#This Row],[Net Sales (after discount) (in USD)]]-AVERAGE(Table22[Net Sales (after discount) (in USD)]))^2))</f>
        <v>19320.700563764538</v>
      </c>
      <c r="R1352" s="18" t="b">
        <v>0</v>
      </c>
      <c r="S1352" s="40">
        <v>9.39</v>
      </c>
      <c r="T1352" s="18" t="b">
        <v>0</v>
      </c>
      <c r="U1352" s="25">
        <v>45095</v>
      </c>
      <c r="V1352" s="63" t="str">
        <f>IF(MONTH(Table22[[#This Row],[Sales Date]])&lt;=3,"Q1",IF(MONTH(Table22[[#This Row],[Sales Date]])&lt;=6,"Q2",IF(MONTH(Table22[[#This Row],[Sales Date]])&lt;=9,"Q3","Q4")))</f>
        <v>Q2</v>
      </c>
      <c r="W1352" s="64">
        <f>YEAR(Table22[[#This Row],[Sales Date]])</f>
        <v>2023</v>
      </c>
      <c r="X1352" s="23">
        <v>27</v>
      </c>
      <c r="Y1352" s="18" t="s">
        <v>49</v>
      </c>
      <c r="Z1352" s="18" t="s">
        <v>30</v>
      </c>
      <c r="AA1352" s="19" t="s">
        <v>25</v>
      </c>
    </row>
    <row r="1353" spans="1:27" x14ac:dyDescent="0.25">
      <c r="A1353" s="17" t="s">
        <v>1736</v>
      </c>
      <c r="B1353" s="18" t="s">
        <v>72</v>
      </c>
      <c r="C1353" s="63" t="str" cm="1">
        <f t="array" ref="C1353">_xlfn.SWITCH(Table22[[#This Row],[Country]],"USA","North America","Canada","North America","Brazil","South America","China","Asia","Japan","Asia","India","Asia","France","Europe","Germany","Europe","UK","Europe","Australia","Oceania","South America")</f>
        <v>North America</v>
      </c>
      <c r="D1353" s="18" t="s">
        <v>21</v>
      </c>
      <c r="E1353" s="18" t="s">
        <v>33</v>
      </c>
      <c r="F1353" s="18" t="s">
        <v>64</v>
      </c>
      <c r="G1353" s="18" t="s">
        <v>40</v>
      </c>
      <c r="H1353" s="64">
        <f>LEN(TRIM(Table22[[#This Row],[Country]]))</f>
        <v>3</v>
      </c>
      <c r="I1353" s="64">
        <f>LEN(TRIM(Table22[[#This Row],[Continent]]))</f>
        <v>13</v>
      </c>
      <c r="J1353" s="64">
        <f>LEN(TRIM(Table22[[#This Row],[Product]]))</f>
        <v>10</v>
      </c>
      <c r="K1353" s="64">
        <f>LEN(TRIM(Table22[[#This Row],[Sales Team]]))</f>
        <v>10</v>
      </c>
      <c r="L1353" s="23">
        <v>12</v>
      </c>
      <c r="M1353" s="65" t="str" cm="1">
        <f t="array" ref="M1353">_xlfn.IFS(Table22[[#This Row],[Units Sold]]&lt;40,"Critical",Table22[[#This Row],[Units Sold]]&lt;=50,"Poor",Table22[[#This Row],[Units Sold]]&lt;=60,"Low",Table22[[#This Row],[Units Sold]]&lt;=80,"Average",Table22[[#This Row],[Units Sold]]&lt;=90,"High",Table22[[#This Row],[Units Sold]]&lt;=95,"Excellent",Table22[[#This Row],[Units Sold]]&gt;95,"Outstanding")</f>
        <v>Critical</v>
      </c>
      <c r="N1353" s="29">
        <v>1428.27</v>
      </c>
      <c r="O1353" s="29">
        <v>17139.240000000002</v>
      </c>
      <c r="P1353" s="43">
        <f>IF(Table22[[#This Row],[Discount Applied]],Table22[[#This Row],[Total Sales (in USD)]]*(1-Table22[[#This Row],[Discount Percentage (%)]]/100),Table22[[#This Row],[Total Sales (in USD)]])</f>
        <v>17139.240000000002</v>
      </c>
      <c r="Q1353" s="66">
        <f>SQRT(AVERAGE((Table22[[#This Row],[Net Sales (after discount) (in USD)]]-AVERAGE(Table22[Net Sales (after discount) (in USD)]))^2))</f>
        <v>19372.120563764536</v>
      </c>
      <c r="R1353" s="18" t="b">
        <v>0</v>
      </c>
      <c r="S1353" s="40">
        <v>23.39</v>
      </c>
      <c r="T1353" s="18" t="b">
        <v>0</v>
      </c>
      <c r="U1353" s="25">
        <v>44932</v>
      </c>
      <c r="V1353" s="63" t="str">
        <f>IF(MONTH(Table22[[#This Row],[Sales Date]])&lt;=3,"Q1",IF(MONTH(Table22[[#This Row],[Sales Date]])&lt;=6,"Q2",IF(MONTH(Table22[[#This Row],[Sales Date]])&lt;=9,"Q3","Q4")))</f>
        <v>Q1</v>
      </c>
      <c r="W1353" s="64">
        <f>YEAR(Table22[[#This Row],[Sales Date]])</f>
        <v>2023</v>
      </c>
      <c r="X1353" s="23">
        <v>32</v>
      </c>
      <c r="Y1353" s="18" t="s">
        <v>41</v>
      </c>
      <c r="Z1353" s="18" t="s">
        <v>42</v>
      </c>
      <c r="AA1353" s="19" t="s">
        <v>36</v>
      </c>
    </row>
    <row r="1354" spans="1:27" x14ac:dyDescent="0.25">
      <c r="A1354" s="17" t="s">
        <v>65</v>
      </c>
      <c r="B1354" s="18" t="s">
        <v>66</v>
      </c>
      <c r="C1354" s="63" t="str" cm="1">
        <f t="array" ref="C1354">_xlfn.SWITCH(Table22[[#This Row],[Country]],"USA","North America","Canada","North America","Brazil","South America","China","Asia","Japan","Asia","India","Asia","France","Europe","Germany","Europe","UK","Europe","Australia","Oceania","South America")</f>
        <v>North America</v>
      </c>
      <c r="D1354" s="18" t="s">
        <v>21</v>
      </c>
      <c r="E1354" s="18" t="s">
        <v>33</v>
      </c>
      <c r="F1354" s="18" t="s">
        <v>47</v>
      </c>
      <c r="G1354" s="18" t="s">
        <v>40</v>
      </c>
      <c r="H1354" s="64">
        <f>LEN(TRIM(Table22[[#This Row],[Country]]))</f>
        <v>6</v>
      </c>
      <c r="I1354" s="64">
        <f>LEN(TRIM(Table22[[#This Row],[Continent]]))</f>
        <v>13</v>
      </c>
      <c r="J1354" s="64">
        <f>LEN(TRIM(Table22[[#This Row],[Product]]))</f>
        <v>10</v>
      </c>
      <c r="K1354" s="64">
        <f>LEN(TRIM(Table22[[#This Row],[Sales Team]]))</f>
        <v>10</v>
      </c>
      <c r="L1354" s="23">
        <v>21</v>
      </c>
      <c r="M1354" s="65" t="str" cm="1">
        <f t="array" ref="M1354">_xlfn.IFS(Table22[[#This Row],[Units Sold]]&lt;40,"Critical",Table22[[#This Row],[Units Sold]]&lt;=50,"Poor",Table22[[#This Row],[Units Sold]]&lt;=60,"Low",Table22[[#This Row],[Units Sold]]&lt;=80,"Average",Table22[[#This Row],[Units Sold]]&lt;=90,"High",Table22[[#This Row],[Units Sold]]&lt;=95,"Excellent",Table22[[#This Row],[Units Sold]]&gt;95,"Outstanding")</f>
        <v>Critical</v>
      </c>
      <c r="N1354" s="29">
        <v>815.93</v>
      </c>
      <c r="O1354" s="29">
        <v>17134.53</v>
      </c>
      <c r="P1354" s="43">
        <f>IF(Table22[[#This Row],[Discount Applied]],Table22[[#This Row],[Total Sales (in USD)]]*(1-Table22[[#This Row],[Discount Percentage (%)]]/100),Table22[[#This Row],[Total Sales (in USD)]])</f>
        <v>17134.53</v>
      </c>
      <c r="Q1354" s="66">
        <f>SQRT(AVERAGE((Table22[[#This Row],[Net Sales (after discount) (in USD)]]-AVERAGE(Table22[Net Sales (after discount) (in USD)]))^2))</f>
        <v>19376.830563764539</v>
      </c>
      <c r="R1354" s="18" t="b">
        <v>1</v>
      </c>
      <c r="S1354" s="40">
        <v>20.2</v>
      </c>
      <c r="T1354" s="18" t="b">
        <v>0</v>
      </c>
      <c r="U1354" s="25">
        <v>45517</v>
      </c>
      <c r="V1354" s="63" t="str">
        <f>IF(MONTH(Table22[[#This Row],[Sales Date]])&lt;=3,"Q1",IF(MONTH(Table22[[#This Row],[Sales Date]])&lt;=6,"Q2",IF(MONTH(Table22[[#This Row],[Sales Date]])&lt;=9,"Q3","Q4")))</f>
        <v>Q3</v>
      </c>
      <c r="W1354" s="64">
        <f>YEAR(Table22[[#This Row],[Sales Date]])</f>
        <v>2024</v>
      </c>
      <c r="X1354" s="23">
        <v>36</v>
      </c>
      <c r="Y1354" s="18" t="s">
        <v>49</v>
      </c>
      <c r="Z1354" s="18" t="s">
        <v>42</v>
      </c>
      <c r="AA1354" s="19" t="s">
        <v>25</v>
      </c>
    </row>
    <row r="1355" spans="1:27" x14ac:dyDescent="0.25">
      <c r="A1355" s="17" t="s">
        <v>1533</v>
      </c>
      <c r="B1355" s="18" t="s">
        <v>66</v>
      </c>
      <c r="C1355" s="63" t="str" cm="1">
        <f t="array" ref="C1355">_xlfn.SWITCH(Table22[[#This Row],[Country]],"USA","North America","Canada","North America","Brazil","South America","China","Asia","Japan","Asia","India","Asia","France","Europe","Germany","Europe","UK","Europe","Australia","Oceania","South America")</f>
        <v>North America</v>
      </c>
      <c r="D1355" s="18" t="s">
        <v>35</v>
      </c>
      <c r="E1355" s="18" t="s">
        <v>33</v>
      </c>
      <c r="F1355" s="18" t="s">
        <v>34</v>
      </c>
      <c r="G1355" s="18" t="s">
        <v>48</v>
      </c>
      <c r="H1355" s="64">
        <f>LEN(TRIM(Table22[[#This Row],[Country]]))</f>
        <v>6</v>
      </c>
      <c r="I1355" s="64">
        <f>LEN(TRIM(Table22[[#This Row],[Continent]]))</f>
        <v>13</v>
      </c>
      <c r="J1355" s="64">
        <f>LEN(TRIM(Table22[[#This Row],[Product]]))</f>
        <v>10</v>
      </c>
      <c r="K1355" s="64">
        <f>LEN(TRIM(Table22[[#This Row],[Sales Team]]))</f>
        <v>9</v>
      </c>
      <c r="L1355" s="23">
        <v>96</v>
      </c>
      <c r="M1355" s="65" t="str" cm="1">
        <f t="array" ref="M1355">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355" s="29">
        <v>178.31</v>
      </c>
      <c r="O1355" s="29">
        <v>17117.759999999998</v>
      </c>
      <c r="P1355" s="43">
        <f>IF(Table22[[#This Row],[Discount Applied]],Table22[[#This Row],[Total Sales (in USD)]]*(1-Table22[[#This Row],[Discount Percentage (%)]]/100),Table22[[#This Row],[Total Sales (in USD)]])</f>
        <v>17117.759999999998</v>
      </c>
      <c r="Q1355" s="66">
        <f>SQRT(AVERAGE((Table22[[#This Row],[Net Sales (after discount) (in USD)]]-AVERAGE(Table22[Net Sales (after discount) (in USD)]))^2))</f>
        <v>19393.600563764539</v>
      </c>
      <c r="R1355" s="18" t="b">
        <v>0</v>
      </c>
      <c r="S1355" s="40">
        <v>22.95</v>
      </c>
      <c r="T1355" s="18" t="b">
        <v>0</v>
      </c>
      <c r="U1355" s="25">
        <v>45534</v>
      </c>
      <c r="V1355" s="63" t="str">
        <f>IF(MONTH(Table22[[#This Row],[Sales Date]])&lt;=3,"Q1",IF(MONTH(Table22[[#This Row],[Sales Date]])&lt;=6,"Q2",IF(MONTH(Table22[[#This Row],[Sales Date]])&lt;=9,"Q3","Q4")))</f>
        <v>Q3</v>
      </c>
      <c r="W1355" s="64">
        <f>YEAR(Table22[[#This Row],[Sales Date]])</f>
        <v>2024</v>
      </c>
      <c r="X1355" s="23">
        <v>65</v>
      </c>
      <c r="Y1355" s="18" t="s">
        <v>23</v>
      </c>
      <c r="Z1355" s="18" t="s">
        <v>30</v>
      </c>
      <c r="AA1355" s="19" t="s">
        <v>25</v>
      </c>
    </row>
    <row r="1356" spans="1:27" x14ac:dyDescent="0.25">
      <c r="A1356" s="17" t="s">
        <v>1879</v>
      </c>
      <c r="B1356" s="18" t="s">
        <v>46</v>
      </c>
      <c r="C1356" s="63" t="str" cm="1">
        <f t="array" ref="C1356">_xlfn.SWITCH(Table22[[#This Row],[Country]],"USA","North America","Canada","North America","Brazil","South America","China","Asia","Japan","Asia","India","Asia","France","Europe","Germany","Europe","UK","Europe","Australia","Oceania","South America")</f>
        <v>South America</v>
      </c>
      <c r="D1356" s="18" t="s">
        <v>21</v>
      </c>
      <c r="E1356" s="18" t="s">
        <v>19</v>
      </c>
      <c r="F1356" s="18" t="s">
        <v>64</v>
      </c>
      <c r="G1356" s="18" t="s">
        <v>29</v>
      </c>
      <c r="H1356" s="64">
        <f>LEN(TRIM(Table22[[#This Row],[Country]]))</f>
        <v>6</v>
      </c>
      <c r="I1356" s="64">
        <f>LEN(TRIM(Table22[[#This Row],[Continent]]))</f>
        <v>13</v>
      </c>
      <c r="J1356" s="64">
        <f>LEN(TRIM(Table22[[#This Row],[Product]]))</f>
        <v>6</v>
      </c>
      <c r="K1356" s="64">
        <f>LEN(TRIM(Table22[[#This Row],[Sales Team]]))</f>
        <v>10</v>
      </c>
      <c r="L1356" s="23">
        <v>60</v>
      </c>
      <c r="M1356" s="65" t="str" cm="1">
        <f t="array" ref="M1356">_xlfn.IFS(Table22[[#This Row],[Units Sold]]&lt;40,"Critical",Table22[[#This Row],[Units Sold]]&lt;=50,"Poor",Table22[[#This Row],[Units Sold]]&lt;=60,"Low",Table22[[#This Row],[Units Sold]]&lt;=80,"Average",Table22[[#This Row],[Units Sold]]&lt;=90,"High",Table22[[#This Row],[Units Sold]]&lt;=95,"Excellent",Table22[[#This Row],[Units Sold]]&gt;95,"Outstanding")</f>
        <v>Low</v>
      </c>
      <c r="N1356" s="29">
        <v>285.24</v>
      </c>
      <c r="O1356" s="29">
        <v>17114.400000000001</v>
      </c>
      <c r="P1356" s="43">
        <f>IF(Table22[[#This Row],[Discount Applied]],Table22[[#This Row],[Total Sales (in USD)]]*(1-Table22[[#This Row],[Discount Percentage (%)]]/100),Table22[[#This Row],[Total Sales (in USD)]])</f>
        <v>15296.850720000002</v>
      </c>
      <c r="Q1356" s="66">
        <f>SQRT(AVERAGE((Table22[[#This Row],[Net Sales (after discount) (in USD)]]-AVERAGE(Table22[Net Sales (after discount) (in USD)]))^2))</f>
        <v>21214.509843764536</v>
      </c>
      <c r="R1356" s="18" t="b">
        <v>0</v>
      </c>
      <c r="S1356" s="40">
        <v>10.62</v>
      </c>
      <c r="T1356" s="18" t="b">
        <v>1</v>
      </c>
      <c r="U1356" s="25">
        <v>45500</v>
      </c>
      <c r="V1356" s="63" t="str">
        <f>IF(MONTH(Table22[[#This Row],[Sales Date]])&lt;=3,"Q1",IF(MONTH(Table22[[#This Row],[Sales Date]])&lt;=6,"Q2",IF(MONTH(Table22[[#This Row],[Sales Date]])&lt;=9,"Q3","Q4")))</f>
        <v>Q3</v>
      </c>
      <c r="W1356" s="64">
        <f>YEAR(Table22[[#This Row],[Sales Date]])</f>
        <v>2024</v>
      </c>
      <c r="X1356" s="23">
        <v>42</v>
      </c>
      <c r="Y1356" s="18" t="s">
        <v>23</v>
      </c>
      <c r="Z1356" s="18" t="s">
        <v>42</v>
      </c>
      <c r="AA1356" s="19" t="s">
        <v>25</v>
      </c>
    </row>
    <row r="1357" spans="1:27" x14ac:dyDescent="0.25">
      <c r="A1357" s="17" t="s">
        <v>380</v>
      </c>
      <c r="B1357" s="18" t="s">
        <v>72</v>
      </c>
      <c r="C1357" s="63" t="str" cm="1">
        <f t="array" ref="C1357">_xlfn.SWITCH(Table22[[#This Row],[Country]],"USA","North America","Canada","North America","Brazil","South America","China","Asia","Japan","Asia","India","Asia","France","Europe","Germany","Europe","UK","Europe","Australia","Oceania","South America")</f>
        <v>North America</v>
      </c>
      <c r="D1357" s="18" t="s">
        <v>21</v>
      </c>
      <c r="E1357" s="18" t="s">
        <v>19</v>
      </c>
      <c r="F1357" s="18" t="s">
        <v>20</v>
      </c>
      <c r="G1357" s="18" t="s">
        <v>29</v>
      </c>
      <c r="H1357" s="64">
        <f>LEN(TRIM(Table22[[#This Row],[Country]]))</f>
        <v>3</v>
      </c>
      <c r="I1357" s="64">
        <f>LEN(TRIM(Table22[[#This Row],[Continent]]))</f>
        <v>13</v>
      </c>
      <c r="J1357" s="64">
        <f>LEN(TRIM(Table22[[#This Row],[Product]]))</f>
        <v>6</v>
      </c>
      <c r="K1357" s="64">
        <f>LEN(TRIM(Table22[[#This Row],[Sales Team]]))</f>
        <v>10</v>
      </c>
      <c r="L1357" s="23">
        <v>79</v>
      </c>
      <c r="M1357" s="65" t="str" cm="1">
        <f t="array" ref="M1357">_xlfn.IFS(Table22[[#This Row],[Units Sold]]&lt;40,"Critical",Table22[[#This Row],[Units Sold]]&lt;=50,"Poor",Table22[[#This Row],[Units Sold]]&lt;=60,"Low",Table22[[#This Row],[Units Sold]]&lt;=80,"Average",Table22[[#This Row],[Units Sold]]&lt;=90,"High",Table22[[#This Row],[Units Sold]]&lt;=95,"Excellent",Table22[[#This Row],[Units Sold]]&gt;95,"Outstanding")</f>
        <v>Average</v>
      </c>
      <c r="N1357" s="29">
        <v>215.94</v>
      </c>
      <c r="O1357" s="29">
        <v>17059.259999999998</v>
      </c>
      <c r="P1357" s="43">
        <f>IF(Table22[[#This Row],[Discount Applied]],Table22[[#This Row],[Total Sales (in USD)]]*(1-Table22[[#This Row],[Discount Percentage (%)]]/100),Table22[[#This Row],[Total Sales (in USD)]])</f>
        <v>15435.218448</v>
      </c>
      <c r="Q1357" s="66">
        <f>SQRT(AVERAGE((Table22[[#This Row],[Net Sales (after discount) (in USD)]]-AVERAGE(Table22[Net Sales (after discount) (in USD)]))^2))</f>
        <v>21076.142115764538</v>
      </c>
      <c r="R1357" s="18" t="b">
        <v>0</v>
      </c>
      <c r="S1357" s="40">
        <v>9.52</v>
      </c>
      <c r="T1357" s="18" t="b">
        <v>1</v>
      </c>
      <c r="U1357" s="25">
        <v>45569</v>
      </c>
      <c r="V1357" s="63" t="str">
        <f>IF(MONTH(Table22[[#This Row],[Sales Date]])&lt;=3,"Q1",IF(MONTH(Table22[[#This Row],[Sales Date]])&lt;=6,"Q2",IF(MONTH(Table22[[#This Row],[Sales Date]])&lt;=9,"Q3","Q4")))</f>
        <v>Q4</v>
      </c>
      <c r="W1357" s="64">
        <f>YEAR(Table22[[#This Row],[Sales Date]])</f>
        <v>2024</v>
      </c>
      <c r="X1357" s="23">
        <v>52</v>
      </c>
      <c r="Y1357" s="18" t="s">
        <v>41</v>
      </c>
      <c r="Z1357" s="18" t="s">
        <v>42</v>
      </c>
      <c r="AA1357" s="19" t="s">
        <v>25</v>
      </c>
    </row>
    <row r="1358" spans="1:27" x14ac:dyDescent="0.25">
      <c r="A1358" s="17" t="s">
        <v>369</v>
      </c>
      <c r="B1358" s="18" t="s">
        <v>32</v>
      </c>
      <c r="C1358" s="63" t="str" cm="1">
        <f t="array" ref="C1358">_xlfn.SWITCH(Table22[[#This Row],[Country]],"USA","North America","Canada","North America","Brazil","South America","China","Asia","Japan","Asia","India","Asia","France","Europe","Germany","Europe","UK","Europe","Australia","Oceania","South America")</f>
        <v>Asia</v>
      </c>
      <c r="D1358" s="18" t="s">
        <v>44</v>
      </c>
      <c r="E1358" s="18" t="s">
        <v>39</v>
      </c>
      <c r="F1358" s="18" t="s">
        <v>20</v>
      </c>
      <c r="G1358" s="18" t="s">
        <v>40</v>
      </c>
      <c r="H1358" s="64">
        <f>LEN(TRIM(Table22[[#This Row],[Country]]))</f>
        <v>5</v>
      </c>
      <c r="I1358" s="64">
        <f>LEN(TRIM(Table22[[#This Row],[Continent]]))</f>
        <v>4</v>
      </c>
      <c r="J1358" s="64">
        <f>LEN(TRIM(Table22[[#This Row],[Product]]))</f>
        <v>10</v>
      </c>
      <c r="K1358" s="64">
        <f>LEN(TRIM(Table22[[#This Row],[Sales Team]]))</f>
        <v>10</v>
      </c>
      <c r="L1358" s="23">
        <v>70</v>
      </c>
      <c r="M1358" s="65" t="str" cm="1">
        <f t="array" ref="M1358">_xlfn.IFS(Table22[[#This Row],[Units Sold]]&lt;40,"Critical",Table22[[#This Row],[Units Sold]]&lt;=50,"Poor",Table22[[#This Row],[Units Sold]]&lt;=60,"Low",Table22[[#This Row],[Units Sold]]&lt;=80,"Average",Table22[[#This Row],[Units Sold]]&lt;=90,"High",Table22[[#This Row],[Units Sold]]&lt;=95,"Excellent",Table22[[#This Row],[Units Sold]]&gt;95,"Outstanding")</f>
        <v>Average</v>
      </c>
      <c r="N1358" s="29">
        <v>243.64</v>
      </c>
      <c r="O1358" s="29">
        <v>17054.8</v>
      </c>
      <c r="P1358" s="43">
        <f>IF(Table22[[#This Row],[Discount Applied]],Table22[[#This Row],[Total Sales (in USD)]]*(1-Table22[[#This Row],[Discount Percentage (%)]]/100),Table22[[#This Row],[Total Sales (in USD)]])</f>
        <v>13930.360639999999</v>
      </c>
      <c r="Q1358" s="66">
        <f>SQRT(AVERAGE((Table22[[#This Row],[Net Sales (after discount) (in USD)]]-AVERAGE(Table22[Net Sales (after discount) (in USD)]))^2))</f>
        <v>22580.999923764539</v>
      </c>
      <c r="R1358" s="18" t="b">
        <v>0</v>
      </c>
      <c r="S1358" s="40">
        <v>18.32</v>
      </c>
      <c r="T1358" s="18" t="b">
        <v>1</v>
      </c>
      <c r="U1358" s="25">
        <v>45504</v>
      </c>
      <c r="V1358" s="63" t="str">
        <f>IF(MONTH(Table22[[#This Row],[Sales Date]])&lt;=3,"Q1",IF(MONTH(Table22[[#This Row],[Sales Date]])&lt;=6,"Q2",IF(MONTH(Table22[[#This Row],[Sales Date]])&lt;=9,"Q3","Q4")))</f>
        <v>Q3</v>
      </c>
      <c r="W1358" s="64">
        <f>YEAR(Table22[[#This Row],[Sales Date]])</f>
        <v>2024</v>
      </c>
      <c r="X1358" s="23">
        <v>24</v>
      </c>
      <c r="Y1358" s="18" t="s">
        <v>23</v>
      </c>
      <c r="Z1358" s="18" t="s">
        <v>30</v>
      </c>
      <c r="AA1358" s="19" t="s">
        <v>25</v>
      </c>
    </row>
    <row r="1359" spans="1:27" x14ac:dyDescent="0.25">
      <c r="A1359" s="17" t="s">
        <v>2004</v>
      </c>
      <c r="B1359" s="18" t="s">
        <v>76</v>
      </c>
      <c r="C1359" s="63" t="str" cm="1">
        <f t="array" ref="C1359">_xlfn.SWITCH(Table22[[#This Row],[Country]],"USA","North America","Canada","North America","Brazil","South America","China","Asia","Japan","Asia","India","Asia","France","Europe","Germany","Europe","UK","Europe","Australia","Oceania","South America")</f>
        <v>Asia</v>
      </c>
      <c r="D1359" s="18" t="s">
        <v>44</v>
      </c>
      <c r="E1359" s="18" t="s">
        <v>19</v>
      </c>
      <c r="F1359" s="18" t="s">
        <v>20</v>
      </c>
      <c r="G1359" s="18" t="s">
        <v>40</v>
      </c>
      <c r="H1359" s="64">
        <f>LEN(TRIM(Table22[[#This Row],[Country]]))</f>
        <v>5</v>
      </c>
      <c r="I1359" s="64">
        <f>LEN(TRIM(Table22[[#This Row],[Continent]]))</f>
        <v>4</v>
      </c>
      <c r="J1359" s="64">
        <f>LEN(TRIM(Table22[[#This Row],[Product]]))</f>
        <v>6</v>
      </c>
      <c r="K1359" s="64">
        <f>LEN(TRIM(Table22[[#This Row],[Sales Team]]))</f>
        <v>10</v>
      </c>
      <c r="L1359" s="23">
        <v>23</v>
      </c>
      <c r="M1359" s="65" t="str" cm="1">
        <f t="array" ref="M1359">_xlfn.IFS(Table22[[#This Row],[Units Sold]]&lt;40,"Critical",Table22[[#This Row],[Units Sold]]&lt;=50,"Poor",Table22[[#This Row],[Units Sold]]&lt;=60,"Low",Table22[[#This Row],[Units Sold]]&lt;=80,"Average",Table22[[#This Row],[Units Sold]]&lt;=90,"High",Table22[[#This Row],[Units Sold]]&lt;=95,"Excellent",Table22[[#This Row],[Units Sold]]&gt;95,"Outstanding")</f>
        <v>Critical</v>
      </c>
      <c r="N1359" s="29">
        <v>741.41</v>
      </c>
      <c r="O1359" s="29">
        <v>17052.43</v>
      </c>
      <c r="P1359" s="43">
        <f>IF(Table22[[#This Row],[Discount Applied]],Table22[[#This Row],[Total Sales (in USD)]]*(1-Table22[[#This Row],[Discount Percentage (%)]]/100),Table22[[#This Row],[Total Sales (in USD)]])</f>
        <v>17052.43</v>
      </c>
      <c r="Q1359" s="66">
        <f>SQRT(AVERAGE((Table22[[#This Row],[Net Sales (after discount) (in USD)]]-AVERAGE(Table22[Net Sales (after discount) (in USD)]))^2))</f>
        <v>19458.930563764538</v>
      </c>
      <c r="R1359" s="18" t="b">
        <v>1</v>
      </c>
      <c r="S1359" s="40">
        <v>29.09</v>
      </c>
      <c r="T1359" s="18" t="b">
        <v>0</v>
      </c>
      <c r="U1359" s="25">
        <v>44944</v>
      </c>
      <c r="V1359" s="63" t="str">
        <f>IF(MONTH(Table22[[#This Row],[Sales Date]])&lt;=3,"Q1",IF(MONTH(Table22[[#This Row],[Sales Date]])&lt;=6,"Q2",IF(MONTH(Table22[[#This Row],[Sales Date]])&lt;=9,"Q3","Q4")))</f>
        <v>Q1</v>
      </c>
      <c r="W1359" s="64">
        <f>YEAR(Table22[[#This Row],[Sales Date]])</f>
        <v>2023</v>
      </c>
      <c r="X1359" s="23">
        <v>43</v>
      </c>
      <c r="Y1359" s="18" t="s">
        <v>41</v>
      </c>
      <c r="Z1359" s="18" t="s">
        <v>56</v>
      </c>
      <c r="AA1359" s="19" t="s">
        <v>36</v>
      </c>
    </row>
    <row r="1360" spans="1:27" x14ac:dyDescent="0.25">
      <c r="A1360" s="17" t="s">
        <v>2033</v>
      </c>
      <c r="B1360" s="18" t="s">
        <v>66</v>
      </c>
      <c r="C1360" s="63" t="str" cm="1">
        <f t="array" ref="C1360">_xlfn.SWITCH(Table22[[#This Row],[Country]],"USA","North America","Canada","North America","Brazil","South America","China","Asia","Japan","Asia","India","Asia","France","Europe","Germany","Europe","UK","Europe","Australia","Oceania","South America")</f>
        <v>North America</v>
      </c>
      <c r="D1360" s="18" t="s">
        <v>44</v>
      </c>
      <c r="E1360" s="18" t="s">
        <v>39</v>
      </c>
      <c r="F1360" s="18" t="s">
        <v>34</v>
      </c>
      <c r="G1360" s="18" t="s">
        <v>40</v>
      </c>
      <c r="H1360" s="64">
        <f>LEN(TRIM(Table22[[#This Row],[Country]]))</f>
        <v>6</v>
      </c>
      <c r="I1360" s="64">
        <f>LEN(TRIM(Table22[[#This Row],[Continent]]))</f>
        <v>13</v>
      </c>
      <c r="J1360" s="64">
        <f>LEN(TRIM(Table22[[#This Row],[Product]]))</f>
        <v>10</v>
      </c>
      <c r="K1360" s="64">
        <f>LEN(TRIM(Table22[[#This Row],[Sales Team]]))</f>
        <v>10</v>
      </c>
      <c r="L1360" s="23">
        <v>69</v>
      </c>
      <c r="M1360" s="65" t="str" cm="1">
        <f t="array" ref="M1360">_xlfn.IFS(Table22[[#This Row],[Units Sold]]&lt;40,"Critical",Table22[[#This Row],[Units Sold]]&lt;=50,"Poor",Table22[[#This Row],[Units Sold]]&lt;=60,"Low",Table22[[#This Row],[Units Sold]]&lt;=80,"Average",Table22[[#This Row],[Units Sold]]&lt;=90,"High",Table22[[#This Row],[Units Sold]]&lt;=95,"Excellent",Table22[[#This Row],[Units Sold]]&gt;95,"Outstanding")</f>
        <v>Average</v>
      </c>
      <c r="N1360" s="29">
        <v>246.96</v>
      </c>
      <c r="O1360" s="29">
        <v>17040.240000000002</v>
      </c>
      <c r="P1360" s="43">
        <f>IF(Table22[[#This Row],[Discount Applied]],Table22[[#This Row],[Total Sales (in USD)]]*(1-Table22[[#This Row],[Discount Percentage (%)]]/100),Table22[[#This Row],[Total Sales (in USD)]])</f>
        <v>17040.240000000002</v>
      </c>
      <c r="Q1360" s="66">
        <f>SQRT(AVERAGE((Table22[[#This Row],[Net Sales (after discount) (in USD)]]-AVERAGE(Table22[Net Sales (after discount) (in USD)]))^2))</f>
        <v>19471.120563764536</v>
      </c>
      <c r="R1360" s="18" t="b">
        <v>1</v>
      </c>
      <c r="S1360" s="40">
        <v>22.97</v>
      </c>
      <c r="T1360" s="18" t="b">
        <v>0</v>
      </c>
      <c r="U1360" s="25">
        <v>45173</v>
      </c>
      <c r="V1360" s="63" t="str">
        <f>IF(MONTH(Table22[[#This Row],[Sales Date]])&lt;=3,"Q1",IF(MONTH(Table22[[#This Row],[Sales Date]])&lt;=6,"Q2",IF(MONTH(Table22[[#This Row],[Sales Date]])&lt;=9,"Q3","Q4")))</f>
        <v>Q3</v>
      </c>
      <c r="W1360" s="64">
        <f>YEAR(Table22[[#This Row],[Sales Date]])</f>
        <v>2023</v>
      </c>
      <c r="X1360" s="23">
        <v>65</v>
      </c>
      <c r="Y1360" s="18" t="s">
        <v>41</v>
      </c>
      <c r="Z1360" s="18" t="s">
        <v>30</v>
      </c>
      <c r="AA1360" s="19" t="s">
        <v>36</v>
      </c>
    </row>
    <row r="1361" spans="1:27" x14ac:dyDescent="0.25">
      <c r="A1361" s="17" t="s">
        <v>309</v>
      </c>
      <c r="B1361" s="18" t="s">
        <v>51</v>
      </c>
      <c r="C1361" s="63" t="str" cm="1">
        <f t="array" ref="C1361">_xlfn.SWITCH(Table22[[#This Row],[Country]],"USA","North America","Canada","North America","Brazil","South America","China","Asia","Japan","Asia","India","Asia","France","Europe","Germany","Europe","UK","Europe","Australia","Oceania","South America")</f>
        <v>Europe</v>
      </c>
      <c r="D1361" s="18" t="s">
        <v>35</v>
      </c>
      <c r="E1361" s="18" t="s">
        <v>39</v>
      </c>
      <c r="F1361" s="18" t="s">
        <v>47</v>
      </c>
      <c r="G1361" s="18" t="s">
        <v>40</v>
      </c>
      <c r="H1361" s="64">
        <f>LEN(TRIM(Table22[[#This Row],[Country]]))</f>
        <v>2</v>
      </c>
      <c r="I1361" s="64">
        <f>LEN(TRIM(Table22[[#This Row],[Continent]]))</f>
        <v>6</v>
      </c>
      <c r="J1361" s="64">
        <f>LEN(TRIM(Table22[[#This Row],[Product]]))</f>
        <v>10</v>
      </c>
      <c r="K1361" s="64">
        <f>LEN(TRIM(Table22[[#This Row],[Sales Team]]))</f>
        <v>10</v>
      </c>
      <c r="L1361" s="23">
        <v>37</v>
      </c>
      <c r="M1361" s="65" t="str" cm="1">
        <f t="array" ref="M1361">_xlfn.IFS(Table22[[#This Row],[Units Sold]]&lt;40,"Critical",Table22[[#This Row],[Units Sold]]&lt;=50,"Poor",Table22[[#This Row],[Units Sold]]&lt;=60,"Low",Table22[[#This Row],[Units Sold]]&lt;=80,"Average",Table22[[#This Row],[Units Sold]]&lt;=90,"High",Table22[[#This Row],[Units Sold]]&lt;=95,"Excellent",Table22[[#This Row],[Units Sold]]&gt;95,"Outstanding")</f>
        <v>Critical</v>
      </c>
      <c r="N1361" s="29">
        <v>459.62</v>
      </c>
      <c r="O1361" s="29">
        <v>17005.939999999999</v>
      </c>
      <c r="P1361" s="43">
        <f>IF(Table22[[#This Row],[Discount Applied]],Table22[[#This Row],[Total Sales (in USD)]]*(1-Table22[[#This Row],[Discount Percentage (%)]]/100),Table22[[#This Row],[Total Sales (in USD)]])</f>
        <v>12805.472819999999</v>
      </c>
      <c r="Q1361" s="66">
        <f>SQRT(AVERAGE((Table22[[#This Row],[Net Sales (after discount) (in USD)]]-AVERAGE(Table22[Net Sales (after discount) (in USD)]))^2))</f>
        <v>23705.887743764539</v>
      </c>
      <c r="R1361" s="18" t="b">
        <v>1</v>
      </c>
      <c r="S1361" s="40">
        <v>24.7</v>
      </c>
      <c r="T1361" s="18" t="b">
        <v>1</v>
      </c>
      <c r="U1361" s="25">
        <v>45532</v>
      </c>
      <c r="V1361" s="63" t="str">
        <f>IF(MONTH(Table22[[#This Row],[Sales Date]])&lt;=3,"Q1",IF(MONTH(Table22[[#This Row],[Sales Date]])&lt;=6,"Q2",IF(MONTH(Table22[[#This Row],[Sales Date]])&lt;=9,"Q3","Q4")))</f>
        <v>Q3</v>
      </c>
      <c r="W1361" s="64">
        <f>YEAR(Table22[[#This Row],[Sales Date]])</f>
        <v>2024</v>
      </c>
      <c r="X1361" s="23">
        <v>68</v>
      </c>
      <c r="Y1361" s="18" t="s">
        <v>41</v>
      </c>
      <c r="Z1361" s="18" t="s">
        <v>30</v>
      </c>
      <c r="AA1361" s="19" t="s">
        <v>25</v>
      </c>
    </row>
    <row r="1362" spans="1:27" x14ac:dyDescent="0.25">
      <c r="A1362" s="17" t="s">
        <v>1935</v>
      </c>
      <c r="B1362" s="18" t="s">
        <v>46</v>
      </c>
      <c r="C1362" s="63" t="str" cm="1">
        <f t="array" ref="C1362">_xlfn.SWITCH(Table22[[#This Row],[Country]],"USA","North America","Canada","North America","Brazil","South America","China","Asia","Japan","Asia","India","Asia","France","Europe","Germany","Europe","UK","Europe","Australia","Oceania","South America")</f>
        <v>South America</v>
      </c>
      <c r="D1362" s="18" t="s">
        <v>35</v>
      </c>
      <c r="E1362" s="18" t="s">
        <v>33</v>
      </c>
      <c r="F1362" s="18" t="s">
        <v>64</v>
      </c>
      <c r="G1362" s="18" t="s">
        <v>40</v>
      </c>
      <c r="H1362" s="64">
        <f>LEN(TRIM(Table22[[#This Row],[Country]]))</f>
        <v>6</v>
      </c>
      <c r="I1362" s="64">
        <f>LEN(TRIM(Table22[[#This Row],[Continent]]))</f>
        <v>13</v>
      </c>
      <c r="J1362" s="64">
        <f>LEN(TRIM(Table22[[#This Row],[Product]]))</f>
        <v>10</v>
      </c>
      <c r="K1362" s="64">
        <f>LEN(TRIM(Table22[[#This Row],[Sales Team]]))</f>
        <v>10</v>
      </c>
      <c r="L1362" s="23">
        <v>50</v>
      </c>
      <c r="M1362" s="65" t="str" cm="1">
        <f t="array" ref="M1362">_xlfn.IFS(Table22[[#This Row],[Units Sold]]&lt;40,"Critical",Table22[[#This Row],[Units Sold]]&lt;=50,"Poor",Table22[[#This Row],[Units Sold]]&lt;=60,"Low",Table22[[#This Row],[Units Sold]]&lt;=80,"Average",Table22[[#This Row],[Units Sold]]&lt;=90,"High",Table22[[#This Row],[Units Sold]]&lt;=95,"Excellent",Table22[[#This Row],[Units Sold]]&gt;95,"Outstanding")</f>
        <v>Poor</v>
      </c>
      <c r="N1362" s="29">
        <v>339.54</v>
      </c>
      <c r="O1362" s="29">
        <v>16977</v>
      </c>
      <c r="P1362" s="43">
        <f>IF(Table22[[#This Row],[Discount Applied]],Table22[[#This Row],[Total Sales (in USD)]]*(1-Table22[[#This Row],[Discount Percentage (%)]]/100),Table22[[#This Row],[Total Sales (in USD)]])</f>
        <v>16977</v>
      </c>
      <c r="Q1362" s="66">
        <f>SQRT(AVERAGE((Table22[[#This Row],[Net Sales (after discount) (in USD)]]-AVERAGE(Table22[Net Sales (after discount) (in USD)]))^2))</f>
        <v>19534.360563764538</v>
      </c>
      <c r="R1362" s="18" t="b">
        <v>0</v>
      </c>
      <c r="S1362" s="40">
        <v>12.3</v>
      </c>
      <c r="T1362" s="18" t="b">
        <v>0</v>
      </c>
      <c r="U1362" s="25">
        <v>45202</v>
      </c>
      <c r="V1362" s="63" t="str">
        <f>IF(MONTH(Table22[[#This Row],[Sales Date]])&lt;=3,"Q1",IF(MONTH(Table22[[#This Row],[Sales Date]])&lt;=6,"Q2",IF(MONTH(Table22[[#This Row],[Sales Date]])&lt;=9,"Q3","Q4")))</f>
        <v>Q4</v>
      </c>
      <c r="W1362" s="64">
        <f>YEAR(Table22[[#This Row],[Sales Date]])</f>
        <v>2023</v>
      </c>
      <c r="X1362" s="23">
        <v>47</v>
      </c>
      <c r="Y1362" s="18" t="s">
        <v>23</v>
      </c>
      <c r="Z1362" s="18" t="s">
        <v>42</v>
      </c>
      <c r="AA1362" s="19" t="s">
        <v>25</v>
      </c>
    </row>
    <row r="1363" spans="1:27" x14ac:dyDescent="0.25">
      <c r="A1363" s="17" t="s">
        <v>1286</v>
      </c>
      <c r="B1363" s="18" t="s">
        <v>51</v>
      </c>
      <c r="C1363" s="63" t="str" cm="1">
        <f t="array" ref="C1363">_xlfn.SWITCH(Table22[[#This Row],[Country]],"USA","North America","Canada","North America","Brazil","South America","China","Asia","Japan","Asia","India","Asia","France","Europe","Germany","Europe","UK","Europe","Australia","Oceania","South America")</f>
        <v>Europe</v>
      </c>
      <c r="D1363" s="18" t="s">
        <v>35</v>
      </c>
      <c r="E1363" s="18" t="s">
        <v>33</v>
      </c>
      <c r="F1363" s="18" t="s">
        <v>47</v>
      </c>
      <c r="G1363" s="18" t="s">
        <v>40</v>
      </c>
      <c r="H1363" s="64">
        <f>LEN(TRIM(Table22[[#This Row],[Country]]))</f>
        <v>2</v>
      </c>
      <c r="I1363" s="64">
        <f>LEN(TRIM(Table22[[#This Row],[Continent]]))</f>
        <v>6</v>
      </c>
      <c r="J1363" s="64">
        <f>LEN(TRIM(Table22[[#This Row],[Product]]))</f>
        <v>10</v>
      </c>
      <c r="K1363" s="64">
        <f>LEN(TRIM(Table22[[#This Row],[Sales Team]]))</f>
        <v>10</v>
      </c>
      <c r="L1363" s="23">
        <v>80</v>
      </c>
      <c r="M1363" s="65" t="str" cm="1">
        <f t="array" ref="M1363">_xlfn.IFS(Table22[[#This Row],[Units Sold]]&lt;40,"Critical",Table22[[#This Row],[Units Sold]]&lt;=50,"Poor",Table22[[#This Row],[Units Sold]]&lt;=60,"Low",Table22[[#This Row],[Units Sold]]&lt;=80,"Average",Table22[[#This Row],[Units Sold]]&lt;=90,"High",Table22[[#This Row],[Units Sold]]&lt;=95,"Excellent",Table22[[#This Row],[Units Sold]]&gt;95,"Outstanding")</f>
        <v>Average</v>
      </c>
      <c r="N1363" s="29">
        <v>211.81</v>
      </c>
      <c r="O1363" s="29">
        <v>16944.8</v>
      </c>
      <c r="P1363" s="43">
        <f>IF(Table22[[#This Row],[Discount Applied]],Table22[[#This Row],[Total Sales (in USD)]]*(1-Table22[[#This Row],[Discount Percentage (%)]]/100),Table22[[#This Row],[Total Sales (in USD)]])</f>
        <v>16944.8</v>
      </c>
      <c r="Q1363" s="66">
        <f>SQRT(AVERAGE((Table22[[#This Row],[Net Sales (after discount) (in USD)]]-AVERAGE(Table22[Net Sales (after discount) (in USD)]))^2))</f>
        <v>19566.560563764539</v>
      </c>
      <c r="R1363" s="18" t="b">
        <v>0</v>
      </c>
      <c r="S1363" s="40">
        <v>9</v>
      </c>
      <c r="T1363" s="18" t="b">
        <v>0</v>
      </c>
      <c r="U1363" s="25">
        <v>45502</v>
      </c>
      <c r="V1363" s="63" t="str">
        <f>IF(MONTH(Table22[[#This Row],[Sales Date]])&lt;=3,"Q1",IF(MONTH(Table22[[#This Row],[Sales Date]])&lt;=6,"Q2",IF(MONTH(Table22[[#This Row],[Sales Date]])&lt;=9,"Q3","Q4")))</f>
        <v>Q3</v>
      </c>
      <c r="W1363" s="64">
        <f>YEAR(Table22[[#This Row],[Sales Date]])</f>
        <v>2024</v>
      </c>
      <c r="X1363" s="23">
        <v>35</v>
      </c>
      <c r="Y1363" s="18" t="s">
        <v>23</v>
      </c>
      <c r="Z1363" s="18" t="s">
        <v>42</v>
      </c>
      <c r="AA1363" s="19" t="s">
        <v>25</v>
      </c>
    </row>
    <row r="1364" spans="1:27" x14ac:dyDescent="0.25">
      <c r="A1364" s="17" t="s">
        <v>693</v>
      </c>
      <c r="B1364" s="18" t="s">
        <v>62</v>
      </c>
      <c r="C1364" s="63" t="str" cm="1">
        <f t="array" ref="C1364">_xlfn.SWITCH(Table22[[#This Row],[Country]],"USA","North America","Canada","North America","Brazil","South America","China","Asia","Japan","Asia","India","Asia","France","Europe","Germany","Europe","UK","Europe","Australia","Oceania","South America")</f>
        <v>Oceania</v>
      </c>
      <c r="D1364" s="18" t="s">
        <v>28</v>
      </c>
      <c r="E1364" s="18" t="s">
        <v>33</v>
      </c>
      <c r="F1364" s="18" t="s">
        <v>64</v>
      </c>
      <c r="G1364" s="18" t="s">
        <v>29</v>
      </c>
      <c r="H1364" s="64">
        <f>LEN(TRIM(Table22[[#This Row],[Country]]))</f>
        <v>9</v>
      </c>
      <c r="I1364" s="64">
        <f>LEN(TRIM(Table22[[#This Row],[Continent]]))</f>
        <v>7</v>
      </c>
      <c r="J1364" s="64">
        <f>LEN(TRIM(Table22[[#This Row],[Product]]))</f>
        <v>10</v>
      </c>
      <c r="K1364" s="64">
        <f>LEN(TRIM(Table22[[#This Row],[Sales Team]]))</f>
        <v>10</v>
      </c>
      <c r="L1364" s="23">
        <v>49</v>
      </c>
      <c r="M1364" s="65" t="str" cm="1">
        <f t="array" ref="M1364">_xlfn.IFS(Table22[[#This Row],[Units Sold]]&lt;40,"Critical",Table22[[#This Row],[Units Sold]]&lt;=50,"Poor",Table22[[#This Row],[Units Sold]]&lt;=60,"Low",Table22[[#This Row],[Units Sold]]&lt;=80,"Average",Table22[[#This Row],[Units Sold]]&lt;=90,"High",Table22[[#This Row],[Units Sold]]&lt;=95,"Excellent",Table22[[#This Row],[Units Sold]]&gt;95,"Outstanding")</f>
        <v>Poor</v>
      </c>
      <c r="N1364" s="29">
        <v>345.48</v>
      </c>
      <c r="O1364" s="29">
        <v>16928.52</v>
      </c>
      <c r="P1364" s="43">
        <f>IF(Table22[[#This Row],[Discount Applied]],Table22[[#This Row],[Total Sales (in USD)]]*(1-Table22[[#This Row],[Discount Percentage (%)]]/100),Table22[[#This Row],[Total Sales (in USD)]])</f>
        <v>16928.52</v>
      </c>
      <c r="Q1364" s="66">
        <f>SQRT(AVERAGE((Table22[[#This Row],[Net Sales (after discount) (in USD)]]-AVERAGE(Table22[Net Sales (after discount) (in USD)]))^2))</f>
        <v>19582.840563764537</v>
      </c>
      <c r="R1364" s="18" t="b">
        <v>0</v>
      </c>
      <c r="S1364" s="40">
        <v>1.49</v>
      </c>
      <c r="T1364" s="18" t="b">
        <v>0</v>
      </c>
      <c r="U1364" s="25">
        <v>45492</v>
      </c>
      <c r="V1364" s="63" t="str">
        <f>IF(MONTH(Table22[[#This Row],[Sales Date]])&lt;=3,"Q1",IF(MONTH(Table22[[#This Row],[Sales Date]])&lt;=6,"Q2",IF(MONTH(Table22[[#This Row],[Sales Date]])&lt;=9,"Q3","Q4")))</f>
        <v>Q3</v>
      </c>
      <c r="W1364" s="64">
        <f>YEAR(Table22[[#This Row],[Sales Date]])</f>
        <v>2024</v>
      </c>
      <c r="X1364" s="23">
        <v>32</v>
      </c>
      <c r="Y1364" s="18" t="s">
        <v>49</v>
      </c>
      <c r="Z1364" s="18" t="s">
        <v>56</v>
      </c>
      <c r="AA1364" s="19" t="s">
        <v>36</v>
      </c>
    </row>
    <row r="1365" spans="1:27" x14ac:dyDescent="0.25">
      <c r="A1365" s="17" t="s">
        <v>1155</v>
      </c>
      <c r="B1365" s="18" t="s">
        <v>46</v>
      </c>
      <c r="C1365" s="63" t="str" cm="1">
        <f t="array" ref="C1365">_xlfn.SWITCH(Table22[[#This Row],[Country]],"USA","North America","Canada","North America","Brazil","South America","China","Asia","Japan","Asia","India","Asia","France","Europe","Germany","Europe","UK","Europe","Australia","Oceania","South America")</f>
        <v>South America</v>
      </c>
      <c r="D1365" s="18" t="s">
        <v>35</v>
      </c>
      <c r="E1365" s="18" t="s">
        <v>33</v>
      </c>
      <c r="F1365" s="18" t="s">
        <v>20</v>
      </c>
      <c r="G1365" s="18" t="s">
        <v>29</v>
      </c>
      <c r="H1365" s="64">
        <f>LEN(TRIM(Table22[[#This Row],[Country]]))</f>
        <v>6</v>
      </c>
      <c r="I1365" s="64">
        <f>LEN(TRIM(Table22[[#This Row],[Continent]]))</f>
        <v>13</v>
      </c>
      <c r="J1365" s="64">
        <f>LEN(TRIM(Table22[[#This Row],[Product]]))</f>
        <v>10</v>
      </c>
      <c r="K1365" s="64">
        <f>LEN(TRIM(Table22[[#This Row],[Sales Team]]))</f>
        <v>10</v>
      </c>
      <c r="L1365" s="23">
        <v>13</v>
      </c>
      <c r="M1365" s="65" t="str" cm="1">
        <f t="array" ref="M1365">_xlfn.IFS(Table22[[#This Row],[Units Sold]]&lt;40,"Critical",Table22[[#This Row],[Units Sold]]&lt;=50,"Poor",Table22[[#This Row],[Units Sold]]&lt;=60,"Low",Table22[[#This Row],[Units Sold]]&lt;=80,"Average",Table22[[#This Row],[Units Sold]]&lt;=90,"High",Table22[[#This Row],[Units Sold]]&lt;=95,"Excellent",Table22[[#This Row],[Units Sold]]&gt;95,"Outstanding")</f>
        <v>Critical</v>
      </c>
      <c r="N1365" s="29">
        <v>1300.05</v>
      </c>
      <c r="O1365" s="29">
        <v>16900.650000000001</v>
      </c>
      <c r="P1365" s="43">
        <f>IF(Table22[[#This Row],[Discount Applied]],Table22[[#This Row],[Total Sales (in USD)]]*(1-Table22[[#This Row],[Discount Percentage (%)]]/100),Table22[[#This Row],[Total Sales (in USD)]])</f>
        <v>16900.650000000001</v>
      </c>
      <c r="Q1365" s="66">
        <f>SQRT(AVERAGE((Table22[[#This Row],[Net Sales (after discount) (in USD)]]-AVERAGE(Table22[Net Sales (after discount) (in USD)]))^2))</f>
        <v>19610.710563764536</v>
      </c>
      <c r="R1365" s="18" t="b">
        <v>0</v>
      </c>
      <c r="S1365" s="40">
        <v>0.92</v>
      </c>
      <c r="T1365" s="18" t="b">
        <v>0</v>
      </c>
      <c r="U1365" s="25">
        <v>45380</v>
      </c>
      <c r="V1365" s="63" t="str">
        <f>IF(MONTH(Table22[[#This Row],[Sales Date]])&lt;=3,"Q1",IF(MONTH(Table22[[#This Row],[Sales Date]])&lt;=6,"Q2",IF(MONTH(Table22[[#This Row],[Sales Date]])&lt;=9,"Q3","Q4")))</f>
        <v>Q1</v>
      </c>
      <c r="W1365" s="64">
        <f>YEAR(Table22[[#This Row],[Sales Date]])</f>
        <v>2024</v>
      </c>
      <c r="X1365" s="23">
        <v>60</v>
      </c>
      <c r="Y1365" s="18" t="s">
        <v>49</v>
      </c>
      <c r="Z1365" s="18" t="s">
        <v>42</v>
      </c>
      <c r="AA1365" s="19" t="s">
        <v>25</v>
      </c>
    </row>
    <row r="1366" spans="1:27" x14ac:dyDescent="0.25">
      <c r="A1366" s="17" t="s">
        <v>1059</v>
      </c>
      <c r="B1366" s="18" t="s">
        <v>32</v>
      </c>
      <c r="C1366" s="63" t="str" cm="1">
        <f t="array" ref="C1366">_xlfn.SWITCH(Table22[[#This Row],[Country]],"USA","North America","Canada","North America","Brazil","South America","China","Asia","Japan","Asia","India","Asia","France","Europe","Germany","Europe","UK","Europe","Australia","Oceania","South America")</f>
        <v>Asia</v>
      </c>
      <c r="D1366" s="18" t="s">
        <v>35</v>
      </c>
      <c r="E1366" s="18" t="s">
        <v>19</v>
      </c>
      <c r="F1366" s="18" t="s">
        <v>20</v>
      </c>
      <c r="G1366" s="18" t="s">
        <v>48</v>
      </c>
      <c r="H1366" s="64">
        <f>LEN(TRIM(Table22[[#This Row],[Country]]))</f>
        <v>5</v>
      </c>
      <c r="I1366" s="64">
        <f>LEN(TRIM(Table22[[#This Row],[Continent]]))</f>
        <v>4</v>
      </c>
      <c r="J1366" s="64">
        <f>LEN(TRIM(Table22[[#This Row],[Product]]))</f>
        <v>6</v>
      </c>
      <c r="K1366" s="64">
        <f>LEN(TRIM(Table22[[#This Row],[Sales Team]]))</f>
        <v>9</v>
      </c>
      <c r="L1366" s="23">
        <v>68</v>
      </c>
      <c r="M1366" s="65" t="str" cm="1">
        <f t="array" ref="M1366">_xlfn.IFS(Table22[[#This Row],[Units Sold]]&lt;40,"Critical",Table22[[#This Row],[Units Sold]]&lt;=50,"Poor",Table22[[#This Row],[Units Sold]]&lt;=60,"Low",Table22[[#This Row],[Units Sold]]&lt;=80,"Average",Table22[[#This Row],[Units Sold]]&lt;=90,"High",Table22[[#This Row],[Units Sold]]&lt;=95,"Excellent",Table22[[#This Row],[Units Sold]]&gt;95,"Outstanding")</f>
        <v>Average</v>
      </c>
      <c r="N1366" s="29">
        <v>248.25</v>
      </c>
      <c r="O1366" s="29">
        <v>16881</v>
      </c>
      <c r="P1366" s="43">
        <f>IF(Table22[[#This Row],[Discount Applied]],Table22[[#This Row],[Total Sales (in USD)]]*(1-Table22[[#This Row],[Discount Percentage (%)]]/100),Table22[[#This Row],[Total Sales (in USD)]])</f>
        <v>16881</v>
      </c>
      <c r="Q1366" s="66">
        <f>SQRT(AVERAGE((Table22[[#This Row],[Net Sales (after discount) (in USD)]]-AVERAGE(Table22[Net Sales (after discount) (in USD)]))^2))</f>
        <v>19630.360563764538</v>
      </c>
      <c r="R1366" s="18" t="b">
        <v>0</v>
      </c>
      <c r="S1366" s="40">
        <v>8.4499999999999993</v>
      </c>
      <c r="T1366" s="18" t="b">
        <v>0</v>
      </c>
      <c r="U1366" s="25">
        <v>44958</v>
      </c>
      <c r="V1366" s="63" t="str">
        <f>IF(MONTH(Table22[[#This Row],[Sales Date]])&lt;=3,"Q1",IF(MONTH(Table22[[#This Row],[Sales Date]])&lt;=6,"Q2",IF(MONTH(Table22[[#This Row],[Sales Date]])&lt;=9,"Q3","Q4")))</f>
        <v>Q1</v>
      </c>
      <c r="W1366" s="64">
        <f>YEAR(Table22[[#This Row],[Sales Date]])</f>
        <v>2023</v>
      </c>
      <c r="X1366" s="23">
        <v>56</v>
      </c>
      <c r="Y1366" s="18" t="s">
        <v>23</v>
      </c>
      <c r="Z1366" s="18" t="s">
        <v>56</v>
      </c>
      <c r="AA1366" s="19" t="s">
        <v>25</v>
      </c>
    </row>
    <row r="1367" spans="1:27" x14ac:dyDescent="0.25">
      <c r="A1367" s="17" t="s">
        <v>1450</v>
      </c>
      <c r="B1367" s="18" t="s">
        <v>46</v>
      </c>
      <c r="C1367" s="63" t="str" cm="1">
        <f t="array" ref="C1367">_xlfn.SWITCH(Table22[[#This Row],[Country]],"USA","North America","Canada","North America","Brazil","South America","China","Asia","Japan","Asia","India","Asia","France","Europe","Germany","Europe","UK","Europe","Australia","Oceania","South America")</f>
        <v>South America</v>
      </c>
      <c r="D1367" s="18" t="s">
        <v>44</v>
      </c>
      <c r="E1367" s="18" t="s">
        <v>33</v>
      </c>
      <c r="F1367" s="18" t="s">
        <v>34</v>
      </c>
      <c r="G1367" s="18" t="s">
        <v>40</v>
      </c>
      <c r="H1367" s="64">
        <f>LEN(TRIM(Table22[[#This Row],[Country]]))</f>
        <v>6</v>
      </c>
      <c r="I1367" s="64">
        <f>LEN(TRIM(Table22[[#This Row],[Continent]]))</f>
        <v>13</v>
      </c>
      <c r="J1367" s="64">
        <f>LEN(TRIM(Table22[[#This Row],[Product]]))</f>
        <v>10</v>
      </c>
      <c r="K1367" s="64">
        <f>LEN(TRIM(Table22[[#This Row],[Sales Team]]))</f>
        <v>10</v>
      </c>
      <c r="L1367" s="23">
        <v>33</v>
      </c>
      <c r="M1367" s="65" t="str" cm="1">
        <f t="array" ref="M1367">_xlfn.IFS(Table22[[#This Row],[Units Sold]]&lt;40,"Critical",Table22[[#This Row],[Units Sold]]&lt;=50,"Poor",Table22[[#This Row],[Units Sold]]&lt;=60,"Low",Table22[[#This Row],[Units Sold]]&lt;=80,"Average",Table22[[#This Row],[Units Sold]]&lt;=90,"High",Table22[[#This Row],[Units Sold]]&lt;=95,"Excellent",Table22[[#This Row],[Units Sold]]&gt;95,"Outstanding")</f>
        <v>Critical</v>
      </c>
      <c r="N1367" s="29">
        <v>511.32</v>
      </c>
      <c r="O1367" s="29">
        <v>16873.560000000001</v>
      </c>
      <c r="P1367" s="43">
        <f>IF(Table22[[#This Row],[Discount Applied]],Table22[[#This Row],[Total Sales (in USD)]]*(1-Table22[[#This Row],[Discount Percentage (%)]]/100),Table22[[#This Row],[Total Sales (in USD)]])</f>
        <v>13831.257132000001</v>
      </c>
      <c r="Q1367" s="66">
        <f>SQRT(AVERAGE((Table22[[#This Row],[Net Sales (after discount) (in USD)]]-AVERAGE(Table22[Net Sales (after discount) (in USD)]))^2))</f>
        <v>22680.103431764539</v>
      </c>
      <c r="R1367" s="18" t="b">
        <v>0</v>
      </c>
      <c r="S1367" s="40">
        <v>18.03</v>
      </c>
      <c r="T1367" s="18" t="b">
        <v>1</v>
      </c>
      <c r="U1367" s="25">
        <v>45448</v>
      </c>
      <c r="V1367" s="63" t="str">
        <f>IF(MONTH(Table22[[#This Row],[Sales Date]])&lt;=3,"Q1",IF(MONTH(Table22[[#This Row],[Sales Date]])&lt;=6,"Q2",IF(MONTH(Table22[[#This Row],[Sales Date]])&lt;=9,"Q3","Q4")))</f>
        <v>Q2</v>
      </c>
      <c r="W1367" s="64">
        <f>YEAR(Table22[[#This Row],[Sales Date]])</f>
        <v>2024</v>
      </c>
      <c r="X1367" s="23">
        <v>29</v>
      </c>
      <c r="Y1367" s="18" t="s">
        <v>41</v>
      </c>
      <c r="Z1367" s="18" t="s">
        <v>30</v>
      </c>
      <c r="AA1367" s="19" t="s">
        <v>36</v>
      </c>
    </row>
    <row r="1368" spans="1:27" x14ac:dyDescent="0.25">
      <c r="A1368" s="17" t="s">
        <v>1708</v>
      </c>
      <c r="B1368" s="18" t="s">
        <v>62</v>
      </c>
      <c r="C1368" s="63" t="str" cm="1">
        <f t="array" ref="C1368">_xlfn.SWITCH(Table22[[#This Row],[Country]],"USA","North America","Canada","North America","Brazil","South America","China","Asia","Japan","Asia","India","Asia","France","Europe","Germany","Europe","UK","Europe","Australia","Oceania","South America")</f>
        <v>Oceania</v>
      </c>
      <c r="D1368" s="18" t="s">
        <v>44</v>
      </c>
      <c r="E1368" s="18" t="s">
        <v>33</v>
      </c>
      <c r="F1368" s="18" t="s">
        <v>47</v>
      </c>
      <c r="G1368" s="18" t="s">
        <v>29</v>
      </c>
      <c r="H1368" s="64">
        <f>LEN(TRIM(Table22[[#This Row],[Country]]))</f>
        <v>9</v>
      </c>
      <c r="I1368" s="64">
        <f>LEN(TRIM(Table22[[#This Row],[Continent]]))</f>
        <v>7</v>
      </c>
      <c r="J1368" s="64">
        <f>LEN(TRIM(Table22[[#This Row],[Product]]))</f>
        <v>10</v>
      </c>
      <c r="K1368" s="64">
        <f>LEN(TRIM(Table22[[#This Row],[Sales Team]]))</f>
        <v>10</v>
      </c>
      <c r="L1368" s="23">
        <v>33</v>
      </c>
      <c r="M1368" s="65" t="str" cm="1">
        <f t="array" ref="M1368">_xlfn.IFS(Table22[[#This Row],[Units Sold]]&lt;40,"Critical",Table22[[#This Row],[Units Sold]]&lt;=50,"Poor",Table22[[#This Row],[Units Sold]]&lt;=60,"Low",Table22[[#This Row],[Units Sold]]&lt;=80,"Average",Table22[[#This Row],[Units Sold]]&lt;=90,"High",Table22[[#This Row],[Units Sold]]&lt;=95,"Excellent",Table22[[#This Row],[Units Sold]]&gt;95,"Outstanding")</f>
        <v>Critical</v>
      </c>
      <c r="N1368" s="29">
        <v>507.9</v>
      </c>
      <c r="O1368" s="29">
        <v>16760.7</v>
      </c>
      <c r="P1368" s="43">
        <f>IF(Table22[[#This Row],[Discount Applied]],Table22[[#This Row],[Total Sales (in USD)]]*(1-Table22[[#This Row],[Discount Percentage (%)]]/100),Table22[[#This Row],[Total Sales (in USD)]])</f>
        <v>13475.602800000001</v>
      </c>
      <c r="Q1368" s="66">
        <f>SQRT(AVERAGE((Table22[[#This Row],[Net Sales (after discount) (in USD)]]-AVERAGE(Table22[Net Sales (after discount) (in USD)]))^2))</f>
        <v>23035.757763764537</v>
      </c>
      <c r="R1368" s="18" t="b">
        <v>0</v>
      </c>
      <c r="S1368" s="40">
        <v>19.600000000000001</v>
      </c>
      <c r="T1368" s="18" t="b">
        <v>1</v>
      </c>
      <c r="U1368" s="25">
        <v>44939</v>
      </c>
      <c r="V1368" s="63" t="str">
        <f>IF(MONTH(Table22[[#This Row],[Sales Date]])&lt;=3,"Q1",IF(MONTH(Table22[[#This Row],[Sales Date]])&lt;=6,"Q2",IF(MONTH(Table22[[#This Row],[Sales Date]])&lt;=9,"Q3","Q4")))</f>
        <v>Q1</v>
      </c>
      <c r="W1368" s="64">
        <f>YEAR(Table22[[#This Row],[Sales Date]])</f>
        <v>2023</v>
      </c>
      <c r="X1368" s="23">
        <v>53</v>
      </c>
      <c r="Y1368" s="18" t="s">
        <v>23</v>
      </c>
      <c r="Z1368" s="18" t="s">
        <v>56</v>
      </c>
      <c r="AA1368" s="19" t="s">
        <v>36</v>
      </c>
    </row>
    <row r="1369" spans="1:27" x14ac:dyDescent="0.25">
      <c r="A1369" s="17" t="s">
        <v>731</v>
      </c>
      <c r="B1369" s="18" t="s">
        <v>32</v>
      </c>
      <c r="C1369" s="63" t="str" cm="1">
        <f t="array" ref="C1369">_xlfn.SWITCH(Table22[[#This Row],[Country]],"USA","North America","Canada","North America","Brazil","South America","China","Asia","Japan","Asia","India","Asia","France","Europe","Germany","Europe","UK","Europe","Australia","Oceania","South America")</f>
        <v>Asia</v>
      </c>
      <c r="D1369" s="18" t="s">
        <v>21</v>
      </c>
      <c r="E1369" s="18" t="s">
        <v>19</v>
      </c>
      <c r="F1369" s="18" t="s">
        <v>52</v>
      </c>
      <c r="G1369" s="18" t="s">
        <v>22</v>
      </c>
      <c r="H1369" s="64">
        <f>LEN(TRIM(Table22[[#This Row],[Country]]))</f>
        <v>5</v>
      </c>
      <c r="I1369" s="64">
        <f>LEN(TRIM(Table22[[#This Row],[Continent]]))</f>
        <v>4</v>
      </c>
      <c r="J1369" s="64">
        <f>LEN(TRIM(Table22[[#This Row],[Product]]))</f>
        <v>6</v>
      </c>
      <c r="K1369" s="64">
        <f>LEN(TRIM(Table22[[#This Row],[Sales Team]]))</f>
        <v>10</v>
      </c>
      <c r="L1369" s="23">
        <v>25</v>
      </c>
      <c r="M1369" s="65" t="str" cm="1">
        <f t="array" ref="M1369">_xlfn.IFS(Table22[[#This Row],[Units Sold]]&lt;40,"Critical",Table22[[#This Row],[Units Sold]]&lt;=50,"Poor",Table22[[#This Row],[Units Sold]]&lt;=60,"Low",Table22[[#This Row],[Units Sold]]&lt;=80,"Average",Table22[[#This Row],[Units Sold]]&lt;=90,"High",Table22[[#This Row],[Units Sold]]&lt;=95,"Excellent",Table22[[#This Row],[Units Sold]]&gt;95,"Outstanding")</f>
        <v>Critical</v>
      </c>
      <c r="N1369" s="29">
        <v>668.49</v>
      </c>
      <c r="O1369" s="29">
        <v>16712.25</v>
      </c>
      <c r="P1369" s="43">
        <f>IF(Table22[[#This Row],[Discount Applied]],Table22[[#This Row],[Total Sales (in USD)]]*(1-Table22[[#This Row],[Discount Percentage (%)]]/100),Table22[[#This Row],[Total Sales (in USD)]])</f>
        <v>14014.89285</v>
      </c>
      <c r="Q1369" s="66">
        <f>SQRT(AVERAGE((Table22[[#This Row],[Net Sales (after discount) (in USD)]]-AVERAGE(Table22[Net Sales (after discount) (in USD)]))^2))</f>
        <v>22496.467713764538</v>
      </c>
      <c r="R1369" s="18" t="b">
        <v>1</v>
      </c>
      <c r="S1369" s="40">
        <v>16.14</v>
      </c>
      <c r="T1369" s="18" t="b">
        <v>1</v>
      </c>
      <c r="U1369" s="25">
        <v>45536</v>
      </c>
      <c r="V1369" s="63" t="str">
        <f>IF(MONTH(Table22[[#This Row],[Sales Date]])&lt;=3,"Q1",IF(MONTH(Table22[[#This Row],[Sales Date]])&lt;=6,"Q2",IF(MONTH(Table22[[#This Row],[Sales Date]])&lt;=9,"Q3","Q4")))</f>
        <v>Q3</v>
      </c>
      <c r="W1369" s="64">
        <f>YEAR(Table22[[#This Row],[Sales Date]])</f>
        <v>2024</v>
      </c>
      <c r="X1369" s="23">
        <v>20</v>
      </c>
      <c r="Y1369" s="18" t="s">
        <v>41</v>
      </c>
      <c r="Z1369" s="18" t="s">
        <v>30</v>
      </c>
      <c r="AA1369" s="19" t="s">
        <v>36</v>
      </c>
    </row>
    <row r="1370" spans="1:27" x14ac:dyDescent="0.25">
      <c r="A1370" s="17" t="s">
        <v>1225</v>
      </c>
      <c r="B1370" s="18" t="s">
        <v>66</v>
      </c>
      <c r="C1370" s="63" t="str" cm="1">
        <f t="array" ref="C1370">_xlfn.SWITCH(Table22[[#This Row],[Country]],"USA","North America","Canada","North America","Brazil","South America","China","Asia","Japan","Asia","India","Asia","France","Europe","Germany","Europe","UK","Europe","Australia","Oceania","South America")</f>
        <v>North America</v>
      </c>
      <c r="D1370" s="18" t="s">
        <v>35</v>
      </c>
      <c r="E1370" s="18" t="s">
        <v>39</v>
      </c>
      <c r="F1370" s="18" t="s">
        <v>47</v>
      </c>
      <c r="G1370" s="18" t="s">
        <v>40</v>
      </c>
      <c r="H1370" s="64">
        <f>LEN(TRIM(Table22[[#This Row],[Country]]))</f>
        <v>6</v>
      </c>
      <c r="I1370" s="64">
        <f>LEN(TRIM(Table22[[#This Row],[Continent]]))</f>
        <v>13</v>
      </c>
      <c r="J1370" s="64">
        <f>LEN(TRIM(Table22[[#This Row],[Product]]))</f>
        <v>10</v>
      </c>
      <c r="K1370" s="64">
        <f>LEN(TRIM(Table22[[#This Row],[Sales Team]]))</f>
        <v>10</v>
      </c>
      <c r="L1370" s="23">
        <v>17</v>
      </c>
      <c r="M1370" s="65" t="str" cm="1">
        <f t="array" ref="M1370">_xlfn.IFS(Table22[[#This Row],[Units Sold]]&lt;40,"Critical",Table22[[#This Row],[Units Sold]]&lt;=50,"Poor",Table22[[#This Row],[Units Sold]]&lt;=60,"Low",Table22[[#This Row],[Units Sold]]&lt;=80,"Average",Table22[[#This Row],[Units Sold]]&lt;=90,"High",Table22[[#This Row],[Units Sold]]&lt;=95,"Excellent",Table22[[#This Row],[Units Sold]]&gt;95,"Outstanding")</f>
        <v>Critical</v>
      </c>
      <c r="N1370" s="29">
        <v>981.36</v>
      </c>
      <c r="O1370" s="29">
        <v>16683.12</v>
      </c>
      <c r="P1370" s="43">
        <f>IF(Table22[[#This Row],[Discount Applied]],Table22[[#This Row],[Total Sales (in USD)]]*(1-Table22[[#This Row],[Discount Percentage (%)]]/100),Table22[[#This Row],[Total Sales (in USD)]])</f>
        <v>16683.12</v>
      </c>
      <c r="Q1370" s="66">
        <f>SQRT(AVERAGE((Table22[[#This Row],[Net Sales (after discount) (in USD)]]-AVERAGE(Table22[Net Sales (after discount) (in USD)]))^2))</f>
        <v>19828.240563764539</v>
      </c>
      <c r="R1370" s="18" t="b">
        <v>0</v>
      </c>
      <c r="S1370" s="40">
        <v>21.02</v>
      </c>
      <c r="T1370" s="18" t="b">
        <v>0</v>
      </c>
      <c r="U1370" s="25">
        <v>45030</v>
      </c>
      <c r="V1370" s="63" t="str">
        <f>IF(MONTH(Table22[[#This Row],[Sales Date]])&lt;=3,"Q1",IF(MONTH(Table22[[#This Row],[Sales Date]])&lt;=6,"Q2",IF(MONTH(Table22[[#This Row],[Sales Date]])&lt;=9,"Q3","Q4")))</f>
        <v>Q2</v>
      </c>
      <c r="W1370" s="64">
        <f>YEAR(Table22[[#This Row],[Sales Date]])</f>
        <v>2023</v>
      </c>
      <c r="X1370" s="23">
        <v>38</v>
      </c>
      <c r="Y1370" s="18" t="s">
        <v>49</v>
      </c>
      <c r="Z1370" s="18" t="s">
        <v>24</v>
      </c>
      <c r="AA1370" s="19" t="s">
        <v>25</v>
      </c>
    </row>
    <row r="1371" spans="1:27" x14ac:dyDescent="0.25">
      <c r="A1371" s="17" t="s">
        <v>1751</v>
      </c>
      <c r="B1371" s="18" t="s">
        <v>38</v>
      </c>
      <c r="C1371" s="63" t="str" cm="1">
        <f t="array" ref="C1371">_xlfn.SWITCH(Table22[[#This Row],[Country]],"USA","North America","Canada","North America","Brazil","South America","China","Asia","Japan","Asia","India","Asia","France","Europe","Germany","Europe","UK","Europe","Australia","Oceania","South America")</f>
        <v>Europe</v>
      </c>
      <c r="D1371" s="18" t="s">
        <v>44</v>
      </c>
      <c r="E1371" s="18" t="s">
        <v>19</v>
      </c>
      <c r="F1371" s="18" t="s">
        <v>52</v>
      </c>
      <c r="G1371" s="18" t="s">
        <v>40</v>
      </c>
      <c r="H1371" s="64">
        <f>LEN(TRIM(Table22[[#This Row],[Country]]))</f>
        <v>6</v>
      </c>
      <c r="I1371" s="64">
        <f>LEN(TRIM(Table22[[#This Row],[Continent]]))</f>
        <v>6</v>
      </c>
      <c r="J1371" s="64">
        <f>LEN(TRIM(Table22[[#This Row],[Product]]))</f>
        <v>6</v>
      </c>
      <c r="K1371" s="64">
        <f>LEN(TRIM(Table22[[#This Row],[Sales Team]]))</f>
        <v>10</v>
      </c>
      <c r="L1371" s="23">
        <v>17</v>
      </c>
      <c r="M1371" s="65" t="str" cm="1">
        <f t="array" ref="M1371">_xlfn.IFS(Table22[[#This Row],[Units Sold]]&lt;40,"Critical",Table22[[#This Row],[Units Sold]]&lt;=50,"Poor",Table22[[#This Row],[Units Sold]]&lt;=60,"Low",Table22[[#This Row],[Units Sold]]&lt;=80,"Average",Table22[[#This Row],[Units Sold]]&lt;=90,"High",Table22[[#This Row],[Units Sold]]&lt;=95,"Excellent",Table22[[#This Row],[Units Sold]]&gt;95,"Outstanding")</f>
        <v>Critical</v>
      </c>
      <c r="N1371" s="29">
        <v>981.35</v>
      </c>
      <c r="O1371" s="29">
        <v>16682.95</v>
      </c>
      <c r="P1371" s="43">
        <f>IF(Table22[[#This Row],[Discount Applied]],Table22[[#This Row],[Total Sales (in USD)]]*(1-Table22[[#This Row],[Discount Percentage (%)]]/100),Table22[[#This Row],[Total Sales (in USD)]])</f>
        <v>16682.95</v>
      </c>
      <c r="Q1371" s="66">
        <f>SQRT(AVERAGE((Table22[[#This Row],[Net Sales (after discount) (in USD)]]-AVERAGE(Table22[Net Sales (after discount) (in USD)]))^2))</f>
        <v>19828.410563764537</v>
      </c>
      <c r="R1371" s="18" t="b">
        <v>0</v>
      </c>
      <c r="S1371" s="40">
        <v>23.67</v>
      </c>
      <c r="T1371" s="18" t="b">
        <v>0</v>
      </c>
      <c r="U1371" s="25">
        <v>44981</v>
      </c>
      <c r="V1371" s="63" t="str">
        <f>IF(MONTH(Table22[[#This Row],[Sales Date]])&lt;=3,"Q1",IF(MONTH(Table22[[#This Row],[Sales Date]])&lt;=6,"Q2",IF(MONTH(Table22[[#This Row],[Sales Date]])&lt;=9,"Q3","Q4")))</f>
        <v>Q1</v>
      </c>
      <c r="W1371" s="64">
        <f>YEAR(Table22[[#This Row],[Sales Date]])</f>
        <v>2023</v>
      </c>
      <c r="X1371" s="23">
        <v>29</v>
      </c>
      <c r="Y1371" s="18" t="s">
        <v>41</v>
      </c>
      <c r="Z1371" s="18" t="s">
        <v>56</v>
      </c>
      <c r="AA1371" s="19" t="s">
        <v>36</v>
      </c>
    </row>
    <row r="1372" spans="1:27" x14ac:dyDescent="0.25">
      <c r="A1372" s="17" t="s">
        <v>479</v>
      </c>
      <c r="B1372" s="18" t="s">
        <v>38</v>
      </c>
      <c r="C1372" s="63" t="str" cm="1">
        <f t="array" ref="C1372">_xlfn.SWITCH(Table22[[#This Row],[Country]],"USA","North America","Canada","North America","Brazil","South America","China","Asia","Japan","Asia","India","Asia","France","Europe","Germany","Europe","UK","Europe","Australia","Oceania","South America")</f>
        <v>Europe</v>
      </c>
      <c r="D1372" s="18" t="s">
        <v>21</v>
      </c>
      <c r="E1372" s="18" t="s">
        <v>33</v>
      </c>
      <c r="F1372" s="18" t="s">
        <v>34</v>
      </c>
      <c r="G1372" s="18" t="s">
        <v>48</v>
      </c>
      <c r="H1372" s="64">
        <f>LEN(TRIM(Table22[[#This Row],[Country]]))</f>
        <v>6</v>
      </c>
      <c r="I1372" s="64">
        <f>LEN(TRIM(Table22[[#This Row],[Continent]]))</f>
        <v>6</v>
      </c>
      <c r="J1372" s="64">
        <f>LEN(TRIM(Table22[[#This Row],[Product]]))</f>
        <v>10</v>
      </c>
      <c r="K1372" s="64">
        <f>LEN(TRIM(Table22[[#This Row],[Sales Team]]))</f>
        <v>9</v>
      </c>
      <c r="L1372" s="23">
        <v>16</v>
      </c>
      <c r="M1372" s="65" t="str" cm="1">
        <f t="array" ref="M1372">_xlfn.IFS(Table22[[#This Row],[Units Sold]]&lt;40,"Critical",Table22[[#This Row],[Units Sold]]&lt;=50,"Poor",Table22[[#This Row],[Units Sold]]&lt;=60,"Low",Table22[[#This Row],[Units Sold]]&lt;=80,"Average",Table22[[#This Row],[Units Sold]]&lt;=90,"High",Table22[[#This Row],[Units Sold]]&lt;=95,"Excellent",Table22[[#This Row],[Units Sold]]&gt;95,"Outstanding")</f>
        <v>Critical</v>
      </c>
      <c r="N1372" s="29">
        <v>1042.28</v>
      </c>
      <c r="O1372" s="29">
        <v>16676.48</v>
      </c>
      <c r="P1372" s="43">
        <f>IF(Table22[[#This Row],[Discount Applied]],Table22[[#This Row],[Total Sales (in USD)]]*(1-Table22[[#This Row],[Discount Percentage (%)]]/100),Table22[[#This Row],[Total Sales (in USD)]])</f>
        <v>11738.574272</v>
      </c>
      <c r="Q1372" s="66">
        <f>SQRT(AVERAGE((Table22[[#This Row],[Net Sales (after discount) (in USD)]]-AVERAGE(Table22[Net Sales (after discount) (in USD)]))^2))</f>
        <v>24772.78629176454</v>
      </c>
      <c r="R1372" s="18" t="b">
        <v>0</v>
      </c>
      <c r="S1372" s="40">
        <v>29.61</v>
      </c>
      <c r="T1372" s="18" t="b">
        <v>1</v>
      </c>
      <c r="U1372" s="25">
        <v>45395</v>
      </c>
      <c r="V1372" s="63" t="str">
        <f>IF(MONTH(Table22[[#This Row],[Sales Date]])&lt;=3,"Q1",IF(MONTH(Table22[[#This Row],[Sales Date]])&lt;=6,"Q2",IF(MONTH(Table22[[#This Row],[Sales Date]])&lt;=9,"Q3","Q4")))</f>
        <v>Q2</v>
      </c>
      <c r="W1372" s="64">
        <f>YEAR(Table22[[#This Row],[Sales Date]])</f>
        <v>2024</v>
      </c>
      <c r="X1372" s="23">
        <v>49</v>
      </c>
      <c r="Y1372" s="18" t="s">
        <v>23</v>
      </c>
      <c r="Z1372" s="18" t="s">
        <v>24</v>
      </c>
      <c r="AA1372" s="19" t="s">
        <v>25</v>
      </c>
    </row>
    <row r="1373" spans="1:27" x14ac:dyDescent="0.25">
      <c r="A1373" s="17" t="s">
        <v>805</v>
      </c>
      <c r="B1373" s="18" t="s">
        <v>62</v>
      </c>
      <c r="C1373" s="63" t="str" cm="1">
        <f t="array" ref="C1373">_xlfn.SWITCH(Table22[[#This Row],[Country]],"USA","North America","Canada","North America","Brazil","South America","China","Asia","Japan","Asia","India","Asia","France","Europe","Germany","Europe","UK","Europe","Australia","Oceania","South America")</f>
        <v>Oceania</v>
      </c>
      <c r="D1373" s="18" t="s">
        <v>21</v>
      </c>
      <c r="E1373" s="18" t="s">
        <v>33</v>
      </c>
      <c r="F1373" s="18" t="s">
        <v>64</v>
      </c>
      <c r="G1373" s="18" t="s">
        <v>40</v>
      </c>
      <c r="H1373" s="64">
        <f>LEN(TRIM(Table22[[#This Row],[Country]]))</f>
        <v>9</v>
      </c>
      <c r="I1373" s="64">
        <f>LEN(TRIM(Table22[[#This Row],[Continent]]))</f>
        <v>7</v>
      </c>
      <c r="J1373" s="64">
        <f>LEN(TRIM(Table22[[#This Row],[Product]]))</f>
        <v>10</v>
      </c>
      <c r="K1373" s="64">
        <f>LEN(TRIM(Table22[[#This Row],[Sales Team]]))</f>
        <v>10</v>
      </c>
      <c r="L1373" s="23">
        <v>24</v>
      </c>
      <c r="M1373" s="65" t="str" cm="1">
        <f t="array" ref="M1373">_xlfn.IFS(Table22[[#This Row],[Units Sold]]&lt;40,"Critical",Table22[[#This Row],[Units Sold]]&lt;=50,"Poor",Table22[[#This Row],[Units Sold]]&lt;=60,"Low",Table22[[#This Row],[Units Sold]]&lt;=80,"Average",Table22[[#This Row],[Units Sold]]&lt;=90,"High",Table22[[#This Row],[Units Sold]]&lt;=95,"Excellent",Table22[[#This Row],[Units Sold]]&gt;95,"Outstanding")</f>
        <v>Critical</v>
      </c>
      <c r="N1373" s="29">
        <v>693.78</v>
      </c>
      <c r="O1373" s="29">
        <v>16650.72</v>
      </c>
      <c r="P1373" s="43">
        <f>IF(Table22[[#This Row],[Discount Applied]],Table22[[#This Row],[Total Sales (in USD)]]*(1-Table22[[#This Row],[Discount Percentage (%)]]/100),Table22[[#This Row],[Total Sales (in USD)]])</f>
        <v>16650.72</v>
      </c>
      <c r="Q1373" s="66">
        <f>SQRT(AVERAGE((Table22[[#This Row],[Net Sales (after discount) (in USD)]]-AVERAGE(Table22[Net Sales (after discount) (in USD)]))^2))</f>
        <v>19860.640563764537</v>
      </c>
      <c r="R1373" s="18" t="b">
        <v>0</v>
      </c>
      <c r="S1373" s="40">
        <v>16.489999999999998</v>
      </c>
      <c r="T1373" s="18" t="b">
        <v>0</v>
      </c>
      <c r="U1373" s="25">
        <v>45277</v>
      </c>
      <c r="V1373" s="63" t="str">
        <f>IF(MONTH(Table22[[#This Row],[Sales Date]])&lt;=3,"Q1",IF(MONTH(Table22[[#This Row],[Sales Date]])&lt;=6,"Q2",IF(MONTH(Table22[[#This Row],[Sales Date]])&lt;=9,"Q3","Q4")))</f>
        <v>Q4</v>
      </c>
      <c r="W1373" s="64">
        <f>YEAR(Table22[[#This Row],[Sales Date]])</f>
        <v>2023</v>
      </c>
      <c r="X1373" s="23">
        <v>22</v>
      </c>
      <c r="Y1373" s="18" t="s">
        <v>49</v>
      </c>
      <c r="Z1373" s="18" t="s">
        <v>30</v>
      </c>
      <c r="AA1373" s="19" t="s">
        <v>36</v>
      </c>
    </row>
    <row r="1374" spans="1:27" x14ac:dyDescent="0.25">
      <c r="A1374" s="17" t="s">
        <v>1638</v>
      </c>
      <c r="B1374" s="18" t="s">
        <v>32</v>
      </c>
      <c r="C1374" s="63" t="str" cm="1">
        <f t="array" ref="C1374">_xlfn.SWITCH(Table22[[#This Row],[Country]],"USA","North America","Canada","North America","Brazil","South America","China","Asia","Japan","Asia","India","Asia","France","Europe","Germany","Europe","UK","Europe","Australia","Oceania","South America")</f>
        <v>Asia</v>
      </c>
      <c r="D1374" s="18" t="s">
        <v>44</v>
      </c>
      <c r="E1374" s="18" t="s">
        <v>39</v>
      </c>
      <c r="F1374" s="18" t="s">
        <v>20</v>
      </c>
      <c r="G1374" s="18" t="s">
        <v>22</v>
      </c>
      <c r="H1374" s="64">
        <f>LEN(TRIM(Table22[[#This Row],[Country]]))</f>
        <v>5</v>
      </c>
      <c r="I1374" s="64">
        <f>LEN(TRIM(Table22[[#This Row],[Continent]]))</f>
        <v>4</v>
      </c>
      <c r="J1374" s="64">
        <f>LEN(TRIM(Table22[[#This Row],[Product]]))</f>
        <v>10</v>
      </c>
      <c r="K1374" s="64">
        <f>LEN(TRIM(Table22[[#This Row],[Sales Team]]))</f>
        <v>10</v>
      </c>
      <c r="L1374" s="23">
        <v>33</v>
      </c>
      <c r="M1374" s="65" t="str" cm="1">
        <f t="array" ref="M1374">_xlfn.IFS(Table22[[#This Row],[Units Sold]]&lt;40,"Critical",Table22[[#This Row],[Units Sold]]&lt;=50,"Poor",Table22[[#This Row],[Units Sold]]&lt;=60,"Low",Table22[[#This Row],[Units Sold]]&lt;=80,"Average",Table22[[#This Row],[Units Sold]]&lt;=90,"High",Table22[[#This Row],[Units Sold]]&lt;=95,"Excellent",Table22[[#This Row],[Units Sold]]&gt;95,"Outstanding")</f>
        <v>Critical</v>
      </c>
      <c r="N1374" s="29">
        <v>502.59</v>
      </c>
      <c r="O1374" s="29">
        <v>16585.47</v>
      </c>
      <c r="P1374" s="43">
        <f>IF(Table22[[#This Row],[Discount Applied]],Table22[[#This Row],[Total Sales (in USD)]]*(1-Table22[[#This Row],[Discount Percentage (%)]]/100),Table22[[#This Row],[Total Sales (in USD)]])</f>
        <v>16585.47</v>
      </c>
      <c r="Q1374" s="66">
        <f>SQRT(AVERAGE((Table22[[#This Row],[Net Sales (after discount) (in USD)]]-AVERAGE(Table22[Net Sales (after discount) (in USD)]))^2))</f>
        <v>19925.890563764537</v>
      </c>
      <c r="R1374" s="18" t="b">
        <v>1</v>
      </c>
      <c r="S1374" s="40">
        <v>8.24</v>
      </c>
      <c r="T1374" s="18" t="b">
        <v>0</v>
      </c>
      <c r="U1374" s="25">
        <v>45407</v>
      </c>
      <c r="V1374" s="63" t="str">
        <f>IF(MONTH(Table22[[#This Row],[Sales Date]])&lt;=3,"Q1",IF(MONTH(Table22[[#This Row],[Sales Date]])&lt;=6,"Q2",IF(MONTH(Table22[[#This Row],[Sales Date]])&lt;=9,"Q3","Q4")))</f>
        <v>Q2</v>
      </c>
      <c r="W1374" s="64">
        <f>YEAR(Table22[[#This Row],[Sales Date]])</f>
        <v>2024</v>
      </c>
      <c r="X1374" s="23">
        <v>67</v>
      </c>
      <c r="Y1374" s="18" t="s">
        <v>41</v>
      </c>
      <c r="Z1374" s="18" t="s">
        <v>56</v>
      </c>
      <c r="AA1374" s="19" t="s">
        <v>36</v>
      </c>
    </row>
    <row r="1375" spans="1:27" x14ac:dyDescent="0.25">
      <c r="A1375" s="17" t="s">
        <v>1026</v>
      </c>
      <c r="B1375" s="18" t="s">
        <v>27</v>
      </c>
      <c r="C1375" s="63" t="str" cm="1">
        <f t="array" ref="C1375">_xlfn.SWITCH(Table22[[#This Row],[Country]],"USA","North America","Canada","North America","Brazil","South America","China","Asia","Japan","Asia","India","Asia","France","Europe","Germany","Europe","UK","Europe","Australia","Oceania","South America")</f>
        <v>Europe</v>
      </c>
      <c r="D1375" s="18" t="s">
        <v>35</v>
      </c>
      <c r="E1375" s="18" t="s">
        <v>39</v>
      </c>
      <c r="F1375" s="18" t="s">
        <v>47</v>
      </c>
      <c r="G1375" s="18" t="s">
        <v>29</v>
      </c>
      <c r="H1375" s="64">
        <f>LEN(TRIM(Table22[[#This Row],[Country]]))</f>
        <v>7</v>
      </c>
      <c r="I1375" s="64">
        <f>LEN(TRIM(Table22[[#This Row],[Continent]]))</f>
        <v>6</v>
      </c>
      <c r="J1375" s="64">
        <f>LEN(TRIM(Table22[[#This Row],[Product]]))</f>
        <v>10</v>
      </c>
      <c r="K1375" s="64">
        <f>LEN(TRIM(Table22[[#This Row],[Sales Team]]))</f>
        <v>10</v>
      </c>
      <c r="L1375" s="23">
        <v>21</v>
      </c>
      <c r="M1375" s="65" t="str" cm="1">
        <f t="array" ref="M1375">_xlfn.IFS(Table22[[#This Row],[Units Sold]]&lt;40,"Critical",Table22[[#This Row],[Units Sold]]&lt;=50,"Poor",Table22[[#This Row],[Units Sold]]&lt;=60,"Low",Table22[[#This Row],[Units Sold]]&lt;=80,"Average",Table22[[#This Row],[Units Sold]]&lt;=90,"High",Table22[[#This Row],[Units Sold]]&lt;=95,"Excellent",Table22[[#This Row],[Units Sold]]&gt;95,"Outstanding")</f>
        <v>Critical</v>
      </c>
      <c r="N1375" s="29">
        <v>788.37</v>
      </c>
      <c r="O1375" s="29">
        <v>16555.77</v>
      </c>
      <c r="P1375" s="43">
        <f>IF(Table22[[#This Row],[Discount Applied]],Table22[[#This Row],[Total Sales (in USD)]]*(1-Table22[[#This Row],[Discount Percentage (%)]]/100),Table22[[#This Row],[Total Sales (in USD)]])</f>
        <v>16555.77</v>
      </c>
      <c r="Q1375" s="66">
        <f>SQRT(AVERAGE((Table22[[#This Row],[Net Sales (after discount) (in USD)]]-AVERAGE(Table22[Net Sales (after discount) (in USD)]))^2))</f>
        <v>19955.590563764537</v>
      </c>
      <c r="R1375" s="18" t="b">
        <v>0</v>
      </c>
      <c r="S1375" s="40">
        <v>13.85</v>
      </c>
      <c r="T1375" s="18" t="b">
        <v>0</v>
      </c>
      <c r="U1375" s="25">
        <v>44972</v>
      </c>
      <c r="V1375" s="63" t="str">
        <f>IF(MONTH(Table22[[#This Row],[Sales Date]])&lt;=3,"Q1",IF(MONTH(Table22[[#This Row],[Sales Date]])&lt;=6,"Q2",IF(MONTH(Table22[[#This Row],[Sales Date]])&lt;=9,"Q3","Q4")))</f>
        <v>Q1</v>
      </c>
      <c r="W1375" s="64">
        <f>YEAR(Table22[[#This Row],[Sales Date]])</f>
        <v>2023</v>
      </c>
      <c r="X1375" s="23">
        <v>66</v>
      </c>
      <c r="Y1375" s="18" t="s">
        <v>23</v>
      </c>
      <c r="Z1375" s="18" t="s">
        <v>56</v>
      </c>
      <c r="AA1375" s="19" t="s">
        <v>25</v>
      </c>
    </row>
    <row r="1376" spans="1:27" x14ac:dyDescent="0.25">
      <c r="A1376" s="17" t="s">
        <v>219</v>
      </c>
      <c r="B1376" s="18" t="s">
        <v>27</v>
      </c>
      <c r="C1376" s="63" t="str" cm="1">
        <f t="array" ref="C1376">_xlfn.SWITCH(Table22[[#This Row],[Country]],"USA","North America","Canada","North America","Brazil","South America","China","Asia","Japan","Asia","India","Asia","France","Europe","Germany","Europe","UK","Europe","Australia","Oceania","South America")</f>
        <v>Europe</v>
      </c>
      <c r="D1376" s="18" t="s">
        <v>35</v>
      </c>
      <c r="E1376" s="18" t="s">
        <v>19</v>
      </c>
      <c r="F1376" s="18" t="s">
        <v>20</v>
      </c>
      <c r="G1376" s="18" t="s">
        <v>29</v>
      </c>
      <c r="H1376" s="64">
        <f>LEN(TRIM(Table22[[#This Row],[Country]]))</f>
        <v>7</v>
      </c>
      <c r="I1376" s="64">
        <f>LEN(TRIM(Table22[[#This Row],[Continent]]))</f>
        <v>6</v>
      </c>
      <c r="J1376" s="64">
        <f>LEN(TRIM(Table22[[#This Row],[Product]]))</f>
        <v>6</v>
      </c>
      <c r="K1376" s="64">
        <f>LEN(TRIM(Table22[[#This Row],[Sales Team]]))</f>
        <v>10</v>
      </c>
      <c r="L1376" s="23">
        <v>22</v>
      </c>
      <c r="M1376" s="65" t="str" cm="1">
        <f t="array" ref="M1376">_xlfn.IFS(Table22[[#This Row],[Units Sold]]&lt;40,"Critical",Table22[[#This Row],[Units Sold]]&lt;=50,"Poor",Table22[[#This Row],[Units Sold]]&lt;=60,"Low",Table22[[#This Row],[Units Sold]]&lt;=80,"Average",Table22[[#This Row],[Units Sold]]&lt;=90,"High",Table22[[#This Row],[Units Sold]]&lt;=95,"Excellent",Table22[[#This Row],[Units Sold]]&gt;95,"Outstanding")</f>
        <v>Critical</v>
      </c>
      <c r="N1376" s="29">
        <v>750.07</v>
      </c>
      <c r="O1376" s="29">
        <v>16501.54</v>
      </c>
      <c r="P1376" s="43">
        <f>IF(Table22[[#This Row],[Discount Applied]],Table22[[#This Row],[Total Sales (in USD)]]*(1-Table22[[#This Row],[Discount Percentage (%)]]/100),Table22[[#This Row],[Total Sales (in USD)]])</f>
        <v>16501.54</v>
      </c>
      <c r="Q1376" s="66">
        <f>SQRT(AVERAGE((Table22[[#This Row],[Net Sales (after discount) (in USD)]]-AVERAGE(Table22[Net Sales (after discount) (in USD)]))^2))</f>
        <v>20009.820563764537</v>
      </c>
      <c r="R1376" s="18" t="b">
        <v>1</v>
      </c>
      <c r="S1376" s="40">
        <v>24.36</v>
      </c>
      <c r="T1376" s="18" t="b">
        <v>0</v>
      </c>
      <c r="U1376" s="25">
        <v>45238</v>
      </c>
      <c r="V1376" s="63" t="str">
        <f>IF(MONTH(Table22[[#This Row],[Sales Date]])&lt;=3,"Q1",IF(MONTH(Table22[[#This Row],[Sales Date]])&lt;=6,"Q2",IF(MONTH(Table22[[#This Row],[Sales Date]])&lt;=9,"Q3","Q4")))</f>
        <v>Q4</v>
      </c>
      <c r="W1376" s="64">
        <f>YEAR(Table22[[#This Row],[Sales Date]])</f>
        <v>2023</v>
      </c>
      <c r="X1376" s="23">
        <v>45</v>
      </c>
      <c r="Y1376" s="18" t="s">
        <v>49</v>
      </c>
      <c r="Z1376" s="18" t="s">
        <v>24</v>
      </c>
      <c r="AA1376" s="19" t="s">
        <v>25</v>
      </c>
    </row>
    <row r="1377" spans="1:27" x14ac:dyDescent="0.25">
      <c r="A1377" s="17" t="s">
        <v>262</v>
      </c>
      <c r="B1377" s="18" t="s">
        <v>51</v>
      </c>
      <c r="C1377" s="63" t="str" cm="1">
        <f t="array" ref="C1377">_xlfn.SWITCH(Table22[[#This Row],[Country]],"USA","North America","Canada","North America","Brazil","South America","China","Asia","Japan","Asia","India","Asia","France","Europe","Germany","Europe","UK","Europe","Australia","Oceania","South America")</f>
        <v>Europe</v>
      </c>
      <c r="D1377" s="18" t="s">
        <v>28</v>
      </c>
      <c r="E1377" s="18" t="s">
        <v>39</v>
      </c>
      <c r="F1377" s="18" t="s">
        <v>34</v>
      </c>
      <c r="G1377" s="18" t="s">
        <v>22</v>
      </c>
      <c r="H1377" s="64">
        <f>LEN(TRIM(Table22[[#This Row],[Country]]))</f>
        <v>2</v>
      </c>
      <c r="I1377" s="64">
        <f>LEN(TRIM(Table22[[#This Row],[Continent]]))</f>
        <v>6</v>
      </c>
      <c r="J1377" s="64">
        <f>LEN(TRIM(Table22[[#This Row],[Product]]))</f>
        <v>10</v>
      </c>
      <c r="K1377" s="64">
        <f>LEN(TRIM(Table22[[#This Row],[Sales Team]]))</f>
        <v>10</v>
      </c>
      <c r="L1377" s="23">
        <v>14</v>
      </c>
      <c r="M1377" s="65" t="str" cm="1">
        <f t="array" ref="M1377">_xlfn.IFS(Table22[[#This Row],[Units Sold]]&lt;40,"Critical",Table22[[#This Row],[Units Sold]]&lt;=50,"Poor",Table22[[#This Row],[Units Sold]]&lt;=60,"Low",Table22[[#This Row],[Units Sold]]&lt;=80,"Average",Table22[[#This Row],[Units Sold]]&lt;=90,"High",Table22[[#This Row],[Units Sold]]&lt;=95,"Excellent",Table22[[#This Row],[Units Sold]]&gt;95,"Outstanding")</f>
        <v>Critical</v>
      </c>
      <c r="N1377" s="29">
        <v>1176.01</v>
      </c>
      <c r="O1377" s="29">
        <v>16464.14</v>
      </c>
      <c r="P1377" s="43">
        <f>IF(Table22[[#This Row],[Discount Applied]],Table22[[#This Row],[Total Sales (in USD)]]*(1-Table22[[#This Row],[Discount Percentage (%)]]/100),Table22[[#This Row],[Total Sales (in USD)]])</f>
        <v>16464.14</v>
      </c>
      <c r="Q1377" s="66">
        <f>SQRT(AVERAGE((Table22[[#This Row],[Net Sales (after discount) (in USD)]]-AVERAGE(Table22[Net Sales (after discount) (in USD)]))^2))</f>
        <v>20047.220563764538</v>
      </c>
      <c r="R1377" s="18" t="b">
        <v>0</v>
      </c>
      <c r="S1377" s="40">
        <v>1.06</v>
      </c>
      <c r="T1377" s="18" t="b">
        <v>0</v>
      </c>
      <c r="U1377" s="25">
        <v>45300</v>
      </c>
      <c r="V1377" s="63" t="str">
        <f>IF(MONTH(Table22[[#This Row],[Sales Date]])&lt;=3,"Q1",IF(MONTH(Table22[[#This Row],[Sales Date]])&lt;=6,"Q2",IF(MONTH(Table22[[#This Row],[Sales Date]])&lt;=9,"Q3","Q4")))</f>
        <v>Q1</v>
      </c>
      <c r="W1377" s="64">
        <f>YEAR(Table22[[#This Row],[Sales Date]])</f>
        <v>2024</v>
      </c>
      <c r="X1377" s="23">
        <v>64</v>
      </c>
      <c r="Y1377" s="18" t="s">
        <v>49</v>
      </c>
      <c r="Z1377" s="18" t="s">
        <v>24</v>
      </c>
      <c r="AA1377" s="19" t="s">
        <v>36</v>
      </c>
    </row>
    <row r="1378" spans="1:27" x14ac:dyDescent="0.25">
      <c r="A1378" s="17" t="s">
        <v>492</v>
      </c>
      <c r="B1378" s="18" t="s">
        <v>18</v>
      </c>
      <c r="C1378" s="63" t="str" cm="1">
        <f t="array" ref="C1378">_xlfn.SWITCH(Table22[[#This Row],[Country]],"USA","North America","Canada","North America","Brazil","South America","China","Asia","Japan","Asia","India","Asia","France","Europe","Germany","Europe","UK","Europe","Australia","Oceania","South America")</f>
        <v>Asia</v>
      </c>
      <c r="D1378" s="18" t="s">
        <v>28</v>
      </c>
      <c r="E1378" s="18" t="s">
        <v>39</v>
      </c>
      <c r="F1378" s="18" t="s">
        <v>64</v>
      </c>
      <c r="G1378" s="18" t="s">
        <v>22</v>
      </c>
      <c r="H1378" s="64">
        <f>LEN(TRIM(Table22[[#This Row],[Country]]))</f>
        <v>5</v>
      </c>
      <c r="I1378" s="64">
        <f>LEN(TRIM(Table22[[#This Row],[Continent]]))</f>
        <v>4</v>
      </c>
      <c r="J1378" s="64">
        <f>LEN(TRIM(Table22[[#This Row],[Product]]))</f>
        <v>10</v>
      </c>
      <c r="K1378" s="64">
        <f>LEN(TRIM(Table22[[#This Row],[Sales Team]]))</f>
        <v>10</v>
      </c>
      <c r="L1378" s="23">
        <v>69</v>
      </c>
      <c r="M1378" s="65" t="str" cm="1">
        <f t="array" ref="M1378">_xlfn.IFS(Table22[[#This Row],[Units Sold]]&lt;40,"Critical",Table22[[#This Row],[Units Sold]]&lt;=50,"Poor",Table22[[#This Row],[Units Sold]]&lt;=60,"Low",Table22[[#This Row],[Units Sold]]&lt;=80,"Average",Table22[[#This Row],[Units Sold]]&lt;=90,"High",Table22[[#This Row],[Units Sold]]&lt;=95,"Excellent",Table22[[#This Row],[Units Sold]]&gt;95,"Outstanding")</f>
        <v>Average</v>
      </c>
      <c r="N1378" s="29">
        <v>238.54</v>
      </c>
      <c r="O1378" s="29">
        <v>16459.259999999998</v>
      </c>
      <c r="P1378" s="43">
        <f>IF(Table22[[#This Row],[Discount Applied]],Table22[[#This Row],[Total Sales (in USD)]]*(1-Table22[[#This Row],[Discount Percentage (%)]]/100),Table22[[#This Row],[Total Sales (in USD)]])</f>
        <v>14368.933979999998</v>
      </c>
      <c r="Q1378" s="66">
        <f>SQRT(AVERAGE((Table22[[#This Row],[Net Sales (after discount) (in USD)]]-AVERAGE(Table22[Net Sales (after discount) (in USD)]))^2))</f>
        <v>22142.42658376454</v>
      </c>
      <c r="R1378" s="18" t="b">
        <v>1</v>
      </c>
      <c r="S1378" s="40">
        <v>12.7</v>
      </c>
      <c r="T1378" s="18" t="b">
        <v>1</v>
      </c>
      <c r="U1378" s="25">
        <v>45311</v>
      </c>
      <c r="V1378" s="63" t="str">
        <f>IF(MONTH(Table22[[#This Row],[Sales Date]])&lt;=3,"Q1",IF(MONTH(Table22[[#This Row],[Sales Date]])&lt;=6,"Q2",IF(MONTH(Table22[[#This Row],[Sales Date]])&lt;=9,"Q3","Q4")))</f>
        <v>Q1</v>
      </c>
      <c r="W1378" s="64">
        <f>YEAR(Table22[[#This Row],[Sales Date]])</f>
        <v>2024</v>
      </c>
      <c r="X1378" s="23">
        <v>67</v>
      </c>
      <c r="Y1378" s="18" t="s">
        <v>41</v>
      </c>
      <c r="Z1378" s="18" t="s">
        <v>30</v>
      </c>
      <c r="AA1378" s="19" t="s">
        <v>36</v>
      </c>
    </row>
    <row r="1379" spans="1:27" x14ac:dyDescent="0.25">
      <c r="A1379" s="17" t="s">
        <v>1675</v>
      </c>
      <c r="B1379" s="18" t="s">
        <v>62</v>
      </c>
      <c r="C1379" s="63" t="str" cm="1">
        <f t="array" ref="C1379">_xlfn.SWITCH(Table22[[#This Row],[Country]],"USA","North America","Canada","North America","Brazil","South America","China","Asia","Japan","Asia","India","Asia","France","Europe","Germany","Europe","UK","Europe","Australia","Oceania","South America")</f>
        <v>Oceania</v>
      </c>
      <c r="D1379" s="18" t="s">
        <v>21</v>
      </c>
      <c r="E1379" s="18" t="s">
        <v>33</v>
      </c>
      <c r="F1379" s="18" t="s">
        <v>64</v>
      </c>
      <c r="G1379" s="18" t="s">
        <v>29</v>
      </c>
      <c r="H1379" s="64">
        <f>LEN(TRIM(Table22[[#This Row],[Country]]))</f>
        <v>9</v>
      </c>
      <c r="I1379" s="64">
        <f>LEN(TRIM(Table22[[#This Row],[Continent]]))</f>
        <v>7</v>
      </c>
      <c r="J1379" s="64">
        <f>LEN(TRIM(Table22[[#This Row],[Product]]))</f>
        <v>10</v>
      </c>
      <c r="K1379" s="64">
        <f>LEN(TRIM(Table22[[#This Row],[Sales Team]]))</f>
        <v>10</v>
      </c>
      <c r="L1379" s="23">
        <v>27</v>
      </c>
      <c r="M1379" s="65" t="str" cm="1">
        <f t="array" ref="M1379">_xlfn.IFS(Table22[[#This Row],[Units Sold]]&lt;40,"Critical",Table22[[#This Row],[Units Sold]]&lt;=50,"Poor",Table22[[#This Row],[Units Sold]]&lt;=60,"Low",Table22[[#This Row],[Units Sold]]&lt;=80,"Average",Table22[[#This Row],[Units Sold]]&lt;=90,"High",Table22[[#This Row],[Units Sold]]&lt;=95,"Excellent",Table22[[#This Row],[Units Sold]]&gt;95,"Outstanding")</f>
        <v>Critical</v>
      </c>
      <c r="N1379" s="29">
        <v>609.42999999999995</v>
      </c>
      <c r="O1379" s="29">
        <v>16454.61</v>
      </c>
      <c r="P1379" s="43">
        <f>IF(Table22[[#This Row],[Discount Applied]],Table22[[#This Row],[Total Sales (in USD)]]*(1-Table22[[#This Row],[Discount Percentage (%)]]/100),Table22[[#This Row],[Total Sales (in USD)]])</f>
        <v>15500.242619999999</v>
      </c>
      <c r="Q1379" s="66">
        <f>SQRT(AVERAGE((Table22[[#This Row],[Net Sales (after discount) (in USD)]]-AVERAGE(Table22[Net Sales (after discount) (in USD)]))^2))</f>
        <v>21011.117943764541</v>
      </c>
      <c r="R1379" s="18" t="b">
        <v>0</v>
      </c>
      <c r="S1379" s="40">
        <v>5.8</v>
      </c>
      <c r="T1379" s="18" t="b">
        <v>1</v>
      </c>
      <c r="U1379" s="25">
        <v>45185</v>
      </c>
      <c r="V1379" s="63" t="str">
        <f>IF(MONTH(Table22[[#This Row],[Sales Date]])&lt;=3,"Q1",IF(MONTH(Table22[[#This Row],[Sales Date]])&lt;=6,"Q2",IF(MONTH(Table22[[#This Row],[Sales Date]])&lt;=9,"Q3","Q4")))</f>
        <v>Q3</v>
      </c>
      <c r="W1379" s="64">
        <f>YEAR(Table22[[#This Row],[Sales Date]])</f>
        <v>2023</v>
      </c>
      <c r="X1379" s="23">
        <v>58</v>
      </c>
      <c r="Y1379" s="18" t="s">
        <v>23</v>
      </c>
      <c r="Z1379" s="18" t="s">
        <v>56</v>
      </c>
      <c r="AA1379" s="19" t="s">
        <v>36</v>
      </c>
    </row>
    <row r="1380" spans="1:27" x14ac:dyDescent="0.25">
      <c r="A1380" s="17" t="s">
        <v>520</v>
      </c>
      <c r="B1380" s="18" t="s">
        <v>51</v>
      </c>
      <c r="C1380" s="63" t="str" cm="1">
        <f t="array" ref="C1380">_xlfn.SWITCH(Table22[[#This Row],[Country]],"USA","North America","Canada","North America","Brazil","South America","China","Asia","Japan","Asia","India","Asia","France","Europe","Germany","Europe","UK","Europe","Australia","Oceania","South America")</f>
        <v>Europe</v>
      </c>
      <c r="D1380" s="18" t="s">
        <v>35</v>
      </c>
      <c r="E1380" s="18" t="s">
        <v>39</v>
      </c>
      <c r="F1380" s="18" t="s">
        <v>47</v>
      </c>
      <c r="G1380" s="18" t="s">
        <v>40</v>
      </c>
      <c r="H1380" s="64">
        <f>LEN(TRIM(Table22[[#This Row],[Country]]))</f>
        <v>2</v>
      </c>
      <c r="I1380" s="64">
        <f>LEN(TRIM(Table22[[#This Row],[Continent]]))</f>
        <v>6</v>
      </c>
      <c r="J1380" s="64">
        <f>LEN(TRIM(Table22[[#This Row],[Product]]))</f>
        <v>10</v>
      </c>
      <c r="K1380" s="64">
        <f>LEN(TRIM(Table22[[#This Row],[Sales Team]]))</f>
        <v>10</v>
      </c>
      <c r="L1380" s="23">
        <v>70</v>
      </c>
      <c r="M1380" s="65" t="str" cm="1">
        <f t="array" ref="M1380">_xlfn.IFS(Table22[[#This Row],[Units Sold]]&lt;40,"Critical",Table22[[#This Row],[Units Sold]]&lt;=50,"Poor",Table22[[#This Row],[Units Sold]]&lt;=60,"Low",Table22[[#This Row],[Units Sold]]&lt;=80,"Average",Table22[[#This Row],[Units Sold]]&lt;=90,"High",Table22[[#This Row],[Units Sold]]&lt;=95,"Excellent",Table22[[#This Row],[Units Sold]]&gt;95,"Outstanding")</f>
        <v>Average</v>
      </c>
      <c r="N1380" s="29">
        <v>234.97</v>
      </c>
      <c r="O1380" s="29">
        <v>16447.900000000001</v>
      </c>
      <c r="P1380" s="43">
        <f>IF(Table22[[#This Row],[Discount Applied]],Table22[[#This Row],[Total Sales (in USD)]]*(1-Table22[[#This Row],[Discount Percentage (%)]]/100),Table22[[#This Row],[Total Sales (in USD)]])</f>
        <v>16447.900000000001</v>
      </c>
      <c r="Q1380" s="66">
        <f>SQRT(AVERAGE((Table22[[#This Row],[Net Sales (after discount) (in USD)]]-AVERAGE(Table22[Net Sales (after discount) (in USD)]))^2))</f>
        <v>20063.460563764536</v>
      </c>
      <c r="R1380" s="18" t="b">
        <v>1</v>
      </c>
      <c r="S1380" s="40">
        <v>6.96</v>
      </c>
      <c r="T1380" s="18" t="b">
        <v>0</v>
      </c>
      <c r="U1380" s="25">
        <v>45072</v>
      </c>
      <c r="V1380" s="63" t="str">
        <f>IF(MONTH(Table22[[#This Row],[Sales Date]])&lt;=3,"Q1",IF(MONTH(Table22[[#This Row],[Sales Date]])&lt;=6,"Q2",IF(MONTH(Table22[[#This Row],[Sales Date]])&lt;=9,"Q3","Q4")))</f>
        <v>Q2</v>
      </c>
      <c r="W1380" s="64">
        <f>YEAR(Table22[[#This Row],[Sales Date]])</f>
        <v>2023</v>
      </c>
      <c r="X1380" s="23">
        <v>69</v>
      </c>
      <c r="Y1380" s="18" t="s">
        <v>23</v>
      </c>
      <c r="Z1380" s="18" t="s">
        <v>24</v>
      </c>
      <c r="AA1380" s="19" t="s">
        <v>25</v>
      </c>
    </row>
    <row r="1381" spans="1:27" x14ac:dyDescent="0.25">
      <c r="A1381" s="17" t="s">
        <v>84</v>
      </c>
      <c r="B1381" s="18" t="s">
        <v>38</v>
      </c>
      <c r="C1381" s="63" t="str" cm="1">
        <f t="array" ref="C1381">_xlfn.SWITCH(Table22[[#This Row],[Country]],"USA","North America","Canada","North America","Brazil","South America","China","Asia","Japan","Asia","India","Asia","France","Europe","Germany","Europe","UK","Europe","Australia","Oceania","South America")</f>
        <v>Europe</v>
      </c>
      <c r="D1381" s="18" t="s">
        <v>28</v>
      </c>
      <c r="E1381" s="18" t="s">
        <v>19</v>
      </c>
      <c r="F1381" s="18" t="s">
        <v>20</v>
      </c>
      <c r="G1381" s="18" t="s">
        <v>48</v>
      </c>
      <c r="H1381" s="64">
        <f>LEN(TRIM(Table22[[#This Row],[Country]]))</f>
        <v>6</v>
      </c>
      <c r="I1381" s="64">
        <f>LEN(TRIM(Table22[[#This Row],[Continent]]))</f>
        <v>6</v>
      </c>
      <c r="J1381" s="64">
        <f>LEN(TRIM(Table22[[#This Row],[Product]]))</f>
        <v>6</v>
      </c>
      <c r="K1381" s="64">
        <f>LEN(TRIM(Table22[[#This Row],[Sales Team]]))</f>
        <v>9</v>
      </c>
      <c r="L1381" s="23">
        <v>74</v>
      </c>
      <c r="M1381" s="65" t="str" cm="1">
        <f t="array" ref="M1381">_xlfn.IFS(Table22[[#This Row],[Units Sold]]&lt;40,"Critical",Table22[[#This Row],[Units Sold]]&lt;=50,"Poor",Table22[[#This Row],[Units Sold]]&lt;=60,"Low",Table22[[#This Row],[Units Sold]]&lt;=80,"Average",Table22[[#This Row],[Units Sold]]&lt;=90,"High",Table22[[#This Row],[Units Sold]]&lt;=95,"Excellent",Table22[[#This Row],[Units Sold]]&gt;95,"Outstanding")</f>
        <v>Average</v>
      </c>
      <c r="N1381" s="29">
        <v>221.63</v>
      </c>
      <c r="O1381" s="29">
        <v>16400.62</v>
      </c>
      <c r="P1381" s="43">
        <f>IF(Table22[[#This Row],[Discount Applied]],Table22[[#This Row],[Total Sales (in USD)]]*(1-Table22[[#This Row],[Discount Percentage (%)]]/100),Table22[[#This Row],[Total Sales (in USD)]])</f>
        <v>12256.183326</v>
      </c>
      <c r="Q1381" s="66">
        <f>SQRT(AVERAGE((Table22[[#This Row],[Net Sales (after discount) (in USD)]]-AVERAGE(Table22[Net Sales (after discount) (in USD)]))^2))</f>
        <v>24255.177237764539</v>
      </c>
      <c r="R1381" s="18" t="b">
        <v>0</v>
      </c>
      <c r="S1381" s="40">
        <v>25.27</v>
      </c>
      <c r="T1381" s="18" t="b">
        <v>1</v>
      </c>
      <c r="U1381" s="25">
        <v>45100</v>
      </c>
      <c r="V1381" s="63" t="str">
        <f>IF(MONTH(Table22[[#This Row],[Sales Date]])&lt;=3,"Q1",IF(MONTH(Table22[[#This Row],[Sales Date]])&lt;=6,"Q2",IF(MONTH(Table22[[#This Row],[Sales Date]])&lt;=9,"Q3","Q4")))</f>
        <v>Q2</v>
      </c>
      <c r="W1381" s="64">
        <f>YEAR(Table22[[#This Row],[Sales Date]])</f>
        <v>2023</v>
      </c>
      <c r="X1381" s="23">
        <v>69</v>
      </c>
      <c r="Y1381" s="18" t="s">
        <v>23</v>
      </c>
      <c r="Z1381" s="18" t="s">
        <v>24</v>
      </c>
      <c r="AA1381" s="19" t="s">
        <v>36</v>
      </c>
    </row>
    <row r="1382" spans="1:27" x14ac:dyDescent="0.25">
      <c r="A1382" s="17" t="s">
        <v>1709</v>
      </c>
      <c r="B1382" s="18" t="s">
        <v>18</v>
      </c>
      <c r="C1382" s="63" t="str" cm="1">
        <f t="array" ref="C1382">_xlfn.SWITCH(Table22[[#This Row],[Country]],"USA","North America","Canada","North America","Brazil","South America","China","Asia","Japan","Asia","India","Asia","France","Europe","Germany","Europe","UK","Europe","Australia","Oceania","South America")</f>
        <v>Asia</v>
      </c>
      <c r="D1382" s="18" t="s">
        <v>35</v>
      </c>
      <c r="E1382" s="18" t="s">
        <v>33</v>
      </c>
      <c r="F1382" s="18" t="s">
        <v>47</v>
      </c>
      <c r="G1382" s="18" t="s">
        <v>22</v>
      </c>
      <c r="H1382" s="64">
        <f>LEN(TRIM(Table22[[#This Row],[Country]]))</f>
        <v>5</v>
      </c>
      <c r="I1382" s="64">
        <f>LEN(TRIM(Table22[[#This Row],[Continent]]))</f>
        <v>4</v>
      </c>
      <c r="J1382" s="64">
        <f>LEN(TRIM(Table22[[#This Row],[Product]]))</f>
        <v>10</v>
      </c>
      <c r="K1382" s="64">
        <f>LEN(TRIM(Table22[[#This Row],[Sales Team]]))</f>
        <v>10</v>
      </c>
      <c r="L1382" s="23">
        <v>18</v>
      </c>
      <c r="M1382" s="65" t="str" cm="1">
        <f t="array" ref="M1382">_xlfn.IFS(Table22[[#This Row],[Units Sold]]&lt;40,"Critical",Table22[[#This Row],[Units Sold]]&lt;=50,"Poor",Table22[[#This Row],[Units Sold]]&lt;=60,"Low",Table22[[#This Row],[Units Sold]]&lt;=80,"Average",Table22[[#This Row],[Units Sold]]&lt;=90,"High",Table22[[#This Row],[Units Sold]]&lt;=95,"Excellent",Table22[[#This Row],[Units Sold]]&gt;95,"Outstanding")</f>
        <v>Critical</v>
      </c>
      <c r="N1382" s="29">
        <v>911.12</v>
      </c>
      <c r="O1382" s="29">
        <v>16400.16</v>
      </c>
      <c r="P1382" s="43">
        <f>IF(Table22[[#This Row],[Discount Applied]],Table22[[#This Row],[Total Sales (in USD)]]*(1-Table22[[#This Row],[Discount Percentage (%)]]/100),Table22[[#This Row],[Total Sales (in USD)]])</f>
        <v>13831.894944</v>
      </c>
      <c r="Q1382" s="66">
        <f>SQRT(AVERAGE((Table22[[#This Row],[Net Sales (after discount) (in USD)]]-AVERAGE(Table22[Net Sales (after discount) (in USD)]))^2))</f>
        <v>22679.465619764538</v>
      </c>
      <c r="R1382" s="18" t="b">
        <v>1</v>
      </c>
      <c r="S1382" s="40">
        <v>15.66</v>
      </c>
      <c r="T1382" s="18" t="b">
        <v>1</v>
      </c>
      <c r="U1382" s="25">
        <v>45590</v>
      </c>
      <c r="V1382" s="63" t="str">
        <f>IF(MONTH(Table22[[#This Row],[Sales Date]])&lt;=3,"Q1",IF(MONTH(Table22[[#This Row],[Sales Date]])&lt;=6,"Q2",IF(MONTH(Table22[[#This Row],[Sales Date]])&lt;=9,"Q3","Q4")))</f>
        <v>Q4</v>
      </c>
      <c r="W1382" s="64">
        <f>YEAR(Table22[[#This Row],[Sales Date]])</f>
        <v>2024</v>
      </c>
      <c r="X1382" s="23">
        <v>37</v>
      </c>
      <c r="Y1382" s="18" t="s">
        <v>41</v>
      </c>
      <c r="Z1382" s="18" t="s">
        <v>30</v>
      </c>
      <c r="AA1382" s="19" t="s">
        <v>25</v>
      </c>
    </row>
    <row r="1383" spans="1:27" x14ac:dyDescent="0.25">
      <c r="A1383" s="17" t="s">
        <v>1168</v>
      </c>
      <c r="B1383" s="18" t="s">
        <v>32</v>
      </c>
      <c r="C1383" s="63" t="str" cm="1">
        <f t="array" ref="C1383">_xlfn.SWITCH(Table22[[#This Row],[Country]],"USA","North America","Canada","North America","Brazil","South America","China","Asia","Japan","Asia","India","Asia","France","Europe","Germany","Europe","UK","Europe","Australia","Oceania","South America")</f>
        <v>Asia</v>
      </c>
      <c r="D1383" s="18" t="s">
        <v>21</v>
      </c>
      <c r="E1383" s="18" t="s">
        <v>19</v>
      </c>
      <c r="F1383" s="18" t="s">
        <v>64</v>
      </c>
      <c r="G1383" s="18" t="s">
        <v>29</v>
      </c>
      <c r="H1383" s="64">
        <f>LEN(TRIM(Table22[[#This Row],[Country]]))</f>
        <v>5</v>
      </c>
      <c r="I1383" s="64">
        <f>LEN(TRIM(Table22[[#This Row],[Continent]]))</f>
        <v>4</v>
      </c>
      <c r="J1383" s="64">
        <f>LEN(TRIM(Table22[[#This Row],[Product]]))</f>
        <v>6</v>
      </c>
      <c r="K1383" s="64">
        <f>LEN(TRIM(Table22[[#This Row],[Sales Team]]))</f>
        <v>10</v>
      </c>
      <c r="L1383" s="23">
        <v>47</v>
      </c>
      <c r="M1383" s="65" t="str" cm="1">
        <f t="array" ref="M1383">_xlfn.IFS(Table22[[#This Row],[Units Sold]]&lt;40,"Critical",Table22[[#This Row],[Units Sold]]&lt;=50,"Poor",Table22[[#This Row],[Units Sold]]&lt;=60,"Low",Table22[[#This Row],[Units Sold]]&lt;=80,"Average",Table22[[#This Row],[Units Sold]]&lt;=90,"High",Table22[[#This Row],[Units Sold]]&lt;=95,"Excellent",Table22[[#This Row],[Units Sold]]&gt;95,"Outstanding")</f>
        <v>Poor</v>
      </c>
      <c r="N1383" s="29">
        <v>348.77</v>
      </c>
      <c r="O1383" s="29">
        <v>16392.189999999999</v>
      </c>
      <c r="P1383" s="43">
        <f>IF(Table22[[#This Row],[Discount Applied]],Table22[[#This Row],[Total Sales (in USD)]]*(1-Table22[[#This Row],[Discount Percentage (%)]]/100),Table22[[#This Row],[Total Sales (in USD)]])</f>
        <v>11963.020262</v>
      </c>
      <c r="Q1383" s="66">
        <f>SQRT(AVERAGE((Table22[[#This Row],[Net Sales (after discount) (in USD)]]-AVERAGE(Table22[Net Sales (after discount) (in USD)]))^2))</f>
        <v>24548.34030176454</v>
      </c>
      <c r="R1383" s="18" t="b">
        <v>0</v>
      </c>
      <c r="S1383" s="40">
        <v>27.02</v>
      </c>
      <c r="T1383" s="18" t="b">
        <v>1</v>
      </c>
      <c r="U1383" s="25">
        <v>45452</v>
      </c>
      <c r="V1383" s="63" t="str">
        <f>IF(MONTH(Table22[[#This Row],[Sales Date]])&lt;=3,"Q1",IF(MONTH(Table22[[#This Row],[Sales Date]])&lt;=6,"Q2",IF(MONTH(Table22[[#This Row],[Sales Date]])&lt;=9,"Q3","Q4")))</f>
        <v>Q2</v>
      </c>
      <c r="W1383" s="64">
        <f>YEAR(Table22[[#This Row],[Sales Date]])</f>
        <v>2024</v>
      </c>
      <c r="X1383" s="23">
        <v>26</v>
      </c>
      <c r="Y1383" s="18" t="s">
        <v>23</v>
      </c>
      <c r="Z1383" s="18" t="s">
        <v>30</v>
      </c>
      <c r="AA1383" s="19" t="s">
        <v>25</v>
      </c>
    </row>
    <row r="1384" spans="1:27" x14ac:dyDescent="0.25">
      <c r="A1384" s="17" t="s">
        <v>320</v>
      </c>
      <c r="B1384" s="18" t="s">
        <v>72</v>
      </c>
      <c r="C1384" s="63" t="str" cm="1">
        <f t="array" ref="C1384">_xlfn.SWITCH(Table22[[#This Row],[Country]],"USA","North America","Canada","North America","Brazil","South America","China","Asia","Japan","Asia","India","Asia","France","Europe","Germany","Europe","UK","Europe","Australia","Oceania","South America")</f>
        <v>North America</v>
      </c>
      <c r="D1384" s="18" t="s">
        <v>44</v>
      </c>
      <c r="E1384" s="18" t="s">
        <v>33</v>
      </c>
      <c r="F1384" s="18" t="s">
        <v>52</v>
      </c>
      <c r="G1384" s="18" t="s">
        <v>40</v>
      </c>
      <c r="H1384" s="64">
        <f>LEN(TRIM(Table22[[#This Row],[Country]]))</f>
        <v>3</v>
      </c>
      <c r="I1384" s="64">
        <f>LEN(TRIM(Table22[[#This Row],[Continent]]))</f>
        <v>13</v>
      </c>
      <c r="J1384" s="64">
        <f>LEN(TRIM(Table22[[#This Row],[Product]]))</f>
        <v>10</v>
      </c>
      <c r="K1384" s="64">
        <f>LEN(TRIM(Table22[[#This Row],[Sales Team]]))</f>
        <v>10</v>
      </c>
      <c r="L1384" s="23">
        <v>20</v>
      </c>
      <c r="M1384" s="65" t="str" cm="1">
        <f t="array" ref="M1384">_xlfn.IFS(Table22[[#This Row],[Units Sold]]&lt;40,"Critical",Table22[[#This Row],[Units Sold]]&lt;=50,"Poor",Table22[[#This Row],[Units Sold]]&lt;=60,"Low",Table22[[#This Row],[Units Sold]]&lt;=80,"Average",Table22[[#This Row],[Units Sold]]&lt;=90,"High",Table22[[#This Row],[Units Sold]]&lt;=95,"Excellent",Table22[[#This Row],[Units Sold]]&gt;95,"Outstanding")</f>
        <v>Critical</v>
      </c>
      <c r="N1384" s="29">
        <v>819.19</v>
      </c>
      <c r="O1384" s="29">
        <v>16383.8</v>
      </c>
      <c r="P1384" s="43">
        <f>IF(Table22[[#This Row],[Discount Applied]],Table22[[#This Row],[Total Sales (in USD)]]*(1-Table22[[#This Row],[Discount Percentage (%)]]/100),Table22[[#This Row],[Total Sales (in USD)]])</f>
        <v>15610.484639999999</v>
      </c>
      <c r="Q1384" s="66">
        <f>SQRT(AVERAGE((Table22[[#This Row],[Net Sales (after discount) (in USD)]]-AVERAGE(Table22[Net Sales (after discount) (in USD)]))^2))</f>
        <v>20900.875923764539</v>
      </c>
      <c r="R1384" s="18" t="b">
        <v>0</v>
      </c>
      <c r="S1384" s="40">
        <v>4.72</v>
      </c>
      <c r="T1384" s="18" t="b">
        <v>1</v>
      </c>
      <c r="U1384" s="25">
        <v>45145</v>
      </c>
      <c r="V1384" s="63" t="str">
        <f>IF(MONTH(Table22[[#This Row],[Sales Date]])&lt;=3,"Q1",IF(MONTH(Table22[[#This Row],[Sales Date]])&lt;=6,"Q2",IF(MONTH(Table22[[#This Row],[Sales Date]])&lt;=9,"Q3","Q4")))</f>
        <v>Q3</v>
      </c>
      <c r="W1384" s="64">
        <f>YEAR(Table22[[#This Row],[Sales Date]])</f>
        <v>2023</v>
      </c>
      <c r="X1384" s="23">
        <v>53</v>
      </c>
      <c r="Y1384" s="18" t="s">
        <v>41</v>
      </c>
      <c r="Z1384" s="18" t="s">
        <v>30</v>
      </c>
      <c r="AA1384" s="19" t="s">
        <v>25</v>
      </c>
    </row>
    <row r="1385" spans="1:27" x14ac:dyDescent="0.25">
      <c r="A1385" s="17" t="s">
        <v>537</v>
      </c>
      <c r="B1385" s="18" t="s">
        <v>51</v>
      </c>
      <c r="C1385" s="63" t="str" cm="1">
        <f t="array" ref="C1385">_xlfn.SWITCH(Table22[[#This Row],[Country]],"USA","North America","Canada","North America","Brazil","South America","China","Asia","Japan","Asia","India","Asia","France","Europe","Germany","Europe","UK","Europe","Australia","Oceania","South America")</f>
        <v>Europe</v>
      </c>
      <c r="D1385" s="18" t="s">
        <v>35</v>
      </c>
      <c r="E1385" s="18" t="s">
        <v>39</v>
      </c>
      <c r="F1385" s="18" t="s">
        <v>64</v>
      </c>
      <c r="G1385" s="18" t="s">
        <v>29</v>
      </c>
      <c r="H1385" s="64">
        <f>LEN(TRIM(Table22[[#This Row],[Country]]))</f>
        <v>2</v>
      </c>
      <c r="I1385" s="64">
        <f>LEN(TRIM(Table22[[#This Row],[Continent]]))</f>
        <v>6</v>
      </c>
      <c r="J1385" s="64">
        <f>LEN(TRIM(Table22[[#This Row],[Product]]))</f>
        <v>10</v>
      </c>
      <c r="K1385" s="64">
        <f>LEN(TRIM(Table22[[#This Row],[Sales Team]]))</f>
        <v>10</v>
      </c>
      <c r="L1385" s="23">
        <v>41</v>
      </c>
      <c r="M1385" s="65" t="str" cm="1">
        <f t="array" ref="M1385">_xlfn.IFS(Table22[[#This Row],[Units Sold]]&lt;40,"Critical",Table22[[#This Row],[Units Sold]]&lt;=50,"Poor",Table22[[#This Row],[Units Sold]]&lt;=60,"Low",Table22[[#This Row],[Units Sold]]&lt;=80,"Average",Table22[[#This Row],[Units Sold]]&lt;=90,"High",Table22[[#This Row],[Units Sold]]&lt;=95,"Excellent",Table22[[#This Row],[Units Sold]]&gt;95,"Outstanding")</f>
        <v>Poor</v>
      </c>
      <c r="N1385" s="29">
        <v>398.38</v>
      </c>
      <c r="O1385" s="29">
        <v>16333.58</v>
      </c>
      <c r="P1385" s="43">
        <f>IF(Table22[[#This Row],[Discount Applied]],Table22[[#This Row],[Total Sales (in USD)]]*(1-Table22[[#This Row],[Discount Percentage (%)]]/100),Table22[[#This Row],[Total Sales (in USD)]])</f>
        <v>13264.500318</v>
      </c>
      <c r="Q1385" s="66">
        <f>SQRT(AVERAGE((Table22[[#This Row],[Net Sales (after discount) (in USD)]]-AVERAGE(Table22[Net Sales (after discount) (in USD)]))^2))</f>
        <v>23246.860245764539</v>
      </c>
      <c r="R1385" s="18" t="b">
        <v>0</v>
      </c>
      <c r="S1385" s="40">
        <v>18.79</v>
      </c>
      <c r="T1385" s="18" t="b">
        <v>1</v>
      </c>
      <c r="U1385" s="25">
        <v>45288</v>
      </c>
      <c r="V1385" s="63" t="str">
        <f>IF(MONTH(Table22[[#This Row],[Sales Date]])&lt;=3,"Q1",IF(MONTH(Table22[[#This Row],[Sales Date]])&lt;=6,"Q2",IF(MONTH(Table22[[#This Row],[Sales Date]])&lt;=9,"Q3","Q4")))</f>
        <v>Q4</v>
      </c>
      <c r="W1385" s="64">
        <f>YEAR(Table22[[#This Row],[Sales Date]])</f>
        <v>2023</v>
      </c>
      <c r="X1385" s="23">
        <v>51</v>
      </c>
      <c r="Y1385" s="18" t="s">
        <v>41</v>
      </c>
      <c r="Z1385" s="18" t="s">
        <v>56</v>
      </c>
      <c r="AA1385" s="19" t="s">
        <v>25</v>
      </c>
    </row>
    <row r="1386" spans="1:27" x14ac:dyDescent="0.25">
      <c r="A1386" s="17" t="s">
        <v>486</v>
      </c>
      <c r="B1386" s="18" t="s">
        <v>46</v>
      </c>
      <c r="C1386" s="63" t="str" cm="1">
        <f t="array" ref="C1386">_xlfn.SWITCH(Table22[[#This Row],[Country]],"USA","North America","Canada","North America","Brazil","South America","China","Asia","Japan","Asia","India","Asia","France","Europe","Germany","Europe","UK","Europe","Australia","Oceania","South America")</f>
        <v>South America</v>
      </c>
      <c r="D1386" s="18" t="s">
        <v>28</v>
      </c>
      <c r="E1386" s="18" t="s">
        <v>19</v>
      </c>
      <c r="F1386" s="18" t="s">
        <v>34</v>
      </c>
      <c r="G1386" s="18" t="s">
        <v>48</v>
      </c>
      <c r="H1386" s="64">
        <f>LEN(TRIM(Table22[[#This Row],[Country]]))</f>
        <v>6</v>
      </c>
      <c r="I1386" s="64">
        <f>LEN(TRIM(Table22[[#This Row],[Continent]]))</f>
        <v>13</v>
      </c>
      <c r="J1386" s="64">
        <f>LEN(TRIM(Table22[[#This Row],[Product]]))</f>
        <v>6</v>
      </c>
      <c r="K1386" s="64">
        <f>LEN(TRIM(Table22[[#This Row],[Sales Team]]))</f>
        <v>9</v>
      </c>
      <c r="L1386" s="23">
        <v>15</v>
      </c>
      <c r="M1386" s="65" t="str" cm="1">
        <f t="array" ref="M1386">_xlfn.IFS(Table22[[#This Row],[Units Sold]]&lt;40,"Critical",Table22[[#This Row],[Units Sold]]&lt;=50,"Poor",Table22[[#This Row],[Units Sold]]&lt;=60,"Low",Table22[[#This Row],[Units Sold]]&lt;=80,"Average",Table22[[#This Row],[Units Sold]]&lt;=90,"High",Table22[[#This Row],[Units Sold]]&lt;=95,"Excellent",Table22[[#This Row],[Units Sold]]&gt;95,"Outstanding")</f>
        <v>Critical</v>
      </c>
      <c r="N1386" s="29">
        <v>1088.42</v>
      </c>
      <c r="O1386" s="29">
        <v>16326.3</v>
      </c>
      <c r="P1386" s="43">
        <f>IF(Table22[[#This Row],[Discount Applied]],Table22[[#This Row],[Total Sales (in USD)]]*(1-Table22[[#This Row],[Discount Percentage (%)]]/100),Table22[[#This Row],[Total Sales (in USD)]])</f>
        <v>14006.332769999999</v>
      </c>
      <c r="Q1386" s="66">
        <f>SQRT(AVERAGE((Table22[[#This Row],[Net Sales (after discount) (in USD)]]-AVERAGE(Table22[Net Sales (after discount) (in USD)]))^2))</f>
        <v>22505.027793764537</v>
      </c>
      <c r="R1386" s="18" t="b">
        <v>0</v>
      </c>
      <c r="S1386" s="40">
        <v>14.21</v>
      </c>
      <c r="T1386" s="18" t="b">
        <v>1</v>
      </c>
      <c r="U1386" s="25">
        <v>45521</v>
      </c>
      <c r="V1386" s="63" t="str">
        <f>IF(MONTH(Table22[[#This Row],[Sales Date]])&lt;=3,"Q1",IF(MONTH(Table22[[#This Row],[Sales Date]])&lt;=6,"Q2",IF(MONTH(Table22[[#This Row],[Sales Date]])&lt;=9,"Q3","Q4")))</f>
        <v>Q3</v>
      </c>
      <c r="W1386" s="64">
        <f>YEAR(Table22[[#This Row],[Sales Date]])</f>
        <v>2024</v>
      </c>
      <c r="X1386" s="23">
        <v>64</v>
      </c>
      <c r="Y1386" s="18" t="s">
        <v>41</v>
      </c>
      <c r="Z1386" s="18" t="s">
        <v>56</v>
      </c>
      <c r="AA1386" s="19" t="s">
        <v>36</v>
      </c>
    </row>
    <row r="1387" spans="1:27" x14ac:dyDescent="0.25">
      <c r="A1387" s="17" t="s">
        <v>1023</v>
      </c>
      <c r="B1387" s="18" t="s">
        <v>72</v>
      </c>
      <c r="C1387" s="63" t="str" cm="1">
        <f t="array" ref="C1387">_xlfn.SWITCH(Table22[[#This Row],[Country]],"USA","North America","Canada","North America","Brazil","South America","China","Asia","Japan","Asia","India","Asia","France","Europe","Germany","Europe","UK","Europe","Australia","Oceania","South America")</f>
        <v>North America</v>
      </c>
      <c r="D1387" s="18" t="s">
        <v>21</v>
      </c>
      <c r="E1387" s="18" t="s">
        <v>33</v>
      </c>
      <c r="F1387" s="18" t="s">
        <v>47</v>
      </c>
      <c r="G1387" s="18" t="s">
        <v>29</v>
      </c>
      <c r="H1387" s="64">
        <f>LEN(TRIM(Table22[[#This Row],[Country]]))</f>
        <v>3</v>
      </c>
      <c r="I1387" s="64">
        <f>LEN(TRIM(Table22[[#This Row],[Continent]]))</f>
        <v>13</v>
      </c>
      <c r="J1387" s="64">
        <f>LEN(TRIM(Table22[[#This Row],[Product]]))</f>
        <v>10</v>
      </c>
      <c r="K1387" s="64">
        <f>LEN(TRIM(Table22[[#This Row],[Sales Team]]))</f>
        <v>10</v>
      </c>
      <c r="L1387" s="23">
        <v>76</v>
      </c>
      <c r="M1387" s="65" t="str" cm="1">
        <f t="array" ref="M1387">_xlfn.IFS(Table22[[#This Row],[Units Sold]]&lt;40,"Critical",Table22[[#This Row],[Units Sold]]&lt;=50,"Poor",Table22[[#This Row],[Units Sold]]&lt;=60,"Low",Table22[[#This Row],[Units Sold]]&lt;=80,"Average",Table22[[#This Row],[Units Sold]]&lt;=90,"High",Table22[[#This Row],[Units Sold]]&lt;=95,"Excellent",Table22[[#This Row],[Units Sold]]&gt;95,"Outstanding")</f>
        <v>Average</v>
      </c>
      <c r="N1387" s="29">
        <v>214.7</v>
      </c>
      <c r="O1387" s="29">
        <v>16317.2</v>
      </c>
      <c r="P1387" s="43">
        <f>IF(Table22[[#This Row],[Discount Applied]],Table22[[#This Row],[Total Sales (in USD)]]*(1-Table22[[#This Row],[Discount Percentage (%)]]/100),Table22[[#This Row],[Total Sales (in USD)]])</f>
        <v>15108.09548</v>
      </c>
      <c r="Q1387" s="66">
        <f>SQRT(AVERAGE((Table22[[#This Row],[Net Sales (after discount) (in USD)]]-AVERAGE(Table22[Net Sales (after discount) (in USD)]))^2))</f>
        <v>21403.265083764538</v>
      </c>
      <c r="R1387" s="18" t="b">
        <v>0</v>
      </c>
      <c r="S1387" s="40">
        <v>7.41</v>
      </c>
      <c r="T1387" s="18" t="b">
        <v>1</v>
      </c>
      <c r="U1387" s="25">
        <v>45238</v>
      </c>
      <c r="V1387" s="63" t="str">
        <f>IF(MONTH(Table22[[#This Row],[Sales Date]])&lt;=3,"Q1",IF(MONTH(Table22[[#This Row],[Sales Date]])&lt;=6,"Q2",IF(MONTH(Table22[[#This Row],[Sales Date]])&lt;=9,"Q3","Q4")))</f>
        <v>Q4</v>
      </c>
      <c r="W1387" s="64">
        <f>YEAR(Table22[[#This Row],[Sales Date]])</f>
        <v>2023</v>
      </c>
      <c r="X1387" s="23">
        <v>66</v>
      </c>
      <c r="Y1387" s="18" t="s">
        <v>41</v>
      </c>
      <c r="Z1387" s="18" t="s">
        <v>24</v>
      </c>
      <c r="AA1387" s="19" t="s">
        <v>36</v>
      </c>
    </row>
    <row r="1388" spans="1:27" x14ac:dyDescent="0.25">
      <c r="A1388" s="17" t="s">
        <v>1516</v>
      </c>
      <c r="B1388" s="18" t="s">
        <v>72</v>
      </c>
      <c r="C1388" s="63" t="str" cm="1">
        <f t="array" ref="C1388">_xlfn.SWITCH(Table22[[#This Row],[Country]],"USA","North America","Canada","North America","Brazil","South America","China","Asia","Japan","Asia","India","Asia","France","Europe","Germany","Europe","UK","Europe","Australia","Oceania","South America")</f>
        <v>North America</v>
      </c>
      <c r="D1388" s="18" t="s">
        <v>44</v>
      </c>
      <c r="E1388" s="18" t="s">
        <v>33</v>
      </c>
      <c r="F1388" s="18" t="s">
        <v>20</v>
      </c>
      <c r="G1388" s="18" t="s">
        <v>29</v>
      </c>
      <c r="H1388" s="64">
        <f>LEN(TRIM(Table22[[#This Row],[Country]]))</f>
        <v>3</v>
      </c>
      <c r="I1388" s="64">
        <f>LEN(TRIM(Table22[[#This Row],[Continent]]))</f>
        <v>13</v>
      </c>
      <c r="J1388" s="64">
        <f>LEN(TRIM(Table22[[#This Row],[Product]]))</f>
        <v>10</v>
      </c>
      <c r="K1388" s="64">
        <f>LEN(TRIM(Table22[[#This Row],[Sales Team]]))</f>
        <v>10</v>
      </c>
      <c r="L1388" s="23">
        <v>13</v>
      </c>
      <c r="M1388" s="65" t="str" cm="1">
        <f t="array" ref="M1388">_xlfn.IFS(Table22[[#This Row],[Units Sold]]&lt;40,"Critical",Table22[[#This Row],[Units Sold]]&lt;=50,"Poor",Table22[[#This Row],[Units Sold]]&lt;=60,"Low",Table22[[#This Row],[Units Sold]]&lt;=80,"Average",Table22[[#This Row],[Units Sold]]&lt;=90,"High",Table22[[#This Row],[Units Sold]]&lt;=95,"Excellent",Table22[[#This Row],[Units Sold]]&gt;95,"Outstanding")</f>
        <v>Critical</v>
      </c>
      <c r="N1388" s="29">
        <v>1246.72</v>
      </c>
      <c r="O1388" s="29">
        <v>16207.36</v>
      </c>
      <c r="P1388" s="43">
        <f>IF(Table22[[#This Row],[Discount Applied]],Table22[[#This Row],[Total Sales (in USD)]]*(1-Table22[[#This Row],[Discount Percentage (%)]]/100),Table22[[#This Row],[Total Sales (in USD)]])</f>
        <v>12798.952192000001</v>
      </c>
      <c r="Q1388" s="66">
        <f>SQRT(AVERAGE((Table22[[#This Row],[Net Sales (after discount) (in USD)]]-AVERAGE(Table22[Net Sales (after discount) (in USD)]))^2))</f>
        <v>23712.408371764537</v>
      </c>
      <c r="R1388" s="18" t="b">
        <v>0</v>
      </c>
      <c r="S1388" s="40">
        <v>21.03</v>
      </c>
      <c r="T1388" s="18" t="b">
        <v>1</v>
      </c>
      <c r="U1388" s="25">
        <v>45456</v>
      </c>
      <c r="V1388" s="63" t="str">
        <f>IF(MONTH(Table22[[#This Row],[Sales Date]])&lt;=3,"Q1",IF(MONTH(Table22[[#This Row],[Sales Date]])&lt;=6,"Q2",IF(MONTH(Table22[[#This Row],[Sales Date]])&lt;=9,"Q3","Q4")))</f>
        <v>Q2</v>
      </c>
      <c r="W1388" s="64">
        <f>YEAR(Table22[[#This Row],[Sales Date]])</f>
        <v>2024</v>
      </c>
      <c r="X1388" s="23">
        <v>39</v>
      </c>
      <c r="Y1388" s="18" t="s">
        <v>41</v>
      </c>
      <c r="Z1388" s="18" t="s">
        <v>42</v>
      </c>
      <c r="AA1388" s="19" t="s">
        <v>25</v>
      </c>
    </row>
    <row r="1389" spans="1:27" x14ac:dyDescent="0.25">
      <c r="A1389" s="17" t="s">
        <v>984</v>
      </c>
      <c r="B1389" s="18" t="s">
        <v>62</v>
      </c>
      <c r="C1389" s="63" t="str" cm="1">
        <f t="array" ref="C1389">_xlfn.SWITCH(Table22[[#This Row],[Country]],"USA","North America","Canada","North America","Brazil","South America","China","Asia","Japan","Asia","India","Asia","France","Europe","Germany","Europe","UK","Europe","Australia","Oceania","South America")</f>
        <v>Oceania</v>
      </c>
      <c r="D1389" s="18" t="s">
        <v>44</v>
      </c>
      <c r="E1389" s="18" t="s">
        <v>39</v>
      </c>
      <c r="F1389" s="18" t="s">
        <v>64</v>
      </c>
      <c r="G1389" s="18" t="s">
        <v>22</v>
      </c>
      <c r="H1389" s="64">
        <f>LEN(TRIM(Table22[[#This Row],[Country]]))</f>
        <v>9</v>
      </c>
      <c r="I1389" s="64">
        <f>LEN(TRIM(Table22[[#This Row],[Continent]]))</f>
        <v>7</v>
      </c>
      <c r="J1389" s="64">
        <f>LEN(TRIM(Table22[[#This Row],[Product]]))</f>
        <v>10</v>
      </c>
      <c r="K1389" s="64">
        <f>LEN(TRIM(Table22[[#This Row],[Sales Team]]))</f>
        <v>10</v>
      </c>
      <c r="L1389" s="23">
        <v>15</v>
      </c>
      <c r="M1389" s="65" t="str" cm="1">
        <f t="array" ref="M1389">_xlfn.IFS(Table22[[#This Row],[Units Sold]]&lt;40,"Critical",Table22[[#This Row],[Units Sold]]&lt;=50,"Poor",Table22[[#This Row],[Units Sold]]&lt;=60,"Low",Table22[[#This Row],[Units Sold]]&lt;=80,"Average",Table22[[#This Row],[Units Sold]]&lt;=90,"High",Table22[[#This Row],[Units Sold]]&lt;=95,"Excellent",Table22[[#This Row],[Units Sold]]&gt;95,"Outstanding")</f>
        <v>Critical</v>
      </c>
      <c r="N1389" s="29">
        <v>1076.43</v>
      </c>
      <c r="O1389" s="29">
        <v>16146.45</v>
      </c>
      <c r="P1389" s="43">
        <f>IF(Table22[[#This Row],[Discount Applied]],Table22[[#This Row],[Total Sales (in USD)]]*(1-Table22[[#This Row],[Discount Percentage (%)]]/100),Table22[[#This Row],[Total Sales (in USD)]])</f>
        <v>16146.45</v>
      </c>
      <c r="Q1389" s="66">
        <f>SQRT(AVERAGE((Table22[[#This Row],[Net Sales (after discount) (in USD)]]-AVERAGE(Table22[Net Sales (after discount) (in USD)]))^2))</f>
        <v>20364.910563764537</v>
      </c>
      <c r="R1389" s="18" t="b">
        <v>1</v>
      </c>
      <c r="S1389" s="40">
        <v>1.42</v>
      </c>
      <c r="T1389" s="18" t="b">
        <v>0</v>
      </c>
      <c r="U1389" s="25">
        <v>45422</v>
      </c>
      <c r="V1389" s="63" t="str">
        <f>IF(MONTH(Table22[[#This Row],[Sales Date]])&lt;=3,"Q1",IF(MONTH(Table22[[#This Row],[Sales Date]])&lt;=6,"Q2",IF(MONTH(Table22[[#This Row],[Sales Date]])&lt;=9,"Q3","Q4")))</f>
        <v>Q2</v>
      </c>
      <c r="W1389" s="64">
        <f>YEAR(Table22[[#This Row],[Sales Date]])</f>
        <v>2024</v>
      </c>
      <c r="X1389" s="23">
        <v>58</v>
      </c>
      <c r="Y1389" s="18" t="s">
        <v>41</v>
      </c>
      <c r="Z1389" s="18" t="s">
        <v>24</v>
      </c>
      <c r="AA1389" s="19" t="s">
        <v>36</v>
      </c>
    </row>
    <row r="1390" spans="1:27" x14ac:dyDescent="0.25">
      <c r="A1390" s="17" t="s">
        <v>1305</v>
      </c>
      <c r="B1390" s="18" t="s">
        <v>46</v>
      </c>
      <c r="C1390" s="63" t="str" cm="1">
        <f t="array" ref="C1390">_xlfn.SWITCH(Table22[[#This Row],[Country]],"USA","North America","Canada","North America","Brazil","South America","China","Asia","Japan","Asia","India","Asia","France","Europe","Germany","Europe","UK","Europe","Australia","Oceania","South America")</f>
        <v>South America</v>
      </c>
      <c r="D1390" s="18" t="s">
        <v>44</v>
      </c>
      <c r="E1390" s="18" t="s">
        <v>33</v>
      </c>
      <c r="F1390" s="18" t="s">
        <v>47</v>
      </c>
      <c r="G1390" s="18" t="s">
        <v>22</v>
      </c>
      <c r="H1390" s="64">
        <f>LEN(TRIM(Table22[[#This Row],[Country]]))</f>
        <v>6</v>
      </c>
      <c r="I1390" s="64">
        <f>LEN(TRIM(Table22[[#This Row],[Continent]]))</f>
        <v>13</v>
      </c>
      <c r="J1390" s="64">
        <f>LEN(TRIM(Table22[[#This Row],[Product]]))</f>
        <v>10</v>
      </c>
      <c r="K1390" s="64">
        <f>LEN(TRIM(Table22[[#This Row],[Sales Team]]))</f>
        <v>10</v>
      </c>
      <c r="L1390" s="23">
        <v>37</v>
      </c>
      <c r="M1390" s="65" t="str" cm="1">
        <f t="array" ref="M1390">_xlfn.IFS(Table22[[#This Row],[Units Sold]]&lt;40,"Critical",Table22[[#This Row],[Units Sold]]&lt;=50,"Poor",Table22[[#This Row],[Units Sold]]&lt;=60,"Low",Table22[[#This Row],[Units Sold]]&lt;=80,"Average",Table22[[#This Row],[Units Sold]]&lt;=90,"High",Table22[[#This Row],[Units Sold]]&lt;=95,"Excellent",Table22[[#This Row],[Units Sold]]&gt;95,"Outstanding")</f>
        <v>Critical</v>
      </c>
      <c r="N1390" s="29">
        <v>436.04</v>
      </c>
      <c r="O1390" s="29">
        <v>16133.48</v>
      </c>
      <c r="P1390" s="43">
        <f>IF(Table22[[#This Row],[Discount Applied]],Table22[[#This Row],[Total Sales (in USD)]]*(1-Table22[[#This Row],[Discount Percentage (%)]]/100),Table22[[#This Row],[Total Sales (in USD)]])</f>
        <v>14450.758035999999</v>
      </c>
      <c r="Q1390" s="66">
        <f>SQRT(AVERAGE((Table22[[#This Row],[Net Sales (after discount) (in USD)]]-AVERAGE(Table22[Net Sales (after discount) (in USD)]))^2))</f>
        <v>22060.602527764539</v>
      </c>
      <c r="R1390" s="18" t="b">
        <v>1</v>
      </c>
      <c r="S1390" s="40">
        <v>10.43</v>
      </c>
      <c r="T1390" s="18" t="b">
        <v>1</v>
      </c>
      <c r="U1390" s="25">
        <v>45450</v>
      </c>
      <c r="V1390" s="63" t="str">
        <f>IF(MONTH(Table22[[#This Row],[Sales Date]])&lt;=3,"Q1",IF(MONTH(Table22[[#This Row],[Sales Date]])&lt;=6,"Q2",IF(MONTH(Table22[[#This Row],[Sales Date]])&lt;=9,"Q3","Q4")))</f>
        <v>Q2</v>
      </c>
      <c r="W1390" s="64">
        <f>YEAR(Table22[[#This Row],[Sales Date]])</f>
        <v>2024</v>
      </c>
      <c r="X1390" s="23">
        <v>18</v>
      </c>
      <c r="Y1390" s="18" t="s">
        <v>49</v>
      </c>
      <c r="Z1390" s="18" t="s">
        <v>56</v>
      </c>
      <c r="AA1390" s="19" t="s">
        <v>36</v>
      </c>
    </row>
    <row r="1391" spans="1:27" x14ac:dyDescent="0.25">
      <c r="A1391" s="17" t="s">
        <v>700</v>
      </c>
      <c r="B1391" s="18" t="s">
        <v>62</v>
      </c>
      <c r="C1391" s="63" t="str" cm="1">
        <f t="array" ref="C1391">_xlfn.SWITCH(Table22[[#This Row],[Country]],"USA","North America","Canada","North America","Brazil","South America","China","Asia","Japan","Asia","India","Asia","France","Europe","Germany","Europe","UK","Europe","Australia","Oceania","South America")</f>
        <v>Oceania</v>
      </c>
      <c r="D1391" s="18" t="s">
        <v>28</v>
      </c>
      <c r="E1391" s="18" t="s">
        <v>39</v>
      </c>
      <c r="F1391" s="18" t="s">
        <v>47</v>
      </c>
      <c r="G1391" s="18" t="s">
        <v>29</v>
      </c>
      <c r="H1391" s="64">
        <f>LEN(TRIM(Table22[[#This Row],[Country]]))</f>
        <v>9</v>
      </c>
      <c r="I1391" s="64">
        <f>LEN(TRIM(Table22[[#This Row],[Continent]]))</f>
        <v>7</v>
      </c>
      <c r="J1391" s="64">
        <f>LEN(TRIM(Table22[[#This Row],[Product]]))</f>
        <v>10</v>
      </c>
      <c r="K1391" s="64">
        <f>LEN(TRIM(Table22[[#This Row],[Sales Team]]))</f>
        <v>10</v>
      </c>
      <c r="L1391" s="23">
        <v>82</v>
      </c>
      <c r="M1391" s="65" t="str" cm="1">
        <f t="array" ref="M1391">_xlfn.IFS(Table22[[#This Row],[Units Sold]]&lt;40,"Critical",Table22[[#This Row],[Units Sold]]&lt;=50,"Poor",Table22[[#This Row],[Units Sold]]&lt;=60,"Low",Table22[[#This Row],[Units Sold]]&lt;=80,"Average",Table22[[#This Row],[Units Sold]]&lt;=90,"High",Table22[[#This Row],[Units Sold]]&lt;=95,"Excellent",Table22[[#This Row],[Units Sold]]&gt;95,"Outstanding")</f>
        <v>High</v>
      </c>
      <c r="N1391" s="29">
        <v>196.58</v>
      </c>
      <c r="O1391" s="29">
        <v>16119.56</v>
      </c>
      <c r="P1391" s="43">
        <f>IF(Table22[[#This Row],[Discount Applied]],Table22[[#This Row],[Total Sales (in USD)]]*(1-Table22[[#This Row],[Discount Percentage (%)]]/100),Table22[[#This Row],[Total Sales (in USD)]])</f>
        <v>16119.56</v>
      </c>
      <c r="Q1391" s="66">
        <f>SQRT(AVERAGE((Table22[[#This Row],[Net Sales (after discount) (in USD)]]-AVERAGE(Table22[Net Sales (after discount) (in USD)]))^2))</f>
        <v>20391.80056376454</v>
      </c>
      <c r="R1391" s="18" t="b">
        <v>1</v>
      </c>
      <c r="S1391" s="40">
        <v>29.51</v>
      </c>
      <c r="T1391" s="18" t="b">
        <v>0</v>
      </c>
      <c r="U1391" s="25">
        <v>45370</v>
      </c>
      <c r="V1391" s="63" t="str">
        <f>IF(MONTH(Table22[[#This Row],[Sales Date]])&lt;=3,"Q1",IF(MONTH(Table22[[#This Row],[Sales Date]])&lt;=6,"Q2",IF(MONTH(Table22[[#This Row],[Sales Date]])&lt;=9,"Q3","Q4")))</f>
        <v>Q1</v>
      </c>
      <c r="W1391" s="64">
        <f>YEAR(Table22[[#This Row],[Sales Date]])</f>
        <v>2024</v>
      </c>
      <c r="X1391" s="23">
        <v>64</v>
      </c>
      <c r="Y1391" s="18" t="s">
        <v>41</v>
      </c>
      <c r="Z1391" s="18" t="s">
        <v>30</v>
      </c>
      <c r="AA1391" s="19" t="s">
        <v>36</v>
      </c>
    </row>
    <row r="1392" spans="1:27" x14ac:dyDescent="0.25">
      <c r="A1392" s="17" t="s">
        <v>485</v>
      </c>
      <c r="B1392" s="18" t="s">
        <v>51</v>
      </c>
      <c r="C1392" s="63" t="str" cm="1">
        <f t="array" ref="C1392">_xlfn.SWITCH(Table22[[#This Row],[Country]],"USA","North America","Canada","North America","Brazil","South America","China","Asia","Japan","Asia","India","Asia","France","Europe","Germany","Europe","UK","Europe","Australia","Oceania","South America")</f>
        <v>Europe</v>
      </c>
      <c r="D1392" s="18" t="s">
        <v>21</v>
      </c>
      <c r="E1392" s="18" t="s">
        <v>39</v>
      </c>
      <c r="F1392" s="18" t="s">
        <v>47</v>
      </c>
      <c r="G1392" s="18" t="s">
        <v>40</v>
      </c>
      <c r="H1392" s="64">
        <f>LEN(TRIM(Table22[[#This Row],[Country]]))</f>
        <v>2</v>
      </c>
      <c r="I1392" s="64">
        <f>LEN(TRIM(Table22[[#This Row],[Continent]]))</f>
        <v>6</v>
      </c>
      <c r="J1392" s="64">
        <f>LEN(TRIM(Table22[[#This Row],[Product]]))</f>
        <v>10</v>
      </c>
      <c r="K1392" s="64">
        <f>LEN(TRIM(Table22[[#This Row],[Sales Team]]))</f>
        <v>10</v>
      </c>
      <c r="L1392" s="23">
        <v>13</v>
      </c>
      <c r="M1392" s="65" t="str" cm="1">
        <f t="array" ref="M1392">_xlfn.IFS(Table22[[#This Row],[Units Sold]]&lt;40,"Critical",Table22[[#This Row],[Units Sold]]&lt;=50,"Poor",Table22[[#This Row],[Units Sold]]&lt;=60,"Low",Table22[[#This Row],[Units Sold]]&lt;=80,"Average",Table22[[#This Row],[Units Sold]]&lt;=90,"High",Table22[[#This Row],[Units Sold]]&lt;=95,"Excellent",Table22[[#This Row],[Units Sold]]&gt;95,"Outstanding")</f>
        <v>Critical</v>
      </c>
      <c r="N1392" s="29">
        <v>1214.3599999999999</v>
      </c>
      <c r="O1392" s="29">
        <v>15786.68</v>
      </c>
      <c r="P1392" s="43">
        <f>IF(Table22[[#This Row],[Discount Applied]],Table22[[#This Row],[Total Sales (in USD)]]*(1-Table22[[#This Row],[Discount Percentage (%)]]/100),Table22[[#This Row],[Total Sales (in USD)]])</f>
        <v>15087.330076</v>
      </c>
      <c r="Q1392" s="66">
        <f>SQRT(AVERAGE((Table22[[#This Row],[Net Sales (after discount) (in USD)]]-AVERAGE(Table22[Net Sales (after discount) (in USD)]))^2))</f>
        <v>21424.030487764539</v>
      </c>
      <c r="R1392" s="18" t="b">
        <v>0</v>
      </c>
      <c r="S1392" s="40">
        <v>4.43</v>
      </c>
      <c r="T1392" s="18" t="b">
        <v>1</v>
      </c>
      <c r="U1392" s="25">
        <v>45578</v>
      </c>
      <c r="V1392" s="63" t="str">
        <f>IF(MONTH(Table22[[#This Row],[Sales Date]])&lt;=3,"Q1",IF(MONTH(Table22[[#This Row],[Sales Date]])&lt;=6,"Q2",IF(MONTH(Table22[[#This Row],[Sales Date]])&lt;=9,"Q3","Q4")))</f>
        <v>Q4</v>
      </c>
      <c r="W1392" s="64">
        <f>YEAR(Table22[[#This Row],[Sales Date]])</f>
        <v>2024</v>
      </c>
      <c r="X1392" s="23">
        <v>27</v>
      </c>
      <c r="Y1392" s="18" t="s">
        <v>49</v>
      </c>
      <c r="Z1392" s="18" t="s">
        <v>24</v>
      </c>
      <c r="AA1392" s="19" t="s">
        <v>36</v>
      </c>
    </row>
    <row r="1393" spans="1:27" x14ac:dyDescent="0.25">
      <c r="A1393" s="17" t="s">
        <v>716</v>
      </c>
      <c r="B1393" s="18" t="s">
        <v>18</v>
      </c>
      <c r="C1393" s="63" t="str" cm="1">
        <f t="array" ref="C1393">_xlfn.SWITCH(Table22[[#This Row],[Country]],"USA","North America","Canada","North America","Brazil","South America","China","Asia","Japan","Asia","India","Asia","France","Europe","Germany","Europe","UK","Europe","Australia","Oceania","South America")</f>
        <v>Asia</v>
      </c>
      <c r="D1393" s="18" t="s">
        <v>44</v>
      </c>
      <c r="E1393" s="18" t="s">
        <v>33</v>
      </c>
      <c r="F1393" s="18" t="s">
        <v>64</v>
      </c>
      <c r="G1393" s="18" t="s">
        <v>29</v>
      </c>
      <c r="H1393" s="64">
        <f>LEN(TRIM(Table22[[#This Row],[Country]]))</f>
        <v>5</v>
      </c>
      <c r="I1393" s="64">
        <f>LEN(TRIM(Table22[[#This Row],[Continent]]))</f>
        <v>4</v>
      </c>
      <c r="J1393" s="64">
        <f>LEN(TRIM(Table22[[#This Row],[Product]]))</f>
        <v>10</v>
      </c>
      <c r="K1393" s="64">
        <f>LEN(TRIM(Table22[[#This Row],[Sales Team]]))</f>
        <v>10</v>
      </c>
      <c r="L1393" s="23">
        <v>75</v>
      </c>
      <c r="M1393" s="65" t="str" cm="1">
        <f t="array" ref="M1393">_xlfn.IFS(Table22[[#This Row],[Units Sold]]&lt;40,"Critical",Table22[[#This Row],[Units Sold]]&lt;=50,"Poor",Table22[[#This Row],[Units Sold]]&lt;=60,"Low",Table22[[#This Row],[Units Sold]]&lt;=80,"Average",Table22[[#This Row],[Units Sold]]&lt;=90,"High",Table22[[#This Row],[Units Sold]]&lt;=95,"Excellent",Table22[[#This Row],[Units Sold]]&gt;95,"Outstanding")</f>
        <v>Average</v>
      </c>
      <c r="N1393" s="29">
        <v>210.09</v>
      </c>
      <c r="O1393" s="29">
        <v>15756.75</v>
      </c>
      <c r="P1393" s="43">
        <f>IF(Table22[[#This Row],[Discount Applied]],Table22[[#This Row],[Total Sales (in USD)]]*(1-Table22[[#This Row],[Discount Percentage (%)]]/100),Table22[[#This Row],[Total Sales (in USD)]])</f>
        <v>11956.2219</v>
      </c>
      <c r="Q1393" s="66">
        <f>SQRT(AVERAGE((Table22[[#This Row],[Net Sales (after discount) (in USD)]]-AVERAGE(Table22[Net Sales (after discount) (in USD)]))^2))</f>
        <v>24555.138663764537</v>
      </c>
      <c r="R1393" s="18" t="b">
        <v>0</v>
      </c>
      <c r="S1393" s="40">
        <v>24.12</v>
      </c>
      <c r="T1393" s="18" t="b">
        <v>1</v>
      </c>
      <c r="U1393" s="25">
        <v>44976</v>
      </c>
      <c r="V1393" s="63" t="str">
        <f>IF(MONTH(Table22[[#This Row],[Sales Date]])&lt;=3,"Q1",IF(MONTH(Table22[[#This Row],[Sales Date]])&lt;=6,"Q2",IF(MONTH(Table22[[#This Row],[Sales Date]])&lt;=9,"Q3","Q4")))</f>
        <v>Q1</v>
      </c>
      <c r="W1393" s="64">
        <f>YEAR(Table22[[#This Row],[Sales Date]])</f>
        <v>2023</v>
      </c>
      <c r="X1393" s="23">
        <v>41</v>
      </c>
      <c r="Y1393" s="18" t="s">
        <v>49</v>
      </c>
      <c r="Z1393" s="18" t="s">
        <v>30</v>
      </c>
      <c r="AA1393" s="19" t="s">
        <v>36</v>
      </c>
    </row>
    <row r="1394" spans="1:27" x14ac:dyDescent="0.25">
      <c r="A1394" s="17" t="s">
        <v>893</v>
      </c>
      <c r="B1394" s="18" t="s">
        <v>76</v>
      </c>
      <c r="C1394" s="63" t="str" cm="1">
        <f t="array" ref="C1394">_xlfn.SWITCH(Table22[[#This Row],[Country]],"USA","North America","Canada","North America","Brazil","South America","China","Asia","Japan","Asia","India","Asia","France","Europe","Germany","Europe","UK","Europe","Australia","Oceania","South America")</f>
        <v>Asia</v>
      </c>
      <c r="D1394" s="18" t="s">
        <v>21</v>
      </c>
      <c r="E1394" s="18" t="s">
        <v>33</v>
      </c>
      <c r="F1394" s="18" t="s">
        <v>34</v>
      </c>
      <c r="G1394" s="18" t="s">
        <v>40</v>
      </c>
      <c r="H1394" s="64">
        <f>LEN(TRIM(Table22[[#This Row],[Country]]))</f>
        <v>5</v>
      </c>
      <c r="I1394" s="64">
        <f>LEN(TRIM(Table22[[#This Row],[Continent]]))</f>
        <v>4</v>
      </c>
      <c r="J1394" s="64">
        <f>LEN(TRIM(Table22[[#This Row],[Product]]))</f>
        <v>10</v>
      </c>
      <c r="K1394" s="64">
        <f>LEN(TRIM(Table22[[#This Row],[Sales Team]]))</f>
        <v>10</v>
      </c>
      <c r="L1394" s="23">
        <v>11</v>
      </c>
      <c r="M1394" s="65" t="str" cm="1">
        <f t="array" ref="M1394">_xlfn.IFS(Table22[[#This Row],[Units Sold]]&lt;40,"Critical",Table22[[#This Row],[Units Sold]]&lt;=50,"Poor",Table22[[#This Row],[Units Sold]]&lt;=60,"Low",Table22[[#This Row],[Units Sold]]&lt;=80,"Average",Table22[[#This Row],[Units Sold]]&lt;=90,"High",Table22[[#This Row],[Units Sold]]&lt;=95,"Excellent",Table22[[#This Row],[Units Sold]]&gt;95,"Outstanding")</f>
        <v>Critical</v>
      </c>
      <c r="N1394" s="29">
        <v>1432.32</v>
      </c>
      <c r="O1394" s="29">
        <v>15755.52</v>
      </c>
      <c r="P1394" s="43">
        <f>IF(Table22[[#This Row],[Discount Applied]],Table22[[#This Row],[Total Sales (in USD)]]*(1-Table22[[#This Row],[Discount Percentage (%)]]/100),Table22[[#This Row],[Total Sales (in USD)]])</f>
        <v>15755.52</v>
      </c>
      <c r="Q1394" s="66">
        <f>SQRT(AVERAGE((Table22[[#This Row],[Net Sales (after discount) (in USD)]]-AVERAGE(Table22[Net Sales (after discount) (in USD)]))^2))</f>
        <v>20755.840563764537</v>
      </c>
      <c r="R1394" s="18" t="b">
        <v>1</v>
      </c>
      <c r="S1394" s="40">
        <v>16.87</v>
      </c>
      <c r="T1394" s="18" t="b">
        <v>0</v>
      </c>
      <c r="U1394" s="25">
        <v>45272</v>
      </c>
      <c r="V1394" s="63" t="str">
        <f>IF(MONTH(Table22[[#This Row],[Sales Date]])&lt;=3,"Q1",IF(MONTH(Table22[[#This Row],[Sales Date]])&lt;=6,"Q2",IF(MONTH(Table22[[#This Row],[Sales Date]])&lt;=9,"Q3","Q4")))</f>
        <v>Q4</v>
      </c>
      <c r="W1394" s="64">
        <f>YEAR(Table22[[#This Row],[Sales Date]])</f>
        <v>2023</v>
      </c>
      <c r="X1394" s="23">
        <v>51</v>
      </c>
      <c r="Y1394" s="18" t="s">
        <v>41</v>
      </c>
      <c r="Z1394" s="18" t="s">
        <v>56</v>
      </c>
      <c r="AA1394" s="19" t="s">
        <v>25</v>
      </c>
    </row>
    <row r="1395" spans="1:27" x14ac:dyDescent="0.25">
      <c r="A1395" s="17" t="s">
        <v>1046</v>
      </c>
      <c r="B1395" s="18" t="s">
        <v>18</v>
      </c>
      <c r="C1395" s="63" t="str" cm="1">
        <f t="array" ref="C1395">_xlfn.SWITCH(Table22[[#This Row],[Country]],"USA","North America","Canada","North America","Brazil","South America","China","Asia","Japan","Asia","India","Asia","France","Europe","Germany","Europe","UK","Europe","Australia","Oceania","South America")</f>
        <v>Asia</v>
      </c>
      <c r="D1395" s="18" t="s">
        <v>28</v>
      </c>
      <c r="E1395" s="18" t="s">
        <v>39</v>
      </c>
      <c r="F1395" s="18" t="s">
        <v>52</v>
      </c>
      <c r="G1395" s="18" t="s">
        <v>48</v>
      </c>
      <c r="H1395" s="64">
        <f>LEN(TRIM(Table22[[#This Row],[Country]]))</f>
        <v>5</v>
      </c>
      <c r="I1395" s="64">
        <f>LEN(TRIM(Table22[[#This Row],[Continent]]))</f>
        <v>4</v>
      </c>
      <c r="J1395" s="64">
        <f>LEN(TRIM(Table22[[#This Row],[Product]]))</f>
        <v>10</v>
      </c>
      <c r="K1395" s="64">
        <f>LEN(TRIM(Table22[[#This Row],[Sales Team]]))</f>
        <v>9</v>
      </c>
      <c r="L1395" s="23">
        <v>89</v>
      </c>
      <c r="M1395" s="65" t="str" cm="1">
        <f t="array" ref="M1395">_xlfn.IFS(Table22[[#This Row],[Units Sold]]&lt;40,"Critical",Table22[[#This Row],[Units Sold]]&lt;=50,"Poor",Table22[[#This Row],[Units Sold]]&lt;=60,"Low",Table22[[#This Row],[Units Sold]]&lt;=80,"Average",Table22[[#This Row],[Units Sold]]&lt;=90,"High",Table22[[#This Row],[Units Sold]]&lt;=95,"Excellent",Table22[[#This Row],[Units Sold]]&gt;95,"Outstanding")</f>
        <v>High</v>
      </c>
      <c r="N1395" s="29">
        <v>176.27</v>
      </c>
      <c r="O1395" s="29">
        <v>15688.03</v>
      </c>
      <c r="P1395" s="43">
        <f>IF(Table22[[#This Row],[Discount Applied]],Table22[[#This Row],[Total Sales (in USD)]]*(1-Table22[[#This Row],[Discount Percentage (%)]]/100),Table22[[#This Row],[Total Sales (in USD)]])</f>
        <v>15688.03</v>
      </c>
      <c r="Q1395" s="66">
        <f>SQRT(AVERAGE((Table22[[#This Row],[Net Sales (after discount) (in USD)]]-AVERAGE(Table22[Net Sales (after discount) (in USD)]))^2))</f>
        <v>20823.330563764539</v>
      </c>
      <c r="R1395" s="18" t="b">
        <v>1</v>
      </c>
      <c r="S1395" s="40">
        <v>8.65</v>
      </c>
      <c r="T1395" s="18" t="b">
        <v>0</v>
      </c>
      <c r="U1395" s="25">
        <v>45283</v>
      </c>
      <c r="V1395" s="63" t="str">
        <f>IF(MONTH(Table22[[#This Row],[Sales Date]])&lt;=3,"Q1",IF(MONTH(Table22[[#This Row],[Sales Date]])&lt;=6,"Q2",IF(MONTH(Table22[[#This Row],[Sales Date]])&lt;=9,"Q3","Q4")))</f>
        <v>Q4</v>
      </c>
      <c r="W1395" s="64">
        <f>YEAR(Table22[[#This Row],[Sales Date]])</f>
        <v>2023</v>
      </c>
      <c r="X1395" s="23">
        <v>48</v>
      </c>
      <c r="Y1395" s="18" t="s">
        <v>23</v>
      </c>
      <c r="Z1395" s="18" t="s">
        <v>30</v>
      </c>
      <c r="AA1395" s="19" t="s">
        <v>36</v>
      </c>
    </row>
    <row r="1396" spans="1:27" x14ac:dyDescent="0.25">
      <c r="A1396" s="17" t="s">
        <v>468</v>
      </c>
      <c r="B1396" s="18" t="s">
        <v>46</v>
      </c>
      <c r="C1396" s="63" t="str" cm="1">
        <f t="array" ref="C1396">_xlfn.SWITCH(Table22[[#This Row],[Country]],"USA","North America","Canada","North America","Brazil","South America","China","Asia","Japan","Asia","India","Asia","France","Europe","Germany","Europe","UK","Europe","Australia","Oceania","South America")</f>
        <v>South America</v>
      </c>
      <c r="D1396" s="18" t="s">
        <v>21</v>
      </c>
      <c r="E1396" s="18" t="s">
        <v>33</v>
      </c>
      <c r="F1396" s="18" t="s">
        <v>47</v>
      </c>
      <c r="G1396" s="18" t="s">
        <v>48</v>
      </c>
      <c r="H1396" s="64">
        <f>LEN(TRIM(Table22[[#This Row],[Country]]))</f>
        <v>6</v>
      </c>
      <c r="I1396" s="64">
        <f>LEN(TRIM(Table22[[#This Row],[Continent]]))</f>
        <v>13</v>
      </c>
      <c r="J1396" s="64">
        <f>LEN(TRIM(Table22[[#This Row],[Product]]))</f>
        <v>10</v>
      </c>
      <c r="K1396" s="64">
        <f>LEN(TRIM(Table22[[#This Row],[Sales Team]]))</f>
        <v>9</v>
      </c>
      <c r="L1396" s="23">
        <v>74</v>
      </c>
      <c r="M1396" s="65" t="str" cm="1">
        <f t="array" ref="M1396">_xlfn.IFS(Table22[[#This Row],[Units Sold]]&lt;40,"Critical",Table22[[#This Row],[Units Sold]]&lt;=50,"Poor",Table22[[#This Row],[Units Sold]]&lt;=60,"Low",Table22[[#This Row],[Units Sold]]&lt;=80,"Average",Table22[[#This Row],[Units Sold]]&lt;=90,"High",Table22[[#This Row],[Units Sold]]&lt;=95,"Excellent",Table22[[#This Row],[Units Sold]]&gt;95,"Outstanding")</f>
        <v>Average</v>
      </c>
      <c r="N1396" s="29">
        <v>211</v>
      </c>
      <c r="O1396" s="29">
        <v>15614</v>
      </c>
      <c r="P1396" s="43">
        <f>IF(Table22[[#This Row],[Discount Applied]],Table22[[#This Row],[Total Sales (in USD)]]*(1-Table22[[#This Row],[Discount Percentage (%)]]/100),Table22[[#This Row],[Total Sales (in USD)]])</f>
        <v>15614</v>
      </c>
      <c r="Q1396" s="66">
        <f>SQRT(AVERAGE((Table22[[#This Row],[Net Sales (after discount) (in USD)]]-AVERAGE(Table22[Net Sales (after discount) (in USD)]))^2))</f>
        <v>20897.360563764538</v>
      </c>
      <c r="R1396" s="18" t="b">
        <v>1</v>
      </c>
      <c r="S1396" s="40">
        <v>4.13</v>
      </c>
      <c r="T1396" s="18" t="b">
        <v>0</v>
      </c>
      <c r="U1396" s="25">
        <v>45046</v>
      </c>
      <c r="V1396" s="63" t="str">
        <f>IF(MONTH(Table22[[#This Row],[Sales Date]])&lt;=3,"Q1",IF(MONTH(Table22[[#This Row],[Sales Date]])&lt;=6,"Q2",IF(MONTH(Table22[[#This Row],[Sales Date]])&lt;=9,"Q3","Q4")))</f>
        <v>Q2</v>
      </c>
      <c r="W1396" s="64">
        <f>YEAR(Table22[[#This Row],[Sales Date]])</f>
        <v>2023</v>
      </c>
      <c r="X1396" s="23">
        <v>59</v>
      </c>
      <c r="Y1396" s="18" t="s">
        <v>41</v>
      </c>
      <c r="Z1396" s="18" t="s">
        <v>56</v>
      </c>
      <c r="AA1396" s="19" t="s">
        <v>36</v>
      </c>
    </row>
    <row r="1397" spans="1:27" x14ac:dyDescent="0.25">
      <c r="A1397" s="17" t="s">
        <v>285</v>
      </c>
      <c r="B1397" s="18" t="s">
        <v>72</v>
      </c>
      <c r="C1397" s="63" t="str" cm="1">
        <f t="array" ref="C1397">_xlfn.SWITCH(Table22[[#This Row],[Country]],"USA","North America","Canada","North America","Brazil","South America","China","Asia","Japan","Asia","India","Asia","France","Europe","Germany","Europe","UK","Europe","Australia","Oceania","South America")</f>
        <v>North America</v>
      </c>
      <c r="D1397" s="18" t="s">
        <v>28</v>
      </c>
      <c r="E1397" s="18" t="s">
        <v>19</v>
      </c>
      <c r="F1397" s="18" t="s">
        <v>34</v>
      </c>
      <c r="G1397" s="18" t="s">
        <v>22</v>
      </c>
      <c r="H1397" s="64">
        <f>LEN(TRIM(Table22[[#This Row],[Country]]))</f>
        <v>3</v>
      </c>
      <c r="I1397" s="64">
        <f>LEN(TRIM(Table22[[#This Row],[Continent]]))</f>
        <v>13</v>
      </c>
      <c r="J1397" s="64">
        <f>LEN(TRIM(Table22[[#This Row],[Product]]))</f>
        <v>6</v>
      </c>
      <c r="K1397" s="64">
        <f>LEN(TRIM(Table22[[#This Row],[Sales Team]]))</f>
        <v>10</v>
      </c>
      <c r="L1397" s="23">
        <v>73</v>
      </c>
      <c r="M1397" s="65" t="str" cm="1">
        <f t="array" ref="M1397">_xlfn.IFS(Table22[[#This Row],[Units Sold]]&lt;40,"Critical",Table22[[#This Row],[Units Sold]]&lt;=50,"Poor",Table22[[#This Row],[Units Sold]]&lt;=60,"Low",Table22[[#This Row],[Units Sold]]&lt;=80,"Average",Table22[[#This Row],[Units Sold]]&lt;=90,"High",Table22[[#This Row],[Units Sold]]&lt;=95,"Excellent",Table22[[#This Row],[Units Sold]]&gt;95,"Outstanding")</f>
        <v>Average</v>
      </c>
      <c r="N1397" s="29">
        <v>213.56</v>
      </c>
      <c r="O1397" s="29">
        <v>15589.88</v>
      </c>
      <c r="P1397" s="43">
        <f>IF(Table22[[#This Row],[Discount Applied]],Table22[[#This Row],[Total Sales (in USD)]]*(1-Table22[[#This Row],[Discount Percentage (%)]]/100),Table22[[#This Row],[Total Sales (in USD)]])</f>
        <v>13952.9426</v>
      </c>
      <c r="Q1397" s="66">
        <f>SQRT(AVERAGE((Table22[[#This Row],[Net Sales (after discount) (in USD)]]-AVERAGE(Table22[Net Sales (after discount) (in USD)]))^2))</f>
        <v>22558.417963764536</v>
      </c>
      <c r="R1397" s="18" t="b">
        <v>1</v>
      </c>
      <c r="S1397" s="40">
        <v>10.5</v>
      </c>
      <c r="T1397" s="18" t="b">
        <v>1</v>
      </c>
      <c r="U1397" s="25">
        <v>45085</v>
      </c>
      <c r="V1397" s="63" t="str">
        <f>IF(MONTH(Table22[[#This Row],[Sales Date]])&lt;=3,"Q1",IF(MONTH(Table22[[#This Row],[Sales Date]])&lt;=6,"Q2",IF(MONTH(Table22[[#This Row],[Sales Date]])&lt;=9,"Q3","Q4")))</f>
        <v>Q2</v>
      </c>
      <c r="W1397" s="64">
        <f>YEAR(Table22[[#This Row],[Sales Date]])</f>
        <v>2023</v>
      </c>
      <c r="X1397" s="23">
        <v>53</v>
      </c>
      <c r="Y1397" s="18" t="s">
        <v>49</v>
      </c>
      <c r="Z1397" s="18" t="s">
        <v>42</v>
      </c>
      <c r="AA1397" s="19" t="s">
        <v>25</v>
      </c>
    </row>
    <row r="1398" spans="1:27" x14ac:dyDescent="0.25">
      <c r="A1398" s="17" t="s">
        <v>1681</v>
      </c>
      <c r="B1398" s="18" t="s">
        <v>46</v>
      </c>
      <c r="C1398" s="63" t="str" cm="1">
        <f t="array" ref="C1398">_xlfn.SWITCH(Table22[[#This Row],[Country]],"USA","North America","Canada","North America","Brazil","South America","China","Asia","Japan","Asia","India","Asia","France","Europe","Germany","Europe","UK","Europe","Australia","Oceania","South America")</f>
        <v>South America</v>
      </c>
      <c r="D1398" s="18" t="s">
        <v>44</v>
      </c>
      <c r="E1398" s="18" t="s">
        <v>39</v>
      </c>
      <c r="F1398" s="18" t="s">
        <v>52</v>
      </c>
      <c r="G1398" s="18" t="s">
        <v>29</v>
      </c>
      <c r="H1398" s="64">
        <f>LEN(TRIM(Table22[[#This Row],[Country]]))</f>
        <v>6</v>
      </c>
      <c r="I1398" s="64">
        <f>LEN(TRIM(Table22[[#This Row],[Continent]]))</f>
        <v>13</v>
      </c>
      <c r="J1398" s="64">
        <f>LEN(TRIM(Table22[[#This Row],[Product]]))</f>
        <v>10</v>
      </c>
      <c r="K1398" s="64">
        <f>LEN(TRIM(Table22[[#This Row],[Sales Team]]))</f>
        <v>10</v>
      </c>
      <c r="L1398" s="23">
        <v>18</v>
      </c>
      <c r="M1398" s="65" t="str" cm="1">
        <f t="array" ref="M1398">_xlfn.IFS(Table22[[#This Row],[Units Sold]]&lt;40,"Critical",Table22[[#This Row],[Units Sold]]&lt;=50,"Poor",Table22[[#This Row],[Units Sold]]&lt;=60,"Low",Table22[[#This Row],[Units Sold]]&lt;=80,"Average",Table22[[#This Row],[Units Sold]]&lt;=90,"High",Table22[[#This Row],[Units Sold]]&lt;=95,"Excellent",Table22[[#This Row],[Units Sold]]&gt;95,"Outstanding")</f>
        <v>Critical</v>
      </c>
      <c r="N1398" s="29">
        <v>865.82</v>
      </c>
      <c r="O1398" s="29">
        <v>15584.76</v>
      </c>
      <c r="P1398" s="43">
        <f>IF(Table22[[#This Row],[Discount Applied]],Table22[[#This Row],[Total Sales (in USD)]]*(1-Table22[[#This Row],[Discount Percentage (%)]]/100),Table22[[#This Row],[Total Sales (in USD)]])</f>
        <v>15584.76</v>
      </c>
      <c r="Q1398" s="66">
        <f>SQRT(AVERAGE((Table22[[#This Row],[Net Sales (after discount) (in USD)]]-AVERAGE(Table22[Net Sales (after discount) (in USD)]))^2))</f>
        <v>20926.600563764536</v>
      </c>
      <c r="R1398" s="18" t="b">
        <v>1</v>
      </c>
      <c r="S1398" s="40">
        <v>22.14</v>
      </c>
      <c r="T1398" s="18" t="b">
        <v>0</v>
      </c>
      <c r="U1398" s="25">
        <v>45068</v>
      </c>
      <c r="V1398" s="63" t="str">
        <f>IF(MONTH(Table22[[#This Row],[Sales Date]])&lt;=3,"Q1",IF(MONTH(Table22[[#This Row],[Sales Date]])&lt;=6,"Q2",IF(MONTH(Table22[[#This Row],[Sales Date]])&lt;=9,"Q3","Q4")))</f>
        <v>Q2</v>
      </c>
      <c r="W1398" s="64">
        <f>YEAR(Table22[[#This Row],[Sales Date]])</f>
        <v>2023</v>
      </c>
      <c r="X1398" s="23">
        <v>52</v>
      </c>
      <c r="Y1398" s="18" t="s">
        <v>41</v>
      </c>
      <c r="Z1398" s="18" t="s">
        <v>56</v>
      </c>
      <c r="AA1398" s="19" t="s">
        <v>36</v>
      </c>
    </row>
    <row r="1399" spans="1:27" x14ac:dyDescent="0.25">
      <c r="A1399" s="17" t="s">
        <v>686</v>
      </c>
      <c r="B1399" s="18" t="s">
        <v>46</v>
      </c>
      <c r="C1399" s="63" t="str" cm="1">
        <f t="array" ref="C1399">_xlfn.SWITCH(Table22[[#This Row],[Country]],"USA","North America","Canada","North America","Brazil","South America","China","Asia","Japan","Asia","India","Asia","France","Europe","Germany","Europe","UK","Europe","Australia","Oceania","South America")</f>
        <v>South America</v>
      </c>
      <c r="D1399" s="18" t="s">
        <v>44</v>
      </c>
      <c r="E1399" s="18" t="s">
        <v>19</v>
      </c>
      <c r="F1399" s="18" t="s">
        <v>52</v>
      </c>
      <c r="G1399" s="18" t="s">
        <v>48</v>
      </c>
      <c r="H1399" s="64">
        <f>LEN(TRIM(Table22[[#This Row],[Country]]))</f>
        <v>6</v>
      </c>
      <c r="I1399" s="64">
        <f>LEN(TRIM(Table22[[#This Row],[Continent]]))</f>
        <v>13</v>
      </c>
      <c r="J1399" s="64">
        <f>LEN(TRIM(Table22[[#This Row],[Product]]))</f>
        <v>6</v>
      </c>
      <c r="K1399" s="64">
        <f>LEN(TRIM(Table22[[#This Row],[Sales Team]]))</f>
        <v>9</v>
      </c>
      <c r="L1399" s="23">
        <v>16</v>
      </c>
      <c r="M1399" s="65" t="str" cm="1">
        <f t="array" ref="M1399">_xlfn.IFS(Table22[[#This Row],[Units Sold]]&lt;40,"Critical",Table22[[#This Row],[Units Sold]]&lt;=50,"Poor",Table22[[#This Row],[Units Sold]]&lt;=60,"Low",Table22[[#This Row],[Units Sold]]&lt;=80,"Average",Table22[[#This Row],[Units Sold]]&lt;=90,"High",Table22[[#This Row],[Units Sold]]&lt;=95,"Excellent",Table22[[#This Row],[Units Sold]]&gt;95,"Outstanding")</f>
        <v>Critical</v>
      </c>
      <c r="N1399" s="29">
        <v>972.52</v>
      </c>
      <c r="O1399" s="29">
        <v>15560.32</v>
      </c>
      <c r="P1399" s="43">
        <f>IF(Table22[[#This Row],[Discount Applied]],Table22[[#This Row],[Total Sales (in USD)]]*(1-Table22[[#This Row],[Discount Percentage (%)]]/100),Table22[[#This Row],[Total Sales (in USD)]])</f>
        <v>15560.32</v>
      </c>
      <c r="Q1399" s="66">
        <f>SQRT(AVERAGE((Table22[[#This Row],[Net Sales (after discount) (in USD)]]-AVERAGE(Table22[Net Sales (after discount) (in USD)]))^2))</f>
        <v>20951.040563764538</v>
      </c>
      <c r="R1399" s="18" t="b">
        <v>0</v>
      </c>
      <c r="S1399" s="40">
        <v>2.17</v>
      </c>
      <c r="T1399" s="18" t="b">
        <v>0</v>
      </c>
      <c r="U1399" s="25">
        <v>45366</v>
      </c>
      <c r="V1399" s="63" t="str">
        <f>IF(MONTH(Table22[[#This Row],[Sales Date]])&lt;=3,"Q1",IF(MONTH(Table22[[#This Row],[Sales Date]])&lt;=6,"Q2",IF(MONTH(Table22[[#This Row],[Sales Date]])&lt;=9,"Q3","Q4")))</f>
        <v>Q1</v>
      </c>
      <c r="W1399" s="64">
        <f>YEAR(Table22[[#This Row],[Sales Date]])</f>
        <v>2024</v>
      </c>
      <c r="X1399" s="23">
        <v>35</v>
      </c>
      <c r="Y1399" s="18" t="s">
        <v>49</v>
      </c>
      <c r="Z1399" s="18" t="s">
        <v>24</v>
      </c>
      <c r="AA1399" s="19" t="s">
        <v>36</v>
      </c>
    </row>
    <row r="1400" spans="1:27" x14ac:dyDescent="0.25">
      <c r="A1400" s="17" t="s">
        <v>841</v>
      </c>
      <c r="B1400" s="18" t="s">
        <v>66</v>
      </c>
      <c r="C1400" s="63" t="str" cm="1">
        <f t="array" ref="C1400">_xlfn.SWITCH(Table22[[#This Row],[Country]],"USA","North America","Canada","North America","Brazil","South America","China","Asia","Japan","Asia","India","Asia","France","Europe","Germany","Europe","UK","Europe","Australia","Oceania","South America")</f>
        <v>North America</v>
      </c>
      <c r="D1400" s="18" t="s">
        <v>21</v>
      </c>
      <c r="E1400" s="18" t="s">
        <v>33</v>
      </c>
      <c r="F1400" s="18" t="s">
        <v>34</v>
      </c>
      <c r="G1400" s="18" t="s">
        <v>48</v>
      </c>
      <c r="H1400" s="64">
        <f>LEN(TRIM(Table22[[#This Row],[Country]]))</f>
        <v>6</v>
      </c>
      <c r="I1400" s="64">
        <f>LEN(TRIM(Table22[[#This Row],[Continent]]))</f>
        <v>13</v>
      </c>
      <c r="J1400" s="64">
        <f>LEN(TRIM(Table22[[#This Row],[Product]]))</f>
        <v>10</v>
      </c>
      <c r="K1400" s="64">
        <f>LEN(TRIM(Table22[[#This Row],[Sales Team]]))</f>
        <v>9</v>
      </c>
      <c r="L1400" s="23">
        <v>94</v>
      </c>
      <c r="M1400" s="65" t="str" cm="1">
        <f t="array" ref="M1400">_xlfn.IFS(Table22[[#This Row],[Units Sold]]&lt;40,"Critical",Table22[[#This Row],[Units Sold]]&lt;=50,"Poor",Table22[[#This Row],[Units Sold]]&lt;=60,"Low",Table22[[#This Row],[Units Sold]]&lt;=80,"Average",Table22[[#This Row],[Units Sold]]&lt;=90,"High",Table22[[#This Row],[Units Sold]]&lt;=95,"Excellent",Table22[[#This Row],[Units Sold]]&gt;95,"Outstanding")</f>
        <v>Excellent</v>
      </c>
      <c r="N1400" s="29">
        <v>165.3</v>
      </c>
      <c r="O1400" s="29">
        <v>15538.2</v>
      </c>
      <c r="P1400" s="43">
        <f>IF(Table22[[#This Row],[Discount Applied]],Table22[[#This Row],[Total Sales (in USD)]]*(1-Table22[[#This Row],[Discount Percentage (%)]]/100),Table22[[#This Row],[Total Sales (in USD)]])</f>
        <v>14274.94434</v>
      </c>
      <c r="Q1400" s="66">
        <f>SQRT(AVERAGE((Table22[[#This Row],[Net Sales (after discount) (in USD)]]-AVERAGE(Table22[Net Sales (after discount) (in USD)]))^2))</f>
        <v>22236.416223764536</v>
      </c>
      <c r="R1400" s="18" t="b">
        <v>0</v>
      </c>
      <c r="S1400" s="40">
        <v>8.1300000000000008</v>
      </c>
      <c r="T1400" s="18" t="b">
        <v>1</v>
      </c>
      <c r="U1400" s="25">
        <v>45595</v>
      </c>
      <c r="V1400" s="63" t="str">
        <f>IF(MONTH(Table22[[#This Row],[Sales Date]])&lt;=3,"Q1",IF(MONTH(Table22[[#This Row],[Sales Date]])&lt;=6,"Q2",IF(MONTH(Table22[[#This Row],[Sales Date]])&lt;=9,"Q3","Q4")))</f>
        <v>Q4</v>
      </c>
      <c r="W1400" s="64">
        <f>YEAR(Table22[[#This Row],[Sales Date]])</f>
        <v>2024</v>
      </c>
      <c r="X1400" s="23">
        <v>28</v>
      </c>
      <c r="Y1400" s="18" t="s">
        <v>41</v>
      </c>
      <c r="Z1400" s="18" t="s">
        <v>56</v>
      </c>
      <c r="AA1400" s="19" t="s">
        <v>36</v>
      </c>
    </row>
    <row r="1401" spans="1:27" x14ac:dyDescent="0.25">
      <c r="A1401" s="17" t="s">
        <v>512</v>
      </c>
      <c r="B1401" s="18" t="s">
        <v>18</v>
      </c>
      <c r="C1401" s="63" t="str" cm="1">
        <f t="array" ref="C1401">_xlfn.SWITCH(Table22[[#This Row],[Country]],"USA","North America","Canada","North America","Brazil","South America","China","Asia","Japan","Asia","India","Asia","France","Europe","Germany","Europe","UK","Europe","Australia","Oceania","South America")</f>
        <v>Asia</v>
      </c>
      <c r="D1401" s="18" t="s">
        <v>28</v>
      </c>
      <c r="E1401" s="18" t="s">
        <v>33</v>
      </c>
      <c r="F1401" s="18" t="s">
        <v>52</v>
      </c>
      <c r="G1401" s="18" t="s">
        <v>29</v>
      </c>
      <c r="H1401" s="64">
        <f>LEN(TRIM(Table22[[#This Row],[Country]]))</f>
        <v>5</v>
      </c>
      <c r="I1401" s="64">
        <f>LEN(TRIM(Table22[[#This Row],[Continent]]))</f>
        <v>4</v>
      </c>
      <c r="J1401" s="64">
        <f>LEN(TRIM(Table22[[#This Row],[Product]]))</f>
        <v>10</v>
      </c>
      <c r="K1401" s="64">
        <f>LEN(TRIM(Table22[[#This Row],[Sales Team]]))</f>
        <v>10</v>
      </c>
      <c r="L1401" s="23">
        <v>61</v>
      </c>
      <c r="M1401" s="65" t="str" cm="1">
        <f t="array" ref="M1401">_xlfn.IFS(Table22[[#This Row],[Units Sold]]&lt;40,"Critical",Table22[[#This Row],[Units Sold]]&lt;=50,"Poor",Table22[[#This Row],[Units Sold]]&lt;=60,"Low",Table22[[#This Row],[Units Sold]]&lt;=80,"Average",Table22[[#This Row],[Units Sold]]&lt;=90,"High",Table22[[#This Row],[Units Sold]]&lt;=95,"Excellent",Table22[[#This Row],[Units Sold]]&gt;95,"Outstanding")</f>
        <v>Average</v>
      </c>
      <c r="N1401" s="29">
        <v>254.61</v>
      </c>
      <c r="O1401" s="29">
        <v>15531.21</v>
      </c>
      <c r="P1401" s="43">
        <f>IF(Table22[[#This Row],[Discount Applied]],Table22[[#This Row],[Total Sales (in USD)]]*(1-Table22[[#This Row],[Discount Percentage (%)]]/100),Table22[[#This Row],[Total Sales (in USD)]])</f>
        <v>13672.124162999999</v>
      </c>
      <c r="Q1401" s="66">
        <f>SQRT(AVERAGE((Table22[[#This Row],[Net Sales (after discount) (in USD)]]-AVERAGE(Table22[Net Sales (after discount) (in USD)]))^2))</f>
        <v>22839.236400764537</v>
      </c>
      <c r="R1401" s="18" t="b">
        <v>1</v>
      </c>
      <c r="S1401" s="40">
        <v>11.97</v>
      </c>
      <c r="T1401" s="18" t="b">
        <v>1</v>
      </c>
      <c r="U1401" s="25">
        <v>45300</v>
      </c>
      <c r="V1401" s="63" t="str">
        <f>IF(MONTH(Table22[[#This Row],[Sales Date]])&lt;=3,"Q1",IF(MONTH(Table22[[#This Row],[Sales Date]])&lt;=6,"Q2",IF(MONTH(Table22[[#This Row],[Sales Date]])&lt;=9,"Q3","Q4")))</f>
        <v>Q1</v>
      </c>
      <c r="W1401" s="64">
        <f>YEAR(Table22[[#This Row],[Sales Date]])</f>
        <v>2024</v>
      </c>
      <c r="X1401" s="23">
        <v>38</v>
      </c>
      <c r="Y1401" s="18" t="s">
        <v>49</v>
      </c>
      <c r="Z1401" s="18" t="s">
        <v>24</v>
      </c>
      <c r="AA1401" s="19" t="s">
        <v>25</v>
      </c>
    </row>
    <row r="1402" spans="1:27" x14ac:dyDescent="0.25">
      <c r="A1402" s="17" t="s">
        <v>1109</v>
      </c>
      <c r="B1402" s="18" t="s">
        <v>62</v>
      </c>
      <c r="C1402" s="63" t="str" cm="1">
        <f t="array" ref="C1402">_xlfn.SWITCH(Table22[[#This Row],[Country]],"USA","North America","Canada","North America","Brazil","South America","China","Asia","Japan","Asia","India","Asia","France","Europe","Germany","Europe","UK","Europe","Australia","Oceania","South America")</f>
        <v>Oceania</v>
      </c>
      <c r="D1402" s="18" t="s">
        <v>21</v>
      </c>
      <c r="E1402" s="18" t="s">
        <v>33</v>
      </c>
      <c r="F1402" s="18" t="s">
        <v>52</v>
      </c>
      <c r="G1402" s="18" t="s">
        <v>40</v>
      </c>
      <c r="H1402" s="64">
        <f>LEN(TRIM(Table22[[#This Row],[Country]]))</f>
        <v>9</v>
      </c>
      <c r="I1402" s="64">
        <f>LEN(TRIM(Table22[[#This Row],[Continent]]))</f>
        <v>7</v>
      </c>
      <c r="J1402" s="64">
        <f>LEN(TRIM(Table22[[#This Row],[Product]]))</f>
        <v>10</v>
      </c>
      <c r="K1402" s="64">
        <f>LEN(TRIM(Table22[[#This Row],[Sales Team]]))</f>
        <v>10</v>
      </c>
      <c r="L1402" s="23">
        <v>18</v>
      </c>
      <c r="M1402" s="65" t="str" cm="1">
        <f t="array" ref="M1402">_xlfn.IFS(Table22[[#This Row],[Units Sold]]&lt;40,"Critical",Table22[[#This Row],[Units Sold]]&lt;=50,"Poor",Table22[[#This Row],[Units Sold]]&lt;=60,"Low",Table22[[#This Row],[Units Sold]]&lt;=80,"Average",Table22[[#This Row],[Units Sold]]&lt;=90,"High",Table22[[#This Row],[Units Sold]]&lt;=95,"Excellent",Table22[[#This Row],[Units Sold]]&gt;95,"Outstanding")</f>
        <v>Critical</v>
      </c>
      <c r="N1402" s="29">
        <v>862.25</v>
      </c>
      <c r="O1402" s="29">
        <v>15520.5</v>
      </c>
      <c r="P1402" s="43">
        <f>IF(Table22[[#This Row],[Discount Applied]],Table22[[#This Row],[Total Sales (in USD)]]*(1-Table22[[#This Row],[Discount Percentage (%)]]/100),Table22[[#This Row],[Total Sales (in USD)]])</f>
        <v>11112.678</v>
      </c>
      <c r="Q1402" s="66">
        <f>SQRT(AVERAGE((Table22[[#This Row],[Net Sales (after discount) (in USD)]]-AVERAGE(Table22[Net Sales (after discount) (in USD)]))^2))</f>
        <v>25398.682563764538</v>
      </c>
      <c r="R1402" s="18" t="b">
        <v>1</v>
      </c>
      <c r="S1402" s="40">
        <v>28.4</v>
      </c>
      <c r="T1402" s="18" t="b">
        <v>1</v>
      </c>
      <c r="U1402" s="25">
        <v>44973</v>
      </c>
      <c r="V1402" s="63" t="str">
        <f>IF(MONTH(Table22[[#This Row],[Sales Date]])&lt;=3,"Q1",IF(MONTH(Table22[[#This Row],[Sales Date]])&lt;=6,"Q2",IF(MONTH(Table22[[#This Row],[Sales Date]])&lt;=9,"Q3","Q4")))</f>
        <v>Q1</v>
      </c>
      <c r="W1402" s="64">
        <f>YEAR(Table22[[#This Row],[Sales Date]])</f>
        <v>2023</v>
      </c>
      <c r="X1402" s="23">
        <v>55</v>
      </c>
      <c r="Y1402" s="18" t="s">
        <v>49</v>
      </c>
      <c r="Z1402" s="18" t="s">
        <v>56</v>
      </c>
      <c r="AA1402" s="19" t="s">
        <v>36</v>
      </c>
    </row>
    <row r="1403" spans="1:27" x14ac:dyDescent="0.25">
      <c r="A1403" s="17" t="s">
        <v>1451</v>
      </c>
      <c r="B1403" s="18" t="s">
        <v>51</v>
      </c>
      <c r="C1403" s="63" t="str" cm="1">
        <f t="array" ref="C1403">_xlfn.SWITCH(Table22[[#This Row],[Country]],"USA","North America","Canada","North America","Brazil","South America","China","Asia","Japan","Asia","India","Asia","France","Europe","Germany","Europe","UK","Europe","Australia","Oceania","South America")</f>
        <v>Europe</v>
      </c>
      <c r="D1403" s="18" t="s">
        <v>21</v>
      </c>
      <c r="E1403" s="18" t="s">
        <v>33</v>
      </c>
      <c r="F1403" s="18" t="s">
        <v>64</v>
      </c>
      <c r="G1403" s="18" t="s">
        <v>29</v>
      </c>
      <c r="H1403" s="64">
        <f>LEN(TRIM(Table22[[#This Row],[Country]]))</f>
        <v>2</v>
      </c>
      <c r="I1403" s="64">
        <f>LEN(TRIM(Table22[[#This Row],[Continent]]))</f>
        <v>6</v>
      </c>
      <c r="J1403" s="64">
        <f>LEN(TRIM(Table22[[#This Row],[Product]]))</f>
        <v>10</v>
      </c>
      <c r="K1403" s="64">
        <f>LEN(TRIM(Table22[[#This Row],[Sales Team]]))</f>
        <v>10</v>
      </c>
      <c r="L1403" s="23">
        <v>22</v>
      </c>
      <c r="M1403" s="65" t="str" cm="1">
        <f t="array" ref="M1403">_xlfn.IFS(Table22[[#This Row],[Units Sold]]&lt;40,"Critical",Table22[[#This Row],[Units Sold]]&lt;=50,"Poor",Table22[[#This Row],[Units Sold]]&lt;=60,"Low",Table22[[#This Row],[Units Sold]]&lt;=80,"Average",Table22[[#This Row],[Units Sold]]&lt;=90,"High",Table22[[#This Row],[Units Sold]]&lt;=95,"Excellent",Table22[[#This Row],[Units Sold]]&gt;95,"Outstanding")</f>
        <v>Critical</v>
      </c>
      <c r="N1403" s="29">
        <v>704.56</v>
      </c>
      <c r="O1403" s="29">
        <v>15500.32</v>
      </c>
      <c r="P1403" s="43">
        <f>IF(Table22[[#This Row],[Discount Applied]],Table22[[#This Row],[Total Sales (in USD)]]*(1-Table22[[#This Row],[Discount Percentage (%)]]/100),Table22[[#This Row],[Total Sales (in USD)]])</f>
        <v>14094.440976</v>
      </c>
      <c r="Q1403" s="66">
        <f>SQRT(AVERAGE((Table22[[#This Row],[Net Sales (after discount) (in USD)]]-AVERAGE(Table22[Net Sales (after discount) (in USD)]))^2))</f>
        <v>22416.91958776454</v>
      </c>
      <c r="R1403" s="18" t="b">
        <v>1</v>
      </c>
      <c r="S1403" s="40">
        <v>9.07</v>
      </c>
      <c r="T1403" s="18" t="b">
        <v>1</v>
      </c>
      <c r="U1403" s="25">
        <v>45125</v>
      </c>
      <c r="V1403" s="63" t="str">
        <f>IF(MONTH(Table22[[#This Row],[Sales Date]])&lt;=3,"Q1",IF(MONTH(Table22[[#This Row],[Sales Date]])&lt;=6,"Q2",IF(MONTH(Table22[[#This Row],[Sales Date]])&lt;=9,"Q3","Q4")))</f>
        <v>Q3</v>
      </c>
      <c r="W1403" s="64">
        <f>YEAR(Table22[[#This Row],[Sales Date]])</f>
        <v>2023</v>
      </c>
      <c r="X1403" s="23">
        <v>46</v>
      </c>
      <c r="Y1403" s="18" t="s">
        <v>49</v>
      </c>
      <c r="Z1403" s="18" t="s">
        <v>56</v>
      </c>
      <c r="AA1403" s="19" t="s">
        <v>36</v>
      </c>
    </row>
    <row r="1404" spans="1:27" x14ac:dyDescent="0.25">
      <c r="A1404" s="17" t="s">
        <v>710</v>
      </c>
      <c r="B1404" s="18" t="s">
        <v>72</v>
      </c>
      <c r="C1404" s="63" t="str" cm="1">
        <f t="array" ref="C1404">_xlfn.SWITCH(Table22[[#This Row],[Country]],"USA","North America","Canada","North America","Brazil","South America","China","Asia","Japan","Asia","India","Asia","France","Europe","Germany","Europe","UK","Europe","Australia","Oceania","South America")</f>
        <v>North America</v>
      </c>
      <c r="D1404" s="18" t="s">
        <v>44</v>
      </c>
      <c r="E1404" s="18" t="s">
        <v>19</v>
      </c>
      <c r="F1404" s="18" t="s">
        <v>64</v>
      </c>
      <c r="G1404" s="18" t="s">
        <v>22</v>
      </c>
      <c r="H1404" s="64">
        <f>LEN(TRIM(Table22[[#This Row],[Country]]))</f>
        <v>3</v>
      </c>
      <c r="I1404" s="64">
        <f>LEN(TRIM(Table22[[#This Row],[Continent]]))</f>
        <v>13</v>
      </c>
      <c r="J1404" s="64">
        <f>LEN(TRIM(Table22[[#This Row],[Product]]))</f>
        <v>6</v>
      </c>
      <c r="K1404" s="64">
        <f>LEN(TRIM(Table22[[#This Row],[Sales Team]]))</f>
        <v>10</v>
      </c>
      <c r="L1404" s="23">
        <v>15</v>
      </c>
      <c r="M1404" s="65" t="str" cm="1">
        <f t="array" ref="M1404">_xlfn.IFS(Table22[[#This Row],[Units Sold]]&lt;40,"Critical",Table22[[#This Row],[Units Sold]]&lt;=50,"Poor",Table22[[#This Row],[Units Sold]]&lt;=60,"Low",Table22[[#This Row],[Units Sold]]&lt;=80,"Average",Table22[[#This Row],[Units Sold]]&lt;=90,"High",Table22[[#This Row],[Units Sold]]&lt;=95,"Excellent",Table22[[#This Row],[Units Sold]]&gt;95,"Outstanding")</f>
        <v>Critical</v>
      </c>
      <c r="N1404" s="29">
        <v>1031.8</v>
      </c>
      <c r="O1404" s="29">
        <v>15477</v>
      </c>
      <c r="P1404" s="43">
        <f>IF(Table22[[#This Row],[Discount Applied]],Table22[[#This Row],[Total Sales (in USD)]]*(1-Table22[[#This Row],[Discount Percentage (%)]]/100),Table22[[#This Row],[Total Sales (in USD)]])</f>
        <v>13502.134800000002</v>
      </c>
      <c r="Q1404" s="66">
        <f>SQRT(AVERAGE((Table22[[#This Row],[Net Sales (after discount) (in USD)]]-AVERAGE(Table22[Net Sales (after discount) (in USD)]))^2))</f>
        <v>23009.225763764538</v>
      </c>
      <c r="R1404" s="18" t="b">
        <v>0</v>
      </c>
      <c r="S1404" s="40">
        <v>12.76</v>
      </c>
      <c r="T1404" s="18" t="b">
        <v>1</v>
      </c>
      <c r="U1404" s="25">
        <v>45404</v>
      </c>
      <c r="V1404" s="63" t="str">
        <f>IF(MONTH(Table22[[#This Row],[Sales Date]])&lt;=3,"Q1",IF(MONTH(Table22[[#This Row],[Sales Date]])&lt;=6,"Q2",IF(MONTH(Table22[[#This Row],[Sales Date]])&lt;=9,"Q3","Q4")))</f>
        <v>Q2</v>
      </c>
      <c r="W1404" s="64">
        <f>YEAR(Table22[[#This Row],[Sales Date]])</f>
        <v>2024</v>
      </c>
      <c r="X1404" s="23">
        <v>26</v>
      </c>
      <c r="Y1404" s="18" t="s">
        <v>23</v>
      </c>
      <c r="Z1404" s="18" t="s">
        <v>30</v>
      </c>
      <c r="AA1404" s="19" t="s">
        <v>36</v>
      </c>
    </row>
    <row r="1405" spans="1:27" x14ac:dyDescent="0.25">
      <c r="A1405" s="17" t="s">
        <v>729</v>
      </c>
      <c r="B1405" s="18" t="s">
        <v>72</v>
      </c>
      <c r="C1405" s="63" t="str" cm="1">
        <f t="array" ref="C1405">_xlfn.SWITCH(Table22[[#This Row],[Country]],"USA","North America","Canada","North America","Brazil","South America","China","Asia","Japan","Asia","India","Asia","France","Europe","Germany","Europe","UK","Europe","Australia","Oceania","South America")</f>
        <v>North America</v>
      </c>
      <c r="D1405" s="18" t="s">
        <v>21</v>
      </c>
      <c r="E1405" s="18" t="s">
        <v>19</v>
      </c>
      <c r="F1405" s="18" t="s">
        <v>64</v>
      </c>
      <c r="G1405" s="18" t="s">
        <v>40</v>
      </c>
      <c r="H1405" s="64">
        <f>LEN(TRIM(Table22[[#This Row],[Country]]))</f>
        <v>3</v>
      </c>
      <c r="I1405" s="64">
        <f>LEN(TRIM(Table22[[#This Row],[Continent]]))</f>
        <v>13</v>
      </c>
      <c r="J1405" s="64">
        <f>LEN(TRIM(Table22[[#This Row],[Product]]))</f>
        <v>6</v>
      </c>
      <c r="K1405" s="64">
        <f>LEN(TRIM(Table22[[#This Row],[Sales Team]]))</f>
        <v>10</v>
      </c>
      <c r="L1405" s="23">
        <v>33</v>
      </c>
      <c r="M1405" s="65" t="str" cm="1">
        <f t="array" ref="M1405">_xlfn.IFS(Table22[[#This Row],[Units Sold]]&lt;40,"Critical",Table22[[#This Row],[Units Sold]]&lt;=50,"Poor",Table22[[#This Row],[Units Sold]]&lt;=60,"Low",Table22[[#This Row],[Units Sold]]&lt;=80,"Average",Table22[[#This Row],[Units Sold]]&lt;=90,"High",Table22[[#This Row],[Units Sold]]&lt;=95,"Excellent",Table22[[#This Row],[Units Sold]]&gt;95,"Outstanding")</f>
        <v>Critical</v>
      </c>
      <c r="N1405" s="29">
        <v>466.95</v>
      </c>
      <c r="O1405" s="29">
        <v>15409.35</v>
      </c>
      <c r="P1405" s="43">
        <f>IF(Table22[[#This Row],[Discount Applied]],Table22[[#This Row],[Total Sales (in USD)]]*(1-Table22[[#This Row],[Discount Percentage (%)]]/100),Table22[[#This Row],[Total Sales (in USD)]])</f>
        <v>10798.87248</v>
      </c>
      <c r="Q1405" s="66">
        <f>SQRT(AVERAGE((Table22[[#This Row],[Net Sales (after discount) (in USD)]]-AVERAGE(Table22[Net Sales (after discount) (in USD)]))^2))</f>
        <v>25712.48808376454</v>
      </c>
      <c r="R1405" s="18" t="b">
        <v>0</v>
      </c>
      <c r="S1405" s="40">
        <v>29.92</v>
      </c>
      <c r="T1405" s="18" t="b">
        <v>1</v>
      </c>
      <c r="U1405" s="25">
        <v>45090</v>
      </c>
      <c r="V1405" s="63" t="str">
        <f>IF(MONTH(Table22[[#This Row],[Sales Date]])&lt;=3,"Q1",IF(MONTH(Table22[[#This Row],[Sales Date]])&lt;=6,"Q2",IF(MONTH(Table22[[#This Row],[Sales Date]])&lt;=9,"Q3","Q4")))</f>
        <v>Q2</v>
      </c>
      <c r="W1405" s="64">
        <f>YEAR(Table22[[#This Row],[Sales Date]])</f>
        <v>2023</v>
      </c>
      <c r="X1405" s="23">
        <v>36</v>
      </c>
      <c r="Y1405" s="18" t="s">
        <v>49</v>
      </c>
      <c r="Z1405" s="18" t="s">
        <v>24</v>
      </c>
      <c r="AA1405" s="19" t="s">
        <v>25</v>
      </c>
    </row>
    <row r="1406" spans="1:27" x14ac:dyDescent="0.25">
      <c r="A1406" s="17" t="s">
        <v>1011</v>
      </c>
      <c r="B1406" s="18" t="s">
        <v>62</v>
      </c>
      <c r="C1406" s="63" t="str" cm="1">
        <f t="array" ref="C1406">_xlfn.SWITCH(Table22[[#This Row],[Country]],"USA","North America","Canada","North America","Brazil","South America","China","Asia","Japan","Asia","India","Asia","France","Europe","Germany","Europe","UK","Europe","Australia","Oceania","South America")</f>
        <v>Oceania</v>
      </c>
      <c r="D1406" s="18" t="s">
        <v>44</v>
      </c>
      <c r="E1406" s="18" t="s">
        <v>33</v>
      </c>
      <c r="F1406" s="18" t="s">
        <v>20</v>
      </c>
      <c r="G1406" s="18" t="s">
        <v>40</v>
      </c>
      <c r="H1406" s="64">
        <f>LEN(TRIM(Table22[[#This Row],[Country]]))</f>
        <v>9</v>
      </c>
      <c r="I1406" s="64">
        <f>LEN(TRIM(Table22[[#This Row],[Continent]]))</f>
        <v>7</v>
      </c>
      <c r="J1406" s="64">
        <f>LEN(TRIM(Table22[[#This Row],[Product]]))</f>
        <v>10</v>
      </c>
      <c r="K1406" s="64">
        <f>LEN(TRIM(Table22[[#This Row],[Sales Team]]))</f>
        <v>10</v>
      </c>
      <c r="L1406" s="23">
        <v>73</v>
      </c>
      <c r="M1406" s="65" t="str" cm="1">
        <f t="array" ref="M1406">_xlfn.IFS(Table22[[#This Row],[Units Sold]]&lt;40,"Critical",Table22[[#This Row],[Units Sold]]&lt;=50,"Poor",Table22[[#This Row],[Units Sold]]&lt;=60,"Low",Table22[[#This Row],[Units Sold]]&lt;=80,"Average",Table22[[#This Row],[Units Sold]]&lt;=90,"High",Table22[[#This Row],[Units Sold]]&lt;=95,"Excellent",Table22[[#This Row],[Units Sold]]&gt;95,"Outstanding")</f>
        <v>Average</v>
      </c>
      <c r="N1406" s="29">
        <v>211.04</v>
      </c>
      <c r="O1406" s="29">
        <v>15405.92</v>
      </c>
      <c r="P1406" s="43">
        <f>IF(Table22[[#This Row],[Discount Applied]],Table22[[#This Row],[Total Sales (in USD)]]*(1-Table22[[#This Row],[Discount Percentage (%)]]/100),Table22[[#This Row],[Total Sales (in USD)]])</f>
        <v>13429.340464000001</v>
      </c>
      <c r="Q1406" s="66">
        <f>SQRT(AVERAGE((Table22[[#This Row],[Net Sales (after discount) (in USD)]]-AVERAGE(Table22[Net Sales (after discount) (in USD)]))^2))</f>
        <v>23082.020099764537</v>
      </c>
      <c r="R1406" s="18" t="b">
        <v>0</v>
      </c>
      <c r="S1406" s="40">
        <v>12.83</v>
      </c>
      <c r="T1406" s="18" t="b">
        <v>1</v>
      </c>
      <c r="U1406" s="25">
        <v>44967</v>
      </c>
      <c r="V1406" s="63" t="str">
        <f>IF(MONTH(Table22[[#This Row],[Sales Date]])&lt;=3,"Q1",IF(MONTH(Table22[[#This Row],[Sales Date]])&lt;=6,"Q2",IF(MONTH(Table22[[#This Row],[Sales Date]])&lt;=9,"Q3","Q4")))</f>
        <v>Q1</v>
      </c>
      <c r="W1406" s="64">
        <f>YEAR(Table22[[#This Row],[Sales Date]])</f>
        <v>2023</v>
      </c>
      <c r="X1406" s="23">
        <v>54</v>
      </c>
      <c r="Y1406" s="18" t="s">
        <v>23</v>
      </c>
      <c r="Z1406" s="18" t="s">
        <v>56</v>
      </c>
      <c r="AA1406" s="19" t="s">
        <v>36</v>
      </c>
    </row>
    <row r="1407" spans="1:27" x14ac:dyDescent="0.25">
      <c r="A1407" s="17" t="s">
        <v>1929</v>
      </c>
      <c r="B1407" s="18" t="s">
        <v>72</v>
      </c>
      <c r="C1407" s="63" t="str" cm="1">
        <f t="array" ref="C1407">_xlfn.SWITCH(Table22[[#This Row],[Country]],"USA","North America","Canada","North America","Brazil","South America","China","Asia","Japan","Asia","India","Asia","France","Europe","Germany","Europe","UK","Europe","Australia","Oceania","South America")</f>
        <v>North America</v>
      </c>
      <c r="D1407" s="18" t="s">
        <v>28</v>
      </c>
      <c r="E1407" s="18" t="s">
        <v>19</v>
      </c>
      <c r="F1407" s="18" t="s">
        <v>20</v>
      </c>
      <c r="G1407" s="18" t="s">
        <v>40</v>
      </c>
      <c r="H1407" s="64">
        <f>LEN(TRIM(Table22[[#This Row],[Country]]))</f>
        <v>3</v>
      </c>
      <c r="I1407" s="64">
        <f>LEN(TRIM(Table22[[#This Row],[Continent]]))</f>
        <v>13</v>
      </c>
      <c r="J1407" s="64">
        <f>LEN(TRIM(Table22[[#This Row],[Product]]))</f>
        <v>6</v>
      </c>
      <c r="K1407" s="64">
        <f>LEN(TRIM(Table22[[#This Row],[Sales Team]]))</f>
        <v>10</v>
      </c>
      <c r="L1407" s="23">
        <v>44</v>
      </c>
      <c r="M1407" s="65" t="str" cm="1">
        <f t="array" ref="M1407">_xlfn.IFS(Table22[[#This Row],[Units Sold]]&lt;40,"Critical",Table22[[#This Row],[Units Sold]]&lt;=50,"Poor",Table22[[#This Row],[Units Sold]]&lt;=60,"Low",Table22[[#This Row],[Units Sold]]&lt;=80,"Average",Table22[[#This Row],[Units Sold]]&lt;=90,"High",Table22[[#This Row],[Units Sold]]&lt;=95,"Excellent",Table22[[#This Row],[Units Sold]]&gt;95,"Outstanding")</f>
        <v>Poor</v>
      </c>
      <c r="N1407" s="29">
        <v>350.03</v>
      </c>
      <c r="O1407" s="29">
        <v>15401.32</v>
      </c>
      <c r="P1407" s="43">
        <f>IF(Table22[[#This Row],[Discount Applied]],Table22[[#This Row],[Total Sales (in USD)]]*(1-Table22[[#This Row],[Discount Percentage (%)]]/100),Table22[[#This Row],[Total Sales (in USD)]])</f>
        <v>13006.41474</v>
      </c>
      <c r="Q1407" s="66">
        <f>SQRT(AVERAGE((Table22[[#This Row],[Net Sales (after discount) (in USD)]]-AVERAGE(Table22[Net Sales (after discount) (in USD)]))^2))</f>
        <v>23504.945823764538</v>
      </c>
      <c r="R1407" s="18" t="b">
        <v>1</v>
      </c>
      <c r="S1407" s="40">
        <v>15.55</v>
      </c>
      <c r="T1407" s="18" t="b">
        <v>1</v>
      </c>
      <c r="U1407" s="25">
        <v>45133</v>
      </c>
      <c r="V1407" s="63" t="str">
        <f>IF(MONTH(Table22[[#This Row],[Sales Date]])&lt;=3,"Q1",IF(MONTH(Table22[[#This Row],[Sales Date]])&lt;=6,"Q2",IF(MONTH(Table22[[#This Row],[Sales Date]])&lt;=9,"Q3","Q4")))</f>
        <v>Q3</v>
      </c>
      <c r="W1407" s="64">
        <f>YEAR(Table22[[#This Row],[Sales Date]])</f>
        <v>2023</v>
      </c>
      <c r="X1407" s="23">
        <v>22</v>
      </c>
      <c r="Y1407" s="18" t="s">
        <v>49</v>
      </c>
      <c r="Z1407" s="18" t="s">
        <v>30</v>
      </c>
      <c r="AA1407" s="19" t="s">
        <v>25</v>
      </c>
    </row>
    <row r="1408" spans="1:27" x14ac:dyDescent="0.25">
      <c r="A1408" s="17" t="s">
        <v>1763</v>
      </c>
      <c r="B1408" s="18" t="s">
        <v>62</v>
      </c>
      <c r="C1408" s="63" t="str" cm="1">
        <f t="array" ref="C1408">_xlfn.SWITCH(Table22[[#This Row],[Country]],"USA","North America","Canada","North America","Brazil","South America","China","Asia","Japan","Asia","India","Asia","France","Europe","Germany","Europe","UK","Europe","Australia","Oceania","South America")</f>
        <v>Oceania</v>
      </c>
      <c r="D1408" s="18" t="s">
        <v>35</v>
      </c>
      <c r="E1408" s="18" t="s">
        <v>33</v>
      </c>
      <c r="F1408" s="18" t="s">
        <v>47</v>
      </c>
      <c r="G1408" s="18" t="s">
        <v>40</v>
      </c>
      <c r="H1408" s="64">
        <f>LEN(TRIM(Table22[[#This Row],[Country]]))</f>
        <v>9</v>
      </c>
      <c r="I1408" s="64">
        <f>LEN(TRIM(Table22[[#This Row],[Continent]]))</f>
        <v>7</v>
      </c>
      <c r="J1408" s="64">
        <f>LEN(TRIM(Table22[[#This Row],[Product]]))</f>
        <v>10</v>
      </c>
      <c r="K1408" s="64">
        <f>LEN(TRIM(Table22[[#This Row],[Sales Team]]))</f>
        <v>10</v>
      </c>
      <c r="L1408" s="23">
        <v>27</v>
      </c>
      <c r="M1408" s="65" t="str" cm="1">
        <f t="array" ref="M1408">_xlfn.IFS(Table22[[#This Row],[Units Sold]]&lt;40,"Critical",Table22[[#This Row],[Units Sold]]&lt;=50,"Poor",Table22[[#This Row],[Units Sold]]&lt;=60,"Low",Table22[[#This Row],[Units Sold]]&lt;=80,"Average",Table22[[#This Row],[Units Sold]]&lt;=90,"High",Table22[[#This Row],[Units Sold]]&lt;=95,"Excellent",Table22[[#This Row],[Units Sold]]&gt;95,"Outstanding")</f>
        <v>Critical</v>
      </c>
      <c r="N1408" s="29">
        <v>568.35</v>
      </c>
      <c r="O1408" s="29">
        <v>15345.45</v>
      </c>
      <c r="P1408" s="43">
        <f>IF(Table22[[#This Row],[Discount Applied]],Table22[[#This Row],[Total Sales (in USD)]]*(1-Table22[[#This Row],[Discount Percentage (%)]]/100),Table22[[#This Row],[Total Sales (in USD)]])</f>
        <v>14536.744785000001</v>
      </c>
      <c r="Q1408" s="66">
        <f>SQRT(AVERAGE((Table22[[#This Row],[Net Sales (after discount) (in USD)]]-AVERAGE(Table22[Net Sales (after discount) (in USD)]))^2))</f>
        <v>21974.615778764535</v>
      </c>
      <c r="R1408" s="18" t="b">
        <v>1</v>
      </c>
      <c r="S1408" s="40">
        <v>5.27</v>
      </c>
      <c r="T1408" s="18" t="b">
        <v>1</v>
      </c>
      <c r="U1408" s="25">
        <v>45198</v>
      </c>
      <c r="V1408" s="63" t="str">
        <f>IF(MONTH(Table22[[#This Row],[Sales Date]])&lt;=3,"Q1",IF(MONTH(Table22[[#This Row],[Sales Date]])&lt;=6,"Q2",IF(MONTH(Table22[[#This Row],[Sales Date]])&lt;=9,"Q3","Q4")))</f>
        <v>Q3</v>
      </c>
      <c r="W1408" s="64">
        <f>YEAR(Table22[[#This Row],[Sales Date]])</f>
        <v>2023</v>
      </c>
      <c r="X1408" s="23">
        <v>62</v>
      </c>
      <c r="Y1408" s="18" t="s">
        <v>49</v>
      </c>
      <c r="Z1408" s="18" t="s">
        <v>42</v>
      </c>
      <c r="AA1408" s="19" t="s">
        <v>36</v>
      </c>
    </row>
    <row r="1409" spans="1:27" x14ac:dyDescent="0.25">
      <c r="A1409" s="17" t="s">
        <v>786</v>
      </c>
      <c r="B1409" s="18" t="s">
        <v>18</v>
      </c>
      <c r="C1409" s="63" t="str" cm="1">
        <f t="array" ref="C1409">_xlfn.SWITCH(Table22[[#This Row],[Country]],"USA","North America","Canada","North America","Brazil","South America","China","Asia","Japan","Asia","India","Asia","France","Europe","Germany","Europe","UK","Europe","Australia","Oceania","South America")</f>
        <v>Asia</v>
      </c>
      <c r="D1409" s="18" t="s">
        <v>44</v>
      </c>
      <c r="E1409" s="18" t="s">
        <v>39</v>
      </c>
      <c r="F1409" s="18" t="s">
        <v>34</v>
      </c>
      <c r="G1409" s="18" t="s">
        <v>29</v>
      </c>
      <c r="H1409" s="64">
        <f>LEN(TRIM(Table22[[#This Row],[Country]]))</f>
        <v>5</v>
      </c>
      <c r="I1409" s="64">
        <f>LEN(TRIM(Table22[[#This Row],[Continent]]))</f>
        <v>4</v>
      </c>
      <c r="J1409" s="64">
        <f>LEN(TRIM(Table22[[#This Row],[Product]]))</f>
        <v>10</v>
      </c>
      <c r="K1409" s="64">
        <f>LEN(TRIM(Table22[[#This Row],[Sales Team]]))</f>
        <v>10</v>
      </c>
      <c r="L1409" s="23">
        <v>27</v>
      </c>
      <c r="M1409" s="65" t="str" cm="1">
        <f t="array" ref="M1409">_xlfn.IFS(Table22[[#This Row],[Units Sold]]&lt;40,"Critical",Table22[[#This Row],[Units Sold]]&lt;=50,"Poor",Table22[[#This Row],[Units Sold]]&lt;=60,"Low",Table22[[#This Row],[Units Sold]]&lt;=80,"Average",Table22[[#This Row],[Units Sold]]&lt;=90,"High",Table22[[#This Row],[Units Sold]]&lt;=95,"Excellent",Table22[[#This Row],[Units Sold]]&gt;95,"Outstanding")</f>
        <v>Critical</v>
      </c>
      <c r="N1409" s="29">
        <v>568.33000000000004</v>
      </c>
      <c r="O1409" s="29">
        <v>15344.91</v>
      </c>
      <c r="P1409" s="43">
        <f>IF(Table22[[#This Row],[Discount Applied]],Table22[[#This Row],[Total Sales (in USD)]]*(1-Table22[[#This Row],[Discount Percentage (%)]]/100),Table22[[#This Row],[Total Sales (in USD)]])</f>
        <v>15344.91</v>
      </c>
      <c r="Q1409" s="66">
        <f>SQRT(AVERAGE((Table22[[#This Row],[Net Sales (after discount) (in USD)]]-AVERAGE(Table22[Net Sales (after discount) (in USD)]))^2))</f>
        <v>21166.450563764538</v>
      </c>
      <c r="R1409" s="18" t="b">
        <v>0</v>
      </c>
      <c r="S1409" s="40">
        <v>11.76</v>
      </c>
      <c r="T1409" s="18" t="b">
        <v>0</v>
      </c>
      <c r="U1409" s="25">
        <v>45564</v>
      </c>
      <c r="V1409" s="63" t="str">
        <f>IF(MONTH(Table22[[#This Row],[Sales Date]])&lt;=3,"Q1",IF(MONTH(Table22[[#This Row],[Sales Date]])&lt;=6,"Q2",IF(MONTH(Table22[[#This Row],[Sales Date]])&lt;=9,"Q3","Q4")))</f>
        <v>Q3</v>
      </c>
      <c r="W1409" s="64">
        <f>YEAR(Table22[[#This Row],[Sales Date]])</f>
        <v>2024</v>
      </c>
      <c r="X1409" s="23">
        <v>43</v>
      </c>
      <c r="Y1409" s="18" t="s">
        <v>49</v>
      </c>
      <c r="Z1409" s="18" t="s">
        <v>56</v>
      </c>
      <c r="AA1409" s="19" t="s">
        <v>36</v>
      </c>
    </row>
    <row r="1410" spans="1:27" x14ac:dyDescent="0.25">
      <c r="A1410" s="17" t="s">
        <v>964</v>
      </c>
      <c r="B1410" s="18" t="s">
        <v>62</v>
      </c>
      <c r="C1410" s="63" t="str" cm="1">
        <f t="array" ref="C1410">_xlfn.SWITCH(Table22[[#This Row],[Country]],"USA","North America","Canada","North America","Brazil","South America","China","Asia","Japan","Asia","India","Asia","France","Europe","Germany","Europe","UK","Europe","Australia","Oceania","South America")</f>
        <v>Oceania</v>
      </c>
      <c r="D1410" s="18" t="s">
        <v>21</v>
      </c>
      <c r="E1410" s="18" t="s">
        <v>19</v>
      </c>
      <c r="F1410" s="18" t="s">
        <v>20</v>
      </c>
      <c r="G1410" s="18" t="s">
        <v>48</v>
      </c>
      <c r="H1410" s="64">
        <f>LEN(TRIM(Table22[[#This Row],[Country]]))</f>
        <v>9</v>
      </c>
      <c r="I1410" s="64">
        <f>LEN(TRIM(Table22[[#This Row],[Continent]]))</f>
        <v>7</v>
      </c>
      <c r="J1410" s="64">
        <f>LEN(TRIM(Table22[[#This Row],[Product]]))</f>
        <v>6</v>
      </c>
      <c r="K1410" s="64">
        <f>LEN(TRIM(Table22[[#This Row],[Sales Team]]))</f>
        <v>9</v>
      </c>
      <c r="L1410" s="23">
        <v>23</v>
      </c>
      <c r="M1410" s="65" t="str" cm="1">
        <f t="array" ref="M1410">_xlfn.IFS(Table22[[#This Row],[Units Sold]]&lt;40,"Critical",Table22[[#This Row],[Units Sold]]&lt;=50,"Poor",Table22[[#This Row],[Units Sold]]&lt;=60,"Low",Table22[[#This Row],[Units Sold]]&lt;=80,"Average",Table22[[#This Row],[Units Sold]]&lt;=90,"High",Table22[[#This Row],[Units Sold]]&lt;=95,"Excellent",Table22[[#This Row],[Units Sold]]&gt;95,"Outstanding")</f>
        <v>Critical</v>
      </c>
      <c r="N1410" s="29">
        <v>665.78</v>
      </c>
      <c r="O1410" s="29">
        <v>15312.94</v>
      </c>
      <c r="P1410" s="43">
        <f>IF(Table22[[#This Row],[Discount Applied]],Table22[[#This Row],[Total Sales (in USD)]]*(1-Table22[[#This Row],[Discount Percentage (%)]]/100),Table22[[#This Row],[Total Sales (in USD)]])</f>
        <v>15312.94</v>
      </c>
      <c r="Q1410" s="66">
        <f>SQRT(AVERAGE((Table22[[#This Row],[Net Sales (after discount) (in USD)]]-AVERAGE(Table22[Net Sales (after discount) (in USD)]))^2))</f>
        <v>21198.420563764535</v>
      </c>
      <c r="R1410" s="18" t="b">
        <v>0</v>
      </c>
      <c r="S1410" s="40">
        <v>15.92</v>
      </c>
      <c r="T1410" s="18" t="b">
        <v>0</v>
      </c>
      <c r="U1410" s="25">
        <v>45529</v>
      </c>
      <c r="V1410" s="63" t="str">
        <f>IF(MONTH(Table22[[#This Row],[Sales Date]])&lt;=3,"Q1",IF(MONTH(Table22[[#This Row],[Sales Date]])&lt;=6,"Q2",IF(MONTH(Table22[[#This Row],[Sales Date]])&lt;=9,"Q3","Q4")))</f>
        <v>Q3</v>
      </c>
      <c r="W1410" s="64">
        <f>YEAR(Table22[[#This Row],[Sales Date]])</f>
        <v>2024</v>
      </c>
      <c r="X1410" s="23">
        <v>30</v>
      </c>
      <c r="Y1410" s="18" t="s">
        <v>49</v>
      </c>
      <c r="Z1410" s="18" t="s">
        <v>56</v>
      </c>
      <c r="AA1410" s="19" t="s">
        <v>36</v>
      </c>
    </row>
    <row r="1411" spans="1:27" x14ac:dyDescent="0.25">
      <c r="A1411" s="17" t="s">
        <v>183</v>
      </c>
      <c r="B1411" s="18" t="s">
        <v>18</v>
      </c>
      <c r="C1411" s="63" t="str" cm="1">
        <f t="array" ref="C1411">_xlfn.SWITCH(Table22[[#This Row],[Country]],"USA","North America","Canada","North America","Brazil","South America","China","Asia","Japan","Asia","India","Asia","France","Europe","Germany","Europe","UK","Europe","Australia","Oceania","South America")</f>
        <v>Asia</v>
      </c>
      <c r="D1411" s="18" t="s">
        <v>28</v>
      </c>
      <c r="E1411" s="18" t="s">
        <v>19</v>
      </c>
      <c r="F1411" s="18" t="s">
        <v>64</v>
      </c>
      <c r="G1411" s="18" t="s">
        <v>29</v>
      </c>
      <c r="H1411" s="64">
        <f>LEN(TRIM(Table22[[#This Row],[Country]]))</f>
        <v>5</v>
      </c>
      <c r="I1411" s="64">
        <f>LEN(TRIM(Table22[[#This Row],[Continent]]))</f>
        <v>4</v>
      </c>
      <c r="J1411" s="64">
        <f>LEN(TRIM(Table22[[#This Row],[Product]]))</f>
        <v>6</v>
      </c>
      <c r="K1411" s="64">
        <f>LEN(TRIM(Table22[[#This Row],[Sales Team]]))</f>
        <v>10</v>
      </c>
      <c r="L1411" s="23">
        <v>15</v>
      </c>
      <c r="M1411" s="65" t="str" cm="1">
        <f t="array" ref="M1411">_xlfn.IFS(Table22[[#This Row],[Units Sold]]&lt;40,"Critical",Table22[[#This Row],[Units Sold]]&lt;=50,"Poor",Table22[[#This Row],[Units Sold]]&lt;=60,"Low",Table22[[#This Row],[Units Sold]]&lt;=80,"Average",Table22[[#This Row],[Units Sold]]&lt;=90,"High",Table22[[#This Row],[Units Sold]]&lt;=95,"Excellent",Table22[[#This Row],[Units Sold]]&gt;95,"Outstanding")</f>
        <v>Critical</v>
      </c>
      <c r="N1411" s="29">
        <v>1012.08</v>
      </c>
      <c r="O1411" s="29">
        <v>15181.2</v>
      </c>
      <c r="P1411" s="43">
        <f>IF(Table22[[#This Row],[Discount Applied]],Table22[[#This Row],[Total Sales (in USD)]]*(1-Table22[[#This Row],[Discount Percentage (%)]]/100),Table22[[#This Row],[Total Sales (in USD)]])</f>
        <v>12961.708560000001</v>
      </c>
      <c r="Q1411" s="66">
        <f>SQRT(AVERAGE((Table22[[#This Row],[Net Sales (after discount) (in USD)]]-AVERAGE(Table22[Net Sales (after discount) (in USD)]))^2))</f>
        <v>23549.652003764539</v>
      </c>
      <c r="R1411" s="18" t="b">
        <v>1</v>
      </c>
      <c r="S1411" s="40">
        <v>14.62</v>
      </c>
      <c r="T1411" s="18" t="b">
        <v>1</v>
      </c>
      <c r="U1411" s="25">
        <v>45230</v>
      </c>
      <c r="V1411" s="63" t="str">
        <f>IF(MONTH(Table22[[#This Row],[Sales Date]])&lt;=3,"Q1",IF(MONTH(Table22[[#This Row],[Sales Date]])&lt;=6,"Q2",IF(MONTH(Table22[[#This Row],[Sales Date]])&lt;=9,"Q3","Q4")))</f>
        <v>Q4</v>
      </c>
      <c r="W1411" s="64">
        <f>YEAR(Table22[[#This Row],[Sales Date]])</f>
        <v>2023</v>
      </c>
      <c r="X1411" s="23">
        <v>21</v>
      </c>
      <c r="Y1411" s="18" t="s">
        <v>23</v>
      </c>
      <c r="Z1411" s="18" t="s">
        <v>56</v>
      </c>
      <c r="AA1411" s="19" t="s">
        <v>36</v>
      </c>
    </row>
    <row r="1412" spans="1:27" x14ac:dyDescent="0.25">
      <c r="A1412" s="17" t="s">
        <v>665</v>
      </c>
      <c r="B1412" s="18" t="s">
        <v>27</v>
      </c>
      <c r="C1412" s="63" t="str" cm="1">
        <f t="array" ref="C1412">_xlfn.SWITCH(Table22[[#This Row],[Country]],"USA","North America","Canada","North America","Brazil","South America","China","Asia","Japan","Asia","India","Asia","France","Europe","Germany","Europe","UK","Europe","Australia","Oceania","South America")</f>
        <v>Europe</v>
      </c>
      <c r="D1412" s="18" t="s">
        <v>44</v>
      </c>
      <c r="E1412" s="18" t="s">
        <v>33</v>
      </c>
      <c r="F1412" s="18" t="s">
        <v>52</v>
      </c>
      <c r="G1412" s="18" t="s">
        <v>22</v>
      </c>
      <c r="H1412" s="64">
        <f>LEN(TRIM(Table22[[#This Row],[Country]]))</f>
        <v>7</v>
      </c>
      <c r="I1412" s="64">
        <f>LEN(TRIM(Table22[[#This Row],[Continent]]))</f>
        <v>6</v>
      </c>
      <c r="J1412" s="64">
        <f>LEN(TRIM(Table22[[#This Row],[Product]]))</f>
        <v>10</v>
      </c>
      <c r="K1412" s="64">
        <f>LEN(TRIM(Table22[[#This Row],[Sales Team]]))</f>
        <v>10</v>
      </c>
      <c r="L1412" s="23">
        <v>14</v>
      </c>
      <c r="M1412" s="65" t="str" cm="1">
        <f t="array" ref="M1412">_xlfn.IFS(Table22[[#This Row],[Units Sold]]&lt;40,"Critical",Table22[[#This Row],[Units Sold]]&lt;=50,"Poor",Table22[[#This Row],[Units Sold]]&lt;=60,"Low",Table22[[#This Row],[Units Sold]]&lt;=80,"Average",Table22[[#This Row],[Units Sold]]&lt;=90,"High",Table22[[#This Row],[Units Sold]]&lt;=95,"Excellent",Table22[[#This Row],[Units Sold]]&gt;95,"Outstanding")</f>
        <v>Critical</v>
      </c>
      <c r="N1412" s="29">
        <v>1083.49</v>
      </c>
      <c r="O1412" s="29">
        <v>15168.86</v>
      </c>
      <c r="P1412" s="43">
        <f>IF(Table22[[#This Row],[Discount Applied]],Table22[[#This Row],[Total Sales (in USD)]]*(1-Table22[[#This Row],[Discount Percentage (%)]]/100),Table22[[#This Row],[Total Sales (in USD)]])</f>
        <v>15168.86</v>
      </c>
      <c r="Q1412" s="66">
        <f>SQRT(AVERAGE((Table22[[#This Row],[Net Sales (after discount) (in USD)]]-AVERAGE(Table22[Net Sales (after discount) (in USD)]))^2))</f>
        <v>21342.500563764537</v>
      </c>
      <c r="R1412" s="18" t="b">
        <v>0</v>
      </c>
      <c r="S1412" s="40">
        <v>5.0599999999999996</v>
      </c>
      <c r="T1412" s="18" t="b">
        <v>0</v>
      </c>
      <c r="U1412" s="25">
        <v>45540</v>
      </c>
      <c r="V1412" s="63" t="str">
        <f>IF(MONTH(Table22[[#This Row],[Sales Date]])&lt;=3,"Q1",IF(MONTH(Table22[[#This Row],[Sales Date]])&lt;=6,"Q2",IF(MONTH(Table22[[#This Row],[Sales Date]])&lt;=9,"Q3","Q4")))</f>
        <v>Q3</v>
      </c>
      <c r="W1412" s="64">
        <f>YEAR(Table22[[#This Row],[Sales Date]])</f>
        <v>2024</v>
      </c>
      <c r="X1412" s="23">
        <v>26</v>
      </c>
      <c r="Y1412" s="18" t="s">
        <v>41</v>
      </c>
      <c r="Z1412" s="18" t="s">
        <v>24</v>
      </c>
      <c r="AA1412" s="19" t="s">
        <v>36</v>
      </c>
    </row>
    <row r="1413" spans="1:27" x14ac:dyDescent="0.25">
      <c r="A1413" s="17" t="s">
        <v>1248</v>
      </c>
      <c r="B1413" s="18" t="s">
        <v>62</v>
      </c>
      <c r="C1413" s="63" t="str" cm="1">
        <f t="array" ref="C1413">_xlfn.SWITCH(Table22[[#This Row],[Country]],"USA","North America","Canada","North America","Brazil","South America","China","Asia","Japan","Asia","India","Asia","France","Europe","Germany","Europe","UK","Europe","Australia","Oceania","South America")</f>
        <v>Oceania</v>
      </c>
      <c r="D1413" s="18" t="s">
        <v>44</v>
      </c>
      <c r="E1413" s="18" t="s">
        <v>33</v>
      </c>
      <c r="F1413" s="18" t="s">
        <v>64</v>
      </c>
      <c r="G1413" s="18" t="s">
        <v>22</v>
      </c>
      <c r="H1413" s="64">
        <f>LEN(TRIM(Table22[[#This Row],[Country]]))</f>
        <v>9</v>
      </c>
      <c r="I1413" s="64">
        <f>LEN(TRIM(Table22[[#This Row],[Continent]]))</f>
        <v>7</v>
      </c>
      <c r="J1413" s="64">
        <f>LEN(TRIM(Table22[[#This Row],[Product]]))</f>
        <v>10</v>
      </c>
      <c r="K1413" s="64">
        <f>LEN(TRIM(Table22[[#This Row],[Sales Team]]))</f>
        <v>10</v>
      </c>
      <c r="L1413" s="23">
        <v>11</v>
      </c>
      <c r="M1413" s="65" t="str" cm="1">
        <f t="array" ref="M1413">_xlfn.IFS(Table22[[#This Row],[Units Sold]]&lt;40,"Critical",Table22[[#This Row],[Units Sold]]&lt;=50,"Poor",Table22[[#This Row],[Units Sold]]&lt;=60,"Low",Table22[[#This Row],[Units Sold]]&lt;=80,"Average",Table22[[#This Row],[Units Sold]]&lt;=90,"High",Table22[[#This Row],[Units Sold]]&lt;=95,"Excellent",Table22[[#This Row],[Units Sold]]&gt;95,"Outstanding")</f>
        <v>Critical</v>
      </c>
      <c r="N1413" s="29">
        <v>1375.96</v>
      </c>
      <c r="O1413" s="29">
        <v>15135.56</v>
      </c>
      <c r="P1413" s="43">
        <f>IF(Table22[[#This Row],[Discount Applied]],Table22[[#This Row],[Total Sales (in USD)]]*(1-Table22[[#This Row],[Discount Percentage (%)]]/100),Table22[[#This Row],[Total Sales (in USD)]])</f>
        <v>10712.949368</v>
      </c>
      <c r="Q1413" s="66">
        <f>SQRT(AVERAGE((Table22[[#This Row],[Net Sales (after discount) (in USD)]]-AVERAGE(Table22[Net Sales (after discount) (in USD)]))^2))</f>
        <v>25798.411195764536</v>
      </c>
      <c r="R1413" s="18" t="b">
        <v>0</v>
      </c>
      <c r="S1413" s="40">
        <v>29.22</v>
      </c>
      <c r="T1413" s="18" t="b">
        <v>1</v>
      </c>
      <c r="U1413" s="25">
        <v>45118</v>
      </c>
      <c r="V1413" s="63" t="str">
        <f>IF(MONTH(Table22[[#This Row],[Sales Date]])&lt;=3,"Q1",IF(MONTH(Table22[[#This Row],[Sales Date]])&lt;=6,"Q2",IF(MONTH(Table22[[#This Row],[Sales Date]])&lt;=9,"Q3","Q4")))</f>
        <v>Q3</v>
      </c>
      <c r="W1413" s="64">
        <f>YEAR(Table22[[#This Row],[Sales Date]])</f>
        <v>2023</v>
      </c>
      <c r="X1413" s="23">
        <v>35</v>
      </c>
      <c r="Y1413" s="18" t="s">
        <v>23</v>
      </c>
      <c r="Z1413" s="18" t="s">
        <v>56</v>
      </c>
      <c r="AA1413" s="19" t="s">
        <v>25</v>
      </c>
    </row>
    <row r="1414" spans="1:27" x14ac:dyDescent="0.25">
      <c r="A1414" s="17" t="s">
        <v>1974</v>
      </c>
      <c r="B1414" s="18" t="s">
        <v>66</v>
      </c>
      <c r="C1414" s="63" t="str" cm="1">
        <f t="array" ref="C1414">_xlfn.SWITCH(Table22[[#This Row],[Country]],"USA","North America","Canada","North America","Brazil","South America","China","Asia","Japan","Asia","India","Asia","France","Europe","Germany","Europe","UK","Europe","Australia","Oceania","South America")</f>
        <v>North America</v>
      </c>
      <c r="D1414" s="18" t="s">
        <v>28</v>
      </c>
      <c r="E1414" s="18" t="s">
        <v>39</v>
      </c>
      <c r="F1414" s="18" t="s">
        <v>52</v>
      </c>
      <c r="G1414" s="18" t="s">
        <v>29</v>
      </c>
      <c r="H1414" s="64">
        <f>LEN(TRIM(Table22[[#This Row],[Country]]))</f>
        <v>6</v>
      </c>
      <c r="I1414" s="64">
        <f>LEN(TRIM(Table22[[#This Row],[Continent]]))</f>
        <v>13</v>
      </c>
      <c r="J1414" s="64">
        <f>LEN(TRIM(Table22[[#This Row],[Product]]))</f>
        <v>10</v>
      </c>
      <c r="K1414" s="64">
        <f>LEN(TRIM(Table22[[#This Row],[Sales Team]]))</f>
        <v>10</v>
      </c>
      <c r="L1414" s="23">
        <v>13</v>
      </c>
      <c r="M1414" s="65" t="str" cm="1">
        <f t="array" ref="M1414">_xlfn.IFS(Table22[[#This Row],[Units Sold]]&lt;40,"Critical",Table22[[#This Row],[Units Sold]]&lt;=50,"Poor",Table22[[#This Row],[Units Sold]]&lt;=60,"Low",Table22[[#This Row],[Units Sold]]&lt;=80,"Average",Table22[[#This Row],[Units Sold]]&lt;=90,"High",Table22[[#This Row],[Units Sold]]&lt;=95,"Excellent",Table22[[#This Row],[Units Sold]]&gt;95,"Outstanding")</f>
        <v>Critical</v>
      </c>
      <c r="N1414" s="29">
        <v>1163.9000000000001</v>
      </c>
      <c r="O1414" s="29">
        <v>15130.7</v>
      </c>
      <c r="P1414" s="43">
        <f>IF(Table22[[#This Row],[Discount Applied]],Table22[[#This Row],[Total Sales (in USD)]]*(1-Table22[[#This Row],[Discount Percentage (%)]]/100),Table22[[#This Row],[Total Sales (in USD)]])</f>
        <v>13549.54185</v>
      </c>
      <c r="Q1414" s="66">
        <f>SQRT(AVERAGE((Table22[[#This Row],[Net Sales (after discount) (in USD)]]-AVERAGE(Table22[Net Sales (after discount) (in USD)]))^2))</f>
        <v>22961.818713764536</v>
      </c>
      <c r="R1414" s="18" t="b">
        <v>0</v>
      </c>
      <c r="S1414" s="40">
        <v>10.45</v>
      </c>
      <c r="T1414" s="18" t="b">
        <v>1</v>
      </c>
      <c r="U1414" s="25">
        <v>44942</v>
      </c>
      <c r="V1414" s="63" t="str">
        <f>IF(MONTH(Table22[[#This Row],[Sales Date]])&lt;=3,"Q1",IF(MONTH(Table22[[#This Row],[Sales Date]])&lt;=6,"Q2",IF(MONTH(Table22[[#This Row],[Sales Date]])&lt;=9,"Q3","Q4")))</f>
        <v>Q1</v>
      </c>
      <c r="W1414" s="64">
        <f>YEAR(Table22[[#This Row],[Sales Date]])</f>
        <v>2023</v>
      </c>
      <c r="X1414" s="23">
        <v>36</v>
      </c>
      <c r="Y1414" s="18" t="s">
        <v>41</v>
      </c>
      <c r="Z1414" s="18" t="s">
        <v>24</v>
      </c>
      <c r="AA1414" s="19" t="s">
        <v>25</v>
      </c>
    </row>
    <row r="1415" spans="1:27" x14ac:dyDescent="0.25">
      <c r="A1415" s="17" t="s">
        <v>1383</v>
      </c>
      <c r="B1415" s="18" t="s">
        <v>32</v>
      </c>
      <c r="C1415" s="63" t="str" cm="1">
        <f t="array" ref="C1415">_xlfn.SWITCH(Table22[[#This Row],[Country]],"USA","North America","Canada","North America","Brazil","South America","China","Asia","Japan","Asia","India","Asia","France","Europe","Germany","Europe","UK","Europe","Australia","Oceania","South America")</f>
        <v>Asia</v>
      </c>
      <c r="D1415" s="18" t="s">
        <v>35</v>
      </c>
      <c r="E1415" s="18" t="s">
        <v>39</v>
      </c>
      <c r="F1415" s="18" t="s">
        <v>64</v>
      </c>
      <c r="G1415" s="18" t="s">
        <v>22</v>
      </c>
      <c r="H1415" s="64">
        <f>LEN(TRIM(Table22[[#This Row],[Country]]))</f>
        <v>5</v>
      </c>
      <c r="I1415" s="64">
        <f>LEN(TRIM(Table22[[#This Row],[Continent]]))</f>
        <v>4</v>
      </c>
      <c r="J1415" s="64">
        <f>LEN(TRIM(Table22[[#This Row],[Product]]))</f>
        <v>10</v>
      </c>
      <c r="K1415" s="64">
        <f>LEN(TRIM(Table22[[#This Row],[Sales Team]]))</f>
        <v>10</v>
      </c>
      <c r="L1415" s="23">
        <v>12</v>
      </c>
      <c r="M1415" s="65" t="str" cm="1">
        <f t="array" ref="M1415">_xlfn.IFS(Table22[[#This Row],[Units Sold]]&lt;40,"Critical",Table22[[#This Row],[Units Sold]]&lt;=50,"Poor",Table22[[#This Row],[Units Sold]]&lt;=60,"Low",Table22[[#This Row],[Units Sold]]&lt;=80,"Average",Table22[[#This Row],[Units Sold]]&lt;=90,"High",Table22[[#This Row],[Units Sold]]&lt;=95,"Excellent",Table22[[#This Row],[Units Sold]]&gt;95,"Outstanding")</f>
        <v>Critical</v>
      </c>
      <c r="N1415" s="29">
        <v>1259.5</v>
      </c>
      <c r="O1415" s="29">
        <v>15114</v>
      </c>
      <c r="P1415" s="43">
        <f>IF(Table22[[#This Row],[Discount Applied]],Table22[[#This Row],[Total Sales (in USD)]]*(1-Table22[[#This Row],[Discount Percentage (%)]]/100),Table22[[#This Row],[Total Sales (in USD)]])</f>
        <v>15114</v>
      </c>
      <c r="Q1415" s="66">
        <f>SQRT(AVERAGE((Table22[[#This Row],[Net Sales (after discount) (in USD)]]-AVERAGE(Table22[Net Sales (after discount) (in USD)]))^2))</f>
        <v>21397.360563764538</v>
      </c>
      <c r="R1415" s="18" t="b">
        <v>0</v>
      </c>
      <c r="S1415" s="40">
        <v>1.91</v>
      </c>
      <c r="T1415" s="18" t="b">
        <v>0</v>
      </c>
      <c r="U1415" s="25">
        <v>45328</v>
      </c>
      <c r="V1415" s="63" t="str">
        <f>IF(MONTH(Table22[[#This Row],[Sales Date]])&lt;=3,"Q1",IF(MONTH(Table22[[#This Row],[Sales Date]])&lt;=6,"Q2",IF(MONTH(Table22[[#This Row],[Sales Date]])&lt;=9,"Q3","Q4")))</f>
        <v>Q1</v>
      </c>
      <c r="W1415" s="64">
        <f>YEAR(Table22[[#This Row],[Sales Date]])</f>
        <v>2024</v>
      </c>
      <c r="X1415" s="23">
        <v>40</v>
      </c>
      <c r="Y1415" s="18" t="s">
        <v>41</v>
      </c>
      <c r="Z1415" s="18" t="s">
        <v>42</v>
      </c>
      <c r="AA1415" s="19" t="s">
        <v>36</v>
      </c>
    </row>
    <row r="1416" spans="1:27" x14ac:dyDescent="0.25">
      <c r="A1416" s="17" t="s">
        <v>1504</v>
      </c>
      <c r="B1416" s="18" t="s">
        <v>51</v>
      </c>
      <c r="C1416" s="63" t="str" cm="1">
        <f t="array" ref="C1416">_xlfn.SWITCH(Table22[[#This Row],[Country]],"USA","North America","Canada","North America","Brazil","South America","China","Asia","Japan","Asia","India","Asia","France","Europe","Germany","Europe","UK","Europe","Australia","Oceania","South America")</f>
        <v>Europe</v>
      </c>
      <c r="D1416" s="18" t="s">
        <v>21</v>
      </c>
      <c r="E1416" s="18" t="s">
        <v>33</v>
      </c>
      <c r="F1416" s="18" t="s">
        <v>47</v>
      </c>
      <c r="G1416" s="18" t="s">
        <v>48</v>
      </c>
      <c r="H1416" s="64">
        <f>LEN(TRIM(Table22[[#This Row],[Country]]))</f>
        <v>2</v>
      </c>
      <c r="I1416" s="64">
        <f>LEN(TRIM(Table22[[#This Row],[Continent]]))</f>
        <v>6</v>
      </c>
      <c r="J1416" s="64">
        <f>LEN(TRIM(Table22[[#This Row],[Product]]))</f>
        <v>10</v>
      </c>
      <c r="K1416" s="64">
        <f>LEN(TRIM(Table22[[#This Row],[Sales Team]]))</f>
        <v>9</v>
      </c>
      <c r="L1416" s="23">
        <v>41</v>
      </c>
      <c r="M1416" s="65" t="str" cm="1">
        <f t="array" ref="M1416">_xlfn.IFS(Table22[[#This Row],[Units Sold]]&lt;40,"Critical",Table22[[#This Row],[Units Sold]]&lt;=50,"Poor",Table22[[#This Row],[Units Sold]]&lt;=60,"Low",Table22[[#This Row],[Units Sold]]&lt;=80,"Average",Table22[[#This Row],[Units Sold]]&lt;=90,"High",Table22[[#This Row],[Units Sold]]&lt;=95,"Excellent",Table22[[#This Row],[Units Sold]]&gt;95,"Outstanding")</f>
        <v>Poor</v>
      </c>
      <c r="N1416" s="29">
        <v>368.45</v>
      </c>
      <c r="O1416" s="29">
        <v>15106.45</v>
      </c>
      <c r="P1416" s="43">
        <f>IF(Table22[[#This Row],[Discount Applied]],Table22[[#This Row],[Total Sales (in USD)]]*(1-Table22[[#This Row],[Discount Percentage (%)]]/100),Table22[[#This Row],[Total Sales (in USD)]])</f>
        <v>15106.45</v>
      </c>
      <c r="Q1416" s="66">
        <f>SQRT(AVERAGE((Table22[[#This Row],[Net Sales (after discount) (in USD)]]-AVERAGE(Table22[Net Sales (after discount) (in USD)]))^2))</f>
        <v>21404.910563764537</v>
      </c>
      <c r="R1416" s="18" t="b">
        <v>0</v>
      </c>
      <c r="S1416" s="40">
        <v>19.16</v>
      </c>
      <c r="T1416" s="18" t="b">
        <v>0</v>
      </c>
      <c r="U1416" s="25">
        <v>45274</v>
      </c>
      <c r="V1416" s="63" t="str">
        <f>IF(MONTH(Table22[[#This Row],[Sales Date]])&lt;=3,"Q1",IF(MONTH(Table22[[#This Row],[Sales Date]])&lt;=6,"Q2",IF(MONTH(Table22[[#This Row],[Sales Date]])&lt;=9,"Q3","Q4")))</f>
        <v>Q4</v>
      </c>
      <c r="W1416" s="64">
        <f>YEAR(Table22[[#This Row],[Sales Date]])</f>
        <v>2023</v>
      </c>
      <c r="X1416" s="23">
        <v>69</v>
      </c>
      <c r="Y1416" s="18" t="s">
        <v>23</v>
      </c>
      <c r="Z1416" s="18" t="s">
        <v>42</v>
      </c>
      <c r="AA1416" s="19" t="s">
        <v>25</v>
      </c>
    </row>
    <row r="1417" spans="1:27" x14ac:dyDescent="0.25">
      <c r="A1417" s="17" t="s">
        <v>544</v>
      </c>
      <c r="B1417" s="18" t="s">
        <v>32</v>
      </c>
      <c r="C1417" s="63" t="str" cm="1">
        <f t="array" ref="C1417">_xlfn.SWITCH(Table22[[#This Row],[Country]],"USA","North America","Canada","North America","Brazil","South America","China","Asia","Japan","Asia","India","Asia","France","Europe","Germany","Europe","UK","Europe","Australia","Oceania","South America")</f>
        <v>Asia</v>
      </c>
      <c r="D1417" s="18" t="s">
        <v>44</v>
      </c>
      <c r="E1417" s="18" t="s">
        <v>33</v>
      </c>
      <c r="F1417" s="18" t="s">
        <v>52</v>
      </c>
      <c r="G1417" s="18" t="s">
        <v>29</v>
      </c>
      <c r="H1417" s="64">
        <f>LEN(TRIM(Table22[[#This Row],[Country]]))</f>
        <v>5</v>
      </c>
      <c r="I1417" s="64">
        <f>LEN(TRIM(Table22[[#This Row],[Continent]]))</f>
        <v>4</v>
      </c>
      <c r="J1417" s="64">
        <f>LEN(TRIM(Table22[[#This Row],[Product]]))</f>
        <v>10</v>
      </c>
      <c r="K1417" s="64">
        <f>LEN(TRIM(Table22[[#This Row],[Sales Team]]))</f>
        <v>10</v>
      </c>
      <c r="L1417" s="23">
        <v>16</v>
      </c>
      <c r="M1417" s="65" t="str" cm="1">
        <f t="array" ref="M1417">_xlfn.IFS(Table22[[#This Row],[Units Sold]]&lt;40,"Critical",Table22[[#This Row],[Units Sold]]&lt;=50,"Poor",Table22[[#This Row],[Units Sold]]&lt;=60,"Low",Table22[[#This Row],[Units Sold]]&lt;=80,"Average",Table22[[#This Row],[Units Sold]]&lt;=90,"High",Table22[[#This Row],[Units Sold]]&lt;=95,"Excellent",Table22[[#This Row],[Units Sold]]&gt;95,"Outstanding")</f>
        <v>Critical</v>
      </c>
      <c r="N1417" s="29">
        <v>943.87</v>
      </c>
      <c r="O1417" s="29">
        <v>15101.92</v>
      </c>
      <c r="P1417" s="43">
        <f>IF(Table22[[#This Row],[Discount Applied]],Table22[[#This Row],[Total Sales (in USD)]]*(1-Table22[[#This Row],[Discount Percentage (%)]]/100),Table22[[#This Row],[Total Sales (in USD)]])</f>
        <v>10970.034688</v>
      </c>
      <c r="Q1417" s="66">
        <f>SQRT(AVERAGE((Table22[[#This Row],[Net Sales (after discount) (in USD)]]-AVERAGE(Table22[Net Sales (after discount) (in USD)]))^2))</f>
        <v>25541.325875764538</v>
      </c>
      <c r="R1417" s="18" t="b">
        <v>1</v>
      </c>
      <c r="S1417" s="40">
        <v>27.36</v>
      </c>
      <c r="T1417" s="18" t="b">
        <v>1</v>
      </c>
      <c r="U1417" s="25">
        <v>45165</v>
      </c>
      <c r="V1417" s="63" t="str">
        <f>IF(MONTH(Table22[[#This Row],[Sales Date]])&lt;=3,"Q1",IF(MONTH(Table22[[#This Row],[Sales Date]])&lt;=6,"Q2",IF(MONTH(Table22[[#This Row],[Sales Date]])&lt;=9,"Q3","Q4")))</f>
        <v>Q3</v>
      </c>
      <c r="W1417" s="64">
        <f>YEAR(Table22[[#This Row],[Sales Date]])</f>
        <v>2023</v>
      </c>
      <c r="X1417" s="23">
        <v>26</v>
      </c>
      <c r="Y1417" s="18" t="s">
        <v>23</v>
      </c>
      <c r="Z1417" s="18" t="s">
        <v>30</v>
      </c>
      <c r="AA1417" s="19" t="s">
        <v>25</v>
      </c>
    </row>
    <row r="1418" spans="1:27" x14ac:dyDescent="0.25">
      <c r="A1418" s="17" t="s">
        <v>1484</v>
      </c>
      <c r="B1418" s="18" t="s">
        <v>76</v>
      </c>
      <c r="C1418" s="63" t="str" cm="1">
        <f t="array" ref="C1418">_xlfn.SWITCH(Table22[[#This Row],[Country]],"USA","North America","Canada","North America","Brazil","South America","China","Asia","Japan","Asia","India","Asia","France","Europe","Germany","Europe","UK","Europe","Australia","Oceania","South America")</f>
        <v>Asia</v>
      </c>
      <c r="D1418" s="18" t="s">
        <v>44</v>
      </c>
      <c r="E1418" s="18" t="s">
        <v>33</v>
      </c>
      <c r="F1418" s="18" t="s">
        <v>52</v>
      </c>
      <c r="G1418" s="18" t="s">
        <v>22</v>
      </c>
      <c r="H1418" s="64">
        <f>LEN(TRIM(Table22[[#This Row],[Country]]))</f>
        <v>5</v>
      </c>
      <c r="I1418" s="64">
        <f>LEN(TRIM(Table22[[#This Row],[Continent]]))</f>
        <v>4</v>
      </c>
      <c r="J1418" s="64">
        <f>LEN(TRIM(Table22[[#This Row],[Product]]))</f>
        <v>10</v>
      </c>
      <c r="K1418" s="64">
        <f>LEN(TRIM(Table22[[#This Row],[Sales Team]]))</f>
        <v>10</v>
      </c>
      <c r="L1418" s="23">
        <v>12</v>
      </c>
      <c r="M1418" s="65" t="str" cm="1">
        <f t="array" ref="M1418">_xlfn.IFS(Table22[[#This Row],[Units Sold]]&lt;40,"Critical",Table22[[#This Row],[Units Sold]]&lt;=50,"Poor",Table22[[#This Row],[Units Sold]]&lt;=60,"Low",Table22[[#This Row],[Units Sold]]&lt;=80,"Average",Table22[[#This Row],[Units Sold]]&lt;=90,"High",Table22[[#This Row],[Units Sold]]&lt;=95,"Excellent",Table22[[#This Row],[Units Sold]]&gt;95,"Outstanding")</f>
        <v>Critical</v>
      </c>
      <c r="N1418" s="29">
        <v>1257.28</v>
      </c>
      <c r="O1418" s="29">
        <v>15087.36</v>
      </c>
      <c r="P1418" s="43">
        <f>IF(Table22[[#This Row],[Discount Applied]],Table22[[#This Row],[Total Sales (in USD)]]*(1-Table22[[#This Row],[Discount Percentage (%)]]/100),Table22[[#This Row],[Total Sales (in USD)]])</f>
        <v>15087.36</v>
      </c>
      <c r="Q1418" s="66">
        <f>SQRT(AVERAGE((Table22[[#This Row],[Net Sales (after discount) (in USD)]]-AVERAGE(Table22[Net Sales (after discount) (in USD)]))^2))</f>
        <v>21424.000563764537</v>
      </c>
      <c r="R1418" s="18" t="b">
        <v>1</v>
      </c>
      <c r="S1418" s="40">
        <v>5.38</v>
      </c>
      <c r="T1418" s="18" t="b">
        <v>0</v>
      </c>
      <c r="U1418" s="25">
        <v>45146</v>
      </c>
      <c r="V1418" s="63" t="str">
        <f>IF(MONTH(Table22[[#This Row],[Sales Date]])&lt;=3,"Q1",IF(MONTH(Table22[[#This Row],[Sales Date]])&lt;=6,"Q2",IF(MONTH(Table22[[#This Row],[Sales Date]])&lt;=9,"Q3","Q4")))</f>
        <v>Q3</v>
      </c>
      <c r="W1418" s="64">
        <f>YEAR(Table22[[#This Row],[Sales Date]])</f>
        <v>2023</v>
      </c>
      <c r="X1418" s="23">
        <v>18</v>
      </c>
      <c r="Y1418" s="18" t="s">
        <v>49</v>
      </c>
      <c r="Z1418" s="18" t="s">
        <v>24</v>
      </c>
      <c r="AA1418" s="19" t="s">
        <v>25</v>
      </c>
    </row>
    <row r="1419" spans="1:27" x14ac:dyDescent="0.25">
      <c r="A1419" s="17" t="s">
        <v>256</v>
      </c>
      <c r="B1419" s="18" t="s">
        <v>51</v>
      </c>
      <c r="C1419" s="63" t="str" cm="1">
        <f t="array" ref="C1419">_xlfn.SWITCH(Table22[[#This Row],[Country]],"USA","North America","Canada","North America","Brazil","South America","China","Asia","Japan","Asia","India","Asia","France","Europe","Germany","Europe","UK","Europe","Australia","Oceania","South America")</f>
        <v>Europe</v>
      </c>
      <c r="D1419" s="18" t="s">
        <v>21</v>
      </c>
      <c r="E1419" s="18" t="s">
        <v>39</v>
      </c>
      <c r="F1419" s="18" t="s">
        <v>20</v>
      </c>
      <c r="G1419" s="18" t="s">
        <v>48</v>
      </c>
      <c r="H1419" s="64">
        <f>LEN(TRIM(Table22[[#This Row],[Country]]))</f>
        <v>2</v>
      </c>
      <c r="I1419" s="64">
        <f>LEN(TRIM(Table22[[#This Row],[Continent]]))</f>
        <v>6</v>
      </c>
      <c r="J1419" s="64">
        <f>LEN(TRIM(Table22[[#This Row],[Product]]))</f>
        <v>10</v>
      </c>
      <c r="K1419" s="64">
        <f>LEN(TRIM(Table22[[#This Row],[Sales Team]]))</f>
        <v>9</v>
      </c>
      <c r="L1419" s="23">
        <v>28</v>
      </c>
      <c r="M1419" s="65" t="str" cm="1">
        <f t="array" ref="M1419">_xlfn.IFS(Table22[[#This Row],[Units Sold]]&lt;40,"Critical",Table22[[#This Row],[Units Sold]]&lt;=50,"Poor",Table22[[#This Row],[Units Sold]]&lt;=60,"Low",Table22[[#This Row],[Units Sold]]&lt;=80,"Average",Table22[[#This Row],[Units Sold]]&lt;=90,"High",Table22[[#This Row],[Units Sold]]&lt;=95,"Excellent",Table22[[#This Row],[Units Sold]]&gt;95,"Outstanding")</f>
        <v>Critical</v>
      </c>
      <c r="N1419" s="29">
        <v>537.87</v>
      </c>
      <c r="O1419" s="29">
        <v>15060.36</v>
      </c>
      <c r="P1419" s="43">
        <f>IF(Table22[[#This Row],[Discount Applied]],Table22[[#This Row],[Total Sales (in USD)]]*(1-Table22[[#This Row],[Discount Percentage (%)]]/100),Table22[[#This Row],[Total Sales (in USD)]])</f>
        <v>15060.36</v>
      </c>
      <c r="Q1419" s="66">
        <f>SQRT(AVERAGE((Table22[[#This Row],[Net Sales (after discount) (in USD)]]-AVERAGE(Table22[Net Sales (after discount) (in USD)]))^2))</f>
        <v>21451.000563764537</v>
      </c>
      <c r="R1419" s="18" t="b">
        <v>0</v>
      </c>
      <c r="S1419" s="40">
        <v>3.43</v>
      </c>
      <c r="T1419" s="18" t="b">
        <v>0</v>
      </c>
      <c r="U1419" s="25">
        <v>45088</v>
      </c>
      <c r="V1419" s="63" t="str">
        <f>IF(MONTH(Table22[[#This Row],[Sales Date]])&lt;=3,"Q1",IF(MONTH(Table22[[#This Row],[Sales Date]])&lt;=6,"Q2",IF(MONTH(Table22[[#This Row],[Sales Date]])&lt;=9,"Q3","Q4")))</f>
        <v>Q2</v>
      </c>
      <c r="W1419" s="64">
        <f>YEAR(Table22[[#This Row],[Sales Date]])</f>
        <v>2023</v>
      </c>
      <c r="X1419" s="23">
        <v>18</v>
      </c>
      <c r="Y1419" s="18" t="s">
        <v>41</v>
      </c>
      <c r="Z1419" s="18" t="s">
        <v>42</v>
      </c>
      <c r="AA1419" s="19" t="s">
        <v>36</v>
      </c>
    </row>
    <row r="1420" spans="1:27" x14ac:dyDescent="0.25">
      <c r="A1420" s="17" t="s">
        <v>540</v>
      </c>
      <c r="B1420" s="18" t="s">
        <v>27</v>
      </c>
      <c r="C1420" s="63" t="str" cm="1">
        <f t="array" ref="C1420">_xlfn.SWITCH(Table22[[#This Row],[Country]],"USA","North America","Canada","North America","Brazil","South America","China","Asia","Japan","Asia","India","Asia","France","Europe","Germany","Europe","UK","Europe","Australia","Oceania","South America")</f>
        <v>Europe</v>
      </c>
      <c r="D1420" s="18" t="s">
        <v>28</v>
      </c>
      <c r="E1420" s="18" t="s">
        <v>19</v>
      </c>
      <c r="F1420" s="18" t="s">
        <v>34</v>
      </c>
      <c r="G1420" s="18" t="s">
        <v>48</v>
      </c>
      <c r="H1420" s="64">
        <f>LEN(TRIM(Table22[[#This Row],[Country]]))</f>
        <v>7</v>
      </c>
      <c r="I1420" s="64">
        <f>LEN(TRIM(Table22[[#This Row],[Continent]]))</f>
        <v>6</v>
      </c>
      <c r="J1420" s="64">
        <f>LEN(TRIM(Table22[[#This Row],[Product]]))</f>
        <v>6</v>
      </c>
      <c r="K1420" s="64">
        <f>LEN(TRIM(Table22[[#This Row],[Sales Team]]))</f>
        <v>9</v>
      </c>
      <c r="L1420" s="23">
        <v>13</v>
      </c>
      <c r="M1420" s="65" t="str" cm="1">
        <f t="array" ref="M1420">_xlfn.IFS(Table22[[#This Row],[Units Sold]]&lt;40,"Critical",Table22[[#This Row],[Units Sold]]&lt;=50,"Poor",Table22[[#This Row],[Units Sold]]&lt;=60,"Low",Table22[[#This Row],[Units Sold]]&lt;=80,"Average",Table22[[#This Row],[Units Sold]]&lt;=90,"High",Table22[[#This Row],[Units Sold]]&lt;=95,"Excellent",Table22[[#This Row],[Units Sold]]&gt;95,"Outstanding")</f>
        <v>Critical</v>
      </c>
      <c r="N1420" s="29">
        <v>1158.17</v>
      </c>
      <c r="O1420" s="29">
        <v>15056.21</v>
      </c>
      <c r="P1420" s="43">
        <f>IF(Table22[[#This Row],[Discount Applied]],Table22[[#This Row],[Total Sales (in USD)]]*(1-Table22[[#This Row],[Discount Percentage (%)]]/100),Table22[[#This Row],[Total Sales (in USD)]])</f>
        <v>15056.21</v>
      </c>
      <c r="Q1420" s="66">
        <f>SQRT(AVERAGE((Table22[[#This Row],[Net Sales (after discount) (in USD)]]-AVERAGE(Table22[Net Sales (after discount) (in USD)]))^2))</f>
        <v>21455.150563764539</v>
      </c>
      <c r="R1420" s="18" t="b">
        <v>0</v>
      </c>
      <c r="S1420" s="40">
        <v>18.57</v>
      </c>
      <c r="T1420" s="18" t="b">
        <v>0</v>
      </c>
      <c r="U1420" s="25">
        <v>45095</v>
      </c>
      <c r="V1420" s="63" t="str">
        <f>IF(MONTH(Table22[[#This Row],[Sales Date]])&lt;=3,"Q1",IF(MONTH(Table22[[#This Row],[Sales Date]])&lt;=6,"Q2",IF(MONTH(Table22[[#This Row],[Sales Date]])&lt;=9,"Q3","Q4")))</f>
        <v>Q2</v>
      </c>
      <c r="W1420" s="64">
        <f>YEAR(Table22[[#This Row],[Sales Date]])</f>
        <v>2023</v>
      </c>
      <c r="X1420" s="23">
        <v>19</v>
      </c>
      <c r="Y1420" s="18" t="s">
        <v>23</v>
      </c>
      <c r="Z1420" s="18" t="s">
        <v>30</v>
      </c>
      <c r="AA1420" s="19" t="s">
        <v>36</v>
      </c>
    </row>
    <row r="1421" spans="1:27" x14ac:dyDescent="0.25">
      <c r="A1421" s="17" t="s">
        <v>1532</v>
      </c>
      <c r="B1421" s="18" t="s">
        <v>18</v>
      </c>
      <c r="C1421" s="63" t="str" cm="1">
        <f t="array" ref="C1421">_xlfn.SWITCH(Table22[[#This Row],[Country]],"USA","North America","Canada","North America","Brazil","South America","China","Asia","Japan","Asia","India","Asia","France","Europe","Germany","Europe","UK","Europe","Australia","Oceania","South America")</f>
        <v>Asia</v>
      </c>
      <c r="D1421" s="18" t="s">
        <v>44</v>
      </c>
      <c r="E1421" s="18" t="s">
        <v>19</v>
      </c>
      <c r="F1421" s="18" t="s">
        <v>47</v>
      </c>
      <c r="G1421" s="18" t="s">
        <v>29</v>
      </c>
      <c r="H1421" s="64">
        <f>LEN(TRIM(Table22[[#This Row],[Country]]))</f>
        <v>5</v>
      </c>
      <c r="I1421" s="64">
        <f>LEN(TRIM(Table22[[#This Row],[Continent]]))</f>
        <v>4</v>
      </c>
      <c r="J1421" s="64">
        <f>LEN(TRIM(Table22[[#This Row],[Product]]))</f>
        <v>6</v>
      </c>
      <c r="K1421" s="64">
        <f>LEN(TRIM(Table22[[#This Row],[Sales Team]]))</f>
        <v>10</v>
      </c>
      <c r="L1421" s="23">
        <v>18</v>
      </c>
      <c r="M1421" s="65" t="str" cm="1">
        <f t="array" ref="M1421">_xlfn.IFS(Table22[[#This Row],[Units Sold]]&lt;40,"Critical",Table22[[#This Row],[Units Sold]]&lt;=50,"Poor",Table22[[#This Row],[Units Sold]]&lt;=60,"Low",Table22[[#This Row],[Units Sold]]&lt;=80,"Average",Table22[[#This Row],[Units Sold]]&lt;=90,"High",Table22[[#This Row],[Units Sold]]&lt;=95,"Excellent",Table22[[#This Row],[Units Sold]]&gt;95,"Outstanding")</f>
        <v>Critical</v>
      </c>
      <c r="N1421" s="29">
        <v>834.68</v>
      </c>
      <c r="O1421" s="29">
        <v>15024.24</v>
      </c>
      <c r="P1421" s="43">
        <f>IF(Table22[[#This Row],[Discount Applied]],Table22[[#This Row],[Total Sales (in USD)]]*(1-Table22[[#This Row],[Discount Percentage (%)]]/100),Table22[[#This Row],[Total Sales (in USD)]])</f>
        <v>10713.785544</v>
      </c>
      <c r="Q1421" s="66">
        <f>SQRT(AVERAGE((Table22[[#This Row],[Net Sales (after discount) (in USD)]]-AVERAGE(Table22[Net Sales (after discount) (in USD)]))^2))</f>
        <v>25797.575019764539</v>
      </c>
      <c r="R1421" s="18" t="b">
        <v>1</v>
      </c>
      <c r="S1421" s="40">
        <v>28.69</v>
      </c>
      <c r="T1421" s="18" t="b">
        <v>1</v>
      </c>
      <c r="U1421" s="25">
        <v>45346</v>
      </c>
      <c r="V1421" s="63" t="str">
        <f>IF(MONTH(Table22[[#This Row],[Sales Date]])&lt;=3,"Q1",IF(MONTH(Table22[[#This Row],[Sales Date]])&lt;=6,"Q2",IF(MONTH(Table22[[#This Row],[Sales Date]])&lt;=9,"Q3","Q4")))</f>
        <v>Q1</v>
      </c>
      <c r="W1421" s="64">
        <f>YEAR(Table22[[#This Row],[Sales Date]])</f>
        <v>2024</v>
      </c>
      <c r="X1421" s="23">
        <v>40</v>
      </c>
      <c r="Y1421" s="18" t="s">
        <v>41</v>
      </c>
      <c r="Z1421" s="18" t="s">
        <v>30</v>
      </c>
      <c r="AA1421" s="19" t="s">
        <v>25</v>
      </c>
    </row>
    <row r="1422" spans="1:27" x14ac:dyDescent="0.25">
      <c r="A1422" s="17" t="s">
        <v>399</v>
      </c>
      <c r="B1422" s="18" t="s">
        <v>18</v>
      </c>
      <c r="C1422" s="63" t="str" cm="1">
        <f t="array" ref="C1422">_xlfn.SWITCH(Table22[[#This Row],[Country]],"USA","North America","Canada","North America","Brazil","South America","China","Asia","Japan","Asia","India","Asia","France","Europe","Germany","Europe","UK","Europe","Australia","Oceania","South America")</f>
        <v>Asia</v>
      </c>
      <c r="D1422" s="18" t="s">
        <v>44</v>
      </c>
      <c r="E1422" s="18" t="s">
        <v>19</v>
      </c>
      <c r="F1422" s="18" t="s">
        <v>20</v>
      </c>
      <c r="G1422" s="18" t="s">
        <v>40</v>
      </c>
      <c r="H1422" s="64">
        <f>LEN(TRIM(Table22[[#This Row],[Country]]))</f>
        <v>5</v>
      </c>
      <c r="I1422" s="64">
        <f>LEN(TRIM(Table22[[#This Row],[Continent]]))</f>
        <v>4</v>
      </c>
      <c r="J1422" s="64">
        <f>LEN(TRIM(Table22[[#This Row],[Product]]))</f>
        <v>6</v>
      </c>
      <c r="K1422" s="64">
        <f>LEN(TRIM(Table22[[#This Row],[Sales Team]]))</f>
        <v>10</v>
      </c>
      <c r="L1422" s="23">
        <v>82</v>
      </c>
      <c r="M1422" s="65" t="str" cm="1">
        <f t="array" ref="M1422">_xlfn.IFS(Table22[[#This Row],[Units Sold]]&lt;40,"Critical",Table22[[#This Row],[Units Sold]]&lt;=50,"Poor",Table22[[#This Row],[Units Sold]]&lt;=60,"Low",Table22[[#This Row],[Units Sold]]&lt;=80,"Average",Table22[[#This Row],[Units Sold]]&lt;=90,"High",Table22[[#This Row],[Units Sold]]&lt;=95,"Excellent",Table22[[#This Row],[Units Sold]]&gt;95,"Outstanding")</f>
        <v>High</v>
      </c>
      <c r="N1422" s="29">
        <v>182.31</v>
      </c>
      <c r="O1422" s="29">
        <v>14949.42</v>
      </c>
      <c r="P1422" s="43">
        <f>IF(Table22[[#This Row],[Discount Applied]],Table22[[#This Row],[Total Sales (in USD)]]*(1-Table22[[#This Row],[Discount Percentage (%)]]/100),Table22[[#This Row],[Total Sales (in USD)]])</f>
        <v>14949.42</v>
      </c>
      <c r="Q1422" s="66">
        <f>SQRT(AVERAGE((Table22[[#This Row],[Net Sales (after discount) (in USD)]]-AVERAGE(Table22[Net Sales (after discount) (in USD)]))^2))</f>
        <v>21561.94056376454</v>
      </c>
      <c r="R1422" s="18" t="b">
        <v>1</v>
      </c>
      <c r="S1422" s="40">
        <v>16.190000000000001</v>
      </c>
      <c r="T1422" s="18" t="b">
        <v>0</v>
      </c>
      <c r="U1422" s="25">
        <v>45209</v>
      </c>
      <c r="V1422" s="63" t="str">
        <f>IF(MONTH(Table22[[#This Row],[Sales Date]])&lt;=3,"Q1",IF(MONTH(Table22[[#This Row],[Sales Date]])&lt;=6,"Q2",IF(MONTH(Table22[[#This Row],[Sales Date]])&lt;=9,"Q3","Q4")))</f>
        <v>Q4</v>
      </c>
      <c r="W1422" s="64">
        <f>YEAR(Table22[[#This Row],[Sales Date]])</f>
        <v>2023</v>
      </c>
      <c r="X1422" s="23">
        <v>39</v>
      </c>
      <c r="Y1422" s="18" t="s">
        <v>41</v>
      </c>
      <c r="Z1422" s="18" t="s">
        <v>56</v>
      </c>
      <c r="AA1422" s="19" t="s">
        <v>36</v>
      </c>
    </row>
    <row r="1423" spans="1:27" x14ac:dyDescent="0.25">
      <c r="A1423" s="17" t="s">
        <v>1544</v>
      </c>
      <c r="B1423" s="18" t="s">
        <v>51</v>
      </c>
      <c r="C1423" s="63" t="str" cm="1">
        <f t="array" ref="C1423">_xlfn.SWITCH(Table22[[#This Row],[Country]],"USA","North America","Canada","North America","Brazil","South America","China","Asia","Japan","Asia","India","Asia","France","Europe","Germany","Europe","UK","Europe","Australia","Oceania","South America")</f>
        <v>Europe</v>
      </c>
      <c r="D1423" s="18" t="s">
        <v>44</v>
      </c>
      <c r="E1423" s="18" t="s">
        <v>19</v>
      </c>
      <c r="F1423" s="18" t="s">
        <v>20</v>
      </c>
      <c r="G1423" s="18" t="s">
        <v>22</v>
      </c>
      <c r="H1423" s="64">
        <f>LEN(TRIM(Table22[[#This Row],[Country]]))</f>
        <v>2</v>
      </c>
      <c r="I1423" s="64">
        <f>LEN(TRIM(Table22[[#This Row],[Continent]]))</f>
        <v>6</v>
      </c>
      <c r="J1423" s="64">
        <f>LEN(TRIM(Table22[[#This Row],[Product]]))</f>
        <v>6</v>
      </c>
      <c r="K1423" s="64">
        <f>LEN(TRIM(Table22[[#This Row],[Sales Team]]))</f>
        <v>10</v>
      </c>
      <c r="L1423" s="23">
        <v>34</v>
      </c>
      <c r="M1423" s="65" t="str" cm="1">
        <f t="array" ref="M1423">_xlfn.IFS(Table22[[#This Row],[Units Sold]]&lt;40,"Critical",Table22[[#This Row],[Units Sold]]&lt;=50,"Poor",Table22[[#This Row],[Units Sold]]&lt;=60,"Low",Table22[[#This Row],[Units Sold]]&lt;=80,"Average",Table22[[#This Row],[Units Sold]]&lt;=90,"High",Table22[[#This Row],[Units Sold]]&lt;=95,"Excellent",Table22[[#This Row],[Units Sold]]&gt;95,"Outstanding")</f>
        <v>Critical</v>
      </c>
      <c r="N1423" s="29">
        <v>439.62</v>
      </c>
      <c r="O1423" s="29">
        <v>14947.08</v>
      </c>
      <c r="P1423" s="43">
        <f>IF(Table22[[#This Row],[Discount Applied]],Table22[[#This Row],[Total Sales (in USD)]]*(1-Table22[[#This Row],[Discount Percentage (%)]]/100),Table22[[#This Row],[Total Sales (in USD)]])</f>
        <v>11153.511096</v>
      </c>
      <c r="Q1423" s="66">
        <f>SQRT(AVERAGE((Table22[[#This Row],[Net Sales (after discount) (in USD)]]-AVERAGE(Table22[Net Sales (after discount) (in USD)]))^2))</f>
        <v>25357.849467764536</v>
      </c>
      <c r="R1423" s="18" t="b">
        <v>1</v>
      </c>
      <c r="S1423" s="40">
        <v>25.38</v>
      </c>
      <c r="T1423" s="18" t="b">
        <v>1</v>
      </c>
      <c r="U1423" s="25">
        <v>45110</v>
      </c>
      <c r="V1423" s="63" t="str">
        <f>IF(MONTH(Table22[[#This Row],[Sales Date]])&lt;=3,"Q1",IF(MONTH(Table22[[#This Row],[Sales Date]])&lt;=6,"Q2",IF(MONTH(Table22[[#This Row],[Sales Date]])&lt;=9,"Q3","Q4")))</f>
        <v>Q3</v>
      </c>
      <c r="W1423" s="64">
        <f>YEAR(Table22[[#This Row],[Sales Date]])</f>
        <v>2023</v>
      </c>
      <c r="X1423" s="23">
        <v>27</v>
      </c>
      <c r="Y1423" s="18" t="s">
        <v>49</v>
      </c>
      <c r="Z1423" s="18" t="s">
        <v>24</v>
      </c>
      <c r="AA1423" s="19" t="s">
        <v>25</v>
      </c>
    </row>
    <row r="1424" spans="1:27" x14ac:dyDescent="0.25">
      <c r="A1424" s="17" t="s">
        <v>430</v>
      </c>
      <c r="B1424" s="18" t="s">
        <v>46</v>
      </c>
      <c r="C1424" s="63" t="str" cm="1">
        <f t="array" ref="C1424">_xlfn.SWITCH(Table22[[#This Row],[Country]],"USA","North America","Canada","North America","Brazil","South America","China","Asia","Japan","Asia","India","Asia","France","Europe","Germany","Europe","UK","Europe","Australia","Oceania","South America")</f>
        <v>South America</v>
      </c>
      <c r="D1424" s="18" t="s">
        <v>28</v>
      </c>
      <c r="E1424" s="18" t="s">
        <v>33</v>
      </c>
      <c r="F1424" s="18" t="s">
        <v>47</v>
      </c>
      <c r="G1424" s="18" t="s">
        <v>40</v>
      </c>
      <c r="H1424" s="64">
        <f>LEN(TRIM(Table22[[#This Row],[Country]]))</f>
        <v>6</v>
      </c>
      <c r="I1424" s="64">
        <f>LEN(TRIM(Table22[[#This Row],[Continent]]))</f>
        <v>13</v>
      </c>
      <c r="J1424" s="64">
        <f>LEN(TRIM(Table22[[#This Row],[Product]]))</f>
        <v>10</v>
      </c>
      <c r="K1424" s="64">
        <f>LEN(TRIM(Table22[[#This Row],[Sales Team]]))</f>
        <v>10</v>
      </c>
      <c r="L1424" s="23">
        <v>13</v>
      </c>
      <c r="M1424" s="65" t="str" cm="1">
        <f t="array" ref="M1424">_xlfn.IFS(Table22[[#This Row],[Units Sold]]&lt;40,"Critical",Table22[[#This Row],[Units Sold]]&lt;=50,"Poor",Table22[[#This Row],[Units Sold]]&lt;=60,"Low",Table22[[#This Row],[Units Sold]]&lt;=80,"Average",Table22[[#This Row],[Units Sold]]&lt;=90,"High",Table22[[#This Row],[Units Sold]]&lt;=95,"Excellent",Table22[[#This Row],[Units Sold]]&gt;95,"Outstanding")</f>
        <v>Critical</v>
      </c>
      <c r="N1424" s="29">
        <v>1148.72</v>
      </c>
      <c r="O1424" s="29">
        <v>14933.36</v>
      </c>
      <c r="P1424" s="43">
        <f>IF(Table22[[#This Row],[Discount Applied]],Table22[[#This Row],[Total Sales (in USD)]]*(1-Table22[[#This Row],[Discount Percentage (%)]]/100),Table22[[#This Row],[Total Sales (in USD)]])</f>
        <v>13638.637688000001</v>
      </c>
      <c r="Q1424" s="66">
        <f>SQRT(AVERAGE((Table22[[#This Row],[Net Sales (after discount) (in USD)]]-AVERAGE(Table22[Net Sales (after discount) (in USD)]))^2))</f>
        <v>22872.722875764535</v>
      </c>
      <c r="R1424" s="18" t="b">
        <v>0</v>
      </c>
      <c r="S1424" s="40">
        <v>8.67</v>
      </c>
      <c r="T1424" s="18" t="b">
        <v>1</v>
      </c>
      <c r="U1424" s="25">
        <v>45380</v>
      </c>
      <c r="V1424" s="63" t="str">
        <f>IF(MONTH(Table22[[#This Row],[Sales Date]])&lt;=3,"Q1",IF(MONTH(Table22[[#This Row],[Sales Date]])&lt;=6,"Q2",IF(MONTH(Table22[[#This Row],[Sales Date]])&lt;=9,"Q3","Q4")))</f>
        <v>Q1</v>
      </c>
      <c r="W1424" s="64">
        <f>YEAR(Table22[[#This Row],[Sales Date]])</f>
        <v>2024</v>
      </c>
      <c r="X1424" s="23">
        <v>38</v>
      </c>
      <c r="Y1424" s="18" t="s">
        <v>23</v>
      </c>
      <c r="Z1424" s="18" t="s">
        <v>30</v>
      </c>
      <c r="AA1424" s="19" t="s">
        <v>36</v>
      </c>
    </row>
    <row r="1425" spans="1:27" x14ac:dyDescent="0.25">
      <c r="A1425" s="17" t="s">
        <v>1722</v>
      </c>
      <c r="B1425" s="18" t="s">
        <v>62</v>
      </c>
      <c r="C1425" s="63" t="str" cm="1">
        <f t="array" ref="C1425">_xlfn.SWITCH(Table22[[#This Row],[Country]],"USA","North America","Canada","North America","Brazil","South America","China","Asia","Japan","Asia","India","Asia","France","Europe","Germany","Europe","UK","Europe","Australia","Oceania","South America")</f>
        <v>Oceania</v>
      </c>
      <c r="D1425" s="18" t="s">
        <v>28</v>
      </c>
      <c r="E1425" s="18" t="s">
        <v>33</v>
      </c>
      <c r="F1425" s="18" t="s">
        <v>20</v>
      </c>
      <c r="G1425" s="18" t="s">
        <v>40</v>
      </c>
      <c r="H1425" s="64">
        <f>LEN(TRIM(Table22[[#This Row],[Country]]))</f>
        <v>9</v>
      </c>
      <c r="I1425" s="64">
        <f>LEN(TRIM(Table22[[#This Row],[Continent]]))</f>
        <v>7</v>
      </c>
      <c r="J1425" s="64">
        <f>LEN(TRIM(Table22[[#This Row],[Product]]))</f>
        <v>10</v>
      </c>
      <c r="K1425" s="64">
        <f>LEN(TRIM(Table22[[#This Row],[Sales Team]]))</f>
        <v>10</v>
      </c>
      <c r="L1425" s="23">
        <v>22</v>
      </c>
      <c r="M1425" s="65" t="str" cm="1">
        <f t="array" ref="M1425">_xlfn.IFS(Table22[[#This Row],[Units Sold]]&lt;40,"Critical",Table22[[#This Row],[Units Sold]]&lt;=50,"Poor",Table22[[#This Row],[Units Sold]]&lt;=60,"Low",Table22[[#This Row],[Units Sold]]&lt;=80,"Average",Table22[[#This Row],[Units Sold]]&lt;=90,"High",Table22[[#This Row],[Units Sold]]&lt;=95,"Excellent",Table22[[#This Row],[Units Sold]]&gt;95,"Outstanding")</f>
        <v>Critical</v>
      </c>
      <c r="N1425" s="29">
        <v>677.27</v>
      </c>
      <c r="O1425" s="29">
        <v>14899.94</v>
      </c>
      <c r="P1425" s="43">
        <f>IF(Table22[[#This Row],[Discount Applied]],Table22[[#This Row],[Total Sales (in USD)]]*(1-Table22[[#This Row],[Discount Percentage (%)]]/100),Table22[[#This Row],[Total Sales (in USD)]])</f>
        <v>13955.283804000001</v>
      </c>
      <c r="Q1425" s="66">
        <f>SQRT(AVERAGE((Table22[[#This Row],[Net Sales (after discount) (in USD)]]-AVERAGE(Table22[Net Sales (after discount) (in USD)]))^2))</f>
        <v>22556.076759764539</v>
      </c>
      <c r="R1425" s="18" t="b">
        <v>0</v>
      </c>
      <c r="S1425" s="40">
        <v>6.34</v>
      </c>
      <c r="T1425" s="18" t="b">
        <v>1</v>
      </c>
      <c r="U1425" s="25">
        <v>45171</v>
      </c>
      <c r="V1425" s="63" t="str">
        <f>IF(MONTH(Table22[[#This Row],[Sales Date]])&lt;=3,"Q1",IF(MONTH(Table22[[#This Row],[Sales Date]])&lt;=6,"Q2",IF(MONTH(Table22[[#This Row],[Sales Date]])&lt;=9,"Q3","Q4")))</f>
        <v>Q3</v>
      </c>
      <c r="W1425" s="64">
        <f>YEAR(Table22[[#This Row],[Sales Date]])</f>
        <v>2023</v>
      </c>
      <c r="X1425" s="23">
        <v>29</v>
      </c>
      <c r="Y1425" s="18" t="s">
        <v>23</v>
      </c>
      <c r="Z1425" s="18" t="s">
        <v>42</v>
      </c>
      <c r="AA1425" s="19" t="s">
        <v>25</v>
      </c>
    </row>
    <row r="1426" spans="1:27" x14ac:dyDescent="0.25">
      <c r="A1426" s="17" t="s">
        <v>490</v>
      </c>
      <c r="B1426" s="18" t="s">
        <v>27</v>
      </c>
      <c r="C1426" s="63" t="str" cm="1">
        <f t="array" ref="C1426">_xlfn.SWITCH(Table22[[#This Row],[Country]],"USA","North America","Canada","North America","Brazil","South America","China","Asia","Japan","Asia","India","Asia","France","Europe","Germany","Europe","UK","Europe","Australia","Oceania","South America")</f>
        <v>Europe</v>
      </c>
      <c r="D1426" s="18" t="s">
        <v>28</v>
      </c>
      <c r="E1426" s="18" t="s">
        <v>39</v>
      </c>
      <c r="F1426" s="18" t="s">
        <v>47</v>
      </c>
      <c r="G1426" s="18" t="s">
        <v>48</v>
      </c>
      <c r="H1426" s="64">
        <f>LEN(TRIM(Table22[[#This Row],[Country]]))</f>
        <v>7</v>
      </c>
      <c r="I1426" s="64">
        <f>LEN(TRIM(Table22[[#This Row],[Continent]]))</f>
        <v>6</v>
      </c>
      <c r="J1426" s="64">
        <f>LEN(TRIM(Table22[[#This Row],[Product]]))</f>
        <v>10</v>
      </c>
      <c r="K1426" s="64">
        <f>LEN(TRIM(Table22[[#This Row],[Sales Team]]))</f>
        <v>9</v>
      </c>
      <c r="L1426" s="23">
        <v>74</v>
      </c>
      <c r="M1426" s="65" t="str" cm="1">
        <f t="array" ref="M1426">_xlfn.IFS(Table22[[#This Row],[Units Sold]]&lt;40,"Critical",Table22[[#This Row],[Units Sold]]&lt;=50,"Poor",Table22[[#This Row],[Units Sold]]&lt;=60,"Low",Table22[[#This Row],[Units Sold]]&lt;=80,"Average",Table22[[#This Row],[Units Sold]]&lt;=90,"High",Table22[[#This Row],[Units Sold]]&lt;=95,"Excellent",Table22[[#This Row],[Units Sold]]&gt;95,"Outstanding")</f>
        <v>Average</v>
      </c>
      <c r="N1426" s="29">
        <v>199.9</v>
      </c>
      <c r="O1426" s="29">
        <v>14792.6</v>
      </c>
      <c r="P1426" s="43">
        <f>IF(Table22[[#This Row],[Discount Applied]],Table22[[#This Row],[Total Sales (in USD)]]*(1-Table22[[#This Row],[Discount Percentage (%)]]/100),Table22[[#This Row],[Total Sales (in USD)]])</f>
        <v>11934.669679999999</v>
      </c>
      <c r="Q1426" s="66">
        <f>SQRT(AVERAGE((Table22[[#This Row],[Net Sales (after discount) (in USD)]]-AVERAGE(Table22[Net Sales (after discount) (in USD)]))^2))</f>
        <v>24576.690883764539</v>
      </c>
      <c r="R1426" s="18" t="b">
        <v>1</v>
      </c>
      <c r="S1426" s="40">
        <v>19.32</v>
      </c>
      <c r="T1426" s="18" t="b">
        <v>1</v>
      </c>
      <c r="U1426" s="25">
        <v>44978</v>
      </c>
      <c r="V1426" s="63" t="str">
        <f>IF(MONTH(Table22[[#This Row],[Sales Date]])&lt;=3,"Q1",IF(MONTH(Table22[[#This Row],[Sales Date]])&lt;=6,"Q2",IF(MONTH(Table22[[#This Row],[Sales Date]])&lt;=9,"Q3","Q4")))</f>
        <v>Q1</v>
      </c>
      <c r="W1426" s="64">
        <f>YEAR(Table22[[#This Row],[Sales Date]])</f>
        <v>2023</v>
      </c>
      <c r="X1426" s="23">
        <v>53</v>
      </c>
      <c r="Y1426" s="18" t="s">
        <v>23</v>
      </c>
      <c r="Z1426" s="18" t="s">
        <v>42</v>
      </c>
      <c r="AA1426" s="19" t="s">
        <v>36</v>
      </c>
    </row>
    <row r="1427" spans="1:27" x14ac:dyDescent="0.25">
      <c r="A1427" s="17" t="s">
        <v>1784</v>
      </c>
      <c r="B1427" s="18" t="s">
        <v>76</v>
      </c>
      <c r="C1427" s="63" t="str" cm="1">
        <f t="array" ref="C1427">_xlfn.SWITCH(Table22[[#This Row],[Country]],"USA","North America","Canada","North America","Brazil","South America","China","Asia","Japan","Asia","India","Asia","France","Europe","Germany","Europe","UK","Europe","Australia","Oceania","South America")</f>
        <v>Asia</v>
      </c>
      <c r="D1427" s="18" t="s">
        <v>28</v>
      </c>
      <c r="E1427" s="18" t="s">
        <v>39</v>
      </c>
      <c r="F1427" s="18" t="s">
        <v>20</v>
      </c>
      <c r="G1427" s="18" t="s">
        <v>48</v>
      </c>
      <c r="H1427" s="64">
        <f>LEN(TRIM(Table22[[#This Row],[Country]]))</f>
        <v>5</v>
      </c>
      <c r="I1427" s="64">
        <f>LEN(TRIM(Table22[[#This Row],[Continent]]))</f>
        <v>4</v>
      </c>
      <c r="J1427" s="64">
        <f>LEN(TRIM(Table22[[#This Row],[Product]]))</f>
        <v>10</v>
      </c>
      <c r="K1427" s="64">
        <f>LEN(TRIM(Table22[[#This Row],[Sales Team]]))</f>
        <v>9</v>
      </c>
      <c r="L1427" s="23">
        <v>77</v>
      </c>
      <c r="M1427" s="65" t="str" cm="1">
        <f t="array" ref="M1427">_xlfn.IFS(Table22[[#This Row],[Units Sold]]&lt;40,"Critical",Table22[[#This Row],[Units Sold]]&lt;=50,"Poor",Table22[[#This Row],[Units Sold]]&lt;=60,"Low",Table22[[#This Row],[Units Sold]]&lt;=80,"Average",Table22[[#This Row],[Units Sold]]&lt;=90,"High",Table22[[#This Row],[Units Sold]]&lt;=95,"Excellent",Table22[[#This Row],[Units Sold]]&gt;95,"Outstanding")</f>
        <v>Average</v>
      </c>
      <c r="N1427" s="29">
        <v>192.11</v>
      </c>
      <c r="O1427" s="29">
        <v>14792.47</v>
      </c>
      <c r="P1427" s="43">
        <f>IF(Table22[[#This Row],[Discount Applied]],Table22[[#This Row],[Total Sales (in USD)]]*(1-Table22[[#This Row],[Discount Percentage (%)]]/100),Table22[[#This Row],[Total Sales (in USD)]])</f>
        <v>12714.127964999998</v>
      </c>
      <c r="Q1427" s="66">
        <f>SQRT(AVERAGE((Table22[[#This Row],[Net Sales (after discount) (in USD)]]-AVERAGE(Table22[Net Sales (after discount) (in USD)]))^2))</f>
        <v>23797.232598764538</v>
      </c>
      <c r="R1427" s="18" t="b">
        <v>0</v>
      </c>
      <c r="S1427" s="40">
        <v>14.05</v>
      </c>
      <c r="T1427" s="18" t="b">
        <v>1</v>
      </c>
      <c r="U1427" s="25">
        <v>45503</v>
      </c>
      <c r="V1427" s="63" t="str">
        <f>IF(MONTH(Table22[[#This Row],[Sales Date]])&lt;=3,"Q1",IF(MONTH(Table22[[#This Row],[Sales Date]])&lt;=6,"Q2",IF(MONTH(Table22[[#This Row],[Sales Date]])&lt;=9,"Q3","Q4")))</f>
        <v>Q3</v>
      </c>
      <c r="W1427" s="64">
        <f>YEAR(Table22[[#This Row],[Sales Date]])</f>
        <v>2024</v>
      </c>
      <c r="X1427" s="23">
        <v>53</v>
      </c>
      <c r="Y1427" s="18" t="s">
        <v>23</v>
      </c>
      <c r="Z1427" s="18" t="s">
        <v>30</v>
      </c>
      <c r="AA1427" s="19" t="s">
        <v>36</v>
      </c>
    </row>
    <row r="1428" spans="1:27" x14ac:dyDescent="0.25">
      <c r="A1428" s="17" t="s">
        <v>1955</v>
      </c>
      <c r="B1428" s="18" t="s">
        <v>18</v>
      </c>
      <c r="C1428" s="63" t="str" cm="1">
        <f t="array" ref="C1428">_xlfn.SWITCH(Table22[[#This Row],[Country]],"USA","North America","Canada","North America","Brazil","South America","China","Asia","Japan","Asia","India","Asia","France","Europe","Germany","Europe","UK","Europe","Australia","Oceania","South America")</f>
        <v>Asia</v>
      </c>
      <c r="D1428" s="18" t="s">
        <v>35</v>
      </c>
      <c r="E1428" s="18" t="s">
        <v>19</v>
      </c>
      <c r="F1428" s="18" t="s">
        <v>64</v>
      </c>
      <c r="G1428" s="18" t="s">
        <v>29</v>
      </c>
      <c r="H1428" s="64">
        <f>LEN(TRIM(Table22[[#This Row],[Country]]))</f>
        <v>5</v>
      </c>
      <c r="I1428" s="64">
        <f>LEN(TRIM(Table22[[#This Row],[Continent]]))</f>
        <v>4</v>
      </c>
      <c r="J1428" s="64">
        <f>LEN(TRIM(Table22[[#This Row],[Product]]))</f>
        <v>6</v>
      </c>
      <c r="K1428" s="64">
        <f>LEN(TRIM(Table22[[#This Row],[Sales Team]]))</f>
        <v>10</v>
      </c>
      <c r="L1428" s="23">
        <v>61</v>
      </c>
      <c r="M1428" s="65" t="str" cm="1">
        <f t="array" ref="M1428">_xlfn.IFS(Table22[[#This Row],[Units Sold]]&lt;40,"Critical",Table22[[#This Row],[Units Sold]]&lt;=50,"Poor",Table22[[#This Row],[Units Sold]]&lt;=60,"Low",Table22[[#This Row],[Units Sold]]&lt;=80,"Average",Table22[[#This Row],[Units Sold]]&lt;=90,"High",Table22[[#This Row],[Units Sold]]&lt;=95,"Excellent",Table22[[#This Row],[Units Sold]]&gt;95,"Outstanding")</f>
        <v>Average</v>
      </c>
      <c r="N1428" s="29">
        <v>242.33</v>
      </c>
      <c r="O1428" s="29">
        <v>14782.13</v>
      </c>
      <c r="P1428" s="43">
        <f>IF(Table22[[#This Row],[Discount Applied]],Table22[[#This Row],[Total Sales (in USD)]]*(1-Table22[[#This Row],[Discount Percentage (%)]]/100),Table22[[#This Row],[Total Sales (in USD)]])</f>
        <v>11497.540714000001</v>
      </c>
      <c r="Q1428" s="66">
        <f>SQRT(AVERAGE((Table22[[#This Row],[Net Sales (after discount) (in USD)]]-AVERAGE(Table22[Net Sales (after discount) (in USD)]))^2))</f>
        <v>25013.819849764535</v>
      </c>
      <c r="R1428" s="18" t="b">
        <v>1</v>
      </c>
      <c r="S1428" s="40">
        <v>22.22</v>
      </c>
      <c r="T1428" s="18" t="b">
        <v>1</v>
      </c>
      <c r="U1428" s="25">
        <v>45492</v>
      </c>
      <c r="V1428" s="63" t="str">
        <f>IF(MONTH(Table22[[#This Row],[Sales Date]])&lt;=3,"Q1",IF(MONTH(Table22[[#This Row],[Sales Date]])&lt;=6,"Q2",IF(MONTH(Table22[[#This Row],[Sales Date]])&lt;=9,"Q3","Q4")))</f>
        <v>Q3</v>
      </c>
      <c r="W1428" s="64">
        <f>YEAR(Table22[[#This Row],[Sales Date]])</f>
        <v>2024</v>
      </c>
      <c r="X1428" s="23">
        <v>42</v>
      </c>
      <c r="Y1428" s="18" t="s">
        <v>49</v>
      </c>
      <c r="Z1428" s="18" t="s">
        <v>24</v>
      </c>
      <c r="AA1428" s="19" t="s">
        <v>36</v>
      </c>
    </row>
    <row r="1429" spans="1:27" x14ac:dyDescent="0.25">
      <c r="A1429" s="17" t="s">
        <v>1610</v>
      </c>
      <c r="B1429" s="18" t="s">
        <v>66</v>
      </c>
      <c r="C1429" s="63" t="str" cm="1">
        <f t="array" ref="C1429">_xlfn.SWITCH(Table22[[#This Row],[Country]],"USA","North America","Canada","North America","Brazil","South America","China","Asia","Japan","Asia","India","Asia","France","Europe","Germany","Europe","UK","Europe","Australia","Oceania","South America")</f>
        <v>North America</v>
      </c>
      <c r="D1429" s="18" t="s">
        <v>28</v>
      </c>
      <c r="E1429" s="18" t="s">
        <v>33</v>
      </c>
      <c r="F1429" s="18" t="s">
        <v>47</v>
      </c>
      <c r="G1429" s="18" t="s">
        <v>40</v>
      </c>
      <c r="H1429" s="64">
        <f>LEN(TRIM(Table22[[#This Row],[Country]]))</f>
        <v>6</v>
      </c>
      <c r="I1429" s="64">
        <f>LEN(TRIM(Table22[[#This Row],[Continent]]))</f>
        <v>13</v>
      </c>
      <c r="J1429" s="64">
        <f>LEN(TRIM(Table22[[#This Row],[Product]]))</f>
        <v>10</v>
      </c>
      <c r="K1429" s="64">
        <f>LEN(TRIM(Table22[[#This Row],[Sales Team]]))</f>
        <v>10</v>
      </c>
      <c r="L1429" s="23">
        <v>17</v>
      </c>
      <c r="M1429" s="65" t="str" cm="1">
        <f t="array" ref="M1429">_xlfn.IFS(Table22[[#This Row],[Units Sold]]&lt;40,"Critical",Table22[[#This Row],[Units Sold]]&lt;=50,"Poor",Table22[[#This Row],[Units Sold]]&lt;=60,"Low",Table22[[#This Row],[Units Sold]]&lt;=80,"Average",Table22[[#This Row],[Units Sold]]&lt;=90,"High",Table22[[#This Row],[Units Sold]]&lt;=95,"Excellent",Table22[[#This Row],[Units Sold]]&gt;95,"Outstanding")</f>
        <v>Critical</v>
      </c>
      <c r="N1429" s="29">
        <v>867.98</v>
      </c>
      <c r="O1429" s="29">
        <v>14755.66</v>
      </c>
      <c r="P1429" s="43">
        <f>IF(Table22[[#This Row],[Discount Applied]],Table22[[#This Row],[Total Sales (in USD)]]*(1-Table22[[#This Row],[Discount Percentage (%)]]/100),Table22[[#This Row],[Total Sales (in USD)]])</f>
        <v>10534.065673999999</v>
      </c>
      <c r="Q1429" s="66">
        <f>SQRT(AVERAGE((Table22[[#This Row],[Net Sales (after discount) (in USD)]]-AVERAGE(Table22[Net Sales (after discount) (in USD)]))^2))</f>
        <v>25977.29488976454</v>
      </c>
      <c r="R1429" s="18" t="b">
        <v>0</v>
      </c>
      <c r="S1429" s="40">
        <v>28.61</v>
      </c>
      <c r="T1429" s="18" t="b">
        <v>1</v>
      </c>
      <c r="U1429" s="25">
        <v>45547</v>
      </c>
      <c r="V1429" s="63" t="str">
        <f>IF(MONTH(Table22[[#This Row],[Sales Date]])&lt;=3,"Q1",IF(MONTH(Table22[[#This Row],[Sales Date]])&lt;=6,"Q2",IF(MONTH(Table22[[#This Row],[Sales Date]])&lt;=9,"Q3","Q4")))</f>
        <v>Q3</v>
      </c>
      <c r="W1429" s="64">
        <f>YEAR(Table22[[#This Row],[Sales Date]])</f>
        <v>2024</v>
      </c>
      <c r="X1429" s="23">
        <v>47</v>
      </c>
      <c r="Y1429" s="18" t="s">
        <v>41</v>
      </c>
      <c r="Z1429" s="18" t="s">
        <v>56</v>
      </c>
      <c r="AA1429" s="19" t="s">
        <v>25</v>
      </c>
    </row>
    <row r="1430" spans="1:27" x14ac:dyDescent="0.25">
      <c r="A1430" s="17" t="s">
        <v>1213</v>
      </c>
      <c r="B1430" s="18" t="s">
        <v>66</v>
      </c>
      <c r="C1430" s="63" t="str" cm="1">
        <f t="array" ref="C1430">_xlfn.SWITCH(Table22[[#This Row],[Country]],"USA","North America","Canada","North America","Brazil","South America","China","Asia","Japan","Asia","India","Asia","France","Europe","Germany","Europe","UK","Europe","Australia","Oceania","South America")</f>
        <v>North America</v>
      </c>
      <c r="D1430" s="18" t="s">
        <v>44</v>
      </c>
      <c r="E1430" s="18" t="s">
        <v>19</v>
      </c>
      <c r="F1430" s="18" t="s">
        <v>52</v>
      </c>
      <c r="G1430" s="18" t="s">
        <v>40</v>
      </c>
      <c r="H1430" s="64">
        <f>LEN(TRIM(Table22[[#This Row],[Country]]))</f>
        <v>6</v>
      </c>
      <c r="I1430" s="64">
        <f>LEN(TRIM(Table22[[#This Row],[Continent]]))</f>
        <v>13</v>
      </c>
      <c r="J1430" s="64">
        <f>LEN(TRIM(Table22[[#This Row],[Product]]))</f>
        <v>6</v>
      </c>
      <c r="K1430" s="64">
        <f>LEN(TRIM(Table22[[#This Row],[Sales Team]]))</f>
        <v>10</v>
      </c>
      <c r="L1430" s="23">
        <v>25</v>
      </c>
      <c r="M1430" s="65" t="str" cm="1">
        <f t="array" ref="M1430">_xlfn.IFS(Table22[[#This Row],[Units Sold]]&lt;40,"Critical",Table22[[#This Row],[Units Sold]]&lt;=50,"Poor",Table22[[#This Row],[Units Sold]]&lt;=60,"Low",Table22[[#This Row],[Units Sold]]&lt;=80,"Average",Table22[[#This Row],[Units Sold]]&lt;=90,"High",Table22[[#This Row],[Units Sold]]&lt;=95,"Excellent",Table22[[#This Row],[Units Sold]]&gt;95,"Outstanding")</f>
        <v>Critical</v>
      </c>
      <c r="N1430" s="29">
        <v>590.16</v>
      </c>
      <c r="O1430" s="29">
        <v>14754</v>
      </c>
      <c r="P1430" s="43">
        <f>IF(Table22[[#This Row],[Discount Applied]],Table22[[#This Row],[Total Sales (in USD)]]*(1-Table22[[#This Row],[Discount Percentage (%)]]/100),Table22[[#This Row],[Total Sales (in USD)]])</f>
        <v>14079.742200000001</v>
      </c>
      <c r="Q1430" s="66">
        <f>SQRT(AVERAGE((Table22[[#This Row],[Net Sales (after discount) (in USD)]]-AVERAGE(Table22[Net Sales (after discount) (in USD)]))^2))</f>
        <v>22431.618363764537</v>
      </c>
      <c r="R1430" s="18" t="b">
        <v>0</v>
      </c>
      <c r="S1430" s="40">
        <v>4.57</v>
      </c>
      <c r="T1430" s="18" t="b">
        <v>1</v>
      </c>
      <c r="U1430" s="25">
        <v>45575</v>
      </c>
      <c r="V1430" s="63" t="str">
        <f>IF(MONTH(Table22[[#This Row],[Sales Date]])&lt;=3,"Q1",IF(MONTH(Table22[[#This Row],[Sales Date]])&lt;=6,"Q2",IF(MONTH(Table22[[#This Row],[Sales Date]])&lt;=9,"Q3","Q4")))</f>
        <v>Q4</v>
      </c>
      <c r="W1430" s="64">
        <f>YEAR(Table22[[#This Row],[Sales Date]])</f>
        <v>2024</v>
      </c>
      <c r="X1430" s="23">
        <v>57</v>
      </c>
      <c r="Y1430" s="18" t="s">
        <v>41</v>
      </c>
      <c r="Z1430" s="18" t="s">
        <v>42</v>
      </c>
      <c r="AA1430" s="19" t="s">
        <v>36</v>
      </c>
    </row>
    <row r="1431" spans="1:27" x14ac:dyDescent="0.25">
      <c r="A1431" s="17" t="s">
        <v>2048</v>
      </c>
      <c r="B1431" s="18" t="s">
        <v>18</v>
      </c>
      <c r="C1431" s="63" t="str" cm="1">
        <f t="array" ref="C1431">_xlfn.SWITCH(Table22[[#This Row],[Country]],"USA","North America","Canada","North America","Brazil","South America","China","Asia","Japan","Asia","India","Asia","France","Europe","Germany","Europe","UK","Europe","Australia","Oceania","South America")</f>
        <v>Asia</v>
      </c>
      <c r="D1431" s="18" t="s">
        <v>21</v>
      </c>
      <c r="E1431" s="18" t="s">
        <v>33</v>
      </c>
      <c r="F1431" s="18" t="s">
        <v>64</v>
      </c>
      <c r="G1431" s="18" t="s">
        <v>48</v>
      </c>
      <c r="H1431" s="64">
        <f>LEN(TRIM(Table22[[#This Row],[Country]]))</f>
        <v>5</v>
      </c>
      <c r="I1431" s="64">
        <f>LEN(TRIM(Table22[[#This Row],[Continent]]))</f>
        <v>4</v>
      </c>
      <c r="J1431" s="64">
        <f>LEN(TRIM(Table22[[#This Row],[Product]]))</f>
        <v>10</v>
      </c>
      <c r="K1431" s="64">
        <f>LEN(TRIM(Table22[[#This Row],[Sales Team]]))</f>
        <v>9</v>
      </c>
      <c r="L1431" s="23">
        <v>31</v>
      </c>
      <c r="M1431" s="65" t="str" cm="1">
        <f t="array" ref="M1431">_xlfn.IFS(Table22[[#This Row],[Units Sold]]&lt;40,"Critical",Table22[[#This Row],[Units Sold]]&lt;=50,"Poor",Table22[[#This Row],[Units Sold]]&lt;=60,"Low",Table22[[#This Row],[Units Sold]]&lt;=80,"Average",Table22[[#This Row],[Units Sold]]&lt;=90,"High",Table22[[#This Row],[Units Sold]]&lt;=95,"Excellent",Table22[[#This Row],[Units Sold]]&gt;95,"Outstanding")</f>
        <v>Critical</v>
      </c>
      <c r="N1431" s="29">
        <v>475.42</v>
      </c>
      <c r="O1431" s="29">
        <v>14738.02</v>
      </c>
      <c r="P1431" s="43">
        <f>IF(Table22[[#This Row],[Discount Applied]],Table22[[#This Row],[Total Sales (in USD)]]*(1-Table22[[#This Row],[Discount Percentage (%)]]/100),Table22[[#This Row],[Total Sales (in USD)]])</f>
        <v>11452.915342</v>
      </c>
      <c r="Q1431" s="66">
        <f>SQRT(AVERAGE((Table22[[#This Row],[Net Sales (after discount) (in USD)]]-AVERAGE(Table22[Net Sales (after discount) (in USD)]))^2))</f>
        <v>25058.445221764538</v>
      </c>
      <c r="R1431" s="18" t="b">
        <v>1</v>
      </c>
      <c r="S1431" s="40">
        <v>22.29</v>
      </c>
      <c r="T1431" s="18" t="b">
        <v>1</v>
      </c>
      <c r="U1431" s="25">
        <v>45488</v>
      </c>
      <c r="V1431" s="63" t="str">
        <f>IF(MONTH(Table22[[#This Row],[Sales Date]])&lt;=3,"Q1",IF(MONTH(Table22[[#This Row],[Sales Date]])&lt;=6,"Q2",IF(MONTH(Table22[[#This Row],[Sales Date]])&lt;=9,"Q3","Q4")))</f>
        <v>Q3</v>
      </c>
      <c r="W1431" s="64">
        <f>YEAR(Table22[[#This Row],[Sales Date]])</f>
        <v>2024</v>
      </c>
      <c r="X1431" s="23">
        <v>50</v>
      </c>
      <c r="Y1431" s="18" t="s">
        <v>23</v>
      </c>
      <c r="Z1431" s="18" t="s">
        <v>30</v>
      </c>
      <c r="AA1431" s="19" t="s">
        <v>25</v>
      </c>
    </row>
    <row r="1432" spans="1:27" x14ac:dyDescent="0.25">
      <c r="A1432" s="17" t="s">
        <v>242</v>
      </c>
      <c r="B1432" s="18" t="s">
        <v>27</v>
      </c>
      <c r="C1432" s="63" t="str" cm="1">
        <f t="array" ref="C1432">_xlfn.SWITCH(Table22[[#This Row],[Country]],"USA","North America","Canada","North America","Brazil","South America","China","Asia","Japan","Asia","India","Asia","France","Europe","Germany","Europe","UK","Europe","Australia","Oceania","South America")</f>
        <v>Europe</v>
      </c>
      <c r="D1432" s="18" t="s">
        <v>35</v>
      </c>
      <c r="E1432" s="18" t="s">
        <v>39</v>
      </c>
      <c r="F1432" s="18" t="s">
        <v>20</v>
      </c>
      <c r="G1432" s="18" t="s">
        <v>29</v>
      </c>
      <c r="H1432" s="64">
        <f>LEN(TRIM(Table22[[#This Row],[Country]]))</f>
        <v>7</v>
      </c>
      <c r="I1432" s="64">
        <f>LEN(TRIM(Table22[[#This Row],[Continent]]))</f>
        <v>6</v>
      </c>
      <c r="J1432" s="64">
        <f>LEN(TRIM(Table22[[#This Row],[Product]]))</f>
        <v>10</v>
      </c>
      <c r="K1432" s="64">
        <f>LEN(TRIM(Table22[[#This Row],[Sales Team]]))</f>
        <v>10</v>
      </c>
      <c r="L1432" s="23">
        <v>80</v>
      </c>
      <c r="M1432" s="65" t="str" cm="1">
        <f t="array" ref="M1432">_xlfn.IFS(Table22[[#This Row],[Units Sold]]&lt;40,"Critical",Table22[[#This Row],[Units Sold]]&lt;=50,"Poor",Table22[[#This Row],[Units Sold]]&lt;=60,"Low",Table22[[#This Row],[Units Sold]]&lt;=80,"Average",Table22[[#This Row],[Units Sold]]&lt;=90,"High",Table22[[#This Row],[Units Sold]]&lt;=95,"Excellent",Table22[[#This Row],[Units Sold]]&gt;95,"Outstanding")</f>
        <v>Average</v>
      </c>
      <c r="N1432" s="29">
        <v>183.9</v>
      </c>
      <c r="O1432" s="29">
        <v>14712</v>
      </c>
      <c r="P1432" s="43">
        <f>IF(Table22[[#This Row],[Discount Applied]],Table22[[#This Row],[Total Sales (in USD)]]*(1-Table22[[#This Row],[Discount Percentage (%)]]/100),Table22[[#This Row],[Total Sales (in USD)]])</f>
        <v>10514.6664</v>
      </c>
      <c r="Q1432" s="66">
        <f>SQRT(AVERAGE((Table22[[#This Row],[Net Sales (after discount) (in USD)]]-AVERAGE(Table22[Net Sales (after discount) (in USD)]))^2))</f>
        <v>25996.694163764536</v>
      </c>
      <c r="R1432" s="18" t="b">
        <v>0</v>
      </c>
      <c r="S1432" s="40">
        <v>28.53</v>
      </c>
      <c r="T1432" s="18" t="b">
        <v>1</v>
      </c>
      <c r="U1432" s="25">
        <v>45466</v>
      </c>
      <c r="V1432" s="63" t="str">
        <f>IF(MONTH(Table22[[#This Row],[Sales Date]])&lt;=3,"Q1",IF(MONTH(Table22[[#This Row],[Sales Date]])&lt;=6,"Q2",IF(MONTH(Table22[[#This Row],[Sales Date]])&lt;=9,"Q3","Q4")))</f>
        <v>Q2</v>
      </c>
      <c r="W1432" s="64">
        <f>YEAR(Table22[[#This Row],[Sales Date]])</f>
        <v>2024</v>
      </c>
      <c r="X1432" s="23">
        <v>67</v>
      </c>
      <c r="Y1432" s="18" t="s">
        <v>49</v>
      </c>
      <c r="Z1432" s="18" t="s">
        <v>24</v>
      </c>
      <c r="AA1432" s="19" t="s">
        <v>25</v>
      </c>
    </row>
    <row r="1433" spans="1:27" x14ac:dyDescent="0.25">
      <c r="A1433" s="17" t="s">
        <v>361</v>
      </c>
      <c r="B1433" s="18" t="s">
        <v>72</v>
      </c>
      <c r="C1433" s="63" t="str" cm="1">
        <f t="array" ref="C1433">_xlfn.SWITCH(Table22[[#This Row],[Country]],"USA","North America","Canada","North America","Brazil","South America","China","Asia","Japan","Asia","India","Asia","France","Europe","Germany","Europe","UK","Europe","Australia","Oceania","South America")</f>
        <v>North America</v>
      </c>
      <c r="D1433" s="18" t="s">
        <v>44</v>
      </c>
      <c r="E1433" s="18" t="s">
        <v>39</v>
      </c>
      <c r="F1433" s="18" t="s">
        <v>64</v>
      </c>
      <c r="G1433" s="18" t="s">
        <v>48</v>
      </c>
      <c r="H1433" s="64">
        <f>LEN(TRIM(Table22[[#This Row],[Country]]))</f>
        <v>3</v>
      </c>
      <c r="I1433" s="64">
        <f>LEN(TRIM(Table22[[#This Row],[Continent]]))</f>
        <v>13</v>
      </c>
      <c r="J1433" s="64">
        <f>LEN(TRIM(Table22[[#This Row],[Product]]))</f>
        <v>10</v>
      </c>
      <c r="K1433" s="64">
        <f>LEN(TRIM(Table22[[#This Row],[Sales Team]]))</f>
        <v>9</v>
      </c>
      <c r="L1433" s="23">
        <v>34</v>
      </c>
      <c r="M1433" s="65" t="str" cm="1">
        <f t="array" ref="M1433">_xlfn.IFS(Table22[[#This Row],[Units Sold]]&lt;40,"Critical",Table22[[#This Row],[Units Sold]]&lt;=50,"Poor",Table22[[#This Row],[Units Sold]]&lt;=60,"Low",Table22[[#This Row],[Units Sold]]&lt;=80,"Average",Table22[[#This Row],[Units Sold]]&lt;=90,"High",Table22[[#This Row],[Units Sold]]&lt;=95,"Excellent",Table22[[#This Row],[Units Sold]]&gt;95,"Outstanding")</f>
        <v>Critical</v>
      </c>
      <c r="N1433" s="29">
        <v>430.34</v>
      </c>
      <c r="O1433" s="29">
        <v>14631.56</v>
      </c>
      <c r="P1433" s="43">
        <f>IF(Table22[[#This Row],[Discount Applied]],Table22[[#This Row],[Total Sales (in USD)]]*(1-Table22[[#This Row],[Discount Percentage (%)]]/100),Table22[[#This Row],[Total Sales (in USD)]])</f>
        <v>14631.56</v>
      </c>
      <c r="Q1433" s="66">
        <f>SQRT(AVERAGE((Table22[[#This Row],[Net Sales (after discount) (in USD)]]-AVERAGE(Table22[Net Sales (after discount) (in USD)]))^2))</f>
        <v>21879.80056376454</v>
      </c>
      <c r="R1433" s="18" t="b">
        <v>0</v>
      </c>
      <c r="S1433" s="40">
        <v>1.97</v>
      </c>
      <c r="T1433" s="18" t="b">
        <v>0</v>
      </c>
      <c r="U1433" s="25">
        <v>44998</v>
      </c>
      <c r="V1433" s="63" t="str">
        <f>IF(MONTH(Table22[[#This Row],[Sales Date]])&lt;=3,"Q1",IF(MONTH(Table22[[#This Row],[Sales Date]])&lt;=6,"Q2",IF(MONTH(Table22[[#This Row],[Sales Date]])&lt;=9,"Q3","Q4")))</f>
        <v>Q1</v>
      </c>
      <c r="W1433" s="64">
        <f>YEAR(Table22[[#This Row],[Sales Date]])</f>
        <v>2023</v>
      </c>
      <c r="X1433" s="23">
        <v>20</v>
      </c>
      <c r="Y1433" s="18" t="s">
        <v>49</v>
      </c>
      <c r="Z1433" s="18" t="s">
        <v>56</v>
      </c>
      <c r="AA1433" s="19" t="s">
        <v>36</v>
      </c>
    </row>
    <row r="1434" spans="1:27" x14ac:dyDescent="0.25">
      <c r="A1434" s="17" t="s">
        <v>1778</v>
      </c>
      <c r="B1434" s="18" t="s">
        <v>38</v>
      </c>
      <c r="C1434" s="63" t="str" cm="1">
        <f t="array" ref="C1434">_xlfn.SWITCH(Table22[[#This Row],[Country]],"USA","North America","Canada","North America","Brazil","South America","China","Asia","Japan","Asia","India","Asia","France","Europe","Germany","Europe","UK","Europe","Australia","Oceania","South America")</f>
        <v>Europe</v>
      </c>
      <c r="D1434" s="18" t="s">
        <v>35</v>
      </c>
      <c r="E1434" s="18" t="s">
        <v>19</v>
      </c>
      <c r="F1434" s="18" t="s">
        <v>64</v>
      </c>
      <c r="G1434" s="18" t="s">
        <v>48</v>
      </c>
      <c r="H1434" s="64">
        <f>LEN(TRIM(Table22[[#This Row],[Country]]))</f>
        <v>6</v>
      </c>
      <c r="I1434" s="64">
        <f>LEN(TRIM(Table22[[#This Row],[Continent]]))</f>
        <v>6</v>
      </c>
      <c r="J1434" s="64">
        <f>LEN(TRIM(Table22[[#This Row],[Product]]))</f>
        <v>6</v>
      </c>
      <c r="K1434" s="64">
        <f>LEN(TRIM(Table22[[#This Row],[Sales Team]]))</f>
        <v>9</v>
      </c>
      <c r="L1434" s="23">
        <v>52</v>
      </c>
      <c r="M1434" s="65" t="str" cm="1">
        <f t="array" ref="M1434">_xlfn.IFS(Table22[[#This Row],[Units Sold]]&lt;40,"Critical",Table22[[#This Row],[Units Sold]]&lt;=50,"Poor",Table22[[#This Row],[Units Sold]]&lt;=60,"Low",Table22[[#This Row],[Units Sold]]&lt;=80,"Average",Table22[[#This Row],[Units Sold]]&lt;=90,"High",Table22[[#This Row],[Units Sold]]&lt;=95,"Excellent",Table22[[#This Row],[Units Sold]]&gt;95,"Outstanding")</f>
        <v>Low</v>
      </c>
      <c r="N1434" s="29">
        <v>281.12</v>
      </c>
      <c r="O1434" s="29">
        <v>14618.24</v>
      </c>
      <c r="P1434" s="43">
        <f>IF(Table22[[#This Row],[Discount Applied]],Table22[[#This Row],[Total Sales (in USD)]]*(1-Table22[[#This Row],[Discount Percentage (%)]]/100),Table22[[#This Row],[Total Sales (in USD)]])</f>
        <v>11902.171008000001</v>
      </c>
      <c r="Q1434" s="66">
        <f>SQRT(AVERAGE((Table22[[#This Row],[Net Sales (after discount) (in USD)]]-AVERAGE(Table22[Net Sales (after discount) (in USD)]))^2))</f>
        <v>24609.189555764537</v>
      </c>
      <c r="R1434" s="18" t="b">
        <v>0</v>
      </c>
      <c r="S1434" s="40">
        <v>18.579999999999998</v>
      </c>
      <c r="T1434" s="18" t="b">
        <v>1</v>
      </c>
      <c r="U1434" s="25">
        <v>45580</v>
      </c>
      <c r="V1434" s="63" t="str">
        <f>IF(MONTH(Table22[[#This Row],[Sales Date]])&lt;=3,"Q1",IF(MONTH(Table22[[#This Row],[Sales Date]])&lt;=6,"Q2",IF(MONTH(Table22[[#This Row],[Sales Date]])&lt;=9,"Q3","Q4")))</f>
        <v>Q4</v>
      </c>
      <c r="W1434" s="64">
        <f>YEAR(Table22[[#This Row],[Sales Date]])</f>
        <v>2024</v>
      </c>
      <c r="X1434" s="23">
        <v>67</v>
      </c>
      <c r="Y1434" s="18" t="s">
        <v>41</v>
      </c>
      <c r="Z1434" s="18" t="s">
        <v>24</v>
      </c>
      <c r="AA1434" s="19" t="s">
        <v>36</v>
      </c>
    </row>
    <row r="1435" spans="1:27" x14ac:dyDescent="0.25">
      <c r="A1435" s="17" t="s">
        <v>1394</v>
      </c>
      <c r="B1435" s="18" t="s">
        <v>46</v>
      </c>
      <c r="C1435" s="63" t="str" cm="1">
        <f t="array" ref="C1435">_xlfn.SWITCH(Table22[[#This Row],[Country]],"USA","North America","Canada","North America","Brazil","South America","China","Asia","Japan","Asia","India","Asia","France","Europe","Germany","Europe","UK","Europe","Australia","Oceania","South America")</f>
        <v>South America</v>
      </c>
      <c r="D1435" s="18" t="s">
        <v>28</v>
      </c>
      <c r="E1435" s="18" t="s">
        <v>39</v>
      </c>
      <c r="F1435" s="18" t="s">
        <v>64</v>
      </c>
      <c r="G1435" s="18" t="s">
        <v>48</v>
      </c>
      <c r="H1435" s="64">
        <f>LEN(TRIM(Table22[[#This Row],[Country]]))</f>
        <v>6</v>
      </c>
      <c r="I1435" s="64">
        <f>LEN(TRIM(Table22[[#This Row],[Continent]]))</f>
        <v>13</v>
      </c>
      <c r="J1435" s="64">
        <f>LEN(TRIM(Table22[[#This Row],[Product]]))</f>
        <v>10</v>
      </c>
      <c r="K1435" s="64">
        <f>LEN(TRIM(Table22[[#This Row],[Sales Team]]))</f>
        <v>9</v>
      </c>
      <c r="L1435" s="23">
        <v>17</v>
      </c>
      <c r="M1435" s="65" t="str" cm="1">
        <f t="array" ref="M1435">_xlfn.IFS(Table22[[#This Row],[Units Sold]]&lt;40,"Critical",Table22[[#This Row],[Units Sold]]&lt;=50,"Poor",Table22[[#This Row],[Units Sold]]&lt;=60,"Low",Table22[[#This Row],[Units Sold]]&lt;=80,"Average",Table22[[#This Row],[Units Sold]]&lt;=90,"High",Table22[[#This Row],[Units Sold]]&lt;=95,"Excellent",Table22[[#This Row],[Units Sold]]&gt;95,"Outstanding")</f>
        <v>Critical</v>
      </c>
      <c r="N1435" s="29">
        <v>857.54</v>
      </c>
      <c r="O1435" s="29">
        <v>14578.18</v>
      </c>
      <c r="P1435" s="43">
        <f>IF(Table22[[#This Row],[Discount Applied]],Table22[[#This Row],[Total Sales (in USD)]]*(1-Table22[[#This Row],[Discount Percentage (%)]]/100),Table22[[#This Row],[Total Sales (in USD)]])</f>
        <v>14578.18</v>
      </c>
      <c r="Q1435" s="66">
        <f>SQRT(AVERAGE((Table22[[#This Row],[Net Sales (after discount) (in USD)]]-AVERAGE(Table22[Net Sales (after discount) (in USD)]))^2))</f>
        <v>21933.180563764538</v>
      </c>
      <c r="R1435" s="18" t="b">
        <v>1</v>
      </c>
      <c r="S1435" s="40">
        <v>16.55</v>
      </c>
      <c r="T1435" s="18" t="b">
        <v>0</v>
      </c>
      <c r="U1435" s="25">
        <v>45448</v>
      </c>
      <c r="V1435" s="63" t="str">
        <f>IF(MONTH(Table22[[#This Row],[Sales Date]])&lt;=3,"Q1",IF(MONTH(Table22[[#This Row],[Sales Date]])&lt;=6,"Q2",IF(MONTH(Table22[[#This Row],[Sales Date]])&lt;=9,"Q3","Q4")))</f>
        <v>Q2</v>
      </c>
      <c r="W1435" s="64">
        <f>YEAR(Table22[[#This Row],[Sales Date]])</f>
        <v>2024</v>
      </c>
      <c r="X1435" s="23">
        <v>30</v>
      </c>
      <c r="Y1435" s="18" t="s">
        <v>49</v>
      </c>
      <c r="Z1435" s="18" t="s">
        <v>30</v>
      </c>
      <c r="AA1435" s="19" t="s">
        <v>25</v>
      </c>
    </row>
    <row r="1436" spans="1:27" x14ac:dyDescent="0.25">
      <c r="A1436" s="17" t="s">
        <v>1378</v>
      </c>
      <c r="B1436" s="18" t="s">
        <v>32</v>
      </c>
      <c r="C1436" s="63" t="str" cm="1">
        <f t="array" ref="C1436">_xlfn.SWITCH(Table22[[#This Row],[Country]],"USA","North America","Canada","North America","Brazil","South America","China","Asia","Japan","Asia","India","Asia","France","Europe","Germany","Europe","UK","Europe","Australia","Oceania","South America")</f>
        <v>Asia</v>
      </c>
      <c r="D1436" s="18" t="s">
        <v>28</v>
      </c>
      <c r="E1436" s="18" t="s">
        <v>19</v>
      </c>
      <c r="F1436" s="18" t="s">
        <v>64</v>
      </c>
      <c r="G1436" s="18" t="s">
        <v>48</v>
      </c>
      <c r="H1436" s="64">
        <f>LEN(TRIM(Table22[[#This Row],[Country]]))</f>
        <v>5</v>
      </c>
      <c r="I1436" s="64">
        <f>LEN(TRIM(Table22[[#This Row],[Continent]]))</f>
        <v>4</v>
      </c>
      <c r="J1436" s="64">
        <f>LEN(TRIM(Table22[[#This Row],[Product]]))</f>
        <v>6</v>
      </c>
      <c r="K1436" s="64">
        <f>LEN(TRIM(Table22[[#This Row],[Sales Team]]))</f>
        <v>9</v>
      </c>
      <c r="L1436" s="23">
        <v>49</v>
      </c>
      <c r="M1436" s="65" t="str" cm="1">
        <f t="array" ref="M1436">_xlfn.IFS(Table22[[#This Row],[Units Sold]]&lt;40,"Critical",Table22[[#This Row],[Units Sold]]&lt;=50,"Poor",Table22[[#This Row],[Units Sold]]&lt;=60,"Low",Table22[[#This Row],[Units Sold]]&lt;=80,"Average",Table22[[#This Row],[Units Sold]]&lt;=90,"High",Table22[[#This Row],[Units Sold]]&lt;=95,"Excellent",Table22[[#This Row],[Units Sold]]&gt;95,"Outstanding")</f>
        <v>Poor</v>
      </c>
      <c r="N1436" s="29">
        <v>296.89</v>
      </c>
      <c r="O1436" s="29">
        <v>14547.61</v>
      </c>
      <c r="P1436" s="43">
        <f>IF(Table22[[#This Row],[Discount Applied]],Table22[[#This Row],[Total Sales (in USD)]]*(1-Table22[[#This Row],[Discount Percentage (%)]]/100),Table22[[#This Row],[Total Sales (in USD)]])</f>
        <v>14547.61</v>
      </c>
      <c r="Q1436" s="66">
        <f>SQRT(AVERAGE((Table22[[#This Row],[Net Sales (after discount) (in USD)]]-AVERAGE(Table22[Net Sales (after discount) (in USD)]))^2))</f>
        <v>21963.750563764537</v>
      </c>
      <c r="R1436" s="18" t="b">
        <v>1</v>
      </c>
      <c r="S1436" s="40">
        <v>19.75</v>
      </c>
      <c r="T1436" s="18" t="b">
        <v>0</v>
      </c>
      <c r="U1436" s="25">
        <v>44943</v>
      </c>
      <c r="V1436" s="63" t="str">
        <f>IF(MONTH(Table22[[#This Row],[Sales Date]])&lt;=3,"Q1",IF(MONTH(Table22[[#This Row],[Sales Date]])&lt;=6,"Q2",IF(MONTH(Table22[[#This Row],[Sales Date]])&lt;=9,"Q3","Q4")))</f>
        <v>Q1</v>
      </c>
      <c r="W1436" s="64">
        <f>YEAR(Table22[[#This Row],[Sales Date]])</f>
        <v>2023</v>
      </c>
      <c r="X1436" s="23">
        <v>66</v>
      </c>
      <c r="Y1436" s="18" t="s">
        <v>41</v>
      </c>
      <c r="Z1436" s="18" t="s">
        <v>24</v>
      </c>
      <c r="AA1436" s="19" t="s">
        <v>36</v>
      </c>
    </row>
    <row r="1437" spans="1:27" x14ac:dyDescent="0.25">
      <c r="A1437" s="17" t="s">
        <v>832</v>
      </c>
      <c r="B1437" s="18" t="s">
        <v>18</v>
      </c>
      <c r="C1437" s="63" t="str" cm="1">
        <f t="array" ref="C1437">_xlfn.SWITCH(Table22[[#This Row],[Country]],"USA","North America","Canada","North America","Brazil","South America","China","Asia","Japan","Asia","India","Asia","France","Europe","Germany","Europe","UK","Europe","Australia","Oceania","South America")</f>
        <v>Asia</v>
      </c>
      <c r="D1437" s="18" t="s">
        <v>21</v>
      </c>
      <c r="E1437" s="18" t="s">
        <v>19</v>
      </c>
      <c r="F1437" s="18" t="s">
        <v>52</v>
      </c>
      <c r="G1437" s="18" t="s">
        <v>29</v>
      </c>
      <c r="H1437" s="64">
        <f>LEN(TRIM(Table22[[#This Row],[Country]]))</f>
        <v>5</v>
      </c>
      <c r="I1437" s="64">
        <f>LEN(TRIM(Table22[[#This Row],[Continent]]))</f>
        <v>4</v>
      </c>
      <c r="J1437" s="64">
        <f>LEN(TRIM(Table22[[#This Row],[Product]]))</f>
        <v>6</v>
      </c>
      <c r="K1437" s="64">
        <f>LEN(TRIM(Table22[[#This Row],[Sales Team]]))</f>
        <v>10</v>
      </c>
      <c r="L1437" s="23">
        <v>25</v>
      </c>
      <c r="M1437" s="65" t="str" cm="1">
        <f t="array" ref="M1437">_xlfn.IFS(Table22[[#This Row],[Units Sold]]&lt;40,"Critical",Table22[[#This Row],[Units Sold]]&lt;=50,"Poor",Table22[[#This Row],[Units Sold]]&lt;=60,"Low",Table22[[#This Row],[Units Sold]]&lt;=80,"Average",Table22[[#This Row],[Units Sold]]&lt;=90,"High",Table22[[#This Row],[Units Sold]]&lt;=95,"Excellent",Table22[[#This Row],[Units Sold]]&gt;95,"Outstanding")</f>
        <v>Critical</v>
      </c>
      <c r="N1437" s="29">
        <v>581.87</v>
      </c>
      <c r="O1437" s="29">
        <v>14546.75</v>
      </c>
      <c r="P1437" s="43">
        <f>IF(Table22[[#This Row],[Discount Applied]],Table22[[#This Row],[Total Sales (in USD)]]*(1-Table22[[#This Row],[Discount Percentage (%)]]/100),Table22[[#This Row],[Total Sales (in USD)]])</f>
        <v>11695.587000000001</v>
      </c>
      <c r="Q1437" s="66">
        <f>SQRT(AVERAGE((Table22[[#This Row],[Net Sales (after discount) (in USD)]]-AVERAGE(Table22[Net Sales (after discount) (in USD)]))^2))</f>
        <v>24815.773563764538</v>
      </c>
      <c r="R1437" s="18" t="b">
        <v>0</v>
      </c>
      <c r="S1437" s="40">
        <v>19.600000000000001</v>
      </c>
      <c r="T1437" s="18" t="b">
        <v>1</v>
      </c>
      <c r="U1437" s="25">
        <v>44964</v>
      </c>
      <c r="V1437" s="63" t="str">
        <f>IF(MONTH(Table22[[#This Row],[Sales Date]])&lt;=3,"Q1",IF(MONTH(Table22[[#This Row],[Sales Date]])&lt;=6,"Q2",IF(MONTH(Table22[[#This Row],[Sales Date]])&lt;=9,"Q3","Q4")))</f>
        <v>Q1</v>
      </c>
      <c r="W1437" s="64">
        <f>YEAR(Table22[[#This Row],[Sales Date]])</f>
        <v>2023</v>
      </c>
      <c r="X1437" s="23">
        <v>62</v>
      </c>
      <c r="Y1437" s="18" t="s">
        <v>41</v>
      </c>
      <c r="Z1437" s="18" t="s">
        <v>42</v>
      </c>
      <c r="AA1437" s="19" t="s">
        <v>36</v>
      </c>
    </row>
    <row r="1438" spans="1:27" x14ac:dyDescent="0.25">
      <c r="A1438" s="17" t="s">
        <v>1075</v>
      </c>
      <c r="B1438" s="18" t="s">
        <v>62</v>
      </c>
      <c r="C1438" s="63" t="str" cm="1">
        <f t="array" ref="C1438">_xlfn.SWITCH(Table22[[#This Row],[Country]],"USA","North America","Canada","North America","Brazil","South America","China","Asia","Japan","Asia","India","Asia","France","Europe","Germany","Europe","UK","Europe","Australia","Oceania","South America")</f>
        <v>Oceania</v>
      </c>
      <c r="D1438" s="18" t="s">
        <v>44</v>
      </c>
      <c r="E1438" s="18" t="s">
        <v>33</v>
      </c>
      <c r="F1438" s="18" t="s">
        <v>64</v>
      </c>
      <c r="G1438" s="18" t="s">
        <v>29</v>
      </c>
      <c r="H1438" s="64">
        <f>LEN(TRIM(Table22[[#This Row],[Country]]))</f>
        <v>9</v>
      </c>
      <c r="I1438" s="64">
        <f>LEN(TRIM(Table22[[#This Row],[Continent]]))</f>
        <v>7</v>
      </c>
      <c r="J1438" s="64">
        <f>LEN(TRIM(Table22[[#This Row],[Product]]))</f>
        <v>10</v>
      </c>
      <c r="K1438" s="64">
        <f>LEN(TRIM(Table22[[#This Row],[Sales Team]]))</f>
        <v>10</v>
      </c>
      <c r="L1438" s="23">
        <v>30</v>
      </c>
      <c r="M1438" s="65" t="str" cm="1">
        <f t="array" ref="M1438">_xlfn.IFS(Table22[[#This Row],[Units Sold]]&lt;40,"Critical",Table22[[#This Row],[Units Sold]]&lt;=50,"Poor",Table22[[#This Row],[Units Sold]]&lt;=60,"Low",Table22[[#This Row],[Units Sold]]&lt;=80,"Average",Table22[[#This Row],[Units Sold]]&lt;=90,"High",Table22[[#This Row],[Units Sold]]&lt;=95,"Excellent",Table22[[#This Row],[Units Sold]]&gt;95,"Outstanding")</f>
        <v>Critical</v>
      </c>
      <c r="N1438" s="29">
        <v>483.47</v>
      </c>
      <c r="O1438" s="29">
        <v>14504.1</v>
      </c>
      <c r="P1438" s="43">
        <f>IF(Table22[[#This Row],[Discount Applied]],Table22[[#This Row],[Total Sales (in USD)]]*(1-Table22[[#This Row],[Discount Percentage (%)]]/100),Table22[[#This Row],[Total Sales (in USD)]])</f>
        <v>10508.220449999999</v>
      </c>
      <c r="Q1438" s="66">
        <f>SQRT(AVERAGE((Table22[[#This Row],[Net Sales (after discount) (in USD)]]-AVERAGE(Table22[Net Sales (after discount) (in USD)]))^2))</f>
        <v>26003.140113764537</v>
      </c>
      <c r="R1438" s="18" t="b">
        <v>1</v>
      </c>
      <c r="S1438" s="40">
        <v>27.55</v>
      </c>
      <c r="T1438" s="18" t="b">
        <v>1</v>
      </c>
      <c r="U1438" s="25">
        <v>44954</v>
      </c>
      <c r="V1438" s="63" t="str">
        <f>IF(MONTH(Table22[[#This Row],[Sales Date]])&lt;=3,"Q1",IF(MONTH(Table22[[#This Row],[Sales Date]])&lt;=6,"Q2",IF(MONTH(Table22[[#This Row],[Sales Date]])&lt;=9,"Q3","Q4")))</f>
        <v>Q1</v>
      </c>
      <c r="W1438" s="64">
        <f>YEAR(Table22[[#This Row],[Sales Date]])</f>
        <v>2023</v>
      </c>
      <c r="X1438" s="23">
        <v>37</v>
      </c>
      <c r="Y1438" s="18" t="s">
        <v>49</v>
      </c>
      <c r="Z1438" s="18" t="s">
        <v>24</v>
      </c>
      <c r="AA1438" s="19" t="s">
        <v>36</v>
      </c>
    </row>
    <row r="1439" spans="1:27" x14ac:dyDescent="0.25">
      <c r="A1439" s="17" t="s">
        <v>1765</v>
      </c>
      <c r="B1439" s="18" t="s">
        <v>66</v>
      </c>
      <c r="C1439" s="63" t="str" cm="1">
        <f t="array" ref="C1439">_xlfn.SWITCH(Table22[[#This Row],[Country]],"USA","North America","Canada","North America","Brazil","South America","China","Asia","Japan","Asia","India","Asia","France","Europe","Germany","Europe","UK","Europe","Australia","Oceania","South America")</f>
        <v>North America</v>
      </c>
      <c r="D1439" s="18" t="s">
        <v>21</v>
      </c>
      <c r="E1439" s="18" t="s">
        <v>39</v>
      </c>
      <c r="F1439" s="18" t="s">
        <v>34</v>
      </c>
      <c r="G1439" s="18" t="s">
        <v>48</v>
      </c>
      <c r="H1439" s="64">
        <f>LEN(TRIM(Table22[[#This Row],[Country]]))</f>
        <v>6</v>
      </c>
      <c r="I1439" s="64">
        <f>LEN(TRIM(Table22[[#This Row],[Continent]]))</f>
        <v>13</v>
      </c>
      <c r="J1439" s="64">
        <f>LEN(TRIM(Table22[[#This Row],[Product]]))</f>
        <v>10</v>
      </c>
      <c r="K1439" s="64">
        <f>LEN(TRIM(Table22[[#This Row],[Sales Team]]))</f>
        <v>9</v>
      </c>
      <c r="L1439" s="23">
        <v>10</v>
      </c>
      <c r="M1439" s="65" t="str" cm="1">
        <f t="array" ref="M1439">_xlfn.IFS(Table22[[#This Row],[Units Sold]]&lt;40,"Critical",Table22[[#This Row],[Units Sold]]&lt;=50,"Poor",Table22[[#This Row],[Units Sold]]&lt;=60,"Low",Table22[[#This Row],[Units Sold]]&lt;=80,"Average",Table22[[#This Row],[Units Sold]]&lt;=90,"High",Table22[[#This Row],[Units Sold]]&lt;=95,"Excellent",Table22[[#This Row],[Units Sold]]&gt;95,"Outstanding")</f>
        <v>Critical</v>
      </c>
      <c r="N1439" s="29">
        <v>1447.72</v>
      </c>
      <c r="O1439" s="29">
        <v>14477.2</v>
      </c>
      <c r="P1439" s="43">
        <f>IF(Table22[[#This Row],[Discount Applied]],Table22[[#This Row],[Total Sales (in USD)]]*(1-Table22[[#This Row],[Discount Percentage (%)]]/100),Table22[[#This Row],[Total Sales (in USD)]])</f>
        <v>10604.548999999999</v>
      </c>
      <c r="Q1439" s="66">
        <f>SQRT(AVERAGE((Table22[[#This Row],[Net Sales (after discount) (in USD)]]-AVERAGE(Table22[Net Sales (after discount) (in USD)]))^2))</f>
        <v>25906.811563764539</v>
      </c>
      <c r="R1439" s="18" t="b">
        <v>1</v>
      </c>
      <c r="S1439" s="40">
        <v>26.75</v>
      </c>
      <c r="T1439" s="18" t="b">
        <v>1</v>
      </c>
      <c r="U1439" s="25">
        <v>45098</v>
      </c>
      <c r="V1439" s="63" t="str">
        <f>IF(MONTH(Table22[[#This Row],[Sales Date]])&lt;=3,"Q1",IF(MONTH(Table22[[#This Row],[Sales Date]])&lt;=6,"Q2",IF(MONTH(Table22[[#This Row],[Sales Date]])&lt;=9,"Q3","Q4")))</f>
        <v>Q2</v>
      </c>
      <c r="W1439" s="64">
        <f>YEAR(Table22[[#This Row],[Sales Date]])</f>
        <v>2023</v>
      </c>
      <c r="X1439" s="23">
        <v>42</v>
      </c>
      <c r="Y1439" s="18" t="s">
        <v>23</v>
      </c>
      <c r="Z1439" s="18" t="s">
        <v>24</v>
      </c>
      <c r="AA1439" s="19" t="s">
        <v>25</v>
      </c>
    </row>
    <row r="1440" spans="1:27" x14ac:dyDescent="0.25">
      <c r="A1440" s="17" t="s">
        <v>1624</v>
      </c>
      <c r="B1440" s="18" t="s">
        <v>27</v>
      </c>
      <c r="C1440" s="63" t="str" cm="1">
        <f t="array" ref="C1440">_xlfn.SWITCH(Table22[[#This Row],[Country]],"USA","North America","Canada","North America","Brazil","South America","China","Asia","Japan","Asia","India","Asia","France","Europe","Germany","Europe","UK","Europe","Australia","Oceania","South America")</f>
        <v>Europe</v>
      </c>
      <c r="D1440" s="18" t="s">
        <v>21</v>
      </c>
      <c r="E1440" s="18" t="s">
        <v>19</v>
      </c>
      <c r="F1440" s="18" t="s">
        <v>34</v>
      </c>
      <c r="G1440" s="18" t="s">
        <v>29</v>
      </c>
      <c r="H1440" s="64">
        <f>LEN(TRIM(Table22[[#This Row],[Country]]))</f>
        <v>7</v>
      </c>
      <c r="I1440" s="64">
        <f>LEN(TRIM(Table22[[#This Row],[Continent]]))</f>
        <v>6</v>
      </c>
      <c r="J1440" s="64">
        <f>LEN(TRIM(Table22[[#This Row],[Product]]))</f>
        <v>6</v>
      </c>
      <c r="K1440" s="64">
        <f>LEN(TRIM(Table22[[#This Row],[Sales Team]]))</f>
        <v>10</v>
      </c>
      <c r="L1440" s="23">
        <v>95</v>
      </c>
      <c r="M1440" s="65" t="str" cm="1">
        <f t="array" ref="M1440">_xlfn.IFS(Table22[[#This Row],[Units Sold]]&lt;40,"Critical",Table22[[#This Row],[Units Sold]]&lt;=50,"Poor",Table22[[#This Row],[Units Sold]]&lt;=60,"Low",Table22[[#This Row],[Units Sold]]&lt;=80,"Average",Table22[[#This Row],[Units Sold]]&lt;=90,"High",Table22[[#This Row],[Units Sold]]&lt;=95,"Excellent",Table22[[#This Row],[Units Sold]]&gt;95,"Outstanding")</f>
        <v>Excellent</v>
      </c>
      <c r="N1440" s="29">
        <v>152.22999999999999</v>
      </c>
      <c r="O1440" s="29">
        <v>14461.85</v>
      </c>
      <c r="P1440" s="43">
        <f>IF(Table22[[#This Row],[Discount Applied]],Table22[[#This Row],[Total Sales (in USD)]]*(1-Table22[[#This Row],[Discount Percentage (%)]]/100),Table22[[#This Row],[Total Sales (in USD)]])</f>
        <v>14461.85</v>
      </c>
      <c r="Q1440" s="66">
        <f>SQRT(AVERAGE((Table22[[#This Row],[Net Sales (after discount) (in USD)]]-AVERAGE(Table22[Net Sales (after discount) (in USD)]))^2))</f>
        <v>22049.510563764539</v>
      </c>
      <c r="R1440" s="18" t="b">
        <v>1</v>
      </c>
      <c r="S1440" s="40">
        <v>2.09</v>
      </c>
      <c r="T1440" s="18" t="b">
        <v>0</v>
      </c>
      <c r="U1440" s="25">
        <v>45046</v>
      </c>
      <c r="V1440" s="63" t="str">
        <f>IF(MONTH(Table22[[#This Row],[Sales Date]])&lt;=3,"Q1",IF(MONTH(Table22[[#This Row],[Sales Date]])&lt;=6,"Q2",IF(MONTH(Table22[[#This Row],[Sales Date]])&lt;=9,"Q3","Q4")))</f>
        <v>Q2</v>
      </c>
      <c r="W1440" s="64">
        <f>YEAR(Table22[[#This Row],[Sales Date]])</f>
        <v>2023</v>
      </c>
      <c r="X1440" s="23">
        <v>45</v>
      </c>
      <c r="Y1440" s="18" t="s">
        <v>41</v>
      </c>
      <c r="Z1440" s="18" t="s">
        <v>24</v>
      </c>
      <c r="AA1440" s="19" t="s">
        <v>25</v>
      </c>
    </row>
    <row r="1441" spans="1:27" x14ac:dyDescent="0.25">
      <c r="A1441" s="17" t="s">
        <v>1956</v>
      </c>
      <c r="B1441" s="18" t="s">
        <v>18</v>
      </c>
      <c r="C1441" s="63" t="str" cm="1">
        <f t="array" ref="C1441">_xlfn.SWITCH(Table22[[#This Row],[Country]],"USA","North America","Canada","North America","Brazil","South America","China","Asia","Japan","Asia","India","Asia","France","Europe","Germany","Europe","UK","Europe","Australia","Oceania","South America")</f>
        <v>Asia</v>
      </c>
      <c r="D1441" s="18" t="s">
        <v>35</v>
      </c>
      <c r="E1441" s="18" t="s">
        <v>39</v>
      </c>
      <c r="F1441" s="18" t="s">
        <v>52</v>
      </c>
      <c r="G1441" s="18" t="s">
        <v>22</v>
      </c>
      <c r="H1441" s="64">
        <f>LEN(TRIM(Table22[[#This Row],[Country]]))</f>
        <v>5</v>
      </c>
      <c r="I1441" s="64">
        <f>LEN(TRIM(Table22[[#This Row],[Continent]]))</f>
        <v>4</v>
      </c>
      <c r="J1441" s="64">
        <f>LEN(TRIM(Table22[[#This Row],[Product]]))</f>
        <v>10</v>
      </c>
      <c r="K1441" s="64">
        <f>LEN(TRIM(Table22[[#This Row],[Sales Team]]))</f>
        <v>10</v>
      </c>
      <c r="L1441" s="23">
        <v>18</v>
      </c>
      <c r="M1441" s="65" t="str" cm="1">
        <f t="array" ref="M1441">_xlfn.IFS(Table22[[#This Row],[Units Sold]]&lt;40,"Critical",Table22[[#This Row],[Units Sold]]&lt;=50,"Poor",Table22[[#This Row],[Units Sold]]&lt;=60,"Low",Table22[[#This Row],[Units Sold]]&lt;=80,"Average",Table22[[#This Row],[Units Sold]]&lt;=90,"High",Table22[[#This Row],[Units Sold]]&lt;=95,"Excellent",Table22[[#This Row],[Units Sold]]&gt;95,"Outstanding")</f>
        <v>Critical</v>
      </c>
      <c r="N1441" s="29">
        <v>802.03</v>
      </c>
      <c r="O1441" s="29">
        <v>14436.54</v>
      </c>
      <c r="P1441" s="43">
        <f>IF(Table22[[#This Row],[Discount Applied]],Table22[[#This Row],[Total Sales (in USD)]]*(1-Table22[[#This Row],[Discount Percentage (%)]]/100),Table22[[#This Row],[Total Sales (in USD)]])</f>
        <v>14436.54</v>
      </c>
      <c r="Q1441" s="66">
        <f>SQRT(AVERAGE((Table22[[#This Row],[Net Sales (after discount) (in USD)]]-AVERAGE(Table22[Net Sales (after discount) (in USD)]))^2))</f>
        <v>22074.820563764537</v>
      </c>
      <c r="R1441" s="18" t="b">
        <v>0</v>
      </c>
      <c r="S1441" s="40">
        <v>0.74</v>
      </c>
      <c r="T1441" s="18" t="b">
        <v>0</v>
      </c>
      <c r="U1441" s="25">
        <v>44991</v>
      </c>
      <c r="V1441" s="63" t="str">
        <f>IF(MONTH(Table22[[#This Row],[Sales Date]])&lt;=3,"Q1",IF(MONTH(Table22[[#This Row],[Sales Date]])&lt;=6,"Q2",IF(MONTH(Table22[[#This Row],[Sales Date]])&lt;=9,"Q3","Q4")))</f>
        <v>Q1</v>
      </c>
      <c r="W1441" s="64">
        <f>YEAR(Table22[[#This Row],[Sales Date]])</f>
        <v>2023</v>
      </c>
      <c r="X1441" s="23">
        <v>30</v>
      </c>
      <c r="Y1441" s="18" t="s">
        <v>41</v>
      </c>
      <c r="Z1441" s="18" t="s">
        <v>30</v>
      </c>
      <c r="AA1441" s="19" t="s">
        <v>25</v>
      </c>
    </row>
    <row r="1442" spans="1:27" x14ac:dyDescent="0.25">
      <c r="A1442" s="17" t="s">
        <v>1258</v>
      </c>
      <c r="B1442" s="18" t="s">
        <v>62</v>
      </c>
      <c r="C1442" s="63" t="str" cm="1">
        <f t="array" ref="C1442">_xlfn.SWITCH(Table22[[#This Row],[Country]],"USA","North America","Canada","North America","Brazil","South America","China","Asia","Japan","Asia","India","Asia","France","Europe","Germany","Europe","UK","Europe","Australia","Oceania","South America")</f>
        <v>Oceania</v>
      </c>
      <c r="D1442" s="18" t="s">
        <v>21</v>
      </c>
      <c r="E1442" s="18" t="s">
        <v>19</v>
      </c>
      <c r="F1442" s="18" t="s">
        <v>20</v>
      </c>
      <c r="G1442" s="18" t="s">
        <v>29</v>
      </c>
      <c r="H1442" s="64">
        <f>LEN(TRIM(Table22[[#This Row],[Country]]))</f>
        <v>9</v>
      </c>
      <c r="I1442" s="64">
        <f>LEN(TRIM(Table22[[#This Row],[Continent]]))</f>
        <v>7</v>
      </c>
      <c r="J1442" s="64">
        <f>LEN(TRIM(Table22[[#This Row],[Product]]))</f>
        <v>6</v>
      </c>
      <c r="K1442" s="64">
        <f>LEN(TRIM(Table22[[#This Row],[Sales Team]]))</f>
        <v>10</v>
      </c>
      <c r="L1442" s="23">
        <v>73</v>
      </c>
      <c r="M1442" s="65" t="str" cm="1">
        <f t="array" ref="M1442">_xlfn.IFS(Table22[[#This Row],[Units Sold]]&lt;40,"Critical",Table22[[#This Row],[Units Sold]]&lt;=50,"Poor",Table22[[#This Row],[Units Sold]]&lt;=60,"Low",Table22[[#This Row],[Units Sold]]&lt;=80,"Average",Table22[[#This Row],[Units Sold]]&lt;=90,"High",Table22[[#This Row],[Units Sold]]&lt;=95,"Excellent",Table22[[#This Row],[Units Sold]]&gt;95,"Outstanding")</f>
        <v>Average</v>
      </c>
      <c r="N1442" s="29">
        <v>196.83</v>
      </c>
      <c r="O1442" s="29">
        <v>14368.59</v>
      </c>
      <c r="P1442" s="43">
        <f>IF(Table22[[#This Row],[Discount Applied]],Table22[[#This Row],[Total Sales (in USD)]]*(1-Table22[[#This Row],[Discount Percentage (%)]]/100),Table22[[#This Row],[Total Sales (in USD)]])</f>
        <v>12451.820094000001</v>
      </c>
      <c r="Q1442" s="66">
        <f>SQRT(AVERAGE((Table22[[#This Row],[Net Sales (after discount) (in USD)]]-AVERAGE(Table22[Net Sales (after discount) (in USD)]))^2))</f>
        <v>24059.540469764535</v>
      </c>
      <c r="R1442" s="18" t="b">
        <v>0</v>
      </c>
      <c r="S1442" s="40">
        <v>13.34</v>
      </c>
      <c r="T1442" s="18" t="b">
        <v>1</v>
      </c>
      <c r="U1442" s="25">
        <v>45300</v>
      </c>
      <c r="V1442" s="63" t="str">
        <f>IF(MONTH(Table22[[#This Row],[Sales Date]])&lt;=3,"Q1",IF(MONTH(Table22[[#This Row],[Sales Date]])&lt;=6,"Q2",IF(MONTH(Table22[[#This Row],[Sales Date]])&lt;=9,"Q3","Q4")))</f>
        <v>Q1</v>
      </c>
      <c r="W1442" s="64">
        <f>YEAR(Table22[[#This Row],[Sales Date]])</f>
        <v>2024</v>
      </c>
      <c r="X1442" s="23">
        <v>68</v>
      </c>
      <c r="Y1442" s="18" t="s">
        <v>41</v>
      </c>
      <c r="Z1442" s="18" t="s">
        <v>42</v>
      </c>
      <c r="AA1442" s="19" t="s">
        <v>25</v>
      </c>
    </row>
    <row r="1443" spans="1:27" x14ac:dyDescent="0.25">
      <c r="A1443" s="17" t="s">
        <v>2026</v>
      </c>
      <c r="B1443" s="18" t="s">
        <v>46</v>
      </c>
      <c r="C1443" s="63" t="str" cm="1">
        <f t="array" ref="C1443">_xlfn.SWITCH(Table22[[#This Row],[Country]],"USA","North America","Canada","North America","Brazil","South America","China","Asia","Japan","Asia","India","Asia","France","Europe","Germany","Europe","UK","Europe","Australia","Oceania","South America")</f>
        <v>South America</v>
      </c>
      <c r="D1443" s="18" t="s">
        <v>44</v>
      </c>
      <c r="E1443" s="18" t="s">
        <v>39</v>
      </c>
      <c r="F1443" s="18" t="s">
        <v>52</v>
      </c>
      <c r="G1443" s="18" t="s">
        <v>29</v>
      </c>
      <c r="H1443" s="64">
        <f>LEN(TRIM(Table22[[#This Row],[Country]]))</f>
        <v>6</v>
      </c>
      <c r="I1443" s="64">
        <f>LEN(TRIM(Table22[[#This Row],[Continent]]))</f>
        <v>13</v>
      </c>
      <c r="J1443" s="64">
        <f>LEN(TRIM(Table22[[#This Row],[Product]]))</f>
        <v>10</v>
      </c>
      <c r="K1443" s="64">
        <f>LEN(TRIM(Table22[[#This Row],[Sales Team]]))</f>
        <v>10</v>
      </c>
      <c r="L1443" s="23">
        <v>16</v>
      </c>
      <c r="M1443" s="65" t="str" cm="1">
        <f t="array" ref="M1443">_xlfn.IFS(Table22[[#This Row],[Units Sold]]&lt;40,"Critical",Table22[[#This Row],[Units Sold]]&lt;=50,"Poor",Table22[[#This Row],[Units Sold]]&lt;=60,"Low",Table22[[#This Row],[Units Sold]]&lt;=80,"Average",Table22[[#This Row],[Units Sold]]&lt;=90,"High",Table22[[#This Row],[Units Sold]]&lt;=95,"Excellent",Table22[[#This Row],[Units Sold]]&gt;95,"Outstanding")</f>
        <v>Critical</v>
      </c>
      <c r="N1443" s="29">
        <v>897.64</v>
      </c>
      <c r="O1443" s="29">
        <v>14362.24</v>
      </c>
      <c r="P1443" s="43">
        <f>IF(Table22[[#This Row],[Discount Applied]],Table22[[#This Row],[Total Sales (in USD)]]*(1-Table22[[#This Row],[Discount Percentage (%)]]/100),Table22[[#This Row],[Total Sales (in USD)]])</f>
        <v>14225.798720000001</v>
      </c>
      <c r="Q1443" s="66">
        <f>SQRT(AVERAGE((Table22[[#This Row],[Net Sales (after discount) (in USD)]]-AVERAGE(Table22[Net Sales (after discount) (in USD)]))^2))</f>
        <v>22285.561843764539</v>
      </c>
      <c r="R1443" s="18" t="b">
        <v>0</v>
      </c>
      <c r="S1443" s="40">
        <v>0.95</v>
      </c>
      <c r="T1443" s="18" t="b">
        <v>1</v>
      </c>
      <c r="U1443" s="25">
        <v>45370</v>
      </c>
      <c r="V1443" s="63" t="str">
        <f>IF(MONTH(Table22[[#This Row],[Sales Date]])&lt;=3,"Q1",IF(MONTH(Table22[[#This Row],[Sales Date]])&lt;=6,"Q2",IF(MONTH(Table22[[#This Row],[Sales Date]])&lt;=9,"Q3","Q4")))</f>
        <v>Q1</v>
      </c>
      <c r="W1443" s="64">
        <f>YEAR(Table22[[#This Row],[Sales Date]])</f>
        <v>2024</v>
      </c>
      <c r="X1443" s="23">
        <v>48</v>
      </c>
      <c r="Y1443" s="18" t="s">
        <v>41</v>
      </c>
      <c r="Z1443" s="18" t="s">
        <v>30</v>
      </c>
      <c r="AA1443" s="19" t="s">
        <v>25</v>
      </c>
    </row>
    <row r="1444" spans="1:27" x14ac:dyDescent="0.25">
      <c r="A1444" s="17" t="s">
        <v>1478</v>
      </c>
      <c r="B1444" s="18" t="s">
        <v>66</v>
      </c>
      <c r="C1444" s="63" t="str" cm="1">
        <f t="array" ref="C1444">_xlfn.SWITCH(Table22[[#This Row],[Country]],"USA","North America","Canada","North America","Brazil","South America","China","Asia","Japan","Asia","India","Asia","France","Europe","Germany","Europe","UK","Europe","Australia","Oceania","South America")</f>
        <v>North America</v>
      </c>
      <c r="D1444" s="18" t="s">
        <v>21</v>
      </c>
      <c r="E1444" s="18" t="s">
        <v>33</v>
      </c>
      <c r="F1444" s="18" t="s">
        <v>52</v>
      </c>
      <c r="G1444" s="18" t="s">
        <v>29</v>
      </c>
      <c r="H1444" s="64">
        <f>LEN(TRIM(Table22[[#This Row],[Country]]))</f>
        <v>6</v>
      </c>
      <c r="I1444" s="64">
        <f>LEN(TRIM(Table22[[#This Row],[Continent]]))</f>
        <v>13</v>
      </c>
      <c r="J1444" s="64">
        <f>LEN(TRIM(Table22[[#This Row],[Product]]))</f>
        <v>10</v>
      </c>
      <c r="K1444" s="64">
        <f>LEN(TRIM(Table22[[#This Row],[Sales Team]]))</f>
        <v>10</v>
      </c>
      <c r="L1444" s="23">
        <v>57</v>
      </c>
      <c r="M1444" s="65" t="str" cm="1">
        <f t="array" ref="M1444">_xlfn.IFS(Table22[[#This Row],[Units Sold]]&lt;40,"Critical",Table22[[#This Row],[Units Sold]]&lt;=50,"Poor",Table22[[#This Row],[Units Sold]]&lt;=60,"Low",Table22[[#This Row],[Units Sold]]&lt;=80,"Average",Table22[[#This Row],[Units Sold]]&lt;=90,"High",Table22[[#This Row],[Units Sold]]&lt;=95,"Excellent",Table22[[#This Row],[Units Sold]]&gt;95,"Outstanding")</f>
        <v>Low</v>
      </c>
      <c r="N1444" s="29">
        <v>251.78</v>
      </c>
      <c r="O1444" s="29">
        <v>14351.46</v>
      </c>
      <c r="P1444" s="43">
        <f>IF(Table22[[#This Row],[Discount Applied]],Table22[[#This Row],[Total Sales (in USD)]]*(1-Table22[[#This Row],[Discount Percentage (%)]]/100),Table22[[#This Row],[Total Sales (in USD)]])</f>
        <v>12807.242903999999</v>
      </c>
      <c r="Q1444" s="66">
        <f>SQRT(AVERAGE((Table22[[#This Row],[Net Sales (after discount) (in USD)]]-AVERAGE(Table22[Net Sales (after discount) (in USD)]))^2))</f>
        <v>23704.117659764539</v>
      </c>
      <c r="R1444" s="18" t="b">
        <v>1</v>
      </c>
      <c r="S1444" s="40">
        <v>10.76</v>
      </c>
      <c r="T1444" s="18" t="b">
        <v>1</v>
      </c>
      <c r="U1444" s="25">
        <v>45241</v>
      </c>
      <c r="V1444" s="63" t="str">
        <f>IF(MONTH(Table22[[#This Row],[Sales Date]])&lt;=3,"Q1",IF(MONTH(Table22[[#This Row],[Sales Date]])&lt;=6,"Q2",IF(MONTH(Table22[[#This Row],[Sales Date]])&lt;=9,"Q3","Q4")))</f>
        <v>Q4</v>
      </c>
      <c r="W1444" s="64">
        <f>YEAR(Table22[[#This Row],[Sales Date]])</f>
        <v>2023</v>
      </c>
      <c r="X1444" s="23">
        <v>56</v>
      </c>
      <c r="Y1444" s="18" t="s">
        <v>49</v>
      </c>
      <c r="Z1444" s="18" t="s">
        <v>30</v>
      </c>
      <c r="AA1444" s="19" t="s">
        <v>36</v>
      </c>
    </row>
    <row r="1445" spans="1:27" x14ac:dyDescent="0.25">
      <c r="A1445" s="17" t="s">
        <v>491</v>
      </c>
      <c r="B1445" s="18" t="s">
        <v>32</v>
      </c>
      <c r="C1445" s="63" t="str" cm="1">
        <f t="array" ref="C1445">_xlfn.SWITCH(Table22[[#This Row],[Country]],"USA","North America","Canada","North America","Brazil","South America","China","Asia","Japan","Asia","India","Asia","France","Europe","Germany","Europe","UK","Europe","Australia","Oceania","South America")</f>
        <v>Asia</v>
      </c>
      <c r="D1445" s="18" t="s">
        <v>44</v>
      </c>
      <c r="E1445" s="18" t="s">
        <v>33</v>
      </c>
      <c r="F1445" s="18" t="s">
        <v>47</v>
      </c>
      <c r="G1445" s="18" t="s">
        <v>48</v>
      </c>
      <c r="H1445" s="64">
        <f>LEN(TRIM(Table22[[#This Row],[Country]]))</f>
        <v>5</v>
      </c>
      <c r="I1445" s="64">
        <f>LEN(TRIM(Table22[[#This Row],[Continent]]))</f>
        <v>4</v>
      </c>
      <c r="J1445" s="64">
        <f>LEN(TRIM(Table22[[#This Row],[Product]]))</f>
        <v>10</v>
      </c>
      <c r="K1445" s="64">
        <f>LEN(TRIM(Table22[[#This Row],[Sales Team]]))</f>
        <v>9</v>
      </c>
      <c r="L1445" s="23">
        <v>46</v>
      </c>
      <c r="M1445" s="65" t="str" cm="1">
        <f t="array" ref="M1445">_xlfn.IFS(Table22[[#This Row],[Units Sold]]&lt;40,"Critical",Table22[[#This Row],[Units Sold]]&lt;=50,"Poor",Table22[[#This Row],[Units Sold]]&lt;=60,"Low",Table22[[#This Row],[Units Sold]]&lt;=80,"Average",Table22[[#This Row],[Units Sold]]&lt;=90,"High",Table22[[#This Row],[Units Sold]]&lt;=95,"Excellent",Table22[[#This Row],[Units Sold]]&gt;95,"Outstanding")</f>
        <v>Poor</v>
      </c>
      <c r="N1445" s="29">
        <v>311.95999999999998</v>
      </c>
      <c r="O1445" s="29">
        <v>14350.16</v>
      </c>
      <c r="P1445" s="43">
        <f>IF(Table22[[#This Row],[Discount Applied]],Table22[[#This Row],[Total Sales (in USD)]]*(1-Table22[[#This Row],[Discount Percentage (%)]]/100),Table22[[#This Row],[Total Sales (in USD)]])</f>
        <v>12638.185912000001</v>
      </c>
      <c r="Q1445" s="66">
        <f>SQRT(AVERAGE((Table22[[#This Row],[Net Sales (after discount) (in USD)]]-AVERAGE(Table22[Net Sales (after discount) (in USD)]))^2))</f>
        <v>23873.174651764537</v>
      </c>
      <c r="R1445" s="18" t="b">
        <v>0</v>
      </c>
      <c r="S1445" s="40">
        <v>11.93</v>
      </c>
      <c r="T1445" s="18" t="b">
        <v>1</v>
      </c>
      <c r="U1445" s="25">
        <v>45005</v>
      </c>
      <c r="V1445" s="63" t="str">
        <f>IF(MONTH(Table22[[#This Row],[Sales Date]])&lt;=3,"Q1",IF(MONTH(Table22[[#This Row],[Sales Date]])&lt;=6,"Q2",IF(MONTH(Table22[[#This Row],[Sales Date]])&lt;=9,"Q3","Q4")))</f>
        <v>Q1</v>
      </c>
      <c r="W1445" s="64">
        <f>YEAR(Table22[[#This Row],[Sales Date]])</f>
        <v>2023</v>
      </c>
      <c r="X1445" s="23">
        <v>42</v>
      </c>
      <c r="Y1445" s="18" t="s">
        <v>41</v>
      </c>
      <c r="Z1445" s="18" t="s">
        <v>24</v>
      </c>
      <c r="AA1445" s="19" t="s">
        <v>25</v>
      </c>
    </row>
    <row r="1446" spans="1:27" x14ac:dyDescent="0.25">
      <c r="A1446" s="17" t="s">
        <v>749</v>
      </c>
      <c r="B1446" s="18" t="s">
        <v>38</v>
      </c>
      <c r="C1446" s="63" t="str" cm="1">
        <f t="array" ref="C1446">_xlfn.SWITCH(Table22[[#This Row],[Country]],"USA","North America","Canada","North America","Brazil","South America","China","Asia","Japan","Asia","India","Asia","France","Europe","Germany","Europe","UK","Europe","Australia","Oceania","South America")</f>
        <v>Europe</v>
      </c>
      <c r="D1446" s="18" t="s">
        <v>35</v>
      </c>
      <c r="E1446" s="18" t="s">
        <v>19</v>
      </c>
      <c r="F1446" s="18" t="s">
        <v>47</v>
      </c>
      <c r="G1446" s="18" t="s">
        <v>48</v>
      </c>
      <c r="H1446" s="64">
        <f>LEN(TRIM(Table22[[#This Row],[Country]]))</f>
        <v>6</v>
      </c>
      <c r="I1446" s="64">
        <f>LEN(TRIM(Table22[[#This Row],[Continent]]))</f>
        <v>6</v>
      </c>
      <c r="J1446" s="64">
        <f>LEN(TRIM(Table22[[#This Row],[Product]]))</f>
        <v>6</v>
      </c>
      <c r="K1446" s="64">
        <f>LEN(TRIM(Table22[[#This Row],[Sales Team]]))</f>
        <v>9</v>
      </c>
      <c r="L1446" s="23">
        <v>54</v>
      </c>
      <c r="M1446" s="65" t="str" cm="1">
        <f t="array" ref="M1446">_xlfn.IFS(Table22[[#This Row],[Units Sold]]&lt;40,"Critical",Table22[[#This Row],[Units Sold]]&lt;=50,"Poor",Table22[[#This Row],[Units Sold]]&lt;=60,"Low",Table22[[#This Row],[Units Sold]]&lt;=80,"Average",Table22[[#This Row],[Units Sold]]&lt;=90,"High",Table22[[#This Row],[Units Sold]]&lt;=95,"Excellent",Table22[[#This Row],[Units Sold]]&gt;95,"Outstanding")</f>
        <v>Low</v>
      </c>
      <c r="N1446" s="29">
        <v>265.35000000000002</v>
      </c>
      <c r="O1446" s="29">
        <v>14328.9</v>
      </c>
      <c r="P1446" s="43">
        <f>IF(Table22[[#This Row],[Discount Applied]],Table22[[#This Row],[Total Sales (in USD)]]*(1-Table22[[#This Row],[Discount Percentage (%)]]/100),Table22[[#This Row],[Total Sales (in USD)]])</f>
        <v>14328.9</v>
      </c>
      <c r="Q1446" s="66">
        <f>SQRT(AVERAGE((Table22[[#This Row],[Net Sales (after discount) (in USD)]]-AVERAGE(Table22[Net Sales (after discount) (in USD)]))^2))</f>
        <v>22182.460563764536</v>
      </c>
      <c r="R1446" s="18" t="b">
        <v>1</v>
      </c>
      <c r="S1446" s="40">
        <v>5.83</v>
      </c>
      <c r="T1446" s="18" t="b">
        <v>0</v>
      </c>
      <c r="U1446" s="25">
        <v>45028</v>
      </c>
      <c r="V1446" s="63" t="str">
        <f>IF(MONTH(Table22[[#This Row],[Sales Date]])&lt;=3,"Q1",IF(MONTH(Table22[[#This Row],[Sales Date]])&lt;=6,"Q2",IF(MONTH(Table22[[#This Row],[Sales Date]])&lt;=9,"Q3","Q4")))</f>
        <v>Q2</v>
      </c>
      <c r="W1446" s="64">
        <f>YEAR(Table22[[#This Row],[Sales Date]])</f>
        <v>2023</v>
      </c>
      <c r="X1446" s="23">
        <v>46</v>
      </c>
      <c r="Y1446" s="18" t="s">
        <v>41</v>
      </c>
      <c r="Z1446" s="18" t="s">
        <v>24</v>
      </c>
      <c r="AA1446" s="19" t="s">
        <v>36</v>
      </c>
    </row>
    <row r="1447" spans="1:27" x14ac:dyDescent="0.25">
      <c r="A1447" s="17" t="s">
        <v>1990</v>
      </c>
      <c r="B1447" s="18" t="s">
        <v>27</v>
      </c>
      <c r="C1447" s="63" t="str" cm="1">
        <f t="array" ref="C1447">_xlfn.SWITCH(Table22[[#This Row],[Country]],"USA","North America","Canada","North America","Brazil","South America","China","Asia","Japan","Asia","India","Asia","France","Europe","Germany","Europe","UK","Europe","Australia","Oceania","South America")</f>
        <v>Europe</v>
      </c>
      <c r="D1447" s="18" t="s">
        <v>21</v>
      </c>
      <c r="E1447" s="18" t="s">
        <v>19</v>
      </c>
      <c r="F1447" s="18" t="s">
        <v>20</v>
      </c>
      <c r="G1447" s="18" t="s">
        <v>22</v>
      </c>
      <c r="H1447" s="64">
        <f>LEN(TRIM(Table22[[#This Row],[Country]]))</f>
        <v>7</v>
      </c>
      <c r="I1447" s="64">
        <f>LEN(TRIM(Table22[[#This Row],[Continent]]))</f>
        <v>6</v>
      </c>
      <c r="J1447" s="64">
        <f>LEN(TRIM(Table22[[#This Row],[Product]]))</f>
        <v>6</v>
      </c>
      <c r="K1447" s="64">
        <f>LEN(TRIM(Table22[[#This Row],[Sales Team]]))</f>
        <v>10</v>
      </c>
      <c r="L1447" s="23">
        <v>35</v>
      </c>
      <c r="M1447" s="65" t="str" cm="1">
        <f t="array" ref="M1447">_xlfn.IFS(Table22[[#This Row],[Units Sold]]&lt;40,"Critical",Table22[[#This Row],[Units Sold]]&lt;=50,"Poor",Table22[[#This Row],[Units Sold]]&lt;=60,"Low",Table22[[#This Row],[Units Sold]]&lt;=80,"Average",Table22[[#This Row],[Units Sold]]&lt;=90,"High",Table22[[#This Row],[Units Sold]]&lt;=95,"Excellent",Table22[[#This Row],[Units Sold]]&gt;95,"Outstanding")</f>
        <v>Critical</v>
      </c>
      <c r="N1447" s="29">
        <v>408.88</v>
      </c>
      <c r="O1447" s="29">
        <v>14310.8</v>
      </c>
      <c r="P1447" s="43">
        <f>IF(Table22[[#This Row],[Discount Applied]],Table22[[#This Row],[Total Sales (in USD)]]*(1-Table22[[#This Row],[Discount Percentage (%)]]/100),Table22[[#This Row],[Total Sales (in USD)]])</f>
        <v>14310.8</v>
      </c>
      <c r="Q1447" s="66">
        <f>SQRT(AVERAGE((Table22[[#This Row],[Net Sales (after discount) (in USD)]]-AVERAGE(Table22[Net Sales (after discount) (in USD)]))^2))</f>
        <v>22200.560563764539</v>
      </c>
      <c r="R1447" s="18" t="b">
        <v>1</v>
      </c>
      <c r="S1447" s="40">
        <v>28.09</v>
      </c>
      <c r="T1447" s="18" t="b">
        <v>0</v>
      </c>
      <c r="U1447" s="25">
        <v>45159</v>
      </c>
      <c r="V1447" s="63" t="str">
        <f>IF(MONTH(Table22[[#This Row],[Sales Date]])&lt;=3,"Q1",IF(MONTH(Table22[[#This Row],[Sales Date]])&lt;=6,"Q2",IF(MONTH(Table22[[#This Row],[Sales Date]])&lt;=9,"Q3","Q4")))</f>
        <v>Q3</v>
      </c>
      <c r="W1447" s="64">
        <f>YEAR(Table22[[#This Row],[Sales Date]])</f>
        <v>2023</v>
      </c>
      <c r="X1447" s="23">
        <v>31</v>
      </c>
      <c r="Y1447" s="18" t="s">
        <v>23</v>
      </c>
      <c r="Z1447" s="18" t="s">
        <v>42</v>
      </c>
      <c r="AA1447" s="19" t="s">
        <v>25</v>
      </c>
    </row>
    <row r="1448" spans="1:27" x14ac:dyDescent="0.25">
      <c r="A1448" s="17" t="s">
        <v>2024</v>
      </c>
      <c r="B1448" s="18" t="s">
        <v>51</v>
      </c>
      <c r="C1448" s="63" t="str" cm="1">
        <f t="array" ref="C1448">_xlfn.SWITCH(Table22[[#This Row],[Country]],"USA","North America","Canada","North America","Brazil","South America","China","Asia","Japan","Asia","India","Asia","France","Europe","Germany","Europe","UK","Europe","Australia","Oceania","South America")</f>
        <v>Europe</v>
      </c>
      <c r="D1448" s="18" t="s">
        <v>35</v>
      </c>
      <c r="E1448" s="18" t="s">
        <v>33</v>
      </c>
      <c r="F1448" s="18" t="s">
        <v>34</v>
      </c>
      <c r="G1448" s="18" t="s">
        <v>22</v>
      </c>
      <c r="H1448" s="64">
        <f>LEN(TRIM(Table22[[#This Row],[Country]]))</f>
        <v>2</v>
      </c>
      <c r="I1448" s="64">
        <f>LEN(TRIM(Table22[[#This Row],[Continent]]))</f>
        <v>6</v>
      </c>
      <c r="J1448" s="64">
        <f>LEN(TRIM(Table22[[#This Row],[Product]]))</f>
        <v>10</v>
      </c>
      <c r="K1448" s="64">
        <f>LEN(TRIM(Table22[[#This Row],[Sales Team]]))</f>
        <v>10</v>
      </c>
      <c r="L1448" s="23">
        <v>87</v>
      </c>
      <c r="M1448" s="65" t="str" cm="1">
        <f t="array" ref="M1448">_xlfn.IFS(Table22[[#This Row],[Units Sold]]&lt;40,"Critical",Table22[[#This Row],[Units Sold]]&lt;=50,"Poor",Table22[[#This Row],[Units Sold]]&lt;=60,"Low",Table22[[#This Row],[Units Sold]]&lt;=80,"Average",Table22[[#This Row],[Units Sold]]&lt;=90,"High",Table22[[#This Row],[Units Sold]]&lt;=95,"Excellent",Table22[[#This Row],[Units Sold]]&gt;95,"Outstanding")</f>
        <v>High</v>
      </c>
      <c r="N1448" s="29">
        <v>164.29</v>
      </c>
      <c r="O1448" s="29">
        <v>14293.23</v>
      </c>
      <c r="P1448" s="43">
        <f>IF(Table22[[#This Row],[Discount Applied]],Table22[[#This Row],[Total Sales (in USD)]]*(1-Table22[[#This Row],[Discount Percentage (%)]]/100),Table22[[#This Row],[Total Sales (in USD)]])</f>
        <v>10774.236774000001</v>
      </c>
      <c r="Q1448" s="66">
        <f>SQRT(AVERAGE((Table22[[#This Row],[Net Sales (after discount) (in USD)]]-AVERAGE(Table22[Net Sales (after discount) (in USD)]))^2))</f>
        <v>25737.123789764537</v>
      </c>
      <c r="R1448" s="18" t="b">
        <v>1</v>
      </c>
      <c r="S1448" s="40">
        <v>24.62</v>
      </c>
      <c r="T1448" s="18" t="b">
        <v>1</v>
      </c>
      <c r="U1448" s="25">
        <v>45017</v>
      </c>
      <c r="V1448" s="63" t="str">
        <f>IF(MONTH(Table22[[#This Row],[Sales Date]])&lt;=3,"Q1",IF(MONTH(Table22[[#This Row],[Sales Date]])&lt;=6,"Q2",IF(MONTH(Table22[[#This Row],[Sales Date]])&lt;=9,"Q3","Q4")))</f>
        <v>Q2</v>
      </c>
      <c r="W1448" s="64">
        <f>YEAR(Table22[[#This Row],[Sales Date]])</f>
        <v>2023</v>
      </c>
      <c r="X1448" s="23">
        <v>68</v>
      </c>
      <c r="Y1448" s="18" t="s">
        <v>49</v>
      </c>
      <c r="Z1448" s="18" t="s">
        <v>42</v>
      </c>
      <c r="AA1448" s="19" t="s">
        <v>36</v>
      </c>
    </row>
    <row r="1449" spans="1:27" x14ac:dyDescent="0.25">
      <c r="A1449" s="17" t="s">
        <v>1099</v>
      </c>
      <c r="B1449" s="18" t="s">
        <v>18</v>
      </c>
      <c r="C1449" s="63" t="str" cm="1">
        <f t="array" ref="C1449">_xlfn.SWITCH(Table22[[#This Row],[Country]],"USA","North America","Canada","North America","Brazil","South America","China","Asia","Japan","Asia","India","Asia","France","Europe","Germany","Europe","UK","Europe","Australia","Oceania","South America")</f>
        <v>Asia</v>
      </c>
      <c r="D1449" s="18" t="s">
        <v>35</v>
      </c>
      <c r="E1449" s="18" t="s">
        <v>33</v>
      </c>
      <c r="F1449" s="18" t="s">
        <v>34</v>
      </c>
      <c r="G1449" s="18" t="s">
        <v>29</v>
      </c>
      <c r="H1449" s="64">
        <f>LEN(TRIM(Table22[[#This Row],[Country]]))</f>
        <v>5</v>
      </c>
      <c r="I1449" s="64">
        <f>LEN(TRIM(Table22[[#This Row],[Continent]]))</f>
        <v>4</v>
      </c>
      <c r="J1449" s="64">
        <f>LEN(TRIM(Table22[[#This Row],[Product]]))</f>
        <v>10</v>
      </c>
      <c r="K1449" s="64">
        <f>LEN(TRIM(Table22[[#This Row],[Sales Team]]))</f>
        <v>10</v>
      </c>
      <c r="L1449" s="23">
        <v>13</v>
      </c>
      <c r="M1449" s="65" t="str" cm="1">
        <f t="array" ref="M1449">_xlfn.IFS(Table22[[#This Row],[Units Sold]]&lt;40,"Critical",Table22[[#This Row],[Units Sold]]&lt;=50,"Poor",Table22[[#This Row],[Units Sold]]&lt;=60,"Low",Table22[[#This Row],[Units Sold]]&lt;=80,"Average",Table22[[#This Row],[Units Sold]]&lt;=90,"High",Table22[[#This Row],[Units Sold]]&lt;=95,"Excellent",Table22[[#This Row],[Units Sold]]&gt;95,"Outstanding")</f>
        <v>Critical</v>
      </c>
      <c r="N1449" s="29">
        <v>1099.23</v>
      </c>
      <c r="O1449" s="29">
        <v>14289.99</v>
      </c>
      <c r="P1449" s="43">
        <f>IF(Table22[[#This Row],[Discount Applied]],Table22[[#This Row],[Total Sales (in USD)]]*(1-Table22[[#This Row],[Discount Percentage (%)]]/100),Table22[[#This Row],[Total Sales (in USD)]])</f>
        <v>14289.99</v>
      </c>
      <c r="Q1449" s="66">
        <f>SQRT(AVERAGE((Table22[[#This Row],[Net Sales (after discount) (in USD)]]-AVERAGE(Table22[Net Sales (after discount) (in USD)]))^2))</f>
        <v>22221.37056376454</v>
      </c>
      <c r="R1449" s="18" t="b">
        <v>0</v>
      </c>
      <c r="S1449" s="40">
        <v>22.35</v>
      </c>
      <c r="T1449" s="18" t="b">
        <v>0</v>
      </c>
      <c r="U1449" s="25">
        <v>44942</v>
      </c>
      <c r="V1449" s="63" t="str">
        <f>IF(MONTH(Table22[[#This Row],[Sales Date]])&lt;=3,"Q1",IF(MONTH(Table22[[#This Row],[Sales Date]])&lt;=6,"Q2",IF(MONTH(Table22[[#This Row],[Sales Date]])&lt;=9,"Q3","Q4")))</f>
        <v>Q1</v>
      </c>
      <c r="W1449" s="64">
        <f>YEAR(Table22[[#This Row],[Sales Date]])</f>
        <v>2023</v>
      </c>
      <c r="X1449" s="23">
        <v>65</v>
      </c>
      <c r="Y1449" s="18" t="s">
        <v>49</v>
      </c>
      <c r="Z1449" s="18" t="s">
        <v>56</v>
      </c>
      <c r="AA1449" s="19" t="s">
        <v>25</v>
      </c>
    </row>
    <row r="1450" spans="1:27" x14ac:dyDescent="0.25">
      <c r="A1450" s="17" t="s">
        <v>1877</v>
      </c>
      <c r="B1450" s="18" t="s">
        <v>66</v>
      </c>
      <c r="C1450" s="63" t="str" cm="1">
        <f t="array" ref="C1450">_xlfn.SWITCH(Table22[[#This Row],[Country]],"USA","North America","Canada","North America","Brazil","South America","China","Asia","Japan","Asia","India","Asia","France","Europe","Germany","Europe","UK","Europe","Australia","Oceania","South America")</f>
        <v>North America</v>
      </c>
      <c r="D1450" s="18" t="s">
        <v>35</v>
      </c>
      <c r="E1450" s="18" t="s">
        <v>39</v>
      </c>
      <c r="F1450" s="18" t="s">
        <v>64</v>
      </c>
      <c r="G1450" s="18" t="s">
        <v>22</v>
      </c>
      <c r="H1450" s="64">
        <f>LEN(TRIM(Table22[[#This Row],[Country]]))</f>
        <v>6</v>
      </c>
      <c r="I1450" s="64">
        <f>LEN(TRIM(Table22[[#This Row],[Continent]]))</f>
        <v>13</v>
      </c>
      <c r="J1450" s="64">
        <f>LEN(TRIM(Table22[[#This Row],[Product]]))</f>
        <v>10</v>
      </c>
      <c r="K1450" s="64">
        <f>LEN(TRIM(Table22[[#This Row],[Sales Team]]))</f>
        <v>10</v>
      </c>
      <c r="L1450" s="23">
        <v>77</v>
      </c>
      <c r="M1450" s="65" t="str" cm="1">
        <f t="array" ref="M1450">_xlfn.IFS(Table22[[#This Row],[Units Sold]]&lt;40,"Critical",Table22[[#This Row],[Units Sold]]&lt;=50,"Poor",Table22[[#This Row],[Units Sold]]&lt;=60,"Low",Table22[[#This Row],[Units Sold]]&lt;=80,"Average",Table22[[#This Row],[Units Sold]]&lt;=90,"High",Table22[[#This Row],[Units Sold]]&lt;=95,"Excellent",Table22[[#This Row],[Units Sold]]&gt;95,"Outstanding")</f>
        <v>Average</v>
      </c>
      <c r="N1450" s="29">
        <v>185.53</v>
      </c>
      <c r="O1450" s="29">
        <v>14285.81</v>
      </c>
      <c r="P1450" s="43">
        <f>IF(Table22[[#This Row],[Discount Applied]],Table22[[#This Row],[Total Sales (in USD)]]*(1-Table22[[#This Row],[Discount Percentage (%)]]/100),Table22[[#This Row],[Total Sales (in USD)]])</f>
        <v>11452.933877000001</v>
      </c>
      <c r="Q1450" s="66">
        <f>SQRT(AVERAGE((Table22[[#This Row],[Net Sales (after discount) (in USD)]]-AVERAGE(Table22[Net Sales (after discount) (in USD)]))^2))</f>
        <v>25058.426686764535</v>
      </c>
      <c r="R1450" s="18" t="b">
        <v>0</v>
      </c>
      <c r="S1450" s="40">
        <v>19.829999999999998</v>
      </c>
      <c r="T1450" s="18" t="b">
        <v>1</v>
      </c>
      <c r="U1450" s="25">
        <v>45188</v>
      </c>
      <c r="V1450" s="63" t="str">
        <f>IF(MONTH(Table22[[#This Row],[Sales Date]])&lt;=3,"Q1",IF(MONTH(Table22[[#This Row],[Sales Date]])&lt;=6,"Q2",IF(MONTH(Table22[[#This Row],[Sales Date]])&lt;=9,"Q3","Q4")))</f>
        <v>Q3</v>
      </c>
      <c r="W1450" s="64">
        <f>YEAR(Table22[[#This Row],[Sales Date]])</f>
        <v>2023</v>
      </c>
      <c r="X1450" s="23">
        <v>37</v>
      </c>
      <c r="Y1450" s="18" t="s">
        <v>49</v>
      </c>
      <c r="Z1450" s="18" t="s">
        <v>56</v>
      </c>
      <c r="AA1450" s="19" t="s">
        <v>25</v>
      </c>
    </row>
    <row r="1451" spans="1:27" x14ac:dyDescent="0.25">
      <c r="A1451" s="17" t="s">
        <v>1747</v>
      </c>
      <c r="B1451" s="18" t="s">
        <v>51</v>
      </c>
      <c r="C1451" s="63" t="str" cm="1">
        <f t="array" ref="C1451">_xlfn.SWITCH(Table22[[#This Row],[Country]],"USA","North America","Canada","North America","Brazil","South America","China","Asia","Japan","Asia","India","Asia","France","Europe","Germany","Europe","UK","Europe","Australia","Oceania","South America")</f>
        <v>Europe</v>
      </c>
      <c r="D1451" s="18" t="s">
        <v>28</v>
      </c>
      <c r="E1451" s="18" t="s">
        <v>19</v>
      </c>
      <c r="F1451" s="18" t="s">
        <v>52</v>
      </c>
      <c r="G1451" s="18" t="s">
        <v>40</v>
      </c>
      <c r="H1451" s="64">
        <f>LEN(TRIM(Table22[[#This Row],[Country]]))</f>
        <v>2</v>
      </c>
      <c r="I1451" s="64">
        <f>LEN(TRIM(Table22[[#This Row],[Continent]]))</f>
        <v>6</v>
      </c>
      <c r="J1451" s="64">
        <f>LEN(TRIM(Table22[[#This Row],[Product]]))</f>
        <v>6</v>
      </c>
      <c r="K1451" s="64">
        <f>LEN(TRIM(Table22[[#This Row],[Sales Team]]))</f>
        <v>10</v>
      </c>
      <c r="L1451" s="23">
        <v>29</v>
      </c>
      <c r="M1451" s="65" t="str" cm="1">
        <f t="array" ref="M1451">_xlfn.IFS(Table22[[#This Row],[Units Sold]]&lt;40,"Critical",Table22[[#This Row],[Units Sold]]&lt;=50,"Poor",Table22[[#This Row],[Units Sold]]&lt;=60,"Low",Table22[[#This Row],[Units Sold]]&lt;=80,"Average",Table22[[#This Row],[Units Sold]]&lt;=90,"High",Table22[[#This Row],[Units Sold]]&lt;=95,"Excellent",Table22[[#This Row],[Units Sold]]&gt;95,"Outstanding")</f>
        <v>Critical</v>
      </c>
      <c r="N1451" s="29">
        <v>491.85</v>
      </c>
      <c r="O1451" s="29">
        <v>14263.65</v>
      </c>
      <c r="P1451" s="43">
        <f>IF(Table22[[#This Row],[Discount Applied]],Table22[[#This Row],[Total Sales (in USD)]]*(1-Table22[[#This Row],[Discount Percentage (%)]]/100),Table22[[#This Row],[Total Sales (in USD)]])</f>
        <v>12717.470339999998</v>
      </c>
      <c r="Q1451" s="66">
        <f>SQRT(AVERAGE((Table22[[#This Row],[Net Sales (after discount) (in USD)]]-AVERAGE(Table22[Net Sales (after discount) (in USD)]))^2))</f>
        <v>23793.890223764538</v>
      </c>
      <c r="R1451" s="18" t="b">
        <v>0</v>
      </c>
      <c r="S1451" s="40">
        <v>10.84</v>
      </c>
      <c r="T1451" s="18" t="b">
        <v>1</v>
      </c>
      <c r="U1451" s="25">
        <v>44956</v>
      </c>
      <c r="V1451" s="63" t="str">
        <f>IF(MONTH(Table22[[#This Row],[Sales Date]])&lt;=3,"Q1",IF(MONTH(Table22[[#This Row],[Sales Date]])&lt;=6,"Q2",IF(MONTH(Table22[[#This Row],[Sales Date]])&lt;=9,"Q3","Q4")))</f>
        <v>Q1</v>
      </c>
      <c r="W1451" s="64">
        <f>YEAR(Table22[[#This Row],[Sales Date]])</f>
        <v>2023</v>
      </c>
      <c r="X1451" s="23">
        <v>36</v>
      </c>
      <c r="Y1451" s="18" t="s">
        <v>49</v>
      </c>
      <c r="Z1451" s="18" t="s">
        <v>42</v>
      </c>
      <c r="AA1451" s="19" t="s">
        <v>36</v>
      </c>
    </row>
    <row r="1452" spans="1:27" x14ac:dyDescent="0.25">
      <c r="A1452" s="17" t="s">
        <v>1916</v>
      </c>
      <c r="B1452" s="18" t="s">
        <v>32</v>
      </c>
      <c r="C1452" s="63" t="str" cm="1">
        <f t="array" ref="C1452">_xlfn.SWITCH(Table22[[#This Row],[Country]],"USA","North America","Canada","North America","Brazil","South America","China","Asia","Japan","Asia","India","Asia","France","Europe","Germany","Europe","UK","Europe","Australia","Oceania","South America")</f>
        <v>Asia</v>
      </c>
      <c r="D1452" s="18" t="s">
        <v>44</v>
      </c>
      <c r="E1452" s="18" t="s">
        <v>33</v>
      </c>
      <c r="F1452" s="18" t="s">
        <v>47</v>
      </c>
      <c r="G1452" s="18" t="s">
        <v>29</v>
      </c>
      <c r="H1452" s="64">
        <f>LEN(TRIM(Table22[[#This Row],[Country]]))</f>
        <v>5</v>
      </c>
      <c r="I1452" s="64">
        <f>LEN(TRIM(Table22[[#This Row],[Continent]]))</f>
        <v>4</v>
      </c>
      <c r="J1452" s="64">
        <f>LEN(TRIM(Table22[[#This Row],[Product]]))</f>
        <v>10</v>
      </c>
      <c r="K1452" s="64">
        <f>LEN(TRIM(Table22[[#This Row],[Sales Team]]))</f>
        <v>10</v>
      </c>
      <c r="L1452" s="23">
        <v>90</v>
      </c>
      <c r="M1452" s="65" t="str" cm="1">
        <f t="array" ref="M1452">_xlfn.IFS(Table22[[#This Row],[Units Sold]]&lt;40,"Critical",Table22[[#This Row],[Units Sold]]&lt;=50,"Poor",Table22[[#This Row],[Units Sold]]&lt;=60,"Low",Table22[[#This Row],[Units Sold]]&lt;=80,"Average",Table22[[#This Row],[Units Sold]]&lt;=90,"High",Table22[[#This Row],[Units Sold]]&lt;=95,"Excellent",Table22[[#This Row],[Units Sold]]&gt;95,"Outstanding")</f>
        <v>High</v>
      </c>
      <c r="N1452" s="29">
        <v>158.26</v>
      </c>
      <c r="O1452" s="29">
        <v>14243.4</v>
      </c>
      <c r="P1452" s="43">
        <f>IF(Table22[[#This Row],[Discount Applied]],Table22[[#This Row],[Total Sales (in USD)]]*(1-Table22[[#This Row],[Discount Percentage (%)]]/100),Table22[[#This Row],[Total Sales (in USD)]])</f>
        <v>11745.10764</v>
      </c>
      <c r="Q1452" s="66">
        <f>SQRT(AVERAGE((Table22[[#This Row],[Net Sales (after discount) (in USD)]]-AVERAGE(Table22[Net Sales (after discount) (in USD)]))^2))</f>
        <v>24766.252923764536</v>
      </c>
      <c r="R1452" s="18" t="b">
        <v>0</v>
      </c>
      <c r="S1452" s="40">
        <v>17.54</v>
      </c>
      <c r="T1452" s="18" t="b">
        <v>1</v>
      </c>
      <c r="U1452" s="25">
        <v>45358</v>
      </c>
      <c r="V1452" s="63" t="str">
        <f>IF(MONTH(Table22[[#This Row],[Sales Date]])&lt;=3,"Q1",IF(MONTH(Table22[[#This Row],[Sales Date]])&lt;=6,"Q2",IF(MONTH(Table22[[#This Row],[Sales Date]])&lt;=9,"Q3","Q4")))</f>
        <v>Q1</v>
      </c>
      <c r="W1452" s="64">
        <f>YEAR(Table22[[#This Row],[Sales Date]])</f>
        <v>2024</v>
      </c>
      <c r="X1452" s="23">
        <v>22</v>
      </c>
      <c r="Y1452" s="18" t="s">
        <v>49</v>
      </c>
      <c r="Z1452" s="18" t="s">
        <v>24</v>
      </c>
      <c r="AA1452" s="19" t="s">
        <v>36</v>
      </c>
    </row>
    <row r="1453" spans="1:27" x14ac:dyDescent="0.25">
      <c r="A1453" s="17" t="s">
        <v>1456</v>
      </c>
      <c r="B1453" s="18" t="s">
        <v>62</v>
      </c>
      <c r="C1453" s="63" t="str" cm="1">
        <f t="array" ref="C1453">_xlfn.SWITCH(Table22[[#This Row],[Country]],"USA","North America","Canada","North America","Brazil","South America","China","Asia","Japan","Asia","India","Asia","France","Europe","Germany","Europe","UK","Europe","Australia","Oceania","South America")</f>
        <v>Oceania</v>
      </c>
      <c r="D1453" s="18" t="s">
        <v>44</v>
      </c>
      <c r="E1453" s="18" t="s">
        <v>33</v>
      </c>
      <c r="F1453" s="18" t="s">
        <v>64</v>
      </c>
      <c r="G1453" s="18" t="s">
        <v>48</v>
      </c>
      <c r="H1453" s="64">
        <f>LEN(TRIM(Table22[[#This Row],[Country]]))</f>
        <v>9</v>
      </c>
      <c r="I1453" s="64">
        <f>LEN(TRIM(Table22[[#This Row],[Continent]]))</f>
        <v>7</v>
      </c>
      <c r="J1453" s="64">
        <f>LEN(TRIM(Table22[[#This Row],[Product]]))</f>
        <v>10</v>
      </c>
      <c r="K1453" s="64">
        <f>LEN(TRIM(Table22[[#This Row],[Sales Team]]))</f>
        <v>9</v>
      </c>
      <c r="L1453" s="23">
        <v>23</v>
      </c>
      <c r="M1453" s="65" t="str" cm="1">
        <f t="array" ref="M1453">_xlfn.IFS(Table22[[#This Row],[Units Sold]]&lt;40,"Critical",Table22[[#This Row],[Units Sold]]&lt;=50,"Poor",Table22[[#This Row],[Units Sold]]&lt;=60,"Low",Table22[[#This Row],[Units Sold]]&lt;=80,"Average",Table22[[#This Row],[Units Sold]]&lt;=90,"High",Table22[[#This Row],[Units Sold]]&lt;=95,"Excellent",Table22[[#This Row],[Units Sold]]&gt;95,"Outstanding")</f>
        <v>Critical</v>
      </c>
      <c r="N1453" s="29">
        <v>619.16</v>
      </c>
      <c r="O1453" s="29">
        <v>14240.68</v>
      </c>
      <c r="P1453" s="43">
        <f>IF(Table22[[#This Row],[Discount Applied]],Table22[[#This Row],[Total Sales (in USD)]]*(1-Table22[[#This Row],[Discount Percentage (%)]]/100),Table22[[#This Row],[Total Sales (in USD)]])</f>
        <v>14240.68</v>
      </c>
      <c r="Q1453" s="66">
        <f>SQRT(AVERAGE((Table22[[#This Row],[Net Sales (after discount) (in USD)]]-AVERAGE(Table22[Net Sales (after discount) (in USD)]))^2))</f>
        <v>22270.680563764538</v>
      </c>
      <c r="R1453" s="18" t="b">
        <v>1</v>
      </c>
      <c r="S1453" s="40">
        <v>0.34</v>
      </c>
      <c r="T1453" s="18" t="b">
        <v>0</v>
      </c>
      <c r="U1453" s="25">
        <v>45596</v>
      </c>
      <c r="V1453" s="63" t="str">
        <f>IF(MONTH(Table22[[#This Row],[Sales Date]])&lt;=3,"Q1",IF(MONTH(Table22[[#This Row],[Sales Date]])&lt;=6,"Q2",IF(MONTH(Table22[[#This Row],[Sales Date]])&lt;=9,"Q3","Q4")))</f>
        <v>Q4</v>
      </c>
      <c r="W1453" s="64">
        <f>YEAR(Table22[[#This Row],[Sales Date]])</f>
        <v>2024</v>
      </c>
      <c r="X1453" s="23">
        <v>46</v>
      </c>
      <c r="Y1453" s="18" t="s">
        <v>49</v>
      </c>
      <c r="Z1453" s="18" t="s">
        <v>24</v>
      </c>
      <c r="AA1453" s="19" t="s">
        <v>36</v>
      </c>
    </row>
    <row r="1454" spans="1:27" x14ac:dyDescent="0.25">
      <c r="A1454" s="17" t="s">
        <v>404</v>
      </c>
      <c r="B1454" s="18" t="s">
        <v>51</v>
      </c>
      <c r="C1454" s="63" t="str" cm="1">
        <f t="array" ref="C1454">_xlfn.SWITCH(Table22[[#This Row],[Country]],"USA","North America","Canada","North America","Brazil","South America","China","Asia","Japan","Asia","India","Asia","France","Europe","Germany","Europe","UK","Europe","Australia","Oceania","South America")</f>
        <v>Europe</v>
      </c>
      <c r="D1454" s="18" t="s">
        <v>21</v>
      </c>
      <c r="E1454" s="18" t="s">
        <v>39</v>
      </c>
      <c r="F1454" s="18" t="s">
        <v>52</v>
      </c>
      <c r="G1454" s="18" t="s">
        <v>29</v>
      </c>
      <c r="H1454" s="64">
        <f>LEN(TRIM(Table22[[#This Row],[Country]]))</f>
        <v>2</v>
      </c>
      <c r="I1454" s="64">
        <f>LEN(TRIM(Table22[[#This Row],[Continent]]))</f>
        <v>6</v>
      </c>
      <c r="J1454" s="64">
        <f>LEN(TRIM(Table22[[#This Row],[Product]]))</f>
        <v>10</v>
      </c>
      <c r="K1454" s="64">
        <f>LEN(TRIM(Table22[[#This Row],[Sales Team]]))</f>
        <v>10</v>
      </c>
      <c r="L1454" s="23">
        <v>15</v>
      </c>
      <c r="M1454" s="65" t="str" cm="1">
        <f t="array" ref="M1454">_xlfn.IFS(Table22[[#This Row],[Units Sold]]&lt;40,"Critical",Table22[[#This Row],[Units Sold]]&lt;=50,"Poor",Table22[[#This Row],[Units Sold]]&lt;=60,"Low",Table22[[#This Row],[Units Sold]]&lt;=80,"Average",Table22[[#This Row],[Units Sold]]&lt;=90,"High",Table22[[#This Row],[Units Sold]]&lt;=95,"Excellent",Table22[[#This Row],[Units Sold]]&gt;95,"Outstanding")</f>
        <v>Critical</v>
      </c>
      <c r="N1454" s="29">
        <v>948.05</v>
      </c>
      <c r="O1454" s="29">
        <v>14220.75</v>
      </c>
      <c r="P1454" s="43">
        <f>IF(Table22[[#This Row],[Discount Applied]],Table22[[#This Row],[Total Sales (in USD)]]*(1-Table22[[#This Row],[Discount Percentage (%)]]/100),Table22[[#This Row],[Total Sales (in USD)]])</f>
        <v>14220.75</v>
      </c>
      <c r="Q1454" s="66">
        <f>SQRT(AVERAGE((Table22[[#This Row],[Net Sales (after discount) (in USD)]]-AVERAGE(Table22[Net Sales (after discount) (in USD)]))^2))</f>
        <v>22290.610563764538</v>
      </c>
      <c r="R1454" s="18" t="b">
        <v>0</v>
      </c>
      <c r="S1454" s="40">
        <v>29.23</v>
      </c>
      <c r="T1454" s="18" t="b">
        <v>0</v>
      </c>
      <c r="U1454" s="25">
        <v>45373</v>
      </c>
      <c r="V1454" s="63" t="str">
        <f>IF(MONTH(Table22[[#This Row],[Sales Date]])&lt;=3,"Q1",IF(MONTH(Table22[[#This Row],[Sales Date]])&lt;=6,"Q2",IF(MONTH(Table22[[#This Row],[Sales Date]])&lt;=9,"Q3","Q4")))</f>
        <v>Q1</v>
      </c>
      <c r="W1454" s="64">
        <f>YEAR(Table22[[#This Row],[Sales Date]])</f>
        <v>2024</v>
      </c>
      <c r="X1454" s="23">
        <v>69</v>
      </c>
      <c r="Y1454" s="18" t="s">
        <v>41</v>
      </c>
      <c r="Z1454" s="18" t="s">
        <v>24</v>
      </c>
      <c r="AA1454" s="19" t="s">
        <v>36</v>
      </c>
    </row>
    <row r="1455" spans="1:27" x14ac:dyDescent="0.25">
      <c r="A1455" s="17" t="s">
        <v>969</v>
      </c>
      <c r="B1455" s="18" t="s">
        <v>38</v>
      </c>
      <c r="C1455" s="63" t="str" cm="1">
        <f t="array" ref="C1455">_xlfn.SWITCH(Table22[[#This Row],[Country]],"USA","North America","Canada","North America","Brazil","South America","China","Asia","Japan","Asia","India","Asia","France","Europe","Germany","Europe","UK","Europe","Australia","Oceania","South America")</f>
        <v>Europe</v>
      </c>
      <c r="D1455" s="18" t="s">
        <v>28</v>
      </c>
      <c r="E1455" s="18" t="s">
        <v>33</v>
      </c>
      <c r="F1455" s="18" t="s">
        <v>20</v>
      </c>
      <c r="G1455" s="18" t="s">
        <v>48</v>
      </c>
      <c r="H1455" s="64">
        <f>LEN(TRIM(Table22[[#This Row],[Country]]))</f>
        <v>6</v>
      </c>
      <c r="I1455" s="64">
        <f>LEN(TRIM(Table22[[#This Row],[Continent]]))</f>
        <v>6</v>
      </c>
      <c r="J1455" s="64">
        <f>LEN(TRIM(Table22[[#This Row],[Product]]))</f>
        <v>10</v>
      </c>
      <c r="K1455" s="64">
        <f>LEN(TRIM(Table22[[#This Row],[Sales Team]]))</f>
        <v>9</v>
      </c>
      <c r="L1455" s="23">
        <v>31</v>
      </c>
      <c r="M1455" s="65" t="str" cm="1">
        <f t="array" ref="M1455">_xlfn.IFS(Table22[[#This Row],[Units Sold]]&lt;40,"Critical",Table22[[#This Row],[Units Sold]]&lt;=50,"Poor",Table22[[#This Row],[Units Sold]]&lt;=60,"Low",Table22[[#This Row],[Units Sold]]&lt;=80,"Average",Table22[[#This Row],[Units Sold]]&lt;=90,"High",Table22[[#This Row],[Units Sold]]&lt;=95,"Excellent",Table22[[#This Row],[Units Sold]]&gt;95,"Outstanding")</f>
        <v>Critical</v>
      </c>
      <c r="N1455" s="29">
        <v>458.44</v>
      </c>
      <c r="O1455" s="29">
        <v>14211.64</v>
      </c>
      <c r="P1455" s="43">
        <f>IF(Table22[[#This Row],[Discount Applied]],Table22[[#This Row],[Total Sales (in USD)]]*(1-Table22[[#This Row],[Discount Percentage (%)]]/100),Table22[[#This Row],[Total Sales (in USD)]])</f>
        <v>12503.400872</v>
      </c>
      <c r="Q1455" s="66">
        <f>SQRT(AVERAGE((Table22[[#This Row],[Net Sales (after discount) (in USD)]]-AVERAGE(Table22[Net Sales (after discount) (in USD)]))^2))</f>
        <v>24007.959691764539</v>
      </c>
      <c r="R1455" s="18" t="b">
        <v>1</v>
      </c>
      <c r="S1455" s="40">
        <v>12.02</v>
      </c>
      <c r="T1455" s="18" t="b">
        <v>1</v>
      </c>
      <c r="U1455" s="25">
        <v>45286</v>
      </c>
      <c r="V1455" s="63" t="str">
        <f>IF(MONTH(Table22[[#This Row],[Sales Date]])&lt;=3,"Q1",IF(MONTH(Table22[[#This Row],[Sales Date]])&lt;=6,"Q2",IF(MONTH(Table22[[#This Row],[Sales Date]])&lt;=9,"Q3","Q4")))</f>
        <v>Q4</v>
      </c>
      <c r="W1455" s="64">
        <f>YEAR(Table22[[#This Row],[Sales Date]])</f>
        <v>2023</v>
      </c>
      <c r="X1455" s="23">
        <v>43</v>
      </c>
      <c r="Y1455" s="18" t="s">
        <v>49</v>
      </c>
      <c r="Z1455" s="18" t="s">
        <v>24</v>
      </c>
      <c r="AA1455" s="19" t="s">
        <v>25</v>
      </c>
    </row>
    <row r="1456" spans="1:27" x14ac:dyDescent="0.25">
      <c r="A1456" s="17" t="s">
        <v>326</v>
      </c>
      <c r="B1456" s="18" t="s">
        <v>51</v>
      </c>
      <c r="C1456" s="63" t="str" cm="1">
        <f t="array" ref="C1456">_xlfn.SWITCH(Table22[[#This Row],[Country]],"USA","North America","Canada","North America","Brazil","South America","China","Asia","Japan","Asia","India","Asia","France","Europe","Germany","Europe","UK","Europe","Australia","Oceania","South America")</f>
        <v>Europe</v>
      </c>
      <c r="D1456" s="18" t="s">
        <v>35</v>
      </c>
      <c r="E1456" s="18" t="s">
        <v>33</v>
      </c>
      <c r="F1456" s="18" t="s">
        <v>52</v>
      </c>
      <c r="G1456" s="18" t="s">
        <v>40</v>
      </c>
      <c r="H1456" s="64">
        <f>LEN(TRIM(Table22[[#This Row],[Country]]))</f>
        <v>2</v>
      </c>
      <c r="I1456" s="64">
        <f>LEN(TRIM(Table22[[#This Row],[Continent]]))</f>
        <v>6</v>
      </c>
      <c r="J1456" s="64">
        <f>LEN(TRIM(Table22[[#This Row],[Product]]))</f>
        <v>10</v>
      </c>
      <c r="K1456" s="64">
        <f>LEN(TRIM(Table22[[#This Row],[Sales Team]]))</f>
        <v>10</v>
      </c>
      <c r="L1456" s="23">
        <v>37</v>
      </c>
      <c r="M1456" s="65" t="str" cm="1">
        <f t="array" ref="M1456">_xlfn.IFS(Table22[[#This Row],[Units Sold]]&lt;40,"Critical",Table22[[#This Row],[Units Sold]]&lt;=50,"Poor",Table22[[#This Row],[Units Sold]]&lt;=60,"Low",Table22[[#This Row],[Units Sold]]&lt;=80,"Average",Table22[[#This Row],[Units Sold]]&lt;=90,"High",Table22[[#This Row],[Units Sold]]&lt;=95,"Excellent",Table22[[#This Row],[Units Sold]]&gt;95,"Outstanding")</f>
        <v>Critical</v>
      </c>
      <c r="N1456" s="29">
        <v>384</v>
      </c>
      <c r="O1456" s="29">
        <v>14208</v>
      </c>
      <c r="P1456" s="43">
        <f>IF(Table22[[#This Row],[Discount Applied]],Table22[[#This Row],[Total Sales (in USD)]]*(1-Table22[[#This Row],[Discount Percentage (%)]]/100),Table22[[#This Row],[Total Sales (in USD)]])</f>
        <v>14208</v>
      </c>
      <c r="Q1456" s="66">
        <f>SQRT(AVERAGE((Table22[[#This Row],[Net Sales (after discount) (in USD)]]-AVERAGE(Table22[Net Sales (after discount) (in USD)]))^2))</f>
        <v>22303.360563764538</v>
      </c>
      <c r="R1456" s="18" t="b">
        <v>1</v>
      </c>
      <c r="S1456" s="40">
        <v>28.03</v>
      </c>
      <c r="T1456" s="18" t="b">
        <v>0</v>
      </c>
      <c r="U1456" s="25">
        <v>45507</v>
      </c>
      <c r="V1456" s="63" t="str">
        <f>IF(MONTH(Table22[[#This Row],[Sales Date]])&lt;=3,"Q1",IF(MONTH(Table22[[#This Row],[Sales Date]])&lt;=6,"Q2",IF(MONTH(Table22[[#This Row],[Sales Date]])&lt;=9,"Q3","Q4")))</f>
        <v>Q3</v>
      </c>
      <c r="W1456" s="64">
        <f>YEAR(Table22[[#This Row],[Sales Date]])</f>
        <v>2024</v>
      </c>
      <c r="X1456" s="23">
        <v>69</v>
      </c>
      <c r="Y1456" s="18" t="s">
        <v>49</v>
      </c>
      <c r="Z1456" s="18" t="s">
        <v>30</v>
      </c>
      <c r="AA1456" s="19" t="s">
        <v>25</v>
      </c>
    </row>
    <row r="1457" spans="1:27" x14ac:dyDescent="0.25">
      <c r="A1457" s="17" t="s">
        <v>333</v>
      </c>
      <c r="B1457" s="18" t="s">
        <v>62</v>
      </c>
      <c r="C1457" s="63" t="str" cm="1">
        <f t="array" ref="C1457">_xlfn.SWITCH(Table22[[#This Row],[Country]],"USA","North America","Canada","North America","Brazil","South America","China","Asia","Japan","Asia","India","Asia","France","Europe","Germany","Europe","UK","Europe","Australia","Oceania","South America")</f>
        <v>Oceania</v>
      </c>
      <c r="D1457" s="18" t="s">
        <v>35</v>
      </c>
      <c r="E1457" s="18" t="s">
        <v>33</v>
      </c>
      <c r="F1457" s="18" t="s">
        <v>64</v>
      </c>
      <c r="G1457" s="18" t="s">
        <v>40</v>
      </c>
      <c r="H1457" s="64">
        <f>LEN(TRIM(Table22[[#This Row],[Country]]))</f>
        <v>9</v>
      </c>
      <c r="I1457" s="64">
        <f>LEN(TRIM(Table22[[#This Row],[Continent]]))</f>
        <v>7</v>
      </c>
      <c r="J1457" s="64">
        <f>LEN(TRIM(Table22[[#This Row],[Product]]))</f>
        <v>10</v>
      </c>
      <c r="K1457" s="64">
        <f>LEN(TRIM(Table22[[#This Row],[Sales Team]]))</f>
        <v>10</v>
      </c>
      <c r="L1457" s="23">
        <v>66</v>
      </c>
      <c r="M1457" s="65" t="str" cm="1">
        <f t="array" ref="M1457">_xlfn.IFS(Table22[[#This Row],[Units Sold]]&lt;40,"Critical",Table22[[#This Row],[Units Sold]]&lt;=50,"Poor",Table22[[#This Row],[Units Sold]]&lt;=60,"Low",Table22[[#This Row],[Units Sold]]&lt;=80,"Average",Table22[[#This Row],[Units Sold]]&lt;=90,"High",Table22[[#This Row],[Units Sold]]&lt;=95,"Excellent",Table22[[#This Row],[Units Sold]]&gt;95,"Outstanding")</f>
        <v>Average</v>
      </c>
      <c r="N1457" s="29">
        <v>214.52</v>
      </c>
      <c r="O1457" s="29">
        <v>14158.32</v>
      </c>
      <c r="P1457" s="43">
        <f>IF(Table22[[#This Row],[Discount Applied]],Table22[[#This Row],[Total Sales (in USD)]]*(1-Table22[[#This Row],[Discount Percentage (%)]]/100),Table22[[#This Row],[Total Sales (in USD)]])</f>
        <v>13341.384936</v>
      </c>
      <c r="Q1457" s="66">
        <f>SQRT(AVERAGE((Table22[[#This Row],[Net Sales (after discount) (in USD)]]-AVERAGE(Table22[Net Sales (after discount) (in USD)]))^2))</f>
        <v>23169.975627764536</v>
      </c>
      <c r="R1457" s="18" t="b">
        <v>1</v>
      </c>
      <c r="S1457" s="40">
        <v>5.77</v>
      </c>
      <c r="T1457" s="18" t="b">
        <v>1</v>
      </c>
      <c r="U1457" s="25">
        <v>45247</v>
      </c>
      <c r="V1457" s="63" t="str">
        <f>IF(MONTH(Table22[[#This Row],[Sales Date]])&lt;=3,"Q1",IF(MONTH(Table22[[#This Row],[Sales Date]])&lt;=6,"Q2",IF(MONTH(Table22[[#This Row],[Sales Date]])&lt;=9,"Q3","Q4")))</f>
        <v>Q4</v>
      </c>
      <c r="W1457" s="64">
        <f>YEAR(Table22[[#This Row],[Sales Date]])</f>
        <v>2023</v>
      </c>
      <c r="X1457" s="23">
        <v>23</v>
      </c>
      <c r="Y1457" s="18" t="s">
        <v>49</v>
      </c>
      <c r="Z1457" s="18" t="s">
        <v>42</v>
      </c>
      <c r="AA1457" s="19" t="s">
        <v>25</v>
      </c>
    </row>
    <row r="1458" spans="1:27" x14ac:dyDescent="0.25">
      <c r="A1458" s="17" t="s">
        <v>890</v>
      </c>
      <c r="B1458" s="18" t="s">
        <v>27</v>
      </c>
      <c r="C1458" s="63" t="str" cm="1">
        <f t="array" ref="C1458">_xlfn.SWITCH(Table22[[#This Row],[Country]],"USA","North America","Canada","North America","Brazil","South America","China","Asia","Japan","Asia","India","Asia","France","Europe","Germany","Europe","UK","Europe","Australia","Oceania","South America")</f>
        <v>Europe</v>
      </c>
      <c r="D1458" s="18" t="s">
        <v>28</v>
      </c>
      <c r="E1458" s="18" t="s">
        <v>39</v>
      </c>
      <c r="F1458" s="18" t="s">
        <v>34</v>
      </c>
      <c r="G1458" s="18" t="s">
        <v>22</v>
      </c>
      <c r="H1458" s="64">
        <f>LEN(TRIM(Table22[[#This Row],[Country]]))</f>
        <v>7</v>
      </c>
      <c r="I1458" s="64">
        <f>LEN(TRIM(Table22[[#This Row],[Continent]]))</f>
        <v>6</v>
      </c>
      <c r="J1458" s="64">
        <f>LEN(TRIM(Table22[[#This Row],[Product]]))</f>
        <v>10</v>
      </c>
      <c r="K1458" s="64">
        <f>LEN(TRIM(Table22[[#This Row],[Sales Team]]))</f>
        <v>10</v>
      </c>
      <c r="L1458" s="23">
        <v>19</v>
      </c>
      <c r="M1458" s="65" t="str" cm="1">
        <f t="array" ref="M1458">_xlfn.IFS(Table22[[#This Row],[Units Sold]]&lt;40,"Critical",Table22[[#This Row],[Units Sold]]&lt;=50,"Poor",Table22[[#This Row],[Units Sold]]&lt;=60,"Low",Table22[[#This Row],[Units Sold]]&lt;=80,"Average",Table22[[#This Row],[Units Sold]]&lt;=90,"High",Table22[[#This Row],[Units Sold]]&lt;=95,"Excellent",Table22[[#This Row],[Units Sold]]&gt;95,"Outstanding")</f>
        <v>Critical</v>
      </c>
      <c r="N1458" s="29">
        <v>744.51</v>
      </c>
      <c r="O1458" s="29">
        <v>14145.69</v>
      </c>
      <c r="P1458" s="43">
        <f>IF(Table22[[#This Row],[Discount Applied]],Table22[[#This Row],[Total Sales (in USD)]]*(1-Table22[[#This Row],[Discount Percentage (%)]]/100),Table22[[#This Row],[Total Sales (in USD)]])</f>
        <v>12673.123671000001</v>
      </c>
      <c r="Q1458" s="66">
        <f>SQRT(AVERAGE((Table22[[#This Row],[Net Sales (after discount) (in USD)]]-AVERAGE(Table22[Net Sales (after discount) (in USD)]))^2))</f>
        <v>23838.236892764537</v>
      </c>
      <c r="R1458" s="18" t="b">
        <v>0</v>
      </c>
      <c r="S1458" s="40">
        <v>10.41</v>
      </c>
      <c r="T1458" s="18" t="b">
        <v>1</v>
      </c>
      <c r="U1458" s="25">
        <v>45436</v>
      </c>
      <c r="V1458" s="63" t="str">
        <f>IF(MONTH(Table22[[#This Row],[Sales Date]])&lt;=3,"Q1",IF(MONTH(Table22[[#This Row],[Sales Date]])&lt;=6,"Q2",IF(MONTH(Table22[[#This Row],[Sales Date]])&lt;=9,"Q3","Q4")))</f>
        <v>Q2</v>
      </c>
      <c r="W1458" s="64">
        <f>YEAR(Table22[[#This Row],[Sales Date]])</f>
        <v>2024</v>
      </c>
      <c r="X1458" s="23">
        <v>21</v>
      </c>
      <c r="Y1458" s="18" t="s">
        <v>41</v>
      </c>
      <c r="Z1458" s="18" t="s">
        <v>24</v>
      </c>
      <c r="AA1458" s="19" t="s">
        <v>36</v>
      </c>
    </row>
    <row r="1459" spans="1:27" x14ac:dyDescent="0.25">
      <c r="A1459" s="17" t="s">
        <v>608</v>
      </c>
      <c r="B1459" s="18" t="s">
        <v>72</v>
      </c>
      <c r="C1459" s="63" t="str" cm="1">
        <f t="array" ref="C1459">_xlfn.SWITCH(Table22[[#This Row],[Country]],"USA","North America","Canada","North America","Brazil","South America","China","Asia","Japan","Asia","India","Asia","France","Europe","Germany","Europe","UK","Europe","Australia","Oceania","South America")</f>
        <v>North America</v>
      </c>
      <c r="D1459" s="18" t="s">
        <v>21</v>
      </c>
      <c r="E1459" s="18" t="s">
        <v>39</v>
      </c>
      <c r="F1459" s="18" t="s">
        <v>64</v>
      </c>
      <c r="G1459" s="18" t="s">
        <v>29</v>
      </c>
      <c r="H1459" s="64">
        <f>LEN(TRIM(Table22[[#This Row],[Country]]))</f>
        <v>3</v>
      </c>
      <c r="I1459" s="64">
        <f>LEN(TRIM(Table22[[#This Row],[Continent]]))</f>
        <v>13</v>
      </c>
      <c r="J1459" s="64">
        <f>LEN(TRIM(Table22[[#This Row],[Product]]))</f>
        <v>10</v>
      </c>
      <c r="K1459" s="64">
        <f>LEN(TRIM(Table22[[#This Row],[Sales Team]]))</f>
        <v>10</v>
      </c>
      <c r="L1459" s="23">
        <v>17</v>
      </c>
      <c r="M1459" s="65" t="str" cm="1">
        <f t="array" ref="M1459">_xlfn.IFS(Table22[[#This Row],[Units Sold]]&lt;40,"Critical",Table22[[#This Row],[Units Sold]]&lt;=50,"Poor",Table22[[#This Row],[Units Sold]]&lt;=60,"Low",Table22[[#This Row],[Units Sold]]&lt;=80,"Average",Table22[[#This Row],[Units Sold]]&lt;=90,"High",Table22[[#This Row],[Units Sold]]&lt;=95,"Excellent",Table22[[#This Row],[Units Sold]]&gt;95,"Outstanding")</f>
        <v>Critical</v>
      </c>
      <c r="N1459" s="29">
        <v>830.3</v>
      </c>
      <c r="O1459" s="29">
        <v>14115.1</v>
      </c>
      <c r="P1459" s="43">
        <f>IF(Table22[[#This Row],[Discount Applied]],Table22[[#This Row],[Total Sales (in USD)]]*(1-Table22[[#This Row],[Discount Percentage (%)]]/100),Table22[[#This Row],[Total Sales (in USD)]])</f>
        <v>10932.14495</v>
      </c>
      <c r="Q1459" s="66">
        <f>SQRT(AVERAGE((Table22[[#This Row],[Net Sales (after discount) (in USD)]]-AVERAGE(Table22[Net Sales (after discount) (in USD)]))^2))</f>
        <v>25579.215613764536</v>
      </c>
      <c r="R1459" s="18" t="b">
        <v>1</v>
      </c>
      <c r="S1459" s="40">
        <v>22.55</v>
      </c>
      <c r="T1459" s="18" t="b">
        <v>1</v>
      </c>
      <c r="U1459" s="25">
        <v>45340</v>
      </c>
      <c r="V1459" s="63" t="str">
        <f>IF(MONTH(Table22[[#This Row],[Sales Date]])&lt;=3,"Q1",IF(MONTH(Table22[[#This Row],[Sales Date]])&lt;=6,"Q2",IF(MONTH(Table22[[#This Row],[Sales Date]])&lt;=9,"Q3","Q4")))</f>
        <v>Q1</v>
      </c>
      <c r="W1459" s="64">
        <f>YEAR(Table22[[#This Row],[Sales Date]])</f>
        <v>2024</v>
      </c>
      <c r="X1459" s="23">
        <v>29</v>
      </c>
      <c r="Y1459" s="18" t="s">
        <v>49</v>
      </c>
      <c r="Z1459" s="18" t="s">
        <v>30</v>
      </c>
      <c r="AA1459" s="19" t="s">
        <v>36</v>
      </c>
    </row>
    <row r="1460" spans="1:27" x14ac:dyDescent="0.25">
      <c r="A1460" s="17" t="s">
        <v>134</v>
      </c>
      <c r="B1460" s="18" t="s">
        <v>32</v>
      </c>
      <c r="C1460" s="63" t="str" cm="1">
        <f t="array" ref="C1460">_xlfn.SWITCH(Table22[[#This Row],[Country]],"USA","North America","Canada","North America","Brazil","South America","China","Asia","Japan","Asia","India","Asia","France","Europe","Germany","Europe","UK","Europe","Australia","Oceania","South America")</f>
        <v>Asia</v>
      </c>
      <c r="D1460" s="18" t="s">
        <v>44</v>
      </c>
      <c r="E1460" s="18" t="s">
        <v>19</v>
      </c>
      <c r="F1460" s="18" t="s">
        <v>47</v>
      </c>
      <c r="G1460" s="18" t="s">
        <v>29</v>
      </c>
      <c r="H1460" s="64">
        <f>LEN(TRIM(Table22[[#This Row],[Country]]))</f>
        <v>5</v>
      </c>
      <c r="I1460" s="64">
        <f>LEN(TRIM(Table22[[#This Row],[Continent]]))</f>
        <v>4</v>
      </c>
      <c r="J1460" s="64">
        <f>LEN(TRIM(Table22[[#This Row],[Product]]))</f>
        <v>6</v>
      </c>
      <c r="K1460" s="64">
        <f>LEN(TRIM(Table22[[#This Row],[Sales Team]]))</f>
        <v>10</v>
      </c>
      <c r="L1460" s="23">
        <v>22</v>
      </c>
      <c r="M1460" s="65" t="str" cm="1">
        <f t="array" ref="M1460">_xlfn.IFS(Table22[[#This Row],[Units Sold]]&lt;40,"Critical",Table22[[#This Row],[Units Sold]]&lt;=50,"Poor",Table22[[#This Row],[Units Sold]]&lt;=60,"Low",Table22[[#This Row],[Units Sold]]&lt;=80,"Average",Table22[[#This Row],[Units Sold]]&lt;=90,"High",Table22[[#This Row],[Units Sold]]&lt;=95,"Excellent",Table22[[#This Row],[Units Sold]]&gt;95,"Outstanding")</f>
        <v>Critical</v>
      </c>
      <c r="N1460" s="29">
        <v>641.54999999999995</v>
      </c>
      <c r="O1460" s="29">
        <v>14114.1</v>
      </c>
      <c r="P1460" s="43">
        <f>IF(Table22[[#This Row],[Discount Applied]],Table22[[#This Row],[Total Sales (in USD)]]*(1-Table22[[#This Row],[Discount Percentage (%)]]/100),Table22[[#This Row],[Total Sales (in USD)]])</f>
        <v>10282.121850000001</v>
      </c>
      <c r="Q1460" s="66">
        <f>SQRT(AVERAGE((Table22[[#This Row],[Net Sales (after discount) (in USD)]]-AVERAGE(Table22[Net Sales (after discount) (in USD)]))^2))</f>
        <v>26229.238713764535</v>
      </c>
      <c r="R1460" s="18" t="b">
        <v>1</v>
      </c>
      <c r="S1460" s="40">
        <v>27.15</v>
      </c>
      <c r="T1460" s="18" t="b">
        <v>1</v>
      </c>
      <c r="U1460" s="25">
        <v>45565</v>
      </c>
      <c r="V1460" s="63" t="str">
        <f>IF(MONTH(Table22[[#This Row],[Sales Date]])&lt;=3,"Q1",IF(MONTH(Table22[[#This Row],[Sales Date]])&lt;=6,"Q2",IF(MONTH(Table22[[#This Row],[Sales Date]])&lt;=9,"Q3","Q4")))</f>
        <v>Q3</v>
      </c>
      <c r="W1460" s="64">
        <f>YEAR(Table22[[#This Row],[Sales Date]])</f>
        <v>2024</v>
      </c>
      <c r="X1460" s="23">
        <v>19</v>
      </c>
      <c r="Y1460" s="18" t="s">
        <v>49</v>
      </c>
      <c r="Z1460" s="18" t="s">
        <v>24</v>
      </c>
      <c r="AA1460" s="19" t="s">
        <v>25</v>
      </c>
    </row>
    <row r="1461" spans="1:27" x14ac:dyDescent="0.25">
      <c r="A1461" s="17" t="s">
        <v>1412</v>
      </c>
      <c r="B1461" s="18" t="s">
        <v>72</v>
      </c>
      <c r="C1461" s="63" t="str" cm="1">
        <f t="array" ref="C1461">_xlfn.SWITCH(Table22[[#This Row],[Country]],"USA","North America","Canada","North America","Brazil","South America","China","Asia","Japan","Asia","India","Asia","France","Europe","Germany","Europe","UK","Europe","Australia","Oceania","South America")</f>
        <v>North America</v>
      </c>
      <c r="D1461" s="18" t="s">
        <v>21</v>
      </c>
      <c r="E1461" s="18" t="s">
        <v>19</v>
      </c>
      <c r="F1461" s="18" t="s">
        <v>34</v>
      </c>
      <c r="G1461" s="18" t="s">
        <v>48</v>
      </c>
      <c r="H1461" s="64">
        <f>LEN(TRIM(Table22[[#This Row],[Country]]))</f>
        <v>3</v>
      </c>
      <c r="I1461" s="64">
        <f>LEN(TRIM(Table22[[#This Row],[Continent]]))</f>
        <v>13</v>
      </c>
      <c r="J1461" s="64">
        <f>LEN(TRIM(Table22[[#This Row],[Product]]))</f>
        <v>6</v>
      </c>
      <c r="K1461" s="64">
        <f>LEN(TRIM(Table22[[#This Row],[Sales Team]]))</f>
        <v>9</v>
      </c>
      <c r="L1461" s="23">
        <v>10</v>
      </c>
      <c r="M1461" s="65" t="str" cm="1">
        <f t="array" ref="M1461">_xlfn.IFS(Table22[[#This Row],[Units Sold]]&lt;40,"Critical",Table22[[#This Row],[Units Sold]]&lt;=50,"Poor",Table22[[#This Row],[Units Sold]]&lt;=60,"Low",Table22[[#This Row],[Units Sold]]&lt;=80,"Average",Table22[[#This Row],[Units Sold]]&lt;=90,"High",Table22[[#This Row],[Units Sold]]&lt;=95,"Excellent",Table22[[#This Row],[Units Sold]]&gt;95,"Outstanding")</f>
        <v>Critical</v>
      </c>
      <c r="N1461" s="29">
        <v>1405.25</v>
      </c>
      <c r="O1461" s="29">
        <v>14052.5</v>
      </c>
      <c r="P1461" s="43">
        <f>IF(Table22[[#This Row],[Discount Applied]],Table22[[#This Row],[Total Sales (in USD)]]*(1-Table22[[#This Row],[Discount Percentage (%)]]/100),Table22[[#This Row],[Total Sales (in USD)]])</f>
        <v>14052.5</v>
      </c>
      <c r="Q1461" s="66">
        <f>SQRT(AVERAGE((Table22[[#This Row],[Net Sales (after discount) (in USD)]]-AVERAGE(Table22[Net Sales (after discount) (in USD)]))^2))</f>
        <v>22458.860563764538</v>
      </c>
      <c r="R1461" s="18" t="b">
        <v>0</v>
      </c>
      <c r="S1461" s="40">
        <v>7.61</v>
      </c>
      <c r="T1461" s="18" t="b">
        <v>0</v>
      </c>
      <c r="U1461" s="25">
        <v>44992</v>
      </c>
      <c r="V1461" s="63" t="str">
        <f>IF(MONTH(Table22[[#This Row],[Sales Date]])&lt;=3,"Q1",IF(MONTH(Table22[[#This Row],[Sales Date]])&lt;=6,"Q2",IF(MONTH(Table22[[#This Row],[Sales Date]])&lt;=9,"Q3","Q4")))</f>
        <v>Q1</v>
      </c>
      <c r="W1461" s="64">
        <f>YEAR(Table22[[#This Row],[Sales Date]])</f>
        <v>2023</v>
      </c>
      <c r="X1461" s="23">
        <v>34</v>
      </c>
      <c r="Y1461" s="18" t="s">
        <v>23</v>
      </c>
      <c r="Z1461" s="18" t="s">
        <v>24</v>
      </c>
      <c r="AA1461" s="19" t="s">
        <v>25</v>
      </c>
    </row>
    <row r="1462" spans="1:27" x14ac:dyDescent="0.25">
      <c r="A1462" s="17" t="s">
        <v>571</v>
      </c>
      <c r="B1462" s="18" t="s">
        <v>76</v>
      </c>
      <c r="C1462" s="63" t="str" cm="1">
        <f t="array" ref="C1462">_xlfn.SWITCH(Table22[[#This Row],[Country]],"USA","North America","Canada","North America","Brazil","South America","China","Asia","Japan","Asia","India","Asia","France","Europe","Germany","Europe","UK","Europe","Australia","Oceania","South America")</f>
        <v>Asia</v>
      </c>
      <c r="D1462" s="18" t="s">
        <v>44</v>
      </c>
      <c r="E1462" s="18" t="s">
        <v>39</v>
      </c>
      <c r="F1462" s="18" t="s">
        <v>52</v>
      </c>
      <c r="G1462" s="18" t="s">
        <v>48</v>
      </c>
      <c r="H1462" s="64">
        <f>LEN(TRIM(Table22[[#This Row],[Country]]))</f>
        <v>5</v>
      </c>
      <c r="I1462" s="64">
        <f>LEN(TRIM(Table22[[#This Row],[Continent]]))</f>
        <v>4</v>
      </c>
      <c r="J1462" s="64">
        <f>LEN(TRIM(Table22[[#This Row],[Product]]))</f>
        <v>10</v>
      </c>
      <c r="K1462" s="64">
        <f>LEN(TRIM(Table22[[#This Row],[Sales Team]]))</f>
        <v>9</v>
      </c>
      <c r="L1462" s="23">
        <v>47</v>
      </c>
      <c r="M1462" s="65" t="str" cm="1">
        <f t="array" ref="M1462">_xlfn.IFS(Table22[[#This Row],[Units Sold]]&lt;40,"Critical",Table22[[#This Row],[Units Sold]]&lt;=50,"Poor",Table22[[#This Row],[Units Sold]]&lt;=60,"Low",Table22[[#This Row],[Units Sold]]&lt;=80,"Average",Table22[[#This Row],[Units Sold]]&lt;=90,"High",Table22[[#This Row],[Units Sold]]&lt;=95,"Excellent",Table22[[#This Row],[Units Sold]]&gt;95,"Outstanding")</f>
        <v>Poor</v>
      </c>
      <c r="N1462" s="29">
        <v>296.49</v>
      </c>
      <c r="O1462" s="29">
        <v>13935.03</v>
      </c>
      <c r="P1462" s="43">
        <f>IF(Table22[[#This Row],[Discount Applied]],Table22[[#This Row],[Total Sales (in USD)]]*(1-Table22[[#This Row],[Discount Percentage (%)]]/100),Table22[[#This Row],[Total Sales (in USD)]])</f>
        <v>12967.938918</v>
      </c>
      <c r="Q1462" s="66">
        <f>SQRT(AVERAGE((Table22[[#This Row],[Net Sales (after discount) (in USD)]]-AVERAGE(Table22[Net Sales (after discount) (in USD)]))^2))</f>
        <v>23543.421645764538</v>
      </c>
      <c r="R1462" s="18" t="b">
        <v>1</v>
      </c>
      <c r="S1462" s="40">
        <v>6.94</v>
      </c>
      <c r="T1462" s="18" t="b">
        <v>1</v>
      </c>
      <c r="U1462" s="25">
        <v>45202</v>
      </c>
      <c r="V1462" s="63" t="str">
        <f>IF(MONTH(Table22[[#This Row],[Sales Date]])&lt;=3,"Q1",IF(MONTH(Table22[[#This Row],[Sales Date]])&lt;=6,"Q2",IF(MONTH(Table22[[#This Row],[Sales Date]])&lt;=9,"Q3","Q4")))</f>
        <v>Q4</v>
      </c>
      <c r="W1462" s="64">
        <f>YEAR(Table22[[#This Row],[Sales Date]])</f>
        <v>2023</v>
      </c>
      <c r="X1462" s="23">
        <v>40</v>
      </c>
      <c r="Y1462" s="18" t="s">
        <v>49</v>
      </c>
      <c r="Z1462" s="18" t="s">
        <v>24</v>
      </c>
      <c r="AA1462" s="19" t="s">
        <v>36</v>
      </c>
    </row>
    <row r="1463" spans="1:27" x14ac:dyDescent="0.25">
      <c r="A1463" s="17" t="s">
        <v>1725</v>
      </c>
      <c r="B1463" s="18" t="s">
        <v>62</v>
      </c>
      <c r="C1463" s="63" t="str" cm="1">
        <f t="array" ref="C1463">_xlfn.SWITCH(Table22[[#This Row],[Country]],"USA","North America","Canada","North America","Brazil","South America","China","Asia","Japan","Asia","India","Asia","France","Europe","Germany","Europe","UK","Europe","Australia","Oceania","South America")</f>
        <v>Oceania</v>
      </c>
      <c r="D1463" s="18" t="s">
        <v>44</v>
      </c>
      <c r="E1463" s="18" t="s">
        <v>39</v>
      </c>
      <c r="F1463" s="18" t="s">
        <v>64</v>
      </c>
      <c r="G1463" s="18" t="s">
        <v>29</v>
      </c>
      <c r="H1463" s="64">
        <f>LEN(TRIM(Table22[[#This Row],[Country]]))</f>
        <v>9</v>
      </c>
      <c r="I1463" s="64">
        <f>LEN(TRIM(Table22[[#This Row],[Continent]]))</f>
        <v>7</v>
      </c>
      <c r="J1463" s="64">
        <f>LEN(TRIM(Table22[[#This Row],[Product]]))</f>
        <v>10</v>
      </c>
      <c r="K1463" s="64">
        <f>LEN(TRIM(Table22[[#This Row],[Sales Team]]))</f>
        <v>10</v>
      </c>
      <c r="L1463" s="23">
        <v>29</v>
      </c>
      <c r="M1463" s="65" t="str" cm="1">
        <f t="array" ref="M1463">_xlfn.IFS(Table22[[#This Row],[Units Sold]]&lt;40,"Critical",Table22[[#This Row],[Units Sold]]&lt;=50,"Poor",Table22[[#This Row],[Units Sold]]&lt;=60,"Low",Table22[[#This Row],[Units Sold]]&lt;=80,"Average",Table22[[#This Row],[Units Sold]]&lt;=90,"High",Table22[[#This Row],[Units Sold]]&lt;=95,"Excellent",Table22[[#This Row],[Units Sold]]&gt;95,"Outstanding")</f>
        <v>Critical</v>
      </c>
      <c r="N1463" s="29">
        <v>479.29</v>
      </c>
      <c r="O1463" s="29">
        <v>13899.41</v>
      </c>
      <c r="P1463" s="43">
        <f>IF(Table22[[#This Row],[Discount Applied]],Table22[[#This Row],[Total Sales (in USD)]]*(1-Table22[[#This Row],[Discount Percentage (%)]]/100),Table22[[#This Row],[Total Sales (in USD)]])</f>
        <v>10193.827294000001</v>
      </c>
      <c r="Q1463" s="66">
        <f>SQRT(AVERAGE((Table22[[#This Row],[Net Sales (after discount) (in USD)]]-AVERAGE(Table22[Net Sales (after discount) (in USD)]))^2))</f>
        <v>26317.533269764535</v>
      </c>
      <c r="R1463" s="18" t="b">
        <v>0</v>
      </c>
      <c r="S1463" s="40">
        <v>26.66</v>
      </c>
      <c r="T1463" s="18" t="b">
        <v>1</v>
      </c>
      <c r="U1463" s="25">
        <v>45002</v>
      </c>
      <c r="V1463" s="63" t="str">
        <f>IF(MONTH(Table22[[#This Row],[Sales Date]])&lt;=3,"Q1",IF(MONTH(Table22[[#This Row],[Sales Date]])&lt;=6,"Q2",IF(MONTH(Table22[[#This Row],[Sales Date]])&lt;=9,"Q3","Q4")))</f>
        <v>Q1</v>
      </c>
      <c r="W1463" s="64">
        <f>YEAR(Table22[[#This Row],[Sales Date]])</f>
        <v>2023</v>
      </c>
      <c r="X1463" s="23">
        <v>34</v>
      </c>
      <c r="Y1463" s="18" t="s">
        <v>23</v>
      </c>
      <c r="Z1463" s="18" t="s">
        <v>30</v>
      </c>
      <c r="AA1463" s="19" t="s">
        <v>36</v>
      </c>
    </row>
    <row r="1464" spans="1:27" x14ac:dyDescent="0.25">
      <c r="A1464" s="17" t="s">
        <v>527</v>
      </c>
      <c r="B1464" s="18" t="s">
        <v>32</v>
      </c>
      <c r="C1464" s="63" t="str" cm="1">
        <f t="array" ref="C1464">_xlfn.SWITCH(Table22[[#This Row],[Country]],"USA","North America","Canada","North America","Brazil","South America","China","Asia","Japan","Asia","India","Asia","France","Europe","Germany","Europe","UK","Europe","Australia","Oceania","South America")</f>
        <v>Asia</v>
      </c>
      <c r="D1464" s="18" t="s">
        <v>44</v>
      </c>
      <c r="E1464" s="18" t="s">
        <v>39</v>
      </c>
      <c r="F1464" s="18" t="s">
        <v>47</v>
      </c>
      <c r="G1464" s="18" t="s">
        <v>40</v>
      </c>
      <c r="H1464" s="64">
        <f>LEN(TRIM(Table22[[#This Row],[Country]]))</f>
        <v>5</v>
      </c>
      <c r="I1464" s="64">
        <f>LEN(TRIM(Table22[[#This Row],[Continent]]))</f>
        <v>4</v>
      </c>
      <c r="J1464" s="64">
        <f>LEN(TRIM(Table22[[#This Row],[Product]]))</f>
        <v>10</v>
      </c>
      <c r="K1464" s="64">
        <f>LEN(TRIM(Table22[[#This Row],[Sales Team]]))</f>
        <v>10</v>
      </c>
      <c r="L1464" s="23">
        <v>75</v>
      </c>
      <c r="M1464" s="65" t="str" cm="1">
        <f t="array" ref="M1464">_xlfn.IFS(Table22[[#This Row],[Units Sold]]&lt;40,"Critical",Table22[[#This Row],[Units Sold]]&lt;=50,"Poor",Table22[[#This Row],[Units Sold]]&lt;=60,"Low",Table22[[#This Row],[Units Sold]]&lt;=80,"Average",Table22[[#This Row],[Units Sold]]&lt;=90,"High",Table22[[#This Row],[Units Sold]]&lt;=95,"Excellent",Table22[[#This Row],[Units Sold]]&gt;95,"Outstanding")</f>
        <v>Average</v>
      </c>
      <c r="N1464" s="29">
        <v>185.28</v>
      </c>
      <c r="O1464" s="29">
        <v>13896</v>
      </c>
      <c r="P1464" s="43">
        <f>IF(Table22[[#This Row],[Discount Applied]],Table22[[#This Row],[Total Sales (in USD)]]*(1-Table22[[#This Row],[Discount Percentage (%)]]/100),Table22[[#This Row],[Total Sales (in USD)]])</f>
        <v>13896</v>
      </c>
      <c r="Q1464" s="66">
        <f>SQRT(AVERAGE((Table22[[#This Row],[Net Sales (after discount) (in USD)]]-AVERAGE(Table22[Net Sales (after discount) (in USD)]))^2))</f>
        <v>22615.360563764538</v>
      </c>
      <c r="R1464" s="18" t="b">
        <v>0</v>
      </c>
      <c r="S1464" s="40">
        <v>1.5</v>
      </c>
      <c r="T1464" s="18" t="b">
        <v>0</v>
      </c>
      <c r="U1464" s="25">
        <v>45427</v>
      </c>
      <c r="V1464" s="63" t="str">
        <f>IF(MONTH(Table22[[#This Row],[Sales Date]])&lt;=3,"Q1",IF(MONTH(Table22[[#This Row],[Sales Date]])&lt;=6,"Q2",IF(MONTH(Table22[[#This Row],[Sales Date]])&lt;=9,"Q3","Q4")))</f>
        <v>Q2</v>
      </c>
      <c r="W1464" s="64">
        <f>YEAR(Table22[[#This Row],[Sales Date]])</f>
        <v>2024</v>
      </c>
      <c r="X1464" s="23">
        <v>58</v>
      </c>
      <c r="Y1464" s="18" t="s">
        <v>49</v>
      </c>
      <c r="Z1464" s="18" t="s">
        <v>42</v>
      </c>
      <c r="AA1464" s="19" t="s">
        <v>36</v>
      </c>
    </row>
    <row r="1465" spans="1:27" x14ac:dyDescent="0.25">
      <c r="A1465" s="17" t="s">
        <v>1562</v>
      </c>
      <c r="B1465" s="18" t="s">
        <v>62</v>
      </c>
      <c r="C1465" s="63" t="str" cm="1">
        <f t="array" ref="C1465">_xlfn.SWITCH(Table22[[#This Row],[Country]],"USA","North America","Canada","North America","Brazil","South America","China","Asia","Japan","Asia","India","Asia","France","Europe","Germany","Europe","UK","Europe","Australia","Oceania","South America")</f>
        <v>Oceania</v>
      </c>
      <c r="D1465" s="18" t="s">
        <v>21</v>
      </c>
      <c r="E1465" s="18" t="s">
        <v>33</v>
      </c>
      <c r="F1465" s="18" t="s">
        <v>34</v>
      </c>
      <c r="G1465" s="18" t="s">
        <v>29</v>
      </c>
      <c r="H1465" s="64">
        <f>LEN(TRIM(Table22[[#This Row],[Country]]))</f>
        <v>9</v>
      </c>
      <c r="I1465" s="64">
        <f>LEN(TRIM(Table22[[#This Row],[Continent]]))</f>
        <v>7</v>
      </c>
      <c r="J1465" s="64">
        <f>LEN(TRIM(Table22[[#This Row],[Product]]))</f>
        <v>10</v>
      </c>
      <c r="K1465" s="64">
        <f>LEN(TRIM(Table22[[#This Row],[Sales Team]]))</f>
        <v>10</v>
      </c>
      <c r="L1465" s="23">
        <v>45</v>
      </c>
      <c r="M1465" s="65" t="str" cm="1">
        <f t="array" ref="M1465">_xlfn.IFS(Table22[[#This Row],[Units Sold]]&lt;40,"Critical",Table22[[#This Row],[Units Sold]]&lt;=50,"Poor",Table22[[#This Row],[Units Sold]]&lt;=60,"Low",Table22[[#This Row],[Units Sold]]&lt;=80,"Average",Table22[[#This Row],[Units Sold]]&lt;=90,"High",Table22[[#This Row],[Units Sold]]&lt;=95,"Excellent",Table22[[#This Row],[Units Sold]]&gt;95,"Outstanding")</f>
        <v>Poor</v>
      </c>
      <c r="N1465" s="29">
        <v>308.45999999999998</v>
      </c>
      <c r="O1465" s="29">
        <v>13880.7</v>
      </c>
      <c r="P1465" s="43">
        <f>IF(Table22[[#This Row],[Discount Applied]],Table22[[#This Row],[Total Sales (in USD)]]*(1-Table22[[#This Row],[Discount Percentage (%)]]/100),Table22[[#This Row],[Total Sales (in USD)]])</f>
        <v>13880.7</v>
      </c>
      <c r="Q1465" s="66">
        <f>SQRT(AVERAGE((Table22[[#This Row],[Net Sales (after discount) (in USD)]]-AVERAGE(Table22[Net Sales (after discount) (in USD)]))^2))</f>
        <v>22630.660563764537</v>
      </c>
      <c r="R1465" s="18" t="b">
        <v>1</v>
      </c>
      <c r="S1465" s="40">
        <v>13.43</v>
      </c>
      <c r="T1465" s="18" t="b">
        <v>0</v>
      </c>
      <c r="U1465" s="25">
        <v>45416</v>
      </c>
      <c r="V1465" s="63" t="str">
        <f>IF(MONTH(Table22[[#This Row],[Sales Date]])&lt;=3,"Q1",IF(MONTH(Table22[[#This Row],[Sales Date]])&lt;=6,"Q2",IF(MONTH(Table22[[#This Row],[Sales Date]])&lt;=9,"Q3","Q4")))</f>
        <v>Q2</v>
      </c>
      <c r="W1465" s="64">
        <f>YEAR(Table22[[#This Row],[Sales Date]])</f>
        <v>2024</v>
      </c>
      <c r="X1465" s="23">
        <v>36</v>
      </c>
      <c r="Y1465" s="18" t="s">
        <v>41</v>
      </c>
      <c r="Z1465" s="18" t="s">
        <v>24</v>
      </c>
      <c r="AA1465" s="19" t="s">
        <v>36</v>
      </c>
    </row>
    <row r="1466" spans="1:27" x14ac:dyDescent="0.25">
      <c r="A1466" s="17" t="s">
        <v>1100</v>
      </c>
      <c r="B1466" s="18" t="s">
        <v>66</v>
      </c>
      <c r="C1466" s="63" t="str" cm="1">
        <f t="array" ref="C1466">_xlfn.SWITCH(Table22[[#This Row],[Country]],"USA","North America","Canada","North America","Brazil","South America","China","Asia","Japan","Asia","India","Asia","France","Europe","Germany","Europe","UK","Europe","Australia","Oceania","South America")</f>
        <v>North America</v>
      </c>
      <c r="D1466" s="18" t="s">
        <v>21</v>
      </c>
      <c r="E1466" s="18" t="s">
        <v>33</v>
      </c>
      <c r="F1466" s="18" t="s">
        <v>64</v>
      </c>
      <c r="G1466" s="18" t="s">
        <v>48</v>
      </c>
      <c r="H1466" s="64">
        <f>LEN(TRIM(Table22[[#This Row],[Country]]))</f>
        <v>6</v>
      </c>
      <c r="I1466" s="64">
        <f>LEN(TRIM(Table22[[#This Row],[Continent]]))</f>
        <v>13</v>
      </c>
      <c r="J1466" s="64">
        <f>LEN(TRIM(Table22[[#This Row],[Product]]))</f>
        <v>10</v>
      </c>
      <c r="K1466" s="64">
        <f>LEN(TRIM(Table22[[#This Row],[Sales Team]]))</f>
        <v>9</v>
      </c>
      <c r="L1466" s="23">
        <v>11</v>
      </c>
      <c r="M1466" s="65" t="str" cm="1">
        <f t="array" ref="M1466">_xlfn.IFS(Table22[[#This Row],[Units Sold]]&lt;40,"Critical",Table22[[#This Row],[Units Sold]]&lt;=50,"Poor",Table22[[#This Row],[Units Sold]]&lt;=60,"Low",Table22[[#This Row],[Units Sold]]&lt;=80,"Average",Table22[[#This Row],[Units Sold]]&lt;=90,"High",Table22[[#This Row],[Units Sold]]&lt;=95,"Excellent",Table22[[#This Row],[Units Sold]]&gt;95,"Outstanding")</f>
        <v>Critical</v>
      </c>
      <c r="N1466" s="29">
        <v>1257.3900000000001</v>
      </c>
      <c r="O1466" s="29">
        <v>13831.29</v>
      </c>
      <c r="P1466" s="43">
        <f>IF(Table22[[#This Row],[Discount Applied]],Table22[[#This Row],[Total Sales (in USD)]]*(1-Table22[[#This Row],[Discount Percentage (%)]]/100),Table22[[#This Row],[Total Sales (in USD)]])</f>
        <v>13831.29</v>
      </c>
      <c r="Q1466" s="66">
        <f>SQRT(AVERAGE((Table22[[#This Row],[Net Sales (after discount) (in USD)]]-AVERAGE(Table22[Net Sales (after discount) (in USD)]))^2))</f>
        <v>22680.070563764537</v>
      </c>
      <c r="R1466" s="18" t="b">
        <v>0</v>
      </c>
      <c r="S1466" s="40">
        <v>17.010000000000002</v>
      </c>
      <c r="T1466" s="18" t="b">
        <v>0</v>
      </c>
      <c r="U1466" s="25">
        <v>45184</v>
      </c>
      <c r="V1466" s="63" t="str">
        <f>IF(MONTH(Table22[[#This Row],[Sales Date]])&lt;=3,"Q1",IF(MONTH(Table22[[#This Row],[Sales Date]])&lt;=6,"Q2",IF(MONTH(Table22[[#This Row],[Sales Date]])&lt;=9,"Q3","Q4")))</f>
        <v>Q3</v>
      </c>
      <c r="W1466" s="64">
        <f>YEAR(Table22[[#This Row],[Sales Date]])</f>
        <v>2023</v>
      </c>
      <c r="X1466" s="23">
        <v>26</v>
      </c>
      <c r="Y1466" s="18" t="s">
        <v>41</v>
      </c>
      <c r="Z1466" s="18" t="s">
        <v>30</v>
      </c>
      <c r="AA1466" s="19" t="s">
        <v>25</v>
      </c>
    </row>
    <row r="1467" spans="1:27" x14ac:dyDescent="0.25">
      <c r="A1467" s="17" t="s">
        <v>504</v>
      </c>
      <c r="B1467" s="18" t="s">
        <v>72</v>
      </c>
      <c r="C1467" s="63" t="str" cm="1">
        <f t="array" ref="C1467">_xlfn.SWITCH(Table22[[#This Row],[Country]],"USA","North America","Canada","North America","Brazil","South America","China","Asia","Japan","Asia","India","Asia","France","Europe","Germany","Europe","UK","Europe","Australia","Oceania","South America")</f>
        <v>North America</v>
      </c>
      <c r="D1467" s="18" t="s">
        <v>44</v>
      </c>
      <c r="E1467" s="18" t="s">
        <v>33</v>
      </c>
      <c r="F1467" s="18" t="s">
        <v>34</v>
      </c>
      <c r="G1467" s="18" t="s">
        <v>48</v>
      </c>
      <c r="H1467" s="64">
        <f>LEN(TRIM(Table22[[#This Row],[Country]]))</f>
        <v>3</v>
      </c>
      <c r="I1467" s="64">
        <f>LEN(TRIM(Table22[[#This Row],[Continent]]))</f>
        <v>13</v>
      </c>
      <c r="J1467" s="64">
        <f>LEN(TRIM(Table22[[#This Row],[Product]]))</f>
        <v>10</v>
      </c>
      <c r="K1467" s="64">
        <f>LEN(TRIM(Table22[[#This Row],[Sales Team]]))</f>
        <v>9</v>
      </c>
      <c r="L1467" s="23">
        <v>98</v>
      </c>
      <c r="M1467" s="65" t="str" cm="1">
        <f t="array" ref="M1467">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467" s="29">
        <v>140.94999999999999</v>
      </c>
      <c r="O1467" s="29">
        <v>13813.1</v>
      </c>
      <c r="P1467" s="43">
        <f>IF(Table22[[#This Row],[Discount Applied]],Table22[[#This Row],[Total Sales (in USD)]]*(1-Table22[[#This Row],[Discount Percentage (%)]]/100),Table22[[#This Row],[Total Sales (in USD)]])</f>
        <v>12264.65149</v>
      </c>
      <c r="Q1467" s="66">
        <f>SQRT(AVERAGE((Table22[[#This Row],[Net Sales (after discount) (in USD)]]-AVERAGE(Table22[Net Sales (after discount) (in USD)]))^2))</f>
        <v>24246.709073764538</v>
      </c>
      <c r="R1467" s="18" t="b">
        <v>1</v>
      </c>
      <c r="S1467" s="40">
        <v>11.21</v>
      </c>
      <c r="T1467" s="18" t="b">
        <v>1</v>
      </c>
      <c r="U1467" s="25">
        <v>45304</v>
      </c>
      <c r="V1467" s="63" t="str">
        <f>IF(MONTH(Table22[[#This Row],[Sales Date]])&lt;=3,"Q1",IF(MONTH(Table22[[#This Row],[Sales Date]])&lt;=6,"Q2",IF(MONTH(Table22[[#This Row],[Sales Date]])&lt;=9,"Q3","Q4")))</f>
        <v>Q1</v>
      </c>
      <c r="W1467" s="64">
        <f>YEAR(Table22[[#This Row],[Sales Date]])</f>
        <v>2024</v>
      </c>
      <c r="X1467" s="23">
        <v>48</v>
      </c>
      <c r="Y1467" s="18" t="s">
        <v>49</v>
      </c>
      <c r="Z1467" s="18" t="s">
        <v>24</v>
      </c>
      <c r="AA1467" s="19" t="s">
        <v>36</v>
      </c>
    </row>
    <row r="1468" spans="1:27" x14ac:dyDescent="0.25">
      <c r="A1468" s="17" t="s">
        <v>1595</v>
      </c>
      <c r="B1468" s="18" t="s">
        <v>38</v>
      </c>
      <c r="C1468" s="63" t="str" cm="1">
        <f t="array" ref="C1468">_xlfn.SWITCH(Table22[[#This Row],[Country]],"USA","North America","Canada","North America","Brazil","South America","China","Asia","Japan","Asia","India","Asia","France","Europe","Germany","Europe","UK","Europe","Australia","Oceania","South America")</f>
        <v>Europe</v>
      </c>
      <c r="D1468" s="18" t="s">
        <v>21</v>
      </c>
      <c r="E1468" s="18" t="s">
        <v>39</v>
      </c>
      <c r="F1468" s="18" t="s">
        <v>64</v>
      </c>
      <c r="G1468" s="18" t="s">
        <v>48</v>
      </c>
      <c r="H1468" s="64">
        <f>LEN(TRIM(Table22[[#This Row],[Country]]))</f>
        <v>6</v>
      </c>
      <c r="I1468" s="64">
        <f>LEN(TRIM(Table22[[#This Row],[Continent]]))</f>
        <v>6</v>
      </c>
      <c r="J1468" s="64">
        <f>LEN(TRIM(Table22[[#This Row],[Product]]))</f>
        <v>10</v>
      </c>
      <c r="K1468" s="64">
        <f>LEN(TRIM(Table22[[#This Row],[Sales Team]]))</f>
        <v>9</v>
      </c>
      <c r="L1468" s="23">
        <v>64</v>
      </c>
      <c r="M1468" s="65" t="str" cm="1">
        <f t="array" ref="M1468">_xlfn.IFS(Table22[[#This Row],[Units Sold]]&lt;40,"Critical",Table22[[#This Row],[Units Sold]]&lt;=50,"Poor",Table22[[#This Row],[Units Sold]]&lt;=60,"Low",Table22[[#This Row],[Units Sold]]&lt;=80,"Average",Table22[[#This Row],[Units Sold]]&lt;=90,"High",Table22[[#This Row],[Units Sold]]&lt;=95,"Excellent",Table22[[#This Row],[Units Sold]]&gt;95,"Outstanding")</f>
        <v>Average</v>
      </c>
      <c r="N1468" s="29">
        <v>214.54</v>
      </c>
      <c r="O1468" s="29">
        <v>13730.56</v>
      </c>
      <c r="P1468" s="43">
        <f>IF(Table22[[#This Row],[Discount Applied]],Table22[[#This Row],[Total Sales (in USD)]]*(1-Table22[[#This Row],[Discount Percentage (%)]]/100),Table22[[#This Row],[Total Sales (in USD)]])</f>
        <v>13730.56</v>
      </c>
      <c r="Q1468" s="66">
        <f>SQRT(AVERAGE((Table22[[#This Row],[Net Sales (after discount) (in USD)]]-AVERAGE(Table22[Net Sales (after discount) (in USD)]))^2))</f>
        <v>22780.80056376454</v>
      </c>
      <c r="R1468" s="18" t="b">
        <v>1</v>
      </c>
      <c r="S1468" s="40">
        <v>27.79</v>
      </c>
      <c r="T1468" s="18" t="b">
        <v>0</v>
      </c>
      <c r="U1468" s="25">
        <v>45039</v>
      </c>
      <c r="V1468" s="63" t="str">
        <f>IF(MONTH(Table22[[#This Row],[Sales Date]])&lt;=3,"Q1",IF(MONTH(Table22[[#This Row],[Sales Date]])&lt;=6,"Q2",IF(MONTH(Table22[[#This Row],[Sales Date]])&lt;=9,"Q3","Q4")))</f>
        <v>Q2</v>
      </c>
      <c r="W1468" s="64">
        <f>YEAR(Table22[[#This Row],[Sales Date]])</f>
        <v>2023</v>
      </c>
      <c r="X1468" s="23">
        <v>22</v>
      </c>
      <c r="Y1468" s="18" t="s">
        <v>23</v>
      </c>
      <c r="Z1468" s="18" t="s">
        <v>42</v>
      </c>
      <c r="AA1468" s="19" t="s">
        <v>25</v>
      </c>
    </row>
    <row r="1469" spans="1:27" x14ac:dyDescent="0.25">
      <c r="A1469" s="17" t="s">
        <v>409</v>
      </c>
      <c r="B1469" s="18" t="s">
        <v>46</v>
      </c>
      <c r="C1469" s="63" t="str" cm="1">
        <f t="array" ref="C1469">_xlfn.SWITCH(Table22[[#This Row],[Country]],"USA","North America","Canada","North America","Brazil","South America","China","Asia","Japan","Asia","India","Asia","France","Europe","Germany","Europe","UK","Europe","Australia","Oceania","South America")</f>
        <v>South America</v>
      </c>
      <c r="D1469" s="18" t="s">
        <v>28</v>
      </c>
      <c r="E1469" s="18" t="s">
        <v>39</v>
      </c>
      <c r="F1469" s="18" t="s">
        <v>20</v>
      </c>
      <c r="G1469" s="18" t="s">
        <v>40</v>
      </c>
      <c r="H1469" s="64">
        <f>LEN(TRIM(Table22[[#This Row],[Country]]))</f>
        <v>6</v>
      </c>
      <c r="I1469" s="64">
        <f>LEN(TRIM(Table22[[#This Row],[Continent]]))</f>
        <v>13</v>
      </c>
      <c r="J1469" s="64">
        <f>LEN(TRIM(Table22[[#This Row],[Product]]))</f>
        <v>10</v>
      </c>
      <c r="K1469" s="64">
        <f>LEN(TRIM(Table22[[#This Row],[Sales Team]]))</f>
        <v>10</v>
      </c>
      <c r="L1469" s="23">
        <v>10</v>
      </c>
      <c r="M1469" s="65" t="str" cm="1">
        <f t="array" ref="M1469">_xlfn.IFS(Table22[[#This Row],[Units Sold]]&lt;40,"Critical",Table22[[#This Row],[Units Sold]]&lt;=50,"Poor",Table22[[#This Row],[Units Sold]]&lt;=60,"Low",Table22[[#This Row],[Units Sold]]&lt;=80,"Average",Table22[[#This Row],[Units Sold]]&lt;=90,"High",Table22[[#This Row],[Units Sold]]&lt;=95,"Excellent",Table22[[#This Row],[Units Sold]]&gt;95,"Outstanding")</f>
        <v>Critical</v>
      </c>
      <c r="N1469" s="29">
        <v>1369.1</v>
      </c>
      <c r="O1469" s="29">
        <v>13691</v>
      </c>
      <c r="P1469" s="43">
        <f>IF(Table22[[#This Row],[Discount Applied]],Table22[[#This Row],[Total Sales (in USD)]]*(1-Table22[[#This Row],[Discount Percentage (%)]]/100),Table22[[#This Row],[Total Sales (in USD)]])</f>
        <v>10213.486000000001</v>
      </c>
      <c r="Q1469" s="66">
        <f>SQRT(AVERAGE((Table22[[#This Row],[Net Sales (after discount) (in USD)]]-AVERAGE(Table22[Net Sales (after discount) (in USD)]))^2))</f>
        <v>26297.874563764537</v>
      </c>
      <c r="R1469" s="18" t="b">
        <v>0</v>
      </c>
      <c r="S1469" s="40">
        <v>25.4</v>
      </c>
      <c r="T1469" s="18" t="b">
        <v>1</v>
      </c>
      <c r="U1469" s="25">
        <v>45461</v>
      </c>
      <c r="V1469" s="63" t="str">
        <f>IF(MONTH(Table22[[#This Row],[Sales Date]])&lt;=3,"Q1",IF(MONTH(Table22[[#This Row],[Sales Date]])&lt;=6,"Q2",IF(MONTH(Table22[[#This Row],[Sales Date]])&lt;=9,"Q3","Q4")))</f>
        <v>Q2</v>
      </c>
      <c r="W1469" s="64">
        <f>YEAR(Table22[[#This Row],[Sales Date]])</f>
        <v>2024</v>
      </c>
      <c r="X1469" s="23">
        <v>66</v>
      </c>
      <c r="Y1469" s="18" t="s">
        <v>23</v>
      </c>
      <c r="Z1469" s="18" t="s">
        <v>56</v>
      </c>
      <c r="AA1469" s="19" t="s">
        <v>25</v>
      </c>
    </row>
    <row r="1470" spans="1:27" x14ac:dyDescent="0.25">
      <c r="A1470" s="17" t="s">
        <v>1022</v>
      </c>
      <c r="B1470" s="18" t="s">
        <v>46</v>
      </c>
      <c r="C1470" s="63" t="str" cm="1">
        <f t="array" ref="C1470">_xlfn.SWITCH(Table22[[#This Row],[Country]],"USA","North America","Canada","North America","Brazil","South America","China","Asia","Japan","Asia","India","Asia","France","Europe","Germany","Europe","UK","Europe","Australia","Oceania","South America")</f>
        <v>South America</v>
      </c>
      <c r="D1470" s="18" t="s">
        <v>28</v>
      </c>
      <c r="E1470" s="18" t="s">
        <v>19</v>
      </c>
      <c r="F1470" s="18" t="s">
        <v>64</v>
      </c>
      <c r="G1470" s="18" t="s">
        <v>29</v>
      </c>
      <c r="H1470" s="64">
        <f>LEN(TRIM(Table22[[#This Row],[Country]]))</f>
        <v>6</v>
      </c>
      <c r="I1470" s="64">
        <f>LEN(TRIM(Table22[[#This Row],[Continent]]))</f>
        <v>13</v>
      </c>
      <c r="J1470" s="64">
        <f>LEN(TRIM(Table22[[#This Row],[Product]]))</f>
        <v>6</v>
      </c>
      <c r="K1470" s="64">
        <f>LEN(TRIM(Table22[[#This Row],[Sales Team]]))</f>
        <v>10</v>
      </c>
      <c r="L1470" s="23">
        <v>43</v>
      </c>
      <c r="M1470" s="65" t="str" cm="1">
        <f t="array" ref="M1470">_xlfn.IFS(Table22[[#This Row],[Units Sold]]&lt;40,"Critical",Table22[[#This Row],[Units Sold]]&lt;=50,"Poor",Table22[[#This Row],[Units Sold]]&lt;=60,"Low",Table22[[#This Row],[Units Sold]]&lt;=80,"Average",Table22[[#This Row],[Units Sold]]&lt;=90,"High",Table22[[#This Row],[Units Sold]]&lt;=95,"Excellent",Table22[[#This Row],[Units Sold]]&gt;95,"Outstanding")</f>
        <v>Poor</v>
      </c>
      <c r="N1470" s="29">
        <v>318.14</v>
      </c>
      <c r="O1470" s="29">
        <v>13680.02</v>
      </c>
      <c r="P1470" s="43">
        <f>IF(Table22[[#This Row],[Discount Applied]],Table22[[#This Row],[Total Sales (in USD)]]*(1-Table22[[#This Row],[Discount Percentage (%)]]/100),Table22[[#This Row],[Total Sales (in USD)]])</f>
        <v>11112.280246</v>
      </c>
      <c r="Q1470" s="66">
        <f>SQRT(AVERAGE((Table22[[#This Row],[Net Sales (after discount) (in USD)]]-AVERAGE(Table22[Net Sales (after discount) (in USD)]))^2))</f>
        <v>25399.080317764536</v>
      </c>
      <c r="R1470" s="18" t="b">
        <v>1</v>
      </c>
      <c r="S1470" s="40">
        <v>18.77</v>
      </c>
      <c r="T1470" s="18" t="b">
        <v>1</v>
      </c>
      <c r="U1470" s="25">
        <v>45410</v>
      </c>
      <c r="V1470" s="63" t="str">
        <f>IF(MONTH(Table22[[#This Row],[Sales Date]])&lt;=3,"Q1",IF(MONTH(Table22[[#This Row],[Sales Date]])&lt;=6,"Q2",IF(MONTH(Table22[[#This Row],[Sales Date]])&lt;=9,"Q3","Q4")))</f>
        <v>Q2</v>
      </c>
      <c r="W1470" s="64">
        <f>YEAR(Table22[[#This Row],[Sales Date]])</f>
        <v>2024</v>
      </c>
      <c r="X1470" s="23">
        <v>41</v>
      </c>
      <c r="Y1470" s="18" t="s">
        <v>49</v>
      </c>
      <c r="Z1470" s="18" t="s">
        <v>56</v>
      </c>
      <c r="AA1470" s="19" t="s">
        <v>36</v>
      </c>
    </row>
    <row r="1471" spans="1:27" x14ac:dyDescent="0.25">
      <c r="A1471" s="17" t="s">
        <v>1052</v>
      </c>
      <c r="B1471" s="18" t="s">
        <v>72</v>
      </c>
      <c r="C1471" s="63" t="str" cm="1">
        <f t="array" ref="C1471">_xlfn.SWITCH(Table22[[#This Row],[Country]],"USA","North America","Canada","North America","Brazil","South America","China","Asia","Japan","Asia","India","Asia","France","Europe","Germany","Europe","UK","Europe","Australia","Oceania","South America")</f>
        <v>North America</v>
      </c>
      <c r="D1471" s="18" t="s">
        <v>44</v>
      </c>
      <c r="E1471" s="18" t="s">
        <v>33</v>
      </c>
      <c r="F1471" s="18" t="s">
        <v>52</v>
      </c>
      <c r="G1471" s="18" t="s">
        <v>29</v>
      </c>
      <c r="H1471" s="64">
        <f>LEN(TRIM(Table22[[#This Row],[Country]]))</f>
        <v>3</v>
      </c>
      <c r="I1471" s="64">
        <f>LEN(TRIM(Table22[[#This Row],[Continent]]))</f>
        <v>13</v>
      </c>
      <c r="J1471" s="64">
        <f>LEN(TRIM(Table22[[#This Row],[Product]]))</f>
        <v>10</v>
      </c>
      <c r="K1471" s="64">
        <f>LEN(TRIM(Table22[[#This Row],[Sales Team]]))</f>
        <v>10</v>
      </c>
      <c r="L1471" s="23">
        <v>27</v>
      </c>
      <c r="M1471" s="65" t="str" cm="1">
        <f t="array" ref="M1471">_xlfn.IFS(Table22[[#This Row],[Units Sold]]&lt;40,"Critical",Table22[[#This Row],[Units Sold]]&lt;=50,"Poor",Table22[[#This Row],[Units Sold]]&lt;=60,"Low",Table22[[#This Row],[Units Sold]]&lt;=80,"Average",Table22[[#This Row],[Units Sold]]&lt;=90,"High",Table22[[#This Row],[Units Sold]]&lt;=95,"Excellent",Table22[[#This Row],[Units Sold]]&gt;95,"Outstanding")</f>
        <v>Critical</v>
      </c>
      <c r="N1471" s="29">
        <v>505.36</v>
      </c>
      <c r="O1471" s="29">
        <v>13644.72</v>
      </c>
      <c r="P1471" s="43">
        <f>IF(Table22[[#This Row],[Discount Applied]],Table22[[#This Row],[Total Sales (in USD)]]*(1-Table22[[#This Row],[Discount Percentage (%)]]/100),Table22[[#This Row],[Total Sales (in USD)]])</f>
        <v>12089.22192</v>
      </c>
      <c r="Q1471" s="66">
        <f>SQRT(AVERAGE((Table22[[#This Row],[Net Sales (after discount) (in USD)]]-AVERAGE(Table22[Net Sales (after discount) (in USD)]))^2))</f>
        <v>24422.138643764538</v>
      </c>
      <c r="R1471" s="18" t="b">
        <v>1</v>
      </c>
      <c r="S1471" s="40">
        <v>11.4</v>
      </c>
      <c r="T1471" s="18" t="b">
        <v>1</v>
      </c>
      <c r="U1471" s="25">
        <v>45184</v>
      </c>
      <c r="V1471" s="63" t="str">
        <f>IF(MONTH(Table22[[#This Row],[Sales Date]])&lt;=3,"Q1",IF(MONTH(Table22[[#This Row],[Sales Date]])&lt;=6,"Q2",IF(MONTH(Table22[[#This Row],[Sales Date]])&lt;=9,"Q3","Q4")))</f>
        <v>Q3</v>
      </c>
      <c r="W1471" s="64">
        <f>YEAR(Table22[[#This Row],[Sales Date]])</f>
        <v>2023</v>
      </c>
      <c r="X1471" s="23">
        <v>40</v>
      </c>
      <c r="Y1471" s="18" t="s">
        <v>41</v>
      </c>
      <c r="Z1471" s="18" t="s">
        <v>56</v>
      </c>
      <c r="AA1471" s="19" t="s">
        <v>36</v>
      </c>
    </row>
    <row r="1472" spans="1:27" x14ac:dyDescent="0.25">
      <c r="A1472" s="17" t="s">
        <v>254</v>
      </c>
      <c r="B1472" s="18" t="s">
        <v>76</v>
      </c>
      <c r="C1472" s="63" t="str" cm="1">
        <f t="array" ref="C1472">_xlfn.SWITCH(Table22[[#This Row],[Country]],"USA","North America","Canada","North America","Brazil","South America","China","Asia","Japan","Asia","India","Asia","France","Europe","Germany","Europe","UK","Europe","Australia","Oceania","South America")</f>
        <v>Asia</v>
      </c>
      <c r="D1472" s="18" t="s">
        <v>21</v>
      </c>
      <c r="E1472" s="18" t="s">
        <v>39</v>
      </c>
      <c r="F1472" s="18" t="s">
        <v>52</v>
      </c>
      <c r="G1472" s="18" t="s">
        <v>48</v>
      </c>
      <c r="H1472" s="64">
        <f>LEN(TRIM(Table22[[#This Row],[Country]]))</f>
        <v>5</v>
      </c>
      <c r="I1472" s="64">
        <f>LEN(TRIM(Table22[[#This Row],[Continent]]))</f>
        <v>4</v>
      </c>
      <c r="J1472" s="64">
        <f>LEN(TRIM(Table22[[#This Row],[Product]]))</f>
        <v>10</v>
      </c>
      <c r="K1472" s="64">
        <f>LEN(TRIM(Table22[[#This Row],[Sales Team]]))</f>
        <v>9</v>
      </c>
      <c r="L1472" s="23">
        <v>39</v>
      </c>
      <c r="M1472" s="65" t="str" cm="1">
        <f t="array" ref="M1472">_xlfn.IFS(Table22[[#This Row],[Units Sold]]&lt;40,"Critical",Table22[[#This Row],[Units Sold]]&lt;=50,"Poor",Table22[[#This Row],[Units Sold]]&lt;=60,"Low",Table22[[#This Row],[Units Sold]]&lt;=80,"Average",Table22[[#This Row],[Units Sold]]&lt;=90,"High",Table22[[#This Row],[Units Sold]]&lt;=95,"Excellent",Table22[[#This Row],[Units Sold]]&gt;95,"Outstanding")</f>
        <v>Critical</v>
      </c>
      <c r="N1472" s="29">
        <v>348.99</v>
      </c>
      <c r="O1472" s="29">
        <v>13610.61</v>
      </c>
      <c r="P1472" s="43">
        <f>IF(Table22[[#This Row],[Discount Applied]],Table22[[#This Row],[Total Sales (in USD)]]*(1-Table22[[#This Row],[Discount Percentage (%)]]/100),Table22[[#This Row],[Total Sales (in USD)]])</f>
        <v>13610.61</v>
      </c>
      <c r="Q1472" s="66">
        <f>SQRT(AVERAGE((Table22[[#This Row],[Net Sales (after discount) (in USD)]]-AVERAGE(Table22[Net Sales (after discount) (in USD)]))^2))</f>
        <v>22900.750563764537</v>
      </c>
      <c r="R1472" s="18" t="b">
        <v>0</v>
      </c>
      <c r="S1472" s="40">
        <v>28.01</v>
      </c>
      <c r="T1472" s="18" t="b">
        <v>0</v>
      </c>
      <c r="U1472" s="25">
        <v>45280</v>
      </c>
      <c r="V1472" s="63" t="str">
        <f>IF(MONTH(Table22[[#This Row],[Sales Date]])&lt;=3,"Q1",IF(MONTH(Table22[[#This Row],[Sales Date]])&lt;=6,"Q2",IF(MONTH(Table22[[#This Row],[Sales Date]])&lt;=9,"Q3","Q4")))</f>
        <v>Q4</v>
      </c>
      <c r="W1472" s="64">
        <f>YEAR(Table22[[#This Row],[Sales Date]])</f>
        <v>2023</v>
      </c>
      <c r="X1472" s="23">
        <v>39</v>
      </c>
      <c r="Y1472" s="18" t="s">
        <v>41</v>
      </c>
      <c r="Z1472" s="18" t="s">
        <v>24</v>
      </c>
      <c r="AA1472" s="19" t="s">
        <v>36</v>
      </c>
    </row>
    <row r="1473" spans="1:27" x14ac:dyDescent="0.25">
      <c r="A1473" s="17" t="s">
        <v>797</v>
      </c>
      <c r="B1473" s="18" t="s">
        <v>66</v>
      </c>
      <c r="C1473" s="63" t="str" cm="1">
        <f t="array" ref="C1473">_xlfn.SWITCH(Table22[[#This Row],[Country]],"USA","North America","Canada","North America","Brazil","South America","China","Asia","Japan","Asia","India","Asia","France","Europe","Germany","Europe","UK","Europe","Australia","Oceania","South America")</f>
        <v>North America</v>
      </c>
      <c r="D1473" s="18" t="s">
        <v>44</v>
      </c>
      <c r="E1473" s="18" t="s">
        <v>39</v>
      </c>
      <c r="F1473" s="18" t="s">
        <v>52</v>
      </c>
      <c r="G1473" s="18" t="s">
        <v>40</v>
      </c>
      <c r="H1473" s="64">
        <f>LEN(TRIM(Table22[[#This Row],[Country]]))</f>
        <v>6</v>
      </c>
      <c r="I1473" s="64">
        <f>LEN(TRIM(Table22[[#This Row],[Continent]]))</f>
        <v>13</v>
      </c>
      <c r="J1473" s="64">
        <f>LEN(TRIM(Table22[[#This Row],[Product]]))</f>
        <v>10</v>
      </c>
      <c r="K1473" s="64">
        <f>LEN(TRIM(Table22[[#This Row],[Sales Team]]))</f>
        <v>10</v>
      </c>
      <c r="L1473" s="23">
        <v>13</v>
      </c>
      <c r="M1473" s="65" t="str" cm="1">
        <f t="array" ref="M1473">_xlfn.IFS(Table22[[#This Row],[Units Sold]]&lt;40,"Critical",Table22[[#This Row],[Units Sold]]&lt;=50,"Poor",Table22[[#This Row],[Units Sold]]&lt;=60,"Low",Table22[[#This Row],[Units Sold]]&lt;=80,"Average",Table22[[#This Row],[Units Sold]]&lt;=90,"High",Table22[[#This Row],[Units Sold]]&lt;=95,"Excellent",Table22[[#This Row],[Units Sold]]&gt;95,"Outstanding")</f>
        <v>Critical</v>
      </c>
      <c r="N1473" s="29">
        <v>1041.57</v>
      </c>
      <c r="O1473" s="29">
        <v>13540.41</v>
      </c>
      <c r="P1473" s="43">
        <f>IF(Table22[[#This Row],[Discount Applied]],Table22[[#This Row],[Total Sales (in USD)]]*(1-Table22[[#This Row],[Discount Percentage (%)]]/100),Table22[[#This Row],[Total Sales (in USD)]])</f>
        <v>11142.403388999999</v>
      </c>
      <c r="Q1473" s="66">
        <f>SQRT(AVERAGE((Table22[[#This Row],[Net Sales (after discount) (in USD)]]-AVERAGE(Table22[Net Sales (after discount) (in USD)]))^2))</f>
        <v>25368.957174764539</v>
      </c>
      <c r="R1473" s="18" t="b">
        <v>1</v>
      </c>
      <c r="S1473" s="40">
        <v>17.71</v>
      </c>
      <c r="T1473" s="18" t="b">
        <v>1</v>
      </c>
      <c r="U1473" s="25">
        <v>45095</v>
      </c>
      <c r="V1473" s="63" t="str">
        <f>IF(MONTH(Table22[[#This Row],[Sales Date]])&lt;=3,"Q1",IF(MONTH(Table22[[#This Row],[Sales Date]])&lt;=6,"Q2",IF(MONTH(Table22[[#This Row],[Sales Date]])&lt;=9,"Q3","Q4")))</f>
        <v>Q2</v>
      </c>
      <c r="W1473" s="64">
        <f>YEAR(Table22[[#This Row],[Sales Date]])</f>
        <v>2023</v>
      </c>
      <c r="X1473" s="23">
        <v>35</v>
      </c>
      <c r="Y1473" s="18" t="s">
        <v>49</v>
      </c>
      <c r="Z1473" s="18" t="s">
        <v>42</v>
      </c>
      <c r="AA1473" s="19" t="s">
        <v>25</v>
      </c>
    </row>
    <row r="1474" spans="1:27" x14ac:dyDescent="0.25">
      <c r="A1474" s="17" t="s">
        <v>897</v>
      </c>
      <c r="B1474" s="18" t="s">
        <v>32</v>
      </c>
      <c r="C1474" s="63" t="str" cm="1">
        <f t="array" ref="C1474">_xlfn.SWITCH(Table22[[#This Row],[Country]],"USA","North America","Canada","North America","Brazil","South America","China","Asia","Japan","Asia","India","Asia","France","Europe","Germany","Europe","UK","Europe","Australia","Oceania","South America")</f>
        <v>Asia</v>
      </c>
      <c r="D1474" s="18" t="s">
        <v>21</v>
      </c>
      <c r="E1474" s="18" t="s">
        <v>39</v>
      </c>
      <c r="F1474" s="18" t="s">
        <v>20</v>
      </c>
      <c r="G1474" s="18" t="s">
        <v>22</v>
      </c>
      <c r="H1474" s="64">
        <f>LEN(TRIM(Table22[[#This Row],[Country]]))</f>
        <v>5</v>
      </c>
      <c r="I1474" s="64">
        <f>LEN(TRIM(Table22[[#This Row],[Continent]]))</f>
        <v>4</v>
      </c>
      <c r="J1474" s="64">
        <f>LEN(TRIM(Table22[[#This Row],[Product]]))</f>
        <v>10</v>
      </c>
      <c r="K1474" s="64">
        <f>LEN(TRIM(Table22[[#This Row],[Sales Team]]))</f>
        <v>10</v>
      </c>
      <c r="L1474" s="23">
        <v>10</v>
      </c>
      <c r="M1474" s="65" t="str" cm="1">
        <f t="array" ref="M1474">_xlfn.IFS(Table22[[#This Row],[Units Sold]]&lt;40,"Critical",Table22[[#This Row],[Units Sold]]&lt;=50,"Poor",Table22[[#This Row],[Units Sold]]&lt;=60,"Low",Table22[[#This Row],[Units Sold]]&lt;=80,"Average",Table22[[#This Row],[Units Sold]]&lt;=90,"High",Table22[[#This Row],[Units Sold]]&lt;=95,"Excellent",Table22[[#This Row],[Units Sold]]&gt;95,"Outstanding")</f>
        <v>Critical</v>
      </c>
      <c r="N1474" s="29">
        <v>1353.28</v>
      </c>
      <c r="O1474" s="29">
        <v>13532.8</v>
      </c>
      <c r="P1474" s="43">
        <f>IF(Table22[[#This Row],[Discount Applied]],Table22[[#This Row],[Total Sales (in USD)]]*(1-Table22[[#This Row],[Discount Percentage (%)]]/100),Table22[[#This Row],[Total Sales (in USD)]])</f>
        <v>13532.8</v>
      </c>
      <c r="Q1474" s="66">
        <f>SQRT(AVERAGE((Table22[[#This Row],[Net Sales (after discount) (in USD)]]-AVERAGE(Table22[Net Sales (after discount) (in USD)]))^2))</f>
        <v>22978.560563764539</v>
      </c>
      <c r="R1474" s="18" t="b">
        <v>1</v>
      </c>
      <c r="S1474" s="40">
        <v>18.829999999999998</v>
      </c>
      <c r="T1474" s="18" t="b">
        <v>0</v>
      </c>
      <c r="U1474" s="25">
        <v>45358</v>
      </c>
      <c r="V1474" s="63" t="str">
        <f>IF(MONTH(Table22[[#This Row],[Sales Date]])&lt;=3,"Q1",IF(MONTH(Table22[[#This Row],[Sales Date]])&lt;=6,"Q2",IF(MONTH(Table22[[#This Row],[Sales Date]])&lt;=9,"Q3","Q4")))</f>
        <v>Q1</v>
      </c>
      <c r="W1474" s="64">
        <f>YEAR(Table22[[#This Row],[Sales Date]])</f>
        <v>2024</v>
      </c>
      <c r="X1474" s="23">
        <v>32</v>
      </c>
      <c r="Y1474" s="18" t="s">
        <v>41</v>
      </c>
      <c r="Z1474" s="18" t="s">
        <v>42</v>
      </c>
      <c r="AA1474" s="19" t="s">
        <v>36</v>
      </c>
    </row>
    <row r="1475" spans="1:27" x14ac:dyDescent="0.25">
      <c r="A1475" s="17" t="s">
        <v>1448</v>
      </c>
      <c r="B1475" s="18" t="s">
        <v>76</v>
      </c>
      <c r="C1475" s="63" t="str" cm="1">
        <f t="array" ref="C1475">_xlfn.SWITCH(Table22[[#This Row],[Country]],"USA","North America","Canada","North America","Brazil","South America","China","Asia","Japan","Asia","India","Asia","France","Europe","Germany","Europe","UK","Europe","Australia","Oceania","South America")</f>
        <v>Asia</v>
      </c>
      <c r="D1475" s="18" t="s">
        <v>28</v>
      </c>
      <c r="E1475" s="18" t="s">
        <v>39</v>
      </c>
      <c r="F1475" s="18" t="s">
        <v>52</v>
      </c>
      <c r="G1475" s="18" t="s">
        <v>48</v>
      </c>
      <c r="H1475" s="64">
        <f>LEN(TRIM(Table22[[#This Row],[Country]]))</f>
        <v>5</v>
      </c>
      <c r="I1475" s="64">
        <f>LEN(TRIM(Table22[[#This Row],[Continent]]))</f>
        <v>4</v>
      </c>
      <c r="J1475" s="64">
        <f>LEN(TRIM(Table22[[#This Row],[Product]]))</f>
        <v>10</v>
      </c>
      <c r="K1475" s="64">
        <f>LEN(TRIM(Table22[[#This Row],[Sales Team]]))</f>
        <v>9</v>
      </c>
      <c r="L1475" s="23">
        <v>14</v>
      </c>
      <c r="M1475" s="65" t="str" cm="1">
        <f t="array" ref="M1475">_xlfn.IFS(Table22[[#This Row],[Units Sold]]&lt;40,"Critical",Table22[[#This Row],[Units Sold]]&lt;=50,"Poor",Table22[[#This Row],[Units Sold]]&lt;=60,"Low",Table22[[#This Row],[Units Sold]]&lt;=80,"Average",Table22[[#This Row],[Units Sold]]&lt;=90,"High",Table22[[#This Row],[Units Sold]]&lt;=95,"Excellent",Table22[[#This Row],[Units Sold]]&gt;95,"Outstanding")</f>
        <v>Critical</v>
      </c>
      <c r="N1475" s="29">
        <v>965.5</v>
      </c>
      <c r="O1475" s="29">
        <v>13517</v>
      </c>
      <c r="P1475" s="43">
        <f>IF(Table22[[#This Row],[Discount Applied]],Table22[[#This Row],[Total Sales (in USD)]]*(1-Table22[[#This Row],[Discount Percentage (%)]]/100),Table22[[#This Row],[Total Sales (in USD)]])</f>
        <v>13517</v>
      </c>
      <c r="Q1475" s="66">
        <f>SQRT(AVERAGE((Table22[[#This Row],[Net Sales (after discount) (in USD)]]-AVERAGE(Table22[Net Sales (after discount) (in USD)]))^2))</f>
        <v>22994.360563764538</v>
      </c>
      <c r="R1475" s="18" t="b">
        <v>1</v>
      </c>
      <c r="S1475" s="40">
        <v>27.79</v>
      </c>
      <c r="T1475" s="18" t="b">
        <v>0</v>
      </c>
      <c r="U1475" s="25">
        <v>45162</v>
      </c>
      <c r="V1475" s="63" t="str">
        <f>IF(MONTH(Table22[[#This Row],[Sales Date]])&lt;=3,"Q1",IF(MONTH(Table22[[#This Row],[Sales Date]])&lt;=6,"Q2",IF(MONTH(Table22[[#This Row],[Sales Date]])&lt;=9,"Q3","Q4")))</f>
        <v>Q3</v>
      </c>
      <c r="W1475" s="64">
        <f>YEAR(Table22[[#This Row],[Sales Date]])</f>
        <v>2023</v>
      </c>
      <c r="X1475" s="23">
        <v>42</v>
      </c>
      <c r="Y1475" s="18" t="s">
        <v>49</v>
      </c>
      <c r="Z1475" s="18" t="s">
        <v>56</v>
      </c>
      <c r="AA1475" s="19" t="s">
        <v>36</v>
      </c>
    </row>
    <row r="1476" spans="1:27" x14ac:dyDescent="0.25">
      <c r="A1476" s="17" t="s">
        <v>2008</v>
      </c>
      <c r="B1476" s="18" t="s">
        <v>76</v>
      </c>
      <c r="C1476" s="63" t="str" cm="1">
        <f t="array" ref="C1476">_xlfn.SWITCH(Table22[[#This Row],[Country]],"USA","North America","Canada","North America","Brazil","South America","China","Asia","Japan","Asia","India","Asia","France","Europe","Germany","Europe","UK","Europe","Australia","Oceania","South America")</f>
        <v>Asia</v>
      </c>
      <c r="D1476" s="18" t="s">
        <v>28</v>
      </c>
      <c r="E1476" s="18" t="s">
        <v>39</v>
      </c>
      <c r="F1476" s="18" t="s">
        <v>64</v>
      </c>
      <c r="G1476" s="18" t="s">
        <v>29</v>
      </c>
      <c r="H1476" s="64">
        <f>LEN(TRIM(Table22[[#This Row],[Country]]))</f>
        <v>5</v>
      </c>
      <c r="I1476" s="64">
        <f>LEN(TRIM(Table22[[#This Row],[Continent]]))</f>
        <v>4</v>
      </c>
      <c r="J1476" s="64">
        <f>LEN(TRIM(Table22[[#This Row],[Product]]))</f>
        <v>10</v>
      </c>
      <c r="K1476" s="64">
        <f>LEN(TRIM(Table22[[#This Row],[Sales Team]]))</f>
        <v>10</v>
      </c>
      <c r="L1476" s="23">
        <v>13</v>
      </c>
      <c r="M1476" s="65" t="str" cm="1">
        <f t="array" ref="M1476">_xlfn.IFS(Table22[[#This Row],[Units Sold]]&lt;40,"Critical",Table22[[#This Row],[Units Sold]]&lt;=50,"Poor",Table22[[#This Row],[Units Sold]]&lt;=60,"Low",Table22[[#This Row],[Units Sold]]&lt;=80,"Average",Table22[[#This Row],[Units Sold]]&lt;=90,"High",Table22[[#This Row],[Units Sold]]&lt;=95,"Excellent",Table22[[#This Row],[Units Sold]]&gt;95,"Outstanding")</f>
        <v>Critical</v>
      </c>
      <c r="N1476" s="29">
        <v>1037.9000000000001</v>
      </c>
      <c r="O1476" s="29">
        <v>13492.7</v>
      </c>
      <c r="P1476" s="43">
        <f>IF(Table22[[#This Row],[Discount Applied]],Table22[[#This Row],[Total Sales (in USD)]]*(1-Table22[[#This Row],[Discount Percentage (%)]]/100),Table22[[#This Row],[Total Sales (in USD)]])</f>
        <v>13492.7</v>
      </c>
      <c r="Q1476" s="66">
        <f>SQRT(AVERAGE((Table22[[#This Row],[Net Sales (after discount) (in USD)]]-AVERAGE(Table22[Net Sales (after discount) (in USD)]))^2))</f>
        <v>23018.660563764537</v>
      </c>
      <c r="R1476" s="18" t="b">
        <v>1</v>
      </c>
      <c r="S1476" s="40">
        <v>18.7</v>
      </c>
      <c r="T1476" s="18" t="b">
        <v>0</v>
      </c>
      <c r="U1476" s="25">
        <v>45286</v>
      </c>
      <c r="V1476" s="63" t="str">
        <f>IF(MONTH(Table22[[#This Row],[Sales Date]])&lt;=3,"Q1",IF(MONTH(Table22[[#This Row],[Sales Date]])&lt;=6,"Q2",IF(MONTH(Table22[[#This Row],[Sales Date]])&lt;=9,"Q3","Q4")))</f>
        <v>Q4</v>
      </c>
      <c r="W1476" s="64">
        <f>YEAR(Table22[[#This Row],[Sales Date]])</f>
        <v>2023</v>
      </c>
      <c r="X1476" s="23">
        <v>26</v>
      </c>
      <c r="Y1476" s="18" t="s">
        <v>23</v>
      </c>
      <c r="Z1476" s="18" t="s">
        <v>56</v>
      </c>
      <c r="AA1476" s="19" t="s">
        <v>25</v>
      </c>
    </row>
    <row r="1477" spans="1:27" x14ac:dyDescent="0.25">
      <c r="A1477" s="17" t="s">
        <v>494</v>
      </c>
      <c r="B1477" s="18" t="s">
        <v>72</v>
      </c>
      <c r="C1477" s="63" t="str" cm="1">
        <f t="array" ref="C1477">_xlfn.SWITCH(Table22[[#This Row],[Country]],"USA","North America","Canada","North America","Brazil","South America","China","Asia","Japan","Asia","India","Asia","France","Europe","Germany","Europe","UK","Europe","Australia","Oceania","South America")</f>
        <v>North America</v>
      </c>
      <c r="D1477" s="18" t="s">
        <v>28</v>
      </c>
      <c r="E1477" s="18" t="s">
        <v>19</v>
      </c>
      <c r="F1477" s="18" t="s">
        <v>52</v>
      </c>
      <c r="G1477" s="18" t="s">
        <v>29</v>
      </c>
      <c r="H1477" s="64">
        <f>LEN(TRIM(Table22[[#This Row],[Country]]))</f>
        <v>3</v>
      </c>
      <c r="I1477" s="64">
        <f>LEN(TRIM(Table22[[#This Row],[Continent]]))</f>
        <v>13</v>
      </c>
      <c r="J1477" s="64">
        <f>LEN(TRIM(Table22[[#This Row],[Product]]))</f>
        <v>6</v>
      </c>
      <c r="K1477" s="64">
        <f>LEN(TRIM(Table22[[#This Row],[Sales Team]]))</f>
        <v>10</v>
      </c>
      <c r="L1477" s="23">
        <v>38</v>
      </c>
      <c r="M1477" s="65" t="str" cm="1">
        <f t="array" ref="M1477">_xlfn.IFS(Table22[[#This Row],[Units Sold]]&lt;40,"Critical",Table22[[#This Row],[Units Sold]]&lt;=50,"Poor",Table22[[#This Row],[Units Sold]]&lt;=60,"Low",Table22[[#This Row],[Units Sold]]&lt;=80,"Average",Table22[[#This Row],[Units Sold]]&lt;=90,"High",Table22[[#This Row],[Units Sold]]&lt;=95,"Excellent",Table22[[#This Row],[Units Sold]]&gt;95,"Outstanding")</f>
        <v>Critical</v>
      </c>
      <c r="N1477" s="29">
        <v>354.75</v>
      </c>
      <c r="O1477" s="29">
        <v>13480.5</v>
      </c>
      <c r="P1477" s="43">
        <f>IF(Table22[[#This Row],[Discount Applied]],Table22[[#This Row],[Total Sales (in USD)]]*(1-Table22[[#This Row],[Discount Percentage (%)]]/100),Table22[[#This Row],[Total Sales (in USD)]])</f>
        <v>13480.5</v>
      </c>
      <c r="Q1477" s="66">
        <f>SQRT(AVERAGE((Table22[[#This Row],[Net Sales (after discount) (in USD)]]-AVERAGE(Table22[Net Sales (after discount) (in USD)]))^2))</f>
        <v>23030.860563764538</v>
      </c>
      <c r="R1477" s="18" t="b">
        <v>1</v>
      </c>
      <c r="S1477" s="40">
        <v>6.53</v>
      </c>
      <c r="T1477" s="18" t="b">
        <v>0</v>
      </c>
      <c r="U1477" s="25">
        <v>44934</v>
      </c>
      <c r="V1477" s="63" t="str">
        <f>IF(MONTH(Table22[[#This Row],[Sales Date]])&lt;=3,"Q1",IF(MONTH(Table22[[#This Row],[Sales Date]])&lt;=6,"Q2",IF(MONTH(Table22[[#This Row],[Sales Date]])&lt;=9,"Q3","Q4")))</f>
        <v>Q1</v>
      </c>
      <c r="W1477" s="64">
        <f>YEAR(Table22[[#This Row],[Sales Date]])</f>
        <v>2023</v>
      </c>
      <c r="X1477" s="23">
        <v>36</v>
      </c>
      <c r="Y1477" s="18" t="s">
        <v>23</v>
      </c>
      <c r="Z1477" s="18" t="s">
        <v>56</v>
      </c>
      <c r="AA1477" s="19" t="s">
        <v>36</v>
      </c>
    </row>
    <row r="1478" spans="1:27" x14ac:dyDescent="0.25">
      <c r="A1478" s="17" t="s">
        <v>1382</v>
      </c>
      <c r="B1478" s="18" t="s">
        <v>18</v>
      </c>
      <c r="C1478" s="63" t="str" cm="1">
        <f t="array" ref="C1478">_xlfn.SWITCH(Table22[[#This Row],[Country]],"USA","North America","Canada","North America","Brazil","South America","China","Asia","Japan","Asia","India","Asia","France","Europe","Germany","Europe","UK","Europe","Australia","Oceania","South America")</f>
        <v>Asia</v>
      </c>
      <c r="D1478" s="18" t="s">
        <v>28</v>
      </c>
      <c r="E1478" s="18" t="s">
        <v>19</v>
      </c>
      <c r="F1478" s="18" t="s">
        <v>47</v>
      </c>
      <c r="G1478" s="18" t="s">
        <v>48</v>
      </c>
      <c r="H1478" s="64">
        <f>LEN(TRIM(Table22[[#This Row],[Country]]))</f>
        <v>5</v>
      </c>
      <c r="I1478" s="64">
        <f>LEN(TRIM(Table22[[#This Row],[Continent]]))</f>
        <v>4</v>
      </c>
      <c r="J1478" s="64">
        <f>LEN(TRIM(Table22[[#This Row],[Product]]))</f>
        <v>6</v>
      </c>
      <c r="K1478" s="64">
        <f>LEN(TRIM(Table22[[#This Row],[Sales Team]]))</f>
        <v>9</v>
      </c>
      <c r="L1478" s="23">
        <v>95</v>
      </c>
      <c r="M1478" s="65" t="str" cm="1">
        <f t="array" ref="M1478">_xlfn.IFS(Table22[[#This Row],[Units Sold]]&lt;40,"Critical",Table22[[#This Row],[Units Sold]]&lt;=50,"Poor",Table22[[#This Row],[Units Sold]]&lt;=60,"Low",Table22[[#This Row],[Units Sold]]&lt;=80,"Average",Table22[[#This Row],[Units Sold]]&lt;=90,"High",Table22[[#This Row],[Units Sold]]&lt;=95,"Excellent",Table22[[#This Row],[Units Sold]]&gt;95,"Outstanding")</f>
        <v>Excellent</v>
      </c>
      <c r="N1478" s="29">
        <v>141.31</v>
      </c>
      <c r="O1478" s="29">
        <v>13424.45</v>
      </c>
      <c r="P1478" s="43">
        <f>IF(Table22[[#This Row],[Discount Applied]],Table22[[#This Row],[Total Sales (in USD)]]*(1-Table22[[#This Row],[Discount Percentage (%)]]/100),Table22[[#This Row],[Total Sales (in USD)]])</f>
        <v>11150.348170000001</v>
      </c>
      <c r="Q1478" s="66">
        <f>SQRT(AVERAGE((Table22[[#This Row],[Net Sales (after discount) (in USD)]]-AVERAGE(Table22[Net Sales (after discount) (in USD)]))^2))</f>
        <v>25361.012393764537</v>
      </c>
      <c r="R1478" s="18" t="b">
        <v>0</v>
      </c>
      <c r="S1478" s="40">
        <v>16.940000000000001</v>
      </c>
      <c r="T1478" s="18" t="b">
        <v>1</v>
      </c>
      <c r="U1478" s="25">
        <v>45425</v>
      </c>
      <c r="V1478" s="63" t="str">
        <f>IF(MONTH(Table22[[#This Row],[Sales Date]])&lt;=3,"Q1",IF(MONTH(Table22[[#This Row],[Sales Date]])&lt;=6,"Q2",IF(MONTH(Table22[[#This Row],[Sales Date]])&lt;=9,"Q3","Q4")))</f>
        <v>Q2</v>
      </c>
      <c r="W1478" s="64">
        <f>YEAR(Table22[[#This Row],[Sales Date]])</f>
        <v>2024</v>
      </c>
      <c r="X1478" s="23">
        <v>46</v>
      </c>
      <c r="Y1478" s="18" t="s">
        <v>23</v>
      </c>
      <c r="Z1478" s="18" t="s">
        <v>56</v>
      </c>
      <c r="AA1478" s="19" t="s">
        <v>25</v>
      </c>
    </row>
    <row r="1479" spans="1:27" x14ac:dyDescent="0.25">
      <c r="A1479" s="17" t="s">
        <v>677</v>
      </c>
      <c r="B1479" s="18" t="s">
        <v>38</v>
      </c>
      <c r="C1479" s="63" t="str" cm="1">
        <f t="array" ref="C1479">_xlfn.SWITCH(Table22[[#This Row],[Country]],"USA","North America","Canada","North America","Brazil","South America","China","Asia","Japan","Asia","India","Asia","France","Europe","Germany","Europe","UK","Europe","Australia","Oceania","South America")</f>
        <v>Europe</v>
      </c>
      <c r="D1479" s="18" t="s">
        <v>21</v>
      </c>
      <c r="E1479" s="18" t="s">
        <v>19</v>
      </c>
      <c r="F1479" s="18" t="s">
        <v>47</v>
      </c>
      <c r="G1479" s="18" t="s">
        <v>40</v>
      </c>
      <c r="H1479" s="64">
        <f>LEN(TRIM(Table22[[#This Row],[Country]]))</f>
        <v>6</v>
      </c>
      <c r="I1479" s="64">
        <f>LEN(TRIM(Table22[[#This Row],[Continent]]))</f>
        <v>6</v>
      </c>
      <c r="J1479" s="64">
        <f>LEN(TRIM(Table22[[#This Row],[Product]]))</f>
        <v>6</v>
      </c>
      <c r="K1479" s="64">
        <f>LEN(TRIM(Table22[[#This Row],[Sales Team]]))</f>
        <v>10</v>
      </c>
      <c r="L1479" s="23">
        <v>16</v>
      </c>
      <c r="M1479" s="65" t="str" cm="1">
        <f t="array" ref="M1479">_xlfn.IFS(Table22[[#This Row],[Units Sold]]&lt;40,"Critical",Table22[[#This Row],[Units Sold]]&lt;=50,"Poor",Table22[[#This Row],[Units Sold]]&lt;=60,"Low",Table22[[#This Row],[Units Sold]]&lt;=80,"Average",Table22[[#This Row],[Units Sold]]&lt;=90,"High",Table22[[#This Row],[Units Sold]]&lt;=95,"Excellent",Table22[[#This Row],[Units Sold]]&gt;95,"Outstanding")</f>
        <v>Critical</v>
      </c>
      <c r="N1479" s="29">
        <v>837.24</v>
      </c>
      <c r="O1479" s="29">
        <v>13395.84</v>
      </c>
      <c r="P1479" s="43">
        <f>IF(Table22[[#This Row],[Discount Applied]],Table22[[#This Row],[Total Sales (in USD)]]*(1-Table22[[#This Row],[Discount Percentage (%)]]/100),Table22[[#This Row],[Total Sales (in USD)]])</f>
        <v>11407.897344000001</v>
      </c>
      <c r="Q1479" s="66">
        <f>SQRT(AVERAGE((Table22[[#This Row],[Net Sales (after discount) (in USD)]]-AVERAGE(Table22[Net Sales (after discount) (in USD)]))^2))</f>
        <v>25103.463219764537</v>
      </c>
      <c r="R1479" s="18" t="b">
        <v>0</v>
      </c>
      <c r="S1479" s="40">
        <v>14.84</v>
      </c>
      <c r="T1479" s="18" t="b">
        <v>1</v>
      </c>
      <c r="U1479" s="25">
        <v>45277</v>
      </c>
      <c r="V1479" s="63" t="str">
        <f>IF(MONTH(Table22[[#This Row],[Sales Date]])&lt;=3,"Q1",IF(MONTH(Table22[[#This Row],[Sales Date]])&lt;=6,"Q2",IF(MONTH(Table22[[#This Row],[Sales Date]])&lt;=9,"Q3","Q4")))</f>
        <v>Q4</v>
      </c>
      <c r="W1479" s="64">
        <f>YEAR(Table22[[#This Row],[Sales Date]])</f>
        <v>2023</v>
      </c>
      <c r="X1479" s="23">
        <v>62</v>
      </c>
      <c r="Y1479" s="18" t="s">
        <v>41</v>
      </c>
      <c r="Z1479" s="18" t="s">
        <v>24</v>
      </c>
      <c r="AA1479" s="19" t="s">
        <v>36</v>
      </c>
    </row>
    <row r="1480" spans="1:27" x14ac:dyDescent="0.25">
      <c r="A1480" s="17" t="s">
        <v>1493</v>
      </c>
      <c r="B1480" s="18" t="s">
        <v>62</v>
      </c>
      <c r="C1480" s="63" t="str" cm="1">
        <f t="array" ref="C1480">_xlfn.SWITCH(Table22[[#This Row],[Country]],"USA","North America","Canada","North America","Brazil","South America","China","Asia","Japan","Asia","India","Asia","France","Europe","Germany","Europe","UK","Europe","Australia","Oceania","South America")</f>
        <v>Oceania</v>
      </c>
      <c r="D1480" s="18" t="s">
        <v>35</v>
      </c>
      <c r="E1480" s="18" t="s">
        <v>39</v>
      </c>
      <c r="F1480" s="18" t="s">
        <v>34</v>
      </c>
      <c r="G1480" s="18" t="s">
        <v>22</v>
      </c>
      <c r="H1480" s="64">
        <f>LEN(TRIM(Table22[[#This Row],[Country]]))</f>
        <v>9</v>
      </c>
      <c r="I1480" s="64">
        <f>LEN(TRIM(Table22[[#This Row],[Continent]]))</f>
        <v>7</v>
      </c>
      <c r="J1480" s="64">
        <f>LEN(TRIM(Table22[[#This Row],[Product]]))</f>
        <v>10</v>
      </c>
      <c r="K1480" s="64">
        <f>LEN(TRIM(Table22[[#This Row],[Sales Team]]))</f>
        <v>10</v>
      </c>
      <c r="L1480" s="23">
        <v>31</v>
      </c>
      <c r="M1480" s="65" t="str" cm="1">
        <f t="array" ref="M1480">_xlfn.IFS(Table22[[#This Row],[Units Sold]]&lt;40,"Critical",Table22[[#This Row],[Units Sold]]&lt;=50,"Poor",Table22[[#This Row],[Units Sold]]&lt;=60,"Low",Table22[[#This Row],[Units Sold]]&lt;=80,"Average",Table22[[#This Row],[Units Sold]]&lt;=90,"High",Table22[[#This Row],[Units Sold]]&lt;=95,"Excellent",Table22[[#This Row],[Units Sold]]&gt;95,"Outstanding")</f>
        <v>Critical</v>
      </c>
      <c r="N1480" s="29">
        <v>430.73</v>
      </c>
      <c r="O1480" s="29">
        <v>13352.63</v>
      </c>
      <c r="P1480" s="43">
        <f>IF(Table22[[#This Row],[Discount Applied]],Table22[[#This Row],[Total Sales (in USD)]]*(1-Table22[[#This Row],[Discount Percentage (%)]]/100),Table22[[#This Row],[Total Sales (in USD)]])</f>
        <v>13352.63</v>
      </c>
      <c r="Q1480" s="66">
        <f>SQRT(AVERAGE((Table22[[#This Row],[Net Sales (after discount) (in USD)]]-AVERAGE(Table22[Net Sales (after discount) (in USD)]))^2))</f>
        <v>23158.73056376454</v>
      </c>
      <c r="R1480" s="18" t="b">
        <v>1</v>
      </c>
      <c r="S1480" s="40">
        <v>27.45</v>
      </c>
      <c r="T1480" s="18" t="b">
        <v>0</v>
      </c>
      <c r="U1480" s="25">
        <v>45525</v>
      </c>
      <c r="V1480" s="63" t="str">
        <f>IF(MONTH(Table22[[#This Row],[Sales Date]])&lt;=3,"Q1",IF(MONTH(Table22[[#This Row],[Sales Date]])&lt;=6,"Q2",IF(MONTH(Table22[[#This Row],[Sales Date]])&lt;=9,"Q3","Q4")))</f>
        <v>Q3</v>
      </c>
      <c r="W1480" s="64">
        <f>YEAR(Table22[[#This Row],[Sales Date]])</f>
        <v>2024</v>
      </c>
      <c r="X1480" s="23">
        <v>47</v>
      </c>
      <c r="Y1480" s="18" t="s">
        <v>41</v>
      </c>
      <c r="Z1480" s="18" t="s">
        <v>24</v>
      </c>
      <c r="AA1480" s="19" t="s">
        <v>36</v>
      </c>
    </row>
    <row r="1481" spans="1:27" x14ac:dyDescent="0.25">
      <c r="A1481" s="17" t="s">
        <v>1847</v>
      </c>
      <c r="B1481" s="18" t="s">
        <v>76</v>
      </c>
      <c r="C1481" s="63" t="str" cm="1">
        <f t="array" ref="C1481">_xlfn.SWITCH(Table22[[#This Row],[Country]],"USA","North America","Canada","North America","Brazil","South America","China","Asia","Japan","Asia","India","Asia","France","Europe","Germany","Europe","UK","Europe","Australia","Oceania","South America")</f>
        <v>Asia</v>
      </c>
      <c r="D1481" s="18" t="s">
        <v>21</v>
      </c>
      <c r="E1481" s="18" t="s">
        <v>39</v>
      </c>
      <c r="F1481" s="18" t="s">
        <v>20</v>
      </c>
      <c r="G1481" s="18" t="s">
        <v>22</v>
      </c>
      <c r="H1481" s="64">
        <f>LEN(TRIM(Table22[[#This Row],[Country]]))</f>
        <v>5</v>
      </c>
      <c r="I1481" s="64">
        <f>LEN(TRIM(Table22[[#This Row],[Continent]]))</f>
        <v>4</v>
      </c>
      <c r="J1481" s="64">
        <f>LEN(TRIM(Table22[[#This Row],[Product]]))</f>
        <v>10</v>
      </c>
      <c r="K1481" s="64">
        <f>LEN(TRIM(Table22[[#This Row],[Sales Team]]))</f>
        <v>10</v>
      </c>
      <c r="L1481" s="23">
        <v>19</v>
      </c>
      <c r="M1481" s="65" t="str" cm="1">
        <f t="array" ref="M1481">_xlfn.IFS(Table22[[#This Row],[Units Sold]]&lt;40,"Critical",Table22[[#This Row],[Units Sold]]&lt;=50,"Poor",Table22[[#This Row],[Units Sold]]&lt;=60,"Low",Table22[[#This Row],[Units Sold]]&lt;=80,"Average",Table22[[#This Row],[Units Sold]]&lt;=90,"High",Table22[[#This Row],[Units Sold]]&lt;=95,"Excellent",Table22[[#This Row],[Units Sold]]&gt;95,"Outstanding")</f>
        <v>Critical</v>
      </c>
      <c r="N1481" s="29">
        <v>701.75</v>
      </c>
      <c r="O1481" s="29">
        <v>13333.25</v>
      </c>
      <c r="P1481" s="43">
        <f>IF(Table22[[#This Row],[Discount Applied]],Table22[[#This Row],[Total Sales (in USD)]]*(1-Table22[[#This Row],[Discount Percentage (%)]]/100),Table22[[#This Row],[Total Sales (in USD)]])</f>
        <v>9730.6058499999999</v>
      </c>
      <c r="Q1481" s="66">
        <f>SQRT(AVERAGE((Table22[[#This Row],[Net Sales (after discount) (in USD)]]-AVERAGE(Table22[Net Sales (after discount) (in USD)]))^2))</f>
        <v>26780.754713764538</v>
      </c>
      <c r="R1481" s="18" t="b">
        <v>0</v>
      </c>
      <c r="S1481" s="40">
        <v>27.02</v>
      </c>
      <c r="T1481" s="18" t="b">
        <v>1</v>
      </c>
      <c r="U1481" s="25">
        <v>45102</v>
      </c>
      <c r="V1481" s="63" t="str">
        <f>IF(MONTH(Table22[[#This Row],[Sales Date]])&lt;=3,"Q1",IF(MONTH(Table22[[#This Row],[Sales Date]])&lt;=6,"Q2",IF(MONTH(Table22[[#This Row],[Sales Date]])&lt;=9,"Q3","Q4")))</f>
        <v>Q2</v>
      </c>
      <c r="W1481" s="64">
        <f>YEAR(Table22[[#This Row],[Sales Date]])</f>
        <v>2023</v>
      </c>
      <c r="X1481" s="23">
        <v>35</v>
      </c>
      <c r="Y1481" s="18" t="s">
        <v>41</v>
      </c>
      <c r="Z1481" s="18" t="s">
        <v>56</v>
      </c>
      <c r="AA1481" s="19" t="s">
        <v>36</v>
      </c>
    </row>
    <row r="1482" spans="1:27" x14ac:dyDescent="0.25">
      <c r="A1482" s="17" t="s">
        <v>2040</v>
      </c>
      <c r="B1482" s="18" t="s">
        <v>51</v>
      </c>
      <c r="C1482" s="63" t="str" cm="1">
        <f t="array" ref="C1482">_xlfn.SWITCH(Table22[[#This Row],[Country]],"USA","North America","Canada","North America","Brazil","South America","China","Asia","Japan","Asia","India","Asia","France","Europe","Germany","Europe","UK","Europe","Australia","Oceania","South America")</f>
        <v>Europe</v>
      </c>
      <c r="D1482" s="18" t="s">
        <v>44</v>
      </c>
      <c r="E1482" s="18" t="s">
        <v>39</v>
      </c>
      <c r="F1482" s="18" t="s">
        <v>34</v>
      </c>
      <c r="G1482" s="18" t="s">
        <v>40</v>
      </c>
      <c r="H1482" s="64">
        <f>LEN(TRIM(Table22[[#This Row],[Country]]))</f>
        <v>2</v>
      </c>
      <c r="I1482" s="64">
        <f>LEN(TRIM(Table22[[#This Row],[Continent]]))</f>
        <v>6</v>
      </c>
      <c r="J1482" s="64">
        <f>LEN(TRIM(Table22[[#This Row],[Product]]))</f>
        <v>10</v>
      </c>
      <c r="K1482" s="64">
        <f>LEN(TRIM(Table22[[#This Row],[Sales Team]]))</f>
        <v>10</v>
      </c>
      <c r="L1482" s="23">
        <v>27</v>
      </c>
      <c r="M1482" s="65" t="str" cm="1">
        <f t="array" ref="M1482">_xlfn.IFS(Table22[[#This Row],[Units Sold]]&lt;40,"Critical",Table22[[#This Row],[Units Sold]]&lt;=50,"Poor",Table22[[#This Row],[Units Sold]]&lt;=60,"Low",Table22[[#This Row],[Units Sold]]&lt;=80,"Average",Table22[[#This Row],[Units Sold]]&lt;=90,"High",Table22[[#This Row],[Units Sold]]&lt;=95,"Excellent",Table22[[#This Row],[Units Sold]]&gt;95,"Outstanding")</f>
        <v>Critical</v>
      </c>
      <c r="N1482" s="29">
        <v>491.98</v>
      </c>
      <c r="O1482" s="29">
        <v>13283.46</v>
      </c>
      <c r="P1482" s="43">
        <f>IF(Table22[[#This Row],[Discount Applied]],Table22[[#This Row],[Total Sales (in USD)]]*(1-Table22[[#This Row],[Discount Percentage (%)]]/100),Table22[[#This Row],[Total Sales (in USD)]])</f>
        <v>11259.060695999999</v>
      </c>
      <c r="Q1482" s="66">
        <f>SQRT(AVERAGE((Table22[[#This Row],[Net Sales (after discount) (in USD)]]-AVERAGE(Table22[Net Sales (after discount) (in USD)]))^2))</f>
        <v>25252.299867764537</v>
      </c>
      <c r="R1482" s="18" t="b">
        <v>1</v>
      </c>
      <c r="S1482" s="40">
        <v>15.24</v>
      </c>
      <c r="T1482" s="18" t="b">
        <v>1</v>
      </c>
      <c r="U1482" s="25">
        <v>44964</v>
      </c>
      <c r="V1482" s="63" t="str">
        <f>IF(MONTH(Table22[[#This Row],[Sales Date]])&lt;=3,"Q1",IF(MONTH(Table22[[#This Row],[Sales Date]])&lt;=6,"Q2",IF(MONTH(Table22[[#This Row],[Sales Date]])&lt;=9,"Q3","Q4")))</f>
        <v>Q1</v>
      </c>
      <c r="W1482" s="64">
        <f>YEAR(Table22[[#This Row],[Sales Date]])</f>
        <v>2023</v>
      </c>
      <c r="X1482" s="23">
        <v>53</v>
      </c>
      <c r="Y1482" s="18" t="s">
        <v>41</v>
      </c>
      <c r="Z1482" s="18" t="s">
        <v>56</v>
      </c>
      <c r="AA1482" s="19" t="s">
        <v>36</v>
      </c>
    </row>
    <row r="1483" spans="1:27" x14ac:dyDescent="0.25">
      <c r="A1483" s="17" t="s">
        <v>1759</v>
      </c>
      <c r="B1483" s="18" t="s">
        <v>46</v>
      </c>
      <c r="C1483" s="63" t="str" cm="1">
        <f t="array" ref="C1483">_xlfn.SWITCH(Table22[[#This Row],[Country]],"USA","North America","Canada","North America","Brazil","South America","China","Asia","Japan","Asia","India","Asia","France","Europe","Germany","Europe","UK","Europe","Australia","Oceania","South America")</f>
        <v>South America</v>
      </c>
      <c r="D1483" s="18" t="s">
        <v>28</v>
      </c>
      <c r="E1483" s="18" t="s">
        <v>33</v>
      </c>
      <c r="F1483" s="18" t="s">
        <v>52</v>
      </c>
      <c r="G1483" s="18" t="s">
        <v>22</v>
      </c>
      <c r="H1483" s="64">
        <f>LEN(TRIM(Table22[[#This Row],[Country]]))</f>
        <v>6</v>
      </c>
      <c r="I1483" s="64">
        <f>LEN(TRIM(Table22[[#This Row],[Continent]]))</f>
        <v>13</v>
      </c>
      <c r="J1483" s="64">
        <f>LEN(TRIM(Table22[[#This Row],[Product]]))</f>
        <v>10</v>
      </c>
      <c r="K1483" s="64">
        <f>LEN(TRIM(Table22[[#This Row],[Sales Team]]))</f>
        <v>10</v>
      </c>
      <c r="L1483" s="23">
        <v>23</v>
      </c>
      <c r="M1483" s="65" t="str" cm="1">
        <f t="array" ref="M1483">_xlfn.IFS(Table22[[#This Row],[Units Sold]]&lt;40,"Critical",Table22[[#This Row],[Units Sold]]&lt;=50,"Poor",Table22[[#This Row],[Units Sold]]&lt;=60,"Low",Table22[[#This Row],[Units Sold]]&lt;=80,"Average",Table22[[#This Row],[Units Sold]]&lt;=90,"High",Table22[[#This Row],[Units Sold]]&lt;=95,"Excellent",Table22[[#This Row],[Units Sold]]&gt;95,"Outstanding")</f>
        <v>Critical</v>
      </c>
      <c r="N1483" s="29">
        <v>576.89</v>
      </c>
      <c r="O1483" s="29">
        <v>13268.47</v>
      </c>
      <c r="P1483" s="43">
        <f>IF(Table22[[#This Row],[Discount Applied]],Table22[[#This Row],[Total Sales (in USD)]]*(1-Table22[[#This Row],[Discount Percentage (%)]]/100),Table22[[#This Row],[Total Sales (in USD)]])</f>
        <v>10800.53458</v>
      </c>
      <c r="Q1483" s="66">
        <f>SQRT(AVERAGE((Table22[[#This Row],[Net Sales (after discount) (in USD)]]-AVERAGE(Table22[Net Sales (after discount) (in USD)]))^2))</f>
        <v>25710.825983764538</v>
      </c>
      <c r="R1483" s="18" t="b">
        <v>0</v>
      </c>
      <c r="S1483" s="40">
        <v>18.600000000000001</v>
      </c>
      <c r="T1483" s="18" t="b">
        <v>1</v>
      </c>
      <c r="U1483" s="25">
        <v>45213</v>
      </c>
      <c r="V1483" s="63" t="str">
        <f>IF(MONTH(Table22[[#This Row],[Sales Date]])&lt;=3,"Q1",IF(MONTH(Table22[[#This Row],[Sales Date]])&lt;=6,"Q2",IF(MONTH(Table22[[#This Row],[Sales Date]])&lt;=9,"Q3","Q4")))</f>
        <v>Q4</v>
      </c>
      <c r="W1483" s="64">
        <f>YEAR(Table22[[#This Row],[Sales Date]])</f>
        <v>2023</v>
      </c>
      <c r="X1483" s="23">
        <v>50</v>
      </c>
      <c r="Y1483" s="18" t="s">
        <v>23</v>
      </c>
      <c r="Z1483" s="18" t="s">
        <v>24</v>
      </c>
      <c r="AA1483" s="19" t="s">
        <v>25</v>
      </c>
    </row>
    <row r="1484" spans="1:27" x14ac:dyDescent="0.25">
      <c r="A1484" s="17" t="s">
        <v>236</v>
      </c>
      <c r="B1484" s="18" t="s">
        <v>51</v>
      </c>
      <c r="C1484" s="63" t="str" cm="1">
        <f t="array" ref="C1484">_xlfn.SWITCH(Table22[[#This Row],[Country]],"USA","North America","Canada","North America","Brazil","South America","China","Asia","Japan","Asia","India","Asia","France","Europe","Germany","Europe","UK","Europe","Australia","Oceania","South America")</f>
        <v>Europe</v>
      </c>
      <c r="D1484" s="18" t="s">
        <v>44</v>
      </c>
      <c r="E1484" s="18" t="s">
        <v>33</v>
      </c>
      <c r="F1484" s="18" t="s">
        <v>47</v>
      </c>
      <c r="G1484" s="18" t="s">
        <v>48</v>
      </c>
      <c r="H1484" s="64">
        <f>LEN(TRIM(Table22[[#This Row],[Country]]))</f>
        <v>2</v>
      </c>
      <c r="I1484" s="64">
        <f>LEN(TRIM(Table22[[#This Row],[Continent]]))</f>
        <v>6</v>
      </c>
      <c r="J1484" s="64">
        <f>LEN(TRIM(Table22[[#This Row],[Product]]))</f>
        <v>10</v>
      </c>
      <c r="K1484" s="64">
        <f>LEN(TRIM(Table22[[#This Row],[Sales Team]]))</f>
        <v>9</v>
      </c>
      <c r="L1484" s="23">
        <v>24</v>
      </c>
      <c r="M1484" s="65" t="str" cm="1">
        <f t="array" ref="M1484">_xlfn.IFS(Table22[[#This Row],[Units Sold]]&lt;40,"Critical",Table22[[#This Row],[Units Sold]]&lt;=50,"Poor",Table22[[#This Row],[Units Sold]]&lt;=60,"Low",Table22[[#This Row],[Units Sold]]&lt;=80,"Average",Table22[[#This Row],[Units Sold]]&lt;=90,"High",Table22[[#This Row],[Units Sold]]&lt;=95,"Excellent",Table22[[#This Row],[Units Sold]]&gt;95,"Outstanding")</f>
        <v>Critical</v>
      </c>
      <c r="N1484" s="29">
        <v>550.75</v>
      </c>
      <c r="O1484" s="29">
        <v>13218</v>
      </c>
      <c r="P1484" s="43">
        <f>IF(Table22[[#This Row],[Discount Applied]],Table22[[#This Row],[Total Sales (in USD)]]*(1-Table22[[#This Row],[Discount Percentage (%)]]/100),Table22[[#This Row],[Total Sales (in USD)]])</f>
        <v>13218</v>
      </c>
      <c r="Q1484" s="66">
        <f>SQRT(AVERAGE((Table22[[#This Row],[Net Sales (after discount) (in USD)]]-AVERAGE(Table22[Net Sales (after discount) (in USD)]))^2))</f>
        <v>23293.360563764538</v>
      </c>
      <c r="R1484" s="18" t="b">
        <v>1</v>
      </c>
      <c r="S1484" s="40">
        <v>12.25</v>
      </c>
      <c r="T1484" s="18" t="b">
        <v>0</v>
      </c>
      <c r="U1484" s="25">
        <v>45234</v>
      </c>
      <c r="V1484" s="63" t="str">
        <f>IF(MONTH(Table22[[#This Row],[Sales Date]])&lt;=3,"Q1",IF(MONTH(Table22[[#This Row],[Sales Date]])&lt;=6,"Q2",IF(MONTH(Table22[[#This Row],[Sales Date]])&lt;=9,"Q3","Q4")))</f>
        <v>Q4</v>
      </c>
      <c r="W1484" s="64">
        <f>YEAR(Table22[[#This Row],[Sales Date]])</f>
        <v>2023</v>
      </c>
      <c r="X1484" s="23">
        <v>47</v>
      </c>
      <c r="Y1484" s="18" t="s">
        <v>41</v>
      </c>
      <c r="Z1484" s="18" t="s">
        <v>30</v>
      </c>
      <c r="AA1484" s="19" t="s">
        <v>36</v>
      </c>
    </row>
    <row r="1485" spans="1:27" x14ac:dyDescent="0.25">
      <c r="A1485" s="17" t="s">
        <v>968</v>
      </c>
      <c r="B1485" s="18" t="s">
        <v>51</v>
      </c>
      <c r="C1485" s="63" t="str" cm="1">
        <f t="array" ref="C1485">_xlfn.SWITCH(Table22[[#This Row],[Country]],"USA","North America","Canada","North America","Brazil","South America","China","Asia","Japan","Asia","India","Asia","France","Europe","Germany","Europe","UK","Europe","Australia","Oceania","South America")</f>
        <v>Europe</v>
      </c>
      <c r="D1485" s="18" t="s">
        <v>28</v>
      </c>
      <c r="E1485" s="18" t="s">
        <v>39</v>
      </c>
      <c r="F1485" s="18" t="s">
        <v>47</v>
      </c>
      <c r="G1485" s="18" t="s">
        <v>29</v>
      </c>
      <c r="H1485" s="64">
        <f>LEN(TRIM(Table22[[#This Row],[Country]]))</f>
        <v>2</v>
      </c>
      <c r="I1485" s="64">
        <f>LEN(TRIM(Table22[[#This Row],[Continent]]))</f>
        <v>6</v>
      </c>
      <c r="J1485" s="64">
        <f>LEN(TRIM(Table22[[#This Row],[Product]]))</f>
        <v>10</v>
      </c>
      <c r="K1485" s="64">
        <f>LEN(TRIM(Table22[[#This Row],[Sales Team]]))</f>
        <v>10</v>
      </c>
      <c r="L1485" s="23">
        <v>9</v>
      </c>
      <c r="M1485" s="65" t="str" cm="1">
        <f t="array" ref="M1485">_xlfn.IFS(Table22[[#This Row],[Units Sold]]&lt;40,"Critical",Table22[[#This Row],[Units Sold]]&lt;=50,"Poor",Table22[[#This Row],[Units Sold]]&lt;=60,"Low",Table22[[#This Row],[Units Sold]]&lt;=80,"Average",Table22[[#This Row],[Units Sold]]&lt;=90,"High",Table22[[#This Row],[Units Sold]]&lt;=95,"Excellent",Table22[[#This Row],[Units Sold]]&gt;95,"Outstanding")</f>
        <v>Critical</v>
      </c>
      <c r="N1485" s="29">
        <v>1467.27</v>
      </c>
      <c r="O1485" s="29">
        <v>13205.43</v>
      </c>
      <c r="P1485" s="43">
        <f>IF(Table22[[#This Row],[Discount Applied]],Table22[[#This Row],[Total Sales (in USD)]]*(1-Table22[[#This Row],[Discount Percentage (%)]]/100),Table22[[#This Row],[Total Sales (in USD)]])</f>
        <v>12205.778949</v>
      </c>
      <c r="Q1485" s="66">
        <f>SQRT(AVERAGE((Table22[[#This Row],[Net Sales (after discount) (in USD)]]-AVERAGE(Table22[Net Sales (after discount) (in USD)]))^2))</f>
        <v>24305.581614764538</v>
      </c>
      <c r="R1485" s="18" t="b">
        <v>0</v>
      </c>
      <c r="S1485" s="40">
        <v>7.57</v>
      </c>
      <c r="T1485" s="18" t="b">
        <v>1</v>
      </c>
      <c r="U1485" s="25">
        <v>45220</v>
      </c>
      <c r="V1485" s="63" t="str">
        <f>IF(MONTH(Table22[[#This Row],[Sales Date]])&lt;=3,"Q1",IF(MONTH(Table22[[#This Row],[Sales Date]])&lt;=6,"Q2",IF(MONTH(Table22[[#This Row],[Sales Date]])&lt;=9,"Q3","Q4")))</f>
        <v>Q4</v>
      </c>
      <c r="W1485" s="64">
        <f>YEAR(Table22[[#This Row],[Sales Date]])</f>
        <v>2023</v>
      </c>
      <c r="X1485" s="23">
        <v>53</v>
      </c>
      <c r="Y1485" s="18" t="s">
        <v>49</v>
      </c>
      <c r="Z1485" s="18" t="s">
        <v>56</v>
      </c>
      <c r="AA1485" s="19" t="s">
        <v>36</v>
      </c>
    </row>
    <row r="1486" spans="1:27" x14ac:dyDescent="0.25">
      <c r="A1486" s="17" t="s">
        <v>1773</v>
      </c>
      <c r="B1486" s="18" t="s">
        <v>18</v>
      </c>
      <c r="C1486" s="63" t="str" cm="1">
        <f t="array" ref="C1486">_xlfn.SWITCH(Table22[[#This Row],[Country]],"USA","North America","Canada","North America","Brazil","South America","China","Asia","Japan","Asia","India","Asia","France","Europe","Germany","Europe","UK","Europe","Australia","Oceania","South America")</f>
        <v>Asia</v>
      </c>
      <c r="D1486" s="18" t="s">
        <v>35</v>
      </c>
      <c r="E1486" s="18" t="s">
        <v>33</v>
      </c>
      <c r="F1486" s="18" t="s">
        <v>34</v>
      </c>
      <c r="G1486" s="18" t="s">
        <v>22</v>
      </c>
      <c r="H1486" s="64">
        <f>LEN(TRIM(Table22[[#This Row],[Country]]))</f>
        <v>5</v>
      </c>
      <c r="I1486" s="64">
        <f>LEN(TRIM(Table22[[#This Row],[Continent]]))</f>
        <v>4</v>
      </c>
      <c r="J1486" s="64">
        <f>LEN(TRIM(Table22[[#This Row],[Product]]))</f>
        <v>10</v>
      </c>
      <c r="K1486" s="64">
        <f>LEN(TRIM(Table22[[#This Row],[Sales Team]]))</f>
        <v>10</v>
      </c>
      <c r="L1486" s="23">
        <v>86</v>
      </c>
      <c r="M1486" s="65" t="str" cm="1">
        <f t="array" ref="M1486">_xlfn.IFS(Table22[[#This Row],[Units Sold]]&lt;40,"Critical",Table22[[#This Row],[Units Sold]]&lt;=50,"Poor",Table22[[#This Row],[Units Sold]]&lt;=60,"Low",Table22[[#This Row],[Units Sold]]&lt;=80,"Average",Table22[[#This Row],[Units Sold]]&lt;=90,"High",Table22[[#This Row],[Units Sold]]&lt;=95,"Excellent",Table22[[#This Row],[Units Sold]]&gt;95,"Outstanding")</f>
        <v>High</v>
      </c>
      <c r="N1486" s="29">
        <v>153.41999999999999</v>
      </c>
      <c r="O1486" s="29">
        <v>13194.12</v>
      </c>
      <c r="P1486" s="43">
        <f>IF(Table22[[#This Row],[Discount Applied]],Table22[[#This Row],[Total Sales (in USD)]]*(1-Table22[[#This Row],[Discount Percentage (%)]]/100),Table22[[#This Row],[Total Sales (in USD)]])</f>
        <v>11403.677916000001</v>
      </c>
      <c r="Q1486" s="66">
        <f>SQRT(AVERAGE((Table22[[#This Row],[Net Sales (after discount) (in USD)]]-AVERAGE(Table22[Net Sales (after discount) (in USD)]))^2))</f>
        <v>25107.682647764537</v>
      </c>
      <c r="R1486" s="18" t="b">
        <v>0</v>
      </c>
      <c r="S1486" s="40">
        <v>13.57</v>
      </c>
      <c r="T1486" s="18" t="b">
        <v>1</v>
      </c>
      <c r="U1486" s="25">
        <v>45036</v>
      </c>
      <c r="V1486" s="63" t="str">
        <f>IF(MONTH(Table22[[#This Row],[Sales Date]])&lt;=3,"Q1",IF(MONTH(Table22[[#This Row],[Sales Date]])&lt;=6,"Q2",IF(MONTH(Table22[[#This Row],[Sales Date]])&lt;=9,"Q3","Q4")))</f>
        <v>Q2</v>
      </c>
      <c r="W1486" s="64">
        <f>YEAR(Table22[[#This Row],[Sales Date]])</f>
        <v>2023</v>
      </c>
      <c r="X1486" s="23">
        <v>40</v>
      </c>
      <c r="Y1486" s="18" t="s">
        <v>41</v>
      </c>
      <c r="Z1486" s="18" t="s">
        <v>42</v>
      </c>
      <c r="AA1486" s="19" t="s">
        <v>36</v>
      </c>
    </row>
    <row r="1487" spans="1:27" x14ac:dyDescent="0.25">
      <c r="A1487" s="17" t="s">
        <v>796</v>
      </c>
      <c r="B1487" s="18" t="s">
        <v>51</v>
      </c>
      <c r="C1487" s="63" t="str" cm="1">
        <f t="array" ref="C1487">_xlfn.SWITCH(Table22[[#This Row],[Country]],"USA","North America","Canada","North America","Brazil","South America","China","Asia","Japan","Asia","India","Asia","France","Europe","Germany","Europe","UK","Europe","Australia","Oceania","South America")</f>
        <v>Europe</v>
      </c>
      <c r="D1487" s="18" t="s">
        <v>35</v>
      </c>
      <c r="E1487" s="18" t="s">
        <v>39</v>
      </c>
      <c r="F1487" s="18" t="s">
        <v>34</v>
      </c>
      <c r="G1487" s="18" t="s">
        <v>22</v>
      </c>
      <c r="H1487" s="64">
        <f>LEN(TRIM(Table22[[#This Row],[Country]]))</f>
        <v>2</v>
      </c>
      <c r="I1487" s="64">
        <f>LEN(TRIM(Table22[[#This Row],[Continent]]))</f>
        <v>6</v>
      </c>
      <c r="J1487" s="64">
        <f>LEN(TRIM(Table22[[#This Row],[Product]]))</f>
        <v>10</v>
      </c>
      <c r="K1487" s="64">
        <f>LEN(TRIM(Table22[[#This Row],[Sales Team]]))</f>
        <v>10</v>
      </c>
      <c r="L1487" s="23">
        <v>9</v>
      </c>
      <c r="M1487" s="65" t="str" cm="1">
        <f t="array" ref="M1487">_xlfn.IFS(Table22[[#This Row],[Units Sold]]&lt;40,"Critical",Table22[[#This Row],[Units Sold]]&lt;=50,"Poor",Table22[[#This Row],[Units Sold]]&lt;=60,"Low",Table22[[#This Row],[Units Sold]]&lt;=80,"Average",Table22[[#This Row],[Units Sold]]&lt;=90,"High",Table22[[#This Row],[Units Sold]]&lt;=95,"Excellent",Table22[[#This Row],[Units Sold]]&gt;95,"Outstanding")</f>
        <v>Critical</v>
      </c>
      <c r="N1487" s="29">
        <v>1449.85</v>
      </c>
      <c r="O1487" s="29">
        <v>13048.65</v>
      </c>
      <c r="P1487" s="43">
        <f>IF(Table22[[#This Row],[Discount Applied]],Table22[[#This Row],[Total Sales (in USD)]]*(1-Table22[[#This Row],[Discount Percentage (%)]]/100),Table22[[#This Row],[Total Sales (in USD)]])</f>
        <v>12260.51154</v>
      </c>
      <c r="Q1487" s="66">
        <f>SQRT(AVERAGE((Table22[[#This Row],[Net Sales (after discount) (in USD)]]-AVERAGE(Table22[Net Sales (after discount) (in USD)]))^2))</f>
        <v>24250.849023764538</v>
      </c>
      <c r="R1487" s="18" t="b">
        <v>0</v>
      </c>
      <c r="S1487" s="40">
        <v>6.04</v>
      </c>
      <c r="T1487" s="18" t="b">
        <v>1</v>
      </c>
      <c r="U1487" s="25">
        <v>45512</v>
      </c>
      <c r="V1487" s="63" t="str">
        <f>IF(MONTH(Table22[[#This Row],[Sales Date]])&lt;=3,"Q1",IF(MONTH(Table22[[#This Row],[Sales Date]])&lt;=6,"Q2",IF(MONTH(Table22[[#This Row],[Sales Date]])&lt;=9,"Q3","Q4")))</f>
        <v>Q3</v>
      </c>
      <c r="W1487" s="64">
        <f>YEAR(Table22[[#This Row],[Sales Date]])</f>
        <v>2024</v>
      </c>
      <c r="X1487" s="23">
        <v>59</v>
      </c>
      <c r="Y1487" s="18" t="s">
        <v>41</v>
      </c>
      <c r="Z1487" s="18" t="s">
        <v>24</v>
      </c>
      <c r="AA1487" s="19" t="s">
        <v>36</v>
      </c>
    </row>
    <row r="1488" spans="1:27" x14ac:dyDescent="0.25">
      <c r="A1488" s="17" t="s">
        <v>573</v>
      </c>
      <c r="B1488" s="18" t="s">
        <v>38</v>
      </c>
      <c r="C1488" s="63" t="str" cm="1">
        <f t="array" ref="C1488">_xlfn.SWITCH(Table22[[#This Row],[Country]],"USA","North America","Canada","North America","Brazil","South America","China","Asia","Japan","Asia","India","Asia","France","Europe","Germany","Europe","UK","Europe","Australia","Oceania","South America")</f>
        <v>Europe</v>
      </c>
      <c r="D1488" s="18" t="s">
        <v>35</v>
      </c>
      <c r="E1488" s="18" t="s">
        <v>19</v>
      </c>
      <c r="F1488" s="18" t="s">
        <v>47</v>
      </c>
      <c r="G1488" s="18" t="s">
        <v>22</v>
      </c>
      <c r="H1488" s="64">
        <f>LEN(TRIM(Table22[[#This Row],[Country]]))</f>
        <v>6</v>
      </c>
      <c r="I1488" s="64">
        <f>LEN(TRIM(Table22[[#This Row],[Continent]]))</f>
        <v>6</v>
      </c>
      <c r="J1488" s="64">
        <f>LEN(TRIM(Table22[[#This Row],[Product]]))</f>
        <v>6</v>
      </c>
      <c r="K1488" s="64">
        <f>LEN(TRIM(Table22[[#This Row],[Sales Team]]))</f>
        <v>10</v>
      </c>
      <c r="L1488" s="23">
        <v>14</v>
      </c>
      <c r="M1488" s="65" t="str" cm="1">
        <f t="array" ref="M1488">_xlfn.IFS(Table22[[#This Row],[Units Sold]]&lt;40,"Critical",Table22[[#This Row],[Units Sold]]&lt;=50,"Poor",Table22[[#This Row],[Units Sold]]&lt;=60,"Low",Table22[[#This Row],[Units Sold]]&lt;=80,"Average",Table22[[#This Row],[Units Sold]]&lt;=90,"High",Table22[[#This Row],[Units Sold]]&lt;=95,"Excellent",Table22[[#This Row],[Units Sold]]&gt;95,"Outstanding")</f>
        <v>Critical</v>
      </c>
      <c r="N1488" s="29">
        <v>931.54</v>
      </c>
      <c r="O1488" s="29">
        <v>13041.56</v>
      </c>
      <c r="P1488" s="43">
        <f>IF(Table22[[#This Row],[Discount Applied]],Table22[[#This Row],[Total Sales (in USD)]]*(1-Table22[[#This Row],[Discount Percentage (%)]]/100),Table22[[#This Row],[Total Sales (in USD)]])</f>
        <v>13041.56</v>
      </c>
      <c r="Q1488" s="66">
        <f>SQRT(AVERAGE((Table22[[#This Row],[Net Sales (after discount) (in USD)]]-AVERAGE(Table22[Net Sales (after discount) (in USD)]))^2))</f>
        <v>23469.80056376454</v>
      </c>
      <c r="R1488" s="18" t="b">
        <v>1</v>
      </c>
      <c r="S1488" s="40">
        <v>6.84</v>
      </c>
      <c r="T1488" s="18" t="b">
        <v>0</v>
      </c>
      <c r="U1488" s="25">
        <v>45219</v>
      </c>
      <c r="V1488" s="63" t="str">
        <f>IF(MONTH(Table22[[#This Row],[Sales Date]])&lt;=3,"Q1",IF(MONTH(Table22[[#This Row],[Sales Date]])&lt;=6,"Q2",IF(MONTH(Table22[[#This Row],[Sales Date]])&lt;=9,"Q3","Q4")))</f>
        <v>Q4</v>
      </c>
      <c r="W1488" s="64">
        <f>YEAR(Table22[[#This Row],[Sales Date]])</f>
        <v>2023</v>
      </c>
      <c r="X1488" s="23">
        <v>44</v>
      </c>
      <c r="Y1488" s="18" t="s">
        <v>23</v>
      </c>
      <c r="Z1488" s="18" t="s">
        <v>24</v>
      </c>
      <c r="AA1488" s="19" t="s">
        <v>36</v>
      </c>
    </row>
    <row r="1489" spans="1:27" x14ac:dyDescent="0.25">
      <c r="A1489" s="17" t="s">
        <v>1712</v>
      </c>
      <c r="B1489" s="18" t="s">
        <v>46</v>
      </c>
      <c r="C1489" s="63" t="str" cm="1">
        <f t="array" ref="C1489">_xlfn.SWITCH(Table22[[#This Row],[Country]],"USA","North America","Canada","North America","Brazil","South America","China","Asia","Japan","Asia","India","Asia","France","Europe","Germany","Europe","UK","Europe","Australia","Oceania","South America")</f>
        <v>South America</v>
      </c>
      <c r="D1489" s="18" t="s">
        <v>35</v>
      </c>
      <c r="E1489" s="18" t="s">
        <v>19</v>
      </c>
      <c r="F1489" s="18" t="s">
        <v>34</v>
      </c>
      <c r="G1489" s="18" t="s">
        <v>48</v>
      </c>
      <c r="H1489" s="64">
        <f>LEN(TRIM(Table22[[#This Row],[Country]]))</f>
        <v>6</v>
      </c>
      <c r="I1489" s="64">
        <f>LEN(TRIM(Table22[[#This Row],[Continent]]))</f>
        <v>13</v>
      </c>
      <c r="J1489" s="64">
        <f>LEN(TRIM(Table22[[#This Row],[Product]]))</f>
        <v>6</v>
      </c>
      <c r="K1489" s="64">
        <f>LEN(TRIM(Table22[[#This Row],[Sales Team]]))</f>
        <v>9</v>
      </c>
      <c r="L1489" s="23">
        <v>80</v>
      </c>
      <c r="M1489" s="65" t="str" cm="1">
        <f t="array" ref="M1489">_xlfn.IFS(Table22[[#This Row],[Units Sold]]&lt;40,"Critical",Table22[[#This Row],[Units Sold]]&lt;=50,"Poor",Table22[[#This Row],[Units Sold]]&lt;=60,"Low",Table22[[#This Row],[Units Sold]]&lt;=80,"Average",Table22[[#This Row],[Units Sold]]&lt;=90,"High",Table22[[#This Row],[Units Sold]]&lt;=95,"Excellent",Table22[[#This Row],[Units Sold]]&gt;95,"Outstanding")</f>
        <v>Average</v>
      </c>
      <c r="N1489" s="29">
        <v>162.87</v>
      </c>
      <c r="O1489" s="29">
        <v>13029.6</v>
      </c>
      <c r="P1489" s="43">
        <f>IF(Table22[[#This Row],[Discount Applied]],Table22[[#This Row],[Total Sales (in USD)]]*(1-Table22[[#This Row],[Discount Percentage (%)]]/100),Table22[[#This Row],[Total Sales (in USD)]])</f>
        <v>13029.6</v>
      </c>
      <c r="Q1489" s="66">
        <f>SQRT(AVERAGE((Table22[[#This Row],[Net Sales (after discount) (in USD)]]-AVERAGE(Table22[Net Sales (after discount) (in USD)]))^2))</f>
        <v>23481.760563764539</v>
      </c>
      <c r="R1489" s="18" t="b">
        <v>0</v>
      </c>
      <c r="S1489" s="40">
        <v>29.62</v>
      </c>
      <c r="T1489" s="18" t="b">
        <v>0</v>
      </c>
      <c r="U1489" s="25">
        <v>45035</v>
      </c>
      <c r="V1489" s="63" t="str">
        <f>IF(MONTH(Table22[[#This Row],[Sales Date]])&lt;=3,"Q1",IF(MONTH(Table22[[#This Row],[Sales Date]])&lt;=6,"Q2",IF(MONTH(Table22[[#This Row],[Sales Date]])&lt;=9,"Q3","Q4")))</f>
        <v>Q2</v>
      </c>
      <c r="W1489" s="64">
        <f>YEAR(Table22[[#This Row],[Sales Date]])</f>
        <v>2023</v>
      </c>
      <c r="X1489" s="23">
        <v>18</v>
      </c>
      <c r="Y1489" s="18" t="s">
        <v>41</v>
      </c>
      <c r="Z1489" s="18" t="s">
        <v>56</v>
      </c>
      <c r="AA1489" s="19" t="s">
        <v>36</v>
      </c>
    </row>
    <row r="1490" spans="1:27" x14ac:dyDescent="0.25">
      <c r="A1490" s="17" t="s">
        <v>800</v>
      </c>
      <c r="B1490" s="18" t="s">
        <v>51</v>
      </c>
      <c r="C1490" s="63" t="str" cm="1">
        <f t="array" ref="C1490">_xlfn.SWITCH(Table22[[#This Row],[Country]],"USA","North America","Canada","North America","Brazil","South America","China","Asia","Japan","Asia","India","Asia","France","Europe","Germany","Europe","UK","Europe","Australia","Oceania","South America")</f>
        <v>Europe</v>
      </c>
      <c r="D1490" s="18" t="s">
        <v>44</v>
      </c>
      <c r="E1490" s="18" t="s">
        <v>19</v>
      </c>
      <c r="F1490" s="18" t="s">
        <v>64</v>
      </c>
      <c r="G1490" s="18" t="s">
        <v>48</v>
      </c>
      <c r="H1490" s="64">
        <f>LEN(TRIM(Table22[[#This Row],[Country]]))</f>
        <v>2</v>
      </c>
      <c r="I1490" s="64">
        <f>LEN(TRIM(Table22[[#This Row],[Continent]]))</f>
        <v>6</v>
      </c>
      <c r="J1490" s="64">
        <f>LEN(TRIM(Table22[[#This Row],[Product]]))</f>
        <v>6</v>
      </c>
      <c r="K1490" s="64">
        <f>LEN(TRIM(Table22[[#This Row],[Sales Team]]))</f>
        <v>9</v>
      </c>
      <c r="L1490" s="23">
        <v>79</v>
      </c>
      <c r="M1490" s="65" t="str" cm="1">
        <f t="array" ref="M1490">_xlfn.IFS(Table22[[#This Row],[Units Sold]]&lt;40,"Critical",Table22[[#This Row],[Units Sold]]&lt;=50,"Poor",Table22[[#This Row],[Units Sold]]&lt;=60,"Low",Table22[[#This Row],[Units Sold]]&lt;=80,"Average",Table22[[#This Row],[Units Sold]]&lt;=90,"High",Table22[[#This Row],[Units Sold]]&lt;=95,"Excellent",Table22[[#This Row],[Units Sold]]&gt;95,"Outstanding")</f>
        <v>Average</v>
      </c>
      <c r="N1490" s="29">
        <v>164.82</v>
      </c>
      <c r="O1490" s="29">
        <v>13020.78</v>
      </c>
      <c r="P1490" s="43">
        <f>IF(Table22[[#This Row],[Discount Applied]],Table22[[#This Row],[Total Sales (in USD)]]*(1-Table22[[#This Row],[Discount Percentage (%)]]/100),Table22[[#This Row],[Total Sales (in USD)]])</f>
        <v>11206.985346000001</v>
      </c>
      <c r="Q1490" s="66">
        <f>SQRT(AVERAGE((Table22[[#This Row],[Net Sales (after discount) (in USD)]]-AVERAGE(Table22[Net Sales (after discount) (in USD)]))^2))</f>
        <v>25304.375217764537</v>
      </c>
      <c r="R1490" s="18" t="b">
        <v>0</v>
      </c>
      <c r="S1490" s="40">
        <v>13.93</v>
      </c>
      <c r="T1490" s="18" t="b">
        <v>1</v>
      </c>
      <c r="U1490" s="25">
        <v>45430</v>
      </c>
      <c r="V1490" s="63" t="str">
        <f>IF(MONTH(Table22[[#This Row],[Sales Date]])&lt;=3,"Q1",IF(MONTH(Table22[[#This Row],[Sales Date]])&lt;=6,"Q2",IF(MONTH(Table22[[#This Row],[Sales Date]])&lt;=9,"Q3","Q4")))</f>
        <v>Q2</v>
      </c>
      <c r="W1490" s="64">
        <f>YEAR(Table22[[#This Row],[Sales Date]])</f>
        <v>2024</v>
      </c>
      <c r="X1490" s="23">
        <v>56</v>
      </c>
      <c r="Y1490" s="18" t="s">
        <v>23</v>
      </c>
      <c r="Z1490" s="18" t="s">
        <v>42</v>
      </c>
      <c r="AA1490" s="19" t="s">
        <v>25</v>
      </c>
    </row>
    <row r="1491" spans="1:27" x14ac:dyDescent="0.25">
      <c r="A1491" s="17" t="s">
        <v>1035</v>
      </c>
      <c r="B1491" s="18" t="s">
        <v>51</v>
      </c>
      <c r="C1491" s="63" t="str" cm="1">
        <f t="array" ref="C1491">_xlfn.SWITCH(Table22[[#This Row],[Country]],"USA","North America","Canada","North America","Brazil","South America","China","Asia","Japan","Asia","India","Asia","France","Europe","Germany","Europe","UK","Europe","Australia","Oceania","South America")</f>
        <v>Europe</v>
      </c>
      <c r="D1491" s="18" t="s">
        <v>44</v>
      </c>
      <c r="E1491" s="18" t="s">
        <v>19</v>
      </c>
      <c r="F1491" s="18" t="s">
        <v>64</v>
      </c>
      <c r="G1491" s="18" t="s">
        <v>29</v>
      </c>
      <c r="H1491" s="64">
        <f>LEN(TRIM(Table22[[#This Row],[Country]]))</f>
        <v>2</v>
      </c>
      <c r="I1491" s="64">
        <f>LEN(TRIM(Table22[[#This Row],[Continent]]))</f>
        <v>6</v>
      </c>
      <c r="J1491" s="64">
        <f>LEN(TRIM(Table22[[#This Row],[Product]]))</f>
        <v>6</v>
      </c>
      <c r="K1491" s="64">
        <f>LEN(TRIM(Table22[[#This Row],[Sales Team]]))</f>
        <v>10</v>
      </c>
      <c r="L1491" s="23">
        <v>17</v>
      </c>
      <c r="M1491" s="65" t="str" cm="1">
        <f t="array" ref="M1491">_xlfn.IFS(Table22[[#This Row],[Units Sold]]&lt;40,"Critical",Table22[[#This Row],[Units Sold]]&lt;=50,"Poor",Table22[[#This Row],[Units Sold]]&lt;=60,"Low",Table22[[#This Row],[Units Sold]]&lt;=80,"Average",Table22[[#This Row],[Units Sold]]&lt;=90,"High",Table22[[#This Row],[Units Sold]]&lt;=95,"Excellent",Table22[[#This Row],[Units Sold]]&gt;95,"Outstanding")</f>
        <v>Critical</v>
      </c>
      <c r="N1491" s="29">
        <v>764.38</v>
      </c>
      <c r="O1491" s="29">
        <v>12994.46</v>
      </c>
      <c r="P1491" s="43">
        <f>IF(Table22[[#This Row],[Discount Applied]],Table22[[#This Row],[Total Sales (in USD)]]*(1-Table22[[#This Row],[Discount Percentage (%)]]/100),Table22[[#This Row],[Total Sales (in USD)]])</f>
        <v>12994.46</v>
      </c>
      <c r="Q1491" s="66">
        <f>SQRT(AVERAGE((Table22[[#This Row],[Net Sales (after discount) (in USD)]]-AVERAGE(Table22[Net Sales (after discount) (in USD)]))^2))</f>
        <v>23516.900563764539</v>
      </c>
      <c r="R1491" s="18" t="b">
        <v>0</v>
      </c>
      <c r="S1491" s="40">
        <v>18.59</v>
      </c>
      <c r="T1491" s="18" t="b">
        <v>0</v>
      </c>
      <c r="U1491" s="25">
        <v>45446</v>
      </c>
      <c r="V1491" s="63" t="str">
        <f>IF(MONTH(Table22[[#This Row],[Sales Date]])&lt;=3,"Q1",IF(MONTH(Table22[[#This Row],[Sales Date]])&lt;=6,"Q2",IF(MONTH(Table22[[#This Row],[Sales Date]])&lt;=9,"Q3","Q4")))</f>
        <v>Q2</v>
      </c>
      <c r="W1491" s="64">
        <f>YEAR(Table22[[#This Row],[Sales Date]])</f>
        <v>2024</v>
      </c>
      <c r="X1491" s="23">
        <v>61</v>
      </c>
      <c r="Y1491" s="18" t="s">
        <v>41</v>
      </c>
      <c r="Z1491" s="18" t="s">
        <v>56</v>
      </c>
      <c r="AA1491" s="19" t="s">
        <v>25</v>
      </c>
    </row>
    <row r="1492" spans="1:27" x14ac:dyDescent="0.25">
      <c r="A1492" s="17" t="s">
        <v>583</v>
      </c>
      <c r="B1492" s="18" t="s">
        <v>46</v>
      </c>
      <c r="C1492" s="63" t="str" cm="1">
        <f t="array" ref="C1492">_xlfn.SWITCH(Table22[[#This Row],[Country]],"USA","North America","Canada","North America","Brazil","South America","China","Asia","Japan","Asia","India","Asia","France","Europe","Germany","Europe","UK","Europe","Australia","Oceania","South America")</f>
        <v>South America</v>
      </c>
      <c r="D1492" s="18" t="s">
        <v>44</v>
      </c>
      <c r="E1492" s="18" t="s">
        <v>39</v>
      </c>
      <c r="F1492" s="18" t="s">
        <v>20</v>
      </c>
      <c r="G1492" s="18" t="s">
        <v>48</v>
      </c>
      <c r="H1492" s="64">
        <f>LEN(TRIM(Table22[[#This Row],[Country]]))</f>
        <v>6</v>
      </c>
      <c r="I1492" s="64">
        <f>LEN(TRIM(Table22[[#This Row],[Continent]]))</f>
        <v>13</v>
      </c>
      <c r="J1492" s="64">
        <f>LEN(TRIM(Table22[[#This Row],[Product]]))</f>
        <v>10</v>
      </c>
      <c r="K1492" s="64">
        <f>LEN(TRIM(Table22[[#This Row],[Sales Team]]))</f>
        <v>9</v>
      </c>
      <c r="L1492" s="23">
        <v>67</v>
      </c>
      <c r="M1492" s="65" t="str" cm="1">
        <f t="array" ref="M1492">_xlfn.IFS(Table22[[#This Row],[Units Sold]]&lt;40,"Critical",Table22[[#This Row],[Units Sold]]&lt;=50,"Poor",Table22[[#This Row],[Units Sold]]&lt;=60,"Low",Table22[[#This Row],[Units Sold]]&lt;=80,"Average",Table22[[#This Row],[Units Sold]]&lt;=90,"High",Table22[[#This Row],[Units Sold]]&lt;=95,"Excellent",Table22[[#This Row],[Units Sold]]&gt;95,"Outstanding")</f>
        <v>Average</v>
      </c>
      <c r="N1492" s="29">
        <v>192.18</v>
      </c>
      <c r="O1492" s="29">
        <v>12876.06</v>
      </c>
      <c r="P1492" s="43">
        <f>IF(Table22[[#This Row],[Discount Applied]],Table22[[#This Row],[Total Sales (in USD)]]*(1-Table22[[#This Row],[Discount Percentage (%)]]/100),Table22[[#This Row],[Total Sales (in USD)]])</f>
        <v>12876.06</v>
      </c>
      <c r="Q1492" s="66">
        <f>SQRT(AVERAGE((Table22[[#This Row],[Net Sales (after discount) (in USD)]]-AVERAGE(Table22[Net Sales (after discount) (in USD)]))^2))</f>
        <v>23635.30056376454</v>
      </c>
      <c r="R1492" s="18" t="b">
        <v>0</v>
      </c>
      <c r="S1492" s="40">
        <v>18.329999999999998</v>
      </c>
      <c r="T1492" s="18" t="b">
        <v>0</v>
      </c>
      <c r="U1492" s="25">
        <v>44991</v>
      </c>
      <c r="V1492" s="63" t="str">
        <f>IF(MONTH(Table22[[#This Row],[Sales Date]])&lt;=3,"Q1",IF(MONTH(Table22[[#This Row],[Sales Date]])&lt;=6,"Q2",IF(MONTH(Table22[[#This Row],[Sales Date]])&lt;=9,"Q3","Q4")))</f>
        <v>Q1</v>
      </c>
      <c r="W1492" s="64">
        <f>YEAR(Table22[[#This Row],[Sales Date]])</f>
        <v>2023</v>
      </c>
      <c r="X1492" s="23">
        <v>32</v>
      </c>
      <c r="Y1492" s="18" t="s">
        <v>49</v>
      </c>
      <c r="Z1492" s="18" t="s">
        <v>42</v>
      </c>
      <c r="AA1492" s="19" t="s">
        <v>25</v>
      </c>
    </row>
    <row r="1493" spans="1:27" x14ac:dyDescent="0.25">
      <c r="A1493" s="17" t="s">
        <v>437</v>
      </c>
      <c r="B1493" s="18" t="s">
        <v>46</v>
      </c>
      <c r="C1493" s="63" t="str" cm="1">
        <f t="array" ref="C1493">_xlfn.SWITCH(Table22[[#This Row],[Country]],"USA","North America","Canada","North America","Brazil","South America","China","Asia","Japan","Asia","India","Asia","France","Europe","Germany","Europe","UK","Europe","Australia","Oceania","South America")</f>
        <v>South America</v>
      </c>
      <c r="D1493" s="18" t="s">
        <v>35</v>
      </c>
      <c r="E1493" s="18" t="s">
        <v>33</v>
      </c>
      <c r="F1493" s="18" t="s">
        <v>47</v>
      </c>
      <c r="G1493" s="18" t="s">
        <v>22</v>
      </c>
      <c r="H1493" s="64">
        <f>LEN(TRIM(Table22[[#This Row],[Country]]))</f>
        <v>6</v>
      </c>
      <c r="I1493" s="64">
        <f>LEN(TRIM(Table22[[#This Row],[Continent]]))</f>
        <v>13</v>
      </c>
      <c r="J1493" s="64">
        <f>LEN(TRIM(Table22[[#This Row],[Product]]))</f>
        <v>10</v>
      </c>
      <c r="K1493" s="64">
        <f>LEN(TRIM(Table22[[#This Row],[Sales Team]]))</f>
        <v>10</v>
      </c>
      <c r="L1493" s="23">
        <v>61</v>
      </c>
      <c r="M1493" s="65" t="str" cm="1">
        <f t="array" ref="M1493">_xlfn.IFS(Table22[[#This Row],[Units Sold]]&lt;40,"Critical",Table22[[#This Row],[Units Sold]]&lt;=50,"Poor",Table22[[#This Row],[Units Sold]]&lt;=60,"Low",Table22[[#This Row],[Units Sold]]&lt;=80,"Average",Table22[[#This Row],[Units Sold]]&lt;=90,"High",Table22[[#This Row],[Units Sold]]&lt;=95,"Excellent",Table22[[#This Row],[Units Sold]]&gt;95,"Outstanding")</f>
        <v>Average</v>
      </c>
      <c r="N1493" s="29">
        <v>210.83</v>
      </c>
      <c r="O1493" s="29">
        <v>12860.63</v>
      </c>
      <c r="P1493" s="43">
        <f>IF(Table22[[#This Row],[Discount Applied]],Table22[[#This Row],[Total Sales (in USD)]]*(1-Table22[[#This Row],[Discount Percentage (%)]]/100),Table22[[#This Row],[Total Sales (in USD)]])</f>
        <v>12860.63</v>
      </c>
      <c r="Q1493" s="66">
        <f>SQRT(AVERAGE((Table22[[#This Row],[Net Sales (after discount) (in USD)]]-AVERAGE(Table22[Net Sales (after discount) (in USD)]))^2))</f>
        <v>23650.73056376454</v>
      </c>
      <c r="R1493" s="18" t="b">
        <v>0</v>
      </c>
      <c r="S1493" s="40">
        <v>11.09</v>
      </c>
      <c r="T1493" s="18" t="b">
        <v>0</v>
      </c>
      <c r="U1493" s="25">
        <v>45390</v>
      </c>
      <c r="V1493" s="63" t="str">
        <f>IF(MONTH(Table22[[#This Row],[Sales Date]])&lt;=3,"Q1",IF(MONTH(Table22[[#This Row],[Sales Date]])&lt;=6,"Q2",IF(MONTH(Table22[[#This Row],[Sales Date]])&lt;=9,"Q3","Q4")))</f>
        <v>Q2</v>
      </c>
      <c r="W1493" s="64">
        <f>YEAR(Table22[[#This Row],[Sales Date]])</f>
        <v>2024</v>
      </c>
      <c r="X1493" s="23">
        <v>42</v>
      </c>
      <c r="Y1493" s="18" t="s">
        <v>41</v>
      </c>
      <c r="Z1493" s="18" t="s">
        <v>30</v>
      </c>
      <c r="AA1493" s="19" t="s">
        <v>25</v>
      </c>
    </row>
    <row r="1494" spans="1:27" x14ac:dyDescent="0.25">
      <c r="A1494" s="17" t="s">
        <v>567</v>
      </c>
      <c r="B1494" s="18" t="s">
        <v>46</v>
      </c>
      <c r="C1494" s="63" t="str" cm="1">
        <f t="array" ref="C1494">_xlfn.SWITCH(Table22[[#This Row],[Country]],"USA","North America","Canada","North America","Brazil","South America","China","Asia","Japan","Asia","India","Asia","France","Europe","Germany","Europe","UK","Europe","Australia","Oceania","South America")</f>
        <v>South America</v>
      </c>
      <c r="D1494" s="18" t="s">
        <v>21</v>
      </c>
      <c r="E1494" s="18" t="s">
        <v>19</v>
      </c>
      <c r="F1494" s="18" t="s">
        <v>52</v>
      </c>
      <c r="G1494" s="18" t="s">
        <v>29</v>
      </c>
      <c r="H1494" s="64">
        <f>LEN(TRIM(Table22[[#This Row],[Country]]))</f>
        <v>6</v>
      </c>
      <c r="I1494" s="64">
        <f>LEN(TRIM(Table22[[#This Row],[Continent]]))</f>
        <v>13</v>
      </c>
      <c r="J1494" s="64">
        <f>LEN(TRIM(Table22[[#This Row],[Product]]))</f>
        <v>6</v>
      </c>
      <c r="K1494" s="64">
        <f>LEN(TRIM(Table22[[#This Row],[Sales Team]]))</f>
        <v>10</v>
      </c>
      <c r="L1494" s="23">
        <v>55</v>
      </c>
      <c r="M1494" s="65" t="str" cm="1">
        <f t="array" ref="M1494">_xlfn.IFS(Table22[[#This Row],[Units Sold]]&lt;40,"Critical",Table22[[#This Row],[Units Sold]]&lt;=50,"Poor",Table22[[#This Row],[Units Sold]]&lt;=60,"Low",Table22[[#This Row],[Units Sold]]&lt;=80,"Average",Table22[[#This Row],[Units Sold]]&lt;=90,"High",Table22[[#This Row],[Units Sold]]&lt;=95,"Excellent",Table22[[#This Row],[Units Sold]]&gt;95,"Outstanding")</f>
        <v>Low</v>
      </c>
      <c r="N1494" s="29">
        <v>233.73</v>
      </c>
      <c r="O1494" s="29">
        <v>12855.15</v>
      </c>
      <c r="P1494" s="43">
        <f>IF(Table22[[#This Row],[Discount Applied]],Table22[[#This Row],[Total Sales (in USD)]]*(1-Table22[[#This Row],[Discount Percentage (%)]]/100),Table22[[#This Row],[Total Sales (in USD)]])</f>
        <v>10955.15883</v>
      </c>
      <c r="Q1494" s="66">
        <f>SQRT(AVERAGE((Table22[[#This Row],[Net Sales (after discount) (in USD)]]-AVERAGE(Table22[Net Sales (after discount) (in USD)]))^2))</f>
        <v>25556.201733764537</v>
      </c>
      <c r="R1494" s="18" t="b">
        <v>0</v>
      </c>
      <c r="S1494" s="40">
        <v>14.78</v>
      </c>
      <c r="T1494" s="18" t="b">
        <v>1</v>
      </c>
      <c r="U1494" s="25">
        <v>45159</v>
      </c>
      <c r="V1494" s="63" t="str">
        <f>IF(MONTH(Table22[[#This Row],[Sales Date]])&lt;=3,"Q1",IF(MONTH(Table22[[#This Row],[Sales Date]])&lt;=6,"Q2",IF(MONTH(Table22[[#This Row],[Sales Date]])&lt;=9,"Q3","Q4")))</f>
        <v>Q3</v>
      </c>
      <c r="W1494" s="64">
        <f>YEAR(Table22[[#This Row],[Sales Date]])</f>
        <v>2023</v>
      </c>
      <c r="X1494" s="23">
        <v>46</v>
      </c>
      <c r="Y1494" s="18" t="s">
        <v>23</v>
      </c>
      <c r="Z1494" s="18" t="s">
        <v>24</v>
      </c>
      <c r="AA1494" s="19" t="s">
        <v>25</v>
      </c>
    </row>
    <row r="1495" spans="1:27" x14ac:dyDescent="0.25">
      <c r="A1495" s="17" t="s">
        <v>671</v>
      </c>
      <c r="B1495" s="18" t="s">
        <v>76</v>
      </c>
      <c r="C1495" s="63" t="str" cm="1">
        <f t="array" ref="C1495">_xlfn.SWITCH(Table22[[#This Row],[Country]],"USA","North America","Canada","North America","Brazil","South America","China","Asia","Japan","Asia","India","Asia","France","Europe","Germany","Europe","UK","Europe","Australia","Oceania","South America")</f>
        <v>Asia</v>
      </c>
      <c r="D1495" s="18" t="s">
        <v>28</v>
      </c>
      <c r="E1495" s="18" t="s">
        <v>33</v>
      </c>
      <c r="F1495" s="18" t="s">
        <v>52</v>
      </c>
      <c r="G1495" s="18" t="s">
        <v>29</v>
      </c>
      <c r="H1495" s="64">
        <f>LEN(TRIM(Table22[[#This Row],[Country]]))</f>
        <v>5</v>
      </c>
      <c r="I1495" s="64">
        <f>LEN(TRIM(Table22[[#This Row],[Continent]]))</f>
        <v>4</v>
      </c>
      <c r="J1495" s="64">
        <f>LEN(TRIM(Table22[[#This Row],[Product]]))</f>
        <v>10</v>
      </c>
      <c r="K1495" s="64">
        <f>LEN(TRIM(Table22[[#This Row],[Sales Team]]))</f>
        <v>10</v>
      </c>
      <c r="L1495" s="23">
        <v>24</v>
      </c>
      <c r="M1495" s="65" t="str" cm="1">
        <f t="array" ref="M1495">_xlfn.IFS(Table22[[#This Row],[Units Sold]]&lt;40,"Critical",Table22[[#This Row],[Units Sold]]&lt;=50,"Poor",Table22[[#This Row],[Units Sold]]&lt;=60,"Low",Table22[[#This Row],[Units Sold]]&lt;=80,"Average",Table22[[#This Row],[Units Sold]]&lt;=90,"High",Table22[[#This Row],[Units Sold]]&lt;=95,"Excellent",Table22[[#This Row],[Units Sold]]&gt;95,"Outstanding")</f>
        <v>Critical</v>
      </c>
      <c r="N1495" s="29">
        <v>534.03</v>
      </c>
      <c r="O1495" s="29">
        <v>12816.72</v>
      </c>
      <c r="P1495" s="43">
        <f>IF(Table22[[#This Row],[Discount Applied]],Table22[[#This Row],[Total Sales (in USD)]]*(1-Table22[[#This Row],[Discount Percentage (%)]]/100),Table22[[#This Row],[Total Sales (in USD)]])</f>
        <v>12816.72</v>
      </c>
      <c r="Q1495" s="66">
        <f>SQRT(AVERAGE((Table22[[#This Row],[Net Sales (after discount) (in USD)]]-AVERAGE(Table22[Net Sales (after discount) (in USD)]))^2))</f>
        <v>23694.640563764537</v>
      </c>
      <c r="R1495" s="18" t="b">
        <v>1</v>
      </c>
      <c r="S1495" s="40">
        <v>14.11</v>
      </c>
      <c r="T1495" s="18" t="b">
        <v>0</v>
      </c>
      <c r="U1495" s="25">
        <v>45243</v>
      </c>
      <c r="V1495" s="63" t="str">
        <f>IF(MONTH(Table22[[#This Row],[Sales Date]])&lt;=3,"Q1",IF(MONTH(Table22[[#This Row],[Sales Date]])&lt;=6,"Q2",IF(MONTH(Table22[[#This Row],[Sales Date]])&lt;=9,"Q3","Q4")))</f>
        <v>Q4</v>
      </c>
      <c r="W1495" s="64">
        <f>YEAR(Table22[[#This Row],[Sales Date]])</f>
        <v>2023</v>
      </c>
      <c r="X1495" s="23">
        <v>19</v>
      </c>
      <c r="Y1495" s="18" t="s">
        <v>41</v>
      </c>
      <c r="Z1495" s="18" t="s">
        <v>30</v>
      </c>
      <c r="AA1495" s="19" t="s">
        <v>25</v>
      </c>
    </row>
    <row r="1496" spans="1:27" x14ac:dyDescent="0.25">
      <c r="A1496" s="17" t="s">
        <v>1746</v>
      </c>
      <c r="B1496" s="18" t="s">
        <v>72</v>
      </c>
      <c r="C1496" s="63" t="str" cm="1">
        <f t="array" ref="C1496">_xlfn.SWITCH(Table22[[#This Row],[Country]],"USA","North America","Canada","North America","Brazil","South America","China","Asia","Japan","Asia","India","Asia","France","Europe","Germany","Europe","UK","Europe","Australia","Oceania","South America")</f>
        <v>North America</v>
      </c>
      <c r="D1496" s="18" t="s">
        <v>35</v>
      </c>
      <c r="E1496" s="18" t="s">
        <v>39</v>
      </c>
      <c r="F1496" s="18" t="s">
        <v>64</v>
      </c>
      <c r="G1496" s="18" t="s">
        <v>48</v>
      </c>
      <c r="H1496" s="64">
        <f>LEN(TRIM(Table22[[#This Row],[Country]]))</f>
        <v>3</v>
      </c>
      <c r="I1496" s="64">
        <f>LEN(TRIM(Table22[[#This Row],[Continent]]))</f>
        <v>13</v>
      </c>
      <c r="J1496" s="64">
        <f>LEN(TRIM(Table22[[#This Row],[Product]]))</f>
        <v>10</v>
      </c>
      <c r="K1496" s="64">
        <f>LEN(TRIM(Table22[[#This Row],[Sales Team]]))</f>
        <v>9</v>
      </c>
      <c r="L1496" s="23">
        <v>50</v>
      </c>
      <c r="M1496" s="65" t="str" cm="1">
        <f t="array" ref="M1496">_xlfn.IFS(Table22[[#This Row],[Units Sold]]&lt;40,"Critical",Table22[[#This Row],[Units Sold]]&lt;=50,"Poor",Table22[[#This Row],[Units Sold]]&lt;=60,"Low",Table22[[#This Row],[Units Sold]]&lt;=80,"Average",Table22[[#This Row],[Units Sold]]&lt;=90,"High",Table22[[#This Row],[Units Sold]]&lt;=95,"Excellent",Table22[[#This Row],[Units Sold]]&gt;95,"Outstanding")</f>
        <v>Poor</v>
      </c>
      <c r="N1496" s="29">
        <v>255.8</v>
      </c>
      <c r="O1496" s="29">
        <v>12790</v>
      </c>
      <c r="P1496" s="43">
        <f>IF(Table22[[#This Row],[Discount Applied]],Table22[[#This Row],[Total Sales (in USD)]]*(1-Table22[[#This Row],[Discount Percentage (%)]]/100),Table22[[#This Row],[Total Sales (in USD)]])</f>
        <v>12790</v>
      </c>
      <c r="Q1496" s="66">
        <f>SQRT(AVERAGE((Table22[[#This Row],[Net Sales (after discount) (in USD)]]-AVERAGE(Table22[Net Sales (after discount) (in USD)]))^2))</f>
        <v>23721.360563764538</v>
      </c>
      <c r="R1496" s="18" t="b">
        <v>1</v>
      </c>
      <c r="S1496" s="40">
        <v>6.85</v>
      </c>
      <c r="T1496" s="18" t="b">
        <v>0</v>
      </c>
      <c r="U1496" s="25">
        <v>45551</v>
      </c>
      <c r="V1496" s="63" t="str">
        <f>IF(MONTH(Table22[[#This Row],[Sales Date]])&lt;=3,"Q1",IF(MONTH(Table22[[#This Row],[Sales Date]])&lt;=6,"Q2",IF(MONTH(Table22[[#This Row],[Sales Date]])&lt;=9,"Q3","Q4")))</f>
        <v>Q3</v>
      </c>
      <c r="W1496" s="64">
        <f>YEAR(Table22[[#This Row],[Sales Date]])</f>
        <v>2024</v>
      </c>
      <c r="X1496" s="23">
        <v>29</v>
      </c>
      <c r="Y1496" s="18" t="s">
        <v>23</v>
      </c>
      <c r="Z1496" s="18" t="s">
        <v>30</v>
      </c>
      <c r="AA1496" s="19" t="s">
        <v>36</v>
      </c>
    </row>
    <row r="1497" spans="1:27" x14ac:dyDescent="0.25">
      <c r="A1497" s="17" t="s">
        <v>713</v>
      </c>
      <c r="B1497" s="18" t="s">
        <v>62</v>
      </c>
      <c r="C1497" s="63" t="str" cm="1">
        <f t="array" ref="C1497">_xlfn.SWITCH(Table22[[#This Row],[Country]],"USA","North America","Canada","North America","Brazil","South America","China","Asia","Japan","Asia","India","Asia","France","Europe","Germany","Europe","UK","Europe","Australia","Oceania","South America")</f>
        <v>Oceania</v>
      </c>
      <c r="D1497" s="18" t="s">
        <v>44</v>
      </c>
      <c r="E1497" s="18" t="s">
        <v>19</v>
      </c>
      <c r="F1497" s="18" t="s">
        <v>34</v>
      </c>
      <c r="G1497" s="18" t="s">
        <v>29</v>
      </c>
      <c r="H1497" s="64">
        <f>LEN(TRIM(Table22[[#This Row],[Country]]))</f>
        <v>9</v>
      </c>
      <c r="I1497" s="64">
        <f>LEN(TRIM(Table22[[#This Row],[Continent]]))</f>
        <v>7</v>
      </c>
      <c r="J1497" s="64">
        <f>LEN(TRIM(Table22[[#This Row],[Product]]))</f>
        <v>6</v>
      </c>
      <c r="K1497" s="64">
        <f>LEN(TRIM(Table22[[#This Row],[Sales Team]]))</f>
        <v>10</v>
      </c>
      <c r="L1497" s="23">
        <v>46</v>
      </c>
      <c r="M1497" s="65" t="str" cm="1">
        <f t="array" ref="M1497">_xlfn.IFS(Table22[[#This Row],[Units Sold]]&lt;40,"Critical",Table22[[#This Row],[Units Sold]]&lt;=50,"Poor",Table22[[#This Row],[Units Sold]]&lt;=60,"Low",Table22[[#This Row],[Units Sold]]&lt;=80,"Average",Table22[[#This Row],[Units Sold]]&lt;=90,"High",Table22[[#This Row],[Units Sold]]&lt;=95,"Excellent",Table22[[#This Row],[Units Sold]]&gt;95,"Outstanding")</f>
        <v>Poor</v>
      </c>
      <c r="N1497" s="29">
        <v>275.69</v>
      </c>
      <c r="O1497" s="29">
        <v>12681.74</v>
      </c>
      <c r="P1497" s="43">
        <f>IF(Table22[[#This Row],[Discount Applied]],Table22[[#This Row],[Total Sales (in USD)]]*(1-Table22[[#This Row],[Discount Percentage (%)]]/100),Table22[[#This Row],[Total Sales (in USD)]])</f>
        <v>10514.430633999998</v>
      </c>
      <c r="Q1497" s="66">
        <f>SQRT(AVERAGE((Table22[[#This Row],[Net Sales (after discount) (in USD)]]-AVERAGE(Table22[Net Sales (after discount) (in USD)]))^2))</f>
        <v>25996.929929764541</v>
      </c>
      <c r="R1497" s="18" t="b">
        <v>0</v>
      </c>
      <c r="S1497" s="40">
        <v>17.09</v>
      </c>
      <c r="T1497" s="18" t="b">
        <v>1</v>
      </c>
      <c r="U1497" s="25">
        <v>45212</v>
      </c>
      <c r="V1497" s="63" t="str">
        <f>IF(MONTH(Table22[[#This Row],[Sales Date]])&lt;=3,"Q1",IF(MONTH(Table22[[#This Row],[Sales Date]])&lt;=6,"Q2",IF(MONTH(Table22[[#This Row],[Sales Date]])&lt;=9,"Q3","Q4")))</f>
        <v>Q4</v>
      </c>
      <c r="W1497" s="64">
        <f>YEAR(Table22[[#This Row],[Sales Date]])</f>
        <v>2023</v>
      </c>
      <c r="X1497" s="23">
        <v>45</v>
      </c>
      <c r="Y1497" s="18" t="s">
        <v>41</v>
      </c>
      <c r="Z1497" s="18" t="s">
        <v>42</v>
      </c>
      <c r="AA1497" s="19" t="s">
        <v>25</v>
      </c>
    </row>
    <row r="1498" spans="1:27" x14ac:dyDescent="0.25">
      <c r="A1498" s="17" t="s">
        <v>1512</v>
      </c>
      <c r="B1498" s="18" t="s">
        <v>62</v>
      </c>
      <c r="C1498" s="63" t="str" cm="1">
        <f t="array" ref="C1498">_xlfn.SWITCH(Table22[[#This Row],[Country]],"USA","North America","Canada","North America","Brazil","South America","China","Asia","Japan","Asia","India","Asia","France","Europe","Germany","Europe","UK","Europe","Australia","Oceania","South America")</f>
        <v>Oceania</v>
      </c>
      <c r="D1498" s="18" t="s">
        <v>44</v>
      </c>
      <c r="E1498" s="18" t="s">
        <v>33</v>
      </c>
      <c r="F1498" s="18" t="s">
        <v>52</v>
      </c>
      <c r="G1498" s="18" t="s">
        <v>29</v>
      </c>
      <c r="H1498" s="64">
        <f>LEN(TRIM(Table22[[#This Row],[Country]]))</f>
        <v>9</v>
      </c>
      <c r="I1498" s="64">
        <f>LEN(TRIM(Table22[[#This Row],[Continent]]))</f>
        <v>7</v>
      </c>
      <c r="J1498" s="64">
        <f>LEN(TRIM(Table22[[#This Row],[Product]]))</f>
        <v>10</v>
      </c>
      <c r="K1498" s="64">
        <f>LEN(TRIM(Table22[[#This Row],[Sales Team]]))</f>
        <v>10</v>
      </c>
      <c r="L1498" s="23">
        <v>28</v>
      </c>
      <c r="M1498" s="65" t="str" cm="1">
        <f t="array" ref="M1498">_xlfn.IFS(Table22[[#This Row],[Units Sold]]&lt;40,"Critical",Table22[[#This Row],[Units Sold]]&lt;=50,"Poor",Table22[[#This Row],[Units Sold]]&lt;=60,"Low",Table22[[#This Row],[Units Sold]]&lt;=80,"Average",Table22[[#This Row],[Units Sold]]&lt;=90,"High",Table22[[#This Row],[Units Sold]]&lt;=95,"Excellent",Table22[[#This Row],[Units Sold]]&gt;95,"Outstanding")</f>
        <v>Critical</v>
      </c>
      <c r="N1498" s="29">
        <v>452.91</v>
      </c>
      <c r="O1498" s="29">
        <v>12681.48</v>
      </c>
      <c r="P1498" s="43">
        <f>IF(Table22[[#This Row],[Discount Applied]],Table22[[#This Row],[Total Sales (in USD)]]*(1-Table22[[#This Row],[Discount Percentage (%)]]/100),Table22[[#This Row],[Total Sales (in USD)]])</f>
        <v>11609.89494</v>
      </c>
      <c r="Q1498" s="66">
        <f>SQRT(AVERAGE((Table22[[#This Row],[Net Sales (after discount) (in USD)]]-AVERAGE(Table22[Net Sales (after discount) (in USD)]))^2))</f>
        <v>24901.465623764539</v>
      </c>
      <c r="R1498" s="18" t="b">
        <v>0</v>
      </c>
      <c r="S1498" s="40">
        <v>8.4499999999999993</v>
      </c>
      <c r="T1498" s="18" t="b">
        <v>1</v>
      </c>
      <c r="U1498" s="25">
        <v>45567</v>
      </c>
      <c r="V1498" s="63" t="str">
        <f>IF(MONTH(Table22[[#This Row],[Sales Date]])&lt;=3,"Q1",IF(MONTH(Table22[[#This Row],[Sales Date]])&lt;=6,"Q2",IF(MONTH(Table22[[#This Row],[Sales Date]])&lt;=9,"Q3","Q4")))</f>
        <v>Q4</v>
      </c>
      <c r="W1498" s="64">
        <f>YEAR(Table22[[#This Row],[Sales Date]])</f>
        <v>2024</v>
      </c>
      <c r="X1498" s="23">
        <v>64</v>
      </c>
      <c r="Y1498" s="18" t="s">
        <v>23</v>
      </c>
      <c r="Z1498" s="18" t="s">
        <v>42</v>
      </c>
      <c r="AA1498" s="19" t="s">
        <v>36</v>
      </c>
    </row>
    <row r="1499" spans="1:27" x14ac:dyDescent="0.25">
      <c r="A1499" s="17" t="s">
        <v>1644</v>
      </c>
      <c r="B1499" s="18" t="s">
        <v>66</v>
      </c>
      <c r="C1499" s="63" t="str" cm="1">
        <f t="array" ref="C1499">_xlfn.SWITCH(Table22[[#This Row],[Country]],"USA","North America","Canada","North America","Brazil","South America","China","Asia","Japan","Asia","India","Asia","France","Europe","Germany","Europe","UK","Europe","Australia","Oceania","South America")</f>
        <v>North America</v>
      </c>
      <c r="D1499" s="18" t="s">
        <v>21</v>
      </c>
      <c r="E1499" s="18" t="s">
        <v>33</v>
      </c>
      <c r="F1499" s="18" t="s">
        <v>47</v>
      </c>
      <c r="G1499" s="18" t="s">
        <v>40</v>
      </c>
      <c r="H1499" s="64">
        <f>LEN(TRIM(Table22[[#This Row],[Country]]))</f>
        <v>6</v>
      </c>
      <c r="I1499" s="64">
        <f>LEN(TRIM(Table22[[#This Row],[Continent]]))</f>
        <v>13</v>
      </c>
      <c r="J1499" s="64">
        <f>LEN(TRIM(Table22[[#This Row],[Product]]))</f>
        <v>10</v>
      </c>
      <c r="K1499" s="64">
        <f>LEN(TRIM(Table22[[#This Row],[Sales Team]]))</f>
        <v>10</v>
      </c>
      <c r="L1499" s="23">
        <v>72</v>
      </c>
      <c r="M1499" s="65" t="str" cm="1">
        <f t="array" ref="M1499">_xlfn.IFS(Table22[[#This Row],[Units Sold]]&lt;40,"Critical",Table22[[#This Row],[Units Sold]]&lt;=50,"Poor",Table22[[#This Row],[Units Sold]]&lt;=60,"Low",Table22[[#This Row],[Units Sold]]&lt;=80,"Average",Table22[[#This Row],[Units Sold]]&lt;=90,"High",Table22[[#This Row],[Units Sold]]&lt;=95,"Excellent",Table22[[#This Row],[Units Sold]]&gt;95,"Outstanding")</f>
        <v>Average</v>
      </c>
      <c r="N1499" s="29">
        <v>175.95</v>
      </c>
      <c r="O1499" s="29">
        <v>12668.4</v>
      </c>
      <c r="P1499" s="43">
        <f>IF(Table22[[#This Row],[Discount Applied]],Table22[[#This Row],[Total Sales (in USD)]]*(1-Table22[[#This Row],[Discount Percentage (%)]]/100),Table22[[#This Row],[Total Sales (in USD)]])</f>
        <v>9168.121079999999</v>
      </c>
      <c r="Q1499" s="66">
        <f>SQRT(AVERAGE((Table22[[#This Row],[Net Sales (after discount) (in USD)]]-AVERAGE(Table22[Net Sales (after discount) (in USD)]))^2))</f>
        <v>27343.239483764541</v>
      </c>
      <c r="R1499" s="18" t="b">
        <v>0</v>
      </c>
      <c r="S1499" s="40">
        <v>27.63</v>
      </c>
      <c r="T1499" s="18" t="b">
        <v>1</v>
      </c>
      <c r="U1499" s="25">
        <v>45391</v>
      </c>
      <c r="V1499" s="63" t="str">
        <f>IF(MONTH(Table22[[#This Row],[Sales Date]])&lt;=3,"Q1",IF(MONTH(Table22[[#This Row],[Sales Date]])&lt;=6,"Q2",IF(MONTH(Table22[[#This Row],[Sales Date]])&lt;=9,"Q3","Q4")))</f>
        <v>Q2</v>
      </c>
      <c r="W1499" s="64">
        <f>YEAR(Table22[[#This Row],[Sales Date]])</f>
        <v>2024</v>
      </c>
      <c r="X1499" s="23">
        <v>29</v>
      </c>
      <c r="Y1499" s="18" t="s">
        <v>49</v>
      </c>
      <c r="Z1499" s="18" t="s">
        <v>24</v>
      </c>
      <c r="AA1499" s="19" t="s">
        <v>36</v>
      </c>
    </row>
    <row r="1500" spans="1:27" x14ac:dyDescent="0.25">
      <c r="A1500" s="17" t="s">
        <v>1050</v>
      </c>
      <c r="B1500" s="18" t="s">
        <v>66</v>
      </c>
      <c r="C1500" s="63" t="str" cm="1">
        <f t="array" ref="C1500">_xlfn.SWITCH(Table22[[#This Row],[Country]],"USA","North America","Canada","North America","Brazil","South America","China","Asia","Japan","Asia","India","Asia","France","Europe","Germany","Europe","UK","Europe","Australia","Oceania","South America")</f>
        <v>North America</v>
      </c>
      <c r="D1500" s="18" t="s">
        <v>28</v>
      </c>
      <c r="E1500" s="18" t="s">
        <v>39</v>
      </c>
      <c r="F1500" s="18" t="s">
        <v>34</v>
      </c>
      <c r="G1500" s="18" t="s">
        <v>29</v>
      </c>
      <c r="H1500" s="64">
        <f>LEN(TRIM(Table22[[#This Row],[Country]]))</f>
        <v>6</v>
      </c>
      <c r="I1500" s="64">
        <f>LEN(TRIM(Table22[[#This Row],[Continent]]))</f>
        <v>13</v>
      </c>
      <c r="J1500" s="64">
        <f>LEN(TRIM(Table22[[#This Row],[Product]]))</f>
        <v>10</v>
      </c>
      <c r="K1500" s="64">
        <f>LEN(TRIM(Table22[[#This Row],[Sales Team]]))</f>
        <v>10</v>
      </c>
      <c r="L1500" s="23">
        <v>72</v>
      </c>
      <c r="M1500" s="65" t="str" cm="1">
        <f t="array" ref="M1500">_xlfn.IFS(Table22[[#This Row],[Units Sold]]&lt;40,"Critical",Table22[[#This Row],[Units Sold]]&lt;=50,"Poor",Table22[[#This Row],[Units Sold]]&lt;=60,"Low",Table22[[#This Row],[Units Sold]]&lt;=80,"Average",Table22[[#This Row],[Units Sold]]&lt;=90,"High",Table22[[#This Row],[Units Sold]]&lt;=95,"Excellent",Table22[[#This Row],[Units Sold]]&gt;95,"Outstanding")</f>
        <v>Average</v>
      </c>
      <c r="N1500" s="29">
        <v>175.35</v>
      </c>
      <c r="O1500" s="29">
        <v>12625.2</v>
      </c>
      <c r="P1500" s="43">
        <f>IF(Table22[[#This Row],[Discount Applied]],Table22[[#This Row],[Total Sales (in USD)]]*(1-Table22[[#This Row],[Discount Percentage (%)]]/100),Table22[[#This Row],[Total Sales (in USD)]])</f>
        <v>11654.322120000001</v>
      </c>
      <c r="Q1500" s="66">
        <f>SQRT(AVERAGE((Table22[[#This Row],[Net Sales (after discount) (in USD)]]-AVERAGE(Table22[Net Sales (after discount) (in USD)]))^2))</f>
        <v>24857.038443764537</v>
      </c>
      <c r="R1500" s="18" t="b">
        <v>0</v>
      </c>
      <c r="S1500" s="40">
        <v>7.69</v>
      </c>
      <c r="T1500" s="18" t="b">
        <v>1</v>
      </c>
      <c r="U1500" s="25">
        <v>45369</v>
      </c>
      <c r="V1500" s="63" t="str">
        <f>IF(MONTH(Table22[[#This Row],[Sales Date]])&lt;=3,"Q1",IF(MONTH(Table22[[#This Row],[Sales Date]])&lt;=6,"Q2",IF(MONTH(Table22[[#This Row],[Sales Date]])&lt;=9,"Q3","Q4")))</f>
        <v>Q1</v>
      </c>
      <c r="W1500" s="64">
        <f>YEAR(Table22[[#This Row],[Sales Date]])</f>
        <v>2024</v>
      </c>
      <c r="X1500" s="23">
        <v>38</v>
      </c>
      <c r="Y1500" s="18" t="s">
        <v>41</v>
      </c>
      <c r="Z1500" s="18" t="s">
        <v>24</v>
      </c>
      <c r="AA1500" s="19" t="s">
        <v>36</v>
      </c>
    </row>
    <row r="1501" spans="1:27" x14ac:dyDescent="0.25">
      <c r="A1501" s="17" t="s">
        <v>388</v>
      </c>
      <c r="B1501" s="18" t="s">
        <v>66</v>
      </c>
      <c r="C1501" s="63" t="str" cm="1">
        <f t="array" ref="C1501">_xlfn.SWITCH(Table22[[#This Row],[Country]],"USA","North America","Canada","North America","Brazil","South America","China","Asia","Japan","Asia","India","Asia","France","Europe","Germany","Europe","UK","Europe","Australia","Oceania","South America")</f>
        <v>North America</v>
      </c>
      <c r="D1501" s="18" t="s">
        <v>35</v>
      </c>
      <c r="E1501" s="18" t="s">
        <v>39</v>
      </c>
      <c r="F1501" s="18" t="s">
        <v>20</v>
      </c>
      <c r="G1501" s="18" t="s">
        <v>48</v>
      </c>
      <c r="H1501" s="64">
        <f>LEN(TRIM(Table22[[#This Row],[Country]]))</f>
        <v>6</v>
      </c>
      <c r="I1501" s="64">
        <f>LEN(TRIM(Table22[[#This Row],[Continent]]))</f>
        <v>13</v>
      </c>
      <c r="J1501" s="64">
        <f>LEN(TRIM(Table22[[#This Row],[Product]]))</f>
        <v>10</v>
      </c>
      <c r="K1501" s="64">
        <f>LEN(TRIM(Table22[[#This Row],[Sales Team]]))</f>
        <v>9</v>
      </c>
      <c r="L1501" s="23">
        <v>62</v>
      </c>
      <c r="M1501" s="65" t="str" cm="1">
        <f t="array" ref="M1501">_xlfn.IFS(Table22[[#This Row],[Units Sold]]&lt;40,"Critical",Table22[[#This Row],[Units Sold]]&lt;=50,"Poor",Table22[[#This Row],[Units Sold]]&lt;=60,"Low",Table22[[#This Row],[Units Sold]]&lt;=80,"Average",Table22[[#This Row],[Units Sold]]&lt;=90,"High",Table22[[#This Row],[Units Sold]]&lt;=95,"Excellent",Table22[[#This Row],[Units Sold]]&gt;95,"Outstanding")</f>
        <v>Average</v>
      </c>
      <c r="N1501" s="29">
        <v>203.12</v>
      </c>
      <c r="O1501" s="29">
        <v>12593.44</v>
      </c>
      <c r="P1501" s="43">
        <f>IF(Table22[[#This Row],[Discount Applied]],Table22[[#This Row],[Total Sales (in USD)]]*(1-Table22[[#This Row],[Discount Percentage (%)]]/100),Table22[[#This Row],[Total Sales (in USD)]])</f>
        <v>12593.44</v>
      </c>
      <c r="Q1501" s="66">
        <f>SQRT(AVERAGE((Table22[[#This Row],[Net Sales (after discount) (in USD)]]-AVERAGE(Table22[Net Sales (after discount) (in USD)]))^2))</f>
        <v>23917.920563764535</v>
      </c>
      <c r="R1501" s="18" t="b">
        <v>0</v>
      </c>
      <c r="S1501" s="40">
        <v>27.5</v>
      </c>
      <c r="T1501" s="18" t="b">
        <v>0</v>
      </c>
      <c r="U1501" s="25">
        <v>45021</v>
      </c>
      <c r="V1501" s="63" t="str">
        <f>IF(MONTH(Table22[[#This Row],[Sales Date]])&lt;=3,"Q1",IF(MONTH(Table22[[#This Row],[Sales Date]])&lt;=6,"Q2",IF(MONTH(Table22[[#This Row],[Sales Date]])&lt;=9,"Q3","Q4")))</f>
        <v>Q2</v>
      </c>
      <c r="W1501" s="64">
        <f>YEAR(Table22[[#This Row],[Sales Date]])</f>
        <v>2023</v>
      </c>
      <c r="X1501" s="23">
        <v>52</v>
      </c>
      <c r="Y1501" s="18" t="s">
        <v>23</v>
      </c>
      <c r="Z1501" s="18" t="s">
        <v>30</v>
      </c>
      <c r="AA1501" s="19" t="s">
        <v>25</v>
      </c>
    </row>
    <row r="1502" spans="1:27" x14ac:dyDescent="0.25">
      <c r="A1502" s="17" t="s">
        <v>816</v>
      </c>
      <c r="B1502" s="18" t="s">
        <v>46</v>
      </c>
      <c r="C1502" s="63" t="str" cm="1">
        <f t="array" ref="C1502">_xlfn.SWITCH(Table22[[#This Row],[Country]],"USA","North America","Canada","North America","Brazil","South America","China","Asia","Japan","Asia","India","Asia","France","Europe","Germany","Europe","UK","Europe","Australia","Oceania","South America")</f>
        <v>South America</v>
      </c>
      <c r="D1502" s="18" t="s">
        <v>44</v>
      </c>
      <c r="E1502" s="18" t="s">
        <v>33</v>
      </c>
      <c r="F1502" s="18" t="s">
        <v>20</v>
      </c>
      <c r="G1502" s="18" t="s">
        <v>22</v>
      </c>
      <c r="H1502" s="64">
        <f>LEN(TRIM(Table22[[#This Row],[Country]]))</f>
        <v>6</v>
      </c>
      <c r="I1502" s="64">
        <f>LEN(TRIM(Table22[[#This Row],[Continent]]))</f>
        <v>13</v>
      </c>
      <c r="J1502" s="64">
        <f>LEN(TRIM(Table22[[#This Row],[Product]]))</f>
        <v>10</v>
      </c>
      <c r="K1502" s="64">
        <f>LEN(TRIM(Table22[[#This Row],[Sales Team]]))</f>
        <v>10</v>
      </c>
      <c r="L1502" s="23">
        <v>25</v>
      </c>
      <c r="M1502" s="65" t="str" cm="1">
        <f t="array" ref="M1502">_xlfn.IFS(Table22[[#This Row],[Units Sold]]&lt;40,"Critical",Table22[[#This Row],[Units Sold]]&lt;=50,"Poor",Table22[[#This Row],[Units Sold]]&lt;=60,"Low",Table22[[#This Row],[Units Sold]]&lt;=80,"Average",Table22[[#This Row],[Units Sold]]&lt;=90,"High",Table22[[#This Row],[Units Sold]]&lt;=95,"Excellent",Table22[[#This Row],[Units Sold]]&gt;95,"Outstanding")</f>
        <v>Critical</v>
      </c>
      <c r="N1502" s="29">
        <v>503.39</v>
      </c>
      <c r="O1502" s="29">
        <v>12584.75</v>
      </c>
      <c r="P1502" s="43">
        <f>IF(Table22[[#This Row],[Discount Applied]],Table22[[#This Row],[Total Sales (in USD)]]*(1-Table22[[#This Row],[Discount Percentage (%)]]/100),Table22[[#This Row],[Total Sales (in USD)]])</f>
        <v>12584.75</v>
      </c>
      <c r="Q1502" s="66">
        <f>SQRT(AVERAGE((Table22[[#This Row],[Net Sales (after discount) (in USD)]]-AVERAGE(Table22[Net Sales (after discount) (in USD)]))^2))</f>
        <v>23926.610563764538</v>
      </c>
      <c r="R1502" s="18" t="b">
        <v>1</v>
      </c>
      <c r="S1502" s="40">
        <v>20.93</v>
      </c>
      <c r="T1502" s="18" t="b">
        <v>0</v>
      </c>
      <c r="U1502" s="25">
        <v>45547</v>
      </c>
      <c r="V1502" s="63" t="str">
        <f>IF(MONTH(Table22[[#This Row],[Sales Date]])&lt;=3,"Q1",IF(MONTH(Table22[[#This Row],[Sales Date]])&lt;=6,"Q2",IF(MONTH(Table22[[#This Row],[Sales Date]])&lt;=9,"Q3","Q4")))</f>
        <v>Q3</v>
      </c>
      <c r="W1502" s="64">
        <f>YEAR(Table22[[#This Row],[Sales Date]])</f>
        <v>2024</v>
      </c>
      <c r="X1502" s="23">
        <v>55</v>
      </c>
      <c r="Y1502" s="18" t="s">
        <v>41</v>
      </c>
      <c r="Z1502" s="18" t="s">
        <v>24</v>
      </c>
      <c r="AA1502" s="19" t="s">
        <v>25</v>
      </c>
    </row>
    <row r="1503" spans="1:27" x14ac:dyDescent="0.25">
      <c r="A1503" s="17" t="s">
        <v>1663</v>
      </c>
      <c r="B1503" s="18" t="s">
        <v>66</v>
      </c>
      <c r="C1503" s="63" t="str" cm="1">
        <f t="array" ref="C1503">_xlfn.SWITCH(Table22[[#This Row],[Country]],"USA","North America","Canada","North America","Brazil","South America","China","Asia","Japan","Asia","India","Asia","France","Europe","Germany","Europe","UK","Europe","Australia","Oceania","South America")</f>
        <v>North America</v>
      </c>
      <c r="D1503" s="18" t="s">
        <v>28</v>
      </c>
      <c r="E1503" s="18" t="s">
        <v>19</v>
      </c>
      <c r="F1503" s="18" t="s">
        <v>52</v>
      </c>
      <c r="G1503" s="18" t="s">
        <v>29</v>
      </c>
      <c r="H1503" s="64">
        <f>LEN(TRIM(Table22[[#This Row],[Country]]))</f>
        <v>6</v>
      </c>
      <c r="I1503" s="64">
        <f>LEN(TRIM(Table22[[#This Row],[Continent]]))</f>
        <v>13</v>
      </c>
      <c r="J1503" s="64">
        <f>LEN(TRIM(Table22[[#This Row],[Product]]))</f>
        <v>6</v>
      </c>
      <c r="K1503" s="64">
        <f>LEN(TRIM(Table22[[#This Row],[Sales Team]]))</f>
        <v>10</v>
      </c>
      <c r="L1503" s="23">
        <v>92</v>
      </c>
      <c r="M1503" s="65" t="str" cm="1">
        <f t="array" ref="M1503">_xlfn.IFS(Table22[[#This Row],[Units Sold]]&lt;40,"Critical",Table22[[#This Row],[Units Sold]]&lt;=50,"Poor",Table22[[#This Row],[Units Sold]]&lt;=60,"Low",Table22[[#This Row],[Units Sold]]&lt;=80,"Average",Table22[[#This Row],[Units Sold]]&lt;=90,"High",Table22[[#This Row],[Units Sold]]&lt;=95,"Excellent",Table22[[#This Row],[Units Sold]]&gt;95,"Outstanding")</f>
        <v>Excellent</v>
      </c>
      <c r="N1503" s="29">
        <v>136.29</v>
      </c>
      <c r="O1503" s="29">
        <v>12538.68</v>
      </c>
      <c r="P1503" s="43">
        <f>IF(Table22[[#This Row],[Discount Applied]],Table22[[#This Row],[Total Sales (in USD)]]*(1-Table22[[#This Row],[Discount Percentage (%)]]/100),Table22[[#This Row],[Total Sales (in USD)]])</f>
        <v>10555.060824</v>
      </c>
      <c r="Q1503" s="66">
        <f>SQRT(AVERAGE((Table22[[#This Row],[Net Sales (after discount) (in USD)]]-AVERAGE(Table22[Net Sales (after discount) (in USD)]))^2))</f>
        <v>25956.299739764538</v>
      </c>
      <c r="R1503" s="18" t="b">
        <v>0</v>
      </c>
      <c r="S1503" s="40">
        <v>15.82</v>
      </c>
      <c r="T1503" s="18" t="b">
        <v>1</v>
      </c>
      <c r="U1503" s="25">
        <v>45453</v>
      </c>
      <c r="V1503" s="63" t="str">
        <f>IF(MONTH(Table22[[#This Row],[Sales Date]])&lt;=3,"Q1",IF(MONTH(Table22[[#This Row],[Sales Date]])&lt;=6,"Q2",IF(MONTH(Table22[[#This Row],[Sales Date]])&lt;=9,"Q3","Q4")))</f>
        <v>Q2</v>
      </c>
      <c r="W1503" s="64">
        <f>YEAR(Table22[[#This Row],[Sales Date]])</f>
        <v>2024</v>
      </c>
      <c r="X1503" s="23">
        <v>47</v>
      </c>
      <c r="Y1503" s="18" t="s">
        <v>23</v>
      </c>
      <c r="Z1503" s="18" t="s">
        <v>24</v>
      </c>
      <c r="AA1503" s="19" t="s">
        <v>25</v>
      </c>
    </row>
    <row r="1504" spans="1:27" x14ac:dyDescent="0.25">
      <c r="A1504" s="17" t="s">
        <v>431</v>
      </c>
      <c r="B1504" s="18" t="s">
        <v>51</v>
      </c>
      <c r="C1504" s="63" t="str" cm="1">
        <f t="array" ref="C1504">_xlfn.SWITCH(Table22[[#This Row],[Country]],"USA","North America","Canada","North America","Brazil","South America","China","Asia","Japan","Asia","India","Asia","France","Europe","Germany","Europe","UK","Europe","Australia","Oceania","South America")</f>
        <v>Europe</v>
      </c>
      <c r="D1504" s="18" t="s">
        <v>44</v>
      </c>
      <c r="E1504" s="18" t="s">
        <v>39</v>
      </c>
      <c r="F1504" s="18" t="s">
        <v>34</v>
      </c>
      <c r="G1504" s="18" t="s">
        <v>29</v>
      </c>
      <c r="H1504" s="64">
        <f>LEN(TRIM(Table22[[#This Row],[Country]]))</f>
        <v>2</v>
      </c>
      <c r="I1504" s="64">
        <f>LEN(TRIM(Table22[[#This Row],[Continent]]))</f>
        <v>6</v>
      </c>
      <c r="J1504" s="64">
        <f>LEN(TRIM(Table22[[#This Row],[Product]]))</f>
        <v>10</v>
      </c>
      <c r="K1504" s="64">
        <f>LEN(TRIM(Table22[[#This Row],[Sales Team]]))</f>
        <v>10</v>
      </c>
      <c r="L1504" s="23">
        <v>14</v>
      </c>
      <c r="M1504" s="65" t="str" cm="1">
        <f t="array" ref="M1504">_xlfn.IFS(Table22[[#This Row],[Units Sold]]&lt;40,"Critical",Table22[[#This Row],[Units Sold]]&lt;=50,"Poor",Table22[[#This Row],[Units Sold]]&lt;=60,"Low",Table22[[#This Row],[Units Sold]]&lt;=80,"Average",Table22[[#This Row],[Units Sold]]&lt;=90,"High",Table22[[#This Row],[Units Sold]]&lt;=95,"Excellent",Table22[[#This Row],[Units Sold]]&gt;95,"Outstanding")</f>
        <v>Critical</v>
      </c>
      <c r="N1504" s="29">
        <v>894.48</v>
      </c>
      <c r="O1504" s="29">
        <v>12522.72</v>
      </c>
      <c r="P1504" s="43">
        <f>IF(Table22[[#This Row],[Discount Applied]],Table22[[#This Row],[Total Sales (in USD)]]*(1-Table22[[#This Row],[Discount Percentage (%)]]/100),Table22[[#This Row],[Total Sales (in USD)]])</f>
        <v>12522.72</v>
      </c>
      <c r="Q1504" s="66">
        <f>SQRT(AVERAGE((Table22[[#This Row],[Net Sales (after discount) (in USD)]]-AVERAGE(Table22[Net Sales (after discount) (in USD)]))^2))</f>
        <v>23988.640563764537</v>
      </c>
      <c r="R1504" s="18" t="b">
        <v>1</v>
      </c>
      <c r="S1504" s="40">
        <v>22.16</v>
      </c>
      <c r="T1504" s="18" t="b">
        <v>0</v>
      </c>
      <c r="U1504" s="25">
        <v>45369</v>
      </c>
      <c r="V1504" s="63" t="str">
        <f>IF(MONTH(Table22[[#This Row],[Sales Date]])&lt;=3,"Q1",IF(MONTH(Table22[[#This Row],[Sales Date]])&lt;=6,"Q2",IF(MONTH(Table22[[#This Row],[Sales Date]])&lt;=9,"Q3","Q4")))</f>
        <v>Q1</v>
      </c>
      <c r="W1504" s="64">
        <f>YEAR(Table22[[#This Row],[Sales Date]])</f>
        <v>2024</v>
      </c>
      <c r="X1504" s="23">
        <v>52</v>
      </c>
      <c r="Y1504" s="18" t="s">
        <v>23</v>
      </c>
      <c r="Z1504" s="18" t="s">
        <v>56</v>
      </c>
      <c r="AA1504" s="19" t="s">
        <v>36</v>
      </c>
    </row>
    <row r="1505" spans="1:27" x14ac:dyDescent="0.25">
      <c r="A1505" s="17" t="s">
        <v>1582</v>
      </c>
      <c r="B1505" s="18" t="s">
        <v>72</v>
      </c>
      <c r="C1505" s="63" t="str" cm="1">
        <f t="array" ref="C1505">_xlfn.SWITCH(Table22[[#This Row],[Country]],"USA","North America","Canada","North America","Brazil","South America","China","Asia","Japan","Asia","India","Asia","France","Europe","Germany","Europe","UK","Europe","Australia","Oceania","South America")</f>
        <v>North America</v>
      </c>
      <c r="D1505" s="18" t="s">
        <v>28</v>
      </c>
      <c r="E1505" s="18" t="s">
        <v>39</v>
      </c>
      <c r="F1505" s="18" t="s">
        <v>47</v>
      </c>
      <c r="G1505" s="18" t="s">
        <v>22</v>
      </c>
      <c r="H1505" s="64">
        <f>LEN(TRIM(Table22[[#This Row],[Country]]))</f>
        <v>3</v>
      </c>
      <c r="I1505" s="64">
        <f>LEN(TRIM(Table22[[#This Row],[Continent]]))</f>
        <v>13</v>
      </c>
      <c r="J1505" s="64">
        <f>LEN(TRIM(Table22[[#This Row],[Product]]))</f>
        <v>10</v>
      </c>
      <c r="K1505" s="64">
        <f>LEN(TRIM(Table22[[#This Row],[Sales Team]]))</f>
        <v>10</v>
      </c>
      <c r="L1505" s="23">
        <v>24</v>
      </c>
      <c r="M1505" s="65" t="str" cm="1">
        <f t="array" ref="M1505">_xlfn.IFS(Table22[[#This Row],[Units Sold]]&lt;40,"Critical",Table22[[#This Row],[Units Sold]]&lt;=50,"Poor",Table22[[#This Row],[Units Sold]]&lt;=60,"Low",Table22[[#This Row],[Units Sold]]&lt;=80,"Average",Table22[[#This Row],[Units Sold]]&lt;=90,"High",Table22[[#This Row],[Units Sold]]&lt;=95,"Excellent",Table22[[#This Row],[Units Sold]]&gt;95,"Outstanding")</f>
        <v>Critical</v>
      </c>
      <c r="N1505" s="29">
        <v>520.76</v>
      </c>
      <c r="O1505" s="29">
        <v>12498.24</v>
      </c>
      <c r="P1505" s="43">
        <f>IF(Table22[[#This Row],[Discount Applied]],Table22[[#This Row],[Total Sales (in USD)]]*(1-Table22[[#This Row],[Discount Percentage (%)]]/100),Table22[[#This Row],[Total Sales (in USD)]])</f>
        <v>10318.546944</v>
      </c>
      <c r="Q1505" s="66">
        <f>SQRT(AVERAGE((Table22[[#This Row],[Net Sales (after discount) (in USD)]]-AVERAGE(Table22[Net Sales (after discount) (in USD)]))^2))</f>
        <v>26192.813619764536</v>
      </c>
      <c r="R1505" s="18" t="b">
        <v>0</v>
      </c>
      <c r="S1505" s="40">
        <v>17.440000000000001</v>
      </c>
      <c r="T1505" s="18" t="b">
        <v>1</v>
      </c>
      <c r="U1505" s="25">
        <v>45173</v>
      </c>
      <c r="V1505" s="63" t="str">
        <f>IF(MONTH(Table22[[#This Row],[Sales Date]])&lt;=3,"Q1",IF(MONTH(Table22[[#This Row],[Sales Date]])&lt;=6,"Q2",IF(MONTH(Table22[[#This Row],[Sales Date]])&lt;=9,"Q3","Q4")))</f>
        <v>Q3</v>
      </c>
      <c r="W1505" s="64">
        <f>YEAR(Table22[[#This Row],[Sales Date]])</f>
        <v>2023</v>
      </c>
      <c r="X1505" s="23">
        <v>39</v>
      </c>
      <c r="Y1505" s="18" t="s">
        <v>41</v>
      </c>
      <c r="Z1505" s="18" t="s">
        <v>56</v>
      </c>
      <c r="AA1505" s="19" t="s">
        <v>25</v>
      </c>
    </row>
    <row r="1506" spans="1:27" x14ac:dyDescent="0.25">
      <c r="A1506" s="17" t="s">
        <v>162</v>
      </c>
      <c r="B1506" s="18" t="s">
        <v>72</v>
      </c>
      <c r="C1506" s="63" t="str" cm="1">
        <f t="array" ref="C1506">_xlfn.SWITCH(Table22[[#This Row],[Country]],"USA","North America","Canada","North America","Brazil","South America","China","Asia","Japan","Asia","India","Asia","France","Europe","Germany","Europe","UK","Europe","Australia","Oceania","South America")</f>
        <v>North America</v>
      </c>
      <c r="D1506" s="18" t="s">
        <v>28</v>
      </c>
      <c r="E1506" s="18" t="s">
        <v>33</v>
      </c>
      <c r="F1506" s="18" t="s">
        <v>52</v>
      </c>
      <c r="G1506" s="18" t="s">
        <v>29</v>
      </c>
      <c r="H1506" s="64">
        <f>LEN(TRIM(Table22[[#This Row],[Country]]))</f>
        <v>3</v>
      </c>
      <c r="I1506" s="64">
        <f>LEN(TRIM(Table22[[#This Row],[Continent]]))</f>
        <v>13</v>
      </c>
      <c r="J1506" s="64">
        <f>LEN(TRIM(Table22[[#This Row],[Product]]))</f>
        <v>10</v>
      </c>
      <c r="K1506" s="64">
        <f>LEN(TRIM(Table22[[#This Row],[Sales Team]]))</f>
        <v>10</v>
      </c>
      <c r="L1506" s="23">
        <v>13</v>
      </c>
      <c r="M1506" s="65" t="str" cm="1">
        <f t="array" ref="M1506">_xlfn.IFS(Table22[[#This Row],[Units Sold]]&lt;40,"Critical",Table22[[#This Row],[Units Sold]]&lt;=50,"Poor",Table22[[#This Row],[Units Sold]]&lt;=60,"Low",Table22[[#This Row],[Units Sold]]&lt;=80,"Average",Table22[[#This Row],[Units Sold]]&lt;=90,"High",Table22[[#This Row],[Units Sold]]&lt;=95,"Excellent",Table22[[#This Row],[Units Sold]]&gt;95,"Outstanding")</f>
        <v>Critical</v>
      </c>
      <c r="N1506" s="29">
        <v>961.39</v>
      </c>
      <c r="O1506" s="29">
        <v>12498.07</v>
      </c>
      <c r="P1506" s="43">
        <f>IF(Table22[[#This Row],[Discount Applied]],Table22[[#This Row],[Total Sales (in USD)]]*(1-Table22[[#This Row],[Discount Percentage (%)]]/100),Table22[[#This Row],[Total Sales (in USD)]])</f>
        <v>12498.07</v>
      </c>
      <c r="Q1506" s="66">
        <f>SQRT(AVERAGE((Table22[[#This Row],[Net Sales (after discount) (in USD)]]-AVERAGE(Table22[Net Sales (after discount) (in USD)]))^2))</f>
        <v>24013.290563764538</v>
      </c>
      <c r="R1506" s="18" t="b">
        <v>1</v>
      </c>
      <c r="S1506" s="40">
        <v>14.06</v>
      </c>
      <c r="T1506" s="18" t="b">
        <v>0</v>
      </c>
      <c r="U1506" s="25">
        <v>45171</v>
      </c>
      <c r="V1506" s="63" t="str">
        <f>IF(MONTH(Table22[[#This Row],[Sales Date]])&lt;=3,"Q1",IF(MONTH(Table22[[#This Row],[Sales Date]])&lt;=6,"Q2",IF(MONTH(Table22[[#This Row],[Sales Date]])&lt;=9,"Q3","Q4")))</f>
        <v>Q3</v>
      </c>
      <c r="W1506" s="64">
        <f>YEAR(Table22[[#This Row],[Sales Date]])</f>
        <v>2023</v>
      </c>
      <c r="X1506" s="23">
        <v>34</v>
      </c>
      <c r="Y1506" s="18" t="s">
        <v>41</v>
      </c>
      <c r="Z1506" s="18" t="s">
        <v>56</v>
      </c>
      <c r="AA1506" s="19" t="s">
        <v>36</v>
      </c>
    </row>
    <row r="1507" spans="1:27" x14ac:dyDescent="0.25">
      <c r="A1507" s="17" t="s">
        <v>1723</v>
      </c>
      <c r="B1507" s="18" t="s">
        <v>66</v>
      </c>
      <c r="C1507" s="63" t="str" cm="1">
        <f t="array" ref="C1507">_xlfn.SWITCH(Table22[[#This Row],[Country]],"USA","North America","Canada","North America","Brazil","South America","China","Asia","Japan","Asia","India","Asia","France","Europe","Germany","Europe","UK","Europe","Australia","Oceania","South America")</f>
        <v>North America</v>
      </c>
      <c r="D1507" s="18" t="s">
        <v>44</v>
      </c>
      <c r="E1507" s="18" t="s">
        <v>39</v>
      </c>
      <c r="F1507" s="18" t="s">
        <v>34</v>
      </c>
      <c r="G1507" s="18" t="s">
        <v>22</v>
      </c>
      <c r="H1507" s="64">
        <f>LEN(TRIM(Table22[[#This Row],[Country]]))</f>
        <v>6</v>
      </c>
      <c r="I1507" s="64">
        <f>LEN(TRIM(Table22[[#This Row],[Continent]]))</f>
        <v>13</v>
      </c>
      <c r="J1507" s="64">
        <f>LEN(TRIM(Table22[[#This Row],[Product]]))</f>
        <v>10</v>
      </c>
      <c r="K1507" s="64">
        <f>LEN(TRIM(Table22[[#This Row],[Sales Team]]))</f>
        <v>10</v>
      </c>
      <c r="L1507" s="23">
        <v>16</v>
      </c>
      <c r="M1507" s="65" t="str" cm="1">
        <f t="array" ref="M1507">_xlfn.IFS(Table22[[#This Row],[Units Sold]]&lt;40,"Critical",Table22[[#This Row],[Units Sold]]&lt;=50,"Poor",Table22[[#This Row],[Units Sold]]&lt;=60,"Low",Table22[[#This Row],[Units Sold]]&lt;=80,"Average",Table22[[#This Row],[Units Sold]]&lt;=90,"High",Table22[[#This Row],[Units Sold]]&lt;=95,"Excellent",Table22[[#This Row],[Units Sold]]&gt;95,"Outstanding")</f>
        <v>Critical</v>
      </c>
      <c r="N1507" s="29">
        <v>779.73</v>
      </c>
      <c r="O1507" s="29">
        <v>12475.68</v>
      </c>
      <c r="P1507" s="43">
        <f>IF(Table22[[#This Row],[Discount Applied]],Table22[[#This Row],[Total Sales (in USD)]]*(1-Table22[[#This Row],[Discount Percentage (%)]]/100),Table22[[#This Row],[Total Sales (in USD)]])</f>
        <v>12475.68</v>
      </c>
      <c r="Q1507" s="66">
        <f>SQRT(AVERAGE((Table22[[#This Row],[Net Sales (after discount) (in USD)]]-AVERAGE(Table22[Net Sales (after discount) (in USD)]))^2))</f>
        <v>24035.680563764538</v>
      </c>
      <c r="R1507" s="18" t="b">
        <v>1</v>
      </c>
      <c r="S1507" s="40">
        <v>5.64</v>
      </c>
      <c r="T1507" s="18" t="b">
        <v>0</v>
      </c>
      <c r="U1507" s="25">
        <v>44999</v>
      </c>
      <c r="V1507" s="63" t="str">
        <f>IF(MONTH(Table22[[#This Row],[Sales Date]])&lt;=3,"Q1",IF(MONTH(Table22[[#This Row],[Sales Date]])&lt;=6,"Q2",IF(MONTH(Table22[[#This Row],[Sales Date]])&lt;=9,"Q3","Q4")))</f>
        <v>Q1</v>
      </c>
      <c r="W1507" s="64">
        <f>YEAR(Table22[[#This Row],[Sales Date]])</f>
        <v>2023</v>
      </c>
      <c r="X1507" s="23">
        <v>64</v>
      </c>
      <c r="Y1507" s="18" t="s">
        <v>23</v>
      </c>
      <c r="Z1507" s="18" t="s">
        <v>30</v>
      </c>
      <c r="AA1507" s="19" t="s">
        <v>36</v>
      </c>
    </row>
    <row r="1508" spans="1:27" x14ac:dyDescent="0.25">
      <c r="A1508" s="17" t="s">
        <v>912</v>
      </c>
      <c r="B1508" s="18" t="s">
        <v>66</v>
      </c>
      <c r="C1508" s="63" t="str" cm="1">
        <f t="array" ref="C1508">_xlfn.SWITCH(Table22[[#This Row],[Country]],"USA","North America","Canada","North America","Brazil","South America","China","Asia","Japan","Asia","India","Asia","France","Europe","Germany","Europe","UK","Europe","Australia","Oceania","South America")</f>
        <v>North America</v>
      </c>
      <c r="D1508" s="18" t="s">
        <v>44</v>
      </c>
      <c r="E1508" s="18" t="s">
        <v>39</v>
      </c>
      <c r="F1508" s="18" t="s">
        <v>64</v>
      </c>
      <c r="G1508" s="18" t="s">
        <v>40</v>
      </c>
      <c r="H1508" s="64">
        <f>LEN(TRIM(Table22[[#This Row],[Country]]))</f>
        <v>6</v>
      </c>
      <c r="I1508" s="64">
        <f>LEN(TRIM(Table22[[#This Row],[Continent]]))</f>
        <v>13</v>
      </c>
      <c r="J1508" s="64">
        <f>LEN(TRIM(Table22[[#This Row],[Product]]))</f>
        <v>10</v>
      </c>
      <c r="K1508" s="64">
        <f>LEN(TRIM(Table22[[#This Row],[Sales Team]]))</f>
        <v>10</v>
      </c>
      <c r="L1508" s="23">
        <v>47</v>
      </c>
      <c r="M1508" s="65" t="str" cm="1">
        <f t="array" ref="M1508">_xlfn.IFS(Table22[[#This Row],[Units Sold]]&lt;40,"Critical",Table22[[#This Row],[Units Sold]]&lt;=50,"Poor",Table22[[#This Row],[Units Sold]]&lt;=60,"Low",Table22[[#This Row],[Units Sold]]&lt;=80,"Average",Table22[[#This Row],[Units Sold]]&lt;=90,"High",Table22[[#This Row],[Units Sold]]&lt;=95,"Excellent",Table22[[#This Row],[Units Sold]]&gt;95,"Outstanding")</f>
        <v>Poor</v>
      </c>
      <c r="N1508" s="29">
        <v>265.18</v>
      </c>
      <c r="O1508" s="29">
        <v>12463.46</v>
      </c>
      <c r="P1508" s="43">
        <f>IF(Table22[[#This Row],[Discount Applied]],Table22[[#This Row],[Total Sales (in USD)]]*(1-Table22[[#This Row],[Discount Percentage (%)]]/100),Table22[[#This Row],[Total Sales (in USD)]])</f>
        <v>9209.2505939999992</v>
      </c>
      <c r="Q1508" s="66">
        <f>SQRT(AVERAGE((Table22[[#This Row],[Net Sales (after discount) (in USD)]]-AVERAGE(Table22[Net Sales (after discount) (in USD)]))^2))</f>
        <v>27302.10996976454</v>
      </c>
      <c r="R1508" s="18" t="b">
        <v>1</v>
      </c>
      <c r="S1508" s="40">
        <v>26.11</v>
      </c>
      <c r="T1508" s="18" t="b">
        <v>1</v>
      </c>
      <c r="U1508" s="25">
        <v>45224</v>
      </c>
      <c r="V1508" s="63" t="str">
        <f>IF(MONTH(Table22[[#This Row],[Sales Date]])&lt;=3,"Q1",IF(MONTH(Table22[[#This Row],[Sales Date]])&lt;=6,"Q2",IF(MONTH(Table22[[#This Row],[Sales Date]])&lt;=9,"Q3","Q4")))</f>
        <v>Q4</v>
      </c>
      <c r="W1508" s="64">
        <f>YEAR(Table22[[#This Row],[Sales Date]])</f>
        <v>2023</v>
      </c>
      <c r="X1508" s="23">
        <v>41</v>
      </c>
      <c r="Y1508" s="18" t="s">
        <v>49</v>
      </c>
      <c r="Z1508" s="18" t="s">
        <v>42</v>
      </c>
      <c r="AA1508" s="19" t="s">
        <v>25</v>
      </c>
    </row>
    <row r="1509" spans="1:27" x14ac:dyDescent="0.25">
      <c r="A1509" s="17" t="s">
        <v>1029</v>
      </c>
      <c r="B1509" s="18" t="s">
        <v>32</v>
      </c>
      <c r="C1509" s="63" t="str" cm="1">
        <f t="array" ref="C1509">_xlfn.SWITCH(Table22[[#This Row],[Country]],"USA","North America","Canada","North America","Brazil","South America","China","Asia","Japan","Asia","India","Asia","France","Europe","Germany","Europe","UK","Europe","Australia","Oceania","South America")</f>
        <v>Asia</v>
      </c>
      <c r="D1509" s="18" t="s">
        <v>21</v>
      </c>
      <c r="E1509" s="18" t="s">
        <v>39</v>
      </c>
      <c r="F1509" s="18" t="s">
        <v>20</v>
      </c>
      <c r="G1509" s="18" t="s">
        <v>48</v>
      </c>
      <c r="H1509" s="64">
        <f>LEN(TRIM(Table22[[#This Row],[Country]]))</f>
        <v>5</v>
      </c>
      <c r="I1509" s="64">
        <f>LEN(TRIM(Table22[[#This Row],[Continent]]))</f>
        <v>4</v>
      </c>
      <c r="J1509" s="64">
        <f>LEN(TRIM(Table22[[#This Row],[Product]]))</f>
        <v>10</v>
      </c>
      <c r="K1509" s="64">
        <f>LEN(TRIM(Table22[[#This Row],[Sales Team]]))</f>
        <v>9</v>
      </c>
      <c r="L1509" s="23">
        <v>24</v>
      </c>
      <c r="M1509" s="65" t="str" cm="1">
        <f t="array" ref="M1509">_xlfn.IFS(Table22[[#This Row],[Units Sold]]&lt;40,"Critical",Table22[[#This Row],[Units Sold]]&lt;=50,"Poor",Table22[[#This Row],[Units Sold]]&lt;=60,"Low",Table22[[#This Row],[Units Sold]]&lt;=80,"Average",Table22[[#This Row],[Units Sold]]&lt;=90,"High",Table22[[#This Row],[Units Sold]]&lt;=95,"Excellent",Table22[[#This Row],[Units Sold]]&gt;95,"Outstanding")</f>
        <v>Critical</v>
      </c>
      <c r="N1509" s="29">
        <v>519.05999999999995</v>
      </c>
      <c r="O1509" s="29">
        <v>12457.44</v>
      </c>
      <c r="P1509" s="43">
        <f>IF(Table22[[#This Row],[Discount Applied]],Table22[[#This Row],[Total Sales (in USD)]]*(1-Table22[[#This Row],[Discount Percentage (%)]]/100),Table22[[#This Row],[Total Sales (in USD)]])</f>
        <v>10273.650768</v>
      </c>
      <c r="Q1509" s="66">
        <f>SQRT(AVERAGE((Table22[[#This Row],[Net Sales (after discount) (in USD)]]-AVERAGE(Table22[Net Sales (after discount) (in USD)]))^2))</f>
        <v>26237.709795764538</v>
      </c>
      <c r="R1509" s="18" t="b">
        <v>1</v>
      </c>
      <c r="S1509" s="40">
        <v>17.53</v>
      </c>
      <c r="T1509" s="18" t="b">
        <v>1</v>
      </c>
      <c r="U1509" s="25">
        <v>45124</v>
      </c>
      <c r="V1509" s="63" t="str">
        <f>IF(MONTH(Table22[[#This Row],[Sales Date]])&lt;=3,"Q1",IF(MONTH(Table22[[#This Row],[Sales Date]])&lt;=6,"Q2",IF(MONTH(Table22[[#This Row],[Sales Date]])&lt;=9,"Q3","Q4")))</f>
        <v>Q3</v>
      </c>
      <c r="W1509" s="64">
        <f>YEAR(Table22[[#This Row],[Sales Date]])</f>
        <v>2023</v>
      </c>
      <c r="X1509" s="23">
        <v>48</v>
      </c>
      <c r="Y1509" s="18" t="s">
        <v>41</v>
      </c>
      <c r="Z1509" s="18" t="s">
        <v>30</v>
      </c>
      <c r="AA1509" s="19" t="s">
        <v>25</v>
      </c>
    </row>
    <row r="1510" spans="1:27" x14ac:dyDescent="0.25">
      <c r="A1510" s="17" t="s">
        <v>2018</v>
      </c>
      <c r="B1510" s="18" t="s">
        <v>51</v>
      </c>
      <c r="C1510" s="63" t="str" cm="1">
        <f t="array" ref="C1510">_xlfn.SWITCH(Table22[[#This Row],[Country]],"USA","North America","Canada","North America","Brazil","South America","China","Asia","Japan","Asia","India","Asia","France","Europe","Germany","Europe","UK","Europe","Australia","Oceania","South America")</f>
        <v>Europe</v>
      </c>
      <c r="D1510" s="18" t="s">
        <v>35</v>
      </c>
      <c r="E1510" s="18" t="s">
        <v>39</v>
      </c>
      <c r="F1510" s="18" t="s">
        <v>47</v>
      </c>
      <c r="G1510" s="18" t="s">
        <v>40</v>
      </c>
      <c r="H1510" s="64">
        <f>LEN(TRIM(Table22[[#This Row],[Country]]))</f>
        <v>2</v>
      </c>
      <c r="I1510" s="64">
        <f>LEN(TRIM(Table22[[#This Row],[Continent]]))</f>
        <v>6</v>
      </c>
      <c r="J1510" s="64">
        <f>LEN(TRIM(Table22[[#This Row],[Product]]))</f>
        <v>10</v>
      </c>
      <c r="K1510" s="64">
        <f>LEN(TRIM(Table22[[#This Row],[Sales Team]]))</f>
        <v>10</v>
      </c>
      <c r="L1510" s="23">
        <v>99</v>
      </c>
      <c r="M1510" s="65" t="str" cm="1">
        <f t="array" ref="M1510">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510" s="29">
        <v>125.76</v>
      </c>
      <c r="O1510" s="29">
        <v>12450.24</v>
      </c>
      <c r="P1510" s="43">
        <f>IF(Table22[[#This Row],[Discount Applied]],Table22[[#This Row],[Total Sales (in USD)]]*(1-Table22[[#This Row],[Discount Percentage (%)]]/100),Table22[[#This Row],[Total Sales (in USD)]])</f>
        <v>12450.24</v>
      </c>
      <c r="Q1510" s="66">
        <f>SQRT(AVERAGE((Table22[[#This Row],[Net Sales (after discount) (in USD)]]-AVERAGE(Table22[Net Sales (after discount) (in USD)]))^2))</f>
        <v>24061.12056376454</v>
      </c>
      <c r="R1510" s="18" t="b">
        <v>1</v>
      </c>
      <c r="S1510" s="40">
        <v>8.5</v>
      </c>
      <c r="T1510" s="18" t="b">
        <v>0</v>
      </c>
      <c r="U1510" s="25">
        <v>44935</v>
      </c>
      <c r="V1510" s="63" t="str">
        <f>IF(MONTH(Table22[[#This Row],[Sales Date]])&lt;=3,"Q1",IF(MONTH(Table22[[#This Row],[Sales Date]])&lt;=6,"Q2",IF(MONTH(Table22[[#This Row],[Sales Date]])&lt;=9,"Q3","Q4")))</f>
        <v>Q1</v>
      </c>
      <c r="W1510" s="64">
        <f>YEAR(Table22[[#This Row],[Sales Date]])</f>
        <v>2023</v>
      </c>
      <c r="X1510" s="23">
        <v>20</v>
      </c>
      <c r="Y1510" s="18" t="s">
        <v>49</v>
      </c>
      <c r="Z1510" s="18" t="s">
        <v>56</v>
      </c>
      <c r="AA1510" s="19" t="s">
        <v>25</v>
      </c>
    </row>
    <row r="1511" spans="1:27" x14ac:dyDescent="0.25">
      <c r="A1511" s="17" t="s">
        <v>1613</v>
      </c>
      <c r="B1511" s="18" t="s">
        <v>72</v>
      </c>
      <c r="C1511" s="63" t="str" cm="1">
        <f t="array" ref="C1511">_xlfn.SWITCH(Table22[[#This Row],[Country]],"USA","North America","Canada","North America","Brazil","South America","China","Asia","Japan","Asia","India","Asia","France","Europe","Germany","Europe","UK","Europe","Australia","Oceania","South America")</f>
        <v>North America</v>
      </c>
      <c r="D1511" s="18" t="s">
        <v>35</v>
      </c>
      <c r="E1511" s="18" t="s">
        <v>39</v>
      </c>
      <c r="F1511" s="18" t="s">
        <v>47</v>
      </c>
      <c r="G1511" s="18" t="s">
        <v>40</v>
      </c>
      <c r="H1511" s="64">
        <f>LEN(TRIM(Table22[[#This Row],[Country]]))</f>
        <v>3</v>
      </c>
      <c r="I1511" s="64">
        <f>LEN(TRIM(Table22[[#This Row],[Continent]]))</f>
        <v>13</v>
      </c>
      <c r="J1511" s="64">
        <f>LEN(TRIM(Table22[[#This Row],[Product]]))</f>
        <v>10</v>
      </c>
      <c r="K1511" s="64">
        <f>LEN(TRIM(Table22[[#This Row],[Sales Team]]))</f>
        <v>10</v>
      </c>
      <c r="L1511" s="23">
        <v>94</v>
      </c>
      <c r="M1511" s="65" t="str" cm="1">
        <f t="array" ref="M1511">_xlfn.IFS(Table22[[#This Row],[Units Sold]]&lt;40,"Critical",Table22[[#This Row],[Units Sold]]&lt;=50,"Poor",Table22[[#This Row],[Units Sold]]&lt;=60,"Low",Table22[[#This Row],[Units Sold]]&lt;=80,"Average",Table22[[#This Row],[Units Sold]]&lt;=90,"High",Table22[[#This Row],[Units Sold]]&lt;=95,"Excellent",Table22[[#This Row],[Units Sold]]&gt;95,"Outstanding")</f>
        <v>Excellent</v>
      </c>
      <c r="N1511" s="29">
        <v>132.24</v>
      </c>
      <c r="O1511" s="29">
        <v>12430.56</v>
      </c>
      <c r="P1511" s="43">
        <f>IF(Table22[[#This Row],[Discount Applied]],Table22[[#This Row],[Total Sales (in USD)]]*(1-Table22[[#This Row],[Discount Percentage (%)]]/100),Table22[[#This Row],[Total Sales (in USD)]])</f>
        <v>12430.56</v>
      </c>
      <c r="Q1511" s="66">
        <f>SQRT(AVERAGE((Table22[[#This Row],[Net Sales (after discount) (in USD)]]-AVERAGE(Table22[Net Sales (after discount) (in USD)]))^2))</f>
        <v>24080.80056376454</v>
      </c>
      <c r="R1511" s="18" t="b">
        <v>1</v>
      </c>
      <c r="S1511" s="40">
        <v>5.37</v>
      </c>
      <c r="T1511" s="18" t="b">
        <v>0</v>
      </c>
      <c r="U1511" s="25">
        <v>45146</v>
      </c>
      <c r="V1511" s="63" t="str">
        <f>IF(MONTH(Table22[[#This Row],[Sales Date]])&lt;=3,"Q1",IF(MONTH(Table22[[#This Row],[Sales Date]])&lt;=6,"Q2",IF(MONTH(Table22[[#This Row],[Sales Date]])&lt;=9,"Q3","Q4")))</f>
        <v>Q3</v>
      </c>
      <c r="W1511" s="64">
        <f>YEAR(Table22[[#This Row],[Sales Date]])</f>
        <v>2023</v>
      </c>
      <c r="X1511" s="23">
        <v>35</v>
      </c>
      <c r="Y1511" s="18" t="s">
        <v>23</v>
      </c>
      <c r="Z1511" s="18" t="s">
        <v>42</v>
      </c>
      <c r="AA1511" s="19" t="s">
        <v>36</v>
      </c>
    </row>
    <row r="1512" spans="1:27" x14ac:dyDescent="0.25">
      <c r="A1512" s="17" t="s">
        <v>1049</v>
      </c>
      <c r="B1512" s="18" t="s">
        <v>32</v>
      </c>
      <c r="C1512" s="63" t="str" cm="1">
        <f t="array" ref="C1512">_xlfn.SWITCH(Table22[[#This Row],[Country]],"USA","North America","Canada","North America","Brazil","South America","China","Asia","Japan","Asia","India","Asia","France","Europe","Germany","Europe","UK","Europe","Australia","Oceania","South America")</f>
        <v>Asia</v>
      </c>
      <c r="D1512" s="18" t="s">
        <v>28</v>
      </c>
      <c r="E1512" s="18" t="s">
        <v>19</v>
      </c>
      <c r="F1512" s="18" t="s">
        <v>20</v>
      </c>
      <c r="G1512" s="18" t="s">
        <v>22</v>
      </c>
      <c r="H1512" s="64">
        <f>LEN(TRIM(Table22[[#This Row],[Country]]))</f>
        <v>5</v>
      </c>
      <c r="I1512" s="64">
        <f>LEN(TRIM(Table22[[#This Row],[Continent]]))</f>
        <v>4</v>
      </c>
      <c r="J1512" s="64">
        <f>LEN(TRIM(Table22[[#This Row],[Product]]))</f>
        <v>6</v>
      </c>
      <c r="K1512" s="64">
        <f>LEN(TRIM(Table22[[#This Row],[Sales Team]]))</f>
        <v>10</v>
      </c>
      <c r="L1512" s="23">
        <v>26</v>
      </c>
      <c r="M1512" s="65" t="str" cm="1">
        <f t="array" ref="M1512">_xlfn.IFS(Table22[[#This Row],[Units Sold]]&lt;40,"Critical",Table22[[#This Row],[Units Sold]]&lt;=50,"Poor",Table22[[#This Row],[Units Sold]]&lt;=60,"Low",Table22[[#This Row],[Units Sold]]&lt;=80,"Average",Table22[[#This Row],[Units Sold]]&lt;=90,"High",Table22[[#This Row],[Units Sold]]&lt;=95,"Excellent",Table22[[#This Row],[Units Sold]]&gt;95,"Outstanding")</f>
        <v>Critical</v>
      </c>
      <c r="N1512" s="29">
        <v>476.73</v>
      </c>
      <c r="O1512" s="29">
        <v>12394.98</v>
      </c>
      <c r="P1512" s="43">
        <f>IF(Table22[[#This Row],[Discount Applied]],Table22[[#This Row],[Total Sales (in USD)]]*(1-Table22[[#This Row],[Discount Percentage (%)]]/100),Table22[[#This Row],[Total Sales (in USD)]])</f>
        <v>12394.98</v>
      </c>
      <c r="Q1512" s="66">
        <f>SQRT(AVERAGE((Table22[[#This Row],[Net Sales (after discount) (in USD)]]-AVERAGE(Table22[Net Sales (after discount) (in USD)]))^2))</f>
        <v>24116.380563764538</v>
      </c>
      <c r="R1512" s="18" t="b">
        <v>1</v>
      </c>
      <c r="S1512" s="40">
        <v>4.05</v>
      </c>
      <c r="T1512" s="18" t="b">
        <v>0</v>
      </c>
      <c r="U1512" s="25">
        <v>44939</v>
      </c>
      <c r="V1512" s="63" t="str">
        <f>IF(MONTH(Table22[[#This Row],[Sales Date]])&lt;=3,"Q1",IF(MONTH(Table22[[#This Row],[Sales Date]])&lt;=6,"Q2",IF(MONTH(Table22[[#This Row],[Sales Date]])&lt;=9,"Q3","Q4")))</f>
        <v>Q1</v>
      </c>
      <c r="W1512" s="64">
        <f>YEAR(Table22[[#This Row],[Sales Date]])</f>
        <v>2023</v>
      </c>
      <c r="X1512" s="23">
        <v>25</v>
      </c>
      <c r="Y1512" s="18" t="s">
        <v>49</v>
      </c>
      <c r="Z1512" s="18" t="s">
        <v>56</v>
      </c>
      <c r="AA1512" s="19" t="s">
        <v>25</v>
      </c>
    </row>
    <row r="1513" spans="1:27" x14ac:dyDescent="0.25">
      <c r="A1513" s="17" t="s">
        <v>143</v>
      </c>
      <c r="B1513" s="18" t="s">
        <v>72</v>
      </c>
      <c r="C1513" s="63" t="str" cm="1">
        <f t="array" ref="C1513">_xlfn.SWITCH(Table22[[#This Row],[Country]],"USA","North America","Canada","North America","Brazil","South America","China","Asia","Japan","Asia","India","Asia","France","Europe","Germany","Europe","UK","Europe","Australia","Oceania","South America")</f>
        <v>North America</v>
      </c>
      <c r="D1513" s="18" t="s">
        <v>21</v>
      </c>
      <c r="E1513" s="18" t="s">
        <v>33</v>
      </c>
      <c r="F1513" s="18" t="s">
        <v>52</v>
      </c>
      <c r="G1513" s="18" t="s">
        <v>22</v>
      </c>
      <c r="H1513" s="64">
        <f>LEN(TRIM(Table22[[#This Row],[Country]]))</f>
        <v>3</v>
      </c>
      <c r="I1513" s="64">
        <f>LEN(TRIM(Table22[[#This Row],[Continent]]))</f>
        <v>13</v>
      </c>
      <c r="J1513" s="64">
        <f>LEN(TRIM(Table22[[#This Row],[Product]]))</f>
        <v>10</v>
      </c>
      <c r="K1513" s="64">
        <f>LEN(TRIM(Table22[[#This Row],[Sales Team]]))</f>
        <v>10</v>
      </c>
      <c r="L1513" s="23">
        <v>70</v>
      </c>
      <c r="M1513" s="65" t="str" cm="1">
        <f t="array" ref="M1513">_xlfn.IFS(Table22[[#This Row],[Units Sold]]&lt;40,"Critical",Table22[[#This Row],[Units Sold]]&lt;=50,"Poor",Table22[[#This Row],[Units Sold]]&lt;=60,"Low",Table22[[#This Row],[Units Sold]]&lt;=80,"Average",Table22[[#This Row],[Units Sold]]&lt;=90,"High",Table22[[#This Row],[Units Sold]]&lt;=95,"Excellent",Table22[[#This Row],[Units Sold]]&gt;95,"Outstanding")</f>
        <v>Average</v>
      </c>
      <c r="N1513" s="29">
        <v>176.98</v>
      </c>
      <c r="O1513" s="29">
        <v>12388.6</v>
      </c>
      <c r="P1513" s="43">
        <f>IF(Table22[[#This Row],[Discount Applied]],Table22[[#This Row],[Total Sales (in USD)]]*(1-Table22[[#This Row],[Discount Percentage (%)]]/100),Table22[[#This Row],[Total Sales (in USD)]])</f>
        <v>12388.6</v>
      </c>
      <c r="Q1513" s="66">
        <f>SQRT(AVERAGE((Table22[[#This Row],[Net Sales (after discount) (in USD)]]-AVERAGE(Table22[Net Sales (after discount) (in USD)]))^2))</f>
        <v>24122.760563764539</v>
      </c>
      <c r="R1513" s="18" t="b">
        <v>1</v>
      </c>
      <c r="S1513" s="40">
        <v>19.38</v>
      </c>
      <c r="T1513" s="18" t="b">
        <v>0</v>
      </c>
      <c r="U1513" s="25">
        <v>45230</v>
      </c>
      <c r="V1513" s="63" t="str">
        <f>IF(MONTH(Table22[[#This Row],[Sales Date]])&lt;=3,"Q1",IF(MONTH(Table22[[#This Row],[Sales Date]])&lt;=6,"Q2",IF(MONTH(Table22[[#This Row],[Sales Date]])&lt;=9,"Q3","Q4")))</f>
        <v>Q4</v>
      </c>
      <c r="W1513" s="64">
        <f>YEAR(Table22[[#This Row],[Sales Date]])</f>
        <v>2023</v>
      </c>
      <c r="X1513" s="23">
        <v>58</v>
      </c>
      <c r="Y1513" s="18" t="s">
        <v>49</v>
      </c>
      <c r="Z1513" s="18" t="s">
        <v>24</v>
      </c>
      <c r="AA1513" s="19" t="s">
        <v>36</v>
      </c>
    </row>
    <row r="1514" spans="1:27" x14ac:dyDescent="0.25">
      <c r="A1514" s="17" t="s">
        <v>1114</v>
      </c>
      <c r="B1514" s="18" t="s">
        <v>62</v>
      </c>
      <c r="C1514" s="63" t="str" cm="1">
        <f t="array" ref="C1514">_xlfn.SWITCH(Table22[[#This Row],[Country]],"USA","North America","Canada","North America","Brazil","South America","China","Asia","Japan","Asia","India","Asia","France","Europe","Germany","Europe","UK","Europe","Australia","Oceania","South America")</f>
        <v>Oceania</v>
      </c>
      <c r="D1514" s="18" t="s">
        <v>21</v>
      </c>
      <c r="E1514" s="18" t="s">
        <v>33</v>
      </c>
      <c r="F1514" s="18" t="s">
        <v>20</v>
      </c>
      <c r="G1514" s="18" t="s">
        <v>48</v>
      </c>
      <c r="H1514" s="64">
        <f>LEN(TRIM(Table22[[#This Row],[Country]]))</f>
        <v>9</v>
      </c>
      <c r="I1514" s="64">
        <f>LEN(TRIM(Table22[[#This Row],[Continent]]))</f>
        <v>7</v>
      </c>
      <c r="J1514" s="64">
        <f>LEN(TRIM(Table22[[#This Row],[Product]]))</f>
        <v>10</v>
      </c>
      <c r="K1514" s="64">
        <f>LEN(TRIM(Table22[[#This Row],[Sales Team]]))</f>
        <v>9</v>
      </c>
      <c r="L1514" s="23">
        <v>10</v>
      </c>
      <c r="M1514" s="65" t="str" cm="1">
        <f t="array" ref="M1514">_xlfn.IFS(Table22[[#This Row],[Units Sold]]&lt;40,"Critical",Table22[[#This Row],[Units Sold]]&lt;=50,"Poor",Table22[[#This Row],[Units Sold]]&lt;=60,"Low",Table22[[#This Row],[Units Sold]]&lt;=80,"Average",Table22[[#This Row],[Units Sold]]&lt;=90,"High",Table22[[#This Row],[Units Sold]]&lt;=95,"Excellent",Table22[[#This Row],[Units Sold]]&gt;95,"Outstanding")</f>
        <v>Critical</v>
      </c>
      <c r="N1514" s="29">
        <v>1235.25</v>
      </c>
      <c r="O1514" s="29">
        <v>12352.5</v>
      </c>
      <c r="P1514" s="43">
        <f>IF(Table22[[#This Row],[Discount Applied]],Table22[[#This Row],[Total Sales (in USD)]]*(1-Table22[[#This Row],[Discount Percentage (%)]]/100),Table22[[#This Row],[Total Sales (in USD)]])</f>
        <v>9568.2464999999993</v>
      </c>
      <c r="Q1514" s="66">
        <f>SQRT(AVERAGE((Table22[[#This Row],[Net Sales (after discount) (in USD)]]-AVERAGE(Table22[Net Sales (after discount) (in USD)]))^2))</f>
        <v>26943.114063764537</v>
      </c>
      <c r="R1514" s="18" t="b">
        <v>1</v>
      </c>
      <c r="S1514" s="40">
        <v>22.54</v>
      </c>
      <c r="T1514" s="18" t="b">
        <v>1</v>
      </c>
      <c r="U1514" s="25">
        <v>45367</v>
      </c>
      <c r="V1514" s="63" t="str">
        <f>IF(MONTH(Table22[[#This Row],[Sales Date]])&lt;=3,"Q1",IF(MONTH(Table22[[#This Row],[Sales Date]])&lt;=6,"Q2",IF(MONTH(Table22[[#This Row],[Sales Date]])&lt;=9,"Q3","Q4")))</f>
        <v>Q1</v>
      </c>
      <c r="W1514" s="64">
        <f>YEAR(Table22[[#This Row],[Sales Date]])</f>
        <v>2024</v>
      </c>
      <c r="X1514" s="23">
        <v>61</v>
      </c>
      <c r="Y1514" s="18" t="s">
        <v>49</v>
      </c>
      <c r="Z1514" s="18" t="s">
        <v>30</v>
      </c>
      <c r="AA1514" s="19" t="s">
        <v>36</v>
      </c>
    </row>
    <row r="1515" spans="1:27" x14ac:dyDescent="0.25">
      <c r="A1515" s="17" t="s">
        <v>1331</v>
      </c>
      <c r="B1515" s="18" t="s">
        <v>18</v>
      </c>
      <c r="C1515" s="63" t="str" cm="1">
        <f t="array" ref="C1515">_xlfn.SWITCH(Table22[[#This Row],[Country]],"USA","North America","Canada","North America","Brazil","South America","China","Asia","Japan","Asia","India","Asia","France","Europe","Germany","Europe","UK","Europe","Australia","Oceania","South America")</f>
        <v>Asia</v>
      </c>
      <c r="D1515" s="18" t="s">
        <v>21</v>
      </c>
      <c r="E1515" s="18" t="s">
        <v>33</v>
      </c>
      <c r="F1515" s="18" t="s">
        <v>34</v>
      </c>
      <c r="G1515" s="18" t="s">
        <v>40</v>
      </c>
      <c r="H1515" s="64">
        <f>LEN(TRIM(Table22[[#This Row],[Country]]))</f>
        <v>5</v>
      </c>
      <c r="I1515" s="64">
        <f>LEN(TRIM(Table22[[#This Row],[Continent]]))</f>
        <v>4</v>
      </c>
      <c r="J1515" s="64">
        <f>LEN(TRIM(Table22[[#This Row],[Product]]))</f>
        <v>10</v>
      </c>
      <c r="K1515" s="64">
        <f>LEN(TRIM(Table22[[#This Row],[Sales Team]]))</f>
        <v>10</v>
      </c>
      <c r="L1515" s="23">
        <v>9</v>
      </c>
      <c r="M1515" s="65" t="str" cm="1">
        <f t="array" ref="M1515">_xlfn.IFS(Table22[[#This Row],[Units Sold]]&lt;40,"Critical",Table22[[#This Row],[Units Sold]]&lt;=50,"Poor",Table22[[#This Row],[Units Sold]]&lt;=60,"Low",Table22[[#This Row],[Units Sold]]&lt;=80,"Average",Table22[[#This Row],[Units Sold]]&lt;=90,"High",Table22[[#This Row],[Units Sold]]&lt;=95,"Excellent",Table22[[#This Row],[Units Sold]]&gt;95,"Outstanding")</f>
        <v>Critical</v>
      </c>
      <c r="N1515" s="29">
        <v>1370.77</v>
      </c>
      <c r="O1515" s="29">
        <v>12336.93</v>
      </c>
      <c r="P1515" s="43">
        <f>IF(Table22[[#This Row],[Discount Applied]],Table22[[#This Row],[Total Sales (in USD)]]*(1-Table22[[#This Row],[Discount Percentage (%)]]/100),Table22[[#This Row],[Total Sales (in USD)]])</f>
        <v>12336.93</v>
      </c>
      <c r="Q1515" s="66">
        <f>SQRT(AVERAGE((Table22[[#This Row],[Net Sales (after discount) (in USD)]]-AVERAGE(Table22[Net Sales (after discount) (in USD)]))^2))</f>
        <v>24174.430563764538</v>
      </c>
      <c r="R1515" s="18" t="b">
        <v>1</v>
      </c>
      <c r="S1515" s="40">
        <v>18.079999999999998</v>
      </c>
      <c r="T1515" s="18" t="b">
        <v>0</v>
      </c>
      <c r="U1515" s="25">
        <v>45378</v>
      </c>
      <c r="V1515" s="63" t="str">
        <f>IF(MONTH(Table22[[#This Row],[Sales Date]])&lt;=3,"Q1",IF(MONTH(Table22[[#This Row],[Sales Date]])&lt;=6,"Q2",IF(MONTH(Table22[[#This Row],[Sales Date]])&lt;=9,"Q3","Q4")))</f>
        <v>Q1</v>
      </c>
      <c r="W1515" s="64">
        <f>YEAR(Table22[[#This Row],[Sales Date]])</f>
        <v>2024</v>
      </c>
      <c r="X1515" s="23">
        <v>64</v>
      </c>
      <c r="Y1515" s="18" t="s">
        <v>23</v>
      </c>
      <c r="Z1515" s="18" t="s">
        <v>24</v>
      </c>
      <c r="AA1515" s="19" t="s">
        <v>25</v>
      </c>
    </row>
    <row r="1516" spans="1:27" x14ac:dyDescent="0.25">
      <c r="A1516" s="17" t="s">
        <v>779</v>
      </c>
      <c r="B1516" s="18" t="s">
        <v>38</v>
      </c>
      <c r="C1516" s="63" t="str" cm="1">
        <f t="array" ref="C1516">_xlfn.SWITCH(Table22[[#This Row],[Country]],"USA","North America","Canada","North America","Brazil","South America","China","Asia","Japan","Asia","India","Asia","France","Europe","Germany","Europe","UK","Europe","Australia","Oceania","South America")</f>
        <v>Europe</v>
      </c>
      <c r="D1516" s="18" t="s">
        <v>21</v>
      </c>
      <c r="E1516" s="18" t="s">
        <v>19</v>
      </c>
      <c r="F1516" s="18" t="s">
        <v>64</v>
      </c>
      <c r="G1516" s="18" t="s">
        <v>29</v>
      </c>
      <c r="H1516" s="64">
        <f>LEN(TRIM(Table22[[#This Row],[Country]]))</f>
        <v>6</v>
      </c>
      <c r="I1516" s="64">
        <f>LEN(TRIM(Table22[[#This Row],[Continent]]))</f>
        <v>6</v>
      </c>
      <c r="J1516" s="64">
        <f>LEN(TRIM(Table22[[#This Row],[Product]]))</f>
        <v>6</v>
      </c>
      <c r="K1516" s="64">
        <f>LEN(TRIM(Table22[[#This Row],[Sales Team]]))</f>
        <v>10</v>
      </c>
      <c r="L1516" s="23">
        <v>23</v>
      </c>
      <c r="M1516" s="65" t="str" cm="1">
        <f t="array" ref="M1516">_xlfn.IFS(Table22[[#This Row],[Units Sold]]&lt;40,"Critical",Table22[[#This Row],[Units Sold]]&lt;=50,"Poor",Table22[[#This Row],[Units Sold]]&lt;=60,"Low",Table22[[#This Row],[Units Sold]]&lt;=80,"Average",Table22[[#This Row],[Units Sold]]&lt;=90,"High",Table22[[#This Row],[Units Sold]]&lt;=95,"Excellent",Table22[[#This Row],[Units Sold]]&gt;95,"Outstanding")</f>
        <v>Critical</v>
      </c>
      <c r="N1516" s="29">
        <v>536.23</v>
      </c>
      <c r="O1516" s="29">
        <v>12333.29</v>
      </c>
      <c r="P1516" s="43">
        <f>IF(Table22[[#This Row],[Discount Applied]],Table22[[#This Row],[Total Sales (in USD)]]*(1-Table22[[#This Row],[Discount Percentage (%)]]/100),Table22[[#This Row],[Total Sales (in USD)]])</f>
        <v>10678.162482000002</v>
      </c>
      <c r="Q1516" s="66">
        <f>SQRT(AVERAGE((Table22[[#This Row],[Net Sales (after discount) (in USD)]]-AVERAGE(Table22[Net Sales (after discount) (in USD)]))^2))</f>
        <v>25833.198081764538</v>
      </c>
      <c r="R1516" s="18" t="b">
        <v>0</v>
      </c>
      <c r="S1516" s="40">
        <v>13.42</v>
      </c>
      <c r="T1516" s="18" t="b">
        <v>1</v>
      </c>
      <c r="U1516" s="25">
        <v>45583</v>
      </c>
      <c r="V1516" s="63" t="str">
        <f>IF(MONTH(Table22[[#This Row],[Sales Date]])&lt;=3,"Q1",IF(MONTH(Table22[[#This Row],[Sales Date]])&lt;=6,"Q2",IF(MONTH(Table22[[#This Row],[Sales Date]])&lt;=9,"Q3","Q4")))</f>
        <v>Q4</v>
      </c>
      <c r="W1516" s="64">
        <f>YEAR(Table22[[#This Row],[Sales Date]])</f>
        <v>2024</v>
      </c>
      <c r="X1516" s="23">
        <v>53</v>
      </c>
      <c r="Y1516" s="18" t="s">
        <v>23</v>
      </c>
      <c r="Z1516" s="18" t="s">
        <v>24</v>
      </c>
      <c r="AA1516" s="19" t="s">
        <v>36</v>
      </c>
    </row>
    <row r="1517" spans="1:27" x14ac:dyDescent="0.25">
      <c r="A1517" s="17" t="s">
        <v>940</v>
      </c>
      <c r="B1517" s="18" t="s">
        <v>66</v>
      </c>
      <c r="C1517" s="63" t="str" cm="1">
        <f t="array" ref="C1517">_xlfn.SWITCH(Table22[[#This Row],[Country]],"USA","North America","Canada","North America","Brazil","South America","China","Asia","Japan","Asia","India","Asia","France","Europe","Germany","Europe","UK","Europe","Australia","Oceania","South America")</f>
        <v>North America</v>
      </c>
      <c r="D1517" s="18" t="s">
        <v>28</v>
      </c>
      <c r="E1517" s="18" t="s">
        <v>19</v>
      </c>
      <c r="F1517" s="18" t="s">
        <v>20</v>
      </c>
      <c r="G1517" s="18" t="s">
        <v>29</v>
      </c>
      <c r="H1517" s="64">
        <f>LEN(TRIM(Table22[[#This Row],[Country]]))</f>
        <v>6</v>
      </c>
      <c r="I1517" s="64">
        <f>LEN(TRIM(Table22[[#This Row],[Continent]]))</f>
        <v>13</v>
      </c>
      <c r="J1517" s="64">
        <f>LEN(TRIM(Table22[[#This Row],[Product]]))</f>
        <v>6</v>
      </c>
      <c r="K1517" s="64">
        <f>LEN(TRIM(Table22[[#This Row],[Sales Team]]))</f>
        <v>10</v>
      </c>
      <c r="L1517" s="23">
        <v>9</v>
      </c>
      <c r="M1517" s="65" t="str" cm="1">
        <f t="array" ref="M1517">_xlfn.IFS(Table22[[#This Row],[Units Sold]]&lt;40,"Critical",Table22[[#This Row],[Units Sold]]&lt;=50,"Poor",Table22[[#This Row],[Units Sold]]&lt;=60,"Low",Table22[[#This Row],[Units Sold]]&lt;=80,"Average",Table22[[#This Row],[Units Sold]]&lt;=90,"High",Table22[[#This Row],[Units Sold]]&lt;=95,"Excellent",Table22[[#This Row],[Units Sold]]&gt;95,"Outstanding")</f>
        <v>Critical</v>
      </c>
      <c r="N1517" s="29">
        <v>1363.66</v>
      </c>
      <c r="O1517" s="29">
        <v>12272.94</v>
      </c>
      <c r="P1517" s="43">
        <f>IF(Table22[[#This Row],[Discount Applied]],Table22[[#This Row],[Total Sales (in USD)]]*(1-Table22[[#This Row],[Discount Percentage (%)]]/100),Table22[[#This Row],[Total Sales (in USD)]])</f>
        <v>9277.1153460000005</v>
      </c>
      <c r="Q1517" s="66">
        <f>SQRT(AVERAGE((Table22[[#This Row],[Net Sales (after discount) (in USD)]]-AVERAGE(Table22[Net Sales (after discount) (in USD)]))^2))</f>
        <v>27234.245217764539</v>
      </c>
      <c r="R1517" s="18" t="b">
        <v>0</v>
      </c>
      <c r="S1517" s="40">
        <v>24.41</v>
      </c>
      <c r="T1517" s="18" t="b">
        <v>1</v>
      </c>
      <c r="U1517" s="25">
        <v>45237</v>
      </c>
      <c r="V1517" s="63" t="str">
        <f>IF(MONTH(Table22[[#This Row],[Sales Date]])&lt;=3,"Q1",IF(MONTH(Table22[[#This Row],[Sales Date]])&lt;=6,"Q2",IF(MONTH(Table22[[#This Row],[Sales Date]])&lt;=9,"Q3","Q4")))</f>
        <v>Q4</v>
      </c>
      <c r="W1517" s="64">
        <f>YEAR(Table22[[#This Row],[Sales Date]])</f>
        <v>2023</v>
      </c>
      <c r="X1517" s="23">
        <v>65</v>
      </c>
      <c r="Y1517" s="18" t="s">
        <v>49</v>
      </c>
      <c r="Z1517" s="18" t="s">
        <v>30</v>
      </c>
      <c r="AA1517" s="19" t="s">
        <v>25</v>
      </c>
    </row>
    <row r="1518" spans="1:27" x14ac:dyDescent="0.25">
      <c r="A1518" s="17" t="s">
        <v>1980</v>
      </c>
      <c r="B1518" s="18" t="s">
        <v>46</v>
      </c>
      <c r="C1518" s="63" t="str" cm="1">
        <f t="array" ref="C1518">_xlfn.SWITCH(Table22[[#This Row],[Country]],"USA","North America","Canada","North America","Brazil","South America","China","Asia","Japan","Asia","India","Asia","France","Europe","Germany","Europe","UK","Europe","Australia","Oceania","South America")</f>
        <v>South America</v>
      </c>
      <c r="D1518" s="18" t="s">
        <v>44</v>
      </c>
      <c r="E1518" s="18" t="s">
        <v>39</v>
      </c>
      <c r="F1518" s="18" t="s">
        <v>20</v>
      </c>
      <c r="G1518" s="18" t="s">
        <v>40</v>
      </c>
      <c r="H1518" s="64">
        <f>LEN(TRIM(Table22[[#This Row],[Country]]))</f>
        <v>6</v>
      </c>
      <c r="I1518" s="64">
        <f>LEN(TRIM(Table22[[#This Row],[Continent]]))</f>
        <v>13</v>
      </c>
      <c r="J1518" s="64">
        <f>LEN(TRIM(Table22[[#This Row],[Product]]))</f>
        <v>10</v>
      </c>
      <c r="K1518" s="64">
        <f>LEN(TRIM(Table22[[#This Row],[Sales Team]]))</f>
        <v>10</v>
      </c>
      <c r="L1518" s="23">
        <v>22</v>
      </c>
      <c r="M1518" s="65" t="str" cm="1">
        <f t="array" ref="M1518">_xlfn.IFS(Table22[[#This Row],[Units Sold]]&lt;40,"Critical",Table22[[#This Row],[Units Sold]]&lt;=50,"Poor",Table22[[#This Row],[Units Sold]]&lt;=60,"Low",Table22[[#This Row],[Units Sold]]&lt;=80,"Average",Table22[[#This Row],[Units Sold]]&lt;=90,"High",Table22[[#This Row],[Units Sold]]&lt;=95,"Excellent",Table22[[#This Row],[Units Sold]]&gt;95,"Outstanding")</f>
        <v>Critical</v>
      </c>
      <c r="N1518" s="29">
        <v>556.28</v>
      </c>
      <c r="O1518" s="29">
        <v>12238.16</v>
      </c>
      <c r="P1518" s="43">
        <f>IF(Table22[[#This Row],[Discount Applied]],Table22[[#This Row],[Total Sales (in USD)]]*(1-Table22[[#This Row],[Discount Percentage (%)]]/100),Table22[[#This Row],[Total Sales (in USD)]])</f>
        <v>12238.16</v>
      </c>
      <c r="Q1518" s="66">
        <f>SQRT(AVERAGE((Table22[[#This Row],[Net Sales (after discount) (in USD)]]-AVERAGE(Table22[Net Sales (after discount) (in USD)]))^2))</f>
        <v>24273.200563764538</v>
      </c>
      <c r="R1518" s="18" t="b">
        <v>1</v>
      </c>
      <c r="S1518" s="40">
        <v>26.59</v>
      </c>
      <c r="T1518" s="18" t="b">
        <v>0</v>
      </c>
      <c r="U1518" s="25">
        <v>44961</v>
      </c>
      <c r="V1518" s="63" t="str">
        <f>IF(MONTH(Table22[[#This Row],[Sales Date]])&lt;=3,"Q1",IF(MONTH(Table22[[#This Row],[Sales Date]])&lt;=6,"Q2",IF(MONTH(Table22[[#This Row],[Sales Date]])&lt;=9,"Q3","Q4")))</f>
        <v>Q1</v>
      </c>
      <c r="W1518" s="64">
        <f>YEAR(Table22[[#This Row],[Sales Date]])</f>
        <v>2023</v>
      </c>
      <c r="X1518" s="23">
        <v>20</v>
      </c>
      <c r="Y1518" s="18" t="s">
        <v>41</v>
      </c>
      <c r="Z1518" s="18" t="s">
        <v>56</v>
      </c>
      <c r="AA1518" s="19" t="s">
        <v>36</v>
      </c>
    </row>
    <row r="1519" spans="1:27" x14ac:dyDescent="0.25">
      <c r="A1519" s="17" t="s">
        <v>2034</v>
      </c>
      <c r="B1519" s="18" t="s">
        <v>72</v>
      </c>
      <c r="C1519" s="63" t="str" cm="1">
        <f t="array" ref="C1519">_xlfn.SWITCH(Table22[[#This Row],[Country]],"USA","North America","Canada","North America","Brazil","South America","China","Asia","Japan","Asia","India","Asia","France","Europe","Germany","Europe","UK","Europe","Australia","Oceania","South America")</f>
        <v>North America</v>
      </c>
      <c r="D1519" s="18" t="s">
        <v>28</v>
      </c>
      <c r="E1519" s="18" t="s">
        <v>19</v>
      </c>
      <c r="F1519" s="18" t="s">
        <v>20</v>
      </c>
      <c r="G1519" s="18" t="s">
        <v>48</v>
      </c>
      <c r="H1519" s="64">
        <f>LEN(TRIM(Table22[[#This Row],[Country]]))</f>
        <v>3</v>
      </c>
      <c r="I1519" s="64">
        <f>LEN(TRIM(Table22[[#This Row],[Continent]]))</f>
        <v>13</v>
      </c>
      <c r="J1519" s="64">
        <f>LEN(TRIM(Table22[[#This Row],[Product]]))</f>
        <v>6</v>
      </c>
      <c r="K1519" s="64">
        <f>LEN(TRIM(Table22[[#This Row],[Sales Team]]))</f>
        <v>9</v>
      </c>
      <c r="L1519" s="23">
        <v>31</v>
      </c>
      <c r="M1519" s="65" t="str" cm="1">
        <f t="array" ref="M1519">_xlfn.IFS(Table22[[#This Row],[Units Sold]]&lt;40,"Critical",Table22[[#This Row],[Units Sold]]&lt;=50,"Poor",Table22[[#This Row],[Units Sold]]&lt;=60,"Low",Table22[[#This Row],[Units Sold]]&lt;=80,"Average",Table22[[#This Row],[Units Sold]]&lt;=90,"High",Table22[[#This Row],[Units Sold]]&lt;=95,"Excellent",Table22[[#This Row],[Units Sold]]&gt;95,"Outstanding")</f>
        <v>Critical</v>
      </c>
      <c r="N1519" s="29">
        <v>393.54</v>
      </c>
      <c r="O1519" s="29">
        <v>12199.74</v>
      </c>
      <c r="P1519" s="43">
        <f>IF(Table22[[#This Row],[Discount Applied]],Table22[[#This Row],[Total Sales (in USD)]]*(1-Table22[[#This Row],[Discount Percentage (%)]]/100),Table22[[#This Row],[Total Sales (in USD)]])</f>
        <v>12199.74</v>
      </c>
      <c r="Q1519" s="66">
        <f>SQRT(AVERAGE((Table22[[#This Row],[Net Sales (after discount) (in USD)]]-AVERAGE(Table22[Net Sales (after discount) (in USD)]))^2))</f>
        <v>24311.62056376454</v>
      </c>
      <c r="R1519" s="18" t="b">
        <v>0</v>
      </c>
      <c r="S1519" s="40">
        <v>5.91</v>
      </c>
      <c r="T1519" s="18" t="b">
        <v>0</v>
      </c>
      <c r="U1519" s="25">
        <v>45160</v>
      </c>
      <c r="V1519" s="63" t="str">
        <f>IF(MONTH(Table22[[#This Row],[Sales Date]])&lt;=3,"Q1",IF(MONTH(Table22[[#This Row],[Sales Date]])&lt;=6,"Q2",IF(MONTH(Table22[[#This Row],[Sales Date]])&lt;=9,"Q3","Q4")))</f>
        <v>Q3</v>
      </c>
      <c r="W1519" s="64">
        <f>YEAR(Table22[[#This Row],[Sales Date]])</f>
        <v>2023</v>
      </c>
      <c r="X1519" s="23">
        <v>33</v>
      </c>
      <c r="Y1519" s="18" t="s">
        <v>41</v>
      </c>
      <c r="Z1519" s="18" t="s">
        <v>30</v>
      </c>
      <c r="AA1519" s="19" t="s">
        <v>25</v>
      </c>
    </row>
    <row r="1520" spans="1:27" x14ac:dyDescent="0.25">
      <c r="A1520" s="17" t="s">
        <v>628</v>
      </c>
      <c r="B1520" s="18" t="s">
        <v>72</v>
      </c>
      <c r="C1520" s="63" t="str" cm="1">
        <f t="array" ref="C1520">_xlfn.SWITCH(Table22[[#This Row],[Country]],"USA","North America","Canada","North America","Brazil","South America","China","Asia","Japan","Asia","India","Asia","France","Europe","Germany","Europe","UK","Europe","Australia","Oceania","South America")</f>
        <v>North America</v>
      </c>
      <c r="D1520" s="18" t="s">
        <v>28</v>
      </c>
      <c r="E1520" s="18" t="s">
        <v>33</v>
      </c>
      <c r="F1520" s="18" t="s">
        <v>47</v>
      </c>
      <c r="G1520" s="18" t="s">
        <v>29</v>
      </c>
      <c r="H1520" s="64">
        <f>LEN(TRIM(Table22[[#This Row],[Country]]))</f>
        <v>3</v>
      </c>
      <c r="I1520" s="64">
        <f>LEN(TRIM(Table22[[#This Row],[Continent]]))</f>
        <v>13</v>
      </c>
      <c r="J1520" s="64">
        <f>LEN(TRIM(Table22[[#This Row],[Product]]))</f>
        <v>10</v>
      </c>
      <c r="K1520" s="64">
        <f>LEN(TRIM(Table22[[#This Row],[Sales Team]]))</f>
        <v>10</v>
      </c>
      <c r="L1520" s="23">
        <v>40</v>
      </c>
      <c r="M1520" s="65" t="str" cm="1">
        <f t="array" ref="M1520">_xlfn.IFS(Table22[[#This Row],[Units Sold]]&lt;40,"Critical",Table22[[#This Row],[Units Sold]]&lt;=50,"Poor",Table22[[#This Row],[Units Sold]]&lt;=60,"Low",Table22[[#This Row],[Units Sold]]&lt;=80,"Average",Table22[[#This Row],[Units Sold]]&lt;=90,"High",Table22[[#This Row],[Units Sold]]&lt;=95,"Excellent",Table22[[#This Row],[Units Sold]]&gt;95,"Outstanding")</f>
        <v>Poor</v>
      </c>
      <c r="N1520" s="29">
        <v>304.62</v>
      </c>
      <c r="O1520" s="29">
        <v>12184.8</v>
      </c>
      <c r="P1520" s="43">
        <f>IF(Table22[[#This Row],[Discount Applied]],Table22[[#This Row],[Total Sales (in USD)]]*(1-Table22[[#This Row],[Discount Percentage (%)]]/100),Table22[[#This Row],[Total Sales (in USD)]])</f>
        <v>9846.5368799999997</v>
      </c>
      <c r="Q1520" s="66">
        <f>SQRT(AVERAGE((Table22[[#This Row],[Net Sales (after discount) (in USD)]]-AVERAGE(Table22[Net Sales (after discount) (in USD)]))^2))</f>
        <v>26664.823683764538</v>
      </c>
      <c r="R1520" s="18" t="b">
        <v>1</v>
      </c>
      <c r="S1520" s="40">
        <v>19.190000000000001</v>
      </c>
      <c r="T1520" s="18" t="b">
        <v>1</v>
      </c>
      <c r="U1520" s="25">
        <v>45368</v>
      </c>
      <c r="V1520" s="63" t="str">
        <f>IF(MONTH(Table22[[#This Row],[Sales Date]])&lt;=3,"Q1",IF(MONTH(Table22[[#This Row],[Sales Date]])&lt;=6,"Q2",IF(MONTH(Table22[[#This Row],[Sales Date]])&lt;=9,"Q3","Q4")))</f>
        <v>Q1</v>
      </c>
      <c r="W1520" s="64">
        <f>YEAR(Table22[[#This Row],[Sales Date]])</f>
        <v>2024</v>
      </c>
      <c r="X1520" s="23">
        <v>35</v>
      </c>
      <c r="Y1520" s="18" t="s">
        <v>23</v>
      </c>
      <c r="Z1520" s="18" t="s">
        <v>42</v>
      </c>
      <c r="AA1520" s="19" t="s">
        <v>25</v>
      </c>
    </row>
    <row r="1521" spans="1:27" x14ac:dyDescent="0.25">
      <c r="A1521" s="17" t="s">
        <v>1774</v>
      </c>
      <c r="B1521" s="18" t="s">
        <v>46</v>
      </c>
      <c r="C1521" s="63" t="str" cm="1">
        <f t="array" ref="C1521">_xlfn.SWITCH(Table22[[#This Row],[Country]],"USA","North America","Canada","North America","Brazil","South America","China","Asia","Japan","Asia","India","Asia","France","Europe","Germany","Europe","UK","Europe","Australia","Oceania","South America")</f>
        <v>South America</v>
      </c>
      <c r="D1521" s="18" t="s">
        <v>35</v>
      </c>
      <c r="E1521" s="18" t="s">
        <v>39</v>
      </c>
      <c r="F1521" s="18" t="s">
        <v>47</v>
      </c>
      <c r="G1521" s="18" t="s">
        <v>48</v>
      </c>
      <c r="H1521" s="64">
        <f>LEN(TRIM(Table22[[#This Row],[Country]]))</f>
        <v>6</v>
      </c>
      <c r="I1521" s="64">
        <f>LEN(TRIM(Table22[[#This Row],[Continent]]))</f>
        <v>13</v>
      </c>
      <c r="J1521" s="64">
        <f>LEN(TRIM(Table22[[#This Row],[Product]]))</f>
        <v>10</v>
      </c>
      <c r="K1521" s="64">
        <f>LEN(TRIM(Table22[[#This Row],[Sales Team]]))</f>
        <v>9</v>
      </c>
      <c r="L1521" s="23">
        <v>81</v>
      </c>
      <c r="M1521" s="65" t="str" cm="1">
        <f t="array" ref="M1521">_xlfn.IFS(Table22[[#This Row],[Units Sold]]&lt;40,"Critical",Table22[[#This Row],[Units Sold]]&lt;=50,"Poor",Table22[[#This Row],[Units Sold]]&lt;=60,"Low",Table22[[#This Row],[Units Sold]]&lt;=80,"Average",Table22[[#This Row],[Units Sold]]&lt;=90,"High",Table22[[#This Row],[Units Sold]]&lt;=95,"Excellent",Table22[[#This Row],[Units Sold]]&gt;95,"Outstanding")</f>
        <v>High</v>
      </c>
      <c r="N1521" s="29">
        <v>150.38</v>
      </c>
      <c r="O1521" s="29">
        <v>12180.78</v>
      </c>
      <c r="P1521" s="43">
        <f>IF(Table22[[#This Row],[Discount Applied]],Table22[[#This Row],[Total Sales (in USD)]]*(1-Table22[[#This Row],[Discount Percentage (%)]]/100),Table22[[#This Row],[Total Sales (in USD)]])</f>
        <v>12180.78</v>
      </c>
      <c r="Q1521" s="66">
        <f>SQRT(AVERAGE((Table22[[#This Row],[Net Sales (after discount) (in USD)]]-AVERAGE(Table22[Net Sales (after discount) (in USD)]))^2))</f>
        <v>24330.580563764539</v>
      </c>
      <c r="R1521" s="18" t="b">
        <v>1</v>
      </c>
      <c r="S1521" s="40">
        <v>15.52</v>
      </c>
      <c r="T1521" s="18" t="b">
        <v>0</v>
      </c>
      <c r="U1521" s="25">
        <v>45128</v>
      </c>
      <c r="V1521" s="63" t="str">
        <f>IF(MONTH(Table22[[#This Row],[Sales Date]])&lt;=3,"Q1",IF(MONTH(Table22[[#This Row],[Sales Date]])&lt;=6,"Q2",IF(MONTH(Table22[[#This Row],[Sales Date]])&lt;=9,"Q3","Q4")))</f>
        <v>Q3</v>
      </c>
      <c r="W1521" s="64">
        <f>YEAR(Table22[[#This Row],[Sales Date]])</f>
        <v>2023</v>
      </c>
      <c r="X1521" s="23">
        <v>28</v>
      </c>
      <c r="Y1521" s="18" t="s">
        <v>23</v>
      </c>
      <c r="Z1521" s="18" t="s">
        <v>30</v>
      </c>
      <c r="AA1521" s="19" t="s">
        <v>36</v>
      </c>
    </row>
    <row r="1522" spans="1:27" x14ac:dyDescent="0.25">
      <c r="A1522" s="17" t="s">
        <v>1078</v>
      </c>
      <c r="B1522" s="18" t="s">
        <v>72</v>
      </c>
      <c r="C1522" s="63" t="str" cm="1">
        <f t="array" ref="C1522">_xlfn.SWITCH(Table22[[#This Row],[Country]],"USA","North America","Canada","North America","Brazil","South America","China","Asia","Japan","Asia","India","Asia","France","Europe","Germany","Europe","UK","Europe","Australia","Oceania","South America")</f>
        <v>North America</v>
      </c>
      <c r="D1522" s="18" t="s">
        <v>44</v>
      </c>
      <c r="E1522" s="18" t="s">
        <v>33</v>
      </c>
      <c r="F1522" s="18" t="s">
        <v>20</v>
      </c>
      <c r="G1522" s="18" t="s">
        <v>22</v>
      </c>
      <c r="H1522" s="64">
        <f>LEN(TRIM(Table22[[#This Row],[Country]]))</f>
        <v>3</v>
      </c>
      <c r="I1522" s="64">
        <f>LEN(TRIM(Table22[[#This Row],[Continent]]))</f>
        <v>13</v>
      </c>
      <c r="J1522" s="64">
        <f>LEN(TRIM(Table22[[#This Row],[Product]]))</f>
        <v>10</v>
      </c>
      <c r="K1522" s="64">
        <f>LEN(TRIM(Table22[[#This Row],[Sales Team]]))</f>
        <v>10</v>
      </c>
      <c r="L1522" s="23">
        <v>71</v>
      </c>
      <c r="M1522" s="65" t="str" cm="1">
        <f t="array" ref="M1522">_xlfn.IFS(Table22[[#This Row],[Units Sold]]&lt;40,"Critical",Table22[[#This Row],[Units Sold]]&lt;=50,"Poor",Table22[[#This Row],[Units Sold]]&lt;=60,"Low",Table22[[#This Row],[Units Sold]]&lt;=80,"Average",Table22[[#This Row],[Units Sold]]&lt;=90,"High",Table22[[#This Row],[Units Sold]]&lt;=95,"Excellent",Table22[[#This Row],[Units Sold]]&gt;95,"Outstanding")</f>
        <v>Average</v>
      </c>
      <c r="N1522" s="29">
        <v>169.87</v>
      </c>
      <c r="O1522" s="29">
        <v>12060.77</v>
      </c>
      <c r="P1522" s="43">
        <f>IF(Table22[[#This Row],[Discount Applied]],Table22[[#This Row],[Total Sales (in USD)]]*(1-Table22[[#This Row],[Discount Percentage (%)]]/100),Table22[[#This Row],[Total Sales (in USD)]])</f>
        <v>11372.100033000001</v>
      </c>
      <c r="Q1522" s="66">
        <f>SQRT(AVERAGE((Table22[[#This Row],[Net Sales (after discount) (in USD)]]-AVERAGE(Table22[Net Sales (after discount) (in USD)]))^2))</f>
        <v>25139.260530764535</v>
      </c>
      <c r="R1522" s="18" t="b">
        <v>0</v>
      </c>
      <c r="S1522" s="40">
        <v>5.71</v>
      </c>
      <c r="T1522" s="18" t="b">
        <v>1</v>
      </c>
      <c r="U1522" s="25">
        <v>45456</v>
      </c>
      <c r="V1522" s="63" t="str">
        <f>IF(MONTH(Table22[[#This Row],[Sales Date]])&lt;=3,"Q1",IF(MONTH(Table22[[#This Row],[Sales Date]])&lt;=6,"Q2",IF(MONTH(Table22[[#This Row],[Sales Date]])&lt;=9,"Q3","Q4")))</f>
        <v>Q2</v>
      </c>
      <c r="W1522" s="64">
        <f>YEAR(Table22[[#This Row],[Sales Date]])</f>
        <v>2024</v>
      </c>
      <c r="X1522" s="23">
        <v>22</v>
      </c>
      <c r="Y1522" s="18" t="s">
        <v>23</v>
      </c>
      <c r="Z1522" s="18" t="s">
        <v>56</v>
      </c>
      <c r="AA1522" s="19" t="s">
        <v>25</v>
      </c>
    </row>
    <row r="1523" spans="1:27" x14ac:dyDescent="0.25">
      <c r="A1523" s="17" t="s">
        <v>1094</v>
      </c>
      <c r="B1523" s="18" t="s">
        <v>27</v>
      </c>
      <c r="C1523" s="63" t="str" cm="1">
        <f t="array" ref="C1523">_xlfn.SWITCH(Table22[[#This Row],[Country]],"USA","North America","Canada","North America","Brazil","South America","China","Asia","Japan","Asia","India","Asia","France","Europe","Germany","Europe","UK","Europe","Australia","Oceania","South America")</f>
        <v>Europe</v>
      </c>
      <c r="D1523" s="18" t="s">
        <v>28</v>
      </c>
      <c r="E1523" s="18" t="s">
        <v>19</v>
      </c>
      <c r="F1523" s="18" t="s">
        <v>34</v>
      </c>
      <c r="G1523" s="18" t="s">
        <v>29</v>
      </c>
      <c r="H1523" s="64">
        <f>LEN(TRIM(Table22[[#This Row],[Country]]))</f>
        <v>7</v>
      </c>
      <c r="I1523" s="64">
        <f>LEN(TRIM(Table22[[#This Row],[Continent]]))</f>
        <v>6</v>
      </c>
      <c r="J1523" s="64">
        <f>LEN(TRIM(Table22[[#This Row],[Product]]))</f>
        <v>6</v>
      </c>
      <c r="K1523" s="64">
        <f>LEN(TRIM(Table22[[#This Row],[Sales Team]]))</f>
        <v>10</v>
      </c>
      <c r="L1523" s="23">
        <v>17</v>
      </c>
      <c r="M1523" s="65" t="str" cm="1">
        <f t="array" ref="M1523">_xlfn.IFS(Table22[[#This Row],[Units Sold]]&lt;40,"Critical",Table22[[#This Row],[Units Sold]]&lt;=50,"Poor",Table22[[#This Row],[Units Sold]]&lt;=60,"Low",Table22[[#This Row],[Units Sold]]&lt;=80,"Average",Table22[[#This Row],[Units Sold]]&lt;=90,"High",Table22[[#This Row],[Units Sold]]&lt;=95,"Excellent",Table22[[#This Row],[Units Sold]]&gt;95,"Outstanding")</f>
        <v>Critical</v>
      </c>
      <c r="N1523" s="29">
        <v>708.63</v>
      </c>
      <c r="O1523" s="29">
        <v>12046.71</v>
      </c>
      <c r="P1523" s="43">
        <f>IF(Table22[[#This Row],[Discount Applied]],Table22[[#This Row],[Total Sales (in USD)]]*(1-Table22[[#This Row],[Discount Percentage (%)]]/100),Table22[[#This Row],[Total Sales (in USD)]])</f>
        <v>12046.71</v>
      </c>
      <c r="Q1523" s="66">
        <f>SQRT(AVERAGE((Table22[[#This Row],[Net Sales (after discount) (in USD)]]-AVERAGE(Table22[Net Sales (after discount) (in USD)]))^2))</f>
        <v>24464.650563764539</v>
      </c>
      <c r="R1523" s="18" t="b">
        <v>1</v>
      </c>
      <c r="S1523" s="40">
        <v>18.45</v>
      </c>
      <c r="T1523" s="18" t="b">
        <v>0</v>
      </c>
      <c r="U1523" s="25">
        <v>45238</v>
      </c>
      <c r="V1523" s="63" t="str">
        <f>IF(MONTH(Table22[[#This Row],[Sales Date]])&lt;=3,"Q1",IF(MONTH(Table22[[#This Row],[Sales Date]])&lt;=6,"Q2",IF(MONTH(Table22[[#This Row],[Sales Date]])&lt;=9,"Q3","Q4")))</f>
        <v>Q4</v>
      </c>
      <c r="W1523" s="64">
        <f>YEAR(Table22[[#This Row],[Sales Date]])</f>
        <v>2023</v>
      </c>
      <c r="X1523" s="23">
        <v>18</v>
      </c>
      <c r="Y1523" s="18" t="s">
        <v>23</v>
      </c>
      <c r="Z1523" s="18" t="s">
        <v>42</v>
      </c>
      <c r="AA1523" s="19" t="s">
        <v>36</v>
      </c>
    </row>
    <row r="1524" spans="1:27" x14ac:dyDescent="0.25">
      <c r="A1524" s="17" t="s">
        <v>1488</v>
      </c>
      <c r="B1524" s="18" t="s">
        <v>32</v>
      </c>
      <c r="C1524" s="63" t="str" cm="1">
        <f t="array" ref="C1524">_xlfn.SWITCH(Table22[[#This Row],[Country]],"USA","North America","Canada","North America","Brazil","South America","China","Asia","Japan","Asia","India","Asia","France","Europe","Germany","Europe","UK","Europe","Australia","Oceania","South America")</f>
        <v>Asia</v>
      </c>
      <c r="D1524" s="18" t="s">
        <v>35</v>
      </c>
      <c r="E1524" s="18" t="s">
        <v>19</v>
      </c>
      <c r="F1524" s="18" t="s">
        <v>64</v>
      </c>
      <c r="G1524" s="18" t="s">
        <v>40</v>
      </c>
      <c r="H1524" s="64">
        <f>LEN(TRIM(Table22[[#This Row],[Country]]))</f>
        <v>5</v>
      </c>
      <c r="I1524" s="64">
        <f>LEN(TRIM(Table22[[#This Row],[Continent]]))</f>
        <v>4</v>
      </c>
      <c r="J1524" s="64">
        <f>LEN(TRIM(Table22[[#This Row],[Product]]))</f>
        <v>6</v>
      </c>
      <c r="K1524" s="64">
        <f>LEN(TRIM(Table22[[#This Row],[Sales Team]]))</f>
        <v>10</v>
      </c>
      <c r="L1524" s="23">
        <v>33</v>
      </c>
      <c r="M1524" s="65" t="str" cm="1">
        <f t="array" ref="M1524">_xlfn.IFS(Table22[[#This Row],[Units Sold]]&lt;40,"Critical",Table22[[#This Row],[Units Sold]]&lt;=50,"Poor",Table22[[#This Row],[Units Sold]]&lt;=60,"Low",Table22[[#This Row],[Units Sold]]&lt;=80,"Average",Table22[[#This Row],[Units Sold]]&lt;=90,"High",Table22[[#This Row],[Units Sold]]&lt;=95,"Excellent",Table22[[#This Row],[Units Sold]]&gt;95,"Outstanding")</f>
        <v>Critical</v>
      </c>
      <c r="N1524" s="29">
        <v>363.64</v>
      </c>
      <c r="O1524" s="29">
        <v>12000.12</v>
      </c>
      <c r="P1524" s="43">
        <f>IF(Table22[[#This Row],[Discount Applied]],Table22[[#This Row],[Total Sales (in USD)]]*(1-Table22[[#This Row],[Discount Percentage (%)]]/100),Table22[[#This Row],[Total Sales (in USD)]])</f>
        <v>8598.0859799999998</v>
      </c>
      <c r="Q1524" s="66">
        <f>SQRT(AVERAGE((Table22[[#This Row],[Net Sales (after discount) (in USD)]]-AVERAGE(Table22[Net Sales (after discount) (in USD)]))^2))</f>
        <v>27913.274583764538</v>
      </c>
      <c r="R1524" s="18" t="b">
        <v>1</v>
      </c>
      <c r="S1524" s="40">
        <v>28.35</v>
      </c>
      <c r="T1524" s="18" t="b">
        <v>1</v>
      </c>
      <c r="U1524" s="25">
        <v>45483</v>
      </c>
      <c r="V1524" s="63" t="str">
        <f>IF(MONTH(Table22[[#This Row],[Sales Date]])&lt;=3,"Q1",IF(MONTH(Table22[[#This Row],[Sales Date]])&lt;=6,"Q2",IF(MONTH(Table22[[#This Row],[Sales Date]])&lt;=9,"Q3","Q4")))</f>
        <v>Q3</v>
      </c>
      <c r="W1524" s="64">
        <f>YEAR(Table22[[#This Row],[Sales Date]])</f>
        <v>2024</v>
      </c>
      <c r="X1524" s="23">
        <v>47</v>
      </c>
      <c r="Y1524" s="18" t="s">
        <v>49</v>
      </c>
      <c r="Z1524" s="18" t="s">
        <v>56</v>
      </c>
      <c r="AA1524" s="19" t="s">
        <v>25</v>
      </c>
    </row>
    <row r="1525" spans="1:27" x14ac:dyDescent="0.25">
      <c r="A1525" s="17" t="s">
        <v>926</v>
      </c>
      <c r="B1525" s="18" t="s">
        <v>72</v>
      </c>
      <c r="C1525" s="63" t="str" cm="1">
        <f t="array" ref="C1525">_xlfn.SWITCH(Table22[[#This Row],[Country]],"USA","North America","Canada","North America","Brazil","South America","China","Asia","Japan","Asia","India","Asia","France","Europe","Germany","Europe","UK","Europe","Australia","Oceania","South America")</f>
        <v>North America</v>
      </c>
      <c r="D1525" s="18" t="s">
        <v>28</v>
      </c>
      <c r="E1525" s="18" t="s">
        <v>19</v>
      </c>
      <c r="F1525" s="18" t="s">
        <v>34</v>
      </c>
      <c r="G1525" s="18" t="s">
        <v>29</v>
      </c>
      <c r="H1525" s="64">
        <f>LEN(TRIM(Table22[[#This Row],[Country]]))</f>
        <v>3</v>
      </c>
      <c r="I1525" s="64">
        <f>LEN(TRIM(Table22[[#This Row],[Continent]]))</f>
        <v>13</v>
      </c>
      <c r="J1525" s="64">
        <f>LEN(TRIM(Table22[[#This Row],[Product]]))</f>
        <v>6</v>
      </c>
      <c r="K1525" s="64">
        <f>LEN(TRIM(Table22[[#This Row],[Sales Team]]))</f>
        <v>10</v>
      </c>
      <c r="L1525" s="23">
        <v>10</v>
      </c>
      <c r="M1525" s="65" t="str" cm="1">
        <f t="array" ref="M1525">_xlfn.IFS(Table22[[#This Row],[Units Sold]]&lt;40,"Critical",Table22[[#This Row],[Units Sold]]&lt;=50,"Poor",Table22[[#This Row],[Units Sold]]&lt;=60,"Low",Table22[[#This Row],[Units Sold]]&lt;=80,"Average",Table22[[#This Row],[Units Sold]]&lt;=90,"High",Table22[[#This Row],[Units Sold]]&lt;=95,"Excellent",Table22[[#This Row],[Units Sold]]&gt;95,"Outstanding")</f>
        <v>Critical</v>
      </c>
      <c r="N1525" s="29">
        <v>1196.52</v>
      </c>
      <c r="O1525" s="29">
        <v>11965.2</v>
      </c>
      <c r="P1525" s="43">
        <f>IF(Table22[[#This Row],[Discount Applied]],Table22[[#This Row],[Total Sales (in USD)]]*(1-Table22[[#This Row],[Discount Percentage (%)]]/100),Table22[[#This Row],[Total Sales (in USD)]])</f>
        <v>11965.2</v>
      </c>
      <c r="Q1525" s="66">
        <f>SQRT(AVERAGE((Table22[[#This Row],[Net Sales (after discount) (in USD)]]-AVERAGE(Table22[Net Sales (after discount) (in USD)]))^2))</f>
        <v>24546.160563764537</v>
      </c>
      <c r="R1525" s="18" t="b">
        <v>0</v>
      </c>
      <c r="S1525" s="40">
        <v>21.97</v>
      </c>
      <c r="T1525" s="18" t="b">
        <v>0</v>
      </c>
      <c r="U1525" s="25">
        <v>45205</v>
      </c>
      <c r="V1525" s="63" t="str">
        <f>IF(MONTH(Table22[[#This Row],[Sales Date]])&lt;=3,"Q1",IF(MONTH(Table22[[#This Row],[Sales Date]])&lt;=6,"Q2",IF(MONTH(Table22[[#This Row],[Sales Date]])&lt;=9,"Q3","Q4")))</f>
        <v>Q4</v>
      </c>
      <c r="W1525" s="64">
        <f>YEAR(Table22[[#This Row],[Sales Date]])</f>
        <v>2023</v>
      </c>
      <c r="X1525" s="23">
        <v>64</v>
      </c>
      <c r="Y1525" s="18" t="s">
        <v>49</v>
      </c>
      <c r="Z1525" s="18" t="s">
        <v>24</v>
      </c>
      <c r="AA1525" s="19" t="s">
        <v>36</v>
      </c>
    </row>
    <row r="1526" spans="1:27" x14ac:dyDescent="0.25">
      <c r="A1526" s="17" t="s">
        <v>489</v>
      </c>
      <c r="B1526" s="18" t="s">
        <v>38</v>
      </c>
      <c r="C1526" s="63" t="str" cm="1">
        <f t="array" ref="C1526">_xlfn.SWITCH(Table22[[#This Row],[Country]],"USA","North America","Canada","North America","Brazil","South America","China","Asia","Japan","Asia","India","Asia","France","Europe","Germany","Europe","UK","Europe","Australia","Oceania","South America")</f>
        <v>Europe</v>
      </c>
      <c r="D1526" s="18" t="s">
        <v>35</v>
      </c>
      <c r="E1526" s="18" t="s">
        <v>33</v>
      </c>
      <c r="F1526" s="18" t="s">
        <v>52</v>
      </c>
      <c r="G1526" s="18" t="s">
        <v>48</v>
      </c>
      <c r="H1526" s="64">
        <f>LEN(TRIM(Table22[[#This Row],[Country]]))</f>
        <v>6</v>
      </c>
      <c r="I1526" s="64">
        <f>LEN(TRIM(Table22[[#This Row],[Continent]]))</f>
        <v>6</v>
      </c>
      <c r="J1526" s="64">
        <f>LEN(TRIM(Table22[[#This Row],[Product]]))</f>
        <v>10</v>
      </c>
      <c r="K1526" s="64">
        <f>LEN(TRIM(Table22[[#This Row],[Sales Team]]))</f>
        <v>9</v>
      </c>
      <c r="L1526" s="23">
        <v>8</v>
      </c>
      <c r="M1526" s="65" t="str" cm="1">
        <f t="array" ref="M1526">_xlfn.IFS(Table22[[#This Row],[Units Sold]]&lt;40,"Critical",Table22[[#This Row],[Units Sold]]&lt;=50,"Poor",Table22[[#This Row],[Units Sold]]&lt;=60,"Low",Table22[[#This Row],[Units Sold]]&lt;=80,"Average",Table22[[#This Row],[Units Sold]]&lt;=90,"High",Table22[[#This Row],[Units Sold]]&lt;=95,"Excellent",Table22[[#This Row],[Units Sold]]&gt;95,"Outstanding")</f>
        <v>Critical</v>
      </c>
      <c r="N1526" s="29">
        <v>1494.33</v>
      </c>
      <c r="O1526" s="29">
        <v>11954.64</v>
      </c>
      <c r="P1526" s="43">
        <f>IF(Table22[[#This Row],[Discount Applied]],Table22[[#This Row],[Total Sales (in USD)]]*(1-Table22[[#This Row],[Discount Percentage (%)]]/100),Table22[[#This Row],[Total Sales (in USD)]])</f>
        <v>8952.8298959999993</v>
      </c>
      <c r="Q1526" s="66">
        <f>SQRT(AVERAGE((Table22[[#This Row],[Net Sales (after discount) (in USD)]]-AVERAGE(Table22[Net Sales (after discount) (in USD)]))^2))</f>
        <v>27558.530667764539</v>
      </c>
      <c r="R1526" s="18" t="b">
        <v>0</v>
      </c>
      <c r="S1526" s="40">
        <v>25.11</v>
      </c>
      <c r="T1526" s="18" t="b">
        <v>1</v>
      </c>
      <c r="U1526" s="25">
        <v>45103</v>
      </c>
      <c r="V1526" s="63" t="str">
        <f>IF(MONTH(Table22[[#This Row],[Sales Date]])&lt;=3,"Q1",IF(MONTH(Table22[[#This Row],[Sales Date]])&lt;=6,"Q2",IF(MONTH(Table22[[#This Row],[Sales Date]])&lt;=9,"Q3","Q4")))</f>
        <v>Q2</v>
      </c>
      <c r="W1526" s="64">
        <f>YEAR(Table22[[#This Row],[Sales Date]])</f>
        <v>2023</v>
      </c>
      <c r="X1526" s="23">
        <v>27</v>
      </c>
      <c r="Y1526" s="18" t="s">
        <v>41</v>
      </c>
      <c r="Z1526" s="18" t="s">
        <v>56</v>
      </c>
      <c r="AA1526" s="19" t="s">
        <v>25</v>
      </c>
    </row>
    <row r="1527" spans="1:27" x14ac:dyDescent="0.25">
      <c r="A1527" s="17" t="s">
        <v>116</v>
      </c>
      <c r="B1527" s="18" t="s">
        <v>66</v>
      </c>
      <c r="C1527" s="63" t="str" cm="1">
        <f t="array" ref="C1527">_xlfn.SWITCH(Table22[[#This Row],[Country]],"USA","North America","Canada","North America","Brazil","South America","China","Asia","Japan","Asia","India","Asia","France","Europe","Germany","Europe","UK","Europe","Australia","Oceania","South America")</f>
        <v>North America</v>
      </c>
      <c r="D1527" s="18" t="s">
        <v>35</v>
      </c>
      <c r="E1527" s="18" t="s">
        <v>39</v>
      </c>
      <c r="F1527" s="18" t="s">
        <v>52</v>
      </c>
      <c r="G1527" s="18" t="s">
        <v>48</v>
      </c>
      <c r="H1527" s="64">
        <f>LEN(TRIM(Table22[[#This Row],[Country]]))</f>
        <v>6</v>
      </c>
      <c r="I1527" s="64">
        <f>LEN(TRIM(Table22[[#This Row],[Continent]]))</f>
        <v>13</v>
      </c>
      <c r="J1527" s="64">
        <f>LEN(TRIM(Table22[[#This Row],[Product]]))</f>
        <v>10</v>
      </c>
      <c r="K1527" s="64">
        <f>LEN(TRIM(Table22[[#This Row],[Sales Team]]))</f>
        <v>9</v>
      </c>
      <c r="L1527" s="23">
        <v>64</v>
      </c>
      <c r="M1527" s="65" t="str" cm="1">
        <f t="array" ref="M1527">_xlfn.IFS(Table22[[#This Row],[Units Sold]]&lt;40,"Critical",Table22[[#This Row],[Units Sold]]&lt;=50,"Poor",Table22[[#This Row],[Units Sold]]&lt;=60,"Low",Table22[[#This Row],[Units Sold]]&lt;=80,"Average",Table22[[#This Row],[Units Sold]]&lt;=90,"High",Table22[[#This Row],[Units Sold]]&lt;=95,"Excellent",Table22[[#This Row],[Units Sold]]&gt;95,"Outstanding")</f>
        <v>Average</v>
      </c>
      <c r="N1527" s="29">
        <v>186.04</v>
      </c>
      <c r="O1527" s="29">
        <v>11906.56</v>
      </c>
      <c r="P1527" s="43">
        <f>IF(Table22[[#This Row],[Discount Applied]],Table22[[#This Row],[Total Sales (in USD)]]*(1-Table22[[#This Row],[Discount Percentage (%)]]/100),Table22[[#This Row],[Total Sales (in USD)]])</f>
        <v>8825.142272000001</v>
      </c>
      <c r="Q1527" s="66">
        <f>SQRT(AVERAGE((Table22[[#This Row],[Net Sales (after discount) (in USD)]]-AVERAGE(Table22[Net Sales (after discount) (in USD)]))^2))</f>
        <v>27686.218291764537</v>
      </c>
      <c r="R1527" s="18" t="b">
        <v>0</v>
      </c>
      <c r="S1527" s="40">
        <v>25.88</v>
      </c>
      <c r="T1527" s="18" t="b">
        <v>1</v>
      </c>
      <c r="U1527" s="25">
        <v>45259</v>
      </c>
      <c r="V1527" s="63" t="str">
        <f>IF(MONTH(Table22[[#This Row],[Sales Date]])&lt;=3,"Q1",IF(MONTH(Table22[[#This Row],[Sales Date]])&lt;=6,"Q2",IF(MONTH(Table22[[#This Row],[Sales Date]])&lt;=9,"Q3","Q4")))</f>
        <v>Q4</v>
      </c>
      <c r="W1527" s="64">
        <f>YEAR(Table22[[#This Row],[Sales Date]])</f>
        <v>2023</v>
      </c>
      <c r="X1527" s="23">
        <v>34</v>
      </c>
      <c r="Y1527" s="18" t="s">
        <v>49</v>
      </c>
      <c r="Z1527" s="18" t="s">
        <v>30</v>
      </c>
      <c r="AA1527" s="19" t="s">
        <v>25</v>
      </c>
    </row>
    <row r="1528" spans="1:27" x14ac:dyDescent="0.25">
      <c r="A1528" s="17" t="s">
        <v>659</v>
      </c>
      <c r="B1528" s="18" t="s">
        <v>32</v>
      </c>
      <c r="C1528" s="63" t="str" cm="1">
        <f t="array" ref="C1528">_xlfn.SWITCH(Table22[[#This Row],[Country]],"USA","North America","Canada","North America","Brazil","South America","China","Asia","Japan","Asia","India","Asia","France","Europe","Germany","Europe","UK","Europe","Australia","Oceania","South America")</f>
        <v>Asia</v>
      </c>
      <c r="D1528" s="18" t="s">
        <v>35</v>
      </c>
      <c r="E1528" s="18" t="s">
        <v>19</v>
      </c>
      <c r="F1528" s="18" t="s">
        <v>47</v>
      </c>
      <c r="G1528" s="18" t="s">
        <v>29</v>
      </c>
      <c r="H1528" s="64">
        <f>LEN(TRIM(Table22[[#This Row],[Country]]))</f>
        <v>5</v>
      </c>
      <c r="I1528" s="64">
        <f>LEN(TRIM(Table22[[#This Row],[Continent]]))</f>
        <v>4</v>
      </c>
      <c r="J1528" s="64">
        <f>LEN(TRIM(Table22[[#This Row],[Product]]))</f>
        <v>6</v>
      </c>
      <c r="K1528" s="64">
        <f>LEN(TRIM(Table22[[#This Row],[Sales Team]]))</f>
        <v>10</v>
      </c>
      <c r="L1528" s="23">
        <v>10</v>
      </c>
      <c r="M1528" s="65" t="str" cm="1">
        <f t="array" ref="M1528">_xlfn.IFS(Table22[[#This Row],[Units Sold]]&lt;40,"Critical",Table22[[#This Row],[Units Sold]]&lt;=50,"Poor",Table22[[#This Row],[Units Sold]]&lt;=60,"Low",Table22[[#This Row],[Units Sold]]&lt;=80,"Average",Table22[[#This Row],[Units Sold]]&lt;=90,"High",Table22[[#This Row],[Units Sold]]&lt;=95,"Excellent",Table22[[#This Row],[Units Sold]]&gt;95,"Outstanding")</f>
        <v>Critical</v>
      </c>
      <c r="N1528" s="29">
        <v>1185.81</v>
      </c>
      <c r="O1528" s="29">
        <v>11858.1</v>
      </c>
      <c r="P1528" s="43">
        <f>IF(Table22[[#This Row],[Discount Applied]],Table22[[#This Row],[Total Sales (in USD)]]*(1-Table22[[#This Row],[Discount Percentage (%)]]/100),Table22[[#This Row],[Total Sales (in USD)]])</f>
        <v>9490.0374300000003</v>
      </c>
      <c r="Q1528" s="66">
        <f>SQRT(AVERAGE((Table22[[#This Row],[Net Sales (after discount) (in USD)]]-AVERAGE(Table22[Net Sales (after discount) (in USD)]))^2))</f>
        <v>27021.323133764537</v>
      </c>
      <c r="R1528" s="18" t="b">
        <v>0</v>
      </c>
      <c r="S1528" s="40">
        <v>19.97</v>
      </c>
      <c r="T1528" s="18" t="b">
        <v>1</v>
      </c>
      <c r="U1528" s="25">
        <v>45173</v>
      </c>
      <c r="V1528" s="63" t="str">
        <f>IF(MONTH(Table22[[#This Row],[Sales Date]])&lt;=3,"Q1",IF(MONTH(Table22[[#This Row],[Sales Date]])&lt;=6,"Q2",IF(MONTH(Table22[[#This Row],[Sales Date]])&lt;=9,"Q3","Q4")))</f>
        <v>Q3</v>
      </c>
      <c r="W1528" s="64">
        <f>YEAR(Table22[[#This Row],[Sales Date]])</f>
        <v>2023</v>
      </c>
      <c r="X1528" s="23">
        <v>62</v>
      </c>
      <c r="Y1528" s="18" t="s">
        <v>23</v>
      </c>
      <c r="Z1528" s="18" t="s">
        <v>42</v>
      </c>
      <c r="AA1528" s="19" t="s">
        <v>36</v>
      </c>
    </row>
    <row r="1529" spans="1:27" x14ac:dyDescent="0.25">
      <c r="A1529" s="17" t="s">
        <v>1655</v>
      </c>
      <c r="B1529" s="18" t="s">
        <v>72</v>
      </c>
      <c r="C1529" s="63" t="str" cm="1">
        <f t="array" ref="C1529">_xlfn.SWITCH(Table22[[#This Row],[Country]],"USA","North America","Canada","North America","Brazil","South America","China","Asia","Japan","Asia","India","Asia","France","Europe","Germany","Europe","UK","Europe","Australia","Oceania","South America")</f>
        <v>North America</v>
      </c>
      <c r="D1529" s="18" t="s">
        <v>35</v>
      </c>
      <c r="E1529" s="18" t="s">
        <v>33</v>
      </c>
      <c r="F1529" s="18" t="s">
        <v>47</v>
      </c>
      <c r="G1529" s="18" t="s">
        <v>48</v>
      </c>
      <c r="H1529" s="64">
        <f>LEN(TRIM(Table22[[#This Row],[Country]]))</f>
        <v>3</v>
      </c>
      <c r="I1529" s="64">
        <f>LEN(TRIM(Table22[[#This Row],[Continent]]))</f>
        <v>13</v>
      </c>
      <c r="J1529" s="64">
        <f>LEN(TRIM(Table22[[#This Row],[Product]]))</f>
        <v>10</v>
      </c>
      <c r="K1529" s="64">
        <f>LEN(TRIM(Table22[[#This Row],[Sales Team]]))</f>
        <v>9</v>
      </c>
      <c r="L1529" s="23">
        <v>33</v>
      </c>
      <c r="M1529" s="65" t="str" cm="1">
        <f t="array" ref="M1529">_xlfn.IFS(Table22[[#This Row],[Units Sold]]&lt;40,"Critical",Table22[[#This Row],[Units Sold]]&lt;=50,"Poor",Table22[[#This Row],[Units Sold]]&lt;=60,"Low",Table22[[#This Row],[Units Sold]]&lt;=80,"Average",Table22[[#This Row],[Units Sold]]&lt;=90,"High",Table22[[#This Row],[Units Sold]]&lt;=95,"Excellent",Table22[[#This Row],[Units Sold]]&gt;95,"Outstanding")</f>
        <v>Critical</v>
      </c>
      <c r="N1529" s="29">
        <v>358.93</v>
      </c>
      <c r="O1529" s="29">
        <v>11844.69</v>
      </c>
      <c r="P1529" s="43">
        <f>IF(Table22[[#This Row],[Discount Applied]],Table22[[#This Row],[Total Sales (in USD)]]*(1-Table22[[#This Row],[Discount Percentage (%)]]/100),Table22[[#This Row],[Total Sales (in USD)]])</f>
        <v>11844.69</v>
      </c>
      <c r="Q1529" s="66">
        <f>SQRT(AVERAGE((Table22[[#This Row],[Net Sales (after discount) (in USD)]]-AVERAGE(Table22[Net Sales (after discount) (in USD)]))^2))</f>
        <v>24666.670563764535</v>
      </c>
      <c r="R1529" s="18" t="b">
        <v>1</v>
      </c>
      <c r="S1529" s="40">
        <v>11.85</v>
      </c>
      <c r="T1529" s="18" t="b">
        <v>0</v>
      </c>
      <c r="U1529" s="25">
        <v>45376</v>
      </c>
      <c r="V1529" s="63" t="str">
        <f>IF(MONTH(Table22[[#This Row],[Sales Date]])&lt;=3,"Q1",IF(MONTH(Table22[[#This Row],[Sales Date]])&lt;=6,"Q2",IF(MONTH(Table22[[#This Row],[Sales Date]])&lt;=9,"Q3","Q4")))</f>
        <v>Q1</v>
      </c>
      <c r="W1529" s="64">
        <f>YEAR(Table22[[#This Row],[Sales Date]])</f>
        <v>2024</v>
      </c>
      <c r="X1529" s="23">
        <v>19</v>
      </c>
      <c r="Y1529" s="18" t="s">
        <v>41</v>
      </c>
      <c r="Z1529" s="18" t="s">
        <v>56</v>
      </c>
      <c r="AA1529" s="19" t="s">
        <v>36</v>
      </c>
    </row>
    <row r="1530" spans="1:27" x14ac:dyDescent="0.25">
      <c r="A1530" s="17" t="s">
        <v>831</v>
      </c>
      <c r="B1530" s="18" t="s">
        <v>46</v>
      </c>
      <c r="C1530" s="63" t="str" cm="1">
        <f t="array" ref="C1530">_xlfn.SWITCH(Table22[[#This Row],[Country]],"USA","North America","Canada","North America","Brazil","South America","China","Asia","Japan","Asia","India","Asia","France","Europe","Germany","Europe","UK","Europe","Australia","Oceania","South America")</f>
        <v>South America</v>
      </c>
      <c r="D1530" s="18" t="s">
        <v>35</v>
      </c>
      <c r="E1530" s="18" t="s">
        <v>33</v>
      </c>
      <c r="F1530" s="18" t="s">
        <v>64</v>
      </c>
      <c r="G1530" s="18" t="s">
        <v>22</v>
      </c>
      <c r="H1530" s="64">
        <f>LEN(TRIM(Table22[[#This Row],[Country]]))</f>
        <v>6</v>
      </c>
      <c r="I1530" s="64">
        <f>LEN(TRIM(Table22[[#This Row],[Continent]]))</f>
        <v>13</v>
      </c>
      <c r="J1530" s="64">
        <f>LEN(TRIM(Table22[[#This Row],[Product]]))</f>
        <v>10</v>
      </c>
      <c r="K1530" s="64">
        <f>LEN(TRIM(Table22[[#This Row],[Sales Team]]))</f>
        <v>10</v>
      </c>
      <c r="L1530" s="23">
        <v>81</v>
      </c>
      <c r="M1530" s="65" t="str" cm="1">
        <f t="array" ref="M1530">_xlfn.IFS(Table22[[#This Row],[Units Sold]]&lt;40,"Critical",Table22[[#This Row],[Units Sold]]&lt;=50,"Poor",Table22[[#This Row],[Units Sold]]&lt;=60,"Low",Table22[[#This Row],[Units Sold]]&lt;=80,"Average",Table22[[#This Row],[Units Sold]]&lt;=90,"High",Table22[[#This Row],[Units Sold]]&lt;=95,"Excellent",Table22[[#This Row],[Units Sold]]&gt;95,"Outstanding")</f>
        <v>High</v>
      </c>
      <c r="N1530" s="29">
        <v>146.12</v>
      </c>
      <c r="O1530" s="29">
        <v>11835.72</v>
      </c>
      <c r="P1530" s="43">
        <f>IF(Table22[[#This Row],[Discount Applied]],Table22[[#This Row],[Total Sales (in USD)]]*(1-Table22[[#This Row],[Discount Percentage (%)]]/100),Table22[[#This Row],[Total Sales (in USD)]])</f>
        <v>11835.72</v>
      </c>
      <c r="Q1530" s="66">
        <f>SQRT(AVERAGE((Table22[[#This Row],[Net Sales (after discount) (in USD)]]-AVERAGE(Table22[Net Sales (after discount) (in USD)]))^2))</f>
        <v>24675.640563764537</v>
      </c>
      <c r="R1530" s="18" t="b">
        <v>0</v>
      </c>
      <c r="S1530" s="40">
        <v>1.03</v>
      </c>
      <c r="T1530" s="18" t="b">
        <v>0</v>
      </c>
      <c r="U1530" s="25">
        <v>45276</v>
      </c>
      <c r="V1530" s="63" t="str">
        <f>IF(MONTH(Table22[[#This Row],[Sales Date]])&lt;=3,"Q1",IF(MONTH(Table22[[#This Row],[Sales Date]])&lt;=6,"Q2",IF(MONTH(Table22[[#This Row],[Sales Date]])&lt;=9,"Q3","Q4")))</f>
        <v>Q4</v>
      </c>
      <c r="W1530" s="64">
        <f>YEAR(Table22[[#This Row],[Sales Date]])</f>
        <v>2023</v>
      </c>
      <c r="X1530" s="23">
        <v>49</v>
      </c>
      <c r="Y1530" s="18" t="s">
        <v>23</v>
      </c>
      <c r="Z1530" s="18" t="s">
        <v>24</v>
      </c>
      <c r="AA1530" s="19" t="s">
        <v>25</v>
      </c>
    </row>
    <row r="1531" spans="1:27" x14ac:dyDescent="0.25">
      <c r="A1531" s="17" t="s">
        <v>153</v>
      </c>
      <c r="B1531" s="18" t="s">
        <v>72</v>
      </c>
      <c r="C1531" s="63" t="str" cm="1">
        <f t="array" ref="C1531">_xlfn.SWITCH(Table22[[#This Row],[Country]],"USA","North America","Canada","North America","Brazil","South America","China","Asia","Japan","Asia","India","Asia","France","Europe","Germany","Europe","UK","Europe","Australia","Oceania","South America")</f>
        <v>North America</v>
      </c>
      <c r="D1531" s="18" t="s">
        <v>28</v>
      </c>
      <c r="E1531" s="18" t="s">
        <v>19</v>
      </c>
      <c r="F1531" s="18" t="s">
        <v>20</v>
      </c>
      <c r="G1531" s="18" t="s">
        <v>48</v>
      </c>
      <c r="H1531" s="64">
        <f>LEN(TRIM(Table22[[#This Row],[Country]]))</f>
        <v>3</v>
      </c>
      <c r="I1531" s="64">
        <f>LEN(TRIM(Table22[[#This Row],[Continent]]))</f>
        <v>13</v>
      </c>
      <c r="J1531" s="64">
        <f>LEN(TRIM(Table22[[#This Row],[Product]]))</f>
        <v>6</v>
      </c>
      <c r="K1531" s="64">
        <f>LEN(TRIM(Table22[[#This Row],[Sales Team]]))</f>
        <v>9</v>
      </c>
      <c r="L1531" s="23">
        <v>12</v>
      </c>
      <c r="M1531" s="65" t="str" cm="1">
        <f t="array" ref="M1531">_xlfn.IFS(Table22[[#This Row],[Units Sold]]&lt;40,"Critical",Table22[[#This Row],[Units Sold]]&lt;=50,"Poor",Table22[[#This Row],[Units Sold]]&lt;=60,"Low",Table22[[#This Row],[Units Sold]]&lt;=80,"Average",Table22[[#This Row],[Units Sold]]&lt;=90,"High",Table22[[#This Row],[Units Sold]]&lt;=95,"Excellent",Table22[[#This Row],[Units Sold]]&gt;95,"Outstanding")</f>
        <v>Critical</v>
      </c>
      <c r="N1531" s="29">
        <v>983.19</v>
      </c>
      <c r="O1531" s="29">
        <v>11798.28</v>
      </c>
      <c r="P1531" s="43">
        <f>IF(Table22[[#This Row],[Discount Applied]],Table22[[#This Row],[Total Sales (in USD)]]*(1-Table22[[#This Row],[Discount Percentage (%)]]/100),Table22[[#This Row],[Total Sales (in USD)]])</f>
        <v>11602.428552000001</v>
      </c>
      <c r="Q1531" s="66">
        <f>SQRT(AVERAGE((Table22[[#This Row],[Net Sales (after discount) (in USD)]]-AVERAGE(Table22[Net Sales (after discount) (in USD)]))^2))</f>
        <v>24908.932011764537</v>
      </c>
      <c r="R1531" s="18" t="b">
        <v>1</v>
      </c>
      <c r="S1531" s="40">
        <v>1.66</v>
      </c>
      <c r="T1531" s="18" t="b">
        <v>1</v>
      </c>
      <c r="U1531" s="25">
        <v>45287</v>
      </c>
      <c r="V1531" s="63" t="str">
        <f>IF(MONTH(Table22[[#This Row],[Sales Date]])&lt;=3,"Q1",IF(MONTH(Table22[[#This Row],[Sales Date]])&lt;=6,"Q2",IF(MONTH(Table22[[#This Row],[Sales Date]])&lt;=9,"Q3","Q4")))</f>
        <v>Q4</v>
      </c>
      <c r="W1531" s="64">
        <f>YEAR(Table22[[#This Row],[Sales Date]])</f>
        <v>2023</v>
      </c>
      <c r="X1531" s="23">
        <v>37</v>
      </c>
      <c r="Y1531" s="18" t="s">
        <v>49</v>
      </c>
      <c r="Z1531" s="18" t="s">
        <v>30</v>
      </c>
      <c r="AA1531" s="19" t="s">
        <v>25</v>
      </c>
    </row>
    <row r="1532" spans="1:27" x14ac:dyDescent="0.25">
      <c r="A1532" s="17" t="s">
        <v>170</v>
      </c>
      <c r="B1532" s="18" t="s">
        <v>18</v>
      </c>
      <c r="C1532" s="63" t="str" cm="1">
        <f t="array" ref="C1532">_xlfn.SWITCH(Table22[[#This Row],[Country]],"USA","North America","Canada","North America","Brazil","South America","China","Asia","Japan","Asia","India","Asia","France","Europe","Germany","Europe","UK","Europe","Australia","Oceania","South America")</f>
        <v>Asia</v>
      </c>
      <c r="D1532" s="18" t="s">
        <v>44</v>
      </c>
      <c r="E1532" s="18" t="s">
        <v>39</v>
      </c>
      <c r="F1532" s="18" t="s">
        <v>20</v>
      </c>
      <c r="G1532" s="18" t="s">
        <v>40</v>
      </c>
      <c r="H1532" s="64">
        <f>LEN(TRIM(Table22[[#This Row],[Country]]))</f>
        <v>5</v>
      </c>
      <c r="I1532" s="64">
        <f>LEN(TRIM(Table22[[#This Row],[Continent]]))</f>
        <v>4</v>
      </c>
      <c r="J1532" s="64">
        <f>LEN(TRIM(Table22[[#This Row],[Product]]))</f>
        <v>10</v>
      </c>
      <c r="K1532" s="64">
        <f>LEN(TRIM(Table22[[#This Row],[Sales Team]]))</f>
        <v>10</v>
      </c>
      <c r="L1532" s="23">
        <v>55</v>
      </c>
      <c r="M1532" s="65" t="str" cm="1">
        <f t="array" ref="M1532">_xlfn.IFS(Table22[[#This Row],[Units Sold]]&lt;40,"Critical",Table22[[#This Row],[Units Sold]]&lt;=50,"Poor",Table22[[#This Row],[Units Sold]]&lt;=60,"Low",Table22[[#This Row],[Units Sold]]&lt;=80,"Average",Table22[[#This Row],[Units Sold]]&lt;=90,"High",Table22[[#This Row],[Units Sold]]&lt;=95,"Excellent",Table22[[#This Row],[Units Sold]]&gt;95,"Outstanding")</f>
        <v>Low</v>
      </c>
      <c r="N1532" s="29">
        <v>214.05</v>
      </c>
      <c r="O1532" s="29">
        <v>11772.75</v>
      </c>
      <c r="P1532" s="43">
        <f>IF(Table22[[#This Row],[Discount Applied]],Table22[[#This Row],[Total Sales (in USD)]]*(1-Table22[[#This Row],[Discount Percentage (%)]]/100),Table22[[#This Row],[Total Sales (in USD)]])</f>
        <v>11772.75</v>
      </c>
      <c r="Q1532" s="66">
        <f>SQRT(AVERAGE((Table22[[#This Row],[Net Sales (after discount) (in USD)]]-AVERAGE(Table22[Net Sales (after discount) (in USD)]))^2))</f>
        <v>24738.610563764538</v>
      </c>
      <c r="R1532" s="18" t="b">
        <v>1</v>
      </c>
      <c r="S1532" s="40">
        <v>5.17</v>
      </c>
      <c r="T1532" s="18" t="b">
        <v>0</v>
      </c>
      <c r="U1532" s="25">
        <v>45522</v>
      </c>
      <c r="V1532" s="63" t="str">
        <f>IF(MONTH(Table22[[#This Row],[Sales Date]])&lt;=3,"Q1",IF(MONTH(Table22[[#This Row],[Sales Date]])&lt;=6,"Q2",IF(MONTH(Table22[[#This Row],[Sales Date]])&lt;=9,"Q3","Q4")))</f>
        <v>Q3</v>
      </c>
      <c r="W1532" s="64">
        <f>YEAR(Table22[[#This Row],[Sales Date]])</f>
        <v>2024</v>
      </c>
      <c r="X1532" s="23">
        <v>32</v>
      </c>
      <c r="Y1532" s="18" t="s">
        <v>41</v>
      </c>
      <c r="Z1532" s="18" t="s">
        <v>56</v>
      </c>
      <c r="AA1532" s="19" t="s">
        <v>25</v>
      </c>
    </row>
    <row r="1533" spans="1:27" x14ac:dyDescent="0.25">
      <c r="A1533" s="17" t="s">
        <v>1110</v>
      </c>
      <c r="B1533" s="18" t="s">
        <v>38</v>
      </c>
      <c r="C1533" s="63" t="str" cm="1">
        <f t="array" ref="C1533">_xlfn.SWITCH(Table22[[#This Row],[Country]],"USA","North America","Canada","North America","Brazil","South America","China","Asia","Japan","Asia","India","Asia","France","Europe","Germany","Europe","UK","Europe","Australia","Oceania","South America")</f>
        <v>Europe</v>
      </c>
      <c r="D1533" s="18" t="s">
        <v>35</v>
      </c>
      <c r="E1533" s="18" t="s">
        <v>39</v>
      </c>
      <c r="F1533" s="18" t="s">
        <v>64</v>
      </c>
      <c r="G1533" s="18" t="s">
        <v>29</v>
      </c>
      <c r="H1533" s="64">
        <f>LEN(TRIM(Table22[[#This Row],[Country]]))</f>
        <v>6</v>
      </c>
      <c r="I1533" s="64">
        <f>LEN(TRIM(Table22[[#This Row],[Continent]]))</f>
        <v>6</v>
      </c>
      <c r="J1533" s="64">
        <f>LEN(TRIM(Table22[[#This Row],[Product]]))</f>
        <v>10</v>
      </c>
      <c r="K1533" s="64">
        <f>LEN(TRIM(Table22[[#This Row],[Sales Team]]))</f>
        <v>10</v>
      </c>
      <c r="L1533" s="23">
        <v>43</v>
      </c>
      <c r="M1533" s="65" t="str" cm="1">
        <f t="array" ref="M1533">_xlfn.IFS(Table22[[#This Row],[Units Sold]]&lt;40,"Critical",Table22[[#This Row],[Units Sold]]&lt;=50,"Poor",Table22[[#This Row],[Units Sold]]&lt;=60,"Low",Table22[[#This Row],[Units Sold]]&lt;=80,"Average",Table22[[#This Row],[Units Sold]]&lt;=90,"High",Table22[[#This Row],[Units Sold]]&lt;=95,"Excellent",Table22[[#This Row],[Units Sold]]&gt;95,"Outstanding")</f>
        <v>Poor</v>
      </c>
      <c r="N1533" s="29">
        <v>273.05</v>
      </c>
      <c r="O1533" s="29">
        <v>11741.15</v>
      </c>
      <c r="P1533" s="43">
        <f>IF(Table22[[#This Row],[Discount Applied]],Table22[[#This Row],[Total Sales (in USD)]]*(1-Table22[[#This Row],[Discount Percentage (%)]]/100),Table22[[#This Row],[Total Sales (in USD)]])</f>
        <v>11365.433199999999</v>
      </c>
      <c r="Q1533" s="66">
        <f>SQRT(AVERAGE((Table22[[#This Row],[Net Sales (after discount) (in USD)]]-AVERAGE(Table22[Net Sales (after discount) (in USD)]))^2))</f>
        <v>25145.927363764538</v>
      </c>
      <c r="R1533" s="18" t="b">
        <v>1</v>
      </c>
      <c r="S1533" s="40">
        <v>3.2</v>
      </c>
      <c r="T1533" s="18" t="b">
        <v>1</v>
      </c>
      <c r="U1533" s="25">
        <v>44969</v>
      </c>
      <c r="V1533" s="63" t="str">
        <f>IF(MONTH(Table22[[#This Row],[Sales Date]])&lt;=3,"Q1",IF(MONTH(Table22[[#This Row],[Sales Date]])&lt;=6,"Q2",IF(MONTH(Table22[[#This Row],[Sales Date]])&lt;=9,"Q3","Q4")))</f>
        <v>Q1</v>
      </c>
      <c r="W1533" s="64">
        <f>YEAR(Table22[[#This Row],[Sales Date]])</f>
        <v>2023</v>
      </c>
      <c r="X1533" s="23">
        <v>57</v>
      </c>
      <c r="Y1533" s="18" t="s">
        <v>23</v>
      </c>
      <c r="Z1533" s="18" t="s">
        <v>30</v>
      </c>
      <c r="AA1533" s="19" t="s">
        <v>36</v>
      </c>
    </row>
    <row r="1534" spans="1:27" x14ac:dyDescent="0.25">
      <c r="A1534" s="17" t="s">
        <v>412</v>
      </c>
      <c r="B1534" s="18" t="s">
        <v>27</v>
      </c>
      <c r="C1534" s="63" t="str" cm="1">
        <f t="array" ref="C1534">_xlfn.SWITCH(Table22[[#This Row],[Country]],"USA","North America","Canada","North America","Brazil","South America","China","Asia","Japan","Asia","India","Asia","France","Europe","Germany","Europe","UK","Europe","Australia","Oceania","South America")</f>
        <v>Europe</v>
      </c>
      <c r="D1534" s="18" t="s">
        <v>35</v>
      </c>
      <c r="E1534" s="18" t="s">
        <v>19</v>
      </c>
      <c r="F1534" s="18" t="s">
        <v>52</v>
      </c>
      <c r="G1534" s="18" t="s">
        <v>48</v>
      </c>
      <c r="H1534" s="64">
        <f>LEN(TRIM(Table22[[#This Row],[Country]]))</f>
        <v>7</v>
      </c>
      <c r="I1534" s="64">
        <f>LEN(TRIM(Table22[[#This Row],[Continent]]))</f>
        <v>6</v>
      </c>
      <c r="J1534" s="64">
        <f>LEN(TRIM(Table22[[#This Row],[Product]]))</f>
        <v>6</v>
      </c>
      <c r="K1534" s="64">
        <f>LEN(TRIM(Table22[[#This Row],[Sales Team]]))</f>
        <v>9</v>
      </c>
      <c r="L1534" s="23">
        <v>48</v>
      </c>
      <c r="M1534" s="65" t="str" cm="1">
        <f t="array" ref="M1534">_xlfn.IFS(Table22[[#This Row],[Units Sold]]&lt;40,"Critical",Table22[[#This Row],[Units Sold]]&lt;=50,"Poor",Table22[[#This Row],[Units Sold]]&lt;=60,"Low",Table22[[#This Row],[Units Sold]]&lt;=80,"Average",Table22[[#This Row],[Units Sold]]&lt;=90,"High",Table22[[#This Row],[Units Sold]]&lt;=95,"Excellent",Table22[[#This Row],[Units Sold]]&gt;95,"Outstanding")</f>
        <v>Poor</v>
      </c>
      <c r="N1534" s="29">
        <v>244.47</v>
      </c>
      <c r="O1534" s="29">
        <v>11734.56</v>
      </c>
      <c r="P1534" s="43">
        <f>IF(Table22[[#This Row],[Discount Applied]],Table22[[#This Row],[Total Sales (in USD)]]*(1-Table22[[#This Row],[Discount Percentage (%)]]/100),Table22[[#This Row],[Total Sales (in USD)]])</f>
        <v>11734.56</v>
      </c>
      <c r="Q1534" s="66">
        <f>SQRT(AVERAGE((Table22[[#This Row],[Net Sales (after discount) (in USD)]]-AVERAGE(Table22[Net Sales (after discount) (in USD)]))^2))</f>
        <v>24776.80056376454</v>
      </c>
      <c r="R1534" s="18" t="b">
        <v>1</v>
      </c>
      <c r="S1534" s="40">
        <v>1.96</v>
      </c>
      <c r="T1534" s="18" t="b">
        <v>0</v>
      </c>
      <c r="U1534" s="25">
        <v>45333</v>
      </c>
      <c r="V1534" s="63" t="str">
        <f>IF(MONTH(Table22[[#This Row],[Sales Date]])&lt;=3,"Q1",IF(MONTH(Table22[[#This Row],[Sales Date]])&lt;=6,"Q2",IF(MONTH(Table22[[#This Row],[Sales Date]])&lt;=9,"Q3","Q4")))</f>
        <v>Q1</v>
      </c>
      <c r="W1534" s="64">
        <f>YEAR(Table22[[#This Row],[Sales Date]])</f>
        <v>2024</v>
      </c>
      <c r="X1534" s="23">
        <v>23</v>
      </c>
      <c r="Y1534" s="18" t="s">
        <v>49</v>
      </c>
      <c r="Z1534" s="18" t="s">
        <v>24</v>
      </c>
      <c r="AA1534" s="19" t="s">
        <v>25</v>
      </c>
    </row>
    <row r="1535" spans="1:27" x14ac:dyDescent="0.25">
      <c r="A1535" s="17" t="s">
        <v>1402</v>
      </c>
      <c r="B1535" s="18" t="s">
        <v>38</v>
      </c>
      <c r="C1535" s="63" t="str" cm="1">
        <f t="array" ref="C1535">_xlfn.SWITCH(Table22[[#This Row],[Country]],"USA","North America","Canada","North America","Brazil","South America","China","Asia","Japan","Asia","India","Asia","France","Europe","Germany","Europe","UK","Europe","Australia","Oceania","South America")</f>
        <v>Europe</v>
      </c>
      <c r="D1535" s="18" t="s">
        <v>28</v>
      </c>
      <c r="E1535" s="18" t="s">
        <v>39</v>
      </c>
      <c r="F1535" s="18" t="s">
        <v>52</v>
      </c>
      <c r="G1535" s="18" t="s">
        <v>40</v>
      </c>
      <c r="H1535" s="64">
        <f>LEN(TRIM(Table22[[#This Row],[Country]]))</f>
        <v>6</v>
      </c>
      <c r="I1535" s="64">
        <f>LEN(TRIM(Table22[[#This Row],[Continent]]))</f>
        <v>6</v>
      </c>
      <c r="J1535" s="64">
        <f>LEN(TRIM(Table22[[#This Row],[Product]]))</f>
        <v>10</v>
      </c>
      <c r="K1535" s="64">
        <f>LEN(TRIM(Table22[[#This Row],[Sales Team]]))</f>
        <v>10</v>
      </c>
      <c r="L1535" s="23">
        <v>21</v>
      </c>
      <c r="M1535" s="65" t="str" cm="1">
        <f t="array" ref="M1535">_xlfn.IFS(Table22[[#This Row],[Units Sold]]&lt;40,"Critical",Table22[[#This Row],[Units Sold]]&lt;=50,"Poor",Table22[[#This Row],[Units Sold]]&lt;=60,"Low",Table22[[#This Row],[Units Sold]]&lt;=80,"Average",Table22[[#This Row],[Units Sold]]&lt;=90,"High",Table22[[#This Row],[Units Sold]]&lt;=95,"Excellent",Table22[[#This Row],[Units Sold]]&gt;95,"Outstanding")</f>
        <v>Critical</v>
      </c>
      <c r="N1535" s="29">
        <v>555.34</v>
      </c>
      <c r="O1535" s="29">
        <v>11662.14</v>
      </c>
      <c r="P1535" s="43">
        <f>IF(Table22[[#This Row],[Discount Applied]],Table22[[#This Row],[Total Sales (in USD)]]*(1-Table22[[#This Row],[Discount Percentage (%)]]/100),Table22[[#This Row],[Total Sales (in USD)]])</f>
        <v>8235.8032679999997</v>
      </c>
      <c r="Q1535" s="66">
        <f>SQRT(AVERAGE((Table22[[#This Row],[Net Sales (after discount) (in USD)]]-AVERAGE(Table22[Net Sales (after discount) (in USD)]))^2))</f>
        <v>28275.557295764538</v>
      </c>
      <c r="R1535" s="18" t="b">
        <v>1</v>
      </c>
      <c r="S1535" s="40">
        <v>29.38</v>
      </c>
      <c r="T1535" s="18" t="b">
        <v>1</v>
      </c>
      <c r="U1535" s="25">
        <v>45425</v>
      </c>
      <c r="V1535" s="63" t="str">
        <f>IF(MONTH(Table22[[#This Row],[Sales Date]])&lt;=3,"Q1",IF(MONTH(Table22[[#This Row],[Sales Date]])&lt;=6,"Q2",IF(MONTH(Table22[[#This Row],[Sales Date]])&lt;=9,"Q3","Q4")))</f>
        <v>Q2</v>
      </c>
      <c r="W1535" s="64">
        <f>YEAR(Table22[[#This Row],[Sales Date]])</f>
        <v>2024</v>
      </c>
      <c r="X1535" s="23">
        <v>43</v>
      </c>
      <c r="Y1535" s="18" t="s">
        <v>41</v>
      </c>
      <c r="Z1535" s="18" t="s">
        <v>30</v>
      </c>
      <c r="AA1535" s="19" t="s">
        <v>36</v>
      </c>
    </row>
    <row r="1536" spans="1:27" x14ac:dyDescent="0.25">
      <c r="A1536" s="17" t="s">
        <v>1164</v>
      </c>
      <c r="B1536" s="18" t="s">
        <v>72</v>
      </c>
      <c r="C1536" s="63" t="str" cm="1">
        <f t="array" ref="C1536">_xlfn.SWITCH(Table22[[#This Row],[Country]],"USA","North America","Canada","North America","Brazil","South America","China","Asia","Japan","Asia","India","Asia","France","Europe","Germany","Europe","UK","Europe","Australia","Oceania","South America")</f>
        <v>North America</v>
      </c>
      <c r="D1536" s="18" t="s">
        <v>35</v>
      </c>
      <c r="E1536" s="18" t="s">
        <v>39</v>
      </c>
      <c r="F1536" s="18" t="s">
        <v>47</v>
      </c>
      <c r="G1536" s="18" t="s">
        <v>48</v>
      </c>
      <c r="H1536" s="64">
        <f>LEN(TRIM(Table22[[#This Row],[Country]]))</f>
        <v>3</v>
      </c>
      <c r="I1536" s="64">
        <f>LEN(TRIM(Table22[[#This Row],[Continent]]))</f>
        <v>13</v>
      </c>
      <c r="J1536" s="64">
        <f>LEN(TRIM(Table22[[#This Row],[Product]]))</f>
        <v>10</v>
      </c>
      <c r="K1536" s="64">
        <f>LEN(TRIM(Table22[[#This Row],[Sales Team]]))</f>
        <v>9</v>
      </c>
      <c r="L1536" s="23">
        <v>56</v>
      </c>
      <c r="M1536" s="65" t="str" cm="1">
        <f t="array" ref="M1536">_xlfn.IFS(Table22[[#This Row],[Units Sold]]&lt;40,"Critical",Table22[[#This Row],[Units Sold]]&lt;=50,"Poor",Table22[[#This Row],[Units Sold]]&lt;=60,"Low",Table22[[#This Row],[Units Sold]]&lt;=80,"Average",Table22[[#This Row],[Units Sold]]&lt;=90,"High",Table22[[#This Row],[Units Sold]]&lt;=95,"Excellent",Table22[[#This Row],[Units Sold]]&gt;95,"Outstanding")</f>
        <v>Low</v>
      </c>
      <c r="N1536" s="29">
        <v>207.02</v>
      </c>
      <c r="O1536" s="29">
        <v>11593.12</v>
      </c>
      <c r="P1536" s="43">
        <f>IF(Table22[[#This Row],[Discount Applied]],Table22[[#This Row],[Total Sales (in USD)]]*(1-Table22[[#This Row],[Discount Percentage (%)]]/100),Table22[[#This Row],[Total Sales (in USD)]])</f>
        <v>11593.12</v>
      </c>
      <c r="Q1536" s="66">
        <f>SQRT(AVERAGE((Table22[[#This Row],[Net Sales (after discount) (in USD)]]-AVERAGE(Table22[Net Sales (after discount) (in USD)]))^2))</f>
        <v>24918.240563764535</v>
      </c>
      <c r="R1536" s="18" t="b">
        <v>0</v>
      </c>
      <c r="S1536" s="40">
        <v>21.86</v>
      </c>
      <c r="T1536" s="18" t="b">
        <v>0</v>
      </c>
      <c r="U1536" s="25">
        <v>45355</v>
      </c>
      <c r="V1536" s="63" t="str">
        <f>IF(MONTH(Table22[[#This Row],[Sales Date]])&lt;=3,"Q1",IF(MONTH(Table22[[#This Row],[Sales Date]])&lt;=6,"Q2",IF(MONTH(Table22[[#This Row],[Sales Date]])&lt;=9,"Q3","Q4")))</f>
        <v>Q1</v>
      </c>
      <c r="W1536" s="64">
        <f>YEAR(Table22[[#This Row],[Sales Date]])</f>
        <v>2024</v>
      </c>
      <c r="X1536" s="23">
        <v>20</v>
      </c>
      <c r="Y1536" s="18" t="s">
        <v>49</v>
      </c>
      <c r="Z1536" s="18" t="s">
        <v>56</v>
      </c>
      <c r="AA1536" s="19" t="s">
        <v>36</v>
      </c>
    </row>
    <row r="1537" spans="1:27" x14ac:dyDescent="0.25">
      <c r="A1537" s="17" t="s">
        <v>732</v>
      </c>
      <c r="B1537" s="18" t="s">
        <v>66</v>
      </c>
      <c r="C1537" s="63" t="str" cm="1">
        <f t="array" ref="C1537">_xlfn.SWITCH(Table22[[#This Row],[Country]],"USA","North America","Canada","North America","Brazil","South America","China","Asia","Japan","Asia","India","Asia","France","Europe","Germany","Europe","UK","Europe","Australia","Oceania","South America")</f>
        <v>North America</v>
      </c>
      <c r="D1537" s="18" t="s">
        <v>44</v>
      </c>
      <c r="E1537" s="18" t="s">
        <v>33</v>
      </c>
      <c r="F1537" s="18" t="s">
        <v>64</v>
      </c>
      <c r="G1537" s="18" t="s">
        <v>40</v>
      </c>
      <c r="H1537" s="64">
        <f>LEN(TRIM(Table22[[#This Row],[Country]]))</f>
        <v>6</v>
      </c>
      <c r="I1537" s="64">
        <f>LEN(TRIM(Table22[[#This Row],[Continent]]))</f>
        <v>13</v>
      </c>
      <c r="J1537" s="64">
        <f>LEN(TRIM(Table22[[#This Row],[Product]]))</f>
        <v>10</v>
      </c>
      <c r="K1537" s="64">
        <f>LEN(TRIM(Table22[[#This Row],[Sales Team]]))</f>
        <v>10</v>
      </c>
      <c r="L1537" s="23">
        <v>46</v>
      </c>
      <c r="M1537" s="65" t="str" cm="1">
        <f t="array" ref="M1537">_xlfn.IFS(Table22[[#This Row],[Units Sold]]&lt;40,"Critical",Table22[[#This Row],[Units Sold]]&lt;=50,"Poor",Table22[[#This Row],[Units Sold]]&lt;=60,"Low",Table22[[#This Row],[Units Sold]]&lt;=80,"Average",Table22[[#This Row],[Units Sold]]&lt;=90,"High",Table22[[#This Row],[Units Sold]]&lt;=95,"Excellent",Table22[[#This Row],[Units Sold]]&gt;95,"Outstanding")</f>
        <v>Poor</v>
      </c>
      <c r="N1537" s="29">
        <v>251.98</v>
      </c>
      <c r="O1537" s="29">
        <v>11591.08</v>
      </c>
      <c r="P1537" s="43">
        <f>IF(Table22[[#This Row],[Discount Applied]],Table22[[#This Row],[Total Sales (in USD)]]*(1-Table22[[#This Row],[Discount Percentage (%)]]/100),Table22[[#This Row],[Total Sales (in USD)]])</f>
        <v>10007.738471999999</v>
      </c>
      <c r="Q1537" s="66">
        <f>SQRT(AVERAGE((Table22[[#This Row],[Net Sales (after discount) (in USD)]]-AVERAGE(Table22[Net Sales (after discount) (in USD)]))^2))</f>
        <v>26503.622091764541</v>
      </c>
      <c r="R1537" s="18" t="b">
        <v>1</v>
      </c>
      <c r="S1537" s="40">
        <v>13.66</v>
      </c>
      <c r="T1537" s="18" t="b">
        <v>1</v>
      </c>
      <c r="U1537" s="25">
        <v>44942</v>
      </c>
      <c r="V1537" s="63" t="str">
        <f>IF(MONTH(Table22[[#This Row],[Sales Date]])&lt;=3,"Q1",IF(MONTH(Table22[[#This Row],[Sales Date]])&lt;=6,"Q2",IF(MONTH(Table22[[#This Row],[Sales Date]])&lt;=9,"Q3","Q4")))</f>
        <v>Q1</v>
      </c>
      <c r="W1537" s="64">
        <f>YEAR(Table22[[#This Row],[Sales Date]])</f>
        <v>2023</v>
      </c>
      <c r="X1537" s="23">
        <v>50</v>
      </c>
      <c r="Y1537" s="18" t="s">
        <v>41</v>
      </c>
      <c r="Z1537" s="18" t="s">
        <v>56</v>
      </c>
      <c r="AA1537" s="19" t="s">
        <v>36</v>
      </c>
    </row>
    <row r="1538" spans="1:27" x14ac:dyDescent="0.25">
      <c r="A1538" s="17" t="s">
        <v>331</v>
      </c>
      <c r="B1538" s="18" t="s">
        <v>18</v>
      </c>
      <c r="C1538" s="63" t="str" cm="1">
        <f t="array" ref="C1538">_xlfn.SWITCH(Table22[[#This Row],[Country]],"USA","North America","Canada","North America","Brazil","South America","China","Asia","Japan","Asia","India","Asia","France","Europe","Germany","Europe","UK","Europe","Australia","Oceania","South America")</f>
        <v>Asia</v>
      </c>
      <c r="D1538" s="18" t="s">
        <v>44</v>
      </c>
      <c r="E1538" s="18" t="s">
        <v>33</v>
      </c>
      <c r="F1538" s="18" t="s">
        <v>64</v>
      </c>
      <c r="G1538" s="18" t="s">
        <v>40</v>
      </c>
      <c r="H1538" s="64">
        <f>LEN(TRIM(Table22[[#This Row],[Country]]))</f>
        <v>5</v>
      </c>
      <c r="I1538" s="64">
        <f>LEN(TRIM(Table22[[#This Row],[Continent]]))</f>
        <v>4</v>
      </c>
      <c r="J1538" s="64">
        <f>LEN(TRIM(Table22[[#This Row],[Product]]))</f>
        <v>10</v>
      </c>
      <c r="K1538" s="64">
        <f>LEN(TRIM(Table22[[#This Row],[Sales Team]]))</f>
        <v>10</v>
      </c>
      <c r="L1538" s="23">
        <v>18</v>
      </c>
      <c r="M1538" s="65" t="str" cm="1">
        <f t="array" ref="M1538">_xlfn.IFS(Table22[[#This Row],[Units Sold]]&lt;40,"Critical",Table22[[#This Row],[Units Sold]]&lt;=50,"Poor",Table22[[#This Row],[Units Sold]]&lt;=60,"Low",Table22[[#This Row],[Units Sold]]&lt;=80,"Average",Table22[[#This Row],[Units Sold]]&lt;=90,"High",Table22[[#This Row],[Units Sold]]&lt;=95,"Excellent",Table22[[#This Row],[Units Sold]]&gt;95,"Outstanding")</f>
        <v>Critical</v>
      </c>
      <c r="N1538" s="29">
        <v>643.38</v>
      </c>
      <c r="O1538" s="29">
        <v>11580.84</v>
      </c>
      <c r="P1538" s="43">
        <f>IF(Table22[[#This Row],[Discount Applied]],Table22[[#This Row],[Total Sales (in USD)]]*(1-Table22[[#This Row],[Discount Percentage (%)]]/100),Table22[[#This Row],[Total Sales (in USD)]])</f>
        <v>11580.84</v>
      </c>
      <c r="Q1538" s="66">
        <f>SQRT(AVERAGE((Table22[[#This Row],[Net Sales (after discount) (in USD)]]-AVERAGE(Table22[Net Sales (after discount) (in USD)]))^2))</f>
        <v>24930.520563764538</v>
      </c>
      <c r="R1538" s="18" t="b">
        <v>1</v>
      </c>
      <c r="S1538" s="40">
        <v>6.28</v>
      </c>
      <c r="T1538" s="18" t="b">
        <v>0</v>
      </c>
      <c r="U1538" s="25">
        <v>45007</v>
      </c>
      <c r="V1538" s="63" t="str">
        <f>IF(MONTH(Table22[[#This Row],[Sales Date]])&lt;=3,"Q1",IF(MONTH(Table22[[#This Row],[Sales Date]])&lt;=6,"Q2",IF(MONTH(Table22[[#This Row],[Sales Date]])&lt;=9,"Q3","Q4")))</f>
        <v>Q1</v>
      </c>
      <c r="W1538" s="64">
        <f>YEAR(Table22[[#This Row],[Sales Date]])</f>
        <v>2023</v>
      </c>
      <c r="X1538" s="23">
        <v>36</v>
      </c>
      <c r="Y1538" s="18" t="s">
        <v>49</v>
      </c>
      <c r="Z1538" s="18" t="s">
        <v>42</v>
      </c>
      <c r="AA1538" s="19" t="s">
        <v>25</v>
      </c>
    </row>
    <row r="1539" spans="1:27" x14ac:dyDescent="0.25">
      <c r="A1539" s="17" t="s">
        <v>1037</v>
      </c>
      <c r="B1539" s="18" t="s">
        <v>27</v>
      </c>
      <c r="C1539" s="63" t="str" cm="1">
        <f t="array" ref="C1539">_xlfn.SWITCH(Table22[[#This Row],[Country]],"USA","North America","Canada","North America","Brazil","South America","China","Asia","Japan","Asia","India","Asia","France","Europe","Germany","Europe","UK","Europe","Australia","Oceania","South America")</f>
        <v>Europe</v>
      </c>
      <c r="D1539" s="18" t="s">
        <v>21</v>
      </c>
      <c r="E1539" s="18" t="s">
        <v>39</v>
      </c>
      <c r="F1539" s="18" t="s">
        <v>64</v>
      </c>
      <c r="G1539" s="18" t="s">
        <v>22</v>
      </c>
      <c r="H1539" s="64">
        <f>LEN(TRIM(Table22[[#This Row],[Country]]))</f>
        <v>7</v>
      </c>
      <c r="I1539" s="64">
        <f>LEN(TRIM(Table22[[#This Row],[Continent]]))</f>
        <v>6</v>
      </c>
      <c r="J1539" s="64">
        <f>LEN(TRIM(Table22[[#This Row],[Product]]))</f>
        <v>10</v>
      </c>
      <c r="K1539" s="64">
        <f>LEN(TRIM(Table22[[#This Row],[Sales Team]]))</f>
        <v>10</v>
      </c>
      <c r="L1539" s="23">
        <v>44</v>
      </c>
      <c r="M1539" s="65" t="str" cm="1">
        <f t="array" ref="M1539">_xlfn.IFS(Table22[[#This Row],[Units Sold]]&lt;40,"Critical",Table22[[#This Row],[Units Sold]]&lt;=50,"Poor",Table22[[#This Row],[Units Sold]]&lt;=60,"Low",Table22[[#This Row],[Units Sold]]&lt;=80,"Average",Table22[[#This Row],[Units Sold]]&lt;=90,"High",Table22[[#This Row],[Units Sold]]&lt;=95,"Excellent",Table22[[#This Row],[Units Sold]]&gt;95,"Outstanding")</f>
        <v>Poor</v>
      </c>
      <c r="N1539" s="29">
        <v>263.02</v>
      </c>
      <c r="O1539" s="29">
        <v>11572.88</v>
      </c>
      <c r="P1539" s="43">
        <f>IF(Table22[[#This Row],[Discount Applied]],Table22[[#This Row],[Total Sales (in USD)]]*(1-Table22[[#This Row],[Discount Percentage (%)]]/100),Table22[[#This Row],[Total Sales (in USD)]])</f>
        <v>10563.724864</v>
      </c>
      <c r="Q1539" s="66">
        <f>SQRT(AVERAGE((Table22[[#This Row],[Net Sales (after discount) (in USD)]]-AVERAGE(Table22[Net Sales (after discount) (in USD)]))^2))</f>
        <v>25947.635699764538</v>
      </c>
      <c r="R1539" s="18" t="b">
        <v>1</v>
      </c>
      <c r="S1539" s="40">
        <v>8.7200000000000006</v>
      </c>
      <c r="T1539" s="18" t="b">
        <v>1</v>
      </c>
      <c r="U1539" s="25">
        <v>44971</v>
      </c>
      <c r="V1539" s="63" t="str">
        <f>IF(MONTH(Table22[[#This Row],[Sales Date]])&lt;=3,"Q1",IF(MONTH(Table22[[#This Row],[Sales Date]])&lt;=6,"Q2",IF(MONTH(Table22[[#This Row],[Sales Date]])&lt;=9,"Q3","Q4")))</f>
        <v>Q1</v>
      </c>
      <c r="W1539" s="64">
        <f>YEAR(Table22[[#This Row],[Sales Date]])</f>
        <v>2023</v>
      </c>
      <c r="X1539" s="23">
        <v>23</v>
      </c>
      <c r="Y1539" s="18" t="s">
        <v>49</v>
      </c>
      <c r="Z1539" s="18" t="s">
        <v>24</v>
      </c>
      <c r="AA1539" s="19" t="s">
        <v>25</v>
      </c>
    </row>
    <row r="1540" spans="1:27" x14ac:dyDescent="0.25">
      <c r="A1540" s="17" t="s">
        <v>293</v>
      </c>
      <c r="B1540" s="18" t="s">
        <v>51</v>
      </c>
      <c r="C1540" s="63" t="str" cm="1">
        <f t="array" ref="C1540">_xlfn.SWITCH(Table22[[#This Row],[Country]],"USA","North America","Canada","North America","Brazil","South America","China","Asia","Japan","Asia","India","Asia","France","Europe","Germany","Europe","UK","Europe","Australia","Oceania","South America")</f>
        <v>Europe</v>
      </c>
      <c r="D1540" s="18" t="s">
        <v>35</v>
      </c>
      <c r="E1540" s="18" t="s">
        <v>33</v>
      </c>
      <c r="F1540" s="18" t="s">
        <v>64</v>
      </c>
      <c r="G1540" s="18" t="s">
        <v>22</v>
      </c>
      <c r="H1540" s="64">
        <f>LEN(TRIM(Table22[[#This Row],[Country]]))</f>
        <v>2</v>
      </c>
      <c r="I1540" s="64">
        <f>LEN(TRIM(Table22[[#This Row],[Continent]]))</f>
        <v>6</v>
      </c>
      <c r="J1540" s="64">
        <f>LEN(TRIM(Table22[[#This Row],[Product]]))</f>
        <v>10</v>
      </c>
      <c r="K1540" s="64">
        <f>LEN(TRIM(Table22[[#This Row],[Sales Team]]))</f>
        <v>10</v>
      </c>
      <c r="L1540" s="23">
        <v>22</v>
      </c>
      <c r="M1540" s="65" t="str" cm="1">
        <f t="array" ref="M1540">_xlfn.IFS(Table22[[#This Row],[Units Sold]]&lt;40,"Critical",Table22[[#This Row],[Units Sold]]&lt;=50,"Poor",Table22[[#This Row],[Units Sold]]&lt;=60,"Low",Table22[[#This Row],[Units Sold]]&lt;=80,"Average",Table22[[#This Row],[Units Sold]]&lt;=90,"High",Table22[[#This Row],[Units Sold]]&lt;=95,"Excellent",Table22[[#This Row],[Units Sold]]&gt;95,"Outstanding")</f>
        <v>Critical</v>
      </c>
      <c r="N1540" s="29">
        <v>525.27</v>
      </c>
      <c r="O1540" s="29">
        <v>11555.94</v>
      </c>
      <c r="P1540" s="43">
        <f>IF(Table22[[#This Row],[Discount Applied]],Table22[[#This Row],[Total Sales (in USD)]]*(1-Table22[[#This Row],[Discount Percentage (%)]]/100),Table22[[#This Row],[Total Sales (in USD)]])</f>
        <v>11555.94</v>
      </c>
      <c r="Q1540" s="66">
        <f>SQRT(AVERAGE((Table22[[#This Row],[Net Sales (after discount) (in USD)]]-AVERAGE(Table22[Net Sales (after discount) (in USD)]))^2))</f>
        <v>24955.420563764535</v>
      </c>
      <c r="R1540" s="18" t="b">
        <v>1</v>
      </c>
      <c r="S1540" s="40">
        <v>23.03</v>
      </c>
      <c r="T1540" s="18" t="b">
        <v>0</v>
      </c>
      <c r="U1540" s="25">
        <v>45495</v>
      </c>
      <c r="V1540" s="63" t="str">
        <f>IF(MONTH(Table22[[#This Row],[Sales Date]])&lt;=3,"Q1",IF(MONTH(Table22[[#This Row],[Sales Date]])&lt;=6,"Q2",IF(MONTH(Table22[[#This Row],[Sales Date]])&lt;=9,"Q3","Q4")))</f>
        <v>Q3</v>
      </c>
      <c r="W1540" s="64">
        <f>YEAR(Table22[[#This Row],[Sales Date]])</f>
        <v>2024</v>
      </c>
      <c r="X1540" s="23">
        <v>18</v>
      </c>
      <c r="Y1540" s="18" t="s">
        <v>49</v>
      </c>
      <c r="Z1540" s="18" t="s">
        <v>42</v>
      </c>
      <c r="AA1540" s="19" t="s">
        <v>36</v>
      </c>
    </row>
    <row r="1541" spans="1:27" x14ac:dyDescent="0.25">
      <c r="A1541" s="17" t="s">
        <v>432</v>
      </c>
      <c r="B1541" s="18" t="s">
        <v>72</v>
      </c>
      <c r="C1541" s="63" t="str" cm="1">
        <f t="array" ref="C1541">_xlfn.SWITCH(Table22[[#This Row],[Country]],"USA","North America","Canada","North America","Brazil","South America","China","Asia","Japan","Asia","India","Asia","France","Europe","Germany","Europe","UK","Europe","Australia","Oceania","South America")</f>
        <v>North America</v>
      </c>
      <c r="D1541" s="18" t="s">
        <v>35</v>
      </c>
      <c r="E1541" s="18" t="s">
        <v>19</v>
      </c>
      <c r="F1541" s="18" t="s">
        <v>47</v>
      </c>
      <c r="G1541" s="18" t="s">
        <v>40</v>
      </c>
      <c r="H1541" s="64">
        <f>LEN(TRIM(Table22[[#This Row],[Country]]))</f>
        <v>3</v>
      </c>
      <c r="I1541" s="64">
        <f>LEN(TRIM(Table22[[#This Row],[Continent]]))</f>
        <v>13</v>
      </c>
      <c r="J1541" s="64">
        <f>LEN(TRIM(Table22[[#This Row],[Product]]))</f>
        <v>6</v>
      </c>
      <c r="K1541" s="64">
        <f>LEN(TRIM(Table22[[#This Row],[Sales Team]]))</f>
        <v>10</v>
      </c>
      <c r="L1541" s="23">
        <v>11</v>
      </c>
      <c r="M1541" s="65" t="str" cm="1">
        <f t="array" ref="M1541">_xlfn.IFS(Table22[[#This Row],[Units Sold]]&lt;40,"Critical",Table22[[#This Row],[Units Sold]]&lt;=50,"Poor",Table22[[#This Row],[Units Sold]]&lt;=60,"Low",Table22[[#This Row],[Units Sold]]&lt;=80,"Average",Table22[[#This Row],[Units Sold]]&lt;=90,"High",Table22[[#This Row],[Units Sold]]&lt;=95,"Excellent",Table22[[#This Row],[Units Sold]]&gt;95,"Outstanding")</f>
        <v>Critical</v>
      </c>
      <c r="N1541" s="29">
        <v>1049.05</v>
      </c>
      <c r="O1541" s="29">
        <v>11539.55</v>
      </c>
      <c r="P1541" s="43">
        <f>IF(Table22[[#This Row],[Discount Applied]],Table22[[#This Row],[Total Sales (in USD)]]*(1-Table22[[#This Row],[Discount Percentage (%)]]/100),Table22[[#This Row],[Total Sales (in USD)]])</f>
        <v>11436.848005</v>
      </c>
      <c r="Q1541" s="66">
        <f>SQRT(AVERAGE((Table22[[#This Row],[Net Sales (after discount) (in USD)]]-AVERAGE(Table22[Net Sales (after discount) (in USD)]))^2))</f>
        <v>25074.512558764538</v>
      </c>
      <c r="R1541" s="18" t="b">
        <v>1</v>
      </c>
      <c r="S1541" s="40">
        <v>0.89</v>
      </c>
      <c r="T1541" s="18" t="b">
        <v>1</v>
      </c>
      <c r="U1541" s="25">
        <v>45203</v>
      </c>
      <c r="V1541" s="63" t="str">
        <f>IF(MONTH(Table22[[#This Row],[Sales Date]])&lt;=3,"Q1",IF(MONTH(Table22[[#This Row],[Sales Date]])&lt;=6,"Q2",IF(MONTH(Table22[[#This Row],[Sales Date]])&lt;=9,"Q3","Q4")))</f>
        <v>Q4</v>
      </c>
      <c r="W1541" s="64">
        <f>YEAR(Table22[[#This Row],[Sales Date]])</f>
        <v>2023</v>
      </c>
      <c r="X1541" s="23">
        <v>23</v>
      </c>
      <c r="Y1541" s="18" t="s">
        <v>23</v>
      </c>
      <c r="Z1541" s="18" t="s">
        <v>30</v>
      </c>
      <c r="AA1541" s="19" t="s">
        <v>25</v>
      </c>
    </row>
    <row r="1542" spans="1:27" x14ac:dyDescent="0.25">
      <c r="A1542" s="17" t="s">
        <v>1635</v>
      </c>
      <c r="B1542" s="18" t="s">
        <v>38</v>
      </c>
      <c r="C1542" s="63" t="str" cm="1">
        <f t="array" ref="C1542">_xlfn.SWITCH(Table22[[#This Row],[Country]],"USA","North America","Canada","North America","Brazil","South America","China","Asia","Japan","Asia","India","Asia","France","Europe","Germany","Europe","UK","Europe","Australia","Oceania","South America")</f>
        <v>Europe</v>
      </c>
      <c r="D1542" s="18" t="s">
        <v>28</v>
      </c>
      <c r="E1542" s="18" t="s">
        <v>33</v>
      </c>
      <c r="F1542" s="18" t="s">
        <v>52</v>
      </c>
      <c r="G1542" s="18" t="s">
        <v>48</v>
      </c>
      <c r="H1542" s="64">
        <f>LEN(TRIM(Table22[[#This Row],[Country]]))</f>
        <v>6</v>
      </c>
      <c r="I1542" s="64">
        <f>LEN(TRIM(Table22[[#This Row],[Continent]]))</f>
        <v>6</v>
      </c>
      <c r="J1542" s="64">
        <f>LEN(TRIM(Table22[[#This Row],[Product]]))</f>
        <v>10</v>
      </c>
      <c r="K1542" s="64">
        <f>LEN(TRIM(Table22[[#This Row],[Sales Team]]))</f>
        <v>9</v>
      </c>
      <c r="L1542" s="23">
        <v>37</v>
      </c>
      <c r="M1542" s="65" t="str" cm="1">
        <f t="array" ref="M1542">_xlfn.IFS(Table22[[#This Row],[Units Sold]]&lt;40,"Critical",Table22[[#This Row],[Units Sold]]&lt;=50,"Poor",Table22[[#This Row],[Units Sold]]&lt;=60,"Low",Table22[[#This Row],[Units Sold]]&lt;=80,"Average",Table22[[#This Row],[Units Sold]]&lt;=90,"High",Table22[[#This Row],[Units Sold]]&lt;=95,"Excellent",Table22[[#This Row],[Units Sold]]&gt;95,"Outstanding")</f>
        <v>Critical</v>
      </c>
      <c r="N1542" s="29">
        <v>311.52</v>
      </c>
      <c r="O1542" s="29">
        <v>11526.24</v>
      </c>
      <c r="P1542" s="43">
        <f>IF(Table22[[#This Row],[Discount Applied]],Table22[[#This Row],[Total Sales (in USD)]]*(1-Table22[[#This Row],[Discount Percentage (%)]]/100),Table22[[#This Row],[Total Sales (in USD)]])</f>
        <v>11526.24</v>
      </c>
      <c r="Q1542" s="66">
        <f>SQRT(AVERAGE((Table22[[#This Row],[Net Sales (after discount) (in USD)]]-AVERAGE(Table22[Net Sales (after discount) (in USD)]))^2))</f>
        <v>24985.12056376454</v>
      </c>
      <c r="R1542" s="18" t="b">
        <v>1</v>
      </c>
      <c r="S1542" s="40">
        <v>3.68</v>
      </c>
      <c r="T1542" s="18" t="b">
        <v>0</v>
      </c>
      <c r="U1542" s="25">
        <v>45136</v>
      </c>
      <c r="V1542" s="63" t="str">
        <f>IF(MONTH(Table22[[#This Row],[Sales Date]])&lt;=3,"Q1",IF(MONTH(Table22[[#This Row],[Sales Date]])&lt;=6,"Q2",IF(MONTH(Table22[[#This Row],[Sales Date]])&lt;=9,"Q3","Q4")))</f>
        <v>Q3</v>
      </c>
      <c r="W1542" s="64">
        <f>YEAR(Table22[[#This Row],[Sales Date]])</f>
        <v>2023</v>
      </c>
      <c r="X1542" s="23">
        <v>36</v>
      </c>
      <c r="Y1542" s="18" t="s">
        <v>41</v>
      </c>
      <c r="Z1542" s="18" t="s">
        <v>42</v>
      </c>
      <c r="AA1542" s="19" t="s">
        <v>25</v>
      </c>
    </row>
    <row r="1543" spans="1:27" x14ac:dyDescent="0.25">
      <c r="A1543" s="17" t="s">
        <v>1093</v>
      </c>
      <c r="B1543" s="18" t="s">
        <v>51</v>
      </c>
      <c r="C1543" s="63" t="str" cm="1">
        <f t="array" ref="C1543">_xlfn.SWITCH(Table22[[#This Row],[Country]],"USA","North America","Canada","North America","Brazil","South America","China","Asia","Japan","Asia","India","Asia","France","Europe","Germany","Europe","UK","Europe","Australia","Oceania","South America")</f>
        <v>Europe</v>
      </c>
      <c r="D1543" s="18" t="s">
        <v>35</v>
      </c>
      <c r="E1543" s="18" t="s">
        <v>39</v>
      </c>
      <c r="F1543" s="18" t="s">
        <v>20</v>
      </c>
      <c r="G1543" s="18" t="s">
        <v>22</v>
      </c>
      <c r="H1543" s="64">
        <f>LEN(TRIM(Table22[[#This Row],[Country]]))</f>
        <v>2</v>
      </c>
      <c r="I1543" s="64">
        <f>LEN(TRIM(Table22[[#This Row],[Continent]]))</f>
        <v>6</v>
      </c>
      <c r="J1543" s="64">
        <f>LEN(TRIM(Table22[[#This Row],[Product]]))</f>
        <v>10</v>
      </c>
      <c r="K1543" s="64">
        <f>LEN(TRIM(Table22[[#This Row],[Sales Team]]))</f>
        <v>10</v>
      </c>
      <c r="L1543" s="23">
        <v>57</v>
      </c>
      <c r="M1543" s="65" t="str" cm="1">
        <f t="array" ref="M1543">_xlfn.IFS(Table22[[#This Row],[Units Sold]]&lt;40,"Critical",Table22[[#This Row],[Units Sold]]&lt;=50,"Poor",Table22[[#This Row],[Units Sold]]&lt;=60,"Low",Table22[[#This Row],[Units Sold]]&lt;=80,"Average",Table22[[#This Row],[Units Sold]]&lt;=90,"High",Table22[[#This Row],[Units Sold]]&lt;=95,"Excellent",Table22[[#This Row],[Units Sold]]&gt;95,"Outstanding")</f>
        <v>Low</v>
      </c>
      <c r="N1543" s="29">
        <v>201.91</v>
      </c>
      <c r="O1543" s="29">
        <v>11508.87</v>
      </c>
      <c r="P1543" s="43">
        <f>IF(Table22[[#This Row],[Discount Applied]],Table22[[#This Row],[Total Sales (in USD)]]*(1-Table22[[#This Row],[Discount Percentage (%)]]/100),Table22[[#This Row],[Total Sales (in USD)]])</f>
        <v>11280.994374</v>
      </c>
      <c r="Q1543" s="66">
        <f>SQRT(AVERAGE((Table22[[#This Row],[Net Sales (after discount) (in USD)]]-AVERAGE(Table22[Net Sales (after discount) (in USD)]))^2))</f>
        <v>25230.366189764536</v>
      </c>
      <c r="R1543" s="18" t="b">
        <v>1</v>
      </c>
      <c r="S1543" s="40">
        <v>1.98</v>
      </c>
      <c r="T1543" s="18" t="b">
        <v>1</v>
      </c>
      <c r="U1543" s="25">
        <v>45450</v>
      </c>
      <c r="V1543" s="63" t="str">
        <f>IF(MONTH(Table22[[#This Row],[Sales Date]])&lt;=3,"Q1",IF(MONTH(Table22[[#This Row],[Sales Date]])&lt;=6,"Q2",IF(MONTH(Table22[[#This Row],[Sales Date]])&lt;=9,"Q3","Q4")))</f>
        <v>Q2</v>
      </c>
      <c r="W1543" s="64">
        <f>YEAR(Table22[[#This Row],[Sales Date]])</f>
        <v>2024</v>
      </c>
      <c r="X1543" s="23">
        <v>60</v>
      </c>
      <c r="Y1543" s="18" t="s">
        <v>23</v>
      </c>
      <c r="Z1543" s="18" t="s">
        <v>56</v>
      </c>
      <c r="AA1543" s="19" t="s">
        <v>36</v>
      </c>
    </row>
    <row r="1544" spans="1:27" x14ac:dyDescent="0.25">
      <c r="A1544" s="17" t="s">
        <v>624</v>
      </c>
      <c r="B1544" s="18" t="s">
        <v>27</v>
      </c>
      <c r="C1544" s="63" t="str" cm="1">
        <f t="array" ref="C1544">_xlfn.SWITCH(Table22[[#This Row],[Country]],"USA","North America","Canada","North America","Brazil","South America","China","Asia","Japan","Asia","India","Asia","France","Europe","Germany","Europe","UK","Europe","Australia","Oceania","South America")</f>
        <v>Europe</v>
      </c>
      <c r="D1544" s="18" t="s">
        <v>44</v>
      </c>
      <c r="E1544" s="18" t="s">
        <v>19</v>
      </c>
      <c r="F1544" s="18" t="s">
        <v>52</v>
      </c>
      <c r="G1544" s="18" t="s">
        <v>22</v>
      </c>
      <c r="H1544" s="64">
        <f>LEN(TRIM(Table22[[#This Row],[Country]]))</f>
        <v>7</v>
      </c>
      <c r="I1544" s="64">
        <f>LEN(TRIM(Table22[[#This Row],[Continent]]))</f>
        <v>6</v>
      </c>
      <c r="J1544" s="64">
        <f>LEN(TRIM(Table22[[#This Row],[Product]]))</f>
        <v>6</v>
      </c>
      <c r="K1544" s="64">
        <f>LEN(TRIM(Table22[[#This Row],[Sales Team]]))</f>
        <v>10</v>
      </c>
      <c r="L1544" s="23">
        <v>8</v>
      </c>
      <c r="M1544" s="65" t="str" cm="1">
        <f t="array" ref="M1544">_xlfn.IFS(Table22[[#This Row],[Units Sold]]&lt;40,"Critical",Table22[[#This Row],[Units Sold]]&lt;=50,"Poor",Table22[[#This Row],[Units Sold]]&lt;=60,"Low",Table22[[#This Row],[Units Sold]]&lt;=80,"Average",Table22[[#This Row],[Units Sold]]&lt;=90,"High",Table22[[#This Row],[Units Sold]]&lt;=95,"Excellent",Table22[[#This Row],[Units Sold]]&gt;95,"Outstanding")</f>
        <v>Critical</v>
      </c>
      <c r="N1544" s="29">
        <v>1436.56</v>
      </c>
      <c r="O1544" s="29">
        <v>11492.48</v>
      </c>
      <c r="P1544" s="43">
        <f>IF(Table22[[#This Row],[Discount Applied]],Table22[[#This Row],[Total Sales (in USD)]]*(1-Table22[[#This Row],[Discount Percentage (%)]]/100),Table22[[#This Row],[Total Sales (in USD)]])</f>
        <v>8780.254719999999</v>
      </c>
      <c r="Q1544" s="66">
        <f>SQRT(AVERAGE((Table22[[#This Row],[Net Sales (after discount) (in USD)]]-AVERAGE(Table22[Net Sales (after discount) (in USD)]))^2))</f>
        <v>27731.105843764541</v>
      </c>
      <c r="R1544" s="18" t="b">
        <v>0</v>
      </c>
      <c r="S1544" s="40">
        <v>23.6</v>
      </c>
      <c r="T1544" s="18" t="b">
        <v>1</v>
      </c>
      <c r="U1544" s="25">
        <v>45322</v>
      </c>
      <c r="V1544" s="63" t="str">
        <f>IF(MONTH(Table22[[#This Row],[Sales Date]])&lt;=3,"Q1",IF(MONTH(Table22[[#This Row],[Sales Date]])&lt;=6,"Q2",IF(MONTH(Table22[[#This Row],[Sales Date]])&lt;=9,"Q3","Q4")))</f>
        <v>Q1</v>
      </c>
      <c r="W1544" s="64">
        <f>YEAR(Table22[[#This Row],[Sales Date]])</f>
        <v>2024</v>
      </c>
      <c r="X1544" s="23">
        <v>56</v>
      </c>
      <c r="Y1544" s="18" t="s">
        <v>41</v>
      </c>
      <c r="Z1544" s="18" t="s">
        <v>24</v>
      </c>
      <c r="AA1544" s="19" t="s">
        <v>25</v>
      </c>
    </row>
    <row r="1545" spans="1:27" x14ac:dyDescent="0.25">
      <c r="A1545" s="17" t="s">
        <v>411</v>
      </c>
      <c r="B1545" s="18" t="s">
        <v>72</v>
      </c>
      <c r="C1545" s="63" t="str" cm="1">
        <f t="array" ref="C1545">_xlfn.SWITCH(Table22[[#This Row],[Country]],"USA","North America","Canada","North America","Brazil","South America","China","Asia","Japan","Asia","India","Asia","France","Europe","Germany","Europe","UK","Europe","Australia","Oceania","South America")</f>
        <v>North America</v>
      </c>
      <c r="D1545" s="18" t="s">
        <v>21</v>
      </c>
      <c r="E1545" s="18" t="s">
        <v>39</v>
      </c>
      <c r="F1545" s="18" t="s">
        <v>64</v>
      </c>
      <c r="G1545" s="18" t="s">
        <v>40</v>
      </c>
      <c r="H1545" s="64">
        <f>LEN(TRIM(Table22[[#This Row],[Country]]))</f>
        <v>3</v>
      </c>
      <c r="I1545" s="64">
        <f>LEN(TRIM(Table22[[#This Row],[Continent]]))</f>
        <v>13</v>
      </c>
      <c r="J1545" s="64">
        <f>LEN(TRIM(Table22[[#This Row],[Product]]))</f>
        <v>10</v>
      </c>
      <c r="K1545" s="64">
        <f>LEN(TRIM(Table22[[#This Row],[Sales Team]]))</f>
        <v>10</v>
      </c>
      <c r="L1545" s="23">
        <v>34</v>
      </c>
      <c r="M1545" s="65" t="str" cm="1">
        <f t="array" ref="M1545">_xlfn.IFS(Table22[[#This Row],[Units Sold]]&lt;40,"Critical",Table22[[#This Row],[Units Sold]]&lt;=50,"Poor",Table22[[#This Row],[Units Sold]]&lt;=60,"Low",Table22[[#This Row],[Units Sold]]&lt;=80,"Average",Table22[[#This Row],[Units Sold]]&lt;=90,"High",Table22[[#This Row],[Units Sold]]&lt;=95,"Excellent",Table22[[#This Row],[Units Sold]]&gt;95,"Outstanding")</f>
        <v>Critical</v>
      </c>
      <c r="N1545" s="29">
        <v>337.14</v>
      </c>
      <c r="O1545" s="29">
        <v>11462.76</v>
      </c>
      <c r="P1545" s="43">
        <f>IF(Table22[[#This Row],[Discount Applied]],Table22[[#This Row],[Total Sales (in USD)]]*(1-Table22[[#This Row],[Discount Percentage (%)]]/100),Table22[[#This Row],[Total Sales (in USD)]])</f>
        <v>11462.76</v>
      </c>
      <c r="Q1545" s="66">
        <f>SQRT(AVERAGE((Table22[[#This Row],[Net Sales (after discount) (in USD)]]-AVERAGE(Table22[Net Sales (after discount) (in USD)]))^2))</f>
        <v>25048.600563764536</v>
      </c>
      <c r="R1545" s="18" t="b">
        <v>0</v>
      </c>
      <c r="S1545" s="40">
        <v>20.75</v>
      </c>
      <c r="T1545" s="18" t="b">
        <v>0</v>
      </c>
      <c r="U1545" s="25">
        <v>45254</v>
      </c>
      <c r="V1545" s="63" t="str">
        <f>IF(MONTH(Table22[[#This Row],[Sales Date]])&lt;=3,"Q1",IF(MONTH(Table22[[#This Row],[Sales Date]])&lt;=6,"Q2",IF(MONTH(Table22[[#This Row],[Sales Date]])&lt;=9,"Q3","Q4")))</f>
        <v>Q4</v>
      </c>
      <c r="W1545" s="64">
        <f>YEAR(Table22[[#This Row],[Sales Date]])</f>
        <v>2023</v>
      </c>
      <c r="X1545" s="23">
        <v>32</v>
      </c>
      <c r="Y1545" s="18" t="s">
        <v>49</v>
      </c>
      <c r="Z1545" s="18" t="s">
        <v>24</v>
      </c>
      <c r="AA1545" s="19" t="s">
        <v>36</v>
      </c>
    </row>
    <row r="1546" spans="1:27" x14ac:dyDescent="0.25">
      <c r="A1546" s="17" t="s">
        <v>271</v>
      </c>
      <c r="B1546" s="18" t="s">
        <v>32</v>
      </c>
      <c r="C1546" s="63" t="str" cm="1">
        <f t="array" ref="C1546">_xlfn.SWITCH(Table22[[#This Row],[Country]],"USA","North America","Canada","North America","Brazil","South America","China","Asia","Japan","Asia","India","Asia","France","Europe","Germany","Europe","UK","Europe","Australia","Oceania","South America")</f>
        <v>Asia</v>
      </c>
      <c r="D1546" s="18" t="s">
        <v>21</v>
      </c>
      <c r="E1546" s="18" t="s">
        <v>39</v>
      </c>
      <c r="F1546" s="18" t="s">
        <v>47</v>
      </c>
      <c r="G1546" s="18" t="s">
        <v>29</v>
      </c>
      <c r="H1546" s="64">
        <f>LEN(TRIM(Table22[[#This Row],[Country]]))</f>
        <v>5</v>
      </c>
      <c r="I1546" s="64">
        <f>LEN(TRIM(Table22[[#This Row],[Continent]]))</f>
        <v>4</v>
      </c>
      <c r="J1546" s="64">
        <f>LEN(TRIM(Table22[[#This Row],[Product]]))</f>
        <v>10</v>
      </c>
      <c r="K1546" s="64">
        <f>LEN(TRIM(Table22[[#This Row],[Sales Team]]))</f>
        <v>10</v>
      </c>
      <c r="L1546" s="23">
        <v>26</v>
      </c>
      <c r="M1546" s="65" t="str" cm="1">
        <f t="array" ref="M1546">_xlfn.IFS(Table22[[#This Row],[Units Sold]]&lt;40,"Critical",Table22[[#This Row],[Units Sold]]&lt;=50,"Poor",Table22[[#This Row],[Units Sold]]&lt;=60,"Low",Table22[[#This Row],[Units Sold]]&lt;=80,"Average",Table22[[#This Row],[Units Sold]]&lt;=90,"High",Table22[[#This Row],[Units Sold]]&lt;=95,"Excellent",Table22[[#This Row],[Units Sold]]&gt;95,"Outstanding")</f>
        <v>Critical</v>
      </c>
      <c r="N1546" s="29">
        <v>440.13</v>
      </c>
      <c r="O1546" s="29">
        <v>11443.38</v>
      </c>
      <c r="P1546" s="43">
        <f>IF(Table22[[#This Row],[Discount Applied]],Table22[[#This Row],[Total Sales (in USD)]]*(1-Table22[[#This Row],[Discount Percentage (%)]]/100),Table22[[#This Row],[Total Sales (in USD)]])</f>
        <v>9966.0396419999997</v>
      </c>
      <c r="Q1546" s="66">
        <f>SQRT(AVERAGE((Table22[[#This Row],[Net Sales (after discount) (in USD)]]-AVERAGE(Table22[Net Sales (after discount) (in USD)]))^2))</f>
        <v>26545.320921764538</v>
      </c>
      <c r="R1546" s="18" t="b">
        <v>0</v>
      </c>
      <c r="S1546" s="40">
        <v>12.91</v>
      </c>
      <c r="T1546" s="18" t="b">
        <v>1</v>
      </c>
      <c r="U1546" s="25">
        <v>45583</v>
      </c>
      <c r="V1546" s="63" t="str">
        <f>IF(MONTH(Table22[[#This Row],[Sales Date]])&lt;=3,"Q1",IF(MONTH(Table22[[#This Row],[Sales Date]])&lt;=6,"Q2",IF(MONTH(Table22[[#This Row],[Sales Date]])&lt;=9,"Q3","Q4")))</f>
        <v>Q4</v>
      </c>
      <c r="W1546" s="64">
        <f>YEAR(Table22[[#This Row],[Sales Date]])</f>
        <v>2024</v>
      </c>
      <c r="X1546" s="23">
        <v>19</v>
      </c>
      <c r="Y1546" s="18" t="s">
        <v>41</v>
      </c>
      <c r="Z1546" s="18" t="s">
        <v>42</v>
      </c>
      <c r="AA1546" s="19" t="s">
        <v>25</v>
      </c>
    </row>
    <row r="1547" spans="1:27" x14ac:dyDescent="0.25">
      <c r="A1547" s="17" t="s">
        <v>1156</v>
      </c>
      <c r="B1547" s="18" t="s">
        <v>51</v>
      </c>
      <c r="C1547" s="63" t="str" cm="1">
        <f t="array" ref="C1547">_xlfn.SWITCH(Table22[[#This Row],[Country]],"USA","North America","Canada","North America","Brazil","South America","China","Asia","Japan","Asia","India","Asia","France","Europe","Germany","Europe","UK","Europe","Australia","Oceania","South America")</f>
        <v>Europe</v>
      </c>
      <c r="D1547" s="18" t="s">
        <v>28</v>
      </c>
      <c r="E1547" s="18" t="s">
        <v>39</v>
      </c>
      <c r="F1547" s="18" t="s">
        <v>52</v>
      </c>
      <c r="G1547" s="18" t="s">
        <v>48</v>
      </c>
      <c r="H1547" s="64">
        <f>LEN(TRIM(Table22[[#This Row],[Country]]))</f>
        <v>2</v>
      </c>
      <c r="I1547" s="64">
        <f>LEN(TRIM(Table22[[#This Row],[Continent]]))</f>
        <v>6</v>
      </c>
      <c r="J1547" s="64">
        <f>LEN(TRIM(Table22[[#This Row],[Product]]))</f>
        <v>10</v>
      </c>
      <c r="K1547" s="64">
        <f>LEN(TRIM(Table22[[#This Row],[Sales Team]]))</f>
        <v>9</v>
      </c>
      <c r="L1547" s="23">
        <v>9</v>
      </c>
      <c r="M1547" s="65" t="str" cm="1">
        <f t="array" ref="M1547">_xlfn.IFS(Table22[[#This Row],[Units Sold]]&lt;40,"Critical",Table22[[#This Row],[Units Sold]]&lt;=50,"Poor",Table22[[#This Row],[Units Sold]]&lt;=60,"Low",Table22[[#This Row],[Units Sold]]&lt;=80,"Average",Table22[[#This Row],[Units Sold]]&lt;=90,"High",Table22[[#This Row],[Units Sold]]&lt;=95,"Excellent",Table22[[#This Row],[Units Sold]]&gt;95,"Outstanding")</f>
        <v>Critical</v>
      </c>
      <c r="N1547" s="29">
        <v>1266.83</v>
      </c>
      <c r="O1547" s="29">
        <v>11401.47</v>
      </c>
      <c r="P1547" s="43">
        <f>IF(Table22[[#This Row],[Discount Applied]],Table22[[#This Row],[Total Sales (in USD)]]*(1-Table22[[#This Row],[Discount Percentage (%)]]/100),Table22[[#This Row],[Total Sales (in USD)]])</f>
        <v>10888.403849999999</v>
      </c>
      <c r="Q1547" s="66">
        <f>SQRT(AVERAGE((Table22[[#This Row],[Net Sales (after discount) (in USD)]]-AVERAGE(Table22[Net Sales (after discount) (in USD)]))^2))</f>
        <v>25622.956713764539</v>
      </c>
      <c r="R1547" s="18" t="b">
        <v>0</v>
      </c>
      <c r="S1547" s="40">
        <v>4.5</v>
      </c>
      <c r="T1547" s="18" t="b">
        <v>1</v>
      </c>
      <c r="U1547" s="25">
        <v>45207</v>
      </c>
      <c r="V1547" s="63" t="str">
        <f>IF(MONTH(Table22[[#This Row],[Sales Date]])&lt;=3,"Q1",IF(MONTH(Table22[[#This Row],[Sales Date]])&lt;=6,"Q2",IF(MONTH(Table22[[#This Row],[Sales Date]])&lt;=9,"Q3","Q4")))</f>
        <v>Q4</v>
      </c>
      <c r="W1547" s="64">
        <f>YEAR(Table22[[#This Row],[Sales Date]])</f>
        <v>2023</v>
      </c>
      <c r="X1547" s="23">
        <v>53</v>
      </c>
      <c r="Y1547" s="18" t="s">
        <v>41</v>
      </c>
      <c r="Z1547" s="18" t="s">
        <v>42</v>
      </c>
      <c r="AA1547" s="19" t="s">
        <v>25</v>
      </c>
    </row>
    <row r="1548" spans="1:27" x14ac:dyDescent="0.25">
      <c r="A1548" s="17" t="s">
        <v>1706</v>
      </c>
      <c r="B1548" s="18" t="s">
        <v>46</v>
      </c>
      <c r="C1548" s="63" t="str" cm="1">
        <f t="array" ref="C1548">_xlfn.SWITCH(Table22[[#This Row],[Country]],"USA","North America","Canada","North America","Brazil","South America","China","Asia","Japan","Asia","India","Asia","France","Europe","Germany","Europe","UK","Europe","Australia","Oceania","South America")</f>
        <v>South America</v>
      </c>
      <c r="D1548" s="18" t="s">
        <v>28</v>
      </c>
      <c r="E1548" s="18" t="s">
        <v>19</v>
      </c>
      <c r="F1548" s="18" t="s">
        <v>34</v>
      </c>
      <c r="G1548" s="18" t="s">
        <v>48</v>
      </c>
      <c r="H1548" s="64">
        <f>LEN(TRIM(Table22[[#This Row],[Country]]))</f>
        <v>6</v>
      </c>
      <c r="I1548" s="64">
        <f>LEN(TRIM(Table22[[#This Row],[Continent]]))</f>
        <v>13</v>
      </c>
      <c r="J1548" s="64">
        <f>LEN(TRIM(Table22[[#This Row],[Product]]))</f>
        <v>6</v>
      </c>
      <c r="K1548" s="64">
        <f>LEN(TRIM(Table22[[#This Row],[Sales Team]]))</f>
        <v>9</v>
      </c>
      <c r="L1548" s="23">
        <v>50</v>
      </c>
      <c r="M1548" s="65" t="str" cm="1">
        <f t="array" ref="M1548">_xlfn.IFS(Table22[[#This Row],[Units Sold]]&lt;40,"Critical",Table22[[#This Row],[Units Sold]]&lt;=50,"Poor",Table22[[#This Row],[Units Sold]]&lt;=60,"Low",Table22[[#This Row],[Units Sold]]&lt;=80,"Average",Table22[[#This Row],[Units Sold]]&lt;=90,"High",Table22[[#This Row],[Units Sold]]&lt;=95,"Excellent",Table22[[#This Row],[Units Sold]]&gt;95,"Outstanding")</f>
        <v>Poor</v>
      </c>
      <c r="N1548" s="29">
        <v>225.45</v>
      </c>
      <c r="O1548" s="29">
        <v>11272.5</v>
      </c>
      <c r="P1548" s="43">
        <f>IF(Table22[[#This Row],[Discount Applied]],Table22[[#This Row],[Total Sales (in USD)]]*(1-Table22[[#This Row],[Discount Percentage (%)]]/100),Table22[[#This Row],[Total Sales (in USD)]])</f>
        <v>11272.5</v>
      </c>
      <c r="Q1548" s="66">
        <f>SQRT(AVERAGE((Table22[[#This Row],[Net Sales (after discount) (in USD)]]-AVERAGE(Table22[Net Sales (after discount) (in USD)]))^2))</f>
        <v>25238.860563764538</v>
      </c>
      <c r="R1548" s="18" t="b">
        <v>1</v>
      </c>
      <c r="S1548" s="40">
        <v>28.55</v>
      </c>
      <c r="T1548" s="18" t="b">
        <v>0</v>
      </c>
      <c r="U1548" s="25">
        <v>45066</v>
      </c>
      <c r="V1548" s="63" t="str">
        <f>IF(MONTH(Table22[[#This Row],[Sales Date]])&lt;=3,"Q1",IF(MONTH(Table22[[#This Row],[Sales Date]])&lt;=6,"Q2",IF(MONTH(Table22[[#This Row],[Sales Date]])&lt;=9,"Q3","Q4")))</f>
        <v>Q2</v>
      </c>
      <c r="W1548" s="64">
        <f>YEAR(Table22[[#This Row],[Sales Date]])</f>
        <v>2023</v>
      </c>
      <c r="X1548" s="23">
        <v>18</v>
      </c>
      <c r="Y1548" s="18" t="s">
        <v>23</v>
      </c>
      <c r="Z1548" s="18" t="s">
        <v>56</v>
      </c>
      <c r="AA1548" s="19" t="s">
        <v>25</v>
      </c>
    </row>
    <row r="1549" spans="1:27" x14ac:dyDescent="0.25">
      <c r="A1549" s="17" t="s">
        <v>1934</v>
      </c>
      <c r="B1549" s="18" t="s">
        <v>32</v>
      </c>
      <c r="C1549" s="63" t="str" cm="1">
        <f t="array" ref="C1549">_xlfn.SWITCH(Table22[[#This Row],[Country]],"USA","North America","Canada","North America","Brazil","South America","China","Asia","Japan","Asia","India","Asia","France","Europe","Germany","Europe","UK","Europe","Australia","Oceania","South America")</f>
        <v>Asia</v>
      </c>
      <c r="D1549" s="18" t="s">
        <v>35</v>
      </c>
      <c r="E1549" s="18" t="s">
        <v>33</v>
      </c>
      <c r="F1549" s="18" t="s">
        <v>47</v>
      </c>
      <c r="G1549" s="18" t="s">
        <v>22</v>
      </c>
      <c r="H1549" s="64">
        <f>LEN(TRIM(Table22[[#This Row],[Country]]))</f>
        <v>5</v>
      </c>
      <c r="I1549" s="64">
        <f>LEN(TRIM(Table22[[#This Row],[Continent]]))</f>
        <v>4</v>
      </c>
      <c r="J1549" s="64">
        <f>LEN(TRIM(Table22[[#This Row],[Product]]))</f>
        <v>10</v>
      </c>
      <c r="K1549" s="64">
        <f>LEN(TRIM(Table22[[#This Row],[Sales Team]]))</f>
        <v>10</v>
      </c>
      <c r="L1549" s="23">
        <v>32</v>
      </c>
      <c r="M1549" s="65" t="str" cm="1">
        <f t="array" ref="M1549">_xlfn.IFS(Table22[[#This Row],[Units Sold]]&lt;40,"Critical",Table22[[#This Row],[Units Sold]]&lt;=50,"Poor",Table22[[#This Row],[Units Sold]]&lt;=60,"Low",Table22[[#This Row],[Units Sold]]&lt;=80,"Average",Table22[[#This Row],[Units Sold]]&lt;=90,"High",Table22[[#This Row],[Units Sold]]&lt;=95,"Excellent",Table22[[#This Row],[Units Sold]]&gt;95,"Outstanding")</f>
        <v>Critical</v>
      </c>
      <c r="N1549" s="29">
        <v>349.8</v>
      </c>
      <c r="O1549" s="29">
        <v>11193.6</v>
      </c>
      <c r="P1549" s="43">
        <f>IF(Table22[[#This Row],[Discount Applied]],Table22[[#This Row],[Total Sales (in USD)]]*(1-Table22[[#This Row],[Discount Percentage (%)]]/100),Table22[[#This Row],[Total Sales (in USD)]])</f>
        <v>11193.6</v>
      </c>
      <c r="Q1549" s="66">
        <f>SQRT(AVERAGE((Table22[[#This Row],[Net Sales (after discount) (in USD)]]-AVERAGE(Table22[Net Sales (after discount) (in USD)]))^2))</f>
        <v>25317.760563764539</v>
      </c>
      <c r="R1549" s="18" t="b">
        <v>0</v>
      </c>
      <c r="S1549" s="40">
        <v>21.27</v>
      </c>
      <c r="T1549" s="18" t="b">
        <v>0</v>
      </c>
      <c r="U1549" s="25">
        <v>45228</v>
      </c>
      <c r="V1549" s="63" t="str">
        <f>IF(MONTH(Table22[[#This Row],[Sales Date]])&lt;=3,"Q1",IF(MONTH(Table22[[#This Row],[Sales Date]])&lt;=6,"Q2",IF(MONTH(Table22[[#This Row],[Sales Date]])&lt;=9,"Q3","Q4")))</f>
        <v>Q4</v>
      </c>
      <c r="W1549" s="64">
        <f>YEAR(Table22[[#This Row],[Sales Date]])</f>
        <v>2023</v>
      </c>
      <c r="X1549" s="23">
        <v>33</v>
      </c>
      <c r="Y1549" s="18" t="s">
        <v>41</v>
      </c>
      <c r="Z1549" s="18" t="s">
        <v>56</v>
      </c>
      <c r="AA1549" s="19" t="s">
        <v>25</v>
      </c>
    </row>
    <row r="1550" spans="1:27" x14ac:dyDescent="0.25">
      <c r="A1550" s="17" t="s">
        <v>642</v>
      </c>
      <c r="B1550" s="18" t="s">
        <v>38</v>
      </c>
      <c r="C1550" s="63" t="str" cm="1">
        <f t="array" ref="C1550">_xlfn.SWITCH(Table22[[#This Row],[Country]],"USA","North America","Canada","North America","Brazil","South America","China","Asia","Japan","Asia","India","Asia","France","Europe","Germany","Europe","UK","Europe","Australia","Oceania","South America")</f>
        <v>Europe</v>
      </c>
      <c r="D1550" s="18" t="s">
        <v>28</v>
      </c>
      <c r="E1550" s="18" t="s">
        <v>19</v>
      </c>
      <c r="F1550" s="18" t="s">
        <v>47</v>
      </c>
      <c r="G1550" s="18" t="s">
        <v>22</v>
      </c>
      <c r="H1550" s="64">
        <f>LEN(TRIM(Table22[[#This Row],[Country]]))</f>
        <v>6</v>
      </c>
      <c r="I1550" s="64">
        <f>LEN(TRIM(Table22[[#This Row],[Continent]]))</f>
        <v>6</v>
      </c>
      <c r="J1550" s="64">
        <f>LEN(TRIM(Table22[[#This Row],[Product]]))</f>
        <v>6</v>
      </c>
      <c r="K1550" s="64">
        <f>LEN(TRIM(Table22[[#This Row],[Sales Team]]))</f>
        <v>10</v>
      </c>
      <c r="L1550" s="23">
        <v>76</v>
      </c>
      <c r="M1550" s="65" t="str" cm="1">
        <f t="array" ref="M1550">_xlfn.IFS(Table22[[#This Row],[Units Sold]]&lt;40,"Critical",Table22[[#This Row],[Units Sold]]&lt;=50,"Poor",Table22[[#This Row],[Units Sold]]&lt;=60,"Low",Table22[[#This Row],[Units Sold]]&lt;=80,"Average",Table22[[#This Row],[Units Sold]]&lt;=90,"High",Table22[[#This Row],[Units Sold]]&lt;=95,"Excellent",Table22[[#This Row],[Units Sold]]&gt;95,"Outstanding")</f>
        <v>Average</v>
      </c>
      <c r="N1550" s="29">
        <v>146.38999999999999</v>
      </c>
      <c r="O1550" s="29">
        <v>11125.64</v>
      </c>
      <c r="P1550" s="43">
        <f>IF(Table22[[#This Row],[Discount Applied]],Table22[[#This Row],[Total Sales (in USD)]]*(1-Table22[[#This Row],[Discount Percentage (%)]]/100),Table22[[#This Row],[Total Sales (in USD)]])</f>
        <v>9816.1521720000001</v>
      </c>
      <c r="Q1550" s="66">
        <f>SQRT(AVERAGE((Table22[[#This Row],[Net Sales (after discount) (in USD)]]-AVERAGE(Table22[Net Sales (after discount) (in USD)]))^2))</f>
        <v>26695.208391764536</v>
      </c>
      <c r="R1550" s="18" t="b">
        <v>0</v>
      </c>
      <c r="S1550" s="40">
        <v>11.77</v>
      </c>
      <c r="T1550" s="18" t="b">
        <v>1</v>
      </c>
      <c r="U1550" s="25">
        <v>44952</v>
      </c>
      <c r="V1550" s="63" t="str">
        <f>IF(MONTH(Table22[[#This Row],[Sales Date]])&lt;=3,"Q1",IF(MONTH(Table22[[#This Row],[Sales Date]])&lt;=6,"Q2",IF(MONTH(Table22[[#This Row],[Sales Date]])&lt;=9,"Q3","Q4")))</f>
        <v>Q1</v>
      </c>
      <c r="W1550" s="64">
        <f>YEAR(Table22[[#This Row],[Sales Date]])</f>
        <v>2023</v>
      </c>
      <c r="X1550" s="23">
        <v>55</v>
      </c>
      <c r="Y1550" s="18" t="s">
        <v>41</v>
      </c>
      <c r="Z1550" s="18" t="s">
        <v>42</v>
      </c>
      <c r="AA1550" s="19" t="s">
        <v>25</v>
      </c>
    </row>
    <row r="1551" spans="1:27" x14ac:dyDescent="0.25">
      <c r="A1551" s="17" t="s">
        <v>351</v>
      </c>
      <c r="B1551" s="18" t="s">
        <v>76</v>
      </c>
      <c r="C1551" s="63" t="str" cm="1">
        <f t="array" ref="C1551">_xlfn.SWITCH(Table22[[#This Row],[Country]],"USA","North America","Canada","North America","Brazil","South America","China","Asia","Japan","Asia","India","Asia","France","Europe","Germany","Europe","UK","Europe","Australia","Oceania","South America")</f>
        <v>Asia</v>
      </c>
      <c r="D1551" s="18" t="s">
        <v>28</v>
      </c>
      <c r="E1551" s="18" t="s">
        <v>33</v>
      </c>
      <c r="F1551" s="18" t="s">
        <v>64</v>
      </c>
      <c r="G1551" s="18" t="s">
        <v>29</v>
      </c>
      <c r="H1551" s="64">
        <f>LEN(TRIM(Table22[[#This Row],[Country]]))</f>
        <v>5</v>
      </c>
      <c r="I1551" s="64">
        <f>LEN(TRIM(Table22[[#This Row],[Continent]]))</f>
        <v>4</v>
      </c>
      <c r="J1551" s="64">
        <f>LEN(TRIM(Table22[[#This Row],[Product]]))</f>
        <v>10</v>
      </c>
      <c r="K1551" s="64">
        <f>LEN(TRIM(Table22[[#This Row],[Sales Team]]))</f>
        <v>10</v>
      </c>
      <c r="L1551" s="23">
        <v>22</v>
      </c>
      <c r="M1551" s="65" t="str" cm="1">
        <f t="array" ref="M1551">_xlfn.IFS(Table22[[#This Row],[Units Sold]]&lt;40,"Critical",Table22[[#This Row],[Units Sold]]&lt;=50,"Poor",Table22[[#This Row],[Units Sold]]&lt;=60,"Low",Table22[[#This Row],[Units Sold]]&lt;=80,"Average",Table22[[#This Row],[Units Sold]]&lt;=90,"High",Table22[[#This Row],[Units Sold]]&lt;=95,"Excellent",Table22[[#This Row],[Units Sold]]&gt;95,"Outstanding")</f>
        <v>Critical</v>
      </c>
      <c r="N1551" s="29">
        <v>503.5</v>
      </c>
      <c r="O1551" s="29">
        <v>11077</v>
      </c>
      <c r="P1551" s="43">
        <f>IF(Table22[[#This Row],[Discount Applied]],Table22[[#This Row],[Total Sales (in USD)]]*(1-Table22[[#This Row],[Discount Percentage (%)]]/100),Table22[[#This Row],[Total Sales (in USD)]])</f>
        <v>7881.2855</v>
      </c>
      <c r="Q1551" s="66">
        <f>SQRT(AVERAGE((Table22[[#This Row],[Net Sales (after discount) (in USD)]]-AVERAGE(Table22[Net Sales (after discount) (in USD)]))^2))</f>
        <v>28630.07506376454</v>
      </c>
      <c r="R1551" s="18" t="b">
        <v>1</v>
      </c>
      <c r="S1551" s="40">
        <v>28.85</v>
      </c>
      <c r="T1551" s="18" t="b">
        <v>1</v>
      </c>
      <c r="U1551" s="25">
        <v>45090</v>
      </c>
      <c r="V1551" s="63" t="str">
        <f>IF(MONTH(Table22[[#This Row],[Sales Date]])&lt;=3,"Q1",IF(MONTH(Table22[[#This Row],[Sales Date]])&lt;=6,"Q2",IF(MONTH(Table22[[#This Row],[Sales Date]])&lt;=9,"Q3","Q4")))</f>
        <v>Q2</v>
      </c>
      <c r="W1551" s="64">
        <f>YEAR(Table22[[#This Row],[Sales Date]])</f>
        <v>2023</v>
      </c>
      <c r="X1551" s="23">
        <v>38</v>
      </c>
      <c r="Y1551" s="18" t="s">
        <v>41</v>
      </c>
      <c r="Z1551" s="18" t="s">
        <v>42</v>
      </c>
      <c r="AA1551" s="19" t="s">
        <v>36</v>
      </c>
    </row>
    <row r="1552" spans="1:27" x14ac:dyDescent="0.25">
      <c r="A1552" s="17" t="s">
        <v>104</v>
      </c>
      <c r="B1552" s="18" t="s">
        <v>27</v>
      </c>
      <c r="C1552" s="63" t="str" cm="1">
        <f t="array" ref="C1552">_xlfn.SWITCH(Table22[[#This Row],[Country]],"USA","North America","Canada","North America","Brazil","South America","China","Asia","Japan","Asia","India","Asia","France","Europe","Germany","Europe","UK","Europe","Australia","Oceania","South America")</f>
        <v>Europe</v>
      </c>
      <c r="D1552" s="18" t="s">
        <v>44</v>
      </c>
      <c r="E1552" s="18" t="s">
        <v>33</v>
      </c>
      <c r="F1552" s="18" t="s">
        <v>34</v>
      </c>
      <c r="G1552" s="18" t="s">
        <v>48</v>
      </c>
      <c r="H1552" s="64">
        <f>LEN(TRIM(Table22[[#This Row],[Country]]))</f>
        <v>7</v>
      </c>
      <c r="I1552" s="64">
        <f>LEN(TRIM(Table22[[#This Row],[Continent]]))</f>
        <v>6</v>
      </c>
      <c r="J1552" s="64">
        <f>LEN(TRIM(Table22[[#This Row],[Product]]))</f>
        <v>10</v>
      </c>
      <c r="K1552" s="64">
        <f>LEN(TRIM(Table22[[#This Row],[Sales Team]]))</f>
        <v>9</v>
      </c>
      <c r="L1552" s="23">
        <v>12</v>
      </c>
      <c r="M1552" s="65" t="str" cm="1">
        <f t="array" ref="M1552">_xlfn.IFS(Table22[[#This Row],[Units Sold]]&lt;40,"Critical",Table22[[#This Row],[Units Sold]]&lt;=50,"Poor",Table22[[#This Row],[Units Sold]]&lt;=60,"Low",Table22[[#This Row],[Units Sold]]&lt;=80,"Average",Table22[[#This Row],[Units Sold]]&lt;=90,"High",Table22[[#This Row],[Units Sold]]&lt;=95,"Excellent",Table22[[#This Row],[Units Sold]]&gt;95,"Outstanding")</f>
        <v>Critical</v>
      </c>
      <c r="N1552" s="29">
        <v>919.57</v>
      </c>
      <c r="O1552" s="29">
        <v>11034.84</v>
      </c>
      <c r="P1552" s="43">
        <f>IF(Table22[[#This Row],[Discount Applied]],Table22[[#This Row],[Total Sales (in USD)]]*(1-Table22[[#This Row],[Discount Percentage (%)]]/100),Table22[[#This Row],[Total Sales (in USD)]])</f>
        <v>11034.84</v>
      </c>
      <c r="Q1552" s="66">
        <f>SQRT(AVERAGE((Table22[[#This Row],[Net Sales (after discount) (in USD)]]-AVERAGE(Table22[Net Sales (after discount) (in USD)]))^2))</f>
        <v>25476.520563764538</v>
      </c>
      <c r="R1552" s="18" t="b">
        <v>1</v>
      </c>
      <c r="S1552" s="40">
        <v>16.809999999999999</v>
      </c>
      <c r="T1552" s="18" t="b">
        <v>0</v>
      </c>
      <c r="U1552" s="25">
        <v>45565</v>
      </c>
      <c r="V1552" s="63" t="str">
        <f>IF(MONTH(Table22[[#This Row],[Sales Date]])&lt;=3,"Q1",IF(MONTH(Table22[[#This Row],[Sales Date]])&lt;=6,"Q2",IF(MONTH(Table22[[#This Row],[Sales Date]])&lt;=9,"Q3","Q4")))</f>
        <v>Q3</v>
      </c>
      <c r="W1552" s="64">
        <f>YEAR(Table22[[#This Row],[Sales Date]])</f>
        <v>2024</v>
      </c>
      <c r="X1552" s="23">
        <v>26</v>
      </c>
      <c r="Y1552" s="18" t="s">
        <v>41</v>
      </c>
      <c r="Z1552" s="18" t="s">
        <v>30</v>
      </c>
      <c r="AA1552" s="19" t="s">
        <v>36</v>
      </c>
    </row>
    <row r="1553" spans="1:27" x14ac:dyDescent="0.25">
      <c r="A1553" s="17" t="s">
        <v>1601</v>
      </c>
      <c r="B1553" s="18" t="s">
        <v>51</v>
      </c>
      <c r="C1553" s="63" t="str" cm="1">
        <f t="array" ref="C1553">_xlfn.SWITCH(Table22[[#This Row],[Country]],"USA","North America","Canada","North America","Brazil","South America","China","Asia","Japan","Asia","India","Asia","France","Europe","Germany","Europe","UK","Europe","Australia","Oceania","South America")</f>
        <v>Europe</v>
      </c>
      <c r="D1553" s="18" t="s">
        <v>44</v>
      </c>
      <c r="E1553" s="18" t="s">
        <v>39</v>
      </c>
      <c r="F1553" s="18" t="s">
        <v>20</v>
      </c>
      <c r="G1553" s="18" t="s">
        <v>48</v>
      </c>
      <c r="H1553" s="64">
        <f>LEN(TRIM(Table22[[#This Row],[Country]]))</f>
        <v>2</v>
      </c>
      <c r="I1553" s="64">
        <f>LEN(TRIM(Table22[[#This Row],[Continent]]))</f>
        <v>6</v>
      </c>
      <c r="J1553" s="64">
        <f>LEN(TRIM(Table22[[#This Row],[Product]]))</f>
        <v>10</v>
      </c>
      <c r="K1553" s="64">
        <f>LEN(TRIM(Table22[[#This Row],[Sales Team]]))</f>
        <v>9</v>
      </c>
      <c r="L1553" s="23">
        <v>9</v>
      </c>
      <c r="M1553" s="65" t="str" cm="1">
        <f t="array" ref="M1553">_xlfn.IFS(Table22[[#This Row],[Units Sold]]&lt;40,"Critical",Table22[[#This Row],[Units Sold]]&lt;=50,"Poor",Table22[[#This Row],[Units Sold]]&lt;=60,"Low",Table22[[#This Row],[Units Sold]]&lt;=80,"Average",Table22[[#This Row],[Units Sold]]&lt;=90,"High",Table22[[#This Row],[Units Sold]]&lt;=95,"Excellent",Table22[[#This Row],[Units Sold]]&gt;95,"Outstanding")</f>
        <v>Critical</v>
      </c>
      <c r="N1553" s="29">
        <v>1223.0999999999999</v>
      </c>
      <c r="O1553" s="29">
        <v>11007.9</v>
      </c>
      <c r="P1553" s="43">
        <f>IF(Table22[[#This Row],[Discount Applied]],Table22[[#This Row],[Total Sales (in USD)]]*(1-Table22[[#This Row],[Discount Percentage (%)]]/100),Table22[[#This Row],[Total Sales (in USD)]])</f>
        <v>8571.8517299999985</v>
      </c>
      <c r="Q1553" s="66">
        <f>SQRT(AVERAGE((Table22[[#This Row],[Net Sales (after discount) (in USD)]]-AVERAGE(Table22[Net Sales (after discount) (in USD)]))^2))</f>
        <v>27939.508833764539</v>
      </c>
      <c r="R1553" s="18" t="b">
        <v>0</v>
      </c>
      <c r="S1553" s="40">
        <v>22.13</v>
      </c>
      <c r="T1553" s="18" t="b">
        <v>1</v>
      </c>
      <c r="U1553" s="25">
        <v>45517</v>
      </c>
      <c r="V1553" s="63" t="str">
        <f>IF(MONTH(Table22[[#This Row],[Sales Date]])&lt;=3,"Q1",IF(MONTH(Table22[[#This Row],[Sales Date]])&lt;=6,"Q2",IF(MONTH(Table22[[#This Row],[Sales Date]])&lt;=9,"Q3","Q4")))</f>
        <v>Q3</v>
      </c>
      <c r="W1553" s="64">
        <f>YEAR(Table22[[#This Row],[Sales Date]])</f>
        <v>2024</v>
      </c>
      <c r="X1553" s="23">
        <v>48</v>
      </c>
      <c r="Y1553" s="18" t="s">
        <v>49</v>
      </c>
      <c r="Z1553" s="18" t="s">
        <v>30</v>
      </c>
      <c r="AA1553" s="19" t="s">
        <v>36</v>
      </c>
    </row>
    <row r="1554" spans="1:27" x14ac:dyDescent="0.25">
      <c r="A1554" s="17" t="s">
        <v>177</v>
      </c>
      <c r="B1554" s="18" t="s">
        <v>27</v>
      </c>
      <c r="C1554" s="63" t="str" cm="1">
        <f t="array" ref="C1554">_xlfn.SWITCH(Table22[[#This Row],[Country]],"USA","North America","Canada","North America","Brazil","South America","China","Asia","Japan","Asia","India","Asia","France","Europe","Germany","Europe","UK","Europe","Australia","Oceania","South America")</f>
        <v>Europe</v>
      </c>
      <c r="D1554" s="18" t="s">
        <v>35</v>
      </c>
      <c r="E1554" s="18" t="s">
        <v>39</v>
      </c>
      <c r="F1554" s="18" t="s">
        <v>64</v>
      </c>
      <c r="G1554" s="18" t="s">
        <v>48</v>
      </c>
      <c r="H1554" s="64">
        <f>LEN(TRIM(Table22[[#This Row],[Country]]))</f>
        <v>7</v>
      </c>
      <c r="I1554" s="64">
        <f>LEN(TRIM(Table22[[#This Row],[Continent]]))</f>
        <v>6</v>
      </c>
      <c r="J1554" s="64">
        <f>LEN(TRIM(Table22[[#This Row],[Product]]))</f>
        <v>10</v>
      </c>
      <c r="K1554" s="64">
        <f>LEN(TRIM(Table22[[#This Row],[Sales Team]]))</f>
        <v>9</v>
      </c>
      <c r="L1554" s="23">
        <v>31</v>
      </c>
      <c r="M1554" s="65" t="str" cm="1">
        <f t="array" ref="M1554">_xlfn.IFS(Table22[[#This Row],[Units Sold]]&lt;40,"Critical",Table22[[#This Row],[Units Sold]]&lt;=50,"Poor",Table22[[#This Row],[Units Sold]]&lt;=60,"Low",Table22[[#This Row],[Units Sold]]&lt;=80,"Average",Table22[[#This Row],[Units Sold]]&lt;=90,"High",Table22[[#This Row],[Units Sold]]&lt;=95,"Excellent",Table22[[#This Row],[Units Sold]]&gt;95,"Outstanding")</f>
        <v>Critical</v>
      </c>
      <c r="N1554" s="29">
        <v>353.83</v>
      </c>
      <c r="O1554" s="29">
        <v>10968.73</v>
      </c>
      <c r="P1554" s="43">
        <f>IF(Table22[[#This Row],[Discount Applied]],Table22[[#This Row],[Total Sales (in USD)]]*(1-Table22[[#This Row],[Discount Percentage (%)]]/100),Table22[[#This Row],[Total Sales (in USD)]])</f>
        <v>10968.73</v>
      </c>
      <c r="Q1554" s="66">
        <f>SQRT(AVERAGE((Table22[[#This Row],[Net Sales (after discount) (in USD)]]-AVERAGE(Table22[Net Sales (after discount) (in USD)]))^2))</f>
        <v>25542.630563764538</v>
      </c>
      <c r="R1554" s="18" t="b">
        <v>0</v>
      </c>
      <c r="S1554" s="40">
        <v>10.91</v>
      </c>
      <c r="T1554" s="18" t="b">
        <v>0</v>
      </c>
      <c r="U1554" s="25">
        <v>45004</v>
      </c>
      <c r="V1554" s="63" t="str">
        <f>IF(MONTH(Table22[[#This Row],[Sales Date]])&lt;=3,"Q1",IF(MONTH(Table22[[#This Row],[Sales Date]])&lt;=6,"Q2",IF(MONTH(Table22[[#This Row],[Sales Date]])&lt;=9,"Q3","Q4")))</f>
        <v>Q1</v>
      </c>
      <c r="W1554" s="64">
        <f>YEAR(Table22[[#This Row],[Sales Date]])</f>
        <v>2023</v>
      </c>
      <c r="X1554" s="23">
        <v>56</v>
      </c>
      <c r="Y1554" s="18" t="s">
        <v>41</v>
      </c>
      <c r="Z1554" s="18" t="s">
        <v>30</v>
      </c>
      <c r="AA1554" s="19" t="s">
        <v>36</v>
      </c>
    </row>
    <row r="1555" spans="1:27" x14ac:dyDescent="0.25">
      <c r="A1555" s="17" t="s">
        <v>397</v>
      </c>
      <c r="B1555" s="18" t="s">
        <v>32</v>
      </c>
      <c r="C1555" s="63" t="str" cm="1">
        <f t="array" ref="C1555">_xlfn.SWITCH(Table22[[#This Row],[Country]],"USA","North America","Canada","North America","Brazil","South America","China","Asia","Japan","Asia","India","Asia","France","Europe","Germany","Europe","UK","Europe","Australia","Oceania","South America")</f>
        <v>Asia</v>
      </c>
      <c r="D1555" s="18" t="s">
        <v>21</v>
      </c>
      <c r="E1555" s="18" t="s">
        <v>19</v>
      </c>
      <c r="F1555" s="18" t="s">
        <v>52</v>
      </c>
      <c r="G1555" s="18" t="s">
        <v>22</v>
      </c>
      <c r="H1555" s="64">
        <f>LEN(TRIM(Table22[[#This Row],[Country]]))</f>
        <v>5</v>
      </c>
      <c r="I1555" s="64">
        <f>LEN(TRIM(Table22[[#This Row],[Continent]]))</f>
        <v>4</v>
      </c>
      <c r="J1555" s="64">
        <f>LEN(TRIM(Table22[[#This Row],[Product]]))</f>
        <v>6</v>
      </c>
      <c r="K1555" s="64">
        <f>LEN(TRIM(Table22[[#This Row],[Sales Team]]))</f>
        <v>10</v>
      </c>
      <c r="L1555" s="23">
        <v>10</v>
      </c>
      <c r="M1555" s="65" t="str" cm="1">
        <f t="array" ref="M1555">_xlfn.IFS(Table22[[#This Row],[Units Sold]]&lt;40,"Critical",Table22[[#This Row],[Units Sold]]&lt;=50,"Poor",Table22[[#This Row],[Units Sold]]&lt;=60,"Low",Table22[[#This Row],[Units Sold]]&lt;=80,"Average",Table22[[#This Row],[Units Sold]]&lt;=90,"High",Table22[[#This Row],[Units Sold]]&lt;=95,"Excellent",Table22[[#This Row],[Units Sold]]&gt;95,"Outstanding")</f>
        <v>Critical</v>
      </c>
      <c r="N1555" s="29">
        <v>1096.8699999999999</v>
      </c>
      <c r="O1555" s="29">
        <v>10968.7</v>
      </c>
      <c r="P1555" s="43">
        <f>IF(Table22[[#This Row],[Discount Applied]],Table22[[#This Row],[Total Sales (in USD)]]*(1-Table22[[#This Row],[Discount Percentage (%)]]/100),Table22[[#This Row],[Total Sales (in USD)]])</f>
        <v>10968.7</v>
      </c>
      <c r="Q1555" s="66">
        <f>SQRT(AVERAGE((Table22[[#This Row],[Net Sales (after discount) (in USD)]]-AVERAGE(Table22[Net Sales (after discount) (in USD)]))^2))</f>
        <v>25542.660563764537</v>
      </c>
      <c r="R1555" s="18" t="b">
        <v>0</v>
      </c>
      <c r="S1555" s="40">
        <v>11.26</v>
      </c>
      <c r="T1555" s="18" t="b">
        <v>0</v>
      </c>
      <c r="U1555" s="25">
        <v>45214</v>
      </c>
      <c r="V1555" s="63" t="str">
        <f>IF(MONTH(Table22[[#This Row],[Sales Date]])&lt;=3,"Q1",IF(MONTH(Table22[[#This Row],[Sales Date]])&lt;=6,"Q2",IF(MONTH(Table22[[#This Row],[Sales Date]])&lt;=9,"Q3","Q4")))</f>
        <v>Q4</v>
      </c>
      <c r="W1555" s="64">
        <f>YEAR(Table22[[#This Row],[Sales Date]])</f>
        <v>2023</v>
      </c>
      <c r="X1555" s="23">
        <v>46</v>
      </c>
      <c r="Y1555" s="18" t="s">
        <v>23</v>
      </c>
      <c r="Z1555" s="18" t="s">
        <v>24</v>
      </c>
      <c r="AA1555" s="19" t="s">
        <v>25</v>
      </c>
    </row>
    <row r="1556" spans="1:27" x14ac:dyDescent="0.25">
      <c r="A1556" s="17" t="s">
        <v>280</v>
      </c>
      <c r="B1556" s="18" t="s">
        <v>46</v>
      </c>
      <c r="C1556" s="63" t="str" cm="1">
        <f t="array" ref="C1556">_xlfn.SWITCH(Table22[[#This Row],[Country]],"USA","North America","Canada","North America","Brazil","South America","China","Asia","Japan","Asia","India","Asia","France","Europe","Germany","Europe","UK","Europe","Australia","Oceania","South America")</f>
        <v>South America</v>
      </c>
      <c r="D1556" s="18" t="s">
        <v>35</v>
      </c>
      <c r="E1556" s="18" t="s">
        <v>39</v>
      </c>
      <c r="F1556" s="18" t="s">
        <v>64</v>
      </c>
      <c r="G1556" s="18" t="s">
        <v>40</v>
      </c>
      <c r="H1556" s="64">
        <f>LEN(TRIM(Table22[[#This Row],[Country]]))</f>
        <v>6</v>
      </c>
      <c r="I1556" s="64">
        <f>LEN(TRIM(Table22[[#This Row],[Continent]]))</f>
        <v>13</v>
      </c>
      <c r="J1556" s="64">
        <f>LEN(TRIM(Table22[[#This Row],[Product]]))</f>
        <v>10</v>
      </c>
      <c r="K1556" s="64">
        <f>LEN(TRIM(Table22[[#This Row],[Sales Team]]))</f>
        <v>10</v>
      </c>
      <c r="L1556" s="23">
        <v>9</v>
      </c>
      <c r="M1556" s="65" t="str" cm="1">
        <f t="array" ref="M1556">_xlfn.IFS(Table22[[#This Row],[Units Sold]]&lt;40,"Critical",Table22[[#This Row],[Units Sold]]&lt;=50,"Poor",Table22[[#This Row],[Units Sold]]&lt;=60,"Low",Table22[[#This Row],[Units Sold]]&lt;=80,"Average",Table22[[#This Row],[Units Sold]]&lt;=90,"High",Table22[[#This Row],[Units Sold]]&lt;=95,"Excellent",Table22[[#This Row],[Units Sold]]&gt;95,"Outstanding")</f>
        <v>Critical</v>
      </c>
      <c r="N1556" s="29">
        <v>1218.4000000000001</v>
      </c>
      <c r="O1556" s="29">
        <v>10965.6</v>
      </c>
      <c r="P1556" s="43">
        <f>IF(Table22[[#This Row],[Discount Applied]],Table22[[#This Row],[Total Sales (in USD)]]*(1-Table22[[#This Row],[Discount Percentage (%)]]/100),Table22[[#This Row],[Total Sales (in USD)]])</f>
        <v>9401.9054400000005</v>
      </c>
      <c r="Q1556" s="66">
        <f>SQRT(AVERAGE((Table22[[#This Row],[Net Sales (after discount) (in USD)]]-AVERAGE(Table22[Net Sales (after discount) (in USD)]))^2))</f>
        <v>27109.455123764536</v>
      </c>
      <c r="R1556" s="18" t="b">
        <v>1</v>
      </c>
      <c r="S1556" s="40">
        <v>14.26</v>
      </c>
      <c r="T1556" s="18" t="b">
        <v>1</v>
      </c>
      <c r="U1556" s="25">
        <v>45474</v>
      </c>
      <c r="V1556" s="63" t="str">
        <f>IF(MONTH(Table22[[#This Row],[Sales Date]])&lt;=3,"Q1",IF(MONTH(Table22[[#This Row],[Sales Date]])&lt;=6,"Q2",IF(MONTH(Table22[[#This Row],[Sales Date]])&lt;=9,"Q3","Q4")))</f>
        <v>Q3</v>
      </c>
      <c r="W1556" s="64">
        <f>YEAR(Table22[[#This Row],[Sales Date]])</f>
        <v>2024</v>
      </c>
      <c r="X1556" s="23">
        <v>24</v>
      </c>
      <c r="Y1556" s="18" t="s">
        <v>49</v>
      </c>
      <c r="Z1556" s="18" t="s">
        <v>56</v>
      </c>
      <c r="AA1556" s="19" t="s">
        <v>36</v>
      </c>
    </row>
    <row r="1557" spans="1:27" x14ac:dyDescent="0.25">
      <c r="A1557" s="17" t="s">
        <v>1157</v>
      </c>
      <c r="B1557" s="18" t="s">
        <v>66</v>
      </c>
      <c r="C1557" s="63" t="str" cm="1">
        <f t="array" ref="C1557">_xlfn.SWITCH(Table22[[#This Row],[Country]],"USA","North America","Canada","North America","Brazil","South America","China","Asia","Japan","Asia","India","Asia","France","Europe","Germany","Europe","UK","Europe","Australia","Oceania","South America")</f>
        <v>North America</v>
      </c>
      <c r="D1557" s="18" t="s">
        <v>35</v>
      </c>
      <c r="E1557" s="18" t="s">
        <v>19</v>
      </c>
      <c r="F1557" s="18" t="s">
        <v>34</v>
      </c>
      <c r="G1557" s="18" t="s">
        <v>29</v>
      </c>
      <c r="H1557" s="64">
        <f>LEN(TRIM(Table22[[#This Row],[Country]]))</f>
        <v>6</v>
      </c>
      <c r="I1557" s="64">
        <f>LEN(TRIM(Table22[[#This Row],[Continent]]))</f>
        <v>13</v>
      </c>
      <c r="J1557" s="64">
        <f>LEN(TRIM(Table22[[#This Row],[Product]]))</f>
        <v>6</v>
      </c>
      <c r="K1557" s="64">
        <f>LEN(TRIM(Table22[[#This Row],[Sales Team]]))</f>
        <v>10</v>
      </c>
      <c r="L1557" s="23">
        <v>11</v>
      </c>
      <c r="M1557" s="65" t="str" cm="1">
        <f t="array" ref="M1557">_xlfn.IFS(Table22[[#This Row],[Units Sold]]&lt;40,"Critical",Table22[[#This Row],[Units Sold]]&lt;=50,"Poor",Table22[[#This Row],[Units Sold]]&lt;=60,"Low",Table22[[#This Row],[Units Sold]]&lt;=80,"Average",Table22[[#This Row],[Units Sold]]&lt;=90,"High",Table22[[#This Row],[Units Sold]]&lt;=95,"Excellent",Table22[[#This Row],[Units Sold]]&gt;95,"Outstanding")</f>
        <v>Critical</v>
      </c>
      <c r="N1557" s="29">
        <v>996.84</v>
      </c>
      <c r="O1557" s="29">
        <v>10965.24</v>
      </c>
      <c r="P1557" s="43">
        <f>IF(Table22[[#This Row],[Discount Applied]],Table22[[#This Row],[Total Sales (in USD)]]*(1-Table22[[#This Row],[Discount Percentage (%)]]/100),Table22[[#This Row],[Total Sales (in USD)]])</f>
        <v>10965.24</v>
      </c>
      <c r="Q1557" s="66">
        <f>SQRT(AVERAGE((Table22[[#This Row],[Net Sales (after discount) (in USD)]]-AVERAGE(Table22[Net Sales (after discount) (in USD)]))^2))</f>
        <v>25546.12056376454</v>
      </c>
      <c r="R1557" s="18" t="b">
        <v>0</v>
      </c>
      <c r="S1557" s="40">
        <v>16.86</v>
      </c>
      <c r="T1557" s="18" t="b">
        <v>0</v>
      </c>
      <c r="U1557" s="25">
        <v>44985</v>
      </c>
      <c r="V1557" s="63" t="str">
        <f>IF(MONTH(Table22[[#This Row],[Sales Date]])&lt;=3,"Q1",IF(MONTH(Table22[[#This Row],[Sales Date]])&lt;=6,"Q2",IF(MONTH(Table22[[#This Row],[Sales Date]])&lt;=9,"Q3","Q4")))</f>
        <v>Q1</v>
      </c>
      <c r="W1557" s="64">
        <f>YEAR(Table22[[#This Row],[Sales Date]])</f>
        <v>2023</v>
      </c>
      <c r="X1557" s="23">
        <v>34</v>
      </c>
      <c r="Y1557" s="18" t="s">
        <v>41</v>
      </c>
      <c r="Z1557" s="18" t="s">
        <v>56</v>
      </c>
      <c r="AA1557" s="19" t="s">
        <v>36</v>
      </c>
    </row>
    <row r="1558" spans="1:27" x14ac:dyDescent="0.25">
      <c r="A1558" s="17" t="s">
        <v>554</v>
      </c>
      <c r="B1558" s="18" t="s">
        <v>72</v>
      </c>
      <c r="C1558" s="63" t="str" cm="1">
        <f t="array" ref="C1558">_xlfn.SWITCH(Table22[[#This Row],[Country]],"USA","North America","Canada","North America","Brazil","South America","China","Asia","Japan","Asia","India","Asia","France","Europe","Germany","Europe","UK","Europe","Australia","Oceania","South America")</f>
        <v>North America</v>
      </c>
      <c r="D1558" s="18" t="s">
        <v>44</v>
      </c>
      <c r="E1558" s="18" t="s">
        <v>19</v>
      </c>
      <c r="F1558" s="18" t="s">
        <v>47</v>
      </c>
      <c r="G1558" s="18" t="s">
        <v>29</v>
      </c>
      <c r="H1558" s="64">
        <f>LEN(TRIM(Table22[[#This Row],[Country]]))</f>
        <v>3</v>
      </c>
      <c r="I1558" s="64">
        <f>LEN(TRIM(Table22[[#This Row],[Continent]]))</f>
        <v>13</v>
      </c>
      <c r="J1558" s="64">
        <f>LEN(TRIM(Table22[[#This Row],[Product]]))</f>
        <v>6</v>
      </c>
      <c r="K1558" s="64">
        <f>LEN(TRIM(Table22[[#This Row],[Sales Team]]))</f>
        <v>10</v>
      </c>
      <c r="L1558" s="23">
        <v>54</v>
      </c>
      <c r="M1558" s="65" t="str" cm="1">
        <f t="array" ref="M1558">_xlfn.IFS(Table22[[#This Row],[Units Sold]]&lt;40,"Critical",Table22[[#This Row],[Units Sold]]&lt;=50,"Poor",Table22[[#This Row],[Units Sold]]&lt;=60,"Low",Table22[[#This Row],[Units Sold]]&lt;=80,"Average",Table22[[#This Row],[Units Sold]]&lt;=90,"High",Table22[[#This Row],[Units Sold]]&lt;=95,"Excellent",Table22[[#This Row],[Units Sold]]&gt;95,"Outstanding")</f>
        <v>Low</v>
      </c>
      <c r="N1558" s="29">
        <v>202.83</v>
      </c>
      <c r="O1558" s="29">
        <v>10952.82</v>
      </c>
      <c r="P1558" s="43">
        <f>IF(Table22[[#This Row],[Discount Applied]],Table22[[#This Row],[Total Sales (in USD)]]*(1-Table22[[#This Row],[Discount Percentage (%)]]/100),Table22[[#This Row],[Total Sales (in USD)]])</f>
        <v>10952.82</v>
      </c>
      <c r="Q1558" s="66">
        <f>SQRT(AVERAGE((Table22[[#This Row],[Net Sales (after discount) (in USD)]]-AVERAGE(Table22[Net Sales (after discount) (in USD)]))^2))</f>
        <v>25558.540563764538</v>
      </c>
      <c r="R1558" s="18" t="b">
        <v>0</v>
      </c>
      <c r="S1558" s="40">
        <v>26.96</v>
      </c>
      <c r="T1558" s="18" t="b">
        <v>0</v>
      </c>
      <c r="U1558" s="25">
        <v>44988</v>
      </c>
      <c r="V1558" s="63" t="str">
        <f>IF(MONTH(Table22[[#This Row],[Sales Date]])&lt;=3,"Q1",IF(MONTH(Table22[[#This Row],[Sales Date]])&lt;=6,"Q2",IF(MONTH(Table22[[#This Row],[Sales Date]])&lt;=9,"Q3","Q4")))</f>
        <v>Q1</v>
      </c>
      <c r="W1558" s="64">
        <f>YEAR(Table22[[#This Row],[Sales Date]])</f>
        <v>2023</v>
      </c>
      <c r="X1558" s="23">
        <v>56</v>
      </c>
      <c r="Y1558" s="18" t="s">
        <v>41</v>
      </c>
      <c r="Z1558" s="18" t="s">
        <v>24</v>
      </c>
      <c r="AA1558" s="19" t="s">
        <v>36</v>
      </c>
    </row>
    <row r="1559" spans="1:27" x14ac:dyDescent="0.25">
      <c r="A1559" s="17" t="s">
        <v>806</v>
      </c>
      <c r="B1559" s="18" t="s">
        <v>38</v>
      </c>
      <c r="C1559" s="63" t="str" cm="1">
        <f t="array" ref="C1559">_xlfn.SWITCH(Table22[[#This Row],[Country]],"USA","North America","Canada","North America","Brazil","South America","China","Asia","Japan","Asia","India","Asia","France","Europe","Germany","Europe","UK","Europe","Australia","Oceania","South America")</f>
        <v>Europe</v>
      </c>
      <c r="D1559" s="18" t="s">
        <v>28</v>
      </c>
      <c r="E1559" s="18" t="s">
        <v>39</v>
      </c>
      <c r="F1559" s="18" t="s">
        <v>47</v>
      </c>
      <c r="G1559" s="18" t="s">
        <v>22</v>
      </c>
      <c r="H1559" s="64">
        <f>LEN(TRIM(Table22[[#This Row],[Country]]))</f>
        <v>6</v>
      </c>
      <c r="I1559" s="64">
        <f>LEN(TRIM(Table22[[#This Row],[Continent]]))</f>
        <v>6</v>
      </c>
      <c r="J1559" s="64">
        <f>LEN(TRIM(Table22[[#This Row],[Product]]))</f>
        <v>10</v>
      </c>
      <c r="K1559" s="64">
        <f>LEN(TRIM(Table22[[#This Row],[Sales Team]]))</f>
        <v>10</v>
      </c>
      <c r="L1559" s="23">
        <v>36</v>
      </c>
      <c r="M1559" s="65" t="str" cm="1">
        <f t="array" ref="M1559">_xlfn.IFS(Table22[[#This Row],[Units Sold]]&lt;40,"Critical",Table22[[#This Row],[Units Sold]]&lt;=50,"Poor",Table22[[#This Row],[Units Sold]]&lt;=60,"Low",Table22[[#This Row],[Units Sold]]&lt;=80,"Average",Table22[[#This Row],[Units Sold]]&lt;=90,"High",Table22[[#This Row],[Units Sold]]&lt;=95,"Excellent",Table22[[#This Row],[Units Sold]]&gt;95,"Outstanding")</f>
        <v>Critical</v>
      </c>
      <c r="N1559" s="29">
        <v>303.33</v>
      </c>
      <c r="O1559" s="29">
        <v>10919.88</v>
      </c>
      <c r="P1559" s="43">
        <f>IF(Table22[[#This Row],[Discount Applied]],Table22[[#This Row],[Total Sales (in USD)]]*(1-Table22[[#This Row],[Discount Percentage (%)]]/100),Table22[[#This Row],[Total Sales (in USD)]])</f>
        <v>10919.88</v>
      </c>
      <c r="Q1559" s="66">
        <f>SQRT(AVERAGE((Table22[[#This Row],[Net Sales (after discount) (in USD)]]-AVERAGE(Table22[Net Sales (after discount) (in USD)]))^2))</f>
        <v>25591.48056376454</v>
      </c>
      <c r="R1559" s="18" t="b">
        <v>0</v>
      </c>
      <c r="S1559" s="40">
        <v>23.53</v>
      </c>
      <c r="T1559" s="18" t="b">
        <v>0</v>
      </c>
      <c r="U1559" s="25">
        <v>44949</v>
      </c>
      <c r="V1559" s="63" t="str">
        <f>IF(MONTH(Table22[[#This Row],[Sales Date]])&lt;=3,"Q1",IF(MONTH(Table22[[#This Row],[Sales Date]])&lt;=6,"Q2",IF(MONTH(Table22[[#This Row],[Sales Date]])&lt;=9,"Q3","Q4")))</f>
        <v>Q1</v>
      </c>
      <c r="W1559" s="64">
        <f>YEAR(Table22[[#This Row],[Sales Date]])</f>
        <v>2023</v>
      </c>
      <c r="X1559" s="23">
        <v>18</v>
      </c>
      <c r="Y1559" s="18" t="s">
        <v>49</v>
      </c>
      <c r="Z1559" s="18" t="s">
        <v>24</v>
      </c>
      <c r="AA1559" s="19" t="s">
        <v>25</v>
      </c>
    </row>
    <row r="1560" spans="1:27" x14ac:dyDescent="0.25">
      <c r="A1560" s="17" t="s">
        <v>1599</v>
      </c>
      <c r="B1560" s="18" t="s">
        <v>76</v>
      </c>
      <c r="C1560" s="63" t="str" cm="1">
        <f t="array" ref="C1560">_xlfn.SWITCH(Table22[[#This Row],[Country]],"USA","North America","Canada","North America","Brazil","South America","China","Asia","Japan","Asia","India","Asia","France","Europe","Germany","Europe","UK","Europe","Australia","Oceania","South America")</f>
        <v>Asia</v>
      </c>
      <c r="D1560" s="18" t="s">
        <v>44</v>
      </c>
      <c r="E1560" s="18" t="s">
        <v>33</v>
      </c>
      <c r="F1560" s="18" t="s">
        <v>52</v>
      </c>
      <c r="G1560" s="18" t="s">
        <v>29</v>
      </c>
      <c r="H1560" s="64">
        <f>LEN(TRIM(Table22[[#This Row],[Country]]))</f>
        <v>5</v>
      </c>
      <c r="I1560" s="64">
        <f>LEN(TRIM(Table22[[#This Row],[Continent]]))</f>
        <v>4</v>
      </c>
      <c r="J1560" s="64">
        <f>LEN(TRIM(Table22[[#This Row],[Product]]))</f>
        <v>10</v>
      </c>
      <c r="K1560" s="64">
        <f>LEN(TRIM(Table22[[#This Row],[Sales Team]]))</f>
        <v>10</v>
      </c>
      <c r="L1560" s="23">
        <v>72</v>
      </c>
      <c r="M1560" s="65" t="str" cm="1">
        <f t="array" ref="M1560">_xlfn.IFS(Table22[[#This Row],[Units Sold]]&lt;40,"Critical",Table22[[#This Row],[Units Sold]]&lt;=50,"Poor",Table22[[#This Row],[Units Sold]]&lt;=60,"Low",Table22[[#This Row],[Units Sold]]&lt;=80,"Average",Table22[[#This Row],[Units Sold]]&lt;=90,"High",Table22[[#This Row],[Units Sold]]&lt;=95,"Excellent",Table22[[#This Row],[Units Sold]]&gt;95,"Outstanding")</f>
        <v>Average</v>
      </c>
      <c r="N1560" s="29">
        <v>150.62</v>
      </c>
      <c r="O1560" s="29">
        <v>10844.64</v>
      </c>
      <c r="P1560" s="43">
        <f>IF(Table22[[#This Row],[Discount Applied]],Table22[[#This Row],[Total Sales (in USD)]]*(1-Table22[[#This Row],[Discount Percentage (%)]]/100),Table22[[#This Row],[Total Sales (in USD)]])</f>
        <v>10844.64</v>
      </c>
      <c r="Q1560" s="66">
        <f>SQRT(AVERAGE((Table22[[#This Row],[Net Sales (after discount) (in USD)]]-AVERAGE(Table22[Net Sales (after discount) (in USD)]))^2))</f>
        <v>25666.720563764538</v>
      </c>
      <c r="R1560" s="18" t="b">
        <v>1</v>
      </c>
      <c r="S1560" s="40">
        <v>0.03</v>
      </c>
      <c r="T1560" s="18" t="b">
        <v>0</v>
      </c>
      <c r="U1560" s="25">
        <v>45056</v>
      </c>
      <c r="V1560" s="63" t="str">
        <f>IF(MONTH(Table22[[#This Row],[Sales Date]])&lt;=3,"Q1",IF(MONTH(Table22[[#This Row],[Sales Date]])&lt;=6,"Q2",IF(MONTH(Table22[[#This Row],[Sales Date]])&lt;=9,"Q3","Q4")))</f>
        <v>Q2</v>
      </c>
      <c r="W1560" s="64">
        <f>YEAR(Table22[[#This Row],[Sales Date]])</f>
        <v>2023</v>
      </c>
      <c r="X1560" s="23">
        <v>42</v>
      </c>
      <c r="Y1560" s="18" t="s">
        <v>23</v>
      </c>
      <c r="Z1560" s="18" t="s">
        <v>30</v>
      </c>
      <c r="AA1560" s="19" t="s">
        <v>25</v>
      </c>
    </row>
    <row r="1561" spans="1:27" x14ac:dyDescent="0.25">
      <c r="A1561" s="17" t="s">
        <v>499</v>
      </c>
      <c r="B1561" s="18" t="s">
        <v>72</v>
      </c>
      <c r="C1561" s="63" t="str" cm="1">
        <f t="array" ref="C1561">_xlfn.SWITCH(Table22[[#This Row],[Country]],"USA","North America","Canada","North America","Brazil","South America","China","Asia","Japan","Asia","India","Asia","France","Europe","Germany","Europe","UK","Europe","Australia","Oceania","South America")</f>
        <v>North America</v>
      </c>
      <c r="D1561" s="18" t="s">
        <v>28</v>
      </c>
      <c r="E1561" s="18" t="s">
        <v>19</v>
      </c>
      <c r="F1561" s="18" t="s">
        <v>64</v>
      </c>
      <c r="G1561" s="18" t="s">
        <v>22</v>
      </c>
      <c r="H1561" s="64">
        <f>LEN(TRIM(Table22[[#This Row],[Country]]))</f>
        <v>3</v>
      </c>
      <c r="I1561" s="64">
        <f>LEN(TRIM(Table22[[#This Row],[Continent]]))</f>
        <v>13</v>
      </c>
      <c r="J1561" s="64">
        <f>LEN(TRIM(Table22[[#This Row],[Product]]))</f>
        <v>6</v>
      </c>
      <c r="K1561" s="64">
        <f>LEN(TRIM(Table22[[#This Row],[Sales Team]]))</f>
        <v>10</v>
      </c>
      <c r="L1561" s="23">
        <v>21</v>
      </c>
      <c r="M1561" s="65" t="str" cm="1">
        <f t="array" ref="M1561">_xlfn.IFS(Table22[[#This Row],[Units Sold]]&lt;40,"Critical",Table22[[#This Row],[Units Sold]]&lt;=50,"Poor",Table22[[#This Row],[Units Sold]]&lt;=60,"Low",Table22[[#This Row],[Units Sold]]&lt;=80,"Average",Table22[[#This Row],[Units Sold]]&lt;=90,"High",Table22[[#This Row],[Units Sold]]&lt;=95,"Excellent",Table22[[#This Row],[Units Sold]]&gt;95,"Outstanding")</f>
        <v>Critical</v>
      </c>
      <c r="N1561" s="29">
        <v>513.83000000000004</v>
      </c>
      <c r="O1561" s="29">
        <v>10790.43</v>
      </c>
      <c r="P1561" s="43">
        <f>IF(Table22[[#This Row],[Discount Applied]],Table22[[#This Row],[Total Sales (in USD)]]*(1-Table22[[#This Row],[Discount Percentage (%)]]/100),Table22[[#This Row],[Total Sales (in USD)]])</f>
        <v>8898.8676209999994</v>
      </c>
      <c r="Q1561" s="66">
        <f>SQRT(AVERAGE((Table22[[#This Row],[Net Sales (after discount) (in USD)]]-AVERAGE(Table22[Net Sales (after discount) (in USD)]))^2))</f>
        <v>27612.49294276454</v>
      </c>
      <c r="R1561" s="18" t="b">
        <v>0</v>
      </c>
      <c r="S1561" s="40">
        <v>17.53</v>
      </c>
      <c r="T1561" s="18" t="b">
        <v>1</v>
      </c>
      <c r="U1561" s="25">
        <v>45387</v>
      </c>
      <c r="V1561" s="63" t="str">
        <f>IF(MONTH(Table22[[#This Row],[Sales Date]])&lt;=3,"Q1",IF(MONTH(Table22[[#This Row],[Sales Date]])&lt;=6,"Q2",IF(MONTH(Table22[[#This Row],[Sales Date]])&lt;=9,"Q3","Q4")))</f>
        <v>Q2</v>
      </c>
      <c r="W1561" s="64">
        <f>YEAR(Table22[[#This Row],[Sales Date]])</f>
        <v>2024</v>
      </c>
      <c r="X1561" s="23">
        <v>19</v>
      </c>
      <c r="Y1561" s="18" t="s">
        <v>23</v>
      </c>
      <c r="Z1561" s="18" t="s">
        <v>24</v>
      </c>
      <c r="AA1561" s="19" t="s">
        <v>36</v>
      </c>
    </row>
    <row r="1562" spans="1:27" x14ac:dyDescent="0.25">
      <c r="A1562" s="17" t="s">
        <v>765</v>
      </c>
      <c r="B1562" s="18" t="s">
        <v>32</v>
      </c>
      <c r="C1562" s="63" t="str" cm="1">
        <f t="array" ref="C1562">_xlfn.SWITCH(Table22[[#This Row],[Country]],"USA","North America","Canada","North America","Brazil","South America","China","Asia","Japan","Asia","India","Asia","France","Europe","Germany","Europe","UK","Europe","Australia","Oceania","South America")</f>
        <v>Asia</v>
      </c>
      <c r="D1562" s="18" t="s">
        <v>21</v>
      </c>
      <c r="E1562" s="18" t="s">
        <v>39</v>
      </c>
      <c r="F1562" s="18" t="s">
        <v>20</v>
      </c>
      <c r="G1562" s="18" t="s">
        <v>40</v>
      </c>
      <c r="H1562" s="64">
        <f>LEN(TRIM(Table22[[#This Row],[Country]]))</f>
        <v>5</v>
      </c>
      <c r="I1562" s="64">
        <f>LEN(TRIM(Table22[[#This Row],[Continent]]))</f>
        <v>4</v>
      </c>
      <c r="J1562" s="64">
        <f>LEN(TRIM(Table22[[#This Row],[Product]]))</f>
        <v>10</v>
      </c>
      <c r="K1562" s="64">
        <f>LEN(TRIM(Table22[[#This Row],[Sales Team]]))</f>
        <v>10</v>
      </c>
      <c r="L1562" s="23">
        <v>57</v>
      </c>
      <c r="M1562" s="65" t="str" cm="1">
        <f t="array" ref="M1562">_xlfn.IFS(Table22[[#This Row],[Units Sold]]&lt;40,"Critical",Table22[[#This Row],[Units Sold]]&lt;=50,"Poor",Table22[[#This Row],[Units Sold]]&lt;=60,"Low",Table22[[#This Row],[Units Sold]]&lt;=80,"Average",Table22[[#This Row],[Units Sold]]&lt;=90,"High",Table22[[#This Row],[Units Sold]]&lt;=95,"Excellent",Table22[[#This Row],[Units Sold]]&gt;95,"Outstanding")</f>
        <v>Low</v>
      </c>
      <c r="N1562" s="29">
        <v>187.62</v>
      </c>
      <c r="O1562" s="29">
        <v>10694.34</v>
      </c>
      <c r="P1562" s="43">
        <f>IF(Table22[[#This Row],[Discount Applied]],Table22[[#This Row],[Total Sales (in USD)]]*(1-Table22[[#This Row],[Discount Percentage (%)]]/100),Table22[[#This Row],[Total Sales (in USD)]])</f>
        <v>10694.34</v>
      </c>
      <c r="Q1562" s="66">
        <f>SQRT(AVERAGE((Table22[[#This Row],[Net Sales (after discount) (in USD)]]-AVERAGE(Table22[Net Sales (after discount) (in USD)]))^2))</f>
        <v>25817.020563764538</v>
      </c>
      <c r="R1562" s="18" t="b">
        <v>1</v>
      </c>
      <c r="S1562" s="40">
        <v>12.04</v>
      </c>
      <c r="T1562" s="18" t="b">
        <v>0</v>
      </c>
      <c r="U1562" s="25">
        <v>45562</v>
      </c>
      <c r="V1562" s="63" t="str">
        <f>IF(MONTH(Table22[[#This Row],[Sales Date]])&lt;=3,"Q1",IF(MONTH(Table22[[#This Row],[Sales Date]])&lt;=6,"Q2",IF(MONTH(Table22[[#This Row],[Sales Date]])&lt;=9,"Q3","Q4")))</f>
        <v>Q3</v>
      </c>
      <c r="W1562" s="64">
        <f>YEAR(Table22[[#This Row],[Sales Date]])</f>
        <v>2024</v>
      </c>
      <c r="X1562" s="23">
        <v>69</v>
      </c>
      <c r="Y1562" s="18" t="s">
        <v>41</v>
      </c>
      <c r="Z1562" s="18" t="s">
        <v>56</v>
      </c>
      <c r="AA1562" s="19" t="s">
        <v>36</v>
      </c>
    </row>
    <row r="1563" spans="1:27" x14ac:dyDescent="0.25">
      <c r="A1563" s="17" t="s">
        <v>587</v>
      </c>
      <c r="B1563" s="18" t="s">
        <v>66</v>
      </c>
      <c r="C1563" s="63" t="str" cm="1">
        <f t="array" ref="C1563">_xlfn.SWITCH(Table22[[#This Row],[Country]],"USA","North America","Canada","North America","Brazil","South America","China","Asia","Japan","Asia","India","Asia","France","Europe","Germany","Europe","UK","Europe","Australia","Oceania","South America")</f>
        <v>North America</v>
      </c>
      <c r="D1563" s="18" t="s">
        <v>35</v>
      </c>
      <c r="E1563" s="18" t="s">
        <v>33</v>
      </c>
      <c r="F1563" s="18" t="s">
        <v>34</v>
      </c>
      <c r="G1563" s="18" t="s">
        <v>40</v>
      </c>
      <c r="H1563" s="64">
        <f>LEN(TRIM(Table22[[#This Row],[Country]]))</f>
        <v>6</v>
      </c>
      <c r="I1563" s="64">
        <f>LEN(TRIM(Table22[[#This Row],[Continent]]))</f>
        <v>13</v>
      </c>
      <c r="J1563" s="64">
        <f>LEN(TRIM(Table22[[#This Row],[Product]]))</f>
        <v>10</v>
      </c>
      <c r="K1563" s="64">
        <f>LEN(TRIM(Table22[[#This Row],[Sales Team]]))</f>
        <v>10</v>
      </c>
      <c r="L1563" s="23">
        <v>14</v>
      </c>
      <c r="M1563" s="65" t="str" cm="1">
        <f t="array" ref="M1563">_xlfn.IFS(Table22[[#This Row],[Units Sold]]&lt;40,"Critical",Table22[[#This Row],[Units Sold]]&lt;=50,"Poor",Table22[[#This Row],[Units Sold]]&lt;=60,"Low",Table22[[#This Row],[Units Sold]]&lt;=80,"Average",Table22[[#This Row],[Units Sold]]&lt;=90,"High",Table22[[#This Row],[Units Sold]]&lt;=95,"Excellent",Table22[[#This Row],[Units Sold]]&gt;95,"Outstanding")</f>
        <v>Critical</v>
      </c>
      <c r="N1563" s="29">
        <v>760.07</v>
      </c>
      <c r="O1563" s="29">
        <v>10640.98</v>
      </c>
      <c r="P1563" s="43">
        <f>IF(Table22[[#This Row],[Discount Applied]],Table22[[#This Row],[Total Sales (in USD)]]*(1-Table22[[#This Row],[Discount Percentage (%)]]/100),Table22[[#This Row],[Total Sales (in USD)]])</f>
        <v>10640.98</v>
      </c>
      <c r="Q1563" s="66">
        <f>SQRT(AVERAGE((Table22[[#This Row],[Net Sales (after discount) (in USD)]]-AVERAGE(Table22[Net Sales (after discount) (in USD)]))^2))</f>
        <v>25870.380563764538</v>
      </c>
      <c r="R1563" s="18" t="b">
        <v>1</v>
      </c>
      <c r="S1563" s="40">
        <v>2.29</v>
      </c>
      <c r="T1563" s="18" t="b">
        <v>0</v>
      </c>
      <c r="U1563" s="25">
        <v>45544</v>
      </c>
      <c r="V1563" s="63" t="str">
        <f>IF(MONTH(Table22[[#This Row],[Sales Date]])&lt;=3,"Q1",IF(MONTH(Table22[[#This Row],[Sales Date]])&lt;=6,"Q2",IF(MONTH(Table22[[#This Row],[Sales Date]])&lt;=9,"Q3","Q4")))</f>
        <v>Q3</v>
      </c>
      <c r="W1563" s="64">
        <f>YEAR(Table22[[#This Row],[Sales Date]])</f>
        <v>2024</v>
      </c>
      <c r="X1563" s="23">
        <v>21</v>
      </c>
      <c r="Y1563" s="18" t="s">
        <v>41</v>
      </c>
      <c r="Z1563" s="18" t="s">
        <v>30</v>
      </c>
      <c r="AA1563" s="19" t="s">
        <v>36</v>
      </c>
    </row>
    <row r="1564" spans="1:27" x14ac:dyDescent="0.25">
      <c r="A1564" s="17" t="s">
        <v>443</v>
      </c>
      <c r="B1564" s="18" t="s">
        <v>38</v>
      </c>
      <c r="C1564" s="63" t="str" cm="1">
        <f t="array" ref="C1564">_xlfn.SWITCH(Table22[[#This Row],[Country]],"USA","North America","Canada","North America","Brazil","South America","China","Asia","Japan","Asia","India","Asia","France","Europe","Germany","Europe","UK","Europe","Australia","Oceania","South America")</f>
        <v>Europe</v>
      </c>
      <c r="D1564" s="18" t="s">
        <v>21</v>
      </c>
      <c r="E1564" s="18" t="s">
        <v>33</v>
      </c>
      <c r="F1564" s="18" t="s">
        <v>64</v>
      </c>
      <c r="G1564" s="18" t="s">
        <v>22</v>
      </c>
      <c r="H1564" s="64">
        <f>LEN(TRIM(Table22[[#This Row],[Country]]))</f>
        <v>6</v>
      </c>
      <c r="I1564" s="64">
        <f>LEN(TRIM(Table22[[#This Row],[Continent]]))</f>
        <v>6</v>
      </c>
      <c r="J1564" s="64">
        <f>LEN(TRIM(Table22[[#This Row],[Product]]))</f>
        <v>10</v>
      </c>
      <c r="K1564" s="64">
        <f>LEN(TRIM(Table22[[#This Row],[Sales Team]]))</f>
        <v>10</v>
      </c>
      <c r="L1564" s="23">
        <v>8</v>
      </c>
      <c r="M1564" s="65" t="str" cm="1">
        <f t="array" ref="M1564">_xlfn.IFS(Table22[[#This Row],[Units Sold]]&lt;40,"Critical",Table22[[#This Row],[Units Sold]]&lt;=50,"Poor",Table22[[#This Row],[Units Sold]]&lt;=60,"Low",Table22[[#This Row],[Units Sold]]&lt;=80,"Average",Table22[[#This Row],[Units Sold]]&lt;=90,"High",Table22[[#This Row],[Units Sold]]&lt;=95,"Excellent",Table22[[#This Row],[Units Sold]]&gt;95,"Outstanding")</f>
        <v>Critical</v>
      </c>
      <c r="N1564" s="29">
        <v>1318.66</v>
      </c>
      <c r="O1564" s="29">
        <v>10549.28</v>
      </c>
      <c r="P1564" s="43">
        <f>IF(Table22[[#This Row],[Discount Applied]],Table22[[#This Row],[Total Sales (in USD)]]*(1-Table22[[#This Row],[Discount Percentage (%)]]/100),Table22[[#This Row],[Total Sales (in USD)]])</f>
        <v>10549.28</v>
      </c>
      <c r="Q1564" s="66">
        <f>SQRT(AVERAGE((Table22[[#This Row],[Net Sales (after discount) (in USD)]]-AVERAGE(Table22[Net Sales (after discount) (in USD)]))^2))</f>
        <v>25962.080563764539</v>
      </c>
      <c r="R1564" s="18" t="b">
        <v>1</v>
      </c>
      <c r="S1564" s="40">
        <v>10.25</v>
      </c>
      <c r="T1564" s="18" t="b">
        <v>0</v>
      </c>
      <c r="U1564" s="25">
        <v>45120</v>
      </c>
      <c r="V1564" s="63" t="str">
        <f>IF(MONTH(Table22[[#This Row],[Sales Date]])&lt;=3,"Q1",IF(MONTH(Table22[[#This Row],[Sales Date]])&lt;=6,"Q2",IF(MONTH(Table22[[#This Row],[Sales Date]])&lt;=9,"Q3","Q4")))</f>
        <v>Q3</v>
      </c>
      <c r="W1564" s="64">
        <f>YEAR(Table22[[#This Row],[Sales Date]])</f>
        <v>2023</v>
      </c>
      <c r="X1564" s="23">
        <v>47</v>
      </c>
      <c r="Y1564" s="18" t="s">
        <v>23</v>
      </c>
      <c r="Z1564" s="18" t="s">
        <v>24</v>
      </c>
      <c r="AA1564" s="19" t="s">
        <v>36</v>
      </c>
    </row>
    <row r="1565" spans="1:27" x14ac:dyDescent="0.25">
      <c r="A1565" s="17" t="s">
        <v>1242</v>
      </c>
      <c r="B1565" s="18" t="s">
        <v>62</v>
      </c>
      <c r="C1565" s="63" t="str" cm="1">
        <f t="array" ref="C1565">_xlfn.SWITCH(Table22[[#This Row],[Country]],"USA","North America","Canada","North America","Brazil","South America","China","Asia","Japan","Asia","India","Asia","France","Europe","Germany","Europe","UK","Europe","Australia","Oceania","South America")</f>
        <v>Oceania</v>
      </c>
      <c r="D1565" s="18" t="s">
        <v>44</v>
      </c>
      <c r="E1565" s="18" t="s">
        <v>39</v>
      </c>
      <c r="F1565" s="18" t="s">
        <v>64</v>
      </c>
      <c r="G1565" s="18" t="s">
        <v>40</v>
      </c>
      <c r="H1565" s="64">
        <f>LEN(TRIM(Table22[[#This Row],[Country]]))</f>
        <v>9</v>
      </c>
      <c r="I1565" s="64">
        <f>LEN(TRIM(Table22[[#This Row],[Continent]]))</f>
        <v>7</v>
      </c>
      <c r="J1565" s="64">
        <f>LEN(TRIM(Table22[[#This Row],[Product]]))</f>
        <v>10</v>
      </c>
      <c r="K1565" s="64">
        <f>LEN(TRIM(Table22[[#This Row],[Sales Team]]))</f>
        <v>10</v>
      </c>
      <c r="L1565" s="23">
        <v>37</v>
      </c>
      <c r="M1565" s="65" t="str" cm="1">
        <f t="array" ref="M1565">_xlfn.IFS(Table22[[#This Row],[Units Sold]]&lt;40,"Critical",Table22[[#This Row],[Units Sold]]&lt;=50,"Poor",Table22[[#This Row],[Units Sold]]&lt;=60,"Low",Table22[[#This Row],[Units Sold]]&lt;=80,"Average",Table22[[#This Row],[Units Sold]]&lt;=90,"High",Table22[[#This Row],[Units Sold]]&lt;=95,"Excellent",Table22[[#This Row],[Units Sold]]&gt;95,"Outstanding")</f>
        <v>Critical</v>
      </c>
      <c r="N1565" s="29">
        <v>284.32</v>
      </c>
      <c r="O1565" s="29">
        <v>10519.84</v>
      </c>
      <c r="P1565" s="43">
        <f>IF(Table22[[#This Row],[Discount Applied]],Table22[[#This Row],[Total Sales (in USD)]]*(1-Table22[[#This Row],[Discount Percentage (%)]]/100),Table22[[#This Row],[Total Sales (in USD)]])</f>
        <v>8826.1457599999994</v>
      </c>
      <c r="Q1565" s="66">
        <f>SQRT(AVERAGE((Table22[[#This Row],[Net Sales (after discount) (in USD)]]-AVERAGE(Table22[Net Sales (after discount) (in USD)]))^2))</f>
        <v>27685.214803764538</v>
      </c>
      <c r="R1565" s="18" t="b">
        <v>1</v>
      </c>
      <c r="S1565" s="40">
        <v>16.100000000000001</v>
      </c>
      <c r="T1565" s="18" t="b">
        <v>1</v>
      </c>
      <c r="U1565" s="25">
        <v>45491</v>
      </c>
      <c r="V1565" s="63" t="str">
        <f>IF(MONTH(Table22[[#This Row],[Sales Date]])&lt;=3,"Q1",IF(MONTH(Table22[[#This Row],[Sales Date]])&lt;=6,"Q2",IF(MONTH(Table22[[#This Row],[Sales Date]])&lt;=9,"Q3","Q4")))</f>
        <v>Q3</v>
      </c>
      <c r="W1565" s="64">
        <f>YEAR(Table22[[#This Row],[Sales Date]])</f>
        <v>2024</v>
      </c>
      <c r="X1565" s="23">
        <v>53</v>
      </c>
      <c r="Y1565" s="18" t="s">
        <v>49</v>
      </c>
      <c r="Z1565" s="18" t="s">
        <v>56</v>
      </c>
      <c r="AA1565" s="19" t="s">
        <v>25</v>
      </c>
    </row>
    <row r="1566" spans="1:27" x14ac:dyDescent="0.25">
      <c r="A1566" s="17" t="s">
        <v>1568</v>
      </c>
      <c r="B1566" s="18" t="s">
        <v>66</v>
      </c>
      <c r="C1566" s="63" t="str" cm="1">
        <f t="array" ref="C1566">_xlfn.SWITCH(Table22[[#This Row],[Country]],"USA","North America","Canada","North America","Brazil","South America","China","Asia","Japan","Asia","India","Asia","France","Europe","Germany","Europe","UK","Europe","Australia","Oceania","South America")</f>
        <v>North America</v>
      </c>
      <c r="D1566" s="18" t="s">
        <v>44</v>
      </c>
      <c r="E1566" s="18" t="s">
        <v>33</v>
      </c>
      <c r="F1566" s="18" t="s">
        <v>47</v>
      </c>
      <c r="G1566" s="18" t="s">
        <v>29</v>
      </c>
      <c r="H1566" s="64">
        <f>LEN(TRIM(Table22[[#This Row],[Country]]))</f>
        <v>6</v>
      </c>
      <c r="I1566" s="64">
        <f>LEN(TRIM(Table22[[#This Row],[Continent]]))</f>
        <v>13</v>
      </c>
      <c r="J1566" s="64">
        <f>LEN(TRIM(Table22[[#This Row],[Product]]))</f>
        <v>10</v>
      </c>
      <c r="K1566" s="64">
        <f>LEN(TRIM(Table22[[#This Row],[Sales Team]]))</f>
        <v>10</v>
      </c>
      <c r="L1566" s="23">
        <v>42</v>
      </c>
      <c r="M1566" s="65" t="str" cm="1">
        <f t="array" ref="M1566">_xlfn.IFS(Table22[[#This Row],[Units Sold]]&lt;40,"Critical",Table22[[#This Row],[Units Sold]]&lt;=50,"Poor",Table22[[#This Row],[Units Sold]]&lt;=60,"Low",Table22[[#This Row],[Units Sold]]&lt;=80,"Average",Table22[[#This Row],[Units Sold]]&lt;=90,"High",Table22[[#This Row],[Units Sold]]&lt;=95,"Excellent",Table22[[#This Row],[Units Sold]]&gt;95,"Outstanding")</f>
        <v>Poor</v>
      </c>
      <c r="N1566" s="29">
        <v>249.76</v>
      </c>
      <c r="O1566" s="29">
        <v>10489.92</v>
      </c>
      <c r="P1566" s="43">
        <f>IF(Table22[[#This Row],[Discount Applied]],Table22[[#This Row],[Total Sales (in USD)]]*(1-Table22[[#This Row],[Discount Percentage (%)]]/100),Table22[[#This Row],[Total Sales (in USD)]])</f>
        <v>8910.1380479999989</v>
      </c>
      <c r="Q1566" s="66">
        <f>SQRT(AVERAGE((Table22[[#This Row],[Net Sales (after discount) (in USD)]]-AVERAGE(Table22[Net Sales (after discount) (in USD)]))^2))</f>
        <v>27601.222515764537</v>
      </c>
      <c r="R1566" s="18" t="b">
        <v>1</v>
      </c>
      <c r="S1566" s="40">
        <v>15.06</v>
      </c>
      <c r="T1566" s="18" t="b">
        <v>1</v>
      </c>
      <c r="U1566" s="25">
        <v>45448</v>
      </c>
      <c r="V1566" s="63" t="str">
        <f>IF(MONTH(Table22[[#This Row],[Sales Date]])&lt;=3,"Q1",IF(MONTH(Table22[[#This Row],[Sales Date]])&lt;=6,"Q2",IF(MONTH(Table22[[#This Row],[Sales Date]])&lt;=9,"Q3","Q4")))</f>
        <v>Q2</v>
      </c>
      <c r="W1566" s="64">
        <f>YEAR(Table22[[#This Row],[Sales Date]])</f>
        <v>2024</v>
      </c>
      <c r="X1566" s="23">
        <v>65</v>
      </c>
      <c r="Y1566" s="18" t="s">
        <v>23</v>
      </c>
      <c r="Z1566" s="18" t="s">
        <v>24</v>
      </c>
      <c r="AA1566" s="19" t="s">
        <v>25</v>
      </c>
    </row>
    <row r="1567" spans="1:27" x14ac:dyDescent="0.25">
      <c r="A1567" s="17" t="s">
        <v>1808</v>
      </c>
      <c r="B1567" s="18" t="s">
        <v>38</v>
      </c>
      <c r="C1567" s="63" t="str" cm="1">
        <f t="array" ref="C1567">_xlfn.SWITCH(Table22[[#This Row],[Country]],"USA","North America","Canada","North America","Brazil","South America","China","Asia","Japan","Asia","India","Asia","France","Europe","Germany","Europe","UK","Europe","Australia","Oceania","South America")</f>
        <v>Europe</v>
      </c>
      <c r="D1567" s="18" t="s">
        <v>28</v>
      </c>
      <c r="E1567" s="18" t="s">
        <v>19</v>
      </c>
      <c r="F1567" s="18" t="s">
        <v>52</v>
      </c>
      <c r="G1567" s="18" t="s">
        <v>22</v>
      </c>
      <c r="H1567" s="64">
        <f>LEN(TRIM(Table22[[#This Row],[Country]]))</f>
        <v>6</v>
      </c>
      <c r="I1567" s="64">
        <f>LEN(TRIM(Table22[[#This Row],[Continent]]))</f>
        <v>6</v>
      </c>
      <c r="J1567" s="64">
        <f>LEN(TRIM(Table22[[#This Row],[Product]]))</f>
        <v>6</v>
      </c>
      <c r="K1567" s="64">
        <f>LEN(TRIM(Table22[[#This Row],[Sales Team]]))</f>
        <v>10</v>
      </c>
      <c r="L1567" s="23">
        <v>10</v>
      </c>
      <c r="M1567" s="65" t="str" cm="1">
        <f t="array" ref="M1567">_xlfn.IFS(Table22[[#This Row],[Units Sold]]&lt;40,"Critical",Table22[[#This Row],[Units Sold]]&lt;=50,"Poor",Table22[[#This Row],[Units Sold]]&lt;=60,"Low",Table22[[#This Row],[Units Sold]]&lt;=80,"Average",Table22[[#This Row],[Units Sold]]&lt;=90,"High",Table22[[#This Row],[Units Sold]]&lt;=95,"Excellent",Table22[[#This Row],[Units Sold]]&gt;95,"Outstanding")</f>
        <v>Critical</v>
      </c>
      <c r="N1567" s="29">
        <v>1046.69</v>
      </c>
      <c r="O1567" s="29">
        <v>10466.9</v>
      </c>
      <c r="P1567" s="43">
        <f>IF(Table22[[#This Row],[Discount Applied]],Table22[[#This Row],[Total Sales (in USD)]]*(1-Table22[[#This Row],[Discount Percentage (%)]]/100),Table22[[#This Row],[Total Sales (in USD)]])</f>
        <v>9728.983549999999</v>
      </c>
      <c r="Q1567" s="66">
        <f>SQRT(AVERAGE((Table22[[#This Row],[Net Sales (after discount) (in USD)]]-AVERAGE(Table22[Net Sales (after discount) (in USD)]))^2))</f>
        <v>26782.377013764541</v>
      </c>
      <c r="R1567" s="18" t="b">
        <v>0</v>
      </c>
      <c r="S1567" s="40">
        <v>7.05</v>
      </c>
      <c r="T1567" s="18" t="b">
        <v>1</v>
      </c>
      <c r="U1567" s="25">
        <v>45137</v>
      </c>
      <c r="V1567" s="63" t="str">
        <f>IF(MONTH(Table22[[#This Row],[Sales Date]])&lt;=3,"Q1",IF(MONTH(Table22[[#This Row],[Sales Date]])&lt;=6,"Q2",IF(MONTH(Table22[[#This Row],[Sales Date]])&lt;=9,"Q3","Q4")))</f>
        <v>Q3</v>
      </c>
      <c r="W1567" s="64">
        <f>YEAR(Table22[[#This Row],[Sales Date]])</f>
        <v>2023</v>
      </c>
      <c r="X1567" s="23">
        <v>54</v>
      </c>
      <c r="Y1567" s="18" t="s">
        <v>23</v>
      </c>
      <c r="Z1567" s="18" t="s">
        <v>30</v>
      </c>
      <c r="AA1567" s="19" t="s">
        <v>25</v>
      </c>
    </row>
    <row r="1568" spans="1:27" x14ac:dyDescent="0.25">
      <c r="A1568" s="17" t="s">
        <v>602</v>
      </c>
      <c r="B1568" s="18" t="s">
        <v>62</v>
      </c>
      <c r="C1568" s="63" t="str" cm="1">
        <f t="array" ref="C1568">_xlfn.SWITCH(Table22[[#This Row],[Country]],"USA","North America","Canada","North America","Brazil","South America","China","Asia","Japan","Asia","India","Asia","France","Europe","Germany","Europe","UK","Europe","Australia","Oceania","South America")</f>
        <v>Oceania</v>
      </c>
      <c r="D1568" s="18" t="s">
        <v>28</v>
      </c>
      <c r="E1568" s="18" t="s">
        <v>33</v>
      </c>
      <c r="F1568" s="18" t="s">
        <v>47</v>
      </c>
      <c r="G1568" s="18" t="s">
        <v>48</v>
      </c>
      <c r="H1568" s="64">
        <f>LEN(TRIM(Table22[[#This Row],[Country]]))</f>
        <v>9</v>
      </c>
      <c r="I1568" s="64">
        <f>LEN(TRIM(Table22[[#This Row],[Continent]]))</f>
        <v>7</v>
      </c>
      <c r="J1568" s="64">
        <f>LEN(TRIM(Table22[[#This Row],[Product]]))</f>
        <v>10</v>
      </c>
      <c r="K1568" s="64">
        <f>LEN(TRIM(Table22[[#This Row],[Sales Team]]))</f>
        <v>9</v>
      </c>
      <c r="L1568" s="23">
        <v>8</v>
      </c>
      <c r="M1568" s="65" t="str" cm="1">
        <f t="array" ref="M1568">_xlfn.IFS(Table22[[#This Row],[Units Sold]]&lt;40,"Critical",Table22[[#This Row],[Units Sold]]&lt;=50,"Poor",Table22[[#This Row],[Units Sold]]&lt;=60,"Low",Table22[[#This Row],[Units Sold]]&lt;=80,"Average",Table22[[#This Row],[Units Sold]]&lt;=90,"High",Table22[[#This Row],[Units Sold]]&lt;=95,"Excellent",Table22[[#This Row],[Units Sold]]&gt;95,"Outstanding")</f>
        <v>Critical</v>
      </c>
      <c r="N1568" s="29">
        <v>1301.31</v>
      </c>
      <c r="O1568" s="29">
        <v>10410.48</v>
      </c>
      <c r="P1568" s="43">
        <f>IF(Table22[[#This Row],[Discount Applied]],Table22[[#This Row],[Total Sales (in USD)]]*(1-Table22[[#This Row],[Discount Percentage (%)]]/100),Table22[[#This Row],[Total Sales (in USD)]])</f>
        <v>10410.48</v>
      </c>
      <c r="Q1568" s="66">
        <f>SQRT(AVERAGE((Table22[[#This Row],[Net Sales (after discount) (in USD)]]-AVERAGE(Table22[Net Sales (after discount) (in USD)]))^2))</f>
        <v>26100.880563764538</v>
      </c>
      <c r="R1568" s="18" t="b">
        <v>0</v>
      </c>
      <c r="S1568" s="40">
        <v>9.91</v>
      </c>
      <c r="T1568" s="18" t="b">
        <v>0</v>
      </c>
      <c r="U1568" s="25">
        <v>45226</v>
      </c>
      <c r="V1568" s="63" t="str">
        <f>IF(MONTH(Table22[[#This Row],[Sales Date]])&lt;=3,"Q1",IF(MONTH(Table22[[#This Row],[Sales Date]])&lt;=6,"Q2",IF(MONTH(Table22[[#This Row],[Sales Date]])&lt;=9,"Q3","Q4")))</f>
        <v>Q4</v>
      </c>
      <c r="W1568" s="64">
        <f>YEAR(Table22[[#This Row],[Sales Date]])</f>
        <v>2023</v>
      </c>
      <c r="X1568" s="23">
        <v>50</v>
      </c>
      <c r="Y1568" s="18" t="s">
        <v>41</v>
      </c>
      <c r="Z1568" s="18" t="s">
        <v>42</v>
      </c>
      <c r="AA1568" s="19" t="s">
        <v>25</v>
      </c>
    </row>
    <row r="1569" spans="1:27" x14ac:dyDescent="0.25">
      <c r="A1569" s="17" t="s">
        <v>1640</v>
      </c>
      <c r="B1569" s="18" t="s">
        <v>72</v>
      </c>
      <c r="C1569" s="63" t="str" cm="1">
        <f t="array" ref="C1569">_xlfn.SWITCH(Table22[[#This Row],[Country]],"USA","North America","Canada","North America","Brazil","South America","China","Asia","Japan","Asia","India","Asia","France","Europe","Germany","Europe","UK","Europe","Australia","Oceania","South America")</f>
        <v>North America</v>
      </c>
      <c r="D1569" s="18" t="s">
        <v>35</v>
      </c>
      <c r="E1569" s="18" t="s">
        <v>19</v>
      </c>
      <c r="F1569" s="18" t="s">
        <v>34</v>
      </c>
      <c r="G1569" s="18" t="s">
        <v>29</v>
      </c>
      <c r="H1569" s="64">
        <f>LEN(TRIM(Table22[[#This Row],[Country]]))</f>
        <v>3</v>
      </c>
      <c r="I1569" s="64">
        <f>LEN(TRIM(Table22[[#This Row],[Continent]]))</f>
        <v>13</v>
      </c>
      <c r="J1569" s="64">
        <f>LEN(TRIM(Table22[[#This Row],[Product]]))</f>
        <v>6</v>
      </c>
      <c r="K1569" s="64">
        <f>LEN(TRIM(Table22[[#This Row],[Sales Team]]))</f>
        <v>10</v>
      </c>
      <c r="L1569" s="23">
        <v>55</v>
      </c>
      <c r="M1569" s="65" t="str" cm="1">
        <f t="array" ref="M1569">_xlfn.IFS(Table22[[#This Row],[Units Sold]]&lt;40,"Critical",Table22[[#This Row],[Units Sold]]&lt;=50,"Poor",Table22[[#This Row],[Units Sold]]&lt;=60,"Low",Table22[[#This Row],[Units Sold]]&lt;=80,"Average",Table22[[#This Row],[Units Sold]]&lt;=90,"High",Table22[[#This Row],[Units Sold]]&lt;=95,"Excellent",Table22[[#This Row],[Units Sold]]&gt;95,"Outstanding")</f>
        <v>Low</v>
      </c>
      <c r="N1569" s="29">
        <v>189.21</v>
      </c>
      <c r="O1569" s="29">
        <v>10406.549999999999</v>
      </c>
      <c r="P1569" s="43">
        <f>IF(Table22[[#This Row],[Discount Applied]],Table22[[#This Row],[Total Sales (in USD)]]*(1-Table22[[#This Row],[Discount Percentage (%)]]/100),Table22[[#This Row],[Total Sales (in USD)]])</f>
        <v>10406.549999999999</v>
      </c>
      <c r="Q1569" s="66">
        <f>SQRT(AVERAGE((Table22[[#This Row],[Net Sales (after discount) (in USD)]]-AVERAGE(Table22[Net Sales (after discount) (in USD)]))^2))</f>
        <v>26104.810563764539</v>
      </c>
      <c r="R1569" s="18" t="b">
        <v>0</v>
      </c>
      <c r="S1569" s="40">
        <v>28.86</v>
      </c>
      <c r="T1569" s="18" t="b">
        <v>0</v>
      </c>
      <c r="U1569" s="25">
        <v>44960</v>
      </c>
      <c r="V1569" s="63" t="str">
        <f>IF(MONTH(Table22[[#This Row],[Sales Date]])&lt;=3,"Q1",IF(MONTH(Table22[[#This Row],[Sales Date]])&lt;=6,"Q2",IF(MONTH(Table22[[#This Row],[Sales Date]])&lt;=9,"Q3","Q4")))</f>
        <v>Q1</v>
      </c>
      <c r="W1569" s="64">
        <f>YEAR(Table22[[#This Row],[Sales Date]])</f>
        <v>2023</v>
      </c>
      <c r="X1569" s="23">
        <v>49</v>
      </c>
      <c r="Y1569" s="18" t="s">
        <v>23</v>
      </c>
      <c r="Z1569" s="18" t="s">
        <v>42</v>
      </c>
      <c r="AA1569" s="19" t="s">
        <v>36</v>
      </c>
    </row>
    <row r="1570" spans="1:27" x14ac:dyDescent="0.25">
      <c r="A1570" s="17" t="s">
        <v>576</v>
      </c>
      <c r="B1570" s="18" t="s">
        <v>18</v>
      </c>
      <c r="C1570" s="63" t="str" cm="1">
        <f t="array" ref="C1570">_xlfn.SWITCH(Table22[[#This Row],[Country]],"USA","North America","Canada","North America","Brazil","South America","China","Asia","Japan","Asia","India","Asia","France","Europe","Germany","Europe","UK","Europe","Australia","Oceania","South America")</f>
        <v>Asia</v>
      </c>
      <c r="D1570" s="18" t="s">
        <v>28</v>
      </c>
      <c r="E1570" s="18" t="s">
        <v>39</v>
      </c>
      <c r="F1570" s="18" t="s">
        <v>52</v>
      </c>
      <c r="G1570" s="18" t="s">
        <v>29</v>
      </c>
      <c r="H1570" s="64">
        <f>LEN(TRIM(Table22[[#This Row],[Country]]))</f>
        <v>5</v>
      </c>
      <c r="I1570" s="64">
        <f>LEN(TRIM(Table22[[#This Row],[Continent]]))</f>
        <v>4</v>
      </c>
      <c r="J1570" s="64">
        <f>LEN(TRIM(Table22[[#This Row],[Product]]))</f>
        <v>10</v>
      </c>
      <c r="K1570" s="64">
        <f>LEN(TRIM(Table22[[#This Row],[Sales Team]]))</f>
        <v>10</v>
      </c>
      <c r="L1570" s="23">
        <v>45</v>
      </c>
      <c r="M1570" s="65" t="str" cm="1">
        <f t="array" ref="M1570">_xlfn.IFS(Table22[[#This Row],[Units Sold]]&lt;40,"Critical",Table22[[#This Row],[Units Sold]]&lt;=50,"Poor",Table22[[#This Row],[Units Sold]]&lt;=60,"Low",Table22[[#This Row],[Units Sold]]&lt;=80,"Average",Table22[[#This Row],[Units Sold]]&lt;=90,"High",Table22[[#This Row],[Units Sold]]&lt;=95,"Excellent",Table22[[#This Row],[Units Sold]]&gt;95,"Outstanding")</f>
        <v>Poor</v>
      </c>
      <c r="N1570" s="29">
        <v>231.13</v>
      </c>
      <c r="O1570" s="29">
        <v>10400.85</v>
      </c>
      <c r="P1570" s="43">
        <f>IF(Table22[[#This Row],[Discount Applied]],Table22[[#This Row],[Total Sales (in USD)]]*(1-Table22[[#This Row],[Discount Percentage (%)]]/100),Table22[[#This Row],[Total Sales (in USD)]])</f>
        <v>8002.41399</v>
      </c>
      <c r="Q1570" s="66">
        <f>SQRT(AVERAGE((Table22[[#This Row],[Net Sales (after discount) (in USD)]]-AVERAGE(Table22[Net Sales (after discount) (in USD)]))^2))</f>
        <v>28508.946573764537</v>
      </c>
      <c r="R1570" s="18" t="b">
        <v>0</v>
      </c>
      <c r="S1570" s="40">
        <v>23.06</v>
      </c>
      <c r="T1570" s="18" t="b">
        <v>1</v>
      </c>
      <c r="U1570" s="25">
        <v>45049</v>
      </c>
      <c r="V1570" s="63" t="str">
        <f>IF(MONTH(Table22[[#This Row],[Sales Date]])&lt;=3,"Q1",IF(MONTH(Table22[[#This Row],[Sales Date]])&lt;=6,"Q2",IF(MONTH(Table22[[#This Row],[Sales Date]])&lt;=9,"Q3","Q4")))</f>
        <v>Q2</v>
      </c>
      <c r="W1570" s="64">
        <f>YEAR(Table22[[#This Row],[Sales Date]])</f>
        <v>2023</v>
      </c>
      <c r="X1570" s="23">
        <v>61</v>
      </c>
      <c r="Y1570" s="18" t="s">
        <v>23</v>
      </c>
      <c r="Z1570" s="18" t="s">
        <v>42</v>
      </c>
      <c r="AA1570" s="19" t="s">
        <v>25</v>
      </c>
    </row>
    <row r="1571" spans="1:27" x14ac:dyDescent="0.25">
      <c r="A1571" s="17" t="s">
        <v>1694</v>
      </c>
      <c r="B1571" s="18" t="s">
        <v>32</v>
      </c>
      <c r="C1571" s="63" t="str" cm="1">
        <f t="array" ref="C1571">_xlfn.SWITCH(Table22[[#This Row],[Country]],"USA","North America","Canada","North America","Brazil","South America","China","Asia","Japan","Asia","India","Asia","France","Europe","Germany","Europe","UK","Europe","Australia","Oceania","South America")</f>
        <v>Asia</v>
      </c>
      <c r="D1571" s="18" t="s">
        <v>35</v>
      </c>
      <c r="E1571" s="18" t="s">
        <v>33</v>
      </c>
      <c r="F1571" s="18" t="s">
        <v>47</v>
      </c>
      <c r="G1571" s="18" t="s">
        <v>40</v>
      </c>
      <c r="H1571" s="64">
        <f>LEN(TRIM(Table22[[#This Row],[Country]]))</f>
        <v>5</v>
      </c>
      <c r="I1571" s="64">
        <f>LEN(TRIM(Table22[[#This Row],[Continent]]))</f>
        <v>4</v>
      </c>
      <c r="J1571" s="64">
        <f>LEN(TRIM(Table22[[#This Row],[Product]]))</f>
        <v>10</v>
      </c>
      <c r="K1571" s="64">
        <f>LEN(TRIM(Table22[[#This Row],[Sales Team]]))</f>
        <v>10</v>
      </c>
      <c r="L1571" s="23">
        <v>65</v>
      </c>
      <c r="M1571" s="65" t="str" cm="1">
        <f t="array" ref="M1571">_xlfn.IFS(Table22[[#This Row],[Units Sold]]&lt;40,"Critical",Table22[[#This Row],[Units Sold]]&lt;=50,"Poor",Table22[[#This Row],[Units Sold]]&lt;=60,"Low",Table22[[#This Row],[Units Sold]]&lt;=80,"Average",Table22[[#This Row],[Units Sold]]&lt;=90,"High",Table22[[#This Row],[Units Sold]]&lt;=95,"Excellent",Table22[[#This Row],[Units Sold]]&gt;95,"Outstanding")</f>
        <v>Average</v>
      </c>
      <c r="N1571" s="29">
        <v>159.97999999999999</v>
      </c>
      <c r="O1571" s="29">
        <v>10398.700000000001</v>
      </c>
      <c r="P1571" s="43">
        <f>IF(Table22[[#This Row],[Discount Applied]],Table22[[#This Row],[Total Sales (in USD)]]*(1-Table22[[#This Row],[Discount Percentage (%)]]/100),Table22[[#This Row],[Total Sales (in USD)]])</f>
        <v>10398.700000000001</v>
      </c>
      <c r="Q1571" s="66">
        <f>SQRT(AVERAGE((Table22[[#This Row],[Net Sales (after discount) (in USD)]]-AVERAGE(Table22[Net Sales (after discount) (in USD)]))^2))</f>
        <v>26112.660563764537</v>
      </c>
      <c r="R1571" s="18" t="b">
        <v>1</v>
      </c>
      <c r="S1571" s="40">
        <v>15.73</v>
      </c>
      <c r="T1571" s="18" t="b">
        <v>0</v>
      </c>
      <c r="U1571" s="25">
        <v>44957</v>
      </c>
      <c r="V1571" s="63" t="str">
        <f>IF(MONTH(Table22[[#This Row],[Sales Date]])&lt;=3,"Q1",IF(MONTH(Table22[[#This Row],[Sales Date]])&lt;=6,"Q2",IF(MONTH(Table22[[#This Row],[Sales Date]])&lt;=9,"Q3","Q4")))</f>
        <v>Q1</v>
      </c>
      <c r="W1571" s="64">
        <f>YEAR(Table22[[#This Row],[Sales Date]])</f>
        <v>2023</v>
      </c>
      <c r="X1571" s="23">
        <v>33</v>
      </c>
      <c r="Y1571" s="18" t="s">
        <v>49</v>
      </c>
      <c r="Z1571" s="18" t="s">
        <v>42</v>
      </c>
      <c r="AA1571" s="19" t="s">
        <v>25</v>
      </c>
    </row>
    <row r="1572" spans="1:27" x14ac:dyDescent="0.25">
      <c r="A1572" s="17" t="s">
        <v>220</v>
      </c>
      <c r="B1572" s="18" t="s">
        <v>18</v>
      </c>
      <c r="C1572" s="63" t="str" cm="1">
        <f t="array" ref="C1572">_xlfn.SWITCH(Table22[[#This Row],[Country]],"USA","North America","Canada","North America","Brazil","South America","China","Asia","Japan","Asia","India","Asia","France","Europe","Germany","Europe","UK","Europe","Australia","Oceania","South America")</f>
        <v>Asia</v>
      </c>
      <c r="D1572" s="18" t="s">
        <v>21</v>
      </c>
      <c r="E1572" s="18" t="s">
        <v>19</v>
      </c>
      <c r="F1572" s="18" t="s">
        <v>47</v>
      </c>
      <c r="G1572" s="18" t="s">
        <v>40</v>
      </c>
      <c r="H1572" s="64">
        <f>LEN(TRIM(Table22[[#This Row],[Country]]))</f>
        <v>5</v>
      </c>
      <c r="I1572" s="64">
        <f>LEN(TRIM(Table22[[#This Row],[Continent]]))</f>
        <v>4</v>
      </c>
      <c r="J1572" s="64">
        <f>LEN(TRIM(Table22[[#This Row],[Product]]))</f>
        <v>6</v>
      </c>
      <c r="K1572" s="64">
        <f>LEN(TRIM(Table22[[#This Row],[Sales Team]]))</f>
        <v>10</v>
      </c>
      <c r="L1572" s="23">
        <v>20</v>
      </c>
      <c r="M1572" s="65" t="str" cm="1">
        <f t="array" ref="M1572">_xlfn.IFS(Table22[[#This Row],[Units Sold]]&lt;40,"Critical",Table22[[#This Row],[Units Sold]]&lt;=50,"Poor",Table22[[#This Row],[Units Sold]]&lt;=60,"Low",Table22[[#This Row],[Units Sold]]&lt;=80,"Average",Table22[[#This Row],[Units Sold]]&lt;=90,"High",Table22[[#This Row],[Units Sold]]&lt;=95,"Excellent",Table22[[#This Row],[Units Sold]]&gt;95,"Outstanding")</f>
        <v>Critical</v>
      </c>
      <c r="N1572" s="29">
        <v>518.45000000000005</v>
      </c>
      <c r="O1572" s="29">
        <v>10369</v>
      </c>
      <c r="P1572" s="43">
        <f>IF(Table22[[#This Row],[Discount Applied]],Table22[[#This Row],[Total Sales (in USD)]]*(1-Table22[[#This Row],[Discount Percentage (%)]]/100),Table22[[#This Row],[Total Sales (in USD)]])</f>
        <v>10369</v>
      </c>
      <c r="Q1572" s="66">
        <f>SQRT(AVERAGE((Table22[[#This Row],[Net Sales (after discount) (in USD)]]-AVERAGE(Table22[Net Sales (after discount) (in USD)]))^2))</f>
        <v>26142.360563764538</v>
      </c>
      <c r="R1572" s="18" t="b">
        <v>0</v>
      </c>
      <c r="S1572" s="40">
        <v>6.77</v>
      </c>
      <c r="T1572" s="18" t="b">
        <v>0</v>
      </c>
      <c r="U1572" s="25">
        <v>44979</v>
      </c>
      <c r="V1572" s="63" t="str">
        <f>IF(MONTH(Table22[[#This Row],[Sales Date]])&lt;=3,"Q1",IF(MONTH(Table22[[#This Row],[Sales Date]])&lt;=6,"Q2",IF(MONTH(Table22[[#This Row],[Sales Date]])&lt;=9,"Q3","Q4")))</f>
        <v>Q1</v>
      </c>
      <c r="W1572" s="64">
        <f>YEAR(Table22[[#This Row],[Sales Date]])</f>
        <v>2023</v>
      </c>
      <c r="X1572" s="23">
        <v>55</v>
      </c>
      <c r="Y1572" s="18" t="s">
        <v>23</v>
      </c>
      <c r="Z1572" s="18" t="s">
        <v>24</v>
      </c>
      <c r="AA1572" s="19" t="s">
        <v>25</v>
      </c>
    </row>
    <row r="1573" spans="1:27" x14ac:dyDescent="0.25">
      <c r="A1573" s="17" t="s">
        <v>1594</v>
      </c>
      <c r="B1573" s="18" t="s">
        <v>38</v>
      </c>
      <c r="C1573" s="63" t="str" cm="1">
        <f t="array" ref="C1573">_xlfn.SWITCH(Table22[[#This Row],[Country]],"USA","North America","Canada","North America","Brazil","South America","China","Asia","Japan","Asia","India","Asia","France","Europe","Germany","Europe","UK","Europe","Australia","Oceania","South America")</f>
        <v>Europe</v>
      </c>
      <c r="D1573" s="18" t="s">
        <v>28</v>
      </c>
      <c r="E1573" s="18" t="s">
        <v>33</v>
      </c>
      <c r="F1573" s="18" t="s">
        <v>64</v>
      </c>
      <c r="G1573" s="18" t="s">
        <v>48</v>
      </c>
      <c r="H1573" s="64">
        <f>LEN(TRIM(Table22[[#This Row],[Country]]))</f>
        <v>6</v>
      </c>
      <c r="I1573" s="64">
        <f>LEN(TRIM(Table22[[#This Row],[Continent]]))</f>
        <v>6</v>
      </c>
      <c r="J1573" s="64">
        <f>LEN(TRIM(Table22[[#This Row],[Product]]))</f>
        <v>10</v>
      </c>
      <c r="K1573" s="64">
        <f>LEN(TRIM(Table22[[#This Row],[Sales Team]]))</f>
        <v>9</v>
      </c>
      <c r="L1573" s="23">
        <v>32</v>
      </c>
      <c r="M1573" s="65" t="str" cm="1">
        <f t="array" ref="M1573">_xlfn.IFS(Table22[[#This Row],[Units Sold]]&lt;40,"Critical",Table22[[#This Row],[Units Sold]]&lt;=50,"Poor",Table22[[#This Row],[Units Sold]]&lt;=60,"Low",Table22[[#This Row],[Units Sold]]&lt;=80,"Average",Table22[[#This Row],[Units Sold]]&lt;=90,"High",Table22[[#This Row],[Units Sold]]&lt;=95,"Excellent",Table22[[#This Row],[Units Sold]]&gt;95,"Outstanding")</f>
        <v>Critical</v>
      </c>
      <c r="N1573" s="29">
        <v>323.5</v>
      </c>
      <c r="O1573" s="29">
        <v>10352</v>
      </c>
      <c r="P1573" s="43">
        <f>IF(Table22[[#This Row],[Discount Applied]],Table22[[#This Row],[Total Sales (in USD)]]*(1-Table22[[#This Row],[Discount Percentage (%)]]/100),Table22[[#This Row],[Total Sales (in USD)]])</f>
        <v>8846.8191999999999</v>
      </c>
      <c r="Q1573" s="66">
        <f>SQRT(AVERAGE((Table22[[#This Row],[Net Sales (after discount) (in USD)]]-AVERAGE(Table22[Net Sales (after discount) (in USD)]))^2))</f>
        <v>27664.54136376454</v>
      </c>
      <c r="R1573" s="18" t="b">
        <v>1</v>
      </c>
      <c r="S1573" s="40">
        <v>14.54</v>
      </c>
      <c r="T1573" s="18" t="b">
        <v>1</v>
      </c>
      <c r="U1573" s="25">
        <v>45298</v>
      </c>
      <c r="V1573" s="63" t="str">
        <f>IF(MONTH(Table22[[#This Row],[Sales Date]])&lt;=3,"Q1",IF(MONTH(Table22[[#This Row],[Sales Date]])&lt;=6,"Q2",IF(MONTH(Table22[[#This Row],[Sales Date]])&lt;=9,"Q3","Q4")))</f>
        <v>Q1</v>
      </c>
      <c r="W1573" s="64">
        <f>YEAR(Table22[[#This Row],[Sales Date]])</f>
        <v>2024</v>
      </c>
      <c r="X1573" s="23">
        <v>27</v>
      </c>
      <c r="Y1573" s="18" t="s">
        <v>23</v>
      </c>
      <c r="Z1573" s="18" t="s">
        <v>42</v>
      </c>
      <c r="AA1573" s="19" t="s">
        <v>36</v>
      </c>
    </row>
    <row r="1574" spans="1:27" x14ac:dyDescent="0.25">
      <c r="A1574" s="17" t="s">
        <v>126</v>
      </c>
      <c r="B1574" s="18" t="s">
        <v>32</v>
      </c>
      <c r="C1574" s="63" t="str" cm="1">
        <f t="array" ref="C1574">_xlfn.SWITCH(Table22[[#This Row],[Country]],"USA","North America","Canada","North America","Brazil","South America","China","Asia","Japan","Asia","India","Asia","France","Europe","Germany","Europe","UK","Europe","Australia","Oceania","South America")</f>
        <v>Asia</v>
      </c>
      <c r="D1574" s="18" t="s">
        <v>28</v>
      </c>
      <c r="E1574" s="18" t="s">
        <v>33</v>
      </c>
      <c r="F1574" s="18" t="s">
        <v>34</v>
      </c>
      <c r="G1574" s="18" t="s">
        <v>22</v>
      </c>
      <c r="H1574" s="64">
        <f>LEN(TRIM(Table22[[#This Row],[Country]]))</f>
        <v>5</v>
      </c>
      <c r="I1574" s="64">
        <f>LEN(TRIM(Table22[[#This Row],[Continent]]))</f>
        <v>4</v>
      </c>
      <c r="J1574" s="64">
        <f>LEN(TRIM(Table22[[#This Row],[Product]]))</f>
        <v>10</v>
      </c>
      <c r="K1574" s="64">
        <f>LEN(TRIM(Table22[[#This Row],[Sales Team]]))</f>
        <v>10</v>
      </c>
      <c r="L1574" s="23">
        <v>23</v>
      </c>
      <c r="M1574" s="65" t="str" cm="1">
        <f t="array" ref="M1574">_xlfn.IFS(Table22[[#This Row],[Units Sold]]&lt;40,"Critical",Table22[[#This Row],[Units Sold]]&lt;=50,"Poor",Table22[[#This Row],[Units Sold]]&lt;=60,"Low",Table22[[#This Row],[Units Sold]]&lt;=80,"Average",Table22[[#This Row],[Units Sold]]&lt;=90,"High",Table22[[#This Row],[Units Sold]]&lt;=95,"Excellent",Table22[[#This Row],[Units Sold]]&gt;95,"Outstanding")</f>
        <v>Critical</v>
      </c>
      <c r="N1574" s="29">
        <v>449.09</v>
      </c>
      <c r="O1574" s="29">
        <v>10329.07</v>
      </c>
      <c r="P1574" s="43">
        <f>IF(Table22[[#This Row],[Discount Applied]],Table22[[#This Row],[Total Sales (in USD)]]*(1-Table22[[#This Row],[Discount Percentage (%)]]/100),Table22[[#This Row],[Total Sales (in USD)]])</f>
        <v>10329.07</v>
      </c>
      <c r="Q1574" s="66">
        <f>SQRT(AVERAGE((Table22[[#This Row],[Net Sales (after discount) (in USD)]]-AVERAGE(Table22[Net Sales (after discount) (in USD)]))^2))</f>
        <v>26182.290563764538</v>
      </c>
      <c r="R1574" s="18" t="b">
        <v>1</v>
      </c>
      <c r="S1574" s="40">
        <v>18.12</v>
      </c>
      <c r="T1574" s="18" t="b">
        <v>0</v>
      </c>
      <c r="U1574" s="25">
        <v>45385</v>
      </c>
      <c r="V1574" s="63" t="str">
        <f>IF(MONTH(Table22[[#This Row],[Sales Date]])&lt;=3,"Q1",IF(MONTH(Table22[[#This Row],[Sales Date]])&lt;=6,"Q2",IF(MONTH(Table22[[#This Row],[Sales Date]])&lt;=9,"Q3","Q4")))</f>
        <v>Q2</v>
      </c>
      <c r="W1574" s="64">
        <f>YEAR(Table22[[#This Row],[Sales Date]])</f>
        <v>2024</v>
      </c>
      <c r="X1574" s="23">
        <v>20</v>
      </c>
      <c r="Y1574" s="18" t="s">
        <v>49</v>
      </c>
      <c r="Z1574" s="18" t="s">
        <v>42</v>
      </c>
      <c r="AA1574" s="19" t="s">
        <v>36</v>
      </c>
    </row>
    <row r="1575" spans="1:27" x14ac:dyDescent="0.25">
      <c r="A1575" s="17" t="s">
        <v>278</v>
      </c>
      <c r="B1575" s="18" t="s">
        <v>51</v>
      </c>
      <c r="C1575" s="63" t="str" cm="1">
        <f t="array" ref="C1575">_xlfn.SWITCH(Table22[[#This Row],[Country]],"USA","North America","Canada","North America","Brazil","South America","China","Asia","Japan","Asia","India","Asia","France","Europe","Germany","Europe","UK","Europe","Australia","Oceania","South America")</f>
        <v>Europe</v>
      </c>
      <c r="D1575" s="18" t="s">
        <v>28</v>
      </c>
      <c r="E1575" s="18" t="s">
        <v>33</v>
      </c>
      <c r="F1575" s="18" t="s">
        <v>20</v>
      </c>
      <c r="G1575" s="18" t="s">
        <v>48</v>
      </c>
      <c r="H1575" s="64">
        <f>LEN(TRIM(Table22[[#This Row],[Country]]))</f>
        <v>2</v>
      </c>
      <c r="I1575" s="64">
        <f>LEN(TRIM(Table22[[#This Row],[Continent]]))</f>
        <v>6</v>
      </c>
      <c r="J1575" s="64">
        <f>LEN(TRIM(Table22[[#This Row],[Product]]))</f>
        <v>10</v>
      </c>
      <c r="K1575" s="64">
        <f>LEN(TRIM(Table22[[#This Row],[Sales Team]]))</f>
        <v>9</v>
      </c>
      <c r="L1575" s="23">
        <v>52</v>
      </c>
      <c r="M1575" s="65" t="str" cm="1">
        <f t="array" ref="M1575">_xlfn.IFS(Table22[[#This Row],[Units Sold]]&lt;40,"Critical",Table22[[#This Row],[Units Sold]]&lt;=50,"Poor",Table22[[#This Row],[Units Sold]]&lt;=60,"Low",Table22[[#This Row],[Units Sold]]&lt;=80,"Average",Table22[[#This Row],[Units Sold]]&lt;=90,"High",Table22[[#This Row],[Units Sold]]&lt;=95,"Excellent",Table22[[#This Row],[Units Sold]]&gt;95,"Outstanding")</f>
        <v>Low</v>
      </c>
      <c r="N1575" s="29">
        <v>198.28</v>
      </c>
      <c r="O1575" s="29">
        <v>10310.56</v>
      </c>
      <c r="P1575" s="43">
        <f>IF(Table22[[#This Row],[Discount Applied]],Table22[[#This Row],[Total Sales (in USD)]]*(1-Table22[[#This Row],[Discount Percentage (%)]]/100),Table22[[#This Row],[Total Sales (in USD)]])</f>
        <v>9288.7835039999991</v>
      </c>
      <c r="Q1575" s="66">
        <f>SQRT(AVERAGE((Table22[[#This Row],[Net Sales (after discount) (in USD)]]-AVERAGE(Table22[Net Sales (after discount) (in USD)]))^2))</f>
        <v>27222.577059764539</v>
      </c>
      <c r="R1575" s="18" t="b">
        <v>1</v>
      </c>
      <c r="S1575" s="40">
        <v>9.91</v>
      </c>
      <c r="T1575" s="18" t="b">
        <v>1</v>
      </c>
      <c r="U1575" s="25">
        <v>45221</v>
      </c>
      <c r="V1575" s="63" t="str">
        <f>IF(MONTH(Table22[[#This Row],[Sales Date]])&lt;=3,"Q1",IF(MONTH(Table22[[#This Row],[Sales Date]])&lt;=6,"Q2",IF(MONTH(Table22[[#This Row],[Sales Date]])&lt;=9,"Q3","Q4")))</f>
        <v>Q4</v>
      </c>
      <c r="W1575" s="64">
        <f>YEAR(Table22[[#This Row],[Sales Date]])</f>
        <v>2023</v>
      </c>
      <c r="X1575" s="23">
        <v>20</v>
      </c>
      <c r="Y1575" s="18" t="s">
        <v>49</v>
      </c>
      <c r="Z1575" s="18" t="s">
        <v>24</v>
      </c>
      <c r="AA1575" s="19" t="s">
        <v>25</v>
      </c>
    </row>
    <row r="1576" spans="1:27" x14ac:dyDescent="0.25">
      <c r="A1576" s="17" t="s">
        <v>1598</v>
      </c>
      <c r="B1576" s="18" t="s">
        <v>51</v>
      </c>
      <c r="C1576" s="63" t="str" cm="1">
        <f t="array" ref="C1576">_xlfn.SWITCH(Table22[[#This Row],[Country]],"USA","North America","Canada","North America","Brazil","South America","China","Asia","Japan","Asia","India","Asia","France","Europe","Germany","Europe","UK","Europe","Australia","Oceania","South America")</f>
        <v>Europe</v>
      </c>
      <c r="D1576" s="18" t="s">
        <v>28</v>
      </c>
      <c r="E1576" s="18" t="s">
        <v>39</v>
      </c>
      <c r="F1576" s="18" t="s">
        <v>47</v>
      </c>
      <c r="G1576" s="18" t="s">
        <v>22</v>
      </c>
      <c r="H1576" s="64">
        <f>LEN(TRIM(Table22[[#This Row],[Country]]))</f>
        <v>2</v>
      </c>
      <c r="I1576" s="64">
        <f>LEN(TRIM(Table22[[#This Row],[Continent]]))</f>
        <v>6</v>
      </c>
      <c r="J1576" s="64">
        <f>LEN(TRIM(Table22[[#This Row],[Product]]))</f>
        <v>10</v>
      </c>
      <c r="K1576" s="64">
        <f>LEN(TRIM(Table22[[#This Row],[Sales Team]]))</f>
        <v>10</v>
      </c>
      <c r="L1576" s="23">
        <v>84</v>
      </c>
      <c r="M1576" s="65" t="str" cm="1">
        <f t="array" ref="M1576">_xlfn.IFS(Table22[[#This Row],[Units Sold]]&lt;40,"Critical",Table22[[#This Row],[Units Sold]]&lt;=50,"Poor",Table22[[#This Row],[Units Sold]]&lt;=60,"Low",Table22[[#This Row],[Units Sold]]&lt;=80,"Average",Table22[[#This Row],[Units Sold]]&lt;=90,"High",Table22[[#This Row],[Units Sold]]&lt;=95,"Excellent",Table22[[#This Row],[Units Sold]]&gt;95,"Outstanding")</f>
        <v>High</v>
      </c>
      <c r="N1576" s="29">
        <v>122.55</v>
      </c>
      <c r="O1576" s="29">
        <v>10294.200000000001</v>
      </c>
      <c r="P1576" s="43">
        <f>IF(Table22[[#This Row],[Discount Applied]],Table22[[#This Row],[Total Sales (in USD)]]*(1-Table22[[#This Row],[Discount Percentage (%)]]/100),Table22[[#This Row],[Total Sales (in USD)]])</f>
        <v>10294.200000000001</v>
      </c>
      <c r="Q1576" s="66">
        <f>SQRT(AVERAGE((Table22[[#This Row],[Net Sales (after discount) (in USD)]]-AVERAGE(Table22[Net Sales (after discount) (in USD)]))^2))</f>
        <v>26217.160563764537</v>
      </c>
      <c r="R1576" s="18" t="b">
        <v>1</v>
      </c>
      <c r="S1576" s="40">
        <v>9.0299999999999994</v>
      </c>
      <c r="T1576" s="18" t="b">
        <v>0</v>
      </c>
      <c r="U1576" s="25">
        <v>44979</v>
      </c>
      <c r="V1576" s="63" t="str">
        <f>IF(MONTH(Table22[[#This Row],[Sales Date]])&lt;=3,"Q1",IF(MONTH(Table22[[#This Row],[Sales Date]])&lt;=6,"Q2",IF(MONTH(Table22[[#This Row],[Sales Date]])&lt;=9,"Q3","Q4")))</f>
        <v>Q1</v>
      </c>
      <c r="W1576" s="64">
        <f>YEAR(Table22[[#This Row],[Sales Date]])</f>
        <v>2023</v>
      </c>
      <c r="X1576" s="23">
        <v>35</v>
      </c>
      <c r="Y1576" s="18" t="s">
        <v>41</v>
      </c>
      <c r="Z1576" s="18" t="s">
        <v>24</v>
      </c>
      <c r="AA1576" s="19" t="s">
        <v>36</v>
      </c>
    </row>
    <row r="1577" spans="1:27" x14ac:dyDescent="0.25">
      <c r="A1577" s="17" t="s">
        <v>1740</v>
      </c>
      <c r="B1577" s="18" t="s">
        <v>27</v>
      </c>
      <c r="C1577" s="63" t="str" cm="1">
        <f t="array" ref="C1577">_xlfn.SWITCH(Table22[[#This Row],[Country]],"USA","North America","Canada","North America","Brazil","South America","China","Asia","Japan","Asia","India","Asia","France","Europe","Germany","Europe","UK","Europe","Australia","Oceania","South America")</f>
        <v>Europe</v>
      </c>
      <c r="D1577" s="18" t="s">
        <v>44</v>
      </c>
      <c r="E1577" s="18" t="s">
        <v>19</v>
      </c>
      <c r="F1577" s="18" t="s">
        <v>52</v>
      </c>
      <c r="G1577" s="18" t="s">
        <v>48</v>
      </c>
      <c r="H1577" s="64">
        <f>LEN(TRIM(Table22[[#This Row],[Country]]))</f>
        <v>7</v>
      </c>
      <c r="I1577" s="64">
        <f>LEN(TRIM(Table22[[#This Row],[Continent]]))</f>
        <v>6</v>
      </c>
      <c r="J1577" s="64">
        <f>LEN(TRIM(Table22[[#This Row],[Product]]))</f>
        <v>6</v>
      </c>
      <c r="K1577" s="64">
        <f>LEN(TRIM(Table22[[#This Row],[Sales Team]]))</f>
        <v>9</v>
      </c>
      <c r="L1577" s="23">
        <v>33</v>
      </c>
      <c r="M1577" s="65" t="str" cm="1">
        <f t="array" ref="M1577">_xlfn.IFS(Table22[[#This Row],[Units Sold]]&lt;40,"Critical",Table22[[#This Row],[Units Sold]]&lt;=50,"Poor",Table22[[#This Row],[Units Sold]]&lt;=60,"Low",Table22[[#This Row],[Units Sold]]&lt;=80,"Average",Table22[[#This Row],[Units Sold]]&lt;=90,"High",Table22[[#This Row],[Units Sold]]&lt;=95,"Excellent",Table22[[#This Row],[Units Sold]]&gt;95,"Outstanding")</f>
        <v>Critical</v>
      </c>
      <c r="N1577" s="29">
        <v>310.2</v>
      </c>
      <c r="O1577" s="29">
        <v>10236.6</v>
      </c>
      <c r="P1577" s="43">
        <f>IF(Table22[[#This Row],[Discount Applied]],Table22[[#This Row],[Total Sales (in USD)]]*(1-Table22[[#This Row],[Discount Percentage (%)]]/100),Table22[[#This Row],[Total Sales (in USD)]])</f>
        <v>8401.1776200000004</v>
      </c>
      <c r="Q1577" s="66">
        <f>SQRT(AVERAGE((Table22[[#This Row],[Net Sales (after discount) (in USD)]]-AVERAGE(Table22[Net Sales (after discount) (in USD)]))^2))</f>
        <v>28110.182943764536</v>
      </c>
      <c r="R1577" s="18" t="b">
        <v>1</v>
      </c>
      <c r="S1577" s="40">
        <v>17.93</v>
      </c>
      <c r="T1577" s="18" t="b">
        <v>1</v>
      </c>
      <c r="U1577" s="25">
        <v>45184</v>
      </c>
      <c r="V1577" s="63" t="str">
        <f>IF(MONTH(Table22[[#This Row],[Sales Date]])&lt;=3,"Q1",IF(MONTH(Table22[[#This Row],[Sales Date]])&lt;=6,"Q2",IF(MONTH(Table22[[#This Row],[Sales Date]])&lt;=9,"Q3","Q4")))</f>
        <v>Q3</v>
      </c>
      <c r="W1577" s="64">
        <f>YEAR(Table22[[#This Row],[Sales Date]])</f>
        <v>2023</v>
      </c>
      <c r="X1577" s="23">
        <v>22</v>
      </c>
      <c r="Y1577" s="18" t="s">
        <v>49</v>
      </c>
      <c r="Z1577" s="18" t="s">
        <v>30</v>
      </c>
      <c r="AA1577" s="19" t="s">
        <v>36</v>
      </c>
    </row>
    <row r="1578" spans="1:27" x14ac:dyDescent="0.25">
      <c r="A1578" s="17" t="s">
        <v>609</v>
      </c>
      <c r="B1578" s="18" t="s">
        <v>18</v>
      </c>
      <c r="C1578" s="63" t="str" cm="1">
        <f t="array" ref="C1578">_xlfn.SWITCH(Table22[[#This Row],[Country]],"USA","North America","Canada","North America","Brazil","South America","China","Asia","Japan","Asia","India","Asia","France","Europe","Germany","Europe","UK","Europe","Australia","Oceania","South America")</f>
        <v>Asia</v>
      </c>
      <c r="D1578" s="18" t="s">
        <v>28</v>
      </c>
      <c r="E1578" s="18" t="s">
        <v>33</v>
      </c>
      <c r="F1578" s="18" t="s">
        <v>52</v>
      </c>
      <c r="G1578" s="18" t="s">
        <v>22</v>
      </c>
      <c r="H1578" s="64">
        <f>LEN(TRIM(Table22[[#This Row],[Country]]))</f>
        <v>5</v>
      </c>
      <c r="I1578" s="64">
        <f>LEN(TRIM(Table22[[#This Row],[Continent]]))</f>
        <v>4</v>
      </c>
      <c r="J1578" s="64">
        <f>LEN(TRIM(Table22[[#This Row],[Product]]))</f>
        <v>10</v>
      </c>
      <c r="K1578" s="64">
        <f>LEN(TRIM(Table22[[#This Row],[Sales Team]]))</f>
        <v>10</v>
      </c>
      <c r="L1578" s="23">
        <v>14</v>
      </c>
      <c r="M1578" s="65" t="str" cm="1">
        <f t="array" ref="M1578">_xlfn.IFS(Table22[[#This Row],[Units Sold]]&lt;40,"Critical",Table22[[#This Row],[Units Sold]]&lt;=50,"Poor",Table22[[#This Row],[Units Sold]]&lt;=60,"Low",Table22[[#This Row],[Units Sold]]&lt;=80,"Average",Table22[[#This Row],[Units Sold]]&lt;=90,"High",Table22[[#This Row],[Units Sold]]&lt;=95,"Excellent",Table22[[#This Row],[Units Sold]]&gt;95,"Outstanding")</f>
        <v>Critical</v>
      </c>
      <c r="N1578" s="29">
        <v>729.79</v>
      </c>
      <c r="O1578" s="29">
        <v>10217.06</v>
      </c>
      <c r="P1578" s="43">
        <f>IF(Table22[[#This Row],[Discount Applied]],Table22[[#This Row],[Total Sales (in USD)]]*(1-Table22[[#This Row],[Discount Percentage (%)]]/100),Table22[[#This Row],[Total Sales (in USD)]])</f>
        <v>8315.6651340000008</v>
      </c>
      <c r="Q1578" s="66">
        <f>SQRT(AVERAGE((Table22[[#This Row],[Net Sales (after discount) (in USD)]]-AVERAGE(Table22[Net Sales (after discount) (in USD)]))^2))</f>
        <v>28195.695429764535</v>
      </c>
      <c r="R1578" s="18" t="b">
        <v>1</v>
      </c>
      <c r="S1578" s="40">
        <v>18.61</v>
      </c>
      <c r="T1578" s="18" t="b">
        <v>1</v>
      </c>
      <c r="U1578" s="25">
        <v>45204</v>
      </c>
      <c r="V1578" s="63" t="str">
        <f>IF(MONTH(Table22[[#This Row],[Sales Date]])&lt;=3,"Q1",IF(MONTH(Table22[[#This Row],[Sales Date]])&lt;=6,"Q2",IF(MONTH(Table22[[#This Row],[Sales Date]])&lt;=9,"Q3","Q4")))</f>
        <v>Q4</v>
      </c>
      <c r="W1578" s="64">
        <f>YEAR(Table22[[#This Row],[Sales Date]])</f>
        <v>2023</v>
      </c>
      <c r="X1578" s="23">
        <v>43</v>
      </c>
      <c r="Y1578" s="18" t="s">
        <v>49</v>
      </c>
      <c r="Z1578" s="18" t="s">
        <v>30</v>
      </c>
      <c r="AA1578" s="19" t="s">
        <v>25</v>
      </c>
    </row>
    <row r="1579" spans="1:27" x14ac:dyDescent="0.25">
      <c r="A1579" s="17" t="s">
        <v>1243</v>
      </c>
      <c r="B1579" s="18" t="s">
        <v>66</v>
      </c>
      <c r="C1579" s="63" t="str" cm="1">
        <f t="array" ref="C1579">_xlfn.SWITCH(Table22[[#This Row],[Country]],"USA","North America","Canada","North America","Brazil","South America","China","Asia","Japan","Asia","India","Asia","France","Europe","Germany","Europe","UK","Europe","Australia","Oceania","South America")</f>
        <v>North America</v>
      </c>
      <c r="D1579" s="18" t="s">
        <v>21</v>
      </c>
      <c r="E1579" s="18" t="s">
        <v>39</v>
      </c>
      <c r="F1579" s="18" t="s">
        <v>47</v>
      </c>
      <c r="G1579" s="18" t="s">
        <v>22</v>
      </c>
      <c r="H1579" s="64">
        <f>LEN(TRIM(Table22[[#This Row],[Country]]))</f>
        <v>6</v>
      </c>
      <c r="I1579" s="64">
        <f>LEN(TRIM(Table22[[#This Row],[Continent]]))</f>
        <v>13</v>
      </c>
      <c r="J1579" s="64">
        <f>LEN(TRIM(Table22[[#This Row],[Product]]))</f>
        <v>10</v>
      </c>
      <c r="K1579" s="64">
        <f>LEN(TRIM(Table22[[#This Row],[Sales Team]]))</f>
        <v>10</v>
      </c>
      <c r="L1579" s="23">
        <v>46</v>
      </c>
      <c r="M1579" s="65" t="str" cm="1">
        <f t="array" ref="M1579">_xlfn.IFS(Table22[[#This Row],[Units Sold]]&lt;40,"Critical",Table22[[#This Row],[Units Sold]]&lt;=50,"Poor",Table22[[#This Row],[Units Sold]]&lt;=60,"Low",Table22[[#This Row],[Units Sold]]&lt;=80,"Average",Table22[[#This Row],[Units Sold]]&lt;=90,"High",Table22[[#This Row],[Units Sold]]&lt;=95,"Excellent",Table22[[#This Row],[Units Sold]]&gt;95,"Outstanding")</f>
        <v>Poor</v>
      </c>
      <c r="N1579" s="29">
        <v>221.61</v>
      </c>
      <c r="O1579" s="29">
        <v>10194.06</v>
      </c>
      <c r="P1579" s="43">
        <f>IF(Table22[[#This Row],[Discount Applied]],Table22[[#This Row],[Total Sales (in USD)]]*(1-Table22[[#This Row],[Discount Percentage (%)]]/100),Table22[[#This Row],[Total Sales (in USD)]])</f>
        <v>10194.06</v>
      </c>
      <c r="Q1579" s="66">
        <f>SQRT(AVERAGE((Table22[[#This Row],[Net Sales (after discount) (in USD)]]-AVERAGE(Table22[Net Sales (after discount) (in USD)]))^2))</f>
        <v>26317.30056376454</v>
      </c>
      <c r="R1579" s="18" t="b">
        <v>1</v>
      </c>
      <c r="S1579" s="40">
        <v>21.54</v>
      </c>
      <c r="T1579" s="18" t="b">
        <v>0</v>
      </c>
      <c r="U1579" s="25">
        <v>45523</v>
      </c>
      <c r="V1579" s="63" t="str">
        <f>IF(MONTH(Table22[[#This Row],[Sales Date]])&lt;=3,"Q1",IF(MONTH(Table22[[#This Row],[Sales Date]])&lt;=6,"Q2",IF(MONTH(Table22[[#This Row],[Sales Date]])&lt;=9,"Q3","Q4")))</f>
        <v>Q3</v>
      </c>
      <c r="W1579" s="64">
        <f>YEAR(Table22[[#This Row],[Sales Date]])</f>
        <v>2024</v>
      </c>
      <c r="X1579" s="23">
        <v>43</v>
      </c>
      <c r="Y1579" s="18" t="s">
        <v>41</v>
      </c>
      <c r="Z1579" s="18" t="s">
        <v>42</v>
      </c>
      <c r="AA1579" s="19" t="s">
        <v>25</v>
      </c>
    </row>
    <row r="1580" spans="1:27" x14ac:dyDescent="0.25">
      <c r="A1580" s="17" t="s">
        <v>1831</v>
      </c>
      <c r="B1580" s="18" t="s">
        <v>72</v>
      </c>
      <c r="C1580" s="63" t="str" cm="1">
        <f t="array" ref="C1580">_xlfn.SWITCH(Table22[[#This Row],[Country]],"USA","North America","Canada","North America","Brazil","South America","China","Asia","Japan","Asia","India","Asia","France","Europe","Germany","Europe","UK","Europe","Australia","Oceania","South America")</f>
        <v>North America</v>
      </c>
      <c r="D1580" s="18" t="s">
        <v>28</v>
      </c>
      <c r="E1580" s="18" t="s">
        <v>33</v>
      </c>
      <c r="F1580" s="18" t="s">
        <v>20</v>
      </c>
      <c r="G1580" s="18" t="s">
        <v>48</v>
      </c>
      <c r="H1580" s="64">
        <f>LEN(TRIM(Table22[[#This Row],[Country]]))</f>
        <v>3</v>
      </c>
      <c r="I1580" s="64">
        <f>LEN(TRIM(Table22[[#This Row],[Continent]]))</f>
        <v>13</v>
      </c>
      <c r="J1580" s="64">
        <f>LEN(TRIM(Table22[[#This Row],[Product]]))</f>
        <v>10</v>
      </c>
      <c r="K1580" s="64">
        <f>LEN(TRIM(Table22[[#This Row],[Sales Team]]))</f>
        <v>9</v>
      </c>
      <c r="L1580" s="23">
        <v>71</v>
      </c>
      <c r="M1580" s="65" t="str" cm="1">
        <f t="array" ref="M1580">_xlfn.IFS(Table22[[#This Row],[Units Sold]]&lt;40,"Critical",Table22[[#This Row],[Units Sold]]&lt;=50,"Poor",Table22[[#This Row],[Units Sold]]&lt;=60,"Low",Table22[[#This Row],[Units Sold]]&lt;=80,"Average",Table22[[#This Row],[Units Sold]]&lt;=90,"High",Table22[[#This Row],[Units Sold]]&lt;=95,"Excellent",Table22[[#This Row],[Units Sold]]&gt;95,"Outstanding")</f>
        <v>Average</v>
      </c>
      <c r="N1580" s="29">
        <v>143.38999999999999</v>
      </c>
      <c r="O1580" s="29">
        <v>10180.69</v>
      </c>
      <c r="P1580" s="43">
        <f>IF(Table22[[#This Row],[Discount Applied]],Table22[[#This Row],[Total Sales (in USD)]]*(1-Table22[[#This Row],[Discount Percentage (%)]]/100),Table22[[#This Row],[Total Sales (in USD)]])</f>
        <v>10180.69</v>
      </c>
      <c r="Q1580" s="66">
        <f>SQRT(AVERAGE((Table22[[#This Row],[Net Sales (after discount) (in USD)]]-AVERAGE(Table22[Net Sales (after discount) (in USD)]))^2))</f>
        <v>26330.670563764535</v>
      </c>
      <c r="R1580" s="18" t="b">
        <v>1</v>
      </c>
      <c r="S1580" s="40">
        <v>13.66</v>
      </c>
      <c r="T1580" s="18" t="b">
        <v>0</v>
      </c>
      <c r="U1580" s="25">
        <v>45012</v>
      </c>
      <c r="V1580" s="63" t="str">
        <f>IF(MONTH(Table22[[#This Row],[Sales Date]])&lt;=3,"Q1",IF(MONTH(Table22[[#This Row],[Sales Date]])&lt;=6,"Q2",IF(MONTH(Table22[[#This Row],[Sales Date]])&lt;=9,"Q3","Q4")))</f>
        <v>Q1</v>
      </c>
      <c r="W1580" s="64">
        <f>YEAR(Table22[[#This Row],[Sales Date]])</f>
        <v>2023</v>
      </c>
      <c r="X1580" s="23">
        <v>39</v>
      </c>
      <c r="Y1580" s="18" t="s">
        <v>49</v>
      </c>
      <c r="Z1580" s="18" t="s">
        <v>24</v>
      </c>
      <c r="AA1580" s="19" t="s">
        <v>36</v>
      </c>
    </row>
    <row r="1581" spans="1:27" x14ac:dyDescent="0.25">
      <c r="A1581" s="17" t="s">
        <v>1602</v>
      </c>
      <c r="B1581" s="18" t="s">
        <v>72</v>
      </c>
      <c r="C1581" s="63" t="str" cm="1">
        <f t="array" ref="C1581">_xlfn.SWITCH(Table22[[#This Row],[Country]],"USA","North America","Canada","North America","Brazil","South America","China","Asia","Japan","Asia","India","Asia","France","Europe","Germany","Europe","UK","Europe","Australia","Oceania","South America")</f>
        <v>North America</v>
      </c>
      <c r="D1581" s="18" t="s">
        <v>28</v>
      </c>
      <c r="E1581" s="18" t="s">
        <v>33</v>
      </c>
      <c r="F1581" s="18" t="s">
        <v>34</v>
      </c>
      <c r="G1581" s="18" t="s">
        <v>22</v>
      </c>
      <c r="H1581" s="64">
        <f>LEN(TRIM(Table22[[#This Row],[Country]]))</f>
        <v>3</v>
      </c>
      <c r="I1581" s="64">
        <f>LEN(TRIM(Table22[[#This Row],[Continent]]))</f>
        <v>13</v>
      </c>
      <c r="J1581" s="64">
        <f>LEN(TRIM(Table22[[#This Row],[Product]]))</f>
        <v>10</v>
      </c>
      <c r="K1581" s="64">
        <f>LEN(TRIM(Table22[[#This Row],[Sales Team]]))</f>
        <v>10</v>
      </c>
      <c r="L1581" s="23">
        <v>25</v>
      </c>
      <c r="M1581" s="65" t="str" cm="1">
        <f t="array" ref="M1581">_xlfn.IFS(Table22[[#This Row],[Units Sold]]&lt;40,"Critical",Table22[[#This Row],[Units Sold]]&lt;=50,"Poor",Table22[[#This Row],[Units Sold]]&lt;=60,"Low",Table22[[#This Row],[Units Sold]]&lt;=80,"Average",Table22[[#This Row],[Units Sold]]&lt;=90,"High",Table22[[#This Row],[Units Sold]]&lt;=95,"Excellent",Table22[[#This Row],[Units Sold]]&gt;95,"Outstanding")</f>
        <v>Critical</v>
      </c>
      <c r="N1581" s="29">
        <v>405.69</v>
      </c>
      <c r="O1581" s="29">
        <v>10142.25</v>
      </c>
      <c r="P1581" s="43">
        <f>IF(Table22[[#This Row],[Discount Applied]],Table22[[#This Row],[Total Sales (in USD)]]*(1-Table22[[#This Row],[Discount Percentage (%)]]/100),Table22[[#This Row],[Total Sales (in USD)]])</f>
        <v>9685.8487499999992</v>
      </c>
      <c r="Q1581" s="66">
        <f>SQRT(AVERAGE((Table22[[#This Row],[Net Sales (after discount) (in USD)]]-AVERAGE(Table22[Net Sales (after discount) (in USD)]))^2))</f>
        <v>26825.51181376454</v>
      </c>
      <c r="R1581" s="18" t="b">
        <v>0</v>
      </c>
      <c r="S1581" s="40">
        <v>4.5</v>
      </c>
      <c r="T1581" s="18" t="b">
        <v>1</v>
      </c>
      <c r="U1581" s="25">
        <v>44983</v>
      </c>
      <c r="V1581" s="63" t="str">
        <f>IF(MONTH(Table22[[#This Row],[Sales Date]])&lt;=3,"Q1",IF(MONTH(Table22[[#This Row],[Sales Date]])&lt;=6,"Q2",IF(MONTH(Table22[[#This Row],[Sales Date]])&lt;=9,"Q3","Q4")))</f>
        <v>Q1</v>
      </c>
      <c r="W1581" s="64">
        <f>YEAR(Table22[[#This Row],[Sales Date]])</f>
        <v>2023</v>
      </c>
      <c r="X1581" s="23">
        <v>38</v>
      </c>
      <c r="Y1581" s="18" t="s">
        <v>49</v>
      </c>
      <c r="Z1581" s="18" t="s">
        <v>30</v>
      </c>
      <c r="AA1581" s="19" t="s">
        <v>25</v>
      </c>
    </row>
    <row r="1582" spans="1:27" x14ac:dyDescent="0.25">
      <c r="A1582" s="17" t="s">
        <v>1711</v>
      </c>
      <c r="B1582" s="18" t="s">
        <v>51</v>
      </c>
      <c r="C1582" s="63" t="str" cm="1">
        <f t="array" ref="C1582">_xlfn.SWITCH(Table22[[#This Row],[Country]],"USA","North America","Canada","North America","Brazil","South America","China","Asia","Japan","Asia","India","Asia","France","Europe","Germany","Europe","UK","Europe","Australia","Oceania","South America")</f>
        <v>Europe</v>
      </c>
      <c r="D1582" s="18" t="s">
        <v>21</v>
      </c>
      <c r="E1582" s="18" t="s">
        <v>39</v>
      </c>
      <c r="F1582" s="18" t="s">
        <v>64</v>
      </c>
      <c r="G1582" s="18" t="s">
        <v>29</v>
      </c>
      <c r="H1582" s="64">
        <f>LEN(TRIM(Table22[[#This Row],[Country]]))</f>
        <v>2</v>
      </c>
      <c r="I1582" s="64">
        <f>LEN(TRIM(Table22[[#This Row],[Continent]]))</f>
        <v>6</v>
      </c>
      <c r="J1582" s="64">
        <f>LEN(TRIM(Table22[[#This Row],[Product]]))</f>
        <v>10</v>
      </c>
      <c r="K1582" s="64">
        <f>LEN(TRIM(Table22[[#This Row],[Sales Team]]))</f>
        <v>10</v>
      </c>
      <c r="L1582" s="23">
        <v>16</v>
      </c>
      <c r="M1582" s="65" t="str" cm="1">
        <f t="array" ref="M1582">_xlfn.IFS(Table22[[#This Row],[Units Sold]]&lt;40,"Critical",Table22[[#This Row],[Units Sold]]&lt;=50,"Poor",Table22[[#This Row],[Units Sold]]&lt;=60,"Low",Table22[[#This Row],[Units Sold]]&lt;=80,"Average",Table22[[#This Row],[Units Sold]]&lt;=90,"High",Table22[[#This Row],[Units Sold]]&lt;=95,"Excellent",Table22[[#This Row],[Units Sold]]&gt;95,"Outstanding")</f>
        <v>Critical</v>
      </c>
      <c r="N1582" s="29">
        <v>624.72</v>
      </c>
      <c r="O1582" s="29">
        <v>9995.52</v>
      </c>
      <c r="P1582" s="43">
        <f>IF(Table22[[#This Row],[Discount Applied]],Table22[[#This Row],[Total Sales (in USD)]]*(1-Table22[[#This Row],[Discount Percentage (%)]]/100),Table22[[#This Row],[Total Sales (in USD)]])</f>
        <v>8849.033856</v>
      </c>
      <c r="Q1582" s="66">
        <f>SQRT(AVERAGE((Table22[[#This Row],[Net Sales (after discount) (in USD)]]-AVERAGE(Table22[Net Sales (after discount) (in USD)]))^2))</f>
        <v>27662.326707764536</v>
      </c>
      <c r="R1582" s="18" t="b">
        <v>1</v>
      </c>
      <c r="S1582" s="40">
        <v>11.47</v>
      </c>
      <c r="T1582" s="18" t="b">
        <v>1</v>
      </c>
      <c r="U1582" s="25">
        <v>45326</v>
      </c>
      <c r="V1582" s="63" t="str">
        <f>IF(MONTH(Table22[[#This Row],[Sales Date]])&lt;=3,"Q1",IF(MONTH(Table22[[#This Row],[Sales Date]])&lt;=6,"Q2",IF(MONTH(Table22[[#This Row],[Sales Date]])&lt;=9,"Q3","Q4")))</f>
        <v>Q1</v>
      </c>
      <c r="W1582" s="64">
        <f>YEAR(Table22[[#This Row],[Sales Date]])</f>
        <v>2024</v>
      </c>
      <c r="X1582" s="23">
        <v>25</v>
      </c>
      <c r="Y1582" s="18" t="s">
        <v>23</v>
      </c>
      <c r="Z1582" s="18" t="s">
        <v>24</v>
      </c>
      <c r="AA1582" s="19" t="s">
        <v>25</v>
      </c>
    </row>
    <row r="1583" spans="1:27" x14ac:dyDescent="0.25">
      <c r="A1583" s="17" t="s">
        <v>724</v>
      </c>
      <c r="B1583" s="18" t="s">
        <v>38</v>
      </c>
      <c r="C1583" s="63" t="str" cm="1">
        <f t="array" ref="C1583">_xlfn.SWITCH(Table22[[#This Row],[Country]],"USA","North America","Canada","North America","Brazil","South America","China","Asia","Japan","Asia","India","Asia","France","Europe","Germany","Europe","UK","Europe","Australia","Oceania","South America")</f>
        <v>Europe</v>
      </c>
      <c r="D1583" s="18" t="s">
        <v>44</v>
      </c>
      <c r="E1583" s="18" t="s">
        <v>19</v>
      </c>
      <c r="F1583" s="18" t="s">
        <v>47</v>
      </c>
      <c r="G1583" s="18" t="s">
        <v>40</v>
      </c>
      <c r="H1583" s="64">
        <f>LEN(TRIM(Table22[[#This Row],[Country]]))</f>
        <v>6</v>
      </c>
      <c r="I1583" s="64">
        <f>LEN(TRIM(Table22[[#This Row],[Continent]]))</f>
        <v>6</v>
      </c>
      <c r="J1583" s="64">
        <f>LEN(TRIM(Table22[[#This Row],[Product]]))</f>
        <v>6</v>
      </c>
      <c r="K1583" s="64">
        <f>LEN(TRIM(Table22[[#This Row],[Sales Team]]))</f>
        <v>10</v>
      </c>
      <c r="L1583" s="23">
        <v>57</v>
      </c>
      <c r="M1583" s="65" t="str" cm="1">
        <f t="array" ref="M1583">_xlfn.IFS(Table22[[#This Row],[Units Sold]]&lt;40,"Critical",Table22[[#This Row],[Units Sold]]&lt;=50,"Poor",Table22[[#This Row],[Units Sold]]&lt;=60,"Low",Table22[[#This Row],[Units Sold]]&lt;=80,"Average",Table22[[#This Row],[Units Sold]]&lt;=90,"High",Table22[[#This Row],[Units Sold]]&lt;=95,"Excellent",Table22[[#This Row],[Units Sold]]&gt;95,"Outstanding")</f>
        <v>Low</v>
      </c>
      <c r="N1583" s="29">
        <v>175.32</v>
      </c>
      <c r="O1583" s="29">
        <v>9993.24</v>
      </c>
      <c r="P1583" s="43">
        <f>IF(Table22[[#This Row],[Discount Applied]],Table22[[#This Row],[Total Sales (in USD)]]*(1-Table22[[#This Row],[Discount Percentage (%)]]/100),Table22[[#This Row],[Total Sales (in USD)]])</f>
        <v>9993.24</v>
      </c>
      <c r="Q1583" s="66">
        <f>SQRT(AVERAGE((Table22[[#This Row],[Net Sales (after discount) (in USD)]]-AVERAGE(Table22[Net Sales (after discount) (in USD)]))^2))</f>
        <v>26518.12056376454</v>
      </c>
      <c r="R1583" s="18" t="b">
        <v>0</v>
      </c>
      <c r="S1583" s="40">
        <v>14.31</v>
      </c>
      <c r="T1583" s="18" t="b">
        <v>0</v>
      </c>
      <c r="U1583" s="25">
        <v>45240</v>
      </c>
      <c r="V1583" s="63" t="str">
        <f>IF(MONTH(Table22[[#This Row],[Sales Date]])&lt;=3,"Q1",IF(MONTH(Table22[[#This Row],[Sales Date]])&lt;=6,"Q2",IF(MONTH(Table22[[#This Row],[Sales Date]])&lt;=9,"Q3","Q4")))</f>
        <v>Q4</v>
      </c>
      <c r="W1583" s="64">
        <f>YEAR(Table22[[#This Row],[Sales Date]])</f>
        <v>2023</v>
      </c>
      <c r="X1583" s="23">
        <v>62</v>
      </c>
      <c r="Y1583" s="18" t="s">
        <v>41</v>
      </c>
      <c r="Z1583" s="18" t="s">
        <v>42</v>
      </c>
      <c r="AA1583" s="19" t="s">
        <v>36</v>
      </c>
    </row>
    <row r="1584" spans="1:27" x14ac:dyDescent="0.25">
      <c r="A1584" s="17" t="s">
        <v>2016</v>
      </c>
      <c r="B1584" s="18" t="s">
        <v>66</v>
      </c>
      <c r="C1584" s="63" t="str" cm="1">
        <f t="array" ref="C1584">_xlfn.SWITCH(Table22[[#This Row],[Country]],"USA","North America","Canada","North America","Brazil","South America","China","Asia","Japan","Asia","India","Asia","France","Europe","Germany","Europe","UK","Europe","Australia","Oceania","South America")</f>
        <v>North America</v>
      </c>
      <c r="D1584" s="18" t="s">
        <v>28</v>
      </c>
      <c r="E1584" s="18" t="s">
        <v>33</v>
      </c>
      <c r="F1584" s="18" t="s">
        <v>64</v>
      </c>
      <c r="G1584" s="18" t="s">
        <v>29</v>
      </c>
      <c r="H1584" s="64">
        <f>LEN(TRIM(Table22[[#This Row],[Country]]))</f>
        <v>6</v>
      </c>
      <c r="I1584" s="64">
        <f>LEN(TRIM(Table22[[#This Row],[Continent]]))</f>
        <v>13</v>
      </c>
      <c r="J1584" s="64">
        <f>LEN(TRIM(Table22[[#This Row],[Product]]))</f>
        <v>10</v>
      </c>
      <c r="K1584" s="64">
        <f>LEN(TRIM(Table22[[#This Row],[Sales Team]]))</f>
        <v>10</v>
      </c>
      <c r="L1584" s="23">
        <v>91</v>
      </c>
      <c r="M1584" s="65" t="str" cm="1">
        <f t="array" ref="M1584">_xlfn.IFS(Table22[[#This Row],[Units Sold]]&lt;40,"Critical",Table22[[#This Row],[Units Sold]]&lt;=50,"Poor",Table22[[#This Row],[Units Sold]]&lt;=60,"Low",Table22[[#This Row],[Units Sold]]&lt;=80,"Average",Table22[[#This Row],[Units Sold]]&lt;=90,"High",Table22[[#This Row],[Units Sold]]&lt;=95,"Excellent",Table22[[#This Row],[Units Sold]]&gt;95,"Outstanding")</f>
        <v>Excellent</v>
      </c>
      <c r="N1584" s="29">
        <v>109.81</v>
      </c>
      <c r="O1584" s="29">
        <v>9992.7099999999991</v>
      </c>
      <c r="P1584" s="43">
        <f>IF(Table22[[#This Row],[Discount Applied]],Table22[[#This Row],[Total Sales (in USD)]]*(1-Table22[[#This Row],[Discount Percentage (%)]]/100),Table22[[#This Row],[Total Sales (in USD)]])</f>
        <v>8891.5133580000002</v>
      </c>
      <c r="Q1584" s="66">
        <f>SQRT(AVERAGE((Table22[[#This Row],[Net Sales (after discount) (in USD)]]-AVERAGE(Table22[Net Sales (after discount) (in USD)]))^2))</f>
        <v>27619.847205764538</v>
      </c>
      <c r="R1584" s="18" t="b">
        <v>0</v>
      </c>
      <c r="S1584" s="40">
        <v>11.02</v>
      </c>
      <c r="T1584" s="18" t="b">
        <v>1</v>
      </c>
      <c r="U1584" s="25">
        <v>45121</v>
      </c>
      <c r="V1584" s="63" t="str">
        <f>IF(MONTH(Table22[[#This Row],[Sales Date]])&lt;=3,"Q1",IF(MONTH(Table22[[#This Row],[Sales Date]])&lt;=6,"Q2",IF(MONTH(Table22[[#This Row],[Sales Date]])&lt;=9,"Q3","Q4")))</f>
        <v>Q3</v>
      </c>
      <c r="W1584" s="64">
        <f>YEAR(Table22[[#This Row],[Sales Date]])</f>
        <v>2023</v>
      </c>
      <c r="X1584" s="23">
        <v>25</v>
      </c>
      <c r="Y1584" s="18" t="s">
        <v>23</v>
      </c>
      <c r="Z1584" s="18" t="s">
        <v>56</v>
      </c>
      <c r="AA1584" s="19" t="s">
        <v>25</v>
      </c>
    </row>
    <row r="1585" spans="1:27" x14ac:dyDescent="0.25">
      <c r="A1585" s="17" t="s">
        <v>1948</v>
      </c>
      <c r="B1585" s="18" t="s">
        <v>66</v>
      </c>
      <c r="C1585" s="63" t="str" cm="1">
        <f t="array" ref="C1585">_xlfn.SWITCH(Table22[[#This Row],[Country]],"USA","North America","Canada","North America","Brazil","South America","China","Asia","Japan","Asia","India","Asia","France","Europe","Germany","Europe","UK","Europe","Australia","Oceania","South America")</f>
        <v>North America</v>
      </c>
      <c r="D1585" s="18" t="s">
        <v>44</v>
      </c>
      <c r="E1585" s="18" t="s">
        <v>39</v>
      </c>
      <c r="F1585" s="18" t="s">
        <v>47</v>
      </c>
      <c r="G1585" s="18" t="s">
        <v>22</v>
      </c>
      <c r="H1585" s="64">
        <f>LEN(TRIM(Table22[[#This Row],[Country]]))</f>
        <v>6</v>
      </c>
      <c r="I1585" s="64">
        <f>LEN(TRIM(Table22[[#This Row],[Continent]]))</f>
        <v>13</v>
      </c>
      <c r="J1585" s="64">
        <f>LEN(TRIM(Table22[[#This Row],[Product]]))</f>
        <v>10</v>
      </c>
      <c r="K1585" s="64">
        <f>LEN(TRIM(Table22[[#This Row],[Sales Team]]))</f>
        <v>10</v>
      </c>
      <c r="L1585" s="23">
        <v>38</v>
      </c>
      <c r="M1585" s="65" t="str" cm="1">
        <f t="array" ref="M1585">_xlfn.IFS(Table22[[#This Row],[Units Sold]]&lt;40,"Critical",Table22[[#This Row],[Units Sold]]&lt;=50,"Poor",Table22[[#This Row],[Units Sold]]&lt;=60,"Low",Table22[[#This Row],[Units Sold]]&lt;=80,"Average",Table22[[#This Row],[Units Sold]]&lt;=90,"High",Table22[[#This Row],[Units Sold]]&lt;=95,"Excellent",Table22[[#This Row],[Units Sold]]&gt;95,"Outstanding")</f>
        <v>Critical</v>
      </c>
      <c r="N1585" s="29">
        <v>262.86</v>
      </c>
      <c r="O1585" s="29">
        <v>9988.68</v>
      </c>
      <c r="P1585" s="43">
        <f>IF(Table22[[#This Row],[Discount Applied]],Table22[[#This Row],[Total Sales (in USD)]]*(1-Table22[[#This Row],[Discount Percentage (%)]]/100),Table22[[#This Row],[Total Sales (in USD)]])</f>
        <v>9988.68</v>
      </c>
      <c r="Q1585" s="66">
        <f>SQRT(AVERAGE((Table22[[#This Row],[Net Sales (after discount) (in USD)]]-AVERAGE(Table22[Net Sales (after discount) (in USD)]))^2))</f>
        <v>26522.680563764538</v>
      </c>
      <c r="R1585" s="18" t="b">
        <v>0</v>
      </c>
      <c r="S1585" s="40">
        <v>23.21</v>
      </c>
      <c r="T1585" s="18" t="b">
        <v>0</v>
      </c>
      <c r="U1585" s="25">
        <v>45139</v>
      </c>
      <c r="V1585" s="63" t="str">
        <f>IF(MONTH(Table22[[#This Row],[Sales Date]])&lt;=3,"Q1",IF(MONTH(Table22[[#This Row],[Sales Date]])&lt;=6,"Q2",IF(MONTH(Table22[[#This Row],[Sales Date]])&lt;=9,"Q3","Q4")))</f>
        <v>Q3</v>
      </c>
      <c r="W1585" s="64">
        <f>YEAR(Table22[[#This Row],[Sales Date]])</f>
        <v>2023</v>
      </c>
      <c r="X1585" s="23">
        <v>23</v>
      </c>
      <c r="Y1585" s="18" t="s">
        <v>41</v>
      </c>
      <c r="Z1585" s="18" t="s">
        <v>24</v>
      </c>
      <c r="AA1585" s="19" t="s">
        <v>36</v>
      </c>
    </row>
    <row r="1586" spans="1:27" x14ac:dyDescent="0.25">
      <c r="A1586" s="17" t="s">
        <v>493</v>
      </c>
      <c r="B1586" s="18" t="s">
        <v>66</v>
      </c>
      <c r="C1586" s="63" t="str" cm="1">
        <f t="array" ref="C1586">_xlfn.SWITCH(Table22[[#This Row],[Country]],"USA","North America","Canada","North America","Brazil","South America","China","Asia","Japan","Asia","India","Asia","France","Europe","Germany","Europe","UK","Europe","Australia","Oceania","South America")</f>
        <v>North America</v>
      </c>
      <c r="D1586" s="18" t="s">
        <v>21</v>
      </c>
      <c r="E1586" s="18" t="s">
        <v>19</v>
      </c>
      <c r="F1586" s="18" t="s">
        <v>20</v>
      </c>
      <c r="G1586" s="18" t="s">
        <v>48</v>
      </c>
      <c r="H1586" s="64">
        <f>LEN(TRIM(Table22[[#This Row],[Country]]))</f>
        <v>6</v>
      </c>
      <c r="I1586" s="64">
        <f>LEN(TRIM(Table22[[#This Row],[Continent]]))</f>
        <v>13</v>
      </c>
      <c r="J1586" s="64">
        <f>LEN(TRIM(Table22[[#This Row],[Product]]))</f>
        <v>6</v>
      </c>
      <c r="K1586" s="64">
        <f>LEN(TRIM(Table22[[#This Row],[Sales Team]]))</f>
        <v>9</v>
      </c>
      <c r="L1586" s="23">
        <v>19</v>
      </c>
      <c r="M1586" s="65" t="str" cm="1">
        <f t="array" ref="M1586">_xlfn.IFS(Table22[[#This Row],[Units Sold]]&lt;40,"Critical",Table22[[#This Row],[Units Sold]]&lt;=50,"Poor",Table22[[#This Row],[Units Sold]]&lt;=60,"Low",Table22[[#This Row],[Units Sold]]&lt;=80,"Average",Table22[[#This Row],[Units Sold]]&lt;=90,"High",Table22[[#This Row],[Units Sold]]&lt;=95,"Excellent",Table22[[#This Row],[Units Sold]]&gt;95,"Outstanding")</f>
        <v>Critical</v>
      </c>
      <c r="N1586" s="29">
        <v>525.1</v>
      </c>
      <c r="O1586" s="29">
        <v>9976.9</v>
      </c>
      <c r="P1586" s="43">
        <f>IF(Table22[[#This Row],[Discount Applied]],Table22[[#This Row],[Total Sales (in USD)]]*(1-Table22[[#This Row],[Discount Percentage (%)]]/100),Table22[[#This Row],[Total Sales (in USD)]])</f>
        <v>7205.3171799999991</v>
      </c>
      <c r="Q1586" s="66">
        <f>SQRT(AVERAGE((Table22[[#This Row],[Net Sales (after discount) (in USD)]]-AVERAGE(Table22[Net Sales (after discount) (in USD)]))^2))</f>
        <v>29306.04338376454</v>
      </c>
      <c r="R1586" s="18" t="b">
        <v>1</v>
      </c>
      <c r="S1586" s="40">
        <v>27.78</v>
      </c>
      <c r="T1586" s="18" t="b">
        <v>1</v>
      </c>
      <c r="U1586" s="25">
        <v>45502</v>
      </c>
      <c r="V1586" s="63" t="str">
        <f>IF(MONTH(Table22[[#This Row],[Sales Date]])&lt;=3,"Q1",IF(MONTH(Table22[[#This Row],[Sales Date]])&lt;=6,"Q2",IF(MONTH(Table22[[#This Row],[Sales Date]])&lt;=9,"Q3","Q4")))</f>
        <v>Q3</v>
      </c>
      <c r="W1586" s="64">
        <f>YEAR(Table22[[#This Row],[Sales Date]])</f>
        <v>2024</v>
      </c>
      <c r="X1586" s="23">
        <v>27</v>
      </c>
      <c r="Y1586" s="18" t="s">
        <v>49</v>
      </c>
      <c r="Z1586" s="18" t="s">
        <v>30</v>
      </c>
      <c r="AA1586" s="19" t="s">
        <v>36</v>
      </c>
    </row>
    <row r="1587" spans="1:27" x14ac:dyDescent="0.25">
      <c r="A1587" s="17" t="s">
        <v>975</v>
      </c>
      <c r="B1587" s="18" t="s">
        <v>76</v>
      </c>
      <c r="C1587" s="63" t="str" cm="1">
        <f t="array" ref="C1587">_xlfn.SWITCH(Table22[[#This Row],[Country]],"USA","North America","Canada","North America","Brazil","South America","China","Asia","Japan","Asia","India","Asia","France","Europe","Germany","Europe","UK","Europe","Australia","Oceania","South America")</f>
        <v>Asia</v>
      </c>
      <c r="D1587" s="18" t="s">
        <v>35</v>
      </c>
      <c r="E1587" s="18" t="s">
        <v>33</v>
      </c>
      <c r="F1587" s="18" t="s">
        <v>47</v>
      </c>
      <c r="G1587" s="18" t="s">
        <v>48</v>
      </c>
      <c r="H1587" s="64">
        <f>LEN(TRIM(Table22[[#This Row],[Country]]))</f>
        <v>5</v>
      </c>
      <c r="I1587" s="64">
        <f>LEN(TRIM(Table22[[#This Row],[Continent]]))</f>
        <v>4</v>
      </c>
      <c r="J1587" s="64">
        <f>LEN(TRIM(Table22[[#This Row],[Product]]))</f>
        <v>10</v>
      </c>
      <c r="K1587" s="64">
        <f>LEN(TRIM(Table22[[#This Row],[Sales Team]]))</f>
        <v>9</v>
      </c>
      <c r="L1587" s="23">
        <v>35</v>
      </c>
      <c r="M1587" s="65" t="str" cm="1">
        <f t="array" ref="M1587">_xlfn.IFS(Table22[[#This Row],[Units Sold]]&lt;40,"Critical",Table22[[#This Row],[Units Sold]]&lt;=50,"Poor",Table22[[#This Row],[Units Sold]]&lt;=60,"Low",Table22[[#This Row],[Units Sold]]&lt;=80,"Average",Table22[[#This Row],[Units Sold]]&lt;=90,"High",Table22[[#This Row],[Units Sold]]&lt;=95,"Excellent",Table22[[#This Row],[Units Sold]]&gt;95,"Outstanding")</f>
        <v>Critical</v>
      </c>
      <c r="N1587" s="29">
        <v>282.45999999999998</v>
      </c>
      <c r="O1587" s="29">
        <v>9886.1</v>
      </c>
      <c r="P1587" s="43">
        <f>IF(Table22[[#This Row],[Discount Applied]],Table22[[#This Row],[Total Sales (in USD)]]*(1-Table22[[#This Row],[Discount Percentage (%)]]/100),Table22[[#This Row],[Total Sales (in USD)]])</f>
        <v>9886.1</v>
      </c>
      <c r="Q1587" s="66">
        <f>SQRT(AVERAGE((Table22[[#This Row],[Net Sales (after discount) (in USD)]]-AVERAGE(Table22[Net Sales (after discount) (in USD)]))^2))</f>
        <v>26625.260563764539</v>
      </c>
      <c r="R1587" s="18" t="b">
        <v>0</v>
      </c>
      <c r="S1587" s="40">
        <v>28.09</v>
      </c>
      <c r="T1587" s="18" t="b">
        <v>0</v>
      </c>
      <c r="U1587" s="25">
        <v>45071</v>
      </c>
      <c r="V1587" s="63" t="str">
        <f>IF(MONTH(Table22[[#This Row],[Sales Date]])&lt;=3,"Q1",IF(MONTH(Table22[[#This Row],[Sales Date]])&lt;=6,"Q2",IF(MONTH(Table22[[#This Row],[Sales Date]])&lt;=9,"Q3","Q4")))</f>
        <v>Q2</v>
      </c>
      <c r="W1587" s="64">
        <f>YEAR(Table22[[#This Row],[Sales Date]])</f>
        <v>2023</v>
      </c>
      <c r="X1587" s="23">
        <v>43</v>
      </c>
      <c r="Y1587" s="18" t="s">
        <v>49</v>
      </c>
      <c r="Z1587" s="18" t="s">
        <v>56</v>
      </c>
      <c r="AA1587" s="19" t="s">
        <v>25</v>
      </c>
    </row>
    <row r="1588" spans="1:27" x14ac:dyDescent="0.25">
      <c r="A1588" s="17" t="s">
        <v>1080</v>
      </c>
      <c r="B1588" s="18" t="s">
        <v>18</v>
      </c>
      <c r="C1588" s="63" t="str" cm="1">
        <f t="array" ref="C1588">_xlfn.SWITCH(Table22[[#This Row],[Country]],"USA","North America","Canada","North America","Brazil","South America","China","Asia","Japan","Asia","India","Asia","France","Europe","Germany","Europe","UK","Europe","Australia","Oceania","South America")</f>
        <v>Asia</v>
      </c>
      <c r="D1588" s="18" t="s">
        <v>35</v>
      </c>
      <c r="E1588" s="18" t="s">
        <v>33</v>
      </c>
      <c r="F1588" s="18" t="s">
        <v>52</v>
      </c>
      <c r="G1588" s="18" t="s">
        <v>48</v>
      </c>
      <c r="H1588" s="64">
        <f>LEN(TRIM(Table22[[#This Row],[Country]]))</f>
        <v>5</v>
      </c>
      <c r="I1588" s="64">
        <f>LEN(TRIM(Table22[[#This Row],[Continent]]))</f>
        <v>4</v>
      </c>
      <c r="J1588" s="64">
        <f>LEN(TRIM(Table22[[#This Row],[Product]]))</f>
        <v>10</v>
      </c>
      <c r="K1588" s="64">
        <f>LEN(TRIM(Table22[[#This Row],[Sales Team]]))</f>
        <v>9</v>
      </c>
      <c r="L1588" s="23">
        <v>31</v>
      </c>
      <c r="M1588" s="65" t="str" cm="1">
        <f t="array" ref="M1588">_xlfn.IFS(Table22[[#This Row],[Units Sold]]&lt;40,"Critical",Table22[[#This Row],[Units Sold]]&lt;=50,"Poor",Table22[[#This Row],[Units Sold]]&lt;=60,"Low",Table22[[#This Row],[Units Sold]]&lt;=80,"Average",Table22[[#This Row],[Units Sold]]&lt;=90,"High",Table22[[#This Row],[Units Sold]]&lt;=95,"Excellent",Table22[[#This Row],[Units Sold]]&gt;95,"Outstanding")</f>
        <v>Critical</v>
      </c>
      <c r="N1588" s="29">
        <v>318.85000000000002</v>
      </c>
      <c r="O1588" s="29">
        <v>9884.35</v>
      </c>
      <c r="P1588" s="43">
        <f>IF(Table22[[#This Row],[Discount Applied]],Table22[[#This Row],[Total Sales (in USD)]]*(1-Table22[[#This Row],[Discount Percentage (%)]]/100),Table22[[#This Row],[Total Sales (in USD)]])</f>
        <v>8570.7198850000004</v>
      </c>
      <c r="Q1588" s="66">
        <f>SQRT(AVERAGE((Table22[[#This Row],[Net Sales (after discount) (in USD)]]-AVERAGE(Table22[Net Sales (after discount) (in USD)]))^2))</f>
        <v>27940.640678764539</v>
      </c>
      <c r="R1588" s="18" t="b">
        <v>0</v>
      </c>
      <c r="S1588" s="40">
        <v>13.29</v>
      </c>
      <c r="T1588" s="18" t="b">
        <v>1</v>
      </c>
      <c r="U1588" s="25">
        <v>45345</v>
      </c>
      <c r="V1588" s="63" t="str">
        <f>IF(MONTH(Table22[[#This Row],[Sales Date]])&lt;=3,"Q1",IF(MONTH(Table22[[#This Row],[Sales Date]])&lt;=6,"Q2",IF(MONTH(Table22[[#This Row],[Sales Date]])&lt;=9,"Q3","Q4")))</f>
        <v>Q1</v>
      </c>
      <c r="W1588" s="64">
        <f>YEAR(Table22[[#This Row],[Sales Date]])</f>
        <v>2024</v>
      </c>
      <c r="X1588" s="23">
        <v>32</v>
      </c>
      <c r="Y1588" s="18" t="s">
        <v>49</v>
      </c>
      <c r="Z1588" s="18" t="s">
        <v>30</v>
      </c>
      <c r="AA1588" s="19" t="s">
        <v>25</v>
      </c>
    </row>
    <row r="1589" spans="1:27" x14ac:dyDescent="0.25">
      <c r="A1589" s="17" t="s">
        <v>1915</v>
      </c>
      <c r="B1589" s="18" t="s">
        <v>72</v>
      </c>
      <c r="C1589" s="63" t="str" cm="1">
        <f t="array" ref="C1589">_xlfn.SWITCH(Table22[[#This Row],[Country]],"USA","North America","Canada","North America","Brazil","South America","China","Asia","Japan","Asia","India","Asia","France","Europe","Germany","Europe","UK","Europe","Australia","Oceania","South America")</f>
        <v>North America</v>
      </c>
      <c r="D1589" s="18" t="s">
        <v>21</v>
      </c>
      <c r="E1589" s="18" t="s">
        <v>19</v>
      </c>
      <c r="F1589" s="18" t="s">
        <v>64</v>
      </c>
      <c r="G1589" s="18" t="s">
        <v>29</v>
      </c>
      <c r="H1589" s="64">
        <f>LEN(TRIM(Table22[[#This Row],[Country]]))</f>
        <v>3</v>
      </c>
      <c r="I1589" s="64">
        <f>LEN(TRIM(Table22[[#This Row],[Continent]]))</f>
        <v>13</v>
      </c>
      <c r="J1589" s="64">
        <f>LEN(TRIM(Table22[[#This Row],[Product]]))</f>
        <v>6</v>
      </c>
      <c r="K1589" s="64">
        <f>LEN(TRIM(Table22[[#This Row],[Sales Team]]))</f>
        <v>10</v>
      </c>
      <c r="L1589" s="23">
        <v>9</v>
      </c>
      <c r="M1589" s="65" t="str" cm="1">
        <f t="array" ref="M1589">_xlfn.IFS(Table22[[#This Row],[Units Sold]]&lt;40,"Critical",Table22[[#This Row],[Units Sold]]&lt;=50,"Poor",Table22[[#This Row],[Units Sold]]&lt;=60,"Low",Table22[[#This Row],[Units Sold]]&lt;=80,"Average",Table22[[#This Row],[Units Sold]]&lt;=90,"High",Table22[[#This Row],[Units Sold]]&lt;=95,"Excellent",Table22[[#This Row],[Units Sold]]&gt;95,"Outstanding")</f>
        <v>Critical</v>
      </c>
      <c r="N1589" s="29">
        <v>1096.3900000000001</v>
      </c>
      <c r="O1589" s="29">
        <v>9867.51</v>
      </c>
      <c r="P1589" s="43">
        <f>IF(Table22[[#This Row],[Discount Applied]],Table22[[#This Row],[Total Sales (in USD)]]*(1-Table22[[#This Row],[Discount Percentage (%)]]/100),Table22[[#This Row],[Total Sales (in USD)]])</f>
        <v>8367.6484799999998</v>
      </c>
      <c r="Q1589" s="66">
        <f>SQRT(AVERAGE((Table22[[#This Row],[Net Sales (after discount) (in USD)]]-AVERAGE(Table22[Net Sales (after discount) (in USD)]))^2))</f>
        <v>28143.712083764538</v>
      </c>
      <c r="R1589" s="18" t="b">
        <v>1</v>
      </c>
      <c r="S1589" s="40">
        <v>15.2</v>
      </c>
      <c r="T1589" s="18" t="b">
        <v>1</v>
      </c>
      <c r="U1589" s="25">
        <v>45364</v>
      </c>
      <c r="V1589" s="63" t="str">
        <f>IF(MONTH(Table22[[#This Row],[Sales Date]])&lt;=3,"Q1",IF(MONTH(Table22[[#This Row],[Sales Date]])&lt;=6,"Q2",IF(MONTH(Table22[[#This Row],[Sales Date]])&lt;=9,"Q3","Q4")))</f>
        <v>Q1</v>
      </c>
      <c r="W1589" s="64">
        <f>YEAR(Table22[[#This Row],[Sales Date]])</f>
        <v>2024</v>
      </c>
      <c r="X1589" s="23">
        <v>36</v>
      </c>
      <c r="Y1589" s="18" t="s">
        <v>41</v>
      </c>
      <c r="Z1589" s="18" t="s">
        <v>30</v>
      </c>
      <c r="AA1589" s="19" t="s">
        <v>25</v>
      </c>
    </row>
    <row r="1590" spans="1:27" x14ac:dyDescent="0.25">
      <c r="A1590" s="17" t="s">
        <v>1538</v>
      </c>
      <c r="B1590" s="18" t="s">
        <v>72</v>
      </c>
      <c r="C1590" s="63" t="str" cm="1">
        <f t="array" ref="C1590">_xlfn.SWITCH(Table22[[#This Row],[Country]],"USA","North America","Canada","North America","Brazil","South America","China","Asia","Japan","Asia","India","Asia","France","Europe","Germany","Europe","UK","Europe","Australia","Oceania","South America")</f>
        <v>North America</v>
      </c>
      <c r="D1590" s="18" t="s">
        <v>35</v>
      </c>
      <c r="E1590" s="18" t="s">
        <v>33</v>
      </c>
      <c r="F1590" s="18" t="s">
        <v>20</v>
      </c>
      <c r="G1590" s="18" t="s">
        <v>40</v>
      </c>
      <c r="H1590" s="64">
        <f>LEN(TRIM(Table22[[#This Row],[Country]]))</f>
        <v>3</v>
      </c>
      <c r="I1590" s="64">
        <f>LEN(TRIM(Table22[[#This Row],[Continent]]))</f>
        <v>13</v>
      </c>
      <c r="J1590" s="64">
        <f>LEN(TRIM(Table22[[#This Row],[Product]]))</f>
        <v>10</v>
      </c>
      <c r="K1590" s="64">
        <f>LEN(TRIM(Table22[[#This Row],[Sales Team]]))</f>
        <v>10</v>
      </c>
      <c r="L1590" s="23">
        <v>69</v>
      </c>
      <c r="M1590" s="65" t="str" cm="1">
        <f t="array" ref="M1590">_xlfn.IFS(Table22[[#This Row],[Units Sold]]&lt;40,"Critical",Table22[[#This Row],[Units Sold]]&lt;=50,"Poor",Table22[[#This Row],[Units Sold]]&lt;=60,"Low",Table22[[#This Row],[Units Sold]]&lt;=80,"Average",Table22[[#This Row],[Units Sold]]&lt;=90,"High",Table22[[#This Row],[Units Sold]]&lt;=95,"Excellent",Table22[[#This Row],[Units Sold]]&gt;95,"Outstanding")</f>
        <v>Average</v>
      </c>
      <c r="N1590" s="29">
        <v>142.91999999999999</v>
      </c>
      <c r="O1590" s="29">
        <v>9861.48</v>
      </c>
      <c r="P1590" s="43">
        <f>IF(Table22[[#This Row],[Discount Applied]],Table22[[#This Row],[Total Sales (in USD)]]*(1-Table22[[#This Row],[Discount Percentage (%)]]/100),Table22[[#This Row],[Total Sales (in USD)]])</f>
        <v>8647.5318119999993</v>
      </c>
      <c r="Q1590" s="66">
        <f>SQRT(AVERAGE((Table22[[#This Row],[Net Sales (after discount) (in USD)]]-AVERAGE(Table22[Net Sales (after discount) (in USD)]))^2))</f>
        <v>27863.828751764537</v>
      </c>
      <c r="R1590" s="18" t="b">
        <v>1</v>
      </c>
      <c r="S1590" s="40">
        <v>12.31</v>
      </c>
      <c r="T1590" s="18" t="b">
        <v>1</v>
      </c>
      <c r="U1590" s="25">
        <v>45252</v>
      </c>
      <c r="V1590" s="63" t="str">
        <f>IF(MONTH(Table22[[#This Row],[Sales Date]])&lt;=3,"Q1",IF(MONTH(Table22[[#This Row],[Sales Date]])&lt;=6,"Q2",IF(MONTH(Table22[[#This Row],[Sales Date]])&lt;=9,"Q3","Q4")))</f>
        <v>Q4</v>
      </c>
      <c r="W1590" s="64">
        <f>YEAR(Table22[[#This Row],[Sales Date]])</f>
        <v>2023</v>
      </c>
      <c r="X1590" s="23">
        <v>53</v>
      </c>
      <c r="Y1590" s="18" t="s">
        <v>49</v>
      </c>
      <c r="Z1590" s="18" t="s">
        <v>30</v>
      </c>
      <c r="AA1590" s="19" t="s">
        <v>25</v>
      </c>
    </row>
    <row r="1591" spans="1:27" x14ac:dyDescent="0.25">
      <c r="A1591" s="17" t="s">
        <v>666</v>
      </c>
      <c r="B1591" s="18" t="s">
        <v>46</v>
      </c>
      <c r="C1591" s="63" t="str" cm="1">
        <f t="array" ref="C1591">_xlfn.SWITCH(Table22[[#This Row],[Country]],"USA","North America","Canada","North America","Brazil","South America","China","Asia","Japan","Asia","India","Asia","France","Europe","Germany","Europe","UK","Europe","Australia","Oceania","South America")</f>
        <v>South America</v>
      </c>
      <c r="D1591" s="18" t="s">
        <v>35</v>
      </c>
      <c r="E1591" s="18" t="s">
        <v>33</v>
      </c>
      <c r="F1591" s="18" t="s">
        <v>64</v>
      </c>
      <c r="G1591" s="18" t="s">
        <v>22</v>
      </c>
      <c r="H1591" s="64">
        <f>LEN(TRIM(Table22[[#This Row],[Country]]))</f>
        <v>6</v>
      </c>
      <c r="I1591" s="64">
        <f>LEN(TRIM(Table22[[#This Row],[Continent]]))</f>
        <v>13</v>
      </c>
      <c r="J1591" s="64">
        <f>LEN(TRIM(Table22[[#This Row],[Product]]))</f>
        <v>10</v>
      </c>
      <c r="K1591" s="64">
        <f>LEN(TRIM(Table22[[#This Row],[Sales Team]]))</f>
        <v>10</v>
      </c>
      <c r="L1591" s="23">
        <v>84</v>
      </c>
      <c r="M1591" s="65" t="str" cm="1">
        <f t="array" ref="M1591">_xlfn.IFS(Table22[[#This Row],[Units Sold]]&lt;40,"Critical",Table22[[#This Row],[Units Sold]]&lt;=50,"Poor",Table22[[#This Row],[Units Sold]]&lt;=60,"Low",Table22[[#This Row],[Units Sold]]&lt;=80,"Average",Table22[[#This Row],[Units Sold]]&lt;=90,"High",Table22[[#This Row],[Units Sold]]&lt;=95,"Excellent",Table22[[#This Row],[Units Sold]]&gt;95,"Outstanding")</f>
        <v>High</v>
      </c>
      <c r="N1591" s="29">
        <v>117.07</v>
      </c>
      <c r="O1591" s="29">
        <v>9833.8799999999992</v>
      </c>
      <c r="P1591" s="43">
        <f>IF(Table22[[#This Row],[Discount Applied]],Table22[[#This Row],[Total Sales (in USD)]]*(1-Table22[[#This Row],[Discount Percentage (%)]]/100),Table22[[#This Row],[Total Sales (in USD)]])</f>
        <v>8670.5319959999997</v>
      </c>
      <c r="Q1591" s="66">
        <f>SQRT(AVERAGE((Table22[[#This Row],[Net Sales (after discount) (in USD)]]-AVERAGE(Table22[Net Sales (after discount) (in USD)]))^2))</f>
        <v>27840.82856776454</v>
      </c>
      <c r="R1591" s="18" t="b">
        <v>0</v>
      </c>
      <c r="S1591" s="40">
        <v>11.83</v>
      </c>
      <c r="T1591" s="18" t="b">
        <v>1</v>
      </c>
      <c r="U1591" s="25">
        <v>45197</v>
      </c>
      <c r="V1591" s="63" t="str">
        <f>IF(MONTH(Table22[[#This Row],[Sales Date]])&lt;=3,"Q1",IF(MONTH(Table22[[#This Row],[Sales Date]])&lt;=6,"Q2",IF(MONTH(Table22[[#This Row],[Sales Date]])&lt;=9,"Q3","Q4")))</f>
        <v>Q3</v>
      </c>
      <c r="W1591" s="64">
        <f>YEAR(Table22[[#This Row],[Sales Date]])</f>
        <v>2023</v>
      </c>
      <c r="X1591" s="23">
        <v>18</v>
      </c>
      <c r="Y1591" s="18" t="s">
        <v>23</v>
      </c>
      <c r="Z1591" s="18" t="s">
        <v>30</v>
      </c>
      <c r="AA1591" s="19" t="s">
        <v>25</v>
      </c>
    </row>
    <row r="1592" spans="1:27" x14ac:dyDescent="0.25">
      <c r="A1592" s="17" t="s">
        <v>1993</v>
      </c>
      <c r="B1592" s="18" t="s">
        <v>62</v>
      </c>
      <c r="C1592" s="63" t="str" cm="1">
        <f t="array" ref="C1592">_xlfn.SWITCH(Table22[[#This Row],[Country]],"USA","North America","Canada","North America","Brazil","South America","China","Asia","Japan","Asia","India","Asia","France","Europe","Germany","Europe","UK","Europe","Australia","Oceania","South America")</f>
        <v>Oceania</v>
      </c>
      <c r="D1592" s="18" t="s">
        <v>28</v>
      </c>
      <c r="E1592" s="18" t="s">
        <v>33</v>
      </c>
      <c r="F1592" s="18" t="s">
        <v>34</v>
      </c>
      <c r="G1592" s="18" t="s">
        <v>48</v>
      </c>
      <c r="H1592" s="64">
        <f>LEN(TRIM(Table22[[#This Row],[Country]]))</f>
        <v>9</v>
      </c>
      <c r="I1592" s="64">
        <f>LEN(TRIM(Table22[[#This Row],[Continent]]))</f>
        <v>7</v>
      </c>
      <c r="J1592" s="64">
        <f>LEN(TRIM(Table22[[#This Row],[Product]]))</f>
        <v>10</v>
      </c>
      <c r="K1592" s="64">
        <f>LEN(TRIM(Table22[[#This Row],[Sales Team]]))</f>
        <v>9</v>
      </c>
      <c r="L1592" s="23">
        <v>10</v>
      </c>
      <c r="M1592" s="65" t="str" cm="1">
        <f t="array" ref="M1592">_xlfn.IFS(Table22[[#This Row],[Units Sold]]&lt;40,"Critical",Table22[[#This Row],[Units Sold]]&lt;=50,"Poor",Table22[[#This Row],[Units Sold]]&lt;=60,"Low",Table22[[#This Row],[Units Sold]]&lt;=80,"Average",Table22[[#This Row],[Units Sold]]&lt;=90,"High",Table22[[#This Row],[Units Sold]]&lt;=95,"Excellent",Table22[[#This Row],[Units Sold]]&gt;95,"Outstanding")</f>
        <v>Critical</v>
      </c>
      <c r="N1592" s="29">
        <v>978.04</v>
      </c>
      <c r="O1592" s="29">
        <v>9780.4</v>
      </c>
      <c r="P1592" s="43">
        <f>IF(Table22[[#This Row],[Discount Applied]],Table22[[#This Row],[Total Sales (in USD)]]*(1-Table22[[#This Row],[Discount Percentage (%)]]/100),Table22[[#This Row],[Total Sales (in USD)]])</f>
        <v>9780.4</v>
      </c>
      <c r="Q1592" s="66">
        <f>SQRT(AVERAGE((Table22[[#This Row],[Net Sales (after discount) (in USD)]]-AVERAGE(Table22[Net Sales (after discount) (in USD)]))^2))</f>
        <v>26730.960563764536</v>
      </c>
      <c r="R1592" s="18" t="b">
        <v>0</v>
      </c>
      <c r="S1592" s="40">
        <v>11.67</v>
      </c>
      <c r="T1592" s="18" t="b">
        <v>0</v>
      </c>
      <c r="U1592" s="25">
        <v>45169</v>
      </c>
      <c r="V1592" s="63" t="str">
        <f>IF(MONTH(Table22[[#This Row],[Sales Date]])&lt;=3,"Q1",IF(MONTH(Table22[[#This Row],[Sales Date]])&lt;=6,"Q2",IF(MONTH(Table22[[#This Row],[Sales Date]])&lt;=9,"Q3","Q4")))</f>
        <v>Q3</v>
      </c>
      <c r="W1592" s="64">
        <f>YEAR(Table22[[#This Row],[Sales Date]])</f>
        <v>2023</v>
      </c>
      <c r="X1592" s="23">
        <v>25</v>
      </c>
      <c r="Y1592" s="18" t="s">
        <v>41</v>
      </c>
      <c r="Z1592" s="18" t="s">
        <v>24</v>
      </c>
      <c r="AA1592" s="19" t="s">
        <v>36</v>
      </c>
    </row>
    <row r="1593" spans="1:27" x14ac:dyDescent="0.25">
      <c r="A1593" s="17" t="s">
        <v>281</v>
      </c>
      <c r="B1593" s="18" t="s">
        <v>76</v>
      </c>
      <c r="C1593" s="63" t="str" cm="1">
        <f t="array" ref="C1593">_xlfn.SWITCH(Table22[[#This Row],[Country]],"USA","North America","Canada","North America","Brazil","South America","China","Asia","Japan","Asia","India","Asia","France","Europe","Germany","Europe","UK","Europe","Australia","Oceania","South America")</f>
        <v>Asia</v>
      </c>
      <c r="D1593" s="18" t="s">
        <v>28</v>
      </c>
      <c r="E1593" s="18" t="s">
        <v>19</v>
      </c>
      <c r="F1593" s="18" t="s">
        <v>34</v>
      </c>
      <c r="G1593" s="18" t="s">
        <v>40</v>
      </c>
      <c r="H1593" s="64">
        <f>LEN(TRIM(Table22[[#This Row],[Country]]))</f>
        <v>5</v>
      </c>
      <c r="I1593" s="64">
        <f>LEN(TRIM(Table22[[#This Row],[Continent]]))</f>
        <v>4</v>
      </c>
      <c r="J1593" s="64">
        <f>LEN(TRIM(Table22[[#This Row],[Product]]))</f>
        <v>6</v>
      </c>
      <c r="K1593" s="64">
        <f>LEN(TRIM(Table22[[#This Row],[Sales Team]]))</f>
        <v>10</v>
      </c>
      <c r="L1593" s="23">
        <v>22</v>
      </c>
      <c r="M1593" s="65" t="str" cm="1">
        <f t="array" ref="M1593">_xlfn.IFS(Table22[[#This Row],[Units Sold]]&lt;40,"Critical",Table22[[#This Row],[Units Sold]]&lt;=50,"Poor",Table22[[#This Row],[Units Sold]]&lt;=60,"Low",Table22[[#This Row],[Units Sold]]&lt;=80,"Average",Table22[[#This Row],[Units Sold]]&lt;=90,"High",Table22[[#This Row],[Units Sold]]&lt;=95,"Excellent",Table22[[#This Row],[Units Sold]]&gt;95,"Outstanding")</f>
        <v>Critical</v>
      </c>
      <c r="N1593" s="29">
        <v>443.51</v>
      </c>
      <c r="O1593" s="29">
        <v>9757.2199999999993</v>
      </c>
      <c r="P1593" s="43">
        <f>IF(Table22[[#This Row],[Discount Applied]],Table22[[#This Row],[Total Sales (in USD)]]*(1-Table22[[#This Row],[Discount Percentage (%)]]/100),Table22[[#This Row],[Total Sales (in USD)]])</f>
        <v>7558.918333999999</v>
      </c>
      <c r="Q1593" s="66">
        <f>SQRT(AVERAGE((Table22[[#This Row],[Net Sales (after discount) (in USD)]]-AVERAGE(Table22[Net Sales (after discount) (in USD)]))^2))</f>
        <v>28952.44222976454</v>
      </c>
      <c r="R1593" s="18" t="b">
        <v>0</v>
      </c>
      <c r="S1593" s="40">
        <v>22.53</v>
      </c>
      <c r="T1593" s="18" t="b">
        <v>1</v>
      </c>
      <c r="U1593" s="25">
        <v>44963</v>
      </c>
      <c r="V1593" s="63" t="str">
        <f>IF(MONTH(Table22[[#This Row],[Sales Date]])&lt;=3,"Q1",IF(MONTH(Table22[[#This Row],[Sales Date]])&lt;=6,"Q2",IF(MONTH(Table22[[#This Row],[Sales Date]])&lt;=9,"Q3","Q4")))</f>
        <v>Q1</v>
      </c>
      <c r="W1593" s="64">
        <f>YEAR(Table22[[#This Row],[Sales Date]])</f>
        <v>2023</v>
      </c>
      <c r="X1593" s="23">
        <v>53</v>
      </c>
      <c r="Y1593" s="18" t="s">
        <v>49</v>
      </c>
      <c r="Z1593" s="18" t="s">
        <v>56</v>
      </c>
      <c r="AA1593" s="19" t="s">
        <v>36</v>
      </c>
    </row>
    <row r="1594" spans="1:27" x14ac:dyDescent="0.25">
      <c r="A1594" s="17" t="s">
        <v>651</v>
      </c>
      <c r="B1594" s="18" t="s">
        <v>72</v>
      </c>
      <c r="C1594" s="63" t="str" cm="1">
        <f t="array" ref="C1594">_xlfn.SWITCH(Table22[[#This Row],[Country]],"USA","North America","Canada","North America","Brazil","South America","China","Asia","Japan","Asia","India","Asia","France","Europe","Germany","Europe","UK","Europe","Australia","Oceania","South America")</f>
        <v>North America</v>
      </c>
      <c r="D1594" s="18" t="s">
        <v>44</v>
      </c>
      <c r="E1594" s="18" t="s">
        <v>19</v>
      </c>
      <c r="F1594" s="18" t="s">
        <v>47</v>
      </c>
      <c r="G1594" s="18" t="s">
        <v>29</v>
      </c>
      <c r="H1594" s="64">
        <f>LEN(TRIM(Table22[[#This Row],[Country]]))</f>
        <v>3</v>
      </c>
      <c r="I1594" s="64">
        <f>LEN(TRIM(Table22[[#This Row],[Continent]]))</f>
        <v>13</v>
      </c>
      <c r="J1594" s="64">
        <f>LEN(TRIM(Table22[[#This Row],[Product]]))</f>
        <v>6</v>
      </c>
      <c r="K1594" s="64">
        <f>LEN(TRIM(Table22[[#This Row],[Sales Team]]))</f>
        <v>10</v>
      </c>
      <c r="L1594" s="23">
        <v>19</v>
      </c>
      <c r="M1594" s="65" t="str" cm="1">
        <f t="array" ref="M1594">_xlfn.IFS(Table22[[#This Row],[Units Sold]]&lt;40,"Critical",Table22[[#This Row],[Units Sold]]&lt;=50,"Poor",Table22[[#This Row],[Units Sold]]&lt;=60,"Low",Table22[[#This Row],[Units Sold]]&lt;=80,"Average",Table22[[#This Row],[Units Sold]]&lt;=90,"High",Table22[[#This Row],[Units Sold]]&lt;=95,"Excellent",Table22[[#This Row],[Units Sold]]&gt;95,"Outstanding")</f>
        <v>Critical</v>
      </c>
      <c r="N1594" s="29">
        <v>511.37</v>
      </c>
      <c r="O1594" s="29">
        <v>9716.0300000000007</v>
      </c>
      <c r="P1594" s="43">
        <f>IF(Table22[[#This Row],[Discount Applied]],Table22[[#This Row],[Total Sales (in USD)]]*(1-Table22[[#This Row],[Discount Percentage (%)]]/100),Table22[[#This Row],[Total Sales (in USD)]])</f>
        <v>9716.0300000000007</v>
      </c>
      <c r="Q1594" s="66">
        <f>SQRT(AVERAGE((Table22[[#This Row],[Net Sales (after discount) (in USD)]]-AVERAGE(Table22[Net Sales (after discount) (in USD)]))^2))</f>
        <v>26795.330563764539</v>
      </c>
      <c r="R1594" s="18" t="b">
        <v>0</v>
      </c>
      <c r="S1594" s="40">
        <v>4.55</v>
      </c>
      <c r="T1594" s="18" t="b">
        <v>0</v>
      </c>
      <c r="U1594" s="25">
        <v>45193</v>
      </c>
      <c r="V1594" s="63" t="str">
        <f>IF(MONTH(Table22[[#This Row],[Sales Date]])&lt;=3,"Q1",IF(MONTH(Table22[[#This Row],[Sales Date]])&lt;=6,"Q2",IF(MONTH(Table22[[#This Row],[Sales Date]])&lt;=9,"Q3","Q4")))</f>
        <v>Q3</v>
      </c>
      <c r="W1594" s="64">
        <f>YEAR(Table22[[#This Row],[Sales Date]])</f>
        <v>2023</v>
      </c>
      <c r="X1594" s="23">
        <v>67</v>
      </c>
      <c r="Y1594" s="18" t="s">
        <v>41</v>
      </c>
      <c r="Z1594" s="18" t="s">
        <v>30</v>
      </c>
      <c r="AA1594" s="19" t="s">
        <v>36</v>
      </c>
    </row>
    <row r="1595" spans="1:27" x14ac:dyDescent="0.25">
      <c r="A1595" s="17" t="s">
        <v>767</v>
      </c>
      <c r="B1595" s="18" t="s">
        <v>46</v>
      </c>
      <c r="C1595" s="63" t="str" cm="1">
        <f t="array" ref="C1595">_xlfn.SWITCH(Table22[[#This Row],[Country]],"USA","North America","Canada","North America","Brazil","South America","China","Asia","Japan","Asia","India","Asia","France","Europe","Germany","Europe","UK","Europe","Australia","Oceania","South America")</f>
        <v>South America</v>
      </c>
      <c r="D1595" s="18" t="s">
        <v>28</v>
      </c>
      <c r="E1595" s="18" t="s">
        <v>33</v>
      </c>
      <c r="F1595" s="18" t="s">
        <v>64</v>
      </c>
      <c r="G1595" s="18" t="s">
        <v>48</v>
      </c>
      <c r="H1595" s="64">
        <f>LEN(TRIM(Table22[[#This Row],[Country]]))</f>
        <v>6</v>
      </c>
      <c r="I1595" s="64">
        <f>LEN(TRIM(Table22[[#This Row],[Continent]]))</f>
        <v>13</v>
      </c>
      <c r="J1595" s="64">
        <f>LEN(TRIM(Table22[[#This Row],[Product]]))</f>
        <v>10</v>
      </c>
      <c r="K1595" s="64">
        <f>LEN(TRIM(Table22[[#This Row],[Sales Team]]))</f>
        <v>9</v>
      </c>
      <c r="L1595" s="23">
        <v>15</v>
      </c>
      <c r="M1595" s="65" t="str" cm="1">
        <f t="array" ref="M1595">_xlfn.IFS(Table22[[#This Row],[Units Sold]]&lt;40,"Critical",Table22[[#This Row],[Units Sold]]&lt;=50,"Poor",Table22[[#This Row],[Units Sold]]&lt;=60,"Low",Table22[[#This Row],[Units Sold]]&lt;=80,"Average",Table22[[#This Row],[Units Sold]]&lt;=90,"High",Table22[[#This Row],[Units Sold]]&lt;=95,"Excellent",Table22[[#This Row],[Units Sold]]&gt;95,"Outstanding")</f>
        <v>Critical</v>
      </c>
      <c r="N1595" s="29">
        <v>639.58000000000004</v>
      </c>
      <c r="O1595" s="29">
        <v>9593.7000000000007</v>
      </c>
      <c r="P1595" s="43">
        <f>IF(Table22[[#This Row],[Discount Applied]],Table22[[#This Row],[Total Sales (in USD)]]*(1-Table22[[#This Row],[Discount Percentage (%)]]/100),Table22[[#This Row],[Total Sales (in USD)]])</f>
        <v>9593.7000000000007</v>
      </c>
      <c r="Q1595" s="66">
        <f>SQRT(AVERAGE((Table22[[#This Row],[Net Sales (after discount) (in USD)]]-AVERAGE(Table22[Net Sales (after discount) (in USD)]))^2))</f>
        <v>26917.660563764537</v>
      </c>
      <c r="R1595" s="18" t="b">
        <v>1</v>
      </c>
      <c r="S1595" s="40">
        <v>23.06</v>
      </c>
      <c r="T1595" s="18" t="b">
        <v>0</v>
      </c>
      <c r="U1595" s="25">
        <v>45535</v>
      </c>
      <c r="V1595" s="63" t="str">
        <f>IF(MONTH(Table22[[#This Row],[Sales Date]])&lt;=3,"Q1",IF(MONTH(Table22[[#This Row],[Sales Date]])&lt;=6,"Q2",IF(MONTH(Table22[[#This Row],[Sales Date]])&lt;=9,"Q3","Q4")))</f>
        <v>Q3</v>
      </c>
      <c r="W1595" s="64">
        <f>YEAR(Table22[[#This Row],[Sales Date]])</f>
        <v>2024</v>
      </c>
      <c r="X1595" s="23">
        <v>19</v>
      </c>
      <c r="Y1595" s="18" t="s">
        <v>23</v>
      </c>
      <c r="Z1595" s="18" t="s">
        <v>42</v>
      </c>
      <c r="AA1595" s="19" t="s">
        <v>36</v>
      </c>
    </row>
    <row r="1596" spans="1:27" x14ac:dyDescent="0.25">
      <c r="A1596" s="17" t="s">
        <v>2047</v>
      </c>
      <c r="B1596" s="18" t="s">
        <v>51</v>
      </c>
      <c r="C1596" s="63" t="str" cm="1">
        <f t="array" ref="C1596">_xlfn.SWITCH(Table22[[#This Row],[Country]],"USA","North America","Canada","North America","Brazil","South America","China","Asia","Japan","Asia","India","Asia","France","Europe","Germany","Europe","UK","Europe","Australia","Oceania","South America")</f>
        <v>Europe</v>
      </c>
      <c r="D1596" s="18" t="s">
        <v>28</v>
      </c>
      <c r="E1596" s="18" t="s">
        <v>19</v>
      </c>
      <c r="F1596" s="18" t="s">
        <v>52</v>
      </c>
      <c r="G1596" s="18" t="s">
        <v>29</v>
      </c>
      <c r="H1596" s="64">
        <f>LEN(TRIM(Table22[[#This Row],[Country]]))</f>
        <v>2</v>
      </c>
      <c r="I1596" s="64">
        <f>LEN(TRIM(Table22[[#This Row],[Continent]]))</f>
        <v>6</v>
      </c>
      <c r="J1596" s="64">
        <f>LEN(TRIM(Table22[[#This Row],[Product]]))</f>
        <v>6</v>
      </c>
      <c r="K1596" s="64">
        <f>LEN(TRIM(Table22[[#This Row],[Sales Team]]))</f>
        <v>10</v>
      </c>
      <c r="L1596" s="23">
        <v>56</v>
      </c>
      <c r="M1596" s="65" t="str" cm="1">
        <f t="array" ref="M1596">_xlfn.IFS(Table22[[#This Row],[Units Sold]]&lt;40,"Critical",Table22[[#This Row],[Units Sold]]&lt;=50,"Poor",Table22[[#This Row],[Units Sold]]&lt;=60,"Low",Table22[[#This Row],[Units Sold]]&lt;=80,"Average",Table22[[#This Row],[Units Sold]]&lt;=90,"High",Table22[[#This Row],[Units Sold]]&lt;=95,"Excellent",Table22[[#This Row],[Units Sold]]&gt;95,"Outstanding")</f>
        <v>Low</v>
      </c>
      <c r="N1596" s="29">
        <v>170.64</v>
      </c>
      <c r="O1596" s="29">
        <v>9555.84</v>
      </c>
      <c r="P1596" s="43">
        <f>IF(Table22[[#This Row],[Discount Applied]],Table22[[#This Row],[Total Sales (in USD)]]*(1-Table22[[#This Row],[Discount Percentage (%)]]/100),Table22[[#This Row],[Total Sales (in USD)]])</f>
        <v>8741.6824320000014</v>
      </c>
      <c r="Q1596" s="66">
        <f>SQRT(AVERAGE((Table22[[#This Row],[Net Sales (after discount) (in USD)]]-AVERAGE(Table22[Net Sales (after discount) (in USD)]))^2))</f>
        <v>27769.678131764536</v>
      </c>
      <c r="R1596" s="18" t="b">
        <v>1</v>
      </c>
      <c r="S1596" s="40">
        <v>8.52</v>
      </c>
      <c r="T1596" s="18" t="b">
        <v>1</v>
      </c>
      <c r="U1596" s="25">
        <v>45574</v>
      </c>
      <c r="V1596" s="63" t="str">
        <f>IF(MONTH(Table22[[#This Row],[Sales Date]])&lt;=3,"Q1",IF(MONTH(Table22[[#This Row],[Sales Date]])&lt;=6,"Q2",IF(MONTH(Table22[[#This Row],[Sales Date]])&lt;=9,"Q3","Q4")))</f>
        <v>Q4</v>
      </c>
      <c r="W1596" s="64">
        <f>YEAR(Table22[[#This Row],[Sales Date]])</f>
        <v>2024</v>
      </c>
      <c r="X1596" s="23">
        <v>34</v>
      </c>
      <c r="Y1596" s="18" t="s">
        <v>49</v>
      </c>
      <c r="Z1596" s="18" t="s">
        <v>56</v>
      </c>
      <c r="AA1596" s="19" t="s">
        <v>25</v>
      </c>
    </row>
    <row r="1597" spans="1:27" x14ac:dyDescent="0.25">
      <c r="A1597" s="17" t="s">
        <v>324</v>
      </c>
      <c r="B1597" s="18" t="s">
        <v>32</v>
      </c>
      <c r="C1597" s="63" t="str" cm="1">
        <f t="array" ref="C1597">_xlfn.SWITCH(Table22[[#This Row],[Country]],"USA","North America","Canada","North America","Brazil","South America","China","Asia","Japan","Asia","India","Asia","France","Europe","Germany","Europe","UK","Europe","Australia","Oceania","South America")</f>
        <v>Asia</v>
      </c>
      <c r="D1597" s="18" t="s">
        <v>21</v>
      </c>
      <c r="E1597" s="18" t="s">
        <v>19</v>
      </c>
      <c r="F1597" s="18" t="s">
        <v>52</v>
      </c>
      <c r="G1597" s="18" t="s">
        <v>48</v>
      </c>
      <c r="H1597" s="64">
        <f>LEN(TRIM(Table22[[#This Row],[Country]]))</f>
        <v>5</v>
      </c>
      <c r="I1597" s="64">
        <f>LEN(TRIM(Table22[[#This Row],[Continent]]))</f>
        <v>4</v>
      </c>
      <c r="J1597" s="64">
        <f>LEN(TRIM(Table22[[#This Row],[Product]]))</f>
        <v>6</v>
      </c>
      <c r="K1597" s="64">
        <f>LEN(TRIM(Table22[[#This Row],[Sales Team]]))</f>
        <v>9</v>
      </c>
      <c r="L1597" s="23">
        <v>24</v>
      </c>
      <c r="M1597" s="65" t="str" cm="1">
        <f t="array" ref="M1597">_xlfn.IFS(Table22[[#This Row],[Units Sold]]&lt;40,"Critical",Table22[[#This Row],[Units Sold]]&lt;=50,"Poor",Table22[[#This Row],[Units Sold]]&lt;=60,"Low",Table22[[#This Row],[Units Sold]]&lt;=80,"Average",Table22[[#This Row],[Units Sold]]&lt;=90,"High",Table22[[#This Row],[Units Sold]]&lt;=95,"Excellent",Table22[[#This Row],[Units Sold]]&gt;95,"Outstanding")</f>
        <v>Critical</v>
      </c>
      <c r="N1597" s="29">
        <v>397.58</v>
      </c>
      <c r="O1597" s="29">
        <v>9541.92</v>
      </c>
      <c r="P1597" s="43">
        <f>IF(Table22[[#This Row],[Discount Applied]],Table22[[#This Row],[Total Sales (in USD)]]*(1-Table22[[#This Row],[Discount Percentage (%)]]/100),Table22[[#This Row],[Total Sales (in USD)]])</f>
        <v>7977.9993119999999</v>
      </c>
      <c r="Q1597" s="66">
        <f>SQRT(AVERAGE((Table22[[#This Row],[Net Sales (after discount) (in USD)]]-AVERAGE(Table22[Net Sales (after discount) (in USD)]))^2))</f>
        <v>28533.361251764538</v>
      </c>
      <c r="R1597" s="18" t="b">
        <v>1</v>
      </c>
      <c r="S1597" s="40">
        <v>16.39</v>
      </c>
      <c r="T1597" s="18" t="b">
        <v>1</v>
      </c>
      <c r="U1597" s="25">
        <v>45521</v>
      </c>
      <c r="V1597" s="63" t="str">
        <f>IF(MONTH(Table22[[#This Row],[Sales Date]])&lt;=3,"Q1",IF(MONTH(Table22[[#This Row],[Sales Date]])&lt;=6,"Q2",IF(MONTH(Table22[[#This Row],[Sales Date]])&lt;=9,"Q3","Q4")))</f>
        <v>Q3</v>
      </c>
      <c r="W1597" s="64">
        <f>YEAR(Table22[[#This Row],[Sales Date]])</f>
        <v>2024</v>
      </c>
      <c r="X1597" s="23">
        <v>29</v>
      </c>
      <c r="Y1597" s="18" t="s">
        <v>41</v>
      </c>
      <c r="Z1597" s="18" t="s">
        <v>24</v>
      </c>
      <c r="AA1597" s="19" t="s">
        <v>36</v>
      </c>
    </row>
    <row r="1598" spans="1:27" x14ac:dyDescent="0.25">
      <c r="A1598" s="17" t="s">
        <v>1804</v>
      </c>
      <c r="B1598" s="18" t="s">
        <v>46</v>
      </c>
      <c r="C1598" s="63" t="str" cm="1">
        <f t="array" ref="C1598">_xlfn.SWITCH(Table22[[#This Row],[Country]],"USA","North America","Canada","North America","Brazil","South America","China","Asia","Japan","Asia","India","Asia","France","Europe","Germany","Europe","UK","Europe","Australia","Oceania","South America")</f>
        <v>South America</v>
      </c>
      <c r="D1598" s="18" t="s">
        <v>35</v>
      </c>
      <c r="E1598" s="18" t="s">
        <v>19</v>
      </c>
      <c r="F1598" s="18" t="s">
        <v>47</v>
      </c>
      <c r="G1598" s="18" t="s">
        <v>22</v>
      </c>
      <c r="H1598" s="64">
        <f>LEN(TRIM(Table22[[#This Row],[Country]]))</f>
        <v>6</v>
      </c>
      <c r="I1598" s="64">
        <f>LEN(TRIM(Table22[[#This Row],[Continent]]))</f>
        <v>13</v>
      </c>
      <c r="J1598" s="64">
        <f>LEN(TRIM(Table22[[#This Row],[Product]]))</f>
        <v>6</v>
      </c>
      <c r="K1598" s="64">
        <f>LEN(TRIM(Table22[[#This Row],[Sales Team]]))</f>
        <v>10</v>
      </c>
      <c r="L1598" s="23">
        <v>19</v>
      </c>
      <c r="M1598" s="65" t="str" cm="1">
        <f t="array" ref="M1598">_xlfn.IFS(Table22[[#This Row],[Units Sold]]&lt;40,"Critical",Table22[[#This Row],[Units Sold]]&lt;=50,"Poor",Table22[[#This Row],[Units Sold]]&lt;=60,"Low",Table22[[#This Row],[Units Sold]]&lt;=80,"Average",Table22[[#This Row],[Units Sold]]&lt;=90,"High",Table22[[#This Row],[Units Sold]]&lt;=95,"Excellent",Table22[[#This Row],[Units Sold]]&gt;95,"Outstanding")</f>
        <v>Critical</v>
      </c>
      <c r="N1598" s="29">
        <v>501.49</v>
      </c>
      <c r="O1598" s="29">
        <v>9528.31</v>
      </c>
      <c r="P1598" s="43">
        <f>IF(Table22[[#This Row],[Discount Applied]],Table22[[#This Row],[Total Sales (in USD)]]*(1-Table22[[#This Row],[Discount Percentage (%)]]/100),Table22[[#This Row],[Total Sales (in USD)]])</f>
        <v>8472.5732520000001</v>
      </c>
      <c r="Q1598" s="66">
        <f>SQRT(AVERAGE((Table22[[#This Row],[Net Sales (after discount) (in USD)]]-AVERAGE(Table22[Net Sales (after discount) (in USD)]))^2))</f>
        <v>28038.787311764536</v>
      </c>
      <c r="R1598" s="18" t="b">
        <v>0</v>
      </c>
      <c r="S1598" s="40">
        <v>11.08</v>
      </c>
      <c r="T1598" s="18" t="b">
        <v>1</v>
      </c>
      <c r="U1598" s="25">
        <v>45172</v>
      </c>
      <c r="V1598" s="63" t="str">
        <f>IF(MONTH(Table22[[#This Row],[Sales Date]])&lt;=3,"Q1",IF(MONTH(Table22[[#This Row],[Sales Date]])&lt;=6,"Q2",IF(MONTH(Table22[[#This Row],[Sales Date]])&lt;=9,"Q3","Q4")))</f>
        <v>Q3</v>
      </c>
      <c r="W1598" s="64">
        <f>YEAR(Table22[[#This Row],[Sales Date]])</f>
        <v>2023</v>
      </c>
      <c r="X1598" s="23">
        <v>45</v>
      </c>
      <c r="Y1598" s="18" t="s">
        <v>49</v>
      </c>
      <c r="Z1598" s="18" t="s">
        <v>24</v>
      </c>
      <c r="AA1598" s="19" t="s">
        <v>36</v>
      </c>
    </row>
    <row r="1599" spans="1:27" x14ac:dyDescent="0.25">
      <c r="A1599" s="17" t="s">
        <v>1184</v>
      </c>
      <c r="B1599" s="18" t="s">
        <v>38</v>
      </c>
      <c r="C1599" s="63" t="str" cm="1">
        <f t="array" ref="C1599">_xlfn.SWITCH(Table22[[#This Row],[Country]],"USA","North America","Canada","North America","Brazil","South America","China","Asia","Japan","Asia","India","Asia","France","Europe","Germany","Europe","UK","Europe","Australia","Oceania","South America")</f>
        <v>Europe</v>
      </c>
      <c r="D1599" s="18" t="s">
        <v>35</v>
      </c>
      <c r="E1599" s="18" t="s">
        <v>33</v>
      </c>
      <c r="F1599" s="18" t="s">
        <v>34</v>
      </c>
      <c r="G1599" s="18" t="s">
        <v>40</v>
      </c>
      <c r="H1599" s="64">
        <f>LEN(TRIM(Table22[[#This Row],[Country]]))</f>
        <v>6</v>
      </c>
      <c r="I1599" s="64">
        <f>LEN(TRIM(Table22[[#This Row],[Continent]]))</f>
        <v>6</v>
      </c>
      <c r="J1599" s="64">
        <f>LEN(TRIM(Table22[[#This Row],[Product]]))</f>
        <v>10</v>
      </c>
      <c r="K1599" s="64">
        <f>LEN(TRIM(Table22[[#This Row],[Sales Team]]))</f>
        <v>10</v>
      </c>
      <c r="L1599" s="23">
        <v>21</v>
      </c>
      <c r="M1599" s="65" t="str" cm="1">
        <f t="array" ref="M1599">_xlfn.IFS(Table22[[#This Row],[Units Sold]]&lt;40,"Critical",Table22[[#This Row],[Units Sold]]&lt;=50,"Poor",Table22[[#This Row],[Units Sold]]&lt;=60,"Low",Table22[[#This Row],[Units Sold]]&lt;=80,"Average",Table22[[#This Row],[Units Sold]]&lt;=90,"High",Table22[[#This Row],[Units Sold]]&lt;=95,"Excellent",Table22[[#This Row],[Units Sold]]&gt;95,"Outstanding")</f>
        <v>Critical</v>
      </c>
      <c r="N1599" s="29">
        <v>453.17</v>
      </c>
      <c r="O1599" s="29">
        <v>9516.57</v>
      </c>
      <c r="P1599" s="43">
        <f>IF(Table22[[#This Row],[Discount Applied]],Table22[[#This Row],[Total Sales (in USD)]]*(1-Table22[[#This Row],[Discount Percentage (%)]]/100),Table22[[#This Row],[Total Sales (in USD)]])</f>
        <v>7771.2310619999998</v>
      </c>
      <c r="Q1599" s="66">
        <f>SQRT(AVERAGE((Table22[[#This Row],[Net Sales (after discount) (in USD)]]-AVERAGE(Table22[Net Sales (after discount) (in USD)]))^2))</f>
        <v>28740.129501764539</v>
      </c>
      <c r="R1599" s="18" t="b">
        <v>1</v>
      </c>
      <c r="S1599" s="40">
        <v>18.34</v>
      </c>
      <c r="T1599" s="18" t="b">
        <v>1</v>
      </c>
      <c r="U1599" s="25">
        <v>45292</v>
      </c>
      <c r="V1599" s="63" t="str">
        <f>IF(MONTH(Table22[[#This Row],[Sales Date]])&lt;=3,"Q1",IF(MONTH(Table22[[#This Row],[Sales Date]])&lt;=6,"Q2",IF(MONTH(Table22[[#This Row],[Sales Date]])&lt;=9,"Q3","Q4")))</f>
        <v>Q1</v>
      </c>
      <c r="W1599" s="64">
        <f>YEAR(Table22[[#This Row],[Sales Date]])</f>
        <v>2024</v>
      </c>
      <c r="X1599" s="23">
        <v>26</v>
      </c>
      <c r="Y1599" s="18" t="s">
        <v>49</v>
      </c>
      <c r="Z1599" s="18" t="s">
        <v>56</v>
      </c>
      <c r="AA1599" s="19" t="s">
        <v>25</v>
      </c>
    </row>
    <row r="1600" spans="1:27" x14ac:dyDescent="0.25">
      <c r="A1600" s="17" t="s">
        <v>1508</v>
      </c>
      <c r="B1600" s="18" t="s">
        <v>32</v>
      </c>
      <c r="C1600" s="63" t="str" cm="1">
        <f t="array" ref="C1600">_xlfn.SWITCH(Table22[[#This Row],[Country]],"USA","North America","Canada","North America","Brazil","South America","China","Asia","Japan","Asia","India","Asia","France","Europe","Germany","Europe","UK","Europe","Australia","Oceania","South America")</f>
        <v>Asia</v>
      </c>
      <c r="D1600" s="18" t="s">
        <v>44</v>
      </c>
      <c r="E1600" s="18" t="s">
        <v>33</v>
      </c>
      <c r="F1600" s="18" t="s">
        <v>52</v>
      </c>
      <c r="G1600" s="18" t="s">
        <v>40</v>
      </c>
      <c r="H1600" s="64">
        <f>LEN(TRIM(Table22[[#This Row],[Country]]))</f>
        <v>5</v>
      </c>
      <c r="I1600" s="64">
        <f>LEN(TRIM(Table22[[#This Row],[Continent]]))</f>
        <v>4</v>
      </c>
      <c r="J1600" s="64">
        <f>LEN(TRIM(Table22[[#This Row],[Product]]))</f>
        <v>10</v>
      </c>
      <c r="K1600" s="64">
        <f>LEN(TRIM(Table22[[#This Row],[Sales Team]]))</f>
        <v>10</v>
      </c>
      <c r="L1600" s="23">
        <v>59</v>
      </c>
      <c r="M1600" s="65" t="str" cm="1">
        <f t="array" ref="M1600">_xlfn.IFS(Table22[[#This Row],[Units Sold]]&lt;40,"Critical",Table22[[#This Row],[Units Sold]]&lt;=50,"Poor",Table22[[#This Row],[Units Sold]]&lt;=60,"Low",Table22[[#This Row],[Units Sold]]&lt;=80,"Average",Table22[[#This Row],[Units Sold]]&lt;=90,"High",Table22[[#This Row],[Units Sold]]&lt;=95,"Excellent",Table22[[#This Row],[Units Sold]]&gt;95,"Outstanding")</f>
        <v>Low</v>
      </c>
      <c r="N1600" s="29">
        <v>161.09</v>
      </c>
      <c r="O1600" s="29">
        <v>9504.31</v>
      </c>
      <c r="P1600" s="43">
        <f>IF(Table22[[#This Row],[Discount Applied]],Table22[[#This Row],[Total Sales (in USD)]]*(1-Table22[[#This Row],[Discount Percentage (%)]]/100),Table22[[#This Row],[Total Sales (in USD)]])</f>
        <v>9504.31</v>
      </c>
      <c r="Q1600" s="66">
        <f>SQRT(AVERAGE((Table22[[#This Row],[Net Sales (after discount) (in USD)]]-AVERAGE(Table22[Net Sales (after discount) (in USD)]))^2))</f>
        <v>27007.05056376454</v>
      </c>
      <c r="R1600" s="18" t="b">
        <v>1</v>
      </c>
      <c r="S1600" s="40">
        <v>14.26</v>
      </c>
      <c r="T1600" s="18" t="b">
        <v>0</v>
      </c>
      <c r="U1600" s="25">
        <v>45138</v>
      </c>
      <c r="V1600" s="63" t="str">
        <f>IF(MONTH(Table22[[#This Row],[Sales Date]])&lt;=3,"Q1",IF(MONTH(Table22[[#This Row],[Sales Date]])&lt;=6,"Q2",IF(MONTH(Table22[[#This Row],[Sales Date]])&lt;=9,"Q3","Q4")))</f>
        <v>Q3</v>
      </c>
      <c r="W1600" s="64">
        <f>YEAR(Table22[[#This Row],[Sales Date]])</f>
        <v>2023</v>
      </c>
      <c r="X1600" s="23">
        <v>18</v>
      </c>
      <c r="Y1600" s="18" t="s">
        <v>23</v>
      </c>
      <c r="Z1600" s="18" t="s">
        <v>42</v>
      </c>
      <c r="AA1600" s="19" t="s">
        <v>25</v>
      </c>
    </row>
    <row r="1601" spans="1:27" x14ac:dyDescent="0.25">
      <c r="A1601" s="17" t="s">
        <v>1656</v>
      </c>
      <c r="B1601" s="18" t="s">
        <v>76</v>
      </c>
      <c r="C1601" s="63" t="str" cm="1">
        <f t="array" ref="C1601">_xlfn.SWITCH(Table22[[#This Row],[Country]],"USA","North America","Canada","North America","Brazil","South America","China","Asia","Japan","Asia","India","Asia","France","Europe","Germany","Europe","UK","Europe","Australia","Oceania","South America")</f>
        <v>Asia</v>
      </c>
      <c r="D1601" s="18" t="s">
        <v>44</v>
      </c>
      <c r="E1601" s="18" t="s">
        <v>33</v>
      </c>
      <c r="F1601" s="18" t="s">
        <v>20</v>
      </c>
      <c r="G1601" s="18" t="s">
        <v>22</v>
      </c>
      <c r="H1601" s="64">
        <f>LEN(TRIM(Table22[[#This Row],[Country]]))</f>
        <v>5</v>
      </c>
      <c r="I1601" s="64">
        <f>LEN(TRIM(Table22[[#This Row],[Continent]]))</f>
        <v>4</v>
      </c>
      <c r="J1601" s="64">
        <f>LEN(TRIM(Table22[[#This Row],[Product]]))</f>
        <v>10</v>
      </c>
      <c r="K1601" s="64">
        <f>LEN(TRIM(Table22[[#This Row],[Sales Team]]))</f>
        <v>10</v>
      </c>
      <c r="L1601" s="23">
        <v>10</v>
      </c>
      <c r="M1601" s="65" t="str" cm="1">
        <f t="array" ref="M1601">_xlfn.IFS(Table22[[#This Row],[Units Sold]]&lt;40,"Critical",Table22[[#This Row],[Units Sold]]&lt;=50,"Poor",Table22[[#This Row],[Units Sold]]&lt;=60,"Low",Table22[[#This Row],[Units Sold]]&lt;=80,"Average",Table22[[#This Row],[Units Sold]]&lt;=90,"High",Table22[[#This Row],[Units Sold]]&lt;=95,"Excellent",Table22[[#This Row],[Units Sold]]&gt;95,"Outstanding")</f>
        <v>Critical</v>
      </c>
      <c r="N1601" s="29">
        <v>943.33</v>
      </c>
      <c r="O1601" s="29">
        <v>9433.2999999999993</v>
      </c>
      <c r="P1601" s="43">
        <f>IF(Table22[[#This Row],[Discount Applied]],Table22[[#This Row],[Total Sales (in USD)]]*(1-Table22[[#This Row],[Discount Percentage (%)]]/100),Table22[[#This Row],[Total Sales (in USD)]])</f>
        <v>9433.2999999999993</v>
      </c>
      <c r="Q1601" s="66">
        <f>SQRT(AVERAGE((Table22[[#This Row],[Net Sales (after discount) (in USD)]]-AVERAGE(Table22[Net Sales (after discount) (in USD)]))^2))</f>
        <v>27078.060563764539</v>
      </c>
      <c r="R1601" s="18" t="b">
        <v>1</v>
      </c>
      <c r="S1601" s="40">
        <v>12.72</v>
      </c>
      <c r="T1601" s="18" t="b">
        <v>0</v>
      </c>
      <c r="U1601" s="25">
        <v>45145</v>
      </c>
      <c r="V1601" s="63" t="str">
        <f>IF(MONTH(Table22[[#This Row],[Sales Date]])&lt;=3,"Q1",IF(MONTH(Table22[[#This Row],[Sales Date]])&lt;=6,"Q2",IF(MONTH(Table22[[#This Row],[Sales Date]])&lt;=9,"Q3","Q4")))</f>
        <v>Q3</v>
      </c>
      <c r="W1601" s="64">
        <f>YEAR(Table22[[#This Row],[Sales Date]])</f>
        <v>2023</v>
      </c>
      <c r="X1601" s="23">
        <v>36</v>
      </c>
      <c r="Y1601" s="18" t="s">
        <v>41</v>
      </c>
      <c r="Z1601" s="18" t="s">
        <v>56</v>
      </c>
      <c r="AA1601" s="19" t="s">
        <v>36</v>
      </c>
    </row>
    <row r="1602" spans="1:27" x14ac:dyDescent="0.25">
      <c r="A1602" s="17" t="s">
        <v>1414</v>
      </c>
      <c r="B1602" s="18" t="s">
        <v>32</v>
      </c>
      <c r="C1602" s="63" t="str" cm="1">
        <f t="array" ref="C1602">_xlfn.SWITCH(Table22[[#This Row],[Country]],"USA","North America","Canada","North America","Brazil","South America","China","Asia","Japan","Asia","India","Asia","France","Europe","Germany","Europe","UK","Europe","Australia","Oceania","South America")</f>
        <v>Asia</v>
      </c>
      <c r="D1602" s="18" t="s">
        <v>21</v>
      </c>
      <c r="E1602" s="18" t="s">
        <v>39</v>
      </c>
      <c r="F1602" s="18" t="s">
        <v>64</v>
      </c>
      <c r="G1602" s="18" t="s">
        <v>22</v>
      </c>
      <c r="H1602" s="64">
        <f>LEN(TRIM(Table22[[#This Row],[Country]]))</f>
        <v>5</v>
      </c>
      <c r="I1602" s="64">
        <f>LEN(TRIM(Table22[[#This Row],[Continent]]))</f>
        <v>4</v>
      </c>
      <c r="J1602" s="64">
        <f>LEN(TRIM(Table22[[#This Row],[Product]]))</f>
        <v>10</v>
      </c>
      <c r="K1602" s="64">
        <f>LEN(TRIM(Table22[[#This Row],[Sales Team]]))</f>
        <v>10</v>
      </c>
      <c r="L1602" s="23">
        <v>79</v>
      </c>
      <c r="M1602" s="65" t="str" cm="1">
        <f t="array" ref="M1602">_xlfn.IFS(Table22[[#This Row],[Units Sold]]&lt;40,"Critical",Table22[[#This Row],[Units Sold]]&lt;=50,"Poor",Table22[[#This Row],[Units Sold]]&lt;=60,"Low",Table22[[#This Row],[Units Sold]]&lt;=80,"Average",Table22[[#This Row],[Units Sold]]&lt;=90,"High",Table22[[#This Row],[Units Sold]]&lt;=95,"Excellent",Table22[[#This Row],[Units Sold]]&gt;95,"Outstanding")</f>
        <v>Average</v>
      </c>
      <c r="N1602" s="29">
        <v>119.31</v>
      </c>
      <c r="O1602" s="29">
        <v>9425.49</v>
      </c>
      <c r="P1602" s="43">
        <f>IF(Table22[[#This Row],[Discount Applied]],Table22[[#This Row],[Total Sales (in USD)]]*(1-Table22[[#This Row],[Discount Percentage (%)]]/100),Table22[[#This Row],[Total Sales (in USD)]])</f>
        <v>7520.5984710000002</v>
      </c>
      <c r="Q1602" s="66">
        <f>SQRT(AVERAGE((Table22[[#This Row],[Net Sales (after discount) (in USD)]]-AVERAGE(Table22[Net Sales (after discount) (in USD)]))^2))</f>
        <v>28990.762092764537</v>
      </c>
      <c r="R1602" s="18" t="b">
        <v>1</v>
      </c>
      <c r="S1602" s="40">
        <v>20.21</v>
      </c>
      <c r="T1602" s="18" t="b">
        <v>1</v>
      </c>
      <c r="U1602" s="25">
        <v>45372</v>
      </c>
      <c r="V1602" s="63" t="str">
        <f>IF(MONTH(Table22[[#This Row],[Sales Date]])&lt;=3,"Q1",IF(MONTH(Table22[[#This Row],[Sales Date]])&lt;=6,"Q2",IF(MONTH(Table22[[#This Row],[Sales Date]])&lt;=9,"Q3","Q4")))</f>
        <v>Q1</v>
      </c>
      <c r="W1602" s="64">
        <f>YEAR(Table22[[#This Row],[Sales Date]])</f>
        <v>2024</v>
      </c>
      <c r="X1602" s="23">
        <v>62</v>
      </c>
      <c r="Y1602" s="18" t="s">
        <v>23</v>
      </c>
      <c r="Z1602" s="18" t="s">
        <v>30</v>
      </c>
      <c r="AA1602" s="19" t="s">
        <v>36</v>
      </c>
    </row>
    <row r="1603" spans="1:27" x14ac:dyDescent="0.25">
      <c r="A1603" s="17" t="s">
        <v>1122</v>
      </c>
      <c r="B1603" s="18" t="s">
        <v>76</v>
      </c>
      <c r="C1603" s="63" t="str" cm="1">
        <f t="array" ref="C1603">_xlfn.SWITCH(Table22[[#This Row],[Country]],"USA","North America","Canada","North America","Brazil","South America","China","Asia","Japan","Asia","India","Asia","France","Europe","Germany","Europe","UK","Europe","Australia","Oceania","South America")</f>
        <v>Asia</v>
      </c>
      <c r="D1603" s="18" t="s">
        <v>44</v>
      </c>
      <c r="E1603" s="18" t="s">
        <v>33</v>
      </c>
      <c r="F1603" s="18" t="s">
        <v>20</v>
      </c>
      <c r="G1603" s="18" t="s">
        <v>48</v>
      </c>
      <c r="H1603" s="64">
        <f>LEN(TRIM(Table22[[#This Row],[Country]]))</f>
        <v>5</v>
      </c>
      <c r="I1603" s="64">
        <f>LEN(TRIM(Table22[[#This Row],[Continent]]))</f>
        <v>4</v>
      </c>
      <c r="J1603" s="64">
        <f>LEN(TRIM(Table22[[#This Row],[Product]]))</f>
        <v>10</v>
      </c>
      <c r="K1603" s="64">
        <f>LEN(TRIM(Table22[[#This Row],[Sales Team]]))</f>
        <v>9</v>
      </c>
      <c r="L1603" s="23">
        <v>14</v>
      </c>
      <c r="M1603" s="65" t="str" cm="1">
        <f t="array" ref="M1603">_xlfn.IFS(Table22[[#This Row],[Units Sold]]&lt;40,"Critical",Table22[[#This Row],[Units Sold]]&lt;=50,"Poor",Table22[[#This Row],[Units Sold]]&lt;=60,"Low",Table22[[#This Row],[Units Sold]]&lt;=80,"Average",Table22[[#This Row],[Units Sold]]&lt;=90,"High",Table22[[#This Row],[Units Sold]]&lt;=95,"Excellent",Table22[[#This Row],[Units Sold]]&gt;95,"Outstanding")</f>
        <v>Critical</v>
      </c>
      <c r="N1603" s="29">
        <v>671.82</v>
      </c>
      <c r="O1603" s="29">
        <v>9405.48</v>
      </c>
      <c r="P1603" s="43">
        <f>IF(Table22[[#This Row],[Discount Applied]],Table22[[#This Row],[Total Sales (in USD)]]*(1-Table22[[#This Row],[Discount Percentage (%)]]/100),Table22[[#This Row],[Total Sales (in USD)]])</f>
        <v>9405.48</v>
      </c>
      <c r="Q1603" s="66">
        <f>SQRT(AVERAGE((Table22[[#This Row],[Net Sales (after discount) (in USD)]]-AVERAGE(Table22[Net Sales (after discount) (in USD)]))^2))</f>
        <v>27105.880563764538</v>
      </c>
      <c r="R1603" s="18" t="b">
        <v>1</v>
      </c>
      <c r="S1603" s="40">
        <v>2.4300000000000002</v>
      </c>
      <c r="T1603" s="18" t="b">
        <v>0</v>
      </c>
      <c r="U1603" s="25">
        <v>45175</v>
      </c>
      <c r="V1603" s="63" t="str">
        <f>IF(MONTH(Table22[[#This Row],[Sales Date]])&lt;=3,"Q1",IF(MONTH(Table22[[#This Row],[Sales Date]])&lt;=6,"Q2",IF(MONTH(Table22[[#This Row],[Sales Date]])&lt;=9,"Q3","Q4")))</f>
        <v>Q3</v>
      </c>
      <c r="W1603" s="64">
        <f>YEAR(Table22[[#This Row],[Sales Date]])</f>
        <v>2023</v>
      </c>
      <c r="X1603" s="23">
        <v>28</v>
      </c>
      <c r="Y1603" s="18" t="s">
        <v>23</v>
      </c>
      <c r="Z1603" s="18" t="s">
        <v>56</v>
      </c>
      <c r="AA1603" s="19" t="s">
        <v>36</v>
      </c>
    </row>
    <row r="1604" spans="1:27" x14ac:dyDescent="0.25">
      <c r="A1604" s="17" t="s">
        <v>386</v>
      </c>
      <c r="B1604" s="18" t="s">
        <v>46</v>
      </c>
      <c r="C1604" s="63" t="str" cm="1">
        <f t="array" ref="C1604">_xlfn.SWITCH(Table22[[#This Row],[Country]],"USA","North America","Canada","North America","Brazil","South America","China","Asia","Japan","Asia","India","Asia","France","Europe","Germany","Europe","UK","Europe","Australia","Oceania","South America")</f>
        <v>South America</v>
      </c>
      <c r="D1604" s="18" t="s">
        <v>35</v>
      </c>
      <c r="E1604" s="18" t="s">
        <v>33</v>
      </c>
      <c r="F1604" s="18" t="s">
        <v>64</v>
      </c>
      <c r="G1604" s="18" t="s">
        <v>29</v>
      </c>
      <c r="H1604" s="64">
        <f>LEN(TRIM(Table22[[#This Row],[Country]]))</f>
        <v>6</v>
      </c>
      <c r="I1604" s="64">
        <f>LEN(TRIM(Table22[[#This Row],[Continent]]))</f>
        <v>13</v>
      </c>
      <c r="J1604" s="64">
        <f>LEN(TRIM(Table22[[#This Row],[Product]]))</f>
        <v>10</v>
      </c>
      <c r="K1604" s="64">
        <f>LEN(TRIM(Table22[[#This Row],[Sales Team]]))</f>
        <v>10</v>
      </c>
      <c r="L1604" s="23">
        <v>28</v>
      </c>
      <c r="M1604" s="65" t="str" cm="1">
        <f t="array" ref="M1604">_xlfn.IFS(Table22[[#This Row],[Units Sold]]&lt;40,"Critical",Table22[[#This Row],[Units Sold]]&lt;=50,"Poor",Table22[[#This Row],[Units Sold]]&lt;=60,"Low",Table22[[#This Row],[Units Sold]]&lt;=80,"Average",Table22[[#This Row],[Units Sold]]&lt;=90,"High",Table22[[#This Row],[Units Sold]]&lt;=95,"Excellent",Table22[[#This Row],[Units Sold]]&gt;95,"Outstanding")</f>
        <v>Critical</v>
      </c>
      <c r="N1604" s="29">
        <v>335.3</v>
      </c>
      <c r="O1604" s="29">
        <v>9388.4</v>
      </c>
      <c r="P1604" s="43">
        <f>IF(Table22[[#This Row],[Discount Applied]],Table22[[#This Row],[Total Sales (in USD)]]*(1-Table22[[#This Row],[Discount Percentage (%)]]/100),Table22[[#This Row],[Total Sales (in USD)]])</f>
        <v>9388.4</v>
      </c>
      <c r="Q1604" s="66">
        <f>SQRT(AVERAGE((Table22[[#This Row],[Net Sales (after discount) (in USD)]]-AVERAGE(Table22[Net Sales (after discount) (in USD)]))^2))</f>
        <v>27122.960563764536</v>
      </c>
      <c r="R1604" s="18" t="b">
        <v>1</v>
      </c>
      <c r="S1604" s="40">
        <v>11.88</v>
      </c>
      <c r="T1604" s="18" t="b">
        <v>0</v>
      </c>
      <c r="U1604" s="25">
        <v>44950</v>
      </c>
      <c r="V1604" s="63" t="str">
        <f>IF(MONTH(Table22[[#This Row],[Sales Date]])&lt;=3,"Q1",IF(MONTH(Table22[[#This Row],[Sales Date]])&lt;=6,"Q2",IF(MONTH(Table22[[#This Row],[Sales Date]])&lt;=9,"Q3","Q4")))</f>
        <v>Q1</v>
      </c>
      <c r="W1604" s="64">
        <f>YEAR(Table22[[#This Row],[Sales Date]])</f>
        <v>2023</v>
      </c>
      <c r="X1604" s="23">
        <v>48</v>
      </c>
      <c r="Y1604" s="18" t="s">
        <v>41</v>
      </c>
      <c r="Z1604" s="18" t="s">
        <v>56</v>
      </c>
      <c r="AA1604" s="19" t="s">
        <v>25</v>
      </c>
    </row>
    <row r="1605" spans="1:27" x14ac:dyDescent="0.25">
      <c r="A1605" s="17" t="s">
        <v>1192</v>
      </c>
      <c r="B1605" s="18" t="s">
        <v>72</v>
      </c>
      <c r="C1605" s="63" t="str" cm="1">
        <f t="array" ref="C1605">_xlfn.SWITCH(Table22[[#This Row],[Country]],"USA","North America","Canada","North America","Brazil","South America","China","Asia","Japan","Asia","India","Asia","France","Europe","Germany","Europe","UK","Europe","Australia","Oceania","South America")</f>
        <v>North America</v>
      </c>
      <c r="D1605" s="18" t="s">
        <v>28</v>
      </c>
      <c r="E1605" s="18" t="s">
        <v>39</v>
      </c>
      <c r="F1605" s="18" t="s">
        <v>20</v>
      </c>
      <c r="G1605" s="18" t="s">
        <v>48</v>
      </c>
      <c r="H1605" s="64">
        <f>LEN(TRIM(Table22[[#This Row],[Country]]))</f>
        <v>3</v>
      </c>
      <c r="I1605" s="64">
        <f>LEN(TRIM(Table22[[#This Row],[Continent]]))</f>
        <v>13</v>
      </c>
      <c r="J1605" s="64">
        <f>LEN(TRIM(Table22[[#This Row],[Product]]))</f>
        <v>10</v>
      </c>
      <c r="K1605" s="64">
        <f>LEN(TRIM(Table22[[#This Row],[Sales Team]]))</f>
        <v>9</v>
      </c>
      <c r="L1605" s="23">
        <v>26</v>
      </c>
      <c r="M1605" s="65" t="str" cm="1">
        <f t="array" ref="M1605">_xlfn.IFS(Table22[[#This Row],[Units Sold]]&lt;40,"Critical",Table22[[#This Row],[Units Sold]]&lt;=50,"Poor",Table22[[#This Row],[Units Sold]]&lt;=60,"Low",Table22[[#This Row],[Units Sold]]&lt;=80,"Average",Table22[[#This Row],[Units Sold]]&lt;=90,"High",Table22[[#This Row],[Units Sold]]&lt;=95,"Excellent",Table22[[#This Row],[Units Sold]]&gt;95,"Outstanding")</f>
        <v>Critical</v>
      </c>
      <c r="N1605" s="29">
        <v>360.67</v>
      </c>
      <c r="O1605" s="29">
        <v>9377.42</v>
      </c>
      <c r="P1605" s="43">
        <f>IF(Table22[[#This Row],[Discount Applied]],Table22[[#This Row],[Total Sales (in USD)]]*(1-Table22[[#This Row],[Discount Percentage (%)]]/100),Table22[[#This Row],[Total Sales (in USD)]])</f>
        <v>7571.3289080000004</v>
      </c>
      <c r="Q1605" s="66">
        <f>SQRT(AVERAGE((Table22[[#This Row],[Net Sales (after discount) (in USD)]]-AVERAGE(Table22[Net Sales (after discount) (in USD)]))^2))</f>
        <v>28940.031655764538</v>
      </c>
      <c r="R1605" s="18" t="b">
        <v>0</v>
      </c>
      <c r="S1605" s="40">
        <v>19.260000000000002</v>
      </c>
      <c r="T1605" s="18" t="b">
        <v>1</v>
      </c>
      <c r="U1605" s="25">
        <v>45336</v>
      </c>
      <c r="V1605" s="63" t="str">
        <f>IF(MONTH(Table22[[#This Row],[Sales Date]])&lt;=3,"Q1",IF(MONTH(Table22[[#This Row],[Sales Date]])&lt;=6,"Q2",IF(MONTH(Table22[[#This Row],[Sales Date]])&lt;=9,"Q3","Q4")))</f>
        <v>Q1</v>
      </c>
      <c r="W1605" s="64">
        <f>YEAR(Table22[[#This Row],[Sales Date]])</f>
        <v>2024</v>
      </c>
      <c r="X1605" s="23">
        <v>35</v>
      </c>
      <c r="Y1605" s="18" t="s">
        <v>49</v>
      </c>
      <c r="Z1605" s="18" t="s">
        <v>30</v>
      </c>
      <c r="AA1605" s="19" t="s">
        <v>36</v>
      </c>
    </row>
    <row r="1606" spans="1:27" x14ac:dyDescent="0.25">
      <c r="A1606" s="17" t="s">
        <v>1125</v>
      </c>
      <c r="B1606" s="18" t="s">
        <v>62</v>
      </c>
      <c r="C1606" s="63" t="str" cm="1">
        <f t="array" ref="C1606">_xlfn.SWITCH(Table22[[#This Row],[Country]],"USA","North America","Canada","North America","Brazil","South America","China","Asia","Japan","Asia","India","Asia","France","Europe","Germany","Europe","UK","Europe","Australia","Oceania","South America")</f>
        <v>Oceania</v>
      </c>
      <c r="D1606" s="18" t="s">
        <v>21</v>
      </c>
      <c r="E1606" s="18" t="s">
        <v>33</v>
      </c>
      <c r="F1606" s="18" t="s">
        <v>20</v>
      </c>
      <c r="G1606" s="18" t="s">
        <v>40</v>
      </c>
      <c r="H1606" s="64">
        <f>LEN(TRIM(Table22[[#This Row],[Country]]))</f>
        <v>9</v>
      </c>
      <c r="I1606" s="64">
        <f>LEN(TRIM(Table22[[#This Row],[Continent]]))</f>
        <v>7</v>
      </c>
      <c r="J1606" s="64">
        <f>LEN(TRIM(Table22[[#This Row],[Product]]))</f>
        <v>10</v>
      </c>
      <c r="K1606" s="64">
        <f>LEN(TRIM(Table22[[#This Row],[Sales Team]]))</f>
        <v>10</v>
      </c>
      <c r="L1606" s="23">
        <v>15</v>
      </c>
      <c r="M1606" s="65" t="str" cm="1">
        <f t="array" ref="M1606">_xlfn.IFS(Table22[[#This Row],[Units Sold]]&lt;40,"Critical",Table22[[#This Row],[Units Sold]]&lt;=50,"Poor",Table22[[#This Row],[Units Sold]]&lt;=60,"Low",Table22[[#This Row],[Units Sold]]&lt;=80,"Average",Table22[[#This Row],[Units Sold]]&lt;=90,"High",Table22[[#This Row],[Units Sold]]&lt;=95,"Excellent",Table22[[#This Row],[Units Sold]]&gt;95,"Outstanding")</f>
        <v>Critical</v>
      </c>
      <c r="N1606" s="29">
        <v>623.45000000000005</v>
      </c>
      <c r="O1606" s="29">
        <v>9351.75</v>
      </c>
      <c r="P1606" s="43">
        <f>IF(Table22[[#This Row],[Discount Applied]],Table22[[#This Row],[Total Sales (in USD)]]*(1-Table22[[#This Row],[Discount Percentage (%)]]/100),Table22[[#This Row],[Total Sales (in USD)]])</f>
        <v>9351.75</v>
      </c>
      <c r="Q1606" s="66">
        <f>SQRT(AVERAGE((Table22[[#This Row],[Net Sales (after discount) (in USD)]]-AVERAGE(Table22[Net Sales (after discount) (in USD)]))^2))</f>
        <v>27159.610563764538</v>
      </c>
      <c r="R1606" s="18" t="b">
        <v>0</v>
      </c>
      <c r="S1606" s="40">
        <v>25.71</v>
      </c>
      <c r="T1606" s="18" t="b">
        <v>0</v>
      </c>
      <c r="U1606" s="25">
        <v>45160</v>
      </c>
      <c r="V1606" s="63" t="str">
        <f>IF(MONTH(Table22[[#This Row],[Sales Date]])&lt;=3,"Q1",IF(MONTH(Table22[[#This Row],[Sales Date]])&lt;=6,"Q2",IF(MONTH(Table22[[#This Row],[Sales Date]])&lt;=9,"Q3","Q4")))</f>
        <v>Q3</v>
      </c>
      <c r="W1606" s="64">
        <f>YEAR(Table22[[#This Row],[Sales Date]])</f>
        <v>2023</v>
      </c>
      <c r="X1606" s="23">
        <v>67</v>
      </c>
      <c r="Y1606" s="18" t="s">
        <v>41</v>
      </c>
      <c r="Z1606" s="18" t="s">
        <v>42</v>
      </c>
      <c r="AA1606" s="19" t="s">
        <v>25</v>
      </c>
    </row>
    <row r="1607" spans="1:27" x14ac:dyDescent="0.25">
      <c r="A1607" s="17" t="s">
        <v>854</v>
      </c>
      <c r="B1607" s="18" t="s">
        <v>62</v>
      </c>
      <c r="C1607" s="63" t="str" cm="1">
        <f t="array" ref="C1607">_xlfn.SWITCH(Table22[[#This Row],[Country]],"USA","North America","Canada","North America","Brazil","South America","China","Asia","Japan","Asia","India","Asia","France","Europe","Germany","Europe","UK","Europe","Australia","Oceania","South America")</f>
        <v>Oceania</v>
      </c>
      <c r="D1607" s="18" t="s">
        <v>44</v>
      </c>
      <c r="E1607" s="18" t="s">
        <v>33</v>
      </c>
      <c r="F1607" s="18" t="s">
        <v>34</v>
      </c>
      <c r="G1607" s="18" t="s">
        <v>22</v>
      </c>
      <c r="H1607" s="64">
        <f>LEN(TRIM(Table22[[#This Row],[Country]]))</f>
        <v>9</v>
      </c>
      <c r="I1607" s="64">
        <f>LEN(TRIM(Table22[[#This Row],[Continent]]))</f>
        <v>7</v>
      </c>
      <c r="J1607" s="64">
        <f>LEN(TRIM(Table22[[#This Row],[Product]]))</f>
        <v>10</v>
      </c>
      <c r="K1607" s="64">
        <f>LEN(TRIM(Table22[[#This Row],[Sales Team]]))</f>
        <v>10</v>
      </c>
      <c r="L1607" s="23">
        <v>47</v>
      </c>
      <c r="M1607" s="65" t="str" cm="1">
        <f t="array" ref="M1607">_xlfn.IFS(Table22[[#This Row],[Units Sold]]&lt;40,"Critical",Table22[[#This Row],[Units Sold]]&lt;=50,"Poor",Table22[[#This Row],[Units Sold]]&lt;=60,"Low",Table22[[#This Row],[Units Sold]]&lt;=80,"Average",Table22[[#This Row],[Units Sold]]&lt;=90,"High",Table22[[#This Row],[Units Sold]]&lt;=95,"Excellent",Table22[[#This Row],[Units Sold]]&gt;95,"Outstanding")</f>
        <v>Poor</v>
      </c>
      <c r="N1607" s="29">
        <v>198.23</v>
      </c>
      <c r="O1607" s="29">
        <v>9316.81</v>
      </c>
      <c r="P1607" s="43">
        <f>IF(Table22[[#This Row],[Discount Applied]],Table22[[#This Row],[Total Sales (in USD)]]*(1-Table22[[#This Row],[Discount Percentage (%)]]/100),Table22[[#This Row],[Total Sales (in USD)]])</f>
        <v>9316.81</v>
      </c>
      <c r="Q1607" s="66">
        <f>SQRT(AVERAGE((Table22[[#This Row],[Net Sales (after discount) (in USD)]]-AVERAGE(Table22[Net Sales (after discount) (in USD)]))^2))</f>
        <v>27194.55056376454</v>
      </c>
      <c r="R1607" s="18" t="b">
        <v>0</v>
      </c>
      <c r="S1607" s="40">
        <v>28.48</v>
      </c>
      <c r="T1607" s="18" t="b">
        <v>0</v>
      </c>
      <c r="U1607" s="25">
        <v>45238</v>
      </c>
      <c r="V1607" s="63" t="str">
        <f>IF(MONTH(Table22[[#This Row],[Sales Date]])&lt;=3,"Q1",IF(MONTH(Table22[[#This Row],[Sales Date]])&lt;=6,"Q2",IF(MONTH(Table22[[#This Row],[Sales Date]])&lt;=9,"Q3","Q4")))</f>
        <v>Q4</v>
      </c>
      <c r="W1607" s="64">
        <f>YEAR(Table22[[#This Row],[Sales Date]])</f>
        <v>2023</v>
      </c>
      <c r="X1607" s="23">
        <v>41</v>
      </c>
      <c r="Y1607" s="18" t="s">
        <v>49</v>
      </c>
      <c r="Z1607" s="18" t="s">
        <v>30</v>
      </c>
      <c r="AA1607" s="19" t="s">
        <v>25</v>
      </c>
    </row>
    <row r="1608" spans="1:27" x14ac:dyDescent="0.25">
      <c r="A1608" s="17" t="s">
        <v>1794</v>
      </c>
      <c r="B1608" s="18" t="s">
        <v>38</v>
      </c>
      <c r="C1608" s="63" t="str" cm="1">
        <f t="array" ref="C1608">_xlfn.SWITCH(Table22[[#This Row],[Country]],"USA","North America","Canada","North America","Brazil","South America","China","Asia","Japan","Asia","India","Asia","France","Europe","Germany","Europe","UK","Europe","Australia","Oceania","South America")</f>
        <v>Europe</v>
      </c>
      <c r="D1608" s="18" t="s">
        <v>35</v>
      </c>
      <c r="E1608" s="18" t="s">
        <v>33</v>
      </c>
      <c r="F1608" s="18" t="s">
        <v>52</v>
      </c>
      <c r="G1608" s="18" t="s">
        <v>22</v>
      </c>
      <c r="H1608" s="64">
        <f>LEN(TRIM(Table22[[#This Row],[Country]]))</f>
        <v>6</v>
      </c>
      <c r="I1608" s="64">
        <f>LEN(TRIM(Table22[[#This Row],[Continent]]))</f>
        <v>6</v>
      </c>
      <c r="J1608" s="64">
        <f>LEN(TRIM(Table22[[#This Row],[Product]]))</f>
        <v>10</v>
      </c>
      <c r="K1608" s="64">
        <f>LEN(TRIM(Table22[[#This Row],[Sales Team]]))</f>
        <v>10</v>
      </c>
      <c r="L1608" s="23">
        <v>7</v>
      </c>
      <c r="M1608" s="65" t="str" cm="1">
        <f t="array" ref="M1608">_xlfn.IFS(Table22[[#This Row],[Units Sold]]&lt;40,"Critical",Table22[[#This Row],[Units Sold]]&lt;=50,"Poor",Table22[[#This Row],[Units Sold]]&lt;=60,"Low",Table22[[#This Row],[Units Sold]]&lt;=80,"Average",Table22[[#This Row],[Units Sold]]&lt;=90,"High",Table22[[#This Row],[Units Sold]]&lt;=95,"Excellent",Table22[[#This Row],[Units Sold]]&gt;95,"Outstanding")</f>
        <v>Critical</v>
      </c>
      <c r="N1608" s="29">
        <v>1328.5</v>
      </c>
      <c r="O1608" s="29">
        <v>9299.5</v>
      </c>
      <c r="P1608" s="43">
        <f>IF(Table22[[#This Row],[Discount Applied]],Table22[[#This Row],[Total Sales (in USD)]]*(1-Table22[[#This Row],[Discount Percentage (%)]]/100),Table22[[#This Row],[Total Sales (in USD)]])</f>
        <v>9299.5</v>
      </c>
      <c r="Q1608" s="66">
        <f>SQRT(AVERAGE((Table22[[#This Row],[Net Sales (after discount) (in USD)]]-AVERAGE(Table22[Net Sales (after discount) (in USD)]))^2))</f>
        <v>27211.860563764538</v>
      </c>
      <c r="R1608" s="18" t="b">
        <v>0</v>
      </c>
      <c r="S1608" s="40">
        <v>5.13</v>
      </c>
      <c r="T1608" s="18" t="b">
        <v>0</v>
      </c>
      <c r="U1608" s="25">
        <v>45277</v>
      </c>
      <c r="V1608" s="63" t="str">
        <f>IF(MONTH(Table22[[#This Row],[Sales Date]])&lt;=3,"Q1",IF(MONTH(Table22[[#This Row],[Sales Date]])&lt;=6,"Q2",IF(MONTH(Table22[[#This Row],[Sales Date]])&lt;=9,"Q3","Q4")))</f>
        <v>Q4</v>
      </c>
      <c r="W1608" s="64">
        <f>YEAR(Table22[[#This Row],[Sales Date]])</f>
        <v>2023</v>
      </c>
      <c r="X1608" s="23">
        <v>19</v>
      </c>
      <c r="Y1608" s="18" t="s">
        <v>49</v>
      </c>
      <c r="Z1608" s="18" t="s">
        <v>42</v>
      </c>
      <c r="AA1608" s="19" t="s">
        <v>36</v>
      </c>
    </row>
    <row r="1609" spans="1:27" x14ac:dyDescent="0.25">
      <c r="A1609" s="17" t="s">
        <v>846</v>
      </c>
      <c r="B1609" s="18" t="s">
        <v>76</v>
      </c>
      <c r="C1609" s="63" t="str" cm="1">
        <f t="array" ref="C1609">_xlfn.SWITCH(Table22[[#This Row],[Country]],"USA","North America","Canada","North America","Brazil","South America","China","Asia","Japan","Asia","India","Asia","France","Europe","Germany","Europe","UK","Europe","Australia","Oceania","South America")</f>
        <v>Asia</v>
      </c>
      <c r="D1609" s="18" t="s">
        <v>28</v>
      </c>
      <c r="E1609" s="18" t="s">
        <v>19</v>
      </c>
      <c r="F1609" s="18" t="s">
        <v>20</v>
      </c>
      <c r="G1609" s="18" t="s">
        <v>29</v>
      </c>
      <c r="H1609" s="64">
        <f>LEN(TRIM(Table22[[#This Row],[Country]]))</f>
        <v>5</v>
      </c>
      <c r="I1609" s="64">
        <f>LEN(TRIM(Table22[[#This Row],[Continent]]))</f>
        <v>4</v>
      </c>
      <c r="J1609" s="64">
        <f>LEN(TRIM(Table22[[#This Row],[Product]]))</f>
        <v>6</v>
      </c>
      <c r="K1609" s="64">
        <f>LEN(TRIM(Table22[[#This Row],[Sales Team]]))</f>
        <v>10</v>
      </c>
      <c r="L1609" s="23">
        <v>14</v>
      </c>
      <c r="M1609" s="65" t="str" cm="1">
        <f t="array" ref="M1609">_xlfn.IFS(Table22[[#This Row],[Units Sold]]&lt;40,"Critical",Table22[[#This Row],[Units Sold]]&lt;=50,"Poor",Table22[[#This Row],[Units Sold]]&lt;=60,"Low",Table22[[#This Row],[Units Sold]]&lt;=80,"Average",Table22[[#This Row],[Units Sold]]&lt;=90,"High",Table22[[#This Row],[Units Sold]]&lt;=95,"Excellent",Table22[[#This Row],[Units Sold]]&gt;95,"Outstanding")</f>
        <v>Critical</v>
      </c>
      <c r="N1609" s="29">
        <v>664.13</v>
      </c>
      <c r="O1609" s="29">
        <v>9297.82</v>
      </c>
      <c r="P1609" s="43">
        <f>IF(Table22[[#This Row],[Discount Applied]],Table22[[#This Row],[Total Sales (in USD)]]*(1-Table22[[#This Row],[Discount Percentage (%)]]/100),Table22[[#This Row],[Total Sales (in USD)]])</f>
        <v>8784.5803359999991</v>
      </c>
      <c r="Q1609" s="66">
        <f>SQRT(AVERAGE((Table22[[#This Row],[Net Sales (after discount) (in USD)]]-AVERAGE(Table22[Net Sales (after discount) (in USD)]))^2))</f>
        <v>27726.780227764539</v>
      </c>
      <c r="R1609" s="18" t="b">
        <v>1</v>
      </c>
      <c r="S1609" s="40">
        <v>5.52</v>
      </c>
      <c r="T1609" s="18" t="b">
        <v>1</v>
      </c>
      <c r="U1609" s="25">
        <v>45349</v>
      </c>
      <c r="V1609" s="63" t="str">
        <f>IF(MONTH(Table22[[#This Row],[Sales Date]])&lt;=3,"Q1",IF(MONTH(Table22[[#This Row],[Sales Date]])&lt;=6,"Q2",IF(MONTH(Table22[[#This Row],[Sales Date]])&lt;=9,"Q3","Q4")))</f>
        <v>Q1</v>
      </c>
      <c r="W1609" s="64">
        <f>YEAR(Table22[[#This Row],[Sales Date]])</f>
        <v>2024</v>
      </c>
      <c r="X1609" s="23">
        <v>19</v>
      </c>
      <c r="Y1609" s="18" t="s">
        <v>41</v>
      </c>
      <c r="Z1609" s="18" t="s">
        <v>56</v>
      </c>
      <c r="AA1609" s="19" t="s">
        <v>25</v>
      </c>
    </row>
    <row r="1610" spans="1:27" x14ac:dyDescent="0.25">
      <c r="A1610" s="17" t="s">
        <v>771</v>
      </c>
      <c r="B1610" s="18" t="s">
        <v>27</v>
      </c>
      <c r="C1610" s="63" t="str" cm="1">
        <f t="array" ref="C1610">_xlfn.SWITCH(Table22[[#This Row],[Country]],"USA","North America","Canada","North America","Brazil","South America","China","Asia","Japan","Asia","India","Asia","France","Europe","Germany","Europe","UK","Europe","Australia","Oceania","South America")</f>
        <v>Europe</v>
      </c>
      <c r="D1610" s="18" t="s">
        <v>28</v>
      </c>
      <c r="E1610" s="18" t="s">
        <v>39</v>
      </c>
      <c r="F1610" s="18" t="s">
        <v>64</v>
      </c>
      <c r="G1610" s="18" t="s">
        <v>22</v>
      </c>
      <c r="H1610" s="64">
        <f>LEN(TRIM(Table22[[#This Row],[Country]]))</f>
        <v>7</v>
      </c>
      <c r="I1610" s="64">
        <f>LEN(TRIM(Table22[[#This Row],[Continent]]))</f>
        <v>6</v>
      </c>
      <c r="J1610" s="64">
        <f>LEN(TRIM(Table22[[#This Row],[Product]]))</f>
        <v>10</v>
      </c>
      <c r="K1610" s="64">
        <f>LEN(TRIM(Table22[[#This Row],[Sales Team]]))</f>
        <v>10</v>
      </c>
      <c r="L1610" s="23">
        <v>20</v>
      </c>
      <c r="M1610" s="65" t="str" cm="1">
        <f t="array" ref="M1610">_xlfn.IFS(Table22[[#This Row],[Units Sold]]&lt;40,"Critical",Table22[[#This Row],[Units Sold]]&lt;=50,"Poor",Table22[[#This Row],[Units Sold]]&lt;=60,"Low",Table22[[#This Row],[Units Sold]]&lt;=80,"Average",Table22[[#This Row],[Units Sold]]&lt;=90,"High",Table22[[#This Row],[Units Sold]]&lt;=95,"Excellent",Table22[[#This Row],[Units Sold]]&gt;95,"Outstanding")</f>
        <v>Critical</v>
      </c>
      <c r="N1610" s="29">
        <v>463.77</v>
      </c>
      <c r="O1610" s="29">
        <v>9275.4</v>
      </c>
      <c r="P1610" s="43">
        <f>IF(Table22[[#This Row],[Discount Applied]],Table22[[#This Row],[Total Sales (in USD)]]*(1-Table22[[#This Row],[Discount Percentage (%)]]/100),Table22[[#This Row],[Total Sales (in USD)]])</f>
        <v>9275.4</v>
      </c>
      <c r="Q1610" s="66">
        <f>SQRT(AVERAGE((Table22[[#This Row],[Net Sales (after discount) (in USD)]]-AVERAGE(Table22[Net Sales (after discount) (in USD)]))^2))</f>
        <v>27235.960563764536</v>
      </c>
      <c r="R1610" s="18" t="b">
        <v>1</v>
      </c>
      <c r="S1610" s="40">
        <v>1.26</v>
      </c>
      <c r="T1610" s="18" t="b">
        <v>0</v>
      </c>
      <c r="U1610" s="25">
        <v>45485</v>
      </c>
      <c r="V1610" s="63" t="str">
        <f>IF(MONTH(Table22[[#This Row],[Sales Date]])&lt;=3,"Q1",IF(MONTH(Table22[[#This Row],[Sales Date]])&lt;=6,"Q2",IF(MONTH(Table22[[#This Row],[Sales Date]])&lt;=9,"Q3","Q4")))</f>
        <v>Q3</v>
      </c>
      <c r="W1610" s="64">
        <f>YEAR(Table22[[#This Row],[Sales Date]])</f>
        <v>2024</v>
      </c>
      <c r="X1610" s="23">
        <v>48</v>
      </c>
      <c r="Y1610" s="18" t="s">
        <v>49</v>
      </c>
      <c r="Z1610" s="18" t="s">
        <v>56</v>
      </c>
      <c r="AA1610" s="19" t="s">
        <v>36</v>
      </c>
    </row>
    <row r="1611" spans="1:27" x14ac:dyDescent="0.25">
      <c r="A1611" s="17" t="s">
        <v>904</v>
      </c>
      <c r="B1611" s="18" t="s">
        <v>27</v>
      </c>
      <c r="C1611" s="63" t="str" cm="1">
        <f t="array" ref="C1611">_xlfn.SWITCH(Table22[[#This Row],[Country]],"USA","North America","Canada","North America","Brazil","South America","China","Asia","Japan","Asia","India","Asia","France","Europe","Germany","Europe","UK","Europe","Australia","Oceania","South America")</f>
        <v>Europe</v>
      </c>
      <c r="D1611" s="18" t="s">
        <v>35</v>
      </c>
      <c r="E1611" s="18" t="s">
        <v>39</v>
      </c>
      <c r="F1611" s="18" t="s">
        <v>47</v>
      </c>
      <c r="G1611" s="18" t="s">
        <v>29</v>
      </c>
      <c r="H1611" s="64">
        <f>LEN(TRIM(Table22[[#This Row],[Country]]))</f>
        <v>7</v>
      </c>
      <c r="I1611" s="64">
        <f>LEN(TRIM(Table22[[#This Row],[Continent]]))</f>
        <v>6</v>
      </c>
      <c r="J1611" s="64">
        <f>LEN(TRIM(Table22[[#This Row],[Product]]))</f>
        <v>10</v>
      </c>
      <c r="K1611" s="64">
        <f>LEN(TRIM(Table22[[#This Row],[Sales Team]]))</f>
        <v>10</v>
      </c>
      <c r="L1611" s="23">
        <v>65</v>
      </c>
      <c r="M1611" s="65" t="str" cm="1">
        <f t="array" ref="M1611">_xlfn.IFS(Table22[[#This Row],[Units Sold]]&lt;40,"Critical",Table22[[#This Row],[Units Sold]]&lt;=50,"Poor",Table22[[#This Row],[Units Sold]]&lt;=60,"Low",Table22[[#This Row],[Units Sold]]&lt;=80,"Average",Table22[[#This Row],[Units Sold]]&lt;=90,"High",Table22[[#This Row],[Units Sold]]&lt;=95,"Excellent",Table22[[#This Row],[Units Sold]]&gt;95,"Outstanding")</f>
        <v>Average</v>
      </c>
      <c r="N1611" s="29">
        <v>142.22999999999999</v>
      </c>
      <c r="O1611" s="29">
        <v>9244.9500000000007</v>
      </c>
      <c r="P1611" s="43">
        <f>IF(Table22[[#This Row],[Discount Applied]],Table22[[#This Row],[Total Sales (in USD)]]*(1-Table22[[#This Row],[Discount Percentage (%)]]/100),Table22[[#This Row],[Total Sales (in USD)]])</f>
        <v>9244.9500000000007</v>
      </c>
      <c r="Q1611" s="66">
        <f>SQRT(AVERAGE((Table22[[#This Row],[Net Sales (after discount) (in USD)]]-AVERAGE(Table22[Net Sales (after discount) (in USD)]))^2))</f>
        <v>27266.410563764537</v>
      </c>
      <c r="R1611" s="18" t="b">
        <v>1</v>
      </c>
      <c r="S1611" s="40">
        <v>7.68</v>
      </c>
      <c r="T1611" s="18" t="b">
        <v>0</v>
      </c>
      <c r="U1611" s="25">
        <v>44995</v>
      </c>
      <c r="V1611" s="63" t="str">
        <f>IF(MONTH(Table22[[#This Row],[Sales Date]])&lt;=3,"Q1",IF(MONTH(Table22[[#This Row],[Sales Date]])&lt;=6,"Q2",IF(MONTH(Table22[[#This Row],[Sales Date]])&lt;=9,"Q3","Q4")))</f>
        <v>Q1</v>
      </c>
      <c r="W1611" s="64">
        <f>YEAR(Table22[[#This Row],[Sales Date]])</f>
        <v>2023</v>
      </c>
      <c r="X1611" s="23">
        <v>20</v>
      </c>
      <c r="Y1611" s="18" t="s">
        <v>41</v>
      </c>
      <c r="Z1611" s="18" t="s">
        <v>42</v>
      </c>
      <c r="AA1611" s="19" t="s">
        <v>36</v>
      </c>
    </row>
    <row r="1612" spans="1:27" x14ac:dyDescent="0.25">
      <c r="A1612" s="17" t="s">
        <v>770</v>
      </c>
      <c r="B1612" s="18" t="s">
        <v>38</v>
      </c>
      <c r="C1612" s="63" t="str" cm="1">
        <f t="array" ref="C1612">_xlfn.SWITCH(Table22[[#This Row],[Country]],"USA","North America","Canada","North America","Brazil","South America","China","Asia","Japan","Asia","India","Asia","France","Europe","Germany","Europe","UK","Europe","Australia","Oceania","South America")</f>
        <v>Europe</v>
      </c>
      <c r="D1612" s="18" t="s">
        <v>21</v>
      </c>
      <c r="E1612" s="18" t="s">
        <v>33</v>
      </c>
      <c r="F1612" s="18" t="s">
        <v>47</v>
      </c>
      <c r="G1612" s="18" t="s">
        <v>22</v>
      </c>
      <c r="H1612" s="64">
        <f>LEN(TRIM(Table22[[#This Row],[Country]]))</f>
        <v>6</v>
      </c>
      <c r="I1612" s="64">
        <f>LEN(TRIM(Table22[[#This Row],[Continent]]))</f>
        <v>6</v>
      </c>
      <c r="J1612" s="64">
        <f>LEN(TRIM(Table22[[#This Row],[Product]]))</f>
        <v>10</v>
      </c>
      <c r="K1612" s="64">
        <f>LEN(TRIM(Table22[[#This Row],[Sales Team]]))</f>
        <v>10</v>
      </c>
      <c r="L1612" s="23">
        <v>30</v>
      </c>
      <c r="M1612" s="65" t="str" cm="1">
        <f t="array" ref="M1612">_xlfn.IFS(Table22[[#This Row],[Units Sold]]&lt;40,"Critical",Table22[[#This Row],[Units Sold]]&lt;=50,"Poor",Table22[[#This Row],[Units Sold]]&lt;=60,"Low",Table22[[#This Row],[Units Sold]]&lt;=80,"Average",Table22[[#This Row],[Units Sold]]&lt;=90,"High",Table22[[#This Row],[Units Sold]]&lt;=95,"Excellent",Table22[[#This Row],[Units Sold]]&gt;95,"Outstanding")</f>
        <v>Critical</v>
      </c>
      <c r="N1612" s="29">
        <v>306.13</v>
      </c>
      <c r="O1612" s="29">
        <v>9183.9</v>
      </c>
      <c r="P1612" s="43">
        <f>IF(Table22[[#This Row],[Discount Applied]],Table22[[#This Row],[Total Sales (in USD)]]*(1-Table22[[#This Row],[Discount Percentage (%)]]/100),Table22[[#This Row],[Total Sales (in USD)]])</f>
        <v>9183.9</v>
      </c>
      <c r="Q1612" s="66">
        <f>SQRT(AVERAGE((Table22[[#This Row],[Net Sales (after discount) (in USD)]]-AVERAGE(Table22[Net Sales (after discount) (in USD)]))^2))</f>
        <v>27327.460563764536</v>
      </c>
      <c r="R1612" s="18" t="b">
        <v>0</v>
      </c>
      <c r="S1612" s="40">
        <v>6.04</v>
      </c>
      <c r="T1612" s="18" t="b">
        <v>0</v>
      </c>
      <c r="U1612" s="25">
        <v>45546</v>
      </c>
      <c r="V1612" s="63" t="str">
        <f>IF(MONTH(Table22[[#This Row],[Sales Date]])&lt;=3,"Q1",IF(MONTH(Table22[[#This Row],[Sales Date]])&lt;=6,"Q2",IF(MONTH(Table22[[#This Row],[Sales Date]])&lt;=9,"Q3","Q4")))</f>
        <v>Q3</v>
      </c>
      <c r="W1612" s="64">
        <f>YEAR(Table22[[#This Row],[Sales Date]])</f>
        <v>2024</v>
      </c>
      <c r="X1612" s="23">
        <v>38</v>
      </c>
      <c r="Y1612" s="18" t="s">
        <v>41</v>
      </c>
      <c r="Z1612" s="18" t="s">
        <v>42</v>
      </c>
      <c r="AA1612" s="19" t="s">
        <v>36</v>
      </c>
    </row>
    <row r="1613" spans="1:27" x14ac:dyDescent="0.25">
      <c r="A1613" s="17" t="s">
        <v>776</v>
      </c>
      <c r="B1613" s="18" t="s">
        <v>72</v>
      </c>
      <c r="C1613" s="63" t="str" cm="1">
        <f t="array" ref="C1613">_xlfn.SWITCH(Table22[[#This Row],[Country]],"USA","North America","Canada","North America","Brazil","South America","China","Asia","Japan","Asia","India","Asia","France","Europe","Germany","Europe","UK","Europe","Australia","Oceania","South America")</f>
        <v>North America</v>
      </c>
      <c r="D1613" s="18" t="s">
        <v>28</v>
      </c>
      <c r="E1613" s="18" t="s">
        <v>33</v>
      </c>
      <c r="F1613" s="18" t="s">
        <v>47</v>
      </c>
      <c r="G1613" s="18" t="s">
        <v>48</v>
      </c>
      <c r="H1613" s="64">
        <f>LEN(TRIM(Table22[[#This Row],[Country]]))</f>
        <v>3</v>
      </c>
      <c r="I1613" s="64">
        <f>LEN(TRIM(Table22[[#This Row],[Continent]]))</f>
        <v>13</v>
      </c>
      <c r="J1613" s="64">
        <f>LEN(TRIM(Table22[[#This Row],[Product]]))</f>
        <v>10</v>
      </c>
      <c r="K1613" s="64">
        <f>LEN(TRIM(Table22[[#This Row],[Sales Team]]))</f>
        <v>9</v>
      </c>
      <c r="L1613" s="23">
        <v>39</v>
      </c>
      <c r="M1613" s="65" t="str" cm="1">
        <f t="array" ref="M1613">_xlfn.IFS(Table22[[#This Row],[Units Sold]]&lt;40,"Critical",Table22[[#This Row],[Units Sold]]&lt;=50,"Poor",Table22[[#This Row],[Units Sold]]&lt;=60,"Low",Table22[[#This Row],[Units Sold]]&lt;=80,"Average",Table22[[#This Row],[Units Sold]]&lt;=90,"High",Table22[[#This Row],[Units Sold]]&lt;=95,"Excellent",Table22[[#This Row],[Units Sold]]&gt;95,"Outstanding")</f>
        <v>Critical</v>
      </c>
      <c r="N1613" s="29">
        <v>234.99</v>
      </c>
      <c r="O1613" s="29">
        <v>9164.61</v>
      </c>
      <c r="P1613" s="43">
        <f>IF(Table22[[#This Row],[Discount Applied]],Table22[[#This Row],[Total Sales (in USD)]]*(1-Table22[[#This Row],[Discount Percentage (%)]]/100),Table22[[#This Row],[Total Sales (in USD)]])</f>
        <v>9164.61</v>
      </c>
      <c r="Q1613" s="66">
        <f>SQRT(AVERAGE((Table22[[#This Row],[Net Sales (after discount) (in USD)]]-AVERAGE(Table22[Net Sales (after discount) (in USD)]))^2))</f>
        <v>27346.750563764537</v>
      </c>
      <c r="R1613" s="18" t="b">
        <v>0</v>
      </c>
      <c r="S1613" s="40">
        <v>8.76</v>
      </c>
      <c r="T1613" s="18" t="b">
        <v>0</v>
      </c>
      <c r="U1613" s="25">
        <v>45592</v>
      </c>
      <c r="V1613" s="63" t="str">
        <f>IF(MONTH(Table22[[#This Row],[Sales Date]])&lt;=3,"Q1",IF(MONTH(Table22[[#This Row],[Sales Date]])&lt;=6,"Q2",IF(MONTH(Table22[[#This Row],[Sales Date]])&lt;=9,"Q3","Q4")))</f>
        <v>Q4</v>
      </c>
      <c r="W1613" s="64">
        <f>YEAR(Table22[[#This Row],[Sales Date]])</f>
        <v>2024</v>
      </c>
      <c r="X1613" s="23">
        <v>69</v>
      </c>
      <c r="Y1613" s="18" t="s">
        <v>41</v>
      </c>
      <c r="Z1613" s="18" t="s">
        <v>24</v>
      </c>
      <c r="AA1613" s="19" t="s">
        <v>36</v>
      </c>
    </row>
    <row r="1614" spans="1:27" x14ac:dyDescent="0.25">
      <c r="A1614" s="17" t="s">
        <v>1689</v>
      </c>
      <c r="B1614" s="18" t="s">
        <v>76</v>
      </c>
      <c r="C1614" s="63" t="str" cm="1">
        <f t="array" ref="C1614">_xlfn.SWITCH(Table22[[#This Row],[Country]],"USA","North America","Canada","North America","Brazil","South America","China","Asia","Japan","Asia","India","Asia","France","Europe","Germany","Europe","UK","Europe","Australia","Oceania","South America")</f>
        <v>Asia</v>
      </c>
      <c r="D1614" s="18" t="s">
        <v>35</v>
      </c>
      <c r="E1614" s="18" t="s">
        <v>19</v>
      </c>
      <c r="F1614" s="18" t="s">
        <v>34</v>
      </c>
      <c r="G1614" s="18" t="s">
        <v>40</v>
      </c>
      <c r="H1614" s="64">
        <f>LEN(TRIM(Table22[[#This Row],[Country]]))</f>
        <v>5</v>
      </c>
      <c r="I1614" s="64">
        <f>LEN(TRIM(Table22[[#This Row],[Continent]]))</f>
        <v>4</v>
      </c>
      <c r="J1614" s="64">
        <f>LEN(TRIM(Table22[[#This Row],[Product]]))</f>
        <v>6</v>
      </c>
      <c r="K1614" s="64">
        <f>LEN(TRIM(Table22[[#This Row],[Sales Team]]))</f>
        <v>10</v>
      </c>
      <c r="L1614" s="23">
        <v>59</v>
      </c>
      <c r="M1614" s="65" t="str" cm="1">
        <f t="array" ref="M1614">_xlfn.IFS(Table22[[#This Row],[Units Sold]]&lt;40,"Critical",Table22[[#This Row],[Units Sold]]&lt;=50,"Poor",Table22[[#This Row],[Units Sold]]&lt;=60,"Low",Table22[[#This Row],[Units Sold]]&lt;=80,"Average",Table22[[#This Row],[Units Sold]]&lt;=90,"High",Table22[[#This Row],[Units Sold]]&lt;=95,"Excellent",Table22[[#This Row],[Units Sold]]&gt;95,"Outstanding")</f>
        <v>Low</v>
      </c>
      <c r="N1614" s="29">
        <v>155.19</v>
      </c>
      <c r="O1614" s="29">
        <v>9156.2099999999991</v>
      </c>
      <c r="P1614" s="43">
        <f>IF(Table22[[#This Row],[Discount Applied]],Table22[[#This Row],[Total Sales (in USD)]]*(1-Table22[[#This Row],[Discount Percentage (%)]]/100),Table22[[#This Row],[Total Sales (in USD)]])</f>
        <v>9156.2099999999991</v>
      </c>
      <c r="Q1614" s="66">
        <f>SQRT(AVERAGE((Table22[[#This Row],[Net Sales (after discount) (in USD)]]-AVERAGE(Table22[Net Sales (after discount) (in USD)]))^2))</f>
        <v>27355.150563764539</v>
      </c>
      <c r="R1614" s="18" t="b">
        <v>0</v>
      </c>
      <c r="S1614" s="40">
        <v>6.64</v>
      </c>
      <c r="T1614" s="18" t="b">
        <v>0</v>
      </c>
      <c r="U1614" s="25">
        <v>45501</v>
      </c>
      <c r="V1614" s="63" t="str">
        <f>IF(MONTH(Table22[[#This Row],[Sales Date]])&lt;=3,"Q1",IF(MONTH(Table22[[#This Row],[Sales Date]])&lt;=6,"Q2",IF(MONTH(Table22[[#This Row],[Sales Date]])&lt;=9,"Q3","Q4")))</f>
        <v>Q3</v>
      </c>
      <c r="W1614" s="64">
        <f>YEAR(Table22[[#This Row],[Sales Date]])</f>
        <v>2024</v>
      </c>
      <c r="X1614" s="23">
        <v>69</v>
      </c>
      <c r="Y1614" s="18" t="s">
        <v>41</v>
      </c>
      <c r="Z1614" s="18" t="s">
        <v>42</v>
      </c>
      <c r="AA1614" s="19" t="s">
        <v>25</v>
      </c>
    </row>
    <row r="1615" spans="1:27" x14ac:dyDescent="0.25">
      <c r="A1615" s="17" t="s">
        <v>742</v>
      </c>
      <c r="B1615" s="18" t="s">
        <v>72</v>
      </c>
      <c r="C1615" s="63" t="str" cm="1">
        <f t="array" ref="C1615">_xlfn.SWITCH(Table22[[#This Row],[Country]],"USA","North America","Canada","North America","Brazil","South America","China","Asia","Japan","Asia","India","Asia","France","Europe","Germany","Europe","UK","Europe","Australia","Oceania","South America")</f>
        <v>North America</v>
      </c>
      <c r="D1615" s="18" t="s">
        <v>28</v>
      </c>
      <c r="E1615" s="18" t="s">
        <v>39</v>
      </c>
      <c r="F1615" s="18" t="s">
        <v>52</v>
      </c>
      <c r="G1615" s="18" t="s">
        <v>40</v>
      </c>
      <c r="H1615" s="64">
        <f>LEN(TRIM(Table22[[#This Row],[Country]]))</f>
        <v>3</v>
      </c>
      <c r="I1615" s="64">
        <f>LEN(TRIM(Table22[[#This Row],[Continent]]))</f>
        <v>13</v>
      </c>
      <c r="J1615" s="64">
        <f>LEN(TRIM(Table22[[#This Row],[Product]]))</f>
        <v>10</v>
      </c>
      <c r="K1615" s="64">
        <f>LEN(TRIM(Table22[[#This Row],[Sales Team]]))</f>
        <v>10</v>
      </c>
      <c r="L1615" s="23">
        <v>16</v>
      </c>
      <c r="M1615" s="65" t="str" cm="1">
        <f t="array" ref="M1615">_xlfn.IFS(Table22[[#This Row],[Units Sold]]&lt;40,"Critical",Table22[[#This Row],[Units Sold]]&lt;=50,"Poor",Table22[[#This Row],[Units Sold]]&lt;=60,"Low",Table22[[#This Row],[Units Sold]]&lt;=80,"Average",Table22[[#This Row],[Units Sold]]&lt;=90,"High",Table22[[#This Row],[Units Sold]]&lt;=95,"Excellent",Table22[[#This Row],[Units Sold]]&gt;95,"Outstanding")</f>
        <v>Critical</v>
      </c>
      <c r="N1615" s="29">
        <v>572.24</v>
      </c>
      <c r="O1615" s="29">
        <v>9155.84</v>
      </c>
      <c r="P1615" s="43">
        <f>IF(Table22[[#This Row],[Discount Applied]],Table22[[#This Row],[Total Sales (in USD)]]*(1-Table22[[#This Row],[Discount Percentage (%)]]/100),Table22[[#This Row],[Total Sales (in USD)]])</f>
        <v>8230.1845759999997</v>
      </c>
      <c r="Q1615" s="66">
        <f>SQRT(AVERAGE((Table22[[#This Row],[Net Sales (after discount) (in USD)]]-AVERAGE(Table22[Net Sales (after discount) (in USD)]))^2))</f>
        <v>28281.175987764538</v>
      </c>
      <c r="R1615" s="18" t="b">
        <v>0</v>
      </c>
      <c r="S1615" s="40">
        <v>10.11</v>
      </c>
      <c r="T1615" s="18" t="b">
        <v>1</v>
      </c>
      <c r="U1615" s="25">
        <v>44981</v>
      </c>
      <c r="V1615" s="63" t="str">
        <f>IF(MONTH(Table22[[#This Row],[Sales Date]])&lt;=3,"Q1",IF(MONTH(Table22[[#This Row],[Sales Date]])&lt;=6,"Q2",IF(MONTH(Table22[[#This Row],[Sales Date]])&lt;=9,"Q3","Q4")))</f>
        <v>Q1</v>
      </c>
      <c r="W1615" s="64">
        <f>YEAR(Table22[[#This Row],[Sales Date]])</f>
        <v>2023</v>
      </c>
      <c r="X1615" s="23">
        <v>34</v>
      </c>
      <c r="Y1615" s="18" t="s">
        <v>23</v>
      </c>
      <c r="Z1615" s="18" t="s">
        <v>42</v>
      </c>
      <c r="AA1615" s="19" t="s">
        <v>36</v>
      </c>
    </row>
    <row r="1616" spans="1:27" x14ac:dyDescent="0.25">
      <c r="A1616" s="17" t="s">
        <v>1404</v>
      </c>
      <c r="B1616" s="18" t="s">
        <v>32</v>
      </c>
      <c r="C1616" s="63" t="str" cm="1">
        <f t="array" ref="C1616">_xlfn.SWITCH(Table22[[#This Row],[Country]],"USA","North America","Canada","North America","Brazil","South America","China","Asia","Japan","Asia","India","Asia","France","Europe","Germany","Europe","UK","Europe","Australia","Oceania","South America")</f>
        <v>Asia</v>
      </c>
      <c r="D1616" s="18" t="s">
        <v>28</v>
      </c>
      <c r="E1616" s="18" t="s">
        <v>33</v>
      </c>
      <c r="F1616" s="18" t="s">
        <v>64</v>
      </c>
      <c r="G1616" s="18" t="s">
        <v>40</v>
      </c>
      <c r="H1616" s="64">
        <f>LEN(TRIM(Table22[[#This Row],[Country]]))</f>
        <v>5</v>
      </c>
      <c r="I1616" s="64">
        <f>LEN(TRIM(Table22[[#This Row],[Continent]]))</f>
        <v>4</v>
      </c>
      <c r="J1616" s="64">
        <f>LEN(TRIM(Table22[[#This Row],[Product]]))</f>
        <v>10</v>
      </c>
      <c r="K1616" s="64">
        <f>LEN(TRIM(Table22[[#This Row],[Sales Team]]))</f>
        <v>10</v>
      </c>
      <c r="L1616" s="23">
        <v>21</v>
      </c>
      <c r="M1616" s="65" t="str" cm="1">
        <f t="array" ref="M1616">_xlfn.IFS(Table22[[#This Row],[Units Sold]]&lt;40,"Critical",Table22[[#This Row],[Units Sold]]&lt;=50,"Poor",Table22[[#This Row],[Units Sold]]&lt;=60,"Low",Table22[[#This Row],[Units Sold]]&lt;=80,"Average",Table22[[#This Row],[Units Sold]]&lt;=90,"High",Table22[[#This Row],[Units Sold]]&lt;=95,"Excellent",Table22[[#This Row],[Units Sold]]&gt;95,"Outstanding")</f>
        <v>Critical</v>
      </c>
      <c r="N1616" s="29">
        <v>435.55</v>
      </c>
      <c r="O1616" s="29">
        <v>9146.5499999999993</v>
      </c>
      <c r="P1616" s="43">
        <f>IF(Table22[[#This Row],[Discount Applied]],Table22[[#This Row],[Total Sales (in USD)]]*(1-Table22[[#This Row],[Discount Percentage (%)]]/100),Table22[[#This Row],[Total Sales (in USD)]])</f>
        <v>9146.5499999999993</v>
      </c>
      <c r="Q1616" s="66">
        <f>SQRT(AVERAGE((Table22[[#This Row],[Net Sales (after discount) (in USD)]]-AVERAGE(Table22[Net Sales (after discount) (in USD)]))^2))</f>
        <v>27364.810563764539</v>
      </c>
      <c r="R1616" s="18" t="b">
        <v>1</v>
      </c>
      <c r="S1616" s="40">
        <v>21.23</v>
      </c>
      <c r="T1616" s="18" t="b">
        <v>0</v>
      </c>
      <c r="U1616" s="25">
        <v>45531</v>
      </c>
      <c r="V1616" s="63" t="str">
        <f>IF(MONTH(Table22[[#This Row],[Sales Date]])&lt;=3,"Q1",IF(MONTH(Table22[[#This Row],[Sales Date]])&lt;=6,"Q2",IF(MONTH(Table22[[#This Row],[Sales Date]])&lt;=9,"Q3","Q4")))</f>
        <v>Q3</v>
      </c>
      <c r="W1616" s="64">
        <f>YEAR(Table22[[#This Row],[Sales Date]])</f>
        <v>2024</v>
      </c>
      <c r="X1616" s="23">
        <v>25</v>
      </c>
      <c r="Y1616" s="18" t="s">
        <v>49</v>
      </c>
      <c r="Z1616" s="18" t="s">
        <v>42</v>
      </c>
      <c r="AA1616" s="19" t="s">
        <v>25</v>
      </c>
    </row>
    <row r="1617" spans="1:27" x14ac:dyDescent="0.25">
      <c r="A1617" s="17" t="s">
        <v>808</v>
      </c>
      <c r="B1617" s="18" t="s">
        <v>72</v>
      </c>
      <c r="C1617" s="63" t="str" cm="1">
        <f t="array" ref="C1617">_xlfn.SWITCH(Table22[[#This Row],[Country]],"USA","North America","Canada","North America","Brazil","South America","China","Asia","Japan","Asia","India","Asia","France","Europe","Germany","Europe","UK","Europe","Australia","Oceania","South America")</f>
        <v>North America</v>
      </c>
      <c r="D1617" s="18" t="s">
        <v>28</v>
      </c>
      <c r="E1617" s="18" t="s">
        <v>19</v>
      </c>
      <c r="F1617" s="18" t="s">
        <v>34</v>
      </c>
      <c r="G1617" s="18" t="s">
        <v>48</v>
      </c>
      <c r="H1617" s="64">
        <f>LEN(TRIM(Table22[[#This Row],[Country]]))</f>
        <v>3</v>
      </c>
      <c r="I1617" s="64">
        <f>LEN(TRIM(Table22[[#This Row],[Continent]]))</f>
        <v>13</v>
      </c>
      <c r="J1617" s="64">
        <f>LEN(TRIM(Table22[[#This Row],[Product]]))</f>
        <v>6</v>
      </c>
      <c r="K1617" s="64">
        <f>LEN(TRIM(Table22[[#This Row],[Sales Team]]))</f>
        <v>9</v>
      </c>
      <c r="L1617" s="23">
        <v>20</v>
      </c>
      <c r="M1617" s="65" t="str" cm="1">
        <f t="array" ref="M1617">_xlfn.IFS(Table22[[#This Row],[Units Sold]]&lt;40,"Critical",Table22[[#This Row],[Units Sold]]&lt;=50,"Poor",Table22[[#This Row],[Units Sold]]&lt;=60,"Low",Table22[[#This Row],[Units Sold]]&lt;=80,"Average",Table22[[#This Row],[Units Sold]]&lt;=90,"High",Table22[[#This Row],[Units Sold]]&lt;=95,"Excellent",Table22[[#This Row],[Units Sold]]&gt;95,"Outstanding")</f>
        <v>Critical</v>
      </c>
      <c r="N1617" s="29">
        <v>457.03</v>
      </c>
      <c r="O1617" s="29">
        <v>9140.6</v>
      </c>
      <c r="P1617" s="43">
        <f>IF(Table22[[#This Row],[Discount Applied]],Table22[[#This Row],[Total Sales (in USD)]]*(1-Table22[[#This Row],[Discount Percentage (%)]]/100),Table22[[#This Row],[Total Sales (in USD)]])</f>
        <v>7348.1283400000011</v>
      </c>
      <c r="Q1617" s="66">
        <f>SQRT(AVERAGE((Table22[[#This Row],[Net Sales (after discount) (in USD)]]-AVERAGE(Table22[Net Sales (after discount) (in USD)]))^2))</f>
        <v>29163.232223764535</v>
      </c>
      <c r="R1617" s="18" t="b">
        <v>0</v>
      </c>
      <c r="S1617" s="40">
        <v>19.61</v>
      </c>
      <c r="T1617" s="18" t="b">
        <v>1</v>
      </c>
      <c r="U1617" s="25">
        <v>45524</v>
      </c>
      <c r="V1617" s="63" t="str">
        <f>IF(MONTH(Table22[[#This Row],[Sales Date]])&lt;=3,"Q1",IF(MONTH(Table22[[#This Row],[Sales Date]])&lt;=6,"Q2",IF(MONTH(Table22[[#This Row],[Sales Date]])&lt;=9,"Q3","Q4")))</f>
        <v>Q3</v>
      </c>
      <c r="W1617" s="64">
        <f>YEAR(Table22[[#This Row],[Sales Date]])</f>
        <v>2024</v>
      </c>
      <c r="X1617" s="23">
        <v>35</v>
      </c>
      <c r="Y1617" s="18" t="s">
        <v>49</v>
      </c>
      <c r="Z1617" s="18" t="s">
        <v>42</v>
      </c>
      <c r="AA1617" s="19" t="s">
        <v>36</v>
      </c>
    </row>
    <row r="1618" spans="1:27" x14ac:dyDescent="0.25">
      <c r="A1618" s="17" t="s">
        <v>664</v>
      </c>
      <c r="B1618" s="18" t="s">
        <v>46</v>
      </c>
      <c r="C1618" s="63" t="str" cm="1">
        <f t="array" ref="C1618">_xlfn.SWITCH(Table22[[#This Row],[Country]],"USA","North America","Canada","North America","Brazil","South America","China","Asia","Japan","Asia","India","Asia","France","Europe","Germany","Europe","UK","Europe","Australia","Oceania","South America")</f>
        <v>South America</v>
      </c>
      <c r="D1618" s="18" t="s">
        <v>21</v>
      </c>
      <c r="E1618" s="18" t="s">
        <v>19</v>
      </c>
      <c r="F1618" s="18" t="s">
        <v>52</v>
      </c>
      <c r="G1618" s="18" t="s">
        <v>48</v>
      </c>
      <c r="H1618" s="64">
        <f>LEN(TRIM(Table22[[#This Row],[Country]]))</f>
        <v>6</v>
      </c>
      <c r="I1618" s="64">
        <f>LEN(TRIM(Table22[[#This Row],[Continent]]))</f>
        <v>13</v>
      </c>
      <c r="J1618" s="64">
        <f>LEN(TRIM(Table22[[#This Row],[Product]]))</f>
        <v>6</v>
      </c>
      <c r="K1618" s="64">
        <f>LEN(TRIM(Table22[[#This Row],[Sales Team]]))</f>
        <v>9</v>
      </c>
      <c r="L1618" s="23">
        <v>97</v>
      </c>
      <c r="M1618" s="65" t="str" cm="1">
        <f t="array" ref="M1618">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618" s="29">
        <v>94.05</v>
      </c>
      <c r="O1618" s="29">
        <v>9122.85</v>
      </c>
      <c r="P1618" s="43">
        <f>IF(Table22[[#This Row],[Discount Applied]],Table22[[#This Row],[Total Sales (in USD)]]*(1-Table22[[#This Row],[Discount Percentage (%)]]/100),Table22[[#This Row],[Total Sales (in USD)]])</f>
        <v>9122.85</v>
      </c>
      <c r="Q1618" s="66">
        <f>SQRT(AVERAGE((Table22[[#This Row],[Net Sales (after discount) (in USD)]]-AVERAGE(Table22[Net Sales (after discount) (in USD)]))^2))</f>
        <v>27388.510563764539</v>
      </c>
      <c r="R1618" s="18" t="b">
        <v>1</v>
      </c>
      <c r="S1618" s="40">
        <v>7.27</v>
      </c>
      <c r="T1618" s="18" t="b">
        <v>0</v>
      </c>
      <c r="U1618" s="25">
        <v>45332</v>
      </c>
      <c r="V1618" s="63" t="str">
        <f>IF(MONTH(Table22[[#This Row],[Sales Date]])&lt;=3,"Q1",IF(MONTH(Table22[[#This Row],[Sales Date]])&lt;=6,"Q2",IF(MONTH(Table22[[#This Row],[Sales Date]])&lt;=9,"Q3","Q4")))</f>
        <v>Q1</v>
      </c>
      <c r="W1618" s="64">
        <f>YEAR(Table22[[#This Row],[Sales Date]])</f>
        <v>2024</v>
      </c>
      <c r="X1618" s="23">
        <v>24</v>
      </c>
      <c r="Y1618" s="18" t="s">
        <v>49</v>
      </c>
      <c r="Z1618" s="18" t="s">
        <v>24</v>
      </c>
      <c r="AA1618" s="19" t="s">
        <v>36</v>
      </c>
    </row>
    <row r="1619" spans="1:27" x14ac:dyDescent="0.25">
      <c r="A1619" s="17" t="s">
        <v>750</v>
      </c>
      <c r="B1619" s="18" t="s">
        <v>66</v>
      </c>
      <c r="C1619" s="63" t="str" cm="1">
        <f t="array" ref="C1619">_xlfn.SWITCH(Table22[[#This Row],[Country]],"USA","North America","Canada","North America","Brazil","South America","China","Asia","Japan","Asia","India","Asia","France","Europe","Germany","Europe","UK","Europe","Australia","Oceania","South America")</f>
        <v>North America</v>
      </c>
      <c r="D1619" s="18" t="s">
        <v>44</v>
      </c>
      <c r="E1619" s="18" t="s">
        <v>39</v>
      </c>
      <c r="F1619" s="18" t="s">
        <v>47</v>
      </c>
      <c r="G1619" s="18" t="s">
        <v>40</v>
      </c>
      <c r="H1619" s="64">
        <f>LEN(TRIM(Table22[[#This Row],[Country]]))</f>
        <v>6</v>
      </c>
      <c r="I1619" s="64">
        <f>LEN(TRIM(Table22[[#This Row],[Continent]]))</f>
        <v>13</v>
      </c>
      <c r="J1619" s="64">
        <f>LEN(TRIM(Table22[[#This Row],[Product]]))</f>
        <v>10</v>
      </c>
      <c r="K1619" s="64">
        <f>LEN(TRIM(Table22[[#This Row],[Sales Team]]))</f>
        <v>10</v>
      </c>
      <c r="L1619" s="23">
        <v>14</v>
      </c>
      <c r="M1619" s="65" t="str" cm="1">
        <f t="array" ref="M1619">_xlfn.IFS(Table22[[#This Row],[Units Sold]]&lt;40,"Critical",Table22[[#This Row],[Units Sold]]&lt;=50,"Poor",Table22[[#This Row],[Units Sold]]&lt;=60,"Low",Table22[[#This Row],[Units Sold]]&lt;=80,"Average",Table22[[#This Row],[Units Sold]]&lt;=90,"High",Table22[[#This Row],[Units Sold]]&lt;=95,"Excellent",Table22[[#This Row],[Units Sold]]&gt;95,"Outstanding")</f>
        <v>Critical</v>
      </c>
      <c r="N1619" s="29">
        <v>650.25</v>
      </c>
      <c r="O1619" s="29">
        <v>9103.5</v>
      </c>
      <c r="P1619" s="43">
        <f>IF(Table22[[#This Row],[Discount Applied]],Table22[[#This Row],[Total Sales (in USD)]]*(1-Table22[[#This Row],[Discount Percentage (%)]]/100),Table22[[#This Row],[Total Sales (in USD)]])</f>
        <v>6752.0659500000002</v>
      </c>
      <c r="Q1619" s="66">
        <f>SQRT(AVERAGE((Table22[[#This Row],[Net Sales (after discount) (in USD)]]-AVERAGE(Table22[Net Sales (after discount) (in USD)]))^2))</f>
        <v>29759.294613764538</v>
      </c>
      <c r="R1619" s="18" t="b">
        <v>0</v>
      </c>
      <c r="S1619" s="40">
        <v>25.83</v>
      </c>
      <c r="T1619" s="18" t="b">
        <v>1</v>
      </c>
      <c r="U1619" s="25">
        <v>45348</v>
      </c>
      <c r="V1619" s="63" t="str">
        <f>IF(MONTH(Table22[[#This Row],[Sales Date]])&lt;=3,"Q1",IF(MONTH(Table22[[#This Row],[Sales Date]])&lt;=6,"Q2",IF(MONTH(Table22[[#This Row],[Sales Date]])&lt;=9,"Q3","Q4")))</f>
        <v>Q1</v>
      </c>
      <c r="W1619" s="64">
        <f>YEAR(Table22[[#This Row],[Sales Date]])</f>
        <v>2024</v>
      </c>
      <c r="X1619" s="23">
        <v>21</v>
      </c>
      <c r="Y1619" s="18" t="s">
        <v>41</v>
      </c>
      <c r="Z1619" s="18" t="s">
        <v>24</v>
      </c>
      <c r="AA1619" s="19" t="s">
        <v>36</v>
      </c>
    </row>
    <row r="1620" spans="1:27" x14ac:dyDescent="0.25">
      <c r="A1620" s="17" t="s">
        <v>1588</v>
      </c>
      <c r="B1620" s="18" t="s">
        <v>66</v>
      </c>
      <c r="C1620" s="63" t="str" cm="1">
        <f t="array" ref="C1620">_xlfn.SWITCH(Table22[[#This Row],[Country]],"USA","North America","Canada","North America","Brazil","South America","China","Asia","Japan","Asia","India","Asia","France","Europe","Germany","Europe","UK","Europe","Australia","Oceania","South America")</f>
        <v>North America</v>
      </c>
      <c r="D1620" s="18" t="s">
        <v>21</v>
      </c>
      <c r="E1620" s="18" t="s">
        <v>19</v>
      </c>
      <c r="F1620" s="18" t="s">
        <v>34</v>
      </c>
      <c r="G1620" s="18" t="s">
        <v>40</v>
      </c>
      <c r="H1620" s="64">
        <f>LEN(TRIM(Table22[[#This Row],[Country]]))</f>
        <v>6</v>
      </c>
      <c r="I1620" s="64">
        <f>LEN(TRIM(Table22[[#This Row],[Continent]]))</f>
        <v>13</v>
      </c>
      <c r="J1620" s="64">
        <f>LEN(TRIM(Table22[[#This Row],[Product]]))</f>
        <v>6</v>
      </c>
      <c r="K1620" s="64">
        <f>LEN(TRIM(Table22[[#This Row],[Sales Team]]))</f>
        <v>10</v>
      </c>
      <c r="L1620" s="23">
        <v>19</v>
      </c>
      <c r="M1620" s="65" t="str" cm="1">
        <f t="array" ref="M1620">_xlfn.IFS(Table22[[#This Row],[Units Sold]]&lt;40,"Critical",Table22[[#This Row],[Units Sold]]&lt;=50,"Poor",Table22[[#This Row],[Units Sold]]&lt;=60,"Low",Table22[[#This Row],[Units Sold]]&lt;=80,"Average",Table22[[#This Row],[Units Sold]]&lt;=90,"High",Table22[[#This Row],[Units Sold]]&lt;=95,"Excellent",Table22[[#This Row],[Units Sold]]&gt;95,"Outstanding")</f>
        <v>Critical</v>
      </c>
      <c r="N1620" s="29">
        <v>478.62</v>
      </c>
      <c r="O1620" s="29">
        <v>9093.7800000000007</v>
      </c>
      <c r="P1620" s="43">
        <f>IF(Table22[[#This Row],[Discount Applied]],Table22[[#This Row],[Total Sales (in USD)]]*(1-Table22[[#This Row],[Discount Percentage (%)]]/100),Table22[[#This Row],[Total Sales (in USD)]])</f>
        <v>6996.7543320000004</v>
      </c>
      <c r="Q1620" s="66">
        <f>SQRT(AVERAGE((Table22[[#This Row],[Net Sales (after discount) (in USD)]]-AVERAGE(Table22[Net Sales (after discount) (in USD)]))^2))</f>
        <v>29514.606231764537</v>
      </c>
      <c r="R1620" s="18" t="b">
        <v>1</v>
      </c>
      <c r="S1620" s="40">
        <v>23.06</v>
      </c>
      <c r="T1620" s="18" t="b">
        <v>1</v>
      </c>
      <c r="U1620" s="25">
        <v>44939</v>
      </c>
      <c r="V1620" s="63" t="str">
        <f>IF(MONTH(Table22[[#This Row],[Sales Date]])&lt;=3,"Q1",IF(MONTH(Table22[[#This Row],[Sales Date]])&lt;=6,"Q2",IF(MONTH(Table22[[#This Row],[Sales Date]])&lt;=9,"Q3","Q4")))</f>
        <v>Q1</v>
      </c>
      <c r="W1620" s="64">
        <f>YEAR(Table22[[#This Row],[Sales Date]])</f>
        <v>2023</v>
      </c>
      <c r="X1620" s="23">
        <v>54</v>
      </c>
      <c r="Y1620" s="18" t="s">
        <v>23</v>
      </c>
      <c r="Z1620" s="18" t="s">
        <v>30</v>
      </c>
      <c r="AA1620" s="19" t="s">
        <v>25</v>
      </c>
    </row>
    <row r="1621" spans="1:27" x14ac:dyDescent="0.25">
      <c r="A1621" s="17" t="s">
        <v>86</v>
      </c>
      <c r="B1621" s="18" t="s">
        <v>18</v>
      </c>
      <c r="C1621" s="63" t="str" cm="1">
        <f t="array" ref="C1621">_xlfn.SWITCH(Table22[[#This Row],[Country]],"USA","North America","Canada","North America","Brazil","South America","China","Asia","Japan","Asia","India","Asia","France","Europe","Germany","Europe","UK","Europe","Australia","Oceania","South America")</f>
        <v>Asia</v>
      </c>
      <c r="D1621" s="18" t="s">
        <v>28</v>
      </c>
      <c r="E1621" s="18" t="s">
        <v>19</v>
      </c>
      <c r="F1621" s="18" t="s">
        <v>34</v>
      </c>
      <c r="G1621" s="18" t="s">
        <v>40</v>
      </c>
      <c r="H1621" s="64">
        <f>LEN(TRIM(Table22[[#This Row],[Country]]))</f>
        <v>5</v>
      </c>
      <c r="I1621" s="64">
        <f>LEN(TRIM(Table22[[#This Row],[Continent]]))</f>
        <v>4</v>
      </c>
      <c r="J1621" s="64">
        <f>LEN(TRIM(Table22[[#This Row],[Product]]))</f>
        <v>6</v>
      </c>
      <c r="K1621" s="64">
        <f>LEN(TRIM(Table22[[#This Row],[Sales Team]]))</f>
        <v>10</v>
      </c>
      <c r="L1621" s="23">
        <v>22</v>
      </c>
      <c r="M1621" s="65" t="str" cm="1">
        <f t="array" ref="M1621">_xlfn.IFS(Table22[[#This Row],[Units Sold]]&lt;40,"Critical",Table22[[#This Row],[Units Sold]]&lt;=50,"Poor",Table22[[#This Row],[Units Sold]]&lt;=60,"Low",Table22[[#This Row],[Units Sold]]&lt;=80,"Average",Table22[[#This Row],[Units Sold]]&lt;=90,"High",Table22[[#This Row],[Units Sold]]&lt;=95,"Excellent",Table22[[#This Row],[Units Sold]]&gt;95,"Outstanding")</f>
        <v>Critical</v>
      </c>
      <c r="N1621" s="29">
        <v>412.62</v>
      </c>
      <c r="O1621" s="29">
        <v>9077.64</v>
      </c>
      <c r="P1621" s="43">
        <f>IF(Table22[[#This Row],[Discount Applied]],Table22[[#This Row],[Total Sales (in USD)]]*(1-Table22[[#This Row],[Discount Percentage (%)]]/100),Table22[[#This Row],[Total Sales (in USD)]])</f>
        <v>6658.4489400000002</v>
      </c>
      <c r="Q1621" s="66">
        <f>SQRT(AVERAGE((Table22[[#This Row],[Net Sales (after discount) (in USD)]]-AVERAGE(Table22[Net Sales (after discount) (in USD)]))^2))</f>
        <v>29852.911623764536</v>
      </c>
      <c r="R1621" s="18" t="b">
        <v>0</v>
      </c>
      <c r="S1621" s="40">
        <v>26.65</v>
      </c>
      <c r="T1621" s="18" t="b">
        <v>1</v>
      </c>
      <c r="U1621" s="25">
        <v>45427</v>
      </c>
      <c r="V1621" s="63" t="str">
        <f>IF(MONTH(Table22[[#This Row],[Sales Date]])&lt;=3,"Q1",IF(MONTH(Table22[[#This Row],[Sales Date]])&lt;=6,"Q2",IF(MONTH(Table22[[#This Row],[Sales Date]])&lt;=9,"Q3","Q4")))</f>
        <v>Q2</v>
      </c>
      <c r="W1621" s="64">
        <f>YEAR(Table22[[#This Row],[Sales Date]])</f>
        <v>2024</v>
      </c>
      <c r="X1621" s="23">
        <v>32</v>
      </c>
      <c r="Y1621" s="18" t="s">
        <v>41</v>
      </c>
      <c r="Z1621" s="18" t="s">
        <v>56</v>
      </c>
      <c r="AA1621" s="19" t="s">
        <v>25</v>
      </c>
    </row>
    <row r="1622" spans="1:27" x14ac:dyDescent="0.25">
      <c r="A1622" s="17" t="s">
        <v>979</v>
      </c>
      <c r="B1622" s="18" t="s">
        <v>32</v>
      </c>
      <c r="C1622" s="63" t="str" cm="1">
        <f t="array" ref="C1622">_xlfn.SWITCH(Table22[[#This Row],[Country]],"USA","North America","Canada","North America","Brazil","South America","China","Asia","Japan","Asia","India","Asia","France","Europe","Germany","Europe","UK","Europe","Australia","Oceania","South America")</f>
        <v>Asia</v>
      </c>
      <c r="D1622" s="18" t="s">
        <v>35</v>
      </c>
      <c r="E1622" s="18" t="s">
        <v>33</v>
      </c>
      <c r="F1622" s="18" t="s">
        <v>64</v>
      </c>
      <c r="G1622" s="18" t="s">
        <v>22</v>
      </c>
      <c r="H1622" s="64">
        <f>LEN(TRIM(Table22[[#This Row],[Country]]))</f>
        <v>5</v>
      </c>
      <c r="I1622" s="64">
        <f>LEN(TRIM(Table22[[#This Row],[Continent]]))</f>
        <v>4</v>
      </c>
      <c r="J1622" s="64">
        <f>LEN(TRIM(Table22[[#This Row],[Product]]))</f>
        <v>10</v>
      </c>
      <c r="K1622" s="64">
        <f>LEN(TRIM(Table22[[#This Row],[Sales Team]]))</f>
        <v>10</v>
      </c>
      <c r="L1622" s="23">
        <v>95</v>
      </c>
      <c r="M1622" s="65" t="str" cm="1">
        <f t="array" ref="M1622">_xlfn.IFS(Table22[[#This Row],[Units Sold]]&lt;40,"Critical",Table22[[#This Row],[Units Sold]]&lt;=50,"Poor",Table22[[#This Row],[Units Sold]]&lt;=60,"Low",Table22[[#This Row],[Units Sold]]&lt;=80,"Average",Table22[[#This Row],[Units Sold]]&lt;=90,"High",Table22[[#This Row],[Units Sold]]&lt;=95,"Excellent",Table22[[#This Row],[Units Sold]]&gt;95,"Outstanding")</f>
        <v>Excellent</v>
      </c>
      <c r="N1622" s="29">
        <v>94.62</v>
      </c>
      <c r="O1622" s="29">
        <v>8988.9</v>
      </c>
      <c r="P1622" s="43">
        <f>IF(Table22[[#This Row],[Discount Applied]],Table22[[#This Row],[Total Sales (in USD)]]*(1-Table22[[#This Row],[Discount Percentage (%)]]/100),Table22[[#This Row],[Total Sales (in USD)]])</f>
        <v>8988.9</v>
      </c>
      <c r="Q1622" s="66">
        <f>SQRT(AVERAGE((Table22[[#This Row],[Net Sales (after discount) (in USD)]]-AVERAGE(Table22[Net Sales (after discount) (in USD)]))^2))</f>
        <v>27522.460563764536</v>
      </c>
      <c r="R1622" s="18" t="b">
        <v>0</v>
      </c>
      <c r="S1622" s="40">
        <v>2.81</v>
      </c>
      <c r="T1622" s="18" t="b">
        <v>0</v>
      </c>
      <c r="U1622" s="25">
        <v>45347</v>
      </c>
      <c r="V1622" s="63" t="str">
        <f>IF(MONTH(Table22[[#This Row],[Sales Date]])&lt;=3,"Q1",IF(MONTH(Table22[[#This Row],[Sales Date]])&lt;=6,"Q2",IF(MONTH(Table22[[#This Row],[Sales Date]])&lt;=9,"Q3","Q4")))</f>
        <v>Q1</v>
      </c>
      <c r="W1622" s="64">
        <f>YEAR(Table22[[#This Row],[Sales Date]])</f>
        <v>2024</v>
      </c>
      <c r="X1622" s="23">
        <v>44</v>
      </c>
      <c r="Y1622" s="18" t="s">
        <v>23</v>
      </c>
      <c r="Z1622" s="18" t="s">
        <v>42</v>
      </c>
      <c r="AA1622" s="19" t="s">
        <v>36</v>
      </c>
    </row>
    <row r="1623" spans="1:27" x14ac:dyDescent="0.25">
      <c r="A1623" s="17" t="s">
        <v>1809</v>
      </c>
      <c r="B1623" s="18" t="s">
        <v>27</v>
      </c>
      <c r="C1623" s="63" t="str" cm="1">
        <f t="array" ref="C1623">_xlfn.SWITCH(Table22[[#This Row],[Country]],"USA","North America","Canada","North America","Brazil","South America","China","Asia","Japan","Asia","India","Asia","France","Europe","Germany","Europe","UK","Europe","Australia","Oceania","South America")</f>
        <v>Europe</v>
      </c>
      <c r="D1623" s="18" t="s">
        <v>28</v>
      </c>
      <c r="E1623" s="18" t="s">
        <v>39</v>
      </c>
      <c r="F1623" s="18" t="s">
        <v>47</v>
      </c>
      <c r="G1623" s="18" t="s">
        <v>22</v>
      </c>
      <c r="H1623" s="64">
        <f>LEN(TRIM(Table22[[#This Row],[Country]]))</f>
        <v>7</v>
      </c>
      <c r="I1623" s="64">
        <f>LEN(TRIM(Table22[[#This Row],[Continent]]))</f>
        <v>6</v>
      </c>
      <c r="J1623" s="64">
        <f>LEN(TRIM(Table22[[#This Row],[Product]]))</f>
        <v>10</v>
      </c>
      <c r="K1623" s="64">
        <f>LEN(TRIM(Table22[[#This Row],[Sales Team]]))</f>
        <v>10</v>
      </c>
      <c r="L1623" s="23">
        <v>16</v>
      </c>
      <c r="M1623" s="65" t="str" cm="1">
        <f t="array" ref="M1623">_xlfn.IFS(Table22[[#This Row],[Units Sold]]&lt;40,"Critical",Table22[[#This Row],[Units Sold]]&lt;=50,"Poor",Table22[[#This Row],[Units Sold]]&lt;=60,"Low",Table22[[#This Row],[Units Sold]]&lt;=80,"Average",Table22[[#This Row],[Units Sold]]&lt;=90,"High",Table22[[#This Row],[Units Sold]]&lt;=95,"Excellent",Table22[[#This Row],[Units Sold]]&gt;95,"Outstanding")</f>
        <v>Critical</v>
      </c>
      <c r="N1623" s="29">
        <v>561.03</v>
      </c>
      <c r="O1623" s="29">
        <v>8976.48</v>
      </c>
      <c r="P1623" s="43">
        <f>IF(Table22[[#This Row],[Discount Applied]],Table22[[#This Row],[Total Sales (in USD)]]*(1-Table22[[#This Row],[Discount Percentage (%)]]/100),Table22[[#This Row],[Total Sales (in USD)]])</f>
        <v>8058.1860959999995</v>
      </c>
      <c r="Q1623" s="66">
        <f>SQRT(AVERAGE((Table22[[#This Row],[Net Sales (after discount) (in USD)]]-AVERAGE(Table22[Net Sales (after discount) (in USD)]))^2))</f>
        <v>28453.17446776454</v>
      </c>
      <c r="R1623" s="18" t="b">
        <v>1</v>
      </c>
      <c r="S1623" s="40">
        <v>10.23</v>
      </c>
      <c r="T1623" s="18" t="b">
        <v>1</v>
      </c>
      <c r="U1623" s="25">
        <v>45293</v>
      </c>
      <c r="V1623" s="63" t="str">
        <f>IF(MONTH(Table22[[#This Row],[Sales Date]])&lt;=3,"Q1",IF(MONTH(Table22[[#This Row],[Sales Date]])&lt;=6,"Q2",IF(MONTH(Table22[[#This Row],[Sales Date]])&lt;=9,"Q3","Q4")))</f>
        <v>Q1</v>
      </c>
      <c r="W1623" s="64">
        <f>YEAR(Table22[[#This Row],[Sales Date]])</f>
        <v>2024</v>
      </c>
      <c r="X1623" s="23">
        <v>67</v>
      </c>
      <c r="Y1623" s="18" t="s">
        <v>49</v>
      </c>
      <c r="Z1623" s="18" t="s">
        <v>56</v>
      </c>
      <c r="AA1623" s="19" t="s">
        <v>36</v>
      </c>
    </row>
    <row r="1624" spans="1:27" x14ac:dyDescent="0.25">
      <c r="A1624" s="17" t="s">
        <v>1287</v>
      </c>
      <c r="B1624" s="18" t="s">
        <v>62</v>
      </c>
      <c r="C1624" s="63" t="str" cm="1">
        <f t="array" ref="C1624">_xlfn.SWITCH(Table22[[#This Row],[Country]],"USA","North America","Canada","North America","Brazil","South America","China","Asia","Japan","Asia","India","Asia","France","Europe","Germany","Europe","UK","Europe","Australia","Oceania","South America")</f>
        <v>Oceania</v>
      </c>
      <c r="D1624" s="18" t="s">
        <v>21</v>
      </c>
      <c r="E1624" s="18" t="s">
        <v>39</v>
      </c>
      <c r="F1624" s="18" t="s">
        <v>20</v>
      </c>
      <c r="G1624" s="18" t="s">
        <v>29</v>
      </c>
      <c r="H1624" s="64">
        <f>LEN(TRIM(Table22[[#This Row],[Country]]))</f>
        <v>9</v>
      </c>
      <c r="I1624" s="64">
        <f>LEN(TRIM(Table22[[#This Row],[Continent]]))</f>
        <v>7</v>
      </c>
      <c r="J1624" s="64">
        <f>LEN(TRIM(Table22[[#This Row],[Product]]))</f>
        <v>10</v>
      </c>
      <c r="K1624" s="64">
        <f>LEN(TRIM(Table22[[#This Row],[Sales Team]]))</f>
        <v>10</v>
      </c>
      <c r="L1624" s="23">
        <v>7</v>
      </c>
      <c r="M1624" s="65" t="str" cm="1">
        <f t="array" ref="M1624">_xlfn.IFS(Table22[[#This Row],[Units Sold]]&lt;40,"Critical",Table22[[#This Row],[Units Sold]]&lt;=50,"Poor",Table22[[#This Row],[Units Sold]]&lt;=60,"Low",Table22[[#This Row],[Units Sold]]&lt;=80,"Average",Table22[[#This Row],[Units Sold]]&lt;=90,"High",Table22[[#This Row],[Units Sold]]&lt;=95,"Excellent",Table22[[#This Row],[Units Sold]]&gt;95,"Outstanding")</f>
        <v>Critical</v>
      </c>
      <c r="N1624" s="29">
        <v>1267.6600000000001</v>
      </c>
      <c r="O1624" s="29">
        <v>8873.6200000000008</v>
      </c>
      <c r="P1624" s="43">
        <f>IF(Table22[[#This Row],[Discount Applied]],Table22[[#This Row],[Total Sales (in USD)]]*(1-Table22[[#This Row],[Discount Percentage (%)]]/100),Table22[[#This Row],[Total Sales (in USD)]])</f>
        <v>8873.6200000000008</v>
      </c>
      <c r="Q1624" s="66">
        <f>SQRT(AVERAGE((Table22[[#This Row],[Net Sales (after discount) (in USD)]]-AVERAGE(Table22[Net Sales (after discount) (in USD)]))^2))</f>
        <v>27637.740563764535</v>
      </c>
      <c r="R1624" s="18" t="b">
        <v>1</v>
      </c>
      <c r="S1624" s="40">
        <v>8.02</v>
      </c>
      <c r="T1624" s="18" t="b">
        <v>0</v>
      </c>
      <c r="U1624" s="25">
        <v>45129</v>
      </c>
      <c r="V1624" s="63" t="str">
        <f>IF(MONTH(Table22[[#This Row],[Sales Date]])&lt;=3,"Q1",IF(MONTH(Table22[[#This Row],[Sales Date]])&lt;=6,"Q2",IF(MONTH(Table22[[#This Row],[Sales Date]])&lt;=9,"Q3","Q4")))</f>
        <v>Q3</v>
      </c>
      <c r="W1624" s="64">
        <f>YEAR(Table22[[#This Row],[Sales Date]])</f>
        <v>2023</v>
      </c>
      <c r="X1624" s="23">
        <v>52</v>
      </c>
      <c r="Y1624" s="18" t="s">
        <v>41</v>
      </c>
      <c r="Z1624" s="18" t="s">
        <v>24</v>
      </c>
      <c r="AA1624" s="19" t="s">
        <v>25</v>
      </c>
    </row>
    <row r="1625" spans="1:27" x14ac:dyDescent="0.25">
      <c r="A1625" s="17" t="s">
        <v>2038</v>
      </c>
      <c r="B1625" s="18" t="s">
        <v>62</v>
      </c>
      <c r="C1625" s="63" t="str" cm="1">
        <f t="array" ref="C1625">_xlfn.SWITCH(Table22[[#This Row],[Country]],"USA","North America","Canada","North America","Brazil","South America","China","Asia","Japan","Asia","India","Asia","France","Europe","Germany","Europe","UK","Europe","Australia","Oceania","South America")</f>
        <v>Oceania</v>
      </c>
      <c r="D1625" s="18" t="s">
        <v>28</v>
      </c>
      <c r="E1625" s="18" t="s">
        <v>33</v>
      </c>
      <c r="F1625" s="18" t="s">
        <v>52</v>
      </c>
      <c r="G1625" s="18" t="s">
        <v>40</v>
      </c>
      <c r="H1625" s="64">
        <f>LEN(TRIM(Table22[[#This Row],[Country]]))</f>
        <v>9</v>
      </c>
      <c r="I1625" s="64">
        <f>LEN(TRIM(Table22[[#This Row],[Continent]]))</f>
        <v>7</v>
      </c>
      <c r="J1625" s="64">
        <f>LEN(TRIM(Table22[[#This Row],[Product]]))</f>
        <v>10</v>
      </c>
      <c r="K1625" s="64">
        <f>LEN(TRIM(Table22[[#This Row],[Sales Team]]))</f>
        <v>10</v>
      </c>
      <c r="L1625" s="23">
        <v>18</v>
      </c>
      <c r="M1625" s="65" t="str" cm="1">
        <f t="array" ref="M1625">_xlfn.IFS(Table22[[#This Row],[Units Sold]]&lt;40,"Critical",Table22[[#This Row],[Units Sold]]&lt;=50,"Poor",Table22[[#This Row],[Units Sold]]&lt;=60,"Low",Table22[[#This Row],[Units Sold]]&lt;=80,"Average",Table22[[#This Row],[Units Sold]]&lt;=90,"High",Table22[[#This Row],[Units Sold]]&lt;=95,"Excellent",Table22[[#This Row],[Units Sold]]&gt;95,"Outstanding")</f>
        <v>Critical</v>
      </c>
      <c r="N1625" s="29">
        <v>492.76</v>
      </c>
      <c r="O1625" s="29">
        <v>8869.68</v>
      </c>
      <c r="P1625" s="43">
        <f>IF(Table22[[#This Row],[Discount Applied]],Table22[[#This Row],[Total Sales (in USD)]]*(1-Table22[[#This Row],[Discount Percentage (%)]]/100),Table22[[#This Row],[Total Sales (in USD)]])</f>
        <v>7623.4899599999999</v>
      </c>
      <c r="Q1625" s="66">
        <f>SQRT(AVERAGE((Table22[[#This Row],[Net Sales (after discount) (in USD)]]-AVERAGE(Table22[Net Sales (after discount) (in USD)]))^2))</f>
        <v>28887.870603764539</v>
      </c>
      <c r="R1625" s="18" t="b">
        <v>1</v>
      </c>
      <c r="S1625" s="40">
        <v>14.05</v>
      </c>
      <c r="T1625" s="18" t="b">
        <v>1</v>
      </c>
      <c r="U1625" s="25">
        <v>45313</v>
      </c>
      <c r="V1625" s="63" t="str">
        <f>IF(MONTH(Table22[[#This Row],[Sales Date]])&lt;=3,"Q1",IF(MONTH(Table22[[#This Row],[Sales Date]])&lt;=6,"Q2",IF(MONTH(Table22[[#This Row],[Sales Date]])&lt;=9,"Q3","Q4")))</f>
        <v>Q1</v>
      </c>
      <c r="W1625" s="64">
        <f>YEAR(Table22[[#This Row],[Sales Date]])</f>
        <v>2024</v>
      </c>
      <c r="X1625" s="23">
        <v>55</v>
      </c>
      <c r="Y1625" s="18" t="s">
        <v>23</v>
      </c>
      <c r="Z1625" s="18" t="s">
        <v>24</v>
      </c>
      <c r="AA1625" s="19" t="s">
        <v>36</v>
      </c>
    </row>
    <row r="1626" spans="1:27" x14ac:dyDescent="0.25">
      <c r="A1626" s="17" t="s">
        <v>292</v>
      </c>
      <c r="B1626" s="18" t="s">
        <v>51</v>
      </c>
      <c r="C1626" s="63" t="str" cm="1">
        <f t="array" ref="C1626">_xlfn.SWITCH(Table22[[#This Row],[Country]],"USA","North America","Canada","North America","Brazil","South America","China","Asia","Japan","Asia","India","Asia","France","Europe","Germany","Europe","UK","Europe","Australia","Oceania","South America")</f>
        <v>Europe</v>
      </c>
      <c r="D1626" s="18" t="s">
        <v>44</v>
      </c>
      <c r="E1626" s="18" t="s">
        <v>39</v>
      </c>
      <c r="F1626" s="18" t="s">
        <v>52</v>
      </c>
      <c r="G1626" s="18" t="s">
        <v>29</v>
      </c>
      <c r="H1626" s="64">
        <f>LEN(TRIM(Table22[[#This Row],[Country]]))</f>
        <v>2</v>
      </c>
      <c r="I1626" s="64">
        <f>LEN(TRIM(Table22[[#This Row],[Continent]]))</f>
        <v>6</v>
      </c>
      <c r="J1626" s="64">
        <f>LEN(TRIM(Table22[[#This Row],[Product]]))</f>
        <v>10</v>
      </c>
      <c r="K1626" s="64">
        <f>LEN(TRIM(Table22[[#This Row],[Sales Team]]))</f>
        <v>10</v>
      </c>
      <c r="L1626" s="23">
        <v>9</v>
      </c>
      <c r="M1626" s="65" t="str" cm="1">
        <f t="array" ref="M1626">_xlfn.IFS(Table22[[#This Row],[Units Sold]]&lt;40,"Critical",Table22[[#This Row],[Units Sold]]&lt;=50,"Poor",Table22[[#This Row],[Units Sold]]&lt;=60,"Low",Table22[[#This Row],[Units Sold]]&lt;=80,"Average",Table22[[#This Row],[Units Sold]]&lt;=90,"High",Table22[[#This Row],[Units Sold]]&lt;=95,"Excellent",Table22[[#This Row],[Units Sold]]&gt;95,"Outstanding")</f>
        <v>Critical</v>
      </c>
      <c r="N1626" s="29">
        <v>982.02</v>
      </c>
      <c r="O1626" s="29">
        <v>8838.18</v>
      </c>
      <c r="P1626" s="43">
        <f>IF(Table22[[#This Row],[Discount Applied]],Table22[[#This Row],[Total Sales (in USD)]]*(1-Table22[[#This Row],[Discount Percentage (%)]]/100),Table22[[#This Row],[Total Sales (in USD)]])</f>
        <v>8118.7521479999996</v>
      </c>
      <c r="Q1626" s="66">
        <f>SQRT(AVERAGE((Table22[[#This Row],[Net Sales (after discount) (in USD)]]-AVERAGE(Table22[Net Sales (after discount) (in USD)]))^2))</f>
        <v>28392.608415764538</v>
      </c>
      <c r="R1626" s="18" t="b">
        <v>1</v>
      </c>
      <c r="S1626" s="40">
        <v>8.14</v>
      </c>
      <c r="T1626" s="18" t="b">
        <v>1</v>
      </c>
      <c r="U1626" s="25">
        <v>45486</v>
      </c>
      <c r="V1626" s="63" t="str">
        <f>IF(MONTH(Table22[[#This Row],[Sales Date]])&lt;=3,"Q1",IF(MONTH(Table22[[#This Row],[Sales Date]])&lt;=6,"Q2",IF(MONTH(Table22[[#This Row],[Sales Date]])&lt;=9,"Q3","Q4")))</f>
        <v>Q3</v>
      </c>
      <c r="W1626" s="64">
        <f>YEAR(Table22[[#This Row],[Sales Date]])</f>
        <v>2024</v>
      </c>
      <c r="X1626" s="23">
        <v>67</v>
      </c>
      <c r="Y1626" s="18" t="s">
        <v>23</v>
      </c>
      <c r="Z1626" s="18" t="s">
        <v>42</v>
      </c>
      <c r="AA1626" s="19" t="s">
        <v>36</v>
      </c>
    </row>
    <row r="1627" spans="1:27" x14ac:dyDescent="0.25">
      <c r="A1627" s="17" t="s">
        <v>1417</v>
      </c>
      <c r="B1627" s="18" t="s">
        <v>66</v>
      </c>
      <c r="C1627" s="63" t="str" cm="1">
        <f t="array" ref="C1627">_xlfn.SWITCH(Table22[[#This Row],[Country]],"USA","North America","Canada","North America","Brazil","South America","China","Asia","Japan","Asia","India","Asia","France","Europe","Germany","Europe","UK","Europe","Australia","Oceania","South America")</f>
        <v>North America</v>
      </c>
      <c r="D1627" s="18" t="s">
        <v>44</v>
      </c>
      <c r="E1627" s="18" t="s">
        <v>39</v>
      </c>
      <c r="F1627" s="18" t="s">
        <v>34</v>
      </c>
      <c r="G1627" s="18" t="s">
        <v>29</v>
      </c>
      <c r="H1627" s="64">
        <f>LEN(TRIM(Table22[[#This Row],[Country]]))</f>
        <v>6</v>
      </c>
      <c r="I1627" s="64">
        <f>LEN(TRIM(Table22[[#This Row],[Continent]]))</f>
        <v>13</v>
      </c>
      <c r="J1627" s="64">
        <f>LEN(TRIM(Table22[[#This Row],[Product]]))</f>
        <v>10</v>
      </c>
      <c r="K1627" s="64">
        <f>LEN(TRIM(Table22[[#This Row],[Sales Team]]))</f>
        <v>10</v>
      </c>
      <c r="L1627" s="23">
        <v>28</v>
      </c>
      <c r="M1627" s="65" t="str" cm="1">
        <f t="array" ref="M1627">_xlfn.IFS(Table22[[#This Row],[Units Sold]]&lt;40,"Critical",Table22[[#This Row],[Units Sold]]&lt;=50,"Poor",Table22[[#This Row],[Units Sold]]&lt;=60,"Low",Table22[[#This Row],[Units Sold]]&lt;=80,"Average",Table22[[#This Row],[Units Sold]]&lt;=90,"High",Table22[[#This Row],[Units Sold]]&lt;=95,"Excellent",Table22[[#This Row],[Units Sold]]&gt;95,"Outstanding")</f>
        <v>Critical</v>
      </c>
      <c r="N1627" s="29">
        <v>312.73</v>
      </c>
      <c r="O1627" s="29">
        <v>8756.44</v>
      </c>
      <c r="P1627" s="43">
        <f>IF(Table22[[#This Row],[Discount Applied]],Table22[[#This Row],[Total Sales (in USD)]]*(1-Table22[[#This Row],[Discount Percentage (%)]]/100),Table22[[#This Row],[Total Sales (in USD)]])</f>
        <v>8756.44</v>
      </c>
      <c r="Q1627" s="66">
        <f>SQRT(AVERAGE((Table22[[#This Row],[Net Sales (after discount) (in USD)]]-AVERAGE(Table22[Net Sales (after discount) (in USD)]))^2))</f>
        <v>27754.920563764535</v>
      </c>
      <c r="R1627" s="18" t="b">
        <v>0</v>
      </c>
      <c r="S1627" s="40">
        <v>11.64</v>
      </c>
      <c r="T1627" s="18" t="b">
        <v>0</v>
      </c>
      <c r="U1627" s="25">
        <v>45084</v>
      </c>
      <c r="V1627" s="63" t="str">
        <f>IF(MONTH(Table22[[#This Row],[Sales Date]])&lt;=3,"Q1",IF(MONTH(Table22[[#This Row],[Sales Date]])&lt;=6,"Q2",IF(MONTH(Table22[[#This Row],[Sales Date]])&lt;=9,"Q3","Q4")))</f>
        <v>Q2</v>
      </c>
      <c r="W1627" s="64">
        <f>YEAR(Table22[[#This Row],[Sales Date]])</f>
        <v>2023</v>
      </c>
      <c r="X1627" s="23">
        <v>49</v>
      </c>
      <c r="Y1627" s="18" t="s">
        <v>23</v>
      </c>
      <c r="Z1627" s="18" t="s">
        <v>56</v>
      </c>
      <c r="AA1627" s="19" t="s">
        <v>36</v>
      </c>
    </row>
    <row r="1628" spans="1:27" x14ac:dyDescent="0.25">
      <c r="A1628" s="17" t="s">
        <v>1501</v>
      </c>
      <c r="B1628" s="18" t="s">
        <v>72</v>
      </c>
      <c r="C1628" s="63" t="str" cm="1">
        <f t="array" ref="C1628">_xlfn.SWITCH(Table22[[#This Row],[Country]],"USA","North America","Canada","North America","Brazil","South America","China","Asia","Japan","Asia","India","Asia","France","Europe","Germany","Europe","UK","Europe","Australia","Oceania","South America")</f>
        <v>North America</v>
      </c>
      <c r="D1628" s="18" t="s">
        <v>44</v>
      </c>
      <c r="E1628" s="18" t="s">
        <v>39</v>
      </c>
      <c r="F1628" s="18" t="s">
        <v>64</v>
      </c>
      <c r="G1628" s="18" t="s">
        <v>22</v>
      </c>
      <c r="H1628" s="64">
        <f>LEN(TRIM(Table22[[#This Row],[Country]]))</f>
        <v>3</v>
      </c>
      <c r="I1628" s="64">
        <f>LEN(TRIM(Table22[[#This Row],[Continent]]))</f>
        <v>13</v>
      </c>
      <c r="J1628" s="64">
        <f>LEN(TRIM(Table22[[#This Row],[Product]]))</f>
        <v>10</v>
      </c>
      <c r="K1628" s="64">
        <f>LEN(TRIM(Table22[[#This Row],[Sales Team]]))</f>
        <v>10</v>
      </c>
      <c r="L1628" s="23">
        <v>10</v>
      </c>
      <c r="M1628" s="65" t="str" cm="1">
        <f t="array" ref="M1628">_xlfn.IFS(Table22[[#This Row],[Units Sold]]&lt;40,"Critical",Table22[[#This Row],[Units Sold]]&lt;=50,"Poor",Table22[[#This Row],[Units Sold]]&lt;=60,"Low",Table22[[#This Row],[Units Sold]]&lt;=80,"Average",Table22[[#This Row],[Units Sold]]&lt;=90,"High",Table22[[#This Row],[Units Sold]]&lt;=95,"Excellent",Table22[[#This Row],[Units Sold]]&gt;95,"Outstanding")</f>
        <v>Critical</v>
      </c>
      <c r="N1628" s="29">
        <v>871.52</v>
      </c>
      <c r="O1628" s="29">
        <v>8715.2000000000007</v>
      </c>
      <c r="P1628" s="43">
        <f>IF(Table22[[#This Row],[Discount Applied]],Table22[[#This Row],[Total Sales (in USD)]]*(1-Table22[[#This Row],[Discount Percentage (%)]]/100),Table22[[#This Row],[Total Sales (in USD)]])</f>
        <v>7268.4768000000004</v>
      </c>
      <c r="Q1628" s="66">
        <f>SQRT(AVERAGE((Table22[[#This Row],[Net Sales (after discount) (in USD)]]-AVERAGE(Table22[Net Sales (after discount) (in USD)]))^2))</f>
        <v>29242.883763764537</v>
      </c>
      <c r="R1628" s="18" t="b">
        <v>0</v>
      </c>
      <c r="S1628" s="40">
        <v>16.600000000000001</v>
      </c>
      <c r="T1628" s="18" t="b">
        <v>1</v>
      </c>
      <c r="U1628" s="25">
        <v>45161</v>
      </c>
      <c r="V1628" s="63" t="str">
        <f>IF(MONTH(Table22[[#This Row],[Sales Date]])&lt;=3,"Q1",IF(MONTH(Table22[[#This Row],[Sales Date]])&lt;=6,"Q2",IF(MONTH(Table22[[#This Row],[Sales Date]])&lt;=9,"Q3","Q4")))</f>
        <v>Q3</v>
      </c>
      <c r="W1628" s="64">
        <f>YEAR(Table22[[#This Row],[Sales Date]])</f>
        <v>2023</v>
      </c>
      <c r="X1628" s="23">
        <v>32</v>
      </c>
      <c r="Y1628" s="18" t="s">
        <v>41</v>
      </c>
      <c r="Z1628" s="18" t="s">
        <v>56</v>
      </c>
      <c r="AA1628" s="19" t="s">
        <v>25</v>
      </c>
    </row>
    <row r="1629" spans="1:27" x14ac:dyDescent="0.25">
      <c r="A1629" s="17" t="s">
        <v>965</v>
      </c>
      <c r="B1629" s="18" t="s">
        <v>32</v>
      </c>
      <c r="C1629" s="63" t="str" cm="1">
        <f t="array" ref="C1629">_xlfn.SWITCH(Table22[[#This Row],[Country]],"USA","North America","Canada","North America","Brazil","South America","China","Asia","Japan","Asia","India","Asia","France","Europe","Germany","Europe","UK","Europe","Australia","Oceania","South America")</f>
        <v>Asia</v>
      </c>
      <c r="D1629" s="18" t="s">
        <v>35</v>
      </c>
      <c r="E1629" s="18" t="s">
        <v>39</v>
      </c>
      <c r="F1629" s="18" t="s">
        <v>20</v>
      </c>
      <c r="G1629" s="18" t="s">
        <v>22</v>
      </c>
      <c r="H1629" s="64">
        <f>LEN(TRIM(Table22[[#This Row],[Country]]))</f>
        <v>5</v>
      </c>
      <c r="I1629" s="64">
        <f>LEN(TRIM(Table22[[#This Row],[Continent]]))</f>
        <v>4</v>
      </c>
      <c r="J1629" s="64">
        <f>LEN(TRIM(Table22[[#This Row],[Product]]))</f>
        <v>10</v>
      </c>
      <c r="K1629" s="64">
        <f>LEN(TRIM(Table22[[#This Row],[Sales Team]]))</f>
        <v>10</v>
      </c>
      <c r="L1629" s="23">
        <v>32</v>
      </c>
      <c r="M1629" s="65" t="str" cm="1">
        <f t="array" ref="M1629">_xlfn.IFS(Table22[[#This Row],[Units Sold]]&lt;40,"Critical",Table22[[#This Row],[Units Sold]]&lt;=50,"Poor",Table22[[#This Row],[Units Sold]]&lt;=60,"Low",Table22[[#This Row],[Units Sold]]&lt;=80,"Average",Table22[[#This Row],[Units Sold]]&lt;=90,"High",Table22[[#This Row],[Units Sold]]&lt;=95,"Excellent",Table22[[#This Row],[Units Sold]]&gt;95,"Outstanding")</f>
        <v>Critical</v>
      </c>
      <c r="N1629" s="29">
        <v>271.79000000000002</v>
      </c>
      <c r="O1629" s="29">
        <v>8697.2800000000007</v>
      </c>
      <c r="P1629" s="43">
        <f>IF(Table22[[#This Row],[Discount Applied]],Table22[[#This Row],[Total Sales (in USD)]]*(1-Table22[[#This Row],[Discount Percentage (%)]]/100),Table22[[#This Row],[Total Sales (in USD)]])</f>
        <v>7245.7039679999998</v>
      </c>
      <c r="Q1629" s="66">
        <f>SQRT(AVERAGE((Table22[[#This Row],[Net Sales (after discount) (in USD)]]-AVERAGE(Table22[Net Sales (after discount) (in USD)]))^2))</f>
        <v>29265.656595764536</v>
      </c>
      <c r="R1629" s="18" t="b">
        <v>0</v>
      </c>
      <c r="S1629" s="40">
        <v>16.690000000000001</v>
      </c>
      <c r="T1629" s="18" t="b">
        <v>1</v>
      </c>
      <c r="U1629" s="25">
        <v>44956</v>
      </c>
      <c r="V1629" s="63" t="str">
        <f>IF(MONTH(Table22[[#This Row],[Sales Date]])&lt;=3,"Q1",IF(MONTH(Table22[[#This Row],[Sales Date]])&lt;=6,"Q2",IF(MONTH(Table22[[#This Row],[Sales Date]])&lt;=9,"Q3","Q4")))</f>
        <v>Q1</v>
      </c>
      <c r="W1629" s="64">
        <f>YEAR(Table22[[#This Row],[Sales Date]])</f>
        <v>2023</v>
      </c>
      <c r="X1629" s="23">
        <v>44</v>
      </c>
      <c r="Y1629" s="18" t="s">
        <v>41</v>
      </c>
      <c r="Z1629" s="18" t="s">
        <v>56</v>
      </c>
      <c r="AA1629" s="19" t="s">
        <v>25</v>
      </c>
    </row>
    <row r="1630" spans="1:27" x14ac:dyDescent="0.25">
      <c r="A1630" s="17" t="s">
        <v>1900</v>
      </c>
      <c r="B1630" s="18" t="s">
        <v>76</v>
      </c>
      <c r="C1630" s="63" t="str" cm="1">
        <f t="array" ref="C1630">_xlfn.SWITCH(Table22[[#This Row],[Country]],"USA","North America","Canada","North America","Brazil","South America","China","Asia","Japan","Asia","India","Asia","France","Europe","Germany","Europe","UK","Europe","Australia","Oceania","South America")</f>
        <v>Asia</v>
      </c>
      <c r="D1630" s="18" t="s">
        <v>44</v>
      </c>
      <c r="E1630" s="18" t="s">
        <v>33</v>
      </c>
      <c r="F1630" s="18" t="s">
        <v>34</v>
      </c>
      <c r="G1630" s="18" t="s">
        <v>22</v>
      </c>
      <c r="H1630" s="64">
        <f>LEN(TRIM(Table22[[#This Row],[Country]]))</f>
        <v>5</v>
      </c>
      <c r="I1630" s="64">
        <f>LEN(TRIM(Table22[[#This Row],[Continent]]))</f>
        <v>4</v>
      </c>
      <c r="J1630" s="64">
        <f>LEN(TRIM(Table22[[#This Row],[Product]]))</f>
        <v>10</v>
      </c>
      <c r="K1630" s="64">
        <f>LEN(TRIM(Table22[[#This Row],[Sales Team]]))</f>
        <v>10</v>
      </c>
      <c r="L1630" s="23">
        <v>66</v>
      </c>
      <c r="M1630" s="65" t="str" cm="1">
        <f t="array" ref="M1630">_xlfn.IFS(Table22[[#This Row],[Units Sold]]&lt;40,"Critical",Table22[[#This Row],[Units Sold]]&lt;=50,"Poor",Table22[[#This Row],[Units Sold]]&lt;=60,"Low",Table22[[#This Row],[Units Sold]]&lt;=80,"Average",Table22[[#This Row],[Units Sold]]&lt;=90,"High",Table22[[#This Row],[Units Sold]]&lt;=95,"Excellent",Table22[[#This Row],[Units Sold]]&gt;95,"Outstanding")</f>
        <v>Average</v>
      </c>
      <c r="N1630" s="29">
        <v>131.6</v>
      </c>
      <c r="O1630" s="29">
        <v>8685.6</v>
      </c>
      <c r="P1630" s="43">
        <f>IF(Table22[[#This Row],[Discount Applied]],Table22[[#This Row],[Total Sales (in USD)]]*(1-Table22[[#This Row],[Discount Percentage (%)]]/100),Table22[[#This Row],[Total Sales (in USD)]])</f>
        <v>8685.6</v>
      </c>
      <c r="Q1630" s="66">
        <f>SQRT(AVERAGE((Table22[[#This Row],[Net Sales (after discount) (in USD)]]-AVERAGE(Table22[Net Sales (after discount) (in USD)]))^2))</f>
        <v>27825.760563764539</v>
      </c>
      <c r="R1630" s="18" t="b">
        <v>1</v>
      </c>
      <c r="S1630" s="40">
        <v>8.74</v>
      </c>
      <c r="T1630" s="18" t="b">
        <v>0</v>
      </c>
      <c r="U1630" s="25">
        <v>45143</v>
      </c>
      <c r="V1630" s="63" t="str">
        <f>IF(MONTH(Table22[[#This Row],[Sales Date]])&lt;=3,"Q1",IF(MONTH(Table22[[#This Row],[Sales Date]])&lt;=6,"Q2",IF(MONTH(Table22[[#This Row],[Sales Date]])&lt;=9,"Q3","Q4")))</f>
        <v>Q3</v>
      </c>
      <c r="W1630" s="64">
        <f>YEAR(Table22[[#This Row],[Sales Date]])</f>
        <v>2023</v>
      </c>
      <c r="X1630" s="23">
        <v>41</v>
      </c>
      <c r="Y1630" s="18" t="s">
        <v>41</v>
      </c>
      <c r="Z1630" s="18" t="s">
        <v>30</v>
      </c>
      <c r="AA1630" s="19" t="s">
        <v>36</v>
      </c>
    </row>
    <row r="1631" spans="1:27" x14ac:dyDescent="0.25">
      <c r="A1631" s="17" t="s">
        <v>154</v>
      </c>
      <c r="B1631" s="18" t="s">
        <v>18</v>
      </c>
      <c r="C1631" s="63" t="str" cm="1">
        <f t="array" ref="C1631">_xlfn.SWITCH(Table22[[#This Row],[Country]],"USA","North America","Canada","North America","Brazil","South America","China","Asia","Japan","Asia","India","Asia","France","Europe","Germany","Europe","UK","Europe","Australia","Oceania","South America")</f>
        <v>Asia</v>
      </c>
      <c r="D1631" s="18" t="s">
        <v>21</v>
      </c>
      <c r="E1631" s="18" t="s">
        <v>19</v>
      </c>
      <c r="F1631" s="18" t="s">
        <v>64</v>
      </c>
      <c r="G1631" s="18" t="s">
        <v>40</v>
      </c>
      <c r="H1631" s="64">
        <f>LEN(TRIM(Table22[[#This Row],[Country]]))</f>
        <v>5</v>
      </c>
      <c r="I1631" s="64">
        <f>LEN(TRIM(Table22[[#This Row],[Continent]]))</f>
        <v>4</v>
      </c>
      <c r="J1631" s="64">
        <f>LEN(TRIM(Table22[[#This Row],[Product]]))</f>
        <v>6</v>
      </c>
      <c r="K1631" s="64">
        <f>LEN(TRIM(Table22[[#This Row],[Sales Team]]))</f>
        <v>10</v>
      </c>
      <c r="L1631" s="23">
        <v>42</v>
      </c>
      <c r="M1631" s="65" t="str" cm="1">
        <f t="array" ref="M1631">_xlfn.IFS(Table22[[#This Row],[Units Sold]]&lt;40,"Critical",Table22[[#This Row],[Units Sold]]&lt;=50,"Poor",Table22[[#This Row],[Units Sold]]&lt;=60,"Low",Table22[[#This Row],[Units Sold]]&lt;=80,"Average",Table22[[#This Row],[Units Sold]]&lt;=90,"High",Table22[[#This Row],[Units Sold]]&lt;=95,"Excellent",Table22[[#This Row],[Units Sold]]&gt;95,"Outstanding")</f>
        <v>Poor</v>
      </c>
      <c r="N1631" s="29">
        <v>206.71</v>
      </c>
      <c r="O1631" s="29">
        <v>8681.82</v>
      </c>
      <c r="P1631" s="43">
        <f>IF(Table22[[#This Row],[Discount Applied]],Table22[[#This Row],[Total Sales (in USD)]]*(1-Table22[[#This Row],[Discount Percentage (%)]]/100),Table22[[#This Row],[Total Sales (in USD)]])</f>
        <v>8681.82</v>
      </c>
      <c r="Q1631" s="66">
        <f>SQRT(AVERAGE((Table22[[#This Row],[Net Sales (after discount) (in USD)]]-AVERAGE(Table22[Net Sales (after discount) (in USD)]))^2))</f>
        <v>27829.540563764538</v>
      </c>
      <c r="R1631" s="18" t="b">
        <v>1</v>
      </c>
      <c r="S1631" s="40">
        <v>26.34</v>
      </c>
      <c r="T1631" s="18" t="b">
        <v>0</v>
      </c>
      <c r="U1631" s="25">
        <v>45003</v>
      </c>
      <c r="V1631" s="63" t="str">
        <f>IF(MONTH(Table22[[#This Row],[Sales Date]])&lt;=3,"Q1",IF(MONTH(Table22[[#This Row],[Sales Date]])&lt;=6,"Q2",IF(MONTH(Table22[[#This Row],[Sales Date]])&lt;=9,"Q3","Q4")))</f>
        <v>Q1</v>
      </c>
      <c r="W1631" s="64">
        <f>YEAR(Table22[[#This Row],[Sales Date]])</f>
        <v>2023</v>
      </c>
      <c r="X1631" s="23">
        <v>54</v>
      </c>
      <c r="Y1631" s="18" t="s">
        <v>23</v>
      </c>
      <c r="Z1631" s="18" t="s">
        <v>42</v>
      </c>
      <c r="AA1631" s="19" t="s">
        <v>36</v>
      </c>
    </row>
    <row r="1632" spans="1:27" x14ac:dyDescent="0.25">
      <c r="A1632" s="17" t="s">
        <v>840</v>
      </c>
      <c r="B1632" s="18" t="s">
        <v>18</v>
      </c>
      <c r="C1632" s="63" t="str" cm="1">
        <f t="array" ref="C1632">_xlfn.SWITCH(Table22[[#This Row],[Country]],"USA","North America","Canada","North America","Brazil","South America","China","Asia","Japan","Asia","India","Asia","France","Europe","Germany","Europe","UK","Europe","Australia","Oceania","South America")</f>
        <v>Asia</v>
      </c>
      <c r="D1632" s="18" t="s">
        <v>21</v>
      </c>
      <c r="E1632" s="18" t="s">
        <v>39</v>
      </c>
      <c r="F1632" s="18" t="s">
        <v>64</v>
      </c>
      <c r="G1632" s="18" t="s">
        <v>29</v>
      </c>
      <c r="H1632" s="64">
        <f>LEN(TRIM(Table22[[#This Row],[Country]]))</f>
        <v>5</v>
      </c>
      <c r="I1632" s="64">
        <f>LEN(TRIM(Table22[[#This Row],[Continent]]))</f>
        <v>4</v>
      </c>
      <c r="J1632" s="64">
        <f>LEN(TRIM(Table22[[#This Row],[Product]]))</f>
        <v>10</v>
      </c>
      <c r="K1632" s="64">
        <f>LEN(TRIM(Table22[[#This Row],[Sales Team]]))</f>
        <v>10</v>
      </c>
      <c r="L1632" s="23">
        <v>9</v>
      </c>
      <c r="M1632" s="65" t="str" cm="1">
        <f t="array" ref="M1632">_xlfn.IFS(Table22[[#This Row],[Units Sold]]&lt;40,"Critical",Table22[[#This Row],[Units Sold]]&lt;=50,"Poor",Table22[[#This Row],[Units Sold]]&lt;=60,"Low",Table22[[#This Row],[Units Sold]]&lt;=80,"Average",Table22[[#This Row],[Units Sold]]&lt;=90,"High",Table22[[#This Row],[Units Sold]]&lt;=95,"Excellent",Table22[[#This Row],[Units Sold]]&gt;95,"Outstanding")</f>
        <v>Critical</v>
      </c>
      <c r="N1632" s="29">
        <v>964.42</v>
      </c>
      <c r="O1632" s="29">
        <v>8679.7800000000007</v>
      </c>
      <c r="P1632" s="43">
        <f>IF(Table22[[#This Row],[Discount Applied]],Table22[[#This Row],[Total Sales (in USD)]]*(1-Table22[[#This Row],[Discount Percentage (%)]]/100),Table22[[#This Row],[Total Sales (in USD)]])</f>
        <v>8679.7800000000007</v>
      </c>
      <c r="Q1632" s="66">
        <f>SQRT(AVERAGE((Table22[[#This Row],[Net Sales (after discount) (in USD)]]-AVERAGE(Table22[Net Sales (after discount) (in USD)]))^2))</f>
        <v>27831.580563764539</v>
      </c>
      <c r="R1632" s="18" t="b">
        <v>0</v>
      </c>
      <c r="S1632" s="40">
        <v>25.71</v>
      </c>
      <c r="T1632" s="18" t="b">
        <v>0</v>
      </c>
      <c r="U1632" s="25">
        <v>45079</v>
      </c>
      <c r="V1632" s="63" t="str">
        <f>IF(MONTH(Table22[[#This Row],[Sales Date]])&lt;=3,"Q1",IF(MONTH(Table22[[#This Row],[Sales Date]])&lt;=6,"Q2",IF(MONTH(Table22[[#This Row],[Sales Date]])&lt;=9,"Q3","Q4")))</f>
        <v>Q2</v>
      </c>
      <c r="W1632" s="64">
        <f>YEAR(Table22[[#This Row],[Sales Date]])</f>
        <v>2023</v>
      </c>
      <c r="X1632" s="23">
        <v>45</v>
      </c>
      <c r="Y1632" s="18" t="s">
        <v>41</v>
      </c>
      <c r="Z1632" s="18" t="s">
        <v>56</v>
      </c>
      <c r="AA1632" s="19" t="s">
        <v>36</v>
      </c>
    </row>
    <row r="1633" spans="1:27" x14ac:dyDescent="0.25">
      <c r="A1633" s="17" t="s">
        <v>302</v>
      </c>
      <c r="B1633" s="18" t="s">
        <v>32</v>
      </c>
      <c r="C1633" s="63" t="str" cm="1">
        <f t="array" ref="C1633">_xlfn.SWITCH(Table22[[#This Row],[Country]],"USA","North America","Canada","North America","Brazil","South America","China","Asia","Japan","Asia","India","Asia","France","Europe","Germany","Europe","UK","Europe","Australia","Oceania","South America")</f>
        <v>Asia</v>
      </c>
      <c r="D1633" s="18" t="s">
        <v>44</v>
      </c>
      <c r="E1633" s="18" t="s">
        <v>19</v>
      </c>
      <c r="F1633" s="18" t="s">
        <v>34</v>
      </c>
      <c r="G1633" s="18" t="s">
        <v>22</v>
      </c>
      <c r="H1633" s="64">
        <f>LEN(TRIM(Table22[[#This Row],[Country]]))</f>
        <v>5</v>
      </c>
      <c r="I1633" s="64">
        <f>LEN(TRIM(Table22[[#This Row],[Continent]]))</f>
        <v>4</v>
      </c>
      <c r="J1633" s="64">
        <f>LEN(TRIM(Table22[[#This Row],[Product]]))</f>
        <v>6</v>
      </c>
      <c r="K1633" s="64">
        <f>LEN(TRIM(Table22[[#This Row],[Sales Team]]))</f>
        <v>10</v>
      </c>
      <c r="L1633" s="23">
        <v>7</v>
      </c>
      <c r="M1633" s="65" t="str" cm="1">
        <f t="array" ref="M1633">_xlfn.IFS(Table22[[#This Row],[Units Sold]]&lt;40,"Critical",Table22[[#This Row],[Units Sold]]&lt;=50,"Poor",Table22[[#This Row],[Units Sold]]&lt;=60,"Low",Table22[[#This Row],[Units Sold]]&lt;=80,"Average",Table22[[#This Row],[Units Sold]]&lt;=90,"High",Table22[[#This Row],[Units Sold]]&lt;=95,"Excellent",Table22[[#This Row],[Units Sold]]&gt;95,"Outstanding")</f>
        <v>Critical</v>
      </c>
      <c r="N1633" s="29">
        <v>1239.4000000000001</v>
      </c>
      <c r="O1633" s="29">
        <v>8675.7999999999993</v>
      </c>
      <c r="P1633" s="43">
        <f>IF(Table22[[#This Row],[Discount Applied]],Table22[[#This Row],[Total Sales (in USD)]]*(1-Table22[[#This Row],[Discount Percentage (%)]]/100),Table22[[#This Row],[Total Sales (in USD)]])</f>
        <v>8675.7999999999993</v>
      </c>
      <c r="Q1633" s="66">
        <f>SQRT(AVERAGE((Table22[[#This Row],[Net Sales (after discount) (in USD)]]-AVERAGE(Table22[Net Sales (after discount) (in USD)]))^2))</f>
        <v>27835.560563764539</v>
      </c>
      <c r="R1633" s="18" t="b">
        <v>0</v>
      </c>
      <c r="S1633" s="40">
        <v>4.67</v>
      </c>
      <c r="T1633" s="18" t="b">
        <v>0</v>
      </c>
      <c r="U1633" s="25">
        <v>45046</v>
      </c>
      <c r="V1633" s="63" t="str">
        <f>IF(MONTH(Table22[[#This Row],[Sales Date]])&lt;=3,"Q1",IF(MONTH(Table22[[#This Row],[Sales Date]])&lt;=6,"Q2",IF(MONTH(Table22[[#This Row],[Sales Date]])&lt;=9,"Q3","Q4")))</f>
        <v>Q2</v>
      </c>
      <c r="W1633" s="64">
        <f>YEAR(Table22[[#This Row],[Sales Date]])</f>
        <v>2023</v>
      </c>
      <c r="X1633" s="23">
        <v>27</v>
      </c>
      <c r="Y1633" s="18" t="s">
        <v>41</v>
      </c>
      <c r="Z1633" s="18" t="s">
        <v>24</v>
      </c>
      <c r="AA1633" s="19" t="s">
        <v>36</v>
      </c>
    </row>
    <row r="1634" spans="1:27" x14ac:dyDescent="0.25">
      <c r="A1634" s="17" t="s">
        <v>951</v>
      </c>
      <c r="B1634" s="18" t="s">
        <v>18</v>
      </c>
      <c r="C1634" s="63" t="str" cm="1">
        <f t="array" ref="C1634">_xlfn.SWITCH(Table22[[#This Row],[Country]],"USA","North America","Canada","North America","Brazil","South America","China","Asia","Japan","Asia","India","Asia","France","Europe","Germany","Europe","UK","Europe","Australia","Oceania","South America")</f>
        <v>Asia</v>
      </c>
      <c r="D1634" s="18" t="s">
        <v>44</v>
      </c>
      <c r="E1634" s="18" t="s">
        <v>19</v>
      </c>
      <c r="F1634" s="18" t="s">
        <v>47</v>
      </c>
      <c r="G1634" s="18" t="s">
        <v>22</v>
      </c>
      <c r="H1634" s="64">
        <f>LEN(TRIM(Table22[[#This Row],[Country]]))</f>
        <v>5</v>
      </c>
      <c r="I1634" s="64">
        <f>LEN(TRIM(Table22[[#This Row],[Continent]]))</f>
        <v>4</v>
      </c>
      <c r="J1634" s="64">
        <f>LEN(TRIM(Table22[[#This Row],[Product]]))</f>
        <v>6</v>
      </c>
      <c r="K1634" s="64">
        <f>LEN(TRIM(Table22[[#This Row],[Sales Team]]))</f>
        <v>10</v>
      </c>
      <c r="L1634" s="23">
        <v>90</v>
      </c>
      <c r="M1634" s="65" t="str" cm="1">
        <f t="array" ref="M1634">_xlfn.IFS(Table22[[#This Row],[Units Sold]]&lt;40,"Critical",Table22[[#This Row],[Units Sold]]&lt;=50,"Poor",Table22[[#This Row],[Units Sold]]&lt;=60,"Low",Table22[[#This Row],[Units Sold]]&lt;=80,"Average",Table22[[#This Row],[Units Sold]]&lt;=90,"High",Table22[[#This Row],[Units Sold]]&lt;=95,"Excellent",Table22[[#This Row],[Units Sold]]&gt;95,"Outstanding")</f>
        <v>High</v>
      </c>
      <c r="N1634" s="29">
        <v>95.85</v>
      </c>
      <c r="O1634" s="29">
        <v>8626.5</v>
      </c>
      <c r="P1634" s="43">
        <f>IF(Table22[[#This Row],[Discount Applied]],Table22[[#This Row],[Total Sales (in USD)]]*(1-Table22[[#This Row],[Discount Percentage (%)]]/100),Table22[[#This Row],[Total Sales (in USD)]])</f>
        <v>6990.0529500000002</v>
      </c>
      <c r="Q1634" s="66">
        <f>SQRT(AVERAGE((Table22[[#This Row],[Net Sales (after discount) (in USD)]]-AVERAGE(Table22[Net Sales (after discount) (in USD)]))^2))</f>
        <v>29521.307613764537</v>
      </c>
      <c r="R1634" s="18" t="b">
        <v>0</v>
      </c>
      <c r="S1634" s="40">
        <v>18.97</v>
      </c>
      <c r="T1634" s="18" t="b">
        <v>1</v>
      </c>
      <c r="U1634" s="25">
        <v>45162</v>
      </c>
      <c r="V1634" s="63" t="str">
        <f>IF(MONTH(Table22[[#This Row],[Sales Date]])&lt;=3,"Q1",IF(MONTH(Table22[[#This Row],[Sales Date]])&lt;=6,"Q2",IF(MONTH(Table22[[#This Row],[Sales Date]])&lt;=9,"Q3","Q4")))</f>
        <v>Q3</v>
      </c>
      <c r="W1634" s="64">
        <f>YEAR(Table22[[#This Row],[Sales Date]])</f>
        <v>2023</v>
      </c>
      <c r="X1634" s="23">
        <v>59</v>
      </c>
      <c r="Y1634" s="18" t="s">
        <v>41</v>
      </c>
      <c r="Z1634" s="18" t="s">
        <v>56</v>
      </c>
      <c r="AA1634" s="19" t="s">
        <v>36</v>
      </c>
    </row>
    <row r="1635" spans="1:27" x14ac:dyDescent="0.25">
      <c r="A1635" s="17" t="s">
        <v>2046</v>
      </c>
      <c r="B1635" s="18" t="s">
        <v>66</v>
      </c>
      <c r="C1635" s="63" t="str" cm="1">
        <f t="array" ref="C1635">_xlfn.SWITCH(Table22[[#This Row],[Country]],"USA","North America","Canada","North America","Brazil","South America","China","Asia","Japan","Asia","India","Asia","France","Europe","Germany","Europe","UK","Europe","Australia","Oceania","South America")</f>
        <v>North America</v>
      </c>
      <c r="D1635" s="18" t="s">
        <v>28</v>
      </c>
      <c r="E1635" s="18" t="s">
        <v>39</v>
      </c>
      <c r="F1635" s="18" t="s">
        <v>64</v>
      </c>
      <c r="G1635" s="18" t="s">
        <v>29</v>
      </c>
      <c r="H1635" s="64">
        <f>LEN(TRIM(Table22[[#This Row],[Country]]))</f>
        <v>6</v>
      </c>
      <c r="I1635" s="64">
        <f>LEN(TRIM(Table22[[#This Row],[Continent]]))</f>
        <v>13</v>
      </c>
      <c r="J1635" s="64">
        <f>LEN(TRIM(Table22[[#This Row],[Product]]))</f>
        <v>10</v>
      </c>
      <c r="K1635" s="64">
        <f>LEN(TRIM(Table22[[#This Row],[Sales Team]]))</f>
        <v>10</v>
      </c>
      <c r="L1635" s="23">
        <v>89</v>
      </c>
      <c r="M1635" s="65" t="str" cm="1">
        <f t="array" ref="M1635">_xlfn.IFS(Table22[[#This Row],[Units Sold]]&lt;40,"Critical",Table22[[#This Row],[Units Sold]]&lt;=50,"Poor",Table22[[#This Row],[Units Sold]]&lt;=60,"Low",Table22[[#This Row],[Units Sold]]&lt;=80,"Average",Table22[[#This Row],[Units Sold]]&lt;=90,"High",Table22[[#This Row],[Units Sold]]&lt;=95,"Excellent",Table22[[#This Row],[Units Sold]]&gt;95,"Outstanding")</f>
        <v>High</v>
      </c>
      <c r="N1635" s="29">
        <v>96.49</v>
      </c>
      <c r="O1635" s="29">
        <v>8587.61</v>
      </c>
      <c r="P1635" s="43">
        <f>IF(Table22[[#This Row],[Discount Applied]],Table22[[#This Row],[Total Sales (in USD)]]*(1-Table22[[#This Row],[Discount Percentage (%)]]/100),Table22[[#This Row],[Total Sales (in USD)]])</f>
        <v>8587.61</v>
      </c>
      <c r="Q1635" s="66">
        <f>SQRT(AVERAGE((Table22[[#This Row],[Net Sales (after discount) (in USD)]]-AVERAGE(Table22[Net Sales (after discount) (in USD)]))^2))</f>
        <v>27923.750563764537</v>
      </c>
      <c r="R1635" s="18" t="b">
        <v>0</v>
      </c>
      <c r="S1635" s="40">
        <v>4.93</v>
      </c>
      <c r="T1635" s="18" t="b">
        <v>0</v>
      </c>
      <c r="U1635" s="25">
        <v>44952</v>
      </c>
      <c r="V1635" s="63" t="str">
        <f>IF(MONTH(Table22[[#This Row],[Sales Date]])&lt;=3,"Q1",IF(MONTH(Table22[[#This Row],[Sales Date]])&lt;=6,"Q2",IF(MONTH(Table22[[#This Row],[Sales Date]])&lt;=9,"Q3","Q4")))</f>
        <v>Q1</v>
      </c>
      <c r="W1635" s="64">
        <f>YEAR(Table22[[#This Row],[Sales Date]])</f>
        <v>2023</v>
      </c>
      <c r="X1635" s="23">
        <v>34</v>
      </c>
      <c r="Y1635" s="18" t="s">
        <v>41</v>
      </c>
      <c r="Z1635" s="18" t="s">
        <v>24</v>
      </c>
      <c r="AA1635" s="19" t="s">
        <v>36</v>
      </c>
    </row>
    <row r="1636" spans="1:27" x14ac:dyDescent="0.25">
      <c r="A1636" s="17" t="s">
        <v>244</v>
      </c>
      <c r="B1636" s="18" t="s">
        <v>32</v>
      </c>
      <c r="C1636" s="63" t="str" cm="1">
        <f t="array" ref="C1636">_xlfn.SWITCH(Table22[[#This Row],[Country]],"USA","North America","Canada","North America","Brazil","South America","China","Asia","Japan","Asia","India","Asia","France","Europe","Germany","Europe","UK","Europe","Australia","Oceania","South America")</f>
        <v>Asia</v>
      </c>
      <c r="D1636" s="18" t="s">
        <v>21</v>
      </c>
      <c r="E1636" s="18" t="s">
        <v>33</v>
      </c>
      <c r="F1636" s="18" t="s">
        <v>52</v>
      </c>
      <c r="G1636" s="18" t="s">
        <v>48</v>
      </c>
      <c r="H1636" s="64">
        <f>LEN(TRIM(Table22[[#This Row],[Country]]))</f>
        <v>5</v>
      </c>
      <c r="I1636" s="64">
        <f>LEN(TRIM(Table22[[#This Row],[Continent]]))</f>
        <v>4</v>
      </c>
      <c r="J1636" s="64">
        <f>LEN(TRIM(Table22[[#This Row],[Product]]))</f>
        <v>10</v>
      </c>
      <c r="K1636" s="64">
        <f>LEN(TRIM(Table22[[#This Row],[Sales Team]]))</f>
        <v>9</v>
      </c>
      <c r="L1636" s="23">
        <v>65</v>
      </c>
      <c r="M1636" s="65" t="str" cm="1">
        <f t="array" ref="M1636">_xlfn.IFS(Table22[[#This Row],[Units Sold]]&lt;40,"Critical",Table22[[#This Row],[Units Sold]]&lt;=50,"Poor",Table22[[#This Row],[Units Sold]]&lt;=60,"Low",Table22[[#This Row],[Units Sold]]&lt;=80,"Average",Table22[[#This Row],[Units Sold]]&lt;=90,"High",Table22[[#This Row],[Units Sold]]&lt;=95,"Excellent",Table22[[#This Row],[Units Sold]]&gt;95,"Outstanding")</f>
        <v>Average</v>
      </c>
      <c r="N1636" s="29">
        <v>131.9</v>
      </c>
      <c r="O1636" s="29">
        <v>8573.5</v>
      </c>
      <c r="P1636" s="43">
        <f>IF(Table22[[#This Row],[Discount Applied]],Table22[[#This Row],[Total Sales (in USD)]]*(1-Table22[[#This Row],[Discount Percentage (%)]]/100),Table22[[#This Row],[Total Sales (in USD)]])</f>
        <v>8573.5</v>
      </c>
      <c r="Q1636" s="66">
        <f>SQRT(AVERAGE((Table22[[#This Row],[Net Sales (after discount) (in USD)]]-AVERAGE(Table22[Net Sales (after discount) (in USD)]))^2))</f>
        <v>27937.860563764538</v>
      </c>
      <c r="R1636" s="18" t="b">
        <v>0</v>
      </c>
      <c r="S1636" s="40">
        <v>21.35</v>
      </c>
      <c r="T1636" s="18" t="b">
        <v>0</v>
      </c>
      <c r="U1636" s="25">
        <v>45419</v>
      </c>
      <c r="V1636" s="63" t="str">
        <f>IF(MONTH(Table22[[#This Row],[Sales Date]])&lt;=3,"Q1",IF(MONTH(Table22[[#This Row],[Sales Date]])&lt;=6,"Q2",IF(MONTH(Table22[[#This Row],[Sales Date]])&lt;=9,"Q3","Q4")))</f>
        <v>Q2</v>
      </c>
      <c r="W1636" s="64">
        <f>YEAR(Table22[[#This Row],[Sales Date]])</f>
        <v>2024</v>
      </c>
      <c r="X1636" s="23">
        <v>65</v>
      </c>
      <c r="Y1636" s="18" t="s">
        <v>23</v>
      </c>
      <c r="Z1636" s="18" t="s">
        <v>56</v>
      </c>
      <c r="AA1636" s="19" t="s">
        <v>25</v>
      </c>
    </row>
    <row r="1637" spans="1:27" x14ac:dyDescent="0.25">
      <c r="A1637" s="17" t="s">
        <v>1785</v>
      </c>
      <c r="B1637" s="18" t="s">
        <v>27</v>
      </c>
      <c r="C1637" s="63" t="str" cm="1">
        <f t="array" ref="C1637">_xlfn.SWITCH(Table22[[#This Row],[Country]],"USA","North America","Canada","North America","Brazil","South America","China","Asia","Japan","Asia","India","Asia","France","Europe","Germany","Europe","UK","Europe","Australia","Oceania","South America")</f>
        <v>Europe</v>
      </c>
      <c r="D1637" s="18" t="s">
        <v>28</v>
      </c>
      <c r="E1637" s="18" t="s">
        <v>19</v>
      </c>
      <c r="F1637" s="18" t="s">
        <v>52</v>
      </c>
      <c r="G1637" s="18" t="s">
        <v>22</v>
      </c>
      <c r="H1637" s="64">
        <f>LEN(TRIM(Table22[[#This Row],[Country]]))</f>
        <v>7</v>
      </c>
      <c r="I1637" s="64">
        <f>LEN(TRIM(Table22[[#This Row],[Continent]]))</f>
        <v>6</v>
      </c>
      <c r="J1637" s="64">
        <f>LEN(TRIM(Table22[[#This Row],[Product]]))</f>
        <v>6</v>
      </c>
      <c r="K1637" s="64">
        <f>LEN(TRIM(Table22[[#This Row],[Sales Team]]))</f>
        <v>10</v>
      </c>
      <c r="L1637" s="23">
        <v>8</v>
      </c>
      <c r="M1637" s="65" t="str" cm="1">
        <f t="array" ref="M1637">_xlfn.IFS(Table22[[#This Row],[Units Sold]]&lt;40,"Critical",Table22[[#This Row],[Units Sold]]&lt;=50,"Poor",Table22[[#This Row],[Units Sold]]&lt;=60,"Low",Table22[[#This Row],[Units Sold]]&lt;=80,"Average",Table22[[#This Row],[Units Sold]]&lt;=90,"High",Table22[[#This Row],[Units Sold]]&lt;=95,"Excellent",Table22[[#This Row],[Units Sold]]&gt;95,"Outstanding")</f>
        <v>Critical</v>
      </c>
      <c r="N1637" s="29">
        <v>1070.72</v>
      </c>
      <c r="O1637" s="29">
        <v>8565.76</v>
      </c>
      <c r="P1637" s="43">
        <f>IF(Table22[[#This Row],[Discount Applied]],Table22[[#This Row],[Total Sales (in USD)]]*(1-Table22[[#This Row],[Discount Percentage (%)]]/100),Table22[[#This Row],[Total Sales (in USD)]])</f>
        <v>8565.76</v>
      </c>
      <c r="Q1637" s="66">
        <f>SQRT(AVERAGE((Table22[[#This Row],[Net Sales (after discount) (in USD)]]-AVERAGE(Table22[Net Sales (after discount) (in USD)]))^2))</f>
        <v>27945.600563764536</v>
      </c>
      <c r="R1637" s="18" t="b">
        <v>1</v>
      </c>
      <c r="S1637" s="40">
        <v>20.41</v>
      </c>
      <c r="T1637" s="18" t="b">
        <v>0</v>
      </c>
      <c r="U1637" s="25">
        <v>45270</v>
      </c>
      <c r="V1637" s="63" t="str">
        <f>IF(MONTH(Table22[[#This Row],[Sales Date]])&lt;=3,"Q1",IF(MONTH(Table22[[#This Row],[Sales Date]])&lt;=6,"Q2",IF(MONTH(Table22[[#This Row],[Sales Date]])&lt;=9,"Q3","Q4")))</f>
        <v>Q4</v>
      </c>
      <c r="W1637" s="64">
        <f>YEAR(Table22[[#This Row],[Sales Date]])</f>
        <v>2023</v>
      </c>
      <c r="X1637" s="23">
        <v>65</v>
      </c>
      <c r="Y1637" s="18" t="s">
        <v>41</v>
      </c>
      <c r="Z1637" s="18" t="s">
        <v>24</v>
      </c>
      <c r="AA1637" s="19" t="s">
        <v>36</v>
      </c>
    </row>
    <row r="1638" spans="1:27" x14ac:dyDescent="0.25">
      <c r="A1638" s="17" t="s">
        <v>1924</v>
      </c>
      <c r="B1638" s="18" t="s">
        <v>38</v>
      </c>
      <c r="C1638" s="63" t="str" cm="1">
        <f t="array" ref="C1638">_xlfn.SWITCH(Table22[[#This Row],[Country]],"USA","North America","Canada","North America","Brazil","South America","China","Asia","Japan","Asia","India","Asia","France","Europe","Germany","Europe","UK","Europe","Australia","Oceania","South America")</f>
        <v>Europe</v>
      </c>
      <c r="D1638" s="18" t="s">
        <v>35</v>
      </c>
      <c r="E1638" s="18" t="s">
        <v>39</v>
      </c>
      <c r="F1638" s="18" t="s">
        <v>52</v>
      </c>
      <c r="G1638" s="18" t="s">
        <v>29</v>
      </c>
      <c r="H1638" s="64">
        <f>LEN(TRIM(Table22[[#This Row],[Country]]))</f>
        <v>6</v>
      </c>
      <c r="I1638" s="64">
        <f>LEN(TRIM(Table22[[#This Row],[Continent]]))</f>
        <v>6</v>
      </c>
      <c r="J1638" s="64">
        <f>LEN(TRIM(Table22[[#This Row],[Product]]))</f>
        <v>10</v>
      </c>
      <c r="K1638" s="64">
        <f>LEN(TRIM(Table22[[#This Row],[Sales Team]]))</f>
        <v>10</v>
      </c>
      <c r="L1638" s="23">
        <v>19</v>
      </c>
      <c r="M1638" s="65" t="str" cm="1">
        <f t="array" ref="M1638">_xlfn.IFS(Table22[[#This Row],[Units Sold]]&lt;40,"Critical",Table22[[#This Row],[Units Sold]]&lt;=50,"Poor",Table22[[#This Row],[Units Sold]]&lt;=60,"Low",Table22[[#This Row],[Units Sold]]&lt;=80,"Average",Table22[[#This Row],[Units Sold]]&lt;=90,"High",Table22[[#This Row],[Units Sold]]&lt;=95,"Excellent",Table22[[#This Row],[Units Sold]]&gt;95,"Outstanding")</f>
        <v>Critical</v>
      </c>
      <c r="N1638" s="29">
        <v>448.45</v>
      </c>
      <c r="O1638" s="29">
        <v>8520.5499999999993</v>
      </c>
      <c r="P1638" s="43">
        <f>IF(Table22[[#This Row],[Discount Applied]],Table22[[#This Row],[Total Sales (in USD)]]*(1-Table22[[#This Row],[Discount Percentage (%)]]/100),Table22[[#This Row],[Total Sales (in USD)]])</f>
        <v>8520.5499999999993</v>
      </c>
      <c r="Q1638" s="66">
        <f>SQRT(AVERAGE((Table22[[#This Row],[Net Sales (after discount) (in USD)]]-AVERAGE(Table22[Net Sales (after discount) (in USD)]))^2))</f>
        <v>27990.810563764539</v>
      </c>
      <c r="R1638" s="18" t="b">
        <v>0</v>
      </c>
      <c r="S1638" s="40">
        <v>16.55</v>
      </c>
      <c r="T1638" s="18" t="b">
        <v>0</v>
      </c>
      <c r="U1638" s="25">
        <v>45294</v>
      </c>
      <c r="V1638" s="63" t="str">
        <f>IF(MONTH(Table22[[#This Row],[Sales Date]])&lt;=3,"Q1",IF(MONTH(Table22[[#This Row],[Sales Date]])&lt;=6,"Q2",IF(MONTH(Table22[[#This Row],[Sales Date]])&lt;=9,"Q3","Q4")))</f>
        <v>Q1</v>
      </c>
      <c r="W1638" s="64">
        <f>YEAR(Table22[[#This Row],[Sales Date]])</f>
        <v>2024</v>
      </c>
      <c r="X1638" s="23">
        <v>38</v>
      </c>
      <c r="Y1638" s="18" t="s">
        <v>41</v>
      </c>
      <c r="Z1638" s="18" t="s">
        <v>24</v>
      </c>
      <c r="AA1638" s="19" t="s">
        <v>25</v>
      </c>
    </row>
    <row r="1639" spans="1:27" x14ac:dyDescent="0.25">
      <c r="A1639" s="17" t="s">
        <v>495</v>
      </c>
      <c r="B1639" s="18" t="s">
        <v>27</v>
      </c>
      <c r="C1639" s="63" t="str" cm="1">
        <f t="array" ref="C1639">_xlfn.SWITCH(Table22[[#This Row],[Country]],"USA","North America","Canada","North America","Brazil","South America","China","Asia","Japan","Asia","India","Asia","France","Europe","Germany","Europe","UK","Europe","Australia","Oceania","South America")</f>
        <v>Europe</v>
      </c>
      <c r="D1639" s="18" t="s">
        <v>35</v>
      </c>
      <c r="E1639" s="18" t="s">
        <v>39</v>
      </c>
      <c r="F1639" s="18" t="s">
        <v>47</v>
      </c>
      <c r="G1639" s="18" t="s">
        <v>48</v>
      </c>
      <c r="H1639" s="64">
        <f>LEN(TRIM(Table22[[#This Row],[Country]]))</f>
        <v>7</v>
      </c>
      <c r="I1639" s="64">
        <f>LEN(TRIM(Table22[[#This Row],[Continent]]))</f>
        <v>6</v>
      </c>
      <c r="J1639" s="64">
        <f>LEN(TRIM(Table22[[#This Row],[Product]]))</f>
        <v>10</v>
      </c>
      <c r="K1639" s="64">
        <f>LEN(TRIM(Table22[[#This Row],[Sales Team]]))</f>
        <v>9</v>
      </c>
      <c r="L1639" s="23">
        <v>11</v>
      </c>
      <c r="M1639" s="65" t="str" cm="1">
        <f t="array" ref="M1639">_xlfn.IFS(Table22[[#This Row],[Units Sold]]&lt;40,"Critical",Table22[[#This Row],[Units Sold]]&lt;=50,"Poor",Table22[[#This Row],[Units Sold]]&lt;=60,"Low",Table22[[#This Row],[Units Sold]]&lt;=80,"Average",Table22[[#This Row],[Units Sold]]&lt;=90,"High",Table22[[#This Row],[Units Sold]]&lt;=95,"Excellent",Table22[[#This Row],[Units Sold]]&gt;95,"Outstanding")</f>
        <v>Critical</v>
      </c>
      <c r="N1639" s="29">
        <v>771.65</v>
      </c>
      <c r="O1639" s="29">
        <v>8488.15</v>
      </c>
      <c r="P1639" s="43">
        <f>IF(Table22[[#This Row],[Discount Applied]],Table22[[#This Row],[Total Sales (in USD)]]*(1-Table22[[#This Row],[Discount Percentage (%)]]/100),Table22[[#This Row],[Total Sales (in USD)]])</f>
        <v>8488.15</v>
      </c>
      <c r="Q1639" s="66">
        <f>SQRT(AVERAGE((Table22[[#This Row],[Net Sales (after discount) (in USD)]]-AVERAGE(Table22[Net Sales (after discount) (in USD)]))^2))</f>
        <v>28023.210563764536</v>
      </c>
      <c r="R1639" s="18" t="b">
        <v>0</v>
      </c>
      <c r="S1639" s="40">
        <v>20.8</v>
      </c>
      <c r="T1639" s="18" t="b">
        <v>0</v>
      </c>
      <c r="U1639" s="25">
        <v>45140</v>
      </c>
      <c r="V1639" s="63" t="str">
        <f>IF(MONTH(Table22[[#This Row],[Sales Date]])&lt;=3,"Q1",IF(MONTH(Table22[[#This Row],[Sales Date]])&lt;=6,"Q2",IF(MONTH(Table22[[#This Row],[Sales Date]])&lt;=9,"Q3","Q4")))</f>
        <v>Q3</v>
      </c>
      <c r="W1639" s="64">
        <f>YEAR(Table22[[#This Row],[Sales Date]])</f>
        <v>2023</v>
      </c>
      <c r="X1639" s="23">
        <v>63</v>
      </c>
      <c r="Y1639" s="18" t="s">
        <v>23</v>
      </c>
      <c r="Z1639" s="18" t="s">
        <v>30</v>
      </c>
      <c r="AA1639" s="19" t="s">
        <v>36</v>
      </c>
    </row>
    <row r="1640" spans="1:27" x14ac:dyDescent="0.25">
      <c r="A1640" s="17" t="s">
        <v>1894</v>
      </c>
      <c r="B1640" s="18" t="s">
        <v>66</v>
      </c>
      <c r="C1640" s="63" t="str" cm="1">
        <f t="array" ref="C1640">_xlfn.SWITCH(Table22[[#This Row],[Country]],"USA","North America","Canada","North America","Brazil","South America","China","Asia","Japan","Asia","India","Asia","France","Europe","Germany","Europe","UK","Europe","Australia","Oceania","South America")</f>
        <v>North America</v>
      </c>
      <c r="D1640" s="18" t="s">
        <v>21</v>
      </c>
      <c r="E1640" s="18" t="s">
        <v>33</v>
      </c>
      <c r="F1640" s="18" t="s">
        <v>20</v>
      </c>
      <c r="G1640" s="18" t="s">
        <v>48</v>
      </c>
      <c r="H1640" s="64">
        <f>LEN(TRIM(Table22[[#This Row],[Country]]))</f>
        <v>6</v>
      </c>
      <c r="I1640" s="64">
        <f>LEN(TRIM(Table22[[#This Row],[Continent]]))</f>
        <v>13</v>
      </c>
      <c r="J1640" s="64">
        <f>LEN(TRIM(Table22[[#This Row],[Product]]))</f>
        <v>10</v>
      </c>
      <c r="K1640" s="64">
        <f>LEN(TRIM(Table22[[#This Row],[Sales Team]]))</f>
        <v>9</v>
      </c>
      <c r="L1640" s="23">
        <v>19</v>
      </c>
      <c r="M1640" s="65" t="str" cm="1">
        <f t="array" ref="M1640">_xlfn.IFS(Table22[[#This Row],[Units Sold]]&lt;40,"Critical",Table22[[#This Row],[Units Sold]]&lt;=50,"Poor",Table22[[#This Row],[Units Sold]]&lt;=60,"Low",Table22[[#This Row],[Units Sold]]&lt;=80,"Average",Table22[[#This Row],[Units Sold]]&lt;=90,"High",Table22[[#This Row],[Units Sold]]&lt;=95,"Excellent",Table22[[#This Row],[Units Sold]]&gt;95,"Outstanding")</f>
        <v>Critical</v>
      </c>
      <c r="N1640" s="29">
        <v>442.15</v>
      </c>
      <c r="O1640" s="29">
        <v>8400.85</v>
      </c>
      <c r="P1640" s="43">
        <f>IF(Table22[[#This Row],[Discount Applied]],Table22[[#This Row],[Total Sales (in USD)]]*(1-Table22[[#This Row],[Discount Percentage (%)]]/100),Table22[[#This Row],[Total Sales (in USD)]])</f>
        <v>5972.1642650000003</v>
      </c>
      <c r="Q1640" s="66">
        <f>SQRT(AVERAGE((Table22[[#This Row],[Net Sales (after discount) (in USD)]]-AVERAGE(Table22[Net Sales (after discount) (in USD)]))^2))</f>
        <v>30539.196298764538</v>
      </c>
      <c r="R1640" s="18" t="b">
        <v>0</v>
      </c>
      <c r="S1640" s="40">
        <v>28.91</v>
      </c>
      <c r="T1640" s="18" t="b">
        <v>1</v>
      </c>
      <c r="U1640" s="25">
        <v>45171</v>
      </c>
      <c r="V1640" s="63" t="str">
        <f>IF(MONTH(Table22[[#This Row],[Sales Date]])&lt;=3,"Q1",IF(MONTH(Table22[[#This Row],[Sales Date]])&lt;=6,"Q2",IF(MONTH(Table22[[#This Row],[Sales Date]])&lt;=9,"Q3","Q4")))</f>
        <v>Q3</v>
      </c>
      <c r="W1640" s="64">
        <f>YEAR(Table22[[#This Row],[Sales Date]])</f>
        <v>2023</v>
      </c>
      <c r="X1640" s="23">
        <v>64</v>
      </c>
      <c r="Y1640" s="18" t="s">
        <v>23</v>
      </c>
      <c r="Z1640" s="18" t="s">
        <v>42</v>
      </c>
      <c r="AA1640" s="19" t="s">
        <v>36</v>
      </c>
    </row>
    <row r="1641" spans="1:27" x14ac:dyDescent="0.25">
      <c r="A1641" s="17" t="s">
        <v>1584</v>
      </c>
      <c r="B1641" s="18" t="s">
        <v>76</v>
      </c>
      <c r="C1641" s="63" t="str" cm="1">
        <f t="array" ref="C1641">_xlfn.SWITCH(Table22[[#This Row],[Country]],"USA","North America","Canada","North America","Brazil","South America","China","Asia","Japan","Asia","India","Asia","France","Europe","Germany","Europe","UK","Europe","Australia","Oceania","South America")</f>
        <v>Asia</v>
      </c>
      <c r="D1641" s="18" t="s">
        <v>35</v>
      </c>
      <c r="E1641" s="18" t="s">
        <v>19</v>
      </c>
      <c r="F1641" s="18" t="s">
        <v>52</v>
      </c>
      <c r="G1641" s="18" t="s">
        <v>29</v>
      </c>
      <c r="H1641" s="64">
        <f>LEN(TRIM(Table22[[#This Row],[Country]]))</f>
        <v>5</v>
      </c>
      <c r="I1641" s="64">
        <f>LEN(TRIM(Table22[[#This Row],[Continent]]))</f>
        <v>4</v>
      </c>
      <c r="J1641" s="64">
        <f>LEN(TRIM(Table22[[#This Row],[Product]]))</f>
        <v>6</v>
      </c>
      <c r="K1641" s="64">
        <f>LEN(TRIM(Table22[[#This Row],[Sales Team]]))</f>
        <v>10</v>
      </c>
      <c r="L1641" s="23">
        <v>13</v>
      </c>
      <c r="M1641" s="65" t="str" cm="1">
        <f t="array" ref="M1641">_xlfn.IFS(Table22[[#This Row],[Units Sold]]&lt;40,"Critical",Table22[[#This Row],[Units Sold]]&lt;=50,"Poor",Table22[[#This Row],[Units Sold]]&lt;=60,"Low",Table22[[#This Row],[Units Sold]]&lt;=80,"Average",Table22[[#This Row],[Units Sold]]&lt;=90,"High",Table22[[#This Row],[Units Sold]]&lt;=95,"Excellent",Table22[[#This Row],[Units Sold]]&gt;95,"Outstanding")</f>
        <v>Critical</v>
      </c>
      <c r="N1641" s="29">
        <v>639.61</v>
      </c>
      <c r="O1641" s="29">
        <v>8314.93</v>
      </c>
      <c r="P1641" s="43">
        <f>IF(Table22[[#This Row],[Discount Applied]],Table22[[#This Row],[Total Sales (in USD)]]*(1-Table22[[#This Row],[Discount Percentage (%)]]/100),Table22[[#This Row],[Total Sales (in USD)]])</f>
        <v>6278.6036430000004</v>
      </c>
      <c r="Q1641" s="66">
        <f>SQRT(AVERAGE((Table22[[#This Row],[Net Sales (after discount) (in USD)]]-AVERAGE(Table22[Net Sales (after discount) (in USD)]))^2))</f>
        <v>30232.756920764536</v>
      </c>
      <c r="R1641" s="18" t="b">
        <v>0</v>
      </c>
      <c r="S1641" s="40">
        <v>24.49</v>
      </c>
      <c r="T1641" s="18" t="b">
        <v>1</v>
      </c>
      <c r="U1641" s="25">
        <v>45426</v>
      </c>
      <c r="V1641" s="63" t="str">
        <f>IF(MONTH(Table22[[#This Row],[Sales Date]])&lt;=3,"Q1",IF(MONTH(Table22[[#This Row],[Sales Date]])&lt;=6,"Q2",IF(MONTH(Table22[[#This Row],[Sales Date]])&lt;=9,"Q3","Q4")))</f>
        <v>Q2</v>
      </c>
      <c r="W1641" s="64">
        <f>YEAR(Table22[[#This Row],[Sales Date]])</f>
        <v>2024</v>
      </c>
      <c r="X1641" s="23">
        <v>24</v>
      </c>
      <c r="Y1641" s="18" t="s">
        <v>23</v>
      </c>
      <c r="Z1641" s="18" t="s">
        <v>24</v>
      </c>
      <c r="AA1641" s="19" t="s">
        <v>36</v>
      </c>
    </row>
    <row r="1642" spans="1:27" x14ac:dyDescent="0.25">
      <c r="A1642" s="17" t="s">
        <v>950</v>
      </c>
      <c r="B1642" s="18" t="s">
        <v>62</v>
      </c>
      <c r="C1642" s="63" t="str" cm="1">
        <f t="array" ref="C1642">_xlfn.SWITCH(Table22[[#This Row],[Country]],"USA","North America","Canada","North America","Brazil","South America","China","Asia","Japan","Asia","India","Asia","France","Europe","Germany","Europe","UK","Europe","Australia","Oceania","South America")</f>
        <v>Oceania</v>
      </c>
      <c r="D1642" s="18" t="s">
        <v>44</v>
      </c>
      <c r="E1642" s="18" t="s">
        <v>19</v>
      </c>
      <c r="F1642" s="18" t="s">
        <v>64</v>
      </c>
      <c r="G1642" s="18" t="s">
        <v>29</v>
      </c>
      <c r="H1642" s="64">
        <f>LEN(TRIM(Table22[[#This Row],[Country]]))</f>
        <v>9</v>
      </c>
      <c r="I1642" s="64">
        <f>LEN(TRIM(Table22[[#This Row],[Continent]]))</f>
        <v>7</v>
      </c>
      <c r="J1642" s="64">
        <f>LEN(TRIM(Table22[[#This Row],[Product]]))</f>
        <v>6</v>
      </c>
      <c r="K1642" s="64">
        <f>LEN(TRIM(Table22[[#This Row],[Sales Team]]))</f>
        <v>10</v>
      </c>
      <c r="L1642" s="23">
        <v>58</v>
      </c>
      <c r="M1642" s="65" t="str" cm="1">
        <f t="array" ref="M1642">_xlfn.IFS(Table22[[#This Row],[Units Sold]]&lt;40,"Critical",Table22[[#This Row],[Units Sold]]&lt;=50,"Poor",Table22[[#This Row],[Units Sold]]&lt;=60,"Low",Table22[[#This Row],[Units Sold]]&lt;=80,"Average",Table22[[#This Row],[Units Sold]]&lt;=90,"High",Table22[[#This Row],[Units Sold]]&lt;=95,"Excellent",Table22[[#This Row],[Units Sold]]&gt;95,"Outstanding")</f>
        <v>Low</v>
      </c>
      <c r="N1642" s="29">
        <v>142.61000000000001</v>
      </c>
      <c r="O1642" s="29">
        <v>8271.3799999999992</v>
      </c>
      <c r="P1642" s="43">
        <f>IF(Table22[[#This Row],[Discount Applied]],Table22[[#This Row],[Total Sales (in USD)]]*(1-Table22[[#This Row],[Discount Percentage (%)]]/100),Table22[[#This Row],[Total Sales (in USD)]])</f>
        <v>6057.9587119999987</v>
      </c>
      <c r="Q1642" s="66">
        <f>SQRT(AVERAGE((Table22[[#This Row],[Net Sales (after discount) (in USD)]]-AVERAGE(Table22[Net Sales (after discount) (in USD)]))^2))</f>
        <v>30453.401851764538</v>
      </c>
      <c r="R1642" s="18" t="b">
        <v>0</v>
      </c>
      <c r="S1642" s="40">
        <v>26.76</v>
      </c>
      <c r="T1642" s="18" t="b">
        <v>1</v>
      </c>
      <c r="U1642" s="25">
        <v>44935</v>
      </c>
      <c r="V1642" s="63" t="str">
        <f>IF(MONTH(Table22[[#This Row],[Sales Date]])&lt;=3,"Q1",IF(MONTH(Table22[[#This Row],[Sales Date]])&lt;=6,"Q2",IF(MONTH(Table22[[#This Row],[Sales Date]])&lt;=9,"Q3","Q4")))</f>
        <v>Q1</v>
      </c>
      <c r="W1642" s="64">
        <f>YEAR(Table22[[#This Row],[Sales Date]])</f>
        <v>2023</v>
      </c>
      <c r="X1642" s="23">
        <v>30</v>
      </c>
      <c r="Y1642" s="18" t="s">
        <v>49</v>
      </c>
      <c r="Z1642" s="18" t="s">
        <v>30</v>
      </c>
      <c r="AA1642" s="19" t="s">
        <v>25</v>
      </c>
    </row>
    <row r="1643" spans="1:27" x14ac:dyDescent="0.25">
      <c r="A1643" s="17" t="s">
        <v>861</v>
      </c>
      <c r="B1643" s="18" t="s">
        <v>46</v>
      </c>
      <c r="C1643" s="63" t="str" cm="1">
        <f t="array" ref="C1643">_xlfn.SWITCH(Table22[[#This Row],[Country]],"USA","North America","Canada","North America","Brazil","South America","China","Asia","Japan","Asia","India","Asia","France","Europe","Germany","Europe","UK","Europe","Australia","Oceania","South America")</f>
        <v>South America</v>
      </c>
      <c r="D1643" s="18" t="s">
        <v>35</v>
      </c>
      <c r="E1643" s="18" t="s">
        <v>19</v>
      </c>
      <c r="F1643" s="18" t="s">
        <v>47</v>
      </c>
      <c r="G1643" s="18" t="s">
        <v>48</v>
      </c>
      <c r="H1643" s="64">
        <f>LEN(TRIM(Table22[[#This Row],[Country]]))</f>
        <v>6</v>
      </c>
      <c r="I1643" s="64">
        <f>LEN(TRIM(Table22[[#This Row],[Continent]]))</f>
        <v>13</v>
      </c>
      <c r="J1643" s="64">
        <f>LEN(TRIM(Table22[[#This Row],[Product]]))</f>
        <v>6</v>
      </c>
      <c r="K1643" s="64">
        <f>LEN(TRIM(Table22[[#This Row],[Sales Team]]))</f>
        <v>9</v>
      </c>
      <c r="L1643" s="23">
        <v>15</v>
      </c>
      <c r="M1643" s="65" t="str" cm="1">
        <f t="array" ref="M1643">_xlfn.IFS(Table22[[#This Row],[Units Sold]]&lt;40,"Critical",Table22[[#This Row],[Units Sold]]&lt;=50,"Poor",Table22[[#This Row],[Units Sold]]&lt;=60,"Low",Table22[[#This Row],[Units Sold]]&lt;=80,"Average",Table22[[#This Row],[Units Sold]]&lt;=90,"High",Table22[[#This Row],[Units Sold]]&lt;=95,"Excellent",Table22[[#This Row],[Units Sold]]&gt;95,"Outstanding")</f>
        <v>Critical</v>
      </c>
      <c r="N1643" s="29">
        <v>550.91999999999996</v>
      </c>
      <c r="O1643" s="29">
        <v>8263.7999999999993</v>
      </c>
      <c r="P1643" s="43">
        <f>IF(Table22[[#This Row],[Discount Applied]],Table22[[#This Row],[Total Sales (in USD)]]*(1-Table22[[#This Row],[Discount Percentage (%)]]/100),Table22[[#This Row],[Total Sales (in USD)]])</f>
        <v>8263.7999999999993</v>
      </c>
      <c r="Q1643" s="66">
        <f>SQRT(AVERAGE((Table22[[#This Row],[Net Sales (after discount) (in USD)]]-AVERAGE(Table22[Net Sales (after discount) (in USD)]))^2))</f>
        <v>28247.560563764539</v>
      </c>
      <c r="R1643" s="18" t="b">
        <v>0</v>
      </c>
      <c r="S1643" s="40">
        <v>4.3899999999999997</v>
      </c>
      <c r="T1643" s="18" t="b">
        <v>0</v>
      </c>
      <c r="U1643" s="25">
        <v>45450</v>
      </c>
      <c r="V1643" s="63" t="str">
        <f>IF(MONTH(Table22[[#This Row],[Sales Date]])&lt;=3,"Q1",IF(MONTH(Table22[[#This Row],[Sales Date]])&lt;=6,"Q2",IF(MONTH(Table22[[#This Row],[Sales Date]])&lt;=9,"Q3","Q4")))</f>
        <v>Q2</v>
      </c>
      <c r="W1643" s="64">
        <f>YEAR(Table22[[#This Row],[Sales Date]])</f>
        <v>2024</v>
      </c>
      <c r="X1643" s="23">
        <v>37</v>
      </c>
      <c r="Y1643" s="18" t="s">
        <v>41</v>
      </c>
      <c r="Z1643" s="18" t="s">
        <v>30</v>
      </c>
      <c r="AA1643" s="19" t="s">
        <v>36</v>
      </c>
    </row>
    <row r="1644" spans="1:27" x14ac:dyDescent="0.25">
      <c r="A1644" s="17" t="s">
        <v>139</v>
      </c>
      <c r="B1644" s="18" t="s">
        <v>72</v>
      </c>
      <c r="C1644" s="63" t="str" cm="1">
        <f t="array" ref="C1644">_xlfn.SWITCH(Table22[[#This Row],[Country]],"USA","North America","Canada","North America","Brazil","South America","China","Asia","Japan","Asia","India","Asia","France","Europe","Germany","Europe","UK","Europe","Australia","Oceania","South America")</f>
        <v>North America</v>
      </c>
      <c r="D1644" s="18" t="s">
        <v>35</v>
      </c>
      <c r="E1644" s="18" t="s">
        <v>19</v>
      </c>
      <c r="F1644" s="18" t="s">
        <v>20</v>
      </c>
      <c r="G1644" s="18" t="s">
        <v>40</v>
      </c>
      <c r="H1644" s="64">
        <f>LEN(TRIM(Table22[[#This Row],[Country]]))</f>
        <v>3</v>
      </c>
      <c r="I1644" s="64">
        <f>LEN(TRIM(Table22[[#This Row],[Continent]]))</f>
        <v>13</v>
      </c>
      <c r="J1644" s="64">
        <f>LEN(TRIM(Table22[[#This Row],[Product]]))</f>
        <v>6</v>
      </c>
      <c r="K1644" s="64">
        <f>LEN(TRIM(Table22[[#This Row],[Sales Team]]))</f>
        <v>10</v>
      </c>
      <c r="L1644" s="23">
        <v>72</v>
      </c>
      <c r="M1644" s="65" t="str" cm="1">
        <f t="array" ref="M1644">_xlfn.IFS(Table22[[#This Row],[Units Sold]]&lt;40,"Critical",Table22[[#This Row],[Units Sold]]&lt;=50,"Poor",Table22[[#This Row],[Units Sold]]&lt;=60,"Low",Table22[[#This Row],[Units Sold]]&lt;=80,"Average",Table22[[#This Row],[Units Sold]]&lt;=90,"High",Table22[[#This Row],[Units Sold]]&lt;=95,"Excellent",Table22[[#This Row],[Units Sold]]&gt;95,"Outstanding")</f>
        <v>Average</v>
      </c>
      <c r="N1644" s="29">
        <v>114.76</v>
      </c>
      <c r="O1644" s="29">
        <v>8262.7199999999993</v>
      </c>
      <c r="P1644" s="43">
        <f>IF(Table22[[#This Row],[Discount Applied]],Table22[[#This Row],[Total Sales (in USD)]]*(1-Table22[[#This Row],[Discount Percentage (%)]]/100),Table22[[#This Row],[Total Sales (in USD)]])</f>
        <v>8262.7199999999993</v>
      </c>
      <c r="Q1644" s="66">
        <f>SQRT(AVERAGE((Table22[[#This Row],[Net Sales (after discount) (in USD)]]-AVERAGE(Table22[Net Sales (after discount) (in USD)]))^2))</f>
        <v>28248.640563764537</v>
      </c>
      <c r="R1644" s="18" t="b">
        <v>0</v>
      </c>
      <c r="S1644" s="40">
        <v>3.11</v>
      </c>
      <c r="T1644" s="18" t="b">
        <v>0</v>
      </c>
      <c r="U1644" s="25">
        <v>44957</v>
      </c>
      <c r="V1644" s="63" t="str">
        <f>IF(MONTH(Table22[[#This Row],[Sales Date]])&lt;=3,"Q1",IF(MONTH(Table22[[#This Row],[Sales Date]])&lt;=6,"Q2",IF(MONTH(Table22[[#This Row],[Sales Date]])&lt;=9,"Q3","Q4")))</f>
        <v>Q1</v>
      </c>
      <c r="W1644" s="64">
        <f>YEAR(Table22[[#This Row],[Sales Date]])</f>
        <v>2023</v>
      </c>
      <c r="X1644" s="23">
        <v>21</v>
      </c>
      <c r="Y1644" s="18" t="s">
        <v>41</v>
      </c>
      <c r="Z1644" s="18" t="s">
        <v>24</v>
      </c>
      <c r="AA1644" s="19" t="s">
        <v>25</v>
      </c>
    </row>
    <row r="1645" spans="1:27" x14ac:dyDescent="0.25">
      <c r="A1645" s="17" t="s">
        <v>63</v>
      </c>
      <c r="B1645" s="18" t="s">
        <v>38</v>
      </c>
      <c r="C1645" s="63" t="str" cm="1">
        <f t="array" ref="C1645">_xlfn.SWITCH(Table22[[#This Row],[Country]],"USA","North America","Canada","North America","Brazil","South America","China","Asia","Japan","Asia","India","Asia","France","Europe","Germany","Europe","UK","Europe","Australia","Oceania","South America")</f>
        <v>Europe</v>
      </c>
      <c r="D1645" s="18" t="s">
        <v>44</v>
      </c>
      <c r="E1645" s="18" t="s">
        <v>19</v>
      </c>
      <c r="F1645" s="18" t="s">
        <v>64</v>
      </c>
      <c r="G1645" s="18" t="s">
        <v>48</v>
      </c>
      <c r="H1645" s="64">
        <f>LEN(TRIM(Table22[[#This Row],[Country]]))</f>
        <v>6</v>
      </c>
      <c r="I1645" s="64">
        <f>LEN(TRIM(Table22[[#This Row],[Continent]]))</f>
        <v>6</v>
      </c>
      <c r="J1645" s="64">
        <f>LEN(TRIM(Table22[[#This Row],[Product]]))</f>
        <v>6</v>
      </c>
      <c r="K1645" s="64">
        <f>LEN(TRIM(Table22[[#This Row],[Sales Team]]))</f>
        <v>9</v>
      </c>
      <c r="L1645" s="23">
        <v>81</v>
      </c>
      <c r="M1645" s="65" t="str" cm="1">
        <f t="array" ref="M1645">_xlfn.IFS(Table22[[#This Row],[Units Sold]]&lt;40,"Critical",Table22[[#This Row],[Units Sold]]&lt;=50,"Poor",Table22[[#This Row],[Units Sold]]&lt;=60,"Low",Table22[[#This Row],[Units Sold]]&lt;=80,"Average",Table22[[#This Row],[Units Sold]]&lt;=90,"High",Table22[[#This Row],[Units Sold]]&lt;=95,"Excellent",Table22[[#This Row],[Units Sold]]&gt;95,"Outstanding")</f>
        <v>High</v>
      </c>
      <c r="N1645" s="29">
        <v>101.86</v>
      </c>
      <c r="O1645" s="29">
        <v>8250.66</v>
      </c>
      <c r="P1645" s="43">
        <f>IF(Table22[[#This Row],[Discount Applied]],Table22[[#This Row],[Total Sales (in USD)]]*(1-Table22[[#This Row],[Discount Percentage (%)]]/100),Table22[[#This Row],[Total Sales (in USD)]])</f>
        <v>7177.2491339999997</v>
      </c>
      <c r="Q1645" s="66">
        <f>SQRT(AVERAGE((Table22[[#This Row],[Net Sales (after discount) (in USD)]]-AVERAGE(Table22[Net Sales (after discount) (in USD)]))^2))</f>
        <v>29334.11142976454</v>
      </c>
      <c r="R1645" s="18" t="b">
        <v>1</v>
      </c>
      <c r="S1645" s="40">
        <v>13.01</v>
      </c>
      <c r="T1645" s="18" t="b">
        <v>1</v>
      </c>
      <c r="U1645" s="25">
        <v>44982</v>
      </c>
      <c r="V1645" s="63" t="str">
        <f>IF(MONTH(Table22[[#This Row],[Sales Date]])&lt;=3,"Q1",IF(MONTH(Table22[[#This Row],[Sales Date]])&lt;=6,"Q2",IF(MONTH(Table22[[#This Row],[Sales Date]])&lt;=9,"Q3","Q4")))</f>
        <v>Q1</v>
      </c>
      <c r="W1645" s="64">
        <f>YEAR(Table22[[#This Row],[Sales Date]])</f>
        <v>2023</v>
      </c>
      <c r="X1645" s="23">
        <v>39</v>
      </c>
      <c r="Y1645" s="18" t="s">
        <v>41</v>
      </c>
      <c r="Z1645" s="18" t="s">
        <v>42</v>
      </c>
      <c r="AA1645" s="19" t="s">
        <v>25</v>
      </c>
    </row>
    <row r="1646" spans="1:27" x14ac:dyDescent="0.25">
      <c r="A1646" s="17" t="s">
        <v>1669</v>
      </c>
      <c r="B1646" s="18" t="s">
        <v>72</v>
      </c>
      <c r="C1646" s="63" t="str" cm="1">
        <f t="array" ref="C1646">_xlfn.SWITCH(Table22[[#This Row],[Country]],"USA","North America","Canada","North America","Brazil","South America","China","Asia","Japan","Asia","India","Asia","France","Europe","Germany","Europe","UK","Europe","Australia","Oceania","South America")</f>
        <v>North America</v>
      </c>
      <c r="D1646" s="18" t="s">
        <v>21</v>
      </c>
      <c r="E1646" s="18" t="s">
        <v>19</v>
      </c>
      <c r="F1646" s="18" t="s">
        <v>52</v>
      </c>
      <c r="G1646" s="18" t="s">
        <v>40</v>
      </c>
      <c r="H1646" s="64">
        <f>LEN(TRIM(Table22[[#This Row],[Country]]))</f>
        <v>3</v>
      </c>
      <c r="I1646" s="64">
        <f>LEN(TRIM(Table22[[#This Row],[Continent]]))</f>
        <v>13</v>
      </c>
      <c r="J1646" s="64">
        <f>LEN(TRIM(Table22[[#This Row],[Product]]))</f>
        <v>6</v>
      </c>
      <c r="K1646" s="64">
        <f>LEN(TRIM(Table22[[#This Row],[Sales Team]]))</f>
        <v>10</v>
      </c>
      <c r="L1646" s="23">
        <v>19</v>
      </c>
      <c r="M1646" s="65" t="str" cm="1">
        <f t="array" ref="M1646">_xlfn.IFS(Table22[[#This Row],[Units Sold]]&lt;40,"Critical",Table22[[#This Row],[Units Sold]]&lt;=50,"Poor",Table22[[#This Row],[Units Sold]]&lt;=60,"Low",Table22[[#This Row],[Units Sold]]&lt;=80,"Average",Table22[[#This Row],[Units Sold]]&lt;=90,"High",Table22[[#This Row],[Units Sold]]&lt;=95,"Excellent",Table22[[#This Row],[Units Sold]]&gt;95,"Outstanding")</f>
        <v>Critical</v>
      </c>
      <c r="N1646" s="29">
        <v>431.45</v>
      </c>
      <c r="O1646" s="29">
        <v>8197.5499999999993</v>
      </c>
      <c r="P1646" s="43">
        <f>IF(Table22[[#This Row],[Discount Applied]],Table22[[#This Row],[Total Sales (in USD)]]*(1-Table22[[#This Row],[Discount Percentage (%)]]/100),Table22[[#This Row],[Total Sales (in USD)]])</f>
        <v>8197.5499999999993</v>
      </c>
      <c r="Q1646" s="66">
        <f>SQRT(AVERAGE((Table22[[#This Row],[Net Sales (after discount) (in USD)]]-AVERAGE(Table22[Net Sales (after discount) (in USD)]))^2))</f>
        <v>28313.810563764539</v>
      </c>
      <c r="R1646" s="18" t="b">
        <v>1</v>
      </c>
      <c r="S1646" s="40">
        <v>27.52</v>
      </c>
      <c r="T1646" s="18" t="b">
        <v>0</v>
      </c>
      <c r="U1646" s="25">
        <v>45345</v>
      </c>
      <c r="V1646" s="63" t="str">
        <f>IF(MONTH(Table22[[#This Row],[Sales Date]])&lt;=3,"Q1",IF(MONTH(Table22[[#This Row],[Sales Date]])&lt;=6,"Q2",IF(MONTH(Table22[[#This Row],[Sales Date]])&lt;=9,"Q3","Q4")))</f>
        <v>Q1</v>
      </c>
      <c r="W1646" s="64">
        <f>YEAR(Table22[[#This Row],[Sales Date]])</f>
        <v>2024</v>
      </c>
      <c r="X1646" s="23">
        <v>25</v>
      </c>
      <c r="Y1646" s="18" t="s">
        <v>49</v>
      </c>
      <c r="Z1646" s="18" t="s">
        <v>56</v>
      </c>
      <c r="AA1646" s="19" t="s">
        <v>25</v>
      </c>
    </row>
    <row r="1647" spans="1:27" x14ac:dyDescent="0.25">
      <c r="A1647" s="17" t="s">
        <v>977</v>
      </c>
      <c r="B1647" s="18" t="s">
        <v>76</v>
      </c>
      <c r="C1647" s="63" t="str" cm="1">
        <f t="array" ref="C1647">_xlfn.SWITCH(Table22[[#This Row],[Country]],"USA","North America","Canada","North America","Brazil","South America","China","Asia","Japan","Asia","India","Asia","France","Europe","Germany","Europe","UK","Europe","Australia","Oceania","South America")</f>
        <v>Asia</v>
      </c>
      <c r="D1647" s="18" t="s">
        <v>28</v>
      </c>
      <c r="E1647" s="18" t="s">
        <v>19</v>
      </c>
      <c r="F1647" s="18" t="s">
        <v>47</v>
      </c>
      <c r="G1647" s="18" t="s">
        <v>22</v>
      </c>
      <c r="H1647" s="64">
        <f>LEN(TRIM(Table22[[#This Row],[Country]]))</f>
        <v>5</v>
      </c>
      <c r="I1647" s="64">
        <f>LEN(TRIM(Table22[[#This Row],[Continent]]))</f>
        <v>4</v>
      </c>
      <c r="J1647" s="64">
        <f>LEN(TRIM(Table22[[#This Row],[Product]]))</f>
        <v>6</v>
      </c>
      <c r="K1647" s="64">
        <f>LEN(TRIM(Table22[[#This Row],[Sales Team]]))</f>
        <v>10</v>
      </c>
      <c r="L1647" s="23">
        <v>21</v>
      </c>
      <c r="M1647" s="65" t="str" cm="1">
        <f t="array" ref="M1647">_xlfn.IFS(Table22[[#This Row],[Units Sold]]&lt;40,"Critical",Table22[[#This Row],[Units Sold]]&lt;=50,"Poor",Table22[[#This Row],[Units Sold]]&lt;=60,"Low",Table22[[#This Row],[Units Sold]]&lt;=80,"Average",Table22[[#This Row],[Units Sold]]&lt;=90,"High",Table22[[#This Row],[Units Sold]]&lt;=95,"Excellent",Table22[[#This Row],[Units Sold]]&gt;95,"Outstanding")</f>
        <v>Critical</v>
      </c>
      <c r="N1647" s="29">
        <v>388.21</v>
      </c>
      <c r="O1647" s="29">
        <v>8152.41</v>
      </c>
      <c r="P1647" s="43">
        <f>IF(Table22[[#This Row],[Discount Applied]],Table22[[#This Row],[Total Sales (in USD)]]*(1-Table22[[#This Row],[Discount Percentage (%)]]/100),Table22[[#This Row],[Total Sales (in USD)]])</f>
        <v>8152.41</v>
      </c>
      <c r="Q1647" s="66">
        <f>SQRT(AVERAGE((Table22[[#This Row],[Net Sales (after discount) (in USD)]]-AVERAGE(Table22[Net Sales (after discount) (in USD)]))^2))</f>
        <v>28358.950563764538</v>
      </c>
      <c r="R1647" s="18" t="b">
        <v>0</v>
      </c>
      <c r="S1647" s="40">
        <v>13.17</v>
      </c>
      <c r="T1647" s="18" t="b">
        <v>0</v>
      </c>
      <c r="U1647" s="25">
        <v>45072</v>
      </c>
      <c r="V1647" s="63" t="str">
        <f>IF(MONTH(Table22[[#This Row],[Sales Date]])&lt;=3,"Q1",IF(MONTH(Table22[[#This Row],[Sales Date]])&lt;=6,"Q2",IF(MONTH(Table22[[#This Row],[Sales Date]])&lt;=9,"Q3","Q4")))</f>
        <v>Q2</v>
      </c>
      <c r="W1647" s="64">
        <f>YEAR(Table22[[#This Row],[Sales Date]])</f>
        <v>2023</v>
      </c>
      <c r="X1647" s="23">
        <v>29</v>
      </c>
      <c r="Y1647" s="18" t="s">
        <v>41</v>
      </c>
      <c r="Z1647" s="18" t="s">
        <v>24</v>
      </c>
      <c r="AA1647" s="19" t="s">
        <v>36</v>
      </c>
    </row>
    <row r="1648" spans="1:27" x14ac:dyDescent="0.25">
      <c r="A1648" s="17" t="s">
        <v>1622</v>
      </c>
      <c r="B1648" s="18" t="s">
        <v>46</v>
      </c>
      <c r="C1648" s="63" t="str" cm="1">
        <f t="array" ref="C1648">_xlfn.SWITCH(Table22[[#This Row],[Country]],"USA","North America","Canada","North America","Brazil","South America","China","Asia","Japan","Asia","India","Asia","France","Europe","Germany","Europe","UK","Europe","Australia","Oceania","South America")</f>
        <v>South America</v>
      </c>
      <c r="D1648" s="18" t="s">
        <v>28</v>
      </c>
      <c r="E1648" s="18" t="s">
        <v>39</v>
      </c>
      <c r="F1648" s="18" t="s">
        <v>47</v>
      </c>
      <c r="G1648" s="18" t="s">
        <v>29</v>
      </c>
      <c r="H1648" s="64">
        <f>LEN(TRIM(Table22[[#This Row],[Country]]))</f>
        <v>6</v>
      </c>
      <c r="I1648" s="64">
        <f>LEN(TRIM(Table22[[#This Row],[Continent]]))</f>
        <v>13</v>
      </c>
      <c r="J1648" s="64">
        <f>LEN(TRIM(Table22[[#This Row],[Product]]))</f>
        <v>10</v>
      </c>
      <c r="K1648" s="64">
        <f>LEN(TRIM(Table22[[#This Row],[Sales Team]]))</f>
        <v>10</v>
      </c>
      <c r="L1648" s="23">
        <v>8</v>
      </c>
      <c r="M1648" s="65" t="str" cm="1">
        <f t="array" ref="M1648">_xlfn.IFS(Table22[[#This Row],[Units Sold]]&lt;40,"Critical",Table22[[#This Row],[Units Sold]]&lt;=50,"Poor",Table22[[#This Row],[Units Sold]]&lt;=60,"Low",Table22[[#This Row],[Units Sold]]&lt;=80,"Average",Table22[[#This Row],[Units Sold]]&lt;=90,"High",Table22[[#This Row],[Units Sold]]&lt;=95,"Excellent",Table22[[#This Row],[Units Sold]]&gt;95,"Outstanding")</f>
        <v>Critical</v>
      </c>
      <c r="N1648" s="29">
        <v>1013.96</v>
      </c>
      <c r="O1648" s="29">
        <v>8111.68</v>
      </c>
      <c r="P1648" s="43">
        <f>IF(Table22[[#This Row],[Discount Applied]],Table22[[#This Row],[Total Sales (in USD)]]*(1-Table22[[#This Row],[Discount Percentage (%)]]/100),Table22[[#This Row],[Total Sales (in USD)]])</f>
        <v>8111.68</v>
      </c>
      <c r="Q1648" s="66">
        <f>SQRT(AVERAGE((Table22[[#This Row],[Net Sales (after discount) (in USD)]]-AVERAGE(Table22[Net Sales (after discount) (in USD)]))^2))</f>
        <v>28399.680563764538</v>
      </c>
      <c r="R1648" s="18" t="b">
        <v>0</v>
      </c>
      <c r="S1648" s="40">
        <v>27.73</v>
      </c>
      <c r="T1648" s="18" t="b">
        <v>0</v>
      </c>
      <c r="U1648" s="25">
        <v>45438</v>
      </c>
      <c r="V1648" s="63" t="str">
        <f>IF(MONTH(Table22[[#This Row],[Sales Date]])&lt;=3,"Q1",IF(MONTH(Table22[[#This Row],[Sales Date]])&lt;=6,"Q2",IF(MONTH(Table22[[#This Row],[Sales Date]])&lt;=9,"Q3","Q4")))</f>
        <v>Q2</v>
      </c>
      <c r="W1648" s="64">
        <f>YEAR(Table22[[#This Row],[Sales Date]])</f>
        <v>2024</v>
      </c>
      <c r="X1648" s="23">
        <v>24</v>
      </c>
      <c r="Y1648" s="18" t="s">
        <v>49</v>
      </c>
      <c r="Z1648" s="18" t="s">
        <v>56</v>
      </c>
      <c r="AA1648" s="19" t="s">
        <v>25</v>
      </c>
    </row>
    <row r="1649" spans="1:27" x14ac:dyDescent="0.25">
      <c r="A1649" s="17" t="s">
        <v>130</v>
      </c>
      <c r="B1649" s="18" t="s">
        <v>72</v>
      </c>
      <c r="C1649" s="63" t="str" cm="1">
        <f t="array" ref="C1649">_xlfn.SWITCH(Table22[[#This Row],[Country]],"USA","North America","Canada","North America","Brazil","South America","China","Asia","Japan","Asia","India","Asia","France","Europe","Germany","Europe","UK","Europe","Australia","Oceania","South America")</f>
        <v>North America</v>
      </c>
      <c r="D1649" s="18" t="s">
        <v>21</v>
      </c>
      <c r="E1649" s="18" t="s">
        <v>39</v>
      </c>
      <c r="F1649" s="18" t="s">
        <v>52</v>
      </c>
      <c r="G1649" s="18" t="s">
        <v>48</v>
      </c>
      <c r="H1649" s="64">
        <f>LEN(TRIM(Table22[[#This Row],[Country]]))</f>
        <v>3</v>
      </c>
      <c r="I1649" s="64">
        <f>LEN(TRIM(Table22[[#This Row],[Continent]]))</f>
        <v>13</v>
      </c>
      <c r="J1649" s="64">
        <f>LEN(TRIM(Table22[[#This Row],[Product]]))</f>
        <v>10</v>
      </c>
      <c r="K1649" s="64">
        <f>LEN(TRIM(Table22[[#This Row],[Sales Team]]))</f>
        <v>9</v>
      </c>
      <c r="L1649" s="23">
        <v>6</v>
      </c>
      <c r="M1649" s="65" t="str" cm="1">
        <f t="array" ref="M1649">_xlfn.IFS(Table22[[#This Row],[Units Sold]]&lt;40,"Critical",Table22[[#This Row],[Units Sold]]&lt;=50,"Poor",Table22[[#This Row],[Units Sold]]&lt;=60,"Low",Table22[[#This Row],[Units Sold]]&lt;=80,"Average",Table22[[#This Row],[Units Sold]]&lt;=90,"High",Table22[[#This Row],[Units Sold]]&lt;=95,"Excellent",Table22[[#This Row],[Units Sold]]&gt;95,"Outstanding")</f>
        <v>Critical</v>
      </c>
      <c r="N1649" s="29">
        <v>1349.93</v>
      </c>
      <c r="O1649" s="29">
        <v>8099.58</v>
      </c>
      <c r="P1649" s="43">
        <f>IF(Table22[[#This Row],[Discount Applied]],Table22[[#This Row],[Total Sales (in USD)]]*(1-Table22[[#This Row],[Discount Percentage (%)]]/100),Table22[[#This Row],[Total Sales (in USD)]])</f>
        <v>8099.58</v>
      </c>
      <c r="Q1649" s="66">
        <f>SQRT(AVERAGE((Table22[[#This Row],[Net Sales (after discount) (in USD)]]-AVERAGE(Table22[Net Sales (after discount) (in USD)]))^2))</f>
        <v>28411.780563764536</v>
      </c>
      <c r="R1649" s="18" t="b">
        <v>1</v>
      </c>
      <c r="S1649" s="40">
        <v>0.96</v>
      </c>
      <c r="T1649" s="18" t="b">
        <v>0</v>
      </c>
      <c r="U1649" s="25">
        <v>45391</v>
      </c>
      <c r="V1649" s="63" t="str">
        <f>IF(MONTH(Table22[[#This Row],[Sales Date]])&lt;=3,"Q1",IF(MONTH(Table22[[#This Row],[Sales Date]])&lt;=6,"Q2",IF(MONTH(Table22[[#This Row],[Sales Date]])&lt;=9,"Q3","Q4")))</f>
        <v>Q2</v>
      </c>
      <c r="W1649" s="64">
        <f>YEAR(Table22[[#This Row],[Sales Date]])</f>
        <v>2024</v>
      </c>
      <c r="X1649" s="23">
        <v>50</v>
      </c>
      <c r="Y1649" s="18" t="s">
        <v>41</v>
      </c>
      <c r="Z1649" s="18" t="s">
        <v>42</v>
      </c>
      <c r="AA1649" s="19" t="s">
        <v>25</v>
      </c>
    </row>
    <row r="1650" spans="1:27" x14ac:dyDescent="0.25">
      <c r="A1650" s="17" t="s">
        <v>1682</v>
      </c>
      <c r="B1650" s="18" t="s">
        <v>18</v>
      </c>
      <c r="C1650" s="63" t="str" cm="1">
        <f t="array" ref="C1650">_xlfn.SWITCH(Table22[[#This Row],[Country]],"USA","North America","Canada","North America","Brazil","South America","China","Asia","Japan","Asia","India","Asia","France","Europe","Germany","Europe","UK","Europe","Australia","Oceania","South America")</f>
        <v>Asia</v>
      </c>
      <c r="D1650" s="18" t="s">
        <v>21</v>
      </c>
      <c r="E1650" s="18" t="s">
        <v>19</v>
      </c>
      <c r="F1650" s="18" t="s">
        <v>64</v>
      </c>
      <c r="G1650" s="18" t="s">
        <v>22</v>
      </c>
      <c r="H1650" s="64">
        <f>LEN(TRIM(Table22[[#This Row],[Country]]))</f>
        <v>5</v>
      </c>
      <c r="I1650" s="64">
        <f>LEN(TRIM(Table22[[#This Row],[Continent]]))</f>
        <v>4</v>
      </c>
      <c r="J1650" s="64">
        <f>LEN(TRIM(Table22[[#This Row],[Product]]))</f>
        <v>6</v>
      </c>
      <c r="K1650" s="64">
        <f>LEN(TRIM(Table22[[#This Row],[Sales Team]]))</f>
        <v>10</v>
      </c>
      <c r="L1650" s="23">
        <v>33</v>
      </c>
      <c r="M1650" s="65" t="str" cm="1">
        <f t="array" ref="M1650">_xlfn.IFS(Table22[[#This Row],[Units Sold]]&lt;40,"Critical",Table22[[#This Row],[Units Sold]]&lt;=50,"Poor",Table22[[#This Row],[Units Sold]]&lt;=60,"Low",Table22[[#This Row],[Units Sold]]&lt;=80,"Average",Table22[[#This Row],[Units Sold]]&lt;=90,"High",Table22[[#This Row],[Units Sold]]&lt;=95,"Excellent",Table22[[#This Row],[Units Sold]]&gt;95,"Outstanding")</f>
        <v>Critical</v>
      </c>
      <c r="N1650" s="29">
        <v>245.34</v>
      </c>
      <c r="O1650" s="29">
        <v>8096.22</v>
      </c>
      <c r="P1650" s="43">
        <f>IF(Table22[[#This Row],[Discount Applied]],Table22[[#This Row],[Total Sales (in USD)]]*(1-Table22[[#This Row],[Discount Percentage (%)]]/100),Table22[[#This Row],[Total Sales (in USD)]])</f>
        <v>8096.22</v>
      </c>
      <c r="Q1650" s="66">
        <f>SQRT(AVERAGE((Table22[[#This Row],[Net Sales (after discount) (in USD)]]-AVERAGE(Table22[Net Sales (after discount) (in USD)]))^2))</f>
        <v>28415.140563764537</v>
      </c>
      <c r="R1650" s="18" t="b">
        <v>0</v>
      </c>
      <c r="S1650" s="40">
        <v>27.6</v>
      </c>
      <c r="T1650" s="18" t="b">
        <v>0</v>
      </c>
      <c r="U1650" s="25">
        <v>45581</v>
      </c>
      <c r="V1650" s="63" t="str">
        <f>IF(MONTH(Table22[[#This Row],[Sales Date]])&lt;=3,"Q1",IF(MONTH(Table22[[#This Row],[Sales Date]])&lt;=6,"Q2",IF(MONTH(Table22[[#This Row],[Sales Date]])&lt;=9,"Q3","Q4")))</f>
        <v>Q4</v>
      </c>
      <c r="W1650" s="64">
        <f>YEAR(Table22[[#This Row],[Sales Date]])</f>
        <v>2024</v>
      </c>
      <c r="X1650" s="23">
        <v>38</v>
      </c>
      <c r="Y1650" s="18" t="s">
        <v>23</v>
      </c>
      <c r="Z1650" s="18" t="s">
        <v>42</v>
      </c>
      <c r="AA1650" s="19" t="s">
        <v>25</v>
      </c>
    </row>
    <row r="1651" spans="1:27" x14ac:dyDescent="0.25">
      <c r="A1651" s="17" t="s">
        <v>152</v>
      </c>
      <c r="B1651" s="18" t="s">
        <v>66</v>
      </c>
      <c r="C1651" s="63" t="str" cm="1">
        <f t="array" ref="C1651">_xlfn.SWITCH(Table22[[#This Row],[Country]],"USA","North America","Canada","North America","Brazil","South America","China","Asia","Japan","Asia","India","Asia","France","Europe","Germany","Europe","UK","Europe","Australia","Oceania","South America")</f>
        <v>North America</v>
      </c>
      <c r="D1651" s="18" t="s">
        <v>21</v>
      </c>
      <c r="E1651" s="18" t="s">
        <v>39</v>
      </c>
      <c r="F1651" s="18" t="s">
        <v>47</v>
      </c>
      <c r="G1651" s="18" t="s">
        <v>48</v>
      </c>
      <c r="H1651" s="64">
        <f>LEN(TRIM(Table22[[#This Row],[Country]]))</f>
        <v>6</v>
      </c>
      <c r="I1651" s="64">
        <f>LEN(TRIM(Table22[[#This Row],[Continent]]))</f>
        <v>13</v>
      </c>
      <c r="J1651" s="64">
        <f>LEN(TRIM(Table22[[#This Row],[Product]]))</f>
        <v>10</v>
      </c>
      <c r="K1651" s="64">
        <f>LEN(TRIM(Table22[[#This Row],[Sales Team]]))</f>
        <v>9</v>
      </c>
      <c r="L1651" s="23">
        <v>11</v>
      </c>
      <c r="M1651" s="65" t="str" cm="1">
        <f t="array" ref="M1651">_xlfn.IFS(Table22[[#This Row],[Units Sold]]&lt;40,"Critical",Table22[[#This Row],[Units Sold]]&lt;=50,"Poor",Table22[[#This Row],[Units Sold]]&lt;=60,"Low",Table22[[#This Row],[Units Sold]]&lt;=80,"Average",Table22[[#This Row],[Units Sold]]&lt;=90,"High",Table22[[#This Row],[Units Sold]]&lt;=95,"Excellent",Table22[[#This Row],[Units Sold]]&gt;95,"Outstanding")</f>
        <v>Critical</v>
      </c>
      <c r="N1651" s="29">
        <v>735.6</v>
      </c>
      <c r="O1651" s="29">
        <v>8091.6</v>
      </c>
      <c r="P1651" s="43">
        <f>IF(Table22[[#This Row],[Discount Applied]],Table22[[#This Row],[Total Sales (in USD)]]*(1-Table22[[#This Row],[Discount Percentage (%)]]/100),Table22[[#This Row],[Total Sales (in USD)]])</f>
        <v>7882.8367200000002</v>
      </c>
      <c r="Q1651" s="66">
        <f>SQRT(AVERAGE((Table22[[#This Row],[Net Sales (after discount) (in USD)]]-AVERAGE(Table22[Net Sales (after discount) (in USD)]))^2))</f>
        <v>28628.523843764538</v>
      </c>
      <c r="R1651" s="18" t="b">
        <v>0</v>
      </c>
      <c r="S1651" s="40">
        <v>2.58</v>
      </c>
      <c r="T1651" s="18" t="b">
        <v>1</v>
      </c>
      <c r="U1651" s="25">
        <v>45466</v>
      </c>
      <c r="V1651" s="63" t="str">
        <f>IF(MONTH(Table22[[#This Row],[Sales Date]])&lt;=3,"Q1",IF(MONTH(Table22[[#This Row],[Sales Date]])&lt;=6,"Q2",IF(MONTH(Table22[[#This Row],[Sales Date]])&lt;=9,"Q3","Q4")))</f>
        <v>Q2</v>
      </c>
      <c r="W1651" s="64">
        <f>YEAR(Table22[[#This Row],[Sales Date]])</f>
        <v>2024</v>
      </c>
      <c r="X1651" s="23">
        <v>65</v>
      </c>
      <c r="Y1651" s="18" t="s">
        <v>41</v>
      </c>
      <c r="Z1651" s="18" t="s">
        <v>24</v>
      </c>
      <c r="AA1651" s="19" t="s">
        <v>36</v>
      </c>
    </row>
    <row r="1652" spans="1:27" x14ac:dyDescent="0.25">
      <c r="A1652" s="17" t="s">
        <v>1960</v>
      </c>
      <c r="B1652" s="18" t="s">
        <v>51</v>
      </c>
      <c r="C1652" s="63" t="str" cm="1">
        <f t="array" ref="C1652">_xlfn.SWITCH(Table22[[#This Row],[Country]],"USA","North America","Canada","North America","Brazil","South America","China","Asia","Japan","Asia","India","Asia","France","Europe","Germany","Europe","UK","Europe","Australia","Oceania","South America")</f>
        <v>Europe</v>
      </c>
      <c r="D1652" s="18" t="s">
        <v>35</v>
      </c>
      <c r="E1652" s="18" t="s">
        <v>33</v>
      </c>
      <c r="F1652" s="18" t="s">
        <v>52</v>
      </c>
      <c r="G1652" s="18" t="s">
        <v>48</v>
      </c>
      <c r="H1652" s="64">
        <f>LEN(TRIM(Table22[[#This Row],[Country]]))</f>
        <v>2</v>
      </c>
      <c r="I1652" s="64">
        <f>LEN(TRIM(Table22[[#This Row],[Continent]]))</f>
        <v>6</v>
      </c>
      <c r="J1652" s="64">
        <f>LEN(TRIM(Table22[[#This Row],[Product]]))</f>
        <v>10</v>
      </c>
      <c r="K1652" s="64">
        <f>LEN(TRIM(Table22[[#This Row],[Sales Team]]))</f>
        <v>9</v>
      </c>
      <c r="L1652" s="23">
        <v>15</v>
      </c>
      <c r="M1652" s="65" t="str" cm="1">
        <f t="array" ref="M1652">_xlfn.IFS(Table22[[#This Row],[Units Sold]]&lt;40,"Critical",Table22[[#This Row],[Units Sold]]&lt;=50,"Poor",Table22[[#This Row],[Units Sold]]&lt;=60,"Low",Table22[[#This Row],[Units Sold]]&lt;=80,"Average",Table22[[#This Row],[Units Sold]]&lt;=90,"High",Table22[[#This Row],[Units Sold]]&lt;=95,"Excellent",Table22[[#This Row],[Units Sold]]&gt;95,"Outstanding")</f>
        <v>Critical</v>
      </c>
      <c r="N1652" s="29">
        <v>538.39</v>
      </c>
      <c r="O1652" s="29">
        <v>8075.85</v>
      </c>
      <c r="P1652" s="43">
        <f>IF(Table22[[#This Row],[Discount Applied]],Table22[[#This Row],[Total Sales (in USD)]]*(1-Table22[[#This Row],[Discount Percentage (%)]]/100),Table22[[#This Row],[Total Sales (in USD)]])</f>
        <v>8075.85</v>
      </c>
      <c r="Q1652" s="66">
        <f>SQRT(AVERAGE((Table22[[#This Row],[Net Sales (after discount) (in USD)]]-AVERAGE(Table22[Net Sales (after discount) (in USD)]))^2))</f>
        <v>28435.510563764539</v>
      </c>
      <c r="R1652" s="18" t="b">
        <v>0</v>
      </c>
      <c r="S1652" s="40">
        <v>2.4300000000000002</v>
      </c>
      <c r="T1652" s="18" t="b">
        <v>0</v>
      </c>
      <c r="U1652" s="25">
        <v>44958</v>
      </c>
      <c r="V1652" s="63" t="str">
        <f>IF(MONTH(Table22[[#This Row],[Sales Date]])&lt;=3,"Q1",IF(MONTH(Table22[[#This Row],[Sales Date]])&lt;=6,"Q2",IF(MONTH(Table22[[#This Row],[Sales Date]])&lt;=9,"Q3","Q4")))</f>
        <v>Q1</v>
      </c>
      <c r="W1652" s="64">
        <f>YEAR(Table22[[#This Row],[Sales Date]])</f>
        <v>2023</v>
      </c>
      <c r="X1652" s="23">
        <v>25</v>
      </c>
      <c r="Y1652" s="18" t="s">
        <v>49</v>
      </c>
      <c r="Z1652" s="18" t="s">
        <v>56</v>
      </c>
      <c r="AA1652" s="19" t="s">
        <v>36</v>
      </c>
    </row>
    <row r="1653" spans="1:27" x14ac:dyDescent="0.25">
      <c r="A1653" s="17" t="s">
        <v>1395</v>
      </c>
      <c r="B1653" s="18" t="s">
        <v>66</v>
      </c>
      <c r="C1653" s="63" t="str" cm="1">
        <f t="array" ref="C1653">_xlfn.SWITCH(Table22[[#This Row],[Country]],"USA","North America","Canada","North America","Brazil","South America","China","Asia","Japan","Asia","India","Asia","France","Europe","Germany","Europe","UK","Europe","Australia","Oceania","South America")</f>
        <v>North America</v>
      </c>
      <c r="D1653" s="18" t="s">
        <v>28</v>
      </c>
      <c r="E1653" s="18" t="s">
        <v>19</v>
      </c>
      <c r="F1653" s="18" t="s">
        <v>64</v>
      </c>
      <c r="G1653" s="18" t="s">
        <v>48</v>
      </c>
      <c r="H1653" s="64">
        <f>LEN(TRIM(Table22[[#This Row],[Country]]))</f>
        <v>6</v>
      </c>
      <c r="I1653" s="64">
        <f>LEN(TRIM(Table22[[#This Row],[Continent]]))</f>
        <v>13</v>
      </c>
      <c r="J1653" s="64">
        <f>LEN(TRIM(Table22[[#This Row],[Product]]))</f>
        <v>6</v>
      </c>
      <c r="K1653" s="64">
        <f>LEN(TRIM(Table22[[#This Row],[Sales Team]]))</f>
        <v>9</v>
      </c>
      <c r="L1653" s="23">
        <v>39</v>
      </c>
      <c r="M1653" s="65" t="str" cm="1">
        <f t="array" ref="M1653">_xlfn.IFS(Table22[[#This Row],[Units Sold]]&lt;40,"Critical",Table22[[#This Row],[Units Sold]]&lt;=50,"Poor",Table22[[#This Row],[Units Sold]]&lt;=60,"Low",Table22[[#This Row],[Units Sold]]&lt;=80,"Average",Table22[[#This Row],[Units Sold]]&lt;=90,"High",Table22[[#This Row],[Units Sold]]&lt;=95,"Excellent",Table22[[#This Row],[Units Sold]]&gt;95,"Outstanding")</f>
        <v>Critical</v>
      </c>
      <c r="N1653" s="29">
        <v>206.93</v>
      </c>
      <c r="O1653" s="29">
        <v>8070.27</v>
      </c>
      <c r="P1653" s="43">
        <f>IF(Table22[[#This Row],[Discount Applied]],Table22[[#This Row],[Total Sales (in USD)]]*(1-Table22[[#This Row],[Discount Percentage (%)]]/100),Table22[[#This Row],[Total Sales (in USD)]])</f>
        <v>6578.0770770000008</v>
      </c>
      <c r="Q1653" s="66">
        <f>SQRT(AVERAGE((Table22[[#This Row],[Net Sales (after discount) (in USD)]]-AVERAGE(Table22[Net Sales (after discount) (in USD)]))^2))</f>
        <v>29933.283486764536</v>
      </c>
      <c r="R1653" s="18" t="b">
        <v>1</v>
      </c>
      <c r="S1653" s="40">
        <v>18.489999999999998</v>
      </c>
      <c r="T1653" s="18" t="b">
        <v>1</v>
      </c>
      <c r="U1653" s="25">
        <v>45507</v>
      </c>
      <c r="V1653" s="63" t="str">
        <f>IF(MONTH(Table22[[#This Row],[Sales Date]])&lt;=3,"Q1",IF(MONTH(Table22[[#This Row],[Sales Date]])&lt;=6,"Q2",IF(MONTH(Table22[[#This Row],[Sales Date]])&lt;=9,"Q3","Q4")))</f>
        <v>Q3</v>
      </c>
      <c r="W1653" s="64">
        <f>YEAR(Table22[[#This Row],[Sales Date]])</f>
        <v>2024</v>
      </c>
      <c r="X1653" s="23">
        <v>29</v>
      </c>
      <c r="Y1653" s="18" t="s">
        <v>49</v>
      </c>
      <c r="Z1653" s="18" t="s">
        <v>56</v>
      </c>
      <c r="AA1653" s="19" t="s">
        <v>25</v>
      </c>
    </row>
    <row r="1654" spans="1:27" x14ac:dyDescent="0.25">
      <c r="A1654" s="17" t="s">
        <v>2011</v>
      </c>
      <c r="B1654" s="18" t="s">
        <v>32</v>
      </c>
      <c r="C1654" s="63" t="str" cm="1">
        <f t="array" ref="C1654">_xlfn.SWITCH(Table22[[#This Row],[Country]],"USA","North America","Canada","North America","Brazil","South America","China","Asia","Japan","Asia","India","Asia","France","Europe","Germany","Europe","UK","Europe","Australia","Oceania","South America")</f>
        <v>Asia</v>
      </c>
      <c r="D1654" s="18" t="s">
        <v>28</v>
      </c>
      <c r="E1654" s="18" t="s">
        <v>19</v>
      </c>
      <c r="F1654" s="18" t="s">
        <v>64</v>
      </c>
      <c r="G1654" s="18" t="s">
        <v>29</v>
      </c>
      <c r="H1654" s="64">
        <f>LEN(TRIM(Table22[[#This Row],[Country]]))</f>
        <v>5</v>
      </c>
      <c r="I1654" s="64">
        <f>LEN(TRIM(Table22[[#This Row],[Continent]]))</f>
        <v>4</v>
      </c>
      <c r="J1654" s="64">
        <f>LEN(TRIM(Table22[[#This Row],[Product]]))</f>
        <v>6</v>
      </c>
      <c r="K1654" s="64">
        <f>LEN(TRIM(Table22[[#This Row],[Sales Team]]))</f>
        <v>10</v>
      </c>
      <c r="L1654" s="23">
        <v>19</v>
      </c>
      <c r="M1654" s="65" t="str" cm="1">
        <f t="array" ref="M1654">_xlfn.IFS(Table22[[#This Row],[Units Sold]]&lt;40,"Critical",Table22[[#This Row],[Units Sold]]&lt;=50,"Poor",Table22[[#This Row],[Units Sold]]&lt;=60,"Low",Table22[[#This Row],[Units Sold]]&lt;=80,"Average",Table22[[#This Row],[Units Sold]]&lt;=90,"High",Table22[[#This Row],[Units Sold]]&lt;=95,"Excellent",Table22[[#This Row],[Units Sold]]&gt;95,"Outstanding")</f>
        <v>Critical</v>
      </c>
      <c r="N1654" s="29">
        <v>422.32</v>
      </c>
      <c r="O1654" s="29">
        <v>8024.08</v>
      </c>
      <c r="P1654" s="43">
        <f>IF(Table22[[#This Row],[Discount Applied]],Table22[[#This Row],[Total Sales (in USD)]]*(1-Table22[[#This Row],[Discount Percentage (%)]]/100),Table22[[#This Row],[Total Sales (in USD)]])</f>
        <v>6617.4587759999995</v>
      </c>
      <c r="Q1654" s="66">
        <f>SQRT(AVERAGE((Table22[[#This Row],[Net Sales (after discount) (in USD)]]-AVERAGE(Table22[Net Sales (after discount) (in USD)]))^2))</f>
        <v>29893.901787764538</v>
      </c>
      <c r="R1654" s="18" t="b">
        <v>1</v>
      </c>
      <c r="S1654" s="40">
        <v>17.53</v>
      </c>
      <c r="T1654" s="18" t="b">
        <v>1</v>
      </c>
      <c r="U1654" s="25">
        <v>44938</v>
      </c>
      <c r="V1654" s="63" t="str">
        <f>IF(MONTH(Table22[[#This Row],[Sales Date]])&lt;=3,"Q1",IF(MONTH(Table22[[#This Row],[Sales Date]])&lt;=6,"Q2",IF(MONTH(Table22[[#This Row],[Sales Date]])&lt;=9,"Q3","Q4")))</f>
        <v>Q1</v>
      </c>
      <c r="W1654" s="64">
        <f>YEAR(Table22[[#This Row],[Sales Date]])</f>
        <v>2023</v>
      </c>
      <c r="X1654" s="23">
        <v>69</v>
      </c>
      <c r="Y1654" s="18" t="s">
        <v>23</v>
      </c>
      <c r="Z1654" s="18" t="s">
        <v>42</v>
      </c>
      <c r="AA1654" s="19" t="s">
        <v>25</v>
      </c>
    </row>
    <row r="1655" spans="1:27" x14ac:dyDescent="0.25">
      <c r="A1655" s="17" t="s">
        <v>705</v>
      </c>
      <c r="B1655" s="18" t="s">
        <v>51</v>
      </c>
      <c r="C1655" s="63" t="str" cm="1">
        <f t="array" ref="C1655">_xlfn.SWITCH(Table22[[#This Row],[Country]],"USA","North America","Canada","North America","Brazil","South America","China","Asia","Japan","Asia","India","Asia","France","Europe","Germany","Europe","UK","Europe","Australia","Oceania","South America")</f>
        <v>Europe</v>
      </c>
      <c r="D1655" s="18" t="s">
        <v>35</v>
      </c>
      <c r="E1655" s="18" t="s">
        <v>33</v>
      </c>
      <c r="F1655" s="18" t="s">
        <v>52</v>
      </c>
      <c r="G1655" s="18" t="s">
        <v>48</v>
      </c>
      <c r="H1655" s="64">
        <f>LEN(TRIM(Table22[[#This Row],[Country]]))</f>
        <v>2</v>
      </c>
      <c r="I1655" s="64">
        <f>LEN(TRIM(Table22[[#This Row],[Continent]]))</f>
        <v>6</v>
      </c>
      <c r="J1655" s="64">
        <f>LEN(TRIM(Table22[[#This Row],[Product]]))</f>
        <v>10</v>
      </c>
      <c r="K1655" s="64">
        <f>LEN(TRIM(Table22[[#This Row],[Sales Team]]))</f>
        <v>9</v>
      </c>
      <c r="L1655" s="23">
        <v>97</v>
      </c>
      <c r="M1655" s="65" t="str" cm="1">
        <f t="array" ref="M1655">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655" s="29">
        <v>82.7</v>
      </c>
      <c r="O1655" s="29">
        <v>8021.9</v>
      </c>
      <c r="P1655" s="43">
        <f>IF(Table22[[#This Row],[Discount Applied]],Table22[[#This Row],[Total Sales (in USD)]]*(1-Table22[[#This Row],[Discount Percentage (%)]]/100),Table22[[#This Row],[Total Sales (in USD)]])</f>
        <v>8021.9</v>
      </c>
      <c r="Q1655" s="66">
        <f>SQRT(AVERAGE((Table22[[#This Row],[Net Sales (after discount) (in USD)]]-AVERAGE(Table22[Net Sales (after discount) (in USD)]))^2))</f>
        <v>28489.460563764536</v>
      </c>
      <c r="R1655" s="18" t="b">
        <v>1</v>
      </c>
      <c r="S1655" s="40">
        <v>18.260000000000002</v>
      </c>
      <c r="T1655" s="18" t="b">
        <v>0</v>
      </c>
      <c r="U1655" s="25">
        <v>45342</v>
      </c>
      <c r="V1655" s="63" t="str">
        <f>IF(MONTH(Table22[[#This Row],[Sales Date]])&lt;=3,"Q1",IF(MONTH(Table22[[#This Row],[Sales Date]])&lt;=6,"Q2",IF(MONTH(Table22[[#This Row],[Sales Date]])&lt;=9,"Q3","Q4")))</f>
        <v>Q1</v>
      </c>
      <c r="W1655" s="64">
        <f>YEAR(Table22[[#This Row],[Sales Date]])</f>
        <v>2024</v>
      </c>
      <c r="X1655" s="23">
        <v>43</v>
      </c>
      <c r="Y1655" s="18" t="s">
        <v>49</v>
      </c>
      <c r="Z1655" s="18" t="s">
        <v>30</v>
      </c>
      <c r="AA1655" s="19" t="s">
        <v>25</v>
      </c>
    </row>
    <row r="1656" spans="1:27" x14ac:dyDescent="0.25">
      <c r="A1656" s="17" t="s">
        <v>1685</v>
      </c>
      <c r="B1656" s="18" t="s">
        <v>51</v>
      </c>
      <c r="C1656" s="63" t="str" cm="1">
        <f t="array" ref="C1656">_xlfn.SWITCH(Table22[[#This Row],[Country]],"USA","North America","Canada","North America","Brazil","South America","China","Asia","Japan","Asia","India","Asia","France","Europe","Germany","Europe","UK","Europe","Australia","Oceania","South America")</f>
        <v>Europe</v>
      </c>
      <c r="D1656" s="18" t="s">
        <v>44</v>
      </c>
      <c r="E1656" s="18" t="s">
        <v>33</v>
      </c>
      <c r="F1656" s="18" t="s">
        <v>20</v>
      </c>
      <c r="G1656" s="18" t="s">
        <v>48</v>
      </c>
      <c r="H1656" s="64">
        <f>LEN(TRIM(Table22[[#This Row],[Country]]))</f>
        <v>2</v>
      </c>
      <c r="I1656" s="64">
        <f>LEN(TRIM(Table22[[#This Row],[Continent]]))</f>
        <v>6</v>
      </c>
      <c r="J1656" s="64">
        <f>LEN(TRIM(Table22[[#This Row],[Product]]))</f>
        <v>10</v>
      </c>
      <c r="K1656" s="64">
        <f>LEN(TRIM(Table22[[#This Row],[Sales Team]]))</f>
        <v>9</v>
      </c>
      <c r="L1656" s="23">
        <v>6</v>
      </c>
      <c r="M1656" s="65" t="str" cm="1">
        <f t="array" ref="M1656">_xlfn.IFS(Table22[[#This Row],[Units Sold]]&lt;40,"Critical",Table22[[#This Row],[Units Sold]]&lt;=50,"Poor",Table22[[#This Row],[Units Sold]]&lt;=60,"Low",Table22[[#This Row],[Units Sold]]&lt;=80,"Average",Table22[[#This Row],[Units Sold]]&lt;=90,"High",Table22[[#This Row],[Units Sold]]&lt;=95,"Excellent",Table22[[#This Row],[Units Sold]]&gt;95,"Outstanding")</f>
        <v>Critical</v>
      </c>
      <c r="N1656" s="29">
        <v>1336.97</v>
      </c>
      <c r="O1656" s="29">
        <v>8021.82</v>
      </c>
      <c r="P1656" s="43">
        <f>IF(Table22[[#This Row],[Discount Applied]],Table22[[#This Row],[Total Sales (in USD)]]*(1-Table22[[#This Row],[Discount Percentage (%)]]/100),Table22[[#This Row],[Total Sales (in USD)]])</f>
        <v>8021.82</v>
      </c>
      <c r="Q1656" s="66">
        <f>SQRT(AVERAGE((Table22[[#This Row],[Net Sales (after discount) (in USD)]]-AVERAGE(Table22[Net Sales (after discount) (in USD)]))^2))</f>
        <v>28489.540563764538</v>
      </c>
      <c r="R1656" s="18" t="b">
        <v>0</v>
      </c>
      <c r="S1656" s="40">
        <v>29.9</v>
      </c>
      <c r="T1656" s="18" t="b">
        <v>0</v>
      </c>
      <c r="U1656" s="25">
        <v>45426</v>
      </c>
      <c r="V1656" s="63" t="str">
        <f>IF(MONTH(Table22[[#This Row],[Sales Date]])&lt;=3,"Q1",IF(MONTH(Table22[[#This Row],[Sales Date]])&lt;=6,"Q2",IF(MONTH(Table22[[#This Row],[Sales Date]])&lt;=9,"Q3","Q4")))</f>
        <v>Q2</v>
      </c>
      <c r="W1656" s="64">
        <f>YEAR(Table22[[#This Row],[Sales Date]])</f>
        <v>2024</v>
      </c>
      <c r="X1656" s="23">
        <v>65</v>
      </c>
      <c r="Y1656" s="18" t="s">
        <v>41</v>
      </c>
      <c r="Z1656" s="18" t="s">
        <v>24</v>
      </c>
      <c r="AA1656" s="19" t="s">
        <v>25</v>
      </c>
    </row>
    <row r="1657" spans="1:27" x14ac:dyDescent="0.25">
      <c r="A1657" s="17" t="s">
        <v>2002</v>
      </c>
      <c r="B1657" s="18" t="s">
        <v>76</v>
      </c>
      <c r="C1657" s="63" t="str" cm="1">
        <f t="array" ref="C1657">_xlfn.SWITCH(Table22[[#This Row],[Country]],"USA","North America","Canada","North America","Brazil","South America","China","Asia","Japan","Asia","India","Asia","France","Europe","Germany","Europe","UK","Europe","Australia","Oceania","South America")</f>
        <v>Asia</v>
      </c>
      <c r="D1657" s="18" t="s">
        <v>35</v>
      </c>
      <c r="E1657" s="18" t="s">
        <v>39</v>
      </c>
      <c r="F1657" s="18" t="s">
        <v>47</v>
      </c>
      <c r="G1657" s="18" t="s">
        <v>40</v>
      </c>
      <c r="H1657" s="64">
        <f>LEN(TRIM(Table22[[#This Row],[Country]]))</f>
        <v>5</v>
      </c>
      <c r="I1657" s="64">
        <f>LEN(TRIM(Table22[[#This Row],[Continent]]))</f>
        <v>4</v>
      </c>
      <c r="J1657" s="64">
        <f>LEN(TRIM(Table22[[#This Row],[Product]]))</f>
        <v>10</v>
      </c>
      <c r="K1657" s="64">
        <f>LEN(TRIM(Table22[[#This Row],[Sales Team]]))</f>
        <v>10</v>
      </c>
      <c r="L1657" s="23">
        <v>7</v>
      </c>
      <c r="M1657" s="65" t="str" cm="1">
        <f t="array" ref="M1657">_xlfn.IFS(Table22[[#This Row],[Units Sold]]&lt;40,"Critical",Table22[[#This Row],[Units Sold]]&lt;=50,"Poor",Table22[[#This Row],[Units Sold]]&lt;=60,"Low",Table22[[#This Row],[Units Sold]]&lt;=80,"Average",Table22[[#This Row],[Units Sold]]&lt;=90,"High",Table22[[#This Row],[Units Sold]]&lt;=95,"Excellent",Table22[[#This Row],[Units Sold]]&gt;95,"Outstanding")</f>
        <v>Critical</v>
      </c>
      <c r="N1657" s="29">
        <v>1145.3800000000001</v>
      </c>
      <c r="O1657" s="29">
        <v>8017.66</v>
      </c>
      <c r="P1657" s="43">
        <f>IF(Table22[[#This Row],[Discount Applied]],Table22[[#This Row],[Total Sales (in USD)]]*(1-Table22[[#This Row],[Discount Percentage (%)]]/100),Table22[[#This Row],[Total Sales (in USD)]])</f>
        <v>6443.7933419999999</v>
      </c>
      <c r="Q1657" s="66">
        <f>SQRT(AVERAGE((Table22[[#This Row],[Net Sales (after discount) (in USD)]]-AVERAGE(Table22[Net Sales (after discount) (in USD)]))^2))</f>
        <v>30067.567221764537</v>
      </c>
      <c r="R1657" s="18" t="b">
        <v>1</v>
      </c>
      <c r="S1657" s="40">
        <v>19.63</v>
      </c>
      <c r="T1657" s="18" t="b">
        <v>1</v>
      </c>
      <c r="U1657" s="25">
        <v>45594</v>
      </c>
      <c r="V1657" s="63" t="str">
        <f>IF(MONTH(Table22[[#This Row],[Sales Date]])&lt;=3,"Q1",IF(MONTH(Table22[[#This Row],[Sales Date]])&lt;=6,"Q2",IF(MONTH(Table22[[#This Row],[Sales Date]])&lt;=9,"Q3","Q4")))</f>
        <v>Q4</v>
      </c>
      <c r="W1657" s="64">
        <f>YEAR(Table22[[#This Row],[Sales Date]])</f>
        <v>2024</v>
      </c>
      <c r="X1657" s="23">
        <v>44</v>
      </c>
      <c r="Y1657" s="18" t="s">
        <v>41</v>
      </c>
      <c r="Z1657" s="18" t="s">
        <v>42</v>
      </c>
      <c r="AA1657" s="19" t="s">
        <v>36</v>
      </c>
    </row>
    <row r="1658" spans="1:27" x14ac:dyDescent="0.25">
      <c r="A1658" s="17" t="s">
        <v>874</v>
      </c>
      <c r="B1658" s="18" t="s">
        <v>38</v>
      </c>
      <c r="C1658" s="63" t="str" cm="1">
        <f t="array" ref="C1658">_xlfn.SWITCH(Table22[[#This Row],[Country]],"USA","North America","Canada","North America","Brazil","South America","China","Asia","Japan","Asia","India","Asia","France","Europe","Germany","Europe","UK","Europe","Australia","Oceania","South America")</f>
        <v>Europe</v>
      </c>
      <c r="D1658" s="18" t="s">
        <v>21</v>
      </c>
      <c r="E1658" s="18" t="s">
        <v>33</v>
      </c>
      <c r="F1658" s="18" t="s">
        <v>47</v>
      </c>
      <c r="G1658" s="18" t="s">
        <v>29</v>
      </c>
      <c r="H1658" s="64">
        <f>LEN(TRIM(Table22[[#This Row],[Country]]))</f>
        <v>6</v>
      </c>
      <c r="I1658" s="64">
        <f>LEN(TRIM(Table22[[#This Row],[Continent]]))</f>
        <v>6</v>
      </c>
      <c r="J1658" s="64">
        <f>LEN(TRIM(Table22[[#This Row],[Product]]))</f>
        <v>10</v>
      </c>
      <c r="K1658" s="64">
        <f>LEN(TRIM(Table22[[#This Row],[Sales Team]]))</f>
        <v>10</v>
      </c>
      <c r="L1658" s="23">
        <v>14</v>
      </c>
      <c r="M1658" s="65" t="str" cm="1">
        <f t="array" ref="M1658">_xlfn.IFS(Table22[[#This Row],[Units Sold]]&lt;40,"Critical",Table22[[#This Row],[Units Sold]]&lt;=50,"Poor",Table22[[#This Row],[Units Sold]]&lt;=60,"Low",Table22[[#This Row],[Units Sold]]&lt;=80,"Average",Table22[[#This Row],[Units Sold]]&lt;=90,"High",Table22[[#This Row],[Units Sold]]&lt;=95,"Excellent",Table22[[#This Row],[Units Sold]]&gt;95,"Outstanding")</f>
        <v>Critical</v>
      </c>
      <c r="N1658" s="29">
        <v>569.30999999999995</v>
      </c>
      <c r="O1658" s="29">
        <v>7970.34</v>
      </c>
      <c r="P1658" s="43">
        <f>IF(Table22[[#This Row],[Discount Applied]],Table22[[#This Row],[Total Sales (in USD)]]*(1-Table22[[#This Row],[Discount Percentage (%)]]/100),Table22[[#This Row],[Total Sales (in USD)]])</f>
        <v>7970.34</v>
      </c>
      <c r="Q1658" s="66">
        <f>SQRT(AVERAGE((Table22[[#This Row],[Net Sales (after discount) (in USD)]]-AVERAGE(Table22[Net Sales (after discount) (in USD)]))^2))</f>
        <v>28541.020563764538</v>
      </c>
      <c r="R1658" s="18" t="b">
        <v>1</v>
      </c>
      <c r="S1658" s="40">
        <v>26.65</v>
      </c>
      <c r="T1658" s="18" t="b">
        <v>0</v>
      </c>
      <c r="U1658" s="25">
        <v>45068</v>
      </c>
      <c r="V1658" s="63" t="str">
        <f>IF(MONTH(Table22[[#This Row],[Sales Date]])&lt;=3,"Q1",IF(MONTH(Table22[[#This Row],[Sales Date]])&lt;=6,"Q2",IF(MONTH(Table22[[#This Row],[Sales Date]])&lt;=9,"Q3","Q4")))</f>
        <v>Q2</v>
      </c>
      <c r="W1658" s="64">
        <f>YEAR(Table22[[#This Row],[Sales Date]])</f>
        <v>2023</v>
      </c>
      <c r="X1658" s="23">
        <v>34</v>
      </c>
      <c r="Y1658" s="18" t="s">
        <v>41</v>
      </c>
      <c r="Z1658" s="18" t="s">
        <v>30</v>
      </c>
      <c r="AA1658" s="19" t="s">
        <v>36</v>
      </c>
    </row>
    <row r="1659" spans="1:27" x14ac:dyDescent="0.25">
      <c r="A1659" s="17" t="s">
        <v>2051</v>
      </c>
      <c r="B1659" s="18" t="s">
        <v>51</v>
      </c>
      <c r="C1659" s="63" t="str" cm="1">
        <f t="array" ref="C1659">_xlfn.SWITCH(Table22[[#This Row],[Country]],"USA","North America","Canada","North America","Brazil","South America","China","Asia","Japan","Asia","India","Asia","France","Europe","Germany","Europe","UK","Europe","Australia","Oceania","South America")</f>
        <v>Europe</v>
      </c>
      <c r="D1659" s="18" t="s">
        <v>21</v>
      </c>
      <c r="E1659" s="18" t="s">
        <v>19</v>
      </c>
      <c r="F1659" s="18" t="s">
        <v>47</v>
      </c>
      <c r="G1659" s="18" t="s">
        <v>48</v>
      </c>
      <c r="H1659" s="64">
        <f>LEN(TRIM(Table22[[#This Row],[Country]]))</f>
        <v>2</v>
      </c>
      <c r="I1659" s="64">
        <f>LEN(TRIM(Table22[[#This Row],[Continent]]))</f>
        <v>6</v>
      </c>
      <c r="J1659" s="64">
        <f>LEN(TRIM(Table22[[#This Row],[Product]]))</f>
        <v>6</v>
      </c>
      <c r="K1659" s="64">
        <f>LEN(TRIM(Table22[[#This Row],[Sales Team]]))</f>
        <v>9</v>
      </c>
      <c r="L1659" s="23">
        <v>97</v>
      </c>
      <c r="M1659" s="65" t="str" cm="1">
        <f t="array" ref="M1659">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659" s="29">
        <v>82.13</v>
      </c>
      <c r="O1659" s="29">
        <v>7966.61</v>
      </c>
      <c r="P1659" s="43">
        <f>IF(Table22[[#This Row],[Discount Applied]],Table22[[#This Row],[Total Sales (in USD)]]*(1-Table22[[#This Row],[Discount Percentage (%)]]/100),Table22[[#This Row],[Total Sales (in USD)]])</f>
        <v>7966.61</v>
      </c>
      <c r="Q1659" s="66">
        <f>SQRT(AVERAGE((Table22[[#This Row],[Net Sales (after discount) (in USD)]]-AVERAGE(Table22[Net Sales (after discount) (in USD)]))^2))</f>
        <v>28544.750563764537</v>
      </c>
      <c r="R1659" s="18" t="b">
        <v>0</v>
      </c>
      <c r="S1659" s="40">
        <v>11.06</v>
      </c>
      <c r="T1659" s="18" t="b">
        <v>0</v>
      </c>
      <c r="U1659" s="25">
        <v>45578</v>
      </c>
      <c r="V1659" s="63" t="str">
        <f>IF(MONTH(Table22[[#This Row],[Sales Date]])&lt;=3,"Q1",IF(MONTH(Table22[[#This Row],[Sales Date]])&lt;=6,"Q2",IF(MONTH(Table22[[#This Row],[Sales Date]])&lt;=9,"Q3","Q4")))</f>
        <v>Q4</v>
      </c>
      <c r="W1659" s="64">
        <f>YEAR(Table22[[#This Row],[Sales Date]])</f>
        <v>2024</v>
      </c>
      <c r="X1659" s="23">
        <v>39</v>
      </c>
      <c r="Y1659" s="18" t="s">
        <v>23</v>
      </c>
      <c r="Z1659" s="18" t="s">
        <v>42</v>
      </c>
      <c r="AA1659" s="19" t="s">
        <v>25</v>
      </c>
    </row>
    <row r="1660" spans="1:27" x14ac:dyDescent="0.25">
      <c r="A1660" s="17" t="s">
        <v>1821</v>
      </c>
      <c r="B1660" s="18" t="s">
        <v>32</v>
      </c>
      <c r="C1660" s="63" t="str" cm="1">
        <f t="array" ref="C1660">_xlfn.SWITCH(Table22[[#This Row],[Country]],"USA","North America","Canada","North America","Brazil","South America","China","Asia","Japan","Asia","India","Asia","France","Europe","Germany","Europe","UK","Europe","Australia","Oceania","South America")</f>
        <v>Asia</v>
      </c>
      <c r="D1660" s="18" t="s">
        <v>44</v>
      </c>
      <c r="E1660" s="18" t="s">
        <v>39</v>
      </c>
      <c r="F1660" s="18" t="s">
        <v>52</v>
      </c>
      <c r="G1660" s="18" t="s">
        <v>29</v>
      </c>
      <c r="H1660" s="64">
        <f>LEN(TRIM(Table22[[#This Row],[Country]]))</f>
        <v>5</v>
      </c>
      <c r="I1660" s="64">
        <f>LEN(TRIM(Table22[[#This Row],[Continent]]))</f>
        <v>4</v>
      </c>
      <c r="J1660" s="64">
        <f>LEN(TRIM(Table22[[#This Row],[Product]]))</f>
        <v>10</v>
      </c>
      <c r="K1660" s="64">
        <f>LEN(TRIM(Table22[[#This Row],[Sales Team]]))</f>
        <v>10</v>
      </c>
      <c r="L1660" s="23">
        <v>10</v>
      </c>
      <c r="M1660" s="65" t="str" cm="1">
        <f t="array" ref="M1660">_xlfn.IFS(Table22[[#This Row],[Units Sold]]&lt;40,"Critical",Table22[[#This Row],[Units Sold]]&lt;=50,"Poor",Table22[[#This Row],[Units Sold]]&lt;=60,"Low",Table22[[#This Row],[Units Sold]]&lt;=80,"Average",Table22[[#This Row],[Units Sold]]&lt;=90,"High",Table22[[#This Row],[Units Sold]]&lt;=95,"Excellent",Table22[[#This Row],[Units Sold]]&gt;95,"Outstanding")</f>
        <v>Critical</v>
      </c>
      <c r="N1660" s="29">
        <v>790.57</v>
      </c>
      <c r="O1660" s="29">
        <v>7905.7</v>
      </c>
      <c r="P1660" s="43">
        <f>IF(Table22[[#This Row],[Discount Applied]],Table22[[#This Row],[Total Sales (in USD)]]*(1-Table22[[#This Row],[Discount Percentage (%)]]/100),Table22[[#This Row],[Total Sales (in USD)]])</f>
        <v>7905.7</v>
      </c>
      <c r="Q1660" s="66">
        <f>SQRT(AVERAGE((Table22[[#This Row],[Net Sales (after discount) (in USD)]]-AVERAGE(Table22[Net Sales (after discount) (in USD)]))^2))</f>
        <v>28605.660563764537</v>
      </c>
      <c r="R1660" s="18" t="b">
        <v>0</v>
      </c>
      <c r="S1660" s="40">
        <v>21.69</v>
      </c>
      <c r="T1660" s="18" t="b">
        <v>0</v>
      </c>
      <c r="U1660" s="25">
        <v>45124</v>
      </c>
      <c r="V1660" s="63" t="str">
        <f>IF(MONTH(Table22[[#This Row],[Sales Date]])&lt;=3,"Q1",IF(MONTH(Table22[[#This Row],[Sales Date]])&lt;=6,"Q2",IF(MONTH(Table22[[#This Row],[Sales Date]])&lt;=9,"Q3","Q4")))</f>
        <v>Q3</v>
      </c>
      <c r="W1660" s="64">
        <f>YEAR(Table22[[#This Row],[Sales Date]])</f>
        <v>2023</v>
      </c>
      <c r="X1660" s="23">
        <v>50</v>
      </c>
      <c r="Y1660" s="18" t="s">
        <v>41</v>
      </c>
      <c r="Z1660" s="18" t="s">
        <v>42</v>
      </c>
      <c r="AA1660" s="19" t="s">
        <v>36</v>
      </c>
    </row>
    <row r="1661" spans="1:27" x14ac:dyDescent="0.25">
      <c r="A1661" s="17" t="s">
        <v>1843</v>
      </c>
      <c r="B1661" s="18" t="s">
        <v>38</v>
      </c>
      <c r="C1661" s="63" t="str" cm="1">
        <f t="array" ref="C1661">_xlfn.SWITCH(Table22[[#This Row],[Country]],"USA","North America","Canada","North America","Brazil","South America","China","Asia","Japan","Asia","India","Asia","France","Europe","Germany","Europe","UK","Europe","Australia","Oceania","South America")</f>
        <v>Europe</v>
      </c>
      <c r="D1661" s="18" t="s">
        <v>21</v>
      </c>
      <c r="E1661" s="18" t="s">
        <v>39</v>
      </c>
      <c r="F1661" s="18" t="s">
        <v>34</v>
      </c>
      <c r="G1661" s="18" t="s">
        <v>22</v>
      </c>
      <c r="H1661" s="64">
        <f>LEN(TRIM(Table22[[#This Row],[Country]]))</f>
        <v>6</v>
      </c>
      <c r="I1661" s="64">
        <f>LEN(TRIM(Table22[[#This Row],[Continent]]))</f>
        <v>6</v>
      </c>
      <c r="J1661" s="64">
        <f>LEN(TRIM(Table22[[#This Row],[Product]]))</f>
        <v>10</v>
      </c>
      <c r="K1661" s="64">
        <f>LEN(TRIM(Table22[[#This Row],[Sales Team]]))</f>
        <v>10</v>
      </c>
      <c r="L1661" s="23">
        <v>29</v>
      </c>
      <c r="M1661" s="65" t="str" cm="1">
        <f t="array" ref="M1661">_xlfn.IFS(Table22[[#This Row],[Units Sold]]&lt;40,"Critical",Table22[[#This Row],[Units Sold]]&lt;=50,"Poor",Table22[[#This Row],[Units Sold]]&lt;=60,"Low",Table22[[#This Row],[Units Sold]]&lt;=80,"Average",Table22[[#This Row],[Units Sold]]&lt;=90,"High",Table22[[#This Row],[Units Sold]]&lt;=95,"Excellent",Table22[[#This Row],[Units Sold]]&gt;95,"Outstanding")</f>
        <v>Critical</v>
      </c>
      <c r="N1661" s="29">
        <v>271.23</v>
      </c>
      <c r="O1661" s="29">
        <v>7865.67</v>
      </c>
      <c r="P1661" s="43">
        <f>IF(Table22[[#This Row],[Discount Applied]],Table22[[#This Row],[Total Sales (in USD)]]*(1-Table22[[#This Row],[Discount Percentage (%)]]/100),Table22[[#This Row],[Total Sales (in USD)]])</f>
        <v>5978.6957670000002</v>
      </c>
      <c r="Q1661" s="66">
        <f>SQRT(AVERAGE((Table22[[#This Row],[Net Sales (after discount) (in USD)]]-AVERAGE(Table22[Net Sales (after discount) (in USD)]))^2))</f>
        <v>30532.664796764537</v>
      </c>
      <c r="R1661" s="18" t="b">
        <v>1</v>
      </c>
      <c r="S1661" s="40">
        <v>23.99</v>
      </c>
      <c r="T1661" s="18" t="b">
        <v>1</v>
      </c>
      <c r="U1661" s="25">
        <v>45363</v>
      </c>
      <c r="V1661" s="63" t="str">
        <f>IF(MONTH(Table22[[#This Row],[Sales Date]])&lt;=3,"Q1",IF(MONTH(Table22[[#This Row],[Sales Date]])&lt;=6,"Q2",IF(MONTH(Table22[[#This Row],[Sales Date]])&lt;=9,"Q3","Q4")))</f>
        <v>Q1</v>
      </c>
      <c r="W1661" s="64">
        <f>YEAR(Table22[[#This Row],[Sales Date]])</f>
        <v>2024</v>
      </c>
      <c r="X1661" s="23">
        <v>42</v>
      </c>
      <c r="Y1661" s="18" t="s">
        <v>23</v>
      </c>
      <c r="Z1661" s="18" t="s">
        <v>56</v>
      </c>
      <c r="AA1661" s="19" t="s">
        <v>25</v>
      </c>
    </row>
    <row r="1662" spans="1:27" x14ac:dyDescent="0.25">
      <c r="A1662" s="17" t="s">
        <v>482</v>
      </c>
      <c r="B1662" s="18" t="s">
        <v>27</v>
      </c>
      <c r="C1662" s="63" t="str" cm="1">
        <f t="array" ref="C1662">_xlfn.SWITCH(Table22[[#This Row],[Country]],"USA","North America","Canada","North America","Brazil","South America","China","Asia","Japan","Asia","India","Asia","France","Europe","Germany","Europe","UK","Europe","Australia","Oceania","South America")</f>
        <v>Europe</v>
      </c>
      <c r="D1662" s="18" t="s">
        <v>44</v>
      </c>
      <c r="E1662" s="18" t="s">
        <v>39</v>
      </c>
      <c r="F1662" s="18" t="s">
        <v>52</v>
      </c>
      <c r="G1662" s="18" t="s">
        <v>22</v>
      </c>
      <c r="H1662" s="64">
        <f>LEN(TRIM(Table22[[#This Row],[Country]]))</f>
        <v>7</v>
      </c>
      <c r="I1662" s="64">
        <f>LEN(TRIM(Table22[[#This Row],[Continent]]))</f>
        <v>6</v>
      </c>
      <c r="J1662" s="64">
        <f>LEN(TRIM(Table22[[#This Row],[Product]]))</f>
        <v>10</v>
      </c>
      <c r="K1662" s="64">
        <f>LEN(TRIM(Table22[[#This Row],[Sales Team]]))</f>
        <v>10</v>
      </c>
      <c r="L1662" s="23">
        <v>72</v>
      </c>
      <c r="M1662" s="65" t="str" cm="1">
        <f t="array" ref="M1662">_xlfn.IFS(Table22[[#This Row],[Units Sold]]&lt;40,"Critical",Table22[[#This Row],[Units Sold]]&lt;=50,"Poor",Table22[[#This Row],[Units Sold]]&lt;=60,"Low",Table22[[#This Row],[Units Sold]]&lt;=80,"Average",Table22[[#This Row],[Units Sold]]&lt;=90,"High",Table22[[#This Row],[Units Sold]]&lt;=95,"Excellent",Table22[[#This Row],[Units Sold]]&gt;95,"Outstanding")</f>
        <v>Average</v>
      </c>
      <c r="N1662" s="29">
        <v>108.86</v>
      </c>
      <c r="O1662" s="29">
        <v>7837.92</v>
      </c>
      <c r="P1662" s="43">
        <f>IF(Table22[[#This Row],[Discount Applied]],Table22[[#This Row],[Total Sales (in USD)]]*(1-Table22[[#This Row],[Discount Percentage (%)]]/100),Table22[[#This Row],[Total Sales (in USD)]])</f>
        <v>6131.604816</v>
      </c>
      <c r="Q1662" s="66">
        <f>SQRT(AVERAGE((Table22[[#This Row],[Net Sales (after discount) (in USD)]]-AVERAGE(Table22[Net Sales (after discount) (in USD)]))^2))</f>
        <v>30379.755747764539</v>
      </c>
      <c r="R1662" s="18" t="b">
        <v>1</v>
      </c>
      <c r="S1662" s="40">
        <v>21.77</v>
      </c>
      <c r="T1662" s="18" t="b">
        <v>1</v>
      </c>
      <c r="U1662" s="25">
        <v>45127</v>
      </c>
      <c r="V1662" s="63" t="str">
        <f>IF(MONTH(Table22[[#This Row],[Sales Date]])&lt;=3,"Q1",IF(MONTH(Table22[[#This Row],[Sales Date]])&lt;=6,"Q2",IF(MONTH(Table22[[#This Row],[Sales Date]])&lt;=9,"Q3","Q4")))</f>
        <v>Q3</v>
      </c>
      <c r="W1662" s="64">
        <f>YEAR(Table22[[#This Row],[Sales Date]])</f>
        <v>2023</v>
      </c>
      <c r="X1662" s="23">
        <v>60</v>
      </c>
      <c r="Y1662" s="18" t="s">
        <v>23</v>
      </c>
      <c r="Z1662" s="18" t="s">
        <v>56</v>
      </c>
      <c r="AA1662" s="19" t="s">
        <v>25</v>
      </c>
    </row>
    <row r="1663" spans="1:27" x14ac:dyDescent="0.25">
      <c r="A1663" s="17" t="s">
        <v>707</v>
      </c>
      <c r="B1663" s="18" t="s">
        <v>38</v>
      </c>
      <c r="C1663" s="63" t="str" cm="1">
        <f t="array" ref="C1663">_xlfn.SWITCH(Table22[[#This Row],[Country]],"USA","North America","Canada","North America","Brazil","South America","China","Asia","Japan","Asia","India","Asia","France","Europe","Germany","Europe","UK","Europe","Australia","Oceania","South America")</f>
        <v>Europe</v>
      </c>
      <c r="D1663" s="18" t="s">
        <v>28</v>
      </c>
      <c r="E1663" s="18" t="s">
        <v>19</v>
      </c>
      <c r="F1663" s="18" t="s">
        <v>47</v>
      </c>
      <c r="G1663" s="18" t="s">
        <v>48</v>
      </c>
      <c r="H1663" s="64">
        <f>LEN(TRIM(Table22[[#This Row],[Country]]))</f>
        <v>6</v>
      </c>
      <c r="I1663" s="64">
        <f>LEN(TRIM(Table22[[#This Row],[Continent]]))</f>
        <v>6</v>
      </c>
      <c r="J1663" s="64">
        <f>LEN(TRIM(Table22[[#This Row],[Product]]))</f>
        <v>6</v>
      </c>
      <c r="K1663" s="64">
        <f>LEN(TRIM(Table22[[#This Row],[Sales Team]]))</f>
        <v>9</v>
      </c>
      <c r="L1663" s="23">
        <v>62</v>
      </c>
      <c r="M1663" s="65" t="str" cm="1">
        <f t="array" ref="M1663">_xlfn.IFS(Table22[[#This Row],[Units Sold]]&lt;40,"Critical",Table22[[#This Row],[Units Sold]]&lt;=50,"Poor",Table22[[#This Row],[Units Sold]]&lt;=60,"Low",Table22[[#This Row],[Units Sold]]&lt;=80,"Average",Table22[[#This Row],[Units Sold]]&lt;=90,"High",Table22[[#This Row],[Units Sold]]&lt;=95,"Excellent",Table22[[#This Row],[Units Sold]]&gt;95,"Outstanding")</f>
        <v>Average</v>
      </c>
      <c r="N1663" s="29">
        <v>125.99</v>
      </c>
      <c r="O1663" s="29">
        <v>7811.38</v>
      </c>
      <c r="P1663" s="43">
        <f>IF(Table22[[#This Row],[Discount Applied]],Table22[[#This Row],[Total Sales (in USD)]]*(1-Table22[[#This Row],[Discount Percentage (%)]]/100),Table22[[#This Row],[Total Sales (in USD)]])</f>
        <v>7811.38</v>
      </c>
      <c r="Q1663" s="66">
        <f>SQRT(AVERAGE((Table22[[#This Row],[Net Sales (after discount) (in USD)]]-AVERAGE(Table22[Net Sales (after discount) (in USD)]))^2))</f>
        <v>28699.980563764537</v>
      </c>
      <c r="R1663" s="18" t="b">
        <v>0</v>
      </c>
      <c r="S1663" s="40">
        <v>11.41</v>
      </c>
      <c r="T1663" s="18" t="b">
        <v>0</v>
      </c>
      <c r="U1663" s="25">
        <v>45389</v>
      </c>
      <c r="V1663" s="63" t="str">
        <f>IF(MONTH(Table22[[#This Row],[Sales Date]])&lt;=3,"Q1",IF(MONTH(Table22[[#This Row],[Sales Date]])&lt;=6,"Q2",IF(MONTH(Table22[[#This Row],[Sales Date]])&lt;=9,"Q3","Q4")))</f>
        <v>Q2</v>
      </c>
      <c r="W1663" s="64">
        <f>YEAR(Table22[[#This Row],[Sales Date]])</f>
        <v>2024</v>
      </c>
      <c r="X1663" s="23">
        <v>61</v>
      </c>
      <c r="Y1663" s="18" t="s">
        <v>49</v>
      </c>
      <c r="Z1663" s="18" t="s">
        <v>30</v>
      </c>
      <c r="AA1663" s="19" t="s">
        <v>25</v>
      </c>
    </row>
    <row r="1664" spans="1:27" x14ac:dyDescent="0.25">
      <c r="A1664" s="17" t="s">
        <v>564</v>
      </c>
      <c r="B1664" s="18" t="s">
        <v>18</v>
      </c>
      <c r="C1664" s="63" t="str" cm="1">
        <f t="array" ref="C1664">_xlfn.SWITCH(Table22[[#This Row],[Country]],"USA","North America","Canada","North America","Brazil","South America","China","Asia","Japan","Asia","India","Asia","France","Europe","Germany","Europe","UK","Europe","Australia","Oceania","South America")</f>
        <v>Asia</v>
      </c>
      <c r="D1664" s="18" t="s">
        <v>21</v>
      </c>
      <c r="E1664" s="18" t="s">
        <v>19</v>
      </c>
      <c r="F1664" s="18" t="s">
        <v>34</v>
      </c>
      <c r="G1664" s="18" t="s">
        <v>48</v>
      </c>
      <c r="H1664" s="64">
        <f>LEN(TRIM(Table22[[#This Row],[Country]]))</f>
        <v>5</v>
      </c>
      <c r="I1664" s="64">
        <f>LEN(TRIM(Table22[[#This Row],[Continent]]))</f>
        <v>4</v>
      </c>
      <c r="J1664" s="64">
        <f>LEN(TRIM(Table22[[#This Row],[Product]]))</f>
        <v>6</v>
      </c>
      <c r="K1664" s="64">
        <f>LEN(TRIM(Table22[[#This Row],[Sales Team]]))</f>
        <v>9</v>
      </c>
      <c r="L1664" s="23">
        <v>37</v>
      </c>
      <c r="M1664" s="65" t="str" cm="1">
        <f t="array" ref="M1664">_xlfn.IFS(Table22[[#This Row],[Units Sold]]&lt;40,"Critical",Table22[[#This Row],[Units Sold]]&lt;=50,"Poor",Table22[[#This Row],[Units Sold]]&lt;=60,"Low",Table22[[#This Row],[Units Sold]]&lt;=80,"Average",Table22[[#This Row],[Units Sold]]&lt;=90,"High",Table22[[#This Row],[Units Sold]]&lt;=95,"Excellent",Table22[[#This Row],[Units Sold]]&gt;95,"Outstanding")</f>
        <v>Critical</v>
      </c>
      <c r="N1664" s="29">
        <v>210.94</v>
      </c>
      <c r="O1664" s="29">
        <v>7804.78</v>
      </c>
      <c r="P1664" s="43">
        <f>IF(Table22[[#This Row],[Discount Applied]],Table22[[#This Row],[Total Sales (in USD)]]*(1-Table22[[#This Row],[Discount Percentage (%)]]/100),Table22[[#This Row],[Total Sales (in USD)]])</f>
        <v>7804.78</v>
      </c>
      <c r="Q1664" s="66">
        <f>SQRT(AVERAGE((Table22[[#This Row],[Net Sales (after discount) (in USD)]]-AVERAGE(Table22[Net Sales (after discount) (in USD)]))^2))</f>
        <v>28706.580563764539</v>
      </c>
      <c r="R1664" s="18" t="b">
        <v>1</v>
      </c>
      <c r="S1664" s="40">
        <v>0.34</v>
      </c>
      <c r="T1664" s="18" t="b">
        <v>0</v>
      </c>
      <c r="U1664" s="25">
        <v>45057</v>
      </c>
      <c r="V1664" s="63" t="str">
        <f>IF(MONTH(Table22[[#This Row],[Sales Date]])&lt;=3,"Q1",IF(MONTH(Table22[[#This Row],[Sales Date]])&lt;=6,"Q2",IF(MONTH(Table22[[#This Row],[Sales Date]])&lt;=9,"Q3","Q4")))</f>
        <v>Q2</v>
      </c>
      <c r="W1664" s="64">
        <f>YEAR(Table22[[#This Row],[Sales Date]])</f>
        <v>2023</v>
      </c>
      <c r="X1664" s="23">
        <v>26</v>
      </c>
      <c r="Y1664" s="18" t="s">
        <v>41</v>
      </c>
      <c r="Z1664" s="18" t="s">
        <v>56</v>
      </c>
      <c r="AA1664" s="19" t="s">
        <v>36</v>
      </c>
    </row>
    <row r="1665" spans="1:27" x14ac:dyDescent="0.25">
      <c r="A1665" s="17" t="s">
        <v>1350</v>
      </c>
      <c r="B1665" s="18" t="s">
        <v>18</v>
      </c>
      <c r="C1665" s="63" t="str" cm="1">
        <f t="array" ref="C1665">_xlfn.SWITCH(Table22[[#This Row],[Country]],"USA","North America","Canada","North America","Brazil","South America","China","Asia","Japan","Asia","India","Asia","France","Europe","Germany","Europe","UK","Europe","Australia","Oceania","South America")</f>
        <v>Asia</v>
      </c>
      <c r="D1665" s="18" t="s">
        <v>28</v>
      </c>
      <c r="E1665" s="18" t="s">
        <v>19</v>
      </c>
      <c r="F1665" s="18" t="s">
        <v>64</v>
      </c>
      <c r="G1665" s="18" t="s">
        <v>22</v>
      </c>
      <c r="H1665" s="64">
        <f>LEN(TRIM(Table22[[#This Row],[Country]]))</f>
        <v>5</v>
      </c>
      <c r="I1665" s="64">
        <f>LEN(TRIM(Table22[[#This Row],[Continent]]))</f>
        <v>4</v>
      </c>
      <c r="J1665" s="64">
        <f>LEN(TRIM(Table22[[#This Row],[Product]]))</f>
        <v>6</v>
      </c>
      <c r="K1665" s="64">
        <f>LEN(TRIM(Table22[[#This Row],[Sales Team]]))</f>
        <v>10</v>
      </c>
      <c r="L1665" s="23">
        <v>9</v>
      </c>
      <c r="M1665" s="65" t="str" cm="1">
        <f t="array" ref="M1665">_xlfn.IFS(Table22[[#This Row],[Units Sold]]&lt;40,"Critical",Table22[[#This Row],[Units Sold]]&lt;=50,"Poor",Table22[[#This Row],[Units Sold]]&lt;=60,"Low",Table22[[#This Row],[Units Sold]]&lt;=80,"Average",Table22[[#This Row],[Units Sold]]&lt;=90,"High",Table22[[#This Row],[Units Sold]]&lt;=95,"Excellent",Table22[[#This Row],[Units Sold]]&gt;95,"Outstanding")</f>
        <v>Critical</v>
      </c>
      <c r="N1665" s="29">
        <v>865.64</v>
      </c>
      <c r="O1665" s="29">
        <v>7790.76</v>
      </c>
      <c r="P1665" s="43">
        <f>IF(Table22[[#This Row],[Discount Applied]],Table22[[#This Row],[Total Sales (in USD)]]*(1-Table22[[#This Row],[Discount Percentage (%)]]/100),Table22[[#This Row],[Total Sales (in USD)]])</f>
        <v>7109.8475760000001</v>
      </c>
      <c r="Q1665" s="66">
        <f>SQRT(AVERAGE((Table22[[#This Row],[Net Sales (after discount) (in USD)]]-AVERAGE(Table22[Net Sales (after discount) (in USD)]))^2))</f>
        <v>29401.512987764538</v>
      </c>
      <c r="R1665" s="18" t="b">
        <v>0</v>
      </c>
      <c r="S1665" s="40">
        <v>8.74</v>
      </c>
      <c r="T1665" s="18" t="b">
        <v>1</v>
      </c>
      <c r="U1665" s="25">
        <v>45362</v>
      </c>
      <c r="V1665" s="63" t="str">
        <f>IF(MONTH(Table22[[#This Row],[Sales Date]])&lt;=3,"Q1",IF(MONTH(Table22[[#This Row],[Sales Date]])&lt;=6,"Q2",IF(MONTH(Table22[[#This Row],[Sales Date]])&lt;=9,"Q3","Q4")))</f>
        <v>Q1</v>
      </c>
      <c r="W1665" s="64">
        <f>YEAR(Table22[[#This Row],[Sales Date]])</f>
        <v>2024</v>
      </c>
      <c r="X1665" s="23">
        <v>61</v>
      </c>
      <c r="Y1665" s="18" t="s">
        <v>49</v>
      </c>
      <c r="Z1665" s="18" t="s">
        <v>24</v>
      </c>
      <c r="AA1665" s="19" t="s">
        <v>36</v>
      </c>
    </row>
    <row r="1666" spans="1:27" x14ac:dyDescent="0.25">
      <c r="A1666" s="17" t="s">
        <v>1614</v>
      </c>
      <c r="B1666" s="18" t="s">
        <v>38</v>
      </c>
      <c r="C1666" s="63" t="str" cm="1">
        <f t="array" ref="C1666">_xlfn.SWITCH(Table22[[#This Row],[Country]],"USA","North America","Canada","North America","Brazil","South America","China","Asia","Japan","Asia","India","Asia","France","Europe","Germany","Europe","UK","Europe","Australia","Oceania","South America")</f>
        <v>Europe</v>
      </c>
      <c r="D1666" s="18" t="s">
        <v>35</v>
      </c>
      <c r="E1666" s="18" t="s">
        <v>33</v>
      </c>
      <c r="F1666" s="18" t="s">
        <v>34</v>
      </c>
      <c r="G1666" s="18" t="s">
        <v>22</v>
      </c>
      <c r="H1666" s="64">
        <f>LEN(TRIM(Table22[[#This Row],[Country]]))</f>
        <v>6</v>
      </c>
      <c r="I1666" s="64">
        <f>LEN(TRIM(Table22[[#This Row],[Continent]]))</f>
        <v>6</v>
      </c>
      <c r="J1666" s="64">
        <f>LEN(TRIM(Table22[[#This Row],[Product]]))</f>
        <v>10</v>
      </c>
      <c r="K1666" s="64">
        <f>LEN(TRIM(Table22[[#This Row],[Sales Team]]))</f>
        <v>10</v>
      </c>
      <c r="L1666" s="23">
        <v>84</v>
      </c>
      <c r="M1666" s="65" t="str" cm="1">
        <f t="array" ref="M1666">_xlfn.IFS(Table22[[#This Row],[Units Sold]]&lt;40,"Critical",Table22[[#This Row],[Units Sold]]&lt;=50,"Poor",Table22[[#This Row],[Units Sold]]&lt;=60,"Low",Table22[[#This Row],[Units Sold]]&lt;=80,"Average",Table22[[#This Row],[Units Sold]]&lt;=90,"High",Table22[[#This Row],[Units Sold]]&lt;=95,"Excellent",Table22[[#This Row],[Units Sold]]&gt;95,"Outstanding")</f>
        <v>High</v>
      </c>
      <c r="N1666" s="29">
        <v>92.74</v>
      </c>
      <c r="O1666" s="29">
        <v>7790.16</v>
      </c>
      <c r="P1666" s="43">
        <f>IF(Table22[[#This Row],[Discount Applied]],Table22[[#This Row],[Total Sales (in USD)]]*(1-Table22[[#This Row],[Discount Percentage (%)]]/100),Table22[[#This Row],[Total Sales (in USD)]])</f>
        <v>6638.7743520000004</v>
      </c>
      <c r="Q1666" s="66">
        <f>SQRT(AVERAGE((Table22[[#This Row],[Net Sales (after discount) (in USD)]]-AVERAGE(Table22[Net Sales (after discount) (in USD)]))^2))</f>
        <v>29872.586211764537</v>
      </c>
      <c r="R1666" s="18" t="b">
        <v>0</v>
      </c>
      <c r="S1666" s="40">
        <v>14.78</v>
      </c>
      <c r="T1666" s="18" t="b">
        <v>1</v>
      </c>
      <c r="U1666" s="25">
        <v>45324</v>
      </c>
      <c r="V1666" s="63" t="str">
        <f>IF(MONTH(Table22[[#This Row],[Sales Date]])&lt;=3,"Q1",IF(MONTH(Table22[[#This Row],[Sales Date]])&lt;=6,"Q2",IF(MONTH(Table22[[#This Row],[Sales Date]])&lt;=9,"Q3","Q4")))</f>
        <v>Q1</v>
      </c>
      <c r="W1666" s="64">
        <f>YEAR(Table22[[#This Row],[Sales Date]])</f>
        <v>2024</v>
      </c>
      <c r="X1666" s="23">
        <v>46</v>
      </c>
      <c r="Y1666" s="18" t="s">
        <v>41</v>
      </c>
      <c r="Z1666" s="18" t="s">
        <v>30</v>
      </c>
      <c r="AA1666" s="19" t="s">
        <v>36</v>
      </c>
    </row>
    <row r="1667" spans="1:27" x14ac:dyDescent="0.25">
      <c r="A1667" s="17" t="s">
        <v>516</v>
      </c>
      <c r="B1667" s="18" t="s">
        <v>46</v>
      </c>
      <c r="C1667" s="63" t="str" cm="1">
        <f t="array" ref="C1667">_xlfn.SWITCH(Table22[[#This Row],[Country]],"USA","North America","Canada","North America","Brazil","South America","China","Asia","Japan","Asia","India","Asia","France","Europe","Germany","Europe","UK","Europe","Australia","Oceania","South America")</f>
        <v>South America</v>
      </c>
      <c r="D1667" s="18" t="s">
        <v>35</v>
      </c>
      <c r="E1667" s="18" t="s">
        <v>19</v>
      </c>
      <c r="F1667" s="18" t="s">
        <v>47</v>
      </c>
      <c r="G1667" s="18" t="s">
        <v>22</v>
      </c>
      <c r="H1667" s="64">
        <f>LEN(TRIM(Table22[[#This Row],[Country]]))</f>
        <v>6</v>
      </c>
      <c r="I1667" s="64">
        <f>LEN(TRIM(Table22[[#This Row],[Continent]]))</f>
        <v>13</v>
      </c>
      <c r="J1667" s="64">
        <f>LEN(TRIM(Table22[[#This Row],[Product]]))</f>
        <v>6</v>
      </c>
      <c r="K1667" s="64">
        <f>LEN(TRIM(Table22[[#This Row],[Sales Team]]))</f>
        <v>10</v>
      </c>
      <c r="L1667" s="23">
        <v>90</v>
      </c>
      <c r="M1667" s="65" t="str" cm="1">
        <f t="array" ref="M1667">_xlfn.IFS(Table22[[#This Row],[Units Sold]]&lt;40,"Critical",Table22[[#This Row],[Units Sold]]&lt;=50,"Poor",Table22[[#This Row],[Units Sold]]&lt;=60,"Low",Table22[[#This Row],[Units Sold]]&lt;=80,"Average",Table22[[#This Row],[Units Sold]]&lt;=90,"High",Table22[[#This Row],[Units Sold]]&lt;=95,"Excellent",Table22[[#This Row],[Units Sold]]&gt;95,"Outstanding")</f>
        <v>High</v>
      </c>
      <c r="N1667" s="29">
        <v>86.45</v>
      </c>
      <c r="O1667" s="29">
        <v>7780.5</v>
      </c>
      <c r="P1667" s="43">
        <f>IF(Table22[[#This Row],[Discount Applied]],Table22[[#This Row],[Total Sales (in USD)]]*(1-Table22[[#This Row],[Discount Percentage (%)]]/100),Table22[[#This Row],[Total Sales (in USD)]])</f>
        <v>7780.5</v>
      </c>
      <c r="Q1667" s="66">
        <f>SQRT(AVERAGE((Table22[[#This Row],[Net Sales (after discount) (in USD)]]-AVERAGE(Table22[Net Sales (after discount) (in USD)]))^2))</f>
        <v>28730.860563764538</v>
      </c>
      <c r="R1667" s="18" t="b">
        <v>1</v>
      </c>
      <c r="S1667" s="40">
        <v>3.51</v>
      </c>
      <c r="T1667" s="18" t="b">
        <v>0</v>
      </c>
      <c r="U1667" s="25">
        <v>44962</v>
      </c>
      <c r="V1667" s="63" t="str">
        <f>IF(MONTH(Table22[[#This Row],[Sales Date]])&lt;=3,"Q1",IF(MONTH(Table22[[#This Row],[Sales Date]])&lt;=6,"Q2",IF(MONTH(Table22[[#This Row],[Sales Date]])&lt;=9,"Q3","Q4")))</f>
        <v>Q1</v>
      </c>
      <c r="W1667" s="64">
        <f>YEAR(Table22[[#This Row],[Sales Date]])</f>
        <v>2023</v>
      </c>
      <c r="X1667" s="23">
        <v>43</v>
      </c>
      <c r="Y1667" s="18" t="s">
        <v>49</v>
      </c>
      <c r="Z1667" s="18" t="s">
        <v>42</v>
      </c>
      <c r="AA1667" s="19" t="s">
        <v>36</v>
      </c>
    </row>
    <row r="1668" spans="1:27" x14ac:dyDescent="0.25">
      <c r="A1668" s="17" t="s">
        <v>82</v>
      </c>
      <c r="B1668" s="18" t="s">
        <v>76</v>
      </c>
      <c r="C1668" s="63" t="str" cm="1">
        <f t="array" ref="C1668">_xlfn.SWITCH(Table22[[#This Row],[Country]],"USA","North America","Canada","North America","Brazil","South America","China","Asia","Japan","Asia","India","Asia","France","Europe","Germany","Europe","UK","Europe","Australia","Oceania","South America")</f>
        <v>Asia</v>
      </c>
      <c r="D1668" s="18" t="s">
        <v>21</v>
      </c>
      <c r="E1668" s="18" t="s">
        <v>33</v>
      </c>
      <c r="F1668" s="18" t="s">
        <v>52</v>
      </c>
      <c r="G1668" s="18" t="s">
        <v>29</v>
      </c>
      <c r="H1668" s="64">
        <f>LEN(TRIM(Table22[[#This Row],[Country]]))</f>
        <v>5</v>
      </c>
      <c r="I1668" s="64">
        <f>LEN(TRIM(Table22[[#This Row],[Continent]]))</f>
        <v>4</v>
      </c>
      <c r="J1668" s="64">
        <f>LEN(TRIM(Table22[[#This Row],[Product]]))</f>
        <v>10</v>
      </c>
      <c r="K1668" s="64">
        <f>LEN(TRIM(Table22[[#This Row],[Sales Team]]))</f>
        <v>10</v>
      </c>
      <c r="L1668" s="23">
        <v>79</v>
      </c>
      <c r="M1668" s="65" t="str" cm="1">
        <f t="array" ref="M1668">_xlfn.IFS(Table22[[#This Row],[Units Sold]]&lt;40,"Critical",Table22[[#This Row],[Units Sold]]&lt;=50,"Poor",Table22[[#This Row],[Units Sold]]&lt;=60,"Low",Table22[[#This Row],[Units Sold]]&lt;=80,"Average",Table22[[#This Row],[Units Sold]]&lt;=90,"High",Table22[[#This Row],[Units Sold]]&lt;=95,"Excellent",Table22[[#This Row],[Units Sold]]&gt;95,"Outstanding")</f>
        <v>Average</v>
      </c>
      <c r="N1668" s="29">
        <v>98.32</v>
      </c>
      <c r="O1668" s="29">
        <v>7767.28</v>
      </c>
      <c r="P1668" s="43">
        <f>IF(Table22[[#This Row],[Discount Applied]],Table22[[#This Row],[Total Sales (in USD)]]*(1-Table22[[#This Row],[Discount Percentage (%)]]/100),Table22[[#This Row],[Total Sales (in USD)]])</f>
        <v>5757.1079360000003</v>
      </c>
      <c r="Q1668" s="66">
        <f>SQRT(AVERAGE((Table22[[#This Row],[Net Sales (after discount) (in USD)]]-AVERAGE(Table22[Net Sales (after discount) (in USD)]))^2))</f>
        <v>30754.252627764537</v>
      </c>
      <c r="R1668" s="18" t="b">
        <v>0</v>
      </c>
      <c r="S1668" s="40">
        <v>25.88</v>
      </c>
      <c r="T1668" s="18" t="b">
        <v>1</v>
      </c>
      <c r="U1668" s="25">
        <v>44977</v>
      </c>
      <c r="V1668" s="63" t="str">
        <f>IF(MONTH(Table22[[#This Row],[Sales Date]])&lt;=3,"Q1",IF(MONTH(Table22[[#This Row],[Sales Date]])&lt;=6,"Q2",IF(MONTH(Table22[[#This Row],[Sales Date]])&lt;=9,"Q3","Q4")))</f>
        <v>Q1</v>
      </c>
      <c r="W1668" s="64">
        <f>YEAR(Table22[[#This Row],[Sales Date]])</f>
        <v>2023</v>
      </c>
      <c r="X1668" s="23">
        <v>39</v>
      </c>
      <c r="Y1668" s="18" t="s">
        <v>23</v>
      </c>
      <c r="Z1668" s="18" t="s">
        <v>56</v>
      </c>
      <c r="AA1668" s="19" t="s">
        <v>36</v>
      </c>
    </row>
    <row r="1669" spans="1:27" x14ac:dyDescent="0.25">
      <c r="A1669" s="17" t="s">
        <v>1406</v>
      </c>
      <c r="B1669" s="18" t="s">
        <v>46</v>
      </c>
      <c r="C1669" s="63" t="str" cm="1">
        <f t="array" ref="C1669">_xlfn.SWITCH(Table22[[#This Row],[Country]],"USA","North America","Canada","North America","Brazil","South America","China","Asia","Japan","Asia","India","Asia","France","Europe","Germany","Europe","UK","Europe","Australia","Oceania","South America")</f>
        <v>South America</v>
      </c>
      <c r="D1669" s="18" t="s">
        <v>21</v>
      </c>
      <c r="E1669" s="18" t="s">
        <v>33</v>
      </c>
      <c r="F1669" s="18" t="s">
        <v>34</v>
      </c>
      <c r="G1669" s="18" t="s">
        <v>29</v>
      </c>
      <c r="H1669" s="64">
        <f>LEN(TRIM(Table22[[#This Row],[Country]]))</f>
        <v>6</v>
      </c>
      <c r="I1669" s="64">
        <f>LEN(TRIM(Table22[[#This Row],[Continent]]))</f>
        <v>13</v>
      </c>
      <c r="J1669" s="64">
        <f>LEN(TRIM(Table22[[#This Row],[Product]]))</f>
        <v>10</v>
      </c>
      <c r="K1669" s="64">
        <f>LEN(TRIM(Table22[[#This Row],[Sales Team]]))</f>
        <v>10</v>
      </c>
      <c r="L1669" s="23">
        <v>82</v>
      </c>
      <c r="M1669" s="65" t="str" cm="1">
        <f t="array" ref="M1669">_xlfn.IFS(Table22[[#This Row],[Units Sold]]&lt;40,"Critical",Table22[[#This Row],[Units Sold]]&lt;=50,"Poor",Table22[[#This Row],[Units Sold]]&lt;=60,"Low",Table22[[#This Row],[Units Sold]]&lt;=80,"Average",Table22[[#This Row],[Units Sold]]&lt;=90,"High",Table22[[#This Row],[Units Sold]]&lt;=95,"Excellent",Table22[[#This Row],[Units Sold]]&gt;95,"Outstanding")</f>
        <v>High</v>
      </c>
      <c r="N1669" s="29">
        <v>93.93</v>
      </c>
      <c r="O1669" s="29">
        <v>7702.26</v>
      </c>
      <c r="P1669" s="43">
        <f>IF(Table22[[#This Row],[Discount Applied]],Table22[[#This Row],[Total Sales (in USD)]]*(1-Table22[[#This Row],[Discount Percentage (%)]]/100),Table22[[#This Row],[Total Sales (in USD)]])</f>
        <v>7702.26</v>
      </c>
      <c r="Q1669" s="66">
        <f>SQRT(AVERAGE((Table22[[#This Row],[Net Sales (after discount) (in USD)]]-AVERAGE(Table22[Net Sales (after discount) (in USD)]))^2))</f>
        <v>28809.100563764536</v>
      </c>
      <c r="R1669" s="18" t="b">
        <v>1</v>
      </c>
      <c r="S1669" s="40">
        <v>24.51</v>
      </c>
      <c r="T1669" s="18" t="b">
        <v>0</v>
      </c>
      <c r="U1669" s="25">
        <v>45074</v>
      </c>
      <c r="V1669" s="63" t="str">
        <f>IF(MONTH(Table22[[#This Row],[Sales Date]])&lt;=3,"Q1",IF(MONTH(Table22[[#This Row],[Sales Date]])&lt;=6,"Q2",IF(MONTH(Table22[[#This Row],[Sales Date]])&lt;=9,"Q3","Q4")))</f>
        <v>Q2</v>
      </c>
      <c r="W1669" s="64">
        <f>YEAR(Table22[[#This Row],[Sales Date]])</f>
        <v>2023</v>
      </c>
      <c r="X1669" s="23">
        <v>50</v>
      </c>
      <c r="Y1669" s="18" t="s">
        <v>41</v>
      </c>
      <c r="Z1669" s="18" t="s">
        <v>24</v>
      </c>
      <c r="AA1669" s="19" t="s">
        <v>25</v>
      </c>
    </row>
    <row r="1670" spans="1:27" x14ac:dyDescent="0.25">
      <c r="A1670" s="17" t="s">
        <v>164</v>
      </c>
      <c r="B1670" s="18" t="s">
        <v>38</v>
      </c>
      <c r="C1670" s="63" t="str" cm="1">
        <f t="array" ref="C1670">_xlfn.SWITCH(Table22[[#This Row],[Country]],"USA","North America","Canada","North America","Brazil","South America","China","Asia","Japan","Asia","India","Asia","France","Europe","Germany","Europe","UK","Europe","Australia","Oceania","South America")</f>
        <v>Europe</v>
      </c>
      <c r="D1670" s="18" t="s">
        <v>44</v>
      </c>
      <c r="E1670" s="18" t="s">
        <v>39</v>
      </c>
      <c r="F1670" s="18" t="s">
        <v>47</v>
      </c>
      <c r="G1670" s="18" t="s">
        <v>22</v>
      </c>
      <c r="H1670" s="64">
        <f>LEN(TRIM(Table22[[#This Row],[Country]]))</f>
        <v>6</v>
      </c>
      <c r="I1670" s="64">
        <f>LEN(TRIM(Table22[[#This Row],[Continent]]))</f>
        <v>6</v>
      </c>
      <c r="J1670" s="64">
        <f>LEN(TRIM(Table22[[#This Row],[Product]]))</f>
        <v>10</v>
      </c>
      <c r="K1670" s="64">
        <f>LEN(TRIM(Table22[[#This Row],[Sales Team]]))</f>
        <v>10</v>
      </c>
      <c r="L1670" s="23">
        <v>41</v>
      </c>
      <c r="M1670" s="65" t="str" cm="1">
        <f t="array" ref="M1670">_xlfn.IFS(Table22[[#This Row],[Units Sold]]&lt;40,"Critical",Table22[[#This Row],[Units Sold]]&lt;=50,"Poor",Table22[[#This Row],[Units Sold]]&lt;=60,"Low",Table22[[#This Row],[Units Sold]]&lt;=80,"Average",Table22[[#This Row],[Units Sold]]&lt;=90,"High",Table22[[#This Row],[Units Sold]]&lt;=95,"Excellent",Table22[[#This Row],[Units Sold]]&gt;95,"Outstanding")</f>
        <v>Poor</v>
      </c>
      <c r="N1670" s="29">
        <v>187.68</v>
      </c>
      <c r="O1670" s="29">
        <v>7694.88</v>
      </c>
      <c r="P1670" s="43">
        <f>IF(Table22[[#This Row],[Discount Applied]],Table22[[#This Row],[Total Sales (in USD)]]*(1-Table22[[#This Row],[Discount Percentage (%)]]/100),Table22[[#This Row],[Total Sales (in USD)]])</f>
        <v>5926.5965759999999</v>
      </c>
      <c r="Q1670" s="66">
        <f>SQRT(AVERAGE((Table22[[#This Row],[Net Sales (after discount) (in USD)]]-AVERAGE(Table22[Net Sales (after discount) (in USD)]))^2))</f>
        <v>30584.763987764538</v>
      </c>
      <c r="R1670" s="18" t="b">
        <v>1</v>
      </c>
      <c r="S1670" s="40">
        <v>22.98</v>
      </c>
      <c r="T1670" s="18" t="b">
        <v>1</v>
      </c>
      <c r="U1670" s="25">
        <v>45111</v>
      </c>
      <c r="V1670" s="63" t="str">
        <f>IF(MONTH(Table22[[#This Row],[Sales Date]])&lt;=3,"Q1",IF(MONTH(Table22[[#This Row],[Sales Date]])&lt;=6,"Q2",IF(MONTH(Table22[[#This Row],[Sales Date]])&lt;=9,"Q3","Q4")))</f>
        <v>Q3</v>
      </c>
      <c r="W1670" s="64">
        <f>YEAR(Table22[[#This Row],[Sales Date]])</f>
        <v>2023</v>
      </c>
      <c r="X1670" s="23">
        <v>41</v>
      </c>
      <c r="Y1670" s="18" t="s">
        <v>41</v>
      </c>
      <c r="Z1670" s="18" t="s">
        <v>30</v>
      </c>
      <c r="AA1670" s="19" t="s">
        <v>36</v>
      </c>
    </row>
    <row r="1671" spans="1:27" x14ac:dyDescent="0.25">
      <c r="A1671" s="17" t="s">
        <v>2044</v>
      </c>
      <c r="B1671" s="18" t="s">
        <v>76</v>
      </c>
      <c r="C1671" s="63" t="str" cm="1">
        <f t="array" ref="C1671">_xlfn.SWITCH(Table22[[#This Row],[Country]],"USA","North America","Canada","North America","Brazil","South America","China","Asia","Japan","Asia","India","Asia","France","Europe","Germany","Europe","UK","Europe","Australia","Oceania","South America")</f>
        <v>Asia</v>
      </c>
      <c r="D1671" s="18" t="s">
        <v>44</v>
      </c>
      <c r="E1671" s="18" t="s">
        <v>39</v>
      </c>
      <c r="F1671" s="18" t="s">
        <v>52</v>
      </c>
      <c r="G1671" s="18" t="s">
        <v>29</v>
      </c>
      <c r="H1671" s="64">
        <f>LEN(TRIM(Table22[[#This Row],[Country]]))</f>
        <v>5</v>
      </c>
      <c r="I1671" s="64">
        <f>LEN(TRIM(Table22[[#This Row],[Continent]]))</f>
        <v>4</v>
      </c>
      <c r="J1671" s="64">
        <f>LEN(TRIM(Table22[[#This Row],[Product]]))</f>
        <v>10</v>
      </c>
      <c r="K1671" s="64">
        <f>LEN(TRIM(Table22[[#This Row],[Sales Team]]))</f>
        <v>10</v>
      </c>
      <c r="L1671" s="23">
        <v>18</v>
      </c>
      <c r="M1671" s="65" t="str" cm="1">
        <f t="array" ref="M1671">_xlfn.IFS(Table22[[#This Row],[Units Sold]]&lt;40,"Critical",Table22[[#This Row],[Units Sold]]&lt;=50,"Poor",Table22[[#This Row],[Units Sold]]&lt;=60,"Low",Table22[[#This Row],[Units Sold]]&lt;=80,"Average",Table22[[#This Row],[Units Sold]]&lt;=90,"High",Table22[[#This Row],[Units Sold]]&lt;=95,"Excellent",Table22[[#This Row],[Units Sold]]&gt;95,"Outstanding")</f>
        <v>Critical</v>
      </c>
      <c r="N1671" s="29">
        <v>426.35</v>
      </c>
      <c r="O1671" s="29">
        <v>7674.3</v>
      </c>
      <c r="P1671" s="43">
        <f>IF(Table22[[#This Row],[Discount Applied]],Table22[[#This Row],[Total Sales (in USD)]]*(1-Table22[[#This Row],[Discount Percentage (%)]]/100),Table22[[#This Row],[Total Sales (in USD)]])</f>
        <v>7674.3</v>
      </c>
      <c r="Q1671" s="66">
        <f>SQRT(AVERAGE((Table22[[#This Row],[Net Sales (after discount) (in USD)]]-AVERAGE(Table22[Net Sales (after discount) (in USD)]))^2))</f>
        <v>28837.060563764539</v>
      </c>
      <c r="R1671" s="18" t="b">
        <v>0</v>
      </c>
      <c r="S1671" s="40">
        <v>5.0599999999999996</v>
      </c>
      <c r="T1671" s="18" t="b">
        <v>0</v>
      </c>
      <c r="U1671" s="25">
        <v>45043</v>
      </c>
      <c r="V1671" s="63" t="str">
        <f>IF(MONTH(Table22[[#This Row],[Sales Date]])&lt;=3,"Q1",IF(MONTH(Table22[[#This Row],[Sales Date]])&lt;=6,"Q2",IF(MONTH(Table22[[#This Row],[Sales Date]])&lt;=9,"Q3","Q4")))</f>
        <v>Q2</v>
      </c>
      <c r="W1671" s="64">
        <f>YEAR(Table22[[#This Row],[Sales Date]])</f>
        <v>2023</v>
      </c>
      <c r="X1671" s="23">
        <v>57</v>
      </c>
      <c r="Y1671" s="18" t="s">
        <v>23</v>
      </c>
      <c r="Z1671" s="18" t="s">
        <v>24</v>
      </c>
      <c r="AA1671" s="19" t="s">
        <v>36</v>
      </c>
    </row>
    <row r="1672" spans="1:27" x14ac:dyDescent="0.25">
      <c r="A1672" s="17" t="s">
        <v>1802</v>
      </c>
      <c r="B1672" s="18" t="s">
        <v>51</v>
      </c>
      <c r="C1672" s="63" t="str" cm="1">
        <f t="array" ref="C1672">_xlfn.SWITCH(Table22[[#This Row],[Country]],"USA","North America","Canada","North America","Brazil","South America","China","Asia","Japan","Asia","India","Asia","France","Europe","Germany","Europe","UK","Europe","Australia","Oceania","South America")</f>
        <v>Europe</v>
      </c>
      <c r="D1672" s="18" t="s">
        <v>35</v>
      </c>
      <c r="E1672" s="18" t="s">
        <v>19</v>
      </c>
      <c r="F1672" s="18" t="s">
        <v>52</v>
      </c>
      <c r="G1672" s="18" t="s">
        <v>40</v>
      </c>
      <c r="H1672" s="64">
        <f>LEN(TRIM(Table22[[#This Row],[Country]]))</f>
        <v>2</v>
      </c>
      <c r="I1672" s="64">
        <f>LEN(TRIM(Table22[[#This Row],[Continent]]))</f>
        <v>6</v>
      </c>
      <c r="J1672" s="64">
        <f>LEN(TRIM(Table22[[#This Row],[Product]]))</f>
        <v>6</v>
      </c>
      <c r="K1672" s="64">
        <f>LEN(TRIM(Table22[[#This Row],[Sales Team]]))</f>
        <v>10</v>
      </c>
      <c r="L1672" s="23">
        <v>6</v>
      </c>
      <c r="M1672" s="65" t="str" cm="1">
        <f t="array" ref="M1672">_xlfn.IFS(Table22[[#This Row],[Units Sold]]&lt;40,"Critical",Table22[[#This Row],[Units Sold]]&lt;=50,"Poor",Table22[[#This Row],[Units Sold]]&lt;=60,"Low",Table22[[#This Row],[Units Sold]]&lt;=80,"Average",Table22[[#This Row],[Units Sold]]&lt;=90,"High",Table22[[#This Row],[Units Sold]]&lt;=95,"Excellent",Table22[[#This Row],[Units Sold]]&gt;95,"Outstanding")</f>
        <v>Critical</v>
      </c>
      <c r="N1672" s="29">
        <v>1272.73</v>
      </c>
      <c r="O1672" s="29">
        <v>7636.38</v>
      </c>
      <c r="P1672" s="43">
        <f>IF(Table22[[#This Row],[Discount Applied]],Table22[[#This Row],[Total Sales (in USD)]]*(1-Table22[[#This Row],[Discount Percentage (%)]]/100),Table22[[#This Row],[Total Sales (in USD)]])</f>
        <v>5714.3031540000002</v>
      </c>
      <c r="Q1672" s="66">
        <f>SQRT(AVERAGE((Table22[[#This Row],[Net Sales (after discount) (in USD)]]-AVERAGE(Table22[Net Sales (after discount) (in USD)]))^2))</f>
        <v>30797.057409764537</v>
      </c>
      <c r="R1672" s="18" t="b">
        <v>1</v>
      </c>
      <c r="S1672" s="40">
        <v>25.17</v>
      </c>
      <c r="T1672" s="18" t="b">
        <v>1</v>
      </c>
      <c r="U1672" s="25">
        <v>45410</v>
      </c>
      <c r="V1672" s="63" t="str">
        <f>IF(MONTH(Table22[[#This Row],[Sales Date]])&lt;=3,"Q1",IF(MONTH(Table22[[#This Row],[Sales Date]])&lt;=6,"Q2",IF(MONTH(Table22[[#This Row],[Sales Date]])&lt;=9,"Q3","Q4")))</f>
        <v>Q2</v>
      </c>
      <c r="W1672" s="64">
        <f>YEAR(Table22[[#This Row],[Sales Date]])</f>
        <v>2024</v>
      </c>
      <c r="X1672" s="23">
        <v>58</v>
      </c>
      <c r="Y1672" s="18" t="s">
        <v>23</v>
      </c>
      <c r="Z1672" s="18" t="s">
        <v>42</v>
      </c>
      <c r="AA1672" s="19" t="s">
        <v>36</v>
      </c>
    </row>
    <row r="1673" spans="1:27" x14ac:dyDescent="0.25">
      <c r="A1673" s="17" t="s">
        <v>580</v>
      </c>
      <c r="B1673" s="18" t="s">
        <v>46</v>
      </c>
      <c r="C1673" s="63" t="str" cm="1">
        <f t="array" ref="C1673">_xlfn.SWITCH(Table22[[#This Row],[Country]],"USA","North America","Canada","North America","Brazil","South America","China","Asia","Japan","Asia","India","Asia","France","Europe","Germany","Europe","UK","Europe","Australia","Oceania","South America")</f>
        <v>South America</v>
      </c>
      <c r="D1673" s="18" t="s">
        <v>35</v>
      </c>
      <c r="E1673" s="18" t="s">
        <v>33</v>
      </c>
      <c r="F1673" s="18" t="s">
        <v>64</v>
      </c>
      <c r="G1673" s="18" t="s">
        <v>40</v>
      </c>
      <c r="H1673" s="64">
        <f>LEN(TRIM(Table22[[#This Row],[Country]]))</f>
        <v>6</v>
      </c>
      <c r="I1673" s="64">
        <f>LEN(TRIM(Table22[[#This Row],[Continent]]))</f>
        <v>13</v>
      </c>
      <c r="J1673" s="64">
        <f>LEN(TRIM(Table22[[#This Row],[Product]]))</f>
        <v>10</v>
      </c>
      <c r="K1673" s="64">
        <f>LEN(TRIM(Table22[[#This Row],[Sales Team]]))</f>
        <v>10</v>
      </c>
      <c r="L1673" s="23">
        <v>66</v>
      </c>
      <c r="M1673" s="65" t="str" cm="1">
        <f t="array" ref="M1673">_xlfn.IFS(Table22[[#This Row],[Units Sold]]&lt;40,"Critical",Table22[[#This Row],[Units Sold]]&lt;=50,"Poor",Table22[[#This Row],[Units Sold]]&lt;=60,"Low",Table22[[#This Row],[Units Sold]]&lt;=80,"Average",Table22[[#This Row],[Units Sold]]&lt;=90,"High",Table22[[#This Row],[Units Sold]]&lt;=95,"Excellent",Table22[[#This Row],[Units Sold]]&gt;95,"Outstanding")</f>
        <v>Average</v>
      </c>
      <c r="N1673" s="29">
        <v>115.38</v>
      </c>
      <c r="O1673" s="29">
        <v>7615.08</v>
      </c>
      <c r="P1673" s="43">
        <f>IF(Table22[[#This Row],[Discount Applied]],Table22[[#This Row],[Total Sales (in USD)]]*(1-Table22[[#This Row],[Discount Percentage (%)]]/100),Table22[[#This Row],[Total Sales (in USD)]])</f>
        <v>5900.1639840000007</v>
      </c>
      <c r="Q1673" s="66">
        <f>SQRT(AVERAGE((Table22[[#This Row],[Net Sales (after discount) (in USD)]]-AVERAGE(Table22[Net Sales (after discount) (in USD)]))^2))</f>
        <v>30611.196579764539</v>
      </c>
      <c r="R1673" s="18" t="b">
        <v>0</v>
      </c>
      <c r="S1673" s="40">
        <v>22.52</v>
      </c>
      <c r="T1673" s="18" t="b">
        <v>1</v>
      </c>
      <c r="U1673" s="25">
        <v>45009</v>
      </c>
      <c r="V1673" s="63" t="str">
        <f>IF(MONTH(Table22[[#This Row],[Sales Date]])&lt;=3,"Q1",IF(MONTH(Table22[[#This Row],[Sales Date]])&lt;=6,"Q2",IF(MONTH(Table22[[#This Row],[Sales Date]])&lt;=9,"Q3","Q4")))</f>
        <v>Q1</v>
      </c>
      <c r="W1673" s="64">
        <f>YEAR(Table22[[#This Row],[Sales Date]])</f>
        <v>2023</v>
      </c>
      <c r="X1673" s="23">
        <v>39</v>
      </c>
      <c r="Y1673" s="18" t="s">
        <v>41</v>
      </c>
      <c r="Z1673" s="18" t="s">
        <v>42</v>
      </c>
      <c r="AA1673" s="19" t="s">
        <v>25</v>
      </c>
    </row>
    <row r="1674" spans="1:27" x14ac:dyDescent="0.25">
      <c r="A1674" s="17" t="s">
        <v>1121</v>
      </c>
      <c r="B1674" s="18" t="s">
        <v>27</v>
      </c>
      <c r="C1674" s="63" t="str" cm="1">
        <f t="array" ref="C1674">_xlfn.SWITCH(Table22[[#This Row],[Country]],"USA","North America","Canada","North America","Brazil","South America","China","Asia","Japan","Asia","India","Asia","France","Europe","Germany","Europe","UK","Europe","Australia","Oceania","South America")</f>
        <v>Europe</v>
      </c>
      <c r="D1674" s="18" t="s">
        <v>28</v>
      </c>
      <c r="E1674" s="18" t="s">
        <v>33</v>
      </c>
      <c r="F1674" s="18" t="s">
        <v>52</v>
      </c>
      <c r="G1674" s="18" t="s">
        <v>29</v>
      </c>
      <c r="H1674" s="64">
        <f>LEN(TRIM(Table22[[#This Row],[Country]]))</f>
        <v>7</v>
      </c>
      <c r="I1674" s="64">
        <f>LEN(TRIM(Table22[[#This Row],[Continent]]))</f>
        <v>6</v>
      </c>
      <c r="J1674" s="64">
        <f>LEN(TRIM(Table22[[#This Row],[Product]]))</f>
        <v>10</v>
      </c>
      <c r="K1674" s="64">
        <f>LEN(TRIM(Table22[[#This Row],[Sales Team]]))</f>
        <v>10</v>
      </c>
      <c r="L1674" s="23">
        <v>55</v>
      </c>
      <c r="M1674" s="65" t="str" cm="1">
        <f t="array" ref="M1674">_xlfn.IFS(Table22[[#This Row],[Units Sold]]&lt;40,"Critical",Table22[[#This Row],[Units Sold]]&lt;=50,"Poor",Table22[[#This Row],[Units Sold]]&lt;=60,"Low",Table22[[#This Row],[Units Sold]]&lt;=80,"Average",Table22[[#This Row],[Units Sold]]&lt;=90,"High",Table22[[#This Row],[Units Sold]]&lt;=95,"Excellent",Table22[[#This Row],[Units Sold]]&gt;95,"Outstanding")</f>
        <v>Low</v>
      </c>
      <c r="N1674" s="29">
        <v>138.32</v>
      </c>
      <c r="O1674" s="29">
        <v>7607.6</v>
      </c>
      <c r="P1674" s="43">
        <f>IF(Table22[[#This Row],[Discount Applied]],Table22[[#This Row],[Total Sales (in USD)]]*(1-Table22[[#This Row],[Discount Percentage (%)]]/100),Table22[[#This Row],[Total Sales (in USD)]])</f>
        <v>7162.5554000000002</v>
      </c>
      <c r="Q1674" s="66">
        <f>SQRT(AVERAGE((Table22[[#This Row],[Net Sales (after discount) (in USD)]]-AVERAGE(Table22[Net Sales (after discount) (in USD)]))^2))</f>
        <v>29348.805163764537</v>
      </c>
      <c r="R1674" s="18" t="b">
        <v>1</v>
      </c>
      <c r="S1674" s="40">
        <v>5.85</v>
      </c>
      <c r="T1674" s="18" t="b">
        <v>1</v>
      </c>
      <c r="U1674" s="25">
        <v>45512</v>
      </c>
      <c r="V1674" s="63" t="str">
        <f>IF(MONTH(Table22[[#This Row],[Sales Date]])&lt;=3,"Q1",IF(MONTH(Table22[[#This Row],[Sales Date]])&lt;=6,"Q2",IF(MONTH(Table22[[#This Row],[Sales Date]])&lt;=9,"Q3","Q4")))</f>
        <v>Q3</v>
      </c>
      <c r="W1674" s="64">
        <f>YEAR(Table22[[#This Row],[Sales Date]])</f>
        <v>2024</v>
      </c>
      <c r="X1674" s="23">
        <v>48</v>
      </c>
      <c r="Y1674" s="18" t="s">
        <v>49</v>
      </c>
      <c r="Z1674" s="18" t="s">
        <v>24</v>
      </c>
      <c r="AA1674" s="19" t="s">
        <v>25</v>
      </c>
    </row>
    <row r="1675" spans="1:27" x14ac:dyDescent="0.25">
      <c r="A1675" s="17" t="s">
        <v>793</v>
      </c>
      <c r="B1675" s="18" t="s">
        <v>32</v>
      </c>
      <c r="C1675" s="63" t="str" cm="1">
        <f t="array" ref="C1675">_xlfn.SWITCH(Table22[[#This Row],[Country]],"USA","North America","Canada","North America","Brazil","South America","China","Asia","Japan","Asia","India","Asia","France","Europe","Germany","Europe","UK","Europe","Australia","Oceania","South America")</f>
        <v>Asia</v>
      </c>
      <c r="D1675" s="18" t="s">
        <v>21</v>
      </c>
      <c r="E1675" s="18" t="s">
        <v>33</v>
      </c>
      <c r="F1675" s="18" t="s">
        <v>34</v>
      </c>
      <c r="G1675" s="18" t="s">
        <v>22</v>
      </c>
      <c r="H1675" s="64">
        <f>LEN(TRIM(Table22[[#This Row],[Country]]))</f>
        <v>5</v>
      </c>
      <c r="I1675" s="64">
        <f>LEN(TRIM(Table22[[#This Row],[Continent]]))</f>
        <v>4</v>
      </c>
      <c r="J1675" s="64">
        <f>LEN(TRIM(Table22[[#This Row],[Product]]))</f>
        <v>10</v>
      </c>
      <c r="K1675" s="64">
        <f>LEN(TRIM(Table22[[#This Row],[Sales Team]]))</f>
        <v>10</v>
      </c>
      <c r="L1675" s="23">
        <v>18</v>
      </c>
      <c r="M1675" s="65" t="str" cm="1">
        <f t="array" ref="M1675">_xlfn.IFS(Table22[[#This Row],[Units Sold]]&lt;40,"Critical",Table22[[#This Row],[Units Sold]]&lt;=50,"Poor",Table22[[#This Row],[Units Sold]]&lt;=60,"Low",Table22[[#This Row],[Units Sold]]&lt;=80,"Average",Table22[[#This Row],[Units Sold]]&lt;=90,"High",Table22[[#This Row],[Units Sold]]&lt;=95,"Excellent",Table22[[#This Row],[Units Sold]]&gt;95,"Outstanding")</f>
        <v>Critical</v>
      </c>
      <c r="N1675" s="29">
        <v>422.64</v>
      </c>
      <c r="O1675" s="29">
        <v>7607.52</v>
      </c>
      <c r="P1675" s="43">
        <f>IF(Table22[[#This Row],[Discount Applied]],Table22[[#This Row],[Total Sales (in USD)]]*(1-Table22[[#This Row],[Discount Percentage (%)]]/100),Table22[[#This Row],[Total Sales (in USD)]])</f>
        <v>7607.52</v>
      </c>
      <c r="Q1675" s="66">
        <f>SQRT(AVERAGE((Table22[[#This Row],[Net Sales (after discount) (in USD)]]-AVERAGE(Table22[Net Sales (after discount) (in USD)]))^2))</f>
        <v>28903.840563764537</v>
      </c>
      <c r="R1675" s="18" t="b">
        <v>0</v>
      </c>
      <c r="S1675" s="40">
        <v>8.33</v>
      </c>
      <c r="T1675" s="18" t="b">
        <v>0</v>
      </c>
      <c r="U1675" s="25">
        <v>45510</v>
      </c>
      <c r="V1675" s="63" t="str">
        <f>IF(MONTH(Table22[[#This Row],[Sales Date]])&lt;=3,"Q1",IF(MONTH(Table22[[#This Row],[Sales Date]])&lt;=6,"Q2",IF(MONTH(Table22[[#This Row],[Sales Date]])&lt;=9,"Q3","Q4")))</f>
        <v>Q3</v>
      </c>
      <c r="W1675" s="64">
        <f>YEAR(Table22[[#This Row],[Sales Date]])</f>
        <v>2024</v>
      </c>
      <c r="X1675" s="23">
        <v>40</v>
      </c>
      <c r="Y1675" s="18" t="s">
        <v>23</v>
      </c>
      <c r="Z1675" s="18" t="s">
        <v>56</v>
      </c>
      <c r="AA1675" s="19" t="s">
        <v>25</v>
      </c>
    </row>
    <row r="1676" spans="1:27" x14ac:dyDescent="0.25">
      <c r="A1676" s="17" t="s">
        <v>1167</v>
      </c>
      <c r="B1676" s="18" t="s">
        <v>51</v>
      </c>
      <c r="C1676" s="63" t="str" cm="1">
        <f t="array" ref="C1676">_xlfn.SWITCH(Table22[[#This Row],[Country]],"USA","North America","Canada","North America","Brazil","South America","China","Asia","Japan","Asia","India","Asia","France","Europe","Germany","Europe","UK","Europe","Australia","Oceania","South America")</f>
        <v>Europe</v>
      </c>
      <c r="D1676" s="18" t="s">
        <v>21</v>
      </c>
      <c r="E1676" s="18" t="s">
        <v>19</v>
      </c>
      <c r="F1676" s="18" t="s">
        <v>47</v>
      </c>
      <c r="G1676" s="18" t="s">
        <v>48</v>
      </c>
      <c r="H1676" s="64">
        <f>LEN(TRIM(Table22[[#This Row],[Country]]))</f>
        <v>2</v>
      </c>
      <c r="I1676" s="64">
        <f>LEN(TRIM(Table22[[#This Row],[Continent]]))</f>
        <v>6</v>
      </c>
      <c r="J1676" s="64">
        <f>LEN(TRIM(Table22[[#This Row],[Product]]))</f>
        <v>6</v>
      </c>
      <c r="K1676" s="64">
        <f>LEN(TRIM(Table22[[#This Row],[Sales Team]]))</f>
        <v>9</v>
      </c>
      <c r="L1676" s="23">
        <v>37</v>
      </c>
      <c r="M1676" s="65" t="str" cm="1">
        <f t="array" ref="M1676">_xlfn.IFS(Table22[[#This Row],[Units Sold]]&lt;40,"Critical",Table22[[#This Row],[Units Sold]]&lt;=50,"Poor",Table22[[#This Row],[Units Sold]]&lt;=60,"Low",Table22[[#This Row],[Units Sold]]&lt;=80,"Average",Table22[[#This Row],[Units Sold]]&lt;=90,"High",Table22[[#This Row],[Units Sold]]&lt;=95,"Excellent",Table22[[#This Row],[Units Sold]]&gt;95,"Outstanding")</f>
        <v>Critical</v>
      </c>
      <c r="N1676" s="29">
        <v>205.59</v>
      </c>
      <c r="O1676" s="29">
        <v>7606.83</v>
      </c>
      <c r="P1676" s="43">
        <f>IF(Table22[[#This Row],[Discount Applied]],Table22[[#This Row],[Total Sales (in USD)]]*(1-Table22[[#This Row],[Discount Percentage (%)]]/100),Table22[[#This Row],[Total Sales (in USD)]])</f>
        <v>6826.3692419999998</v>
      </c>
      <c r="Q1676" s="66">
        <f>SQRT(AVERAGE((Table22[[#This Row],[Net Sales (after discount) (in USD)]]-AVERAGE(Table22[Net Sales (after discount) (in USD)]))^2))</f>
        <v>29684.991321764537</v>
      </c>
      <c r="R1676" s="18" t="b">
        <v>0</v>
      </c>
      <c r="S1676" s="40">
        <v>10.26</v>
      </c>
      <c r="T1676" s="18" t="b">
        <v>1</v>
      </c>
      <c r="U1676" s="25">
        <v>45273</v>
      </c>
      <c r="V1676" s="63" t="str">
        <f>IF(MONTH(Table22[[#This Row],[Sales Date]])&lt;=3,"Q1",IF(MONTH(Table22[[#This Row],[Sales Date]])&lt;=6,"Q2",IF(MONTH(Table22[[#This Row],[Sales Date]])&lt;=9,"Q3","Q4")))</f>
        <v>Q4</v>
      </c>
      <c r="W1676" s="64">
        <f>YEAR(Table22[[#This Row],[Sales Date]])</f>
        <v>2023</v>
      </c>
      <c r="X1676" s="23">
        <v>69</v>
      </c>
      <c r="Y1676" s="18" t="s">
        <v>49</v>
      </c>
      <c r="Z1676" s="18" t="s">
        <v>30</v>
      </c>
      <c r="AA1676" s="19" t="s">
        <v>36</v>
      </c>
    </row>
    <row r="1677" spans="1:27" x14ac:dyDescent="0.25">
      <c r="A1677" s="17" t="s">
        <v>168</v>
      </c>
      <c r="B1677" s="18" t="s">
        <v>46</v>
      </c>
      <c r="C1677" s="63" t="str" cm="1">
        <f t="array" ref="C1677">_xlfn.SWITCH(Table22[[#This Row],[Country]],"USA","North America","Canada","North America","Brazil","South America","China","Asia","Japan","Asia","India","Asia","France","Europe","Germany","Europe","UK","Europe","Australia","Oceania","South America")</f>
        <v>South America</v>
      </c>
      <c r="D1677" s="18" t="s">
        <v>35</v>
      </c>
      <c r="E1677" s="18" t="s">
        <v>19</v>
      </c>
      <c r="F1677" s="18" t="s">
        <v>64</v>
      </c>
      <c r="G1677" s="18" t="s">
        <v>40</v>
      </c>
      <c r="H1677" s="64">
        <f>LEN(TRIM(Table22[[#This Row],[Country]]))</f>
        <v>6</v>
      </c>
      <c r="I1677" s="64">
        <f>LEN(TRIM(Table22[[#This Row],[Continent]]))</f>
        <v>13</v>
      </c>
      <c r="J1677" s="64">
        <f>LEN(TRIM(Table22[[#This Row],[Product]]))</f>
        <v>6</v>
      </c>
      <c r="K1677" s="64">
        <f>LEN(TRIM(Table22[[#This Row],[Sales Team]]))</f>
        <v>10</v>
      </c>
      <c r="L1677" s="23">
        <v>73</v>
      </c>
      <c r="M1677" s="65" t="str" cm="1">
        <f t="array" ref="M1677">_xlfn.IFS(Table22[[#This Row],[Units Sold]]&lt;40,"Critical",Table22[[#This Row],[Units Sold]]&lt;=50,"Poor",Table22[[#This Row],[Units Sold]]&lt;=60,"Low",Table22[[#This Row],[Units Sold]]&lt;=80,"Average",Table22[[#This Row],[Units Sold]]&lt;=90,"High",Table22[[#This Row],[Units Sold]]&lt;=95,"Excellent",Table22[[#This Row],[Units Sold]]&gt;95,"Outstanding")</f>
        <v>Average</v>
      </c>
      <c r="N1677" s="29">
        <v>104.16</v>
      </c>
      <c r="O1677" s="29">
        <v>7603.68</v>
      </c>
      <c r="P1677" s="43">
        <f>IF(Table22[[#This Row],[Discount Applied]],Table22[[#This Row],[Total Sales (in USD)]]*(1-Table22[[#This Row],[Discount Percentage (%)]]/100),Table22[[#This Row],[Total Sales (in USD)]])</f>
        <v>7484.302224</v>
      </c>
      <c r="Q1677" s="66">
        <f>SQRT(AVERAGE((Table22[[#This Row],[Net Sales (after discount) (in USD)]]-AVERAGE(Table22[Net Sales (after discount) (in USD)]))^2))</f>
        <v>29027.058339764539</v>
      </c>
      <c r="R1677" s="18" t="b">
        <v>1</v>
      </c>
      <c r="S1677" s="40">
        <v>1.57</v>
      </c>
      <c r="T1677" s="18" t="b">
        <v>1</v>
      </c>
      <c r="U1677" s="25">
        <v>45298</v>
      </c>
      <c r="V1677" s="63" t="str">
        <f>IF(MONTH(Table22[[#This Row],[Sales Date]])&lt;=3,"Q1",IF(MONTH(Table22[[#This Row],[Sales Date]])&lt;=6,"Q2",IF(MONTH(Table22[[#This Row],[Sales Date]])&lt;=9,"Q3","Q4")))</f>
        <v>Q1</v>
      </c>
      <c r="W1677" s="64">
        <f>YEAR(Table22[[#This Row],[Sales Date]])</f>
        <v>2024</v>
      </c>
      <c r="X1677" s="23">
        <v>42</v>
      </c>
      <c r="Y1677" s="18" t="s">
        <v>23</v>
      </c>
      <c r="Z1677" s="18" t="s">
        <v>56</v>
      </c>
      <c r="AA1677" s="19" t="s">
        <v>36</v>
      </c>
    </row>
    <row r="1678" spans="1:27" x14ac:dyDescent="0.25">
      <c r="A1678" s="17" t="s">
        <v>755</v>
      </c>
      <c r="B1678" s="18" t="s">
        <v>62</v>
      </c>
      <c r="C1678" s="63" t="str" cm="1">
        <f t="array" ref="C1678">_xlfn.SWITCH(Table22[[#This Row],[Country]],"USA","North America","Canada","North America","Brazil","South America","China","Asia","Japan","Asia","India","Asia","France","Europe","Germany","Europe","UK","Europe","Australia","Oceania","South America")</f>
        <v>Oceania</v>
      </c>
      <c r="D1678" s="18" t="s">
        <v>21</v>
      </c>
      <c r="E1678" s="18" t="s">
        <v>33</v>
      </c>
      <c r="F1678" s="18" t="s">
        <v>34</v>
      </c>
      <c r="G1678" s="18" t="s">
        <v>40</v>
      </c>
      <c r="H1678" s="64">
        <f>LEN(TRIM(Table22[[#This Row],[Country]]))</f>
        <v>9</v>
      </c>
      <c r="I1678" s="64">
        <f>LEN(TRIM(Table22[[#This Row],[Continent]]))</f>
        <v>7</v>
      </c>
      <c r="J1678" s="64">
        <f>LEN(TRIM(Table22[[#This Row],[Product]]))</f>
        <v>10</v>
      </c>
      <c r="K1678" s="64">
        <f>LEN(TRIM(Table22[[#This Row],[Sales Team]]))</f>
        <v>10</v>
      </c>
      <c r="L1678" s="23">
        <v>10</v>
      </c>
      <c r="M1678" s="65" t="str" cm="1">
        <f t="array" ref="M1678">_xlfn.IFS(Table22[[#This Row],[Units Sold]]&lt;40,"Critical",Table22[[#This Row],[Units Sold]]&lt;=50,"Poor",Table22[[#This Row],[Units Sold]]&lt;=60,"Low",Table22[[#This Row],[Units Sold]]&lt;=80,"Average",Table22[[#This Row],[Units Sold]]&lt;=90,"High",Table22[[#This Row],[Units Sold]]&lt;=95,"Excellent",Table22[[#This Row],[Units Sold]]&gt;95,"Outstanding")</f>
        <v>Critical</v>
      </c>
      <c r="N1678" s="29">
        <v>759.24</v>
      </c>
      <c r="O1678" s="29">
        <v>7592.4</v>
      </c>
      <c r="P1678" s="43">
        <f>IF(Table22[[#This Row],[Discount Applied]],Table22[[#This Row],[Total Sales (in USD)]]*(1-Table22[[#This Row],[Discount Percentage (%)]]/100),Table22[[#This Row],[Total Sales (in USD)]])</f>
        <v>5543.970479999999</v>
      </c>
      <c r="Q1678" s="66">
        <f>SQRT(AVERAGE((Table22[[#This Row],[Net Sales (after discount) (in USD)]]-AVERAGE(Table22[Net Sales (after discount) (in USD)]))^2))</f>
        <v>30967.390083764538</v>
      </c>
      <c r="R1678" s="18" t="b">
        <v>0</v>
      </c>
      <c r="S1678" s="40">
        <v>26.98</v>
      </c>
      <c r="T1678" s="18" t="b">
        <v>1</v>
      </c>
      <c r="U1678" s="25">
        <v>45087</v>
      </c>
      <c r="V1678" s="63" t="str">
        <f>IF(MONTH(Table22[[#This Row],[Sales Date]])&lt;=3,"Q1",IF(MONTH(Table22[[#This Row],[Sales Date]])&lt;=6,"Q2",IF(MONTH(Table22[[#This Row],[Sales Date]])&lt;=9,"Q3","Q4")))</f>
        <v>Q2</v>
      </c>
      <c r="W1678" s="64">
        <f>YEAR(Table22[[#This Row],[Sales Date]])</f>
        <v>2023</v>
      </c>
      <c r="X1678" s="23">
        <v>46</v>
      </c>
      <c r="Y1678" s="18" t="s">
        <v>41</v>
      </c>
      <c r="Z1678" s="18" t="s">
        <v>56</v>
      </c>
      <c r="AA1678" s="19" t="s">
        <v>36</v>
      </c>
    </row>
    <row r="1679" spans="1:27" x14ac:dyDescent="0.25">
      <c r="A1679" s="17" t="s">
        <v>1741</v>
      </c>
      <c r="B1679" s="18" t="s">
        <v>38</v>
      </c>
      <c r="C1679" s="63" t="str" cm="1">
        <f t="array" ref="C1679">_xlfn.SWITCH(Table22[[#This Row],[Country]],"USA","North America","Canada","North America","Brazil","South America","China","Asia","Japan","Asia","India","Asia","France","Europe","Germany","Europe","UK","Europe","Australia","Oceania","South America")</f>
        <v>Europe</v>
      </c>
      <c r="D1679" s="18" t="s">
        <v>21</v>
      </c>
      <c r="E1679" s="18" t="s">
        <v>33</v>
      </c>
      <c r="F1679" s="18" t="s">
        <v>64</v>
      </c>
      <c r="G1679" s="18" t="s">
        <v>48</v>
      </c>
      <c r="H1679" s="64">
        <f>LEN(TRIM(Table22[[#This Row],[Country]]))</f>
        <v>6</v>
      </c>
      <c r="I1679" s="64">
        <f>LEN(TRIM(Table22[[#This Row],[Continent]]))</f>
        <v>6</v>
      </c>
      <c r="J1679" s="64">
        <f>LEN(TRIM(Table22[[#This Row],[Product]]))</f>
        <v>10</v>
      </c>
      <c r="K1679" s="64">
        <f>LEN(TRIM(Table22[[#This Row],[Sales Team]]))</f>
        <v>9</v>
      </c>
      <c r="L1679" s="23">
        <v>86</v>
      </c>
      <c r="M1679" s="65" t="str" cm="1">
        <f t="array" ref="M1679">_xlfn.IFS(Table22[[#This Row],[Units Sold]]&lt;40,"Critical",Table22[[#This Row],[Units Sold]]&lt;=50,"Poor",Table22[[#This Row],[Units Sold]]&lt;=60,"Low",Table22[[#This Row],[Units Sold]]&lt;=80,"Average",Table22[[#This Row],[Units Sold]]&lt;=90,"High",Table22[[#This Row],[Units Sold]]&lt;=95,"Excellent",Table22[[#This Row],[Units Sold]]&gt;95,"Outstanding")</f>
        <v>High</v>
      </c>
      <c r="N1679" s="29">
        <v>86.86</v>
      </c>
      <c r="O1679" s="29">
        <v>7469.96</v>
      </c>
      <c r="P1679" s="43">
        <f>IF(Table22[[#This Row],[Discount Applied]],Table22[[#This Row],[Total Sales (in USD)]]*(1-Table22[[#This Row],[Discount Percentage (%)]]/100),Table22[[#This Row],[Total Sales (in USD)]])</f>
        <v>7151.7397040000005</v>
      </c>
      <c r="Q1679" s="66">
        <f>SQRT(AVERAGE((Table22[[#This Row],[Net Sales (after discount) (in USD)]]-AVERAGE(Table22[Net Sales (after discount) (in USD)]))^2))</f>
        <v>29359.620859764538</v>
      </c>
      <c r="R1679" s="18" t="b">
        <v>1</v>
      </c>
      <c r="S1679" s="40">
        <v>4.26</v>
      </c>
      <c r="T1679" s="18" t="b">
        <v>1</v>
      </c>
      <c r="U1679" s="25">
        <v>45405</v>
      </c>
      <c r="V1679" s="63" t="str">
        <f>IF(MONTH(Table22[[#This Row],[Sales Date]])&lt;=3,"Q1",IF(MONTH(Table22[[#This Row],[Sales Date]])&lt;=6,"Q2",IF(MONTH(Table22[[#This Row],[Sales Date]])&lt;=9,"Q3","Q4")))</f>
        <v>Q2</v>
      </c>
      <c r="W1679" s="64">
        <f>YEAR(Table22[[#This Row],[Sales Date]])</f>
        <v>2024</v>
      </c>
      <c r="X1679" s="23">
        <v>36</v>
      </c>
      <c r="Y1679" s="18" t="s">
        <v>49</v>
      </c>
      <c r="Z1679" s="18" t="s">
        <v>42</v>
      </c>
      <c r="AA1679" s="19" t="s">
        <v>25</v>
      </c>
    </row>
    <row r="1680" spans="1:27" x14ac:dyDescent="0.25">
      <c r="A1680" s="17" t="s">
        <v>1207</v>
      </c>
      <c r="B1680" s="18" t="s">
        <v>18</v>
      </c>
      <c r="C1680" s="63" t="str" cm="1">
        <f t="array" ref="C1680">_xlfn.SWITCH(Table22[[#This Row],[Country]],"USA","North America","Canada","North America","Brazil","South America","China","Asia","Japan","Asia","India","Asia","France","Europe","Germany","Europe","UK","Europe","Australia","Oceania","South America")</f>
        <v>Asia</v>
      </c>
      <c r="D1680" s="18" t="s">
        <v>21</v>
      </c>
      <c r="E1680" s="18" t="s">
        <v>19</v>
      </c>
      <c r="F1680" s="18" t="s">
        <v>34</v>
      </c>
      <c r="G1680" s="18" t="s">
        <v>22</v>
      </c>
      <c r="H1680" s="64">
        <f>LEN(TRIM(Table22[[#This Row],[Country]]))</f>
        <v>5</v>
      </c>
      <c r="I1680" s="64">
        <f>LEN(TRIM(Table22[[#This Row],[Continent]]))</f>
        <v>4</v>
      </c>
      <c r="J1680" s="64">
        <f>LEN(TRIM(Table22[[#This Row],[Product]]))</f>
        <v>6</v>
      </c>
      <c r="K1680" s="64">
        <f>LEN(TRIM(Table22[[#This Row],[Sales Team]]))</f>
        <v>10</v>
      </c>
      <c r="L1680" s="23">
        <v>12</v>
      </c>
      <c r="M1680" s="65" t="str" cm="1">
        <f t="array" ref="M1680">_xlfn.IFS(Table22[[#This Row],[Units Sold]]&lt;40,"Critical",Table22[[#This Row],[Units Sold]]&lt;=50,"Poor",Table22[[#This Row],[Units Sold]]&lt;=60,"Low",Table22[[#This Row],[Units Sold]]&lt;=80,"Average",Table22[[#This Row],[Units Sold]]&lt;=90,"High",Table22[[#This Row],[Units Sold]]&lt;=95,"Excellent",Table22[[#This Row],[Units Sold]]&gt;95,"Outstanding")</f>
        <v>Critical</v>
      </c>
      <c r="N1680" s="29">
        <v>621.27</v>
      </c>
      <c r="O1680" s="29">
        <v>7455.24</v>
      </c>
      <c r="P1680" s="43">
        <f>IF(Table22[[#This Row],[Discount Applied]],Table22[[#This Row],[Total Sales (in USD)]]*(1-Table22[[#This Row],[Discount Percentage (%)]]/100),Table22[[#This Row],[Total Sales (in USD)]])</f>
        <v>7455.24</v>
      </c>
      <c r="Q1680" s="66">
        <f>SQRT(AVERAGE((Table22[[#This Row],[Net Sales (after discount) (in USD)]]-AVERAGE(Table22[Net Sales (after discount) (in USD)]))^2))</f>
        <v>29056.12056376454</v>
      </c>
      <c r="R1680" s="18" t="b">
        <v>0</v>
      </c>
      <c r="S1680" s="40">
        <v>26.07</v>
      </c>
      <c r="T1680" s="18" t="b">
        <v>0</v>
      </c>
      <c r="U1680" s="25">
        <v>45371</v>
      </c>
      <c r="V1680" s="63" t="str">
        <f>IF(MONTH(Table22[[#This Row],[Sales Date]])&lt;=3,"Q1",IF(MONTH(Table22[[#This Row],[Sales Date]])&lt;=6,"Q2",IF(MONTH(Table22[[#This Row],[Sales Date]])&lt;=9,"Q3","Q4")))</f>
        <v>Q1</v>
      </c>
      <c r="W1680" s="64">
        <f>YEAR(Table22[[#This Row],[Sales Date]])</f>
        <v>2024</v>
      </c>
      <c r="X1680" s="23">
        <v>69</v>
      </c>
      <c r="Y1680" s="18" t="s">
        <v>49</v>
      </c>
      <c r="Z1680" s="18" t="s">
        <v>24</v>
      </c>
      <c r="AA1680" s="19" t="s">
        <v>36</v>
      </c>
    </row>
    <row r="1681" spans="1:27" x14ac:dyDescent="0.25">
      <c r="A1681" s="17" t="s">
        <v>1991</v>
      </c>
      <c r="B1681" s="18" t="s">
        <v>62</v>
      </c>
      <c r="C1681" s="63" t="str" cm="1">
        <f t="array" ref="C1681">_xlfn.SWITCH(Table22[[#This Row],[Country]],"USA","North America","Canada","North America","Brazil","South America","China","Asia","Japan","Asia","India","Asia","France","Europe","Germany","Europe","UK","Europe","Australia","Oceania","South America")</f>
        <v>Oceania</v>
      </c>
      <c r="D1681" s="18" t="s">
        <v>21</v>
      </c>
      <c r="E1681" s="18" t="s">
        <v>33</v>
      </c>
      <c r="F1681" s="18" t="s">
        <v>52</v>
      </c>
      <c r="G1681" s="18" t="s">
        <v>48</v>
      </c>
      <c r="H1681" s="64">
        <f>LEN(TRIM(Table22[[#This Row],[Country]]))</f>
        <v>9</v>
      </c>
      <c r="I1681" s="64">
        <f>LEN(TRIM(Table22[[#This Row],[Continent]]))</f>
        <v>7</v>
      </c>
      <c r="J1681" s="64">
        <f>LEN(TRIM(Table22[[#This Row],[Product]]))</f>
        <v>10</v>
      </c>
      <c r="K1681" s="64">
        <f>LEN(TRIM(Table22[[#This Row],[Sales Team]]))</f>
        <v>9</v>
      </c>
      <c r="L1681" s="23">
        <v>45</v>
      </c>
      <c r="M1681" s="65" t="str" cm="1">
        <f t="array" ref="M1681">_xlfn.IFS(Table22[[#This Row],[Units Sold]]&lt;40,"Critical",Table22[[#This Row],[Units Sold]]&lt;=50,"Poor",Table22[[#This Row],[Units Sold]]&lt;=60,"Low",Table22[[#This Row],[Units Sold]]&lt;=80,"Average",Table22[[#This Row],[Units Sold]]&lt;=90,"High",Table22[[#This Row],[Units Sold]]&lt;=95,"Excellent",Table22[[#This Row],[Units Sold]]&gt;95,"Outstanding")</f>
        <v>Poor</v>
      </c>
      <c r="N1681" s="29">
        <v>165.5</v>
      </c>
      <c r="O1681" s="29">
        <v>7447.5</v>
      </c>
      <c r="P1681" s="43">
        <f>IF(Table22[[#This Row],[Discount Applied]],Table22[[#This Row],[Total Sales (in USD)]]*(1-Table22[[#This Row],[Discount Percentage (%)]]/100),Table22[[#This Row],[Total Sales (in USD)]])</f>
        <v>7447.5</v>
      </c>
      <c r="Q1681" s="66">
        <f>SQRT(AVERAGE((Table22[[#This Row],[Net Sales (after discount) (in USD)]]-AVERAGE(Table22[Net Sales (after discount) (in USD)]))^2))</f>
        <v>29063.860563764538</v>
      </c>
      <c r="R1681" s="18" t="b">
        <v>1</v>
      </c>
      <c r="S1681" s="40">
        <v>24.31</v>
      </c>
      <c r="T1681" s="18" t="b">
        <v>0</v>
      </c>
      <c r="U1681" s="25">
        <v>45536</v>
      </c>
      <c r="V1681" s="63" t="str">
        <f>IF(MONTH(Table22[[#This Row],[Sales Date]])&lt;=3,"Q1",IF(MONTH(Table22[[#This Row],[Sales Date]])&lt;=6,"Q2",IF(MONTH(Table22[[#This Row],[Sales Date]])&lt;=9,"Q3","Q4")))</f>
        <v>Q3</v>
      </c>
      <c r="W1681" s="64">
        <f>YEAR(Table22[[#This Row],[Sales Date]])</f>
        <v>2024</v>
      </c>
      <c r="X1681" s="23">
        <v>66</v>
      </c>
      <c r="Y1681" s="18" t="s">
        <v>23</v>
      </c>
      <c r="Z1681" s="18" t="s">
        <v>24</v>
      </c>
      <c r="AA1681" s="19" t="s">
        <v>36</v>
      </c>
    </row>
    <row r="1682" spans="1:27" x14ac:dyDescent="0.25">
      <c r="A1682" s="17" t="s">
        <v>787</v>
      </c>
      <c r="B1682" s="18" t="s">
        <v>18</v>
      </c>
      <c r="C1682" s="63" t="str" cm="1">
        <f t="array" ref="C1682">_xlfn.SWITCH(Table22[[#This Row],[Country]],"USA","North America","Canada","North America","Brazil","South America","China","Asia","Japan","Asia","India","Asia","France","Europe","Germany","Europe","UK","Europe","Australia","Oceania","South America")</f>
        <v>Asia</v>
      </c>
      <c r="D1682" s="18" t="s">
        <v>35</v>
      </c>
      <c r="E1682" s="18" t="s">
        <v>33</v>
      </c>
      <c r="F1682" s="18" t="s">
        <v>47</v>
      </c>
      <c r="G1682" s="18" t="s">
        <v>29</v>
      </c>
      <c r="H1682" s="64">
        <f>LEN(TRIM(Table22[[#This Row],[Country]]))</f>
        <v>5</v>
      </c>
      <c r="I1682" s="64">
        <f>LEN(TRIM(Table22[[#This Row],[Continent]]))</f>
        <v>4</v>
      </c>
      <c r="J1682" s="64">
        <f>LEN(TRIM(Table22[[#This Row],[Product]]))</f>
        <v>10</v>
      </c>
      <c r="K1682" s="64">
        <f>LEN(TRIM(Table22[[#This Row],[Sales Team]]))</f>
        <v>10</v>
      </c>
      <c r="L1682" s="23">
        <v>51</v>
      </c>
      <c r="M1682" s="65" t="str" cm="1">
        <f t="array" ref="M1682">_xlfn.IFS(Table22[[#This Row],[Units Sold]]&lt;40,"Critical",Table22[[#This Row],[Units Sold]]&lt;=50,"Poor",Table22[[#This Row],[Units Sold]]&lt;=60,"Low",Table22[[#This Row],[Units Sold]]&lt;=80,"Average",Table22[[#This Row],[Units Sold]]&lt;=90,"High",Table22[[#This Row],[Units Sold]]&lt;=95,"Excellent",Table22[[#This Row],[Units Sold]]&gt;95,"Outstanding")</f>
        <v>Low</v>
      </c>
      <c r="N1682" s="29">
        <v>145.55000000000001</v>
      </c>
      <c r="O1682" s="29">
        <v>7423.05</v>
      </c>
      <c r="P1682" s="43">
        <f>IF(Table22[[#This Row],[Discount Applied]],Table22[[#This Row],[Total Sales (in USD)]]*(1-Table22[[#This Row],[Discount Percentage (%)]]/100),Table22[[#This Row],[Total Sales (in USD)]])</f>
        <v>6525.603255</v>
      </c>
      <c r="Q1682" s="66">
        <f>SQRT(AVERAGE((Table22[[#This Row],[Net Sales (after discount) (in USD)]]-AVERAGE(Table22[Net Sales (after discount) (in USD)]))^2))</f>
        <v>29985.757308764536</v>
      </c>
      <c r="R1682" s="18" t="b">
        <v>1</v>
      </c>
      <c r="S1682" s="40">
        <v>12.09</v>
      </c>
      <c r="T1682" s="18" t="b">
        <v>1</v>
      </c>
      <c r="U1682" s="25">
        <v>45139</v>
      </c>
      <c r="V1682" s="63" t="str">
        <f>IF(MONTH(Table22[[#This Row],[Sales Date]])&lt;=3,"Q1",IF(MONTH(Table22[[#This Row],[Sales Date]])&lt;=6,"Q2",IF(MONTH(Table22[[#This Row],[Sales Date]])&lt;=9,"Q3","Q4")))</f>
        <v>Q3</v>
      </c>
      <c r="W1682" s="64">
        <f>YEAR(Table22[[#This Row],[Sales Date]])</f>
        <v>2023</v>
      </c>
      <c r="X1682" s="23">
        <v>57</v>
      </c>
      <c r="Y1682" s="18" t="s">
        <v>23</v>
      </c>
      <c r="Z1682" s="18" t="s">
        <v>24</v>
      </c>
      <c r="AA1682" s="19" t="s">
        <v>36</v>
      </c>
    </row>
    <row r="1683" spans="1:27" x14ac:dyDescent="0.25">
      <c r="A1683" s="17" t="s">
        <v>1366</v>
      </c>
      <c r="B1683" s="18" t="s">
        <v>27</v>
      </c>
      <c r="C1683" s="63" t="str" cm="1">
        <f t="array" ref="C1683">_xlfn.SWITCH(Table22[[#This Row],[Country]],"USA","North America","Canada","North America","Brazil","South America","China","Asia","Japan","Asia","India","Asia","France","Europe","Germany","Europe","UK","Europe","Australia","Oceania","South America")</f>
        <v>Europe</v>
      </c>
      <c r="D1683" s="18" t="s">
        <v>44</v>
      </c>
      <c r="E1683" s="18" t="s">
        <v>33</v>
      </c>
      <c r="F1683" s="18" t="s">
        <v>64</v>
      </c>
      <c r="G1683" s="18" t="s">
        <v>48</v>
      </c>
      <c r="H1683" s="64">
        <f>LEN(TRIM(Table22[[#This Row],[Country]]))</f>
        <v>7</v>
      </c>
      <c r="I1683" s="64">
        <f>LEN(TRIM(Table22[[#This Row],[Continent]]))</f>
        <v>6</v>
      </c>
      <c r="J1683" s="64">
        <f>LEN(TRIM(Table22[[#This Row],[Product]]))</f>
        <v>10</v>
      </c>
      <c r="K1683" s="64">
        <f>LEN(TRIM(Table22[[#This Row],[Sales Team]]))</f>
        <v>9</v>
      </c>
      <c r="L1683" s="23">
        <v>7</v>
      </c>
      <c r="M1683" s="65" t="str" cm="1">
        <f t="array" ref="M1683">_xlfn.IFS(Table22[[#This Row],[Units Sold]]&lt;40,"Critical",Table22[[#This Row],[Units Sold]]&lt;=50,"Poor",Table22[[#This Row],[Units Sold]]&lt;=60,"Low",Table22[[#This Row],[Units Sold]]&lt;=80,"Average",Table22[[#This Row],[Units Sold]]&lt;=90,"High",Table22[[#This Row],[Units Sold]]&lt;=95,"Excellent",Table22[[#This Row],[Units Sold]]&gt;95,"Outstanding")</f>
        <v>Critical</v>
      </c>
      <c r="N1683" s="29">
        <v>1049.93</v>
      </c>
      <c r="O1683" s="29">
        <v>7349.51</v>
      </c>
      <c r="P1683" s="43">
        <f>IF(Table22[[#This Row],[Discount Applied]],Table22[[#This Row],[Total Sales (in USD)]]*(1-Table22[[#This Row],[Discount Percentage (%)]]/100),Table22[[#This Row],[Total Sales (in USD)]])</f>
        <v>6489.61733</v>
      </c>
      <c r="Q1683" s="66">
        <f>SQRT(AVERAGE((Table22[[#This Row],[Net Sales (after discount) (in USD)]]-AVERAGE(Table22[Net Sales (after discount) (in USD)]))^2))</f>
        <v>30021.743233764537</v>
      </c>
      <c r="R1683" s="18" t="b">
        <v>1</v>
      </c>
      <c r="S1683" s="40">
        <v>11.7</v>
      </c>
      <c r="T1683" s="18" t="b">
        <v>1</v>
      </c>
      <c r="U1683" s="25">
        <v>45452</v>
      </c>
      <c r="V1683" s="63" t="str">
        <f>IF(MONTH(Table22[[#This Row],[Sales Date]])&lt;=3,"Q1",IF(MONTH(Table22[[#This Row],[Sales Date]])&lt;=6,"Q2",IF(MONTH(Table22[[#This Row],[Sales Date]])&lt;=9,"Q3","Q4")))</f>
        <v>Q2</v>
      </c>
      <c r="W1683" s="64">
        <f>YEAR(Table22[[#This Row],[Sales Date]])</f>
        <v>2024</v>
      </c>
      <c r="X1683" s="23">
        <v>43</v>
      </c>
      <c r="Y1683" s="18" t="s">
        <v>41</v>
      </c>
      <c r="Z1683" s="18" t="s">
        <v>42</v>
      </c>
      <c r="AA1683" s="19" t="s">
        <v>36</v>
      </c>
    </row>
    <row r="1684" spans="1:27" x14ac:dyDescent="0.25">
      <c r="A1684" s="17" t="s">
        <v>1465</v>
      </c>
      <c r="B1684" s="18" t="s">
        <v>51</v>
      </c>
      <c r="C1684" s="63" t="str" cm="1">
        <f t="array" ref="C1684">_xlfn.SWITCH(Table22[[#This Row],[Country]],"USA","North America","Canada","North America","Brazil","South America","China","Asia","Japan","Asia","India","Asia","France","Europe","Germany","Europe","UK","Europe","Australia","Oceania","South America")</f>
        <v>Europe</v>
      </c>
      <c r="D1684" s="18" t="s">
        <v>44</v>
      </c>
      <c r="E1684" s="18" t="s">
        <v>19</v>
      </c>
      <c r="F1684" s="18" t="s">
        <v>20</v>
      </c>
      <c r="G1684" s="18" t="s">
        <v>40</v>
      </c>
      <c r="H1684" s="64">
        <f>LEN(TRIM(Table22[[#This Row],[Country]]))</f>
        <v>2</v>
      </c>
      <c r="I1684" s="64">
        <f>LEN(TRIM(Table22[[#This Row],[Continent]]))</f>
        <v>6</v>
      </c>
      <c r="J1684" s="64">
        <f>LEN(TRIM(Table22[[#This Row],[Product]]))</f>
        <v>6</v>
      </c>
      <c r="K1684" s="64">
        <f>LEN(TRIM(Table22[[#This Row],[Sales Team]]))</f>
        <v>10</v>
      </c>
      <c r="L1684" s="23">
        <v>38</v>
      </c>
      <c r="M1684" s="65" t="str" cm="1">
        <f t="array" ref="M1684">_xlfn.IFS(Table22[[#This Row],[Units Sold]]&lt;40,"Critical",Table22[[#This Row],[Units Sold]]&lt;=50,"Poor",Table22[[#This Row],[Units Sold]]&lt;=60,"Low",Table22[[#This Row],[Units Sold]]&lt;=80,"Average",Table22[[#This Row],[Units Sold]]&lt;=90,"High",Table22[[#This Row],[Units Sold]]&lt;=95,"Excellent",Table22[[#This Row],[Units Sold]]&gt;95,"Outstanding")</f>
        <v>Critical</v>
      </c>
      <c r="N1684" s="29">
        <v>192.88</v>
      </c>
      <c r="O1684" s="29">
        <v>7329.44</v>
      </c>
      <c r="P1684" s="43">
        <f>IF(Table22[[#This Row],[Discount Applied]],Table22[[#This Row],[Total Sales (in USD)]]*(1-Table22[[#This Row],[Discount Percentage (%)]]/100),Table22[[#This Row],[Total Sales (in USD)]])</f>
        <v>7329.44</v>
      </c>
      <c r="Q1684" s="66">
        <f>SQRT(AVERAGE((Table22[[#This Row],[Net Sales (after discount) (in USD)]]-AVERAGE(Table22[Net Sales (after discount) (in USD)]))^2))</f>
        <v>29181.920563764539</v>
      </c>
      <c r="R1684" s="18" t="b">
        <v>0</v>
      </c>
      <c r="S1684" s="40">
        <v>12.53</v>
      </c>
      <c r="T1684" s="18" t="b">
        <v>0</v>
      </c>
      <c r="U1684" s="25">
        <v>45461</v>
      </c>
      <c r="V1684" s="63" t="str">
        <f>IF(MONTH(Table22[[#This Row],[Sales Date]])&lt;=3,"Q1",IF(MONTH(Table22[[#This Row],[Sales Date]])&lt;=6,"Q2",IF(MONTH(Table22[[#This Row],[Sales Date]])&lt;=9,"Q3","Q4")))</f>
        <v>Q2</v>
      </c>
      <c r="W1684" s="64">
        <f>YEAR(Table22[[#This Row],[Sales Date]])</f>
        <v>2024</v>
      </c>
      <c r="X1684" s="23">
        <v>53</v>
      </c>
      <c r="Y1684" s="18" t="s">
        <v>23</v>
      </c>
      <c r="Z1684" s="18" t="s">
        <v>42</v>
      </c>
      <c r="AA1684" s="19" t="s">
        <v>36</v>
      </c>
    </row>
    <row r="1685" spans="1:27" x14ac:dyDescent="0.25">
      <c r="A1685" s="17" t="s">
        <v>442</v>
      </c>
      <c r="B1685" s="18" t="s">
        <v>76</v>
      </c>
      <c r="C1685" s="63" t="str" cm="1">
        <f t="array" ref="C1685">_xlfn.SWITCH(Table22[[#This Row],[Country]],"USA","North America","Canada","North America","Brazil","South America","China","Asia","Japan","Asia","India","Asia","France","Europe","Germany","Europe","UK","Europe","Australia","Oceania","South America")</f>
        <v>Asia</v>
      </c>
      <c r="D1685" s="18" t="s">
        <v>35</v>
      </c>
      <c r="E1685" s="18" t="s">
        <v>19</v>
      </c>
      <c r="F1685" s="18" t="s">
        <v>52</v>
      </c>
      <c r="G1685" s="18" t="s">
        <v>40</v>
      </c>
      <c r="H1685" s="64">
        <f>LEN(TRIM(Table22[[#This Row],[Country]]))</f>
        <v>5</v>
      </c>
      <c r="I1685" s="64">
        <f>LEN(TRIM(Table22[[#This Row],[Continent]]))</f>
        <v>4</v>
      </c>
      <c r="J1685" s="64">
        <f>LEN(TRIM(Table22[[#This Row],[Product]]))</f>
        <v>6</v>
      </c>
      <c r="K1685" s="64">
        <f>LEN(TRIM(Table22[[#This Row],[Sales Team]]))</f>
        <v>10</v>
      </c>
      <c r="L1685" s="23">
        <v>10</v>
      </c>
      <c r="M1685" s="65" t="str" cm="1">
        <f t="array" ref="M1685">_xlfn.IFS(Table22[[#This Row],[Units Sold]]&lt;40,"Critical",Table22[[#This Row],[Units Sold]]&lt;=50,"Poor",Table22[[#This Row],[Units Sold]]&lt;=60,"Low",Table22[[#This Row],[Units Sold]]&lt;=80,"Average",Table22[[#This Row],[Units Sold]]&lt;=90,"High",Table22[[#This Row],[Units Sold]]&lt;=95,"Excellent",Table22[[#This Row],[Units Sold]]&gt;95,"Outstanding")</f>
        <v>Critical</v>
      </c>
      <c r="N1685" s="29">
        <v>728</v>
      </c>
      <c r="O1685" s="29">
        <v>7280</v>
      </c>
      <c r="P1685" s="43">
        <f>IF(Table22[[#This Row],[Discount Applied]],Table22[[#This Row],[Total Sales (in USD)]]*(1-Table22[[#This Row],[Discount Percentage (%)]]/100),Table22[[#This Row],[Total Sales (in USD)]])</f>
        <v>7280</v>
      </c>
      <c r="Q1685" s="66">
        <f>SQRT(AVERAGE((Table22[[#This Row],[Net Sales (after discount) (in USD)]]-AVERAGE(Table22[Net Sales (after discount) (in USD)]))^2))</f>
        <v>29231.360563764538</v>
      </c>
      <c r="R1685" s="18" t="b">
        <v>1</v>
      </c>
      <c r="S1685" s="40">
        <v>16.39</v>
      </c>
      <c r="T1685" s="18" t="b">
        <v>0</v>
      </c>
      <c r="U1685" s="25">
        <v>45110</v>
      </c>
      <c r="V1685" s="63" t="str">
        <f>IF(MONTH(Table22[[#This Row],[Sales Date]])&lt;=3,"Q1",IF(MONTH(Table22[[#This Row],[Sales Date]])&lt;=6,"Q2",IF(MONTH(Table22[[#This Row],[Sales Date]])&lt;=9,"Q3","Q4")))</f>
        <v>Q3</v>
      </c>
      <c r="W1685" s="64">
        <f>YEAR(Table22[[#This Row],[Sales Date]])</f>
        <v>2023</v>
      </c>
      <c r="X1685" s="23">
        <v>56</v>
      </c>
      <c r="Y1685" s="18" t="s">
        <v>41</v>
      </c>
      <c r="Z1685" s="18" t="s">
        <v>24</v>
      </c>
      <c r="AA1685" s="19" t="s">
        <v>25</v>
      </c>
    </row>
    <row r="1686" spans="1:27" x14ac:dyDescent="0.25">
      <c r="A1686" s="17" t="s">
        <v>1952</v>
      </c>
      <c r="B1686" s="18" t="s">
        <v>62</v>
      </c>
      <c r="C1686" s="63" t="str" cm="1">
        <f t="array" ref="C1686">_xlfn.SWITCH(Table22[[#This Row],[Country]],"USA","North America","Canada","North America","Brazil","South America","China","Asia","Japan","Asia","India","Asia","France","Europe","Germany","Europe","UK","Europe","Australia","Oceania","South America")</f>
        <v>Oceania</v>
      </c>
      <c r="D1686" s="18" t="s">
        <v>44</v>
      </c>
      <c r="E1686" s="18" t="s">
        <v>33</v>
      </c>
      <c r="F1686" s="18" t="s">
        <v>52</v>
      </c>
      <c r="G1686" s="18" t="s">
        <v>40</v>
      </c>
      <c r="H1686" s="64">
        <f>LEN(TRIM(Table22[[#This Row],[Country]]))</f>
        <v>9</v>
      </c>
      <c r="I1686" s="64">
        <f>LEN(TRIM(Table22[[#This Row],[Continent]]))</f>
        <v>7</v>
      </c>
      <c r="J1686" s="64">
        <f>LEN(TRIM(Table22[[#This Row],[Product]]))</f>
        <v>10</v>
      </c>
      <c r="K1686" s="64">
        <f>LEN(TRIM(Table22[[#This Row],[Sales Team]]))</f>
        <v>10</v>
      </c>
      <c r="L1686" s="23">
        <v>46</v>
      </c>
      <c r="M1686" s="65" t="str" cm="1">
        <f t="array" ref="M1686">_xlfn.IFS(Table22[[#This Row],[Units Sold]]&lt;40,"Critical",Table22[[#This Row],[Units Sold]]&lt;=50,"Poor",Table22[[#This Row],[Units Sold]]&lt;=60,"Low",Table22[[#This Row],[Units Sold]]&lt;=80,"Average",Table22[[#This Row],[Units Sold]]&lt;=90,"High",Table22[[#This Row],[Units Sold]]&lt;=95,"Excellent",Table22[[#This Row],[Units Sold]]&gt;95,"Outstanding")</f>
        <v>Poor</v>
      </c>
      <c r="N1686" s="29">
        <v>156.69</v>
      </c>
      <c r="O1686" s="29">
        <v>7207.74</v>
      </c>
      <c r="P1686" s="43">
        <f>IF(Table22[[#This Row],[Discount Applied]],Table22[[#This Row],[Total Sales (in USD)]]*(1-Table22[[#This Row],[Discount Percentage (%)]]/100),Table22[[#This Row],[Total Sales (in USD)]])</f>
        <v>7005.2025059999996</v>
      </c>
      <c r="Q1686" s="66">
        <f>SQRT(AVERAGE((Table22[[#This Row],[Net Sales (after discount) (in USD)]]-AVERAGE(Table22[Net Sales (after discount) (in USD)]))^2))</f>
        <v>29506.158057764536</v>
      </c>
      <c r="R1686" s="18" t="b">
        <v>1</v>
      </c>
      <c r="S1686" s="40">
        <v>2.81</v>
      </c>
      <c r="T1686" s="18" t="b">
        <v>1</v>
      </c>
      <c r="U1686" s="25">
        <v>45246</v>
      </c>
      <c r="V1686" s="63" t="str">
        <f>IF(MONTH(Table22[[#This Row],[Sales Date]])&lt;=3,"Q1",IF(MONTH(Table22[[#This Row],[Sales Date]])&lt;=6,"Q2",IF(MONTH(Table22[[#This Row],[Sales Date]])&lt;=9,"Q3","Q4")))</f>
        <v>Q4</v>
      </c>
      <c r="W1686" s="64">
        <f>YEAR(Table22[[#This Row],[Sales Date]])</f>
        <v>2023</v>
      </c>
      <c r="X1686" s="23">
        <v>30</v>
      </c>
      <c r="Y1686" s="18" t="s">
        <v>41</v>
      </c>
      <c r="Z1686" s="18" t="s">
        <v>56</v>
      </c>
      <c r="AA1686" s="19" t="s">
        <v>25</v>
      </c>
    </row>
    <row r="1687" spans="1:27" x14ac:dyDescent="0.25">
      <c r="A1687" s="17" t="s">
        <v>1646</v>
      </c>
      <c r="B1687" s="18" t="s">
        <v>76</v>
      </c>
      <c r="C1687" s="63" t="str" cm="1">
        <f t="array" ref="C1687">_xlfn.SWITCH(Table22[[#This Row],[Country]],"USA","North America","Canada","North America","Brazil","South America","China","Asia","Japan","Asia","India","Asia","France","Europe","Germany","Europe","UK","Europe","Australia","Oceania","South America")</f>
        <v>Asia</v>
      </c>
      <c r="D1687" s="18" t="s">
        <v>21</v>
      </c>
      <c r="E1687" s="18" t="s">
        <v>19</v>
      </c>
      <c r="F1687" s="18" t="s">
        <v>20</v>
      </c>
      <c r="G1687" s="18" t="s">
        <v>22</v>
      </c>
      <c r="H1687" s="64">
        <f>LEN(TRIM(Table22[[#This Row],[Country]]))</f>
        <v>5</v>
      </c>
      <c r="I1687" s="64">
        <f>LEN(TRIM(Table22[[#This Row],[Continent]]))</f>
        <v>4</v>
      </c>
      <c r="J1687" s="64">
        <f>LEN(TRIM(Table22[[#This Row],[Product]]))</f>
        <v>6</v>
      </c>
      <c r="K1687" s="64">
        <f>LEN(TRIM(Table22[[#This Row],[Sales Team]]))</f>
        <v>10</v>
      </c>
      <c r="L1687" s="23">
        <v>57</v>
      </c>
      <c r="M1687" s="65" t="str" cm="1">
        <f t="array" ref="M1687">_xlfn.IFS(Table22[[#This Row],[Units Sold]]&lt;40,"Critical",Table22[[#This Row],[Units Sold]]&lt;=50,"Poor",Table22[[#This Row],[Units Sold]]&lt;=60,"Low",Table22[[#This Row],[Units Sold]]&lt;=80,"Average",Table22[[#This Row],[Units Sold]]&lt;=90,"High",Table22[[#This Row],[Units Sold]]&lt;=95,"Excellent",Table22[[#This Row],[Units Sold]]&gt;95,"Outstanding")</f>
        <v>Low</v>
      </c>
      <c r="N1687" s="29">
        <v>126.33</v>
      </c>
      <c r="O1687" s="29">
        <v>7200.81</v>
      </c>
      <c r="P1687" s="43">
        <f>IF(Table22[[#This Row],[Discount Applied]],Table22[[#This Row],[Total Sales (in USD)]]*(1-Table22[[#This Row],[Discount Percentage (%)]]/100),Table22[[#This Row],[Total Sales (in USD)]])</f>
        <v>6989.1061860000009</v>
      </c>
      <c r="Q1687" s="66">
        <f>SQRT(AVERAGE((Table22[[#This Row],[Net Sales (after discount) (in USD)]]-AVERAGE(Table22[Net Sales (after discount) (in USD)]))^2))</f>
        <v>29522.254377764537</v>
      </c>
      <c r="R1687" s="18" t="b">
        <v>1</v>
      </c>
      <c r="S1687" s="40">
        <v>2.94</v>
      </c>
      <c r="T1687" s="18" t="b">
        <v>1</v>
      </c>
      <c r="U1687" s="25">
        <v>45051</v>
      </c>
      <c r="V1687" s="63" t="str">
        <f>IF(MONTH(Table22[[#This Row],[Sales Date]])&lt;=3,"Q1",IF(MONTH(Table22[[#This Row],[Sales Date]])&lt;=6,"Q2",IF(MONTH(Table22[[#This Row],[Sales Date]])&lt;=9,"Q3","Q4")))</f>
        <v>Q2</v>
      </c>
      <c r="W1687" s="64">
        <f>YEAR(Table22[[#This Row],[Sales Date]])</f>
        <v>2023</v>
      </c>
      <c r="X1687" s="23">
        <v>67</v>
      </c>
      <c r="Y1687" s="18" t="s">
        <v>23</v>
      </c>
      <c r="Z1687" s="18" t="s">
        <v>42</v>
      </c>
      <c r="AA1687" s="19" t="s">
        <v>36</v>
      </c>
    </row>
    <row r="1688" spans="1:27" x14ac:dyDescent="0.25">
      <c r="A1688" s="17" t="s">
        <v>1927</v>
      </c>
      <c r="B1688" s="18" t="s">
        <v>72</v>
      </c>
      <c r="C1688" s="63" t="str" cm="1">
        <f t="array" ref="C1688">_xlfn.SWITCH(Table22[[#This Row],[Country]],"USA","North America","Canada","North America","Brazil","South America","China","Asia","Japan","Asia","India","Asia","France","Europe","Germany","Europe","UK","Europe","Australia","Oceania","South America")</f>
        <v>North America</v>
      </c>
      <c r="D1688" s="18" t="s">
        <v>28</v>
      </c>
      <c r="E1688" s="18" t="s">
        <v>33</v>
      </c>
      <c r="F1688" s="18" t="s">
        <v>20</v>
      </c>
      <c r="G1688" s="18" t="s">
        <v>40</v>
      </c>
      <c r="H1688" s="64">
        <f>LEN(TRIM(Table22[[#This Row],[Country]]))</f>
        <v>3</v>
      </c>
      <c r="I1688" s="64">
        <f>LEN(TRIM(Table22[[#This Row],[Continent]]))</f>
        <v>13</v>
      </c>
      <c r="J1688" s="64">
        <f>LEN(TRIM(Table22[[#This Row],[Product]]))</f>
        <v>10</v>
      </c>
      <c r="K1688" s="64">
        <f>LEN(TRIM(Table22[[#This Row],[Sales Team]]))</f>
        <v>10</v>
      </c>
      <c r="L1688" s="23">
        <v>14</v>
      </c>
      <c r="M1688" s="65" t="str" cm="1">
        <f t="array" ref="M1688">_xlfn.IFS(Table22[[#This Row],[Units Sold]]&lt;40,"Critical",Table22[[#This Row],[Units Sold]]&lt;=50,"Poor",Table22[[#This Row],[Units Sold]]&lt;=60,"Low",Table22[[#This Row],[Units Sold]]&lt;=80,"Average",Table22[[#This Row],[Units Sold]]&lt;=90,"High",Table22[[#This Row],[Units Sold]]&lt;=95,"Excellent",Table22[[#This Row],[Units Sold]]&gt;95,"Outstanding")</f>
        <v>Critical</v>
      </c>
      <c r="N1688" s="29">
        <v>512.66</v>
      </c>
      <c r="O1688" s="29">
        <v>7177.24</v>
      </c>
      <c r="P1688" s="43">
        <f>IF(Table22[[#This Row],[Discount Applied]],Table22[[#This Row],[Total Sales (in USD)]]*(1-Table22[[#This Row],[Discount Percentage (%)]]/100),Table22[[#This Row],[Total Sales (in USD)]])</f>
        <v>5385.8008959999997</v>
      </c>
      <c r="Q1688" s="66">
        <f>SQRT(AVERAGE((Table22[[#This Row],[Net Sales (after discount) (in USD)]]-AVERAGE(Table22[Net Sales (after discount) (in USD)]))^2))</f>
        <v>31125.559667764537</v>
      </c>
      <c r="R1688" s="18" t="b">
        <v>0</v>
      </c>
      <c r="S1688" s="40">
        <v>24.96</v>
      </c>
      <c r="T1688" s="18" t="b">
        <v>1</v>
      </c>
      <c r="U1688" s="25">
        <v>45301</v>
      </c>
      <c r="V1688" s="63" t="str">
        <f>IF(MONTH(Table22[[#This Row],[Sales Date]])&lt;=3,"Q1",IF(MONTH(Table22[[#This Row],[Sales Date]])&lt;=6,"Q2",IF(MONTH(Table22[[#This Row],[Sales Date]])&lt;=9,"Q3","Q4")))</f>
        <v>Q1</v>
      </c>
      <c r="W1688" s="64">
        <f>YEAR(Table22[[#This Row],[Sales Date]])</f>
        <v>2024</v>
      </c>
      <c r="X1688" s="23">
        <v>58</v>
      </c>
      <c r="Y1688" s="18" t="s">
        <v>23</v>
      </c>
      <c r="Z1688" s="18" t="s">
        <v>24</v>
      </c>
      <c r="AA1688" s="19" t="s">
        <v>36</v>
      </c>
    </row>
    <row r="1689" spans="1:27" x14ac:dyDescent="0.25">
      <c r="A1689" s="17" t="s">
        <v>1307</v>
      </c>
      <c r="B1689" s="18" t="s">
        <v>38</v>
      </c>
      <c r="C1689" s="63" t="str" cm="1">
        <f t="array" ref="C1689">_xlfn.SWITCH(Table22[[#This Row],[Country]],"USA","North America","Canada","North America","Brazil","South America","China","Asia","Japan","Asia","India","Asia","France","Europe","Germany","Europe","UK","Europe","Australia","Oceania","South America")</f>
        <v>Europe</v>
      </c>
      <c r="D1689" s="18" t="s">
        <v>28</v>
      </c>
      <c r="E1689" s="18" t="s">
        <v>33</v>
      </c>
      <c r="F1689" s="18" t="s">
        <v>34</v>
      </c>
      <c r="G1689" s="18" t="s">
        <v>22</v>
      </c>
      <c r="H1689" s="64">
        <f>LEN(TRIM(Table22[[#This Row],[Country]]))</f>
        <v>6</v>
      </c>
      <c r="I1689" s="64">
        <f>LEN(TRIM(Table22[[#This Row],[Continent]]))</f>
        <v>6</v>
      </c>
      <c r="J1689" s="64">
        <f>LEN(TRIM(Table22[[#This Row],[Product]]))</f>
        <v>10</v>
      </c>
      <c r="K1689" s="64">
        <f>LEN(TRIM(Table22[[#This Row],[Sales Team]]))</f>
        <v>10</v>
      </c>
      <c r="L1689" s="23">
        <v>35</v>
      </c>
      <c r="M1689" s="65" t="str" cm="1">
        <f t="array" ref="M1689">_xlfn.IFS(Table22[[#This Row],[Units Sold]]&lt;40,"Critical",Table22[[#This Row],[Units Sold]]&lt;=50,"Poor",Table22[[#This Row],[Units Sold]]&lt;=60,"Low",Table22[[#This Row],[Units Sold]]&lt;=80,"Average",Table22[[#This Row],[Units Sold]]&lt;=90,"High",Table22[[#This Row],[Units Sold]]&lt;=95,"Excellent",Table22[[#This Row],[Units Sold]]&gt;95,"Outstanding")</f>
        <v>Critical</v>
      </c>
      <c r="N1689" s="29">
        <v>204.98</v>
      </c>
      <c r="O1689" s="29">
        <v>7174.3</v>
      </c>
      <c r="P1689" s="43">
        <f>IF(Table22[[#This Row],[Discount Applied]],Table22[[#This Row],[Total Sales (in USD)]]*(1-Table22[[#This Row],[Discount Percentage (%)]]/100),Table22[[#This Row],[Total Sales (in USD)]])</f>
        <v>7174.3</v>
      </c>
      <c r="Q1689" s="66">
        <f>SQRT(AVERAGE((Table22[[#This Row],[Net Sales (after discount) (in USD)]]-AVERAGE(Table22[Net Sales (after discount) (in USD)]))^2))</f>
        <v>29337.060563764539</v>
      </c>
      <c r="R1689" s="18" t="b">
        <v>1</v>
      </c>
      <c r="S1689" s="40">
        <v>8.23</v>
      </c>
      <c r="T1689" s="18" t="b">
        <v>0</v>
      </c>
      <c r="U1689" s="25">
        <v>45546</v>
      </c>
      <c r="V1689" s="63" t="str">
        <f>IF(MONTH(Table22[[#This Row],[Sales Date]])&lt;=3,"Q1",IF(MONTH(Table22[[#This Row],[Sales Date]])&lt;=6,"Q2",IF(MONTH(Table22[[#This Row],[Sales Date]])&lt;=9,"Q3","Q4")))</f>
        <v>Q3</v>
      </c>
      <c r="W1689" s="64">
        <f>YEAR(Table22[[#This Row],[Sales Date]])</f>
        <v>2024</v>
      </c>
      <c r="X1689" s="23">
        <v>20</v>
      </c>
      <c r="Y1689" s="18" t="s">
        <v>23</v>
      </c>
      <c r="Z1689" s="18" t="s">
        <v>56</v>
      </c>
      <c r="AA1689" s="19" t="s">
        <v>36</v>
      </c>
    </row>
    <row r="1690" spans="1:27" x14ac:dyDescent="0.25">
      <c r="A1690" s="17" t="s">
        <v>1064</v>
      </c>
      <c r="B1690" s="18" t="s">
        <v>62</v>
      </c>
      <c r="C1690" s="63" t="str" cm="1">
        <f t="array" ref="C1690">_xlfn.SWITCH(Table22[[#This Row],[Country]],"USA","North America","Canada","North America","Brazil","South America","China","Asia","Japan","Asia","India","Asia","France","Europe","Germany","Europe","UK","Europe","Australia","Oceania","South America")</f>
        <v>Oceania</v>
      </c>
      <c r="D1690" s="18" t="s">
        <v>35</v>
      </c>
      <c r="E1690" s="18" t="s">
        <v>39</v>
      </c>
      <c r="F1690" s="18" t="s">
        <v>20</v>
      </c>
      <c r="G1690" s="18" t="s">
        <v>48</v>
      </c>
      <c r="H1690" s="64">
        <f>LEN(TRIM(Table22[[#This Row],[Country]]))</f>
        <v>9</v>
      </c>
      <c r="I1690" s="64">
        <f>LEN(TRIM(Table22[[#This Row],[Continent]]))</f>
        <v>7</v>
      </c>
      <c r="J1690" s="64">
        <f>LEN(TRIM(Table22[[#This Row],[Product]]))</f>
        <v>10</v>
      </c>
      <c r="K1690" s="64">
        <f>LEN(TRIM(Table22[[#This Row],[Sales Team]]))</f>
        <v>9</v>
      </c>
      <c r="L1690" s="23">
        <v>8</v>
      </c>
      <c r="M1690" s="65" t="str" cm="1">
        <f t="array" ref="M1690">_xlfn.IFS(Table22[[#This Row],[Units Sold]]&lt;40,"Critical",Table22[[#This Row],[Units Sold]]&lt;=50,"Poor",Table22[[#This Row],[Units Sold]]&lt;=60,"Low",Table22[[#This Row],[Units Sold]]&lt;=80,"Average",Table22[[#This Row],[Units Sold]]&lt;=90,"High",Table22[[#This Row],[Units Sold]]&lt;=95,"Excellent",Table22[[#This Row],[Units Sold]]&gt;95,"Outstanding")</f>
        <v>Critical</v>
      </c>
      <c r="N1690" s="29">
        <v>895.96</v>
      </c>
      <c r="O1690" s="29">
        <v>7167.68</v>
      </c>
      <c r="P1690" s="43">
        <f>IF(Table22[[#This Row],[Discount Applied]],Table22[[#This Row],[Total Sales (in USD)]]*(1-Table22[[#This Row],[Discount Percentage (%)]]/100),Table22[[#This Row],[Total Sales (in USD)]])</f>
        <v>7167.68</v>
      </c>
      <c r="Q1690" s="66">
        <f>SQRT(AVERAGE((Table22[[#This Row],[Net Sales (after discount) (in USD)]]-AVERAGE(Table22[Net Sales (after discount) (in USD)]))^2))</f>
        <v>29343.680563764538</v>
      </c>
      <c r="R1690" s="18" t="b">
        <v>0</v>
      </c>
      <c r="S1690" s="40">
        <v>27.63</v>
      </c>
      <c r="T1690" s="18" t="b">
        <v>0</v>
      </c>
      <c r="U1690" s="25">
        <v>45485</v>
      </c>
      <c r="V1690" s="63" t="str">
        <f>IF(MONTH(Table22[[#This Row],[Sales Date]])&lt;=3,"Q1",IF(MONTH(Table22[[#This Row],[Sales Date]])&lt;=6,"Q2",IF(MONTH(Table22[[#This Row],[Sales Date]])&lt;=9,"Q3","Q4")))</f>
        <v>Q3</v>
      </c>
      <c r="W1690" s="64">
        <f>YEAR(Table22[[#This Row],[Sales Date]])</f>
        <v>2024</v>
      </c>
      <c r="X1690" s="23">
        <v>30</v>
      </c>
      <c r="Y1690" s="18" t="s">
        <v>49</v>
      </c>
      <c r="Z1690" s="18" t="s">
        <v>56</v>
      </c>
      <c r="AA1690" s="19" t="s">
        <v>25</v>
      </c>
    </row>
    <row r="1691" spans="1:27" x14ac:dyDescent="0.25">
      <c r="A1691" s="17" t="s">
        <v>1715</v>
      </c>
      <c r="B1691" s="18" t="s">
        <v>27</v>
      </c>
      <c r="C1691" s="63" t="str" cm="1">
        <f t="array" ref="C1691">_xlfn.SWITCH(Table22[[#This Row],[Country]],"USA","North America","Canada","North America","Brazil","South America","China","Asia","Japan","Asia","India","Asia","France","Europe","Germany","Europe","UK","Europe","Australia","Oceania","South America")</f>
        <v>Europe</v>
      </c>
      <c r="D1691" s="18" t="s">
        <v>35</v>
      </c>
      <c r="E1691" s="18" t="s">
        <v>19</v>
      </c>
      <c r="F1691" s="18" t="s">
        <v>47</v>
      </c>
      <c r="G1691" s="18" t="s">
        <v>22</v>
      </c>
      <c r="H1691" s="64">
        <f>LEN(TRIM(Table22[[#This Row],[Country]]))</f>
        <v>7</v>
      </c>
      <c r="I1691" s="64">
        <f>LEN(TRIM(Table22[[#This Row],[Continent]]))</f>
        <v>6</v>
      </c>
      <c r="J1691" s="64">
        <f>LEN(TRIM(Table22[[#This Row],[Product]]))</f>
        <v>6</v>
      </c>
      <c r="K1691" s="64">
        <f>LEN(TRIM(Table22[[#This Row],[Sales Team]]))</f>
        <v>10</v>
      </c>
      <c r="L1691" s="23">
        <v>7</v>
      </c>
      <c r="M1691" s="65" t="str" cm="1">
        <f t="array" ref="M1691">_xlfn.IFS(Table22[[#This Row],[Units Sold]]&lt;40,"Critical",Table22[[#This Row],[Units Sold]]&lt;=50,"Poor",Table22[[#This Row],[Units Sold]]&lt;=60,"Low",Table22[[#This Row],[Units Sold]]&lt;=80,"Average",Table22[[#This Row],[Units Sold]]&lt;=90,"High",Table22[[#This Row],[Units Sold]]&lt;=95,"Excellent",Table22[[#This Row],[Units Sold]]&gt;95,"Outstanding")</f>
        <v>Critical</v>
      </c>
      <c r="N1691" s="29">
        <v>1022.94</v>
      </c>
      <c r="O1691" s="29">
        <v>7160.58</v>
      </c>
      <c r="P1691" s="43">
        <f>IF(Table22[[#This Row],[Discount Applied]],Table22[[#This Row],[Total Sales (in USD)]]*(1-Table22[[#This Row],[Discount Percentage (%)]]/100),Table22[[#This Row],[Total Sales (in USD)]])</f>
        <v>7036.7019659999996</v>
      </c>
      <c r="Q1691" s="66">
        <f>SQRT(AVERAGE((Table22[[#This Row],[Net Sales (after discount) (in USD)]]-AVERAGE(Table22[Net Sales (after discount) (in USD)]))^2))</f>
        <v>29474.658597764537</v>
      </c>
      <c r="R1691" s="18" t="b">
        <v>1</v>
      </c>
      <c r="S1691" s="40">
        <v>1.73</v>
      </c>
      <c r="T1691" s="18" t="b">
        <v>1</v>
      </c>
      <c r="U1691" s="25">
        <v>45075</v>
      </c>
      <c r="V1691" s="63" t="str">
        <f>IF(MONTH(Table22[[#This Row],[Sales Date]])&lt;=3,"Q1",IF(MONTH(Table22[[#This Row],[Sales Date]])&lt;=6,"Q2",IF(MONTH(Table22[[#This Row],[Sales Date]])&lt;=9,"Q3","Q4")))</f>
        <v>Q2</v>
      </c>
      <c r="W1691" s="64">
        <f>YEAR(Table22[[#This Row],[Sales Date]])</f>
        <v>2023</v>
      </c>
      <c r="X1691" s="23">
        <v>60</v>
      </c>
      <c r="Y1691" s="18" t="s">
        <v>23</v>
      </c>
      <c r="Z1691" s="18" t="s">
        <v>30</v>
      </c>
      <c r="AA1691" s="19" t="s">
        <v>36</v>
      </c>
    </row>
    <row r="1692" spans="1:27" x14ac:dyDescent="0.25">
      <c r="A1692" s="17" t="s">
        <v>1054</v>
      </c>
      <c r="B1692" s="18" t="s">
        <v>27</v>
      </c>
      <c r="C1692" s="63" t="str" cm="1">
        <f t="array" ref="C1692">_xlfn.SWITCH(Table22[[#This Row],[Country]],"USA","North America","Canada","North America","Brazil","South America","China","Asia","Japan","Asia","India","Asia","France","Europe","Germany","Europe","UK","Europe","Australia","Oceania","South America")</f>
        <v>Europe</v>
      </c>
      <c r="D1692" s="18" t="s">
        <v>35</v>
      </c>
      <c r="E1692" s="18" t="s">
        <v>39</v>
      </c>
      <c r="F1692" s="18" t="s">
        <v>34</v>
      </c>
      <c r="G1692" s="18" t="s">
        <v>40</v>
      </c>
      <c r="H1692" s="64">
        <f>LEN(TRIM(Table22[[#This Row],[Country]]))</f>
        <v>7</v>
      </c>
      <c r="I1692" s="64">
        <f>LEN(TRIM(Table22[[#This Row],[Continent]]))</f>
        <v>6</v>
      </c>
      <c r="J1692" s="64">
        <f>LEN(TRIM(Table22[[#This Row],[Product]]))</f>
        <v>10</v>
      </c>
      <c r="K1692" s="64">
        <f>LEN(TRIM(Table22[[#This Row],[Sales Team]]))</f>
        <v>10</v>
      </c>
      <c r="L1692" s="23">
        <v>18</v>
      </c>
      <c r="M1692" s="65" t="str" cm="1">
        <f t="array" ref="M1692">_xlfn.IFS(Table22[[#This Row],[Units Sold]]&lt;40,"Critical",Table22[[#This Row],[Units Sold]]&lt;=50,"Poor",Table22[[#This Row],[Units Sold]]&lt;=60,"Low",Table22[[#This Row],[Units Sold]]&lt;=80,"Average",Table22[[#This Row],[Units Sold]]&lt;=90,"High",Table22[[#This Row],[Units Sold]]&lt;=95,"Excellent",Table22[[#This Row],[Units Sold]]&gt;95,"Outstanding")</f>
        <v>Critical</v>
      </c>
      <c r="N1692" s="29">
        <v>393.38</v>
      </c>
      <c r="O1692" s="29">
        <v>7080.84</v>
      </c>
      <c r="P1692" s="43">
        <f>IF(Table22[[#This Row],[Discount Applied]],Table22[[#This Row],[Total Sales (in USD)]]*(1-Table22[[#This Row],[Discount Percentage (%)]]/100),Table22[[#This Row],[Total Sales (in USD)]])</f>
        <v>5584.6585079999995</v>
      </c>
      <c r="Q1692" s="66">
        <f>SQRT(AVERAGE((Table22[[#This Row],[Net Sales (after discount) (in USD)]]-AVERAGE(Table22[Net Sales (after discount) (in USD)]))^2))</f>
        <v>30926.702055764537</v>
      </c>
      <c r="R1692" s="18" t="b">
        <v>1</v>
      </c>
      <c r="S1692" s="40">
        <v>21.13</v>
      </c>
      <c r="T1692" s="18" t="b">
        <v>1</v>
      </c>
      <c r="U1692" s="25">
        <v>45474</v>
      </c>
      <c r="V1692" s="63" t="str">
        <f>IF(MONTH(Table22[[#This Row],[Sales Date]])&lt;=3,"Q1",IF(MONTH(Table22[[#This Row],[Sales Date]])&lt;=6,"Q2",IF(MONTH(Table22[[#This Row],[Sales Date]])&lt;=9,"Q3","Q4")))</f>
        <v>Q3</v>
      </c>
      <c r="W1692" s="64">
        <f>YEAR(Table22[[#This Row],[Sales Date]])</f>
        <v>2024</v>
      </c>
      <c r="X1692" s="23">
        <v>20</v>
      </c>
      <c r="Y1692" s="18" t="s">
        <v>41</v>
      </c>
      <c r="Z1692" s="18" t="s">
        <v>56</v>
      </c>
      <c r="AA1692" s="19" t="s">
        <v>36</v>
      </c>
    </row>
    <row r="1693" spans="1:27" x14ac:dyDescent="0.25">
      <c r="A1693" s="17" t="s">
        <v>1851</v>
      </c>
      <c r="B1693" s="18" t="s">
        <v>32</v>
      </c>
      <c r="C1693" s="63" t="str" cm="1">
        <f t="array" ref="C1693">_xlfn.SWITCH(Table22[[#This Row],[Country]],"USA","North America","Canada","North America","Brazil","South America","China","Asia","Japan","Asia","India","Asia","France","Europe","Germany","Europe","UK","Europe","Australia","Oceania","South America")</f>
        <v>Asia</v>
      </c>
      <c r="D1693" s="18" t="s">
        <v>21</v>
      </c>
      <c r="E1693" s="18" t="s">
        <v>19</v>
      </c>
      <c r="F1693" s="18" t="s">
        <v>20</v>
      </c>
      <c r="G1693" s="18" t="s">
        <v>40</v>
      </c>
      <c r="H1693" s="64">
        <f>LEN(TRIM(Table22[[#This Row],[Country]]))</f>
        <v>5</v>
      </c>
      <c r="I1693" s="64">
        <f>LEN(TRIM(Table22[[#This Row],[Continent]]))</f>
        <v>4</v>
      </c>
      <c r="J1693" s="64">
        <f>LEN(TRIM(Table22[[#This Row],[Product]]))</f>
        <v>6</v>
      </c>
      <c r="K1693" s="64">
        <f>LEN(TRIM(Table22[[#This Row],[Sales Team]]))</f>
        <v>10</v>
      </c>
      <c r="L1693" s="23">
        <v>15</v>
      </c>
      <c r="M1693" s="65" t="str" cm="1">
        <f t="array" ref="M1693">_xlfn.IFS(Table22[[#This Row],[Units Sold]]&lt;40,"Critical",Table22[[#This Row],[Units Sold]]&lt;=50,"Poor",Table22[[#This Row],[Units Sold]]&lt;=60,"Low",Table22[[#This Row],[Units Sold]]&lt;=80,"Average",Table22[[#This Row],[Units Sold]]&lt;=90,"High",Table22[[#This Row],[Units Sold]]&lt;=95,"Excellent",Table22[[#This Row],[Units Sold]]&gt;95,"Outstanding")</f>
        <v>Critical</v>
      </c>
      <c r="N1693" s="29">
        <v>471.19</v>
      </c>
      <c r="O1693" s="29">
        <v>7067.85</v>
      </c>
      <c r="P1693" s="43">
        <f>IF(Table22[[#This Row],[Discount Applied]],Table22[[#This Row],[Total Sales (in USD)]]*(1-Table22[[#This Row],[Discount Percentage (%)]]/100),Table22[[#This Row],[Total Sales (in USD)]])</f>
        <v>6679.1182500000004</v>
      </c>
      <c r="Q1693" s="66">
        <f>SQRT(AVERAGE((Table22[[#This Row],[Net Sales (after discount) (in USD)]]-AVERAGE(Table22[Net Sales (after discount) (in USD)]))^2))</f>
        <v>29832.242313764538</v>
      </c>
      <c r="R1693" s="18" t="b">
        <v>1</v>
      </c>
      <c r="S1693" s="40">
        <v>5.5</v>
      </c>
      <c r="T1693" s="18" t="b">
        <v>1</v>
      </c>
      <c r="U1693" s="25">
        <v>45149</v>
      </c>
      <c r="V1693" s="63" t="str">
        <f>IF(MONTH(Table22[[#This Row],[Sales Date]])&lt;=3,"Q1",IF(MONTH(Table22[[#This Row],[Sales Date]])&lt;=6,"Q2",IF(MONTH(Table22[[#This Row],[Sales Date]])&lt;=9,"Q3","Q4")))</f>
        <v>Q3</v>
      </c>
      <c r="W1693" s="64">
        <f>YEAR(Table22[[#This Row],[Sales Date]])</f>
        <v>2023</v>
      </c>
      <c r="X1693" s="23">
        <v>18</v>
      </c>
      <c r="Y1693" s="18" t="s">
        <v>23</v>
      </c>
      <c r="Z1693" s="18" t="s">
        <v>30</v>
      </c>
      <c r="AA1693" s="19" t="s">
        <v>36</v>
      </c>
    </row>
    <row r="1694" spans="1:27" x14ac:dyDescent="0.25">
      <c r="A1694" s="17" t="s">
        <v>1569</v>
      </c>
      <c r="B1694" s="18" t="s">
        <v>27</v>
      </c>
      <c r="C1694" s="63" t="str" cm="1">
        <f t="array" ref="C1694">_xlfn.SWITCH(Table22[[#This Row],[Country]],"USA","North America","Canada","North America","Brazil","South America","China","Asia","Japan","Asia","India","Asia","France","Europe","Germany","Europe","UK","Europe","Australia","Oceania","South America")</f>
        <v>Europe</v>
      </c>
      <c r="D1694" s="18" t="s">
        <v>28</v>
      </c>
      <c r="E1694" s="18" t="s">
        <v>33</v>
      </c>
      <c r="F1694" s="18" t="s">
        <v>52</v>
      </c>
      <c r="G1694" s="18" t="s">
        <v>29</v>
      </c>
      <c r="H1694" s="64">
        <f>LEN(TRIM(Table22[[#This Row],[Country]]))</f>
        <v>7</v>
      </c>
      <c r="I1694" s="64">
        <f>LEN(TRIM(Table22[[#This Row],[Continent]]))</f>
        <v>6</v>
      </c>
      <c r="J1694" s="64">
        <f>LEN(TRIM(Table22[[#This Row],[Product]]))</f>
        <v>10</v>
      </c>
      <c r="K1694" s="64">
        <f>LEN(TRIM(Table22[[#This Row],[Sales Team]]))</f>
        <v>10</v>
      </c>
      <c r="L1694" s="23">
        <v>12</v>
      </c>
      <c r="M1694" s="65" t="str" cm="1">
        <f t="array" ref="M1694">_xlfn.IFS(Table22[[#This Row],[Units Sold]]&lt;40,"Critical",Table22[[#This Row],[Units Sold]]&lt;=50,"Poor",Table22[[#This Row],[Units Sold]]&lt;=60,"Low",Table22[[#This Row],[Units Sold]]&lt;=80,"Average",Table22[[#This Row],[Units Sold]]&lt;=90,"High",Table22[[#This Row],[Units Sold]]&lt;=95,"Excellent",Table22[[#This Row],[Units Sold]]&gt;95,"Outstanding")</f>
        <v>Critical</v>
      </c>
      <c r="N1694" s="29">
        <v>585.13</v>
      </c>
      <c r="O1694" s="29">
        <v>7021.56</v>
      </c>
      <c r="P1694" s="43">
        <f>IF(Table22[[#This Row],[Discount Applied]],Table22[[#This Row],[Total Sales (in USD)]]*(1-Table22[[#This Row],[Discount Percentage (%)]]/100),Table22[[#This Row],[Total Sales (in USD)]])</f>
        <v>7021.56</v>
      </c>
      <c r="Q1694" s="66">
        <f>SQRT(AVERAGE((Table22[[#This Row],[Net Sales (after discount) (in USD)]]-AVERAGE(Table22[Net Sales (after discount) (in USD)]))^2))</f>
        <v>29489.800563764536</v>
      </c>
      <c r="R1694" s="18" t="b">
        <v>1</v>
      </c>
      <c r="S1694" s="40">
        <v>21.56</v>
      </c>
      <c r="T1694" s="18" t="b">
        <v>0</v>
      </c>
      <c r="U1694" s="25">
        <v>45545</v>
      </c>
      <c r="V1694" s="63" t="str">
        <f>IF(MONTH(Table22[[#This Row],[Sales Date]])&lt;=3,"Q1",IF(MONTH(Table22[[#This Row],[Sales Date]])&lt;=6,"Q2",IF(MONTH(Table22[[#This Row],[Sales Date]])&lt;=9,"Q3","Q4")))</f>
        <v>Q3</v>
      </c>
      <c r="W1694" s="64">
        <f>YEAR(Table22[[#This Row],[Sales Date]])</f>
        <v>2024</v>
      </c>
      <c r="X1694" s="23">
        <v>47</v>
      </c>
      <c r="Y1694" s="18" t="s">
        <v>23</v>
      </c>
      <c r="Z1694" s="18" t="s">
        <v>24</v>
      </c>
      <c r="AA1694" s="19" t="s">
        <v>36</v>
      </c>
    </row>
    <row r="1695" spans="1:27" x14ac:dyDescent="0.25">
      <c r="A1695" s="17" t="s">
        <v>737</v>
      </c>
      <c r="B1695" s="18" t="s">
        <v>66</v>
      </c>
      <c r="C1695" s="63" t="str" cm="1">
        <f t="array" ref="C1695">_xlfn.SWITCH(Table22[[#This Row],[Country]],"USA","North America","Canada","North America","Brazil","South America","China","Asia","Japan","Asia","India","Asia","France","Europe","Germany","Europe","UK","Europe","Australia","Oceania","South America")</f>
        <v>North America</v>
      </c>
      <c r="D1695" s="18" t="s">
        <v>35</v>
      </c>
      <c r="E1695" s="18" t="s">
        <v>19</v>
      </c>
      <c r="F1695" s="18" t="s">
        <v>64</v>
      </c>
      <c r="G1695" s="18" t="s">
        <v>29</v>
      </c>
      <c r="H1695" s="64">
        <f>LEN(TRIM(Table22[[#This Row],[Country]]))</f>
        <v>6</v>
      </c>
      <c r="I1695" s="64">
        <f>LEN(TRIM(Table22[[#This Row],[Continent]]))</f>
        <v>13</v>
      </c>
      <c r="J1695" s="64">
        <f>LEN(TRIM(Table22[[#This Row],[Product]]))</f>
        <v>6</v>
      </c>
      <c r="K1695" s="64">
        <f>LEN(TRIM(Table22[[#This Row],[Sales Team]]))</f>
        <v>10</v>
      </c>
      <c r="L1695" s="23">
        <v>5</v>
      </c>
      <c r="M1695" s="65" t="str" cm="1">
        <f t="array" ref="M1695">_xlfn.IFS(Table22[[#This Row],[Units Sold]]&lt;40,"Critical",Table22[[#This Row],[Units Sold]]&lt;=50,"Poor",Table22[[#This Row],[Units Sold]]&lt;=60,"Low",Table22[[#This Row],[Units Sold]]&lt;=80,"Average",Table22[[#This Row],[Units Sold]]&lt;=90,"High",Table22[[#This Row],[Units Sold]]&lt;=95,"Excellent",Table22[[#This Row],[Units Sold]]&gt;95,"Outstanding")</f>
        <v>Critical</v>
      </c>
      <c r="N1695" s="29">
        <v>1394.13</v>
      </c>
      <c r="O1695" s="29">
        <v>6970.65</v>
      </c>
      <c r="P1695" s="43">
        <f>IF(Table22[[#This Row],[Discount Applied]],Table22[[#This Row],[Total Sales (in USD)]]*(1-Table22[[#This Row],[Discount Percentage (%)]]/100),Table22[[#This Row],[Total Sales (in USD)]])</f>
        <v>5032.8092999999999</v>
      </c>
      <c r="Q1695" s="66">
        <f>SQRT(AVERAGE((Table22[[#This Row],[Net Sales (after discount) (in USD)]]-AVERAGE(Table22[Net Sales (after discount) (in USD)]))^2))</f>
        <v>31478.551263764537</v>
      </c>
      <c r="R1695" s="18" t="b">
        <v>1</v>
      </c>
      <c r="S1695" s="40">
        <v>27.8</v>
      </c>
      <c r="T1695" s="18" t="b">
        <v>1</v>
      </c>
      <c r="U1695" s="25">
        <v>45196</v>
      </c>
      <c r="V1695" s="63" t="str">
        <f>IF(MONTH(Table22[[#This Row],[Sales Date]])&lt;=3,"Q1",IF(MONTH(Table22[[#This Row],[Sales Date]])&lt;=6,"Q2",IF(MONTH(Table22[[#This Row],[Sales Date]])&lt;=9,"Q3","Q4")))</f>
        <v>Q3</v>
      </c>
      <c r="W1695" s="64">
        <f>YEAR(Table22[[#This Row],[Sales Date]])</f>
        <v>2023</v>
      </c>
      <c r="X1695" s="23">
        <v>59</v>
      </c>
      <c r="Y1695" s="18" t="s">
        <v>49</v>
      </c>
      <c r="Z1695" s="18" t="s">
        <v>24</v>
      </c>
      <c r="AA1695" s="19" t="s">
        <v>36</v>
      </c>
    </row>
    <row r="1696" spans="1:27" x14ac:dyDescent="0.25">
      <c r="A1696" s="17" t="s">
        <v>1762</v>
      </c>
      <c r="B1696" s="18" t="s">
        <v>46</v>
      </c>
      <c r="C1696" s="63" t="str" cm="1">
        <f t="array" ref="C1696">_xlfn.SWITCH(Table22[[#This Row],[Country]],"USA","North America","Canada","North America","Brazil","South America","China","Asia","Japan","Asia","India","Asia","France","Europe","Germany","Europe","UK","Europe","Australia","Oceania","South America")</f>
        <v>South America</v>
      </c>
      <c r="D1696" s="18" t="s">
        <v>21</v>
      </c>
      <c r="E1696" s="18" t="s">
        <v>33</v>
      </c>
      <c r="F1696" s="18" t="s">
        <v>47</v>
      </c>
      <c r="G1696" s="18" t="s">
        <v>48</v>
      </c>
      <c r="H1696" s="64">
        <f>LEN(TRIM(Table22[[#This Row],[Country]]))</f>
        <v>6</v>
      </c>
      <c r="I1696" s="64">
        <f>LEN(TRIM(Table22[[#This Row],[Continent]]))</f>
        <v>13</v>
      </c>
      <c r="J1696" s="64">
        <f>LEN(TRIM(Table22[[#This Row],[Product]]))</f>
        <v>10</v>
      </c>
      <c r="K1696" s="64">
        <f>LEN(TRIM(Table22[[#This Row],[Sales Team]]))</f>
        <v>9</v>
      </c>
      <c r="L1696" s="23">
        <v>23</v>
      </c>
      <c r="M1696" s="65" t="str" cm="1">
        <f t="array" ref="M1696">_xlfn.IFS(Table22[[#This Row],[Units Sold]]&lt;40,"Critical",Table22[[#This Row],[Units Sold]]&lt;=50,"Poor",Table22[[#This Row],[Units Sold]]&lt;=60,"Low",Table22[[#This Row],[Units Sold]]&lt;=80,"Average",Table22[[#This Row],[Units Sold]]&lt;=90,"High",Table22[[#This Row],[Units Sold]]&lt;=95,"Excellent",Table22[[#This Row],[Units Sold]]&gt;95,"Outstanding")</f>
        <v>Critical</v>
      </c>
      <c r="N1696" s="29">
        <v>299.97000000000003</v>
      </c>
      <c r="O1696" s="29">
        <v>6899.31</v>
      </c>
      <c r="P1696" s="43">
        <f>IF(Table22[[#This Row],[Discount Applied]],Table22[[#This Row],[Total Sales (in USD)]]*(1-Table22[[#This Row],[Discount Percentage (%)]]/100),Table22[[#This Row],[Total Sales (in USD)]])</f>
        <v>6899.31</v>
      </c>
      <c r="Q1696" s="66">
        <f>SQRT(AVERAGE((Table22[[#This Row],[Net Sales (after discount) (in USD)]]-AVERAGE(Table22[Net Sales (after discount) (in USD)]))^2))</f>
        <v>29612.050563764536</v>
      </c>
      <c r="R1696" s="18" t="b">
        <v>0</v>
      </c>
      <c r="S1696" s="40">
        <v>6.47</v>
      </c>
      <c r="T1696" s="18" t="b">
        <v>0</v>
      </c>
      <c r="U1696" s="25">
        <v>45075</v>
      </c>
      <c r="V1696" s="63" t="str">
        <f>IF(MONTH(Table22[[#This Row],[Sales Date]])&lt;=3,"Q1",IF(MONTH(Table22[[#This Row],[Sales Date]])&lt;=6,"Q2",IF(MONTH(Table22[[#This Row],[Sales Date]])&lt;=9,"Q3","Q4")))</f>
        <v>Q2</v>
      </c>
      <c r="W1696" s="64">
        <f>YEAR(Table22[[#This Row],[Sales Date]])</f>
        <v>2023</v>
      </c>
      <c r="X1696" s="23">
        <v>46</v>
      </c>
      <c r="Y1696" s="18" t="s">
        <v>49</v>
      </c>
      <c r="Z1696" s="18" t="s">
        <v>24</v>
      </c>
      <c r="AA1696" s="19" t="s">
        <v>25</v>
      </c>
    </row>
    <row r="1697" spans="1:27" x14ac:dyDescent="0.25">
      <c r="A1697" s="17" t="s">
        <v>425</v>
      </c>
      <c r="B1697" s="18" t="s">
        <v>51</v>
      </c>
      <c r="C1697" s="63" t="str" cm="1">
        <f t="array" ref="C1697">_xlfn.SWITCH(Table22[[#This Row],[Country]],"USA","North America","Canada","North America","Brazil","South America","China","Asia","Japan","Asia","India","Asia","France","Europe","Germany","Europe","UK","Europe","Australia","Oceania","South America")</f>
        <v>Europe</v>
      </c>
      <c r="D1697" s="18" t="s">
        <v>35</v>
      </c>
      <c r="E1697" s="18" t="s">
        <v>19</v>
      </c>
      <c r="F1697" s="18" t="s">
        <v>64</v>
      </c>
      <c r="G1697" s="18" t="s">
        <v>48</v>
      </c>
      <c r="H1697" s="64">
        <f>LEN(TRIM(Table22[[#This Row],[Country]]))</f>
        <v>2</v>
      </c>
      <c r="I1697" s="64">
        <f>LEN(TRIM(Table22[[#This Row],[Continent]]))</f>
        <v>6</v>
      </c>
      <c r="J1697" s="64">
        <f>LEN(TRIM(Table22[[#This Row],[Product]]))</f>
        <v>6</v>
      </c>
      <c r="K1697" s="64">
        <f>LEN(TRIM(Table22[[#This Row],[Sales Team]]))</f>
        <v>9</v>
      </c>
      <c r="L1697" s="23">
        <v>28</v>
      </c>
      <c r="M1697" s="65" t="str" cm="1">
        <f t="array" ref="M1697">_xlfn.IFS(Table22[[#This Row],[Units Sold]]&lt;40,"Critical",Table22[[#This Row],[Units Sold]]&lt;=50,"Poor",Table22[[#This Row],[Units Sold]]&lt;=60,"Low",Table22[[#This Row],[Units Sold]]&lt;=80,"Average",Table22[[#This Row],[Units Sold]]&lt;=90,"High",Table22[[#This Row],[Units Sold]]&lt;=95,"Excellent",Table22[[#This Row],[Units Sold]]&gt;95,"Outstanding")</f>
        <v>Critical</v>
      </c>
      <c r="N1697" s="29">
        <v>246.02</v>
      </c>
      <c r="O1697" s="29">
        <v>6888.56</v>
      </c>
      <c r="P1697" s="43">
        <f>IF(Table22[[#This Row],[Discount Applied]],Table22[[#This Row],[Total Sales (in USD)]]*(1-Table22[[#This Row],[Discount Percentage (%)]]/100),Table22[[#This Row],[Total Sales (in USD)]])</f>
        <v>6194.1931520000007</v>
      </c>
      <c r="Q1697" s="66">
        <f>SQRT(AVERAGE((Table22[[#This Row],[Net Sales (after discount) (in USD)]]-AVERAGE(Table22[Net Sales (after discount) (in USD)]))^2))</f>
        <v>30317.167411764538</v>
      </c>
      <c r="R1697" s="18" t="b">
        <v>0</v>
      </c>
      <c r="S1697" s="40">
        <v>10.08</v>
      </c>
      <c r="T1697" s="18" t="b">
        <v>1</v>
      </c>
      <c r="U1697" s="25">
        <v>45559</v>
      </c>
      <c r="V1697" s="63" t="str">
        <f>IF(MONTH(Table22[[#This Row],[Sales Date]])&lt;=3,"Q1",IF(MONTH(Table22[[#This Row],[Sales Date]])&lt;=6,"Q2",IF(MONTH(Table22[[#This Row],[Sales Date]])&lt;=9,"Q3","Q4")))</f>
        <v>Q3</v>
      </c>
      <c r="W1697" s="64">
        <f>YEAR(Table22[[#This Row],[Sales Date]])</f>
        <v>2024</v>
      </c>
      <c r="X1697" s="23">
        <v>68</v>
      </c>
      <c r="Y1697" s="18" t="s">
        <v>23</v>
      </c>
      <c r="Z1697" s="18" t="s">
        <v>42</v>
      </c>
      <c r="AA1697" s="19" t="s">
        <v>36</v>
      </c>
    </row>
    <row r="1698" spans="1:27" x14ac:dyDescent="0.25">
      <c r="A1698" s="17" t="s">
        <v>1265</v>
      </c>
      <c r="B1698" s="18" t="s">
        <v>38</v>
      </c>
      <c r="C1698" s="63" t="str" cm="1">
        <f t="array" ref="C1698">_xlfn.SWITCH(Table22[[#This Row],[Country]],"USA","North America","Canada","North America","Brazil","South America","China","Asia","Japan","Asia","India","Asia","France","Europe","Germany","Europe","UK","Europe","Australia","Oceania","South America")</f>
        <v>Europe</v>
      </c>
      <c r="D1698" s="18" t="s">
        <v>28</v>
      </c>
      <c r="E1698" s="18" t="s">
        <v>19</v>
      </c>
      <c r="F1698" s="18" t="s">
        <v>20</v>
      </c>
      <c r="G1698" s="18" t="s">
        <v>48</v>
      </c>
      <c r="H1698" s="64">
        <f>LEN(TRIM(Table22[[#This Row],[Country]]))</f>
        <v>6</v>
      </c>
      <c r="I1698" s="64">
        <f>LEN(TRIM(Table22[[#This Row],[Continent]]))</f>
        <v>6</v>
      </c>
      <c r="J1698" s="64">
        <f>LEN(TRIM(Table22[[#This Row],[Product]]))</f>
        <v>6</v>
      </c>
      <c r="K1698" s="64">
        <f>LEN(TRIM(Table22[[#This Row],[Sales Team]]))</f>
        <v>9</v>
      </c>
      <c r="L1698" s="23">
        <v>15</v>
      </c>
      <c r="M1698" s="65" t="str" cm="1">
        <f t="array" ref="M1698">_xlfn.IFS(Table22[[#This Row],[Units Sold]]&lt;40,"Critical",Table22[[#This Row],[Units Sold]]&lt;=50,"Poor",Table22[[#This Row],[Units Sold]]&lt;=60,"Low",Table22[[#This Row],[Units Sold]]&lt;=80,"Average",Table22[[#This Row],[Units Sold]]&lt;=90,"High",Table22[[#This Row],[Units Sold]]&lt;=95,"Excellent",Table22[[#This Row],[Units Sold]]&gt;95,"Outstanding")</f>
        <v>Critical</v>
      </c>
      <c r="N1698" s="29">
        <v>458.19</v>
      </c>
      <c r="O1698" s="29">
        <v>6872.85</v>
      </c>
      <c r="P1698" s="43">
        <f>IF(Table22[[#This Row],[Discount Applied]],Table22[[#This Row],[Total Sales (in USD)]]*(1-Table22[[#This Row],[Discount Percentage (%)]]/100),Table22[[#This Row],[Total Sales (in USD)]])</f>
        <v>6872.85</v>
      </c>
      <c r="Q1698" s="66">
        <f>SQRT(AVERAGE((Table22[[#This Row],[Net Sales (after discount) (in USD)]]-AVERAGE(Table22[Net Sales (after discount) (in USD)]))^2))</f>
        <v>29638.510563764539</v>
      </c>
      <c r="R1698" s="18" t="b">
        <v>0</v>
      </c>
      <c r="S1698" s="40">
        <v>28.99</v>
      </c>
      <c r="T1698" s="18" t="b">
        <v>0</v>
      </c>
      <c r="U1698" s="25">
        <v>45458</v>
      </c>
      <c r="V1698" s="63" t="str">
        <f>IF(MONTH(Table22[[#This Row],[Sales Date]])&lt;=3,"Q1",IF(MONTH(Table22[[#This Row],[Sales Date]])&lt;=6,"Q2",IF(MONTH(Table22[[#This Row],[Sales Date]])&lt;=9,"Q3","Q4")))</f>
        <v>Q2</v>
      </c>
      <c r="W1698" s="64">
        <f>YEAR(Table22[[#This Row],[Sales Date]])</f>
        <v>2024</v>
      </c>
      <c r="X1698" s="23">
        <v>53</v>
      </c>
      <c r="Y1698" s="18" t="s">
        <v>49</v>
      </c>
      <c r="Z1698" s="18" t="s">
        <v>30</v>
      </c>
      <c r="AA1698" s="19" t="s">
        <v>36</v>
      </c>
    </row>
    <row r="1699" spans="1:27" x14ac:dyDescent="0.25">
      <c r="A1699" s="17" t="s">
        <v>629</v>
      </c>
      <c r="B1699" s="18" t="s">
        <v>51</v>
      </c>
      <c r="C1699" s="63" t="str" cm="1">
        <f t="array" ref="C1699">_xlfn.SWITCH(Table22[[#This Row],[Country]],"USA","North America","Canada","North America","Brazil","South America","China","Asia","Japan","Asia","India","Asia","France","Europe","Germany","Europe","UK","Europe","Australia","Oceania","South America")</f>
        <v>Europe</v>
      </c>
      <c r="D1699" s="18" t="s">
        <v>21</v>
      </c>
      <c r="E1699" s="18" t="s">
        <v>33</v>
      </c>
      <c r="F1699" s="18" t="s">
        <v>20</v>
      </c>
      <c r="G1699" s="18" t="s">
        <v>40</v>
      </c>
      <c r="H1699" s="64">
        <f>LEN(TRIM(Table22[[#This Row],[Country]]))</f>
        <v>2</v>
      </c>
      <c r="I1699" s="64">
        <f>LEN(TRIM(Table22[[#This Row],[Continent]]))</f>
        <v>6</v>
      </c>
      <c r="J1699" s="64">
        <f>LEN(TRIM(Table22[[#This Row],[Product]]))</f>
        <v>10</v>
      </c>
      <c r="K1699" s="64">
        <f>LEN(TRIM(Table22[[#This Row],[Sales Team]]))</f>
        <v>10</v>
      </c>
      <c r="L1699" s="23">
        <v>47</v>
      </c>
      <c r="M1699" s="65" t="str" cm="1">
        <f t="array" ref="M1699">_xlfn.IFS(Table22[[#This Row],[Units Sold]]&lt;40,"Critical",Table22[[#This Row],[Units Sold]]&lt;=50,"Poor",Table22[[#This Row],[Units Sold]]&lt;=60,"Low",Table22[[#This Row],[Units Sold]]&lt;=80,"Average",Table22[[#This Row],[Units Sold]]&lt;=90,"High",Table22[[#This Row],[Units Sold]]&lt;=95,"Excellent",Table22[[#This Row],[Units Sold]]&gt;95,"Outstanding")</f>
        <v>Poor</v>
      </c>
      <c r="N1699" s="29">
        <v>143.58000000000001</v>
      </c>
      <c r="O1699" s="29">
        <v>6748.26</v>
      </c>
      <c r="P1699" s="43">
        <f>IF(Table22[[#This Row],[Discount Applied]],Table22[[#This Row],[Total Sales (in USD)]]*(1-Table22[[#This Row],[Discount Percentage (%)]]/100),Table22[[#This Row],[Total Sales (in USD)]])</f>
        <v>6678.0780960000002</v>
      </c>
      <c r="Q1699" s="66">
        <f>SQRT(AVERAGE((Table22[[#This Row],[Net Sales (after discount) (in USD)]]-AVERAGE(Table22[Net Sales (after discount) (in USD)]))^2))</f>
        <v>29833.282467764537</v>
      </c>
      <c r="R1699" s="18" t="b">
        <v>1</v>
      </c>
      <c r="S1699" s="40">
        <v>1.04</v>
      </c>
      <c r="T1699" s="18" t="b">
        <v>1</v>
      </c>
      <c r="U1699" s="25">
        <v>45571</v>
      </c>
      <c r="V1699" s="63" t="str">
        <f>IF(MONTH(Table22[[#This Row],[Sales Date]])&lt;=3,"Q1",IF(MONTH(Table22[[#This Row],[Sales Date]])&lt;=6,"Q2",IF(MONTH(Table22[[#This Row],[Sales Date]])&lt;=9,"Q3","Q4")))</f>
        <v>Q4</v>
      </c>
      <c r="W1699" s="64">
        <f>YEAR(Table22[[#This Row],[Sales Date]])</f>
        <v>2024</v>
      </c>
      <c r="X1699" s="23">
        <v>38</v>
      </c>
      <c r="Y1699" s="18" t="s">
        <v>41</v>
      </c>
      <c r="Z1699" s="18" t="s">
        <v>30</v>
      </c>
      <c r="AA1699" s="19" t="s">
        <v>36</v>
      </c>
    </row>
    <row r="1700" spans="1:27" x14ac:dyDescent="0.25">
      <c r="A1700" s="17" t="s">
        <v>1264</v>
      </c>
      <c r="B1700" s="18" t="s">
        <v>76</v>
      </c>
      <c r="C1700" s="63" t="str" cm="1">
        <f t="array" ref="C1700">_xlfn.SWITCH(Table22[[#This Row],[Country]],"USA","North America","Canada","North America","Brazil","South America","China","Asia","Japan","Asia","India","Asia","France","Europe","Germany","Europe","UK","Europe","Australia","Oceania","South America")</f>
        <v>Asia</v>
      </c>
      <c r="D1700" s="18" t="s">
        <v>44</v>
      </c>
      <c r="E1700" s="18" t="s">
        <v>33</v>
      </c>
      <c r="F1700" s="18" t="s">
        <v>64</v>
      </c>
      <c r="G1700" s="18" t="s">
        <v>48</v>
      </c>
      <c r="H1700" s="64">
        <f>LEN(TRIM(Table22[[#This Row],[Country]]))</f>
        <v>5</v>
      </c>
      <c r="I1700" s="64">
        <f>LEN(TRIM(Table22[[#This Row],[Continent]]))</f>
        <v>4</v>
      </c>
      <c r="J1700" s="64">
        <f>LEN(TRIM(Table22[[#This Row],[Product]]))</f>
        <v>10</v>
      </c>
      <c r="K1700" s="64">
        <f>LEN(TRIM(Table22[[#This Row],[Sales Team]]))</f>
        <v>9</v>
      </c>
      <c r="L1700" s="23">
        <v>61</v>
      </c>
      <c r="M1700" s="65" t="str" cm="1">
        <f t="array" ref="M1700">_xlfn.IFS(Table22[[#This Row],[Units Sold]]&lt;40,"Critical",Table22[[#This Row],[Units Sold]]&lt;=50,"Poor",Table22[[#This Row],[Units Sold]]&lt;=60,"Low",Table22[[#This Row],[Units Sold]]&lt;=80,"Average",Table22[[#This Row],[Units Sold]]&lt;=90,"High",Table22[[#This Row],[Units Sold]]&lt;=95,"Excellent",Table22[[#This Row],[Units Sold]]&gt;95,"Outstanding")</f>
        <v>Average</v>
      </c>
      <c r="N1700" s="29">
        <v>110.17</v>
      </c>
      <c r="O1700" s="29">
        <v>6720.37</v>
      </c>
      <c r="P1700" s="43">
        <f>IF(Table22[[#This Row],[Discount Applied]],Table22[[#This Row],[Total Sales (in USD)]]*(1-Table22[[#This Row],[Discount Percentage (%)]]/100),Table22[[#This Row],[Total Sales (in USD)]])</f>
        <v>6720.37</v>
      </c>
      <c r="Q1700" s="66">
        <f>SQRT(AVERAGE((Table22[[#This Row],[Net Sales (after discount) (in USD)]]-AVERAGE(Table22[Net Sales (after discount) (in USD)]))^2))</f>
        <v>29790.990563764539</v>
      </c>
      <c r="R1700" s="18" t="b">
        <v>0</v>
      </c>
      <c r="S1700" s="40">
        <v>16.07</v>
      </c>
      <c r="T1700" s="18" t="b">
        <v>0</v>
      </c>
      <c r="U1700" s="25">
        <v>45198</v>
      </c>
      <c r="V1700" s="63" t="str">
        <f>IF(MONTH(Table22[[#This Row],[Sales Date]])&lt;=3,"Q1",IF(MONTH(Table22[[#This Row],[Sales Date]])&lt;=6,"Q2",IF(MONTH(Table22[[#This Row],[Sales Date]])&lt;=9,"Q3","Q4")))</f>
        <v>Q3</v>
      </c>
      <c r="W1700" s="64">
        <f>YEAR(Table22[[#This Row],[Sales Date]])</f>
        <v>2023</v>
      </c>
      <c r="X1700" s="23">
        <v>64</v>
      </c>
      <c r="Y1700" s="18" t="s">
        <v>49</v>
      </c>
      <c r="Z1700" s="18" t="s">
        <v>24</v>
      </c>
      <c r="AA1700" s="19" t="s">
        <v>36</v>
      </c>
    </row>
    <row r="1701" spans="1:27" x14ac:dyDescent="0.25">
      <c r="A1701" s="17" t="s">
        <v>161</v>
      </c>
      <c r="B1701" s="18" t="s">
        <v>51</v>
      </c>
      <c r="C1701" s="63" t="str" cm="1">
        <f t="array" ref="C1701">_xlfn.SWITCH(Table22[[#This Row],[Country]],"USA","North America","Canada","North America","Brazil","South America","China","Asia","Japan","Asia","India","Asia","France","Europe","Germany","Europe","UK","Europe","Australia","Oceania","South America")</f>
        <v>Europe</v>
      </c>
      <c r="D1701" s="18" t="s">
        <v>44</v>
      </c>
      <c r="E1701" s="18" t="s">
        <v>19</v>
      </c>
      <c r="F1701" s="18" t="s">
        <v>20</v>
      </c>
      <c r="G1701" s="18" t="s">
        <v>29</v>
      </c>
      <c r="H1701" s="64">
        <f>LEN(TRIM(Table22[[#This Row],[Country]]))</f>
        <v>2</v>
      </c>
      <c r="I1701" s="64">
        <f>LEN(TRIM(Table22[[#This Row],[Continent]]))</f>
        <v>6</v>
      </c>
      <c r="J1701" s="64">
        <f>LEN(TRIM(Table22[[#This Row],[Product]]))</f>
        <v>6</v>
      </c>
      <c r="K1701" s="64">
        <f>LEN(TRIM(Table22[[#This Row],[Sales Team]]))</f>
        <v>10</v>
      </c>
      <c r="L1701" s="23">
        <v>33</v>
      </c>
      <c r="M1701" s="65" t="str" cm="1">
        <f t="array" ref="M1701">_xlfn.IFS(Table22[[#This Row],[Units Sold]]&lt;40,"Critical",Table22[[#This Row],[Units Sold]]&lt;=50,"Poor",Table22[[#This Row],[Units Sold]]&lt;=60,"Low",Table22[[#This Row],[Units Sold]]&lt;=80,"Average",Table22[[#This Row],[Units Sold]]&lt;=90,"High",Table22[[#This Row],[Units Sold]]&lt;=95,"Excellent",Table22[[#This Row],[Units Sold]]&gt;95,"Outstanding")</f>
        <v>Critical</v>
      </c>
      <c r="N1701" s="29">
        <v>203.41</v>
      </c>
      <c r="O1701" s="29">
        <v>6712.53</v>
      </c>
      <c r="P1701" s="43">
        <f>IF(Table22[[#This Row],[Discount Applied]],Table22[[#This Row],[Total Sales (in USD)]]*(1-Table22[[#This Row],[Discount Percentage (%)]]/100),Table22[[#This Row],[Total Sales (in USD)]])</f>
        <v>6712.53</v>
      </c>
      <c r="Q1701" s="66">
        <f>SQRT(AVERAGE((Table22[[#This Row],[Net Sales (after discount) (in USD)]]-AVERAGE(Table22[Net Sales (after discount) (in USD)]))^2))</f>
        <v>29798.830563764539</v>
      </c>
      <c r="R1701" s="18" t="b">
        <v>0</v>
      </c>
      <c r="S1701" s="40">
        <v>1.98</v>
      </c>
      <c r="T1701" s="18" t="b">
        <v>0</v>
      </c>
      <c r="U1701" s="25">
        <v>45514</v>
      </c>
      <c r="V1701" s="63" t="str">
        <f>IF(MONTH(Table22[[#This Row],[Sales Date]])&lt;=3,"Q1",IF(MONTH(Table22[[#This Row],[Sales Date]])&lt;=6,"Q2",IF(MONTH(Table22[[#This Row],[Sales Date]])&lt;=9,"Q3","Q4")))</f>
        <v>Q3</v>
      </c>
      <c r="W1701" s="64">
        <f>YEAR(Table22[[#This Row],[Sales Date]])</f>
        <v>2024</v>
      </c>
      <c r="X1701" s="23">
        <v>20</v>
      </c>
      <c r="Y1701" s="18" t="s">
        <v>49</v>
      </c>
      <c r="Z1701" s="18" t="s">
        <v>30</v>
      </c>
      <c r="AA1701" s="19" t="s">
        <v>25</v>
      </c>
    </row>
    <row r="1702" spans="1:27" x14ac:dyDescent="0.25">
      <c r="A1702" s="17" t="s">
        <v>341</v>
      </c>
      <c r="B1702" s="18" t="s">
        <v>72</v>
      </c>
      <c r="C1702" s="63" t="str" cm="1">
        <f t="array" ref="C1702">_xlfn.SWITCH(Table22[[#This Row],[Country]],"USA","North America","Canada","North America","Brazil","South America","China","Asia","Japan","Asia","India","Asia","France","Europe","Germany","Europe","UK","Europe","Australia","Oceania","South America")</f>
        <v>North America</v>
      </c>
      <c r="D1702" s="18" t="s">
        <v>44</v>
      </c>
      <c r="E1702" s="18" t="s">
        <v>19</v>
      </c>
      <c r="F1702" s="18" t="s">
        <v>64</v>
      </c>
      <c r="G1702" s="18" t="s">
        <v>22</v>
      </c>
      <c r="H1702" s="64">
        <f>LEN(TRIM(Table22[[#This Row],[Country]]))</f>
        <v>3</v>
      </c>
      <c r="I1702" s="64">
        <f>LEN(TRIM(Table22[[#This Row],[Continent]]))</f>
        <v>13</v>
      </c>
      <c r="J1702" s="64">
        <f>LEN(TRIM(Table22[[#This Row],[Product]]))</f>
        <v>6</v>
      </c>
      <c r="K1702" s="64">
        <f>LEN(TRIM(Table22[[#This Row],[Sales Team]]))</f>
        <v>10</v>
      </c>
      <c r="L1702" s="23">
        <v>10</v>
      </c>
      <c r="M1702" s="65" t="str" cm="1">
        <f t="array" ref="M1702">_xlfn.IFS(Table22[[#This Row],[Units Sold]]&lt;40,"Critical",Table22[[#This Row],[Units Sold]]&lt;=50,"Poor",Table22[[#This Row],[Units Sold]]&lt;=60,"Low",Table22[[#This Row],[Units Sold]]&lt;=80,"Average",Table22[[#This Row],[Units Sold]]&lt;=90,"High",Table22[[#This Row],[Units Sold]]&lt;=95,"Excellent",Table22[[#This Row],[Units Sold]]&gt;95,"Outstanding")</f>
        <v>Critical</v>
      </c>
      <c r="N1702" s="29">
        <v>670.48</v>
      </c>
      <c r="O1702" s="29">
        <v>6704.8</v>
      </c>
      <c r="P1702" s="43">
        <f>IF(Table22[[#This Row],[Discount Applied]],Table22[[#This Row],[Total Sales (in USD)]]*(1-Table22[[#This Row],[Discount Percentage (%)]]/100),Table22[[#This Row],[Total Sales (in USD)]])</f>
        <v>6704.8</v>
      </c>
      <c r="Q1702" s="66">
        <f>SQRT(AVERAGE((Table22[[#This Row],[Net Sales (after discount) (in USD)]]-AVERAGE(Table22[Net Sales (after discount) (in USD)]))^2))</f>
        <v>29806.560563764539</v>
      </c>
      <c r="R1702" s="18" t="b">
        <v>0</v>
      </c>
      <c r="S1702" s="40">
        <v>5.9</v>
      </c>
      <c r="T1702" s="18" t="b">
        <v>0</v>
      </c>
      <c r="U1702" s="25">
        <v>44965</v>
      </c>
      <c r="V1702" s="63" t="str">
        <f>IF(MONTH(Table22[[#This Row],[Sales Date]])&lt;=3,"Q1",IF(MONTH(Table22[[#This Row],[Sales Date]])&lt;=6,"Q2",IF(MONTH(Table22[[#This Row],[Sales Date]])&lt;=9,"Q3","Q4")))</f>
        <v>Q1</v>
      </c>
      <c r="W1702" s="64">
        <f>YEAR(Table22[[#This Row],[Sales Date]])</f>
        <v>2023</v>
      </c>
      <c r="X1702" s="23">
        <v>31</v>
      </c>
      <c r="Y1702" s="18" t="s">
        <v>23</v>
      </c>
      <c r="Z1702" s="18" t="s">
        <v>42</v>
      </c>
      <c r="AA1702" s="19" t="s">
        <v>25</v>
      </c>
    </row>
    <row r="1703" spans="1:27" x14ac:dyDescent="0.25">
      <c r="A1703" s="17" t="s">
        <v>1349</v>
      </c>
      <c r="B1703" s="18" t="s">
        <v>46</v>
      </c>
      <c r="C1703" s="63" t="str" cm="1">
        <f t="array" ref="C1703">_xlfn.SWITCH(Table22[[#This Row],[Country]],"USA","North America","Canada","North America","Brazil","South America","China","Asia","Japan","Asia","India","Asia","France","Europe","Germany","Europe","UK","Europe","Australia","Oceania","South America")</f>
        <v>South America</v>
      </c>
      <c r="D1703" s="18" t="s">
        <v>44</v>
      </c>
      <c r="E1703" s="18" t="s">
        <v>33</v>
      </c>
      <c r="F1703" s="18" t="s">
        <v>47</v>
      </c>
      <c r="G1703" s="18" t="s">
        <v>29</v>
      </c>
      <c r="H1703" s="64">
        <f>LEN(TRIM(Table22[[#This Row],[Country]]))</f>
        <v>6</v>
      </c>
      <c r="I1703" s="64">
        <f>LEN(TRIM(Table22[[#This Row],[Continent]]))</f>
        <v>13</v>
      </c>
      <c r="J1703" s="64">
        <f>LEN(TRIM(Table22[[#This Row],[Product]]))</f>
        <v>10</v>
      </c>
      <c r="K1703" s="64">
        <f>LEN(TRIM(Table22[[#This Row],[Sales Team]]))</f>
        <v>10</v>
      </c>
      <c r="L1703" s="23">
        <v>7</v>
      </c>
      <c r="M1703" s="65" t="str" cm="1">
        <f t="array" ref="M1703">_xlfn.IFS(Table22[[#This Row],[Units Sold]]&lt;40,"Critical",Table22[[#This Row],[Units Sold]]&lt;=50,"Poor",Table22[[#This Row],[Units Sold]]&lt;=60,"Low",Table22[[#This Row],[Units Sold]]&lt;=80,"Average",Table22[[#This Row],[Units Sold]]&lt;=90,"High",Table22[[#This Row],[Units Sold]]&lt;=95,"Excellent",Table22[[#This Row],[Units Sold]]&gt;95,"Outstanding")</f>
        <v>Critical</v>
      </c>
      <c r="N1703" s="29">
        <v>954.64</v>
      </c>
      <c r="O1703" s="29">
        <v>6682.48</v>
      </c>
      <c r="P1703" s="43">
        <f>IF(Table22[[#This Row],[Discount Applied]],Table22[[#This Row],[Total Sales (in USD)]]*(1-Table22[[#This Row],[Discount Percentage (%)]]/100),Table22[[#This Row],[Total Sales (in USD)]])</f>
        <v>5025.2249599999996</v>
      </c>
      <c r="Q1703" s="66">
        <f>SQRT(AVERAGE((Table22[[#This Row],[Net Sales (after discount) (in USD)]]-AVERAGE(Table22[Net Sales (after discount) (in USD)]))^2))</f>
        <v>31486.135603764538</v>
      </c>
      <c r="R1703" s="18" t="b">
        <v>0</v>
      </c>
      <c r="S1703" s="40">
        <v>24.8</v>
      </c>
      <c r="T1703" s="18" t="b">
        <v>1</v>
      </c>
      <c r="U1703" s="25">
        <v>45453</v>
      </c>
      <c r="V1703" s="63" t="str">
        <f>IF(MONTH(Table22[[#This Row],[Sales Date]])&lt;=3,"Q1",IF(MONTH(Table22[[#This Row],[Sales Date]])&lt;=6,"Q2",IF(MONTH(Table22[[#This Row],[Sales Date]])&lt;=9,"Q3","Q4")))</f>
        <v>Q2</v>
      </c>
      <c r="W1703" s="64">
        <f>YEAR(Table22[[#This Row],[Sales Date]])</f>
        <v>2024</v>
      </c>
      <c r="X1703" s="23">
        <v>31</v>
      </c>
      <c r="Y1703" s="18" t="s">
        <v>23</v>
      </c>
      <c r="Z1703" s="18" t="s">
        <v>42</v>
      </c>
      <c r="AA1703" s="19" t="s">
        <v>36</v>
      </c>
    </row>
    <row r="1704" spans="1:27" x14ac:dyDescent="0.25">
      <c r="A1704" s="17" t="s">
        <v>533</v>
      </c>
      <c r="B1704" s="18" t="s">
        <v>46</v>
      </c>
      <c r="C1704" s="63" t="str" cm="1">
        <f t="array" ref="C1704">_xlfn.SWITCH(Table22[[#This Row],[Country]],"USA","North America","Canada","North America","Brazil","South America","China","Asia","Japan","Asia","India","Asia","France","Europe","Germany","Europe","UK","Europe","Australia","Oceania","South America")</f>
        <v>South America</v>
      </c>
      <c r="D1704" s="18" t="s">
        <v>44</v>
      </c>
      <c r="E1704" s="18" t="s">
        <v>33</v>
      </c>
      <c r="F1704" s="18" t="s">
        <v>20</v>
      </c>
      <c r="G1704" s="18" t="s">
        <v>48</v>
      </c>
      <c r="H1704" s="64">
        <f>LEN(TRIM(Table22[[#This Row],[Country]]))</f>
        <v>6</v>
      </c>
      <c r="I1704" s="64">
        <f>LEN(TRIM(Table22[[#This Row],[Continent]]))</f>
        <v>13</v>
      </c>
      <c r="J1704" s="64">
        <f>LEN(TRIM(Table22[[#This Row],[Product]]))</f>
        <v>10</v>
      </c>
      <c r="K1704" s="64">
        <f>LEN(TRIM(Table22[[#This Row],[Sales Team]]))</f>
        <v>9</v>
      </c>
      <c r="L1704" s="23">
        <v>19</v>
      </c>
      <c r="M1704" s="65" t="str" cm="1">
        <f t="array" ref="M1704">_xlfn.IFS(Table22[[#This Row],[Units Sold]]&lt;40,"Critical",Table22[[#This Row],[Units Sold]]&lt;=50,"Poor",Table22[[#This Row],[Units Sold]]&lt;=60,"Low",Table22[[#This Row],[Units Sold]]&lt;=80,"Average",Table22[[#This Row],[Units Sold]]&lt;=90,"High",Table22[[#This Row],[Units Sold]]&lt;=95,"Excellent",Table22[[#This Row],[Units Sold]]&gt;95,"Outstanding")</f>
        <v>Critical</v>
      </c>
      <c r="N1704" s="29">
        <v>351.27</v>
      </c>
      <c r="O1704" s="29">
        <v>6674.13</v>
      </c>
      <c r="P1704" s="43">
        <f>IF(Table22[[#This Row],[Discount Applied]],Table22[[#This Row],[Total Sales (in USD)]]*(1-Table22[[#This Row],[Discount Percentage (%)]]/100),Table22[[#This Row],[Total Sales (in USD)]])</f>
        <v>6674.13</v>
      </c>
      <c r="Q1704" s="66">
        <f>SQRT(AVERAGE((Table22[[#This Row],[Net Sales (after discount) (in USD)]]-AVERAGE(Table22[Net Sales (after discount) (in USD)]))^2))</f>
        <v>29837.230563764537</v>
      </c>
      <c r="R1704" s="18" t="b">
        <v>0</v>
      </c>
      <c r="S1704" s="40">
        <v>12.01</v>
      </c>
      <c r="T1704" s="18" t="b">
        <v>0</v>
      </c>
      <c r="U1704" s="25">
        <v>45025</v>
      </c>
      <c r="V1704" s="63" t="str">
        <f>IF(MONTH(Table22[[#This Row],[Sales Date]])&lt;=3,"Q1",IF(MONTH(Table22[[#This Row],[Sales Date]])&lt;=6,"Q2",IF(MONTH(Table22[[#This Row],[Sales Date]])&lt;=9,"Q3","Q4")))</f>
        <v>Q2</v>
      </c>
      <c r="W1704" s="64">
        <f>YEAR(Table22[[#This Row],[Sales Date]])</f>
        <v>2023</v>
      </c>
      <c r="X1704" s="23">
        <v>51</v>
      </c>
      <c r="Y1704" s="18" t="s">
        <v>49</v>
      </c>
      <c r="Z1704" s="18" t="s">
        <v>42</v>
      </c>
      <c r="AA1704" s="19" t="s">
        <v>25</v>
      </c>
    </row>
    <row r="1705" spans="1:27" x14ac:dyDescent="0.25">
      <c r="A1705" s="17" t="s">
        <v>1171</v>
      </c>
      <c r="B1705" s="18" t="s">
        <v>62</v>
      </c>
      <c r="C1705" s="63" t="str" cm="1">
        <f t="array" ref="C1705">_xlfn.SWITCH(Table22[[#This Row],[Country]],"USA","North America","Canada","North America","Brazil","South America","China","Asia","Japan","Asia","India","Asia","France","Europe","Germany","Europe","UK","Europe","Australia","Oceania","South America")</f>
        <v>Oceania</v>
      </c>
      <c r="D1705" s="18" t="s">
        <v>44</v>
      </c>
      <c r="E1705" s="18" t="s">
        <v>33</v>
      </c>
      <c r="F1705" s="18" t="s">
        <v>52</v>
      </c>
      <c r="G1705" s="18" t="s">
        <v>40</v>
      </c>
      <c r="H1705" s="64">
        <f>LEN(TRIM(Table22[[#This Row],[Country]]))</f>
        <v>9</v>
      </c>
      <c r="I1705" s="64">
        <f>LEN(TRIM(Table22[[#This Row],[Continent]]))</f>
        <v>7</v>
      </c>
      <c r="J1705" s="64">
        <f>LEN(TRIM(Table22[[#This Row],[Product]]))</f>
        <v>10</v>
      </c>
      <c r="K1705" s="64">
        <f>LEN(TRIM(Table22[[#This Row],[Sales Team]]))</f>
        <v>10</v>
      </c>
      <c r="L1705" s="23">
        <v>47</v>
      </c>
      <c r="M1705" s="65" t="str" cm="1">
        <f t="array" ref="M1705">_xlfn.IFS(Table22[[#This Row],[Units Sold]]&lt;40,"Critical",Table22[[#This Row],[Units Sold]]&lt;=50,"Poor",Table22[[#This Row],[Units Sold]]&lt;=60,"Low",Table22[[#This Row],[Units Sold]]&lt;=80,"Average",Table22[[#This Row],[Units Sold]]&lt;=90,"High",Table22[[#This Row],[Units Sold]]&lt;=95,"Excellent",Table22[[#This Row],[Units Sold]]&gt;95,"Outstanding")</f>
        <v>Poor</v>
      </c>
      <c r="N1705" s="29">
        <v>141.19</v>
      </c>
      <c r="O1705" s="29">
        <v>6635.93</v>
      </c>
      <c r="P1705" s="43">
        <f>IF(Table22[[#This Row],[Discount Applied]],Table22[[#This Row],[Total Sales (in USD)]]*(1-Table22[[#This Row],[Discount Percentage (%)]]/100),Table22[[#This Row],[Total Sales (in USD)]])</f>
        <v>6635.93</v>
      </c>
      <c r="Q1705" s="66">
        <f>SQRT(AVERAGE((Table22[[#This Row],[Net Sales (after discount) (in USD)]]-AVERAGE(Table22[Net Sales (after discount) (in USD)]))^2))</f>
        <v>29875.430563764538</v>
      </c>
      <c r="R1705" s="18" t="b">
        <v>0</v>
      </c>
      <c r="S1705" s="40">
        <v>0.7</v>
      </c>
      <c r="T1705" s="18" t="b">
        <v>0</v>
      </c>
      <c r="U1705" s="25">
        <v>45171</v>
      </c>
      <c r="V1705" s="63" t="str">
        <f>IF(MONTH(Table22[[#This Row],[Sales Date]])&lt;=3,"Q1",IF(MONTH(Table22[[#This Row],[Sales Date]])&lt;=6,"Q2",IF(MONTH(Table22[[#This Row],[Sales Date]])&lt;=9,"Q3","Q4")))</f>
        <v>Q3</v>
      </c>
      <c r="W1705" s="64">
        <f>YEAR(Table22[[#This Row],[Sales Date]])</f>
        <v>2023</v>
      </c>
      <c r="X1705" s="23">
        <v>28</v>
      </c>
      <c r="Y1705" s="18" t="s">
        <v>41</v>
      </c>
      <c r="Z1705" s="18" t="s">
        <v>30</v>
      </c>
      <c r="AA1705" s="19" t="s">
        <v>25</v>
      </c>
    </row>
    <row r="1706" spans="1:27" x14ac:dyDescent="0.25">
      <c r="A1706" s="17" t="s">
        <v>1677</v>
      </c>
      <c r="B1706" s="18" t="s">
        <v>46</v>
      </c>
      <c r="C1706" s="63" t="str" cm="1">
        <f t="array" ref="C1706">_xlfn.SWITCH(Table22[[#This Row],[Country]],"USA","North America","Canada","North America","Brazil","South America","China","Asia","Japan","Asia","India","Asia","France","Europe","Germany","Europe","UK","Europe","Australia","Oceania","South America")</f>
        <v>South America</v>
      </c>
      <c r="D1706" s="18" t="s">
        <v>28</v>
      </c>
      <c r="E1706" s="18" t="s">
        <v>19</v>
      </c>
      <c r="F1706" s="18" t="s">
        <v>20</v>
      </c>
      <c r="G1706" s="18" t="s">
        <v>40</v>
      </c>
      <c r="H1706" s="64">
        <f>LEN(TRIM(Table22[[#This Row],[Country]]))</f>
        <v>6</v>
      </c>
      <c r="I1706" s="64">
        <f>LEN(TRIM(Table22[[#This Row],[Continent]]))</f>
        <v>13</v>
      </c>
      <c r="J1706" s="64">
        <f>LEN(TRIM(Table22[[#This Row],[Product]]))</f>
        <v>6</v>
      </c>
      <c r="K1706" s="64">
        <f>LEN(TRIM(Table22[[#This Row],[Sales Team]]))</f>
        <v>10</v>
      </c>
      <c r="L1706" s="23">
        <v>44</v>
      </c>
      <c r="M1706" s="65" t="str" cm="1">
        <f t="array" ref="M1706">_xlfn.IFS(Table22[[#This Row],[Units Sold]]&lt;40,"Critical",Table22[[#This Row],[Units Sold]]&lt;=50,"Poor",Table22[[#This Row],[Units Sold]]&lt;=60,"Low",Table22[[#This Row],[Units Sold]]&lt;=80,"Average",Table22[[#This Row],[Units Sold]]&lt;=90,"High",Table22[[#This Row],[Units Sold]]&lt;=95,"Excellent",Table22[[#This Row],[Units Sold]]&gt;95,"Outstanding")</f>
        <v>Poor</v>
      </c>
      <c r="N1706" s="29">
        <v>150.79</v>
      </c>
      <c r="O1706" s="29">
        <v>6634.76</v>
      </c>
      <c r="P1706" s="43">
        <f>IF(Table22[[#This Row],[Discount Applied]],Table22[[#This Row],[Total Sales (in USD)]]*(1-Table22[[#This Row],[Discount Percentage (%)]]/100),Table22[[#This Row],[Total Sales (in USD)]])</f>
        <v>6634.76</v>
      </c>
      <c r="Q1706" s="66">
        <f>SQRT(AVERAGE((Table22[[#This Row],[Net Sales (after discount) (in USD)]]-AVERAGE(Table22[Net Sales (after discount) (in USD)]))^2))</f>
        <v>29876.600563764536</v>
      </c>
      <c r="R1706" s="18" t="b">
        <v>1</v>
      </c>
      <c r="S1706" s="40">
        <v>3.13</v>
      </c>
      <c r="T1706" s="18" t="b">
        <v>0</v>
      </c>
      <c r="U1706" s="25">
        <v>44949</v>
      </c>
      <c r="V1706" s="63" t="str">
        <f>IF(MONTH(Table22[[#This Row],[Sales Date]])&lt;=3,"Q1",IF(MONTH(Table22[[#This Row],[Sales Date]])&lt;=6,"Q2",IF(MONTH(Table22[[#This Row],[Sales Date]])&lt;=9,"Q3","Q4")))</f>
        <v>Q1</v>
      </c>
      <c r="W1706" s="64">
        <f>YEAR(Table22[[#This Row],[Sales Date]])</f>
        <v>2023</v>
      </c>
      <c r="X1706" s="23">
        <v>57</v>
      </c>
      <c r="Y1706" s="18" t="s">
        <v>23</v>
      </c>
      <c r="Z1706" s="18" t="s">
        <v>56</v>
      </c>
      <c r="AA1706" s="19" t="s">
        <v>36</v>
      </c>
    </row>
    <row r="1707" spans="1:27" x14ac:dyDescent="0.25">
      <c r="A1707" s="17" t="s">
        <v>1325</v>
      </c>
      <c r="B1707" s="18" t="s">
        <v>51</v>
      </c>
      <c r="C1707" s="63" t="str" cm="1">
        <f t="array" ref="C1707">_xlfn.SWITCH(Table22[[#This Row],[Country]],"USA","North America","Canada","North America","Brazil","South America","China","Asia","Japan","Asia","India","Asia","France","Europe","Germany","Europe","UK","Europe","Australia","Oceania","South America")</f>
        <v>Europe</v>
      </c>
      <c r="D1707" s="18" t="s">
        <v>35</v>
      </c>
      <c r="E1707" s="18" t="s">
        <v>39</v>
      </c>
      <c r="F1707" s="18" t="s">
        <v>34</v>
      </c>
      <c r="G1707" s="18" t="s">
        <v>22</v>
      </c>
      <c r="H1707" s="64">
        <f>LEN(TRIM(Table22[[#This Row],[Country]]))</f>
        <v>2</v>
      </c>
      <c r="I1707" s="64">
        <f>LEN(TRIM(Table22[[#This Row],[Continent]]))</f>
        <v>6</v>
      </c>
      <c r="J1707" s="64">
        <f>LEN(TRIM(Table22[[#This Row],[Product]]))</f>
        <v>10</v>
      </c>
      <c r="K1707" s="64">
        <f>LEN(TRIM(Table22[[#This Row],[Sales Team]]))</f>
        <v>10</v>
      </c>
      <c r="L1707" s="23">
        <v>66</v>
      </c>
      <c r="M1707" s="65" t="str" cm="1">
        <f t="array" ref="M1707">_xlfn.IFS(Table22[[#This Row],[Units Sold]]&lt;40,"Critical",Table22[[#This Row],[Units Sold]]&lt;=50,"Poor",Table22[[#This Row],[Units Sold]]&lt;=60,"Low",Table22[[#This Row],[Units Sold]]&lt;=80,"Average",Table22[[#This Row],[Units Sold]]&lt;=90,"High",Table22[[#This Row],[Units Sold]]&lt;=95,"Excellent",Table22[[#This Row],[Units Sold]]&gt;95,"Outstanding")</f>
        <v>Average</v>
      </c>
      <c r="N1707" s="29">
        <v>100.34</v>
      </c>
      <c r="O1707" s="29">
        <v>6622.44</v>
      </c>
      <c r="P1707" s="43">
        <f>IF(Table22[[#This Row],[Discount Applied]],Table22[[#This Row],[Total Sales (in USD)]]*(1-Table22[[#This Row],[Discount Percentage (%)]]/100),Table22[[#This Row],[Total Sales (in USD)]])</f>
        <v>6622.44</v>
      </c>
      <c r="Q1707" s="66">
        <f>SQRT(AVERAGE((Table22[[#This Row],[Net Sales (after discount) (in USD)]]-AVERAGE(Table22[Net Sales (after discount) (in USD)]))^2))</f>
        <v>29888.920563764539</v>
      </c>
      <c r="R1707" s="18" t="b">
        <v>1</v>
      </c>
      <c r="S1707" s="40">
        <v>17.8</v>
      </c>
      <c r="T1707" s="18" t="b">
        <v>0</v>
      </c>
      <c r="U1707" s="25">
        <v>45458</v>
      </c>
      <c r="V1707" s="63" t="str">
        <f>IF(MONTH(Table22[[#This Row],[Sales Date]])&lt;=3,"Q1",IF(MONTH(Table22[[#This Row],[Sales Date]])&lt;=6,"Q2",IF(MONTH(Table22[[#This Row],[Sales Date]])&lt;=9,"Q3","Q4")))</f>
        <v>Q2</v>
      </c>
      <c r="W1707" s="64">
        <f>YEAR(Table22[[#This Row],[Sales Date]])</f>
        <v>2024</v>
      </c>
      <c r="X1707" s="23">
        <v>23</v>
      </c>
      <c r="Y1707" s="18" t="s">
        <v>41</v>
      </c>
      <c r="Z1707" s="18" t="s">
        <v>56</v>
      </c>
      <c r="AA1707" s="19" t="s">
        <v>25</v>
      </c>
    </row>
    <row r="1708" spans="1:27" x14ac:dyDescent="0.25">
      <c r="A1708" s="17" t="s">
        <v>667</v>
      </c>
      <c r="B1708" s="18" t="s">
        <v>32</v>
      </c>
      <c r="C1708" s="63" t="str" cm="1">
        <f t="array" ref="C1708">_xlfn.SWITCH(Table22[[#This Row],[Country]],"USA","North America","Canada","North America","Brazil","South America","China","Asia","Japan","Asia","India","Asia","France","Europe","Germany","Europe","UK","Europe","Australia","Oceania","South America")</f>
        <v>Asia</v>
      </c>
      <c r="D1708" s="18" t="s">
        <v>21</v>
      </c>
      <c r="E1708" s="18" t="s">
        <v>39</v>
      </c>
      <c r="F1708" s="18" t="s">
        <v>47</v>
      </c>
      <c r="G1708" s="18" t="s">
        <v>22</v>
      </c>
      <c r="H1708" s="64">
        <f>LEN(TRIM(Table22[[#This Row],[Country]]))</f>
        <v>5</v>
      </c>
      <c r="I1708" s="64">
        <f>LEN(TRIM(Table22[[#This Row],[Continent]]))</f>
        <v>4</v>
      </c>
      <c r="J1708" s="64">
        <f>LEN(TRIM(Table22[[#This Row],[Product]]))</f>
        <v>10</v>
      </c>
      <c r="K1708" s="64">
        <f>LEN(TRIM(Table22[[#This Row],[Sales Team]]))</f>
        <v>10</v>
      </c>
      <c r="L1708" s="23">
        <v>15</v>
      </c>
      <c r="M1708" s="65" t="str" cm="1">
        <f t="array" ref="M1708">_xlfn.IFS(Table22[[#This Row],[Units Sold]]&lt;40,"Critical",Table22[[#This Row],[Units Sold]]&lt;=50,"Poor",Table22[[#This Row],[Units Sold]]&lt;=60,"Low",Table22[[#This Row],[Units Sold]]&lt;=80,"Average",Table22[[#This Row],[Units Sold]]&lt;=90,"High",Table22[[#This Row],[Units Sold]]&lt;=95,"Excellent",Table22[[#This Row],[Units Sold]]&gt;95,"Outstanding")</f>
        <v>Critical</v>
      </c>
      <c r="N1708" s="29">
        <v>436.06</v>
      </c>
      <c r="O1708" s="29">
        <v>6540.9</v>
      </c>
      <c r="P1708" s="43">
        <f>IF(Table22[[#This Row],[Discount Applied]],Table22[[#This Row],[Total Sales (in USD)]]*(1-Table22[[#This Row],[Discount Percentage (%)]]/100),Table22[[#This Row],[Total Sales (in USD)]])</f>
        <v>5036.4929999999995</v>
      </c>
      <c r="Q1708" s="66">
        <f>SQRT(AVERAGE((Table22[[#This Row],[Net Sales (after discount) (in USD)]]-AVERAGE(Table22[Net Sales (after discount) (in USD)]))^2))</f>
        <v>31474.867563764539</v>
      </c>
      <c r="R1708" s="18" t="b">
        <v>1</v>
      </c>
      <c r="S1708" s="40">
        <v>23</v>
      </c>
      <c r="T1708" s="18" t="b">
        <v>1</v>
      </c>
      <c r="U1708" s="25">
        <v>45577</v>
      </c>
      <c r="V1708" s="63" t="str">
        <f>IF(MONTH(Table22[[#This Row],[Sales Date]])&lt;=3,"Q1",IF(MONTH(Table22[[#This Row],[Sales Date]])&lt;=6,"Q2",IF(MONTH(Table22[[#This Row],[Sales Date]])&lt;=9,"Q3","Q4")))</f>
        <v>Q4</v>
      </c>
      <c r="W1708" s="64">
        <f>YEAR(Table22[[#This Row],[Sales Date]])</f>
        <v>2024</v>
      </c>
      <c r="X1708" s="23">
        <v>33</v>
      </c>
      <c r="Y1708" s="18" t="s">
        <v>23</v>
      </c>
      <c r="Z1708" s="18" t="s">
        <v>24</v>
      </c>
      <c r="AA1708" s="19" t="s">
        <v>36</v>
      </c>
    </row>
    <row r="1709" spans="1:27" x14ac:dyDescent="0.25">
      <c r="A1709" s="17" t="s">
        <v>428</v>
      </c>
      <c r="B1709" s="18" t="s">
        <v>27</v>
      </c>
      <c r="C1709" s="63" t="str" cm="1">
        <f t="array" ref="C1709">_xlfn.SWITCH(Table22[[#This Row],[Country]],"USA","North America","Canada","North America","Brazil","South America","China","Asia","Japan","Asia","India","Asia","France","Europe","Germany","Europe","UK","Europe","Australia","Oceania","South America")</f>
        <v>Europe</v>
      </c>
      <c r="D1709" s="18" t="s">
        <v>44</v>
      </c>
      <c r="E1709" s="18" t="s">
        <v>19</v>
      </c>
      <c r="F1709" s="18" t="s">
        <v>34</v>
      </c>
      <c r="G1709" s="18" t="s">
        <v>22</v>
      </c>
      <c r="H1709" s="64">
        <f>LEN(TRIM(Table22[[#This Row],[Country]]))</f>
        <v>7</v>
      </c>
      <c r="I1709" s="64">
        <f>LEN(TRIM(Table22[[#This Row],[Continent]]))</f>
        <v>6</v>
      </c>
      <c r="J1709" s="64">
        <f>LEN(TRIM(Table22[[#This Row],[Product]]))</f>
        <v>6</v>
      </c>
      <c r="K1709" s="64">
        <f>LEN(TRIM(Table22[[#This Row],[Sales Team]]))</f>
        <v>10</v>
      </c>
      <c r="L1709" s="23">
        <v>17</v>
      </c>
      <c r="M1709" s="65" t="str" cm="1">
        <f t="array" ref="M1709">_xlfn.IFS(Table22[[#This Row],[Units Sold]]&lt;40,"Critical",Table22[[#This Row],[Units Sold]]&lt;=50,"Poor",Table22[[#This Row],[Units Sold]]&lt;=60,"Low",Table22[[#This Row],[Units Sold]]&lt;=80,"Average",Table22[[#This Row],[Units Sold]]&lt;=90,"High",Table22[[#This Row],[Units Sold]]&lt;=95,"Excellent",Table22[[#This Row],[Units Sold]]&gt;95,"Outstanding")</f>
        <v>Critical</v>
      </c>
      <c r="N1709" s="29">
        <v>384.56</v>
      </c>
      <c r="O1709" s="29">
        <v>6537.52</v>
      </c>
      <c r="P1709" s="43">
        <f>IF(Table22[[#This Row],[Discount Applied]],Table22[[#This Row],[Total Sales (in USD)]]*(1-Table22[[#This Row],[Discount Percentage (%)]]/100),Table22[[#This Row],[Total Sales (in USD)]])</f>
        <v>6537.52</v>
      </c>
      <c r="Q1709" s="66">
        <f>SQRT(AVERAGE((Table22[[#This Row],[Net Sales (after discount) (in USD)]]-AVERAGE(Table22[Net Sales (after discount) (in USD)]))^2))</f>
        <v>29973.840563764537</v>
      </c>
      <c r="R1709" s="18" t="b">
        <v>1</v>
      </c>
      <c r="S1709" s="40">
        <v>16.12</v>
      </c>
      <c r="T1709" s="18" t="b">
        <v>0</v>
      </c>
      <c r="U1709" s="25">
        <v>45167</v>
      </c>
      <c r="V1709" s="63" t="str">
        <f>IF(MONTH(Table22[[#This Row],[Sales Date]])&lt;=3,"Q1",IF(MONTH(Table22[[#This Row],[Sales Date]])&lt;=6,"Q2",IF(MONTH(Table22[[#This Row],[Sales Date]])&lt;=9,"Q3","Q4")))</f>
        <v>Q3</v>
      </c>
      <c r="W1709" s="64">
        <f>YEAR(Table22[[#This Row],[Sales Date]])</f>
        <v>2023</v>
      </c>
      <c r="X1709" s="23">
        <v>20</v>
      </c>
      <c r="Y1709" s="18" t="s">
        <v>23</v>
      </c>
      <c r="Z1709" s="18" t="s">
        <v>24</v>
      </c>
      <c r="AA1709" s="19" t="s">
        <v>36</v>
      </c>
    </row>
    <row r="1710" spans="1:27" x14ac:dyDescent="0.25">
      <c r="A1710" s="17" t="s">
        <v>1020</v>
      </c>
      <c r="B1710" s="18" t="s">
        <v>46</v>
      </c>
      <c r="C1710" s="63" t="str" cm="1">
        <f t="array" ref="C1710">_xlfn.SWITCH(Table22[[#This Row],[Country]],"USA","North America","Canada","North America","Brazil","South America","China","Asia","Japan","Asia","India","Asia","France","Europe","Germany","Europe","UK","Europe","Australia","Oceania","South America")</f>
        <v>South America</v>
      </c>
      <c r="D1710" s="18" t="s">
        <v>21</v>
      </c>
      <c r="E1710" s="18" t="s">
        <v>39</v>
      </c>
      <c r="F1710" s="18" t="s">
        <v>64</v>
      </c>
      <c r="G1710" s="18" t="s">
        <v>29</v>
      </c>
      <c r="H1710" s="64">
        <f>LEN(TRIM(Table22[[#This Row],[Country]]))</f>
        <v>6</v>
      </c>
      <c r="I1710" s="64">
        <f>LEN(TRIM(Table22[[#This Row],[Continent]]))</f>
        <v>13</v>
      </c>
      <c r="J1710" s="64">
        <f>LEN(TRIM(Table22[[#This Row],[Product]]))</f>
        <v>10</v>
      </c>
      <c r="K1710" s="64">
        <f>LEN(TRIM(Table22[[#This Row],[Sales Team]]))</f>
        <v>10</v>
      </c>
      <c r="L1710" s="23">
        <v>88</v>
      </c>
      <c r="M1710" s="65" t="str" cm="1">
        <f t="array" ref="M1710">_xlfn.IFS(Table22[[#This Row],[Units Sold]]&lt;40,"Critical",Table22[[#This Row],[Units Sold]]&lt;=50,"Poor",Table22[[#This Row],[Units Sold]]&lt;=60,"Low",Table22[[#This Row],[Units Sold]]&lt;=80,"Average",Table22[[#This Row],[Units Sold]]&lt;=90,"High",Table22[[#This Row],[Units Sold]]&lt;=95,"Excellent",Table22[[#This Row],[Units Sold]]&gt;95,"Outstanding")</f>
        <v>High</v>
      </c>
      <c r="N1710" s="29">
        <v>73.36</v>
      </c>
      <c r="O1710" s="29">
        <v>6455.68</v>
      </c>
      <c r="P1710" s="43">
        <f>IF(Table22[[#This Row],[Discount Applied]],Table22[[#This Row],[Total Sales (in USD)]]*(1-Table22[[#This Row],[Discount Percentage (%)]]/100),Table22[[#This Row],[Total Sales (in USD)]])</f>
        <v>6179.3768960000007</v>
      </c>
      <c r="Q1710" s="66">
        <f>SQRT(AVERAGE((Table22[[#This Row],[Net Sales (after discount) (in USD)]]-AVERAGE(Table22[Net Sales (after discount) (in USD)]))^2))</f>
        <v>30331.983667764536</v>
      </c>
      <c r="R1710" s="18" t="b">
        <v>0</v>
      </c>
      <c r="S1710" s="40">
        <v>4.28</v>
      </c>
      <c r="T1710" s="18" t="b">
        <v>1</v>
      </c>
      <c r="U1710" s="25">
        <v>45536</v>
      </c>
      <c r="V1710" s="63" t="str">
        <f>IF(MONTH(Table22[[#This Row],[Sales Date]])&lt;=3,"Q1",IF(MONTH(Table22[[#This Row],[Sales Date]])&lt;=6,"Q2",IF(MONTH(Table22[[#This Row],[Sales Date]])&lt;=9,"Q3","Q4")))</f>
        <v>Q3</v>
      </c>
      <c r="W1710" s="64">
        <f>YEAR(Table22[[#This Row],[Sales Date]])</f>
        <v>2024</v>
      </c>
      <c r="X1710" s="23">
        <v>61</v>
      </c>
      <c r="Y1710" s="18" t="s">
        <v>41</v>
      </c>
      <c r="Z1710" s="18" t="s">
        <v>24</v>
      </c>
      <c r="AA1710" s="19" t="s">
        <v>25</v>
      </c>
    </row>
    <row r="1711" spans="1:27" x14ac:dyDescent="0.25">
      <c r="A1711" s="17" t="s">
        <v>264</v>
      </c>
      <c r="B1711" s="18" t="s">
        <v>18</v>
      </c>
      <c r="C1711" s="63" t="str" cm="1">
        <f t="array" ref="C1711">_xlfn.SWITCH(Table22[[#This Row],[Country]],"USA","North America","Canada","North America","Brazil","South America","China","Asia","Japan","Asia","India","Asia","France","Europe","Germany","Europe","UK","Europe","Australia","Oceania","South America")</f>
        <v>Asia</v>
      </c>
      <c r="D1711" s="18" t="s">
        <v>44</v>
      </c>
      <c r="E1711" s="18" t="s">
        <v>39</v>
      </c>
      <c r="F1711" s="18" t="s">
        <v>52</v>
      </c>
      <c r="G1711" s="18" t="s">
        <v>29</v>
      </c>
      <c r="H1711" s="64">
        <f>LEN(TRIM(Table22[[#This Row],[Country]]))</f>
        <v>5</v>
      </c>
      <c r="I1711" s="64">
        <f>LEN(TRIM(Table22[[#This Row],[Continent]]))</f>
        <v>4</v>
      </c>
      <c r="J1711" s="64">
        <f>LEN(TRIM(Table22[[#This Row],[Product]]))</f>
        <v>10</v>
      </c>
      <c r="K1711" s="64">
        <f>LEN(TRIM(Table22[[#This Row],[Sales Team]]))</f>
        <v>10</v>
      </c>
      <c r="L1711" s="23">
        <v>47</v>
      </c>
      <c r="M1711" s="65" t="str" cm="1">
        <f t="array" ref="M1711">_xlfn.IFS(Table22[[#This Row],[Units Sold]]&lt;40,"Critical",Table22[[#This Row],[Units Sold]]&lt;=50,"Poor",Table22[[#This Row],[Units Sold]]&lt;=60,"Low",Table22[[#This Row],[Units Sold]]&lt;=80,"Average",Table22[[#This Row],[Units Sold]]&lt;=90,"High",Table22[[#This Row],[Units Sold]]&lt;=95,"Excellent",Table22[[#This Row],[Units Sold]]&gt;95,"Outstanding")</f>
        <v>Poor</v>
      </c>
      <c r="N1711" s="29">
        <v>136.25</v>
      </c>
      <c r="O1711" s="29">
        <v>6403.75</v>
      </c>
      <c r="P1711" s="43">
        <f>IF(Table22[[#This Row],[Discount Applied]],Table22[[#This Row],[Total Sales (in USD)]]*(1-Table22[[#This Row],[Discount Percentage (%)]]/100),Table22[[#This Row],[Total Sales (in USD)]])</f>
        <v>6403.75</v>
      </c>
      <c r="Q1711" s="66">
        <f>SQRT(AVERAGE((Table22[[#This Row],[Net Sales (after discount) (in USD)]]-AVERAGE(Table22[Net Sales (after discount) (in USD)]))^2))</f>
        <v>30107.610563764538</v>
      </c>
      <c r="R1711" s="18" t="b">
        <v>1</v>
      </c>
      <c r="S1711" s="40">
        <v>11.21</v>
      </c>
      <c r="T1711" s="18" t="b">
        <v>0</v>
      </c>
      <c r="U1711" s="25">
        <v>45420</v>
      </c>
      <c r="V1711" s="63" t="str">
        <f>IF(MONTH(Table22[[#This Row],[Sales Date]])&lt;=3,"Q1",IF(MONTH(Table22[[#This Row],[Sales Date]])&lt;=6,"Q2",IF(MONTH(Table22[[#This Row],[Sales Date]])&lt;=9,"Q3","Q4")))</f>
        <v>Q2</v>
      </c>
      <c r="W1711" s="64">
        <f>YEAR(Table22[[#This Row],[Sales Date]])</f>
        <v>2024</v>
      </c>
      <c r="X1711" s="23">
        <v>49</v>
      </c>
      <c r="Y1711" s="18" t="s">
        <v>49</v>
      </c>
      <c r="Z1711" s="18" t="s">
        <v>30</v>
      </c>
      <c r="AA1711" s="19" t="s">
        <v>25</v>
      </c>
    </row>
    <row r="1712" spans="1:27" x14ac:dyDescent="0.25">
      <c r="A1712" s="17" t="s">
        <v>1918</v>
      </c>
      <c r="B1712" s="18" t="s">
        <v>18</v>
      </c>
      <c r="C1712" s="63" t="str" cm="1">
        <f t="array" ref="C1712">_xlfn.SWITCH(Table22[[#This Row],[Country]],"USA","North America","Canada","North America","Brazil","South America","China","Asia","Japan","Asia","India","Asia","France","Europe","Germany","Europe","UK","Europe","Australia","Oceania","South America")</f>
        <v>Asia</v>
      </c>
      <c r="D1712" s="18" t="s">
        <v>28</v>
      </c>
      <c r="E1712" s="18" t="s">
        <v>33</v>
      </c>
      <c r="F1712" s="18" t="s">
        <v>34</v>
      </c>
      <c r="G1712" s="18" t="s">
        <v>22</v>
      </c>
      <c r="H1712" s="64">
        <f>LEN(TRIM(Table22[[#This Row],[Country]]))</f>
        <v>5</v>
      </c>
      <c r="I1712" s="64">
        <f>LEN(TRIM(Table22[[#This Row],[Continent]]))</f>
        <v>4</v>
      </c>
      <c r="J1712" s="64">
        <f>LEN(TRIM(Table22[[#This Row],[Product]]))</f>
        <v>10</v>
      </c>
      <c r="K1712" s="64">
        <f>LEN(TRIM(Table22[[#This Row],[Sales Team]]))</f>
        <v>10</v>
      </c>
      <c r="L1712" s="23">
        <v>80</v>
      </c>
      <c r="M1712" s="65" t="str" cm="1">
        <f t="array" ref="M1712">_xlfn.IFS(Table22[[#This Row],[Units Sold]]&lt;40,"Critical",Table22[[#This Row],[Units Sold]]&lt;=50,"Poor",Table22[[#This Row],[Units Sold]]&lt;=60,"Low",Table22[[#This Row],[Units Sold]]&lt;=80,"Average",Table22[[#This Row],[Units Sold]]&lt;=90,"High",Table22[[#This Row],[Units Sold]]&lt;=95,"Excellent",Table22[[#This Row],[Units Sold]]&gt;95,"Outstanding")</f>
        <v>Average</v>
      </c>
      <c r="N1712" s="29">
        <v>79.930000000000007</v>
      </c>
      <c r="O1712" s="29">
        <v>6394.4</v>
      </c>
      <c r="P1712" s="43">
        <f>IF(Table22[[#This Row],[Discount Applied]],Table22[[#This Row],[Total Sales (in USD)]]*(1-Table22[[#This Row],[Discount Percentage (%)]]/100),Table22[[#This Row],[Total Sales (in USD)]])</f>
        <v>5144.9342399999996</v>
      </c>
      <c r="Q1712" s="66">
        <f>SQRT(AVERAGE((Table22[[#This Row],[Net Sales (after discount) (in USD)]]-AVERAGE(Table22[Net Sales (after discount) (in USD)]))^2))</f>
        <v>31366.426323764539</v>
      </c>
      <c r="R1712" s="18" t="b">
        <v>0</v>
      </c>
      <c r="S1712" s="40">
        <v>19.54</v>
      </c>
      <c r="T1712" s="18" t="b">
        <v>1</v>
      </c>
      <c r="U1712" s="25">
        <v>44965</v>
      </c>
      <c r="V1712" s="63" t="str">
        <f>IF(MONTH(Table22[[#This Row],[Sales Date]])&lt;=3,"Q1",IF(MONTH(Table22[[#This Row],[Sales Date]])&lt;=6,"Q2",IF(MONTH(Table22[[#This Row],[Sales Date]])&lt;=9,"Q3","Q4")))</f>
        <v>Q1</v>
      </c>
      <c r="W1712" s="64">
        <f>YEAR(Table22[[#This Row],[Sales Date]])</f>
        <v>2023</v>
      </c>
      <c r="X1712" s="23">
        <v>48</v>
      </c>
      <c r="Y1712" s="18" t="s">
        <v>49</v>
      </c>
      <c r="Z1712" s="18" t="s">
        <v>56</v>
      </c>
      <c r="AA1712" s="19" t="s">
        <v>25</v>
      </c>
    </row>
    <row r="1713" spans="1:27" x14ac:dyDescent="0.25">
      <c r="A1713" s="17" t="s">
        <v>1984</v>
      </c>
      <c r="B1713" s="18" t="s">
        <v>72</v>
      </c>
      <c r="C1713" s="63" t="str" cm="1">
        <f t="array" ref="C1713">_xlfn.SWITCH(Table22[[#This Row],[Country]],"USA","North America","Canada","North America","Brazil","South America","China","Asia","Japan","Asia","India","Asia","France","Europe","Germany","Europe","UK","Europe","Australia","Oceania","South America")</f>
        <v>North America</v>
      </c>
      <c r="D1713" s="18" t="s">
        <v>28</v>
      </c>
      <c r="E1713" s="18" t="s">
        <v>39</v>
      </c>
      <c r="F1713" s="18" t="s">
        <v>34</v>
      </c>
      <c r="G1713" s="18" t="s">
        <v>29</v>
      </c>
      <c r="H1713" s="64">
        <f>LEN(TRIM(Table22[[#This Row],[Country]]))</f>
        <v>3</v>
      </c>
      <c r="I1713" s="64">
        <f>LEN(TRIM(Table22[[#This Row],[Continent]]))</f>
        <v>13</v>
      </c>
      <c r="J1713" s="64">
        <f>LEN(TRIM(Table22[[#This Row],[Product]]))</f>
        <v>10</v>
      </c>
      <c r="K1713" s="64">
        <f>LEN(TRIM(Table22[[#This Row],[Sales Team]]))</f>
        <v>10</v>
      </c>
      <c r="L1713" s="23">
        <v>5</v>
      </c>
      <c r="M1713" s="65" t="str" cm="1">
        <f t="array" ref="M1713">_xlfn.IFS(Table22[[#This Row],[Units Sold]]&lt;40,"Critical",Table22[[#This Row],[Units Sold]]&lt;=50,"Poor",Table22[[#This Row],[Units Sold]]&lt;=60,"Low",Table22[[#This Row],[Units Sold]]&lt;=80,"Average",Table22[[#This Row],[Units Sold]]&lt;=90,"High",Table22[[#This Row],[Units Sold]]&lt;=95,"Excellent",Table22[[#This Row],[Units Sold]]&gt;95,"Outstanding")</f>
        <v>Critical</v>
      </c>
      <c r="N1713" s="29">
        <v>1270.05</v>
      </c>
      <c r="O1713" s="29">
        <v>6350.25</v>
      </c>
      <c r="P1713" s="43">
        <f>IF(Table22[[#This Row],[Discount Applied]],Table22[[#This Row],[Total Sales (in USD)]]*(1-Table22[[#This Row],[Discount Percentage (%)]]/100),Table22[[#This Row],[Total Sales (in USD)]])</f>
        <v>5288.4881999999998</v>
      </c>
      <c r="Q1713" s="66">
        <f>SQRT(AVERAGE((Table22[[#This Row],[Net Sales (after discount) (in USD)]]-AVERAGE(Table22[Net Sales (after discount) (in USD)]))^2))</f>
        <v>31222.872363764538</v>
      </c>
      <c r="R1713" s="18" t="b">
        <v>1</v>
      </c>
      <c r="S1713" s="40">
        <v>16.72</v>
      </c>
      <c r="T1713" s="18" t="b">
        <v>1</v>
      </c>
      <c r="U1713" s="25">
        <v>45007</v>
      </c>
      <c r="V1713" s="63" t="str">
        <f>IF(MONTH(Table22[[#This Row],[Sales Date]])&lt;=3,"Q1",IF(MONTH(Table22[[#This Row],[Sales Date]])&lt;=6,"Q2",IF(MONTH(Table22[[#This Row],[Sales Date]])&lt;=9,"Q3","Q4")))</f>
        <v>Q1</v>
      </c>
      <c r="W1713" s="64">
        <f>YEAR(Table22[[#This Row],[Sales Date]])</f>
        <v>2023</v>
      </c>
      <c r="X1713" s="23">
        <v>47</v>
      </c>
      <c r="Y1713" s="18" t="s">
        <v>41</v>
      </c>
      <c r="Z1713" s="18" t="s">
        <v>56</v>
      </c>
      <c r="AA1713" s="19" t="s">
        <v>36</v>
      </c>
    </row>
    <row r="1714" spans="1:27" x14ac:dyDescent="0.25">
      <c r="A1714" s="17" t="s">
        <v>1210</v>
      </c>
      <c r="B1714" s="18" t="s">
        <v>38</v>
      </c>
      <c r="C1714" s="63" t="str" cm="1">
        <f t="array" ref="C1714">_xlfn.SWITCH(Table22[[#This Row],[Country]],"USA","North America","Canada","North America","Brazil","South America","China","Asia","Japan","Asia","India","Asia","France","Europe","Germany","Europe","UK","Europe","Australia","Oceania","South America")</f>
        <v>Europe</v>
      </c>
      <c r="D1714" s="18" t="s">
        <v>21</v>
      </c>
      <c r="E1714" s="18" t="s">
        <v>39</v>
      </c>
      <c r="F1714" s="18" t="s">
        <v>52</v>
      </c>
      <c r="G1714" s="18" t="s">
        <v>40</v>
      </c>
      <c r="H1714" s="64">
        <f>LEN(TRIM(Table22[[#This Row],[Country]]))</f>
        <v>6</v>
      </c>
      <c r="I1714" s="64">
        <f>LEN(TRIM(Table22[[#This Row],[Continent]]))</f>
        <v>6</v>
      </c>
      <c r="J1714" s="64">
        <f>LEN(TRIM(Table22[[#This Row],[Product]]))</f>
        <v>10</v>
      </c>
      <c r="K1714" s="64">
        <f>LEN(TRIM(Table22[[#This Row],[Sales Team]]))</f>
        <v>10</v>
      </c>
      <c r="L1714" s="23">
        <v>6</v>
      </c>
      <c r="M1714" s="65" t="str" cm="1">
        <f t="array" ref="M1714">_xlfn.IFS(Table22[[#This Row],[Units Sold]]&lt;40,"Critical",Table22[[#This Row],[Units Sold]]&lt;=50,"Poor",Table22[[#This Row],[Units Sold]]&lt;=60,"Low",Table22[[#This Row],[Units Sold]]&lt;=80,"Average",Table22[[#This Row],[Units Sold]]&lt;=90,"High",Table22[[#This Row],[Units Sold]]&lt;=95,"Excellent",Table22[[#This Row],[Units Sold]]&gt;95,"Outstanding")</f>
        <v>Critical</v>
      </c>
      <c r="N1714" s="29">
        <v>1056.08</v>
      </c>
      <c r="O1714" s="29">
        <v>6336.48</v>
      </c>
      <c r="P1714" s="43">
        <f>IF(Table22[[#This Row],[Discount Applied]],Table22[[#This Row],[Total Sales (in USD)]]*(1-Table22[[#This Row],[Discount Percentage (%)]]/100),Table22[[#This Row],[Total Sales (in USD)]])</f>
        <v>6336.48</v>
      </c>
      <c r="Q1714" s="66">
        <f>SQRT(AVERAGE((Table22[[#This Row],[Net Sales (after discount) (in USD)]]-AVERAGE(Table22[Net Sales (after discount) (in USD)]))^2))</f>
        <v>30174.880563764538</v>
      </c>
      <c r="R1714" s="18" t="b">
        <v>0</v>
      </c>
      <c r="S1714" s="40">
        <v>21.05</v>
      </c>
      <c r="T1714" s="18" t="b">
        <v>0</v>
      </c>
      <c r="U1714" s="25">
        <v>45565</v>
      </c>
      <c r="V1714" s="63" t="str">
        <f>IF(MONTH(Table22[[#This Row],[Sales Date]])&lt;=3,"Q1",IF(MONTH(Table22[[#This Row],[Sales Date]])&lt;=6,"Q2",IF(MONTH(Table22[[#This Row],[Sales Date]])&lt;=9,"Q3","Q4")))</f>
        <v>Q3</v>
      </c>
      <c r="W1714" s="64">
        <f>YEAR(Table22[[#This Row],[Sales Date]])</f>
        <v>2024</v>
      </c>
      <c r="X1714" s="23">
        <v>57</v>
      </c>
      <c r="Y1714" s="18" t="s">
        <v>49</v>
      </c>
      <c r="Z1714" s="18" t="s">
        <v>24</v>
      </c>
      <c r="AA1714" s="19" t="s">
        <v>25</v>
      </c>
    </row>
    <row r="1715" spans="1:27" x14ac:dyDescent="0.25">
      <c r="A1715" s="17" t="s">
        <v>905</v>
      </c>
      <c r="B1715" s="18" t="s">
        <v>62</v>
      </c>
      <c r="C1715" s="63" t="str" cm="1">
        <f t="array" ref="C1715">_xlfn.SWITCH(Table22[[#This Row],[Country]],"USA","North America","Canada","North America","Brazil","South America","China","Asia","Japan","Asia","India","Asia","France","Europe","Germany","Europe","UK","Europe","Australia","Oceania","South America")</f>
        <v>Oceania</v>
      </c>
      <c r="D1715" s="18" t="s">
        <v>21</v>
      </c>
      <c r="E1715" s="18" t="s">
        <v>39</v>
      </c>
      <c r="F1715" s="18" t="s">
        <v>52</v>
      </c>
      <c r="G1715" s="18" t="s">
        <v>48</v>
      </c>
      <c r="H1715" s="64">
        <f>LEN(TRIM(Table22[[#This Row],[Country]]))</f>
        <v>9</v>
      </c>
      <c r="I1715" s="64">
        <f>LEN(TRIM(Table22[[#This Row],[Continent]]))</f>
        <v>7</v>
      </c>
      <c r="J1715" s="64">
        <f>LEN(TRIM(Table22[[#This Row],[Product]]))</f>
        <v>10</v>
      </c>
      <c r="K1715" s="64">
        <f>LEN(TRIM(Table22[[#This Row],[Sales Team]]))</f>
        <v>9</v>
      </c>
      <c r="L1715" s="23">
        <v>17</v>
      </c>
      <c r="M1715" s="65" t="str" cm="1">
        <f t="array" ref="M1715">_xlfn.IFS(Table22[[#This Row],[Units Sold]]&lt;40,"Critical",Table22[[#This Row],[Units Sold]]&lt;=50,"Poor",Table22[[#This Row],[Units Sold]]&lt;=60,"Low",Table22[[#This Row],[Units Sold]]&lt;=80,"Average",Table22[[#This Row],[Units Sold]]&lt;=90,"High",Table22[[#This Row],[Units Sold]]&lt;=95,"Excellent",Table22[[#This Row],[Units Sold]]&gt;95,"Outstanding")</f>
        <v>Critical</v>
      </c>
      <c r="N1715" s="29">
        <v>370.56</v>
      </c>
      <c r="O1715" s="29">
        <v>6299.52</v>
      </c>
      <c r="P1715" s="43">
        <f>IF(Table22[[#This Row],[Discount Applied]],Table22[[#This Row],[Total Sales (in USD)]]*(1-Table22[[#This Row],[Discount Percentage (%)]]/100),Table22[[#This Row],[Total Sales (in USD)]])</f>
        <v>6299.52</v>
      </c>
      <c r="Q1715" s="66">
        <f>SQRT(AVERAGE((Table22[[#This Row],[Net Sales (after discount) (in USD)]]-AVERAGE(Table22[Net Sales (after discount) (in USD)]))^2))</f>
        <v>30211.840563764537</v>
      </c>
      <c r="R1715" s="18" t="b">
        <v>1</v>
      </c>
      <c r="S1715" s="40">
        <v>26.38</v>
      </c>
      <c r="T1715" s="18" t="b">
        <v>0</v>
      </c>
      <c r="U1715" s="25">
        <v>45532</v>
      </c>
      <c r="V1715" s="63" t="str">
        <f>IF(MONTH(Table22[[#This Row],[Sales Date]])&lt;=3,"Q1",IF(MONTH(Table22[[#This Row],[Sales Date]])&lt;=6,"Q2",IF(MONTH(Table22[[#This Row],[Sales Date]])&lt;=9,"Q3","Q4")))</f>
        <v>Q3</v>
      </c>
      <c r="W1715" s="64">
        <f>YEAR(Table22[[#This Row],[Sales Date]])</f>
        <v>2024</v>
      </c>
      <c r="X1715" s="23">
        <v>21</v>
      </c>
      <c r="Y1715" s="18" t="s">
        <v>49</v>
      </c>
      <c r="Z1715" s="18" t="s">
        <v>24</v>
      </c>
      <c r="AA1715" s="19" t="s">
        <v>25</v>
      </c>
    </row>
    <row r="1716" spans="1:27" x14ac:dyDescent="0.25">
      <c r="A1716" s="17" t="s">
        <v>719</v>
      </c>
      <c r="B1716" s="18" t="s">
        <v>38</v>
      </c>
      <c r="C1716" s="63" t="str" cm="1">
        <f t="array" ref="C1716">_xlfn.SWITCH(Table22[[#This Row],[Country]],"USA","North America","Canada","North America","Brazil","South America","China","Asia","Japan","Asia","India","Asia","France","Europe","Germany","Europe","UK","Europe","Australia","Oceania","South America")</f>
        <v>Europe</v>
      </c>
      <c r="D1716" s="18" t="s">
        <v>35</v>
      </c>
      <c r="E1716" s="18" t="s">
        <v>19</v>
      </c>
      <c r="F1716" s="18" t="s">
        <v>64</v>
      </c>
      <c r="G1716" s="18" t="s">
        <v>48</v>
      </c>
      <c r="H1716" s="64">
        <f>LEN(TRIM(Table22[[#This Row],[Country]]))</f>
        <v>6</v>
      </c>
      <c r="I1716" s="64">
        <f>LEN(TRIM(Table22[[#This Row],[Continent]]))</f>
        <v>6</v>
      </c>
      <c r="J1716" s="64">
        <f>LEN(TRIM(Table22[[#This Row],[Product]]))</f>
        <v>6</v>
      </c>
      <c r="K1716" s="64">
        <f>LEN(TRIM(Table22[[#This Row],[Sales Team]]))</f>
        <v>9</v>
      </c>
      <c r="L1716" s="23">
        <v>62</v>
      </c>
      <c r="M1716" s="65" t="str" cm="1">
        <f t="array" ref="M1716">_xlfn.IFS(Table22[[#This Row],[Units Sold]]&lt;40,"Critical",Table22[[#This Row],[Units Sold]]&lt;=50,"Poor",Table22[[#This Row],[Units Sold]]&lt;=60,"Low",Table22[[#This Row],[Units Sold]]&lt;=80,"Average",Table22[[#This Row],[Units Sold]]&lt;=90,"High",Table22[[#This Row],[Units Sold]]&lt;=95,"Excellent",Table22[[#This Row],[Units Sold]]&gt;95,"Outstanding")</f>
        <v>Average</v>
      </c>
      <c r="N1716" s="29">
        <v>101.59</v>
      </c>
      <c r="O1716" s="29">
        <v>6298.58</v>
      </c>
      <c r="P1716" s="43">
        <f>IF(Table22[[#This Row],[Discount Applied]],Table22[[#This Row],[Total Sales (in USD)]]*(1-Table22[[#This Row],[Discount Percentage (%)]]/100),Table22[[#This Row],[Total Sales (in USD)]])</f>
        <v>6214.8088859999998</v>
      </c>
      <c r="Q1716" s="66">
        <f>SQRT(AVERAGE((Table22[[#This Row],[Net Sales (after discount) (in USD)]]-AVERAGE(Table22[Net Sales (after discount) (in USD)]))^2))</f>
        <v>30296.551677764539</v>
      </c>
      <c r="R1716" s="18" t="b">
        <v>1</v>
      </c>
      <c r="S1716" s="40">
        <v>1.33</v>
      </c>
      <c r="T1716" s="18" t="b">
        <v>1</v>
      </c>
      <c r="U1716" s="25">
        <v>45514</v>
      </c>
      <c r="V1716" s="63" t="str">
        <f>IF(MONTH(Table22[[#This Row],[Sales Date]])&lt;=3,"Q1",IF(MONTH(Table22[[#This Row],[Sales Date]])&lt;=6,"Q2",IF(MONTH(Table22[[#This Row],[Sales Date]])&lt;=9,"Q3","Q4")))</f>
        <v>Q3</v>
      </c>
      <c r="W1716" s="64">
        <f>YEAR(Table22[[#This Row],[Sales Date]])</f>
        <v>2024</v>
      </c>
      <c r="X1716" s="23">
        <v>37</v>
      </c>
      <c r="Y1716" s="18" t="s">
        <v>23</v>
      </c>
      <c r="Z1716" s="18" t="s">
        <v>56</v>
      </c>
      <c r="AA1716" s="19" t="s">
        <v>36</v>
      </c>
    </row>
    <row r="1717" spans="1:27" x14ac:dyDescent="0.25">
      <c r="A1717" s="17" t="s">
        <v>971</v>
      </c>
      <c r="B1717" s="18" t="s">
        <v>38</v>
      </c>
      <c r="C1717" s="63" t="str" cm="1">
        <f t="array" ref="C1717">_xlfn.SWITCH(Table22[[#This Row],[Country]],"USA","North America","Canada","North America","Brazil","South America","China","Asia","Japan","Asia","India","Asia","France","Europe","Germany","Europe","UK","Europe","Australia","Oceania","South America")</f>
        <v>Europe</v>
      </c>
      <c r="D1717" s="18" t="s">
        <v>28</v>
      </c>
      <c r="E1717" s="18" t="s">
        <v>39</v>
      </c>
      <c r="F1717" s="18" t="s">
        <v>47</v>
      </c>
      <c r="G1717" s="18" t="s">
        <v>29</v>
      </c>
      <c r="H1717" s="64">
        <f>LEN(TRIM(Table22[[#This Row],[Country]]))</f>
        <v>6</v>
      </c>
      <c r="I1717" s="64">
        <f>LEN(TRIM(Table22[[#This Row],[Continent]]))</f>
        <v>6</v>
      </c>
      <c r="J1717" s="64">
        <f>LEN(TRIM(Table22[[#This Row],[Product]]))</f>
        <v>10</v>
      </c>
      <c r="K1717" s="64">
        <f>LEN(TRIM(Table22[[#This Row],[Sales Team]]))</f>
        <v>10</v>
      </c>
      <c r="L1717" s="23">
        <v>9</v>
      </c>
      <c r="M1717" s="65" t="str" cm="1">
        <f t="array" ref="M1717">_xlfn.IFS(Table22[[#This Row],[Units Sold]]&lt;40,"Critical",Table22[[#This Row],[Units Sold]]&lt;=50,"Poor",Table22[[#This Row],[Units Sold]]&lt;=60,"Low",Table22[[#This Row],[Units Sold]]&lt;=80,"Average",Table22[[#This Row],[Units Sold]]&lt;=90,"High",Table22[[#This Row],[Units Sold]]&lt;=95,"Excellent",Table22[[#This Row],[Units Sold]]&gt;95,"Outstanding")</f>
        <v>Critical</v>
      </c>
      <c r="N1717" s="29">
        <v>699.59</v>
      </c>
      <c r="O1717" s="29">
        <v>6296.31</v>
      </c>
      <c r="P1717" s="43">
        <f>IF(Table22[[#This Row],[Discount Applied]],Table22[[#This Row],[Total Sales (in USD)]]*(1-Table22[[#This Row],[Discount Percentage (%)]]/100),Table22[[#This Row],[Total Sales (in USD)]])</f>
        <v>6296.31</v>
      </c>
      <c r="Q1717" s="66">
        <f>SQRT(AVERAGE((Table22[[#This Row],[Net Sales (after discount) (in USD)]]-AVERAGE(Table22[Net Sales (after discount) (in USD)]))^2))</f>
        <v>30215.050563764536</v>
      </c>
      <c r="R1717" s="18" t="b">
        <v>1</v>
      </c>
      <c r="S1717" s="40">
        <v>3.46</v>
      </c>
      <c r="T1717" s="18" t="b">
        <v>0</v>
      </c>
      <c r="U1717" s="25">
        <v>45106</v>
      </c>
      <c r="V1717" s="63" t="str">
        <f>IF(MONTH(Table22[[#This Row],[Sales Date]])&lt;=3,"Q1",IF(MONTH(Table22[[#This Row],[Sales Date]])&lt;=6,"Q2",IF(MONTH(Table22[[#This Row],[Sales Date]])&lt;=9,"Q3","Q4")))</f>
        <v>Q2</v>
      </c>
      <c r="W1717" s="64">
        <f>YEAR(Table22[[#This Row],[Sales Date]])</f>
        <v>2023</v>
      </c>
      <c r="X1717" s="23">
        <v>62</v>
      </c>
      <c r="Y1717" s="18" t="s">
        <v>41</v>
      </c>
      <c r="Z1717" s="18" t="s">
        <v>24</v>
      </c>
      <c r="AA1717" s="19" t="s">
        <v>36</v>
      </c>
    </row>
    <row r="1718" spans="1:27" x14ac:dyDescent="0.25">
      <c r="A1718" s="17" t="s">
        <v>1429</v>
      </c>
      <c r="B1718" s="18" t="s">
        <v>38</v>
      </c>
      <c r="C1718" s="63" t="str" cm="1">
        <f t="array" ref="C1718">_xlfn.SWITCH(Table22[[#This Row],[Country]],"USA","North America","Canada","North America","Brazil","South America","China","Asia","Japan","Asia","India","Asia","France","Europe","Germany","Europe","UK","Europe","Australia","Oceania","South America")</f>
        <v>Europe</v>
      </c>
      <c r="D1718" s="18" t="s">
        <v>28</v>
      </c>
      <c r="E1718" s="18" t="s">
        <v>19</v>
      </c>
      <c r="F1718" s="18" t="s">
        <v>64</v>
      </c>
      <c r="G1718" s="18" t="s">
        <v>40</v>
      </c>
      <c r="H1718" s="64">
        <f>LEN(TRIM(Table22[[#This Row],[Country]]))</f>
        <v>6</v>
      </c>
      <c r="I1718" s="64">
        <f>LEN(TRIM(Table22[[#This Row],[Continent]]))</f>
        <v>6</v>
      </c>
      <c r="J1718" s="64">
        <f>LEN(TRIM(Table22[[#This Row],[Product]]))</f>
        <v>6</v>
      </c>
      <c r="K1718" s="64">
        <f>LEN(TRIM(Table22[[#This Row],[Sales Team]]))</f>
        <v>10</v>
      </c>
      <c r="L1718" s="23">
        <v>18</v>
      </c>
      <c r="M1718" s="65" t="str" cm="1">
        <f t="array" ref="M1718">_xlfn.IFS(Table22[[#This Row],[Units Sold]]&lt;40,"Critical",Table22[[#This Row],[Units Sold]]&lt;=50,"Poor",Table22[[#This Row],[Units Sold]]&lt;=60,"Low",Table22[[#This Row],[Units Sold]]&lt;=80,"Average",Table22[[#This Row],[Units Sold]]&lt;=90,"High",Table22[[#This Row],[Units Sold]]&lt;=95,"Excellent",Table22[[#This Row],[Units Sold]]&gt;95,"Outstanding")</f>
        <v>Critical</v>
      </c>
      <c r="N1718" s="29">
        <v>348.73</v>
      </c>
      <c r="O1718" s="29">
        <v>6277.14</v>
      </c>
      <c r="P1718" s="43">
        <f>IF(Table22[[#This Row],[Discount Applied]],Table22[[#This Row],[Total Sales (in USD)]]*(1-Table22[[#This Row],[Discount Percentage (%)]]/100),Table22[[#This Row],[Total Sales (in USD)]])</f>
        <v>5324.8978620000007</v>
      </c>
      <c r="Q1718" s="66">
        <f>SQRT(AVERAGE((Table22[[#This Row],[Net Sales (after discount) (in USD)]]-AVERAGE(Table22[Net Sales (after discount) (in USD)]))^2))</f>
        <v>31186.462701764536</v>
      </c>
      <c r="R1718" s="18" t="b">
        <v>1</v>
      </c>
      <c r="S1718" s="40">
        <v>15.17</v>
      </c>
      <c r="T1718" s="18" t="b">
        <v>1</v>
      </c>
      <c r="U1718" s="25">
        <v>45106</v>
      </c>
      <c r="V1718" s="63" t="str">
        <f>IF(MONTH(Table22[[#This Row],[Sales Date]])&lt;=3,"Q1",IF(MONTH(Table22[[#This Row],[Sales Date]])&lt;=6,"Q2",IF(MONTH(Table22[[#This Row],[Sales Date]])&lt;=9,"Q3","Q4")))</f>
        <v>Q2</v>
      </c>
      <c r="W1718" s="64">
        <f>YEAR(Table22[[#This Row],[Sales Date]])</f>
        <v>2023</v>
      </c>
      <c r="X1718" s="23">
        <v>63</v>
      </c>
      <c r="Y1718" s="18" t="s">
        <v>41</v>
      </c>
      <c r="Z1718" s="18" t="s">
        <v>56</v>
      </c>
      <c r="AA1718" s="19" t="s">
        <v>36</v>
      </c>
    </row>
    <row r="1719" spans="1:27" x14ac:dyDescent="0.25">
      <c r="A1719" s="17" t="s">
        <v>186</v>
      </c>
      <c r="B1719" s="18" t="s">
        <v>66</v>
      </c>
      <c r="C1719" s="63" t="str" cm="1">
        <f t="array" ref="C1719">_xlfn.SWITCH(Table22[[#This Row],[Country]],"USA","North America","Canada","North America","Brazil","South America","China","Asia","Japan","Asia","India","Asia","France","Europe","Germany","Europe","UK","Europe","Australia","Oceania","South America")</f>
        <v>North America</v>
      </c>
      <c r="D1719" s="18" t="s">
        <v>28</v>
      </c>
      <c r="E1719" s="18" t="s">
        <v>39</v>
      </c>
      <c r="F1719" s="18" t="s">
        <v>20</v>
      </c>
      <c r="G1719" s="18" t="s">
        <v>48</v>
      </c>
      <c r="H1719" s="64">
        <f>LEN(TRIM(Table22[[#This Row],[Country]]))</f>
        <v>6</v>
      </c>
      <c r="I1719" s="64">
        <f>LEN(TRIM(Table22[[#This Row],[Continent]]))</f>
        <v>13</v>
      </c>
      <c r="J1719" s="64">
        <f>LEN(TRIM(Table22[[#This Row],[Product]]))</f>
        <v>10</v>
      </c>
      <c r="K1719" s="64">
        <f>LEN(TRIM(Table22[[#This Row],[Sales Team]]))</f>
        <v>9</v>
      </c>
      <c r="L1719" s="23">
        <v>38</v>
      </c>
      <c r="M1719" s="65" t="str" cm="1">
        <f t="array" ref="M1719">_xlfn.IFS(Table22[[#This Row],[Units Sold]]&lt;40,"Critical",Table22[[#This Row],[Units Sold]]&lt;=50,"Poor",Table22[[#This Row],[Units Sold]]&lt;=60,"Low",Table22[[#This Row],[Units Sold]]&lt;=80,"Average",Table22[[#This Row],[Units Sold]]&lt;=90,"High",Table22[[#This Row],[Units Sold]]&lt;=95,"Excellent",Table22[[#This Row],[Units Sold]]&gt;95,"Outstanding")</f>
        <v>Critical</v>
      </c>
      <c r="N1719" s="29">
        <v>164.52</v>
      </c>
      <c r="O1719" s="29">
        <v>6251.76</v>
      </c>
      <c r="P1719" s="43">
        <f>IF(Table22[[#This Row],[Discount Applied]],Table22[[#This Row],[Total Sales (in USD)]]*(1-Table22[[#This Row],[Discount Percentage (%)]]/100),Table22[[#This Row],[Total Sales (in USD)]])</f>
        <v>6251.76</v>
      </c>
      <c r="Q1719" s="66">
        <f>SQRT(AVERAGE((Table22[[#This Row],[Net Sales (after discount) (in USD)]]-AVERAGE(Table22[Net Sales (after discount) (in USD)]))^2))</f>
        <v>30259.600563764536</v>
      </c>
      <c r="R1719" s="18" t="b">
        <v>0</v>
      </c>
      <c r="S1719" s="40">
        <v>15.09</v>
      </c>
      <c r="T1719" s="18" t="b">
        <v>0</v>
      </c>
      <c r="U1719" s="25">
        <v>45179</v>
      </c>
      <c r="V1719" s="63" t="str">
        <f>IF(MONTH(Table22[[#This Row],[Sales Date]])&lt;=3,"Q1",IF(MONTH(Table22[[#This Row],[Sales Date]])&lt;=6,"Q2",IF(MONTH(Table22[[#This Row],[Sales Date]])&lt;=9,"Q3","Q4")))</f>
        <v>Q3</v>
      </c>
      <c r="W1719" s="64">
        <f>YEAR(Table22[[#This Row],[Sales Date]])</f>
        <v>2023</v>
      </c>
      <c r="X1719" s="23">
        <v>31</v>
      </c>
      <c r="Y1719" s="18" t="s">
        <v>41</v>
      </c>
      <c r="Z1719" s="18" t="s">
        <v>30</v>
      </c>
      <c r="AA1719" s="19" t="s">
        <v>36</v>
      </c>
    </row>
    <row r="1720" spans="1:27" x14ac:dyDescent="0.25">
      <c r="A1720" s="17" t="s">
        <v>200</v>
      </c>
      <c r="B1720" s="18" t="s">
        <v>27</v>
      </c>
      <c r="C1720" s="63" t="str" cm="1">
        <f t="array" ref="C1720">_xlfn.SWITCH(Table22[[#This Row],[Country]],"USA","North America","Canada","North America","Brazil","South America","China","Asia","Japan","Asia","India","Asia","France","Europe","Germany","Europe","UK","Europe","Australia","Oceania","South America")</f>
        <v>Europe</v>
      </c>
      <c r="D1720" s="18" t="s">
        <v>21</v>
      </c>
      <c r="E1720" s="18" t="s">
        <v>19</v>
      </c>
      <c r="F1720" s="18" t="s">
        <v>47</v>
      </c>
      <c r="G1720" s="18" t="s">
        <v>22</v>
      </c>
      <c r="H1720" s="64">
        <f>LEN(TRIM(Table22[[#This Row],[Country]]))</f>
        <v>7</v>
      </c>
      <c r="I1720" s="64">
        <f>LEN(TRIM(Table22[[#This Row],[Continent]]))</f>
        <v>6</v>
      </c>
      <c r="J1720" s="64">
        <f>LEN(TRIM(Table22[[#This Row],[Product]]))</f>
        <v>6</v>
      </c>
      <c r="K1720" s="64">
        <f>LEN(TRIM(Table22[[#This Row],[Sales Team]]))</f>
        <v>10</v>
      </c>
      <c r="L1720" s="23">
        <v>71</v>
      </c>
      <c r="M1720" s="65" t="str" cm="1">
        <f t="array" ref="M1720">_xlfn.IFS(Table22[[#This Row],[Units Sold]]&lt;40,"Critical",Table22[[#This Row],[Units Sold]]&lt;=50,"Poor",Table22[[#This Row],[Units Sold]]&lt;=60,"Low",Table22[[#This Row],[Units Sold]]&lt;=80,"Average",Table22[[#This Row],[Units Sold]]&lt;=90,"High",Table22[[#This Row],[Units Sold]]&lt;=95,"Excellent",Table22[[#This Row],[Units Sold]]&gt;95,"Outstanding")</f>
        <v>Average</v>
      </c>
      <c r="N1720" s="29">
        <v>87.93</v>
      </c>
      <c r="O1720" s="29">
        <v>6243.03</v>
      </c>
      <c r="P1720" s="43">
        <f>IF(Table22[[#This Row],[Discount Applied]],Table22[[#This Row],[Total Sales (in USD)]]*(1-Table22[[#This Row],[Discount Percentage (%)]]/100),Table22[[#This Row],[Total Sales (in USD)]])</f>
        <v>5847.2218979999998</v>
      </c>
      <c r="Q1720" s="66">
        <f>SQRT(AVERAGE((Table22[[#This Row],[Net Sales (after discount) (in USD)]]-AVERAGE(Table22[Net Sales (after discount) (in USD)]))^2))</f>
        <v>30664.138665764538</v>
      </c>
      <c r="R1720" s="18" t="b">
        <v>1</v>
      </c>
      <c r="S1720" s="40">
        <v>6.34</v>
      </c>
      <c r="T1720" s="18" t="b">
        <v>1</v>
      </c>
      <c r="U1720" s="25">
        <v>45087</v>
      </c>
      <c r="V1720" s="63" t="str">
        <f>IF(MONTH(Table22[[#This Row],[Sales Date]])&lt;=3,"Q1",IF(MONTH(Table22[[#This Row],[Sales Date]])&lt;=6,"Q2",IF(MONTH(Table22[[#This Row],[Sales Date]])&lt;=9,"Q3","Q4")))</f>
        <v>Q2</v>
      </c>
      <c r="W1720" s="64">
        <f>YEAR(Table22[[#This Row],[Sales Date]])</f>
        <v>2023</v>
      </c>
      <c r="X1720" s="23">
        <v>34</v>
      </c>
      <c r="Y1720" s="18" t="s">
        <v>23</v>
      </c>
      <c r="Z1720" s="18" t="s">
        <v>24</v>
      </c>
      <c r="AA1720" s="19" t="s">
        <v>25</v>
      </c>
    </row>
    <row r="1721" spans="1:27" x14ac:dyDescent="0.25">
      <c r="A1721" s="17" t="s">
        <v>638</v>
      </c>
      <c r="B1721" s="18" t="s">
        <v>46</v>
      </c>
      <c r="C1721" s="63" t="str" cm="1">
        <f t="array" ref="C1721">_xlfn.SWITCH(Table22[[#This Row],[Country]],"USA","North America","Canada","North America","Brazil","South America","China","Asia","Japan","Asia","India","Asia","France","Europe","Germany","Europe","UK","Europe","Australia","Oceania","South America")</f>
        <v>South America</v>
      </c>
      <c r="D1721" s="18" t="s">
        <v>35</v>
      </c>
      <c r="E1721" s="18" t="s">
        <v>19</v>
      </c>
      <c r="F1721" s="18" t="s">
        <v>64</v>
      </c>
      <c r="G1721" s="18" t="s">
        <v>22</v>
      </c>
      <c r="H1721" s="64">
        <f>LEN(TRIM(Table22[[#This Row],[Country]]))</f>
        <v>6</v>
      </c>
      <c r="I1721" s="64">
        <f>LEN(TRIM(Table22[[#This Row],[Continent]]))</f>
        <v>13</v>
      </c>
      <c r="J1721" s="64">
        <f>LEN(TRIM(Table22[[#This Row],[Product]]))</f>
        <v>6</v>
      </c>
      <c r="K1721" s="64">
        <f>LEN(TRIM(Table22[[#This Row],[Sales Team]]))</f>
        <v>10</v>
      </c>
      <c r="L1721" s="23">
        <v>11</v>
      </c>
      <c r="M1721" s="65" t="str" cm="1">
        <f t="array" ref="M1721">_xlfn.IFS(Table22[[#This Row],[Units Sold]]&lt;40,"Critical",Table22[[#This Row],[Units Sold]]&lt;=50,"Poor",Table22[[#This Row],[Units Sold]]&lt;=60,"Low",Table22[[#This Row],[Units Sold]]&lt;=80,"Average",Table22[[#This Row],[Units Sold]]&lt;=90,"High",Table22[[#This Row],[Units Sold]]&lt;=95,"Excellent",Table22[[#This Row],[Units Sold]]&gt;95,"Outstanding")</f>
        <v>Critical</v>
      </c>
      <c r="N1721" s="29">
        <v>566.73</v>
      </c>
      <c r="O1721" s="29">
        <v>6234.03</v>
      </c>
      <c r="P1721" s="43">
        <f>IF(Table22[[#This Row],[Discount Applied]],Table22[[#This Row],[Total Sales (in USD)]]*(1-Table22[[#This Row],[Discount Percentage (%)]]/100),Table22[[#This Row],[Total Sales (in USD)]])</f>
        <v>6234.03</v>
      </c>
      <c r="Q1721" s="66">
        <f>SQRT(AVERAGE((Table22[[#This Row],[Net Sales (after discount) (in USD)]]-AVERAGE(Table22[Net Sales (after discount) (in USD)]))^2))</f>
        <v>30277.330563764539</v>
      </c>
      <c r="R1721" s="18" t="b">
        <v>1</v>
      </c>
      <c r="S1721" s="40">
        <v>1.84</v>
      </c>
      <c r="T1721" s="18" t="b">
        <v>0</v>
      </c>
      <c r="U1721" s="25">
        <v>45274</v>
      </c>
      <c r="V1721" s="63" t="str">
        <f>IF(MONTH(Table22[[#This Row],[Sales Date]])&lt;=3,"Q1",IF(MONTH(Table22[[#This Row],[Sales Date]])&lt;=6,"Q2",IF(MONTH(Table22[[#This Row],[Sales Date]])&lt;=9,"Q3","Q4")))</f>
        <v>Q4</v>
      </c>
      <c r="W1721" s="64">
        <f>YEAR(Table22[[#This Row],[Sales Date]])</f>
        <v>2023</v>
      </c>
      <c r="X1721" s="23">
        <v>44</v>
      </c>
      <c r="Y1721" s="18" t="s">
        <v>41</v>
      </c>
      <c r="Z1721" s="18" t="s">
        <v>30</v>
      </c>
      <c r="AA1721" s="19" t="s">
        <v>25</v>
      </c>
    </row>
    <row r="1722" spans="1:27" x14ac:dyDescent="0.25">
      <c r="A1722" s="17" t="s">
        <v>199</v>
      </c>
      <c r="B1722" s="18" t="s">
        <v>76</v>
      </c>
      <c r="C1722" s="63" t="str" cm="1">
        <f t="array" ref="C1722">_xlfn.SWITCH(Table22[[#This Row],[Country]],"USA","North America","Canada","North America","Brazil","South America","China","Asia","Japan","Asia","India","Asia","France","Europe","Germany","Europe","UK","Europe","Australia","Oceania","South America")</f>
        <v>Asia</v>
      </c>
      <c r="D1722" s="18" t="s">
        <v>35</v>
      </c>
      <c r="E1722" s="18" t="s">
        <v>33</v>
      </c>
      <c r="F1722" s="18" t="s">
        <v>64</v>
      </c>
      <c r="G1722" s="18" t="s">
        <v>29</v>
      </c>
      <c r="H1722" s="64">
        <f>LEN(TRIM(Table22[[#This Row],[Country]]))</f>
        <v>5</v>
      </c>
      <c r="I1722" s="64">
        <f>LEN(TRIM(Table22[[#This Row],[Continent]]))</f>
        <v>4</v>
      </c>
      <c r="J1722" s="64">
        <f>LEN(TRIM(Table22[[#This Row],[Product]]))</f>
        <v>10</v>
      </c>
      <c r="K1722" s="64">
        <f>LEN(TRIM(Table22[[#This Row],[Sales Team]]))</f>
        <v>10</v>
      </c>
      <c r="L1722" s="23">
        <v>26</v>
      </c>
      <c r="M1722" s="65" t="str" cm="1">
        <f t="array" ref="M1722">_xlfn.IFS(Table22[[#This Row],[Units Sold]]&lt;40,"Critical",Table22[[#This Row],[Units Sold]]&lt;=50,"Poor",Table22[[#This Row],[Units Sold]]&lt;=60,"Low",Table22[[#This Row],[Units Sold]]&lt;=80,"Average",Table22[[#This Row],[Units Sold]]&lt;=90,"High",Table22[[#This Row],[Units Sold]]&lt;=95,"Excellent",Table22[[#This Row],[Units Sold]]&gt;95,"Outstanding")</f>
        <v>Critical</v>
      </c>
      <c r="N1722" s="29">
        <v>236.35</v>
      </c>
      <c r="O1722" s="29">
        <v>6145.1</v>
      </c>
      <c r="P1722" s="43">
        <f>IF(Table22[[#This Row],[Discount Applied]],Table22[[#This Row],[Total Sales (in USD)]]*(1-Table22[[#This Row],[Discount Percentage (%)]]/100),Table22[[#This Row],[Total Sales (in USD)]])</f>
        <v>4434.91867</v>
      </c>
      <c r="Q1722" s="66">
        <f>SQRT(AVERAGE((Table22[[#This Row],[Net Sales (after discount) (in USD)]]-AVERAGE(Table22[Net Sales (after discount) (in USD)]))^2))</f>
        <v>32076.441893764539</v>
      </c>
      <c r="R1722" s="18" t="b">
        <v>0</v>
      </c>
      <c r="S1722" s="40">
        <v>27.83</v>
      </c>
      <c r="T1722" s="18" t="b">
        <v>1</v>
      </c>
      <c r="U1722" s="25">
        <v>45087</v>
      </c>
      <c r="V1722" s="63" t="str">
        <f>IF(MONTH(Table22[[#This Row],[Sales Date]])&lt;=3,"Q1",IF(MONTH(Table22[[#This Row],[Sales Date]])&lt;=6,"Q2",IF(MONTH(Table22[[#This Row],[Sales Date]])&lt;=9,"Q3","Q4")))</f>
        <v>Q2</v>
      </c>
      <c r="W1722" s="64">
        <f>YEAR(Table22[[#This Row],[Sales Date]])</f>
        <v>2023</v>
      </c>
      <c r="X1722" s="23">
        <v>48</v>
      </c>
      <c r="Y1722" s="18" t="s">
        <v>41</v>
      </c>
      <c r="Z1722" s="18" t="s">
        <v>42</v>
      </c>
      <c r="AA1722" s="19" t="s">
        <v>36</v>
      </c>
    </row>
    <row r="1723" spans="1:27" x14ac:dyDescent="0.25">
      <c r="A1723" s="17" t="s">
        <v>1142</v>
      </c>
      <c r="B1723" s="18" t="s">
        <v>66</v>
      </c>
      <c r="C1723" s="63" t="str" cm="1">
        <f t="array" ref="C1723">_xlfn.SWITCH(Table22[[#This Row],[Country]],"USA","North America","Canada","North America","Brazil","South America","China","Asia","Japan","Asia","India","Asia","France","Europe","Germany","Europe","UK","Europe","Australia","Oceania","South America")</f>
        <v>North America</v>
      </c>
      <c r="D1723" s="18" t="s">
        <v>21</v>
      </c>
      <c r="E1723" s="18" t="s">
        <v>19</v>
      </c>
      <c r="F1723" s="18" t="s">
        <v>64</v>
      </c>
      <c r="G1723" s="18" t="s">
        <v>22</v>
      </c>
      <c r="H1723" s="64">
        <f>LEN(TRIM(Table22[[#This Row],[Country]]))</f>
        <v>6</v>
      </c>
      <c r="I1723" s="64">
        <f>LEN(TRIM(Table22[[#This Row],[Continent]]))</f>
        <v>13</v>
      </c>
      <c r="J1723" s="64">
        <f>LEN(TRIM(Table22[[#This Row],[Product]]))</f>
        <v>6</v>
      </c>
      <c r="K1723" s="64">
        <f>LEN(TRIM(Table22[[#This Row],[Sales Team]]))</f>
        <v>10</v>
      </c>
      <c r="L1723" s="23">
        <v>29</v>
      </c>
      <c r="M1723" s="65" t="str" cm="1">
        <f t="array" ref="M1723">_xlfn.IFS(Table22[[#This Row],[Units Sold]]&lt;40,"Critical",Table22[[#This Row],[Units Sold]]&lt;=50,"Poor",Table22[[#This Row],[Units Sold]]&lt;=60,"Low",Table22[[#This Row],[Units Sold]]&lt;=80,"Average",Table22[[#This Row],[Units Sold]]&lt;=90,"High",Table22[[#This Row],[Units Sold]]&lt;=95,"Excellent",Table22[[#This Row],[Units Sold]]&gt;95,"Outstanding")</f>
        <v>Critical</v>
      </c>
      <c r="N1723" s="29">
        <v>211.79</v>
      </c>
      <c r="O1723" s="29">
        <v>6141.91</v>
      </c>
      <c r="P1723" s="43">
        <f>IF(Table22[[#This Row],[Discount Applied]],Table22[[#This Row],[Total Sales (in USD)]]*(1-Table22[[#This Row],[Discount Percentage (%)]]/100),Table22[[#This Row],[Total Sales (in USD)]])</f>
        <v>6141.91</v>
      </c>
      <c r="Q1723" s="66">
        <f>SQRT(AVERAGE((Table22[[#This Row],[Net Sales (after discount) (in USD)]]-AVERAGE(Table22[Net Sales (after discount) (in USD)]))^2))</f>
        <v>30369.450563764538</v>
      </c>
      <c r="R1723" s="18" t="b">
        <v>1</v>
      </c>
      <c r="S1723" s="40">
        <v>19.579999999999998</v>
      </c>
      <c r="T1723" s="18" t="b">
        <v>0</v>
      </c>
      <c r="U1723" s="25">
        <v>44949</v>
      </c>
      <c r="V1723" s="63" t="str">
        <f>IF(MONTH(Table22[[#This Row],[Sales Date]])&lt;=3,"Q1",IF(MONTH(Table22[[#This Row],[Sales Date]])&lt;=6,"Q2",IF(MONTH(Table22[[#This Row],[Sales Date]])&lt;=9,"Q3","Q4")))</f>
        <v>Q1</v>
      </c>
      <c r="W1723" s="64">
        <f>YEAR(Table22[[#This Row],[Sales Date]])</f>
        <v>2023</v>
      </c>
      <c r="X1723" s="23">
        <v>40</v>
      </c>
      <c r="Y1723" s="18" t="s">
        <v>41</v>
      </c>
      <c r="Z1723" s="18" t="s">
        <v>30</v>
      </c>
      <c r="AA1723" s="19" t="s">
        <v>36</v>
      </c>
    </row>
    <row r="1724" spans="1:27" x14ac:dyDescent="0.25">
      <c r="A1724" s="17" t="s">
        <v>450</v>
      </c>
      <c r="B1724" s="18" t="s">
        <v>76</v>
      </c>
      <c r="C1724" s="63" t="str" cm="1">
        <f t="array" ref="C1724">_xlfn.SWITCH(Table22[[#This Row],[Country]],"USA","North America","Canada","North America","Brazil","South America","China","Asia","Japan","Asia","India","Asia","France","Europe","Germany","Europe","UK","Europe","Australia","Oceania","South America")</f>
        <v>Asia</v>
      </c>
      <c r="D1724" s="18" t="s">
        <v>21</v>
      </c>
      <c r="E1724" s="18" t="s">
        <v>19</v>
      </c>
      <c r="F1724" s="18" t="s">
        <v>52</v>
      </c>
      <c r="G1724" s="18" t="s">
        <v>48</v>
      </c>
      <c r="H1724" s="64">
        <f>LEN(TRIM(Table22[[#This Row],[Country]]))</f>
        <v>5</v>
      </c>
      <c r="I1724" s="64">
        <f>LEN(TRIM(Table22[[#This Row],[Continent]]))</f>
        <v>4</v>
      </c>
      <c r="J1724" s="64">
        <f>LEN(TRIM(Table22[[#This Row],[Product]]))</f>
        <v>6</v>
      </c>
      <c r="K1724" s="64">
        <f>LEN(TRIM(Table22[[#This Row],[Sales Team]]))</f>
        <v>9</v>
      </c>
      <c r="L1724" s="23">
        <v>30</v>
      </c>
      <c r="M1724" s="65" t="str" cm="1">
        <f t="array" ref="M1724">_xlfn.IFS(Table22[[#This Row],[Units Sold]]&lt;40,"Critical",Table22[[#This Row],[Units Sold]]&lt;=50,"Poor",Table22[[#This Row],[Units Sold]]&lt;=60,"Low",Table22[[#This Row],[Units Sold]]&lt;=80,"Average",Table22[[#This Row],[Units Sold]]&lt;=90,"High",Table22[[#This Row],[Units Sold]]&lt;=95,"Excellent",Table22[[#This Row],[Units Sold]]&gt;95,"Outstanding")</f>
        <v>Critical</v>
      </c>
      <c r="N1724" s="29">
        <v>203.88</v>
      </c>
      <c r="O1724" s="29">
        <v>6116.4</v>
      </c>
      <c r="P1724" s="43">
        <f>IF(Table22[[#This Row],[Discount Applied]],Table22[[#This Row],[Total Sales (in USD)]]*(1-Table22[[#This Row],[Discount Percentage (%)]]/100),Table22[[#This Row],[Total Sales (in USD)]])</f>
        <v>6116.4</v>
      </c>
      <c r="Q1724" s="66">
        <f>SQRT(AVERAGE((Table22[[#This Row],[Net Sales (after discount) (in USD)]]-AVERAGE(Table22[Net Sales (after discount) (in USD)]))^2))</f>
        <v>30394.960563764536</v>
      </c>
      <c r="R1724" s="18" t="b">
        <v>1</v>
      </c>
      <c r="S1724" s="40">
        <v>9.77</v>
      </c>
      <c r="T1724" s="18" t="b">
        <v>0</v>
      </c>
      <c r="U1724" s="25">
        <v>45110</v>
      </c>
      <c r="V1724" s="63" t="str">
        <f>IF(MONTH(Table22[[#This Row],[Sales Date]])&lt;=3,"Q1",IF(MONTH(Table22[[#This Row],[Sales Date]])&lt;=6,"Q2",IF(MONTH(Table22[[#This Row],[Sales Date]])&lt;=9,"Q3","Q4")))</f>
        <v>Q3</v>
      </c>
      <c r="W1724" s="64">
        <f>YEAR(Table22[[#This Row],[Sales Date]])</f>
        <v>2023</v>
      </c>
      <c r="X1724" s="23">
        <v>42</v>
      </c>
      <c r="Y1724" s="18" t="s">
        <v>23</v>
      </c>
      <c r="Z1724" s="18" t="s">
        <v>56</v>
      </c>
      <c r="AA1724" s="19" t="s">
        <v>25</v>
      </c>
    </row>
    <row r="1725" spans="1:27" x14ac:dyDescent="0.25">
      <c r="A1725" s="17" t="s">
        <v>1768</v>
      </c>
      <c r="B1725" s="18" t="s">
        <v>72</v>
      </c>
      <c r="C1725" s="63" t="str" cm="1">
        <f t="array" ref="C1725">_xlfn.SWITCH(Table22[[#This Row],[Country]],"USA","North America","Canada","North America","Brazil","South America","China","Asia","Japan","Asia","India","Asia","France","Europe","Germany","Europe","UK","Europe","Australia","Oceania","South America")</f>
        <v>North America</v>
      </c>
      <c r="D1725" s="18" t="s">
        <v>35</v>
      </c>
      <c r="E1725" s="18" t="s">
        <v>33</v>
      </c>
      <c r="F1725" s="18" t="s">
        <v>20</v>
      </c>
      <c r="G1725" s="18" t="s">
        <v>40</v>
      </c>
      <c r="H1725" s="64">
        <f>LEN(TRIM(Table22[[#This Row],[Country]]))</f>
        <v>3</v>
      </c>
      <c r="I1725" s="64">
        <f>LEN(TRIM(Table22[[#This Row],[Continent]]))</f>
        <v>13</v>
      </c>
      <c r="J1725" s="64">
        <f>LEN(TRIM(Table22[[#This Row],[Product]]))</f>
        <v>10</v>
      </c>
      <c r="K1725" s="64">
        <f>LEN(TRIM(Table22[[#This Row],[Sales Team]]))</f>
        <v>10</v>
      </c>
      <c r="L1725" s="23">
        <v>16</v>
      </c>
      <c r="M1725" s="65" t="str" cm="1">
        <f t="array" ref="M1725">_xlfn.IFS(Table22[[#This Row],[Units Sold]]&lt;40,"Critical",Table22[[#This Row],[Units Sold]]&lt;=50,"Poor",Table22[[#This Row],[Units Sold]]&lt;=60,"Low",Table22[[#This Row],[Units Sold]]&lt;=80,"Average",Table22[[#This Row],[Units Sold]]&lt;=90,"High",Table22[[#This Row],[Units Sold]]&lt;=95,"Excellent",Table22[[#This Row],[Units Sold]]&gt;95,"Outstanding")</f>
        <v>Critical</v>
      </c>
      <c r="N1725" s="29">
        <v>377.26</v>
      </c>
      <c r="O1725" s="29">
        <v>6036.16</v>
      </c>
      <c r="P1725" s="43">
        <f>IF(Table22[[#This Row],[Discount Applied]],Table22[[#This Row],[Total Sales (in USD)]]*(1-Table22[[#This Row],[Discount Percentage (%)]]/100),Table22[[#This Row],[Total Sales (in USD)]])</f>
        <v>5128.3215360000004</v>
      </c>
      <c r="Q1725" s="66">
        <f>SQRT(AVERAGE((Table22[[#This Row],[Net Sales (after discount) (in USD)]]-AVERAGE(Table22[Net Sales (after discount) (in USD)]))^2))</f>
        <v>31383.039027764538</v>
      </c>
      <c r="R1725" s="18" t="b">
        <v>0</v>
      </c>
      <c r="S1725" s="40">
        <v>15.04</v>
      </c>
      <c r="T1725" s="18" t="b">
        <v>1</v>
      </c>
      <c r="U1725" s="25">
        <v>45133</v>
      </c>
      <c r="V1725" s="63" t="str">
        <f>IF(MONTH(Table22[[#This Row],[Sales Date]])&lt;=3,"Q1",IF(MONTH(Table22[[#This Row],[Sales Date]])&lt;=6,"Q2",IF(MONTH(Table22[[#This Row],[Sales Date]])&lt;=9,"Q3","Q4")))</f>
        <v>Q3</v>
      </c>
      <c r="W1725" s="64">
        <f>YEAR(Table22[[#This Row],[Sales Date]])</f>
        <v>2023</v>
      </c>
      <c r="X1725" s="23">
        <v>55</v>
      </c>
      <c r="Y1725" s="18" t="s">
        <v>41</v>
      </c>
      <c r="Z1725" s="18" t="s">
        <v>30</v>
      </c>
      <c r="AA1725" s="19" t="s">
        <v>36</v>
      </c>
    </row>
    <row r="1726" spans="1:27" x14ac:dyDescent="0.25">
      <c r="A1726" s="17" t="s">
        <v>2012</v>
      </c>
      <c r="B1726" s="18" t="s">
        <v>72</v>
      </c>
      <c r="C1726" s="63" t="str" cm="1">
        <f t="array" ref="C1726">_xlfn.SWITCH(Table22[[#This Row],[Country]],"USA","North America","Canada","North America","Brazil","South America","China","Asia","Japan","Asia","India","Asia","France","Europe","Germany","Europe","UK","Europe","Australia","Oceania","South America")</f>
        <v>North America</v>
      </c>
      <c r="D1726" s="18" t="s">
        <v>44</v>
      </c>
      <c r="E1726" s="18" t="s">
        <v>39</v>
      </c>
      <c r="F1726" s="18" t="s">
        <v>20</v>
      </c>
      <c r="G1726" s="18" t="s">
        <v>22</v>
      </c>
      <c r="H1726" s="64">
        <f>LEN(TRIM(Table22[[#This Row],[Country]]))</f>
        <v>3</v>
      </c>
      <c r="I1726" s="64">
        <f>LEN(TRIM(Table22[[#This Row],[Continent]]))</f>
        <v>13</v>
      </c>
      <c r="J1726" s="64">
        <f>LEN(TRIM(Table22[[#This Row],[Product]]))</f>
        <v>10</v>
      </c>
      <c r="K1726" s="64">
        <f>LEN(TRIM(Table22[[#This Row],[Sales Team]]))</f>
        <v>10</v>
      </c>
      <c r="L1726" s="23">
        <v>60</v>
      </c>
      <c r="M1726" s="65" t="str" cm="1">
        <f t="array" ref="M1726">_xlfn.IFS(Table22[[#This Row],[Units Sold]]&lt;40,"Critical",Table22[[#This Row],[Units Sold]]&lt;=50,"Poor",Table22[[#This Row],[Units Sold]]&lt;=60,"Low",Table22[[#This Row],[Units Sold]]&lt;=80,"Average",Table22[[#This Row],[Units Sold]]&lt;=90,"High",Table22[[#This Row],[Units Sold]]&lt;=95,"Excellent",Table22[[#This Row],[Units Sold]]&gt;95,"Outstanding")</f>
        <v>Low</v>
      </c>
      <c r="N1726" s="29">
        <v>100.58</v>
      </c>
      <c r="O1726" s="29">
        <v>6034.8</v>
      </c>
      <c r="P1726" s="43">
        <f>IF(Table22[[#This Row],[Discount Applied]],Table22[[#This Row],[Total Sales (in USD)]]*(1-Table22[[#This Row],[Discount Percentage (%)]]/100),Table22[[#This Row],[Total Sales (in USD)]])</f>
        <v>4936.4664000000002</v>
      </c>
      <c r="Q1726" s="66">
        <f>SQRT(AVERAGE((Table22[[#This Row],[Net Sales (after discount) (in USD)]]-AVERAGE(Table22[Net Sales (after discount) (in USD)]))^2))</f>
        <v>31574.894163764537</v>
      </c>
      <c r="R1726" s="18" t="b">
        <v>0</v>
      </c>
      <c r="S1726" s="40">
        <v>18.2</v>
      </c>
      <c r="T1726" s="18" t="b">
        <v>1</v>
      </c>
      <c r="U1726" s="25">
        <v>45001</v>
      </c>
      <c r="V1726" s="63" t="str">
        <f>IF(MONTH(Table22[[#This Row],[Sales Date]])&lt;=3,"Q1",IF(MONTH(Table22[[#This Row],[Sales Date]])&lt;=6,"Q2",IF(MONTH(Table22[[#This Row],[Sales Date]])&lt;=9,"Q3","Q4")))</f>
        <v>Q1</v>
      </c>
      <c r="W1726" s="64">
        <f>YEAR(Table22[[#This Row],[Sales Date]])</f>
        <v>2023</v>
      </c>
      <c r="X1726" s="23">
        <v>20</v>
      </c>
      <c r="Y1726" s="18" t="s">
        <v>41</v>
      </c>
      <c r="Z1726" s="18" t="s">
        <v>24</v>
      </c>
      <c r="AA1726" s="19" t="s">
        <v>25</v>
      </c>
    </row>
    <row r="1727" spans="1:27" x14ac:dyDescent="0.25">
      <c r="A1727" s="17" t="s">
        <v>511</v>
      </c>
      <c r="B1727" s="18" t="s">
        <v>51</v>
      </c>
      <c r="C1727" s="63" t="str" cm="1">
        <f t="array" ref="C1727">_xlfn.SWITCH(Table22[[#This Row],[Country]],"USA","North America","Canada","North America","Brazil","South America","China","Asia","Japan","Asia","India","Asia","France","Europe","Germany","Europe","UK","Europe","Australia","Oceania","South America")</f>
        <v>Europe</v>
      </c>
      <c r="D1727" s="18" t="s">
        <v>35</v>
      </c>
      <c r="E1727" s="18" t="s">
        <v>19</v>
      </c>
      <c r="F1727" s="18" t="s">
        <v>64</v>
      </c>
      <c r="G1727" s="18" t="s">
        <v>22</v>
      </c>
      <c r="H1727" s="64">
        <f>LEN(TRIM(Table22[[#This Row],[Country]]))</f>
        <v>2</v>
      </c>
      <c r="I1727" s="64">
        <f>LEN(TRIM(Table22[[#This Row],[Continent]]))</f>
        <v>6</v>
      </c>
      <c r="J1727" s="64">
        <f>LEN(TRIM(Table22[[#This Row],[Product]]))</f>
        <v>6</v>
      </c>
      <c r="K1727" s="64">
        <f>LEN(TRIM(Table22[[#This Row],[Sales Team]]))</f>
        <v>10</v>
      </c>
      <c r="L1727" s="23">
        <v>61</v>
      </c>
      <c r="M1727" s="65" t="str" cm="1">
        <f t="array" ref="M1727">_xlfn.IFS(Table22[[#This Row],[Units Sold]]&lt;40,"Critical",Table22[[#This Row],[Units Sold]]&lt;=50,"Poor",Table22[[#This Row],[Units Sold]]&lt;=60,"Low",Table22[[#This Row],[Units Sold]]&lt;=80,"Average",Table22[[#This Row],[Units Sold]]&lt;=90,"High",Table22[[#This Row],[Units Sold]]&lt;=95,"Excellent",Table22[[#This Row],[Units Sold]]&gt;95,"Outstanding")</f>
        <v>Average</v>
      </c>
      <c r="N1727" s="29">
        <v>98.79</v>
      </c>
      <c r="O1727" s="29">
        <v>6026.19</v>
      </c>
      <c r="P1727" s="43">
        <f>IF(Table22[[#This Row],[Discount Applied]],Table22[[#This Row],[Total Sales (in USD)]]*(1-Table22[[#This Row],[Discount Percentage (%)]]/100),Table22[[#This Row],[Total Sales (in USD)]])</f>
        <v>5604.9593189999996</v>
      </c>
      <c r="Q1727" s="66">
        <f>SQRT(AVERAGE((Table22[[#This Row],[Net Sales (after discount) (in USD)]]-AVERAGE(Table22[Net Sales (after discount) (in USD)]))^2))</f>
        <v>30906.401244764536</v>
      </c>
      <c r="R1727" s="18" t="b">
        <v>0</v>
      </c>
      <c r="S1727" s="40">
        <v>6.99</v>
      </c>
      <c r="T1727" s="18" t="b">
        <v>1</v>
      </c>
      <c r="U1727" s="25">
        <v>45061</v>
      </c>
      <c r="V1727" s="63" t="str">
        <f>IF(MONTH(Table22[[#This Row],[Sales Date]])&lt;=3,"Q1",IF(MONTH(Table22[[#This Row],[Sales Date]])&lt;=6,"Q2",IF(MONTH(Table22[[#This Row],[Sales Date]])&lt;=9,"Q3","Q4")))</f>
        <v>Q2</v>
      </c>
      <c r="W1727" s="64">
        <f>YEAR(Table22[[#This Row],[Sales Date]])</f>
        <v>2023</v>
      </c>
      <c r="X1727" s="23">
        <v>48</v>
      </c>
      <c r="Y1727" s="18" t="s">
        <v>41</v>
      </c>
      <c r="Z1727" s="18" t="s">
        <v>24</v>
      </c>
      <c r="AA1727" s="19" t="s">
        <v>25</v>
      </c>
    </row>
    <row r="1728" spans="1:27" x14ac:dyDescent="0.25">
      <c r="A1728" s="17" t="s">
        <v>1659</v>
      </c>
      <c r="B1728" s="18" t="s">
        <v>27</v>
      </c>
      <c r="C1728" s="63" t="str" cm="1">
        <f t="array" ref="C1728">_xlfn.SWITCH(Table22[[#This Row],[Country]],"USA","North America","Canada","North America","Brazil","South America","China","Asia","Japan","Asia","India","Asia","France","Europe","Germany","Europe","UK","Europe","Australia","Oceania","South America")</f>
        <v>Europe</v>
      </c>
      <c r="D1728" s="18" t="s">
        <v>35</v>
      </c>
      <c r="E1728" s="18" t="s">
        <v>33</v>
      </c>
      <c r="F1728" s="18" t="s">
        <v>34</v>
      </c>
      <c r="G1728" s="18" t="s">
        <v>40</v>
      </c>
      <c r="H1728" s="64">
        <f>LEN(TRIM(Table22[[#This Row],[Country]]))</f>
        <v>7</v>
      </c>
      <c r="I1728" s="64">
        <f>LEN(TRIM(Table22[[#This Row],[Continent]]))</f>
        <v>6</v>
      </c>
      <c r="J1728" s="64">
        <f>LEN(TRIM(Table22[[#This Row],[Product]]))</f>
        <v>10</v>
      </c>
      <c r="K1728" s="64">
        <f>LEN(TRIM(Table22[[#This Row],[Sales Team]]))</f>
        <v>10</v>
      </c>
      <c r="L1728" s="23">
        <v>64</v>
      </c>
      <c r="M1728" s="65" t="str" cm="1">
        <f t="array" ref="M1728">_xlfn.IFS(Table22[[#This Row],[Units Sold]]&lt;40,"Critical",Table22[[#This Row],[Units Sold]]&lt;=50,"Poor",Table22[[#This Row],[Units Sold]]&lt;=60,"Low",Table22[[#This Row],[Units Sold]]&lt;=80,"Average",Table22[[#This Row],[Units Sold]]&lt;=90,"High",Table22[[#This Row],[Units Sold]]&lt;=95,"Excellent",Table22[[#This Row],[Units Sold]]&gt;95,"Outstanding")</f>
        <v>Average</v>
      </c>
      <c r="N1728" s="29">
        <v>93.99</v>
      </c>
      <c r="O1728" s="29">
        <v>6015.36</v>
      </c>
      <c r="P1728" s="43">
        <f>IF(Table22[[#This Row],[Discount Applied]],Table22[[#This Row],[Total Sales (in USD)]]*(1-Table22[[#This Row],[Discount Percentage (%)]]/100),Table22[[#This Row],[Total Sales (in USD)]])</f>
        <v>4237.2195839999995</v>
      </c>
      <c r="Q1728" s="66">
        <f>SQRT(AVERAGE((Table22[[#This Row],[Net Sales (after discount) (in USD)]]-AVERAGE(Table22[Net Sales (after discount) (in USD)]))^2))</f>
        <v>32274.140979764539</v>
      </c>
      <c r="R1728" s="18" t="b">
        <v>0</v>
      </c>
      <c r="S1728" s="40">
        <v>29.56</v>
      </c>
      <c r="T1728" s="18" t="b">
        <v>1</v>
      </c>
      <c r="U1728" s="25">
        <v>45378</v>
      </c>
      <c r="V1728" s="63" t="str">
        <f>IF(MONTH(Table22[[#This Row],[Sales Date]])&lt;=3,"Q1",IF(MONTH(Table22[[#This Row],[Sales Date]])&lt;=6,"Q2",IF(MONTH(Table22[[#This Row],[Sales Date]])&lt;=9,"Q3","Q4")))</f>
        <v>Q1</v>
      </c>
      <c r="W1728" s="64">
        <f>YEAR(Table22[[#This Row],[Sales Date]])</f>
        <v>2024</v>
      </c>
      <c r="X1728" s="23">
        <v>27</v>
      </c>
      <c r="Y1728" s="18" t="s">
        <v>49</v>
      </c>
      <c r="Z1728" s="18" t="s">
        <v>24</v>
      </c>
      <c r="AA1728" s="19" t="s">
        <v>36</v>
      </c>
    </row>
    <row r="1729" spans="1:27" x14ac:dyDescent="0.25">
      <c r="A1729" s="17" t="s">
        <v>733</v>
      </c>
      <c r="B1729" s="18" t="s">
        <v>32</v>
      </c>
      <c r="C1729" s="63" t="str" cm="1">
        <f t="array" ref="C1729">_xlfn.SWITCH(Table22[[#This Row],[Country]],"USA","North America","Canada","North America","Brazil","South America","China","Asia","Japan","Asia","India","Asia","France","Europe","Germany","Europe","UK","Europe","Australia","Oceania","South America")</f>
        <v>Asia</v>
      </c>
      <c r="D1729" s="18" t="s">
        <v>21</v>
      </c>
      <c r="E1729" s="18" t="s">
        <v>19</v>
      </c>
      <c r="F1729" s="18" t="s">
        <v>52</v>
      </c>
      <c r="G1729" s="18" t="s">
        <v>22</v>
      </c>
      <c r="H1729" s="64">
        <f>LEN(TRIM(Table22[[#This Row],[Country]]))</f>
        <v>5</v>
      </c>
      <c r="I1729" s="64">
        <f>LEN(TRIM(Table22[[#This Row],[Continent]]))</f>
        <v>4</v>
      </c>
      <c r="J1729" s="64">
        <f>LEN(TRIM(Table22[[#This Row],[Product]]))</f>
        <v>6</v>
      </c>
      <c r="K1729" s="64">
        <f>LEN(TRIM(Table22[[#This Row],[Sales Team]]))</f>
        <v>10</v>
      </c>
      <c r="L1729" s="23">
        <v>73</v>
      </c>
      <c r="M1729" s="65" t="str" cm="1">
        <f t="array" ref="M1729">_xlfn.IFS(Table22[[#This Row],[Units Sold]]&lt;40,"Critical",Table22[[#This Row],[Units Sold]]&lt;=50,"Poor",Table22[[#This Row],[Units Sold]]&lt;=60,"Low",Table22[[#This Row],[Units Sold]]&lt;=80,"Average",Table22[[#This Row],[Units Sold]]&lt;=90,"High",Table22[[#This Row],[Units Sold]]&lt;=95,"Excellent",Table22[[#This Row],[Units Sold]]&gt;95,"Outstanding")</f>
        <v>Average</v>
      </c>
      <c r="N1729" s="29">
        <v>82.3</v>
      </c>
      <c r="O1729" s="29">
        <v>6007.9</v>
      </c>
      <c r="P1729" s="43">
        <f>IF(Table22[[#This Row],[Discount Applied]],Table22[[#This Row],[Total Sales (in USD)]]*(1-Table22[[#This Row],[Discount Percentage (%)]]/100),Table22[[#This Row],[Total Sales (in USD)]])</f>
        <v>6007.9</v>
      </c>
      <c r="Q1729" s="66">
        <f>SQRT(AVERAGE((Table22[[#This Row],[Net Sales (after discount) (in USD)]]-AVERAGE(Table22[Net Sales (after discount) (in USD)]))^2))</f>
        <v>30503.460563764536</v>
      </c>
      <c r="R1729" s="18" t="b">
        <v>1</v>
      </c>
      <c r="S1729" s="40">
        <v>13.86</v>
      </c>
      <c r="T1729" s="18" t="b">
        <v>0</v>
      </c>
      <c r="U1729" s="25">
        <v>45270</v>
      </c>
      <c r="V1729" s="63" t="str">
        <f>IF(MONTH(Table22[[#This Row],[Sales Date]])&lt;=3,"Q1",IF(MONTH(Table22[[#This Row],[Sales Date]])&lt;=6,"Q2",IF(MONTH(Table22[[#This Row],[Sales Date]])&lt;=9,"Q3","Q4")))</f>
        <v>Q4</v>
      </c>
      <c r="W1729" s="64">
        <f>YEAR(Table22[[#This Row],[Sales Date]])</f>
        <v>2023</v>
      </c>
      <c r="X1729" s="23">
        <v>61</v>
      </c>
      <c r="Y1729" s="18" t="s">
        <v>23</v>
      </c>
      <c r="Z1729" s="18" t="s">
        <v>30</v>
      </c>
      <c r="AA1729" s="19" t="s">
        <v>36</v>
      </c>
    </row>
    <row r="1730" spans="1:27" x14ac:dyDescent="0.25">
      <c r="A1730" s="17" t="s">
        <v>218</v>
      </c>
      <c r="B1730" s="18" t="s">
        <v>46</v>
      </c>
      <c r="C1730" s="63" t="str" cm="1">
        <f t="array" ref="C1730">_xlfn.SWITCH(Table22[[#This Row],[Country]],"USA","North America","Canada","North America","Brazil","South America","China","Asia","Japan","Asia","India","Asia","France","Europe","Germany","Europe","UK","Europe","Australia","Oceania","South America")</f>
        <v>South America</v>
      </c>
      <c r="D1730" s="18" t="s">
        <v>21</v>
      </c>
      <c r="E1730" s="18" t="s">
        <v>39</v>
      </c>
      <c r="F1730" s="18" t="s">
        <v>20</v>
      </c>
      <c r="G1730" s="18" t="s">
        <v>48</v>
      </c>
      <c r="H1730" s="64">
        <f>LEN(TRIM(Table22[[#This Row],[Country]]))</f>
        <v>6</v>
      </c>
      <c r="I1730" s="64">
        <f>LEN(TRIM(Table22[[#This Row],[Continent]]))</f>
        <v>13</v>
      </c>
      <c r="J1730" s="64">
        <f>LEN(TRIM(Table22[[#This Row],[Product]]))</f>
        <v>10</v>
      </c>
      <c r="K1730" s="64">
        <f>LEN(TRIM(Table22[[#This Row],[Sales Team]]))</f>
        <v>9</v>
      </c>
      <c r="L1730" s="23">
        <v>12</v>
      </c>
      <c r="M1730" s="65" t="str" cm="1">
        <f t="array" ref="M1730">_xlfn.IFS(Table22[[#This Row],[Units Sold]]&lt;40,"Critical",Table22[[#This Row],[Units Sold]]&lt;=50,"Poor",Table22[[#This Row],[Units Sold]]&lt;=60,"Low",Table22[[#This Row],[Units Sold]]&lt;=80,"Average",Table22[[#This Row],[Units Sold]]&lt;=90,"High",Table22[[#This Row],[Units Sold]]&lt;=95,"Excellent",Table22[[#This Row],[Units Sold]]&gt;95,"Outstanding")</f>
        <v>Critical</v>
      </c>
      <c r="N1730" s="29">
        <v>499.11</v>
      </c>
      <c r="O1730" s="29">
        <v>5989.32</v>
      </c>
      <c r="P1730" s="43">
        <f>IF(Table22[[#This Row],[Discount Applied]],Table22[[#This Row],[Total Sales (in USD)]]*(1-Table22[[#This Row],[Discount Percentage (%)]]/100),Table22[[#This Row],[Total Sales (in USD)]])</f>
        <v>5989.32</v>
      </c>
      <c r="Q1730" s="66">
        <f>SQRT(AVERAGE((Table22[[#This Row],[Net Sales (after discount) (in USD)]]-AVERAGE(Table22[Net Sales (after discount) (in USD)]))^2))</f>
        <v>30522.040563764538</v>
      </c>
      <c r="R1730" s="18" t="b">
        <v>1</v>
      </c>
      <c r="S1730" s="40">
        <v>4.8899999999999997</v>
      </c>
      <c r="T1730" s="18" t="b">
        <v>0</v>
      </c>
      <c r="U1730" s="25">
        <v>45261</v>
      </c>
      <c r="V1730" s="63" t="str">
        <f>IF(MONTH(Table22[[#This Row],[Sales Date]])&lt;=3,"Q1",IF(MONTH(Table22[[#This Row],[Sales Date]])&lt;=6,"Q2",IF(MONTH(Table22[[#This Row],[Sales Date]])&lt;=9,"Q3","Q4")))</f>
        <v>Q4</v>
      </c>
      <c r="W1730" s="64">
        <f>YEAR(Table22[[#This Row],[Sales Date]])</f>
        <v>2023</v>
      </c>
      <c r="X1730" s="23">
        <v>24</v>
      </c>
      <c r="Y1730" s="18" t="s">
        <v>49</v>
      </c>
      <c r="Z1730" s="18" t="s">
        <v>30</v>
      </c>
      <c r="AA1730" s="19" t="s">
        <v>36</v>
      </c>
    </row>
    <row r="1731" spans="1:27" x14ac:dyDescent="0.25">
      <c r="A1731" s="17" t="s">
        <v>1288</v>
      </c>
      <c r="B1731" s="18" t="s">
        <v>66</v>
      </c>
      <c r="C1731" s="63" t="str" cm="1">
        <f t="array" ref="C1731">_xlfn.SWITCH(Table22[[#This Row],[Country]],"USA","North America","Canada","North America","Brazil","South America","China","Asia","Japan","Asia","India","Asia","France","Europe","Germany","Europe","UK","Europe","Australia","Oceania","South America")</f>
        <v>North America</v>
      </c>
      <c r="D1731" s="18" t="s">
        <v>21</v>
      </c>
      <c r="E1731" s="18" t="s">
        <v>39</v>
      </c>
      <c r="F1731" s="18" t="s">
        <v>47</v>
      </c>
      <c r="G1731" s="18" t="s">
        <v>29</v>
      </c>
      <c r="H1731" s="64">
        <f>LEN(TRIM(Table22[[#This Row],[Country]]))</f>
        <v>6</v>
      </c>
      <c r="I1731" s="64">
        <f>LEN(TRIM(Table22[[#This Row],[Continent]]))</f>
        <v>13</v>
      </c>
      <c r="J1731" s="64">
        <f>LEN(TRIM(Table22[[#This Row],[Product]]))</f>
        <v>10</v>
      </c>
      <c r="K1731" s="64">
        <f>LEN(TRIM(Table22[[#This Row],[Sales Team]]))</f>
        <v>10</v>
      </c>
      <c r="L1731" s="23">
        <v>4</v>
      </c>
      <c r="M1731" s="65" t="str" cm="1">
        <f t="array" ref="M1731">_xlfn.IFS(Table22[[#This Row],[Units Sold]]&lt;40,"Critical",Table22[[#This Row],[Units Sold]]&lt;=50,"Poor",Table22[[#This Row],[Units Sold]]&lt;=60,"Low",Table22[[#This Row],[Units Sold]]&lt;=80,"Average",Table22[[#This Row],[Units Sold]]&lt;=90,"High",Table22[[#This Row],[Units Sold]]&lt;=95,"Excellent",Table22[[#This Row],[Units Sold]]&gt;95,"Outstanding")</f>
        <v>Critical</v>
      </c>
      <c r="N1731" s="29">
        <v>1495.9</v>
      </c>
      <c r="O1731" s="29">
        <v>5983.6</v>
      </c>
      <c r="P1731" s="43">
        <f>IF(Table22[[#This Row],[Discount Applied]],Table22[[#This Row],[Total Sales (in USD)]]*(1-Table22[[#This Row],[Discount Percentage (%)]]/100),Table22[[#This Row],[Total Sales (in USD)]])</f>
        <v>5983.6</v>
      </c>
      <c r="Q1731" s="66">
        <f>SQRT(AVERAGE((Table22[[#This Row],[Net Sales (after discount) (in USD)]]-AVERAGE(Table22[Net Sales (after discount) (in USD)]))^2))</f>
        <v>30527.760563764539</v>
      </c>
      <c r="R1731" s="18" t="b">
        <v>1</v>
      </c>
      <c r="S1731" s="40">
        <v>6.53</v>
      </c>
      <c r="T1731" s="18" t="b">
        <v>0</v>
      </c>
      <c r="U1731" s="25">
        <v>45567</v>
      </c>
      <c r="V1731" s="63" t="str">
        <f>IF(MONTH(Table22[[#This Row],[Sales Date]])&lt;=3,"Q1",IF(MONTH(Table22[[#This Row],[Sales Date]])&lt;=6,"Q2",IF(MONTH(Table22[[#This Row],[Sales Date]])&lt;=9,"Q3","Q4")))</f>
        <v>Q4</v>
      </c>
      <c r="W1731" s="64">
        <f>YEAR(Table22[[#This Row],[Sales Date]])</f>
        <v>2024</v>
      </c>
      <c r="X1731" s="23">
        <v>69</v>
      </c>
      <c r="Y1731" s="18" t="s">
        <v>49</v>
      </c>
      <c r="Z1731" s="18" t="s">
        <v>42</v>
      </c>
      <c r="AA1731" s="19" t="s">
        <v>25</v>
      </c>
    </row>
    <row r="1732" spans="1:27" x14ac:dyDescent="0.25">
      <c r="A1732" s="17" t="s">
        <v>676</v>
      </c>
      <c r="B1732" s="18" t="s">
        <v>72</v>
      </c>
      <c r="C1732" s="63" t="str" cm="1">
        <f t="array" ref="C1732">_xlfn.SWITCH(Table22[[#This Row],[Country]],"USA","North America","Canada","North America","Brazil","South America","China","Asia","Japan","Asia","India","Asia","France","Europe","Germany","Europe","UK","Europe","Australia","Oceania","South America")</f>
        <v>North America</v>
      </c>
      <c r="D1732" s="18" t="s">
        <v>21</v>
      </c>
      <c r="E1732" s="18" t="s">
        <v>39</v>
      </c>
      <c r="F1732" s="18" t="s">
        <v>52</v>
      </c>
      <c r="G1732" s="18" t="s">
        <v>48</v>
      </c>
      <c r="H1732" s="64">
        <f>LEN(TRIM(Table22[[#This Row],[Country]]))</f>
        <v>3</v>
      </c>
      <c r="I1732" s="64">
        <f>LEN(TRIM(Table22[[#This Row],[Continent]]))</f>
        <v>13</v>
      </c>
      <c r="J1732" s="64">
        <f>LEN(TRIM(Table22[[#This Row],[Product]]))</f>
        <v>10</v>
      </c>
      <c r="K1732" s="64">
        <f>LEN(TRIM(Table22[[#This Row],[Sales Team]]))</f>
        <v>9</v>
      </c>
      <c r="L1732" s="23">
        <v>47</v>
      </c>
      <c r="M1732" s="65" t="str" cm="1">
        <f t="array" ref="M1732">_xlfn.IFS(Table22[[#This Row],[Units Sold]]&lt;40,"Critical",Table22[[#This Row],[Units Sold]]&lt;=50,"Poor",Table22[[#This Row],[Units Sold]]&lt;=60,"Low",Table22[[#This Row],[Units Sold]]&lt;=80,"Average",Table22[[#This Row],[Units Sold]]&lt;=90,"High",Table22[[#This Row],[Units Sold]]&lt;=95,"Excellent",Table22[[#This Row],[Units Sold]]&gt;95,"Outstanding")</f>
        <v>Poor</v>
      </c>
      <c r="N1732" s="29">
        <v>126.92</v>
      </c>
      <c r="O1732" s="29">
        <v>5965.24</v>
      </c>
      <c r="P1732" s="43">
        <f>IF(Table22[[#This Row],[Discount Applied]],Table22[[#This Row],[Total Sales (in USD)]]*(1-Table22[[#This Row],[Discount Percentage (%)]]/100),Table22[[#This Row],[Total Sales (in USD)]])</f>
        <v>5965.24</v>
      </c>
      <c r="Q1732" s="66">
        <f>SQRT(AVERAGE((Table22[[#This Row],[Net Sales (after discount) (in USD)]]-AVERAGE(Table22[Net Sales (after discount) (in USD)]))^2))</f>
        <v>30546.12056376454</v>
      </c>
      <c r="R1732" s="18" t="b">
        <v>1</v>
      </c>
      <c r="S1732" s="40">
        <v>9.16</v>
      </c>
      <c r="T1732" s="18" t="b">
        <v>0</v>
      </c>
      <c r="U1732" s="25">
        <v>45354</v>
      </c>
      <c r="V1732" s="63" t="str">
        <f>IF(MONTH(Table22[[#This Row],[Sales Date]])&lt;=3,"Q1",IF(MONTH(Table22[[#This Row],[Sales Date]])&lt;=6,"Q2",IF(MONTH(Table22[[#This Row],[Sales Date]])&lt;=9,"Q3","Q4")))</f>
        <v>Q1</v>
      </c>
      <c r="W1732" s="64">
        <f>YEAR(Table22[[#This Row],[Sales Date]])</f>
        <v>2024</v>
      </c>
      <c r="X1732" s="23">
        <v>60</v>
      </c>
      <c r="Y1732" s="18" t="s">
        <v>23</v>
      </c>
      <c r="Z1732" s="18" t="s">
        <v>42</v>
      </c>
      <c r="AA1732" s="19" t="s">
        <v>36</v>
      </c>
    </row>
    <row r="1733" spans="1:27" x14ac:dyDescent="0.25">
      <c r="A1733" s="17" t="s">
        <v>613</v>
      </c>
      <c r="B1733" s="18" t="s">
        <v>62</v>
      </c>
      <c r="C1733" s="63" t="str" cm="1">
        <f t="array" ref="C1733">_xlfn.SWITCH(Table22[[#This Row],[Country]],"USA","North America","Canada","North America","Brazil","South America","China","Asia","Japan","Asia","India","Asia","France","Europe","Germany","Europe","UK","Europe","Australia","Oceania","South America")</f>
        <v>Oceania</v>
      </c>
      <c r="D1733" s="18" t="s">
        <v>21</v>
      </c>
      <c r="E1733" s="18" t="s">
        <v>33</v>
      </c>
      <c r="F1733" s="18" t="s">
        <v>34</v>
      </c>
      <c r="G1733" s="18" t="s">
        <v>22</v>
      </c>
      <c r="H1733" s="64">
        <f>LEN(TRIM(Table22[[#This Row],[Country]]))</f>
        <v>9</v>
      </c>
      <c r="I1733" s="64">
        <f>LEN(TRIM(Table22[[#This Row],[Continent]]))</f>
        <v>7</v>
      </c>
      <c r="J1733" s="64">
        <f>LEN(TRIM(Table22[[#This Row],[Product]]))</f>
        <v>10</v>
      </c>
      <c r="K1733" s="64">
        <f>LEN(TRIM(Table22[[#This Row],[Sales Team]]))</f>
        <v>10</v>
      </c>
      <c r="L1733" s="23">
        <v>21</v>
      </c>
      <c r="M1733" s="65" t="str" cm="1">
        <f t="array" ref="M1733">_xlfn.IFS(Table22[[#This Row],[Units Sold]]&lt;40,"Critical",Table22[[#This Row],[Units Sold]]&lt;=50,"Poor",Table22[[#This Row],[Units Sold]]&lt;=60,"Low",Table22[[#This Row],[Units Sold]]&lt;=80,"Average",Table22[[#This Row],[Units Sold]]&lt;=90,"High",Table22[[#This Row],[Units Sold]]&lt;=95,"Excellent",Table22[[#This Row],[Units Sold]]&gt;95,"Outstanding")</f>
        <v>Critical</v>
      </c>
      <c r="N1733" s="29">
        <v>282.87</v>
      </c>
      <c r="O1733" s="29">
        <v>5940.27</v>
      </c>
      <c r="P1733" s="43">
        <f>IF(Table22[[#This Row],[Discount Applied]],Table22[[#This Row],[Total Sales (in USD)]]*(1-Table22[[#This Row],[Discount Percentage (%)]]/100),Table22[[#This Row],[Total Sales (in USD)]])</f>
        <v>4833.5976989999999</v>
      </c>
      <c r="Q1733" s="66">
        <f>SQRT(AVERAGE((Table22[[#This Row],[Net Sales (after discount) (in USD)]]-AVERAGE(Table22[Net Sales (after discount) (in USD)]))^2))</f>
        <v>31677.76286476454</v>
      </c>
      <c r="R1733" s="18" t="b">
        <v>0</v>
      </c>
      <c r="S1733" s="40">
        <v>18.63</v>
      </c>
      <c r="T1733" s="18" t="b">
        <v>1</v>
      </c>
      <c r="U1733" s="25">
        <v>44942</v>
      </c>
      <c r="V1733" s="63" t="str">
        <f>IF(MONTH(Table22[[#This Row],[Sales Date]])&lt;=3,"Q1",IF(MONTH(Table22[[#This Row],[Sales Date]])&lt;=6,"Q2",IF(MONTH(Table22[[#This Row],[Sales Date]])&lt;=9,"Q3","Q4")))</f>
        <v>Q1</v>
      </c>
      <c r="W1733" s="64">
        <f>YEAR(Table22[[#This Row],[Sales Date]])</f>
        <v>2023</v>
      </c>
      <c r="X1733" s="23">
        <v>27</v>
      </c>
      <c r="Y1733" s="18" t="s">
        <v>23</v>
      </c>
      <c r="Z1733" s="18" t="s">
        <v>56</v>
      </c>
      <c r="AA1733" s="19" t="s">
        <v>25</v>
      </c>
    </row>
    <row r="1734" spans="1:27" x14ac:dyDescent="0.25">
      <c r="A1734" s="17" t="s">
        <v>1234</v>
      </c>
      <c r="B1734" s="18" t="s">
        <v>62</v>
      </c>
      <c r="C1734" s="63" t="str" cm="1">
        <f t="array" ref="C1734">_xlfn.SWITCH(Table22[[#This Row],[Country]],"USA","North America","Canada","North America","Brazil","South America","China","Asia","Japan","Asia","India","Asia","France","Europe","Germany","Europe","UK","Europe","Australia","Oceania","South America")</f>
        <v>Oceania</v>
      </c>
      <c r="D1734" s="18" t="s">
        <v>21</v>
      </c>
      <c r="E1734" s="18" t="s">
        <v>33</v>
      </c>
      <c r="F1734" s="18" t="s">
        <v>47</v>
      </c>
      <c r="G1734" s="18" t="s">
        <v>22</v>
      </c>
      <c r="H1734" s="64">
        <f>LEN(TRIM(Table22[[#This Row],[Country]]))</f>
        <v>9</v>
      </c>
      <c r="I1734" s="64">
        <f>LEN(TRIM(Table22[[#This Row],[Continent]]))</f>
        <v>7</v>
      </c>
      <c r="J1734" s="64">
        <f>LEN(TRIM(Table22[[#This Row],[Product]]))</f>
        <v>10</v>
      </c>
      <c r="K1734" s="64">
        <f>LEN(TRIM(Table22[[#This Row],[Sales Team]]))</f>
        <v>10</v>
      </c>
      <c r="L1734" s="23">
        <v>50</v>
      </c>
      <c r="M1734" s="65" t="str" cm="1">
        <f t="array" ref="M1734">_xlfn.IFS(Table22[[#This Row],[Units Sold]]&lt;40,"Critical",Table22[[#This Row],[Units Sold]]&lt;=50,"Poor",Table22[[#This Row],[Units Sold]]&lt;=60,"Low",Table22[[#This Row],[Units Sold]]&lt;=80,"Average",Table22[[#This Row],[Units Sold]]&lt;=90,"High",Table22[[#This Row],[Units Sold]]&lt;=95,"Excellent",Table22[[#This Row],[Units Sold]]&gt;95,"Outstanding")</f>
        <v>Poor</v>
      </c>
      <c r="N1734" s="29">
        <v>118.62</v>
      </c>
      <c r="O1734" s="29">
        <v>5931</v>
      </c>
      <c r="P1734" s="43">
        <f>IF(Table22[[#This Row],[Discount Applied]],Table22[[#This Row],[Total Sales (in USD)]]*(1-Table22[[#This Row],[Discount Percentage (%)]]/100),Table22[[#This Row],[Total Sales (in USD)]])</f>
        <v>5931</v>
      </c>
      <c r="Q1734" s="66">
        <f>SQRT(AVERAGE((Table22[[#This Row],[Net Sales (after discount) (in USD)]]-AVERAGE(Table22[Net Sales (after discount) (in USD)]))^2))</f>
        <v>30580.360563764538</v>
      </c>
      <c r="R1734" s="18" t="b">
        <v>1</v>
      </c>
      <c r="S1734" s="40">
        <v>9.5</v>
      </c>
      <c r="T1734" s="18" t="b">
        <v>0</v>
      </c>
      <c r="U1734" s="25">
        <v>44968</v>
      </c>
      <c r="V1734" s="63" t="str">
        <f>IF(MONTH(Table22[[#This Row],[Sales Date]])&lt;=3,"Q1",IF(MONTH(Table22[[#This Row],[Sales Date]])&lt;=6,"Q2",IF(MONTH(Table22[[#This Row],[Sales Date]])&lt;=9,"Q3","Q4")))</f>
        <v>Q1</v>
      </c>
      <c r="W1734" s="64">
        <f>YEAR(Table22[[#This Row],[Sales Date]])</f>
        <v>2023</v>
      </c>
      <c r="X1734" s="23">
        <v>52</v>
      </c>
      <c r="Y1734" s="18" t="s">
        <v>23</v>
      </c>
      <c r="Z1734" s="18" t="s">
        <v>30</v>
      </c>
      <c r="AA1734" s="19" t="s">
        <v>36</v>
      </c>
    </row>
    <row r="1735" spans="1:27" x14ac:dyDescent="0.25">
      <c r="A1735" s="17" t="s">
        <v>1077</v>
      </c>
      <c r="B1735" s="18" t="s">
        <v>76</v>
      </c>
      <c r="C1735" s="63" t="str" cm="1">
        <f t="array" ref="C1735">_xlfn.SWITCH(Table22[[#This Row],[Country]],"USA","North America","Canada","North America","Brazil","South America","China","Asia","Japan","Asia","India","Asia","France","Europe","Germany","Europe","UK","Europe","Australia","Oceania","South America")</f>
        <v>Asia</v>
      </c>
      <c r="D1735" s="18" t="s">
        <v>35</v>
      </c>
      <c r="E1735" s="18" t="s">
        <v>33</v>
      </c>
      <c r="F1735" s="18" t="s">
        <v>34</v>
      </c>
      <c r="G1735" s="18" t="s">
        <v>40</v>
      </c>
      <c r="H1735" s="64">
        <f>LEN(TRIM(Table22[[#This Row],[Country]]))</f>
        <v>5</v>
      </c>
      <c r="I1735" s="64">
        <f>LEN(TRIM(Table22[[#This Row],[Continent]]))</f>
        <v>4</v>
      </c>
      <c r="J1735" s="64">
        <f>LEN(TRIM(Table22[[#This Row],[Product]]))</f>
        <v>10</v>
      </c>
      <c r="K1735" s="64">
        <f>LEN(TRIM(Table22[[#This Row],[Sales Team]]))</f>
        <v>10</v>
      </c>
      <c r="L1735" s="23">
        <v>95</v>
      </c>
      <c r="M1735" s="65" t="str" cm="1">
        <f t="array" ref="M1735">_xlfn.IFS(Table22[[#This Row],[Units Sold]]&lt;40,"Critical",Table22[[#This Row],[Units Sold]]&lt;=50,"Poor",Table22[[#This Row],[Units Sold]]&lt;=60,"Low",Table22[[#This Row],[Units Sold]]&lt;=80,"Average",Table22[[#This Row],[Units Sold]]&lt;=90,"High",Table22[[#This Row],[Units Sold]]&lt;=95,"Excellent",Table22[[#This Row],[Units Sold]]&gt;95,"Outstanding")</f>
        <v>Excellent</v>
      </c>
      <c r="N1735" s="29">
        <v>62.13</v>
      </c>
      <c r="O1735" s="29">
        <v>5902.35</v>
      </c>
      <c r="P1735" s="43">
        <f>IF(Table22[[#This Row],[Discount Applied]],Table22[[#This Row],[Total Sales (in USD)]]*(1-Table22[[#This Row],[Discount Percentage (%)]]/100),Table22[[#This Row],[Total Sales (in USD)]])</f>
        <v>5902.35</v>
      </c>
      <c r="Q1735" s="66">
        <f>SQRT(AVERAGE((Table22[[#This Row],[Net Sales (after discount) (in USD)]]-AVERAGE(Table22[Net Sales (after discount) (in USD)]))^2))</f>
        <v>30609.010563764539</v>
      </c>
      <c r="R1735" s="18" t="b">
        <v>1</v>
      </c>
      <c r="S1735" s="40">
        <v>12.78</v>
      </c>
      <c r="T1735" s="18" t="b">
        <v>0</v>
      </c>
      <c r="U1735" s="25">
        <v>45298</v>
      </c>
      <c r="V1735" s="63" t="str">
        <f>IF(MONTH(Table22[[#This Row],[Sales Date]])&lt;=3,"Q1",IF(MONTH(Table22[[#This Row],[Sales Date]])&lt;=6,"Q2",IF(MONTH(Table22[[#This Row],[Sales Date]])&lt;=9,"Q3","Q4")))</f>
        <v>Q1</v>
      </c>
      <c r="W1735" s="64">
        <f>YEAR(Table22[[#This Row],[Sales Date]])</f>
        <v>2024</v>
      </c>
      <c r="X1735" s="23">
        <v>20</v>
      </c>
      <c r="Y1735" s="18" t="s">
        <v>49</v>
      </c>
      <c r="Z1735" s="18" t="s">
        <v>42</v>
      </c>
      <c r="AA1735" s="19" t="s">
        <v>36</v>
      </c>
    </row>
    <row r="1736" spans="1:27" x14ac:dyDescent="0.25">
      <c r="A1736" s="17" t="s">
        <v>706</v>
      </c>
      <c r="B1736" s="18" t="s">
        <v>72</v>
      </c>
      <c r="C1736" s="63" t="str" cm="1">
        <f t="array" ref="C1736">_xlfn.SWITCH(Table22[[#This Row],[Country]],"USA","North America","Canada","North America","Brazil","South America","China","Asia","Japan","Asia","India","Asia","France","Europe","Germany","Europe","UK","Europe","Australia","Oceania","South America")</f>
        <v>North America</v>
      </c>
      <c r="D1736" s="18" t="s">
        <v>44</v>
      </c>
      <c r="E1736" s="18" t="s">
        <v>33</v>
      </c>
      <c r="F1736" s="18" t="s">
        <v>20</v>
      </c>
      <c r="G1736" s="18" t="s">
        <v>22</v>
      </c>
      <c r="H1736" s="64">
        <f>LEN(TRIM(Table22[[#This Row],[Country]]))</f>
        <v>3</v>
      </c>
      <c r="I1736" s="64">
        <f>LEN(TRIM(Table22[[#This Row],[Continent]]))</f>
        <v>13</v>
      </c>
      <c r="J1736" s="64">
        <f>LEN(TRIM(Table22[[#This Row],[Product]]))</f>
        <v>10</v>
      </c>
      <c r="K1736" s="64">
        <f>LEN(TRIM(Table22[[#This Row],[Sales Team]]))</f>
        <v>10</v>
      </c>
      <c r="L1736" s="23">
        <v>45</v>
      </c>
      <c r="M1736" s="65" t="str" cm="1">
        <f t="array" ref="M1736">_xlfn.IFS(Table22[[#This Row],[Units Sold]]&lt;40,"Critical",Table22[[#This Row],[Units Sold]]&lt;=50,"Poor",Table22[[#This Row],[Units Sold]]&lt;=60,"Low",Table22[[#This Row],[Units Sold]]&lt;=80,"Average",Table22[[#This Row],[Units Sold]]&lt;=90,"High",Table22[[#This Row],[Units Sold]]&lt;=95,"Excellent",Table22[[#This Row],[Units Sold]]&gt;95,"Outstanding")</f>
        <v>Poor</v>
      </c>
      <c r="N1736" s="29">
        <v>130.84</v>
      </c>
      <c r="O1736" s="29">
        <v>5887.8</v>
      </c>
      <c r="P1736" s="43">
        <f>IF(Table22[[#This Row],[Discount Applied]],Table22[[#This Row],[Total Sales (in USD)]]*(1-Table22[[#This Row],[Discount Percentage (%)]]/100),Table22[[#This Row],[Total Sales (in USD)]])</f>
        <v>5772.39912</v>
      </c>
      <c r="Q1736" s="66">
        <f>SQRT(AVERAGE((Table22[[#This Row],[Net Sales (after discount) (in USD)]]-AVERAGE(Table22[Net Sales (after discount) (in USD)]))^2))</f>
        <v>30738.961443764536</v>
      </c>
      <c r="R1736" s="18" t="b">
        <v>1</v>
      </c>
      <c r="S1736" s="40">
        <v>1.96</v>
      </c>
      <c r="T1736" s="18" t="b">
        <v>1</v>
      </c>
      <c r="U1736" s="25">
        <v>45303</v>
      </c>
      <c r="V1736" s="63" t="str">
        <f>IF(MONTH(Table22[[#This Row],[Sales Date]])&lt;=3,"Q1",IF(MONTH(Table22[[#This Row],[Sales Date]])&lt;=6,"Q2",IF(MONTH(Table22[[#This Row],[Sales Date]])&lt;=9,"Q3","Q4")))</f>
        <v>Q1</v>
      </c>
      <c r="W1736" s="64">
        <f>YEAR(Table22[[#This Row],[Sales Date]])</f>
        <v>2024</v>
      </c>
      <c r="X1736" s="23">
        <v>39</v>
      </c>
      <c r="Y1736" s="18" t="s">
        <v>41</v>
      </c>
      <c r="Z1736" s="18" t="s">
        <v>24</v>
      </c>
      <c r="AA1736" s="19" t="s">
        <v>36</v>
      </c>
    </row>
    <row r="1737" spans="1:27" x14ac:dyDescent="0.25">
      <c r="A1737" s="17" t="s">
        <v>1925</v>
      </c>
      <c r="B1737" s="18" t="s">
        <v>51</v>
      </c>
      <c r="C1737" s="63" t="str" cm="1">
        <f t="array" ref="C1737">_xlfn.SWITCH(Table22[[#This Row],[Country]],"USA","North America","Canada","North America","Brazil","South America","China","Asia","Japan","Asia","India","Asia","France","Europe","Germany","Europe","UK","Europe","Australia","Oceania","South America")</f>
        <v>Europe</v>
      </c>
      <c r="D1737" s="18" t="s">
        <v>21</v>
      </c>
      <c r="E1737" s="18" t="s">
        <v>39</v>
      </c>
      <c r="F1737" s="18" t="s">
        <v>64</v>
      </c>
      <c r="G1737" s="18" t="s">
        <v>29</v>
      </c>
      <c r="H1737" s="64">
        <f>LEN(TRIM(Table22[[#This Row],[Country]]))</f>
        <v>2</v>
      </c>
      <c r="I1737" s="64">
        <f>LEN(TRIM(Table22[[#This Row],[Continent]]))</f>
        <v>6</v>
      </c>
      <c r="J1737" s="64">
        <f>LEN(TRIM(Table22[[#This Row],[Product]]))</f>
        <v>10</v>
      </c>
      <c r="K1737" s="64">
        <f>LEN(TRIM(Table22[[#This Row],[Sales Team]]))</f>
        <v>10</v>
      </c>
      <c r="L1737" s="23">
        <v>28</v>
      </c>
      <c r="M1737" s="65" t="str" cm="1">
        <f t="array" ref="M1737">_xlfn.IFS(Table22[[#This Row],[Units Sold]]&lt;40,"Critical",Table22[[#This Row],[Units Sold]]&lt;=50,"Poor",Table22[[#This Row],[Units Sold]]&lt;=60,"Low",Table22[[#This Row],[Units Sold]]&lt;=80,"Average",Table22[[#This Row],[Units Sold]]&lt;=90,"High",Table22[[#This Row],[Units Sold]]&lt;=95,"Excellent",Table22[[#This Row],[Units Sold]]&gt;95,"Outstanding")</f>
        <v>Critical</v>
      </c>
      <c r="N1737" s="29">
        <v>208.63</v>
      </c>
      <c r="O1737" s="29">
        <v>5841.64</v>
      </c>
      <c r="P1737" s="43">
        <f>IF(Table22[[#This Row],[Discount Applied]],Table22[[#This Row],[Total Sales (in USD)]]*(1-Table22[[#This Row],[Discount Percentage (%)]]/100),Table22[[#This Row],[Total Sales (in USD)]])</f>
        <v>4185.5350600000002</v>
      </c>
      <c r="Q1737" s="66">
        <f>SQRT(AVERAGE((Table22[[#This Row],[Net Sales (after discount) (in USD)]]-AVERAGE(Table22[Net Sales (after discount) (in USD)]))^2))</f>
        <v>32325.825503764536</v>
      </c>
      <c r="R1737" s="18" t="b">
        <v>0</v>
      </c>
      <c r="S1737" s="40">
        <v>28.35</v>
      </c>
      <c r="T1737" s="18" t="b">
        <v>1</v>
      </c>
      <c r="U1737" s="25">
        <v>45173</v>
      </c>
      <c r="V1737" s="63" t="str">
        <f>IF(MONTH(Table22[[#This Row],[Sales Date]])&lt;=3,"Q1",IF(MONTH(Table22[[#This Row],[Sales Date]])&lt;=6,"Q2",IF(MONTH(Table22[[#This Row],[Sales Date]])&lt;=9,"Q3","Q4")))</f>
        <v>Q3</v>
      </c>
      <c r="W1737" s="64">
        <f>YEAR(Table22[[#This Row],[Sales Date]])</f>
        <v>2023</v>
      </c>
      <c r="X1737" s="23">
        <v>64</v>
      </c>
      <c r="Y1737" s="18" t="s">
        <v>49</v>
      </c>
      <c r="Z1737" s="18" t="s">
        <v>24</v>
      </c>
      <c r="AA1737" s="19" t="s">
        <v>25</v>
      </c>
    </row>
    <row r="1738" spans="1:27" x14ac:dyDescent="0.25">
      <c r="A1738" s="17" t="s">
        <v>1641</v>
      </c>
      <c r="B1738" s="18" t="s">
        <v>32</v>
      </c>
      <c r="C1738" s="63" t="str" cm="1">
        <f t="array" ref="C1738">_xlfn.SWITCH(Table22[[#This Row],[Country]],"USA","North America","Canada","North America","Brazil","South America","China","Asia","Japan","Asia","India","Asia","France","Europe","Germany","Europe","UK","Europe","Australia","Oceania","South America")</f>
        <v>Asia</v>
      </c>
      <c r="D1738" s="18" t="s">
        <v>44</v>
      </c>
      <c r="E1738" s="18" t="s">
        <v>33</v>
      </c>
      <c r="F1738" s="18" t="s">
        <v>47</v>
      </c>
      <c r="G1738" s="18" t="s">
        <v>48</v>
      </c>
      <c r="H1738" s="64">
        <f>LEN(TRIM(Table22[[#This Row],[Country]]))</f>
        <v>5</v>
      </c>
      <c r="I1738" s="64">
        <f>LEN(TRIM(Table22[[#This Row],[Continent]]))</f>
        <v>4</v>
      </c>
      <c r="J1738" s="64">
        <f>LEN(TRIM(Table22[[#This Row],[Product]]))</f>
        <v>10</v>
      </c>
      <c r="K1738" s="64">
        <f>LEN(TRIM(Table22[[#This Row],[Sales Team]]))</f>
        <v>9</v>
      </c>
      <c r="L1738" s="23">
        <v>12</v>
      </c>
      <c r="M1738" s="65" t="str" cm="1">
        <f t="array" ref="M1738">_xlfn.IFS(Table22[[#This Row],[Units Sold]]&lt;40,"Critical",Table22[[#This Row],[Units Sold]]&lt;=50,"Poor",Table22[[#This Row],[Units Sold]]&lt;=60,"Low",Table22[[#This Row],[Units Sold]]&lt;=80,"Average",Table22[[#This Row],[Units Sold]]&lt;=90,"High",Table22[[#This Row],[Units Sold]]&lt;=95,"Excellent",Table22[[#This Row],[Units Sold]]&gt;95,"Outstanding")</f>
        <v>Critical</v>
      </c>
      <c r="N1738" s="29">
        <v>480.79</v>
      </c>
      <c r="O1738" s="29">
        <v>5769.48</v>
      </c>
      <c r="P1738" s="43">
        <f>IF(Table22[[#This Row],[Discount Applied]],Table22[[#This Row],[Total Sales (in USD)]]*(1-Table22[[#This Row],[Discount Percentage (%)]]/100),Table22[[#This Row],[Total Sales (in USD)]])</f>
        <v>5769.48</v>
      </c>
      <c r="Q1738" s="66">
        <f>SQRT(AVERAGE((Table22[[#This Row],[Net Sales (after discount) (in USD)]]-AVERAGE(Table22[Net Sales (after discount) (in USD)]))^2))</f>
        <v>30741.880563764538</v>
      </c>
      <c r="R1738" s="18" t="b">
        <v>0</v>
      </c>
      <c r="S1738" s="40">
        <v>15.67</v>
      </c>
      <c r="T1738" s="18" t="b">
        <v>0</v>
      </c>
      <c r="U1738" s="25">
        <v>45071</v>
      </c>
      <c r="V1738" s="63" t="str">
        <f>IF(MONTH(Table22[[#This Row],[Sales Date]])&lt;=3,"Q1",IF(MONTH(Table22[[#This Row],[Sales Date]])&lt;=6,"Q2",IF(MONTH(Table22[[#This Row],[Sales Date]])&lt;=9,"Q3","Q4")))</f>
        <v>Q2</v>
      </c>
      <c r="W1738" s="64">
        <f>YEAR(Table22[[#This Row],[Sales Date]])</f>
        <v>2023</v>
      </c>
      <c r="X1738" s="23">
        <v>45</v>
      </c>
      <c r="Y1738" s="18" t="s">
        <v>49</v>
      </c>
      <c r="Z1738" s="18" t="s">
        <v>30</v>
      </c>
      <c r="AA1738" s="19" t="s">
        <v>36</v>
      </c>
    </row>
    <row r="1739" spans="1:27" x14ac:dyDescent="0.25">
      <c r="A1739" s="17" t="s">
        <v>1698</v>
      </c>
      <c r="B1739" s="18" t="s">
        <v>27</v>
      </c>
      <c r="C1739" s="63" t="str" cm="1">
        <f t="array" ref="C1739">_xlfn.SWITCH(Table22[[#This Row],[Country]],"USA","North America","Canada","North America","Brazil","South America","China","Asia","Japan","Asia","India","Asia","France","Europe","Germany","Europe","UK","Europe","Australia","Oceania","South America")</f>
        <v>Europe</v>
      </c>
      <c r="D1739" s="18" t="s">
        <v>35</v>
      </c>
      <c r="E1739" s="18" t="s">
        <v>33</v>
      </c>
      <c r="F1739" s="18" t="s">
        <v>64</v>
      </c>
      <c r="G1739" s="18" t="s">
        <v>40</v>
      </c>
      <c r="H1739" s="64">
        <f>LEN(TRIM(Table22[[#This Row],[Country]]))</f>
        <v>7</v>
      </c>
      <c r="I1739" s="64">
        <f>LEN(TRIM(Table22[[#This Row],[Continent]]))</f>
        <v>6</v>
      </c>
      <c r="J1739" s="64">
        <f>LEN(TRIM(Table22[[#This Row],[Product]]))</f>
        <v>10</v>
      </c>
      <c r="K1739" s="64">
        <f>LEN(TRIM(Table22[[#This Row],[Sales Team]]))</f>
        <v>10</v>
      </c>
      <c r="L1739" s="23">
        <v>8</v>
      </c>
      <c r="M1739" s="65" t="str" cm="1">
        <f t="array" ref="M1739">_xlfn.IFS(Table22[[#This Row],[Units Sold]]&lt;40,"Critical",Table22[[#This Row],[Units Sold]]&lt;=50,"Poor",Table22[[#This Row],[Units Sold]]&lt;=60,"Low",Table22[[#This Row],[Units Sold]]&lt;=80,"Average",Table22[[#This Row],[Units Sold]]&lt;=90,"High",Table22[[#This Row],[Units Sold]]&lt;=95,"Excellent",Table22[[#This Row],[Units Sold]]&gt;95,"Outstanding")</f>
        <v>Critical</v>
      </c>
      <c r="N1739" s="29">
        <v>713.59</v>
      </c>
      <c r="O1739" s="29">
        <v>5708.72</v>
      </c>
      <c r="P1739" s="43">
        <f>IF(Table22[[#This Row],[Discount Applied]],Table22[[#This Row],[Total Sales (in USD)]]*(1-Table22[[#This Row],[Discount Percentage (%)]]/100),Table22[[#This Row],[Total Sales (in USD)]])</f>
        <v>5326.8066320000007</v>
      </c>
      <c r="Q1739" s="66">
        <f>SQRT(AVERAGE((Table22[[#This Row],[Net Sales (after discount) (in USD)]]-AVERAGE(Table22[Net Sales (after discount) (in USD)]))^2))</f>
        <v>31184.553931764538</v>
      </c>
      <c r="R1739" s="18" t="b">
        <v>0</v>
      </c>
      <c r="S1739" s="40">
        <v>6.69</v>
      </c>
      <c r="T1739" s="18" t="b">
        <v>1</v>
      </c>
      <c r="U1739" s="25">
        <v>45595</v>
      </c>
      <c r="V1739" s="63" t="str">
        <f>IF(MONTH(Table22[[#This Row],[Sales Date]])&lt;=3,"Q1",IF(MONTH(Table22[[#This Row],[Sales Date]])&lt;=6,"Q2",IF(MONTH(Table22[[#This Row],[Sales Date]])&lt;=9,"Q3","Q4")))</f>
        <v>Q4</v>
      </c>
      <c r="W1739" s="64">
        <f>YEAR(Table22[[#This Row],[Sales Date]])</f>
        <v>2024</v>
      </c>
      <c r="X1739" s="23">
        <v>59</v>
      </c>
      <c r="Y1739" s="18" t="s">
        <v>49</v>
      </c>
      <c r="Z1739" s="18" t="s">
        <v>56</v>
      </c>
      <c r="AA1739" s="19" t="s">
        <v>36</v>
      </c>
    </row>
    <row r="1740" spans="1:27" x14ac:dyDescent="0.25">
      <c r="A1740" s="17" t="s">
        <v>836</v>
      </c>
      <c r="B1740" s="18" t="s">
        <v>32</v>
      </c>
      <c r="C1740" s="63" t="str" cm="1">
        <f t="array" ref="C1740">_xlfn.SWITCH(Table22[[#This Row],[Country]],"USA","North America","Canada","North America","Brazil","South America","China","Asia","Japan","Asia","India","Asia","France","Europe","Germany","Europe","UK","Europe","Australia","Oceania","South America")</f>
        <v>Asia</v>
      </c>
      <c r="D1740" s="18" t="s">
        <v>44</v>
      </c>
      <c r="E1740" s="18" t="s">
        <v>19</v>
      </c>
      <c r="F1740" s="18" t="s">
        <v>47</v>
      </c>
      <c r="G1740" s="18" t="s">
        <v>40</v>
      </c>
      <c r="H1740" s="64">
        <f>LEN(TRIM(Table22[[#This Row],[Country]]))</f>
        <v>5</v>
      </c>
      <c r="I1740" s="64">
        <f>LEN(TRIM(Table22[[#This Row],[Continent]]))</f>
        <v>4</v>
      </c>
      <c r="J1740" s="64">
        <f>LEN(TRIM(Table22[[#This Row],[Product]]))</f>
        <v>6</v>
      </c>
      <c r="K1740" s="64">
        <f>LEN(TRIM(Table22[[#This Row],[Sales Team]]))</f>
        <v>10</v>
      </c>
      <c r="L1740" s="23">
        <v>5</v>
      </c>
      <c r="M1740" s="65" t="str" cm="1">
        <f t="array" ref="M1740">_xlfn.IFS(Table22[[#This Row],[Units Sold]]&lt;40,"Critical",Table22[[#This Row],[Units Sold]]&lt;=50,"Poor",Table22[[#This Row],[Units Sold]]&lt;=60,"Low",Table22[[#This Row],[Units Sold]]&lt;=80,"Average",Table22[[#This Row],[Units Sold]]&lt;=90,"High",Table22[[#This Row],[Units Sold]]&lt;=95,"Excellent",Table22[[#This Row],[Units Sold]]&gt;95,"Outstanding")</f>
        <v>Critical</v>
      </c>
      <c r="N1740" s="29">
        <v>1141.57</v>
      </c>
      <c r="O1740" s="29">
        <v>5707.85</v>
      </c>
      <c r="P1740" s="43">
        <f>IF(Table22[[#This Row],[Discount Applied]],Table22[[#This Row],[Total Sales (in USD)]]*(1-Table22[[#This Row],[Discount Percentage (%)]]/100),Table22[[#This Row],[Total Sales (in USD)]])</f>
        <v>4497.2150150000007</v>
      </c>
      <c r="Q1740" s="66">
        <f>SQRT(AVERAGE((Table22[[#This Row],[Net Sales (after discount) (in USD)]]-AVERAGE(Table22[Net Sales (after discount) (in USD)]))^2))</f>
        <v>32014.145548764536</v>
      </c>
      <c r="R1740" s="18" t="b">
        <v>0</v>
      </c>
      <c r="S1740" s="40">
        <v>21.21</v>
      </c>
      <c r="T1740" s="18" t="b">
        <v>1</v>
      </c>
      <c r="U1740" s="25">
        <v>45443</v>
      </c>
      <c r="V1740" s="63" t="str">
        <f>IF(MONTH(Table22[[#This Row],[Sales Date]])&lt;=3,"Q1",IF(MONTH(Table22[[#This Row],[Sales Date]])&lt;=6,"Q2",IF(MONTH(Table22[[#This Row],[Sales Date]])&lt;=9,"Q3","Q4")))</f>
        <v>Q2</v>
      </c>
      <c r="W1740" s="64">
        <f>YEAR(Table22[[#This Row],[Sales Date]])</f>
        <v>2024</v>
      </c>
      <c r="X1740" s="23">
        <v>30</v>
      </c>
      <c r="Y1740" s="18" t="s">
        <v>23</v>
      </c>
      <c r="Z1740" s="18" t="s">
        <v>30</v>
      </c>
      <c r="AA1740" s="19" t="s">
        <v>36</v>
      </c>
    </row>
    <row r="1741" spans="1:27" x14ac:dyDescent="0.25">
      <c r="A1741" s="17" t="s">
        <v>1552</v>
      </c>
      <c r="B1741" s="18" t="s">
        <v>62</v>
      </c>
      <c r="C1741" s="63" t="str" cm="1">
        <f t="array" ref="C1741">_xlfn.SWITCH(Table22[[#This Row],[Country]],"USA","North America","Canada","North America","Brazil","South America","China","Asia","Japan","Asia","India","Asia","France","Europe","Germany","Europe","UK","Europe","Australia","Oceania","South America")</f>
        <v>Oceania</v>
      </c>
      <c r="D1741" s="18" t="s">
        <v>21</v>
      </c>
      <c r="E1741" s="18" t="s">
        <v>39</v>
      </c>
      <c r="F1741" s="18" t="s">
        <v>47</v>
      </c>
      <c r="G1741" s="18" t="s">
        <v>22</v>
      </c>
      <c r="H1741" s="64">
        <f>LEN(TRIM(Table22[[#This Row],[Country]]))</f>
        <v>9</v>
      </c>
      <c r="I1741" s="64">
        <f>LEN(TRIM(Table22[[#This Row],[Continent]]))</f>
        <v>7</v>
      </c>
      <c r="J1741" s="64">
        <f>LEN(TRIM(Table22[[#This Row],[Product]]))</f>
        <v>10</v>
      </c>
      <c r="K1741" s="64">
        <f>LEN(TRIM(Table22[[#This Row],[Sales Team]]))</f>
        <v>10</v>
      </c>
      <c r="L1741" s="23">
        <v>4</v>
      </c>
      <c r="M1741" s="65" t="str" cm="1">
        <f t="array" ref="M1741">_xlfn.IFS(Table22[[#This Row],[Units Sold]]&lt;40,"Critical",Table22[[#This Row],[Units Sold]]&lt;=50,"Poor",Table22[[#This Row],[Units Sold]]&lt;=60,"Low",Table22[[#This Row],[Units Sold]]&lt;=80,"Average",Table22[[#This Row],[Units Sold]]&lt;=90,"High",Table22[[#This Row],[Units Sold]]&lt;=95,"Excellent",Table22[[#This Row],[Units Sold]]&gt;95,"Outstanding")</f>
        <v>Critical</v>
      </c>
      <c r="N1741" s="29">
        <v>1423.92</v>
      </c>
      <c r="O1741" s="29">
        <v>5695.68</v>
      </c>
      <c r="P1741" s="43">
        <f>IF(Table22[[#This Row],[Discount Applied]],Table22[[#This Row],[Total Sales (in USD)]]*(1-Table22[[#This Row],[Discount Percentage (%)]]/100),Table22[[#This Row],[Total Sales (in USD)]])</f>
        <v>5695.68</v>
      </c>
      <c r="Q1741" s="66">
        <f>SQRT(AVERAGE((Table22[[#This Row],[Net Sales (after discount) (in USD)]]-AVERAGE(Table22[Net Sales (after discount) (in USD)]))^2))</f>
        <v>30815.680563764538</v>
      </c>
      <c r="R1741" s="18" t="b">
        <v>0</v>
      </c>
      <c r="S1741" s="40">
        <v>21.77</v>
      </c>
      <c r="T1741" s="18" t="b">
        <v>0</v>
      </c>
      <c r="U1741" s="25">
        <v>45191</v>
      </c>
      <c r="V1741" s="63" t="str">
        <f>IF(MONTH(Table22[[#This Row],[Sales Date]])&lt;=3,"Q1",IF(MONTH(Table22[[#This Row],[Sales Date]])&lt;=6,"Q2",IF(MONTH(Table22[[#This Row],[Sales Date]])&lt;=9,"Q3","Q4")))</f>
        <v>Q3</v>
      </c>
      <c r="W1741" s="64">
        <f>YEAR(Table22[[#This Row],[Sales Date]])</f>
        <v>2023</v>
      </c>
      <c r="X1741" s="23">
        <v>49</v>
      </c>
      <c r="Y1741" s="18" t="s">
        <v>41</v>
      </c>
      <c r="Z1741" s="18" t="s">
        <v>56</v>
      </c>
      <c r="AA1741" s="19" t="s">
        <v>25</v>
      </c>
    </row>
    <row r="1742" spans="1:27" x14ac:dyDescent="0.25">
      <c r="A1742" s="17" t="s">
        <v>924</v>
      </c>
      <c r="B1742" s="18" t="s">
        <v>27</v>
      </c>
      <c r="C1742" s="63" t="str" cm="1">
        <f t="array" ref="C1742">_xlfn.SWITCH(Table22[[#This Row],[Country]],"USA","North America","Canada","North America","Brazil","South America","China","Asia","Japan","Asia","India","Asia","France","Europe","Germany","Europe","UK","Europe","Australia","Oceania","South America")</f>
        <v>Europe</v>
      </c>
      <c r="D1742" s="18" t="s">
        <v>35</v>
      </c>
      <c r="E1742" s="18" t="s">
        <v>33</v>
      </c>
      <c r="F1742" s="18" t="s">
        <v>34</v>
      </c>
      <c r="G1742" s="18" t="s">
        <v>29</v>
      </c>
      <c r="H1742" s="64">
        <f>LEN(TRIM(Table22[[#This Row],[Country]]))</f>
        <v>7</v>
      </c>
      <c r="I1742" s="64">
        <f>LEN(TRIM(Table22[[#This Row],[Continent]]))</f>
        <v>6</v>
      </c>
      <c r="J1742" s="64">
        <f>LEN(TRIM(Table22[[#This Row],[Product]]))</f>
        <v>10</v>
      </c>
      <c r="K1742" s="64">
        <f>LEN(TRIM(Table22[[#This Row],[Sales Team]]))</f>
        <v>10</v>
      </c>
      <c r="L1742" s="23">
        <v>7</v>
      </c>
      <c r="M1742" s="65" t="str" cm="1">
        <f t="array" ref="M1742">_xlfn.IFS(Table22[[#This Row],[Units Sold]]&lt;40,"Critical",Table22[[#This Row],[Units Sold]]&lt;=50,"Poor",Table22[[#This Row],[Units Sold]]&lt;=60,"Low",Table22[[#This Row],[Units Sold]]&lt;=80,"Average",Table22[[#This Row],[Units Sold]]&lt;=90,"High",Table22[[#This Row],[Units Sold]]&lt;=95,"Excellent",Table22[[#This Row],[Units Sold]]&gt;95,"Outstanding")</f>
        <v>Critical</v>
      </c>
      <c r="N1742" s="29">
        <v>809.45</v>
      </c>
      <c r="O1742" s="29">
        <v>5666.15</v>
      </c>
      <c r="P1742" s="43">
        <f>IF(Table22[[#This Row],[Discount Applied]],Table22[[#This Row],[Total Sales (in USD)]]*(1-Table22[[#This Row],[Discount Percentage (%)]]/100),Table22[[#This Row],[Total Sales (in USD)]])</f>
        <v>5136.9315899999992</v>
      </c>
      <c r="Q1742" s="66">
        <f>SQRT(AVERAGE((Table22[[#This Row],[Net Sales (after discount) (in USD)]]-AVERAGE(Table22[Net Sales (after discount) (in USD)]))^2))</f>
        <v>31374.428973764538</v>
      </c>
      <c r="R1742" s="18" t="b">
        <v>1</v>
      </c>
      <c r="S1742" s="40">
        <v>9.34</v>
      </c>
      <c r="T1742" s="18" t="b">
        <v>1</v>
      </c>
      <c r="U1742" s="25">
        <v>45076</v>
      </c>
      <c r="V1742" s="63" t="str">
        <f>IF(MONTH(Table22[[#This Row],[Sales Date]])&lt;=3,"Q1",IF(MONTH(Table22[[#This Row],[Sales Date]])&lt;=6,"Q2",IF(MONTH(Table22[[#This Row],[Sales Date]])&lt;=9,"Q3","Q4")))</f>
        <v>Q2</v>
      </c>
      <c r="W1742" s="64">
        <f>YEAR(Table22[[#This Row],[Sales Date]])</f>
        <v>2023</v>
      </c>
      <c r="X1742" s="23">
        <v>69</v>
      </c>
      <c r="Y1742" s="18" t="s">
        <v>41</v>
      </c>
      <c r="Z1742" s="18" t="s">
        <v>56</v>
      </c>
      <c r="AA1742" s="19" t="s">
        <v>36</v>
      </c>
    </row>
    <row r="1743" spans="1:27" x14ac:dyDescent="0.25">
      <c r="A1743" s="17" t="s">
        <v>68</v>
      </c>
      <c r="B1743" s="18" t="s">
        <v>62</v>
      </c>
      <c r="C1743" s="63" t="str" cm="1">
        <f t="array" ref="C1743">_xlfn.SWITCH(Table22[[#This Row],[Country]],"USA","North America","Canada","North America","Brazil","South America","China","Asia","Japan","Asia","India","Asia","France","Europe","Germany","Europe","UK","Europe","Australia","Oceania","South America")</f>
        <v>Oceania</v>
      </c>
      <c r="D1743" s="18" t="s">
        <v>35</v>
      </c>
      <c r="E1743" s="18" t="s">
        <v>39</v>
      </c>
      <c r="F1743" s="18" t="s">
        <v>64</v>
      </c>
      <c r="G1743" s="18" t="s">
        <v>40</v>
      </c>
      <c r="H1743" s="64">
        <f>LEN(TRIM(Table22[[#This Row],[Country]]))</f>
        <v>9</v>
      </c>
      <c r="I1743" s="64">
        <f>LEN(TRIM(Table22[[#This Row],[Continent]]))</f>
        <v>7</v>
      </c>
      <c r="J1743" s="64">
        <f>LEN(TRIM(Table22[[#This Row],[Product]]))</f>
        <v>10</v>
      </c>
      <c r="K1743" s="64">
        <f>LEN(TRIM(Table22[[#This Row],[Sales Team]]))</f>
        <v>10</v>
      </c>
      <c r="L1743" s="23">
        <v>16</v>
      </c>
      <c r="M1743" s="65" t="str" cm="1">
        <f t="array" ref="M1743">_xlfn.IFS(Table22[[#This Row],[Units Sold]]&lt;40,"Critical",Table22[[#This Row],[Units Sold]]&lt;=50,"Poor",Table22[[#This Row],[Units Sold]]&lt;=60,"Low",Table22[[#This Row],[Units Sold]]&lt;=80,"Average",Table22[[#This Row],[Units Sold]]&lt;=90,"High",Table22[[#This Row],[Units Sold]]&lt;=95,"Excellent",Table22[[#This Row],[Units Sold]]&gt;95,"Outstanding")</f>
        <v>Critical</v>
      </c>
      <c r="N1743" s="29">
        <v>350.83</v>
      </c>
      <c r="O1743" s="29">
        <v>5613.28</v>
      </c>
      <c r="P1743" s="43">
        <f>IF(Table22[[#This Row],[Discount Applied]],Table22[[#This Row],[Total Sales (in USD)]]*(1-Table22[[#This Row],[Discount Percentage (%)]]/100),Table22[[#This Row],[Total Sales (in USD)]])</f>
        <v>4144.2846239999999</v>
      </c>
      <c r="Q1743" s="66">
        <f>SQRT(AVERAGE((Table22[[#This Row],[Net Sales (after discount) (in USD)]]-AVERAGE(Table22[Net Sales (after discount) (in USD)]))^2))</f>
        <v>32367.075939764538</v>
      </c>
      <c r="R1743" s="18" t="b">
        <v>0</v>
      </c>
      <c r="S1743" s="40">
        <v>26.17</v>
      </c>
      <c r="T1743" s="18" t="b">
        <v>1</v>
      </c>
      <c r="U1743" s="25">
        <v>45210</v>
      </c>
      <c r="V1743" s="63" t="str">
        <f>IF(MONTH(Table22[[#This Row],[Sales Date]])&lt;=3,"Q1",IF(MONTH(Table22[[#This Row],[Sales Date]])&lt;=6,"Q2",IF(MONTH(Table22[[#This Row],[Sales Date]])&lt;=9,"Q3","Q4")))</f>
        <v>Q4</v>
      </c>
      <c r="W1743" s="64">
        <f>YEAR(Table22[[#This Row],[Sales Date]])</f>
        <v>2023</v>
      </c>
      <c r="X1743" s="23">
        <v>41</v>
      </c>
      <c r="Y1743" s="18" t="s">
        <v>41</v>
      </c>
      <c r="Z1743" s="18" t="s">
        <v>30</v>
      </c>
      <c r="AA1743" s="19" t="s">
        <v>36</v>
      </c>
    </row>
    <row r="1744" spans="1:27" x14ac:dyDescent="0.25">
      <c r="A1744" s="17" t="s">
        <v>171</v>
      </c>
      <c r="B1744" s="18" t="s">
        <v>76</v>
      </c>
      <c r="C1744" s="63" t="str" cm="1">
        <f t="array" ref="C1744">_xlfn.SWITCH(Table22[[#This Row],[Country]],"USA","North America","Canada","North America","Brazil","South America","China","Asia","Japan","Asia","India","Asia","France","Europe","Germany","Europe","UK","Europe","Australia","Oceania","South America")</f>
        <v>Asia</v>
      </c>
      <c r="D1744" s="18" t="s">
        <v>35</v>
      </c>
      <c r="E1744" s="18" t="s">
        <v>19</v>
      </c>
      <c r="F1744" s="18" t="s">
        <v>20</v>
      </c>
      <c r="G1744" s="18" t="s">
        <v>29</v>
      </c>
      <c r="H1744" s="64">
        <f>LEN(TRIM(Table22[[#This Row],[Country]]))</f>
        <v>5</v>
      </c>
      <c r="I1744" s="64">
        <f>LEN(TRIM(Table22[[#This Row],[Continent]]))</f>
        <v>4</v>
      </c>
      <c r="J1744" s="64">
        <f>LEN(TRIM(Table22[[#This Row],[Product]]))</f>
        <v>6</v>
      </c>
      <c r="K1744" s="64">
        <f>LEN(TRIM(Table22[[#This Row],[Sales Team]]))</f>
        <v>10</v>
      </c>
      <c r="L1744" s="23">
        <v>10</v>
      </c>
      <c r="M1744" s="65" t="str" cm="1">
        <f t="array" ref="M1744">_xlfn.IFS(Table22[[#This Row],[Units Sold]]&lt;40,"Critical",Table22[[#This Row],[Units Sold]]&lt;=50,"Poor",Table22[[#This Row],[Units Sold]]&lt;=60,"Low",Table22[[#This Row],[Units Sold]]&lt;=80,"Average",Table22[[#This Row],[Units Sold]]&lt;=90,"High",Table22[[#This Row],[Units Sold]]&lt;=95,"Excellent",Table22[[#This Row],[Units Sold]]&gt;95,"Outstanding")</f>
        <v>Critical</v>
      </c>
      <c r="N1744" s="29">
        <v>559.5</v>
      </c>
      <c r="O1744" s="29">
        <v>5595</v>
      </c>
      <c r="P1744" s="43">
        <f>IF(Table22[[#This Row],[Discount Applied]],Table22[[#This Row],[Total Sales (in USD)]]*(1-Table22[[#This Row],[Discount Percentage (%)]]/100),Table22[[#This Row],[Total Sales (in USD)]])</f>
        <v>5541.8474999999999</v>
      </c>
      <c r="Q1744" s="66">
        <f>SQRT(AVERAGE((Table22[[#This Row],[Net Sales (after discount) (in USD)]]-AVERAGE(Table22[Net Sales (after discount) (in USD)]))^2))</f>
        <v>30969.513063764538</v>
      </c>
      <c r="R1744" s="18" t="b">
        <v>1</v>
      </c>
      <c r="S1744" s="40">
        <v>0.95</v>
      </c>
      <c r="T1744" s="18" t="b">
        <v>1</v>
      </c>
      <c r="U1744" s="25">
        <v>44982</v>
      </c>
      <c r="V1744" s="63" t="str">
        <f>IF(MONTH(Table22[[#This Row],[Sales Date]])&lt;=3,"Q1",IF(MONTH(Table22[[#This Row],[Sales Date]])&lt;=6,"Q2",IF(MONTH(Table22[[#This Row],[Sales Date]])&lt;=9,"Q3","Q4")))</f>
        <v>Q1</v>
      </c>
      <c r="W1744" s="64">
        <f>YEAR(Table22[[#This Row],[Sales Date]])</f>
        <v>2023</v>
      </c>
      <c r="X1744" s="23">
        <v>46</v>
      </c>
      <c r="Y1744" s="18" t="s">
        <v>41</v>
      </c>
      <c r="Z1744" s="18" t="s">
        <v>56</v>
      </c>
      <c r="AA1744" s="19" t="s">
        <v>36</v>
      </c>
    </row>
    <row r="1745" spans="1:27" x14ac:dyDescent="0.25">
      <c r="A1745" s="17" t="s">
        <v>670</v>
      </c>
      <c r="B1745" s="18" t="s">
        <v>38</v>
      </c>
      <c r="C1745" s="63" t="str" cm="1">
        <f t="array" ref="C1745">_xlfn.SWITCH(Table22[[#This Row],[Country]],"USA","North America","Canada","North America","Brazil","South America","China","Asia","Japan","Asia","India","Asia","France","Europe","Germany","Europe","UK","Europe","Australia","Oceania","South America")</f>
        <v>Europe</v>
      </c>
      <c r="D1745" s="18" t="s">
        <v>35</v>
      </c>
      <c r="E1745" s="18" t="s">
        <v>39</v>
      </c>
      <c r="F1745" s="18" t="s">
        <v>52</v>
      </c>
      <c r="G1745" s="18" t="s">
        <v>22</v>
      </c>
      <c r="H1745" s="64">
        <f>LEN(TRIM(Table22[[#This Row],[Country]]))</f>
        <v>6</v>
      </c>
      <c r="I1745" s="64">
        <f>LEN(TRIM(Table22[[#This Row],[Continent]]))</f>
        <v>6</v>
      </c>
      <c r="J1745" s="64">
        <f>LEN(TRIM(Table22[[#This Row],[Product]]))</f>
        <v>10</v>
      </c>
      <c r="K1745" s="64">
        <f>LEN(TRIM(Table22[[#This Row],[Sales Team]]))</f>
        <v>10</v>
      </c>
      <c r="L1745" s="23">
        <v>17</v>
      </c>
      <c r="M1745" s="65" t="str" cm="1">
        <f t="array" ref="M1745">_xlfn.IFS(Table22[[#This Row],[Units Sold]]&lt;40,"Critical",Table22[[#This Row],[Units Sold]]&lt;=50,"Poor",Table22[[#This Row],[Units Sold]]&lt;=60,"Low",Table22[[#This Row],[Units Sold]]&lt;=80,"Average",Table22[[#This Row],[Units Sold]]&lt;=90,"High",Table22[[#This Row],[Units Sold]]&lt;=95,"Excellent",Table22[[#This Row],[Units Sold]]&gt;95,"Outstanding")</f>
        <v>Critical</v>
      </c>
      <c r="N1745" s="29">
        <v>328.16</v>
      </c>
      <c r="O1745" s="29">
        <v>5578.72</v>
      </c>
      <c r="P1745" s="43">
        <f>IF(Table22[[#This Row],[Discount Applied]],Table22[[#This Row],[Total Sales (in USD)]]*(1-Table22[[#This Row],[Discount Percentage (%)]]/100),Table22[[#This Row],[Total Sales (in USD)]])</f>
        <v>5578.72</v>
      </c>
      <c r="Q1745" s="66">
        <f>SQRT(AVERAGE((Table22[[#This Row],[Net Sales (after discount) (in USD)]]-AVERAGE(Table22[Net Sales (after discount) (in USD)]))^2))</f>
        <v>30932.640563764537</v>
      </c>
      <c r="R1745" s="18" t="b">
        <v>0</v>
      </c>
      <c r="S1745" s="40">
        <v>23.22</v>
      </c>
      <c r="T1745" s="18" t="b">
        <v>0</v>
      </c>
      <c r="U1745" s="25">
        <v>45380</v>
      </c>
      <c r="V1745" s="63" t="str">
        <f>IF(MONTH(Table22[[#This Row],[Sales Date]])&lt;=3,"Q1",IF(MONTH(Table22[[#This Row],[Sales Date]])&lt;=6,"Q2",IF(MONTH(Table22[[#This Row],[Sales Date]])&lt;=9,"Q3","Q4")))</f>
        <v>Q1</v>
      </c>
      <c r="W1745" s="64">
        <f>YEAR(Table22[[#This Row],[Sales Date]])</f>
        <v>2024</v>
      </c>
      <c r="X1745" s="23">
        <v>23</v>
      </c>
      <c r="Y1745" s="18" t="s">
        <v>49</v>
      </c>
      <c r="Z1745" s="18" t="s">
        <v>24</v>
      </c>
      <c r="AA1745" s="19" t="s">
        <v>25</v>
      </c>
    </row>
    <row r="1746" spans="1:27" x14ac:dyDescent="0.25">
      <c r="A1746" s="17" t="s">
        <v>307</v>
      </c>
      <c r="B1746" s="18" t="s">
        <v>51</v>
      </c>
      <c r="C1746" s="63" t="str" cm="1">
        <f t="array" ref="C1746">_xlfn.SWITCH(Table22[[#This Row],[Country]],"USA","North America","Canada","North America","Brazil","South America","China","Asia","Japan","Asia","India","Asia","France","Europe","Germany","Europe","UK","Europe","Australia","Oceania","South America")</f>
        <v>Europe</v>
      </c>
      <c r="D1746" s="18" t="s">
        <v>28</v>
      </c>
      <c r="E1746" s="18" t="s">
        <v>33</v>
      </c>
      <c r="F1746" s="18" t="s">
        <v>20</v>
      </c>
      <c r="G1746" s="18" t="s">
        <v>40</v>
      </c>
      <c r="H1746" s="64">
        <f>LEN(TRIM(Table22[[#This Row],[Country]]))</f>
        <v>2</v>
      </c>
      <c r="I1746" s="64">
        <f>LEN(TRIM(Table22[[#This Row],[Continent]]))</f>
        <v>6</v>
      </c>
      <c r="J1746" s="64">
        <f>LEN(TRIM(Table22[[#This Row],[Product]]))</f>
        <v>10</v>
      </c>
      <c r="K1746" s="64">
        <f>LEN(TRIM(Table22[[#This Row],[Sales Team]]))</f>
        <v>10</v>
      </c>
      <c r="L1746" s="23">
        <v>37</v>
      </c>
      <c r="M1746" s="65" t="str" cm="1">
        <f t="array" ref="M1746">_xlfn.IFS(Table22[[#This Row],[Units Sold]]&lt;40,"Critical",Table22[[#This Row],[Units Sold]]&lt;=50,"Poor",Table22[[#This Row],[Units Sold]]&lt;=60,"Low",Table22[[#This Row],[Units Sold]]&lt;=80,"Average",Table22[[#This Row],[Units Sold]]&lt;=90,"High",Table22[[#This Row],[Units Sold]]&lt;=95,"Excellent",Table22[[#This Row],[Units Sold]]&gt;95,"Outstanding")</f>
        <v>Critical</v>
      </c>
      <c r="N1746" s="29">
        <v>150.30000000000001</v>
      </c>
      <c r="O1746" s="29">
        <v>5561.1</v>
      </c>
      <c r="P1746" s="43">
        <f>IF(Table22[[#This Row],[Discount Applied]],Table22[[#This Row],[Total Sales (in USD)]]*(1-Table22[[#This Row],[Discount Percentage (%)]]/100),Table22[[#This Row],[Total Sales (in USD)]])</f>
        <v>5561.1</v>
      </c>
      <c r="Q1746" s="66">
        <f>SQRT(AVERAGE((Table22[[#This Row],[Net Sales (after discount) (in USD)]]-AVERAGE(Table22[Net Sales (after discount) (in USD)]))^2))</f>
        <v>30950.260563764539</v>
      </c>
      <c r="R1746" s="18" t="b">
        <v>0</v>
      </c>
      <c r="S1746" s="40">
        <v>16.809999999999999</v>
      </c>
      <c r="T1746" s="18" t="b">
        <v>0</v>
      </c>
      <c r="U1746" s="25">
        <v>44947</v>
      </c>
      <c r="V1746" s="63" t="str">
        <f>IF(MONTH(Table22[[#This Row],[Sales Date]])&lt;=3,"Q1",IF(MONTH(Table22[[#This Row],[Sales Date]])&lt;=6,"Q2",IF(MONTH(Table22[[#This Row],[Sales Date]])&lt;=9,"Q3","Q4")))</f>
        <v>Q1</v>
      </c>
      <c r="W1746" s="64">
        <f>YEAR(Table22[[#This Row],[Sales Date]])</f>
        <v>2023</v>
      </c>
      <c r="X1746" s="23">
        <v>51</v>
      </c>
      <c r="Y1746" s="18" t="s">
        <v>49</v>
      </c>
      <c r="Z1746" s="18" t="s">
        <v>30</v>
      </c>
      <c r="AA1746" s="19" t="s">
        <v>25</v>
      </c>
    </row>
    <row r="1747" spans="1:27" x14ac:dyDescent="0.25">
      <c r="A1747" s="17" t="s">
        <v>1479</v>
      </c>
      <c r="B1747" s="18" t="s">
        <v>76</v>
      </c>
      <c r="C1747" s="63" t="str" cm="1">
        <f t="array" ref="C1747">_xlfn.SWITCH(Table22[[#This Row],[Country]],"USA","North America","Canada","North America","Brazil","South America","China","Asia","Japan","Asia","India","Asia","France","Europe","Germany","Europe","UK","Europe","Australia","Oceania","South America")</f>
        <v>Asia</v>
      </c>
      <c r="D1747" s="18" t="s">
        <v>44</v>
      </c>
      <c r="E1747" s="18" t="s">
        <v>33</v>
      </c>
      <c r="F1747" s="18" t="s">
        <v>34</v>
      </c>
      <c r="G1747" s="18" t="s">
        <v>48</v>
      </c>
      <c r="H1747" s="64">
        <f>LEN(TRIM(Table22[[#This Row],[Country]]))</f>
        <v>5</v>
      </c>
      <c r="I1747" s="64">
        <f>LEN(TRIM(Table22[[#This Row],[Continent]]))</f>
        <v>4</v>
      </c>
      <c r="J1747" s="64">
        <f>LEN(TRIM(Table22[[#This Row],[Product]]))</f>
        <v>10</v>
      </c>
      <c r="K1747" s="64">
        <f>LEN(TRIM(Table22[[#This Row],[Sales Team]]))</f>
        <v>9</v>
      </c>
      <c r="L1747" s="23">
        <v>14</v>
      </c>
      <c r="M1747" s="65" t="str" cm="1">
        <f t="array" ref="M1747">_xlfn.IFS(Table22[[#This Row],[Units Sold]]&lt;40,"Critical",Table22[[#This Row],[Units Sold]]&lt;=50,"Poor",Table22[[#This Row],[Units Sold]]&lt;=60,"Low",Table22[[#This Row],[Units Sold]]&lt;=80,"Average",Table22[[#This Row],[Units Sold]]&lt;=90,"High",Table22[[#This Row],[Units Sold]]&lt;=95,"Excellent",Table22[[#This Row],[Units Sold]]&gt;95,"Outstanding")</f>
        <v>Critical</v>
      </c>
      <c r="N1747" s="29">
        <v>393.62</v>
      </c>
      <c r="O1747" s="29">
        <v>5510.68</v>
      </c>
      <c r="P1747" s="43">
        <f>IF(Table22[[#This Row],[Discount Applied]],Table22[[#This Row],[Total Sales (in USD)]]*(1-Table22[[#This Row],[Discount Percentage (%)]]/100),Table22[[#This Row],[Total Sales (in USD)]])</f>
        <v>5510.68</v>
      </c>
      <c r="Q1747" s="66">
        <f>SQRT(AVERAGE((Table22[[#This Row],[Net Sales (after discount) (in USD)]]-AVERAGE(Table22[Net Sales (after discount) (in USD)]))^2))</f>
        <v>31000.680563764538</v>
      </c>
      <c r="R1747" s="18" t="b">
        <v>0</v>
      </c>
      <c r="S1747" s="40">
        <v>22.5</v>
      </c>
      <c r="T1747" s="18" t="b">
        <v>0</v>
      </c>
      <c r="U1747" s="25">
        <v>45054</v>
      </c>
      <c r="V1747" s="63" t="str">
        <f>IF(MONTH(Table22[[#This Row],[Sales Date]])&lt;=3,"Q1",IF(MONTH(Table22[[#This Row],[Sales Date]])&lt;=6,"Q2",IF(MONTH(Table22[[#This Row],[Sales Date]])&lt;=9,"Q3","Q4")))</f>
        <v>Q2</v>
      </c>
      <c r="W1747" s="64">
        <f>YEAR(Table22[[#This Row],[Sales Date]])</f>
        <v>2023</v>
      </c>
      <c r="X1747" s="23">
        <v>18</v>
      </c>
      <c r="Y1747" s="18" t="s">
        <v>49</v>
      </c>
      <c r="Z1747" s="18" t="s">
        <v>42</v>
      </c>
      <c r="AA1747" s="19" t="s">
        <v>25</v>
      </c>
    </row>
    <row r="1748" spans="1:27" x14ac:dyDescent="0.25">
      <c r="A1748" s="17" t="s">
        <v>684</v>
      </c>
      <c r="B1748" s="18" t="s">
        <v>76</v>
      </c>
      <c r="C1748" s="63" t="str" cm="1">
        <f t="array" ref="C1748">_xlfn.SWITCH(Table22[[#This Row],[Country]],"USA","North America","Canada","North America","Brazil","South America","China","Asia","Japan","Asia","India","Asia","France","Europe","Germany","Europe","UK","Europe","Australia","Oceania","South America")</f>
        <v>Asia</v>
      </c>
      <c r="D1748" s="18" t="s">
        <v>28</v>
      </c>
      <c r="E1748" s="18" t="s">
        <v>33</v>
      </c>
      <c r="F1748" s="18" t="s">
        <v>52</v>
      </c>
      <c r="G1748" s="18" t="s">
        <v>40</v>
      </c>
      <c r="H1748" s="64">
        <f>LEN(TRIM(Table22[[#This Row],[Country]]))</f>
        <v>5</v>
      </c>
      <c r="I1748" s="64">
        <f>LEN(TRIM(Table22[[#This Row],[Continent]]))</f>
        <v>4</v>
      </c>
      <c r="J1748" s="64">
        <f>LEN(TRIM(Table22[[#This Row],[Product]]))</f>
        <v>10</v>
      </c>
      <c r="K1748" s="64">
        <f>LEN(TRIM(Table22[[#This Row],[Sales Team]]))</f>
        <v>10</v>
      </c>
      <c r="L1748" s="23">
        <v>12</v>
      </c>
      <c r="M1748" s="65" t="str" cm="1">
        <f t="array" ref="M1748">_xlfn.IFS(Table22[[#This Row],[Units Sold]]&lt;40,"Critical",Table22[[#This Row],[Units Sold]]&lt;=50,"Poor",Table22[[#This Row],[Units Sold]]&lt;=60,"Low",Table22[[#This Row],[Units Sold]]&lt;=80,"Average",Table22[[#This Row],[Units Sold]]&lt;=90,"High",Table22[[#This Row],[Units Sold]]&lt;=95,"Excellent",Table22[[#This Row],[Units Sold]]&gt;95,"Outstanding")</f>
        <v>Critical</v>
      </c>
      <c r="N1748" s="29">
        <v>453.77</v>
      </c>
      <c r="O1748" s="29">
        <v>5445.24</v>
      </c>
      <c r="P1748" s="43">
        <f>IF(Table22[[#This Row],[Discount Applied]],Table22[[#This Row],[Total Sales (in USD)]]*(1-Table22[[#This Row],[Discount Percentage (%)]]/100),Table22[[#This Row],[Total Sales (in USD)]])</f>
        <v>4239.1193399999993</v>
      </c>
      <c r="Q1748" s="66">
        <f>SQRT(AVERAGE((Table22[[#This Row],[Net Sales (after discount) (in USD)]]-AVERAGE(Table22[Net Sales (after discount) (in USD)]))^2))</f>
        <v>32272.24122376454</v>
      </c>
      <c r="R1748" s="18" t="b">
        <v>1</v>
      </c>
      <c r="S1748" s="40">
        <v>22.15</v>
      </c>
      <c r="T1748" s="18" t="b">
        <v>1</v>
      </c>
      <c r="U1748" s="25">
        <v>45486</v>
      </c>
      <c r="V1748" s="63" t="str">
        <f>IF(MONTH(Table22[[#This Row],[Sales Date]])&lt;=3,"Q1",IF(MONTH(Table22[[#This Row],[Sales Date]])&lt;=6,"Q2",IF(MONTH(Table22[[#This Row],[Sales Date]])&lt;=9,"Q3","Q4")))</f>
        <v>Q3</v>
      </c>
      <c r="W1748" s="64">
        <f>YEAR(Table22[[#This Row],[Sales Date]])</f>
        <v>2024</v>
      </c>
      <c r="X1748" s="23">
        <v>52</v>
      </c>
      <c r="Y1748" s="18" t="s">
        <v>41</v>
      </c>
      <c r="Z1748" s="18" t="s">
        <v>56</v>
      </c>
      <c r="AA1748" s="19" t="s">
        <v>25</v>
      </c>
    </row>
    <row r="1749" spans="1:27" x14ac:dyDescent="0.25">
      <c r="A1749" s="17" t="s">
        <v>578</v>
      </c>
      <c r="B1749" s="18" t="s">
        <v>18</v>
      </c>
      <c r="C1749" s="63" t="str" cm="1">
        <f t="array" ref="C1749">_xlfn.SWITCH(Table22[[#This Row],[Country]],"USA","North America","Canada","North America","Brazil","South America","China","Asia","Japan","Asia","India","Asia","France","Europe","Germany","Europe","UK","Europe","Australia","Oceania","South America")</f>
        <v>Asia</v>
      </c>
      <c r="D1749" s="18" t="s">
        <v>28</v>
      </c>
      <c r="E1749" s="18" t="s">
        <v>19</v>
      </c>
      <c r="F1749" s="18" t="s">
        <v>64</v>
      </c>
      <c r="G1749" s="18" t="s">
        <v>29</v>
      </c>
      <c r="H1749" s="64">
        <f>LEN(TRIM(Table22[[#This Row],[Country]]))</f>
        <v>5</v>
      </c>
      <c r="I1749" s="64">
        <f>LEN(TRIM(Table22[[#This Row],[Continent]]))</f>
        <v>4</v>
      </c>
      <c r="J1749" s="64">
        <f>LEN(TRIM(Table22[[#This Row],[Product]]))</f>
        <v>6</v>
      </c>
      <c r="K1749" s="64">
        <f>LEN(TRIM(Table22[[#This Row],[Sales Team]]))</f>
        <v>10</v>
      </c>
      <c r="L1749" s="23">
        <v>80</v>
      </c>
      <c r="M1749" s="65" t="str" cm="1">
        <f t="array" ref="M1749">_xlfn.IFS(Table22[[#This Row],[Units Sold]]&lt;40,"Critical",Table22[[#This Row],[Units Sold]]&lt;=50,"Poor",Table22[[#This Row],[Units Sold]]&lt;=60,"Low",Table22[[#This Row],[Units Sold]]&lt;=80,"Average",Table22[[#This Row],[Units Sold]]&lt;=90,"High",Table22[[#This Row],[Units Sold]]&lt;=95,"Excellent",Table22[[#This Row],[Units Sold]]&gt;95,"Outstanding")</f>
        <v>Average</v>
      </c>
      <c r="N1749" s="29">
        <v>68.02</v>
      </c>
      <c r="O1749" s="29">
        <v>5441.6</v>
      </c>
      <c r="P1749" s="43">
        <f>IF(Table22[[#This Row],[Discount Applied]],Table22[[#This Row],[Total Sales (in USD)]]*(1-Table22[[#This Row],[Discount Percentage (%)]]/100),Table22[[#This Row],[Total Sales (in USD)]])</f>
        <v>5441.6</v>
      </c>
      <c r="Q1749" s="66">
        <f>SQRT(AVERAGE((Table22[[#This Row],[Net Sales (after discount) (in USD)]]-AVERAGE(Table22[Net Sales (after discount) (in USD)]))^2))</f>
        <v>31069.760563764539</v>
      </c>
      <c r="R1749" s="18" t="b">
        <v>0</v>
      </c>
      <c r="S1749" s="40">
        <v>27.28</v>
      </c>
      <c r="T1749" s="18" t="b">
        <v>0</v>
      </c>
      <c r="U1749" s="25">
        <v>45370</v>
      </c>
      <c r="V1749" s="63" t="str">
        <f>IF(MONTH(Table22[[#This Row],[Sales Date]])&lt;=3,"Q1",IF(MONTH(Table22[[#This Row],[Sales Date]])&lt;=6,"Q2",IF(MONTH(Table22[[#This Row],[Sales Date]])&lt;=9,"Q3","Q4")))</f>
        <v>Q1</v>
      </c>
      <c r="W1749" s="64">
        <f>YEAR(Table22[[#This Row],[Sales Date]])</f>
        <v>2024</v>
      </c>
      <c r="X1749" s="23">
        <v>66</v>
      </c>
      <c r="Y1749" s="18" t="s">
        <v>41</v>
      </c>
      <c r="Z1749" s="18" t="s">
        <v>24</v>
      </c>
      <c r="AA1749" s="19" t="s">
        <v>36</v>
      </c>
    </row>
    <row r="1750" spans="1:27" x14ac:dyDescent="0.25">
      <c r="A1750" s="17" t="s">
        <v>1720</v>
      </c>
      <c r="B1750" s="18" t="s">
        <v>51</v>
      </c>
      <c r="C1750" s="63" t="str" cm="1">
        <f t="array" ref="C1750">_xlfn.SWITCH(Table22[[#This Row],[Country]],"USA","North America","Canada","North America","Brazil","South America","China","Asia","Japan","Asia","India","Asia","France","Europe","Germany","Europe","UK","Europe","Australia","Oceania","South America")</f>
        <v>Europe</v>
      </c>
      <c r="D1750" s="18" t="s">
        <v>35</v>
      </c>
      <c r="E1750" s="18" t="s">
        <v>39</v>
      </c>
      <c r="F1750" s="18" t="s">
        <v>20</v>
      </c>
      <c r="G1750" s="18" t="s">
        <v>22</v>
      </c>
      <c r="H1750" s="64">
        <f>LEN(TRIM(Table22[[#This Row],[Country]]))</f>
        <v>2</v>
      </c>
      <c r="I1750" s="64">
        <f>LEN(TRIM(Table22[[#This Row],[Continent]]))</f>
        <v>6</v>
      </c>
      <c r="J1750" s="64">
        <f>LEN(TRIM(Table22[[#This Row],[Product]]))</f>
        <v>10</v>
      </c>
      <c r="K1750" s="64">
        <f>LEN(TRIM(Table22[[#This Row],[Sales Team]]))</f>
        <v>10</v>
      </c>
      <c r="L1750" s="23">
        <v>32</v>
      </c>
      <c r="M1750" s="65" t="str" cm="1">
        <f t="array" ref="M1750">_xlfn.IFS(Table22[[#This Row],[Units Sold]]&lt;40,"Critical",Table22[[#This Row],[Units Sold]]&lt;=50,"Poor",Table22[[#This Row],[Units Sold]]&lt;=60,"Low",Table22[[#This Row],[Units Sold]]&lt;=80,"Average",Table22[[#This Row],[Units Sold]]&lt;=90,"High",Table22[[#This Row],[Units Sold]]&lt;=95,"Excellent",Table22[[#This Row],[Units Sold]]&gt;95,"Outstanding")</f>
        <v>Critical</v>
      </c>
      <c r="N1750" s="29">
        <v>169.41</v>
      </c>
      <c r="O1750" s="29">
        <v>5421.12</v>
      </c>
      <c r="P1750" s="43">
        <f>IF(Table22[[#This Row],[Discount Applied]],Table22[[#This Row],[Total Sales (in USD)]]*(1-Table22[[#This Row],[Discount Percentage (%)]]/100),Table22[[#This Row],[Total Sales (in USD)]])</f>
        <v>5071.4577600000002</v>
      </c>
      <c r="Q1750" s="66">
        <f>SQRT(AVERAGE((Table22[[#This Row],[Net Sales (after discount) (in USD)]]-AVERAGE(Table22[Net Sales (after discount) (in USD)]))^2))</f>
        <v>31439.902803764537</v>
      </c>
      <c r="R1750" s="18" t="b">
        <v>0</v>
      </c>
      <c r="S1750" s="40">
        <v>6.45</v>
      </c>
      <c r="T1750" s="18" t="b">
        <v>1</v>
      </c>
      <c r="U1750" s="25">
        <v>44947</v>
      </c>
      <c r="V1750" s="63" t="str">
        <f>IF(MONTH(Table22[[#This Row],[Sales Date]])&lt;=3,"Q1",IF(MONTH(Table22[[#This Row],[Sales Date]])&lt;=6,"Q2",IF(MONTH(Table22[[#This Row],[Sales Date]])&lt;=9,"Q3","Q4")))</f>
        <v>Q1</v>
      </c>
      <c r="W1750" s="64">
        <f>YEAR(Table22[[#This Row],[Sales Date]])</f>
        <v>2023</v>
      </c>
      <c r="X1750" s="23">
        <v>58</v>
      </c>
      <c r="Y1750" s="18" t="s">
        <v>23</v>
      </c>
      <c r="Z1750" s="18" t="s">
        <v>42</v>
      </c>
      <c r="AA1750" s="19" t="s">
        <v>36</v>
      </c>
    </row>
    <row r="1751" spans="1:27" x14ac:dyDescent="0.25">
      <c r="A1751" s="17" t="s">
        <v>2022</v>
      </c>
      <c r="B1751" s="18" t="s">
        <v>76</v>
      </c>
      <c r="C1751" s="63" t="str" cm="1">
        <f t="array" ref="C1751">_xlfn.SWITCH(Table22[[#This Row],[Country]],"USA","North America","Canada","North America","Brazil","South America","China","Asia","Japan","Asia","India","Asia","France","Europe","Germany","Europe","UK","Europe","Australia","Oceania","South America")</f>
        <v>Asia</v>
      </c>
      <c r="D1751" s="18" t="s">
        <v>21</v>
      </c>
      <c r="E1751" s="18" t="s">
        <v>19</v>
      </c>
      <c r="F1751" s="18" t="s">
        <v>34</v>
      </c>
      <c r="G1751" s="18" t="s">
        <v>48</v>
      </c>
      <c r="H1751" s="64">
        <f>LEN(TRIM(Table22[[#This Row],[Country]]))</f>
        <v>5</v>
      </c>
      <c r="I1751" s="64">
        <f>LEN(TRIM(Table22[[#This Row],[Continent]]))</f>
        <v>4</v>
      </c>
      <c r="J1751" s="64">
        <f>LEN(TRIM(Table22[[#This Row],[Product]]))</f>
        <v>6</v>
      </c>
      <c r="K1751" s="64">
        <f>LEN(TRIM(Table22[[#This Row],[Sales Team]]))</f>
        <v>9</v>
      </c>
      <c r="L1751" s="23">
        <v>55</v>
      </c>
      <c r="M1751" s="65" t="str" cm="1">
        <f t="array" ref="M1751">_xlfn.IFS(Table22[[#This Row],[Units Sold]]&lt;40,"Critical",Table22[[#This Row],[Units Sold]]&lt;=50,"Poor",Table22[[#This Row],[Units Sold]]&lt;=60,"Low",Table22[[#This Row],[Units Sold]]&lt;=80,"Average",Table22[[#This Row],[Units Sold]]&lt;=90,"High",Table22[[#This Row],[Units Sold]]&lt;=95,"Excellent",Table22[[#This Row],[Units Sold]]&gt;95,"Outstanding")</f>
        <v>Low</v>
      </c>
      <c r="N1751" s="29">
        <v>97.93</v>
      </c>
      <c r="O1751" s="29">
        <v>5386.15</v>
      </c>
      <c r="P1751" s="43">
        <f>IF(Table22[[#This Row],[Discount Applied]],Table22[[#This Row],[Total Sales (in USD)]]*(1-Table22[[#This Row],[Discount Percentage (%)]]/100),Table22[[#This Row],[Total Sales (in USD)]])</f>
        <v>5386.15</v>
      </c>
      <c r="Q1751" s="66">
        <f>SQRT(AVERAGE((Table22[[#This Row],[Net Sales (after discount) (in USD)]]-AVERAGE(Table22[Net Sales (after discount) (in USD)]))^2))</f>
        <v>31125.210563764536</v>
      </c>
      <c r="R1751" s="18" t="b">
        <v>1</v>
      </c>
      <c r="S1751" s="40">
        <v>26.32</v>
      </c>
      <c r="T1751" s="18" t="b">
        <v>0</v>
      </c>
      <c r="U1751" s="25">
        <v>45352</v>
      </c>
      <c r="V1751" s="63" t="str">
        <f>IF(MONTH(Table22[[#This Row],[Sales Date]])&lt;=3,"Q1",IF(MONTH(Table22[[#This Row],[Sales Date]])&lt;=6,"Q2",IF(MONTH(Table22[[#This Row],[Sales Date]])&lt;=9,"Q3","Q4")))</f>
        <v>Q1</v>
      </c>
      <c r="W1751" s="64">
        <f>YEAR(Table22[[#This Row],[Sales Date]])</f>
        <v>2024</v>
      </c>
      <c r="X1751" s="23">
        <v>46</v>
      </c>
      <c r="Y1751" s="18" t="s">
        <v>49</v>
      </c>
      <c r="Z1751" s="18" t="s">
        <v>30</v>
      </c>
      <c r="AA1751" s="19" t="s">
        <v>36</v>
      </c>
    </row>
    <row r="1752" spans="1:27" x14ac:dyDescent="0.25">
      <c r="A1752" s="17" t="s">
        <v>1742</v>
      </c>
      <c r="B1752" s="18" t="s">
        <v>27</v>
      </c>
      <c r="C1752" s="63" t="str" cm="1">
        <f t="array" ref="C1752">_xlfn.SWITCH(Table22[[#This Row],[Country]],"USA","North America","Canada","North America","Brazil","South America","China","Asia","Japan","Asia","India","Asia","France","Europe","Germany","Europe","UK","Europe","Australia","Oceania","South America")</f>
        <v>Europe</v>
      </c>
      <c r="D1752" s="18" t="s">
        <v>21</v>
      </c>
      <c r="E1752" s="18" t="s">
        <v>39</v>
      </c>
      <c r="F1752" s="18" t="s">
        <v>52</v>
      </c>
      <c r="G1752" s="18" t="s">
        <v>29</v>
      </c>
      <c r="H1752" s="64">
        <f>LEN(TRIM(Table22[[#This Row],[Country]]))</f>
        <v>7</v>
      </c>
      <c r="I1752" s="64">
        <f>LEN(TRIM(Table22[[#This Row],[Continent]]))</f>
        <v>6</v>
      </c>
      <c r="J1752" s="64">
        <f>LEN(TRIM(Table22[[#This Row],[Product]]))</f>
        <v>10</v>
      </c>
      <c r="K1752" s="64">
        <f>LEN(TRIM(Table22[[#This Row],[Sales Team]]))</f>
        <v>10</v>
      </c>
      <c r="L1752" s="23">
        <v>50</v>
      </c>
      <c r="M1752" s="65" t="str" cm="1">
        <f t="array" ref="M1752">_xlfn.IFS(Table22[[#This Row],[Units Sold]]&lt;40,"Critical",Table22[[#This Row],[Units Sold]]&lt;=50,"Poor",Table22[[#This Row],[Units Sold]]&lt;=60,"Low",Table22[[#This Row],[Units Sold]]&lt;=80,"Average",Table22[[#This Row],[Units Sold]]&lt;=90,"High",Table22[[#This Row],[Units Sold]]&lt;=95,"Excellent",Table22[[#This Row],[Units Sold]]&gt;95,"Outstanding")</f>
        <v>Poor</v>
      </c>
      <c r="N1752" s="29">
        <v>107.14</v>
      </c>
      <c r="O1752" s="29">
        <v>5357</v>
      </c>
      <c r="P1752" s="43">
        <f>IF(Table22[[#This Row],[Discount Applied]],Table22[[#This Row],[Total Sales (in USD)]]*(1-Table22[[#This Row],[Discount Percentage (%)]]/100),Table22[[#This Row],[Total Sales (in USD)]])</f>
        <v>4315.5991999999997</v>
      </c>
      <c r="Q1752" s="66">
        <f>SQRT(AVERAGE((Table22[[#This Row],[Net Sales (after discount) (in USD)]]-AVERAGE(Table22[Net Sales (after discount) (in USD)]))^2))</f>
        <v>32195.761363764537</v>
      </c>
      <c r="R1752" s="18" t="b">
        <v>1</v>
      </c>
      <c r="S1752" s="40">
        <v>19.440000000000001</v>
      </c>
      <c r="T1752" s="18" t="b">
        <v>1</v>
      </c>
      <c r="U1752" s="25">
        <v>45016</v>
      </c>
      <c r="V1752" s="63" t="str">
        <f>IF(MONTH(Table22[[#This Row],[Sales Date]])&lt;=3,"Q1",IF(MONTH(Table22[[#This Row],[Sales Date]])&lt;=6,"Q2",IF(MONTH(Table22[[#This Row],[Sales Date]])&lt;=9,"Q3","Q4")))</f>
        <v>Q1</v>
      </c>
      <c r="W1752" s="64">
        <f>YEAR(Table22[[#This Row],[Sales Date]])</f>
        <v>2023</v>
      </c>
      <c r="X1752" s="23">
        <v>60</v>
      </c>
      <c r="Y1752" s="18" t="s">
        <v>49</v>
      </c>
      <c r="Z1752" s="18" t="s">
        <v>42</v>
      </c>
      <c r="AA1752" s="19" t="s">
        <v>25</v>
      </c>
    </row>
    <row r="1753" spans="1:27" x14ac:dyDescent="0.25">
      <c r="A1753" s="17" t="s">
        <v>300</v>
      </c>
      <c r="B1753" s="18" t="s">
        <v>27</v>
      </c>
      <c r="C1753" s="63" t="str" cm="1">
        <f t="array" ref="C1753">_xlfn.SWITCH(Table22[[#This Row],[Country]],"USA","North America","Canada","North America","Brazil","South America","China","Asia","Japan","Asia","India","Asia","France","Europe","Germany","Europe","UK","Europe","Australia","Oceania","South America")</f>
        <v>Europe</v>
      </c>
      <c r="D1753" s="18" t="s">
        <v>35</v>
      </c>
      <c r="E1753" s="18" t="s">
        <v>33</v>
      </c>
      <c r="F1753" s="18" t="s">
        <v>64</v>
      </c>
      <c r="G1753" s="18" t="s">
        <v>22</v>
      </c>
      <c r="H1753" s="64">
        <f>LEN(TRIM(Table22[[#This Row],[Country]]))</f>
        <v>7</v>
      </c>
      <c r="I1753" s="64">
        <f>LEN(TRIM(Table22[[#This Row],[Continent]]))</f>
        <v>6</v>
      </c>
      <c r="J1753" s="64">
        <f>LEN(TRIM(Table22[[#This Row],[Product]]))</f>
        <v>10</v>
      </c>
      <c r="K1753" s="64">
        <f>LEN(TRIM(Table22[[#This Row],[Sales Team]]))</f>
        <v>10</v>
      </c>
      <c r="L1753" s="23">
        <v>83</v>
      </c>
      <c r="M1753" s="65" t="str" cm="1">
        <f t="array" ref="M1753">_xlfn.IFS(Table22[[#This Row],[Units Sold]]&lt;40,"Critical",Table22[[#This Row],[Units Sold]]&lt;=50,"Poor",Table22[[#This Row],[Units Sold]]&lt;=60,"Low",Table22[[#This Row],[Units Sold]]&lt;=80,"Average",Table22[[#This Row],[Units Sold]]&lt;=90,"High",Table22[[#This Row],[Units Sold]]&lt;=95,"Excellent",Table22[[#This Row],[Units Sold]]&gt;95,"Outstanding")</f>
        <v>High</v>
      </c>
      <c r="N1753" s="29">
        <v>64.28</v>
      </c>
      <c r="O1753" s="29">
        <v>5335.24</v>
      </c>
      <c r="P1753" s="43">
        <f>IF(Table22[[#This Row],[Discount Applied]],Table22[[#This Row],[Total Sales (in USD)]]*(1-Table22[[#This Row],[Discount Percentage (%)]]/100),Table22[[#This Row],[Total Sales (in USD)]])</f>
        <v>5335.24</v>
      </c>
      <c r="Q1753" s="66">
        <f>SQRT(AVERAGE((Table22[[#This Row],[Net Sales (after discount) (in USD)]]-AVERAGE(Table22[Net Sales (after discount) (in USD)]))^2))</f>
        <v>31176.12056376454</v>
      </c>
      <c r="R1753" s="18" t="b">
        <v>0</v>
      </c>
      <c r="S1753" s="40">
        <v>6.31</v>
      </c>
      <c r="T1753" s="18" t="b">
        <v>0</v>
      </c>
      <c r="U1753" s="25">
        <v>45193</v>
      </c>
      <c r="V1753" s="63" t="str">
        <f>IF(MONTH(Table22[[#This Row],[Sales Date]])&lt;=3,"Q1",IF(MONTH(Table22[[#This Row],[Sales Date]])&lt;=6,"Q2",IF(MONTH(Table22[[#This Row],[Sales Date]])&lt;=9,"Q3","Q4")))</f>
        <v>Q3</v>
      </c>
      <c r="W1753" s="64">
        <f>YEAR(Table22[[#This Row],[Sales Date]])</f>
        <v>2023</v>
      </c>
      <c r="X1753" s="23">
        <v>34</v>
      </c>
      <c r="Y1753" s="18" t="s">
        <v>41</v>
      </c>
      <c r="Z1753" s="18" t="s">
        <v>56</v>
      </c>
      <c r="AA1753" s="19" t="s">
        <v>25</v>
      </c>
    </row>
    <row r="1754" spans="1:27" x14ac:dyDescent="0.25">
      <c r="A1754" s="17" t="s">
        <v>538</v>
      </c>
      <c r="B1754" s="18" t="s">
        <v>72</v>
      </c>
      <c r="C1754" s="63" t="str" cm="1">
        <f t="array" ref="C1754">_xlfn.SWITCH(Table22[[#This Row],[Country]],"USA","North America","Canada","North America","Brazil","South America","China","Asia","Japan","Asia","India","Asia","France","Europe","Germany","Europe","UK","Europe","Australia","Oceania","South America")</f>
        <v>North America</v>
      </c>
      <c r="D1754" s="18" t="s">
        <v>44</v>
      </c>
      <c r="E1754" s="18" t="s">
        <v>33</v>
      </c>
      <c r="F1754" s="18" t="s">
        <v>52</v>
      </c>
      <c r="G1754" s="18" t="s">
        <v>48</v>
      </c>
      <c r="H1754" s="64">
        <f>LEN(TRIM(Table22[[#This Row],[Country]]))</f>
        <v>3</v>
      </c>
      <c r="I1754" s="64">
        <f>LEN(TRIM(Table22[[#This Row],[Continent]]))</f>
        <v>13</v>
      </c>
      <c r="J1754" s="64">
        <f>LEN(TRIM(Table22[[#This Row],[Product]]))</f>
        <v>10</v>
      </c>
      <c r="K1754" s="64">
        <f>LEN(TRIM(Table22[[#This Row],[Sales Team]]))</f>
        <v>9</v>
      </c>
      <c r="L1754" s="23">
        <v>23</v>
      </c>
      <c r="M1754" s="65" t="str" cm="1">
        <f t="array" ref="M1754">_xlfn.IFS(Table22[[#This Row],[Units Sold]]&lt;40,"Critical",Table22[[#This Row],[Units Sold]]&lt;=50,"Poor",Table22[[#This Row],[Units Sold]]&lt;=60,"Low",Table22[[#This Row],[Units Sold]]&lt;=80,"Average",Table22[[#This Row],[Units Sold]]&lt;=90,"High",Table22[[#This Row],[Units Sold]]&lt;=95,"Excellent",Table22[[#This Row],[Units Sold]]&gt;95,"Outstanding")</f>
        <v>Critical</v>
      </c>
      <c r="N1754" s="29">
        <v>230.81</v>
      </c>
      <c r="O1754" s="29">
        <v>5308.63</v>
      </c>
      <c r="P1754" s="43">
        <f>IF(Table22[[#This Row],[Discount Applied]],Table22[[#This Row],[Total Sales (in USD)]]*(1-Table22[[#This Row],[Discount Percentage (%)]]/100),Table22[[#This Row],[Total Sales (in USD)]])</f>
        <v>4599.3970320000008</v>
      </c>
      <c r="Q1754" s="66">
        <f>SQRT(AVERAGE((Table22[[#This Row],[Net Sales (after discount) (in USD)]]-AVERAGE(Table22[Net Sales (after discount) (in USD)]))^2))</f>
        <v>31911.963531764537</v>
      </c>
      <c r="R1754" s="18" t="b">
        <v>1</v>
      </c>
      <c r="S1754" s="40">
        <v>13.36</v>
      </c>
      <c r="T1754" s="18" t="b">
        <v>1</v>
      </c>
      <c r="U1754" s="25">
        <v>45038</v>
      </c>
      <c r="V1754" s="63" t="str">
        <f>IF(MONTH(Table22[[#This Row],[Sales Date]])&lt;=3,"Q1",IF(MONTH(Table22[[#This Row],[Sales Date]])&lt;=6,"Q2",IF(MONTH(Table22[[#This Row],[Sales Date]])&lt;=9,"Q3","Q4")))</f>
        <v>Q2</v>
      </c>
      <c r="W1754" s="64">
        <f>YEAR(Table22[[#This Row],[Sales Date]])</f>
        <v>2023</v>
      </c>
      <c r="X1754" s="23">
        <v>57</v>
      </c>
      <c r="Y1754" s="18" t="s">
        <v>23</v>
      </c>
      <c r="Z1754" s="18" t="s">
        <v>24</v>
      </c>
      <c r="AA1754" s="19" t="s">
        <v>36</v>
      </c>
    </row>
    <row r="1755" spans="1:27" x14ac:dyDescent="0.25">
      <c r="A1755" s="17" t="s">
        <v>1065</v>
      </c>
      <c r="B1755" s="18" t="s">
        <v>51</v>
      </c>
      <c r="C1755" s="63" t="str" cm="1">
        <f t="array" ref="C1755">_xlfn.SWITCH(Table22[[#This Row],[Country]],"USA","North America","Canada","North America","Brazil","South America","China","Asia","Japan","Asia","India","Asia","France","Europe","Germany","Europe","UK","Europe","Australia","Oceania","South America")</f>
        <v>Europe</v>
      </c>
      <c r="D1755" s="18" t="s">
        <v>35</v>
      </c>
      <c r="E1755" s="18" t="s">
        <v>39</v>
      </c>
      <c r="F1755" s="18" t="s">
        <v>47</v>
      </c>
      <c r="G1755" s="18" t="s">
        <v>22</v>
      </c>
      <c r="H1755" s="64">
        <f>LEN(TRIM(Table22[[#This Row],[Country]]))</f>
        <v>2</v>
      </c>
      <c r="I1755" s="64">
        <f>LEN(TRIM(Table22[[#This Row],[Continent]]))</f>
        <v>6</v>
      </c>
      <c r="J1755" s="64">
        <f>LEN(TRIM(Table22[[#This Row],[Product]]))</f>
        <v>10</v>
      </c>
      <c r="K1755" s="64">
        <f>LEN(TRIM(Table22[[#This Row],[Sales Team]]))</f>
        <v>10</v>
      </c>
      <c r="L1755" s="23">
        <v>38</v>
      </c>
      <c r="M1755" s="65" t="str" cm="1">
        <f t="array" ref="M1755">_xlfn.IFS(Table22[[#This Row],[Units Sold]]&lt;40,"Critical",Table22[[#This Row],[Units Sold]]&lt;=50,"Poor",Table22[[#This Row],[Units Sold]]&lt;=60,"Low",Table22[[#This Row],[Units Sold]]&lt;=80,"Average",Table22[[#This Row],[Units Sold]]&lt;=90,"High",Table22[[#This Row],[Units Sold]]&lt;=95,"Excellent",Table22[[#This Row],[Units Sold]]&gt;95,"Outstanding")</f>
        <v>Critical</v>
      </c>
      <c r="N1755" s="29">
        <v>139.26</v>
      </c>
      <c r="O1755" s="29">
        <v>5291.88</v>
      </c>
      <c r="P1755" s="43">
        <f>IF(Table22[[#This Row],[Discount Applied]],Table22[[#This Row],[Total Sales (in USD)]]*(1-Table22[[#This Row],[Discount Percentage (%)]]/100),Table22[[#This Row],[Total Sales (in USD)]])</f>
        <v>5291.88</v>
      </c>
      <c r="Q1755" s="66">
        <f>SQRT(AVERAGE((Table22[[#This Row],[Net Sales (after discount) (in USD)]]-AVERAGE(Table22[Net Sales (after discount) (in USD)]))^2))</f>
        <v>31219.480563764537</v>
      </c>
      <c r="R1755" s="18" t="b">
        <v>0</v>
      </c>
      <c r="S1755" s="40">
        <v>1.51</v>
      </c>
      <c r="T1755" s="18" t="b">
        <v>0</v>
      </c>
      <c r="U1755" s="25">
        <v>45196</v>
      </c>
      <c r="V1755" s="63" t="str">
        <f>IF(MONTH(Table22[[#This Row],[Sales Date]])&lt;=3,"Q1",IF(MONTH(Table22[[#This Row],[Sales Date]])&lt;=6,"Q2",IF(MONTH(Table22[[#This Row],[Sales Date]])&lt;=9,"Q3","Q4")))</f>
        <v>Q3</v>
      </c>
      <c r="W1755" s="64">
        <f>YEAR(Table22[[#This Row],[Sales Date]])</f>
        <v>2023</v>
      </c>
      <c r="X1755" s="23">
        <v>65</v>
      </c>
      <c r="Y1755" s="18" t="s">
        <v>41</v>
      </c>
      <c r="Z1755" s="18" t="s">
        <v>42</v>
      </c>
      <c r="AA1755" s="19" t="s">
        <v>25</v>
      </c>
    </row>
    <row r="1756" spans="1:27" x14ac:dyDescent="0.25">
      <c r="A1756" s="17" t="s">
        <v>2019</v>
      </c>
      <c r="B1756" s="18" t="s">
        <v>27</v>
      </c>
      <c r="C1756" s="63" t="str" cm="1">
        <f t="array" ref="C1756">_xlfn.SWITCH(Table22[[#This Row],[Country]],"USA","North America","Canada","North America","Brazil","South America","China","Asia","Japan","Asia","India","Asia","France","Europe","Germany","Europe","UK","Europe","Australia","Oceania","South America")</f>
        <v>Europe</v>
      </c>
      <c r="D1756" s="18" t="s">
        <v>44</v>
      </c>
      <c r="E1756" s="18" t="s">
        <v>19</v>
      </c>
      <c r="F1756" s="18" t="s">
        <v>64</v>
      </c>
      <c r="G1756" s="18" t="s">
        <v>29</v>
      </c>
      <c r="H1756" s="64">
        <f>LEN(TRIM(Table22[[#This Row],[Country]]))</f>
        <v>7</v>
      </c>
      <c r="I1756" s="64">
        <f>LEN(TRIM(Table22[[#This Row],[Continent]]))</f>
        <v>6</v>
      </c>
      <c r="J1756" s="64">
        <f>LEN(TRIM(Table22[[#This Row],[Product]]))</f>
        <v>6</v>
      </c>
      <c r="K1756" s="64">
        <f>LEN(TRIM(Table22[[#This Row],[Sales Team]]))</f>
        <v>10</v>
      </c>
      <c r="L1756" s="23">
        <v>28</v>
      </c>
      <c r="M1756" s="65" t="str" cm="1">
        <f t="array" ref="M1756">_xlfn.IFS(Table22[[#This Row],[Units Sold]]&lt;40,"Critical",Table22[[#This Row],[Units Sold]]&lt;=50,"Poor",Table22[[#This Row],[Units Sold]]&lt;=60,"Low",Table22[[#This Row],[Units Sold]]&lt;=80,"Average",Table22[[#This Row],[Units Sold]]&lt;=90,"High",Table22[[#This Row],[Units Sold]]&lt;=95,"Excellent",Table22[[#This Row],[Units Sold]]&gt;95,"Outstanding")</f>
        <v>Critical</v>
      </c>
      <c r="N1756" s="29">
        <v>188.54</v>
      </c>
      <c r="O1756" s="29">
        <v>5279.12</v>
      </c>
      <c r="P1756" s="43">
        <f>IF(Table22[[#This Row],[Discount Applied]],Table22[[#This Row],[Total Sales (in USD)]]*(1-Table22[[#This Row],[Discount Percentage (%)]]/100),Table22[[#This Row],[Total Sales (in USD)]])</f>
        <v>5279.12</v>
      </c>
      <c r="Q1756" s="66">
        <f>SQRT(AVERAGE((Table22[[#This Row],[Net Sales (after discount) (in USD)]]-AVERAGE(Table22[Net Sales (after discount) (in USD)]))^2))</f>
        <v>31232.240563764539</v>
      </c>
      <c r="R1756" s="18" t="b">
        <v>1</v>
      </c>
      <c r="S1756" s="40">
        <v>29.34</v>
      </c>
      <c r="T1756" s="18" t="b">
        <v>0</v>
      </c>
      <c r="U1756" s="25">
        <v>45235</v>
      </c>
      <c r="V1756" s="63" t="str">
        <f>IF(MONTH(Table22[[#This Row],[Sales Date]])&lt;=3,"Q1",IF(MONTH(Table22[[#This Row],[Sales Date]])&lt;=6,"Q2",IF(MONTH(Table22[[#This Row],[Sales Date]])&lt;=9,"Q3","Q4")))</f>
        <v>Q4</v>
      </c>
      <c r="W1756" s="64">
        <f>YEAR(Table22[[#This Row],[Sales Date]])</f>
        <v>2023</v>
      </c>
      <c r="X1756" s="23">
        <v>41</v>
      </c>
      <c r="Y1756" s="18" t="s">
        <v>41</v>
      </c>
      <c r="Z1756" s="18" t="s">
        <v>56</v>
      </c>
      <c r="AA1756" s="19" t="s">
        <v>25</v>
      </c>
    </row>
    <row r="1757" spans="1:27" x14ac:dyDescent="0.25">
      <c r="A1757" s="17" t="s">
        <v>810</v>
      </c>
      <c r="B1757" s="18" t="s">
        <v>76</v>
      </c>
      <c r="C1757" s="63" t="str" cm="1">
        <f t="array" ref="C1757">_xlfn.SWITCH(Table22[[#This Row],[Country]],"USA","North America","Canada","North America","Brazil","South America","China","Asia","Japan","Asia","India","Asia","France","Europe","Germany","Europe","UK","Europe","Australia","Oceania","South America")</f>
        <v>Asia</v>
      </c>
      <c r="D1757" s="18" t="s">
        <v>28</v>
      </c>
      <c r="E1757" s="18" t="s">
        <v>19</v>
      </c>
      <c r="F1757" s="18" t="s">
        <v>20</v>
      </c>
      <c r="G1757" s="18" t="s">
        <v>40</v>
      </c>
      <c r="H1757" s="64">
        <f>LEN(TRIM(Table22[[#This Row],[Country]]))</f>
        <v>5</v>
      </c>
      <c r="I1757" s="64">
        <f>LEN(TRIM(Table22[[#This Row],[Continent]]))</f>
        <v>4</v>
      </c>
      <c r="J1757" s="64">
        <f>LEN(TRIM(Table22[[#This Row],[Product]]))</f>
        <v>6</v>
      </c>
      <c r="K1757" s="64">
        <f>LEN(TRIM(Table22[[#This Row],[Sales Team]]))</f>
        <v>10</v>
      </c>
      <c r="L1757" s="23">
        <v>12</v>
      </c>
      <c r="M1757" s="65" t="str" cm="1">
        <f t="array" ref="M1757">_xlfn.IFS(Table22[[#This Row],[Units Sold]]&lt;40,"Critical",Table22[[#This Row],[Units Sold]]&lt;=50,"Poor",Table22[[#This Row],[Units Sold]]&lt;=60,"Low",Table22[[#This Row],[Units Sold]]&lt;=80,"Average",Table22[[#This Row],[Units Sold]]&lt;=90,"High",Table22[[#This Row],[Units Sold]]&lt;=95,"Excellent",Table22[[#This Row],[Units Sold]]&gt;95,"Outstanding")</f>
        <v>Critical</v>
      </c>
      <c r="N1757" s="29">
        <v>438.62</v>
      </c>
      <c r="O1757" s="29">
        <v>5263.44</v>
      </c>
      <c r="P1757" s="43">
        <f>IF(Table22[[#This Row],[Discount Applied]],Table22[[#This Row],[Total Sales (in USD)]]*(1-Table22[[#This Row],[Discount Percentage (%)]]/100),Table22[[#This Row],[Total Sales (in USD)]])</f>
        <v>5263.44</v>
      </c>
      <c r="Q1757" s="66">
        <f>SQRT(AVERAGE((Table22[[#This Row],[Net Sales (after discount) (in USD)]]-AVERAGE(Table22[Net Sales (after discount) (in USD)]))^2))</f>
        <v>31247.920563764539</v>
      </c>
      <c r="R1757" s="18" t="b">
        <v>1</v>
      </c>
      <c r="S1757" s="40">
        <v>17.600000000000001</v>
      </c>
      <c r="T1757" s="18" t="b">
        <v>0</v>
      </c>
      <c r="U1757" s="25">
        <v>45392</v>
      </c>
      <c r="V1757" s="63" t="str">
        <f>IF(MONTH(Table22[[#This Row],[Sales Date]])&lt;=3,"Q1",IF(MONTH(Table22[[#This Row],[Sales Date]])&lt;=6,"Q2",IF(MONTH(Table22[[#This Row],[Sales Date]])&lt;=9,"Q3","Q4")))</f>
        <v>Q2</v>
      </c>
      <c r="W1757" s="64">
        <f>YEAR(Table22[[#This Row],[Sales Date]])</f>
        <v>2024</v>
      </c>
      <c r="X1757" s="23">
        <v>42</v>
      </c>
      <c r="Y1757" s="18" t="s">
        <v>23</v>
      </c>
      <c r="Z1757" s="18" t="s">
        <v>30</v>
      </c>
      <c r="AA1757" s="19" t="s">
        <v>36</v>
      </c>
    </row>
    <row r="1758" spans="1:27" x14ac:dyDescent="0.25">
      <c r="A1758" s="17" t="s">
        <v>931</v>
      </c>
      <c r="B1758" s="18" t="s">
        <v>51</v>
      </c>
      <c r="C1758" s="63" t="str" cm="1">
        <f t="array" ref="C1758">_xlfn.SWITCH(Table22[[#This Row],[Country]],"USA","North America","Canada","North America","Brazil","South America","China","Asia","Japan","Asia","India","Asia","France","Europe","Germany","Europe","UK","Europe","Australia","Oceania","South America")</f>
        <v>Europe</v>
      </c>
      <c r="D1758" s="18" t="s">
        <v>28</v>
      </c>
      <c r="E1758" s="18" t="s">
        <v>39</v>
      </c>
      <c r="F1758" s="18" t="s">
        <v>20</v>
      </c>
      <c r="G1758" s="18" t="s">
        <v>40</v>
      </c>
      <c r="H1758" s="64">
        <f>LEN(TRIM(Table22[[#This Row],[Country]]))</f>
        <v>2</v>
      </c>
      <c r="I1758" s="64">
        <f>LEN(TRIM(Table22[[#This Row],[Continent]]))</f>
        <v>6</v>
      </c>
      <c r="J1758" s="64">
        <f>LEN(TRIM(Table22[[#This Row],[Product]]))</f>
        <v>10</v>
      </c>
      <c r="K1758" s="64">
        <f>LEN(TRIM(Table22[[#This Row],[Sales Team]]))</f>
        <v>10</v>
      </c>
      <c r="L1758" s="23">
        <v>37</v>
      </c>
      <c r="M1758" s="65" t="str" cm="1">
        <f t="array" ref="M1758">_xlfn.IFS(Table22[[#This Row],[Units Sold]]&lt;40,"Critical",Table22[[#This Row],[Units Sold]]&lt;=50,"Poor",Table22[[#This Row],[Units Sold]]&lt;=60,"Low",Table22[[#This Row],[Units Sold]]&lt;=80,"Average",Table22[[#This Row],[Units Sold]]&lt;=90,"High",Table22[[#This Row],[Units Sold]]&lt;=95,"Excellent",Table22[[#This Row],[Units Sold]]&gt;95,"Outstanding")</f>
        <v>Critical</v>
      </c>
      <c r="N1758" s="29">
        <v>141.58000000000001</v>
      </c>
      <c r="O1758" s="29">
        <v>5238.46</v>
      </c>
      <c r="P1758" s="43">
        <f>IF(Table22[[#This Row],[Discount Applied]],Table22[[#This Row],[Total Sales (in USD)]]*(1-Table22[[#This Row],[Discount Percentage (%)]]/100),Table22[[#This Row],[Total Sales (in USD)]])</f>
        <v>5238.46</v>
      </c>
      <c r="Q1758" s="66">
        <f>SQRT(AVERAGE((Table22[[#This Row],[Net Sales (after discount) (in USD)]]-AVERAGE(Table22[Net Sales (after discount) (in USD)]))^2))</f>
        <v>31272.900563764539</v>
      </c>
      <c r="R1758" s="18" t="b">
        <v>0</v>
      </c>
      <c r="S1758" s="40">
        <v>21.33</v>
      </c>
      <c r="T1758" s="18" t="b">
        <v>0</v>
      </c>
      <c r="U1758" s="25">
        <v>45415</v>
      </c>
      <c r="V1758" s="63" t="str">
        <f>IF(MONTH(Table22[[#This Row],[Sales Date]])&lt;=3,"Q1",IF(MONTH(Table22[[#This Row],[Sales Date]])&lt;=6,"Q2",IF(MONTH(Table22[[#This Row],[Sales Date]])&lt;=9,"Q3","Q4")))</f>
        <v>Q2</v>
      </c>
      <c r="W1758" s="64">
        <f>YEAR(Table22[[#This Row],[Sales Date]])</f>
        <v>2024</v>
      </c>
      <c r="X1758" s="23">
        <v>46</v>
      </c>
      <c r="Y1758" s="18" t="s">
        <v>41</v>
      </c>
      <c r="Z1758" s="18" t="s">
        <v>42</v>
      </c>
      <c r="AA1758" s="19" t="s">
        <v>25</v>
      </c>
    </row>
    <row r="1759" spans="1:27" x14ac:dyDescent="0.25">
      <c r="A1759" s="17" t="s">
        <v>435</v>
      </c>
      <c r="B1759" s="18" t="s">
        <v>46</v>
      </c>
      <c r="C1759" s="63" t="str" cm="1">
        <f t="array" ref="C1759">_xlfn.SWITCH(Table22[[#This Row],[Country]],"USA","North America","Canada","North America","Brazil","South America","China","Asia","Japan","Asia","India","Asia","France","Europe","Germany","Europe","UK","Europe","Australia","Oceania","South America")</f>
        <v>South America</v>
      </c>
      <c r="D1759" s="18" t="s">
        <v>35</v>
      </c>
      <c r="E1759" s="18" t="s">
        <v>39</v>
      </c>
      <c r="F1759" s="18" t="s">
        <v>20</v>
      </c>
      <c r="G1759" s="18" t="s">
        <v>48</v>
      </c>
      <c r="H1759" s="64">
        <f>LEN(TRIM(Table22[[#This Row],[Country]]))</f>
        <v>6</v>
      </c>
      <c r="I1759" s="64">
        <f>LEN(TRIM(Table22[[#This Row],[Continent]]))</f>
        <v>13</v>
      </c>
      <c r="J1759" s="64">
        <f>LEN(TRIM(Table22[[#This Row],[Product]]))</f>
        <v>10</v>
      </c>
      <c r="K1759" s="64">
        <f>LEN(TRIM(Table22[[#This Row],[Sales Team]]))</f>
        <v>9</v>
      </c>
      <c r="L1759" s="23">
        <v>96</v>
      </c>
      <c r="M1759" s="65" t="str" cm="1">
        <f t="array" ref="M1759">_xlfn.IFS(Table22[[#This Row],[Units Sold]]&lt;40,"Critical",Table22[[#This Row],[Units Sold]]&lt;=50,"Poor",Table22[[#This Row],[Units Sold]]&lt;=60,"Low",Table22[[#This Row],[Units Sold]]&lt;=80,"Average",Table22[[#This Row],[Units Sold]]&lt;=90,"High",Table22[[#This Row],[Units Sold]]&lt;=95,"Excellent",Table22[[#This Row],[Units Sold]]&gt;95,"Outstanding")</f>
        <v>Outstanding</v>
      </c>
      <c r="N1759" s="29">
        <v>54.12</v>
      </c>
      <c r="O1759" s="29">
        <v>5195.5200000000004</v>
      </c>
      <c r="P1759" s="43">
        <f>IF(Table22[[#This Row],[Discount Applied]],Table22[[#This Row],[Total Sales (in USD)]]*(1-Table22[[#This Row],[Discount Percentage (%)]]/100),Table22[[#This Row],[Total Sales (in USD)]])</f>
        <v>4439.5718400000005</v>
      </c>
      <c r="Q1759" s="66">
        <f>SQRT(AVERAGE((Table22[[#This Row],[Net Sales (after discount) (in USD)]]-AVERAGE(Table22[Net Sales (after discount) (in USD)]))^2))</f>
        <v>32071.788723764537</v>
      </c>
      <c r="R1759" s="18" t="b">
        <v>0</v>
      </c>
      <c r="S1759" s="40">
        <v>14.55</v>
      </c>
      <c r="T1759" s="18" t="b">
        <v>1</v>
      </c>
      <c r="U1759" s="25">
        <v>44953</v>
      </c>
      <c r="V1759" s="63" t="str">
        <f>IF(MONTH(Table22[[#This Row],[Sales Date]])&lt;=3,"Q1",IF(MONTH(Table22[[#This Row],[Sales Date]])&lt;=6,"Q2",IF(MONTH(Table22[[#This Row],[Sales Date]])&lt;=9,"Q3","Q4")))</f>
        <v>Q1</v>
      </c>
      <c r="W1759" s="64">
        <f>YEAR(Table22[[#This Row],[Sales Date]])</f>
        <v>2023</v>
      </c>
      <c r="X1759" s="23">
        <v>59</v>
      </c>
      <c r="Y1759" s="18" t="s">
        <v>49</v>
      </c>
      <c r="Z1759" s="18" t="s">
        <v>56</v>
      </c>
      <c r="AA1759" s="19" t="s">
        <v>36</v>
      </c>
    </row>
    <row r="1760" spans="1:27" x14ac:dyDescent="0.25">
      <c r="A1760" s="17" t="s">
        <v>1481</v>
      </c>
      <c r="B1760" s="18" t="s">
        <v>51</v>
      </c>
      <c r="C1760" s="63" t="str" cm="1">
        <f t="array" ref="C1760">_xlfn.SWITCH(Table22[[#This Row],[Country]],"USA","North America","Canada","North America","Brazil","South America","China","Asia","Japan","Asia","India","Asia","France","Europe","Germany","Europe","UK","Europe","Australia","Oceania","South America")</f>
        <v>Europe</v>
      </c>
      <c r="D1760" s="18" t="s">
        <v>28</v>
      </c>
      <c r="E1760" s="18" t="s">
        <v>39</v>
      </c>
      <c r="F1760" s="18" t="s">
        <v>34</v>
      </c>
      <c r="G1760" s="18" t="s">
        <v>29</v>
      </c>
      <c r="H1760" s="64">
        <f>LEN(TRIM(Table22[[#This Row],[Country]]))</f>
        <v>2</v>
      </c>
      <c r="I1760" s="64">
        <f>LEN(TRIM(Table22[[#This Row],[Continent]]))</f>
        <v>6</v>
      </c>
      <c r="J1760" s="64">
        <f>LEN(TRIM(Table22[[#This Row],[Product]]))</f>
        <v>10</v>
      </c>
      <c r="K1760" s="64">
        <f>LEN(TRIM(Table22[[#This Row],[Sales Team]]))</f>
        <v>10</v>
      </c>
      <c r="L1760" s="23">
        <v>16</v>
      </c>
      <c r="M1760" s="65" t="str" cm="1">
        <f t="array" ref="M1760">_xlfn.IFS(Table22[[#This Row],[Units Sold]]&lt;40,"Critical",Table22[[#This Row],[Units Sold]]&lt;=50,"Poor",Table22[[#This Row],[Units Sold]]&lt;=60,"Low",Table22[[#This Row],[Units Sold]]&lt;=80,"Average",Table22[[#This Row],[Units Sold]]&lt;=90,"High",Table22[[#This Row],[Units Sold]]&lt;=95,"Excellent",Table22[[#This Row],[Units Sold]]&gt;95,"Outstanding")</f>
        <v>Critical</v>
      </c>
      <c r="N1760" s="29">
        <v>323.86</v>
      </c>
      <c r="O1760" s="29">
        <v>5181.76</v>
      </c>
      <c r="P1760" s="43">
        <f>IF(Table22[[#This Row],[Discount Applied]],Table22[[#This Row],[Total Sales (in USD)]]*(1-Table22[[#This Row],[Discount Percentage (%)]]/100),Table22[[#This Row],[Total Sales (in USD)]])</f>
        <v>4594.6665920000005</v>
      </c>
      <c r="Q1760" s="66">
        <f>SQRT(AVERAGE((Table22[[#This Row],[Net Sales (after discount) (in USD)]]-AVERAGE(Table22[Net Sales (after discount) (in USD)]))^2))</f>
        <v>31916.693971764536</v>
      </c>
      <c r="R1760" s="18" t="b">
        <v>0</v>
      </c>
      <c r="S1760" s="40">
        <v>11.33</v>
      </c>
      <c r="T1760" s="18" t="b">
        <v>1</v>
      </c>
      <c r="U1760" s="25">
        <v>45019</v>
      </c>
      <c r="V1760" s="63" t="str">
        <f>IF(MONTH(Table22[[#This Row],[Sales Date]])&lt;=3,"Q1",IF(MONTH(Table22[[#This Row],[Sales Date]])&lt;=6,"Q2",IF(MONTH(Table22[[#This Row],[Sales Date]])&lt;=9,"Q3","Q4")))</f>
        <v>Q2</v>
      </c>
      <c r="W1760" s="64">
        <f>YEAR(Table22[[#This Row],[Sales Date]])</f>
        <v>2023</v>
      </c>
      <c r="X1760" s="23">
        <v>57</v>
      </c>
      <c r="Y1760" s="18" t="s">
        <v>49</v>
      </c>
      <c r="Z1760" s="18" t="s">
        <v>56</v>
      </c>
      <c r="AA1760" s="19" t="s">
        <v>36</v>
      </c>
    </row>
    <row r="1761" spans="1:27" x14ac:dyDescent="0.25">
      <c r="A1761" s="17" t="s">
        <v>1647</v>
      </c>
      <c r="B1761" s="18" t="s">
        <v>72</v>
      </c>
      <c r="C1761" s="63" t="str" cm="1">
        <f t="array" ref="C1761">_xlfn.SWITCH(Table22[[#This Row],[Country]],"USA","North America","Canada","North America","Brazil","South America","China","Asia","Japan","Asia","India","Asia","France","Europe","Germany","Europe","UK","Europe","Australia","Oceania","South America")</f>
        <v>North America</v>
      </c>
      <c r="D1761" s="18" t="s">
        <v>44</v>
      </c>
      <c r="E1761" s="18" t="s">
        <v>33</v>
      </c>
      <c r="F1761" s="18" t="s">
        <v>52</v>
      </c>
      <c r="G1761" s="18" t="s">
        <v>29</v>
      </c>
      <c r="H1761" s="64">
        <f>LEN(TRIM(Table22[[#This Row],[Country]]))</f>
        <v>3</v>
      </c>
      <c r="I1761" s="64">
        <f>LEN(TRIM(Table22[[#This Row],[Continent]]))</f>
        <v>13</v>
      </c>
      <c r="J1761" s="64">
        <f>LEN(TRIM(Table22[[#This Row],[Product]]))</f>
        <v>10</v>
      </c>
      <c r="K1761" s="64">
        <f>LEN(TRIM(Table22[[#This Row],[Sales Team]]))</f>
        <v>10</v>
      </c>
      <c r="L1761" s="23">
        <v>38</v>
      </c>
      <c r="M1761" s="65" t="str" cm="1">
        <f t="array" ref="M1761">_xlfn.IFS(Table22[[#This Row],[Units Sold]]&lt;40,"Critical",Table22[[#This Row],[Units Sold]]&lt;=50,"Poor",Table22[[#This Row],[Units Sold]]&lt;=60,"Low",Table22[[#This Row],[Units Sold]]&lt;=80,"Average",Table22[[#This Row],[Units Sold]]&lt;=90,"High",Table22[[#This Row],[Units Sold]]&lt;=95,"Excellent",Table22[[#This Row],[Units Sold]]&gt;95,"Outstanding")</f>
        <v>Critical</v>
      </c>
      <c r="N1761" s="29">
        <v>136</v>
      </c>
      <c r="O1761" s="29">
        <v>5168</v>
      </c>
      <c r="P1761" s="43">
        <f>IF(Table22[[#This Row],[Discount Applied]],Table22[[#This Row],[Total Sales (in USD)]]*(1-Table22[[#This Row],[Discount Percentage (%)]]/100),Table22[[#This Row],[Total Sales (in USD)]])</f>
        <v>4184.5295999999998</v>
      </c>
      <c r="Q1761" s="66">
        <f>SQRT(AVERAGE((Table22[[#This Row],[Net Sales (after discount) (in USD)]]-AVERAGE(Table22[Net Sales (after discount) (in USD)]))^2))</f>
        <v>32326.830963764536</v>
      </c>
      <c r="R1761" s="18" t="b">
        <v>0</v>
      </c>
      <c r="S1761" s="40">
        <v>19.03</v>
      </c>
      <c r="T1761" s="18" t="b">
        <v>1</v>
      </c>
      <c r="U1761" s="25">
        <v>45197</v>
      </c>
      <c r="V1761" s="63" t="str">
        <f>IF(MONTH(Table22[[#This Row],[Sales Date]])&lt;=3,"Q1",IF(MONTH(Table22[[#This Row],[Sales Date]])&lt;=6,"Q2",IF(MONTH(Table22[[#This Row],[Sales Date]])&lt;=9,"Q3","Q4")))</f>
        <v>Q3</v>
      </c>
      <c r="W1761" s="64">
        <f>YEAR(Table22[[#This Row],[Sales Date]])</f>
        <v>2023</v>
      </c>
      <c r="X1761" s="23">
        <v>28</v>
      </c>
      <c r="Y1761" s="18" t="s">
        <v>23</v>
      </c>
      <c r="Z1761" s="18" t="s">
        <v>24</v>
      </c>
      <c r="AA1761" s="19" t="s">
        <v>36</v>
      </c>
    </row>
    <row r="1762" spans="1:27" x14ac:dyDescent="0.25">
      <c r="A1762" s="17" t="s">
        <v>427</v>
      </c>
      <c r="B1762" s="18" t="s">
        <v>32</v>
      </c>
      <c r="C1762" s="63" t="str" cm="1">
        <f t="array" ref="C1762">_xlfn.SWITCH(Table22[[#This Row],[Country]],"USA","North America","Canada","North America","Brazil","South America","China","Asia","Japan","Asia","India","Asia","France","Europe","Germany","Europe","UK","Europe","Australia","Oceania","South America")</f>
        <v>Asia</v>
      </c>
      <c r="D1762" s="18" t="s">
        <v>44</v>
      </c>
      <c r="E1762" s="18" t="s">
        <v>39</v>
      </c>
      <c r="F1762" s="18" t="s">
        <v>64</v>
      </c>
      <c r="G1762" s="18" t="s">
        <v>40</v>
      </c>
      <c r="H1762" s="64">
        <f>LEN(TRIM(Table22[[#This Row],[Country]]))</f>
        <v>5</v>
      </c>
      <c r="I1762" s="64">
        <f>LEN(TRIM(Table22[[#This Row],[Continent]]))</f>
        <v>4</v>
      </c>
      <c r="J1762" s="64">
        <f>LEN(TRIM(Table22[[#This Row],[Product]]))</f>
        <v>10</v>
      </c>
      <c r="K1762" s="64">
        <f>LEN(TRIM(Table22[[#This Row],[Sales Team]]))</f>
        <v>10</v>
      </c>
      <c r="L1762" s="23">
        <v>23</v>
      </c>
      <c r="M1762" s="65" t="str" cm="1">
        <f t="array" ref="M1762">_xlfn.IFS(Table22[[#This Row],[Units Sold]]&lt;40,"Critical",Table22[[#This Row],[Units Sold]]&lt;=50,"Poor",Table22[[#This Row],[Units Sold]]&lt;=60,"Low",Table22[[#This Row],[Units Sold]]&lt;=80,"Average",Table22[[#This Row],[Units Sold]]&lt;=90,"High",Table22[[#This Row],[Units Sold]]&lt;=95,"Excellent",Table22[[#This Row],[Units Sold]]&gt;95,"Outstanding")</f>
        <v>Critical</v>
      </c>
      <c r="N1762" s="29">
        <v>224.36</v>
      </c>
      <c r="O1762" s="29">
        <v>5160.28</v>
      </c>
      <c r="P1762" s="43">
        <f>IF(Table22[[#This Row],[Discount Applied]],Table22[[#This Row],[Total Sales (in USD)]]*(1-Table22[[#This Row],[Discount Percentage (%)]]/100),Table22[[#This Row],[Total Sales (in USD)]])</f>
        <v>4863.0478720000001</v>
      </c>
      <c r="Q1762" s="66">
        <f>SQRT(AVERAGE((Table22[[#This Row],[Net Sales (after discount) (in USD)]]-AVERAGE(Table22[Net Sales (after discount) (in USD)]))^2))</f>
        <v>31648.312691764539</v>
      </c>
      <c r="R1762" s="18" t="b">
        <v>0</v>
      </c>
      <c r="S1762" s="40">
        <v>5.76</v>
      </c>
      <c r="T1762" s="18" t="b">
        <v>1</v>
      </c>
      <c r="U1762" s="25">
        <v>45248</v>
      </c>
      <c r="V1762" s="63" t="str">
        <f>IF(MONTH(Table22[[#This Row],[Sales Date]])&lt;=3,"Q1",IF(MONTH(Table22[[#This Row],[Sales Date]])&lt;=6,"Q2",IF(MONTH(Table22[[#This Row],[Sales Date]])&lt;=9,"Q3","Q4")))</f>
        <v>Q4</v>
      </c>
      <c r="W1762" s="64">
        <f>YEAR(Table22[[#This Row],[Sales Date]])</f>
        <v>2023</v>
      </c>
      <c r="X1762" s="23">
        <v>48</v>
      </c>
      <c r="Y1762" s="18" t="s">
        <v>41</v>
      </c>
      <c r="Z1762" s="18" t="s">
        <v>56</v>
      </c>
      <c r="AA1762" s="19" t="s">
        <v>25</v>
      </c>
    </row>
    <row r="1763" spans="1:27" x14ac:dyDescent="0.25">
      <c r="A1763" s="17" t="s">
        <v>1347</v>
      </c>
      <c r="B1763" s="18" t="s">
        <v>76</v>
      </c>
      <c r="C1763" s="63" t="str" cm="1">
        <f t="array" ref="C1763">_xlfn.SWITCH(Table22[[#This Row],[Country]],"USA","North America","Canada","North America","Brazil","South America","China","Asia","Japan","Asia","India","Asia","France","Europe","Germany","Europe","UK","Europe","Australia","Oceania","South America")</f>
        <v>Asia</v>
      </c>
      <c r="D1763" s="18" t="s">
        <v>35</v>
      </c>
      <c r="E1763" s="18" t="s">
        <v>33</v>
      </c>
      <c r="F1763" s="18" t="s">
        <v>34</v>
      </c>
      <c r="G1763" s="18" t="s">
        <v>48</v>
      </c>
      <c r="H1763" s="64">
        <f>LEN(TRIM(Table22[[#This Row],[Country]]))</f>
        <v>5</v>
      </c>
      <c r="I1763" s="64">
        <f>LEN(TRIM(Table22[[#This Row],[Continent]]))</f>
        <v>4</v>
      </c>
      <c r="J1763" s="64">
        <f>LEN(TRIM(Table22[[#This Row],[Product]]))</f>
        <v>10</v>
      </c>
      <c r="K1763" s="64">
        <f>LEN(TRIM(Table22[[#This Row],[Sales Team]]))</f>
        <v>9</v>
      </c>
      <c r="L1763" s="23">
        <v>13</v>
      </c>
      <c r="M1763" s="65" t="str" cm="1">
        <f t="array" ref="M1763">_xlfn.IFS(Table22[[#This Row],[Units Sold]]&lt;40,"Critical",Table22[[#This Row],[Units Sold]]&lt;=50,"Poor",Table22[[#This Row],[Units Sold]]&lt;=60,"Low",Table22[[#This Row],[Units Sold]]&lt;=80,"Average",Table22[[#This Row],[Units Sold]]&lt;=90,"High",Table22[[#This Row],[Units Sold]]&lt;=95,"Excellent",Table22[[#This Row],[Units Sold]]&gt;95,"Outstanding")</f>
        <v>Critical</v>
      </c>
      <c r="N1763" s="29">
        <v>396.41</v>
      </c>
      <c r="O1763" s="29">
        <v>5153.33</v>
      </c>
      <c r="P1763" s="43">
        <f>IF(Table22[[#This Row],[Discount Applied]],Table22[[#This Row],[Total Sales (in USD)]]*(1-Table22[[#This Row],[Discount Percentage (%)]]/100),Table22[[#This Row],[Total Sales (in USD)]])</f>
        <v>5153.33</v>
      </c>
      <c r="Q1763" s="66">
        <f>SQRT(AVERAGE((Table22[[#This Row],[Net Sales (after discount) (in USD)]]-AVERAGE(Table22[Net Sales (after discount) (in USD)]))^2))</f>
        <v>31358.030563764536</v>
      </c>
      <c r="R1763" s="18" t="b">
        <v>0</v>
      </c>
      <c r="S1763" s="40">
        <v>18.25</v>
      </c>
      <c r="T1763" s="18" t="b">
        <v>0</v>
      </c>
      <c r="U1763" s="25">
        <v>45324</v>
      </c>
      <c r="V1763" s="63" t="str">
        <f>IF(MONTH(Table22[[#This Row],[Sales Date]])&lt;=3,"Q1",IF(MONTH(Table22[[#This Row],[Sales Date]])&lt;=6,"Q2",IF(MONTH(Table22[[#This Row],[Sales Date]])&lt;=9,"Q3","Q4")))</f>
        <v>Q1</v>
      </c>
      <c r="W1763" s="64">
        <f>YEAR(Table22[[#This Row],[Sales Date]])</f>
        <v>2024</v>
      </c>
      <c r="X1763" s="23">
        <v>24</v>
      </c>
      <c r="Y1763" s="18" t="s">
        <v>41</v>
      </c>
      <c r="Z1763" s="18" t="s">
        <v>24</v>
      </c>
      <c r="AA1763" s="19" t="s">
        <v>36</v>
      </c>
    </row>
    <row r="1764" spans="1:27" x14ac:dyDescent="0.25">
      <c r="A1764" s="17" t="s">
        <v>551</v>
      </c>
      <c r="B1764" s="18" t="s">
        <v>51</v>
      </c>
      <c r="C1764" s="63" t="str" cm="1">
        <f t="array" ref="C1764">_xlfn.SWITCH(Table22[[#This Row],[Country]],"USA","North America","Canada","North America","Brazil","South America","China","Asia","Japan","Asia","India","Asia","France","Europe","Germany","Europe","UK","Europe","Australia","Oceania","South America")</f>
        <v>Europe</v>
      </c>
      <c r="D1764" s="18" t="s">
        <v>35</v>
      </c>
      <c r="E1764" s="18" t="s">
        <v>19</v>
      </c>
      <c r="F1764" s="18" t="s">
        <v>47</v>
      </c>
      <c r="G1764" s="18" t="s">
        <v>40</v>
      </c>
      <c r="H1764" s="64">
        <f>LEN(TRIM(Table22[[#This Row],[Country]]))</f>
        <v>2</v>
      </c>
      <c r="I1764" s="64">
        <f>LEN(TRIM(Table22[[#This Row],[Continent]]))</f>
        <v>6</v>
      </c>
      <c r="J1764" s="64">
        <f>LEN(TRIM(Table22[[#This Row],[Product]]))</f>
        <v>6</v>
      </c>
      <c r="K1764" s="64">
        <f>LEN(TRIM(Table22[[#This Row],[Sales Team]]))</f>
        <v>10</v>
      </c>
      <c r="L1764" s="23">
        <v>31</v>
      </c>
      <c r="M1764" s="65" t="str" cm="1">
        <f t="array" ref="M1764">_xlfn.IFS(Table22[[#This Row],[Units Sold]]&lt;40,"Critical",Table22[[#This Row],[Units Sold]]&lt;=50,"Poor",Table22[[#This Row],[Units Sold]]&lt;=60,"Low",Table22[[#This Row],[Units Sold]]&lt;=80,"Average",Table22[[#This Row],[Units Sold]]&lt;=90,"High",Table22[[#This Row],[Units Sold]]&lt;=95,"Excellent",Table22[[#This Row],[Units Sold]]&gt;95,"Outstanding")</f>
        <v>Critical</v>
      </c>
      <c r="N1764" s="29">
        <v>164.06</v>
      </c>
      <c r="O1764" s="29">
        <v>5085.8599999999997</v>
      </c>
      <c r="P1764" s="43">
        <f>IF(Table22[[#This Row],[Discount Applied]],Table22[[#This Row],[Total Sales (in USD)]]*(1-Table22[[#This Row],[Discount Percentage (%)]]/100),Table22[[#This Row],[Total Sales (in USD)]])</f>
        <v>4528.4497439999996</v>
      </c>
      <c r="Q1764" s="66">
        <f>SQRT(AVERAGE((Table22[[#This Row],[Net Sales (after discount) (in USD)]]-AVERAGE(Table22[Net Sales (after discount) (in USD)]))^2))</f>
        <v>31982.91081976454</v>
      </c>
      <c r="R1764" s="18" t="b">
        <v>1</v>
      </c>
      <c r="S1764" s="40">
        <v>10.96</v>
      </c>
      <c r="T1764" s="18" t="b">
        <v>1</v>
      </c>
      <c r="U1764" s="25">
        <v>45189</v>
      </c>
      <c r="V1764" s="63" t="str">
        <f>IF(MONTH(Table22[[#This Row],[Sales Date]])&lt;=3,"Q1",IF(MONTH(Table22[[#This Row],[Sales Date]])&lt;=6,"Q2",IF(MONTH(Table22[[#This Row],[Sales Date]])&lt;=9,"Q3","Q4")))</f>
        <v>Q3</v>
      </c>
      <c r="W1764" s="64">
        <f>YEAR(Table22[[#This Row],[Sales Date]])</f>
        <v>2023</v>
      </c>
      <c r="X1764" s="23">
        <v>61</v>
      </c>
      <c r="Y1764" s="18" t="s">
        <v>41</v>
      </c>
      <c r="Z1764" s="18" t="s">
        <v>56</v>
      </c>
      <c r="AA1764" s="19" t="s">
        <v>25</v>
      </c>
    </row>
    <row r="1765" spans="1:27" x14ac:dyDescent="0.25">
      <c r="A1765" s="17" t="s">
        <v>1047</v>
      </c>
      <c r="B1765" s="18" t="s">
        <v>46</v>
      </c>
      <c r="C1765" s="63" t="str" cm="1">
        <f t="array" ref="C1765">_xlfn.SWITCH(Table22[[#This Row],[Country]],"USA","North America","Canada","North America","Brazil","South America","China","Asia","Japan","Asia","India","Asia","France","Europe","Germany","Europe","UK","Europe","Australia","Oceania","South America")</f>
        <v>South America</v>
      </c>
      <c r="D1765" s="18" t="s">
        <v>21</v>
      </c>
      <c r="E1765" s="18" t="s">
        <v>19</v>
      </c>
      <c r="F1765" s="18" t="s">
        <v>20</v>
      </c>
      <c r="G1765" s="18" t="s">
        <v>29</v>
      </c>
      <c r="H1765" s="64">
        <f>LEN(TRIM(Table22[[#This Row],[Country]]))</f>
        <v>6</v>
      </c>
      <c r="I1765" s="64">
        <f>LEN(TRIM(Table22[[#This Row],[Continent]]))</f>
        <v>13</v>
      </c>
      <c r="J1765" s="64">
        <f>LEN(TRIM(Table22[[#This Row],[Product]]))</f>
        <v>6</v>
      </c>
      <c r="K1765" s="64">
        <f>LEN(TRIM(Table22[[#This Row],[Sales Team]]))</f>
        <v>10</v>
      </c>
      <c r="L1765" s="23">
        <v>49</v>
      </c>
      <c r="M1765" s="65" t="str" cm="1">
        <f t="array" ref="M1765">_xlfn.IFS(Table22[[#This Row],[Units Sold]]&lt;40,"Critical",Table22[[#This Row],[Units Sold]]&lt;=50,"Poor",Table22[[#This Row],[Units Sold]]&lt;=60,"Low",Table22[[#This Row],[Units Sold]]&lt;=80,"Average",Table22[[#This Row],[Units Sold]]&lt;=90,"High",Table22[[#This Row],[Units Sold]]&lt;=95,"Excellent",Table22[[#This Row],[Units Sold]]&gt;95,"Outstanding")</f>
        <v>Poor</v>
      </c>
      <c r="N1765" s="29">
        <v>102.95</v>
      </c>
      <c r="O1765" s="29">
        <v>5044.55</v>
      </c>
      <c r="P1765" s="43">
        <f>IF(Table22[[#This Row],[Discount Applied]],Table22[[#This Row],[Total Sales (in USD)]]*(1-Table22[[#This Row],[Discount Percentage (%)]]/100),Table22[[#This Row],[Total Sales (in USD)]])</f>
        <v>5044.55</v>
      </c>
      <c r="Q1765" s="66">
        <f>SQRT(AVERAGE((Table22[[#This Row],[Net Sales (after discount) (in USD)]]-AVERAGE(Table22[Net Sales (after discount) (in USD)]))^2))</f>
        <v>31466.810563764539</v>
      </c>
      <c r="R1765" s="18" t="b">
        <v>0</v>
      </c>
      <c r="S1765" s="40">
        <v>14.81</v>
      </c>
      <c r="T1765" s="18" t="b">
        <v>0</v>
      </c>
      <c r="U1765" s="25">
        <v>45345</v>
      </c>
      <c r="V1765" s="63" t="str">
        <f>IF(MONTH(Table22[[#This Row],[Sales Date]])&lt;=3,"Q1",IF(MONTH(Table22[[#This Row],[Sales Date]])&lt;=6,"Q2",IF(MONTH(Table22[[#This Row],[Sales Date]])&lt;=9,"Q3","Q4")))</f>
        <v>Q1</v>
      </c>
      <c r="W1765" s="64">
        <f>YEAR(Table22[[#This Row],[Sales Date]])</f>
        <v>2024</v>
      </c>
      <c r="X1765" s="23">
        <v>37</v>
      </c>
      <c r="Y1765" s="18" t="s">
        <v>23</v>
      </c>
      <c r="Z1765" s="18" t="s">
        <v>30</v>
      </c>
      <c r="AA1765" s="19" t="s">
        <v>36</v>
      </c>
    </row>
    <row r="1766" spans="1:27" x14ac:dyDescent="0.25">
      <c r="A1766" s="17" t="s">
        <v>1627</v>
      </c>
      <c r="B1766" s="18" t="s">
        <v>72</v>
      </c>
      <c r="C1766" s="63" t="str" cm="1">
        <f t="array" ref="C1766">_xlfn.SWITCH(Table22[[#This Row],[Country]],"USA","North America","Canada","North America","Brazil","South America","China","Asia","Japan","Asia","India","Asia","France","Europe","Germany","Europe","UK","Europe","Australia","Oceania","South America")</f>
        <v>North America</v>
      </c>
      <c r="D1766" s="18" t="s">
        <v>44</v>
      </c>
      <c r="E1766" s="18" t="s">
        <v>39</v>
      </c>
      <c r="F1766" s="18" t="s">
        <v>64</v>
      </c>
      <c r="G1766" s="18" t="s">
        <v>40</v>
      </c>
      <c r="H1766" s="64">
        <f>LEN(TRIM(Table22[[#This Row],[Country]]))</f>
        <v>3</v>
      </c>
      <c r="I1766" s="64">
        <f>LEN(TRIM(Table22[[#This Row],[Continent]]))</f>
        <v>13</v>
      </c>
      <c r="J1766" s="64">
        <f>LEN(TRIM(Table22[[#This Row],[Product]]))</f>
        <v>10</v>
      </c>
      <c r="K1766" s="64">
        <f>LEN(TRIM(Table22[[#This Row],[Sales Team]]))</f>
        <v>10</v>
      </c>
      <c r="L1766" s="23">
        <v>27</v>
      </c>
      <c r="M1766" s="65" t="str" cm="1">
        <f t="array" ref="M1766">_xlfn.IFS(Table22[[#This Row],[Units Sold]]&lt;40,"Critical",Table22[[#This Row],[Units Sold]]&lt;=50,"Poor",Table22[[#This Row],[Units Sold]]&lt;=60,"Low",Table22[[#This Row],[Units Sold]]&lt;=80,"Average",Table22[[#This Row],[Units Sold]]&lt;=90,"High",Table22[[#This Row],[Units Sold]]&lt;=95,"Excellent",Table22[[#This Row],[Units Sold]]&gt;95,"Outstanding")</f>
        <v>Critical</v>
      </c>
      <c r="N1766" s="29">
        <v>186.65</v>
      </c>
      <c r="O1766" s="29">
        <v>5039.55</v>
      </c>
      <c r="P1766" s="43">
        <f>IF(Table22[[#This Row],[Discount Applied]],Table22[[#This Row],[Total Sales (in USD)]]*(1-Table22[[#This Row],[Discount Percentage (%)]]/100),Table22[[#This Row],[Total Sales (in USD)]])</f>
        <v>4715.5069350000003</v>
      </c>
      <c r="Q1766" s="66">
        <f>SQRT(AVERAGE((Table22[[#This Row],[Net Sales (after discount) (in USD)]]-AVERAGE(Table22[Net Sales (after discount) (in USD)]))^2))</f>
        <v>31795.853628764537</v>
      </c>
      <c r="R1766" s="18" t="b">
        <v>1</v>
      </c>
      <c r="S1766" s="40">
        <v>6.43</v>
      </c>
      <c r="T1766" s="18" t="b">
        <v>1</v>
      </c>
      <c r="U1766" s="25">
        <v>45247</v>
      </c>
      <c r="V1766" s="63" t="str">
        <f>IF(MONTH(Table22[[#This Row],[Sales Date]])&lt;=3,"Q1",IF(MONTH(Table22[[#This Row],[Sales Date]])&lt;=6,"Q2",IF(MONTH(Table22[[#This Row],[Sales Date]])&lt;=9,"Q3","Q4")))</f>
        <v>Q4</v>
      </c>
      <c r="W1766" s="64">
        <f>YEAR(Table22[[#This Row],[Sales Date]])</f>
        <v>2023</v>
      </c>
      <c r="X1766" s="23">
        <v>51</v>
      </c>
      <c r="Y1766" s="18" t="s">
        <v>23</v>
      </c>
      <c r="Z1766" s="18" t="s">
        <v>30</v>
      </c>
      <c r="AA1766" s="19" t="s">
        <v>36</v>
      </c>
    </row>
    <row r="1767" spans="1:27" x14ac:dyDescent="0.25">
      <c r="A1767" s="17" t="s">
        <v>1137</v>
      </c>
      <c r="B1767" s="18" t="s">
        <v>51</v>
      </c>
      <c r="C1767" s="63" t="str" cm="1">
        <f t="array" ref="C1767">_xlfn.SWITCH(Table22[[#This Row],[Country]],"USA","North America","Canada","North America","Brazil","South America","China","Asia","Japan","Asia","India","Asia","France","Europe","Germany","Europe","UK","Europe","Australia","Oceania","South America")</f>
        <v>Europe</v>
      </c>
      <c r="D1767" s="18" t="s">
        <v>35</v>
      </c>
      <c r="E1767" s="18" t="s">
        <v>39</v>
      </c>
      <c r="F1767" s="18" t="s">
        <v>20</v>
      </c>
      <c r="G1767" s="18" t="s">
        <v>48</v>
      </c>
      <c r="H1767" s="64">
        <f>LEN(TRIM(Table22[[#This Row],[Country]]))</f>
        <v>2</v>
      </c>
      <c r="I1767" s="64">
        <f>LEN(TRIM(Table22[[#This Row],[Continent]]))</f>
        <v>6</v>
      </c>
      <c r="J1767" s="64">
        <f>LEN(TRIM(Table22[[#This Row],[Product]]))</f>
        <v>10</v>
      </c>
      <c r="K1767" s="64">
        <f>LEN(TRIM(Table22[[#This Row],[Sales Team]]))</f>
        <v>9</v>
      </c>
      <c r="L1767" s="23">
        <v>63</v>
      </c>
      <c r="M1767" s="65" t="str" cm="1">
        <f t="array" ref="M1767">_xlfn.IFS(Table22[[#This Row],[Units Sold]]&lt;40,"Critical",Table22[[#This Row],[Units Sold]]&lt;=50,"Poor",Table22[[#This Row],[Units Sold]]&lt;=60,"Low",Table22[[#This Row],[Units Sold]]&lt;=80,"Average",Table22[[#This Row],[Units Sold]]&lt;=90,"High",Table22[[#This Row],[Units Sold]]&lt;=95,"Excellent",Table22[[#This Row],[Units Sold]]&gt;95,"Outstanding")</f>
        <v>Average</v>
      </c>
      <c r="N1767" s="29">
        <v>79.739999999999995</v>
      </c>
      <c r="O1767" s="29">
        <v>5023.62</v>
      </c>
      <c r="P1767" s="43">
        <f>IF(Table22[[#This Row],[Discount Applied]],Table22[[#This Row],[Total Sales (in USD)]]*(1-Table22[[#This Row],[Discount Percentage (%)]]/100),Table22[[#This Row],[Total Sales (in USD)]])</f>
        <v>5023.62</v>
      </c>
      <c r="Q1767" s="66">
        <f>SQRT(AVERAGE((Table22[[#This Row],[Net Sales (after discount) (in USD)]]-AVERAGE(Table22[Net Sales (after discount) (in USD)]))^2))</f>
        <v>31487.740563764539</v>
      </c>
      <c r="R1767" s="18" t="b">
        <v>1</v>
      </c>
      <c r="S1767" s="40">
        <v>12.11</v>
      </c>
      <c r="T1767" s="18" t="b">
        <v>0</v>
      </c>
      <c r="U1767" s="25">
        <v>45128</v>
      </c>
      <c r="V1767" s="63" t="str">
        <f>IF(MONTH(Table22[[#This Row],[Sales Date]])&lt;=3,"Q1",IF(MONTH(Table22[[#This Row],[Sales Date]])&lt;=6,"Q2",IF(MONTH(Table22[[#This Row],[Sales Date]])&lt;=9,"Q3","Q4")))</f>
        <v>Q3</v>
      </c>
      <c r="W1767" s="64">
        <f>YEAR(Table22[[#This Row],[Sales Date]])</f>
        <v>2023</v>
      </c>
      <c r="X1767" s="23">
        <v>61</v>
      </c>
      <c r="Y1767" s="18" t="s">
        <v>23</v>
      </c>
      <c r="Z1767" s="18" t="s">
        <v>42</v>
      </c>
      <c r="AA1767" s="19" t="s">
        <v>36</v>
      </c>
    </row>
    <row r="1768" spans="1:27" x14ac:dyDescent="0.25">
      <c r="A1768" s="17" t="s">
        <v>43</v>
      </c>
      <c r="B1768" s="18" t="s">
        <v>18</v>
      </c>
      <c r="C1768" s="63" t="str" cm="1">
        <f t="array" ref="C1768">_xlfn.SWITCH(Table22[[#This Row],[Country]],"USA","North America","Canada","North America","Brazil","South America","China","Asia","Japan","Asia","India","Asia","France","Europe","Germany","Europe","UK","Europe","Australia","Oceania","South America")</f>
        <v>Asia</v>
      </c>
      <c r="D1768" s="18" t="s">
        <v>44</v>
      </c>
      <c r="E1768" s="18" t="s">
        <v>33</v>
      </c>
      <c r="F1768" s="18" t="s">
        <v>20</v>
      </c>
      <c r="G1768" s="18" t="s">
        <v>29</v>
      </c>
      <c r="H1768" s="64">
        <f>LEN(TRIM(Table22[[#This Row],[Country]]))</f>
        <v>5</v>
      </c>
      <c r="I1768" s="64">
        <f>LEN(TRIM(Table22[[#This Row],[Continent]]))</f>
        <v>4</v>
      </c>
      <c r="J1768" s="64">
        <f>LEN(TRIM(Table22[[#This Row],[Product]]))</f>
        <v>10</v>
      </c>
      <c r="K1768" s="64">
        <f>LEN(TRIM(Table22[[#This Row],[Sales Team]]))</f>
        <v>10</v>
      </c>
      <c r="L1768" s="23">
        <v>6</v>
      </c>
      <c r="M1768" s="65" t="str" cm="1">
        <f t="array" ref="M1768">_xlfn.IFS(Table22[[#This Row],[Units Sold]]&lt;40,"Critical",Table22[[#This Row],[Units Sold]]&lt;=50,"Poor",Table22[[#This Row],[Units Sold]]&lt;=60,"Low",Table22[[#This Row],[Units Sold]]&lt;=80,"Average",Table22[[#This Row],[Units Sold]]&lt;=90,"High",Table22[[#This Row],[Units Sold]]&lt;=95,"Excellent",Table22[[#This Row],[Units Sold]]&gt;95,"Outstanding")</f>
        <v>Critical</v>
      </c>
      <c r="N1768" s="29">
        <v>834.43</v>
      </c>
      <c r="O1768" s="29">
        <v>5006.58</v>
      </c>
      <c r="P1768" s="43">
        <f>IF(Table22[[#This Row],[Discount Applied]],Table22[[#This Row],[Total Sales (in USD)]]*(1-Table22[[#This Row],[Discount Percentage (%)]]/100),Table22[[#This Row],[Total Sales (in USD)]])</f>
        <v>4672.641114</v>
      </c>
      <c r="Q1768" s="66">
        <f>SQRT(AVERAGE((Table22[[#This Row],[Net Sales (after discount) (in USD)]]-AVERAGE(Table22[Net Sales (after discount) (in USD)]))^2))</f>
        <v>31838.71944976454</v>
      </c>
      <c r="R1768" s="18" t="b">
        <v>0</v>
      </c>
      <c r="S1768" s="40">
        <v>6.67</v>
      </c>
      <c r="T1768" s="18" t="b">
        <v>1</v>
      </c>
      <c r="U1768" s="25">
        <v>45275</v>
      </c>
      <c r="V1768" s="63" t="str">
        <f>IF(MONTH(Table22[[#This Row],[Sales Date]])&lt;=3,"Q1",IF(MONTH(Table22[[#This Row],[Sales Date]])&lt;=6,"Q2",IF(MONTH(Table22[[#This Row],[Sales Date]])&lt;=9,"Q3","Q4")))</f>
        <v>Q4</v>
      </c>
      <c r="W1768" s="64">
        <f>YEAR(Table22[[#This Row],[Sales Date]])</f>
        <v>2023</v>
      </c>
      <c r="X1768" s="23">
        <v>52</v>
      </c>
      <c r="Y1768" s="18" t="s">
        <v>41</v>
      </c>
      <c r="Z1768" s="18" t="s">
        <v>24</v>
      </c>
      <c r="AA1768" s="19" t="s">
        <v>36</v>
      </c>
    </row>
    <row r="1769" spans="1:27" x14ac:dyDescent="0.25">
      <c r="A1769" s="17" t="s">
        <v>1070</v>
      </c>
      <c r="B1769" s="18" t="s">
        <v>72</v>
      </c>
      <c r="C1769" s="63" t="str" cm="1">
        <f t="array" ref="C1769">_xlfn.SWITCH(Table22[[#This Row],[Country]],"USA","North America","Canada","North America","Brazil","South America","China","Asia","Japan","Asia","India","Asia","France","Europe","Germany","Europe","UK","Europe","Australia","Oceania","South America")</f>
        <v>North America</v>
      </c>
      <c r="D1769" s="18" t="s">
        <v>21</v>
      </c>
      <c r="E1769" s="18" t="s">
        <v>33</v>
      </c>
      <c r="F1769" s="18" t="s">
        <v>52</v>
      </c>
      <c r="G1769" s="18" t="s">
        <v>48</v>
      </c>
      <c r="H1769" s="64">
        <f>LEN(TRIM(Table22[[#This Row],[Country]]))</f>
        <v>3</v>
      </c>
      <c r="I1769" s="64">
        <f>LEN(TRIM(Table22[[#This Row],[Continent]]))</f>
        <v>13</v>
      </c>
      <c r="J1769" s="64">
        <f>LEN(TRIM(Table22[[#This Row],[Product]]))</f>
        <v>10</v>
      </c>
      <c r="K1769" s="64">
        <f>LEN(TRIM(Table22[[#This Row],[Sales Team]]))</f>
        <v>9</v>
      </c>
      <c r="L1769" s="23">
        <v>10</v>
      </c>
      <c r="M1769" s="65" t="str" cm="1">
        <f t="array" ref="M1769">_xlfn.IFS(Table22[[#This Row],[Units Sold]]&lt;40,"Critical",Table22[[#This Row],[Units Sold]]&lt;=50,"Poor",Table22[[#This Row],[Units Sold]]&lt;=60,"Low",Table22[[#This Row],[Units Sold]]&lt;=80,"Average",Table22[[#This Row],[Units Sold]]&lt;=90,"High",Table22[[#This Row],[Units Sold]]&lt;=95,"Excellent",Table22[[#This Row],[Units Sold]]&gt;95,"Outstanding")</f>
        <v>Critical</v>
      </c>
      <c r="N1769" s="29">
        <v>497.74</v>
      </c>
      <c r="O1769" s="29">
        <v>4977.3999999999996</v>
      </c>
      <c r="P1769" s="43">
        <f>IF(Table22[[#This Row],[Discount Applied]],Table22[[#This Row],[Total Sales (in USD)]]*(1-Table22[[#This Row],[Discount Percentage (%)]]/100),Table22[[#This Row],[Total Sales (in USD)]])</f>
        <v>3564.8138799999997</v>
      </c>
      <c r="Q1769" s="66">
        <f>SQRT(AVERAGE((Table22[[#This Row],[Net Sales (after discount) (in USD)]]-AVERAGE(Table22[Net Sales (after discount) (in USD)]))^2))</f>
        <v>32946.546683764536</v>
      </c>
      <c r="R1769" s="18" t="b">
        <v>1</v>
      </c>
      <c r="S1769" s="40">
        <v>28.38</v>
      </c>
      <c r="T1769" s="18" t="b">
        <v>1</v>
      </c>
      <c r="U1769" s="25">
        <v>45539</v>
      </c>
      <c r="V1769" s="63" t="str">
        <f>IF(MONTH(Table22[[#This Row],[Sales Date]])&lt;=3,"Q1",IF(MONTH(Table22[[#This Row],[Sales Date]])&lt;=6,"Q2",IF(MONTH(Table22[[#This Row],[Sales Date]])&lt;=9,"Q3","Q4")))</f>
        <v>Q3</v>
      </c>
      <c r="W1769" s="64">
        <f>YEAR(Table22[[#This Row],[Sales Date]])</f>
        <v>2024</v>
      </c>
      <c r="X1769" s="23">
        <v>67</v>
      </c>
      <c r="Y1769" s="18" t="s">
        <v>49</v>
      </c>
      <c r="Z1769" s="18" t="s">
        <v>56</v>
      </c>
      <c r="AA1769" s="19" t="s">
        <v>36</v>
      </c>
    </row>
    <row r="1770" spans="1:27" x14ac:dyDescent="0.25">
      <c r="A1770" s="17" t="s">
        <v>925</v>
      </c>
      <c r="B1770" s="18" t="s">
        <v>72</v>
      </c>
      <c r="C1770" s="63" t="str" cm="1">
        <f t="array" ref="C1770">_xlfn.SWITCH(Table22[[#This Row],[Country]],"USA","North America","Canada","North America","Brazil","South America","China","Asia","Japan","Asia","India","Asia","France","Europe","Germany","Europe","UK","Europe","Australia","Oceania","South America")</f>
        <v>North America</v>
      </c>
      <c r="D1770" s="18" t="s">
        <v>44</v>
      </c>
      <c r="E1770" s="18" t="s">
        <v>39</v>
      </c>
      <c r="F1770" s="18" t="s">
        <v>20</v>
      </c>
      <c r="G1770" s="18" t="s">
        <v>40</v>
      </c>
      <c r="H1770" s="64">
        <f>LEN(TRIM(Table22[[#This Row],[Country]]))</f>
        <v>3</v>
      </c>
      <c r="I1770" s="64">
        <f>LEN(TRIM(Table22[[#This Row],[Continent]]))</f>
        <v>13</v>
      </c>
      <c r="J1770" s="64">
        <f>LEN(TRIM(Table22[[#This Row],[Product]]))</f>
        <v>10</v>
      </c>
      <c r="K1770" s="64">
        <f>LEN(TRIM(Table22[[#This Row],[Sales Team]]))</f>
        <v>10</v>
      </c>
      <c r="L1770" s="23">
        <v>58</v>
      </c>
      <c r="M1770" s="65" t="str" cm="1">
        <f t="array" ref="M1770">_xlfn.IFS(Table22[[#This Row],[Units Sold]]&lt;40,"Critical",Table22[[#This Row],[Units Sold]]&lt;=50,"Poor",Table22[[#This Row],[Units Sold]]&lt;=60,"Low",Table22[[#This Row],[Units Sold]]&lt;=80,"Average",Table22[[#This Row],[Units Sold]]&lt;=90,"High",Table22[[#This Row],[Units Sold]]&lt;=95,"Excellent",Table22[[#This Row],[Units Sold]]&gt;95,"Outstanding")</f>
        <v>Low</v>
      </c>
      <c r="N1770" s="29">
        <v>85.5</v>
      </c>
      <c r="O1770" s="29">
        <v>4959</v>
      </c>
      <c r="P1770" s="43">
        <f>IF(Table22[[#This Row],[Discount Applied]],Table22[[#This Row],[Total Sales (in USD)]]*(1-Table22[[#This Row],[Discount Percentage (%)]]/100),Table22[[#This Row],[Total Sales (in USD)]])</f>
        <v>4091.6709000000001</v>
      </c>
      <c r="Q1770" s="66">
        <f>SQRT(AVERAGE((Table22[[#This Row],[Net Sales (after discount) (in USD)]]-AVERAGE(Table22[Net Sales (after discount) (in USD)]))^2))</f>
        <v>32419.689663764537</v>
      </c>
      <c r="R1770" s="18" t="b">
        <v>0</v>
      </c>
      <c r="S1770" s="40">
        <v>17.489999999999998</v>
      </c>
      <c r="T1770" s="18" t="b">
        <v>1</v>
      </c>
      <c r="U1770" s="25">
        <v>45414</v>
      </c>
      <c r="V1770" s="63" t="str">
        <f>IF(MONTH(Table22[[#This Row],[Sales Date]])&lt;=3,"Q1",IF(MONTH(Table22[[#This Row],[Sales Date]])&lt;=6,"Q2",IF(MONTH(Table22[[#This Row],[Sales Date]])&lt;=9,"Q3","Q4")))</f>
        <v>Q2</v>
      </c>
      <c r="W1770" s="64">
        <f>YEAR(Table22[[#This Row],[Sales Date]])</f>
        <v>2024</v>
      </c>
      <c r="X1770" s="23">
        <v>39</v>
      </c>
      <c r="Y1770" s="18" t="s">
        <v>41</v>
      </c>
      <c r="Z1770" s="18" t="s">
        <v>30</v>
      </c>
      <c r="AA1770" s="19" t="s">
        <v>25</v>
      </c>
    </row>
    <row r="1771" spans="1:27" x14ac:dyDescent="0.25">
      <c r="A1771" s="17" t="s">
        <v>1534</v>
      </c>
      <c r="B1771" s="18" t="s">
        <v>27</v>
      </c>
      <c r="C1771" s="63" t="str" cm="1">
        <f t="array" ref="C1771">_xlfn.SWITCH(Table22[[#This Row],[Country]],"USA","North America","Canada","North America","Brazil","South America","China","Asia","Japan","Asia","India","Asia","France","Europe","Germany","Europe","UK","Europe","Australia","Oceania","South America")</f>
        <v>Europe</v>
      </c>
      <c r="D1771" s="18" t="s">
        <v>44</v>
      </c>
      <c r="E1771" s="18" t="s">
        <v>39</v>
      </c>
      <c r="F1771" s="18" t="s">
        <v>47</v>
      </c>
      <c r="G1771" s="18" t="s">
        <v>48</v>
      </c>
      <c r="H1771" s="64">
        <f>LEN(TRIM(Table22[[#This Row],[Country]]))</f>
        <v>7</v>
      </c>
      <c r="I1771" s="64">
        <f>LEN(TRIM(Table22[[#This Row],[Continent]]))</f>
        <v>6</v>
      </c>
      <c r="J1771" s="64">
        <f>LEN(TRIM(Table22[[#This Row],[Product]]))</f>
        <v>10</v>
      </c>
      <c r="K1771" s="64">
        <f>LEN(TRIM(Table22[[#This Row],[Sales Team]]))</f>
        <v>9</v>
      </c>
      <c r="L1771" s="23">
        <v>56</v>
      </c>
      <c r="M1771" s="65" t="str" cm="1">
        <f t="array" ref="M1771">_xlfn.IFS(Table22[[#This Row],[Units Sold]]&lt;40,"Critical",Table22[[#This Row],[Units Sold]]&lt;=50,"Poor",Table22[[#This Row],[Units Sold]]&lt;=60,"Low",Table22[[#This Row],[Units Sold]]&lt;=80,"Average",Table22[[#This Row],[Units Sold]]&lt;=90,"High",Table22[[#This Row],[Units Sold]]&lt;=95,"Excellent",Table22[[#This Row],[Units Sold]]&gt;95,"Outstanding")</f>
        <v>Low</v>
      </c>
      <c r="N1771" s="29">
        <v>88.26</v>
      </c>
      <c r="O1771" s="29">
        <v>4942.5600000000004</v>
      </c>
      <c r="P1771" s="43">
        <f>IF(Table22[[#This Row],[Discount Applied]],Table22[[#This Row],[Total Sales (in USD)]]*(1-Table22[[#This Row],[Discount Percentage (%)]]/100),Table22[[#This Row],[Total Sales (in USD)]])</f>
        <v>4942.5600000000004</v>
      </c>
      <c r="Q1771" s="66">
        <f>SQRT(AVERAGE((Table22[[#This Row],[Net Sales (after discount) (in USD)]]-AVERAGE(Table22[Net Sales (after discount) (in USD)]))^2))</f>
        <v>31568.800563764536</v>
      </c>
      <c r="R1771" s="18" t="b">
        <v>1</v>
      </c>
      <c r="S1771" s="40">
        <v>12.16</v>
      </c>
      <c r="T1771" s="18" t="b">
        <v>0</v>
      </c>
      <c r="U1771" s="25">
        <v>45048</v>
      </c>
      <c r="V1771" s="63" t="str">
        <f>IF(MONTH(Table22[[#This Row],[Sales Date]])&lt;=3,"Q1",IF(MONTH(Table22[[#This Row],[Sales Date]])&lt;=6,"Q2",IF(MONTH(Table22[[#This Row],[Sales Date]])&lt;=9,"Q3","Q4")))</f>
        <v>Q2</v>
      </c>
      <c r="W1771" s="64">
        <f>YEAR(Table22[[#This Row],[Sales Date]])</f>
        <v>2023</v>
      </c>
      <c r="X1771" s="23">
        <v>68</v>
      </c>
      <c r="Y1771" s="18" t="s">
        <v>41</v>
      </c>
      <c r="Z1771" s="18" t="s">
        <v>24</v>
      </c>
      <c r="AA1771" s="19" t="s">
        <v>25</v>
      </c>
    </row>
    <row r="1772" spans="1:27" x14ac:dyDescent="0.25">
      <c r="A1772" s="17" t="s">
        <v>1574</v>
      </c>
      <c r="B1772" s="18" t="s">
        <v>62</v>
      </c>
      <c r="C1772" s="63" t="str" cm="1">
        <f t="array" ref="C1772">_xlfn.SWITCH(Table22[[#This Row],[Country]],"USA","North America","Canada","North America","Brazil","South America","China","Asia","Japan","Asia","India","Asia","France","Europe","Germany","Europe","UK","Europe","Australia","Oceania","South America")</f>
        <v>Oceania</v>
      </c>
      <c r="D1772" s="18" t="s">
        <v>28</v>
      </c>
      <c r="E1772" s="18" t="s">
        <v>39</v>
      </c>
      <c r="F1772" s="18" t="s">
        <v>52</v>
      </c>
      <c r="G1772" s="18" t="s">
        <v>48</v>
      </c>
      <c r="H1772" s="64">
        <f>LEN(TRIM(Table22[[#This Row],[Country]]))</f>
        <v>9</v>
      </c>
      <c r="I1772" s="64">
        <f>LEN(TRIM(Table22[[#This Row],[Continent]]))</f>
        <v>7</v>
      </c>
      <c r="J1772" s="64">
        <f>LEN(TRIM(Table22[[#This Row],[Product]]))</f>
        <v>10</v>
      </c>
      <c r="K1772" s="64">
        <f>LEN(TRIM(Table22[[#This Row],[Sales Team]]))</f>
        <v>9</v>
      </c>
      <c r="L1772" s="23">
        <v>9</v>
      </c>
      <c r="M1772" s="65" t="str" cm="1">
        <f t="array" ref="M1772">_xlfn.IFS(Table22[[#This Row],[Units Sold]]&lt;40,"Critical",Table22[[#This Row],[Units Sold]]&lt;=50,"Poor",Table22[[#This Row],[Units Sold]]&lt;=60,"Low",Table22[[#This Row],[Units Sold]]&lt;=80,"Average",Table22[[#This Row],[Units Sold]]&lt;=90,"High",Table22[[#This Row],[Units Sold]]&lt;=95,"Excellent",Table22[[#This Row],[Units Sold]]&gt;95,"Outstanding")</f>
        <v>Critical</v>
      </c>
      <c r="N1772" s="29">
        <v>548.59</v>
      </c>
      <c r="O1772" s="29">
        <v>4937.3100000000004</v>
      </c>
      <c r="P1772" s="43">
        <f>IF(Table22[[#This Row],[Discount Applied]],Table22[[#This Row],[Total Sales (in USD)]]*(1-Table22[[#This Row],[Discount Percentage (%)]]/100),Table22[[#This Row],[Total Sales (in USD)]])</f>
        <v>4754.6295300000002</v>
      </c>
      <c r="Q1772" s="66">
        <f>SQRT(AVERAGE((Table22[[#This Row],[Net Sales (after discount) (in USD)]]-AVERAGE(Table22[Net Sales (after discount) (in USD)]))^2))</f>
        <v>31756.731033764539</v>
      </c>
      <c r="R1772" s="18" t="b">
        <v>1</v>
      </c>
      <c r="S1772" s="40">
        <v>3.7</v>
      </c>
      <c r="T1772" s="18" t="b">
        <v>1</v>
      </c>
      <c r="U1772" s="25">
        <v>45072</v>
      </c>
      <c r="V1772" s="63" t="str">
        <f>IF(MONTH(Table22[[#This Row],[Sales Date]])&lt;=3,"Q1",IF(MONTH(Table22[[#This Row],[Sales Date]])&lt;=6,"Q2",IF(MONTH(Table22[[#This Row],[Sales Date]])&lt;=9,"Q3","Q4")))</f>
        <v>Q2</v>
      </c>
      <c r="W1772" s="64">
        <f>YEAR(Table22[[#This Row],[Sales Date]])</f>
        <v>2023</v>
      </c>
      <c r="X1772" s="23">
        <v>51</v>
      </c>
      <c r="Y1772" s="18" t="s">
        <v>49</v>
      </c>
      <c r="Z1772" s="18" t="s">
        <v>42</v>
      </c>
      <c r="AA1772" s="19" t="s">
        <v>25</v>
      </c>
    </row>
    <row r="1773" spans="1:27" x14ac:dyDescent="0.25">
      <c r="A1773" s="17" t="s">
        <v>1789</v>
      </c>
      <c r="B1773" s="18" t="s">
        <v>72</v>
      </c>
      <c r="C1773" s="63" t="str" cm="1">
        <f t="array" ref="C1773">_xlfn.SWITCH(Table22[[#This Row],[Country]],"USA","North America","Canada","North America","Brazil","South America","China","Asia","Japan","Asia","India","Asia","France","Europe","Germany","Europe","UK","Europe","Australia","Oceania","South America")</f>
        <v>North America</v>
      </c>
      <c r="D1773" s="18" t="s">
        <v>28</v>
      </c>
      <c r="E1773" s="18" t="s">
        <v>39</v>
      </c>
      <c r="F1773" s="18" t="s">
        <v>47</v>
      </c>
      <c r="G1773" s="18" t="s">
        <v>48</v>
      </c>
      <c r="H1773" s="64">
        <f>LEN(TRIM(Table22[[#This Row],[Country]]))</f>
        <v>3</v>
      </c>
      <c r="I1773" s="64">
        <f>LEN(TRIM(Table22[[#This Row],[Continent]]))</f>
        <v>13</v>
      </c>
      <c r="J1773" s="64">
        <f>LEN(TRIM(Table22[[#This Row],[Product]]))</f>
        <v>10</v>
      </c>
      <c r="K1773" s="64">
        <f>LEN(TRIM(Table22[[#This Row],[Sales Team]]))</f>
        <v>9</v>
      </c>
      <c r="L1773" s="23">
        <v>12</v>
      </c>
      <c r="M1773" s="65" t="str" cm="1">
        <f t="array" ref="M1773">_xlfn.IFS(Table22[[#This Row],[Units Sold]]&lt;40,"Critical",Table22[[#This Row],[Units Sold]]&lt;=50,"Poor",Table22[[#This Row],[Units Sold]]&lt;=60,"Low",Table22[[#This Row],[Units Sold]]&lt;=80,"Average",Table22[[#This Row],[Units Sold]]&lt;=90,"High",Table22[[#This Row],[Units Sold]]&lt;=95,"Excellent",Table22[[#This Row],[Units Sold]]&gt;95,"Outstanding")</f>
        <v>Critical</v>
      </c>
      <c r="N1773" s="29">
        <v>410.28</v>
      </c>
      <c r="O1773" s="29">
        <v>4923.3599999999997</v>
      </c>
      <c r="P1773" s="43">
        <f>IF(Table22[[#This Row],[Discount Applied]],Table22[[#This Row],[Total Sales (in USD)]]*(1-Table22[[#This Row],[Discount Percentage (%)]]/100),Table22[[#This Row],[Total Sales (in USD)]])</f>
        <v>4166.1472319999993</v>
      </c>
      <c r="Q1773" s="66">
        <f>SQRT(AVERAGE((Table22[[#This Row],[Net Sales (after discount) (in USD)]]-AVERAGE(Table22[Net Sales (after discount) (in USD)]))^2))</f>
        <v>32345.213331764538</v>
      </c>
      <c r="R1773" s="18" t="b">
        <v>0</v>
      </c>
      <c r="S1773" s="40">
        <v>15.38</v>
      </c>
      <c r="T1773" s="18" t="b">
        <v>1</v>
      </c>
      <c r="U1773" s="25">
        <v>45420</v>
      </c>
      <c r="V1773" s="63" t="str">
        <f>IF(MONTH(Table22[[#This Row],[Sales Date]])&lt;=3,"Q1",IF(MONTH(Table22[[#This Row],[Sales Date]])&lt;=6,"Q2",IF(MONTH(Table22[[#This Row],[Sales Date]])&lt;=9,"Q3","Q4")))</f>
        <v>Q2</v>
      </c>
      <c r="W1773" s="64">
        <f>YEAR(Table22[[#This Row],[Sales Date]])</f>
        <v>2024</v>
      </c>
      <c r="X1773" s="23">
        <v>57</v>
      </c>
      <c r="Y1773" s="18" t="s">
        <v>49</v>
      </c>
      <c r="Z1773" s="18" t="s">
        <v>56</v>
      </c>
      <c r="AA1773" s="19" t="s">
        <v>25</v>
      </c>
    </row>
    <row r="1774" spans="1:27" x14ac:dyDescent="0.25">
      <c r="A1774" s="17" t="s">
        <v>1870</v>
      </c>
      <c r="B1774" s="18" t="s">
        <v>66</v>
      </c>
      <c r="C1774" s="63" t="str" cm="1">
        <f t="array" ref="C1774">_xlfn.SWITCH(Table22[[#This Row],[Country]],"USA","North America","Canada","North America","Brazil","South America","China","Asia","Japan","Asia","India","Asia","France","Europe","Germany","Europe","UK","Europe","Australia","Oceania","South America")</f>
        <v>North America</v>
      </c>
      <c r="D1774" s="18" t="s">
        <v>28</v>
      </c>
      <c r="E1774" s="18" t="s">
        <v>33</v>
      </c>
      <c r="F1774" s="18" t="s">
        <v>47</v>
      </c>
      <c r="G1774" s="18" t="s">
        <v>48</v>
      </c>
      <c r="H1774" s="64">
        <f>LEN(TRIM(Table22[[#This Row],[Country]]))</f>
        <v>6</v>
      </c>
      <c r="I1774" s="64">
        <f>LEN(TRIM(Table22[[#This Row],[Continent]]))</f>
        <v>13</v>
      </c>
      <c r="J1774" s="64">
        <f>LEN(TRIM(Table22[[#This Row],[Product]]))</f>
        <v>10</v>
      </c>
      <c r="K1774" s="64">
        <f>LEN(TRIM(Table22[[#This Row],[Sales Team]]))</f>
        <v>9</v>
      </c>
      <c r="L1774" s="23">
        <v>4</v>
      </c>
      <c r="M1774" s="65" t="str" cm="1">
        <f t="array" ref="M1774">_xlfn.IFS(Table22[[#This Row],[Units Sold]]&lt;40,"Critical",Table22[[#This Row],[Units Sold]]&lt;=50,"Poor",Table22[[#This Row],[Units Sold]]&lt;=60,"Low",Table22[[#This Row],[Units Sold]]&lt;=80,"Average",Table22[[#This Row],[Units Sold]]&lt;=90,"High",Table22[[#This Row],[Units Sold]]&lt;=95,"Excellent",Table22[[#This Row],[Units Sold]]&gt;95,"Outstanding")</f>
        <v>Critical</v>
      </c>
      <c r="N1774" s="29">
        <v>1211.17</v>
      </c>
      <c r="O1774" s="29">
        <v>4844.68</v>
      </c>
      <c r="P1774" s="43">
        <f>IF(Table22[[#This Row],[Discount Applied]],Table22[[#This Row],[Total Sales (in USD)]]*(1-Table22[[#This Row],[Discount Percentage (%)]]/100),Table22[[#This Row],[Total Sales (in USD)]])</f>
        <v>4621.340252</v>
      </c>
      <c r="Q1774" s="66">
        <f>SQRT(AVERAGE((Table22[[#This Row],[Net Sales (after discount) (in USD)]]-AVERAGE(Table22[Net Sales (after discount) (in USD)]))^2))</f>
        <v>31890.020311764536</v>
      </c>
      <c r="R1774" s="18" t="b">
        <v>1</v>
      </c>
      <c r="S1774" s="40">
        <v>4.6100000000000003</v>
      </c>
      <c r="T1774" s="18" t="b">
        <v>1</v>
      </c>
      <c r="U1774" s="25">
        <v>45227</v>
      </c>
      <c r="V1774" s="63" t="str">
        <f>IF(MONTH(Table22[[#This Row],[Sales Date]])&lt;=3,"Q1",IF(MONTH(Table22[[#This Row],[Sales Date]])&lt;=6,"Q2",IF(MONTH(Table22[[#This Row],[Sales Date]])&lt;=9,"Q3","Q4")))</f>
        <v>Q4</v>
      </c>
      <c r="W1774" s="64">
        <f>YEAR(Table22[[#This Row],[Sales Date]])</f>
        <v>2023</v>
      </c>
      <c r="X1774" s="23">
        <v>43</v>
      </c>
      <c r="Y1774" s="18" t="s">
        <v>41</v>
      </c>
      <c r="Z1774" s="18" t="s">
        <v>30</v>
      </c>
      <c r="AA1774" s="19" t="s">
        <v>36</v>
      </c>
    </row>
    <row r="1775" spans="1:27" x14ac:dyDescent="0.25">
      <c r="A1775" s="17" t="s">
        <v>1833</v>
      </c>
      <c r="B1775" s="18" t="s">
        <v>51</v>
      </c>
      <c r="C1775" s="63" t="str" cm="1">
        <f t="array" ref="C1775">_xlfn.SWITCH(Table22[[#This Row],[Country]],"USA","North America","Canada","North America","Brazil","South America","China","Asia","Japan","Asia","India","Asia","France","Europe","Germany","Europe","UK","Europe","Australia","Oceania","South America")</f>
        <v>Europe</v>
      </c>
      <c r="D1775" s="18" t="s">
        <v>21</v>
      </c>
      <c r="E1775" s="18" t="s">
        <v>39</v>
      </c>
      <c r="F1775" s="18" t="s">
        <v>34</v>
      </c>
      <c r="G1775" s="18" t="s">
        <v>40</v>
      </c>
      <c r="H1775" s="64">
        <f>LEN(TRIM(Table22[[#This Row],[Country]]))</f>
        <v>2</v>
      </c>
      <c r="I1775" s="64">
        <f>LEN(TRIM(Table22[[#This Row],[Continent]]))</f>
        <v>6</v>
      </c>
      <c r="J1775" s="64">
        <f>LEN(TRIM(Table22[[#This Row],[Product]]))</f>
        <v>10</v>
      </c>
      <c r="K1775" s="64">
        <f>LEN(TRIM(Table22[[#This Row],[Sales Team]]))</f>
        <v>10</v>
      </c>
      <c r="L1775" s="23">
        <v>15</v>
      </c>
      <c r="M1775" s="65" t="str" cm="1">
        <f t="array" ref="M1775">_xlfn.IFS(Table22[[#This Row],[Units Sold]]&lt;40,"Critical",Table22[[#This Row],[Units Sold]]&lt;=50,"Poor",Table22[[#This Row],[Units Sold]]&lt;=60,"Low",Table22[[#This Row],[Units Sold]]&lt;=80,"Average",Table22[[#This Row],[Units Sold]]&lt;=90,"High",Table22[[#This Row],[Units Sold]]&lt;=95,"Excellent",Table22[[#This Row],[Units Sold]]&gt;95,"Outstanding")</f>
        <v>Critical</v>
      </c>
      <c r="N1775" s="29">
        <v>321.66000000000003</v>
      </c>
      <c r="O1775" s="29">
        <v>4824.8999999999996</v>
      </c>
      <c r="P1775" s="43">
        <f>IF(Table22[[#This Row],[Discount Applied]],Table22[[#This Row],[Total Sales (in USD)]]*(1-Table22[[#This Row],[Discount Percentage (%)]]/100),Table22[[#This Row],[Total Sales (in USD)]])</f>
        <v>4824.8999999999996</v>
      </c>
      <c r="Q1775" s="66">
        <f>SQRT(AVERAGE((Table22[[#This Row],[Net Sales (after discount) (in USD)]]-AVERAGE(Table22[Net Sales (after discount) (in USD)]))^2))</f>
        <v>31686.460563764536</v>
      </c>
      <c r="R1775" s="18" t="b">
        <v>0</v>
      </c>
      <c r="S1775" s="40">
        <v>12.25</v>
      </c>
      <c r="T1775" s="18" t="b">
        <v>0</v>
      </c>
      <c r="U1775" s="25">
        <v>45507</v>
      </c>
      <c r="V1775" s="63" t="str">
        <f>IF(MONTH(Table22[[#This Row],[Sales Date]])&lt;=3,"Q1",IF(MONTH(Table22[[#This Row],[Sales Date]])&lt;=6,"Q2",IF(MONTH(Table22[[#This Row],[Sales Date]])&lt;=9,"Q3","Q4")))</f>
        <v>Q3</v>
      </c>
      <c r="W1775" s="64">
        <f>YEAR(Table22[[#This Row],[Sales Date]])</f>
        <v>2024</v>
      </c>
      <c r="X1775" s="23">
        <v>24</v>
      </c>
      <c r="Y1775" s="18" t="s">
        <v>49</v>
      </c>
      <c r="Z1775" s="18" t="s">
        <v>42</v>
      </c>
      <c r="AA1775" s="19" t="s">
        <v>36</v>
      </c>
    </row>
    <row r="1776" spans="1:27" x14ac:dyDescent="0.25">
      <c r="A1776" s="17" t="s">
        <v>238</v>
      </c>
      <c r="B1776" s="18" t="s">
        <v>38</v>
      </c>
      <c r="C1776" s="63" t="str" cm="1">
        <f t="array" ref="C1776">_xlfn.SWITCH(Table22[[#This Row],[Country]],"USA","North America","Canada","North America","Brazil","South America","China","Asia","Japan","Asia","India","Asia","France","Europe","Germany","Europe","UK","Europe","Australia","Oceania","South America")</f>
        <v>Europe</v>
      </c>
      <c r="D1776" s="18" t="s">
        <v>28</v>
      </c>
      <c r="E1776" s="18" t="s">
        <v>19</v>
      </c>
      <c r="F1776" s="18" t="s">
        <v>64</v>
      </c>
      <c r="G1776" s="18" t="s">
        <v>29</v>
      </c>
      <c r="H1776" s="64">
        <f>LEN(TRIM(Table22[[#This Row],[Country]]))</f>
        <v>6</v>
      </c>
      <c r="I1776" s="64">
        <f>LEN(TRIM(Table22[[#This Row],[Continent]]))</f>
        <v>6</v>
      </c>
      <c r="J1776" s="64">
        <f>LEN(TRIM(Table22[[#This Row],[Product]]))</f>
        <v>6</v>
      </c>
      <c r="K1776" s="64">
        <f>LEN(TRIM(Table22[[#This Row],[Sales Team]]))</f>
        <v>10</v>
      </c>
      <c r="L1776" s="23">
        <v>24</v>
      </c>
      <c r="M1776" s="65" t="str" cm="1">
        <f t="array" ref="M1776">_xlfn.IFS(Table22[[#This Row],[Units Sold]]&lt;40,"Critical",Table22[[#This Row],[Units Sold]]&lt;=50,"Poor",Table22[[#This Row],[Units Sold]]&lt;=60,"Low",Table22[[#This Row],[Units Sold]]&lt;=80,"Average",Table22[[#This Row],[Units Sold]]&lt;=90,"High",Table22[[#This Row],[Units Sold]]&lt;=95,"Excellent",Table22[[#This Row],[Units Sold]]&gt;95,"Outstanding")</f>
        <v>Critical</v>
      </c>
      <c r="N1776" s="29">
        <v>197.83</v>
      </c>
      <c r="O1776" s="29">
        <v>4747.92</v>
      </c>
      <c r="P1776" s="43">
        <f>IF(Table22[[#This Row],[Discount Applied]],Table22[[#This Row],[Total Sales (in USD)]]*(1-Table22[[#This Row],[Discount Percentage (%)]]/100),Table22[[#This Row],[Total Sales (in USD)]])</f>
        <v>4747.92</v>
      </c>
      <c r="Q1776" s="66">
        <f>SQRT(AVERAGE((Table22[[#This Row],[Net Sales (after discount) (in USD)]]-AVERAGE(Table22[Net Sales (after discount) (in USD)]))^2))</f>
        <v>31763.44056376454</v>
      </c>
      <c r="R1776" s="18" t="b">
        <v>0</v>
      </c>
      <c r="S1776" s="40">
        <v>13.23</v>
      </c>
      <c r="T1776" s="18" t="b">
        <v>0</v>
      </c>
      <c r="U1776" s="25">
        <v>45264</v>
      </c>
      <c r="V1776" s="63" t="str">
        <f>IF(MONTH(Table22[[#This Row],[Sales Date]])&lt;=3,"Q1",IF(MONTH(Table22[[#This Row],[Sales Date]])&lt;=6,"Q2",IF(MONTH(Table22[[#This Row],[Sales Date]])&lt;=9,"Q3","Q4")))</f>
        <v>Q4</v>
      </c>
      <c r="W1776" s="64">
        <f>YEAR(Table22[[#This Row],[Sales Date]])</f>
        <v>2023</v>
      </c>
      <c r="X1776" s="23">
        <v>37</v>
      </c>
      <c r="Y1776" s="18" t="s">
        <v>41</v>
      </c>
      <c r="Z1776" s="18" t="s">
        <v>56</v>
      </c>
      <c r="AA1776" s="19" t="s">
        <v>25</v>
      </c>
    </row>
    <row r="1777" spans="1:27" x14ac:dyDescent="0.25">
      <c r="A1777" s="17" t="s">
        <v>1323</v>
      </c>
      <c r="B1777" s="18" t="s">
        <v>62</v>
      </c>
      <c r="C1777" s="63" t="str" cm="1">
        <f t="array" ref="C1777">_xlfn.SWITCH(Table22[[#This Row],[Country]],"USA","North America","Canada","North America","Brazil","South America","China","Asia","Japan","Asia","India","Asia","France","Europe","Germany","Europe","UK","Europe","Australia","Oceania","South America")</f>
        <v>Oceania</v>
      </c>
      <c r="D1777" s="18" t="s">
        <v>35</v>
      </c>
      <c r="E1777" s="18" t="s">
        <v>33</v>
      </c>
      <c r="F1777" s="18" t="s">
        <v>64</v>
      </c>
      <c r="G1777" s="18" t="s">
        <v>40</v>
      </c>
      <c r="H1777" s="64">
        <f>LEN(TRIM(Table22[[#This Row],[Country]]))</f>
        <v>9</v>
      </c>
      <c r="I1777" s="64">
        <f>LEN(TRIM(Table22[[#This Row],[Continent]]))</f>
        <v>7</v>
      </c>
      <c r="J1777" s="64">
        <f>LEN(TRIM(Table22[[#This Row],[Product]]))</f>
        <v>10</v>
      </c>
      <c r="K1777" s="64">
        <f>LEN(TRIM(Table22[[#This Row],[Sales Team]]))</f>
        <v>10</v>
      </c>
      <c r="L1777" s="23">
        <v>43</v>
      </c>
      <c r="M1777" s="65" t="str" cm="1">
        <f t="array" ref="M1777">_xlfn.IFS(Table22[[#This Row],[Units Sold]]&lt;40,"Critical",Table22[[#This Row],[Units Sold]]&lt;=50,"Poor",Table22[[#This Row],[Units Sold]]&lt;=60,"Low",Table22[[#This Row],[Units Sold]]&lt;=80,"Average",Table22[[#This Row],[Units Sold]]&lt;=90,"High",Table22[[#This Row],[Units Sold]]&lt;=95,"Excellent",Table22[[#This Row],[Units Sold]]&gt;95,"Outstanding")</f>
        <v>Poor</v>
      </c>
      <c r="N1777" s="29">
        <v>109.99</v>
      </c>
      <c r="O1777" s="29">
        <v>4729.57</v>
      </c>
      <c r="P1777" s="43">
        <f>IF(Table22[[#This Row],[Discount Applied]],Table22[[#This Row],[Total Sales (in USD)]]*(1-Table22[[#This Row],[Discount Percentage (%)]]/100),Table22[[#This Row],[Total Sales (in USD)]])</f>
        <v>4729.57</v>
      </c>
      <c r="Q1777" s="66">
        <f>SQRT(AVERAGE((Table22[[#This Row],[Net Sales (after discount) (in USD)]]-AVERAGE(Table22[Net Sales (after discount) (in USD)]))^2))</f>
        <v>31781.790563764538</v>
      </c>
      <c r="R1777" s="18" t="b">
        <v>0</v>
      </c>
      <c r="S1777" s="40">
        <v>6.93</v>
      </c>
      <c r="T1777" s="18" t="b">
        <v>0</v>
      </c>
      <c r="U1777" s="25">
        <v>45456</v>
      </c>
      <c r="V1777" s="63" t="str">
        <f>IF(MONTH(Table22[[#This Row],[Sales Date]])&lt;=3,"Q1",IF(MONTH(Table22[[#This Row],[Sales Date]])&lt;=6,"Q2",IF(MONTH(Table22[[#This Row],[Sales Date]])&lt;=9,"Q3","Q4")))</f>
        <v>Q2</v>
      </c>
      <c r="W1777" s="64">
        <f>YEAR(Table22[[#This Row],[Sales Date]])</f>
        <v>2024</v>
      </c>
      <c r="X1777" s="23">
        <v>26</v>
      </c>
      <c r="Y1777" s="18" t="s">
        <v>49</v>
      </c>
      <c r="Z1777" s="18" t="s">
        <v>42</v>
      </c>
      <c r="AA1777" s="19" t="s">
        <v>36</v>
      </c>
    </row>
    <row r="1778" spans="1:27" x14ac:dyDescent="0.25">
      <c r="A1778" s="17" t="s">
        <v>1637</v>
      </c>
      <c r="B1778" s="18" t="s">
        <v>66</v>
      </c>
      <c r="C1778" s="63" t="str" cm="1">
        <f t="array" ref="C1778">_xlfn.SWITCH(Table22[[#This Row],[Country]],"USA","North America","Canada","North America","Brazil","South America","China","Asia","Japan","Asia","India","Asia","France","Europe","Germany","Europe","UK","Europe","Australia","Oceania","South America")</f>
        <v>North America</v>
      </c>
      <c r="D1778" s="18" t="s">
        <v>21</v>
      </c>
      <c r="E1778" s="18" t="s">
        <v>19</v>
      </c>
      <c r="F1778" s="18" t="s">
        <v>52</v>
      </c>
      <c r="G1778" s="18" t="s">
        <v>48</v>
      </c>
      <c r="H1778" s="64">
        <f>LEN(TRIM(Table22[[#This Row],[Country]]))</f>
        <v>6</v>
      </c>
      <c r="I1778" s="64">
        <f>LEN(TRIM(Table22[[#This Row],[Continent]]))</f>
        <v>13</v>
      </c>
      <c r="J1778" s="64">
        <f>LEN(TRIM(Table22[[#This Row],[Product]]))</f>
        <v>6</v>
      </c>
      <c r="K1778" s="64">
        <f>LEN(TRIM(Table22[[#This Row],[Sales Team]]))</f>
        <v>9</v>
      </c>
      <c r="L1778" s="23">
        <v>71</v>
      </c>
      <c r="M1778" s="65" t="str" cm="1">
        <f t="array" ref="M1778">_xlfn.IFS(Table22[[#This Row],[Units Sold]]&lt;40,"Critical",Table22[[#This Row],[Units Sold]]&lt;=50,"Poor",Table22[[#This Row],[Units Sold]]&lt;=60,"Low",Table22[[#This Row],[Units Sold]]&lt;=80,"Average",Table22[[#This Row],[Units Sold]]&lt;=90,"High",Table22[[#This Row],[Units Sold]]&lt;=95,"Excellent",Table22[[#This Row],[Units Sold]]&gt;95,"Outstanding")</f>
        <v>Average</v>
      </c>
      <c r="N1778" s="29">
        <v>65.989999999999995</v>
      </c>
      <c r="O1778" s="29">
        <v>4685.29</v>
      </c>
      <c r="P1778" s="43">
        <f>IF(Table22[[#This Row],[Discount Applied]],Table22[[#This Row],[Total Sales (in USD)]]*(1-Table22[[#This Row],[Discount Percentage (%)]]/100),Table22[[#This Row],[Total Sales (in USD)]])</f>
        <v>4685.29</v>
      </c>
      <c r="Q1778" s="66">
        <f>SQRT(AVERAGE((Table22[[#This Row],[Net Sales (after discount) (in USD)]]-AVERAGE(Table22[Net Sales (after discount) (in USD)]))^2))</f>
        <v>31826.070563764537</v>
      </c>
      <c r="R1778" s="18" t="b">
        <v>0</v>
      </c>
      <c r="S1778" s="40">
        <v>9.6199999999999992</v>
      </c>
      <c r="T1778" s="18" t="b">
        <v>0</v>
      </c>
      <c r="U1778" s="25">
        <v>45308</v>
      </c>
      <c r="V1778" s="63" t="str">
        <f>IF(MONTH(Table22[[#This Row],[Sales Date]])&lt;=3,"Q1",IF(MONTH(Table22[[#This Row],[Sales Date]])&lt;=6,"Q2",IF(MONTH(Table22[[#This Row],[Sales Date]])&lt;=9,"Q3","Q4")))</f>
        <v>Q1</v>
      </c>
      <c r="W1778" s="64">
        <f>YEAR(Table22[[#This Row],[Sales Date]])</f>
        <v>2024</v>
      </c>
      <c r="X1778" s="23">
        <v>50</v>
      </c>
      <c r="Y1778" s="18" t="s">
        <v>23</v>
      </c>
      <c r="Z1778" s="18" t="s">
        <v>42</v>
      </c>
      <c r="AA1778" s="19" t="s">
        <v>25</v>
      </c>
    </row>
    <row r="1779" spans="1:27" x14ac:dyDescent="0.25">
      <c r="A1779" s="17" t="s">
        <v>625</v>
      </c>
      <c r="B1779" s="18" t="s">
        <v>32</v>
      </c>
      <c r="C1779" s="63" t="str" cm="1">
        <f t="array" ref="C1779">_xlfn.SWITCH(Table22[[#This Row],[Country]],"USA","North America","Canada","North America","Brazil","South America","China","Asia","Japan","Asia","India","Asia","France","Europe","Germany","Europe","UK","Europe","Australia","Oceania","South America")</f>
        <v>Asia</v>
      </c>
      <c r="D1779" s="18" t="s">
        <v>21</v>
      </c>
      <c r="E1779" s="18" t="s">
        <v>39</v>
      </c>
      <c r="F1779" s="18" t="s">
        <v>52</v>
      </c>
      <c r="G1779" s="18" t="s">
        <v>48</v>
      </c>
      <c r="H1779" s="64">
        <f>LEN(TRIM(Table22[[#This Row],[Country]]))</f>
        <v>5</v>
      </c>
      <c r="I1779" s="64">
        <f>LEN(TRIM(Table22[[#This Row],[Continent]]))</f>
        <v>4</v>
      </c>
      <c r="J1779" s="64">
        <f>LEN(TRIM(Table22[[#This Row],[Product]]))</f>
        <v>10</v>
      </c>
      <c r="K1779" s="64">
        <f>LEN(TRIM(Table22[[#This Row],[Sales Team]]))</f>
        <v>9</v>
      </c>
      <c r="L1779" s="23">
        <v>4</v>
      </c>
      <c r="M1779" s="65" t="str" cm="1">
        <f t="array" ref="M1779">_xlfn.IFS(Table22[[#This Row],[Units Sold]]&lt;40,"Critical",Table22[[#This Row],[Units Sold]]&lt;=50,"Poor",Table22[[#This Row],[Units Sold]]&lt;=60,"Low",Table22[[#This Row],[Units Sold]]&lt;=80,"Average",Table22[[#This Row],[Units Sold]]&lt;=90,"High",Table22[[#This Row],[Units Sold]]&lt;=95,"Excellent",Table22[[#This Row],[Units Sold]]&gt;95,"Outstanding")</f>
        <v>Critical</v>
      </c>
      <c r="N1779" s="29">
        <v>1161.72</v>
      </c>
      <c r="O1779" s="29">
        <v>4646.88</v>
      </c>
      <c r="P1779" s="43">
        <f>IF(Table22[[#This Row],[Discount Applied]],Table22[[#This Row],[Total Sales (in USD)]]*(1-Table22[[#This Row],[Discount Percentage (%)]]/100),Table22[[#This Row],[Total Sales (in USD)]])</f>
        <v>3438.2265120000002</v>
      </c>
      <c r="Q1779" s="66">
        <f>SQRT(AVERAGE((Table22[[#This Row],[Net Sales (after discount) (in USD)]]-AVERAGE(Table22[Net Sales (after discount) (in USD)]))^2))</f>
        <v>33073.134051764537</v>
      </c>
      <c r="R1779" s="18" t="b">
        <v>1</v>
      </c>
      <c r="S1779" s="40">
        <v>26.01</v>
      </c>
      <c r="T1779" s="18" t="b">
        <v>1</v>
      </c>
      <c r="U1779" s="25">
        <v>45372</v>
      </c>
      <c r="V1779" s="63" t="str">
        <f>IF(MONTH(Table22[[#This Row],[Sales Date]])&lt;=3,"Q1",IF(MONTH(Table22[[#This Row],[Sales Date]])&lt;=6,"Q2",IF(MONTH(Table22[[#This Row],[Sales Date]])&lt;=9,"Q3","Q4")))</f>
        <v>Q1</v>
      </c>
      <c r="W1779" s="64">
        <f>YEAR(Table22[[#This Row],[Sales Date]])</f>
        <v>2024</v>
      </c>
      <c r="X1779" s="23">
        <v>37</v>
      </c>
      <c r="Y1779" s="18" t="s">
        <v>49</v>
      </c>
      <c r="Z1779" s="18" t="s">
        <v>24</v>
      </c>
      <c r="AA1779" s="19" t="s">
        <v>25</v>
      </c>
    </row>
    <row r="1780" spans="1:27" x14ac:dyDescent="0.25">
      <c r="A1780" s="17" t="s">
        <v>570</v>
      </c>
      <c r="B1780" s="18" t="s">
        <v>51</v>
      </c>
      <c r="C1780" s="63" t="str" cm="1">
        <f t="array" ref="C1780">_xlfn.SWITCH(Table22[[#This Row],[Country]],"USA","North America","Canada","North America","Brazil","South America","China","Asia","Japan","Asia","India","Asia","France","Europe","Germany","Europe","UK","Europe","Australia","Oceania","South America")</f>
        <v>Europe</v>
      </c>
      <c r="D1780" s="18" t="s">
        <v>35</v>
      </c>
      <c r="E1780" s="18" t="s">
        <v>39</v>
      </c>
      <c r="F1780" s="18" t="s">
        <v>64</v>
      </c>
      <c r="G1780" s="18" t="s">
        <v>22</v>
      </c>
      <c r="H1780" s="64">
        <f>LEN(TRIM(Table22[[#This Row],[Country]]))</f>
        <v>2</v>
      </c>
      <c r="I1780" s="64">
        <f>LEN(TRIM(Table22[[#This Row],[Continent]]))</f>
        <v>6</v>
      </c>
      <c r="J1780" s="64">
        <f>LEN(TRIM(Table22[[#This Row],[Product]]))</f>
        <v>10</v>
      </c>
      <c r="K1780" s="64">
        <f>LEN(TRIM(Table22[[#This Row],[Sales Team]]))</f>
        <v>10</v>
      </c>
      <c r="L1780" s="23">
        <v>10</v>
      </c>
      <c r="M1780" s="65" t="str" cm="1">
        <f t="array" ref="M1780">_xlfn.IFS(Table22[[#This Row],[Units Sold]]&lt;40,"Critical",Table22[[#This Row],[Units Sold]]&lt;=50,"Poor",Table22[[#This Row],[Units Sold]]&lt;=60,"Low",Table22[[#This Row],[Units Sold]]&lt;=80,"Average",Table22[[#This Row],[Units Sold]]&lt;=90,"High",Table22[[#This Row],[Units Sold]]&lt;=95,"Excellent",Table22[[#This Row],[Units Sold]]&gt;95,"Outstanding")</f>
        <v>Critical</v>
      </c>
      <c r="N1780" s="29">
        <v>462.66</v>
      </c>
      <c r="O1780" s="29">
        <v>4626.6000000000004</v>
      </c>
      <c r="P1780" s="43">
        <f>IF(Table22[[#This Row],[Discount Applied]],Table22[[#This Row],[Total Sales (in USD)]]*(1-Table22[[#This Row],[Discount Percentage (%)]]/100),Table22[[#This Row],[Total Sales (in USD)]])</f>
        <v>4626.6000000000004</v>
      </c>
      <c r="Q1780" s="66">
        <f>SQRT(AVERAGE((Table22[[#This Row],[Net Sales (after discount) (in USD)]]-AVERAGE(Table22[Net Sales (after discount) (in USD)]))^2))</f>
        <v>31884.760563764539</v>
      </c>
      <c r="R1780" s="18" t="b">
        <v>1</v>
      </c>
      <c r="S1780" s="40">
        <v>26.83</v>
      </c>
      <c r="T1780" s="18" t="b">
        <v>0</v>
      </c>
      <c r="U1780" s="25">
        <v>45034</v>
      </c>
      <c r="V1780" s="63" t="str">
        <f>IF(MONTH(Table22[[#This Row],[Sales Date]])&lt;=3,"Q1",IF(MONTH(Table22[[#This Row],[Sales Date]])&lt;=6,"Q2",IF(MONTH(Table22[[#This Row],[Sales Date]])&lt;=9,"Q3","Q4")))</f>
        <v>Q2</v>
      </c>
      <c r="W1780" s="64">
        <f>YEAR(Table22[[#This Row],[Sales Date]])</f>
        <v>2023</v>
      </c>
      <c r="X1780" s="23">
        <v>37</v>
      </c>
      <c r="Y1780" s="18" t="s">
        <v>41</v>
      </c>
      <c r="Z1780" s="18" t="s">
        <v>56</v>
      </c>
      <c r="AA1780" s="19" t="s">
        <v>25</v>
      </c>
    </row>
    <row r="1781" spans="1:27" x14ac:dyDescent="0.25">
      <c r="A1781" s="17" t="s">
        <v>1148</v>
      </c>
      <c r="B1781" s="18" t="s">
        <v>27</v>
      </c>
      <c r="C1781" s="63" t="str" cm="1">
        <f t="array" ref="C1781">_xlfn.SWITCH(Table22[[#This Row],[Country]],"USA","North America","Canada","North America","Brazil","South America","China","Asia","Japan","Asia","India","Asia","France","Europe","Germany","Europe","UK","Europe","Australia","Oceania","South America")</f>
        <v>Europe</v>
      </c>
      <c r="D1781" s="18" t="s">
        <v>21</v>
      </c>
      <c r="E1781" s="18" t="s">
        <v>39</v>
      </c>
      <c r="F1781" s="18" t="s">
        <v>64</v>
      </c>
      <c r="G1781" s="18" t="s">
        <v>29</v>
      </c>
      <c r="H1781" s="64">
        <f>LEN(TRIM(Table22[[#This Row],[Country]]))</f>
        <v>7</v>
      </c>
      <c r="I1781" s="64">
        <f>LEN(TRIM(Table22[[#This Row],[Continent]]))</f>
        <v>6</v>
      </c>
      <c r="J1781" s="64">
        <f>LEN(TRIM(Table22[[#This Row],[Product]]))</f>
        <v>10</v>
      </c>
      <c r="K1781" s="64">
        <f>LEN(TRIM(Table22[[#This Row],[Sales Team]]))</f>
        <v>10</v>
      </c>
      <c r="L1781" s="23">
        <v>59</v>
      </c>
      <c r="M1781" s="65" t="str" cm="1">
        <f t="array" ref="M1781">_xlfn.IFS(Table22[[#This Row],[Units Sold]]&lt;40,"Critical",Table22[[#This Row],[Units Sold]]&lt;=50,"Poor",Table22[[#This Row],[Units Sold]]&lt;=60,"Low",Table22[[#This Row],[Units Sold]]&lt;=80,"Average",Table22[[#This Row],[Units Sold]]&lt;=90,"High",Table22[[#This Row],[Units Sold]]&lt;=95,"Excellent",Table22[[#This Row],[Units Sold]]&gt;95,"Outstanding")</f>
        <v>Low</v>
      </c>
      <c r="N1781" s="29">
        <v>78.31</v>
      </c>
      <c r="O1781" s="29">
        <v>4620.29</v>
      </c>
      <c r="P1781" s="43">
        <f>IF(Table22[[#This Row],[Discount Applied]],Table22[[#This Row],[Total Sales (in USD)]]*(1-Table22[[#This Row],[Discount Percentage (%)]]/100),Table22[[#This Row],[Total Sales (in USD)]])</f>
        <v>4026.1207059999997</v>
      </c>
      <c r="Q1781" s="66">
        <f>SQRT(AVERAGE((Table22[[#This Row],[Net Sales (after discount) (in USD)]]-AVERAGE(Table22[Net Sales (after discount) (in USD)]))^2))</f>
        <v>32485.239857764536</v>
      </c>
      <c r="R1781" s="18" t="b">
        <v>0</v>
      </c>
      <c r="S1781" s="40">
        <v>12.86</v>
      </c>
      <c r="T1781" s="18" t="b">
        <v>1</v>
      </c>
      <c r="U1781" s="25">
        <v>45125</v>
      </c>
      <c r="V1781" s="63" t="str">
        <f>IF(MONTH(Table22[[#This Row],[Sales Date]])&lt;=3,"Q1",IF(MONTH(Table22[[#This Row],[Sales Date]])&lt;=6,"Q2",IF(MONTH(Table22[[#This Row],[Sales Date]])&lt;=9,"Q3","Q4")))</f>
        <v>Q3</v>
      </c>
      <c r="W1781" s="64">
        <f>YEAR(Table22[[#This Row],[Sales Date]])</f>
        <v>2023</v>
      </c>
      <c r="X1781" s="23">
        <v>49</v>
      </c>
      <c r="Y1781" s="18" t="s">
        <v>49</v>
      </c>
      <c r="Z1781" s="18" t="s">
        <v>42</v>
      </c>
      <c r="AA1781" s="19" t="s">
        <v>25</v>
      </c>
    </row>
    <row r="1782" spans="1:27" x14ac:dyDescent="0.25">
      <c r="A1782" s="17" t="s">
        <v>2001</v>
      </c>
      <c r="B1782" s="18" t="s">
        <v>62</v>
      </c>
      <c r="C1782" s="63" t="str" cm="1">
        <f t="array" ref="C1782">_xlfn.SWITCH(Table22[[#This Row],[Country]],"USA","North America","Canada","North America","Brazil","South America","China","Asia","Japan","Asia","India","Asia","France","Europe","Germany","Europe","UK","Europe","Australia","Oceania","South America")</f>
        <v>Oceania</v>
      </c>
      <c r="D1782" s="18" t="s">
        <v>35</v>
      </c>
      <c r="E1782" s="18" t="s">
        <v>19</v>
      </c>
      <c r="F1782" s="18" t="s">
        <v>20</v>
      </c>
      <c r="G1782" s="18" t="s">
        <v>40</v>
      </c>
      <c r="H1782" s="64">
        <f>LEN(TRIM(Table22[[#This Row],[Country]]))</f>
        <v>9</v>
      </c>
      <c r="I1782" s="64">
        <f>LEN(TRIM(Table22[[#This Row],[Continent]]))</f>
        <v>7</v>
      </c>
      <c r="J1782" s="64">
        <f>LEN(TRIM(Table22[[#This Row],[Product]]))</f>
        <v>6</v>
      </c>
      <c r="K1782" s="64">
        <f>LEN(TRIM(Table22[[#This Row],[Sales Team]]))</f>
        <v>10</v>
      </c>
      <c r="L1782" s="23">
        <v>40</v>
      </c>
      <c r="M1782" s="65" t="str" cm="1">
        <f t="array" ref="M1782">_xlfn.IFS(Table22[[#This Row],[Units Sold]]&lt;40,"Critical",Table22[[#This Row],[Units Sold]]&lt;=50,"Poor",Table22[[#This Row],[Units Sold]]&lt;=60,"Low",Table22[[#This Row],[Units Sold]]&lt;=80,"Average",Table22[[#This Row],[Units Sold]]&lt;=90,"High",Table22[[#This Row],[Units Sold]]&lt;=95,"Excellent",Table22[[#This Row],[Units Sold]]&gt;95,"Outstanding")</f>
        <v>Poor</v>
      </c>
      <c r="N1782" s="29">
        <v>114.83</v>
      </c>
      <c r="O1782" s="29">
        <v>4593.2</v>
      </c>
      <c r="P1782" s="43">
        <f>IF(Table22[[#This Row],[Discount Applied]],Table22[[#This Row],[Total Sales (in USD)]]*(1-Table22[[#This Row],[Discount Percentage (%)]]/100),Table22[[#This Row],[Total Sales (in USD)]])</f>
        <v>4202.3186800000003</v>
      </c>
      <c r="Q1782" s="66">
        <f>SQRT(AVERAGE((Table22[[#This Row],[Net Sales (after discount) (in USD)]]-AVERAGE(Table22[Net Sales (after discount) (in USD)]))^2))</f>
        <v>32309.041883764537</v>
      </c>
      <c r="R1782" s="18" t="b">
        <v>0</v>
      </c>
      <c r="S1782" s="40">
        <v>8.51</v>
      </c>
      <c r="T1782" s="18" t="b">
        <v>1</v>
      </c>
      <c r="U1782" s="25">
        <v>45071</v>
      </c>
      <c r="V1782" s="63" t="str">
        <f>IF(MONTH(Table22[[#This Row],[Sales Date]])&lt;=3,"Q1",IF(MONTH(Table22[[#This Row],[Sales Date]])&lt;=6,"Q2",IF(MONTH(Table22[[#This Row],[Sales Date]])&lt;=9,"Q3","Q4")))</f>
        <v>Q2</v>
      </c>
      <c r="W1782" s="64">
        <f>YEAR(Table22[[#This Row],[Sales Date]])</f>
        <v>2023</v>
      </c>
      <c r="X1782" s="23">
        <v>30</v>
      </c>
      <c r="Y1782" s="18" t="s">
        <v>49</v>
      </c>
      <c r="Z1782" s="18" t="s">
        <v>30</v>
      </c>
      <c r="AA1782" s="19" t="s">
        <v>36</v>
      </c>
    </row>
    <row r="1783" spans="1:27" x14ac:dyDescent="0.25">
      <c r="A1783" s="17" t="s">
        <v>1531</v>
      </c>
      <c r="B1783" s="18" t="s">
        <v>38</v>
      </c>
      <c r="C1783" s="63" t="str" cm="1">
        <f t="array" ref="C1783">_xlfn.SWITCH(Table22[[#This Row],[Country]],"USA","North America","Canada","North America","Brazil","South America","China","Asia","Japan","Asia","India","Asia","France","Europe","Germany","Europe","UK","Europe","Australia","Oceania","South America")</f>
        <v>Europe</v>
      </c>
      <c r="D1783" s="18" t="s">
        <v>21</v>
      </c>
      <c r="E1783" s="18" t="s">
        <v>19</v>
      </c>
      <c r="F1783" s="18" t="s">
        <v>52</v>
      </c>
      <c r="G1783" s="18" t="s">
        <v>40</v>
      </c>
      <c r="H1783" s="64">
        <f>LEN(TRIM(Table22[[#This Row],[Country]]))</f>
        <v>6</v>
      </c>
      <c r="I1783" s="64">
        <f>LEN(TRIM(Table22[[#This Row],[Continent]]))</f>
        <v>6</v>
      </c>
      <c r="J1783" s="64">
        <f>LEN(TRIM(Table22[[#This Row],[Product]]))</f>
        <v>6</v>
      </c>
      <c r="K1783" s="64">
        <f>LEN(TRIM(Table22[[#This Row],[Sales Team]]))</f>
        <v>10</v>
      </c>
      <c r="L1783" s="23">
        <v>60</v>
      </c>
      <c r="M1783" s="65" t="str" cm="1">
        <f t="array" ref="M1783">_xlfn.IFS(Table22[[#This Row],[Units Sold]]&lt;40,"Critical",Table22[[#This Row],[Units Sold]]&lt;=50,"Poor",Table22[[#This Row],[Units Sold]]&lt;=60,"Low",Table22[[#This Row],[Units Sold]]&lt;=80,"Average",Table22[[#This Row],[Units Sold]]&lt;=90,"High",Table22[[#This Row],[Units Sold]]&lt;=95,"Excellent",Table22[[#This Row],[Units Sold]]&gt;95,"Outstanding")</f>
        <v>Low</v>
      </c>
      <c r="N1783" s="29">
        <v>75.86</v>
      </c>
      <c r="O1783" s="29">
        <v>4551.6000000000004</v>
      </c>
      <c r="P1783" s="43">
        <f>IF(Table22[[#This Row],[Discount Applied]],Table22[[#This Row],[Total Sales (in USD)]]*(1-Table22[[#This Row],[Discount Percentage (%)]]/100),Table22[[#This Row],[Total Sales (in USD)]])</f>
        <v>4551.6000000000004</v>
      </c>
      <c r="Q1783" s="66">
        <f>SQRT(AVERAGE((Table22[[#This Row],[Net Sales (after discount) (in USD)]]-AVERAGE(Table22[Net Sales (after discount) (in USD)]))^2))</f>
        <v>31959.760563764539</v>
      </c>
      <c r="R1783" s="18" t="b">
        <v>1</v>
      </c>
      <c r="S1783" s="40">
        <v>19.510000000000002</v>
      </c>
      <c r="T1783" s="18" t="b">
        <v>0</v>
      </c>
      <c r="U1783" s="25">
        <v>45393</v>
      </c>
      <c r="V1783" s="63" t="str">
        <f>IF(MONTH(Table22[[#This Row],[Sales Date]])&lt;=3,"Q1",IF(MONTH(Table22[[#This Row],[Sales Date]])&lt;=6,"Q2",IF(MONTH(Table22[[#This Row],[Sales Date]])&lt;=9,"Q3","Q4")))</f>
        <v>Q2</v>
      </c>
      <c r="W1783" s="64">
        <f>YEAR(Table22[[#This Row],[Sales Date]])</f>
        <v>2024</v>
      </c>
      <c r="X1783" s="23">
        <v>28</v>
      </c>
      <c r="Y1783" s="18" t="s">
        <v>23</v>
      </c>
      <c r="Z1783" s="18" t="s">
        <v>24</v>
      </c>
      <c r="AA1783" s="19" t="s">
        <v>25</v>
      </c>
    </row>
    <row r="1784" spans="1:27" x14ac:dyDescent="0.25">
      <c r="A1784" s="17" t="s">
        <v>1832</v>
      </c>
      <c r="B1784" s="18" t="s">
        <v>18</v>
      </c>
      <c r="C1784" s="63" t="str" cm="1">
        <f t="array" ref="C1784">_xlfn.SWITCH(Table22[[#This Row],[Country]],"USA","North America","Canada","North America","Brazil","South America","China","Asia","Japan","Asia","India","Asia","France","Europe","Germany","Europe","UK","Europe","Australia","Oceania","South America")</f>
        <v>Asia</v>
      </c>
      <c r="D1784" s="18" t="s">
        <v>44</v>
      </c>
      <c r="E1784" s="18" t="s">
        <v>19</v>
      </c>
      <c r="F1784" s="18" t="s">
        <v>52</v>
      </c>
      <c r="G1784" s="18" t="s">
        <v>48</v>
      </c>
      <c r="H1784" s="64">
        <f>LEN(TRIM(Table22[[#This Row],[Country]]))</f>
        <v>5</v>
      </c>
      <c r="I1784" s="64">
        <f>LEN(TRIM(Table22[[#This Row],[Continent]]))</f>
        <v>4</v>
      </c>
      <c r="J1784" s="64">
        <f>LEN(TRIM(Table22[[#This Row],[Product]]))</f>
        <v>6</v>
      </c>
      <c r="K1784" s="64">
        <f>LEN(TRIM(Table22[[#This Row],[Sales Team]]))</f>
        <v>9</v>
      </c>
      <c r="L1784" s="23">
        <v>35</v>
      </c>
      <c r="M1784" s="65" t="str" cm="1">
        <f t="array" ref="M1784">_xlfn.IFS(Table22[[#This Row],[Units Sold]]&lt;40,"Critical",Table22[[#This Row],[Units Sold]]&lt;=50,"Poor",Table22[[#This Row],[Units Sold]]&lt;=60,"Low",Table22[[#This Row],[Units Sold]]&lt;=80,"Average",Table22[[#This Row],[Units Sold]]&lt;=90,"High",Table22[[#This Row],[Units Sold]]&lt;=95,"Excellent",Table22[[#This Row],[Units Sold]]&gt;95,"Outstanding")</f>
        <v>Critical</v>
      </c>
      <c r="N1784" s="29">
        <v>129.80000000000001</v>
      </c>
      <c r="O1784" s="29">
        <v>4543</v>
      </c>
      <c r="P1784" s="43">
        <f>IF(Table22[[#This Row],[Discount Applied]],Table22[[#This Row],[Total Sales (in USD)]]*(1-Table22[[#This Row],[Discount Percentage (%)]]/100),Table22[[#This Row],[Total Sales (in USD)]])</f>
        <v>4543</v>
      </c>
      <c r="Q1784" s="66">
        <f>SQRT(AVERAGE((Table22[[#This Row],[Net Sales (after discount) (in USD)]]-AVERAGE(Table22[Net Sales (after discount) (in USD)]))^2))</f>
        <v>31968.360563764538</v>
      </c>
      <c r="R1784" s="18" t="b">
        <v>1</v>
      </c>
      <c r="S1784" s="40">
        <v>7.98</v>
      </c>
      <c r="T1784" s="18" t="b">
        <v>0</v>
      </c>
      <c r="U1784" s="25">
        <v>45356</v>
      </c>
      <c r="V1784" s="63" t="str">
        <f>IF(MONTH(Table22[[#This Row],[Sales Date]])&lt;=3,"Q1",IF(MONTH(Table22[[#This Row],[Sales Date]])&lt;=6,"Q2",IF(MONTH(Table22[[#This Row],[Sales Date]])&lt;=9,"Q3","Q4")))</f>
        <v>Q1</v>
      </c>
      <c r="W1784" s="64">
        <f>YEAR(Table22[[#This Row],[Sales Date]])</f>
        <v>2024</v>
      </c>
      <c r="X1784" s="23">
        <v>52</v>
      </c>
      <c r="Y1784" s="18" t="s">
        <v>23</v>
      </c>
      <c r="Z1784" s="18" t="s">
        <v>56</v>
      </c>
      <c r="AA1784" s="19" t="s">
        <v>25</v>
      </c>
    </row>
    <row r="1785" spans="1:27" x14ac:dyDescent="0.25">
      <c r="A1785" s="17" t="s">
        <v>1364</v>
      </c>
      <c r="B1785" s="18" t="s">
        <v>18</v>
      </c>
      <c r="C1785" s="63" t="str" cm="1">
        <f t="array" ref="C1785">_xlfn.SWITCH(Table22[[#This Row],[Country]],"USA","North America","Canada","North America","Brazil","South America","China","Asia","Japan","Asia","India","Asia","France","Europe","Germany","Europe","UK","Europe","Australia","Oceania","South America")</f>
        <v>Asia</v>
      </c>
      <c r="D1785" s="18" t="s">
        <v>21</v>
      </c>
      <c r="E1785" s="18" t="s">
        <v>39</v>
      </c>
      <c r="F1785" s="18" t="s">
        <v>20</v>
      </c>
      <c r="G1785" s="18" t="s">
        <v>29</v>
      </c>
      <c r="H1785" s="64">
        <f>LEN(TRIM(Table22[[#This Row],[Country]]))</f>
        <v>5</v>
      </c>
      <c r="I1785" s="64">
        <f>LEN(TRIM(Table22[[#This Row],[Continent]]))</f>
        <v>4</v>
      </c>
      <c r="J1785" s="64">
        <f>LEN(TRIM(Table22[[#This Row],[Product]]))</f>
        <v>10</v>
      </c>
      <c r="K1785" s="64">
        <f>LEN(TRIM(Table22[[#This Row],[Sales Team]]))</f>
        <v>10</v>
      </c>
      <c r="L1785" s="23">
        <v>11</v>
      </c>
      <c r="M1785" s="65" t="str" cm="1">
        <f t="array" ref="M1785">_xlfn.IFS(Table22[[#This Row],[Units Sold]]&lt;40,"Critical",Table22[[#This Row],[Units Sold]]&lt;=50,"Poor",Table22[[#This Row],[Units Sold]]&lt;=60,"Low",Table22[[#This Row],[Units Sold]]&lt;=80,"Average",Table22[[#This Row],[Units Sold]]&lt;=90,"High",Table22[[#This Row],[Units Sold]]&lt;=95,"Excellent",Table22[[#This Row],[Units Sold]]&gt;95,"Outstanding")</f>
        <v>Critical</v>
      </c>
      <c r="N1785" s="29">
        <v>412.5</v>
      </c>
      <c r="O1785" s="29">
        <v>4537.5</v>
      </c>
      <c r="P1785" s="43">
        <f>IF(Table22[[#This Row],[Discount Applied]],Table22[[#This Row],[Total Sales (in USD)]]*(1-Table22[[#This Row],[Discount Percentage (%)]]/100),Table22[[#This Row],[Total Sales (in USD)]])</f>
        <v>4105.5300000000007</v>
      </c>
      <c r="Q1785" s="66">
        <f>SQRT(AVERAGE((Table22[[#This Row],[Net Sales (after discount) (in USD)]]-AVERAGE(Table22[Net Sales (after discount) (in USD)]))^2))</f>
        <v>32405.830563764539</v>
      </c>
      <c r="R1785" s="18" t="b">
        <v>1</v>
      </c>
      <c r="S1785" s="40">
        <v>9.52</v>
      </c>
      <c r="T1785" s="18" t="b">
        <v>1</v>
      </c>
      <c r="U1785" s="25">
        <v>45115</v>
      </c>
      <c r="V1785" s="63" t="str">
        <f>IF(MONTH(Table22[[#This Row],[Sales Date]])&lt;=3,"Q1",IF(MONTH(Table22[[#This Row],[Sales Date]])&lt;=6,"Q2",IF(MONTH(Table22[[#This Row],[Sales Date]])&lt;=9,"Q3","Q4")))</f>
        <v>Q3</v>
      </c>
      <c r="W1785" s="64">
        <f>YEAR(Table22[[#This Row],[Sales Date]])</f>
        <v>2023</v>
      </c>
      <c r="X1785" s="23">
        <v>65</v>
      </c>
      <c r="Y1785" s="18" t="s">
        <v>49</v>
      </c>
      <c r="Z1785" s="18" t="s">
        <v>24</v>
      </c>
      <c r="AA1785" s="19" t="s">
        <v>36</v>
      </c>
    </row>
    <row r="1786" spans="1:27" x14ac:dyDescent="0.25">
      <c r="A1786" s="17" t="s">
        <v>1336</v>
      </c>
      <c r="B1786" s="18" t="s">
        <v>38</v>
      </c>
      <c r="C1786" s="63" t="str" cm="1">
        <f t="array" ref="C1786">_xlfn.SWITCH(Table22[[#This Row],[Country]],"USA","North America","Canada","North America","Brazil","South America","China","Asia","Japan","Asia","India","Asia","France","Europe","Germany","Europe","UK","Europe","Australia","Oceania","South America")</f>
        <v>Europe</v>
      </c>
      <c r="D1786" s="18" t="s">
        <v>21</v>
      </c>
      <c r="E1786" s="18" t="s">
        <v>33</v>
      </c>
      <c r="F1786" s="18" t="s">
        <v>52</v>
      </c>
      <c r="G1786" s="18" t="s">
        <v>29</v>
      </c>
      <c r="H1786" s="64">
        <f>LEN(TRIM(Table22[[#This Row],[Country]]))</f>
        <v>6</v>
      </c>
      <c r="I1786" s="64">
        <f>LEN(TRIM(Table22[[#This Row],[Continent]]))</f>
        <v>6</v>
      </c>
      <c r="J1786" s="64">
        <f>LEN(TRIM(Table22[[#This Row],[Product]]))</f>
        <v>10</v>
      </c>
      <c r="K1786" s="64">
        <f>LEN(TRIM(Table22[[#This Row],[Sales Team]]))</f>
        <v>10</v>
      </c>
      <c r="L1786" s="23">
        <v>16</v>
      </c>
      <c r="M1786" s="65" t="str" cm="1">
        <f t="array" ref="M1786">_xlfn.IFS(Table22[[#This Row],[Units Sold]]&lt;40,"Critical",Table22[[#This Row],[Units Sold]]&lt;=50,"Poor",Table22[[#This Row],[Units Sold]]&lt;=60,"Low",Table22[[#This Row],[Units Sold]]&lt;=80,"Average",Table22[[#This Row],[Units Sold]]&lt;=90,"High",Table22[[#This Row],[Units Sold]]&lt;=95,"Excellent",Table22[[#This Row],[Units Sold]]&gt;95,"Outstanding")</f>
        <v>Critical</v>
      </c>
      <c r="N1786" s="29">
        <v>279.23</v>
      </c>
      <c r="O1786" s="29">
        <v>4467.68</v>
      </c>
      <c r="P1786" s="43">
        <f>IF(Table22[[#This Row],[Discount Applied]],Table22[[#This Row],[Total Sales (in USD)]]*(1-Table22[[#This Row],[Discount Percentage (%)]]/100),Table22[[#This Row],[Total Sales (in USD)]])</f>
        <v>3640.265664</v>
      </c>
      <c r="Q1786" s="66">
        <f>SQRT(AVERAGE((Table22[[#This Row],[Net Sales (after discount) (in USD)]]-AVERAGE(Table22[Net Sales (after discount) (in USD)]))^2))</f>
        <v>32871.094899764539</v>
      </c>
      <c r="R1786" s="18" t="b">
        <v>1</v>
      </c>
      <c r="S1786" s="40">
        <v>18.52</v>
      </c>
      <c r="T1786" s="18" t="b">
        <v>1</v>
      </c>
      <c r="U1786" s="25">
        <v>45476</v>
      </c>
      <c r="V1786" s="63" t="str">
        <f>IF(MONTH(Table22[[#This Row],[Sales Date]])&lt;=3,"Q1",IF(MONTH(Table22[[#This Row],[Sales Date]])&lt;=6,"Q2",IF(MONTH(Table22[[#This Row],[Sales Date]])&lt;=9,"Q3","Q4")))</f>
        <v>Q3</v>
      </c>
      <c r="W1786" s="64">
        <f>YEAR(Table22[[#This Row],[Sales Date]])</f>
        <v>2024</v>
      </c>
      <c r="X1786" s="23">
        <v>45</v>
      </c>
      <c r="Y1786" s="18" t="s">
        <v>23</v>
      </c>
      <c r="Z1786" s="18" t="s">
        <v>42</v>
      </c>
      <c r="AA1786" s="19" t="s">
        <v>36</v>
      </c>
    </row>
    <row r="1787" spans="1:27" x14ac:dyDescent="0.25">
      <c r="A1787" s="17" t="s">
        <v>1473</v>
      </c>
      <c r="B1787" s="18" t="s">
        <v>32</v>
      </c>
      <c r="C1787" s="63" t="str" cm="1">
        <f t="array" ref="C1787">_xlfn.SWITCH(Table22[[#This Row],[Country]],"USA","North America","Canada","North America","Brazil","South America","China","Asia","Japan","Asia","India","Asia","France","Europe","Germany","Europe","UK","Europe","Australia","Oceania","South America")</f>
        <v>Asia</v>
      </c>
      <c r="D1787" s="18" t="s">
        <v>28</v>
      </c>
      <c r="E1787" s="18" t="s">
        <v>39</v>
      </c>
      <c r="F1787" s="18" t="s">
        <v>34</v>
      </c>
      <c r="G1787" s="18" t="s">
        <v>48</v>
      </c>
      <c r="H1787" s="64">
        <f>LEN(TRIM(Table22[[#This Row],[Country]]))</f>
        <v>5</v>
      </c>
      <c r="I1787" s="64">
        <f>LEN(TRIM(Table22[[#This Row],[Continent]]))</f>
        <v>4</v>
      </c>
      <c r="J1787" s="64">
        <f>LEN(TRIM(Table22[[#This Row],[Product]]))</f>
        <v>10</v>
      </c>
      <c r="K1787" s="64">
        <f>LEN(TRIM(Table22[[#This Row],[Sales Team]]))</f>
        <v>9</v>
      </c>
      <c r="L1787" s="23">
        <v>19</v>
      </c>
      <c r="M1787" s="65" t="str" cm="1">
        <f t="array" ref="M1787">_xlfn.IFS(Table22[[#This Row],[Units Sold]]&lt;40,"Critical",Table22[[#This Row],[Units Sold]]&lt;=50,"Poor",Table22[[#This Row],[Units Sold]]&lt;=60,"Low",Table22[[#This Row],[Units Sold]]&lt;=80,"Average",Table22[[#This Row],[Units Sold]]&lt;=90,"High",Table22[[#This Row],[Units Sold]]&lt;=95,"Excellent",Table22[[#This Row],[Units Sold]]&gt;95,"Outstanding")</f>
        <v>Critical</v>
      </c>
      <c r="N1787" s="29">
        <v>233.4</v>
      </c>
      <c r="O1787" s="29">
        <v>4434.6000000000004</v>
      </c>
      <c r="P1787" s="43">
        <f>IF(Table22[[#This Row],[Discount Applied]],Table22[[#This Row],[Total Sales (in USD)]]*(1-Table22[[#This Row],[Discount Percentage (%)]]/100),Table22[[#This Row],[Total Sales (in USD)]])</f>
        <v>4434.6000000000004</v>
      </c>
      <c r="Q1787" s="66">
        <f>SQRT(AVERAGE((Table22[[#This Row],[Net Sales (after discount) (in USD)]]-AVERAGE(Table22[Net Sales (after discount) (in USD)]))^2))</f>
        <v>32076.760563764539</v>
      </c>
      <c r="R1787" s="18" t="b">
        <v>1</v>
      </c>
      <c r="S1787" s="40">
        <v>8.09</v>
      </c>
      <c r="T1787" s="18" t="b">
        <v>0</v>
      </c>
      <c r="U1787" s="25">
        <v>45394</v>
      </c>
      <c r="V1787" s="63" t="str">
        <f>IF(MONTH(Table22[[#This Row],[Sales Date]])&lt;=3,"Q1",IF(MONTH(Table22[[#This Row],[Sales Date]])&lt;=6,"Q2",IF(MONTH(Table22[[#This Row],[Sales Date]])&lt;=9,"Q3","Q4")))</f>
        <v>Q2</v>
      </c>
      <c r="W1787" s="64">
        <f>YEAR(Table22[[#This Row],[Sales Date]])</f>
        <v>2024</v>
      </c>
      <c r="X1787" s="23">
        <v>58</v>
      </c>
      <c r="Y1787" s="18" t="s">
        <v>49</v>
      </c>
      <c r="Z1787" s="18" t="s">
        <v>56</v>
      </c>
      <c r="AA1787" s="19" t="s">
        <v>25</v>
      </c>
    </row>
    <row r="1788" spans="1:27" x14ac:dyDescent="0.25">
      <c r="A1788" s="17" t="s">
        <v>1154</v>
      </c>
      <c r="B1788" s="18" t="s">
        <v>46</v>
      </c>
      <c r="C1788" s="63" t="str" cm="1">
        <f t="array" ref="C1788">_xlfn.SWITCH(Table22[[#This Row],[Country]],"USA","North America","Canada","North America","Brazil","South America","China","Asia","Japan","Asia","India","Asia","France","Europe","Germany","Europe","UK","Europe","Australia","Oceania","South America")</f>
        <v>South America</v>
      </c>
      <c r="D1788" s="18" t="s">
        <v>21</v>
      </c>
      <c r="E1788" s="18" t="s">
        <v>39</v>
      </c>
      <c r="F1788" s="18" t="s">
        <v>20</v>
      </c>
      <c r="G1788" s="18" t="s">
        <v>48</v>
      </c>
      <c r="H1788" s="64">
        <f>LEN(TRIM(Table22[[#This Row],[Country]]))</f>
        <v>6</v>
      </c>
      <c r="I1788" s="64">
        <f>LEN(TRIM(Table22[[#This Row],[Continent]]))</f>
        <v>13</v>
      </c>
      <c r="J1788" s="64">
        <f>LEN(TRIM(Table22[[#This Row],[Product]]))</f>
        <v>10</v>
      </c>
      <c r="K1788" s="64">
        <f>LEN(TRIM(Table22[[#This Row],[Sales Team]]))</f>
        <v>9</v>
      </c>
      <c r="L1788" s="23">
        <v>21</v>
      </c>
      <c r="M1788" s="65" t="str" cm="1">
        <f t="array" ref="M1788">_xlfn.IFS(Table22[[#This Row],[Units Sold]]&lt;40,"Critical",Table22[[#This Row],[Units Sold]]&lt;=50,"Poor",Table22[[#This Row],[Units Sold]]&lt;=60,"Low",Table22[[#This Row],[Units Sold]]&lt;=80,"Average",Table22[[#This Row],[Units Sold]]&lt;=90,"High",Table22[[#This Row],[Units Sold]]&lt;=95,"Excellent",Table22[[#This Row],[Units Sold]]&gt;95,"Outstanding")</f>
        <v>Critical</v>
      </c>
      <c r="N1788" s="29">
        <v>210.2</v>
      </c>
      <c r="O1788" s="29">
        <v>4414.2</v>
      </c>
      <c r="P1788" s="43">
        <f>IF(Table22[[#This Row],[Discount Applied]],Table22[[#This Row],[Total Sales (in USD)]]*(1-Table22[[#This Row],[Discount Percentage (%)]]/100),Table22[[#This Row],[Total Sales (in USD)]])</f>
        <v>4004.1208200000001</v>
      </c>
      <c r="Q1788" s="66">
        <f>SQRT(AVERAGE((Table22[[#This Row],[Net Sales (after discount) (in USD)]]-AVERAGE(Table22[Net Sales (after discount) (in USD)]))^2))</f>
        <v>32507.239743764538</v>
      </c>
      <c r="R1788" s="18" t="b">
        <v>1</v>
      </c>
      <c r="S1788" s="40">
        <v>9.2899999999999991</v>
      </c>
      <c r="T1788" s="18" t="b">
        <v>1</v>
      </c>
      <c r="U1788" s="25">
        <v>45573</v>
      </c>
      <c r="V1788" s="63" t="str">
        <f>IF(MONTH(Table22[[#This Row],[Sales Date]])&lt;=3,"Q1",IF(MONTH(Table22[[#This Row],[Sales Date]])&lt;=6,"Q2",IF(MONTH(Table22[[#This Row],[Sales Date]])&lt;=9,"Q3","Q4")))</f>
        <v>Q4</v>
      </c>
      <c r="W1788" s="64">
        <f>YEAR(Table22[[#This Row],[Sales Date]])</f>
        <v>2024</v>
      </c>
      <c r="X1788" s="23">
        <v>49</v>
      </c>
      <c r="Y1788" s="18" t="s">
        <v>49</v>
      </c>
      <c r="Z1788" s="18" t="s">
        <v>42</v>
      </c>
      <c r="AA1788" s="19" t="s">
        <v>25</v>
      </c>
    </row>
    <row r="1789" spans="1:27" x14ac:dyDescent="0.25">
      <c r="A1789" s="17" t="s">
        <v>843</v>
      </c>
      <c r="B1789" s="18" t="s">
        <v>62</v>
      </c>
      <c r="C1789" s="63" t="str" cm="1">
        <f t="array" ref="C1789">_xlfn.SWITCH(Table22[[#This Row],[Country]],"USA","North America","Canada","North America","Brazil","South America","China","Asia","Japan","Asia","India","Asia","France","Europe","Germany","Europe","UK","Europe","Australia","Oceania","South America")</f>
        <v>Oceania</v>
      </c>
      <c r="D1789" s="18" t="s">
        <v>28</v>
      </c>
      <c r="E1789" s="18" t="s">
        <v>39</v>
      </c>
      <c r="F1789" s="18" t="s">
        <v>20</v>
      </c>
      <c r="G1789" s="18" t="s">
        <v>29</v>
      </c>
      <c r="H1789" s="64">
        <f>LEN(TRIM(Table22[[#This Row],[Country]]))</f>
        <v>9</v>
      </c>
      <c r="I1789" s="64">
        <f>LEN(TRIM(Table22[[#This Row],[Continent]]))</f>
        <v>7</v>
      </c>
      <c r="J1789" s="64">
        <f>LEN(TRIM(Table22[[#This Row],[Product]]))</f>
        <v>10</v>
      </c>
      <c r="K1789" s="64">
        <f>LEN(TRIM(Table22[[#This Row],[Sales Team]]))</f>
        <v>10</v>
      </c>
      <c r="L1789" s="23">
        <v>16</v>
      </c>
      <c r="M1789" s="65" t="str" cm="1">
        <f t="array" ref="M1789">_xlfn.IFS(Table22[[#This Row],[Units Sold]]&lt;40,"Critical",Table22[[#This Row],[Units Sold]]&lt;=50,"Poor",Table22[[#This Row],[Units Sold]]&lt;=60,"Low",Table22[[#This Row],[Units Sold]]&lt;=80,"Average",Table22[[#This Row],[Units Sold]]&lt;=90,"High",Table22[[#This Row],[Units Sold]]&lt;=95,"Excellent",Table22[[#This Row],[Units Sold]]&gt;95,"Outstanding")</f>
        <v>Critical</v>
      </c>
      <c r="N1789" s="29">
        <v>274.48</v>
      </c>
      <c r="O1789" s="29">
        <v>4391.68</v>
      </c>
      <c r="P1789" s="43">
        <f>IF(Table22[[#This Row],[Discount Applied]],Table22[[#This Row],[Total Sales (in USD)]]*(1-Table22[[#This Row],[Discount Percentage (%)]]/100),Table22[[#This Row],[Total Sales (in USD)]])</f>
        <v>3634.5543680000001</v>
      </c>
      <c r="Q1789" s="66">
        <f>SQRT(AVERAGE((Table22[[#This Row],[Net Sales (after discount) (in USD)]]-AVERAGE(Table22[Net Sales (after discount) (in USD)]))^2))</f>
        <v>32876.80619576454</v>
      </c>
      <c r="R1789" s="18" t="b">
        <v>1</v>
      </c>
      <c r="S1789" s="40">
        <v>17.239999999999998</v>
      </c>
      <c r="T1789" s="18" t="b">
        <v>1</v>
      </c>
      <c r="U1789" s="25">
        <v>45140</v>
      </c>
      <c r="V1789" s="63" t="str">
        <f>IF(MONTH(Table22[[#This Row],[Sales Date]])&lt;=3,"Q1",IF(MONTH(Table22[[#This Row],[Sales Date]])&lt;=6,"Q2",IF(MONTH(Table22[[#This Row],[Sales Date]])&lt;=9,"Q3","Q4")))</f>
        <v>Q3</v>
      </c>
      <c r="W1789" s="64">
        <f>YEAR(Table22[[#This Row],[Sales Date]])</f>
        <v>2023</v>
      </c>
      <c r="X1789" s="23">
        <v>42</v>
      </c>
      <c r="Y1789" s="18" t="s">
        <v>49</v>
      </c>
      <c r="Z1789" s="18" t="s">
        <v>56</v>
      </c>
      <c r="AA1789" s="19" t="s">
        <v>25</v>
      </c>
    </row>
    <row r="1790" spans="1:27" x14ac:dyDescent="0.25">
      <c r="A1790" s="17" t="s">
        <v>1848</v>
      </c>
      <c r="B1790" s="18" t="s">
        <v>66</v>
      </c>
      <c r="C1790" s="63" t="str" cm="1">
        <f t="array" ref="C1790">_xlfn.SWITCH(Table22[[#This Row],[Country]],"USA","North America","Canada","North America","Brazil","South America","China","Asia","Japan","Asia","India","Asia","France","Europe","Germany","Europe","UK","Europe","Australia","Oceania","South America")</f>
        <v>North America</v>
      </c>
      <c r="D1790" s="18" t="s">
        <v>44</v>
      </c>
      <c r="E1790" s="18" t="s">
        <v>39</v>
      </c>
      <c r="F1790" s="18" t="s">
        <v>47</v>
      </c>
      <c r="G1790" s="18" t="s">
        <v>22</v>
      </c>
      <c r="H1790" s="64">
        <f>LEN(TRIM(Table22[[#This Row],[Country]]))</f>
        <v>6</v>
      </c>
      <c r="I1790" s="64">
        <f>LEN(TRIM(Table22[[#This Row],[Continent]]))</f>
        <v>13</v>
      </c>
      <c r="J1790" s="64">
        <f>LEN(TRIM(Table22[[#This Row],[Product]]))</f>
        <v>10</v>
      </c>
      <c r="K1790" s="64">
        <f>LEN(TRIM(Table22[[#This Row],[Sales Team]]))</f>
        <v>10</v>
      </c>
      <c r="L1790" s="23">
        <v>3</v>
      </c>
      <c r="M1790" s="65" t="str" cm="1">
        <f t="array" ref="M1790">_xlfn.IFS(Table22[[#This Row],[Units Sold]]&lt;40,"Critical",Table22[[#This Row],[Units Sold]]&lt;=50,"Poor",Table22[[#This Row],[Units Sold]]&lt;=60,"Low",Table22[[#This Row],[Units Sold]]&lt;=80,"Average",Table22[[#This Row],[Units Sold]]&lt;=90,"High",Table22[[#This Row],[Units Sold]]&lt;=95,"Excellent",Table22[[#This Row],[Units Sold]]&gt;95,"Outstanding")</f>
        <v>Critical</v>
      </c>
      <c r="N1790" s="29">
        <v>1459.29</v>
      </c>
      <c r="O1790" s="29">
        <v>4377.87</v>
      </c>
      <c r="P1790" s="43">
        <f>IF(Table22[[#This Row],[Discount Applied]],Table22[[#This Row],[Total Sales (in USD)]]*(1-Table22[[#This Row],[Discount Percentage (%)]]/100),Table22[[#This Row],[Total Sales (in USD)]])</f>
        <v>4377.87</v>
      </c>
      <c r="Q1790" s="66">
        <f>SQRT(AVERAGE((Table22[[#This Row],[Net Sales (after discount) (in USD)]]-AVERAGE(Table22[Net Sales (after discount) (in USD)]))^2))</f>
        <v>32133.490563764539</v>
      </c>
      <c r="R1790" s="18" t="b">
        <v>0</v>
      </c>
      <c r="S1790" s="40">
        <v>9.61</v>
      </c>
      <c r="T1790" s="18" t="b">
        <v>0</v>
      </c>
      <c r="U1790" s="25">
        <v>45075</v>
      </c>
      <c r="V1790" s="63" t="str">
        <f>IF(MONTH(Table22[[#This Row],[Sales Date]])&lt;=3,"Q1",IF(MONTH(Table22[[#This Row],[Sales Date]])&lt;=6,"Q2",IF(MONTH(Table22[[#This Row],[Sales Date]])&lt;=9,"Q3","Q4")))</f>
        <v>Q2</v>
      </c>
      <c r="W1790" s="64">
        <f>YEAR(Table22[[#This Row],[Sales Date]])</f>
        <v>2023</v>
      </c>
      <c r="X1790" s="23">
        <v>58</v>
      </c>
      <c r="Y1790" s="18" t="s">
        <v>41</v>
      </c>
      <c r="Z1790" s="18" t="s">
        <v>30</v>
      </c>
      <c r="AA1790" s="19" t="s">
        <v>25</v>
      </c>
    </row>
    <row r="1791" spans="1:27" x14ac:dyDescent="0.25">
      <c r="A1791" s="17" t="s">
        <v>2043</v>
      </c>
      <c r="B1791" s="18" t="s">
        <v>76</v>
      </c>
      <c r="C1791" s="63" t="str" cm="1">
        <f t="array" ref="C1791">_xlfn.SWITCH(Table22[[#This Row],[Country]],"USA","North America","Canada","North America","Brazil","South America","China","Asia","Japan","Asia","India","Asia","France","Europe","Germany","Europe","UK","Europe","Australia","Oceania","South America")</f>
        <v>Asia</v>
      </c>
      <c r="D1791" s="18" t="s">
        <v>35</v>
      </c>
      <c r="E1791" s="18" t="s">
        <v>19</v>
      </c>
      <c r="F1791" s="18" t="s">
        <v>52</v>
      </c>
      <c r="G1791" s="18" t="s">
        <v>22</v>
      </c>
      <c r="H1791" s="64">
        <f>LEN(TRIM(Table22[[#This Row],[Country]]))</f>
        <v>5</v>
      </c>
      <c r="I1791" s="64">
        <f>LEN(TRIM(Table22[[#This Row],[Continent]]))</f>
        <v>4</v>
      </c>
      <c r="J1791" s="64">
        <f>LEN(TRIM(Table22[[#This Row],[Product]]))</f>
        <v>6</v>
      </c>
      <c r="K1791" s="64">
        <f>LEN(TRIM(Table22[[#This Row],[Sales Team]]))</f>
        <v>10</v>
      </c>
      <c r="L1791" s="23">
        <v>60</v>
      </c>
      <c r="M1791" s="65" t="str" cm="1">
        <f t="array" ref="M1791">_xlfn.IFS(Table22[[#This Row],[Units Sold]]&lt;40,"Critical",Table22[[#This Row],[Units Sold]]&lt;=50,"Poor",Table22[[#This Row],[Units Sold]]&lt;=60,"Low",Table22[[#This Row],[Units Sold]]&lt;=80,"Average",Table22[[#This Row],[Units Sold]]&lt;=90,"High",Table22[[#This Row],[Units Sold]]&lt;=95,"Excellent",Table22[[#This Row],[Units Sold]]&gt;95,"Outstanding")</f>
        <v>Low</v>
      </c>
      <c r="N1791" s="29">
        <v>72.819999999999993</v>
      </c>
      <c r="O1791" s="29">
        <v>4369.2</v>
      </c>
      <c r="P1791" s="43">
        <f>IF(Table22[[#This Row],[Discount Applied]],Table22[[#This Row],[Total Sales (in USD)]]*(1-Table22[[#This Row],[Discount Percentage (%)]]/100),Table22[[#This Row],[Total Sales (in USD)]])</f>
        <v>4369.2</v>
      </c>
      <c r="Q1791" s="66">
        <f>SQRT(AVERAGE((Table22[[#This Row],[Net Sales (after discount) (in USD)]]-AVERAGE(Table22[Net Sales (after discount) (in USD)]))^2))</f>
        <v>32142.160563764537</v>
      </c>
      <c r="R1791" s="18" t="b">
        <v>0</v>
      </c>
      <c r="S1791" s="40">
        <v>7.08</v>
      </c>
      <c r="T1791" s="18" t="b">
        <v>0</v>
      </c>
      <c r="U1791" s="25">
        <v>45375</v>
      </c>
      <c r="V1791" s="63" t="str">
        <f>IF(MONTH(Table22[[#This Row],[Sales Date]])&lt;=3,"Q1",IF(MONTH(Table22[[#This Row],[Sales Date]])&lt;=6,"Q2",IF(MONTH(Table22[[#This Row],[Sales Date]])&lt;=9,"Q3","Q4")))</f>
        <v>Q1</v>
      </c>
      <c r="W1791" s="64">
        <f>YEAR(Table22[[#This Row],[Sales Date]])</f>
        <v>2024</v>
      </c>
      <c r="X1791" s="23">
        <v>26</v>
      </c>
      <c r="Y1791" s="18" t="s">
        <v>49</v>
      </c>
      <c r="Z1791" s="18" t="s">
        <v>24</v>
      </c>
      <c r="AA1791" s="19" t="s">
        <v>36</v>
      </c>
    </row>
    <row r="1792" spans="1:27" x14ac:dyDescent="0.25">
      <c r="A1792" s="17" t="s">
        <v>413</v>
      </c>
      <c r="B1792" s="18" t="s">
        <v>46</v>
      </c>
      <c r="C1792" s="63" t="str" cm="1">
        <f t="array" ref="C1792">_xlfn.SWITCH(Table22[[#This Row],[Country]],"USA","North America","Canada","North America","Brazil","South America","China","Asia","Japan","Asia","India","Asia","France","Europe","Germany","Europe","UK","Europe","Australia","Oceania","South America")</f>
        <v>South America</v>
      </c>
      <c r="D1792" s="18" t="s">
        <v>35</v>
      </c>
      <c r="E1792" s="18" t="s">
        <v>39</v>
      </c>
      <c r="F1792" s="18" t="s">
        <v>34</v>
      </c>
      <c r="G1792" s="18" t="s">
        <v>29</v>
      </c>
      <c r="H1792" s="64">
        <f>LEN(TRIM(Table22[[#This Row],[Country]]))</f>
        <v>6</v>
      </c>
      <c r="I1792" s="64">
        <f>LEN(TRIM(Table22[[#This Row],[Continent]]))</f>
        <v>13</v>
      </c>
      <c r="J1792" s="64">
        <f>LEN(TRIM(Table22[[#This Row],[Product]]))</f>
        <v>10</v>
      </c>
      <c r="K1792" s="64">
        <f>LEN(TRIM(Table22[[#This Row],[Sales Team]]))</f>
        <v>10</v>
      </c>
      <c r="L1792" s="23">
        <v>33</v>
      </c>
      <c r="M1792" s="65" t="str" cm="1">
        <f t="array" ref="M1792">_xlfn.IFS(Table22[[#This Row],[Units Sold]]&lt;40,"Critical",Table22[[#This Row],[Units Sold]]&lt;=50,"Poor",Table22[[#This Row],[Units Sold]]&lt;=60,"Low",Table22[[#This Row],[Units Sold]]&lt;=80,"Average",Table22[[#This Row],[Units Sold]]&lt;=90,"High",Table22[[#This Row],[Units Sold]]&lt;=95,"Excellent",Table22[[#This Row],[Units Sold]]&gt;95,"Outstanding")</f>
        <v>Critical</v>
      </c>
      <c r="N1792" s="29">
        <v>131.78</v>
      </c>
      <c r="O1792" s="29">
        <v>4348.74</v>
      </c>
      <c r="P1792" s="43">
        <f>IF(Table22[[#This Row],[Discount Applied]],Table22[[#This Row],[Total Sales (in USD)]]*(1-Table22[[#This Row],[Discount Percentage (%)]]/100),Table22[[#This Row],[Total Sales (in USD)]])</f>
        <v>3091.9541400000003</v>
      </c>
      <c r="Q1792" s="66">
        <f>SQRT(AVERAGE((Table22[[#This Row],[Net Sales (after discount) (in USD)]]-AVERAGE(Table22[Net Sales (after discount) (in USD)]))^2))</f>
        <v>33419.406423764536</v>
      </c>
      <c r="R1792" s="18" t="b">
        <v>0</v>
      </c>
      <c r="S1792" s="40">
        <v>28.9</v>
      </c>
      <c r="T1792" s="18" t="b">
        <v>1</v>
      </c>
      <c r="U1792" s="25">
        <v>45239</v>
      </c>
      <c r="V1792" s="63" t="str">
        <f>IF(MONTH(Table22[[#This Row],[Sales Date]])&lt;=3,"Q1",IF(MONTH(Table22[[#This Row],[Sales Date]])&lt;=6,"Q2",IF(MONTH(Table22[[#This Row],[Sales Date]])&lt;=9,"Q3","Q4")))</f>
        <v>Q4</v>
      </c>
      <c r="W1792" s="64">
        <f>YEAR(Table22[[#This Row],[Sales Date]])</f>
        <v>2023</v>
      </c>
      <c r="X1792" s="23">
        <v>33</v>
      </c>
      <c r="Y1792" s="18" t="s">
        <v>49</v>
      </c>
      <c r="Z1792" s="18" t="s">
        <v>30</v>
      </c>
      <c r="AA1792" s="19" t="s">
        <v>36</v>
      </c>
    </row>
    <row r="1793" spans="1:27" x14ac:dyDescent="0.25">
      <c r="A1793" s="17" t="s">
        <v>553</v>
      </c>
      <c r="B1793" s="18" t="s">
        <v>72</v>
      </c>
      <c r="C1793" s="63" t="str" cm="1">
        <f t="array" ref="C1793">_xlfn.SWITCH(Table22[[#This Row],[Country]],"USA","North America","Canada","North America","Brazil","South America","China","Asia","Japan","Asia","India","Asia","France","Europe","Germany","Europe","UK","Europe","Australia","Oceania","South America")</f>
        <v>North America</v>
      </c>
      <c r="D1793" s="18" t="s">
        <v>21</v>
      </c>
      <c r="E1793" s="18" t="s">
        <v>19</v>
      </c>
      <c r="F1793" s="18" t="s">
        <v>52</v>
      </c>
      <c r="G1793" s="18" t="s">
        <v>48</v>
      </c>
      <c r="H1793" s="64">
        <f>LEN(TRIM(Table22[[#This Row],[Country]]))</f>
        <v>3</v>
      </c>
      <c r="I1793" s="64">
        <f>LEN(TRIM(Table22[[#This Row],[Continent]]))</f>
        <v>13</v>
      </c>
      <c r="J1793" s="64">
        <f>LEN(TRIM(Table22[[#This Row],[Product]]))</f>
        <v>6</v>
      </c>
      <c r="K1793" s="64">
        <f>LEN(TRIM(Table22[[#This Row],[Sales Team]]))</f>
        <v>9</v>
      </c>
      <c r="L1793" s="23">
        <v>32</v>
      </c>
      <c r="M1793" s="65" t="str" cm="1">
        <f t="array" ref="M1793">_xlfn.IFS(Table22[[#This Row],[Units Sold]]&lt;40,"Critical",Table22[[#This Row],[Units Sold]]&lt;=50,"Poor",Table22[[#This Row],[Units Sold]]&lt;=60,"Low",Table22[[#This Row],[Units Sold]]&lt;=80,"Average",Table22[[#This Row],[Units Sold]]&lt;=90,"High",Table22[[#This Row],[Units Sold]]&lt;=95,"Excellent",Table22[[#This Row],[Units Sold]]&gt;95,"Outstanding")</f>
        <v>Critical</v>
      </c>
      <c r="N1793" s="29">
        <v>135.87</v>
      </c>
      <c r="O1793" s="29">
        <v>4347.84</v>
      </c>
      <c r="P1793" s="43">
        <f>IF(Table22[[#This Row],[Discount Applied]],Table22[[#This Row],[Total Sales (in USD)]]*(1-Table22[[#This Row],[Discount Percentage (%)]]/100),Table22[[#This Row],[Total Sales (in USD)]])</f>
        <v>3099.5751359999999</v>
      </c>
      <c r="Q1793" s="66">
        <f>SQRT(AVERAGE((Table22[[#This Row],[Net Sales (after discount) (in USD)]]-AVERAGE(Table22[Net Sales (after discount) (in USD)]))^2))</f>
        <v>33411.785427764538</v>
      </c>
      <c r="R1793" s="18" t="b">
        <v>1</v>
      </c>
      <c r="S1793" s="40">
        <v>28.71</v>
      </c>
      <c r="T1793" s="18" t="b">
        <v>1</v>
      </c>
      <c r="U1793" s="25">
        <v>45003</v>
      </c>
      <c r="V1793" s="63" t="str">
        <f>IF(MONTH(Table22[[#This Row],[Sales Date]])&lt;=3,"Q1",IF(MONTH(Table22[[#This Row],[Sales Date]])&lt;=6,"Q2",IF(MONTH(Table22[[#This Row],[Sales Date]])&lt;=9,"Q3","Q4")))</f>
        <v>Q1</v>
      </c>
      <c r="W1793" s="64">
        <f>YEAR(Table22[[#This Row],[Sales Date]])</f>
        <v>2023</v>
      </c>
      <c r="X1793" s="23">
        <v>26</v>
      </c>
      <c r="Y1793" s="18" t="s">
        <v>49</v>
      </c>
      <c r="Z1793" s="18" t="s">
        <v>24</v>
      </c>
      <c r="AA1793" s="19" t="s">
        <v>36</v>
      </c>
    </row>
    <row r="1794" spans="1:27" x14ac:dyDescent="0.25">
      <c r="A1794" s="17" t="s">
        <v>402</v>
      </c>
      <c r="B1794" s="18" t="s">
        <v>18</v>
      </c>
      <c r="C1794" s="63" t="str" cm="1">
        <f t="array" ref="C1794">_xlfn.SWITCH(Table22[[#This Row],[Country]],"USA","North America","Canada","North America","Brazil","South America","China","Asia","Japan","Asia","India","Asia","France","Europe","Germany","Europe","UK","Europe","Australia","Oceania","South America")</f>
        <v>Asia</v>
      </c>
      <c r="D1794" s="18" t="s">
        <v>28</v>
      </c>
      <c r="E1794" s="18" t="s">
        <v>19</v>
      </c>
      <c r="F1794" s="18" t="s">
        <v>20</v>
      </c>
      <c r="G1794" s="18" t="s">
        <v>48</v>
      </c>
      <c r="H1794" s="64">
        <f>LEN(TRIM(Table22[[#This Row],[Country]]))</f>
        <v>5</v>
      </c>
      <c r="I1794" s="64">
        <f>LEN(TRIM(Table22[[#This Row],[Continent]]))</f>
        <v>4</v>
      </c>
      <c r="J1794" s="64">
        <f>LEN(TRIM(Table22[[#This Row],[Product]]))</f>
        <v>6</v>
      </c>
      <c r="K1794" s="64">
        <f>LEN(TRIM(Table22[[#This Row],[Sales Team]]))</f>
        <v>9</v>
      </c>
      <c r="L1794" s="23">
        <v>21</v>
      </c>
      <c r="M1794" s="65" t="str" cm="1">
        <f t="array" ref="M1794">_xlfn.IFS(Table22[[#This Row],[Units Sold]]&lt;40,"Critical",Table22[[#This Row],[Units Sold]]&lt;=50,"Poor",Table22[[#This Row],[Units Sold]]&lt;=60,"Low",Table22[[#This Row],[Units Sold]]&lt;=80,"Average",Table22[[#This Row],[Units Sold]]&lt;=90,"High",Table22[[#This Row],[Units Sold]]&lt;=95,"Excellent",Table22[[#This Row],[Units Sold]]&gt;95,"Outstanding")</f>
        <v>Critical</v>
      </c>
      <c r="N1794" s="29">
        <v>206.85</v>
      </c>
      <c r="O1794" s="29">
        <v>4343.8500000000004</v>
      </c>
      <c r="P1794" s="43">
        <f>IF(Table22[[#This Row],[Discount Applied]],Table22[[#This Row],[Total Sales (in USD)]]*(1-Table22[[#This Row],[Discount Percentage (%)]]/100),Table22[[#This Row],[Total Sales (in USD)]])</f>
        <v>3820.4160750000001</v>
      </c>
      <c r="Q1794" s="66">
        <f>SQRT(AVERAGE((Table22[[#This Row],[Net Sales (after discount) (in USD)]]-AVERAGE(Table22[Net Sales (after discount) (in USD)]))^2))</f>
        <v>32690.944488764537</v>
      </c>
      <c r="R1794" s="18" t="b">
        <v>0</v>
      </c>
      <c r="S1794" s="40">
        <v>12.05</v>
      </c>
      <c r="T1794" s="18" t="b">
        <v>1</v>
      </c>
      <c r="U1794" s="25">
        <v>45117</v>
      </c>
      <c r="V1794" s="63" t="str">
        <f>IF(MONTH(Table22[[#This Row],[Sales Date]])&lt;=3,"Q1",IF(MONTH(Table22[[#This Row],[Sales Date]])&lt;=6,"Q2",IF(MONTH(Table22[[#This Row],[Sales Date]])&lt;=9,"Q3","Q4")))</f>
        <v>Q3</v>
      </c>
      <c r="W1794" s="64">
        <f>YEAR(Table22[[#This Row],[Sales Date]])</f>
        <v>2023</v>
      </c>
      <c r="X1794" s="23">
        <v>66</v>
      </c>
      <c r="Y1794" s="18" t="s">
        <v>49</v>
      </c>
      <c r="Z1794" s="18" t="s">
        <v>56</v>
      </c>
      <c r="AA1794" s="19" t="s">
        <v>36</v>
      </c>
    </row>
    <row r="1795" spans="1:27" x14ac:dyDescent="0.25">
      <c r="A1795" s="17" t="s">
        <v>1076</v>
      </c>
      <c r="B1795" s="18" t="s">
        <v>18</v>
      </c>
      <c r="C1795" s="63" t="str" cm="1">
        <f t="array" ref="C1795">_xlfn.SWITCH(Table22[[#This Row],[Country]],"USA","North America","Canada","North America","Brazil","South America","China","Asia","Japan","Asia","India","Asia","France","Europe","Germany","Europe","UK","Europe","Australia","Oceania","South America")</f>
        <v>Asia</v>
      </c>
      <c r="D1795" s="18" t="s">
        <v>21</v>
      </c>
      <c r="E1795" s="18" t="s">
        <v>33</v>
      </c>
      <c r="F1795" s="18" t="s">
        <v>20</v>
      </c>
      <c r="G1795" s="18" t="s">
        <v>22</v>
      </c>
      <c r="H1795" s="64">
        <f>LEN(TRIM(Table22[[#This Row],[Country]]))</f>
        <v>5</v>
      </c>
      <c r="I1795" s="64">
        <f>LEN(TRIM(Table22[[#This Row],[Continent]]))</f>
        <v>4</v>
      </c>
      <c r="J1795" s="64">
        <f>LEN(TRIM(Table22[[#This Row],[Product]]))</f>
        <v>10</v>
      </c>
      <c r="K1795" s="64">
        <f>LEN(TRIM(Table22[[#This Row],[Sales Team]]))</f>
        <v>10</v>
      </c>
      <c r="L1795" s="23">
        <v>5</v>
      </c>
      <c r="M1795" s="65" t="str" cm="1">
        <f t="array" ref="M1795">_xlfn.IFS(Table22[[#This Row],[Units Sold]]&lt;40,"Critical",Table22[[#This Row],[Units Sold]]&lt;=50,"Poor",Table22[[#This Row],[Units Sold]]&lt;=60,"Low",Table22[[#This Row],[Units Sold]]&lt;=80,"Average",Table22[[#This Row],[Units Sold]]&lt;=90,"High",Table22[[#This Row],[Units Sold]]&lt;=95,"Excellent",Table22[[#This Row],[Units Sold]]&gt;95,"Outstanding")</f>
        <v>Critical</v>
      </c>
      <c r="N1795" s="29">
        <v>861.75</v>
      </c>
      <c r="O1795" s="29">
        <v>4308.75</v>
      </c>
      <c r="P1795" s="43">
        <f>IF(Table22[[#This Row],[Discount Applied]],Table22[[#This Row],[Total Sales (in USD)]]*(1-Table22[[#This Row],[Discount Percentage (%)]]/100),Table22[[#This Row],[Total Sales (in USD)]])</f>
        <v>3382.3687500000001</v>
      </c>
      <c r="Q1795" s="66">
        <f>SQRT(AVERAGE((Table22[[#This Row],[Net Sales (after discount) (in USD)]]-AVERAGE(Table22[Net Sales (after discount) (in USD)]))^2))</f>
        <v>33128.991813764536</v>
      </c>
      <c r="R1795" s="18" t="b">
        <v>0</v>
      </c>
      <c r="S1795" s="40">
        <v>21.5</v>
      </c>
      <c r="T1795" s="18" t="b">
        <v>1</v>
      </c>
      <c r="U1795" s="25">
        <v>45474</v>
      </c>
      <c r="V1795" s="63" t="str">
        <f>IF(MONTH(Table22[[#This Row],[Sales Date]])&lt;=3,"Q1",IF(MONTH(Table22[[#This Row],[Sales Date]])&lt;=6,"Q2",IF(MONTH(Table22[[#This Row],[Sales Date]])&lt;=9,"Q3","Q4")))</f>
        <v>Q3</v>
      </c>
      <c r="W1795" s="64">
        <f>YEAR(Table22[[#This Row],[Sales Date]])</f>
        <v>2024</v>
      </c>
      <c r="X1795" s="23">
        <v>56</v>
      </c>
      <c r="Y1795" s="18" t="s">
        <v>41</v>
      </c>
      <c r="Z1795" s="18" t="s">
        <v>30</v>
      </c>
      <c r="AA1795" s="19" t="s">
        <v>25</v>
      </c>
    </row>
    <row r="1796" spans="1:27" x14ac:dyDescent="0.25">
      <c r="A1796" s="17" t="s">
        <v>127</v>
      </c>
      <c r="B1796" s="18" t="s">
        <v>46</v>
      </c>
      <c r="C1796" s="63" t="str" cm="1">
        <f t="array" ref="C1796">_xlfn.SWITCH(Table22[[#This Row],[Country]],"USA","North America","Canada","North America","Brazil","South America","China","Asia","Japan","Asia","India","Asia","France","Europe","Germany","Europe","UK","Europe","Australia","Oceania","South America")</f>
        <v>South America</v>
      </c>
      <c r="D1796" s="18" t="s">
        <v>35</v>
      </c>
      <c r="E1796" s="18" t="s">
        <v>19</v>
      </c>
      <c r="F1796" s="18" t="s">
        <v>64</v>
      </c>
      <c r="G1796" s="18" t="s">
        <v>48</v>
      </c>
      <c r="H1796" s="64">
        <f>LEN(TRIM(Table22[[#This Row],[Country]]))</f>
        <v>6</v>
      </c>
      <c r="I1796" s="64">
        <f>LEN(TRIM(Table22[[#This Row],[Continent]]))</f>
        <v>13</v>
      </c>
      <c r="J1796" s="64">
        <f>LEN(TRIM(Table22[[#This Row],[Product]]))</f>
        <v>6</v>
      </c>
      <c r="K1796" s="64">
        <f>LEN(TRIM(Table22[[#This Row],[Sales Team]]))</f>
        <v>9</v>
      </c>
      <c r="L1796" s="23">
        <v>27</v>
      </c>
      <c r="M1796" s="65" t="str" cm="1">
        <f t="array" ref="M1796">_xlfn.IFS(Table22[[#This Row],[Units Sold]]&lt;40,"Critical",Table22[[#This Row],[Units Sold]]&lt;=50,"Poor",Table22[[#This Row],[Units Sold]]&lt;=60,"Low",Table22[[#This Row],[Units Sold]]&lt;=80,"Average",Table22[[#This Row],[Units Sold]]&lt;=90,"High",Table22[[#This Row],[Units Sold]]&lt;=95,"Excellent",Table22[[#This Row],[Units Sold]]&gt;95,"Outstanding")</f>
        <v>Critical</v>
      </c>
      <c r="N1796" s="29">
        <v>159.04</v>
      </c>
      <c r="O1796" s="29">
        <v>4294.08</v>
      </c>
      <c r="P1796" s="43">
        <f>IF(Table22[[#This Row],[Discount Applied]],Table22[[#This Row],[Total Sales (in USD)]]*(1-Table22[[#This Row],[Discount Percentage (%)]]/100),Table22[[#This Row],[Total Sales (in USD)]])</f>
        <v>3017.8794240000002</v>
      </c>
      <c r="Q1796" s="66">
        <f>SQRT(AVERAGE((Table22[[#This Row],[Net Sales (after discount) (in USD)]]-AVERAGE(Table22[Net Sales (after discount) (in USD)]))^2))</f>
        <v>33493.481139764539</v>
      </c>
      <c r="R1796" s="18" t="b">
        <v>1</v>
      </c>
      <c r="S1796" s="40">
        <v>29.72</v>
      </c>
      <c r="T1796" s="18" t="b">
        <v>1</v>
      </c>
      <c r="U1796" s="25">
        <v>45270</v>
      </c>
      <c r="V1796" s="63" t="str">
        <f>IF(MONTH(Table22[[#This Row],[Sales Date]])&lt;=3,"Q1",IF(MONTH(Table22[[#This Row],[Sales Date]])&lt;=6,"Q2",IF(MONTH(Table22[[#This Row],[Sales Date]])&lt;=9,"Q3","Q4")))</f>
        <v>Q4</v>
      </c>
      <c r="W1796" s="64">
        <f>YEAR(Table22[[#This Row],[Sales Date]])</f>
        <v>2023</v>
      </c>
      <c r="X1796" s="23">
        <v>32</v>
      </c>
      <c r="Y1796" s="18" t="s">
        <v>23</v>
      </c>
      <c r="Z1796" s="18" t="s">
        <v>30</v>
      </c>
      <c r="AA1796" s="19" t="s">
        <v>36</v>
      </c>
    </row>
    <row r="1797" spans="1:27" x14ac:dyDescent="0.25">
      <c r="A1797" s="17" t="s">
        <v>610</v>
      </c>
      <c r="B1797" s="18" t="s">
        <v>76</v>
      </c>
      <c r="C1797" s="63" t="str" cm="1">
        <f t="array" ref="C1797">_xlfn.SWITCH(Table22[[#This Row],[Country]],"USA","North America","Canada","North America","Brazil","South America","China","Asia","Japan","Asia","India","Asia","France","Europe","Germany","Europe","UK","Europe","Australia","Oceania","South America")</f>
        <v>Asia</v>
      </c>
      <c r="D1797" s="18" t="s">
        <v>35</v>
      </c>
      <c r="E1797" s="18" t="s">
        <v>19</v>
      </c>
      <c r="F1797" s="18" t="s">
        <v>34</v>
      </c>
      <c r="G1797" s="18" t="s">
        <v>22</v>
      </c>
      <c r="H1797" s="64">
        <f>LEN(TRIM(Table22[[#This Row],[Country]]))</f>
        <v>5</v>
      </c>
      <c r="I1797" s="64">
        <f>LEN(TRIM(Table22[[#This Row],[Continent]]))</f>
        <v>4</v>
      </c>
      <c r="J1797" s="64">
        <f>LEN(TRIM(Table22[[#This Row],[Product]]))</f>
        <v>6</v>
      </c>
      <c r="K1797" s="64">
        <f>LEN(TRIM(Table22[[#This Row],[Sales Team]]))</f>
        <v>10</v>
      </c>
      <c r="L1797" s="23">
        <v>9</v>
      </c>
      <c r="M1797" s="65" t="str" cm="1">
        <f t="array" ref="M1797">_xlfn.IFS(Table22[[#This Row],[Units Sold]]&lt;40,"Critical",Table22[[#This Row],[Units Sold]]&lt;=50,"Poor",Table22[[#This Row],[Units Sold]]&lt;=60,"Low",Table22[[#This Row],[Units Sold]]&lt;=80,"Average",Table22[[#This Row],[Units Sold]]&lt;=90,"High",Table22[[#This Row],[Units Sold]]&lt;=95,"Excellent",Table22[[#This Row],[Units Sold]]&gt;95,"Outstanding")</f>
        <v>Critical</v>
      </c>
      <c r="N1797" s="29">
        <v>475.95</v>
      </c>
      <c r="O1797" s="29">
        <v>4283.55</v>
      </c>
      <c r="P1797" s="43">
        <f>IF(Table22[[#This Row],[Discount Applied]],Table22[[#This Row],[Total Sales (in USD)]]*(1-Table22[[#This Row],[Discount Percentage (%)]]/100),Table22[[#This Row],[Total Sales (in USD)]])</f>
        <v>4283.55</v>
      </c>
      <c r="Q1797" s="66">
        <f>SQRT(AVERAGE((Table22[[#This Row],[Net Sales (after discount) (in USD)]]-AVERAGE(Table22[Net Sales (after discount) (in USD)]))^2))</f>
        <v>32227.810563764539</v>
      </c>
      <c r="R1797" s="18" t="b">
        <v>1</v>
      </c>
      <c r="S1797" s="40">
        <v>13.79</v>
      </c>
      <c r="T1797" s="18" t="b">
        <v>0</v>
      </c>
      <c r="U1797" s="25">
        <v>45519</v>
      </c>
      <c r="V1797" s="63" t="str">
        <f>IF(MONTH(Table22[[#This Row],[Sales Date]])&lt;=3,"Q1",IF(MONTH(Table22[[#This Row],[Sales Date]])&lt;=6,"Q2",IF(MONTH(Table22[[#This Row],[Sales Date]])&lt;=9,"Q3","Q4")))</f>
        <v>Q3</v>
      </c>
      <c r="W1797" s="64">
        <f>YEAR(Table22[[#This Row],[Sales Date]])</f>
        <v>2024</v>
      </c>
      <c r="X1797" s="23">
        <v>45</v>
      </c>
      <c r="Y1797" s="18" t="s">
        <v>23</v>
      </c>
      <c r="Z1797" s="18" t="s">
        <v>24</v>
      </c>
      <c r="AA1797" s="19" t="s">
        <v>36</v>
      </c>
    </row>
    <row r="1798" spans="1:27" x14ac:dyDescent="0.25">
      <c r="A1798" s="17" t="s">
        <v>1141</v>
      </c>
      <c r="B1798" s="18" t="s">
        <v>66</v>
      </c>
      <c r="C1798" s="63" t="str" cm="1">
        <f t="array" ref="C1798">_xlfn.SWITCH(Table22[[#This Row],[Country]],"USA","North America","Canada","North America","Brazil","South America","China","Asia","Japan","Asia","India","Asia","France","Europe","Germany","Europe","UK","Europe","Australia","Oceania","South America")</f>
        <v>North America</v>
      </c>
      <c r="D1798" s="18" t="s">
        <v>28</v>
      </c>
      <c r="E1798" s="18" t="s">
        <v>19</v>
      </c>
      <c r="F1798" s="18" t="s">
        <v>52</v>
      </c>
      <c r="G1798" s="18" t="s">
        <v>48</v>
      </c>
      <c r="H1798" s="64">
        <f>LEN(TRIM(Table22[[#This Row],[Country]]))</f>
        <v>6</v>
      </c>
      <c r="I1798" s="64">
        <f>LEN(TRIM(Table22[[#This Row],[Continent]]))</f>
        <v>13</v>
      </c>
      <c r="J1798" s="64">
        <f>LEN(TRIM(Table22[[#This Row],[Product]]))</f>
        <v>6</v>
      </c>
      <c r="K1798" s="64">
        <f>LEN(TRIM(Table22[[#This Row],[Sales Team]]))</f>
        <v>9</v>
      </c>
      <c r="L1798" s="23">
        <v>4</v>
      </c>
      <c r="M1798" s="65" t="str" cm="1">
        <f t="array" ref="M1798">_xlfn.IFS(Table22[[#This Row],[Units Sold]]&lt;40,"Critical",Table22[[#This Row],[Units Sold]]&lt;=50,"Poor",Table22[[#This Row],[Units Sold]]&lt;=60,"Low",Table22[[#This Row],[Units Sold]]&lt;=80,"Average",Table22[[#This Row],[Units Sold]]&lt;=90,"High",Table22[[#This Row],[Units Sold]]&lt;=95,"Excellent",Table22[[#This Row],[Units Sold]]&gt;95,"Outstanding")</f>
        <v>Critical</v>
      </c>
      <c r="N1798" s="29">
        <v>1046.69</v>
      </c>
      <c r="O1798" s="29">
        <v>4186.76</v>
      </c>
      <c r="P1798" s="43">
        <f>IF(Table22[[#This Row],[Discount Applied]],Table22[[#This Row],[Total Sales (in USD)]]*(1-Table22[[#This Row],[Discount Percentage (%)]]/100),Table22[[#This Row],[Total Sales (in USD)]])</f>
        <v>4186.76</v>
      </c>
      <c r="Q1798" s="66">
        <f>SQRT(AVERAGE((Table22[[#This Row],[Net Sales (after discount) (in USD)]]-AVERAGE(Table22[Net Sales (after discount) (in USD)]))^2))</f>
        <v>32324.600563764536</v>
      </c>
      <c r="R1798" s="18" t="b">
        <v>1</v>
      </c>
      <c r="S1798" s="40">
        <v>19.79</v>
      </c>
      <c r="T1798" s="18" t="b">
        <v>0</v>
      </c>
      <c r="U1798" s="25">
        <v>45524</v>
      </c>
      <c r="V1798" s="63" t="str">
        <f>IF(MONTH(Table22[[#This Row],[Sales Date]])&lt;=3,"Q1",IF(MONTH(Table22[[#This Row],[Sales Date]])&lt;=6,"Q2",IF(MONTH(Table22[[#This Row],[Sales Date]])&lt;=9,"Q3","Q4")))</f>
        <v>Q3</v>
      </c>
      <c r="W1798" s="64">
        <f>YEAR(Table22[[#This Row],[Sales Date]])</f>
        <v>2024</v>
      </c>
      <c r="X1798" s="23">
        <v>49</v>
      </c>
      <c r="Y1798" s="18" t="s">
        <v>41</v>
      </c>
      <c r="Z1798" s="18" t="s">
        <v>42</v>
      </c>
      <c r="AA1798" s="19" t="s">
        <v>36</v>
      </c>
    </row>
    <row r="1799" spans="1:27" x14ac:dyDescent="0.25">
      <c r="A1799" s="17" t="s">
        <v>900</v>
      </c>
      <c r="B1799" s="18" t="s">
        <v>32</v>
      </c>
      <c r="C1799" s="63" t="str" cm="1">
        <f t="array" ref="C1799">_xlfn.SWITCH(Table22[[#This Row],[Country]],"USA","North America","Canada","North America","Brazil","South America","China","Asia","Japan","Asia","India","Asia","France","Europe","Germany","Europe","UK","Europe","Australia","Oceania","South America")</f>
        <v>Asia</v>
      </c>
      <c r="D1799" s="18" t="s">
        <v>28</v>
      </c>
      <c r="E1799" s="18" t="s">
        <v>19</v>
      </c>
      <c r="F1799" s="18" t="s">
        <v>47</v>
      </c>
      <c r="G1799" s="18" t="s">
        <v>40</v>
      </c>
      <c r="H1799" s="64">
        <f>LEN(TRIM(Table22[[#This Row],[Country]]))</f>
        <v>5</v>
      </c>
      <c r="I1799" s="64">
        <f>LEN(TRIM(Table22[[#This Row],[Continent]]))</f>
        <v>4</v>
      </c>
      <c r="J1799" s="64">
        <f>LEN(TRIM(Table22[[#This Row],[Product]]))</f>
        <v>6</v>
      </c>
      <c r="K1799" s="64">
        <f>LEN(TRIM(Table22[[#This Row],[Sales Team]]))</f>
        <v>10</v>
      </c>
      <c r="L1799" s="23">
        <v>60</v>
      </c>
      <c r="M1799" s="65" t="str" cm="1">
        <f t="array" ref="M1799">_xlfn.IFS(Table22[[#This Row],[Units Sold]]&lt;40,"Critical",Table22[[#This Row],[Units Sold]]&lt;=50,"Poor",Table22[[#This Row],[Units Sold]]&lt;=60,"Low",Table22[[#This Row],[Units Sold]]&lt;=80,"Average",Table22[[#This Row],[Units Sold]]&lt;=90,"High",Table22[[#This Row],[Units Sold]]&lt;=95,"Excellent",Table22[[#This Row],[Units Sold]]&gt;95,"Outstanding")</f>
        <v>Low</v>
      </c>
      <c r="N1799" s="29">
        <v>68.959999999999994</v>
      </c>
      <c r="O1799" s="29">
        <v>4137.6000000000004</v>
      </c>
      <c r="P1799" s="43">
        <f>IF(Table22[[#This Row],[Discount Applied]],Table22[[#This Row],[Total Sales (in USD)]]*(1-Table22[[#This Row],[Discount Percentage (%)]]/100),Table22[[#This Row],[Total Sales (in USD)]])</f>
        <v>3241.8096</v>
      </c>
      <c r="Q1799" s="66">
        <f>SQRT(AVERAGE((Table22[[#This Row],[Net Sales (after discount) (in USD)]]-AVERAGE(Table22[Net Sales (after discount) (in USD)]))^2))</f>
        <v>33269.550963764537</v>
      </c>
      <c r="R1799" s="18" t="b">
        <v>0</v>
      </c>
      <c r="S1799" s="40">
        <v>21.65</v>
      </c>
      <c r="T1799" s="18" t="b">
        <v>1</v>
      </c>
      <c r="U1799" s="25">
        <v>45407</v>
      </c>
      <c r="V1799" s="63" t="str">
        <f>IF(MONTH(Table22[[#This Row],[Sales Date]])&lt;=3,"Q1",IF(MONTH(Table22[[#This Row],[Sales Date]])&lt;=6,"Q2",IF(MONTH(Table22[[#This Row],[Sales Date]])&lt;=9,"Q3","Q4")))</f>
        <v>Q2</v>
      </c>
      <c r="W1799" s="64">
        <f>YEAR(Table22[[#This Row],[Sales Date]])</f>
        <v>2024</v>
      </c>
      <c r="X1799" s="23">
        <v>26</v>
      </c>
      <c r="Y1799" s="18" t="s">
        <v>49</v>
      </c>
      <c r="Z1799" s="18" t="s">
        <v>24</v>
      </c>
      <c r="AA1799" s="19" t="s">
        <v>25</v>
      </c>
    </row>
    <row r="1800" spans="1:27" x14ac:dyDescent="0.25">
      <c r="A1800" s="17" t="s">
        <v>1467</v>
      </c>
      <c r="B1800" s="18" t="s">
        <v>66</v>
      </c>
      <c r="C1800" s="63" t="str" cm="1">
        <f t="array" ref="C1800">_xlfn.SWITCH(Table22[[#This Row],[Country]],"USA","North America","Canada","North America","Brazil","South America","China","Asia","Japan","Asia","India","Asia","France","Europe","Germany","Europe","UK","Europe","Australia","Oceania","South America")</f>
        <v>North America</v>
      </c>
      <c r="D1800" s="18" t="s">
        <v>35</v>
      </c>
      <c r="E1800" s="18" t="s">
        <v>19</v>
      </c>
      <c r="F1800" s="18" t="s">
        <v>34</v>
      </c>
      <c r="G1800" s="18" t="s">
        <v>48</v>
      </c>
      <c r="H1800" s="64">
        <f>LEN(TRIM(Table22[[#This Row],[Country]]))</f>
        <v>6</v>
      </c>
      <c r="I1800" s="64">
        <f>LEN(TRIM(Table22[[#This Row],[Continent]]))</f>
        <v>13</v>
      </c>
      <c r="J1800" s="64">
        <f>LEN(TRIM(Table22[[#This Row],[Product]]))</f>
        <v>6</v>
      </c>
      <c r="K1800" s="64">
        <f>LEN(TRIM(Table22[[#This Row],[Sales Team]]))</f>
        <v>9</v>
      </c>
      <c r="L1800" s="23">
        <v>11</v>
      </c>
      <c r="M1800" s="65" t="str" cm="1">
        <f t="array" ref="M1800">_xlfn.IFS(Table22[[#This Row],[Units Sold]]&lt;40,"Critical",Table22[[#This Row],[Units Sold]]&lt;=50,"Poor",Table22[[#This Row],[Units Sold]]&lt;=60,"Low",Table22[[#This Row],[Units Sold]]&lt;=80,"Average",Table22[[#This Row],[Units Sold]]&lt;=90,"High",Table22[[#This Row],[Units Sold]]&lt;=95,"Excellent",Table22[[#This Row],[Units Sold]]&gt;95,"Outstanding")</f>
        <v>Critical</v>
      </c>
      <c r="N1800" s="29">
        <v>374.12</v>
      </c>
      <c r="O1800" s="29">
        <v>4115.32</v>
      </c>
      <c r="P1800" s="43">
        <f>IF(Table22[[#This Row],[Discount Applied]],Table22[[#This Row],[Total Sales (in USD)]]*(1-Table22[[#This Row],[Discount Percentage (%)]]/100),Table22[[#This Row],[Total Sales (in USD)]])</f>
        <v>4115.32</v>
      </c>
      <c r="Q1800" s="66">
        <f>SQRT(AVERAGE((Table22[[#This Row],[Net Sales (after discount) (in USD)]]-AVERAGE(Table22[Net Sales (after discount) (in USD)]))^2))</f>
        <v>32396.040563764538</v>
      </c>
      <c r="R1800" s="18" t="b">
        <v>0</v>
      </c>
      <c r="S1800" s="40">
        <v>15.2</v>
      </c>
      <c r="T1800" s="18" t="b">
        <v>0</v>
      </c>
      <c r="U1800" s="25">
        <v>45023</v>
      </c>
      <c r="V1800" s="63" t="str">
        <f>IF(MONTH(Table22[[#This Row],[Sales Date]])&lt;=3,"Q1",IF(MONTH(Table22[[#This Row],[Sales Date]])&lt;=6,"Q2",IF(MONTH(Table22[[#This Row],[Sales Date]])&lt;=9,"Q3","Q4")))</f>
        <v>Q2</v>
      </c>
      <c r="W1800" s="64">
        <f>YEAR(Table22[[#This Row],[Sales Date]])</f>
        <v>2023</v>
      </c>
      <c r="X1800" s="23">
        <v>24</v>
      </c>
      <c r="Y1800" s="18" t="s">
        <v>49</v>
      </c>
      <c r="Z1800" s="18" t="s">
        <v>24</v>
      </c>
      <c r="AA1800" s="19" t="s">
        <v>36</v>
      </c>
    </row>
    <row r="1801" spans="1:27" x14ac:dyDescent="0.25">
      <c r="A1801" s="17" t="s">
        <v>722</v>
      </c>
      <c r="B1801" s="18" t="s">
        <v>51</v>
      </c>
      <c r="C1801" s="63" t="str" cm="1">
        <f t="array" ref="C1801">_xlfn.SWITCH(Table22[[#This Row],[Country]],"USA","North America","Canada","North America","Brazil","South America","China","Asia","Japan","Asia","India","Asia","France","Europe","Germany","Europe","UK","Europe","Australia","Oceania","South America")</f>
        <v>Europe</v>
      </c>
      <c r="D1801" s="18" t="s">
        <v>44</v>
      </c>
      <c r="E1801" s="18" t="s">
        <v>33</v>
      </c>
      <c r="F1801" s="18" t="s">
        <v>20</v>
      </c>
      <c r="G1801" s="18" t="s">
        <v>48</v>
      </c>
      <c r="H1801" s="64">
        <f>LEN(TRIM(Table22[[#This Row],[Country]]))</f>
        <v>2</v>
      </c>
      <c r="I1801" s="64">
        <f>LEN(TRIM(Table22[[#This Row],[Continent]]))</f>
        <v>6</v>
      </c>
      <c r="J1801" s="64">
        <f>LEN(TRIM(Table22[[#This Row],[Product]]))</f>
        <v>10</v>
      </c>
      <c r="K1801" s="64">
        <f>LEN(TRIM(Table22[[#This Row],[Sales Team]]))</f>
        <v>9</v>
      </c>
      <c r="L1801" s="23">
        <v>54</v>
      </c>
      <c r="M1801" s="65" t="str" cm="1">
        <f t="array" ref="M1801">_xlfn.IFS(Table22[[#This Row],[Units Sold]]&lt;40,"Critical",Table22[[#This Row],[Units Sold]]&lt;=50,"Poor",Table22[[#This Row],[Units Sold]]&lt;=60,"Low",Table22[[#This Row],[Units Sold]]&lt;=80,"Average",Table22[[#This Row],[Units Sold]]&lt;=90,"High",Table22[[#This Row],[Units Sold]]&lt;=95,"Excellent",Table22[[#This Row],[Units Sold]]&gt;95,"Outstanding")</f>
        <v>Low</v>
      </c>
      <c r="N1801" s="29">
        <v>76.150000000000006</v>
      </c>
      <c r="O1801" s="29">
        <v>4112.1000000000004</v>
      </c>
      <c r="P1801" s="43">
        <f>IF(Table22[[#This Row],[Discount Applied]],Table22[[#This Row],[Total Sales (in USD)]]*(1-Table22[[#This Row],[Discount Percentage (%)]]/100),Table22[[#This Row],[Total Sales (in USD)]])</f>
        <v>3950.9056800000003</v>
      </c>
      <c r="Q1801" s="66">
        <f>SQRT(AVERAGE((Table22[[#This Row],[Net Sales (after discount) (in USD)]]-AVERAGE(Table22[Net Sales (after discount) (in USD)]))^2))</f>
        <v>32560.454883764538</v>
      </c>
      <c r="R1801" s="18" t="b">
        <v>0</v>
      </c>
      <c r="S1801" s="40">
        <v>3.92</v>
      </c>
      <c r="T1801" s="18" t="b">
        <v>1</v>
      </c>
      <c r="U1801" s="25">
        <v>45596</v>
      </c>
      <c r="V1801" s="63" t="str">
        <f>IF(MONTH(Table22[[#This Row],[Sales Date]])&lt;=3,"Q1",IF(MONTH(Table22[[#This Row],[Sales Date]])&lt;=6,"Q2",IF(MONTH(Table22[[#This Row],[Sales Date]])&lt;=9,"Q3","Q4")))</f>
        <v>Q4</v>
      </c>
      <c r="W1801" s="64">
        <f>YEAR(Table22[[#This Row],[Sales Date]])</f>
        <v>2024</v>
      </c>
      <c r="X1801" s="23">
        <v>61</v>
      </c>
      <c r="Y1801" s="18" t="s">
        <v>41</v>
      </c>
      <c r="Z1801" s="18" t="s">
        <v>56</v>
      </c>
      <c r="AA1801" s="19" t="s">
        <v>25</v>
      </c>
    </row>
    <row r="1802" spans="1:27" x14ac:dyDescent="0.25">
      <c r="A1802" s="17" t="s">
        <v>2015</v>
      </c>
      <c r="B1802" s="18" t="s">
        <v>27</v>
      </c>
      <c r="C1802" s="63" t="str" cm="1">
        <f t="array" ref="C1802">_xlfn.SWITCH(Table22[[#This Row],[Country]],"USA","North America","Canada","North America","Brazil","South America","China","Asia","Japan","Asia","India","Asia","France","Europe","Germany","Europe","UK","Europe","Australia","Oceania","South America")</f>
        <v>Europe</v>
      </c>
      <c r="D1802" s="18" t="s">
        <v>44</v>
      </c>
      <c r="E1802" s="18" t="s">
        <v>33</v>
      </c>
      <c r="F1802" s="18" t="s">
        <v>52</v>
      </c>
      <c r="G1802" s="18" t="s">
        <v>29</v>
      </c>
      <c r="H1802" s="64">
        <f>LEN(TRIM(Table22[[#This Row],[Country]]))</f>
        <v>7</v>
      </c>
      <c r="I1802" s="64">
        <f>LEN(TRIM(Table22[[#This Row],[Continent]]))</f>
        <v>6</v>
      </c>
      <c r="J1802" s="64">
        <f>LEN(TRIM(Table22[[#This Row],[Product]]))</f>
        <v>10</v>
      </c>
      <c r="K1802" s="64">
        <f>LEN(TRIM(Table22[[#This Row],[Sales Team]]))</f>
        <v>10</v>
      </c>
      <c r="L1802" s="23">
        <v>3</v>
      </c>
      <c r="M1802" s="65" t="str" cm="1">
        <f t="array" ref="M1802">_xlfn.IFS(Table22[[#This Row],[Units Sold]]&lt;40,"Critical",Table22[[#This Row],[Units Sold]]&lt;=50,"Poor",Table22[[#This Row],[Units Sold]]&lt;=60,"Low",Table22[[#This Row],[Units Sold]]&lt;=80,"Average",Table22[[#This Row],[Units Sold]]&lt;=90,"High",Table22[[#This Row],[Units Sold]]&lt;=95,"Excellent",Table22[[#This Row],[Units Sold]]&gt;95,"Outstanding")</f>
        <v>Critical</v>
      </c>
      <c r="N1802" s="29">
        <v>1363.68</v>
      </c>
      <c r="O1802" s="29">
        <v>4091.04</v>
      </c>
      <c r="P1802" s="43">
        <f>IF(Table22[[#This Row],[Discount Applied]],Table22[[#This Row],[Total Sales (in USD)]]*(1-Table22[[#This Row],[Discount Percentage (%)]]/100),Table22[[#This Row],[Total Sales (in USD)]])</f>
        <v>3882.3969599999996</v>
      </c>
      <c r="Q1802" s="66">
        <f>SQRT(AVERAGE((Table22[[#This Row],[Net Sales (after discount) (in USD)]]-AVERAGE(Table22[Net Sales (after discount) (in USD)]))^2))</f>
        <v>32628.96360376454</v>
      </c>
      <c r="R1802" s="18" t="b">
        <v>0</v>
      </c>
      <c r="S1802" s="40">
        <v>5.0999999999999996</v>
      </c>
      <c r="T1802" s="18" t="b">
        <v>1</v>
      </c>
      <c r="U1802" s="25">
        <v>45209</v>
      </c>
      <c r="V1802" s="63" t="str">
        <f>IF(MONTH(Table22[[#This Row],[Sales Date]])&lt;=3,"Q1",IF(MONTH(Table22[[#This Row],[Sales Date]])&lt;=6,"Q2",IF(MONTH(Table22[[#This Row],[Sales Date]])&lt;=9,"Q3","Q4")))</f>
        <v>Q4</v>
      </c>
      <c r="W1802" s="64">
        <f>YEAR(Table22[[#This Row],[Sales Date]])</f>
        <v>2023</v>
      </c>
      <c r="X1802" s="23">
        <v>22</v>
      </c>
      <c r="Y1802" s="18" t="s">
        <v>49</v>
      </c>
      <c r="Z1802" s="18" t="s">
        <v>56</v>
      </c>
      <c r="AA1802" s="19" t="s">
        <v>36</v>
      </c>
    </row>
    <row r="1803" spans="1:27" x14ac:dyDescent="0.25">
      <c r="A1803" s="17" t="s">
        <v>474</v>
      </c>
      <c r="B1803" s="18" t="s">
        <v>38</v>
      </c>
      <c r="C1803" s="63" t="str" cm="1">
        <f t="array" ref="C1803">_xlfn.SWITCH(Table22[[#This Row],[Country]],"USA","North America","Canada","North America","Brazil","South America","China","Asia","Japan","Asia","India","Asia","France","Europe","Germany","Europe","UK","Europe","Australia","Oceania","South America")</f>
        <v>Europe</v>
      </c>
      <c r="D1803" s="18" t="s">
        <v>21</v>
      </c>
      <c r="E1803" s="18" t="s">
        <v>39</v>
      </c>
      <c r="F1803" s="18" t="s">
        <v>52</v>
      </c>
      <c r="G1803" s="18" t="s">
        <v>29</v>
      </c>
      <c r="H1803" s="64">
        <f>LEN(TRIM(Table22[[#This Row],[Country]]))</f>
        <v>6</v>
      </c>
      <c r="I1803" s="64">
        <f>LEN(TRIM(Table22[[#This Row],[Continent]]))</f>
        <v>6</v>
      </c>
      <c r="J1803" s="64">
        <f>LEN(TRIM(Table22[[#This Row],[Product]]))</f>
        <v>10</v>
      </c>
      <c r="K1803" s="64">
        <f>LEN(TRIM(Table22[[#This Row],[Sales Team]]))</f>
        <v>10</v>
      </c>
      <c r="L1803" s="23">
        <v>70</v>
      </c>
      <c r="M1803" s="65" t="str" cm="1">
        <f t="array" ref="M1803">_xlfn.IFS(Table22[[#This Row],[Units Sold]]&lt;40,"Critical",Table22[[#This Row],[Units Sold]]&lt;=50,"Poor",Table22[[#This Row],[Units Sold]]&lt;=60,"Low",Table22[[#This Row],[Units Sold]]&lt;=80,"Average",Table22[[#This Row],[Units Sold]]&lt;=90,"High",Table22[[#This Row],[Units Sold]]&lt;=95,"Excellent",Table22[[#This Row],[Units Sold]]&gt;95,"Outstanding")</f>
        <v>Average</v>
      </c>
      <c r="N1803" s="29">
        <v>57.71</v>
      </c>
      <c r="O1803" s="29">
        <v>4039.7</v>
      </c>
      <c r="P1803" s="43">
        <f>IF(Table22[[#This Row],[Discount Applied]],Table22[[#This Row],[Total Sales (in USD)]]*(1-Table22[[#This Row],[Discount Percentage (%)]]/100),Table22[[#This Row],[Total Sales (in USD)]])</f>
        <v>3417.9901699999996</v>
      </c>
      <c r="Q1803" s="66">
        <f>SQRT(AVERAGE((Table22[[#This Row],[Net Sales (after discount) (in USD)]]-AVERAGE(Table22[Net Sales (after discount) (in USD)]))^2))</f>
        <v>33093.37039376454</v>
      </c>
      <c r="R1803" s="18" t="b">
        <v>0</v>
      </c>
      <c r="S1803" s="40">
        <v>15.39</v>
      </c>
      <c r="T1803" s="18" t="b">
        <v>1</v>
      </c>
      <c r="U1803" s="25">
        <v>44979</v>
      </c>
      <c r="V1803" s="63" t="str">
        <f>IF(MONTH(Table22[[#This Row],[Sales Date]])&lt;=3,"Q1",IF(MONTH(Table22[[#This Row],[Sales Date]])&lt;=6,"Q2",IF(MONTH(Table22[[#This Row],[Sales Date]])&lt;=9,"Q3","Q4")))</f>
        <v>Q1</v>
      </c>
      <c r="W1803" s="64">
        <f>YEAR(Table22[[#This Row],[Sales Date]])</f>
        <v>2023</v>
      </c>
      <c r="X1803" s="23">
        <v>55</v>
      </c>
      <c r="Y1803" s="18" t="s">
        <v>49</v>
      </c>
      <c r="Z1803" s="18" t="s">
        <v>42</v>
      </c>
      <c r="AA1803" s="19" t="s">
        <v>36</v>
      </c>
    </row>
    <row r="1804" spans="1:27" x14ac:dyDescent="0.25">
      <c r="A1804" s="17" t="s">
        <v>1308</v>
      </c>
      <c r="B1804" s="18" t="s">
        <v>76</v>
      </c>
      <c r="C1804" s="63" t="str" cm="1">
        <f t="array" ref="C1804">_xlfn.SWITCH(Table22[[#This Row],[Country]],"USA","North America","Canada","North America","Brazil","South America","China","Asia","Japan","Asia","India","Asia","France","Europe","Germany","Europe","UK","Europe","Australia","Oceania","South America")</f>
        <v>Asia</v>
      </c>
      <c r="D1804" s="18" t="s">
        <v>21</v>
      </c>
      <c r="E1804" s="18" t="s">
        <v>19</v>
      </c>
      <c r="F1804" s="18" t="s">
        <v>34</v>
      </c>
      <c r="G1804" s="18" t="s">
        <v>22</v>
      </c>
      <c r="H1804" s="64">
        <f>LEN(TRIM(Table22[[#This Row],[Country]]))</f>
        <v>5</v>
      </c>
      <c r="I1804" s="64">
        <f>LEN(TRIM(Table22[[#This Row],[Continent]]))</f>
        <v>4</v>
      </c>
      <c r="J1804" s="64">
        <f>LEN(TRIM(Table22[[#This Row],[Product]]))</f>
        <v>6</v>
      </c>
      <c r="K1804" s="64">
        <f>LEN(TRIM(Table22[[#This Row],[Sales Team]]))</f>
        <v>10</v>
      </c>
      <c r="L1804" s="23">
        <v>4</v>
      </c>
      <c r="M1804" s="65" t="str" cm="1">
        <f t="array" ref="M1804">_xlfn.IFS(Table22[[#This Row],[Units Sold]]&lt;40,"Critical",Table22[[#This Row],[Units Sold]]&lt;=50,"Poor",Table22[[#This Row],[Units Sold]]&lt;=60,"Low",Table22[[#This Row],[Units Sold]]&lt;=80,"Average",Table22[[#This Row],[Units Sold]]&lt;=90,"High",Table22[[#This Row],[Units Sold]]&lt;=95,"Excellent",Table22[[#This Row],[Units Sold]]&gt;95,"Outstanding")</f>
        <v>Critical</v>
      </c>
      <c r="N1804" s="29">
        <v>1007.17</v>
      </c>
      <c r="O1804" s="29">
        <v>4028.68</v>
      </c>
      <c r="P1804" s="43">
        <f>IF(Table22[[#This Row],[Discount Applied]],Table22[[#This Row],[Total Sales (in USD)]]*(1-Table22[[#This Row],[Discount Percentage (%)]]/100),Table22[[#This Row],[Total Sales (in USD)]])</f>
        <v>4028.68</v>
      </c>
      <c r="Q1804" s="66">
        <f>SQRT(AVERAGE((Table22[[#This Row],[Net Sales (after discount) (in USD)]]-AVERAGE(Table22[Net Sales (after discount) (in USD)]))^2))</f>
        <v>32482.680563764538</v>
      </c>
      <c r="R1804" s="18" t="b">
        <v>0</v>
      </c>
      <c r="S1804" s="40">
        <v>29.7</v>
      </c>
      <c r="T1804" s="18" t="b">
        <v>0</v>
      </c>
      <c r="U1804" s="25">
        <v>45262</v>
      </c>
      <c r="V1804" s="63" t="str">
        <f>IF(MONTH(Table22[[#This Row],[Sales Date]])&lt;=3,"Q1",IF(MONTH(Table22[[#This Row],[Sales Date]])&lt;=6,"Q2",IF(MONTH(Table22[[#This Row],[Sales Date]])&lt;=9,"Q3","Q4")))</f>
        <v>Q4</v>
      </c>
      <c r="W1804" s="64">
        <f>YEAR(Table22[[#This Row],[Sales Date]])</f>
        <v>2023</v>
      </c>
      <c r="X1804" s="23">
        <v>26</v>
      </c>
      <c r="Y1804" s="18" t="s">
        <v>41</v>
      </c>
      <c r="Z1804" s="18" t="s">
        <v>56</v>
      </c>
      <c r="AA1804" s="19" t="s">
        <v>36</v>
      </c>
    </row>
    <row r="1805" spans="1:27" x14ac:dyDescent="0.25">
      <c r="A1805" s="17" t="s">
        <v>1413</v>
      </c>
      <c r="B1805" s="18" t="s">
        <v>51</v>
      </c>
      <c r="C1805" s="63" t="str" cm="1">
        <f t="array" ref="C1805">_xlfn.SWITCH(Table22[[#This Row],[Country]],"USA","North America","Canada","North America","Brazil","South America","China","Asia","Japan","Asia","India","Asia","France","Europe","Germany","Europe","UK","Europe","Australia","Oceania","South America")</f>
        <v>Europe</v>
      </c>
      <c r="D1805" s="18" t="s">
        <v>44</v>
      </c>
      <c r="E1805" s="18" t="s">
        <v>39</v>
      </c>
      <c r="F1805" s="18" t="s">
        <v>52</v>
      </c>
      <c r="G1805" s="18" t="s">
        <v>29</v>
      </c>
      <c r="H1805" s="64">
        <f>LEN(TRIM(Table22[[#This Row],[Country]]))</f>
        <v>2</v>
      </c>
      <c r="I1805" s="64">
        <f>LEN(TRIM(Table22[[#This Row],[Continent]]))</f>
        <v>6</v>
      </c>
      <c r="J1805" s="64">
        <f>LEN(TRIM(Table22[[#This Row],[Product]]))</f>
        <v>10</v>
      </c>
      <c r="K1805" s="64">
        <f>LEN(TRIM(Table22[[#This Row],[Sales Team]]))</f>
        <v>10</v>
      </c>
      <c r="L1805" s="23">
        <v>64</v>
      </c>
      <c r="M1805" s="65" t="str" cm="1">
        <f t="array" ref="M1805">_xlfn.IFS(Table22[[#This Row],[Units Sold]]&lt;40,"Critical",Table22[[#This Row],[Units Sold]]&lt;=50,"Poor",Table22[[#This Row],[Units Sold]]&lt;=60,"Low",Table22[[#This Row],[Units Sold]]&lt;=80,"Average",Table22[[#This Row],[Units Sold]]&lt;=90,"High",Table22[[#This Row],[Units Sold]]&lt;=95,"Excellent",Table22[[#This Row],[Units Sold]]&gt;95,"Outstanding")</f>
        <v>Average</v>
      </c>
      <c r="N1805" s="29">
        <v>62.43</v>
      </c>
      <c r="O1805" s="29">
        <v>3995.52</v>
      </c>
      <c r="P1805" s="43">
        <f>IF(Table22[[#This Row],[Discount Applied]],Table22[[#This Row],[Total Sales (in USD)]]*(1-Table22[[#This Row],[Discount Percentage (%)]]/100),Table22[[#This Row],[Total Sales (in USD)]])</f>
        <v>3995.52</v>
      </c>
      <c r="Q1805" s="66">
        <f>SQRT(AVERAGE((Table22[[#This Row],[Net Sales (after discount) (in USD)]]-AVERAGE(Table22[Net Sales (after discount) (in USD)]))^2))</f>
        <v>32515.840563764537</v>
      </c>
      <c r="R1805" s="18" t="b">
        <v>1</v>
      </c>
      <c r="S1805" s="40">
        <v>19.89</v>
      </c>
      <c r="T1805" s="18" t="b">
        <v>0</v>
      </c>
      <c r="U1805" s="25">
        <v>45067</v>
      </c>
      <c r="V1805" s="63" t="str">
        <f>IF(MONTH(Table22[[#This Row],[Sales Date]])&lt;=3,"Q1",IF(MONTH(Table22[[#This Row],[Sales Date]])&lt;=6,"Q2",IF(MONTH(Table22[[#This Row],[Sales Date]])&lt;=9,"Q3","Q4")))</f>
        <v>Q2</v>
      </c>
      <c r="W1805" s="64">
        <f>YEAR(Table22[[#This Row],[Sales Date]])</f>
        <v>2023</v>
      </c>
      <c r="X1805" s="23">
        <v>40</v>
      </c>
      <c r="Y1805" s="18" t="s">
        <v>41</v>
      </c>
      <c r="Z1805" s="18" t="s">
        <v>24</v>
      </c>
      <c r="AA1805" s="19" t="s">
        <v>25</v>
      </c>
    </row>
    <row r="1806" spans="1:27" x14ac:dyDescent="0.25">
      <c r="A1806" s="17" t="s">
        <v>682</v>
      </c>
      <c r="B1806" s="18" t="s">
        <v>51</v>
      </c>
      <c r="C1806" s="63" t="str" cm="1">
        <f t="array" ref="C1806">_xlfn.SWITCH(Table22[[#This Row],[Country]],"USA","North America","Canada","North America","Brazil","South America","China","Asia","Japan","Asia","India","Asia","France","Europe","Germany","Europe","UK","Europe","Australia","Oceania","South America")</f>
        <v>Europe</v>
      </c>
      <c r="D1806" s="18" t="s">
        <v>28</v>
      </c>
      <c r="E1806" s="18" t="s">
        <v>39</v>
      </c>
      <c r="F1806" s="18" t="s">
        <v>64</v>
      </c>
      <c r="G1806" s="18" t="s">
        <v>40</v>
      </c>
      <c r="H1806" s="64">
        <f>LEN(TRIM(Table22[[#This Row],[Country]]))</f>
        <v>2</v>
      </c>
      <c r="I1806" s="64">
        <f>LEN(TRIM(Table22[[#This Row],[Continent]]))</f>
        <v>6</v>
      </c>
      <c r="J1806" s="64">
        <f>LEN(TRIM(Table22[[#This Row],[Product]]))</f>
        <v>10</v>
      </c>
      <c r="K1806" s="64">
        <f>LEN(TRIM(Table22[[#This Row],[Sales Team]]))</f>
        <v>10</v>
      </c>
      <c r="L1806" s="23">
        <v>8</v>
      </c>
      <c r="M1806" s="65" t="str" cm="1">
        <f t="array" ref="M1806">_xlfn.IFS(Table22[[#This Row],[Units Sold]]&lt;40,"Critical",Table22[[#This Row],[Units Sold]]&lt;=50,"Poor",Table22[[#This Row],[Units Sold]]&lt;=60,"Low",Table22[[#This Row],[Units Sold]]&lt;=80,"Average",Table22[[#This Row],[Units Sold]]&lt;=90,"High",Table22[[#This Row],[Units Sold]]&lt;=95,"Excellent",Table22[[#This Row],[Units Sold]]&gt;95,"Outstanding")</f>
        <v>Critical</v>
      </c>
      <c r="N1806" s="29">
        <v>499.11</v>
      </c>
      <c r="O1806" s="29">
        <v>3992.88</v>
      </c>
      <c r="P1806" s="43">
        <f>IF(Table22[[#This Row],[Discount Applied]],Table22[[#This Row],[Total Sales (in USD)]]*(1-Table22[[#This Row],[Discount Percentage (%)]]/100),Table22[[#This Row],[Total Sales (in USD)]])</f>
        <v>3992.88</v>
      </c>
      <c r="Q1806" s="66">
        <f>SQRT(AVERAGE((Table22[[#This Row],[Net Sales (after discount) (in USD)]]-AVERAGE(Table22[Net Sales (after discount) (in USD)]))^2))</f>
        <v>32518.480563764537</v>
      </c>
      <c r="R1806" s="18" t="b">
        <v>1</v>
      </c>
      <c r="S1806" s="40">
        <v>5.52</v>
      </c>
      <c r="T1806" s="18" t="b">
        <v>0</v>
      </c>
      <c r="U1806" s="25">
        <v>44935</v>
      </c>
      <c r="V1806" s="63" t="str">
        <f>IF(MONTH(Table22[[#This Row],[Sales Date]])&lt;=3,"Q1",IF(MONTH(Table22[[#This Row],[Sales Date]])&lt;=6,"Q2",IF(MONTH(Table22[[#This Row],[Sales Date]])&lt;=9,"Q3","Q4")))</f>
        <v>Q1</v>
      </c>
      <c r="W1806" s="64">
        <f>YEAR(Table22[[#This Row],[Sales Date]])</f>
        <v>2023</v>
      </c>
      <c r="X1806" s="23">
        <v>42</v>
      </c>
      <c r="Y1806" s="18" t="s">
        <v>41</v>
      </c>
      <c r="Z1806" s="18" t="s">
        <v>24</v>
      </c>
      <c r="AA1806" s="19" t="s">
        <v>25</v>
      </c>
    </row>
    <row r="1807" spans="1:27" x14ac:dyDescent="0.25">
      <c r="A1807" s="17" t="s">
        <v>405</v>
      </c>
      <c r="B1807" s="18" t="s">
        <v>76</v>
      </c>
      <c r="C1807" s="63" t="str" cm="1">
        <f t="array" ref="C1807">_xlfn.SWITCH(Table22[[#This Row],[Country]],"USA","North America","Canada","North America","Brazil","South America","China","Asia","Japan","Asia","India","Asia","France","Europe","Germany","Europe","UK","Europe","Australia","Oceania","South America")</f>
        <v>Asia</v>
      </c>
      <c r="D1807" s="18" t="s">
        <v>44</v>
      </c>
      <c r="E1807" s="18" t="s">
        <v>19</v>
      </c>
      <c r="F1807" s="18" t="s">
        <v>52</v>
      </c>
      <c r="G1807" s="18" t="s">
        <v>29</v>
      </c>
      <c r="H1807" s="64">
        <f>LEN(TRIM(Table22[[#This Row],[Country]]))</f>
        <v>5</v>
      </c>
      <c r="I1807" s="64">
        <f>LEN(TRIM(Table22[[#This Row],[Continent]]))</f>
        <v>4</v>
      </c>
      <c r="J1807" s="64">
        <f>LEN(TRIM(Table22[[#This Row],[Product]]))</f>
        <v>6</v>
      </c>
      <c r="K1807" s="64">
        <f>LEN(TRIM(Table22[[#This Row],[Sales Team]]))</f>
        <v>10</v>
      </c>
      <c r="L1807" s="23">
        <v>4</v>
      </c>
      <c r="M1807" s="65" t="str" cm="1">
        <f t="array" ref="M1807">_xlfn.IFS(Table22[[#This Row],[Units Sold]]&lt;40,"Critical",Table22[[#This Row],[Units Sold]]&lt;=50,"Poor",Table22[[#This Row],[Units Sold]]&lt;=60,"Low",Table22[[#This Row],[Units Sold]]&lt;=80,"Average",Table22[[#This Row],[Units Sold]]&lt;=90,"High",Table22[[#This Row],[Units Sold]]&lt;=95,"Excellent",Table22[[#This Row],[Units Sold]]&gt;95,"Outstanding")</f>
        <v>Critical</v>
      </c>
      <c r="N1807" s="29">
        <v>993.76</v>
      </c>
      <c r="O1807" s="29">
        <v>3975.04</v>
      </c>
      <c r="P1807" s="43">
        <f>IF(Table22[[#This Row],[Discount Applied]],Table22[[#This Row],[Total Sales (in USD)]]*(1-Table22[[#This Row],[Discount Percentage (%)]]/100),Table22[[#This Row],[Total Sales (in USD)]])</f>
        <v>3975.04</v>
      </c>
      <c r="Q1807" s="66">
        <f>SQRT(AVERAGE((Table22[[#This Row],[Net Sales (after discount) (in USD)]]-AVERAGE(Table22[Net Sales (after discount) (in USD)]))^2))</f>
        <v>32536.320563764537</v>
      </c>
      <c r="R1807" s="18" t="b">
        <v>0</v>
      </c>
      <c r="S1807" s="40">
        <v>10.33</v>
      </c>
      <c r="T1807" s="18" t="b">
        <v>0</v>
      </c>
      <c r="U1807" s="25">
        <v>45423</v>
      </c>
      <c r="V1807" s="63" t="str">
        <f>IF(MONTH(Table22[[#This Row],[Sales Date]])&lt;=3,"Q1",IF(MONTH(Table22[[#This Row],[Sales Date]])&lt;=6,"Q2",IF(MONTH(Table22[[#This Row],[Sales Date]])&lt;=9,"Q3","Q4")))</f>
        <v>Q2</v>
      </c>
      <c r="W1807" s="64">
        <f>YEAR(Table22[[#This Row],[Sales Date]])</f>
        <v>2024</v>
      </c>
      <c r="X1807" s="23">
        <v>21</v>
      </c>
      <c r="Y1807" s="18" t="s">
        <v>49</v>
      </c>
      <c r="Z1807" s="18" t="s">
        <v>56</v>
      </c>
      <c r="AA1807" s="19" t="s">
        <v>36</v>
      </c>
    </row>
    <row r="1808" spans="1:27" x14ac:dyDescent="0.25">
      <c r="A1808" s="17" t="s">
        <v>1437</v>
      </c>
      <c r="B1808" s="18" t="s">
        <v>27</v>
      </c>
      <c r="C1808" s="63" t="str" cm="1">
        <f t="array" ref="C1808">_xlfn.SWITCH(Table22[[#This Row],[Country]],"USA","North America","Canada","North America","Brazil","South America","China","Asia","Japan","Asia","India","Asia","France","Europe","Germany","Europe","UK","Europe","Australia","Oceania","South America")</f>
        <v>Europe</v>
      </c>
      <c r="D1808" s="18" t="s">
        <v>21</v>
      </c>
      <c r="E1808" s="18" t="s">
        <v>33</v>
      </c>
      <c r="F1808" s="18" t="s">
        <v>34</v>
      </c>
      <c r="G1808" s="18" t="s">
        <v>40</v>
      </c>
      <c r="H1808" s="64">
        <f>LEN(TRIM(Table22[[#This Row],[Country]]))</f>
        <v>7</v>
      </c>
      <c r="I1808" s="64">
        <f>LEN(TRIM(Table22[[#This Row],[Continent]]))</f>
        <v>6</v>
      </c>
      <c r="J1808" s="64">
        <f>LEN(TRIM(Table22[[#This Row],[Product]]))</f>
        <v>10</v>
      </c>
      <c r="K1808" s="64">
        <f>LEN(TRIM(Table22[[#This Row],[Sales Team]]))</f>
        <v>10</v>
      </c>
      <c r="L1808" s="23">
        <v>3</v>
      </c>
      <c r="M1808" s="65" t="str" cm="1">
        <f t="array" ref="M1808">_xlfn.IFS(Table22[[#This Row],[Units Sold]]&lt;40,"Critical",Table22[[#This Row],[Units Sold]]&lt;=50,"Poor",Table22[[#This Row],[Units Sold]]&lt;=60,"Low",Table22[[#This Row],[Units Sold]]&lt;=80,"Average",Table22[[#This Row],[Units Sold]]&lt;=90,"High",Table22[[#This Row],[Units Sold]]&lt;=95,"Excellent",Table22[[#This Row],[Units Sold]]&gt;95,"Outstanding")</f>
        <v>Critical</v>
      </c>
      <c r="N1808" s="29">
        <v>1319.05</v>
      </c>
      <c r="O1808" s="29">
        <v>3957.15</v>
      </c>
      <c r="P1808" s="43">
        <f>IF(Table22[[#This Row],[Discount Applied]],Table22[[#This Row],[Total Sales (in USD)]]*(1-Table22[[#This Row],[Discount Percentage (%)]]/100),Table22[[#This Row],[Total Sales (in USD)]])</f>
        <v>3729.2181600000004</v>
      </c>
      <c r="Q1808" s="66">
        <f>SQRT(AVERAGE((Table22[[#This Row],[Net Sales (after discount) (in USD)]]-AVERAGE(Table22[Net Sales (after discount) (in USD)]))^2))</f>
        <v>32782.142403764534</v>
      </c>
      <c r="R1808" s="18" t="b">
        <v>1</v>
      </c>
      <c r="S1808" s="40">
        <v>5.76</v>
      </c>
      <c r="T1808" s="18" t="b">
        <v>1</v>
      </c>
      <c r="U1808" s="25">
        <v>45043</v>
      </c>
      <c r="V1808" s="63" t="str">
        <f>IF(MONTH(Table22[[#This Row],[Sales Date]])&lt;=3,"Q1",IF(MONTH(Table22[[#This Row],[Sales Date]])&lt;=6,"Q2",IF(MONTH(Table22[[#This Row],[Sales Date]])&lt;=9,"Q3","Q4")))</f>
        <v>Q2</v>
      </c>
      <c r="W1808" s="64">
        <f>YEAR(Table22[[#This Row],[Sales Date]])</f>
        <v>2023</v>
      </c>
      <c r="X1808" s="23">
        <v>42</v>
      </c>
      <c r="Y1808" s="18" t="s">
        <v>23</v>
      </c>
      <c r="Z1808" s="18" t="s">
        <v>42</v>
      </c>
      <c r="AA1808" s="19" t="s">
        <v>36</v>
      </c>
    </row>
    <row r="1809" spans="1:27" x14ac:dyDescent="0.25">
      <c r="A1809" s="17" t="s">
        <v>381</v>
      </c>
      <c r="B1809" s="18" t="s">
        <v>76</v>
      </c>
      <c r="C1809" s="63" t="str" cm="1">
        <f t="array" ref="C1809">_xlfn.SWITCH(Table22[[#This Row],[Country]],"USA","North America","Canada","North America","Brazil","South America","China","Asia","Japan","Asia","India","Asia","France","Europe","Germany","Europe","UK","Europe","Australia","Oceania","South America")</f>
        <v>Asia</v>
      </c>
      <c r="D1809" s="18" t="s">
        <v>35</v>
      </c>
      <c r="E1809" s="18" t="s">
        <v>19</v>
      </c>
      <c r="F1809" s="18" t="s">
        <v>52</v>
      </c>
      <c r="G1809" s="18" t="s">
        <v>22</v>
      </c>
      <c r="H1809" s="64">
        <f>LEN(TRIM(Table22[[#This Row],[Country]]))</f>
        <v>5</v>
      </c>
      <c r="I1809" s="64">
        <f>LEN(TRIM(Table22[[#This Row],[Continent]]))</f>
        <v>4</v>
      </c>
      <c r="J1809" s="64">
        <f>LEN(TRIM(Table22[[#This Row],[Product]]))</f>
        <v>6</v>
      </c>
      <c r="K1809" s="64">
        <f>LEN(TRIM(Table22[[#This Row],[Sales Team]]))</f>
        <v>10</v>
      </c>
      <c r="L1809" s="23">
        <v>8</v>
      </c>
      <c r="M1809" s="65" t="str" cm="1">
        <f t="array" ref="M1809">_xlfn.IFS(Table22[[#This Row],[Units Sold]]&lt;40,"Critical",Table22[[#This Row],[Units Sold]]&lt;=50,"Poor",Table22[[#This Row],[Units Sold]]&lt;=60,"Low",Table22[[#This Row],[Units Sold]]&lt;=80,"Average",Table22[[#This Row],[Units Sold]]&lt;=90,"High",Table22[[#This Row],[Units Sold]]&lt;=95,"Excellent",Table22[[#This Row],[Units Sold]]&gt;95,"Outstanding")</f>
        <v>Critical</v>
      </c>
      <c r="N1809" s="29">
        <v>492.88</v>
      </c>
      <c r="O1809" s="29">
        <v>3943.04</v>
      </c>
      <c r="P1809" s="43">
        <f>IF(Table22[[#This Row],[Discount Applied]],Table22[[#This Row],[Total Sales (in USD)]]*(1-Table22[[#This Row],[Discount Percentage (%)]]/100),Table22[[#This Row],[Total Sales (in USD)]])</f>
        <v>3943.04</v>
      </c>
      <c r="Q1809" s="66">
        <f>SQRT(AVERAGE((Table22[[#This Row],[Net Sales (after discount) (in USD)]]-AVERAGE(Table22[Net Sales (after discount) (in USD)]))^2))</f>
        <v>32568.320563764537</v>
      </c>
      <c r="R1809" s="18" t="b">
        <v>1</v>
      </c>
      <c r="S1809" s="40">
        <v>4.67</v>
      </c>
      <c r="T1809" s="18" t="b">
        <v>0</v>
      </c>
      <c r="U1809" s="25">
        <v>45151</v>
      </c>
      <c r="V1809" s="63" t="str">
        <f>IF(MONTH(Table22[[#This Row],[Sales Date]])&lt;=3,"Q1",IF(MONTH(Table22[[#This Row],[Sales Date]])&lt;=6,"Q2",IF(MONTH(Table22[[#This Row],[Sales Date]])&lt;=9,"Q3","Q4")))</f>
        <v>Q3</v>
      </c>
      <c r="W1809" s="64">
        <f>YEAR(Table22[[#This Row],[Sales Date]])</f>
        <v>2023</v>
      </c>
      <c r="X1809" s="23">
        <v>45</v>
      </c>
      <c r="Y1809" s="18" t="s">
        <v>49</v>
      </c>
      <c r="Z1809" s="18" t="s">
        <v>56</v>
      </c>
      <c r="AA1809" s="19" t="s">
        <v>25</v>
      </c>
    </row>
    <row r="1810" spans="1:27" x14ac:dyDescent="0.25">
      <c r="A1810" s="17" t="s">
        <v>1790</v>
      </c>
      <c r="B1810" s="18" t="s">
        <v>76</v>
      </c>
      <c r="C1810" s="63" t="str" cm="1">
        <f t="array" ref="C1810">_xlfn.SWITCH(Table22[[#This Row],[Country]],"USA","North America","Canada","North America","Brazil","South America","China","Asia","Japan","Asia","India","Asia","France","Europe","Germany","Europe","UK","Europe","Australia","Oceania","South America")</f>
        <v>Asia</v>
      </c>
      <c r="D1810" s="18" t="s">
        <v>28</v>
      </c>
      <c r="E1810" s="18" t="s">
        <v>19</v>
      </c>
      <c r="F1810" s="18" t="s">
        <v>20</v>
      </c>
      <c r="G1810" s="18" t="s">
        <v>22</v>
      </c>
      <c r="H1810" s="64">
        <f>LEN(TRIM(Table22[[#This Row],[Country]]))</f>
        <v>5</v>
      </c>
      <c r="I1810" s="64">
        <f>LEN(TRIM(Table22[[#This Row],[Continent]]))</f>
        <v>4</v>
      </c>
      <c r="J1810" s="64">
        <f>LEN(TRIM(Table22[[#This Row],[Product]]))</f>
        <v>6</v>
      </c>
      <c r="K1810" s="64">
        <f>LEN(TRIM(Table22[[#This Row],[Sales Team]]))</f>
        <v>10</v>
      </c>
      <c r="L1810" s="23">
        <v>4</v>
      </c>
      <c r="M1810" s="65" t="str" cm="1">
        <f t="array" ref="M1810">_xlfn.IFS(Table22[[#This Row],[Units Sold]]&lt;40,"Critical",Table22[[#This Row],[Units Sold]]&lt;=50,"Poor",Table22[[#This Row],[Units Sold]]&lt;=60,"Low",Table22[[#This Row],[Units Sold]]&lt;=80,"Average",Table22[[#This Row],[Units Sold]]&lt;=90,"High",Table22[[#This Row],[Units Sold]]&lt;=95,"Excellent",Table22[[#This Row],[Units Sold]]&gt;95,"Outstanding")</f>
        <v>Critical</v>
      </c>
      <c r="N1810" s="29">
        <v>981.67</v>
      </c>
      <c r="O1810" s="29">
        <v>3926.68</v>
      </c>
      <c r="P1810" s="43">
        <f>IF(Table22[[#This Row],[Discount Applied]],Table22[[#This Row],[Total Sales (in USD)]]*(1-Table22[[#This Row],[Discount Percentage (%)]]/100),Table22[[#This Row],[Total Sales (in USD)]])</f>
        <v>2968.9627479999999</v>
      </c>
      <c r="Q1810" s="66">
        <f>SQRT(AVERAGE((Table22[[#This Row],[Net Sales (after discount) (in USD)]]-AVERAGE(Table22[Net Sales (after discount) (in USD)]))^2))</f>
        <v>33542.39781576454</v>
      </c>
      <c r="R1810" s="18" t="b">
        <v>0</v>
      </c>
      <c r="S1810" s="40">
        <v>24.39</v>
      </c>
      <c r="T1810" s="18" t="b">
        <v>1</v>
      </c>
      <c r="U1810" s="25">
        <v>45160</v>
      </c>
      <c r="V1810" s="63" t="str">
        <f>IF(MONTH(Table22[[#This Row],[Sales Date]])&lt;=3,"Q1",IF(MONTH(Table22[[#This Row],[Sales Date]])&lt;=6,"Q2",IF(MONTH(Table22[[#This Row],[Sales Date]])&lt;=9,"Q3","Q4")))</f>
        <v>Q3</v>
      </c>
      <c r="W1810" s="64">
        <f>YEAR(Table22[[#This Row],[Sales Date]])</f>
        <v>2023</v>
      </c>
      <c r="X1810" s="23">
        <v>57</v>
      </c>
      <c r="Y1810" s="18" t="s">
        <v>23</v>
      </c>
      <c r="Z1810" s="18" t="s">
        <v>24</v>
      </c>
      <c r="AA1810" s="19" t="s">
        <v>25</v>
      </c>
    </row>
    <row r="1811" spans="1:27" x14ac:dyDescent="0.25">
      <c r="A1811" s="17" t="s">
        <v>1820</v>
      </c>
      <c r="B1811" s="18" t="s">
        <v>72</v>
      </c>
      <c r="C1811" s="63" t="str" cm="1">
        <f t="array" ref="C1811">_xlfn.SWITCH(Table22[[#This Row],[Country]],"USA","North America","Canada","North America","Brazil","South America","China","Asia","Japan","Asia","India","Asia","France","Europe","Germany","Europe","UK","Europe","Australia","Oceania","South America")</f>
        <v>North America</v>
      </c>
      <c r="D1811" s="18" t="s">
        <v>28</v>
      </c>
      <c r="E1811" s="18" t="s">
        <v>39</v>
      </c>
      <c r="F1811" s="18" t="s">
        <v>47</v>
      </c>
      <c r="G1811" s="18" t="s">
        <v>22</v>
      </c>
      <c r="H1811" s="64">
        <f>LEN(TRIM(Table22[[#This Row],[Country]]))</f>
        <v>3</v>
      </c>
      <c r="I1811" s="64">
        <f>LEN(TRIM(Table22[[#This Row],[Continent]]))</f>
        <v>13</v>
      </c>
      <c r="J1811" s="64">
        <f>LEN(TRIM(Table22[[#This Row],[Product]]))</f>
        <v>10</v>
      </c>
      <c r="K1811" s="64">
        <f>LEN(TRIM(Table22[[#This Row],[Sales Team]]))</f>
        <v>10</v>
      </c>
      <c r="L1811" s="23">
        <v>26</v>
      </c>
      <c r="M1811" s="65" t="str" cm="1">
        <f t="array" ref="M1811">_xlfn.IFS(Table22[[#This Row],[Units Sold]]&lt;40,"Critical",Table22[[#This Row],[Units Sold]]&lt;=50,"Poor",Table22[[#This Row],[Units Sold]]&lt;=60,"Low",Table22[[#This Row],[Units Sold]]&lt;=80,"Average",Table22[[#This Row],[Units Sold]]&lt;=90,"High",Table22[[#This Row],[Units Sold]]&lt;=95,"Excellent",Table22[[#This Row],[Units Sold]]&gt;95,"Outstanding")</f>
        <v>Critical</v>
      </c>
      <c r="N1811" s="29">
        <v>149.33000000000001</v>
      </c>
      <c r="O1811" s="29">
        <v>3882.58</v>
      </c>
      <c r="P1811" s="43">
        <f>IF(Table22[[#This Row],[Discount Applied]],Table22[[#This Row],[Total Sales (in USD)]]*(1-Table22[[#This Row],[Discount Percentage (%)]]/100),Table22[[#This Row],[Total Sales (in USD)]])</f>
        <v>3173.6208919999999</v>
      </c>
      <c r="Q1811" s="66">
        <f>SQRT(AVERAGE((Table22[[#This Row],[Net Sales (after discount) (in USD)]]-AVERAGE(Table22[Net Sales (after discount) (in USD)]))^2))</f>
        <v>33337.739671764539</v>
      </c>
      <c r="R1811" s="18" t="b">
        <v>1</v>
      </c>
      <c r="S1811" s="40">
        <v>18.260000000000002</v>
      </c>
      <c r="T1811" s="18" t="b">
        <v>1</v>
      </c>
      <c r="U1811" s="25">
        <v>45311</v>
      </c>
      <c r="V1811" s="63" t="str">
        <f>IF(MONTH(Table22[[#This Row],[Sales Date]])&lt;=3,"Q1",IF(MONTH(Table22[[#This Row],[Sales Date]])&lt;=6,"Q2",IF(MONTH(Table22[[#This Row],[Sales Date]])&lt;=9,"Q3","Q4")))</f>
        <v>Q1</v>
      </c>
      <c r="W1811" s="64">
        <f>YEAR(Table22[[#This Row],[Sales Date]])</f>
        <v>2024</v>
      </c>
      <c r="X1811" s="23">
        <v>53</v>
      </c>
      <c r="Y1811" s="18" t="s">
        <v>41</v>
      </c>
      <c r="Z1811" s="18" t="s">
        <v>30</v>
      </c>
      <c r="AA1811" s="19" t="s">
        <v>36</v>
      </c>
    </row>
    <row r="1812" spans="1:27" x14ac:dyDescent="0.25">
      <c r="A1812" s="17" t="s">
        <v>261</v>
      </c>
      <c r="B1812" s="18" t="s">
        <v>51</v>
      </c>
      <c r="C1812" s="63" t="str" cm="1">
        <f t="array" ref="C1812">_xlfn.SWITCH(Table22[[#This Row],[Country]],"USA","North America","Canada","North America","Brazil","South America","China","Asia","Japan","Asia","India","Asia","France","Europe","Germany","Europe","UK","Europe","Australia","Oceania","South America")</f>
        <v>Europe</v>
      </c>
      <c r="D1812" s="18" t="s">
        <v>35</v>
      </c>
      <c r="E1812" s="18" t="s">
        <v>19</v>
      </c>
      <c r="F1812" s="18" t="s">
        <v>47</v>
      </c>
      <c r="G1812" s="18" t="s">
        <v>48</v>
      </c>
      <c r="H1812" s="64">
        <f>LEN(TRIM(Table22[[#This Row],[Country]]))</f>
        <v>2</v>
      </c>
      <c r="I1812" s="64">
        <f>LEN(TRIM(Table22[[#This Row],[Continent]]))</f>
        <v>6</v>
      </c>
      <c r="J1812" s="64">
        <f>LEN(TRIM(Table22[[#This Row],[Product]]))</f>
        <v>6</v>
      </c>
      <c r="K1812" s="64">
        <f>LEN(TRIM(Table22[[#This Row],[Sales Team]]))</f>
        <v>9</v>
      </c>
      <c r="L1812" s="23">
        <v>59</v>
      </c>
      <c r="M1812" s="65" t="str" cm="1">
        <f t="array" ref="M1812">_xlfn.IFS(Table22[[#This Row],[Units Sold]]&lt;40,"Critical",Table22[[#This Row],[Units Sold]]&lt;=50,"Poor",Table22[[#This Row],[Units Sold]]&lt;=60,"Low",Table22[[#This Row],[Units Sold]]&lt;=80,"Average",Table22[[#This Row],[Units Sold]]&lt;=90,"High",Table22[[#This Row],[Units Sold]]&lt;=95,"Excellent",Table22[[#This Row],[Units Sold]]&gt;95,"Outstanding")</f>
        <v>Low</v>
      </c>
      <c r="N1812" s="29">
        <v>65.47</v>
      </c>
      <c r="O1812" s="29">
        <v>3862.73</v>
      </c>
      <c r="P1812" s="43">
        <f>IF(Table22[[#This Row],[Discount Applied]],Table22[[#This Row],[Total Sales (in USD)]]*(1-Table22[[#This Row],[Discount Percentage (%)]]/100),Table22[[#This Row],[Total Sales (in USD)]])</f>
        <v>3600.0643599999999</v>
      </c>
      <c r="Q1812" s="66">
        <f>SQRT(AVERAGE((Table22[[#This Row],[Net Sales (after discount) (in USD)]]-AVERAGE(Table22[Net Sales (after discount) (in USD)]))^2))</f>
        <v>32911.296203764541</v>
      </c>
      <c r="R1812" s="18" t="b">
        <v>0</v>
      </c>
      <c r="S1812" s="40">
        <v>6.8</v>
      </c>
      <c r="T1812" s="18" t="b">
        <v>1</v>
      </c>
      <c r="U1812" s="25">
        <v>45073</v>
      </c>
      <c r="V1812" s="63" t="str">
        <f>IF(MONTH(Table22[[#This Row],[Sales Date]])&lt;=3,"Q1",IF(MONTH(Table22[[#This Row],[Sales Date]])&lt;=6,"Q2",IF(MONTH(Table22[[#This Row],[Sales Date]])&lt;=9,"Q3","Q4")))</f>
        <v>Q2</v>
      </c>
      <c r="W1812" s="64">
        <f>YEAR(Table22[[#This Row],[Sales Date]])</f>
        <v>2023</v>
      </c>
      <c r="X1812" s="23">
        <v>53</v>
      </c>
      <c r="Y1812" s="18" t="s">
        <v>23</v>
      </c>
      <c r="Z1812" s="18" t="s">
        <v>30</v>
      </c>
      <c r="AA1812" s="19" t="s">
        <v>36</v>
      </c>
    </row>
    <row r="1813" spans="1:27" x14ac:dyDescent="0.25">
      <c r="A1813" s="17" t="s">
        <v>31</v>
      </c>
      <c r="B1813" s="18" t="s">
        <v>32</v>
      </c>
      <c r="C1813" s="63" t="str" cm="1">
        <f t="array" ref="C1813">_xlfn.SWITCH(Table22[[#This Row],[Country]],"USA","North America","Canada","North America","Brazil","South America","China","Asia","Japan","Asia","India","Asia","France","Europe","Germany","Europe","UK","Europe","Australia","Oceania","South America")</f>
        <v>Asia</v>
      </c>
      <c r="D1813" s="18" t="s">
        <v>35</v>
      </c>
      <c r="E1813" s="18" t="s">
        <v>33</v>
      </c>
      <c r="F1813" s="18" t="s">
        <v>34</v>
      </c>
      <c r="G1813" s="18" t="s">
        <v>22</v>
      </c>
      <c r="H1813" s="64">
        <f>LEN(TRIM(Table22[[#This Row],[Country]]))</f>
        <v>5</v>
      </c>
      <c r="I1813" s="64">
        <f>LEN(TRIM(Table22[[#This Row],[Continent]]))</f>
        <v>4</v>
      </c>
      <c r="J1813" s="64">
        <f>LEN(TRIM(Table22[[#This Row],[Product]]))</f>
        <v>10</v>
      </c>
      <c r="K1813" s="64">
        <f>LEN(TRIM(Table22[[#This Row],[Sales Team]]))</f>
        <v>10</v>
      </c>
      <c r="L1813" s="23">
        <v>4</v>
      </c>
      <c r="M1813" s="65" t="str" cm="1">
        <f t="array" ref="M1813">_xlfn.IFS(Table22[[#This Row],[Units Sold]]&lt;40,"Critical",Table22[[#This Row],[Units Sold]]&lt;=50,"Poor",Table22[[#This Row],[Units Sold]]&lt;=60,"Low",Table22[[#This Row],[Units Sold]]&lt;=80,"Average",Table22[[#This Row],[Units Sold]]&lt;=90,"High",Table22[[#This Row],[Units Sold]]&lt;=95,"Excellent",Table22[[#This Row],[Units Sold]]&gt;95,"Outstanding")</f>
        <v>Critical</v>
      </c>
      <c r="N1813" s="29">
        <v>965</v>
      </c>
      <c r="O1813" s="29">
        <v>3860</v>
      </c>
      <c r="P1813" s="43">
        <f>IF(Table22[[#This Row],[Discount Applied]],Table22[[#This Row],[Total Sales (in USD)]]*(1-Table22[[#This Row],[Discount Percentage (%)]]/100),Table22[[#This Row],[Total Sales (in USD)]])</f>
        <v>3860</v>
      </c>
      <c r="Q1813" s="66">
        <f>SQRT(AVERAGE((Table22[[#This Row],[Net Sales (after discount) (in USD)]]-AVERAGE(Table22[Net Sales (after discount) (in USD)]))^2))</f>
        <v>32651.360563764538</v>
      </c>
      <c r="R1813" s="18" t="b">
        <v>0</v>
      </c>
      <c r="S1813" s="40">
        <v>10.68</v>
      </c>
      <c r="T1813" s="18" t="b">
        <v>0</v>
      </c>
      <c r="U1813" s="25">
        <v>45005</v>
      </c>
      <c r="V1813" s="63" t="str">
        <f>IF(MONTH(Table22[[#This Row],[Sales Date]])&lt;=3,"Q1",IF(MONTH(Table22[[#This Row],[Sales Date]])&lt;=6,"Q2",IF(MONTH(Table22[[#This Row],[Sales Date]])&lt;=9,"Q3","Q4")))</f>
        <v>Q1</v>
      </c>
      <c r="W1813" s="64">
        <f>YEAR(Table22[[#This Row],[Sales Date]])</f>
        <v>2023</v>
      </c>
      <c r="X1813" s="23">
        <v>31</v>
      </c>
      <c r="Y1813" s="18" t="s">
        <v>23</v>
      </c>
      <c r="Z1813" s="18" t="s">
        <v>24</v>
      </c>
      <c r="AA1813" s="19" t="s">
        <v>36</v>
      </c>
    </row>
    <row r="1814" spans="1:27" x14ac:dyDescent="0.25">
      <c r="A1814" s="17" t="s">
        <v>1186</v>
      </c>
      <c r="B1814" s="18" t="s">
        <v>38</v>
      </c>
      <c r="C1814" s="63" t="str" cm="1">
        <f t="array" ref="C1814">_xlfn.SWITCH(Table22[[#This Row],[Country]],"USA","North America","Canada","North America","Brazil","South America","China","Asia","Japan","Asia","India","Asia","France","Europe","Germany","Europe","UK","Europe","Australia","Oceania","South America")</f>
        <v>Europe</v>
      </c>
      <c r="D1814" s="18" t="s">
        <v>28</v>
      </c>
      <c r="E1814" s="18" t="s">
        <v>19</v>
      </c>
      <c r="F1814" s="18" t="s">
        <v>64</v>
      </c>
      <c r="G1814" s="18" t="s">
        <v>29</v>
      </c>
      <c r="H1814" s="64">
        <f>LEN(TRIM(Table22[[#This Row],[Country]]))</f>
        <v>6</v>
      </c>
      <c r="I1814" s="64">
        <f>LEN(TRIM(Table22[[#This Row],[Continent]]))</f>
        <v>6</v>
      </c>
      <c r="J1814" s="64">
        <f>LEN(TRIM(Table22[[#This Row],[Product]]))</f>
        <v>6</v>
      </c>
      <c r="K1814" s="64">
        <f>LEN(TRIM(Table22[[#This Row],[Sales Team]]))</f>
        <v>10</v>
      </c>
      <c r="L1814" s="23">
        <v>13</v>
      </c>
      <c r="M1814" s="65" t="str" cm="1">
        <f t="array" ref="M1814">_xlfn.IFS(Table22[[#This Row],[Units Sold]]&lt;40,"Critical",Table22[[#This Row],[Units Sold]]&lt;=50,"Poor",Table22[[#This Row],[Units Sold]]&lt;=60,"Low",Table22[[#This Row],[Units Sold]]&lt;=80,"Average",Table22[[#This Row],[Units Sold]]&lt;=90,"High",Table22[[#This Row],[Units Sold]]&lt;=95,"Excellent",Table22[[#This Row],[Units Sold]]&gt;95,"Outstanding")</f>
        <v>Critical</v>
      </c>
      <c r="N1814" s="29">
        <v>296.69</v>
      </c>
      <c r="O1814" s="29">
        <v>3856.97</v>
      </c>
      <c r="P1814" s="43">
        <f>IF(Table22[[#This Row],[Discount Applied]],Table22[[#This Row],[Total Sales (in USD)]]*(1-Table22[[#This Row],[Discount Percentage (%)]]/100),Table22[[#This Row],[Total Sales (in USD)]])</f>
        <v>3605.881253</v>
      </c>
      <c r="Q1814" s="66">
        <f>SQRT(AVERAGE((Table22[[#This Row],[Net Sales (after discount) (in USD)]]-AVERAGE(Table22[Net Sales (after discount) (in USD)]))^2))</f>
        <v>32905.479310764538</v>
      </c>
      <c r="R1814" s="18" t="b">
        <v>0</v>
      </c>
      <c r="S1814" s="40">
        <v>6.51</v>
      </c>
      <c r="T1814" s="18" t="b">
        <v>1</v>
      </c>
      <c r="U1814" s="25">
        <v>45414</v>
      </c>
      <c r="V1814" s="63" t="str">
        <f>IF(MONTH(Table22[[#This Row],[Sales Date]])&lt;=3,"Q1",IF(MONTH(Table22[[#This Row],[Sales Date]])&lt;=6,"Q2",IF(MONTH(Table22[[#This Row],[Sales Date]])&lt;=9,"Q3","Q4")))</f>
        <v>Q2</v>
      </c>
      <c r="W1814" s="64">
        <f>YEAR(Table22[[#This Row],[Sales Date]])</f>
        <v>2024</v>
      </c>
      <c r="X1814" s="23">
        <v>68</v>
      </c>
      <c r="Y1814" s="18" t="s">
        <v>41</v>
      </c>
      <c r="Z1814" s="18" t="s">
        <v>42</v>
      </c>
      <c r="AA1814" s="19" t="s">
        <v>25</v>
      </c>
    </row>
    <row r="1815" spans="1:27" x14ac:dyDescent="0.25">
      <c r="A1815" s="17" t="s">
        <v>643</v>
      </c>
      <c r="B1815" s="18" t="s">
        <v>27</v>
      </c>
      <c r="C1815" s="63" t="str" cm="1">
        <f t="array" ref="C1815">_xlfn.SWITCH(Table22[[#This Row],[Country]],"USA","North America","Canada","North America","Brazil","South America","China","Asia","Japan","Asia","India","Asia","France","Europe","Germany","Europe","UK","Europe","Australia","Oceania","South America")</f>
        <v>Europe</v>
      </c>
      <c r="D1815" s="18" t="s">
        <v>28</v>
      </c>
      <c r="E1815" s="18" t="s">
        <v>33</v>
      </c>
      <c r="F1815" s="18" t="s">
        <v>52</v>
      </c>
      <c r="G1815" s="18" t="s">
        <v>22</v>
      </c>
      <c r="H1815" s="64">
        <f>LEN(TRIM(Table22[[#This Row],[Country]]))</f>
        <v>7</v>
      </c>
      <c r="I1815" s="64">
        <f>LEN(TRIM(Table22[[#This Row],[Continent]]))</f>
        <v>6</v>
      </c>
      <c r="J1815" s="64">
        <f>LEN(TRIM(Table22[[#This Row],[Product]]))</f>
        <v>10</v>
      </c>
      <c r="K1815" s="64">
        <f>LEN(TRIM(Table22[[#This Row],[Sales Team]]))</f>
        <v>10</v>
      </c>
      <c r="L1815" s="23">
        <v>73</v>
      </c>
      <c r="M1815" s="65" t="str" cm="1">
        <f t="array" ref="M1815">_xlfn.IFS(Table22[[#This Row],[Units Sold]]&lt;40,"Critical",Table22[[#This Row],[Units Sold]]&lt;=50,"Poor",Table22[[#This Row],[Units Sold]]&lt;=60,"Low",Table22[[#This Row],[Units Sold]]&lt;=80,"Average",Table22[[#This Row],[Units Sold]]&lt;=90,"High",Table22[[#This Row],[Units Sold]]&lt;=95,"Excellent",Table22[[#This Row],[Units Sold]]&gt;95,"Outstanding")</f>
        <v>Average</v>
      </c>
      <c r="N1815" s="29">
        <v>52.3</v>
      </c>
      <c r="O1815" s="29">
        <v>3817.9</v>
      </c>
      <c r="P1815" s="43">
        <f>IF(Table22[[#This Row],[Discount Applied]],Table22[[#This Row],[Total Sales (in USD)]]*(1-Table22[[#This Row],[Discount Percentage (%)]]/100),Table22[[#This Row],[Total Sales (in USD)]])</f>
        <v>3510.1772599999999</v>
      </c>
      <c r="Q1815" s="66">
        <f>SQRT(AVERAGE((Table22[[#This Row],[Net Sales (after discount) (in USD)]]-AVERAGE(Table22[Net Sales (after discount) (in USD)]))^2))</f>
        <v>33001.183303764541</v>
      </c>
      <c r="R1815" s="18" t="b">
        <v>0</v>
      </c>
      <c r="S1815" s="40">
        <v>8.06</v>
      </c>
      <c r="T1815" s="18" t="b">
        <v>1</v>
      </c>
      <c r="U1815" s="25">
        <v>45335</v>
      </c>
      <c r="V1815" s="63" t="str">
        <f>IF(MONTH(Table22[[#This Row],[Sales Date]])&lt;=3,"Q1",IF(MONTH(Table22[[#This Row],[Sales Date]])&lt;=6,"Q2",IF(MONTH(Table22[[#This Row],[Sales Date]])&lt;=9,"Q3","Q4")))</f>
        <v>Q1</v>
      </c>
      <c r="W1815" s="64">
        <f>YEAR(Table22[[#This Row],[Sales Date]])</f>
        <v>2024</v>
      </c>
      <c r="X1815" s="23">
        <v>36</v>
      </c>
      <c r="Y1815" s="18" t="s">
        <v>49</v>
      </c>
      <c r="Z1815" s="18" t="s">
        <v>30</v>
      </c>
      <c r="AA1815" s="19" t="s">
        <v>25</v>
      </c>
    </row>
    <row r="1816" spans="1:27" x14ac:dyDescent="0.25">
      <c r="A1816" s="17" t="s">
        <v>305</v>
      </c>
      <c r="B1816" s="18" t="s">
        <v>32</v>
      </c>
      <c r="C1816" s="63" t="str" cm="1">
        <f t="array" ref="C1816">_xlfn.SWITCH(Table22[[#This Row],[Country]],"USA","North America","Canada","North America","Brazil","South America","China","Asia","Japan","Asia","India","Asia","France","Europe","Germany","Europe","UK","Europe","Australia","Oceania","South America")</f>
        <v>Asia</v>
      </c>
      <c r="D1816" s="18" t="s">
        <v>35</v>
      </c>
      <c r="E1816" s="18" t="s">
        <v>33</v>
      </c>
      <c r="F1816" s="18" t="s">
        <v>47</v>
      </c>
      <c r="G1816" s="18" t="s">
        <v>40</v>
      </c>
      <c r="H1816" s="64">
        <f>LEN(TRIM(Table22[[#This Row],[Country]]))</f>
        <v>5</v>
      </c>
      <c r="I1816" s="64">
        <f>LEN(TRIM(Table22[[#This Row],[Continent]]))</f>
        <v>4</v>
      </c>
      <c r="J1816" s="64">
        <f>LEN(TRIM(Table22[[#This Row],[Product]]))</f>
        <v>10</v>
      </c>
      <c r="K1816" s="64">
        <f>LEN(TRIM(Table22[[#This Row],[Sales Team]]))</f>
        <v>10</v>
      </c>
      <c r="L1816" s="23">
        <v>16</v>
      </c>
      <c r="M1816" s="65" t="str" cm="1">
        <f t="array" ref="M1816">_xlfn.IFS(Table22[[#This Row],[Units Sold]]&lt;40,"Critical",Table22[[#This Row],[Units Sold]]&lt;=50,"Poor",Table22[[#This Row],[Units Sold]]&lt;=60,"Low",Table22[[#This Row],[Units Sold]]&lt;=80,"Average",Table22[[#This Row],[Units Sold]]&lt;=90,"High",Table22[[#This Row],[Units Sold]]&lt;=95,"Excellent",Table22[[#This Row],[Units Sold]]&gt;95,"Outstanding")</f>
        <v>Critical</v>
      </c>
      <c r="N1816" s="29">
        <v>238.35</v>
      </c>
      <c r="O1816" s="29">
        <v>3813.6</v>
      </c>
      <c r="P1816" s="43">
        <f>IF(Table22[[#This Row],[Discount Applied]],Table22[[#This Row],[Total Sales (in USD)]]*(1-Table22[[#This Row],[Discount Percentage (%)]]/100),Table22[[#This Row],[Total Sales (in USD)]])</f>
        <v>3813.6</v>
      </c>
      <c r="Q1816" s="66">
        <f>SQRT(AVERAGE((Table22[[#This Row],[Net Sales (after discount) (in USD)]]-AVERAGE(Table22[Net Sales (after discount) (in USD)]))^2))</f>
        <v>32697.760563764539</v>
      </c>
      <c r="R1816" s="18" t="b">
        <v>0</v>
      </c>
      <c r="S1816" s="40">
        <v>1.38</v>
      </c>
      <c r="T1816" s="18" t="b">
        <v>0</v>
      </c>
      <c r="U1816" s="25">
        <v>44964</v>
      </c>
      <c r="V1816" s="63" t="str">
        <f>IF(MONTH(Table22[[#This Row],[Sales Date]])&lt;=3,"Q1",IF(MONTH(Table22[[#This Row],[Sales Date]])&lt;=6,"Q2",IF(MONTH(Table22[[#This Row],[Sales Date]])&lt;=9,"Q3","Q4")))</f>
        <v>Q1</v>
      </c>
      <c r="W1816" s="64">
        <f>YEAR(Table22[[#This Row],[Sales Date]])</f>
        <v>2023</v>
      </c>
      <c r="X1816" s="23">
        <v>25</v>
      </c>
      <c r="Y1816" s="18" t="s">
        <v>23</v>
      </c>
      <c r="Z1816" s="18" t="s">
        <v>56</v>
      </c>
      <c r="AA1816" s="19" t="s">
        <v>25</v>
      </c>
    </row>
    <row r="1817" spans="1:27" x14ac:dyDescent="0.25">
      <c r="A1817" s="17" t="s">
        <v>1923</v>
      </c>
      <c r="B1817" s="18" t="s">
        <v>18</v>
      </c>
      <c r="C1817" s="63" t="str" cm="1">
        <f t="array" ref="C1817">_xlfn.SWITCH(Table22[[#This Row],[Country]],"USA","North America","Canada","North America","Brazil","South America","China","Asia","Japan","Asia","India","Asia","France","Europe","Germany","Europe","UK","Europe","Australia","Oceania","South America")</f>
        <v>Asia</v>
      </c>
      <c r="D1817" s="18" t="s">
        <v>35</v>
      </c>
      <c r="E1817" s="18" t="s">
        <v>19</v>
      </c>
      <c r="F1817" s="18" t="s">
        <v>34</v>
      </c>
      <c r="G1817" s="18" t="s">
        <v>48</v>
      </c>
      <c r="H1817" s="64">
        <f>LEN(TRIM(Table22[[#This Row],[Country]]))</f>
        <v>5</v>
      </c>
      <c r="I1817" s="64">
        <f>LEN(TRIM(Table22[[#This Row],[Continent]]))</f>
        <v>4</v>
      </c>
      <c r="J1817" s="64">
        <f>LEN(TRIM(Table22[[#This Row],[Product]]))</f>
        <v>6</v>
      </c>
      <c r="K1817" s="64">
        <f>LEN(TRIM(Table22[[#This Row],[Sales Team]]))</f>
        <v>9</v>
      </c>
      <c r="L1817" s="23">
        <v>59</v>
      </c>
      <c r="M1817" s="65" t="str" cm="1">
        <f t="array" ref="M1817">_xlfn.IFS(Table22[[#This Row],[Units Sold]]&lt;40,"Critical",Table22[[#This Row],[Units Sold]]&lt;=50,"Poor",Table22[[#This Row],[Units Sold]]&lt;=60,"Low",Table22[[#This Row],[Units Sold]]&lt;=80,"Average",Table22[[#This Row],[Units Sold]]&lt;=90,"High",Table22[[#This Row],[Units Sold]]&lt;=95,"Excellent",Table22[[#This Row],[Units Sold]]&gt;95,"Outstanding")</f>
        <v>Low</v>
      </c>
      <c r="N1817" s="29">
        <v>64.599999999999994</v>
      </c>
      <c r="O1817" s="29">
        <v>3811.4</v>
      </c>
      <c r="P1817" s="43">
        <f>IF(Table22[[#This Row],[Discount Applied]],Table22[[#This Row],[Total Sales (in USD)]]*(1-Table22[[#This Row],[Discount Percentage (%)]]/100),Table22[[#This Row],[Total Sales (in USD)]])</f>
        <v>3612.4449199999999</v>
      </c>
      <c r="Q1817" s="66">
        <f>SQRT(AVERAGE((Table22[[#This Row],[Net Sales (after discount) (in USD)]]-AVERAGE(Table22[Net Sales (after discount) (in USD)]))^2))</f>
        <v>32898.915643764536</v>
      </c>
      <c r="R1817" s="18" t="b">
        <v>1</v>
      </c>
      <c r="S1817" s="40">
        <v>5.22</v>
      </c>
      <c r="T1817" s="18" t="b">
        <v>1</v>
      </c>
      <c r="U1817" s="25">
        <v>45381</v>
      </c>
      <c r="V1817" s="63" t="str">
        <f>IF(MONTH(Table22[[#This Row],[Sales Date]])&lt;=3,"Q1",IF(MONTH(Table22[[#This Row],[Sales Date]])&lt;=6,"Q2",IF(MONTH(Table22[[#This Row],[Sales Date]])&lt;=9,"Q3","Q4")))</f>
        <v>Q1</v>
      </c>
      <c r="W1817" s="64">
        <f>YEAR(Table22[[#This Row],[Sales Date]])</f>
        <v>2024</v>
      </c>
      <c r="X1817" s="23">
        <v>47</v>
      </c>
      <c r="Y1817" s="18" t="s">
        <v>23</v>
      </c>
      <c r="Z1817" s="18" t="s">
        <v>42</v>
      </c>
      <c r="AA1817" s="19" t="s">
        <v>36</v>
      </c>
    </row>
    <row r="1818" spans="1:27" x14ac:dyDescent="0.25">
      <c r="A1818" s="17" t="s">
        <v>1468</v>
      </c>
      <c r="B1818" s="18" t="s">
        <v>72</v>
      </c>
      <c r="C1818" s="63" t="str" cm="1">
        <f t="array" ref="C1818">_xlfn.SWITCH(Table22[[#This Row],[Country]],"USA","North America","Canada","North America","Brazil","South America","China","Asia","Japan","Asia","India","Asia","France","Europe","Germany","Europe","UK","Europe","Australia","Oceania","South America")</f>
        <v>North America</v>
      </c>
      <c r="D1818" s="18" t="s">
        <v>35</v>
      </c>
      <c r="E1818" s="18" t="s">
        <v>19</v>
      </c>
      <c r="F1818" s="18" t="s">
        <v>34</v>
      </c>
      <c r="G1818" s="18" t="s">
        <v>29</v>
      </c>
      <c r="H1818" s="64">
        <f>LEN(TRIM(Table22[[#This Row],[Country]]))</f>
        <v>3</v>
      </c>
      <c r="I1818" s="64">
        <f>LEN(TRIM(Table22[[#This Row],[Continent]]))</f>
        <v>13</v>
      </c>
      <c r="J1818" s="64">
        <f>LEN(TRIM(Table22[[#This Row],[Product]]))</f>
        <v>6</v>
      </c>
      <c r="K1818" s="64">
        <f>LEN(TRIM(Table22[[#This Row],[Sales Team]]))</f>
        <v>10</v>
      </c>
      <c r="L1818" s="23">
        <v>29</v>
      </c>
      <c r="M1818" s="65" t="str" cm="1">
        <f t="array" ref="M1818">_xlfn.IFS(Table22[[#This Row],[Units Sold]]&lt;40,"Critical",Table22[[#This Row],[Units Sold]]&lt;=50,"Poor",Table22[[#This Row],[Units Sold]]&lt;=60,"Low",Table22[[#This Row],[Units Sold]]&lt;=80,"Average",Table22[[#This Row],[Units Sold]]&lt;=90,"High",Table22[[#This Row],[Units Sold]]&lt;=95,"Excellent",Table22[[#This Row],[Units Sold]]&gt;95,"Outstanding")</f>
        <v>Critical</v>
      </c>
      <c r="N1818" s="29">
        <v>130.72999999999999</v>
      </c>
      <c r="O1818" s="29">
        <v>3791.17</v>
      </c>
      <c r="P1818" s="43">
        <f>IF(Table22[[#This Row],[Discount Applied]],Table22[[#This Row],[Total Sales (in USD)]]*(1-Table22[[#This Row],[Discount Percentage (%)]]/100),Table22[[#This Row],[Total Sales (in USD)]])</f>
        <v>3791.17</v>
      </c>
      <c r="Q1818" s="66">
        <f>SQRT(AVERAGE((Table22[[#This Row],[Net Sales (after discount) (in USD)]]-AVERAGE(Table22[Net Sales (after discount) (in USD)]))^2))</f>
        <v>32720.19056376454</v>
      </c>
      <c r="R1818" s="18" t="b">
        <v>0</v>
      </c>
      <c r="S1818" s="40">
        <v>26.71</v>
      </c>
      <c r="T1818" s="18" t="b">
        <v>0</v>
      </c>
      <c r="U1818" s="25">
        <v>45156</v>
      </c>
      <c r="V1818" s="63" t="str">
        <f>IF(MONTH(Table22[[#This Row],[Sales Date]])&lt;=3,"Q1",IF(MONTH(Table22[[#This Row],[Sales Date]])&lt;=6,"Q2",IF(MONTH(Table22[[#This Row],[Sales Date]])&lt;=9,"Q3","Q4")))</f>
        <v>Q3</v>
      </c>
      <c r="W1818" s="64">
        <f>YEAR(Table22[[#This Row],[Sales Date]])</f>
        <v>2023</v>
      </c>
      <c r="X1818" s="23">
        <v>53</v>
      </c>
      <c r="Y1818" s="18" t="s">
        <v>41</v>
      </c>
      <c r="Z1818" s="18" t="s">
        <v>24</v>
      </c>
      <c r="AA1818" s="19" t="s">
        <v>25</v>
      </c>
    </row>
    <row r="1819" spans="1:27" x14ac:dyDescent="0.25">
      <c r="A1819" s="17" t="s">
        <v>132</v>
      </c>
      <c r="B1819" s="18" t="s">
        <v>18</v>
      </c>
      <c r="C1819" s="63" t="str" cm="1">
        <f t="array" ref="C1819">_xlfn.SWITCH(Table22[[#This Row],[Country]],"USA","North America","Canada","North America","Brazil","South America","China","Asia","Japan","Asia","India","Asia","France","Europe","Germany","Europe","UK","Europe","Australia","Oceania","South America")</f>
        <v>Asia</v>
      </c>
      <c r="D1819" s="18" t="s">
        <v>21</v>
      </c>
      <c r="E1819" s="18" t="s">
        <v>33</v>
      </c>
      <c r="F1819" s="18" t="s">
        <v>64</v>
      </c>
      <c r="G1819" s="18" t="s">
        <v>40</v>
      </c>
      <c r="H1819" s="64">
        <f>LEN(TRIM(Table22[[#This Row],[Country]]))</f>
        <v>5</v>
      </c>
      <c r="I1819" s="64">
        <f>LEN(TRIM(Table22[[#This Row],[Continent]]))</f>
        <v>4</v>
      </c>
      <c r="J1819" s="64">
        <f>LEN(TRIM(Table22[[#This Row],[Product]]))</f>
        <v>10</v>
      </c>
      <c r="K1819" s="64">
        <f>LEN(TRIM(Table22[[#This Row],[Sales Team]]))</f>
        <v>10</v>
      </c>
      <c r="L1819" s="23">
        <v>6</v>
      </c>
      <c r="M1819" s="65" t="str" cm="1">
        <f t="array" ref="M1819">_xlfn.IFS(Table22[[#This Row],[Units Sold]]&lt;40,"Critical",Table22[[#This Row],[Units Sold]]&lt;=50,"Poor",Table22[[#This Row],[Units Sold]]&lt;=60,"Low",Table22[[#This Row],[Units Sold]]&lt;=80,"Average",Table22[[#This Row],[Units Sold]]&lt;=90,"High",Table22[[#This Row],[Units Sold]]&lt;=95,"Excellent",Table22[[#This Row],[Units Sold]]&gt;95,"Outstanding")</f>
        <v>Critical</v>
      </c>
      <c r="N1819" s="29">
        <v>628.71</v>
      </c>
      <c r="O1819" s="29">
        <v>3772.26</v>
      </c>
      <c r="P1819" s="43">
        <f>IF(Table22[[#This Row],[Discount Applied]],Table22[[#This Row],[Total Sales (in USD)]]*(1-Table22[[#This Row],[Discount Percentage (%)]]/100),Table22[[#This Row],[Total Sales (in USD)]])</f>
        <v>2832.5900340000003</v>
      </c>
      <c r="Q1819" s="66">
        <f>SQRT(AVERAGE((Table22[[#This Row],[Net Sales (after discount) (in USD)]]-AVERAGE(Table22[Net Sales (after discount) (in USD)]))^2))</f>
        <v>33678.770529764537</v>
      </c>
      <c r="R1819" s="18" t="b">
        <v>1</v>
      </c>
      <c r="S1819" s="40">
        <v>24.91</v>
      </c>
      <c r="T1819" s="18" t="b">
        <v>1</v>
      </c>
      <c r="U1819" s="25">
        <v>44960</v>
      </c>
      <c r="V1819" s="63" t="str">
        <f>IF(MONTH(Table22[[#This Row],[Sales Date]])&lt;=3,"Q1",IF(MONTH(Table22[[#This Row],[Sales Date]])&lt;=6,"Q2",IF(MONTH(Table22[[#This Row],[Sales Date]])&lt;=9,"Q3","Q4")))</f>
        <v>Q1</v>
      </c>
      <c r="W1819" s="64">
        <f>YEAR(Table22[[#This Row],[Sales Date]])</f>
        <v>2023</v>
      </c>
      <c r="X1819" s="23">
        <v>69</v>
      </c>
      <c r="Y1819" s="18" t="s">
        <v>23</v>
      </c>
      <c r="Z1819" s="18" t="s">
        <v>30</v>
      </c>
      <c r="AA1819" s="19" t="s">
        <v>25</v>
      </c>
    </row>
    <row r="1820" spans="1:27" x14ac:dyDescent="0.25">
      <c r="A1820" s="17" t="s">
        <v>834</v>
      </c>
      <c r="B1820" s="18" t="s">
        <v>66</v>
      </c>
      <c r="C1820" s="63" t="str" cm="1">
        <f t="array" ref="C1820">_xlfn.SWITCH(Table22[[#This Row],[Country]],"USA","North America","Canada","North America","Brazil","South America","China","Asia","Japan","Asia","India","Asia","France","Europe","Germany","Europe","UK","Europe","Australia","Oceania","South America")</f>
        <v>North America</v>
      </c>
      <c r="D1820" s="18" t="s">
        <v>35</v>
      </c>
      <c r="E1820" s="18" t="s">
        <v>19</v>
      </c>
      <c r="F1820" s="18" t="s">
        <v>34</v>
      </c>
      <c r="G1820" s="18" t="s">
        <v>29</v>
      </c>
      <c r="H1820" s="64">
        <f>LEN(TRIM(Table22[[#This Row],[Country]]))</f>
        <v>6</v>
      </c>
      <c r="I1820" s="64">
        <f>LEN(TRIM(Table22[[#This Row],[Continent]]))</f>
        <v>13</v>
      </c>
      <c r="J1820" s="64">
        <f>LEN(TRIM(Table22[[#This Row],[Product]]))</f>
        <v>6</v>
      </c>
      <c r="K1820" s="64">
        <f>LEN(TRIM(Table22[[#This Row],[Sales Team]]))</f>
        <v>10</v>
      </c>
      <c r="L1820" s="23">
        <v>72</v>
      </c>
      <c r="M1820" s="65" t="str" cm="1">
        <f t="array" ref="M1820">_xlfn.IFS(Table22[[#This Row],[Units Sold]]&lt;40,"Critical",Table22[[#This Row],[Units Sold]]&lt;=50,"Poor",Table22[[#This Row],[Units Sold]]&lt;=60,"Low",Table22[[#This Row],[Units Sold]]&lt;=80,"Average",Table22[[#This Row],[Units Sold]]&lt;=90,"High",Table22[[#This Row],[Units Sold]]&lt;=95,"Excellent",Table22[[#This Row],[Units Sold]]&gt;95,"Outstanding")</f>
        <v>Average</v>
      </c>
      <c r="N1820" s="29">
        <v>51.97</v>
      </c>
      <c r="O1820" s="29">
        <v>3741.84</v>
      </c>
      <c r="P1820" s="43">
        <f>IF(Table22[[#This Row],[Discount Applied]],Table22[[#This Row],[Total Sales (in USD)]]*(1-Table22[[#This Row],[Discount Percentage (%)]]/100),Table22[[#This Row],[Total Sales (in USD)]])</f>
        <v>3741.84</v>
      </c>
      <c r="Q1820" s="66">
        <f>SQRT(AVERAGE((Table22[[#This Row],[Net Sales (after discount) (in USD)]]-AVERAGE(Table22[Net Sales (after discount) (in USD)]))^2))</f>
        <v>32769.520563764541</v>
      </c>
      <c r="R1820" s="18" t="b">
        <v>0</v>
      </c>
      <c r="S1820" s="40">
        <v>27.94</v>
      </c>
      <c r="T1820" s="18" t="b">
        <v>0</v>
      </c>
      <c r="U1820" s="25">
        <v>44969</v>
      </c>
      <c r="V1820" s="63" t="str">
        <f>IF(MONTH(Table22[[#This Row],[Sales Date]])&lt;=3,"Q1",IF(MONTH(Table22[[#This Row],[Sales Date]])&lt;=6,"Q2",IF(MONTH(Table22[[#This Row],[Sales Date]])&lt;=9,"Q3","Q4")))</f>
        <v>Q1</v>
      </c>
      <c r="W1820" s="64">
        <f>YEAR(Table22[[#This Row],[Sales Date]])</f>
        <v>2023</v>
      </c>
      <c r="X1820" s="23">
        <v>32</v>
      </c>
      <c r="Y1820" s="18" t="s">
        <v>41</v>
      </c>
      <c r="Z1820" s="18" t="s">
        <v>42</v>
      </c>
      <c r="AA1820" s="19" t="s">
        <v>36</v>
      </c>
    </row>
    <row r="1821" spans="1:27" x14ac:dyDescent="0.25">
      <c r="A1821" s="17" t="s">
        <v>1995</v>
      </c>
      <c r="B1821" s="18" t="s">
        <v>32</v>
      </c>
      <c r="C1821" s="63" t="str" cm="1">
        <f t="array" ref="C1821">_xlfn.SWITCH(Table22[[#This Row],[Country]],"USA","North America","Canada","North America","Brazil","South America","China","Asia","Japan","Asia","India","Asia","France","Europe","Germany","Europe","UK","Europe","Australia","Oceania","South America")</f>
        <v>Asia</v>
      </c>
      <c r="D1821" s="18" t="s">
        <v>21</v>
      </c>
      <c r="E1821" s="18" t="s">
        <v>33</v>
      </c>
      <c r="F1821" s="18" t="s">
        <v>64</v>
      </c>
      <c r="G1821" s="18" t="s">
        <v>29</v>
      </c>
      <c r="H1821" s="64">
        <f>LEN(TRIM(Table22[[#This Row],[Country]]))</f>
        <v>5</v>
      </c>
      <c r="I1821" s="64">
        <f>LEN(TRIM(Table22[[#This Row],[Continent]]))</f>
        <v>4</v>
      </c>
      <c r="J1821" s="64">
        <f>LEN(TRIM(Table22[[#This Row],[Product]]))</f>
        <v>10</v>
      </c>
      <c r="K1821" s="64">
        <f>LEN(TRIM(Table22[[#This Row],[Sales Team]]))</f>
        <v>10</v>
      </c>
      <c r="L1821" s="23">
        <v>70</v>
      </c>
      <c r="M1821" s="65" t="str" cm="1">
        <f t="array" ref="M1821">_xlfn.IFS(Table22[[#This Row],[Units Sold]]&lt;40,"Critical",Table22[[#This Row],[Units Sold]]&lt;=50,"Poor",Table22[[#This Row],[Units Sold]]&lt;=60,"Low",Table22[[#This Row],[Units Sold]]&lt;=80,"Average",Table22[[#This Row],[Units Sold]]&lt;=90,"High",Table22[[#This Row],[Units Sold]]&lt;=95,"Excellent",Table22[[#This Row],[Units Sold]]&gt;95,"Outstanding")</f>
        <v>Average</v>
      </c>
      <c r="N1821" s="29">
        <v>52.8</v>
      </c>
      <c r="O1821" s="29">
        <v>3696</v>
      </c>
      <c r="P1821" s="43">
        <f>IF(Table22[[#This Row],[Discount Applied]],Table22[[#This Row],[Total Sales (in USD)]]*(1-Table22[[#This Row],[Discount Percentage (%)]]/100),Table22[[#This Row],[Total Sales (in USD)]])</f>
        <v>3696</v>
      </c>
      <c r="Q1821" s="66">
        <f>SQRT(AVERAGE((Table22[[#This Row],[Net Sales (after discount) (in USD)]]-AVERAGE(Table22[Net Sales (after discount) (in USD)]))^2))</f>
        <v>32815.360563764538</v>
      </c>
      <c r="R1821" s="18" t="b">
        <v>0</v>
      </c>
      <c r="S1821" s="40">
        <v>28.15</v>
      </c>
      <c r="T1821" s="18" t="b">
        <v>0</v>
      </c>
      <c r="U1821" s="25">
        <v>45455</v>
      </c>
      <c r="V1821" s="63" t="str">
        <f>IF(MONTH(Table22[[#This Row],[Sales Date]])&lt;=3,"Q1",IF(MONTH(Table22[[#This Row],[Sales Date]])&lt;=6,"Q2",IF(MONTH(Table22[[#This Row],[Sales Date]])&lt;=9,"Q3","Q4")))</f>
        <v>Q2</v>
      </c>
      <c r="W1821" s="64">
        <f>YEAR(Table22[[#This Row],[Sales Date]])</f>
        <v>2024</v>
      </c>
      <c r="X1821" s="23">
        <v>49</v>
      </c>
      <c r="Y1821" s="18" t="s">
        <v>49</v>
      </c>
      <c r="Z1821" s="18" t="s">
        <v>42</v>
      </c>
      <c r="AA1821" s="19" t="s">
        <v>36</v>
      </c>
    </row>
    <row r="1822" spans="1:27" x14ac:dyDescent="0.25">
      <c r="A1822" s="17" t="s">
        <v>240</v>
      </c>
      <c r="B1822" s="18" t="s">
        <v>62</v>
      </c>
      <c r="C1822" s="63" t="str" cm="1">
        <f t="array" ref="C1822">_xlfn.SWITCH(Table22[[#This Row],[Country]],"USA","North America","Canada","North America","Brazil","South America","China","Asia","Japan","Asia","India","Asia","France","Europe","Germany","Europe","UK","Europe","Australia","Oceania","South America")</f>
        <v>Oceania</v>
      </c>
      <c r="D1822" s="18" t="s">
        <v>44</v>
      </c>
      <c r="E1822" s="18" t="s">
        <v>19</v>
      </c>
      <c r="F1822" s="18" t="s">
        <v>52</v>
      </c>
      <c r="G1822" s="18" t="s">
        <v>29</v>
      </c>
      <c r="H1822" s="64">
        <f>LEN(TRIM(Table22[[#This Row],[Country]]))</f>
        <v>9</v>
      </c>
      <c r="I1822" s="64">
        <f>LEN(TRIM(Table22[[#This Row],[Continent]]))</f>
        <v>7</v>
      </c>
      <c r="J1822" s="64">
        <f>LEN(TRIM(Table22[[#This Row],[Product]]))</f>
        <v>6</v>
      </c>
      <c r="K1822" s="64">
        <f>LEN(TRIM(Table22[[#This Row],[Sales Team]]))</f>
        <v>10</v>
      </c>
      <c r="L1822" s="23">
        <v>26</v>
      </c>
      <c r="M1822" s="65" t="str" cm="1">
        <f t="array" ref="M1822">_xlfn.IFS(Table22[[#This Row],[Units Sold]]&lt;40,"Critical",Table22[[#This Row],[Units Sold]]&lt;=50,"Poor",Table22[[#This Row],[Units Sold]]&lt;=60,"Low",Table22[[#This Row],[Units Sold]]&lt;=80,"Average",Table22[[#This Row],[Units Sold]]&lt;=90,"High",Table22[[#This Row],[Units Sold]]&lt;=95,"Excellent",Table22[[#This Row],[Units Sold]]&gt;95,"Outstanding")</f>
        <v>Critical</v>
      </c>
      <c r="N1822" s="29">
        <v>140.55000000000001</v>
      </c>
      <c r="O1822" s="29">
        <v>3654.3</v>
      </c>
      <c r="P1822" s="43">
        <f>IF(Table22[[#This Row],[Discount Applied]],Table22[[#This Row],[Total Sales (in USD)]]*(1-Table22[[#This Row],[Discount Percentage (%)]]/100),Table22[[#This Row],[Total Sales (in USD)]])</f>
        <v>3409.4619000000002</v>
      </c>
      <c r="Q1822" s="66">
        <f>SQRT(AVERAGE((Table22[[#This Row],[Net Sales (after discount) (in USD)]]-AVERAGE(Table22[Net Sales (after discount) (in USD)]))^2))</f>
        <v>33101.898663764536</v>
      </c>
      <c r="R1822" s="18" t="b">
        <v>0</v>
      </c>
      <c r="S1822" s="40">
        <v>6.7</v>
      </c>
      <c r="T1822" s="18" t="b">
        <v>1</v>
      </c>
      <c r="U1822" s="25">
        <v>44992</v>
      </c>
      <c r="V1822" s="63" t="str">
        <f>IF(MONTH(Table22[[#This Row],[Sales Date]])&lt;=3,"Q1",IF(MONTH(Table22[[#This Row],[Sales Date]])&lt;=6,"Q2",IF(MONTH(Table22[[#This Row],[Sales Date]])&lt;=9,"Q3","Q4")))</f>
        <v>Q1</v>
      </c>
      <c r="W1822" s="64">
        <f>YEAR(Table22[[#This Row],[Sales Date]])</f>
        <v>2023</v>
      </c>
      <c r="X1822" s="23">
        <v>46</v>
      </c>
      <c r="Y1822" s="18" t="s">
        <v>49</v>
      </c>
      <c r="Z1822" s="18" t="s">
        <v>30</v>
      </c>
      <c r="AA1822" s="19" t="s">
        <v>36</v>
      </c>
    </row>
    <row r="1823" spans="1:27" x14ac:dyDescent="0.25">
      <c r="A1823" s="17" t="s">
        <v>1249</v>
      </c>
      <c r="B1823" s="18" t="s">
        <v>66</v>
      </c>
      <c r="C1823" s="63" t="str" cm="1">
        <f t="array" ref="C1823">_xlfn.SWITCH(Table22[[#This Row],[Country]],"USA","North America","Canada","North America","Brazil","South America","China","Asia","Japan","Asia","India","Asia","France","Europe","Germany","Europe","UK","Europe","Australia","Oceania","South America")</f>
        <v>North America</v>
      </c>
      <c r="D1823" s="18" t="s">
        <v>28</v>
      </c>
      <c r="E1823" s="18" t="s">
        <v>33</v>
      </c>
      <c r="F1823" s="18" t="s">
        <v>20</v>
      </c>
      <c r="G1823" s="18" t="s">
        <v>22</v>
      </c>
      <c r="H1823" s="64">
        <f>LEN(TRIM(Table22[[#This Row],[Country]]))</f>
        <v>6</v>
      </c>
      <c r="I1823" s="64">
        <f>LEN(TRIM(Table22[[#This Row],[Continent]]))</f>
        <v>13</v>
      </c>
      <c r="J1823" s="64">
        <f>LEN(TRIM(Table22[[#This Row],[Product]]))</f>
        <v>10</v>
      </c>
      <c r="K1823" s="64">
        <f>LEN(TRIM(Table22[[#This Row],[Sales Team]]))</f>
        <v>10</v>
      </c>
      <c r="L1823" s="23">
        <v>20</v>
      </c>
      <c r="M1823" s="65" t="str" cm="1">
        <f t="array" ref="M1823">_xlfn.IFS(Table22[[#This Row],[Units Sold]]&lt;40,"Critical",Table22[[#This Row],[Units Sold]]&lt;=50,"Poor",Table22[[#This Row],[Units Sold]]&lt;=60,"Low",Table22[[#This Row],[Units Sold]]&lt;=80,"Average",Table22[[#This Row],[Units Sold]]&lt;=90,"High",Table22[[#This Row],[Units Sold]]&lt;=95,"Excellent",Table22[[#This Row],[Units Sold]]&gt;95,"Outstanding")</f>
        <v>Critical</v>
      </c>
      <c r="N1823" s="29">
        <v>180.66</v>
      </c>
      <c r="O1823" s="29">
        <v>3613.2</v>
      </c>
      <c r="P1823" s="43">
        <f>IF(Table22[[#This Row],[Discount Applied]],Table22[[#This Row],[Total Sales (in USD)]]*(1-Table22[[#This Row],[Discount Percentage (%)]]/100),Table22[[#This Row],[Total Sales (in USD)]])</f>
        <v>3123.6114000000002</v>
      </c>
      <c r="Q1823" s="66">
        <f>SQRT(AVERAGE((Table22[[#This Row],[Net Sales (after discount) (in USD)]]-AVERAGE(Table22[Net Sales (after discount) (in USD)]))^2))</f>
        <v>33387.749163764536</v>
      </c>
      <c r="R1823" s="18" t="b">
        <v>1</v>
      </c>
      <c r="S1823" s="40">
        <v>13.55</v>
      </c>
      <c r="T1823" s="18" t="b">
        <v>1</v>
      </c>
      <c r="U1823" s="25">
        <v>45585</v>
      </c>
      <c r="V1823" s="63" t="str">
        <f>IF(MONTH(Table22[[#This Row],[Sales Date]])&lt;=3,"Q1",IF(MONTH(Table22[[#This Row],[Sales Date]])&lt;=6,"Q2",IF(MONTH(Table22[[#This Row],[Sales Date]])&lt;=9,"Q3","Q4")))</f>
        <v>Q4</v>
      </c>
      <c r="W1823" s="64">
        <f>YEAR(Table22[[#This Row],[Sales Date]])</f>
        <v>2024</v>
      </c>
      <c r="X1823" s="23">
        <v>18</v>
      </c>
      <c r="Y1823" s="18" t="s">
        <v>23</v>
      </c>
      <c r="Z1823" s="18" t="s">
        <v>42</v>
      </c>
      <c r="AA1823" s="19" t="s">
        <v>36</v>
      </c>
    </row>
    <row r="1824" spans="1:27" x14ac:dyDescent="0.25">
      <c r="A1824" s="17" t="s">
        <v>260</v>
      </c>
      <c r="B1824" s="18" t="s">
        <v>46</v>
      </c>
      <c r="C1824" s="63" t="str" cm="1">
        <f t="array" ref="C1824">_xlfn.SWITCH(Table22[[#This Row],[Country]],"USA","North America","Canada","North America","Brazil","South America","China","Asia","Japan","Asia","India","Asia","France","Europe","Germany","Europe","UK","Europe","Australia","Oceania","South America")</f>
        <v>South America</v>
      </c>
      <c r="D1824" s="18" t="s">
        <v>21</v>
      </c>
      <c r="E1824" s="18" t="s">
        <v>33</v>
      </c>
      <c r="F1824" s="18" t="s">
        <v>64</v>
      </c>
      <c r="G1824" s="18" t="s">
        <v>40</v>
      </c>
      <c r="H1824" s="64">
        <f>LEN(TRIM(Table22[[#This Row],[Country]]))</f>
        <v>6</v>
      </c>
      <c r="I1824" s="64">
        <f>LEN(TRIM(Table22[[#This Row],[Continent]]))</f>
        <v>13</v>
      </c>
      <c r="J1824" s="64">
        <f>LEN(TRIM(Table22[[#This Row],[Product]]))</f>
        <v>10</v>
      </c>
      <c r="K1824" s="64">
        <f>LEN(TRIM(Table22[[#This Row],[Sales Team]]))</f>
        <v>10</v>
      </c>
      <c r="L1824" s="23">
        <v>10</v>
      </c>
      <c r="M1824" s="65" t="str" cm="1">
        <f t="array" ref="M1824">_xlfn.IFS(Table22[[#This Row],[Units Sold]]&lt;40,"Critical",Table22[[#This Row],[Units Sold]]&lt;=50,"Poor",Table22[[#This Row],[Units Sold]]&lt;=60,"Low",Table22[[#This Row],[Units Sold]]&lt;=80,"Average",Table22[[#This Row],[Units Sold]]&lt;=90,"High",Table22[[#This Row],[Units Sold]]&lt;=95,"Excellent",Table22[[#This Row],[Units Sold]]&gt;95,"Outstanding")</f>
        <v>Critical</v>
      </c>
      <c r="N1824" s="29">
        <v>359.67</v>
      </c>
      <c r="O1824" s="29">
        <v>3596.7</v>
      </c>
      <c r="P1824" s="43">
        <f>IF(Table22[[#This Row],[Discount Applied]],Table22[[#This Row],[Total Sales (in USD)]]*(1-Table22[[#This Row],[Discount Percentage (%)]]/100),Table22[[#This Row],[Total Sales (in USD)]])</f>
        <v>3596.7</v>
      </c>
      <c r="Q1824" s="66">
        <f>SQRT(AVERAGE((Table22[[#This Row],[Net Sales (after discount) (in USD)]]-AVERAGE(Table22[Net Sales (after discount) (in USD)]))^2))</f>
        <v>32914.660563764541</v>
      </c>
      <c r="R1824" s="18" t="b">
        <v>0</v>
      </c>
      <c r="S1824" s="40">
        <v>20.65</v>
      </c>
      <c r="T1824" s="18" t="b">
        <v>0</v>
      </c>
      <c r="U1824" s="25">
        <v>45274</v>
      </c>
      <c r="V1824" s="63" t="str">
        <f>IF(MONTH(Table22[[#This Row],[Sales Date]])&lt;=3,"Q1",IF(MONTH(Table22[[#This Row],[Sales Date]])&lt;=6,"Q2",IF(MONTH(Table22[[#This Row],[Sales Date]])&lt;=9,"Q3","Q4")))</f>
        <v>Q4</v>
      </c>
      <c r="W1824" s="64">
        <f>YEAR(Table22[[#This Row],[Sales Date]])</f>
        <v>2023</v>
      </c>
      <c r="X1824" s="23">
        <v>32</v>
      </c>
      <c r="Y1824" s="18" t="s">
        <v>23</v>
      </c>
      <c r="Z1824" s="18" t="s">
        <v>42</v>
      </c>
      <c r="AA1824" s="19" t="s">
        <v>36</v>
      </c>
    </row>
    <row r="1825" spans="1:27" x14ac:dyDescent="0.25">
      <c r="A1825" s="17" t="s">
        <v>1453</v>
      </c>
      <c r="B1825" s="18" t="s">
        <v>62</v>
      </c>
      <c r="C1825" s="63" t="str" cm="1">
        <f t="array" ref="C1825">_xlfn.SWITCH(Table22[[#This Row],[Country]],"USA","North America","Canada","North America","Brazil","South America","China","Asia","Japan","Asia","India","Asia","France","Europe","Germany","Europe","UK","Europe","Australia","Oceania","South America")</f>
        <v>Oceania</v>
      </c>
      <c r="D1825" s="18" t="s">
        <v>28</v>
      </c>
      <c r="E1825" s="18" t="s">
        <v>39</v>
      </c>
      <c r="F1825" s="18" t="s">
        <v>47</v>
      </c>
      <c r="G1825" s="18" t="s">
        <v>48</v>
      </c>
      <c r="H1825" s="64">
        <f>LEN(TRIM(Table22[[#This Row],[Country]]))</f>
        <v>9</v>
      </c>
      <c r="I1825" s="64">
        <f>LEN(TRIM(Table22[[#This Row],[Continent]]))</f>
        <v>7</v>
      </c>
      <c r="J1825" s="64">
        <f>LEN(TRIM(Table22[[#This Row],[Product]]))</f>
        <v>10</v>
      </c>
      <c r="K1825" s="64">
        <f>LEN(TRIM(Table22[[#This Row],[Sales Team]]))</f>
        <v>9</v>
      </c>
      <c r="L1825" s="23">
        <v>3</v>
      </c>
      <c r="M1825" s="65" t="str" cm="1">
        <f t="array" ref="M1825">_xlfn.IFS(Table22[[#This Row],[Units Sold]]&lt;40,"Critical",Table22[[#This Row],[Units Sold]]&lt;=50,"Poor",Table22[[#This Row],[Units Sold]]&lt;=60,"Low",Table22[[#This Row],[Units Sold]]&lt;=80,"Average",Table22[[#This Row],[Units Sold]]&lt;=90,"High",Table22[[#This Row],[Units Sold]]&lt;=95,"Excellent",Table22[[#This Row],[Units Sold]]&gt;95,"Outstanding")</f>
        <v>Critical</v>
      </c>
      <c r="N1825" s="29">
        <v>1195.33</v>
      </c>
      <c r="O1825" s="29">
        <v>3585.99</v>
      </c>
      <c r="P1825" s="43">
        <f>IF(Table22[[#This Row],[Discount Applied]],Table22[[#This Row],[Total Sales (in USD)]]*(1-Table22[[#This Row],[Discount Percentage (%)]]/100),Table22[[#This Row],[Total Sales (in USD)]])</f>
        <v>3585.99</v>
      </c>
      <c r="Q1825" s="66">
        <f>SQRT(AVERAGE((Table22[[#This Row],[Net Sales (after discount) (in USD)]]-AVERAGE(Table22[Net Sales (after discount) (in USD)]))^2))</f>
        <v>32925.37056376454</v>
      </c>
      <c r="R1825" s="18" t="b">
        <v>0</v>
      </c>
      <c r="S1825" s="40">
        <v>22.96</v>
      </c>
      <c r="T1825" s="18" t="b">
        <v>0</v>
      </c>
      <c r="U1825" s="25">
        <v>45068</v>
      </c>
      <c r="V1825" s="63" t="str">
        <f>IF(MONTH(Table22[[#This Row],[Sales Date]])&lt;=3,"Q1",IF(MONTH(Table22[[#This Row],[Sales Date]])&lt;=6,"Q2",IF(MONTH(Table22[[#This Row],[Sales Date]])&lt;=9,"Q3","Q4")))</f>
        <v>Q2</v>
      </c>
      <c r="W1825" s="64">
        <f>YEAR(Table22[[#This Row],[Sales Date]])</f>
        <v>2023</v>
      </c>
      <c r="X1825" s="23">
        <v>68</v>
      </c>
      <c r="Y1825" s="18" t="s">
        <v>41</v>
      </c>
      <c r="Z1825" s="18" t="s">
        <v>24</v>
      </c>
      <c r="AA1825" s="19" t="s">
        <v>25</v>
      </c>
    </row>
    <row r="1826" spans="1:27" x14ac:dyDescent="0.25">
      <c r="A1826" s="17" t="s">
        <v>460</v>
      </c>
      <c r="B1826" s="18" t="s">
        <v>51</v>
      </c>
      <c r="C1826" s="63" t="str" cm="1">
        <f t="array" ref="C1826">_xlfn.SWITCH(Table22[[#This Row],[Country]],"USA","North America","Canada","North America","Brazil","South America","China","Asia","Japan","Asia","India","Asia","France","Europe","Germany","Europe","UK","Europe","Australia","Oceania","South America")</f>
        <v>Europe</v>
      </c>
      <c r="D1826" s="18" t="s">
        <v>28</v>
      </c>
      <c r="E1826" s="18" t="s">
        <v>33</v>
      </c>
      <c r="F1826" s="18" t="s">
        <v>20</v>
      </c>
      <c r="G1826" s="18" t="s">
        <v>22</v>
      </c>
      <c r="H1826" s="64">
        <f>LEN(TRIM(Table22[[#This Row],[Country]]))</f>
        <v>2</v>
      </c>
      <c r="I1826" s="64">
        <f>LEN(TRIM(Table22[[#This Row],[Continent]]))</f>
        <v>6</v>
      </c>
      <c r="J1826" s="64">
        <f>LEN(TRIM(Table22[[#This Row],[Product]]))</f>
        <v>10</v>
      </c>
      <c r="K1826" s="64">
        <f>LEN(TRIM(Table22[[#This Row],[Sales Team]]))</f>
        <v>10</v>
      </c>
      <c r="L1826" s="23">
        <v>4</v>
      </c>
      <c r="M1826" s="65" t="str" cm="1">
        <f t="array" ref="M1826">_xlfn.IFS(Table22[[#This Row],[Units Sold]]&lt;40,"Critical",Table22[[#This Row],[Units Sold]]&lt;=50,"Poor",Table22[[#This Row],[Units Sold]]&lt;=60,"Low",Table22[[#This Row],[Units Sold]]&lt;=80,"Average",Table22[[#This Row],[Units Sold]]&lt;=90,"High",Table22[[#This Row],[Units Sold]]&lt;=95,"Excellent",Table22[[#This Row],[Units Sold]]&gt;95,"Outstanding")</f>
        <v>Critical</v>
      </c>
      <c r="N1826" s="29">
        <v>893.39</v>
      </c>
      <c r="O1826" s="29">
        <v>3573.56</v>
      </c>
      <c r="P1826" s="43">
        <f>IF(Table22[[#This Row],[Discount Applied]],Table22[[#This Row],[Total Sales (in USD)]]*(1-Table22[[#This Row],[Discount Percentage (%)]]/100),Table22[[#This Row],[Total Sales (in USD)]])</f>
        <v>3573.56</v>
      </c>
      <c r="Q1826" s="66">
        <f>SQRT(AVERAGE((Table22[[#This Row],[Net Sales (after discount) (in USD)]]-AVERAGE(Table22[Net Sales (after discount) (in USD)]))^2))</f>
        <v>32937.80056376454</v>
      </c>
      <c r="R1826" s="18" t="b">
        <v>0</v>
      </c>
      <c r="S1826" s="40">
        <v>29.66</v>
      </c>
      <c r="T1826" s="18" t="b">
        <v>0</v>
      </c>
      <c r="U1826" s="25">
        <v>45597</v>
      </c>
      <c r="V1826" s="63" t="str">
        <f>IF(MONTH(Table22[[#This Row],[Sales Date]])&lt;=3,"Q1",IF(MONTH(Table22[[#This Row],[Sales Date]])&lt;=6,"Q2",IF(MONTH(Table22[[#This Row],[Sales Date]])&lt;=9,"Q3","Q4")))</f>
        <v>Q4</v>
      </c>
      <c r="W1826" s="64">
        <f>YEAR(Table22[[#This Row],[Sales Date]])</f>
        <v>2024</v>
      </c>
      <c r="X1826" s="23">
        <v>49</v>
      </c>
      <c r="Y1826" s="18" t="s">
        <v>23</v>
      </c>
      <c r="Z1826" s="18" t="s">
        <v>24</v>
      </c>
      <c r="AA1826" s="19" t="s">
        <v>36</v>
      </c>
    </row>
    <row r="1827" spans="1:27" x14ac:dyDescent="0.25">
      <c r="A1827" s="17" t="s">
        <v>1216</v>
      </c>
      <c r="B1827" s="18" t="s">
        <v>27</v>
      </c>
      <c r="C1827" s="63" t="str" cm="1">
        <f t="array" ref="C1827">_xlfn.SWITCH(Table22[[#This Row],[Country]],"USA","North America","Canada","North America","Brazil","South America","China","Asia","Japan","Asia","India","Asia","France","Europe","Germany","Europe","UK","Europe","Australia","Oceania","South America")</f>
        <v>Europe</v>
      </c>
      <c r="D1827" s="18" t="s">
        <v>44</v>
      </c>
      <c r="E1827" s="18" t="s">
        <v>19</v>
      </c>
      <c r="F1827" s="18" t="s">
        <v>52</v>
      </c>
      <c r="G1827" s="18" t="s">
        <v>40</v>
      </c>
      <c r="H1827" s="64">
        <f>LEN(TRIM(Table22[[#This Row],[Country]]))</f>
        <v>7</v>
      </c>
      <c r="I1827" s="64">
        <f>LEN(TRIM(Table22[[#This Row],[Continent]]))</f>
        <v>6</v>
      </c>
      <c r="J1827" s="64">
        <f>LEN(TRIM(Table22[[#This Row],[Product]]))</f>
        <v>6</v>
      </c>
      <c r="K1827" s="64">
        <f>LEN(TRIM(Table22[[#This Row],[Sales Team]]))</f>
        <v>10</v>
      </c>
      <c r="L1827" s="23">
        <v>3</v>
      </c>
      <c r="M1827" s="65" t="str" cm="1">
        <f t="array" ref="M1827">_xlfn.IFS(Table22[[#This Row],[Units Sold]]&lt;40,"Critical",Table22[[#This Row],[Units Sold]]&lt;=50,"Poor",Table22[[#This Row],[Units Sold]]&lt;=60,"Low",Table22[[#This Row],[Units Sold]]&lt;=80,"Average",Table22[[#This Row],[Units Sold]]&lt;=90,"High",Table22[[#This Row],[Units Sold]]&lt;=95,"Excellent",Table22[[#This Row],[Units Sold]]&gt;95,"Outstanding")</f>
        <v>Critical</v>
      </c>
      <c r="N1827" s="29">
        <v>1171.79</v>
      </c>
      <c r="O1827" s="29">
        <v>3515.37</v>
      </c>
      <c r="P1827" s="43">
        <f>IF(Table22[[#This Row],[Discount Applied]],Table22[[#This Row],[Total Sales (in USD)]]*(1-Table22[[#This Row],[Discount Percentage (%)]]/100),Table22[[#This Row],[Total Sales (in USD)]])</f>
        <v>3515.37</v>
      </c>
      <c r="Q1827" s="66">
        <f>SQRT(AVERAGE((Table22[[#This Row],[Net Sales (after discount) (in USD)]]-AVERAGE(Table22[Net Sales (after discount) (in USD)]))^2))</f>
        <v>32995.990563764535</v>
      </c>
      <c r="R1827" s="18" t="b">
        <v>1</v>
      </c>
      <c r="S1827" s="40">
        <v>17.059999999999999</v>
      </c>
      <c r="T1827" s="18" t="b">
        <v>0</v>
      </c>
      <c r="U1827" s="25">
        <v>45333</v>
      </c>
      <c r="V1827" s="63" t="str">
        <f>IF(MONTH(Table22[[#This Row],[Sales Date]])&lt;=3,"Q1",IF(MONTH(Table22[[#This Row],[Sales Date]])&lt;=6,"Q2",IF(MONTH(Table22[[#This Row],[Sales Date]])&lt;=9,"Q3","Q4")))</f>
        <v>Q1</v>
      </c>
      <c r="W1827" s="64">
        <f>YEAR(Table22[[#This Row],[Sales Date]])</f>
        <v>2024</v>
      </c>
      <c r="X1827" s="23">
        <v>24</v>
      </c>
      <c r="Y1827" s="18" t="s">
        <v>23</v>
      </c>
      <c r="Z1827" s="18" t="s">
        <v>42</v>
      </c>
      <c r="AA1827" s="19" t="s">
        <v>25</v>
      </c>
    </row>
    <row r="1828" spans="1:27" x14ac:dyDescent="0.25">
      <c r="A1828" s="17" t="s">
        <v>1475</v>
      </c>
      <c r="B1828" s="18" t="s">
        <v>76</v>
      </c>
      <c r="C1828" s="63" t="str" cm="1">
        <f t="array" ref="C1828">_xlfn.SWITCH(Table22[[#This Row],[Country]],"USA","North America","Canada","North America","Brazil","South America","China","Asia","Japan","Asia","India","Asia","France","Europe","Germany","Europe","UK","Europe","Australia","Oceania","South America")</f>
        <v>Asia</v>
      </c>
      <c r="D1828" s="18" t="s">
        <v>21</v>
      </c>
      <c r="E1828" s="18" t="s">
        <v>33</v>
      </c>
      <c r="F1828" s="18" t="s">
        <v>64</v>
      </c>
      <c r="G1828" s="18" t="s">
        <v>22</v>
      </c>
      <c r="H1828" s="64">
        <f>LEN(TRIM(Table22[[#This Row],[Country]]))</f>
        <v>5</v>
      </c>
      <c r="I1828" s="64">
        <f>LEN(TRIM(Table22[[#This Row],[Continent]]))</f>
        <v>4</v>
      </c>
      <c r="J1828" s="64">
        <f>LEN(TRIM(Table22[[#This Row],[Product]]))</f>
        <v>10</v>
      </c>
      <c r="K1828" s="64">
        <f>LEN(TRIM(Table22[[#This Row],[Sales Team]]))</f>
        <v>10</v>
      </c>
      <c r="L1828" s="23">
        <v>49</v>
      </c>
      <c r="M1828" s="65" t="str" cm="1">
        <f t="array" ref="M1828">_xlfn.IFS(Table22[[#This Row],[Units Sold]]&lt;40,"Critical",Table22[[#This Row],[Units Sold]]&lt;=50,"Poor",Table22[[#This Row],[Units Sold]]&lt;=60,"Low",Table22[[#This Row],[Units Sold]]&lt;=80,"Average",Table22[[#This Row],[Units Sold]]&lt;=90,"High",Table22[[#This Row],[Units Sold]]&lt;=95,"Excellent",Table22[[#This Row],[Units Sold]]&gt;95,"Outstanding")</f>
        <v>Poor</v>
      </c>
      <c r="N1828" s="29">
        <v>71.47</v>
      </c>
      <c r="O1828" s="29">
        <v>3502.03</v>
      </c>
      <c r="P1828" s="43">
        <f>IF(Table22[[#This Row],[Discount Applied]],Table22[[#This Row],[Total Sales (in USD)]]*(1-Table22[[#This Row],[Discount Percentage (%)]]/100),Table22[[#This Row],[Total Sales (in USD)]])</f>
        <v>3502.03</v>
      </c>
      <c r="Q1828" s="66">
        <f>SQRT(AVERAGE((Table22[[#This Row],[Net Sales (after discount) (in USD)]]-AVERAGE(Table22[Net Sales (after discount) (in USD)]))^2))</f>
        <v>33009.330563764539</v>
      </c>
      <c r="R1828" s="18" t="b">
        <v>1</v>
      </c>
      <c r="S1828" s="40">
        <v>23.8</v>
      </c>
      <c r="T1828" s="18" t="b">
        <v>0</v>
      </c>
      <c r="U1828" s="25">
        <v>45121</v>
      </c>
      <c r="V1828" s="63" t="str">
        <f>IF(MONTH(Table22[[#This Row],[Sales Date]])&lt;=3,"Q1",IF(MONTH(Table22[[#This Row],[Sales Date]])&lt;=6,"Q2",IF(MONTH(Table22[[#This Row],[Sales Date]])&lt;=9,"Q3","Q4")))</f>
        <v>Q3</v>
      </c>
      <c r="W1828" s="64">
        <f>YEAR(Table22[[#This Row],[Sales Date]])</f>
        <v>2023</v>
      </c>
      <c r="X1828" s="23">
        <v>46</v>
      </c>
      <c r="Y1828" s="18" t="s">
        <v>41</v>
      </c>
      <c r="Z1828" s="18" t="s">
        <v>56</v>
      </c>
      <c r="AA1828" s="19" t="s">
        <v>25</v>
      </c>
    </row>
    <row r="1829" spans="1:27" x14ac:dyDescent="0.25">
      <c r="A1829" s="17" t="s">
        <v>568</v>
      </c>
      <c r="B1829" s="18" t="s">
        <v>38</v>
      </c>
      <c r="C1829" s="63" t="str" cm="1">
        <f t="array" ref="C1829">_xlfn.SWITCH(Table22[[#This Row],[Country]],"USA","North America","Canada","North America","Brazil","South America","China","Asia","Japan","Asia","India","Asia","France","Europe","Germany","Europe","UK","Europe","Australia","Oceania","South America")</f>
        <v>Europe</v>
      </c>
      <c r="D1829" s="18" t="s">
        <v>28</v>
      </c>
      <c r="E1829" s="18" t="s">
        <v>19</v>
      </c>
      <c r="F1829" s="18" t="s">
        <v>64</v>
      </c>
      <c r="G1829" s="18" t="s">
        <v>48</v>
      </c>
      <c r="H1829" s="64">
        <f>LEN(TRIM(Table22[[#This Row],[Country]]))</f>
        <v>6</v>
      </c>
      <c r="I1829" s="64">
        <f>LEN(TRIM(Table22[[#This Row],[Continent]]))</f>
        <v>6</v>
      </c>
      <c r="J1829" s="64">
        <f>LEN(TRIM(Table22[[#This Row],[Product]]))</f>
        <v>6</v>
      </c>
      <c r="K1829" s="64">
        <f>LEN(TRIM(Table22[[#This Row],[Sales Team]]))</f>
        <v>9</v>
      </c>
      <c r="L1829" s="23">
        <v>4</v>
      </c>
      <c r="M1829" s="65" t="str" cm="1">
        <f t="array" ref="M1829">_xlfn.IFS(Table22[[#This Row],[Units Sold]]&lt;40,"Critical",Table22[[#This Row],[Units Sold]]&lt;=50,"Poor",Table22[[#This Row],[Units Sold]]&lt;=60,"Low",Table22[[#This Row],[Units Sold]]&lt;=80,"Average",Table22[[#This Row],[Units Sold]]&lt;=90,"High",Table22[[#This Row],[Units Sold]]&lt;=95,"Excellent",Table22[[#This Row],[Units Sold]]&gt;95,"Outstanding")</f>
        <v>Critical</v>
      </c>
      <c r="N1829" s="29">
        <v>871.13</v>
      </c>
      <c r="O1829" s="29">
        <v>3484.52</v>
      </c>
      <c r="P1829" s="43">
        <f>IF(Table22[[#This Row],[Discount Applied]],Table22[[#This Row],[Total Sales (in USD)]]*(1-Table22[[#This Row],[Discount Percentage (%)]]/100),Table22[[#This Row],[Total Sales (in USD)]])</f>
        <v>2885.5310119999999</v>
      </c>
      <c r="Q1829" s="66">
        <f>SQRT(AVERAGE((Table22[[#This Row],[Net Sales (after discount) (in USD)]]-AVERAGE(Table22[Net Sales (after discount) (in USD)]))^2))</f>
        <v>33625.829551764538</v>
      </c>
      <c r="R1829" s="18" t="b">
        <v>1</v>
      </c>
      <c r="S1829" s="40">
        <v>17.190000000000001</v>
      </c>
      <c r="T1829" s="18" t="b">
        <v>1</v>
      </c>
      <c r="U1829" s="25">
        <v>45295</v>
      </c>
      <c r="V1829" s="63" t="str">
        <f>IF(MONTH(Table22[[#This Row],[Sales Date]])&lt;=3,"Q1",IF(MONTH(Table22[[#This Row],[Sales Date]])&lt;=6,"Q2",IF(MONTH(Table22[[#This Row],[Sales Date]])&lt;=9,"Q3","Q4")))</f>
        <v>Q1</v>
      </c>
      <c r="W1829" s="64">
        <f>YEAR(Table22[[#This Row],[Sales Date]])</f>
        <v>2024</v>
      </c>
      <c r="X1829" s="23">
        <v>48</v>
      </c>
      <c r="Y1829" s="18" t="s">
        <v>49</v>
      </c>
      <c r="Z1829" s="18" t="s">
        <v>30</v>
      </c>
      <c r="AA1829" s="19" t="s">
        <v>36</v>
      </c>
    </row>
    <row r="1830" spans="1:27" x14ac:dyDescent="0.25">
      <c r="A1830" s="17" t="s">
        <v>1825</v>
      </c>
      <c r="B1830" s="18" t="s">
        <v>66</v>
      </c>
      <c r="C1830" s="63" t="str" cm="1">
        <f t="array" ref="C1830">_xlfn.SWITCH(Table22[[#This Row],[Country]],"USA","North America","Canada","North America","Brazil","South America","China","Asia","Japan","Asia","India","Asia","France","Europe","Germany","Europe","UK","Europe","Australia","Oceania","South America")</f>
        <v>North America</v>
      </c>
      <c r="D1830" s="18" t="s">
        <v>35</v>
      </c>
      <c r="E1830" s="18" t="s">
        <v>39</v>
      </c>
      <c r="F1830" s="18" t="s">
        <v>34</v>
      </c>
      <c r="G1830" s="18" t="s">
        <v>22</v>
      </c>
      <c r="H1830" s="64">
        <f>LEN(TRIM(Table22[[#This Row],[Country]]))</f>
        <v>6</v>
      </c>
      <c r="I1830" s="64">
        <f>LEN(TRIM(Table22[[#This Row],[Continent]]))</f>
        <v>13</v>
      </c>
      <c r="J1830" s="64">
        <f>LEN(TRIM(Table22[[#This Row],[Product]]))</f>
        <v>10</v>
      </c>
      <c r="K1830" s="64">
        <f>LEN(TRIM(Table22[[#This Row],[Sales Team]]))</f>
        <v>10</v>
      </c>
      <c r="L1830" s="23">
        <v>5</v>
      </c>
      <c r="M1830" s="65" t="str" cm="1">
        <f t="array" ref="M1830">_xlfn.IFS(Table22[[#This Row],[Units Sold]]&lt;40,"Critical",Table22[[#This Row],[Units Sold]]&lt;=50,"Poor",Table22[[#This Row],[Units Sold]]&lt;=60,"Low",Table22[[#This Row],[Units Sold]]&lt;=80,"Average",Table22[[#This Row],[Units Sold]]&lt;=90,"High",Table22[[#This Row],[Units Sold]]&lt;=95,"Excellent",Table22[[#This Row],[Units Sold]]&gt;95,"Outstanding")</f>
        <v>Critical</v>
      </c>
      <c r="N1830" s="29">
        <v>696.62</v>
      </c>
      <c r="O1830" s="29">
        <v>3483.1</v>
      </c>
      <c r="P1830" s="43">
        <f>IF(Table22[[#This Row],[Discount Applied]],Table22[[#This Row],[Total Sales (in USD)]]*(1-Table22[[#This Row],[Discount Percentage (%)]]/100),Table22[[#This Row],[Total Sales (in USD)]])</f>
        <v>3483.1</v>
      </c>
      <c r="Q1830" s="66">
        <f>SQRT(AVERAGE((Table22[[#This Row],[Net Sales (after discount) (in USD)]]-AVERAGE(Table22[Net Sales (after discount) (in USD)]))^2))</f>
        <v>33028.260563764539</v>
      </c>
      <c r="R1830" s="18" t="b">
        <v>1</v>
      </c>
      <c r="S1830" s="40">
        <v>5.87</v>
      </c>
      <c r="T1830" s="18" t="b">
        <v>0</v>
      </c>
      <c r="U1830" s="25">
        <v>44950</v>
      </c>
      <c r="V1830" s="63" t="str">
        <f>IF(MONTH(Table22[[#This Row],[Sales Date]])&lt;=3,"Q1",IF(MONTH(Table22[[#This Row],[Sales Date]])&lt;=6,"Q2",IF(MONTH(Table22[[#This Row],[Sales Date]])&lt;=9,"Q3","Q4")))</f>
        <v>Q1</v>
      </c>
      <c r="W1830" s="64">
        <f>YEAR(Table22[[#This Row],[Sales Date]])</f>
        <v>2023</v>
      </c>
      <c r="X1830" s="23">
        <v>20</v>
      </c>
      <c r="Y1830" s="18" t="s">
        <v>41</v>
      </c>
      <c r="Z1830" s="18" t="s">
        <v>24</v>
      </c>
      <c r="AA1830" s="19" t="s">
        <v>36</v>
      </c>
    </row>
    <row r="1831" spans="1:27" x14ac:dyDescent="0.25">
      <c r="A1831" s="17" t="s">
        <v>1067</v>
      </c>
      <c r="B1831" s="18" t="s">
        <v>76</v>
      </c>
      <c r="C1831" s="63" t="str" cm="1">
        <f t="array" ref="C1831">_xlfn.SWITCH(Table22[[#This Row],[Country]],"USA","North America","Canada","North America","Brazil","South America","China","Asia","Japan","Asia","India","Asia","France","Europe","Germany","Europe","UK","Europe","Australia","Oceania","South America")</f>
        <v>Asia</v>
      </c>
      <c r="D1831" s="18" t="s">
        <v>28</v>
      </c>
      <c r="E1831" s="18" t="s">
        <v>33</v>
      </c>
      <c r="F1831" s="18" t="s">
        <v>34</v>
      </c>
      <c r="G1831" s="18" t="s">
        <v>40</v>
      </c>
      <c r="H1831" s="64">
        <f>LEN(TRIM(Table22[[#This Row],[Country]]))</f>
        <v>5</v>
      </c>
      <c r="I1831" s="64">
        <f>LEN(TRIM(Table22[[#This Row],[Continent]]))</f>
        <v>4</v>
      </c>
      <c r="J1831" s="64">
        <f>LEN(TRIM(Table22[[#This Row],[Product]]))</f>
        <v>10</v>
      </c>
      <c r="K1831" s="64">
        <f>LEN(TRIM(Table22[[#This Row],[Sales Team]]))</f>
        <v>10</v>
      </c>
      <c r="L1831" s="23">
        <v>56</v>
      </c>
      <c r="M1831" s="65" t="str" cm="1">
        <f t="array" ref="M1831">_xlfn.IFS(Table22[[#This Row],[Units Sold]]&lt;40,"Critical",Table22[[#This Row],[Units Sold]]&lt;=50,"Poor",Table22[[#This Row],[Units Sold]]&lt;=60,"Low",Table22[[#This Row],[Units Sold]]&lt;=80,"Average",Table22[[#This Row],[Units Sold]]&lt;=90,"High",Table22[[#This Row],[Units Sold]]&lt;=95,"Excellent",Table22[[#This Row],[Units Sold]]&gt;95,"Outstanding")</f>
        <v>Low</v>
      </c>
      <c r="N1831" s="29">
        <v>61.98</v>
      </c>
      <c r="O1831" s="29">
        <v>3470.88</v>
      </c>
      <c r="P1831" s="43">
        <f>IF(Table22[[#This Row],[Discount Applied]],Table22[[#This Row],[Total Sales (in USD)]]*(1-Table22[[#This Row],[Discount Percentage (%)]]/100),Table22[[#This Row],[Total Sales (in USD)]])</f>
        <v>3325.4501279999999</v>
      </c>
      <c r="Q1831" s="66">
        <f>SQRT(AVERAGE((Table22[[#This Row],[Net Sales (after discount) (in USD)]]-AVERAGE(Table22[Net Sales (after discount) (in USD)]))^2))</f>
        <v>33185.910435764541</v>
      </c>
      <c r="R1831" s="18" t="b">
        <v>1</v>
      </c>
      <c r="S1831" s="40">
        <v>4.1900000000000004</v>
      </c>
      <c r="T1831" s="18" t="b">
        <v>1</v>
      </c>
      <c r="U1831" s="25">
        <v>45501</v>
      </c>
      <c r="V1831" s="63" t="str">
        <f>IF(MONTH(Table22[[#This Row],[Sales Date]])&lt;=3,"Q1",IF(MONTH(Table22[[#This Row],[Sales Date]])&lt;=6,"Q2",IF(MONTH(Table22[[#This Row],[Sales Date]])&lt;=9,"Q3","Q4")))</f>
        <v>Q3</v>
      </c>
      <c r="W1831" s="64">
        <f>YEAR(Table22[[#This Row],[Sales Date]])</f>
        <v>2024</v>
      </c>
      <c r="X1831" s="23">
        <v>57</v>
      </c>
      <c r="Y1831" s="18" t="s">
        <v>41</v>
      </c>
      <c r="Z1831" s="18" t="s">
        <v>56</v>
      </c>
      <c r="AA1831" s="19" t="s">
        <v>25</v>
      </c>
    </row>
    <row r="1832" spans="1:27" x14ac:dyDescent="0.25">
      <c r="A1832" s="17" t="s">
        <v>327</v>
      </c>
      <c r="B1832" s="18" t="s">
        <v>72</v>
      </c>
      <c r="C1832" s="63" t="str" cm="1">
        <f t="array" ref="C1832">_xlfn.SWITCH(Table22[[#This Row],[Country]],"USA","North America","Canada","North America","Brazil","South America","China","Asia","Japan","Asia","India","Asia","France","Europe","Germany","Europe","UK","Europe","Australia","Oceania","South America")</f>
        <v>North America</v>
      </c>
      <c r="D1832" s="18" t="s">
        <v>35</v>
      </c>
      <c r="E1832" s="18" t="s">
        <v>33</v>
      </c>
      <c r="F1832" s="18" t="s">
        <v>64</v>
      </c>
      <c r="G1832" s="18" t="s">
        <v>29</v>
      </c>
      <c r="H1832" s="64">
        <f>LEN(TRIM(Table22[[#This Row],[Country]]))</f>
        <v>3</v>
      </c>
      <c r="I1832" s="64">
        <f>LEN(TRIM(Table22[[#This Row],[Continent]]))</f>
        <v>13</v>
      </c>
      <c r="J1832" s="64">
        <f>LEN(TRIM(Table22[[#This Row],[Product]]))</f>
        <v>10</v>
      </c>
      <c r="K1832" s="64">
        <f>LEN(TRIM(Table22[[#This Row],[Sales Team]]))</f>
        <v>10</v>
      </c>
      <c r="L1832" s="23">
        <v>4</v>
      </c>
      <c r="M1832" s="65" t="str" cm="1">
        <f t="array" ref="M1832">_xlfn.IFS(Table22[[#This Row],[Units Sold]]&lt;40,"Critical",Table22[[#This Row],[Units Sold]]&lt;=50,"Poor",Table22[[#This Row],[Units Sold]]&lt;=60,"Low",Table22[[#This Row],[Units Sold]]&lt;=80,"Average",Table22[[#This Row],[Units Sold]]&lt;=90,"High",Table22[[#This Row],[Units Sold]]&lt;=95,"Excellent",Table22[[#This Row],[Units Sold]]&gt;95,"Outstanding")</f>
        <v>Critical</v>
      </c>
      <c r="N1832" s="29">
        <v>863.46</v>
      </c>
      <c r="O1832" s="29">
        <v>3453.84</v>
      </c>
      <c r="P1832" s="43">
        <f>IF(Table22[[#This Row],[Discount Applied]],Table22[[#This Row],[Total Sales (in USD)]]*(1-Table22[[#This Row],[Discount Percentage (%)]]/100),Table22[[#This Row],[Total Sales (in USD)]])</f>
        <v>3453.84</v>
      </c>
      <c r="Q1832" s="66">
        <f>SQRT(AVERAGE((Table22[[#This Row],[Net Sales (after discount) (in USD)]]-AVERAGE(Table22[Net Sales (after discount) (in USD)]))^2))</f>
        <v>33057.520563764541</v>
      </c>
      <c r="R1832" s="18" t="b">
        <v>1</v>
      </c>
      <c r="S1832" s="40">
        <v>8.75</v>
      </c>
      <c r="T1832" s="18" t="b">
        <v>0</v>
      </c>
      <c r="U1832" s="25">
        <v>45535</v>
      </c>
      <c r="V1832" s="63" t="str">
        <f>IF(MONTH(Table22[[#This Row],[Sales Date]])&lt;=3,"Q1",IF(MONTH(Table22[[#This Row],[Sales Date]])&lt;=6,"Q2",IF(MONTH(Table22[[#This Row],[Sales Date]])&lt;=9,"Q3","Q4")))</f>
        <v>Q3</v>
      </c>
      <c r="W1832" s="64">
        <f>YEAR(Table22[[#This Row],[Sales Date]])</f>
        <v>2024</v>
      </c>
      <c r="X1832" s="23">
        <v>67</v>
      </c>
      <c r="Y1832" s="18" t="s">
        <v>49</v>
      </c>
      <c r="Z1832" s="18" t="s">
        <v>42</v>
      </c>
      <c r="AA1832" s="19" t="s">
        <v>36</v>
      </c>
    </row>
    <row r="1833" spans="1:27" x14ac:dyDescent="0.25">
      <c r="A1833" s="17" t="s">
        <v>575</v>
      </c>
      <c r="B1833" s="18" t="s">
        <v>38</v>
      </c>
      <c r="C1833" s="63" t="str" cm="1">
        <f t="array" ref="C1833">_xlfn.SWITCH(Table22[[#This Row],[Country]],"USA","North America","Canada","North America","Brazil","South America","China","Asia","Japan","Asia","India","Asia","France","Europe","Germany","Europe","UK","Europe","Australia","Oceania","South America")</f>
        <v>Europe</v>
      </c>
      <c r="D1833" s="18" t="s">
        <v>21</v>
      </c>
      <c r="E1833" s="18" t="s">
        <v>33</v>
      </c>
      <c r="F1833" s="18" t="s">
        <v>20</v>
      </c>
      <c r="G1833" s="18" t="s">
        <v>40</v>
      </c>
      <c r="H1833" s="64">
        <f>LEN(TRIM(Table22[[#This Row],[Country]]))</f>
        <v>6</v>
      </c>
      <c r="I1833" s="64">
        <f>LEN(TRIM(Table22[[#This Row],[Continent]]))</f>
        <v>6</v>
      </c>
      <c r="J1833" s="64">
        <f>LEN(TRIM(Table22[[#This Row],[Product]]))</f>
        <v>10</v>
      </c>
      <c r="K1833" s="64">
        <f>LEN(TRIM(Table22[[#This Row],[Sales Team]]))</f>
        <v>10</v>
      </c>
      <c r="L1833" s="23">
        <v>12</v>
      </c>
      <c r="M1833" s="65" t="str" cm="1">
        <f t="array" ref="M1833">_xlfn.IFS(Table22[[#This Row],[Units Sold]]&lt;40,"Critical",Table22[[#This Row],[Units Sold]]&lt;=50,"Poor",Table22[[#This Row],[Units Sold]]&lt;=60,"Low",Table22[[#This Row],[Units Sold]]&lt;=80,"Average",Table22[[#This Row],[Units Sold]]&lt;=90,"High",Table22[[#This Row],[Units Sold]]&lt;=95,"Excellent",Table22[[#This Row],[Units Sold]]&gt;95,"Outstanding")</f>
        <v>Critical</v>
      </c>
      <c r="N1833" s="29">
        <v>287.25</v>
      </c>
      <c r="O1833" s="29">
        <v>3447</v>
      </c>
      <c r="P1833" s="43">
        <f>IF(Table22[[#This Row],[Discount Applied]],Table22[[#This Row],[Total Sales (in USD)]]*(1-Table22[[#This Row],[Discount Percentage (%)]]/100),Table22[[#This Row],[Total Sales (in USD)]])</f>
        <v>3447</v>
      </c>
      <c r="Q1833" s="66">
        <f>SQRT(AVERAGE((Table22[[#This Row],[Net Sales (after discount) (in USD)]]-AVERAGE(Table22[Net Sales (after discount) (in USD)]))^2))</f>
        <v>33064.360563764538</v>
      </c>
      <c r="R1833" s="18" t="b">
        <v>0</v>
      </c>
      <c r="S1833" s="40">
        <v>21.09</v>
      </c>
      <c r="T1833" s="18" t="b">
        <v>0</v>
      </c>
      <c r="U1833" s="25">
        <v>45101</v>
      </c>
      <c r="V1833" s="63" t="str">
        <f>IF(MONTH(Table22[[#This Row],[Sales Date]])&lt;=3,"Q1",IF(MONTH(Table22[[#This Row],[Sales Date]])&lt;=6,"Q2",IF(MONTH(Table22[[#This Row],[Sales Date]])&lt;=9,"Q3","Q4")))</f>
        <v>Q2</v>
      </c>
      <c r="W1833" s="64">
        <f>YEAR(Table22[[#This Row],[Sales Date]])</f>
        <v>2023</v>
      </c>
      <c r="X1833" s="23">
        <v>38</v>
      </c>
      <c r="Y1833" s="18" t="s">
        <v>41</v>
      </c>
      <c r="Z1833" s="18" t="s">
        <v>24</v>
      </c>
      <c r="AA1833" s="19" t="s">
        <v>25</v>
      </c>
    </row>
    <row r="1834" spans="1:27" x14ac:dyDescent="0.25">
      <c r="A1834" s="17" t="s">
        <v>259</v>
      </c>
      <c r="B1834" s="18" t="s">
        <v>51</v>
      </c>
      <c r="C1834" s="63" t="str" cm="1">
        <f t="array" ref="C1834">_xlfn.SWITCH(Table22[[#This Row],[Country]],"USA","North America","Canada","North America","Brazil","South America","China","Asia","Japan","Asia","India","Asia","France","Europe","Germany","Europe","UK","Europe","Australia","Oceania","South America")</f>
        <v>Europe</v>
      </c>
      <c r="D1834" s="18" t="s">
        <v>28</v>
      </c>
      <c r="E1834" s="18" t="s">
        <v>39</v>
      </c>
      <c r="F1834" s="18" t="s">
        <v>47</v>
      </c>
      <c r="G1834" s="18" t="s">
        <v>48</v>
      </c>
      <c r="H1834" s="64">
        <f>LEN(TRIM(Table22[[#This Row],[Country]]))</f>
        <v>2</v>
      </c>
      <c r="I1834" s="64">
        <f>LEN(TRIM(Table22[[#This Row],[Continent]]))</f>
        <v>6</v>
      </c>
      <c r="J1834" s="64">
        <f>LEN(TRIM(Table22[[#This Row],[Product]]))</f>
        <v>10</v>
      </c>
      <c r="K1834" s="64">
        <f>LEN(TRIM(Table22[[#This Row],[Sales Team]]))</f>
        <v>9</v>
      </c>
      <c r="L1834" s="23">
        <v>3</v>
      </c>
      <c r="M1834" s="65" t="str" cm="1">
        <f t="array" ref="M1834">_xlfn.IFS(Table22[[#This Row],[Units Sold]]&lt;40,"Critical",Table22[[#This Row],[Units Sold]]&lt;=50,"Poor",Table22[[#This Row],[Units Sold]]&lt;=60,"Low",Table22[[#This Row],[Units Sold]]&lt;=80,"Average",Table22[[#This Row],[Units Sold]]&lt;=90,"High",Table22[[#This Row],[Units Sold]]&lt;=95,"Excellent",Table22[[#This Row],[Units Sold]]&gt;95,"Outstanding")</f>
        <v>Critical</v>
      </c>
      <c r="N1834" s="29">
        <v>1130.46</v>
      </c>
      <c r="O1834" s="29">
        <v>3391.38</v>
      </c>
      <c r="P1834" s="43">
        <f>IF(Table22[[#This Row],[Discount Applied]],Table22[[#This Row],[Total Sales (in USD)]]*(1-Table22[[#This Row],[Discount Percentage (%)]]/100),Table22[[#This Row],[Total Sales (in USD)]])</f>
        <v>3308.6303280000002</v>
      </c>
      <c r="Q1834" s="66">
        <f>SQRT(AVERAGE((Table22[[#This Row],[Net Sales (after discount) (in USD)]]-AVERAGE(Table22[Net Sales (after discount) (in USD)]))^2))</f>
        <v>33202.730235764539</v>
      </c>
      <c r="R1834" s="18" t="b">
        <v>1</v>
      </c>
      <c r="S1834" s="40">
        <v>2.44</v>
      </c>
      <c r="T1834" s="18" t="b">
        <v>1</v>
      </c>
      <c r="U1834" s="25">
        <v>45349</v>
      </c>
      <c r="V1834" s="63" t="str">
        <f>IF(MONTH(Table22[[#This Row],[Sales Date]])&lt;=3,"Q1",IF(MONTH(Table22[[#This Row],[Sales Date]])&lt;=6,"Q2",IF(MONTH(Table22[[#This Row],[Sales Date]])&lt;=9,"Q3","Q4")))</f>
        <v>Q1</v>
      </c>
      <c r="W1834" s="64">
        <f>YEAR(Table22[[#This Row],[Sales Date]])</f>
        <v>2024</v>
      </c>
      <c r="X1834" s="23">
        <v>69</v>
      </c>
      <c r="Y1834" s="18" t="s">
        <v>49</v>
      </c>
      <c r="Z1834" s="18" t="s">
        <v>24</v>
      </c>
      <c r="AA1834" s="19" t="s">
        <v>25</v>
      </c>
    </row>
    <row r="1835" spans="1:27" x14ac:dyDescent="0.25">
      <c r="A1835" s="17" t="s">
        <v>163</v>
      </c>
      <c r="B1835" s="18" t="s">
        <v>51</v>
      </c>
      <c r="C1835" s="63" t="str" cm="1">
        <f t="array" ref="C1835">_xlfn.SWITCH(Table22[[#This Row],[Country]],"USA","North America","Canada","North America","Brazil","South America","China","Asia","Japan","Asia","India","Asia","France","Europe","Germany","Europe","UK","Europe","Australia","Oceania","South America")</f>
        <v>Europe</v>
      </c>
      <c r="D1835" s="18" t="s">
        <v>44</v>
      </c>
      <c r="E1835" s="18" t="s">
        <v>19</v>
      </c>
      <c r="F1835" s="18" t="s">
        <v>34</v>
      </c>
      <c r="G1835" s="18" t="s">
        <v>40</v>
      </c>
      <c r="H1835" s="64">
        <f>LEN(TRIM(Table22[[#This Row],[Country]]))</f>
        <v>2</v>
      </c>
      <c r="I1835" s="64">
        <f>LEN(TRIM(Table22[[#This Row],[Continent]]))</f>
        <v>6</v>
      </c>
      <c r="J1835" s="64">
        <f>LEN(TRIM(Table22[[#This Row],[Product]]))</f>
        <v>6</v>
      </c>
      <c r="K1835" s="64">
        <f>LEN(TRIM(Table22[[#This Row],[Sales Team]]))</f>
        <v>10</v>
      </c>
      <c r="L1835" s="23">
        <v>18</v>
      </c>
      <c r="M1835" s="65" t="str" cm="1">
        <f t="array" ref="M1835">_xlfn.IFS(Table22[[#This Row],[Units Sold]]&lt;40,"Critical",Table22[[#This Row],[Units Sold]]&lt;=50,"Poor",Table22[[#This Row],[Units Sold]]&lt;=60,"Low",Table22[[#This Row],[Units Sold]]&lt;=80,"Average",Table22[[#This Row],[Units Sold]]&lt;=90,"High",Table22[[#This Row],[Units Sold]]&lt;=95,"Excellent",Table22[[#This Row],[Units Sold]]&gt;95,"Outstanding")</f>
        <v>Critical</v>
      </c>
      <c r="N1835" s="29">
        <v>187.81</v>
      </c>
      <c r="O1835" s="29">
        <v>3380.58</v>
      </c>
      <c r="P1835" s="43">
        <f>IF(Table22[[#This Row],[Discount Applied]],Table22[[#This Row],[Total Sales (in USD)]]*(1-Table22[[#This Row],[Discount Percentage (%)]]/100),Table22[[#This Row],[Total Sales (in USD)]])</f>
        <v>2708.520696</v>
      </c>
      <c r="Q1835" s="66">
        <f>SQRT(AVERAGE((Table22[[#This Row],[Net Sales (after discount) (in USD)]]-AVERAGE(Table22[Net Sales (after discount) (in USD)]))^2))</f>
        <v>33802.839867764538</v>
      </c>
      <c r="R1835" s="18" t="b">
        <v>1</v>
      </c>
      <c r="S1835" s="40">
        <v>19.88</v>
      </c>
      <c r="T1835" s="18" t="b">
        <v>1</v>
      </c>
      <c r="U1835" s="25">
        <v>45048</v>
      </c>
      <c r="V1835" s="63" t="str">
        <f>IF(MONTH(Table22[[#This Row],[Sales Date]])&lt;=3,"Q1",IF(MONTH(Table22[[#This Row],[Sales Date]])&lt;=6,"Q2",IF(MONTH(Table22[[#This Row],[Sales Date]])&lt;=9,"Q3","Q4")))</f>
        <v>Q2</v>
      </c>
      <c r="W1835" s="64">
        <f>YEAR(Table22[[#This Row],[Sales Date]])</f>
        <v>2023</v>
      </c>
      <c r="X1835" s="23">
        <v>41</v>
      </c>
      <c r="Y1835" s="18" t="s">
        <v>23</v>
      </c>
      <c r="Z1835" s="18" t="s">
        <v>24</v>
      </c>
      <c r="AA1835" s="19" t="s">
        <v>36</v>
      </c>
    </row>
    <row r="1836" spans="1:27" x14ac:dyDescent="0.25">
      <c r="A1836" s="17" t="s">
        <v>807</v>
      </c>
      <c r="B1836" s="18" t="s">
        <v>62</v>
      </c>
      <c r="C1836" s="63" t="str" cm="1">
        <f t="array" ref="C1836">_xlfn.SWITCH(Table22[[#This Row],[Country]],"USA","North America","Canada","North America","Brazil","South America","China","Asia","Japan","Asia","India","Asia","France","Europe","Germany","Europe","UK","Europe","Australia","Oceania","South America")</f>
        <v>Oceania</v>
      </c>
      <c r="D1836" s="18" t="s">
        <v>28</v>
      </c>
      <c r="E1836" s="18" t="s">
        <v>39</v>
      </c>
      <c r="F1836" s="18" t="s">
        <v>34</v>
      </c>
      <c r="G1836" s="18" t="s">
        <v>40</v>
      </c>
      <c r="H1836" s="64">
        <f>LEN(TRIM(Table22[[#This Row],[Country]]))</f>
        <v>9</v>
      </c>
      <c r="I1836" s="64">
        <f>LEN(TRIM(Table22[[#This Row],[Continent]]))</f>
        <v>7</v>
      </c>
      <c r="J1836" s="64">
        <f>LEN(TRIM(Table22[[#This Row],[Product]]))</f>
        <v>10</v>
      </c>
      <c r="K1836" s="64">
        <f>LEN(TRIM(Table22[[#This Row],[Sales Team]]))</f>
        <v>10</v>
      </c>
      <c r="L1836" s="23">
        <v>10</v>
      </c>
      <c r="M1836" s="65" t="str" cm="1">
        <f t="array" ref="M1836">_xlfn.IFS(Table22[[#This Row],[Units Sold]]&lt;40,"Critical",Table22[[#This Row],[Units Sold]]&lt;=50,"Poor",Table22[[#This Row],[Units Sold]]&lt;=60,"Low",Table22[[#This Row],[Units Sold]]&lt;=80,"Average",Table22[[#This Row],[Units Sold]]&lt;=90,"High",Table22[[#This Row],[Units Sold]]&lt;=95,"Excellent",Table22[[#This Row],[Units Sold]]&gt;95,"Outstanding")</f>
        <v>Critical</v>
      </c>
      <c r="N1836" s="29">
        <v>338.04</v>
      </c>
      <c r="O1836" s="29">
        <v>3380.4</v>
      </c>
      <c r="P1836" s="43">
        <f>IF(Table22[[#This Row],[Discount Applied]],Table22[[#This Row],[Total Sales (in USD)]]*(1-Table22[[#This Row],[Discount Percentage (%)]]/100),Table22[[#This Row],[Total Sales (in USD)]])</f>
        <v>3380.4</v>
      </c>
      <c r="Q1836" s="66">
        <f>SQRT(AVERAGE((Table22[[#This Row],[Net Sales (after discount) (in USD)]]-AVERAGE(Table22[Net Sales (after discount) (in USD)]))^2))</f>
        <v>33130.960563764536</v>
      </c>
      <c r="R1836" s="18" t="b">
        <v>0</v>
      </c>
      <c r="S1836" s="40">
        <v>8.08</v>
      </c>
      <c r="T1836" s="18" t="b">
        <v>0</v>
      </c>
      <c r="U1836" s="25">
        <v>45562</v>
      </c>
      <c r="V1836" s="63" t="str">
        <f>IF(MONTH(Table22[[#This Row],[Sales Date]])&lt;=3,"Q1",IF(MONTH(Table22[[#This Row],[Sales Date]])&lt;=6,"Q2",IF(MONTH(Table22[[#This Row],[Sales Date]])&lt;=9,"Q3","Q4")))</f>
        <v>Q3</v>
      </c>
      <c r="W1836" s="64">
        <f>YEAR(Table22[[#This Row],[Sales Date]])</f>
        <v>2024</v>
      </c>
      <c r="X1836" s="23">
        <v>63</v>
      </c>
      <c r="Y1836" s="18" t="s">
        <v>41</v>
      </c>
      <c r="Z1836" s="18" t="s">
        <v>56</v>
      </c>
      <c r="AA1836" s="19" t="s">
        <v>25</v>
      </c>
    </row>
    <row r="1837" spans="1:27" x14ac:dyDescent="0.25">
      <c r="A1837" s="17" t="s">
        <v>1326</v>
      </c>
      <c r="B1837" s="18" t="s">
        <v>38</v>
      </c>
      <c r="C1837" s="63" t="str" cm="1">
        <f t="array" ref="C1837">_xlfn.SWITCH(Table22[[#This Row],[Country]],"USA","North America","Canada","North America","Brazil","South America","China","Asia","Japan","Asia","India","Asia","France","Europe","Germany","Europe","UK","Europe","Australia","Oceania","South America")</f>
        <v>Europe</v>
      </c>
      <c r="D1837" s="18" t="s">
        <v>21</v>
      </c>
      <c r="E1837" s="18" t="s">
        <v>39</v>
      </c>
      <c r="F1837" s="18" t="s">
        <v>34</v>
      </c>
      <c r="G1837" s="18" t="s">
        <v>22</v>
      </c>
      <c r="H1837" s="64">
        <f>LEN(TRIM(Table22[[#This Row],[Country]]))</f>
        <v>6</v>
      </c>
      <c r="I1837" s="64">
        <f>LEN(TRIM(Table22[[#This Row],[Continent]]))</f>
        <v>6</v>
      </c>
      <c r="J1837" s="64">
        <f>LEN(TRIM(Table22[[#This Row],[Product]]))</f>
        <v>10</v>
      </c>
      <c r="K1837" s="64">
        <f>LEN(TRIM(Table22[[#This Row],[Sales Team]]))</f>
        <v>10</v>
      </c>
      <c r="L1837" s="23">
        <v>17</v>
      </c>
      <c r="M1837" s="65" t="str" cm="1">
        <f t="array" ref="M1837">_xlfn.IFS(Table22[[#This Row],[Units Sold]]&lt;40,"Critical",Table22[[#This Row],[Units Sold]]&lt;=50,"Poor",Table22[[#This Row],[Units Sold]]&lt;=60,"Low",Table22[[#This Row],[Units Sold]]&lt;=80,"Average",Table22[[#This Row],[Units Sold]]&lt;=90,"High",Table22[[#This Row],[Units Sold]]&lt;=95,"Excellent",Table22[[#This Row],[Units Sold]]&gt;95,"Outstanding")</f>
        <v>Critical</v>
      </c>
      <c r="N1837" s="29">
        <v>198.01</v>
      </c>
      <c r="O1837" s="29">
        <v>3366.17</v>
      </c>
      <c r="P1837" s="43">
        <f>IF(Table22[[#This Row],[Discount Applied]],Table22[[#This Row],[Total Sales (in USD)]]*(1-Table22[[#This Row],[Discount Percentage (%)]]/100),Table22[[#This Row],[Total Sales (in USD)]])</f>
        <v>2815.4645880000003</v>
      </c>
      <c r="Q1837" s="66">
        <f>SQRT(AVERAGE((Table22[[#This Row],[Net Sales (after discount) (in USD)]]-AVERAGE(Table22[Net Sales (after discount) (in USD)]))^2))</f>
        <v>33695.895975764535</v>
      </c>
      <c r="R1837" s="18" t="b">
        <v>1</v>
      </c>
      <c r="S1837" s="40">
        <v>16.36</v>
      </c>
      <c r="T1837" s="18" t="b">
        <v>1</v>
      </c>
      <c r="U1837" s="25">
        <v>45048</v>
      </c>
      <c r="V1837" s="63" t="str">
        <f>IF(MONTH(Table22[[#This Row],[Sales Date]])&lt;=3,"Q1",IF(MONTH(Table22[[#This Row],[Sales Date]])&lt;=6,"Q2",IF(MONTH(Table22[[#This Row],[Sales Date]])&lt;=9,"Q3","Q4")))</f>
        <v>Q2</v>
      </c>
      <c r="W1837" s="64">
        <f>YEAR(Table22[[#This Row],[Sales Date]])</f>
        <v>2023</v>
      </c>
      <c r="X1837" s="23">
        <v>66</v>
      </c>
      <c r="Y1837" s="18" t="s">
        <v>23</v>
      </c>
      <c r="Z1837" s="18" t="s">
        <v>30</v>
      </c>
      <c r="AA1837" s="19" t="s">
        <v>25</v>
      </c>
    </row>
    <row r="1838" spans="1:27" x14ac:dyDescent="0.25">
      <c r="A1838" s="17" t="s">
        <v>1190</v>
      </c>
      <c r="B1838" s="18" t="s">
        <v>46</v>
      </c>
      <c r="C1838" s="63" t="str" cm="1">
        <f t="array" ref="C1838">_xlfn.SWITCH(Table22[[#This Row],[Country]],"USA","North America","Canada","North America","Brazil","South America","China","Asia","Japan","Asia","India","Asia","France","Europe","Germany","Europe","UK","Europe","Australia","Oceania","South America")</f>
        <v>South America</v>
      </c>
      <c r="D1838" s="18" t="s">
        <v>21</v>
      </c>
      <c r="E1838" s="18" t="s">
        <v>39</v>
      </c>
      <c r="F1838" s="18" t="s">
        <v>47</v>
      </c>
      <c r="G1838" s="18" t="s">
        <v>48</v>
      </c>
      <c r="H1838" s="64">
        <f>LEN(TRIM(Table22[[#This Row],[Country]]))</f>
        <v>6</v>
      </c>
      <c r="I1838" s="64">
        <f>LEN(TRIM(Table22[[#This Row],[Continent]]))</f>
        <v>13</v>
      </c>
      <c r="J1838" s="64">
        <f>LEN(TRIM(Table22[[#This Row],[Product]]))</f>
        <v>10</v>
      </c>
      <c r="K1838" s="64">
        <f>LEN(TRIM(Table22[[#This Row],[Sales Team]]))</f>
        <v>9</v>
      </c>
      <c r="L1838" s="23">
        <v>38</v>
      </c>
      <c r="M1838" s="65" t="str" cm="1">
        <f t="array" ref="M1838">_xlfn.IFS(Table22[[#This Row],[Units Sold]]&lt;40,"Critical",Table22[[#This Row],[Units Sold]]&lt;=50,"Poor",Table22[[#This Row],[Units Sold]]&lt;=60,"Low",Table22[[#This Row],[Units Sold]]&lt;=80,"Average",Table22[[#This Row],[Units Sold]]&lt;=90,"High",Table22[[#This Row],[Units Sold]]&lt;=95,"Excellent",Table22[[#This Row],[Units Sold]]&gt;95,"Outstanding")</f>
        <v>Critical</v>
      </c>
      <c r="N1838" s="29">
        <v>88.57</v>
      </c>
      <c r="O1838" s="29">
        <v>3365.66</v>
      </c>
      <c r="P1838" s="43">
        <f>IF(Table22[[#This Row],[Discount Applied]],Table22[[#This Row],[Total Sales (in USD)]]*(1-Table22[[#This Row],[Discount Percentage (%)]]/100),Table22[[#This Row],[Total Sales (in USD)]])</f>
        <v>3010.9194360000001</v>
      </c>
      <c r="Q1838" s="66">
        <f>SQRT(AVERAGE((Table22[[#This Row],[Net Sales (after discount) (in USD)]]-AVERAGE(Table22[Net Sales (after discount) (in USD)]))^2))</f>
        <v>33500.441127764541</v>
      </c>
      <c r="R1838" s="18" t="b">
        <v>1</v>
      </c>
      <c r="S1838" s="40">
        <v>10.54</v>
      </c>
      <c r="T1838" s="18" t="b">
        <v>1</v>
      </c>
      <c r="U1838" s="25">
        <v>45296</v>
      </c>
      <c r="V1838" s="63" t="str">
        <f>IF(MONTH(Table22[[#This Row],[Sales Date]])&lt;=3,"Q1",IF(MONTH(Table22[[#This Row],[Sales Date]])&lt;=6,"Q2",IF(MONTH(Table22[[#This Row],[Sales Date]])&lt;=9,"Q3","Q4")))</f>
        <v>Q1</v>
      </c>
      <c r="W1838" s="64">
        <f>YEAR(Table22[[#This Row],[Sales Date]])</f>
        <v>2024</v>
      </c>
      <c r="X1838" s="23">
        <v>29</v>
      </c>
      <c r="Y1838" s="18" t="s">
        <v>41</v>
      </c>
      <c r="Z1838" s="18" t="s">
        <v>24</v>
      </c>
      <c r="AA1838" s="19" t="s">
        <v>25</v>
      </c>
    </row>
    <row r="1839" spans="1:27" x14ac:dyDescent="0.25">
      <c r="A1839" s="17" t="s">
        <v>1861</v>
      </c>
      <c r="B1839" s="18" t="s">
        <v>32</v>
      </c>
      <c r="C1839" s="63" t="str" cm="1">
        <f t="array" ref="C1839">_xlfn.SWITCH(Table22[[#This Row],[Country]],"USA","North America","Canada","North America","Brazil","South America","China","Asia","Japan","Asia","India","Asia","France","Europe","Germany","Europe","UK","Europe","Australia","Oceania","South America")</f>
        <v>Asia</v>
      </c>
      <c r="D1839" s="18" t="s">
        <v>35</v>
      </c>
      <c r="E1839" s="18" t="s">
        <v>33</v>
      </c>
      <c r="F1839" s="18" t="s">
        <v>47</v>
      </c>
      <c r="G1839" s="18" t="s">
        <v>48</v>
      </c>
      <c r="H1839" s="64">
        <f>LEN(TRIM(Table22[[#This Row],[Country]]))</f>
        <v>5</v>
      </c>
      <c r="I1839" s="64">
        <f>LEN(TRIM(Table22[[#This Row],[Continent]]))</f>
        <v>4</v>
      </c>
      <c r="J1839" s="64">
        <f>LEN(TRIM(Table22[[#This Row],[Product]]))</f>
        <v>10</v>
      </c>
      <c r="K1839" s="64">
        <f>LEN(TRIM(Table22[[#This Row],[Sales Team]]))</f>
        <v>9</v>
      </c>
      <c r="L1839" s="23">
        <v>5</v>
      </c>
      <c r="M1839" s="65" t="str" cm="1">
        <f t="array" ref="M1839">_xlfn.IFS(Table22[[#This Row],[Units Sold]]&lt;40,"Critical",Table22[[#This Row],[Units Sold]]&lt;=50,"Poor",Table22[[#This Row],[Units Sold]]&lt;=60,"Low",Table22[[#This Row],[Units Sold]]&lt;=80,"Average",Table22[[#This Row],[Units Sold]]&lt;=90,"High",Table22[[#This Row],[Units Sold]]&lt;=95,"Excellent",Table22[[#This Row],[Units Sold]]&gt;95,"Outstanding")</f>
        <v>Critical</v>
      </c>
      <c r="N1839" s="29">
        <v>669.34</v>
      </c>
      <c r="O1839" s="29">
        <v>3346.7</v>
      </c>
      <c r="P1839" s="43">
        <f>IF(Table22[[#This Row],[Discount Applied]],Table22[[#This Row],[Total Sales (in USD)]]*(1-Table22[[#This Row],[Discount Percentage (%)]]/100),Table22[[#This Row],[Total Sales (in USD)]])</f>
        <v>2907.2782899999997</v>
      </c>
      <c r="Q1839" s="66">
        <f>SQRT(AVERAGE((Table22[[#This Row],[Net Sales (after discount) (in USD)]]-AVERAGE(Table22[Net Sales (after discount) (in USD)]))^2))</f>
        <v>33604.082273764536</v>
      </c>
      <c r="R1839" s="18" t="b">
        <v>0</v>
      </c>
      <c r="S1839" s="40">
        <v>13.13</v>
      </c>
      <c r="T1839" s="18" t="b">
        <v>1</v>
      </c>
      <c r="U1839" s="25">
        <v>45126</v>
      </c>
      <c r="V1839" s="63" t="str">
        <f>IF(MONTH(Table22[[#This Row],[Sales Date]])&lt;=3,"Q1",IF(MONTH(Table22[[#This Row],[Sales Date]])&lt;=6,"Q2",IF(MONTH(Table22[[#This Row],[Sales Date]])&lt;=9,"Q3","Q4")))</f>
        <v>Q3</v>
      </c>
      <c r="W1839" s="64">
        <f>YEAR(Table22[[#This Row],[Sales Date]])</f>
        <v>2023</v>
      </c>
      <c r="X1839" s="23">
        <v>33</v>
      </c>
      <c r="Y1839" s="18" t="s">
        <v>41</v>
      </c>
      <c r="Z1839" s="18" t="s">
        <v>24</v>
      </c>
      <c r="AA1839" s="19" t="s">
        <v>25</v>
      </c>
    </row>
    <row r="1840" spans="1:27" x14ac:dyDescent="0.25">
      <c r="A1840" s="17" t="s">
        <v>773</v>
      </c>
      <c r="B1840" s="18" t="s">
        <v>32</v>
      </c>
      <c r="C1840" s="63" t="str" cm="1">
        <f t="array" ref="C1840">_xlfn.SWITCH(Table22[[#This Row],[Country]],"USA","North America","Canada","North America","Brazil","South America","China","Asia","Japan","Asia","India","Asia","France","Europe","Germany","Europe","UK","Europe","Australia","Oceania","South America")</f>
        <v>Asia</v>
      </c>
      <c r="D1840" s="18" t="s">
        <v>21</v>
      </c>
      <c r="E1840" s="18" t="s">
        <v>33</v>
      </c>
      <c r="F1840" s="18" t="s">
        <v>34</v>
      </c>
      <c r="G1840" s="18" t="s">
        <v>40</v>
      </c>
      <c r="H1840" s="64">
        <f>LEN(TRIM(Table22[[#This Row],[Country]]))</f>
        <v>5</v>
      </c>
      <c r="I1840" s="64">
        <f>LEN(TRIM(Table22[[#This Row],[Continent]]))</f>
        <v>4</v>
      </c>
      <c r="J1840" s="64">
        <f>LEN(TRIM(Table22[[#This Row],[Product]]))</f>
        <v>10</v>
      </c>
      <c r="K1840" s="64">
        <f>LEN(TRIM(Table22[[#This Row],[Sales Team]]))</f>
        <v>10</v>
      </c>
      <c r="L1840" s="23">
        <v>3</v>
      </c>
      <c r="M1840" s="65" t="str" cm="1">
        <f t="array" ref="M1840">_xlfn.IFS(Table22[[#This Row],[Units Sold]]&lt;40,"Critical",Table22[[#This Row],[Units Sold]]&lt;=50,"Poor",Table22[[#This Row],[Units Sold]]&lt;=60,"Low",Table22[[#This Row],[Units Sold]]&lt;=80,"Average",Table22[[#This Row],[Units Sold]]&lt;=90,"High",Table22[[#This Row],[Units Sold]]&lt;=95,"Excellent",Table22[[#This Row],[Units Sold]]&gt;95,"Outstanding")</f>
        <v>Critical</v>
      </c>
      <c r="N1840" s="29">
        <v>1114.46</v>
      </c>
      <c r="O1840" s="29">
        <v>3343.38</v>
      </c>
      <c r="P1840" s="43">
        <f>IF(Table22[[#This Row],[Discount Applied]],Table22[[#This Row],[Total Sales (in USD)]]*(1-Table22[[#This Row],[Discount Percentage (%)]]/100),Table22[[#This Row],[Total Sales (in USD)]])</f>
        <v>2533.6133640000003</v>
      </c>
      <c r="Q1840" s="66">
        <f>SQRT(AVERAGE((Table22[[#This Row],[Net Sales (after discount) (in USD)]]-AVERAGE(Table22[Net Sales (after discount) (in USD)]))^2))</f>
        <v>33977.747199764541</v>
      </c>
      <c r="R1840" s="18" t="b">
        <v>0</v>
      </c>
      <c r="S1840" s="40">
        <v>24.22</v>
      </c>
      <c r="T1840" s="18" t="b">
        <v>1</v>
      </c>
      <c r="U1840" s="25">
        <v>45452</v>
      </c>
      <c r="V1840" s="63" t="str">
        <f>IF(MONTH(Table22[[#This Row],[Sales Date]])&lt;=3,"Q1",IF(MONTH(Table22[[#This Row],[Sales Date]])&lt;=6,"Q2",IF(MONTH(Table22[[#This Row],[Sales Date]])&lt;=9,"Q3","Q4")))</f>
        <v>Q2</v>
      </c>
      <c r="W1840" s="64">
        <f>YEAR(Table22[[#This Row],[Sales Date]])</f>
        <v>2024</v>
      </c>
      <c r="X1840" s="23">
        <v>65</v>
      </c>
      <c r="Y1840" s="18" t="s">
        <v>41</v>
      </c>
      <c r="Z1840" s="18" t="s">
        <v>56</v>
      </c>
      <c r="AA1840" s="19" t="s">
        <v>36</v>
      </c>
    </row>
    <row r="1841" spans="1:27" x14ac:dyDescent="0.25">
      <c r="A1841" s="17" t="s">
        <v>1607</v>
      </c>
      <c r="B1841" s="18" t="s">
        <v>72</v>
      </c>
      <c r="C1841" s="63" t="str" cm="1">
        <f t="array" ref="C1841">_xlfn.SWITCH(Table22[[#This Row],[Country]],"USA","North America","Canada","North America","Brazil","South America","China","Asia","Japan","Asia","India","Asia","France","Europe","Germany","Europe","UK","Europe","Australia","Oceania","South America")</f>
        <v>North America</v>
      </c>
      <c r="D1841" s="18" t="s">
        <v>28</v>
      </c>
      <c r="E1841" s="18" t="s">
        <v>39</v>
      </c>
      <c r="F1841" s="18" t="s">
        <v>64</v>
      </c>
      <c r="G1841" s="18" t="s">
        <v>40</v>
      </c>
      <c r="H1841" s="64">
        <f>LEN(TRIM(Table22[[#This Row],[Country]]))</f>
        <v>3</v>
      </c>
      <c r="I1841" s="64">
        <f>LEN(TRIM(Table22[[#This Row],[Continent]]))</f>
        <v>13</v>
      </c>
      <c r="J1841" s="64">
        <f>LEN(TRIM(Table22[[#This Row],[Product]]))</f>
        <v>10</v>
      </c>
      <c r="K1841" s="64">
        <f>LEN(TRIM(Table22[[#This Row],[Sales Team]]))</f>
        <v>10</v>
      </c>
      <c r="L1841" s="23">
        <v>20</v>
      </c>
      <c r="M1841" s="65" t="str" cm="1">
        <f t="array" ref="M1841">_xlfn.IFS(Table22[[#This Row],[Units Sold]]&lt;40,"Critical",Table22[[#This Row],[Units Sold]]&lt;=50,"Poor",Table22[[#This Row],[Units Sold]]&lt;=60,"Low",Table22[[#This Row],[Units Sold]]&lt;=80,"Average",Table22[[#This Row],[Units Sold]]&lt;=90,"High",Table22[[#This Row],[Units Sold]]&lt;=95,"Excellent",Table22[[#This Row],[Units Sold]]&gt;95,"Outstanding")</f>
        <v>Critical</v>
      </c>
      <c r="N1841" s="29">
        <v>165.79</v>
      </c>
      <c r="O1841" s="29">
        <v>3315.8</v>
      </c>
      <c r="P1841" s="43">
        <f>IF(Table22[[#This Row],[Discount Applied]],Table22[[#This Row],[Total Sales (in USD)]]*(1-Table22[[#This Row],[Discount Percentage (%)]]/100),Table22[[#This Row],[Total Sales (in USD)]])</f>
        <v>3315.8</v>
      </c>
      <c r="Q1841" s="66">
        <f>SQRT(AVERAGE((Table22[[#This Row],[Net Sales (after discount) (in USD)]]-AVERAGE(Table22[Net Sales (after discount) (in USD)]))^2))</f>
        <v>33195.560563764535</v>
      </c>
      <c r="R1841" s="18" t="b">
        <v>0</v>
      </c>
      <c r="S1841" s="40">
        <v>28.56</v>
      </c>
      <c r="T1841" s="18" t="b">
        <v>0</v>
      </c>
      <c r="U1841" s="25">
        <v>45501</v>
      </c>
      <c r="V1841" s="63" t="str">
        <f>IF(MONTH(Table22[[#This Row],[Sales Date]])&lt;=3,"Q1",IF(MONTH(Table22[[#This Row],[Sales Date]])&lt;=6,"Q2",IF(MONTH(Table22[[#This Row],[Sales Date]])&lt;=9,"Q3","Q4")))</f>
        <v>Q3</v>
      </c>
      <c r="W1841" s="64">
        <f>YEAR(Table22[[#This Row],[Sales Date]])</f>
        <v>2024</v>
      </c>
      <c r="X1841" s="23">
        <v>49</v>
      </c>
      <c r="Y1841" s="18" t="s">
        <v>41</v>
      </c>
      <c r="Z1841" s="18" t="s">
        <v>24</v>
      </c>
      <c r="AA1841" s="19" t="s">
        <v>25</v>
      </c>
    </row>
    <row r="1842" spans="1:27" x14ac:dyDescent="0.25">
      <c r="A1842" s="17" t="s">
        <v>1841</v>
      </c>
      <c r="B1842" s="18" t="s">
        <v>46</v>
      </c>
      <c r="C1842" s="63" t="str" cm="1">
        <f t="array" ref="C1842">_xlfn.SWITCH(Table22[[#This Row],[Country]],"USA","North America","Canada","North America","Brazil","South America","China","Asia","Japan","Asia","India","Asia","France","Europe","Germany","Europe","UK","Europe","Australia","Oceania","South America")</f>
        <v>South America</v>
      </c>
      <c r="D1842" s="18" t="s">
        <v>35</v>
      </c>
      <c r="E1842" s="18" t="s">
        <v>39</v>
      </c>
      <c r="F1842" s="18" t="s">
        <v>20</v>
      </c>
      <c r="G1842" s="18" t="s">
        <v>40</v>
      </c>
      <c r="H1842" s="64">
        <f>LEN(TRIM(Table22[[#This Row],[Country]]))</f>
        <v>6</v>
      </c>
      <c r="I1842" s="64">
        <f>LEN(TRIM(Table22[[#This Row],[Continent]]))</f>
        <v>13</v>
      </c>
      <c r="J1842" s="64">
        <f>LEN(TRIM(Table22[[#This Row],[Product]]))</f>
        <v>10</v>
      </c>
      <c r="K1842" s="64">
        <f>LEN(TRIM(Table22[[#This Row],[Sales Team]]))</f>
        <v>10</v>
      </c>
      <c r="L1842" s="23">
        <v>40</v>
      </c>
      <c r="M1842" s="65" t="str" cm="1">
        <f t="array" ref="M1842">_xlfn.IFS(Table22[[#This Row],[Units Sold]]&lt;40,"Critical",Table22[[#This Row],[Units Sold]]&lt;=50,"Poor",Table22[[#This Row],[Units Sold]]&lt;=60,"Low",Table22[[#This Row],[Units Sold]]&lt;=80,"Average",Table22[[#This Row],[Units Sold]]&lt;=90,"High",Table22[[#This Row],[Units Sold]]&lt;=95,"Excellent",Table22[[#This Row],[Units Sold]]&gt;95,"Outstanding")</f>
        <v>Poor</v>
      </c>
      <c r="N1842" s="29">
        <v>82.78</v>
      </c>
      <c r="O1842" s="29">
        <v>3311.2</v>
      </c>
      <c r="P1842" s="43">
        <f>IF(Table22[[#This Row],[Discount Applied]],Table22[[#This Row],[Total Sales (in USD)]]*(1-Table22[[#This Row],[Discount Percentage (%)]]/100),Table22[[#This Row],[Total Sales (in USD)]])</f>
        <v>3311.2</v>
      </c>
      <c r="Q1842" s="66">
        <f>SQRT(AVERAGE((Table22[[#This Row],[Net Sales (after discount) (in USD)]]-AVERAGE(Table22[Net Sales (after discount) (in USD)]))^2))</f>
        <v>33200.160563764541</v>
      </c>
      <c r="R1842" s="18" t="b">
        <v>1</v>
      </c>
      <c r="S1842" s="40">
        <v>24.09</v>
      </c>
      <c r="T1842" s="18" t="b">
        <v>0</v>
      </c>
      <c r="U1842" s="25">
        <v>45322</v>
      </c>
      <c r="V1842" s="63" t="str">
        <f>IF(MONTH(Table22[[#This Row],[Sales Date]])&lt;=3,"Q1",IF(MONTH(Table22[[#This Row],[Sales Date]])&lt;=6,"Q2",IF(MONTH(Table22[[#This Row],[Sales Date]])&lt;=9,"Q3","Q4")))</f>
        <v>Q1</v>
      </c>
      <c r="W1842" s="64">
        <f>YEAR(Table22[[#This Row],[Sales Date]])</f>
        <v>2024</v>
      </c>
      <c r="X1842" s="23">
        <v>37</v>
      </c>
      <c r="Y1842" s="18" t="s">
        <v>41</v>
      </c>
      <c r="Z1842" s="18" t="s">
        <v>30</v>
      </c>
      <c r="AA1842" s="19" t="s">
        <v>36</v>
      </c>
    </row>
    <row r="1843" spans="1:27" x14ac:dyDescent="0.25">
      <c r="A1843" s="17" t="s">
        <v>1769</v>
      </c>
      <c r="B1843" s="18" t="s">
        <v>51</v>
      </c>
      <c r="C1843" s="63" t="str" cm="1">
        <f t="array" ref="C1843">_xlfn.SWITCH(Table22[[#This Row],[Country]],"USA","North America","Canada","North America","Brazil","South America","China","Asia","Japan","Asia","India","Asia","France","Europe","Germany","Europe","UK","Europe","Australia","Oceania","South America")</f>
        <v>Europe</v>
      </c>
      <c r="D1843" s="18" t="s">
        <v>21</v>
      </c>
      <c r="E1843" s="18" t="s">
        <v>33</v>
      </c>
      <c r="F1843" s="18" t="s">
        <v>34</v>
      </c>
      <c r="G1843" s="18" t="s">
        <v>22</v>
      </c>
      <c r="H1843" s="64">
        <f>LEN(TRIM(Table22[[#This Row],[Country]]))</f>
        <v>2</v>
      </c>
      <c r="I1843" s="64">
        <f>LEN(TRIM(Table22[[#This Row],[Continent]]))</f>
        <v>6</v>
      </c>
      <c r="J1843" s="64">
        <f>LEN(TRIM(Table22[[#This Row],[Product]]))</f>
        <v>10</v>
      </c>
      <c r="K1843" s="64">
        <f>LEN(TRIM(Table22[[#This Row],[Sales Team]]))</f>
        <v>10</v>
      </c>
      <c r="L1843" s="23">
        <v>41</v>
      </c>
      <c r="M1843" s="65" t="str" cm="1">
        <f t="array" ref="M1843">_xlfn.IFS(Table22[[#This Row],[Units Sold]]&lt;40,"Critical",Table22[[#This Row],[Units Sold]]&lt;=50,"Poor",Table22[[#This Row],[Units Sold]]&lt;=60,"Low",Table22[[#This Row],[Units Sold]]&lt;=80,"Average",Table22[[#This Row],[Units Sold]]&lt;=90,"High",Table22[[#This Row],[Units Sold]]&lt;=95,"Excellent",Table22[[#This Row],[Units Sold]]&gt;95,"Outstanding")</f>
        <v>Poor</v>
      </c>
      <c r="N1843" s="29">
        <v>80.349999999999994</v>
      </c>
      <c r="O1843" s="29">
        <v>3294.35</v>
      </c>
      <c r="P1843" s="43">
        <f>IF(Table22[[#This Row],[Discount Applied]],Table22[[#This Row],[Total Sales (in USD)]]*(1-Table22[[#This Row],[Discount Percentage (%)]]/100),Table22[[#This Row],[Total Sales (in USD)]])</f>
        <v>3294.35</v>
      </c>
      <c r="Q1843" s="66">
        <f>SQRT(AVERAGE((Table22[[#This Row],[Net Sales (after discount) (in USD)]]-AVERAGE(Table22[Net Sales (after discount) (in USD)]))^2))</f>
        <v>33217.010563764539</v>
      </c>
      <c r="R1843" s="18" t="b">
        <v>0</v>
      </c>
      <c r="S1843" s="40">
        <v>18.16</v>
      </c>
      <c r="T1843" s="18" t="b">
        <v>0</v>
      </c>
      <c r="U1843" s="25">
        <v>45379</v>
      </c>
      <c r="V1843" s="63" t="str">
        <f>IF(MONTH(Table22[[#This Row],[Sales Date]])&lt;=3,"Q1",IF(MONTH(Table22[[#This Row],[Sales Date]])&lt;=6,"Q2",IF(MONTH(Table22[[#This Row],[Sales Date]])&lt;=9,"Q3","Q4")))</f>
        <v>Q1</v>
      </c>
      <c r="W1843" s="64">
        <f>YEAR(Table22[[#This Row],[Sales Date]])</f>
        <v>2024</v>
      </c>
      <c r="X1843" s="23">
        <v>50</v>
      </c>
      <c r="Y1843" s="18" t="s">
        <v>49</v>
      </c>
      <c r="Z1843" s="18" t="s">
        <v>42</v>
      </c>
      <c r="AA1843" s="19" t="s">
        <v>36</v>
      </c>
    </row>
    <row r="1844" spans="1:27" x14ac:dyDescent="0.25">
      <c r="A1844" s="17" t="s">
        <v>1945</v>
      </c>
      <c r="B1844" s="18" t="s">
        <v>46</v>
      </c>
      <c r="C1844" s="63" t="str" cm="1">
        <f t="array" ref="C1844">_xlfn.SWITCH(Table22[[#This Row],[Country]],"USA","North America","Canada","North America","Brazil","South America","China","Asia","Japan","Asia","India","Asia","France","Europe","Germany","Europe","UK","Europe","Australia","Oceania","South America")</f>
        <v>South America</v>
      </c>
      <c r="D1844" s="18" t="s">
        <v>21</v>
      </c>
      <c r="E1844" s="18" t="s">
        <v>33</v>
      </c>
      <c r="F1844" s="18" t="s">
        <v>64</v>
      </c>
      <c r="G1844" s="18" t="s">
        <v>29</v>
      </c>
      <c r="H1844" s="64">
        <f>LEN(TRIM(Table22[[#This Row],[Country]]))</f>
        <v>6</v>
      </c>
      <c r="I1844" s="64">
        <f>LEN(TRIM(Table22[[#This Row],[Continent]]))</f>
        <v>13</v>
      </c>
      <c r="J1844" s="64">
        <f>LEN(TRIM(Table22[[#This Row],[Product]]))</f>
        <v>10</v>
      </c>
      <c r="K1844" s="64">
        <f>LEN(TRIM(Table22[[#This Row],[Sales Team]]))</f>
        <v>10</v>
      </c>
      <c r="L1844" s="23">
        <v>9</v>
      </c>
      <c r="M1844" s="65" t="str" cm="1">
        <f t="array" ref="M1844">_xlfn.IFS(Table22[[#This Row],[Units Sold]]&lt;40,"Critical",Table22[[#This Row],[Units Sold]]&lt;=50,"Poor",Table22[[#This Row],[Units Sold]]&lt;=60,"Low",Table22[[#This Row],[Units Sold]]&lt;=80,"Average",Table22[[#This Row],[Units Sold]]&lt;=90,"High",Table22[[#This Row],[Units Sold]]&lt;=95,"Excellent",Table22[[#This Row],[Units Sold]]&gt;95,"Outstanding")</f>
        <v>Critical</v>
      </c>
      <c r="N1844" s="29">
        <v>365.96</v>
      </c>
      <c r="O1844" s="29">
        <v>3293.64</v>
      </c>
      <c r="P1844" s="43">
        <f>IF(Table22[[#This Row],[Discount Applied]],Table22[[#This Row],[Total Sales (in USD)]]*(1-Table22[[#This Row],[Discount Percentage (%)]]/100),Table22[[#This Row],[Total Sales (in USD)]])</f>
        <v>2396.7818280000001</v>
      </c>
      <c r="Q1844" s="66">
        <f>SQRT(AVERAGE((Table22[[#This Row],[Net Sales (after discount) (in USD)]]-AVERAGE(Table22[Net Sales (after discount) (in USD)]))^2))</f>
        <v>34114.578735764539</v>
      </c>
      <c r="R1844" s="18" t="b">
        <v>0</v>
      </c>
      <c r="S1844" s="40">
        <v>27.23</v>
      </c>
      <c r="T1844" s="18" t="b">
        <v>1</v>
      </c>
      <c r="U1844" s="25">
        <v>45490</v>
      </c>
      <c r="V1844" s="63" t="str">
        <f>IF(MONTH(Table22[[#This Row],[Sales Date]])&lt;=3,"Q1",IF(MONTH(Table22[[#This Row],[Sales Date]])&lt;=6,"Q2",IF(MONTH(Table22[[#This Row],[Sales Date]])&lt;=9,"Q3","Q4")))</f>
        <v>Q3</v>
      </c>
      <c r="W1844" s="64">
        <f>YEAR(Table22[[#This Row],[Sales Date]])</f>
        <v>2024</v>
      </c>
      <c r="X1844" s="23">
        <v>62</v>
      </c>
      <c r="Y1844" s="18" t="s">
        <v>49</v>
      </c>
      <c r="Z1844" s="18" t="s">
        <v>42</v>
      </c>
      <c r="AA1844" s="19" t="s">
        <v>36</v>
      </c>
    </row>
    <row r="1845" spans="1:27" x14ac:dyDescent="0.25">
      <c r="A1845" s="17" t="s">
        <v>1717</v>
      </c>
      <c r="B1845" s="18" t="s">
        <v>18</v>
      </c>
      <c r="C1845" s="63" t="str" cm="1">
        <f t="array" ref="C1845">_xlfn.SWITCH(Table22[[#This Row],[Country]],"USA","North America","Canada","North America","Brazil","South America","China","Asia","Japan","Asia","India","Asia","France","Europe","Germany","Europe","UK","Europe","Australia","Oceania","South America")</f>
        <v>Asia</v>
      </c>
      <c r="D1845" s="18" t="s">
        <v>21</v>
      </c>
      <c r="E1845" s="18" t="s">
        <v>33</v>
      </c>
      <c r="F1845" s="18" t="s">
        <v>47</v>
      </c>
      <c r="G1845" s="18" t="s">
        <v>48</v>
      </c>
      <c r="H1845" s="64">
        <f>LEN(TRIM(Table22[[#This Row],[Country]]))</f>
        <v>5</v>
      </c>
      <c r="I1845" s="64">
        <f>LEN(TRIM(Table22[[#This Row],[Continent]]))</f>
        <v>4</v>
      </c>
      <c r="J1845" s="64">
        <f>LEN(TRIM(Table22[[#This Row],[Product]]))</f>
        <v>10</v>
      </c>
      <c r="K1845" s="64">
        <f>LEN(TRIM(Table22[[#This Row],[Sales Team]]))</f>
        <v>9</v>
      </c>
      <c r="L1845" s="23">
        <v>53</v>
      </c>
      <c r="M1845" s="65" t="str" cm="1">
        <f t="array" ref="M1845">_xlfn.IFS(Table22[[#This Row],[Units Sold]]&lt;40,"Critical",Table22[[#This Row],[Units Sold]]&lt;=50,"Poor",Table22[[#This Row],[Units Sold]]&lt;=60,"Low",Table22[[#This Row],[Units Sold]]&lt;=80,"Average",Table22[[#This Row],[Units Sold]]&lt;=90,"High",Table22[[#This Row],[Units Sold]]&lt;=95,"Excellent",Table22[[#This Row],[Units Sold]]&gt;95,"Outstanding")</f>
        <v>Low</v>
      </c>
      <c r="N1845" s="29">
        <v>61.29</v>
      </c>
      <c r="O1845" s="29">
        <v>3248.37</v>
      </c>
      <c r="P1845" s="43">
        <f>IF(Table22[[#This Row],[Discount Applied]],Table22[[#This Row],[Total Sales (in USD)]]*(1-Table22[[#This Row],[Discount Percentage (%)]]/100),Table22[[#This Row],[Total Sales (in USD)]])</f>
        <v>3248.37</v>
      </c>
      <c r="Q1845" s="66">
        <f>SQRT(AVERAGE((Table22[[#This Row],[Net Sales (after discount) (in USD)]]-AVERAGE(Table22[Net Sales (after discount) (in USD)]))^2))</f>
        <v>33262.990563764535</v>
      </c>
      <c r="R1845" s="18" t="b">
        <v>1</v>
      </c>
      <c r="S1845" s="40">
        <v>6.15</v>
      </c>
      <c r="T1845" s="18" t="b">
        <v>0</v>
      </c>
      <c r="U1845" s="25">
        <v>45459</v>
      </c>
      <c r="V1845" s="63" t="str">
        <f>IF(MONTH(Table22[[#This Row],[Sales Date]])&lt;=3,"Q1",IF(MONTH(Table22[[#This Row],[Sales Date]])&lt;=6,"Q2",IF(MONTH(Table22[[#This Row],[Sales Date]])&lt;=9,"Q3","Q4")))</f>
        <v>Q2</v>
      </c>
      <c r="W1845" s="64">
        <f>YEAR(Table22[[#This Row],[Sales Date]])</f>
        <v>2024</v>
      </c>
      <c r="X1845" s="23">
        <v>42</v>
      </c>
      <c r="Y1845" s="18" t="s">
        <v>49</v>
      </c>
      <c r="Z1845" s="18" t="s">
        <v>30</v>
      </c>
      <c r="AA1845" s="19" t="s">
        <v>36</v>
      </c>
    </row>
    <row r="1846" spans="1:27" x14ac:dyDescent="0.25">
      <c r="A1846" s="17" t="s">
        <v>60</v>
      </c>
      <c r="B1846" s="18" t="s">
        <v>51</v>
      </c>
      <c r="C1846" s="63" t="str" cm="1">
        <f t="array" ref="C1846">_xlfn.SWITCH(Table22[[#This Row],[Country]],"USA","North America","Canada","North America","Brazil","South America","China","Asia","Japan","Asia","India","Asia","France","Europe","Germany","Europe","UK","Europe","Australia","Oceania","South America")</f>
        <v>Europe</v>
      </c>
      <c r="D1846" s="18" t="s">
        <v>21</v>
      </c>
      <c r="E1846" s="18" t="s">
        <v>39</v>
      </c>
      <c r="F1846" s="18" t="s">
        <v>20</v>
      </c>
      <c r="G1846" s="18" t="s">
        <v>48</v>
      </c>
      <c r="H1846" s="64">
        <f>LEN(TRIM(Table22[[#This Row],[Country]]))</f>
        <v>2</v>
      </c>
      <c r="I1846" s="64">
        <f>LEN(TRIM(Table22[[#This Row],[Continent]]))</f>
        <v>6</v>
      </c>
      <c r="J1846" s="64">
        <f>LEN(TRIM(Table22[[#This Row],[Product]]))</f>
        <v>10</v>
      </c>
      <c r="K1846" s="64">
        <f>LEN(TRIM(Table22[[#This Row],[Sales Team]]))</f>
        <v>9</v>
      </c>
      <c r="L1846" s="23">
        <v>14</v>
      </c>
      <c r="M1846" s="65" t="str" cm="1">
        <f t="array" ref="M1846">_xlfn.IFS(Table22[[#This Row],[Units Sold]]&lt;40,"Critical",Table22[[#This Row],[Units Sold]]&lt;=50,"Poor",Table22[[#This Row],[Units Sold]]&lt;=60,"Low",Table22[[#This Row],[Units Sold]]&lt;=80,"Average",Table22[[#This Row],[Units Sold]]&lt;=90,"High",Table22[[#This Row],[Units Sold]]&lt;=95,"Excellent",Table22[[#This Row],[Units Sold]]&gt;95,"Outstanding")</f>
        <v>Critical</v>
      </c>
      <c r="N1846" s="29">
        <v>232.01</v>
      </c>
      <c r="O1846" s="29">
        <v>3248.14</v>
      </c>
      <c r="P1846" s="43">
        <f>IF(Table22[[#This Row],[Discount Applied]],Table22[[#This Row],[Total Sales (in USD)]]*(1-Table22[[#This Row],[Discount Percentage (%)]]/100),Table22[[#This Row],[Total Sales (in USD)]])</f>
        <v>2840.4984300000001</v>
      </c>
      <c r="Q1846" s="66">
        <f>SQRT(AVERAGE((Table22[[#This Row],[Net Sales (after discount) (in USD)]]-AVERAGE(Table22[Net Sales (after discount) (in USD)]))^2))</f>
        <v>33670.862133764538</v>
      </c>
      <c r="R1846" s="18" t="b">
        <v>0</v>
      </c>
      <c r="S1846" s="40">
        <v>12.55</v>
      </c>
      <c r="T1846" s="18" t="b">
        <v>1</v>
      </c>
      <c r="U1846" s="25">
        <v>45098</v>
      </c>
      <c r="V1846" s="63" t="str">
        <f>IF(MONTH(Table22[[#This Row],[Sales Date]])&lt;=3,"Q1",IF(MONTH(Table22[[#This Row],[Sales Date]])&lt;=6,"Q2",IF(MONTH(Table22[[#This Row],[Sales Date]])&lt;=9,"Q3","Q4")))</f>
        <v>Q2</v>
      </c>
      <c r="W1846" s="64">
        <f>YEAR(Table22[[#This Row],[Sales Date]])</f>
        <v>2023</v>
      </c>
      <c r="X1846" s="23">
        <v>27</v>
      </c>
      <c r="Y1846" s="18" t="s">
        <v>49</v>
      </c>
      <c r="Z1846" s="18" t="s">
        <v>56</v>
      </c>
      <c r="AA1846" s="19" t="s">
        <v>25</v>
      </c>
    </row>
    <row r="1847" spans="1:27" x14ac:dyDescent="0.25">
      <c r="A1847" s="17" t="s">
        <v>1229</v>
      </c>
      <c r="B1847" s="18" t="s">
        <v>32</v>
      </c>
      <c r="C1847" s="63" t="str" cm="1">
        <f t="array" ref="C1847">_xlfn.SWITCH(Table22[[#This Row],[Country]],"USA","North America","Canada","North America","Brazil","South America","China","Asia","Japan","Asia","India","Asia","France","Europe","Germany","Europe","UK","Europe","Australia","Oceania","South America")</f>
        <v>Asia</v>
      </c>
      <c r="D1847" s="18" t="s">
        <v>21</v>
      </c>
      <c r="E1847" s="18" t="s">
        <v>39</v>
      </c>
      <c r="F1847" s="18" t="s">
        <v>20</v>
      </c>
      <c r="G1847" s="18" t="s">
        <v>40</v>
      </c>
      <c r="H1847" s="64">
        <f>LEN(TRIM(Table22[[#This Row],[Country]]))</f>
        <v>5</v>
      </c>
      <c r="I1847" s="64">
        <f>LEN(TRIM(Table22[[#This Row],[Continent]]))</f>
        <v>4</v>
      </c>
      <c r="J1847" s="64">
        <f>LEN(TRIM(Table22[[#This Row],[Product]]))</f>
        <v>10</v>
      </c>
      <c r="K1847" s="64">
        <f>LEN(TRIM(Table22[[#This Row],[Sales Team]]))</f>
        <v>10</v>
      </c>
      <c r="L1847" s="23">
        <v>17</v>
      </c>
      <c r="M1847" s="65" t="str" cm="1">
        <f t="array" ref="M1847">_xlfn.IFS(Table22[[#This Row],[Units Sold]]&lt;40,"Critical",Table22[[#This Row],[Units Sold]]&lt;=50,"Poor",Table22[[#This Row],[Units Sold]]&lt;=60,"Low",Table22[[#This Row],[Units Sold]]&lt;=80,"Average",Table22[[#This Row],[Units Sold]]&lt;=90,"High",Table22[[#This Row],[Units Sold]]&lt;=95,"Excellent",Table22[[#This Row],[Units Sold]]&gt;95,"Outstanding")</f>
        <v>Critical</v>
      </c>
      <c r="N1847" s="29">
        <v>190.05</v>
      </c>
      <c r="O1847" s="29">
        <v>3230.85</v>
      </c>
      <c r="P1847" s="43">
        <f>IF(Table22[[#This Row],[Discount Applied]],Table22[[#This Row],[Total Sales (in USD)]]*(1-Table22[[#This Row],[Discount Percentage (%)]]/100),Table22[[#This Row],[Total Sales (in USD)]])</f>
        <v>3230.85</v>
      </c>
      <c r="Q1847" s="66">
        <f>SQRT(AVERAGE((Table22[[#This Row],[Net Sales (after discount) (in USD)]]-AVERAGE(Table22[Net Sales (after discount) (in USD)]))^2))</f>
        <v>33280.510563764539</v>
      </c>
      <c r="R1847" s="18" t="b">
        <v>1</v>
      </c>
      <c r="S1847" s="40">
        <v>14.01</v>
      </c>
      <c r="T1847" s="18" t="b">
        <v>0</v>
      </c>
      <c r="U1847" s="25">
        <v>45370</v>
      </c>
      <c r="V1847" s="63" t="str">
        <f>IF(MONTH(Table22[[#This Row],[Sales Date]])&lt;=3,"Q1",IF(MONTH(Table22[[#This Row],[Sales Date]])&lt;=6,"Q2",IF(MONTH(Table22[[#This Row],[Sales Date]])&lt;=9,"Q3","Q4")))</f>
        <v>Q1</v>
      </c>
      <c r="W1847" s="64">
        <f>YEAR(Table22[[#This Row],[Sales Date]])</f>
        <v>2024</v>
      </c>
      <c r="X1847" s="23">
        <v>26</v>
      </c>
      <c r="Y1847" s="18" t="s">
        <v>23</v>
      </c>
      <c r="Z1847" s="18" t="s">
        <v>24</v>
      </c>
      <c r="AA1847" s="19" t="s">
        <v>25</v>
      </c>
    </row>
    <row r="1848" spans="1:27" x14ac:dyDescent="0.25">
      <c r="A1848" s="17" t="s">
        <v>1058</v>
      </c>
      <c r="B1848" s="18" t="s">
        <v>38</v>
      </c>
      <c r="C1848" s="63" t="str" cm="1">
        <f t="array" ref="C1848">_xlfn.SWITCH(Table22[[#This Row],[Country]],"USA","North America","Canada","North America","Brazil","South America","China","Asia","Japan","Asia","India","Asia","France","Europe","Germany","Europe","UK","Europe","Australia","Oceania","South America")</f>
        <v>Europe</v>
      </c>
      <c r="D1848" s="18" t="s">
        <v>21</v>
      </c>
      <c r="E1848" s="18" t="s">
        <v>33</v>
      </c>
      <c r="F1848" s="18" t="s">
        <v>34</v>
      </c>
      <c r="G1848" s="18" t="s">
        <v>29</v>
      </c>
      <c r="H1848" s="64">
        <f>LEN(TRIM(Table22[[#This Row],[Country]]))</f>
        <v>6</v>
      </c>
      <c r="I1848" s="64">
        <f>LEN(TRIM(Table22[[#This Row],[Continent]]))</f>
        <v>6</v>
      </c>
      <c r="J1848" s="64">
        <f>LEN(TRIM(Table22[[#This Row],[Product]]))</f>
        <v>10</v>
      </c>
      <c r="K1848" s="64">
        <f>LEN(TRIM(Table22[[#This Row],[Sales Team]]))</f>
        <v>10</v>
      </c>
      <c r="L1848" s="23">
        <v>3</v>
      </c>
      <c r="M1848" s="65" t="str" cm="1">
        <f t="array" ref="M1848">_xlfn.IFS(Table22[[#This Row],[Units Sold]]&lt;40,"Critical",Table22[[#This Row],[Units Sold]]&lt;=50,"Poor",Table22[[#This Row],[Units Sold]]&lt;=60,"Low",Table22[[#This Row],[Units Sold]]&lt;=80,"Average",Table22[[#This Row],[Units Sold]]&lt;=90,"High",Table22[[#This Row],[Units Sold]]&lt;=95,"Excellent",Table22[[#This Row],[Units Sold]]&gt;95,"Outstanding")</f>
        <v>Critical</v>
      </c>
      <c r="N1848" s="29">
        <v>1069.27</v>
      </c>
      <c r="O1848" s="29">
        <v>3207.81</v>
      </c>
      <c r="P1848" s="43">
        <f>IF(Table22[[#This Row],[Discount Applied]],Table22[[#This Row],[Total Sales (in USD)]]*(1-Table22[[#This Row],[Discount Percentage (%)]]/100),Table22[[#This Row],[Total Sales (in USD)]])</f>
        <v>3207.81</v>
      </c>
      <c r="Q1848" s="66">
        <f>SQRT(AVERAGE((Table22[[#This Row],[Net Sales (after discount) (in USD)]]-AVERAGE(Table22[Net Sales (after discount) (in USD)]))^2))</f>
        <v>33303.55056376454</v>
      </c>
      <c r="R1848" s="18" t="b">
        <v>0</v>
      </c>
      <c r="S1848" s="40">
        <v>3.35</v>
      </c>
      <c r="T1848" s="18" t="b">
        <v>0</v>
      </c>
      <c r="U1848" s="25">
        <v>45488</v>
      </c>
      <c r="V1848" s="63" t="str">
        <f>IF(MONTH(Table22[[#This Row],[Sales Date]])&lt;=3,"Q1",IF(MONTH(Table22[[#This Row],[Sales Date]])&lt;=6,"Q2",IF(MONTH(Table22[[#This Row],[Sales Date]])&lt;=9,"Q3","Q4")))</f>
        <v>Q3</v>
      </c>
      <c r="W1848" s="64">
        <f>YEAR(Table22[[#This Row],[Sales Date]])</f>
        <v>2024</v>
      </c>
      <c r="X1848" s="23">
        <v>21</v>
      </c>
      <c r="Y1848" s="18" t="s">
        <v>41</v>
      </c>
      <c r="Z1848" s="18" t="s">
        <v>56</v>
      </c>
      <c r="AA1848" s="19" t="s">
        <v>36</v>
      </c>
    </row>
    <row r="1849" spans="1:27" x14ac:dyDescent="0.25">
      <c r="A1849" s="17" t="s">
        <v>91</v>
      </c>
      <c r="B1849" s="18" t="s">
        <v>27</v>
      </c>
      <c r="C1849" s="63" t="str" cm="1">
        <f t="array" ref="C1849">_xlfn.SWITCH(Table22[[#This Row],[Country]],"USA","North America","Canada","North America","Brazil","South America","China","Asia","Japan","Asia","India","Asia","France","Europe","Germany","Europe","UK","Europe","Australia","Oceania","South America")</f>
        <v>Europe</v>
      </c>
      <c r="D1849" s="18" t="s">
        <v>44</v>
      </c>
      <c r="E1849" s="18" t="s">
        <v>19</v>
      </c>
      <c r="F1849" s="18" t="s">
        <v>64</v>
      </c>
      <c r="G1849" s="18" t="s">
        <v>48</v>
      </c>
      <c r="H1849" s="64">
        <f>LEN(TRIM(Table22[[#This Row],[Country]]))</f>
        <v>7</v>
      </c>
      <c r="I1849" s="64">
        <f>LEN(TRIM(Table22[[#This Row],[Continent]]))</f>
        <v>6</v>
      </c>
      <c r="J1849" s="64">
        <f>LEN(TRIM(Table22[[#This Row],[Product]]))</f>
        <v>6</v>
      </c>
      <c r="K1849" s="64">
        <f>LEN(TRIM(Table22[[#This Row],[Sales Team]]))</f>
        <v>9</v>
      </c>
      <c r="L1849" s="23">
        <v>5</v>
      </c>
      <c r="M1849" s="65" t="str" cm="1">
        <f t="array" ref="M1849">_xlfn.IFS(Table22[[#This Row],[Units Sold]]&lt;40,"Critical",Table22[[#This Row],[Units Sold]]&lt;=50,"Poor",Table22[[#This Row],[Units Sold]]&lt;=60,"Low",Table22[[#This Row],[Units Sold]]&lt;=80,"Average",Table22[[#This Row],[Units Sold]]&lt;=90,"High",Table22[[#This Row],[Units Sold]]&lt;=95,"Excellent",Table22[[#This Row],[Units Sold]]&gt;95,"Outstanding")</f>
        <v>Critical</v>
      </c>
      <c r="N1849" s="29">
        <v>641.42999999999995</v>
      </c>
      <c r="O1849" s="29">
        <v>3207.15</v>
      </c>
      <c r="P1849" s="43">
        <f>IF(Table22[[#This Row],[Discount Applied]],Table22[[#This Row],[Total Sales (in USD)]]*(1-Table22[[#This Row],[Discount Percentage (%)]]/100),Table22[[#This Row],[Total Sales (in USD)]])</f>
        <v>2593.3014899999998</v>
      </c>
      <c r="Q1849" s="66">
        <f>SQRT(AVERAGE((Table22[[#This Row],[Net Sales (after discount) (in USD)]]-AVERAGE(Table22[Net Sales (after discount) (in USD)]))^2))</f>
        <v>33918.05907376454</v>
      </c>
      <c r="R1849" s="18" t="b">
        <v>1</v>
      </c>
      <c r="S1849" s="40">
        <v>19.14</v>
      </c>
      <c r="T1849" s="18" t="b">
        <v>1</v>
      </c>
      <c r="U1849" s="25">
        <v>45007</v>
      </c>
      <c r="V1849" s="63" t="str">
        <f>IF(MONTH(Table22[[#This Row],[Sales Date]])&lt;=3,"Q1",IF(MONTH(Table22[[#This Row],[Sales Date]])&lt;=6,"Q2",IF(MONTH(Table22[[#This Row],[Sales Date]])&lt;=9,"Q3","Q4")))</f>
        <v>Q1</v>
      </c>
      <c r="W1849" s="64">
        <f>YEAR(Table22[[#This Row],[Sales Date]])</f>
        <v>2023</v>
      </c>
      <c r="X1849" s="23">
        <v>62</v>
      </c>
      <c r="Y1849" s="18" t="s">
        <v>23</v>
      </c>
      <c r="Z1849" s="18" t="s">
        <v>56</v>
      </c>
      <c r="AA1849" s="19" t="s">
        <v>36</v>
      </c>
    </row>
    <row r="1850" spans="1:27" x14ac:dyDescent="0.25">
      <c r="A1850" s="17" t="s">
        <v>89</v>
      </c>
      <c r="B1850" s="18" t="s">
        <v>18</v>
      </c>
      <c r="C1850" s="63" t="str" cm="1">
        <f t="array" ref="C1850">_xlfn.SWITCH(Table22[[#This Row],[Country]],"USA","North America","Canada","North America","Brazil","South America","China","Asia","Japan","Asia","India","Asia","France","Europe","Germany","Europe","UK","Europe","Australia","Oceania","South America")</f>
        <v>Asia</v>
      </c>
      <c r="D1850" s="18" t="s">
        <v>35</v>
      </c>
      <c r="E1850" s="18" t="s">
        <v>39</v>
      </c>
      <c r="F1850" s="18" t="s">
        <v>20</v>
      </c>
      <c r="G1850" s="18" t="s">
        <v>48</v>
      </c>
      <c r="H1850" s="64">
        <f>LEN(TRIM(Table22[[#This Row],[Country]]))</f>
        <v>5</v>
      </c>
      <c r="I1850" s="64">
        <f>LEN(TRIM(Table22[[#This Row],[Continent]]))</f>
        <v>4</v>
      </c>
      <c r="J1850" s="64">
        <f>LEN(TRIM(Table22[[#This Row],[Product]]))</f>
        <v>10</v>
      </c>
      <c r="K1850" s="64">
        <f>LEN(TRIM(Table22[[#This Row],[Sales Team]]))</f>
        <v>9</v>
      </c>
      <c r="L1850" s="23">
        <v>13</v>
      </c>
      <c r="M1850" s="65" t="str" cm="1">
        <f t="array" ref="M1850">_xlfn.IFS(Table22[[#This Row],[Units Sold]]&lt;40,"Critical",Table22[[#This Row],[Units Sold]]&lt;=50,"Poor",Table22[[#This Row],[Units Sold]]&lt;=60,"Low",Table22[[#This Row],[Units Sold]]&lt;=80,"Average",Table22[[#This Row],[Units Sold]]&lt;=90,"High",Table22[[#This Row],[Units Sold]]&lt;=95,"Excellent",Table22[[#This Row],[Units Sold]]&gt;95,"Outstanding")</f>
        <v>Critical</v>
      </c>
      <c r="N1850" s="29">
        <v>246.1</v>
      </c>
      <c r="O1850" s="29">
        <v>3199.3</v>
      </c>
      <c r="P1850" s="43">
        <f>IF(Table22[[#This Row],[Discount Applied]],Table22[[#This Row],[Total Sales (in USD)]]*(1-Table22[[#This Row],[Discount Percentage (%)]]/100),Table22[[#This Row],[Total Sales (in USD)]])</f>
        <v>2866.5728000000004</v>
      </c>
      <c r="Q1850" s="66">
        <f>SQRT(AVERAGE((Table22[[#This Row],[Net Sales (after discount) (in USD)]]-AVERAGE(Table22[Net Sales (after discount) (in USD)]))^2))</f>
        <v>33644.787763764536</v>
      </c>
      <c r="R1850" s="18" t="b">
        <v>1</v>
      </c>
      <c r="S1850" s="40">
        <v>10.4</v>
      </c>
      <c r="T1850" s="18" t="b">
        <v>1</v>
      </c>
      <c r="U1850" s="25">
        <v>45242</v>
      </c>
      <c r="V1850" s="63" t="str">
        <f>IF(MONTH(Table22[[#This Row],[Sales Date]])&lt;=3,"Q1",IF(MONTH(Table22[[#This Row],[Sales Date]])&lt;=6,"Q2",IF(MONTH(Table22[[#This Row],[Sales Date]])&lt;=9,"Q3","Q4")))</f>
        <v>Q4</v>
      </c>
      <c r="W1850" s="64">
        <f>YEAR(Table22[[#This Row],[Sales Date]])</f>
        <v>2023</v>
      </c>
      <c r="X1850" s="23">
        <v>40</v>
      </c>
      <c r="Y1850" s="18" t="s">
        <v>49</v>
      </c>
      <c r="Z1850" s="18" t="s">
        <v>42</v>
      </c>
      <c r="AA1850" s="19" t="s">
        <v>25</v>
      </c>
    </row>
    <row r="1851" spans="1:27" x14ac:dyDescent="0.25">
      <c r="A1851" s="17" t="s">
        <v>1084</v>
      </c>
      <c r="B1851" s="18" t="s">
        <v>76</v>
      </c>
      <c r="C1851" s="63" t="str" cm="1">
        <f t="array" ref="C1851">_xlfn.SWITCH(Table22[[#This Row],[Country]],"USA","North America","Canada","North America","Brazil","South America","China","Asia","Japan","Asia","India","Asia","France","Europe","Germany","Europe","UK","Europe","Australia","Oceania","South America")</f>
        <v>Asia</v>
      </c>
      <c r="D1851" s="18" t="s">
        <v>28</v>
      </c>
      <c r="E1851" s="18" t="s">
        <v>39</v>
      </c>
      <c r="F1851" s="18" t="s">
        <v>52</v>
      </c>
      <c r="G1851" s="18" t="s">
        <v>22</v>
      </c>
      <c r="H1851" s="64">
        <f>LEN(TRIM(Table22[[#This Row],[Country]]))</f>
        <v>5</v>
      </c>
      <c r="I1851" s="64">
        <f>LEN(TRIM(Table22[[#This Row],[Continent]]))</f>
        <v>4</v>
      </c>
      <c r="J1851" s="64">
        <f>LEN(TRIM(Table22[[#This Row],[Product]]))</f>
        <v>10</v>
      </c>
      <c r="K1851" s="64">
        <f>LEN(TRIM(Table22[[#This Row],[Sales Team]]))</f>
        <v>10</v>
      </c>
      <c r="L1851" s="23">
        <v>23</v>
      </c>
      <c r="M1851" s="65" t="str" cm="1">
        <f t="array" ref="M1851">_xlfn.IFS(Table22[[#This Row],[Units Sold]]&lt;40,"Critical",Table22[[#This Row],[Units Sold]]&lt;=50,"Poor",Table22[[#This Row],[Units Sold]]&lt;=60,"Low",Table22[[#This Row],[Units Sold]]&lt;=80,"Average",Table22[[#This Row],[Units Sold]]&lt;=90,"High",Table22[[#This Row],[Units Sold]]&lt;=95,"Excellent",Table22[[#This Row],[Units Sold]]&gt;95,"Outstanding")</f>
        <v>Critical</v>
      </c>
      <c r="N1851" s="29">
        <v>138.88</v>
      </c>
      <c r="O1851" s="29">
        <v>3194.24</v>
      </c>
      <c r="P1851" s="43">
        <f>IF(Table22[[#This Row],[Discount Applied]],Table22[[#This Row],[Total Sales (in USD)]]*(1-Table22[[#This Row],[Discount Percentage (%)]]/100),Table22[[#This Row],[Total Sales (in USD)]])</f>
        <v>2619.2768000000001</v>
      </c>
      <c r="Q1851" s="66">
        <f>SQRT(AVERAGE((Table22[[#This Row],[Net Sales (after discount) (in USD)]]-AVERAGE(Table22[Net Sales (after discount) (in USD)]))^2))</f>
        <v>33892.083763764538</v>
      </c>
      <c r="R1851" s="18" t="b">
        <v>1</v>
      </c>
      <c r="S1851" s="40">
        <v>18</v>
      </c>
      <c r="T1851" s="18" t="b">
        <v>1</v>
      </c>
      <c r="U1851" s="25">
        <v>45016</v>
      </c>
      <c r="V1851" s="63" t="str">
        <f>IF(MONTH(Table22[[#This Row],[Sales Date]])&lt;=3,"Q1",IF(MONTH(Table22[[#This Row],[Sales Date]])&lt;=6,"Q2",IF(MONTH(Table22[[#This Row],[Sales Date]])&lt;=9,"Q3","Q4")))</f>
        <v>Q1</v>
      </c>
      <c r="W1851" s="64">
        <f>YEAR(Table22[[#This Row],[Sales Date]])</f>
        <v>2023</v>
      </c>
      <c r="X1851" s="23">
        <v>58</v>
      </c>
      <c r="Y1851" s="18" t="s">
        <v>23</v>
      </c>
      <c r="Z1851" s="18" t="s">
        <v>30</v>
      </c>
      <c r="AA1851" s="19" t="s">
        <v>36</v>
      </c>
    </row>
    <row r="1852" spans="1:27" x14ac:dyDescent="0.25">
      <c r="A1852" s="17" t="s">
        <v>1950</v>
      </c>
      <c r="B1852" s="18" t="s">
        <v>27</v>
      </c>
      <c r="C1852" s="63" t="str" cm="1">
        <f t="array" ref="C1852">_xlfn.SWITCH(Table22[[#This Row],[Country]],"USA","North America","Canada","North America","Brazil","South America","China","Asia","Japan","Asia","India","Asia","France","Europe","Germany","Europe","UK","Europe","Australia","Oceania","South America")</f>
        <v>Europe</v>
      </c>
      <c r="D1852" s="18" t="s">
        <v>28</v>
      </c>
      <c r="E1852" s="18" t="s">
        <v>19</v>
      </c>
      <c r="F1852" s="18" t="s">
        <v>20</v>
      </c>
      <c r="G1852" s="18" t="s">
        <v>22</v>
      </c>
      <c r="H1852" s="64">
        <f>LEN(TRIM(Table22[[#This Row],[Country]]))</f>
        <v>7</v>
      </c>
      <c r="I1852" s="64">
        <f>LEN(TRIM(Table22[[#This Row],[Continent]]))</f>
        <v>6</v>
      </c>
      <c r="J1852" s="64">
        <f>LEN(TRIM(Table22[[#This Row],[Product]]))</f>
        <v>6</v>
      </c>
      <c r="K1852" s="64">
        <f>LEN(TRIM(Table22[[#This Row],[Sales Team]]))</f>
        <v>10</v>
      </c>
      <c r="L1852" s="23">
        <v>42</v>
      </c>
      <c r="M1852" s="65" t="str" cm="1">
        <f t="array" ref="M1852">_xlfn.IFS(Table22[[#This Row],[Units Sold]]&lt;40,"Critical",Table22[[#This Row],[Units Sold]]&lt;=50,"Poor",Table22[[#This Row],[Units Sold]]&lt;=60,"Low",Table22[[#This Row],[Units Sold]]&lt;=80,"Average",Table22[[#This Row],[Units Sold]]&lt;=90,"High",Table22[[#This Row],[Units Sold]]&lt;=95,"Excellent",Table22[[#This Row],[Units Sold]]&gt;95,"Outstanding")</f>
        <v>Poor</v>
      </c>
      <c r="N1852" s="29">
        <v>75.27</v>
      </c>
      <c r="O1852" s="29">
        <v>3161.34</v>
      </c>
      <c r="P1852" s="43">
        <f>IF(Table22[[#This Row],[Discount Applied]],Table22[[#This Row],[Total Sales (in USD)]]*(1-Table22[[#This Row],[Discount Percentage (%)]]/100),Table22[[#This Row],[Total Sales (in USD)]])</f>
        <v>3161.34</v>
      </c>
      <c r="Q1852" s="66">
        <f>SQRT(AVERAGE((Table22[[#This Row],[Net Sales (after discount) (in USD)]]-AVERAGE(Table22[Net Sales (after discount) (in USD)]))^2))</f>
        <v>33350.020563764541</v>
      </c>
      <c r="R1852" s="18" t="b">
        <v>0</v>
      </c>
      <c r="S1852" s="40">
        <v>6.42</v>
      </c>
      <c r="T1852" s="18" t="b">
        <v>0</v>
      </c>
      <c r="U1852" s="25">
        <v>45158</v>
      </c>
      <c r="V1852" s="63" t="str">
        <f>IF(MONTH(Table22[[#This Row],[Sales Date]])&lt;=3,"Q1",IF(MONTH(Table22[[#This Row],[Sales Date]])&lt;=6,"Q2",IF(MONTH(Table22[[#This Row],[Sales Date]])&lt;=9,"Q3","Q4")))</f>
        <v>Q3</v>
      </c>
      <c r="W1852" s="64">
        <f>YEAR(Table22[[#This Row],[Sales Date]])</f>
        <v>2023</v>
      </c>
      <c r="X1852" s="23">
        <v>43</v>
      </c>
      <c r="Y1852" s="18" t="s">
        <v>23</v>
      </c>
      <c r="Z1852" s="18" t="s">
        <v>56</v>
      </c>
      <c r="AA1852" s="19" t="s">
        <v>25</v>
      </c>
    </row>
    <row r="1853" spans="1:27" x14ac:dyDescent="0.25">
      <c r="A1853" s="17" t="s">
        <v>1559</v>
      </c>
      <c r="B1853" s="18" t="s">
        <v>62</v>
      </c>
      <c r="C1853" s="63" t="str" cm="1">
        <f t="array" ref="C1853">_xlfn.SWITCH(Table22[[#This Row],[Country]],"USA","North America","Canada","North America","Brazil","South America","China","Asia","Japan","Asia","India","Asia","France","Europe","Germany","Europe","UK","Europe","Australia","Oceania","South America")</f>
        <v>Oceania</v>
      </c>
      <c r="D1853" s="18" t="s">
        <v>44</v>
      </c>
      <c r="E1853" s="18" t="s">
        <v>19</v>
      </c>
      <c r="F1853" s="18" t="s">
        <v>20</v>
      </c>
      <c r="G1853" s="18" t="s">
        <v>29</v>
      </c>
      <c r="H1853" s="64">
        <f>LEN(TRIM(Table22[[#This Row],[Country]]))</f>
        <v>9</v>
      </c>
      <c r="I1853" s="64">
        <f>LEN(TRIM(Table22[[#This Row],[Continent]]))</f>
        <v>7</v>
      </c>
      <c r="J1853" s="64">
        <f>LEN(TRIM(Table22[[#This Row],[Product]]))</f>
        <v>6</v>
      </c>
      <c r="K1853" s="64">
        <f>LEN(TRIM(Table22[[#This Row],[Sales Team]]))</f>
        <v>10</v>
      </c>
      <c r="L1853" s="23">
        <v>20</v>
      </c>
      <c r="M1853" s="65" t="str" cm="1">
        <f t="array" ref="M1853">_xlfn.IFS(Table22[[#This Row],[Units Sold]]&lt;40,"Critical",Table22[[#This Row],[Units Sold]]&lt;=50,"Poor",Table22[[#This Row],[Units Sold]]&lt;=60,"Low",Table22[[#This Row],[Units Sold]]&lt;=80,"Average",Table22[[#This Row],[Units Sold]]&lt;=90,"High",Table22[[#This Row],[Units Sold]]&lt;=95,"Excellent",Table22[[#This Row],[Units Sold]]&gt;95,"Outstanding")</f>
        <v>Critical</v>
      </c>
      <c r="N1853" s="29">
        <v>157.78</v>
      </c>
      <c r="O1853" s="29">
        <v>3155.6</v>
      </c>
      <c r="P1853" s="43">
        <f>IF(Table22[[#This Row],[Discount Applied]],Table22[[#This Row],[Total Sales (in USD)]]*(1-Table22[[#This Row],[Discount Percentage (%)]]/100),Table22[[#This Row],[Total Sales (in USD)]])</f>
        <v>2846.0356400000001</v>
      </c>
      <c r="Q1853" s="66">
        <f>SQRT(AVERAGE((Table22[[#This Row],[Net Sales (after discount) (in USD)]]-AVERAGE(Table22[Net Sales (after discount) (in USD)]))^2))</f>
        <v>33665.324923764536</v>
      </c>
      <c r="R1853" s="18" t="b">
        <v>0</v>
      </c>
      <c r="S1853" s="40">
        <v>9.81</v>
      </c>
      <c r="T1853" s="18" t="b">
        <v>1</v>
      </c>
      <c r="U1853" s="25">
        <v>45239</v>
      </c>
      <c r="V1853" s="63" t="str">
        <f>IF(MONTH(Table22[[#This Row],[Sales Date]])&lt;=3,"Q1",IF(MONTH(Table22[[#This Row],[Sales Date]])&lt;=6,"Q2",IF(MONTH(Table22[[#This Row],[Sales Date]])&lt;=9,"Q3","Q4")))</f>
        <v>Q4</v>
      </c>
      <c r="W1853" s="64">
        <f>YEAR(Table22[[#This Row],[Sales Date]])</f>
        <v>2023</v>
      </c>
      <c r="X1853" s="23">
        <v>44</v>
      </c>
      <c r="Y1853" s="18" t="s">
        <v>23</v>
      </c>
      <c r="Z1853" s="18" t="s">
        <v>24</v>
      </c>
      <c r="AA1853" s="19" t="s">
        <v>36</v>
      </c>
    </row>
    <row r="1854" spans="1:27" x14ac:dyDescent="0.25">
      <c r="A1854" s="17" t="s">
        <v>74</v>
      </c>
      <c r="B1854" s="18" t="s">
        <v>62</v>
      </c>
      <c r="C1854" s="63" t="str" cm="1">
        <f t="array" ref="C1854">_xlfn.SWITCH(Table22[[#This Row],[Country]],"USA","North America","Canada","North America","Brazil","South America","China","Asia","Japan","Asia","India","Asia","France","Europe","Germany","Europe","UK","Europe","Australia","Oceania","South America")</f>
        <v>Oceania</v>
      </c>
      <c r="D1854" s="18" t="s">
        <v>28</v>
      </c>
      <c r="E1854" s="18" t="s">
        <v>33</v>
      </c>
      <c r="F1854" s="18" t="s">
        <v>47</v>
      </c>
      <c r="G1854" s="18" t="s">
        <v>40</v>
      </c>
      <c r="H1854" s="64">
        <f>LEN(TRIM(Table22[[#This Row],[Country]]))</f>
        <v>9</v>
      </c>
      <c r="I1854" s="64">
        <f>LEN(TRIM(Table22[[#This Row],[Continent]]))</f>
        <v>7</v>
      </c>
      <c r="J1854" s="64">
        <f>LEN(TRIM(Table22[[#This Row],[Product]]))</f>
        <v>10</v>
      </c>
      <c r="K1854" s="64">
        <f>LEN(TRIM(Table22[[#This Row],[Sales Team]]))</f>
        <v>10</v>
      </c>
      <c r="L1854" s="23">
        <v>8</v>
      </c>
      <c r="M1854" s="65" t="str" cm="1">
        <f t="array" ref="M1854">_xlfn.IFS(Table22[[#This Row],[Units Sold]]&lt;40,"Critical",Table22[[#This Row],[Units Sold]]&lt;=50,"Poor",Table22[[#This Row],[Units Sold]]&lt;=60,"Low",Table22[[#This Row],[Units Sold]]&lt;=80,"Average",Table22[[#This Row],[Units Sold]]&lt;=90,"High",Table22[[#This Row],[Units Sold]]&lt;=95,"Excellent",Table22[[#This Row],[Units Sold]]&gt;95,"Outstanding")</f>
        <v>Critical</v>
      </c>
      <c r="N1854" s="29">
        <v>393.02</v>
      </c>
      <c r="O1854" s="29">
        <v>3144.16</v>
      </c>
      <c r="P1854" s="43">
        <f>IF(Table22[[#This Row],[Discount Applied]],Table22[[#This Row],[Total Sales (in USD)]]*(1-Table22[[#This Row],[Discount Percentage (%)]]/100),Table22[[#This Row],[Total Sales (in USD)]])</f>
        <v>2916.2084</v>
      </c>
      <c r="Q1854" s="66">
        <f>SQRT(AVERAGE((Table22[[#This Row],[Net Sales (after discount) (in USD)]]-AVERAGE(Table22[Net Sales (after discount) (in USD)]))^2))</f>
        <v>33595.152163764535</v>
      </c>
      <c r="R1854" s="18" t="b">
        <v>1</v>
      </c>
      <c r="S1854" s="40">
        <v>7.25</v>
      </c>
      <c r="T1854" s="18" t="b">
        <v>1</v>
      </c>
      <c r="U1854" s="25">
        <v>45195</v>
      </c>
      <c r="V1854" s="63" t="str">
        <f>IF(MONTH(Table22[[#This Row],[Sales Date]])&lt;=3,"Q1",IF(MONTH(Table22[[#This Row],[Sales Date]])&lt;=6,"Q2",IF(MONTH(Table22[[#This Row],[Sales Date]])&lt;=9,"Q3","Q4")))</f>
        <v>Q3</v>
      </c>
      <c r="W1854" s="64">
        <f>YEAR(Table22[[#This Row],[Sales Date]])</f>
        <v>2023</v>
      </c>
      <c r="X1854" s="23">
        <v>48</v>
      </c>
      <c r="Y1854" s="18" t="s">
        <v>49</v>
      </c>
      <c r="Z1854" s="18" t="s">
        <v>42</v>
      </c>
      <c r="AA1854" s="19" t="s">
        <v>25</v>
      </c>
    </row>
    <row r="1855" spans="1:27" x14ac:dyDescent="0.25">
      <c r="A1855" s="17" t="s">
        <v>1963</v>
      </c>
      <c r="B1855" s="18" t="s">
        <v>62</v>
      </c>
      <c r="C1855" s="63" t="str" cm="1">
        <f t="array" ref="C1855">_xlfn.SWITCH(Table22[[#This Row],[Country]],"USA","North America","Canada","North America","Brazil","South America","China","Asia","Japan","Asia","India","Asia","France","Europe","Germany","Europe","UK","Europe","Australia","Oceania","South America")</f>
        <v>Oceania</v>
      </c>
      <c r="D1855" s="18" t="s">
        <v>28</v>
      </c>
      <c r="E1855" s="18" t="s">
        <v>19</v>
      </c>
      <c r="F1855" s="18" t="s">
        <v>20</v>
      </c>
      <c r="G1855" s="18" t="s">
        <v>29</v>
      </c>
      <c r="H1855" s="64">
        <f>LEN(TRIM(Table22[[#This Row],[Country]]))</f>
        <v>9</v>
      </c>
      <c r="I1855" s="64">
        <f>LEN(TRIM(Table22[[#This Row],[Continent]]))</f>
        <v>7</v>
      </c>
      <c r="J1855" s="64">
        <f>LEN(TRIM(Table22[[#This Row],[Product]]))</f>
        <v>6</v>
      </c>
      <c r="K1855" s="64">
        <f>LEN(TRIM(Table22[[#This Row],[Sales Team]]))</f>
        <v>10</v>
      </c>
      <c r="L1855" s="23">
        <v>13</v>
      </c>
      <c r="M1855" s="65" t="str" cm="1">
        <f t="array" ref="M1855">_xlfn.IFS(Table22[[#This Row],[Units Sold]]&lt;40,"Critical",Table22[[#This Row],[Units Sold]]&lt;=50,"Poor",Table22[[#This Row],[Units Sold]]&lt;=60,"Low",Table22[[#This Row],[Units Sold]]&lt;=80,"Average",Table22[[#This Row],[Units Sold]]&lt;=90,"High",Table22[[#This Row],[Units Sold]]&lt;=95,"Excellent",Table22[[#This Row],[Units Sold]]&gt;95,"Outstanding")</f>
        <v>Critical</v>
      </c>
      <c r="N1855" s="29">
        <v>239.77</v>
      </c>
      <c r="O1855" s="29">
        <v>3117.01</v>
      </c>
      <c r="P1855" s="43">
        <f>IF(Table22[[#This Row],[Discount Applied]],Table22[[#This Row],[Total Sales (in USD)]]*(1-Table22[[#This Row],[Discount Percentage (%)]]/100),Table22[[#This Row],[Total Sales (in USD)]])</f>
        <v>3117.01</v>
      </c>
      <c r="Q1855" s="66">
        <f>SQRT(AVERAGE((Table22[[#This Row],[Net Sales (after discount) (in USD)]]-AVERAGE(Table22[Net Sales (after discount) (in USD)]))^2))</f>
        <v>33394.350563764536</v>
      </c>
      <c r="R1855" s="18" t="b">
        <v>1</v>
      </c>
      <c r="S1855" s="40">
        <v>26.54</v>
      </c>
      <c r="T1855" s="18" t="b">
        <v>0</v>
      </c>
      <c r="U1855" s="25">
        <v>45118</v>
      </c>
      <c r="V1855" s="63" t="str">
        <f>IF(MONTH(Table22[[#This Row],[Sales Date]])&lt;=3,"Q1",IF(MONTH(Table22[[#This Row],[Sales Date]])&lt;=6,"Q2",IF(MONTH(Table22[[#This Row],[Sales Date]])&lt;=9,"Q3","Q4")))</f>
        <v>Q3</v>
      </c>
      <c r="W1855" s="64">
        <f>YEAR(Table22[[#This Row],[Sales Date]])</f>
        <v>2023</v>
      </c>
      <c r="X1855" s="23">
        <v>68</v>
      </c>
      <c r="Y1855" s="18" t="s">
        <v>23</v>
      </c>
      <c r="Z1855" s="18" t="s">
        <v>56</v>
      </c>
      <c r="AA1855" s="19" t="s">
        <v>25</v>
      </c>
    </row>
    <row r="1856" spans="1:27" x14ac:dyDescent="0.25">
      <c r="A1856" s="17" t="s">
        <v>762</v>
      </c>
      <c r="B1856" s="18" t="s">
        <v>76</v>
      </c>
      <c r="C1856" s="63" t="str" cm="1">
        <f t="array" ref="C1856">_xlfn.SWITCH(Table22[[#This Row],[Country]],"USA","North America","Canada","North America","Brazil","South America","China","Asia","Japan","Asia","India","Asia","France","Europe","Germany","Europe","UK","Europe","Australia","Oceania","South America")</f>
        <v>Asia</v>
      </c>
      <c r="D1856" s="18" t="s">
        <v>44</v>
      </c>
      <c r="E1856" s="18" t="s">
        <v>39</v>
      </c>
      <c r="F1856" s="18" t="s">
        <v>34</v>
      </c>
      <c r="G1856" s="18" t="s">
        <v>22</v>
      </c>
      <c r="H1856" s="64">
        <f>LEN(TRIM(Table22[[#This Row],[Country]]))</f>
        <v>5</v>
      </c>
      <c r="I1856" s="64">
        <f>LEN(TRIM(Table22[[#This Row],[Continent]]))</f>
        <v>4</v>
      </c>
      <c r="J1856" s="64">
        <f>LEN(TRIM(Table22[[#This Row],[Product]]))</f>
        <v>10</v>
      </c>
      <c r="K1856" s="64">
        <f>LEN(TRIM(Table22[[#This Row],[Sales Team]]))</f>
        <v>10</v>
      </c>
      <c r="L1856" s="23">
        <v>5</v>
      </c>
      <c r="M1856" s="65" t="str" cm="1">
        <f t="array" ref="M1856">_xlfn.IFS(Table22[[#This Row],[Units Sold]]&lt;40,"Critical",Table22[[#This Row],[Units Sold]]&lt;=50,"Poor",Table22[[#This Row],[Units Sold]]&lt;=60,"Low",Table22[[#This Row],[Units Sold]]&lt;=80,"Average",Table22[[#This Row],[Units Sold]]&lt;=90,"High",Table22[[#This Row],[Units Sold]]&lt;=95,"Excellent",Table22[[#This Row],[Units Sold]]&gt;95,"Outstanding")</f>
        <v>Critical</v>
      </c>
      <c r="N1856" s="29">
        <v>617.92999999999995</v>
      </c>
      <c r="O1856" s="29">
        <v>3089.65</v>
      </c>
      <c r="P1856" s="43">
        <f>IF(Table22[[#This Row],[Discount Applied]],Table22[[#This Row],[Total Sales (in USD)]]*(1-Table22[[#This Row],[Discount Percentage (%)]]/100),Table22[[#This Row],[Total Sales (in USD)]])</f>
        <v>2531.0412800000004</v>
      </c>
      <c r="Q1856" s="66">
        <f>SQRT(AVERAGE((Table22[[#This Row],[Net Sales (after discount) (in USD)]]-AVERAGE(Table22[Net Sales (after discount) (in USD)]))^2))</f>
        <v>33980.31928376454</v>
      </c>
      <c r="R1856" s="18" t="b">
        <v>1</v>
      </c>
      <c r="S1856" s="40">
        <v>18.079999999999998</v>
      </c>
      <c r="T1856" s="18" t="b">
        <v>1</v>
      </c>
      <c r="U1856" s="25">
        <v>45538</v>
      </c>
      <c r="V1856" s="63" t="str">
        <f>IF(MONTH(Table22[[#This Row],[Sales Date]])&lt;=3,"Q1",IF(MONTH(Table22[[#This Row],[Sales Date]])&lt;=6,"Q2",IF(MONTH(Table22[[#This Row],[Sales Date]])&lt;=9,"Q3","Q4")))</f>
        <v>Q3</v>
      </c>
      <c r="W1856" s="64">
        <f>YEAR(Table22[[#This Row],[Sales Date]])</f>
        <v>2024</v>
      </c>
      <c r="X1856" s="23">
        <v>63</v>
      </c>
      <c r="Y1856" s="18" t="s">
        <v>41</v>
      </c>
      <c r="Z1856" s="18" t="s">
        <v>24</v>
      </c>
      <c r="AA1856" s="19" t="s">
        <v>25</v>
      </c>
    </row>
    <row r="1857" spans="1:27" x14ac:dyDescent="0.25">
      <c r="A1857" s="17" t="s">
        <v>1619</v>
      </c>
      <c r="B1857" s="18" t="s">
        <v>51</v>
      </c>
      <c r="C1857" s="63" t="str" cm="1">
        <f t="array" ref="C1857">_xlfn.SWITCH(Table22[[#This Row],[Country]],"USA","North America","Canada","North America","Brazil","South America","China","Asia","Japan","Asia","India","Asia","France","Europe","Germany","Europe","UK","Europe","Australia","Oceania","South America")</f>
        <v>Europe</v>
      </c>
      <c r="D1857" s="18" t="s">
        <v>28</v>
      </c>
      <c r="E1857" s="18" t="s">
        <v>39</v>
      </c>
      <c r="F1857" s="18" t="s">
        <v>47</v>
      </c>
      <c r="G1857" s="18" t="s">
        <v>29</v>
      </c>
      <c r="H1857" s="64">
        <f>LEN(TRIM(Table22[[#This Row],[Country]]))</f>
        <v>2</v>
      </c>
      <c r="I1857" s="64">
        <f>LEN(TRIM(Table22[[#This Row],[Continent]]))</f>
        <v>6</v>
      </c>
      <c r="J1857" s="64">
        <f>LEN(TRIM(Table22[[#This Row],[Product]]))</f>
        <v>10</v>
      </c>
      <c r="K1857" s="64">
        <f>LEN(TRIM(Table22[[#This Row],[Sales Team]]))</f>
        <v>10</v>
      </c>
      <c r="L1857" s="23">
        <v>26</v>
      </c>
      <c r="M1857" s="65" t="str" cm="1">
        <f t="array" ref="M1857">_xlfn.IFS(Table22[[#This Row],[Units Sold]]&lt;40,"Critical",Table22[[#This Row],[Units Sold]]&lt;=50,"Poor",Table22[[#This Row],[Units Sold]]&lt;=60,"Low",Table22[[#This Row],[Units Sold]]&lt;=80,"Average",Table22[[#This Row],[Units Sold]]&lt;=90,"High",Table22[[#This Row],[Units Sold]]&lt;=95,"Excellent",Table22[[#This Row],[Units Sold]]&gt;95,"Outstanding")</f>
        <v>Critical</v>
      </c>
      <c r="N1857" s="29">
        <v>118.21</v>
      </c>
      <c r="O1857" s="29">
        <v>3073.46</v>
      </c>
      <c r="P1857" s="43">
        <f>IF(Table22[[#This Row],[Discount Applied]],Table22[[#This Row],[Total Sales (in USD)]]*(1-Table22[[#This Row],[Discount Percentage (%)]]/100),Table22[[#This Row],[Total Sales (in USD)]])</f>
        <v>3015.3716060000002</v>
      </c>
      <c r="Q1857" s="66">
        <f>SQRT(AVERAGE((Table22[[#This Row],[Net Sales (after discount) (in USD)]]-AVERAGE(Table22[Net Sales (after discount) (in USD)]))^2))</f>
        <v>33495.988957764537</v>
      </c>
      <c r="R1857" s="18" t="b">
        <v>1</v>
      </c>
      <c r="S1857" s="40">
        <v>1.89</v>
      </c>
      <c r="T1857" s="18" t="b">
        <v>1</v>
      </c>
      <c r="U1857" s="25">
        <v>45092</v>
      </c>
      <c r="V1857" s="63" t="str">
        <f>IF(MONTH(Table22[[#This Row],[Sales Date]])&lt;=3,"Q1",IF(MONTH(Table22[[#This Row],[Sales Date]])&lt;=6,"Q2",IF(MONTH(Table22[[#This Row],[Sales Date]])&lt;=9,"Q3","Q4")))</f>
        <v>Q2</v>
      </c>
      <c r="W1857" s="64">
        <f>YEAR(Table22[[#This Row],[Sales Date]])</f>
        <v>2023</v>
      </c>
      <c r="X1857" s="23">
        <v>35</v>
      </c>
      <c r="Y1857" s="18" t="s">
        <v>49</v>
      </c>
      <c r="Z1857" s="18" t="s">
        <v>56</v>
      </c>
      <c r="AA1857" s="19" t="s">
        <v>25</v>
      </c>
    </row>
    <row r="1858" spans="1:27" x14ac:dyDescent="0.25">
      <c r="A1858" s="17" t="s">
        <v>1817</v>
      </c>
      <c r="B1858" s="18" t="s">
        <v>38</v>
      </c>
      <c r="C1858" s="63" t="str" cm="1">
        <f t="array" ref="C1858">_xlfn.SWITCH(Table22[[#This Row],[Country]],"USA","North America","Canada","North America","Brazil","South America","China","Asia","Japan","Asia","India","Asia","France","Europe","Germany","Europe","UK","Europe","Australia","Oceania","South America")</f>
        <v>Europe</v>
      </c>
      <c r="D1858" s="18" t="s">
        <v>44</v>
      </c>
      <c r="E1858" s="18" t="s">
        <v>39</v>
      </c>
      <c r="F1858" s="18" t="s">
        <v>34</v>
      </c>
      <c r="G1858" s="18" t="s">
        <v>48</v>
      </c>
      <c r="H1858" s="64">
        <f>LEN(TRIM(Table22[[#This Row],[Country]]))</f>
        <v>6</v>
      </c>
      <c r="I1858" s="64">
        <f>LEN(TRIM(Table22[[#This Row],[Continent]]))</f>
        <v>6</v>
      </c>
      <c r="J1858" s="64">
        <f>LEN(TRIM(Table22[[#This Row],[Product]]))</f>
        <v>10</v>
      </c>
      <c r="K1858" s="64">
        <f>LEN(TRIM(Table22[[#This Row],[Sales Team]]))</f>
        <v>9</v>
      </c>
      <c r="L1858" s="23">
        <v>43</v>
      </c>
      <c r="M1858" s="65" t="str" cm="1">
        <f t="array" ref="M1858">_xlfn.IFS(Table22[[#This Row],[Units Sold]]&lt;40,"Critical",Table22[[#This Row],[Units Sold]]&lt;=50,"Poor",Table22[[#This Row],[Units Sold]]&lt;=60,"Low",Table22[[#This Row],[Units Sold]]&lt;=80,"Average",Table22[[#This Row],[Units Sold]]&lt;=90,"High",Table22[[#This Row],[Units Sold]]&lt;=95,"Excellent",Table22[[#This Row],[Units Sold]]&gt;95,"Outstanding")</f>
        <v>Poor</v>
      </c>
      <c r="N1858" s="29">
        <v>70.59</v>
      </c>
      <c r="O1858" s="29">
        <v>3035.37</v>
      </c>
      <c r="P1858" s="43">
        <f>IF(Table22[[#This Row],[Discount Applied]],Table22[[#This Row],[Total Sales (in USD)]]*(1-Table22[[#This Row],[Discount Percentage (%)]]/100),Table22[[#This Row],[Total Sales (in USD)]])</f>
        <v>3035.37</v>
      </c>
      <c r="Q1858" s="66">
        <f>SQRT(AVERAGE((Table22[[#This Row],[Net Sales (after discount) (in USD)]]-AVERAGE(Table22[Net Sales (after discount) (in USD)]))^2))</f>
        <v>33475.990563764535</v>
      </c>
      <c r="R1858" s="18" t="b">
        <v>0</v>
      </c>
      <c r="S1858" s="40">
        <v>14.26</v>
      </c>
      <c r="T1858" s="18" t="b">
        <v>0</v>
      </c>
      <c r="U1858" s="25">
        <v>45230</v>
      </c>
      <c r="V1858" s="63" t="str">
        <f>IF(MONTH(Table22[[#This Row],[Sales Date]])&lt;=3,"Q1",IF(MONTH(Table22[[#This Row],[Sales Date]])&lt;=6,"Q2",IF(MONTH(Table22[[#This Row],[Sales Date]])&lt;=9,"Q3","Q4")))</f>
        <v>Q4</v>
      </c>
      <c r="W1858" s="64">
        <f>YEAR(Table22[[#This Row],[Sales Date]])</f>
        <v>2023</v>
      </c>
      <c r="X1858" s="23">
        <v>67</v>
      </c>
      <c r="Y1858" s="18" t="s">
        <v>41</v>
      </c>
      <c r="Z1858" s="18" t="s">
        <v>24</v>
      </c>
      <c r="AA1858" s="19" t="s">
        <v>25</v>
      </c>
    </row>
    <row r="1859" spans="1:27" x14ac:dyDescent="0.25">
      <c r="A1859" s="17" t="s">
        <v>662</v>
      </c>
      <c r="B1859" s="18" t="s">
        <v>38</v>
      </c>
      <c r="C1859" s="63" t="str" cm="1">
        <f t="array" ref="C1859">_xlfn.SWITCH(Table22[[#This Row],[Country]],"USA","North America","Canada","North America","Brazil","South America","China","Asia","Japan","Asia","India","Asia","France","Europe","Germany","Europe","UK","Europe","Australia","Oceania","South America")</f>
        <v>Europe</v>
      </c>
      <c r="D1859" s="18" t="s">
        <v>35</v>
      </c>
      <c r="E1859" s="18" t="s">
        <v>33</v>
      </c>
      <c r="F1859" s="18" t="s">
        <v>47</v>
      </c>
      <c r="G1859" s="18" t="s">
        <v>40</v>
      </c>
      <c r="H1859" s="64">
        <f>LEN(TRIM(Table22[[#This Row],[Country]]))</f>
        <v>6</v>
      </c>
      <c r="I1859" s="64">
        <f>LEN(TRIM(Table22[[#This Row],[Continent]]))</f>
        <v>6</v>
      </c>
      <c r="J1859" s="64">
        <f>LEN(TRIM(Table22[[#This Row],[Product]]))</f>
        <v>10</v>
      </c>
      <c r="K1859" s="64">
        <f>LEN(TRIM(Table22[[#This Row],[Sales Team]]))</f>
        <v>10</v>
      </c>
      <c r="L1859" s="23">
        <v>58</v>
      </c>
      <c r="M1859" s="65" t="str" cm="1">
        <f t="array" ref="M1859">_xlfn.IFS(Table22[[#This Row],[Units Sold]]&lt;40,"Critical",Table22[[#This Row],[Units Sold]]&lt;=50,"Poor",Table22[[#This Row],[Units Sold]]&lt;=60,"Low",Table22[[#This Row],[Units Sold]]&lt;=80,"Average",Table22[[#This Row],[Units Sold]]&lt;=90,"High",Table22[[#This Row],[Units Sold]]&lt;=95,"Excellent",Table22[[#This Row],[Units Sold]]&gt;95,"Outstanding")</f>
        <v>Low</v>
      </c>
      <c r="N1859" s="29">
        <v>52.29</v>
      </c>
      <c r="O1859" s="29">
        <v>3032.82</v>
      </c>
      <c r="P1859" s="43">
        <f>IF(Table22[[#This Row],[Discount Applied]],Table22[[#This Row],[Total Sales (in USD)]]*(1-Table22[[#This Row],[Discount Percentage (%)]]/100),Table22[[#This Row],[Total Sales (in USD)]])</f>
        <v>3032.82</v>
      </c>
      <c r="Q1859" s="66">
        <f>SQRT(AVERAGE((Table22[[#This Row],[Net Sales (after discount) (in USD)]]-AVERAGE(Table22[Net Sales (after discount) (in USD)]))^2))</f>
        <v>33478.540563764538</v>
      </c>
      <c r="R1859" s="18" t="b">
        <v>1</v>
      </c>
      <c r="S1859" s="40">
        <v>21.16</v>
      </c>
      <c r="T1859" s="18" t="b">
        <v>0</v>
      </c>
      <c r="U1859" s="25">
        <v>44954</v>
      </c>
      <c r="V1859" s="63" t="str">
        <f>IF(MONTH(Table22[[#This Row],[Sales Date]])&lt;=3,"Q1",IF(MONTH(Table22[[#This Row],[Sales Date]])&lt;=6,"Q2",IF(MONTH(Table22[[#This Row],[Sales Date]])&lt;=9,"Q3","Q4")))</f>
        <v>Q1</v>
      </c>
      <c r="W1859" s="64">
        <f>YEAR(Table22[[#This Row],[Sales Date]])</f>
        <v>2023</v>
      </c>
      <c r="X1859" s="23">
        <v>18</v>
      </c>
      <c r="Y1859" s="18" t="s">
        <v>49</v>
      </c>
      <c r="Z1859" s="18" t="s">
        <v>24</v>
      </c>
      <c r="AA1859" s="19" t="s">
        <v>25</v>
      </c>
    </row>
    <row r="1860" spans="1:27" x14ac:dyDescent="0.25">
      <c r="A1860" s="17" t="s">
        <v>1275</v>
      </c>
      <c r="B1860" s="18" t="s">
        <v>51</v>
      </c>
      <c r="C1860" s="63" t="str" cm="1">
        <f t="array" ref="C1860">_xlfn.SWITCH(Table22[[#This Row],[Country]],"USA","North America","Canada","North America","Brazil","South America","China","Asia","Japan","Asia","India","Asia","France","Europe","Germany","Europe","UK","Europe","Australia","Oceania","South America")</f>
        <v>Europe</v>
      </c>
      <c r="D1860" s="18" t="s">
        <v>35</v>
      </c>
      <c r="E1860" s="18" t="s">
        <v>39</v>
      </c>
      <c r="F1860" s="18" t="s">
        <v>47</v>
      </c>
      <c r="G1860" s="18" t="s">
        <v>48</v>
      </c>
      <c r="H1860" s="64">
        <f>LEN(TRIM(Table22[[#This Row],[Country]]))</f>
        <v>2</v>
      </c>
      <c r="I1860" s="64">
        <f>LEN(TRIM(Table22[[#This Row],[Continent]]))</f>
        <v>6</v>
      </c>
      <c r="J1860" s="64">
        <f>LEN(TRIM(Table22[[#This Row],[Product]]))</f>
        <v>10</v>
      </c>
      <c r="K1860" s="64">
        <f>LEN(TRIM(Table22[[#This Row],[Sales Team]]))</f>
        <v>9</v>
      </c>
      <c r="L1860" s="23">
        <v>12</v>
      </c>
      <c r="M1860" s="65" t="str" cm="1">
        <f t="array" ref="M1860">_xlfn.IFS(Table22[[#This Row],[Units Sold]]&lt;40,"Critical",Table22[[#This Row],[Units Sold]]&lt;=50,"Poor",Table22[[#This Row],[Units Sold]]&lt;=60,"Low",Table22[[#This Row],[Units Sold]]&lt;=80,"Average",Table22[[#This Row],[Units Sold]]&lt;=90,"High",Table22[[#This Row],[Units Sold]]&lt;=95,"Excellent",Table22[[#This Row],[Units Sold]]&gt;95,"Outstanding")</f>
        <v>Critical</v>
      </c>
      <c r="N1860" s="29">
        <v>250.48</v>
      </c>
      <c r="O1860" s="29">
        <v>3005.76</v>
      </c>
      <c r="P1860" s="43">
        <f>IF(Table22[[#This Row],[Discount Applied]],Table22[[#This Row],[Total Sales (in USD)]]*(1-Table22[[#This Row],[Discount Percentage (%)]]/100),Table22[[#This Row],[Total Sales (in USD)]])</f>
        <v>3005.76</v>
      </c>
      <c r="Q1860" s="66">
        <f>SQRT(AVERAGE((Table22[[#This Row],[Net Sales (after discount) (in USD)]]-AVERAGE(Table22[Net Sales (after discount) (in USD)]))^2))</f>
        <v>33505.600563764536</v>
      </c>
      <c r="R1860" s="18" t="b">
        <v>0</v>
      </c>
      <c r="S1860" s="40">
        <v>16.62</v>
      </c>
      <c r="T1860" s="18" t="b">
        <v>0</v>
      </c>
      <c r="U1860" s="25">
        <v>45335</v>
      </c>
      <c r="V1860" s="63" t="str">
        <f>IF(MONTH(Table22[[#This Row],[Sales Date]])&lt;=3,"Q1",IF(MONTH(Table22[[#This Row],[Sales Date]])&lt;=6,"Q2",IF(MONTH(Table22[[#This Row],[Sales Date]])&lt;=9,"Q3","Q4")))</f>
        <v>Q1</v>
      </c>
      <c r="W1860" s="64">
        <f>YEAR(Table22[[#This Row],[Sales Date]])</f>
        <v>2024</v>
      </c>
      <c r="X1860" s="23">
        <v>27</v>
      </c>
      <c r="Y1860" s="18" t="s">
        <v>49</v>
      </c>
      <c r="Z1860" s="18" t="s">
        <v>42</v>
      </c>
      <c r="AA1860" s="19" t="s">
        <v>25</v>
      </c>
    </row>
    <row r="1861" spans="1:27" x14ac:dyDescent="0.25">
      <c r="A1861" s="17" t="s">
        <v>1131</v>
      </c>
      <c r="B1861" s="18" t="s">
        <v>18</v>
      </c>
      <c r="C1861" s="63" t="str" cm="1">
        <f t="array" ref="C1861">_xlfn.SWITCH(Table22[[#This Row],[Country]],"USA","North America","Canada","North America","Brazil","South America","China","Asia","Japan","Asia","India","Asia","France","Europe","Germany","Europe","UK","Europe","Australia","Oceania","South America")</f>
        <v>Asia</v>
      </c>
      <c r="D1861" s="18" t="s">
        <v>35</v>
      </c>
      <c r="E1861" s="18" t="s">
        <v>39</v>
      </c>
      <c r="F1861" s="18" t="s">
        <v>52</v>
      </c>
      <c r="G1861" s="18" t="s">
        <v>40</v>
      </c>
      <c r="H1861" s="64">
        <f>LEN(TRIM(Table22[[#This Row],[Country]]))</f>
        <v>5</v>
      </c>
      <c r="I1861" s="64">
        <f>LEN(TRIM(Table22[[#This Row],[Continent]]))</f>
        <v>4</v>
      </c>
      <c r="J1861" s="64">
        <f>LEN(TRIM(Table22[[#This Row],[Product]]))</f>
        <v>10</v>
      </c>
      <c r="K1861" s="64">
        <f>LEN(TRIM(Table22[[#This Row],[Sales Team]]))</f>
        <v>10</v>
      </c>
      <c r="L1861" s="23">
        <v>24</v>
      </c>
      <c r="M1861" s="65" t="str" cm="1">
        <f t="array" ref="M1861">_xlfn.IFS(Table22[[#This Row],[Units Sold]]&lt;40,"Critical",Table22[[#This Row],[Units Sold]]&lt;=50,"Poor",Table22[[#This Row],[Units Sold]]&lt;=60,"Low",Table22[[#This Row],[Units Sold]]&lt;=80,"Average",Table22[[#This Row],[Units Sold]]&lt;=90,"High",Table22[[#This Row],[Units Sold]]&lt;=95,"Excellent",Table22[[#This Row],[Units Sold]]&gt;95,"Outstanding")</f>
        <v>Critical</v>
      </c>
      <c r="N1861" s="29">
        <v>125.23</v>
      </c>
      <c r="O1861" s="29">
        <v>3005.52</v>
      </c>
      <c r="P1861" s="43">
        <f>IF(Table22[[#This Row],[Discount Applied]],Table22[[#This Row],[Total Sales (in USD)]]*(1-Table22[[#This Row],[Discount Percentage (%)]]/100),Table22[[#This Row],[Total Sales (in USD)]])</f>
        <v>3005.52</v>
      </c>
      <c r="Q1861" s="66">
        <f>SQRT(AVERAGE((Table22[[#This Row],[Net Sales (after discount) (in USD)]]-AVERAGE(Table22[Net Sales (after discount) (in USD)]))^2))</f>
        <v>33505.840563764541</v>
      </c>
      <c r="R1861" s="18" t="b">
        <v>0</v>
      </c>
      <c r="S1861" s="40">
        <v>7.07</v>
      </c>
      <c r="T1861" s="18" t="b">
        <v>0</v>
      </c>
      <c r="U1861" s="25">
        <v>45448</v>
      </c>
      <c r="V1861" s="63" t="str">
        <f>IF(MONTH(Table22[[#This Row],[Sales Date]])&lt;=3,"Q1",IF(MONTH(Table22[[#This Row],[Sales Date]])&lt;=6,"Q2",IF(MONTH(Table22[[#This Row],[Sales Date]])&lt;=9,"Q3","Q4")))</f>
        <v>Q2</v>
      </c>
      <c r="W1861" s="64">
        <f>YEAR(Table22[[#This Row],[Sales Date]])</f>
        <v>2024</v>
      </c>
      <c r="X1861" s="23">
        <v>32</v>
      </c>
      <c r="Y1861" s="18" t="s">
        <v>41</v>
      </c>
      <c r="Z1861" s="18" t="s">
        <v>30</v>
      </c>
      <c r="AA1861" s="19" t="s">
        <v>25</v>
      </c>
    </row>
    <row r="1862" spans="1:27" x14ac:dyDescent="0.25">
      <c r="A1862" s="17" t="s">
        <v>1312</v>
      </c>
      <c r="B1862" s="18" t="s">
        <v>72</v>
      </c>
      <c r="C1862" s="63" t="str" cm="1">
        <f t="array" ref="C1862">_xlfn.SWITCH(Table22[[#This Row],[Country]],"USA","North America","Canada","North America","Brazil","South America","China","Asia","Japan","Asia","India","Asia","France","Europe","Germany","Europe","UK","Europe","Australia","Oceania","South America")</f>
        <v>North America</v>
      </c>
      <c r="D1862" s="18" t="s">
        <v>21</v>
      </c>
      <c r="E1862" s="18" t="s">
        <v>39</v>
      </c>
      <c r="F1862" s="18" t="s">
        <v>52</v>
      </c>
      <c r="G1862" s="18" t="s">
        <v>40</v>
      </c>
      <c r="H1862" s="64">
        <f>LEN(TRIM(Table22[[#This Row],[Country]]))</f>
        <v>3</v>
      </c>
      <c r="I1862" s="64">
        <f>LEN(TRIM(Table22[[#This Row],[Continent]]))</f>
        <v>13</v>
      </c>
      <c r="J1862" s="64">
        <f>LEN(TRIM(Table22[[#This Row],[Product]]))</f>
        <v>10</v>
      </c>
      <c r="K1862" s="64">
        <f>LEN(TRIM(Table22[[#This Row],[Sales Team]]))</f>
        <v>10</v>
      </c>
      <c r="L1862" s="23">
        <v>26</v>
      </c>
      <c r="M1862" s="65" t="str" cm="1">
        <f t="array" ref="M1862">_xlfn.IFS(Table22[[#This Row],[Units Sold]]&lt;40,"Critical",Table22[[#This Row],[Units Sold]]&lt;=50,"Poor",Table22[[#This Row],[Units Sold]]&lt;=60,"Low",Table22[[#This Row],[Units Sold]]&lt;=80,"Average",Table22[[#This Row],[Units Sold]]&lt;=90,"High",Table22[[#This Row],[Units Sold]]&lt;=95,"Excellent",Table22[[#This Row],[Units Sold]]&gt;95,"Outstanding")</f>
        <v>Critical</v>
      </c>
      <c r="N1862" s="29">
        <v>115.42</v>
      </c>
      <c r="O1862" s="29">
        <v>3000.92</v>
      </c>
      <c r="P1862" s="43">
        <f>IF(Table22[[#This Row],[Discount Applied]],Table22[[#This Row],[Total Sales (in USD)]]*(1-Table22[[#This Row],[Discount Percentage (%)]]/100),Table22[[#This Row],[Total Sales (in USD)]])</f>
        <v>2515.0710519999998</v>
      </c>
      <c r="Q1862" s="66">
        <f>SQRT(AVERAGE((Table22[[#This Row],[Net Sales (after discount) (in USD)]]-AVERAGE(Table22[Net Sales (after discount) (in USD)]))^2))</f>
        <v>33996.289511764538</v>
      </c>
      <c r="R1862" s="18" t="b">
        <v>0</v>
      </c>
      <c r="S1862" s="40">
        <v>16.190000000000001</v>
      </c>
      <c r="T1862" s="18" t="b">
        <v>1</v>
      </c>
      <c r="U1862" s="25">
        <v>45571</v>
      </c>
      <c r="V1862" s="63" t="str">
        <f>IF(MONTH(Table22[[#This Row],[Sales Date]])&lt;=3,"Q1",IF(MONTH(Table22[[#This Row],[Sales Date]])&lt;=6,"Q2",IF(MONTH(Table22[[#This Row],[Sales Date]])&lt;=9,"Q3","Q4")))</f>
        <v>Q4</v>
      </c>
      <c r="W1862" s="64">
        <f>YEAR(Table22[[#This Row],[Sales Date]])</f>
        <v>2024</v>
      </c>
      <c r="X1862" s="23">
        <v>29</v>
      </c>
      <c r="Y1862" s="18" t="s">
        <v>49</v>
      </c>
      <c r="Z1862" s="18" t="s">
        <v>56</v>
      </c>
      <c r="AA1862" s="19" t="s">
        <v>25</v>
      </c>
    </row>
    <row r="1863" spans="1:27" x14ac:dyDescent="0.25">
      <c r="A1863" s="17" t="s">
        <v>185</v>
      </c>
      <c r="B1863" s="18" t="s">
        <v>62</v>
      </c>
      <c r="C1863" s="63" t="str" cm="1">
        <f t="array" ref="C1863">_xlfn.SWITCH(Table22[[#This Row],[Country]],"USA","North America","Canada","North America","Brazil","South America","China","Asia","Japan","Asia","India","Asia","France","Europe","Germany","Europe","UK","Europe","Australia","Oceania","South America")</f>
        <v>Oceania</v>
      </c>
      <c r="D1863" s="18" t="s">
        <v>28</v>
      </c>
      <c r="E1863" s="18" t="s">
        <v>19</v>
      </c>
      <c r="F1863" s="18" t="s">
        <v>20</v>
      </c>
      <c r="G1863" s="18" t="s">
        <v>48</v>
      </c>
      <c r="H1863" s="64">
        <f>LEN(TRIM(Table22[[#This Row],[Country]]))</f>
        <v>9</v>
      </c>
      <c r="I1863" s="64">
        <f>LEN(TRIM(Table22[[#This Row],[Continent]]))</f>
        <v>7</v>
      </c>
      <c r="J1863" s="64">
        <f>LEN(TRIM(Table22[[#This Row],[Product]]))</f>
        <v>6</v>
      </c>
      <c r="K1863" s="64">
        <f>LEN(TRIM(Table22[[#This Row],[Sales Team]]))</f>
        <v>9</v>
      </c>
      <c r="L1863" s="23">
        <v>10</v>
      </c>
      <c r="M1863" s="65" t="str" cm="1">
        <f t="array" ref="M1863">_xlfn.IFS(Table22[[#This Row],[Units Sold]]&lt;40,"Critical",Table22[[#This Row],[Units Sold]]&lt;=50,"Poor",Table22[[#This Row],[Units Sold]]&lt;=60,"Low",Table22[[#This Row],[Units Sold]]&lt;=80,"Average",Table22[[#This Row],[Units Sold]]&lt;=90,"High",Table22[[#This Row],[Units Sold]]&lt;=95,"Excellent",Table22[[#This Row],[Units Sold]]&gt;95,"Outstanding")</f>
        <v>Critical</v>
      </c>
      <c r="N1863" s="29">
        <v>298.52999999999997</v>
      </c>
      <c r="O1863" s="29">
        <v>2985.3</v>
      </c>
      <c r="P1863" s="43">
        <f>IF(Table22[[#This Row],[Discount Applied]],Table22[[#This Row],[Total Sales (in USD)]]*(1-Table22[[#This Row],[Discount Percentage (%)]]/100),Table22[[#This Row],[Total Sales (in USD)]])</f>
        <v>2648.8566900000001</v>
      </c>
      <c r="Q1863" s="66">
        <f>SQRT(AVERAGE((Table22[[#This Row],[Net Sales (after discount) (in USD)]]-AVERAGE(Table22[Net Sales (after discount) (in USD)]))^2))</f>
        <v>33862.503873764537</v>
      </c>
      <c r="R1863" s="18" t="b">
        <v>1</v>
      </c>
      <c r="S1863" s="40">
        <v>11.27</v>
      </c>
      <c r="T1863" s="18" t="b">
        <v>1</v>
      </c>
      <c r="U1863" s="25">
        <v>45039</v>
      </c>
      <c r="V1863" s="63" t="str">
        <f>IF(MONTH(Table22[[#This Row],[Sales Date]])&lt;=3,"Q1",IF(MONTH(Table22[[#This Row],[Sales Date]])&lt;=6,"Q2",IF(MONTH(Table22[[#This Row],[Sales Date]])&lt;=9,"Q3","Q4")))</f>
        <v>Q2</v>
      </c>
      <c r="W1863" s="64">
        <f>YEAR(Table22[[#This Row],[Sales Date]])</f>
        <v>2023</v>
      </c>
      <c r="X1863" s="23">
        <v>45</v>
      </c>
      <c r="Y1863" s="18" t="s">
        <v>49</v>
      </c>
      <c r="Z1863" s="18" t="s">
        <v>24</v>
      </c>
      <c r="AA1863" s="19" t="s">
        <v>36</v>
      </c>
    </row>
    <row r="1864" spans="1:27" x14ac:dyDescent="0.25">
      <c r="A1864" s="17" t="s">
        <v>1536</v>
      </c>
      <c r="B1864" s="18" t="s">
        <v>18</v>
      </c>
      <c r="C1864" s="63" t="str" cm="1">
        <f t="array" ref="C1864">_xlfn.SWITCH(Table22[[#This Row],[Country]],"USA","North America","Canada","North America","Brazil","South America","China","Asia","Japan","Asia","India","Asia","France","Europe","Germany","Europe","UK","Europe","Australia","Oceania","South America")</f>
        <v>Asia</v>
      </c>
      <c r="D1864" s="18" t="s">
        <v>44</v>
      </c>
      <c r="E1864" s="18" t="s">
        <v>19</v>
      </c>
      <c r="F1864" s="18" t="s">
        <v>20</v>
      </c>
      <c r="G1864" s="18" t="s">
        <v>48</v>
      </c>
      <c r="H1864" s="64">
        <f>LEN(TRIM(Table22[[#This Row],[Country]]))</f>
        <v>5</v>
      </c>
      <c r="I1864" s="64">
        <f>LEN(TRIM(Table22[[#This Row],[Continent]]))</f>
        <v>4</v>
      </c>
      <c r="J1864" s="64">
        <f>LEN(TRIM(Table22[[#This Row],[Product]]))</f>
        <v>6</v>
      </c>
      <c r="K1864" s="64">
        <f>LEN(TRIM(Table22[[#This Row],[Sales Team]]))</f>
        <v>9</v>
      </c>
      <c r="L1864" s="23">
        <v>7</v>
      </c>
      <c r="M1864" s="65" t="str" cm="1">
        <f t="array" ref="M1864">_xlfn.IFS(Table22[[#This Row],[Units Sold]]&lt;40,"Critical",Table22[[#This Row],[Units Sold]]&lt;=50,"Poor",Table22[[#This Row],[Units Sold]]&lt;=60,"Low",Table22[[#This Row],[Units Sold]]&lt;=80,"Average",Table22[[#This Row],[Units Sold]]&lt;=90,"High",Table22[[#This Row],[Units Sold]]&lt;=95,"Excellent",Table22[[#This Row],[Units Sold]]&gt;95,"Outstanding")</f>
        <v>Critical</v>
      </c>
      <c r="N1864" s="29">
        <v>425.04</v>
      </c>
      <c r="O1864" s="29">
        <v>2975.28</v>
      </c>
      <c r="P1864" s="43">
        <f>IF(Table22[[#This Row],[Discount Applied]],Table22[[#This Row],[Total Sales (in USD)]]*(1-Table22[[#This Row],[Discount Percentage (%)]]/100),Table22[[#This Row],[Total Sales (in USD)]])</f>
        <v>2127.6227280000003</v>
      </c>
      <c r="Q1864" s="66">
        <f>SQRT(AVERAGE((Table22[[#This Row],[Net Sales (after discount) (in USD)]]-AVERAGE(Table22[Net Sales (after discount) (in USD)]))^2))</f>
        <v>34383.737835764536</v>
      </c>
      <c r="R1864" s="18" t="b">
        <v>1</v>
      </c>
      <c r="S1864" s="40">
        <v>28.49</v>
      </c>
      <c r="T1864" s="18" t="b">
        <v>1</v>
      </c>
      <c r="U1864" s="25">
        <v>45260</v>
      </c>
      <c r="V1864" s="63" t="str">
        <f>IF(MONTH(Table22[[#This Row],[Sales Date]])&lt;=3,"Q1",IF(MONTH(Table22[[#This Row],[Sales Date]])&lt;=6,"Q2",IF(MONTH(Table22[[#This Row],[Sales Date]])&lt;=9,"Q3","Q4")))</f>
        <v>Q4</v>
      </c>
      <c r="W1864" s="64">
        <f>YEAR(Table22[[#This Row],[Sales Date]])</f>
        <v>2023</v>
      </c>
      <c r="X1864" s="23">
        <v>32</v>
      </c>
      <c r="Y1864" s="18" t="s">
        <v>23</v>
      </c>
      <c r="Z1864" s="18" t="s">
        <v>30</v>
      </c>
      <c r="AA1864" s="19" t="s">
        <v>25</v>
      </c>
    </row>
    <row r="1865" spans="1:27" x14ac:dyDescent="0.25">
      <c r="A1865" s="17" t="s">
        <v>1875</v>
      </c>
      <c r="B1865" s="18" t="s">
        <v>46</v>
      </c>
      <c r="C1865" s="63" t="str" cm="1">
        <f t="array" ref="C1865">_xlfn.SWITCH(Table22[[#This Row],[Country]],"USA","North America","Canada","North America","Brazil","South America","China","Asia","Japan","Asia","India","Asia","France","Europe","Germany","Europe","UK","Europe","Australia","Oceania","South America")</f>
        <v>South America</v>
      </c>
      <c r="D1865" s="18" t="s">
        <v>44</v>
      </c>
      <c r="E1865" s="18" t="s">
        <v>19</v>
      </c>
      <c r="F1865" s="18" t="s">
        <v>20</v>
      </c>
      <c r="G1865" s="18" t="s">
        <v>40</v>
      </c>
      <c r="H1865" s="64">
        <f>LEN(TRIM(Table22[[#This Row],[Country]]))</f>
        <v>6</v>
      </c>
      <c r="I1865" s="64">
        <f>LEN(TRIM(Table22[[#This Row],[Continent]]))</f>
        <v>13</v>
      </c>
      <c r="J1865" s="64">
        <f>LEN(TRIM(Table22[[#This Row],[Product]]))</f>
        <v>6</v>
      </c>
      <c r="K1865" s="64">
        <f>LEN(TRIM(Table22[[#This Row],[Sales Team]]))</f>
        <v>10</v>
      </c>
      <c r="L1865" s="23">
        <v>9</v>
      </c>
      <c r="M1865" s="65" t="str" cm="1">
        <f t="array" ref="M1865">_xlfn.IFS(Table22[[#This Row],[Units Sold]]&lt;40,"Critical",Table22[[#This Row],[Units Sold]]&lt;=50,"Poor",Table22[[#This Row],[Units Sold]]&lt;=60,"Low",Table22[[#This Row],[Units Sold]]&lt;=80,"Average",Table22[[#This Row],[Units Sold]]&lt;=90,"High",Table22[[#This Row],[Units Sold]]&lt;=95,"Excellent",Table22[[#This Row],[Units Sold]]&gt;95,"Outstanding")</f>
        <v>Critical</v>
      </c>
      <c r="N1865" s="29">
        <v>330.08</v>
      </c>
      <c r="O1865" s="29">
        <v>2970.72</v>
      </c>
      <c r="P1865" s="43">
        <f>IF(Table22[[#This Row],[Discount Applied]],Table22[[#This Row],[Total Sales (in USD)]]*(1-Table22[[#This Row],[Discount Percentage (%)]]/100),Table22[[#This Row],[Total Sales (in USD)]])</f>
        <v>2544.7187519999998</v>
      </c>
      <c r="Q1865" s="66">
        <f>SQRT(AVERAGE((Table22[[#This Row],[Net Sales (after discount) (in USD)]]-AVERAGE(Table22[Net Sales (after discount) (in USD)]))^2))</f>
        <v>33966.641811764537</v>
      </c>
      <c r="R1865" s="18" t="b">
        <v>1</v>
      </c>
      <c r="S1865" s="40">
        <v>14.34</v>
      </c>
      <c r="T1865" s="18" t="b">
        <v>1</v>
      </c>
      <c r="U1865" s="25">
        <v>45566</v>
      </c>
      <c r="V1865" s="63" t="str">
        <f>IF(MONTH(Table22[[#This Row],[Sales Date]])&lt;=3,"Q1",IF(MONTH(Table22[[#This Row],[Sales Date]])&lt;=6,"Q2",IF(MONTH(Table22[[#This Row],[Sales Date]])&lt;=9,"Q3","Q4")))</f>
        <v>Q4</v>
      </c>
      <c r="W1865" s="64">
        <f>YEAR(Table22[[#This Row],[Sales Date]])</f>
        <v>2024</v>
      </c>
      <c r="X1865" s="23">
        <v>51</v>
      </c>
      <c r="Y1865" s="18" t="s">
        <v>41</v>
      </c>
      <c r="Z1865" s="18" t="s">
        <v>56</v>
      </c>
      <c r="AA1865" s="19" t="s">
        <v>36</v>
      </c>
    </row>
    <row r="1866" spans="1:27" x14ac:dyDescent="0.25">
      <c r="A1866" s="17" t="s">
        <v>2023</v>
      </c>
      <c r="B1866" s="18" t="s">
        <v>66</v>
      </c>
      <c r="C1866" s="63" t="str" cm="1">
        <f t="array" ref="C1866">_xlfn.SWITCH(Table22[[#This Row],[Country]],"USA","North America","Canada","North America","Brazil","South America","China","Asia","Japan","Asia","India","Asia","France","Europe","Germany","Europe","UK","Europe","Australia","Oceania","South America")</f>
        <v>North America</v>
      </c>
      <c r="D1866" s="18" t="s">
        <v>28</v>
      </c>
      <c r="E1866" s="18" t="s">
        <v>33</v>
      </c>
      <c r="F1866" s="18" t="s">
        <v>64</v>
      </c>
      <c r="G1866" s="18" t="s">
        <v>48</v>
      </c>
      <c r="H1866" s="64">
        <f>LEN(TRIM(Table22[[#This Row],[Country]]))</f>
        <v>6</v>
      </c>
      <c r="I1866" s="64">
        <f>LEN(TRIM(Table22[[#This Row],[Continent]]))</f>
        <v>13</v>
      </c>
      <c r="J1866" s="64">
        <f>LEN(TRIM(Table22[[#This Row],[Product]]))</f>
        <v>10</v>
      </c>
      <c r="K1866" s="64">
        <f>LEN(TRIM(Table22[[#This Row],[Sales Team]]))</f>
        <v>9</v>
      </c>
      <c r="L1866" s="23">
        <v>57</v>
      </c>
      <c r="M1866" s="65" t="str" cm="1">
        <f t="array" ref="M1866">_xlfn.IFS(Table22[[#This Row],[Units Sold]]&lt;40,"Critical",Table22[[#This Row],[Units Sold]]&lt;=50,"Poor",Table22[[#This Row],[Units Sold]]&lt;=60,"Low",Table22[[#This Row],[Units Sold]]&lt;=80,"Average",Table22[[#This Row],[Units Sold]]&lt;=90,"High",Table22[[#This Row],[Units Sold]]&lt;=95,"Excellent",Table22[[#This Row],[Units Sold]]&gt;95,"Outstanding")</f>
        <v>Low</v>
      </c>
      <c r="N1866" s="29">
        <v>51.64</v>
      </c>
      <c r="O1866" s="29">
        <v>2943.48</v>
      </c>
      <c r="P1866" s="43">
        <f>IF(Table22[[#This Row],[Discount Applied]],Table22[[#This Row],[Total Sales (in USD)]]*(1-Table22[[#This Row],[Discount Percentage (%)]]/100),Table22[[#This Row],[Total Sales (in USD)]])</f>
        <v>2872.8364799999999</v>
      </c>
      <c r="Q1866" s="66">
        <f>SQRT(AVERAGE((Table22[[#This Row],[Net Sales (after discount) (in USD)]]-AVERAGE(Table22[Net Sales (after discount) (in USD)]))^2))</f>
        <v>33638.52408376454</v>
      </c>
      <c r="R1866" s="18" t="b">
        <v>1</v>
      </c>
      <c r="S1866" s="40">
        <v>2.4</v>
      </c>
      <c r="T1866" s="18" t="b">
        <v>1</v>
      </c>
      <c r="U1866" s="25">
        <v>45517</v>
      </c>
      <c r="V1866" s="63" t="str">
        <f>IF(MONTH(Table22[[#This Row],[Sales Date]])&lt;=3,"Q1",IF(MONTH(Table22[[#This Row],[Sales Date]])&lt;=6,"Q2",IF(MONTH(Table22[[#This Row],[Sales Date]])&lt;=9,"Q3","Q4")))</f>
        <v>Q3</v>
      </c>
      <c r="W1866" s="64">
        <f>YEAR(Table22[[#This Row],[Sales Date]])</f>
        <v>2024</v>
      </c>
      <c r="X1866" s="23">
        <v>25</v>
      </c>
      <c r="Y1866" s="18" t="s">
        <v>49</v>
      </c>
      <c r="Z1866" s="18" t="s">
        <v>42</v>
      </c>
      <c r="AA1866" s="19" t="s">
        <v>25</v>
      </c>
    </row>
    <row r="1867" spans="1:27" x14ac:dyDescent="0.25">
      <c r="A1867" s="17" t="s">
        <v>972</v>
      </c>
      <c r="B1867" s="18" t="s">
        <v>51</v>
      </c>
      <c r="C1867" s="63" t="str" cm="1">
        <f t="array" ref="C1867">_xlfn.SWITCH(Table22[[#This Row],[Country]],"USA","North America","Canada","North America","Brazil","South America","China","Asia","Japan","Asia","India","Asia","France","Europe","Germany","Europe","UK","Europe","Australia","Oceania","South America")</f>
        <v>Europe</v>
      </c>
      <c r="D1867" s="18" t="s">
        <v>35</v>
      </c>
      <c r="E1867" s="18" t="s">
        <v>19</v>
      </c>
      <c r="F1867" s="18" t="s">
        <v>64</v>
      </c>
      <c r="G1867" s="18" t="s">
        <v>48</v>
      </c>
      <c r="H1867" s="64">
        <f>LEN(TRIM(Table22[[#This Row],[Country]]))</f>
        <v>2</v>
      </c>
      <c r="I1867" s="64">
        <f>LEN(TRIM(Table22[[#This Row],[Continent]]))</f>
        <v>6</v>
      </c>
      <c r="J1867" s="64">
        <f>LEN(TRIM(Table22[[#This Row],[Product]]))</f>
        <v>6</v>
      </c>
      <c r="K1867" s="64">
        <f>LEN(TRIM(Table22[[#This Row],[Sales Team]]))</f>
        <v>9</v>
      </c>
      <c r="L1867" s="23">
        <v>13</v>
      </c>
      <c r="M1867" s="65" t="str" cm="1">
        <f t="array" ref="M1867">_xlfn.IFS(Table22[[#This Row],[Units Sold]]&lt;40,"Critical",Table22[[#This Row],[Units Sold]]&lt;=50,"Poor",Table22[[#This Row],[Units Sold]]&lt;=60,"Low",Table22[[#This Row],[Units Sold]]&lt;=80,"Average",Table22[[#This Row],[Units Sold]]&lt;=90,"High",Table22[[#This Row],[Units Sold]]&lt;=95,"Excellent",Table22[[#This Row],[Units Sold]]&gt;95,"Outstanding")</f>
        <v>Critical</v>
      </c>
      <c r="N1867" s="29">
        <v>225.13</v>
      </c>
      <c r="O1867" s="29">
        <v>2926.69</v>
      </c>
      <c r="P1867" s="43">
        <f>IF(Table22[[#This Row],[Discount Applied]],Table22[[#This Row],[Total Sales (in USD)]]*(1-Table22[[#This Row],[Discount Percentage (%)]]/100),Table22[[#This Row],[Total Sales (in USD)]])</f>
        <v>2926.69</v>
      </c>
      <c r="Q1867" s="66">
        <f>SQRT(AVERAGE((Table22[[#This Row],[Net Sales (after discount) (in USD)]]-AVERAGE(Table22[Net Sales (after discount) (in USD)]))^2))</f>
        <v>33584.670563764535</v>
      </c>
      <c r="R1867" s="18" t="b">
        <v>1</v>
      </c>
      <c r="S1867" s="40">
        <v>9</v>
      </c>
      <c r="T1867" s="18" t="b">
        <v>0</v>
      </c>
      <c r="U1867" s="25">
        <v>45038</v>
      </c>
      <c r="V1867" s="63" t="str">
        <f>IF(MONTH(Table22[[#This Row],[Sales Date]])&lt;=3,"Q1",IF(MONTH(Table22[[#This Row],[Sales Date]])&lt;=6,"Q2",IF(MONTH(Table22[[#This Row],[Sales Date]])&lt;=9,"Q3","Q4")))</f>
        <v>Q2</v>
      </c>
      <c r="W1867" s="64">
        <f>YEAR(Table22[[#This Row],[Sales Date]])</f>
        <v>2023</v>
      </c>
      <c r="X1867" s="23">
        <v>48</v>
      </c>
      <c r="Y1867" s="18" t="s">
        <v>41</v>
      </c>
      <c r="Z1867" s="18" t="s">
        <v>42</v>
      </c>
      <c r="AA1867" s="19" t="s">
        <v>25</v>
      </c>
    </row>
    <row r="1868" spans="1:27" x14ac:dyDescent="0.25">
      <c r="A1868" s="17" t="s">
        <v>110</v>
      </c>
      <c r="B1868" s="18" t="s">
        <v>62</v>
      </c>
      <c r="C1868" s="63" t="str" cm="1">
        <f t="array" ref="C1868">_xlfn.SWITCH(Table22[[#This Row],[Country]],"USA","North America","Canada","North America","Brazil","South America","China","Asia","Japan","Asia","India","Asia","France","Europe","Germany","Europe","UK","Europe","Australia","Oceania","South America")</f>
        <v>Oceania</v>
      </c>
      <c r="D1868" s="18" t="s">
        <v>35</v>
      </c>
      <c r="E1868" s="18" t="s">
        <v>19</v>
      </c>
      <c r="F1868" s="18" t="s">
        <v>20</v>
      </c>
      <c r="G1868" s="18" t="s">
        <v>29</v>
      </c>
      <c r="H1868" s="64">
        <f>LEN(TRIM(Table22[[#This Row],[Country]]))</f>
        <v>9</v>
      </c>
      <c r="I1868" s="64">
        <f>LEN(TRIM(Table22[[#This Row],[Continent]]))</f>
        <v>7</v>
      </c>
      <c r="J1868" s="64">
        <f>LEN(TRIM(Table22[[#This Row],[Product]]))</f>
        <v>6</v>
      </c>
      <c r="K1868" s="64">
        <f>LEN(TRIM(Table22[[#This Row],[Sales Team]]))</f>
        <v>10</v>
      </c>
      <c r="L1868" s="23">
        <v>40</v>
      </c>
      <c r="M1868" s="65" t="str" cm="1">
        <f t="array" ref="M1868">_xlfn.IFS(Table22[[#This Row],[Units Sold]]&lt;40,"Critical",Table22[[#This Row],[Units Sold]]&lt;=50,"Poor",Table22[[#This Row],[Units Sold]]&lt;=60,"Low",Table22[[#This Row],[Units Sold]]&lt;=80,"Average",Table22[[#This Row],[Units Sold]]&lt;=90,"High",Table22[[#This Row],[Units Sold]]&lt;=95,"Excellent",Table22[[#This Row],[Units Sold]]&gt;95,"Outstanding")</f>
        <v>Poor</v>
      </c>
      <c r="N1868" s="29">
        <v>72.400000000000006</v>
      </c>
      <c r="O1868" s="29">
        <v>2896</v>
      </c>
      <c r="P1868" s="43">
        <f>IF(Table22[[#This Row],[Discount Applied]],Table22[[#This Row],[Total Sales (in USD)]]*(1-Table22[[#This Row],[Discount Percentage (%)]]/100),Table22[[#This Row],[Total Sales (in USD)]])</f>
        <v>2896</v>
      </c>
      <c r="Q1868" s="66">
        <f>SQRT(AVERAGE((Table22[[#This Row],[Net Sales (after discount) (in USD)]]-AVERAGE(Table22[Net Sales (after discount) (in USD)]))^2))</f>
        <v>33615.360563764538</v>
      </c>
      <c r="R1868" s="18" t="b">
        <v>1</v>
      </c>
      <c r="S1868" s="40">
        <v>29.92</v>
      </c>
      <c r="T1868" s="18" t="b">
        <v>0</v>
      </c>
      <c r="U1868" s="25">
        <v>45029</v>
      </c>
      <c r="V1868" s="63" t="str">
        <f>IF(MONTH(Table22[[#This Row],[Sales Date]])&lt;=3,"Q1",IF(MONTH(Table22[[#This Row],[Sales Date]])&lt;=6,"Q2",IF(MONTH(Table22[[#This Row],[Sales Date]])&lt;=9,"Q3","Q4")))</f>
        <v>Q2</v>
      </c>
      <c r="W1868" s="64">
        <f>YEAR(Table22[[#This Row],[Sales Date]])</f>
        <v>2023</v>
      </c>
      <c r="X1868" s="23">
        <v>21</v>
      </c>
      <c r="Y1868" s="18" t="s">
        <v>49</v>
      </c>
      <c r="Z1868" s="18" t="s">
        <v>56</v>
      </c>
      <c r="AA1868" s="19" t="s">
        <v>36</v>
      </c>
    </row>
    <row r="1869" spans="1:27" x14ac:dyDescent="0.25">
      <c r="A1869" s="17" t="s">
        <v>1000</v>
      </c>
      <c r="B1869" s="18" t="s">
        <v>62</v>
      </c>
      <c r="C1869" s="63" t="str" cm="1">
        <f t="array" ref="C1869">_xlfn.SWITCH(Table22[[#This Row],[Country]],"USA","North America","Canada","North America","Brazil","South America","China","Asia","Japan","Asia","India","Asia","France","Europe","Germany","Europe","UK","Europe","Australia","Oceania","South America")</f>
        <v>Oceania</v>
      </c>
      <c r="D1869" s="18" t="s">
        <v>21</v>
      </c>
      <c r="E1869" s="18" t="s">
        <v>33</v>
      </c>
      <c r="F1869" s="18" t="s">
        <v>47</v>
      </c>
      <c r="G1869" s="18" t="s">
        <v>22</v>
      </c>
      <c r="H1869" s="64">
        <f>LEN(TRIM(Table22[[#This Row],[Country]]))</f>
        <v>9</v>
      </c>
      <c r="I1869" s="64">
        <f>LEN(TRIM(Table22[[#This Row],[Continent]]))</f>
        <v>7</v>
      </c>
      <c r="J1869" s="64">
        <f>LEN(TRIM(Table22[[#This Row],[Product]]))</f>
        <v>10</v>
      </c>
      <c r="K1869" s="64">
        <f>LEN(TRIM(Table22[[#This Row],[Sales Team]]))</f>
        <v>10</v>
      </c>
      <c r="L1869" s="23">
        <v>19</v>
      </c>
      <c r="M1869" s="65" t="str" cm="1">
        <f t="array" ref="M1869">_xlfn.IFS(Table22[[#This Row],[Units Sold]]&lt;40,"Critical",Table22[[#This Row],[Units Sold]]&lt;=50,"Poor",Table22[[#This Row],[Units Sold]]&lt;=60,"Low",Table22[[#This Row],[Units Sold]]&lt;=80,"Average",Table22[[#This Row],[Units Sold]]&lt;=90,"High",Table22[[#This Row],[Units Sold]]&lt;=95,"Excellent",Table22[[#This Row],[Units Sold]]&gt;95,"Outstanding")</f>
        <v>Critical</v>
      </c>
      <c r="N1869" s="29">
        <v>151.66999999999999</v>
      </c>
      <c r="O1869" s="29">
        <v>2881.73</v>
      </c>
      <c r="P1869" s="43">
        <f>IF(Table22[[#This Row],[Discount Applied]],Table22[[#This Row],[Total Sales (in USD)]]*(1-Table22[[#This Row],[Discount Percentage (%)]]/100),Table22[[#This Row],[Total Sales (in USD)]])</f>
        <v>2580.3010420000001</v>
      </c>
      <c r="Q1869" s="66">
        <f>SQRT(AVERAGE((Table22[[#This Row],[Net Sales (after discount) (in USD)]]-AVERAGE(Table22[Net Sales (after discount) (in USD)]))^2))</f>
        <v>33931.059521764539</v>
      </c>
      <c r="R1869" s="18" t="b">
        <v>0</v>
      </c>
      <c r="S1869" s="40">
        <v>10.46</v>
      </c>
      <c r="T1869" s="18" t="b">
        <v>1</v>
      </c>
      <c r="U1869" s="25">
        <v>45282</v>
      </c>
      <c r="V1869" s="63" t="str">
        <f>IF(MONTH(Table22[[#This Row],[Sales Date]])&lt;=3,"Q1",IF(MONTH(Table22[[#This Row],[Sales Date]])&lt;=6,"Q2",IF(MONTH(Table22[[#This Row],[Sales Date]])&lt;=9,"Q3","Q4")))</f>
        <v>Q4</v>
      </c>
      <c r="W1869" s="64">
        <f>YEAR(Table22[[#This Row],[Sales Date]])</f>
        <v>2023</v>
      </c>
      <c r="X1869" s="23">
        <v>21</v>
      </c>
      <c r="Y1869" s="18" t="s">
        <v>23</v>
      </c>
      <c r="Z1869" s="18" t="s">
        <v>56</v>
      </c>
      <c r="AA1869" s="19" t="s">
        <v>36</v>
      </c>
    </row>
    <row r="1870" spans="1:27" x14ac:dyDescent="0.25">
      <c r="A1870" s="17" t="s">
        <v>1021</v>
      </c>
      <c r="B1870" s="18" t="s">
        <v>38</v>
      </c>
      <c r="C1870" s="63" t="str" cm="1">
        <f t="array" ref="C1870">_xlfn.SWITCH(Table22[[#This Row],[Country]],"USA","North America","Canada","North America","Brazil","South America","China","Asia","Japan","Asia","India","Asia","France","Europe","Germany","Europe","UK","Europe","Australia","Oceania","South America")</f>
        <v>Europe</v>
      </c>
      <c r="D1870" s="18" t="s">
        <v>35</v>
      </c>
      <c r="E1870" s="18" t="s">
        <v>33</v>
      </c>
      <c r="F1870" s="18" t="s">
        <v>34</v>
      </c>
      <c r="G1870" s="18" t="s">
        <v>29</v>
      </c>
      <c r="H1870" s="64">
        <f>LEN(TRIM(Table22[[#This Row],[Country]]))</f>
        <v>6</v>
      </c>
      <c r="I1870" s="64">
        <f>LEN(TRIM(Table22[[#This Row],[Continent]]))</f>
        <v>6</v>
      </c>
      <c r="J1870" s="64">
        <f>LEN(TRIM(Table22[[#This Row],[Product]]))</f>
        <v>10</v>
      </c>
      <c r="K1870" s="64">
        <f>LEN(TRIM(Table22[[#This Row],[Sales Team]]))</f>
        <v>10</v>
      </c>
      <c r="L1870" s="23">
        <v>13</v>
      </c>
      <c r="M1870" s="65" t="str" cm="1">
        <f t="array" ref="M1870">_xlfn.IFS(Table22[[#This Row],[Units Sold]]&lt;40,"Critical",Table22[[#This Row],[Units Sold]]&lt;=50,"Poor",Table22[[#This Row],[Units Sold]]&lt;=60,"Low",Table22[[#This Row],[Units Sold]]&lt;=80,"Average",Table22[[#This Row],[Units Sold]]&lt;=90,"High",Table22[[#This Row],[Units Sold]]&lt;=95,"Excellent",Table22[[#This Row],[Units Sold]]&gt;95,"Outstanding")</f>
        <v>Critical</v>
      </c>
      <c r="N1870" s="29">
        <v>219.72</v>
      </c>
      <c r="O1870" s="29">
        <v>2856.36</v>
      </c>
      <c r="P1870" s="43">
        <f>IF(Table22[[#This Row],[Discount Applied]],Table22[[#This Row],[Total Sales (in USD)]]*(1-Table22[[#This Row],[Discount Percentage (%)]]/100),Table22[[#This Row],[Total Sales (in USD)]])</f>
        <v>2856.36</v>
      </c>
      <c r="Q1870" s="66">
        <f>SQRT(AVERAGE((Table22[[#This Row],[Net Sales (after discount) (in USD)]]-AVERAGE(Table22[Net Sales (after discount) (in USD)]))^2))</f>
        <v>33655.000563764537</v>
      </c>
      <c r="R1870" s="18" t="b">
        <v>0</v>
      </c>
      <c r="S1870" s="40">
        <v>1.67</v>
      </c>
      <c r="T1870" s="18" t="b">
        <v>0</v>
      </c>
      <c r="U1870" s="25">
        <v>45062</v>
      </c>
      <c r="V1870" s="63" t="str">
        <f>IF(MONTH(Table22[[#This Row],[Sales Date]])&lt;=3,"Q1",IF(MONTH(Table22[[#This Row],[Sales Date]])&lt;=6,"Q2",IF(MONTH(Table22[[#This Row],[Sales Date]])&lt;=9,"Q3","Q4")))</f>
        <v>Q2</v>
      </c>
      <c r="W1870" s="64">
        <f>YEAR(Table22[[#This Row],[Sales Date]])</f>
        <v>2023</v>
      </c>
      <c r="X1870" s="23">
        <v>65</v>
      </c>
      <c r="Y1870" s="18" t="s">
        <v>49</v>
      </c>
      <c r="Z1870" s="18" t="s">
        <v>24</v>
      </c>
      <c r="AA1870" s="19" t="s">
        <v>25</v>
      </c>
    </row>
    <row r="1871" spans="1:27" x14ac:dyDescent="0.25">
      <c r="A1871" s="17" t="s">
        <v>1688</v>
      </c>
      <c r="B1871" s="18" t="s">
        <v>62</v>
      </c>
      <c r="C1871" s="63" t="str" cm="1">
        <f t="array" ref="C1871">_xlfn.SWITCH(Table22[[#This Row],[Country]],"USA","North America","Canada","North America","Brazil","South America","China","Asia","Japan","Asia","India","Asia","France","Europe","Germany","Europe","UK","Europe","Australia","Oceania","South America")</f>
        <v>Oceania</v>
      </c>
      <c r="D1871" s="18" t="s">
        <v>44</v>
      </c>
      <c r="E1871" s="18" t="s">
        <v>19</v>
      </c>
      <c r="F1871" s="18" t="s">
        <v>52</v>
      </c>
      <c r="G1871" s="18" t="s">
        <v>22</v>
      </c>
      <c r="H1871" s="64">
        <f>LEN(TRIM(Table22[[#This Row],[Country]]))</f>
        <v>9</v>
      </c>
      <c r="I1871" s="64">
        <f>LEN(TRIM(Table22[[#This Row],[Continent]]))</f>
        <v>7</v>
      </c>
      <c r="J1871" s="64">
        <f>LEN(TRIM(Table22[[#This Row],[Product]]))</f>
        <v>6</v>
      </c>
      <c r="K1871" s="64">
        <f>LEN(TRIM(Table22[[#This Row],[Sales Team]]))</f>
        <v>10</v>
      </c>
      <c r="L1871" s="23">
        <v>5</v>
      </c>
      <c r="M1871" s="65" t="str" cm="1">
        <f t="array" ref="M1871">_xlfn.IFS(Table22[[#This Row],[Units Sold]]&lt;40,"Critical",Table22[[#This Row],[Units Sold]]&lt;=50,"Poor",Table22[[#This Row],[Units Sold]]&lt;=60,"Low",Table22[[#This Row],[Units Sold]]&lt;=80,"Average",Table22[[#This Row],[Units Sold]]&lt;=90,"High",Table22[[#This Row],[Units Sold]]&lt;=95,"Excellent",Table22[[#This Row],[Units Sold]]&gt;95,"Outstanding")</f>
        <v>Critical</v>
      </c>
      <c r="N1871" s="29">
        <v>564.74</v>
      </c>
      <c r="O1871" s="29">
        <v>2823.7</v>
      </c>
      <c r="P1871" s="43">
        <f>IF(Table22[[#This Row],[Discount Applied]],Table22[[#This Row],[Total Sales (in USD)]]*(1-Table22[[#This Row],[Discount Percentage (%)]]/100),Table22[[#This Row],[Total Sales (in USD)]])</f>
        <v>2823.7</v>
      </c>
      <c r="Q1871" s="66">
        <f>SQRT(AVERAGE((Table22[[#This Row],[Net Sales (after discount) (in USD)]]-AVERAGE(Table22[Net Sales (after discount) (in USD)]))^2))</f>
        <v>33687.660563764541</v>
      </c>
      <c r="R1871" s="18" t="b">
        <v>1</v>
      </c>
      <c r="S1871" s="40">
        <v>4.92</v>
      </c>
      <c r="T1871" s="18" t="b">
        <v>0</v>
      </c>
      <c r="U1871" s="25">
        <v>44995</v>
      </c>
      <c r="V1871" s="63" t="str">
        <f>IF(MONTH(Table22[[#This Row],[Sales Date]])&lt;=3,"Q1",IF(MONTH(Table22[[#This Row],[Sales Date]])&lt;=6,"Q2",IF(MONTH(Table22[[#This Row],[Sales Date]])&lt;=9,"Q3","Q4")))</f>
        <v>Q1</v>
      </c>
      <c r="W1871" s="64">
        <f>YEAR(Table22[[#This Row],[Sales Date]])</f>
        <v>2023</v>
      </c>
      <c r="X1871" s="23">
        <v>43</v>
      </c>
      <c r="Y1871" s="18" t="s">
        <v>23</v>
      </c>
      <c r="Z1871" s="18" t="s">
        <v>42</v>
      </c>
      <c r="AA1871" s="19" t="s">
        <v>36</v>
      </c>
    </row>
    <row r="1872" spans="1:27" x14ac:dyDescent="0.25">
      <c r="A1872" s="17" t="s">
        <v>888</v>
      </c>
      <c r="B1872" s="18" t="s">
        <v>62</v>
      </c>
      <c r="C1872" s="63" t="str" cm="1">
        <f t="array" ref="C1872">_xlfn.SWITCH(Table22[[#This Row],[Country]],"USA","North America","Canada","North America","Brazil","South America","China","Asia","Japan","Asia","India","Asia","France","Europe","Germany","Europe","UK","Europe","Australia","Oceania","South America")</f>
        <v>Oceania</v>
      </c>
      <c r="D1872" s="18" t="s">
        <v>28</v>
      </c>
      <c r="E1872" s="18" t="s">
        <v>39</v>
      </c>
      <c r="F1872" s="18" t="s">
        <v>20</v>
      </c>
      <c r="G1872" s="18" t="s">
        <v>29</v>
      </c>
      <c r="H1872" s="64">
        <f>LEN(TRIM(Table22[[#This Row],[Country]]))</f>
        <v>9</v>
      </c>
      <c r="I1872" s="64">
        <f>LEN(TRIM(Table22[[#This Row],[Continent]]))</f>
        <v>7</v>
      </c>
      <c r="J1872" s="64">
        <f>LEN(TRIM(Table22[[#This Row],[Product]]))</f>
        <v>10</v>
      </c>
      <c r="K1872" s="64">
        <f>LEN(TRIM(Table22[[#This Row],[Sales Team]]))</f>
        <v>10</v>
      </c>
      <c r="L1872" s="23">
        <v>13</v>
      </c>
      <c r="M1872" s="65" t="str" cm="1">
        <f t="array" ref="M1872">_xlfn.IFS(Table22[[#This Row],[Units Sold]]&lt;40,"Critical",Table22[[#This Row],[Units Sold]]&lt;=50,"Poor",Table22[[#This Row],[Units Sold]]&lt;=60,"Low",Table22[[#This Row],[Units Sold]]&lt;=80,"Average",Table22[[#This Row],[Units Sold]]&lt;=90,"High",Table22[[#This Row],[Units Sold]]&lt;=95,"Excellent",Table22[[#This Row],[Units Sold]]&gt;95,"Outstanding")</f>
        <v>Critical</v>
      </c>
      <c r="N1872" s="29">
        <v>212.54</v>
      </c>
      <c r="O1872" s="29">
        <v>2763.02</v>
      </c>
      <c r="P1872" s="43">
        <f>IF(Table22[[#This Row],[Discount Applied]],Table22[[#This Row],[Total Sales (in USD)]]*(1-Table22[[#This Row],[Discount Percentage (%)]]/100),Table22[[#This Row],[Total Sales (in USD)]])</f>
        <v>2763.02</v>
      </c>
      <c r="Q1872" s="66">
        <f>SQRT(AVERAGE((Table22[[#This Row],[Net Sales (after discount) (in USD)]]-AVERAGE(Table22[Net Sales (after discount) (in USD)]))^2))</f>
        <v>33748.340563764541</v>
      </c>
      <c r="R1872" s="18" t="b">
        <v>1</v>
      </c>
      <c r="S1872" s="40">
        <v>21.54</v>
      </c>
      <c r="T1872" s="18" t="b">
        <v>0</v>
      </c>
      <c r="U1872" s="25">
        <v>45111</v>
      </c>
      <c r="V1872" s="63" t="str">
        <f>IF(MONTH(Table22[[#This Row],[Sales Date]])&lt;=3,"Q1",IF(MONTH(Table22[[#This Row],[Sales Date]])&lt;=6,"Q2",IF(MONTH(Table22[[#This Row],[Sales Date]])&lt;=9,"Q3","Q4")))</f>
        <v>Q3</v>
      </c>
      <c r="W1872" s="64">
        <f>YEAR(Table22[[#This Row],[Sales Date]])</f>
        <v>2023</v>
      </c>
      <c r="X1872" s="23">
        <v>50</v>
      </c>
      <c r="Y1872" s="18" t="s">
        <v>49</v>
      </c>
      <c r="Z1872" s="18" t="s">
        <v>42</v>
      </c>
      <c r="AA1872" s="19" t="s">
        <v>25</v>
      </c>
    </row>
    <row r="1873" spans="1:27" x14ac:dyDescent="0.25">
      <c r="A1873" s="17" t="s">
        <v>1917</v>
      </c>
      <c r="B1873" s="18" t="s">
        <v>62</v>
      </c>
      <c r="C1873" s="63" t="str" cm="1">
        <f t="array" ref="C1873">_xlfn.SWITCH(Table22[[#This Row],[Country]],"USA","North America","Canada","North America","Brazil","South America","China","Asia","Japan","Asia","India","Asia","France","Europe","Germany","Europe","UK","Europe","Australia","Oceania","South America")</f>
        <v>Oceania</v>
      </c>
      <c r="D1873" s="18" t="s">
        <v>35</v>
      </c>
      <c r="E1873" s="18" t="s">
        <v>19</v>
      </c>
      <c r="F1873" s="18" t="s">
        <v>52</v>
      </c>
      <c r="G1873" s="18" t="s">
        <v>22</v>
      </c>
      <c r="H1873" s="64">
        <f>LEN(TRIM(Table22[[#This Row],[Country]]))</f>
        <v>9</v>
      </c>
      <c r="I1873" s="64">
        <f>LEN(TRIM(Table22[[#This Row],[Continent]]))</f>
        <v>7</v>
      </c>
      <c r="J1873" s="64">
        <f>LEN(TRIM(Table22[[#This Row],[Product]]))</f>
        <v>6</v>
      </c>
      <c r="K1873" s="64">
        <f>LEN(TRIM(Table22[[#This Row],[Sales Team]]))</f>
        <v>10</v>
      </c>
      <c r="L1873" s="23">
        <v>2</v>
      </c>
      <c r="M1873" s="65" t="str" cm="1">
        <f t="array" ref="M1873">_xlfn.IFS(Table22[[#This Row],[Units Sold]]&lt;40,"Critical",Table22[[#This Row],[Units Sold]]&lt;=50,"Poor",Table22[[#This Row],[Units Sold]]&lt;=60,"Low",Table22[[#This Row],[Units Sold]]&lt;=80,"Average",Table22[[#This Row],[Units Sold]]&lt;=90,"High",Table22[[#This Row],[Units Sold]]&lt;=95,"Excellent",Table22[[#This Row],[Units Sold]]&gt;95,"Outstanding")</f>
        <v>Critical</v>
      </c>
      <c r="N1873" s="29">
        <v>1375.94</v>
      </c>
      <c r="O1873" s="29">
        <v>2751.88</v>
      </c>
      <c r="P1873" s="43">
        <f>IF(Table22[[#This Row],[Discount Applied]],Table22[[#This Row],[Total Sales (in USD)]]*(1-Table22[[#This Row],[Discount Percentage (%)]]/100),Table22[[#This Row],[Total Sales (in USD)]])</f>
        <v>2751.88</v>
      </c>
      <c r="Q1873" s="66">
        <f>SQRT(AVERAGE((Table22[[#This Row],[Net Sales (after discount) (in USD)]]-AVERAGE(Table22[Net Sales (after discount) (in USD)]))^2))</f>
        <v>33759.48056376454</v>
      </c>
      <c r="R1873" s="18" t="b">
        <v>1</v>
      </c>
      <c r="S1873" s="40">
        <v>2</v>
      </c>
      <c r="T1873" s="18" t="b">
        <v>0</v>
      </c>
      <c r="U1873" s="25">
        <v>45468</v>
      </c>
      <c r="V1873" s="63" t="str">
        <f>IF(MONTH(Table22[[#This Row],[Sales Date]])&lt;=3,"Q1",IF(MONTH(Table22[[#This Row],[Sales Date]])&lt;=6,"Q2",IF(MONTH(Table22[[#This Row],[Sales Date]])&lt;=9,"Q3","Q4")))</f>
        <v>Q2</v>
      </c>
      <c r="W1873" s="64">
        <f>YEAR(Table22[[#This Row],[Sales Date]])</f>
        <v>2024</v>
      </c>
      <c r="X1873" s="23">
        <v>53</v>
      </c>
      <c r="Y1873" s="18" t="s">
        <v>23</v>
      </c>
      <c r="Z1873" s="18" t="s">
        <v>42</v>
      </c>
      <c r="AA1873" s="19" t="s">
        <v>25</v>
      </c>
    </row>
    <row r="1874" spans="1:27" x14ac:dyDescent="0.25">
      <c r="A1874" s="17" t="s">
        <v>820</v>
      </c>
      <c r="B1874" s="18" t="s">
        <v>32</v>
      </c>
      <c r="C1874" s="63" t="str" cm="1">
        <f t="array" ref="C1874">_xlfn.SWITCH(Table22[[#This Row],[Country]],"USA","North America","Canada","North America","Brazil","South America","China","Asia","Japan","Asia","India","Asia","France","Europe","Germany","Europe","UK","Europe","Australia","Oceania","South America")</f>
        <v>Asia</v>
      </c>
      <c r="D1874" s="18" t="s">
        <v>35</v>
      </c>
      <c r="E1874" s="18" t="s">
        <v>19</v>
      </c>
      <c r="F1874" s="18" t="s">
        <v>47</v>
      </c>
      <c r="G1874" s="18" t="s">
        <v>40</v>
      </c>
      <c r="H1874" s="64">
        <f>LEN(TRIM(Table22[[#This Row],[Country]]))</f>
        <v>5</v>
      </c>
      <c r="I1874" s="64">
        <f>LEN(TRIM(Table22[[#This Row],[Continent]]))</f>
        <v>4</v>
      </c>
      <c r="J1874" s="64">
        <f>LEN(TRIM(Table22[[#This Row],[Product]]))</f>
        <v>6</v>
      </c>
      <c r="K1874" s="64">
        <f>LEN(TRIM(Table22[[#This Row],[Sales Team]]))</f>
        <v>10</v>
      </c>
      <c r="L1874" s="23">
        <v>11</v>
      </c>
      <c r="M1874" s="65" t="str" cm="1">
        <f t="array" ref="M1874">_xlfn.IFS(Table22[[#This Row],[Units Sold]]&lt;40,"Critical",Table22[[#This Row],[Units Sold]]&lt;=50,"Poor",Table22[[#This Row],[Units Sold]]&lt;=60,"Low",Table22[[#This Row],[Units Sold]]&lt;=80,"Average",Table22[[#This Row],[Units Sold]]&lt;=90,"High",Table22[[#This Row],[Units Sold]]&lt;=95,"Excellent",Table22[[#This Row],[Units Sold]]&gt;95,"Outstanding")</f>
        <v>Critical</v>
      </c>
      <c r="N1874" s="29">
        <v>249.95</v>
      </c>
      <c r="O1874" s="29">
        <v>2749.45</v>
      </c>
      <c r="P1874" s="43">
        <f>IF(Table22[[#This Row],[Discount Applied]],Table22[[#This Row],[Total Sales (in USD)]]*(1-Table22[[#This Row],[Discount Percentage (%)]]/100),Table22[[#This Row],[Total Sales (in USD)]])</f>
        <v>2749.45</v>
      </c>
      <c r="Q1874" s="66">
        <f>SQRT(AVERAGE((Table22[[#This Row],[Net Sales (after discount) (in USD)]]-AVERAGE(Table22[Net Sales (after discount) (in USD)]))^2))</f>
        <v>33761.910563764541</v>
      </c>
      <c r="R1874" s="18" t="b">
        <v>1</v>
      </c>
      <c r="S1874" s="40">
        <v>28.15</v>
      </c>
      <c r="T1874" s="18" t="b">
        <v>0</v>
      </c>
      <c r="U1874" s="25">
        <v>44962</v>
      </c>
      <c r="V1874" s="63" t="str">
        <f>IF(MONTH(Table22[[#This Row],[Sales Date]])&lt;=3,"Q1",IF(MONTH(Table22[[#This Row],[Sales Date]])&lt;=6,"Q2",IF(MONTH(Table22[[#This Row],[Sales Date]])&lt;=9,"Q3","Q4")))</f>
        <v>Q1</v>
      </c>
      <c r="W1874" s="64">
        <f>YEAR(Table22[[#This Row],[Sales Date]])</f>
        <v>2023</v>
      </c>
      <c r="X1874" s="23">
        <v>57</v>
      </c>
      <c r="Y1874" s="18" t="s">
        <v>23</v>
      </c>
      <c r="Z1874" s="18" t="s">
        <v>42</v>
      </c>
      <c r="AA1874" s="19" t="s">
        <v>25</v>
      </c>
    </row>
    <row r="1875" spans="1:27" x14ac:dyDescent="0.25">
      <c r="A1875" s="17" t="s">
        <v>1572</v>
      </c>
      <c r="B1875" s="18" t="s">
        <v>18</v>
      </c>
      <c r="C1875" s="63" t="str" cm="1">
        <f t="array" ref="C1875">_xlfn.SWITCH(Table22[[#This Row],[Country]],"USA","North America","Canada","North America","Brazil","South America","China","Asia","Japan","Asia","India","Asia","France","Europe","Germany","Europe","UK","Europe","Australia","Oceania","South America")</f>
        <v>Asia</v>
      </c>
      <c r="D1875" s="18" t="s">
        <v>44</v>
      </c>
      <c r="E1875" s="18" t="s">
        <v>33</v>
      </c>
      <c r="F1875" s="18" t="s">
        <v>34</v>
      </c>
      <c r="G1875" s="18" t="s">
        <v>29</v>
      </c>
      <c r="H1875" s="64">
        <f>LEN(TRIM(Table22[[#This Row],[Country]]))</f>
        <v>5</v>
      </c>
      <c r="I1875" s="64">
        <f>LEN(TRIM(Table22[[#This Row],[Continent]]))</f>
        <v>4</v>
      </c>
      <c r="J1875" s="64">
        <f>LEN(TRIM(Table22[[#This Row],[Product]]))</f>
        <v>10</v>
      </c>
      <c r="K1875" s="64">
        <f>LEN(TRIM(Table22[[#This Row],[Sales Team]]))</f>
        <v>10</v>
      </c>
      <c r="L1875" s="23">
        <v>3</v>
      </c>
      <c r="M1875" s="65" t="str" cm="1">
        <f t="array" ref="M1875">_xlfn.IFS(Table22[[#This Row],[Units Sold]]&lt;40,"Critical",Table22[[#This Row],[Units Sold]]&lt;=50,"Poor",Table22[[#This Row],[Units Sold]]&lt;=60,"Low",Table22[[#This Row],[Units Sold]]&lt;=80,"Average",Table22[[#This Row],[Units Sold]]&lt;=90,"High",Table22[[#This Row],[Units Sold]]&lt;=95,"Excellent",Table22[[#This Row],[Units Sold]]&gt;95,"Outstanding")</f>
        <v>Critical</v>
      </c>
      <c r="N1875" s="29">
        <v>905.84</v>
      </c>
      <c r="O1875" s="29">
        <v>2717.52</v>
      </c>
      <c r="P1875" s="43">
        <f>IF(Table22[[#This Row],[Discount Applied]],Table22[[#This Row],[Total Sales (in USD)]]*(1-Table22[[#This Row],[Discount Percentage (%)]]/100),Table22[[#This Row],[Total Sales (in USD)]])</f>
        <v>2717.52</v>
      </c>
      <c r="Q1875" s="66">
        <f>SQRT(AVERAGE((Table22[[#This Row],[Net Sales (after discount) (in USD)]]-AVERAGE(Table22[Net Sales (after discount) (in USD)]))^2))</f>
        <v>33793.840563764541</v>
      </c>
      <c r="R1875" s="18" t="b">
        <v>0</v>
      </c>
      <c r="S1875" s="40">
        <v>19.309999999999999</v>
      </c>
      <c r="T1875" s="18" t="b">
        <v>0</v>
      </c>
      <c r="U1875" s="25">
        <v>44988</v>
      </c>
      <c r="V1875" s="63" t="str">
        <f>IF(MONTH(Table22[[#This Row],[Sales Date]])&lt;=3,"Q1",IF(MONTH(Table22[[#This Row],[Sales Date]])&lt;=6,"Q2",IF(MONTH(Table22[[#This Row],[Sales Date]])&lt;=9,"Q3","Q4")))</f>
        <v>Q1</v>
      </c>
      <c r="W1875" s="64">
        <f>YEAR(Table22[[#This Row],[Sales Date]])</f>
        <v>2023</v>
      </c>
      <c r="X1875" s="23">
        <v>55</v>
      </c>
      <c r="Y1875" s="18" t="s">
        <v>49</v>
      </c>
      <c r="Z1875" s="18" t="s">
        <v>24</v>
      </c>
      <c r="AA1875" s="19" t="s">
        <v>36</v>
      </c>
    </row>
    <row r="1876" spans="1:27" x14ac:dyDescent="0.25">
      <c r="A1876" s="17" t="s">
        <v>1007</v>
      </c>
      <c r="B1876" s="18" t="s">
        <v>72</v>
      </c>
      <c r="C1876" s="63" t="str" cm="1">
        <f t="array" ref="C1876">_xlfn.SWITCH(Table22[[#This Row],[Country]],"USA","North America","Canada","North America","Brazil","South America","China","Asia","Japan","Asia","India","Asia","France","Europe","Germany","Europe","UK","Europe","Australia","Oceania","South America")</f>
        <v>North America</v>
      </c>
      <c r="D1876" s="18" t="s">
        <v>35</v>
      </c>
      <c r="E1876" s="18" t="s">
        <v>19</v>
      </c>
      <c r="F1876" s="18" t="s">
        <v>64</v>
      </c>
      <c r="G1876" s="18" t="s">
        <v>29</v>
      </c>
      <c r="H1876" s="64">
        <f>LEN(TRIM(Table22[[#This Row],[Country]]))</f>
        <v>3</v>
      </c>
      <c r="I1876" s="64">
        <f>LEN(TRIM(Table22[[#This Row],[Continent]]))</f>
        <v>13</v>
      </c>
      <c r="J1876" s="64">
        <f>LEN(TRIM(Table22[[#This Row],[Product]]))</f>
        <v>6</v>
      </c>
      <c r="K1876" s="64">
        <f>LEN(TRIM(Table22[[#This Row],[Sales Team]]))</f>
        <v>10</v>
      </c>
      <c r="L1876" s="23">
        <v>26</v>
      </c>
      <c r="M1876" s="65" t="str" cm="1">
        <f t="array" ref="M1876">_xlfn.IFS(Table22[[#This Row],[Units Sold]]&lt;40,"Critical",Table22[[#This Row],[Units Sold]]&lt;=50,"Poor",Table22[[#This Row],[Units Sold]]&lt;=60,"Low",Table22[[#This Row],[Units Sold]]&lt;=80,"Average",Table22[[#This Row],[Units Sold]]&lt;=90,"High",Table22[[#This Row],[Units Sold]]&lt;=95,"Excellent",Table22[[#This Row],[Units Sold]]&gt;95,"Outstanding")</f>
        <v>Critical</v>
      </c>
      <c r="N1876" s="29">
        <v>103.73</v>
      </c>
      <c r="O1876" s="29">
        <v>2696.98</v>
      </c>
      <c r="P1876" s="43">
        <f>IF(Table22[[#This Row],[Discount Applied]],Table22[[#This Row],[Total Sales (in USD)]]*(1-Table22[[#This Row],[Discount Percentage (%)]]/100),Table22[[#This Row],[Total Sales (in USD)]])</f>
        <v>2696.98</v>
      </c>
      <c r="Q1876" s="66">
        <f>SQRT(AVERAGE((Table22[[#This Row],[Net Sales (after discount) (in USD)]]-AVERAGE(Table22[Net Sales (after discount) (in USD)]))^2))</f>
        <v>33814.380563764535</v>
      </c>
      <c r="R1876" s="18" t="b">
        <v>0</v>
      </c>
      <c r="S1876" s="40">
        <v>17.78</v>
      </c>
      <c r="T1876" s="18" t="b">
        <v>0</v>
      </c>
      <c r="U1876" s="25">
        <v>45277</v>
      </c>
      <c r="V1876" s="63" t="str">
        <f>IF(MONTH(Table22[[#This Row],[Sales Date]])&lt;=3,"Q1",IF(MONTH(Table22[[#This Row],[Sales Date]])&lt;=6,"Q2",IF(MONTH(Table22[[#This Row],[Sales Date]])&lt;=9,"Q3","Q4")))</f>
        <v>Q4</v>
      </c>
      <c r="W1876" s="64">
        <f>YEAR(Table22[[#This Row],[Sales Date]])</f>
        <v>2023</v>
      </c>
      <c r="X1876" s="23">
        <v>19</v>
      </c>
      <c r="Y1876" s="18" t="s">
        <v>23</v>
      </c>
      <c r="Z1876" s="18" t="s">
        <v>42</v>
      </c>
      <c r="AA1876" s="19" t="s">
        <v>36</v>
      </c>
    </row>
    <row r="1877" spans="1:27" x14ac:dyDescent="0.25">
      <c r="A1877" s="17" t="s">
        <v>173</v>
      </c>
      <c r="B1877" s="18" t="s">
        <v>46</v>
      </c>
      <c r="C1877" s="63" t="str" cm="1">
        <f t="array" ref="C1877">_xlfn.SWITCH(Table22[[#This Row],[Country]],"USA","North America","Canada","North America","Brazil","South America","China","Asia","Japan","Asia","India","Asia","France","Europe","Germany","Europe","UK","Europe","Australia","Oceania","South America")</f>
        <v>South America</v>
      </c>
      <c r="D1877" s="18" t="s">
        <v>35</v>
      </c>
      <c r="E1877" s="18" t="s">
        <v>19</v>
      </c>
      <c r="F1877" s="18" t="s">
        <v>52</v>
      </c>
      <c r="G1877" s="18" t="s">
        <v>22</v>
      </c>
      <c r="H1877" s="64">
        <f>LEN(TRIM(Table22[[#This Row],[Country]]))</f>
        <v>6</v>
      </c>
      <c r="I1877" s="64">
        <f>LEN(TRIM(Table22[[#This Row],[Continent]]))</f>
        <v>13</v>
      </c>
      <c r="J1877" s="64">
        <f>LEN(TRIM(Table22[[#This Row],[Product]]))</f>
        <v>6</v>
      </c>
      <c r="K1877" s="64">
        <f>LEN(TRIM(Table22[[#This Row],[Sales Team]]))</f>
        <v>10</v>
      </c>
      <c r="L1877" s="23">
        <v>2</v>
      </c>
      <c r="M1877" s="65" t="str" cm="1">
        <f t="array" ref="M1877">_xlfn.IFS(Table22[[#This Row],[Units Sold]]&lt;40,"Critical",Table22[[#This Row],[Units Sold]]&lt;=50,"Poor",Table22[[#This Row],[Units Sold]]&lt;=60,"Low",Table22[[#This Row],[Units Sold]]&lt;=80,"Average",Table22[[#This Row],[Units Sold]]&lt;=90,"High",Table22[[#This Row],[Units Sold]]&lt;=95,"Excellent",Table22[[#This Row],[Units Sold]]&gt;95,"Outstanding")</f>
        <v>Critical</v>
      </c>
      <c r="N1877" s="29">
        <v>1338.82</v>
      </c>
      <c r="O1877" s="29">
        <v>2677.64</v>
      </c>
      <c r="P1877" s="43">
        <f>IF(Table22[[#This Row],[Discount Applied]],Table22[[#This Row],[Total Sales (in USD)]]*(1-Table22[[#This Row],[Discount Percentage (%)]]/100),Table22[[#This Row],[Total Sales (in USD)]])</f>
        <v>2677.64</v>
      </c>
      <c r="Q1877" s="66">
        <f>SQRT(AVERAGE((Table22[[#This Row],[Net Sales (after discount) (in USD)]]-AVERAGE(Table22[Net Sales (after discount) (in USD)]))^2))</f>
        <v>33833.720563764538</v>
      </c>
      <c r="R1877" s="18" t="b">
        <v>0</v>
      </c>
      <c r="S1877" s="40">
        <v>25.97</v>
      </c>
      <c r="T1877" s="18" t="b">
        <v>0</v>
      </c>
      <c r="U1877" s="25">
        <v>45390</v>
      </c>
      <c r="V1877" s="63" t="str">
        <f>IF(MONTH(Table22[[#This Row],[Sales Date]])&lt;=3,"Q1",IF(MONTH(Table22[[#This Row],[Sales Date]])&lt;=6,"Q2",IF(MONTH(Table22[[#This Row],[Sales Date]])&lt;=9,"Q3","Q4")))</f>
        <v>Q2</v>
      </c>
      <c r="W1877" s="64">
        <f>YEAR(Table22[[#This Row],[Sales Date]])</f>
        <v>2024</v>
      </c>
      <c r="X1877" s="23">
        <v>46</v>
      </c>
      <c r="Y1877" s="18" t="s">
        <v>49</v>
      </c>
      <c r="Z1877" s="18" t="s">
        <v>30</v>
      </c>
      <c r="AA1877" s="19" t="s">
        <v>25</v>
      </c>
    </row>
    <row r="1878" spans="1:27" x14ac:dyDescent="0.25">
      <c r="A1878" s="17" t="s">
        <v>422</v>
      </c>
      <c r="B1878" s="18" t="s">
        <v>27</v>
      </c>
      <c r="C1878" s="63" t="str" cm="1">
        <f t="array" ref="C1878">_xlfn.SWITCH(Table22[[#This Row],[Country]],"USA","North America","Canada","North America","Brazil","South America","China","Asia","Japan","Asia","India","Asia","France","Europe","Germany","Europe","UK","Europe","Australia","Oceania","South America")</f>
        <v>Europe</v>
      </c>
      <c r="D1878" s="18" t="s">
        <v>44</v>
      </c>
      <c r="E1878" s="18" t="s">
        <v>33</v>
      </c>
      <c r="F1878" s="18" t="s">
        <v>34</v>
      </c>
      <c r="G1878" s="18" t="s">
        <v>40</v>
      </c>
      <c r="H1878" s="64">
        <f>LEN(TRIM(Table22[[#This Row],[Country]]))</f>
        <v>7</v>
      </c>
      <c r="I1878" s="64">
        <f>LEN(TRIM(Table22[[#This Row],[Continent]]))</f>
        <v>6</v>
      </c>
      <c r="J1878" s="64">
        <f>LEN(TRIM(Table22[[#This Row],[Product]]))</f>
        <v>10</v>
      </c>
      <c r="K1878" s="64">
        <f>LEN(TRIM(Table22[[#This Row],[Sales Team]]))</f>
        <v>10</v>
      </c>
      <c r="L1878" s="23">
        <v>5</v>
      </c>
      <c r="M1878" s="65" t="str" cm="1">
        <f t="array" ref="M1878">_xlfn.IFS(Table22[[#This Row],[Units Sold]]&lt;40,"Critical",Table22[[#This Row],[Units Sold]]&lt;=50,"Poor",Table22[[#This Row],[Units Sold]]&lt;=60,"Low",Table22[[#This Row],[Units Sold]]&lt;=80,"Average",Table22[[#This Row],[Units Sold]]&lt;=90,"High",Table22[[#This Row],[Units Sold]]&lt;=95,"Excellent",Table22[[#This Row],[Units Sold]]&gt;95,"Outstanding")</f>
        <v>Critical</v>
      </c>
      <c r="N1878" s="29">
        <v>535.49</v>
      </c>
      <c r="O1878" s="29">
        <v>2677.45</v>
      </c>
      <c r="P1878" s="43">
        <f>IF(Table22[[#This Row],[Discount Applied]],Table22[[#This Row],[Total Sales (in USD)]]*(1-Table22[[#This Row],[Discount Percentage (%)]]/100),Table22[[#This Row],[Total Sales (in USD)]])</f>
        <v>2397.3887299999997</v>
      </c>
      <c r="Q1878" s="66">
        <f>SQRT(AVERAGE((Table22[[#This Row],[Net Sales (after discount) (in USD)]]-AVERAGE(Table22[Net Sales (after discount) (in USD)]))^2))</f>
        <v>34113.971833764539</v>
      </c>
      <c r="R1878" s="18" t="b">
        <v>1</v>
      </c>
      <c r="S1878" s="40">
        <v>10.46</v>
      </c>
      <c r="T1878" s="18" t="b">
        <v>1</v>
      </c>
      <c r="U1878" s="25">
        <v>45585</v>
      </c>
      <c r="V1878" s="63" t="str">
        <f>IF(MONTH(Table22[[#This Row],[Sales Date]])&lt;=3,"Q1",IF(MONTH(Table22[[#This Row],[Sales Date]])&lt;=6,"Q2",IF(MONTH(Table22[[#This Row],[Sales Date]])&lt;=9,"Q3","Q4")))</f>
        <v>Q4</v>
      </c>
      <c r="W1878" s="64">
        <f>YEAR(Table22[[#This Row],[Sales Date]])</f>
        <v>2024</v>
      </c>
      <c r="X1878" s="23">
        <v>44</v>
      </c>
      <c r="Y1878" s="18" t="s">
        <v>23</v>
      </c>
      <c r="Z1878" s="18" t="s">
        <v>42</v>
      </c>
      <c r="AA1878" s="19" t="s">
        <v>25</v>
      </c>
    </row>
    <row r="1879" spans="1:27" x14ac:dyDescent="0.25">
      <c r="A1879" s="17" t="s">
        <v>473</v>
      </c>
      <c r="B1879" s="18" t="s">
        <v>72</v>
      </c>
      <c r="C1879" s="63" t="str" cm="1">
        <f t="array" ref="C1879">_xlfn.SWITCH(Table22[[#This Row],[Country]],"USA","North America","Canada","North America","Brazil","South America","China","Asia","Japan","Asia","India","Asia","France","Europe","Germany","Europe","UK","Europe","Australia","Oceania","South America")</f>
        <v>North America</v>
      </c>
      <c r="D1879" s="18" t="s">
        <v>35</v>
      </c>
      <c r="E1879" s="18" t="s">
        <v>33</v>
      </c>
      <c r="F1879" s="18" t="s">
        <v>52</v>
      </c>
      <c r="G1879" s="18" t="s">
        <v>48</v>
      </c>
      <c r="H1879" s="64">
        <f>LEN(TRIM(Table22[[#This Row],[Country]]))</f>
        <v>3</v>
      </c>
      <c r="I1879" s="64">
        <f>LEN(TRIM(Table22[[#This Row],[Continent]]))</f>
        <v>13</v>
      </c>
      <c r="J1879" s="64">
        <f>LEN(TRIM(Table22[[#This Row],[Product]]))</f>
        <v>10</v>
      </c>
      <c r="K1879" s="64">
        <f>LEN(TRIM(Table22[[#This Row],[Sales Team]]))</f>
        <v>9</v>
      </c>
      <c r="L1879" s="23">
        <v>22</v>
      </c>
      <c r="M1879" s="65" t="str" cm="1">
        <f t="array" ref="M1879">_xlfn.IFS(Table22[[#This Row],[Units Sold]]&lt;40,"Critical",Table22[[#This Row],[Units Sold]]&lt;=50,"Poor",Table22[[#This Row],[Units Sold]]&lt;=60,"Low",Table22[[#This Row],[Units Sold]]&lt;=80,"Average",Table22[[#This Row],[Units Sold]]&lt;=90,"High",Table22[[#This Row],[Units Sold]]&lt;=95,"Excellent",Table22[[#This Row],[Units Sold]]&gt;95,"Outstanding")</f>
        <v>Critical</v>
      </c>
      <c r="N1879" s="29">
        <v>121.27</v>
      </c>
      <c r="O1879" s="29">
        <v>2667.94</v>
      </c>
      <c r="P1879" s="43">
        <f>IF(Table22[[#This Row],[Discount Applied]],Table22[[#This Row],[Total Sales (in USD)]]*(1-Table22[[#This Row],[Discount Percentage (%)]]/100),Table22[[#This Row],[Total Sales (in USD)]])</f>
        <v>2167.434456</v>
      </c>
      <c r="Q1879" s="66">
        <f>SQRT(AVERAGE((Table22[[#This Row],[Net Sales (after discount) (in USD)]]-AVERAGE(Table22[Net Sales (after discount) (in USD)]))^2))</f>
        <v>34343.926107764535</v>
      </c>
      <c r="R1879" s="18" t="b">
        <v>0</v>
      </c>
      <c r="S1879" s="40">
        <v>18.760000000000002</v>
      </c>
      <c r="T1879" s="18" t="b">
        <v>1</v>
      </c>
      <c r="U1879" s="25">
        <v>45221</v>
      </c>
      <c r="V1879" s="63" t="str">
        <f>IF(MONTH(Table22[[#This Row],[Sales Date]])&lt;=3,"Q1",IF(MONTH(Table22[[#This Row],[Sales Date]])&lt;=6,"Q2",IF(MONTH(Table22[[#This Row],[Sales Date]])&lt;=9,"Q3","Q4")))</f>
        <v>Q4</v>
      </c>
      <c r="W1879" s="64">
        <f>YEAR(Table22[[#This Row],[Sales Date]])</f>
        <v>2023</v>
      </c>
      <c r="X1879" s="23">
        <v>29</v>
      </c>
      <c r="Y1879" s="18" t="s">
        <v>41</v>
      </c>
      <c r="Z1879" s="18" t="s">
        <v>42</v>
      </c>
      <c r="AA1879" s="19" t="s">
        <v>36</v>
      </c>
    </row>
    <row r="1880" spans="1:27" x14ac:dyDescent="0.25">
      <c r="A1880" s="17" t="s">
        <v>641</v>
      </c>
      <c r="B1880" s="18" t="s">
        <v>38</v>
      </c>
      <c r="C1880" s="63" t="str" cm="1">
        <f t="array" ref="C1880">_xlfn.SWITCH(Table22[[#This Row],[Country]],"USA","North America","Canada","North America","Brazil","South America","China","Asia","Japan","Asia","India","Asia","France","Europe","Germany","Europe","UK","Europe","Australia","Oceania","South America")</f>
        <v>Europe</v>
      </c>
      <c r="D1880" s="18" t="s">
        <v>44</v>
      </c>
      <c r="E1880" s="18" t="s">
        <v>33</v>
      </c>
      <c r="F1880" s="18" t="s">
        <v>47</v>
      </c>
      <c r="G1880" s="18" t="s">
        <v>40</v>
      </c>
      <c r="H1880" s="64">
        <f>LEN(TRIM(Table22[[#This Row],[Country]]))</f>
        <v>6</v>
      </c>
      <c r="I1880" s="64">
        <f>LEN(TRIM(Table22[[#This Row],[Continent]]))</f>
        <v>6</v>
      </c>
      <c r="J1880" s="64">
        <f>LEN(TRIM(Table22[[#This Row],[Product]]))</f>
        <v>10</v>
      </c>
      <c r="K1880" s="64">
        <f>LEN(TRIM(Table22[[#This Row],[Sales Team]]))</f>
        <v>10</v>
      </c>
      <c r="L1880" s="23">
        <v>4</v>
      </c>
      <c r="M1880" s="65" t="str" cm="1">
        <f t="array" ref="M1880">_xlfn.IFS(Table22[[#This Row],[Units Sold]]&lt;40,"Critical",Table22[[#This Row],[Units Sold]]&lt;=50,"Poor",Table22[[#This Row],[Units Sold]]&lt;=60,"Low",Table22[[#This Row],[Units Sold]]&lt;=80,"Average",Table22[[#This Row],[Units Sold]]&lt;=90,"High",Table22[[#This Row],[Units Sold]]&lt;=95,"Excellent",Table22[[#This Row],[Units Sold]]&gt;95,"Outstanding")</f>
        <v>Critical</v>
      </c>
      <c r="N1880" s="29">
        <v>664.7</v>
      </c>
      <c r="O1880" s="29">
        <v>2658.8</v>
      </c>
      <c r="P1880" s="43">
        <f>IF(Table22[[#This Row],[Discount Applied]],Table22[[#This Row],[Total Sales (in USD)]]*(1-Table22[[#This Row],[Discount Percentage (%)]]/100),Table22[[#This Row],[Total Sales (in USD)]])</f>
        <v>2476.1404400000001</v>
      </c>
      <c r="Q1880" s="66">
        <f>SQRT(AVERAGE((Table22[[#This Row],[Net Sales (after discount) (in USD)]]-AVERAGE(Table22[Net Sales (after discount) (in USD)]))^2))</f>
        <v>34035.220123764535</v>
      </c>
      <c r="R1880" s="18" t="b">
        <v>0</v>
      </c>
      <c r="S1880" s="40">
        <v>6.87</v>
      </c>
      <c r="T1880" s="18" t="b">
        <v>1</v>
      </c>
      <c r="U1880" s="25">
        <v>45263</v>
      </c>
      <c r="V1880" s="63" t="str">
        <f>IF(MONTH(Table22[[#This Row],[Sales Date]])&lt;=3,"Q1",IF(MONTH(Table22[[#This Row],[Sales Date]])&lt;=6,"Q2",IF(MONTH(Table22[[#This Row],[Sales Date]])&lt;=9,"Q3","Q4")))</f>
        <v>Q4</v>
      </c>
      <c r="W1880" s="64">
        <f>YEAR(Table22[[#This Row],[Sales Date]])</f>
        <v>2023</v>
      </c>
      <c r="X1880" s="23">
        <v>18</v>
      </c>
      <c r="Y1880" s="18" t="s">
        <v>49</v>
      </c>
      <c r="Z1880" s="18" t="s">
        <v>56</v>
      </c>
      <c r="AA1880" s="19" t="s">
        <v>25</v>
      </c>
    </row>
    <row r="1881" spans="1:27" x14ac:dyDescent="0.25">
      <c r="A1881" s="17" t="s">
        <v>1357</v>
      </c>
      <c r="B1881" s="18" t="s">
        <v>18</v>
      </c>
      <c r="C1881" s="63" t="str" cm="1">
        <f t="array" ref="C1881">_xlfn.SWITCH(Table22[[#This Row],[Country]],"USA","North America","Canada","North America","Brazil","South America","China","Asia","Japan","Asia","India","Asia","France","Europe","Germany","Europe","UK","Europe","Australia","Oceania","South America")</f>
        <v>Asia</v>
      </c>
      <c r="D1881" s="18" t="s">
        <v>28</v>
      </c>
      <c r="E1881" s="18" t="s">
        <v>19</v>
      </c>
      <c r="F1881" s="18" t="s">
        <v>34</v>
      </c>
      <c r="G1881" s="18" t="s">
        <v>48</v>
      </c>
      <c r="H1881" s="64">
        <f>LEN(TRIM(Table22[[#This Row],[Country]]))</f>
        <v>5</v>
      </c>
      <c r="I1881" s="64">
        <f>LEN(TRIM(Table22[[#This Row],[Continent]]))</f>
        <v>4</v>
      </c>
      <c r="J1881" s="64">
        <f>LEN(TRIM(Table22[[#This Row],[Product]]))</f>
        <v>6</v>
      </c>
      <c r="K1881" s="64">
        <f>LEN(TRIM(Table22[[#This Row],[Sales Team]]))</f>
        <v>9</v>
      </c>
      <c r="L1881" s="23">
        <v>2</v>
      </c>
      <c r="M1881" s="65" t="str" cm="1">
        <f t="array" ref="M1881">_xlfn.IFS(Table22[[#This Row],[Units Sold]]&lt;40,"Critical",Table22[[#This Row],[Units Sold]]&lt;=50,"Poor",Table22[[#This Row],[Units Sold]]&lt;=60,"Low",Table22[[#This Row],[Units Sold]]&lt;=80,"Average",Table22[[#This Row],[Units Sold]]&lt;=90,"High",Table22[[#This Row],[Units Sold]]&lt;=95,"Excellent",Table22[[#This Row],[Units Sold]]&gt;95,"Outstanding")</f>
        <v>Critical</v>
      </c>
      <c r="N1881" s="29">
        <v>1326.36</v>
      </c>
      <c r="O1881" s="29">
        <v>2652.72</v>
      </c>
      <c r="P1881" s="43">
        <f>IF(Table22[[#This Row],[Discount Applied]],Table22[[#This Row],[Total Sales (in USD)]]*(1-Table22[[#This Row],[Discount Percentage (%)]]/100),Table22[[#This Row],[Total Sales (in USD)]])</f>
        <v>2652.72</v>
      </c>
      <c r="Q1881" s="66">
        <f>SQRT(AVERAGE((Table22[[#This Row],[Net Sales (after discount) (in USD)]]-AVERAGE(Table22[Net Sales (after discount) (in USD)]))^2))</f>
        <v>33858.640563764537</v>
      </c>
      <c r="R1881" s="18" t="b">
        <v>0</v>
      </c>
      <c r="S1881" s="40">
        <v>1.8</v>
      </c>
      <c r="T1881" s="18" t="b">
        <v>0</v>
      </c>
      <c r="U1881" s="25">
        <v>45140</v>
      </c>
      <c r="V1881" s="63" t="str">
        <f>IF(MONTH(Table22[[#This Row],[Sales Date]])&lt;=3,"Q1",IF(MONTH(Table22[[#This Row],[Sales Date]])&lt;=6,"Q2",IF(MONTH(Table22[[#This Row],[Sales Date]])&lt;=9,"Q3","Q4")))</f>
        <v>Q3</v>
      </c>
      <c r="W1881" s="64">
        <f>YEAR(Table22[[#This Row],[Sales Date]])</f>
        <v>2023</v>
      </c>
      <c r="X1881" s="23">
        <v>69</v>
      </c>
      <c r="Y1881" s="18" t="s">
        <v>49</v>
      </c>
      <c r="Z1881" s="18" t="s">
        <v>24</v>
      </c>
      <c r="AA1881" s="19" t="s">
        <v>25</v>
      </c>
    </row>
    <row r="1882" spans="1:27" x14ac:dyDescent="0.25">
      <c r="A1882" s="17" t="s">
        <v>207</v>
      </c>
      <c r="B1882" s="18" t="s">
        <v>38</v>
      </c>
      <c r="C1882" s="63" t="str" cm="1">
        <f t="array" ref="C1882">_xlfn.SWITCH(Table22[[#This Row],[Country]],"USA","North America","Canada","North America","Brazil","South America","China","Asia","Japan","Asia","India","Asia","France","Europe","Germany","Europe","UK","Europe","Australia","Oceania","South America")</f>
        <v>Europe</v>
      </c>
      <c r="D1882" s="18" t="s">
        <v>21</v>
      </c>
      <c r="E1882" s="18" t="s">
        <v>19</v>
      </c>
      <c r="F1882" s="18" t="s">
        <v>34</v>
      </c>
      <c r="G1882" s="18" t="s">
        <v>40</v>
      </c>
      <c r="H1882" s="64">
        <f>LEN(TRIM(Table22[[#This Row],[Country]]))</f>
        <v>6</v>
      </c>
      <c r="I1882" s="64">
        <f>LEN(TRIM(Table22[[#This Row],[Continent]]))</f>
        <v>6</v>
      </c>
      <c r="J1882" s="64">
        <f>LEN(TRIM(Table22[[#This Row],[Product]]))</f>
        <v>6</v>
      </c>
      <c r="K1882" s="64">
        <f>LEN(TRIM(Table22[[#This Row],[Sales Team]]))</f>
        <v>10</v>
      </c>
      <c r="L1882" s="23">
        <v>34</v>
      </c>
      <c r="M1882" s="65" t="str" cm="1">
        <f t="array" ref="M1882">_xlfn.IFS(Table22[[#This Row],[Units Sold]]&lt;40,"Critical",Table22[[#This Row],[Units Sold]]&lt;=50,"Poor",Table22[[#This Row],[Units Sold]]&lt;=60,"Low",Table22[[#This Row],[Units Sold]]&lt;=80,"Average",Table22[[#This Row],[Units Sold]]&lt;=90,"High",Table22[[#This Row],[Units Sold]]&lt;=95,"Excellent",Table22[[#This Row],[Units Sold]]&gt;95,"Outstanding")</f>
        <v>Critical</v>
      </c>
      <c r="N1882" s="29">
        <v>77.45</v>
      </c>
      <c r="O1882" s="29">
        <v>2633.3</v>
      </c>
      <c r="P1882" s="43">
        <f>IF(Table22[[#This Row],[Discount Applied]],Table22[[#This Row],[Total Sales (in USD)]]*(1-Table22[[#This Row],[Discount Percentage (%)]]/100),Table22[[#This Row],[Total Sales (in USD)]])</f>
        <v>2633.3</v>
      </c>
      <c r="Q1882" s="66">
        <f>SQRT(AVERAGE((Table22[[#This Row],[Net Sales (after discount) (in USD)]]-AVERAGE(Table22[Net Sales (after discount) (in USD)]))^2))</f>
        <v>33878.060563764535</v>
      </c>
      <c r="R1882" s="18" t="b">
        <v>0</v>
      </c>
      <c r="S1882" s="40">
        <v>2.29</v>
      </c>
      <c r="T1882" s="18" t="b">
        <v>0</v>
      </c>
      <c r="U1882" s="25">
        <v>45399</v>
      </c>
      <c r="V1882" s="63" t="str">
        <f>IF(MONTH(Table22[[#This Row],[Sales Date]])&lt;=3,"Q1",IF(MONTH(Table22[[#This Row],[Sales Date]])&lt;=6,"Q2",IF(MONTH(Table22[[#This Row],[Sales Date]])&lt;=9,"Q3","Q4")))</f>
        <v>Q2</v>
      </c>
      <c r="W1882" s="64">
        <f>YEAR(Table22[[#This Row],[Sales Date]])</f>
        <v>2024</v>
      </c>
      <c r="X1882" s="23">
        <v>28</v>
      </c>
      <c r="Y1882" s="18" t="s">
        <v>49</v>
      </c>
      <c r="Z1882" s="18" t="s">
        <v>56</v>
      </c>
      <c r="AA1882" s="19" t="s">
        <v>36</v>
      </c>
    </row>
    <row r="1883" spans="1:27" x14ac:dyDescent="0.25">
      <c r="A1883" s="17" t="s">
        <v>175</v>
      </c>
      <c r="B1883" s="18" t="s">
        <v>18</v>
      </c>
      <c r="C1883" s="63" t="str" cm="1">
        <f t="array" ref="C1883">_xlfn.SWITCH(Table22[[#This Row],[Country]],"USA","North America","Canada","North America","Brazil","South America","China","Asia","Japan","Asia","India","Asia","France","Europe","Germany","Europe","UK","Europe","Australia","Oceania","South America")</f>
        <v>Asia</v>
      </c>
      <c r="D1883" s="18" t="s">
        <v>35</v>
      </c>
      <c r="E1883" s="18" t="s">
        <v>19</v>
      </c>
      <c r="F1883" s="18" t="s">
        <v>20</v>
      </c>
      <c r="G1883" s="18" t="s">
        <v>22</v>
      </c>
      <c r="H1883" s="64">
        <f>LEN(TRIM(Table22[[#This Row],[Country]]))</f>
        <v>5</v>
      </c>
      <c r="I1883" s="64">
        <f>LEN(TRIM(Table22[[#This Row],[Continent]]))</f>
        <v>4</v>
      </c>
      <c r="J1883" s="64">
        <f>LEN(TRIM(Table22[[#This Row],[Product]]))</f>
        <v>6</v>
      </c>
      <c r="K1883" s="64">
        <f>LEN(TRIM(Table22[[#This Row],[Sales Team]]))</f>
        <v>10</v>
      </c>
      <c r="L1883" s="23">
        <v>3</v>
      </c>
      <c r="M1883" s="65" t="str" cm="1">
        <f t="array" ref="M1883">_xlfn.IFS(Table22[[#This Row],[Units Sold]]&lt;40,"Critical",Table22[[#This Row],[Units Sold]]&lt;=50,"Poor",Table22[[#This Row],[Units Sold]]&lt;=60,"Low",Table22[[#This Row],[Units Sold]]&lt;=80,"Average",Table22[[#This Row],[Units Sold]]&lt;=90,"High",Table22[[#This Row],[Units Sold]]&lt;=95,"Excellent",Table22[[#This Row],[Units Sold]]&gt;95,"Outstanding")</f>
        <v>Critical</v>
      </c>
      <c r="N1883" s="29">
        <v>866.72</v>
      </c>
      <c r="O1883" s="29">
        <v>2600.16</v>
      </c>
      <c r="P1883" s="43">
        <f>IF(Table22[[#This Row],[Discount Applied]],Table22[[#This Row],[Total Sales (in USD)]]*(1-Table22[[#This Row],[Discount Percentage (%)]]/100),Table22[[#This Row],[Total Sales (in USD)]])</f>
        <v>2600.16</v>
      </c>
      <c r="Q1883" s="66">
        <f>SQRT(AVERAGE((Table22[[#This Row],[Net Sales (after discount) (in USD)]]-AVERAGE(Table22[Net Sales (after discount) (in USD)]))^2))</f>
        <v>33911.200563764534</v>
      </c>
      <c r="R1883" s="18" t="b">
        <v>1</v>
      </c>
      <c r="S1883" s="40">
        <v>0.39</v>
      </c>
      <c r="T1883" s="18" t="b">
        <v>0</v>
      </c>
      <c r="U1883" s="25">
        <v>45596</v>
      </c>
      <c r="V1883" s="63" t="str">
        <f>IF(MONTH(Table22[[#This Row],[Sales Date]])&lt;=3,"Q1",IF(MONTH(Table22[[#This Row],[Sales Date]])&lt;=6,"Q2",IF(MONTH(Table22[[#This Row],[Sales Date]])&lt;=9,"Q3","Q4")))</f>
        <v>Q4</v>
      </c>
      <c r="W1883" s="64">
        <f>YEAR(Table22[[#This Row],[Sales Date]])</f>
        <v>2024</v>
      </c>
      <c r="X1883" s="23">
        <v>49</v>
      </c>
      <c r="Y1883" s="18" t="s">
        <v>49</v>
      </c>
      <c r="Z1883" s="18" t="s">
        <v>56</v>
      </c>
      <c r="AA1883" s="19" t="s">
        <v>25</v>
      </c>
    </row>
    <row r="1884" spans="1:27" x14ac:dyDescent="0.25">
      <c r="A1884" s="17" t="s">
        <v>1672</v>
      </c>
      <c r="B1884" s="18" t="s">
        <v>62</v>
      </c>
      <c r="C1884" s="63" t="str" cm="1">
        <f t="array" ref="C1884">_xlfn.SWITCH(Table22[[#This Row],[Country]],"USA","North America","Canada","North America","Brazil","South America","China","Asia","Japan","Asia","India","Asia","France","Europe","Germany","Europe","UK","Europe","Australia","Oceania","South America")</f>
        <v>Oceania</v>
      </c>
      <c r="D1884" s="18" t="s">
        <v>28</v>
      </c>
      <c r="E1884" s="18" t="s">
        <v>19</v>
      </c>
      <c r="F1884" s="18" t="s">
        <v>20</v>
      </c>
      <c r="G1884" s="18" t="s">
        <v>22</v>
      </c>
      <c r="H1884" s="64">
        <f>LEN(TRIM(Table22[[#This Row],[Country]]))</f>
        <v>9</v>
      </c>
      <c r="I1884" s="64">
        <f>LEN(TRIM(Table22[[#This Row],[Continent]]))</f>
        <v>7</v>
      </c>
      <c r="J1884" s="64">
        <f>LEN(TRIM(Table22[[#This Row],[Product]]))</f>
        <v>6</v>
      </c>
      <c r="K1884" s="64">
        <f>LEN(TRIM(Table22[[#This Row],[Sales Team]]))</f>
        <v>10</v>
      </c>
      <c r="L1884" s="23">
        <v>9</v>
      </c>
      <c r="M1884" s="65" t="str" cm="1">
        <f t="array" ref="M1884">_xlfn.IFS(Table22[[#This Row],[Units Sold]]&lt;40,"Critical",Table22[[#This Row],[Units Sold]]&lt;=50,"Poor",Table22[[#This Row],[Units Sold]]&lt;=60,"Low",Table22[[#This Row],[Units Sold]]&lt;=80,"Average",Table22[[#This Row],[Units Sold]]&lt;=90,"High",Table22[[#This Row],[Units Sold]]&lt;=95,"Excellent",Table22[[#This Row],[Units Sold]]&gt;95,"Outstanding")</f>
        <v>Critical</v>
      </c>
      <c r="N1884" s="29">
        <v>288.70999999999998</v>
      </c>
      <c r="O1884" s="29">
        <v>2598.39</v>
      </c>
      <c r="P1884" s="43">
        <f>IF(Table22[[#This Row],[Discount Applied]],Table22[[#This Row],[Total Sales (in USD)]]*(1-Table22[[#This Row],[Discount Percentage (%)]]/100),Table22[[#This Row],[Total Sales (in USD)]])</f>
        <v>2598.39</v>
      </c>
      <c r="Q1884" s="66">
        <f>SQRT(AVERAGE((Table22[[#This Row],[Net Sales (after discount) (in USD)]]-AVERAGE(Table22[Net Sales (after discount) (in USD)]))^2))</f>
        <v>33912.970563764538</v>
      </c>
      <c r="R1884" s="18" t="b">
        <v>0</v>
      </c>
      <c r="S1884" s="40">
        <v>12.09</v>
      </c>
      <c r="T1884" s="18" t="b">
        <v>0</v>
      </c>
      <c r="U1884" s="25">
        <v>44962</v>
      </c>
      <c r="V1884" s="63" t="str">
        <f>IF(MONTH(Table22[[#This Row],[Sales Date]])&lt;=3,"Q1",IF(MONTH(Table22[[#This Row],[Sales Date]])&lt;=6,"Q2",IF(MONTH(Table22[[#This Row],[Sales Date]])&lt;=9,"Q3","Q4")))</f>
        <v>Q1</v>
      </c>
      <c r="W1884" s="64">
        <f>YEAR(Table22[[#This Row],[Sales Date]])</f>
        <v>2023</v>
      </c>
      <c r="X1884" s="23">
        <v>41</v>
      </c>
      <c r="Y1884" s="18" t="s">
        <v>23</v>
      </c>
      <c r="Z1884" s="18" t="s">
        <v>24</v>
      </c>
      <c r="AA1884" s="19" t="s">
        <v>25</v>
      </c>
    </row>
    <row r="1885" spans="1:27" x14ac:dyDescent="0.25">
      <c r="A1885" s="17" t="s">
        <v>1002</v>
      </c>
      <c r="B1885" s="18" t="s">
        <v>18</v>
      </c>
      <c r="C1885" s="63" t="str" cm="1">
        <f t="array" ref="C1885">_xlfn.SWITCH(Table22[[#This Row],[Country]],"USA","North America","Canada","North America","Brazil","South America","China","Asia","Japan","Asia","India","Asia","France","Europe","Germany","Europe","UK","Europe","Australia","Oceania","South America")</f>
        <v>Asia</v>
      </c>
      <c r="D1885" s="18" t="s">
        <v>44</v>
      </c>
      <c r="E1885" s="18" t="s">
        <v>33</v>
      </c>
      <c r="F1885" s="18" t="s">
        <v>20</v>
      </c>
      <c r="G1885" s="18" t="s">
        <v>29</v>
      </c>
      <c r="H1885" s="64">
        <f>LEN(TRIM(Table22[[#This Row],[Country]]))</f>
        <v>5</v>
      </c>
      <c r="I1885" s="64">
        <f>LEN(TRIM(Table22[[#This Row],[Continent]]))</f>
        <v>4</v>
      </c>
      <c r="J1885" s="64">
        <f>LEN(TRIM(Table22[[#This Row],[Product]]))</f>
        <v>10</v>
      </c>
      <c r="K1885" s="64">
        <f>LEN(TRIM(Table22[[#This Row],[Sales Team]]))</f>
        <v>10</v>
      </c>
      <c r="L1885" s="23">
        <v>6</v>
      </c>
      <c r="M1885" s="65" t="str" cm="1">
        <f t="array" ref="M1885">_xlfn.IFS(Table22[[#This Row],[Units Sold]]&lt;40,"Critical",Table22[[#This Row],[Units Sold]]&lt;=50,"Poor",Table22[[#This Row],[Units Sold]]&lt;=60,"Low",Table22[[#This Row],[Units Sold]]&lt;=80,"Average",Table22[[#This Row],[Units Sold]]&lt;=90,"High",Table22[[#This Row],[Units Sold]]&lt;=95,"Excellent",Table22[[#This Row],[Units Sold]]&gt;95,"Outstanding")</f>
        <v>Critical</v>
      </c>
      <c r="N1885" s="29">
        <v>428.49</v>
      </c>
      <c r="O1885" s="29">
        <v>2570.94</v>
      </c>
      <c r="P1885" s="43">
        <f>IF(Table22[[#This Row],[Discount Applied]],Table22[[#This Row],[Total Sales (in USD)]]*(1-Table22[[#This Row],[Discount Percentage (%)]]/100),Table22[[#This Row],[Total Sales (in USD)]])</f>
        <v>2249.5725000000002</v>
      </c>
      <c r="Q1885" s="66">
        <f>SQRT(AVERAGE((Table22[[#This Row],[Net Sales (after discount) (in USD)]]-AVERAGE(Table22[Net Sales (after discount) (in USD)]))^2))</f>
        <v>34261.788063764536</v>
      </c>
      <c r="R1885" s="18" t="b">
        <v>1</v>
      </c>
      <c r="S1885" s="40">
        <v>12.5</v>
      </c>
      <c r="T1885" s="18" t="b">
        <v>1</v>
      </c>
      <c r="U1885" s="25">
        <v>45429</v>
      </c>
      <c r="V1885" s="63" t="str">
        <f>IF(MONTH(Table22[[#This Row],[Sales Date]])&lt;=3,"Q1",IF(MONTH(Table22[[#This Row],[Sales Date]])&lt;=6,"Q2",IF(MONTH(Table22[[#This Row],[Sales Date]])&lt;=9,"Q3","Q4")))</f>
        <v>Q2</v>
      </c>
      <c r="W1885" s="64">
        <f>YEAR(Table22[[#This Row],[Sales Date]])</f>
        <v>2024</v>
      </c>
      <c r="X1885" s="23">
        <v>27</v>
      </c>
      <c r="Y1885" s="18" t="s">
        <v>41</v>
      </c>
      <c r="Z1885" s="18" t="s">
        <v>30</v>
      </c>
      <c r="AA1885" s="19" t="s">
        <v>25</v>
      </c>
    </row>
    <row r="1886" spans="1:27" x14ac:dyDescent="0.25">
      <c r="A1886" s="17" t="s">
        <v>2027</v>
      </c>
      <c r="B1886" s="18" t="s">
        <v>72</v>
      </c>
      <c r="C1886" s="63" t="str" cm="1">
        <f t="array" ref="C1886">_xlfn.SWITCH(Table22[[#This Row],[Country]],"USA","North America","Canada","North America","Brazil","South America","China","Asia","Japan","Asia","India","Asia","France","Europe","Germany","Europe","UK","Europe","Australia","Oceania","South America")</f>
        <v>North America</v>
      </c>
      <c r="D1886" s="18" t="s">
        <v>28</v>
      </c>
      <c r="E1886" s="18" t="s">
        <v>19</v>
      </c>
      <c r="F1886" s="18" t="s">
        <v>20</v>
      </c>
      <c r="G1886" s="18" t="s">
        <v>29</v>
      </c>
      <c r="H1886" s="64">
        <f>LEN(TRIM(Table22[[#This Row],[Country]]))</f>
        <v>3</v>
      </c>
      <c r="I1886" s="64">
        <f>LEN(TRIM(Table22[[#This Row],[Continent]]))</f>
        <v>13</v>
      </c>
      <c r="J1886" s="64">
        <f>LEN(TRIM(Table22[[#This Row],[Product]]))</f>
        <v>6</v>
      </c>
      <c r="K1886" s="64">
        <f>LEN(TRIM(Table22[[#This Row],[Sales Team]]))</f>
        <v>10</v>
      </c>
      <c r="L1886" s="23">
        <v>24</v>
      </c>
      <c r="M1886" s="65" t="str" cm="1">
        <f t="array" ref="M1886">_xlfn.IFS(Table22[[#This Row],[Units Sold]]&lt;40,"Critical",Table22[[#This Row],[Units Sold]]&lt;=50,"Poor",Table22[[#This Row],[Units Sold]]&lt;=60,"Low",Table22[[#This Row],[Units Sold]]&lt;=80,"Average",Table22[[#This Row],[Units Sold]]&lt;=90,"High",Table22[[#This Row],[Units Sold]]&lt;=95,"Excellent",Table22[[#This Row],[Units Sold]]&gt;95,"Outstanding")</f>
        <v>Critical</v>
      </c>
      <c r="N1886" s="29">
        <v>105.27</v>
      </c>
      <c r="O1886" s="29">
        <v>2526.48</v>
      </c>
      <c r="P1886" s="43">
        <f>IF(Table22[[#This Row],[Discount Applied]],Table22[[#This Row],[Total Sales (in USD)]]*(1-Table22[[#This Row],[Discount Percentage (%)]]/100),Table22[[#This Row],[Total Sales (in USD)]])</f>
        <v>2526.48</v>
      </c>
      <c r="Q1886" s="66">
        <f>SQRT(AVERAGE((Table22[[#This Row],[Net Sales (after discount) (in USD)]]-AVERAGE(Table22[Net Sales (after discount) (in USD)]))^2))</f>
        <v>33984.880563764535</v>
      </c>
      <c r="R1886" s="18" t="b">
        <v>1</v>
      </c>
      <c r="S1886" s="40">
        <v>27.09</v>
      </c>
      <c r="T1886" s="18" t="b">
        <v>0</v>
      </c>
      <c r="U1886" s="25">
        <v>45005</v>
      </c>
      <c r="V1886" s="63" t="str">
        <f>IF(MONTH(Table22[[#This Row],[Sales Date]])&lt;=3,"Q1",IF(MONTH(Table22[[#This Row],[Sales Date]])&lt;=6,"Q2",IF(MONTH(Table22[[#This Row],[Sales Date]])&lt;=9,"Q3","Q4")))</f>
        <v>Q1</v>
      </c>
      <c r="W1886" s="64">
        <f>YEAR(Table22[[#This Row],[Sales Date]])</f>
        <v>2023</v>
      </c>
      <c r="X1886" s="23">
        <v>43</v>
      </c>
      <c r="Y1886" s="18" t="s">
        <v>23</v>
      </c>
      <c r="Z1886" s="18" t="s">
        <v>30</v>
      </c>
      <c r="AA1886" s="19" t="s">
        <v>36</v>
      </c>
    </row>
    <row r="1887" spans="1:27" x14ac:dyDescent="0.25">
      <c r="A1887" s="17" t="s">
        <v>1738</v>
      </c>
      <c r="B1887" s="18" t="s">
        <v>46</v>
      </c>
      <c r="C1887" s="63" t="str" cm="1">
        <f t="array" ref="C1887">_xlfn.SWITCH(Table22[[#This Row],[Country]],"USA","North America","Canada","North America","Brazil","South America","China","Asia","Japan","Asia","India","Asia","France","Europe","Germany","Europe","UK","Europe","Australia","Oceania","South America")</f>
        <v>South America</v>
      </c>
      <c r="D1887" s="18" t="s">
        <v>21</v>
      </c>
      <c r="E1887" s="18" t="s">
        <v>39</v>
      </c>
      <c r="F1887" s="18" t="s">
        <v>34</v>
      </c>
      <c r="G1887" s="18" t="s">
        <v>22</v>
      </c>
      <c r="H1887" s="64">
        <f>LEN(TRIM(Table22[[#This Row],[Country]]))</f>
        <v>6</v>
      </c>
      <c r="I1887" s="64">
        <f>LEN(TRIM(Table22[[#This Row],[Continent]]))</f>
        <v>13</v>
      </c>
      <c r="J1887" s="64">
        <f>LEN(TRIM(Table22[[#This Row],[Product]]))</f>
        <v>10</v>
      </c>
      <c r="K1887" s="64">
        <f>LEN(TRIM(Table22[[#This Row],[Sales Team]]))</f>
        <v>10</v>
      </c>
      <c r="L1887" s="23">
        <v>3</v>
      </c>
      <c r="M1887" s="65" t="str" cm="1">
        <f t="array" ref="M1887">_xlfn.IFS(Table22[[#This Row],[Units Sold]]&lt;40,"Critical",Table22[[#This Row],[Units Sold]]&lt;=50,"Poor",Table22[[#This Row],[Units Sold]]&lt;=60,"Low",Table22[[#This Row],[Units Sold]]&lt;=80,"Average",Table22[[#This Row],[Units Sold]]&lt;=90,"High",Table22[[#This Row],[Units Sold]]&lt;=95,"Excellent",Table22[[#This Row],[Units Sold]]&gt;95,"Outstanding")</f>
        <v>Critical</v>
      </c>
      <c r="N1887" s="29">
        <v>840.91</v>
      </c>
      <c r="O1887" s="29">
        <v>2522.73</v>
      </c>
      <c r="P1887" s="43">
        <f>IF(Table22[[#This Row],[Discount Applied]],Table22[[#This Row],[Total Sales (in USD)]]*(1-Table22[[#This Row],[Discount Percentage (%)]]/100),Table22[[#This Row],[Total Sales (in USD)]])</f>
        <v>2408.9548770000001</v>
      </c>
      <c r="Q1887" s="66">
        <f>SQRT(AVERAGE((Table22[[#This Row],[Net Sales (after discount) (in USD)]]-AVERAGE(Table22[Net Sales (after discount) (in USD)]))^2))</f>
        <v>34102.405686764541</v>
      </c>
      <c r="R1887" s="18" t="b">
        <v>0</v>
      </c>
      <c r="S1887" s="40">
        <v>4.51</v>
      </c>
      <c r="T1887" s="18" t="b">
        <v>1</v>
      </c>
      <c r="U1887" s="25">
        <v>45074</v>
      </c>
      <c r="V1887" s="63" t="str">
        <f>IF(MONTH(Table22[[#This Row],[Sales Date]])&lt;=3,"Q1",IF(MONTH(Table22[[#This Row],[Sales Date]])&lt;=6,"Q2",IF(MONTH(Table22[[#This Row],[Sales Date]])&lt;=9,"Q3","Q4")))</f>
        <v>Q2</v>
      </c>
      <c r="W1887" s="64">
        <f>YEAR(Table22[[#This Row],[Sales Date]])</f>
        <v>2023</v>
      </c>
      <c r="X1887" s="23">
        <v>68</v>
      </c>
      <c r="Y1887" s="18" t="s">
        <v>41</v>
      </c>
      <c r="Z1887" s="18" t="s">
        <v>42</v>
      </c>
      <c r="AA1887" s="19" t="s">
        <v>36</v>
      </c>
    </row>
    <row r="1888" spans="1:27" x14ac:dyDescent="0.25">
      <c r="A1888" s="17" t="s">
        <v>1543</v>
      </c>
      <c r="B1888" s="18" t="s">
        <v>32</v>
      </c>
      <c r="C1888" s="63" t="str" cm="1">
        <f t="array" ref="C1888">_xlfn.SWITCH(Table22[[#This Row],[Country]],"USA","North America","Canada","North America","Brazil","South America","China","Asia","Japan","Asia","India","Asia","France","Europe","Germany","Europe","UK","Europe","Australia","Oceania","South America")</f>
        <v>Asia</v>
      </c>
      <c r="D1888" s="18" t="s">
        <v>44</v>
      </c>
      <c r="E1888" s="18" t="s">
        <v>39</v>
      </c>
      <c r="F1888" s="18" t="s">
        <v>47</v>
      </c>
      <c r="G1888" s="18" t="s">
        <v>40</v>
      </c>
      <c r="H1888" s="64">
        <f>LEN(TRIM(Table22[[#This Row],[Country]]))</f>
        <v>5</v>
      </c>
      <c r="I1888" s="64">
        <f>LEN(TRIM(Table22[[#This Row],[Continent]]))</f>
        <v>4</v>
      </c>
      <c r="J1888" s="64">
        <f>LEN(TRIM(Table22[[#This Row],[Product]]))</f>
        <v>10</v>
      </c>
      <c r="K1888" s="64">
        <f>LEN(TRIM(Table22[[#This Row],[Sales Team]]))</f>
        <v>10</v>
      </c>
      <c r="L1888" s="23">
        <v>4</v>
      </c>
      <c r="M1888" s="65" t="str" cm="1">
        <f t="array" ref="M1888">_xlfn.IFS(Table22[[#This Row],[Units Sold]]&lt;40,"Critical",Table22[[#This Row],[Units Sold]]&lt;=50,"Poor",Table22[[#This Row],[Units Sold]]&lt;=60,"Low",Table22[[#This Row],[Units Sold]]&lt;=80,"Average",Table22[[#This Row],[Units Sold]]&lt;=90,"High",Table22[[#This Row],[Units Sold]]&lt;=95,"Excellent",Table22[[#This Row],[Units Sold]]&gt;95,"Outstanding")</f>
        <v>Critical</v>
      </c>
      <c r="N1888" s="29">
        <v>626</v>
      </c>
      <c r="O1888" s="29">
        <v>2504</v>
      </c>
      <c r="P1888" s="43">
        <f>IF(Table22[[#This Row],[Discount Applied]],Table22[[#This Row],[Total Sales (in USD)]]*(1-Table22[[#This Row],[Discount Percentage (%)]]/100),Table22[[#This Row],[Total Sales (in USD)]])</f>
        <v>2100.3552</v>
      </c>
      <c r="Q1888" s="66">
        <f>SQRT(AVERAGE((Table22[[#This Row],[Net Sales (after discount) (in USD)]]-AVERAGE(Table22[Net Sales (after discount) (in USD)]))^2))</f>
        <v>34411.00536376454</v>
      </c>
      <c r="R1888" s="18" t="b">
        <v>1</v>
      </c>
      <c r="S1888" s="40">
        <v>16.12</v>
      </c>
      <c r="T1888" s="18" t="b">
        <v>1</v>
      </c>
      <c r="U1888" s="25">
        <v>45222</v>
      </c>
      <c r="V1888" s="63" t="str">
        <f>IF(MONTH(Table22[[#This Row],[Sales Date]])&lt;=3,"Q1",IF(MONTH(Table22[[#This Row],[Sales Date]])&lt;=6,"Q2",IF(MONTH(Table22[[#This Row],[Sales Date]])&lt;=9,"Q3","Q4")))</f>
        <v>Q4</v>
      </c>
      <c r="W1888" s="64">
        <f>YEAR(Table22[[#This Row],[Sales Date]])</f>
        <v>2023</v>
      </c>
      <c r="X1888" s="23">
        <v>21</v>
      </c>
      <c r="Y1888" s="18" t="s">
        <v>23</v>
      </c>
      <c r="Z1888" s="18" t="s">
        <v>42</v>
      </c>
      <c r="AA1888" s="19" t="s">
        <v>36</v>
      </c>
    </row>
    <row r="1889" spans="1:27" x14ac:dyDescent="0.25">
      <c r="A1889" s="17" t="s">
        <v>534</v>
      </c>
      <c r="B1889" s="18" t="s">
        <v>38</v>
      </c>
      <c r="C1889" s="63" t="str" cm="1">
        <f t="array" ref="C1889">_xlfn.SWITCH(Table22[[#This Row],[Country]],"USA","North America","Canada","North America","Brazil","South America","China","Asia","Japan","Asia","India","Asia","France","Europe","Germany","Europe","UK","Europe","Australia","Oceania","South America")</f>
        <v>Europe</v>
      </c>
      <c r="D1889" s="18" t="s">
        <v>21</v>
      </c>
      <c r="E1889" s="18" t="s">
        <v>19</v>
      </c>
      <c r="F1889" s="18" t="s">
        <v>20</v>
      </c>
      <c r="G1889" s="18" t="s">
        <v>29</v>
      </c>
      <c r="H1889" s="64">
        <f>LEN(TRIM(Table22[[#This Row],[Country]]))</f>
        <v>6</v>
      </c>
      <c r="I1889" s="64">
        <f>LEN(TRIM(Table22[[#This Row],[Continent]]))</f>
        <v>6</v>
      </c>
      <c r="J1889" s="64">
        <f>LEN(TRIM(Table22[[#This Row],[Product]]))</f>
        <v>6</v>
      </c>
      <c r="K1889" s="64">
        <f>LEN(TRIM(Table22[[#This Row],[Sales Team]]))</f>
        <v>10</v>
      </c>
      <c r="L1889" s="23">
        <v>31</v>
      </c>
      <c r="M1889" s="65" t="str" cm="1">
        <f t="array" ref="M1889">_xlfn.IFS(Table22[[#This Row],[Units Sold]]&lt;40,"Critical",Table22[[#This Row],[Units Sold]]&lt;=50,"Poor",Table22[[#This Row],[Units Sold]]&lt;=60,"Low",Table22[[#This Row],[Units Sold]]&lt;=80,"Average",Table22[[#This Row],[Units Sold]]&lt;=90,"High",Table22[[#This Row],[Units Sold]]&lt;=95,"Excellent",Table22[[#This Row],[Units Sold]]&gt;95,"Outstanding")</f>
        <v>Critical</v>
      </c>
      <c r="N1889" s="29">
        <v>79.41</v>
      </c>
      <c r="O1889" s="29">
        <v>2461.71</v>
      </c>
      <c r="P1889" s="43">
        <f>IF(Table22[[#This Row],[Discount Applied]],Table22[[#This Row],[Total Sales (in USD)]]*(1-Table22[[#This Row],[Discount Percentage (%)]]/100),Table22[[#This Row],[Total Sales (in USD)]])</f>
        <v>2365.4571390000001</v>
      </c>
      <c r="Q1889" s="66">
        <f>SQRT(AVERAGE((Table22[[#This Row],[Net Sales (after discount) (in USD)]]-AVERAGE(Table22[Net Sales (after discount) (in USD)]))^2))</f>
        <v>34145.90342476454</v>
      </c>
      <c r="R1889" s="18" t="b">
        <v>1</v>
      </c>
      <c r="S1889" s="40">
        <v>3.91</v>
      </c>
      <c r="T1889" s="18" t="b">
        <v>1</v>
      </c>
      <c r="U1889" s="25">
        <v>45542</v>
      </c>
      <c r="V1889" s="63" t="str">
        <f>IF(MONTH(Table22[[#This Row],[Sales Date]])&lt;=3,"Q1",IF(MONTH(Table22[[#This Row],[Sales Date]])&lt;=6,"Q2",IF(MONTH(Table22[[#This Row],[Sales Date]])&lt;=9,"Q3","Q4")))</f>
        <v>Q3</v>
      </c>
      <c r="W1889" s="64">
        <f>YEAR(Table22[[#This Row],[Sales Date]])</f>
        <v>2024</v>
      </c>
      <c r="X1889" s="23">
        <v>31</v>
      </c>
      <c r="Y1889" s="18" t="s">
        <v>41</v>
      </c>
      <c r="Z1889" s="18" t="s">
        <v>30</v>
      </c>
      <c r="AA1889" s="19" t="s">
        <v>36</v>
      </c>
    </row>
    <row r="1890" spans="1:27" x14ac:dyDescent="0.25">
      <c r="A1890" s="17" t="s">
        <v>817</v>
      </c>
      <c r="B1890" s="18" t="s">
        <v>76</v>
      </c>
      <c r="C1890" s="63" t="str" cm="1">
        <f t="array" ref="C1890">_xlfn.SWITCH(Table22[[#This Row],[Country]],"USA","North America","Canada","North America","Brazil","South America","China","Asia","Japan","Asia","India","Asia","France","Europe","Germany","Europe","UK","Europe","Australia","Oceania","South America")</f>
        <v>Asia</v>
      </c>
      <c r="D1890" s="18" t="s">
        <v>35</v>
      </c>
      <c r="E1890" s="18" t="s">
        <v>19</v>
      </c>
      <c r="F1890" s="18" t="s">
        <v>52</v>
      </c>
      <c r="G1890" s="18" t="s">
        <v>40</v>
      </c>
      <c r="H1890" s="64">
        <f>LEN(TRIM(Table22[[#This Row],[Country]]))</f>
        <v>5</v>
      </c>
      <c r="I1890" s="64">
        <f>LEN(TRIM(Table22[[#This Row],[Continent]]))</f>
        <v>4</v>
      </c>
      <c r="J1890" s="64">
        <f>LEN(TRIM(Table22[[#This Row],[Product]]))</f>
        <v>6</v>
      </c>
      <c r="K1890" s="64">
        <f>LEN(TRIM(Table22[[#This Row],[Sales Team]]))</f>
        <v>10</v>
      </c>
      <c r="L1890" s="23">
        <v>12</v>
      </c>
      <c r="M1890" s="65" t="str" cm="1">
        <f t="array" ref="M1890">_xlfn.IFS(Table22[[#This Row],[Units Sold]]&lt;40,"Critical",Table22[[#This Row],[Units Sold]]&lt;=50,"Poor",Table22[[#This Row],[Units Sold]]&lt;=60,"Low",Table22[[#This Row],[Units Sold]]&lt;=80,"Average",Table22[[#This Row],[Units Sold]]&lt;=90,"High",Table22[[#This Row],[Units Sold]]&lt;=95,"Excellent",Table22[[#This Row],[Units Sold]]&gt;95,"Outstanding")</f>
        <v>Critical</v>
      </c>
      <c r="N1890" s="29">
        <v>203.58</v>
      </c>
      <c r="O1890" s="29">
        <v>2442.96</v>
      </c>
      <c r="P1890" s="43">
        <f>IF(Table22[[#This Row],[Discount Applied]],Table22[[#This Row],[Total Sales (in USD)]]*(1-Table22[[#This Row],[Discount Percentage (%)]]/100),Table22[[#This Row],[Total Sales (in USD)]])</f>
        <v>2442.96</v>
      </c>
      <c r="Q1890" s="66">
        <f>SQRT(AVERAGE((Table22[[#This Row],[Net Sales (after discount) (in USD)]]-AVERAGE(Table22[Net Sales (after discount) (in USD)]))^2))</f>
        <v>34068.400563764539</v>
      </c>
      <c r="R1890" s="18" t="b">
        <v>0</v>
      </c>
      <c r="S1890" s="40">
        <v>2.1800000000000002</v>
      </c>
      <c r="T1890" s="18" t="b">
        <v>0</v>
      </c>
      <c r="U1890" s="25">
        <v>45119</v>
      </c>
      <c r="V1890" s="63" t="str">
        <f>IF(MONTH(Table22[[#This Row],[Sales Date]])&lt;=3,"Q1",IF(MONTH(Table22[[#This Row],[Sales Date]])&lt;=6,"Q2",IF(MONTH(Table22[[#This Row],[Sales Date]])&lt;=9,"Q3","Q4")))</f>
        <v>Q3</v>
      </c>
      <c r="W1890" s="64">
        <f>YEAR(Table22[[#This Row],[Sales Date]])</f>
        <v>2023</v>
      </c>
      <c r="X1890" s="23">
        <v>32</v>
      </c>
      <c r="Y1890" s="18" t="s">
        <v>41</v>
      </c>
      <c r="Z1890" s="18" t="s">
        <v>30</v>
      </c>
      <c r="AA1890" s="19" t="s">
        <v>25</v>
      </c>
    </row>
    <row r="1891" spans="1:27" x14ac:dyDescent="0.25">
      <c r="A1891" s="17" t="s">
        <v>903</v>
      </c>
      <c r="B1891" s="18" t="s">
        <v>27</v>
      </c>
      <c r="C1891" s="63" t="str" cm="1">
        <f t="array" ref="C1891">_xlfn.SWITCH(Table22[[#This Row],[Country]],"USA","North America","Canada","North America","Brazil","South America","China","Asia","Japan","Asia","India","Asia","France","Europe","Germany","Europe","UK","Europe","Australia","Oceania","South America")</f>
        <v>Europe</v>
      </c>
      <c r="D1891" s="18" t="s">
        <v>21</v>
      </c>
      <c r="E1891" s="18" t="s">
        <v>39</v>
      </c>
      <c r="F1891" s="18" t="s">
        <v>64</v>
      </c>
      <c r="G1891" s="18" t="s">
        <v>29</v>
      </c>
      <c r="H1891" s="64">
        <f>LEN(TRIM(Table22[[#This Row],[Country]]))</f>
        <v>7</v>
      </c>
      <c r="I1891" s="64">
        <f>LEN(TRIM(Table22[[#This Row],[Continent]]))</f>
        <v>6</v>
      </c>
      <c r="J1891" s="64">
        <f>LEN(TRIM(Table22[[#This Row],[Product]]))</f>
        <v>10</v>
      </c>
      <c r="K1891" s="64">
        <f>LEN(TRIM(Table22[[#This Row],[Sales Team]]))</f>
        <v>10</v>
      </c>
      <c r="L1891" s="23">
        <v>28</v>
      </c>
      <c r="M1891" s="65" t="str" cm="1">
        <f t="array" ref="M1891">_xlfn.IFS(Table22[[#This Row],[Units Sold]]&lt;40,"Critical",Table22[[#This Row],[Units Sold]]&lt;=50,"Poor",Table22[[#This Row],[Units Sold]]&lt;=60,"Low",Table22[[#This Row],[Units Sold]]&lt;=80,"Average",Table22[[#This Row],[Units Sold]]&lt;=90,"High",Table22[[#This Row],[Units Sold]]&lt;=95,"Excellent",Table22[[#This Row],[Units Sold]]&gt;95,"Outstanding")</f>
        <v>Critical</v>
      </c>
      <c r="N1891" s="29">
        <v>86.94</v>
      </c>
      <c r="O1891" s="29">
        <v>2434.3200000000002</v>
      </c>
      <c r="P1891" s="43">
        <f>IF(Table22[[#This Row],[Discount Applied]],Table22[[#This Row],[Total Sales (in USD)]]*(1-Table22[[#This Row],[Discount Percentage (%)]]/100),Table22[[#This Row],[Total Sales (in USD)]])</f>
        <v>2434.3200000000002</v>
      </c>
      <c r="Q1891" s="66">
        <f>SQRT(AVERAGE((Table22[[#This Row],[Net Sales (after discount) (in USD)]]-AVERAGE(Table22[Net Sales (after discount) (in USD)]))^2))</f>
        <v>34077.040563764538</v>
      </c>
      <c r="R1891" s="18" t="b">
        <v>0</v>
      </c>
      <c r="S1891" s="40">
        <v>10.23</v>
      </c>
      <c r="T1891" s="18" t="b">
        <v>0</v>
      </c>
      <c r="U1891" s="25">
        <v>45595</v>
      </c>
      <c r="V1891" s="63" t="str">
        <f>IF(MONTH(Table22[[#This Row],[Sales Date]])&lt;=3,"Q1",IF(MONTH(Table22[[#This Row],[Sales Date]])&lt;=6,"Q2",IF(MONTH(Table22[[#This Row],[Sales Date]])&lt;=9,"Q3","Q4")))</f>
        <v>Q4</v>
      </c>
      <c r="W1891" s="64">
        <f>YEAR(Table22[[#This Row],[Sales Date]])</f>
        <v>2024</v>
      </c>
      <c r="X1891" s="23">
        <v>30</v>
      </c>
      <c r="Y1891" s="18" t="s">
        <v>49</v>
      </c>
      <c r="Z1891" s="18" t="s">
        <v>24</v>
      </c>
      <c r="AA1891" s="19" t="s">
        <v>36</v>
      </c>
    </row>
    <row r="1892" spans="1:27" x14ac:dyDescent="0.25">
      <c r="A1892" s="17" t="s">
        <v>1673</v>
      </c>
      <c r="B1892" s="18" t="s">
        <v>18</v>
      </c>
      <c r="C1892" s="63" t="str" cm="1">
        <f t="array" ref="C1892">_xlfn.SWITCH(Table22[[#This Row],[Country]],"USA","North America","Canada","North America","Brazil","South America","China","Asia","Japan","Asia","India","Asia","France","Europe","Germany","Europe","UK","Europe","Australia","Oceania","South America")</f>
        <v>Asia</v>
      </c>
      <c r="D1892" s="18" t="s">
        <v>21</v>
      </c>
      <c r="E1892" s="18" t="s">
        <v>19</v>
      </c>
      <c r="F1892" s="18" t="s">
        <v>64</v>
      </c>
      <c r="G1892" s="18" t="s">
        <v>48</v>
      </c>
      <c r="H1892" s="64">
        <f>LEN(TRIM(Table22[[#This Row],[Country]]))</f>
        <v>5</v>
      </c>
      <c r="I1892" s="64">
        <f>LEN(TRIM(Table22[[#This Row],[Continent]]))</f>
        <v>4</v>
      </c>
      <c r="J1892" s="64">
        <f>LEN(TRIM(Table22[[#This Row],[Product]]))</f>
        <v>6</v>
      </c>
      <c r="K1892" s="64">
        <f>LEN(TRIM(Table22[[#This Row],[Sales Team]]))</f>
        <v>9</v>
      </c>
      <c r="L1892" s="23">
        <v>9</v>
      </c>
      <c r="M1892" s="65" t="str" cm="1">
        <f t="array" ref="M1892">_xlfn.IFS(Table22[[#This Row],[Units Sold]]&lt;40,"Critical",Table22[[#This Row],[Units Sold]]&lt;=50,"Poor",Table22[[#This Row],[Units Sold]]&lt;=60,"Low",Table22[[#This Row],[Units Sold]]&lt;=80,"Average",Table22[[#This Row],[Units Sold]]&lt;=90,"High",Table22[[#This Row],[Units Sold]]&lt;=95,"Excellent",Table22[[#This Row],[Units Sold]]&gt;95,"Outstanding")</f>
        <v>Critical</v>
      </c>
      <c r="N1892" s="29">
        <v>265.58</v>
      </c>
      <c r="O1892" s="29">
        <v>2390.2199999999998</v>
      </c>
      <c r="P1892" s="43">
        <f>IF(Table22[[#This Row],[Discount Applied]],Table22[[#This Row],[Total Sales (in USD)]]*(1-Table22[[#This Row],[Discount Percentage (%)]]/100),Table22[[#This Row],[Total Sales (in USD)]])</f>
        <v>2388.3078239999995</v>
      </c>
      <c r="Q1892" s="66">
        <f>SQRT(AVERAGE((Table22[[#This Row],[Net Sales (after discount) (in USD)]]-AVERAGE(Table22[Net Sales (after discount) (in USD)]))^2))</f>
        <v>34123.052739764535</v>
      </c>
      <c r="R1892" s="18" t="b">
        <v>1</v>
      </c>
      <c r="S1892" s="40">
        <v>0.08</v>
      </c>
      <c r="T1892" s="18" t="b">
        <v>1</v>
      </c>
      <c r="U1892" s="25">
        <v>45299</v>
      </c>
      <c r="V1892" s="63" t="str">
        <f>IF(MONTH(Table22[[#This Row],[Sales Date]])&lt;=3,"Q1",IF(MONTH(Table22[[#This Row],[Sales Date]])&lt;=6,"Q2",IF(MONTH(Table22[[#This Row],[Sales Date]])&lt;=9,"Q3","Q4")))</f>
        <v>Q1</v>
      </c>
      <c r="W1892" s="64">
        <f>YEAR(Table22[[#This Row],[Sales Date]])</f>
        <v>2024</v>
      </c>
      <c r="X1892" s="23">
        <v>50</v>
      </c>
      <c r="Y1892" s="18" t="s">
        <v>41</v>
      </c>
      <c r="Z1892" s="18" t="s">
        <v>56</v>
      </c>
      <c r="AA1892" s="19" t="s">
        <v>36</v>
      </c>
    </row>
    <row r="1893" spans="1:27" x14ac:dyDescent="0.25">
      <c r="A1893" s="17" t="s">
        <v>325</v>
      </c>
      <c r="B1893" s="18" t="s">
        <v>18</v>
      </c>
      <c r="C1893" s="63" t="str" cm="1">
        <f t="array" ref="C1893">_xlfn.SWITCH(Table22[[#This Row],[Country]],"USA","North America","Canada","North America","Brazil","South America","China","Asia","Japan","Asia","India","Asia","France","Europe","Germany","Europe","UK","Europe","Australia","Oceania","South America")</f>
        <v>Asia</v>
      </c>
      <c r="D1893" s="18" t="s">
        <v>28</v>
      </c>
      <c r="E1893" s="18" t="s">
        <v>33</v>
      </c>
      <c r="F1893" s="18" t="s">
        <v>64</v>
      </c>
      <c r="G1893" s="18" t="s">
        <v>48</v>
      </c>
      <c r="H1893" s="64">
        <f>LEN(TRIM(Table22[[#This Row],[Country]]))</f>
        <v>5</v>
      </c>
      <c r="I1893" s="64">
        <f>LEN(TRIM(Table22[[#This Row],[Continent]]))</f>
        <v>4</v>
      </c>
      <c r="J1893" s="64">
        <f>LEN(TRIM(Table22[[#This Row],[Product]]))</f>
        <v>10</v>
      </c>
      <c r="K1893" s="64">
        <f>LEN(TRIM(Table22[[#This Row],[Sales Team]]))</f>
        <v>9</v>
      </c>
      <c r="L1893" s="23">
        <v>4</v>
      </c>
      <c r="M1893" s="65" t="str" cm="1">
        <f t="array" ref="M1893">_xlfn.IFS(Table22[[#This Row],[Units Sold]]&lt;40,"Critical",Table22[[#This Row],[Units Sold]]&lt;=50,"Poor",Table22[[#This Row],[Units Sold]]&lt;=60,"Low",Table22[[#This Row],[Units Sold]]&lt;=80,"Average",Table22[[#This Row],[Units Sold]]&lt;=90,"High",Table22[[#This Row],[Units Sold]]&lt;=95,"Excellent",Table22[[#This Row],[Units Sold]]&gt;95,"Outstanding")</f>
        <v>Critical</v>
      </c>
      <c r="N1893" s="29">
        <v>590.28</v>
      </c>
      <c r="O1893" s="29">
        <v>2361.12</v>
      </c>
      <c r="P1893" s="43">
        <f>IF(Table22[[#This Row],[Discount Applied]],Table22[[#This Row],[Total Sales (in USD)]]*(1-Table22[[#This Row],[Discount Percentage (%)]]/100),Table22[[#This Row],[Total Sales (in USD)]])</f>
        <v>2276.3557919999998</v>
      </c>
      <c r="Q1893" s="66">
        <f>SQRT(AVERAGE((Table22[[#This Row],[Net Sales (after discount) (in USD)]]-AVERAGE(Table22[Net Sales (after discount) (in USD)]))^2))</f>
        <v>34235.004771764536</v>
      </c>
      <c r="R1893" s="18" t="b">
        <v>0</v>
      </c>
      <c r="S1893" s="40">
        <v>3.59</v>
      </c>
      <c r="T1893" s="18" t="b">
        <v>1</v>
      </c>
      <c r="U1893" s="25">
        <v>45033</v>
      </c>
      <c r="V1893" s="63" t="str">
        <f>IF(MONTH(Table22[[#This Row],[Sales Date]])&lt;=3,"Q1",IF(MONTH(Table22[[#This Row],[Sales Date]])&lt;=6,"Q2",IF(MONTH(Table22[[#This Row],[Sales Date]])&lt;=9,"Q3","Q4")))</f>
        <v>Q2</v>
      </c>
      <c r="W1893" s="64">
        <f>YEAR(Table22[[#This Row],[Sales Date]])</f>
        <v>2023</v>
      </c>
      <c r="X1893" s="23">
        <v>18</v>
      </c>
      <c r="Y1893" s="18" t="s">
        <v>41</v>
      </c>
      <c r="Z1893" s="18" t="s">
        <v>42</v>
      </c>
      <c r="AA1893" s="19" t="s">
        <v>36</v>
      </c>
    </row>
    <row r="1894" spans="1:27" x14ac:dyDescent="0.25">
      <c r="A1894" s="17" t="s">
        <v>2050</v>
      </c>
      <c r="B1894" s="18" t="s">
        <v>66</v>
      </c>
      <c r="C1894" s="63" t="str" cm="1">
        <f t="array" ref="C1894">_xlfn.SWITCH(Table22[[#This Row],[Country]],"USA","North America","Canada","North America","Brazil","South America","China","Asia","Japan","Asia","India","Asia","France","Europe","Germany","Europe","UK","Europe","Australia","Oceania","South America")</f>
        <v>North America</v>
      </c>
      <c r="D1894" s="18" t="s">
        <v>28</v>
      </c>
      <c r="E1894" s="18" t="s">
        <v>39</v>
      </c>
      <c r="F1894" s="18" t="s">
        <v>20</v>
      </c>
      <c r="G1894" s="18" t="s">
        <v>29</v>
      </c>
      <c r="H1894" s="64">
        <f>LEN(TRIM(Table22[[#This Row],[Country]]))</f>
        <v>6</v>
      </c>
      <c r="I1894" s="64">
        <f>LEN(TRIM(Table22[[#This Row],[Continent]]))</f>
        <v>13</v>
      </c>
      <c r="J1894" s="64">
        <f>LEN(TRIM(Table22[[#This Row],[Product]]))</f>
        <v>10</v>
      </c>
      <c r="K1894" s="64">
        <f>LEN(TRIM(Table22[[#This Row],[Sales Team]]))</f>
        <v>10</v>
      </c>
      <c r="L1894" s="23">
        <v>2</v>
      </c>
      <c r="M1894" s="65" t="str" cm="1">
        <f t="array" ref="M1894">_xlfn.IFS(Table22[[#This Row],[Units Sold]]&lt;40,"Critical",Table22[[#This Row],[Units Sold]]&lt;=50,"Poor",Table22[[#This Row],[Units Sold]]&lt;=60,"Low",Table22[[#This Row],[Units Sold]]&lt;=80,"Average",Table22[[#This Row],[Units Sold]]&lt;=90,"High",Table22[[#This Row],[Units Sold]]&lt;=95,"Excellent",Table22[[#This Row],[Units Sold]]&gt;95,"Outstanding")</f>
        <v>Critical</v>
      </c>
      <c r="N1894" s="29">
        <v>1159.08</v>
      </c>
      <c r="O1894" s="29">
        <v>2318.16</v>
      </c>
      <c r="P1894" s="43">
        <f>IF(Table22[[#This Row],[Discount Applied]],Table22[[#This Row],[Total Sales (in USD)]]*(1-Table22[[#This Row],[Discount Percentage (%)]]/100),Table22[[#This Row],[Total Sales (in USD)]])</f>
        <v>2318.16</v>
      </c>
      <c r="Q1894" s="66">
        <f>SQRT(AVERAGE((Table22[[#This Row],[Net Sales (after discount) (in USD)]]-AVERAGE(Table22[Net Sales (after discount) (in USD)]))^2))</f>
        <v>34193.200563764534</v>
      </c>
      <c r="R1894" s="18" t="b">
        <v>1</v>
      </c>
      <c r="S1894" s="40">
        <v>11.25</v>
      </c>
      <c r="T1894" s="18" t="b">
        <v>0</v>
      </c>
      <c r="U1894" s="25">
        <v>45080</v>
      </c>
      <c r="V1894" s="63" t="str">
        <f>IF(MONTH(Table22[[#This Row],[Sales Date]])&lt;=3,"Q1",IF(MONTH(Table22[[#This Row],[Sales Date]])&lt;=6,"Q2",IF(MONTH(Table22[[#This Row],[Sales Date]])&lt;=9,"Q3","Q4")))</f>
        <v>Q2</v>
      </c>
      <c r="W1894" s="64">
        <f>YEAR(Table22[[#This Row],[Sales Date]])</f>
        <v>2023</v>
      </c>
      <c r="X1894" s="23">
        <v>31</v>
      </c>
      <c r="Y1894" s="18" t="s">
        <v>23</v>
      </c>
      <c r="Z1894" s="18" t="s">
        <v>56</v>
      </c>
      <c r="AA1894" s="19" t="s">
        <v>25</v>
      </c>
    </row>
    <row r="1895" spans="1:27" x14ac:dyDescent="0.25">
      <c r="A1895" s="17" t="s">
        <v>358</v>
      </c>
      <c r="B1895" s="18" t="s">
        <v>27</v>
      </c>
      <c r="C1895" s="63" t="str" cm="1">
        <f t="array" ref="C1895">_xlfn.SWITCH(Table22[[#This Row],[Country]],"USA","North America","Canada","North America","Brazil","South America","China","Asia","Japan","Asia","India","Asia","France","Europe","Germany","Europe","UK","Europe","Australia","Oceania","South America")</f>
        <v>Europe</v>
      </c>
      <c r="D1895" s="18" t="s">
        <v>35</v>
      </c>
      <c r="E1895" s="18" t="s">
        <v>33</v>
      </c>
      <c r="F1895" s="18" t="s">
        <v>64</v>
      </c>
      <c r="G1895" s="18" t="s">
        <v>22</v>
      </c>
      <c r="H1895" s="64">
        <f>LEN(TRIM(Table22[[#This Row],[Country]]))</f>
        <v>7</v>
      </c>
      <c r="I1895" s="64">
        <f>LEN(TRIM(Table22[[#This Row],[Continent]]))</f>
        <v>6</v>
      </c>
      <c r="J1895" s="64">
        <f>LEN(TRIM(Table22[[#This Row],[Product]]))</f>
        <v>10</v>
      </c>
      <c r="K1895" s="64">
        <f>LEN(TRIM(Table22[[#This Row],[Sales Team]]))</f>
        <v>10</v>
      </c>
      <c r="L1895" s="23">
        <v>25</v>
      </c>
      <c r="M1895" s="65" t="str" cm="1">
        <f t="array" ref="M1895">_xlfn.IFS(Table22[[#This Row],[Units Sold]]&lt;40,"Critical",Table22[[#This Row],[Units Sold]]&lt;=50,"Poor",Table22[[#This Row],[Units Sold]]&lt;=60,"Low",Table22[[#This Row],[Units Sold]]&lt;=80,"Average",Table22[[#This Row],[Units Sold]]&lt;=90,"High",Table22[[#This Row],[Units Sold]]&lt;=95,"Excellent",Table22[[#This Row],[Units Sold]]&gt;95,"Outstanding")</f>
        <v>Critical</v>
      </c>
      <c r="N1895" s="29">
        <v>91.81</v>
      </c>
      <c r="O1895" s="29">
        <v>2295.25</v>
      </c>
      <c r="P1895" s="43">
        <f>IF(Table22[[#This Row],[Discount Applied]],Table22[[#This Row],[Total Sales (in USD)]]*(1-Table22[[#This Row],[Discount Percentage (%)]]/100),Table22[[#This Row],[Total Sales (in USD)]])</f>
        <v>1667.2695999999999</v>
      </c>
      <c r="Q1895" s="66">
        <f>SQRT(AVERAGE((Table22[[#This Row],[Net Sales (after discount) (in USD)]]-AVERAGE(Table22[Net Sales (after discount) (in USD)]))^2))</f>
        <v>34844.090963764538</v>
      </c>
      <c r="R1895" s="18" t="b">
        <v>1</v>
      </c>
      <c r="S1895" s="40">
        <v>27.36</v>
      </c>
      <c r="T1895" s="18" t="b">
        <v>1</v>
      </c>
      <c r="U1895" s="25">
        <v>45584</v>
      </c>
      <c r="V1895" s="63" t="str">
        <f>IF(MONTH(Table22[[#This Row],[Sales Date]])&lt;=3,"Q1",IF(MONTH(Table22[[#This Row],[Sales Date]])&lt;=6,"Q2",IF(MONTH(Table22[[#This Row],[Sales Date]])&lt;=9,"Q3","Q4")))</f>
        <v>Q4</v>
      </c>
      <c r="W1895" s="64">
        <f>YEAR(Table22[[#This Row],[Sales Date]])</f>
        <v>2024</v>
      </c>
      <c r="X1895" s="23">
        <v>60</v>
      </c>
      <c r="Y1895" s="18" t="s">
        <v>23</v>
      </c>
      <c r="Z1895" s="18" t="s">
        <v>42</v>
      </c>
      <c r="AA1895" s="19" t="s">
        <v>36</v>
      </c>
    </row>
    <row r="1896" spans="1:27" x14ac:dyDescent="0.25">
      <c r="A1896" s="17" t="s">
        <v>1268</v>
      </c>
      <c r="B1896" s="18" t="s">
        <v>72</v>
      </c>
      <c r="C1896" s="63" t="str" cm="1">
        <f t="array" ref="C1896">_xlfn.SWITCH(Table22[[#This Row],[Country]],"USA","North America","Canada","North America","Brazil","South America","China","Asia","Japan","Asia","India","Asia","France","Europe","Germany","Europe","UK","Europe","Australia","Oceania","South America")</f>
        <v>North America</v>
      </c>
      <c r="D1896" s="18" t="s">
        <v>21</v>
      </c>
      <c r="E1896" s="18" t="s">
        <v>19</v>
      </c>
      <c r="F1896" s="18" t="s">
        <v>20</v>
      </c>
      <c r="G1896" s="18" t="s">
        <v>40</v>
      </c>
      <c r="H1896" s="64">
        <f>LEN(TRIM(Table22[[#This Row],[Country]]))</f>
        <v>3</v>
      </c>
      <c r="I1896" s="64">
        <f>LEN(TRIM(Table22[[#This Row],[Continent]]))</f>
        <v>13</v>
      </c>
      <c r="J1896" s="64">
        <f>LEN(TRIM(Table22[[#This Row],[Product]]))</f>
        <v>6</v>
      </c>
      <c r="K1896" s="64">
        <f>LEN(TRIM(Table22[[#This Row],[Sales Team]]))</f>
        <v>10</v>
      </c>
      <c r="L1896" s="23">
        <v>27</v>
      </c>
      <c r="M1896" s="65" t="str" cm="1">
        <f t="array" ref="M1896">_xlfn.IFS(Table22[[#This Row],[Units Sold]]&lt;40,"Critical",Table22[[#This Row],[Units Sold]]&lt;=50,"Poor",Table22[[#This Row],[Units Sold]]&lt;=60,"Low",Table22[[#This Row],[Units Sold]]&lt;=80,"Average",Table22[[#This Row],[Units Sold]]&lt;=90,"High",Table22[[#This Row],[Units Sold]]&lt;=95,"Excellent",Table22[[#This Row],[Units Sold]]&gt;95,"Outstanding")</f>
        <v>Critical</v>
      </c>
      <c r="N1896" s="29">
        <v>81.52</v>
      </c>
      <c r="O1896" s="29">
        <v>2201.04</v>
      </c>
      <c r="P1896" s="43">
        <f>IF(Table22[[#This Row],[Discount Applied]],Table22[[#This Row],[Total Sales (in USD)]]*(1-Table22[[#This Row],[Discount Percentage (%)]]/100),Table22[[#This Row],[Total Sales (in USD)]])</f>
        <v>2201.04</v>
      </c>
      <c r="Q1896" s="66">
        <f>SQRT(AVERAGE((Table22[[#This Row],[Net Sales (after discount) (in USD)]]-AVERAGE(Table22[Net Sales (after discount) (in USD)]))^2))</f>
        <v>34310.320563764537</v>
      </c>
      <c r="R1896" s="18" t="b">
        <v>0</v>
      </c>
      <c r="S1896" s="40">
        <v>27.8</v>
      </c>
      <c r="T1896" s="18" t="b">
        <v>0</v>
      </c>
      <c r="U1896" s="25">
        <v>44972</v>
      </c>
      <c r="V1896" s="63" t="str">
        <f>IF(MONTH(Table22[[#This Row],[Sales Date]])&lt;=3,"Q1",IF(MONTH(Table22[[#This Row],[Sales Date]])&lt;=6,"Q2",IF(MONTH(Table22[[#This Row],[Sales Date]])&lt;=9,"Q3","Q4")))</f>
        <v>Q1</v>
      </c>
      <c r="W1896" s="64">
        <f>YEAR(Table22[[#This Row],[Sales Date]])</f>
        <v>2023</v>
      </c>
      <c r="X1896" s="23">
        <v>24</v>
      </c>
      <c r="Y1896" s="18" t="s">
        <v>41</v>
      </c>
      <c r="Z1896" s="18" t="s">
        <v>24</v>
      </c>
      <c r="AA1896" s="19" t="s">
        <v>25</v>
      </c>
    </row>
    <row r="1897" spans="1:27" x14ac:dyDescent="0.25">
      <c r="A1897" s="17" t="s">
        <v>1030</v>
      </c>
      <c r="B1897" s="18" t="s">
        <v>32</v>
      </c>
      <c r="C1897" s="63" t="str" cm="1">
        <f t="array" ref="C1897">_xlfn.SWITCH(Table22[[#This Row],[Country]],"USA","North America","Canada","North America","Brazil","South America","China","Asia","Japan","Asia","India","Asia","France","Europe","Germany","Europe","UK","Europe","Australia","Oceania","South America")</f>
        <v>Asia</v>
      </c>
      <c r="D1897" s="18" t="s">
        <v>21</v>
      </c>
      <c r="E1897" s="18" t="s">
        <v>39</v>
      </c>
      <c r="F1897" s="18" t="s">
        <v>47</v>
      </c>
      <c r="G1897" s="18" t="s">
        <v>48</v>
      </c>
      <c r="H1897" s="64">
        <f>LEN(TRIM(Table22[[#This Row],[Country]]))</f>
        <v>5</v>
      </c>
      <c r="I1897" s="64">
        <f>LEN(TRIM(Table22[[#This Row],[Continent]]))</f>
        <v>4</v>
      </c>
      <c r="J1897" s="64">
        <f>LEN(TRIM(Table22[[#This Row],[Product]]))</f>
        <v>10</v>
      </c>
      <c r="K1897" s="64">
        <f>LEN(TRIM(Table22[[#This Row],[Sales Team]]))</f>
        <v>9</v>
      </c>
      <c r="L1897" s="23">
        <v>26</v>
      </c>
      <c r="M1897" s="65" t="str" cm="1">
        <f t="array" ref="M1897">_xlfn.IFS(Table22[[#This Row],[Units Sold]]&lt;40,"Critical",Table22[[#This Row],[Units Sold]]&lt;=50,"Poor",Table22[[#This Row],[Units Sold]]&lt;=60,"Low",Table22[[#This Row],[Units Sold]]&lt;=80,"Average",Table22[[#This Row],[Units Sold]]&lt;=90,"High",Table22[[#This Row],[Units Sold]]&lt;=95,"Excellent",Table22[[#This Row],[Units Sold]]&gt;95,"Outstanding")</f>
        <v>Critical</v>
      </c>
      <c r="N1897" s="29">
        <v>83.56</v>
      </c>
      <c r="O1897" s="29">
        <v>2172.56</v>
      </c>
      <c r="P1897" s="43">
        <f>IF(Table22[[#This Row],[Discount Applied]],Table22[[#This Row],[Total Sales (in USD)]]*(1-Table22[[#This Row],[Discount Percentage (%)]]/100),Table22[[#This Row],[Total Sales (in USD)]])</f>
        <v>2172.56</v>
      </c>
      <c r="Q1897" s="66">
        <f>SQRT(AVERAGE((Table22[[#This Row],[Net Sales (after discount) (in USD)]]-AVERAGE(Table22[Net Sales (after discount) (in USD)]))^2))</f>
        <v>34338.80056376454</v>
      </c>
      <c r="R1897" s="18" t="b">
        <v>1</v>
      </c>
      <c r="S1897" s="40">
        <v>9.86</v>
      </c>
      <c r="T1897" s="18" t="b">
        <v>0</v>
      </c>
      <c r="U1897" s="25">
        <v>45010</v>
      </c>
      <c r="V1897" s="63" t="str">
        <f>IF(MONTH(Table22[[#This Row],[Sales Date]])&lt;=3,"Q1",IF(MONTH(Table22[[#This Row],[Sales Date]])&lt;=6,"Q2",IF(MONTH(Table22[[#This Row],[Sales Date]])&lt;=9,"Q3","Q4")))</f>
        <v>Q1</v>
      </c>
      <c r="W1897" s="64">
        <f>YEAR(Table22[[#This Row],[Sales Date]])</f>
        <v>2023</v>
      </c>
      <c r="X1897" s="23">
        <v>42</v>
      </c>
      <c r="Y1897" s="18" t="s">
        <v>41</v>
      </c>
      <c r="Z1897" s="18" t="s">
        <v>24</v>
      </c>
      <c r="AA1897" s="19" t="s">
        <v>36</v>
      </c>
    </row>
    <row r="1898" spans="1:27" x14ac:dyDescent="0.25">
      <c r="A1898" s="17" t="s">
        <v>1639</v>
      </c>
      <c r="B1898" s="18" t="s">
        <v>32</v>
      </c>
      <c r="C1898" s="63" t="str" cm="1">
        <f t="array" ref="C1898">_xlfn.SWITCH(Table22[[#This Row],[Country]],"USA","North America","Canada","North America","Brazil","South America","China","Asia","Japan","Asia","India","Asia","France","Europe","Germany","Europe","UK","Europe","Australia","Oceania","South America")</f>
        <v>Asia</v>
      </c>
      <c r="D1898" s="18" t="s">
        <v>21</v>
      </c>
      <c r="E1898" s="18" t="s">
        <v>19</v>
      </c>
      <c r="F1898" s="18" t="s">
        <v>34</v>
      </c>
      <c r="G1898" s="18" t="s">
        <v>29</v>
      </c>
      <c r="H1898" s="64">
        <f>LEN(TRIM(Table22[[#This Row],[Country]]))</f>
        <v>5</v>
      </c>
      <c r="I1898" s="64">
        <f>LEN(TRIM(Table22[[#This Row],[Continent]]))</f>
        <v>4</v>
      </c>
      <c r="J1898" s="64">
        <f>LEN(TRIM(Table22[[#This Row],[Product]]))</f>
        <v>6</v>
      </c>
      <c r="K1898" s="64">
        <f>LEN(TRIM(Table22[[#This Row],[Sales Team]]))</f>
        <v>10</v>
      </c>
      <c r="L1898" s="23">
        <v>31</v>
      </c>
      <c r="M1898" s="65" t="str" cm="1">
        <f t="array" ref="M1898">_xlfn.IFS(Table22[[#This Row],[Units Sold]]&lt;40,"Critical",Table22[[#This Row],[Units Sold]]&lt;=50,"Poor",Table22[[#This Row],[Units Sold]]&lt;=60,"Low",Table22[[#This Row],[Units Sold]]&lt;=80,"Average",Table22[[#This Row],[Units Sold]]&lt;=90,"High",Table22[[#This Row],[Units Sold]]&lt;=95,"Excellent",Table22[[#This Row],[Units Sold]]&gt;95,"Outstanding")</f>
        <v>Critical</v>
      </c>
      <c r="N1898" s="29">
        <v>68.260000000000005</v>
      </c>
      <c r="O1898" s="29">
        <v>2116.06</v>
      </c>
      <c r="P1898" s="43">
        <f>IF(Table22[[#This Row],[Discount Applied]],Table22[[#This Row],[Total Sales (in USD)]]*(1-Table22[[#This Row],[Discount Percentage (%)]]/100),Table22[[#This Row],[Total Sales (in USD)]])</f>
        <v>1857.6890739999999</v>
      </c>
      <c r="Q1898" s="66">
        <f>SQRT(AVERAGE((Table22[[#This Row],[Net Sales (after discount) (in USD)]]-AVERAGE(Table22[Net Sales (after discount) (in USD)]))^2))</f>
        <v>34653.671489764536</v>
      </c>
      <c r="R1898" s="18" t="b">
        <v>1</v>
      </c>
      <c r="S1898" s="40">
        <v>12.21</v>
      </c>
      <c r="T1898" s="18" t="b">
        <v>1</v>
      </c>
      <c r="U1898" s="25">
        <v>44931</v>
      </c>
      <c r="V1898" s="63" t="str">
        <f>IF(MONTH(Table22[[#This Row],[Sales Date]])&lt;=3,"Q1",IF(MONTH(Table22[[#This Row],[Sales Date]])&lt;=6,"Q2",IF(MONTH(Table22[[#This Row],[Sales Date]])&lt;=9,"Q3","Q4")))</f>
        <v>Q1</v>
      </c>
      <c r="W1898" s="64">
        <f>YEAR(Table22[[#This Row],[Sales Date]])</f>
        <v>2023</v>
      </c>
      <c r="X1898" s="23">
        <v>50</v>
      </c>
      <c r="Y1898" s="18" t="s">
        <v>41</v>
      </c>
      <c r="Z1898" s="18" t="s">
        <v>42</v>
      </c>
      <c r="AA1898" s="19" t="s">
        <v>36</v>
      </c>
    </row>
    <row r="1899" spans="1:27" x14ac:dyDescent="0.25">
      <c r="A1899" s="17" t="s">
        <v>1348</v>
      </c>
      <c r="B1899" s="18" t="s">
        <v>46</v>
      </c>
      <c r="C1899" s="63" t="str" cm="1">
        <f t="array" ref="C1899">_xlfn.SWITCH(Table22[[#This Row],[Country]],"USA","North America","Canada","North America","Brazil","South America","China","Asia","Japan","Asia","India","Asia","France","Europe","Germany","Europe","UK","Europe","Australia","Oceania","South America")</f>
        <v>South America</v>
      </c>
      <c r="D1899" s="18" t="s">
        <v>28</v>
      </c>
      <c r="E1899" s="18" t="s">
        <v>33</v>
      </c>
      <c r="F1899" s="18" t="s">
        <v>52</v>
      </c>
      <c r="G1899" s="18" t="s">
        <v>29</v>
      </c>
      <c r="H1899" s="64">
        <f>LEN(TRIM(Table22[[#This Row],[Country]]))</f>
        <v>6</v>
      </c>
      <c r="I1899" s="64">
        <f>LEN(TRIM(Table22[[#This Row],[Continent]]))</f>
        <v>13</v>
      </c>
      <c r="J1899" s="64">
        <f>LEN(TRIM(Table22[[#This Row],[Product]]))</f>
        <v>10</v>
      </c>
      <c r="K1899" s="64">
        <f>LEN(TRIM(Table22[[#This Row],[Sales Team]]))</f>
        <v>10</v>
      </c>
      <c r="L1899" s="23">
        <v>19</v>
      </c>
      <c r="M1899" s="65" t="str" cm="1">
        <f t="array" ref="M1899">_xlfn.IFS(Table22[[#This Row],[Units Sold]]&lt;40,"Critical",Table22[[#This Row],[Units Sold]]&lt;=50,"Poor",Table22[[#This Row],[Units Sold]]&lt;=60,"Low",Table22[[#This Row],[Units Sold]]&lt;=80,"Average",Table22[[#This Row],[Units Sold]]&lt;=90,"High",Table22[[#This Row],[Units Sold]]&lt;=95,"Excellent",Table22[[#This Row],[Units Sold]]&gt;95,"Outstanding")</f>
        <v>Critical</v>
      </c>
      <c r="N1899" s="29">
        <v>110.64</v>
      </c>
      <c r="O1899" s="29">
        <v>2102.16</v>
      </c>
      <c r="P1899" s="43">
        <f>IF(Table22[[#This Row],[Discount Applied]],Table22[[#This Row],[Total Sales (in USD)]]*(1-Table22[[#This Row],[Discount Percentage (%)]]/100),Table22[[#This Row],[Total Sales (in USD)]])</f>
        <v>2102.16</v>
      </c>
      <c r="Q1899" s="66">
        <f>SQRT(AVERAGE((Table22[[#This Row],[Net Sales (after discount) (in USD)]]-AVERAGE(Table22[Net Sales (after discount) (in USD)]))^2))</f>
        <v>34409.200563764534</v>
      </c>
      <c r="R1899" s="18" t="b">
        <v>1</v>
      </c>
      <c r="S1899" s="40">
        <v>10.01</v>
      </c>
      <c r="T1899" s="18" t="b">
        <v>0</v>
      </c>
      <c r="U1899" s="25">
        <v>45572</v>
      </c>
      <c r="V1899" s="63" t="str">
        <f>IF(MONTH(Table22[[#This Row],[Sales Date]])&lt;=3,"Q1",IF(MONTH(Table22[[#This Row],[Sales Date]])&lt;=6,"Q2",IF(MONTH(Table22[[#This Row],[Sales Date]])&lt;=9,"Q3","Q4")))</f>
        <v>Q4</v>
      </c>
      <c r="W1899" s="64">
        <f>YEAR(Table22[[#This Row],[Sales Date]])</f>
        <v>2024</v>
      </c>
      <c r="X1899" s="23">
        <v>20</v>
      </c>
      <c r="Y1899" s="18" t="s">
        <v>49</v>
      </c>
      <c r="Z1899" s="18" t="s">
        <v>42</v>
      </c>
      <c r="AA1899" s="19" t="s">
        <v>25</v>
      </c>
    </row>
    <row r="1900" spans="1:27" x14ac:dyDescent="0.25">
      <c r="A1900" s="17" t="s">
        <v>1222</v>
      </c>
      <c r="B1900" s="18" t="s">
        <v>32</v>
      </c>
      <c r="C1900" s="63" t="str" cm="1">
        <f t="array" ref="C1900">_xlfn.SWITCH(Table22[[#This Row],[Country]],"USA","North America","Canada","North America","Brazil","South America","China","Asia","Japan","Asia","India","Asia","France","Europe","Germany","Europe","UK","Europe","Australia","Oceania","South America")</f>
        <v>Asia</v>
      </c>
      <c r="D1900" s="18" t="s">
        <v>44</v>
      </c>
      <c r="E1900" s="18" t="s">
        <v>39</v>
      </c>
      <c r="F1900" s="18" t="s">
        <v>64</v>
      </c>
      <c r="G1900" s="18" t="s">
        <v>40</v>
      </c>
      <c r="H1900" s="64">
        <f>LEN(TRIM(Table22[[#This Row],[Country]]))</f>
        <v>5</v>
      </c>
      <c r="I1900" s="64">
        <f>LEN(TRIM(Table22[[#This Row],[Continent]]))</f>
        <v>4</v>
      </c>
      <c r="J1900" s="64">
        <f>LEN(TRIM(Table22[[#This Row],[Product]]))</f>
        <v>10</v>
      </c>
      <c r="K1900" s="64">
        <f>LEN(TRIM(Table22[[#This Row],[Sales Team]]))</f>
        <v>10</v>
      </c>
      <c r="L1900" s="23">
        <v>2</v>
      </c>
      <c r="M1900" s="65" t="str" cm="1">
        <f t="array" ref="M1900">_xlfn.IFS(Table22[[#This Row],[Units Sold]]&lt;40,"Critical",Table22[[#This Row],[Units Sold]]&lt;=50,"Poor",Table22[[#This Row],[Units Sold]]&lt;=60,"Low",Table22[[#This Row],[Units Sold]]&lt;=80,"Average",Table22[[#This Row],[Units Sold]]&lt;=90,"High",Table22[[#This Row],[Units Sold]]&lt;=95,"Excellent",Table22[[#This Row],[Units Sold]]&gt;95,"Outstanding")</f>
        <v>Critical</v>
      </c>
      <c r="N1900" s="29">
        <v>1047.94</v>
      </c>
      <c r="O1900" s="29">
        <v>2095.88</v>
      </c>
      <c r="P1900" s="43">
        <f>IF(Table22[[#This Row],[Discount Applied]],Table22[[#This Row],[Total Sales (in USD)]]*(1-Table22[[#This Row],[Discount Percentage (%)]]/100),Table22[[#This Row],[Total Sales (in USD)]])</f>
        <v>2095.88</v>
      </c>
      <c r="Q1900" s="66">
        <f>SQRT(AVERAGE((Table22[[#This Row],[Net Sales (after discount) (in USD)]]-AVERAGE(Table22[Net Sales (after discount) (in USD)]))^2))</f>
        <v>34415.48056376454</v>
      </c>
      <c r="R1900" s="18" t="b">
        <v>0</v>
      </c>
      <c r="S1900" s="40">
        <v>25.46</v>
      </c>
      <c r="T1900" s="18" t="b">
        <v>0</v>
      </c>
      <c r="U1900" s="25">
        <v>44939</v>
      </c>
      <c r="V1900" s="63" t="str">
        <f>IF(MONTH(Table22[[#This Row],[Sales Date]])&lt;=3,"Q1",IF(MONTH(Table22[[#This Row],[Sales Date]])&lt;=6,"Q2",IF(MONTH(Table22[[#This Row],[Sales Date]])&lt;=9,"Q3","Q4")))</f>
        <v>Q1</v>
      </c>
      <c r="W1900" s="64">
        <f>YEAR(Table22[[#This Row],[Sales Date]])</f>
        <v>2023</v>
      </c>
      <c r="X1900" s="23">
        <v>45</v>
      </c>
      <c r="Y1900" s="18" t="s">
        <v>41</v>
      </c>
      <c r="Z1900" s="18" t="s">
        <v>24</v>
      </c>
      <c r="AA1900" s="19" t="s">
        <v>36</v>
      </c>
    </row>
    <row r="1901" spans="1:27" x14ac:dyDescent="0.25">
      <c r="A1901" s="17" t="s">
        <v>345</v>
      </c>
      <c r="B1901" s="18" t="s">
        <v>51</v>
      </c>
      <c r="C1901" s="63" t="str" cm="1">
        <f t="array" ref="C1901">_xlfn.SWITCH(Table22[[#This Row],[Country]],"USA","North America","Canada","North America","Brazil","South America","China","Asia","Japan","Asia","India","Asia","France","Europe","Germany","Europe","UK","Europe","Australia","Oceania","South America")</f>
        <v>Europe</v>
      </c>
      <c r="D1901" s="18" t="s">
        <v>21</v>
      </c>
      <c r="E1901" s="18" t="s">
        <v>39</v>
      </c>
      <c r="F1901" s="18" t="s">
        <v>52</v>
      </c>
      <c r="G1901" s="18" t="s">
        <v>40</v>
      </c>
      <c r="H1901" s="64">
        <f>LEN(TRIM(Table22[[#This Row],[Country]]))</f>
        <v>2</v>
      </c>
      <c r="I1901" s="64">
        <f>LEN(TRIM(Table22[[#This Row],[Continent]]))</f>
        <v>6</v>
      </c>
      <c r="J1901" s="64">
        <f>LEN(TRIM(Table22[[#This Row],[Product]]))</f>
        <v>10</v>
      </c>
      <c r="K1901" s="64">
        <f>LEN(TRIM(Table22[[#This Row],[Sales Team]]))</f>
        <v>10</v>
      </c>
      <c r="L1901" s="23">
        <v>9</v>
      </c>
      <c r="M1901" s="65" t="str" cm="1">
        <f t="array" ref="M1901">_xlfn.IFS(Table22[[#This Row],[Units Sold]]&lt;40,"Critical",Table22[[#This Row],[Units Sold]]&lt;=50,"Poor",Table22[[#This Row],[Units Sold]]&lt;=60,"Low",Table22[[#This Row],[Units Sold]]&lt;=80,"Average",Table22[[#This Row],[Units Sold]]&lt;=90,"High",Table22[[#This Row],[Units Sold]]&lt;=95,"Excellent",Table22[[#This Row],[Units Sold]]&gt;95,"Outstanding")</f>
        <v>Critical</v>
      </c>
      <c r="N1901" s="29">
        <v>231.89</v>
      </c>
      <c r="O1901" s="29">
        <v>2087.0100000000002</v>
      </c>
      <c r="P1901" s="43">
        <f>IF(Table22[[#This Row],[Discount Applied]],Table22[[#This Row],[Total Sales (in USD)]]*(1-Table22[[#This Row],[Discount Percentage (%)]]/100),Table22[[#This Row],[Total Sales (in USD)]])</f>
        <v>2087.0100000000002</v>
      </c>
      <c r="Q1901" s="66">
        <f>SQRT(AVERAGE((Table22[[#This Row],[Net Sales (after discount) (in USD)]]-AVERAGE(Table22[Net Sales (after discount) (in USD)]))^2))</f>
        <v>34424.350563764536</v>
      </c>
      <c r="R1901" s="18" t="b">
        <v>0</v>
      </c>
      <c r="S1901" s="40">
        <v>12.69</v>
      </c>
      <c r="T1901" s="18" t="b">
        <v>0</v>
      </c>
      <c r="U1901" s="25">
        <v>45003</v>
      </c>
      <c r="V1901" s="63" t="str">
        <f>IF(MONTH(Table22[[#This Row],[Sales Date]])&lt;=3,"Q1",IF(MONTH(Table22[[#This Row],[Sales Date]])&lt;=6,"Q2",IF(MONTH(Table22[[#This Row],[Sales Date]])&lt;=9,"Q3","Q4")))</f>
        <v>Q1</v>
      </c>
      <c r="W1901" s="64">
        <f>YEAR(Table22[[#This Row],[Sales Date]])</f>
        <v>2023</v>
      </c>
      <c r="X1901" s="23">
        <v>54</v>
      </c>
      <c r="Y1901" s="18" t="s">
        <v>49</v>
      </c>
      <c r="Z1901" s="18" t="s">
        <v>42</v>
      </c>
      <c r="AA1901" s="19" t="s">
        <v>25</v>
      </c>
    </row>
    <row r="1902" spans="1:27" x14ac:dyDescent="0.25">
      <c r="A1902" s="17" t="s">
        <v>1721</v>
      </c>
      <c r="B1902" s="18" t="s">
        <v>66</v>
      </c>
      <c r="C1902" s="63" t="str" cm="1">
        <f t="array" ref="C1902">_xlfn.SWITCH(Table22[[#This Row],[Country]],"USA","North America","Canada","North America","Brazil","South America","China","Asia","Japan","Asia","India","Asia","France","Europe","Germany","Europe","UK","Europe","Australia","Oceania","South America")</f>
        <v>North America</v>
      </c>
      <c r="D1902" s="18" t="s">
        <v>28</v>
      </c>
      <c r="E1902" s="18" t="s">
        <v>39</v>
      </c>
      <c r="F1902" s="18" t="s">
        <v>64</v>
      </c>
      <c r="G1902" s="18" t="s">
        <v>22</v>
      </c>
      <c r="H1902" s="64">
        <f>LEN(TRIM(Table22[[#This Row],[Country]]))</f>
        <v>6</v>
      </c>
      <c r="I1902" s="64">
        <f>LEN(TRIM(Table22[[#This Row],[Continent]]))</f>
        <v>13</v>
      </c>
      <c r="J1902" s="64">
        <f>LEN(TRIM(Table22[[#This Row],[Product]]))</f>
        <v>10</v>
      </c>
      <c r="K1902" s="64">
        <f>LEN(TRIM(Table22[[#This Row],[Sales Team]]))</f>
        <v>10</v>
      </c>
      <c r="L1902" s="23">
        <v>38</v>
      </c>
      <c r="M1902" s="65" t="str" cm="1">
        <f t="array" ref="M1902">_xlfn.IFS(Table22[[#This Row],[Units Sold]]&lt;40,"Critical",Table22[[#This Row],[Units Sold]]&lt;=50,"Poor",Table22[[#This Row],[Units Sold]]&lt;=60,"Low",Table22[[#This Row],[Units Sold]]&lt;=80,"Average",Table22[[#This Row],[Units Sold]]&lt;=90,"High",Table22[[#This Row],[Units Sold]]&lt;=95,"Excellent",Table22[[#This Row],[Units Sold]]&gt;95,"Outstanding")</f>
        <v>Critical</v>
      </c>
      <c r="N1902" s="29">
        <v>53.92</v>
      </c>
      <c r="O1902" s="29">
        <v>2048.96</v>
      </c>
      <c r="P1902" s="43">
        <f>IF(Table22[[#This Row],[Discount Applied]],Table22[[#This Row],[Total Sales (in USD)]]*(1-Table22[[#This Row],[Discount Percentage (%)]]/100),Table22[[#This Row],[Total Sales (in USD)]])</f>
        <v>2048.96</v>
      </c>
      <c r="Q1902" s="66">
        <f>SQRT(AVERAGE((Table22[[#This Row],[Net Sales (after discount) (in USD)]]-AVERAGE(Table22[Net Sales (after discount) (in USD)]))^2))</f>
        <v>34462.400563764539</v>
      </c>
      <c r="R1902" s="18" t="b">
        <v>0</v>
      </c>
      <c r="S1902" s="40">
        <v>18.93</v>
      </c>
      <c r="T1902" s="18" t="b">
        <v>0</v>
      </c>
      <c r="U1902" s="25">
        <v>45308</v>
      </c>
      <c r="V1902" s="63" t="str">
        <f>IF(MONTH(Table22[[#This Row],[Sales Date]])&lt;=3,"Q1",IF(MONTH(Table22[[#This Row],[Sales Date]])&lt;=6,"Q2",IF(MONTH(Table22[[#This Row],[Sales Date]])&lt;=9,"Q3","Q4")))</f>
        <v>Q1</v>
      </c>
      <c r="W1902" s="64">
        <f>YEAR(Table22[[#This Row],[Sales Date]])</f>
        <v>2024</v>
      </c>
      <c r="X1902" s="23">
        <v>24</v>
      </c>
      <c r="Y1902" s="18" t="s">
        <v>41</v>
      </c>
      <c r="Z1902" s="18" t="s">
        <v>42</v>
      </c>
      <c r="AA1902" s="19" t="s">
        <v>25</v>
      </c>
    </row>
    <row r="1903" spans="1:27" x14ac:dyDescent="0.25">
      <c r="A1903" s="17" t="s">
        <v>1732</v>
      </c>
      <c r="B1903" s="18" t="s">
        <v>51</v>
      </c>
      <c r="C1903" s="63" t="str" cm="1">
        <f t="array" ref="C1903">_xlfn.SWITCH(Table22[[#This Row],[Country]],"USA","North America","Canada","North America","Brazil","South America","China","Asia","Japan","Asia","India","Asia","France","Europe","Germany","Europe","UK","Europe","Australia","Oceania","South America")</f>
        <v>Europe</v>
      </c>
      <c r="D1903" s="18" t="s">
        <v>44</v>
      </c>
      <c r="E1903" s="18" t="s">
        <v>33</v>
      </c>
      <c r="F1903" s="18" t="s">
        <v>52</v>
      </c>
      <c r="G1903" s="18" t="s">
        <v>22</v>
      </c>
      <c r="H1903" s="64">
        <f>LEN(TRIM(Table22[[#This Row],[Country]]))</f>
        <v>2</v>
      </c>
      <c r="I1903" s="64">
        <f>LEN(TRIM(Table22[[#This Row],[Continent]]))</f>
        <v>6</v>
      </c>
      <c r="J1903" s="64">
        <f>LEN(TRIM(Table22[[#This Row],[Product]]))</f>
        <v>10</v>
      </c>
      <c r="K1903" s="64">
        <f>LEN(TRIM(Table22[[#This Row],[Sales Team]]))</f>
        <v>10</v>
      </c>
      <c r="L1903" s="23">
        <v>13</v>
      </c>
      <c r="M1903" s="65" t="str" cm="1">
        <f t="array" ref="M1903">_xlfn.IFS(Table22[[#This Row],[Units Sold]]&lt;40,"Critical",Table22[[#This Row],[Units Sold]]&lt;=50,"Poor",Table22[[#This Row],[Units Sold]]&lt;=60,"Low",Table22[[#This Row],[Units Sold]]&lt;=80,"Average",Table22[[#This Row],[Units Sold]]&lt;=90,"High",Table22[[#This Row],[Units Sold]]&lt;=95,"Excellent",Table22[[#This Row],[Units Sold]]&gt;95,"Outstanding")</f>
        <v>Critical</v>
      </c>
      <c r="N1903" s="29">
        <v>157.46</v>
      </c>
      <c r="O1903" s="29">
        <v>2046.98</v>
      </c>
      <c r="P1903" s="43">
        <f>IF(Table22[[#This Row],[Discount Applied]],Table22[[#This Row],[Total Sales (in USD)]]*(1-Table22[[#This Row],[Discount Percentage (%)]]/100),Table22[[#This Row],[Total Sales (in USD)]])</f>
        <v>2046.98</v>
      </c>
      <c r="Q1903" s="66">
        <f>SQRT(AVERAGE((Table22[[#This Row],[Net Sales (after discount) (in USD)]]-AVERAGE(Table22[Net Sales (after discount) (in USD)]))^2))</f>
        <v>34464.380563764535</v>
      </c>
      <c r="R1903" s="18" t="b">
        <v>1</v>
      </c>
      <c r="S1903" s="40">
        <v>17.149999999999999</v>
      </c>
      <c r="T1903" s="18" t="b">
        <v>0</v>
      </c>
      <c r="U1903" s="25">
        <v>45257</v>
      </c>
      <c r="V1903" s="63" t="str">
        <f>IF(MONTH(Table22[[#This Row],[Sales Date]])&lt;=3,"Q1",IF(MONTH(Table22[[#This Row],[Sales Date]])&lt;=6,"Q2",IF(MONTH(Table22[[#This Row],[Sales Date]])&lt;=9,"Q3","Q4")))</f>
        <v>Q4</v>
      </c>
      <c r="W1903" s="64">
        <f>YEAR(Table22[[#This Row],[Sales Date]])</f>
        <v>2023</v>
      </c>
      <c r="X1903" s="23">
        <v>18</v>
      </c>
      <c r="Y1903" s="18" t="s">
        <v>49</v>
      </c>
      <c r="Z1903" s="18" t="s">
        <v>24</v>
      </c>
      <c r="AA1903" s="19" t="s">
        <v>25</v>
      </c>
    </row>
    <row r="1904" spans="1:27" x14ac:dyDescent="0.25">
      <c r="A1904" s="17" t="s">
        <v>1910</v>
      </c>
      <c r="B1904" s="18" t="s">
        <v>66</v>
      </c>
      <c r="C1904" s="63" t="str" cm="1">
        <f t="array" ref="C1904">_xlfn.SWITCH(Table22[[#This Row],[Country]],"USA","North America","Canada","North America","Brazil","South America","China","Asia","Japan","Asia","India","Asia","France","Europe","Germany","Europe","UK","Europe","Australia","Oceania","South America")</f>
        <v>North America</v>
      </c>
      <c r="D1904" s="18" t="s">
        <v>21</v>
      </c>
      <c r="E1904" s="18" t="s">
        <v>19</v>
      </c>
      <c r="F1904" s="18" t="s">
        <v>52</v>
      </c>
      <c r="G1904" s="18" t="s">
        <v>48</v>
      </c>
      <c r="H1904" s="64">
        <f>LEN(TRIM(Table22[[#This Row],[Country]]))</f>
        <v>6</v>
      </c>
      <c r="I1904" s="64">
        <f>LEN(TRIM(Table22[[#This Row],[Continent]]))</f>
        <v>13</v>
      </c>
      <c r="J1904" s="64">
        <f>LEN(TRIM(Table22[[#This Row],[Product]]))</f>
        <v>6</v>
      </c>
      <c r="K1904" s="64">
        <f>LEN(TRIM(Table22[[#This Row],[Sales Team]]))</f>
        <v>9</v>
      </c>
      <c r="L1904" s="23">
        <v>8</v>
      </c>
      <c r="M1904" s="65" t="str" cm="1">
        <f t="array" ref="M1904">_xlfn.IFS(Table22[[#This Row],[Units Sold]]&lt;40,"Critical",Table22[[#This Row],[Units Sold]]&lt;=50,"Poor",Table22[[#This Row],[Units Sold]]&lt;=60,"Low",Table22[[#This Row],[Units Sold]]&lt;=80,"Average",Table22[[#This Row],[Units Sold]]&lt;=90,"High",Table22[[#This Row],[Units Sold]]&lt;=95,"Excellent",Table22[[#This Row],[Units Sold]]&gt;95,"Outstanding")</f>
        <v>Critical</v>
      </c>
      <c r="N1904" s="29">
        <v>254.13</v>
      </c>
      <c r="O1904" s="29">
        <v>2033.04</v>
      </c>
      <c r="P1904" s="43">
        <f>IF(Table22[[#This Row],[Discount Applied]],Table22[[#This Row],[Total Sales (in USD)]]*(1-Table22[[#This Row],[Discount Percentage (%)]]/100),Table22[[#This Row],[Total Sales (in USD)]])</f>
        <v>2033.04</v>
      </c>
      <c r="Q1904" s="66">
        <f>SQRT(AVERAGE((Table22[[#This Row],[Net Sales (after discount) (in USD)]]-AVERAGE(Table22[Net Sales (after discount) (in USD)]))^2))</f>
        <v>34478.320563764537</v>
      </c>
      <c r="R1904" s="18" t="b">
        <v>0</v>
      </c>
      <c r="S1904" s="40">
        <v>17.98</v>
      </c>
      <c r="T1904" s="18" t="b">
        <v>0</v>
      </c>
      <c r="U1904" s="25">
        <v>44970</v>
      </c>
      <c r="V1904" s="63" t="str">
        <f>IF(MONTH(Table22[[#This Row],[Sales Date]])&lt;=3,"Q1",IF(MONTH(Table22[[#This Row],[Sales Date]])&lt;=6,"Q2",IF(MONTH(Table22[[#This Row],[Sales Date]])&lt;=9,"Q3","Q4")))</f>
        <v>Q1</v>
      </c>
      <c r="W1904" s="64">
        <f>YEAR(Table22[[#This Row],[Sales Date]])</f>
        <v>2023</v>
      </c>
      <c r="X1904" s="23">
        <v>38</v>
      </c>
      <c r="Y1904" s="18" t="s">
        <v>41</v>
      </c>
      <c r="Z1904" s="18" t="s">
        <v>24</v>
      </c>
      <c r="AA1904" s="19" t="s">
        <v>25</v>
      </c>
    </row>
    <row r="1905" spans="1:27" x14ac:dyDescent="0.25">
      <c r="A1905" s="17" t="s">
        <v>986</v>
      </c>
      <c r="B1905" s="18" t="s">
        <v>18</v>
      </c>
      <c r="C1905" s="63" t="str" cm="1">
        <f t="array" ref="C1905">_xlfn.SWITCH(Table22[[#This Row],[Country]],"USA","North America","Canada","North America","Brazil","South America","China","Asia","Japan","Asia","India","Asia","France","Europe","Germany","Europe","UK","Europe","Australia","Oceania","South America")</f>
        <v>Asia</v>
      </c>
      <c r="D1905" s="18" t="s">
        <v>35</v>
      </c>
      <c r="E1905" s="18" t="s">
        <v>39</v>
      </c>
      <c r="F1905" s="18" t="s">
        <v>47</v>
      </c>
      <c r="G1905" s="18" t="s">
        <v>29</v>
      </c>
      <c r="H1905" s="64">
        <f>LEN(TRIM(Table22[[#This Row],[Country]]))</f>
        <v>5</v>
      </c>
      <c r="I1905" s="64">
        <f>LEN(TRIM(Table22[[#This Row],[Continent]]))</f>
        <v>4</v>
      </c>
      <c r="J1905" s="64">
        <f>LEN(TRIM(Table22[[#This Row],[Product]]))</f>
        <v>10</v>
      </c>
      <c r="K1905" s="64">
        <f>LEN(TRIM(Table22[[#This Row],[Sales Team]]))</f>
        <v>10</v>
      </c>
      <c r="L1905" s="23">
        <v>6</v>
      </c>
      <c r="M1905" s="65" t="str" cm="1">
        <f t="array" ref="M1905">_xlfn.IFS(Table22[[#This Row],[Units Sold]]&lt;40,"Critical",Table22[[#This Row],[Units Sold]]&lt;=50,"Poor",Table22[[#This Row],[Units Sold]]&lt;=60,"Low",Table22[[#This Row],[Units Sold]]&lt;=80,"Average",Table22[[#This Row],[Units Sold]]&lt;=90,"High",Table22[[#This Row],[Units Sold]]&lt;=95,"Excellent",Table22[[#This Row],[Units Sold]]&gt;95,"Outstanding")</f>
        <v>Critical</v>
      </c>
      <c r="N1905" s="29">
        <v>335.55</v>
      </c>
      <c r="O1905" s="29">
        <v>2013.3</v>
      </c>
      <c r="P1905" s="43">
        <f>IF(Table22[[#This Row],[Discount Applied]],Table22[[#This Row],[Total Sales (in USD)]]*(1-Table22[[#This Row],[Discount Percentage (%)]]/100),Table22[[#This Row],[Total Sales (in USD)]])</f>
        <v>2013.3</v>
      </c>
      <c r="Q1905" s="66">
        <f>SQRT(AVERAGE((Table22[[#This Row],[Net Sales (after discount) (in USD)]]-AVERAGE(Table22[Net Sales (after discount) (in USD)]))^2))</f>
        <v>34498.060563764535</v>
      </c>
      <c r="R1905" s="18" t="b">
        <v>1</v>
      </c>
      <c r="S1905" s="40">
        <v>26.2</v>
      </c>
      <c r="T1905" s="18" t="b">
        <v>0</v>
      </c>
      <c r="U1905" s="25">
        <v>45394</v>
      </c>
      <c r="V1905" s="63" t="str">
        <f>IF(MONTH(Table22[[#This Row],[Sales Date]])&lt;=3,"Q1",IF(MONTH(Table22[[#This Row],[Sales Date]])&lt;=6,"Q2",IF(MONTH(Table22[[#This Row],[Sales Date]])&lt;=9,"Q3","Q4")))</f>
        <v>Q2</v>
      </c>
      <c r="W1905" s="64">
        <f>YEAR(Table22[[#This Row],[Sales Date]])</f>
        <v>2024</v>
      </c>
      <c r="X1905" s="23">
        <v>30</v>
      </c>
      <c r="Y1905" s="18" t="s">
        <v>49</v>
      </c>
      <c r="Z1905" s="18" t="s">
        <v>30</v>
      </c>
      <c r="AA1905" s="19" t="s">
        <v>36</v>
      </c>
    </row>
    <row r="1906" spans="1:27" x14ac:dyDescent="0.25">
      <c r="A1906" s="17" t="s">
        <v>498</v>
      </c>
      <c r="B1906" s="18" t="s">
        <v>51</v>
      </c>
      <c r="C1906" s="63" t="str" cm="1">
        <f t="array" ref="C1906">_xlfn.SWITCH(Table22[[#This Row],[Country]],"USA","North America","Canada","North America","Brazil","South America","China","Asia","Japan","Asia","India","Asia","France","Europe","Germany","Europe","UK","Europe","Australia","Oceania","South America")</f>
        <v>Europe</v>
      </c>
      <c r="D1906" s="18" t="s">
        <v>35</v>
      </c>
      <c r="E1906" s="18" t="s">
        <v>33</v>
      </c>
      <c r="F1906" s="18" t="s">
        <v>20</v>
      </c>
      <c r="G1906" s="18" t="s">
        <v>40</v>
      </c>
      <c r="H1906" s="64">
        <f>LEN(TRIM(Table22[[#This Row],[Country]]))</f>
        <v>2</v>
      </c>
      <c r="I1906" s="64">
        <f>LEN(TRIM(Table22[[#This Row],[Continent]]))</f>
        <v>6</v>
      </c>
      <c r="J1906" s="64">
        <f>LEN(TRIM(Table22[[#This Row],[Product]]))</f>
        <v>10</v>
      </c>
      <c r="K1906" s="64">
        <f>LEN(TRIM(Table22[[#This Row],[Sales Team]]))</f>
        <v>10</v>
      </c>
      <c r="L1906" s="23">
        <v>20</v>
      </c>
      <c r="M1906" s="65" t="str" cm="1">
        <f t="array" ref="M1906">_xlfn.IFS(Table22[[#This Row],[Units Sold]]&lt;40,"Critical",Table22[[#This Row],[Units Sold]]&lt;=50,"Poor",Table22[[#This Row],[Units Sold]]&lt;=60,"Low",Table22[[#This Row],[Units Sold]]&lt;=80,"Average",Table22[[#This Row],[Units Sold]]&lt;=90,"High",Table22[[#This Row],[Units Sold]]&lt;=95,"Excellent",Table22[[#This Row],[Units Sold]]&gt;95,"Outstanding")</f>
        <v>Critical</v>
      </c>
      <c r="N1906" s="29">
        <v>100.37</v>
      </c>
      <c r="O1906" s="29">
        <v>2007.4</v>
      </c>
      <c r="P1906" s="43">
        <f>IF(Table22[[#This Row],[Discount Applied]],Table22[[#This Row],[Total Sales (in USD)]]*(1-Table22[[#This Row],[Discount Percentage (%)]]/100),Table22[[#This Row],[Total Sales (in USD)]])</f>
        <v>1578.0171400000002</v>
      </c>
      <c r="Q1906" s="66">
        <f>SQRT(AVERAGE((Table22[[#This Row],[Net Sales (after discount) (in USD)]]-AVERAGE(Table22[Net Sales (after discount) (in USD)]))^2))</f>
        <v>34933.343423764534</v>
      </c>
      <c r="R1906" s="18" t="b">
        <v>0</v>
      </c>
      <c r="S1906" s="40">
        <v>21.39</v>
      </c>
      <c r="T1906" s="18" t="b">
        <v>1</v>
      </c>
      <c r="U1906" s="25">
        <v>45383</v>
      </c>
      <c r="V1906" s="63" t="str">
        <f>IF(MONTH(Table22[[#This Row],[Sales Date]])&lt;=3,"Q1",IF(MONTH(Table22[[#This Row],[Sales Date]])&lt;=6,"Q2",IF(MONTH(Table22[[#This Row],[Sales Date]])&lt;=9,"Q3","Q4")))</f>
        <v>Q2</v>
      </c>
      <c r="W1906" s="64">
        <f>YEAR(Table22[[#This Row],[Sales Date]])</f>
        <v>2024</v>
      </c>
      <c r="X1906" s="23">
        <v>33</v>
      </c>
      <c r="Y1906" s="18" t="s">
        <v>49</v>
      </c>
      <c r="Z1906" s="18" t="s">
        <v>42</v>
      </c>
      <c r="AA1906" s="19" t="s">
        <v>25</v>
      </c>
    </row>
    <row r="1907" spans="1:27" x14ac:dyDescent="0.25">
      <c r="A1907" s="17" t="s">
        <v>674</v>
      </c>
      <c r="B1907" s="18" t="s">
        <v>72</v>
      </c>
      <c r="C1907" s="63" t="str" cm="1">
        <f t="array" ref="C1907">_xlfn.SWITCH(Table22[[#This Row],[Country]],"USA","North America","Canada","North America","Brazil","South America","China","Asia","Japan","Asia","India","Asia","France","Europe","Germany","Europe","UK","Europe","Australia","Oceania","South America")</f>
        <v>North America</v>
      </c>
      <c r="D1907" s="18" t="s">
        <v>35</v>
      </c>
      <c r="E1907" s="18" t="s">
        <v>33</v>
      </c>
      <c r="F1907" s="18" t="s">
        <v>64</v>
      </c>
      <c r="G1907" s="18" t="s">
        <v>48</v>
      </c>
      <c r="H1907" s="64">
        <f>LEN(TRIM(Table22[[#This Row],[Country]]))</f>
        <v>3</v>
      </c>
      <c r="I1907" s="64">
        <f>LEN(TRIM(Table22[[#This Row],[Continent]]))</f>
        <v>13</v>
      </c>
      <c r="J1907" s="64">
        <f>LEN(TRIM(Table22[[#This Row],[Product]]))</f>
        <v>10</v>
      </c>
      <c r="K1907" s="64">
        <f>LEN(TRIM(Table22[[#This Row],[Sales Team]]))</f>
        <v>9</v>
      </c>
      <c r="L1907" s="23">
        <v>13</v>
      </c>
      <c r="M1907" s="65" t="str" cm="1">
        <f t="array" ref="M1907">_xlfn.IFS(Table22[[#This Row],[Units Sold]]&lt;40,"Critical",Table22[[#This Row],[Units Sold]]&lt;=50,"Poor",Table22[[#This Row],[Units Sold]]&lt;=60,"Low",Table22[[#This Row],[Units Sold]]&lt;=80,"Average",Table22[[#This Row],[Units Sold]]&lt;=90,"High",Table22[[#This Row],[Units Sold]]&lt;=95,"Excellent",Table22[[#This Row],[Units Sold]]&gt;95,"Outstanding")</f>
        <v>Critical</v>
      </c>
      <c r="N1907" s="29">
        <v>154.13</v>
      </c>
      <c r="O1907" s="29">
        <v>2003.69</v>
      </c>
      <c r="P1907" s="43">
        <f>IF(Table22[[#This Row],[Discount Applied]],Table22[[#This Row],[Total Sales (in USD)]]*(1-Table22[[#This Row],[Discount Percentage (%)]]/100),Table22[[#This Row],[Total Sales (in USD)]])</f>
        <v>2003.69</v>
      </c>
      <c r="Q1907" s="66">
        <f>SQRT(AVERAGE((Table22[[#This Row],[Net Sales (after discount) (in USD)]]-AVERAGE(Table22[Net Sales (after discount) (in USD)]))^2))</f>
        <v>34507.670563764535</v>
      </c>
      <c r="R1907" s="18" t="b">
        <v>0</v>
      </c>
      <c r="S1907" s="40">
        <v>23.95</v>
      </c>
      <c r="T1907" s="18" t="b">
        <v>0</v>
      </c>
      <c r="U1907" s="25">
        <v>45264</v>
      </c>
      <c r="V1907" s="63" t="str">
        <f>IF(MONTH(Table22[[#This Row],[Sales Date]])&lt;=3,"Q1",IF(MONTH(Table22[[#This Row],[Sales Date]])&lt;=6,"Q2",IF(MONTH(Table22[[#This Row],[Sales Date]])&lt;=9,"Q3","Q4")))</f>
        <v>Q4</v>
      </c>
      <c r="W1907" s="64">
        <f>YEAR(Table22[[#This Row],[Sales Date]])</f>
        <v>2023</v>
      </c>
      <c r="X1907" s="23">
        <v>62</v>
      </c>
      <c r="Y1907" s="18" t="s">
        <v>41</v>
      </c>
      <c r="Z1907" s="18" t="s">
        <v>56</v>
      </c>
      <c r="AA1907" s="19" t="s">
        <v>36</v>
      </c>
    </row>
    <row r="1908" spans="1:27" x14ac:dyDescent="0.25">
      <c r="A1908" s="17" t="s">
        <v>463</v>
      </c>
      <c r="B1908" s="18" t="s">
        <v>76</v>
      </c>
      <c r="C1908" s="63" t="str" cm="1">
        <f t="array" ref="C1908">_xlfn.SWITCH(Table22[[#This Row],[Country]],"USA","North America","Canada","North America","Brazil","South America","China","Asia","Japan","Asia","India","Asia","France","Europe","Germany","Europe","UK","Europe","Australia","Oceania","South America")</f>
        <v>Asia</v>
      </c>
      <c r="D1908" s="18" t="s">
        <v>35</v>
      </c>
      <c r="E1908" s="18" t="s">
        <v>19</v>
      </c>
      <c r="F1908" s="18" t="s">
        <v>20</v>
      </c>
      <c r="G1908" s="18" t="s">
        <v>48</v>
      </c>
      <c r="H1908" s="64">
        <f>LEN(TRIM(Table22[[#This Row],[Country]]))</f>
        <v>5</v>
      </c>
      <c r="I1908" s="64">
        <f>LEN(TRIM(Table22[[#This Row],[Continent]]))</f>
        <v>4</v>
      </c>
      <c r="J1908" s="64">
        <f>LEN(TRIM(Table22[[#This Row],[Product]]))</f>
        <v>6</v>
      </c>
      <c r="K1908" s="64">
        <f>LEN(TRIM(Table22[[#This Row],[Sales Team]]))</f>
        <v>9</v>
      </c>
      <c r="L1908" s="23">
        <v>3</v>
      </c>
      <c r="M1908" s="65" t="str" cm="1">
        <f t="array" ref="M1908">_xlfn.IFS(Table22[[#This Row],[Units Sold]]&lt;40,"Critical",Table22[[#This Row],[Units Sold]]&lt;=50,"Poor",Table22[[#This Row],[Units Sold]]&lt;=60,"Low",Table22[[#This Row],[Units Sold]]&lt;=80,"Average",Table22[[#This Row],[Units Sold]]&lt;=90,"High",Table22[[#This Row],[Units Sold]]&lt;=95,"Excellent",Table22[[#This Row],[Units Sold]]&gt;95,"Outstanding")</f>
        <v>Critical</v>
      </c>
      <c r="N1908" s="29">
        <v>663.91</v>
      </c>
      <c r="O1908" s="29">
        <v>1991.73</v>
      </c>
      <c r="P1908" s="43">
        <f>IF(Table22[[#This Row],[Discount Applied]],Table22[[#This Row],[Total Sales (in USD)]]*(1-Table22[[#This Row],[Discount Percentage (%)]]/100),Table22[[#This Row],[Total Sales (in USD)]])</f>
        <v>1991.73</v>
      </c>
      <c r="Q1908" s="66">
        <f>SQRT(AVERAGE((Table22[[#This Row],[Net Sales (after discount) (in USD)]]-AVERAGE(Table22[Net Sales (after discount) (in USD)]))^2))</f>
        <v>34519.630563764535</v>
      </c>
      <c r="R1908" s="18" t="b">
        <v>0</v>
      </c>
      <c r="S1908" s="40">
        <v>29.23</v>
      </c>
      <c r="T1908" s="18" t="b">
        <v>0</v>
      </c>
      <c r="U1908" s="25">
        <v>45062</v>
      </c>
      <c r="V1908" s="63" t="str">
        <f>IF(MONTH(Table22[[#This Row],[Sales Date]])&lt;=3,"Q1",IF(MONTH(Table22[[#This Row],[Sales Date]])&lt;=6,"Q2",IF(MONTH(Table22[[#This Row],[Sales Date]])&lt;=9,"Q3","Q4")))</f>
        <v>Q2</v>
      </c>
      <c r="W1908" s="64">
        <f>YEAR(Table22[[#This Row],[Sales Date]])</f>
        <v>2023</v>
      </c>
      <c r="X1908" s="23">
        <v>45</v>
      </c>
      <c r="Y1908" s="18" t="s">
        <v>49</v>
      </c>
      <c r="Z1908" s="18" t="s">
        <v>56</v>
      </c>
      <c r="AA1908" s="19" t="s">
        <v>36</v>
      </c>
    </row>
    <row r="1909" spans="1:27" x14ac:dyDescent="0.25">
      <c r="A1909" s="17" t="s">
        <v>1992</v>
      </c>
      <c r="B1909" s="18" t="s">
        <v>18</v>
      </c>
      <c r="C1909" s="63" t="str" cm="1">
        <f t="array" ref="C1909">_xlfn.SWITCH(Table22[[#This Row],[Country]],"USA","North America","Canada","North America","Brazil","South America","China","Asia","Japan","Asia","India","Asia","France","Europe","Germany","Europe","UK","Europe","Australia","Oceania","South America")</f>
        <v>Asia</v>
      </c>
      <c r="D1909" s="18" t="s">
        <v>35</v>
      </c>
      <c r="E1909" s="18" t="s">
        <v>19</v>
      </c>
      <c r="F1909" s="18" t="s">
        <v>20</v>
      </c>
      <c r="G1909" s="18" t="s">
        <v>29</v>
      </c>
      <c r="H1909" s="64">
        <f>LEN(TRIM(Table22[[#This Row],[Country]]))</f>
        <v>5</v>
      </c>
      <c r="I1909" s="64">
        <f>LEN(TRIM(Table22[[#This Row],[Continent]]))</f>
        <v>4</v>
      </c>
      <c r="J1909" s="64">
        <f>LEN(TRIM(Table22[[#This Row],[Product]]))</f>
        <v>6</v>
      </c>
      <c r="K1909" s="64">
        <f>LEN(TRIM(Table22[[#This Row],[Sales Team]]))</f>
        <v>10</v>
      </c>
      <c r="L1909" s="23">
        <v>13</v>
      </c>
      <c r="M1909" s="65" t="str" cm="1">
        <f t="array" ref="M1909">_xlfn.IFS(Table22[[#This Row],[Units Sold]]&lt;40,"Critical",Table22[[#This Row],[Units Sold]]&lt;=50,"Poor",Table22[[#This Row],[Units Sold]]&lt;=60,"Low",Table22[[#This Row],[Units Sold]]&lt;=80,"Average",Table22[[#This Row],[Units Sold]]&lt;=90,"High",Table22[[#This Row],[Units Sold]]&lt;=95,"Excellent",Table22[[#This Row],[Units Sold]]&gt;95,"Outstanding")</f>
        <v>Critical</v>
      </c>
      <c r="N1909" s="29">
        <v>151.34</v>
      </c>
      <c r="O1909" s="29">
        <v>1967.42</v>
      </c>
      <c r="P1909" s="43">
        <f>IF(Table22[[#This Row],[Discount Applied]],Table22[[#This Row],[Total Sales (in USD)]]*(1-Table22[[#This Row],[Discount Percentage (%)]]/100),Table22[[#This Row],[Total Sales (in USD)]])</f>
        <v>1875.1480019999999</v>
      </c>
      <c r="Q1909" s="66">
        <f>SQRT(AVERAGE((Table22[[#This Row],[Net Sales (after discount) (in USD)]]-AVERAGE(Table22[Net Sales (after discount) (in USD)]))^2))</f>
        <v>34636.212561764536</v>
      </c>
      <c r="R1909" s="18" t="b">
        <v>1</v>
      </c>
      <c r="S1909" s="40">
        <v>4.6900000000000004</v>
      </c>
      <c r="T1909" s="18" t="b">
        <v>1</v>
      </c>
      <c r="U1909" s="25">
        <v>44960</v>
      </c>
      <c r="V1909" s="63" t="str">
        <f>IF(MONTH(Table22[[#This Row],[Sales Date]])&lt;=3,"Q1",IF(MONTH(Table22[[#This Row],[Sales Date]])&lt;=6,"Q2",IF(MONTH(Table22[[#This Row],[Sales Date]])&lt;=9,"Q3","Q4")))</f>
        <v>Q1</v>
      </c>
      <c r="W1909" s="64">
        <f>YEAR(Table22[[#This Row],[Sales Date]])</f>
        <v>2023</v>
      </c>
      <c r="X1909" s="23">
        <v>25</v>
      </c>
      <c r="Y1909" s="18" t="s">
        <v>41</v>
      </c>
      <c r="Z1909" s="18" t="s">
        <v>42</v>
      </c>
      <c r="AA1909" s="19" t="s">
        <v>25</v>
      </c>
    </row>
    <row r="1910" spans="1:27" x14ac:dyDescent="0.25">
      <c r="A1910" s="17" t="s">
        <v>1800</v>
      </c>
      <c r="B1910" s="18" t="s">
        <v>18</v>
      </c>
      <c r="C1910" s="63" t="str" cm="1">
        <f t="array" ref="C1910">_xlfn.SWITCH(Table22[[#This Row],[Country]],"USA","North America","Canada","North America","Brazil","South America","China","Asia","Japan","Asia","India","Asia","France","Europe","Germany","Europe","UK","Europe","Australia","Oceania","South America")</f>
        <v>Asia</v>
      </c>
      <c r="D1910" s="18" t="s">
        <v>21</v>
      </c>
      <c r="E1910" s="18" t="s">
        <v>19</v>
      </c>
      <c r="F1910" s="18" t="s">
        <v>47</v>
      </c>
      <c r="G1910" s="18" t="s">
        <v>29</v>
      </c>
      <c r="H1910" s="64">
        <f>LEN(TRIM(Table22[[#This Row],[Country]]))</f>
        <v>5</v>
      </c>
      <c r="I1910" s="64">
        <f>LEN(TRIM(Table22[[#This Row],[Continent]]))</f>
        <v>4</v>
      </c>
      <c r="J1910" s="64">
        <f>LEN(TRIM(Table22[[#This Row],[Product]]))</f>
        <v>6</v>
      </c>
      <c r="K1910" s="64">
        <f>LEN(TRIM(Table22[[#This Row],[Sales Team]]))</f>
        <v>10</v>
      </c>
      <c r="L1910" s="23">
        <v>30</v>
      </c>
      <c r="M1910" s="65" t="str" cm="1">
        <f t="array" ref="M1910">_xlfn.IFS(Table22[[#This Row],[Units Sold]]&lt;40,"Critical",Table22[[#This Row],[Units Sold]]&lt;=50,"Poor",Table22[[#This Row],[Units Sold]]&lt;=60,"Low",Table22[[#This Row],[Units Sold]]&lt;=80,"Average",Table22[[#This Row],[Units Sold]]&lt;=90,"High",Table22[[#This Row],[Units Sold]]&lt;=95,"Excellent",Table22[[#This Row],[Units Sold]]&gt;95,"Outstanding")</f>
        <v>Critical</v>
      </c>
      <c r="N1910" s="29">
        <v>65.5</v>
      </c>
      <c r="O1910" s="29">
        <v>1965</v>
      </c>
      <c r="P1910" s="43">
        <f>IF(Table22[[#This Row],[Discount Applied]],Table22[[#This Row],[Total Sales (in USD)]]*(1-Table22[[#This Row],[Discount Percentage (%)]]/100),Table22[[#This Row],[Total Sales (in USD)]])</f>
        <v>1965</v>
      </c>
      <c r="Q1910" s="66">
        <f>SQRT(AVERAGE((Table22[[#This Row],[Net Sales (after discount) (in USD)]]-AVERAGE(Table22[Net Sales (after discount) (in USD)]))^2))</f>
        <v>34546.360563764538</v>
      </c>
      <c r="R1910" s="18" t="b">
        <v>0</v>
      </c>
      <c r="S1910" s="40">
        <v>11.85</v>
      </c>
      <c r="T1910" s="18" t="b">
        <v>0</v>
      </c>
      <c r="U1910" s="25">
        <v>45260</v>
      </c>
      <c r="V1910" s="63" t="str">
        <f>IF(MONTH(Table22[[#This Row],[Sales Date]])&lt;=3,"Q1",IF(MONTH(Table22[[#This Row],[Sales Date]])&lt;=6,"Q2",IF(MONTH(Table22[[#This Row],[Sales Date]])&lt;=9,"Q3","Q4")))</f>
        <v>Q4</v>
      </c>
      <c r="W1910" s="64">
        <f>YEAR(Table22[[#This Row],[Sales Date]])</f>
        <v>2023</v>
      </c>
      <c r="X1910" s="23">
        <v>48</v>
      </c>
      <c r="Y1910" s="18" t="s">
        <v>41</v>
      </c>
      <c r="Z1910" s="18" t="s">
        <v>24</v>
      </c>
      <c r="AA1910" s="19" t="s">
        <v>25</v>
      </c>
    </row>
    <row r="1911" spans="1:27" x14ac:dyDescent="0.25">
      <c r="A1911" s="17" t="s">
        <v>783</v>
      </c>
      <c r="B1911" s="18" t="s">
        <v>66</v>
      </c>
      <c r="C1911" s="63" t="str" cm="1">
        <f t="array" ref="C1911">_xlfn.SWITCH(Table22[[#This Row],[Country]],"USA","North America","Canada","North America","Brazil","South America","China","Asia","Japan","Asia","India","Asia","France","Europe","Germany","Europe","UK","Europe","Australia","Oceania","South America")</f>
        <v>North America</v>
      </c>
      <c r="D1911" s="18" t="s">
        <v>35</v>
      </c>
      <c r="E1911" s="18" t="s">
        <v>39</v>
      </c>
      <c r="F1911" s="18" t="s">
        <v>47</v>
      </c>
      <c r="G1911" s="18" t="s">
        <v>29</v>
      </c>
      <c r="H1911" s="64">
        <f>LEN(TRIM(Table22[[#This Row],[Country]]))</f>
        <v>6</v>
      </c>
      <c r="I1911" s="64">
        <f>LEN(TRIM(Table22[[#This Row],[Continent]]))</f>
        <v>13</v>
      </c>
      <c r="J1911" s="64">
        <f>LEN(TRIM(Table22[[#This Row],[Product]]))</f>
        <v>10</v>
      </c>
      <c r="K1911" s="64">
        <f>LEN(TRIM(Table22[[#This Row],[Sales Team]]))</f>
        <v>10</v>
      </c>
      <c r="L1911" s="23">
        <v>9</v>
      </c>
      <c r="M1911" s="65" t="str" cm="1">
        <f t="array" ref="M1911">_xlfn.IFS(Table22[[#This Row],[Units Sold]]&lt;40,"Critical",Table22[[#This Row],[Units Sold]]&lt;=50,"Poor",Table22[[#This Row],[Units Sold]]&lt;=60,"Low",Table22[[#This Row],[Units Sold]]&lt;=80,"Average",Table22[[#This Row],[Units Sold]]&lt;=90,"High",Table22[[#This Row],[Units Sold]]&lt;=95,"Excellent",Table22[[#This Row],[Units Sold]]&gt;95,"Outstanding")</f>
        <v>Critical</v>
      </c>
      <c r="N1911" s="29">
        <v>217.5</v>
      </c>
      <c r="O1911" s="29">
        <v>1957.5</v>
      </c>
      <c r="P1911" s="43">
        <f>IF(Table22[[#This Row],[Discount Applied]],Table22[[#This Row],[Total Sales (in USD)]]*(1-Table22[[#This Row],[Discount Percentage (%)]]/100),Table22[[#This Row],[Total Sales (in USD)]])</f>
        <v>1957.5</v>
      </c>
      <c r="Q1911" s="66">
        <f>SQRT(AVERAGE((Table22[[#This Row],[Net Sales (after discount) (in USD)]]-AVERAGE(Table22[Net Sales (after discount) (in USD)]))^2))</f>
        <v>34553.860563764538</v>
      </c>
      <c r="R1911" s="18" t="b">
        <v>1</v>
      </c>
      <c r="S1911" s="40">
        <v>18.670000000000002</v>
      </c>
      <c r="T1911" s="18" t="b">
        <v>0</v>
      </c>
      <c r="U1911" s="25">
        <v>44941</v>
      </c>
      <c r="V1911" s="63" t="str">
        <f>IF(MONTH(Table22[[#This Row],[Sales Date]])&lt;=3,"Q1",IF(MONTH(Table22[[#This Row],[Sales Date]])&lt;=6,"Q2",IF(MONTH(Table22[[#This Row],[Sales Date]])&lt;=9,"Q3","Q4")))</f>
        <v>Q1</v>
      </c>
      <c r="W1911" s="64">
        <f>YEAR(Table22[[#This Row],[Sales Date]])</f>
        <v>2023</v>
      </c>
      <c r="X1911" s="23">
        <v>30</v>
      </c>
      <c r="Y1911" s="18" t="s">
        <v>41</v>
      </c>
      <c r="Z1911" s="18" t="s">
        <v>30</v>
      </c>
      <c r="AA1911" s="19" t="s">
        <v>36</v>
      </c>
    </row>
    <row r="1912" spans="1:27" x14ac:dyDescent="0.25">
      <c r="A1912" s="17" t="s">
        <v>204</v>
      </c>
      <c r="B1912" s="18" t="s">
        <v>62</v>
      </c>
      <c r="C1912" s="63" t="str" cm="1">
        <f t="array" ref="C1912">_xlfn.SWITCH(Table22[[#This Row],[Country]],"USA","North America","Canada","North America","Brazil","South America","China","Asia","Japan","Asia","India","Asia","France","Europe","Germany","Europe","UK","Europe","Australia","Oceania","South America")</f>
        <v>Oceania</v>
      </c>
      <c r="D1912" s="18" t="s">
        <v>21</v>
      </c>
      <c r="E1912" s="18" t="s">
        <v>39</v>
      </c>
      <c r="F1912" s="18" t="s">
        <v>47</v>
      </c>
      <c r="G1912" s="18" t="s">
        <v>22</v>
      </c>
      <c r="H1912" s="64">
        <f>LEN(TRIM(Table22[[#This Row],[Country]]))</f>
        <v>9</v>
      </c>
      <c r="I1912" s="64">
        <f>LEN(TRIM(Table22[[#This Row],[Continent]]))</f>
        <v>7</v>
      </c>
      <c r="J1912" s="64">
        <f>LEN(TRIM(Table22[[#This Row],[Product]]))</f>
        <v>10</v>
      </c>
      <c r="K1912" s="64">
        <f>LEN(TRIM(Table22[[#This Row],[Sales Team]]))</f>
        <v>10</v>
      </c>
      <c r="L1912" s="23">
        <v>5</v>
      </c>
      <c r="M1912" s="65" t="str" cm="1">
        <f t="array" ref="M1912">_xlfn.IFS(Table22[[#This Row],[Units Sold]]&lt;40,"Critical",Table22[[#This Row],[Units Sold]]&lt;=50,"Poor",Table22[[#This Row],[Units Sold]]&lt;=60,"Low",Table22[[#This Row],[Units Sold]]&lt;=80,"Average",Table22[[#This Row],[Units Sold]]&lt;=90,"High",Table22[[#This Row],[Units Sold]]&lt;=95,"Excellent",Table22[[#This Row],[Units Sold]]&gt;95,"Outstanding")</f>
        <v>Critical</v>
      </c>
      <c r="N1912" s="29">
        <v>389.31</v>
      </c>
      <c r="O1912" s="29">
        <v>1946.55</v>
      </c>
      <c r="P1912" s="43">
        <f>IF(Table22[[#This Row],[Discount Applied]],Table22[[#This Row],[Total Sales (in USD)]]*(1-Table22[[#This Row],[Discount Percentage (%)]]/100),Table22[[#This Row],[Total Sales (in USD)]])</f>
        <v>1613.68995</v>
      </c>
      <c r="Q1912" s="66">
        <f>SQRT(AVERAGE((Table22[[#This Row],[Net Sales (after discount) (in USD)]]-AVERAGE(Table22[Net Sales (after discount) (in USD)]))^2))</f>
        <v>34897.670613764538</v>
      </c>
      <c r="R1912" s="18" t="b">
        <v>1</v>
      </c>
      <c r="S1912" s="40">
        <v>17.100000000000001</v>
      </c>
      <c r="T1912" s="18" t="b">
        <v>1</v>
      </c>
      <c r="U1912" s="25">
        <v>45397</v>
      </c>
      <c r="V1912" s="63" t="str">
        <f>IF(MONTH(Table22[[#This Row],[Sales Date]])&lt;=3,"Q1",IF(MONTH(Table22[[#This Row],[Sales Date]])&lt;=6,"Q2",IF(MONTH(Table22[[#This Row],[Sales Date]])&lt;=9,"Q3","Q4")))</f>
        <v>Q2</v>
      </c>
      <c r="W1912" s="64">
        <f>YEAR(Table22[[#This Row],[Sales Date]])</f>
        <v>2024</v>
      </c>
      <c r="X1912" s="23">
        <v>33</v>
      </c>
      <c r="Y1912" s="18" t="s">
        <v>49</v>
      </c>
      <c r="Z1912" s="18" t="s">
        <v>30</v>
      </c>
      <c r="AA1912" s="19" t="s">
        <v>25</v>
      </c>
    </row>
    <row r="1913" spans="1:27" x14ac:dyDescent="0.25">
      <c r="A1913" s="17" t="s">
        <v>1605</v>
      </c>
      <c r="B1913" s="18" t="s">
        <v>66</v>
      </c>
      <c r="C1913" s="63" t="str" cm="1">
        <f t="array" ref="C1913">_xlfn.SWITCH(Table22[[#This Row],[Country]],"USA","North America","Canada","North America","Brazil","South America","China","Asia","Japan","Asia","India","Asia","France","Europe","Germany","Europe","UK","Europe","Australia","Oceania","South America")</f>
        <v>North America</v>
      </c>
      <c r="D1913" s="18" t="s">
        <v>44</v>
      </c>
      <c r="E1913" s="18" t="s">
        <v>39</v>
      </c>
      <c r="F1913" s="18" t="s">
        <v>34</v>
      </c>
      <c r="G1913" s="18" t="s">
        <v>22</v>
      </c>
      <c r="H1913" s="64">
        <f>LEN(TRIM(Table22[[#This Row],[Country]]))</f>
        <v>6</v>
      </c>
      <c r="I1913" s="64">
        <f>LEN(TRIM(Table22[[#This Row],[Continent]]))</f>
        <v>13</v>
      </c>
      <c r="J1913" s="64">
        <f>LEN(TRIM(Table22[[#This Row],[Product]]))</f>
        <v>10</v>
      </c>
      <c r="K1913" s="64">
        <f>LEN(TRIM(Table22[[#This Row],[Sales Team]]))</f>
        <v>10</v>
      </c>
      <c r="L1913" s="23">
        <v>2</v>
      </c>
      <c r="M1913" s="65" t="str" cm="1">
        <f t="array" ref="M1913">_xlfn.IFS(Table22[[#This Row],[Units Sold]]&lt;40,"Critical",Table22[[#This Row],[Units Sold]]&lt;=50,"Poor",Table22[[#This Row],[Units Sold]]&lt;=60,"Low",Table22[[#This Row],[Units Sold]]&lt;=80,"Average",Table22[[#This Row],[Units Sold]]&lt;=90,"High",Table22[[#This Row],[Units Sold]]&lt;=95,"Excellent",Table22[[#This Row],[Units Sold]]&gt;95,"Outstanding")</f>
        <v>Critical</v>
      </c>
      <c r="N1913" s="29">
        <v>967.41</v>
      </c>
      <c r="O1913" s="29">
        <v>1934.82</v>
      </c>
      <c r="P1913" s="43">
        <f>IF(Table22[[#This Row],[Discount Applied]],Table22[[#This Row],[Total Sales (in USD)]]*(1-Table22[[#This Row],[Discount Percentage (%)]]/100),Table22[[#This Row],[Total Sales (in USD)]])</f>
        <v>1891.4800319999999</v>
      </c>
      <c r="Q1913" s="66">
        <f>SQRT(AVERAGE((Table22[[#This Row],[Net Sales (after discount) (in USD)]]-AVERAGE(Table22[Net Sales (after discount) (in USD)]))^2))</f>
        <v>34619.880531764538</v>
      </c>
      <c r="R1913" s="18" t="b">
        <v>0</v>
      </c>
      <c r="S1913" s="40">
        <v>2.2400000000000002</v>
      </c>
      <c r="T1913" s="18" t="b">
        <v>1</v>
      </c>
      <c r="U1913" s="25">
        <v>45573</v>
      </c>
      <c r="V1913" s="63" t="str">
        <f>IF(MONTH(Table22[[#This Row],[Sales Date]])&lt;=3,"Q1",IF(MONTH(Table22[[#This Row],[Sales Date]])&lt;=6,"Q2",IF(MONTH(Table22[[#This Row],[Sales Date]])&lt;=9,"Q3","Q4")))</f>
        <v>Q4</v>
      </c>
      <c r="W1913" s="64">
        <f>YEAR(Table22[[#This Row],[Sales Date]])</f>
        <v>2024</v>
      </c>
      <c r="X1913" s="23">
        <v>25</v>
      </c>
      <c r="Y1913" s="18" t="s">
        <v>49</v>
      </c>
      <c r="Z1913" s="18" t="s">
        <v>24</v>
      </c>
      <c r="AA1913" s="19" t="s">
        <v>36</v>
      </c>
    </row>
    <row r="1914" spans="1:27" x14ac:dyDescent="0.25">
      <c r="A1914" s="17" t="s">
        <v>205</v>
      </c>
      <c r="B1914" s="18" t="s">
        <v>32</v>
      </c>
      <c r="C1914" s="63" t="str" cm="1">
        <f t="array" ref="C1914">_xlfn.SWITCH(Table22[[#This Row],[Country]],"USA","North America","Canada","North America","Brazil","South America","China","Asia","Japan","Asia","India","Asia","France","Europe","Germany","Europe","UK","Europe","Australia","Oceania","South America")</f>
        <v>Asia</v>
      </c>
      <c r="D1914" s="18" t="s">
        <v>28</v>
      </c>
      <c r="E1914" s="18" t="s">
        <v>39</v>
      </c>
      <c r="F1914" s="18" t="s">
        <v>20</v>
      </c>
      <c r="G1914" s="18" t="s">
        <v>22</v>
      </c>
      <c r="H1914" s="64">
        <f>LEN(TRIM(Table22[[#This Row],[Country]]))</f>
        <v>5</v>
      </c>
      <c r="I1914" s="64">
        <f>LEN(TRIM(Table22[[#This Row],[Continent]]))</f>
        <v>4</v>
      </c>
      <c r="J1914" s="64">
        <f>LEN(TRIM(Table22[[#This Row],[Product]]))</f>
        <v>10</v>
      </c>
      <c r="K1914" s="64">
        <f>LEN(TRIM(Table22[[#This Row],[Sales Team]]))</f>
        <v>10</v>
      </c>
      <c r="L1914" s="23">
        <v>11</v>
      </c>
      <c r="M1914" s="65" t="str" cm="1">
        <f t="array" ref="M1914">_xlfn.IFS(Table22[[#This Row],[Units Sold]]&lt;40,"Critical",Table22[[#This Row],[Units Sold]]&lt;=50,"Poor",Table22[[#This Row],[Units Sold]]&lt;=60,"Low",Table22[[#This Row],[Units Sold]]&lt;=80,"Average",Table22[[#This Row],[Units Sold]]&lt;=90,"High",Table22[[#This Row],[Units Sold]]&lt;=95,"Excellent",Table22[[#This Row],[Units Sold]]&gt;95,"Outstanding")</f>
        <v>Critical</v>
      </c>
      <c r="N1914" s="29">
        <v>172.36</v>
      </c>
      <c r="O1914" s="29">
        <v>1895.96</v>
      </c>
      <c r="P1914" s="43">
        <f>IF(Table22[[#This Row],[Discount Applied]],Table22[[#This Row],[Total Sales (in USD)]]*(1-Table22[[#This Row],[Discount Percentage (%)]]/100),Table22[[#This Row],[Total Sales (in USD)]])</f>
        <v>1895.96</v>
      </c>
      <c r="Q1914" s="66">
        <f>SQRT(AVERAGE((Table22[[#This Row],[Net Sales (after discount) (in USD)]]-AVERAGE(Table22[Net Sales (after discount) (in USD)]))^2))</f>
        <v>34615.400563764539</v>
      </c>
      <c r="R1914" s="18" t="b">
        <v>1</v>
      </c>
      <c r="S1914" s="40">
        <v>18.170000000000002</v>
      </c>
      <c r="T1914" s="18" t="b">
        <v>0</v>
      </c>
      <c r="U1914" s="25">
        <v>45389</v>
      </c>
      <c r="V1914" s="63" t="str">
        <f>IF(MONTH(Table22[[#This Row],[Sales Date]])&lt;=3,"Q1",IF(MONTH(Table22[[#This Row],[Sales Date]])&lt;=6,"Q2",IF(MONTH(Table22[[#This Row],[Sales Date]])&lt;=9,"Q3","Q4")))</f>
        <v>Q2</v>
      </c>
      <c r="W1914" s="64">
        <f>YEAR(Table22[[#This Row],[Sales Date]])</f>
        <v>2024</v>
      </c>
      <c r="X1914" s="23">
        <v>23</v>
      </c>
      <c r="Y1914" s="18" t="s">
        <v>41</v>
      </c>
      <c r="Z1914" s="18" t="s">
        <v>56</v>
      </c>
      <c r="AA1914" s="19" t="s">
        <v>36</v>
      </c>
    </row>
    <row r="1915" spans="1:27" x14ac:dyDescent="0.25">
      <c r="A1915" s="17" t="s">
        <v>1629</v>
      </c>
      <c r="B1915" s="18" t="s">
        <v>27</v>
      </c>
      <c r="C1915" s="63" t="str" cm="1">
        <f t="array" ref="C1915">_xlfn.SWITCH(Table22[[#This Row],[Country]],"USA","North America","Canada","North America","Brazil","South America","China","Asia","Japan","Asia","India","Asia","France","Europe","Germany","Europe","UK","Europe","Australia","Oceania","South America")</f>
        <v>Europe</v>
      </c>
      <c r="D1915" s="18" t="s">
        <v>35</v>
      </c>
      <c r="E1915" s="18" t="s">
        <v>33</v>
      </c>
      <c r="F1915" s="18" t="s">
        <v>47</v>
      </c>
      <c r="G1915" s="18" t="s">
        <v>40</v>
      </c>
      <c r="H1915" s="64">
        <f>LEN(TRIM(Table22[[#This Row],[Country]]))</f>
        <v>7</v>
      </c>
      <c r="I1915" s="64">
        <f>LEN(TRIM(Table22[[#This Row],[Continent]]))</f>
        <v>6</v>
      </c>
      <c r="J1915" s="64">
        <f>LEN(TRIM(Table22[[#This Row],[Product]]))</f>
        <v>10</v>
      </c>
      <c r="K1915" s="64">
        <f>LEN(TRIM(Table22[[#This Row],[Sales Team]]))</f>
        <v>10</v>
      </c>
      <c r="L1915" s="23">
        <v>4</v>
      </c>
      <c r="M1915" s="65" t="str" cm="1">
        <f t="array" ref="M1915">_xlfn.IFS(Table22[[#This Row],[Units Sold]]&lt;40,"Critical",Table22[[#This Row],[Units Sold]]&lt;=50,"Poor",Table22[[#This Row],[Units Sold]]&lt;=60,"Low",Table22[[#This Row],[Units Sold]]&lt;=80,"Average",Table22[[#This Row],[Units Sold]]&lt;=90,"High",Table22[[#This Row],[Units Sold]]&lt;=95,"Excellent",Table22[[#This Row],[Units Sold]]&gt;95,"Outstanding")</f>
        <v>Critical</v>
      </c>
      <c r="N1915" s="29">
        <v>465.23</v>
      </c>
      <c r="O1915" s="29">
        <v>1860.92</v>
      </c>
      <c r="P1915" s="43">
        <f>IF(Table22[[#This Row],[Discount Applied]],Table22[[#This Row],[Total Sales (in USD)]]*(1-Table22[[#This Row],[Discount Percentage (%)]]/100),Table22[[#This Row],[Total Sales (in USD)]])</f>
        <v>1604.485224</v>
      </c>
      <c r="Q1915" s="66">
        <f>SQRT(AVERAGE((Table22[[#This Row],[Net Sales (after discount) (in USD)]]-AVERAGE(Table22[Net Sales (after discount) (in USD)]))^2))</f>
        <v>34906.875339764534</v>
      </c>
      <c r="R1915" s="18" t="b">
        <v>1</v>
      </c>
      <c r="S1915" s="40">
        <v>13.78</v>
      </c>
      <c r="T1915" s="18" t="b">
        <v>1</v>
      </c>
      <c r="U1915" s="25">
        <v>45086</v>
      </c>
      <c r="V1915" s="63" t="str">
        <f>IF(MONTH(Table22[[#This Row],[Sales Date]])&lt;=3,"Q1",IF(MONTH(Table22[[#This Row],[Sales Date]])&lt;=6,"Q2",IF(MONTH(Table22[[#This Row],[Sales Date]])&lt;=9,"Q3","Q4")))</f>
        <v>Q2</v>
      </c>
      <c r="W1915" s="64">
        <f>YEAR(Table22[[#This Row],[Sales Date]])</f>
        <v>2023</v>
      </c>
      <c r="X1915" s="23">
        <v>36</v>
      </c>
      <c r="Y1915" s="18" t="s">
        <v>23</v>
      </c>
      <c r="Z1915" s="18" t="s">
        <v>30</v>
      </c>
      <c r="AA1915" s="19" t="s">
        <v>25</v>
      </c>
    </row>
    <row r="1916" spans="1:27" x14ac:dyDescent="0.25">
      <c r="A1916" s="17" t="s">
        <v>1045</v>
      </c>
      <c r="B1916" s="18" t="s">
        <v>32</v>
      </c>
      <c r="C1916" s="63" t="str" cm="1">
        <f t="array" ref="C1916">_xlfn.SWITCH(Table22[[#This Row],[Country]],"USA","North America","Canada","North America","Brazil","South America","China","Asia","Japan","Asia","India","Asia","France","Europe","Germany","Europe","UK","Europe","Australia","Oceania","South America")</f>
        <v>Asia</v>
      </c>
      <c r="D1916" s="18" t="s">
        <v>35</v>
      </c>
      <c r="E1916" s="18" t="s">
        <v>33</v>
      </c>
      <c r="F1916" s="18" t="s">
        <v>64</v>
      </c>
      <c r="G1916" s="18" t="s">
        <v>22</v>
      </c>
      <c r="H1916" s="64">
        <f>LEN(TRIM(Table22[[#This Row],[Country]]))</f>
        <v>5</v>
      </c>
      <c r="I1916" s="64">
        <f>LEN(TRIM(Table22[[#This Row],[Continent]]))</f>
        <v>4</v>
      </c>
      <c r="J1916" s="64">
        <f>LEN(TRIM(Table22[[#This Row],[Product]]))</f>
        <v>10</v>
      </c>
      <c r="K1916" s="64">
        <f>LEN(TRIM(Table22[[#This Row],[Sales Team]]))</f>
        <v>10</v>
      </c>
      <c r="L1916" s="23">
        <v>2</v>
      </c>
      <c r="M1916" s="65" t="str" cm="1">
        <f t="array" ref="M1916">_xlfn.IFS(Table22[[#This Row],[Units Sold]]&lt;40,"Critical",Table22[[#This Row],[Units Sold]]&lt;=50,"Poor",Table22[[#This Row],[Units Sold]]&lt;=60,"Low",Table22[[#This Row],[Units Sold]]&lt;=80,"Average",Table22[[#This Row],[Units Sold]]&lt;=90,"High",Table22[[#This Row],[Units Sold]]&lt;=95,"Excellent",Table22[[#This Row],[Units Sold]]&gt;95,"Outstanding")</f>
        <v>Critical</v>
      </c>
      <c r="N1916" s="29">
        <v>927.75</v>
      </c>
      <c r="O1916" s="29">
        <v>1855.5</v>
      </c>
      <c r="P1916" s="43">
        <f>IF(Table22[[#This Row],[Discount Applied]],Table22[[#This Row],[Total Sales (in USD)]]*(1-Table22[[#This Row],[Discount Percentage (%)]]/100),Table22[[#This Row],[Total Sales (in USD)]])</f>
        <v>1828.9663500000001</v>
      </c>
      <c r="Q1916" s="66">
        <f>SQRT(AVERAGE((Table22[[#This Row],[Net Sales (after discount) (in USD)]]-AVERAGE(Table22[Net Sales (after discount) (in USD)]))^2))</f>
        <v>34682.394213764535</v>
      </c>
      <c r="R1916" s="18" t="b">
        <v>1</v>
      </c>
      <c r="S1916" s="40">
        <v>1.43</v>
      </c>
      <c r="T1916" s="18" t="b">
        <v>1</v>
      </c>
      <c r="U1916" s="25">
        <v>45105</v>
      </c>
      <c r="V1916" s="63" t="str">
        <f>IF(MONTH(Table22[[#This Row],[Sales Date]])&lt;=3,"Q1",IF(MONTH(Table22[[#This Row],[Sales Date]])&lt;=6,"Q2",IF(MONTH(Table22[[#This Row],[Sales Date]])&lt;=9,"Q3","Q4")))</f>
        <v>Q2</v>
      </c>
      <c r="W1916" s="64">
        <f>YEAR(Table22[[#This Row],[Sales Date]])</f>
        <v>2023</v>
      </c>
      <c r="X1916" s="23">
        <v>25</v>
      </c>
      <c r="Y1916" s="18" t="s">
        <v>23</v>
      </c>
      <c r="Z1916" s="18" t="s">
        <v>24</v>
      </c>
      <c r="AA1916" s="19" t="s">
        <v>36</v>
      </c>
    </row>
    <row r="1917" spans="1:27" x14ac:dyDescent="0.25">
      <c r="A1917" s="17" t="s">
        <v>778</v>
      </c>
      <c r="B1917" s="18" t="s">
        <v>32</v>
      </c>
      <c r="C1917" s="63" t="str" cm="1">
        <f t="array" ref="C1917">_xlfn.SWITCH(Table22[[#This Row],[Country]],"USA","North America","Canada","North America","Brazil","South America","China","Asia","Japan","Asia","India","Asia","France","Europe","Germany","Europe","UK","Europe","Australia","Oceania","South America")</f>
        <v>Asia</v>
      </c>
      <c r="D1917" s="18" t="s">
        <v>28</v>
      </c>
      <c r="E1917" s="18" t="s">
        <v>39</v>
      </c>
      <c r="F1917" s="18" t="s">
        <v>64</v>
      </c>
      <c r="G1917" s="18" t="s">
        <v>29</v>
      </c>
      <c r="H1917" s="64">
        <f>LEN(TRIM(Table22[[#This Row],[Country]]))</f>
        <v>5</v>
      </c>
      <c r="I1917" s="64">
        <f>LEN(TRIM(Table22[[#This Row],[Continent]]))</f>
        <v>4</v>
      </c>
      <c r="J1917" s="64">
        <f>LEN(TRIM(Table22[[#This Row],[Product]]))</f>
        <v>10</v>
      </c>
      <c r="K1917" s="64">
        <f>LEN(TRIM(Table22[[#This Row],[Sales Team]]))</f>
        <v>10</v>
      </c>
      <c r="L1917" s="23">
        <v>2</v>
      </c>
      <c r="M1917" s="65" t="str" cm="1">
        <f t="array" ref="M1917">_xlfn.IFS(Table22[[#This Row],[Units Sold]]&lt;40,"Critical",Table22[[#This Row],[Units Sold]]&lt;=50,"Poor",Table22[[#This Row],[Units Sold]]&lt;=60,"Low",Table22[[#This Row],[Units Sold]]&lt;=80,"Average",Table22[[#This Row],[Units Sold]]&lt;=90,"High",Table22[[#This Row],[Units Sold]]&lt;=95,"Excellent",Table22[[#This Row],[Units Sold]]&gt;95,"Outstanding")</f>
        <v>Critical</v>
      </c>
      <c r="N1917" s="29">
        <v>912.51</v>
      </c>
      <c r="O1917" s="29">
        <v>1825.02</v>
      </c>
      <c r="P1917" s="43">
        <f>IF(Table22[[#This Row],[Discount Applied]],Table22[[#This Row],[Total Sales (in USD)]]*(1-Table22[[#This Row],[Discount Percentage (%)]]/100),Table22[[#This Row],[Total Sales (in USD)]])</f>
        <v>1432.2756959999999</v>
      </c>
      <c r="Q1917" s="66">
        <f>SQRT(AVERAGE((Table22[[#This Row],[Net Sales (after discount) (in USD)]]-AVERAGE(Table22[Net Sales (after discount) (in USD)]))^2))</f>
        <v>35079.084867764541</v>
      </c>
      <c r="R1917" s="18" t="b">
        <v>1</v>
      </c>
      <c r="S1917" s="40">
        <v>21.52</v>
      </c>
      <c r="T1917" s="18" t="b">
        <v>1</v>
      </c>
      <c r="U1917" s="25">
        <v>45322</v>
      </c>
      <c r="V1917" s="63" t="str">
        <f>IF(MONTH(Table22[[#This Row],[Sales Date]])&lt;=3,"Q1",IF(MONTH(Table22[[#This Row],[Sales Date]])&lt;=6,"Q2",IF(MONTH(Table22[[#This Row],[Sales Date]])&lt;=9,"Q3","Q4")))</f>
        <v>Q1</v>
      </c>
      <c r="W1917" s="64">
        <f>YEAR(Table22[[#This Row],[Sales Date]])</f>
        <v>2024</v>
      </c>
      <c r="X1917" s="23">
        <v>44</v>
      </c>
      <c r="Y1917" s="18" t="s">
        <v>49</v>
      </c>
      <c r="Z1917" s="18" t="s">
        <v>42</v>
      </c>
      <c r="AA1917" s="19" t="s">
        <v>25</v>
      </c>
    </row>
    <row r="1918" spans="1:27" x14ac:dyDescent="0.25">
      <c r="A1918" s="17" t="s">
        <v>174</v>
      </c>
      <c r="B1918" s="18" t="s">
        <v>51</v>
      </c>
      <c r="C1918" s="63" t="str" cm="1">
        <f t="array" ref="C1918">_xlfn.SWITCH(Table22[[#This Row],[Country]],"USA","North America","Canada","North America","Brazil","South America","China","Asia","Japan","Asia","India","Asia","France","Europe","Germany","Europe","UK","Europe","Australia","Oceania","South America")</f>
        <v>Europe</v>
      </c>
      <c r="D1918" s="18" t="s">
        <v>28</v>
      </c>
      <c r="E1918" s="18" t="s">
        <v>19</v>
      </c>
      <c r="F1918" s="18" t="s">
        <v>64</v>
      </c>
      <c r="G1918" s="18" t="s">
        <v>22</v>
      </c>
      <c r="H1918" s="64">
        <f>LEN(TRIM(Table22[[#This Row],[Country]]))</f>
        <v>2</v>
      </c>
      <c r="I1918" s="64">
        <f>LEN(TRIM(Table22[[#This Row],[Continent]]))</f>
        <v>6</v>
      </c>
      <c r="J1918" s="64">
        <f>LEN(TRIM(Table22[[#This Row],[Product]]))</f>
        <v>6</v>
      </c>
      <c r="K1918" s="64">
        <f>LEN(TRIM(Table22[[#This Row],[Sales Team]]))</f>
        <v>10</v>
      </c>
      <c r="L1918" s="23">
        <v>15</v>
      </c>
      <c r="M1918" s="65" t="str" cm="1">
        <f t="array" ref="M1918">_xlfn.IFS(Table22[[#This Row],[Units Sold]]&lt;40,"Critical",Table22[[#This Row],[Units Sold]]&lt;=50,"Poor",Table22[[#This Row],[Units Sold]]&lt;=60,"Low",Table22[[#This Row],[Units Sold]]&lt;=80,"Average",Table22[[#This Row],[Units Sold]]&lt;=90,"High",Table22[[#This Row],[Units Sold]]&lt;=95,"Excellent",Table22[[#This Row],[Units Sold]]&gt;95,"Outstanding")</f>
        <v>Critical</v>
      </c>
      <c r="N1918" s="29">
        <v>120.07</v>
      </c>
      <c r="O1918" s="29">
        <v>1801.05</v>
      </c>
      <c r="P1918" s="43">
        <f>IF(Table22[[#This Row],[Discount Applied]],Table22[[#This Row],[Total Sales (in USD)]]*(1-Table22[[#This Row],[Discount Percentage (%)]]/100),Table22[[#This Row],[Total Sales (in USD)]])</f>
        <v>1719.6425399999998</v>
      </c>
      <c r="Q1918" s="66">
        <f>SQRT(AVERAGE((Table22[[#This Row],[Net Sales (after discount) (in USD)]]-AVERAGE(Table22[Net Sales (after discount) (in USD)]))^2))</f>
        <v>34791.718023764537</v>
      </c>
      <c r="R1918" s="18" t="b">
        <v>1</v>
      </c>
      <c r="S1918" s="40">
        <v>4.5199999999999996</v>
      </c>
      <c r="T1918" s="18" t="b">
        <v>1</v>
      </c>
      <c r="U1918" s="25">
        <v>45382</v>
      </c>
      <c r="V1918" s="63" t="str">
        <f>IF(MONTH(Table22[[#This Row],[Sales Date]])&lt;=3,"Q1",IF(MONTH(Table22[[#This Row],[Sales Date]])&lt;=6,"Q2",IF(MONTH(Table22[[#This Row],[Sales Date]])&lt;=9,"Q3","Q4")))</f>
        <v>Q1</v>
      </c>
      <c r="W1918" s="64">
        <f>YEAR(Table22[[#This Row],[Sales Date]])</f>
        <v>2024</v>
      </c>
      <c r="X1918" s="23">
        <v>27</v>
      </c>
      <c r="Y1918" s="18" t="s">
        <v>41</v>
      </c>
      <c r="Z1918" s="18" t="s">
        <v>56</v>
      </c>
      <c r="AA1918" s="19" t="s">
        <v>36</v>
      </c>
    </row>
    <row r="1919" spans="1:27" x14ac:dyDescent="0.25">
      <c r="A1919" s="17" t="s">
        <v>195</v>
      </c>
      <c r="B1919" s="18" t="s">
        <v>18</v>
      </c>
      <c r="C1919" s="63" t="str" cm="1">
        <f t="array" ref="C1919">_xlfn.SWITCH(Table22[[#This Row],[Country]],"USA","North America","Canada","North America","Brazil","South America","China","Asia","Japan","Asia","India","Asia","France","Europe","Germany","Europe","UK","Europe","Australia","Oceania","South America")</f>
        <v>Asia</v>
      </c>
      <c r="D1919" s="18" t="s">
        <v>28</v>
      </c>
      <c r="E1919" s="18" t="s">
        <v>19</v>
      </c>
      <c r="F1919" s="18" t="s">
        <v>47</v>
      </c>
      <c r="G1919" s="18" t="s">
        <v>29</v>
      </c>
      <c r="H1919" s="64">
        <f>LEN(TRIM(Table22[[#This Row],[Country]]))</f>
        <v>5</v>
      </c>
      <c r="I1919" s="64">
        <f>LEN(TRIM(Table22[[#This Row],[Continent]]))</f>
        <v>4</v>
      </c>
      <c r="J1919" s="64">
        <f>LEN(TRIM(Table22[[#This Row],[Product]]))</f>
        <v>6</v>
      </c>
      <c r="K1919" s="64">
        <f>LEN(TRIM(Table22[[#This Row],[Sales Team]]))</f>
        <v>10</v>
      </c>
      <c r="L1919" s="23">
        <v>2</v>
      </c>
      <c r="M1919" s="65" t="str" cm="1">
        <f t="array" ref="M1919">_xlfn.IFS(Table22[[#This Row],[Units Sold]]&lt;40,"Critical",Table22[[#This Row],[Units Sold]]&lt;=50,"Poor",Table22[[#This Row],[Units Sold]]&lt;=60,"Low",Table22[[#This Row],[Units Sold]]&lt;=80,"Average",Table22[[#This Row],[Units Sold]]&lt;=90,"High",Table22[[#This Row],[Units Sold]]&lt;=95,"Excellent",Table22[[#This Row],[Units Sold]]&gt;95,"Outstanding")</f>
        <v>Critical</v>
      </c>
      <c r="N1919" s="29">
        <v>900.37</v>
      </c>
      <c r="O1919" s="29">
        <v>1800.74</v>
      </c>
      <c r="P1919" s="43">
        <f>IF(Table22[[#This Row],[Discount Applied]],Table22[[#This Row],[Total Sales (in USD)]]*(1-Table22[[#This Row],[Discount Percentage (%)]]/100),Table22[[#This Row],[Total Sales (in USD)]])</f>
        <v>1323.7239740000002</v>
      </c>
      <c r="Q1919" s="66">
        <f>SQRT(AVERAGE((Table22[[#This Row],[Net Sales (after discount) (in USD)]]-AVERAGE(Table22[Net Sales (after discount) (in USD)]))^2))</f>
        <v>35187.636589764537</v>
      </c>
      <c r="R1919" s="18" t="b">
        <v>0</v>
      </c>
      <c r="S1919" s="40">
        <v>26.49</v>
      </c>
      <c r="T1919" s="18" t="b">
        <v>1</v>
      </c>
      <c r="U1919" s="25">
        <v>45479</v>
      </c>
      <c r="V1919" s="63" t="str">
        <f>IF(MONTH(Table22[[#This Row],[Sales Date]])&lt;=3,"Q1",IF(MONTH(Table22[[#This Row],[Sales Date]])&lt;=6,"Q2",IF(MONTH(Table22[[#This Row],[Sales Date]])&lt;=9,"Q3","Q4")))</f>
        <v>Q3</v>
      </c>
      <c r="W1919" s="64">
        <f>YEAR(Table22[[#This Row],[Sales Date]])</f>
        <v>2024</v>
      </c>
      <c r="X1919" s="23">
        <v>42</v>
      </c>
      <c r="Y1919" s="18" t="s">
        <v>23</v>
      </c>
      <c r="Z1919" s="18" t="s">
        <v>42</v>
      </c>
      <c r="AA1919" s="19" t="s">
        <v>36</v>
      </c>
    </row>
    <row r="1920" spans="1:27" x14ac:dyDescent="0.25">
      <c r="A1920" s="17" t="s">
        <v>741</v>
      </c>
      <c r="B1920" s="18" t="s">
        <v>66</v>
      </c>
      <c r="C1920" s="63" t="str" cm="1">
        <f t="array" ref="C1920">_xlfn.SWITCH(Table22[[#This Row],[Country]],"USA","North America","Canada","North America","Brazil","South America","China","Asia","Japan","Asia","India","Asia","France","Europe","Germany","Europe","UK","Europe","Australia","Oceania","South America")</f>
        <v>North America</v>
      </c>
      <c r="D1920" s="18" t="s">
        <v>35</v>
      </c>
      <c r="E1920" s="18" t="s">
        <v>19</v>
      </c>
      <c r="F1920" s="18" t="s">
        <v>34</v>
      </c>
      <c r="G1920" s="18" t="s">
        <v>40</v>
      </c>
      <c r="H1920" s="64">
        <f>LEN(TRIM(Table22[[#This Row],[Country]]))</f>
        <v>6</v>
      </c>
      <c r="I1920" s="64">
        <f>LEN(TRIM(Table22[[#This Row],[Continent]]))</f>
        <v>13</v>
      </c>
      <c r="J1920" s="64">
        <f>LEN(TRIM(Table22[[#This Row],[Product]]))</f>
        <v>6</v>
      </c>
      <c r="K1920" s="64">
        <f>LEN(TRIM(Table22[[#This Row],[Sales Team]]))</f>
        <v>10</v>
      </c>
      <c r="L1920" s="23">
        <v>8</v>
      </c>
      <c r="M1920" s="65" t="str" cm="1">
        <f t="array" ref="M1920">_xlfn.IFS(Table22[[#This Row],[Units Sold]]&lt;40,"Critical",Table22[[#This Row],[Units Sold]]&lt;=50,"Poor",Table22[[#This Row],[Units Sold]]&lt;=60,"Low",Table22[[#This Row],[Units Sold]]&lt;=80,"Average",Table22[[#This Row],[Units Sold]]&lt;=90,"High",Table22[[#This Row],[Units Sold]]&lt;=95,"Excellent",Table22[[#This Row],[Units Sold]]&gt;95,"Outstanding")</f>
        <v>Critical</v>
      </c>
      <c r="N1920" s="29">
        <v>218.71</v>
      </c>
      <c r="O1920" s="29">
        <v>1749.68</v>
      </c>
      <c r="P1920" s="43">
        <f>IF(Table22[[#This Row],[Discount Applied]],Table22[[#This Row],[Total Sales (in USD)]]*(1-Table22[[#This Row],[Discount Percentage (%)]]/100),Table22[[#This Row],[Total Sales (in USD)]])</f>
        <v>1372.6239599999999</v>
      </c>
      <c r="Q1920" s="66">
        <f>SQRT(AVERAGE((Table22[[#This Row],[Net Sales (after discount) (in USD)]]-AVERAGE(Table22[Net Sales (after discount) (in USD)]))^2))</f>
        <v>35138.736603764541</v>
      </c>
      <c r="R1920" s="18" t="b">
        <v>1</v>
      </c>
      <c r="S1920" s="40">
        <v>21.55</v>
      </c>
      <c r="T1920" s="18" t="b">
        <v>1</v>
      </c>
      <c r="U1920" s="25">
        <v>45119</v>
      </c>
      <c r="V1920" s="63" t="str">
        <f>IF(MONTH(Table22[[#This Row],[Sales Date]])&lt;=3,"Q1",IF(MONTH(Table22[[#This Row],[Sales Date]])&lt;=6,"Q2",IF(MONTH(Table22[[#This Row],[Sales Date]])&lt;=9,"Q3","Q4")))</f>
        <v>Q3</v>
      </c>
      <c r="W1920" s="64">
        <f>YEAR(Table22[[#This Row],[Sales Date]])</f>
        <v>2023</v>
      </c>
      <c r="X1920" s="23">
        <v>34</v>
      </c>
      <c r="Y1920" s="18" t="s">
        <v>41</v>
      </c>
      <c r="Z1920" s="18" t="s">
        <v>56</v>
      </c>
      <c r="AA1920" s="19" t="s">
        <v>25</v>
      </c>
    </row>
    <row r="1921" spans="1:27" x14ac:dyDescent="0.25">
      <c r="A1921" s="17" t="s">
        <v>1585</v>
      </c>
      <c r="B1921" s="18" t="s">
        <v>18</v>
      </c>
      <c r="C1921" s="63" t="str" cm="1">
        <f t="array" ref="C1921">_xlfn.SWITCH(Table22[[#This Row],[Country]],"USA","North America","Canada","North America","Brazil","South America","China","Asia","Japan","Asia","India","Asia","France","Europe","Germany","Europe","UK","Europe","Australia","Oceania","South America")</f>
        <v>Asia</v>
      </c>
      <c r="D1921" s="18" t="s">
        <v>44</v>
      </c>
      <c r="E1921" s="18" t="s">
        <v>39</v>
      </c>
      <c r="F1921" s="18" t="s">
        <v>34</v>
      </c>
      <c r="G1921" s="18" t="s">
        <v>29</v>
      </c>
      <c r="H1921" s="64">
        <f>LEN(TRIM(Table22[[#This Row],[Country]]))</f>
        <v>5</v>
      </c>
      <c r="I1921" s="64">
        <f>LEN(TRIM(Table22[[#This Row],[Continent]]))</f>
        <v>4</v>
      </c>
      <c r="J1921" s="64">
        <f>LEN(TRIM(Table22[[#This Row],[Product]]))</f>
        <v>10</v>
      </c>
      <c r="K1921" s="64">
        <f>LEN(TRIM(Table22[[#This Row],[Sales Team]]))</f>
        <v>10</v>
      </c>
      <c r="L1921" s="23">
        <v>2</v>
      </c>
      <c r="M1921" s="65" t="str" cm="1">
        <f t="array" ref="M1921">_xlfn.IFS(Table22[[#This Row],[Units Sold]]&lt;40,"Critical",Table22[[#This Row],[Units Sold]]&lt;=50,"Poor",Table22[[#This Row],[Units Sold]]&lt;=60,"Low",Table22[[#This Row],[Units Sold]]&lt;=80,"Average",Table22[[#This Row],[Units Sold]]&lt;=90,"High",Table22[[#This Row],[Units Sold]]&lt;=95,"Excellent",Table22[[#This Row],[Units Sold]]&gt;95,"Outstanding")</f>
        <v>Critical</v>
      </c>
      <c r="N1921" s="29">
        <v>863.18</v>
      </c>
      <c r="O1921" s="29">
        <v>1726.36</v>
      </c>
      <c r="P1921" s="43">
        <f>IF(Table22[[#This Row],[Discount Applied]],Table22[[#This Row],[Total Sales (in USD)]]*(1-Table22[[#This Row],[Discount Percentage (%)]]/100),Table22[[#This Row],[Total Sales (in USD)]])</f>
        <v>1726.36</v>
      </c>
      <c r="Q1921" s="66">
        <f>SQRT(AVERAGE((Table22[[#This Row],[Net Sales (after discount) (in USD)]]-AVERAGE(Table22[Net Sales (after discount) (in USD)]))^2))</f>
        <v>34785.000563764537</v>
      </c>
      <c r="R1921" s="18" t="b">
        <v>1</v>
      </c>
      <c r="S1921" s="40">
        <v>22.48</v>
      </c>
      <c r="T1921" s="18" t="b">
        <v>0</v>
      </c>
      <c r="U1921" s="25">
        <v>45467</v>
      </c>
      <c r="V1921" s="63" t="str">
        <f>IF(MONTH(Table22[[#This Row],[Sales Date]])&lt;=3,"Q1",IF(MONTH(Table22[[#This Row],[Sales Date]])&lt;=6,"Q2",IF(MONTH(Table22[[#This Row],[Sales Date]])&lt;=9,"Q3","Q4")))</f>
        <v>Q2</v>
      </c>
      <c r="W1921" s="64">
        <f>YEAR(Table22[[#This Row],[Sales Date]])</f>
        <v>2024</v>
      </c>
      <c r="X1921" s="23">
        <v>39</v>
      </c>
      <c r="Y1921" s="18" t="s">
        <v>23</v>
      </c>
      <c r="Z1921" s="18" t="s">
        <v>30</v>
      </c>
      <c r="AA1921" s="19" t="s">
        <v>25</v>
      </c>
    </row>
    <row r="1922" spans="1:27" x14ac:dyDescent="0.25">
      <c r="A1922" s="17" t="s">
        <v>96</v>
      </c>
      <c r="B1922" s="18" t="s">
        <v>46</v>
      </c>
      <c r="C1922" s="63" t="str" cm="1">
        <f t="array" ref="C1922">_xlfn.SWITCH(Table22[[#This Row],[Country]],"USA","North America","Canada","North America","Brazil","South America","China","Asia","Japan","Asia","India","Asia","France","Europe","Germany","Europe","UK","Europe","Australia","Oceania","South America")</f>
        <v>South America</v>
      </c>
      <c r="D1922" s="18" t="s">
        <v>35</v>
      </c>
      <c r="E1922" s="18" t="s">
        <v>33</v>
      </c>
      <c r="F1922" s="18" t="s">
        <v>47</v>
      </c>
      <c r="G1922" s="18" t="s">
        <v>29</v>
      </c>
      <c r="H1922" s="64">
        <f>LEN(TRIM(Table22[[#This Row],[Country]]))</f>
        <v>6</v>
      </c>
      <c r="I1922" s="64">
        <f>LEN(TRIM(Table22[[#This Row],[Continent]]))</f>
        <v>13</v>
      </c>
      <c r="J1922" s="64">
        <f>LEN(TRIM(Table22[[#This Row],[Product]]))</f>
        <v>10</v>
      </c>
      <c r="K1922" s="64">
        <f>LEN(TRIM(Table22[[#This Row],[Sales Team]]))</f>
        <v>10</v>
      </c>
      <c r="L1922" s="23">
        <v>24</v>
      </c>
      <c r="M1922" s="65" t="str" cm="1">
        <f t="array" ref="M1922">_xlfn.IFS(Table22[[#This Row],[Units Sold]]&lt;40,"Critical",Table22[[#This Row],[Units Sold]]&lt;=50,"Poor",Table22[[#This Row],[Units Sold]]&lt;=60,"Low",Table22[[#This Row],[Units Sold]]&lt;=80,"Average",Table22[[#This Row],[Units Sold]]&lt;=90,"High",Table22[[#This Row],[Units Sold]]&lt;=95,"Excellent",Table22[[#This Row],[Units Sold]]&gt;95,"Outstanding")</f>
        <v>Critical</v>
      </c>
      <c r="N1922" s="29">
        <v>71.05</v>
      </c>
      <c r="O1922" s="29">
        <v>1705.2</v>
      </c>
      <c r="P1922" s="43">
        <f>IF(Table22[[#This Row],[Discount Applied]],Table22[[#This Row],[Total Sales (in USD)]]*(1-Table22[[#This Row],[Discount Percentage (%)]]/100),Table22[[#This Row],[Total Sales (in USD)]])</f>
        <v>1472.2696799999999</v>
      </c>
      <c r="Q1922" s="66">
        <f>SQRT(AVERAGE((Table22[[#This Row],[Net Sales (after discount) (in USD)]]-AVERAGE(Table22[Net Sales (after discount) (in USD)]))^2))</f>
        <v>35039.09088376454</v>
      </c>
      <c r="R1922" s="18" t="b">
        <v>1</v>
      </c>
      <c r="S1922" s="40">
        <v>13.66</v>
      </c>
      <c r="T1922" s="18" t="b">
        <v>1</v>
      </c>
      <c r="U1922" s="25">
        <v>44997</v>
      </c>
      <c r="V1922" s="63" t="str">
        <f>IF(MONTH(Table22[[#This Row],[Sales Date]])&lt;=3,"Q1",IF(MONTH(Table22[[#This Row],[Sales Date]])&lt;=6,"Q2",IF(MONTH(Table22[[#This Row],[Sales Date]])&lt;=9,"Q3","Q4")))</f>
        <v>Q1</v>
      </c>
      <c r="W1922" s="64">
        <f>YEAR(Table22[[#This Row],[Sales Date]])</f>
        <v>2023</v>
      </c>
      <c r="X1922" s="23">
        <v>58</v>
      </c>
      <c r="Y1922" s="18" t="s">
        <v>41</v>
      </c>
      <c r="Z1922" s="18" t="s">
        <v>30</v>
      </c>
      <c r="AA1922" s="19" t="s">
        <v>25</v>
      </c>
    </row>
    <row r="1923" spans="1:27" x14ac:dyDescent="0.25">
      <c r="A1923" s="17" t="s">
        <v>929</v>
      </c>
      <c r="B1923" s="18" t="s">
        <v>38</v>
      </c>
      <c r="C1923" s="63" t="str" cm="1">
        <f t="array" ref="C1923">_xlfn.SWITCH(Table22[[#This Row],[Country]],"USA","North America","Canada","North America","Brazil","South America","China","Asia","Japan","Asia","India","Asia","France","Europe","Germany","Europe","UK","Europe","Australia","Oceania","South America")</f>
        <v>Europe</v>
      </c>
      <c r="D1923" s="18" t="s">
        <v>21</v>
      </c>
      <c r="E1923" s="18" t="s">
        <v>19</v>
      </c>
      <c r="F1923" s="18" t="s">
        <v>52</v>
      </c>
      <c r="G1923" s="18" t="s">
        <v>29</v>
      </c>
      <c r="H1923" s="64">
        <f>LEN(TRIM(Table22[[#This Row],[Country]]))</f>
        <v>6</v>
      </c>
      <c r="I1923" s="64">
        <f>LEN(TRIM(Table22[[#This Row],[Continent]]))</f>
        <v>6</v>
      </c>
      <c r="J1923" s="64">
        <f>LEN(TRIM(Table22[[#This Row],[Product]]))</f>
        <v>6</v>
      </c>
      <c r="K1923" s="64">
        <f>LEN(TRIM(Table22[[#This Row],[Sales Team]]))</f>
        <v>10</v>
      </c>
      <c r="L1923" s="23">
        <v>28</v>
      </c>
      <c r="M1923" s="65" t="str" cm="1">
        <f t="array" ref="M1923">_xlfn.IFS(Table22[[#This Row],[Units Sold]]&lt;40,"Critical",Table22[[#This Row],[Units Sold]]&lt;=50,"Poor",Table22[[#This Row],[Units Sold]]&lt;=60,"Low",Table22[[#This Row],[Units Sold]]&lt;=80,"Average",Table22[[#This Row],[Units Sold]]&lt;=90,"High",Table22[[#This Row],[Units Sold]]&lt;=95,"Excellent",Table22[[#This Row],[Units Sold]]&gt;95,"Outstanding")</f>
        <v>Critical</v>
      </c>
      <c r="N1923" s="29">
        <v>58.59</v>
      </c>
      <c r="O1923" s="29">
        <v>1640.52</v>
      </c>
      <c r="P1923" s="43">
        <f>IF(Table22[[#This Row],[Discount Applied]],Table22[[#This Row],[Total Sales (in USD)]]*(1-Table22[[#This Row],[Discount Percentage (%)]]/100),Table22[[#This Row],[Total Sales (in USD)]])</f>
        <v>1640.52</v>
      </c>
      <c r="Q1923" s="66">
        <f>SQRT(AVERAGE((Table22[[#This Row],[Net Sales (after discount) (in USD)]]-AVERAGE(Table22[Net Sales (after discount) (in USD)]))^2))</f>
        <v>34870.840563764541</v>
      </c>
      <c r="R1923" s="18" t="b">
        <v>1</v>
      </c>
      <c r="S1923" s="40">
        <v>26.98</v>
      </c>
      <c r="T1923" s="18" t="b">
        <v>0</v>
      </c>
      <c r="U1923" s="25">
        <v>45039</v>
      </c>
      <c r="V1923" s="63" t="str">
        <f>IF(MONTH(Table22[[#This Row],[Sales Date]])&lt;=3,"Q1",IF(MONTH(Table22[[#This Row],[Sales Date]])&lt;=6,"Q2",IF(MONTH(Table22[[#This Row],[Sales Date]])&lt;=9,"Q3","Q4")))</f>
        <v>Q2</v>
      </c>
      <c r="W1923" s="64">
        <f>YEAR(Table22[[#This Row],[Sales Date]])</f>
        <v>2023</v>
      </c>
      <c r="X1923" s="23">
        <v>63</v>
      </c>
      <c r="Y1923" s="18" t="s">
        <v>41</v>
      </c>
      <c r="Z1923" s="18" t="s">
        <v>24</v>
      </c>
      <c r="AA1923" s="19" t="s">
        <v>25</v>
      </c>
    </row>
    <row r="1924" spans="1:27" x14ac:dyDescent="0.25">
      <c r="A1924" s="17" t="s">
        <v>299</v>
      </c>
      <c r="B1924" s="18" t="s">
        <v>32</v>
      </c>
      <c r="C1924" s="63" t="str" cm="1">
        <f t="array" ref="C1924">_xlfn.SWITCH(Table22[[#This Row],[Country]],"USA","North America","Canada","North America","Brazil","South America","China","Asia","Japan","Asia","India","Asia","France","Europe","Germany","Europe","UK","Europe","Australia","Oceania","South America")</f>
        <v>Asia</v>
      </c>
      <c r="D1924" s="18" t="s">
        <v>21</v>
      </c>
      <c r="E1924" s="18" t="s">
        <v>33</v>
      </c>
      <c r="F1924" s="18" t="s">
        <v>64</v>
      </c>
      <c r="G1924" s="18" t="s">
        <v>22</v>
      </c>
      <c r="H1924" s="64">
        <f>LEN(TRIM(Table22[[#This Row],[Country]]))</f>
        <v>5</v>
      </c>
      <c r="I1924" s="64">
        <f>LEN(TRIM(Table22[[#This Row],[Continent]]))</f>
        <v>4</v>
      </c>
      <c r="J1924" s="64">
        <f>LEN(TRIM(Table22[[#This Row],[Product]]))</f>
        <v>10</v>
      </c>
      <c r="K1924" s="64">
        <f>LEN(TRIM(Table22[[#This Row],[Sales Team]]))</f>
        <v>10</v>
      </c>
      <c r="L1924" s="23">
        <v>6</v>
      </c>
      <c r="M1924" s="65" t="str" cm="1">
        <f t="array" ref="M1924">_xlfn.IFS(Table22[[#This Row],[Units Sold]]&lt;40,"Critical",Table22[[#This Row],[Units Sold]]&lt;=50,"Poor",Table22[[#This Row],[Units Sold]]&lt;=60,"Low",Table22[[#This Row],[Units Sold]]&lt;=80,"Average",Table22[[#This Row],[Units Sold]]&lt;=90,"High",Table22[[#This Row],[Units Sold]]&lt;=95,"Excellent",Table22[[#This Row],[Units Sold]]&gt;95,"Outstanding")</f>
        <v>Critical</v>
      </c>
      <c r="N1924" s="29">
        <v>272.05</v>
      </c>
      <c r="O1924" s="29">
        <v>1632.3</v>
      </c>
      <c r="P1924" s="43">
        <f>IF(Table22[[#This Row],[Discount Applied]],Table22[[#This Row],[Total Sales (in USD)]]*(1-Table22[[#This Row],[Discount Percentage (%)]]/100),Table22[[#This Row],[Total Sales (in USD)]])</f>
        <v>1632.3</v>
      </c>
      <c r="Q1924" s="66">
        <f>SQRT(AVERAGE((Table22[[#This Row],[Net Sales (after discount) (in USD)]]-AVERAGE(Table22[Net Sales (after discount) (in USD)]))^2))</f>
        <v>34879.060563764535</v>
      </c>
      <c r="R1924" s="18" t="b">
        <v>1</v>
      </c>
      <c r="S1924" s="40">
        <v>8.32</v>
      </c>
      <c r="T1924" s="18" t="b">
        <v>0</v>
      </c>
      <c r="U1924" s="25">
        <v>45228</v>
      </c>
      <c r="V1924" s="63" t="str">
        <f>IF(MONTH(Table22[[#This Row],[Sales Date]])&lt;=3,"Q1",IF(MONTH(Table22[[#This Row],[Sales Date]])&lt;=6,"Q2",IF(MONTH(Table22[[#This Row],[Sales Date]])&lt;=9,"Q3","Q4")))</f>
        <v>Q4</v>
      </c>
      <c r="W1924" s="64">
        <f>YEAR(Table22[[#This Row],[Sales Date]])</f>
        <v>2023</v>
      </c>
      <c r="X1924" s="23">
        <v>66</v>
      </c>
      <c r="Y1924" s="18" t="s">
        <v>41</v>
      </c>
      <c r="Z1924" s="18" t="s">
        <v>56</v>
      </c>
      <c r="AA1924" s="19" t="s">
        <v>25</v>
      </c>
    </row>
    <row r="1925" spans="1:27" x14ac:dyDescent="0.25">
      <c r="A1925" s="17" t="s">
        <v>597</v>
      </c>
      <c r="B1925" s="18" t="s">
        <v>66</v>
      </c>
      <c r="C1925" s="63" t="str" cm="1">
        <f t="array" ref="C1925">_xlfn.SWITCH(Table22[[#This Row],[Country]],"USA","North America","Canada","North America","Brazil","South America","China","Asia","Japan","Asia","India","Asia","France","Europe","Germany","Europe","UK","Europe","Australia","Oceania","South America")</f>
        <v>North America</v>
      </c>
      <c r="D1925" s="18" t="s">
        <v>28</v>
      </c>
      <c r="E1925" s="18" t="s">
        <v>39</v>
      </c>
      <c r="F1925" s="18" t="s">
        <v>52</v>
      </c>
      <c r="G1925" s="18" t="s">
        <v>29</v>
      </c>
      <c r="H1925" s="64">
        <f>LEN(TRIM(Table22[[#This Row],[Country]]))</f>
        <v>6</v>
      </c>
      <c r="I1925" s="64">
        <f>LEN(TRIM(Table22[[#This Row],[Continent]]))</f>
        <v>13</v>
      </c>
      <c r="J1925" s="64">
        <f>LEN(TRIM(Table22[[#This Row],[Product]]))</f>
        <v>10</v>
      </c>
      <c r="K1925" s="64">
        <f>LEN(TRIM(Table22[[#This Row],[Sales Team]]))</f>
        <v>10</v>
      </c>
      <c r="L1925" s="23">
        <v>25</v>
      </c>
      <c r="M1925" s="65" t="str" cm="1">
        <f t="array" ref="M1925">_xlfn.IFS(Table22[[#This Row],[Units Sold]]&lt;40,"Critical",Table22[[#This Row],[Units Sold]]&lt;=50,"Poor",Table22[[#This Row],[Units Sold]]&lt;=60,"Low",Table22[[#This Row],[Units Sold]]&lt;=80,"Average",Table22[[#This Row],[Units Sold]]&lt;=90,"High",Table22[[#This Row],[Units Sold]]&lt;=95,"Excellent",Table22[[#This Row],[Units Sold]]&gt;95,"Outstanding")</f>
        <v>Critical</v>
      </c>
      <c r="N1925" s="29">
        <v>65</v>
      </c>
      <c r="O1925" s="29">
        <v>1625</v>
      </c>
      <c r="P1925" s="43">
        <f>IF(Table22[[#This Row],[Discount Applied]],Table22[[#This Row],[Total Sales (in USD)]]*(1-Table22[[#This Row],[Discount Percentage (%)]]/100),Table22[[#This Row],[Total Sales (in USD)]])</f>
        <v>1436.175</v>
      </c>
      <c r="Q1925" s="66">
        <f>SQRT(AVERAGE((Table22[[#This Row],[Net Sales (after discount) (in USD)]]-AVERAGE(Table22[Net Sales (after discount) (in USD)]))^2))</f>
        <v>35075.185563764535</v>
      </c>
      <c r="R1925" s="18" t="b">
        <v>1</v>
      </c>
      <c r="S1925" s="40">
        <v>11.62</v>
      </c>
      <c r="T1925" s="18" t="b">
        <v>1</v>
      </c>
      <c r="U1925" s="25">
        <v>44939</v>
      </c>
      <c r="V1925" s="63" t="str">
        <f>IF(MONTH(Table22[[#This Row],[Sales Date]])&lt;=3,"Q1",IF(MONTH(Table22[[#This Row],[Sales Date]])&lt;=6,"Q2",IF(MONTH(Table22[[#This Row],[Sales Date]])&lt;=9,"Q3","Q4")))</f>
        <v>Q1</v>
      </c>
      <c r="W1925" s="64">
        <f>YEAR(Table22[[#This Row],[Sales Date]])</f>
        <v>2023</v>
      </c>
      <c r="X1925" s="23">
        <v>31</v>
      </c>
      <c r="Y1925" s="18" t="s">
        <v>49</v>
      </c>
      <c r="Z1925" s="18" t="s">
        <v>24</v>
      </c>
      <c r="AA1925" s="19" t="s">
        <v>36</v>
      </c>
    </row>
    <row r="1926" spans="1:27" x14ac:dyDescent="0.25">
      <c r="A1926" s="17" t="s">
        <v>818</v>
      </c>
      <c r="B1926" s="18" t="s">
        <v>76</v>
      </c>
      <c r="C1926" s="63" t="str" cm="1">
        <f t="array" ref="C1926">_xlfn.SWITCH(Table22[[#This Row],[Country]],"USA","North America","Canada","North America","Brazil","South America","China","Asia","Japan","Asia","India","Asia","France","Europe","Germany","Europe","UK","Europe","Australia","Oceania","South America")</f>
        <v>Asia</v>
      </c>
      <c r="D1926" s="18" t="s">
        <v>28</v>
      </c>
      <c r="E1926" s="18" t="s">
        <v>19</v>
      </c>
      <c r="F1926" s="18" t="s">
        <v>20</v>
      </c>
      <c r="G1926" s="18" t="s">
        <v>48</v>
      </c>
      <c r="H1926" s="64">
        <f>LEN(TRIM(Table22[[#This Row],[Country]]))</f>
        <v>5</v>
      </c>
      <c r="I1926" s="64">
        <f>LEN(TRIM(Table22[[#This Row],[Continent]]))</f>
        <v>4</v>
      </c>
      <c r="J1926" s="64">
        <f>LEN(TRIM(Table22[[#This Row],[Product]]))</f>
        <v>6</v>
      </c>
      <c r="K1926" s="64">
        <f>LEN(TRIM(Table22[[#This Row],[Sales Team]]))</f>
        <v>9</v>
      </c>
      <c r="L1926" s="23">
        <v>21</v>
      </c>
      <c r="M1926" s="65" t="str" cm="1">
        <f t="array" ref="M1926">_xlfn.IFS(Table22[[#This Row],[Units Sold]]&lt;40,"Critical",Table22[[#This Row],[Units Sold]]&lt;=50,"Poor",Table22[[#This Row],[Units Sold]]&lt;=60,"Low",Table22[[#This Row],[Units Sold]]&lt;=80,"Average",Table22[[#This Row],[Units Sold]]&lt;=90,"High",Table22[[#This Row],[Units Sold]]&lt;=95,"Excellent",Table22[[#This Row],[Units Sold]]&gt;95,"Outstanding")</f>
        <v>Critical</v>
      </c>
      <c r="N1926" s="29">
        <v>77.040000000000006</v>
      </c>
      <c r="O1926" s="29">
        <v>1617.84</v>
      </c>
      <c r="P1926" s="43">
        <f>IF(Table22[[#This Row],[Discount Applied]],Table22[[#This Row],[Total Sales (in USD)]]*(1-Table22[[#This Row],[Discount Percentage (%)]]/100),Table22[[#This Row],[Total Sales (in USD)]])</f>
        <v>1162.2562559999999</v>
      </c>
      <c r="Q1926" s="66">
        <f>SQRT(AVERAGE((Table22[[#This Row],[Net Sales (after discount) (in USD)]]-AVERAGE(Table22[Net Sales (after discount) (in USD)]))^2))</f>
        <v>35349.104307764537</v>
      </c>
      <c r="R1926" s="18" t="b">
        <v>1</v>
      </c>
      <c r="S1926" s="40">
        <v>28.16</v>
      </c>
      <c r="T1926" s="18" t="b">
        <v>1</v>
      </c>
      <c r="U1926" s="25">
        <v>45170</v>
      </c>
      <c r="V1926" s="63" t="str">
        <f>IF(MONTH(Table22[[#This Row],[Sales Date]])&lt;=3,"Q1",IF(MONTH(Table22[[#This Row],[Sales Date]])&lt;=6,"Q2",IF(MONTH(Table22[[#This Row],[Sales Date]])&lt;=9,"Q3","Q4")))</f>
        <v>Q3</v>
      </c>
      <c r="W1926" s="64">
        <f>YEAR(Table22[[#This Row],[Sales Date]])</f>
        <v>2023</v>
      </c>
      <c r="X1926" s="23">
        <v>32</v>
      </c>
      <c r="Y1926" s="18" t="s">
        <v>23</v>
      </c>
      <c r="Z1926" s="18" t="s">
        <v>42</v>
      </c>
      <c r="AA1926" s="19" t="s">
        <v>25</v>
      </c>
    </row>
    <row r="1927" spans="1:27" x14ac:dyDescent="0.25">
      <c r="A1927" s="17" t="s">
        <v>617</v>
      </c>
      <c r="B1927" s="18" t="s">
        <v>46</v>
      </c>
      <c r="C1927" s="63" t="str" cm="1">
        <f t="array" ref="C1927">_xlfn.SWITCH(Table22[[#This Row],[Country]],"USA","North America","Canada","North America","Brazil","South America","China","Asia","Japan","Asia","India","Asia","France","Europe","Germany","Europe","UK","Europe","Australia","Oceania","South America")</f>
        <v>South America</v>
      </c>
      <c r="D1927" s="18" t="s">
        <v>28</v>
      </c>
      <c r="E1927" s="18" t="s">
        <v>33</v>
      </c>
      <c r="F1927" s="18" t="s">
        <v>52</v>
      </c>
      <c r="G1927" s="18" t="s">
        <v>48</v>
      </c>
      <c r="H1927" s="64">
        <f>LEN(TRIM(Table22[[#This Row],[Country]]))</f>
        <v>6</v>
      </c>
      <c r="I1927" s="64">
        <f>LEN(TRIM(Table22[[#This Row],[Continent]]))</f>
        <v>13</v>
      </c>
      <c r="J1927" s="64">
        <f>LEN(TRIM(Table22[[#This Row],[Product]]))</f>
        <v>10</v>
      </c>
      <c r="K1927" s="64">
        <f>LEN(TRIM(Table22[[#This Row],[Sales Team]]))</f>
        <v>9</v>
      </c>
      <c r="L1927" s="23">
        <v>11</v>
      </c>
      <c r="M1927" s="65" t="str" cm="1">
        <f t="array" ref="M1927">_xlfn.IFS(Table22[[#This Row],[Units Sold]]&lt;40,"Critical",Table22[[#This Row],[Units Sold]]&lt;=50,"Poor",Table22[[#This Row],[Units Sold]]&lt;=60,"Low",Table22[[#This Row],[Units Sold]]&lt;=80,"Average",Table22[[#This Row],[Units Sold]]&lt;=90,"High",Table22[[#This Row],[Units Sold]]&lt;=95,"Excellent",Table22[[#This Row],[Units Sold]]&gt;95,"Outstanding")</f>
        <v>Critical</v>
      </c>
      <c r="N1927" s="29">
        <v>146.69</v>
      </c>
      <c r="O1927" s="29">
        <v>1613.59</v>
      </c>
      <c r="P1927" s="43">
        <f>IF(Table22[[#This Row],[Discount Applied]],Table22[[#This Row],[Total Sales (in USD)]]*(1-Table22[[#This Row],[Discount Percentage (%)]]/100),Table22[[#This Row],[Total Sales (in USD)]])</f>
        <v>1578.2523789999998</v>
      </c>
      <c r="Q1927" s="66">
        <f>SQRT(AVERAGE((Table22[[#This Row],[Net Sales (after discount) (in USD)]]-AVERAGE(Table22[Net Sales (after discount) (in USD)]))^2))</f>
        <v>34933.10818476454</v>
      </c>
      <c r="R1927" s="18" t="b">
        <v>0</v>
      </c>
      <c r="S1927" s="40">
        <v>2.19</v>
      </c>
      <c r="T1927" s="18" t="b">
        <v>1</v>
      </c>
      <c r="U1927" s="25">
        <v>45252</v>
      </c>
      <c r="V1927" s="63" t="str">
        <f>IF(MONTH(Table22[[#This Row],[Sales Date]])&lt;=3,"Q1",IF(MONTH(Table22[[#This Row],[Sales Date]])&lt;=6,"Q2",IF(MONTH(Table22[[#This Row],[Sales Date]])&lt;=9,"Q3","Q4")))</f>
        <v>Q4</v>
      </c>
      <c r="W1927" s="64">
        <f>YEAR(Table22[[#This Row],[Sales Date]])</f>
        <v>2023</v>
      </c>
      <c r="X1927" s="23">
        <v>48</v>
      </c>
      <c r="Y1927" s="18" t="s">
        <v>41</v>
      </c>
      <c r="Z1927" s="18" t="s">
        <v>56</v>
      </c>
      <c r="AA1927" s="19" t="s">
        <v>25</v>
      </c>
    </row>
    <row r="1928" spans="1:27" x14ac:dyDescent="0.25">
      <c r="A1928" s="17" t="s">
        <v>1087</v>
      </c>
      <c r="B1928" s="18" t="s">
        <v>46</v>
      </c>
      <c r="C1928" s="63" t="str" cm="1">
        <f t="array" ref="C1928">_xlfn.SWITCH(Table22[[#This Row],[Country]],"USA","North America","Canada","North America","Brazil","South America","China","Asia","Japan","Asia","India","Asia","France","Europe","Germany","Europe","UK","Europe","Australia","Oceania","South America")</f>
        <v>South America</v>
      </c>
      <c r="D1928" s="18" t="s">
        <v>21</v>
      </c>
      <c r="E1928" s="18" t="s">
        <v>39</v>
      </c>
      <c r="F1928" s="18" t="s">
        <v>52</v>
      </c>
      <c r="G1928" s="18" t="s">
        <v>29</v>
      </c>
      <c r="H1928" s="64">
        <f>LEN(TRIM(Table22[[#This Row],[Country]]))</f>
        <v>6</v>
      </c>
      <c r="I1928" s="64">
        <f>LEN(TRIM(Table22[[#This Row],[Continent]]))</f>
        <v>13</v>
      </c>
      <c r="J1928" s="64">
        <f>LEN(TRIM(Table22[[#This Row],[Product]]))</f>
        <v>10</v>
      </c>
      <c r="K1928" s="64">
        <f>LEN(TRIM(Table22[[#This Row],[Sales Team]]))</f>
        <v>10</v>
      </c>
      <c r="L1928" s="23">
        <v>6</v>
      </c>
      <c r="M1928" s="65" t="str" cm="1">
        <f t="array" ref="M1928">_xlfn.IFS(Table22[[#This Row],[Units Sold]]&lt;40,"Critical",Table22[[#This Row],[Units Sold]]&lt;=50,"Poor",Table22[[#This Row],[Units Sold]]&lt;=60,"Low",Table22[[#This Row],[Units Sold]]&lt;=80,"Average",Table22[[#This Row],[Units Sold]]&lt;=90,"High",Table22[[#This Row],[Units Sold]]&lt;=95,"Excellent",Table22[[#This Row],[Units Sold]]&gt;95,"Outstanding")</f>
        <v>Critical</v>
      </c>
      <c r="N1928" s="29">
        <v>259.04000000000002</v>
      </c>
      <c r="O1928" s="29">
        <v>1554.24</v>
      </c>
      <c r="P1928" s="43">
        <f>IF(Table22[[#This Row],[Discount Applied]],Table22[[#This Row],[Total Sales (in USD)]]*(1-Table22[[#This Row],[Discount Percentage (%)]]/100),Table22[[#This Row],[Total Sales (in USD)]])</f>
        <v>1373.7927360000001</v>
      </c>
      <c r="Q1928" s="66">
        <f>SQRT(AVERAGE((Table22[[#This Row],[Net Sales (after discount) (in USD)]]-AVERAGE(Table22[Net Sales (after discount) (in USD)]))^2))</f>
        <v>35137.567827764535</v>
      </c>
      <c r="R1928" s="18" t="b">
        <v>0</v>
      </c>
      <c r="S1928" s="40">
        <v>11.61</v>
      </c>
      <c r="T1928" s="18" t="b">
        <v>1</v>
      </c>
      <c r="U1928" s="25">
        <v>45134</v>
      </c>
      <c r="V1928" s="63" t="str">
        <f>IF(MONTH(Table22[[#This Row],[Sales Date]])&lt;=3,"Q1",IF(MONTH(Table22[[#This Row],[Sales Date]])&lt;=6,"Q2",IF(MONTH(Table22[[#This Row],[Sales Date]])&lt;=9,"Q3","Q4")))</f>
        <v>Q3</v>
      </c>
      <c r="W1928" s="64">
        <f>YEAR(Table22[[#This Row],[Sales Date]])</f>
        <v>2023</v>
      </c>
      <c r="X1928" s="23">
        <v>51</v>
      </c>
      <c r="Y1928" s="18" t="s">
        <v>41</v>
      </c>
      <c r="Z1928" s="18" t="s">
        <v>30</v>
      </c>
      <c r="AA1928" s="19" t="s">
        <v>36</v>
      </c>
    </row>
    <row r="1929" spans="1:27" x14ac:dyDescent="0.25">
      <c r="A1929" s="17" t="s">
        <v>212</v>
      </c>
      <c r="B1929" s="18" t="s">
        <v>62</v>
      </c>
      <c r="C1929" s="63" t="str" cm="1">
        <f t="array" ref="C1929">_xlfn.SWITCH(Table22[[#This Row],[Country]],"USA","North America","Canada","North America","Brazil","South America","China","Asia","Japan","Asia","India","Asia","France","Europe","Germany","Europe","UK","Europe","Australia","Oceania","South America")</f>
        <v>Oceania</v>
      </c>
      <c r="D1929" s="18" t="s">
        <v>44</v>
      </c>
      <c r="E1929" s="18" t="s">
        <v>33</v>
      </c>
      <c r="F1929" s="18" t="s">
        <v>52</v>
      </c>
      <c r="G1929" s="18" t="s">
        <v>29</v>
      </c>
      <c r="H1929" s="64">
        <f>LEN(TRIM(Table22[[#This Row],[Country]]))</f>
        <v>9</v>
      </c>
      <c r="I1929" s="64">
        <f>LEN(TRIM(Table22[[#This Row],[Continent]]))</f>
        <v>7</v>
      </c>
      <c r="J1929" s="64">
        <f>LEN(TRIM(Table22[[#This Row],[Product]]))</f>
        <v>10</v>
      </c>
      <c r="K1929" s="64">
        <f>LEN(TRIM(Table22[[#This Row],[Sales Team]]))</f>
        <v>10</v>
      </c>
      <c r="L1929" s="23">
        <v>20</v>
      </c>
      <c r="M1929" s="65" t="str" cm="1">
        <f t="array" ref="M1929">_xlfn.IFS(Table22[[#This Row],[Units Sold]]&lt;40,"Critical",Table22[[#This Row],[Units Sold]]&lt;=50,"Poor",Table22[[#This Row],[Units Sold]]&lt;=60,"Low",Table22[[#This Row],[Units Sold]]&lt;=80,"Average",Table22[[#This Row],[Units Sold]]&lt;=90,"High",Table22[[#This Row],[Units Sold]]&lt;=95,"Excellent",Table22[[#This Row],[Units Sold]]&gt;95,"Outstanding")</f>
        <v>Critical</v>
      </c>
      <c r="N1929" s="29">
        <v>76.64</v>
      </c>
      <c r="O1929" s="29">
        <v>1532.8</v>
      </c>
      <c r="P1929" s="43">
        <f>IF(Table22[[#This Row],[Discount Applied]],Table22[[#This Row],[Total Sales (in USD)]]*(1-Table22[[#This Row],[Discount Percentage (%)]]/100),Table22[[#This Row],[Total Sales (in USD)]])</f>
        <v>1093.3462400000001</v>
      </c>
      <c r="Q1929" s="66">
        <f>SQRT(AVERAGE((Table22[[#This Row],[Net Sales (after discount) (in USD)]]-AVERAGE(Table22[Net Sales (after discount) (in USD)]))^2))</f>
        <v>35418.014323764539</v>
      </c>
      <c r="R1929" s="18" t="b">
        <v>1</v>
      </c>
      <c r="S1929" s="40">
        <v>28.67</v>
      </c>
      <c r="T1929" s="18" t="b">
        <v>1</v>
      </c>
      <c r="U1929" s="25">
        <v>45483</v>
      </c>
      <c r="V1929" s="63" t="str">
        <f>IF(MONTH(Table22[[#This Row],[Sales Date]])&lt;=3,"Q1",IF(MONTH(Table22[[#This Row],[Sales Date]])&lt;=6,"Q2",IF(MONTH(Table22[[#This Row],[Sales Date]])&lt;=9,"Q3","Q4")))</f>
        <v>Q3</v>
      </c>
      <c r="W1929" s="64">
        <f>YEAR(Table22[[#This Row],[Sales Date]])</f>
        <v>2024</v>
      </c>
      <c r="X1929" s="23">
        <v>32</v>
      </c>
      <c r="Y1929" s="18" t="s">
        <v>23</v>
      </c>
      <c r="Z1929" s="18" t="s">
        <v>24</v>
      </c>
      <c r="AA1929" s="19" t="s">
        <v>36</v>
      </c>
    </row>
    <row r="1930" spans="1:27" x14ac:dyDescent="0.25">
      <c r="A1930" s="17" t="s">
        <v>1421</v>
      </c>
      <c r="B1930" s="18" t="s">
        <v>38</v>
      </c>
      <c r="C1930" s="63" t="str" cm="1">
        <f t="array" ref="C1930">_xlfn.SWITCH(Table22[[#This Row],[Country]],"USA","North America","Canada","North America","Brazil","South America","China","Asia","Japan","Asia","India","Asia","France","Europe","Germany","Europe","UK","Europe","Australia","Oceania","South America")</f>
        <v>Europe</v>
      </c>
      <c r="D1930" s="18" t="s">
        <v>28</v>
      </c>
      <c r="E1930" s="18" t="s">
        <v>39</v>
      </c>
      <c r="F1930" s="18" t="s">
        <v>47</v>
      </c>
      <c r="G1930" s="18" t="s">
        <v>29</v>
      </c>
      <c r="H1930" s="64">
        <f>LEN(TRIM(Table22[[#This Row],[Country]]))</f>
        <v>6</v>
      </c>
      <c r="I1930" s="64">
        <f>LEN(TRIM(Table22[[#This Row],[Continent]]))</f>
        <v>6</v>
      </c>
      <c r="J1930" s="64">
        <f>LEN(TRIM(Table22[[#This Row],[Product]]))</f>
        <v>10</v>
      </c>
      <c r="K1930" s="64">
        <f>LEN(TRIM(Table22[[#This Row],[Sales Team]]))</f>
        <v>10</v>
      </c>
      <c r="L1930" s="23">
        <v>4</v>
      </c>
      <c r="M1930" s="65" t="str" cm="1">
        <f t="array" ref="M1930">_xlfn.IFS(Table22[[#This Row],[Units Sold]]&lt;40,"Critical",Table22[[#This Row],[Units Sold]]&lt;=50,"Poor",Table22[[#This Row],[Units Sold]]&lt;=60,"Low",Table22[[#This Row],[Units Sold]]&lt;=80,"Average",Table22[[#This Row],[Units Sold]]&lt;=90,"High",Table22[[#This Row],[Units Sold]]&lt;=95,"Excellent",Table22[[#This Row],[Units Sold]]&gt;95,"Outstanding")</f>
        <v>Critical</v>
      </c>
      <c r="N1930" s="29">
        <v>378.98</v>
      </c>
      <c r="O1930" s="29">
        <v>1515.92</v>
      </c>
      <c r="P1930" s="43">
        <f>IF(Table22[[#This Row],[Discount Applied]],Table22[[#This Row],[Total Sales (in USD)]]*(1-Table22[[#This Row],[Discount Percentage (%)]]/100),Table22[[#This Row],[Total Sales (in USD)]])</f>
        <v>1515.92</v>
      </c>
      <c r="Q1930" s="66">
        <f>SQRT(AVERAGE((Table22[[#This Row],[Net Sales (after discount) (in USD)]]-AVERAGE(Table22[Net Sales (after discount) (in USD)]))^2))</f>
        <v>34995.44056376454</v>
      </c>
      <c r="R1930" s="18" t="b">
        <v>1</v>
      </c>
      <c r="S1930" s="40">
        <v>6.68</v>
      </c>
      <c r="T1930" s="18" t="b">
        <v>0</v>
      </c>
      <c r="U1930" s="25">
        <v>44959</v>
      </c>
      <c r="V1930" s="63" t="str">
        <f>IF(MONTH(Table22[[#This Row],[Sales Date]])&lt;=3,"Q1",IF(MONTH(Table22[[#This Row],[Sales Date]])&lt;=6,"Q2",IF(MONTH(Table22[[#This Row],[Sales Date]])&lt;=9,"Q3","Q4")))</f>
        <v>Q1</v>
      </c>
      <c r="W1930" s="64">
        <f>YEAR(Table22[[#This Row],[Sales Date]])</f>
        <v>2023</v>
      </c>
      <c r="X1930" s="23">
        <v>48</v>
      </c>
      <c r="Y1930" s="18" t="s">
        <v>23</v>
      </c>
      <c r="Z1930" s="18" t="s">
        <v>24</v>
      </c>
      <c r="AA1930" s="19" t="s">
        <v>25</v>
      </c>
    </row>
    <row r="1931" spans="1:27" x14ac:dyDescent="0.25">
      <c r="A1931" s="17" t="s">
        <v>577</v>
      </c>
      <c r="B1931" s="18" t="s">
        <v>76</v>
      </c>
      <c r="C1931" s="63" t="str" cm="1">
        <f t="array" ref="C1931">_xlfn.SWITCH(Table22[[#This Row],[Country]],"USA","North America","Canada","North America","Brazil","South America","China","Asia","Japan","Asia","India","Asia","France","Europe","Germany","Europe","UK","Europe","Australia","Oceania","South America")</f>
        <v>Asia</v>
      </c>
      <c r="D1931" s="18" t="s">
        <v>21</v>
      </c>
      <c r="E1931" s="18" t="s">
        <v>33</v>
      </c>
      <c r="F1931" s="18" t="s">
        <v>47</v>
      </c>
      <c r="G1931" s="18" t="s">
        <v>48</v>
      </c>
      <c r="H1931" s="64">
        <f>LEN(TRIM(Table22[[#This Row],[Country]]))</f>
        <v>5</v>
      </c>
      <c r="I1931" s="64">
        <f>LEN(TRIM(Table22[[#This Row],[Continent]]))</f>
        <v>4</v>
      </c>
      <c r="J1931" s="64">
        <f>LEN(TRIM(Table22[[#This Row],[Product]]))</f>
        <v>10</v>
      </c>
      <c r="K1931" s="64">
        <f>LEN(TRIM(Table22[[#This Row],[Sales Team]]))</f>
        <v>9</v>
      </c>
      <c r="L1931" s="23">
        <v>17</v>
      </c>
      <c r="M1931" s="65" t="str" cm="1">
        <f t="array" ref="M1931">_xlfn.IFS(Table22[[#This Row],[Units Sold]]&lt;40,"Critical",Table22[[#This Row],[Units Sold]]&lt;=50,"Poor",Table22[[#This Row],[Units Sold]]&lt;=60,"Low",Table22[[#This Row],[Units Sold]]&lt;=80,"Average",Table22[[#This Row],[Units Sold]]&lt;=90,"High",Table22[[#This Row],[Units Sold]]&lt;=95,"Excellent",Table22[[#This Row],[Units Sold]]&gt;95,"Outstanding")</f>
        <v>Critical</v>
      </c>
      <c r="N1931" s="29">
        <v>88.68</v>
      </c>
      <c r="O1931" s="29">
        <v>1507.56</v>
      </c>
      <c r="P1931" s="43">
        <f>IF(Table22[[#This Row],[Discount Applied]],Table22[[#This Row],[Total Sales (in USD)]]*(1-Table22[[#This Row],[Discount Percentage (%)]]/100),Table22[[#This Row],[Total Sales (in USD)]])</f>
        <v>1337.0549639999999</v>
      </c>
      <c r="Q1931" s="66">
        <f>SQRT(AVERAGE((Table22[[#This Row],[Net Sales (after discount) (in USD)]]-AVERAGE(Table22[Net Sales (after discount) (in USD)]))^2))</f>
        <v>35174.305599764535</v>
      </c>
      <c r="R1931" s="18" t="b">
        <v>1</v>
      </c>
      <c r="S1931" s="40">
        <v>11.31</v>
      </c>
      <c r="T1931" s="18" t="b">
        <v>1</v>
      </c>
      <c r="U1931" s="25">
        <v>45153</v>
      </c>
      <c r="V1931" s="63" t="str">
        <f>IF(MONTH(Table22[[#This Row],[Sales Date]])&lt;=3,"Q1",IF(MONTH(Table22[[#This Row],[Sales Date]])&lt;=6,"Q2",IF(MONTH(Table22[[#This Row],[Sales Date]])&lt;=9,"Q3","Q4")))</f>
        <v>Q3</v>
      </c>
      <c r="W1931" s="64">
        <f>YEAR(Table22[[#This Row],[Sales Date]])</f>
        <v>2023</v>
      </c>
      <c r="X1931" s="23">
        <v>52</v>
      </c>
      <c r="Y1931" s="18" t="s">
        <v>49</v>
      </c>
      <c r="Z1931" s="18" t="s">
        <v>30</v>
      </c>
      <c r="AA1931" s="19" t="s">
        <v>25</v>
      </c>
    </row>
    <row r="1932" spans="1:27" x14ac:dyDescent="0.25">
      <c r="A1932" s="17" t="s">
        <v>1389</v>
      </c>
      <c r="B1932" s="18" t="s">
        <v>72</v>
      </c>
      <c r="C1932" s="63" t="str" cm="1">
        <f t="array" ref="C1932">_xlfn.SWITCH(Table22[[#This Row],[Country]],"USA","North America","Canada","North America","Brazil","South America","China","Asia","Japan","Asia","India","Asia","France","Europe","Germany","Europe","UK","Europe","Australia","Oceania","South America")</f>
        <v>North America</v>
      </c>
      <c r="D1932" s="18" t="s">
        <v>21</v>
      </c>
      <c r="E1932" s="18" t="s">
        <v>19</v>
      </c>
      <c r="F1932" s="18" t="s">
        <v>52</v>
      </c>
      <c r="G1932" s="18" t="s">
        <v>29</v>
      </c>
      <c r="H1932" s="64">
        <f>LEN(TRIM(Table22[[#This Row],[Country]]))</f>
        <v>3</v>
      </c>
      <c r="I1932" s="64">
        <f>LEN(TRIM(Table22[[#This Row],[Continent]]))</f>
        <v>13</v>
      </c>
      <c r="J1932" s="64">
        <f>LEN(TRIM(Table22[[#This Row],[Product]]))</f>
        <v>6</v>
      </c>
      <c r="K1932" s="64">
        <f>LEN(TRIM(Table22[[#This Row],[Sales Team]]))</f>
        <v>10</v>
      </c>
      <c r="L1932" s="23">
        <v>3</v>
      </c>
      <c r="M1932" s="65" t="str" cm="1">
        <f t="array" ref="M1932">_xlfn.IFS(Table22[[#This Row],[Units Sold]]&lt;40,"Critical",Table22[[#This Row],[Units Sold]]&lt;=50,"Poor",Table22[[#This Row],[Units Sold]]&lt;=60,"Low",Table22[[#This Row],[Units Sold]]&lt;=80,"Average",Table22[[#This Row],[Units Sold]]&lt;=90,"High",Table22[[#This Row],[Units Sold]]&lt;=95,"Excellent",Table22[[#This Row],[Units Sold]]&gt;95,"Outstanding")</f>
        <v>Critical</v>
      </c>
      <c r="N1932" s="29">
        <v>500.08</v>
      </c>
      <c r="O1932" s="29">
        <v>1500.24</v>
      </c>
      <c r="P1932" s="43">
        <f>IF(Table22[[#This Row],[Discount Applied]],Table22[[#This Row],[Total Sales (in USD)]]*(1-Table22[[#This Row],[Discount Percentage (%)]]/100),Table22[[#This Row],[Total Sales (in USD)]])</f>
        <v>1500.24</v>
      </c>
      <c r="Q1932" s="66">
        <f>SQRT(AVERAGE((Table22[[#This Row],[Net Sales (after discount) (in USD)]]-AVERAGE(Table22[Net Sales (after discount) (in USD)]))^2))</f>
        <v>35011.12056376454</v>
      </c>
      <c r="R1932" s="18" t="b">
        <v>1</v>
      </c>
      <c r="S1932" s="40">
        <v>8.15</v>
      </c>
      <c r="T1932" s="18" t="b">
        <v>0</v>
      </c>
      <c r="U1932" s="25">
        <v>44984</v>
      </c>
      <c r="V1932" s="63" t="str">
        <f>IF(MONTH(Table22[[#This Row],[Sales Date]])&lt;=3,"Q1",IF(MONTH(Table22[[#This Row],[Sales Date]])&lt;=6,"Q2",IF(MONTH(Table22[[#This Row],[Sales Date]])&lt;=9,"Q3","Q4")))</f>
        <v>Q1</v>
      </c>
      <c r="W1932" s="64">
        <f>YEAR(Table22[[#This Row],[Sales Date]])</f>
        <v>2023</v>
      </c>
      <c r="X1932" s="23">
        <v>24</v>
      </c>
      <c r="Y1932" s="18" t="s">
        <v>41</v>
      </c>
      <c r="Z1932" s="18" t="s">
        <v>56</v>
      </c>
      <c r="AA1932" s="19" t="s">
        <v>36</v>
      </c>
    </row>
    <row r="1933" spans="1:27" x14ac:dyDescent="0.25">
      <c r="A1933" s="17" t="s">
        <v>377</v>
      </c>
      <c r="B1933" s="18" t="s">
        <v>46</v>
      </c>
      <c r="C1933" s="63" t="str" cm="1">
        <f t="array" ref="C1933">_xlfn.SWITCH(Table22[[#This Row],[Country]],"USA","North America","Canada","North America","Brazil","South America","China","Asia","Japan","Asia","India","Asia","France","Europe","Germany","Europe","UK","Europe","Australia","Oceania","South America")</f>
        <v>South America</v>
      </c>
      <c r="D1933" s="18" t="s">
        <v>28</v>
      </c>
      <c r="E1933" s="18" t="s">
        <v>33</v>
      </c>
      <c r="F1933" s="18" t="s">
        <v>52</v>
      </c>
      <c r="G1933" s="18" t="s">
        <v>29</v>
      </c>
      <c r="H1933" s="64">
        <f>LEN(TRIM(Table22[[#This Row],[Country]]))</f>
        <v>6</v>
      </c>
      <c r="I1933" s="64">
        <f>LEN(TRIM(Table22[[#This Row],[Continent]]))</f>
        <v>13</v>
      </c>
      <c r="J1933" s="64">
        <f>LEN(TRIM(Table22[[#This Row],[Product]]))</f>
        <v>10</v>
      </c>
      <c r="K1933" s="64">
        <f>LEN(TRIM(Table22[[#This Row],[Sales Team]]))</f>
        <v>10</v>
      </c>
      <c r="L1933" s="23">
        <v>14</v>
      </c>
      <c r="M1933" s="65" t="str" cm="1">
        <f t="array" ref="M1933">_xlfn.IFS(Table22[[#This Row],[Units Sold]]&lt;40,"Critical",Table22[[#This Row],[Units Sold]]&lt;=50,"Poor",Table22[[#This Row],[Units Sold]]&lt;=60,"Low",Table22[[#This Row],[Units Sold]]&lt;=80,"Average",Table22[[#This Row],[Units Sold]]&lt;=90,"High",Table22[[#This Row],[Units Sold]]&lt;=95,"Excellent",Table22[[#This Row],[Units Sold]]&gt;95,"Outstanding")</f>
        <v>Critical</v>
      </c>
      <c r="N1933" s="29">
        <v>102.5</v>
      </c>
      <c r="O1933" s="29">
        <v>1435</v>
      </c>
      <c r="P1933" s="43">
        <f>IF(Table22[[#This Row],[Discount Applied]],Table22[[#This Row],[Total Sales (in USD)]]*(1-Table22[[#This Row],[Discount Percentage (%)]]/100),Table22[[#This Row],[Total Sales (in USD)]])</f>
        <v>1435</v>
      </c>
      <c r="Q1933" s="66">
        <f>SQRT(AVERAGE((Table22[[#This Row],[Net Sales (after discount) (in USD)]]-AVERAGE(Table22[Net Sales (after discount) (in USD)]))^2))</f>
        <v>35076.360563764538</v>
      </c>
      <c r="R1933" s="18" t="b">
        <v>1</v>
      </c>
      <c r="S1933" s="40">
        <v>19.61</v>
      </c>
      <c r="T1933" s="18" t="b">
        <v>0</v>
      </c>
      <c r="U1933" s="25">
        <v>45058</v>
      </c>
      <c r="V1933" s="63" t="str">
        <f>IF(MONTH(Table22[[#This Row],[Sales Date]])&lt;=3,"Q1",IF(MONTH(Table22[[#This Row],[Sales Date]])&lt;=6,"Q2",IF(MONTH(Table22[[#This Row],[Sales Date]])&lt;=9,"Q3","Q4")))</f>
        <v>Q2</v>
      </c>
      <c r="W1933" s="64">
        <f>YEAR(Table22[[#This Row],[Sales Date]])</f>
        <v>2023</v>
      </c>
      <c r="X1933" s="23">
        <v>67</v>
      </c>
      <c r="Y1933" s="18" t="s">
        <v>41</v>
      </c>
      <c r="Z1933" s="18" t="s">
        <v>24</v>
      </c>
      <c r="AA1933" s="19" t="s">
        <v>25</v>
      </c>
    </row>
    <row r="1934" spans="1:27" x14ac:dyDescent="0.25">
      <c r="A1934" s="17" t="s">
        <v>1642</v>
      </c>
      <c r="B1934" s="18" t="s">
        <v>38</v>
      </c>
      <c r="C1934" s="63" t="str" cm="1">
        <f t="array" ref="C1934">_xlfn.SWITCH(Table22[[#This Row],[Country]],"USA","North America","Canada","North America","Brazil","South America","China","Asia","Japan","Asia","India","Asia","France","Europe","Germany","Europe","UK","Europe","Australia","Oceania","South America")</f>
        <v>Europe</v>
      </c>
      <c r="D1934" s="18" t="s">
        <v>44</v>
      </c>
      <c r="E1934" s="18" t="s">
        <v>33</v>
      </c>
      <c r="F1934" s="18" t="s">
        <v>20</v>
      </c>
      <c r="G1934" s="18" t="s">
        <v>29</v>
      </c>
      <c r="H1934" s="64">
        <f>LEN(TRIM(Table22[[#This Row],[Country]]))</f>
        <v>6</v>
      </c>
      <c r="I1934" s="64">
        <f>LEN(TRIM(Table22[[#This Row],[Continent]]))</f>
        <v>6</v>
      </c>
      <c r="J1934" s="64">
        <f>LEN(TRIM(Table22[[#This Row],[Product]]))</f>
        <v>10</v>
      </c>
      <c r="K1934" s="64">
        <f>LEN(TRIM(Table22[[#This Row],[Sales Team]]))</f>
        <v>10</v>
      </c>
      <c r="L1934" s="23">
        <v>11</v>
      </c>
      <c r="M1934" s="65" t="str" cm="1">
        <f t="array" ref="M1934">_xlfn.IFS(Table22[[#This Row],[Units Sold]]&lt;40,"Critical",Table22[[#This Row],[Units Sold]]&lt;=50,"Poor",Table22[[#This Row],[Units Sold]]&lt;=60,"Low",Table22[[#This Row],[Units Sold]]&lt;=80,"Average",Table22[[#This Row],[Units Sold]]&lt;=90,"High",Table22[[#This Row],[Units Sold]]&lt;=95,"Excellent",Table22[[#This Row],[Units Sold]]&gt;95,"Outstanding")</f>
        <v>Critical</v>
      </c>
      <c r="N1934" s="29">
        <v>128.69</v>
      </c>
      <c r="O1934" s="29">
        <v>1415.59</v>
      </c>
      <c r="P1934" s="43">
        <f>IF(Table22[[#This Row],[Discount Applied]],Table22[[#This Row],[Total Sales (in USD)]]*(1-Table22[[#This Row],[Discount Percentage (%)]]/100),Table22[[#This Row],[Total Sales (in USD)]])</f>
        <v>1180.6020599999999</v>
      </c>
      <c r="Q1934" s="66">
        <f>SQRT(AVERAGE((Table22[[#This Row],[Net Sales (after discount) (in USD)]]-AVERAGE(Table22[Net Sales (after discount) (in USD)]))^2))</f>
        <v>35330.75850376454</v>
      </c>
      <c r="R1934" s="18" t="b">
        <v>1</v>
      </c>
      <c r="S1934" s="40">
        <v>16.600000000000001</v>
      </c>
      <c r="T1934" s="18" t="b">
        <v>1</v>
      </c>
      <c r="U1934" s="25">
        <v>45277</v>
      </c>
      <c r="V1934" s="63" t="str">
        <f>IF(MONTH(Table22[[#This Row],[Sales Date]])&lt;=3,"Q1",IF(MONTH(Table22[[#This Row],[Sales Date]])&lt;=6,"Q2",IF(MONTH(Table22[[#This Row],[Sales Date]])&lt;=9,"Q3","Q4")))</f>
        <v>Q4</v>
      </c>
      <c r="W1934" s="64">
        <f>YEAR(Table22[[#This Row],[Sales Date]])</f>
        <v>2023</v>
      </c>
      <c r="X1934" s="23">
        <v>54</v>
      </c>
      <c r="Y1934" s="18" t="s">
        <v>49</v>
      </c>
      <c r="Z1934" s="18" t="s">
        <v>42</v>
      </c>
      <c r="AA1934" s="19" t="s">
        <v>36</v>
      </c>
    </row>
    <row r="1935" spans="1:27" x14ac:dyDescent="0.25">
      <c r="A1935" s="17" t="s">
        <v>974</v>
      </c>
      <c r="B1935" s="18" t="s">
        <v>27</v>
      </c>
      <c r="C1935" s="63" t="str" cm="1">
        <f t="array" ref="C1935">_xlfn.SWITCH(Table22[[#This Row],[Country]],"USA","North America","Canada","North America","Brazil","South America","China","Asia","Japan","Asia","India","Asia","France","Europe","Germany","Europe","UK","Europe","Australia","Oceania","South America")</f>
        <v>Europe</v>
      </c>
      <c r="D1935" s="18" t="s">
        <v>21</v>
      </c>
      <c r="E1935" s="18" t="s">
        <v>33</v>
      </c>
      <c r="F1935" s="18" t="s">
        <v>34</v>
      </c>
      <c r="G1935" s="18" t="s">
        <v>22</v>
      </c>
      <c r="H1935" s="64">
        <f>LEN(TRIM(Table22[[#This Row],[Country]]))</f>
        <v>7</v>
      </c>
      <c r="I1935" s="64">
        <f>LEN(TRIM(Table22[[#This Row],[Continent]]))</f>
        <v>6</v>
      </c>
      <c r="J1935" s="64">
        <f>LEN(TRIM(Table22[[#This Row],[Product]]))</f>
        <v>10</v>
      </c>
      <c r="K1935" s="64">
        <f>LEN(TRIM(Table22[[#This Row],[Sales Team]]))</f>
        <v>10</v>
      </c>
      <c r="L1935" s="23">
        <v>3</v>
      </c>
      <c r="M1935" s="65" t="str" cm="1">
        <f t="array" ref="M1935">_xlfn.IFS(Table22[[#This Row],[Units Sold]]&lt;40,"Critical",Table22[[#This Row],[Units Sold]]&lt;=50,"Poor",Table22[[#This Row],[Units Sold]]&lt;=60,"Low",Table22[[#This Row],[Units Sold]]&lt;=80,"Average",Table22[[#This Row],[Units Sold]]&lt;=90,"High",Table22[[#This Row],[Units Sold]]&lt;=95,"Excellent",Table22[[#This Row],[Units Sold]]&gt;95,"Outstanding")</f>
        <v>Critical</v>
      </c>
      <c r="N1935" s="29">
        <v>466.95</v>
      </c>
      <c r="O1935" s="29">
        <v>1400.85</v>
      </c>
      <c r="P1935" s="43">
        <f>IF(Table22[[#This Row],[Discount Applied]],Table22[[#This Row],[Total Sales (in USD)]]*(1-Table22[[#This Row],[Discount Percentage (%)]]/100),Table22[[#This Row],[Total Sales (in USD)]])</f>
        <v>1400.85</v>
      </c>
      <c r="Q1935" s="66">
        <f>SQRT(AVERAGE((Table22[[#This Row],[Net Sales (after discount) (in USD)]]-AVERAGE(Table22[Net Sales (after discount) (in USD)]))^2))</f>
        <v>35110.510563764539</v>
      </c>
      <c r="R1935" s="18" t="b">
        <v>0</v>
      </c>
      <c r="S1935" s="40">
        <v>9.7899999999999991</v>
      </c>
      <c r="T1935" s="18" t="b">
        <v>0</v>
      </c>
      <c r="U1935" s="25">
        <v>44947</v>
      </c>
      <c r="V1935" s="63" t="str">
        <f>IF(MONTH(Table22[[#This Row],[Sales Date]])&lt;=3,"Q1",IF(MONTH(Table22[[#This Row],[Sales Date]])&lt;=6,"Q2",IF(MONTH(Table22[[#This Row],[Sales Date]])&lt;=9,"Q3","Q4")))</f>
        <v>Q1</v>
      </c>
      <c r="W1935" s="64">
        <f>YEAR(Table22[[#This Row],[Sales Date]])</f>
        <v>2023</v>
      </c>
      <c r="X1935" s="23">
        <v>63</v>
      </c>
      <c r="Y1935" s="18" t="s">
        <v>23</v>
      </c>
      <c r="Z1935" s="18" t="s">
        <v>56</v>
      </c>
      <c r="AA1935" s="19" t="s">
        <v>36</v>
      </c>
    </row>
    <row r="1936" spans="1:27" x14ac:dyDescent="0.25">
      <c r="A1936" s="17" t="s">
        <v>830</v>
      </c>
      <c r="B1936" s="18" t="s">
        <v>62</v>
      </c>
      <c r="C1936" s="63" t="str" cm="1">
        <f t="array" ref="C1936">_xlfn.SWITCH(Table22[[#This Row],[Country]],"USA","North America","Canada","North America","Brazil","South America","China","Asia","Japan","Asia","India","Asia","France","Europe","Germany","Europe","UK","Europe","Australia","Oceania","South America")</f>
        <v>Oceania</v>
      </c>
      <c r="D1936" s="18" t="s">
        <v>35</v>
      </c>
      <c r="E1936" s="18" t="s">
        <v>33</v>
      </c>
      <c r="F1936" s="18" t="s">
        <v>52</v>
      </c>
      <c r="G1936" s="18" t="s">
        <v>48</v>
      </c>
      <c r="H1936" s="64">
        <f>LEN(TRIM(Table22[[#This Row],[Country]]))</f>
        <v>9</v>
      </c>
      <c r="I1936" s="64">
        <f>LEN(TRIM(Table22[[#This Row],[Continent]]))</f>
        <v>7</v>
      </c>
      <c r="J1936" s="64">
        <f>LEN(TRIM(Table22[[#This Row],[Product]]))</f>
        <v>10</v>
      </c>
      <c r="K1936" s="64">
        <f>LEN(TRIM(Table22[[#This Row],[Sales Team]]))</f>
        <v>9</v>
      </c>
      <c r="L1936" s="23">
        <v>1</v>
      </c>
      <c r="M1936" s="65" t="str" cm="1">
        <f t="array" ref="M1936">_xlfn.IFS(Table22[[#This Row],[Units Sold]]&lt;40,"Critical",Table22[[#This Row],[Units Sold]]&lt;=50,"Poor",Table22[[#This Row],[Units Sold]]&lt;=60,"Low",Table22[[#This Row],[Units Sold]]&lt;=80,"Average",Table22[[#This Row],[Units Sold]]&lt;=90,"High",Table22[[#This Row],[Units Sold]]&lt;=95,"Excellent",Table22[[#This Row],[Units Sold]]&gt;95,"Outstanding")</f>
        <v>Critical</v>
      </c>
      <c r="N1936" s="29">
        <v>1394.9</v>
      </c>
      <c r="O1936" s="29">
        <v>1394.9</v>
      </c>
      <c r="P1936" s="43">
        <f>IF(Table22[[#This Row],[Discount Applied]],Table22[[#This Row],[Total Sales (in USD)]]*(1-Table22[[#This Row],[Discount Percentage (%)]]/100),Table22[[#This Row],[Total Sales (in USD)]])</f>
        <v>1179.8064200000001</v>
      </c>
      <c r="Q1936" s="66">
        <f>SQRT(AVERAGE((Table22[[#This Row],[Net Sales (after discount) (in USD)]]-AVERAGE(Table22[Net Sales (after discount) (in USD)]))^2))</f>
        <v>35331.554143764537</v>
      </c>
      <c r="R1936" s="18" t="b">
        <v>1</v>
      </c>
      <c r="S1936" s="40">
        <v>15.42</v>
      </c>
      <c r="T1936" s="18" t="b">
        <v>1</v>
      </c>
      <c r="U1936" s="25">
        <v>45128</v>
      </c>
      <c r="V1936" s="63" t="str">
        <f>IF(MONTH(Table22[[#This Row],[Sales Date]])&lt;=3,"Q1",IF(MONTH(Table22[[#This Row],[Sales Date]])&lt;=6,"Q2",IF(MONTH(Table22[[#This Row],[Sales Date]])&lt;=9,"Q3","Q4")))</f>
        <v>Q3</v>
      </c>
      <c r="W1936" s="64">
        <f>YEAR(Table22[[#This Row],[Sales Date]])</f>
        <v>2023</v>
      </c>
      <c r="X1936" s="23">
        <v>64</v>
      </c>
      <c r="Y1936" s="18" t="s">
        <v>41</v>
      </c>
      <c r="Z1936" s="18" t="s">
        <v>30</v>
      </c>
      <c r="AA1936" s="19" t="s">
        <v>36</v>
      </c>
    </row>
    <row r="1937" spans="1:27" x14ac:dyDescent="0.25">
      <c r="A1937" s="17" t="s">
        <v>1001</v>
      </c>
      <c r="B1937" s="18" t="s">
        <v>51</v>
      </c>
      <c r="C1937" s="63" t="str" cm="1">
        <f t="array" ref="C1937">_xlfn.SWITCH(Table22[[#This Row],[Country]],"USA","North America","Canada","North America","Brazil","South America","China","Asia","Japan","Asia","India","Asia","France","Europe","Germany","Europe","UK","Europe","Australia","Oceania","South America")</f>
        <v>Europe</v>
      </c>
      <c r="D1937" s="18" t="s">
        <v>35</v>
      </c>
      <c r="E1937" s="18" t="s">
        <v>19</v>
      </c>
      <c r="F1937" s="18" t="s">
        <v>34</v>
      </c>
      <c r="G1937" s="18" t="s">
        <v>48</v>
      </c>
      <c r="H1937" s="64">
        <f>LEN(TRIM(Table22[[#This Row],[Country]]))</f>
        <v>2</v>
      </c>
      <c r="I1937" s="64">
        <f>LEN(TRIM(Table22[[#This Row],[Continent]]))</f>
        <v>6</v>
      </c>
      <c r="J1937" s="64">
        <f>LEN(TRIM(Table22[[#This Row],[Product]]))</f>
        <v>6</v>
      </c>
      <c r="K1937" s="64">
        <f>LEN(TRIM(Table22[[#This Row],[Sales Team]]))</f>
        <v>9</v>
      </c>
      <c r="L1937" s="23">
        <v>15</v>
      </c>
      <c r="M1937" s="65" t="str" cm="1">
        <f t="array" ref="M1937">_xlfn.IFS(Table22[[#This Row],[Units Sold]]&lt;40,"Critical",Table22[[#This Row],[Units Sold]]&lt;=50,"Poor",Table22[[#This Row],[Units Sold]]&lt;=60,"Low",Table22[[#This Row],[Units Sold]]&lt;=80,"Average",Table22[[#This Row],[Units Sold]]&lt;=90,"High",Table22[[#This Row],[Units Sold]]&lt;=95,"Excellent",Table22[[#This Row],[Units Sold]]&gt;95,"Outstanding")</f>
        <v>Critical</v>
      </c>
      <c r="N1937" s="29">
        <v>88.13</v>
      </c>
      <c r="O1937" s="29">
        <v>1321.95</v>
      </c>
      <c r="P1937" s="43">
        <f>IF(Table22[[#This Row],[Discount Applied]],Table22[[#This Row],[Total Sales (in USD)]]*(1-Table22[[#This Row],[Discount Percentage (%)]]/100),Table22[[#This Row],[Total Sales (in USD)]])</f>
        <v>1321.95</v>
      </c>
      <c r="Q1937" s="66">
        <f>SQRT(AVERAGE((Table22[[#This Row],[Net Sales (after discount) (in USD)]]-AVERAGE(Table22[Net Sales (after discount) (in USD)]))^2))</f>
        <v>35189.410563764541</v>
      </c>
      <c r="R1937" s="18" t="b">
        <v>0</v>
      </c>
      <c r="S1937" s="40">
        <v>14.81</v>
      </c>
      <c r="T1937" s="18" t="b">
        <v>0</v>
      </c>
      <c r="U1937" s="25">
        <v>45386</v>
      </c>
      <c r="V1937" s="63" t="str">
        <f>IF(MONTH(Table22[[#This Row],[Sales Date]])&lt;=3,"Q1",IF(MONTH(Table22[[#This Row],[Sales Date]])&lt;=6,"Q2",IF(MONTH(Table22[[#This Row],[Sales Date]])&lt;=9,"Q3","Q4")))</f>
        <v>Q2</v>
      </c>
      <c r="W1937" s="64">
        <f>YEAR(Table22[[#This Row],[Sales Date]])</f>
        <v>2024</v>
      </c>
      <c r="X1937" s="23">
        <v>22</v>
      </c>
      <c r="Y1937" s="18" t="s">
        <v>41</v>
      </c>
      <c r="Z1937" s="18" t="s">
        <v>42</v>
      </c>
      <c r="AA1937" s="19" t="s">
        <v>36</v>
      </c>
    </row>
    <row r="1938" spans="1:27" x14ac:dyDescent="0.25">
      <c r="A1938" s="17" t="s">
        <v>1699</v>
      </c>
      <c r="B1938" s="18" t="s">
        <v>27</v>
      </c>
      <c r="C1938" s="63" t="str" cm="1">
        <f t="array" ref="C1938">_xlfn.SWITCH(Table22[[#This Row],[Country]],"USA","North America","Canada","North America","Brazil","South America","China","Asia","Japan","Asia","India","Asia","France","Europe","Germany","Europe","UK","Europe","Australia","Oceania","South America")</f>
        <v>Europe</v>
      </c>
      <c r="D1938" s="18" t="s">
        <v>21</v>
      </c>
      <c r="E1938" s="18" t="s">
        <v>19</v>
      </c>
      <c r="F1938" s="18" t="s">
        <v>20</v>
      </c>
      <c r="G1938" s="18" t="s">
        <v>48</v>
      </c>
      <c r="H1938" s="64">
        <f>LEN(TRIM(Table22[[#This Row],[Country]]))</f>
        <v>7</v>
      </c>
      <c r="I1938" s="64">
        <f>LEN(TRIM(Table22[[#This Row],[Continent]]))</f>
        <v>6</v>
      </c>
      <c r="J1938" s="64">
        <f>LEN(TRIM(Table22[[#This Row],[Product]]))</f>
        <v>6</v>
      </c>
      <c r="K1938" s="64">
        <f>LEN(TRIM(Table22[[#This Row],[Sales Team]]))</f>
        <v>9</v>
      </c>
      <c r="L1938" s="23">
        <v>3</v>
      </c>
      <c r="M1938" s="65" t="str" cm="1">
        <f t="array" ref="M1938">_xlfn.IFS(Table22[[#This Row],[Units Sold]]&lt;40,"Critical",Table22[[#This Row],[Units Sold]]&lt;=50,"Poor",Table22[[#This Row],[Units Sold]]&lt;=60,"Low",Table22[[#This Row],[Units Sold]]&lt;=80,"Average",Table22[[#This Row],[Units Sold]]&lt;=90,"High",Table22[[#This Row],[Units Sold]]&lt;=95,"Excellent",Table22[[#This Row],[Units Sold]]&gt;95,"Outstanding")</f>
        <v>Critical</v>
      </c>
      <c r="N1938" s="29">
        <v>425.09</v>
      </c>
      <c r="O1938" s="29">
        <v>1275.27</v>
      </c>
      <c r="P1938" s="43">
        <f>IF(Table22[[#This Row],[Discount Applied]],Table22[[#This Row],[Total Sales (in USD)]]*(1-Table22[[#This Row],[Discount Percentage (%)]]/100),Table22[[#This Row],[Total Sales (in USD)]])</f>
        <v>1043.6809679999999</v>
      </c>
      <c r="Q1938" s="66">
        <f>SQRT(AVERAGE((Table22[[#This Row],[Net Sales (after discount) (in USD)]]-AVERAGE(Table22[Net Sales (after discount) (in USD)]))^2))</f>
        <v>35467.679595764537</v>
      </c>
      <c r="R1938" s="18" t="b">
        <v>0</v>
      </c>
      <c r="S1938" s="40">
        <v>18.16</v>
      </c>
      <c r="T1938" s="18" t="b">
        <v>1</v>
      </c>
      <c r="U1938" s="25">
        <v>45505</v>
      </c>
      <c r="V1938" s="63" t="str">
        <f>IF(MONTH(Table22[[#This Row],[Sales Date]])&lt;=3,"Q1",IF(MONTH(Table22[[#This Row],[Sales Date]])&lt;=6,"Q2",IF(MONTH(Table22[[#This Row],[Sales Date]])&lt;=9,"Q3","Q4")))</f>
        <v>Q3</v>
      </c>
      <c r="W1938" s="64">
        <f>YEAR(Table22[[#This Row],[Sales Date]])</f>
        <v>2024</v>
      </c>
      <c r="X1938" s="23">
        <v>32</v>
      </c>
      <c r="Y1938" s="18" t="s">
        <v>49</v>
      </c>
      <c r="Z1938" s="18" t="s">
        <v>24</v>
      </c>
      <c r="AA1938" s="19" t="s">
        <v>25</v>
      </c>
    </row>
    <row r="1939" spans="1:27" x14ac:dyDescent="0.25">
      <c r="A1939" s="17" t="s">
        <v>1744</v>
      </c>
      <c r="B1939" s="18" t="s">
        <v>32</v>
      </c>
      <c r="C1939" s="63" t="str" cm="1">
        <f t="array" ref="C1939">_xlfn.SWITCH(Table22[[#This Row],[Country]],"USA","North America","Canada","North America","Brazil","South America","China","Asia","Japan","Asia","India","Asia","France","Europe","Germany","Europe","UK","Europe","Australia","Oceania","South America")</f>
        <v>Asia</v>
      </c>
      <c r="D1939" s="18" t="s">
        <v>28</v>
      </c>
      <c r="E1939" s="18" t="s">
        <v>19</v>
      </c>
      <c r="F1939" s="18" t="s">
        <v>64</v>
      </c>
      <c r="G1939" s="18" t="s">
        <v>29</v>
      </c>
      <c r="H1939" s="64">
        <f>LEN(TRIM(Table22[[#This Row],[Country]]))</f>
        <v>5</v>
      </c>
      <c r="I1939" s="64">
        <f>LEN(TRIM(Table22[[#This Row],[Continent]]))</f>
        <v>4</v>
      </c>
      <c r="J1939" s="64">
        <f>LEN(TRIM(Table22[[#This Row],[Product]]))</f>
        <v>6</v>
      </c>
      <c r="K1939" s="64">
        <f>LEN(TRIM(Table22[[#This Row],[Sales Team]]))</f>
        <v>10</v>
      </c>
      <c r="L1939" s="23">
        <v>9</v>
      </c>
      <c r="M1939" s="65" t="str" cm="1">
        <f t="array" ref="M1939">_xlfn.IFS(Table22[[#This Row],[Units Sold]]&lt;40,"Critical",Table22[[#This Row],[Units Sold]]&lt;=50,"Poor",Table22[[#This Row],[Units Sold]]&lt;=60,"Low",Table22[[#This Row],[Units Sold]]&lt;=80,"Average",Table22[[#This Row],[Units Sold]]&lt;=90,"High",Table22[[#This Row],[Units Sold]]&lt;=95,"Excellent",Table22[[#This Row],[Units Sold]]&gt;95,"Outstanding")</f>
        <v>Critical</v>
      </c>
      <c r="N1939" s="29">
        <v>139.38</v>
      </c>
      <c r="O1939" s="29">
        <v>1254.42</v>
      </c>
      <c r="P1939" s="43">
        <f>IF(Table22[[#This Row],[Discount Applied]],Table22[[#This Row],[Total Sales (in USD)]]*(1-Table22[[#This Row],[Discount Percentage (%)]]/100),Table22[[#This Row],[Total Sales (in USD)]])</f>
        <v>1144.1564820000001</v>
      </c>
      <c r="Q1939" s="66">
        <f>SQRT(AVERAGE((Table22[[#This Row],[Net Sales (after discount) (in USD)]]-AVERAGE(Table22[Net Sales (after discount) (in USD)]))^2))</f>
        <v>35367.204081764539</v>
      </c>
      <c r="R1939" s="18" t="b">
        <v>1</v>
      </c>
      <c r="S1939" s="40">
        <v>8.7899999999999991</v>
      </c>
      <c r="T1939" s="18" t="b">
        <v>1</v>
      </c>
      <c r="U1939" s="25">
        <v>45013</v>
      </c>
      <c r="V1939" s="63" t="str">
        <f>IF(MONTH(Table22[[#This Row],[Sales Date]])&lt;=3,"Q1",IF(MONTH(Table22[[#This Row],[Sales Date]])&lt;=6,"Q2",IF(MONTH(Table22[[#This Row],[Sales Date]])&lt;=9,"Q3","Q4")))</f>
        <v>Q1</v>
      </c>
      <c r="W1939" s="64">
        <f>YEAR(Table22[[#This Row],[Sales Date]])</f>
        <v>2023</v>
      </c>
      <c r="X1939" s="23">
        <v>22</v>
      </c>
      <c r="Y1939" s="18" t="s">
        <v>23</v>
      </c>
      <c r="Z1939" s="18" t="s">
        <v>30</v>
      </c>
      <c r="AA1939" s="19" t="s">
        <v>25</v>
      </c>
    </row>
    <row r="1940" spans="1:27" x14ac:dyDescent="0.25">
      <c r="A1940" s="17" t="s">
        <v>1430</v>
      </c>
      <c r="B1940" s="18" t="s">
        <v>62</v>
      </c>
      <c r="C1940" s="63" t="str" cm="1">
        <f t="array" ref="C1940">_xlfn.SWITCH(Table22[[#This Row],[Country]],"USA","North America","Canada","North America","Brazil","South America","China","Asia","Japan","Asia","India","Asia","France","Europe","Germany","Europe","UK","Europe","Australia","Oceania","South America")</f>
        <v>Oceania</v>
      </c>
      <c r="D1940" s="18" t="s">
        <v>35</v>
      </c>
      <c r="E1940" s="18" t="s">
        <v>19</v>
      </c>
      <c r="F1940" s="18" t="s">
        <v>47</v>
      </c>
      <c r="G1940" s="18" t="s">
        <v>22</v>
      </c>
      <c r="H1940" s="64">
        <f>LEN(TRIM(Table22[[#This Row],[Country]]))</f>
        <v>9</v>
      </c>
      <c r="I1940" s="64">
        <f>LEN(TRIM(Table22[[#This Row],[Continent]]))</f>
        <v>7</v>
      </c>
      <c r="J1940" s="64">
        <f>LEN(TRIM(Table22[[#This Row],[Product]]))</f>
        <v>6</v>
      </c>
      <c r="K1940" s="64">
        <f>LEN(TRIM(Table22[[#This Row],[Sales Team]]))</f>
        <v>10</v>
      </c>
      <c r="L1940" s="23">
        <v>1</v>
      </c>
      <c r="M1940" s="65" t="str" cm="1">
        <f t="array" ref="M1940">_xlfn.IFS(Table22[[#This Row],[Units Sold]]&lt;40,"Critical",Table22[[#This Row],[Units Sold]]&lt;=50,"Poor",Table22[[#This Row],[Units Sold]]&lt;=60,"Low",Table22[[#This Row],[Units Sold]]&lt;=80,"Average",Table22[[#This Row],[Units Sold]]&lt;=90,"High",Table22[[#This Row],[Units Sold]]&lt;=95,"Excellent",Table22[[#This Row],[Units Sold]]&gt;95,"Outstanding")</f>
        <v>Critical</v>
      </c>
      <c r="N1940" s="29">
        <v>1251.24</v>
      </c>
      <c r="O1940" s="29">
        <v>1251.24</v>
      </c>
      <c r="P1940" s="43">
        <f>IF(Table22[[#This Row],[Discount Applied]],Table22[[#This Row],[Total Sales (in USD)]]*(1-Table22[[#This Row],[Discount Percentage (%)]]/100),Table22[[#This Row],[Total Sales (in USD)]])</f>
        <v>1251.24</v>
      </c>
      <c r="Q1940" s="66">
        <f>SQRT(AVERAGE((Table22[[#This Row],[Net Sales (after discount) (in USD)]]-AVERAGE(Table22[Net Sales (after discount) (in USD)]))^2))</f>
        <v>35260.12056376454</v>
      </c>
      <c r="R1940" s="18" t="b">
        <v>1</v>
      </c>
      <c r="S1940" s="40">
        <v>19.5</v>
      </c>
      <c r="T1940" s="18" t="b">
        <v>0</v>
      </c>
      <c r="U1940" s="25">
        <v>45554</v>
      </c>
      <c r="V1940" s="63" t="str">
        <f>IF(MONTH(Table22[[#This Row],[Sales Date]])&lt;=3,"Q1",IF(MONTH(Table22[[#This Row],[Sales Date]])&lt;=6,"Q2",IF(MONTH(Table22[[#This Row],[Sales Date]])&lt;=9,"Q3","Q4")))</f>
        <v>Q3</v>
      </c>
      <c r="W1940" s="64">
        <f>YEAR(Table22[[#This Row],[Sales Date]])</f>
        <v>2024</v>
      </c>
      <c r="X1940" s="23">
        <v>67</v>
      </c>
      <c r="Y1940" s="18" t="s">
        <v>23</v>
      </c>
      <c r="Z1940" s="18" t="s">
        <v>42</v>
      </c>
      <c r="AA1940" s="19" t="s">
        <v>36</v>
      </c>
    </row>
    <row r="1941" spans="1:27" x14ac:dyDescent="0.25">
      <c r="A1941" s="17" t="s">
        <v>1579</v>
      </c>
      <c r="B1941" s="18" t="s">
        <v>66</v>
      </c>
      <c r="C1941" s="63" t="str" cm="1">
        <f t="array" ref="C1941">_xlfn.SWITCH(Table22[[#This Row],[Country]],"USA","North America","Canada","North America","Brazil","South America","China","Asia","Japan","Asia","India","Asia","France","Europe","Germany","Europe","UK","Europe","Australia","Oceania","South America")</f>
        <v>North America</v>
      </c>
      <c r="D1941" s="18" t="s">
        <v>21</v>
      </c>
      <c r="E1941" s="18" t="s">
        <v>39</v>
      </c>
      <c r="F1941" s="18" t="s">
        <v>47</v>
      </c>
      <c r="G1941" s="18" t="s">
        <v>29</v>
      </c>
      <c r="H1941" s="64">
        <f>LEN(TRIM(Table22[[#This Row],[Country]]))</f>
        <v>6</v>
      </c>
      <c r="I1941" s="64">
        <f>LEN(TRIM(Table22[[#This Row],[Continent]]))</f>
        <v>13</v>
      </c>
      <c r="J1941" s="64">
        <f>LEN(TRIM(Table22[[#This Row],[Product]]))</f>
        <v>10</v>
      </c>
      <c r="K1941" s="64">
        <f>LEN(TRIM(Table22[[#This Row],[Sales Team]]))</f>
        <v>10</v>
      </c>
      <c r="L1941" s="23">
        <v>3</v>
      </c>
      <c r="M1941" s="65" t="str" cm="1">
        <f t="array" ref="M1941">_xlfn.IFS(Table22[[#This Row],[Units Sold]]&lt;40,"Critical",Table22[[#This Row],[Units Sold]]&lt;=50,"Poor",Table22[[#This Row],[Units Sold]]&lt;=60,"Low",Table22[[#This Row],[Units Sold]]&lt;=80,"Average",Table22[[#This Row],[Units Sold]]&lt;=90,"High",Table22[[#This Row],[Units Sold]]&lt;=95,"Excellent",Table22[[#This Row],[Units Sold]]&gt;95,"Outstanding")</f>
        <v>Critical</v>
      </c>
      <c r="N1941" s="29">
        <v>414.18</v>
      </c>
      <c r="O1941" s="29">
        <v>1242.54</v>
      </c>
      <c r="P1941" s="43">
        <f>IF(Table22[[#This Row],[Discount Applied]],Table22[[#This Row],[Total Sales (in USD)]]*(1-Table22[[#This Row],[Discount Percentage (%)]]/100),Table22[[#This Row],[Total Sales (in USD)]])</f>
        <v>1242.54</v>
      </c>
      <c r="Q1941" s="66">
        <f>SQRT(AVERAGE((Table22[[#This Row],[Net Sales (after discount) (in USD)]]-AVERAGE(Table22[Net Sales (after discount) (in USD)]))^2))</f>
        <v>35268.820563764537</v>
      </c>
      <c r="R1941" s="18" t="b">
        <v>1</v>
      </c>
      <c r="S1941" s="40">
        <v>9.99</v>
      </c>
      <c r="T1941" s="18" t="b">
        <v>0</v>
      </c>
      <c r="U1941" s="25">
        <v>45104</v>
      </c>
      <c r="V1941" s="63" t="str">
        <f>IF(MONTH(Table22[[#This Row],[Sales Date]])&lt;=3,"Q1",IF(MONTH(Table22[[#This Row],[Sales Date]])&lt;=6,"Q2",IF(MONTH(Table22[[#This Row],[Sales Date]])&lt;=9,"Q3","Q4")))</f>
        <v>Q2</v>
      </c>
      <c r="W1941" s="64">
        <f>YEAR(Table22[[#This Row],[Sales Date]])</f>
        <v>2023</v>
      </c>
      <c r="X1941" s="23">
        <v>21</v>
      </c>
      <c r="Y1941" s="18" t="s">
        <v>49</v>
      </c>
      <c r="Z1941" s="18" t="s">
        <v>56</v>
      </c>
      <c r="AA1941" s="19" t="s">
        <v>25</v>
      </c>
    </row>
    <row r="1942" spans="1:27" x14ac:dyDescent="0.25">
      <c r="A1942" s="17" t="s">
        <v>360</v>
      </c>
      <c r="B1942" s="18" t="s">
        <v>18</v>
      </c>
      <c r="C1942" s="63" t="str" cm="1">
        <f t="array" ref="C1942">_xlfn.SWITCH(Table22[[#This Row],[Country]],"USA","North America","Canada","North America","Brazil","South America","China","Asia","Japan","Asia","India","Asia","France","Europe","Germany","Europe","UK","Europe","Australia","Oceania","South America")</f>
        <v>Asia</v>
      </c>
      <c r="D1942" s="18" t="s">
        <v>28</v>
      </c>
      <c r="E1942" s="18" t="s">
        <v>39</v>
      </c>
      <c r="F1942" s="18" t="s">
        <v>52</v>
      </c>
      <c r="G1942" s="18" t="s">
        <v>22</v>
      </c>
      <c r="H1942" s="64">
        <f>LEN(TRIM(Table22[[#This Row],[Country]]))</f>
        <v>5</v>
      </c>
      <c r="I1942" s="64">
        <f>LEN(TRIM(Table22[[#This Row],[Continent]]))</f>
        <v>4</v>
      </c>
      <c r="J1942" s="64">
        <f>LEN(TRIM(Table22[[#This Row],[Product]]))</f>
        <v>10</v>
      </c>
      <c r="K1942" s="64">
        <f>LEN(TRIM(Table22[[#This Row],[Sales Team]]))</f>
        <v>10</v>
      </c>
      <c r="L1942" s="23">
        <v>6</v>
      </c>
      <c r="M1942" s="65" t="str" cm="1">
        <f t="array" ref="M1942">_xlfn.IFS(Table22[[#This Row],[Units Sold]]&lt;40,"Critical",Table22[[#This Row],[Units Sold]]&lt;=50,"Poor",Table22[[#This Row],[Units Sold]]&lt;=60,"Low",Table22[[#This Row],[Units Sold]]&lt;=80,"Average",Table22[[#This Row],[Units Sold]]&lt;=90,"High",Table22[[#This Row],[Units Sold]]&lt;=95,"Excellent",Table22[[#This Row],[Units Sold]]&gt;95,"Outstanding")</f>
        <v>Critical</v>
      </c>
      <c r="N1942" s="29">
        <v>206.39</v>
      </c>
      <c r="O1942" s="29">
        <v>1238.3399999999999</v>
      </c>
      <c r="P1942" s="43">
        <f>IF(Table22[[#This Row],[Discount Applied]],Table22[[#This Row],[Total Sales (in USD)]]*(1-Table22[[#This Row],[Discount Percentage (%)]]/100),Table22[[#This Row],[Total Sales (in USD)]])</f>
        <v>1238.3399999999999</v>
      </c>
      <c r="Q1942" s="66">
        <f>SQRT(AVERAGE((Table22[[#This Row],[Net Sales (after discount) (in USD)]]-AVERAGE(Table22[Net Sales (after discount) (in USD)]))^2))</f>
        <v>35273.020563764541</v>
      </c>
      <c r="R1942" s="18" t="b">
        <v>1</v>
      </c>
      <c r="S1942" s="40">
        <v>12.68</v>
      </c>
      <c r="T1942" s="18" t="b">
        <v>0</v>
      </c>
      <c r="U1942" s="25">
        <v>45232</v>
      </c>
      <c r="V1942" s="63" t="str">
        <f>IF(MONTH(Table22[[#This Row],[Sales Date]])&lt;=3,"Q1",IF(MONTH(Table22[[#This Row],[Sales Date]])&lt;=6,"Q2",IF(MONTH(Table22[[#This Row],[Sales Date]])&lt;=9,"Q3","Q4")))</f>
        <v>Q4</v>
      </c>
      <c r="W1942" s="64">
        <f>YEAR(Table22[[#This Row],[Sales Date]])</f>
        <v>2023</v>
      </c>
      <c r="X1942" s="23">
        <v>59</v>
      </c>
      <c r="Y1942" s="18" t="s">
        <v>49</v>
      </c>
      <c r="Z1942" s="18" t="s">
        <v>42</v>
      </c>
      <c r="AA1942" s="19" t="s">
        <v>36</v>
      </c>
    </row>
    <row r="1943" spans="1:27" x14ac:dyDescent="0.25">
      <c r="A1943" s="17" t="s">
        <v>272</v>
      </c>
      <c r="B1943" s="18" t="s">
        <v>72</v>
      </c>
      <c r="C1943" s="63" t="str" cm="1">
        <f t="array" ref="C1943">_xlfn.SWITCH(Table22[[#This Row],[Country]],"USA","North America","Canada","North America","Brazil","South America","China","Asia","Japan","Asia","India","Asia","France","Europe","Germany","Europe","UK","Europe","Australia","Oceania","South America")</f>
        <v>North America</v>
      </c>
      <c r="D1943" s="18" t="s">
        <v>28</v>
      </c>
      <c r="E1943" s="18" t="s">
        <v>19</v>
      </c>
      <c r="F1943" s="18" t="s">
        <v>64</v>
      </c>
      <c r="G1943" s="18" t="s">
        <v>29</v>
      </c>
      <c r="H1943" s="64">
        <f>LEN(TRIM(Table22[[#This Row],[Country]]))</f>
        <v>3</v>
      </c>
      <c r="I1943" s="64">
        <f>LEN(TRIM(Table22[[#This Row],[Continent]]))</f>
        <v>13</v>
      </c>
      <c r="J1943" s="64">
        <f>LEN(TRIM(Table22[[#This Row],[Product]]))</f>
        <v>6</v>
      </c>
      <c r="K1943" s="64">
        <f>LEN(TRIM(Table22[[#This Row],[Sales Team]]))</f>
        <v>10</v>
      </c>
      <c r="L1943" s="23">
        <v>1</v>
      </c>
      <c r="M1943" s="65" t="str" cm="1">
        <f t="array" ref="M1943">_xlfn.IFS(Table22[[#This Row],[Units Sold]]&lt;40,"Critical",Table22[[#This Row],[Units Sold]]&lt;=50,"Poor",Table22[[#This Row],[Units Sold]]&lt;=60,"Low",Table22[[#This Row],[Units Sold]]&lt;=80,"Average",Table22[[#This Row],[Units Sold]]&lt;=90,"High",Table22[[#This Row],[Units Sold]]&lt;=95,"Excellent",Table22[[#This Row],[Units Sold]]&gt;95,"Outstanding")</f>
        <v>Critical</v>
      </c>
      <c r="N1943" s="29">
        <v>1227.24</v>
      </c>
      <c r="O1943" s="29">
        <v>1227.24</v>
      </c>
      <c r="P1943" s="43">
        <f>IF(Table22[[#This Row],[Discount Applied]],Table22[[#This Row],[Total Sales (in USD)]]*(1-Table22[[#This Row],[Discount Percentage (%)]]/100),Table22[[#This Row],[Total Sales (in USD)]])</f>
        <v>1227.24</v>
      </c>
      <c r="Q1943" s="66">
        <f>SQRT(AVERAGE((Table22[[#This Row],[Net Sales (after discount) (in USD)]]-AVERAGE(Table22[Net Sales (after discount) (in USD)]))^2))</f>
        <v>35284.12056376454</v>
      </c>
      <c r="R1943" s="18" t="b">
        <v>0</v>
      </c>
      <c r="S1943" s="40">
        <v>12.21</v>
      </c>
      <c r="T1943" s="18" t="b">
        <v>0</v>
      </c>
      <c r="U1943" s="25">
        <v>44968</v>
      </c>
      <c r="V1943" s="63" t="str">
        <f>IF(MONTH(Table22[[#This Row],[Sales Date]])&lt;=3,"Q1",IF(MONTH(Table22[[#This Row],[Sales Date]])&lt;=6,"Q2",IF(MONTH(Table22[[#This Row],[Sales Date]])&lt;=9,"Q3","Q4")))</f>
        <v>Q1</v>
      </c>
      <c r="W1943" s="64">
        <f>YEAR(Table22[[#This Row],[Sales Date]])</f>
        <v>2023</v>
      </c>
      <c r="X1943" s="23">
        <v>19</v>
      </c>
      <c r="Y1943" s="18" t="s">
        <v>41</v>
      </c>
      <c r="Z1943" s="18" t="s">
        <v>42</v>
      </c>
      <c r="AA1943" s="19" t="s">
        <v>25</v>
      </c>
    </row>
    <row r="1944" spans="1:27" x14ac:dyDescent="0.25">
      <c r="A1944" s="17" t="s">
        <v>683</v>
      </c>
      <c r="B1944" s="18" t="s">
        <v>38</v>
      </c>
      <c r="C1944" s="63" t="str" cm="1">
        <f t="array" ref="C1944">_xlfn.SWITCH(Table22[[#This Row],[Country]],"USA","North America","Canada","North America","Brazil","South America","China","Asia","Japan","Asia","India","Asia","France","Europe","Germany","Europe","UK","Europe","Australia","Oceania","South America")</f>
        <v>Europe</v>
      </c>
      <c r="D1944" s="18" t="s">
        <v>35</v>
      </c>
      <c r="E1944" s="18" t="s">
        <v>39</v>
      </c>
      <c r="F1944" s="18" t="s">
        <v>34</v>
      </c>
      <c r="G1944" s="18" t="s">
        <v>29</v>
      </c>
      <c r="H1944" s="64">
        <f>LEN(TRIM(Table22[[#This Row],[Country]]))</f>
        <v>6</v>
      </c>
      <c r="I1944" s="64">
        <f>LEN(TRIM(Table22[[#This Row],[Continent]]))</f>
        <v>6</v>
      </c>
      <c r="J1944" s="64">
        <f>LEN(TRIM(Table22[[#This Row],[Product]]))</f>
        <v>10</v>
      </c>
      <c r="K1944" s="64">
        <f>LEN(TRIM(Table22[[#This Row],[Sales Team]]))</f>
        <v>10</v>
      </c>
      <c r="L1944" s="23">
        <v>3</v>
      </c>
      <c r="M1944" s="65" t="str" cm="1">
        <f t="array" ref="M1944">_xlfn.IFS(Table22[[#This Row],[Units Sold]]&lt;40,"Critical",Table22[[#This Row],[Units Sold]]&lt;=50,"Poor",Table22[[#This Row],[Units Sold]]&lt;=60,"Low",Table22[[#This Row],[Units Sold]]&lt;=80,"Average",Table22[[#This Row],[Units Sold]]&lt;=90,"High",Table22[[#This Row],[Units Sold]]&lt;=95,"Excellent",Table22[[#This Row],[Units Sold]]&gt;95,"Outstanding")</f>
        <v>Critical</v>
      </c>
      <c r="N1944" s="29">
        <v>400.84</v>
      </c>
      <c r="O1944" s="29">
        <v>1202.52</v>
      </c>
      <c r="P1944" s="43">
        <f>IF(Table22[[#This Row],[Discount Applied]],Table22[[#This Row],[Total Sales (in USD)]]*(1-Table22[[#This Row],[Discount Percentage (%)]]/100),Table22[[#This Row],[Total Sales (in USD)]])</f>
        <v>858.23852399999998</v>
      </c>
      <c r="Q1944" s="66">
        <f>SQRT(AVERAGE((Table22[[#This Row],[Net Sales (after discount) (in USD)]]-AVERAGE(Table22[Net Sales (after discount) (in USD)]))^2))</f>
        <v>35653.122039764537</v>
      </c>
      <c r="R1944" s="18" t="b">
        <v>1</v>
      </c>
      <c r="S1944" s="40">
        <v>28.63</v>
      </c>
      <c r="T1944" s="18" t="b">
        <v>1</v>
      </c>
      <c r="U1944" s="25">
        <v>45423</v>
      </c>
      <c r="V1944" s="63" t="str">
        <f>IF(MONTH(Table22[[#This Row],[Sales Date]])&lt;=3,"Q1",IF(MONTH(Table22[[#This Row],[Sales Date]])&lt;=6,"Q2",IF(MONTH(Table22[[#This Row],[Sales Date]])&lt;=9,"Q3","Q4")))</f>
        <v>Q2</v>
      </c>
      <c r="W1944" s="64">
        <f>YEAR(Table22[[#This Row],[Sales Date]])</f>
        <v>2024</v>
      </c>
      <c r="X1944" s="23">
        <v>33</v>
      </c>
      <c r="Y1944" s="18" t="s">
        <v>41</v>
      </c>
      <c r="Z1944" s="18" t="s">
        <v>24</v>
      </c>
      <c r="AA1944" s="19" t="s">
        <v>36</v>
      </c>
    </row>
    <row r="1945" spans="1:27" x14ac:dyDescent="0.25">
      <c r="A1945" s="17" t="s">
        <v>1551</v>
      </c>
      <c r="B1945" s="18" t="s">
        <v>38</v>
      </c>
      <c r="C1945" s="63" t="str" cm="1">
        <f t="array" ref="C1945">_xlfn.SWITCH(Table22[[#This Row],[Country]],"USA","North America","Canada","North America","Brazil","South America","China","Asia","Japan","Asia","India","Asia","France","Europe","Germany","Europe","UK","Europe","Australia","Oceania","South America")</f>
        <v>Europe</v>
      </c>
      <c r="D1945" s="18" t="s">
        <v>21</v>
      </c>
      <c r="E1945" s="18" t="s">
        <v>33</v>
      </c>
      <c r="F1945" s="18" t="s">
        <v>64</v>
      </c>
      <c r="G1945" s="18" t="s">
        <v>48</v>
      </c>
      <c r="H1945" s="64">
        <f>LEN(TRIM(Table22[[#This Row],[Country]]))</f>
        <v>6</v>
      </c>
      <c r="I1945" s="64">
        <f>LEN(TRIM(Table22[[#This Row],[Continent]]))</f>
        <v>6</v>
      </c>
      <c r="J1945" s="64">
        <f>LEN(TRIM(Table22[[#This Row],[Product]]))</f>
        <v>10</v>
      </c>
      <c r="K1945" s="64">
        <f>LEN(TRIM(Table22[[#This Row],[Sales Team]]))</f>
        <v>9</v>
      </c>
      <c r="L1945" s="23">
        <v>1</v>
      </c>
      <c r="M1945" s="65" t="str" cm="1">
        <f t="array" ref="M1945">_xlfn.IFS(Table22[[#This Row],[Units Sold]]&lt;40,"Critical",Table22[[#This Row],[Units Sold]]&lt;=50,"Poor",Table22[[#This Row],[Units Sold]]&lt;=60,"Low",Table22[[#This Row],[Units Sold]]&lt;=80,"Average",Table22[[#This Row],[Units Sold]]&lt;=90,"High",Table22[[#This Row],[Units Sold]]&lt;=95,"Excellent",Table22[[#This Row],[Units Sold]]&gt;95,"Outstanding")</f>
        <v>Critical</v>
      </c>
      <c r="N1945" s="29">
        <v>1189.3399999999999</v>
      </c>
      <c r="O1945" s="29">
        <v>1189.3399999999999</v>
      </c>
      <c r="P1945" s="43">
        <f>IF(Table22[[#This Row],[Discount Applied]],Table22[[#This Row],[Total Sales (in USD)]]*(1-Table22[[#This Row],[Discount Percentage (%)]]/100),Table22[[#This Row],[Total Sales (in USD)]])</f>
        <v>854.18398799999989</v>
      </c>
      <c r="Q1945" s="66">
        <f>SQRT(AVERAGE((Table22[[#This Row],[Net Sales (after discount) (in USD)]]-AVERAGE(Table22[Net Sales (after discount) (in USD)]))^2))</f>
        <v>35657.176575764541</v>
      </c>
      <c r="R1945" s="18" t="b">
        <v>0</v>
      </c>
      <c r="S1945" s="40">
        <v>28.18</v>
      </c>
      <c r="T1945" s="18" t="b">
        <v>1</v>
      </c>
      <c r="U1945" s="25">
        <v>44934</v>
      </c>
      <c r="V1945" s="63" t="str">
        <f>IF(MONTH(Table22[[#This Row],[Sales Date]])&lt;=3,"Q1",IF(MONTH(Table22[[#This Row],[Sales Date]])&lt;=6,"Q2",IF(MONTH(Table22[[#This Row],[Sales Date]])&lt;=9,"Q3","Q4")))</f>
        <v>Q1</v>
      </c>
      <c r="W1945" s="64">
        <f>YEAR(Table22[[#This Row],[Sales Date]])</f>
        <v>2023</v>
      </c>
      <c r="X1945" s="23">
        <v>27</v>
      </c>
      <c r="Y1945" s="18" t="s">
        <v>49</v>
      </c>
      <c r="Z1945" s="18" t="s">
        <v>56</v>
      </c>
      <c r="AA1945" s="19" t="s">
        <v>25</v>
      </c>
    </row>
    <row r="1946" spans="1:27" x14ac:dyDescent="0.25">
      <c r="A1946" s="17" t="s">
        <v>424</v>
      </c>
      <c r="B1946" s="18" t="s">
        <v>27</v>
      </c>
      <c r="C1946" s="63" t="str" cm="1">
        <f t="array" ref="C1946">_xlfn.SWITCH(Table22[[#This Row],[Country]],"USA","North America","Canada","North America","Brazil","South America","China","Asia","Japan","Asia","India","Asia","France","Europe","Germany","Europe","UK","Europe","Australia","Oceania","South America")</f>
        <v>Europe</v>
      </c>
      <c r="D1946" s="18" t="s">
        <v>35</v>
      </c>
      <c r="E1946" s="18" t="s">
        <v>19</v>
      </c>
      <c r="F1946" s="18" t="s">
        <v>34</v>
      </c>
      <c r="G1946" s="18" t="s">
        <v>40</v>
      </c>
      <c r="H1946" s="64">
        <f>LEN(TRIM(Table22[[#This Row],[Country]]))</f>
        <v>7</v>
      </c>
      <c r="I1946" s="64">
        <f>LEN(TRIM(Table22[[#This Row],[Continent]]))</f>
        <v>6</v>
      </c>
      <c r="J1946" s="64">
        <f>LEN(TRIM(Table22[[#This Row],[Product]]))</f>
        <v>6</v>
      </c>
      <c r="K1946" s="64">
        <f>LEN(TRIM(Table22[[#This Row],[Sales Team]]))</f>
        <v>10</v>
      </c>
      <c r="L1946" s="23">
        <v>15</v>
      </c>
      <c r="M1946" s="65" t="str" cm="1">
        <f t="array" ref="M1946">_xlfn.IFS(Table22[[#This Row],[Units Sold]]&lt;40,"Critical",Table22[[#This Row],[Units Sold]]&lt;=50,"Poor",Table22[[#This Row],[Units Sold]]&lt;=60,"Low",Table22[[#This Row],[Units Sold]]&lt;=80,"Average",Table22[[#This Row],[Units Sold]]&lt;=90,"High",Table22[[#This Row],[Units Sold]]&lt;=95,"Excellent",Table22[[#This Row],[Units Sold]]&gt;95,"Outstanding")</f>
        <v>Critical</v>
      </c>
      <c r="N1946" s="29">
        <v>78.599999999999994</v>
      </c>
      <c r="O1946" s="29">
        <v>1179</v>
      </c>
      <c r="P1946" s="43">
        <f>IF(Table22[[#This Row],[Discount Applied]],Table22[[#This Row],[Total Sales (in USD)]]*(1-Table22[[#This Row],[Discount Percentage (%)]]/100),Table22[[#This Row],[Total Sales (in USD)]])</f>
        <v>1060.3925999999999</v>
      </c>
      <c r="Q1946" s="66">
        <f>SQRT(AVERAGE((Table22[[#This Row],[Net Sales (after discount) (in USD)]]-AVERAGE(Table22[Net Sales (after discount) (in USD)]))^2))</f>
        <v>35450.967963764539</v>
      </c>
      <c r="R1946" s="18" t="b">
        <v>0</v>
      </c>
      <c r="S1946" s="40">
        <v>10.06</v>
      </c>
      <c r="T1946" s="18" t="b">
        <v>1</v>
      </c>
      <c r="U1946" s="25">
        <v>44941</v>
      </c>
      <c r="V1946" s="63" t="str">
        <f>IF(MONTH(Table22[[#This Row],[Sales Date]])&lt;=3,"Q1",IF(MONTH(Table22[[#This Row],[Sales Date]])&lt;=6,"Q2",IF(MONTH(Table22[[#This Row],[Sales Date]])&lt;=9,"Q3","Q4")))</f>
        <v>Q1</v>
      </c>
      <c r="W1946" s="64">
        <f>YEAR(Table22[[#This Row],[Sales Date]])</f>
        <v>2023</v>
      </c>
      <c r="X1946" s="23">
        <v>22</v>
      </c>
      <c r="Y1946" s="18" t="s">
        <v>23</v>
      </c>
      <c r="Z1946" s="18" t="s">
        <v>56</v>
      </c>
      <c r="AA1946" s="19" t="s">
        <v>36</v>
      </c>
    </row>
    <row r="1947" spans="1:27" x14ac:dyDescent="0.25">
      <c r="A1947" s="17" t="s">
        <v>1187</v>
      </c>
      <c r="B1947" s="18" t="s">
        <v>18</v>
      </c>
      <c r="C1947" s="63" t="str" cm="1">
        <f t="array" ref="C1947">_xlfn.SWITCH(Table22[[#This Row],[Country]],"USA","North America","Canada","North America","Brazil","South America","China","Asia","Japan","Asia","India","Asia","France","Europe","Germany","Europe","UK","Europe","Australia","Oceania","South America")</f>
        <v>Asia</v>
      </c>
      <c r="D1947" s="18" t="s">
        <v>35</v>
      </c>
      <c r="E1947" s="18" t="s">
        <v>39</v>
      </c>
      <c r="F1947" s="18" t="s">
        <v>34</v>
      </c>
      <c r="G1947" s="18" t="s">
        <v>29</v>
      </c>
      <c r="H1947" s="64">
        <f>LEN(TRIM(Table22[[#This Row],[Country]]))</f>
        <v>5</v>
      </c>
      <c r="I1947" s="64">
        <f>LEN(TRIM(Table22[[#This Row],[Continent]]))</f>
        <v>4</v>
      </c>
      <c r="J1947" s="64">
        <f>LEN(TRIM(Table22[[#This Row],[Product]]))</f>
        <v>10</v>
      </c>
      <c r="K1947" s="64">
        <f>LEN(TRIM(Table22[[#This Row],[Sales Team]]))</f>
        <v>10</v>
      </c>
      <c r="L1947" s="23">
        <v>1</v>
      </c>
      <c r="M1947" s="65" t="str" cm="1">
        <f t="array" ref="M1947">_xlfn.IFS(Table22[[#This Row],[Units Sold]]&lt;40,"Critical",Table22[[#This Row],[Units Sold]]&lt;=50,"Poor",Table22[[#This Row],[Units Sold]]&lt;=60,"Low",Table22[[#This Row],[Units Sold]]&lt;=80,"Average",Table22[[#This Row],[Units Sold]]&lt;=90,"High",Table22[[#This Row],[Units Sold]]&lt;=95,"Excellent",Table22[[#This Row],[Units Sold]]&gt;95,"Outstanding")</f>
        <v>Critical</v>
      </c>
      <c r="N1947" s="29">
        <v>1154.74</v>
      </c>
      <c r="O1947" s="29">
        <v>1154.74</v>
      </c>
      <c r="P1947" s="43">
        <f>IF(Table22[[#This Row],[Discount Applied]],Table22[[#This Row],[Total Sales (in USD)]]*(1-Table22[[#This Row],[Discount Percentage (%)]]/100),Table22[[#This Row],[Total Sales (in USD)]])</f>
        <v>1125.29413</v>
      </c>
      <c r="Q1947" s="66">
        <f>SQRT(AVERAGE((Table22[[#This Row],[Net Sales (after discount) (in USD)]]-AVERAGE(Table22[Net Sales (after discount) (in USD)]))^2))</f>
        <v>35386.066433764536</v>
      </c>
      <c r="R1947" s="18" t="b">
        <v>1</v>
      </c>
      <c r="S1947" s="40">
        <v>2.5499999999999998</v>
      </c>
      <c r="T1947" s="18" t="b">
        <v>1</v>
      </c>
      <c r="U1947" s="25">
        <v>45357</v>
      </c>
      <c r="V1947" s="63" t="str">
        <f>IF(MONTH(Table22[[#This Row],[Sales Date]])&lt;=3,"Q1",IF(MONTH(Table22[[#This Row],[Sales Date]])&lt;=6,"Q2",IF(MONTH(Table22[[#This Row],[Sales Date]])&lt;=9,"Q3","Q4")))</f>
        <v>Q1</v>
      </c>
      <c r="W1947" s="64">
        <f>YEAR(Table22[[#This Row],[Sales Date]])</f>
        <v>2024</v>
      </c>
      <c r="X1947" s="23">
        <v>66</v>
      </c>
      <c r="Y1947" s="18" t="s">
        <v>23</v>
      </c>
      <c r="Z1947" s="18" t="s">
        <v>30</v>
      </c>
      <c r="AA1947" s="19" t="s">
        <v>25</v>
      </c>
    </row>
    <row r="1948" spans="1:27" x14ac:dyDescent="0.25">
      <c r="A1948" s="17" t="s">
        <v>157</v>
      </c>
      <c r="B1948" s="18" t="s">
        <v>38</v>
      </c>
      <c r="C1948" s="63" t="str" cm="1">
        <f t="array" ref="C1948">_xlfn.SWITCH(Table22[[#This Row],[Country]],"USA","North America","Canada","North America","Brazil","South America","China","Asia","Japan","Asia","India","Asia","France","Europe","Germany","Europe","UK","Europe","Australia","Oceania","South America")</f>
        <v>Europe</v>
      </c>
      <c r="D1948" s="18" t="s">
        <v>21</v>
      </c>
      <c r="E1948" s="18" t="s">
        <v>39</v>
      </c>
      <c r="F1948" s="18" t="s">
        <v>52</v>
      </c>
      <c r="G1948" s="18" t="s">
        <v>29</v>
      </c>
      <c r="H1948" s="64">
        <f>LEN(TRIM(Table22[[#This Row],[Country]]))</f>
        <v>6</v>
      </c>
      <c r="I1948" s="64">
        <f>LEN(TRIM(Table22[[#This Row],[Continent]]))</f>
        <v>6</v>
      </c>
      <c r="J1948" s="64">
        <f>LEN(TRIM(Table22[[#This Row],[Product]]))</f>
        <v>10</v>
      </c>
      <c r="K1948" s="64">
        <f>LEN(TRIM(Table22[[#This Row],[Sales Team]]))</f>
        <v>10</v>
      </c>
      <c r="L1948" s="23">
        <v>11</v>
      </c>
      <c r="M1948" s="65" t="str" cm="1">
        <f t="array" ref="M1948">_xlfn.IFS(Table22[[#This Row],[Units Sold]]&lt;40,"Critical",Table22[[#This Row],[Units Sold]]&lt;=50,"Poor",Table22[[#This Row],[Units Sold]]&lt;=60,"Low",Table22[[#This Row],[Units Sold]]&lt;=80,"Average",Table22[[#This Row],[Units Sold]]&lt;=90,"High",Table22[[#This Row],[Units Sold]]&lt;=95,"Excellent",Table22[[#This Row],[Units Sold]]&gt;95,"Outstanding")</f>
        <v>Critical</v>
      </c>
      <c r="N1948" s="29">
        <v>104.45</v>
      </c>
      <c r="O1948" s="29">
        <v>1148.95</v>
      </c>
      <c r="P1948" s="43">
        <f>IF(Table22[[#This Row],[Discount Applied]],Table22[[#This Row],[Total Sales (in USD)]]*(1-Table22[[#This Row],[Discount Percentage (%)]]/100),Table22[[#This Row],[Total Sales (in USD)]])</f>
        <v>909.85350500000004</v>
      </c>
      <c r="Q1948" s="66">
        <f>SQRT(AVERAGE((Table22[[#This Row],[Net Sales (after discount) (in USD)]]-AVERAGE(Table22[Net Sales (after discount) (in USD)]))^2))</f>
        <v>35601.507058764539</v>
      </c>
      <c r="R1948" s="18" t="b">
        <v>1</v>
      </c>
      <c r="S1948" s="40">
        <v>20.81</v>
      </c>
      <c r="T1948" s="18" t="b">
        <v>1</v>
      </c>
      <c r="U1948" s="25">
        <v>44935</v>
      </c>
      <c r="V1948" s="63" t="str">
        <f>IF(MONTH(Table22[[#This Row],[Sales Date]])&lt;=3,"Q1",IF(MONTH(Table22[[#This Row],[Sales Date]])&lt;=6,"Q2",IF(MONTH(Table22[[#This Row],[Sales Date]])&lt;=9,"Q3","Q4")))</f>
        <v>Q1</v>
      </c>
      <c r="W1948" s="64">
        <f>YEAR(Table22[[#This Row],[Sales Date]])</f>
        <v>2023</v>
      </c>
      <c r="X1948" s="23">
        <v>68</v>
      </c>
      <c r="Y1948" s="18" t="s">
        <v>23</v>
      </c>
      <c r="Z1948" s="18" t="s">
        <v>42</v>
      </c>
      <c r="AA1948" s="19" t="s">
        <v>25</v>
      </c>
    </row>
    <row r="1949" spans="1:27" x14ac:dyDescent="0.25">
      <c r="A1949" s="17" t="s">
        <v>347</v>
      </c>
      <c r="B1949" s="18" t="s">
        <v>72</v>
      </c>
      <c r="C1949" s="63" t="str" cm="1">
        <f t="array" ref="C1949">_xlfn.SWITCH(Table22[[#This Row],[Country]],"USA","North America","Canada","North America","Brazil","South America","China","Asia","Japan","Asia","India","Asia","France","Europe","Germany","Europe","UK","Europe","Australia","Oceania","South America")</f>
        <v>North America</v>
      </c>
      <c r="D1949" s="18" t="s">
        <v>28</v>
      </c>
      <c r="E1949" s="18" t="s">
        <v>39</v>
      </c>
      <c r="F1949" s="18" t="s">
        <v>34</v>
      </c>
      <c r="G1949" s="18" t="s">
        <v>22</v>
      </c>
      <c r="H1949" s="64">
        <f>LEN(TRIM(Table22[[#This Row],[Country]]))</f>
        <v>3</v>
      </c>
      <c r="I1949" s="64">
        <f>LEN(TRIM(Table22[[#This Row],[Continent]]))</f>
        <v>13</v>
      </c>
      <c r="J1949" s="64">
        <f>LEN(TRIM(Table22[[#This Row],[Product]]))</f>
        <v>10</v>
      </c>
      <c r="K1949" s="64">
        <f>LEN(TRIM(Table22[[#This Row],[Sales Team]]))</f>
        <v>10</v>
      </c>
      <c r="L1949" s="23">
        <v>15</v>
      </c>
      <c r="M1949" s="65" t="str" cm="1">
        <f t="array" ref="M1949">_xlfn.IFS(Table22[[#This Row],[Units Sold]]&lt;40,"Critical",Table22[[#This Row],[Units Sold]]&lt;=50,"Poor",Table22[[#This Row],[Units Sold]]&lt;=60,"Low",Table22[[#This Row],[Units Sold]]&lt;=80,"Average",Table22[[#This Row],[Units Sold]]&lt;=90,"High",Table22[[#This Row],[Units Sold]]&lt;=95,"Excellent",Table22[[#This Row],[Units Sold]]&gt;95,"Outstanding")</f>
        <v>Critical</v>
      </c>
      <c r="N1949" s="29">
        <v>76.19</v>
      </c>
      <c r="O1949" s="29">
        <v>1142.8499999999999</v>
      </c>
      <c r="P1949" s="43">
        <f>IF(Table22[[#This Row],[Discount Applied]],Table22[[#This Row],[Total Sales (in USD)]]*(1-Table22[[#This Row],[Discount Percentage (%)]]/100),Table22[[#This Row],[Total Sales (in USD)]])</f>
        <v>1142.8499999999999</v>
      </c>
      <c r="Q1949" s="66">
        <f>SQRT(AVERAGE((Table22[[#This Row],[Net Sales (after discount) (in USD)]]-AVERAGE(Table22[Net Sales (after discount) (in USD)]))^2))</f>
        <v>35368.510563764539</v>
      </c>
      <c r="R1949" s="18" t="b">
        <v>0</v>
      </c>
      <c r="S1949" s="40">
        <v>16.600000000000001</v>
      </c>
      <c r="T1949" s="18" t="b">
        <v>0</v>
      </c>
      <c r="U1949" s="25">
        <v>45105</v>
      </c>
      <c r="V1949" s="63" t="str">
        <f>IF(MONTH(Table22[[#This Row],[Sales Date]])&lt;=3,"Q1",IF(MONTH(Table22[[#This Row],[Sales Date]])&lt;=6,"Q2",IF(MONTH(Table22[[#This Row],[Sales Date]])&lt;=9,"Q3","Q4")))</f>
        <v>Q2</v>
      </c>
      <c r="W1949" s="64">
        <f>YEAR(Table22[[#This Row],[Sales Date]])</f>
        <v>2023</v>
      </c>
      <c r="X1949" s="23">
        <v>37</v>
      </c>
      <c r="Y1949" s="18" t="s">
        <v>49</v>
      </c>
      <c r="Z1949" s="18" t="s">
        <v>24</v>
      </c>
      <c r="AA1949" s="19" t="s">
        <v>25</v>
      </c>
    </row>
    <row r="1950" spans="1:27" x14ac:dyDescent="0.25">
      <c r="A1950" s="17" t="s">
        <v>1507</v>
      </c>
      <c r="B1950" s="18" t="s">
        <v>32</v>
      </c>
      <c r="C1950" s="63" t="str" cm="1">
        <f t="array" ref="C1950">_xlfn.SWITCH(Table22[[#This Row],[Country]],"USA","North America","Canada","North America","Brazil","South America","China","Asia","Japan","Asia","India","Asia","France","Europe","Germany","Europe","UK","Europe","Australia","Oceania","South America")</f>
        <v>Asia</v>
      </c>
      <c r="D1950" s="18" t="s">
        <v>35</v>
      </c>
      <c r="E1950" s="18" t="s">
        <v>39</v>
      </c>
      <c r="F1950" s="18" t="s">
        <v>34</v>
      </c>
      <c r="G1950" s="18" t="s">
        <v>40</v>
      </c>
      <c r="H1950" s="64">
        <f>LEN(TRIM(Table22[[#This Row],[Country]]))</f>
        <v>5</v>
      </c>
      <c r="I1950" s="64">
        <f>LEN(TRIM(Table22[[#This Row],[Continent]]))</f>
        <v>4</v>
      </c>
      <c r="J1950" s="64">
        <f>LEN(TRIM(Table22[[#This Row],[Product]]))</f>
        <v>10</v>
      </c>
      <c r="K1950" s="64">
        <f>LEN(TRIM(Table22[[#This Row],[Sales Team]]))</f>
        <v>10</v>
      </c>
      <c r="L1950" s="23">
        <v>3</v>
      </c>
      <c r="M1950" s="65" t="str" cm="1">
        <f t="array" ref="M1950">_xlfn.IFS(Table22[[#This Row],[Units Sold]]&lt;40,"Critical",Table22[[#This Row],[Units Sold]]&lt;=50,"Poor",Table22[[#This Row],[Units Sold]]&lt;=60,"Low",Table22[[#This Row],[Units Sold]]&lt;=80,"Average",Table22[[#This Row],[Units Sold]]&lt;=90,"High",Table22[[#This Row],[Units Sold]]&lt;=95,"Excellent",Table22[[#This Row],[Units Sold]]&gt;95,"Outstanding")</f>
        <v>Critical</v>
      </c>
      <c r="N1950" s="29">
        <v>376.11</v>
      </c>
      <c r="O1950" s="29">
        <v>1128.33</v>
      </c>
      <c r="P1950" s="43">
        <f>IF(Table22[[#This Row],[Discount Applied]],Table22[[#This Row],[Total Sales (in USD)]]*(1-Table22[[#This Row],[Discount Percentage (%)]]/100),Table22[[#This Row],[Total Sales (in USD)]])</f>
        <v>1128.33</v>
      </c>
      <c r="Q1950" s="66">
        <f>SQRT(AVERAGE((Table22[[#This Row],[Net Sales (after discount) (in USD)]]-AVERAGE(Table22[Net Sales (after discount) (in USD)]))^2))</f>
        <v>35383.030563764536</v>
      </c>
      <c r="R1950" s="18" t="b">
        <v>1</v>
      </c>
      <c r="S1950" s="40">
        <v>25.35</v>
      </c>
      <c r="T1950" s="18" t="b">
        <v>0</v>
      </c>
      <c r="U1950" s="25">
        <v>45079</v>
      </c>
      <c r="V1950" s="63" t="str">
        <f>IF(MONTH(Table22[[#This Row],[Sales Date]])&lt;=3,"Q1",IF(MONTH(Table22[[#This Row],[Sales Date]])&lt;=6,"Q2",IF(MONTH(Table22[[#This Row],[Sales Date]])&lt;=9,"Q3","Q4")))</f>
        <v>Q2</v>
      </c>
      <c r="W1950" s="64">
        <f>YEAR(Table22[[#This Row],[Sales Date]])</f>
        <v>2023</v>
      </c>
      <c r="X1950" s="23">
        <v>29</v>
      </c>
      <c r="Y1950" s="18" t="s">
        <v>23</v>
      </c>
      <c r="Z1950" s="18" t="s">
        <v>30</v>
      </c>
      <c r="AA1950" s="19" t="s">
        <v>25</v>
      </c>
    </row>
    <row r="1951" spans="1:27" x14ac:dyDescent="0.25">
      <c r="A1951" s="17" t="s">
        <v>210</v>
      </c>
      <c r="B1951" s="18" t="s">
        <v>46</v>
      </c>
      <c r="C1951" s="63" t="str" cm="1">
        <f t="array" ref="C1951">_xlfn.SWITCH(Table22[[#This Row],[Country]],"USA","North America","Canada","North America","Brazil","South America","China","Asia","Japan","Asia","India","Asia","France","Europe","Germany","Europe","UK","Europe","Australia","Oceania","South America")</f>
        <v>South America</v>
      </c>
      <c r="D1951" s="18" t="s">
        <v>28</v>
      </c>
      <c r="E1951" s="18" t="s">
        <v>33</v>
      </c>
      <c r="F1951" s="18" t="s">
        <v>47</v>
      </c>
      <c r="G1951" s="18" t="s">
        <v>29</v>
      </c>
      <c r="H1951" s="64">
        <f>LEN(TRIM(Table22[[#This Row],[Country]]))</f>
        <v>6</v>
      </c>
      <c r="I1951" s="64">
        <f>LEN(TRIM(Table22[[#This Row],[Continent]]))</f>
        <v>13</v>
      </c>
      <c r="J1951" s="64">
        <f>LEN(TRIM(Table22[[#This Row],[Product]]))</f>
        <v>10</v>
      </c>
      <c r="K1951" s="64">
        <f>LEN(TRIM(Table22[[#This Row],[Sales Team]]))</f>
        <v>10</v>
      </c>
      <c r="L1951" s="23">
        <v>2</v>
      </c>
      <c r="M1951" s="65" t="str" cm="1">
        <f t="array" ref="M1951">_xlfn.IFS(Table22[[#This Row],[Units Sold]]&lt;40,"Critical",Table22[[#This Row],[Units Sold]]&lt;=50,"Poor",Table22[[#This Row],[Units Sold]]&lt;=60,"Low",Table22[[#This Row],[Units Sold]]&lt;=80,"Average",Table22[[#This Row],[Units Sold]]&lt;=90,"High",Table22[[#This Row],[Units Sold]]&lt;=95,"Excellent",Table22[[#This Row],[Units Sold]]&gt;95,"Outstanding")</f>
        <v>Critical</v>
      </c>
      <c r="N1951" s="29">
        <v>560.41999999999996</v>
      </c>
      <c r="O1951" s="29">
        <v>1120.8399999999999</v>
      </c>
      <c r="P1951" s="43">
        <f>IF(Table22[[#This Row],[Discount Applied]],Table22[[#This Row],[Total Sales (in USD)]]*(1-Table22[[#This Row],[Discount Percentage (%)]]/100),Table22[[#This Row],[Total Sales (in USD)]])</f>
        <v>1074.7734759999998</v>
      </c>
      <c r="Q1951" s="66">
        <f>SQRT(AVERAGE((Table22[[#This Row],[Net Sales (after discount) (in USD)]]-AVERAGE(Table22[Net Sales (after discount) (in USD)]))^2))</f>
        <v>35436.587087764536</v>
      </c>
      <c r="R1951" s="18" t="b">
        <v>1</v>
      </c>
      <c r="S1951" s="40">
        <v>4.1100000000000003</v>
      </c>
      <c r="T1951" s="18" t="b">
        <v>1</v>
      </c>
      <c r="U1951" s="25">
        <v>44965</v>
      </c>
      <c r="V1951" s="63" t="str">
        <f>IF(MONTH(Table22[[#This Row],[Sales Date]])&lt;=3,"Q1",IF(MONTH(Table22[[#This Row],[Sales Date]])&lt;=6,"Q2",IF(MONTH(Table22[[#This Row],[Sales Date]])&lt;=9,"Q3","Q4")))</f>
        <v>Q1</v>
      </c>
      <c r="W1951" s="64">
        <f>YEAR(Table22[[#This Row],[Sales Date]])</f>
        <v>2023</v>
      </c>
      <c r="X1951" s="23">
        <v>45</v>
      </c>
      <c r="Y1951" s="18" t="s">
        <v>49</v>
      </c>
      <c r="Z1951" s="18" t="s">
        <v>30</v>
      </c>
      <c r="AA1951" s="19" t="s">
        <v>25</v>
      </c>
    </row>
    <row r="1952" spans="1:27" x14ac:dyDescent="0.25">
      <c r="A1952" s="17" t="s">
        <v>1827</v>
      </c>
      <c r="B1952" s="18" t="s">
        <v>76</v>
      </c>
      <c r="C1952" s="63" t="str" cm="1">
        <f t="array" ref="C1952">_xlfn.SWITCH(Table22[[#This Row],[Country]],"USA","North America","Canada","North America","Brazil","South America","China","Asia","Japan","Asia","India","Asia","France","Europe","Germany","Europe","UK","Europe","Australia","Oceania","South America")</f>
        <v>Asia</v>
      </c>
      <c r="D1952" s="18" t="s">
        <v>21</v>
      </c>
      <c r="E1952" s="18" t="s">
        <v>19</v>
      </c>
      <c r="F1952" s="18" t="s">
        <v>52</v>
      </c>
      <c r="G1952" s="18" t="s">
        <v>48</v>
      </c>
      <c r="H1952" s="64">
        <f>LEN(TRIM(Table22[[#This Row],[Country]]))</f>
        <v>5</v>
      </c>
      <c r="I1952" s="64">
        <f>LEN(TRIM(Table22[[#This Row],[Continent]]))</f>
        <v>4</v>
      </c>
      <c r="J1952" s="64">
        <f>LEN(TRIM(Table22[[#This Row],[Product]]))</f>
        <v>6</v>
      </c>
      <c r="K1952" s="64">
        <f>LEN(TRIM(Table22[[#This Row],[Sales Team]]))</f>
        <v>9</v>
      </c>
      <c r="L1952" s="23">
        <v>1</v>
      </c>
      <c r="M1952" s="65" t="str" cm="1">
        <f t="array" ref="M1952">_xlfn.IFS(Table22[[#This Row],[Units Sold]]&lt;40,"Critical",Table22[[#This Row],[Units Sold]]&lt;=50,"Poor",Table22[[#This Row],[Units Sold]]&lt;=60,"Low",Table22[[#This Row],[Units Sold]]&lt;=80,"Average",Table22[[#This Row],[Units Sold]]&lt;=90,"High",Table22[[#This Row],[Units Sold]]&lt;=95,"Excellent",Table22[[#This Row],[Units Sold]]&gt;95,"Outstanding")</f>
        <v>Critical</v>
      </c>
      <c r="N1952" s="29">
        <v>1103.95</v>
      </c>
      <c r="O1952" s="29">
        <v>1103.95</v>
      </c>
      <c r="P1952" s="43">
        <f>IF(Table22[[#This Row],[Discount Applied]],Table22[[#This Row],[Total Sales (in USD)]]*(1-Table22[[#This Row],[Discount Percentage (%)]]/100),Table22[[#This Row],[Total Sales (in USD)]])</f>
        <v>1103.95</v>
      </c>
      <c r="Q1952" s="66">
        <f>SQRT(AVERAGE((Table22[[#This Row],[Net Sales (after discount) (in USD)]]-AVERAGE(Table22[Net Sales (after discount) (in USD)]))^2))</f>
        <v>35407.410563764541</v>
      </c>
      <c r="R1952" s="18" t="b">
        <v>0</v>
      </c>
      <c r="S1952" s="40">
        <v>24.04</v>
      </c>
      <c r="T1952" s="18" t="b">
        <v>0</v>
      </c>
      <c r="U1952" s="25">
        <v>45338</v>
      </c>
      <c r="V1952" s="63" t="str">
        <f>IF(MONTH(Table22[[#This Row],[Sales Date]])&lt;=3,"Q1",IF(MONTH(Table22[[#This Row],[Sales Date]])&lt;=6,"Q2",IF(MONTH(Table22[[#This Row],[Sales Date]])&lt;=9,"Q3","Q4")))</f>
        <v>Q1</v>
      </c>
      <c r="W1952" s="64">
        <f>YEAR(Table22[[#This Row],[Sales Date]])</f>
        <v>2024</v>
      </c>
      <c r="X1952" s="23">
        <v>64</v>
      </c>
      <c r="Y1952" s="18" t="s">
        <v>49</v>
      </c>
      <c r="Z1952" s="18" t="s">
        <v>30</v>
      </c>
      <c r="AA1952" s="19" t="s">
        <v>25</v>
      </c>
    </row>
    <row r="1953" spans="1:27" x14ac:dyDescent="0.25">
      <c r="A1953" s="17" t="s">
        <v>306</v>
      </c>
      <c r="B1953" s="18" t="s">
        <v>27</v>
      </c>
      <c r="C1953" s="63" t="str" cm="1">
        <f t="array" ref="C1953">_xlfn.SWITCH(Table22[[#This Row],[Country]],"USA","North America","Canada","North America","Brazil","South America","China","Asia","Japan","Asia","India","Asia","France","Europe","Germany","Europe","UK","Europe","Australia","Oceania","South America")</f>
        <v>Europe</v>
      </c>
      <c r="D1953" s="18" t="s">
        <v>35</v>
      </c>
      <c r="E1953" s="18" t="s">
        <v>39</v>
      </c>
      <c r="F1953" s="18" t="s">
        <v>64</v>
      </c>
      <c r="G1953" s="18" t="s">
        <v>48</v>
      </c>
      <c r="H1953" s="64">
        <f>LEN(TRIM(Table22[[#This Row],[Country]]))</f>
        <v>7</v>
      </c>
      <c r="I1953" s="64">
        <f>LEN(TRIM(Table22[[#This Row],[Continent]]))</f>
        <v>6</v>
      </c>
      <c r="J1953" s="64">
        <f>LEN(TRIM(Table22[[#This Row],[Product]]))</f>
        <v>10</v>
      </c>
      <c r="K1953" s="64">
        <f>LEN(TRIM(Table22[[#This Row],[Sales Team]]))</f>
        <v>9</v>
      </c>
      <c r="L1953" s="23">
        <v>1</v>
      </c>
      <c r="M1953" s="65" t="str" cm="1">
        <f t="array" ref="M1953">_xlfn.IFS(Table22[[#This Row],[Units Sold]]&lt;40,"Critical",Table22[[#This Row],[Units Sold]]&lt;=50,"Poor",Table22[[#This Row],[Units Sold]]&lt;=60,"Low",Table22[[#This Row],[Units Sold]]&lt;=80,"Average",Table22[[#This Row],[Units Sold]]&lt;=90,"High",Table22[[#This Row],[Units Sold]]&lt;=95,"Excellent",Table22[[#This Row],[Units Sold]]&gt;95,"Outstanding")</f>
        <v>Critical</v>
      </c>
      <c r="N1953" s="29">
        <v>1087.3800000000001</v>
      </c>
      <c r="O1953" s="29">
        <v>1087.3800000000001</v>
      </c>
      <c r="P1953" s="43">
        <f>IF(Table22[[#This Row],[Discount Applied]],Table22[[#This Row],[Total Sales (in USD)]]*(1-Table22[[#This Row],[Discount Percentage (%)]]/100),Table22[[#This Row],[Total Sales (in USD)]])</f>
        <v>1021.0498200000002</v>
      </c>
      <c r="Q1953" s="66">
        <f>SQRT(AVERAGE((Table22[[#This Row],[Net Sales (after discount) (in USD)]]-AVERAGE(Table22[Net Sales (after discount) (in USD)]))^2))</f>
        <v>35490.310743764538</v>
      </c>
      <c r="R1953" s="18" t="b">
        <v>0</v>
      </c>
      <c r="S1953" s="40">
        <v>6.1</v>
      </c>
      <c r="T1953" s="18" t="b">
        <v>1</v>
      </c>
      <c r="U1953" s="25">
        <v>45171</v>
      </c>
      <c r="V1953" s="63" t="str">
        <f>IF(MONTH(Table22[[#This Row],[Sales Date]])&lt;=3,"Q1",IF(MONTH(Table22[[#This Row],[Sales Date]])&lt;=6,"Q2",IF(MONTH(Table22[[#This Row],[Sales Date]])&lt;=9,"Q3","Q4")))</f>
        <v>Q3</v>
      </c>
      <c r="W1953" s="64">
        <f>YEAR(Table22[[#This Row],[Sales Date]])</f>
        <v>2023</v>
      </c>
      <c r="X1953" s="23">
        <v>62</v>
      </c>
      <c r="Y1953" s="18" t="s">
        <v>23</v>
      </c>
      <c r="Z1953" s="18" t="s">
        <v>24</v>
      </c>
      <c r="AA1953" s="19" t="s">
        <v>25</v>
      </c>
    </row>
    <row r="1954" spans="1:27" x14ac:dyDescent="0.25">
      <c r="A1954" s="17" t="s">
        <v>845</v>
      </c>
      <c r="B1954" s="18" t="s">
        <v>51</v>
      </c>
      <c r="C1954" s="63" t="str" cm="1">
        <f t="array" ref="C1954">_xlfn.SWITCH(Table22[[#This Row],[Country]],"USA","North America","Canada","North America","Brazil","South America","China","Asia","Japan","Asia","India","Asia","France","Europe","Germany","Europe","UK","Europe","Australia","Oceania","South America")</f>
        <v>Europe</v>
      </c>
      <c r="D1954" s="18" t="s">
        <v>35</v>
      </c>
      <c r="E1954" s="18" t="s">
        <v>33</v>
      </c>
      <c r="F1954" s="18" t="s">
        <v>52</v>
      </c>
      <c r="G1954" s="18" t="s">
        <v>29</v>
      </c>
      <c r="H1954" s="64">
        <f>LEN(TRIM(Table22[[#This Row],[Country]]))</f>
        <v>2</v>
      </c>
      <c r="I1954" s="64">
        <f>LEN(TRIM(Table22[[#This Row],[Continent]]))</f>
        <v>6</v>
      </c>
      <c r="J1954" s="64">
        <f>LEN(TRIM(Table22[[#This Row],[Product]]))</f>
        <v>10</v>
      </c>
      <c r="K1954" s="64">
        <f>LEN(TRIM(Table22[[#This Row],[Sales Team]]))</f>
        <v>10</v>
      </c>
      <c r="L1954" s="23">
        <v>2</v>
      </c>
      <c r="M1954" s="65" t="str" cm="1">
        <f t="array" ref="M1954">_xlfn.IFS(Table22[[#This Row],[Units Sold]]&lt;40,"Critical",Table22[[#This Row],[Units Sold]]&lt;=50,"Poor",Table22[[#This Row],[Units Sold]]&lt;=60,"Low",Table22[[#This Row],[Units Sold]]&lt;=80,"Average",Table22[[#This Row],[Units Sold]]&lt;=90,"High",Table22[[#This Row],[Units Sold]]&lt;=95,"Excellent",Table22[[#This Row],[Units Sold]]&gt;95,"Outstanding")</f>
        <v>Critical</v>
      </c>
      <c r="N1954" s="29">
        <v>527.49</v>
      </c>
      <c r="O1954" s="29">
        <v>1054.98</v>
      </c>
      <c r="P1954" s="43">
        <f>IF(Table22[[#This Row],[Discount Applied]],Table22[[#This Row],[Total Sales (in USD)]]*(1-Table22[[#This Row],[Discount Percentage (%)]]/100),Table22[[#This Row],[Total Sales (in USD)]])</f>
        <v>926.69443200000001</v>
      </c>
      <c r="Q1954" s="66">
        <f>SQRT(AVERAGE((Table22[[#This Row],[Net Sales (after discount) (in USD)]]-AVERAGE(Table22[Net Sales (after discount) (in USD)]))^2))</f>
        <v>35584.666131764541</v>
      </c>
      <c r="R1954" s="18" t="b">
        <v>0</v>
      </c>
      <c r="S1954" s="40">
        <v>12.16</v>
      </c>
      <c r="T1954" s="18" t="b">
        <v>1</v>
      </c>
      <c r="U1954" s="25">
        <v>45369</v>
      </c>
      <c r="V1954" s="63" t="str">
        <f>IF(MONTH(Table22[[#This Row],[Sales Date]])&lt;=3,"Q1",IF(MONTH(Table22[[#This Row],[Sales Date]])&lt;=6,"Q2",IF(MONTH(Table22[[#This Row],[Sales Date]])&lt;=9,"Q3","Q4")))</f>
        <v>Q1</v>
      </c>
      <c r="W1954" s="64">
        <f>YEAR(Table22[[#This Row],[Sales Date]])</f>
        <v>2024</v>
      </c>
      <c r="X1954" s="23">
        <v>42</v>
      </c>
      <c r="Y1954" s="18" t="s">
        <v>49</v>
      </c>
      <c r="Z1954" s="18" t="s">
        <v>56</v>
      </c>
      <c r="AA1954" s="19" t="s">
        <v>25</v>
      </c>
    </row>
    <row r="1955" spans="1:27" x14ac:dyDescent="0.25">
      <c r="A1955" s="17" t="s">
        <v>475</v>
      </c>
      <c r="B1955" s="18" t="s">
        <v>18</v>
      </c>
      <c r="C1955" s="63" t="str" cm="1">
        <f t="array" ref="C1955">_xlfn.SWITCH(Table22[[#This Row],[Country]],"USA","North America","Canada","North America","Brazil","South America","China","Asia","Japan","Asia","India","Asia","France","Europe","Germany","Europe","UK","Europe","Australia","Oceania","South America")</f>
        <v>Asia</v>
      </c>
      <c r="D1955" s="18" t="s">
        <v>21</v>
      </c>
      <c r="E1955" s="18" t="s">
        <v>39</v>
      </c>
      <c r="F1955" s="18" t="s">
        <v>47</v>
      </c>
      <c r="G1955" s="18" t="s">
        <v>40</v>
      </c>
      <c r="H1955" s="64">
        <f>LEN(TRIM(Table22[[#This Row],[Country]]))</f>
        <v>5</v>
      </c>
      <c r="I1955" s="64">
        <f>LEN(TRIM(Table22[[#This Row],[Continent]]))</f>
        <v>4</v>
      </c>
      <c r="J1955" s="64">
        <f>LEN(TRIM(Table22[[#This Row],[Product]]))</f>
        <v>10</v>
      </c>
      <c r="K1955" s="64">
        <f>LEN(TRIM(Table22[[#This Row],[Sales Team]]))</f>
        <v>10</v>
      </c>
      <c r="L1955" s="23">
        <v>2</v>
      </c>
      <c r="M1955" s="65" t="str" cm="1">
        <f t="array" ref="M1955">_xlfn.IFS(Table22[[#This Row],[Units Sold]]&lt;40,"Critical",Table22[[#This Row],[Units Sold]]&lt;=50,"Poor",Table22[[#This Row],[Units Sold]]&lt;=60,"Low",Table22[[#This Row],[Units Sold]]&lt;=80,"Average",Table22[[#This Row],[Units Sold]]&lt;=90,"High",Table22[[#This Row],[Units Sold]]&lt;=95,"Excellent",Table22[[#This Row],[Units Sold]]&gt;95,"Outstanding")</f>
        <v>Critical</v>
      </c>
      <c r="N1955" s="29">
        <v>525.70000000000005</v>
      </c>
      <c r="O1955" s="29">
        <v>1051.4000000000001</v>
      </c>
      <c r="P1955" s="43">
        <f>IF(Table22[[#This Row],[Discount Applied]],Table22[[#This Row],[Total Sales (in USD)]]*(1-Table22[[#This Row],[Discount Percentage (%)]]/100),Table22[[#This Row],[Total Sales (in USD)]])</f>
        <v>1051.4000000000001</v>
      </c>
      <c r="Q1955" s="66">
        <f>SQRT(AVERAGE((Table22[[#This Row],[Net Sales (after discount) (in USD)]]-AVERAGE(Table22[Net Sales (after discount) (in USD)]))^2))</f>
        <v>35459.960563764536</v>
      </c>
      <c r="R1955" s="18" t="b">
        <v>0</v>
      </c>
      <c r="S1955" s="40">
        <v>15.99</v>
      </c>
      <c r="T1955" s="18" t="b">
        <v>0</v>
      </c>
      <c r="U1955" s="25">
        <v>45358</v>
      </c>
      <c r="V1955" s="63" t="str">
        <f>IF(MONTH(Table22[[#This Row],[Sales Date]])&lt;=3,"Q1",IF(MONTH(Table22[[#This Row],[Sales Date]])&lt;=6,"Q2",IF(MONTH(Table22[[#This Row],[Sales Date]])&lt;=9,"Q3","Q4")))</f>
        <v>Q1</v>
      </c>
      <c r="W1955" s="64">
        <f>YEAR(Table22[[#This Row],[Sales Date]])</f>
        <v>2024</v>
      </c>
      <c r="X1955" s="23">
        <v>45</v>
      </c>
      <c r="Y1955" s="18" t="s">
        <v>41</v>
      </c>
      <c r="Z1955" s="18" t="s">
        <v>24</v>
      </c>
      <c r="AA1955" s="19" t="s">
        <v>36</v>
      </c>
    </row>
    <row r="1956" spans="1:27" x14ac:dyDescent="0.25">
      <c r="A1956" s="17" t="s">
        <v>481</v>
      </c>
      <c r="B1956" s="18" t="s">
        <v>66</v>
      </c>
      <c r="C1956" s="63" t="str" cm="1">
        <f t="array" ref="C1956">_xlfn.SWITCH(Table22[[#This Row],[Country]],"USA","North America","Canada","North America","Brazil","South America","China","Asia","Japan","Asia","India","Asia","France","Europe","Germany","Europe","UK","Europe","Australia","Oceania","South America")</f>
        <v>North America</v>
      </c>
      <c r="D1956" s="18" t="s">
        <v>35</v>
      </c>
      <c r="E1956" s="18" t="s">
        <v>39</v>
      </c>
      <c r="F1956" s="18" t="s">
        <v>20</v>
      </c>
      <c r="G1956" s="18" t="s">
        <v>29</v>
      </c>
      <c r="H1956" s="64">
        <f>LEN(TRIM(Table22[[#This Row],[Country]]))</f>
        <v>6</v>
      </c>
      <c r="I1956" s="64">
        <f>LEN(TRIM(Table22[[#This Row],[Continent]]))</f>
        <v>13</v>
      </c>
      <c r="J1956" s="64">
        <f>LEN(TRIM(Table22[[#This Row],[Product]]))</f>
        <v>10</v>
      </c>
      <c r="K1956" s="64">
        <f>LEN(TRIM(Table22[[#This Row],[Sales Team]]))</f>
        <v>10</v>
      </c>
      <c r="L1956" s="23">
        <v>1</v>
      </c>
      <c r="M1956" s="65" t="str" cm="1">
        <f t="array" ref="M1956">_xlfn.IFS(Table22[[#This Row],[Units Sold]]&lt;40,"Critical",Table22[[#This Row],[Units Sold]]&lt;=50,"Poor",Table22[[#This Row],[Units Sold]]&lt;=60,"Low",Table22[[#This Row],[Units Sold]]&lt;=80,"Average",Table22[[#This Row],[Units Sold]]&lt;=90,"High",Table22[[#This Row],[Units Sold]]&lt;=95,"Excellent",Table22[[#This Row],[Units Sold]]&gt;95,"Outstanding")</f>
        <v>Critical</v>
      </c>
      <c r="N1956" s="29">
        <v>1018.32</v>
      </c>
      <c r="O1956" s="29">
        <v>1018.32</v>
      </c>
      <c r="P1956" s="43">
        <f>IF(Table22[[#This Row],[Discount Applied]],Table22[[#This Row],[Total Sales (in USD)]]*(1-Table22[[#This Row],[Discount Percentage (%)]]/100),Table22[[#This Row],[Total Sales (in USD)]])</f>
        <v>937.46539200000007</v>
      </c>
      <c r="Q1956" s="66">
        <f>SQRT(AVERAGE((Table22[[#This Row],[Net Sales (after discount) (in USD)]]-AVERAGE(Table22[Net Sales (after discount) (in USD)]))^2))</f>
        <v>35573.89517176454</v>
      </c>
      <c r="R1956" s="18" t="b">
        <v>1</v>
      </c>
      <c r="S1956" s="40">
        <v>7.94</v>
      </c>
      <c r="T1956" s="18" t="b">
        <v>1</v>
      </c>
      <c r="U1956" s="25">
        <v>45327</v>
      </c>
      <c r="V1956" s="63" t="str">
        <f>IF(MONTH(Table22[[#This Row],[Sales Date]])&lt;=3,"Q1",IF(MONTH(Table22[[#This Row],[Sales Date]])&lt;=6,"Q2",IF(MONTH(Table22[[#This Row],[Sales Date]])&lt;=9,"Q3","Q4")))</f>
        <v>Q1</v>
      </c>
      <c r="W1956" s="64">
        <f>YEAR(Table22[[#This Row],[Sales Date]])</f>
        <v>2024</v>
      </c>
      <c r="X1956" s="23">
        <v>57</v>
      </c>
      <c r="Y1956" s="18" t="s">
        <v>41</v>
      </c>
      <c r="Z1956" s="18" t="s">
        <v>30</v>
      </c>
      <c r="AA1956" s="19" t="s">
        <v>25</v>
      </c>
    </row>
    <row r="1957" spans="1:27" x14ac:dyDescent="0.25">
      <c r="A1957" s="17" t="s">
        <v>908</v>
      </c>
      <c r="B1957" s="18" t="s">
        <v>32</v>
      </c>
      <c r="C1957" s="63" t="str" cm="1">
        <f t="array" ref="C1957">_xlfn.SWITCH(Table22[[#This Row],[Country]],"USA","North America","Canada","North America","Brazil","South America","China","Asia","Japan","Asia","India","Asia","France","Europe","Germany","Europe","UK","Europe","Australia","Oceania","South America")</f>
        <v>Asia</v>
      </c>
      <c r="D1957" s="18" t="s">
        <v>21</v>
      </c>
      <c r="E1957" s="18" t="s">
        <v>33</v>
      </c>
      <c r="F1957" s="18" t="s">
        <v>34</v>
      </c>
      <c r="G1957" s="18" t="s">
        <v>29</v>
      </c>
      <c r="H1957" s="64">
        <f>LEN(TRIM(Table22[[#This Row],[Country]]))</f>
        <v>5</v>
      </c>
      <c r="I1957" s="64">
        <f>LEN(TRIM(Table22[[#This Row],[Continent]]))</f>
        <v>4</v>
      </c>
      <c r="J1957" s="64">
        <f>LEN(TRIM(Table22[[#This Row],[Product]]))</f>
        <v>10</v>
      </c>
      <c r="K1957" s="64">
        <f>LEN(TRIM(Table22[[#This Row],[Sales Team]]))</f>
        <v>10</v>
      </c>
      <c r="L1957" s="23">
        <v>10</v>
      </c>
      <c r="M1957" s="65" t="str" cm="1">
        <f t="array" ref="M1957">_xlfn.IFS(Table22[[#This Row],[Units Sold]]&lt;40,"Critical",Table22[[#This Row],[Units Sold]]&lt;=50,"Poor",Table22[[#This Row],[Units Sold]]&lt;=60,"Low",Table22[[#This Row],[Units Sold]]&lt;=80,"Average",Table22[[#This Row],[Units Sold]]&lt;=90,"High",Table22[[#This Row],[Units Sold]]&lt;=95,"Excellent",Table22[[#This Row],[Units Sold]]&gt;95,"Outstanding")</f>
        <v>Critical</v>
      </c>
      <c r="N1957" s="29">
        <v>99.68</v>
      </c>
      <c r="O1957" s="29">
        <v>996.8</v>
      </c>
      <c r="P1957" s="43">
        <f>IF(Table22[[#This Row],[Discount Applied]],Table22[[#This Row],[Total Sales (in USD)]]*(1-Table22[[#This Row],[Discount Percentage (%)]]/100),Table22[[#This Row],[Total Sales (in USD)]])</f>
        <v>717.19759999999997</v>
      </c>
      <c r="Q1957" s="66">
        <f>SQRT(AVERAGE((Table22[[#This Row],[Net Sales (after discount) (in USD)]]-AVERAGE(Table22[Net Sales (after discount) (in USD)]))^2))</f>
        <v>35794.162963764538</v>
      </c>
      <c r="R1957" s="18" t="b">
        <v>1</v>
      </c>
      <c r="S1957" s="40">
        <v>28.05</v>
      </c>
      <c r="T1957" s="18" t="b">
        <v>1</v>
      </c>
      <c r="U1957" s="25">
        <v>45480</v>
      </c>
      <c r="V1957" s="63" t="str">
        <f>IF(MONTH(Table22[[#This Row],[Sales Date]])&lt;=3,"Q1",IF(MONTH(Table22[[#This Row],[Sales Date]])&lt;=6,"Q2",IF(MONTH(Table22[[#This Row],[Sales Date]])&lt;=9,"Q3","Q4")))</f>
        <v>Q3</v>
      </c>
      <c r="W1957" s="64">
        <f>YEAR(Table22[[#This Row],[Sales Date]])</f>
        <v>2024</v>
      </c>
      <c r="X1957" s="23">
        <v>45</v>
      </c>
      <c r="Y1957" s="18" t="s">
        <v>23</v>
      </c>
      <c r="Z1957" s="18" t="s">
        <v>30</v>
      </c>
      <c r="AA1957" s="19" t="s">
        <v>25</v>
      </c>
    </row>
    <row r="1958" spans="1:27" x14ac:dyDescent="0.25">
      <c r="A1958" s="17" t="s">
        <v>1146</v>
      </c>
      <c r="B1958" s="18" t="s">
        <v>62</v>
      </c>
      <c r="C1958" s="63" t="str" cm="1">
        <f t="array" ref="C1958">_xlfn.SWITCH(Table22[[#This Row],[Country]],"USA","North America","Canada","North America","Brazil","South America","China","Asia","Japan","Asia","India","Asia","France","Europe","Germany","Europe","UK","Europe","Australia","Oceania","South America")</f>
        <v>Oceania</v>
      </c>
      <c r="D1958" s="18" t="s">
        <v>35</v>
      </c>
      <c r="E1958" s="18" t="s">
        <v>19</v>
      </c>
      <c r="F1958" s="18" t="s">
        <v>64</v>
      </c>
      <c r="G1958" s="18" t="s">
        <v>48</v>
      </c>
      <c r="H1958" s="64">
        <f>LEN(TRIM(Table22[[#This Row],[Country]]))</f>
        <v>9</v>
      </c>
      <c r="I1958" s="64">
        <f>LEN(TRIM(Table22[[#This Row],[Continent]]))</f>
        <v>7</v>
      </c>
      <c r="J1958" s="64">
        <f>LEN(TRIM(Table22[[#This Row],[Product]]))</f>
        <v>6</v>
      </c>
      <c r="K1958" s="64">
        <f>LEN(TRIM(Table22[[#This Row],[Sales Team]]))</f>
        <v>9</v>
      </c>
      <c r="L1958" s="23">
        <v>11</v>
      </c>
      <c r="M1958" s="65" t="str" cm="1">
        <f t="array" ref="M1958">_xlfn.IFS(Table22[[#This Row],[Units Sold]]&lt;40,"Critical",Table22[[#This Row],[Units Sold]]&lt;=50,"Poor",Table22[[#This Row],[Units Sold]]&lt;=60,"Low",Table22[[#This Row],[Units Sold]]&lt;=80,"Average",Table22[[#This Row],[Units Sold]]&lt;=90,"High",Table22[[#This Row],[Units Sold]]&lt;=95,"Excellent",Table22[[#This Row],[Units Sold]]&gt;95,"Outstanding")</f>
        <v>Critical</v>
      </c>
      <c r="N1958" s="29">
        <v>90.38</v>
      </c>
      <c r="O1958" s="29">
        <v>994.18</v>
      </c>
      <c r="P1958" s="43">
        <f>IF(Table22[[#This Row],[Discount Applied]],Table22[[#This Row],[Total Sales (in USD)]]*(1-Table22[[#This Row],[Discount Percentage (%)]]/100),Table22[[#This Row],[Total Sales (in USD)]])</f>
        <v>707.85615999999993</v>
      </c>
      <c r="Q1958" s="66">
        <f>SQRT(AVERAGE((Table22[[#This Row],[Net Sales (after discount) (in USD)]]-AVERAGE(Table22[Net Sales (after discount) (in USD)]))^2))</f>
        <v>35803.504403764535</v>
      </c>
      <c r="R1958" s="18" t="b">
        <v>0</v>
      </c>
      <c r="S1958" s="40">
        <v>28.8</v>
      </c>
      <c r="T1958" s="18" t="b">
        <v>1</v>
      </c>
      <c r="U1958" s="25">
        <v>45007</v>
      </c>
      <c r="V1958" s="63" t="str">
        <f>IF(MONTH(Table22[[#This Row],[Sales Date]])&lt;=3,"Q1",IF(MONTH(Table22[[#This Row],[Sales Date]])&lt;=6,"Q2",IF(MONTH(Table22[[#This Row],[Sales Date]])&lt;=9,"Q3","Q4")))</f>
        <v>Q1</v>
      </c>
      <c r="W1958" s="64">
        <f>YEAR(Table22[[#This Row],[Sales Date]])</f>
        <v>2023</v>
      </c>
      <c r="X1958" s="23">
        <v>49</v>
      </c>
      <c r="Y1958" s="18" t="s">
        <v>23</v>
      </c>
      <c r="Z1958" s="18" t="s">
        <v>24</v>
      </c>
      <c r="AA1958" s="19" t="s">
        <v>25</v>
      </c>
    </row>
    <row r="1959" spans="1:27" x14ac:dyDescent="0.25">
      <c r="A1959" s="17" t="s">
        <v>1735</v>
      </c>
      <c r="B1959" s="18" t="s">
        <v>18</v>
      </c>
      <c r="C1959" s="63" t="str" cm="1">
        <f t="array" ref="C1959">_xlfn.SWITCH(Table22[[#This Row],[Country]],"USA","North America","Canada","North America","Brazil","South America","China","Asia","Japan","Asia","India","Asia","France","Europe","Germany","Europe","UK","Europe","Australia","Oceania","South America")</f>
        <v>Asia</v>
      </c>
      <c r="D1959" s="18" t="s">
        <v>35</v>
      </c>
      <c r="E1959" s="18" t="s">
        <v>19</v>
      </c>
      <c r="F1959" s="18" t="s">
        <v>64</v>
      </c>
      <c r="G1959" s="18" t="s">
        <v>22</v>
      </c>
      <c r="H1959" s="64">
        <f>LEN(TRIM(Table22[[#This Row],[Country]]))</f>
        <v>5</v>
      </c>
      <c r="I1959" s="64">
        <f>LEN(TRIM(Table22[[#This Row],[Continent]]))</f>
        <v>4</v>
      </c>
      <c r="J1959" s="64">
        <f>LEN(TRIM(Table22[[#This Row],[Product]]))</f>
        <v>6</v>
      </c>
      <c r="K1959" s="64">
        <f>LEN(TRIM(Table22[[#This Row],[Sales Team]]))</f>
        <v>10</v>
      </c>
      <c r="L1959" s="23">
        <v>5</v>
      </c>
      <c r="M1959" s="65" t="str" cm="1">
        <f t="array" ref="M1959">_xlfn.IFS(Table22[[#This Row],[Units Sold]]&lt;40,"Critical",Table22[[#This Row],[Units Sold]]&lt;=50,"Poor",Table22[[#This Row],[Units Sold]]&lt;=60,"Low",Table22[[#This Row],[Units Sold]]&lt;=80,"Average",Table22[[#This Row],[Units Sold]]&lt;=90,"High",Table22[[#This Row],[Units Sold]]&lt;=95,"Excellent",Table22[[#This Row],[Units Sold]]&gt;95,"Outstanding")</f>
        <v>Critical</v>
      </c>
      <c r="N1959" s="29">
        <v>187.82</v>
      </c>
      <c r="O1959" s="29">
        <v>939.1</v>
      </c>
      <c r="P1959" s="43">
        <f>IF(Table22[[#This Row],[Discount Applied]],Table22[[#This Row],[Total Sales (in USD)]]*(1-Table22[[#This Row],[Discount Percentage (%)]]/100),Table22[[#This Row],[Total Sales (in USD)]])</f>
        <v>867.35275999999999</v>
      </c>
      <c r="Q1959" s="66">
        <f>SQRT(AVERAGE((Table22[[#This Row],[Net Sales (after discount) (in USD)]]-AVERAGE(Table22[Net Sales (after discount) (in USD)]))^2))</f>
        <v>35644.007803764536</v>
      </c>
      <c r="R1959" s="18" t="b">
        <v>1</v>
      </c>
      <c r="S1959" s="40">
        <v>7.64</v>
      </c>
      <c r="T1959" s="18" t="b">
        <v>1</v>
      </c>
      <c r="U1959" s="25">
        <v>44932</v>
      </c>
      <c r="V1959" s="63" t="str">
        <f>IF(MONTH(Table22[[#This Row],[Sales Date]])&lt;=3,"Q1",IF(MONTH(Table22[[#This Row],[Sales Date]])&lt;=6,"Q2",IF(MONTH(Table22[[#This Row],[Sales Date]])&lt;=9,"Q3","Q4")))</f>
        <v>Q1</v>
      </c>
      <c r="W1959" s="64">
        <f>YEAR(Table22[[#This Row],[Sales Date]])</f>
        <v>2023</v>
      </c>
      <c r="X1959" s="23">
        <v>53</v>
      </c>
      <c r="Y1959" s="18" t="s">
        <v>49</v>
      </c>
      <c r="Z1959" s="18" t="s">
        <v>24</v>
      </c>
      <c r="AA1959" s="19" t="s">
        <v>36</v>
      </c>
    </row>
    <row r="1960" spans="1:27" x14ac:dyDescent="0.25">
      <c r="A1960" s="17" t="s">
        <v>896</v>
      </c>
      <c r="B1960" s="18" t="s">
        <v>51</v>
      </c>
      <c r="C1960" s="63" t="str" cm="1">
        <f t="array" ref="C1960">_xlfn.SWITCH(Table22[[#This Row],[Country]],"USA","North America","Canada","North America","Brazil","South America","China","Asia","Japan","Asia","India","Asia","France","Europe","Germany","Europe","UK","Europe","Australia","Oceania","South America")</f>
        <v>Europe</v>
      </c>
      <c r="D1960" s="18" t="s">
        <v>21</v>
      </c>
      <c r="E1960" s="18" t="s">
        <v>19</v>
      </c>
      <c r="F1960" s="18" t="s">
        <v>52</v>
      </c>
      <c r="G1960" s="18" t="s">
        <v>48</v>
      </c>
      <c r="H1960" s="64">
        <f>LEN(TRIM(Table22[[#This Row],[Country]]))</f>
        <v>2</v>
      </c>
      <c r="I1960" s="64">
        <f>LEN(TRIM(Table22[[#This Row],[Continent]]))</f>
        <v>6</v>
      </c>
      <c r="J1960" s="64">
        <f>LEN(TRIM(Table22[[#This Row],[Product]]))</f>
        <v>6</v>
      </c>
      <c r="K1960" s="64">
        <f>LEN(TRIM(Table22[[#This Row],[Sales Team]]))</f>
        <v>9</v>
      </c>
      <c r="L1960" s="23">
        <v>15</v>
      </c>
      <c r="M1960" s="65" t="str" cm="1">
        <f t="array" ref="M1960">_xlfn.IFS(Table22[[#This Row],[Units Sold]]&lt;40,"Critical",Table22[[#This Row],[Units Sold]]&lt;=50,"Poor",Table22[[#This Row],[Units Sold]]&lt;=60,"Low",Table22[[#This Row],[Units Sold]]&lt;=80,"Average",Table22[[#This Row],[Units Sold]]&lt;=90,"High",Table22[[#This Row],[Units Sold]]&lt;=95,"Excellent",Table22[[#This Row],[Units Sold]]&gt;95,"Outstanding")</f>
        <v>Critical</v>
      </c>
      <c r="N1960" s="29">
        <v>61.89</v>
      </c>
      <c r="O1960" s="29">
        <v>928.35</v>
      </c>
      <c r="P1960" s="43">
        <f>IF(Table22[[#This Row],[Discount Applied]],Table22[[#This Row],[Total Sales (in USD)]]*(1-Table22[[#This Row],[Discount Percentage (%)]]/100),Table22[[#This Row],[Total Sales (in USD)]])</f>
        <v>896.97176999999999</v>
      </c>
      <c r="Q1960" s="66">
        <f>SQRT(AVERAGE((Table22[[#This Row],[Net Sales (after discount) (in USD)]]-AVERAGE(Table22[Net Sales (after discount) (in USD)]))^2))</f>
        <v>35614.388793764541</v>
      </c>
      <c r="R1960" s="18" t="b">
        <v>1</v>
      </c>
      <c r="S1960" s="40">
        <v>3.38</v>
      </c>
      <c r="T1960" s="18" t="b">
        <v>1</v>
      </c>
      <c r="U1960" s="25">
        <v>45082</v>
      </c>
      <c r="V1960" s="63" t="str">
        <f>IF(MONTH(Table22[[#This Row],[Sales Date]])&lt;=3,"Q1",IF(MONTH(Table22[[#This Row],[Sales Date]])&lt;=6,"Q2",IF(MONTH(Table22[[#This Row],[Sales Date]])&lt;=9,"Q3","Q4")))</f>
        <v>Q2</v>
      </c>
      <c r="W1960" s="64">
        <f>YEAR(Table22[[#This Row],[Sales Date]])</f>
        <v>2023</v>
      </c>
      <c r="X1960" s="23">
        <v>41</v>
      </c>
      <c r="Y1960" s="18" t="s">
        <v>41</v>
      </c>
      <c r="Z1960" s="18" t="s">
        <v>30</v>
      </c>
      <c r="AA1960" s="19" t="s">
        <v>36</v>
      </c>
    </row>
    <row r="1961" spans="1:27" x14ac:dyDescent="0.25">
      <c r="A1961" s="17" t="s">
        <v>1615</v>
      </c>
      <c r="B1961" s="18" t="s">
        <v>32</v>
      </c>
      <c r="C1961" s="63" t="str" cm="1">
        <f t="array" ref="C1961">_xlfn.SWITCH(Table22[[#This Row],[Country]],"USA","North America","Canada","North America","Brazil","South America","China","Asia","Japan","Asia","India","Asia","France","Europe","Germany","Europe","UK","Europe","Australia","Oceania","South America")</f>
        <v>Asia</v>
      </c>
      <c r="D1961" s="18" t="s">
        <v>28</v>
      </c>
      <c r="E1961" s="18" t="s">
        <v>19</v>
      </c>
      <c r="F1961" s="18" t="s">
        <v>20</v>
      </c>
      <c r="G1961" s="18" t="s">
        <v>22</v>
      </c>
      <c r="H1961" s="64">
        <f>LEN(TRIM(Table22[[#This Row],[Country]]))</f>
        <v>5</v>
      </c>
      <c r="I1961" s="64">
        <f>LEN(TRIM(Table22[[#This Row],[Continent]]))</f>
        <v>4</v>
      </c>
      <c r="J1961" s="64">
        <f>LEN(TRIM(Table22[[#This Row],[Product]]))</f>
        <v>6</v>
      </c>
      <c r="K1961" s="64">
        <f>LEN(TRIM(Table22[[#This Row],[Sales Team]]))</f>
        <v>10</v>
      </c>
      <c r="L1961" s="23">
        <v>3</v>
      </c>
      <c r="M1961" s="65" t="str" cm="1">
        <f t="array" ref="M1961">_xlfn.IFS(Table22[[#This Row],[Units Sold]]&lt;40,"Critical",Table22[[#This Row],[Units Sold]]&lt;=50,"Poor",Table22[[#This Row],[Units Sold]]&lt;=60,"Low",Table22[[#This Row],[Units Sold]]&lt;=80,"Average",Table22[[#This Row],[Units Sold]]&lt;=90,"High",Table22[[#This Row],[Units Sold]]&lt;=95,"Excellent",Table22[[#This Row],[Units Sold]]&gt;95,"Outstanding")</f>
        <v>Critical</v>
      </c>
      <c r="N1961" s="29">
        <v>308.48</v>
      </c>
      <c r="O1961" s="29">
        <v>925.44</v>
      </c>
      <c r="P1961" s="43">
        <f>IF(Table22[[#This Row],[Discount Applied]],Table22[[#This Row],[Total Sales (in USD)]]*(1-Table22[[#This Row],[Discount Percentage (%)]]/100),Table22[[#This Row],[Total Sales (in USD)]])</f>
        <v>925.44</v>
      </c>
      <c r="Q1961" s="66">
        <f>SQRT(AVERAGE((Table22[[#This Row],[Net Sales (after discount) (in USD)]]-AVERAGE(Table22[Net Sales (after discount) (in USD)]))^2))</f>
        <v>35585.920563764535</v>
      </c>
      <c r="R1961" s="18" t="b">
        <v>0</v>
      </c>
      <c r="S1961" s="40">
        <v>11.01</v>
      </c>
      <c r="T1961" s="18" t="b">
        <v>0</v>
      </c>
      <c r="U1961" s="25">
        <v>45268</v>
      </c>
      <c r="V1961" s="63" t="str">
        <f>IF(MONTH(Table22[[#This Row],[Sales Date]])&lt;=3,"Q1",IF(MONTH(Table22[[#This Row],[Sales Date]])&lt;=6,"Q2",IF(MONTH(Table22[[#This Row],[Sales Date]])&lt;=9,"Q3","Q4")))</f>
        <v>Q4</v>
      </c>
      <c r="W1961" s="64">
        <f>YEAR(Table22[[#This Row],[Sales Date]])</f>
        <v>2023</v>
      </c>
      <c r="X1961" s="23">
        <v>40</v>
      </c>
      <c r="Y1961" s="18" t="s">
        <v>49</v>
      </c>
      <c r="Z1961" s="18" t="s">
        <v>30</v>
      </c>
      <c r="AA1961" s="19" t="s">
        <v>36</v>
      </c>
    </row>
    <row r="1962" spans="1:27" x14ac:dyDescent="0.25">
      <c r="A1962" s="17" t="s">
        <v>847</v>
      </c>
      <c r="B1962" s="18" t="s">
        <v>18</v>
      </c>
      <c r="C1962" s="63" t="str" cm="1">
        <f t="array" ref="C1962">_xlfn.SWITCH(Table22[[#This Row],[Country]],"USA","North America","Canada","North America","Brazil","South America","China","Asia","Japan","Asia","India","Asia","France","Europe","Germany","Europe","UK","Europe","Australia","Oceania","South America")</f>
        <v>Asia</v>
      </c>
      <c r="D1962" s="18" t="s">
        <v>35</v>
      </c>
      <c r="E1962" s="18" t="s">
        <v>19</v>
      </c>
      <c r="F1962" s="18" t="s">
        <v>20</v>
      </c>
      <c r="G1962" s="18" t="s">
        <v>40</v>
      </c>
      <c r="H1962" s="64">
        <f>LEN(TRIM(Table22[[#This Row],[Country]]))</f>
        <v>5</v>
      </c>
      <c r="I1962" s="64">
        <f>LEN(TRIM(Table22[[#This Row],[Continent]]))</f>
        <v>4</v>
      </c>
      <c r="J1962" s="64">
        <f>LEN(TRIM(Table22[[#This Row],[Product]]))</f>
        <v>6</v>
      </c>
      <c r="K1962" s="64">
        <f>LEN(TRIM(Table22[[#This Row],[Sales Team]]))</f>
        <v>10</v>
      </c>
      <c r="L1962" s="23">
        <v>1</v>
      </c>
      <c r="M1962" s="65" t="str" cm="1">
        <f t="array" ref="M1962">_xlfn.IFS(Table22[[#This Row],[Units Sold]]&lt;40,"Critical",Table22[[#This Row],[Units Sold]]&lt;=50,"Poor",Table22[[#This Row],[Units Sold]]&lt;=60,"Low",Table22[[#This Row],[Units Sold]]&lt;=80,"Average",Table22[[#This Row],[Units Sold]]&lt;=90,"High",Table22[[#This Row],[Units Sold]]&lt;=95,"Excellent",Table22[[#This Row],[Units Sold]]&gt;95,"Outstanding")</f>
        <v>Critical</v>
      </c>
      <c r="N1962" s="29">
        <v>878.87</v>
      </c>
      <c r="O1962" s="29">
        <v>878.87</v>
      </c>
      <c r="P1962" s="43">
        <f>IF(Table22[[#This Row],[Discount Applied]],Table22[[#This Row],[Total Sales (in USD)]]*(1-Table22[[#This Row],[Discount Percentage (%)]]/100),Table22[[#This Row],[Total Sales (in USD)]])</f>
        <v>784.12781399999994</v>
      </c>
      <c r="Q1962" s="66">
        <f>SQRT(AVERAGE((Table22[[#This Row],[Net Sales (after discount) (in USD)]]-AVERAGE(Table22[Net Sales (after discount) (in USD)]))^2))</f>
        <v>35727.232749764538</v>
      </c>
      <c r="R1962" s="18" t="b">
        <v>1</v>
      </c>
      <c r="S1962" s="40">
        <v>10.78</v>
      </c>
      <c r="T1962" s="18" t="b">
        <v>1</v>
      </c>
      <c r="U1962" s="25">
        <v>45464</v>
      </c>
      <c r="V1962" s="63" t="str">
        <f>IF(MONTH(Table22[[#This Row],[Sales Date]])&lt;=3,"Q1",IF(MONTH(Table22[[#This Row],[Sales Date]])&lt;=6,"Q2",IF(MONTH(Table22[[#This Row],[Sales Date]])&lt;=9,"Q3","Q4")))</f>
        <v>Q2</v>
      </c>
      <c r="W1962" s="64">
        <f>YEAR(Table22[[#This Row],[Sales Date]])</f>
        <v>2024</v>
      </c>
      <c r="X1962" s="23">
        <v>49</v>
      </c>
      <c r="Y1962" s="18" t="s">
        <v>41</v>
      </c>
      <c r="Z1962" s="18" t="s">
        <v>56</v>
      </c>
      <c r="AA1962" s="19" t="s">
        <v>36</v>
      </c>
    </row>
    <row r="1963" spans="1:27" x14ac:dyDescent="0.25">
      <c r="A1963" s="17" t="s">
        <v>829</v>
      </c>
      <c r="B1963" s="18" t="s">
        <v>32</v>
      </c>
      <c r="C1963" s="63" t="str" cm="1">
        <f t="array" ref="C1963">_xlfn.SWITCH(Table22[[#This Row],[Country]],"USA","North America","Canada","North America","Brazil","South America","China","Asia","Japan","Asia","India","Asia","France","Europe","Germany","Europe","UK","Europe","Australia","Oceania","South America")</f>
        <v>Asia</v>
      </c>
      <c r="D1963" s="18" t="s">
        <v>44</v>
      </c>
      <c r="E1963" s="18" t="s">
        <v>39</v>
      </c>
      <c r="F1963" s="18" t="s">
        <v>47</v>
      </c>
      <c r="G1963" s="18" t="s">
        <v>48</v>
      </c>
      <c r="H1963" s="64">
        <f>LEN(TRIM(Table22[[#This Row],[Country]]))</f>
        <v>5</v>
      </c>
      <c r="I1963" s="64">
        <f>LEN(TRIM(Table22[[#This Row],[Continent]]))</f>
        <v>4</v>
      </c>
      <c r="J1963" s="64">
        <f>LEN(TRIM(Table22[[#This Row],[Product]]))</f>
        <v>10</v>
      </c>
      <c r="K1963" s="64">
        <f>LEN(TRIM(Table22[[#This Row],[Sales Team]]))</f>
        <v>9</v>
      </c>
      <c r="L1963" s="23">
        <v>14</v>
      </c>
      <c r="M1963" s="65" t="str" cm="1">
        <f t="array" ref="M1963">_xlfn.IFS(Table22[[#This Row],[Units Sold]]&lt;40,"Critical",Table22[[#This Row],[Units Sold]]&lt;=50,"Poor",Table22[[#This Row],[Units Sold]]&lt;=60,"Low",Table22[[#This Row],[Units Sold]]&lt;=80,"Average",Table22[[#This Row],[Units Sold]]&lt;=90,"High",Table22[[#This Row],[Units Sold]]&lt;=95,"Excellent",Table22[[#This Row],[Units Sold]]&gt;95,"Outstanding")</f>
        <v>Critical</v>
      </c>
      <c r="N1963" s="29">
        <v>62.57</v>
      </c>
      <c r="O1963" s="29">
        <v>875.98</v>
      </c>
      <c r="P1963" s="43">
        <f>IF(Table22[[#This Row],[Discount Applied]],Table22[[#This Row],[Total Sales (in USD)]]*(1-Table22[[#This Row],[Discount Percentage (%)]]/100),Table22[[#This Row],[Total Sales (in USD)]])</f>
        <v>875.98</v>
      </c>
      <c r="Q1963" s="66">
        <f>SQRT(AVERAGE((Table22[[#This Row],[Net Sales (after discount) (in USD)]]-AVERAGE(Table22[Net Sales (after discount) (in USD)]))^2))</f>
        <v>35635.380563764535</v>
      </c>
      <c r="R1963" s="18" t="b">
        <v>1</v>
      </c>
      <c r="S1963" s="40">
        <v>17.88</v>
      </c>
      <c r="T1963" s="18" t="b">
        <v>0</v>
      </c>
      <c r="U1963" s="25">
        <v>45154</v>
      </c>
      <c r="V1963" s="63" t="str">
        <f>IF(MONTH(Table22[[#This Row],[Sales Date]])&lt;=3,"Q1",IF(MONTH(Table22[[#This Row],[Sales Date]])&lt;=6,"Q2",IF(MONTH(Table22[[#This Row],[Sales Date]])&lt;=9,"Q3","Q4")))</f>
        <v>Q3</v>
      </c>
      <c r="W1963" s="64">
        <f>YEAR(Table22[[#This Row],[Sales Date]])</f>
        <v>2023</v>
      </c>
      <c r="X1963" s="23">
        <v>65</v>
      </c>
      <c r="Y1963" s="18" t="s">
        <v>49</v>
      </c>
      <c r="Z1963" s="18" t="s">
        <v>56</v>
      </c>
      <c r="AA1963" s="19" t="s">
        <v>36</v>
      </c>
    </row>
    <row r="1964" spans="1:27" x14ac:dyDescent="0.25">
      <c r="A1964" s="17" t="s">
        <v>363</v>
      </c>
      <c r="B1964" s="18" t="s">
        <v>66</v>
      </c>
      <c r="C1964" s="63" t="str" cm="1">
        <f t="array" ref="C1964">_xlfn.SWITCH(Table22[[#This Row],[Country]],"USA","North America","Canada","North America","Brazil","South America","China","Asia","Japan","Asia","India","Asia","France","Europe","Germany","Europe","UK","Europe","Australia","Oceania","South America")</f>
        <v>North America</v>
      </c>
      <c r="D1964" s="18" t="s">
        <v>44</v>
      </c>
      <c r="E1964" s="18" t="s">
        <v>33</v>
      </c>
      <c r="F1964" s="18" t="s">
        <v>52</v>
      </c>
      <c r="G1964" s="18" t="s">
        <v>22</v>
      </c>
      <c r="H1964" s="64">
        <f>LEN(TRIM(Table22[[#This Row],[Country]]))</f>
        <v>6</v>
      </c>
      <c r="I1964" s="64">
        <f>LEN(TRIM(Table22[[#This Row],[Continent]]))</f>
        <v>13</v>
      </c>
      <c r="J1964" s="64">
        <f>LEN(TRIM(Table22[[#This Row],[Product]]))</f>
        <v>10</v>
      </c>
      <c r="K1964" s="64">
        <f>LEN(TRIM(Table22[[#This Row],[Sales Team]]))</f>
        <v>10</v>
      </c>
      <c r="L1964" s="23">
        <v>9</v>
      </c>
      <c r="M1964" s="65" t="str" cm="1">
        <f t="array" ref="M1964">_xlfn.IFS(Table22[[#This Row],[Units Sold]]&lt;40,"Critical",Table22[[#This Row],[Units Sold]]&lt;=50,"Poor",Table22[[#This Row],[Units Sold]]&lt;=60,"Low",Table22[[#This Row],[Units Sold]]&lt;=80,"Average",Table22[[#This Row],[Units Sold]]&lt;=90,"High",Table22[[#This Row],[Units Sold]]&lt;=95,"Excellent",Table22[[#This Row],[Units Sold]]&gt;95,"Outstanding")</f>
        <v>Critical</v>
      </c>
      <c r="N1964" s="29">
        <v>96.87</v>
      </c>
      <c r="O1964" s="29">
        <v>871.83</v>
      </c>
      <c r="P1964" s="43">
        <f>IF(Table22[[#This Row],[Discount Applied]],Table22[[#This Row],[Total Sales (in USD)]]*(1-Table22[[#This Row],[Discount Percentage (%)]]/100),Table22[[#This Row],[Total Sales (in USD)]])</f>
        <v>871.83</v>
      </c>
      <c r="Q1964" s="66">
        <f>SQRT(AVERAGE((Table22[[#This Row],[Net Sales (after discount) (in USD)]]-AVERAGE(Table22[Net Sales (after discount) (in USD)]))^2))</f>
        <v>35639.530563764536</v>
      </c>
      <c r="R1964" s="18" t="b">
        <v>0</v>
      </c>
      <c r="S1964" s="40">
        <v>28.58</v>
      </c>
      <c r="T1964" s="18" t="b">
        <v>0</v>
      </c>
      <c r="U1964" s="25">
        <v>45099</v>
      </c>
      <c r="V1964" s="63" t="str">
        <f>IF(MONTH(Table22[[#This Row],[Sales Date]])&lt;=3,"Q1",IF(MONTH(Table22[[#This Row],[Sales Date]])&lt;=6,"Q2",IF(MONTH(Table22[[#This Row],[Sales Date]])&lt;=9,"Q3","Q4")))</f>
        <v>Q2</v>
      </c>
      <c r="W1964" s="64">
        <f>YEAR(Table22[[#This Row],[Sales Date]])</f>
        <v>2023</v>
      </c>
      <c r="X1964" s="23">
        <v>61</v>
      </c>
      <c r="Y1964" s="18" t="s">
        <v>23</v>
      </c>
      <c r="Z1964" s="18" t="s">
        <v>56</v>
      </c>
      <c r="AA1964" s="19" t="s">
        <v>25</v>
      </c>
    </row>
    <row r="1965" spans="1:27" x14ac:dyDescent="0.25">
      <c r="A1965" s="17" t="s">
        <v>1654</v>
      </c>
      <c r="B1965" s="18" t="s">
        <v>76</v>
      </c>
      <c r="C1965" s="63" t="str" cm="1">
        <f t="array" ref="C1965">_xlfn.SWITCH(Table22[[#This Row],[Country]],"USA","North America","Canada","North America","Brazil","South America","China","Asia","Japan","Asia","India","Asia","France","Europe","Germany","Europe","UK","Europe","Australia","Oceania","South America")</f>
        <v>Asia</v>
      </c>
      <c r="D1965" s="18" t="s">
        <v>35</v>
      </c>
      <c r="E1965" s="18" t="s">
        <v>19</v>
      </c>
      <c r="F1965" s="18" t="s">
        <v>52</v>
      </c>
      <c r="G1965" s="18" t="s">
        <v>29</v>
      </c>
      <c r="H1965" s="64">
        <f>LEN(TRIM(Table22[[#This Row],[Country]]))</f>
        <v>5</v>
      </c>
      <c r="I1965" s="64">
        <f>LEN(TRIM(Table22[[#This Row],[Continent]]))</f>
        <v>4</v>
      </c>
      <c r="J1965" s="64">
        <f>LEN(TRIM(Table22[[#This Row],[Product]]))</f>
        <v>6</v>
      </c>
      <c r="K1965" s="64">
        <f>LEN(TRIM(Table22[[#This Row],[Sales Team]]))</f>
        <v>10</v>
      </c>
      <c r="L1965" s="23">
        <v>14</v>
      </c>
      <c r="M1965" s="65" t="str" cm="1">
        <f t="array" ref="M1965">_xlfn.IFS(Table22[[#This Row],[Units Sold]]&lt;40,"Critical",Table22[[#This Row],[Units Sold]]&lt;=50,"Poor",Table22[[#This Row],[Units Sold]]&lt;=60,"Low",Table22[[#This Row],[Units Sold]]&lt;=80,"Average",Table22[[#This Row],[Units Sold]]&lt;=90,"High",Table22[[#This Row],[Units Sold]]&lt;=95,"Excellent",Table22[[#This Row],[Units Sold]]&gt;95,"Outstanding")</f>
        <v>Critical</v>
      </c>
      <c r="N1965" s="29">
        <v>61.81</v>
      </c>
      <c r="O1965" s="29">
        <v>865.34</v>
      </c>
      <c r="P1965" s="43">
        <f>IF(Table22[[#This Row],[Discount Applied]],Table22[[#This Row],[Total Sales (in USD)]]*(1-Table22[[#This Row],[Discount Percentage (%)]]/100),Table22[[#This Row],[Total Sales (in USD)]])</f>
        <v>865.34</v>
      </c>
      <c r="Q1965" s="66">
        <f>SQRT(AVERAGE((Table22[[#This Row],[Net Sales (after discount) (in USD)]]-AVERAGE(Table22[Net Sales (after discount) (in USD)]))^2))</f>
        <v>35646.020563764541</v>
      </c>
      <c r="R1965" s="18" t="b">
        <v>0</v>
      </c>
      <c r="S1965" s="40">
        <v>11.81</v>
      </c>
      <c r="T1965" s="18" t="b">
        <v>0</v>
      </c>
      <c r="U1965" s="25">
        <v>45429</v>
      </c>
      <c r="V1965" s="63" t="str">
        <f>IF(MONTH(Table22[[#This Row],[Sales Date]])&lt;=3,"Q1",IF(MONTH(Table22[[#This Row],[Sales Date]])&lt;=6,"Q2",IF(MONTH(Table22[[#This Row],[Sales Date]])&lt;=9,"Q3","Q4")))</f>
        <v>Q2</v>
      </c>
      <c r="W1965" s="64">
        <f>YEAR(Table22[[#This Row],[Sales Date]])</f>
        <v>2024</v>
      </c>
      <c r="X1965" s="23">
        <v>69</v>
      </c>
      <c r="Y1965" s="18" t="s">
        <v>41</v>
      </c>
      <c r="Z1965" s="18" t="s">
        <v>24</v>
      </c>
      <c r="AA1965" s="19" t="s">
        <v>36</v>
      </c>
    </row>
    <row r="1966" spans="1:27" x14ac:dyDescent="0.25">
      <c r="A1966" s="17" t="s">
        <v>1401</v>
      </c>
      <c r="B1966" s="18" t="s">
        <v>72</v>
      </c>
      <c r="C1966" s="63" t="str" cm="1">
        <f t="array" ref="C1966">_xlfn.SWITCH(Table22[[#This Row],[Country]],"USA","North America","Canada","North America","Brazil","South America","China","Asia","Japan","Asia","India","Asia","France","Europe","Germany","Europe","UK","Europe","Australia","Oceania","South America")</f>
        <v>North America</v>
      </c>
      <c r="D1966" s="18" t="s">
        <v>35</v>
      </c>
      <c r="E1966" s="18" t="s">
        <v>33</v>
      </c>
      <c r="F1966" s="18" t="s">
        <v>47</v>
      </c>
      <c r="G1966" s="18" t="s">
        <v>22</v>
      </c>
      <c r="H1966" s="64">
        <f>LEN(TRIM(Table22[[#This Row],[Country]]))</f>
        <v>3</v>
      </c>
      <c r="I1966" s="64">
        <f>LEN(TRIM(Table22[[#This Row],[Continent]]))</f>
        <v>13</v>
      </c>
      <c r="J1966" s="64">
        <f>LEN(TRIM(Table22[[#This Row],[Product]]))</f>
        <v>10</v>
      </c>
      <c r="K1966" s="64">
        <f>LEN(TRIM(Table22[[#This Row],[Sales Team]]))</f>
        <v>10</v>
      </c>
      <c r="L1966" s="23">
        <v>1</v>
      </c>
      <c r="M1966" s="65" t="str" cm="1">
        <f t="array" ref="M1966">_xlfn.IFS(Table22[[#This Row],[Units Sold]]&lt;40,"Critical",Table22[[#This Row],[Units Sold]]&lt;=50,"Poor",Table22[[#This Row],[Units Sold]]&lt;=60,"Low",Table22[[#This Row],[Units Sold]]&lt;=80,"Average",Table22[[#This Row],[Units Sold]]&lt;=90,"High",Table22[[#This Row],[Units Sold]]&lt;=95,"Excellent",Table22[[#This Row],[Units Sold]]&gt;95,"Outstanding")</f>
        <v>Critical</v>
      </c>
      <c r="N1966" s="29">
        <v>825.61</v>
      </c>
      <c r="O1966" s="29">
        <v>825.61</v>
      </c>
      <c r="P1966" s="43">
        <f>IF(Table22[[#This Row],[Discount Applied]],Table22[[#This Row],[Total Sales (in USD)]]*(1-Table22[[#This Row],[Discount Percentage (%)]]/100),Table22[[#This Row],[Total Sales (in USD)]])</f>
        <v>825.61</v>
      </c>
      <c r="Q1966" s="66">
        <f>SQRT(AVERAGE((Table22[[#This Row],[Net Sales (after discount) (in USD)]]-AVERAGE(Table22[Net Sales (after discount) (in USD)]))^2))</f>
        <v>35685.750563764537</v>
      </c>
      <c r="R1966" s="18" t="b">
        <v>0</v>
      </c>
      <c r="S1966" s="40">
        <v>24.11</v>
      </c>
      <c r="T1966" s="18" t="b">
        <v>0</v>
      </c>
      <c r="U1966" s="25">
        <v>45419</v>
      </c>
      <c r="V1966" s="63" t="str">
        <f>IF(MONTH(Table22[[#This Row],[Sales Date]])&lt;=3,"Q1",IF(MONTH(Table22[[#This Row],[Sales Date]])&lt;=6,"Q2",IF(MONTH(Table22[[#This Row],[Sales Date]])&lt;=9,"Q3","Q4")))</f>
        <v>Q2</v>
      </c>
      <c r="W1966" s="64">
        <f>YEAR(Table22[[#This Row],[Sales Date]])</f>
        <v>2024</v>
      </c>
      <c r="X1966" s="23">
        <v>62</v>
      </c>
      <c r="Y1966" s="18" t="s">
        <v>23</v>
      </c>
      <c r="Z1966" s="18" t="s">
        <v>56</v>
      </c>
      <c r="AA1966" s="19" t="s">
        <v>36</v>
      </c>
    </row>
    <row r="1967" spans="1:27" x14ac:dyDescent="0.25">
      <c r="A1967" s="17" t="s">
        <v>457</v>
      </c>
      <c r="B1967" s="18" t="s">
        <v>18</v>
      </c>
      <c r="C1967" s="63" t="str" cm="1">
        <f t="array" ref="C1967">_xlfn.SWITCH(Table22[[#This Row],[Country]],"USA","North America","Canada","North America","Brazil","South America","China","Asia","Japan","Asia","India","Asia","France","Europe","Germany","Europe","UK","Europe","Australia","Oceania","South America")</f>
        <v>Asia</v>
      </c>
      <c r="D1967" s="18" t="s">
        <v>44</v>
      </c>
      <c r="E1967" s="18" t="s">
        <v>19</v>
      </c>
      <c r="F1967" s="18" t="s">
        <v>52</v>
      </c>
      <c r="G1967" s="18" t="s">
        <v>29</v>
      </c>
      <c r="H1967" s="64">
        <f>LEN(TRIM(Table22[[#This Row],[Country]]))</f>
        <v>5</v>
      </c>
      <c r="I1967" s="64">
        <f>LEN(TRIM(Table22[[#This Row],[Continent]]))</f>
        <v>4</v>
      </c>
      <c r="J1967" s="64">
        <f>LEN(TRIM(Table22[[#This Row],[Product]]))</f>
        <v>6</v>
      </c>
      <c r="K1967" s="64">
        <f>LEN(TRIM(Table22[[#This Row],[Sales Team]]))</f>
        <v>10</v>
      </c>
      <c r="L1967" s="23">
        <v>2</v>
      </c>
      <c r="M1967" s="65" t="str" cm="1">
        <f t="array" ref="M1967">_xlfn.IFS(Table22[[#This Row],[Units Sold]]&lt;40,"Critical",Table22[[#This Row],[Units Sold]]&lt;=50,"Poor",Table22[[#This Row],[Units Sold]]&lt;=60,"Low",Table22[[#This Row],[Units Sold]]&lt;=80,"Average",Table22[[#This Row],[Units Sold]]&lt;=90,"High",Table22[[#This Row],[Units Sold]]&lt;=95,"Excellent",Table22[[#This Row],[Units Sold]]&gt;95,"Outstanding")</f>
        <v>Critical</v>
      </c>
      <c r="N1967" s="29">
        <v>411.35</v>
      </c>
      <c r="O1967" s="29">
        <v>822.7</v>
      </c>
      <c r="P1967" s="43">
        <f>IF(Table22[[#This Row],[Discount Applied]],Table22[[#This Row],[Total Sales (in USD)]]*(1-Table22[[#This Row],[Discount Percentage (%)]]/100),Table22[[#This Row],[Total Sales (in USD)]])</f>
        <v>822.7</v>
      </c>
      <c r="Q1967" s="66">
        <f>SQRT(AVERAGE((Table22[[#This Row],[Net Sales (after discount) (in USD)]]-AVERAGE(Table22[Net Sales (after discount) (in USD)]))^2))</f>
        <v>35688.660563764541</v>
      </c>
      <c r="R1967" s="18" t="b">
        <v>0</v>
      </c>
      <c r="S1967" s="40">
        <v>0.94</v>
      </c>
      <c r="T1967" s="18" t="b">
        <v>0</v>
      </c>
      <c r="U1967" s="25">
        <v>45010</v>
      </c>
      <c r="V1967" s="63" t="str">
        <f>IF(MONTH(Table22[[#This Row],[Sales Date]])&lt;=3,"Q1",IF(MONTH(Table22[[#This Row],[Sales Date]])&lt;=6,"Q2",IF(MONTH(Table22[[#This Row],[Sales Date]])&lt;=9,"Q3","Q4")))</f>
        <v>Q1</v>
      </c>
      <c r="W1967" s="64">
        <f>YEAR(Table22[[#This Row],[Sales Date]])</f>
        <v>2023</v>
      </c>
      <c r="X1967" s="23">
        <v>27</v>
      </c>
      <c r="Y1967" s="18" t="s">
        <v>49</v>
      </c>
      <c r="Z1967" s="18" t="s">
        <v>42</v>
      </c>
      <c r="AA1967" s="19" t="s">
        <v>25</v>
      </c>
    </row>
    <row r="1968" spans="1:27" x14ac:dyDescent="0.25">
      <c r="A1968" s="17" t="s">
        <v>2014</v>
      </c>
      <c r="B1968" s="18" t="s">
        <v>38</v>
      </c>
      <c r="C1968" s="63" t="str" cm="1">
        <f t="array" ref="C1968">_xlfn.SWITCH(Table22[[#This Row],[Country]],"USA","North America","Canada","North America","Brazil","South America","China","Asia","Japan","Asia","India","Asia","France","Europe","Germany","Europe","UK","Europe","Australia","Oceania","South America")</f>
        <v>Europe</v>
      </c>
      <c r="D1968" s="18" t="s">
        <v>21</v>
      </c>
      <c r="E1968" s="18" t="s">
        <v>39</v>
      </c>
      <c r="F1968" s="18" t="s">
        <v>52</v>
      </c>
      <c r="G1968" s="18" t="s">
        <v>40</v>
      </c>
      <c r="H1968" s="64">
        <f>LEN(TRIM(Table22[[#This Row],[Country]]))</f>
        <v>6</v>
      </c>
      <c r="I1968" s="64">
        <f>LEN(TRIM(Table22[[#This Row],[Continent]]))</f>
        <v>6</v>
      </c>
      <c r="J1968" s="64">
        <f>LEN(TRIM(Table22[[#This Row],[Product]]))</f>
        <v>10</v>
      </c>
      <c r="K1968" s="64">
        <f>LEN(TRIM(Table22[[#This Row],[Sales Team]]))</f>
        <v>10</v>
      </c>
      <c r="L1968" s="23">
        <v>4</v>
      </c>
      <c r="M1968" s="65" t="str" cm="1">
        <f t="array" ref="M1968">_xlfn.IFS(Table22[[#This Row],[Units Sold]]&lt;40,"Critical",Table22[[#This Row],[Units Sold]]&lt;=50,"Poor",Table22[[#This Row],[Units Sold]]&lt;=60,"Low",Table22[[#This Row],[Units Sold]]&lt;=80,"Average",Table22[[#This Row],[Units Sold]]&lt;=90,"High",Table22[[#This Row],[Units Sold]]&lt;=95,"Excellent",Table22[[#This Row],[Units Sold]]&gt;95,"Outstanding")</f>
        <v>Critical</v>
      </c>
      <c r="N1968" s="29">
        <v>204.51</v>
      </c>
      <c r="O1968" s="29">
        <v>818.04</v>
      </c>
      <c r="P1968" s="43">
        <f>IF(Table22[[#This Row],[Discount Applied]],Table22[[#This Row],[Total Sales (in USD)]]*(1-Table22[[#This Row],[Discount Percentage (%)]]/100),Table22[[#This Row],[Total Sales (in USD)]])</f>
        <v>818.04</v>
      </c>
      <c r="Q1968" s="66">
        <f>SQRT(AVERAGE((Table22[[#This Row],[Net Sales (after discount) (in USD)]]-AVERAGE(Table22[Net Sales (after discount) (in USD)]))^2))</f>
        <v>35693.320563764537</v>
      </c>
      <c r="R1968" s="18" t="b">
        <v>1</v>
      </c>
      <c r="S1968" s="40">
        <v>25.41</v>
      </c>
      <c r="T1968" s="18" t="b">
        <v>0</v>
      </c>
      <c r="U1968" s="25">
        <v>45567</v>
      </c>
      <c r="V1968" s="63" t="str">
        <f>IF(MONTH(Table22[[#This Row],[Sales Date]])&lt;=3,"Q1",IF(MONTH(Table22[[#This Row],[Sales Date]])&lt;=6,"Q2",IF(MONTH(Table22[[#This Row],[Sales Date]])&lt;=9,"Q3","Q4")))</f>
        <v>Q4</v>
      </c>
      <c r="W1968" s="64">
        <f>YEAR(Table22[[#This Row],[Sales Date]])</f>
        <v>2024</v>
      </c>
      <c r="X1968" s="23">
        <v>49</v>
      </c>
      <c r="Y1968" s="18" t="s">
        <v>23</v>
      </c>
      <c r="Z1968" s="18" t="s">
        <v>30</v>
      </c>
      <c r="AA1968" s="19" t="s">
        <v>25</v>
      </c>
    </row>
    <row r="1969" spans="1:27" x14ac:dyDescent="0.25">
      <c r="A1969" s="17" t="s">
        <v>1829</v>
      </c>
      <c r="B1969" s="18" t="s">
        <v>27</v>
      </c>
      <c r="C1969" s="63" t="str" cm="1">
        <f t="array" ref="C1969">_xlfn.SWITCH(Table22[[#This Row],[Country]],"USA","North America","Canada","North America","Brazil","South America","China","Asia","Japan","Asia","India","Asia","France","Europe","Germany","Europe","UK","Europe","Australia","Oceania","South America")</f>
        <v>Europe</v>
      </c>
      <c r="D1969" s="18" t="s">
        <v>21</v>
      </c>
      <c r="E1969" s="18" t="s">
        <v>39</v>
      </c>
      <c r="F1969" s="18" t="s">
        <v>64</v>
      </c>
      <c r="G1969" s="18" t="s">
        <v>48</v>
      </c>
      <c r="H1969" s="64">
        <f>LEN(TRIM(Table22[[#This Row],[Country]]))</f>
        <v>7</v>
      </c>
      <c r="I1969" s="64">
        <f>LEN(TRIM(Table22[[#This Row],[Continent]]))</f>
        <v>6</v>
      </c>
      <c r="J1969" s="64">
        <f>LEN(TRIM(Table22[[#This Row],[Product]]))</f>
        <v>10</v>
      </c>
      <c r="K1969" s="64">
        <f>LEN(TRIM(Table22[[#This Row],[Sales Team]]))</f>
        <v>9</v>
      </c>
      <c r="L1969" s="23">
        <v>3</v>
      </c>
      <c r="M1969" s="65" t="str" cm="1">
        <f t="array" ref="M1969">_xlfn.IFS(Table22[[#This Row],[Units Sold]]&lt;40,"Critical",Table22[[#This Row],[Units Sold]]&lt;=50,"Poor",Table22[[#This Row],[Units Sold]]&lt;=60,"Low",Table22[[#This Row],[Units Sold]]&lt;=80,"Average",Table22[[#This Row],[Units Sold]]&lt;=90,"High",Table22[[#This Row],[Units Sold]]&lt;=95,"Excellent",Table22[[#This Row],[Units Sold]]&gt;95,"Outstanding")</f>
        <v>Critical</v>
      </c>
      <c r="N1969" s="29">
        <v>272.27999999999997</v>
      </c>
      <c r="O1969" s="29">
        <v>816.84</v>
      </c>
      <c r="P1969" s="43">
        <f>IF(Table22[[#This Row],[Discount Applied]],Table22[[#This Row],[Total Sales (in USD)]]*(1-Table22[[#This Row],[Discount Percentage (%)]]/100),Table22[[#This Row],[Total Sales (in USD)]])</f>
        <v>816.84</v>
      </c>
      <c r="Q1969" s="66">
        <f>SQRT(AVERAGE((Table22[[#This Row],[Net Sales (after discount) (in USD)]]-AVERAGE(Table22[Net Sales (after discount) (in USD)]))^2))</f>
        <v>35694.520563764541</v>
      </c>
      <c r="R1969" s="18" t="b">
        <v>1</v>
      </c>
      <c r="S1969" s="40">
        <v>9.7200000000000006</v>
      </c>
      <c r="T1969" s="18" t="b">
        <v>0</v>
      </c>
      <c r="U1969" s="25">
        <v>45212</v>
      </c>
      <c r="V1969" s="63" t="str">
        <f>IF(MONTH(Table22[[#This Row],[Sales Date]])&lt;=3,"Q1",IF(MONTH(Table22[[#This Row],[Sales Date]])&lt;=6,"Q2",IF(MONTH(Table22[[#This Row],[Sales Date]])&lt;=9,"Q3","Q4")))</f>
        <v>Q4</v>
      </c>
      <c r="W1969" s="64">
        <f>YEAR(Table22[[#This Row],[Sales Date]])</f>
        <v>2023</v>
      </c>
      <c r="X1969" s="23">
        <v>22</v>
      </c>
      <c r="Y1969" s="18" t="s">
        <v>23</v>
      </c>
      <c r="Z1969" s="18" t="s">
        <v>42</v>
      </c>
      <c r="AA1969" s="19" t="s">
        <v>25</v>
      </c>
    </row>
    <row r="1970" spans="1:27" x14ac:dyDescent="0.25">
      <c r="A1970" s="17" t="s">
        <v>865</v>
      </c>
      <c r="B1970" s="18" t="s">
        <v>27</v>
      </c>
      <c r="C1970" s="63" t="str" cm="1">
        <f t="array" ref="C1970">_xlfn.SWITCH(Table22[[#This Row],[Country]],"USA","North America","Canada","North America","Brazil","South America","China","Asia","Japan","Asia","India","Asia","France","Europe","Germany","Europe","UK","Europe","Australia","Oceania","South America")</f>
        <v>Europe</v>
      </c>
      <c r="D1970" s="18" t="s">
        <v>21</v>
      </c>
      <c r="E1970" s="18" t="s">
        <v>19</v>
      </c>
      <c r="F1970" s="18" t="s">
        <v>64</v>
      </c>
      <c r="G1970" s="18" t="s">
        <v>40</v>
      </c>
      <c r="H1970" s="64">
        <f>LEN(TRIM(Table22[[#This Row],[Country]]))</f>
        <v>7</v>
      </c>
      <c r="I1970" s="64">
        <f>LEN(TRIM(Table22[[#This Row],[Continent]]))</f>
        <v>6</v>
      </c>
      <c r="J1970" s="64">
        <f>LEN(TRIM(Table22[[#This Row],[Product]]))</f>
        <v>6</v>
      </c>
      <c r="K1970" s="64">
        <f>LEN(TRIM(Table22[[#This Row],[Sales Team]]))</f>
        <v>10</v>
      </c>
      <c r="L1970" s="23">
        <v>2</v>
      </c>
      <c r="M1970" s="65" t="str" cm="1">
        <f t="array" ref="M1970">_xlfn.IFS(Table22[[#This Row],[Units Sold]]&lt;40,"Critical",Table22[[#This Row],[Units Sold]]&lt;=50,"Poor",Table22[[#This Row],[Units Sold]]&lt;=60,"Low",Table22[[#This Row],[Units Sold]]&lt;=80,"Average",Table22[[#This Row],[Units Sold]]&lt;=90,"High",Table22[[#This Row],[Units Sold]]&lt;=95,"Excellent",Table22[[#This Row],[Units Sold]]&gt;95,"Outstanding")</f>
        <v>Critical</v>
      </c>
      <c r="N1970" s="29">
        <v>398.12</v>
      </c>
      <c r="O1970" s="29">
        <v>796.24</v>
      </c>
      <c r="P1970" s="43">
        <f>IF(Table22[[#This Row],[Discount Applied]],Table22[[#This Row],[Total Sales (in USD)]]*(1-Table22[[#This Row],[Discount Percentage (%)]]/100),Table22[[#This Row],[Total Sales (in USD)]])</f>
        <v>775.61738400000002</v>
      </c>
      <c r="Q1970" s="66">
        <f>SQRT(AVERAGE((Table22[[#This Row],[Net Sales (after discount) (in USD)]]-AVERAGE(Table22[Net Sales (after discount) (in USD)]))^2))</f>
        <v>35735.74317976454</v>
      </c>
      <c r="R1970" s="18" t="b">
        <v>1</v>
      </c>
      <c r="S1970" s="40">
        <v>2.59</v>
      </c>
      <c r="T1970" s="18" t="b">
        <v>1</v>
      </c>
      <c r="U1970" s="25">
        <v>45271</v>
      </c>
      <c r="V1970" s="63" t="str">
        <f>IF(MONTH(Table22[[#This Row],[Sales Date]])&lt;=3,"Q1",IF(MONTH(Table22[[#This Row],[Sales Date]])&lt;=6,"Q2",IF(MONTH(Table22[[#This Row],[Sales Date]])&lt;=9,"Q3","Q4")))</f>
        <v>Q4</v>
      </c>
      <c r="W1970" s="64">
        <f>YEAR(Table22[[#This Row],[Sales Date]])</f>
        <v>2023</v>
      </c>
      <c r="X1970" s="23">
        <v>54</v>
      </c>
      <c r="Y1970" s="18" t="s">
        <v>23</v>
      </c>
      <c r="Z1970" s="18" t="s">
        <v>42</v>
      </c>
      <c r="AA1970" s="19" t="s">
        <v>25</v>
      </c>
    </row>
    <row r="1971" spans="1:27" x14ac:dyDescent="0.25">
      <c r="A1971" s="17" t="s">
        <v>2010</v>
      </c>
      <c r="B1971" s="18" t="s">
        <v>32</v>
      </c>
      <c r="C1971" s="63" t="str" cm="1">
        <f t="array" ref="C1971">_xlfn.SWITCH(Table22[[#This Row],[Country]],"USA","North America","Canada","North America","Brazil","South America","China","Asia","Japan","Asia","India","Asia","France","Europe","Germany","Europe","UK","Europe","Australia","Oceania","South America")</f>
        <v>Asia</v>
      </c>
      <c r="D1971" s="18" t="s">
        <v>44</v>
      </c>
      <c r="E1971" s="18" t="s">
        <v>39</v>
      </c>
      <c r="F1971" s="18" t="s">
        <v>64</v>
      </c>
      <c r="G1971" s="18" t="s">
        <v>29</v>
      </c>
      <c r="H1971" s="64">
        <f>LEN(TRIM(Table22[[#This Row],[Country]]))</f>
        <v>5</v>
      </c>
      <c r="I1971" s="64">
        <f>LEN(TRIM(Table22[[#This Row],[Continent]]))</f>
        <v>4</v>
      </c>
      <c r="J1971" s="64">
        <f>LEN(TRIM(Table22[[#This Row],[Product]]))</f>
        <v>10</v>
      </c>
      <c r="K1971" s="64">
        <f>LEN(TRIM(Table22[[#This Row],[Sales Team]]))</f>
        <v>10</v>
      </c>
      <c r="L1971" s="23">
        <v>1</v>
      </c>
      <c r="M1971" s="65" t="str" cm="1">
        <f t="array" ref="M1971">_xlfn.IFS(Table22[[#This Row],[Units Sold]]&lt;40,"Critical",Table22[[#This Row],[Units Sold]]&lt;=50,"Poor",Table22[[#This Row],[Units Sold]]&lt;=60,"Low",Table22[[#This Row],[Units Sold]]&lt;=80,"Average",Table22[[#This Row],[Units Sold]]&lt;=90,"High",Table22[[#This Row],[Units Sold]]&lt;=95,"Excellent",Table22[[#This Row],[Units Sold]]&gt;95,"Outstanding")</f>
        <v>Critical</v>
      </c>
      <c r="N1971" s="29">
        <v>795.89</v>
      </c>
      <c r="O1971" s="29">
        <v>795.89</v>
      </c>
      <c r="P1971" s="43">
        <f>IF(Table22[[#This Row],[Discount Applied]],Table22[[#This Row],[Total Sales (in USD)]]*(1-Table22[[#This Row],[Discount Percentage (%)]]/100),Table22[[#This Row],[Total Sales (in USD)]])</f>
        <v>648.09322699999996</v>
      </c>
      <c r="Q1971" s="66">
        <f>SQRT(AVERAGE((Table22[[#This Row],[Net Sales (after discount) (in USD)]]-AVERAGE(Table22[Net Sales (after discount) (in USD)]))^2))</f>
        <v>35863.26733676454</v>
      </c>
      <c r="R1971" s="18" t="b">
        <v>1</v>
      </c>
      <c r="S1971" s="40">
        <v>18.57</v>
      </c>
      <c r="T1971" s="18" t="b">
        <v>1</v>
      </c>
      <c r="U1971" s="25">
        <v>45454</v>
      </c>
      <c r="V1971" s="63" t="str">
        <f>IF(MONTH(Table22[[#This Row],[Sales Date]])&lt;=3,"Q1",IF(MONTH(Table22[[#This Row],[Sales Date]])&lt;=6,"Q2",IF(MONTH(Table22[[#This Row],[Sales Date]])&lt;=9,"Q3","Q4")))</f>
        <v>Q2</v>
      </c>
      <c r="W1971" s="64">
        <f>YEAR(Table22[[#This Row],[Sales Date]])</f>
        <v>2024</v>
      </c>
      <c r="X1971" s="23">
        <v>49</v>
      </c>
      <c r="Y1971" s="18" t="s">
        <v>41</v>
      </c>
      <c r="Z1971" s="18" t="s">
        <v>56</v>
      </c>
      <c r="AA1971" s="19" t="s">
        <v>36</v>
      </c>
    </row>
    <row r="1972" spans="1:27" x14ac:dyDescent="0.25">
      <c r="A1972" s="17" t="s">
        <v>1107</v>
      </c>
      <c r="B1972" s="18" t="s">
        <v>18</v>
      </c>
      <c r="C1972" s="63" t="str" cm="1">
        <f t="array" ref="C1972">_xlfn.SWITCH(Table22[[#This Row],[Country]],"USA","North America","Canada","North America","Brazil","South America","China","Asia","Japan","Asia","India","Asia","France","Europe","Germany","Europe","UK","Europe","Australia","Oceania","South America")</f>
        <v>Asia</v>
      </c>
      <c r="D1972" s="18" t="s">
        <v>44</v>
      </c>
      <c r="E1972" s="18" t="s">
        <v>33</v>
      </c>
      <c r="F1972" s="18" t="s">
        <v>20</v>
      </c>
      <c r="G1972" s="18" t="s">
        <v>22</v>
      </c>
      <c r="H1972" s="64">
        <f>LEN(TRIM(Table22[[#This Row],[Country]]))</f>
        <v>5</v>
      </c>
      <c r="I1972" s="64">
        <f>LEN(TRIM(Table22[[#This Row],[Continent]]))</f>
        <v>4</v>
      </c>
      <c r="J1972" s="64">
        <f>LEN(TRIM(Table22[[#This Row],[Product]]))</f>
        <v>10</v>
      </c>
      <c r="K1972" s="64">
        <f>LEN(TRIM(Table22[[#This Row],[Sales Team]]))</f>
        <v>10</v>
      </c>
      <c r="L1972" s="23">
        <v>4</v>
      </c>
      <c r="M1972" s="65" t="str" cm="1">
        <f t="array" ref="M1972">_xlfn.IFS(Table22[[#This Row],[Units Sold]]&lt;40,"Critical",Table22[[#This Row],[Units Sold]]&lt;=50,"Poor",Table22[[#This Row],[Units Sold]]&lt;=60,"Low",Table22[[#This Row],[Units Sold]]&lt;=80,"Average",Table22[[#This Row],[Units Sold]]&lt;=90,"High",Table22[[#This Row],[Units Sold]]&lt;=95,"Excellent",Table22[[#This Row],[Units Sold]]&gt;95,"Outstanding")</f>
        <v>Critical</v>
      </c>
      <c r="N1972" s="29">
        <v>192.73</v>
      </c>
      <c r="O1972" s="29">
        <v>770.92</v>
      </c>
      <c r="P1972" s="43">
        <f>IF(Table22[[#This Row],[Discount Applied]],Table22[[#This Row],[Total Sales (in USD)]]*(1-Table22[[#This Row],[Discount Percentage (%)]]/100),Table22[[#This Row],[Total Sales (in USD)]])</f>
        <v>652.42959600000006</v>
      </c>
      <c r="Q1972" s="66">
        <f>SQRT(AVERAGE((Table22[[#This Row],[Net Sales (after discount) (in USD)]]-AVERAGE(Table22[Net Sales (after discount) (in USD)]))^2))</f>
        <v>35858.930967764536</v>
      </c>
      <c r="R1972" s="18" t="b">
        <v>1</v>
      </c>
      <c r="S1972" s="40">
        <v>15.37</v>
      </c>
      <c r="T1972" s="18" t="b">
        <v>1</v>
      </c>
      <c r="U1972" s="25">
        <v>45095</v>
      </c>
      <c r="V1972" s="63" t="str">
        <f>IF(MONTH(Table22[[#This Row],[Sales Date]])&lt;=3,"Q1",IF(MONTH(Table22[[#This Row],[Sales Date]])&lt;=6,"Q2",IF(MONTH(Table22[[#This Row],[Sales Date]])&lt;=9,"Q3","Q4")))</f>
        <v>Q2</v>
      </c>
      <c r="W1972" s="64">
        <f>YEAR(Table22[[#This Row],[Sales Date]])</f>
        <v>2023</v>
      </c>
      <c r="X1972" s="23">
        <v>19</v>
      </c>
      <c r="Y1972" s="18" t="s">
        <v>41</v>
      </c>
      <c r="Z1972" s="18" t="s">
        <v>56</v>
      </c>
      <c r="AA1972" s="19" t="s">
        <v>25</v>
      </c>
    </row>
    <row r="1973" spans="1:27" x14ac:dyDescent="0.25">
      <c r="A1973" s="17" t="s">
        <v>26</v>
      </c>
      <c r="B1973" s="18" t="s">
        <v>27</v>
      </c>
      <c r="C1973" s="63" t="str" cm="1">
        <f t="array" ref="C1973">_xlfn.SWITCH(Table22[[#This Row],[Country]],"USA","North America","Canada","North America","Brazil","South America","China","Asia","Japan","Asia","India","Asia","France","Europe","Germany","Europe","UK","Europe","Australia","Oceania","South America")</f>
        <v>Europe</v>
      </c>
      <c r="D1973" s="18" t="s">
        <v>28</v>
      </c>
      <c r="E1973" s="18" t="s">
        <v>19</v>
      </c>
      <c r="F1973" s="18" t="s">
        <v>20</v>
      </c>
      <c r="G1973" s="18" t="s">
        <v>29</v>
      </c>
      <c r="H1973" s="64">
        <f>LEN(TRIM(Table22[[#This Row],[Country]]))</f>
        <v>7</v>
      </c>
      <c r="I1973" s="64">
        <f>LEN(TRIM(Table22[[#This Row],[Continent]]))</f>
        <v>6</v>
      </c>
      <c r="J1973" s="64">
        <f>LEN(TRIM(Table22[[#This Row],[Product]]))</f>
        <v>6</v>
      </c>
      <c r="K1973" s="64">
        <f>LEN(TRIM(Table22[[#This Row],[Sales Team]]))</f>
        <v>10</v>
      </c>
      <c r="L1973" s="23">
        <v>5</v>
      </c>
      <c r="M1973" s="65" t="str" cm="1">
        <f t="array" ref="M1973">_xlfn.IFS(Table22[[#This Row],[Units Sold]]&lt;40,"Critical",Table22[[#This Row],[Units Sold]]&lt;=50,"Poor",Table22[[#This Row],[Units Sold]]&lt;=60,"Low",Table22[[#This Row],[Units Sold]]&lt;=80,"Average",Table22[[#This Row],[Units Sold]]&lt;=90,"High",Table22[[#This Row],[Units Sold]]&lt;=95,"Excellent",Table22[[#This Row],[Units Sold]]&gt;95,"Outstanding")</f>
        <v>Critical</v>
      </c>
      <c r="N1973" s="29">
        <v>152.03</v>
      </c>
      <c r="O1973" s="29">
        <v>760.15</v>
      </c>
      <c r="P1973" s="43">
        <f>IF(Table22[[#This Row],[Discount Applied]],Table22[[#This Row],[Total Sales (in USD)]]*(1-Table22[[#This Row],[Discount Percentage (%)]]/100),Table22[[#This Row],[Total Sales (in USD)]])</f>
        <v>603.33105499999999</v>
      </c>
      <c r="Q1973" s="66">
        <f>SQRT(AVERAGE((Table22[[#This Row],[Net Sales (after discount) (in USD)]]-AVERAGE(Table22[Net Sales (after discount) (in USD)]))^2))</f>
        <v>35908.029508764535</v>
      </c>
      <c r="R1973" s="18" t="b">
        <v>1</v>
      </c>
      <c r="S1973" s="40">
        <v>20.63</v>
      </c>
      <c r="T1973" s="18" t="b">
        <v>1</v>
      </c>
      <c r="U1973" s="25">
        <v>45154</v>
      </c>
      <c r="V1973" s="63" t="str">
        <f>IF(MONTH(Table22[[#This Row],[Sales Date]])&lt;=3,"Q1",IF(MONTH(Table22[[#This Row],[Sales Date]])&lt;=6,"Q2",IF(MONTH(Table22[[#This Row],[Sales Date]])&lt;=9,"Q3","Q4")))</f>
        <v>Q3</v>
      </c>
      <c r="W1973" s="64">
        <f>YEAR(Table22[[#This Row],[Sales Date]])</f>
        <v>2023</v>
      </c>
      <c r="X1973" s="23">
        <v>66</v>
      </c>
      <c r="Y1973" s="18" t="s">
        <v>23</v>
      </c>
      <c r="Z1973" s="18" t="s">
        <v>30</v>
      </c>
      <c r="AA1973" s="19" t="s">
        <v>25</v>
      </c>
    </row>
    <row r="1974" spans="1:27" x14ac:dyDescent="0.25">
      <c r="A1974" s="17" t="s">
        <v>77</v>
      </c>
      <c r="B1974" s="18" t="s">
        <v>72</v>
      </c>
      <c r="C1974" s="63" t="str" cm="1">
        <f t="array" ref="C1974">_xlfn.SWITCH(Table22[[#This Row],[Country]],"USA","North America","Canada","North America","Brazil","South America","China","Asia","Japan","Asia","India","Asia","France","Europe","Germany","Europe","UK","Europe","Australia","Oceania","South America")</f>
        <v>North America</v>
      </c>
      <c r="D1974" s="18" t="s">
        <v>35</v>
      </c>
      <c r="E1974" s="18" t="s">
        <v>33</v>
      </c>
      <c r="F1974" s="18" t="s">
        <v>52</v>
      </c>
      <c r="G1974" s="18" t="s">
        <v>40</v>
      </c>
      <c r="H1974" s="64">
        <f>LEN(TRIM(Table22[[#This Row],[Country]]))</f>
        <v>3</v>
      </c>
      <c r="I1974" s="64">
        <f>LEN(TRIM(Table22[[#This Row],[Continent]]))</f>
        <v>13</v>
      </c>
      <c r="J1974" s="64">
        <f>LEN(TRIM(Table22[[#This Row],[Product]]))</f>
        <v>10</v>
      </c>
      <c r="K1974" s="64">
        <f>LEN(TRIM(Table22[[#This Row],[Sales Team]]))</f>
        <v>10</v>
      </c>
      <c r="L1974" s="23">
        <v>3</v>
      </c>
      <c r="M1974" s="65" t="str" cm="1">
        <f t="array" ref="M1974">_xlfn.IFS(Table22[[#This Row],[Units Sold]]&lt;40,"Critical",Table22[[#This Row],[Units Sold]]&lt;=50,"Poor",Table22[[#This Row],[Units Sold]]&lt;=60,"Low",Table22[[#This Row],[Units Sold]]&lt;=80,"Average",Table22[[#This Row],[Units Sold]]&lt;=90,"High",Table22[[#This Row],[Units Sold]]&lt;=95,"Excellent",Table22[[#This Row],[Units Sold]]&gt;95,"Outstanding")</f>
        <v>Critical</v>
      </c>
      <c r="N1974" s="29">
        <v>241.03</v>
      </c>
      <c r="O1974" s="29">
        <v>723.09</v>
      </c>
      <c r="P1974" s="43">
        <f>IF(Table22[[#This Row],[Discount Applied]],Table22[[#This Row],[Total Sales (in USD)]]*(1-Table22[[#This Row],[Discount Percentage (%)]]/100),Table22[[#This Row],[Total Sales (in USD)]])</f>
        <v>635.88534600000003</v>
      </c>
      <c r="Q1974" s="66">
        <f>SQRT(AVERAGE((Table22[[#This Row],[Net Sales (after discount) (in USD)]]-AVERAGE(Table22[Net Sales (after discount) (in USD)]))^2))</f>
        <v>35875.475217764535</v>
      </c>
      <c r="R1974" s="18" t="b">
        <v>0</v>
      </c>
      <c r="S1974" s="40">
        <v>12.06</v>
      </c>
      <c r="T1974" s="18" t="b">
        <v>1</v>
      </c>
      <c r="U1974" s="25">
        <v>45429</v>
      </c>
      <c r="V1974" s="63" t="str">
        <f>IF(MONTH(Table22[[#This Row],[Sales Date]])&lt;=3,"Q1",IF(MONTH(Table22[[#This Row],[Sales Date]])&lt;=6,"Q2",IF(MONTH(Table22[[#This Row],[Sales Date]])&lt;=9,"Q3","Q4")))</f>
        <v>Q2</v>
      </c>
      <c r="W1974" s="64">
        <f>YEAR(Table22[[#This Row],[Sales Date]])</f>
        <v>2024</v>
      </c>
      <c r="X1974" s="23">
        <v>36</v>
      </c>
      <c r="Y1974" s="18" t="s">
        <v>49</v>
      </c>
      <c r="Z1974" s="18" t="s">
        <v>42</v>
      </c>
      <c r="AA1974" s="19" t="s">
        <v>36</v>
      </c>
    </row>
    <row r="1975" spans="1:27" x14ac:dyDescent="0.25">
      <c r="A1975" s="17" t="s">
        <v>284</v>
      </c>
      <c r="B1975" s="18" t="s">
        <v>66</v>
      </c>
      <c r="C1975" s="63" t="str" cm="1">
        <f t="array" ref="C1975">_xlfn.SWITCH(Table22[[#This Row],[Country]],"USA","North America","Canada","North America","Brazil","South America","China","Asia","Japan","Asia","India","Asia","France","Europe","Germany","Europe","UK","Europe","Australia","Oceania","South America")</f>
        <v>North America</v>
      </c>
      <c r="D1975" s="18" t="s">
        <v>21</v>
      </c>
      <c r="E1975" s="18" t="s">
        <v>33</v>
      </c>
      <c r="F1975" s="18" t="s">
        <v>52</v>
      </c>
      <c r="G1975" s="18" t="s">
        <v>40</v>
      </c>
      <c r="H1975" s="64">
        <f>LEN(TRIM(Table22[[#This Row],[Country]]))</f>
        <v>6</v>
      </c>
      <c r="I1975" s="64">
        <f>LEN(TRIM(Table22[[#This Row],[Continent]]))</f>
        <v>13</v>
      </c>
      <c r="J1975" s="64">
        <f>LEN(TRIM(Table22[[#This Row],[Product]]))</f>
        <v>10</v>
      </c>
      <c r="K1975" s="64">
        <f>LEN(TRIM(Table22[[#This Row],[Sales Team]]))</f>
        <v>10</v>
      </c>
      <c r="L1975" s="23">
        <v>1</v>
      </c>
      <c r="M1975" s="65" t="str" cm="1">
        <f t="array" ref="M1975">_xlfn.IFS(Table22[[#This Row],[Units Sold]]&lt;40,"Critical",Table22[[#This Row],[Units Sold]]&lt;=50,"Poor",Table22[[#This Row],[Units Sold]]&lt;=60,"Low",Table22[[#This Row],[Units Sold]]&lt;=80,"Average",Table22[[#This Row],[Units Sold]]&lt;=90,"High",Table22[[#This Row],[Units Sold]]&lt;=95,"Excellent",Table22[[#This Row],[Units Sold]]&gt;95,"Outstanding")</f>
        <v>Critical</v>
      </c>
      <c r="N1975" s="29">
        <v>686.61</v>
      </c>
      <c r="O1975" s="29">
        <v>686.61</v>
      </c>
      <c r="P1975" s="43">
        <f>IF(Table22[[#This Row],[Discount Applied]],Table22[[#This Row],[Total Sales (in USD)]]*(1-Table22[[#This Row],[Discount Percentage (%)]]/100),Table22[[#This Row],[Total Sales (in USD)]])</f>
        <v>606.89457900000002</v>
      </c>
      <c r="Q1975" s="66">
        <f>SQRT(AVERAGE((Table22[[#This Row],[Net Sales (after discount) (in USD)]]-AVERAGE(Table22[Net Sales (after discount) (in USD)]))^2))</f>
        <v>35904.465984764538</v>
      </c>
      <c r="R1975" s="18" t="b">
        <v>0</v>
      </c>
      <c r="S1975" s="40">
        <v>11.61</v>
      </c>
      <c r="T1975" s="18" t="b">
        <v>1</v>
      </c>
      <c r="U1975" s="25">
        <v>45521</v>
      </c>
      <c r="V1975" s="63" t="str">
        <f>IF(MONTH(Table22[[#This Row],[Sales Date]])&lt;=3,"Q1",IF(MONTH(Table22[[#This Row],[Sales Date]])&lt;=6,"Q2",IF(MONTH(Table22[[#This Row],[Sales Date]])&lt;=9,"Q3","Q4")))</f>
        <v>Q3</v>
      </c>
      <c r="W1975" s="64">
        <f>YEAR(Table22[[#This Row],[Sales Date]])</f>
        <v>2024</v>
      </c>
      <c r="X1975" s="23">
        <v>66</v>
      </c>
      <c r="Y1975" s="18" t="s">
        <v>23</v>
      </c>
      <c r="Z1975" s="18" t="s">
        <v>56</v>
      </c>
      <c r="AA1975" s="19" t="s">
        <v>25</v>
      </c>
    </row>
    <row r="1976" spans="1:27" x14ac:dyDescent="0.25">
      <c r="A1976" s="17" t="s">
        <v>927</v>
      </c>
      <c r="B1976" s="18" t="s">
        <v>46</v>
      </c>
      <c r="C1976" s="63" t="str" cm="1">
        <f t="array" ref="C1976">_xlfn.SWITCH(Table22[[#This Row],[Country]],"USA","North America","Canada","North America","Brazil","South America","China","Asia","Japan","Asia","India","Asia","France","Europe","Germany","Europe","UK","Europe","Australia","Oceania","South America")</f>
        <v>South America</v>
      </c>
      <c r="D1976" s="18" t="s">
        <v>21</v>
      </c>
      <c r="E1976" s="18" t="s">
        <v>39</v>
      </c>
      <c r="F1976" s="18" t="s">
        <v>64</v>
      </c>
      <c r="G1976" s="18" t="s">
        <v>29</v>
      </c>
      <c r="H1976" s="64">
        <f>LEN(TRIM(Table22[[#This Row],[Country]]))</f>
        <v>6</v>
      </c>
      <c r="I1976" s="64">
        <f>LEN(TRIM(Table22[[#This Row],[Continent]]))</f>
        <v>13</v>
      </c>
      <c r="J1976" s="64">
        <f>LEN(TRIM(Table22[[#This Row],[Product]]))</f>
        <v>10</v>
      </c>
      <c r="K1976" s="64">
        <f>LEN(TRIM(Table22[[#This Row],[Sales Team]]))</f>
        <v>10</v>
      </c>
      <c r="L1976" s="23">
        <v>10</v>
      </c>
      <c r="M1976" s="65" t="str" cm="1">
        <f t="array" ref="M1976">_xlfn.IFS(Table22[[#This Row],[Units Sold]]&lt;40,"Critical",Table22[[#This Row],[Units Sold]]&lt;=50,"Poor",Table22[[#This Row],[Units Sold]]&lt;=60,"Low",Table22[[#This Row],[Units Sold]]&lt;=80,"Average",Table22[[#This Row],[Units Sold]]&lt;=90,"High",Table22[[#This Row],[Units Sold]]&lt;=95,"Excellent",Table22[[#This Row],[Units Sold]]&gt;95,"Outstanding")</f>
        <v>Critical</v>
      </c>
      <c r="N1976" s="29">
        <v>67.25</v>
      </c>
      <c r="O1976" s="29">
        <v>672.5</v>
      </c>
      <c r="P1976" s="43">
        <f>IF(Table22[[#This Row],[Discount Applied]],Table22[[#This Row],[Total Sales (in USD)]]*(1-Table22[[#This Row],[Discount Percentage (%)]]/100),Table22[[#This Row],[Total Sales (in USD)]])</f>
        <v>672.5</v>
      </c>
      <c r="Q1976" s="66">
        <f>SQRT(AVERAGE((Table22[[#This Row],[Net Sales (after discount) (in USD)]]-AVERAGE(Table22[Net Sales (after discount) (in USD)]))^2))</f>
        <v>35838.860563764538</v>
      </c>
      <c r="R1976" s="18" t="b">
        <v>1</v>
      </c>
      <c r="S1976" s="40">
        <v>10.33</v>
      </c>
      <c r="T1976" s="18" t="b">
        <v>0</v>
      </c>
      <c r="U1976" s="25">
        <v>44985</v>
      </c>
      <c r="V1976" s="63" t="str">
        <f>IF(MONTH(Table22[[#This Row],[Sales Date]])&lt;=3,"Q1",IF(MONTH(Table22[[#This Row],[Sales Date]])&lt;=6,"Q2",IF(MONTH(Table22[[#This Row],[Sales Date]])&lt;=9,"Q3","Q4")))</f>
        <v>Q1</v>
      </c>
      <c r="W1976" s="64">
        <f>YEAR(Table22[[#This Row],[Sales Date]])</f>
        <v>2023</v>
      </c>
      <c r="X1976" s="23">
        <v>54</v>
      </c>
      <c r="Y1976" s="18" t="s">
        <v>23</v>
      </c>
      <c r="Z1976" s="18" t="s">
        <v>24</v>
      </c>
      <c r="AA1976" s="19" t="s">
        <v>36</v>
      </c>
    </row>
    <row r="1977" spans="1:27" x14ac:dyDescent="0.25">
      <c r="A1977" s="17" t="s">
        <v>1895</v>
      </c>
      <c r="B1977" s="18" t="s">
        <v>62</v>
      </c>
      <c r="C1977" s="63" t="str" cm="1">
        <f t="array" ref="C1977">_xlfn.SWITCH(Table22[[#This Row],[Country]],"USA","North America","Canada","North America","Brazil","South America","China","Asia","Japan","Asia","India","Asia","France","Europe","Germany","Europe","UK","Europe","Australia","Oceania","South America")</f>
        <v>Oceania</v>
      </c>
      <c r="D1977" s="18" t="s">
        <v>28</v>
      </c>
      <c r="E1977" s="18" t="s">
        <v>33</v>
      </c>
      <c r="F1977" s="18" t="s">
        <v>20</v>
      </c>
      <c r="G1977" s="18" t="s">
        <v>22</v>
      </c>
      <c r="H1977" s="64">
        <f>LEN(TRIM(Table22[[#This Row],[Country]]))</f>
        <v>9</v>
      </c>
      <c r="I1977" s="64">
        <f>LEN(TRIM(Table22[[#This Row],[Continent]]))</f>
        <v>7</v>
      </c>
      <c r="J1977" s="64">
        <f>LEN(TRIM(Table22[[#This Row],[Product]]))</f>
        <v>10</v>
      </c>
      <c r="K1977" s="64">
        <f>LEN(TRIM(Table22[[#This Row],[Sales Team]]))</f>
        <v>10</v>
      </c>
      <c r="L1977" s="23">
        <v>1</v>
      </c>
      <c r="M1977" s="65" t="str" cm="1">
        <f t="array" ref="M1977">_xlfn.IFS(Table22[[#This Row],[Units Sold]]&lt;40,"Critical",Table22[[#This Row],[Units Sold]]&lt;=50,"Poor",Table22[[#This Row],[Units Sold]]&lt;=60,"Low",Table22[[#This Row],[Units Sold]]&lt;=80,"Average",Table22[[#This Row],[Units Sold]]&lt;=90,"High",Table22[[#This Row],[Units Sold]]&lt;=95,"Excellent",Table22[[#This Row],[Units Sold]]&gt;95,"Outstanding")</f>
        <v>Critical</v>
      </c>
      <c r="N1977" s="29">
        <v>630.52</v>
      </c>
      <c r="O1977" s="29">
        <v>630.52</v>
      </c>
      <c r="P1977" s="43">
        <f>IF(Table22[[#This Row],[Discount Applied]],Table22[[#This Row],[Total Sales (in USD)]]*(1-Table22[[#This Row],[Discount Percentage (%)]]/100),Table22[[#This Row],[Total Sales (in USD)]])</f>
        <v>554.79454799999996</v>
      </c>
      <c r="Q1977" s="66">
        <f>SQRT(AVERAGE((Table22[[#This Row],[Net Sales (after discount) (in USD)]]-AVERAGE(Table22[Net Sales (after discount) (in USD)]))^2))</f>
        <v>35956.56601576454</v>
      </c>
      <c r="R1977" s="18" t="b">
        <v>0</v>
      </c>
      <c r="S1977" s="40">
        <v>12.01</v>
      </c>
      <c r="T1977" s="18" t="b">
        <v>1</v>
      </c>
      <c r="U1977" s="25">
        <v>45221</v>
      </c>
      <c r="V1977" s="63" t="str">
        <f>IF(MONTH(Table22[[#This Row],[Sales Date]])&lt;=3,"Q1",IF(MONTH(Table22[[#This Row],[Sales Date]])&lt;=6,"Q2",IF(MONTH(Table22[[#This Row],[Sales Date]])&lt;=9,"Q3","Q4")))</f>
        <v>Q4</v>
      </c>
      <c r="W1977" s="64">
        <f>YEAR(Table22[[#This Row],[Sales Date]])</f>
        <v>2023</v>
      </c>
      <c r="X1977" s="23">
        <v>60</v>
      </c>
      <c r="Y1977" s="18" t="s">
        <v>49</v>
      </c>
      <c r="Z1977" s="18" t="s">
        <v>24</v>
      </c>
      <c r="AA1977" s="19" t="s">
        <v>25</v>
      </c>
    </row>
    <row r="1978" spans="1:27" x14ac:dyDescent="0.25">
      <c r="A1978" s="17" t="s">
        <v>1126</v>
      </c>
      <c r="B1978" s="18" t="s">
        <v>62</v>
      </c>
      <c r="C1978" s="63" t="str" cm="1">
        <f t="array" ref="C1978">_xlfn.SWITCH(Table22[[#This Row],[Country]],"USA","North America","Canada","North America","Brazil","South America","China","Asia","Japan","Asia","India","Asia","France","Europe","Germany","Europe","UK","Europe","Australia","Oceania","South America")</f>
        <v>Oceania</v>
      </c>
      <c r="D1978" s="18" t="s">
        <v>28</v>
      </c>
      <c r="E1978" s="18" t="s">
        <v>19</v>
      </c>
      <c r="F1978" s="18" t="s">
        <v>20</v>
      </c>
      <c r="G1978" s="18" t="s">
        <v>48</v>
      </c>
      <c r="H1978" s="64">
        <f>LEN(TRIM(Table22[[#This Row],[Country]]))</f>
        <v>9</v>
      </c>
      <c r="I1978" s="64">
        <f>LEN(TRIM(Table22[[#This Row],[Continent]]))</f>
        <v>7</v>
      </c>
      <c r="J1978" s="64">
        <f>LEN(TRIM(Table22[[#This Row],[Product]]))</f>
        <v>6</v>
      </c>
      <c r="K1978" s="64">
        <f>LEN(TRIM(Table22[[#This Row],[Sales Team]]))</f>
        <v>9</v>
      </c>
      <c r="L1978" s="23">
        <v>2</v>
      </c>
      <c r="M1978" s="65" t="str" cm="1">
        <f t="array" ref="M1978">_xlfn.IFS(Table22[[#This Row],[Units Sold]]&lt;40,"Critical",Table22[[#This Row],[Units Sold]]&lt;=50,"Poor",Table22[[#This Row],[Units Sold]]&lt;=60,"Low",Table22[[#This Row],[Units Sold]]&lt;=80,"Average",Table22[[#This Row],[Units Sold]]&lt;=90,"High",Table22[[#This Row],[Units Sold]]&lt;=95,"Excellent",Table22[[#This Row],[Units Sold]]&gt;95,"Outstanding")</f>
        <v>Critical</v>
      </c>
      <c r="N1978" s="29">
        <v>303.24</v>
      </c>
      <c r="O1978" s="29">
        <v>606.48</v>
      </c>
      <c r="P1978" s="43">
        <f>IF(Table22[[#This Row],[Discount Applied]],Table22[[#This Row],[Total Sales (in USD)]]*(1-Table22[[#This Row],[Discount Percentage (%)]]/100),Table22[[#This Row],[Total Sales (in USD)]])</f>
        <v>606.48</v>
      </c>
      <c r="Q1978" s="66">
        <f>SQRT(AVERAGE((Table22[[#This Row],[Net Sales (after discount) (in USD)]]-AVERAGE(Table22[Net Sales (after discount) (in USD)]))^2))</f>
        <v>35904.880563764535</v>
      </c>
      <c r="R1978" s="18" t="b">
        <v>0</v>
      </c>
      <c r="S1978" s="40">
        <v>18.25</v>
      </c>
      <c r="T1978" s="18" t="b">
        <v>0</v>
      </c>
      <c r="U1978" s="25">
        <v>44950</v>
      </c>
      <c r="V1978" s="63" t="str">
        <f>IF(MONTH(Table22[[#This Row],[Sales Date]])&lt;=3,"Q1",IF(MONTH(Table22[[#This Row],[Sales Date]])&lt;=6,"Q2",IF(MONTH(Table22[[#This Row],[Sales Date]])&lt;=9,"Q3","Q4")))</f>
        <v>Q1</v>
      </c>
      <c r="W1978" s="64">
        <f>YEAR(Table22[[#This Row],[Sales Date]])</f>
        <v>2023</v>
      </c>
      <c r="X1978" s="23">
        <v>48</v>
      </c>
      <c r="Y1978" s="18" t="s">
        <v>49</v>
      </c>
      <c r="Z1978" s="18" t="s">
        <v>30</v>
      </c>
      <c r="AA1978" s="19" t="s">
        <v>36</v>
      </c>
    </row>
    <row r="1979" spans="1:27" x14ac:dyDescent="0.25">
      <c r="A1979" s="17" t="s">
        <v>1377</v>
      </c>
      <c r="B1979" s="18" t="s">
        <v>38</v>
      </c>
      <c r="C1979" s="63" t="str" cm="1">
        <f t="array" ref="C1979">_xlfn.SWITCH(Table22[[#This Row],[Country]],"USA","North America","Canada","North America","Brazil","South America","China","Asia","Japan","Asia","India","Asia","France","Europe","Germany","Europe","UK","Europe","Australia","Oceania","South America")</f>
        <v>Europe</v>
      </c>
      <c r="D1979" s="18" t="s">
        <v>21</v>
      </c>
      <c r="E1979" s="18" t="s">
        <v>39</v>
      </c>
      <c r="F1979" s="18" t="s">
        <v>52</v>
      </c>
      <c r="G1979" s="18" t="s">
        <v>29</v>
      </c>
      <c r="H1979" s="64">
        <f>LEN(TRIM(Table22[[#This Row],[Country]]))</f>
        <v>6</v>
      </c>
      <c r="I1979" s="64">
        <f>LEN(TRIM(Table22[[#This Row],[Continent]]))</f>
        <v>6</v>
      </c>
      <c r="J1979" s="64">
        <f>LEN(TRIM(Table22[[#This Row],[Product]]))</f>
        <v>10</v>
      </c>
      <c r="K1979" s="64">
        <f>LEN(TRIM(Table22[[#This Row],[Sales Team]]))</f>
        <v>10</v>
      </c>
      <c r="L1979" s="23">
        <v>6</v>
      </c>
      <c r="M1979" s="65" t="str" cm="1">
        <f t="array" ref="M1979">_xlfn.IFS(Table22[[#This Row],[Units Sold]]&lt;40,"Critical",Table22[[#This Row],[Units Sold]]&lt;=50,"Poor",Table22[[#This Row],[Units Sold]]&lt;=60,"Low",Table22[[#This Row],[Units Sold]]&lt;=80,"Average",Table22[[#This Row],[Units Sold]]&lt;=90,"High",Table22[[#This Row],[Units Sold]]&lt;=95,"Excellent",Table22[[#This Row],[Units Sold]]&gt;95,"Outstanding")</f>
        <v>Critical</v>
      </c>
      <c r="N1979" s="29">
        <v>95.47</v>
      </c>
      <c r="O1979" s="29">
        <v>572.82000000000005</v>
      </c>
      <c r="P1979" s="43">
        <f>IF(Table22[[#This Row],[Discount Applied]],Table22[[#This Row],[Total Sales (in USD)]]*(1-Table22[[#This Row],[Discount Percentage (%)]]/100),Table22[[#This Row],[Total Sales (in USD)]])</f>
        <v>572.82000000000005</v>
      </c>
      <c r="Q1979" s="66">
        <f>SQRT(AVERAGE((Table22[[#This Row],[Net Sales (after discount) (in USD)]]-AVERAGE(Table22[Net Sales (after discount) (in USD)]))^2))</f>
        <v>35938.540563764538</v>
      </c>
      <c r="R1979" s="18" t="b">
        <v>1</v>
      </c>
      <c r="S1979" s="40">
        <v>20.66</v>
      </c>
      <c r="T1979" s="18" t="b">
        <v>0</v>
      </c>
      <c r="U1979" s="25">
        <v>45130</v>
      </c>
      <c r="V1979" s="63" t="str">
        <f>IF(MONTH(Table22[[#This Row],[Sales Date]])&lt;=3,"Q1",IF(MONTH(Table22[[#This Row],[Sales Date]])&lt;=6,"Q2",IF(MONTH(Table22[[#This Row],[Sales Date]])&lt;=9,"Q3","Q4")))</f>
        <v>Q3</v>
      </c>
      <c r="W1979" s="64">
        <f>YEAR(Table22[[#This Row],[Sales Date]])</f>
        <v>2023</v>
      </c>
      <c r="X1979" s="23">
        <v>54</v>
      </c>
      <c r="Y1979" s="18" t="s">
        <v>49</v>
      </c>
      <c r="Z1979" s="18" t="s">
        <v>24</v>
      </c>
      <c r="AA1979" s="19" t="s">
        <v>25</v>
      </c>
    </row>
    <row r="1980" spans="1:27" x14ac:dyDescent="0.25">
      <c r="A1980" s="17" t="s">
        <v>1679</v>
      </c>
      <c r="B1980" s="18" t="s">
        <v>66</v>
      </c>
      <c r="C1980" s="63" t="str" cm="1">
        <f t="array" ref="C1980">_xlfn.SWITCH(Table22[[#This Row],[Country]],"USA","North America","Canada","North America","Brazil","South America","China","Asia","Japan","Asia","India","Asia","France","Europe","Germany","Europe","UK","Europe","Australia","Oceania","South America")</f>
        <v>North America</v>
      </c>
      <c r="D1980" s="18" t="s">
        <v>28</v>
      </c>
      <c r="E1980" s="18" t="s">
        <v>33</v>
      </c>
      <c r="F1980" s="18" t="s">
        <v>64</v>
      </c>
      <c r="G1980" s="18" t="s">
        <v>29</v>
      </c>
      <c r="H1980" s="64">
        <f>LEN(TRIM(Table22[[#This Row],[Country]]))</f>
        <v>6</v>
      </c>
      <c r="I1980" s="64">
        <f>LEN(TRIM(Table22[[#This Row],[Continent]]))</f>
        <v>13</v>
      </c>
      <c r="J1980" s="64">
        <f>LEN(TRIM(Table22[[#This Row],[Product]]))</f>
        <v>10</v>
      </c>
      <c r="K1980" s="64">
        <f>LEN(TRIM(Table22[[#This Row],[Sales Team]]))</f>
        <v>10</v>
      </c>
      <c r="L1980" s="23">
        <v>8</v>
      </c>
      <c r="M1980" s="65" t="str" cm="1">
        <f t="array" ref="M1980">_xlfn.IFS(Table22[[#This Row],[Units Sold]]&lt;40,"Critical",Table22[[#This Row],[Units Sold]]&lt;=50,"Poor",Table22[[#This Row],[Units Sold]]&lt;=60,"Low",Table22[[#This Row],[Units Sold]]&lt;=80,"Average",Table22[[#This Row],[Units Sold]]&lt;=90,"High",Table22[[#This Row],[Units Sold]]&lt;=95,"Excellent",Table22[[#This Row],[Units Sold]]&gt;95,"Outstanding")</f>
        <v>Critical</v>
      </c>
      <c r="N1980" s="29">
        <v>70.7</v>
      </c>
      <c r="O1980" s="29">
        <v>565.6</v>
      </c>
      <c r="P1980" s="43">
        <f>IF(Table22[[#This Row],[Discount Applied]],Table22[[#This Row],[Total Sales (in USD)]]*(1-Table22[[#This Row],[Discount Percentage (%)]]/100),Table22[[#This Row],[Total Sales (in USD)]])</f>
        <v>489.07432000000006</v>
      </c>
      <c r="Q1980" s="66">
        <f>SQRT(AVERAGE((Table22[[#This Row],[Net Sales (after discount) (in USD)]]-AVERAGE(Table22[Net Sales (after discount) (in USD)]))^2))</f>
        <v>36022.286243764538</v>
      </c>
      <c r="R1980" s="18" t="b">
        <v>0</v>
      </c>
      <c r="S1980" s="40">
        <v>13.53</v>
      </c>
      <c r="T1980" s="18" t="b">
        <v>1</v>
      </c>
      <c r="U1980" s="25">
        <v>45167</v>
      </c>
      <c r="V1980" s="63" t="str">
        <f>IF(MONTH(Table22[[#This Row],[Sales Date]])&lt;=3,"Q1",IF(MONTH(Table22[[#This Row],[Sales Date]])&lt;=6,"Q2",IF(MONTH(Table22[[#This Row],[Sales Date]])&lt;=9,"Q3","Q4")))</f>
        <v>Q3</v>
      </c>
      <c r="W1980" s="64">
        <f>YEAR(Table22[[#This Row],[Sales Date]])</f>
        <v>2023</v>
      </c>
      <c r="X1980" s="23">
        <v>38</v>
      </c>
      <c r="Y1980" s="18" t="s">
        <v>49</v>
      </c>
      <c r="Z1980" s="18" t="s">
        <v>56</v>
      </c>
      <c r="AA1980" s="19" t="s">
        <v>25</v>
      </c>
    </row>
    <row r="1981" spans="1:27" x14ac:dyDescent="0.25">
      <c r="A1981" s="17" t="s">
        <v>416</v>
      </c>
      <c r="B1981" s="18" t="s">
        <v>38</v>
      </c>
      <c r="C1981" s="63" t="str" cm="1">
        <f t="array" ref="C1981">_xlfn.SWITCH(Table22[[#This Row],[Country]],"USA","North America","Canada","North America","Brazil","South America","China","Asia","Japan","Asia","India","Asia","France","Europe","Germany","Europe","UK","Europe","Australia","Oceania","South America")</f>
        <v>Europe</v>
      </c>
      <c r="D1981" s="18" t="s">
        <v>28</v>
      </c>
      <c r="E1981" s="18" t="s">
        <v>39</v>
      </c>
      <c r="F1981" s="18" t="s">
        <v>20</v>
      </c>
      <c r="G1981" s="18" t="s">
        <v>22</v>
      </c>
      <c r="H1981" s="64">
        <f>LEN(TRIM(Table22[[#This Row],[Country]]))</f>
        <v>6</v>
      </c>
      <c r="I1981" s="64">
        <f>LEN(TRIM(Table22[[#This Row],[Continent]]))</f>
        <v>6</v>
      </c>
      <c r="J1981" s="64">
        <f>LEN(TRIM(Table22[[#This Row],[Product]]))</f>
        <v>10</v>
      </c>
      <c r="K1981" s="64">
        <f>LEN(TRIM(Table22[[#This Row],[Sales Team]]))</f>
        <v>10</v>
      </c>
      <c r="L1981" s="23">
        <v>10</v>
      </c>
      <c r="M1981" s="65" t="str" cm="1">
        <f t="array" ref="M1981">_xlfn.IFS(Table22[[#This Row],[Units Sold]]&lt;40,"Critical",Table22[[#This Row],[Units Sold]]&lt;=50,"Poor",Table22[[#This Row],[Units Sold]]&lt;=60,"Low",Table22[[#This Row],[Units Sold]]&lt;=80,"Average",Table22[[#This Row],[Units Sold]]&lt;=90,"High",Table22[[#This Row],[Units Sold]]&lt;=95,"Excellent",Table22[[#This Row],[Units Sold]]&gt;95,"Outstanding")</f>
        <v>Critical</v>
      </c>
      <c r="N1981" s="29">
        <v>52.63</v>
      </c>
      <c r="O1981" s="29">
        <v>526.29999999999995</v>
      </c>
      <c r="P1981" s="43">
        <f>IF(Table22[[#This Row],[Discount Applied]],Table22[[#This Row],[Total Sales (in USD)]]*(1-Table22[[#This Row],[Discount Percentage (%)]]/100),Table22[[#This Row],[Total Sales (in USD)]])</f>
        <v>526.29999999999995</v>
      </c>
      <c r="Q1981" s="66">
        <f>SQRT(AVERAGE((Table22[[#This Row],[Net Sales (after discount) (in USD)]]-AVERAGE(Table22[Net Sales (after discount) (in USD)]))^2))</f>
        <v>35985.060563764535</v>
      </c>
      <c r="R1981" s="18" t="b">
        <v>1</v>
      </c>
      <c r="S1981" s="40">
        <v>9.5500000000000007</v>
      </c>
      <c r="T1981" s="18" t="b">
        <v>0</v>
      </c>
      <c r="U1981" s="25">
        <v>45421</v>
      </c>
      <c r="V1981" s="63" t="str">
        <f>IF(MONTH(Table22[[#This Row],[Sales Date]])&lt;=3,"Q1",IF(MONTH(Table22[[#This Row],[Sales Date]])&lt;=6,"Q2",IF(MONTH(Table22[[#This Row],[Sales Date]])&lt;=9,"Q3","Q4")))</f>
        <v>Q2</v>
      </c>
      <c r="W1981" s="64">
        <f>YEAR(Table22[[#This Row],[Sales Date]])</f>
        <v>2024</v>
      </c>
      <c r="X1981" s="23">
        <v>26</v>
      </c>
      <c r="Y1981" s="18" t="s">
        <v>23</v>
      </c>
      <c r="Z1981" s="18" t="s">
        <v>30</v>
      </c>
      <c r="AA1981" s="19" t="s">
        <v>25</v>
      </c>
    </row>
    <row r="1982" spans="1:27" x14ac:dyDescent="0.25">
      <c r="A1982" s="17" t="s">
        <v>464</v>
      </c>
      <c r="B1982" s="18" t="s">
        <v>38</v>
      </c>
      <c r="C1982" s="63" t="str" cm="1">
        <f t="array" ref="C1982">_xlfn.SWITCH(Table22[[#This Row],[Country]],"USA","North America","Canada","North America","Brazil","South America","China","Asia","Japan","Asia","India","Asia","France","Europe","Germany","Europe","UK","Europe","Australia","Oceania","South America")</f>
        <v>Europe</v>
      </c>
      <c r="D1982" s="18" t="s">
        <v>35</v>
      </c>
      <c r="E1982" s="18" t="s">
        <v>39</v>
      </c>
      <c r="F1982" s="18" t="s">
        <v>52</v>
      </c>
      <c r="G1982" s="18" t="s">
        <v>29</v>
      </c>
      <c r="H1982" s="64">
        <f>LEN(TRIM(Table22[[#This Row],[Country]]))</f>
        <v>6</v>
      </c>
      <c r="I1982" s="64">
        <f>LEN(TRIM(Table22[[#This Row],[Continent]]))</f>
        <v>6</v>
      </c>
      <c r="J1982" s="64">
        <f>LEN(TRIM(Table22[[#This Row],[Product]]))</f>
        <v>10</v>
      </c>
      <c r="K1982" s="64">
        <f>LEN(TRIM(Table22[[#This Row],[Sales Team]]))</f>
        <v>10</v>
      </c>
      <c r="L1982" s="23">
        <v>9</v>
      </c>
      <c r="M1982" s="65" t="str" cm="1">
        <f t="array" ref="M1982">_xlfn.IFS(Table22[[#This Row],[Units Sold]]&lt;40,"Critical",Table22[[#This Row],[Units Sold]]&lt;=50,"Poor",Table22[[#This Row],[Units Sold]]&lt;=60,"Low",Table22[[#This Row],[Units Sold]]&lt;=80,"Average",Table22[[#This Row],[Units Sold]]&lt;=90,"High",Table22[[#This Row],[Units Sold]]&lt;=95,"Excellent",Table22[[#This Row],[Units Sold]]&gt;95,"Outstanding")</f>
        <v>Critical</v>
      </c>
      <c r="N1982" s="29">
        <v>56.53</v>
      </c>
      <c r="O1982" s="29">
        <v>508.77</v>
      </c>
      <c r="P1982" s="43">
        <f>IF(Table22[[#This Row],[Discount Applied]],Table22[[#This Row],[Total Sales (in USD)]]*(1-Table22[[#This Row],[Discount Percentage (%)]]/100),Table22[[#This Row],[Total Sales (in USD)]])</f>
        <v>412.86685499999999</v>
      </c>
      <c r="Q1982" s="66">
        <f>SQRT(AVERAGE((Table22[[#This Row],[Net Sales (after discount) (in USD)]]-AVERAGE(Table22[Net Sales (after discount) (in USD)]))^2))</f>
        <v>36098.493708764538</v>
      </c>
      <c r="R1982" s="18" t="b">
        <v>1</v>
      </c>
      <c r="S1982" s="40">
        <v>18.850000000000001</v>
      </c>
      <c r="T1982" s="18" t="b">
        <v>1</v>
      </c>
      <c r="U1982" s="25">
        <v>45109</v>
      </c>
      <c r="V1982" s="63" t="str">
        <f>IF(MONTH(Table22[[#This Row],[Sales Date]])&lt;=3,"Q1",IF(MONTH(Table22[[#This Row],[Sales Date]])&lt;=6,"Q2",IF(MONTH(Table22[[#This Row],[Sales Date]])&lt;=9,"Q3","Q4")))</f>
        <v>Q3</v>
      </c>
      <c r="W1982" s="64">
        <f>YEAR(Table22[[#This Row],[Sales Date]])</f>
        <v>2023</v>
      </c>
      <c r="X1982" s="23">
        <v>33</v>
      </c>
      <c r="Y1982" s="18" t="s">
        <v>49</v>
      </c>
      <c r="Z1982" s="18" t="s">
        <v>56</v>
      </c>
      <c r="AA1982" s="19" t="s">
        <v>36</v>
      </c>
    </row>
    <row r="1983" spans="1:27" x14ac:dyDescent="0.25">
      <c r="A1983" s="17" t="s">
        <v>1056</v>
      </c>
      <c r="B1983" s="18" t="s">
        <v>38</v>
      </c>
      <c r="C1983" s="63" t="str" cm="1">
        <f t="array" ref="C1983">_xlfn.SWITCH(Table22[[#This Row],[Country]],"USA","North America","Canada","North America","Brazil","South America","China","Asia","Japan","Asia","India","Asia","France","Europe","Germany","Europe","UK","Europe","Australia","Oceania","South America")</f>
        <v>Europe</v>
      </c>
      <c r="D1983" s="18" t="s">
        <v>35</v>
      </c>
      <c r="E1983" s="18" t="s">
        <v>19</v>
      </c>
      <c r="F1983" s="18" t="s">
        <v>64</v>
      </c>
      <c r="G1983" s="18" t="s">
        <v>40</v>
      </c>
      <c r="H1983" s="64">
        <f>LEN(TRIM(Table22[[#This Row],[Country]]))</f>
        <v>6</v>
      </c>
      <c r="I1983" s="64">
        <f>LEN(TRIM(Table22[[#This Row],[Continent]]))</f>
        <v>6</v>
      </c>
      <c r="J1983" s="64">
        <f>LEN(TRIM(Table22[[#This Row],[Product]]))</f>
        <v>6</v>
      </c>
      <c r="K1983" s="64">
        <f>LEN(TRIM(Table22[[#This Row],[Sales Team]]))</f>
        <v>10</v>
      </c>
      <c r="L1983" s="23">
        <v>1</v>
      </c>
      <c r="M1983" s="65" t="str" cm="1">
        <f t="array" ref="M1983">_xlfn.IFS(Table22[[#This Row],[Units Sold]]&lt;40,"Critical",Table22[[#This Row],[Units Sold]]&lt;=50,"Poor",Table22[[#This Row],[Units Sold]]&lt;=60,"Low",Table22[[#This Row],[Units Sold]]&lt;=80,"Average",Table22[[#This Row],[Units Sold]]&lt;=90,"High",Table22[[#This Row],[Units Sold]]&lt;=95,"Excellent",Table22[[#This Row],[Units Sold]]&gt;95,"Outstanding")</f>
        <v>Critical</v>
      </c>
      <c r="N1983" s="29">
        <v>487.16</v>
      </c>
      <c r="O1983" s="29">
        <v>487.16</v>
      </c>
      <c r="P1983" s="43">
        <f>IF(Table22[[#This Row],[Discount Applied]],Table22[[#This Row],[Total Sales (in USD)]]*(1-Table22[[#This Row],[Discount Percentage (%)]]/100),Table22[[#This Row],[Total Sales (in USD)]])</f>
        <v>386.61017600000002</v>
      </c>
      <c r="Q1983" s="66">
        <f>SQRT(AVERAGE((Table22[[#This Row],[Net Sales (after discount) (in USD)]]-AVERAGE(Table22[Net Sales (after discount) (in USD)]))^2))</f>
        <v>36124.750387764536</v>
      </c>
      <c r="R1983" s="18" t="b">
        <v>0</v>
      </c>
      <c r="S1983" s="40">
        <v>20.64</v>
      </c>
      <c r="T1983" s="18" t="b">
        <v>1</v>
      </c>
      <c r="U1983" s="25">
        <v>45424</v>
      </c>
      <c r="V1983" s="63" t="str">
        <f>IF(MONTH(Table22[[#This Row],[Sales Date]])&lt;=3,"Q1",IF(MONTH(Table22[[#This Row],[Sales Date]])&lt;=6,"Q2",IF(MONTH(Table22[[#This Row],[Sales Date]])&lt;=9,"Q3","Q4")))</f>
        <v>Q2</v>
      </c>
      <c r="W1983" s="64">
        <f>YEAR(Table22[[#This Row],[Sales Date]])</f>
        <v>2024</v>
      </c>
      <c r="X1983" s="23">
        <v>26</v>
      </c>
      <c r="Y1983" s="18" t="s">
        <v>23</v>
      </c>
      <c r="Z1983" s="18" t="s">
        <v>30</v>
      </c>
      <c r="AA1983" s="19" t="s">
        <v>36</v>
      </c>
    </row>
    <row r="1984" spans="1:27" x14ac:dyDescent="0.25">
      <c r="A1984" s="17" t="s">
        <v>222</v>
      </c>
      <c r="B1984" s="18" t="s">
        <v>51</v>
      </c>
      <c r="C1984" s="63" t="str" cm="1">
        <f t="array" ref="C1984">_xlfn.SWITCH(Table22[[#This Row],[Country]],"USA","North America","Canada","North America","Brazil","South America","China","Asia","Japan","Asia","India","Asia","France","Europe","Germany","Europe","UK","Europe","Australia","Oceania","South America")</f>
        <v>Europe</v>
      </c>
      <c r="D1984" s="18" t="s">
        <v>28</v>
      </c>
      <c r="E1984" s="18" t="s">
        <v>39</v>
      </c>
      <c r="F1984" s="18" t="s">
        <v>47</v>
      </c>
      <c r="G1984" s="18" t="s">
        <v>40</v>
      </c>
      <c r="H1984" s="64">
        <f>LEN(TRIM(Table22[[#This Row],[Country]]))</f>
        <v>2</v>
      </c>
      <c r="I1984" s="64">
        <f>LEN(TRIM(Table22[[#This Row],[Continent]]))</f>
        <v>6</v>
      </c>
      <c r="J1984" s="64">
        <f>LEN(TRIM(Table22[[#This Row],[Product]]))</f>
        <v>10</v>
      </c>
      <c r="K1984" s="64">
        <f>LEN(TRIM(Table22[[#This Row],[Sales Team]]))</f>
        <v>10</v>
      </c>
      <c r="L1984" s="23">
        <v>1</v>
      </c>
      <c r="M1984" s="65" t="str" cm="1">
        <f t="array" ref="M1984">_xlfn.IFS(Table22[[#This Row],[Units Sold]]&lt;40,"Critical",Table22[[#This Row],[Units Sold]]&lt;=50,"Poor",Table22[[#This Row],[Units Sold]]&lt;=60,"Low",Table22[[#This Row],[Units Sold]]&lt;=80,"Average",Table22[[#This Row],[Units Sold]]&lt;=90,"High",Table22[[#This Row],[Units Sold]]&lt;=95,"Excellent",Table22[[#This Row],[Units Sold]]&gt;95,"Outstanding")</f>
        <v>Critical</v>
      </c>
      <c r="N1984" s="29">
        <v>481.63</v>
      </c>
      <c r="O1984" s="29">
        <v>481.63</v>
      </c>
      <c r="P1984" s="43">
        <f>IF(Table22[[#This Row],[Discount Applied]],Table22[[#This Row],[Total Sales (in USD)]]*(1-Table22[[#This Row],[Discount Percentage (%)]]/100),Table22[[#This Row],[Total Sales (in USD)]])</f>
        <v>463.13540799999998</v>
      </c>
      <c r="Q1984" s="66">
        <f>SQRT(AVERAGE((Table22[[#This Row],[Net Sales (after discount) (in USD)]]-AVERAGE(Table22[Net Sales (after discount) (in USD)]))^2))</f>
        <v>36048.225155764536</v>
      </c>
      <c r="R1984" s="18" t="b">
        <v>1</v>
      </c>
      <c r="S1984" s="40">
        <v>3.84</v>
      </c>
      <c r="T1984" s="18" t="b">
        <v>1</v>
      </c>
      <c r="U1984" s="25">
        <v>44960</v>
      </c>
      <c r="V1984" s="63" t="str">
        <f>IF(MONTH(Table22[[#This Row],[Sales Date]])&lt;=3,"Q1",IF(MONTH(Table22[[#This Row],[Sales Date]])&lt;=6,"Q2",IF(MONTH(Table22[[#This Row],[Sales Date]])&lt;=9,"Q3","Q4")))</f>
        <v>Q1</v>
      </c>
      <c r="W1984" s="64">
        <f>YEAR(Table22[[#This Row],[Sales Date]])</f>
        <v>2023</v>
      </c>
      <c r="X1984" s="23">
        <v>34</v>
      </c>
      <c r="Y1984" s="18" t="s">
        <v>49</v>
      </c>
      <c r="Z1984" s="18" t="s">
        <v>42</v>
      </c>
      <c r="AA1984" s="19" t="s">
        <v>25</v>
      </c>
    </row>
    <row r="1985" spans="1:27" x14ac:dyDescent="0.25">
      <c r="A1985" s="17" t="s">
        <v>1337</v>
      </c>
      <c r="B1985" s="18" t="s">
        <v>72</v>
      </c>
      <c r="C1985" s="63" t="str" cm="1">
        <f t="array" ref="C1985">_xlfn.SWITCH(Table22[[#This Row],[Country]],"USA","North America","Canada","North America","Brazil","South America","China","Asia","Japan","Asia","India","Asia","France","Europe","Germany","Europe","UK","Europe","Australia","Oceania","South America")</f>
        <v>North America</v>
      </c>
      <c r="D1985" s="18" t="s">
        <v>35</v>
      </c>
      <c r="E1985" s="18" t="s">
        <v>33</v>
      </c>
      <c r="F1985" s="18" t="s">
        <v>52</v>
      </c>
      <c r="G1985" s="18" t="s">
        <v>48</v>
      </c>
      <c r="H1985" s="64">
        <f>LEN(TRIM(Table22[[#This Row],[Country]]))</f>
        <v>3</v>
      </c>
      <c r="I1985" s="64">
        <f>LEN(TRIM(Table22[[#This Row],[Continent]]))</f>
        <v>13</v>
      </c>
      <c r="J1985" s="64">
        <f>LEN(TRIM(Table22[[#This Row],[Product]]))</f>
        <v>10</v>
      </c>
      <c r="K1985" s="64">
        <f>LEN(TRIM(Table22[[#This Row],[Sales Team]]))</f>
        <v>9</v>
      </c>
      <c r="L1985" s="23">
        <v>2</v>
      </c>
      <c r="M1985" s="65" t="str" cm="1">
        <f t="array" ref="M1985">_xlfn.IFS(Table22[[#This Row],[Units Sold]]&lt;40,"Critical",Table22[[#This Row],[Units Sold]]&lt;=50,"Poor",Table22[[#This Row],[Units Sold]]&lt;=60,"Low",Table22[[#This Row],[Units Sold]]&lt;=80,"Average",Table22[[#This Row],[Units Sold]]&lt;=90,"High",Table22[[#This Row],[Units Sold]]&lt;=95,"Excellent",Table22[[#This Row],[Units Sold]]&gt;95,"Outstanding")</f>
        <v>Critical</v>
      </c>
      <c r="N1985" s="29">
        <v>230.87</v>
      </c>
      <c r="O1985" s="29">
        <v>461.74</v>
      </c>
      <c r="P1985" s="43">
        <f>IF(Table22[[#This Row],[Discount Applied]],Table22[[#This Row],[Total Sales (in USD)]]*(1-Table22[[#This Row],[Discount Percentage (%)]]/100),Table22[[#This Row],[Total Sales (in USD)]])</f>
        <v>461.74</v>
      </c>
      <c r="Q1985" s="66">
        <f>SQRT(AVERAGE((Table22[[#This Row],[Net Sales (after discount) (in USD)]]-AVERAGE(Table22[Net Sales (after discount) (in USD)]))^2))</f>
        <v>36049.62056376454</v>
      </c>
      <c r="R1985" s="18" t="b">
        <v>1</v>
      </c>
      <c r="S1985" s="40">
        <v>17.239999999999998</v>
      </c>
      <c r="T1985" s="18" t="b">
        <v>0</v>
      </c>
      <c r="U1985" s="25">
        <v>45043</v>
      </c>
      <c r="V1985" s="63" t="str">
        <f>IF(MONTH(Table22[[#This Row],[Sales Date]])&lt;=3,"Q1",IF(MONTH(Table22[[#This Row],[Sales Date]])&lt;=6,"Q2",IF(MONTH(Table22[[#This Row],[Sales Date]])&lt;=9,"Q3","Q4")))</f>
        <v>Q2</v>
      </c>
      <c r="W1985" s="64">
        <f>YEAR(Table22[[#This Row],[Sales Date]])</f>
        <v>2023</v>
      </c>
      <c r="X1985" s="23">
        <v>32</v>
      </c>
      <c r="Y1985" s="18" t="s">
        <v>41</v>
      </c>
      <c r="Z1985" s="18" t="s">
        <v>24</v>
      </c>
      <c r="AA1985" s="19" t="s">
        <v>25</v>
      </c>
    </row>
    <row r="1986" spans="1:27" x14ac:dyDescent="0.25">
      <c r="A1986" s="17" t="s">
        <v>1214</v>
      </c>
      <c r="B1986" s="18" t="s">
        <v>38</v>
      </c>
      <c r="C1986" s="63" t="str" cm="1">
        <f t="array" ref="C1986">_xlfn.SWITCH(Table22[[#This Row],[Country]],"USA","North America","Canada","North America","Brazil","South America","China","Asia","Japan","Asia","India","Asia","France","Europe","Germany","Europe","UK","Europe","Australia","Oceania","South America")</f>
        <v>Europe</v>
      </c>
      <c r="D1986" s="18" t="s">
        <v>21</v>
      </c>
      <c r="E1986" s="18" t="s">
        <v>19</v>
      </c>
      <c r="F1986" s="18" t="s">
        <v>34</v>
      </c>
      <c r="G1986" s="18" t="s">
        <v>29</v>
      </c>
      <c r="H1986" s="64">
        <f>LEN(TRIM(Table22[[#This Row],[Country]]))</f>
        <v>6</v>
      </c>
      <c r="I1986" s="64">
        <f>LEN(TRIM(Table22[[#This Row],[Continent]]))</f>
        <v>6</v>
      </c>
      <c r="J1986" s="64">
        <f>LEN(TRIM(Table22[[#This Row],[Product]]))</f>
        <v>6</v>
      </c>
      <c r="K1986" s="64">
        <f>LEN(TRIM(Table22[[#This Row],[Sales Team]]))</f>
        <v>10</v>
      </c>
      <c r="L1986" s="23">
        <v>1</v>
      </c>
      <c r="M1986" s="65" t="str" cm="1">
        <f t="array" ref="M1986">_xlfn.IFS(Table22[[#This Row],[Units Sold]]&lt;40,"Critical",Table22[[#This Row],[Units Sold]]&lt;=50,"Poor",Table22[[#This Row],[Units Sold]]&lt;=60,"Low",Table22[[#This Row],[Units Sold]]&lt;=80,"Average",Table22[[#This Row],[Units Sold]]&lt;=90,"High",Table22[[#This Row],[Units Sold]]&lt;=95,"Excellent",Table22[[#This Row],[Units Sold]]&gt;95,"Outstanding")</f>
        <v>Critical</v>
      </c>
      <c r="N1986" s="29">
        <v>430.49</v>
      </c>
      <c r="O1986" s="29">
        <v>430.49</v>
      </c>
      <c r="P1986" s="43">
        <f>IF(Table22[[#This Row],[Discount Applied]],Table22[[#This Row],[Total Sales (in USD)]]*(1-Table22[[#This Row],[Discount Percentage (%)]]/100),Table22[[#This Row],[Total Sales (in USD)]])</f>
        <v>430.49</v>
      </c>
      <c r="Q1986" s="66">
        <f>SQRT(AVERAGE((Table22[[#This Row],[Net Sales (after discount) (in USD)]]-AVERAGE(Table22[Net Sales (after discount) (in USD)]))^2))</f>
        <v>36080.87056376454</v>
      </c>
      <c r="R1986" s="18" t="b">
        <v>0</v>
      </c>
      <c r="S1986" s="40">
        <v>15.84</v>
      </c>
      <c r="T1986" s="18" t="b">
        <v>0</v>
      </c>
      <c r="U1986" s="25">
        <v>45070</v>
      </c>
      <c r="V1986" s="63" t="str">
        <f>IF(MONTH(Table22[[#This Row],[Sales Date]])&lt;=3,"Q1",IF(MONTH(Table22[[#This Row],[Sales Date]])&lt;=6,"Q2",IF(MONTH(Table22[[#This Row],[Sales Date]])&lt;=9,"Q3","Q4")))</f>
        <v>Q2</v>
      </c>
      <c r="W1986" s="64">
        <f>YEAR(Table22[[#This Row],[Sales Date]])</f>
        <v>2023</v>
      </c>
      <c r="X1986" s="23">
        <v>59</v>
      </c>
      <c r="Y1986" s="18" t="s">
        <v>41</v>
      </c>
      <c r="Z1986" s="18" t="s">
        <v>30</v>
      </c>
      <c r="AA1986" s="19" t="s">
        <v>36</v>
      </c>
    </row>
    <row r="1987" spans="1:27" x14ac:dyDescent="0.25">
      <c r="A1987" s="17" t="s">
        <v>604</v>
      </c>
      <c r="B1987" s="18" t="s">
        <v>32</v>
      </c>
      <c r="C1987" s="63" t="str" cm="1">
        <f t="array" ref="C1987">_xlfn.SWITCH(Table22[[#This Row],[Country]],"USA","North America","Canada","North America","Brazil","South America","China","Asia","Japan","Asia","India","Asia","France","Europe","Germany","Europe","UK","Europe","Australia","Oceania","South America")</f>
        <v>Asia</v>
      </c>
      <c r="D1987" s="18" t="s">
        <v>35</v>
      </c>
      <c r="E1987" s="18" t="s">
        <v>19</v>
      </c>
      <c r="F1987" s="18" t="s">
        <v>64</v>
      </c>
      <c r="G1987" s="18" t="s">
        <v>40</v>
      </c>
      <c r="H1987" s="64">
        <f>LEN(TRIM(Table22[[#This Row],[Country]]))</f>
        <v>5</v>
      </c>
      <c r="I1987" s="64">
        <f>LEN(TRIM(Table22[[#This Row],[Continent]]))</f>
        <v>4</v>
      </c>
      <c r="J1987" s="64">
        <f>LEN(TRIM(Table22[[#This Row],[Product]]))</f>
        <v>6</v>
      </c>
      <c r="K1987" s="64">
        <f>LEN(TRIM(Table22[[#This Row],[Sales Team]]))</f>
        <v>10</v>
      </c>
      <c r="L1987" s="23">
        <v>3</v>
      </c>
      <c r="M1987" s="65" t="str" cm="1">
        <f t="array" ref="M1987">_xlfn.IFS(Table22[[#This Row],[Units Sold]]&lt;40,"Critical",Table22[[#This Row],[Units Sold]]&lt;=50,"Poor",Table22[[#This Row],[Units Sold]]&lt;=60,"Low",Table22[[#This Row],[Units Sold]]&lt;=80,"Average",Table22[[#This Row],[Units Sold]]&lt;=90,"High",Table22[[#This Row],[Units Sold]]&lt;=95,"Excellent",Table22[[#This Row],[Units Sold]]&gt;95,"Outstanding")</f>
        <v>Critical</v>
      </c>
      <c r="N1987" s="29">
        <v>141.13999999999999</v>
      </c>
      <c r="O1987" s="29">
        <v>423.42</v>
      </c>
      <c r="P1987" s="43">
        <f>IF(Table22[[#This Row],[Discount Applied]],Table22[[#This Row],[Total Sales (in USD)]]*(1-Table22[[#This Row],[Discount Percentage (%)]]/100),Table22[[#This Row],[Total Sales (in USD)]])</f>
        <v>306.64076399999999</v>
      </c>
      <c r="Q1987" s="66">
        <f>SQRT(AVERAGE((Table22[[#This Row],[Net Sales (after discount) (in USD)]]-AVERAGE(Table22[Net Sales (after discount) (in USD)]))^2))</f>
        <v>36204.719799764534</v>
      </c>
      <c r="R1987" s="18" t="b">
        <v>0</v>
      </c>
      <c r="S1987" s="40">
        <v>27.58</v>
      </c>
      <c r="T1987" s="18" t="b">
        <v>1</v>
      </c>
      <c r="U1987" s="25">
        <v>45280</v>
      </c>
      <c r="V1987" s="63" t="str">
        <f>IF(MONTH(Table22[[#This Row],[Sales Date]])&lt;=3,"Q1",IF(MONTH(Table22[[#This Row],[Sales Date]])&lt;=6,"Q2",IF(MONTH(Table22[[#This Row],[Sales Date]])&lt;=9,"Q3","Q4")))</f>
        <v>Q4</v>
      </c>
      <c r="W1987" s="64">
        <f>YEAR(Table22[[#This Row],[Sales Date]])</f>
        <v>2023</v>
      </c>
      <c r="X1987" s="23">
        <v>51</v>
      </c>
      <c r="Y1987" s="18" t="s">
        <v>49</v>
      </c>
      <c r="Z1987" s="18" t="s">
        <v>30</v>
      </c>
      <c r="AA1987" s="19" t="s">
        <v>36</v>
      </c>
    </row>
    <row r="1988" spans="1:27" x14ac:dyDescent="0.25">
      <c r="A1988" s="17" t="s">
        <v>748</v>
      </c>
      <c r="B1988" s="18" t="s">
        <v>38</v>
      </c>
      <c r="C1988" s="63" t="str" cm="1">
        <f t="array" ref="C1988">_xlfn.SWITCH(Table22[[#This Row],[Country]],"USA","North America","Canada","North America","Brazil","South America","China","Asia","Japan","Asia","India","Asia","France","Europe","Germany","Europe","UK","Europe","Australia","Oceania","South America")</f>
        <v>Europe</v>
      </c>
      <c r="D1988" s="18" t="s">
        <v>21</v>
      </c>
      <c r="E1988" s="18" t="s">
        <v>39</v>
      </c>
      <c r="F1988" s="18" t="s">
        <v>52</v>
      </c>
      <c r="G1988" s="18" t="s">
        <v>29</v>
      </c>
      <c r="H1988" s="64">
        <f>LEN(TRIM(Table22[[#This Row],[Country]]))</f>
        <v>6</v>
      </c>
      <c r="I1988" s="64">
        <f>LEN(TRIM(Table22[[#This Row],[Continent]]))</f>
        <v>6</v>
      </c>
      <c r="J1988" s="64">
        <f>LEN(TRIM(Table22[[#This Row],[Product]]))</f>
        <v>10</v>
      </c>
      <c r="K1988" s="64">
        <f>LEN(TRIM(Table22[[#This Row],[Sales Team]]))</f>
        <v>10</v>
      </c>
      <c r="L1988" s="23">
        <v>3</v>
      </c>
      <c r="M1988" s="65" t="str" cm="1">
        <f t="array" ref="M1988">_xlfn.IFS(Table22[[#This Row],[Units Sold]]&lt;40,"Critical",Table22[[#This Row],[Units Sold]]&lt;=50,"Poor",Table22[[#This Row],[Units Sold]]&lt;=60,"Low",Table22[[#This Row],[Units Sold]]&lt;=80,"Average",Table22[[#This Row],[Units Sold]]&lt;=90,"High",Table22[[#This Row],[Units Sold]]&lt;=95,"Excellent",Table22[[#This Row],[Units Sold]]&gt;95,"Outstanding")</f>
        <v>Critical</v>
      </c>
      <c r="N1988" s="29">
        <v>120.17</v>
      </c>
      <c r="O1988" s="29">
        <v>360.51</v>
      </c>
      <c r="P1988" s="43">
        <f>IF(Table22[[#This Row],[Discount Applied]],Table22[[#This Row],[Total Sales (in USD)]]*(1-Table22[[#This Row],[Discount Percentage (%)]]/100),Table22[[#This Row],[Total Sales (in USD)]])</f>
        <v>360.51</v>
      </c>
      <c r="Q1988" s="66">
        <f>SQRT(AVERAGE((Table22[[#This Row],[Net Sales (after discount) (in USD)]]-AVERAGE(Table22[Net Sales (after discount) (in USD)]))^2))</f>
        <v>36150.850563764536</v>
      </c>
      <c r="R1988" s="18" t="b">
        <v>1</v>
      </c>
      <c r="S1988" s="40">
        <v>14.61</v>
      </c>
      <c r="T1988" s="18" t="b">
        <v>0</v>
      </c>
      <c r="U1988" s="25">
        <v>45569</v>
      </c>
      <c r="V1988" s="63" t="str">
        <f>IF(MONTH(Table22[[#This Row],[Sales Date]])&lt;=3,"Q1",IF(MONTH(Table22[[#This Row],[Sales Date]])&lt;=6,"Q2",IF(MONTH(Table22[[#This Row],[Sales Date]])&lt;=9,"Q3","Q4")))</f>
        <v>Q4</v>
      </c>
      <c r="W1988" s="64">
        <f>YEAR(Table22[[#This Row],[Sales Date]])</f>
        <v>2024</v>
      </c>
      <c r="X1988" s="23">
        <v>41</v>
      </c>
      <c r="Y1988" s="18" t="s">
        <v>49</v>
      </c>
      <c r="Z1988" s="18" t="s">
        <v>56</v>
      </c>
      <c r="AA1988" s="19" t="s">
        <v>36</v>
      </c>
    </row>
    <row r="1989" spans="1:27" x14ac:dyDescent="0.25">
      <c r="A1989" s="17" t="s">
        <v>421</v>
      </c>
      <c r="B1989" s="18" t="s">
        <v>18</v>
      </c>
      <c r="C1989" s="63" t="str" cm="1">
        <f t="array" ref="C1989">_xlfn.SWITCH(Table22[[#This Row],[Country]],"USA","North America","Canada","North America","Brazil","South America","China","Asia","Japan","Asia","India","Asia","France","Europe","Germany","Europe","UK","Europe","Australia","Oceania","South America")</f>
        <v>Asia</v>
      </c>
      <c r="D1989" s="18" t="s">
        <v>44</v>
      </c>
      <c r="E1989" s="18" t="s">
        <v>19</v>
      </c>
      <c r="F1989" s="18" t="s">
        <v>64</v>
      </c>
      <c r="G1989" s="18" t="s">
        <v>29</v>
      </c>
      <c r="H1989" s="64">
        <f>LEN(TRIM(Table22[[#This Row],[Country]]))</f>
        <v>5</v>
      </c>
      <c r="I1989" s="64">
        <f>LEN(TRIM(Table22[[#This Row],[Continent]]))</f>
        <v>4</v>
      </c>
      <c r="J1989" s="64">
        <f>LEN(TRIM(Table22[[#This Row],[Product]]))</f>
        <v>6</v>
      </c>
      <c r="K1989" s="64">
        <f>LEN(TRIM(Table22[[#This Row],[Sales Team]]))</f>
        <v>10</v>
      </c>
      <c r="L1989" s="23">
        <v>1</v>
      </c>
      <c r="M1989" s="65" t="str" cm="1">
        <f t="array" ref="M1989">_xlfn.IFS(Table22[[#This Row],[Units Sold]]&lt;40,"Critical",Table22[[#This Row],[Units Sold]]&lt;=50,"Poor",Table22[[#This Row],[Units Sold]]&lt;=60,"Low",Table22[[#This Row],[Units Sold]]&lt;=80,"Average",Table22[[#This Row],[Units Sold]]&lt;=90,"High",Table22[[#This Row],[Units Sold]]&lt;=95,"Excellent",Table22[[#This Row],[Units Sold]]&gt;95,"Outstanding")</f>
        <v>Critical</v>
      </c>
      <c r="N1989" s="29">
        <v>346.84</v>
      </c>
      <c r="O1989" s="29">
        <v>346.84</v>
      </c>
      <c r="P1989" s="43">
        <f>IF(Table22[[#This Row],[Discount Applied]],Table22[[#This Row],[Total Sales (in USD)]]*(1-Table22[[#This Row],[Discount Percentage (%)]]/100),Table22[[#This Row],[Total Sales (in USD)]])</f>
        <v>346.84</v>
      </c>
      <c r="Q1989" s="66">
        <f>SQRT(AVERAGE((Table22[[#This Row],[Net Sales (after discount) (in USD)]]-AVERAGE(Table22[Net Sales (after discount) (in USD)]))^2))</f>
        <v>36164.520563764541</v>
      </c>
      <c r="R1989" s="18" t="b">
        <v>0</v>
      </c>
      <c r="S1989" s="40">
        <v>16.420000000000002</v>
      </c>
      <c r="T1989" s="18" t="b">
        <v>0</v>
      </c>
      <c r="U1989" s="25">
        <v>45519</v>
      </c>
      <c r="V1989" s="63" t="str">
        <f>IF(MONTH(Table22[[#This Row],[Sales Date]])&lt;=3,"Q1",IF(MONTH(Table22[[#This Row],[Sales Date]])&lt;=6,"Q2",IF(MONTH(Table22[[#This Row],[Sales Date]])&lt;=9,"Q3","Q4")))</f>
        <v>Q3</v>
      </c>
      <c r="W1989" s="64">
        <f>YEAR(Table22[[#This Row],[Sales Date]])</f>
        <v>2024</v>
      </c>
      <c r="X1989" s="23">
        <v>53</v>
      </c>
      <c r="Y1989" s="18" t="s">
        <v>23</v>
      </c>
      <c r="Z1989" s="18" t="s">
        <v>42</v>
      </c>
      <c r="AA1989" s="19" t="s">
        <v>25</v>
      </c>
    </row>
    <row r="1990" spans="1:27" x14ac:dyDescent="0.25">
      <c r="A1990" s="17" t="s">
        <v>1235</v>
      </c>
      <c r="B1990" s="18" t="s">
        <v>62</v>
      </c>
      <c r="C1990" s="63" t="str" cm="1">
        <f t="array" ref="C1990">_xlfn.SWITCH(Table22[[#This Row],[Country]],"USA","North America","Canada","North America","Brazil","South America","China","Asia","Japan","Asia","India","Asia","France","Europe","Germany","Europe","UK","Europe","Australia","Oceania","South America")</f>
        <v>Oceania</v>
      </c>
      <c r="D1990" s="18" t="s">
        <v>28</v>
      </c>
      <c r="E1990" s="18" t="s">
        <v>33</v>
      </c>
      <c r="F1990" s="18" t="s">
        <v>52</v>
      </c>
      <c r="G1990" s="18" t="s">
        <v>40</v>
      </c>
      <c r="H1990" s="64">
        <f>LEN(TRIM(Table22[[#This Row],[Country]]))</f>
        <v>9</v>
      </c>
      <c r="I1990" s="64">
        <f>LEN(TRIM(Table22[[#This Row],[Continent]]))</f>
        <v>7</v>
      </c>
      <c r="J1990" s="64">
        <f>LEN(TRIM(Table22[[#This Row],[Product]]))</f>
        <v>10</v>
      </c>
      <c r="K1990" s="64">
        <f>LEN(TRIM(Table22[[#This Row],[Sales Team]]))</f>
        <v>10</v>
      </c>
      <c r="L1990" s="23">
        <v>3</v>
      </c>
      <c r="M1990" s="65" t="str" cm="1">
        <f t="array" ref="M1990">_xlfn.IFS(Table22[[#This Row],[Units Sold]]&lt;40,"Critical",Table22[[#This Row],[Units Sold]]&lt;=50,"Poor",Table22[[#This Row],[Units Sold]]&lt;=60,"Low",Table22[[#This Row],[Units Sold]]&lt;=80,"Average",Table22[[#This Row],[Units Sold]]&lt;=90,"High",Table22[[#This Row],[Units Sold]]&lt;=95,"Excellent",Table22[[#This Row],[Units Sold]]&gt;95,"Outstanding")</f>
        <v>Critical</v>
      </c>
      <c r="N1990" s="29">
        <v>109.78</v>
      </c>
      <c r="O1990" s="29">
        <v>329.34</v>
      </c>
      <c r="P1990" s="43">
        <f>IF(Table22[[#This Row],[Discount Applied]],Table22[[#This Row],[Total Sales (in USD)]]*(1-Table22[[#This Row],[Discount Percentage (%)]]/100),Table22[[#This Row],[Total Sales (in USD)]])</f>
        <v>329.34</v>
      </c>
      <c r="Q1990" s="66">
        <f>SQRT(AVERAGE((Table22[[#This Row],[Net Sales (after discount) (in USD)]]-AVERAGE(Table22[Net Sales (after discount) (in USD)]))^2))</f>
        <v>36182.020563764541</v>
      </c>
      <c r="R1990" s="18" t="b">
        <v>0</v>
      </c>
      <c r="S1990" s="40">
        <v>28.89</v>
      </c>
      <c r="T1990" s="18" t="b">
        <v>0</v>
      </c>
      <c r="U1990" s="25">
        <v>45128</v>
      </c>
      <c r="V1990" s="63" t="str">
        <f>IF(MONTH(Table22[[#This Row],[Sales Date]])&lt;=3,"Q1",IF(MONTH(Table22[[#This Row],[Sales Date]])&lt;=6,"Q2",IF(MONTH(Table22[[#This Row],[Sales Date]])&lt;=9,"Q3","Q4")))</f>
        <v>Q3</v>
      </c>
      <c r="W1990" s="64">
        <f>YEAR(Table22[[#This Row],[Sales Date]])</f>
        <v>2023</v>
      </c>
      <c r="X1990" s="23">
        <v>35</v>
      </c>
      <c r="Y1990" s="18" t="s">
        <v>23</v>
      </c>
      <c r="Z1990" s="18" t="s">
        <v>42</v>
      </c>
      <c r="AA1990" s="19" t="s">
        <v>36</v>
      </c>
    </row>
    <row r="1991" spans="1:27" x14ac:dyDescent="0.25">
      <c r="A1991" s="17" t="s">
        <v>459</v>
      </c>
      <c r="B1991" s="18" t="s">
        <v>46</v>
      </c>
      <c r="C1991" s="63" t="str" cm="1">
        <f t="array" ref="C1991">_xlfn.SWITCH(Table22[[#This Row],[Country]],"USA","North America","Canada","North America","Brazil","South America","China","Asia","Japan","Asia","India","Asia","France","Europe","Germany","Europe","UK","Europe","Australia","Oceania","South America")</f>
        <v>South America</v>
      </c>
      <c r="D1991" s="18" t="s">
        <v>35</v>
      </c>
      <c r="E1991" s="18" t="s">
        <v>33</v>
      </c>
      <c r="F1991" s="18" t="s">
        <v>64</v>
      </c>
      <c r="G1991" s="18" t="s">
        <v>22</v>
      </c>
      <c r="H1991" s="64">
        <f>LEN(TRIM(Table22[[#This Row],[Country]]))</f>
        <v>6</v>
      </c>
      <c r="I1991" s="64">
        <f>LEN(TRIM(Table22[[#This Row],[Continent]]))</f>
        <v>13</v>
      </c>
      <c r="J1991" s="64">
        <f>LEN(TRIM(Table22[[#This Row],[Product]]))</f>
        <v>10</v>
      </c>
      <c r="K1991" s="64">
        <f>LEN(TRIM(Table22[[#This Row],[Sales Team]]))</f>
        <v>10</v>
      </c>
      <c r="L1991" s="23">
        <v>1</v>
      </c>
      <c r="M1991" s="65" t="str" cm="1">
        <f t="array" ref="M1991">_xlfn.IFS(Table22[[#This Row],[Units Sold]]&lt;40,"Critical",Table22[[#This Row],[Units Sold]]&lt;=50,"Poor",Table22[[#This Row],[Units Sold]]&lt;=60,"Low",Table22[[#This Row],[Units Sold]]&lt;=80,"Average",Table22[[#This Row],[Units Sold]]&lt;=90,"High",Table22[[#This Row],[Units Sold]]&lt;=95,"Excellent",Table22[[#This Row],[Units Sold]]&gt;95,"Outstanding")</f>
        <v>Critical</v>
      </c>
      <c r="N1991" s="29">
        <v>293.98</v>
      </c>
      <c r="O1991" s="29">
        <v>293.98</v>
      </c>
      <c r="P1991" s="43">
        <f>IF(Table22[[#This Row],[Discount Applied]],Table22[[#This Row],[Total Sales (in USD)]]*(1-Table22[[#This Row],[Discount Percentage (%)]]/100),Table22[[#This Row],[Total Sales (in USD)]])</f>
        <v>293.98</v>
      </c>
      <c r="Q1991" s="66">
        <f>SQRT(AVERAGE((Table22[[#This Row],[Net Sales (after discount) (in USD)]]-AVERAGE(Table22[Net Sales (after discount) (in USD)]))^2))</f>
        <v>36217.380563764535</v>
      </c>
      <c r="R1991" s="18" t="b">
        <v>0</v>
      </c>
      <c r="S1991" s="40">
        <v>4.26</v>
      </c>
      <c r="T1991" s="18" t="b">
        <v>0</v>
      </c>
      <c r="U1991" s="25">
        <v>45366</v>
      </c>
      <c r="V1991" s="63" t="str">
        <f>IF(MONTH(Table22[[#This Row],[Sales Date]])&lt;=3,"Q1",IF(MONTH(Table22[[#This Row],[Sales Date]])&lt;=6,"Q2",IF(MONTH(Table22[[#This Row],[Sales Date]])&lt;=9,"Q3","Q4")))</f>
        <v>Q1</v>
      </c>
      <c r="W1991" s="64">
        <f>YEAR(Table22[[#This Row],[Sales Date]])</f>
        <v>2024</v>
      </c>
      <c r="X1991" s="23">
        <v>35</v>
      </c>
      <c r="Y1991" s="18" t="s">
        <v>41</v>
      </c>
      <c r="Z1991" s="18" t="s">
        <v>30</v>
      </c>
      <c r="AA1991" s="19" t="s">
        <v>25</v>
      </c>
    </row>
    <row r="1992" spans="1:27" x14ac:dyDescent="0.25">
      <c r="A1992" s="17" t="s">
        <v>1683</v>
      </c>
      <c r="B1992" s="18" t="s">
        <v>72</v>
      </c>
      <c r="C1992" s="63" t="str" cm="1">
        <f t="array" ref="C1992">_xlfn.SWITCH(Table22[[#This Row],[Country]],"USA","North America","Canada","North America","Brazil","South America","China","Asia","Japan","Asia","India","Asia","France","Europe","Germany","Europe","UK","Europe","Australia","Oceania","South America")</f>
        <v>North America</v>
      </c>
      <c r="D1992" s="18" t="s">
        <v>21</v>
      </c>
      <c r="E1992" s="18" t="s">
        <v>33</v>
      </c>
      <c r="F1992" s="18" t="s">
        <v>47</v>
      </c>
      <c r="G1992" s="18" t="s">
        <v>48</v>
      </c>
      <c r="H1992" s="64">
        <f>LEN(TRIM(Table22[[#This Row],[Country]]))</f>
        <v>3</v>
      </c>
      <c r="I1992" s="64">
        <f>LEN(TRIM(Table22[[#This Row],[Continent]]))</f>
        <v>13</v>
      </c>
      <c r="J1992" s="64">
        <f>LEN(TRIM(Table22[[#This Row],[Product]]))</f>
        <v>10</v>
      </c>
      <c r="K1992" s="64">
        <f>LEN(TRIM(Table22[[#This Row],[Sales Team]]))</f>
        <v>9</v>
      </c>
      <c r="L1992" s="23">
        <v>1</v>
      </c>
      <c r="M1992" s="65" t="str" cm="1">
        <f t="array" ref="M1992">_xlfn.IFS(Table22[[#This Row],[Units Sold]]&lt;40,"Critical",Table22[[#This Row],[Units Sold]]&lt;=50,"Poor",Table22[[#This Row],[Units Sold]]&lt;=60,"Low",Table22[[#This Row],[Units Sold]]&lt;=80,"Average",Table22[[#This Row],[Units Sold]]&lt;=90,"High",Table22[[#This Row],[Units Sold]]&lt;=95,"Excellent",Table22[[#This Row],[Units Sold]]&gt;95,"Outstanding")</f>
        <v>Critical</v>
      </c>
      <c r="N1992" s="29">
        <v>268.83</v>
      </c>
      <c r="O1992" s="29">
        <v>268.83</v>
      </c>
      <c r="P1992" s="43">
        <f>IF(Table22[[#This Row],[Discount Applied]],Table22[[#This Row],[Total Sales (in USD)]]*(1-Table22[[#This Row],[Discount Percentage (%)]]/100),Table22[[#This Row],[Total Sales (in USD)]])</f>
        <v>265.44274200000001</v>
      </c>
      <c r="Q1992" s="66">
        <f>SQRT(AVERAGE((Table22[[#This Row],[Net Sales (after discount) (in USD)]]-AVERAGE(Table22[Net Sales (after discount) (in USD)]))^2))</f>
        <v>36245.917821764539</v>
      </c>
      <c r="R1992" s="18" t="b">
        <v>1</v>
      </c>
      <c r="S1992" s="40">
        <v>1.26</v>
      </c>
      <c r="T1992" s="18" t="b">
        <v>1</v>
      </c>
      <c r="U1992" s="25">
        <v>45377</v>
      </c>
      <c r="V1992" s="63" t="str">
        <f>IF(MONTH(Table22[[#This Row],[Sales Date]])&lt;=3,"Q1",IF(MONTH(Table22[[#This Row],[Sales Date]])&lt;=6,"Q2",IF(MONTH(Table22[[#This Row],[Sales Date]])&lt;=9,"Q3","Q4")))</f>
        <v>Q1</v>
      </c>
      <c r="W1992" s="64">
        <f>YEAR(Table22[[#This Row],[Sales Date]])</f>
        <v>2024</v>
      </c>
      <c r="X1992" s="23">
        <v>21</v>
      </c>
      <c r="Y1992" s="18" t="s">
        <v>41</v>
      </c>
      <c r="Z1992" s="18" t="s">
        <v>42</v>
      </c>
      <c r="AA1992" s="19" t="s">
        <v>25</v>
      </c>
    </row>
    <row r="1993" spans="1:27" x14ac:dyDescent="0.25">
      <c r="A1993" s="17" t="s">
        <v>1143</v>
      </c>
      <c r="B1993" s="18" t="s">
        <v>62</v>
      </c>
      <c r="C1993" s="63" t="str" cm="1">
        <f t="array" ref="C1993">_xlfn.SWITCH(Table22[[#This Row],[Country]],"USA","North America","Canada","North America","Brazil","South America","China","Asia","Japan","Asia","India","Asia","France","Europe","Germany","Europe","UK","Europe","Australia","Oceania","South America")</f>
        <v>Oceania</v>
      </c>
      <c r="D1993" s="18" t="s">
        <v>44</v>
      </c>
      <c r="E1993" s="18" t="s">
        <v>19</v>
      </c>
      <c r="F1993" s="18" t="s">
        <v>20</v>
      </c>
      <c r="G1993" s="18" t="s">
        <v>22</v>
      </c>
      <c r="H1993" s="64">
        <f>LEN(TRIM(Table22[[#This Row],[Country]]))</f>
        <v>9</v>
      </c>
      <c r="I1993" s="64">
        <f>LEN(TRIM(Table22[[#This Row],[Continent]]))</f>
        <v>7</v>
      </c>
      <c r="J1993" s="64">
        <f>LEN(TRIM(Table22[[#This Row],[Product]]))</f>
        <v>6</v>
      </c>
      <c r="K1993" s="64">
        <f>LEN(TRIM(Table22[[#This Row],[Sales Team]]))</f>
        <v>10</v>
      </c>
      <c r="L1993" s="23">
        <v>1</v>
      </c>
      <c r="M1993" s="65" t="str" cm="1">
        <f t="array" ref="M1993">_xlfn.IFS(Table22[[#This Row],[Units Sold]]&lt;40,"Critical",Table22[[#This Row],[Units Sold]]&lt;=50,"Poor",Table22[[#This Row],[Units Sold]]&lt;=60,"Low",Table22[[#This Row],[Units Sold]]&lt;=80,"Average",Table22[[#This Row],[Units Sold]]&lt;=90,"High",Table22[[#This Row],[Units Sold]]&lt;=95,"Excellent",Table22[[#This Row],[Units Sold]]&gt;95,"Outstanding")</f>
        <v>Critical</v>
      </c>
      <c r="N1993" s="29">
        <v>264.23</v>
      </c>
      <c r="O1993" s="29">
        <v>264.23</v>
      </c>
      <c r="P1993" s="43">
        <f>IF(Table22[[#This Row],[Discount Applied]],Table22[[#This Row],[Total Sales (in USD)]]*(1-Table22[[#This Row],[Discount Percentage (%)]]/100),Table22[[#This Row],[Total Sales (in USD)]])</f>
        <v>264.23</v>
      </c>
      <c r="Q1993" s="66">
        <f>SQRT(AVERAGE((Table22[[#This Row],[Net Sales (after discount) (in USD)]]-AVERAGE(Table22[Net Sales (after discount) (in USD)]))^2))</f>
        <v>36247.130563764535</v>
      </c>
      <c r="R1993" s="18" t="b">
        <v>1</v>
      </c>
      <c r="S1993" s="40">
        <v>4.9000000000000004</v>
      </c>
      <c r="T1993" s="18" t="b">
        <v>0</v>
      </c>
      <c r="U1993" s="25">
        <v>45166</v>
      </c>
      <c r="V1993" s="63" t="str">
        <f>IF(MONTH(Table22[[#This Row],[Sales Date]])&lt;=3,"Q1",IF(MONTH(Table22[[#This Row],[Sales Date]])&lt;=6,"Q2",IF(MONTH(Table22[[#This Row],[Sales Date]])&lt;=9,"Q3","Q4")))</f>
        <v>Q3</v>
      </c>
      <c r="W1993" s="64">
        <f>YEAR(Table22[[#This Row],[Sales Date]])</f>
        <v>2023</v>
      </c>
      <c r="X1993" s="23">
        <v>19</v>
      </c>
      <c r="Y1993" s="18" t="s">
        <v>23</v>
      </c>
      <c r="Z1993" s="18" t="s">
        <v>56</v>
      </c>
      <c r="AA1993" s="19" t="s">
        <v>25</v>
      </c>
    </row>
    <row r="1994" spans="1:27" x14ac:dyDescent="0.25">
      <c r="A1994" s="17" t="s">
        <v>274</v>
      </c>
      <c r="B1994" s="18" t="s">
        <v>76</v>
      </c>
      <c r="C1994" s="63" t="str" cm="1">
        <f t="array" ref="C1994">_xlfn.SWITCH(Table22[[#This Row],[Country]],"USA","North America","Canada","North America","Brazil","South America","China","Asia","Japan","Asia","India","Asia","France","Europe","Germany","Europe","UK","Europe","Australia","Oceania","South America")</f>
        <v>Asia</v>
      </c>
      <c r="D1994" s="18" t="s">
        <v>35</v>
      </c>
      <c r="E1994" s="18" t="s">
        <v>39</v>
      </c>
      <c r="F1994" s="18" t="s">
        <v>34</v>
      </c>
      <c r="G1994" s="18" t="s">
        <v>29</v>
      </c>
      <c r="H1994" s="64">
        <f>LEN(TRIM(Table22[[#This Row],[Country]]))</f>
        <v>5</v>
      </c>
      <c r="I1994" s="64">
        <f>LEN(TRIM(Table22[[#This Row],[Continent]]))</f>
        <v>4</v>
      </c>
      <c r="J1994" s="64">
        <f>LEN(TRIM(Table22[[#This Row],[Product]]))</f>
        <v>10</v>
      </c>
      <c r="K1994" s="64">
        <f>LEN(TRIM(Table22[[#This Row],[Sales Team]]))</f>
        <v>10</v>
      </c>
      <c r="L1994" s="23">
        <v>2</v>
      </c>
      <c r="M1994" s="65" t="str" cm="1">
        <f t="array" ref="M1994">_xlfn.IFS(Table22[[#This Row],[Units Sold]]&lt;40,"Critical",Table22[[#This Row],[Units Sold]]&lt;=50,"Poor",Table22[[#This Row],[Units Sold]]&lt;=60,"Low",Table22[[#This Row],[Units Sold]]&lt;=80,"Average",Table22[[#This Row],[Units Sold]]&lt;=90,"High",Table22[[#This Row],[Units Sold]]&lt;=95,"Excellent",Table22[[#This Row],[Units Sold]]&gt;95,"Outstanding")</f>
        <v>Critical</v>
      </c>
      <c r="N1994" s="29">
        <v>126.5</v>
      </c>
      <c r="O1994" s="29">
        <v>253</v>
      </c>
      <c r="P1994" s="43">
        <f>IF(Table22[[#This Row],[Discount Applied]],Table22[[#This Row],[Total Sales (in USD)]]*(1-Table22[[#This Row],[Discount Percentage (%)]]/100),Table22[[#This Row],[Total Sales (in USD)]])</f>
        <v>179.52879999999999</v>
      </c>
      <c r="Q1994" s="66">
        <f>SQRT(AVERAGE((Table22[[#This Row],[Net Sales (after discount) (in USD)]]-AVERAGE(Table22[Net Sales (after discount) (in USD)]))^2))</f>
        <v>36331.831763764538</v>
      </c>
      <c r="R1994" s="18" t="b">
        <v>0</v>
      </c>
      <c r="S1994" s="40">
        <v>29.04</v>
      </c>
      <c r="T1994" s="18" t="b">
        <v>1</v>
      </c>
      <c r="U1994" s="25">
        <v>44955</v>
      </c>
      <c r="V1994" s="63" t="str">
        <f>IF(MONTH(Table22[[#This Row],[Sales Date]])&lt;=3,"Q1",IF(MONTH(Table22[[#This Row],[Sales Date]])&lt;=6,"Q2",IF(MONTH(Table22[[#This Row],[Sales Date]])&lt;=9,"Q3","Q4")))</f>
        <v>Q1</v>
      </c>
      <c r="W1994" s="64">
        <f>YEAR(Table22[[#This Row],[Sales Date]])</f>
        <v>2023</v>
      </c>
      <c r="X1994" s="23">
        <v>68</v>
      </c>
      <c r="Y1994" s="18" t="s">
        <v>41</v>
      </c>
      <c r="Z1994" s="18" t="s">
        <v>24</v>
      </c>
      <c r="AA1994" s="19" t="s">
        <v>36</v>
      </c>
    </row>
    <row r="1995" spans="1:27" x14ac:dyDescent="0.25">
      <c r="A1995" s="17" t="s">
        <v>1436</v>
      </c>
      <c r="B1995" s="18" t="s">
        <v>18</v>
      </c>
      <c r="C1995" s="63" t="str" cm="1">
        <f t="array" ref="C1995">_xlfn.SWITCH(Table22[[#This Row],[Country]],"USA","North America","Canada","North America","Brazil","South America","China","Asia","Japan","Asia","India","Asia","France","Europe","Germany","Europe","UK","Europe","Australia","Oceania","South America")</f>
        <v>Asia</v>
      </c>
      <c r="D1995" s="18" t="s">
        <v>28</v>
      </c>
      <c r="E1995" s="18" t="s">
        <v>19</v>
      </c>
      <c r="F1995" s="18" t="s">
        <v>34</v>
      </c>
      <c r="G1995" s="18" t="s">
        <v>40</v>
      </c>
      <c r="H1995" s="64">
        <f>LEN(TRIM(Table22[[#This Row],[Country]]))</f>
        <v>5</v>
      </c>
      <c r="I1995" s="64">
        <f>LEN(TRIM(Table22[[#This Row],[Continent]]))</f>
        <v>4</v>
      </c>
      <c r="J1995" s="64">
        <f>LEN(TRIM(Table22[[#This Row],[Product]]))</f>
        <v>6</v>
      </c>
      <c r="K1995" s="64">
        <f>LEN(TRIM(Table22[[#This Row],[Sales Team]]))</f>
        <v>10</v>
      </c>
      <c r="L1995" s="23">
        <v>1</v>
      </c>
      <c r="M1995" s="65" t="str" cm="1">
        <f t="array" ref="M1995">_xlfn.IFS(Table22[[#This Row],[Units Sold]]&lt;40,"Critical",Table22[[#This Row],[Units Sold]]&lt;=50,"Poor",Table22[[#This Row],[Units Sold]]&lt;=60,"Low",Table22[[#This Row],[Units Sold]]&lt;=80,"Average",Table22[[#This Row],[Units Sold]]&lt;=90,"High",Table22[[#This Row],[Units Sold]]&lt;=95,"Excellent",Table22[[#This Row],[Units Sold]]&gt;95,"Outstanding")</f>
        <v>Critical</v>
      </c>
      <c r="N1995" s="29">
        <v>232.78</v>
      </c>
      <c r="O1995" s="29">
        <v>232.78</v>
      </c>
      <c r="P1995" s="43">
        <f>IF(Table22[[#This Row],[Discount Applied]],Table22[[#This Row],[Total Sales (in USD)]]*(1-Table22[[#This Row],[Discount Percentage (%)]]/100),Table22[[#This Row],[Total Sales (in USD)]])</f>
        <v>177.14558</v>
      </c>
      <c r="Q1995" s="66">
        <f>SQRT(AVERAGE((Table22[[#This Row],[Net Sales (after discount) (in USD)]]-AVERAGE(Table22[Net Sales (after discount) (in USD)]))^2))</f>
        <v>36334.214983764541</v>
      </c>
      <c r="R1995" s="18" t="b">
        <v>0</v>
      </c>
      <c r="S1995" s="40">
        <v>23.9</v>
      </c>
      <c r="T1995" s="18" t="b">
        <v>1</v>
      </c>
      <c r="U1995" s="25">
        <v>45286</v>
      </c>
      <c r="V1995" s="63" t="str">
        <f>IF(MONTH(Table22[[#This Row],[Sales Date]])&lt;=3,"Q1",IF(MONTH(Table22[[#This Row],[Sales Date]])&lt;=6,"Q2",IF(MONTH(Table22[[#This Row],[Sales Date]])&lt;=9,"Q3","Q4")))</f>
        <v>Q4</v>
      </c>
      <c r="W1995" s="64">
        <f>YEAR(Table22[[#This Row],[Sales Date]])</f>
        <v>2023</v>
      </c>
      <c r="X1995" s="23">
        <v>32</v>
      </c>
      <c r="Y1995" s="18" t="s">
        <v>49</v>
      </c>
      <c r="Z1995" s="18" t="s">
        <v>24</v>
      </c>
      <c r="AA1995" s="19" t="s">
        <v>36</v>
      </c>
    </row>
    <row r="1996" spans="1:27" x14ac:dyDescent="0.25">
      <c r="A1996" s="17" t="s">
        <v>1779</v>
      </c>
      <c r="B1996" s="18" t="s">
        <v>62</v>
      </c>
      <c r="C1996" s="63" t="str" cm="1">
        <f t="array" ref="C1996">_xlfn.SWITCH(Table22[[#This Row],[Country]],"USA","North America","Canada","North America","Brazil","South America","China","Asia","Japan","Asia","India","Asia","France","Europe","Germany","Europe","UK","Europe","Australia","Oceania","South America")</f>
        <v>Oceania</v>
      </c>
      <c r="D1996" s="18" t="s">
        <v>44</v>
      </c>
      <c r="E1996" s="18" t="s">
        <v>19</v>
      </c>
      <c r="F1996" s="18" t="s">
        <v>52</v>
      </c>
      <c r="G1996" s="18" t="s">
        <v>22</v>
      </c>
      <c r="H1996" s="64">
        <f>LEN(TRIM(Table22[[#This Row],[Country]]))</f>
        <v>9</v>
      </c>
      <c r="I1996" s="64">
        <f>LEN(TRIM(Table22[[#This Row],[Continent]]))</f>
        <v>7</v>
      </c>
      <c r="J1996" s="64">
        <f>LEN(TRIM(Table22[[#This Row],[Product]]))</f>
        <v>6</v>
      </c>
      <c r="K1996" s="64">
        <f>LEN(TRIM(Table22[[#This Row],[Sales Team]]))</f>
        <v>10</v>
      </c>
      <c r="L1996" s="23">
        <v>2</v>
      </c>
      <c r="M1996" s="65" t="str" cm="1">
        <f t="array" ref="M1996">_xlfn.IFS(Table22[[#This Row],[Units Sold]]&lt;40,"Critical",Table22[[#This Row],[Units Sold]]&lt;=50,"Poor",Table22[[#This Row],[Units Sold]]&lt;=60,"Low",Table22[[#This Row],[Units Sold]]&lt;=80,"Average",Table22[[#This Row],[Units Sold]]&lt;=90,"High",Table22[[#This Row],[Units Sold]]&lt;=95,"Excellent",Table22[[#This Row],[Units Sold]]&gt;95,"Outstanding")</f>
        <v>Critical</v>
      </c>
      <c r="N1996" s="29">
        <v>113.93</v>
      </c>
      <c r="O1996" s="29">
        <v>227.86</v>
      </c>
      <c r="P1996" s="43">
        <f>IF(Table22[[#This Row],[Discount Applied]],Table22[[#This Row],[Total Sales (in USD)]]*(1-Table22[[#This Row],[Discount Percentage (%)]]/100),Table22[[#This Row],[Total Sales (in USD)]])</f>
        <v>176.68264400000001</v>
      </c>
      <c r="Q1996" s="66">
        <f>SQRT(AVERAGE((Table22[[#This Row],[Net Sales (after discount) (in USD)]]-AVERAGE(Table22[Net Sales (after discount) (in USD)]))^2))</f>
        <v>36334.677919764537</v>
      </c>
      <c r="R1996" s="18" t="b">
        <v>0</v>
      </c>
      <c r="S1996" s="40">
        <v>22.46</v>
      </c>
      <c r="T1996" s="18" t="b">
        <v>1</v>
      </c>
      <c r="U1996" s="25">
        <v>44977</v>
      </c>
      <c r="V1996" s="63" t="str">
        <f>IF(MONTH(Table22[[#This Row],[Sales Date]])&lt;=3,"Q1",IF(MONTH(Table22[[#This Row],[Sales Date]])&lt;=6,"Q2",IF(MONTH(Table22[[#This Row],[Sales Date]])&lt;=9,"Q3","Q4")))</f>
        <v>Q1</v>
      </c>
      <c r="W1996" s="64">
        <f>YEAR(Table22[[#This Row],[Sales Date]])</f>
        <v>2023</v>
      </c>
      <c r="X1996" s="23">
        <v>38</v>
      </c>
      <c r="Y1996" s="18" t="s">
        <v>41</v>
      </c>
      <c r="Z1996" s="18" t="s">
        <v>30</v>
      </c>
      <c r="AA1996" s="19" t="s">
        <v>25</v>
      </c>
    </row>
    <row r="1997" spans="1:27" x14ac:dyDescent="0.25">
      <c r="A1997" s="17" t="s">
        <v>1447</v>
      </c>
      <c r="B1997" s="18" t="s">
        <v>46</v>
      </c>
      <c r="C1997" s="63" t="str" cm="1">
        <f t="array" ref="C1997">_xlfn.SWITCH(Table22[[#This Row],[Country]],"USA","North America","Canada","North America","Brazil","South America","China","Asia","Japan","Asia","India","Asia","France","Europe","Germany","Europe","UK","Europe","Australia","Oceania","South America")</f>
        <v>South America</v>
      </c>
      <c r="D1997" s="18" t="s">
        <v>35</v>
      </c>
      <c r="E1997" s="18" t="s">
        <v>39</v>
      </c>
      <c r="F1997" s="18" t="s">
        <v>52</v>
      </c>
      <c r="G1997" s="18" t="s">
        <v>40</v>
      </c>
      <c r="H1997" s="64">
        <f>LEN(TRIM(Table22[[#This Row],[Country]]))</f>
        <v>6</v>
      </c>
      <c r="I1997" s="64">
        <f>LEN(TRIM(Table22[[#This Row],[Continent]]))</f>
        <v>13</v>
      </c>
      <c r="J1997" s="64">
        <f>LEN(TRIM(Table22[[#This Row],[Product]]))</f>
        <v>10</v>
      </c>
      <c r="K1997" s="64">
        <f>LEN(TRIM(Table22[[#This Row],[Sales Team]]))</f>
        <v>10</v>
      </c>
      <c r="L1997" s="23">
        <v>4</v>
      </c>
      <c r="M1997" s="65" t="str" cm="1">
        <f t="array" ref="M1997">_xlfn.IFS(Table22[[#This Row],[Units Sold]]&lt;40,"Critical",Table22[[#This Row],[Units Sold]]&lt;=50,"Poor",Table22[[#This Row],[Units Sold]]&lt;=60,"Low",Table22[[#This Row],[Units Sold]]&lt;=80,"Average",Table22[[#This Row],[Units Sold]]&lt;=90,"High",Table22[[#This Row],[Units Sold]]&lt;=95,"Excellent",Table22[[#This Row],[Units Sold]]&gt;95,"Outstanding")</f>
        <v>Critical</v>
      </c>
      <c r="N1997" s="29">
        <v>55.46</v>
      </c>
      <c r="O1997" s="29">
        <v>221.84</v>
      </c>
      <c r="P1997" s="43">
        <f>IF(Table22[[#This Row],[Discount Applied]],Table22[[#This Row],[Total Sales (in USD)]]*(1-Table22[[#This Row],[Discount Percentage (%)]]/100),Table22[[#This Row],[Total Sales (in USD)]])</f>
        <v>221.84</v>
      </c>
      <c r="Q1997" s="66">
        <f>SQRT(AVERAGE((Table22[[#This Row],[Net Sales (after discount) (in USD)]]-AVERAGE(Table22[Net Sales (after discount) (in USD)]))^2))</f>
        <v>36289.520563764541</v>
      </c>
      <c r="R1997" s="18" t="b">
        <v>0</v>
      </c>
      <c r="S1997" s="40">
        <v>16.739999999999998</v>
      </c>
      <c r="T1997" s="18" t="b">
        <v>0</v>
      </c>
      <c r="U1997" s="25">
        <v>45041</v>
      </c>
      <c r="V1997" s="63" t="str">
        <f>IF(MONTH(Table22[[#This Row],[Sales Date]])&lt;=3,"Q1",IF(MONTH(Table22[[#This Row],[Sales Date]])&lt;=6,"Q2",IF(MONTH(Table22[[#This Row],[Sales Date]])&lt;=9,"Q3","Q4")))</f>
        <v>Q2</v>
      </c>
      <c r="W1997" s="64">
        <f>YEAR(Table22[[#This Row],[Sales Date]])</f>
        <v>2023</v>
      </c>
      <c r="X1997" s="23">
        <v>34</v>
      </c>
      <c r="Y1997" s="18" t="s">
        <v>41</v>
      </c>
      <c r="Z1997" s="18" t="s">
        <v>30</v>
      </c>
      <c r="AA1997" s="19" t="s">
        <v>36</v>
      </c>
    </row>
    <row r="1998" spans="1:27" x14ac:dyDescent="0.25">
      <c r="A1998" s="17" t="s">
        <v>1120</v>
      </c>
      <c r="B1998" s="18" t="s">
        <v>72</v>
      </c>
      <c r="C1998" s="63" t="str" cm="1">
        <f t="array" ref="C1998">_xlfn.SWITCH(Table22[[#This Row],[Country]],"USA","North America","Canada","North America","Brazil","South America","China","Asia","Japan","Asia","India","Asia","France","Europe","Germany","Europe","UK","Europe","Australia","Oceania","South America")</f>
        <v>North America</v>
      </c>
      <c r="D1998" s="18" t="s">
        <v>35</v>
      </c>
      <c r="E1998" s="18" t="s">
        <v>33</v>
      </c>
      <c r="F1998" s="18" t="s">
        <v>64</v>
      </c>
      <c r="G1998" s="18" t="s">
        <v>48</v>
      </c>
      <c r="H1998" s="64">
        <f>LEN(TRIM(Table22[[#This Row],[Country]]))</f>
        <v>3</v>
      </c>
      <c r="I1998" s="64">
        <f>LEN(TRIM(Table22[[#This Row],[Continent]]))</f>
        <v>13</v>
      </c>
      <c r="J1998" s="64">
        <f>LEN(TRIM(Table22[[#This Row],[Product]]))</f>
        <v>10</v>
      </c>
      <c r="K1998" s="64">
        <f>LEN(TRIM(Table22[[#This Row],[Sales Team]]))</f>
        <v>9</v>
      </c>
      <c r="L1998" s="23">
        <v>3</v>
      </c>
      <c r="M1998" s="65" t="str" cm="1">
        <f t="array" ref="M1998">_xlfn.IFS(Table22[[#This Row],[Units Sold]]&lt;40,"Critical",Table22[[#This Row],[Units Sold]]&lt;=50,"Poor",Table22[[#This Row],[Units Sold]]&lt;=60,"Low",Table22[[#This Row],[Units Sold]]&lt;=80,"Average",Table22[[#This Row],[Units Sold]]&lt;=90,"High",Table22[[#This Row],[Units Sold]]&lt;=95,"Excellent",Table22[[#This Row],[Units Sold]]&gt;95,"Outstanding")</f>
        <v>Critical</v>
      </c>
      <c r="N1998" s="29">
        <v>60.55</v>
      </c>
      <c r="O1998" s="29">
        <v>181.65</v>
      </c>
      <c r="P1998" s="43">
        <f>IF(Table22[[#This Row],[Discount Applied]],Table22[[#This Row],[Total Sales (in USD)]]*(1-Table22[[#This Row],[Discount Percentage (%)]]/100),Table22[[#This Row],[Total Sales (in USD)]])</f>
        <v>169.95174</v>
      </c>
      <c r="Q1998" s="66">
        <f>SQRT(AVERAGE((Table22[[#This Row],[Net Sales (after discount) (in USD)]]-AVERAGE(Table22[Net Sales (after discount) (in USD)]))^2))</f>
        <v>36341.408823764541</v>
      </c>
      <c r="R1998" s="18" t="b">
        <v>0</v>
      </c>
      <c r="S1998" s="40">
        <v>6.44</v>
      </c>
      <c r="T1998" s="18" t="b">
        <v>1</v>
      </c>
      <c r="U1998" s="25">
        <v>45561</v>
      </c>
      <c r="V1998" s="63" t="str">
        <f>IF(MONTH(Table22[[#This Row],[Sales Date]])&lt;=3,"Q1",IF(MONTH(Table22[[#This Row],[Sales Date]])&lt;=6,"Q2",IF(MONTH(Table22[[#This Row],[Sales Date]])&lt;=9,"Q3","Q4")))</f>
        <v>Q3</v>
      </c>
      <c r="W1998" s="64">
        <f>YEAR(Table22[[#This Row],[Sales Date]])</f>
        <v>2024</v>
      </c>
      <c r="X1998" s="23">
        <v>49</v>
      </c>
      <c r="Y1998" s="18" t="s">
        <v>41</v>
      </c>
      <c r="Z1998" s="18" t="s">
        <v>56</v>
      </c>
      <c r="AA1998" s="19" t="s">
        <v>36</v>
      </c>
    </row>
    <row r="1999" spans="1:27" x14ac:dyDescent="0.25">
      <c r="A1999" s="17" t="s">
        <v>208</v>
      </c>
      <c r="B1999" s="18" t="s">
        <v>72</v>
      </c>
      <c r="C1999" s="63" t="str" cm="1">
        <f t="array" ref="C1999">_xlfn.SWITCH(Table22[[#This Row],[Country]],"USA","North America","Canada","North America","Brazil","South America","China","Asia","Japan","Asia","India","Asia","France","Europe","Germany","Europe","UK","Europe","Australia","Oceania","South America")</f>
        <v>North America</v>
      </c>
      <c r="D1999" s="18" t="s">
        <v>21</v>
      </c>
      <c r="E1999" s="18" t="s">
        <v>33</v>
      </c>
      <c r="F1999" s="18" t="s">
        <v>47</v>
      </c>
      <c r="G1999" s="18" t="s">
        <v>48</v>
      </c>
      <c r="H1999" s="64">
        <f>LEN(TRIM(Table22[[#This Row],[Country]]))</f>
        <v>3</v>
      </c>
      <c r="I1999" s="64">
        <f>LEN(TRIM(Table22[[#This Row],[Continent]]))</f>
        <v>13</v>
      </c>
      <c r="J1999" s="64">
        <f>LEN(TRIM(Table22[[#This Row],[Product]]))</f>
        <v>10</v>
      </c>
      <c r="K1999" s="64">
        <f>LEN(TRIM(Table22[[#This Row],[Sales Team]]))</f>
        <v>9</v>
      </c>
      <c r="L1999" s="23">
        <v>1</v>
      </c>
      <c r="M1999" s="65" t="str" cm="1">
        <f t="array" ref="M1999">_xlfn.IFS(Table22[[#This Row],[Units Sold]]&lt;40,"Critical",Table22[[#This Row],[Units Sold]]&lt;=50,"Poor",Table22[[#This Row],[Units Sold]]&lt;=60,"Low",Table22[[#This Row],[Units Sold]]&lt;=80,"Average",Table22[[#This Row],[Units Sold]]&lt;=90,"High",Table22[[#This Row],[Units Sold]]&lt;=95,"Excellent",Table22[[#This Row],[Units Sold]]&gt;95,"Outstanding")</f>
        <v>Critical</v>
      </c>
      <c r="N1999" s="29">
        <v>102.04</v>
      </c>
      <c r="O1999" s="29">
        <v>102.04</v>
      </c>
      <c r="P1999" s="43">
        <f>IF(Table22[[#This Row],[Discount Applied]],Table22[[#This Row],[Total Sales (in USD)]]*(1-Table22[[#This Row],[Discount Percentage (%)]]/100),Table22[[#This Row],[Total Sales (in USD)]])</f>
        <v>81.978936000000004</v>
      </c>
      <c r="Q1999" s="66">
        <f>SQRT(AVERAGE((Table22[[#This Row],[Net Sales (after discount) (in USD)]]-AVERAGE(Table22[Net Sales (after discount) (in USD)]))^2))</f>
        <v>36429.381627764538</v>
      </c>
      <c r="R1999" s="18" t="b">
        <v>0</v>
      </c>
      <c r="S1999" s="40">
        <v>19.66</v>
      </c>
      <c r="T1999" s="18" t="b">
        <v>1</v>
      </c>
      <c r="U1999" s="25">
        <v>45483</v>
      </c>
      <c r="V1999" s="63" t="str">
        <f>IF(MONTH(Table22[[#This Row],[Sales Date]])&lt;=3,"Q1",IF(MONTH(Table22[[#This Row],[Sales Date]])&lt;=6,"Q2",IF(MONTH(Table22[[#This Row],[Sales Date]])&lt;=9,"Q3","Q4")))</f>
        <v>Q3</v>
      </c>
      <c r="W1999" s="64">
        <f>YEAR(Table22[[#This Row],[Sales Date]])</f>
        <v>2024</v>
      </c>
      <c r="X1999" s="23">
        <v>69</v>
      </c>
      <c r="Y1999" s="18" t="s">
        <v>23</v>
      </c>
      <c r="Z1999" s="18" t="s">
        <v>24</v>
      </c>
      <c r="AA1999" s="19" t="s">
        <v>25</v>
      </c>
    </row>
    <row r="2000" spans="1:27" x14ac:dyDescent="0.25">
      <c r="A2000" s="17" t="s">
        <v>400</v>
      </c>
      <c r="B2000" s="18" t="s">
        <v>66</v>
      </c>
      <c r="C2000" s="63" t="str" cm="1">
        <f t="array" ref="C2000">_xlfn.SWITCH(Table22[[#This Row],[Country]],"USA","North America","Canada","North America","Brazil","South America","China","Asia","Japan","Asia","India","Asia","France","Europe","Germany","Europe","UK","Europe","Australia","Oceania","South America")</f>
        <v>North America</v>
      </c>
      <c r="D2000" s="18" t="s">
        <v>35</v>
      </c>
      <c r="E2000" s="18" t="s">
        <v>39</v>
      </c>
      <c r="F2000" s="18" t="s">
        <v>34</v>
      </c>
      <c r="G2000" s="18" t="s">
        <v>40</v>
      </c>
      <c r="H2000" s="64">
        <f>LEN(TRIM(Table22[[#This Row],[Country]]))</f>
        <v>6</v>
      </c>
      <c r="I2000" s="64">
        <f>LEN(TRIM(Table22[[#This Row],[Continent]]))</f>
        <v>13</v>
      </c>
      <c r="J2000" s="64">
        <f>LEN(TRIM(Table22[[#This Row],[Product]]))</f>
        <v>10</v>
      </c>
      <c r="K2000" s="64">
        <f>LEN(TRIM(Table22[[#This Row],[Sales Team]]))</f>
        <v>10</v>
      </c>
      <c r="L2000" s="23">
        <v>1</v>
      </c>
      <c r="M2000" s="65" t="str" cm="1">
        <f t="array" ref="M2000">_xlfn.IFS(Table22[[#This Row],[Units Sold]]&lt;40,"Critical",Table22[[#This Row],[Units Sold]]&lt;=50,"Poor",Table22[[#This Row],[Units Sold]]&lt;=60,"Low",Table22[[#This Row],[Units Sold]]&lt;=80,"Average",Table22[[#This Row],[Units Sold]]&lt;=90,"High",Table22[[#This Row],[Units Sold]]&lt;=95,"Excellent",Table22[[#This Row],[Units Sold]]&gt;95,"Outstanding")</f>
        <v>Critical</v>
      </c>
      <c r="N2000" s="29">
        <v>78.28</v>
      </c>
      <c r="O2000" s="29">
        <v>78.28</v>
      </c>
      <c r="P2000" s="43">
        <f>IF(Table22[[#This Row],[Discount Applied]],Table22[[#This Row],[Total Sales (in USD)]]*(1-Table22[[#This Row],[Discount Percentage (%)]]/100),Table22[[#This Row],[Total Sales (in USD)]])</f>
        <v>76.229063999999994</v>
      </c>
      <c r="Q2000" s="66">
        <f>SQRT(AVERAGE((Table22[[#This Row],[Net Sales (after discount) (in USD)]]-AVERAGE(Table22[Net Sales (after discount) (in USD)]))^2))</f>
        <v>36435.131499764539</v>
      </c>
      <c r="R2000" s="18" t="b">
        <v>1</v>
      </c>
      <c r="S2000" s="40">
        <v>2.62</v>
      </c>
      <c r="T2000" s="18" t="b">
        <v>1</v>
      </c>
      <c r="U2000" s="25">
        <v>45106</v>
      </c>
      <c r="V2000" s="63" t="str">
        <f>IF(MONTH(Table22[[#This Row],[Sales Date]])&lt;=3,"Q1",IF(MONTH(Table22[[#This Row],[Sales Date]])&lt;=6,"Q2",IF(MONTH(Table22[[#This Row],[Sales Date]])&lt;=9,"Q3","Q4")))</f>
        <v>Q2</v>
      </c>
      <c r="W2000" s="64">
        <f>YEAR(Table22[[#This Row],[Sales Date]])</f>
        <v>2023</v>
      </c>
      <c r="X2000" s="23">
        <v>25</v>
      </c>
      <c r="Y2000" s="18" t="s">
        <v>23</v>
      </c>
      <c r="Z2000" s="18" t="s">
        <v>24</v>
      </c>
      <c r="AA2000" s="19" t="s">
        <v>36</v>
      </c>
    </row>
    <row r="2001" spans="1:27" x14ac:dyDescent="0.25">
      <c r="A2001" s="20" t="s">
        <v>1160</v>
      </c>
      <c r="B2001" s="21" t="s">
        <v>18</v>
      </c>
      <c r="C2001" s="63" t="str" cm="1">
        <f t="array" ref="C2001">_xlfn.SWITCH(Table22[[#This Row],[Country]],"USA","North America","Canada","North America","Brazil","South America","China","Asia","Japan","Asia","India","Asia","France","Europe","Germany","Europe","UK","Europe","Australia","Oceania","South America")</f>
        <v>Asia</v>
      </c>
      <c r="D2001" s="21" t="s">
        <v>28</v>
      </c>
      <c r="E2001" s="21" t="s">
        <v>33</v>
      </c>
      <c r="F2001" s="21" t="s">
        <v>34</v>
      </c>
      <c r="G2001" s="21" t="s">
        <v>22</v>
      </c>
      <c r="H2001" s="64">
        <f>LEN(TRIM(Table22[[#This Row],[Country]]))</f>
        <v>5</v>
      </c>
      <c r="I2001" s="64">
        <f>LEN(TRIM(Table22[[#This Row],[Continent]]))</f>
        <v>4</v>
      </c>
      <c r="J2001" s="64">
        <f>LEN(TRIM(Table22[[#This Row],[Product]]))</f>
        <v>10</v>
      </c>
      <c r="K2001" s="64">
        <f>LEN(TRIM(Table22[[#This Row],[Sales Team]]))</f>
        <v>10</v>
      </c>
      <c r="L2001" s="24">
        <v>1</v>
      </c>
      <c r="M2001" s="65" t="str" cm="1">
        <f t="array" ref="M2001">_xlfn.IFS(Table22[[#This Row],[Units Sold]]&lt;40,"Critical",Table22[[#This Row],[Units Sold]]&lt;=50,"Poor",Table22[[#This Row],[Units Sold]]&lt;=60,"Low",Table22[[#This Row],[Units Sold]]&lt;=80,"Average",Table22[[#This Row],[Units Sold]]&lt;=90,"High",Table22[[#This Row],[Units Sold]]&lt;=95,"Excellent",Table22[[#This Row],[Units Sold]]&gt;95,"Outstanding")</f>
        <v>Critical</v>
      </c>
      <c r="N2001" s="30">
        <v>58.6</v>
      </c>
      <c r="O2001" s="30">
        <v>58.6</v>
      </c>
      <c r="P2001" s="43">
        <f>IF(Table22[[#This Row],[Discount Applied]],Table22[[#This Row],[Total Sales (in USD)]]*(1-Table22[[#This Row],[Discount Percentage (%)]]/100),Table22[[#This Row],[Total Sales (in USD)]])</f>
        <v>58.6</v>
      </c>
      <c r="Q2001" s="66">
        <f>SQRT(AVERAGE((Table22[[#This Row],[Net Sales (after discount) (in USD)]]-AVERAGE(Table22[Net Sales (after discount) (in USD)]))^2))</f>
        <v>36452.760563764539</v>
      </c>
      <c r="R2001" s="21" t="b">
        <v>1</v>
      </c>
      <c r="S2001" s="41">
        <v>1.1200000000000001</v>
      </c>
      <c r="T2001" s="21" t="b">
        <v>0</v>
      </c>
      <c r="U2001" s="26">
        <v>45268</v>
      </c>
      <c r="V2001" s="63" t="str">
        <f>IF(MONTH(Table22[[#This Row],[Sales Date]])&lt;=3,"Q1",IF(MONTH(Table22[[#This Row],[Sales Date]])&lt;=6,"Q2",IF(MONTH(Table22[[#This Row],[Sales Date]])&lt;=9,"Q3","Q4")))</f>
        <v>Q4</v>
      </c>
      <c r="W2001" s="64">
        <f>YEAR(Table22[[#This Row],[Sales Date]])</f>
        <v>2023</v>
      </c>
      <c r="X2001" s="24">
        <v>27</v>
      </c>
      <c r="Y2001" s="21" t="s">
        <v>23</v>
      </c>
      <c r="Z2001" s="21" t="s">
        <v>24</v>
      </c>
      <c r="AA2001" s="22" t="s">
        <v>25</v>
      </c>
    </row>
    <row r="2002" spans="1:27" x14ac:dyDescent="0.25">
      <c r="A2002" s="31" t="s">
        <v>2064</v>
      </c>
      <c r="B2002" s="32"/>
      <c r="C2002" s="44"/>
      <c r="D2002" s="32"/>
      <c r="E2002" s="32"/>
      <c r="F2002" s="32"/>
      <c r="G2002" s="32"/>
      <c r="H2002" s="44"/>
      <c r="I2002" s="44"/>
      <c r="J2002" s="44"/>
      <c r="K2002" s="44"/>
      <c r="L2002" s="37">
        <f>AVERAGE(Table22[Units Sold])</f>
        <v>51.054000000000002</v>
      </c>
      <c r="M2002" s="44"/>
      <c r="N2002" s="33">
        <f>SUBTOTAL(109,Table22[Unit Price (in USD)])</f>
        <v>1538511.1300000031</v>
      </c>
      <c r="O2002" s="33">
        <f>AVERAGE(Table22[Total Sales (in USD)])</f>
        <v>39539.689204999966</v>
      </c>
      <c r="P2002" s="42"/>
      <c r="Q2002" s="44"/>
      <c r="R2002" s="32"/>
      <c r="S2002" s="35"/>
      <c r="T2002" s="32"/>
      <c r="U2002" s="34"/>
      <c r="V2002" s="44"/>
      <c r="W2002" s="44"/>
      <c r="X2002" s="35"/>
      <c r="Y2002" s="32"/>
      <c r="Z2002" s="32"/>
      <c r="AA2002" s="36"/>
    </row>
    <row r="2007" spans="1:27" x14ac:dyDescent="0.25">
      <c r="D2007" s="38"/>
      <c r="G2007" s="52" t="s">
        <v>2064</v>
      </c>
      <c r="H2007" s="53" t="s">
        <v>2065</v>
      </c>
      <c r="I2007" s="16"/>
      <c r="J2007" s="16"/>
      <c r="L2007"/>
      <c r="N2007" s="15"/>
      <c r="O2007" s="15"/>
      <c r="P2007" s="15"/>
      <c r="Q2007" s="15"/>
      <c r="R2007"/>
      <c r="S2007"/>
      <c r="V2007" s="15"/>
      <c r="W2007" s="15"/>
      <c r="X2007"/>
      <c r="Y2007"/>
      <c r="Z2007"/>
      <c r="AA2007"/>
    </row>
    <row r="2008" spans="1:27" x14ac:dyDescent="0.25">
      <c r="D2008" s="38" t="s">
        <v>6</v>
      </c>
      <c r="F2008" s="38" t="s">
        <v>6</v>
      </c>
      <c r="G2008" s="49">
        <f>Table22[[#Totals],[Units Sold]]</f>
        <v>51.054000000000002</v>
      </c>
      <c r="H2008" s="38"/>
      <c r="I2008" s="16"/>
      <c r="J2008" s="16"/>
      <c r="L2008"/>
      <c r="N2008" s="15"/>
      <c r="O2008" s="15"/>
      <c r="P2008" s="15"/>
      <c r="Q2008" s="15"/>
      <c r="R2008"/>
      <c r="S2008"/>
      <c r="V2008" s="15"/>
      <c r="W2008" s="15"/>
      <c r="X2008"/>
      <c r="Y2008"/>
      <c r="Z2008"/>
      <c r="AA2008"/>
    </row>
    <row r="2009" spans="1:27" x14ac:dyDescent="0.25">
      <c r="D2009" s="39" t="s">
        <v>8</v>
      </c>
      <c r="F2009" s="38" t="s">
        <v>8</v>
      </c>
      <c r="G2009" s="50">
        <f>Table22[[#Totals],[Total Sales (in USD)]]</f>
        <v>39539.689204999966</v>
      </c>
      <c r="H2009" s="38"/>
      <c r="I2009" s="16"/>
      <c r="J2009" s="16"/>
      <c r="L2009"/>
      <c r="N2009" s="15"/>
      <c r="O2009" s="15"/>
      <c r="P2009" s="15"/>
      <c r="Q2009" s="15"/>
      <c r="R2009"/>
      <c r="S2009"/>
      <c r="V2009" s="15"/>
      <c r="W2009" s="15"/>
      <c r="X2009"/>
      <c r="Y2009"/>
      <c r="Z2009"/>
      <c r="AA2009"/>
    </row>
    <row r="2010" spans="1:27" x14ac:dyDescent="0.25">
      <c r="D2010" s="39"/>
      <c r="F2010" s="38" t="s">
        <v>7</v>
      </c>
      <c r="G2010" s="50">
        <f>Table22[[#Totals],[Unit Price (in USD)]]/2000</f>
        <v>769.25556500000152</v>
      </c>
      <c r="H2010" s="38"/>
      <c r="I2010" s="16"/>
      <c r="J2010" s="16"/>
      <c r="L2010"/>
      <c r="N2010" s="15"/>
      <c r="O2010" s="15"/>
      <c r="P2010" s="15"/>
      <c r="Q2010" s="15"/>
      <c r="R2010"/>
      <c r="S2010"/>
      <c r="V2010" s="15"/>
      <c r="W2010" s="15"/>
      <c r="X2010"/>
      <c r="Y2010"/>
      <c r="Z2010"/>
      <c r="AA2010"/>
    </row>
    <row r="2011" spans="1:27" x14ac:dyDescent="0.25">
      <c r="D2011" s="38" t="s">
        <v>10</v>
      </c>
      <c r="F2011" s="51" t="s">
        <v>2066</v>
      </c>
      <c r="G2011" s="38"/>
      <c r="H2011" s="38">
        <f>_xlfn.PERCENTILE.INC(Table22[Customer Age],0.5)</f>
        <v>43</v>
      </c>
      <c r="I2011" s="16"/>
      <c r="J2011" s="16"/>
      <c r="L2011"/>
      <c r="N2011" s="15"/>
      <c r="O2011" s="15"/>
      <c r="P2011" s="15"/>
      <c r="Q2011" s="15"/>
      <c r="R2011"/>
      <c r="S2011"/>
      <c r="V2011" s="15"/>
      <c r="W2011" s="15"/>
      <c r="X2011"/>
      <c r="Y2011"/>
      <c r="Z2011"/>
      <c r="AA2011"/>
    </row>
    <row r="2014" spans="1:27" ht="57.75" x14ac:dyDescent="0.25">
      <c r="F2014" s="51" t="s">
        <v>2067</v>
      </c>
      <c r="G2014" s="54">
        <f>_xlfn.COVARIANCE.S(Table22[Total Sales (in USD)], Table22[Unit Price (in USD)])</f>
        <v>9093315.0092607103</v>
      </c>
    </row>
  </sheetData>
  <phoneticPr fontId="20" type="noConversion"/>
  <conditionalFormatting sqref="A2:A2001">
    <cfRule type="duplicateValues" dxfId="3" priority="6"/>
  </conditionalFormatting>
  <conditionalFormatting sqref="O2:O2001">
    <cfRule type="top10" dxfId="2" priority="4" bottom="1" rank="5"/>
    <cfRule type="top10" dxfId="1" priority="5" rank="5"/>
  </conditionalFormatting>
  <conditionalFormatting sqref="T2:T2001">
    <cfRule type="containsText" dxfId="0" priority="1" operator="containsText" text="TRUE">
      <formula>NOT(ISERROR(SEARCH("TRUE",T2)))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2442D-4FF3-4656-A5B4-A3129DAA3C5B}">
  <dimension ref="A1:Q31"/>
  <sheetViews>
    <sheetView topLeftCell="B1" workbookViewId="0">
      <selection activeCell="K9" sqref="K9"/>
    </sheetView>
  </sheetViews>
  <sheetFormatPr defaultRowHeight="15" x14ac:dyDescent="0.25"/>
  <cols>
    <col min="1" max="1" width="13.42578125" bestFit="1" customWidth="1"/>
    <col min="2" max="2" width="25.85546875" bestFit="1" customWidth="1"/>
    <col min="3" max="3" width="12.140625" bestFit="1" customWidth="1"/>
    <col min="4" max="4" width="12" bestFit="1" customWidth="1"/>
    <col min="8" max="8" width="11.140625" bestFit="1" customWidth="1"/>
    <col min="9" max="9" width="13.85546875" bestFit="1" customWidth="1"/>
    <col min="10" max="10" width="24.7109375" bestFit="1" customWidth="1"/>
    <col min="11" max="11" width="27" bestFit="1" customWidth="1"/>
    <col min="14" max="14" width="34.7109375" bestFit="1" customWidth="1"/>
  </cols>
  <sheetData>
    <row r="1" spans="1:17" x14ac:dyDescent="0.25">
      <c r="A1" s="75" t="s">
        <v>2068</v>
      </c>
      <c r="B1" s="75"/>
      <c r="C1" s="75"/>
      <c r="D1" s="75"/>
    </row>
    <row r="2" spans="1:17" x14ac:dyDescent="0.25">
      <c r="A2" s="61" t="s">
        <v>2</v>
      </c>
      <c r="B2" s="61">
        <v>2023</v>
      </c>
      <c r="C2" s="61">
        <v>2024</v>
      </c>
      <c r="D2" s="61" t="s">
        <v>2069</v>
      </c>
    </row>
    <row r="3" spans="1:17" x14ac:dyDescent="0.25">
      <c r="A3" s="59" t="s">
        <v>39</v>
      </c>
      <c r="B3" s="58">
        <v>13270223.319999991</v>
      </c>
      <c r="C3" s="58">
        <v>11949390.230000006</v>
      </c>
      <c r="D3" s="58">
        <v>25219613.549999997</v>
      </c>
      <c r="I3" t="s">
        <v>2057</v>
      </c>
      <c r="J3" t="s">
        <v>2070</v>
      </c>
      <c r="K3" t="s">
        <v>2071</v>
      </c>
      <c r="N3" s="76" t="s">
        <v>2141</v>
      </c>
      <c r="O3" s="76"/>
      <c r="P3" s="76"/>
    </row>
    <row r="4" spans="1:17" x14ac:dyDescent="0.25">
      <c r="A4" s="59" t="s">
        <v>19</v>
      </c>
      <c r="B4" s="58">
        <v>13708923.800000003</v>
      </c>
      <c r="C4" s="58">
        <v>12426182.639999997</v>
      </c>
      <c r="D4" s="58">
        <v>26135106.439999998</v>
      </c>
      <c r="I4" t="s">
        <v>2072</v>
      </c>
      <c r="J4">
        <v>442</v>
      </c>
      <c r="K4" s="28">
        <v>24100917.859999981</v>
      </c>
      <c r="N4" s="76"/>
      <c r="O4" s="76"/>
      <c r="P4" s="76"/>
    </row>
    <row r="5" spans="1:17" x14ac:dyDescent="0.25">
      <c r="A5" s="59" t="s">
        <v>33</v>
      </c>
      <c r="B5" s="58">
        <v>16405501.35</v>
      </c>
      <c r="C5" s="58">
        <v>11319157.07000001</v>
      </c>
      <c r="D5" s="58">
        <v>27724658.420000009</v>
      </c>
      <c r="I5" t="s">
        <v>2075</v>
      </c>
      <c r="J5">
        <v>223</v>
      </c>
      <c r="K5" s="28">
        <v>15391918.540000008</v>
      </c>
      <c r="N5" s="76"/>
      <c r="O5" s="76"/>
      <c r="P5" s="76"/>
    </row>
    <row r="6" spans="1:17" x14ac:dyDescent="0.25">
      <c r="A6" s="59" t="s">
        <v>2069</v>
      </c>
      <c r="B6" s="60">
        <v>43384648.469999991</v>
      </c>
      <c r="C6" s="60">
        <v>35694729.940000013</v>
      </c>
      <c r="D6" s="60">
        <v>79079378.409999996</v>
      </c>
      <c r="I6" t="s">
        <v>2073</v>
      </c>
      <c r="J6">
        <v>756</v>
      </c>
      <c r="K6" s="28">
        <v>11651880.840000007</v>
      </c>
      <c r="N6" s="76"/>
      <c r="O6" s="76"/>
      <c r="P6" s="76"/>
      <c r="Q6" s="69"/>
    </row>
    <row r="7" spans="1:17" ht="16.5" x14ac:dyDescent="0.25">
      <c r="I7" t="s">
        <v>2076</v>
      </c>
      <c r="J7">
        <v>204</v>
      </c>
      <c r="K7" s="28">
        <v>8759446.0500000007</v>
      </c>
      <c r="N7" s="76"/>
      <c r="O7" s="76"/>
      <c r="P7" s="76"/>
      <c r="Q7" s="68"/>
    </row>
    <row r="8" spans="1:17" x14ac:dyDescent="0.25">
      <c r="I8" t="s">
        <v>2078</v>
      </c>
      <c r="J8">
        <v>210</v>
      </c>
      <c r="K8" s="28">
        <v>7194952.0499999989</v>
      </c>
      <c r="N8" s="76"/>
      <c r="O8" s="76"/>
      <c r="P8" s="76"/>
    </row>
    <row r="9" spans="1:17" x14ac:dyDescent="0.25">
      <c r="I9" t="s">
        <v>2074</v>
      </c>
      <c r="J9">
        <v>90</v>
      </c>
      <c r="K9" s="28">
        <v>6043128.4699999979</v>
      </c>
      <c r="N9" s="76"/>
      <c r="O9" s="76"/>
      <c r="P9" s="76"/>
    </row>
    <row r="10" spans="1:17" x14ac:dyDescent="0.25">
      <c r="I10" t="s">
        <v>2077</v>
      </c>
      <c r="J10">
        <v>75</v>
      </c>
      <c r="K10" s="28">
        <v>5937134.6000000024</v>
      </c>
      <c r="N10" s="76"/>
      <c r="O10" s="76"/>
      <c r="P10" s="76"/>
    </row>
    <row r="11" spans="1:17" x14ac:dyDescent="0.25">
      <c r="A11" s="75" t="s">
        <v>2079</v>
      </c>
      <c r="B11" s="75"/>
      <c r="C11" s="75"/>
      <c r="D11" s="75"/>
      <c r="I11" t="s">
        <v>2080</v>
      </c>
      <c r="J11" s="28">
        <f>SUBTOTAL(109,J4:J10)</f>
        <v>2000</v>
      </c>
      <c r="K11" s="28">
        <f>SUBTOTAL(109,Table6[Sum of Total Sales (in USD)])</f>
        <v>79079378.409999996</v>
      </c>
      <c r="N11" s="76"/>
      <c r="O11" s="76"/>
      <c r="P11" s="76"/>
    </row>
    <row r="12" spans="1:17" x14ac:dyDescent="0.25">
      <c r="A12" s="61" t="s">
        <v>2052</v>
      </c>
      <c r="B12" s="61">
        <v>2023</v>
      </c>
      <c r="C12" s="61">
        <v>2024</v>
      </c>
      <c r="D12" s="61" t="s">
        <v>2069</v>
      </c>
      <c r="N12" s="76"/>
      <c r="O12" s="76"/>
      <c r="P12" s="76"/>
    </row>
    <row r="13" spans="1:17" x14ac:dyDescent="0.25">
      <c r="A13" s="59" t="s">
        <v>2081</v>
      </c>
      <c r="B13" s="58">
        <v>13916167.119999988</v>
      </c>
      <c r="C13" s="58">
        <v>10479266.580000009</v>
      </c>
      <c r="D13" s="58">
        <v>24395433.699999996</v>
      </c>
      <c r="N13" s="76"/>
      <c r="O13" s="76"/>
      <c r="P13" s="76"/>
    </row>
    <row r="14" spans="1:17" x14ac:dyDescent="0.25">
      <c r="A14" s="59" t="s">
        <v>35</v>
      </c>
      <c r="B14" s="58">
        <v>12178863.120000007</v>
      </c>
      <c r="C14" s="58">
        <v>10820590.799999999</v>
      </c>
      <c r="D14" s="58">
        <v>22999453.920000006</v>
      </c>
      <c r="N14" s="76"/>
      <c r="O14" s="76"/>
      <c r="P14" s="76"/>
    </row>
    <row r="15" spans="1:17" x14ac:dyDescent="0.25">
      <c r="A15" s="59" t="s">
        <v>44</v>
      </c>
      <c r="B15" s="58">
        <v>8648288.2299999986</v>
      </c>
      <c r="C15" s="58">
        <v>7744617.79</v>
      </c>
      <c r="D15" s="58">
        <v>16392906.02</v>
      </c>
      <c r="N15" s="76"/>
      <c r="O15" s="76"/>
      <c r="P15" s="76"/>
    </row>
    <row r="16" spans="1:17" ht="30" x14ac:dyDescent="0.25">
      <c r="A16" s="59" t="s">
        <v>2082</v>
      </c>
      <c r="B16" s="58">
        <v>4131101.5500000021</v>
      </c>
      <c r="C16" s="58">
        <v>2903312.4499999997</v>
      </c>
      <c r="D16" s="58">
        <v>7034414.0000000019</v>
      </c>
      <c r="I16" s="61" t="s">
        <v>2143</v>
      </c>
      <c r="J16" s="70" t="s">
        <v>2071</v>
      </c>
      <c r="N16" s="76" t="s">
        <v>2142</v>
      </c>
      <c r="O16" s="76"/>
      <c r="P16" s="76"/>
    </row>
    <row r="17" spans="1:16" x14ac:dyDescent="0.25">
      <c r="A17" s="59" t="s">
        <v>21</v>
      </c>
      <c r="B17" s="58">
        <v>4510228.4500000011</v>
      </c>
      <c r="C17" s="58">
        <v>3746942.3199999994</v>
      </c>
      <c r="D17" s="58">
        <v>8257170.7700000005</v>
      </c>
      <c r="I17" s="67" t="s">
        <v>39</v>
      </c>
      <c r="J17" s="58">
        <v>25219613.549999975</v>
      </c>
      <c r="N17" s="76"/>
      <c r="O17" s="76"/>
      <c r="P17" s="76"/>
    </row>
    <row r="18" spans="1:16" x14ac:dyDescent="0.25">
      <c r="A18" s="59" t="s">
        <v>2069</v>
      </c>
      <c r="B18" s="60">
        <v>43384648.469999999</v>
      </c>
      <c r="C18" s="60">
        <v>35694729.940000005</v>
      </c>
      <c r="D18" s="60">
        <v>79079378.409999996</v>
      </c>
      <c r="I18" s="67" t="s">
        <v>19</v>
      </c>
      <c r="J18" s="58">
        <v>26135106.440000001</v>
      </c>
      <c r="N18" s="76"/>
      <c r="O18" s="76"/>
      <c r="P18" s="76"/>
    </row>
    <row r="19" spans="1:16" x14ac:dyDescent="0.25">
      <c r="I19" s="67" t="s">
        <v>33</v>
      </c>
      <c r="J19" s="58">
        <v>27724658.419999991</v>
      </c>
      <c r="N19" s="76"/>
      <c r="O19" s="76"/>
      <c r="P19" s="76"/>
    </row>
    <row r="20" spans="1:16" x14ac:dyDescent="0.25">
      <c r="I20" s="59" t="s">
        <v>2069</v>
      </c>
      <c r="J20" s="60">
        <v>79079378.409999967</v>
      </c>
      <c r="N20" s="76"/>
      <c r="O20" s="76"/>
      <c r="P20" s="76"/>
    </row>
    <row r="21" spans="1:16" x14ac:dyDescent="0.25">
      <c r="N21" s="76"/>
      <c r="O21" s="76"/>
      <c r="P21" s="76"/>
    </row>
    <row r="22" spans="1:16" x14ac:dyDescent="0.25">
      <c r="N22" s="76"/>
      <c r="O22" s="76"/>
      <c r="P22" s="76"/>
    </row>
    <row r="23" spans="1:16" x14ac:dyDescent="0.25">
      <c r="N23" s="77"/>
      <c r="O23" s="77"/>
      <c r="P23" s="77"/>
    </row>
    <row r="25" spans="1:16" x14ac:dyDescent="0.25">
      <c r="I25" s="72" t="s">
        <v>2145</v>
      </c>
      <c r="J25" s="72" t="s">
        <v>2144</v>
      </c>
    </row>
    <row r="26" spans="1:16" x14ac:dyDescent="0.25">
      <c r="I26" s="71" t="s">
        <v>2081</v>
      </c>
      <c r="J26" s="73">
        <v>461009.73000000021</v>
      </c>
    </row>
    <row r="27" spans="1:16" x14ac:dyDescent="0.25">
      <c r="I27" s="71" t="s">
        <v>35</v>
      </c>
      <c r="J27" s="73">
        <v>450930.51000000018</v>
      </c>
    </row>
    <row r="28" spans="1:16" x14ac:dyDescent="0.25">
      <c r="I28" s="71" t="s">
        <v>44</v>
      </c>
      <c r="J28" s="73">
        <v>325580.46999999986</v>
      </c>
    </row>
    <row r="29" spans="1:16" x14ac:dyDescent="0.25">
      <c r="I29" s="71" t="s">
        <v>2082</v>
      </c>
      <c r="J29" s="73">
        <v>140034.90999999992</v>
      </c>
    </row>
    <row r="30" spans="1:16" x14ac:dyDescent="0.25">
      <c r="I30" s="71" t="s">
        <v>21</v>
      </c>
      <c r="J30" s="73">
        <v>160955.51000000015</v>
      </c>
    </row>
    <row r="31" spans="1:16" x14ac:dyDescent="0.25">
      <c r="I31" s="72" t="s">
        <v>2069</v>
      </c>
      <c r="J31" s="74">
        <v>1538511.1300000006</v>
      </c>
    </row>
  </sheetData>
  <mergeCells count="4">
    <mergeCell ref="A1:D1"/>
    <mergeCell ref="A11:D11"/>
    <mergeCell ref="N3:P15"/>
    <mergeCell ref="N16:P2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2E319-1A59-41C9-8F57-9804C29D6DBC}">
  <dimension ref="A9:F38"/>
  <sheetViews>
    <sheetView workbookViewId="0">
      <selection activeCell="D9" sqref="D9"/>
    </sheetView>
  </sheetViews>
  <sheetFormatPr defaultRowHeight="15" x14ac:dyDescent="0.25"/>
  <cols>
    <col min="4" max="4" width="25.85546875" bestFit="1" customWidth="1"/>
    <col min="5" max="5" width="16.85546875" bestFit="1" customWidth="1"/>
    <col min="6" max="6" width="11.28515625" bestFit="1" customWidth="1"/>
    <col min="7" max="7" width="8.140625" bestFit="1" customWidth="1"/>
    <col min="8" max="8" width="6.5703125" bestFit="1" customWidth="1"/>
    <col min="9" max="9" width="9.85546875" bestFit="1" customWidth="1"/>
    <col min="10" max="10" width="11.28515625" bestFit="1" customWidth="1"/>
    <col min="11" max="13" width="8.140625" bestFit="1" customWidth="1"/>
    <col min="14" max="14" width="9.85546875" bestFit="1" customWidth="1"/>
    <col min="15" max="15" width="11.28515625" bestFit="1" customWidth="1"/>
    <col min="16" max="16" width="8.85546875" bestFit="1" customWidth="1"/>
    <col min="17" max="17" width="5.85546875" bestFit="1" customWidth="1"/>
    <col min="18" max="18" width="7.7109375" bestFit="1" customWidth="1"/>
    <col min="19" max="19" width="6.28515625" bestFit="1" customWidth="1"/>
    <col min="20" max="20" width="7" bestFit="1" customWidth="1"/>
    <col min="21" max="21" width="9.140625" bestFit="1" customWidth="1"/>
    <col min="22" max="22" width="5.42578125" bestFit="1" customWidth="1"/>
    <col min="23" max="23" width="6" bestFit="1" customWidth="1"/>
    <col min="24" max="25" width="5" bestFit="1" customWidth="1"/>
    <col min="26" max="26" width="9.85546875" bestFit="1" customWidth="1"/>
    <col min="27" max="27" width="25.85546875" bestFit="1" customWidth="1"/>
    <col min="28" max="36" width="9.140625" bestFit="1" customWidth="1"/>
    <col min="37" max="37" width="10.7109375" bestFit="1" customWidth="1"/>
    <col min="38" max="47" width="9.140625" bestFit="1" customWidth="1"/>
    <col min="48" max="48" width="10.7109375" bestFit="1" customWidth="1"/>
    <col min="49" max="49" width="22.140625" bestFit="1" customWidth="1"/>
    <col min="50" max="50" width="30.85546875" bestFit="1" customWidth="1"/>
    <col min="51" max="51" width="19.140625" bestFit="1" customWidth="1"/>
    <col min="52" max="52" width="10.7109375" bestFit="1" customWidth="1"/>
    <col min="53" max="55" width="9.140625" bestFit="1" customWidth="1"/>
    <col min="56" max="56" width="10.7109375" bestFit="1" customWidth="1"/>
    <col min="57" max="57" width="9.28515625" bestFit="1" customWidth="1"/>
    <col min="58" max="59" width="9.140625" bestFit="1" customWidth="1"/>
    <col min="60" max="60" width="12.28515625" bestFit="1" customWidth="1"/>
    <col min="61" max="61" width="15.85546875" bestFit="1" customWidth="1"/>
    <col min="62" max="62" width="9.140625" bestFit="1" customWidth="1"/>
    <col min="63" max="63" width="19" bestFit="1" customWidth="1"/>
    <col min="64" max="64" width="10.140625" bestFit="1" customWidth="1"/>
    <col min="65" max="65" width="13.28515625" bestFit="1" customWidth="1"/>
    <col min="66" max="66" width="16" bestFit="1" customWidth="1"/>
    <col min="67" max="67" width="19.140625" bestFit="1" customWidth="1"/>
    <col min="68" max="68" width="10.7109375" bestFit="1" customWidth="1"/>
    <col min="69" max="69" width="22.140625" bestFit="1" customWidth="1"/>
    <col min="70" max="70" width="30.85546875" bestFit="1" customWidth="1"/>
    <col min="71" max="71" width="11.28515625" bestFit="1" customWidth="1"/>
    <col min="72" max="72" width="10.28515625" bestFit="1" customWidth="1"/>
    <col min="73" max="73" width="11.140625" bestFit="1" customWidth="1"/>
    <col min="74" max="74" width="13.28515625" bestFit="1" customWidth="1"/>
    <col min="75" max="75" width="10.85546875" bestFit="1" customWidth="1"/>
    <col min="76" max="76" width="9.5703125" bestFit="1" customWidth="1"/>
    <col min="77" max="77" width="11.28515625" bestFit="1" customWidth="1"/>
    <col min="78" max="78" width="10.28515625" bestFit="1" customWidth="1"/>
    <col min="79" max="79" width="11.140625" bestFit="1" customWidth="1"/>
    <col min="80" max="80" width="13.28515625" bestFit="1" customWidth="1"/>
    <col min="81" max="81" width="11.85546875" bestFit="1" customWidth="1"/>
    <col min="82" max="82" width="11.28515625" bestFit="1" customWidth="1"/>
    <col min="83" max="83" width="10.28515625" bestFit="1" customWidth="1"/>
    <col min="84" max="84" width="11.140625" bestFit="1" customWidth="1"/>
    <col min="85" max="85" width="13.28515625" bestFit="1" customWidth="1"/>
    <col min="86" max="86" width="14.140625" bestFit="1" customWidth="1"/>
    <col min="87" max="87" width="11.28515625" bestFit="1" customWidth="1"/>
    <col min="88" max="88" width="10.28515625" bestFit="1" customWidth="1"/>
    <col min="89" max="89" width="11.140625" bestFit="1" customWidth="1"/>
    <col min="90" max="90" width="13.28515625" bestFit="1" customWidth="1"/>
    <col min="91" max="91" width="8.28515625" bestFit="1" customWidth="1"/>
    <col min="92" max="92" width="12.28515625" bestFit="1" customWidth="1"/>
    <col min="93" max="93" width="15.85546875" bestFit="1" customWidth="1"/>
    <col min="94" max="94" width="10.28515625" bestFit="1" customWidth="1"/>
    <col min="95" max="95" width="11.140625" bestFit="1" customWidth="1"/>
    <col min="96" max="96" width="13.28515625" bestFit="1" customWidth="1"/>
    <col min="97" max="97" width="12.5703125" bestFit="1" customWidth="1"/>
    <col min="98" max="98" width="11.28515625" bestFit="1" customWidth="1"/>
    <col min="99" max="99" width="10.28515625" bestFit="1" customWidth="1"/>
    <col min="100" max="100" width="11.140625" bestFit="1" customWidth="1"/>
    <col min="101" max="101" width="13.28515625" bestFit="1" customWidth="1"/>
    <col min="102" max="102" width="9.42578125" bestFit="1" customWidth="1"/>
    <col min="103" max="103" width="19" bestFit="1" customWidth="1"/>
    <col min="104" max="104" width="11.28515625" bestFit="1" customWidth="1"/>
    <col min="105" max="105" width="10.28515625" bestFit="1" customWidth="1"/>
    <col min="106" max="106" width="11.140625" bestFit="1" customWidth="1"/>
    <col min="107" max="107" width="13.28515625" bestFit="1" customWidth="1"/>
    <col min="108" max="108" width="13.85546875" bestFit="1" customWidth="1"/>
    <col min="109" max="109" width="13.28515625" bestFit="1" customWidth="1"/>
    <col min="110" max="110" width="16" bestFit="1" customWidth="1"/>
    <col min="111" max="111" width="10.28515625" bestFit="1" customWidth="1"/>
    <col min="112" max="112" width="11.140625" bestFit="1" customWidth="1"/>
    <col min="113" max="113" width="13.28515625" bestFit="1" customWidth="1"/>
    <col min="114" max="114" width="10.7109375" bestFit="1" customWidth="1"/>
    <col min="115" max="115" width="19.140625" bestFit="1" customWidth="1"/>
    <col min="116" max="116" width="9.85546875" bestFit="1" customWidth="1"/>
    <col min="117" max="117" width="25.85546875" bestFit="1" customWidth="1"/>
    <col min="118" max="118" width="10.28515625" bestFit="1" customWidth="1"/>
    <col min="119" max="119" width="11.140625" bestFit="1" customWidth="1"/>
    <col min="120" max="120" width="13.28515625" bestFit="1" customWidth="1"/>
    <col min="121" max="121" width="11.140625" bestFit="1" customWidth="1"/>
    <col min="122" max="122" width="11.28515625" bestFit="1" customWidth="1"/>
    <col min="123" max="123" width="10.28515625" bestFit="1" customWidth="1"/>
    <col min="124" max="124" width="11.140625" bestFit="1" customWidth="1"/>
    <col min="125" max="125" width="13.28515625" bestFit="1" customWidth="1"/>
    <col min="126" max="126" width="10.28515625" bestFit="1" customWidth="1"/>
    <col min="127" max="127" width="11.28515625" bestFit="1" customWidth="1"/>
    <col min="128" max="128" width="10.28515625" bestFit="1" customWidth="1"/>
    <col min="129" max="129" width="11.140625" bestFit="1" customWidth="1"/>
    <col min="130" max="130" width="13.28515625" bestFit="1" customWidth="1"/>
    <col min="131" max="131" width="10.85546875" bestFit="1" customWidth="1"/>
    <col min="132" max="132" width="10.7109375" bestFit="1" customWidth="1"/>
    <col min="133" max="133" width="11.28515625" bestFit="1" customWidth="1"/>
    <col min="134" max="134" width="10.28515625" bestFit="1" customWidth="1"/>
    <col min="135" max="135" width="11.140625" bestFit="1" customWidth="1"/>
    <col min="136" max="136" width="13.28515625" bestFit="1" customWidth="1"/>
    <col min="137" max="137" width="11.85546875" bestFit="1" customWidth="1"/>
    <col min="138" max="138" width="11.28515625" bestFit="1" customWidth="1"/>
    <col min="139" max="139" width="10.28515625" bestFit="1" customWidth="1"/>
    <col min="140" max="140" width="11.140625" bestFit="1" customWidth="1"/>
    <col min="141" max="141" width="13.28515625" bestFit="1" customWidth="1"/>
    <col min="142" max="142" width="14.140625" bestFit="1" customWidth="1"/>
    <col min="143" max="143" width="11.28515625" bestFit="1" customWidth="1"/>
    <col min="144" max="144" width="10.28515625" bestFit="1" customWidth="1"/>
    <col min="145" max="145" width="11.140625" bestFit="1" customWidth="1"/>
    <col min="146" max="146" width="13.28515625" bestFit="1" customWidth="1"/>
    <col min="148" max="148" width="12.28515625" bestFit="1" customWidth="1"/>
    <col min="149" max="149" width="15.85546875" bestFit="1" customWidth="1"/>
    <col min="150" max="150" width="10.28515625" bestFit="1" customWidth="1"/>
    <col min="151" max="151" width="11.140625" bestFit="1" customWidth="1"/>
    <col min="152" max="152" width="13.28515625" bestFit="1" customWidth="1"/>
    <col min="153" max="153" width="12.5703125" bestFit="1" customWidth="1"/>
    <col min="154" max="154" width="11.28515625" bestFit="1" customWidth="1"/>
    <col min="155" max="155" width="10.28515625" bestFit="1" customWidth="1"/>
    <col min="156" max="156" width="11.140625" bestFit="1" customWidth="1"/>
    <col min="157" max="157" width="13.28515625" bestFit="1" customWidth="1"/>
    <col min="158" max="158" width="9.42578125" bestFit="1" customWidth="1"/>
    <col min="159" max="159" width="19" bestFit="1" customWidth="1"/>
    <col min="160" max="160" width="11.28515625" bestFit="1" customWidth="1"/>
    <col min="161" max="161" width="10.28515625" bestFit="1" customWidth="1"/>
    <col min="162" max="162" width="11.140625" bestFit="1" customWidth="1"/>
    <col min="163" max="163" width="13.28515625" bestFit="1" customWidth="1"/>
    <col min="164" max="164" width="13.85546875" bestFit="1" customWidth="1"/>
    <col min="165" max="165" width="13.28515625" bestFit="1" customWidth="1"/>
    <col min="166" max="166" width="16" bestFit="1" customWidth="1"/>
    <col min="167" max="167" width="10.28515625" bestFit="1" customWidth="1"/>
    <col min="168" max="168" width="11.140625" bestFit="1" customWidth="1"/>
    <col min="169" max="169" width="13.28515625" bestFit="1" customWidth="1"/>
    <col min="170" max="170" width="10.7109375" bestFit="1" customWidth="1"/>
    <col min="171" max="171" width="19.140625" bestFit="1" customWidth="1"/>
    <col min="172" max="172" width="10.7109375" bestFit="1" customWidth="1"/>
    <col min="173" max="173" width="11.28515625" bestFit="1" customWidth="1"/>
    <col min="174" max="174" width="10.28515625" bestFit="1" customWidth="1"/>
    <col min="175" max="175" width="11.140625" bestFit="1" customWidth="1"/>
    <col min="176" max="176" width="13.28515625" bestFit="1" customWidth="1"/>
    <col min="177" max="177" width="11.140625" bestFit="1" customWidth="1"/>
    <col min="178" max="178" width="11.28515625" bestFit="1" customWidth="1"/>
    <col min="179" max="179" width="10.28515625" bestFit="1" customWidth="1"/>
    <col min="180" max="180" width="11.140625" bestFit="1" customWidth="1"/>
    <col min="181" max="181" width="13.28515625" bestFit="1" customWidth="1"/>
    <col min="182" max="182" width="10.28515625" bestFit="1" customWidth="1"/>
    <col min="183" max="183" width="11.28515625" bestFit="1" customWidth="1"/>
    <col min="184" max="184" width="10.28515625" bestFit="1" customWidth="1"/>
    <col min="185" max="185" width="11.140625" bestFit="1" customWidth="1"/>
    <col min="186" max="186" width="13.28515625" bestFit="1" customWidth="1"/>
    <col min="187" max="187" width="10.85546875" bestFit="1" customWidth="1"/>
    <col min="188" max="188" width="10.7109375" bestFit="1" customWidth="1"/>
    <col min="189" max="189" width="11.28515625" bestFit="1" customWidth="1"/>
    <col min="190" max="190" width="10.28515625" bestFit="1" customWidth="1"/>
    <col min="191" max="191" width="11.140625" bestFit="1" customWidth="1"/>
    <col min="192" max="192" width="13.28515625" bestFit="1" customWidth="1"/>
    <col min="193" max="193" width="11.85546875" bestFit="1" customWidth="1"/>
    <col min="194" max="194" width="11.28515625" bestFit="1" customWidth="1"/>
    <col min="195" max="195" width="10.28515625" bestFit="1" customWidth="1"/>
    <col min="196" max="196" width="11.140625" bestFit="1" customWidth="1"/>
    <col min="197" max="197" width="13.28515625" bestFit="1" customWidth="1"/>
    <col min="198" max="198" width="14.140625" bestFit="1" customWidth="1"/>
    <col min="199" max="199" width="11.28515625" bestFit="1" customWidth="1"/>
    <col min="200" max="200" width="10.28515625" bestFit="1" customWidth="1"/>
    <col min="201" max="201" width="11.140625" bestFit="1" customWidth="1"/>
    <col min="202" max="202" width="13.28515625" bestFit="1" customWidth="1"/>
    <col min="204" max="204" width="12.28515625" bestFit="1" customWidth="1"/>
    <col min="205" max="205" width="15.85546875" bestFit="1" customWidth="1"/>
    <col min="206" max="206" width="10.28515625" bestFit="1" customWidth="1"/>
    <col min="207" max="207" width="11.140625" bestFit="1" customWidth="1"/>
    <col min="208" max="208" width="13.28515625" bestFit="1" customWidth="1"/>
    <col min="209" max="209" width="12.5703125" bestFit="1" customWidth="1"/>
    <col min="210" max="210" width="11.28515625" bestFit="1" customWidth="1"/>
    <col min="211" max="211" width="10.28515625" bestFit="1" customWidth="1"/>
    <col min="212" max="212" width="11.140625" bestFit="1" customWidth="1"/>
    <col min="213" max="213" width="13.28515625" bestFit="1" customWidth="1"/>
    <col min="214" max="214" width="9.42578125" bestFit="1" customWidth="1"/>
    <col min="215" max="215" width="19" bestFit="1" customWidth="1"/>
    <col min="216" max="216" width="11.28515625" bestFit="1" customWidth="1"/>
    <col min="217" max="217" width="10.28515625" bestFit="1" customWidth="1"/>
    <col min="218" max="218" width="11.140625" bestFit="1" customWidth="1"/>
    <col min="219" max="219" width="13.28515625" bestFit="1" customWidth="1"/>
    <col min="220" max="220" width="13.85546875" bestFit="1" customWidth="1"/>
    <col min="221" max="221" width="13.28515625" bestFit="1" customWidth="1"/>
    <col min="222" max="222" width="16" bestFit="1" customWidth="1"/>
    <col min="223" max="223" width="10.28515625" bestFit="1" customWidth="1"/>
    <col min="224" max="224" width="11.140625" bestFit="1" customWidth="1"/>
    <col min="225" max="225" width="13.28515625" bestFit="1" customWidth="1"/>
    <col min="226" max="226" width="10.7109375" bestFit="1" customWidth="1"/>
    <col min="227" max="227" width="19.140625" bestFit="1" customWidth="1"/>
    <col min="228" max="228" width="10.7109375" bestFit="1" customWidth="1"/>
    <col min="229" max="229" width="22.140625" bestFit="1" customWidth="1"/>
    <col min="230" max="230" width="30.85546875" bestFit="1" customWidth="1"/>
  </cols>
  <sheetData>
    <row r="9" spans="4:6" x14ac:dyDescent="0.25">
      <c r="D9" s="27" t="s">
        <v>2071</v>
      </c>
      <c r="E9" s="27" t="s">
        <v>2083</v>
      </c>
    </row>
    <row r="10" spans="4:6" x14ac:dyDescent="0.25">
      <c r="D10" s="27" t="s">
        <v>2084</v>
      </c>
      <c r="E10" s="55">
        <v>2023</v>
      </c>
      <c r="F10" s="55" t="s">
        <v>2069</v>
      </c>
    </row>
    <row r="11" spans="4:6" x14ac:dyDescent="0.25">
      <c r="D11" s="57" t="s">
        <v>19</v>
      </c>
      <c r="E11" s="28">
        <v>291468.57999999996</v>
      </c>
      <c r="F11" s="28">
        <v>291468.57999999996</v>
      </c>
    </row>
    <row r="12" spans="4:6" x14ac:dyDescent="0.25">
      <c r="D12" s="57" t="s">
        <v>2069</v>
      </c>
      <c r="E12" s="28">
        <v>291468.57999999996</v>
      </c>
      <c r="F12" s="28">
        <v>291468.57999999996</v>
      </c>
    </row>
    <row r="31" spans="1:3" x14ac:dyDescent="0.25">
      <c r="A31" s="78" t="s">
        <v>2085</v>
      </c>
      <c r="B31" s="78"/>
      <c r="C31" s="78"/>
    </row>
    <row r="32" spans="1:3" x14ac:dyDescent="0.25">
      <c r="A32" s="78"/>
      <c r="B32" s="78"/>
      <c r="C32" s="78"/>
    </row>
    <row r="33" spans="1:3" x14ac:dyDescent="0.25">
      <c r="A33" s="78"/>
      <c r="B33" s="78"/>
      <c r="C33" s="78"/>
    </row>
    <row r="34" spans="1:3" x14ac:dyDescent="0.25">
      <c r="A34" s="78"/>
      <c r="B34" s="78"/>
      <c r="C34" s="78"/>
    </row>
    <row r="35" spans="1:3" x14ac:dyDescent="0.25">
      <c r="A35" s="79"/>
      <c r="B35" s="79"/>
      <c r="C35" s="79"/>
    </row>
    <row r="36" spans="1:3" x14ac:dyDescent="0.25">
      <c r="A36" s="79"/>
      <c r="B36" s="79"/>
      <c r="C36" s="79"/>
    </row>
    <row r="37" spans="1:3" x14ac:dyDescent="0.25">
      <c r="A37" s="79"/>
      <c r="B37" s="79"/>
      <c r="C37" s="79"/>
    </row>
    <row r="38" spans="1:3" x14ac:dyDescent="0.25">
      <c r="A38" s="79"/>
      <c r="B38" s="79"/>
      <c r="C38" s="79"/>
    </row>
  </sheetData>
  <mergeCells count="1">
    <mergeCell ref="A31:C38"/>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0FDE6-1460-483F-B15C-044A9272067F}">
  <dimension ref="A2:B6"/>
  <sheetViews>
    <sheetView showGridLines="0" workbookViewId="0">
      <selection activeCell="C28" sqref="C28"/>
    </sheetView>
  </sheetViews>
  <sheetFormatPr defaultRowHeight="15" x14ac:dyDescent="0.25"/>
  <cols>
    <col min="1" max="1" width="11.7109375" bestFit="1" customWidth="1"/>
    <col min="2" max="2" width="24.7109375" bestFit="1" customWidth="1"/>
  </cols>
  <sheetData>
    <row r="2" spans="1:2" x14ac:dyDescent="0.25">
      <c r="A2" s="27" t="s">
        <v>2</v>
      </c>
      <c r="B2" t="s">
        <v>2071</v>
      </c>
    </row>
    <row r="3" spans="1:2" x14ac:dyDescent="0.25">
      <c r="A3" t="s">
        <v>39</v>
      </c>
      <c r="B3" s="28">
        <v>25219613.549999975</v>
      </c>
    </row>
    <row r="4" spans="1:2" x14ac:dyDescent="0.25">
      <c r="A4" t="s">
        <v>19</v>
      </c>
      <c r="B4" s="28">
        <v>26135106.440000001</v>
      </c>
    </row>
    <row r="5" spans="1:2" x14ac:dyDescent="0.25">
      <c r="A5" t="s">
        <v>33</v>
      </c>
      <c r="B5" s="28">
        <v>27724658.419999991</v>
      </c>
    </row>
    <row r="6" spans="1:2" x14ac:dyDescent="0.25">
      <c r="A6" t="s">
        <v>2069</v>
      </c>
      <c r="B6" s="28">
        <v>79079378.409999967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84271-254E-4AA2-B452-A21E7D13B8AD}">
  <dimension ref="A2:G44"/>
  <sheetViews>
    <sheetView workbookViewId="0">
      <selection activeCell="B4" sqref="B4"/>
    </sheetView>
  </sheetViews>
  <sheetFormatPr defaultRowHeight="15" x14ac:dyDescent="0.25"/>
  <cols>
    <col min="1" max="1" width="11.28515625" bestFit="1" customWidth="1"/>
    <col min="2" max="2" width="11.7109375" bestFit="1" customWidth="1"/>
    <col min="3" max="3" width="14.140625" bestFit="1" customWidth="1"/>
    <col min="4" max="4" width="10.7109375" bestFit="1" customWidth="1"/>
    <col min="5" max="5" width="10.85546875" bestFit="1" customWidth="1"/>
    <col min="6" max="6" width="13" bestFit="1" customWidth="1"/>
    <col min="7" max="7" width="11.140625" bestFit="1" customWidth="1"/>
  </cols>
  <sheetData>
    <row r="2" spans="1:7" x14ac:dyDescent="0.25">
      <c r="A2" s="27" t="s">
        <v>2071</v>
      </c>
      <c r="C2" s="27" t="s">
        <v>5</v>
      </c>
    </row>
    <row r="3" spans="1:7" x14ac:dyDescent="0.25">
      <c r="A3" s="27" t="s">
        <v>1</v>
      </c>
      <c r="B3" s="27" t="s">
        <v>2</v>
      </c>
      <c r="C3" t="s">
        <v>29</v>
      </c>
      <c r="D3" t="s">
        <v>48</v>
      </c>
      <c r="E3" t="s">
        <v>22</v>
      </c>
      <c r="F3" t="s">
        <v>40</v>
      </c>
      <c r="G3" t="s">
        <v>2069</v>
      </c>
    </row>
    <row r="4" spans="1:7" x14ac:dyDescent="0.25">
      <c r="A4" t="s">
        <v>62</v>
      </c>
      <c r="B4" t="s">
        <v>39</v>
      </c>
      <c r="C4" s="28">
        <v>697489.56000000029</v>
      </c>
      <c r="D4" s="28">
        <v>359338.06</v>
      </c>
      <c r="E4" s="28">
        <v>723534.32</v>
      </c>
      <c r="F4" s="28">
        <v>397416.88000000006</v>
      </c>
      <c r="G4" s="28">
        <v>2177778.8200000003</v>
      </c>
    </row>
    <row r="5" spans="1:7" x14ac:dyDescent="0.25">
      <c r="B5" t="s">
        <v>19</v>
      </c>
      <c r="C5" s="28">
        <v>694349.7799999998</v>
      </c>
      <c r="D5" s="28">
        <v>530148.41000000015</v>
      </c>
      <c r="E5" s="28">
        <v>413131.39999999997</v>
      </c>
      <c r="F5" s="28">
        <v>654718.93999999994</v>
      </c>
      <c r="G5" s="28">
        <v>2292348.5299999998</v>
      </c>
    </row>
    <row r="6" spans="1:7" x14ac:dyDescent="0.25">
      <c r="B6" t="s">
        <v>33</v>
      </c>
      <c r="C6" s="28">
        <v>563044.66</v>
      </c>
      <c r="D6" s="28">
        <v>674103.36000000022</v>
      </c>
      <c r="E6" s="28">
        <v>429257.54</v>
      </c>
      <c r="F6" s="28">
        <v>897881.09</v>
      </c>
      <c r="G6" s="28">
        <v>2564286.6500000004</v>
      </c>
    </row>
    <row r="7" spans="1:7" x14ac:dyDescent="0.25">
      <c r="A7" t="s">
        <v>2086</v>
      </c>
      <c r="C7" s="28">
        <v>1954884</v>
      </c>
      <c r="D7" s="28">
        <v>1563589.8300000005</v>
      </c>
      <c r="E7" s="28">
        <v>1565923.26</v>
      </c>
      <c r="F7" s="28">
        <v>1950016.9100000001</v>
      </c>
      <c r="G7" s="28">
        <v>7034414</v>
      </c>
    </row>
    <row r="8" spans="1:7" x14ac:dyDescent="0.25">
      <c r="A8" t="s">
        <v>46</v>
      </c>
      <c r="B8" t="s">
        <v>39</v>
      </c>
      <c r="C8" s="28">
        <v>758487.23</v>
      </c>
      <c r="D8" s="28">
        <v>602285.35000000009</v>
      </c>
      <c r="E8" s="28">
        <v>550166.87999999989</v>
      </c>
      <c r="F8" s="28">
        <v>584029.62999999989</v>
      </c>
      <c r="G8" s="28">
        <v>2494969.09</v>
      </c>
    </row>
    <row r="9" spans="1:7" x14ac:dyDescent="0.25">
      <c r="B9" t="s">
        <v>19</v>
      </c>
      <c r="C9" s="28">
        <v>1184365.1400000001</v>
      </c>
      <c r="D9" s="28">
        <v>719240.9</v>
      </c>
      <c r="E9" s="28">
        <v>715479.20000000007</v>
      </c>
      <c r="F9" s="28">
        <v>532306.28999999992</v>
      </c>
      <c r="G9" s="28">
        <v>3151391.5300000003</v>
      </c>
    </row>
    <row r="10" spans="1:7" x14ac:dyDescent="0.25">
      <c r="B10" t="s">
        <v>33</v>
      </c>
      <c r="C10" s="28">
        <v>687796.37</v>
      </c>
      <c r="D10" s="28">
        <v>655890.93999999983</v>
      </c>
      <c r="E10" s="28">
        <v>744250.95999999985</v>
      </c>
      <c r="F10" s="28">
        <v>522871.88</v>
      </c>
      <c r="G10" s="28">
        <v>2610810.1499999994</v>
      </c>
    </row>
    <row r="11" spans="1:7" x14ac:dyDescent="0.25">
      <c r="A11" t="s">
        <v>2087</v>
      </c>
      <c r="C11" s="28">
        <v>2630648.7400000002</v>
      </c>
      <c r="D11" s="28">
        <v>1977417.19</v>
      </c>
      <c r="E11" s="28">
        <v>2009897.04</v>
      </c>
      <c r="F11" s="28">
        <v>1639207.7999999998</v>
      </c>
      <c r="G11" s="28">
        <v>8257170.7699999996</v>
      </c>
    </row>
    <row r="12" spans="1:7" x14ac:dyDescent="0.25">
      <c r="A12" t="s">
        <v>66</v>
      </c>
      <c r="B12" t="s">
        <v>39</v>
      </c>
      <c r="C12" s="28">
        <v>740576.59999999986</v>
      </c>
      <c r="D12" s="28">
        <v>797907.65999999992</v>
      </c>
      <c r="E12" s="28">
        <v>625486.48000000021</v>
      </c>
      <c r="F12" s="28">
        <v>804183.1100000001</v>
      </c>
      <c r="G12" s="28">
        <v>2968153.8500000006</v>
      </c>
    </row>
    <row r="13" spans="1:7" x14ac:dyDescent="0.25">
      <c r="B13" t="s">
        <v>19</v>
      </c>
      <c r="C13" s="28">
        <v>404634.40000000008</v>
      </c>
      <c r="D13" s="28">
        <v>798362.76000000013</v>
      </c>
      <c r="E13" s="28">
        <v>415560.73999999993</v>
      </c>
      <c r="F13" s="28">
        <v>638122.21000000008</v>
      </c>
      <c r="G13" s="28">
        <v>2256680.1100000003</v>
      </c>
    </row>
    <row r="14" spans="1:7" x14ac:dyDescent="0.25">
      <c r="B14" t="s">
        <v>33</v>
      </c>
      <c r="C14" s="28">
        <v>323012.59000000003</v>
      </c>
      <c r="D14" s="28">
        <v>972396.61</v>
      </c>
      <c r="E14" s="28">
        <v>747524.48999999987</v>
      </c>
      <c r="F14" s="28">
        <v>617227.54</v>
      </c>
      <c r="G14" s="28">
        <v>2660161.23</v>
      </c>
    </row>
    <row r="15" spans="1:7" x14ac:dyDescent="0.25">
      <c r="A15" t="s">
        <v>2088</v>
      </c>
      <c r="C15" s="28">
        <v>1468223.59</v>
      </c>
      <c r="D15" s="28">
        <v>2568667.0299999998</v>
      </c>
      <c r="E15" s="28">
        <v>1788571.71</v>
      </c>
      <c r="F15" s="28">
        <v>2059532.8600000003</v>
      </c>
      <c r="G15" s="28">
        <v>7884995.1900000013</v>
      </c>
    </row>
    <row r="16" spans="1:7" x14ac:dyDescent="0.25">
      <c r="A16" t="s">
        <v>32</v>
      </c>
      <c r="B16" t="s">
        <v>39</v>
      </c>
      <c r="C16" s="28">
        <v>582008.82999999996</v>
      </c>
      <c r="D16" s="28">
        <v>685084.73</v>
      </c>
      <c r="E16" s="28">
        <v>521269.27000000014</v>
      </c>
      <c r="F16" s="28">
        <v>581971.08000000007</v>
      </c>
      <c r="G16" s="28">
        <v>2370333.91</v>
      </c>
    </row>
    <row r="17" spans="1:7" x14ac:dyDescent="0.25">
      <c r="B17" t="s">
        <v>19</v>
      </c>
      <c r="C17" s="28">
        <v>680493.98999999987</v>
      </c>
      <c r="D17" s="28">
        <v>642217.06999999995</v>
      </c>
      <c r="E17" s="28">
        <v>768881.78999999992</v>
      </c>
      <c r="F17" s="28">
        <v>1492194.43</v>
      </c>
      <c r="G17" s="28">
        <v>3583787.2799999993</v>
      </c>
    </row>
    <row r="18" spans="1:7" x14ac:dyDescent="0.25">
      <c r="B18" t="s">
        <v>33</v>
      </c>
      <c r="C18" s="28">
        <v>402404.07</v>
      </c>
      <c r="D18" s="28">
        <v>421162.48999999993</v>
      </c>
      <c r="E18" s="28">
        <v>769061.07</v>
      </c>
      <c r="F18" s="28">
        <v>544673.45000000007</v>
      </c>
      <c r="G18" s="28">
        <v>2137301.08</v>
      </c>
    </row>
    <row r="19" spans="1:7" x14ac:dyDescent="0.25">
      <c r="A19" t="s">
        <v>2089</v>
      </c>
      <c r="C19" s="28">
        <v>1664906.89</v>
      </c>
      <c r="D19" s="28">
        <v>1748464.2899999998</v>
      </c>
      <c r="E19" s="28">
        <v>2059212.13</v>
      </c>
      <c r="F19" s="28">
        <v>2618838.96</v>
      </c>
      <c r="G19" s="28">
        <v>8091422.2699999996</v>
      </c>
    </row>
    <row r="20" spans="1:7" x14ac:dyDescent="0.25">
      <c r="A20" t="s">
        <v>38</v>
      </c>
      <c r="B20" t="s">
        <v>39</v>
      </c>
      <c r="C20" s="28">
        <v>714248.6</v>
      </c>
      <c r="D20" s="28">
        <v>618503.89</v>
      </c>
      <c r="E20" s="28">
        <v>648766.53000000014</v>
      </c>
      <c r="F20" s="28">
        <v>744128.14</v>
      </c>
      <c r="G20" s="28">
        <v>2725647.16</v>
      </c>
    </row>
    <row r="21" spans="1:7" x14ac:dyDescent="0.25">
      <c r="B21" t="s">
        <v>19</v>
      </c>
      <c r="C21" s="28">
        <v>654031.82000000007</v>
      </c>
      <c r="D21" s="28">
        <v>1102916.5699999998</v>
      </c>
      <c r="E21" s="28">
        <v>451163.27000000008</v>
      </c>
      <c r="F21" s="28">
        <v>665140.26</v>
      </c>
      <c r="G21" s="28">
        <v>2873251.92</v>
      </c>
    </row>
    <row r="22" spans="1:7" x14ac:dyDescent="0.25">
      <c r="B22" t="s">
        <v>33</v>
      </c>
      <c r="C22" s="28">
        <v>585175.29</v>
      </c>
      <c r="D22" s="28">
        <v>1453634.11</v>
      </c>
      <c r="E22" s="28">
        <v>616252.34000000008</v>
      </c>
      <c r="F22" s="28">
        <v>618139.75999999989</v>
      </c>
      <c r="G22" s="28">
        <v>3273201.5</v>
      </c>
    </row>
    <row r="23" spans="1:7" x14ac:dyDescent="0.25">
      <c r="A23" t="s">
        <v>2090</v>
      </c>
      <c r="C23" s="28">
        <v>1953455.71</v>
      </c>
      <c r="D23" s="28">
        <v>3175054.5700000003</v>
      </c>
      <c r="E23" s="28">
        <v>1716182.1400000004</v>
      </c>
      <c r="F23" s="28">
        <v>2027408.1599999997</v>
      </c>
      <c r="G23" s="28">
        <v>8872100.5800000001</v>
      </c>
    </row>
    <row r="24" spans="1:7" x14ac:dyDescent="0.25">
      <c r="A24" t="s">
        <v>27</v>
      </c>
      <c r="B24" t="s">
        <v>39</v>
      </c>
      <c r="C24" s="28">
        <v>319115.56</v>
      </c>
      <c r="D24" s="28">
        <v>405969.90000000008</v>
      </c>
      <c r="E24" s="28">
        <v>511661.31</v>
      </c>
      <c r="F24" s="28">
        <v>731224.96</v>
      </c>
      <c r="G24" s="28">
        <v>1967971.73</v>
      </c>
    </row>
    <row r="25" spans="1:7" x14ac:dyDescent="0.25">
      <c r="B25" t="s">
        <v>19</v>
      </c>
      <c r="C25" s="28">
        <v>411621.32999999996</v>
      </c>
      <c r="D25" s="28">
        <v>666527.43000000005</v>
      </c>
      <c r="E25" s="28">
        <v>359884.93000000011</v>
      </c>
      <c r="F25" s="28">
        <v>544207.75000000012</v>
      </c>
      <c r="G25" s="28">
        <v>1982241.4400000004</v>
      </c>
    </row>
    <row r="26" spans="1:7" x14ac:dyDescent="0.25">
      <c r="B26" t="s">
        <v>33</v>
      </c>
      <c r="C26" s="28">
        <v>559413.69000000006</v>
      </c>
      <c r="D26" s="28">
        <v>706146.6</v>
      </c>
      <c r="E26" s="28">
        <v>648603.43999999983</v>
      </c>
      <c r="F26" s="28">
        <v>508234.52999999991</v>
      </c>
      <c r="G26" s="28">
        <v>2422398.2599999998</v>
      </c>
    </row>
    <row r="27" spans="1:7" x14ac:dyDescent="0.25">
      <c r="A27" t="s">
        <v>2091</v>
      </c>
      <c r="C27" s="28">
        <v>1290150.58</v>
      </c>
      <c r="D27" s="28">
        <v>1778643.9300000002</v>
      </c>
      <c r="E27" s="28">
        <v>1520149.68</v>
      </c>
      <c r="F27" s="28">
        <v>1783667.2399999998</v>
      </c>
      <c r="G27" s="28">
        <v>6372611.4299999997</v>
      </c>
    </row>
    <row r="28" spans="1:7" x14ac:dyDescent="0.25">
      <c r="A28" t="s">
        <v>18</v>
      </c>
      <c r="B28" t="s">
        <v>39</v>
      </c>
      <c r="C28" s="28">
        <v>554522.68000000005</v>
      </c>
      <c r="D28" s="28">
        <v>355435.98000000004</v>
      </c>
      <c r="E28" s="28">
        <v>588906.64</v>
      </c>
      <c r="F28" s="28">
        <v>1013815.69</v>
      </c>
      <c r="G28" s="28">
        <v>2512680.9900000002</v>
      </c>
    </row>
    <row r="29" spans="1:7" x14ac:dyDescent="0.25">
      <c r="B29" t="s">
        <v>19</v>
      </c>
      <c r="C29" s="28">
        <v>526543.31999999995</v>
      </c>
      <c r="D29" s="28">
        <v>189599.68000000002</v>
      </c>
      <c r="E29" s="28">
        <v>669264.68000000005</v>
      </c>
      <c r="F29" s="28">
        <v>525058.54</v>
      </c>
      <c r="G29" s="28">
        <v>1910466.2200000002</v>
      </c>
    </row>
    <row r="30" spans="1:7" x14ac:dyDescent="0.25">
      <c r="B30" t="s">
        <v>33</v>
      </c>
      <c r="C30" s="28">
        <v>615894.25999999989</v>
      </c>
      <c r="D30" s="28">
        <v>1023480.6200000001</v>
      </c>
      <c r="E30" s="28">
        <v>812212.07000000018</v>
      </c>
      <c r="F30" s="28">
        <v>972526.64</v>
      </c>
      <c r="G30" s="28">
        <v>3424113.5900000003</v>
      </c>
    </row>
    <row r="31" spans="1:7" x14ac:dyDescent="0.25">
      <c r="A31" t="s">
        <v>2092</v>
      </c>
      <c r="C31" s="28">
        <v>1696960.2599999998</v>
      </c>
      <c r="D31" s="28">
        <v>1568516.2800000003</v>
      </c>
      <c r="E31" s="28">
        <v>2070383.3900000001</v>
      </c>
      <c r="F31" s="28">
        <v>2511400.87</v>
      </c>
      <c r="G31" s="28">
        <v>7847260.8000000007</v>
      </c>
    </row>
    <row r="32" spans="1:7" x14ac:dyDescent="0.25">
      <c r="A32" t="s">
        <v>76</v>
      </c>
      <c r="B32" t="s">
        <v>39</v>
      </c>
      <c r="C32" s="28">
        <v>299362.83000000007</v>
      </c>
      <c r="D32" s="28">
        <v>438897.06</v>
      </c>
      <c r="E32" s="28">
        <v>916658.5</v>
      </c>
      <c r="F32" s="28">
        <v>797406.94</v>
      </c>
      <c r="G32" s="28">
        <v>2452325.33</v>
      </c>
    </row>
    <row r="33" spans="1:7" x14ac:dyDescent="0.25">
      <c r="B33" t="s">
        <v>19</v>
      </c>
      <c r="C33" s="28">
        <v>769610.61</v>
      </c>
      <c r="D33" s="28">
        <v>439065.33</v>
      </c>
      <c r="E33" s="28">
        <v>623239.31000000029</v>
      </c>
      <c r="F33" s="28">
        <v>761829.71999999986</v>
      </c>
      <c r="G33" s="28">
        <v>2593744.9700000002</v>
      </c>
    </row>
    <row r="34" spans="1:7" x14ac:dyDescent="0.25">
      <c r="B34" t="s">
        <v>33</v>
      </c>
      <c r="C34" s="28">
        <v>715449.1100000001</v>
      </c>
      <c r="D34" s="28">
        <v>937581.39</v>
      </c>
      <c r="E34" s="28">
        <v>962475.55999999982</v>
      </c>
      <c r="F34" s="28">
        <v>795174.27</v>
      </c>
      <c r="G34" s="28">
        <v>3410680.3299999996</v>
      </c>
    </row>
    <row r="35" spans="1:7" x14ac:dyDescent="0.25">
      <c r="A35" t="s">
        <v>2093</v>
      </c>
      <c r="C35" s="28">
        <v>1784422.55</v>
      </c>
      <c r="D35" s="28">
        <v>1815543.78</v>
      </c>
      <c r="E35" s="28">
        <v>2502373.37</v>
      </c>
      <c r="F35" s="28">
        <v>2354410.9299999997</v>
      </c>
      <c r="G35" s="28">
        <v>8456750.6300000008</v>
      </c>
    </row>
    <row r="36" spans="1:7" x14ac:dyDescent="0.25">
      <c r="A36" t="s">
        <v>51</v>
      </c>
      <c r="B36" t="s">
        <v>39</v>
      </c>
      <c r="C36" s="28">
        <v>780382.93</v>
      </c>
      <c r="D36" s="28">
        <v>702122.62</v>
      </c>
      <c r="E36" s="28">
        <v>578714.76999999979</v>
      </c>
      <c r="F36" s="28">
        <v>547867.40000000014</v>
      </c>
      <c r="G36" s="28">
        <v>2609087.7199999997</v>
      </c>
    </row>
    <row r="37" spans="1:7" x14ac:dyDescent="0.25">
      <c r="B37" t="s">
        <v>19</v>
      </c>
      <c r="C37" s="28">
        <v>895682.01000000013</v>
      </c>
      <c r="D37" s="28">
        <v>891980.4</v>
      </c>
      <c r="E37" s="28">
        <v>443420.12</v>
      </c>
      <c r="F37" s="28">
        <v>776365.79</v>
      </c>
      <c r="G37" s="28">
        <v>3007448.3200000003</v>
      </c>
    </row>
    <row r="38" spans="1:7" x14ac:dyDescent="0.25">
      <c r="B38" t="s">
        <v>33</v>
      </c>
      <c r="C38" s="28">
        <v>171586.46000000002</v>
      </c>
      <c r="D38" s="28">
        <v>898084.64</v>
      </c>
      <c r="E38" s="28">
        <v>614749.54999999993</v>
      </c>
      <c r="F38" s="28">
        <v>453785.22</v>
      </c>
      <c r="G38" s="28">
        <v>2138205.87</v>
      </c>
    </row>
    <row r="39" spans="1:7" x14ac:dyDescent="0.25">
      <c r="A39" t="s">
        <v>2094</v>
      </c>
      <c r="C39" s="28">
        <v>1847651.4000000001</v>
      </c>
      <c r="D39" s="28">
        <v>2492187.66</v>
      </c>
      <c r="E39" s="28">
        <v>1636884.4399999997</v>
      </c>
      <c r="F39" s="28">
        <v>1778018.4100000001</v>
      </c>
      <c r="G39" s="28">
        <v>7754741.9100000001</v>
      </c>
    </row>
    <row r="40" spans="1:7" x14ac:dyDescent="0.25">
      <c r="A40" t="s">
        <v>72</v>
      </c>
      <c r="B40" t="s">
        <v>39</v>
      </c>
      <c r="C40" s="28">
        <v>661066.47</v>
      </c>
      <c r="D40" s="28">
        <v>1109108.6400000001</v>
      </c>
      <c r="E40" s="28">
        <v>626936.46999999986</v>
      </c>
      <c r="F40" s="28">
        <v>543553.37000000023</v>
      </c>
      <c r="G40" s="28">
        <v>2940664.95</v>
      </c>
    </row>
    <row r="41" spans="1:7" x14ac:dyDescent="0.25">
      <c r="B41" t="s">
        <v>19</v>
      </c>
      <c r="C41" s="28">
        <v>658315.36</v>
      </c>
      <c r="D41" s="28">
        <v>596766.58999999985</v>
      </c>
      <c r="E41" s="28">
        <v>675307.90000000014</v>
      </c>
      <c r="F41" s="28">
        <v>553356.27</v>
      </c>
      <c r="G41" s="28">
        <v>2483746.12</v>
      </c>
    </row>
    <row r="42" spans="1:7" x14ac:dyDescent="0.25">
      <c r="B42" t="s">
        <v>33</v>
      </c>
      <c r="C42" s="28">
        <v>378235.19</v>
      </c>
      <c r="D42" s="28">
        <v>1067587.5399999998</v>
      </c>
      <c r="E42" s="28">
        <v>641423.31000000017</v>
      </c>
      <c r="F42" s="28">
        <v>996253.71999999986</v>
      </c>
      <c r="G42" s="28">
        <v>3083499.76</v>
      </c>
    </row>
    <row r="43" spans="1:7" x14ac:dyDescent="0.25">
      <c r="A43" t="s">
        <v>2095</v>
      </c>
      <c r="C43" s="28">
        <v>1697617.02</v>
      </c>
      <c r="D43" s="28">
        <v>2773462.7699999996</v>
      </c>
      <c r="E43" s="28">
        <v>1943667.6800000002</v>
      </c>
      <c r="F43" s="28">
        <v>2093163.3599999999</v>
      </c>
      <c r="G43" s="28">
        <v>8507910.8300000001</v>
      </c>
    </row>
    <row r="44" spans="1:7" x14ac:dyDescent="0.25">
      <c r="A44" t="s">
        <v>2069</v>
      </c>
      <c r="C44" s="28">
        <v>17988920.739999998</v>
      </c>
      <c r="D44" s="28">
        <v>21461547.330000002</v>
      </c>
      <c r="E44" s="28">
        <v>18813244.839999996</v>
      </c>
      <c r="F44" s="28">
        <v>20815665.499999993</v>
      </c>
      <c r="G44" s="28">
        <v>79079378.410000011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98207-663B-4FCB-9F28-3EC09BA3C3A2}">
  <dimension ref="A2:B5"/>
  <sheetViews>
    <sheetView topLeftCell="A3" workbookViewId="0">
      <selection activeCell="A3" sqref="A3:A4"/>
    </sheetView>
  </sheetViews>
  <sheetFormatPr defaultRowHeight="15" x14ac:dyDescent="0.25"/>
  <cols>
    <col min="1" max="1" width="23.28515625" bestFit="1" customWidth="1"/>
    <col min="2" max="2" width="24.7109375" bestFit="1" customWidth="1"/>
  </cols>
  <sheetData>
    <row r="2" spans="1:2" x14ac:dyDescent="0.25">
      <c r="A2" s="27" t="s">
        <v>15</v>
      </c>
      <c r="B2" t="s">
        <v>2071</v>
      </c>
    </row>
    <row r="3" spans="1:2" x14ac:dyDescent="0.25">
      <c r="A3" t="s">
        <v>2096</v>
      </c>
      <c r="B3" s="28">
        <v>37381451.980000034</v>
      </c>
    </row>
    <row r="4" spans="1:2" x14ac:dyDescent="0.25">
      <c r="A4" t="s">
        <v>2097</v>
      </c>
      <c r="B4" s="28">
        <v>41697926.429999985</v>
      </c>
    </row>
    <row r="5" spans="1:2" x14ac:dyDescent="0.25">
      <c r="A5" t="s">
        <v>2069</v>
      </c>
      <c r="B5" s="28">
        <v>79079378.410000026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8B2BE-5F06-4D48-A5B6-60B2E00FEFAF}">
  <dimension ref="A3:M179"/>
  <sheetViews>
    <sheetView workbookViewId="0">
      <selection activeCell="N33" sqref="N33"/>
    </sheetView>
  </sheetViews>
  <sheetFormatPr defaultRowHeight="15" x14ac:dyDescent="0.25"/>
  <cols>
    <col min="1" max="1" width="16" bestFit="1" customWidth="1"/>
    <col min="2" max="4" width="11.7109375" bestFit="1" customWidth="1"/>
    <col min="5" max="5" width="17" bestFit="1" customWidth="1"/>
    <col min="6" max="6" width="11.140625" bestFit="1" customWidth="1"/>
    <col min="9" max="9" width="11.7109375" bestFit="1" customWidth="1"/>
    <col min="10" max="10" width="13.28515625" customWidth="1"/>
    <col min="11" max="12" width="11.7109375" bestFit="1" customWidth="1"/>
    <col min="13" max="13" width="16.42578125" bestFit="1" customWidth="1"/>
    <col min="14" max="14" width="11.140625" bestFit="1" customWidth="1"/>
    <col min="15" max="15" width="16.42578125" bestFit="1" customWidth="1"/>
    <col min="16" max="16" width="23.85546875" customWidth="1"/>
    <col min="17" max="17" width="21.140625" bestFit="1" customWidth="1"/>
  </cols>
  <sheetData>
    <row r="3" spans="1:13" x14ac:dyDescent="0.25">
      <c r="A3" s="27" t="s">
        <v>2052</v>
      </c>
      <c r="B3" s="27" t="s">
        <v>1</v>
      </c>
      <c r="C3" s="27" t="s">
        <v>2062</v>
      </c>
      <c r="D3" s="27" t="s">
        <v>2</v>
      </c>
      <c r="I3" s="27" t="s">
        <v>2052</v>
      </c>
      <c r="J3" s="27" t="s">
        <v>1</v>
      </c>
      <c r="K3" s="27" t="s">
        <v>2062</v>
      </c>
      <c r="L3" s="27" t="s">
        <v>2</v>
      </c>
      <c r="M3" t="s">
        <v>2098</v>
      </c>
    </row>
    <row r="4" spans="1:13" x14ac:dyDescent="0.25">
      <c r="A4" t="s">
        <v>2081</v>
      </c>
      <c r="B4" t="s">
        <v>32</v>
      </c>
      <c r="C4" t="s">
        <v>2099</v>
      </c>
      <c r="D4" t="s">
        <v>39</v>
      </c>
      <c r="I4" t="s">
        <v>2081</v>
      </c>
      <c r="J4" t="s">
        <v>32</v>
      </c>
      <c r="K4" t="s">
        <v>2099</v>
      </c>
      <c r="L4" t="s">
        <v>39</v>
      </c>
      <c r="M4" s="28">
        <v>648</v>
      </c>
    </row>
    <row r="5" spans="1:13" x14ac:dyDescent="0.25">
      <c r="D5" t="s">
        <v>19</v>
      </c>
      <c r="L5" t="s">
        <v>19</v>
      </c>
      <c r="M5" s="28">
        <v>1132</v>
      </c>
    </row>
    <row r="6" spans="1:13" x14ac:dyDescent="0.25">
      <c r="D6" t="s">
        <v>33</v>
      </c>
      <c r="L6" t="s">
        <v>33</v>
      </c>
      <c r="M6" s="28">
        <v>1353</v>
      </c>
    </row>
    <row r="7" spans="1:13" x14ac:dyDescent="0.25">
      <c r="C7" t="s">
        <v>2100</v>
      </c>
      <c r="K7" t="s">
        <v>2100</v>
      </c>
      <c r="M7" s="28">
        <v>3133</v>
      </c>
    </row>
    <row r="8" spans="1:13" x14ac:dyDescent="0.25">
      <c r="C8" t="s">
        <v>2101</v>
      </c>
      <c r="D8" t="s">
        <v>39</v>
      </c>
      <c r="K8" t="s">
        <v>2101</v>
      </c>
      <c r="L8" t="s">
        <v>39</v>
      </c>
      <c r="M8" s="28">
        <v>848</v>
      </c>
    </row>
    <row r="9" spans="1:13" x14ac:dyDescent="0.25">
      <c r="D9" t="s">
        <v>19</v>
      </c>
      <c r="L9" t="s">
        <v>19</v>
      </c>
      <c r="M9" s="28">
        <v>771</v>
      </c>
    </row>
    <row r="10" spans="1:13" x14ac:dyDescent="0.25">
      <c r="D10" t="s">
        <v>33</v>
      </c>
      <c r="L10" t="s">
        <v>33</v>
      </c>
      <c r="M10" s="28">
        <v>1003</v>
      </c>
    </row>
    <row r="11" spans="1:13" x14ac:dyDescent="0.25">
      <c r="C11" t="s">
        <v>2102</v>
      </c>
      <c r="K11" t="s">
        <v>2102</v>
      </c>
      <c r="M11" s="28">
        <v>2622</v>
      </c>
    </row>
    <row r="12" spans="1:13" x14ac:dyDescent="0.25">
      <c r="C12" t="s">
        <v>2103</v>
      </c>
      <c r="D12" t="s">
        <v>39</v>
      </c>
      <c r="K12" t="s">
        <v>2103</v>
      </c>
      <c r="L12" t="s">
        <v>39</v>
      </c>
      <c r="M12" s="28">
        <v>1020</v>
      </c>
    </row>
    <row r="13" spans="1:13" x14ac:dyDescent="0.25">
      <c r="D13" t="s">
        <v>19</v>
      </c>
      <c r="L13" t="s">
        <v>19</v>
      </c>
      <c r="M13" s="28">
        <v>1231</v>
      </c>
    </row>
    <row r="14" spans="1:13" x14ac:dyDescent="0.25">
      <c r="D14" t="s">
        <v>33</v>
      </c>
      <c r="L14" t="s">
        <v>33</v>
      </c>
      <c r="M14" s="28">
        <v>531</v>
      </c>
    </row>
    <row r="15" spans="1:13" x14ac:dyDescent="0.25">
      <c r="C15" t="s">
        <v>2104</v>
      </c>
      <c r="K15" t="s">
        <v>2104</v>
      </c>
      <c r="M15" s="28">
        <v>2782</v>
      </c>
    </row>
    <row r="16" spans="1:13" x14ac:dyDescent="0.25">
      <c r="C16" t="s">
        <v>2105</v>
      </c>
      <c r="D16" t="s">
        <v>39</v>
      </c>
      <c r="K16" t="s">
        <v>2105</v>
      </c>
      <c r="L16" t="s">
        <v>39</v>
      </c>
      <c r="M16" s="28">
        <v>586</v>
      </c>
    </row>
    <row r="17" spans="2:13" x14ac:dyDescent="0.25">
      <c r="D17" t="s">
        <v>19</v>
      </c>
      <c r="L17" t="s">
        <v>19</v>
      </c>
      <c r="M17" s="28">
        <v>1048</v>
      </c>
    </row>
    <row r="18" spans="2:13" x14ac:dyDescent="0.25">
      <c r="D18" t="s">
        <v>33</v>
      </c>
      <c r="L18" t="s">
        <v>33</v>
      </c>
      <c r="M18" s="28">
        <v>278</v>
      </c>
    </row>
    <row r="19" spans="2:13" x14ac:dyDescent="0.25">
      <c r="C19" t="s">
        <v>2106</v>
      </c>
      <c r="K19" t="s">
        <v>2106</v>
      </c>
      <c r="M19" s="28">
        <v>1912</v>
      </c>
    </row>
    <row r="20" spans="2:13" x14ac:dyDescent="0.25">
      <c r="B20" t="s">
        <v>2089</v>
      </c>
      <c r="J20" t="s">
        <v>2089</v>
      </c>
      <c r="M20" s="28">
        <v>10449</v>
      </c>
    </row>
    <row r="21" spans="2:13" x14ac:dyDescent="0.25">
      <c r="B21" t="s">
        <v>18</v>
      </c>
      <c r="C21" t="s">
        <v>2099</v>
      </c>
      <c r="D21" t="s">
        <v>39</v>
      </c>
      <c r="J21" t="s">
        <v>18</v>
      </c>
      <c r="K21" t="s">
        <v>2099</v>
      </c>
      <c r="L21" t="s">
        <v>39</v>
      </c>
      <c r="M21" s="28">
        <v>743</v>
      </c>
    </row>
    <row r="22" spans="2:13" x14ac:dyDescent="0.25">
      <c r="D22" t="s">
        <v>19</v>
      </c>
      <c r="L22" t="s">
        <v>19</v>
      </c>
      <c r="M22" s="28">
        <v>996</v>
      </c>
    </row>
    <row r="23" spans="2:13" x14ac:dyDescent="0.25">
      <c r="D23" t="s">
        <v>33</v>
      </c>
      <c r="L23" t="s">
        <v>33</v>
      </c>
      <c r="M23" s="28">
        <v>1446</v>
      </c>
    </row>
    <row r="24" spans="2:13" x14ac:dyDescent="0.25">
      <c r="C24" t="s">
        <v>2100</v>
      </c>
      <c r="K24" t="s">
        <v>2100</v>
      </c>
      <c r="M24" s="28">
        <v>3185</v>
      </c>
    </row>
    <row r="25" spans="2:13" x14ac:dyDescent="0.25">
      <c r="C25" t="s">
        <v>2101</v>
      </c>
      <c r="D25" t="s">
        <v>39</v>
      </c>
      <c r="K25" t="s">
        <v>2101</v>
      </c>
      <c r="L25" t="s">
        <v>39</v>
      </c>
      <c r="M25" s="28">
        <v>1071</v>
      </c>
    </row>
    <row r="26" spans="2:13" x14ac:dyDescent="0.25">
      <c r="D26" t="s">
        <v>19</v>
      </c>
      <c r="L26" t="s">
        <v>19</v>
      </c>
      <c r="M26" s="28">
        <v>551</v>
      </c>
    </row>
    <row r="27" spans="2:13" x14ac:dyDescent="0.25">
      <c r="D27" t="s">
        <v>33</v>
      </c>
      <c r="L27" t="s">
        <v>33</v>
      </c>
      <c r="M27" s="28">
        <v>646</v>
      </c>
    </row>
    <row r="28" spans="2:13" x14ac:dyDescent="0.25">
      <c r="C28" t="s">
        <v>2102</v>
      </c>
      <c r="K28" t="s">
        <v>2102</v>
      </c>
      <c r="M28" s="28">
        <v>2268</v>
      </c>
    </row>
    <row r="29" spans="2:13" x14ac:dyDescent="0.25">
      <c r="C29" t="s">
        <v>2103</v>
      </c>
      <c r="D29" t="s">
        <v>39</v>
      </c>
      <c r="K29" t="s">
        <v>2103</v>
      </c>
      <c r="L29" t="s">
        <v>39</v>
      </c>
      <c r="M29" s="28">
        <v>734</v>
      </c>
    </row>
    <row r="30" spans="2:13" x14ac:dyDescent="0.25">
      <c r="D30" t="s">
        <v>19</v>
      </c>
      <c r="L30" t="s">
        <v>19</v>
      </c>
      <c r="M30" s="28">
        <v>645</v>
      </c>
    </row>
    <row r="31" spans="2:13" x14ac:dyDescent="0.25">
      <c r="D31" t="s">
        <v>33</v>
      </c>
      <c r="L31" t="s">
        <v>33</v>
      </c>
      <c r="M31" s="28">
        <v>921</v>
      </c>
    </row>
    <row r="32" spans="2:13" x14ac:dyDescent="0.25">
      <c r="C32" t="s">
        <v>2104</v>
      </c>
      <c r="K32" t="s">
        <v>2104</v>
      </c>
      <c r="M32" s="28">
        <v>2300</v>
      </c>
    </row>
    <row r="33" spans="2:13" x14ac:dyDescent="0.25">
      <c r="C33" t="s">
        <v>2105</v>
      </c>
      <c r="D33" t="s">
        <v>39</v>
      </c>
      <c r="K33" t="s">
        <v>2105</v>
      </c>
      <c r="L33" t="s">
        <v>39</v>
      </c>
      <c r="M33" s="28">
        <v>633</v>
      </c>
    </row>
    <row r="34" spans="2:13" x14ac:dyDescent="0.25">
      <c r="D34" t="s">
        <v>19</v>
      </c>
      <c r="L34" t="s">
        <v>19</v>
      </c>
      <c r="M34" s="28">
        <v>659</v>
      </c>
    </row>
    <row r="35" spans="2:13" x14ac:dyDescent="0.25">
      <c r="D35" t="s">
        <v>33</v>
      </c>
      <c r="L35" t="s">
        <v>33</v>
      </c>
      <c r="M35" s="28">
        <v>814</v>
      </c>
    </row>
    <row r="36" spans="2:13" x14ac:dyDescent="0.25">
      <c r="C36" t="s">
        <v>2106</v>
      </c>
      <c r="K36" t="s">
        <v>2106</v>
      </c>
      <c r="M36" s="28">
        <v>2106</v>
      </c>
    </row>
    <row r="37" spans="2:13" x14ac:dyDescent="0.25">
      <c r="B37" t="s">
        <v>2092</v>
      </c>
      <c r="J37" t="s">
        <v>2092</v>
      </c>
      <c r="M37" s="28">
        <v>9859</v>
      </c>
    </row>
    <row r="38" spans="2:13" x14ac:dyDescent="0.25">
      <c r="B38" t="s">
        <v>76</v>
      </c>
      <c r="C38" t="s">
        <v>2099</v>
      </c>
      <c r="D38" t="s">
        <v>39</v>
      </c>
      <c r="J38" t="s">
        <v>76</v>
      </c>
      <c r="K38" t="s">
        <v>2099</v>
      </c>
      <c r="L38" t="s">
        <v>39</v>
      </c>
      <c r="M38" s="28">
        <v>790</v>
      </c>
    </row>
    <row r="39" spans="2:13" x14ac:dyDescent="0.25">
      <c r="D39" t="s">
        <v>19</v>
      </c>
      <c r="L39" t="s">
        <v>19</v>
      </c>
      <c r="M39" s="28">
        <v>577</v>
      </c>
    </row>
    <row r="40" spans="2:13" x14ac:dyDescent="0.25">
      <c r="D40" t="s">
        <v>33</v>
      </c>
      <c r="L40" t="s">
        <v>33</v>
      </c>
      <c r="M40" s="28">
        <v>1587</v>
      </c>
    </row>
    <row r="41" spans="2:13" x14ac:dyDescent="0.25">
      <c r="C41" t="s">
        <v>2100</v>
      </c>
      <c r="K41" t="s">
        <v>2100</v>
      </c>
      <c r="M41" s="28">
        <v>2954</v>
      </c>
    </row>
    <row r="42" spans="2:13" x14ac:dyDescent="0.25">
      <c r="C42" t="s">
        <v>2101</v>
      </c>
      <c r="D42" t="s">
        <v>39</v>
      </c>
      <c r="K42" t="s">
        <v>2101</v>
      </c>
      <c r="L42" t="s">
        <v>39</v>
      </c>
      <c r="M42" s="28">
        <v>738</v>
      </c>
    </row>
    <row r="43" spans="2:13" x14ac:dyDescent="0.25">
      <c r="D43" t="s">
        <v>19</v>
      </c>
      <c r="L43" t="s">
        <v>19</v>
      </c>
      <c r="M43" s="28">
        <v>972</v>
      </c>
    </row>
    <row r="44" spans="2:13" x14ac:dyDescent="0.25">
      <c r="D44" t="s">
        <v>33</v>
      </c>
      <c r="L44" t="s">
        <v>33</v>
      </c>
      <c r="M44" s="28">
        <v>1003</v>
      </c>
    </row>
    <row r="45" spans="2:13" x14ac:dyDescent="0.25">
      <c r="C45" t="s">
        <v>2102</v>
      </c>
      <c r="K45" t="s">
        <v>2102</v>
      </c>
      <c r="M45" s="28">
        <v>2713</v>
      </c>
    </row>
    <row r="46" spans="2:13" x14ac:dyDescent="0.25">
      <c r="C46" t="s">
        <v>2103</v>
      </c>
      <c r="D46" t="s">
        <v>39</v>
      </c>
      <c r="K46" t="s">
        <v>2103</v>
      </c>
      <c r="L46" t="s">
        <v>39</v>
      </c>
      <c r="M46" s="28">
        <v>694</v>
      </c>
    </row>
    <row r="47" spans="2:13" x14ac:dyDescent="0.25">
      <c r="D47" t="s">
        <v>19</v>
      </c>
      <c r="L47" t="s">
        <v>19</v>
      </c>
      <c r="M47" s="28">
        <v>859</v>
      </c>
    </row>
    <row r="48" spans="2:13" x14ac:dyDescent="0.25">
      <c r="D48" t="s">
        <v>33</v>
      </c>
      <c r="L48" t="s">
        <v>33</v>
      </c>
      <c r="M48" s="28">
        <v>818</v>
      </c>
    </row>
    <row r="49" spans="1:13" x14ac:dyDescent="0.25">
      <c r="C49" t="s">
        <v>2104</v>
      </c>
      <c r="K49" t="s">
        <v>2104</v>
      </c>
      <c r="M49" s="28">
        <v>2371</v>
      </c>
    </row>
    <row r="50" spans="1:13" x14ac:dyDescent="0.25">
      <c r="C50" t="s">
        <v>2105</v>
      </c>
      <c r="D50" t="s">
        <v>39</v>
      </c>
      <c r="K50" t="s">
        <v>2105</v>
      </c>
      <c r="L50" t="s">
        <v>39</v>
      </c>
      <c r="M50" s="28">
        <v>695</v>
      </c>
    </row>
    <row r="51" spans="1:13" x14ac:dyDescent="0.25">
      <c r="D51" t="s">
        <v>19</v>
      </c>
      <c r="L51" t="s">
        <v>19</v>
      </c>
      <c r="M51" s="28">
        <v>617</v>
      </c>
    </row>
    <row r="52" spans="1:13" x14ac:dyDescent="0.25">
      <c r="D52" t="s">
        <v>33</v>
      </c>
      <c r="L52" t="s">
        <v>33</v>
      </c>
      <c r="M52" s="28">
        <v>801</v>
      </c>
    </row>
    <row r="53" spans="1:13" x14ac:dyDescent="0.25">
      <c r="C53" t="s">
        <v>2106</v>
      </c>
      <c r="K53" t="s">
        <v>2106</v>
      </c>
      <c r="M53" s="28">
        <v>2113</v>
      </c>
    </row>
    <row r="54" spans="1:13" x14ac:dyDescent="0.25">
      <c r="B54" t="s">
        <v>2093</v>
      </c>
      <c r="J54" t="s">
        <v>2093</v>
      </c>
      <c r="M54" s="28">
        <v>10151</v>
      </c>
    </row>
    <row r="55" spans="1:13" x14ac:dyDescent="0.25">
      <c r="A55" t="s">
        <v>2107</v>
      </c>
      <c r="I55" t="s">
        <v>2107</v>
      </c>
      <c r="M55" s="28">
        <v>30459</v>
      </c>
    </row>
    <row r="56" spans="1:13" x14ac:dyDescent="0.25">
      <c r="A56" t="s">
        <v>35</v>
      </c>
      <c r="B56" t="s">
        <v>38</v>
      </c>
      <c r="C56" t="s">
        <v>2099</v>
      </c>
      <c r="D56" t="s">
        <v>39</v>
      </c>
      <c r="I56" t="s">
        <v>35</v>
      </c>
      <c r="J56" t="s">
        <v>38</v>
      </c>
      <c r="K56" t="s">
        <v>2099</v>
      </c>
      <c r="L56" t="s">
        <v>39</v>
      </c>
      <c r="M56" s="28">
        <v>776</v>
      </c>
    </row>
    <row r="57" spans="1:13" x14ac:dyDescent="0.25">
      <c r="D57" t="s">
        <v>19</v>
      </c>
      <c r="L57" t="s">
        <v>19</v>
      </c>
      <c r="M57" s="28">
        <v>1074</v>
      </c>
    </row>
    <row r="58" spans="1:13" x14ac:dyDescent="0.25">
      <c r="D58" t="s">
        <v>33</v>
      </c>
      <c r="L58" t="s">
        <v>33</v>
      </c>
      <c r="M58" s="28">
        <v>493</v>
      </c>
    </row>
    <row r="59" spans="1:13" x14ac:dyDescent="0.25">
      <c r="C59" t="s">
        <v>2100</v>
      </c>
      <c r="K59" t="s">
        <v>2100</v>
      </c>
      <c r="M59" s="28">
        <v>2343</v>
      </c>
    </row>
    <row r="60" spans="1:13" x14ac:dyDescent="0.25">
      <c r="C60" t="s">
        <v>2101</v>
      </c>
      <c r="D60" t="s">
        <v>39</v>
      </c>
      <c r="K60" t="s">
        <v>2101</v>
      </c>
      <c r="L60" t="s">
        <v>39</v>
      </c>
      <c r="M60" s="28">
        <v>660</v>
      </c>
    </row>
    <row r="61" spans="1:13" x14ac:dyDescent="0.25">
      <c r="D61" t="s">
        <v>19</v>
      </c>
      <c r="L61" t="s">
        <v>19</v>
      </c>
      <c r="M61" s="28">
        <v>880</v>
      </c>
    </row>
    <row r="62" spans="1:13" x14ac:dyDescent="0.25">
      <c r="D62" t="s">
        <v>33</v>
      </c>
      <c r="L62" t="s">
        <v>33</v>
      </c>
      <c r="M62" s="28">
        <v>1229</v>
      </c>
    </row>
    <row r="63" spans="1:13" x14ac:dyDescent="0.25">
      <c r="C63" t="s">
        <v>2102</v>
      </c>
      <c r="K63" t="s">
        <v>2102</v>
      </c>
      <c r="M63" s="28">
        <v>2769</v>
      </c>
    </row>
    <row r="64" spans="1:13" x14ac:dyDescent="0.25">
      <c r="C64" t="s">
        <v>2103</v>
      </c>
      <c r="D64" t="s">
        <v>39</v>
      </c>
      <c r="K64" t="s">
        <v>2103</v>
      </c>
      <c r="L64" t="s">
        <v>39</v>
      </c>
      <c r="M64" s="28">
        <v>1188</v>
      </c>
    </row>
    <row r="65" spans="2:13" x14ac:dyDescent="0.25">
      <c r="D65" t="s">
        <v>19</v>
      </c>
      <c r="L65" t="s">
        <v>19</v>
      </c>
      <c r="M65" s="28">
        <v>915</v>
      </c>
    </row>
    <row r="66" spans="2:13" x14ac:dyDescent="0.25">
      <c r="D66" t="s">
        <v>33</v>
      </c>
      <c r="L66" t="s">
        <v>33</v>
      </c>
      <c r="M66" s="28">
        <v>1714</v>
      </c>
    </row>
    <row r="67" spans="2:13" x14ac:dyDescent="0.25">
      <c r="C67" t="s">
        <v>2104</v>
      </c>
      <c r="K67" t="s">
        <v>2104</v>
      </c>
      <c r="M67" s="28">
        <v>3817</v>
      </c>
    </row>
    <row r="68" spans="2:13" x14ac:dyDescent="0.25">
      <c r="C68" t="s">
        <v>2105</v>
      </c>
      <c r="D68" t="s">
        <v>39</v>
      </c>
      <c r="K68" t="s">
        <v>2105</v>
      </c>
      <c r="L68" t="s">
        <v>39</v>
      </c>
      <c r="M68" s="28">
        <v>637</v>
      </c>
    </row>
    <row r="69" spans="2:13" x14ac:dyDescent="0.25">
      <c r="D69" t="s">
        <v>19</v>
      </c>
      <c r="L69" t="s">
        <v>19</v>
      </c>
      <c r="M69" s="28">
        <v>547</v>
      </c>
    </row>
    <row r="70" spans="2:13" x14ac:dyDescent="0.25">
      <c r="D70" t="s">
        <v>33</v>
      </c>
      <c r="L70" t="s">
        <v>33</v>
      </c>
      <c r="M70" s="28">
        <v>513</v>
      </c>
    </row>
    <row r="71" spans="2:13" x14ac:dyDescent="0.25">
      <c r="C71" t="s">
        <v>2106</v>
      </c>
      <c r="K71" t="s">
        <v>2106</v>
      </c>
      <c r="M71" s="28">
        <v>1697</v>
      </c>
    </row>
    <row r="72" spans="2:13" x14ac:dyDescent="0.25">
      <c r="B72" t="s">
        <v>2090</v>
      </c>
      <c r="J72" t="s">
        <v>2090</v>
      </c>
      <c r="M72" s="28">
        <v>10626</v>
      </c>
    </row>
    <row r="73" spans="2:13" x14ac:dyDescent="0.25">
      <c r="B73" t="s">
        <v>27</v>
      </c>
      <c r="C73" t="s">
        <v>2099</v>
      </c>
      <c r="D73" t="s">
        <v>39</v>
      </c>
      <c r="J73" t="s">
        <v>27</v>
      </c>
      <c r="K73" t="s">
        <v>2099</v>
      </c>
      <c r="L73" t="s">
        <v>39</v>
      </c>
      <c r="M73" s="28">
        <v>769</v>
      </c>
    </row>
    <row r="74" spans="2:13" x14ac:dyDescent="0.25">
      <c r="D74" t="s">
        <v>19</v>
      </c>
      <c r="L74" t="s">
        <v>19</v>
      </c>
      <c r="M74" s="28">
        <v>738</v>
      </c>
    </row>
    <row r="75" spans="2:13" x14ac:dyDescent="0.25">
      <c r="D75" t="s">
        <v>33</v>
      </c>
      <c r="L75" t="s">
        <v>33</v>
      </c>
      <c r="M75" s="28">
        <v>709</v>
      </c>
    </row>
    <row r="76" spans="2:13" x14ac:dyDescent="0.25">
      <c r="C76" t="s">
        <v>2100</v>
      </c>
      <c r="K76" t="s">
        <v>2100</v>
      </c>
      <c r="M76" s="28">
        <v>2216</v>
      </c>
    </row>
    <row r="77" spans="2:13" x14ac:dyDescent="0.25">
      <c r="C77" t="s">
        <v>2101</v>
      </c>
      <c r="D77" t="s">
        <v>39</v>
      </c>
      <c r="K77" t="s">
        <v>2101</v>
      </c>
      <c r="L77" t="s">
        <v>39</v>
      </c>
      <c r="M77" s="28">
        <v>547</v>
      </c>
    </row>
    <row r="78" spans="2:13" x14ac:dyDescent="0.25">
      <c r="D78" t="s">
        <v>19</v>
      </c>
      <c r="L78" t="s">
        <v>19</v>
      </c>
      <c r="M78" s="28">
        <v>819</v>
      </c>
    </row>
    <row r="79" spans="2:13" x14ac:dyDescent="0.25">
      <c r="D79" t="s">
        <v>33</v>
      </c>
      <c r="L79" t="s">
        <v>33</v>
      </c>
      <c r="M79" s="28">
        <v>941</v>
      </c>
    </row>
    <row r="80" spans="2:13" x14ac:dyDescent="0.25">
      <c r="C80" t="s">
        <v>2102</v>
      </c>
      <c r="K80" t="s">
        <v>2102</v>
      </c>
      <c r="M80" s="28">
        <v>2307</v>
      </c>
    </row>
    <row r="81" spans="2:13" x14ac:dyDescent="0.25">
      <c r="C81" t="s">
        <v>2103</v>
      </c>
      <c r="D81" t="s">
        <v>39</v>
      </c>
      <c r="K81" t="s">
        <v>2103</v>
      </c>
      <c r="L81" t="s">
        <v>39</v>
      </c>
      <c r="M81" s="28">
        <v>1046</v>
      </c>
    </row>
    <row r="82" spans="2:13" x14ac:dyDescent="0.25">
      <c r="D82" t="s">
        <v>19</v>
      </c>
      <c r="L82" t="s">
        <v>19</v>
      </c>
      <c r="M82" s="28">
        <v>655</v>
      </c>
    </row>
    <row r="83" spans="2:13" x14ac:dyDescent="0.25">
      <c r="D83" t="s">
        <v>33</v>
      </c>
      <c r="L83" t="s">
        <v>33</v>
      </c>
      <c r="M83" s="28">
        <v>1238</v>
      </c>
    </row>
    <row r="84" spans="2:13" x14ac:dyDescent="0.25">
      <c r="C84" t="s">
        <v>2104</v>
      </c>
      <c r="K84" t="s">
        <v>2104</v>
      </c>
      <c r="M84" s="28">
        <v>2939</v>
      </c>
    </row>
    <row r="85" spans="2:13" x14ac:dyDescent="0.25">
      <c r="C85" t="s">
        <v>2105</v>
      </c>
      <c r="D85" t="s">
        <v>39</v>
      </c>
      <c r="K85" t="s">
        <v>2105</v>
      </c>
      <c r="L85" t="s">
        <v>39</v>
      </c>
      <c r="M85" s="28">
        <v>468</v>
      </c>
    </row>
    <row r="86" spans="2:13" x14ac:dyDescent="0.25">
      <c r="D86" t="s">
        <v>19</v>
      </c>
      <c r="L86" t="s">
        <v>19</v>
      </c>
      <c r="M86" s="28">
        <v>516</v>
      </c>
    </row>
    <row r="87" spans="2:13" x14ac:dyDescent="0.25">
      <c r="D87" t="s">
        <v>33</v>
      </c>
      <c r="L87" t="s">
        <v>33</v>
      </c>
      <c r="M87" s="28">
        <v>721</v>
      </c>
    </row>
    <row r="88" spans="2:13" x14ac:dyDescent="0.25">
      <c r="C88" t="s">
        <v>2106</v>
      </c>
      <c r="K88" t="s">
        <v>2106</v>
      </c>
      <c r="M88" s="28">
        <v>1705</v>
      </c>
    </row>
    <row r="89" spans="2:13" x14ac:dyDescent="0.25">
      <c r="B89" t="s">
        <v>2091</v>
      </c>
      <c r="J89" t="s">
        <v>2091</v>
      </c>
      <c r="M89" s="28">
        <v>9167</v>
      </c>
    </row>
    <row r="90" spans="2:13" x14ac:dyDescent="0.25">
      <c r="B90" t="s">
        <v>51</v>
      </c>
      <c r="C90" t="s">
        <v>2099</v>
      </c>
      <c r="D90" t="s">
        <v>39</v>
      </c>
      <c r="J90" t="s">
        <v>51</v>
      </c>
      <c r="K90" t="s">
        <v>2099</v>
      </c>
      <c r="L90" t="s">
        <v>39</v>
      </c>
      <c r="M90" s="28">
        <v>884</v>
      </c>
    </row>
    <row r="91" spans="2:13" x14ac:dyDescent="0.25">
      <c r="D91" t="s">
        <v>19</v>
      </c>
      <c r="L91" t="s">
        <v>19</v>
      </c>
      <c r="M91" s="28">
        <v>1142</v>
      </c>
    </row>
    <row r="92" spans="2:13" x14ac:dyDescent="0.25">
      <c r="D92" t="s">
        <v>33</v>
      </c>
      <c r="L92" t="s">
        <v>33</v>
      </c>
      <c r="M92" s="28">
        <v>858</v>
      </c>
    </row>
    <row r="93" spans="2:13" x14ac:dyDescent="0.25">
      <c r="C93" t="s">
        <v>2100</v>
      </c>
      <c r="K93" t="s">
        <v>2100</v>
      </c>
      <c r="M93" s="28">
        <v>2884</v>
      </c>
    </row>
    <row r="94" spans="2:13" x14ac:dyDescent="0.25">
      <c r="C94" t="s">
        <v>2101</v>
      </c>
      <c r="D94" t="s">
        <v>39</v>
      </c>
      <c r="K94" t="s">
        <v>2101</v>
      </c>
      <c r="L94" t="s">
        <v>39</v>
      </c>
      <c r="M94" s="28">
        <v>1292</v>
      </c>
    </row>
    <row r="95" spans="2:13" x14ac:dyDescent="0.25">
      <c r="D95" t="s">
        <v>19</v>
      </c>
      <c r="L95" t="s">
        <v>19</v>
      </c>
      <c r="M95" s="28">
        <v>1058</v>
      </c>
    </row>
    <row r="96" spans="2:13" x14ac:dyDescent="0.25">
      <c r="D96" t="s">
        <v>33</v>
      </c>
      <c r="L96" t="s">
        <v>33</v>
      </c>
      <c r="M96" s="28">
        <v>443</v>
      </c>
    </row>
    <row r="97" spans="1:13" x14ac:dyDescent="0.25">
      <c r="C97" t="s">
        <v>2102</v>
      </c>
      <c r="K97" t="s">
        <v>2102</v>
      </c>
      <c r="M97" s="28">
        <v>2793</v>
      </c>
    </row>
    <row r="98" spans="1:13" x14ac:dyDescent="0.25">
      <c r="C98" t="s">
        <v>2103</v>
      </c>
      <c r="D98" t="s">
        <v>39</v>
      </c>
      <c r="K98" t="s">
        <v>2103</v>
      </c>
      <c r="L98" t="s">
        <v>39</v>
      </c>
      <c r="M98" s="28">
        <v>734</v>
      </c>
    </row>
    <row r="99" spans="1:13" x14ac:dyDescent="0.25">
      <c r="D99" t="s">
        <v>19</v>
      </c>
      <c r="L99" t="s">
        <v>19</v>
      </c>
      <c r="M99" s="28">
        <v>1098</v>
      </c>
    </row>
    <row r="100" spans="1:13" x14ac:dyDescent="0.25">
      <c r="D100" t="s">
        <v>33</v>
      </c>
      <c r="L100" t="s">
        <v>33</v>
      </c>
      <c r="M100" s="28">
        <v>1065</v>
      </c>
    </row>
    <row r="101" spans="1:13" x14ac:dyDescent="0.25">
      <c r="C101" t="s">
        <v>2104</v>
      </c>
      <c r="K101" t="s">
        <v>2104</v>
      </c>
      <c r="M101" s="28">
        <v>2897</v>
      </c>
    </row>
    <row r="102" spans="1:13" x14ac:dyDescent="0.25">
      <c r="C102" t="s">
        <v>2105</v>
      </c>
      <c r="D102" t="s">
        <v>39</v>
      </c>
      <c r="K102" t="s">
        <v>2105</v>
      </c>
      <c r="L102" t="s">
        <v>39</v>
      </c>
      <c r="M102" s="28">
        <v>713</v>
      </c>
    </row>
    <row r="103" spans="1:13" x14ac:dyDescent="0.25">
      <c r="D103" t="s">
        <v>19</v>
      </c>
      <c r="L103" t="s">
        <v>19</v>
      </c>
      <c r="M103" s="28">
        <v>678</v>
      </c>
    </row>
    <row r="104" spans="1:13" x14ac:dyDescent="0.25">
      <c r="D104" t="s">
        <v>33</v>
      </c>
      <c r="L104" t="s">
        <v>33</v>
      </c>
      <c r="M104" s="28">
        <v>458</v>
      </c>
    </row>
    <row r="105" spans="1:13" x14ac:dyDescent="0.25">
      <c r="C105" t="s">
        <v>2106</v>
      </c>
      <c r="K105" t="s">
        <v>2106</v>
      </c>
      <c r="M105" s="28">
        <v>1849</v>
      </c>
    </row>
    <row r="106" spans="1:13" x14ac:dyDescent="0.25">
      <c r="B106" t="s">
        <v>2094</v>
      </c>
      <c r="J106" t="s">
        <v>2094</v>
      </c>
      <c r="M106" s="28">
        <v>10423</v>
      </c>
    </row>
    <row r="107" spans="1:13" x14ac:dyDescent="0.25">
      <c r="A107" t="s">
        <v>2108</v>
      </c>
      <c r="I107" t="s">
        <v>2108</v>
      </c>
      <c r="M107" s="28">
        <v>30216</v>
      </c>
    </row>
    <row r="108" spans="1:13" x14ac:dyDescent="0.25">
      <c r="A108" t="s">
        <v>44</v>
      </c>
      <c r="B108" t="s">
        <v>66</v>
      </c>
      <c r="C108" t="s">
        <v>2099</v>
      </c>
      <c r="D108" t="s">
        <v>39</v>
      </c>
      <c r="I108" t="s">
        <v>44</v>
      </c>
      <c r="J108" t="s">
        <v>66</v>
      </c>
      <c r="K108" t="s">
        <v>2099</v>
      </c>
      <c r="L108" t="s">
        <v>39</v>
      </c>
      <c r="M108" s="28">
        <v>1018</v>
      </c>
    </row>
    <row r="109" spans="1:13" x14ac:dyDescent="0.25">
      <c r="D109" t="s">
        <v>19</v>
      </c>
      <c r="L109" t="s">
        <v>19</v>
      </c>
      <c r="M109" s="28">
        <v>1032</v>
      </c>
    </row>
    <row r="110" spans="1:13" x14ac:dyDescent="0.25">
      <c r="D110" t="s">
        <v>33</v>
      </c>
      <c r="L110" t="s">
        <v>33</v>
      </c>
      <c r="M110" s="28">
        <v>588</v>
      </c>
    </row>
    <row r="111" spans="1:13" x14ac:dyDescent="0.25">
      <c r="C111" t="s">
        <v>2100</v>
      </c>
      <c r="K111" t="s">
        <v>2100</v>
      </c>
      <c r="M111" s="28">
        <v>2638</v>
      </c>
    </row>
    <row r="112" spans="1:13" x14ac:dyDescent="0.25">
      <c r="C112" t="s">
        <v>2101</v>
      </c>
      <c r="D112" t="s">
        <v>39</v>
      </c>
      <c r="K112" t="s">
        <v>2101</v>
      </c>
      <c r="L112" t="s">
        <v>39</v>
      </c>
      <c r="M112" s="28">
        <v>1242</v>
      </c>
    </row>
    <row r="113" spans="2:13" x14ac:dyDescent="0.25">
      <c r="D113" t="s">
        <v>19</v>
      </c>
      <c r="L113" t="s">
        <v>19</v>
      </c>
      <c r="M113" s="28">
        <v>804</v>
      </c>
    </row>
    <row r="114" spans="2:13" x14ac:dyDescent="0.25">
      <c r="D114" t="s">
        <v>33</v>
      </c>
      <c r="L114" t="s">
        <v>33</v>
      </c>
      <c r="M114" s="28">
        <v>1069</v>
      </c>
    </row>
    <row r="115" spans="2:13" x14ac:dyDescent="0.25">
      <c r="C115" t="s">
        <v>2102</v>
      </c>
      <c r="K115" t="s">
        <v>2102</v>
      </c>
      <c r="M115" s="28">
        <v>3115</v>
      </c>
    </row>
    <row r="116" spans="2:13" x14ac:dyDescent="0.25">
      <c r="C116" t="s">
        <v>2103</v>
      </c>
      <c r="D116" t="s">
        <v>39</v>
      </c>
      <c r="K116" t="s">
        <v>2103</v>
      </c>
      <c r="L116" t="s">
        <v>39</v>
      </c>
      <c r="M116" s="28">
        <v>1316</v>
      </c>
    </row>
    <row r="117" spans="2:13" x14ac:dyDescent="0.25">
      <c r="D117" t="s">
        <v>19</v>
      </c>
      <c r="L117" t="s">
        <v>19</v>
      </c>
      <c r="M117" s="28">
        <v>411</v>
      </c>
    </row>
    <row r="118" spans="2:13" x14ac:dyDescent="0.25">
      <c r="D118" t="s">
        <v>33</v>
      </c>
      <c r="L118" t="s">
        <v>33</v>
      </c>
      <c r="M118" s="28">
        <v>961</v>
      </c>
    </row>
    <row r="119" spans="2:13" x14ac:dyDescent="0.25">
      <c r="C119" t="s">
        <v>2104</v>
      </c>
      <c r="K119" t="s">
        <v>2104</v>
      </c>
      <c r="M119" s="28">
        <v>2688</v>
      </c>
    </row>
    <row r="120" spans="2:13" x14ac:dyDescent="0.25">
      <c r="C120" t="s">
        <v>2105</v>
      </c>
      <c r="D120" t="s">
        <v>39</v>
      </c>
      <c r="K120" t="s">
        <v>2105</v>
      </c>
      <c r="L120" t="s">
        <v>39</v>
      </c>
      <c r="M120" s="28">
        <v>525</v>
      </c>
    </row>
    <row r="121" spans="2:13" x14ac:dyDescent="0.25">
      <c r="D121" t="s">
        <v>19</v>
      </c>
      <c r="L121" t="s">
        <v>19</v>
      </c>
      <c r="M121" s="28">
        <v>395</v>
      </c>
    </row>
    <row r="122" spans="2:13" x14ac:dyDescent="0.25">
      <c r="D122" t="s">
        <v>33</v>
      </c>
      <c r="L122" t="s">
        <v>33</v>
      </c>
      <c r="M122" s="28">
        <v>904</v>
      </c>
    </row>
    <row r="123" spans="2:13" x14ac:dyDescent="0.25">
      <c r="C123" t="s">
        <v>2106</v>
      </c>
      <c r="K123" t="s">
        <v>2106</v>
      </c>
      <c r="M123" s="28">
        <v>1824</v>
      </c>
    </row>
    <row r="124" spans="2:13" x14ac:dyDescent="0.25">
      <c r="B124" t="s">
        <v>2088</v>
      </c>
      <c r="J124" t="s">
        <v>2088</v>
      </c>
      <c r="M124" s="28">
        <v>10265</v>
      </c>
    </row>
    <row r="125" spans="2:13" x14ac:dyDescent="0.25">
      <c r="B125" t="s">
        <v>72</v>
      </c>
      <c r="C125" t="s">
        <v>2099</v>
      </c>
      <c r="D125" t="s">
        <v>39</v>
      </c>
      <c r="J125" t="s">
        <v>72</v>
      </c>
      <c r="K125" t="s">
        <v>2099</v>
      </c>
      <c r="L125" t="s">
        <v>39</v>
      </c>
      <c r="M125" s="28">
        <v>1393</v>
      </c>
    </row>
    <row r="126" spans="2:13" x14ac:dyDescent="0.25">
      <c r="D126" t="s">
        <v>19</v>
      </c>
      <c r="L126" t="s">
        <v>19</v>
      </c>
      <c r="M126" s="28">
        <v>1324</v>
      </c>
    </row>
    <row r="127" spans="2:13" x14ac:dyDescent="0.25">
      <c r="D127" t="s">
        <v>33</v>
      </c>
      <c r="L127" t="s">
        <v>33</v>
      </c>
      <c r="M127" s="28">
        <v>1110</v>
      </c>
    </row>
    <row r="128" spans="2:13" x14ac:dyDescent="0.25">
      <c r="C128" t="s">
        <v>2100</v>
      </c>
      <c r="K128" t="s">
        <v>2100</v>
      </c>
      <c r="M128" s="28">
        <v>3827</v>
      </c>
    </row>
    <row r="129" spans="1:13" x14ac:dyDescent="0.25">
      <c r="C129" t="s">
        <v>2101</v>
      </c>
      <c r="D129" t="s">
        <v>39</v>
      </c>
      <c r="K129" t="s">
        <v>2101</v>
      </c>
      <c r="L129" t="s">
        <v>39</v>
      </c>
      <c r="M129" s="28">
        <v>852</v>
      </c>
    </row>
    <row r="130" spans="1:13" x14ac:dyDescent="0.25">
      <c r="D130" t="s">
        <v>19</v>
      </c>
      <c r="L130" t="s">
        <v>19</v>
      </c>
      <c r="M130" s="28">
        <v>517</v>
      </c>
    </row>
    <row r="131" spans="1:13" x14ac:dyDescent="0.25">
      <c r="D131" t="s">
        <v>33</v>
      </c>
      <c r="L131" t="s">
        <v>33</v>
      </c>
      <c r="M131" s="28">
        <v>715</v>
      </c>
    </row>
    <row r="132" spans="1:13" x14ac:dyDescent="0.25">
      <c r="C132" t="s">
        <v>2102</v>
      </c>
      <c r="K132" t="s">
        <v>2102</v>
      </c>
      <c r="M132" s="28">
        <v>2084</v>
      </c>
    </row>
    <row r="133" spans="1:13" x14ac:dyDescent="0.25">
      <c r="C133" t="s">
        <v>2103</v>
      </c>
      <c r="D133" t="s">
        <v>39</v>
      </c>
      <c r="K133" t="s">
        <v>2103</v>
      </c>
      <c r="L133" t="s">
        <v>39</v>
      </c>
      <c r="M133" s="28">
        <v>846</v>
      </c>
    </row>
    <row r="134" spans="1:13" x14ac:dyDescent="0.25">
      <c r="D134" t="s">
        <v>19</v>
      </c>
      <c r="L134" t="s">
        <v>19</v>
      </c>
      <c r="M134" s="28">
        <v>820</v>
      </c>
    </row>
    <row r="135" spans="1:13" x14ac:dyDescent="0.25">
      <c r="D135" t="s">
        <v>33</v>
      </c>
      <c r="L135" t="s">
        <v>33</v>
      </c>
      <c r="M135" s="28">
        <v>1181</v>
      </c>
    </row>
    <row r="136" spans="1:13" x14ac:dyDescent="0.25">
      <c r="C136" t="s">
        <v>2104</v>
      </c>
      <c r="K136" t="s">
        <v>2104</v>
      </c>
      <c r="M136" s="28">
        <v>2847</v>
      </c>
    </row>
    <row r="137" spans="1:13" x14ac:dyDescent="0.25">
      <c r="C137" t="s">
        <v>2105</v>
      </c>
      <c r="D137" t="s">
        <v>39</v>
      </c>
      <c r="K137" t="s">
        <v>2105</v>
      </c>
      <c r="L137" t="s">
        <v>39</v>
      </c>
      <c r="M137" s="28">
        <v>522</v>
      </c>
    </row>
    <row r="138" spans="1:13" x14ac:dyDescent="0.25">
      <c r="D138" t="s">
        <v>19</v>
      </c>
      <c r="L138" t="s">
        <v>19</v>
      </c>
      <c r="M138" s="28">
        <v>590</v>
      </c>
    </row>
    <row r="139" spans="1:13" x14ac:dyDescent="0.25">
      <c r="D139" t="s">
        <v>33</v>
      </c>
      <c r="L139" t="s">
        <v>33</v>
      </c>
      <c r="M139" s="28">
        <v>1138</v>
      </c>
    </row>
    <row r="140" spans="1:13" x14ac:dyDescent="0.25">
      <c r="C140" t="s">
        <v>2106</v>
      </c>
      <c r="K140" t="s">
        <v>2106</v>
      </c>
      <c r="M140" s="28">
        <v>2250</v>
      </c>
    </row>
    <row r="141" spans="1:13" x14ac:dyDescent="0.25">
      <c r="B141" t="s">
        <v>2095</v>
      </c>
      <c r="J141" t="s">
        <v>2095</v>
      </c>
      <c r="M141" s="28">
        <v>11008</v>
      </c>
    </row>
    <row r="142" spans="1:13" x14ac:dyDescent="0.25">
      <c r="A142" t="s">
        <v>2109</v>
      </c>
      <c r="I142" t="s">
        <v>2109</v>
      </c>
      <c r="M142" s="28">
        <v>21273</v>
      </c>
    </row>
    <row r="143" spans="1:13" x14ac:dyDescent="0.25">
      <c r="A143" t="s">
        <v>2082</v>
      </c>
      <c r="B143" t="s">
        <v>62</v>
      </c>
      <c r="C143" t="s">
        <v>2099</v>
      </c>
      <c r="D143" t="s">
        <v>39</v>
      </c>
      <c r="I143" t="s">
        <v>2082</v>
      </c>
      <c r="J143" t="s">
        <v>62</v>
      </c>
      <c r="K143" t="s">
        <v>2099</v>
      </c>
      <c r="L143" t="s">
        <v>39</v>
      </c>
      <c r="M143" s="28">
        <v>1034</v>
      </c>
    </row>
    <row r="144" spans="1:13" x14ac:dyDescent="0.25">
      <c r="D144" t="s">
        <v>19</v>
      </c>
      <c r="L144" t="s">
        <v>19</v>
      </c>
      <c r="M144" s="28">
        <v>849</v>
      </c>
    </row>
    <row r="145" spans="1:13" x14ac:dyDescent="0.25">
      <c r="D145" t="s">
        <v>33</v>
      </c>
      <c r="L145" t="s">
        <v>33</v>
      </c>
      <c r="M145" s="28">
        <v>833</v>
      </c>
    </row>
    <row r="146" spans="1:13" x14ac:dyDescent="0.25">
      <c r="C146" t="s">
        <v>2100</v>
      </c>
      <c r="K146" t="s">
        <v>2100</v>
      </c>
      <c r="M146" s="28">
        <v>2716</v>
      </c>
    </row>
    <row r="147" spans="1:13" x14ac:dyDescent="0.25">
      <c r="C147" t="s">
        <v>2101</v>
      </c>
      <c r="D147" t="s">
        <v>39</v>
      </c>
      <c r="K147" t="s">
        <v>2101</v>
      </c>
      <c r="L147" t="s">
        <v>39</v>
      </c>
      <c r="M147" s="28">
        <v>610</v>
      </c>
    </row>
    <row r="148" spans="1:13" x14ac:dyDescent="0.25">
      <c r="D148" t="s">
        <v>19</v>
      </c>
      <c r="L148" t="s">
        <v>19</v>
      </c>
      <c r="M148" s="28">
        <v>880</v>
      </c>
    </row>
    <row r="149" spans="1:13" x14ac:dyDescent="0.25">
      <c r="D149" t="s">
        <v>33</v>
      </c>
      <c r="L149" t="s">
        <v>33</v>
      </c>
      <c r="M149" s="28">
        <v>657</v>
      </c>
    </row>
    <row r="150" spans="1:13" x14ac:dyDescent="0.25">
      <c r="C150" t="s">
        <v>2102</v>
      </c>
      <c r="K150" t="s">
        <v>2102</v>
      </c>
      <c r="M150" s="28">
        <v>2147</v>
      </c>
    </row>
    <row r="151" spans="1:13" x14ac:dyDescent="0.25">
      <c r="C151" t="s">
        <v>2103</v>
      </c>
      <c r="D151" t="s">
        <v>39</v>
      </c>
      <c r="K151" t="s">
        <v>2103</v>
      </c>
      <c r="L151" t="s">
        <v>39</v>
      </c>
      <c r="M151" s="28">
        <v>851</v>
      </c>
    </row>
    <row r="152" spans="1:13" x14ac:dyDescent="0.25">
      <c r="D152" t="s">
        <v>19</v>
      </c>
      <c r="L152" t="s">
        <v>19</v>
      </c>
      <c r="M152" s="28">
        <v>642</v>
      </c>
    </row>
    <row r="153" spans="1:13" x14ac:dyDescent="0.25">
      <c r="D153" t="s">
        <v>33</v>
      </c>
      <c r="L153" t="s">
        <v>33</v>
      </c>
      <c r="M153" s="28">
        <v>1143</v>
      </c>
    </row>
    <row r="154" spans="1:13" x14ac:dyDescent="0.25">
      <c r="C154" t="s">
        <v>2104</v>
      </c>
      <c r="K154" t="s">
        <v>2104</v>
      </c>
      <c r="M154" s="28">
        <v>2636</v>
      </c>
    </row>
    <row r="155" spans="1:13" x14ac:dyDescent="0.25">
      <c r="C155" t="s">
        <v>2105</v>
      </c>
      <c r="D155" t="s">
        <v>39</v>
      </c>
      <c r="K155" t="s">
        <v>2105</v>
      </c>
      <c r="L155" t="s">
        <v>39</v>
      </c>
      <c r="M155" s="28">
        <v>372</v>
      </c>
    </row>
    <row r="156" spans="1:13" x14ac:dyDescent="0.25">
      <c r="D156" t="s">
        <v>19</v>
      </c>
      <c r="L156" t="s">
        <v>19</v>
      </c>
      <c r="M156" s="28">
        <v>599</v>
      </c>
    </row>
    <row r="157" spans="1:13" x14ac:dyDescent="0.25">
      <c r="D157" t="s">
        <v>33</v>
      </c>
      <c r="L157" t="s">
        <v>33</v>
      </c>
      <c r="M157" s="28">
        <v>920</v>
      </c>
    </row>
    <row r="158" spans="1:13" x14ac:dyDescent="0.25">
      <c r="C158" t="s">
        <v>2106</v>
      </c>
      <c r="K158" t="s">
        <v>2106</v>
      </c>
      <c r="M158" s="28">
        <v>1891</v>
      </c>
    </row>
    <row r="159" spans="1:13" x14ac:dyDescent="0.25">
      <c r="B159" t="s">
        <v>2086</v>
      </c>
      <c r="J159" t="s">
        <v>2086</v>
      </c>
      <c r="M159" s="28">
        <v>9390</v>
      </c>
    </row>
    <row r="160" spans="1:13" x14ac:dyDescent="0.25">
      <c r="A160" t="s">
        <v>2110</v>
      </c>
      <c r="I160" t="s">
        <v>2110</v>
      </c>
      <c r="M160" s="28">
        <v>9390</v>
      </c>
    </row>
    <row r="161" spans="1:13" x14ac:dyDescent="0.25">
      <c r="A161" t="s">
        <v>21</v>
      </c>
      <c r="B161" t="s">
        <v>46</v>
      </c>
      <c r="C161" t="s">
        <v>2099</v>
      </c>
      <c r="D161" t="s">
        <v>39</v>
      </c>
      <c r="I161" t="s">
        <v>21</v>
      </c>
      <c r="J161" t="s">
        <v>46</v>
      </c>
      <c r="K161" t="s">
        <v>2099</v>
      </c>
      <c r="L161" t="s">
        <v>39</v>
      </c>
      <c r="M161" s="28">
        <v>1164</v>
      </c>
    </row>
    <row r="162" spans="1:13" x14ac:dyDescent="0.25">
      <c r="D162" t="s">
        <v>19</v>
      </c>
      <c r="L162" t="s">
        <v>19</v>
      </c>
      <c r="M162" s="28">
        <v>1420</v>
      </c>
    </row>
    <row r="163" spans="1:13" x14ac:dyDescent="0.25">
      <c r="D163" t="s">
        <v>33</v>
      </c>
      <c r="L163" t="s">
        <v>33</v>
      </c>
      <c r="M163" s="28">
        <v>575</v>
      </c>
    </row>
    <row r="164" spans="1:13" x14ac:dyDescent="0.25">
      <c r="C164" t="s">
        <v>2100</v>
      </c>
      <c r="K164" t="s">
        <v>2100</v>
      </c>
      <c r="M164" s="28">
        <v>3159</v>
      </c>
    </row>
    <row r="165" spans="1:13" x14ac:dyDescent="0.25">
      <c r="C165" t="s">
        <v>2101</v>
      </c>
      <c r="D165" t="s">
        <v>39</v>
      </c>
      <c r="K165" t="s">
        <v>2101</v>
      </c>
      <c r="L165" t="s">
        <v>39</v>
      </c>
      <c r="M165" s="28">
        <v>825</v>
      </c>
    </row>
    <row r="166" spans="1:13" x14ac:dyDescent="0.25">
      <c r="D166" t="s">
        <v>19</v>
      </c>
      <c r="L166" t="s">
        <v>19</v>
      </c>
      <c r="M166" s="28">
        <v>1085</v>
      </c>
    </row>
    <row r="167" spans="1:13" x14ac:dyDescent="0.25">
      <c r="D167" t="s">
        <v>33</v>
      </c>
      <c r="L167" t="s">
        <v>33</v>
      </c>
      <c r="M167" s="28">
        <v>1481</v>
      </c>
    </row>
    <row r="168" spans="1:13" x14ac:dyDescent="0.25">
      <c r="C168" t="s">
        <v>2102</v>
      </c>
      <c r="K168" t="s">
        <v>2102</v>
      </c>
      <c r="M168" s="28">
        <v>3391</v>
      </c>
    </row>
    <row r="169" spans="1:13" x14ac:dyDescent="0.25">
      <c r="C169" t="s">
        <v>2103</v>
      </c>
      <c r="D169" t="s">
        <v>39</v>
      </c>
      <c r="K169" t="s">
        <v>2103</v>
      </c>
      <c r="L169" t="s">
        <v>39</v>
      </c>
      <c r="M169" s="28">
        <v>521</v>
      </c>
    </row>
    <row r="170" spans="1:13" x14ac:dyDescent="0.25">
      <c r="D170" t="s">
        <v>19</v>
      </c>
      <c r="L170" t="s">
        <v>19</v>
      </c>
      <c r="M170" s="28">
        <v>1162</v>
      </c>
    </row>
    <row r="171" spans="1:13" x14ac:dyDescent="0.25">
      <c r="D171" t="s">
        <v>33</v>
      </c>
      <c r="L171" t="s">
        <v>33</v>
      </c>
      <c r="M171" s="28">
        <v>734</v>
      </c>
    </row>
    <row r="172" spans="1:13" x14ac:dyDescent="0.25">
      <c r="C172" t="s">
        <v>2104</v>
      </c>
      <c r="K172" t="s">
        <v>2104</v>
      </c>
      <c r="M172" s="28">
        <v>2417</v>
      </c>
    </row>
    <row r="173" spans="1:13" x14ac:dyDescent="0.25">
      <c r="C173" t="s">
        <v>2105</v>
      </c>
      <c r="D173" t="s">
        <v>39</v>
      </c>
      <c r="K173" t="s">
        <v>2105</v>
      </c>
      <c r="L173" t="s">
        <v>39</v>
      </c>
      <c r="M173" s="28">
        <v>641</v>
      </c>
    </row>
    <row r="174" spans="1:13" x14ac:dyDescent="0.25">
      <c r="D174" t="s">
        <v>19</v>
      </c>
      <c r="L174" t="s">
        <v>19</v>
      </c>
      <c r="M174" s="28">
        <v>556</v>
      </c>
    </row>
    <row r="175" spans="1:13" x14ac:dyDescent="0.25">
      <c r="D175" t="s">
        <v>33</v>
      </c>
      <c r="L175" t="s">
        <v>33</v>
      </c>
      <c r="M175" s="28">
        <v>606</v>
      </c>
    </row>
    <row r="176" spans="1:13" x14ac:dyDescent="0.25">
      <c r="C176" t="s">
        <v>2106</v>
      </c>
      <c r="K176" t="s">
        <v>2106</v>
      </c>
      <c r="M176" s="28">
        <v>1803</v>
      </c>
    </row>
    <row r="177" spans="1:13" x14ac:dyDescent="0.25">
      <c r="B177" t="s">
        <v>2087</v>
      </c>
      <c r="J177" t="s">
        <v>2087</v>
      </c>
      <c r="M177" s="28">
        <v>10770</v>
      </c>
    </row>
    <row r="178" spans="1:13" x14ac:dyDescent="0.25">
      <c r="A178" t="s">
        <v>2111</v>
      </c>
      <c r="I178" t="s">
        <v>2111</v>
      </c>
      <c r="M178" s="28">
        <v>10770</v>
      </c>
    </row>
    <row r="179" spans="1:13" x14ac:dyDescent="0.25">
      <c r="A179" t="s">
        <v>2069</v>
      </c>
      <c r="I179" t="s">
        <v>2069</v>
      </c>
      <c r="M179" s="28">
        <v>102108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90147-7CCE-4C1F-B6D9-3AF747BEFC42}">
  <dimension ref="A1:A25"/>
  <sheetViews>
    <sheetView workbookViewId="0">
      <selection activeCell="D22" sqref="D22"/>
    </sheetView>
  </sheetViews>
  <sheetFormatPr defaultRowHeight="15" x14ac:dyDescent="0.25"/>
  <cols>
    <col min="1" max="1" width="42" bestFit="1" customWidth="1"/>
  </cols>
  <sheetData>
    <row r="1" spans="1:1" x14ac:dyDescent="0.25">
      <c r="A1" t="s">
        <v>2112</v>
      </c>
    </row>
    <row r="2" spans="1:1" x14ac:dyDescent="0.25">
      <c r="A2" t="s">
        <v>2113</v>
      </c>
    </row>
    <row r="3" spans="1:1" x14ac:dyDescent="0.25">
      <c r="A3" t="s">
        <v>2114</v>
      </c>
    </row>
    <row r="4" spans="1:1" x14ac:dyDescent="0.25">
      <c r="A4" t="s">
        <v>2115</v>
      </c>
    </row>
    <row r="5" spans="1:1" x14ac:dyDescent="0.25">
      <c r="A5" t="s">
        <v>2116</v>
      </c>
    </row>
    <row r="6" spans="1:1" x14ac:dyDescent="0.25">
      <c r="A6" t="s">
        <v>2117</v>
      </c>
    </row>
    <row r="7" spans="1:1" x14ac:dyDescent="0.25">
      <c r="A7" t="s">
        <v>2118</v>
      </c>
    </row>
    <row r="8" spans="1:1" x14ac:dyDescent="0.25">
      <c r="A8" t="s">
        <v>2119</v>
      </c>
    </row>
    <row r="9" spans="1:1" x14ac:dyDescent="0.25">
      <c r="A9" t="s">
        <v>2120</v>
      </c>
    </row>
    <row r="10" spans="1:1" x14ac:dyDescent="0.25">
      <c r="A10" t="s">
        <v>2121</v>
      </c>
    </row>
    <row r="11" spans="1:1" x14ac:dyDescent="0.25">
      <c r="A11" t="s">
        <v>2122</v>
      </c>
    </row>
    <row r="12" spans="1:1" x14ac:dyDescent="0.25">
      <c r="A12" t="s">
        <v>2123</v>
      </c>
    </row>
    <row r="13" spans="1:1" x14ac:dyDescent="0.25">
      <c r="A13" t="s">
        <v>2124</v>
      </c>
    </row>
    <row r="14" spans="1:1" x14ac:dyDescent="0.25">
      <c r="A14" t="s">
        <v>2125</v>
      </c>
    </row>
    <row r="15" spans="1:1" x14ac:dyDescent="0.25">
      <c r="A15" t="s">
        <v>2126</v>
      </c>
    </row>
    <row r="16" spans="1:1" x14ac:dyDescent="0.25">
      <c r="A16" t="s">
        <v>2127</v>
      </c>
    </row>
    <row r="17" spans="1:1" x14ac:dyDescent="0.25">
      <c r="A17" t="s">
        <v>2128</v>
      </c>
    </row>
    <row r="18" spans="1:1" x14ac:dyDescent="0.25">
      <c r="A18" t="s">
        <v>2129</v>
      </c>
    </row>
    <row r="19" spans="1:1" x14ac:dyDescent="0.25">
      <c r="A19" t="s">
        <v>2130</v>
      </c>
    </row>
    <row r="20" spans="1:1" x14ac:dyDescent="0.25">
      <c r="A20" t="s">
        <v>2131</v>
      </c>
    </row>
    <row r="21" spans="1:1" x14ac:dyDescent="0.25">
      <c r="A21" t="s">
        <v>2132</v>
      </c>
    </row>
    <row r="22" spans="1:1" x14ac:dyDescent="0.25">
      <c r="A22" t="s">
        <v>2133</v>
      </c>
    </row>
    <row r="25" spans="1:1" ht="82.5" x14ac:dyDescent="0.3">
      <c r="A25" s="45" t="s">
        <v>2134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74AFF-B72D-4605-A4A5-1BC768F2CA5E}">
  <dimension ref="A4:M693"/>
  <sheetViews>
    <sheetView workbookViewId="0">
      <selection activeCell="K23" sqref="K23"/>
    </sheetView>
  </sheetViews>
  <sheetFormatPr defaultRowHeight="15" x14ac:dyDescent="0.25"/>
  <cols>
    <col min="1" max="1" width="13.28515625" bestFit="1" customWidth="1"/>
    <col min="2" max="2" width="11.140625" bestFit="1" customWidth="1"/>
    <col min="3" max="3" width="11.7109375" bestFit="1" customWidth="1"/>
    <col min="4" max="4" width="14.140625" bestFit="1" customWidth="1"/>
    <col min="5" max="5" width="11.7109375" bestFit="1" customWidth="1"/>
    <col min="6" max="6" width="13.28515625" bestFit="1" customWidth="1"/>
    <col min="7" max="7" width="10.7109375" bestFit="1" customWidth="1"/>
    <col min="8" max="8" width="11.140625" bestFit="1" customWidth="1"/>
    <col min="9" max="9" width="24.7109375" bestFit="1" customWidth="1"/>
    <col min="10" max="10" width="16.42578125" bestFit="1" customWidth="1"/>
    <col min="11" max="11" width="14" bestFit="1" customWidth="1"/>
    <col min="12" max="12" width="16.42578125" bestFit="1" customWidth="1"/>
    <col min="13" max="13" width="24.7109375" bestFit="1" customWidth="1"/>
    <col min="14" max="14" width="16.42578125" bestFit="1" customWidth="1"/>
    <col min="15" max="15" width="24.7109375" bestFit="1" customWidth="1"/>
    <col min="16" max="16" width="16.42578125" bestFit="1" customWidth="1"/>
    <col min="17" max="17" width="24.7109375" bestFit="1" customWidth="1"/>
    <col min="18" max="18" width="16.42578125" bestFit="1" customWidth="1"/>
    <col min="19" max="19" width="24.7109375" bestFit="1" customWidth="1"/>
    <col min="20" max="20" width="16.42578125" bestFit="1" customWidth="1"/>
    <col min="21" max="21" width="24.7109375" bestFit="1" customWidth="1"/>
    <col min="22" max="22" width="21.140625" bestFit="1" customWidth="1"/>
    <col min="23" max="23" width="29.42578125" bestFit="1" customWidth="1"/>
  </cols>
  <sheetData>
    <row r="4" spans="1:13" x14ac:dyDescent="0.25">
      <c r="K4" s="80" t="s">
        <v>2135</v>
      </c>
      <c r="L4" s="79"/>
      <c r="M4" s="79"/>
    </row>
    <row r="5" spans="1:13" x14ac:dyDescent="0.25">
      <c r="A5" s="27" t="s">
        <v>2071</v>
      </c>
      <c r="F5" s="27" t="s">
        <v>2063</v>
      </c>
      <c r="K5" s="27" t="s">
        <v>2084</v>
      </c>
      <c r="L5" t="s">
        <v>2098</v>
      </c>
      <c r="M5" t="s">
        <v>2071</v>
      </c>
    </row>
    <row r="6" spans="1:13" x14ac:dyDescent="0.25">
      <c r="A6" s="27" t="s">
        <v>2052</v>
      </c>
      <c r="B6" s="27" t="s">
        <v>1</v>
      </c>
      <c r="C6" s="27" t="s">
        <v>5</v>
      </c>
      <c r="D6" s="27" t="s">
        <v>2062</v>
      </c>
      <c r="E6" s="27" t="s">
        <v>2</v>
      </c>
      <c r="F6" s="55">
        <v>2023</v>
      </c>
      <c r="G6" s="55">
        <v>2024</v>
      </c>
      <c r="H6" s="55" t="s">
        <v>2069</v>
      </c>
      <c r="K6" s="57" t="s">
        <v>2072</v>
      </c>
      <c r="L6" s="28">
        <v>31259</v>
      </c>
      <c r="M6" s="28">
        <v>24100917.859999981</v>
      </c>
    </row>
    <row r="7" spans="1:13" x14ac:dyDescent="0.25">
      <c r="A7" t="s">
        <v>2081</v>
      </c>
      <c r="B7" t="s">
        <v>32</v>
      </c>
      <c r="C7" t="s">
        <v>29</v>
      </c>
      <c r="D7" t="s">
        <v>2099</v>
      </c>
      <c r="E7" t="s">
        <v>39</v>
      </c>
      <c r="F7" s="28">
        <v>66594.100000000006</v>
      </c>
      <c r="G7" s="28">
        <v>35381.82</v>
      </c>
      <c r="H7" s="28">
        <v>101975.92000000001</v>
      </c>
      <c r="K7" s="57" t="s">
        <v>2073</v>
      </c>
      <c r="L7" s="28">
        <v>15234</v>
      </c>
      <c r="M7" s="28">
        <v>11651880.840000007</v>
      </c>
    </row>
    <row r="8" spans="1:13" x14ac:dyDescent="0.25">
      <c r="E8" t="s">
        <v>19</v>
      </c>
      <c r="F8" s="28">
        <v>65504.1</v>
      </c>
      <c r="G8" s="28">
        <v>101276</v>
      </c>
      <c r="H8" s="28">
        <v>166780.1</v>
      </c>
      <c r="K8" s="57" t="s">
        <v>2074</v>
      </c>
      <c r="L8" s="28">
        <v>8380</v>
      </c>
      <c r="M8" s="28">
        <v>6043128.4699999979</v>
      </c>
    </row>
    <row r="9" spans="1:13" x14ac:dyDescent="0.25">
      <c r="E9" t="s">
        <v>33</v>
      </c>
      <c r="F9" s="28">
        <v>121822.94</v>
      </c>
      <c r="G9" s="28">
        <v>14243.4</v>
      </c>
      <c r="H9" s="28">
        <v>136066.34</v>
      </c>
      <c r="K9" s="57" t="s">
        <v>2075</v>
      </c>
      <c r="L9" s="28">
        <v>19085</v>
      </c>
      <c r="M9" s="28">
        <v>15391918.540000008</v>
      </c>
    </row>
    <row r="10" spans="1:13" x14ac:dyDescent="0.25">
      <c r="D10" t="s">
        <v>2100</v>
      </c>
      <c r="F10" s="28">
        <v>253921.14</v>
      </c>
      <c r="G10" s="28">
        <v>150901.22</v>
      </c>
      <c r="H10" s="28">
        <v>404822.36</v>
      </c>
      <c r="K10" s="57" t="s">
        <v>2076</v>
      </c>
      <c r="L10" s="28">
        <v>11366</v>
      </c>
      <c r="M10" s="28">
        <v>8759446.0500000007</v>
      </c>
    </row>
    <row r="11" spans="1:13" x14ac:dyDescent="0.25">
      <c r="D11" t="s">
        <v>2101</v>
      </c>
      <c r="E11" t="s">
        <v>39</v>
      </c>
      <c r="F11" s="28">
        <v>51951.08</v>
      </c>
      <c r="G11" s="28">
        <v>115350.43000000001</v>
      </c>
      <c r="H11" s="28">
        <v>167301.51</v>
      </c>
      <c r="K11" s="57" t="s">
        <v>2077</v>
      </c>
      <c r="L11" s="28">
        <v>7313</v>
      </c>
      <c r="M11" s="28">
        <v>5937134.6000000024</v>
      </c>
    </row>
    <row r="12" spans="1:13" x14ac:dyDescent="0.25">
      <c r="E12" t="s">
        <v>19</v>
      </c>
      <c r="F12" s="28"/>
      <c r="G12" s="28">
        <v>16392.189999999999</v>
      </c>
      <c r="H12" s="28">
        <v>16392.189999999999</v>
      </c>
      <c r="K12" s="57" t="s">
        <v>2078</v>
      </c>
      <c r="L12" s="28">
        <v>9471</v>
      </c>
      <c r="M12" s="28">
        <v>7194952.0499999989</v>
      </c>
    </row>
    <row r="13" spans="1:13" x14ac:dyDescent="0.25">
      <c r="E13" t="s">
        <v>33</v>
      </c>
      <c r="F13" s="28"/>
      <c r="G13" s="28">
        <v>3696</v>
      </c>
      <c r="H13" s="28">
        <v>3696</v>
      </c>
      <c r="K13" s="57" t="s">
        <v>2069</v>
      </c>
      <c r="L13" s="28">
        <v>102108</v>
      </c>
      <c r="M13" s="28">
        <v>79079378.409999996</v>
      </c>
    </row>
    <row r="14" spans="1:13" x14ac:dyDescent="0.25">
      <c r="D14" t="s">
        <v>2102</v>
      </c>
      <c r="F14" s="28">
        <v>51951.08</v>
      </c>
      <c r="G14" s="28">
        <v>135438.62</v>
      </c>
      <c r="H14" s="28">
        <v>187389.7</v>
      </c>
    </row>
    <row r="15" spans="1:13" x14ac:dyDescent="0.25">
      <c r="D15" t="s">
        <v>2103</v>
      </c>
      <c r="E15" t="s">
        <v>39</v>
      </c>
      <c r="F15" s="28">
        <v>183928.2</v>
      </c>
      <c r="G15" s="28">
        <v>80539.08</v>
      </c>
      <c r="H15" s="28">
        <v>264467.28000000003</v>
      </c>
    </row>
    <row r="16" spans="1:13" x14ac:dyDescent="0.25">
      <c r="E16" t="s">
        <v>19</v>
      </c>
      <c r="F16" s="28">
        <v>175139.8</v>
      </c>
      <c r="G16" s="28">
        <v>207842.62000000002</v>
      </c>
      <c r="H16" s="28">
        <v>382982.42000000004</v>
      </c>
    </row>
    <row r="17" spans="3:8" x14ac:dyDescent="0.25">
      <c r="E17" t="s">
        <v>33</v>
      </c>
      <c r="F17" s="28">
        <v>113074.29</v>
      </c>
      <c r="G17" s="28">
        <v>996.8</v>
      </c>
      <c r="H17" s="28">
        <v>114071.09</v>
      </c>
    </row>
    <row r="18" spans="3:8" x14ac:dyDescent="0.25">
      <c r="D18" t="s">
        <v>2104</v>
      </c>
      <c r="F18" s="28">
        <v>472142.29</v>
      </c>
      <c r="G18" s="28">
        <v>289378.5</v>
      </c>
      <c r="H18" s="28">
        <v>761520.79</v>
      </c>
    </row>
    <row r="19" spans="3:8" x14ac:dyDescent="0.25">
      <c r="D19" t="s">
        <v>2105</v>
      </c>
      <c r="E19" t="s">
        <v>39</v>
      </c>
      <c r="F19" s="28"/>
      <c r="G19" s="28">
        <v>48264.119999999995</v>
      </c>
      <c r="H19" s="28">
        <v>48264.119999999995</v>
      </c>
    </row>
    <row r="20" spans="3:8" x14ac:dyDescent="0.25">
      <c r="E20" t="s">
        <v>19</v>
      </c>
      <c r="F20" s="28">
        <v>114339.28</v>
      </c>
      <c r="G20" s="28"/>
      <c r="H20" s="28">
        <v>114339.28</v>
      </c>
    </row>
    <row r="21" spans="3:8" x14ac:dyDescent="0.25">
      <c r="E21" t="s">
        <v>33</v>
      </c>
      <c r="F21" s="28">
        <v>148570.64000000001</v>
      </c>
      <c r="G21" s="28"/>
      <c r="H21" s="28">
        <v>148570.64000000001</v>
      </c>
    </row>
    <row r="22" spans="3:8" x14ac:dyDescent="0.25">
      <c r="D22" t="s">
        <v>2106</v>
      </c>
      <c r="F22" s="28">
        <v>262909.92000000004</v>
      </c>
      <c r="G22" s="28">
        <v>48264.119999999995</v>
      </c>
      <c r="H22" s="28">
        <v>311174.04000000004</v>
      </c>
    </row>
    <row r="23" spans="3:8" x14ac:dyDescent="0.25">
      <c r="C23" t="s">
        <v>2136</v>
      </c>
      <c r="F23" s="28">
        <v>1040924.43</v>
      </c>
      <c r="G23" s="28">
        <v>623982.46000000008</v>
      </c>
      <c r="H23" s="28">
        <v>1664906.8900000001</v>
      </c>
    </row>
    <row r="24" spans="3:8" x14ac:dyDescent="0.25">
      <c r="C24" t="s">
        <v>48</v>
      </c>
      <c r="D24" t="s">
        <v>2099</v>
      </c>
      <c r="E24" t="s">
        <v>39</v>
      </c>
      <c r="F24" s="28">
        <v>26712.530000000002</v>
      </c>
      <c r="G24" s="28">
        <v>4646.88</v>
      </c>
      <c r="H24" s="28">
        <v>31359.410000000003</v>
      </c>
    </row>
    <row r="25" spans="3:8" x14ac:dyDescent="0.25">
      <c r="E25" t="s">
        <v>19</v>
      </c>
      <c r="F25" s="28">
        <v>163629.57</v>
      </c>
      <c r="G25" s="28"/>
      <c r="H25" s="28">
        <v>163629.57</v>
      </c>
    </row>
    <row r="26" spans="3:8" x14ac:dyDescent="0.25">
      <c r="E26" t="s">
        <v>33</v>
      </c>
      <c r="F26" s="28">
        <v>177993.89</v>
      </c>
      <c r="G26" s="28"/>
      <c r="H26" s="28">
        <v>177993.89</v>
      </c>
    </row>
    <row r="27" spans="3:8" x14ac:dyDescent="0.25">
      <c r="D27" t="s">
        <v>2100</v>
      </c>
      <c r="F27" s="28">
        <v>368335.99</v>
      </c>
      <c r="G27" s="28">
        <v>4646.88</v>
      </c>
      <c r="H27" s="28">
        <v>372982.87</v>
      </c>
    </row>
    <row r="28" spans="3:8" x14ac:dyDescent="0.25">
      <c r="D28" t="s">
        <v>2101</v>
      </c>
      <c r="E28" t="s">
        <v>39</v>
      </c>
      <c r="F28" s="28">
        <v>75119.94</v>
      </c>
      <c r="G28" s="28">
        <v>144401.73000000001</v>
      </c>
      <c r="H28" s="28">
        <v>219521.67</v>
      </c>
    </row>
    <row r="29" spans="3:8" x14ac:dyDescent="0.25">
      <c r="E29" t="s">
        <v>19</v>
      </c>
      <c r="F29" s="28">
        <v>135944.26999999999</v>
      </c>
      <c r="G29" s="28">
        <v>76460.08</v>
      </c>
      <c r="H29" s="28">
        <v>212404.34999999998</v>
      </c>
    </row>
    <row r="30" spans="3:8" x14ac:dyDescent="0.25">
      <c r="E30" t="s">
        <v>33</v>
      </c>
      <c r="F30" s="28">
        <v>107148.45999999999</v>
      </c>
      <c r="G30" s="28">
        <v>8573.5</v>
      </c>
      <c r="H30" s="28">
        <v>115721.95999999999</v>
      </c>
    </row>
    <row r="31" spans="3:8" x14ac:dyDescent="0.25">
      <c r="D31" t="s">
        <v>2102</v>
      </c>
      <c r="F31" s="28">
        <v>318212.67</v>
      </c>
      <c r="G31" s="28">
        <v>229435.31</v>
      </c>
      <c r="H31" s="28">
        <v>547647.98</v>
      </c>
    </row>
    <row r="32" spans="3:8" x14ac:dyDescent="0.25">
      <c r="D32" t="s">
        <v>2103</v>
      </c>
      <c r="E32" t="s">
        <v>39</v>
      </c>
      <c r="F32" s="28">
        <v>176935.82</v>
      </c>
      <c r="G32" s="28">
        <v>48805</v>
      </c>
      <c r="H32" s="28">
        <v>225740.82</v>
      </c>
    </row>
    <row r="33" spans="3:8" x14ac:dyDescent="0.25">
      <c r="E33" t="s">
        <v>19</v>
      </c>
      <c r="F33" s="28">
        <v>60483.98</v>
      </c>
      <c r="G33" s="28">
        <v>42926.46</v>
      </c>
      <c r="H33" s="28">
        <v>103410.44</v>
      </c>
    </row>
    <row r="34" spans="3:8" x14ac:dyDescent="0.25">
      <c r="E34" t="s">
        <v>33</v>
      </c>
      <c r="F34" s="28">
        <v>3346.7</v>
      </c>
      <c r="G34" s="28">
        <v>124099.94</v>
      </c>
      <c r="H34" s="28">
        <v>127446.64</v>
      </c>
    </row>
    <row r="35" spans="3:8" x14ac:dyDescent="0.25">
      <c r="D35" t="s">
        <v>2104</v>
      </c>
      <c r="F35" s="28">
        <v>240766.50000000003</v>
      </c>
      <c r="G35" s="28">
        <v>215831.4</v>
      </c>
      <c r="H35" s="28">
        <v>456597.9</v>
      </c>
    </row>
    <row r="36" spans="3:8" x14ac:dyDescent="0.25">
      <c r="D36" t="s">
        <v>2105</v>
      </c>
      <c r="E36" t="s">
        <v>39</v>
      </c>
      <c r="F36" s="28"/>
      <c r="G36" s="28">
        <v>208462.83000000002</v>
      </c>
      <c r="H36" s="28">
        <v>208462.83000000002</v>
      </c>
    </row>
    <row r="37" spans="3:8" x14ac:dyDescent="0.25">
      <c r="E37" t="s">
        <v>19</v>
      </c>
      <c r="F37" s="28">
        <v>162772.71</v>
      </c>
      <c r="G37" s="28"/>
      <c r="H37" s="28">
        <v>162772.71</v>
      </c>
    </row>
    <row r="38" spans="3:8" x14ac:dyDescent="0.25">
      <c r="D38" t="s">
        <v>2106</v>
      </c>
      <c r="F38" s="28">
        <v>162772.71</v>
      </c>
      <c r="G38" s="28">
        <v>208462.83000000002</v>
      </c>
      <c r="H38" s="28">
        <v>371235.54000000004</v>
      </c>
    </row>
    <row r="39" spans="3:8" x14ac:dyDescent="0.25">
      <c r="C39" t="s">
        <v>2137</v>
      </c>
      <c r="F39" s="28">
        <v>1090087.8699999999</v>
      </c>
      <c r="G39" s="28">
        <v>658376.42000000004</v>
      </c>
      <c r="H39" s="28">
        <v>1748464.2899999998</v>
      </c>
    </row>
    <row r="40" spans="3:8" x14ac:dyDescent="0.25">
      <c r="C40" t="s">
        <v>22</v>
      </c>
      <c r="D40" t="s">
        <v>2099</v>
      </c>
      <c r="E40" t="s">
        <v>39</v>
      </c>
      <c r="F40" s="28">
        <v>69571.22</v>
      </c>
      <c r="G40" s="28">
        <v>61616.499999999993</v>
      </c>
      <c r="H40" s="28">
        <v>131187.72</v>
      </c>
    </row>
    <row r="41" spans="3:8" x14ac:dyDescent="0.25">
      <c r="E41" t="s">
        <v>19</v>
      </c>
      <c r="F41" s="28">
        <v>12394.98</v>
      </c>
      <c r="G41" s="28">
        <v>223111.02</v>
      </c>
      <c r="H41" s="28">
        <v>235506</v>
      </c>
    </row>
    <row r="42" spans="3:8" x14ac:dyDescent="0.25">
      <c r="E42" t="s">
        <v>33</v>
      </c>
      <c r="F42" s="28">
        <v>244483.87999999998</v>
      </c>
      <c r="G42" s="28">
        <v>150947.37999999998</v>
      </c>
      <c r="H42" s="28">
        <v>395431.25999999995</v>
      </c>
    </row>
    <row r="43" spans="3:8" x14ac:dyDescent="0.25">
      <c r="D43" t="s">
        <v>2100</v>
      </c>
      <c r="F43" s="28">
        <v>326450.07999999996</v>
      </c>
      <c r="G43" s="28">
        <v>435674.89999999991</v>
      </c>
      <c r="H43" s="28">
        <v>762124.98</v>
      </c>
    </row>
    <row r="44" spans="3:8" x14ac:dyDescent="0.25">
      <c r="D44" t="s">
        <v>2101</v>
      </c>
      <c r="E44" t="s">
        <v>39</v>
      </c>
      <c r="F44" s="28">
        <v>23166.7</v>
      </c>
      <c r="G44" s="28">
        <v>94761.67</v>
      </c>
      <c r="H44" s="28">
        <v>117928.37</v>
      </c>
    </row>
    <row r="45" spans="3:8" x14ac:dyDescent="0.25">
      <c r="E45" t="s">
        <v>19</v>
      </c>
      <c r="F45" s="28">
        <v>8675.7999999999993</v>
      </c>
      <c r="G45" s="28">
        <v>169790.40000000002</v>
      </c>
      <c r="H45" s="28">
        <v>178466.2</v>
      </c>
    </row>
    <row r="46" spans="3:8" x14ac:dyDescent="0.25">
      <c r="E46" t="s">
        <v>33</v>
      </c>
      <c r="F46" s="28">
        <v>164542.73000000004</v>
      </c>
      <c r="G46" s="28">
        <v>113681.98000000001</v>
      </c>
      <c r="H46" s="28">
        <v>278224.71000000008</v>
      </c>
    </row>
    <row r="47" spans="3:8" x14ac:dyDescent="0.25">
      <c r="D47" t="s">
        <v>2102</v>
      </c>
      <c r="F47" s="28">
        <v>196385.23000000004</v>
      </c>
      <c r="G47" s="28">
        <v>378234.05000000005</v>
      </c>
      <c r="H47" s="28">
        <v>574619.28</v>
      </c>
    </row>
    <row r="48" spans="3:8" x14ac:dyDescent="0.25">
      <c r="D48" t="s">
        <v>2103</v>
      </c>
      <c r="E48" t="s">
        <v>39</v>
      </c>
      <c r="F48" s="28"/>
      <c r="G48" s="28">
        <v>143256.79999999999</v>
      </c>
      <c r="H48" s="28">
        <v>143256.79999999999</v>
      </c>
    </row>
    <row r="49" spans="3:8" x14ac:dyDescent="0.25">
      <c r="E49" t="s">
        <v>19</v>
      </c>
      <c r="F49" s="28"/>
      <c r="G49" s="28">
        <v>81865.260000000009</v>
      </c>
      <c r="H49" s="28">
        <v>81865.260000000009</v>
      </c>
    </row>
    <row r="50" spans="3:8" x14ac:dyDescent="0.25">
      <c r="E50" t="s">
        <v>33</v>
      </c>
      <c r="F50" s="28"/>
      <c r="G50" s="28">
        <v>7607.52</v>
      </c>
      <c r="H50" s="28">
        <v>7607.52</v>
      </c>
    </row>
    <row r="51" spans="3:8" x14ac:dyDescent="0.25">
      <c r="D51" t="s">
        <v>2104</v>
      </c>
      <c r="F51" s="28"/>
      <c r="G51" s="28">
        <v>232729.58</v>
      </c>
      <c r="H51" s="28">
        <v>232729.58</v>
      </c>
    </row>
    <row r="52" spans="3:8" x14ac:dyDescent="0.25">
      <c r="D52" t="s">
        <v>2105</v>
      </c>
      <c r="E52" t="s">
        <v>39</v>
      </c>
      <c r="F52" s="28">
        <v>54433.2</v>
      </c>
      <c r="G52" s="28">
        <v>74463.179999999993</v>
      </c>
      <c r="H52" s="28">
        <v>128896.37999999999</v>
      </c>
    </row>
    <row r="53" spans="3:8" x14ac:dyDescent="0.25">
      <c r="E53" t="s">
        <v>19</v>
      </c>
      <c r="F53" s="28">
        <v>160115.76999999999</v>
      </c>
      <c r="G53" s="28">
        <v>112928.56</v>
      </c>
      <c r="H53" s="28">
        <v>273044.32999999996</v>
      </c>
    </row>
    <row r="54" spans="3:8" x14ac:dyDescent="0.25">
      <c r="E54" t="s">
        <v>33</v>
      </c>
      <c r="F54" s="28">
        <v>87797.58</v>
      </c>
      <c r="G54" s="28"/>
      <c r="H54" s="28">
        <v>87797.58</v>
      </c>
    </row>
    <row r="55" spans="3:8" x14ac:dyDescent="0.25">
      <c r="D55" t="s">
        <v>2106</v>
      </c>
      <c r="F55" s="28">
        <v>302346.55</v>
      </c>
      <c r="G55" s="28">
        <v>187391.74</v>
      </c>
      <c r="H55" s="28">
        <v>489738.29</v>
      </c>
    </row>
    <row r="56" spans="3:8" x14ac:dyDescent="0.25">
      <c r="C56" t="s">
        <v>2138</v>
      </c>
      <c r="F56" s="28">
        <v>825181.86</v>
      </c>
      <c r="G56" s="28">
        <v>1234030.27</v>
      </c>
      <c r="H56" s="28">
        <v>2059212.1300000004</v>
      </c>
    </row>
    <row r="57" spans="3:8" x14ac:dyDescent="0.25">
      <c r="C57" t="s">
        <v>40</v>
      </c>
      <c r="D57" t="s">
        <v>2099</v>
      </c>
      <c r="E57" t="s">
        <v>39</v>
      </c>
      <c r="F57" s="28">
        <v>125097.08</v>
      </c>
      <c r="G57" s="28">
        <v>3230.85</v>
      </c>
      <c r="H57" s="28">
        <v>128327.93000000001</v>
      </c>
    </row>
    <row r="58" spans="3:8" x14ac:dyDescent="0.25">
      <c r="E58" t="s">
        <v>19</v>
      </c>
      <c r="F58" s="28">
        <v>42124.479999999996</v>
      </c>
      <c r="G58" s="28">
        <v>251295.79</v>
      </c>
      <c r="H58" s="28">
        <v>293420.27</v>
      </c>
    </row>
    <row r="59" spans="3:8" x14ac:dyDescent="0.25">
      <c r="E59" t="s">
        <v>33</v>
      </c>
      <c r="F59" s="28">
        <v>39654.159999999996</v>
      </c>
      <c r="G59" s="28">
        <v>17971.8</v>
      </c>
      <c r="H59" s="28">
        <v>57625.959999999992</v>
      </c>
    </row>
    <row r="60" spans="3:8" x14ac:dyDescent="0.25">
      <c r="D60" t="s">
        <v>2100</v>
      </c>
      <c r="F60" s="28">
        <v>206875.72</v>
      </c>
      <c r="G60" s="28">
        <v>272498.44</v>
      </c>
      <c r="H60" s="28">
        <v>479374.16000000003</v>
      </c>
    </row>
    <row r="61" spans="3:8" x14ac:dyDescent="0.25">
      <c r="D61" t="s">
        <v>2101</v>
      </c>
      <c r="E61" t="s">
        <v>39</v>
      </c>
      <c r="F61" s="28">
        <v>122959.83</v>
      </c>
      <c r="G61" s="28">
        <v>13896</v>
      </c>
      <c r="H61" s="28">
        <v>136855.83000000002</v>
      </c>
    </row>
    <row r="62" spans="3:8" x14ac:dyDescent="0.25">
      <c r="E62" t="s">
        <v>19</v>
      </c>
      <c r="F62" s="28">
        <v>119347.88</v>
      </c>
      <c r="G62" s="28">
        <v>148812.89000000001</v>
      </c>
      <c r="H62" s="28">
        <v>268160.77</v>
      </c>
    </row>
    <row r="63" spans="3:8" x14ac:dyDescent="0.25">
      <c r="E63" t="s">
        <v>33</v>
      </c>
      <c r="F63" s="28">
        <v>123267.70000000001</v>
      </c>
      <c r="G63" s="28">
        <v>107279.38</v>
      </c>
      <c r="H63" s="28">
        <v>230547.08000000002</v>
      </c>
    </row>
    <row r="64" spans="3:8" x14ac:dyDescent="0.25">
      <c r="D64" t="s">
        <v>2102</v>
      </c>
      <c r="F64" s="28">
        <v>365575.41000000003</v>
      </c>
      <c r="G64" s="28">
        <v>269988.27</v>
      </c>
      <c r="H64" s="28">
        <v>635563.68000000005</v>
      </c>
    </row>
    <row r="65" spans="2:8" x14ac:dyDescent="0.25">
      <c r="D65" t="s">
        <v>2103</v>
      </c>
      <c r="E65" t="s">
        <v>39</v>
      </c>
      <c r="F65" s="28">
        <v>235627.5</v>
      </c>
      <c r="G65" s="28">
        <v>27749.14</v>
      </c>
      <c r="H65" s="28">
        <v>263376.64000000001</v>
      </c>
    </row>
    <row r="66" spans="2:8" x14ac:dyDescent="0.25">
      <c r="E66" t="s">
        <v>19</v>
      </c>
      <c r="F66" s="28">
        <v>172696.04</v>
      </c>
      <c r="G66" s="28">
        <v>325088.76</v>
      </c>
      <c r="H66" s="28">
        <v>497784.80000000005</v>
      </c>
    </row>
    <row r="67" spans="2:8" x14ac:dyDescent="0.25">
      <c r="E67" t="s">
        <v>33</v>
      </c>
      <c r="F67" s="28">
        <v>133750.85999999999</v>
      </c>
      <c r="G67" s="28">
        <v>72907.929999999993</v>
      </c>
      <c r="H67" s="28">
        <v>206658.78999999998</v>
      </c>
    </row>
    <row r="68" spans="2:8" x14ac:dyDescent="0.25">
      <c r="D68" t="s">
        <v>2104</v>
      </c>
      <c r="F68" s="28">
        <v>542074.4</v>
      </c>
      <c r="G68" s="28">
        <v>425745.83</v>
      </c>
      <c r="H68" s="28">
        <v>967820.23</v>
      </c>
    </row>
    <row r="69" spans="2:8" x14ac:dyDescent="0.25">
      <c r="D69" t="s">
        <v>2105</v>
      </c>
      <c r="E69" t="s">
        <v>39</v>
      </c>
      <c r="F69" s="28">
        <v>53410.68</v>
      </c>
      <c r="G69" s="28"/>
      <c r="H69" s="28">
        <v>53410.68</v>
      </c>
    </row>
    <row r="70" spans="2:8" x14ac:dyDescent="0.25">
      <c r="E70" t="s">
        <v>19</v>
      </c>
      <c r="F70" s="28">
        <v>356379.99999999994</v>
      </c>
      <c r="G70" s="28">
        <v>76448.59</v>
      </c>
      <c r="H70" s="28">
        <v>432828.58999999997</v>
      </c>
    </row>
    <row r="71" spans="2:8" x14ac:dyDescent="0.25">
      <c r="E71" t="s">
        <v>33</v>
      </c>
      <c r="F71" s="28">
        <v>49841.62</v>
      </c>
      <c r="G71" s="28"/>
      <c r="H71" s="28">
        <v>49841.62</v>
      </c>
    </row>
    <row r="72" spans="2:8" x14ac:dyDescent="0.25">
      <c r="D72" t="s">
        <v>2106</v>
      </c>
      <c r="F72" s="28">
        <v>459632.29999999993</v>
      </c>
      <c r="G72" s="28">
        <v>76448.59</v>
      </c>
      <c r="H72" s="28">
        <v>536080.89</v>
      </c>
    </row>
    <row r="73" spans="2:8" x14ac:dyDescent="0.25">
      <c r="C73" t="s">
        <v>2139</v>
      </c>
      <c r="F73" s="28">
        <v>1574157.83</v>
      </c>
      <c r="G73" s="28">
        <v>1044681.13</v>
      </c>
      <c r="H73" s="28">
        <v>2618838.96</v>
      </c>
    </row>
    <row r="74" spans="2:8" x14ac:dyDescent="0.25">
      <c r="B74" t="s">
        <v>2089</v>
      </c>
      <c r="F74" s="28">
        <v>4530351.99</v>
      </c>
      <c r="G74" s="28">
        <v>3561070.28</v>
      </c>
      <c r="H74" s="28">
        <v>8091422.2699999996</v>
      </c>
    </row>
    <row r="75" spans="2:8" x14ac:dyDescent="0.25">
      <c r="B75" t="s">
        <v>18</v>
      </c>
      <c r="C75" t="s">
        <v>29</v>
      </c>
      <c r="D75" t="s">
        <v>2099</v>
      </c>
      <c r="E75" t="s">
        <v>39</v>
      </c>
      <c r="F75" s="28">
        <v>95306.4</v>
      </c>
      <c r="G75" s="28">
        <v>1154.74</v>
      </c>
      <c r="H75" s="28">
        <v>96461.14</v>
      </c>
    </row>
    <row r="76" spans="2:8" x14ac:dyDescent="0.25">
      <c r="E76" t="s">
        <v>19</v>
      </c>
      <c r="F76" s="28">
        <v>99428.87</v>
      </c>
      <c r="G76" s="28">
        <v>91847.73000000001</v>
      </c>
      <c r="H76" s="28">
        <v>191276.6</v>
      </c>
    </row>
    <row r="77" spans="2:8" x14ac:dyDescent="0.25">
      <c r="E77" t="s">
        <v>33</v>
      </c>
      <c r="F77" s="28">
        <v>126523.38</v>
      </c>
      <c r="G77" s="28">
        <v>87946.040000000008</v>
      </c>
      <c r="H77" s="28">
        <v>214469.42</v>
      </c>
    </row>
    <row r="78" spans="2:8" x14ac:dyDescent="0.25">
      <c r="D78" t="s">
        <v>2100</v>
      </c>
      <c r="F78" s="28">
        <v>321258.65000000002</v>
      </c>
      <c r="G78" s="28">
        <v>180948.51</v>
      </c>
      <c r="H78" s="28">
        <v>502207.16000000003</v>
      </c>
    </row>
    <row r="79" spans="2:8" x14ac:dyDescent="0.25">
      <c r="D79" t="s">
        <v>2101</v>
      </c>
      <c r="E79" t="s">
        <v>39</v>
      </c>
      <c r="F79" s="28">
        <v>53071.229999999996</v>
      </c>
      <c r="G79" s="28">
        <v>92373.69</v>
      </c>
      <c r="H79" s="28">
        <v>145444.91999999998</v>
      </c>
    </row>
    <row r="80" spans="2:8" x14ac:dyDescent="0.25">
      <c r="E80" t="s">
        <v>19</v>
      </c>
      <c r="F80" s="28"/>
      <c r="G80" s="28">
        <v>74833.03</v>
      </c>
      <c r="H80" s="28">
        <v>74833.03</v>
      </c>
    </row>
    <row r="81" spans="3:8" x14ac:dyDescent="0.25">
      <c r="E81" t="s">
        <v>33</v>
      </c>
      <c r="F81" s="28"/>
      <c r="G81" s="28">
        <v>54855</v>
      </c>
      <c r="H81" s="28">
        <v>54855</v>
      </c>
    </row>
    <row r="82" spans="3:8" x14ac:dyDescent="0.25">
      <c r="D82" t="s">
        <v>2102</v>
      </c>
      <c r="F82" s="28">
        <v>53071.229999999996</v>
      </c>
      <c r="G82" s="28">
        <v>222061.72</v>
      </c>
      <c r="H82" s="28">
        <v>275132.94999999995</v>
      </c>
    </row>
    <row r="83" spans="3:8" x14ac:dyDescent="0.25">
      <c r="D83" t="s">
        <v>2103</v>
      </c>
      <c r="E83" t="s">
        <v>39</v>
      </c>
      <c r="F83" s="28">
        <v>201376.03</v>
      </c>
      <c r="G83" s="28">
        <v>15344.91</v>
      </c>
      <c r="H83" s="28">
        <v>216720.94</v>
      </c>
    </row>
    <row r="84" spans="3:8" x14ac:dyDescent="0.25">
      <c r="E84" t="s">
        <v>19</v>
      </c>
      <c r="F84" s="28">
        <v>161715.62</v>
      </c>
      <c r="G84" s="28">
        <v>16929.71</v>
      </c>
      <c r="H84" s="28">
        <v>178645.33</v>
      </c>
    </row>
    <row r="85" spans="3:8" x14ac:dyDescent="0.25">
      <c r="E85" t="s">
        <v>33</v>
      </c>
      <c r="F85" s="28">
        <v>50947.740000000005</v>
      </c>
      <c r="G85" s="28">
        <v>196828.63</v>
      </c>
      <c r="H85" s="28">
        <v>247776.37</v>
      </c>
    </row>
    <row r="86" spans="3:8" x14ac:dyDescent="0.25">
      <c r="D86" t="s">
        <v>2104</v>
      </c>
      <c r="F86" s="28">
        <v>414039.39</v>
      </c>
      <c r="G86" s="28">
        <v>229103.25</v>
      </c>
      <c r="H86" s="28">
        <v>643142.64</v>
      </c>
    </row>
    <row r="87" spans="3:8" x14ac:dyDescent="0.25">
      <c r="D87" t="s">
        <v>2105</v>
      </c>
      <c r="E87" t="s">
        <v>39</v>
      </c>
      <c r="F87" s="28">
        <v>95895.679999999993</v>
      </c>
      <c r="G87" s="28"/>
      <c r="H87" s="28">
        <v>95895.679999999993</v>
      </c>
    </row>
    <row r="88" spans="3:8" x14ac:dyDescent="0.25">
      <c r="E88" t="s">
        <v>19</v>
      </c>
      <c r="F88" s="28">
        <v>17146.2</v>
      </c>
      <c r="G88" s="28">
        <v>64642.16</v>
      </c>
      <c r="H88" s="28">
        <v>81788.36</v>
      </c>
    </row>
    <row r="89" spans="3:8" x14ac:dyDescent="0.25">
      <c r="E89" t="s">
        <v>33</v>
      </c>
      <c r="F89" s="28">
        <v>98793.47</v>
      </c>
      <c r="G89" s="28"/>
      <c r="H89" s="28">
        <v>98793.47</v>
      </c>
    </row>
    <row r="90" spans="3:8" x14ac:dyDescent="0.25">
      <c r="D90" t="s">
        <v>2106</v>
      </c>
      <c r="F90" s="28">
        <v>211835.34999999998</v>
      </c>
      <c r="G90" s="28">
        <v>64642.16</v>
      </c>
      <c r="H90" s="28">
        <v>276477.51</v>
      </c>
    </row>
    <row r="91" spans="3:8" x14ac:dyDescent="0.25">
      <c r="C91" t="s">
        <v>2136</v>
      </c>
      <c r="F91" s="28">
        <v>1000204.6199999999</v>
      </c>
      <c r="G91" s="28">
        <v>696755.64</v>
      </c>
      <c r="H91" s="28">
        <v>1696960.26</v>
      </c>
    </row>
    <row r="92" spans="3:8" x14ac:dyDescent="0.25">
      <c r="C92" t="s">
        <v>48</v>
      </c>
      <c r="D92" t="s">
        <v>2099</v>
      </c>
      <c r="E92" t="s">
        <v>19</v>
      </c>
      <c r="F92" s="28"/>
      <c r="G92" s="28">
        <v>10744.619999999999</v>
      </c>
      <c r="H92" s="28">
        <v>10744.619999999999</v>
      </c>
    </row>
    <row r="93" spans="3:8" x14ac:dyDescent="0.25">
      <c r="E93" t="s">
        <v>33</v>
      </c>
      <c r="F93" s="28">
        <v>259467.5</v>
      </c>
      <c r="G93" s="28">
        <v>172848.57</v>
      </c>
      <c r="H93" s="28">
        <v>432316.07</v>
      </c>
    </row>
    <row r="94" spans="3:8" x14ac:dyDescent="0.25">
      <c r="D94" t="s">
        <v>2100</v>
      </c>
      <c r="F94" s="28">
        <v>259467.5</v>
      </c>
      <c r="G94" s="28">
        <v>183593.19</v>
      </c>
      <c r="H94" s="28">
        <v>443060.69</v>
      </c>
    </row>
    <row r="95" spans="3:8" x14ac:dyDescent="0.25">
      <c r="D95" t="s">
        <v>2101</v>
      </c>
      <c r="E95" t="s">
        <v>39</v>
      </c>
      <c r="F95" s="28">
        <v>137909.94</v>
      </c>
      <c r="G95" s="28">
        <v>26619.45</v>
      </c>
      <c r="H95" s="28">
        <v>164529.39000000001</v>
      </c>
    </row>
    <row r="96" spans="3:8" x14ac:dyDescent="0.25">
      <c r="E96" t="s">
        <v>19</v>
      </c>
      <c r="F96" s="28">
        <v>7804.78</v>
      </c>
      <c r="G96" s="28">
        <v>90605.31</v>
      </c>
      <c r="H96" s="28">
        <v>98410.09</v>
      </c>
    </row>
    <row r="97" spans="3:8" x14ac:dyDescent="0.25">
      <c r="E97" t="s">
        <v>33</v>
      </c>
      <c r="F97" s="28">
        <v>51846.920000000006</v>
      </c>
      <c r="G97" s="28">
        <v>3248.37</v>
      </c>
      <c r="H97" s="28">
        <v>55095.290000000008</v>
      </c>
    </row>
    <row r="98" spans="3:8" x14ac:dyDescent="0.25">
      <c r="D98" t="s">
        <v>2102</v>
      </c>
      <c r="F98" s="28">
        <v>197561.64</v>
      </c>
      <c r="G98" s="28">
        <v>120473.12999999999</v>
      </c>
      <c r="H98" s="28">
        <v>318034.77</v>
      </c>
    </row>
    <row r="99" spans="3:8" x14ac:dyDescent="0.25">
      <c r="D99" t="s">
        <v>2103</v>
      </c>
      <c r="E99" t="s">
        <v>39</v>
      </c>
      <c r="F99" s="28">
        <v>34243.440000000002</v>
      </c>
      <c r="G99" s="28">
        <v>137775.82</v>
      </c>
      <c r="H99" s="28">
        <v>172019.26</v>
      </c>
    </row>
    <row r="100" spans="3:8" x14ac:dyDescent="0.25">
      <c r="E100" t="s">
        <v>19</v>
      </c>
      <c r="F100" s="28">
        <v>6996.57</v>
      </c>
      <c r="G100" s="28"/>
      <c r="H100" s="28">
        <v>6996.57</v>
      </c>
    </row>
    <row r="101" spans="3:8" x14ac:dyDescent="0.25">
      <c r="E101" t="s">
        <v>33</v>
      </c>
      <c r="F101" s="28">
        <v>117441.47</v>
      </c>
      <c r="G101" s="28">
        <v>37813.589999999997</v>
      </c>
      <c r="H101" s="28">
        <v>155255.06</v>
      </c>
    </row>
    <row r="102" spans="3:8" x14ac:dyDescent="0.25">
      <c r="D102" t="s">
        <v>2104</v>
      </c>
      <c r="F102" s="28">
        <v>158681.48000000001</v>
      </c>
      <c r="G102" s="28">
        <v>175589.41</v>
      </c>
      <c r="H102" s="28">
        <v>334270.89</v>
      </c>
    </row>
    <row r="103" spans="3:8" x14ac:dyDescent="0.25">
      <c r="D103" t="s">
        <v>2105</v>
      </c>
      <c r="E103" t="s">
        <v>39</v>
      </c>
      <c r="F103" s="28">
        <v>18887.330000000002</v>
      </c>
      <c r="G103" s="28"/>
      <c r="H103" s="28">
        <v>18887.330000000002</v>
      </c>
    </row>
    <row r="104" spans="3:8" x14ac:dyDescent="0.25">
      <c r="E104" t="s">
        <v>19</v>
      </c>
      <c r="F104" s="28">
        <v>73448.399999999994</v>
      </c>
      <c r="G104" s="28"/>
      <c r="H104" s="28">
        <v>73448.399999999994</v>
      </c>
    </row>
    <row r="105" spans="3:8" x14ac:dyDescent="0.25">
      <c r="E105" t="s">
        <v>33</v>
      </c>
      <c r="F105" s="28">
        <v>291293.65000000002</v>
      </c>
      <c r="G105" s="28">
        <v>89520.549999999988</v>
      </c>
      <c r="H105" s="28">
        <v>380814.2</v>
      </c>
    </row>
    <row r="106" spans="3:8" x14ac:dyDescent="0.25">
      <c r="D106" t="s">
        <v>2106</v>
      </c>
      <c r="F106" s="28">
        <v>383629.38</v>
      </c>
      <c r="G106" s="28">
        <v>89520.549999999988</v>
      </c>
      <c r="H106" s="28">
        <v>473149.93</v>
      </c>
    </row>
    <row r="107" spans="3:8" x14ac:dyDescent="0.25">
      <c r="C107" t="s">
        <v>2137</v>
      </c>
      <c r="F107" s="28">
        <v>999340</v>
      </c>
      <c r="G107" s="28">
        <v>569176.28</v>
      </c>
      <c r="H107" s="28">
        <v>1568516.28</v>
      </c>
    </row>
    <row r="108" spans="3:8" x14ac:dyDescent="0.25">
      <c r="C108" t="s">
        <v>22</v>
      </c>
      <c r="D108" t="s">
        <v>2099</v>
      </c>
      <c r="E108" t="s">
        <v>39</v>
      </c>
      <c r="F108" s="28">
        <v>171733.1</v>
      </c>
      <c r="G108" s="28">
        <v>70385.58</v>
      </c>
      <c r="H108" s="28">
        <v>242118.68</v>
      </c>
    </row>
    <row r="109" spans="3:8" x14ac:dyDescent="0.25">
      <c r="E109" t="s">
        <v>19</v>
      </c>
      <c r="F109" s="28">
        <v>260392.86000000002</v>
      </c>
      <c r="G109" s="28">
        <v>96205.39</v>
      </c>
      <c r="H109" s="28">
        <v>356598.25</v>
      </c>
    </row>
    <row r="110" spans="3:8" x14ac:dyDescent="0.25">
      <c r="E110" t="s">
        <v>33</v>
      </c>
      <c r="F110" s="28">
        <v>91203.16</v>
      </c>
      <c r="G110" s="28">
        <v>87098.65</v>
      </c>
      <c r="H110" s="28">
        <v>178301.81</v>
      </c>
    </row>
    <row r="111" spans="3:8" x14ac:dyDescent="0.25">
      <c r="D111" t="s">
        <v>2100</v>
      </c>
      <c r="F111" s="28">
        <v>523329.12</v>
      </c>
      <c r="G111" s="28">
        <v>253689.62</v>
      </c>
      <c r="H111" s="28">
        <v>777018.74</v>
      </c>
    </row>
    <row r="112" spans="3:8" x14ac:dyDescent="0.25">
      <c r="D112" t="s">
        <v>2101</v>
      </c>
      <c r="E112" t="s">
        <v>39</v>
      </c>
      <c r="F112" s="28">
        <v>124129.11</v>
      </c>
      <c r="G112" s="28">
        <v>92543.56</v>
      </c>
      <c r="H112" s="28">
        <v>216672.66999999998</v>
      </c>
    </row>
    <row r="113" spans="3:8" x14ac:dyDescent="0.25">
      <c r="E113" t="s">
        <v>19</v>
      </c>
      <c r="F113" s="28">
        <v>82360.12</v>
      </c>
      <c r="G113" s="28"/>
      <c r="H113" s="28">
        <v>82360.12</v>
      </c>
    </row>
    <row r="114" spans="3:8" x14ac:dyDescent="0.25">
      <c r="E114" t="s">
        <v>33</v>
      </c>
      <c r="F114" s="28">
        <v>13965.04</v>
      </c>
      <c r="G114" s="28">
        <v>181064.1</v>
      </c>
      <c r="H114" s="28">
        <v>195029.14</v>
      </c>
    </row>
    <row r="115" spans="3:8" x14ac:dyDescent="0.25">
      <c r="D115" t="s">
        <v>2102</v>
      </c>
      <c r="F115" s="28">
        <v>220454.27</v>
      </c>
      <c r="G115" s="28">
        <v>273607.66000000003</v>
      </c>
      <c r="H115" s="28">
        <v>494061.93</v>
      </c>
    </row>
    <row r="116" spans="3:8" x14ac:dyDescent="0.25">
      <c r="D116" t="s">
        <v>2103</v>
      </c>
      <c r="E116" t="s">
        <v>39</v>
      </c>
      <c r="F116" s="28">
        <v>26697.599999999999</v>
      </c>
      <c r="G116" s="28"/>
      <c r="H116" s="28">
        <v>26697.599999999999</v>
      </c>
    </row>
    <row r="117" spans="3:8" x14ac:dyDescent="0.25">
      <c r="E117" t="s">
        <v>19</v>
      </c>
      <c r="F117" s="28">
        <v>106130.29999999999</v>
      </c>
      <c r="G117" s="28">
        <v>41909.56</v>
      </c>
      <c r="H117" s="28">
        <v>148039.85999999999</v>
      </c>
    </row>
    <row r="118" spans="3:8" x14ac:dyDescent="0.25">
      <c r="E118" t="s">
        <v>33</v>
      </c>
      <c r="F118" s="28">
        <v>100151.70000000001</v>
      </c>
      <c r="G118" s="28">
        <v>132012.20000000001</v>
      </c>
      <c r="H118" s="28">
        <v>232163.90000000002</v>
      </c>
    </row>
    <row r="119" spans="3:8" x14ac:dyDescent="0.25">
      <c r="D119" t="s">
        <v>2104</v>
      </c>
      <c r="F119" s="28">
        <v>232979.6</v>
      </c>
      <c r="G119" s="28">
        <v>173921.76</v>
      </c>
      <c r="H119" s="28">
        <v>406901.36</v>
      </c>
    </row>
    <row r="120" spans="3:8" x14ac:dyDescent="0.25">
      <c r="D120" t="s">
        <v>2105</v>
      </c>
      <c r="E120" t="s">
        <v>39</v>
      </c>
      <c r="F120" s="28">
        <v>25257.79</v>
      </c>
      <c r="G120" s="28">
        <v>78159.899999999994</v>
      </c>
      <c r="H120" s="28">
        <v>103417.69</v>
      </c>
    </row>
    <row r="121" spans="3:8" x14ac:dyDescent="0.25">
      <c r="E121" t="s">
        <v>19</v>
      </c>
      <c r="F121" s="28">
        <v>42393.17</v>
      </c>
      <c r="G121" s="28">
        <v>39873.279999999999</v>
      </c>
      <c r="H121" s="28">
        <v>82266.45</v>
      </c>
    </row>
    <row r="122" spans="3:8" x14ac:dyDescent="0.25">
      <c r="E122" t="s">
        <v>33</v>
      </c>
      <c r="F122" s="28">
        <v>190317.06000000003</v>
      </c>
      <c r="G122" s="28">
        <v>16400.16</v>
      </c>
      <c r="H122" s="28">
        <v>206717.22000000003</v>
      </c>
    </row>
    <row r="123" spans="3:8" x14ac:dyDescent="0.25">
      <c r="D123" t="s">
        <v>2106</v>
      </c>
      <c r="F123" s="28">
        <v>257968.02000000002</v>
      </c>
      <c r="G123" s="28">
        <v>134433.34</v>
      </c>
      <c r="H123" s="28">
        <v>392401.36000000004</v>
      </c>
    </row>
    <row r="124" spans="3:8" x14ac:dyDescent="0.25">
      <c r="C124" t="s">
        <v>2138</v>
      </c>
      <c r="F124" s="28">
        <v>1234731.01</v>
      </c>
      <c r="G124" s="28">
        <v>835652.38000000012</v>
      </c>
      <c r="H124" s="28">
        <v>2070383.3899999997</v>
      </c>
    </row>
    <row r="125" spans="3:8" x14ac:dyDescent="0.25">
      <c r="C125" t="s">
        <v>40</v>
      </c>
      <c r="D125" t="s">
        <v>2099</v>
      </c>
      <c r="E125" t="s">
        <v>39</v>
      </c>
      <c r="F125" s="28"/>
      <c r="G125" s="28">
        <v>328589.74</v>
      </c>
      <c r="H125" s="28">
        <v>328589.74</v>
      </c>
    </row>
    <row r="126" spans="3:8" x14ac:dyDescent="0.25">
      <c r="E126" t="s">
        <v>19</v>
      </c>
      <c r="F126" s="28">
        <v>19050.82</v>
      </c>
      <c r="G126" s="28">
        <v>136923.99</v>
      </c>
      <c r="H126" s="28">
        <v>155974.81</v>
      </c>
    </row>
    <row r="127" spans="3:8" x14ac:dyDescent="0.25">
      <c r="E127" t="s">
        <v>33</v>
      </c>
      <c r="F127" s="28">
        <v>371353.51000000007</v>
      </c>
      <c r="G127" s="28">
        <v>126296.1</v>
      </c>
      <c r="H127" s="28">
        <v>497649.6100000001</v>
      </c>
    </row>
    <row r="128" spans="3:8" x14ac:dyDescent="0.25">
      <c r="D128" t="s">
        <v>2100</v>
      </c>
      <c r="F128" s="28">
        <v>390404.33000000007</v>
      </c>
      <c r="G128" s="28">
        <v>591809.82999999996</v>
      </c>
      <c r="H128" s="28">
        <v>982214.16000000015</v>
      </c>
    </row>
    <row r="129" spans="2:8" x14ac:dyDescent="0.25">
      <c r="D129" t="s">
        <v>2101</v>
      </c>
      <c r="E129" t="s">
        <v>39</v>
      </c>
      <c r="F129" s="28">
        <v>79193.919999999998</v>
      </c>
      <c r="G129" s="28">
        <v>111901.22000000002</v>
      </c>
      <c r="H129" s="28">
        <v>191095.14</v>
      </c>
    </row>
    <row r="130" spans="2:8" x14ac:dyDescent="0.25">
      <c r="E130" t="s">
        <v>19</v>
      </c>
      <c r="F130" s="28">
        <v>66427.399999999994</v>
      </c>
      <c r="G130" s="28">
        <v>42422.060000000005</v>
      </c>
      <c r="H130" s="28">
        <v>108849.45999999999</v>
      </c>
    </row>
    <row r="131" spans="2:8" x14ac:dyDescent="0.25">
      <c r="E131" t="s">
        <v>33</v>
      </c>
      <c r="F131" s="28">
        <v>78865.11</v>
      </c>
      <c r="G131" s="28">
        <v>104862.04999999999</v>
      </c>
      <c r="H131" s="28">
        <v>183727.15999999997</v>
      </c>
    </row>
    <row r="132" spans="2:8" x14ac:dyDescent="0.25">
      <c r="D132" t="s">
        <v>2102</v>
      </c>
      <c r="F132" s="28">
        <v>224486.43</v>
      </c>
      <c r="G132" s="28">
        <v>259185.33000000002</v>
      </c>
      <c r="H132" s="28">
        <v>483671.75999999995</v>
      </c>
    </row>
    <row r="133" spans="2:8" x14ac:dyDescent="0.25">
      <c r="D133" t="s">
        <v>2103</v>
      </c>
      <c r="E133" t="s">
        <v>39</v>
      </c>
      <c r="F133" s="28">
        <v>238935.05000000002</v>
      </c>
      <c r="G133" s="28">
        <v>50810.53</v>
      </c>
      <c r="H133" s="28">
        <v>289745.58</v>
      </c>
    </row>
    <row r="134" spans="2:8" x14ac:dyDescent="0.25">
      <c r="E134" t="s">
        <v>19</v>
      </c>
      <c r="F134" s="28">
        <v>124011.75</v>
      </c>
      <c r="G134" s="28"/>
      <c r="H134" s="28">
        <v>124011.75</v>
      </c>
    </row>
    <row r="135" spans="2:8" x14ac:dyDescent="0.25">
      <c r="E135" t="s">
        <v>33</v>
      </c>
      <c r="F135" s="28">
        <v>106640.36</v>
      </c>
      <c r="G135" s="28">
        <v>17822.560000000001</v>
      </c>
      <c r="H135" s="28">
        <v>124462.92</v>
      </c>
    </row>
    <row r="136" spans="2:8" x14ac:dyDescent="0.25">
      <c r="D136" t="s">
        <v>2104</v>
      </c>
      <c r="F136" s="28">
        <v>469587.16000000003</v>
      </c>
      <c r="G136" s="28">
        <v>68633.09</v>
      </c>
      <c r="H136" s="28">
        <v>538220.25</v>
      </c>
    </row>
    <row r="137" spans="2:8" x14ac:dyDescent="0.25">
      <c r="D137" t="s">
        <v>2105</v>
      </c>
      <c r="E137" t="s">
        <v>39</v>
      </c>
      <c r="F137" s="28">
        <v>117856.59</v>
      </c>
      <c r="G137" s="28">
        <v>86528.639999999999</v>
      </c>
      <c r="H137" s="28">
        <v>204385.22999999998</v>
      </c>
    </row>
    <row r="138" spans="2:8" x14ac:dyDescent="0.25">
      <c r="E138" t="s">
        <v>19</v>
      </c>
      <c r="F138" s="28">
        <v>136222.52000000002</v>
      </c>
      <c r="G138" s="28"/>
      <c r="H138" s="28">
        <v>136222.52000000002</v>
      </c>
    </row>
    <row r="139" spans="2:8" x14ac:dyDescent="0.25">
      <c r="E139" t="s">
        <v>33</v>
      </c>
      <c r="F139" s="28">
        <v>58746.879999999997</v>
      </c>
      <c r="G139" s="28">
        <v>107940.07</v>
      </c>
      <c r="H139" s="28">
        <v>166686.95000000001</v>
      </c>
    </row>
    <row r="140" spans="2:8" x14ac:dyDescent="0.25">
      <c r="D140" t="s">
        <v>2106</v>
      </c>
      <c r="F140" s="28">
        <v>312825.99</v>
      </c>
      <c r="G140" s="28">
        <v>194468.71000000002</v>
      </c>
      <c r="H140" s="28">
        <v>507294.7</v>
      </c>
    </row>
    <row r="141" spans="2:8" x14ac:dyDescent="0.25">
      <c r="C141" t="s">
        <v>2139</v>
      </c>
      <c r="F141" s="28">
        <v>1397303.9100000001</v>
      </c>
      <c r="G141" s="28">
        <v>1114096.96</v>
      </c>
      <c r="H141" s="28">
        <v>2511400.8700000006</v>
      </c>
    </row>
    <row r="142" spans="2:8" x14ac:dyDescent="0.25">
      <c r="B142" t="s">
        <v>2092</v>
      </c>
      <c r="F142" s="28">
        <v>4631579.54</v>
      </c>
      <c r="G142" s="28">
        <v>3215681.2600000002</v>
      </c>
      <c r="H142" s="28">
        <v>7847260.8000000017</v>
      </c>
    </row>
    <row r="143" spans="2:8" x14ac:dyDescent="0.25">
      <c r="B143" t="s">
        <v>76</v>
      </c>
      <c r="C143" t="s">
        <v>29</v>
      </c>
      <c r="D143" t="s">
        <v>2099</v>
      </c>
      <c r="E143" t="s">
        <v>39</v>
      </c>
      <c r="F143" s="28">
        <v>253</v>
      </c>
      <c r="G143" s="28">
        <v>85666.77</v>
      </c>
      <c r="H143" s="28">
        <v>85919.77</v>
      </c>
    </row>
    <row r="144" spans="2:8" x14ac:dyDescent="0.25">
      <c r="E144" t="s">
        <v>19</v>
      </c>
      <c r="F144" s="28">
        <v>97356.4</v>
      </c>
      <c r="G144" s="28">
        <v>60824.23</v>
      </c>
      <c r="H144" s="28">
        <v>158180.63</v>
      </c>
    </row>
    <row r="145" spans="3:8" x14ac:dyDescent="0.25">
      <c r="E145" t="s">
        <v>33</v>
      </c>
      <c r="F145" s="28">
        <v>106740.91</v>
      </c>
      <c r="G145" s="28">
        <v>118605.76000000001</v>
      </c>
      <c r="H145" s="28">
        <v>225346.67</v>
      </c>
    </row>
    <row r="146" spans="3:8" x14ac:dyDescent="0.25">
      <c r="D146" t="s">
        <v>2100</v>
      </c>
      <c r="F146" s="28">
        <v>204350.31</v>
      </c>
      <c r="G146" s="28">
        <v>265096.76</v>
      </c>
      <c r="H146" s="28">
        <v>469447.07000000007</v>
      </c>
    </row>
    <row r="147" spans="3:8" x14ac:dyDescent="0.25">
      <c r="D147" t="s">
        <v>2101</v>
      </c>
      <c r="E147" t="s">
        <v>39</v>
      </c>
      <c r="F147" s="28">
        <v>7674.3</v>
      </c>
      <c r="G147" s="28"/>
      <c r="H147" s="28">
        <v>7674.3</v>
      </c>
    </row>
    <row r="148" spans="3:8" x14ac:dyDescent="0.25">
      <c r="E148" t="s">
        <v>19</v>
      </c>
      <c r="F148" s="28">
        <v>106801.21</v>
      </c>
      <c r="G148" s="28">
        <v>115514.51</v>
      </c>
      <c r="H148" s="28">
        <v>222315.72</v>
      </c>
    </row>
    <row r="149" spans="3:8" x14ac:dyDescent="0.25">
      <c r="E149" t="s">
        <v>33</v>
      </c>
      <c r="F149" s="28">
        <v>63156.18</v>
      </c>
      <c r="G149" s="28">
        <v>21571.68</v>
      </c>
      <c r="H149" s="28">
        <v>84727.86</v>
      </c>
    </row>
    <row r="150" spans="3:8" x14ac:dyDescent="0.25">
      <c r="D150" t="s">
        <v>2102</v>
      </c>
      <c r="F150" s="28">
        <v>177631.69</v>
      </c>
      <c r="G150" s="28">
        <v>137086.19</v>
      </c>
      <c r="H150" s="28">
        <v>314717.88</v>
      </c>
    </row>
    <row r="151" spans="3:8" x14ac:dyDescent="0.25">
      <c r="D151" t="s">
        <v>2103</v>
      </c>
      <c r="E151" t="s">
        <v>39</v>
      </c>
      <c r="F151" s="28">
        <v>55823.28</v>
      </c>
      <c r="G151" s="28">
        <v>31600.58</v>
      </c>
      <c r="H151" s="28">
        <v>87423.86</v>
      </c>
    </row>
    <row r="152" spans="3:8" x14ac:dyDescent="0.25">
      <c r="E152" t="s">
        <v>19</v>
      </c>
      <c r="F152" s="28">
        <v>67707.45</v>
      </c>
      <c r="G152" s="28">
        <v>175977.62000000002</v>
      </c>
      <c r="H152" s="28">
        <v>243685.07</v>
      </c>
    </row>
    <row r="153" spans="3:8" x14ac:dyDescent="0.25">
      <c r="E153" t="s">
        <v>33</v>
      </c>
      <c r="F153" s="28">
        <v>90868.4</v>
      </c>
      <c r="G153" s="28">
        <v>216904.51</v>
      </c>
      <c r="H153" s="28">
        <v>307772.91000000003</v>
      </c>
    </row>
    <row r="154" spans="3:8" x14ac:dyDescent="0.25">
      <c r="D154" t="s">
        <v>2104</v>
      </c>
      <c r="F154" s="28">
        <v>214399.13</v>
      </c>
      <c r="G154" s="28">
        <v>424482.71</v>
      </c>
      <c r="H154" s="28">
        <v>638881.84000000008</v>
      </c>
    </row>
    <row r="155" spans="3:8" x14ac:dyDescent="0.25">
      <c r="D155" t="s">
        <v>2105</v>
      </c>
      <c r="E155" t="s">
        <v>39</v>
      </c>
      <c r="F155" s="28">
        <v>118344.90000000001</v>
      </c>
      <c r="G155" s="28"/>
      <c r="H155" s="28">
        <v>118344.90000000001</v>
      </c>
    </row>
    <row r="156" spans="3:8" x14ac:dyDescent="0.25">
      <c r="E156" t="s">
        <v>19</v>
      </c>
      <c r="F156" s="28"/>
      <c r="G156" s="28">
        <v>145429.19</v>
      </c>
      <c r="H156" s="28">
        <v>145429.19</v>
      </c>
    </row>
    <row r="157" spans="3:8" x14ac:dyDescent="0.25">
      <c r="E157" t="s">
        <v>33</v>
      </c>
      <c r="F157" s="28">
        <v>12816.72</v>
      </c>
      <c r="G157" s="28">
        <v>84784.95</v>
      </c>
      <c r="H157" s="28">
        <v>97601.67</v>
      </c>
    </row>
    <row r="158" spans="3:8" x14ac:dyDescent="0.25">
      <c r="D158" t="s">
        <v>2106</v>
      </c>
      <c r="F158" s="28">
        <v>131161.62</v>
      </c>
      <c r="G158" s="28">
        <v>230214.14</v>
      </c>
      <c r="H158" s="28">
        <v>361375.76</v>
      </c>
    </row>
    <row r="159" spans="3:8" x14ac:dyDescent="0.25">
      <c r="C159" t="s">
        <v>2136</v>
      </c>
      <c r="F159" s="28">
        <v>727542.75</v>
      </c>
      <c r="G159" s="28">
        <v>1056879.8</v>
      </c>
      <c r="H159" s="28">
        <v>1784422.5499999998</v>
      </c>
    </row>
    <row r="160" spans="3:8" x14ac:dyDescent="0.25">
      <c r="C160" t="s">
        <v>48</v>
      </c>
      <c r="D160" t="s">
        <v>2099</v>
      </c>
      <c r="E160" t="s">
        <v>39</v>
      </c>
      <c r="F160" s="28">
        <v>179009.24</v>
      </c>
      <c r="G160" s="28"/>
      <c r="H160" s="28">
        <v>179009.24</v>
      </c>
    </row>
    <row r="161" spans="3:8" x14ac:dyDescent="0.25">
      <c r="E161" t="s">
        <v>19</v>
      </c>
      <c r="F161" s="28">
        <v>29946</v>
      </c>
      <c r="G161" s="28">
        <v>6490.0999999999995</v>
      </c>
      <c r="H161" s="28">
        <v>36436.1</v>
      </c>
    </row>
    <row r="162" spans="3:8" x14ac:dyDescent="0.25">
      <c r="E162" t="s">
        <v>33</v>
      </c>
      <c r="F162" s="28">
        <v>305216.84000000003</v>
      </c>
      <c r="G162" s="28">
        <v>126386.27</v>
      </c>
      <c r="H162" s="28">
        <v>431603.11000000004</v>
      </c>
    </row>
    <row r="163" spans="3:8" x14ac:dyDescent="0.25">
      <c r="D163" t="s">
        <v>2100</v>
      </c>
      <c r="F163" s="28">
        <v>514172.08</v>
      </c>
      <c r="G163" s="28">
        <v>132876.37</v>
      </c>
      <c r="H163" s="28">
        <v>647048.45000000007</v>
      </c>
    </row>
    <row r="164" spans="3:8" x14ac:dyDescent="0.25">
      <c r="D164" t="s">
        <v>2101</v>
      </c>
      <c r="E164" t="s">
        <v>39</v>
      </c>
      <c r="F164" s="28">
        <v>21484.65</v>
      </c>
      <c r="G164" s="28">
        <v>42948.88</v>
      </c>
      <c r="H164" s="28">
        <v>64433.53</v>
      </c>
    </row>
    <row r="165" spans="3:8" x14ac:dyDescent="0.25">
      <c r="E165" t="s">
        <v>19</v>
      </c>
      <c r="F165" s="28">
        <v>80191.499999999985</v>
      </c>
      <c r="G165" s="28">
        <v>161082.75</v>
      </c>
      <c r="H165" s="28">
        <v>241274.25</v>
      </c>
    </row>
    <row r="166" spans="3:8" x14ac:dyDescent="0.25">
      <c r="E166" t="s">
        <v>33</v>
      </c>
      <c r="F166" s="28">
        <v>124338.19</v>
      </c>
      <c r="G166" s="28">
        <v>34927.47</v>
      </c>
      <c r="H166" s="28">
        <v>159265.66</v>
      </c>
    </row>
    <row r="167" spans="3:8" x14ac:dyDescent="0.25">
      <c r="D167" t="s">
        <v>2102</v>
      </c>
      <c r="F167" s="28">
        <v>226014.34</v>
      </c>
      <c r="G167" s="28">
        <v>238959.1</v>
      </c>
      <c r="H167" s="28">
        <v>464973.44000000006</v>
      </c>
    </row>
    <row r="168" spans="3:8" x14ac:dyDescent="0.25">
      <c r="D168" t="s">
        <v>2103</v>
      </c>
      <c r="E168" t="s">
        <v>39</v>
      </c>
      <c r="F168" s="28">
        <v>13517</v>
      </c>
      <c r="G168" s="28">
        <v>40425.82</v>
      </c>
      <c r="H168" s="28">
        <v>53942.82</v>
      </c>
    </row>
    <row r="169" spans="3:8" x14ac:dyDescent="0.25">
      <c r="E169" t="s">
        <v>19</v>
      </c>
      <c r="F169" s="28">
        <v>105607.23999999999</v>
      </c>
      <c r="G169" s="28"/>
      <c r="H169" s="28">
        <v>105607.23999999999</v>
      </c>
    </row>
    <row r="170" spans="3:8" x14ac:dyDescent="0.25">
      <c r="E170" t="s">
        <v>33</v>
      </c>
      <c r="F170" s="28">
        <v>35359.93</v>
      </c>
      <c r="G170" s="28">
        <v>31259.54</v>
      </c>
      <c r="H170" s="28">
        <v>66619.47</v>
      </c>
    </row>
    <row r="171" spans="3:8" x14ac:dyDescent="0.25">
      <c r="D171" t="s">
        <v>2104</v>
      </c>
      <c r="F171" s="28">
        <v>154484.16999999998</v>
      </c>
      <c r="G171" s="28">
        <v>71685.36</v>
      </c>
      <c r="H171" s="28">
        <v>226169.53</v>
      </c>
    </row>
    <row r="172" spans="3:8" x14ac:dyDescent="0.25">
      <c r="D172" t="s">
        <v>2105</v>
      </c>
      <c r="E172" t="s">
        <v>39</v>
      </c>
      <c r="F172" s="28">
        <v>141511.47</v>
      </c>
      <c r="G172" s="28"/>
      <c r="H172" s="28">
        <v>141511.47</v>
      </c>
    </row>
    <row r="173" spans="3:8" x14ac:dyDescent="0.25">
      <c r="E173" t="s">
        <v>19</v>
      </c>
      <c r="F173" s="28">
        <v>19062</v>
      </c>
      <c r="G173" s="28">
        <v>36685.74</v>
      </c>
      <c r="H173" s="28">
        <v>55747.74</v>
      </c>
    </row>
    <row r="174" spans="3:8" x14ac:dyDescent="0.25">
      <c r="E174" t="s">
        <v>33</v>
      </c>
      <c r="F174" s="28">
        <v>259624.78</v>
      </c>
      <c r="G174" s="28">
        <v>20468.37</v>
      </c>
      <c r="H174" s="28">
        <v>280093.15000000002</v>
      </c>
    </row>
    <row r="175" spans="3:8" x14ac:dyDescent="0.25">
      <c r="D175" t="s">
        <v>2106</v>
      </c>
      <c r="F175" s="28">
        <v>420198.25</v>
      </c>
      <c r="G175" s="28">
        <v>57154.11</v>
      </c>
      <c r="H175" s="28">
        <v>477352.36</v>
      </c>
    </row>
    <row r="176" spans="3:8" x14ac:dyDescent="0.25">
      <c r="C176" t="s">
        <v>2137</v>
      </c>
      <c r="F176" s="28">
        <v>1314868.8400000001</v>
      </c>
      <c r="G176" s="28">
        <v>500674.93999999994</v>
      </c>
      <c r="H176" s="28">
        <v>1815543.7800000003</v>
      </c>
    </row>
    <row r="177" spans="3:8" x14ac:dyDescent="0.25">
      <c r="C177" t="s">
        <v>22</v>
      </c>
      <c r="D177" t="s">
        <v>2099</v>
      </c>
      <c r="E177" t="s">
        <v>39</v>
      </c>
      <c r="F177" s="28">
        <v>139939.12</v>
      </c>
      <c r="G177" s="28">
        <v>144933.04</v>
      </c>
      <c r="H177" s="28">
        <v>284872.16000000003</v>
      </c>
    </row>
    <row r="178" spans="3:8" x14ac:dyDescent="0.25">
      <c r="E178" t="s">
        <v>19</v>
      </c>
      <c r="F178" s="28"/>
      <c r="G178" s="28">
        <v>24347.850000000002</v>
      </c>
      <c r="H178" s="28">
        <v>24347.850000000002</v>
      </c>
    </row>
    <row r="179" spans="3:8" x14ac:dyDescent="0.25">
      <c r="E179" t="s">
        <v>33</v>
      </c>
      <c r="F179" s="28">
        <v>104858.08</v>
      </c>
      <c r="G179" s="28">
        <v>233794.2</v>
      </c>
      <c r="H179" s="28">
        <v>338652.28</v>
      </c>
    </row>
    <row r="180" spans="3:8" x14ac:dyDescent="0.25">
      <c r="D180" t="s">
        <v>2100</v>
      </c>
      <c r="F180" s="28">
        <v>244797.2</v>
      </c>
      <c r="G180" s="28">
        <v>403075.09</v>
      </c>
      <c r="H180" s="28">
        <v>647872.29</v>
      </c>
    </row>
    <row r="181" spans="3:8" x14ac:dyDescent="0.25">
      <c r="D181" t="s">
        <v>2101</v>
      </c>
      <c r="E181" t="s">
        <v>39</v>
      </c>
      <c r="F181" s="28">
        <v>208896.22</v>
      </c>
      <c r="G181" s="28">
        <v>166793.94</v>
      </c>
      <c r="H181" s="28">
        <v>375690.16000000003</v>
      </c>
    </row>
    <row r="182" spans="3:8" x14ac:dyDescent="0.25">
      <c r="E182" t="s">
        <v>19</v>
      </c>
      <c r="F182" s="28">
        <v>133932.72</v>
      </c>
      <c r="G182" s="28">
        <v>116102.58</v>
      </c>
      <c r="H182" s="28">
        <v>250035.3</v>
      </c>
    </row>
    <row r="183" spans="3:8" x14ac:dyDescent="0.25">
      <c r="E183" t="s">
        <v>33</v>
      </c>
      <c r="F183" s="28">
        <v>125427.82999999999</v>
      </c>
      <c r="G183" s="28">
        <v>84155.35</v>
      </c>
      <c r="H183" s="28">
        <v>209583.18</v>
      </c>
    </row>
    <row r="184" spans="3:8" x14ac:dyDescent="0.25">
      <c r="D184" t="s">
        <v>2102</v>
      </c>
      <c r="F184" s="28">
        <v>468256.77</v>
      </c>
      <c r="G184" s="28">
        <v>367051.87</v>
      </c>
      <c r="H184" s="28">
        <v>835308.6399999999</v>
      </c>
    </row>
    <row r="185" spans="3:8" x14ac:dyDescent="0.25">
      <c r="D185" t="s">
        <v>2103</v>
      </c>
      <c r="E185" t="s">
        <v>39</v>
      </c>
      <c r="F185" s="28">
        <v>71777.77</v>
      </c>
      <c r="G185" s="28">
        <v>81053.429999999993</v>
      </c>
      <c r="H185" s="28">
        <v>152831.20000000001</v>
      </c>
    </row>
    <row r="186" spans="3:8" x14ac:dyDescent="0.25">
      <c r="E186" t="s">
        <v>19</v>
      </c>
      <c r="F186" s="28">
        <v>169895.44</v>
      </c>
      <c r="G186" s="28">
        <v>4283.55</v>
      </c>
      <c r="H186" s="28">
        <v>174178.99</v>
      </c>
    </row>
    <row r="187" spans="3:8" x14ac:dyDescent="0.25">
      <c r="E187" t="s">
        <v>33</v>
      </c>
      <c r="F187" s="28">
        <v>36708.29</v>
      </c>
      <c r="G187" s="28">
        <v>100338.7</v>
      </c>
      <c r="H187" s="28">
        <v>137046.99</v>
      </c>
    </row>
    <row r="188" spans="3:8" x14ac:dyDescent="0.25">
      <c r="D188" t="s">
        <v>2104</v>
      </c>
      <c r="F188" s="28">
        <v>278381.5</v>
      </c>
      <c r="G188" s="28">
        <v>185675.68</v>
      </c>
      <c r="H188" s="28">
        <v>464057.18</v>
      </c>
    </row>
    <row r="189" spans="3:8" x14ac:dyDescent="0.25">
      <c r="D189" t="s">
        <v>2105</v>
      </c>
      <c r="E189" t="s">
        <v>39</v>
      </c>
      <c r="F189" s="28">
        <v>74719.22</v>
      </c>
      <c r="G189" s="28">
        <v>28545.759999999998</v>
      </c>
      <c r="H189" s="28">
        <v>103264.98</v>
      </c>
    </row>
    <row r="190" spans="3:8" x14ac:dyDescent="0.25">
      <c r="E190" t="s">
        <v>19</v>
      </c>
      <c r="F190" s="28">
        <v>83858.17</v>
      </c>
      <c r="G190" s="28">
        <v>90819</v>
      </c>
      <c r="H190" s="28">
        <v>174677.16999999998</v>
      </c>
    </row>
    <row r="191" spans="3:8" x14ac:dyDescent="0.25">
      <c r="E191" t="s">
        <v>33</v>
      </c>
      <c r="F191" s="28">
        <v>193757.77</v>
      </c>
      <c r="G191" s="28">
        <v>83435.34</v>
      </c>
      <c r="H191" s="28">
        <v>277193.11</v>
      </c>
    </row>
    <row r="192" spans="3:8" x14ac:dyDescent="0.25">
      <c r="D192" t="s">
        <v>2106</v>
      </c>
      <c r="F192" s="28">
        <v>352335.16000000003</v>
      </c>
      <c r="G192" s="28">
        <v>202800.09999999998</v>
      </c>
      <c r="H192" s="28">
        <v>555135.26</v>
      </c>
    </row>
    <row r="193" spans="3:8" x14ac:dyDescent="0.25">
      <c r="C193" t="s">
        <v>2138</v>
      </c>
      <c r="F193" s="28">
        <v>1343770.63</v>
      </c>
      <c r="G193" s="28">
        <v>1158602.74</v>
      </c>
      <c r="H193" s="28">
        <v>2502373.3699999996</v>
      </c>
    </row>
    <row r="194" spans="3:8" x14ac:dyDescent="0.25">
      <c r="C194" t="s">
        <v>40</v>
      </c>
      <c r="D194" t="s">
        <v>2099</v>
      </c>
      <c r="E194" t="s">
        <v>39</v>
      </c>
      <c r="F194" s="28">
        <v>110134.5</v>
      </c>
      <c r="G194" s="28">
        <v>97547.12</v>
      </c>
      <c r="H194" s="28">
        <v>207681.62</v>
      </c>
    </row>
    <row r="195" spans="3:8" x14ac:dyDescent="0.25">
      <c r="E195" t="s">
        <v>19</v>
      </c>
      <c r="F195" s="28">
        <v>98958.09</v>
      </c>
      <c r="G195" s="28">
        <v>79995.350000000006</v>
      </c>
      <c r="H195" s="28">
        <v>178953.44</v>
      </c>
    </row>
    <row r="196" spans="3:8" x14ac:dyDescent="0.25">
      <c r="E196" t="s">
        <v>33</v>
      </c>
      <c r="F196" s="28">
        <v>78450.679999999993</v>
      </c>
      <c r="G196" s="28">
        <v>247627.39</v>
      </c>
      <c r="H196" s="28">
        <v>326078.07</v>
      </c>
    </row>
    <row r="197" spans="3:8" x14ac:dyDescent="0.25">
      <c r="D197" t="s">
        <v>2100</v>
      </c>
      <c r="F197" s="28">
        <v>287543.27</v>
      </c>
      <c r="G197" s="28">
        <v>425169.86</v>
      </c>
      <c r="H197" s="28">
        <v>712713.13</v>
      </c>
    </row>
    <row r="198" spans="3:8" x14ac:dyDescent="0.25">
      <c r="D198" t="s">
        <v>2101</v>
      </c>
      <c r="E198" t="s">
        <v>39</v>
      </c>
      <c r="F198" s="28">
        <v>66368.12</v>
      </c>
      <c r="G198" s="28">
        <v>90486.57</v>
      </c>
      <c r="H198" s="28">
        <v>156854.69</v>
      </c>
    </row>
    <row r="199" spans="3:8" x14ac:dyDescent="0.25">
      <c r="E199" t="s">
        <v>19</v>
      </c>
      <c r="F199" s="28"/>
      <c r="G199" s="28">
        <v>47892.03</v>
      </c>
      <c r="H199" s="28">
        <v>47892.03</v>
      </c>
    </row>
    <row r="200" spans="3:8" x14ac:dyDescent="0.25">
      <c r="E200" t="s">
        <v>33</v>
      </c>
      <c r="F200" s="28">
        <v>144411.69</v>
      </c>
      <c r="G200" s="28">
        <v>103188.13</v>
      </c>
      <c r="H200" s="28">
        <v>247599.82</v>
      </c>
    </row>
    <row r="201" spans="3:8" x14ac:dyDescent="0.25">
      <c r="D201" t="s">
        <v>2102</v>
      </c>
      <c r="F201" s="28">
        <v>210779.81</v>
      </c>
      <c r="G201" s="28">
        <v>241566.73</v>
      </c>
      <c r="H201" s="28">
        <v>452346.54000000004</v>
      </c>
    </row>
    <row r="202" spans="3:8" x14ac:dyDescent="0.25">
      <c r="D202" t="s">
        <v>2103</v>
      </c>
      <c r="E202" t="s">
        <v>39</v>
      </c>
      <c r="F202" s="28">
        <v>175844.78</v>
      </c>
      <c r="G202" s="28">
        <v>91642.06</v>
      </c>
      <c r="H202" s="28">
        <v>267486.83999999997</v>
      </c>
    </row>
    <row r="203" spans="3:8" x14ac:dyDescent="0.25">
      <c r="E203" t="s">
        <v>19</v>
      </c>
      <c r="F203" s="28">
        <v>147036.91</v>
      </c>
      <c r="G203" s="28">
        <v>148390.00999999998</v>
      </c>
      <c r="H203" s="28">
        <v>295426.92</v>
      </c>
    </row>
    <row r="204" spans="3:8" x14ac:dyDescent="0.25">
      <c r="E204" t="s">
        <v>33</v>
      </c>
      <c r="F204" s="28">
        <v>28253.51</v>
      </c>
      <c r="G204" s="28">
        <v>35962.92</v>
      </c>
      <c r="H204" s="28">
        <v>64216.429999999993</v>
      </c>
    </row>
    <row r="205" spans="3:8" x14ac:dyDescent="0.25">
      <c r="D205" t="s">
        <v>2104</v>
      </c>
      <c r="F205" s="28">
        <v>351135.2</v>
      </c>
      <c r="G205" s="28">
        <v>275994.99</v>
      </c>
      <c r="H205" s="28">
        <v>627130.18999999994</v>
      </c>
    </row>
    <row r="206" spans="3:8" x14ac:dyDescent="0.25">
      <c r="D206" t="s">
        <v>2105</v>
      </c>
      <c r="E206" t="s">
        <v>39</v>
      </c>
      <c r="F206" s="28">
        <v>121757.81</v>
      </c>
      <c r="G206" s="28">
        <v>43625.979999999996</v>
      </c>
      <c r="H206" s="28">
        <v>165383.78999999998</v>
      </c>
    </row>
    <row r="207" spans="3:8" x14ac:dyDescent="0.25">
      <c r="E207" t="s">
        <v>19</v>
      </c>
      <c r="F207" s="28">
        <v>239557.33</v>
      </c>
      <c r="G207" s="28"/>
      <c r="H207" s="28">
        <v>239557.33</v>
      </c>
    </row>
    <row r="208" spans="3:8" x14ac:dyDescent="0.25">
      <c r="E208" t="s">
        <v>33</v>
      </c>
      <c r="F208" s="28">
        <v>157279.94999999998</v>
      </c>
      <c r="G208" s="28"/>
      <c r="H208" s="28">
        <v>157279.94999999998</v>
      </c>
    </row>
    <row r="209" spans="1:8" x14ac:dyDescent="0.25">
      <c r="D209" t="s">
        <v>2106</v>
      </c>
      <c r="F209" s="28">
        <v>518595.08999999997</v>
      </c>
      <c r="G209" s="28">
        <v>43625.979999999996</v>
      </c>
      <c r="H209" s="28">
        <v>562221.06999999995</v>
      </c>
    </row>
    <row r="210" spans="1:8" x14ac:dyDescent="0.25">
      <c r="C210" t="s">
        <v>2139</v>
      </c>
      <c r="F210" s="28">
        <v>1368053.37</v>
      </c>
      <c r="G210" s="28">
        <v>986357.55999999994</v>
      </c>
      <c r="H210" s="28">
        <v>2354410.9300000002</v>
      </c>
    </row>
    <row r="211" spans="1:8" x14ac:dyDescent="0.25">
      <c r="B211" t="s">
        <v>2093</v>
      </c>
      <c r="F211" s="28">
        <v>4754235.59</v>
      </c>
      <c r="G211" s="28">
        <v>3702515.04</v>
      </c>
      <c r="H211" s="28">
        <v>8456750.6300000027</v>
      </c>
    </row>
    <row r="212" spans="1:8" x14ac:dyDescent="0.25">
      <c r="A212" t="s">
        <v>2107</v>
      </c>
      <c r="F212" s="28">
        <v>13916167.120000001</v>
      </c>
      <c r="G212" s="28">
        <v>10479266.579999996</v>
      </c>
      <c r="H212" s="28">
        <v>24395433.699999999</v>
      </c>
    </row>
    <row r="213" spans="1:8" x14ac:dyDescent="0.25">
      <c r="A213" t="s">
        <v>35</v>
      </c>
      <c r="B213" t="s">
        <v>38</v>
      </c>
      <c r="C213" t="s">
        <v>29</v>
      </c>
      <c r="D213" t="s">
        <v>2099</v>
      </c>
      <c r="E213" t="s">
        <v>39</v>
      </c>
      <c r="F213" s="28">
        <v>214637.13000000003</v>
      </c>
      <c r="G213" s="28">
        <v>98185.72</v>
      </c>
      <c r="H213" s="28">
        <v>312822.85000000003</v>
      </c>
    </row>
    <row r="214" spans="1:8" x14ac:dyDescent="0.25">
      <c r="E214" t="s">
        <v>19</v>
      </c>
      <c r="F214" s="28">
        <v>168687.97</v>
      </c>
      <c r="G214" s="28">
        <v>219986.35000000003</v>
      </c>
      <c r="H214" s="28">
        <v>388674.32000000007</v>
      </c>
    </row>
    <row r="215" spans="1:8" x14ac:dyDescent="0.25">
      <c r="E215" t="s">
        <v>33</v>
      </c>
      <c r="F215" s="28">
        <v>36975.120000000003</v>
      </c>
      <c r="G215" s="28"/>
      <c r="H215" s="28">
        <v>36975.120000000003</v>
      </c>
    </row>
    <row r="216" spans="1:8" x14ac:dyDescent="0.25">
      <c r="D216" t="s">
        <v>2100</v>
      </c>
      <c r="F216" s="28">
        <v>420300.22000000003</v>
      </c>
      <c r="G216" s="28">
        <v>318172.07000000007</v>
      </c>
      <c r="H216" s="28">
        <v>738472.29000000015</v>
      </c>
    </row>
    <row r="217" spans="1:8" x14ac:dyDescent="0.25">
      <c r="D217" t="s">
        <v>2101</v>
      </c>
      <c r="E217" t="s">
        <v>39</v>
      </c>
      <c r="F217" s="28">
        <v>23737.91</v>
      </c>
      <c r="G217" s="28">
        <v>58607.439999999995</v>
      </c>
      <c r="H217" s="28">
        <v>82345.349999999991</v>
      </c>
    </row>
    <row r="218" spans="1:8" x14ac:dyDescent="0.25">
      <c r="E218" t="s">
        <v>19</v>
      </c>
      <c r="F218" s="28">
        <v>2071.0100000000002</v>
      </c>
      <c r="G218" s="28">
        <v>3856.97</v>
      </c>
      <c r="H218" s="28">
        <v>5927.98</v>
      </c>
    </row>
    <row r="219" spans="1:8" x14ac:dyDescent="0.25">
      <c r="E219" t="s">
        <v>33</v>
      </c>
      <c r="F219" s="28">
        <v>10826.7</v>
      </c>
      <c r="G219" s="28">
        <v>53252.84</v>
      </c>
      <c r="H219" s="28">
        <v>64079.539999999994</v>
      </c>
    </row>
    <row r="220" spans="1:8" x14ac:dyDescent="0.25">
      <c r="D220" t="s">
        <v>2102</v>
      </c>
      <c r="F220" s="28">
        <v>36635.619999999995</v>
      </c>
      <c r="G220" s="28">
        <v>115717.25</v>
      </c>
      <c r="H220" s="28">
        <v>152352.87</v>
      </c>
    </row>
    <row r="221" spans="1:8" x14ac:dyDescent="0.25">
      <c r="D221" t="s">
        <v>2103</v>
      </c>
      <c r="E221" t="s">
        <v>39</v>
      </c>
      <c r="F221" s="28">
        <v>98451.58</v>
      </c>
      <c r="G221" s="28">
        <v>220268.31</v>
      </c>
      <c r="H221" s="28">
        <v>318719.89</v>
      </c>
    </row>
    <row r="222" spans="1:8" x14ac:dyDescent="0.25">
      <c r="E222" t="s">
        <v>19</v>
      </c>
      <c r="F222" s="28"/>
      <c r="G222" s="28">
        <v>242348.30999999997</v>
      </c>
      <c r="H222" s="28">
        <v>242348.30999999997</v>
      </c>
    </row>
    <row r="223" spans="1:8" x14ac:dyDescent="0.25">
      <c r="E223" t="s">
        <v>33</v>
      </c>
      <c r="F223" s="28">
        <v>147003.66</v>
      </c>
      <c r="G223" s="28">
        <v>150867.14999999997</v>
      </c>
      <c r="H223" s="28">
        <v>297870.80999999994</v>
      </c>
    </row>
    <row r="224" spans="1:8" x14ac:dyDescent="0.25">
      <c r="D224" t="s">
        <v>2104</v>
      </c>
      <c r="F224" s="28">
        <v>245455.24</v>
      </c>
      <c r="G224" s="28">
        <v>613483.77</v>
      </c>
      <c r="H224" s="28">
        <v>858939.00999999989</v>
      </c>
    </row>
    <row r="225" spans="3:8" x14ac:dyDescent="0.25">
      <c r="D225" t="s">
        <v>2105</v>
      </c>
      <c r="E225" t="s">
        <v>39</v>
      </c>
      <c r="F225" s="28"/>
      <c r="G225" s="28">
        <v>360.51</v>
      </c>
      <c r="H225" s="28">
        <v>360.51</v>
      </c>
    </row>
    <row r="226" spans="3:8" x14ac:dyDescent="0.25">
      <c r="E226" t="s">
        <v>19</v>
      </c>
      <c r="F226" s="28">
        <v>4747.92</v>
      </c>
      <c r="G226" s="28">
        <v>12333.29</v>
      </c>
      <c r="H226" s="28">
        <v>17081.21</v>
      </c>
    </row>
    <row r="227" spans="3:8" x14ac:dyDescent="0.25">
      <c r="E227" t="s">
        <v>33</v>
      </c>
      <c r="F227" s="28">
        <v>186249.82</v>
      </c>
      <c r="G227" s="28"/>
      <c r="H227" s="28">
        <v>186249.82</v>
      </c>
    </row>
    <row r="228" spans="3:8" x14ac:dyDescent="0.25">
      <c r="D228" t="s">
        <v>2106</v>
      </c>
      <c r="F228" s="28">
        <v>190997.74000000002</v>
      </c>
      <c r="G228" s="28">
        <v>12693.800000000001</v>
      </c>
      <c r="H228" s="28">
        <v>203691.54</v>
      </c>
    </row>
    <row r="229" spans="3:8" x14ac:dyDescent="0.25">
      <c r="C229" t="s">
        <v>2136</v>
      </c>
      <c r="F229" s="28">
        <v>893388.82000000007</v>
      </c>
      <c r="G229" s="28">
        <v>1060066.8900000001</v>
      </c>
      <c r="H229" s="28">
        <v>1953455.7100000004</v>
      </c>
    </row>
    <row r="230" spans="3:8" x14ac:dyDescent="0.25">
      <c r="C230" t="s">
        <v>48</v>
      </c>
      <c r="D230" t="s">
        <v>2099</v>
      </c>
      <c r="E230" t="s">
        <v>39</v>
      </c>
      <c r="F230" s="28">
        <v>34704.44</v>
      </c>
      <c r="G230" s="28">
        <v>122165.67</v>
      </c>
      <c r="H230" s="28">
        <v>156870.10999999999</v>
      </c>
    </row>
    <row r="231" spans="3:8" x14ac:dyDescent="0.25">
      <c r="E231" t="s">
        <v>19</v>
      </c>
      <c r="F231" s="28">
        <v>8250.66</v>
      </c>
      <c r="G231" s="28">
        <v>3484.52</v>
      </c>
      <c r="H231" s="28">
        <v>11735.18</v>
      </c>
    </row>
    <row r="232" spans="3:8" x14ac:dyDescent="0.25">
      <c r="E232" t="s">
        <v>33</v>
      </c>
      <c r="F232" s="28">
        <v>92214.41</v>
      </c>
      <c r="G232" s="28">
        <v>74951.149999999994</v>
      </c>
      <c r="H232" s="28">
        <v>167165.56</v>
      </c>
    </row>
    <row r="233" spans="3:8" x14ac:dyDescent="0.25">
      <c r="D233" t="s">
        <v>2100</v>
      </c>
      <c r="F233" s="28">
        <v>135169.51</v>
      </c>
      <c r="G233" s="28">
        <v>200601.34</v>
      </c>
      <c r="H233" s="28">
        <v>335770.85</v>
      </c>
    </row>
    <row r="234" spans="3:8" x14ac:dyDescent="0.25">
      <c r="D234" t="s">
        <v>2101</v>
      </c>
      <c r="E234" t="s">
        <v>39</v>
      </c>
      <c r="F234" s="28">
        <v>13730.56</v>
      </c>
      <c r="G234" s="28">
        <v>241064.9</v>
      </c>
      <c r="H234" s="28">
        <v>254795.46</v>
      </c>
    </row>
    <row r="235" spans="3:8" x14ac:dyDescent="0.25">
      <c r="E235" t="s">
        <v>19</v>
      </c>
      <c r="F235" s="28">
        <v>325516.43000000005</v>
      </c>
      <c r="G235" s="28">
        <v>187436.25000000003</v>
      </c>
      <c r="H235" s="28">
        <v>512952.68000000005</v>
      </c>
    </row>
    <row r="236" spans="3:8" x14ac:dyDescent="0.25">
      <c r="E236" t="s">
        <v>33</v>
      </c>
      <c r="F236" s="28">
        <v>197691.36</v>
      </c>
      <c r="G236" s="28">
        <v>258475.37999999998</v>
      </c>
      <c r="H236" s="28">
        <v>456166.74</v>
      </c>
    </row>
    <row r="237" spans="3:8" x14ac:dyDescent="0.25">
      <c r="D237" t="s">
        <v>2102</v>
      </c>
      <c r="F237" s="28">
        <v>536938.35000000009</v>
      </c>
      <c r="G237" s="28">
        <v>686976.53</v>
      </c>
      <c r="H237" s="28">
        <v>1223914.8799999999</v>
      </c>
    </row>
    <row r="238" spans="3:8" x14ac:dyDescent="0.25">
      <c r="D238" t="s">
        <v>2103</v>
      </c>
      <c r="E238" t="s">
        <v>39</v>
      </c>
      <c r="F238" s="28">
        <v>67753.14</v>
      </c>
      <c r="G238" s="28">
        <v>96650.45</v>
      </c>
      <c r="H238" s="28">
        <v>164403.59</v>
      </c>
    </row>
    <row r="239" spans="3:8" x14ac:dyDescent="0.25">
      <c r="E239" t="s">
        <v>19</v>
      </c>
      <c r="F239" s="28">
        <v>233337.27000000002</v>
      </c>
      <c r="G239" s="28">
        <v>128623.88</v>
      </c>
      <c r="H239" s="28">
        <v>361961.15</v>
      </c>
    </row>
    <row r="240" spans="3:8" x14ac:dyDescent="0.25">
      <c r="E240" t="s">
        <v>33</v>
      </c>
      <c r="F240" s="28">
        <v>238872.89999999997</v>
      </c>
      <c r="G240" s="28">
        <v>375573.91000000003</v>
      </c>
      <c r="H240" s="28">
        <v>614446.81000000006</v>
      </c>
    </row>
    <row r="241" spans="3:8" x14ac:dyDescent="0.25">
      <c r="D241" t="s">
        <v>2104</v>
      </c>
      <c r="F241" s="28">
        <v>539963.31000000006</v>
      </c>
      <c r="G241" s="28">
        <v>600848.24</v>
      </c>
      <c r="H241" s="28">
        <v>1140811.55</v>
      </c>
    </row>
    <row r="242" spans="3:8" x14ac:dyDescent="0.25">
      <c r="D242" t="s">
        <v>2105</v>
      </c>
      <c r="E242" t="s">
        <v>39</v>
      </c>
      <c r="F242" s="28">
        <v>42434.73</v>
      </c>
      <c r="G242" s="28"/>
      <c r="H242" s="28">
        <v>42434.73</v>
      </c>
    </row>
    <row r="243" spans="3:8" x14ac:dyDescent="0.25">
      <c r="E243" t="s">
        <v>19</v>
      </c>
      <c r="F243" s="28">
        <v>67453.52</v>
      </c>
      <c r="G243" s="28">
        <v>148814.03999999998</v>
      </c>
      <c r="H243" s="28">
        <v>216267.56</v>
      </c>
    </row>
    <row r="244" spans="3:8" x14ac:dyDescent="0.25">
      <c r="E244" t="s">
        <v>33</v>
      </c>
      <c r="F244" s="28">
        <v>137337.62</v>
      </c>
      <c r="G244" s="28">
        <v>78517.38</v>
      </c>
      <c r="H244" s="28">
        <v>215855</v>
      </c>
    </row>
    <row r="245" spans="3:8" x14ac:dyDescent="0.25">
      <c r="D245" t="s">
        <v>2106</v>
      </c>
      <c r="F245" s="28">
        <v>247225.87</v>
      </c>
      <c r="G245" s="28">
        <v>227331.41999999998</v>
      </c>
      <c r="H245" s="28">
        <v>474557.29000000004</v>
      </c>
    </row>
    <row r="246" spans="3:8" x14ac:dyDescent="0.25">
      <c r="C246" t="s">
        <v>2137</v>
      </c>
      <c r="F246" s="28">
        <v>1459297.04</v>
      </c>
      <c r="G246" s="28">
        <v>1715757.5299999998</v>
      </c>
      <c r="H246" s="28">
        <v>3175054.5700000003</v>
      </c>
    </row>
    <row r="247" spans="3:8" x14ac:dyDescent="0.25">
      <c r="C247" t="s">
        <v>22</v>
      </c>
      <c r="D247" t="s">
        <v>2099</v>
      </c>
      <c r="E247" t="s">
        <v>39</v>
      </c>
      <c r="F247" s="28">
        <v>56657.06</v>
      </c>
      <c r="G247" s="28">
        <v>13444.39</v>
      </c>
      <c r="H247" s="28">
        <v>70101.45</v>
      </c>
    </row>
    <row r="248" spans="3:8" x14ac:dyDescent="0.25">
      <c r="E248" t="s">
        <v>19</v>
      </c>
      <c r="F248" s="28">
        <v>86390.39</v>
      </c>
      <c r="G248" s="28">
        <v>61976.46</v>
      </c>
      <c r="H248" s="28">
        <v>148366.85</v>
      </c>
    </row>
    <row r="249" spans="3:8" x14ac:dyDescent="0.25">
      <c r="E249" t="s">
        <v>33</v>
      </c>
      <c r="F249" s="28">
        <v>19908.96</v>
      </c>
      <c r="G249" s="28">
        <v>7790.16</v>
      </c>
      <c r="H249" s="28">
        <v>27699.119999999999</v>
      </c>
    </row>
    <row r="250" spans="3:8" x14ac:dyDescent="0.25">
      <c r="D250" t="s">
        <v>2100</v>
      </c>
      <c r="F250" s="28">
        <v>162956.41</v>
      </c>
      <c r="G250" s="28">
        <v>83211.010000000009</v>
      </c>
      <c r="H250" s="28">
        <v>246167.41999999998</v>
      </c>
    </row>
    <row r="251" spans="3:8" x14ac:dyDescent="0.25">
      <c r="D251" t="s">
        <v>2101</v>
      </c>
      <c r="E251" t="s">
        <v>39</v>
      </c>
      <c r="F251" s="28">
        <v>3366.17</v>
      </c>
      <c r="G251" s="28">
        <v>526.29999999999995</v>
      </c>
      <c r="H251" s="28">
        <v>3892.4700000000003</v>
      </c>
    </row>
    <row r="252" spans="3:8" x14ac:dyDescent="0.25">
      <c r="E252" t="s">
        <v>19</v>
      </c>
      <c r="F252" s="28"/>
      <c r="G252" s="28">
        <v>70211.679999999993</v>
      </c>
      <c r="H252" s="28">
        <v>70211.679999999993</v>
      </c>
    </row>
    <row r="253" spans="3:8" x14ac:dyDescent="0.25">
      <c r="E253" t="s">
        <v>33</v>
      </c>
      <c r="F253" s="28"/>
      <c r="G253" s="28">
        <v>232132.72</v>
      </c>
      <c r="H253" s="28">
        <v>232132.72</v>
      </c>
    </row>
    <row r="254" spans="3:8" x14ac:dyDescent="0.25">
      <c r="D254" t="s">
        <v>2102</v>
      </c>
      <c r="F254" s="28">
        <v>3366.17</v>
      </c>
      <c r="G254" s="28">
        <v>302870.7</v>
      </c>
      <c r="H254" s="28">
        <v>306236.87</v>
      </c>
    </row>
    <row r="255" spans="3:8" x14ac:dyDescent="0.25">
      <c r="D255" t="s">
        <v>2103</v>
      </c>
      <c r="E255" t="s">
        <v>39</v>
      </c>
      <c r="F255" s="28">
        <v>68030.48</v>
      </c>
      <c r="G255" s="28">
        <v>265739.04000000004</v>
      </c>
      <c r="H255" s="28">
        <v>333769.52</v>
      </c>
    </row>
    <row r="256" spans="3:8" x14ac:dyDescent="0.25">
      <c r="E256" t="s">
        <v>19</v>
      </c>
      <c r="F256" s="28">
        <v>10466.9</v>
      </c>
      <c r="G256" s="28">
        <v>173862.04</v>
      </c>
      <c r="H256" s="28">
        <v>184328.94</v>
      </c>
    </row>
    <row r="257" spans="3:8" x14ac:dyDescent="0.25">
      <c r="E257" t="s">
        <v>33</v>
      </c>
      <c r="F257" s="28">
        <v>219361.17999999996</v>
      </c>
      <c r="G257" s="28">
        <v>16358.2</v>
      </c>
      <c r="H257" s="28">
        <v>235719.37999999998</v>
      </c>
    </row>
    <row r="258" spans="3:8" x14ac:dyDescent="0.25">
      <c r="D258" t="s">
        <v>2104</v>
      </c>
      <c r="F258" s="28">
        <v>297858.55999999994</v>
      </c>
      <c r="G258" s="28">
        <v>455959.28000000009</v>
      </c>
      <c r="H258" s="28">
        <v>753817.84</v>
      </c>
    </row>
    <row r="259" spans="3:8" x14ac:dyDescent="0.25">
      <c r="D259" t="s">
        <v>2105</v>
      </c>
      <c r="E259" t="s">
        <v>39</v>
      </c>
      <c r="F259" s="28">
        <v>241003.09</v>
      </c>
      <c r="G259" s="28"/>
      <c r="H259" s="28">
        <v>241003.09</v>
      </c>
    </row>
    <row r="260" spans="3:8" x14ac:dyDescent="0.25">
      <c r="E260" t="s">
        <v>19</v>
      </c>
      <c r="F260" s="28">
        <v>48255.799999999996</v>
      </c>
      <c r="G260" s="28"/>
      <c r="H260" s="28">
        <v>48255.799999999996</v>
      </c>
    </row>
    <row r="261" spans="3:8" x14ac:dyDescent="0.25">
      <c r="E261" t="s">
        <v>33</v>
      </c>
      <c r="F261" s="28">
        <v>9299.5</v>
      </c>
      <c r="G261" s="28">
        <v>111401.62</v>
      </c>
      <c r="H261" s="28">
        <v>120701.12</v>
      </c>
    </row>
    <row r="262" spans="3:8" x14ac:dyDescent="0.25">
      <c r="D262" t="s">
        <v>2106</v>
      </c>
      <c r="F262" s="28">
        <v>298558.39</v>
      </c>
      <c r="G262" s="28">
        <v>111401.62</v>
      </c>
      <c r="H262" s="28">
        <v>409960.01</v>
      </c>
    </row>
    <row r="263" spans="3:8" x14ac:dyDescent="0.25">
      <c r="C263" t="s">
        <v>2138</v>
      </c>
      <c r="F263" s="28">
        <v>762739.53</v>
      </c>
      <c r="G263" s="28">
        <v>953442.61</v>
      </c>
      <c r="H263" s="28">
        <v>1716182.1400000001</v>
      </c>
    </row>
    <row r="264" spans="3:8" x14ac:dyDescent="0.25">
      <c r="C264" t="s">
        <v>40</v>
      </c>
      <c r="D264" t="s">
        <v>2099</v>
      </c>
      <c r="E264" t="s">
        <v>39</v>
      </c>
      <c r="F264" s="28">
        <v>36075.4</v>
      </c>
      <c r="G264" s="28"/>
      <c r="H264" s="28">
        <v>36075.4</v>
      </c>
    </row>
    <row r="265" spans="3:8" x14ac:dyDescent="0.25">
      <c r="E265" t="s">
        <v>19</v>
      </c>
      <c r="F265" s="28">
        <v>159557.88</v>
      </c>
      <c r="G265" s="28">
        <v>118683.93</v>
      </c>
      <c r="H265" s="28">
        <v>278241.81</v>
      </c>
    </row>
    <row r="266" spans="3:8" x14ac:dyDescent="0.25">
      <c r="E266" t="s">
        <v>33</v>
      </c>
      <c r="F266" s="28">
        <v>63473.14</v>
      </c>
      <c r="G266" s="28">
        <v>9516.57</v>
      </c>
      <c r="H266" s="28">
        <v>72989.709999999992</v>
      </c>
    </row>
    <row r="267" spans="3:8" x14ac:dyDescent="0.25">
      <c r="D267" t="s">
        <v>2100</v>
      </c>
      <c r="F267" s="28">
        <v>259106.41999999998</v>
      </c>
      <c r="G267" s="28">
        <v>128200.5</v>
      </c>
      <c r="H267" s="28">
        <v>387306.92000000004</v>
      </c>
    </row>
    <row r="268" spans="3:8" x14ac:dyDescent="0.25">
      <c r="D268" t="s">
        <v>2101</v>
      </c>
      <c r="E268" t="s">
        <v>39</v>
      </c>
      <c r="F268" s="28">
        <v>84683.25</v>
      </c>
      <c r="G268" s="28">
        <v>151057.96000000002</v>
      </c>
      <c r="H268" s="28">
        <v>235741.21000000002</v>
      </c>
    </row>
    <row r="269" spans="3:8" x14ac:dyDescent="0.25">
      <c r="E269" t="s">
        <v>19</v>
      </c>
      <c r="F269" s="28">
        <v>23467.8</v>
      </c>
      <c r="G269" s="28">
        <v>33567.660000000003</v>
      </c>
      <c r="H269" s="28">
        <v>57035.460000000006</v>
      </c>
    </row>
    <row r="270" spans="3:8" x14ac:dyDescent="0.25">
      <c r="E270" t="s">
        <v>33</v>
      </c>
      <c r="F270" s="28">
        <v>99972.479999999996</v>
      </c>
      <c r="G270" s="28">
        <v>159984.92000000001</v>
      </c>
      <c r="H270" s="28">
        <v>259957.40000000002</v>
      </c>
    </row>
    <row r="271" spans="3:8" x14ac:dyDescent="0.25">
      <c r="D271" t="s">
        <v>2102</v>
      </c>
      <c r="F271" s="28">
        <v>208123.53</v>
      </c>
      <c r="G271" s="28">
        <v>344610.54000000004</v>
      </c>
      <c r="H271" s="28">
        <v>552734.07000000007</v>
      </c>
    </row>
    <row r="272" spans="3:8" x14ac:dyDescent="0.25">
      <c r="D272" t="s">
        <v>2103</v>
      </c>
      <c r="E272" t="s">
        <v>39</v>
      </c>
      <c r="F272" s="28">
        <v>194176.64000000001</v>
      </c>
      <c r="G272" s="28">
        <v>57895.319999999992</v>
      </c>
      <c r="H272" s="28">
        <v>252071.96000000002</v>
      </c>
    </row>
    <row r="273" spans="2:8" x14ac:dyDescent="0.25">
      <c r="E273" t="s">
        <v>19</v>
      </c>
      <c r="F273" s="28"/>
      <c r="G273" s="28">
        <v>128797.62</v>
      </c>
      <c r="H273" s="28">
        <v>128797.62</v>
      </c>
    </row>
    <row r="274" spans="2:8" x14ac:dyDescent="0.25">
      <c r="E274" t="s">
        <v>33</v>
      </c>
      <c r="F274" s="28">
        <v>181794.42</v>
      </c>
      <c r="G274" s="28">
        <v>100739.43</v>
      </c>
      <c r="H274" s="28">
        <v>282533.84999999998</v>
      </c>
    </row>
    <row r="275" spans="2:8" x14ac:dyDescent="0.25">
      <c r="D275" t="s">
        <v>2104</v>
      </c>
      <c r="F275" s="28">
        <v>375971.06000000006</v>
      </c>
      <c r="G275" s="28">
        <v>287432.37</v>
      </c>
      <c r="H275" s="28">
        <v>663403.42999999993</v>
      </c>
    </row>
    <row r="276" spans="2:8" x14ac:dyDescent="0.25">
      <c r="D276" t="s">
        <v>2105</v>
      </c>
      <c r="E276" t="s">
        <v>39</v>
      </c>
      <c r="F276" s="28">
        <v>59599.12</v>
      </c>
      <c r="G276" s="28">
        <v>160640.45000000001</v>
      </c>
      <c r="H276" s="28">
        <v>220239.57</v>
      </c>
    </row>
    <row r="277" spans="2:8" x14ac:dyDescent="0.25">
      <c r="E277" t="s">
        <v>19</v>
      </c>
      <c r="F277" s="28">
        <v>77010.94</v>
      </c>
      <c r="G277" s="28">
        <v>124054.43</v>
      </c>
      <c r="H277" s="28">
        <v>201065.37</v>
      </c>
    </row>
    <row r="278" spans="2:8" x14ac:dyDescent="0.25">
      <c r="E278" t="s">
        <v>33</v>
      </c>
      <c r="F278" s="28">
        <v>2658.8</v>
      </c>
      <c r="G278" s="28"/>
      <c r="H278" s="28">
        <v>2658.8</v>
      </c>
    </row>
    <row r="279" spans="2:8" x14ac:dyDescent="0.25">
      <c r="D279" t="s">
        <v>2106</v>
      </c>
      <c r="F279" s="28">
        <v>139268.85999999999</v>
      </c>
      <c r="G279" s="28">
        <v>284694.88</v>
      </c>
      <c r="H279" s="28">
        <v>423963.74</v>
      </c>
    </row>
    <row r="280" spans="2:8" x14ac:dyDescent="0.25">
      <c r="C280" t="s">
        <v>2139</v>
      </c>
      <c r="F280" s="28">
        <v>982469.87000000011</v>
      </c>
      <c r="G280" s="28">
        <v>1044938.2899999998</v>
      </c>
      <c r="H280" s="28">
        <v>2027408.1600000004</v>
      </c>
    </row>
    <row r="281" spans="2:8" x14ac:dyDescent="0.25">
      <c r="B281" t="s">
        <v>2090</v>
      </c>
      <c r="F281" s="28">
        <v>4097895.26</v>
      </c>
      <c r="G281" s="28">
        <v>4774205.3200000012</v>
      </c>
      <c r="H281" s="28">
        <v>8872100.5800000001</v>
      </c>
    </row>
    <row r="282" spans="2:8" x14ac:dyDescent="0.25">
      <c r="B282" t="s">
        <v>27</v>
      </c>
      <c r="C282" t="s">
        <v>29</v>
      </c>
      <c r="D282" t="s">
        <v>2099</v>
      </c>
      <c r="E282" t="s">
        <v>39</v>
      </c>
      <c r="F282" s="28">
        <v>48370.759999999995</v>
      </c>
      <c r="G282" s="28"/>
      <c r="H282" s="28">
        <v>48370.759999999995</v>
      </c>
    </row>
    <row r="283" spans="2:8" x14ac:dyDescent="0.25">
      <c r="E283" t="s">
        <v>19</v>
      </c>
      <c r="F283" s="28">
        <v>47041.08</v>
      </c>
      <c r="G283" s="28">
        <v>26654.55</v>
      </c>
      <c r="H283" s="28">
        <v>73695.63</v>
      </c>
    </row>
    <row r="284" spans="2:8" x14ac:dyDescent="0.25">
      <c r="E284" t="s">
        <v>33</v>
      </c>
      <c r="F284" s="28">
        <v>50505.84</v>
      </c>
      <c r="G284" s="28">
        <v>103251.76000000001</v>
      </c>
      <c r="H284" s="28">
        <v>153757.6</v>
      </c>
    </row>
    <row r="285" spans="2:8" x14ac:dyDescent="0.25">
      <c r="D285" t="s">
        <v>2100</v>
      </c>
      <c r="F285" s="28">
        <v>145917.68</v>
      </c>
      <c r="G285" s="28">
        <v>129906.31000000001</v>
      </c>
      <c r="H285" s="28">
        <v>275823.99</v>
      </c>
    </row>
    <row r="286" spans="2:8" x14ac:dyDescent="0.25">
      <c r="D286" t="s">
        <v>2101</v>
      </c>
      <c r="E286" t="s">
        <v>39</v>
      </c>
      <c r="F286" s="28"/>
      <c r="G286" s="28">
        <v>42899.94</v>
      </c>
      <c r="H286" s="28">
        <v>42899.94</v>
      </c>
    </row>
    <row r="287" spans="2:8" x14ac:dyDescent="0.25">
      <c r="E287" t="s">
        <v>19</v>
      </c>
      <c r="F287" s="28">
        <v>14461.85</v>
      </c>
      <c r="G287" s="28">
        <v>84755</v>
      </c>
      <c r="H287" s="28">
        <v>99216.85</v>
      </c>
    </row>
    <row r="288" spans="2:8" x14ac:dyDescent="0.25">
      <c r="E288" t="s">
        <v>33</v>
      </c>
      <c r="F288" s="28">
        <v>28063.85</v>
      </c>
      <c r="G288" s="28">
        <v>48159.630000000005</v>
      </c>
      <c r="H288" s="28">
        <v>76223.48000000001</v>
      </c>
    </row>
    <row r="289" spans="3:8" x14ac:dyDescent="0.25">
      <c r="D289" t="s">
        <v>2102</v>
      </c>
      <c r="F289" s="28">
        <v>42525.7</v>
      </c>
      <c r="G289" s="28">
        <v>175814.57</v>
      </c>
      <c r="H289" s="28">
        <v>218340.27000000002</v>
      </c>
    </row>
    <row r="290" spans="3:8" x14ac:dyDescent="0.25">
      <c r="D290" t="s">
        <v>2103</v>
      </c>
      <c r="E290" t="s">
        <v>39</v>
      </c>
      <c r="F290" s="28">
        <v>4620.29</v>
      </c>
      <c r="G290" s="28">
        <v>110930.58</v>
      </c>
      <c r="H290" s="28">
        <v>115550.87</v>
      </c>
    </row>
    <row r="291" spans="3:8" x14ac:dyDescent="0.25">
      <c r="E291" t="s">
        <v>19</v>
      </c>
      <c r="F291" s="28">
        <v>70936.12</v>
      </c>
      <c r="G291" s="28"/>
      <c r="H291" s="28">
        <v>70936.12</v>
      </c>
    </row>
    <row r="292" spans="3:8" x14ac:dyDescent="0.25">
      <c r="E292" t="s">
        <v>33</v>
      </c>
      <c r="F292" s="28">
        <v>36938.160000000003</v>
      </c>
      <c r="G292" s="28">
        <v>157418.06</v>
      </c>
      <c r="H292" s="28">
        <v>194356.22</v>
      </c>
    </row>
    <row r="293" spans="3:8" x14ac:dyDescent="0.25">
      <c r="D293" t="s">
        <v>2104</v>
      </c>
      <c r="F293" s="28">
        <v>112494.56999999999</v>
      </c>
      <c r="G293" s="28">
        <v>268348.64</v>
      </c>
      <c r="H293" s="28">
        <v>380843.20999999996</v>
      </c>
    </row>
    <row r="294" spans="3:8" x14ac:dyDescent="0.25">
      <c r="D294" t="s">
        <v>2105</v>
      </c>
      <c r="E294" t="s">
        <v>39</v>
      </c>
      <c r="F294" s="28">
        <v>109859.67</v>
      </c>
      <c r="G294" s="28">
        <v>2434.3200000000002</v>
      </c>
      <c r="H294" s="28">
        <v>112293.99</v>
      </c>
    </row>
    <row r="295" spans="3:8" x14ac:dyDescent="0.25">
      <c r="E295" t="s">
        <v>19</v>
      </c>
      <c r="F295" s="28">
        <v>167772.72999999998</v>
      </c>
      <c r="G295" s="28"/>
      <c r="H295" s="28">
        <v>167772.72999999998</v>
      </c>
    </row>
    <row r="296" spans="3:8" x14ac:dyDescent="0.25">
      <c r="E296" t="s">
        <v>33</v>
      </c>
      <c r="F296" s="28">
        <v>86093.829999999987</v>
      </c>
      <c r="G296" s="28">
        <v>48982.559999999998</v>
      </c>
      <c r="H296" s="28">
        <v>135076.38999999998</v>
      </c>
    </row>
    <row r="297" spans="3:8" x14ac:dyDescent="0.25">
      <c r="D297" t="s">
        <v>2106</v>
      </c>
      <c r="F297" s="28">
        <v>363726.23</v>
      </c>
      <c r="G297" s="28">
        <v>51416.88</v>
      </c>
      <c r="H297" s="28">
        <v>415143.11</v>
      </c>
    </row>
    <row r="298" spans="3:8" x14ac:dyDescent="0.25">
      <c r="C298" t="s">
        <v>2136</v>
      </c>
      <c r="F298" s="28">
        <v>664664.18000000005</v>
      </c>
      <c r="G298" s="28">
        <v>625486.39999999991</v>
      </c>
      <c r="H298" s="28">
        <v>1290150.5799999998</v>
      </c>
    </row>
    <row r="299" spans="3:8" x14ac:dyDescent="0.25">
      <c r="C299" t="s">
        <v>48</v>
      </c>
      <c r="D299" t="s">
        <v>2099</v>
      </c>
      <c r="E299" t="s">
        <v>39</v>
      </c>
      <c r="F299" s="28">
        <v>25761.33</v>
      </c>
      <c r="G299" s="28">
        <v>63451.02</v>
      </c>
      <c r="H299" s="28">
        <v>89212.35</v>
      </c>
    </row>
    <row r="300" spans="3:8" x14ac:dyDescent="0.25">
      <c r="E300" t="s">
        <v>19</v>
      </c>
      <c r="F300" s="28">
        <v>60049.37</v>
      </c>
      <c r="G300" s="28">
        <v>135003.9</v>
      </c>
      <c r="H300" s="28">
        <v>195053.27</v>
      </c>
    </row>
    <row r="301" spans="3:8" x14ac:dyDescent="0.25">
      <c r="E301" t="s">
        <v>33</v>
      </c>
      <c r="F301" s="28">
        <v>62767.55</v>
      </c>
      <c r="G301" s="28"/>
      <c r="H301" s="28">
        <v>62767.55</v>
      </c>
    </row>
    <row r="302" spans="3:8" x14ac:dyDescent="0.25">
      <c r="D302" t="s">
        <v>2100</v>
      </c>
      <c r="F302" s="28">
        <v>148578.25</v>
      </c>
      <c r="G302" s="28">
        <v>198454.91999999998</v>
      </c>
      <c r="H302" s="28">
        <v>347033.17</v>
      </c>
    </row>
    <row r="303" spans="3:8" x14ac:dyDescent="0.25">
      <c r="D303" t="s">
        <v>2101</v>
      </c>
      <c r="E303" t="s">
        <v>39</v>
      </c>
      <c r="F303" s="28">
        <v>4942.5600000000004</v>
      </c>
      <c r="G303" s="28">
        <v>58442.22</v>
      </c>
      <c r="H303" s="28">
        <v>63384.78</v>
      </c>
    </row>
    <row r="304" spans="3:8" x14ac:dyDescent="0.25">
      <c r="E304" t="s">
        <v>19</v>
      </c>
      <c r="F304" s="28">
        <v>71399.47</v>
      </c>
      <c r="G304" s="28">
        <v>155839.42000000001</v>
      </c>
      <c r="H304" s="28">
        <v>227238.89</v>
      </c>
    </row>
    <row r="305" spans="3:8" x14ac:dyDescent="0.25">
      <c r="E305" t="s">
        <v>33</v>
      </c>
      <c r="F305" s="28">
        <v>147412.6</v>
      </c>
      <c r="G305" s="28">
        <v>64056.76</v>
      </c>
      <c r="H305" s="28">
        <v>211469.36000000002</v>
      </c>
    </row>
    <row r="306" spans="3:8" x14ac:dyDescent="0.25">
      <c r="D306" t="s">
        <v>2102</v>
      </c>
      <c r="F306" s="28">
        <v>223754.63</v>
      </c>
      <c r="G306" s="28">
        <v>278338.40000000002</v>
      </c>
      <c r="H306" s="28">
        <v>502093.03</v>
      </c>
    </row>
    <row r="307" spans="3:8" x14ac:dyDescent="0.25">
      <c r="D307" t="s">
        <v>2103</v>
      </c>
      <c r="E307" t="s">
        <v>39</v>
      </c>
      <c r="F307" s="28">
        <v>38770.119999999995</v>
      </c>
      <c r="G307" s="28">
        <v>213785.81</v>
      </c>
      <c r="H307" s="28">
        <v>252555.93</v>
      </c>
    </row>
    <row r="308" spans="3:8" x14ac:dyDescent="0.25">
      <c r="E308" t="s">
        <v>19</v>
      </c>
      <c r="F308" s="28">
        <v>111593.1</v>
      </c>
      <c r="G308" s="28">
        <v>132642.16999999998</v>
      </c>
      <c r="H308" s="28">
        <v>244235.27</v>
      </c>
    </row>
    <row r="309" spans="3:8" x14ac:dyDescent="0.25">
      <c r="E309" t="s">
        <v>33</v>
      </c>
      <c r="F309" s="28">
        <v>111898.66</v>
      </c>
      <c r="G309" s="28">
        <v>129981</v>
      </c>
      <c r="H309" s="28">
        <v>241879.66</v>
      </c>
    </row>
    <row r="310" spans="3:8" x14ac:dyDescent="0.25">
      <c r="D310" t="s">
        <v>2104</v>
      </c>
      <c r="F310" s="28">
        <v>262261.88</v>
      </c>
      <c r="G310" s="28">
        <v>476408.98</v>
      </c>
      <c r="H310" s="28">
        <v>738670.86</v>
      </c>
    </row>
    <row r="311" spans="3:8" x14ac:dyDescent="0.25">
      <c r="D311" t="s">
        <v>2105</v>
      </c>
      <c r="E311" t="s">
        <v>39</v>
      </c>
      <c r="F311" s="28">
        <v>816.84</v>
      </c>
      <c r="G311" s="28"/>
      <c r="H311" s="28">
        <v>816.84</v>
      </c>
    </row>
    <row r="312" spans="3:8" x14ac:dyDescent="0.25">
      <c r="E312" t="s">
        <v>33</v>
      </c>
      <c r="F312" s="28">
        <v>190030.02999999997</v>
      </c>
      <c r="G312" s="28"/>
      <c r="H312" s="28">
        <v>190030.02999999997</v>
      </c>
    </row>
    <row r="313" spans="3:8" x14ac:dyDescent="0.25">
      <c r="D313" t="s">
        <v>2106</v>
      </c>
      <c r="F313" s="28">
        <v>190846.86999999997</v>
      </c>
      <c r="G313" s="28"/>
      <c r="H313" s="28">
        <v>190846.86999999997</v>
      </c>
    </row>
    <row r="314" spans="3:8" x14ac:dyDescent="0.25">
      <c r="C314" t="s">
        <v>2137</v>
      </c>
      <c r="F314" s="28">
        <v>825441.62999999989</v>
      </c>
      <c r="G314" s="28">
        <v>953202.3</v>
      </c>
      <c r="H314" s="28">
        <v>1778643.93</v>
      </c>
    </row>
    <row r="315" spans="3:8" x14ac:dyDescent="0.25">
      <c r="C315" t="s">
        <v>22</v>
      </c>
      <c r="D315" t="s">
        <v>2099</v>
      </c>
      <c r="E315" t="s">
        <v>39</v>
      </c>
      <c r="F315" s="28">
        <v>41304.559999999998</v>
      </c>
      <c r="G315" s="28">
        <v>150964.48000000001</v>
      </c>
      <c r="H315" s="28">
        <v>192269.04</v>
      </c>
    </row>
    <row r="316" spans="3:8" x14ac:dyDescent="0.25">
      <c r="E316" t="s">
        <v>19</v>
      </c>
      <c r="F316" s="28">
        <v>180768.51</v>
      </c>
      <c r="G316" s="28">
        <v>47828.479999999996</v>
      </c>
      <c r="H316" s="28">
        <v>228596.99</v>
      </c>
    </row>
    <row r="317" spans="3:8" x14ac:dyDescent="0.25">
      <c r="E317" t="s">
        <v>33</v>
      </c>
      <c r="F317" s="28">
        <v>75777.240000000005</v>
      </c>
      <c r="G317" s="28">
        <v>31449.190000000002</v>
      </c>
      <c r="H317" s="28">
        <v>107226.43000000001</v>
      </c>
    </row>
    <row r="318" spans="3:8" x14ac:dyDescent="0.25">
      <c r="D318" t="s">
        <v>2100</v>
      </c>
      <c r="F318" s="28">
        <v>297850.31</v>
      </c>
      <c r="G318" s="28">
        <v>230242.15000000002</v>
      </c>
      <c r="H318" s="28">
        <v>528092.46000000008</v>
      </c>
    </row>
    <row r="319" spans="3:8" x14ac:dyDescent="0.25">
      <c r="D319" t="s">
        <v>2101</v>
      </c>
      <c r="E319" t="s">
        <v>39</v>
      </c>
      <c r="F319" s="28">
        <v>87565.74</v>
      </c>
      <c r="G319" s="28">
        <v>51147.270000000004</v>
      </c>
      <c r="H319" s="28">
        <v>138713.01</v>
      </c>
    </row>
    <row r="320" spans="3:8" x14ac:dyDescent="0.25">
      <c r="E320" t="s">
        <v>19</v>
      </c>
      <c r="F320" s="28">
        <v>47100.39</v>
      </c>
      <c r="G320" s="28"/>
      <c r="H320" s="28">
        <v>47100.39</v>
      </c>
    </row>
    <row r="321" spans="3:8" x14ac:dyDescent="0.25">
      <c r="E321" t="s">
        <v>33</v>
      </c>
      <c r="F321" s="28">
        <v>115217.48000000001</v>
      </c>
      <c r="G321" s="28">
        <v>53888</v>
      </c>
      <c r="H321" s="28">
        <v>169105.48</v>
      </c>
    </row>
    <row r="322" spans="3:8" x14ac:dyDescent="0.25">
      <c r="D322" t="s">
        <v>2102</v>
      </c>
      <c r="F322" s="28">
        <v>249883.61000000002</v>
      </c>
      <c r="G322" s="28">
        <v>105035.27</v>
      </c>
      <c r="H322" s="28">
        <v>354918.88</v>
      </c>
    </row>
    <row r="323" spans="3:8" x14ac:dyDescent="0.25">
      <c r="D323" t="s">
        <v>2103</v>
      </c>
      <c r="E323" t="s">
        <v>39</v>
      </c>
      <c r="F323" s="28">
        <v>56822.879999999997</v>
      </c>
      <c r="G323" s="28">
        <v>39269.699999999997</v>
      </c>
      <c r="H323" s="28">
        <v>96092.579999999987</v>
      </c>
    </row>
    <row r="324" spans="3:8" x14ac:dyDescent="0.25">
      <c r="E324" t="s">
        <v>19</v>
      </c>
      <c r="F324" s="28">
        <v>47588.490000000005</v>
      </c>
      <c r="G324" s="28"/>
      <c r="H324" s="28">
        <v>47588.490000000005</v>
      </c>
    </row>
    <row r="325" spans="3:8" x14ac:dyDescent="0.25">
      <c r="E325" t="s">
        <v>33</v>
      </c>
      <c r="F325" s="28">
        <v>109870.54000000001</v>
      </c>
      <c r="G325" s="28">
        <v>174976.26999999996</v>
      </c>
      <c r="H325" s="28">
        <v>284846.80999999994</v>
      </c>
    </row>
    <row r="326" spans="3:8" x14ac:dyDescent="0.25">
      <c r="D326" t="s">
        <v>2104</v>
      </c>
      <c r="F326" s="28">
        <v>214281.91</v>
      </c>
      <c r="G326" s="28">
        <v>214245.96999999997</v>
      </c>
      <c r="H326" s="28">
        <v>428527.87999999995</v>
      </c>
    </row>
    <row r="327" spans="3:8" x14ac:dyDescent="0.25">
      <c r="D327" t="s">
        <v>2105</v>
      </c>
      <c r="E327" t="s">
        <v>39</v>
      </c>
      <c r="F327" s="28">
        <v>84586.68</v>
      </c>
      <c r="G327" s="28"/>
      <c r="H327" s="28">
        <v>84586.68</v>
      </c>
    </row>
    <row r="328" spans="3:8" x14ac:dyDescent="0.25">
      <c r="E328" t="s">
        <v>19</v>
      </c>
      <c r="F328" s="28">
        <v>36599.06</v>
      </c>
      <c r="G328" s="28"/>
      <c r="H328" s="28">
        <v>36599.06</v>
      </c>
    </row>
    <row r="329" spans="3:8" x14ac:dyDescent="0.25">
      <c r="E329" t="s">
        <v>33</v>
      </c>
      <c r="F329" s="28">
        <v>65240.97</v>
      </c>
      <c r="G329" s="28">
        <v>22183.75</v>
      </c>
      <c r="H329" s="28">
        <v>87424.72</v>
      </c>
    </row>
    <row r="330" spans="3:8" x14ac:dyDescent="0.25">
      <c r="D330" t="s">
        <v>2106</v>
      </c>
      <c r="F330" s="28">
        <v>186426.71</v>
      </c>
      <c r="G330" s="28">
        <v>22183.75</v>
      </c>
      <c r="H330" s="28">
        <v>208610.46</v>
      </c>
    </row>
    <row r="331" spans="3:8" x14ac:dyDescent="0.25">
      <c r="C331" t="s">
        <v>2138</v>
      </c>
      <c r="F331" s="28">
        <v>948442.54</v>
      </c>
      <c r="G331" s="28">
        <v>571707.14</v>
      </c>
      <c r="H331" s="28">
        <v>1520149.68</v>
      </c>
    </row>
    <row r="332" spans="3:8" x14ac:dyDescent="0.25">
      <c r="C332" t="s">
        <v>40</v>
      </c>
      <c r="D332" t="s">
        <v>2099</v>
      </c>
      <c r="E332" t="s">
        <v>39</v>
      </c>
      <c r="F332" s="28"/>
      <c r="G332" s="28">
        <v>202638.21</v>
      </c>
      <c r="H332" s="28">
        <v>202638.21</v>
      </c>
    </row>
    <row r="333" spans="3:8" x14ac:dyDescent="0.25">
      <c r="E333" t="s">
        <v>19</v>
      </c>
      <c r="F333" s="28">
        <v>1179</v>
      </c>
      <c r="G333" s="28">
        <v>98077.87</v>
      </c>
      <c r="H333" s="28">
        <v>99256.87</v>
      </c>
    </row>
    <row r="334" spans="3:8" x14ac:dyDescent="0.25">
      <c r="E334" t="s">
        <v>33</v>
      </c>
      <c r="F334" s="28">
        <v>59924.479999999996</v>
      </c>
      <c r="G334" s="28">
        <v>6015.36</v>
      </c>
      <c r="H334" s="28">
        <v>65939.839999999997</v>
      </c>
    </row>
    <row r="335" spans="3:8" x14ac:dyDescent="0.25">
      <c r="D335" t="s">
        <v>2100</v>
      </c>
      <c r="F335" s="28">
        <v>61103.479999999996</v>
      </c>
      <c r="G335" s="28">
        <v>306731.43999999994</v>
      </c>
      <c r="H335" s="28">
        <v>367834.91999999993</v>
      </c>
    </row>
    <row r="336" spans="3:8" x14ac:dyDescent="0.25">
      <c r="D336" t="s">
        <v>2101</v>
      </c>
      <c r="E336" t="s">
        <v>39</v>
      </c>
      <c r="F336" s="28">
        <v>80472.959999999992</v>
      </c>
      <c r="G336" s="28">
        <v>41006.879999999997</v>
      </c>
      <c r="H336" s="28">
        <v>121479.84</v>
      </c>
    </row>
    <row r="337" spans="2:8" x14ac:dyDescent="0.25">
      <c r="E337" t="s">
        <v>19</v>
      </c>
      <c r="F337" s="28">
        <v>61034.97</v>
      </c>
      <c r="G337" s="28">
        <v>18228</v>
      </c>
      <c r="H337" s="28">
        <v>79262.97</v>
      </c>
    </row>
    <row r="338" spans="2:8" x14ac:dyDescent="0.25">
      <c r="E338" t="s">
        <v>33</v>
      </c>
      <c r="F338" s="28">
        <v>61247.93</v>
      </c>
      <c r="G338" s="28">
        <v>89305.69</v>
      </c>
      <c r="H338" s="28">
        <v>150553.62</v>
      </c>
    </row>
    <row r="339" spans="2:8" x14ac:dyDescent="0.25">
      <c r="D339" t="s">
        <v>2102</v>
      </c>
      <c r="F339" s="28">
        <v>202755.86</v>
      </c>
      <c r="G339" s="28">
        <v>148540.57</v>
      </c>
      <c r="H339" s="28">
        <v>351296.43</v>
      </c>
    </row>
    <row r="340" spans="2:8" x14ac:dyDescent="0.25">
      <c r="D340" t="s">
        <v>2103</v>
      </c>
      <c r="E340" t="s">
        <v>39</v>
      </c>
      <c r="F340" s="28">
        <v>64337.100000000006</v>
      </c>
      <c r="G340" s="28">
        <v>158965.28</v>
      </c>
      <c r="H340" s="28">
        <v>223302.38</v>
      </c>
    </row>
    <row r="341" spans="2:8" x14ac:dyDescent="0.25">
      <c r="E341" t="s">
        <v>19</v>
      </c>
      <c r="F341" s="28">
        <v>159056.81</v>
      </c>
      <c r="G341" s="28">
        <v>22757.49</v>
      </c>
      <c r="H341" s="28">
        <v>181814.3</v>
      </c>
    </row>
    <row r="342" spans="2:8" x14ac:dyDescent="0.25">
      <c r="E342" t="s">
        <v>33</v>
      </c>
      <c r="F342" s="28">
        <v>28281.599999999999</v>
      </c>
      <c r="G342" s="28">
        <v>103573.26999999999</v>
      </c>
      <c r="H342" s="28">
        <v>131854.87</v>
      </c>
    </row>
    <row r="343" spans="2:8" x14ac:dyDescent="0.25">
      <c r="D343" t="s">
        <v>2104</v>
      </c>
      <c r="F343" s="28">
        <v>251675.51</v>
      </c>
      <c r="G343" s="28">
        <v>285296.03999999998</v>
      </c>
      <c r="H343" s="28">
        <v>536971.55000000005</v>
      </c>
    </row>
    <row r="344" spans="2:8" x14ac:dyDescent="0.25">
      <c r="D344" t="s">
        <v>2105</v>
      </c>
      <c r="E344" t="s">
        <v>39</v>
      </c>
      <c r="F344" s="28">
        <v>127955.09</v>
      </c>
      <c r="G344" s="28">
        <v>55849.440000000002</v>
      </c>
      <c r="H344" s="28">
        <v>183804.53</v>
      </c>
    </row>
    <row r="345" spans="2:8" x14ac:dyDescent="0.25">
      <c r="E345" t="s">
        <v>19</v>
      </c>
      <c r="F345" s="28">
        <v>89707.21</v>
      </c>
      <c r="G345" s="28">
        <v>94166.399999999994</v>
      </c>
      <c r="H345" s="28">
        <v>183873.61</v>
      </c>
    </row>
    <row r="346" spans="2:8" x14ac:dyDescent="0.25">
      <c r="E346" t="s">
        <v>33</v>
      </c>
      <c r="F346" s="28">
        <v>22898.400000000001</v>
      </c>
      <c r="G346" s="28">
        <v>136987.80000000002</v>
      </c>
      <c r="H346" s="28">
        <v>159886.20000000001</v>
      </c>
    </row>
    <row r="347" spans="2:8" x14ac:dyDescent="0.25">
      <c r="D347" t="s">
        <v>2106</v>
      </c>
      <c r="F347" s="28">
        <v>240560.69999999998</v>
      </c>
      <c r="G347" s="28">
        <v>287003.64</v>
      </c>
      <c r="H347" s="28">
        <v>527564.34000000008</v>
      </c>
    </row>
    <row r="348" spans="2:8" x14ac:dyDescent="0.25">
      <c r="C348" t="s">
        <v>2139</v>
      </c>
      <c r="F348" s="28">
        <v>756095.55</v>
      </c>
      <c r="G348" s="28">
        <v>1027571.6900000001</v>
      </c>
      <c r="H348" s="28">
        <v>1783667.24</v>
      </c>
    </row>
    <row r="349" spans="2:8" x14ac:dyDescent="0.25">
      <c r="B349" t="s">
        <v>2091</v>
      </c>
      <c r="F349" s="28">
        <v>3194643.9000000008</v>
      </c>
      <c r="G349" s="28">
        <v>3177967.5299999993</v>
      </c>
      <c r="H349" s="28">
        <v>6372611.4299999997</v>
      </c>
    </row>
    <row r="350" spans="2:8" x14ac:dyDescent="0.25">
      <c r="B350" t="s">
        <v>51</v>
      </c>
      <c r="C350" t="s">
        <v>29</v>
      </c>
      <c r="D350" t="s">
        <v>2099</v>
      </c>
      <c r="E350" t="s">
        <v>39</v>
      </c>
      <c r="F350" s="28">
        <v>71307.600000000006</v>
      </c>
      <c r="G350" s="28">
        <v>104751.75</v>
      </c>
      <c r="H350" s="28">
        <v>176059.35</v>
      </c>
    </row>
    <row r="351" spans="2:8" x14ac:dyDescent="0.25">
      <c r="E351" t="s">
        <v>19</v>
      </c>
      <c r="F351" s="28">
        <v>126199.17</v>
      </c>
      <c r="G351" s="28">
        <v>125730.28</v>
      </c>
      <c r="H351" s="28">
        <v>251929.45</v>
      </c>
    </row>
    <row r="352" spans="2:8" x14ac:dyDescent="0.25">
      <c r="E352" t="s">
        <v>33</v>
      </c>
      <c r="F352" s="28">
        <v>135693.82</v>
      </c>
      <c r="G352" s="28">
        <v>20392.32</v>
      </c>
      <c r="H352" s="28">
        <v>156086.14000000001</v>
      </c>
    </row>
    <row r="353" spans="3:8" x14ac:dyDescent="0.25">
      <c r="D353" t="s">
        <v>2100</v>
      </c>
      <c r="F353" s="28">
        <v>333200.59000000003</v>
      </c>
      <c r="G353" s="28">
        <v>250874.35</v>
      </c>
      <c r="H353" s="28">
        <v>584074.94000000006</v>
      </c>
    </row>
    <row r="354" spans="3:8" x14ac:dyDescent="0.25">
      <c r="D354" t="s">
        <v>2101</v>
      </c>
      <c r="E354" t="s">
        <v>39</v>
      </c>
      <c r="F354" s="28">
        <v>74420.640000000014</v>
      </c>
      <c r="G354" s="28">
        <v>152080.21</v>
      </c>
      <c r="H354" s="28">
        <v>226500.85</v>
      </c>
    </row>
    <row r="355" spans="3:8" x14ac:dyDescent="0.25">
      <c r="E355" t="s">
        <v>19</v>
      </c>
      <c r="F355" s="28">
        <v>125271.45</v>
      </c>
      <c r="G355" s="28">
        <v>240996.13999999998</v>
      </c>
      <c r="H355" s="28">
        <v>366267.58999999997</v>
      </c>
    </row>
    <row r="356" spans="3:8" x14ac:dyDescent="0.25">
      <c r="D356" t="s">
        <v>2102</v>
      </c>
      <c r="F356" s="28">
        <v>199692.09000000003</v>
      </c>
      <c r="G356" s="28">
        <v>393076.35</v>
      </c>
      <c r="H356" s="28">
        <v>592768.43999999994</v>
      </c>
    </row>
    <row r="357" spans="3:8" x14ac:dyDescent="0.25">
      <c r="D357" t="s">
        <v>2103</v>
      </c>
      <c r="E357" t="s">
        <v>39</v>
      </c>
      <c r="F357" s="28">
        <v>136305.20000000001</v>
      </c>
      <c r="G357" s="28">
        <v>8838.18</v>
      </c>
      <c r="H357" s="28">
        <v>145143.38</v>
      </c>
    </row>
    <row r="358" spans="3:8" x14ac:dyDescent="0.25">
      <c r="E358" t="s">
        <v>19</v>
      </c>
      <c r="F358" s="28">
        <v>39997.96</v>
      </c>
      <c r="G358" s="28">
        <v>120140</v>
      </c>
      <c r="H358" s="28">
        <v>160137.96</v>
      </c>
    </row>
    <row r="359" spans="3:8" x14ac:dyDescent="0.25">
      <c r="E359" t="s">
        <v>33</v>
      </c>
      <c r="F359" s="28">
        <v>15500.32</v>
      </c>
      <c r="G359" s="28"/>
      <c r="H359" s="28">
        <v>15500.32</v>
      </c>
    </row>
    <row r="360" spans="3:8" x14ac:dyDescent="0.25">
      <c r="D360" t="s">
        <v>2104</v>
      </c>
      <c r="F360" s="28">
        <v>191803.48</v>
      </c>
      <c r="G360" s="28">
        <v>128978.18</v>
      </c>
      <c r="H360" s="28">
        <v>320781.65999999997</v>
      </c>
    </row>
    <row r="361" spans="3:8" x14ac:dyDescent="0.25">
      <c r="D361" t="s">
        <v>2105</v>
      </c>
      <c r="E361" t="s">
        <v>39</v>
      </c>
      <c r="F361" s="28">
        <v>232679.35</v>
      </c>
      <c r="G361" s="28"/>
      <c r="H361" s="28">
        <v>232679.35</v>
      </c>
    </row>
    <row r="362" spans="3:8" x14ac:dyDescent="0.25">
      <c r="E362" t="s">
        <v>19</v>
      </c>
      <c r="F362" s="28"/>
      <c r="G362" s="28">
        <v>117347.01</v>
      </c>
      <c r="H362" s="28">
        <v>117347.01</v>
      </c>
    </row>
    <row r="363" spans="3:8" x14ac:dyDescent="0.25">
      <c r="D363" t="s">
        <v>2106</v>
      </c>
      <c r="F363" s="28">
        <v>232679.35</v>
      </c>
      <c r="G363" s="28">
        <v>117347.01</v>
      </c>
      <c r="H363" s="28">
        <v>350026.36</v>
      </c>
    </row>
    <row r="364" spans="3:8" x14ac:dyDescent="0.25">
      <c r="C364" t="s">
        <v>2136</v>
      </c>
      <c r="F364" s="28">
        <v>957375.51</v>
      </c>
      <c r="G364" s="28">
        <v>890275.89</v>
      </c>
      <c r="H364" s="28">
        <v>1847651.4</v>
      </c>
    </row>
    <row r="365" spans="3:8" x14ac:dyDescent="0.25">
      <c r="C365" t="s">
        <v>48</v>
      </c>
      <c r="D365" t="s">
        <v>2099</v>
      </c>
      <c r="E365" t="s">
        <v>39</v>
      </c>
      <c r="F365" s="28">
        <v>194912.46</v>
      </c>
      <c r="G365" s="28">
        <v>6397.14</v>
      </c>
      <c r="H365" s="28">
        <v>201309.6</v>
      </c>
    </row>
    <row r="366" spans="3:8" x14ac:dyDescent="0.25">
      <c r="E366" t="s">
        <v>19</v>
      </c>
      <c r="F366" s="28">
        <v>288105.45</v>
      </c>
      <c r="G366" s="28">
        <v>116390.74</v>
      </c>
      <c r="H366" s="28">
        <v>404496.19</v>
      </c>
    </row>
    <row r="367" spans="3:8" x14ac:dyDescent="0.25">
      <c r="E367" t="s">
        <v>33</v>
      </c>
      <c r="F367" s="28">
        <v>136295.4</v>
      </c>
      <c r="G367" s="28">
        <v>58701.62</v>
      </c>
      <c r="H367" s="28">
        <v>194997.02</v>
      </c>
    </row>
    <row r="368" spans="3:8" x14ac:dyDescent="0.25">
      <c r="D368" t="s">
        <v>2100</v>
      </c>
      <c r="F368" s="28">
        <v>619313.31000000006</v>
      </c>
      <c r="G368" s="28">
        <v>181489.5</v>
      </c>
      <c r="H368" s="28">
        <v>800802.81</v>
      </c>
    </row>
    <row r="369" spans="3:8" x14ac:dyDescent="0.25">
      <c r="D369" t="s">
        <v>2101</v>
      </c>
      <c r="E369" t="s">
        <v>39</v>
      </c>
      <c r="F369" s="28">
        <v>18308.5</v>
      </c>
      <c r="G369" s="28">
        <v>214963.92</v>
      </c>
      <c r="H369" s="28">
        <v>233272.42</v>
      </c>
    </row>
    <row r="370" spans="3:8" x14ac:dyDescent="0.25">
      <c r="E370" t="s">
        <v>19</v>
      </c>
      <c r="F370" s="28">
        <v>7717.77</v>
      </c>
      <c r="G370" s="28">
        <v>48742.729999999996</v>
      </c>
      <c r="H370" s="28">
        <v>56460.5</v>
      </c>
    </row>
    <row r="371" spans="3:8" x14ac:dyDescent="0.25">
      <c r="E371" t="s">
        <v>33</v>
      </c>
      <c r="F371" s="28">
        <v>147683.60999999999</v>
      </c>
      <c r="G371" s="28">
        <v>83920.859999999986</v>
      </c>
      <c r="H371" s="28">
        <v>231604.46999999997</v>
      </c>
    </row>
    <row r="372" spans="3:8" x14ac:dyDescent="0.25">
      <c r="D372" t="s">
        <v>2102</v>
      </c>
      <c r="F372" s="28">
        <v>173709.87999999998</v>
      </c>
      <c r="G372" s="28">
        <v>347627.51</v>
      </c>
      <c r="H372" s="28">
        <v>521337.39</v>
      </c>
    </row>
    <row r="373" spans="3:8" x14ac:dyDescent="0.25">
      <c r="D373" t="s">
        <v>2103</v>
      </c>
      <c r="E373" t="s">
        <v>39</v>
      </c>
      <c r="F373" s="28">
        <v>71032.639999999999</v>
      </c>
      <c r="G373" s="28">
        <v>11007.9</v>
      </c>
      <c r="H373" s="28">
        <v>82040.539999999994</v>
      </c>
    </row>
    <row r="374" spans="3:8" x14ac:dyDescent="0.25">
      <c r="E374" t="s">
        <v>19</v>
      </c>
      <c r="F374" s="28">
        <v>244815.06</v>
      </c>
      <c r="G374" s="28">
        <v>87015.87999999999</v>
      </c>
      <c r="H374" s="28">
        <v>331830.94</v>
      </c>
    </row>
    <row r="375" spans="3:8" x14ac:dyDescent="0.25">
      <c r="E375" t="s">
        <v>33</v>
      </c>
      <c r="F375" s="28">
        <v>182047.35</v>
      </c>
      <c r="G375" s="28">
        <v>246688.69</v>
      </c>
      <c r="H375" s="28">
        <v>428736.04000000004</v>
      </c>
    </row>
    <row r="376" spans="3:8" x14ac:dyDescent="0.25">
      <c r="D376" t="s">
        <v>2104</v>
      </c>
      <c r="F376" s="28">
        <v>497895.05000000005</v>
      </c>
      <c r="G376" s="28">
        <v>344712.47</v>
      </c>
      <c r="H376" s="28">
        <v>842607.52</v>
      </c>
    </row>
    <row r="377" spans="3:8" x14ac:dyDescent="0.25">
      <c r="D377" t="s">
        <v>2105</v>
      </c>
      <c r="E377" t="s">
        <v>39</v>
      </c>
      <c r="F377" s="28">
        <v>185500.06</v>
      </c>
      <c r="G377" s="28"/>
      <c r="H377" s="28">
        <v>185500.06</v>
      </c>
    </row>
    <row r="378" spans="3:8" x14ac:dyDescent="0.25">
      <c r="E378" t="s">
        <v>19</v>
      </c>
      <c r="F378" s="28">
        <v>91226.16</v>
      </c>
      <c r="G378" s="28">
        <v>7966.61</v>
      </c>
      <c r="H378" s="28">
        <v>99192.77</v>
      </c>
    </row>
    <row r="379" spans="3:8" x14ac:dyDescent="0.25">
      <c r="E379" t="s">
        <v>33</v>
      </c>
      <c r="F379" s="28">
        <v>38635.01</v>
      </c>
      <c r="G379" s="28">
        <v>4112.1000000000004</v>
      </c>
      <c r="H379" s="28">
        <v>42747.11</v>
      </c>
    </row>
    <row r="380" spans="3:8" x14ac:dyDescent="0.25">
      <c r="D380" t="s">
        <v>2106</v>
      </c>
      <c r="F380" s="28">
        <v>315361.23</v>
      </c>
      <c r="G380" s="28">
        <v>12078.71</v>
      </c>
      <c r="H380" s="28">
        <v>327439.94</v>
      </c>
    </row>
    <row r="381" spans="3:8" x14ac:dyDescent="0.25">
      <c r="C381" t="s">
        <v>2137</v>
      </c>
      <c r="F381" s="28">
        <v>1606279.4700000002</v>
      </c>
      <c r="G381" s="28">
        <v>885908.19</v>
      </c>
      <c r="H381" s="28">
        <v>2492187.6599999997</v>
      </c>
    </row>
    <row r="382" spans="3:8" x14ac:dyDescent="0.25">
      <c r="C382" t="s">
        <v>22</v>
      </c>
      <c r="D382" t="s">
        <v>2099</v>
      </c>
      <c r="E382" t="s">
        <v>39</v>
      </c>
      <c r="F382" s="28">
        <v>71322.889999999985</v>
      </c>
      <c r="G382" s="28">
        <v>16464.14</v>
      </c>
      <c r="H382" s="28">
        <v>87787.029999999984</v>
      </c>
    </row>
    <row r="383" spans="3:8" x14ac:dyDescent="0.25">
      <c r="E383" t="s">
        <v>19</v>
      </c>
      <c r="F383" s="28">
        <v>85423.65</v>
      </c>
      <c r="G383" s="28">
        <v>1801.05</v>
      </c>
      <c r="H383" s="28">
        <v>87224.7</v>
      </c>
    </row>
    <row r="384" spans="3:8" x14ac:dyDescent="0.25">
      <c r="E384" t="s">
        <v>33</v>
      </c>
      <c r="F384" s="28">
        <v>78641.94</v>
      </c>
      <c r="G384" s="28">
        <v>117172.75</v>
      </c>
      <c r="H384" s="28">
        <v>195814.69</v>
      </c>
    </row>
    <row r="385" spans="3:8" x14ac:dyDescent="0.25">
      <c r="D385" t="s">
        <v>2100</v>
      </c>
      <c r="F385" s="28">
        <v>235388.47999999998</v>
      </c>
      <c r="G385" s="28">
        <v>135437.94</v>
      </c>
      <c r="H385" s="28">
        <v>370826.42</v>
      </c>
    </row>
    <row r="386" spans="3:8" x14ac:dyDescent="0.25">
      <c r="D386" t="s">
        <v>2101</v>
      </c>
      <c r="E386" t="s">
        <v>39</v>
      </c>
      <c r="F386" s="28">
        <v>101822.86000000002</v>
      </c>
      <c r="G386" s="28">
        <v>158169.06</v>
      </c>
      <c r="H386" s="28">
        <v>259991.92</v>
      </c>
    </row>
    <row r="387" spans="3:8" x14ac:dyDescent="0.25">
      <c r="E387" t="s">
        <v>19</v>
      </c>
      <c r="F387" s="28">
        <v>93069.25</v>
      </c>
      <c r="G387" s="28">
        <v>75834.8</v>
      </c>
      <c r="H387" s="28">
        <v>168904.05</v>
      </c>
    </row>
    <row r="388" spans="3:8" x14ac:dyDescent="0.25">
      <c r="E388" t="s">
        <v>33</v>
      </c>
      <c r="F388" s="28">
        <v>165978.97000000003</v>
      </c>
      <c r="G388" s="28"/>
      <c r="H388" s="28">
        <v>165978.97000000003</v>
      </c>
    </row>
    <row r="389" spans="3:8" x14ac:dyDescent="0.25">
      <c r="D389" t="s">
        <v>2102</v>
      </c>
      <c r="F389" s="28">
        <v>360871.08000000007</v>
      </c>
      <c r="G389" s="28">
        <v>234003.86</v>
      </c>
      <c r="H389" s="28">
        <v>594874.93999999994</v>
      </c>
    </row>
    <row r="390" spans="3:8" x14ac:dyDescent="0.25">
      <c r="D390" t="s">
        <v>2103</v>
      </c>
      <c r="E390" t="s">
        <v>39</v>
      </c>
      <c r="F390" s="28">
        <v>5291.88</v>
      </c>
      <c r="G390" s="28">
        <v>131533.51</v>
      </c>
      <c r="H390" s="28">
        <v>136825.39000000001</v>
      </c>
    </row>
    <row r="391" spans="3:8" x14ac:dyDescent="0.25">
      <c r="E391" t="s">
        <v>19</v>
      </c>
      <c r="F391" s="28">
        <v>56153.440000000002</v>
      </c>
      <c r="G391" s="28"/>
      <c r="H391" s="28">
        <v>56153.440000000002</v>
      </c>
    </row>
    <row r="392" spans="3:8" x14ac:dyDescent="0.25">
      <c r="E392" t="s">
        <v>33</v>
      </c>
      <c r="F392" s="28">
        <v>235779.41</v>
      </c>
      <c r="G392" s="28">
        <v>11555.94</v>
      </c>
      <c r="H392" s="28">
        <v>247335.35</v>
      </c>
    </row>
    <row r="393" spans="3:8" x14ac:dyDescent="0.25">
      <c r="D393" t="s">
        <v>2104</v>
      </c>
      <c r="F393" s="28">
        <v>297224.73</v>
      </c>
      <c r="G393" s="28">
        <v>143089.45000000001</v>
      </c>
      <c r="H393" s="28">
        <v>440314.18000000005</v>
      </c>
    </row>
    <row r="394" spans="3:8" x14ac:dyDescent="0.25">
      <c r="D394" t="s">
        <v>2105</v>
      </c>
      <c r="E394" t="s">
        <v>39</v>
      </c>
      <c r="F394" s="28">
        <v>94110.43</v>
      </c>
      <c r="G394" s="28"/>
      <c r="H394" s="28">
        <v>94110.43</v>
      </c>
    </row>
    <row r="395" spans="3:8" x14ac:dyDescent="0.25">
      <c r="E395" t="s">
        <v>19</v>
      </c>
      <c r="F395" s="28">
        <v>131137.93</v>
      </c>
      <c r="G395" s="28"/>
      <c r="H395" s="28">
        <v>131137.93</v>
      </c>
    </row>
    <row r="396" spans="3:8" x14ac:dyDescent="0.25">
      <c r="E396" t="s">
        <v>33</v>
      </c>
      <c r="F396" s="28">
        <v>2046.98</v>
      </c>
      <c r="G396" s="28">
        <v>3573.56</v>
      </c>
      <c r="H396" s="28">
        <v>5620.54</v>
      </c>
    </row>
    <row r="397" spans="3:8" x14ac:dyDescent="0.25">
      <c r="D397" t="s">
        <v>2106</v>
      </c>
      <c r="F397" s="28">
        <v>227295.34</v>
      </c>
      <c r="G397" s="28">
        <v>3573.56</v>
      </c>
      <c r="H397" s="28">
        <v>230868.9</v>
      </c>
    </row>
    <row r="398" spans="3:8" x14ac:dyDescent="0.25">
      <c r="C398" t="s">
        <v>2138</v>
      </c>
      <c r="F398" s="28">
        <v>1120779.6300000001</v>
      </c>
      <c r="G398" s="28">
        <v>516104.81</v>
      </c>
      <c r="H398" s="28">
        <v>1636884.44</v>
      </c>
    </row>
    <row r="399" spans="3:8" x14ac:dyDescent="0.25">
      <c r="C399" t="s">
        <v>40</v>
      </c>
      <c r="D399" t="s">
        <v>2099</v>
      </c>
      <c r="E399" t="s">
        <v>39</v>
      </c>
      <c r="F399" s="28">
        <v>72229.240000000005</v>
      </c>
      <c r="G399" s="28"/>
      <c r="H399" s="28">
        <v>72229.240000000005</v>
      </c>
    </row>
    <row r="400" spans="3:8" x14ac:dyDescent="0.25">
      <c r="E400" t="s">
        <v>19</v>
      </c>
      <c r="F400" s="28">
        <v>258399.97</v>
      </c>
      <c r="G400" s="28">
        <v>43148.43</v>
      </c>
      <c r="H400" s="28">
        <v>301548.40000000002</v>
      </c>
    </row>
    <row r="401" spans="2:8" x14ac:dyDescent="0.25">
      <c r="E401" t="s">
        <v>33</v>
      </c>
      <c r="F401" s="28">
        <v>60102.29</v>
      </c>
      <c r="G401" s="28">
        <v>26016.12</v>
      </c>
      <c r="H401" s="28">
        <v>86118.41</v>
      </c>
    </row>
    <row r="402" spans="2:8" x14ac:dyDescent="0.25">
      <c r="D402" t="s">
        <v>2100</v>
      </c>
      <c r="F402" s="28">
        <v>390731.5</v>
      </c>
      <c r="G402" s="28">
        <v>69164.55</v>
      </c>
      <c r="H402" s="28">
        <v>459896.05000000005</v>
      </c>
    </row>
    <row r="403" spans="2:8" x14ac:dyDescent="0.25">
      <c r="D403" t="s">
        <v>2101</v>
      </c>
      <c r="E403" t="s">
        <v>39</v>
      </c>
      <c r="F403" s="28">
        <v>106052.73000000001</v>
      </c>
      <c r="G403" s="28">
        <v>46490.86</v>
      </c>
      <c r="H403" s="28">
        <v>152543.59000000003</v>
      </c>
    </row>
    <row r="404" spans="2:8" x14ac:dyDescent="0.25">
      <c r="E404" t="s">
        <v>19</v>
      </c>
      <c r="F404" s="28">
        <v>75047.05</v>
      </c>
      <c r="G404" s="28">
        <v>72297.919999999998</v>
      </c>
      <c r="H404" s="28">
        <v>147344.97</v>
      </c>
    </row>
    <row r="405" spans="2:8" x14ac:dyDescent="0.25">
      <c r="E405" t="s">
        <v>33</v>
      </c>
      <c r="F405" s="28"/>
      <c r="G405" s="28">
        <v>2007.4</v>
      </c>
      <c r="H405" s="28">
        <v>2007.4</v>
      </c>
    </row>
    <row r="406" spans="2:8" x14ac:dyDescent="0.25">
      <c r="D406" t="s">
        <v>2102</v>
      </c>
      <c r="F406" s="28">
        <v>181099.78000000003</v>
      </c>
      <c r="G406" s="28">
        <v>120796.18</v>
      </c>
      <c r="H406" s="28">
        <v>301895.96000000008</v>
      </c>
    </row>
    <row r="407" spans="2:8" x14ac:dyDescent="0.25">
      <c r="D407" t="s">
        <v>2103</v>
      </c>
      <c r="E407" t="s">
        <v>39</v>
      </c>
      <c r="F407" s="28">
        <v>50720.52</v>
      </c>
      <c r="G407" s="28">
        <v>111467.29</v>
      </c>
      <c r="H407" s="28">
        <v>162187.81</v>
      </c>
    </row>
    <row r="408" spans="2:8" x14ac:dyDescent="0.25">
      <c r="E408" t="s">
        <v>19</v>
      </c>
      <c r="F408" s="28">
        <v>121516.09999999999</v>
      </c>
      <c r="G408" s="28">
        <v>130935.32</v>
      </c>
      <c r="H408" s="28">
        <v>252451.41999999998</v>
      </c>
    </row>
    <row r="409" spans="2:8" x14ac:dyDescent="0.25">
      <c r="E409" t="s">
        <v>33</v>
      </c>
      <c r="F409" s="28">
        <v>49026.95</v>
      </c>
      <c r="G409" s="28">
        <v>121230.78</v>
      </c>
      <c r="H409" s="28">
        <v>170257.72999999998</v>
      </c>
    </row>
    <row r="410" spans="2:8" x14ac:dyDescent="0.25">
      <c r="D410" t="s">
        <v>2104</v>
      </c>
      <c r="F410" s="28">
        <v>221263.57</v>
      </c>
      <c r="G410" s="28">
        <v>363633.39</v>
      </c>
      <c r="H410" s="28">
        <v>584896.96</v>
      </c>
    </row>
    <row r="411" spans="2:8" x14ac:dyDescent="0.25">
      <c r="D411" t="s">
        <v>2105</v>
      </c>
      <c r="E411" t="s">
        <v>39</v>
      </c>
      <c r="F411" s="28">
        <v>145120.08000000002</v>
      </c>
      <c r="G411" s="28">
        <v>15786.68</v>
      </c>
      <c r="H411" s="28">
        <v>160906.76</v>
      </c>
    </row>
    <row r="412" spans="2:8" x14ac:dyDescent="0.25">
      <c r="E412" t="s">
        <v>19</v>
      </c>
      <c r="F412" s="28">
        <v>75021</v>
      </c>
      <c r="G412" s="28"/>
      <c r="H412" s="28">
        <v>75021</v>
      </c>
    </row>
    <row r="413" spans="2:8" x14ac:dyDescent="0.25">
      <c r="E413" t="s">
        <v>33</v>
      </c>
      <c r="F413" s="28">
        <v>188653.41999999998</v>
      </c>
      <c r="G413" s="28">
        <v>6748.26</v>
      </c>
      <c r="H413" s="28">
        <v>195401.68</v>
      </c>
    </row>
    <row r="414" spans="2:8" x14ac:dyDescent="0.25">
      <c r="D414" t="s">
        <v>2106</v>
      </c>
      <c r="F414" s="28">
        <v>408794.5</v>
      </c>
      <c r="G414" s="28">
        <v>22534.940000000002</v>
      </c>
      <c r="H414" s="28">
        <v>431329.44</v>
      </c>
    </row>
    <row r="415" spans="2:8" x14ac:dyDescent="0.25">
      <c r="C415" t="s">
        <v>2139</v>
      </c>
      <c r="F415" s="28">
        <v>1201889.3499999999</v>
      </c>
      <c r="G415" s="28">
        <v>576129.06000000006</v>
      </c>
      <c r="H415" s="28">
        <v>1778018.41</v>
      </c>
    </row>
    <row r="416" spans="2:8" x14ac:dyDescent="0.25">
      <c r="B416" t="s">
        <v>2094</v>
      </c>
      <c r="F416" s="28">
        <v>4886323.96</v>
      </c>
      <c r="G416" s="28">
        <v>2868417.9499999993</v>
      </c>
      <c r="H416" s="28">
        <v>7754741.9099999983</v>
      </c>
    </row>
    <row r="417" spans="1:8" x14ac:dyDescent="0.25">
      <c r="A417" t="s">
        <v>2108</v>
      </c>
      <c r="F417" s="28">
        <v>12178863.119999997</v>
      </c>
      <c r="G417" s="28">
        <v>10820590.800000001</v>
      </c>
      <c r="H417" s="28">
        <v>22999453.920000002</v>
      </c>
    </row>
    <row r="418" spans="1:8" x14ac:dyDescent="0.25">
      <c r="A418" t="s">
        <v>44</v>
      </c>
      <c r="B418" t="s">
        <v>66</v>
      </c>
      <c r="C418" t="s">
        <v>29</v>
      </c>
      <c r="D418" t="s">
        <v>2099</v>
      </c>
      <c r="E418" t="s">
        <v>39</v>
      </c>
      <c r="F418" s="28">
        <v>186200.66000000003</v>
      </c>
      <c r="G418" s="28">
        <v>66406.670000000013</v>
      </c>
      <c r="H418" s="28">
        <v>252607.33000000005</v>
      </c>
    </row>
    <row r="419" spans="1:8" x14ac:dyDescent="0.25">
      <c r="E419" t="s">
        <v>19</v>
      </c>
      <c r="F419" s="28">
        <v>135106.22</v>
      </c>
      <c r="G419" s="28"/>
      <c r="H419" s="28">
        <v>135106.22</v>
      </c>
    </row>
    <row r="420" spans="1:8" x14ac:dyDescent="0.25">
      <c r="E420" t="s">
        <v>33</v>
      </c>
      <c r="F420" s="28">
        <v>161571.18</v>
      </c>
      <c r="G420" s="28"/>
      <c r="H420" s="28">
        <v>161571.18</v>
      </c>
    </row>
    <row r="421" spans="1:8" x14ac:dyDescent="0.25">
      <c r="D421" t="s">
        <v>2100</v>
      </c>
      <c r="F421" s="28">
        <v>482878.06</v>
      </c>
      <c r="G421" s="28">
        <v>66406.670000000013</v>
      </c>
      <c r="H421" s="28">
        <v>549284.73</v>
      </c>
    </row>
    <row r="422" spans="1:8" x14ac:dyDescent="0.25">
      <c r="D422" t="s">
        <v>2101</v>
      </c>
      <c r="E422" t="s">
        <v>39</v>
      </c>
      <c r="F422" s="28">
        <v>72434.16</v>
      </c>
      <c r="G422" s="28">
        <v>86694.85</v>
      </c>
      <c r="H422" s="28">
        <v>159129.01</v>
      </c>
    </row>
    <row r="423" spans="1:8" x14ac:dyDescent="0.25">
      <c r="E423" t="s">
        <v>19</v>
      </c>
      <c r="F423" s="28">
        <v>91892.57</v>
      </c>
      <c r="G423" s="28">
        <v>51700.32</v>
      </c>
      <c r="H423" s="28">
        <v>143592.89000000001</v>
      </c>
    </row>
    <row r="424" spans="1:8" x14ac:dyDescent="0.25">
      <c r="E424" t="s">
        <v>33</v>
      </c>
      <c r="F424" s="28"/>
      <c r="G424" s="28">
        <v>29743.68</v>
      </c>
      <c r="H424" s="28">
        <v>29743.68</v>
      </c>
    </row>
    <row r="425" spans="1:8" x14ac:dyDescent="0.25">
      <c r="D425" t="s">
        <v>2102</v>
      </c>
      <c r="F425" s="28">
        <v>164326.73000000001</v>
      </c>
      <c r="G425" s="28">
        <v>168138.85</v>
      </c>
      <c r="H425" s="28">
        <v>332465.58</v>
      </c>
    </row>
    <row r="426" spans="1:8" x14ac:dyDescent="0.25">
      <c r="D426" t="s">
        <v>2103</v>
      </c>
      <c r="E426" t="s">
        <v>39</v>
      </c>
      <c r="F426" s="28">
        <v>21285.119999999999</v>
      </c>
      <c r="G426" s="28">
        <v>137356.34</v>
      </c>
      <c r="H426" s="28">
        <v>158641.46</v>
      </c>
    </row>
    <row r="427" spans="1:8" x14ac:dyDescent="0.25">
      <c r="E427" t="s">
        <v>19</v>
      </c>
      <c r="F427" s="28">
        <v>43589.41</v>
      </c>
      <c r="G427" s="28"/>
      <c r="H427" s="28">
        <v>43589.41</v>
      </c>
    </row>
    <row r="428" spans="1:8" x14ac:dyDescent="0.25">
      <c r="E428" t="s">
        <v>33</v>
      </c>
      <c r="F428" s="28">
        <v>41266.31</v>
      </c>
      <c r="G428" s="28">
        <v>48824.6</v>
      </c>
      <c r="H428" s="28">
        <v>90090.91</v>
      </c>
    </row>
    <row r="429" spans="1:8" x14ac:dyDescent="0.25">
      <c r="D429" t="s">
        <v>2104</v>
      </c>
      <c r="F429" s="28">
        <v>106140.84</v>
      </c>
      <c r="G429" s="28">
        <v>186180.94</v>
      </c>
      <c r="H429" s="28">
        <v>292321.78000000003</v>
      </c>
    </row>
    <row r="430" spans="1:8" x14ac:dyDescent="0.25">
      <c r="D430" t="s">
        <v>2105</v>
      </c>
      <c r="E430" t="s">
        <v>39</v>
      </c>
      <c r="F430" s="28">
        <v>164215.20000000001</v>
      </c>
      <c r="G430" s="28">
        <v>5983.6</v>
      </c>
      <c r="H430" s="28">
        <v>170198.80000000002</v>
      </c>
    </row>
    <row r="431" spans="1:8" x14ac:dyDescent="0.25">
      <c r="E431" t="s">
        <v>19</v>
      </c>
      <c r="F431" s="28">
        <v>82345.88</v>
      </c>
      <c r="G431" s="28"/>
      <c r="H431" s="28">
        <v>82345.88</v>
      </c>
    </row>
    <row r="432" spans="1:8" x14ac:dyDescent="0.25">
      <c r="E432" t="s">
        <v>33</v>
      </c>
      <c r="F432" s="28">
        <v>41606.82</v>
      </c>
      <c r="G432" s="28"/>
      <c r="H432" s="28">
        <v>41606.82</v>
      </c>
    </row>
    <row r="433" spans="3:8" x14ac:dyDescent="0.25">
      <c r="D433" t="s">
        <v>2106</v>
      </c>
      <c r="F433" s="28">
        <v>288167.90000000002</v>
      </c>
      <c r="G433" s="28">
        <v>5983.6</v>
      </c>
      <c r="H433" s="28">
        <v>294151.5</v>
      </c>
    </row>
    <row r="434" spans="3:8" x14ac:dyDescent="0.25">
      <c r="C434" t="s">
        <v>2136</v>
      </c>
      <c r="F434" s="28">
        <v>1041513.53</v>
      </c>
      <c r="G434" s="28">
        <v>426710.05999999994</v>
      </c>
      <c r="H434" s="28">
        <v>1468223.59</v>
      </c>
    </row>
    <row r="435" spans="3:8" x14ac:dyDescent="0.25">
      <c r="C435" t="s">
        <v>48</v>
      </c>
      <c r="D435" t="s">
        <v>2099</v>
      </c>
      <c r="E435" t="s">
        <v>39</v>
      </c>
      <c r="F435" s="28">
        <v>250501.82</v>
      </c>
      <c r="G435" s="28">
        <v>70982.399999999994</v>
      </c>
      <c r="H435" s="28">
        <v>321484.21999999997</v>
      </c>
    </row>
    <row r="436" spans="3:8" x14ac:dyDescent="0.25">
      <c r="E436" t="s">
        <v>19</v>
      </c>
      <c r="F436" s="28">
        <v>166519.89000000001</v>
      </c>
      <c r="G436" s="28">
        <v>142202.37000000002</v>
      </c>
      <c r="H436" s="28">
        <v>308722.26</v>
      </c>
    </row>
    <row r="437" spans="3:8" x14ac:dyDescent="0.25">
      <c r="E437" t="s">
        <v>33</v>
      </c>
      <c r="F437" s="28">
        <v>54739.86</v>
      </c>
      <c r="G437" s="28"/>
      <c r="H437" s="28">
        <v>54739.86</v>
      </c>
    </row>
    <row r="438" spans="3:8" x14ac:dyDescent="0.25">
      <c r="D438" t="s">
        <v>2100</v>
      </c>
      <c r="F438" s="28">
        <v>471761.57</v>
      </c>
      <c r="G438" s="28">
        <v>213184.77000000002</v>
      </c>
      <c r="H438" s="28">
        <v>684946.34</v>
      </c>
    </row>
    <row r="439" spans="3:8" x14ac:dyDescent="0.25">
      <c r="D439" t="s">
        <v>2101</v>
      </c>
      <c r="E439" t="s">
        <v>39</v>
      </c>
      <c r="F439" s="28">
        <v>50700.380000000005</v>
      </c>
      <c r="G439" s="28">
        <v>55918.54</v>
      </c>
      <c r="H439" s="28">
        <v>106618.92000000001</v>
      </c>
    </row>
    <row r="440" spans="3:8" x14ac:dyDescent="0.25">
      <c r="E440" t="s">
        <v>19</v>
      </c>
      <c r="F440" s="28">
        <v>134856.98000000001</v>
      </c>
      <c r="G440" s="28">
        <v>168481.28</v>
      </c>
      <c r="H440" s="28">
        <v>303338.26</v>
      </c>
    </row>
    <row r="441" spans="3:8" x14ac:dyDescent="0.25">
      <c r="E441" t="s">
        <v>33</v>
      </c>
      <c r="F441" s="28">
        <v>174202.6</v>
      </c>
      <c r="G441" s="28">
        <v>40237.25</v>
      </c>
      <c r="H441" s="28">
        <v>214439.85</v>
      </c>
    </row>
    <row r="442" spans="3:8" x14ac:dyDescent="0.25">
      <c r="D442" t="s">
        <v>2102</v>
      </c>
      <c r="F442" s="28">
        <v>359759.96</v>
      </c>
      <c r="G442" s="28">
        <v>264637.07</v>
      </c>
      <c r="H442" s="28">
        <v>624397.03</v>
      </c>
    </row>
    <row r="443" spans="3:8" x14ac:dyDescent="0.25">
      <c r="D443" t="s">
        <v>2103</v>
      </c>
      <c r="E443" t="s">
        <v>39</v>
      </c>
      <c r="F443" s="28">
        <v>34333.26</v>
      </c>
      <c r="G443" s="28">
        <v>241768.72</v>
      </c>
      <c r="H443" s="28">
        <v>276101.98</v>
      </c>
    </row>
    <row r="444" spans="3:8" x14ac:dyDescent="0.25">
      <c r="E444" t="s">
        <v>19</v>
      </c>
      <c r="F444" s="28"/>
      <c r="G444" s="28">
        <v>135624.69</v>
      </c>
      <c r="H444" s="28">
        <v>135624.69</v>
      </c>
    </row>
    <row r="445" spans="3:8" x14ac:dyDescent="0.25">
      <c r="E445" t="s">
        <v>33</v>
      </c>
      <c r="F445" s="28">
        <v>120841.08000000002</v>
      </c>
      <c r="G445" s="28">
        <v>92784.44</v>
      </c>
      <c r="H445" s="28">
        <v>213625.52000000002</v>
      </c>
    </row>
    <row r="446" spans="3:8" x14ac:dyDescent="0.25">
      <c r="D446" t="s">
        <v>2104</v>
      </c>
      <c r="F446" s="28">
        <v>155174.34000000003</v>
      </c>
      <c r="G446" s="28">
        <v>470177.85000000003</v>
      </c>
      <c r="H446" s="28">
        <v>625352.18999999994</v>
      </c>
    </row>
    <row r="447" spans="3:8" x14ac:dyDescent="0.25">
      <c r="D447" t="s">
        <v>2105</v>
      </c>
      <c r="E447" t="s">
        <v>39</v>
      </c>
      <c r="F447" s="28">
        <v>93702.54</v>
      </c>
      <c r="G447" s="28"/>
      <c r="H447" s="28">
        <v>93702.54</v>
      </c>
    </row>
    <row r="448" spans="3:8" x14ac:dyDescent="0.25">
      <c r="E448" t="s">
        <v>19</v>
      </c>
      <c r="F448" s="28">
        <v>50677.55</v>
      </c>
      <c r="G448" s="28"/>
      <c r="H448" s="28">
        <v>50677.55</v>
      </c>
    </row>
    <row r="449" spans="3:8" x14ac:dyDescent="0.25">
      <c r="E449" t="s">
        <v>33</v>
      </c>
      <c r="F449" s="28">
        <v>351821.89999999997</v>
      </c>
      <c r="G449" s="28">
        <v>137769.48000000001</v>
      </c>
      <c r="H449" s="28">
        <v>489591.38</v>
      </c>
    </row>
    <row r="450" spans="3:8" x14ac:dyDescent="0.25">
      <c r="D450" t="s">
        <v>2106</v>
      </c>
      <c r="F450" s="28">
        <v>496201.99</v>
      </c>
      <c r="G450" s="28">
        <v>137769.48000000001</v>
      </c>
      <c r="H450" s="28">
        <v>633971.47</v>
      </c>
    </row>
    <row r="451" spans="3:8" x14ac:dyDescent="0.25">
      <c r="C451" t="s">
        <v>2137</v>
      </c>
      <c r="F451" s="28">
        <v>1482897.86</v>
      </c>
      <c r="G451" s="28">
        <v>1085769.17</v>
      </c>
      <c r="H451" s="28">
        <v>2568667.0300000003</v>
      </c>
    </row>
    <row r="452" spans="3:8" x14ac:dyDescent="0.25">
      <c r="C452" t="s">
        <v>22</v>
      </c>
      <c r="D452" t="s">
        <v>2099</v>
      </c>
      <c r="E452" t="s">
        <v>39</v>
      </c>
      <c r="F452" s="28">
        <v>40322.68</v>
      </c>
      <c r="G452" s="28">
        <v>2048.96</v>
      </c>
      <c r="H452" s="28">
        <v>42371.64</v>
      </c>
    </row>
    <row r="453" spans="3:8" x14ac:dyDescent="0.25">
      <c r="E453" t="s">
        <v>19</v>
      </c>
      <c r="F453" s="28">
        <v>120887.4</v>
      </c>
      <c r="G453" s="28">
        <v>105725.58</v>
      </c>
      <c r="H453" s="28">
        <v>226612.97999999998</v>
      </c>
    </row>
    <row r="454" spans="3:8" x14ac:dyDescent="0.25">
      <c r="E454" t="s">
        <v>33</v>
      </c>
      <c r="F454" s="28"/>
      <c r="G454" s="28">
        <v>63026.44</v>
      </c>
      <c r="H454" s="28">
        <v>63026.44</v>
      </c>
    </row>
    <row r="455" spans="3:8" x14ac:dyDescent="0.25">
      <c r="D455" t="s">
        <v>2100</v>
      </c>
      <c r="F455" s="28">
        <v>161210.07999999999</v>
      </c>
      <c r="G455" s="28">
        <v>170800.98</v>
      </c>
      <c r="H455" s="28">
        <v>332011.06</v>
      </c>
    </row>
    <row r="456" spans="3:8" x14ac:dyDescent="0.25">
      <c r="D456" t="s">
        <v>2101</v>
      </c>
      <c r="E456" t="s">
        <v>39</v>
      </c>
      <c r="F456" s="28">
        <v>226900.03999999998</v>
      </c>
      <c r="G456" s="28">
        <v>137255.40000000002</v>
      </c>
      <c r="H456" s="28">
        <v>364155.44</v>
      </c>
    </row>
    <row r="457" spans="3:8" x14ac:dyDescent="0.25">
      <c r="E457" t="s">
        <v>33</v>
      </c>
      <c r="F457" s="28">
        <v>211007.97</v>
      </c>
      <c r="G457" s="28">
        <v>258008.89</v>
      </c>
      <c r="H457" s="28">
        <v>469016.86</v>
      </c>
    </row>
    <row r="458" spans="3:8" x14ac:dyDescent="0.25">
      <c r="D458" t="s">
        <v>2102</v>
      </c>
      <c r="F458" s="28">
        <v>437908.01</v>
      </c>
      <c r="G458" s="28">
        <v>395264.29000000004</v>
      </c>
      <c r="H458" s="28">
        <v>833172.3</v>
      </c>
    </row>
    <row r="459" spans="3:8" x14ac:dyDescent="0.25">
      <c r="D459" t="s">
        <v>2103</v>
      </c>
      <c r="E459" t="s">
        <v>39</v>
      </c>
      <c r="F459" s="28">
        <v>98532.65</v>
      </c>
      <c r="G459" s="28">
        <v>33072.959999999999</v>
      </c>
      <c r="H459" s="28">
        <v>131605.60999999999</v>
      </c>
    </row>
    <row r="460" spans="3:8" x14ac:dyDescent="0.25">
      <c r="E460" t="s">
        <v>19</v>
      </c>
      <c r="F460" s="28">
        <v>42335.72</v>
      </c>
      <c r="G460" s="28">
        <v>63632.800000000003</v>
      </c>
      <c r="H460" s="28">
        <v>105968.52</v>
      </c>
    </row>
    <row r="461" spans="3:8" x14ac:dyDescent="0.25">
      <c r="E461" t="s">
        <v>33</v>
      </c>
      <c r="F461" s="28">
        <v>146980.96</v>
      </c>
      <c r="G461" s="28">
        <v>19886.88</v>
      </c>
      <c r="H461" s="28">
        <v>166867.84</v>
      </c>
    </row>
    <row r="462" spans="3:8" x14ac:dyDescent="0.25">
      <c r="D462" t="s">
        <v>2104</v>
      </c>
      <c r="F462" s="28">
        <v>287849.32999999996</v>
      </c>
      <c r="G462" s="28">
        <v>116592.64000000001</v>
      </c>
      <c r="H462" s="28">
        <v>404441.97</v>
      </c>
    </row>
    <row r="463" spans="3:8" x14ac:dyDescent="0.25">
      <c r="D463" t="s">
        <v>2105</v>
      </c>
      <c r="E463" t="s">
        <v>39</v>
      </c>
      <c r="F463" s="28">
        <v>85418.97</v>
      </c>
      <c r="G463" s="28">
        <v>1934.82</v>
      </c>
      <c r="H463" s="28">
        <v>87353.790000000008</v>
      </c>
    </row>
    <row r="464" spans="3:8" x14ac:dyDescent="0.25">
      <c r="E464" t="s">
        <v>19</v>
      </c>
      <c r="F464" s="28">
        <v>82979.240000000005</v>
      </c>
      <c r="G464" s="28"/>
      <c r="H464" s="28">
        <v>82979.240000000005</v>
      </c>
    </row>
    <row r="465" spans="3:8" x14ac:dyDescent="0.25">
      <c r="E465" t="s">
        <v>33</v>
      </c>
      <c r="F465" s="28"/>
      <c r="G465" s="28">
        <v>48613.35</v>
      </c>
      <c r="H465" s="28">
        <v>48613.35</v>
      </c>
    </row>
    <row r="466" spans="3:8" x14ac:dyDescent="0.25">
      <c r="D466" t="s">
        <v>2106</v>
      </c>
      <c r="F466" s="28">
        <v>168398.21000000002</v>
      </c>
      <c r="G466" s="28">
        <v>50548.17</v>
      </c>
      <c r="H466" s="28">
        <v>218946.38000000003</v>
      </c>
    </row>
    <row r="467" spans="3:8" x14ac:dyDescent="0.25">
      <c r="C467" t="s">
        <v>2138</v>
      </c>
      <c r="F467" s="28">
        <v>1055365.6299999999</v>
      </c>
      <c r="G467" s="28">
        <v>733206.08</v>
      </c>
      <c r="H467" s="28">
        <v>1788571.71</v>
      </c>
    </row>
    <row r="468" spans="3:8" x14ac:dyDescent="0.25">
      <c r="C468" t="s">
        <v>40</v>
      </c>
      <c r="D468" t="s">
        <v>2099</v>
      </c>
      <c r="E468" t="s">
        <v>39</v>
      </c>
      <c r="F468" s="28">
        <v>28705.08</v>
      </c>
      <c r="G468" s="28">
        <v>39417.42</v>
      </c>
      <c r="H468" s="28">
        <v>68122.5</v>
      </c>
    </row>
    <row r="469" spans="3:8" x14ac:dyDescent="0.25">
      <c r="E469" t="s">
        <v>19</v>
      </c>
      <c r="F469" s="28">
        <v>67946.210000000006</v>
      </c>
      <c r="G469" s="28">
        <v>84782.1</v>
      </c>
      <c r="H469" s="28">
        <v>152728.31</v>
      </c>
    </row>
    <row r="470" spans="3:8" x14ac:dyDescent="0.25">
      <c r="E470" t="s">
        <v>33</v>
      </c>
      <c r="F470" s="28">
        <v>66336.09</v>
      </c>
      <c r="G470" s="28">
        <v>71322.240000000005</v>
      </c>
      <c r="H470" s="28">
        <v>137658.33000000002</v>
      </c>
    </row>
    <row r="471" spans="3:8" x14ac:dyDescent="0.25">
      <c r="D471" t="s">
        <v>2100</v>
      </c>
      <c r="F471" s="28">
        <v>162987.38</v>
      </c>
      <c r="G471" s="28">
        <v>195521.76</v>
      </c>
      <c r="H471" s="28">
        <v>358509.14</v>
      </c>
    </row>
    <row r="472" spans="3:8" x14ac:dyDescent="0.25">
      <c r="D472" t="s">
        <v>2101</v>
      </c>
      <c r="E472" t="s">
        <v>39</v>
      </c>
      <c r="F472" s="28">
        <v>65098.66</v>
      </c>
      <c r="G472" s="28">
        <v>254904.98000000004</v>
      </c>
      <c r="H472" s="28">
        <v>320003.64</v>
      </c>
    </row>
    <row r="473" spans="3:8" x14ac:dyDescent="0.25">
      <c r="E473" t="s">
        <v>19</v>
      </c>
      <c r="F473" s="28">
        <v>133766.54</v>
      </c>
      <c r="G473" s="28">
        <v>135747.25</v>
      </c>
      <c r="H473" s="28">
        <v>269513.79000000004</v>
      </c>
    </row>
    <row r="474" spans="3:8" x14ac:dyDescent="0.25">
      <c r="E474" t="s">
        <v>33</v>
      </c>
      <c r="F474" s="28">
        <v>100455.03999999999</v>
      </c>
      <c r="G474" s="28">
        <v>108987.22999999998</v>
      </c>
      <c r="H474" s="28">
        <v>209442.26999999996</v>
      </c>
    </row>
    <row r="475" spans="3:8" x14ac:dyDescent="0.25">
      <c r="D475" t="s">
        <v>2102</v>
      </c>
      <c r="F475" s="28">
        <v>299320.24</v>
      </c>
      <c r="G475" s="28">
        <v>499639.46</v>
      </c>
      <c r="H475" s="28">
        <v>798959.7</v>
      </c>
    </row>
    <row r="476" spans="3:8" x14ac:dyDescent="0.25">
      <c r="D476" t="s">
        <v>2103</v>
      </c>
      <c r="E476" t="s">
        <v>39</v>
      </c>
      <c r="F476" s="28">
        <v>160766.03999999998</v>
      </c>
      <c r="G476" s="28">
        <v>180853.88999999998</v>
      </c>
      <c r="H476" s="28">
        <v>341619.92999999993</v>
      </c>
    </row>
    <row r="477" spans="3:8" x14ac:dyDescent="0.25">
      <c r="E477" t="s">
        <v>19</v>
      </c>
      <c r="F477" s="28">
        <v>1749.68</v>
      </c>
      <c r="G477" s="28">
        <v>132616.23000000001</v>
      </c>
      <c r="H477" s="28">
        <v>134365.91</v>
      </c>
    </row>
    <row r="478" spans="3:8" x14ac:dyDescent="0.25">
      <c r="E478" t="s">
        <v>33</v>
      </c>
      <c r="F478" s="28">
        <v>24885.39</v>
      </c>
      <c r="G478" s="28">
        <v>43217.78</v>
      </c>
      <c r="H478" s="28">
        <v>68103.17</v>
      </c>
    </row>
    <row r="479" spans="3:8" x14ac:dyDescent="0.25">
      <c r="D479" t="s">
        <v>2104</v>
      </c>
      <c r="F479" s="28">
        <v>187401.11</v>
      </c>
      <c r="G479" s="28">
        <v>356687.9</v>
      </c>
      <c r="H479" s="28">
        <v>544089.01</v>
      </c>
    </row>
    <row r="480" spans="3:8" x14ac:dyDescent="0.25">
      <c r="D480" t="s">
        <v>2105</v>
      </c>
      <c r="E480" t="s">
        <v>39</v>
      </c>
      <c r="F480" s="28">
        <v>12463.46</v>
      </c>
      <c r="G480" s="28">
        <v>61973.58</v>
      </c>
      <c r="H480" s="28">
        <v>74437.040000000008</v>
      </c>
    </row>
    <row r="481" spans="2:8" x14ac:dyDescent="0.25">
      <c r="E481" t="s">
        <v>19</v>
      </c>
      <c r="F481" s="28">
        <v>66760.2</v>
      </c>
      <c r="G481" s="28">
        <v>14754</v>
      </c>
      <c r="H481" s="28">
        <v>81514.2</v>
      </c>
    </row>
    <row r="482" spans="2:8" x14ac:dyDescent="0.25">
      <c r="E482" t="s">
        <v>33</v>
      </c>
      <c r="F482" s="28">
        <v>127983.47000000002</v>
      </c>
      <c r="G482" s="28">
        <v>74040.3</v>
      </c>
      <c r="H482" s="28">
        <v>202023.77000000002</v>
      </c>
    </row>
    <row r="483" spans="2:8" x14ac:dyDescent="0.25">
      <c r="D483" t="s">
        <v>2106</v>
      </c>
      <c r="F483" s="28">
        <v>207207.13</v>
      </c>
      <c r="G483" s="28">
        <v>150767.88</v>
      </c>
      <c r="H483" s="28">
        <v>357975.01</v>
      </c>
    </row>
    <row r="484" spans="2:8" x14ac:dyDescent="0.25">
      <c r="C484" t="s">
        <v>2139</v>
      </c>
      <c r="F484" s="28">
        <v>856915.85999999987</v>
      </c>
      <c r="G484" s="28">
        <v>1202617</v>
      </c>
      <c r="H484" s="28">
        <v>2059532.8599999999</v>
      </c>
    </row>
    <row r="485" spans="2:8" x14ac:dyDescent="0.25">
      <c r="B485" t="s">
        <v>2088</v>
      </c>
      <c r="F485" s="28">
        <v>4436692.88</v>
      </c>
      <c r="G485" s="28">
        <v>3448302.3099999996</v>
      </c>
      <c r="H485" s="28">
        <v>7884995.1899999995</v>
      </c>
    </row>
    <row r="486" spans="2:8" x14ac:dyDescent="0.25">
      <c r="B486" t="s">
        <v>72</v>
      </c>
      <c r="C486" t="s">
        <v>29</v>
      </c>
      <c r="D486" t="s">
        <v>2099</v>
      </c>
      <c r="E486" t="s">
        <v>39</v>
      </c>
      <c r="F486" s="28">
        <v>67687.89</v>
      </c>
      <c r="G486" s="28">
        <v>312712.51999999996</v>
      </c>
      <c r="H486" s="28">
        <v>380400.41</v>
      </c>
    </row>
    <row r="487" spans="2:8" x14ac:dyDescent="0.25">
      <c r="E487" t="s">
        <v>19</v>
      </c>
      <c r="F487" s="28">
        <v>40093.829999999994</v>
      </c>
      <c r="G487" s="28">
        <v>274011.03999999998</v>
      </c>
      <c r="H487" s="28">
        <v>314104.87</v>
      </c>
    </row>
    <row r="488" spans="2:8" x14ac:dyDescent="0.25">
      <c r="E488" t="s">
        <v>33</v>
      </c>
      <c r="F488" s="28">
        <v>105296.32000000001</v>
      </c>
      <c r="G488" s="28">
        <v>12184.8</v>
      </c>
      <c r="H488" s="28">
        <v>117481.12000000001</v>
      </c>
    </row>
    <row r="489" spans="2:8" x14ac:dyDescent="0.25">
      <c r="D489" t="s">
        <v>2100</v>
      </c>
      <c r="F489" s="28">
        <v>213078.04</v>
      </c>
      <c r="G489" s="28">
        <v>598908.36</v>
      </c>
      <c r="H489" s="28">
        <v>811986.4</v>
      </c>
    </row>
    <row r="490" spans="2:8" x14ac:dyDescent="0.25">
      <c r="D490" t="s">
        <v>2101</v>
      </c>
      <c r="E490" t="s">
        <v>39</v>
      </c>
      <c r="F490" s="28">
        <v>178922.01</v>
      </c>
      <c r="G490" s="28">
        <v>27515.91</v>
      </c>
      <c r="H490" s="28">
        <v>206437.92</v>
      </c>
    </row>
    <row r="491" spans="2:8" x14ac:dyDescent="0.25">
      <c r="E491" t="s">
        <v>19</v>
      </c>
      <c r="F491" s="28"/>
      <c r="G491" s="28">
        <v>24489.360000000001</v>
      </c>
      <c r="H491" s="28">
        <v>24489.360000000001</v>
      </c>
    </row>
    <row r="492" spans="2:8" x14ac:dyDescent="0.25">
      <c r="E492" t="s">
        <v>33</v>
      </c>
      <c r="F492" s="28"/>
      <c r="G492" s="28">
        <v>16207.36</v>
      </c>
      <c r="H492" s="28">
        <v>16207.36</v>
      </c>
    </row>
    <row r="493" spans="2:8" x14ac:dyDescent="0.25">
      <c r="D493" t="s">
        <v>2102</v>
      </c>
      <c r="F493" s="28">
        <v>178922.01</v>
      </c>
      <c r="G493" s="28">
        <v>68212.63</v>
      </c>
      <c r="H493" s="28">
        <v>247134.64</v>
      </c>
    </row>
    <row r="494" spans="2:8" x14ac:dyDescent="0.25">
      <c r="D494" t="s">
        <v>2103</v>
      </c>
      <c r="E494" t="s">
        <v>39</v>
      </c>
      <c r="F494" s="28">
        <v>45429.45</v>
      </c>
      <c r="G494" s="28">
        <v>28798.69</v>
      </c>
      <c r="H494" s="28">
        <v>74228.14</v>
      </c>
    </row>
    <row r="495" spans="2:8" x14ac:dyDescent="0.25">
      <c r="E495" t="s">
        <v>19</v>
      </c>
      <c r="F495" s="28">
        <v>85946.84</v>
      </c>
      <c r="G495" s="28">
        <v>107823.93999999999</v>
      </c>
      <c r="H495" s="28">
        <v>193770.77999999997</v>
      </c>
    </row>
    <row r="496" spans="2:8" x14ac:dyDescent="0.25">
      <c r="E496" t="s">
        <v>33</v>
      </c>
      <c r="F496" s="28">
        <v>78806.070000000007</v>
      </c>
      <c r="G496" s="28">
        <v>69036.799999999988</v>
      </c>
      <c r="H496" s="28">
        <v>147842.87</v>
      </c>
    </row>
    <row r="497" spans="3:8" x14ac:dyDescent="0.25">
      <c r="D497" t="s">
        <v>2104</v>
      </c>
      <c r="F497" s="28">
        <v>210182.36</v>
      </c>
      <c r="G497" s="28">
        <v>205659.42999999996</v>
      </c>
      <c r="H497" s="28">
        <v>415841.79</v>
      </c>
    </row>
    <row r="498" spans="3:8" x14ac:dyDescent="0.25">
      <c r="D498" t="s">
        <v>2105</v>
      </c>
      <c r="E498" t="s">
        <v>19</v>
      </c>
      <c r="F498" s="28">
        <v>64144.080000000009</v>
      </c>
      <c r="G498" s="28">
        <v>61806.270000000004</v>
      </c>
      <c r="H498" s="28">
        <v>125950.35</v>
      </c>
    </row>
    <row r="499" spans="3:8" x14ac:dyDescent="0.25">
      <c r="E499" t="s">
        <v>33</v>
      </c>
      <c r="F499" s="28">
        <v>96703.84</v>
      </c>
      <c r="G499" s="28"/>
      <c r="H499" s="28">
        <v>96703.84</v>
      </c>
    </row>
    <row r="500" spans="3:8" x14ac:dyDescent="0.25">
      <c r="D500" t="s">
        <v>2106</v>
      </c>
      <c r="F500" s="28">
        <v>160847.92000000001</v>
      </c>
      <c r="G500" s="28">
        <v>61806.270000000004</v>
      </c>
      <c r="H500" s="28">
        <v>222654.19</v>
      </c>
    </row>
    <row r="501" spans="3:8" x14ac:dyDescent="0.25">
      <c r="C501" t="s">
        <v>2136</v>
      </c>
      <c r="F501" s="28">
        <v>763030.33000000007</v>
      </c>
      <c r="G501" s="28">
        <v>934586.69</v>
      </c>
      <c r="H501" s="28">
        <v>1697617.0200000003</v>
      </c>
    </row>
    <row r="502" spans="3:8" x14ac:dyDescent="0.25">
      <c r="C502" t="s">
        <v>48</v>
      </c>
      <c r="D502" t="s">
        <v>2099</v>
      </c>
      <c r="E502" t="s">
        <v>39</v>
      </c>
      <c r="F502" s="28">
        <v>242470.13</v>
      </c>
      <c r="G502" s="28">
        <v>49992.88</v>
      </c>
      <c r="H502" s="28">
        <v>292463.01</v>
      </c>
    </row>
    <row r="503" spans="3:8" x14ac:dyDescent="0.25">
      <c r="E503" t="s">
        <v>19</v>
      </c>
      <c r="F503" s="28">
        <v>18400.34</v>
      </c>
      <c r="G503" s="28">
        <v>89421.84</v>
      </c>
      <c r="H503" s="28">
        <v>107822.18</v>
      </c>
    </row>
    <row r="504" spans="3:8" x14ac:dyDescent="0.25">
      <c r="E504" t="s">
        <v>33</v>
      </c>
      <c r="F504" s="28">
        <v>10180.69</v>
      </c>
      <c r="G504" s="28">
        <v>198260.69</v>
      </c>
      <c r="H504" s="28">
        <v>208441.38</v>
      </c>
    </row>
    <row r="505" spans="3:8" x14ac:dyDescent="0.25">
      <c r="D505" t="s">
        <v>2100</v>
      </c>
      <c r="F505" s="28">
        <v>271051.15999999997</v>
      </c>
      <c r="G505" s="28">
        <v>337675.41000000003</v>
      </c>
      <c r="H505" s="28">
        <v>608726.57000000007</v>
      </c>
    </row>
    <row r="506" spans="3:8" x14ac:dyDescent="0.25">
      <c r="D506" t="s">
        <v>2101</v>
      </c>
      <c r="E506" t="s">
        <v>39</v>
      </c>
      <c r="F506" s="28">
        <v>94766.98</v>
      </c>
      <c r="G506" s="28">
        <v>126496.39</v>
      </c>
      <c r="H506" s="28">
        <v>221263.37</v>
      </c>
    </row>
    <row r="507" spans="3:8" x14ac:dyDescent="0.25">
      <c r="E507" t="s">
        <v>19</v>
      </c>
      <c r="F507" s="28"/>
      <c r="G507" s="28">
        <v>184072.86</v>
      </c>
      <c r="H507" s="28">
        <v>184072.86</v>
      </c>
    </row>
    <row r="508" spans="3:8" x14ac:dyDescent="0.25">
      <c r="E508" t="s">
        <v>33</v>
      </c>
      <c r="F508" s="28">
        <v>150086.16999999998</v>
      </c>
      <c r="G508" s="28">
        <v>140401.51999999999</v>
      </c>
      <c r="H508" s="28">
        <v>290487.68999999994</v>
      </c>
    </row>
    <row r="509" spans="3:8" x14ac:dyDescent="0.25">
      <c r="D509" t="s">
        <v>2102</v>
      </c>
      <c r="F509" s="28">
        <v>244853.14999999997</v>
      </c>
      <c r="G509" s="28">
        <v>450970.77</v>
      </c>
      <c r="H509" s="28">
        <v>695823.91999999993</v>
      </c>
    </row>
    <row r="510" spans="3:8" x14ac:dyDescent="0.25">
      <c r="D510" t="s">
        <v>2103</v>
      </c>
      <c r="E510" t="s">
        <v>39</v>
      </c>
      <c r="F510" s="28">
        <v>255758.74</v>
      </c>
      <c r="G510" s="28">
        <v>139089.56</v>
      </c>
      <c r="H510" s="28">
        <v>394848.3</v>
      </c>
    </row>
    <row r="511" spans="3:8" x14ac:dyDescent="0.25">
      <c r="E511" t="s">
        <v>19</v>
      </c>
      <c r="F511" s="28">
        <v>12199.74</v>
      </c>
      <c r="G511" s="28">
        <v>86698.200000000012</v>
      </c>
      <c r="H511" s="28">
        <v>98897.940000000017</v>
      </c>
    </row>
    <row r="512" spans="3:8" x14ac:dyDescent="0.25">
      <c r="E512" t="s">
        <v>33</v>
      </c>
      <c r="F512" s="28">
        <v>167714.73000000001</v>
      </c>
      <c r="G512" s="28">
        <v>202697.75999999998</v>
      </c>
      <c r="H512" s="28">
        <v>370412.49</v>
      </c>
    </row>
    <row r="513" spans="3:8" x14ac:dyDescent="0.25">
      <c r="D513" t="s">
        <v>2104</v>
      </c>
      <c r="F513" s="28">
        <v>435673.20999999996</v>
      </c>
      <c r="G513" s="28">
        <v>428485.52</v>
      </c>
      <c r="H513" s="28">
        <v>864158.73</v>
      </c>
    </row>
    <row r="514" spans="3:8" x14ac:dyDescent="0.25">
      <c r="D514" t="s">
        <v>2105</v>
      </c>
      <c r="E514" t="s">
        <v>39</v>
      </c>
      <c r="F514" s="28">
        <v>200533.96000000002</v>
      </c>
      <c r="G514" s="28"/>
      <c r="H514" s="28">
        <v>200533.96000000002</v>
      </c>
    </row>
    <row r="515" spans="3:8" x14ac:dyDescent="0.25">
      <c r="E515" t="s">
        <v>19</v>
      </c>
      <c r="F515" s="28">
        <v>205973.61</v>
      </c>
      <c r="G515" s="28"/>
      <c r="H515" s="28">
        <v>205973.61</v>
      </c>
    </row>
    <row r="516" spans="3:8" x14ac:dyDescent="0.25">
      <c r="E516" t="s">
        <v>33</v>
      </c>
      <c r="F516" s="28">
        <v>189081.37</v>
      </c>
      <c r="G516" s="28">
        <v>9164.61</v>
      </c>
      <c r="H516" s="28">
        <v>198245.97999999998</v>
      </c>
    </row>
    <row r="517" spans="3:8" x14ac:dyDescent="0.25">
      <c r="D517" t="s">
        <v>2106</v>
      </c>
      <c r="F517" s="28">
        <v>595588.93999999994</v>
      </c>
      <c r="G517" s="28">
        <v>9164.61</v>
      </c>
      <c r="H517" s="28">
        <v>604753.55000000005</v>
      </c>
    </row>
    <row r="518" spans="3:8" x14ac:dyDescent="0.25">
      <c r="C518" t="s">
        <v>2137</v>
      </c>
      <c r="F518" s="28">
        <v>1547166.46</v>
      </c>
      <c r="G518" s="28">
        <v>1226296.31</v>
      </c>
      <c r="H518" s="28">
        <v>2773462.7699999996</v>
      </c>
    </row>
    <row r="519" spans="3:8" x14ac:dyDescent="0.25">
      <c r="C519" t="s">
        <v>22</v>
      </c>
      <c r="D519" t="s">
        <v>2099</v>
      </c>
      <c r="E519" t="s">
        <v>39</v>
      </c>
      <c r="F519" s="28">
        <v>27211.62</v>
      </c>
      <c r="G519" s="28">
        <v>207821.90999999997</v>
      </c>
      <c r="H519" s="28">
        <v>235033.52999999997</v>
      </c>
    </row>
    <row r="520" spans="3:8" x14ac:dyDescent="0.25">
      <c r="E520" t="s">
        <v>19</v>
      </c>
      <c r="F520" s="28">
        <v>31733.32</v>
      </c>
      <c r="G520" s="28">
        <v>282956.33</v>
      </c>
      <c r="H520" s="28">
        <v>314689.65000000002</v>
      </c>
    </row>
    <row r="521" spans="3:8" x14ac:dyDescent="0.25">
      <c r="E521" t="s">
        <v>33</v>
      </c>
      <c r="F521" s="28">
        <v>92895.69</v>
      </c>
      <c r="G521" s="28">
        <v>80175.88</v>
      </c>
      <c r="H521" s="28">
        <v>173071.57</v>
      </c>
    </row>
    <row r="522" spans="3:8" x14ac:dyDescent="0.25">
      <c r="D522" t="s">
        <v>2100</v>
      </c>
      <c r="F522" s="28">
        <v>151840.63</v>
      </c>
      <c r="G522" s="28">
        <v>570954.12</v>
      </c>
      <c r="H522" s="28">
        <v>722794.75</v>
      </c>
    </row>
    <row r="523" spans="3:8" x14ac:dyDescent="0.25">
      <c r="D523" t="s">
        <v>2101</v>
      </c>
      <c r="E523" t="s">
        <v>39</v>
      </c>
      <c r="F523" s="28">
        <v>65847.75</v>
      </c>
      <c r="G523" s="28"/>
      <c r="H523" s="28">
        <v>65847.75</v>
      </c>
    </row>
    <row r="524" spans="3:8" x14ac:dyDescent="0.25">
      <c r="E524" t="s">
        <v>19</v>
      </c>
      <c r="F524" s="28">
        <v>54026.68</v>
      </c>
      <c r="G524" s="28">
        <v>26267.43</v>
      </c>
      <c r="H524" s="28">
        <v>80294.11</v>
      </c>
    </row>
    <row r="525" spans="3:8" x14ac:dyDescent="0.25">
      <c r="E525" t="s">
        <v>33</v>
      </c>
      <c r="F525" s="28">
        <v>100582.24</v>
      </c>
      <c r="G525" s="28">
        <v>38300.86</v>
      </c>
      <c r="H525" s="28">
        <v>138883.1</v>
      </c>
    </row>
    <row r="526" spans="3:8" x14ac:dyDescent="0.25">
      <c r="D526" t="s">
        <v>2102</v>
      </c>
      <c r="F526" s="28">
        <v>220456.66999999998</v>
      </c>
      <c r="G526" s="28">
        <v>64568.29</v>
      </c>
      <c r="H526" s="28">
        <v>285024.95999999996</v>
      </c>
    </row>
    <row r="527" spans="3:8" x14ac:dyDescent="0.25">
      <c r="D527" t="s">
        <v>2103</v>
      </c>
      <c r="E527" t="s">
        <v>39</v>
      </c>
      <c r="F527" s="28">
        <v>62865.66</v>
      </c>
      <c r="G527" s="28">
        <v>83529.36</v>
      </c>
      <c r="H527" s="28">
        <v>146395.02000000002</v>
      </c>
    </row>
    <row r="528" spans="3:8" x14ac:dyDescent="0.25">
      <c r="E528" t="s">
        <v>19</v>
      </c>
      <c r="F528" s="28">
        <v>133287.6</v>
      </c>
      <c r="G528" s="28">
        <v>22014.93</v>
      </c>
      <c r="H528" s="28">
        <v>155302.53</v>
      </c>
    </row>
    <row r="529" spans="3:8" x14ac:dyDescent="0.25">
      <c r="E529" t="s">
        <v>33</v>
      </c>
      <c r="F529" s="28">
        <v>106097.63</v>
      </c>
      <c r="G529" s="28">
        <v>104500.05</v>
      </c>
      <c r="H529" s="28">
        <v>210597.68</v>
      </c>
    </row>
    <row r="530" spans="3:8" x14ac:dyDescent="0.25">
      <c r="D530" t="s">
        <v>2104</v>
      </c>
      <c r="F530" s="28">
        <v>302250.89</v>
      </c>
      <c r="G530" s="28">
        <v>210044.34000000003</v>
      </c>
      <c r="H530" s="28">
        <v>512295.23000000004</v>
      </c>
    </row>
    <row r="531" spans="3:8" x14ac:dyDescent="0.25">
      <c r="D531" t="s">
        <v>2105</v>
      </c>
      <c r="E531" t="s">
        <v>39</v>
      </c>
      <c r="F531" s="28">
        <v>179660.16999999998</v>
      </c>
      <c r="G531" s="28"/>
      <c r="H531" s="28">
        <v>179660.16999999998</v>
      </c>
    </row>
    <row r="532" spans="3:8" x14ac:dyDescent="0.25">
      <c r="E532" t="s">
        <v>19</v>
      </c>
      <c r="F532" s="28"/>
      <c r="G532" s="28">
        <v>125021.61</v>
      </c>
      <c r="H532" s="28">
        <v>125021.61</v>
      </c>
    </row>
    <row r="533" spans="3:8" x14ac:dyDescent="0.25">
      <c r="E533" t="s">
        <v>33</v>
      </c>
      <c r="F533" s="28">
        <v>118870.96</v>
      </c>
      <c r="G533" s="28"/>
      <c r="H533" s="28">
        <v>118870.96</v>
      </c>
    </row>
    <row r="534" spans="3:8" x14ac:dyDescent="0.25">
      <c r="D534" t="s">
        <v>2106</v>
      </c>
      <c r="F534" s="28">
        <v>298531.13</v>
      </c>
      <c r="G534" s="28">
        <v>125021.61</v>
      </c>
      <c r="H534" s="28">
        <v>423552.74</v>
      </c>
    </row>
    <row r="535" spans="3:8" x14ac:dyDescent="0.25">
      <c r="C535" t="s">
        <v>2138</v>
      </c>
      <c r="F535" s="28">
        <v>973079.31999999983</v>
      </c>
      <c r="G535" s="28">
        <v>970588.3600000001</v>
      </c>
      <c r="H535" s="28">
        <v>1943667.68</v>
      </c>
    </row>
    <row r="536" spans="3:8" x14ac:dyDescent="0.25">
      <c r="C536" t="s">
        <v>40</v>
      </c>
      <c r="D536" t="s">
        <v>2099</v>
      </c>
      <c r="E536" t="s">
        <v>39</v>
      </c>
      <c r="F536" s="28">
        <v>9155.84</v>
      </c>
      <c r="G536" s="28">
        <v>239661.98</v>
      </c>
      <c r="H536" s="28">
        <v>248817.82</v>
      </c>
    </row>
    <row r="537" spans="3:8" x14ac:dyDescent="0.25">
      <c r="E537" t="s">
        <v>19</v>
      </c>
      <c r="F537" s="28">
        <v>172399.92</v>
      </c>
      <c r="G537" s="28">
        <v>94158.81</v>
      </c>
      <c r="H537" s="28">
        <v>266558.73</v>
      </c>
    </row>
    <row r="538" spans="3:8" x14ac:dyDescent="0.25">
      <c r="E538" t="s">
        <v>33</v>
      </c>
      <c r="F538" s="28">
        <v>149041.38</v>
      </c>
      <c r="G538" s="28">
        <v>137627.1</v>
      </c>
      <c r="H538" s="28">
        <v>286668.48</v>
      </c>
    </row>
    <row r="539" spans="3:8" x14ac:dyDescent="0.25">
      <c r="D539" t="s">
        <v>2100</v>
      </c>
      <c r="F539" s="28">
        <v>330597.14</v>
      </c>
      <c r="G539" s="28">
        <v>471447.89</v>
      </c>
      <c r="H539" s="28">
        <v>802045.03</v>
      </c>
    </row>
    <row r="540" spans="3:8" x14ac:dyDescent="0.25">
      <c r="D540" t="s">
        <v>2101</v>
      </c>
      <c r="E540" t="s">
        <v>39</v>
      </c>
      <c r="F540" s="28">
        <v>28990.400000000001</v>
      </c>
      <c r="G540" s="28">
        <v>28444.44</v>
      </c>
      <c r="H540" s="28">
        <v>57434.84</v>
      </c>
    </row>
    <row r="541" spans="3:8" x14ac:dyDescent="0.25">
      <c r="E541" t="s">
        <v>19</v>
      </c>
      <c r="F541" s="28">
        <v>15409.35</v>
      </c>
      <c r="G541" s="28">
        <v>112367.99</v>
      </c>
      <c r="H541" s="28">
        <v>127777.34000000001</v>
      </c>
    </row>
    <row r="542" spans="3:8" x14ac:dyDescent="0.25">
      <c r="E542" t="s">
        <v>33</v>
      </c>
      <c r="F542" s="28">
        <v>55111.45</v>
      </c>
      <c r="G542" s="28">
        <v>108078.79</v>
      </c>
      <c r="H542" s="28">
        <v>163190.24</v>
      </c>
    </row>
    <row r="543" spans="3:8" x14ac:dyDescent="0.25">
      <c r="D543" t="s">
        <v>2102</v>
      </c>
      <c r="F543" s="28">
        <v>99511.2</v>
      </c>
      <c r="G543" s="28">
        <v>248891.21999999997</v>
      </c>
      <c r="H543" s="28">
        <v>348402.42</v>
      </c>
    </row>
    <row r="544" spans="3:8" x14ac:dyDescent="0.25">
      <c r="D544" t="s">
        <v>2103</v>
      </c>
      <c r="E544" t="s">
        <v>39</v>
      </c>
      <c r="F544" s="28">
        <v>12430.56</v>
      </c>
      <c r="G544" s="28">
        <v>184107.88999999998</v>
      </c>
      <c r="H544" s="28">
        <v>196538.44999999998</v>
      </c>
    </row>
    <row r="545" spans="1:8" x14ac:dyDescent="0.25">
      <c r="E545" t="s">
        <v>19</v>
      </c>
      <c r="F545" s="28">
        <v>89091.9</v>
      </c>
      <c r="G545" s="28">
        <v>18345.95</v>
      </c>
      <c r="H545" s="28">
        <v>107437.84999999999</v>
      </c>
    </row>
    <row r="546" spans="1:8" x14ac:dyDescent="0.25">
      <c r="E546" t="s">
        <v>33</v>
      </c>
      <c r="F546" s="28">
        <v>67490.31</v>
      </c>
      <c r="G546" s="28">
        <v>178583.57</v>
      </c>
      <c r="H546" s="28">
        <v>246073.88</v>
      </c>
    </row>
    <row r="547" spans="1:8" x14ac:dyDescent="0.25">
      <c r="D547" t="s">
        <v>2104</v>
      </c>
      <c r="F547" s="28">
        <v>169012.77</v>
      </c>
      <c r="G547" s="28">
        <v>381037.41000000003</v>
      </c>
      <c r="H547" s="28">
        <v>550050.17999999993</v>
      </c>
    </row>
    <row r="548" spans="1:8" x14ac:dyDescent="0.25">
      <c r="D548" t="s">
        <v>2105</v>
      </c>
      <c r="E548" t="s">
        <v>39</v>
      </c>
      <c r="F548" s="28">
        <v>37761.340000000004</v>
      </c>
      <c r="G548" s="28">
        <v>3000.92</v>
      </c>
      <c r="H548" s="28">
        <v>40762.26</v>
      </c>
    </row>
    <row r="549" spans="1:8" x14ac:dyDescent="0.25">
      <c r="E549" t="s">
        <v>19</v>
      </c>
      <c r="F549" s="28">
        <v>51582.350000000006</v>
      </c>
      <c r="G549" s="28"/>
      <c r="H549" s="28">
        <v>51582.350000000006</v>
      </c>
    </row>
    <row r="550" spans="1:8" x14ac:dyDescent="0.25">
      <c r="E550" t="s">
        <v>33</v>
      </c>
      <c r="F550" s="28">
        <v>239854.44000000003</v>
      </c>
      <c r="G550" s="28">
        <v>60466.68</v>
      </c>
      <c r="H550" s="28">
        <v>300321.12000000005</v>
      </c>
    </row>
    <row r="551" spans="1:8" x14ac:dyDescent="0.25">
      <c r="D551" t="s">
        <v>2106</v>
      </c>
      <c r="F551" s="28">
        <v>329198.13</v>
      </c>
      <c r="G551" s="28">
        <v>63467.6</v>
      </c>
      <c r="H551" s="28">
        <v>392665.7300000001</v>
      </c>
    </row>
    <row r="552" spans="1:8" x14ac:dyDescent="0.25">
      <c r="C552" t="s">
        <v>2139</v>
      </c>
      <c r="F552" s="28">
        <v>928319.24000000011</v>
      </c>
      <c r="G552" s="28">
        <v>1164844.1199999999</v>
      </c>
      <c r="H552" s="28">
        <v>2093163.36</v>
      </c>
    </row>
    <row r="553" spans="1:8" x14ac:dyDescent="0.25">
      <c r="B553" t="s">
        <v>2095</v>
      </c>
      <c r="F553" s="28">
        <v>4211595.3500000006</v>
      </c>
      <c r="G553" s="28">
        <v>4296315.4799999995</v>
      </c>
      <c r="H553" s="28">
        <v>8507910.8300000001</v>
      </c>
    </row>
    <row r="554" spans="1:8" x14ac:dyDescent="0.25">
      <c r="A554" t="s">
        <v>2109</v>
      </c>
      <c r="F554" s="28">
        <v>8648288.2300000004</v>
      </c>
      <c r="G554" s="28">
        <v>7744617.7899999991</v>
      </c>
      <c r="H554" s="28">
        <v>16392906.019999992</v>
      </c>
    </row>
    <row r="555" spans="1:8" x14ac:dyDescent="0.25">
      <c r="A555" t="s">
        <v>2082</v>
      </c>
      <c r="B555" t="s">
        <v>62</v>
      </c>
      <c r="C555" t="s">
        <v>29</v>
      </c>
      <c r="D555" t="s">
        <v>2099</v>
      </c>
      <c r="E555" t="s">
        <v>39</v>
      </c>
      <c r="F555" s="28">
        <v>70351.19</v>
      </c>
      <c r="G555" s="28">
        <v>127491.25</v>
      </c>
      <c r="H555" s="28">
        <v>197842.44</v>
      </c>
    </row>
    <row r="556" spans="1:8" x14ac:dyDescent="0.25">
      <c r="E556" t="s">
        <v>19</v>
      </c>
      <c r="F556" s="28">
        <v>11925.68</v>
      </c>
      <c r="G556" s="28">
        <v>199239.21</v>
      </c>
      <c r="H556" s="28">
        <v>211164.88999999998</v>
      </c>
    </row>
    <row r="557" spans="1:8" x14ac:dyDescent="0.25">
      <c r="E557" t="s">
        <v>33</v>
      </c>
      <c r="F557" s="28">
        <v>48580.98</v>
      </c>
      <c r="G557" s="28">
        <v>90703.16</v>
      </c>
      <c r="H557" s="28">
        <v>139284.14000000001</v>
      </c>
    </row>
    <row r="558" spans="1:8" x14ac:dyDescent="0.25">
      <c r="D558" t="s">
        <v>2100</v>
      </c>
      <c r="F558" s="28">
        <v>130857.85</v>
      </c>
      <c r="G558" s="28">
        <v>417433.62</v>
      </c>
      <c r="H558" s="28">
        <v>548291.47</v>
      </c>
    </row>
    <row r="559" spans="1:8" x14ac:dyDescent="0.25">
      <c r="D559" t="s">
        <v>2101</v>
      </c>
      <c r="E559" t="s">
        <v>39</v>
      </c>
      <c r="F559" s="28">
        <v>143651.51999999999</v>
      </c>
      <c r="G559" s="28">
        <v>173520.06</v>
      </c>
      <c r="H559" s="28">
        <v>317171.57999999996</v>
      </c>
    </row>
    <row r="560" spans="1:8" x14ac:dyDescent="0.25">
      <c r="E560" t="s">
        <v>19</v>
      </c>
      <c r="F560" s="28">
        <v>131174.89000000001</v>
      </c>
      <c r="G560" s="28">
        <v>128415.88</v>
      </c>
      <c r="H560" s="28">
        <v>259590.77000000002</v>
      </c>
    </row>
    <row r="561" spans="3:8" x14ac:dyDescent="0.25">
      <c r="E561" t="s">
        <v>33</v>
      </c>
      <c r="F561" s="28">
        <v>128284.94</v>
      </c>
      <c r="G561" s="28">
        <v>13880.7</v>
      </c>
      <c r="H561" s="28">
        <v>142165.64000000001</v>
      </c>
    </row>
    <row r="562" spans="3:8" x14ac:dyDescent="0.25">
      <c r="D562" t="s">
        <v>2102</v>
      </c>
      <c r="F562" s="28">
        <v>403111.35000000003</v>
      </c>
      <c r="G562" s="28">
        <v>315816.64</v>
      </c>
      <c r="H562" s="28">
        <v>718927.99</v>
      </c>
    </row>
    <row r="563" spans="3:8" x14ac:dyDescent="0.25">
      <c r="D563" t="s">
        <v>2103</v>
      </c>
      <c r="E563" t="s">
        <v>39</v>
      </c>
      <c r="F563" s="28">
        <v>163600.36999999997</v>
      </c>
      <c r="G563" s="28">
        <v>18875.169999999998</v>
      </c>
      <c r="H563" s="28">
        <v>182475.53999999998</v>
      </c>
    </row>
    <row r="564" spans="3:8" x14ac:dyDescent="0.25">
      <c r="E564" t="s">
        <v>19</v>
      </c>
      <c r="F564" s="28">
        <v>80486.23</v>
      </c>
      <c r="G564" s="28">
        <v>64004.509999999995</v>
      </c>
      <c r="H564" s="28">
        <v>144490.74</v>
      </c>
    </row>
    <row r="565" spans="3:8" x14ac:dyDescent="0.25">
      <c r="E565" t="s">
        <v>33</v>
      </c>
      <c r="F565" s="28">
        <v>16454.61</v>
      </c>
      <c r="G565" s="28">
        <v>73816.66</v>
      </c>
      <c r="H565" s="28">
        <v>90271.27</v>
      </c>
    </row>
    <row r="566" spans="3:8" x14ac:dyDescent="0.25">
      <c r="D566" t="s">
        <v>2104</v>
      </c>
      <c r="F566" s="28">
        <v>260541.20999999996</v>
      </c>
      <c r="G566" s="28">
        <v>156696.34</v>
      </c>
      <c r="H566" s="28">
        <v>417237.55</v>
      </c>
    </row>
    <row r="567" spans="3:8" x14ac:dyDescent="0.25">
      <c r="D567" t="s">
        <v>2105</v>
      </c>
      <c r="E567" t="s">
        <v>19</v>
      </c>
      <c r="F567" s="28">
        <v>79103.38</v>
      </c>
      <c r="G567" s="28"/>
      <c r="H567" s="28">
        <v>79103.38</v>
      </c>
    </row>
    <row r="568" spans="3:8" x14ac:dyDescent="0.25">
      <c r="E568" t="s">
        <v>33</v>
      </c>
      <c r="F568" s="28">
        <v>178642.12999999998</v>
      </c>
      <c r="G568" s="28">
        <v>12681.48</v>
      </c>
      <c r="H568" s="28">
        <v>191323.61</v>
      </c>
    </row>
    <row r="569" spans="3:8" x14ac:dyDescent="0.25">
      <c r="D569" t="s">
        <v>2106</v>
      </c>
      <c r="F569" s="28">
        <v>257745.50999999998</v>
      </c>
      <c r="G569" s="28">
        <v>12681.48</v>
      </c>
      <c r="H569" s="28">
        <v>270426.99</v>
      </c>
    </row>
    <row r="570" spans="3:8" x14ac:dyDescent="0.25">
      <c r="C570" t="s">
        <v>2136</v>
      </c>
      <c r="F570" s="28">
        <v>1052255.92</v>
      </c>
      <c r="G570" s="28">
        <v>902628.08</v>
      </c>
      <c r="H570" s="28">
        <v>1954884</v>
      </c>
    </row>
    <row r="571" spans="3:8" x14ac:dyDescent="0.25">
      <c r="C571" t="s">
        <v>48</v>
      </c>
      <c r="D571" t="s">
        <v>2099</v>
      </c>
      <c r="E571" t="s">
        <v>39</v>
      </c>
      <c r="F571" s="28">
        <v>133038.32</v>
      </c>
      <c r="G571" s="28">
        <v>204309.24</v>
      </c>
      <c r="H571" s="28">
        <v>337347.56</v>
      </c>
    </row>
    <row r="572" spans="3:8" x14ac:dyDescent="0.25">
      <c r="E572" t="s">
        <v>19</v>
      </c>
      <c r="F572" s="28">
        <v>65756.800000000003</v>
      </c>
      <c r="G572" s="28">
        <v>58769.34</v>
      </c>
      <c r="H572" s="28">
        <v>124526.14</v>
      </c>
    </row>
    <row r="573" spans="3:8" x14ac:dyDescent="0.25">
      <c r="E573" t="s">
        <v>33</v>
      </c>
      <c r="F573" s="28">
        <v>186451.37</v>
      </c>
      <c r="G573" s="28">
        <v>34177.31</v>
      </c>
      <c r="H573" s="28">
        <v>220628.68</v>
      </c>
    </row>
    <row r="574" spans="3:8" x14ac:dyDescent="0.25">
      <c r="D574" t="s">
        <v>2100</v>
      </c>
      <c r="F574" s="28">
        <v>385246.49</v>
      </c>
      <c r="G574" s="28">
        <v>297255.88999999996</v>
      </c>
      <c r="H574" s="28">
        <v>682502.38</v>
      </c>
    </row>
    <row r="575" spans="3:8" x14ac:dyDescent="0.25">
      <c r="D575" t="s">
        <v>2101</v>
      </c>
      <c r="E575" t="s">
        <v>39</v>
      </c>
      <c r="F575" s="28">
        <v>8523.2999999999993</v>
      </c>
      <c r="G575" s="28"/>
      <c r="H575" s="28">
        <v>8523.2999999999993</v>
      </c>
    </row>
    <row r="576" spans="3:8" x14ac:dyDescent="0.25">
      <c r="E576" t="s">
        <v>19</v>
      </c>
      <c r="F576" s="28">
        <v>111398.89</v>
      </c>
      <c r="G576" s="28">
        <v>61758.18</v>
      </c>
      <c r="H576" s="28">
        <v>173157.07</v>
      </c>
    </row>
    <row r="577" spans="3:8" x14ac:dyDescent="0.25">
      <c r="E577" t="s">
        <v>33</v>
      </c>
      <c r="F577" s="28"/>
      <c r="G577" s="28">
        <v>93133.81</v>
      </c>
      <c r="H577" s="28">
        <v>93133.81</v>
      </c>
    </row>
    <row r="578" spans="3:8" x14ac:dyDescent="0.25">
      <c r="D578" t="s">
        <v>2102</v>
      </c>
      <c r="F578" s="28">
        <v>119922.19</v>
      </c>
      <c r="G578" s="28">
        <v>154891.99</v>
      </c>
      <c r="H578" s="28">
        <v>274814.18</v>
      </c>
    </row>
    <row r="579" spans="3:8" x14ac:dyDescent="0.25">
      <c r="D579" t="s">
        <v>2103</v>
      </c>
      <c r="E579" t="s">
        <v>39</v>
      </c>
      <c r="F579" s="28"/>
      <c r="G579" s="28">
        <v>13467.2</v>
      </c>
      <c r="H579" s="28">
        <v>13467.2</v>
      </c>
    </row>
    <row r="580" spans="3:8" x14ac:dyDescent="0.25">
      <c r="E580" t="s">
        <v>19</v>
      </c>
      <c r="F580" s="28">
        <v>140709.13</v>
      </c>
      <c r="G580" s="28">
        <v>62638.33</v>
      </c>
      <c r="H580" s="28">
        <v>203347.46000000002</v>
      </c>
    </row>
    <row r="581" spans="3:8" x14ac:dyDescent="0.25">
      <c r="E581" t="s">
        <v>33</v>
      </c>
      <c r="F581" s="28">
        <v>141100.63</v>
      </c>
      <c r="G581" s="28">
        <v>7447.5</v>
      </c>
      <c r="H581" s="28">
        <v>148548.13</v>
      </c>
    </row>
    <row r="582" spans="3:8" x14ac:dyDescent="0.25">
      <c r="D582" t="s">
        <v>2104</v>
      </c>
      <c r="F582" s="28">
        <v>281809.76</v>
      </c>
      <c r="G582" s="28">
        <v>83553.03</v>
      </c>
      <c r="H582" s="28">
        <v>365362.79000000004</v>
      </c>
    </row>
    <row r="583" spans="3:8" x14ac:dyDescent="0.25">
      <c r="D583" t="s">
        <v>2105</v>
      </c>
      <c r="E583" t="s">
        <v>19</v>
      </c>
      <c r="F583" s="28">
        <v>29117.74</v>
      </c>
      <c r="G583" s="28"/>
      <c r="H583" s="28">
        <v>29117.74</v>
      </c>
    </row>
    <row r="584" spans="3:8" x14ac:dyDescent="0.25">
      <c r="E584" t="s">
        <v>33</v>
      </c>
      <c r="F584" s="28">
        <v>197552.06</v>
      </c>
      <c r="G584" s="28">
        <v>14240.68</v>
      </c>
      <c r="H584" s="28">
        <v>211792.74</v>
      </c>
    </row>
    <row r="585" spans="3:8" x14ac:dyDescent="0.25">
      <c r="D585" t="s">
        <v>2106</v>
      </c>
      <c r="F585" s="28">
        <v>226669.8</v>
      </c>
      <c r="G585" s="28">
        <v>14240.68</v>
      </c>
      <c r="H585" s="28">
        <v>240910.47999999998</v>
      </c>
    </row>
    <row r="586" spans="3:8" x14ac:dyDescent="0.25">
      <c r="C586" t="s">
        <v>2137</v>
      </c>
      <c r="F586" s="28">
        <v>1013648.24</v>
      </c>
      <c r="G586" s="28">
        <v>549941.59</v>
      </c>
      <c r="H586" s="28">
        <v>1563589.83</v>
      </c>
    </row>
    <row r="587" spans="3:8" x14ac:dyDescent="0.25">
      <c r="C587" t="s">
        <v>22</v>
      </c>
      <c r="D587" t="s">
        <v>2099</v>
      </c>
      <c r="E587" t="s">
        <v>39</v>
      </c>
      <c r="F587" s="28"/>
      <c r="G587" s="28">
        <v>131151.63</v>
      </c>
      <c r="H587" s="28">
        <v>131151.63</v>
      </c>
    </row>
    <row r="588" spans="3:8" x14ac:dyDescent="0.25">
      <c r="E588" t="s">
        <v>19</v>
      </c>
      <c r="F588" s="28">
        <v>5649.95</v>
      </c>
      <c r="G588" s="28"/>
      <c r="H588" s="28">
        <v>5649.95</v>
      </c>
    </row>
    <row r="589" spans="3:8" x14ac:dyDescent="0.25">
      <c r="E589" t="s">
        <v>33</v>
      </c>
      <c r="F589" s="28">
        <v>11871.27</v>
      </c>
      <c r="G589" s="28"/>
      <c r="H589" s="28">
        <v>11871.27</v>
      </c>
    </row>
    <row r="590" spans="3:8" x14ac:dyDescent="0.25">
      <c r="D590" t="s">
        <v>2100</v>
      </c>
      <c r="F590" s="28">
        <v>17521.22</v>
      </c>
      <c r="G590" s="28">
        <v>131151.63</v>
      </c>
      <c r="H590" s="28">
        <v>148672.85</v>
      </c>
    </row>
    <row r="591" spans="3:8" x14ac:dyDescent="0.25">
      <c r="D591" t="s">
        <v>2101</v>
      </c>
      <c r="E591" t="s">
        <v>39</v>
      </c>
      <c r="F591" s="28">
        <v>49449.67</v>
      </c>
      <c r="G591" s="28">
        <v>104937.16</v>
      </c>
      <c r="H591" s="28">
        <v>154386.83000000002</v>
      </c>
    </row>
    <row r="592" spans="3:8" x14ac:dyDescent="0.25">
      <c r="E592" t="s">
        <v>19</v>
      </c>
      <c r="F592" s="28"/>
      <c r="G592" s="28">
        <v>117968.54000000001</v>
      </c>
      <c r="H592" s="28">
        <v>117968.54000000001</v>
      </c>
    </row>
    <row r="593" spans="3:8" x14ac:dyDescent="0.25">
      <c r="E593" t="s">
        <v>33</v>
      </c>
      <c r="F593" s="28">
        <v>39637.480000000003</v>
      </c>
      <c r="G593" s="28">
        <v>24305.45</v>
      </c>
      <c r="H593" s="28">
        <v>63942.930000000008</v>
      </c>
    </row>
    <row r="594" spans="3:8" x14ac:dyDescent="0.25">
      <c r="D594" t="s">
        <v>2102</v>
      </c>
      <c r="F594" s="28">
        <v>89087.15</v>
      </c>
      <c r="G594" s="28">
        <v>247211.15000000002</v>
      </c>
      <c r="H594" s="28">
        <v>336298.3</v>
      </c>
    </row>
    <row r="595" spans="3:8" x14ac:dyDescent="0.25">
      <c r="D595" t="s">
        <v>2103</v>
      </c>
      <c r="E595" t="s">
        <v>39</v>
      </c>
      <c r="F595" s="28">
        <v>139615.19999999998</v>
      </c>
      <c r="G595" s="28">
        <v>166524.33000000002</v>
      </c>
      <c r="H595" s="28">
        <v>306139.53000000003</v>
      </c>
    </row>
    <row r="596" spans="3:8" x14ac:dyDescent="0.25">
      <c r="E596" t="s">
        <v>19</v>
      </c>
      <c r="F596" s="28">
        <v>36637.82</v>
      </c>
      <c r="G596" s="28">
        <v>1251.24</v>
      </c>
      <c r="H596" s="28">
        <v>37889.06</v>
      </c>
    </row>
    <row r="597" spans="3:8" x14ac:dyDescent="0.25">
      <c r="E597" t="s">
        <v>33</v>
      </c>
      <c r="F597" s="28">
        <v>173516.9</v>
      </c>
      <c r="G597" s="28">
        <v>44387.87</v>
      </c>
      <c r="H597" s="28">
        <v>217904.77</v>
      </c>
    </row>
    <row r="598" spans="3:8" x14ac:dyDescent="0.25">
      <c r="D598" t="s">
        <v>2104</v>
      </c>
      <c r="F598" s="28">
        <v>349769.92</v>
      </c>
      <c r="G598" s="28">
        <v>212163.44</v>
      </c>
      <c r="H598" s="28">
        <v>561933.36</v>
      </c>
    </row>
    <row r="599" spans="3:8" x14ac:dyDescent="0.25">
      <c r="D599" t="s">
        <v>2105</v>
      </c>
      <c r="E599" t="s">
        <v>39</v>
      </c>
      <c r="F599" s="28">
        <v>131856.33000000002</v>
      </c>
      <c r="G599" s="28"/>
      <c r="H599" s="28">
        <v>131856.33000000002</v>
      </c>
    </row>
    <row r="600" spans="3:8" x14ac:dyDescent="0.25">
      <c r="E600" t="s">
        <v>19</v>
      </c>
      <c r="F600" s="28">
        <v>157706.03</v>
      </c>
      <c r="G600" s="28">
        <v>93917.82</v>
      </c>
      <c r="H600" s="28">
        <v>251623.85</v>
      </c>
    </row>
    <row r="601" spans="3:8" x14ac:dyDescent="0.25">
      <c r="E601" t="s">
        <v>33</v>
      </c>
      <c r="F601" s="28">
        <v>100567.93</v>
      </c>
      <c r="G601" s="28">
        <v>34970.639999999999</v>
      </c>
      <c r="H601" s="28">
        <v>135538.57</v>
      </c>
    </row>
    <row r="602" spans="3:8" x14ac:dyDescent="0.25">
      <c r="D602" t="s">
        <v>2106</v>
      </c>
      <c r="F602" s="28">
        <v>390130.29</v>
      </c>
      <c r="G602" s="28">
        <v>128888.46</v>
      </c>
      <c r="H602" s="28">
        <v>519018.75000000006</v>
      </c>
    </row>
    <row r="603" spans="3:8" x14ac:dyDescent="0.25">
      <c r="C603" t="s">
        <v>2138</v>
      </c>
      <c r="F603" s="28">
        <v>846508.57999999984</v>
      </c>
      <c r="G603" s="28">
        <v>719414.68</v>
      </c>
      <c r="H603" s="28">
        <v>1565923.2600000005</v>
      </c>
    </row>
    <row r="604" spans="3:8" x14ac:dyDescent="0.25">
      <c r="C604" t="s">
        <v>40</v>
      </c>
      <c r="D604" t="s">
        <v>2099</v>
      </c>
      <c r="E604" t="s">
        <v>39</v>
      </c>
      <c r="F604" s="28">
        <v>65660.66</v>
      </c>
      <c r="G604" s="28"/>
      <c r="H604" s="28">
        <v>65660.66</v>
      </c>
    </row>
    <row r="605" spans="3:8" x14ac:dyDescent="0.25">
      <c r="E605" t="s">
        <v>19</v>
      </c>
      <c r="F605" s="28">
        <v>143629.72</v>
      </c>
      <c r="G605" s="28">
        <v>115136.38</v>
      </c>
      <c r="H605" s="28">
        <v>258766.1</v>
      </c>
    </row>
    <row r="606" spans="3:8" x14ac:dyDescent="0.25">
      <c r="E606" t="s">
        <v>33</v>
      </c>
      <c r="F606" s="28">
        <v>86430.599999999991</v>
      </c>
      <c r="G606" s="28">
        <v>61318.200000000004</v>
      </c>
      <c r="H606" s="28">
        <v>147748.79999999999</v>
      </c>
    </row>
    <row r="607" spans="3:8" x14ac:dyDescent="0.25">
      <c r="D607" t="s">
        <v>2100</v>
      </c>
      <c r="F607" s="28">
        <v>295720.98</v>
      </c>
      <c r="G607" s="28">
        <v>176454.58000000002</v>
      </c>
      <c r="H607" s="28">
        <v>472175.56</v>
      </c>
    </row>
    <row r="608" spans="3:8" x14ac:dyDescent="0.25">
      <c r="D608" t="s">
        <v>2101</v>
      </c>
      <c r="E608" t="s">
        <v>39</v>
      </c>
      <c r="F608" s="28"/>
      <c r="G608" s="28">
        <v>30919.51</v>
      </c>
      <c r="H608" s="28">
        <v>30919.51</v>
      </c>
    </row>
    <row r="609" spans="1:8" x14ac:dyDescent="0.25">
      <c r="E609" t="s">
        <v>19</v>
      </c>
      <c r="F609" s="28">
        <v>104467.92</v>
      </c>
      <c r="G609" s="28">
        <v>98743.44</v>
      </c>
      <c r="H609" s="28">
        <v>203211.36</v>
      </c>
    </row>
    <row r="610" spans="1:8" x14ac:dyDescent="0.25">
      <c r="E610" t="s">
        <v>33</v>
      </c>
      <c r="F610" s="28">
        <v>74443.959999999992</v>
      </c>
      <c r="G610" s="28">
        <v>135423.13</v>
      </c>
      <c r="H610" s="28">
        <v>209867.09</v>
      </c>
    </row>
    <row r="611" spans="1:8" x14ac:dyDescent="0.25">
      <c r="D611" t="s">
        <v>2102</v>
      </c>
      <c r="F611" s="28">
        <v>178911.88</v>
      </c>
      <c r="G611" s="28">
        <v>265086.08000000002</v>
      </c>
      <c r="H611" s="28">
        <v>443997.95999999996</v>
      </c>
    </row>
    <row r="612" spans="1:8" x14ac:dyDescent="0.25">
      <c r="D612" t="s">
        <v>2103</v>
      </c>
      <c r="E612" t="s">
        <v>39</v>
      </c>
      <c r="F612" s="28"/>
      <c r="G612" s="28">
        <v>108340.36</v>
      </c>
      <c r="H612" s="28">
        <v>108340.36</v>
      </c>
    </row>
    <row r="613" spans="1:8" x14ac:dyDescent="0.25">
      <c r="E613" t="s">
        <v>19</v>
      </c>
      <c r="F613" s="28">
        <v>38227.379999999997</v>
      </c>
      <c r="G613" s="28">
        <v>68111.53</v>
      </c>
      <c r="H613" s="28">
        <v>106338.91</v>
      </c>
    </row>
    <row r="614" spans="1:8" x14ac:dyDescent="0.25">
      <c r="E614" t="s">
        <v>33</v>
      </c>
      <c r="F614" s="28">
        <v>268294.13</v>
      </c>
      <c r="G614" s="28">
        <v>113335.55</v>
      </c>
      <c r="H614" s="28">
        <v>381629.68</v>
      </c>
    </row>
    <row r="615" spans="1:8" x14ac:dyDescent="0.25">
      <c r="D615" t="s">
        <v>2104</v>
      </c>
      <c r="F615" s="28">
        <v>306521.51</v>
      </c>
      <c r="G615" s="28">
        <v>289787.44</v>
      </c>
      <c r="H615" s="28">
        <v>596308.94999999995</v>
      </c>
    </row>
    <row r="616" spans="1:8" x14ac:dyDescent="0.25">
      <c r="D616" t="s">
        <v>2105</v>
      </c>
      <c r="E616" t="s">
        <v>39</v>
      </c>
      <c r="F616" s="28">
        <v>192496.35</v>
      </c>
      <c r="G616" s="28"/>
      <c r="H616" s="28">
        <v>192496.35</v>
      </c>
    </row>
    <row r="617" spans="1:8" x14ac:dyDescent="0.25">
      <c r="E617" t="s">
        <v>19</v>
      </c>
      <c r="F617" s="28">
        <v>86402.57</v>
      </c>
      <c r="G617" s="28"/>
      <c r="H617" s="28">
        <v>86402.57</v>
      </c>
    </row>
    <row r="618" spans="1:8" x14ac:dyDescent="0.25">
      <c r="E618" t="s">
        <v>33</v>
      </c>
      <c r="F618" s="28">
        <v>158635.52000000002</v>
      </c>
      <c r="G618" s="28"/>
      <c r="H618" s="28">
        <v>158635.52000000002</v>
      </c>
    </row>
    <row r="619" spans="1:8" x14ac:dyDescent="0.25">
      <c r="D619" t="s">
        <v>2106</v>
      </c>
      <c r="F619" s="28">
        <v>437534.44000000006</v>
      </c>
      <c r="G619" s="28"/>
      <c r="H619" s="28">
        <v>437534.44000000006</v>
      </c>
    </row>
    <row r="620" spans="1:8" x14ac:dyDescent="0.25">
      <c r="C620" t="s">
        <v>2139</v>
      </c>
      <c r="F620" s="28">
        <v>1218688.81</v>
      </c>
      <c r="G620" s="28">
        <v>731328.10000000009</v>
      </c>
      <c r="H620" s="28">
        <v>1950016.91</v>
      </c>
    </row>
    <row r="621" spans="1:8" x14ac:dyDescent="0.25">
      <c r="B621" t="s">
        <v>2086</v>
      </c>
      <c r="F621" s="28">
        <v>4131101.55</v>
      </c>
      <c r="G621" s="28">
        <v>2903312.4499999993</v>
      </c>
      <c r="H621" s="28">
        <v>7034414</v>
      </c>
    </row>
    <row r="622" spans="1:8" x14ac:dyDescent="0.25">
      <c r="A622" t="s">
        <v>2110</v>
      </c>
      <c r="F622" s="28">
        <v>4131101.55</v>
      </c>
      <c r="G622" s="28">
        <v>2903312.4499999993</v>
      </c>
      <c r="H622" s="28">
        <v>7034414</v>
      </c>
    </row>
    <row r="623" spans="1:8" x14ac:dyDescent="0.25">
      <c r="A623" t="s">
        <v>21</v>
      </c>
      <c r="B623" t="s">
        <v>46</v>
      </c>
      <c r="C623" t="s">
        <v>29</v>
      </c>
      <c r="D623" t="s">
        <v>2099</v>
      </c>
      <c r="E623" t="s">
        <v>39</v>
      </c>
      <c r="F623" s="28">
        <v>672.5</v>
      </c>
      <c r="G623" s="28">
        <v>199621.81</v>
      </c>
      <c r="H623" s="28">
        <v>200294.31</v>
      </c>
    </row>
    <row r="624" spans="1:8" x14ac:dyDescent="0.25">
      <c r="E624" t="s">
        <v>19</v>
      </c>
      <c r="F624" s="28">
        <v>289228.3</v>
      </c>
      <c r="G624" s="28">
        <v>154843.24</v>
      </c>
      <c r="H624" s="28">
        <v>444071.54</v>
      </c>
    </row>
    <row r="625" spans="3:8" x14ac:dyDescent="0.25">
      <c r="E625" t="s">
        <v>33</v>
      </c>
      <c r="F625" s="28">
        <v>12214.44</v>
      </c>
      <c r="G625" s="28">
        <v>16900.650000000001</v>
      </c>
      <c r="H625" s="28">
        <v>29115.090000000004</v>
      </c>
    </row>
    <row r="626" spans="3:8" x14ac:dyDescent="0.25">
      <c r="D626" t="s">
        <v>2100</v>
      </c>
      <c r="F626" s="28">
        <v>302115.24</v>
      </c>
      <c r="G626" s="28">
        <v>371365.7</v>
      </c>
      <c r="H626" s="28">
        <v>673480.94</v>
      </c>
    </row>
    <row r="627" spans="3:8" x14ac:dyDescent="0.25">
      <c r="D627" t="s">
        <v>2101</v>
      </c>
      <c r="E627" t="s">
        <v>39</v>
      </c>
      <c r="F627" s="28">
        <v>303534.27</v>
      </c>
      <c r="G627" s="28">
        <v>8111.68</v>
      </c>
      <c r="H627" s="28">
        <v>311645.95</v>
      </c>
    </row>
    <row r="628" spans="3:8" x14ac:dyDescent="0.25">
      <c r="E628" t="s">
        <v>19</v>
      </c>
      <c r="F628" s="28">
        <v>102771.43</v>
      </c>
      <c r="G628" s="28">
        <v>111374.70000000001</v>
      </c>
      <c r="H628" s="28">
        <v>214146.13</v>
      </c>
    </row>
    <row r="629" spans="3:8" x14ac:dyDescent="0.25">
      <c r="E629" t="s">
        <v>33</v>
      </c>
      <c r="F629" s="28">
        <v>281172.05000000005</v>
      </c>
      <c r="G629" s="28">
        <v>185405.62000000002</v>
      </c>
      <c r="H629" s="28">
        <v>466577.67000000004</v>
      </c>
    </row>
    <row r="630" spans="3:8" x14ac:dyDescent="0.25">
      <c r="D630" t="s">
        <v>2102</v>
      </c>
      <c r="F630" s="28">
        <v>687477.75</v>
      </c>
      <c r="G630" s="28">
        <v>304892</v>
      </c>
      <c r="H630" s="28">
        <v>992369.75000000012</v>
      </c>
    </row>
    <row r="631" spans="3:8" x14ac:dyDescent="0.25">
      <c r="D631" t="s">
        <v>2103</v>
      </c>
      <c r="E631" t="s">
        <v>39</v>
      </c>
      <c r="F631" s="28">
        <v>59910.36</v>
      </c>
      <c r="G631" s="28">
        <v>6455.68</v>
      </c>
      <c r="H631" s="28">
        <v>66366.040000000008</v>
      </c>
    </row>
    <row r="632" spans="3:8" x14ac:dyDescent="0.25">
      <c r="E632" t="s">
        <v>19</v>
      </c>
      <c r="F632" s="28">
        <v>256485.86</v>
      </c>
      <c r="G632" s="28">
        <v>129745.85999999999</v>
      </c>
      <c r="H632" s="28">
        <v>386231.72</v>
      </c>
    </row>
    <row r="633" spans="3:8" x14ac:dyDescent="0.25">
      <c r="E633" t="s">
        <v>33</v>
      </c>
      <c r="F633" s="28"/>
      <c r="G633" s="28">
        <v>116934.22</v>
      </c>
      <c r="H633" s="28">
        <v>116934.22</v>
      </c>
    </row>
    <row r="634" spans="3:8" x14ac:dyDescent="0.25">
      <c r="D634" t="s">
        <v>2104</v>
      </c>
      <c r="F634" s="28">
        <v>316396.21999999997</v>
      </c>
      <c r="G634" s="28">
        <v>253135.75999999998</v>
      </c>
      <c r="H634" s="28">
        <v>569531.98</v>
      </c>
    </row>
    <row r="635" spans="3:8" x14ac:dyDescent="0.25">
      <c r="D635" t="s">
        <v>2105</v>
      </c>
      <c r="E635" t="s">
        <v>39</v>
      </c>
      <c r="F635" s="28">
        <v>85942.98000000001</v>
      </c>
      <c r="G635" s="28">
        <v>94237.95</v>
      </c>
      <c r="H635" s="28">
        <v>180180.93</v>
      </c>
    </row>
    <row r="636" spans="3:8" x14ac:dyDescent="0.25">
      <c r="E636" t="s">
        <v>19</v>
      </c>
      <c r="F636" s="28">
        <v>139915.75</v>
      </c>
      <c r="G636" s="28"/>
      <c r="H636" s="28">
        <v>139915.75</v>
      </c>
    </row>
    <row r="637" spans="3:8" x14ac:dyDescent="0.25">
      <c r="E637" t="s">
        <v>33</v>
      </c>
      <c r="F637" s="28">
        <v>73067.23</v>
      </c>
      <c r="G637" s="28">
        <v>2102.16</v>
      </c>
      <c r="H637" s="28">
        <v>75169.39</v>
      </c>
    </row>
    <row r="638" spans="3:8" x14ac:dyDescent="0.25">
      <c r="D638" t="s">
        <v>2106</v>
      </c>
      <c r="F638" s="28">
        <v>298925.96000000002</v>
      </c>
      <c r="G638" s="28">
        <v>96340.11</v>
      </c>
      <c r="H638" s="28">
        <v>395266.07</v>
      </c>
    </row>
    <row r="639" spans="3:8" x14ac:dyDescent="0.25">
      <c r="C639" t="s">
        <v>2136</v>
      </c>
      <c r="F639" s="28">
        <v>1604915.17</v>
      </c>
      <c r="G639" s="28">
        <v>1025733.5700000001</v>
      </c>
      <c r="H639" s="28">
        <v>2630648.7400000007</v>
      </c>
    </row>
    <row r="640" spans="3:8" x14ac:dyDescent="0.25">
      <c r="C640" t="s">
        <v>48</v>
      </c>
      <c r="D640" t="s">
        <v>2099</v>
      </c>
      <c r="E640" t="s">
        <v>39</v>
      </c>
      <c r="F640" s="28">
        <v>18071.580000000002</v>
      </c>
      <c r="G640" s="28">
        <v>105707.58</v>
      </c>
      <c r="H640" s="28">
        <v>123779.16</v>
      </c>
    </row>
    <row r="641" spans="3:8" x14ac:dyDescent="0.25">
      <c r="E641" t="s">
        <v>19</v>
      </c>
      <c r="F641" s="28">
        <v>132508.24</v>
      </c>
      <c r="G641" s="28">
        <v>175339.61000000002</v>
      </c>
      <c r="H641" s="28">
        <v>307847.84999999998</v>
      </c>
    </row>
    <row r="642" spans="3:8" x14ac:dyDescent="0.25">
      <c r="E642" t="s">
        <v>33</v>
      </c>
      <c r="F642" s="28"/>
      <c r="G642" s="28">
        <v>31128.66</v>
      </c>
      <c r="H642" s="28">
        <v>31128.66</v>
      </c>
    </row>
    <row r="643" spans="3:8" x14ac:dyDescent="0.25">
      <c r="D643" t="s">
        <v>2100</v>
      </c>
      <c r="F643" s="28">
        <v>150579.82</v>
      </c>
      <c r="G643" s="28">
        <v>312175.84999999998</v>
      </c>
      <c r="H643" s="28">
        <v>462755.67</v>
      </c>
    </row>
    <row r="644" spans="3:8" x14ac:dyDescent="0.25">
      <c r="D644" t="s">
        <v>2101</v>
      </c>
      <c r="E644" t="s">
        <v>39</v>
      </c>
      <c r="F644" s="28">
        <v>25060.400000000001</v>
      </c>
      <c r="G644" s="28">
        <v>200360.08</v>
      </c>
      <c r="H644" s="28">
        <v>225420.47999999998</v>
      </c>
    </row>
    <row r="645" spans="3:8" x14ac:dyDescent="0.25">
      <c r="E645" t="s">
        <v>19</v>
      </c>
      <c r="F645" s="28">
        <v>72921.540000000008</v>
      </c>
      <c r="G645" s="28">
        <v>151898.03</v>
      </c>
      <c r="H645" s="28">
        <v>224819.57</v>
      </c>
    </row>
    <row r="646" spans="3:8" x14ac:dyDescent="0.25">
      <c r="E646" t="s">
        <v>33</v>
      </c>
      <c r="F646" s="28">
        <v>29187.440000000002</v>
      </c>
      <c r="G646" s="28">
        <v>88070.12</v>
      </c>
      <c r="H646" s="28">
        <v>117257.56</v>
      </c>
    </row>
    <row r="647" spans="3:8" x14ac:dyDescent="0.25">
      <c r="D647" t="s">
        <v>2102</v>
      </c>
      <c r="F647" s="28">
        <v>127169.38</v>
      </c>
      <c r="G647" s="28">
        <v>440328.23</v>
      </c>
      <c r="H647" s="28">
        <v>567497.61</v>
      </c>
    </row>
    <row r="648" spans="3:8" x14ac:dyDescent="0.25">
      <c r="D648" t="s">
        <v>2103</v>
      </c>
      <c r="E648" t="s">
        <v>39</v>
      </c>
      <c r="F648" s="28">
        <v>80696.039999999994</v>
      </c>
      <c r="G648" s="28">
        <v>21313.599999999999</v>
      </c>
      <c r="H648" s="28">
        <v>102009.63999999998</v>
      </c>
    </row>
    <row r="649" spans="3:8" x14ac:dyDescent="0.25">
      <c r="E649" t="s">
        <v>19</v>
      </c>
      <c r="F649" s="28"/>
      <c r="G649" s="28">
        <v>38422.33</v>
      </c>
      <c r="H649" s="28">
        <v>38422.33</v>
      </c>
    </row>
    <row r="650" spans="3:8" x14ac:dyDescent="0.25">
      <c r="E650" t="s">
        <v>33</v>
      </c>
      <c r="F650" s="28">
        <v>185361.86</v>
      </c>
      <c r="G650" s="28">
        <v>123399.9</v>
      </c>
      <c r="H650" s="28">
        <v>308761.76</v>
      </c>
    </row>
    <row r="651" spans="3:8" x14ac:dyDescent="0.25">
      <c r="D651" t="s">
        <v>2104</v>
      </c>
      <c r="F651" s="28">
        <v>266057.89999999997</v>
      </c>
      <c r="G651" s="28">
        <v>183135.83</v>
      </c>
      <c r="H651" s="28">
        <v>449193.73</v>
      </c>
    </row>
    <row r="652" spans="3:8" x14ac:dyDescent="0.25">
      <c r="D652" t="s">
        <v>2105</v>
      </c>
      <c r="E652" t="s">
        <v>39</v>
      </c>
      <c r="F652" s="28">
        <v>126548.37</v>
      </c>
      <c r="G652" s="28">
        <v>24527.7</v>
      </c>
      <c r="H652" s="28">
        <v>151076.07</v>
      </c>
    </row>
    <row r="653" spans="3:8" x14ac:dyDescent="0.25">
      <c r="E653" t="s">
        <v>19</v>
      </c>
      <c r="F653" s="28">
        <v>100212.98</v>
      </c>
      <c r="G653" s="28">
        <v>47938.17</v>
      </c>
      <c r="H653" s="28">
        <v>148151.15</v>
      </c>
    </row>
    <row r="654" spans="3:8" x14ac:dyDescent="0.25">
      <c r="E654" t="s">
        <v>33</v>
      </c>
      <c r="F654" s="28">
        <v>198742.96</v>
      </c>
      <c r="G654" s="28"/>
      <c r="H654" s="28">
        <v>198742.96</v>
      </c>
    </row>
    <row r="655" spans="3:8" x14ac:dyDescent="0.25">
      <c r="D655" t="s">
        <v>2106</v>
      </c>
      <c r="F655" s="28">
        <v>425504.30999999994</v>
      </c>
      <c r="G655" s="28">
        <v>72465.87</v>
      </c>
      <c r="H655" s="28">
        <v>497970.17999999993</v>
      </c>
    </row>
    <row r="656" spans="3:8" x14ac:dyDescent="0.25">
      <c r="C656" t="s">
        <v>2137</v>
      </c>
      <c r="F656" s="28">
        <v>969311.40999999992</v>
      </c>
      <c r="G656" s="28">
        <v>1008105.7799999999</v>
      </c>
      <c r="H656" s="28">
        <v>1977417.19</v>
      </c>
    </row>
    <row r="657" spans="3:8" x14ac:dyDescent="0.25">
      <c r="C657" t="s">
        <v>22</v>
      </c>
      <c r="D657" t="s">
        <v>2099</v>
      </c>
      <c r="E657" t="s">
        <v>39</v>
      </c>
      <c r="F657" s="28">
        <v>73200.600000000006</v>
      </c>
      <c r="G657" s="28">
        <v>18103.5</v>
      </c>
      <c r="H657" s="28">
        <v>91304.1</v>
      </c>
    </row>
    <row r="658" spans="3:8" x14ac:dyDescent="0.25">
      <c r="E658" t="s">
        <v>19</v>
      </c>
      <c r="F658" s="28">
        <v>64359.259999999995</v>
      </c>
      <c r="G658" s="28">
        <v>82724.47</v>
      </c>
      <c r="H658" s="28">
        <v>147083.72999999998</v>
      </c>
    </row>
    <row r="659" spans="3:8" x14ac:dyDescent="0.25">
      <c r="E659" t="s">
        <v>33</v>
      </c>
      <c r="F659" s="28">
        <v>97548.800000000003</v>
      </c>
      <c r="G659" s="28">
        <v>115096.84999999999</v>
      </c>
      <c r="H659" s="28">
        <v>212645.65</v>
      </c>
    </row>
    <row r="660" spans="3:8" x14ac:dyDescent="0.25">
      <c r="D660" t="s">
        <v>2100</v>
      </c>
      <c r="F660" s="28">
        <v>235108.65999999997</v>
      </c>
      <c r="G660" s="28">
        <v>215924.82</v>
      </c>
      <c r="H660" s="28">
        <v>451033.48</v>
      </c>
    </row>
    <row r="661" spans="3:8" x14ac:dyDescent="0.25">
      <c r="D661" t="s">
        <v>2101</v>
      </c>
      <c r="E661" t="s">
        <v>39</v>
      </c>
      <c r="F661" s="28">
        <v>145904.45000000001</v>
      </c>
      <c r="G661" s="28">
        <v>55870.400000000001</v>
      </c>
      <c r="H661" s="28">
        <v>201774.85</v>
      </c>
    </row>
    <row r="662" spans="3:8" x14ac:dyDescent="0.25">
      <c r="E662" t="s">
        <v>19</v>
      </c>
      <c r="F662" s="28">
        <v>149998.1</v>
      </c>
      <c r="G662" s="28">
        <v>112789.84999999999</v>
      </c>
      <c r="H662" s="28">
        <v>262787.95</v>
      </c>
    </row>
    <row r="663" spans="3:8" x14ac:dyDescent="0.25">
      <c r="E663" t="s">
        <v>33</v>
      </c>
      <c r="F663" s="28">
        <v>102081.7</v>
      </c>
      <c r="G663" s="28">
        <v>156230.18000000002</v>
      </c>
      <c r="H663" s="28">
        <v>258311.88</v>
      </c>
    </row>
    <row r="664" spans="3:8" x14ac:dyDescent="0.25">
      <c r="D664" t="s">
        <v>2102</v>
      </c>
      <c r="F664" s="28">
        <v>397984.25000000006</v>
      </c>
      <c r="G664" s="28">
        <v>324890.43000000005</v>
      </c>
      <c r="H664" s="28">
        <v>722874.68</v>
      </c>
    </row>
    <row r="665" spans="3:8" x14ac:dyDescent="0.25">
      <c r="D665" t="s">
        <v>2103</v>
      </c>
      <c r="E665" t="s">
        <v>39</v>
      </c>
      <c r="F665" s="28">
        <v>104368.78</v>
      </c>
      <c r="G665" s="28">
        <v>72961.539999999994</v>
      </c>
      <c r="H665" s="28">
        <v>177330.32</v>
      </c>
    </row>
    <row r="666" spans="3:8" x14ac:dyDescent="0.25">
      <c r="E666" t="s">
        <v>19</v>
      </c>
      <c r="F666" s="28">
        <v>137071.69</v>
      </c>
      <c r="G666" s="28">
        <v>75873.510000000009</v>
      </c>
      <c r="H666" s="28">
        <v>212945.2</v>
      </c>
    </row>
    <row r="667" spans="3:8" x14ac:dyDescent="0.25">
      <c r="E667" t="s">
        <v>33</v>
      </c>
      <c r="F667" s="28">
        <v>105627.81999999999</v>
      </c>
      <c r="G667" s="28">
        <v>39407.360000000001</v>
      </c>
      <c r="H667" s="28">
        <v>145035.18</v>
      </c>
    </row>
    <row r="668" spans="3:8" x14ac:dyDescent="0.25">
      <c r="D668" t="s">
        <v>2104</v>
      </c>
      <c r="F668" s="28">
        <v>347068.29</v>
      </c>
      <c r="G668" s="28">
        <v>188242.40999999997</v>
      </c>
      <c r="H668" s="28">
        <v>535310.69999999995</v>
      </c>
    </row>
    <row r="669" spans="3:8" x14ac:dyDescent="0.25">
      <c r="D669" t="s">
        <v>2105</v>
      </c>
      <c r="E669" t="s">
        <v>39</v>
      </c>
      <c r="F669" s="28">
        <v>19215.36</v>
      </c>
      <c r="G669" s="28">
        <v>60542.25</v>
      </c>
      <c r="H669" s="28">
        <v>79757.61</v>
      </c>
    </row>
    <row r="670" spans="3:8" x14ac:dyDescent="0.25">
      <c r="E670" t="s">
        <v>19</v>
      </c>
      <c r="F670" s="28">
        <v>75284.850000000006</v>
      </c>
      <c r="G670" s="28">
        <v>17377.47</v>
      </c>
      <c r="H670" s="28">
        <v>92662.32</v>
      </c>
    </row>
    <row r="671" spans="3:8" x14ac:dyDescent="0.25">
      <c r="E671" t="s">
        <v>33</v>
      </c>
      <c r="F671" s="28">
        <v>128258.25</v>
      </c>
      <c r="G671" s="28"/>
      <c r="H671" s="28">
        <v>128258.25</v>
      </c>
    </row>
    <row r="672" spans="3:8" x14ac:dyDescent="0.25">
      <c r="D672" t="s">
        <v>2106</v>
      </c>
      <c r="F672" s="28">
        <v>222758.46000000002</v>
      </c>
      <c r="G672" s="28">
        <v>77919.72</v>
      </c>
      <c r="H672" s="28">
        <v>300678.18</v>
      </c>
    </row>
    <row r="673" spans="3:8" x14ac:dyDescent="0.25">
      <c r="C673" t="s">
        <v>2138</v>
      </c>
      <c r="F673" s="28">
        <v>1202919.6599999999</v>
      </c>
      <c r="G673" s="28">
        <v>806977.38</v>
      </c>
      <c r="H673" s="28">
        <v>2009897.0400000003</v>
      </c>
    </row>
    <row r="674" spans="3:8" x14ac:dyDescent="0.25">
      <c r="C674" t="s">
        <v>40</v>
      </c>
      <c r="D674" t="s">
        <v>2099</v>
      </c>
      <c r="E674" t="s">
        <v>39</v>
      </c>
      <c r="F674" s="28">
        <v>150173.23000000001</v>
      </c>
      <c r="G674" s="28">
        <v>287742.11</v>
      </c>
      <c r="H674" s="28">
        <v>437915.33999999997</v>
      </c>
    </row>
    <row r="675" spans="3:8" x14ac:dyDescent="0.25">
      <c r="E675" t="s">
        <v>19</v>
      </c>
      <c r="F675" s="28">
        <v>39321.19</v>
      </c>
      <c r="G675" s="28">
        <v>75453.450000000012</v>
      </c>
      <c r="H675" s="28">
        <v>114774.64000000001</v>
      </c>
    </row>
    <row r="676" spans="3:8" x14ac:dyDescent="0.25">
      <c r="E676" t="s">
        <v>33</v>
      </c>
      <c r="F676" s="28">
        <v>179219.97999999998</v>
      </c>
      <c r="G676" s="28">
        <v>14933.36</v>
      </c>
      <c r="H676" s="28">
        <v>194153.33999999997</v>
      </c>
    </row>
    <row r="677" spans="3:8" x14ac:dyDescent="0.25">
      <c r="D677" t="s">
        <v>2100</v>
      </c>
      <c r="F677" s="28">
        <v>368714.4</v>
      </c>
      <c r="G677" s="28">
        <v>378128.92</v>
      </c>
      <c r="H677" s="28">
        <v>746843.32</v>
      </c>
    </row>
    <row r="678" spans="3:8" x14ac:dyDescent="0.25">
      <c r="D678" t="s">
        <v>2101</v>
      </c>
      <c r="E678" t="s">
        <v>39</v>
      </c>
      <c r="F678" s="28">
        <v>38187.439999999995</v>
      </c>
      <c r="G678" s="28">
        <v>13691</v>
      </c>
      <c r="H678" s="28">
        <v>51878.439999999995</v>
      </c>
    </row>
    <row r="679" spans="3:8" x14ac:dyDescent="0.25">
      <c r="E679" t="s">
        <v>19</v>
      </c>
      <c r="F679" s="28">
        <v>47938.400000000001</v>
      </c>
      <c r="G679" s="28">
        <v>135667.98000000001</v>
      </c>
      <c r="H679" s="28">
        <v>183606.38</v>
      </c>
    </row>
    <row r="680" spans="3:8" x14ac:dyDescent="0.25">
      <c r="E680" t="s">
        <v>33</v>
      </c>
      <c r="F680" s="28">
        <v>58004.2</v>
      </c>
      <c r="G680" s="28">
        <v>170096.72</v>
      </c>
      <c r="H680" s="28">
        <v>228100.91999999998</v>
      </c>
    </row>
    <row r="681" spans="3:8" x14ac:dyDescent="0.25">
      <c r="D681" t="s">
        <v>2102</v>
      </c>
      <c r="F681" s="28">
        <v>144130.03999999998</v>
      </c>
      <c r="G681" s="28">
        <v>319455.7</v>
      </c>
      <c r="H681" s="28">
        <v>463585.74</v>
      </c>
    </row>
    <row r="682" spans="3:8" x14ac:dyDescent="0.25">
      <c r="D682" t="s">
        <v>2103</v>
      </c>
      <c r="E682" t="s">
        <v>39</v>
      </c>
      <c r="F682" s="28"/>
      <c r="G682" s="28">
        <v>10965.6</v>
      </c>
      <c r="H682" s="28">
        <v>10965.6</v>
      </c>
    </row>
    <row r="683" spans="3:8" x14ac:dyDescent="0.25">
      <c r="E683" t="s">
        <v>19</v>
      </c>
      <c r="F683" s="28">
        <v>78820.66</v>
      </c>
      <c r="G683" s="28">
        <v>81738.079999999987</v>
      </c>
      <c r="H683" s="28">
        <v>160558.74</v>
      </c>
    </row>
    <row r="684" spans="3:8" x14ac:dyDescent="0.25">
      <c r="E684" t="s">
        <v>33</v>
      </c>
      <c r="F684" s="28"/>
      <c r="G684" s="28">
        <v>29596.32</v>
      </c>
      <c r="H684" s="28">
        <v>29596.32</v>
      </c>
    </row>
    <row r="685" spans="3:8" x14ac:dyDescent="0.25">
      <c r="D685" t="s">
        <v>2104</v>
      </c>
      <c r="F685" s="28">
        <v>78820.66</v>
      </c>
      <c r="G685" s="28">
        <v>122300</v>
      </c>
      <c r="H685" s="28">
        <v>201120.66</v>
      </c>
    </row>
    <row r="686" spans="3:8" x14ac:dyDescent="0.25">
      <c r="D686" t="s">
        <v>2105</v>
      </c>
      <c r="E686" t="s">
        <v>39</v>
      </c>
      <c r="F686" s="28"/>
      <c r="G686" s="28">
        <v>83270.25</v>
      </c>
      <c r="H686" s="28">
        <v>83270.25</v>
      </c>
    </row>
    <row r="687" spans="3:8" x14ac:dyDescent="0.25">
      <c r="E687" t="s">
        <v>19</v>
      </c>
      <c r="F687" s="28">
        <v>70395.81</v>
      </c>
      <c r="G687" s="28">
        <v>2970.72</v>
      </c>
      <c r="H687" s="28">
        <v>73366.53</v>
      </c>
    </row>
    <row r="688" spans="3:8" x14ac:dyDescent="0.25">
      <c r="E688" t="s">
        <v>33</v>
      </c>
      <c r="F688" s="28">
        <v>71021.3</v>
      </c>
      <c r="G688" s="28"/>
      <c r="H688" s="28">
        <v>71021.3</v>
      </c>
    </row>
    <row r="689" spans="1:8" x14ac:dyDescent="0.25">
      <c r="D689" t="s">
        <v>2106</v>
      </c>
      <c r="F689" s="28">
        <v>141417.10999999999</v>
      </c>
      <c r="G689" s="28">
        <v>86240.97</v>
      </c>
      <c r="H689" s="28">
        <v>227658.08000000002</v>
      </c>
    </row>
    <row r="690" spans="1:8" x14ac:dyDescent="0.25">
      <c r="C690" t="s">
        <v>2139</v>
      </c>
      <c r="F690" s="28">
        <v>733082.2100000002</v>
      </c>
      <c r="G690" s="28">
        <v>906125.58999999985</v>
      </c>
      <c r="H690" s="28">
        <v>1639207.8</v>
      </c>
    </row>
    <row r="691" spans="1:8" x14ac:dyDescent="0.25">
      <c r="B691" t="s">
        <v>2087</v>
      </c>
      <c r="F691" s="28">
        <v>4510228.4499999993</v>
      </c>
      <c r="G691" s="28">
        <v>3746942.3200000008</v>
      </c>
      <c r="H691" s="28">
        <v>8257170.7700000023</v>
      </c>
    </row>
    <row r="692" spans="1:8" x14ac:dyDescent="0.25">
      <c r="A692" t="s">
        <v>2111</v>
      </c>
      <c r="F692" s="28">
        <v>4510228.4499999993</v>
      </c>
      <c r="G692" s="28">
        <v>3746942.3200000008</v>
      </c>
      <c r="H692" s="28">
        <v>8257170.7700000023</v>
      </c>
    </row>
    <row r="693" spans="1:8" x14ac:dyDescent="0.25">
      <c r="A693" t="s">
        <v>2069</v>
      </c>
      <c r="F693" s="28">
        <v>43384648.469999991</v>
      </c>
      <c r="G693" s="28">
        <v>35694729.939999998</v>
      </c>
      <c r="H693" s="28">
        <v>79079378.409999967</v>
      </c>
    </row>
  </sheetData>
  <mergeCells count="1">
    <mergeCell ref="K4:M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8D89D-BA7C-4D73-B34D-D47E6F926BC7}">
  <dimension ref="A1:B8"/>
  <sheetViews>
    <sheetView tabSelected="1" workbookViewId="0">
      <selection activeCell="J10" sqref="J10"/>
    </sheetView>
  </sheetViews>
  <sheetFormatPr defaultRowHeight="15" x14ac:dyDescent="0.25"/>
  <cols>
    <col min="1" max="1" width="11.85546875" bestFit="1" customWidth="1"/>
    <col min="2" max="2" width="8.42578125" bestFit="1" customWidth="1"/>
  </cols>
  <sheetData>
    <row r="1" spans="1:2" x14ac:dyDescent="0.25">
      <c r="A1" t="s">
        <v>2057</v>
      </c>
      <c r="B1" t="s">
        <v>2140</v>
      </c>
    </row>
    <row r="2" spans="1:2" x14ac:dyDescent="0.25">
      <c r="A2" t="s">
        <v>2073</v>
      </c>
      <c r="B2">
        <v>756</v>
      </c>
    </row>
    <row r="3" spans="1:2" x14ac:dyDescent="0.25">
      <c r="A3" t="s">
        <v>2072</v>
      </c>
      <c r="B3">
        <v>442</v>
      </c>
    </row>
    <row r="4" spans="1:2" x14ac:dyDescent="0.25">
      <c r="A4" t="s">
        <v>2075</v>
      </c>
      <c r="B4">
        <v>223</v>
      </c>
    </row>
    <row r="5" spans="1:2" x14ac:dyDescent="0.25">
      <c r="A5" t="s">
        <v>2078</v>
      </c>
      <c r="B5">
        <v>210</v>
      </c>
    </row>
    <row r="6" spans="1:2" x14ac:dyDescent="0.25">
      <c r="A6" t="s">
        <v>2076</v>
      </c>
      <c r="B6">
        <v>204</v>
      </c>
    </row>
    <row r="7" spans="1:2" x14ac:dyDescent="0.25">
      <c r="A7" t="s">
        <v>2074</v>
      </c>
      <c r="B7">
        <v>90</v>
      </c>
    </row>
    <row r="8" spans="1:2" x14ac:dyDescent="0.25">
      <c r="A8" t="s">
        <v>2077</v>
      </c>
      <c r="B8">
        <v>75</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5E8A6270632B74CA44318185654C11B" ma:contentTypeVersion="8" ma:contentTypeDescription="Create a new document." ma:contentTypeScope="" ma:versionID="77481fac2354b095101de9f20f93c7b9">
  <xsd:schema xmlns:xsd="http://www.w3.org/2001/XMLSchema" xmlns:xs="http://www.w3.org/2001/XMLSchema" xmlns:p="http://schemas.microsoft.com/office/2006/metadata/properties" xmlns:ns2="597a32d3-74d6-450e-99f4-564de56639a2" targetNamespace="http://schemas.microsoft.com/office/2006/metadata/properties" ma:root="true" ma:fieldsID="1cb477133849e8d412a41ccf963e1286" ns2:_="">
    <xsd:import namespace="597a32d3-74d6-450e-99f4-564de56639a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7a32d3-74d6-450e-99f4-564de56639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E32B15C-EF0B-46AE-A222-0C8D83639837}">
  <ds:schemaRefs>
    <ds:schemaRef ds:uri="http://schemas.microsoft.com/sharepoint/v3/contenttype/forms"/>
  </ds:schemaRefs>
</ds:datastoreItem>
</file>

<file path=customXml/itemProps2.xml><?xml version="1.0" encoding="utf-8"?>
<ds:datastoreItem xmlns:ds="http://schemas.openxmlformats.org/officeDocument/2006/customXml" ds:itemID="{AACDEF01-8BAC-4D15-A62C-BCD1831909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7a32d3-74d6-450e-99f4-564de56639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B30917B-F5D4-48CA-BF91-60CCD1F760F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Electronic dataset (Source)</vt:lpstr>
      <vt:lpstr>Electronic Products Process</vt:lpstr>
      <vt:lpstr>Summary</vt:lpstr>
      <vt:lpstr>Slicer and Pivot Chart</vt:lpstr>
      <vt:lpstr>Sheet1</vt:lpstr>
      <vt:lpstr>Sheet2</vt:lpstr>
      <vt:lpstr>Sheet3</vt:lpstr>
      <vt:lpstr>Sheet4</vt:lpstr>
      <vt:lpstr>Data (TID) Retrival</vt:lpstr>
      <vt:lpstr>Average Values Calculation</vt:lpstr>
      <vt:lpstr>Count of Rating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Scott Ackerl</dc:creator>
  <cp:keywords/>
  <dc:description/>
  <cp:lastModifiedBy>Sriram P</cp:lastModifiedBy>
  <cp:revision/>
  <dcterms:created xsi:type="dcterms:W3CDTF">2024-11-06T23:24:48Z</dcterms:created>
  <dcterms:modified xsi:type="dcterms:W3CDTF">2025-08-12T16:01:44Z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0x010100D5E8A6270632B74CA44318185654C11B</vt:lpwstr>
  </property>
</Properties>
</file>